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dos" sheetId="1" r:id="rId4"/>
    <sheet state="visible" name="modelo" sheetId="2" r:id="rId5"/>
    <sheet state="visible" name="camera trap" sheetId="3" r:id="rId6"/>
    <sheet state="visible" name="metadados" sheetId="4" r:id="rId7"/>
    <sheet state="visible" name="taxonomia" sheetId="5" r:id="rId8"/>
    <sheet state="visible" name="dicionario" sheetId="6" r:id="rId9"/>
  </sheets>
  <definedNames>
    <definedName hidden="1" localSheetId="0" name="_xlnm._FilterDatabase">dados!$A$1:$H$14780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@20231210007@pq.uenf.br
	-Gabriel Jovencio Ribeiro
----
?
	-Lente Ecológica</t>
      </text>
    </comment>
    <comment authorId="0" ref="F10074">
      <text>
        <t xml:space="preserve">?
	-Gabriel Jovencio Ribeiro
Heliconia evans?
	-Lente Ecológica</t>
      </text>
    </comment>
    <comment authorId="0" ref="F8179">
      <text>
        <t xml:space="preserve">@20231210007@pq.uenf.br
	-Gabriel Jovencio Ribeiro</t>
      </text>
    </comment>
    <comment authorId="0" ref="F8153">
      <text>
        <t xml:space="preserve">@20231210007@pq.uenf.br
	-Gabriel Jovencio Ribeiro</t>
      </text>
    </comment>
    <comment authorId="0" ref="F9019">
      <text>
        <t xml:space="preserve">@20231210007@pq.uenf.br
	-Gabriel Jovencio Ribeiro</t>
      </text>
    </comment>
    <comment authorId="0" ref="F8021">
      <text>
        <t xml:space="preserve">?
	-Gabriel Jovencio Ribeiro</t>
      </text>
    </comment>
    <comment authorId="0" ref="F7940">
      <text>
        <t xml:space="preserve">@20211200019@pq.uenf.br
	-Gabriel Jovencio Ribeiro</t>
      </text>
    </comment>
    <comment authorId="0" ref="F8028">
      <text>
        <t xml:space="preserve">?
	-Gabriel Jovencio Ribeiro</t>
      </text>
    </comment>
    <comment authorId="0" ref="F8282">
      <text>
        <t xml:space="preserve">?
	-Gabriel Jovencio Ribeiro</t>
      </text>
    </comment>
    <comment authorId="0" ref="F8826">
      <text>
        <t xml:space="preserve">?
	-Gabriel Jovencio Ribeiro</t>
      </text>
    </comment>
    <comment authorId="0" ref="F8741">
      <text>
        <t xml:space="preserve">?
	-Gabriel Jovencio Ribeiro</t>
      </text>
    </comment>
    <comment authorId="0" ref="F6891">
      <text>
        <t xml:space="preserve">?
	-Pablo Cauã da Silva Toledo</t>
      </text>
    </comment>
    <comment authorId="0" ref="F6830">
      <text>
        <t xml:space="preserve">?
	-Pablo Cauã da Silva Toledo</t>
      </text>
    </comment>
    <comment authorId="0" ref="E3282">
      <text>
        <t xml:space="preserve">?
	-Pablo Cauã da Silva Toledo</t>
      </text>
    </comment>
    <comment authorId="0" ref="F3159">
      <text>
        <t xml:space="preserve">?
	-Pablo Cauã da Silva Toledo</t>
      </text>
    </comment>
    <comment authorId="0" ref="F2995">
      <text>
        <t xml:space="preserve">@20221210026@pq.uenf.br
	-Pablo Cauã da Silva Toledo</t>
      </text>
    </comment>
    <comment authorId="0" ref="F2907">
      <text>
        <t xml:space="preserve">?
	-Pablo Cauã da Silva Toledo</t>
      </text>
    </comment>
    <comment authorId="0" ref="F2874">
      <text>
        <t xml:space="preserve">?
	-Pablo Cauã da Silva Toledo</t>
      </text>
    </comment>
    <comment authorId="0" ref="E2838">
      <text>
        <t xml:space="preserve">?
	-Pablo Cauã da Silva Toledo</t>
      </text>
    </comment>
    <comment authorId="0" ref="E2824">
      <text>
        <t xml:space="preserve">?
	-Pablo Cauã da Silva Toledo</t>
      </text>
    </comment>
    <comment authorId="0" ref="E2604">
      <text>
        <t xml:space="preserve">Qual Portulaca?
	-Pablo Cauã da Silva Toledo</t>
      </text>
    </comment>
    <comment authorId="0" ref="E2551">
      <text>
        <t xml:space="preserve">Qual Portulaca?
	-Pablo Cauã da Silva Toledo</t>
      </text>
    </comment>
    <comment authorId="0" ref="F1677">
      <text>
        <t xml:space="preserve">?
	-Pablo Cauã da Silva Toledo</t>
      </text>
    </comment>
    <comment authorId="0" ref="F1535">
      <text>
        <t xml:space="preserve">?
	-Pablo Cauã da Silva Toledo</t>
      </text>
    </comment>
    <comment authorId="0" ref="F1480">
      <text>
        <t xml:space="preserve">?
	-Pablo Cauã da Silva Toledo</t>
      </text>
    </comment>
    <comment authorId="0" ref="F1468">
      <text>
        <t xml:space="preserve">?
	-Pablo Cauã da Silva Toledo</t>
      </text>
    </comment>
    <comment authorId="0" ref="F1422">
      <text>
        <t xml:space="preserve">O que sp4?
	-Pablo Cauã da Silva Toledo</t>
      </text>
    </comment>
    <comment authorId="0" ref="F5009">
      <text>
        <t xml:space="preserve">?
	-Pablo Cauã da Silva Toledo</t>
      </text>
    </comment>
    <comment authorId="0" ref="F5215">
      <text>
        <t xml:space="preserve">?
	-Pablo Cauã da Silva Toledo</t>
      </text>
    </comment>
    <comment authorId="0" ref="F5813">
      <text>
        <t xml:space="preserve">?
	-Pablo Cauã da Silva Toledo</t>
      </text>
    </comment>
    <comment authorId="0" ref="F3747">
      <text>
        <t xml:space="preserve">Está escrito exatamente como foi anotado no campo?
	-Pablo Cauã da Silva Toledo</t>
      </text>
    </comment>
    <comment authorId="0" ref="F3644">
      <text>
        <t xml:space="preserve">Qual capim? Como está na anotação de campo?
	-Pablo Cauã da Silva Toledo</t>
      </text>
    </comment>
    <comment authorId="0" ref="F4331">
      <text>
        <t xml:space="preserve">Borboleta-pavão-branco ou borboleta-olho-de-pavão-diurno? Como foi anotado? Esta Aglais io é européia.
	-Pablo Cauã da Silva Toledo</t>
      </text>
    </comment>
    <comment authorId="0" ref="F1453">
      <text>
        <t xml:space="preserve">Quem tirou foto?
	-Pablo Cauã da Silva Toledo</t>
      </text>
    </comment>
    <comment authorId="0" ref="F1945">
      <text>
        <t xml:space="preserve">?
	-Pablo Cauã da Silva Toledo</t>
      </text>
    </comment>
    <comment authorId="0" ref="F1973">
      <text>
        <t xml:space="preserve">?
	-Pablo Cauã da Silva Toledo</t>
      </text>
    </comment>
    <comment authorId="0" ref="I2376">
      <text>
        <t xml:space="preserve">Esclarecer, pois não há dados deste dia
	-Lente Ecológica</t>
      </text>
    </comment>
  </commentList>
</comments>
</file>

<file path=xl/sharedStrings.xml><?xml version="1.0" encoding="utf-8"?>
<sst xmlns="http://schemas.openxmlformats.org/spreadsheetml/2006/main" count="66156" uniqueCount="2979">
  <si>
    <t>data</t>
  </si>
  <si>
    <t>horario</t>
  </si>
  <si>
    <t>local</t>
  </si>
  <si>
    <t>coletor</t>
  </si>
  <si>
    <t>taxon</t>
  </si>
  <si>
    <t>nome_comum</t>
  </si>
  <si>
    <t>taxon_corrigido</t>
  </si>
  <si>
    <t>nome_comum_corrigido</t>
  </si>
  <si>
    <t>Ponto 1</t>
  </si>
  <si>
    <t>Gabriel/Clarisse/Lorena/Thallita/César</t>
  </si>
  <si>
    <t>Guira guira</t>
  </si>
  <si>
    <t>anú-branco</t>
  </si>
  <si>
    <t>Eulaema nigrita</t>
  </si>
  <si>
    <t>abelha-de-orquídea</t>
  </si>
  <si>
    <t>Spermacoce verticillata</t>
  </si>
  <si>
    <t>vassourinha-de-botão</t>
  </si>
  <si>
    <t>Eupetomena macroura</t>
  </si>
  <si>
    <t>beija-flor-tesoura</t>
  </si>
  <si>
    <t>Xylocopa frontalis</t>
  </si>
  <si>
    <t>mamangava / mangangá / abelha-carpinteira</t>
  </si>
  <si>
    <t>Sicalis flaveola</t>
  </si>
  <si>
    <t>canário-da-terra</t>
  </si>
  <si>
    <t>Zenaida auriculata</t>
  </si>
  <si>
    <t>pomba-de-bando / avoante</t>
  </si>
  <si>
    <t>Lepidoptera</t>
  </si>
  <si>
    <t>mariposa</t>
  </si>
  <si>
    <t>Ponto 2</t>
  </si>
  <si>
    <t>Termitoidae</t>
  </si>
  <si>
    <t>cupim</t>
  </si>
  <si>
    <t>Pycnoscelus surinamensis</t>
  </si>
  <si>
    <t>barata-de-jardim</t>
  </si>
  <si>
    <t>Furnarius rufus</t>
  </si>
  <si>
    <t>joão-de-barro</t>
  </si>
  <si>
    <t>Ponto 3</t>
  </si>
  <si>
    <t>Formicidae</t>
  </si>
  <si>
    <t>formiga</t>
  </si>
  <si>
    <t>Lucilia sericata</t>
  </si>
  <si>
    <t>mosca-verde</t>
  </si>
  <si>
    <t>Troglodytes musculus</t>
  </si>
  <si>
    <t>curruíra</t>
  </si>
  <si>
    <t>Ponto 4</t>
  </si>
  <si>
    <t>Mimosa pudica</t>
  </si>
  <si>
    <t>lavadeira-mascarada</t>
  </si>
  <si>
    <t>Columba livia</t>
  </si>
  <si>
    <t>pombo-doméstico</t>
  </si>
  <si>
    <t>dormideira</t>
  </si>
  <si>
    <t>Chionomesa fimbriata</t>
  </si>
  <si>
    <t>beija-flor-de-garganta-verde</t>
  </si>
  <si>
    <t>Commelina erecta</t>
  </si>
  <si>
    <t>trapoeraba</t>
  </si>
  <si>
    <t>Ponto 5</t>
  </si>
  <si>
    <t>Solenopsis</t>
  </si>
  <si>
    <t>formiga-quente / formiga-lava-pés / formiga-de-fogo</t>
  </si>
  <si>
    <t>Turnera subulata</t>
  </si>
  <si>
    <t>xanana</t>
  </si>
  <si>
    <t>Cubaris murina</t>
  </si>
  <si>
    <t>tatuzinho-de-jardim-de-jardim</t>
  </si>
  <si>
    <t>Juliformia</t>
  </si>
  <si>
    <t>gongolo / maria-café</t>
  </si>
  <si>
    <t>Ponto 6</t>
  </si>
  <si>
    <t>Vanellus chilensis</t>
  </si>
  <si>
    <t>quero-quero</t>
  </si>
  <si>
    <t>Hymenoptera</t>
  </si>
  <si>
    <t>vespa</t>
  </si>
  <si>
    <t>Ponto 7</t>
  </si>
  <si>
    <t>Pitangus sulphuratus</t>
  </si>
  <si>
    <t>bem-te-vi</t>
  </si>
  <si>
    <t>Siproeta stelenes</t>
  </si>
  <si>
    <t>borboleta-malaquita</t>
  </si>
  <si>
    <t>Talinum fruticosum</t>
  </si>
  <si>
    <t>saíra-amarela</t>
  </si>
  <si>
    <t>beldroega-grande</t>
  </si>
  <si>
    <t>Thraupis palmarum</t>
  </si>
  <si>
    <t>sanhaço-do-coqueiro</t>
  </si>
  <si>
    <t>Crotophaga ani</t>
  </si>
  <si>
    <t>anú-preto</t>
  </si>
  <si>
    <t>Ponto 8</t>
  </si>
  <si>
    <t>formiga-quente</t>
  </si>
  <si>
    <t>Hamadryas</t>
  </si>
  <si>
    <t>boboleta-estala-pau</t>
  </si>
  <si>
    <t>Pentatomidae</t>
  </si>
  <si>
    <t>maria-fedida</t>
  </si>
  <si>
    <t xml:space="preserve">gongolo / maria-café </t>
  </si>
  <si>
    <t>Anartia jatrophae</t>
  </si>
  <si>
    <t>borboleta-pavão-branco</t>
  </si>
  <si>
    <t>Ponto 9</t>
  </si>
  <si>
    <t>Coereba flaveola</t>
  </si>
  <si>
    <t>cambacica (cebinho)</t>
  </si>
  <si>
    <t>Tyrannus melancholicus</t>
  </si>
  <si>
    <t>suiriri</t>
  </si>
  <si>
    <t>Ponto 10</t>
  </si>
  <si>
    <t>Picumnus cirratus</t>
  </si>
  <si>
    <t>picapauzinho-barrado</t>
  </si>
  <si>
    <t>Thraupis sayaca</t>
  </si>
  <si>
    <t>sanhaçu-cinzento</t>
  </si>
  <si>
    <t>Misumenops maculissparsus</t>
  </si>
  <si>
    <t>aranha-caranguejo</t>
  </si>
  <si>
    <t>pomba-de-bando</t>
  </si>
  <si>
    <t>Gabriel/Clarisse/Lorena/Thallita/Pablo</t>
  </si>
  <si>
    <t>Molothrus bonariensis</t>
  </si>
  <si>
    <t>pássaro-preto / chupim</t>
  </si>
  <si>
    <t>Nemosia pileata</t>
  </si>
  <si>
    <t>saíra-de-chapéu-preto</t>
  </si>
  <si>
    <t>Caracara plancus</t>
  </si>
  <si>
    <t>carcará</t>
  </si>
  <si>
    <t>Progne tapera</t>
  </si>
  <si>
    <t>andorinha-do-campo</t>
  </si>
  <si>
    <t>Ramalina complanata</t>
  </si>
  <si>
    <t>ramalina</t>
  </si>
  <si>
    <t>Tillandsia stricta</t>
  </si>
  <si>
    <t>cravo-do-mato</t>
  </si>
  <si>
    <t>Trigona spinipes</t>
  </si>
  <si>
    <t>abelha-cachorro</t>
  </si>
  <si>
    <t>Columbina talpacoti</t>
  </si>
  <si>
    <t>rolinha-roxa</t>
  </si>
  <si>
    <t>cambacica / cebinho</t>
  </si>
  <si>
    <t>Argiope argentata</t>
  </si>
  <si>
    <t>aranha-de-prata</t>
  </si>
  <si>
    <t>Agaricus</t>
  </si>
  <si>
    <t>cogumelo</t>
  </si>
  <si>
    <t>Fidicini</t>
  </si>
  <si>
    <t>cigarra</t>
  </si>
  <si>
    <t>Todirostrum cinereum</t>
  </si>
  <si>
    <t>ferreirinho-relógio</t>
  </si>
  <si>
    <t>Heteroptera</t>
  </si>
  <si>
    <t>percevejo</t>
  </si>
  <si>
    <t>Bryophyta</t>
  </si>
  <si>
    <t>musgo</t>
  </si>
  <si>
    <t>Blaberoidea</t>
  </si>
  <si>
    <t>barata</t>
  </si>
  <si>
    <t>Culicidae</t>
  </si>
  <si>
    <t>mosquito</t>
  </si>
  <si>
    <t>Euphonia chlorotica</t>
  </si>
  <si>
    <t>fim-fim</t>
  </si>
  <si>
    <t>Columbina livia</t>
  </si>
  <si>
    <t>Tridax procumbens</t>
  </si>
  <si>
    <t>erva-de-touro</t>
  </si>
  <si>
    <t>Tapera naevia</t>
  </si>
  <si>
    <t>saci</t>
  </si>
  <si>
    <t>Tropidurus torquatus</t>
  </si>
  <si>
    <t>calango</t>
  </si>
  <si>
    <t>Ruellia blechum</t>
  </si>
  <si>
    <t>camarão-verde</t>
  </si>
  <si>
    <t>Polybia</t>
  </si>
  <si>
    <t>Gomphrena globosa</t>
  </si>
  <si>
    <t>perpétua-rosa</t>
  </si>
  <si>
    <t>Euphorbia hirta</t>
  </si>
  <si>
    <t>erva-de-santa-luzia</t>
  </si>
  <si>
    <t>Parthenium hysterophorus</t>
  </si>
  <si>
    <t>losna-branca</t>
  </si>
  <si>
    <t>Amaranthus viridis</t>
  </si>
  <si>
    <t>caruru-de-mancha</t>
  </si>
  <si>
    <t>Cynodon dactylon</t>
  </si>
  <si>
    <t>grama-bermuda</t>
  </si>
  <si>
    <t>Cyperus rotundus</t>
  </si>
  <si>
    <t>tiririca</t>
  </si>
  <si>
    <t>Coronopus didymus</t>
  </si>
  <si>
    <t>mastruz-rasteiro</t>
  </si>
  <si>
    <t>Nephilingis cruentata</t>
  </si>
  <si>
    <t>maria-bola</t>
  </si>
  <si>
    <t>Gryllidae</t>
  </si>
  <si>
    <t>grilo</t>
  </si>
  <si>
    <t>Fluvicola nengeta</t>
  </si>
  <si>
    <t>Coragyps atratus</t>
  </si>
  <si>
    <t>urubu-de-cabeça-preta</t>
  </si>
  <si>
    <t>Lycogala</t>
  </si>
  <si>
    <t>fungo</t>
  </si>
  <si>
    <t>Hemidactylus mabouia</t>
  </si>
  <si>
    <t>lagartixa-doméstica</t>
  </si>
  <si>
    <t>Camponotus cruentatus</t>
  </si>
  <si>
    <t>formiga-carpinteira</t>
  </si>
  <si>
    <t>Oxalis corniculata</t>
  </si>
  <si>
    <t>trevo-azedinho</t>
  </si>
  <si>
    <t>Junonia evarete</t>
  </si>
  <si>
    <t>borboleta-olho-de-pavão-diúrno</t>
  </si>
  <si>
    <t>Turdus leucomelas</t>
  </si>
  <si>
    <t>sabiá-barranco</t>
  </si>
  <si>
    <t>Elaenia flavogaster</t>
  </si>
  <si>
    <t>guaracava-de-barriga-amarela</t>
  </si>
  <si>
    <t>Aramides saracura</t>
  </si>
  <si>
    <t>saracura-do-mato</t>
  </si>
  <si>
    <t>Mormodica charantia</t>
  </si>
  <si>
    <t>melão-de-são-caetano</t>
  </si>
  <si>
    <t>Thunbergia alata</t>
  </si>
  <si>
    <t>susana-dos-olhos-negros</t>
  </si>
  <si>
    <t>Ipomoea</t>
  </si>
  <si>
    <t>ipoméia</t>
  </si>
  <si>
    <t>Tangara cayana</t>
  </si>
  <si>
    <t>mamangava  mangangá</t>
  </si>
  <si>
    <t>Solanum paniculatum</t>
  </si>
  <si>
    <t>jurubeba</t>
  </si>
  <si>
    <t>Patagioenas picazuro</t>
  </si>
  <si>
    <t>asa-branca</t>
  </si>
  <si>
    <t>Conirostrum speciosum</t>
  </si>
  <si>
    <t>figuinha-de-rabo-castanho</t>
  </si>
  <si>
    <t>Priva lappulacea</t>
  </si>
  <si>
    <t>carrapicho</t>
  </si>
  <si>
    <t>maria-café (gongolo)</t>
  </si>
  <si>
    <t>Bradybaena similaris</t>
  </si>
  <si>
    <t>caracol-asiático</t>
  </si>
  <si>
    <t>Columbina picui</t>
  </si>
  <si>
    <t>rolinha-picuí</t>
  </si>
  <si>
    <t>Dysdercus</t>
  </si>
  <si>
    <t>percevejo-manchador</t>
  </si>
  <si>
    <t>Vespidae</t>
  </si>
  <si>
    <t>marimbondo</t>
  </si>
  <si>
    <t>Falco sparverius</t>
  </si>
  <si>
    <t>quiriquiri</t>
  </si>
  <si>
    <t>pica-pauzinho-barrado</t>
  </si>
  <si>
    <t>Furnarius figulus</t>
  </si>
  <si>
    <t>casaca-de-couro-da-lama</t>
  </si>
  <si>
    <t>Molothrus</t>
  </si>
  <si>
    <t>pássaro-preto (chopim)</t>
  </si>
  <si>
    <t>Myiozetetes similis</t>
  </si>
  <si>
    <t>bentevizinho-de-penacho-vermelho</t>
  </si>
  <si>
    <t>Pygochelidon cyanoleuca</t>
  </si>
  <si>
    <t>andorinha-pequena-de-casa</t>
  </si>
  <si>
    <t>Athene cunicularia</t>
  </si>
  <si>
    <t>coruja-buraqueira</t>
  </si>
  <si>
    <t>mamangava</t>
  </si>
  <si>
    <t>Lorena/Paula/Pablo/Thalita/Maryane</t>
  </si>
  <si>
    <t>Volatinia jacarina</t>
  </si>
  <si>
    <t>tiziu</t>
  </si>
  <si>
    <t>Rhipsalis lindbergiana</t>
  </si>
  <si>
    <t>cacto-macarrão</t>
  </si>
  <si>
    <t>Passer domesticus</t>
  </si>
  <si>
    <t>pardal</t>
  </si>
  <si>
    <t>Indigofera hirsuta</t>
  </si>
  <si>
    <t>anileira</t>
  </si>
  <si>
    <t>Apis mellifera</t>
  </si>
  <si>
    <t>abelha-do-mel</t>
  </si>
  <si>
    <t>Angiosperma</t>
  </si>
  <si>
    <t>planta</t>
  </si>
  <si>
    <t>Araneae</t>
  </si>
  <si>
    <t>aranha</t>
  </si>
  <si>
    <t>Leucaena leucocephala</t>
  </si>
  <si>
    <t>leucena</t>
  </si>
  <si>
    <t>Acromyrmex</t>
  </si>
  <si>
    <t>saúva</t>
  </si>
  <si>
    <t>Gomphrena celosioides</t>
  </si>
  <si>
    <t>perpétua-branca</t>
  </si>
  <si>
    <t>Asiopus minimus</t>
  </si>
  <si>
    <t>tenébrio</t>
  </si>
  <si>
    <t>Macroptilium atropurpureum</t>
  </si>
  <si>
    <t>feijão-de-pombo</t>
  </si>
  <si>
    <t>Hemiargus hanno</t>
  </si>
  <si>
    <t>borboleta-azulzinha-do-trevo</t>
  </si>
  <si>
    <t>Emilia sonchifolia</t>
  </si>
  <si>
    <t>serralhinha</t>
  </si>
  <si>
    <t>Araneidae</t>
  </si>
  <si>
    <t>aranha-orbitelar</t>
  </si>
  <si>
    <t>Struthanthus flexicaulis</t>
  </si>
  <si>
    <t>erva-de-passarinho</t>
  </si>
  <si>
    <t>Panicum maximum</t>
  </si>
  <si>
    <t>capim-colonião</t>
  </si>
  <si>
    <t>Ectatomma permagnum</t>
  </si>
  <si>
    <t>Youngia japonica</t>
  </si>
  <si>
    <t>barba-de-falcão</t>
  </si>
  <si>
    <t>Lantana camara</t>
  </si>
  <si>
    <t>lantana</t>
  </si>
  <si>
    <t>Ruellia paniculata</t>
  </si>
  <si>
    <t>ruélia</t>
  </si>
  <si>
    <t>Portulaca oleracea</t>
  </si>
  <si>
    <t>beldroega</t>
  </si>
  <si>
    <t>caruru-manso</t>
  </si>
  <si>
    <t>Sonchus oleraceus</t>
  </si>
  <si>
    <t>serralha</t>
  </si>
  <si>
    <t>Solanum americanum</t>
  </si>
  <si>
    <t>maria-preta</t>
  </si>
  <si>
    <t>Palpada</t>
  </si>
  <si>
    <t>mosca-da-flor</t>
  </si>
  <si>
    <t>Cyanthillium cinereum</t>
  </si>
  <si>
    <t>emília</t>
  </si>
  <si>
    <t>Pepsis</t>
  </si>
  <si>
    <t>vespa-cavalo-do-cão</t>
  </si>
  <si>
    <t>Bidens pilosa</t>
  </si>
  <si>
    <t>picão-preto</t>
  </si>
  <si>
    <t>suzana-dos-olhos-negros</t>
  </si>
  <si>
    <t>Galinsoga parviflora</t>
  </si>
  <si>
    <t>picão-branco</t>
  </si>
  <si>
    <t>Lepidium virginicum</t>
  </si>
  <si>
    <t>mastruz</t>
  </si>
  <si>
    <t>Taraxacum officinale</t>
  </si>
  <si>
    <t>dente-de-leão</t>
  </si>
  <si>
    <t>Augochlora aurifera</t>
  </si>
  <si>
    <t>abelha-do-suor</t>
  </si>
  <si>
    <t>Setaria parviflora</t>
  </si>
  <si>
    <t>capim-rabo-de-raposa</t>
  </si>
  <si>
    <t>Phyllanthus tenellus</t>
  </si>
  <si>
    <t>quebra-pedra</t>
  </si>
  <si>
    <t>Drymaria cordata</t>
  </si>
  <si>
    <t>orelha-de-rato</t>
  </si>
  <si>
    <t>Ascia monuste</t>
  </si>
  <si>
    <t>borboleta-da-couve</t>
  </si>
  <si>
    <t>Cycloneda sanguinea</t>
  </si>
  <si>
    <t>joaninha-sem-pintas</t>
  </si>
  <si>
    <t>Richardia brasiliensis</t>
  </si>
  <si>
    <t>poaia-branca</t>
  </si>
  <si>
    <t>Alysicarpus vaginalis</t>
  </si>
  <si>
    <t>trevo de alice</t>
  </si>
  <si>
    <t>Disonycha spilotrachela</t>
  </si>
  <si>
    <t>besouro</t>
  </si>
  <si>
    <t>Machetornis rixosa</t>
  </si>
  <si>
    <t>suiriri-cavaleiro</t>
  </si>
  <si>
    <t>Sarcophaga</t>
  </si>
  <si>
    <t>mosca-varejeira</t>
  </si>
  <si>
    <t>Nannotrigona testaceicornes</t>
  </si>
  <si>
    <t>abelha-iraí</t>
  </si>
  <si>
    <t>Lycosidae</t>
  </si>
  <si>
    <t>aranha-lobo</t>
  </si>
  <si>
    <t>Salticidae</t>
  </si>
  <si>
    <t>aranha-papa-mosca</t>
  </si>
  <si>
    <t>Augochlora</t>
  </si>
  <si>
    <t>Lorena/Gabriel/Clarisse/Pablo/Letícia/Maryane</t>
  </si>
  <si>
    <t>chanana</t>
  </si>
  <si>
    <t>Atta sexdens</t>
  </si>
  <si>
    <t>saúva-limão</t>
  </si>
  <si>
    <t>Leucauge argyra</t>
  </si>
  <si>
    <t>aranha-de-mandíbula-longa</t>
  </si>
  <si>
    <t>Schinus terebinthifolia</t>
  </si>
  <si>
    <t>aroeira</t>
  </si>
  <si>
    <t>formiga-de-fogo</t>
  </si>
  <si>
    <t>Aconophorini</t>
  </si>
  <si>
    <t>soldadinho</t>
  </si>
  <si>
    <t>Estrilda astrid</t>
  </si>
  <si>
    <t>bico-de-lacre</t>
  </si>
  <si>
    <t>Amaranthus spinosus</t>
  </si>
  <si>
    <t>caruru-de-espinho</t>
  </si>
  <si>
    <t>Rivina humilis</t>
  </si>
  <si>
    <t>baga-de-sangue</t>
  </si>
  <si>
    <t>Hamadryas feronia</t>
  </si>
  <si>
    <t>borboleta-estaladeira</t>
  </si>
  <si>
    <t>Tabernaemontana catharinensis</t>
  </si>
  <si>
    <t>jasmim-pipoca</t>
  </si>
  <si>
    <t>Eupsittula aurea</t>
  </si>
  <si>
    <t>periquito-rei</t>
  </si>
  <si>
    <t>borboleta-olho-de-pavão-diurno</t>
  </si>
  <si>
    <t>Columbia picui</t>
  </si>
  <si>
    <t>Atta</t>
  </si>
  <si>
    <t>borboleta-de-couve</t>
  </si>
  <si>
    <t>Carcara plancus</t>
  </si>
  <si>
    <t>Anteos menippe</t>
  </si>
  <si>
    <t>ponto-de-laranja</t>
  </si>
  <si>
    <t>Patagioenas picaruzo</t>
  </si>
  <si>
    <t>Isoptera</t>
  </si>
  <si>
    <t>Machertonis rixosa</t>
  </si>
  <si>
    <t>Danaus plexippus</t>
  </si>
  <si>
    <t>monarca</t>
  </si>
  <si>
    <t>Papilio thoas</t>
  </si>
  <si>
    <t>caixão-de-defunto</t>
  </si>
  <si>
    <t>Anthophila</t>
  </si>
  <si>
    <t>abelha</t>
  </si>
  <si>
    <t>Lorena/Pablo/Gabriel/Paula/Thalita</t>
  </si>
  <si>
    <t>Desmodium incanum</t>
  </si>
  <si>
    <t>pega-pega</t>
  </si>
  <si>
    <t>Boerhavia diffusa</t>
  </si>
  <si>
    <t>erva-tostão</t>
  </si>
  <si>
    <t>Emillia fosbergii</t>
  </si>
  <si>
    <t>Sida</t>
  </si>
  <si>
    <t>malva</t>
  </si>
  <si>
    <t>Chamaecrista rotundifolia</t>
  </si>
  <si>
    <t>alfafa-nativa</t>
  </si>
  <si>
    <t>Brachiaria mutica</t>
  </si>
  <si>
    <t>capim-angola</t>
  </si>
  <si>
    <t>Tyrannus savana</t>
  </si>
  <si>
    <t>tesourinha</t>
  </si>
  <si>
    <t>Alternanthera ficoidea</t>
  </si>
  <si>
    <t>quebra-panela</t>
  </si>
  <si>
    <t>Neoponera</t>
  </si>
  <si>
    <t>Formicinae</t>
  </si>
  <si>
    <t>Mimus saturninus</t>
  </si>
  <si>
    <t>sabiá-do-campo</t>
  </si>
  <si>
    <t>Rupornis magnirostris</t>
  </si>
  <si>
    <t>gavião-carijó</t>
  </si>
  <si>
    <t>Dorymyrmex</t>
  </si>
  <si>
    <t>Neoponera foetida</t>
  </si>
  <si>
    <t>caruru-de-macha</t>
  </si>
  <si>
    <t>poaia branca</t>
  </si>
  <si>
    <t>Polistes</t>
  </si>
  <si>
    <t>Stenammini</t>
  </si>
  <si>
    <t>carrapicho-beiço-de-boi</t>
  </si>
  <si>
    <t>Pseudomyrmex</t>
  </si>
  <si>
    <t>maria-magra</t>
  </si>
  <si>
    <t>Setophaga pitiayumi</t>
  </si>
  <si>
    <t>mariquita</t>
  </si>
  <si>
    <t>Psidium guajava</t>
  </si>
  <si>
    <t>goiaba</t>
  </si>
  <si>
    <t>serralinha</t>
  </si>
  <si>
    <t>Bulimulus tenuissimus</t>
  </si>
  <si>
    <t>caracol-fantasma</t>
  </si>
  <si>
    <t>Oxalis barrelieri</t>
  </si>
  <si>
    <t>azedinha</t>
  </si>
  <si>
    <t>Triplaris americana</t>
  </si>
  <si>
    <t>pau-formiga</t>
  </si>
  <si>
    <t>Anisoptera</t>
  </si>
  <si>
    <t>libélula</t>
  </si>
  <si>
    <t>Tetragonisca angustula</t>
  </si>
  <si>
    <t>jataí-amarela</t>
  </si>
  <si>
    <t>Formicinea</t>
  </si>
  <si>
    <t>Varronia curassavica</t>
  </si>
  <si>
    <t>erva-baleeira</t>
  </si>
  <si>
    <t>Cissus verticillata</t>
  </si>
  <si>
    <t>planta-insulina</t>
  </si>
  <si>
    <t>Trianthema portulacastrum</t>
  </si>
  <si>
    <t>beldroega-do-deserto</t>
  </si>
  <si>
    <t>Ectatomma</t>
  </si>
  <si>
    <t xml:space="preserve">formiga preta </t>
  </si>
  <si>
    <t>Geometridae</t>
  </si>
  <si>
    <t>lagarta</t>
  </si>
  <si>
    <t>Lorena/Pablo/Gabriel/Clarisse</t>
  </si>
  <si>
    <t>Trochosa</t>
  </si>
  <si>
    <t>Chilopoda</t>
  </si>
  <si>
    <t>centopeia</t>
  </si>
  <si>
    <t>Caelifera</t>
  </si>
  <si>
    <t>gafanhoto</t>
  </si>
  <si>
    <t>Cratomorphus</t>
  </si>
  <si>
    <t>vagalume</t>
  </si>
  <si>
    <t>Teminius</t>
  </si>
  <si>
    <t>formiga-preta</t>
  </si>
  <si>
    <t>Crepis capillaris</t>
  </si>
  <si>
    <t>Episyrphus balteatus</t>
  </si>
  <si>
    <t>Subulina octona</t>
  </si>
  <si>
    <t>caracol-de-jardim</t>
  </si>
  <si>
    <t>Desmodium adscendens</t>
  </si>
  <si>
    <t>Trigona snpinipes</t>
  </si>
  <si>
    <t>Digitaria insularis</t>
  </si>
  <si>
    <t>capim-amargoso</t>
  </si>
  <si>
    <t>Condylostylus longicornis</t>
  </si>
  <si>
    <t>mosca-de-pernas-longas</t>
  </si>
  <si>
    <t>Leonurus sibiricus</t>
  </si>
  <si>
    <t>macae</t>
  </si>
  <si>
    <t>Xyleus</t>
  </si>
  <si>
    <t>Oxyloma</t>
  </si>
  <si>
    <t>caracol</t>
  </si>
  <si>
    <t>Aetalion reticulatum</t>
  </si>
  <si>
    <t>cigarrinha-dos-pomares</t>
  </si>
  <si>
    <t>largatixa-doméstica</t>
  </si>
  <si>
    <t>Indigofera</t>
  </si>
  <si>
    <t>mentrasto</t>
  </si>
  <si>
    <t>Dysphania ambrosioides</t>
  </si>
  <si>
    <t>Ceratopogonidae</t>
  </si>
  <si>
    <t>maruim</t>
  </si>
  <si>
    <t>Bulimulus</t>
  </si>
  <si>
    <t>caracol-terrestre</t>
  </si>
  <si>
    <t>Pteris</t>
  </si>
  <si>
    <t>samambaia</t>
  </si>
  <si>
    <t>Cyanerpes cyaneus</t>
  </si>
  <si>
    <t>saíra-beija-flor</t>
  </si>
  <si>
    <t>Mechanitis polymnia</t>
  </si>
  <si>
    <t>borboleta-asa-de-tigre</t>
  </si>
  <si>
    <t>Centrosema brasilianum</t>
  </si>
  <si>
    <t>jequitirana</t>
  </si>
  <si>
    <t>Indigofera suffruticosa</t>
  </si>
  <si>
    <t>Notiochelidon cyanoleuca</t>
  </si>
  <si>
    <t>Pablo/Gabriel/Clarisse/Paula/Thalita</t>
  </si>
  <si>
    <t>Ramphastidae</t>
  </si>
  <si>
    <t>tucano</t>
  </si>
  <si>
    <t>Alternanthera philoxeroides</t>
  </si>
  <si>
    <t>erva-jacaré</t>
  </si>
  <si>
    <t>mariposa-branca</t>
  </si>
  <si>
    <t>Ruelia blechum</t>
  </si>
  <si>
    <t>Furrnarius rufus</t>
  </si>
  <si>
    <t>maria-boba</t>
  </si>
  <si>
    <t>Euphorbia dioeca</t>
  </si>
  <si>
    <t>uva-do-mato</t>
  </si>
  <si>
    <t>Solanum diphyllum</t>
  </si>
  <si>
    <t>laranjinha-do-mato</t>
  </si>
  <si>
    <t>Eleusine indica</t>
  </si>
  <si>
    <t>capim-pé-de-galinha</t>
  </si>
  <si>
    <t>Trema micrantha</t>
  </si>
  <si>
    <t>periquiteira</t>
  </si>
  <si>
    <t>Sida acuta</t>
  </si>
  <si>
    <t>reloginho</t>
  </si>
  <si>
    <t>Turdus rufiventris</t>
  </si>
  <si>
    <t>sabiá-laranjeira</t>
  </si>
  <si>
    <t>maria-café</t>
  </si>
  <si>
    <t>Malvaceae</t>
  </si>
  <si>
    <t>Ruellia</t>
  </si>
  <si>
    <t>Cathartes burrovianus</t>
  </si>
  <si>
    <t>urubu-de-cabeça-amarela</t>
  </si>
  <si>
    <t>erva-de-pássaro</t>
  </si>
  <si>
    <t>Camptostoma obsoletum</t>
  </si>
  <si>
    <t>risadinha</t>
  </si>
  <si>
    <t>Euphorbia prostrata</t>
  </si>
  <si>
    <t>quebra-pedra-rasteira</t>
  </si>
  <si>
    <t>Rostrhamus sociabilis</t>
  </si>
  <si>
    <t>gavião-caramujeiro</t>
  </si>
  <si>
    <t>Pachyramphus polychopterus</t>
  </si>
  <si>
    <t>caneleiro-preto</t>
  </si>
  <si>
    <t>Cenchrus echinatus</t>
  </si>
  <si>
    <t>carrapicho-de-espinho</t>
  </si>
  <si>
    <t>Oxidus gracilis</t>
  </si>
  <si>
    <t>mil-pés-das-floreiras</t>
  </si>
  <si>
    <t>Copestylum sexmaculatum</t>
  </si>
  <si>
    <t>mosca</t>
  </si>
  <si>
    <t>Sarcophoga</t>
  </si>
  <si>
    <t>Eclipta prostrata</t>
  </si>
  <si>
    <t>falsa-margarida</t>
  </si>
  <si>
    <t>Brachiaria decumbens</t>
  </si>
  <si>
    <t>capim-braquiária</t>
  </si>
  <si>
    <t>Lorena/Gabriel/Pablo/Thalita</t>
  </si>
  <si>
    <t>cogumelos</t>
  </si>
  <si>
    <t>cambacica</t>
  </si>
  <si>
    <t>Orphulella punctata</t>
  </si>
  <si>
    <t>Cleome aculeata</t>
  </si>
  <si>
    <t xml:space="preserve">cleome </t>
  </si>
  <si>
    <t>guaracava</t>
  </si>
  <si>
    <t>sábia-barranco</t>
  </si>
  <si>
    <t>chupim</t>
  </si>
  <si>
    <t>Pitangus suphuratus</t>
  </si>
  <si>
    <t>Synedrella nodiflora</t>
  </si>
  <si>
    <t>barbatana</t>
  </si>
  <si>
    <t>Mirabilis jalapa</t>
  </si>
  <si>
    <t>maravilha</t>
  </si>
  <si>
    <t>Aedes aegypti</t>
  </si>
  <si>
    <t>mosquito-da-dengue</t>
  </si>
  <si>
    <t>aroeira-vermelha</t>
  </si>
  <si>
    <t>Evolvulus nummularius</t>
  </si>
  <si>
    <t>solanácea</t>
  </si>
  <si>
    <t>Drosophila melanogaster</t>
  </si>
  <si>
    <t>mosca-da-fruta</t>
  </si>
  <si>
    <t>capim-carrapicho</t>
  </si>
  <si>
    <t>Fungi</t>
  </si>
  <si>
    <t>Coccinellidae</t>
  </si>
  <si>
    <t>joaninha sp1</t>
  </si>
  <si>
    <t>Diptera</t>
  </si>
  <si>
    <t>mosquinha-preta</t>
  </si>
  <si>
    <t>Psathyrellaceae</t>
  </si>
  <si>
    <t>Plantago major</t>
  </si>
  <si>
    <t>trançagem</t>
  </si>
  <si>
    <t>Moringa oleifera</t>
  </si>
  <si>
    <t>moringa</t>
  </si>
  <si>
    <t>Euphorbia heterophylla</t>
  </si>
  <si>
    <t>amendoim-bravo</t>
  </si>
  <si>
    <t>cleome</t>
  </si>
  <si>
    <t>Odonata</t>
  </si>
  <si>
    <t>libélula-pequena (foto)</t>
  </si>
  <si>
    <t xml:space="preserve"> Lorena/Gabriel/Pablo/Thalita</t>
  </si>
  <si>
    <t>pérpetua-rosa</t>
  </si>
  <si>
    <t>Pilea microphylla</t>
  </si>
  <si>
    <t>brilhantina</t>
  </si>
  <si>
    <t>bicho catingoso</t>
  </si>
  <si>
    <t>Syngonium podophyllum</t>
  </si>
  <si>
    <t>singonio</t>
  </si>
  <si>
    <t>Heliconius erato phylllis</t>
  </si>
  <si>
    <t>borboleta-castanha-vermelha</t>
  </si>
  <si>
    <t>Erythemis vesiculosa</t>
  </si>
  <si>
    <t>libélula-verde</t>
  </si>
  <si>
    <t>Ricinus communis</t>
  </si>
  <si>
    <t>mamona</t>
  </si>
  <si>
    <t>Chilocorus nigritus</t>
  </si>
  <si>
    <t>joaninha preta</t>
  </si>
  <si>
    <t>Cicadidae</t>
  </si>
  <si>
    <t>maria-pretinha</t>
  </si>
  <si>
    <t>cogumelo 2</t>
  </si>
  <si>
    <t>Talinum paniculatum</t>
  </si>
  <si>
    <t>beldroegão</t>
  </si>
  <si>
    <t>Berytidae</t>
  </si>
  <si>
    <t>percevejo-pernudo</t>
  </si>
  <si>
    <t>gongolo</t>
  </si>
  <si>
    <t>Megarynchus pitangua</t>
  </si>
  <si>
    <t>nei-nei</t>
  </si>
  <si>
    <t>Syzygium cumini</t>
  </si>
  <si>
    <t>jamelão</t>
  </si>
  <si>
    <t>Strymon</t>
  </si>
  <si>
    <t>borboletinha que mexe a asinha</t>
  </si>
  <si>
    <t>Baccharis dracunculifolia</t>
  </si>
  <si>
    <t>vassoura</t>
  </si>
  <si>
    <t>Althernantera</t>
  </si>
  <si>
    <t>cogumelo 3</t>
  </si>
  <si>
    <t>sanhaço-cinzento</t>
  </si>
  <si>
    <t>Polistes lanio</t>
  </si>
  <si>
    <t>Chrysothrix xanthina</t>
  </si>
  <si>
    <t>liquen amarelo</t>
  </si>
  <si>
    <t>Alpaida versicolor</t>
  </si>
  <si>
    <t>aranhas-lobo</t>
  </si>
  <si>
    <t>erva-azedinha</t>
  </si>
  <si>
    <t>saira-chapéu-preto</t>
  </si>
  <si>
    <t>Ptagioenas picazuro</t>
  </si>
  <si>
    <t>Piper tuberculatum</t>
  </si>
  <si>
    <t>piper</t>
  </si>
  <si>
    <t>Phoebis marcellina</t>
  </si>
  <si>
    <t>borboleta-amarela</t>
  </si>
  <si>
    <t>laranjinha</t>
  </si>
  <si>
    <t>Solanum</t>
  </si>
  <si>
    <t xml:space="preserve">Daphnia </t>
  </si>
  <si>
    <t>pulga-d'água</t>
  </si>
  <si>
    <t>Eulimnadia</t>
  </si>
  <si>
    <t>Empoasca kraemeri</t>
  </si>
  <si>
    <t>cigarrinha-verde</t>
  </si>
  <si>
    <t>joaninha sp2</t>
  </si>
  <si>
    <t>casaca-de-couro-de-lama</t>
  </si>
  <si>
    <t>Termitoidea</t>
  </si>
  <si>
    <t>Aratinga aurea</t>
  </si>
  <si>
    <t>O MONITORAMENTO FOI REALIZADO APÓS DIAS CHUVOSOS, ALÉM DA UM UENF ESTAVA PASSANDO POR LIMPEZA. FOI OBSERVADO GRANDE QUANTIDADE DE COGUMELOS, BORBOLETAS, ANTES NÃO VISTO</t>
  </si>
  <si>
    <t>Lorena/Gabriel/Pablo/Clarisse/Hugo</t>
  </si>
  <si>
    <t>vassourinha</t>
  </si>
  <si>
    <t>Heliocarpus terebinthinaceus</t>
  </si>
  <si>
    <t>heliocarpo</t>
  </si>
  <si>
    <t>Emilia fosbergii</t>
  </si>
  <si>
    <t>falsa-serralha</t>
  </si>
  <si>
    <t>Malvacae</t>
  </si>
  <si>
    <t>Trametes sanguinea</t>
  </si>
  <si>
    <t>orelha-de-pau</t>
  </si>
  <si>
    <t>Daphnia sp.</t>
  </si>
  <si>
    <t>pulga-d'agua</t>
  </si>
  <si>
    <t>Elaenia spectabilis</t>
  </si>
  <si>
    <t>guaracava-grande</t>
  </si>
  <si>
    <t>Dytiscidae</t>
  </si>
  <si>
    <t>besouro-d'água</t>
  </si>
  <si>
    <t xml:space="preserve">Lucilia </t>
  </si>
  <si>
    <t>Boehmeria cylindrica</t>
  </si>
  <si>
    <t>falsa-urtiga</t>
  </si>
  <si>
    <t>Euphorbia hyssopifolia</t>
  </si>
  <si>
    <t>maria-leite</t>
  </si>
  <si>
    <t xml:space="preserve">Atta </t>
  </si>
  <si>
    <t>Murraya paniculata</t>
  </si>
  <si>
    <t>murta</t>
  </si>
  <si>
    <t xml:space="preserve">Gryne </t>
  </si>
  <si>
    <t>opilião</t>
  </si>
  <si>
    <t>Juliformia sp.</t>
  </si>
  <si>
    <t>tatuzinho-de-jardim</t>
  </si>
  <si>
    <t>Ectatomma sp.</t>
  </si>
  <si>
    <t>Agaricus sp.</t>
  </si>
  <si>
    <t>Euphonia violacea</t>
  </si>
  <si>
    <t>gaturamo-verdadeiro</t>
  </si>
  <si>
    <t xml:space="preserve">Cucumis </t>
  </si>
  <si>
    <t>cucurbitácea</t>
  </si>
  <si>
    <t>Dysdercus sp.</t>
  </si>
  <si>
    <t>Neolochmaea dilatipennis</t>
  </si>
  <si>
    <t>Lentinus crinitus</t>
  </si>
  <si>
    <t>Chamaecrista nictitans</t>
  </si>
  <si>
    <t>falsa-dormideira</t>
  </si>
  <si>
    <t>erva-azeda</t>
  </si>
  <si>
    <t>Pannus strigellus</t>
  </si>
  <si>
    <t>Euphorbia graminea</t>
  </si>
  <si>
    <t>ponta-de-flecha</t>
  </si>
  <si>
    <t>Chilucrus nigritus</t>
  </si>
  <si>
    <t>joaninha</t>
  </si>
  <si>
    <t>Egretta thula</t>
  </si>
  <si>
    <t>garça-branca-pequena</t>
  </si>
  <si>
    <t>manilha****</t>
  </si>
  <si>
    <t>Tetraginisca angustula</t>
  </si>
  <si>
    <t>jataí</t>
  </si>
  <si>
    <t>susana-de-olhos-negros</t>
  </si>
  <si>
    <t>erva-de-Jacaré</t>
  </si>
  <si>
    <t>Palpada mexicana</t>
  </si>
  <si>
    <t>mosca-das-flores</t>
  </si>
  <si>
    <t>Burnsius orcus</t>
  </si>
  <si>
    <t>borboleta-plutão</t>
  </si>
  <si>
    <t>Abrachis flavolineata</t>
  </si>
  <si>
    <t>Orphurella punctata</t>
  </si>
  <si>
    <t>Oxalis latifolia</t>
  </si>
  <si>
    <t>trevo</t>
  </si>
  <si>
    <t>madona</t>
  </si>
  <si>
    <t>Ipomoea sp.</t>
  </si>
  <si>
    <t>Condylostylus sp.</t>
  </si>
  <si>
    <t>mosquinha-verde-caçadora</t>
  </si>
  <si>
    <t>Lentinus sp.</t>
  </si>
  <si>
    <t>Heliconius erato phillys</t>
  </si>
  <si>
    <t>erva-macaé</t>
  </si>
  <si>
    <t>Solenopsis sp.</t>
  </si>
  <si>
    <t>Zonotrichia capensis</t>
  </si>
  <si>
    <t>tico-tico</t>
  </si>
  <si>
    <t>pombo-doméstica</t>
  </si>
  <si>
    <t>Fabaceae</t>
  </si>
  <si>
    <t>leguminosas</t>
  </si>
  <si>
    <t>Lorena/Gabriel/Pablo/Clarisse/Hugo/Paula/Thalita/Giovana</t>
  </si>
  <si>
    <t xml:space="preserve">Eleocharis </t>
  </si>
  <si>
    <t>junco</t>
  </si>
  <si>
    <t>Macroptilium atropurpereum</t>
  </si>
  <si>
    <t>Tropidurus torquato</t>
  </si>
  <si>
    <t>Guazuma ulmifolia</t>
  </si>
  <si>
    <t>perequiteira</t>
  </si>
  <si>
    <t>Hamadryas amphionome</t>
  </si>
  <si>
    <t>assenta-pau</t>
  </si>
  <si>
    <t>Zornia latifolia</t>
  </si>
  <si>
    <t>arrozinho-do-campo</t>
  </si>
  <si>
    <t>maria-boba / borboleta-tigre</t>
  </si>
  <si>
    <t xml:space="preserve">carrapicho </t>
  </si>
  <si>
    <t>orphulella punctata</t>
  </si>
  <si>
    <t>Disonycha</t>
  </si>
  <si>
    <t>Lagria villosa</t>
  </si>
  <si>
    <t>bicho-capixaba</t>
  </si>
  <si>
    <t>Columbina squammata</t>
  </si>
  <si>
    <t>fogo-apagou</t>
  </si>
  <si>
    <t>Euglossa</t>
  </si>
  <si>
    <t>abelha-verde</t>
  </si>
  <si>
    <t>Fidicina</t>
  </si>
  <si>
    <t>beldroega-de-deseto</t>
  </si>
  <si>
    <t>Didelphis albiventris</t>
  </si>
  <si>
    <t>gambá</t>
  </si>
  <si>
    <t>Ortoptera</t>
  </si>
  <si>
    <t>Sarasinula plebeia</t>
  </si>
  <si>
    <t>lesma-do-feijão</t>
  </si>
  <si>
    <t>tatuzinho-de-jardim-de-jardim sp2</t>
  </si>
  <si>
    <t>Gryne</t>
  </si>
  <si>
    <t>Lycosinae</t>
  </si>
  <si>
    <t>carrapicho sp1</t>
  </si>
  <si>
    <t>Alternanthera</t>
  </si>
  <si>
    <t>Ectatomma tuberculatum</t>
  </si>
  <si>
    <t>Daphnia</t>
  </si>
  <si>
    <t>Acacia mangium</t>
  </si>
  <si>
    <t>acácia</t>
  </si>
  <si>
    <t>Brachygastra lecheguana</t>
  </si>
  <si>
    <t>enxu-verdadeiro</t>
  </si>
  <si>
    <t>Centris</t>
  </si>
  <si>
    <t>Crotalaria spectabilis</t>
  </si>
  <si>
    <t>riso-de-cascavel</t>
  </si>
  <si>
    <t>Heliocarpus</t>
  </si>
  <si>
    <t>Angyospermae</t>
  </si>
  <si>
    <t xml:space="preserve">Rhipsalis </t>
  </si>
  <si>
    <t>Flavopunctelia soredica</t>
  </si>
  <si>
    <t>liquén-folioso</t>
  </si>
  <si>
    <t/>
  </si>
  <si>
    <t xml:space="preserve">NESSE DIA NÃO TEVE MONITORAMENTO POR CONTA DE FORTES CHUVAS </t>
  </si>
  <si>
    <t>MONITORAMENTO REALIZADO PÓS CHUVA, DIA NUBLADO, OBSERVADO POUCA DIVERSIDADE DE FAUNA, PRINCIPALMENTE PASSÁROS, PORÉM UMA GRANDE VARIEDADE DE FLORA</t>
  </si>
  <si>
    <t>Lorena/Gabriel/Thalita/Pablo</t>
  </si>
  <si>
    <t>liquen-folioso</t>
  </si>
  <si>
    <t>Dirinaria</t>
  </si>
  <si>
    <t>liquen-crostoso</t>
  </si>
  <si>
    <t>MImosa pudica</t>
  </si>
  <si>
    <t>casaca-de-couro</t>
  </si>
  <si>
    <t>Asemeia violacea</t>
  </si>
  <si>
    <t>plante de flor rosa</t>
  </si>
  <si>
    <t>Urochloa</t>
  </si>
  <si>
    <t>capim</t>
  </si>
  <si>
    <t>Cucurbitaceae</t>
  </si>
  <si>
    <t>cucurbitáceas</t>
  </si>
  <si>
    <t>piper**</t>
  </si>
  <si>
    <t>Citrullus lanatus</t>
  </si>
  <si>
    <t>melancia</t>
  </si>
  <si>
    <t>Alysicarpus</t>
  </si>
  <si>
    <t>Anileira</t>
  </si>
  <si>
    <t>Aranae</t>
  </si>
  <si>
    <t>joao-de-barro</t>
  </si>
  <si>
    <t>Chloris virgata</t>
  </si>
  <si>
    <t>capim-pavão</t>
  </si>
  <si>
    <t>Portulaca</t>
  </si>
  <si>
    <t>arroizinho do campo</t>
  </si>
  <si>
    <t>Melothria cucumis</t>
  </si>
  <si>
    <t>pepino-do-mato</t>
  </si>
  <si>
    <t>Acalypha</t>
  </si>
  <si>
    <t>acalifa</t>
  </si>
  <si>
    <t>Condylostylus</t>
  </si>
  <si>
    <t>liquén-crostoso</t>
  </si>
  <si>
    <t>mosca preta ***</t>
  </si>
  <si>
    <t>Malva</t>
  </si>
  <si>
    <t>Polites vibex</t>
  </si>
  <si>
    <t>borboleta-dourada</t>
  </si>
  <si>
    <t>Quesada gigas</t>
  </si>
  <si>
    <t>cigarra-gigante</t>
  </si>
  <si>
    <t>Usnea</t>
  </si>
  <si>
    <t>barba de velho</t>
  </si>
  <si>
    <t>Distimake cissoides</t>
  </si>
  <si>
    <t>Scinax fuscovarius</t>
  </si>
  <si>
    <t>perereca-de-banheiro (primeiro anuro)</t>
  </si>
  <si>
    <t xml:space="preserve">bicho-capixaba </t>
  </si>
  <si>
    <t>Cyperus esculentus</t>
  </si>
  <si>
    <t>tiriricão</t>
  </si>
  <si>
    <t xml:space="preserve">quebra-pedra </t>
  </si>
  <si>
    <t>liquén folioso</t>
  </si>
  <si>
    <t xml:space="preserve">liquén-crostoso </t>
  </si>
  <si>
    <t>carrapicho 1</t>
  </si>
  <si>
    <t xml:space="preserve">sanhaço-do-coqueiro </t>
  </si>
  <si>
    <t xml:space="preserve">maria-pretinha </t>
  </si>
  <si>
    <t xml:space="preserve">trevo-azedinho </t>
  </si>
  <si>
    <t>Alternanthera tenella</t>
  </si>
  <si>
    <t>espinafre-do-mato</t>
  </si>
  <si>
    <t xml:space="preserve">caruru-de-mancha </t>
  </si>
  <si>
    <t xml:space="preserve">uva-do-mato </t>
  </si>
  <si>
    <t xml:space="preserve">asa-branca </t>
  </si>
  <si>
    <t xml:space="preserve">losna-branca </t>
  </si>
  <si>
    <t xml:space="preserve">tatuzinho-de-jardim </t>
  </si>
  <si>
    <t>Amynthas gracilis</t>
  </si>
  <si>
    <t>minhoca-puladeira</t>
  </si>
  <si>
    <t xml:space="preserve">pomba-de-bando </t>
  </si>
  <si>
    <t xml:space="preserve">cravo-do-mato </t>
  </si>
  <si>
    <t xml:space="preserve">melão-de-são-caetano </t>
  </si>
  <si>
    <t xml:space="preserve">orelha-de-rato </t>
  </si>
  <si>
    <t xml:space="preserve">capim-colonião </t>
  </si>
  <si>
    <t xml:space="preserve">capim-rabo-de-raposa </t>
  </si>
  <si>
    <t xml:space="preserve">suiriri </t>
  </si>
  <si>
    <t xml:space="preserve">cambacica </t>
  </si>
  <si>
    <t>Zephyranthes candida</t>
  </si>
  <si>
    <t>lírio-do-vento / lírio-do-zéfiro</t>
  </si>
  <si>
    <t>Lycianthes asarifolia</t>
  </si>
  <si>
    <t>joá-rasteiro</t>
  </si>
  <si>
    <t xml:space="preserve">borboleta-pavão-branco </t>
  </si>
  <si>
    <t xml:space="preserve">grama-bermuda </t>
  </si>
  <si>
    <t xml:space="preserve">barba-de-falcão </t>
  </si>
  <si>
    <t xml:space="preserve">perpétua-rosa </t>
  </si>
  <si>
    <t>Musca domestica</t>
  </si>
  <si>
    <t>mosca-domestica</t>
  </si>
  <si>
    <t xml:space="preserve">erva-de-santa-luzia </t>
  </si>
  <si>
    <t xml:space="preserve">Mimosa pudica </t>
  </si>
  <si>
    <t xml:space="preserve">dormideira </t>
  </si>
  <si>
    <t>Tiziu</t>
  </si>
  <si>
    <t xml:space="preserve">trapoeraba </t>
  </si>
  <si>
    <t xml:space="preserve">erva-tostão </t>
  </si>
  <si>
    <t>Syngonium podophylum</t>
  </si>
  <si>
    <t>singônio</t>
  </si>
  <si>
    <t>Salvator merianae</t>
  </si>
  <si>
    <t>Teiú-gigante</t>
  </si>
  <si>
    <t xml:space="preserve">guaracava-de-barriga-amarela </t>
  </si>
  <si>
    <t>Ipomea</t>
  </si>
  <si>
    <t xml:space="preserve">ipomea </t>
  </si>
  <si>
    <t>perereca-de-banheiro</t>
  </si>
  <si>
    <t xml:space="preserve">fim-fim </t>
  </si>
  <si>
    <t xml:space="preserve">abelha-do-mel </t>
  </si>
  <si>
    <t xml:space="preserve">falsa-dormideira </t>
  </si>
  <si>
    <t>Leptodactylus fuscus</t>
  </si>
  <si>
    <t xml:space="preserve">rã-assobiadora </t>
  </si>
  <si>
    <t xml:space="preserve">anileira </t>
  </si>
  <si>
    <t xml:space="preserve">maria-leite </t>
  </si>
  <si>
    <t xml:space="preserve">tiririca </t>
  </si>
  <si>
    <t xml:space="preserve">perpétua-branca </t>
  </si>
  <si>
    <t xml:space="preserve">quebra-pedra-rasteira </t>
  </si>
  <si>
    <t xml:space="preserve">vassourinha-de-botão </t>
  </si>
  <si>
    <t xml:space="preserve">bem-te-vi </t>
  </si>
  <si>
    <t xml:space="preserve">rolinha-roxa </t>
  </si>
  <si>
    <t>Schefflera actinophylla</t>
  </si>
  <si>
    <t xml:space="preserve">árvore-guarda-chuva </t>
  </si>
  <si>
    <t xml:space="preserve">poaia-branca </t>
  </si>
  <si>
    <t xml:space="preserve">feijão-de-pombo </t>
  </si>
  <si>
    <t xml:space="preserve">serralinha </t>
  </si>
  <si>
    <t>Pseudelephantopus spicatus</t>
  </si>
  <si>
    <t>planta de flor branca</t>
  </si>
  <si>
    <t xml:space="preserve">capim-amargoso </t>
  </si>
  <si>
    <t xml:space="preserve">erva-baleeira </t>
  </si>
  <si>
    <t>Jatropha gossypiifolia</t>
  </si>
  <si>
    <t>baga-roxa</t>
  </si>
  <si>
    <t xml:space="preserve">vassoura </t>
  </si>
  <si>
    <t xml:space="preserve">erva-de-touro </t>
  </si>
  <si>
    <t xml:space="preserve">ramalina </t>
  </si>
  <si>
    <t xml:space="preserve">pega-pega </t>
  </si>
  <si>
    <t xml:space="preserve">sanhaço-cinzento </t>
  </si>
  <si>
    <t>pombo-domestica</t>
  </si>
  <si>
    <t>Plexippus paykulli</t>
  </si>
  <si>
    <t>aranha-saltadora-pantropical</t>
  </si>
  <si>
    <t>Lorena/Hugo/Gabriel/Thalita/Pablo/Renan</t>
  </si>
  <si>
    <t xml:space="preserve">quiriquiri </t>
  </si>
  <si>
    <t xml:space="preserve">andorinha-do-campo </t>
  </si>
  <si>
    <t xml:space="preserve">pica-pauzinho-barrado </t>
  </si>
  <si>
    <t xml:space="preserve">Usnea </t>
  </si>
  <si>
    <t xml:space="preserve">liquén-folioso </t>
  </si>
  <si>
    <t xml:space="preserve">Neoponera </t>
  </si>
  <si>
    <t xml:space="preserve">pardal </t>
  </si>
  <si>
    <t>gamba</t>
  </si>
  <si>
    <t>Evolvulus</t>
  </si>
  <si>
    <t xml:space="preserve">João-de-barro </t>
  </si>
  <si>
    <t>Ectatomma brunneum</t>
  </si>
  <si>
    <t>formiga preta</t>
  </si>
  <si>
    <t xml:space="preserve">guaracava-grande </t>
  </si>
  <si>
    <t xml:space="preserve">rolinha-picuí </t>
  </si>
  <si>
    <t xml:space="preserve">bico-de-lacre </t>
  </si>
  <si>
    <t xml:space="preserve">mastruz </t>
  </si>
  <si>
    <t xml:space="preserve">erva-macaé </t>
  </si>
  <si>
    <t>Rumex obtusifolius</t>
  </si>
  <si>
    <t>língua-de-vaca</t>
  </si>
  <si>
    <t xml:space="preserve">chupim </t>
  </si>
  <si>
    <t>Exomalopsis</t>
  </si>
  <si>
    <t>tropiduro-comum</t>
  </si>
  <si>
    <t>Leucema leucocephala</t>
  </si>
  <si>
    <t>leocema</t>
  </si>
  <si>
    <t xml:space="preserve">urtiga-mansa </t>
  </si>
  <si>
    <t>Laportea aestuans</t>
  </si>
  <si>
    <t>urtiga-vermelha</t>
  </si>
  <si>
    <t xml:space="preserve">periquito-rei </t>
  </si>
  <si>
    <t xml:space="preserve">capim-braquiária </t>
  </si>
  <si>
    <t>?</t>
  </si>
  <si>
    <t xml:space="preserve">mosquinha pequena que mimetiza abelha </t>
  </si>
  <si>
    <t xml:space="preserve">baga-de-sangue </t>
  </si>
  <si>
    <t xml:space="preserve">erva-de-passarinho </t>
  </si>
  <si>
    <t xml:space="preserve">tiriricão </t>
  </si>
  <si>
    <t xml:space="preserve">camarão-verde </t>
  </si>
  <si>
    <t>árvore-guarda-chuva</t>
  </si>
  <si>
    <t>Coleoptera</t>
  </si>
  <si>
    <t>besouro colorido</t>
  </si>
  <si>
    <t xml:space="preserve">Polybia </t>
  </si>
  <si>
    <t>bimbinha</t>
  </si>
  <si>
    <t>aranha-saltadora</t>
  </si>
  <si>
    <t xml:space="preserve">brilhantina </t>
  </si>
  <si>
    <t xml:space="preserve">tropiduro-comum </t>
  </si>
  <si>
    <t xml:space="preserve">reloginho </t>
  </si>
  <si>
    <t xml:space="preserve">mariquita </t>
  </si>
  <si>
    <t>Oldenlandia corymbosa</t>
  </si>
  <si>
    <t>erva-diamante</t>
  </si>
  <si>
    <t xml:space="preserve">maria-preta </t>
  </si>
  <si>
    <t xml:space="preserve">Acalypha </t>
  </si>
  <si>
    <t xml:space="preserve">leucema </t>
  </si>
  <si>
    <t>Cymaenes tripunctus</t>
  </si>
  <si>
    <t xml:space="preserve">borboleta-de-três-pintas </t>
  </si>
  <si>
    <t xml:space="preserve">picapauzinho-barrado </t>
  </si>
  <si>
    <t xml:space="preserve">figuinha-de-rabo-castanho </t>
  </si>
  <si>
    <t>Trametes cubensis</t>
  </si>
  <si>
    <t xml:space="preserve">orelha-de-pau </t>
  </si>
  <si>
    <t>Pleurotus djamor</t>
  </si>
  <si>
    <t>cogumelo-ostra-rosa</t>
  </si>
  <si>
    <t>capim-braquiaria</t>
  </si>
  <si>
    <t>líbelula</t>
  </si>
  <si>
    <t>libelula</t>
  </si>
  <si>
    <t>pombo-de-bando</t>
  </si>
  <si>
    <t>ninfa de libelula</t>
  </si>
  <si>
    <t xml:space="preserve">Ponto 3 </t>
  </si>
  <si>
    <t xml:space="preserve">Ponto 2 </t>
  </si>
  <si>
    <t xml:space="preserve">Ponto 1 </t>
  </si>
  <si>
    <t>Lorena/Gabriel/Thalita/Pablo/Elliot</t>
  </si>
  <si>
    <t>borboleta-azulzinha</t>
  </si>
  <si>
    <t>Chordeiles acutipennis</t>
  </si>
  <si>
    <t>bacurau-de-asa-fina</t>
  </si>
  <si>
    <t>líquen-crostoso</t>
  </si>
  <si>
    <t>líquen-folioso</t>
  </si>
  <si>
    <t>cupim-do-campo</t>
  </si>
  <si>
    <t>Eleocharis</t>
  </si>
  <si>
    <t>Tachycineta albiventer</t>
  </si>
  <si>
    <t>andorinha-de-rio</t>
  </si>
  <si>
    <t>malvacea</t>
  </si>
  <si>
    <t xml:space="preserve">Alternanthera </t>
  </si>
  <si>
    <t>Nasutitermes</t>
  </si>
  <si>
    <t>formiga-lava-pé / formiga-quente</t>
  </si>
  <si>
    <t>jequitirana-brasileira</t>
  </si>
  <si>
    <t>vasourinha-de-botão</t>
  </si>
  <si>
    <t>formiga-quente / formiga-de-fogo</t>
  </si>
  <si>
    <t>flor rosa</t>
  </si>
  <si>
    <t>mosca-da-fruta / mitinga</t>
  </si>
  <si>
    <t xml:space="preserve">Ponto 4 </t>
  </si>
  <si>
    <t>Lepdoptera</t>
  </si>
  <si>
    <t>Camponotus</t>
  </si>
  <si>
    <t>sauva</t>
  </si>
  <si>
    <t>tenebrio</t>
  </si>
  <si>
    <t>juliforme</t>
  </si>
  <si>
    <t>Ins</t>
  </si>
  <si>
    <t>mosca-branca</t>
  </si>
  <si>
    <t>Orphulella</t>
  </si>
  <si>
    <t>Polybia sericea</t>
  </si>
  <si>
    <t>marimbondo-chiador</t>
  </si>
  <si>
    <t xml:space="preserve">Ponto 6 </t>
  </si>
  <si>
    <t>Chloris barbata</t>
  </si>
  <si>
    <t>Boherveria cylindrica</t>
  </si>
  <si>
    <t>urtiga-mansa</t>
  </si>
  <si>
    <t>leucema</t>
  </si>
  <si>
    <t>Menemerus bivittatus</t>
  </si>
  <si>
    <t>aranha-saltadora-cinza-de-parede</t>
  </si>
  <si>
    <t>borboleta amarela</t>
  </si>
  <si>
    <t>maria-magra (formiga)</t>
  </si>
  <si>
    <t>Thorybes dorantes</t>
  </si>
  <si>
    <t>mariposa-de-cauda-lilás</t>
  </si>
  <si>
    <t xml:space="preserve">Ponto 7 </t>
  </si>
  <si>
    <t>pombo-domestico</t>
  </si>
  <si>
    <t>juliforne</t>
  </si>
  <si>
    <t>Frigga</t>
  </si>
  <si>
    <t>Christella dentata</t>
  </si>
  <si>
    <t>samambaia-rabo-de-gato</t>
  </si>
  <si>
    <t>Euphorbia</t>
  </si>
  <si>
    <t>borboleta-caixão-de-defunto</t>
  </si>
  <si>
    <t>Pepsini</t>
  </si>
  <si>
    <t>vespa-caçadora</t>
  </si>
  <si>
    <t>planta de flor rosa</t>
  </si>
  <si>
    <t xml:space="preserve">lingua-de-vaca </t>
  </si>
  <si>
    <t>Desmodium tortuosum</t>
  </si>
  <si>
    <t>Oryza sativa</t>
  </si>
  <si>
    <t>capim-arroz</t>
  </si>
  <si>
    <t>caruru-de-espinhos</t>
  </si>
  <si>
    <t>Leucaena</t>
  </si>
  <si>
    <t>libelula-verde</t>
  </si>
  <si>
    <t>Portulaca halimoides</t>
  </si>
  <si>
    <t>beldroega-de-seda</t>
  </si>
  <si>
    <t>quiri-quiri</t>
  </si>
  <si>
    <t>barba-de-velho</t>
  </si>
  <si>
    <t>Trametes</t>
  </si>
  <si>
    <t>Gabriel/Thalita/Pablo</t>
  </si>
  <si>
    <t>Colaptes campestris</t>
  </si>
  <si>
    <t>pica-pau-do-campo</t>
  </si>
  <si>
    <t>líquen folioso</t>
  </si>
  <si>
    <t>líquen crostoso</t>
  </si>
  <si>
    <t>Neoponera feotida</t>
  </si>
  <si>
    <t>Odontomachus</t>
  </si>
  <si>
    <t>formiga-de-estalo</t>
  </si>
  <si>
    <t>Asteraceae</t>
  </si>
  <si>
    <t>Orphulela punctata</t>
  </si>
  <si>
    <t xml:space="preserve">Ponto 8 </t>
  </si>
  <si>
    <t>Tillandisia recurvata</t>
  </si>
  <si>
    <t>cravo-do-mato-sp2</t>
  </si>
  <si>
    <t>gota de orvalho</t>
  </si>
  <si>
    <t>Lucilia</t>
  </si>
  <si>
    <t>Uroleucon</t>
  </si>
  <si>
    <t>pulgão-vermelho</t>
  </si>
  <si>
    <t>Blattella germanica</t>
  </si>
  <si>
    <t>barata-germânica</t>
  </si>
  <si>
    <t>Piper turbeculatum</t>
  </si>
  <si>
    <t>Cryptotermes brevis</t>
  </si>
  <si>
    <t xml:space="preserve">Leucaena </t>
  </si>
  <si>
    <t>Evolvolus nummularius</t>
  </si>
  <si>
    <t>tomatinho-amarelo</t>
  </si>
  <si>
    <t>Zeta argillaceum</t>
  </si>
  <si>
    <t>vespa-oleira</t>
  </si>
  <si>
    <t>lagartixa-doméstica-tropical</t>
  </si>
  <si>
    <t>planta de flor rosa *</t>
  </si>
  <si>
    <t>Urtica</t>
  </si>
  <si>
    <t>urtiga</t>
  </si>
  <si>
    <t>Jequitirana brasiliensis</t>
  </si>
  <si>
    <t>Dactylopius coccus</t>
  </si>
  <si>
    <t>cochonilha</t>
  </si>
  <si>
    <t>Lorena/ Gabriel/Pablo/Thalita</t>
  </si>
  <si>
    <t>liquen crostoso</t>
  </si>
  <si>
    <t>liquen folioso</t>
  </si>
  <si>
    <t xml:space="preserve">mariposinha branca </t>
  </si>
  <si>
    <t>Syntermes molestus</t>
  </si>
  <si>
    <t>cupim-gigante</t>
  </si>
  <si>
    <t>Coccinella</t>
  </si>
  <si>
    <t>joaninha-branca</t>
  </si>
  <si>
    <t>Eulimnia</t>
  </si>
  <si>
    <t>cupim-bate-cabeça</t>
  </si>
  <si>
    <t>mosca-doméstica</t>
  </si>
  <si>
    <t>saúva-de-mancha</t>
  </si>
  <si>
    <t>rabo-de-saci</t>
  </si>
  <si>
    <t>maria-cafe</t>
  </si>
  <si>
    <t>Ophulella</t>
  </si>
  <si>
    <t xml:space="preserve">beldroega </t>
  </si>
  <si>
    <t>Syzygium aromaticus</t>
  </si>
  <si>
    <t>cravo-da-índia</t>
  </si>
  <si>
    <t xml:space="preserve">Tillandsia   </t>
  </si>
  <si>
    <t>tillandsia sp2</t>
  </si>
  <si>
    <t>Usnea barbata</t>
  </si>
  <si>
    <t>linquen-folioso</t>
  </si>
  <si>
    <t>Heliconius erato</t>
  </si>
  <si>
    <t>líquen amarelo</t>
  </si>
  <si>
    <t>Bem-te-vi</t>
  </si>
  <si>
    <t>Culicoides paraensis</t>
  </si>
  <si>
    <t>maruí</t>
  </si>
  <si>
    <t>borboleta malaquita</t>
  </si>
  <si>
    <t>Sarcophagidae</t>
  </si>
  <si>
    <t xml:space="preserve">moscas da carne </t>
  </si>
  <si>
    <t xml:space="preserve">Ponto 9 </t>
  </si>
  <si>
    <t>erva-baleira</t>
  </si>
  <si>
    <t>Phoebis marcelina</t>
  </si>
  <si>
    <t>borboleta-gema</t>
  </si>
  <si>
    <t>Centris sp.</t>
  </si>
  <si>
    <t>abelha-coletora-de-óleo</t>
  </si>
  <si>
    <t>pomba-doméstica</t>
  </si>
  <si>
    <t>Pyrisitia nise</t>
  </si>
  <si>
    <t>borboletinha-amarela</t>
  </si>
  <si>
    <t>sanhaço-de-coqueiro</t>
  </si>
  <si>
    <t>Lorena/ Gabriel/Pablo/Thalita/Hugo</t>
  </si>
  <si>
    <t>Heliconius ethilla</t>
  </si>
  <si>
    <t>Aglais io</t>
  </si>
  <si>
    <t>borboleta-pavão</t>
  </si>
  <si>
    <t>Aegithus rufipennis</t>
  </si>
  <si>
    <t>joaninha-gigante</t>
  </si>
  <si>
    <t>laranjinha / tomatinho-amarelo</t>
  </si>
  <si>
    <t>lingua-de-vaca</t>
  </si>
  <si>
    <t>Calvatia gigantea</t>
  </si>
  <si>
    <t>fungo bola branca (puffball)</t>
  </si>
  <si>
    <t>flalsa-serralinha</t>
  </si>
  <si>
    <t>Cephalotes</t>
  </si>
  <si>
    <t>Abracris flavolineata</t>
  </si>
  <si>
    <t>gafanhoto-abracris</t>
  </si>
  <si>
    <t>Trachelopachys</t>
  </si>
  <si>
    <t>aranha-flamenguista</t>
  </si>
  <si>
    <t>Fidicina mannifera</t>
  </si>
  <si>
    <t>cigarrinha</t>
  </si>
  <si>
    <t>Rhipicephalus sanguineus</t>
  </si>
  <si>
    <t>Carrapato-Vermelho-Do-Cão</t>
  </si>
  <si>
    <t>Hexagonia hydnoides</t>
  </si>
  <si>
    <t>mamangava / mangangá</t>
  </si>
  <si>
    <t>Phoebis</t>
  </si>
  <si>
    <t>Burnsius orcynoides</t>
  </si>
  <si>
    <t>borboleta-marinha</t>
  </si>
  <si>
    <t>borbola-azulzinha-do-trevo</t>
  </si>
  <si>
    <t>Hirundo rustica</t>
  </si>
  <si>
    <t>andorinha-de-bando</t>
  </si>
  <si>
    <t>rolinha-picui</t>
  </si>
  <si>
    <t>Brassica juncea</t>
  </si>
  <si>
    <t>mostarda</t>
  </si>
  <si>
    <t>Nannopterum brasilianum</t>
  </si>
  <si>
    <t>biguá</t>
  </si>
  <si>
    <t>Sonchus asper</t>
  </si>
  <si>
    <t>serralha-crespa</t>
  </si>
  <si>
    <t>Heraclides anchisiades</t>
  </si>
  <si>
    <t>rosa-de-luto</t>
  </si>
  <si>
    <t>enxú-verdadeiro</t>
  </si>
  <si>
    <t>Lorena/ Gabriel/Pablo/Hugo</t>
  </si>
  <si>
    <t>cogumelo puffball</t>
  </si>
  <si>
    <t>Rhipsalis</t>
  </si>
  <si>
    <t>leguminosa 2</t>
  </si>
  <si>
    <t>trametis</t>
  </si>
  <si>
    <t>Desmodium triflorum</t>
  </si>
  <si>
    <t>amor-do-campo</t>
  </si>
  <si>
    <t>borboleta amarela esverdeada // cauã</t>
  </si>
  <si>
    <t xml:space="preserve">Cicadidae </t>
  </si>
  <si>
    <t>mariposa-de-calda-lilás</t>
  </si>
  <si>
    <t>boboleta-olho-de-pavão-diurno</t>
  </si>
  <si>
    <t>Uranophora</t>
  </si>
  <si>
    <t>Dermaptera</t>
  </si>
  <si>
    <t>tesourinha (inseto)</t>
  </si>
  <si>
    <t>Cicadellidae</t>
  </si>
  <si>
    <t xml:space="preserve">cigarrinha  </t>
  </si>
  <si>
    <t xml:space="preserve"> Alysicarpus vaginalis</t>
  </si>
  <si>
    <t>Phoebis statira</t>
  </si>
  <si>
    <t>borboleta amarela esverdeada</t>
  </si>
  <si>
    <t>liquen fruticoso</t>
  </si>
  <si>
    <t>Bubulcus ibis</t>
  </si>
  <si>
    <t>garça-vaqueira</t>
  </si>
  <si>
    <t>Rhynchospora speciosa</t>
  </si>
  <si>
    <t>capim-estrela</t>
  </si>
  <si>
    <t>borboletinha-azulzinha-do-trevo</t>
  </si>
  <si>
    <t>Xylophanes tersa</t>
  </si>
  <si>
    <t>esfinge-ters</t>
  </si>
  <si>
    <t>Neomegalotomus parvus</t>
  </si>
  <si>
    <t>percevejo-formigão</t>
  </si>
  <si>
    <t>euva-do-mato</t>
  </si>
  <si>
    <t>Hylophilus thoracicus</t>
  </si>
  <si>
    <t>vite-vite</t>
  </si>
  <si>
    <t>cleome sp 2</t>
  </si>
  <si>
    <t>Oxalis triangularis</t>
  </si>
  <si>
    <t>mil-pés-de-floreira</t>
  </si>
  <si>
    <t>pinhão-roxo</t>
  </si>
  <si>
    <t>Megalopyge</t>
  </si>
  <si>
    <t>lagarta de fogo</t>
  </si>
  <si>
    <t>lacraia</t>
  </si>
  <si>
    <t>Basella alba</t>
  </si>
  <si>
    <t>baianu</t>
  </si>
  <si>
    <t>Cloris barbata</t>
  </si>
  <si>
    <t>zornia</t>
  </si>
  <si>
    <t xml:space="preserve">Euphorbia </t>
  </si>
  <si>
    <t>erva andorinha</t>
  </si>
  <si>
    <t>Albizia lebbeck</t>
  </si>
  <si>
    <t>albízia</t>
  </si>
  <si>
    <t>Oiketicus kirbyi</t>
  </si>
  <si>
    <t>bicho-do-cesto</t>
  </si>
  <si>
    <t>Curinus coeruleus</t>
  </si>
  <si>
    <t>joaninha-preta</t>
  </si>
  <si>
    <t>Dactyloctenium aegyptium</t>
  </si>
  <si>
    <t>capim mão de sapo</t>
  </si>
  <si>
    <t>Mosca-de-pernas-longas</t>
  </si>
  <si>
    <t>Thyene coccineavittata</t>
  </si>
  <si>
    <t>mamangava-do-toco</t>
  </si>
  <si>
    <t>Biblis hyperia</t>
  </si>
  <si>
    <t>borboleta-do-aro-vermelho</t>
  </si>
  <si>
    <t>Urbanus proteus</t>
  </si>
  <si>
    <t>lagarta das folhas</t>
  </si>
  <si>
    <t>Enallagma novaehispaniae</t>
  </si>
  <si>
    <t>libélula de asas estreitas</t>
  </si>
  <si>
    <t>Pompeius pompeius</t>
  </si>
  <si>
    <t>borboleta-pompéia</t>
  </si>
  <si>
    <t>Lophocampa modesta</t>
  </si>
  <si>
    <t>mariposa-lophocampa</t>
  </si>
  <si>
    <t>Dryas iulia</t>
  </si>
  <si>
    <t>borboleta-flambeau</t>
  </si>
  <si>
    <t>Baccharis trinervis</t>
  </si>
  <si>
    <t>fio-de-peixe</t>
  </si>
  <si>
    <t>Artibeus lituratus</t>
  </si>
  <si>
    <t>morcego-das-frutas</t>
  </si>
  <si>
    <t>liquen-fruticoso</t>
  </si>
  <si>
    <t>Paspalum conjugatum</t>
  </si>
  <si>
    <t>capim-forquilha</t>
  </si>
  <si>
    <t>Rynchospora speciosa</t>
  </si>
  <si>
    <t>quebra pedra sp2</t>
  </si>
  <si>
    <t>Tephrosia noctiflora</t>
  </si>
  <si>
    <t>ervilha</t>
  </si>
  <si>
    <t>Cyantillium cinereum</t>
  </si>
  <si>
    <t>lesma-feijão</t>
  </si>
  <si>
    <t>borboleta-de-três-pintas</t>
  </si>
  <si>
    <t xml:space="preserve">aranha </t>
  </si>
  <si>
    <t>borboleta-de-aro-vermelho</t>
  </si>
  <si>
    <t>Lophocampa annulosa</t>
  </si>
  <si>
    <t>Tillandsia recurvata</t>
  </si>
  <si>
    <t>cravo-do-mato sp2</t>
  </si>
  <si>
    <t>emilia</t>
  </si>
  <si>
    <t>Lorena/Gabriel/Hugo/Thalita</t>
  </si>
  <si>
    <t>Perithemis tenera</t>
  </si>
  <si>
    <t>libelula-de-asa-ambar</t>
  </si>
  <si>
    <t>Sporobolus</t>
  </si>
  <si>
    <t>capim-capeta</t>
  </si>
  <si>
    <t>Danaus erippus</t>
  </si>
  <si>
    <t>monarca-do-sul</t>
  </si>
  <si>
    <t>Nephilingis curentata</t>
  </si>
  <si>
    <t>Hemiptera</t>
  </si>
  <si>
    <t>libélula-de-asa-ambar</t>
  </si>
  <si>
    <t xml:space="preserve">cleome  </t>
  </si>
  <si>
    <t>Polistes videx</t>
  </si>
  <si>
    <t>Este ponto estava fechado passando por limpeza</t>
  </si>
  <si>
    <t>Lorena/Gabriel/Pablo/Hugo</t>
  </si>
  <si>
    <t>Cairina moschata</t>
  </si>
  <si>
    <t>pato-do-mato</t>
  </si>
  <si>
    <t>Dione vanillae</t>
  </si>
  <si>
    <t>borboleta-paixão</t>
  </si>
  <si>
    <t>Atta sp.</t>
  </si>
  <si>
    <t>Fidicina sp.</t>
  </si>
  <si>
    <t>cleome sp2</t>
  </si>
  <si>
    <t>rolinha-fogo-apagou</t>
  </si>
  <si>
    <t>Picumnis cirratus</t>
  </si>
  <si>
    <t>Milvago chimachima</t>
  </si>
  <si>
    <t>gavião-carrapateiro</t>
  </si>
  <si>
    <t>Apodidae</t>
  </si>
  <si>
    <t>taperuçu / Hugo</t>
  </si>
  <si>
    <t>Lorena/Gabriel/Pablo/Pamela</t>
  </si>
  <si>
    <t>Phacellodomus rufifrons</t>
  </si>
  <si>
    <t>joão-de-pau</t>
  </si>
  <si>
    <t>Trochillidae</t>
  </si>
  <si>
    <t>beija-flor</t>
  </si>
  <si>
    <t>lagartixa-domésica-tropical</t>
  </si>
  <si>
    <t>carvo-do-mato sp2</t>
  </si>
  <si>
    <t>Peperomia pellucida</t>
  </si>
  <si>
    <t>erva-de-jabuti</t>
  </si>
  <si>
    <t>Pablo/Renan/Thallita</t>
  </si>
  <si>
    <t>pomba-asa-branca</t>
  </si>
  <si>
    <t>Evolvolus sp.</t>
  </si>
  <si>
    <t>azulzinha</t>
  </si>
  <si>
    <t>Cleome sp2</t>
  </si>
  <si>
    <t>Ramphastos toco</t>
  </si>
  <si>
    <t>tucano-toco</t>
  </si>
  <si>
    <t>formiga pretinha pequena</t>
  </si>
  <si>
    <t>Blattodea</t>
  </si>
  <si>
    <t xml:space="preserve">Fidicina </t>
  </si>
  <si>
    <t>rã-assobiadora</t>
  </si>
  <si>
    <t>Passiflora alata</t>
  </si>
  <si>
    <t>maracujá-doce</t>
  </si>
  <si>
    <t xml:space="preserve">Ipomoea </t>
  </si>
  <si>
    <t>Cordia ecalyculata</t>
  </si>
  <si>
    <t>café-do-mato</t>
  </si>
  <si>
    <t>pomba-de-asa-branca</t>
  </si>
  <si>
    <t>orthoptera</t>
  </si>
  <si>
    <t>marimbomdo</t>
  </si>
  <si>
    <t>Dione juno</t>
  </si>
  <si>
    <t>borboleta-do-maracujá</t>
  </si>
  <si>
    <t>Polibia sp.</t>
  </si>
  <si>
    <t>Atta sedens</t>
  </si>
  <si>
    <t xml:space="preserve">Frigga </t>
  </si>
  <si>
    <t>alysicarpus</t>
  </si>
  <si>
    <t>Evolvulus glomeratus</t>
  </si>
  <si>
    <t>laranja-ornamental</t>
  </si>
  <si>
    <t>lantana-camara</t>
  </si>
  <si>
    <t>Evolvolus</t>
  </si>
  <si>
    <t>abelhinha verde</t>
  </si>
  <si>
    <t>malva-branca</t>
  </si>
  <si>
    <t>Sida cordifolia</t>
  </si>
  <si>
    <t>Lorena/Pâmela</t>
  </si>
  <si>
    <t>Tridax procubens</t>
  </si>
  <si>
    <t>Ramalina</t>
  </si>
  <si>
    <t>canário-do-campo</t>
  </si>
  <si>
    <t>rabo-de-raposa</t>
  </si>
  <si>
    <t>pamela</t>
  </si>
  <si>
    <t>Alternanthera pungens</t>
  </si>
  <si>
    <t>periquito-de-espinho</t>
  </si>
  <si>
    <t>beldoegra-grande</t>
  </si>
  <si>
    <t>Cleome</t>
  </si>
  <si>
    <t>Cynodon dactilon</t>
  </si>
  <si>
    <t>columbina talpacoti</t>
  </si>
  <si>
    <t>Lorena/Gabriel/Giovana/Matheus/Pablo/Pâmela</t>
  </si>
  <si>
    <t>curruirá</t>
  </si>
  <si>
    <t>cogumelo bola branca</t>
  </si>
  <si>
    <t>Patagioena picazuro</t>
  </si>
  <si>
    <t>ipomea</t>
  </si>
  <si>
    <t xml:space="preserve">Cleome </t>
  </si>
  <si>
    <t>beldoegra</t>
  </si>
  <si>
    <t>saíra-de-chapeú-preto</t>
  </si>
  <si>
    <t>pombo</t>
  </si>
  <si>
    <t>pega-pega-rasteiro</t>
  </si>
  <si>
    <t xml:space="preserve">Cleome aculeata </t>
  </si>
  <si>
    <t>bulimulus</t>
  </si>
  <si>
    <t>Condylostylus sipho ou Condylostylus longicornis</t>
  </si>
  <si>
    <t>mosca-pernas-longas</t>
  </si>
  <si>
    <t>mosquito da dengue</t>
  </si>
  <si>
    <t>Poaceae</t>
  </si>
  <si>
    <t>gramíneas</t>
  </si>
  <si>
    <t>briófita</t>
  </si>
  <si>
    <t>Agrocybe</t>
  </si>
  <si>
    <t xml:space="preserve">cogumelo </t>
  </si>
  <si>
    <t>Croton hirtus</t>
  </si>
  <si>
    <t>malva-de-pelos</t>
  </si>
  <si>
    <t>indigofera</t>
  </si>
  <si>
    <t>pé-de-galinha</t>
  </si>
  <si>
    <t>Capim-braquiária</t>
  </si>
  <si>
    <t>andorinha-do-rio</t>
  </si>
  <si>
    <t>Polistes canadensis</t>
  </si>
  <si>
    <t>Mechanitis lysimnia</t>
  </si>
  <si>
    <t>Lorena/Pablo/Pâmela/Thalita</t>
  </si>
  <si>
    <t>cacto-macarrão ou rabo-de-rato.</t>
  </si>
  <si>
    <t>Paspalum notatum</t>
  </si>
  <si>
    <t>Flavoparmelia caperata</t>
  </si>
  <si>
    <t xml:space="preserve">Momordica charantia </t>
  </si>
  <si>
    <t>Marasmius</t>
  </si>
  <si>
    <t>besouro-d'agua</t>
  </si>
  <si>
    <t>Albizia</t>
  </si>
  <si>
    <t>albizia</t>
  </si>
  <si>
    <t>Chionomesa frimbriata</t>
  </si>
  <si>
    <t>Megarhynchus pitangua</t>
  </si>
  <si>
    <t>Evolvulis nummularius</t>
  </si>
  <si>
    <t>erva-orelha-de-rato</t>
  </si>
  <si>
    <t>Cucumis anguria</t>
  </si>
  <si>
    <t>maxixe</t>
  </si>
  <si>
    <t>Euphorbia prostata</t>
  </si>
  <si>
    <t xml:space="preserve">Zenaida auriculata </t>
  </si>
  <si>
    <t>mosquito da thalia</t>
  </si>
  <si>
    <t xml:space="preserve">Tillandsia </t>
  </si>
  <si>
    <t xml:space="preserve">Aedes aegypti </t>
  </si>
  <si>
    <t>mosca-abelha</t>
  </si>
  <si>
    <t xml:space="preserve">Musca domestica </t>
  </si>
  <si>
    <t>Ruellia blechun</t>
  </si>
  <si>
    <t>Desmodium Triflorum</t>
  </si>
  <si>
    <t>Thumbergia alata</t>
  </si>
  <si>
    <t>urtiga-vermeha</t>
  </si>
  <si>
    <t>diouna</t>
  </si>
  <si>
    <t>comeia</t>
  </si>
  <si>
    <t>Scinax</t>
  </si>
  <si>
    <t>Nephrolepsis exaltata</t>
  </si>
  <si>
    <t>samambaia-americana</t>
  </si>
  <si>
    <t>Apis melifera</t>
  </si>
  <si>
    <t xml:space="preserve">Cenchrus echinatus </t>
  </si>
  <si>
    <t xml:space="preserve">Columbina talpacoti </t>
  </si>
  <si>
    <t xml:space="preserve">Pitangus sulphuratus </t>
  </si>
  <si>
    <t xml:space="preserve">Euphonia chlorotica </t>
  </si>
  <si>
    <t>pombo-doméstic</t>
  </si>
  <si>
    <t>Choptophaga ani</t>
  </si>
  <si>
    <t xml:space="preserve">Spermacoce verticillata </t>
  </si>
  <si>
    <t>Lorena/Gabriel/Pablo/Pâmela</t>
  </si>
  <si>
    <t>Dirinairia</t>
  </si>
  <si>
    <t xml:space="preserve">Cynodon dactylon </t>
  </si>
  <si>
    <t>Elaenia flavigaster</t>
  </si>
  <si>
    <t xml:space="preserve">Oxalis </t>
  </si>
  <si>
    <t>Achillea millefolium</t>
  </si>
  <si>
    <t>aquileia</t>
  </si>
  <si>
    <t xml:space="preserve">Talinum paniculatum </t>
  </si>
  <si>
    <t xml:space="preserve">Indigofera hirsuta </t>
  </si>
  <si>
    <t xml:space="preserve">Boherveria cylindrica </t>
  </si>
  <si>
    <t>quebra-pedra sp2</t>
  </si>
  <si>
    <t xml:space="preserve">Boerhavia diffusa </t>
  </si>
  <si>
    <t>Acacia</t>
  </si>
  <si>
    <t>beldoegrão</t>
  </si>
  <si>
    <t xml:space="preserve">Cissus verticillata </t>
  </si>
  <si>
    <t xml:space="preserve">Gomphrena globosa </t>
  </si>
  <si>
    <t xml:space="preserve">Portulaca oleracea </t>
  </si>
  <si>
    <t xml:space="preserve">Anartia jatrophae </t>
  </si>
  <si>
    <t xml:space="preserve">Columba livia </t>
  </si>
  <si>
    <t xml:space="preserve">Passer domesticus </t>
  </si>
  <si>
    <t xml:space="preserve">Elaenia flavogaster </t>
  </si>
  <si>
    <t xml:space="preserve">Tropidurus torquatus </t>
  </si>
  <si>
    <t xml:space="preserve">Thraupis palmarum </t>
  </si>
  <si>
    <t xml:space="preserve">Progne tapera </t>
  </si>
  <si>
    <t xml:space="preserve">Cissus </t>
  </si>
  <si>
    <t xml:space="preserve">Mimus saturninus </t>
  </si>
  <si>
    <t>sabiá-barraco</t>
  </si>
  <si>
    <t xml:space="preserve">Chionomesa fimbriata </t>
  </si>
  <si>
    <t xml:space="preserve">Panicum maximum </t>
  </si>
  <si>
    <t xml:space="preserve">Apis melifera </t>
  </si>
  <si>
    <t>Tillandsia</t>
  </si>
  <si>
    <t>Chloris</t>
  </si>
  <si>
    <t xml:space="preserve">Xylocopa frontalis </t>
  </si>
  <si>
    <t>Coenagrion puella</t>
  </si>
  <si>
    <t>libélula verde e azul</t>
  </si>
  <si>
    <t xml:space="preserve">Alysicarpus vaginalis </t>
  </si>
  <si>
    <t xml:space="preserve">Ruellia blechum </t>
  </si>
  <si>
    <t>Cubarus murina</t>
  </si>
  <si>
    <t>poaia-rosa</t>
  </si>
  <si>
    <t xml:space="preserve">Columbina picui </t>
  </si>
  <si>
    <t>Rhipsalis lindberghiana</t>
  </si>
  <si>
    <t xml:space="preserve">Schinus terebinthifolia </t>
  </si>
  <si>
    <t xml:space="preserve">Lorena/Pablo/Pâmela/Giovana/Mateus </t>
  </si>
  <si>
    <t xml:space="preserve">beija-flor-de-garganta-verde </t>
  </si>
  <si>
    <t xml:space="preserve">Fluvicola nengeta </t>
  </si>
  <si>
    <t xml:space="preserve">lavadeira-mascarada </t>
  </si>
  <si>
    <t xml:space="preserve">andorinha-pequena-de-casa </t>
  </si>
  <si>
    <t xml:space="preserve">curruíra </t>
  </si>
  <si>
    <t xml:space="preserve">capim-pé-de-galinha </t>
  </si>
  <si>
    <t>Solanim</t>
  </si>
  <si>
    <t xml:space="preserve">Emilia sonchifolia </t>
  </si>
  <si>
    <t>Tillandsia sp.2</t>
  </si>
  <si>
    <t xml:space="preserve">canário-da-terra </t>
  </si>
  <si>
    <t xml:space="preserve">arrozinho-do-campo </t>
  </si>
  <si>
    <t xml:space="preserve">Athene cunicularia </t>
  </si>
  <si>
    <t xml:space="preserve">coruja-buraqueira </t>
  </si>
  <si>
    <t>Ardea alba</t>
  </si>
  <si>
    <t>garça-branca-grande</t>
  </si>
  <si>
    <t xml:space="preserve">cacto-macarrão </t>
  </si>
  <si>
    <t xml:space="preserve">xanana </t>
  </si>
  <si>
    <t>Euphorbia dichroa</t>
  </si>
  <si>
    <t>leiteiro-vermelho</t>
  </si>
  <si>
    <t>Hygrocybe</t>
  </si>
  <si>
    <t>cogumelo-laranja</t>
  </si>
  <si>
    <t xml:space="preserve">Evolvulus nummularius </t>
  </si>
  <si>
    <t xml:space="preserve">Cubaris murina </t>
  </si>
  <si>
    <t xml:space="preserve">Megarhynchus pitangua </t>
  </si>
  <si>
    <t xml:space="preserve">Turdus leucomelas </t>
  </si>
  <si>
    <t>pica-pau-barrado</t>
  </si>
  <si>
    <t xml:space="preserve">Euphorbia prostata </t>
  </si>
  <si>
    <t xml:space="preserve">Lantana camara </t>
  </si>
  <si>
    <t>Pectis prostrata</t>
  </si>
  <si>
    <t>erva-cidreira</t>
  </si>
  <si>
    <t>Lorena/Gabriel/Pablo/Pâmela/Eliott/Renan</t>
  </si>
  <si>
    <t>mosquito cabeça branca</t>
  </si>
  <si>
    <t xml:space="preserve">lacraia </t>
  </si>
  <si>
    <t xml:space="preserve">Hemidactylus mabouia </t>
  </si>
  <si>
    <t>Cecropia glaziovii</t>
  </si>
  <si>
    <t>embaúba-vermelha-do-sul</t>
  </si>
  <si>
    <t>Oeceoclades Maculata</t>
  </si>
  <si>
    <t>orquídea-malhada</t>
  </si>
  <si>
    <t>mosquito-da-denque</t>
  </si>
  <si>
    <t xml:space="preserve">Elaenia </t>
  </si>
  <si>
    <t>Bemisia tabaci</t>
  </si>
  <si>
    <t xml:space="preserve">mosca branca </t>
  </si>
  <si>
    <t>Phobetron</t>
  </si>
  <si>
    <t>lagarta aranha</t>
  </si>
  <si>
    <t>Columbina squamata</t>
  </si>
  <si>
    <t>Croptophaga ani</t>
  </si>
  <si>
    <t>Oxalis</t>
  </si>
  <si>
    <t>Orphulella puncatata</t>
  </si>
  <si>
    <t>Phalaris arundinacea</t>
  </si>
  <si>
    <t>capim-amarelo</t>
  </si>
  <si>
    <t>bacura-de-asa-fina</t>
  </si>
  <si>
    <t>coruja-buraquira</t>
  </si>
  <si>
    <t>Thaupis palmarum</t>
  </si>
  <si>
    <t>aranha-verde (pablo)</t>
  </si>
  <si>
    <t>Cornu aspersum</t>
  </si>
  <si>
    <t>carracol-de-jardim</t>
  </si>
  <si>
    <t xml:space="preserve">gafanhoto </t>
  </si>
  <si>
    <t>borboleta olho de pavão diurno</t>
  </si>
  <si>
    <t>cravo-do-mato sp1</t>
  </si>
  <si>
    <t>Parabuteo unicinctus</t>
  </si>
  <si>
    <t>gavião-asa-de-telha</t>
  </si>
  <si>
    <t xml:space="preserve">Albizia </t>
  </si>
  <si>
    <t>Chroicocephalus cirrocephalus</t>
  </si>
  <si>
    <t>gaivota-de-cabeça-cinza</t>
  </si>
  <si>
    <t>Volatina jacarina</t>
  </si>
  <si>
    <t>mil-pés</t>
  </si>
  <si>
    <t>Zenaida</t>
  </si>
  <si>
    <t>Columbia livia</t>
  </si>
  <si>
    <t>Lorena/Gabriel/Pablo/Eliott/Renan/Thalita</t>
  </si>
  <si>
    <t>Flaveola negeta</t>
  </si>
  <si>
    <t>neinei</t>
  </si>
  <si>
    <t>beija-flor-de-garganta-amarela</t>
  </si>
  <si>
    <t>aranha-de-mandibula-longa</t>
  </si>
  <si>
    <t>Psilodum</t>
  </si>
  <si>
    <t xml:space="preserve">samambaia-palito </t>
  </si>
  <si>
    <t>Leptodactylus latrans</t>
  </si>
  <si>
    <t>rã-manteiga</t>
  </si>
  <si>
    <t xml:space="preserve"> rolinha-roxa</t>
  </si>
  <si>
    <t>Fluvicula nengeta</t>
  </si>
  <si>
    <t xml:space="preserve">Dirinaria </t>
  </si>
  <si>
    <t>Lorena/Pablo/Pamela/Hugo/Renan</t>
  </si>
  <si>
    <t>asa- branca</t>
  </si>
  <si>
    <t>Tyrannus melancolichus</t>
  </si>
  <si>
    <t>suiriri-tropical</t>
  </si>
  <si>
    <t>Tiririca</t>
  </si>
  <si>
    <t>garça-branca</t>
  </si>
  <si>
    <t>evolvulos</t>
  </si>
  <si>
    <t>cabana</t>
  </si>
  <si>
    <t>sertralina</t>
  </si>
  <si>
    <t xml:space="preserve">capim-carrapicho </t>
  </si>
  <si>
    <t xml:space="preserve">Alysicarpus </t>
  </si>
  <si>
    <t xml:space="preserve">abelha-cachorro </t>
  </si>
  <si>
    <t xml:space="preserve">capim-forquilha </t>
  </si>
  <si>
    <t xml:space="preserve">ferreirinho-relógio </t>
  </si>
  <si>
    <t xml:space="preserve">saúva </t>
  </si>
  <si>
    <t xml:space="preserve">Asemeia violacea </t>
  </si>
  <si>
    <t xml:space="preserve">bentevizinho-de-penacho-vermelho </t>
  </si>
  <si>
    <t>evolvulus</t>
  </si>
  <si>
    <t xml:space="preserve">líquen-crostoso </t>
  </si>
  <si>
    <t>píper</t>
  </si>
  <si>
    <t xml:space="preserve">capim-pavão </t>
  </si>
  <si>
    <t xml:space="preserve">pau-formiga </t>
  </si>
  <si>
    <t>Primolius maracana</t>
  </si>
  <si>
    <t>maracanã</t>
  </si>
  <si>
    <t xml:space="preserve">erva-jacaré </t>
  </si>
  <si>
    <t>A equipe interrompeu o Monitoramento nesse ponto por chuva forte</t>
  </si>
  <si>
    <t>Pâmela/Lorena/Gabriel/Pablo</t>
  </si>
  <si>
    <t>Lycoperdon</t>
  </si>
  <si>
    <t>bufas-de-lobo</t>
  </si>
  <si>
    <t>Dosmodium triflorum</t>
  </si>
  <si>
    <t>arrozinho Do Campo</t>
  </si>
  <si>
    <t>Pontp 9</t>
  </si>
  <si>
    <t>anu-preto</t>
  </si>
  <si>
    <t>Echinocystis lobata</t>
  </si>
  <si>
    <t>pepino-selvagem</t>
  </si>
  <si>
    <t>Indifofera hirsura</t>
  </si>
  <si>
    <t>Indigofera-hirsuta</t>
  </si>
  <si>
    <t>ferreirinho-relogio</t>
  </si>
  <si>
    <t>Lycosa</t>
  </si>
  <si>
    <t>Solanum sisymbriifolium</t>
  </si>
  <si>
    <t>arrebenta-cavalo</t>
  </si>
  <si>
    <t>Coprinellus</t>
  </si>
  <si>
    <t>Tyrannys melancholicus</t>
  </si>
  <si>
    <t>bem-de-vi</t>
  </si>
  <si>
    <t>Marsypianthes Chamaedrys</t>
  </si>
  <si>
    <t>alfavaca-de-cheiro</t>
  </si>
  <si>
    <t>Elicone Evatus</t>
  </si>
  <si>
    <t>Cyrtocymura scorpioides</t>
  </si>
  <si>
    <t>erva-de-são-simão</t>
  </si>
  <si>
    <t>Nephrolepis exaltata</t>
  </si>
  <si>
    <t>samanbaia-americana</t>
  </si>
  <si>
    <t>tropiduro</t>
  </si>
  <si>
    <t>Myiarchus tyrannulus</t>
  </si>
  <si>
    <t>maria-cavaleira-de-rabo-enferrujado</t>
  </si>
  <si>
    <t>Tillandisia stricta</t>
  </si>
  <si>
    <t>Flavicola negeta</t>
  </si>
  <si>
    <t>Ponto  10</t>
  </si>
  <si>
    <t>Lycopudon</t>
  </si>
  <si>
    <t>Lorena/Gabriel/Pablo/Pâmela/Mateus</t>
  </si>
  <si>
    <t>Cecropia pachystachia</t>
  </si>
  <si>
    <t>embaúba</t>
  </si>
  <si>
    <t>Synallaxis frontalis</t>
  </si>
  <si>
    <t>petrim</t>
  </si>
  <si>
    <t>Nicotiana tabacum</t>
  </si>
  <si>
    <t>tabaco</t>
  </si>
  <si>
    <t>Falco</t>
  </si>
  <si>
    <t>falcão</t>
  </si>
  <si>
    <t>grama-de-são-caetano</t>
  </si>
  <si>
    <t xml:space="preserve">Tillandsia stricta </t>
  </si>
  <si>
    <t>Eriophora edax</t>
  </si>
  <si>
    <t>aranha-tecedeira</t>
  </si>
  <si>
    <t xml:space="preserve">Pitangus sulphutarus </t>
  </si>
  <si>
    <t>cogumelo-do-sol</t>
  </si>
  <si>
    <t>cravo-dp-mato</t>
  </si>
  <si>
    <t>Emília</t>
  </si>
  <si>
    <t>Strymon bobustus</t>
  </si>
  <si>
    <t>suiririi</t>
  </si>
  <si>
    <t>Azemca wolaica</t>
  </si>
  <si>
    <t>Lorena/Pablo/Gabriel/Renan/Thalitta/Matheus</t>
  </si>
  <si>
    <t>Greta oto</t>
  </si>
  <si>
    <t>borboleta-de-asas-transparentes</t>
  </si>
  <si>
    <t>Fluvicola negeta</t>
  </si>
  <si>
    <t>sida</t>
  </si>
  <si>
    <t>Solanum torvum</t>
  </si>
  <si>
    <t>Tolmomyias flaviventris</t>
  </si>
  <si>
    <t>bico-chato-amarelo</t>
  </si>
  <si>
    <t>Pamela/Gabriel/Pablo</t>
  </si>
  <si>
    <t>Cravo-do-mato</t>
  </si>
  <si>
    <t>Líquen-crostoso</t>
  </si>
  <si>
    <t>Líquen-folioso</t>
  </si>
  <si>
    <t>ramali a</t>
  </si>
  <si>
    <t>Urubu-de-cabeça-preta</t>
  </si>
  <si>
    <t>Mariquita</t>
  </si>
  <si>
    <t>Asa-branca</t>
  </si>
  <si>
    <t>Rolinha-roxa</t>
  </si>
  <si>
    <t>Garça-branca-pequena</t>
  </si>
  <si>
    <t>Curruirá</t>
  </si>
  <si>
    <t>Poaia-branca</t>
  </si>
  <si>
    <t>Cambacica</t>
  </si>
  <si>
    <t>lagartixa doméstica</t>
  </si>
  <si>
    <t>Amphilophium crucigerum</t>
  </si>
  <si>
    <t>pente-de-macaco</t>
  </si>
  <si>
    <t>oxalis latifolia</t>
  </si>
  <si>
    <t>Capim-pé-de-galinha</t>
  </si>
  <si>
    <t>rabo-de-rato</t>
  </si>
  <si>
    <t>anu-branco</t>
  </si>
  <si>
    <t>pomba-de-bando/avoante</t>
  </si>
  <si>
    <t>quebra-pedra-rasteiro</t>
  </si>
  <si>
    <t>erva-tostao</t>
  </si>
  <si>
    <t>atta</t>
  </si>
  <si>
    <t>suiriri-cavaleio</t>
  </si>
  <si>
    <t>capim-bráquiaria</t>
  </si>
  <si>
    <t>Stenotaphrum secundatum</t>
  </si>
  <si>
    <t>grama-de-santo-agostinho</t>
  </si>
  <si>
    <t>agaricus</t>
  </si>
  <si>
    <t>desmodion triflorion</t>
  </si>
  <si>
    <t>pombo doméstico</t>
  </si>
  <si>
    <t>Pamela/Pablo/Hugo</t>
  </si>
  <si>
    <t>erva-jabuti</t>
  </si>
  <si>
    <t>Desmodion triflorion</t>
  </si>
  <si>
    <t>Losna-branca</t>
  </si>
  <si>
    <t>gaturamo-verdadeira</t>
  </si>
  <si>
    <t>Piaya cayana</t>
  </si>
  <si>
    <t>alma-de-gato</t>
  </si>
  <si>
    <t>borboleta-castanho-vermelho</t>
  </si>
  <si>
    <t>taperuçu</t>
  </si>
  <si>
    <t>Thamnophilus doliatus</t>
  </si>
  <si>
    <t>choca-barrada</t>
  </si>
  <si>
    <t>Tillandsia tricholeps</t>
  </si>
  <si>
    <t>cravo-do-mato-sp3</t>
  </si>
  <si>
    <t>Pâmela/Pablo/Gabriel/Lorena/Mateus</t>
  </si>
  <si>
    <t>usnea</t>
  </si>
  <si>
    <t xml:space="preserve">barba-de-velho </t>
  </si>
  <si>
    <t>bentivizinho-de-penacho-vermelho</t>
  </si>
  <si>
    <t>capim-coloniao</t>
  </si>
  <si>
    <t xml:space="preserve">emilia </t>
  </si>
  <si>
    <t>vassourinha-de-botao</t>
  </si>
  <si>
    <t xml:space="preserve">bentivizinho-de-penacho-vermelho </t>
  </si>
  <si>
    <t>asemeia violacea</t>
  </si>
  <si>
    <t>Tersina viridis</t>
  </si>
  <si>
    <t>saí-andorinha</t>
  </si>
  <si>
    <t>beija-flor-garganta-verde</t>
  </si>
  <si>
    <t xml:space="preserve">ferreirinho-relogio </t>
  </si>
  <si>
    <t>arvore-guarda-chuva</t>
  </si>
  <si>
    <t>camarão-verde-verde</t>
  </si>
  <si>
    <t xml:space="preserve">Tiririca </t>
  </si>
  <si>
    <t>capim-pe-de-galinha</t>
  </si>
  <si>
    <t>erva-jacare</t>
  </si>
  <si>
    <t xml:space="preserve">beija-flor-garganta-verde </t>
  </si>
  <si>
    <t>gaturama-verdadeiro</t>
  </si>
  <si>
    <t>saira-amarela</t>
  </si>
  <si>
    <t xml:space="preserve">aroeira </t>
  </si>
  <si>
    <t xml:space="preserve">capim-coloniao </t>
  </si>
  <si>
    <t xml:space="preserve">liquen-crostoso </t>
  </si>
  <si>
    <t>urubu-cabeca-preta</t>
  </si>
  <si>
    <t xml:space="preserve">mosquito da dengue </t>
  </si>
  <si>
    <t xml:space="preserve">Cravo-do-mato </t>
  </si>
  <si>
    <t xml:space="preserve">carcará </t>
  </si>
  <si>
    <t>cravo-do-mato SP2</t>
  </si>
  <si>
    <t xml:space="preserve">vassourinha-de-botao </t>
  </si>
  <si>
    <t xml:space="preserve">pombo-domestico </t>
  </si>
  <si>
    <t>borboleta-monarca</t>
  </si>
  <si>
    <t xml:space="preserve">liquen-folioso </t>
  </si>
  <si>
    <t xml:space="preserve">suiriri  </t>
  </si>
  <si>
    <t xml:space="preserve">curruirá </t>
  </si>
  <si>
    <t xml:space="preserve">evolvulos </t>
  </si>
  <si>
    <t>carvo-do-mato</t>
  </si>
  <si>
    <t>suiriri -cavaleiro</t>
  </si>
  <si>
    <t>canario-da-terra</t>
  </si>
  <si>
    <t xml:space="preserve">capim-braquiariaaria </t>
  </si>
  <si>
    <t xml:space="preserve"> </t>
  </si>
  <si>
    <t>cupim-bate-cabeca</t>
  </si>
  <si>
    <t>Lorena/Gabriel</t>
  </si>
  <si>
    <t xml:space="preserve">Ramalina Complanata </t>
  </si>
  <si>
    <t xml:space="preserve">leiteiro-vermelho </t>
  </si>
  <si>
    <t>ferreinho-relógio</t>
  </si>
  <si>
    <t>fim-fimi</t>
  </si>
  <si>
    <t xml:space="preserve">Ramalina complanata </t>
  </si>
  <si>
    <t xml:space="preserve"> cravo-do-mato sp1</t>
  </si>
  <si>
    <t>cravo-do-mato- sp2</t>
  </si>
  <si>
    <t>cravo-do-mato sp3</t>
  </si>
  <si>
    <t>borboleta-de-3-pintas</t>
  </si>
  <si>
    <t>beija-flo-de-garganta-verde</t>
  </si>
  <si>
    <t>evolvulos lvulus</t>
  </si>
  <si>
    <t>barba-velho</t>
  </si>
  <si>
    <t>Lorena/Gabriel/Pablo/Matheus</t>
  </si>
  <si>
    <t>saíra-de-chapeu-preto</t>
  </si>
  <si>
    <t>bentevezinho-de-penacho-vermelho</t>
  </si>
  <si>
    <t>seralha</t>
  </si>
  <si>
    <t xml:space="preserve">capim-braquiaria </t>
  </si>
  <si>
    <t>bentevezinho-de-penhacho-vermelho</t>
  </si>
  <si>
    <t xml:space="preserve">ramalina complanata </t>
  </si>
  <si>
    <t>Tillandsia loliacea</t>
  </si>
  <si>
    <t>cravo-do-mato sp4</t>
  </si>
  <si>
    <t>alafafa-nativa</t>
  </si>
  <si>
    <t>Gabriel/Pablo/Matheus/Pâmela/Eliott</t>
  </si>
  <si>
    <t xml:space="preserve">bacurau-de-asa-fina </t>
  </si>
  <si>
    <t xml:space="preserve">canario-da-terra </t>
  </si>
  <si>
    <t xml:space="preserve">cupim-bate-cabeca </t>
  </si>
  <si>
    <t xml:space="preserve">suiriri -cavaleiro </t>
  </si>
  <si>
    <t>sabiá-do-barranco</t>
  </si>
  <si>
    <t xml:space="preserve">beija-flor-tesoura </t>
  </si>
  <si>
    <t xml:space="preserve">alfafa-nativa </t>
  </si>
  <si>
    <t xml:space="preserve">capim-pe-de-galinha </t>
  </si>
  <si>
    <t xml:space="preserve">Rhipsalis lindbergiana </t>
  </si>
  <si>
    <t>quebra-pedra sp3</t>
  </si>
  <si>
    <t>hipertuberculate</t>
  </si>
  <si>
    <t xml:space="preserve">sabiá-do-barranco </t>
  </si>
  <si>
    <t>Ferreirinho</t>
  </si>
  <si>
    <t xml:space="preserve">Rolinha-roxa </t>
  </si>
  <si>
    <t xml:space="preserve">saira-amarela </t>
  </si>
  <si>
    <t xml:space="preserve">Ferreirinho </t>
  </si>
  <si>
    <t xml:space="preserve">garça-branca-grande </t>
  </si>
  <si>
    <t xml:space="preserve">Losna branca </t>
  </si>
  <si>
    <t xml:space="preserve"> reloginho </t>
  </si>
  <si>
    <t xml:space="preserve">erva-tostao </t>
  </si>
  <si>
    <t>cravo-do-mato SP3</t>
  </si>
  <si>
    <t xml:space="preserve">beldoegra-grande </t>
  </si>
  <si>
    <t xml:space="preserve">pombo doméstico </t>
  </si>
  <si>
    <t xml:space="preserve">quero-quero </t>
  </si>
  <si>
    <t>quebra-pedra sp1</t>
  </si>
  <si>
    <t>ttianthena portulacostrum</t>
  </si>
  <si>
    <t>bredo</t>
  </si>
  <si>
    <t xml:space="preserve">Caruru-de-mancha </t>
  </si>
  <si>
    <t xml:space="preserve">serralhinha </t>
  </si>
  <si>
    <t xml:space="preserve">borboleta-monarca </t>
  </si>
  <si>
    <t>Maracanã</t>
  </si>
  <si>
    <t>pega-pega sp1</t>
  </si>
  <si>
    <t>sabiá-barranca</t>
  </si>
  <si>
    <t>asemeia violacia</t>
  </si>
  <si>
    <t xml:space="preserve">aranha tecedeira </t>
  </si>
  <si>
    <t>orphulela</t>
  </si>
  <si>
    <t>curruira</t>
  </si>
  <si>
    <t>ectatomma</t>
  </si>
  <si>
    <t>Lorena/Gabriel/Pâmela/Pablo</t>
  </si>
  <si>
    <t>sairá-de-chapéu-preto</t>
  </si>
  <si>
    <t xml:space="preserve">juliformia </t>
  </si>
  <si>
    <t>maria-cavaleiro-do-rabo-enferrujado</t>
  </si>
  <si>
    <t xml:space="preserve">pepino-do-mato </t>
  </si>
  <si>
    <t xml:space="preserve">pombo-doméstico </t>
  </si>
  <si>
    <t>Xanthoria parietina</t>
  </si>
  <si>
    <t>liquen-amarelo</t>
  </si>
  <si>
    <t xml:space="preserve">Maracanã </t>
  </si>
  <si>
    <t>quebra-pedra SP2</t>
  </si>
  <si>
    <t xml:space="preserve">urubu-de-cabeça-preta </t>
  </si>
  <si>
    <t xml:space="preserve">aranha-flamenguista </t>
  </si>
  <si>
    <t>Lorena/Gabriel/Pâmela/Pablo/Maria</t>
  </si>
  <si>
    <t>usnéa</t>
  </si>
  <si>
    <t>rypsales</t>
  </si>
  <si>
    <t xml:space="preserve">pomba-de-flecha </t>
  </si>
  <si>
    <t>Rypsales</t>
  </si>
  <si>
    <t>Tillandsia gardneri</t>
  </si>
  <si>
    <t>cravo-do-mato sp5</t>
  </si>
  <si>
    <t>líquen-ramalina</t>
  </si>
  <si>
    <t>Conyza bonariensis</t>
  </si>
  <si>
    <t>bulva</t>
  </si>
  <si>
    <t xml:space="preserve">ferreirinho-relógio                                                                                                                                                                                                                                                                                                                                                                                                                                                                                                                                                                                                                                                                                                                                                                                                                                                                                                                                                                                                                                                                                                                                                                                                                                                                                                                                                                                                                                                                                                                                                                                                                                                                                                                                                    </t>
  </si>
  <si>
    <t>juá-rasteiro</t>
  </si>
  <si>
    <t>Alisecarpus</t>
  </si>
  <si>
    <t>vespa (Cauã)</t>
  </si>
  <si>
    <t>Desmodium triflorion</t>
  </si>
  <si>
    <t>maracujá</t>
  </si>
  <si>
    <t>Orphulela</t>
  </si>
  <si>
    <t>ipomeia</t>
  </si>
  <si>
    <t>Maria/Lorena S/Pâmela/Pablo/Gabriel</t>
  </si>
  <si>
    <t xml:space="preserve">atta </t>
  </si>
  <si>
    <t xml:space="preserve">agaricus </t>
  </si>
  <si>
    <t xml:space="preserve">bulva </t>
  </si>
  <si>
    <t xml:space="preserve">Emilia </t>
  </si>
  <si>
    <t>Desmodion triflorum</t>
  </si>
  <si>
    <t>Hirundinidae</t>
  </si>
  <si>
    <t xml:space="preserve">andorinha </t>
  </si>
  <si>
    <t>barba-falcão</t>
  </si>
  <si>
    <t xml:space="preserve">cavadeira </t>
  </si>
  <si>
    <t xml:space="preserve">mosquito-da-dengue </t>
  </si>
  <si>
    <t xml:space="preserve">Lagria villosa </t>
  </si>
  <si>
    <t>bicho-capichaba</t>
  </si>
  <si>
    <t>Membracis trimaculata</t>
  </si>
  <si>
    <t>soldadinho-mímico</t>
  </si>
  <si>
    <t>abelha-cachorra</t>
  </si>
  <si>
    <t xml:space="preserve">goiaba </t>
  </si>
  <si>
    <t xml:space="preserve">usnea </t>
  </si>
  <si>
    <t xml:space="preserve">albizia </t>
  </si>
  <si>
    <t xml:space="preserve"> Latrodectus</t>
  </si>
  <si>
    <t>aranha-preta</t>
  </si>
  <si>
    <t>Scolopendridae</t>
  </si>
  <si>
    <t>bulimolus</t>
  </si>
  <si>
    <t>caramujo-da-terra</t>
  </si>
  <si>
    <t xml:space="preserve">milipedis </t>
  </si>
  <si>
    <t xml:space="preserve">Dieffenbachia </t>
  </si>
  <si>
    <t>sublima</t>
  </si>
  <si>
    <t>Oniscidea</t>
  </si>
  <si>
    <t>tatu-de-jardim</t>
  </si>
  <si>
    <t xml:space="preserve">Solanum </t>
  </si>
  <si>
    <t>Tomatinho-amarelo</t>
  </si>
  <si>
    <t>Evolvulus evolvulus</t>
  </si>
  <si>
    <t>ferreirinho</t>
  </si>
  <si>
    <t xml:space="preserve">formiga-quente </t>
  </si>
  <si>
    <t>borboleta-monarca-do-sul</t>
  </si>
  <si>
    <t>Pâmela/Lorena S/Thalli/ Gabriel/ Pablo</t>
  </si>
  <si>
    <t xml:space="preserve">Lantana </t>
  </si>
  <si>
    <t xml:space="preserve">Suiriri-cavaleiro </t>
  </si>
  <si>
    <t xml:space="preserve">Líquen-folioso </t>
  </si>
  <si>
    <t>bomba-de-bando</t>
  </si>
  <si>
    <t xml:space="preserve">azedinha </t>
  </si>
  <si>
    <t>Camponotus pennsylvanicus</t>
  </si>
  <si>
    <t>Mantis religiosa</t>
  </si>
  <si>
    <t>louva-deus</t>
  </si>
  <si>
    <t>desmodium triflorum</t>
  </si>
  <si>
    <t>perpetua-branca</t>
  </si>
  <si>
    <t>perpetua-rosa</t>
  </si>
  <si>
    <t>Evolculus</t>
  </si>
  <si>
    <t>grama-vermelha</t>
  </si>
  <si>
    <t>cravo-do-mato-sp1</t>
  </si>
  <si>
    <t>cravo-do-mato-sp4</t>
  </si>
  <si>
    <t xml:space="preserve"> cravo-do-mato-sp5</t>
  </si>
  <si>
    <t>carcara</t>
  </si>
  <si>
    <t xml:space="preserve">joaninha </t>
  </si>
  <si>
    <t xml:space="preserve">mosca-de-pernas-longas </t>
  </si>
  <si>
    <t>Ruélia</t>
  </si>
  <si>
    <t xml:space="preserve">Pâmela/Lorena S/Maria </t>
  </si>
  <si>
    <t>Cranioleuca pallida</t>
  </si>
  <si>
    <t>arredio-pálido</t>
  </si>
  <si>
    <t>formiga t?</t>
  </si>
  <si>
    <t xml:space="preserve">Desmodium Triflorum </t>
  </si>
  <si>
    <t xml:space="preserve">borboleta-três-pintas </t>
  </si>
  <si>
    <t>Serpophaga subcristata</t>
  </si>
  <si>
    <t xml:space="preserve">alegrinho </t>
  </si>
  <si>
    <t>crava-do-mato Sp2</t>
  </si>
  <si>
    <t>cravo-do-mato Sp4</t>
  </si>
  <si>
    <t>cravo-do-mato Sp5</t>
  </si>
  <si>
    <t>líquen-amarelo</t>
  </si>
  <si>
    <t>Salvia officinalis</t>
  </si>
  <si>
    <t>salvia</t>
  </si>
  <si>
    <t xml:space="preserve">Apis Mellifera </t>
  </si>
  <si>
    <t>abelha-europeia</t>
  </si>
  <si>
    <t xml:space="preserve">Gabriel/Pablo/Maria/Pâmela/Eliandro/Matheus </t>
  </si>
  <si>
    <t>cravo-do-mato-SP2</t>
  </si>
  <si>
    <t>piper tuberculatum</t>
  </si>
  <si>
    <t xml:space="preserve">piper </t>
  </si>
  <si>
    <t xml:space="preserve">piper tuberculatum </t>
  </si>
  <si>
    <t xml:space="preserve"> cravo-do-mato sp4</t>
  </si>
  <si>
    <t>cloris barbata</t>
  </si>
  <si>
    <t xml:space="preserve">desmodium triflorum </t>
  </si>
  <si>
    <t>burnsius orcynoides</t>
  </si>
  <si>
    <t xml:space="preserve">vernonanthura </t>
  </si>
  <si>
    <t>assa-peixe</t>
  </si>
  <si>
    <t>camponotus</t>
  </si>
  <si>
    <t>borboleta-tigre</t>
  </si>
  <si>
    <t>Euryops chrysanthemoides</t>
  </si>
  <si>
    <t>margarida-do-mato</t>
  </si>
  <si>
    <t>beija-flor-de-garganta-vere</t>
  </si>
  <si>
    <t xml:space="preserve">Ponto 10 </t>
  </si>
  <si>
    <t>Lorena S/Pâmela/Maria/Pablo/Gabriel/Patrick/Thalita/Eliandro/Matheus</t>
  </si>
  <si>
    <t xml:space="preserve">borboleta-azulzinha-do-trevo </t>
  </si>
  <si>
    <t>Canna indica</t>
  </si>
  <si>
    <t>cana-índica</t>
  </si>
  <si>
    <t>Estrilda astrild</t>
  </si>
  <si>
    <t>solenopsis</t>
  </si>
  <si>
    <t>burnsius orcus</t>
  </si>
  <si>
    <t xml:space="preserve">joaninha-sem-pintas </t>
  </si>
  <si>
    <t>Trametes sanguineus</t>
  </si>
  <si>
    <t>cravo-do-mato SP4</t>
  </si>
  <si>
    <t>cravo-do-mato SP5</t>
  </si>
  <si>
    <t>sairá-chapéu-preto</t>
  </si>
  <si>
    <t>emillia</t>
  </si>
  <si>
    <t>Streptoprocne zonaris</t>
  </si>
  <si>
    <t>taperuçu-de-coleira-branca</t>
  </si>
  <si>
    <t>Andropogon virginicus</t>
  </si>
  <si>
    <t>barba-de-bode</t>
  </si>
  <si>
    <t>cogumelo-bufa-de-lobo</t>
  </si>
  <si>
    <t xml:space="preserve">mamangava </t>
  </si>
  <si>
    <t xml:space="preserve">marimbondo </t>
  </si>
  <si>
    <t>bacurau-asa-fina</t>
  </si>
  <si>
    <t xml:space="preserve">Ponto1 </t>
  </si>
  <si>
    <t>Lorena S/Gabriel/Pablo/Patrick/Thalita/Pâmela/Renan</t>
  </si>
  <si>
    <t>Úsnea</t>
  </si>
  <si>
    <t>políbea?</t>
  </si>
  <si>
    <t>úsnea</t>
  </si>
  <si>
    <t>Bystropogon maderensis</t>
  </si>
  <si>
    <t xml:space="preserve">quebra-panela </t>
  </si>
  <si>
    <t xml:space="preserve">Ponto 5 </t>
  </si>
  <si>
    <t xml:space="preserve">líquen-amarelo </t>
  </si>
  <si>
    <t>Dysdercus spp</t>
  </si>
  <si>
    <t xml:space="preserve">percevejo-manchador </t>
  </si>
  <si>
    <t>bentivizinho-de-penacho-vermelhoo</t>
  </si>
  <si>
    <t>mitinga/mosca-da-fruta</t>
  </si>
  <si>
    <t>Lorena S/Pâmela/Thallita/Matheus/Lorena B</t>
  </si>
  <si>
    <t>neoponera</t>
  </si>
  <si>
    <t xml:space="preserve">fogo-apagou </t>
  </si>
  <si>
    <t>Melipona mondury</t>
  </si>
  <si>
    <t>abelha-bugia</t>
  </si>
  <si>
    <t>suiriri-cavalheiro</t>
  </si>
  <si>
    <t xml:space="preserve">suzana-dos-olhos-negros </t>
  </si>
  <si>
    <t xml:space="preserve">erva-diamante </t>
  </si>
  <si>
    <t>sanhaçu-do-coqueiro</t>
  </si>
  <si>
    <t>Lorena S/Pâmela/Thallita/Matheus/Gabriel/Pablo</t>
  </si>
  <si>
    <t>aranha-pantropical</t>
  </si>
  <si>
    <t>capim-barba-de-bode</t>
  </si>
  <si>
    <t xml:space="preserve">musgo </t>
  </si>
  <si>
    <t>rhipsalis lindbergiana</t>
  </si>
  <si>
    <t>Syagrus romanzoffiana</t>
  </si>
  <si>
    <t>jerivá</t>
  </si>
  <si>
    <t xml:space="preserve"> cravo-do-mato sp2</t>
  </si>
  <si>
    <t xml:space="preserve"> cravo-do-mato sp5</t>
  </si>
  <si>
    <t>Automeris</t>
  </si>
  <si>
    <t>Momordica charantia</t>
  </si>
  <si>
    <t>borboleta-trigre</t>
  </si>
  <si>
    <t>margaridinha</t>
  </si>
  <si>
    <t>Nicotiana plumbaginifolia</t>
  </si>
  <si>
    <t>Pâmela/Patrick/Maria/Gabriel/Pablo</t>
  </si>
  <si>
    <t>Agharicus</t>
  </si>
  <si>
    <t>embauba</t>
  </si>
  <si>
    <t xml:space="preserve">evolvulus </t>
  </si>
  <si>
    <t>Lepidium</t>
  </si>
  <si>
    <t>cacará</t>
  </si>
  <si>
    <t>capim-carapicho</t>
  </si>
  <si>
    <t xml:space="preserve">saíra-beija-flor </t>
  </si>
  <si>
    <t>sabá-barranco</t>
  </si>
  <si>
    <t>capim-diamantina</t>
  </si>
  <si>
    <t xml:space="preserve">Piper tuberculatum </t>
  </si>
  <si>
    <t>Gabriel/Pablo/Patrick</t>
  </si>
  <si>
    <t>cravo-d-mato-sp4</t>
  </si>
  <si>
    <t>asa-branca;pomba-asa-branca-pocaçu</t>
  </si>
  <si>
    <t>taxon (nome_comum)</t>
  </si>
  <si>
    <t>DATA</t>
  </si>
  <si>
    <t>Coordenadas</t>
  </si>
  <si>
    <t>P1</t>
  </si>
  <si>
    <t>Gabriel/Lorena/Pablo/Hugo/Thalita</t>
  </si>
  <si>
    <t>Leptotila verreauxi</t>
  </si>
  <si>
    <t>juriti-pupu</t>
  </si>
  <si>
    <t>P1 - S 21.76083° / W 41.28817°</t>
  </si>
  <si>
    <t>Hydrochoerus hydrochaeris</t>
  </si>
  <si>
    <t>capivara</t>
  </si>
  <si>
    <t>P2 - S 21.76158° / W 4128815°</t>
  </si>
  <si>
    <t>Didelphis aurita</t>
  </si>
  <si>
    <t>gambá-de-orelha-preta</t>
  </si>
  <si>
    <t>P3 - S 21.76118° / W 41.28809°</t>
  </si>
  <si>
    <t>teiú-gigante</t>
  </si>
  <si>
    <t>P4 - S 21.76088° / W 41.28733°</t>
  </si>
  <si>
    <t>P5 - S 21.76128° / W 41.28751°</t>
  </si>
  <si>
    <t>Gabriel/Pablo</t>
  </si>
  <si>
    <t>P2</t>
  </si>
  <si>
    <t>Gabriel</t>
  </si>
  <si>
    <t>ordem</t>
  </si>
  <si>
    <t>lat</t>
  </si>
  <si>
    <t>lon</t>
  </si>
  <si>
    <t>CCT</t>
  </si>
  <si>
    <t>campo_futebol</t>
  </si>
  <si>
    <t>CCH</t>
  </si>
  <si>
    <t>Reitoria</t>
  </si>
  <si>
    <t>Figueira</t>
  </si>
  <si>
    <t>bosque_paineiras</t>
  </si>
  <si>
    <t>bosque_mulungu</t>
  </si>
  <si>
    <t>estufas</t>
  </si>
  <si>
    <t>HVet</t>
  </si>
  <si>
    <t>CCTA</t>
  </si>
  <si>
    <t>https://www.gbif.org/tools/species-lookup</t>
  </si>
  <si>
    <t>verbatimScientificName</t>
  </si>
  <si>
    <t>scientificName</t>
  </si>
  <si>
    <t>key</t>
  </si>
  <si>
    <t>matchType</t>
  </si>
  <si>
    <t>confidence</t>
  </si>
  <si>
    <t>status</t>
  </si>
  <si>
    <t>rank</t>
  </si>
  <si>
    <t>kingdom</t>
  </si>
  <si>
    <t>phylum</t>
  </si>
  <si>
    <t>class</t>
  </si>
  <si>
    <t>order</t>
  </si>
  <si>
    <t>family</t>
  </si>
  <si>
    <t>genus</t>
  </si>
  <si>
    <t>species</t>
  </si>
  <si>
    <t>canonicalName</t>
  </si>
  <si>
    <t>authorship</t>
  </si>
  <si>
    <t>usageKey</t>
  </si>
  <si>
    <t>Acacia Mill.</t>
  </si>
  <si>
    <t>HIGHERRANK</t>
  </si>
  <si>
    <t>ACCEPTED</t>
  </si>
  <si>
    <t>GENUS</t>
  </si>
  <si>
    <t>Plantae</t>
  </si>
  <si>
    <t>Tracheophyta</t>
  </si>
  <si>
    <t>Magnoliopsida</t>
  </si>
  <si>
    <t>Fabales</t>
  </si>
  <si>
    <t>Mill.</t>
  </si>
  <si>
    <t>Acacia mangium Willd.</t>
  </si>
  <si>
    <t>EXACT</t>
  </si>
  <si>
    <t>SPECIES</t>
  </si>
  <si>
    <t>Willd.</t>
  </si>
  <si>
    <t>Acromyrmex Mayr, 1865</t>
  </si>
  <si>
    <t>Animalia</t>
  </si>
  <si>
    <t>Arthropoda</t>
  </si>
  <si>
    <t>Insecta</t>
  </si>
  <si>
    <t>Mayr, 1865</t>
  </si>
  <si>
    <t>Aedes aegypti (Linnaeus, 1762)</t>
  </si>
  <si>
    <t>Aedes</t>
  </si>
  <si>
    <t>(Linnaeus, 1762)</t>
  </si>
  <si>
    <t>Agaricus Linnaeus, 1753</t>
  </si>
  <si>
    <t>Basidiomycota</t>
  </si>
  <si>
    <t>Agaricomycetes</t>
  </si>
  <si>
    <t>Agaricales</t>
  </si>
  <si>
    <t>Agaricaceae</t>
  </si>
  <si>
    <t>Linnaeus, 1753</t>
  </si>
  <si>
    <t>Albizia Durazz.</t>
  </si>
  <si>
    <t>EDITED</t>
  </si>
  <si>
    <t>Albizia lebbeck (L.) Benth.</t>
  </si>
  <si>
    <t>(L.) Benth.</t>
  </si>
  <si>
    <t>Alternanthera Forssk.</t>
  </si>
  <si>
    <t>Caryophyllales</t>
  </si>
  <si>
    <t>Amaranthaceae</t>
  </si>
  <si>
    <t>Forssk.</t>
  </si>
  <si>
    <t>Alternanthera ficoidea (L.) R.Br.</t>
  </si>
  <si>
    <t>(L.) R.Br.</t>
  </si>
  <si>
    <t>Alternanthera philoxeroides (Mart.) Griseb.</t>
  </si>
  <si>
    <t>(Mart.) Griseb.</t>
  </si>
  <si>
    <t>Alysicarpus Desv.</t>
  </si>
  <si>
    <t>Desv.</t>
  </si>
  <si>
    <t>Alysicarpus vaginalis (L.) DC.</t>
  </si>
  <si>
    <t>(L.) DC.</t>
  </si>
  <si>
    <t>Amaranthus spinosus L.</t>
  </si>
  <si>
    <t>Amaranthus</t>
  </si>
  <si>
    <t>L.</t>
  </si>
  <si>
    <t>Amaranthus viridis L.</t>
  </si>
  <si>
    <t>Amphilophium crucigerum (L.) L.G.Lohmann</t>
  </si>
  <si>
    <t>Lamiales</t>
  </si>
  <si>
    <t>Bignoniaceae</t>
  </si>
  <si>
    <t>Amphilophium</t>
  </si>
  <si>
    <t>(L.) L.G.Lohmann</t>
  </si>
  <si>
    <t>Anartia jatrophae (Linnaeus, 1763)</t>
  </si>
  <si>
    <t>Nymphalidae</t>
  </si>
  <si>
    <t>Anartia</t>
  </si>
  <si>
    <t>(Linnaeus, 1763)</t>
  </si>
  <si>
    <t>Andropogon virginicus L.</t>
  </si>
  <si>
    <t>Liliopsida</t>
  </si>
  <si>
    <t>Poales</t>
  </si>
  <si>
    <t>Andropogon</t>
  </si>
  <si>
    <t>Magnoliophyta</t>
  </si>
  <si>
    <t>SYNONYM</t>
  </si>
  <si>
    <t>PHYLUM</t>
  </si>
  <si>
    <t>Apis mellifera Linnaeus, 1758</t>
  </si>
  <si>
    <t>Apidae</t>
  </si>
  <si>
    <t>Apis</t>
  </si>
  <si>
    <t>Linnaeus, 1758</t>
  </si>
  <si>
    <t>FAMILY</t>
  </si>
  <si>
    <t>Chordata</t>
  </si>
  <si>
    <t>Aves</t>
  </si>
  <si>
    <t>Apodiformes</t>
  </si>
  <si>
    <t>Aramides saracura (Spix, 1825)</t>
  </si>
  <si>
    <t>Gruiformes</t>
  </si>
  <si>
    <t>Rallidae</t>
  </si>
  <si>
    <t>Aramides</t>
  </si>
  <si>
    <t>(Spix, 1825)</t>
  </si>
  <si>
    <t>ORDER</t>
  </si>
  <si>
    <t>Arachnida</t>
  </si>
  <si>
    <t>Ardea alba Linnaeus, 1758</t>
  </si>
  <si>
    <t>Pelecaniformes</t>
  </si>
  <si>
    <t>Ardeidae</t>
  </si>
  <si>
    <t>Ardea</t>
  </si>
  <si>
    <t>Argiope argentata (Fabricius, 1775)</t>
  </si>
  <si>
    <t>Argiope</t>
  </si>
  <si>
    <t>(Fabricius, 1775)</t>
  </si>
  <si>
    <t>Asemeia violacea (Aubl.) J.F.B.Pastore &amp; J.R.Abbott</t>
  </si>
  <si>
    <t>Polygalaceae</t>
  </si>
  <si>
    <t>Asemeia</t>
  </si>
  <si>
    <t>(Aubl.) J.F.B.Pastore &amp; J.R.Abbott</t>
  </si>
  <si>
    <t>Asiopus Lopatin, 1965</t>
  </si>
  <si>
    <t>Chrysomelidae</t>
  </si>
  <si>
    <t>Cryptocephalus</t>
  </si>
  <si>
    <t>Asiopus</t>
  </si>
  <si>
    <t>Lopatin, 1965</t>
  </si>
  <si>
    <t>Athene cunicularia (Molina, 1782)</t>
  </si>
  <si>
    <t>Strigiformes</t>
  </si>
  <si>
    <t>Strigidae</t>
  </si>
  <si>
    <t>Athene</t>
  </si>
  <si>
    <t>(Molina, 1782)</t>
  </si>
  <si>
    <t>Automeris H√ºbner, 1819</t>
  </si>
  <si>
    <t>Saturniidae</t>
  </si>
  <si>
    <t>H√ºbner, 1819</t>
  </si>
  <si>
    <t>NONE</t>
  </si>
  <si>
    <t>Baccharis dracunculifolia DC.</t>
  </si>
  <si>
    <t>Asterales</t>
  </si>
  <si>
    <t>Baccharis</t>
  </si>
  <si>
    <t>DC.</t>
  </si>
  <si>
    <t>Bemisia tabaci (Gennadius, 1889)</t>
  </si>
  <si>
    <t>Aleyrodidae</t>
  </si>
  <si>
    <t>Bemisia</t>
  </si>
  <si>
    <t>(Gennadius, 1889)</t>
  </si>
  <si>
    <t>Bidens pilosa L.</t>
  </si>
  <si>
    <t>Bidens</t>
  </si>
  <si>
    <t>Blaberidae</t>
  </si>
  <si>
    <t>Boehmeria cylindrica (L.) Sw.</t>
  </si>
  <si>
    <t>Rosales</t>
  </si>
  <si>
    <t>Urticaceae</t>
  </si>
  <si>
    <t>Boehmeria</t>
  </si>
  <si>
    <t>(L.) Sw.</t>
  </si>
  <si>
    <t>Boerhavia diffusa L.</t>
  </si>
  <si>
    <t>Nyctaginaceae</t>
  </si>
  <si>
    <t>Boerhavia</t>
  </si>
  <si>
    <t>Brachiaria decumbens Stapf</t>
  </si>
  <si>
    <t>Urochloa eminii</t>
  </si>
  <si>
    <t>Stapf</t>
  </si>
  <si>
    <t>Brachygastra lecheguana (Latreille, 1824)</t>
  </si>
  <si>
    <t>Brachygastra</t>
  </si>
  <si>
    <t>(Latreille, 1824)</t>
  </si>
  <si>
    <t>Bradybaena similaris (A.F√©russac, 1822)</t>
  </si>
  <si>
    <t>Mollusca</t>
  </si>
  <si>
    <t>Gastropoda</t>
  </si>
  <si>
    <t>Stylommatophora</t>
  </si>
  <si>
    <t>Camaenidae</t>
  </si>
  <si>
    <t>Bradybaena</t>
  </si>
  <si>
    <t>(A.F√©russac, 1822)</t>
  </si>
  <si>
    <t>Bubulcus ibis (Linnaeus, 1758)</t>
  </si>
  <si>
    <t>Bubulcus</t>
  </si>
  <si>
    <t>(Linnaeus, 1758)</t>
  </si>
  <si>
    <t>Bulimulus Leach, 1814</t>
  </si>
  <si>
    <t>Bulimulidae</t>
  </si>
  <si>
    <t>Leach, 1814</t>
  </si>
  <si>
    <t>Bulimulus tenuissimus (A.F√©russac, 1832)</t>
  </si>
  <si>
    <t>(A.F√©russac, 1832)</t>
  </si>
  <si>
    <t>Burnsius orcus (Stoll, 1780)</t>
  </si>
  <si>
    <t>Hesperiidae</t>
  </si>
  <si>
    <t>Pyrgus</t>
  </si>
  <si>
    <t>Pyrgus oileus</t>
  </si>
  <si>
    <t>(Stoll, 1780)</t>
  </si>
  <si>
    <t>Burnsius</t>
  </si>
  <si>
    <t>Bystropogon maderensis Webb &amp; Berthel.</t>
  </si>
  <si>
    <t>Lamiaceae</t>
  </si>
  <si>
    <t>Bystropogon</t>
  </si>
  <si>
    <t>Webb &amp; Berthel.</t>
  </si>
  <si>
    <t>Camponotus Mayr, 1861</t>
  </si>
  <si>
    <t>Mayr, 1861</t>
  </si>
  <si>
    <t>Camponotus cruentatus (Latreille, 1802)</t>
  </si>
  <si>
    <t>(Latreille, 1802)</t>
  </si>
  <si>
    <t>Camponotus pennsylvanicus (De Geer, 1773)</t>
  </si>
  <si>
    <t>(De Geer, 1773)</t>
  </si>
  <si>
    <t>Camptostoma obsoletum (Temminck, 1824)</t>
  </si>
  <si>
    <t>Passeriformes</t>
  </si>
  <si>
    <t>Tyrannidae</t>
  </si>
  <si>
    <t>Camptostoma</t>
  </si>
  <si>
    <t>(Temminck, 1824)</t>
  </si>
  <si>
    <t>Canna indica L.</t>
  </si>
  <si>
    <t>Zingiberales</t>
  </si>
  <si>
    <t>Cannaceae</t>
  </si>
  <si>
    <t>Canna</t>
  </si>
  <si>
    <t>Caracara plancus (J.F.Miller, 1777)</t>
  </si>
  <si>
    <t>FUZZY</t>
  </si>
  <si>
    <t>Falconiformes</t>
  </si>
  <si>
    <t>Falconidae</t>
  </si>
  <si>
    <t>Caracara</t>
  </si>
  <si>
    <t>(J.F.Miller, 1777)</t>
  </si>
  <si>
    <t>Cathartes burrovianus Cassin, 1845</t>
  </si>
  <si>
    <t>Accipitriformes</t>
  </si>
  <si>
    <t>Cathartidae</t>
  </si>
  <si>
    <t>Cathartes</t>
  </si>
  <si>
    <t>Cassin, 1845</t>
  </si>
  <si>
    <t>Cecropia</t>
  </si>
  <si>
    <t>Cecropia Loefl.</t>
  </si>
  <si>
    <t>Loefl.</t>
  </si>
  <si>
    <t>Cecropia hololeuca</t>
  </si>
  <si>
    <t>Cecropia hololeuca Miq.</t>
  </si>
  <si>
    <t>Miq.</t>
  </si>
  <si>
    <t>Cecropia glaziovii Tr√©cul</t>
  </si>
  <si>
    <t>Tr√©cul</t>
  </si>
  <si>
    <t>Cenchrus echinatus L.</t>
  </si>
  <si>
    <t>Cenchrus</t>
  </si>
  <si>
    <t>Chamaecrista nictitans (L.) Moench</t>
  </si>
  <si>
    <t>Chamaecrista</t>
  </si>
  <si>
    <t>(L.) Moench</t>
  </si>
  <si>
    <t>Chamaecrista rotundifolia (Pers.) Greene</t>
  </si>
  <si>
    <t>(Pers.) Greene</t>
  </si>
  <si>
    <t>CLASS</t>
  </si>
  <si>
    <t>Chionomesa fimbriata (J.F.Gmelin, 1788)</t>
  </si>
  <si>
    <t>Trochilidae</t>
  </si>
  <si>
    <t>Chionomesa</t>
  </si>
  <si>
    <t>(J.F.Gmelin, 1788)</t>
  </si>
  <si>
    <t>Chloris barbata Sw.</t>
  </si>
  <si>
    <t>Sw.</t>
  </si>
  <si>
    <t>Chloris virgata Sw.</t>
  </si>
  <si>
    <t>Chlorophytum comosum</t>
  </si>
  <si>
    <t>Chlorophytum comosum (Thunb.) Jacques</t>
  </si>
  <si>
    <t>Asparagales</t>
  </si>
  <si>
    <t>Asparagaceae</t>
  </si>
  <si>
    <t>Chlorophytum</t>
  </si>
  <si>
    <t>(Thunb.) Jacques</t>
  </si>
  <si>
    <t>Chordeiles acutipennis (Hermann, 1783)</t>
  </si>
  <si>
    <t>Caprimulgiformes</t>
  </si>
  <si>
    <t>Caprimulgidae</t>
  </si>
  <si>
    <t>Chordeiles</t>
  </si>
  <si>
    <t>(Hermann, 1783)</t>
  </si>
  <si>
    <t>Christella dentata (Forssk.) Brownsey &amp; Jermy</t>
  </si>
  <si>
    <t>Polypodiopsida</t>
  </si>
  <si>
    <t>Polypodiales</t>
  </si>
  <si>
    <t>Thelypteridaceae</t>
  </si>
  <si>
    <t>Christella</t>
  </si>
  <si>
    <t>(Forssk.) Brownsey &amp; Jermy</t>
  </si>
  <si>
    <t>Chroicocephalus cirrocephalus (Vieillot, 1818)</t>
  </si>
  <si>
    <t>Charadriiformes</t>
  </si>
  <si>
    <t>Laridae</t>
  </si>
  <si>
    <t>Chroicocephalus</t>
  </si>
  <si>
    <t>(Vieillot, 1818)</t>
  </si>
  <si>
    <t>Cicadellia Latreille, 1817</t>
  </si>
  <si>
    <t>Cicadella</t>
  </si>
  <si>
    <t>Cicadellia</t>
  </si>
  <si>
    <t>Cissus verticillata (L.) Nicolson &amp; C.E.Jarvis</t>
  </si>
  <si>
    <t>Vitales</t>
  </si>
  <si>
    <t>Vitaceae</t>
  </si>
  <si>
    <t>Cissus</t>
  </si>
  <si>
    <t>(L.) Nicolson &amp; C.E.Jarvis</t>
  </si>
  <si>
    <t>Cleome L.</t>
  </si>
  <si>
    <t>Brassicales</t>
  </si>
  <si>
    <t>Cleomaceae</t>
  </si>
  <si>
    <t>Cleome aculeata L.</t>
  </si>
  <si>
    <t>Tarenaya</t>
  </si>
  <si>
    <t>Tarenaya aculeata</t>
  </si>
  <si>
    <t>Coereba flaveola (Linnaeus, 1758)</t>
  </si>
  <si>
    <t>Thraupidae</t>
  </si>
  <si>
    <t>Coereba</t>
  </si>
  <si>
    <t>Colaptes campestris (Vieillot, 1818)</t>
  </si>
  <si>
    <t>Piciformes</t>
  </si>
  <si>
    <t>Picidae</t>
  </si>
  <si>
    <t>Colaptes</t>
  </si>
  <si>
    <t>Columba livia J.F.Gmelin, 1789</t>
  </si>
  <si>
    <t>Columbiformes</t>
  </si>
  <si>
    <t>Columbidae</t>
  </si>
  <si>
    <t>Columba</t>
  </si>
  <si>
    <t>J.F.Gmelin, 1789</t>
  </si>
  <si>
    <t>Columbina picui (Temminck, 1813)</t>
  </si>
  <si>
    <t>Columbina</t>
  </si>
  <si>
    <t>(Temminck, 1813)</t>
  </si>
  <si>
    <t>Columbina squammata (R.Lesson, 1831)</t>
  </si>
  <si>
    <t>(R.Lesson, 1831)</t>
  </si>
  <si>
    <t>Columbina talpacoti (Temminck, 1810)</t>
  </si>
  <si>
    <t>(Temminck, 1810)</t>
  </si>
  <si>
    <t>Commelina erecta L.</t>
  </si>
  <si>
    <t>Commelinales</t>
  </si>
  <si>
    <t>Commelinaceae</t>
  </si>
  <si>
    <t>Commelina</t>
  </si>
  <si>
    <t>Condylostylus longicornis (Fabricius, 1775)</t>
  </si>
  <si>
    <t>Dolichopodidae</t>
  </si>
  <si>
    <t>Conirostrum speciosum (Temminck, 1824)</t>
  </si>
  <si>
    <t>Conirostrum</t>
  </si>
  <si>
    <t>Conyza bonariensis (L.) Cronquist</t>
  </si>
  <si>
    <t>Erigeron</t>
  </si>
  <si>
    <t>Erigeron bonariensis</t>
  </si>
  <si>
    <t>(L.) Cronquist</t>
  </si>
  <si>
    <t>Copaifera langsdorffii</t>
  </si>
  <si>
    <t>Copaifera langsdorffii Desf.</t>
  </si>
  <si>
    <t>Copaifera</t>
  </si>
  <si>
    <t>Desf.</t>
  </si>
  <si>
    <t>Coprinellus P.Karst.</t>
  </si>
  <si>
    <t>P.Karst.</t>
  </si>
  <si>
    <t>Coragyps atratus (Bechstein, 1793)</t>
  </si>
  <si>
    <t>Coragyps</t>
  </si>
  <si>
    <t>(Bechstein, 1793)</t>
  </si>
  <si>
    <t>Cornu aspersum (O.F.M√ºller, 1774)</t>
  </si>
  <si>
    <t>Helicidae</t>
  </si>
  <si>
    <t>Cornu</t>
  </si>
  <si>
    <t>(O.F.M√ºller, 1774)</t>
  </si>
  <si>
    <t>Lepidium didymum</t>
  </si>
  <si>
    <t>Lepidium didymum (L.) Sm.</t>
  </si>
  <si>
    <t>Brassicaceae</t>
  </si>
  <si>
    <t>(L.) Sm.</t>
  </si>
  <si>
    <t>Cranioleuca pallida (Wied-Neuwied, 1831)</t>
  </si>
  <si>
    <t>Furnariidae</t>
  </si>
  <si>
    <t>Cranioleuca</t>
  </si>
  <si>
    <t>(Wied-Neuwied, 1831)</t>
  </si>
  <si>
    <t>Youngia japonica (L.) Wallr.</t>
  </si>
  <si>
    <t>Crepis</t>
  </si>
  <si>
    <t>(L.) Wallr.</t>
  </si>
  <si>
    <t>Crocidura russula</t>
  </si>
  <si>
    <t>Crocidura russula (Hermann, 1780)</t>
  </si>
  <si>
    <t>Mammalia</t>
  </si>
  <si>
    <t>Soricomorpha</t>
  </si>
  <si>
    <t>Soricidae</t>
  </si>
  <si>
    <t>Crocidura</t>
  </si>
  <si>
    <t>(Hermann, 1780)</t>
  </si>
  <si>
    <t>Crotophaga ani Linnaeus, 1758</t>
  </si>
  <si>
    <t>Cuculiformes</t>
  </si>
  <si>
    <t>Cuculidae</t>
  </si>
  <si>
    <t>Crotophaga</t>
  </si>
  <si>
    <t>Cubaris murina Brandt, 1833</t>
  </si>
  <si>
    <t>Malacostraca</t>
  </si>
  <si>
    <t>Isopoda</t>
  </si>
  <si>
    <t>Armadillidae</t>
  </si>
  <si>
    <t>Cubaris</t>
  </si>
  <si>
    <t>Brandt, 1833</t>
  </si>
  <si>
    <t>Cucumis anguria L.</t>
  </si>
  <si>
    <t>Cucurbitales</t>
  </si>
  <si>
    <t>Cucumis</t>
  </si>
  <si>
    <t>Cyanerpes cyaneus (Linnaeus, 1766)</t>
  </si>
  <si>
    <t>Cyanerpes</t>
  </si>
  <si>
    <t>(Linnaeus, 1766)</t>
  </si>
  <si>
    <t>Cyanthillium cinereum (L.) H.Rob.</t>
  </si>
  <si>
    <t>Cyanthillium</t>
  </si>
  <si>
    <t>(L.) H.Rob.</t>
  </si>
  <si>
    <t>Cycloneda sanguinea (Linnaeus, 1763)</t>
  </si>
  <si>
    <t>Cycloneda</t>
  </si>
  <si>
    <t>Cymaenes tripunctus (Herrich-Sch√§ffer, 1865)</t>
  </si>
  <si>
    <t>Cymaenes</t>
  </si>
  <si>
    <t>(Herrich-Sch√§ffer, 1865)</t>
  </si>
  <si>
    <t>Cynodon dactylon (L.) Pers.</t>
  </si>
  <si>
    <t>Cynodon</t>
  </si>
  <si>
    <t>(L.) Pers.</t>
  </si>
  <si>
    <t>Cyperus esculentus L.</t>
  </si>
  <si>
    <t>Cyperaceae</t>
  </si>
  <si>
    <t>Cyperus</t>
  </si>
  <si>
    <t>Cyperus rotundus L.</t>
  </si>
  <si>
    <t>Cyrtocymura scorpioides (Lam.) H.Rob.</t>
  </si>
  <si>
    <t>Cyrtocymura</t>
  </si>
  <si>
    <t>(Lam.) H.Rob.</t>
  </si>
  <si>
    <t>Dactyloctenium aegyptium (L.) Willd.</t>
  </si>
  <si>
    <t>Dactyloctenium</t>
  </si>
  <si>
    <t>(L.) Willd.</t>
  </si>
  <si>
    <t>Danaus erippus (Cramer, 1775)</t>
  </si>
  <si>
    <t>Danaus</t>
  </si>
  <si>
    <t>(Cramer, 1775)</t>
  </si>
  <si>
    <t>Danaus plexippus (Linnaeus, 1758)</t>
  </si>
  <si>
    <t>Desmodium incanum (Sw.) DC.</t>
  </si>
  <si>
    <t>Desmodium</t>
  </si>
  <si>
    <t>(Sw.) DC.</t>
  </si>
  <si>
    <t>Desmodium triflorum Wall. ex Wight &amp; Arn.</t>
  </si>
  <si>
    <t>Grona</t>
  </si>
  <si>
    <t>Grona heterophylla</t>
  </si>
  <si>
    <t>Dieffenbachia</t>
  </si>
  <si>
    <t>Dieffenbachia Schott</t>
  </si>
  <si>
    <t>Alismatales</t>
  </si>
  <si>
    <t>Araceae</t>
  </si>
  <si>
    <t>Schott</t>
  </si>
  <si>
    <t>Digitaria insularis (L.) Mez ex Ekman</t>
  </si>
  <si>
    <t>Digitaria</t>
  </si>
  <si>
    <t>(L.) Mez ex Ekman</t>
  </si>
  <si>
    <t>Dione juno Cramer, 1779</t>
  </si>
  <si>
    <t>Dione</t>
  </si>
  <si>
    <t>Cramer, 1779</t>
  </si>
  <si>
    <t>Dione vanillae (Linnaeus, 1758)</t>
  </si>
  <si>
    <t>Diplopoda</t>
  </si>
  <si>
    <t>Ascomycota</t>
  </si>
  <si>
    <t>Lecanoromycetes</t>
  </si>
  <si>
    <t>Caliciales</t>
  </si>
  <si>
    <t>Caliciaceae</t>
  </si>
  <si>
    <t>Drosophila melanogaster Meigen, 1830</t>
  </si>
  <si>
    <t>Drosophilidae</t>
  </si>
  <si>
    <t>Drosophila</t>
  </si>
  <si>
    <t>Meigen, 1830</t>
  </si>
  <si>
    <t>Drymaria cordata (L.) Willd. ex Schult.</t>
  </si>
  <si>
    <t>Caryophyllaceae</t>
  </si>
  <si>
    <t>Drymaria</t>
  </si>
  <si>
    <t>(L.) Willd. ex Schult.</t>
  </si>
  <si>
    <t>Dysdercus Guerin-M√©neville, 1831</t>
  </si>
  <si>
    <t>Pyrrhocoridae</t>
  </si>
  <si>
    <t>Guerin-M√©neville, 1831</t>
  </si>
  <si>
    <t>Lepidium didymum (L.) Mosyakin &amp; Clemants</t>
  </si>
  <si>
    <t>Dysphania</t>
  </si>
  <si>
    <t>(L.) Mosyakin &amp; Clemants</t>
  </si>
  <si>
    <t>Melothria cucumis (Michx.) Torr. &amp; A.Gray</t>
  </si>
  <si>
    <t>Echinocystis</t>
  </si>
  <si>
    <t>(Michx.) Torr. &amp; A.Gray</t>
  </si>
  <si>
    <t>Eclipta prostrata (L.) L.</t>
  </si>
  <si>
    <t>Eclipta</t>
  </si>
  <si>
    <t>(L.) L.</t>
  </si>
  <si>
    <t>Ectatomma Smith, 1858</t>
  </si>
  <si>
    <t>Smith, 1858</t>
  </si>
  <si>
    <t>Egretta thula (Molina, 1782)</t>
  </si>
  <si>
    <t>Egretta</t>
  </si>
  <si>
    <t>Elaenia</t>
  </si>
  <si>
    <t>Elaenia Sundevall, 1836</t>
  </si>
  <si>
    <t>Sundevall, 1836</t>
  </si>
  <si>
    <t>Elaenia flavogaster (Thunberg, 1822)</t>
  </si>
  <si>
    <t>(Thunberg, 1822)</t>
  </si>
  <si>
    <t>Elaenia spectabilis Pelzeln, 1868</t>
  </si>
  <si>
    <t>Pelzeln, 1868</t>
  </si>
  <si>
    <t>Eleusine indica (L.) Gaertn.</t>
  </si>
  <si>
    <t>Eleusine</t>
  </si>
  <si>
    <t>(L.) Gaertn.</t>
  </si>
  <si>
    <t>Heliconius erato (Linnaeus, 1758)</t>
  </si>
  <si>
    <t>Heliconius</t>
  </si>
  <si>
    <t>Emilia fosbergii Nicolson</t>
  </si>
  <si>
    <t>Emilia</t>
  </si>
  <si>
    <t>Nicolson</t>
  </si>
  <si>
    <t>Emilia sonchifolia (L.) DC. ex Wight</t>
  </si>
  <si>
    <t>(L.) DC. ex Wight</t>
  </si>
  <si>
    <t>Eriophora edax (Blackwall, 1863)</t>
  </si>
  <si>
    <t>Eriophora</t>
  </si>
  <si>
    <t>(Blackwall, 1863)</t>
  </si>
  <si>
    <t>Eriotheca pubescens</t>
  </si>
  <si>
    <t>Eriotheca pubescens (Mart. &amp; Zucc.) Schott &amp; Endl.</t>
  </si>
  <si>
    <t>Malvales</t>
  </si>
  <si>
    <t>Eriotheca</t>
  </si>
  <si>
    <t>(Mart. &amp; Zucc.) Schott &amp; Endl.</t>
  </si>
  <si>
    <t>Estrilda astrild (Linnaeus, 1758)</t>
  </si>
  <si>
    <t>Estrildidae</t>
  </si>
  <si>
    <t>Estrilda</t>
  </si>
  <si>
    <t>Eulaema nigrita Lepeletier, 1841</t>
  </si>
  <si>
    <t>Eulaema</t>
  </si>
  <si>
    <t>Lepeletier, 1841</t>
  </si>
  <si>
    <t>Eupetomena macroura (J.F.Gmelin, 1788)</t>
  </si>
  <si>
    <t>Eupetomena</t>
  </si>
  <si>
    <t>Euphonia chlorotica (Linnaeus, 1766)</t>
  </si>
  <si>
    <t>Fringillidae</t>
  </si>
  <si>
    <t>Euphonia</t>
  </si>
  <si>
    <t>Euphonia violacea (Linnaeus, 1758)</t>
  </si>
  <si>
    <t>Euphorbia L.</t>
  </si>
  <si>
    <t>DOUBTFUL</t>
  </si>
  <si>
    <t>Malpighiales</t>
  </si>
  <si>
    <t>Euphorbiaceae</t>
  </si>
  <si>
    <t>Euphorbia dichroa S.Carter</t>
  </si>
  <si>
    <t>S.Carter</t>
  </si>
  <si>
    <t>Euphorbia graminea Jacq.</t>
  </si>
  <si>
    <t>Jacq.</t>
  </si>
  <si>
    <t>Euphorbia heterophylla L.</t>
  </si>
  <si>
    <t>Euphorbia hirta L.</t>
  </si>
  <si>
    <t>Euphorbia hyssopifolia L.</t>
  </si>
  <si>
    <t>Euphorbia prostrata Aiton</t>
  </si>
  <si>
    <t>Aiton</t>
  </si>
  <si>
    <t>Eupsittula aurea (J.F.Gmelin, 1788)</t>
  </si>
  <si>
    <t>Psittaciformes</t>
  </si>
  <si>
    <t>Psittacidae</t>
  </si>
  <si>
    <t>Aratinga</t>
  </si>
  <si>
    <t>Eclipta prostata</t>
  </si>
  <si>
    <t>Eclipta prostata (DC.) B.Nord.</t>
  </si>
  <si>
    <t>Euryops</t>
  </si>
  <si>
    <t>(DC.) B.Nord.</t>
  </si>
  <si>
    <t>Evolvulus L.</t>
  </si>
  <si>
    <t>Solanales</t>
  </si>
  <si>
    <t>Convolvulaceae</t>
  </si>
  <si>
    <t>Evolvulus alsinoides</t>
  </si>
  <si>
    <t>Evolvulus alsinoides (L.) L.</t>
  </si>
  <si>
    <t>Evolvulus nummularius (L.) L.</t>
  </si>
  <si>
    <t>Falco Linnaeus, 1758</t>
  </si>
  <si>
    <t>Falco sparverius Linnaeus, 1758</t>
  </si>
  <si>
    <t>Fidicina Amyot &amp; Audinet-Serville, 1843</t>
  </si>
  <si>
    <t>Fluvicola nengeta (Linnaeus, 1766)</t>
  </si>
  <si>
    <t>Fluvicola</t>
  </si>
  <si>
    <t>Flavopunctelia soredica (Nyl.) Hale</t>
  </si>
  <si>
    <t>Lecanorales</t>
  </si>
  <si>
    <t>Parmeliaceae</t>
  </si>
  <si>
    <t>Flavopunctelia</t>
  </si>
  <si>
    <t>(Nyl.) Hale</t>
  </si>
  <si>
    <t>Furnarius figulus (Lichtenstein, 1823)</t>
  </si>
  <si>
    <t>Furnarius</t>
  </si>
  <si>
    <t>(Lichtenstein, 1823)</t>
  </si>
  <si>
    <t>Furnarius rufus (Gmelin, 1788)</t>
  </si>
  <si>
    <t>(Gmelin, 1788)</t>
  </si>
  <si>
    <t>Gomphrena celosioides Mart.</t>
  </si>
  <si>
    <t>Gomphrena</t>
  </si>
  <si>
    <t>Mart.</t>
  </si>
  <si>
    <t>Gomphrena globosa L.</t>
  </si>
  <si>
    <t>Greta oto (Hewitson, 1854)</t>
  </si>
  <si>
    <t>Greta</t>
  </si>
  <si>
    <t>(Hewitson, 1854)</t>
  </si>
  <si>
    <t>Orthoptera</t>
  </si>
  <si>
    <t>Gryne Simon, 1879</t>
  </si>
  <si>
    <t>Opiliones</t>
  </si>
  <si>
    <t>Cosmetidae</t>
  </si>
  <si>
    <t>Simon, 1879</t>
  </si>
  <si>
    <t>Guira guira (Gmelin, 1788)</t>
  </si>
  <si>
    <t>Guira</t>
  </si>
  <si>
    <t>Hamadryas H√ºbner, 1806</t>
  </si>
  <si>
    <t>Hamadryas feronia (Linnaeus, 1758)</t>
  </si>
  <si>
    <t>Hemiargus hanno (Stoll, 1790)</t>
  </si>
  <si>
    <t>Lycaenidae</t>
  </si>
  <si>
    <t>Hemiargus</t>
  </si>
  <si>
    <t>(Stoll, 1790)</t>
  </si>
  <si>
    <t>Hemidactylus mabouia (Moreau De Jonn√®s, 1818)</t>
  </si>
  <si>
    <t>Squamata</t>
  </si>
  <si>
    <t>Gekkonidae</t>
  </si>
  <si>
    <t>Hemidactylus</t>
  </si>
  <si>
    <t>(Moreau De Jonn√®s, 1818)</t>
  </si>
  <si>
    <t>Heteroptera Macquart, 1835</t>
  </si>
  <si>
    <t>Sphaeroceridae</t>
  </si>
  <si>
    <t>Coproica</t>
  </si>
  <si>
    <t>Macquart, 1835</t>
  </si>
  <si>
    <t>Hipertuberculate</t>
  </si>
  <si>
    <t>Hygrocybe (Fr.) P.Kumm., 1871</t>
  </si>
  <si>
    <t>Hygrophoraceae</t>
  </si>
  <si>
    <t>(Fr.) P.Kumm., 1871</t>
  </si>
  <si>
    <t>Hylophilus thoracicus Temminck, 1822</t>
  </si>
  <si>
    <t>Vireonidae</t>
  </si>
  <si>
    <t>Hylophilus</t>
  </si>
  <si>
    <t>Temminck, 1822</t>
  </si>
  <si>
    <t>Hymenaea courbaril</t>
  </si>
  <si>
    <t>Hymenaea courbaril L.</t>
  </si>
  <si>
    <t>Hymenaea</t>
  </si>
  <si>
    <t>Indigofera hirsuta L.</t>
  </si>
  <si>
    <t>Ipomoea L.</t>
  </si>
  <si>
    <t>Julida</t>
  </si>
  <si>
    <t>Junonia evarete Cramer, 1782</t>
  </si>
  <si>
    <t>Junonia</t>
  </si>
  <si>
    <t>Cramer, 1782</t>
  </si>
  <si>
    <t>Lagria villosa (Fabricius, 1781)</t>
  </si>
  <si>
    <t>Tenebrionidae</t>
  </si>
  <si>
    <t>Lagria</t>
  </si>
  <si>
    <t>(Fabricius, 1781)</t>
  </si>
  <si>
    <t>Lantana camara L.</t>
  </si>
  <si>
    <t>Verbenaceae</t>
  </si>
  <si>
    <t>Lantana</t>
  </si>
  <si>
    <t>Laportea aestuans (L.) Chew</t>
  </si>
  <si>
    <t>Laportea</t>
  </si>
  <si>
    <t>(L.) Chew</t>
  </si>
  <si>
    <t>Latrodectus</t>
  </si>
  <si>
    <t>Latrodectus Walckenaer, 1805</t>
  </si>
  <si>
    <t>Theridiidae</t>
  </si>
  <si>
    <t>Walckenaer, 1805</t>
  </si>
  <si>
    <t>Leonurus sibiricus L.</t>
  </si>
  <si>
    <t>Leonurus</t>
  </si>
  <si>
    <t>Lepidium L.</t>
  </si>
  <si>
    <t>Lepidium virginicum L.</t>
  </si>
  <si>
    <t>Leptodactylus latrans (Steffen, 1815)</t>
  </si>
  <si>
    <t>Amphibia</t>
  </si>
  <si>
    <t>Anura</t>
  </si>
  <si>
    <t>Leptodactylidae</t>
  </si>
  <si>
    <t>Leptodactylus</t>
  </si>
  <si>
    <t>(Steffen, 1815)</t>
  </si>
  <si>
    <t>Leucaena leucocephala (Lam.) de Wit</t>
  </si>
  <si>
    <t>(Lam.) de Wit</t>
  </si>
  <si>
    <t>Leucauge argyra (Walckenaer, 1841)</t>
  </si>
  <si>
    <t>Tetragnathidae</t>
  </si>
  <si>
    <t>Leucauge</t>
  </si>
  <si>
    <t>(Walckenaer, 1841)</t>
  </si>
  <si>
    <t>Lucilia sericata (Meigen, 1826)</t>
  </si>
  <si>
    <t>Calliphoridae</t>
  </si>
  <si>
    <t>(Meigen, 1826)</t>
  </si>
  <si>
    <t>Lycianthes asarifolia (Kunth &amp; C.D.Bouch√©) Bitter</t>
  </si>
  <si>
    <t>Solanaceae</t>
  </si>
  <si>
    <t>Lycianthes</t>
  </si>
  <si>
    <t>Lycianthes repens</t>
  </si>
  <si>
    <t>(Kunth &amp; C.D.Bouch√©) Bitter</t>
  </si>
  <si>
    <t>Lycogala Adanson, 1763</t>
  </si>
  <si>
    <t>Protozoa</t>
  </si>
  <si>
    <t>Mycetozoa</t>
  </si>
  <si>
    <t>Myxomycetes</t>
  </si>
  <si>
    <t>Cribrariales</t>
  </si>
  <si>
    <t>Tubiferaceae</t>
  </si>
  <si>
    <t>Adanson, 1763</t>
  </si>
  <si>
    <t>Lycoperdon P.Micheli, 1729</t>
  </si>
  <si>
    <t>Lycoperdaceae</t>
  </si>
  <si>
    <t>P.Micheli, 1729</t>
  </si>
  <si>
    <t>Lycosa Latreille, 1804</t>
  </si>
  <si>
    <t>Machetornis rixosa (Vieillot, 1819)</t>
  </si>
  <si>
    <t>Machetornis</t>
  </si>
  <si>
    <t>(Vieillot, 1819)</t>
  </si>
  <si>
    <t>Macroptilium atropurpureum (DC.) Urb.</t>
  </si>
  <si>
    <t>Macroptilium</t>
  </si>
  <si>
    <t>(DC.) Urb.</t>
  </si>
  <si>
    <t>Mantis religiosa (Linne, 1758)</t>
  </si>
  <si>
    <t>Mantodea</t>
  </si>
  <si>
    <t>Mantidae</t>
  </si>
  <si>
    <t>Mantis</t>
  </si>
  <si>
    <t>(Linne, 1758)</t>
  </si>
  <si>
    <t>Marasmius Fr., 1836</t>
  </si>
  <si>
    <t>Marasmiaceae</t>
  </si>
  <si>
    <t>Fr., 1836</t>
  </si>
  <si>
    <t>Marsypianthes chamaedrys</t>
  </si>
  <si>
    <t>Marsypianthes chamaedrys var. chamaedrys</t>
  </si>
  <si>
    <t>VARIETY</t>
  </si>
  <si>
    <t>Marsypianthes</t>
  </si>
  <si>
    <t>Marsypianthes chamaedrys chamaedrys</t>
  </si>
  <si>
    <t>Mechanitis polymnia (Linnaeus, 1758)</t>
  </si>
  <si>
    <t>Mechanitis</t>
  </si>
  <si>
    <t>Megarynchus pitangua (Linnaeus, 1766)</t>
  </si>
  <si>
    <t>Megarynchus</t>
  </si>
  <si>
    <t>Melipona mondury Smith, 1863</t>
  </si>
  <si>
    <t>Melipona</t>
  </si>
  <si>
    <t>Smith, 1863</t>
  </si>
  <si>
    <t>Melipona quadrifasciata</t>
  </si>
  <si>
    <t>Melipona quadrifasciata Lepeletier, 1836</t>
  </si>
  <si>
    <t>Lepeletier, 1836</t>
  </si>
  <si>
    <t>Melothria cucumis Vell.</t>
  </si>
  <si>
    <t>Melothria</t>
  </si>
  <si>
    <t>Vell.</t>
  </si>
  <si>
    <t>Membracis trimaculata Fairmaire</t>
  </si>
  <si>
    <t>Membracidae</t>
  </si>
  <si>
    <t>Membracis</t>
  </si>
  <si>
    <t>Fairmaire</t>
  </si>
  <si>
    <t>Milvago chimachima (Vieillot, 1816)</t>
  </si>
  <si>
    <t>Milvago</t>
  </si>
  <si>
    <t>(Vieillot, 1816)</t>
  </si>
  <si>
    <t>Mimosa pudica L.</t>
  </si>
  <si>
    <t>Mimosa</t>
  </si>
  <si>
    <t>Mimus saturninus (Lichtenstein, 1823)</t>
  </si>
  <si>
    <t>Mimidae</t>
  </si>
  <si>
    <t>Mimus</t>
  </si>
  <si>
    <t>Misumenops maculissparsus (Keyserling, 1891)</t>
  </si>
  <si>
    <t>Thomisidae</t>
  </si>
  <si>
    <t>Misumenops</t>
  </si>
  <si>
    <t>(Keyserling, 1891)</t>
  </si>
  <si>
    <t>Molothrus Swainson, 1832</t>
  </si>
  <si>
    <t>Icteridae</t>
  </si>
  <si>
    <t>Swainson, 1832</t>
  </si>
  <si>
    <t>Molothrus bonariensis (Gmelin, 1789)</t>
  </si>
  <si>
    <t>(Gmelin, 1789)</t>
  </si>
  <si>
    <t>Momordica charantia L.</t>
  </si>
  <si>
    <t>Momordica</t>
  </si>
  <si>
    <t>Mus musculus</t>
  </si>
  <si>
    <t>Mus musculus Linnaeus, 1758</t>
  </si>
  <si>
    <t>Rodentia</t>
  </si>
  <si>
    <t>Muridae</t>
  </si>
  <si>
    <t>Mus</t>
  </si>
  <si>
    <t>Musca domestica Linnaeus, 1758</t>
  </si>
  <si>
    <t>Muscidae</t>
  </si>
  <si>
    <t>Musca</t>
  </si>
  <si>
    <t>Myiarchus tyrannulus (Statius Muller, 1776)</t>
  </si>
  <si>
    <t>Myiarchus</t>
  </si>
  <si>
    <t>(Statius Muller, 1776)</t>
  </si>
  <si>
    <t>Myiozetetes similis (Spix, 1825)</t>
  </si>
  <si>
    <t>Myiozetetes</t>
  </si>
  <si>
    <t>Myracrodruon urundeuva</t>
  </si>
  <si>
    <t>Myracrodruon urundeuva Allem√£o</t>
  </si>
  <si>
    <t>Sapindales</t>
  </si>
  <si>
    <t>Anacardiaceae</t>
  </si>
  <si>
    <t>Myracrodruon</t>
  </si>
  <si>
    <t>Allem√£o</t>
  </si>
  <si>
    <t>Nemosia pileata (Boddaert, 1783)</t>
  </si>
  <si>
    <t>Nemosia</t>
  </si>
  <si>
    <t>(Boddaert, 1783)</t>
  </si>
  <si>
    <t>Neoponera Emery, 1901</t>
  </si>
  <si>
    <t>Emery, 1901</t>
  </si>
  <si>
    <t>Neoponera foetida (Linnaeus, 1758)</t>
  </si>
  <si>
    <t>Pachycondyla</t>
  </si>
  <si>
    <t>Pachycondyla foetida</t>
  </si>
  <si>
    <t>Nephilingis cruentata (Fabricius, 1775)</t>
  </si>
  <si>
    <t>Nephilingis</t>
  </si>
  <si>
    <t>Nephrolepis exaltata (L.) Schott</t>
  </si>
  <si>
    <t>Nephrolepidaceae</t>
  </si>
  <si>
    <t>Nephrolepis</t>
  </si>
  <si>
    <t>(L.) Schott</t>
  </si>
  <si>
    <t>Nicotiana plumbaginifolia L.</t>
  </si>
  <si>
    <t>Nicotiana</t>
  </si>
  <si>
    <t>Notiochelidon cyanoleuca (Vieillot, 1817)</t>
  </si>
  <si>
    <t>Notiochelidon</t>
  </si>
  <si>
    <t>(Vieillot, 1817)</t>
  </si>
  <si>
    <t>Odontomachus Latreille, 1804</t>
  </si>
  <si>
    <t>Latreille, 1804</t>
  </si>
  <si>
    <t>Oeceoclades maculata var. maculata</t>
  </si>
  <si>
    <t>Orchidaceae</t>
  </si>
  <si>
    <t>Eulophia</t>
  </si>
  <si>
    <t>Eulophia maculata</t>
  </si>
  <si>
    <t>Oeceoclades maculata maculata</t>
  </si>
  <si>
    <t>Oldenlandia corymbosa L.</t>
  </si>
  <si>
    <t>Gentianales</t>
  </si>
  <si>
    <t>Rubiaceae</t>
  </si>
  <si>
    <t>Oldenlandia</t>
  </si>
  <si>
    <t>Oniscidea Morch</t>
  </si>
  <si>
    <t>Littorinimorpha</t>
  </si>
  <si>
    <t>Cassidae</t>
  </si>
  <si>
    <t>Morch</t>
  </si>
  <si>
    <t>Orphulella Giglio-Tos, 1894</t>
  </si>
  <si>
    <t>Acrididae</t>
  </si>
  <si>
    <t>Giglio-Tos, 1894</t>
  </si>
  <si>
    <t>Orphulella punctata (De Geer, 1773)</t>
  </si>
  <si>
    <t>Oxalis L.</t>
  </si>
  <si>
    <t>Oxalidales</t>
  </si>
  <si>
    <t>Oxalidaceae</t>
  </si>
  <si>
    <t>Oxalis barrelieri L.</t>
  </si>
  <si>
    <t>Oxalis corniculata L.</t>
  </si>
  <si>
    <t>Oxalis latifolia Kunth</t>
  </si>
  <si>
    <t>Kunth</t>
  </si>
  <si>
    <t>Oxidus gracilis (C.L.Koch, 1847)</t>
  </si>
  <si>
    <t>Polydesmida</t>
  </si>
  <si>
    <t>Paradoxosomatidae</t>
  </si>
  <si>
    <t>Oxidus</t>
  </si>
  <si>
    <t>(C.L.Koch, 1847)</t>
  </si>
  <si>
    <t>Palpada mexicana (Macquart, 1847)</t>
  </si>
  <si>
    <t>Syrphidae</t>
  </si>
  <si>
    <t>(Macquart, 1847)</t>
  </si>
  <si>
    <t>Panicum maximum Nees, 1841</t>
  </si>
  <si>
    <t>Panicum</t>
  </si>
  <si>
    <t>Nees, 1841</t>
  </si>
  <si>
    <t>Parabuteo unicinctus (Temminck, 1824)</t>
  </si>
  <si>
    <t>Accipitridae</t>
  </si>
  <si>
    <t>Parabuteo</t>
  </si>
  <si>
    <t>Parthenium hysterophorus L.</t>
  </si>
  <si>
    <t>Parthenium</t>
  </si>
  <si>
    <t>Paspalum notatum Fl√ºgg√©</t>
  </si>
  <si>
    <t>Paspalum</t>
  </si>
  <si>
    <t>Fl√ºgg√©</t>
  </si>
  <si>
    <t>Passer domesticus (Linnaeus, 1758)</t>
  </si>
  <si>
    <t>Passeridae</t>
  </si>
  <si>
    <t>Passer</t>
  </si>
  <si>
    <t>Passiflora alata Curtis</t>
  </si>
  <si>
    <t>Passifloraceae</t>
  </si>
  <si>
    <t>Passiflora</t>
  </si>
  <si>
    <t>Curtis</t>
  </si>
  <si>
    <t>Patagioenas picazuro (Temminck, 1813)</t>
  </si>
  <si>
    <t>Patagioenas</t>
  </si>
  <si>
    <t>Peperomia pellucida (L.) Kunth</t>
  </si>
  <si>
    <t>Piperales</t>
  </si>
  <si>
    <t>Piperaceae</t>
  </si>
  <si>
    <t>Peperomia</t>
  </si>
  <si>
    <t>(L.) Kunth</t>
  </si>
  <si>
    <t>Pompilidae</t>
  </si>
  <si>
    <t>Phalaris arundinacea L.</t>
  </si>
  <si>
    <t>Phalaris</t>
  </si>
  <si>
    <t>Phobetron H√ºbner, 1825</t>
  </si>
  <si>
    <t>Limacodidae</t>
  </si>
  <si>
    <t>H√ºbner, 1825</t>
  </si>
  <si>
    <t>Pieridae</t>
  </si>
  <si>
    <t>Phyllanthus tenellus Roxb.</t>
  </si>
  <si>
    <t>Phyllanthaceae</t>
  </si>
  <si>
    <t>Phyllanthus</t>
  </si>
  <si>
    <t>Roxb.</t>
  </si>
  <si>
    <t>Phyllostomus hastatus</t>
  </si>
  <si>
    <t>Phyllostomus hastatus (Pallas, 1767)</t>
  </si>
  <si>
    <t>Chiroptera</t>
  </si>
  <si>
    <t>Phyllostomidae</t>
  </si>
  <si>
    <t>Phyllostomus</t>
  </si>
  <si>
    <t>(Pallas, 1767)</t>
  </si>
  <si>
    <t>Piaya cayana (Linnaeus, 1766)</t>
  </si>
  <si>
    <t>Piaya</t>
  </si>
  <si>
    <t>Picumnus cirratus Temminck, 1825</t>
  </si>
  <si>
    <t>Picumnus</t>
  </si>
  <si>
    <t>Temminck, 1825</t>
  </si>
  <si>
    <t>Pieris brassicae</t>
  </si>
  <si>
    <t>Pieris brassicae (Linnaeus, 1758)</t>
  </si>
  <si>
    <t>Pieris</t>
  </si>
  <si>
    <t>Piper tuberculatum Jacq.</t>
  </si>
  <si>
    <t>Piper</t>
  </si>
  <si>
    <t>Pitangus sulphuratus (Linnaeus, 1766)</t>
  </si>
  <si>
    <t>Pitangus</t>
  </si>
  <si>
    <t>Plexippus paykulli (Audouin, 1826)</t>
  </si>
  <si>
    <t>Plexippus</t>
  </si>
  <si>
    <t>(Audouin, 1826)</t>
  </si>
  <si>
    <t>Polistes Latreille, 1802</t>
  </si>
  <si>
    <t>Eumenidae</t>
  </si>
  <si>
    <t>Polybia Lepeletier de Saint Fargeau, 1836</t>
  </si>
  <si>
    <t>Lepeletier de Saint Fargeau, 1836</t>
  </si>
  <si>
    <t>Portulaca L.</t>
  </si>
  <si>
    <t>Portulacaceae</t>
  </si>
  <si>
    <t>Portulaca halimoides L.</t>
  </si>
  <si>
    <t>Portulaca oleracea L.</t>
  </si>
  <si>
    <t>Primolius maracana (Vieillot, 1816)</t>
  </si>
  <si>
    <t>Primolius</t>
  </si>
  <si>
    <t>Priva lappulacea (L.) Pers.</t>
  </si>
  <si>
    <t>Priva</t>
  </si>
  <si>
    <t>Progne tapera (Linnaeus, 1766)</t>
  </si>
  <si>
    <t>Progne</t>
  </si>
  <si>
    <t>Pseudomyrmex Lund, 1831</t>
  </si>
  <si>
    <t>Lund, 1831</t>
  </si>
  <si>
    <t>Psidium guajava L.</t>
  </si>
  <si>
    <t>Myrtales</t>
  </si>
  <si>
    <t>Myrtaceae</t>
  </si>
  <si>
    <t>Psidium</t>
  </si>
  <si>
    <t>Psilotum Sw.</t>
  </si>
  <si>
    <t>Psilotales</t>
  </si>
  <si>
    <t>Psilotaceae</t>
  </si>
  <si>
    <t>Psilotum</t>
  </si>
  <si>
    <t>Pterodon pubescens</t>
  </si>
  <si>
    <t>Pterodon pubescens (Benth.) Benth.</t>
  </si>
  <si>
    <t>Pterodon</t>
  </si>
  <si>
    <t>Pterodon emarginatus</t>
  </si>
  <si>
    <t>(Benth.) Benth.</t>
  </si>
  <si>
    <t>Pycnoscelus surinamensis (Linnaeus, 1758)</t>
  </si>
  <si>
    <t>Pycnoscelus</t>
  </si>
  <si>
    <t>Pygochelidon cyanoleuca (Vieillot, 1817)</t>
  </si>
  <si>
    <t>Ramalina complanata (Sw.) Ach., 1810</t>
  </si>
  <si>
    <t>Ramalinaceae</t>
  </si>
  <si>
    <t>(Sw.) Ach., 1810</t>
  </si>
  <si>
    <t>Rhipsalis Gaertn.</t>
  </si>
  <si>
    <t>Cactaceae</t>
  </si>
  <si>
    <t>Gaertn.</t>
  </si>
  <si>
    <t>Rhipsalis lindbergiana K.Schum.</t>
  </si>
  <si>
    <t>K.Schum.</t>
  </si>
  <si>
    <t>Rhynchospora speciosa (Kunth) Boeckeler</t>
  </si>
  <si>
    <t>Rhynchospora</t>
  </si>
  <si>
    <t>(Kunth) Boeckeler</t>
  </si>
  <si>
    <t>Richardia brasiliensis Gomes</t>
  </si>
  <si>
    <t>Richardia</t>
  </si>
  <si>
    <t>Gomes</t>
  </si>
  <si>
    <t>Ricinus communis L.</t>
  </si>
  <si>
    <t>Ricinus</t>
  </si>
  <si>
    <t>Rivina humilis L.</t>
  </si>
  <si>
    <t>Phytolaccaceae</t>
  </si>
  <si>
    <t>Rivina</t>
  </si>
  <si>
    <t>Rostrhamus sociabilis (Vieillot, 1817)</t>
  </si>
  <si>
    <t>Rostrhamus</t>
  </si>
  <si>
    <t>Ruellia blechum L.</t>
  </si>
  <si>
    <t>Acanthaceae</t>
  </si>
  <si>
    <t>Ruellia paniculata L.</t>
  </si>
  <si>
    <t>Rumex obtusifolius L.</t>
  </si>
  <si>
    <t>Polygonaceae</t>
  </si>
  <si>
    <t>Rumex</t>
  </si>
  <si>
    <t>Rupornis magnirostris (Gmelin, 1788)</t>
  </si>
  <si>
    <t>Rupornis</t>
  </si>
  <si>
    <t>Salvia officinalis L.</t>
  </si>
  <si>
    <t>Salvia</t>
  </si>
  <si>
    <t>Sarasinula plebeia (P.Fischer, 1868)</t>
  </si>
  <si>
    <t>Systellommatophora</t>
  </si>
  <si>
    <t>Veronicellidae</t>
  </si>
  <si>
    <t>Sarasinula</t>
  </si>
  <si>
    <t>(P.Fischer, 1868)</t>
  </si>
  <si>
    <t>Sarcophaga Meigen, 1826</t>
  </si>
  <si>
    <t>Meigen, 1826</t>
  </si>
  <si>
    <t>Schefflera actinophylla (Endl.) Harms</t>
  </si>
  <si>
    <t>Apiales</t>
  </si>
  <si>
    <t>Araliaceae</t>
  </si>
  <si>
    <t>Heptapleurum</t>
  </si>
  <si>
    <t>Heptapleurum actinophyllum</t>
  </si>
  <si>
    <t>(Endl.) Harms</t>
  </si>
  <si>
    <t>Schinus terebinthifolia Raddi</t>
  </si>
  <si>
    <t>Schinus</t>
  </si>
  <si>
    <t>Raddi</t>
  </si>
  <si>
    <t>Scolopendromorpha</t>
  </si>
  <si>
    <t>Serpophaga subcristata (Vieillot, 1817)</t>
  </si>
  <si>
    <t>Serpophaga</t>
  </si>
  <si>
    <t>Setaria parviflora (Poir.) Kergu√©len</t>
  </si>
  <si>
    <t>Setaria</t>
  </si>
  <si>
    <t>(Poir.) Kergu√©len</t>
  </si>
  <si>
    <t>Setophaga pitiayumi (Vieillot, 1817)</t>
  </si>
  <si>
    <t>Parulidae</t>
  </si>
  <si>
    <t>Setophaga</t>
  </si>
  <si>
    <t>Sicalis flaveola (Linnaeus, 1766)</t>
  </si>
  <si>
    <t>Sicalis</t>
  </si>
  <si>
    <t>Sida L.</t>
  </si>
  <si>
    <t>Sida acuta Burm.fil.</t>
  </si>
  <si>
    <t>Burm.fil.</t>
  </si>
  <si>
    <t>Siproeta stelenes Linnaeus, 1758</t>
  </si>
  <si>
    <t>Siproeta</t>
  </si>
  <si>
    <t>Solanum L.</t>
  </si>
  <si>
    <t>Solanum americanum Mill.</t>
  </si>
  <si>
    <t>Solanum diphyllum L.</t>
  </si>
  <si>
    <t>Solanum paniculatum L.</t>
  </si>
  <si>
    <t>Solanum sisymbriifolium Lam.</t>
  </si>
  <si>
    <t>Lam.</t>
  </si>
  <si>
    <t>Solanum torvum Sw.</t>
  </si>
  <si>
    <t>Solenopsis indet</t>
  </si>
  <si>
    <t>Sonchus asper (L.) Hill</t>
  </si>
  <si>
    <t>Sonchus</t>
  </si>
  <si>
    <t>(L.) Hill</t>
  </si>
  <si>
    <t>Sonchus oleraceus L.</t>
  </si>
  <si>
    <t>Spermacoce verticillata L.</t>
  </si>
  <si>
    <t>Spermacoce</t>
  </si>
  <si>
    <t>Stenotaphrum secundatum (Walter) Kuntze</t>
  </si>
  <si>
    <t>Stenotaphrum</t>
  </si>
  <si>
    <t>(Walter) Kuntze</t>
  </si>
  <si>
    <t>Streptoprocne zonaris (Shaw, 1796)</t>
  </si>
  <si>
    <t>Streptoprocne</t>
  </si>
  <si>
    <t>(Shaw, 1796)</t>
  </si>
  <si>
    <t>Struthanthus flexicaulis Mart.</t>
  </si>
  <si>
    <t>Santalales</t>
  </si>
  <si>
    <t>Loranthaceae</t>
  </si>
  <si>
    <t>Struthanthus</t>
  </si>
  <si>
    <t>Strymon H√ºbner, 1818</t>
  </si>
  <si>
    <t>H√ºbner, 1818</t>
  </si>
  <si>
    <t>Subulina octona (Brugui√®re, 1789)</t>
  </si>
  <si>
    <t>Achatinidae</t>
  </si>
  <si>
    <t>Subulina</t>
  </si>
  <si>
    <t>(Brugui√®re, 1789)</t>
  </si>
  <si>
    <t>Syagrus romanzoffiana (Cham.) Glassman</t>
  </si>
  <si>
    <t>Arecales</t>
  </si>
  <si>
    <t>Arecaceae</t>
  </si>
  <si>
    <t>Syagrus</t>
  </si>
  <si>
    <t>(Cham.) Glassman</t>
  </si>
  <si>
    <t>Synallaxis frontalis Pelzeln, 1859</t>
  </si>
  <si>
    <t>Synallaxis</t>
  </si>
  <si>
    <t>Pelzeln, 1859</t>
  </si>
  <si>
    <t>Syntermes molestus (Burmeister, 1839)</t>
  </si>
  <si>
    <t>Termitidae</t>
  </si>
  <si>
    <t>Syntermes</t>
  </si>
  <si>
    <t>(Burmeister, 1839)</t>
  </si>
  <si>
    <t>Syzygium cumini (L.) Skeels</t>
  </si>
  <si>
    <t>Syzygium</t>
  </si>
  <si>
    <t>(L.) Skeels</t>
  </si>
  <si>
    <t>Tachycineta albiventer (Boddaert, 1783)</t>
  </si>
  <si>
    <t>Tachycineta</t>
  </si>
  <si>
    <t>Talinum fruticosum (L.) Juss.</t>
  </si>
  <si>
    <t>Talinaceae</t>
  </si>
  <si>
    <t>Talinum</t>
  </si>
  <si>
    <t>(L.) Juss.</t>
  </si>
  <si>
    <t>Talinum paniculatum (Jacq.) Gaertn.</t>
  </si>
  <si>
    <t>(Jacq.) Gaertn.</t>
  </si>
  <si>
    <t>Tangara cayana (Linnaeus, 1766)</t>
  </si>
  <si>
    <t>Stilpnia</t>
  </si>
  <si>
    <t>Stilpnia cayana</t>
  </si>
  <si>
    <t>Tapera naevia (Linnaeus, 1766)</t>
  </si>
  <si>
    <t>Tapera</t>
  </si>
  <si>
    <t>Tersina viridis (Illiger, 1811)</t>
  </si>
  <si>
    <t>Tersina</t>
  </si>
  <si>
    <t>(Illiger, 1811)</t>
  </si>
  <si>
    <t>Thalassoma hardwicke</t>
  </si>
  <si>
    <t>Thalassoma hardwicke (Bennett, 1830)</t>
  </si>
  <si>
    <t>Perciformes</t>
  </si>
  <si>
    <t>Labridae</t>
  </si>
  <si>
    <t>Thalassoma</t>
  </si>
  <si>
    <t>(Bennett, 1830)</t>
  </si>
  <si>
    <t>Thamnophilus doliatus (Linnaeus, 1764)</t>
  </si>
  <si>
    <t>Thamnophilidae</t>
  </si>
  <si>
    <t>Thamnophilus</t>
  </si>
  <si>
    <t>(Linnaeus, 1764)</t>
  </si>
  <si>
    <t>Thraupis palmarum (Wied-Neuwied, 1821)</t>
  </si>
  <si>
    <t>Thraupis</t>
  </si>
  <si>
    <t>Thorybes Scudder, 1872</t>
  </si>
  <si>
    <t>Thorybes</t>
  </si>
  <si>
    <t>Scudder, 1872</t>
  </si>
  <si>
    <t>(Wied-Neuwied, 1821)</t>
  </si>
  <si>
    <t>Thraupis sayaca (Linnaeus, 1766)</t>
  </si>
  <si>
    <t>Thunbergia alata Bojer ex Sims</t>
  </si>
  <si>
    <t>Thunbergia</t>
  </si>
  <si>
    <t>Bojer ex Sims</t>
  </si>
  <si>
    <t>Tillandsia L.</t>
  </si>
  <si>
    <t>Bromeliaceae</t>
  </si>
  <si>
    <t>Tillandsia recurvata (L.) L.</t>
  </si>
  <si>
    <t>Tillandsia stricta Sol. ex Ker Gawl.</t>
  </si>
  <si>
    <t>Sol. ex Ker Gawl.</t>
  </si>
  <si>
    <t>Tillandsia tricholepis Baker</t>
  </si>
  <si>
    <t>Tillandsia tricholepis</t>
  </si>
  <si>
    <t>Baker</t>
  </si>
  <si>
    <t>Todirostrum cinereum (Linnaeus, 1766)</t>
  </si>
  <si>
    <t>Todirostrum</t>
  </si>
  <si>
    <t>Tolmomyias flaviventris (Wied-Neuwied, 1831)</t>
  </si>
  <si>
    <t>Tolmomyias</t>
  </si>
  <si>
    <t>Trachelopachys Simon, 1897</t>
  </si>
  <si>
    <t>Trachelidae</t>
  </si>
  <si>
    <t>Simon, 1897</t>
  </si>
  <si>
    <t>Trametes cubensis (Mont.) Sacc.</t>
  </si>
  <si>
    <t>Polyporales</t>
  </si>
  <si>
    <t>Polyporaceae</t>
  </si>
  <si>
    <t>(Mont.) Sacc.</t>
  </si>
  <si>
    <t>Trametes sanguinea (Klotzsch) Pat.</t>
  </si>
  <si>
    <t>Earliella</t>
  </si>
  <si>
    <t>Earliella scabrosa</t>
  </si>
  <si>
    <t>Trema micranthum (L.) Blume</t>
  </si>
  <si>
    <t>Cannabaceae</t>
  </si>
  <si>
    <t>Trema</t>
  </si>
  <si>
    <t>Trema micranthum</t>
  </si>
  <si>
    <t>(L.) Blume</t>
  </si>
  <si>
    <t>Trianthema portulacastrum L.</t>
  </si>
  <si>
    <t>Aizoaceae</t>
  </si>
  <si>
    <t>Trianthema</t>
  </si>
  <si>
    <t>Trichilia elegans</t>
  </si>
  <si>
    <t>Trichilia elegans A.Juss.</t>
  </si>
  <si>
    <t>Meliaceae</t>
  </si>
  <si>
    <t>Trichilia</t>
  </si>
  <si>
    <t>A.Juss.</t>
  </si>
  <si>
    <t>Tridax procumbens L.</t>
  </si>
  <si>
    <t>Tridax</t>
  </si>
  <si>
    <t>Trigona spinipes (Fabricius, 1793)</t>
  </si>
  <si>
    <t>Trigona</t>
  </si>
  <si>
    <t>(Fabricius, 1793)</t>
  </si>
  <si>
    <t>Triplaris americana L.</t>
  </si>
  <si>
    <t>Triplaris</t>
  </si>
  <si>
    <t>Troglodytes musculus J.F.Naumann, 1823</t>
  </si>
  <si>
    <t>Troglodytidae</t>
  </si>
  <si>
    <t>Troglodytes</t>
  </si>
  <si>
    <t>J.F.Naumann, 1823</t>
  </si>
  <si>
    <t>Tropidurus torquatus (Wied-Neuwied, 1820)</t>
  </si>
  <si>
    <t>Tropiduridae</t>
  </si>
  <si>
    <t>Tropidurus</t>
  </si>
  <si>
    <t>(Wied-Neuwied, 1820)</t>
  </si>
  <si>
    <t>Turdus leucomelas Vieillot, 1818</t>
  </si>
  <si>
    <t>Turdidae</t>
  </si>
  <si>
    <t>Turdus</t>
  </si>
  <si>
    <t>Vieillot, 1818</t>
  </si>
  <si>
    <t>Turdus rufiventris Vieillot, 1818</t>
  </si>
  <si>
    <t>Turnera subulata J.E.Sm.</t>
  </si>
  <si>
    <t>Turneraceae</t>
  </si>
  <si>
    <t>Turnera</t>
  </si>
  <si>
    <t>J.E.Sm.</t>
  </si>
  <si>
    <t>Tyrannus melancholicus Vieillot, 1819</t>
  </si>
  <si>
    <t>Tyrannus</t>
  </si>
  <si>
    <t>Vieillot, 1819</t>
  </si>
  <si>
    <t>Uroleucon Mordvilko, 1914</t>
  </si>
  <si>
    <t>Aphididae</t>
  </si>
  <si>
    <t>Mordvilko, 1914</t>
  </si>
  <si>
    <t>Usnea Dill. ex Adans., 1763</t>
  </si>
  <si>
    <t>Dill. ex Adans., 1763</t>
  </si>
  <si>
    <t>Usnea barbata (L.) Weber ex F.H.Wigg</t>
  </si>
  <si>
    <t>(L.) Weber ex F.H.Wigg</t>
  </si>
  <si>
    <t>Vanellus chilensis (Molina, 1782)</t>
  </si>
  <si>
    <t>Charadriidae</t>
  </si>
  <si>
    <t>Vanellus</t>
  </si>
  <si>
    <t>Varronia curassavica Jacq.</t>
  </si>
  <si>
    <t>Boraginales</t>
  </si>
  <si>
    <t>Cordiaceae</t>
  </si>
  <si>
    <t>Varronia</t>
  </si>
  <si>
    <t>Vernonanthura</t>
  </si>
  <si>
    <t>Vernonanthura H.Rob.</t>
  </si>
  <si>
    <t>H.Rob.</t>
  </si>
  <si>
    <t>Volatinia jacarina (Linnaeus, 1766)</t>
  </si>
  <si>
    <t>Volatinia</t>
  </si>
  <si>
    <t>Xanthoria parietina (L.) Th.Fr.</t>
  </si>
  <si>
    <t>Teloschistales</t>
  </si>
  <si>
    <t>Teloschistaceae</t>
  </si>
  <si>
    <t>Xanthoria</t>
  </si>
  <si>
    <t>(L.) Th.Fr.</t>
  </si>
  <si>
    <t>Xylocopa frontalis (Olivier, 1789)</t>
  </si>
  <si>
    <t>Xylocopa</t>
  </si>
  <si>
    <t>(Olivier, 1789)</t>
  </si>
  <si>
    <t>Xylopia aromatica</t>
  </si>
  <si>
    <t>Xylopia aromatica (Lam.) Mart.</t>
  </si>
  <si>
    <t>Magnoliales</t>
  </si>
  <si>
    <t>Annonaceae</t>
  </si>
  <si>
    <t>Xylopia</t>
  </si>
  <si>
    <t>(Lam.) Mart.</t>
  </si>
  <si>
    <t>Youngia japonica (L.) DC.</t>
  </si>
  <si>
    <t>Youngia</t>
  </si>
  <si>
    <t>Zenaida Bonaparte, 1838</t>
  </si>
  <si>
    <t>Bonaparte, 1838</t>
  </si>
  <si>
    <t>Zenaida auriculata (Des Murs, 1847)</t>
  </si>
  <si>
    <t>(Des Murs, 1847)</t>
  </si>
  <si>
    <t>Zonotrichia capensis (P.L.S.M√ºller, 1776)</t>
  </si>
  <si>
    <t>Passerellidae</t>
  </si>
  <si>
    <t>Zonotrichia</t>
  </si>
  <si>
    <t>(P.L.S.M√ºller, 1776)</t>
  </si>
  <si>
    <t>Zornia latifolia Sm.</t>
  </si>
  <si>
    <t>Zornia</t>
  </si>
  <si>
    <t>Sm.</t>
  </si>
  <si>
    <t>nome_comum_final</t>
  </si>
  <si>
    <t>quenquén</t>
  </si>
  <si>
    <t>barba-de-bode; capim-barba-de-bode</t>
  </si>
  <si>
    <t>angiosperma</t>
  </si>
  <si>
    <t>mosca branca</t>
  </si>
  <si>
    <t>cana-da-índia</t>
  </si>
  <si>
    <t>buva</t>
  </si>
  <si>
    <t>embuá; piolho-de-cobra; millipede</t>
  </si>
  <si>
    <t>borboleta-castanha-vemelha</t>
  </si>
  <si>
    <t>algodão-de-preá</t>
  </si>
  <si>
    <t>Hamadryas amphinome</t>
  </si>
  <si>
    <t>boboleta-assenta-pau</t>
  </si>
  <si>
    <t>Ithomiini</t>
  </si>
  <si>
    <t>borboleta-asa-de-vidro</t>
  </si>
  <si>
    <t>gongolo; maria-café</t>
  </si>
  <si>
    <t>mentrusto</t>
  </si>
  <si>
    <t>boboleta/mariposa</t>
  </si>
  <si>
    <t>louva-a-deus</t>
  </si>
  <si>
    <t>betônica-brava</t>
  </si>
  <si>
    <t>Oeceoclades maculata</t>
  </si>
  <si>
    <t>orquídea-monge</t>
  </si>
  <si>
    <t>gafanhotinho</t>
  </si>
  <si>
    <t xml:space="preserve">erva-azeda; azedinha </t>
  </si>
  <si>
    <t>trevo-azedo</t>
  </si>
  <si>
    <t>asa-branca; pomba-asa-branca; pocaçu</t>
  </si>
  <si>
    <t>Pitangus sulphutarus</t>
  </si>
  <si>
    <t>Pontoscolex corethrurus</t>
  </si>
  <si>
    <t>minhoca-mansa</t>
  </si>
  <si>
    <t>Barata-de-jardim</t>
  </si>
  <si>
    <t>alegrinho</t>
  </si>
  <si>
    <t>formiga-quente; formiga-lava-pés; formiga-de-fogo</t>
  </si>
  <si>
    <t>calango; tropiduro-comum</t>
  </si>
  <si>
    <t>Mamangava; mangangá; abelha-carpinteira</t>
  </si>
  <si>
    <t>pomba-de-bando; avoante</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</si>
</sst>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hh:mm"/>
    <numFmt numFmtId="166" formatCode="yyyy-mm-dd"/>
    <numFmt numFmtId="167" formatCode="hh:mm:ss"/>
    <numFmt numFmtId="168" formatCode="#,##0.000000"/>
  </numFmts>
  <fonts count="31">
    <font>
      <sz val="10.0"/>
      <color rgb="FF000000"/>
      <name val="Arial"/>
      <scheme val="minor"/>
    </font>
    <font>
      <b/>
      <color theme="1"/>
      <name val="Arial"/>
      <scheme val="minor"/>
    </font>
    <font>
      <b/>
      <i/>
      <color theme="1"/>
      <name val="Arial"/>
      <scheme val="minor"/>
    </font>
    <font>
      <color theme="1"/>
      <name val="Arial"/>
      <scheme val="minor"/>
    </font>
    <font>
      <i/>
      <color theme="1"/>
      <name val="Arial"/>
      <scheme val="minor"/>
    </font>
    <font>
      <i/>
      <sz val="10.0"/>
      <color rgb="FF000000"/>
      <name val="Arial"/>
      <scheme val="minor"/>
    </font>
    <font>
      <color theme="1"/>
      <name val="Arial"/>
    </font>
    <font>
      <i/>
      <color rgb="FF000000"/>
      <name val="Arial"/>
    </font>
    <font>
      <color rgb="FF000000"/>
      <name val="Arial"/>
    </font>
    <font>
      <i/>
      <sz val="10.0"/>
      <color rgb="FF000000"/>
      <name val="Arial"/>
    </font>
    <font>
      <sz val="14.0"/>
      <color rgb="FF001D35"/>
      <name val="&quot;Google Sans&quot;"/>
    </font>
    <font>
      <i/>
      <color rgb="FF000000"/>
      <name val="Arial"/>
      <scheme val="minor"/>
    </font>
    <font>
      <i/>
      <u/>
      <color theme="1"/>
      <name val="Arial"/>
      <scheme val="minor"/>
    </font>
    <font>
      <sz val="9.0"/>
      <color rgb="FF1F1F1F"/>
      <name val="&quot;Google Sans&quot;"/>
    </font>
    <font>
      <color rgb="FF000000"/>
      <name val="Arial"/>
      <scheme val="minor"/>
    </font>
    <font>
      <i/>
      <sz val="10.0"/>
      <color rgb="FF001D35"/>
      <name val="Arial"/>
    </font>
    <font>
      <i/>
      <sz val="10.0"/>
      <color rgb="FF000000"/>
      <name val="Lato"/>
    </font>
    <font>
      <sz val="10.0"/>
      <color rgb="FF000000"/>
      <name val="Lato"/>
    </font>
    <font>
      <i/>
      <color rgb="FF212529"/>
      <name val="Arial"/>
      <scheme val="minor"/>
    </font>
    <font>
      <i/>
      <color theme="1"/>
      <name val="Arial"/>
    </font>
    <font>
      <i/>
      <sz val="10.0"/>
      <color rgb="FF474747"/>
      <name val="Arial"/>
    </font>
    <font>
      <i/>
      <sz val="10.0"/>
      <color theme="1"/>
      <name val="Arial"/>
      <scheme val="minor"/>
    </font>
    <font>
      <i/>
      <sz val="10.0"/>
      <color rgb="FF1F1F1F"/>
      <name val="Arial"/>
    </font>
    <font>
      <i/>
      <sz val="9.0"/>
      <color rgb="FF474747"/>
      <name val="Arial"/>
    </font>
    <font>
      <i/>
      <sz val="10.0"/>
      <color theme="1"/>
      <name val="Arial"/>
    </font>
    <font>
      <u/>
      <color rgb="FF0000FF"/>
    </font>
    <font>
      <b/>
      <sz val="12.0"/>
      <color theme="1"/>
      <name val="Calibri"/>
    </font>
    <font>
      <b/>
      <sz val="11.0"/>
      <color rgb="FF000000"/>
      <name val="Calibri"/>
    </font>
    <font>
      <sz val="12.0"/>
      <color theme="1"/>
      <name val="Calibri"/>
    </font>
    <font>
      <sz val="11.0"/>
      <color rgb="FF000000"/>
      <name val="Calibri"/>
    </font>
    <font>
      <b/>
      <color theme="1"/>
      <name val="Arial"/>
    </font>
  </fonts>
  <fills count="8">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00FF00"/>
        <bgColor rgb="FF00FF00"/>
      </patternFill>
    </fill>
    <fill>
      <patternFill patternType="solid">
        <fgColor theme="0"/>
        <bgColor theme="0"/>
      </patternFill>
    </fill>
    <fill>
      <patternFill patternType="solid">
        <fgColor rgb="FFFF9900"/>
        <bgColor rgb="FFFF9900"/>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0" fontId="3" numFmtId="164" xfId="0" applyAlignment="1" applyFont="1" applyNumberFormat="1">
      <alignment readingOrder="0"/>
    </xf>
    <xf borderId="0" fillId="0" fontId="3" numFmtId="165" xfId="0" applyAlignment="1" applyFont="1" applyNumberFormat="1">
      <alignment readingOrder="0"/>
    </xf>
    <xf borderId="0" fillId="0" fontId="3" numFmtId="0" xfId="0" applyAlignment="1" applyFont="1">
      <alignment readingOrder="0"/>
    </xf>
    <xf borderId="0" fillId="0" fontId="4" numFmtId="0" xfId="0" applyFont="1"/>
    <xf borderId="0" fillId="0" fontId="3" numFmtId="0" xfId="0" applyFont="1"/>
    <xf borderId="0" fillId="0" fontId="4" numFmtId="0" xfId="0" applyAlignment="1" applyFont="1">
      <alignment readingOrder="0"/>
    </xf>
    <xf borderId="0" fillId="0" fontId="5" numFmtId="0" xfId="0" applyFont="1"/>
    <xf borderId="0" fillId="0" fontId="5" numFmtId="0" xfId="0" applyFont="1"/>
    <xf borderId="0" fillId="0" fontId="5" numFmtId="0" xfId="0" applyAlignment="1" applyFont="1">
      <alignment readingOrder="0"/>
    </xf>
    <xf borderId="0" fillId="0" fontId="4" numFmtId="0" xfId="0" applyAlignment="1" applyFont="1">
      <alignment horizontal="left"/>
    </xf>
    <xf borderId="0" fillId="0" fontId="6" numFmtId="164" xfId="0" applyAlignment="1" applyFont="1" applyNumberFormat="1">
      <alignment horizontal="right" vertical="bottom"/>
    </xf>
    <xf borderId="0" fillId="0" fontId="6" numFmtId="164" xfId="0" applyAlignment="1" applyFont="1" applyNumberFormat="1">
      <alignment horizontal="right" readingOrder="0" vertical="bottom"/>
    </xf>
    <xf borderId="0" fillId="0" fontId="4" numFmtId="0" xfId="0" applyAlignment="1" applyFont="1">
      <alignment horizontal="left" readingOrder="0"/>
    </xf>
    <xf borderId="0" fillId="0" fontId="6" numFmtId="0" xfId="0" applyAlignment="1" applyFont="1">
      <alignment readingOrder="0" vertical="bottom"/>
    </xf>
    <xf borderId="0" fillId="0" fontId="6" numFmtId="0" xfId="0" applyAlignment="1" applyFont="1">
      <alignment vertical="bottom"/>
    </xf>
    <xf borderId="0" fillId="2" fontId="7" numFmtId="0" xfId="0" applyAlignment="1" applyFill="1" applyFont="1">
      <alignment horizontal="left"/>
    </xf>
    <xf borderId="0" fillId="2" fontId="8" numFmtId="0" xfId="0" applyAlignment="1" applyFont="1">
      <alignment horizontal="left" readingOrder="0"/>
    </xf>
    <xf borderId="0" fillId="2" fontId="7" numFmtId="0" xfId="0" applyAlignment="1" applyFont="1">
      <alignment horizontal="left" readingOrder="0"/>
    </xf>
    <xf borderId="0" fillId="0" fontId="6" numFmtId="165" xfId="0" applyAlignment="1" applyFont="1" applyNumberFormat="1">
      <alignment horizontal="right" vertical="bottom"/>
    </xf>
    <xf borderId="0" fillId="0" fontId="6" numFmtId="165" xfId="0" applyAlignment="1" applyFont="1" applyNumberFormat="1">
      <alignment readingOrder="0" vertical="bottom"/>
    </xf>
    <xf borderId="0" fillId="3" fontId="4" numFmtId="0" xfId="0" applyFill="1" applyFont="1"/>
    <xf borderId="0" fillId="2" fontId="9" numFmtId="0" xfId="0" applyAlignment="1" applyFont="1">
      <alignment horizontal="left"/>
    </xf>
    <xf borderId="0" fillId="2" fontId="10" numFmtId="0" xfId="0" applyAlignment="1" applyFont="1">
      <alignment readingOrder="0"/>
    </xf>
    <xf borderId="0" fillId="0" fontId="4" numFmtId="0" xfId="0" applyAlignment="1" applyFont="1">
      <alignment horizontal="center" readingOrder="0"/>
    </xf>
    <xf borderId="0" fillId="2" fontId="9" numFmtId="0" xfId="0" applyAlignment="1" applyFont="1">
      <alignment horizontal="left"/>
    </xf>
    <xf borderId="0" fillId="2" fontId="9" numFmtId="0" xfId="0" applyFont="1"/>
    <xf borderId="0" fillId="0" fontId="11" numFmtId="0" xfId="0" applyFont="1"/>
    <xf borderId="0" fillId="3" fontId="4" numFmtId="0" xfId="0" applyAlignment="1" applyFont="1">
      <alignment readingOrder="0"/>
    </xf>
    <xf borderId="0" fillId="0" fontId="3" numFmtId="0" xfId="0" applyAlignment="1" applyFont="1">
      <alignment horizontal="center" readingOrder="0"/>
    </xf>
    <xf borderId="0" fillId="0" fontId="12" numFmtId="0" xfId="0" applyFont="1"/>
    <xf borderId="0" fillId="4" fontId="3" numFmtId="164" xfId="0" applyAlignment="1" applyFill="1" applyFont="1" applyNumberFormat="1">
      <alignment readingOrder="0"/>
    </xf>
    <xf borderId="0" fillId="4" fontId="3" numFmtId="0" xfId="0" applyFont="1"/>
    <xf borderId="0" fillId="4" fontId="3" numFmtId="0" xfId="0" applyAlignment="1" applyFont="1">
      <alignment readingOrder="0"/>
    </xf>
    <xf borderId="0" fillId="4" fontId="4" numFmtId="0" xfId="0" applyFont="1"/>
    <xf borderId="0" fillId="4" fontId="13" numFmtId="0" xfId="0" applyAlignment="1" applyFont="1">
      <alignment readingOrder="0"/>
    </xf>
    <xf borderId="0" fillId="3" fontId="7" numFmtId="0" xfId="0" applyAlignment="1" applyFont="1">
      <alignment horizontal="left" readingOrder="0"/>
    </xf>
    <xf borderId="0" fillId="3" fontId="3" numFmtId="0" xfId="0" applyFont="1"/>
    <xf borderId="0" fillId="2" fontId="3" numFmtId="0" xfId="0" applyFont="1"/>
    <xf borderId="0" fillId="2" fontId="5" numFmtId="0" xfId="0" applyAlignment="1" applyFont="1">
      <alignment horizontal="left"/>
    </xf>
    <xf borderId="0" fillId="4" fontId="1" numFmtId="0" xfId="0" applyFont="1"/>
    <xf borderId="0" fillId="4" fontId="2" numFmtId="0" xfId="0" applyFont="1"/>
    <xf borderId="0" fillId="4" fontId="3" numFmtId="0" xfId="0" applyAlignment="1" applyFont="1">
      <alignment readingOrder="0"/>
    </xf>
    <xf borderId="0" fillId="2" fontId="8" numFmtId="165" xfId="0" applyAlignment="1" applyFont="1" applyNumberFormat="1">
      <alignment horizontal="right" readingOrder="0"/>
    </xf>
    <xf borderId="0" fillId="0" fontId="3" numFmtId="165" xfId="0" applyAlignment="1" applyFont="1" applyNumberFormat="1">
      <alignment horizontal="right" readingOrder="0"/>
    </xf>
    <xf borderId="0" fillId="2" fontId="14" numFmtId="165" xfId="0" applyAlignment="1" applyFont="1" applyNumberFormat="1">
      <alignment horizontal="right" readingOrder="0"/>
    </xf>
    <xf borderId="0" fillId="2" fontId="7" numFmtId="0" xfId="0" applyAlignment="1" applyFont="1">
      <alignment horizontal="left"/>
    </xf>
    <xf borderId="0" fillId="0" fontId="3" numFmtId="166" xfId="0" applyAlignment="1" applyFont="1" applyNumberFormat="1">
      <alignment readingOrder="0"/>
    </xf>
    <xf borderId="0" fillId="2" fontId="8" numFmtId="164" xfId="0" applyAlignment="1" applyFont="1" applyNumberFormat="1">
      <alignment horizontal="right" readingOrder="0"/>
    </xf>
    <xf borderId="0" fillId="0" fontId="4" numFmtId="0" xfId="0" applyFont="1"/>
    <xf borderId="0" fillId="3" fontId="3" numFmtId="0" xfId="0" applyAlignment="1" applyFont="1">
      <alignment readingOrder="0"/>
    </xf>
    <xf borderId="0" fillId="2" fontId="15" numFmtId="0" xfId="0" applyAlignment="1" applyFont="1">
      <alignment readingOrder="0"/>
    </xf>
    <xf borderId="0" fillId="0" fontId="11" numFmtId="0" xfId="0" applyAlignment="1" applyFont="1">
      <alignment readingOrder="0"/>
    </xf>
    <xf borderId="0" fillId="0" fontId="3" numFmtId="0" xfId="0" applyAlignment="1" applyFont="1">
      <alignment horizontal="left" readingOrder="0"/>
    </xf>
    <xf borderId="0" fillId="0" fontId="16" numFmtId="0" xfId="0" applyAlignment="1" applyFont="1">
      <alignment readingOrder="0"/>
    </xf>
    <xf borderId="0" fillId="0" fontId="17" numFmtId="0" xfId="0" applyAlignment="1" applyFont="1">
      <alignment readingOrder="0"/>
    </xf>
    <xf borderId="0" fillId="0" fontId="11" numFmtId="0" xfId="0" applyAlignment="1" applyFont="1">
      <alignment readingOrder="0"/>
    </xf>
    <xf borderId="0" fillId="0" fontId="14" numFmtId="0" xfId="0" applyAlignment="1" applyFont="1">
      <alignment readingOrder="0"/>
    </xf>
    <xf borderId="0" fillId="0" fontId="18" numFmtId="0" xfId="0" applyAlignment="1" applyFont="1">
      <alignment horizontal="left" readingOrder="0"/>
    </xf>
    <xf borderId="0" fillId="5" fontId="3" numFmtId="0" xfId="0" applyAlignment="1" applyFill="1" applyFont="1">
      <alignment readingOrder="0"/>
    </xf>
    <xf borderId="0" fillId="4" fontId="3" numFmtId="165" xfId="0" applyAlignment="1" applyFont="1" applyNumberFormat="1">
      <alignment readingOrder="0"/>
    </xf>
    <xf borderId="0" fillId="0" fontId="6" numFmtId="165" xfId="0" applyAlignment="1" applyFont="1" applyNumberFormat="1">
      <alignment horizontal="right" readingOrder="0" vertical="bottom"/>
    </xf>
    <xf borderId="0" fillId="0" fontId="4" numFmtId="0" xfId="0" applyAlignment="1" applyFont="1">
      <alignment readingOrder="0"/>
    </xf>
    <xf borderId="0" fillId="0" fontId="19" numFmtId="0" xfId="0" applyAlignment="1" applyFont="1">
      <alignment vertical="bottom"/>
    </xf>
    <xf borderId="0" fillId="0" fontId="3" numFmtId="20" xfId="0" applyAlignment="1" applyFont="1" applyNumberFormat="1">
      <alignment readingOrder="0"/>
    </xf>
    <xf borderId="0" fillId="2" fontId="20" numFmtId="0" xfId="0" applyAlignment="1" applyFont="1">
      <alignment readingOrder="0"/>
    </xf>
    <xf borderId="0" fillId="0" fontId="3" numFmtId="0" xfId="0" applyAlignment="1" applyFont="1">
      <alignment horizontal="left"/>
    </xf>
    <xf borderId="0" fillId="4" fontId="4" numFmtId="0" xfId="0" applyAlignment="1" applyFont="1">
      <alignment readingOrder="0"/>
    </xf>
    <xf borderId="0" fillId="6" fontId="3" numFmtId="0" xfId="0" applyAlignment="1" applyFill="1" applyFont="1">
      <alignment readingOrder="0"/>
    </xf>
    <xf borderId="0" fillId="0" fontId="21" numFmtId="0" xfId="0" applyAlignment="1" applyFont="1">
      <alignment readingOrder="0"/>
    </xf>
    <xf borderId="0" fillId="5" fontId="4" numFmtId="0" xfId="0" applyAlignment="1" applyFont="1">
      <alignment readingOrder="0"/>
    </xf>
    <xf borderId="0" fillId="0" fontId="3" numFmtId="167" xfId="0" applyAlignment="1" applyFont="1" applyNumberFormat="1">
      <alignment readingOrder="0"/>
    </xf>
    <xf borderId="0" fillId="2" fontId="22" numFmtId="0" xfId="0" applyAlignment="1" applyFont="1">
      <alignment readingOrder="0"/>
    </xf>
    <xf borderId="0" fillId="2" fontId="23" numFmtId="0" xfId="0" applyAlignment="1" applyFont="1">
      <alignment readingOrder="0"/>
    </xf>
    <xf borderId="0" fillId="2" fontId="22" numFmtId="0" xfId="0" applyAlignment="1" applyFont="1">
      <alignment horizontal="left" readingOrder="0" shrinkToFit="0" wrapText="0"/>
    </xf>
    <xf borderId="0" fillId="2" fontId="24" numFmtId="0" xfId="0" applyAlignment="1" applyFont="1">
      <alignment readingOrder="0"/>
    </xf>
    <xf borderId="0" fillId="0" fontId="1" numFmtId="0" xfId="0" applyAlignment="1" applyFont="1">
      <alignment readingOrder="0"/>
    </xf>
    <xf borderId="0" fillId="2" fontId="9" numFmtId="0" xfId="0" applyAlignment="1" applyFont="1">
      <alignment readingOrder="0"/>
    </xf>
    <xf borderId="0" fillId="2" fontId="15" numFmtId="0" xfId="0" applyAlignment="1" applyFont="1">
      <alignment horizontal="left" readingOrder="0" shrinkToFit="0" wrapText="0"/>
    </xf>
    <xf borderId="0" fillId="5" fontId="19" numFmtId="0" xfId="0" applyAlignment="1" applyFont="1">
      <alignment vertical="bottom"/>
    </xf>
    <xf borderId="0" fillId="0" fontId="3" numFmtId="0" xfId="0" applyAlignment="1" applyFont="1">
      <alignment readingOrder="0"/>
    </xf>
    <xf borderId="0" fillId="0" fontId="19" numFmtId="0" xfId="0" applyAlignment="1" applyFont="1">
      <alignment vertical="bottom"/>
    </xf>
    <xf borderId="0" fillId="5" fontId="3" numFmtId="164" xfId="0" applyAlignment="1" applyFont="1" applyNumberFormat="1">
      <alignment readingOrder="0"/>
    </xf>
    <xf borderId="0" fillId="0" fontId="19" numFmtId="0" xfId="0" applyAlignment="1" applyFont="1">
      <alignment readingOrder="0" vertical="bottom"/>
    </xf>
    <xf borderId="1" fillId="0" fontId="1" numFmtId="0" xfId="0" applyAlignment="1" applyBorder="1" applyFont="1">
      <alignment horizontal="center" readingOrder="0"/>
    </xf>
    <xf borderId="1" fillId="0" fontId="3" numFmtId="166" xfId="0" applyAlignment="1" applyBorder="1" applyFont="1" applyNumberFormat="1">
      <alignment readingOrder="0"/>
    </xf>
    <xf borderId="1" fillId="0" fontId="3" numFmtId="165" xfId="0" applyAlignment="1" applyBorder="1" applyFont="1" applyNumberFormat="1">
      <alignment readingOrder="0"/>
    </xf>
    <xf borderId="1" fillId="0" fontId="3" numFmtId="0" xfId="0" applyBorder="1" applyFont="1"/>
    <xf borderId="0" fillId="0" fontId="1" numFmtId="164" xfId="0" applyAlignment="1" applyFont="1" applyNumberFormat="1">
      <alignment horizontal="center" readingOrder="0"/>
    </xf>
    <xf borderId="0" fillId="0" fontId="1" numFmtId="0" xfId="0" applyAlignment="1" applyFont="1">
      <alignment horizontal="left" readingOrder="0"/>
    </xf>
    <xf borderId="0" fillId="0" fontId="3" numFmtId="166" xfId="0" applyAlignment="1" applyFont="1" applyNumberFormat="1">
      <alignment horizontal="center" readingOrder="0"/>
    </xf>
    <xf borderId="0" fillId="0" fontId="3" numFmtId="165" xfId="0" applyAlignment="1" applyFont="1" applyNumberFormat="1">
      <alignment horizontal="center" readingOrder="0"/>
    </xf>
    <xf borderId="0" fillId="0" fontId="5" numFmtId="0" xfId="0" applyAlignment="1" applyFont="1">
      <alignment horizontal="left" readingOrder="0"/>
    </xf>
    <xf borderId="0" fillId="0" fontId="3" numFmtId="164" xfId="0" applyAlignment="1" applyFont="1" applyNumberFormat="1">
      <alignment horizontal="center" readingOrder="0"/>
    </xf>
    <xf borderId="0" fillId="0" fontId="4" numFmtId="0" xfId="0" applyAlignment="1" applyFont="1">
      <alignment readingOrder="0"/>
    </xf>
    <xf borderId="0" fillId="0" fontId="0" numFmtId="0" xfId="0" applyAlignment="1" applyFont="1">
      <alignment readingOrder="0"/>
    </xf>
    <xf borderId="0" fillId="0" fontId="3" numFmtId="168" xfId="0" applyAlignment="1" applyFont="1" applyNumberFormat="1">
      <alignment readingOrder="0"/>
    </xf>
    <xf borderId="0" fillId="0" fontId="25" numFmtId="0" xfId="0" applyAlignment="1" applyFont="1">
      <alignment readingOrder="0"/>
    </xf>
    <xf borderId="0" fillId="0" fontId="5" numFmtId="0" xfId="0" applyAlignment="1" applyFont="1">
      <alignment readingOrder="0"/>
    </xf>
    <xf borderId="0" fillId="0" fontId="26" numFmtId="0" xfId="0" applyAlignment="1" applyFont="1">
      <alignment vertical="bottom"/>
    </xf>
    <xf borderId="0" fillId="0" fontId="27" numFmtId="0" xfId="0" applyAlignment="1" applyFont="1">
      <alignment readingOrder="0" shrinkToFit="0" vertical="bottom" wrapText="0"/>
    </xf>
    <xf borderId="0" fillId="0" fontId="1" numFmtId="0" xfId="0" applyFont="1"/>
    <xf borderId="0" fillId="0" fontId="28" numFmtId="0" xfId="0" applyAlignment="1" applyFont="1">
      <alignment vertical="bottom"/>
    </xf>
    <xf borderId="0" fillId="0" fontId="28" numFmtId="0" xfId="0" applyAlignment="1" applyFont="1">
      <alignment horizontal="right" vertical="bottom"/>
    </xf>
    <xf borderId="0" fillId="0" fontId="6" numFmtId="0" xfId="0" applyAlignment="1" applyFont="1">
      <alignment vertical="bottom"/>
    </xf>
    <xf borderId="0" fillId="0" fontId="29" numFmtId="0" xfId="0" applyAlignment="1" applyFont="1">
      <alignment shrinkToFit="0" vertical="bottom" wrapText="0"/>
    </xf>
    <xf borderId="0" fillId="0" fontId="29" numFmtId="0" xfId="0" applyAlignment="1" applyFont="1">
      <alignment horizontal="right" readingOrder="0" shrinkToFit="0" vertical="bottom" wrapText="0"/>
    </xf>
    <xf borderId="0" fillId="0" fontId="28" numFmtId="0" xfId="0" applyAlignment="1" applyFont="1">
      <alignment vertical="bottom"/>
    </xf>
    <xf borderId="0" fillId="0" fontId="29" numFmtId="0" xfId="0" applyAlignment="1" applyFont="1">
      <alignment shrinkToFit="0" vertical="bottom" wrapText="0"/>
    </xf>
    <xf borderId="0" fillId="0" fontId="29" numFmtId="0" xfId="0" applyAlignment="1" applyFont="1">
      <alignment readingOrder="0" shrinkToFit="0" vertical="bottom" wrapText="0"/>
    </xf>
    <xf borderId="0" fillId="0" fontId="30" numFmtId="0" xfId="0" applyAlignment="1" applyFont="1">
      <alignment horizontal="center" vertical="bottom"/>
    </xf>
    <xf borderId="0" fillId="0" fontId="26" numFmtId="0" xfId="0" applyAlignment="1" applyFont="1">
      <alignment vertical="bottom"/>
    </xf>
    <xf borderId="0" fillId="0" fontId="28" numFmtId="0" xfId="0" applyAlignment="1" applyFont="1">
      <alignment horizontal="right" vertical="bottom"/>
    </xf>
    <xf borderId="0" fillId="7" fontId="6" numFmtId="0" xfId="0" applyAlignment="1" applyFill="1" applyFont="1">
      <alignment vertical="bottom"/>
    </xf>
    <xf borderId="0" fillId="2" fontId="20" numFmtId="0" xfId="0" applyFont="1"/>
    <xf borderId="0" fillId="0" fontId="16" numFmtId="0" xfId="0" applyFont="1"/>
    <xf borderId="0" fillId="5" fontId="4" numFmtId="0" xfId="0" applyFont="1"/>
    <xf borderId="0" fillId="2" fontId="23" numFmtId="0" xfId="0" applyFont="1"/>
    <xf borderId="0" fillId="2" fontId="22" numFmtId="0" xfId="0" applyAlignment="1" applyFont="1">
      <alignment horizontal="left" shrinkToFit="0" wrapText="0"/>
    </xf>
    <xf borderId="0" fillId="2" fontId="15"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gbif.org/tools/species-lookup"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16.25"/>
    <col customWidth="1" min="4" max="4" width="53.75"/>
    <col customWidth="1" min="5" max="5" width="28.38"/>
    <col customWidth="1" min="6" max="6" width="39.38"/>
    <col customWidth="1" min="7" max="9" width="37.25"/>
  </cols>
  <sheetData>
    <row r="1">
      <c r="A1" s="1" t="s">
        <v>0</v>
      </c>
      <c r="B1" s="1" t="s">
        <v>1</v>
      </c>
      <c r="C1" s="1" t="s">
        <v>2</v>
      </c>
      <c r="D1" s="1" t="s">
        <v>3</v>
      </c>
      <c r="E1" s="2" t="s">
        <v>4</v>
      </c>
      <c r="F1" s="1" t="s">
        <v>5</v>
      </c>
      <c r="G1" s="1" t="s">
        <v>6</v>
      </c>
      <c r="H1" s="1" t="s">
        <v>7</v>
      </c>
      <c r="I1" s="1"/>
    </row>
    <row r="2">
      <c r="A2" s="3">
        <v>45540.0</v>
      </c>
      <c r="B2" s="4">
        <v>0.25763888888888886</v>
      </c>
      <c r="C2" s="5" t="s">
        <v>8</v>
      </c>
      <c r="D2" s="5" t="s">
        <v>9</v>
      </c>
      <c r="E2" s="6" t="s">
        <v>10</v>
      </c>
      <c r="F2" s="5" t="s">
        <v>11</v>
      </c>
      <c r="G2" s="6" t="str">
        <f>VLOOKUP(E2,dicionario!$A$1:$C401,2,0)</f>
        <v>Guira guira</v>
      </c>
      <c r="H2" s="6" t="str">
        <f>VLOOKUP(E2,dicionario!$A$1:$C401,3,0)</f>
        <v>anu-branco</v>
      </c>
    </row>
    <row r="3">
      <c r="A3" s="3">
        <v>45540.0</v>
      </c>
      <c r="B3" s="4">
        <v>0.25833333333333336</v>
      </c>
      <c r="C3" s="5" t="s">
        <v>8</v>
      </c>
      <c r="D3" s="5" t="s">
        <v>9</v>
      </c>
      <c r="E3" s="6" t="s">
        <v>12</v>
      </c>
      <c r="F3" s="7" t="s">
        <v>13</v>
      </c>
      <c r="G3" s="6" t="str">
        <f>VLOOKUP(E3,dicionario!$A$1:$C402,2,0)</f>
        <v>Eulaema nigrita</v>
      </c>
      <c r="H3" s="6" t="str">
        <f>VLOOKUP(E3,dicionario!$A$1:$C402,3,0)</f>
        <v>abelha-de-orquídea</v>
      </c>
    </row>
    <row r="4">
      <c r="A4" s="3">
        <v>45540.0</v>
      </c>
      <c r="B4" s="4">
        <v>0.2590277777777778</v>
      </c>
      <c r="C4" s="5" t="s">
        <v>8</v>
      </c>
      <c r="D4" s="5" t="s">
        <v>9</v>
      </c>
      <c r="E4" s="6" t="s">
        <v>14</v>
      </c>
      <c r="F4" s="7" t="s">
        <v>15</v>
      </c>
      <c r="G4" s="6" t="str">
        <f>VLOOKUP(E4,dicionario!$A$1:$C403,2,0)</f>
        <v>Spermacoce verticillata</v>
      </c>
      <c r="H4" s="6" t="str">
        <f>VLOOKUP(E4,dicionario!$A$1:$C403,3,0)</f>
        <v>vassourinha-de-botão</v>
      </c>
    </row>
    <row r="5">
      <c r="A5" s="3">
        <v>45540.0</v>
      </c>
      <c r="B5" s="4">
        <v>0.2590277777777778</v>
      </c>
      <c r="C5" s="5" t="s">
        <v>8</v>
      </c>
      <c r="D5" s="5" t="s">
        <v>9</v>
      </c>
      <c r="E5" s="8" t="s">
        <v>16</v>
      </c>
      <c r="F5" s="5" t="s">
        <v>17</v>
      </c>
      <c r="G5" s="6" t="str">
        <f>VLOOKUP(E5,dicionario!$A$1:$C404,2,0)</f>
        <v>Eupetomena macroura</v>
      </c>
      <c r="H5" s="6" t="str">
        <f>VLOOKUP(E5,dicionario!$A$1:$C404,3,0)</f>
        <v>beija-flor-tesoura</v>
      </c>
    </row>
    <row r="6">
      <c r="A6" s="3">
        <v>45540.0</v>
      </c>
      <c r="B6" s="4">
        <v>0.2590277777777778</v>
      </c>
      <c r="C6" s="5" t="s">
        <v>8</v>
      </c>
      <c r="D6" s="5" t="s">
        <v>9</v>
      </c>
      <c r="E6" s="6" t="s">
        <v>18</v>
      </c>
      <c r="F6" s="5" t="s">
        <v>19</v>
      </c>
      <c r="G6" s="6" t="str">
        <f>VLOOKUP(E6,dicionario!$A$1:$C405,2,0)</f>
        <v>Xylocopa frontalis</v>
      </c>
      <c r="H6" s="6" t="str">
        <f>VLOOKUP(E6,dicionario!$A$1:$C405,3,0)</f>
        <v>Mamangava; mangangá; abelha-carpinteira</v>
      </c>
    </row>
    <row r="7">
      <c r="A7" s="3">
        <v>45540.0</v>
      </c>
      <c r="B7" s="4">
        <v>0.2604166666666667</v>
      </c>
      <c r="C7" s="5" t="s">
        <v>8</v>
      </c>
      <c r="D7" s="5" t="s">
        <v>9</v>
      </c>
      <c r="E7" s="6" t="s">
        <v>20</v>
      </c>
      <c r="F7" s="7" t="s">
        <v>21</v>
      </c>
      <c r="G7" s="6" t="str">
        <f>VLOOKUP(E7,dicionario!$A$1:$C406,2,0)</f>
        <v>Sicalis flaveola</v>
      </c>
      <c r="H7" s="6" t="str">
        <f>VLOOKUP(E7,dicionario!$A$1:$C406,3,0)</f>
        <v>canário-da-terra</v>
      </c>
    </row>
    <row r="8">
      <c r="A8" s="3">
        <v>45540.0</v>
      </c>
      <c r="B8" s="4">
        <v>0.26666666666666666</v>
      </c>
      <c r="C8" s="5" t="s">
        <v>8</v>
      </c>
      <c r="D8" s="5" t="s">
        <v>9</v>
      </c>
      <c r="E8" s="6" t="s">
        <v>22</v>
      </c>
      <c r="F8" s="5" t="s">
        <v>23</v>
      </c>
      <c r="G8" s="6" t="str">
        <f>VLOOKUP(E8,dicionario!$A$1:$C407,2,0)</f>
        <v>Zenaida auriculata</v>
      </c>
      <c r="H8" s="6" t="str">
        <f>VLOOKUP(E8,dicionario!$A$1:$C407,3,0)</f>
        <v>pomba-de-bando; avoante</v>
      </c>
    </row>
    <row r="9">
      <c r="A9" s="3">
        <v>45540.0</v>
      </c>
      <c r="B9" s="4">
        <v>0.26805555555555555</v>
      </c>
      <c r="C9" s="5" t="s">
        <v>8</v>
      </c>
      <c r="D9" s="5" t="s">
        <v>9</v>
      </c>
      <c r="E9" s="6" t="s">
        <v>24</v>
      </c>
      <c r="F9" s="7" t="s">
        <v>25</v>
      </c>
      <c r="G9" s="6" t="str">
        <f>VLOOKUP(E9,dicionario!$A$1:$C408,2,0)</f>
        <v>Lepidoptera</v>
      </c>
      <c r="H9" s="6" t="str">
        <f>VLOOKUP(E9,dicionario!$A$1:$C408,3,0)</f>
        <v>boboleta/mariposa</v>
      </c>
    </row>
    <row r="10">
      <c r="A10" s="3">
        <v>45540.0</v>
      </c>
      <c r="B10" s="4">
        <v>0.27291666666666664</v>
      </c>
      <c r="C10" s="5" t="s">
        <v>26</v>
      </c>
      <c r="D10" s="5" t="s">
        <v>9</v>
      </c>
      <c r="E10" s="6" t="s">
        <v>27</v>
      </c>
      <c r="F10" s="7" t="s">
        <v>28</v>
      </c>
      <c r="G10" s="6" t="str">
        <f>VLOOKUP(E10,dicionario!$A$1:$C409,2,0)</f>
        <v>Termitoidae</v>
      </c>
      <c r="H10" s="6" t="str">
        <f>VLOOKUP(E10,dicionario!$A$1:$C409,3,0)</f>
        <v>cupim</v>
      </c>
    </row>
    <row r="11">
      <c r="A11" s="3">
        <v>45540.0</v>
      </c>
      <c r="B11" s="4">
        <v>0.27291666666666664</v>
      </c>
      <c r="C11" s="5" t="s">
        <v>26</v>
      </c>
      <c r="D11" s="5" t="s">
        <v>9</v>
      </c>
      <c r="E11" s="6" t="s">
        <v>29</v>
      </c>
      <c r="F11" s="7" t="s">
        <v>30</v>
      </c>
      <c r="G11" s="6" t="str">
        <f>VLOOKUP(E11,dicionario!$A$1:$C410,2,0)</f>
        <v>Pycnoscelus surinamensis</v>
      </c>
      <c r="H11" s="6" t="str">
        <f>VLOOKUP(E11,dicionario!$A$1:$C410,3,0)</f>
        <v>Barata-de-jardim</v>
      </c>
    </row>
    <row r="12">
      <c r="A12" s="3">
        <v>45540.0</v>
      </c>
      <c r="B12" s="4">
        <v>0.27708333333333335</v>
      </c>
      <c r="C12" s="5" t="s">
        <v>26</v>
      </c>
      <c r="D12" s="5" t="s">
        <v>9</v>
      </c>
      <c r="E12" s="6" t="s">
        <v>31</v>
      </c>
      <c r="F12" s="7" t="s">
        <v>32</v>
      </c>
      <c r="G12" s="6" t="str">
        <f>VLOOKUP(E12,dicionario!$A$1:$C411,2,0)</f>
        <v>Furnarius rufus</v>
      </c>
      <c r="H12" s="6" t="str">
        <f>VLOOKUP(E12,dicionario!$A$1:$C411,3,0)</f>
        <v>joão-de-barro</v>
      </c>
    </row>
    <row r="13">
      <c r="A13" s="3">
        <v>45540.0</v>
      </c>
      <c r="B13" s="4">
        <v>0.2861111111111111</v>
      </c>
      <c r="C13" s="5" t="s">
        <v>33</v>
      </c>
      <c r="D13" s="5" t="s">
        <v>9</v>
      </c>
      <c r="E13" s="6" t="s">
        <v>34</v>
      </c>
      <c r="F13" s="7" t="s">
        <v>35</v>
      </c>
      <c r="G13" s="6" t="str">
        <f>VLOOKUP(E13,dicionario!$A$1:$C412,2,0)</f>
        <v>Formicidae</v>
      </c>
      <c r="H13" s="6" t="str">
        <f>VLOOKUP(E13,dicionario!$A$1:$C412,3,0)</f>
        <v>formiga</v>
      </c>
    </row>
    <row r="14">
      <c r="A14" s="3">
        <v>45540.0</v>
      </c>
      <c r="B14" s="4">
        <v>0.2881944444444444</v>
      </c>
      <c r="C14" s="5" t="s">
        <v>33</v>
      </c>
      <c r="D14" s="5" t="s">
        <v>9</v>
      </c>
      <c r="E14" s="8" t="s">
        <v>36</v>
      </c>
      <c r="F14" s="7" t="s">
        <v>37</v>
      </c>
      <c r="G14" s="6" t="str">
        <f>VLOOKUP(E14,dicionario!$A$1:$C413,2,0)</f>
        <v>Lucilia sericata</v>
      </c>
      <c r="H14" s="6" t="str">
        <f>VLOOKUP(E14,dicionario!$A$1:$C413,3,0)</f>
        <v>mosca-verde</v>
      </c>
    </row>
    <row r="15">
      <c r="A15" s="3">
        <v>45540.0</v>
      </c>
      <c r="B15" s="4">
        <v>0.28888888888888886</v>
      </c>
      <c r="C15" s="5" t="s">
        <v>33</v>
      </c>
      <c r="D15" s="5" t="s">
        <v>9</v>
      </c>
      <c r="E15" s="6" t="s">
        <v>20</v>
      </c>
      <c r="F15" s="7" t="s">
        <v>21</v>
      </c>
      <c r="G15" s="6" t="str">
        <f>VLOOKUP(E15,dicionario!$A$1:$C414,2,0)</f>
        <v>Sicalis flaveola</v>
      </c>
      <c r="H15" s="6" t="str">
        <f>VLOOKUP(E15,dicionario!$A$1:$C414,3,0)</f>
        <v>canário-da-terra</v>
      </c>
    </row>
    <row r="16">
      <c r="A16" s="3">
        <v>45540.0</v>
      </c>
      <c r="B16" s="4">
        <v>0.29097222222222224</v>
      </c>
      <c r="C16" s="5" t="s">
        <v>33</v>
      </c>
      <c r="D16" s="5" t="s">
        <v>9</v>
      </c>
      <c r="E16" s="8" t="s">
        <v>38</v>
      </c>
      <c r="F16" s="5" t="s">
        <v>39</v>
      </c>
      <c r="G16" s="6" t="str">
        <f>VLOOKUP(E16,dicionario!$A$1:$C415,2,0)</f>
        <v>Troglodytes musculus</v>
      </c>
      <c r="H16" s="6" t="str">
        <f>VLOOKUP(E16,dicionario!$A$1:$C415,3,0)</f>
        <v>curruíra</v>
      </c>
    </row>
    <row r="17">
      <c r="A17" s="3">
        <v>45540.0</v>
      </c>
      <c r="B17" s="4">
        <v>0.2916666666666667</v>
      </c>
      <c r="C17" s="5" t="s">
        <v>40</v>
      </c>
      <c r="D17" s="5" t="s">
        <v>9</v>
      </c>
      <c r="E17" s="6" t="s">
        <v>41</v>
      </c>
      <c r="F17" s="7" t="s">
        <v>42</v>
      </c>
      <c r="G17" s="6" t="str">
        <f>VLOOKUP(E17,dicionario!$A$1:$C416,2,0)</f>
        <v>Mimosa pudica</v>
      </c>
      <c r="H17" s="6" t="str">
        <f>VLOOKUP(E17,dicionario!$A$1:$C416,3,0)</f>
        <v>dormideira</v>
      </c>
    </row>
    <row r="18">
      <c r="A18" s="3">
        <v>45540.0</v>
      </c>
      <c r="B18" s="4">
        <v>0.29305555555555557</v>
      </c>
      <c r="C18" s="5" t="s">
        <v>40</v>
      </c>
      <c r="D18" s="5" t="s">
        <v>9</v>
      </c>
      <c r="E18" s="6" t="s">
        <v>43</v>
      </c>
      <c r="F18" s="7" t="s">
        <v>44</v>
      </c>
      <c r="G18" s="6" t="str">
        <f>VLOOKUP(E18,dicionario!$A$1:$C417,2,0)</f>
        <v>Columba livia</v>
      </c>
      <c r="H18" s="6" t="str">
        <f>VLOOKUP(E18,dicionario!$A$1:$C417,3,0)</f>
        <v>pombo-doméstico</v>
      </c>
    </row>
    <row r="19">
      <c r="A19" s="3">
        <v>45540.0</v>
      </c>
      <c r="B19" s="4">
        <v>0.29444444444444445</v>
      </c>
      <c r="C19" s="5" t="s">
        <v>40</v>
      </c>
      <c r="D19" s="5" t="s">
        <v>9</v>
      </c>
      <c r="E19" s="8" t="s">
        <v>41</v>
      </c>
      <c r="F19" s="7" t="s">
        <v>45</v>
      </c>
      <c r="G19" s="6" t="str">
        <f>VLOOKUP(E19,dicionario!$A$1:$C418,2,0)</f>
        <v>Mimosa pudica</v>
      </c>
      <c r="H19" s="6" t="str">
        <f>VLOOKUP(E19,dicionario!$A$1:$C418,3,0)</f>
        <v>dormideira</v>
      </c>
    </row>
    <row r="20">
      <c r="A20" s="3">
        <v>45540.0</v>
      </c>
      <c r="B20" s="4">
        <v>0.29583333333333334</v>
      </c>
      <c r="C20" s="5" t="s">
        <v>40</v>
      </c>
      <c r="D20" s="5" t="s">
        <v>9</v>
      </c>
      <c r="E20" s="8" t="s">
        <v>46</v>
      </c>
      <c r="F20" s="5" t="s">
        <v>47</v>
      </c>
      <c r="G20" s="6" t="str">
        <f>VLOOKUP(E20,dicionario!$A$1:$C419,2,0)</f>
        <v>Chionomesa fimbriata</v>
      </c>
      <c r="H20" s="6" t="str">
        <f>VLOOKUP(E20,dicionario!$A$1:$C419,3,0)</f>
        <v>beija-flor-de-garganta-verde</v>
      </c>
    </row>
    <row r="21">
      <c r="A21" s="3">
        <v>45540.0</v>
      </c>
      <c r="B21" s="4">
        <v>0.2965277777777778</v>
      </c>
      <c r="C21" s="5" t="s">
        <v>40</v>
      </c>
      <c r="D21" s="5" t="s">
        <v>9</v>
      </c>
      <c r="E21" s="6" t="s">
        <v>22</v>
      </c>
      <c r="F21" s="5" t="s">
        <v>23</v>
      </c>
      <c r="G21" s="6" t="str">
        <f>VLOOKUP(E21,dicionario!$A$1:$C420,2,0)</f>
        <v>Zenaida auriculata</v>
      </c>
      <c r="H21" s="6" t="str">
        <f>VLOOKUP(E21,dicionario!$A$1:$C420,3,0)</f>
        <v>pomba-de-bando; avoante</v>
      </c>
    </row>
    <row r="22">
      <c r="A22" s="3">
        <v>45540.0</v>
      </c>
      <c r="B22" s="4">
        <v>0.29930555555555555</v>
      </c>
      <c r="C22" s="5" t="s">
        <v>40</v>
      </c>
      <c r="D22" s="5" t="s">
        <v>9</v>
      </c>
      <c r="E22" s="6" t="s">
        <v>48</v>
      </c>
      <c r="F22" s="7" t="s">
        <v>49</v>
      </c>
      <c r="G22" s="6" t="str">
        <f>VLOOKUP(E22,dicionario!$A$1:$C421,2,0)</f>
        <v>Commelina erecta</v>
      </c>
      <c r="H22" s="6" t="str">
        <f>VLOOKUP(E22,dicionario!$A$1:$C421,3,0)</f>
        <v>trapoeraba</v>
      </c>
    </row>
    <row r="23">
      <c r="A23" s="3">
        <v>45540.0</v>
      </c>
      <c r="B23" s="4">
        <v>0.3055555555555556</v>
      </c>
      <c r="C23" s="5" t="s">
        <v>50</v>
      </c>
      <c r="D23" s="5" t="s">
        <v>9</v>
      </c>
      <c r="E23" s="6" t="s">
        <v>51</v>
      </c>
      <c r="F23" s="5" t="s">
        <v>52</v>
      </c>
      <c r="G23" s="6" t="str">
        <f>VLOOKUP(E23,dicionario!$A$1:$C422,2,0)</f>
        <v>Solenopsis</v>
      </c>
      <c r="H23" s="6" t="str">
        <f>VLOOKUP(E23,dicionario!$A$1:$C422,3,0)</f>
        <v>formiga-quente; formiga-lava-pés; formiga-de-fogo</v>
      </c>
    </row>
    <row r="24">
      <c r="A24" s="3">
        <v>45540.0</v>
      </c>
      <c r="B24" s="4">
        <v>0.30625</v>
      </c>
      <c r="C24" s="5" t="s">
        <v>50</v>
      </c>
      <c r="D24" s="5" t="s">
        <v>9</v>
      </c>
      <c r="E24" s="6" t="s">
        <v>53</v>
      </c>
      <c r="F24" s="7" t="s">
        <v>54</v>
      </c>
      <c r="G24" s="6" t="str">
        <f>VLOOKUP(E24,dicionario!$A$1:$C423,2,0)</f>
        <v>Turnera subulata</v>
      </c>
      <c r="H24" s="6" t="str">
        <f>VLOOKUP(E24,dicionario!$A$1:$C423,3,0)</f>
        <v>xanana</v>
      </c>
    </row>
    <row r="25">
      <c r="A25" s="3">
        <v>45540.0</v>
      </c>
      <c r="B25" s="4">
        <v>0.30694444444444446</v>
      </c>
      <c r="C25" s="5" t="s">
        <v>50</v>
      </c>
      <c r="D25" s="5" t="s">
        <v>9</v>
      </c>
      <c r="E25" s="6" t="s">
        <v>55</v>
      </c>
      <c r="F25" s="5" t="s">
        <v>56</v>
      </c>
      <c r="G25" s="6" t="str">
        <f>VLOOKUP(E25,dicionario!$A$1:$C424,2,0)</f>
        <v>Cubaris murina</v>
      </c>
      <c r="H25" s="6" t="str">
        <f>VLOOKUP(E25,dicionario!$A$1:$C424,3,0)</f>
        <v>tatuzinho-de-jardim</v>
      </c>
    </row>
    <row r="26">
      <c r="A26" s="3">
        <v>45540.0</v>
      </c>
      <c r="B26" s="4">
        <v>0.30694444444444446</v>
      </c>
      <c r="C26" s="5" t="s">
        <v>50</v>
      </c>
      <c r="D26" s="5" t="s">
        <v>9</v>
      </c>
      <c r="E26" s="6" t="s">
        <v>57</v>
      </c>
      <c r="F26" s="5" t="s">
        <v>58</v>
      </c>
      <c r="G26" s="6" t="str">
        <f>VLOOKUP(E26,dicionario!$A$1:$C425,2,0)</f>
        <v>Juliformia</v>
      </c>
      <c r="H26" s="6" t="str">
        <f>VLOOKUP(E26,dicionario!$A$1:$C425,3,0)</f>
        <v>gongolo; maria-café</v>
      </c>
    </row>
    <row r="27">
      <c r="A27" s="3">
        <v>45540.0</v>
      </c>
      <c r="B27" s="4">
        <v>0.31180555555555556</v>
      </c>
      <c r="C27" s="5" t="s">
        <v>59</v>
      </c>
      <c r="D27" s="5" t="s">
        <v>9</v>
      </c>
      <c r="E27" s="6" t="s">
        <v>22</v>
      </c>
      <c r="F27" s="5" t="s">
        <v>23</v>
      </c>
      <c r="G27" s="6" t="str">
        <f>VLOOKUP(E27,dicionario!$A$1:$C426,2,0)</f>
        <v>Zenaida auriculata</v>
      </c>
      <c r="H27" s="6" t="str">
        <f>VLOOKUP(E27,dicionario!$A$1:$C426,3,0)</f>
        <v>pomba-de-bando; avoante</v>
      </c>
    </row>
    <row r="28">
      <c r="A28" s="3">
        <v>45540.0</v>
      </c>
      <c r="B28" s="4">
        <v>0.3125</v>
      </c>
      <c r="C28" s="5" t="s">
        <v>59</v>
      </c>
      <c r="D28" s="5" t="s">
        <v>9</v>
      </c>
      <c r="E28" s="6" t="s">
        <v>31</v>
      </c>
      <c r="F28" s="7" t="s">
        <v>32</v>
      </c>
      <c r="G28" s="6" t="str">
        <f>VLOOKUP(E28,dicionario!$A$1:$C427,2,0)</f>
        <v>Furnarius rufus</v>
      </c>
      <c r="H28" s="6" t="str">
        <f>VLOOKUP(E28,dicionario!$A$1:$C427,3,0)</f>
        <v>joão-de-barro</v>
      </c>
    </row>
    <row r="29">
      <c r="A29" s="3">
        <v>45540.0</v>
      </c>
      <c r="B29" s="4">
        <v>0.3145833333333333</v>
      </c>
      <c r="C29" s="5" t="s">
        <v>59</v>
      </c>
      <c r="D29" s="5" t="s">
        <v>9</v>
      </c>
      <c r="E29" s="6" t="s">
        <v>24</v>
      </c>
      <c r="F29" s="7" t="s">
        <v>25</v>
      </c>
      <c r="G29" s="6" t="str">
        <f>VLOOKUP(E29,dicionario!$A$1:$C428,2,0)</f>
        <v>Lepidoptera</v>
      </c>
      <c r="H29" s="6" t="str">
        <f>VLOOKUP(E29,dicionario!$A$1:$C428,3,0)</f>
        <v>boboleta/mariposa</v>
      </c>
    </row>
    <row r="30">
      <c r="A30" s="3">
        <v>45540.0</v>
      </c>
      <c r="B30" s="4">
        <v>0.31666666666666665</v>
      </c>
      <c r="C30" s="5" t="s">
        <v>59</v>
      </c>
      <c r="D30" s="5" t="s">
        <v>9</v>
      </c>
      <c r="E30" s="6" t="s">
        <v>60</v>
      </c>
      <c r="F30" s="7" t="s">
        <v>61</v>
      </c>
      <c r="G30" s="6" t="str">
        <f>VLOOKUP(E30,dicionario!$A$1:$C429,2,0)</f>
        <v>Vanellus chilensis</v>
      </c>
      <c r="H30" s="6" t="str">
        <f>VLOOKUP(E30,dicionario!$A$1:$C429,3,0)</f>
        <v>quero-quero</v>
      </c>
    </row>
    <row r="31">
      <c r="A31" s="3">
        <v>45540.0</v>
      </c>
      <c r="B31" s="4">
        <v>0.3173611111111111</v>
      </c>
      <c r="C31" s="5" t="s">
        <v>59</v>
      </c>
      <c r="D31" s="5" t="s">
        <v>9</v>
      </c>
      <c r="E31" s="6" t="s">
        <v>62</v>
      </c>
      <c r="F31" s="7" t="s">
        <v>63</v>
      </c>
      <c r="G31" s="6" t="str">
        <f>VLOOKUP(E31,dicionario!$A$1:$C430,2,0)</f>
        <v>Hymenoptera</v>
      </c>
      <c r="H31" s="6" t="str">
        <f>VLOOKUP(E31,dicionario!$A$1:$C430,3,0)</f>
        <v>vespa</v>
      </c>
    </row>
    <row r="32">
      <c r="A32" s="3">
        <v>45540.0</v>
      </c>
      <c r="B32" s="4">
        <v>0.32013888888888886</v>
      </c>
      <c r="C32" s="5" t="s">
        <v>64</v>
      </c>
      <c r="D32" s="5" t="s">
        <v>9</v>
      </c>
      <c r="E32" s="6" t="s">
        <v>65</v>
      </c>
      <c r="F32" s="7" t="s">
        <v>66</v>
      </c>
      <c r="G32" s="6" t="str">
        <f>VLOOKUP(E32,dicionario!$A$1:$C431,2,0)</f>
        <v>Pitangus sulphutarus</v>
      </c>
      <c r="H32" s="6" t="str">
        <f>VLOOKUP(E32,dicionario!$A$1:$C431,3,0)</f>
        <v>bem-te-vi</v>
      </c>
    </row>
    <row r="33">
      <c r="A33" s="3">
        <v>45540.0</v>
      </c>
      <c r="B33" s="4">
        <v>0.32083333333333336</v>
      </c>
      <c r="C33" s="5" t="s">
        <v>64</v>
      </c>
      <c r="D33" s="5" t="s">
        <v>9</v>
      </c>
      <c r="E33" s="6" t="s">
        <v>67</v>
      </c>
      <c r="F33" s="7" t="s">
        <v>68</v>
      </c>
      <c r="G33" s="6" t="str">
        <f>VLOOKUP(E33,dicionario!$A$1:$C432,2,0)</f>
        <v>Siproeta stelenes</v>
      </c>
      <c r="H33" s="6" t="str">
        <f>VLOOKUP(E33,dicionario!$A$1:$C432,3,0)</f>
        <v>borboleta-malaquita</v>
      </c>
    </row>
    <row r="34">
      <c r="A34" s="3">
        <v>45540.0</v>
      </c>
      <c r="B34" s="4">
        <v>0.3215277777777778</v>
      </c>
      <c r="C34" s="5" t="s">
        <v>64</v>
      </c>
      <c r="D34" s="5" t="s">
        <v>9</v>
      </c>
      <c r="E34" s="6" t="s">
        <v>69</v>
      </c>
      <c r="F34" s="7" t="s">
        <v>70</v>
      </c>
      <c r="G34" s="6" t="str">
        <f>VLOOKUP(E34,dicionario!$A$1:$C433,2,0)</f>
        <v>Talinum fruticosum</v>
      </c>
      <c r="H34" s="6" t="str">
        <f>VLOOKUP(E34,dicionario!$A$1:$C433,3,0)</f>
        <v>beldroega-grande</v>
      </c>
    </row>
    <row r="35">
      <c r="A35" s="3">
        <v>45540.0</v>
      </c>
      <c r="B35" s="4">
        <v>0.3229166666666667</v>
      </c>
      <c r="C35" s="5" t="s">
        <v>64</v>
      </c>
      <c r="D35" s="5" t="s">
        <v>9</v>
      </c>
      <c r="E35" s="6" t="s">
        <v>34</v>
      </c>
      <c r="F35" s="7" t="s">
        <v>35</v>
      </c>
      <c r="G35" s="6" t="str">
        <f>VLOOKUP(E35,dicionario!$A$1:$C434,2,0)</f>
        <v>Formicidae</v>
      </c>
      <c r="H35" s="6" t="str">
        <f>VLOOKUP(E35,dicionario!$A$1:$C434,3,0)</f>
        <v>formiga</v>
      </c>
    </row>
    <row r="36">
      <c r="A36" s="3">
        <v>45540.0</v>
      </c>
      <c r="B36" s="4">
        <v>0.32430555555555557</v>
      </c>
      <c r="C36" s="5" t="s">
        <v>64</v>
      </c>
      <c r="D36" s="5" t="s">
        <v>9</v>
      </c>
      <c r="E36" s="8" t="s">
        <v>69</v>
      </c>
      <c r="F36" s="7" t="s">
        <v>71</v>
      </c>
      <c r="G36" s="6" t="str">
        <f>VLOOKUP(E36,dicionario!$A$1:$C435,2,0)</f>
        <v>Talinum fruticosum</v>
      </c>
      <c r="H36" s="6" t="str">
        <f>VLOOKUP(E36,dicionario!$A$1:$C435,3,0)</f>
        <v>beldroega-grande</v>
      </c>
    </row>
    <row r="37">
      <c r="A37" s="3">
        <v>45540.0</v>
      </c>
      <c r="B37" s="4">
        <v>0.32569444444444445</v>
      </c>
      <c r="C37" s="5" t="s">
        <v>64</v>
      </c>
      <c r="D37" s="5" t="s">
        <v>9</v>
      </c>
      <c r="E37" s="6" t="s">
        <v>72</v>
      </c>
      <c r="F37" s="7" t="s">
        <v>73</v>
      </c>
      <c r="G37" s="6" t="str">
        <f>VLOOKUP(E37,dicionario!$A$1:$C436,2,0)</f>
        <v>Thraupis palmarum</v>
      </c>
      <c r="H37" s="6" t="str">
        <f>VLOOKUP(E37,dicionario!$A$1:$C436,3,0)</f>
        <v>sanhaço-do-coqueiro</v>
      </c>
    </row>
    <row r="38">
      <c r="A38" s="3">
        <v>45540.0</v>
      </c>
      <c r="B38" s="4">
        <v>0.32569444444444445</v>
      </c>
      <c r="C38" s="5" t="s">
        <v>64</v>
      </c>
      <c r="D38" s="5" t="s">
        <v>9</v>
      </c>
      <c r="E38" s="6" t="s">
        <v>43</v>
      </c>
      <c r="F38" s="7" t="s">
        <v>44</v>
      </c>
      <c r="G38" s="6" t="str">
        <f>VLOOKUP(E38,dicionario!$A$1:$C437,2,0)</f>
        <v>Columba livia</v>
      </c>
      <c r="H38" s="6" t="str">
        <f>VLOOKUP(E38,dicionario!$A$1:$C437,3,0)</f>
        <v>pombo-doméstico</v>
      </c>
    </row>
    <row r="39">
      <c r="A39" s="3">
        <v>45540.0</v>
      </c>
      <c r="B39" s="4">
        <v>0.32569444444444445</v>
      </c>
      <c r="C39" s="5" t="s">
        <v>64</v>
      </c>
      <c r="D39" s="5" t="s">
        <v>9</v>
      </c>
      <c r="E39" s="6" t="s">
        <v>74</v>
      </c>
      <c r="F39" s="7" t="s">
        <v>75</v>
      </c>
      <c r="G39" s="6" t="str">
        <f>VLOOKUP(E39,dicionario!$A$1:$C438,2,0)</f>
        <v>Crotophaga ani</v>
      </c>
      <c r="H39" s="6" t="str">
        <f>VLOOKUP(E39,dicionario!$A$1:$C438,3,0)</f>
        <v>anu-preto</v>
      </c>
    </row>
    <row r="40">
      <c r="A40" s="3">
        <v>45540.0</v>
      </c>
      <c r="B40" s="4">
        <v>0.3298611111111111</v>
      </c>
      <c r="C40" s="5" t="s">
        <v>76</v>
      </c>
      <c r="D40" s="5" t="s">
        <v>9</v>
      </c>
      <c r="E40" s="6" t="s">
        <v>74</v>
      </c>
      <c r="F40" s="7" t="s">
        <v>75</v>
      </c>
      <c r="G40" s="6" t="str">
        <f>VLOOKUP(E40,dicionario!$A$1:$C439,2,0)</f>
        <v>Crotophaga ani</v>
      </c>
      <c r="H40" s="6" t="str">
        <f>VLOOKUP(E40,dicionario!$A$1:$C439,3,0)</f>
        <v>anu-preto</v>
      </c>
    </row>
    <row r="41">
      <c r="A41" s="3">
        <v>45540.0</v>
      </c>
      <c r="B41" s="4">
        <v>0.33055555555555555</v>
      </c>
      <c r="C41" s="5" t="s">
        <v>76</v>
      </c>
      <c r="D41" s="5" t="s">
        <v>9</v>
      </c>
      <c r="E41" s="6" t="s">
        <v>51</v>
      </c>
      <c r="F41" s="7" t="s">
        <v>77</v>
      </c>
      <c r="G41" s="6" t="str">
        <f>VLOOKUP(E41,dicionario!$A$1:$C440,2,0)</f>
        <v>Solenopsis</v>
      </c>
      <c r="H41" s="6" t="str">
        <f>VLOOKUP(E41,dicionario!$A$1:$C440,3,0)</f>
        <v>formiga-quente; formiga-lava-pés; formiga-de-fogo</v>
      </c>
    </row>
    <row r="42">
      <c r="A42" s="3">
        <v>45540.0</v>
      </c>
      <c r="B42" s="4">
        <v>0.33125</v>
      </c>
      <c r="C42" s="5" t="s">
        <v>76</v>
      </c>
      <c r="D42" s="5" t="s">
        <v>9</v>
      </c>
      <c r="E42" s="6" t="s">
        <v>18</v>
      </c>
      <c r="F42" s="5" t="s">
        <v>19</v>
      </c>
      <c r="G42" s="6" t="str">
        <f>VLOOKUP(E42,dicionario!$A$1:$C441,2,0)</f>
        <v>Xylocopa frontalis</v>
      </c>
      <c r="H42" s="6" t="str">
        <f>VLOOKUP(E42,dicionario!$A$1:$C441,3,0)</f>
        <v>Mamangava; mangangá; abelha-carpinteira</v>
      </c>
    </row>
    <row r="43">
      <c r="A43" s="3">
        <v>45540.0</v>
      </c>
      <c r="B43" s="4">
        <v>0.3333333333333333</v>
      </c>
      <c r="C43" s="5" t="s">
        <v>76</v>
      </c>
      <c r="D43" s="5" t="s">
        <v>9</v>
      </c>
      <c r="E43" s="6" t="s">
        <v>78</v>
      </c>
      <c r="F43" s="7" t="s">
        <v>79</v>
      </c>
      <c r="G43" s="6" t="str">
        <f>VLOOKUP(E43,dicionario!$A$1:$C442,2,0)</f>
        <v>#N/A</v>
      </c>
      <c r="H43" s="6" t="str">
        <f>VLOOKUP(E43,dicionario!$A$1:$C442,3,0)</f>
        <v>#N/A</v>
      </c>
    </row>
    <row r="44">
      <c r="A44" s="3">
        <v>45540.0</v>
      </c>
      <c r="B44" s="4">
        <v>0.33541666666666664</v>
      </c>
      <c r="C44" s="5" t="s">
        <v>76</v>
      </c>
      <c r="D44" s="5" t="s">
        <v>9</v>
      </c>
      <c r="E44" s="6" t="s">
        <v>57</v>
      </c>
      <c r="F44" s="7" t="s">
        <v>42</v>
      </c>
      <c r="G44" s="6" t="str">
        <f>VLOOKUP(E44,dicionario!$A$1:$C443,2,0)</f>
        <v>Juliformia</v>
      </c>
      <c r="H44" s="6" t="str">
        <f>VLOOKUP(E44,dicionario!$A$1:$C443,3,0)</f>
        <v>gongolo; maria-café</v>
      </c>
    </row>
    <row r="45">
      <c r="A45" s="3">
        <v>45540.0</v>
      </c>
      <c r="B45" s="4">
        <v>0.33541666666666664</v>
      </c>
      <c r="C45" s="5" t="s">
        <v>76</v>
      </c>
      <c r="D45" s="5" t="s">
        <v>9</v>
      </c>
      <c r="E45" s="6" t="s">
        <v>80</v>
      </c>
      <c r="F45" s="7" t="s">
        <v>81</v>
      </c>
      <c r="G45" s="6" t="str">
        <f>VLOOKUP(E45,dicionario!$A$1:$C444,2,0)</f>
        <v>Pentatomidae</v>
      </c>
      <c r="H45" s="6" t="str">
        <f>VLOOKUP(E45,dicionario!$A$1:$C444,3,0)</f>
        <v>maria-fedida</v>
      </c>
    </row>
    <row r="46">
      <c r="A46" s="3">
        <v>45540.0</v>
      </c>
      <c r="B46" s="4">
        <v>0.3368055555555556</v>
      </c>
      <c r="C46" s="5" t="s">
        <v>76</v>
      </c>
      <c r="D46" s="5" t="s">
        <v>9</v>
      </c>
      <c r="E46" s="6" t="s">
        <v>57</v>
      </c>
      <c r="F46" s="5" t="s">
        <v>82</v>
      </c>
      <c r="G46" s="6" t="str">
        <f>VLOOKUP(E46,dicionario!$A$1:$C445,2,0)</f>
        <v>Juliformia</v>
      </c>
      <c r="H46" s="6" t="str">
        <f>VLOOKUP(E46,dicionario!$A$1:$C445,3,0)</f>
        <v>gongolo; maria-café</v>
      </c>
    </row>
    <row r="47">
      <c r="A47" s="3">
        <v>45540.0</v>
      </c>
      <c r="B47" s="4">
        <v>0.33819444444444446</v>
      </c>
      <c r="C47" s="5" t="s">
        <v>76</v>
      </c>
      <c r="D47" s="5" t="s">
        <v>9</v>
      </c>
      <c r="E47" s="6" t="s">
        <v>83</v>
      </c>
      <c r="F47" s="7" t="s">
        <v>84</v>
      </c>
      <c r="G47" s="6" t="str">
        <f>VLOOKUP(E47,dicionario!$A$1:$C446,2,0)</f>
        <v>Anartia jatrophae</v>
      </c>
      <c r="H47" s="6" t="str">
        <f>VLOOKUP(E47,dicionario!$A$1:$C446,3,0)</f>
        <v>borboleta-pavão-branco</v>
      </c>
    </row>
    <row r="48">
      <c r="A48" s="3">
        <v>45540.0</v>
      </c>
      <c r="B48" s="4">
        <v>0.3388888888888889</v>
      </c>
      <c r="C48" s="5" t="s">
        <v>76</v>
      </c>
      <c r="D48" s="5" t="s">
        <v>9</v>
      </c>
      <c r="E48" s="6" t="s">
        <v>62</v>
      </c>
      <c r="F48" s="7" t="s">
        <v>63</v>
      </c>
      <c r="G48" s="6" t="str">
        <f>VLOOKUP(E48,dicionario!$A$1:$C447,2,0)</f>
        <v>Hymenoptera</v>
      </c>
      <c r="H48" s="6" t="str">
        <f>VLOOKUP(E48,dicionario!$A$1:$C447,3,0)</f>
        <v>vespa</v>
      </c>
    </row>
    <row r="49">
      <c r="A49" s="3">
        <v>45540.0</v>
      </c>
      <c r="B49" s="4">
        <v>0.3458333333333333</v>
      </c>
      <c r="C49" s="5" t="s">
        <v>85</v>
      </c>
      <c r="D49" s="5" t="s">
        <v>9</v>
      </c>
      <c r="E49" s="6" t="s">
        <v>86</v>
      </c>
      <c r="F49" s="7" t="s">
        <v>87</v>
      </c>
      <c r="G49" s="6" t="str">
        <f>VLOOKUP(E49,dicionario!$A$1:$C448,2,0)</f>
        <v>Coereba flaveola</v>
      </c>
      <c r="H49" s="6" t="str">
        <f>VLOOKUP(E49,dicionario!$A$1:$C448,3,0)</f>
        <v>cambacica</v>
      </c>
    </row>
    <row r="50">
      <c r="A50" s="3">
        <v>45540.0</v>
      </c>
      <c r="B50" s="4">
        <v>0.3458333333333333</v>
      </c>
      <c r="C50" s="5" t="s">
        <v>85</v>
      </c>
      <c r="D50" s="5" t="s">
        <v>9</v>
      </c>
      <c r="E50" s="6" t="s">
        <v>88</v>
      </c>
      <c r="F50" s="7" t="s">
        <v>89</v>
      </c>
      <c r="G50" s="6" t="str">
        <f>VLOOKUP(E50,dicionario!$A$1:$C449,2,0)</f>
        <v>Tyrannus melancolichus</v>
      </c>
      <c r="H50" s="6" t="str">
        <f>VLOOKUP(E50,dicionario!$A$1:$C449,3,0)</f>
        <v>suiriri</v>
      </c>
    </row>
    <row r="51">
      <c r="A51" s="3">
        <v>45540.0</v>
      </c>
      <c r="B51" s="4">
        <v>0.35347222222222224</v>
      </c>
      <c r="C51" s="5" t="s">
        <v>90</v>
      </c>
      <c r="D51" s="5" t="s">
        <v>9</v>
      </c>
      <c r="E51" s="6" t="s">
        <v>91</v>
      </c>
      <c r="F51" s="5" t="s">
        <v>92</v>
      </c>
      <c r="G51" s="6" t="str">
        <f>VLOOKUP(E51,dicionario!$A$1:$C450,2,0)</f>
        <v>Picumnus cirratus</v>
      </c>
      <c r="H51" s="6" t="str">
        <f>VLOOKUP(E51,dicionario!$A$1:$C450,3,0)</f>
        <v>picapauzinho-barrado</v>
      </c>
    </row>
    <row r="52">
      <c r="A52" s="3">
        <v>45540.0</v>
      </c>
      <c r="B52" s="4">
        <v>0.3541666666666667</v>
      </c>
      <c r="C52" s="5" t="s">
        <v>90</v>
      </c>
      <c r="D52" s="5" t="s">
        <v>9</v>
      </c>
      <c r="E52" s="6" t="s">
        <v>93</v>
      </c>
      <c r="F52" s="7" t="s">
        <v>94</v>
      </c>
      <c r="G52" s="6" t="str">
        <f>VLOOKUP(E52,dicionario!$A$1:$C451,2,0)</f>
        <v>Thraupis sayaca</v>
      </c>
      <c r="H52" s="6" t="str">
        <f>VLOOKUP(E52,dicionario!$A$1:$C451,3,0)</f>
        <v>sanhaçu-cinzento</v>
      </c>
    </row>
    <row r="53">
      <c r="A53" s="3">
        <v>45540.0</v>
      </c>
      <c r="B53" s="4">
        <v>0.3541666666666667</v>
      </c>
      <c r="C53" s="5" t="s">
        <v>90</v>
      </c>
      <c r="D53" s="5" t="s">
        <v>9</v>
      </c>
      <c r="E53" s="8" t="s">
        <v>95</v>
      </c>
      <c r="F53" s="7" t="s">
        <v>96</v>
      </c>
      <c r="G53" s="6" t="str">
        <f>VLOOKUP(E53,dicionario!$A$1:$C452,2,0)</f>
        <v>Misumenops maculissparsus</v>
      </c>
      <c r="H53" s="6" t="str">
        <f>VLOOKUP(E53,dicionario!$A$1:$C452,3,0)</f>
        <v>aranha-caranguejo</v>
      </c>
    </row>
    <row r="54">
      <c r="A54" s="3">
        <v>45540.0</v>
      </c>
      <c r="B54" s="4">
        <v>0.35694444444444445</v>
      </c>
      <c r="C54" s="5" t="s">
        <v>90</v>
      </c>
      <c r="D54" s="5" t="s">
        <v>9</v>
      </c>
      <c r="E54" s="6" t="s">
        <v>43</v>
      </c>
      <c r="F54" s="7" t="s">
        <v>44</v>
      </c>
      <c r="G54" s="6" t="str">
        <f>VLOOKUP(E54,dicionario!$A$1:$C453,2,0)</f>
        <v>Columba livia</v>
      </c>
      <c r="H54" s="6" t="str">
        <f>VLOOKUP(E54,dicionario!$A$1:$C453,3,0)</f>
        <v>pombo-doméstico</v>
      </c>
    </row>
    <row r="55">
      <c r="A55" s="3">
        <v>45540.0</v>
      </c>
      <c r="B55" s="4">
        <v>0.3576388888888889</v>
      </c>
      <c r="C55" s="5" t="s">
        <v>90</v>
      </c>
      <c r="D55" s="5" t="s">
        <v>9</v>
      </c>
      <c r="E55" s="6" t="s">
        <v>22</v>
      </c>
      <c r="F55" s="7" t="s">
        <v>97</v>
      </c>
      <c r="G55" s="6" t="str">
        <f>VLOOKUP(E55,dicionario!$A$1:$C454,2,0)</f>
        <v>Zenaida auriculata</v>
      </c>
      <c r="H55" s="6" t="str">
        <f>VLOOKUP(E55,dicionario!$A$1:$C454,3,0)</f>
        <v>pomba-de-bando; avoante</v>
      </c>
    </row>
    <row r="56">
      <c r="A56" s="3">
        <v>45547.0</v>
      </c>
      <c r="B56" s="4">
        <v>0.2625</v>
      </c>
      <c r="C56" s="5" t="s">
        <v>90</v>
      </c>
      <c r="D56" s="5" t="s">
        <v>98</v>
      </c>
      <c r="E56" s="6" t="s">
        <v>62</v>
      </c>
      <c r="F56" s="7" t="s">
        <v>63</v>
      </c>
      <c r="G56" s="6" t="str">
        <f>VLOOKUP(E56,dicionario!$A$1:$C455,2,0)</f>
        <v>Hymenoptera</v>
      </c>
      <c r="H56" s="6" t="str">
        <f>VLOOKUP(E56,dicionario!$A$1:$C455,3,0)</f>
        <v>vespa</v>
      </c>
    </row>
    <row r="57">
      <c r="A57" s="3">
        <v>45547.0</v>
      </c>
      <c r="B57" s="4">
        <v>0.2625</v>
      </c>
      <c r="C57" s="5" t="s">
        <v>90</v>
      </c>
      <c r="D57" s="5" t="s">
        <v>98</v>
      </c>
      <c r="E57" s="6" t="s">
        <v>74</v>
      </c>
      <c r="F57" s="7" t="s">
        <v>75</v>
      </c>
      <c r="G57" s="6" t="str">
        <f>VLOOKUP(E57,dicionario!$A$1:$C456,2,0)</f>
        <v>Crotophaga ani</v>
      </c>
      <c r="H57" s="6" t="str">
        <f>VLOOKUP(E57,dicionario!$A$1:$C456,3,0)</f>
        <v>anu-preto</v>
      </c>
    </row>
    <row r="58">
      <c r="A58" s="3">
        <v>45547.0</v>
      </c>
      <c r="B58" s="4">
        <v>0.26319444444444445</v>
      </c>
      <c r="C58" s="5" t="s">
        <v>90</v>
      </c>
      <c r="D58" s="5" t="s">
        <v>98</v>
      </c>
      <c r="E58" s="6" t="s">
        <v>43</v>
      </c>
      <c r="F58" s="7" t="s">
        <v>44</v>
      </c>
      <c r="G58" s="6" t="str">
        <f>VLOOKUP(E58,dicionario!$A$1:$C457,2,0)</f>
        <v>Columba livia</v>
      </c>
      <c r="H58" s="6" t="str">
        <f>VLOOKUP(E58,dicionario!$A$1:$C457,3,0)</f>
        <v>pombo-doméstico</v>
      </c>
    </row>
    <row r="59">
      <c r="A59" s="3">
        <v>45547.0</v>
      </c>
      <c r="B59" s="4">
        <v>0.26458333333333334</v>
      </c>
      <c r="C59" s="5" t="s">
        <v>90</v>
      </c>
      <c r="D59" s="5" t="s">
        <v>98</v>
      </c>
      <c r="E59" s="6" t="s">
        <v>53</v>
      </c>
      <c r="F59" s="7" t="s">
        <v>54</v>
      </c>
      <c r="G59" s="6" t="str">
        <f>VLOOKUP(E59,dicionario!$A$1:$C458,2,0)</f>
        <v>Turnera subulata</v>
      </c>
      <c r="H59" s="6" t="str">
        <f>VLOOKUP(E59,dicionario!$A$1:$C458,3,0)</f>
        <v>xanana</v>
      </c>
    </row>
    <row r="60">
      <c r="A60" s="3">
        <v>45547.0</v>
      </c>
      <c r="B60" s="4">
        <v>0.26458333333333334</v>
      </c>
      <c r="C60" s="5" t="s">
        <v>90</v>
      </c>
      <c r="D60" s="5" t="s">
        <v>98</v>
      </c>
      <c r="E60" s="6" t="s">
        <v>34</v>
      </c>
      <c r="F60" s="7" t="s">
        <v>35</v>
      </c>
      <c r="G60" s="6" t="str">
        <f>VLOOKUP(E60,dicionario!$A$1:$C459,2,0)</f>
        <v>Formicidae</v>
      </c>
      <c r="H60" s="6" t="str">
        <f>VLOOKUP(E60,dicionario!$A$1:$C459,3,0)</f>
        <v>formiga</v>
      </c>
    </row>
    <row r="61">
      <c r="A61" s="3">
        <v>45547.0</v>
      </c>
      <c r="B61" s="4">
        <v>0.26458333333333334</v>
      </c>
      <c r="C61" s="5" t="s">
        <v>90</v>
      </c>
      <c r="D61" s="5" t="s">
        <v>98</v>
      </c>
      <c r="E61" s="6" t="s">
        <v>72</v>
      </c>
      <c r="F61" s="7" t="s">
        <v>73</v>
      </c>
      <c r="G61" s="6" t="str">
        <f>VLOOKUP(E61,dicionario!$A$1:$C460,2,0)</f>
        <v>Thraupis palmarum</v>
      </c>
      <c r="H61" s="6" t="str">
        <f>VLOOKUP(E61,dicionario!$A$1:$C460,3,0)</f>
        <v>sanhaço-do-coqueiro</v>
      </c>
    </row>
    <row r="62">
      <c r="A62" s="3">
        <v>45547.0</v>
      </c>
      <c r="B62" s="4">
        <v>0.26458333333333334</v>
      </c>
      <c r="C62" s="5" t="s">
        <v>90</v>
      </c>
      <c r="D62" s="5" t="s">
        <v>98</v>
      </c>
      <c r="E62" s="8" t="s">
        <v>99</v>
      </c>
      <c r="F62" s="5" t="s">
        <v>100</v>
      </c>
      <c r="G62" s="6" t="str">
        <f>VLOOKUP(E62,dicionario!$A$1:$C461,2,0)</f>
        <v>Molothrus bonariensis</v>
      </c>
      <c r="H62" s="6" t="str">
        <f>VLOOKUP(E62,dicionario!$A$1:$C461,3,0)</f>
        <v>chupim</v>
      </c>
    </row>
    <row r="63">
      <c r="A63" s="3">
        <v>45547.0</v>
      </c>
      <c r="B63" s="4">
        <v>0.2652777777777778</v>
      </c>
      <c r="C63" s="5" t="s">
        <v>90</v>
      </c>
      <c r="D63" s="5" t="s">
        <v>98</v>
      </c>
      <c r="E63" s="6" t="s">
        <v>31</v>
      </c>
      <c r="F63" s="7" t="s">
        <v>32</v>
      </c>
      <c r="G63" s="6" t="str">
        <f>VLOOKUP(E63,dicionario!$A$1:$C462,2,0)</f>
        <v>Furnarius rufus</v>
      </c>
      <c r="H63" s="6" t="str">
        <f>VLOOKUP(E63,dicionario!$A$1:$C462,3,0)</f>
        <v>joão-de-barro</v>
      </c>
    </row>
    <row r="64">
      <c r="A64" s="3">
        <v>45547.0</v>
      </c>
      <c r="B64" s="4">
        <v>0.2652777777777778</v>
      </c>
      <c r="C64" s="5" t="s">
        <v>90</v>
      </c>
      <c r="D64" s="5" t="s">
        <v>98</v>
      </c>
      <c r="E64" s="9" t="s">
        <v>65</v>
      </c>
      <c r="F64" s="7" t="s">
        <v>66</v>
      </c>
      <c r="G64" s="6" t="str">
        <f>VLOOKUP(E64,dicionario!$A$1:$C463,2,0)</f>
        <v>Pitangus sulphutarus</v>
      </c>
      <c r="H64" s="6" t="str">
        <f>VLOOKUP(E64,dicionario!$A$1:$C463,3,0)</f>
        <v>bem-te-vi</v>
      </c>
    </row>
    <row r="65">
      <c r="A65" s="3">
        <v>45547.0</v>
      </c>
      <c r="B65" s="4">
        <v>0.2652777777777778</v>
      </c>
      <c r="C65" s="5" t="s">
        <v>90</v>
      </c>
      <c r="D65" s="5" t="s">
        <v>98</v>
      </c>
      <c r="E65" s="9" t="s">
        <v>22</v>
      </c>
      <c r="F65" s="7" t="s">
        <v>97</v>
      </c>
      <c r="G65" s="6" t="str">
        <f>VLOOKUP(E65,dicionario!$A$1:$C464,2,0)</f>
        <v>Zenaida auriculata</v>
      </c>
      <c r="H65" s="6" t="str">
        <f>VLOOKUP(E65,dicionario!$A$1:$C464,3,0)</f>
        <v>pomba-de-bando; avoante</v>
      </c>
    </row>
    <row r="66">
      <c r="A66" s="3">
        <v>45547.0</v>
      </c>
      <c r="B66" s="4">
        <v>0.2652777777777778</v>
      </c>
      <c r="C66" s="5" t="s">
        <v>90</v>
      </c>
      <c r="D66" s="5" t="s">
        <v>98</v>
      </c>
      <c r="E66" s="10" t="s">
        <v>101</v>
      </c>
      <c r="F66" s="7" t="s">
        <v>102</v>
      </c>
      <c r="G66" s="6" t="str">
        <f>VLOOKUP(E66,dicionario!$A$1:$C465,2,0)</f>
        <v>Nemosia pileata</v>
      </c>
      <c r="H66" s="6" t="str">
        <f>VLOOKUP(E66,dicionario!$A$1:$C465,3,0)</f>
        <v>saíra-de-chapéu-preto</v>
      </c>
    </row>
    <row r="67">
      <c r="A67" s="3">
        <v>45547.0</v>
      </c>
      <c r="B67" s="4">
        <v>0.2652777777777778</v>
      </c>
      <c r="C67" s="5" t="s">
        <v>90</v>
      </c>
      <c r="D67" s="5" t="s">
        <v>98</v>
      </c>
      <c r="E67" s="9" t="s">
        <v>103</v>
      </c>
      <c r="F67" s="7" t="s">
        <v>104</v>
      </c>
      <c r="G67" s="6" t="str">
        <f>VLOOKUP(E67,dicionario!$A$1:$C466,2,0)</f>
        <v>Caracara plancus</v>
      </c>
      <c r="H67" s="6" t="str">
        <f>VLOOKUP(E67,dicionario!$A$1:$C466,3,0)</f>
        <v>carcará </v>
      </c>
    </row>
    <row r="68">
      <c r="A68" s="3">
        <v>45547.0</v>
      </c>
      <c r="B68" s="4">
        <v>0.2659722222222222</v>
      </c>
      <c r="C68" s="5" t="s">
        <v>90</v>
      </c>
      <c r="D68" s="5" t="s">
        <v>98</v>
      </c>
      <c r="E68" s="9" t="s">
        <v>105</v>
      </c>
      <c r="F68" s="7" t="s">
        <v>106</v>
      </c>
      <c r="G68" s="6" t="str">
        <f>VLOOKUP(E68,dicionario!$A$1:$C467,2,0)</f>
        <v>Progne tapera</v>
      </c>
      <c r="H68" s="6" t="str">
        <f>VLOOKUP(E68,dicionario!$A$1:$C467,3,0)</f>
        <v>andorinha-do-campo</v>
      </c>
    </row>
    <row r="69">
      <c r="A69" s="3">
        <v>45547.0</v>
      </c>
      <c r="B69" s="4">
        <v>0.2659722222222222</v>
      </c>
      <c r="C69" s="5" t="s">
        <v>90</v>
      </c>
      <c r="D69" s="5" t="s">
        <v>98</v>
      </c>
      <c r="E69" s="11" t="s">
        <v>107</v>
      </c>
      <c r="F69" s="5" t="s">
        <v>108</v>
      </c>
      <c r="G69" s="6" t="str">
        <f>VLOOKUP(E69,dicionario!$A$1:$C468,2,0)</f>
        <v>Ramalina complanata</v>
      </c>
      <c r="H69" s="6" t="str">
        <f>VLOOKUP(E69,dicionario!$A$1:$C468,3,0)</f>
        <v>ramalina</v>
      </c>
    </row>
    <row r="70">
      <c r="A70" s="3">
        <v>45547.0</v>
      </c>
      <c r="B70" s="4">
        <v>0.2659722222222222</v>
      </c>
      <c r="C70" s="5" t="s">
        <v>90</v>
      </c>
      <c r="D70" s="5" t="s">
        <v>98</v>
      </c>
      <c r="E70" s="6" t="s">
        <v>109</v>
      </c>
      <c r="F70" s="7" t="s">
        <v>110</v>
      </c>
      <c r="G70" s="6" t="str">
        <f>VLOOKUP(E70,dicionario!$A$1:$C469,2,0)</f>
        <v>Tillandsia stricta</v>
      </c>
      <c r="H70" s="6" t="str">
        <f>VLOOKUP(E70,dicionario!$A$1:$C469,3,0)</f>
        <v>cravo-do-mato</v>
      </c>
    </row>
    <row r="71">
      <c r="A71" s="3">
        <v>45547.0</v>
      </c>
      <c r="B71" s="4">
        <v>0.26666666666666666</v>
      </c>
      <c r="C71" s="5" t="s">
        <v>90</v>
      </c>
      <c r="D71" s="5" t="s">
        <v>98</v>
      </c>
      <c r="E71" s="6" t="s">
        <v>24</v>
      </c>
      <c r="F71" s="7" t="s">
        <v>25</v>
      </c>
      <c r="G71" s="6" t="str">
        <f>VLOOKUP(E71,dicionario!$A$1:$C470,2,0)</f>
        <v>Lepidoptera</v>
      </c>
      <c r="H71" s="6" t="str">
        <f>VLOOKUP(E71,dicionario!$A$1:$C470,3,0)</f>
        <v>boboleta/mariposa</v>
      </c>
    </row>
    <row r="72">
      <c r="A72" s="3">
        <v>45547.0</v>
      </c>
      <c r="B72" s="4">
        <v>0.2673611111111111</v>
      </c>
      <c r="C72" s="5" t="s">
        <v>90</v>
      </c>
      <c r="D72" s="5" t="s">
        <v>98</v>
      </c>
      <c r="E72" s="6" t="s">
        <v>91</v>
      </c>
      <c r="F72" s="5" t="s">
        <v>92</v>
      </c>
      <c r="G72" s="6" t="str">
        <f>VLOOKUP(E72,dicionario!$A$1:$C471,2,0)</f>
        <v>Picumnus cirratus</v>
      </c>
      <c r="H72" s="6" t="str">
        <f>VLOOKUP(E72,dicionario!$A$1:$C471,3,0)</f>
        <v>picapauzinho-barrado</v>
      </c>
    </row>
    <row r="73">
      <c r="A73" s="3">
        <v>45547.0</v>
      </c>
      <c r="B73" s="4">
        <v>0.2673611111111111</v>
      </c>
      <c r="C73" s="5" t="s">
        <v>90</v>
      </c>
      <c r="D73" s="5" t="s">
        <v>98</v>
      </c>
      <c r="E73" s="6" t="s">
        <v>111</v>
      </c>
      <c r="F73" s="7" t="s">
        <v>112</v>
      </c>
      <c r="G73" s="6" t="str">
        <f>VLOOKUP(E73,dicionario!$A$1:$C472,2,0)</f>
        <v>Trigona spinipes</v>
      </c>
      <c r="H73" s="6" t="str">
        <f>VLOOKUP(E73,dicionario!$A$1:$C472,3,0)</f>
        <v>abelha-cachorro</v>
      </c>
    </row>
    <row r="74">
      <c r="A74" s="3">
        <v>45547.0</v>
      </c>
      <c r="B74" s="4">
        <v>0.26875</v>
      </c>
      <c r="C74" s="5" t="s">
        <v>90</v>
      </c>
      <c r="D74" s="5" t="s">
        <v>98</v>
      </c>
      <c r="E74" s="6" t="s">
        <v>113</v>
      </c>
      <c r="F74" s="7" t="s">
        <v>114</v>
      </c>
      <c r="G74" s="6" t="str">
        <f>VLOOKUP(E74,dicionario!$A$1:$C473,2,0)</f>
        <v>Columbina talpacoti</v>
      </c>
      <c r="H74" s="6" t="str">
        <f>VLOOKUP(E74,dicionario!$A$1:$C473,3,0)</f>
        <v>rolinha-roxa</v>
      </c>
    </row>
    <row r="75">
      <c r="A75" s="3">
        <v>45547.0</v>
      </c>
      <c r="B75" s="4">
        <v>0.26944444444444443</v>
      </c>
      <c r="C75" s="5" t="s">
        <v>90</v>
      </c>
      <c r="D75" s="5" t="s">
        <v>98</v>
      </c>
      <c r="E75" s="6" t="s">
        <v>88</v>
      </c>
      <c r="F75" s="7" t="s">
        <v>89</v>
      </c>
      <c r="G75" s="6" t="str">
        <f>VLOOKUP(E75,dicionario!$A$1:$C474,2,0)</f>
        <v>Tyrannus melancolichus</v>
      </c>
      <c r="H75" s="6" t="str">
        <f>VLOOKUP(E75,dicionario!$A$1:$C474,3,0)</f>
        <v>suiriri</v>
      </c>
    </row>
    <row r="76">
      <c r="A76" s="3">
        <v>45547.0</v>
      </c>
      <c r="B76" s="4">
        <v>0.27152777777777776</v>
      </c>
      <c r="C76" s="5" t="s">
        <v>90</v>
      </c>
      <c r="D76" s="5" t="s">
        <v>98</v>
      </c>
      <c r="E76" s="6" t="s">
        <v>86</v>
      </c>
      <c r="F76" s="5" t="s">
        <v>115</v>
      </c>
      <c r="G76" s="6" t="str">
        <f>VLOOKUP(E76,dicionario!$A$1:$C475,2,0)</f>
        <v>Coereba flaveola</v>
      </c>
      <c r="H76" s="6" t="str">
        <f>VLOOKUP(E76,dicionario!$A$1:$C475,3,0)</f>
        <v>cambacica</v>
      </c>
    </row>
    <row r="77">
      <c r="A77" s="3">
        <v>45547.0</v>
      </c>
      <c r="B77" s="4">
        <v>0.2722222222222222</v>
      </c>
      <c r="C77" s="5" t="s">
        <v>90</v>
      </c>
      <c r="D77" s="5" t="s">
        <v>98</v>
      </c>
      <c r="E77" s="6" t="s">
        <v>20</v>
      </c>
      <c r="F77" s="7" t="s">
        <v>21</v>
      </c>
      <c r="G77" s="6" t="str">
        <f>VLOOKUP(E77,dicionario!$A$1:$C476,2,0)</f>
        <v>Sicalis flaveola</v>
      </c>
      <c r="H77" s="6" t="str">
        <f>VLOOKUP(E77,dicionario!$A$1:$C476,3,0)</f>
        <v>canário-da-terra</v>
      </c>
    </row>
    <row r="78">
      <c r="A78" s="3">
        <v>45547.0</v>
      </c>
      <c r="B78" s="4">
        <v>0.2722222222222222</v>
      </c>
      <c r="C78" s="5" t="s">
        <v>90</v>
      </c>
      <c r="D78" s="5" t="s">
        <v>98</v>
      </c>
      <c r="E78" s="6" t="s">
        <v>60</v>
      </c>
      <c r="F78" s="7" t="s">
        <v>61</v>
      </c>
      <c r="G78" s="6" t="str">
        <f>VLOOKUP(E78,dicionario!$A$1:$C477,2,0)</f>
        <v>Vanellus chilensis</v>
      </c>
      <c r="H78" s="6" t="str">
        <f>VLOOKUP(E78,dicionario!$A$1:$C477,3,0)</f>
        <v>quero-quero</v>
      </c>
    </row>
    <row r="79">
      <c r="A79" s="3">
        <v>45547.0</v>
      </c>
      <c r="B79" s="4">
        <v>0.27291666666666664</v>
      </c>
      <c r="C79" s="5" t="s">
        <v>90</v>
      </c>
      <c r="D79" s="5" t="s">
        <v>98</v>
      </c>
      <c r="E79" s="6" t="s">
        <v>105</v>
      </c>
      <c r="F79" s="7" t="s">
        <v>106</v>
      </c>
      <c r="G79" s="6" t="str">
        <f>VLOOKUP(E79,dicionario!$A$1:$C478,2,0)</f>
        <v>Progne tapera</v>
      </c>
      <c r="H79" s="6" t="str">
        <f>VLOOKUP(E79,dicionario!$A$1:$C478,3,0)</f>
        <v>andorinha-do-campo</v>
      </c>
    </row>
    <row r="80">
      <c r="A80" s="3">
        <v>45547.0</v>
      </c>
      <c r="B80" s="4">
        <v>0.27361111111111114</v>
      </c>
      <c r="C80" s="5" t="s">
        <v>85</v>
      </c>
      <c r="D80" s="5" t="s">
        <v>98</v>
      </c>
      <c r="E80" s="6" t="s">
        <v>109</v>
      </c>
      <c r="F80" s="7" t="s">
        <v>110</v>
      </c>
      <c r="G80" s="6" t="str">
        <f>VLOOKUP(E80,dicionario!$A$1:$C479,2,0)</f>
        <v>Tillandsia stricta</v>
      </c>
      <c r="H80" s="6" t="str">
        <f>VLOOKUP(E80,dicionario!$A$1:$C479,3,0)</f>
        <v>cravo-do-mato</v>
      </c>
    </row>
    <row r="81">
      <c r="A81" s="3">
        <v>45547.0</v>
      </c>
      <c r="B81" s="4">
        <v>0.2743055555555556</v>
      </c>
      <c r="C81" s="5" t="s">
        <v>85</v>
      </c>
      <c r="D81" s="5" t="s">
        <v>98</v>
      </c>
      <c r="E81" s="6" t="s">
        <v>116</v>
      </c>
      <c r="F81" s="7" t="s">
        <v>117</v>
      </c>
      <c r="G81" s="6" t="str">
        <f>VLOOKUP(E81,dicionario!$A$1:$C480,2,0)</f>
        <v>Argiope argentata</v>
      </c>
      <c r="H81" s="6" t="str">
        <f>VLOOKUP(E81,dicionario!$A$1:$C480,3,0)</f>
        <v>aranha-de-prata</v>
      </c>
    </row>
    <row r="82">
      <c r="A82" s="3">
        <v>45547.0</v>
      </c>
      <c r="B82" s="4">
        <v>0.2743055555555556</v>
      </c>
      <c r="C82" s="5" t="s">
        <v>85</v>
      </c>
      <c r="D82" s="5" t="s">
        <v>98</v>
      </c>
      <c r="E82" s="8" t="s">
        <v>118</v>
      </c>
      <c r="F82" s="5" t="s">
        <v>119</v>
      </c>
      <c r="G82" s="6" t="str">
        <f>VLOOKUP(E82,dicionario!$A$1:$C481,2,0)</f>
        <v>Agaricus</v>
      </c>
      <c r="H82" s="6" t="str">
        <f>VLOOKUP(E82,dicionario!$A$1:$C481,3,0)</f>
        <v>cogumelo</v>
      </c>
    </row>
    <row r="83">
      <c r="A83" s="3">
        <v>45547.0</v>
      </c>
      <c r="B83" s="4">
        <v>0.275</v>
      </c>
      <c r="C83" s="5" t="s">
        <v>85</v>
      </c>
      <c r="D83" s="5" t="s">
        <v>98</v>
      </c>
      <c r="E83" s="6" t="s">
        <v>120</v>
      </c>
      <c r="F83" s="7" t="s">
        <v>121</v>
      </c>
      <c r="G83" s="6" t="str">
        <f>VLOOKUP(E83,dicionario!$A$1:$C482,2,0)</f>
        <v>#N/A</v>
      </c>
      <c r="H83" s="6" t="str">
        <f>VLOOKUP(E83,dicionario!$A$1:$C482,3,0)</f>
        <v>#N/A</v>
      </c>
    </row>
    <row r="84">
      <c r="A84" s="3">
        <v>45547.0</v>
      </c>
      <c r="B84" s="4">
        <v>0.275</v>
      </c>
      <c r="C84" s="5" t="s">
        <v>85</v>
      </c>
      <c r="D84" s="5" t="s">
        <v>98</v>
      </c>
      <c r="E84" s="6" t="s">
        <v>122</v>
      </c>
      <c r="F84" s="7" t="s">
        <v>123</v>
      </c>
      <c r="G84" s="6" t="str">
        <f>VLOOKUP(E84,dicionario!$A$1:$C483,2,0)</f>
        <v>Todirostrum cinereum</v>
      </c>
      <c r="H84" s="6" t="str">
        <f>VLOOKUP(E84,dicionario!$A$1:$C483,3,0)</f>
        <v>ferreirinho-relógio</v>
      </c>
    </row>
    <row r="85">
      <c r="A85" s="3">
        <v>45547.0</v>
      </c>
      <c r="B85" s="4">
        <v>0.275</v>
      </c>
      <c r="C85" s="5" t="s">
        <v>85</v>
      </c>
      <c r="D85" s="5" t="s">
        <v>98</v>
      </c>
      <c r="E85" s="6" t="s">
        <v>20</v>
      </c>
      <c r="F85" s="7" t="s">
        <v>21</v>
      </c>
      <c r="G85" s="6" t="str">
        <f>VLOOKUP(E85,dicionario!$A$1:$C484,2,0)</f>
        <v>Sicalis flaveola</v>
      </c>
      <c r="H85" s="6" t="str">
        <f>VLOOKUP(E85,dicionario!$A$1:$C484,3,0)</f>
        <v>canário-da-terra</v>
      </c>
    </row>
    <row r="86">
      <c r="A86" s="3">
        <v>45547.0</v>
      </c>
      <c r="B86" s="4">
        <v>0.27569444444444446</v>
      </c>
      <c r="C86" s="5" t="s">
        <v>85</v>
      </c>
      <c r="D86" s="5" t="s">
        <v>98</v>
      </c>
      <c r="E86" s="6" t="s">
        <v>124</v>
      </c>
      <c r="F86" s="7" t="s">
        <v>125</v>
      </c>
      <c r="G86" s="6" t="str">
        <f>VLOOKUP(E86,dicionario!$A$1:$C485,2,0)</f>
        <v>Heteroptera</v>
      </c>
      <c r="H86" s="6" t="str">
        <f>VLOOKUP(E86,dicionario!$A$1:$C485,3,0)</f>
        <v>percevejo</v>
      </c>
    </row>
    <row r="87">
      <c r="A87" s="3">
        <v>45547.0</v>
      </c>
      <c r="B87" s="4">
        <v>0.2763888888888889</v>
      </c>
      <c r="C87" s="5" t="s">
        <v>85</v>
      </c>
      <c r="D87" s="5" t="s">
        <v>98</v>
      </c>
      <c r="E87" s="6" t="s">
        <v>126</v>
      </c>
      <c r="F87" s="7" t="s">
        <v>127</v>
      </c>
      <c r="G87" s="6" t="str">
        <f>VLOOKUP(E87,dicionario!$A$1:$C486,2,0)</f>
        <v>Bryophyta</v>
      </c>
      <c r="H87" s="6" t="str">
        <f>VLOOKUP(E87,dicionario!$A$1:$C486,3,0)</f>
        <v>musgo</v>
      </c>
    </row>
    <row r="88">
      <c r="A88" s="3">
        <v>45547.0</v>
      </c>
      <c r="B88" s="4">
        <v>0.27708333333333335</v>
      </c>
      <c r="C88" s="5" t="s">
        <v>85</v>
      </c>
      <c r="D88" s="5" t="s">
        <v>98</v>
      </c>
      <c r="E88" s="6" t="s">
        <v>51</v>
      </c>
      <c r="F88" s="7" t="s">
        <v>77</v>
      </c>
      <c r="G88" s="6" t="str">
        <f>VLOOKUP(E88,dicionario!$A$1:$C487,2,0)</f>
        <v>Solenopsis</v>
      </c>
      <c r="H88" s="6" t="str">
        <f>VLOOKUP(E88,dicionario!$A$1:$C487,3,0)</f>
        <v>formiga-quente; formiga-lava-pés; formiga-de-fogo</v>
      </c>
    </row>
    <row r="89">
      <c r="A89" s="3">
        <v>45547.0</v>
      </c>
      <c r="B89" s="4">
        <v>0.2777777777777778</v>
      </c>
      <c r="C89" s="5" t="s">
        <v>85</v>
      </c>
      <c r="D89" s="5" t="s">
        <v>98</v>
      </c>
      <c r="E89" s="6" t="s">
        <v>34</v>
      </c>
      <c r="F89" s="7" t="s">
        <v>35</v>
      </c>
      <c r="G89" s="6" t="str">
        <f>VLOOKUP(E89,dicionario!$A$1:$C488,2,0)</f>
        <v>Formicidae</v>
      </c>
      <c r="H89" s="6" t="str">
        <f>VLOOKUP(E89,dicionario!$A$1:$C488,3,0)</f>
        <v>formiga</v>
      </c>
    </row>
    <row r="90">
      <c r="A90" s="3">
        <v>45547.0</v>
      </c>
      <c r="B90" s="4">
        <v>0.2777777777777778</v>
      </c>
      <c r="C90" s="5" t="s">
        <v>85</v>
      </c>
      <c r="D90" s="5" t="s">
        <v>98</v>
      </c>
      <c r="E90" s="6" t="s">
        <v>128</v>
      </c>
      <c r="F90" s="7" t="s">
        <v>129</v>
      </c>
      <c r="G90" s="6" t="str">
        <f>VLOOKUP(E90,dicionario!$A$1:$C489,2,0)</f>
        <v>Blaberoidea</v>
      </c>
      <c r="H90" s="6" t="str">
        <f>VLOOKUP(E90,dicionario!$A$1:$C489,3,0)</f>
        <v>barata</v>
      </c>
    </row>
    <row r="91">
      <c r="A91" s="3">
        <v>45547.0</v>
      </c>
      <c r="B91" s="4">
        <v>0.27847222222222223</v>
      </c>
      <c r="C91" s="5" t="s">
        <v>85</v>
      </c>
      <c r="D91" s="5" t="s">
        <v>98</v>
      </c>
      <c r="E91" s="6" t="s">
        <v>130</v>
      </c>
      <c r="F91" s="7" t="s">
        <v>131</v>
      </c>
      <c r="G91" s="6" t="str">
        <f>VLOOKUP(E91,dicionario!$A$1:$C490,2,0)</f>
        <v>Culicidae</v>
      </c>
      <c r="H91" s="6" t="str">
        <f>VLOOKUP(E91,dicionario!$A$1:$C490,3,0)</f>
        <v/>
      </c>
    </row>
    <row r="92">
      <c r="A92" s="3">
        <v>45547.0</v>
      </c>
      <c r="B92" s="4">
        <v>0.28055555555555556</v>
      </c>
      <c r="C92" s="5" t="s">
        <v>85</v>
      </c>
      <c r="D92" s="5" t="s">
        <v>98</v>
      </c>
      <c r="E92" s="6" t="s">
        <v>132</v>
      </c>
      <c r="F92" s="7" t="s">
        <v>133</v>
      </c>
      <c r="G92" s="6" t="str">
        <f>VLOOKUP(E92,dicionario!$A$1:$C491,2,0)</f>
        <v>Euphonia chlorotica</v>
      </c>
      <c r="H92" s="6" t="str">
        <f>VLOOKUP(E92,dicionario!$A$1:$C491,3,0)</f>
        <v>fim-fim</v>
      </c>
    </row>
    <row r="93">
      <c r="A93" s="3">
        <v>45547.0</v>
      </c>
      <c r="B93" s="4">
        <v>0.28125</v>
      </c>
      <c r="C93" s="5" t="s">
        <v>85</v>
      </c>
      <c r="D93" s="5" t="s">
        <v>98</v>
      </c>
      <c r="E93" s="6" t="s">
        <v>134</v>
      </c>
      <c r="F93" s="7" t="s">
        <v>44</v>
      </c>
      <c r="G93" s="6" t="str">
        <f>VLOOKUP(E93,dicionario!$A$1:$C492,2,0)</f>
        <v>#N/A</v>
      </c>
      <c r="H93" s="6" t="str">
        <f>VLOOKUP(E93,dicionario!$A$1:$C492,3,0)</f>
        <v>#N/A</v>
      </c>
    </row>
    <row r="94">
      <c r="A94" s="3">
        <v>45547.0</v>
      </c>
      <c r="B94" s="4">
        <v>0.28194444444444444</v>
      </c>
      <c r="C94" s="5" t="s">
        <v>85</v>
      </c>
      <c r="D94" s="5" t="s">
        <v>98</v>
      </c>
      <c r="E94" s="6" t="s">
        <v>135</v>
      </c>
      <c r="F94" s="7" t="s">
        <v>136</v>
      </c>
      <c r="G94" s="6" t="str">
        <f>VLOOKUP(E94,dicionario!$A$1:$C493,2,0)</f>
        <v>Tridax procumbens</v>
      </c>
      <c r="H94" s="6" t="str">
        <f>VLOOKUP(E94,dicionario!$A$1:$C493,3,0)</f>
        <v>erva-de-touro</v>
      </c>
    </row>
    <row r="95">
      <c r="A95" s="3">
        <v>45547.0</v>
      </c>
      <c r="B95" s="4">
        <v>0.2833333333333333</v>
      </c>
      <c r="C95" s="5" t="s">
        <v>85</v>
      </c>
      <c r="D95" s="5" t="s">
        <v>98</v>
      </c>
      <c r="E95" s="6" t="s">
        <v>12</v>
      </c>
      <c r="F95" s="7" t="s">
        <v>13</v>
      </c>
      <c r="G95" s="6" t="str">
        <f>VLOOKUP(E95,dicionario!$A$1:$C494,2,0)</f>
        <v>Eulaema nigrita</v>
      </c>
      <c r="H95" s="6" t="str">
        <f>VLOOKUP(E95,dicionario!$A$1:$C494,3,0)</f>
        <v>abelha-de-orquídea</v>
      </c>
    </row>
    <row r="96">
      <c r="A96" s="3">
        <v>45547.0</v>
      </c>
      <c r="B96" s="4">
        <v>0.2833333333333333</v>
      </c>
      <c r="C96" s="5" t="s">
        <v>85</v>
      </c>
      <c r="D96" s="5" t="s">
        <v>98</v>
      </c>
      <c r="E96" s="6" t="s">
        <v>20</v>
      </c>
      <c r="F96" s="7" t="s">
        <v>21</v>
      </c>
      <c r="G96" s="6" t="str">
        <f>VLOOKUP(E96,dicionario!$A$1:$C495,2,0)</f>
        <v>Sicalis flaveola</v>
      </c>
      <c r="H96" s="6" t="str">
        <f>VLOOKUP(E96,dicionario!$A$1:$C495,3,0)</f>
        <v>canário-da-terra</v>
      </c>
    </row>
    <row r="97">
      <c r="A97" s="3">
        <v>45547.0</v>
      </c>
      <c r="B97" s="4">
        <v>0.28541666666666665</v>
      </c>
      <c r="C97" s="5" t="s">
        <v>76</v>
      </c>
      <c r="D97" s="5" t="s">
        <v>98</v>
      </c>
      <c r="E97" s="6" t="s">
        <v>137</v>
      </c>
      <c r="F97" s="7" t="s">
        <v>138</v>
      </c>
      <c r="G97" s="6" t="str">
        <f>VLOOKUP(E97,dicionario!$A$1:$C496,2,0)</f>
        <v>Tapera naevia</v>
      </c>
      <c r="H97" s="6" t="str">
        <f>VLOOKUP(E97,dicionario!$A$1:$C496,3,0)</f>
        <v>saci</v>
      </c>
    </row>
    <row r="98">
      <c r="A98" s="3">
        <v>45547.0</v>
      </c>
      <c r="B98" s="4">
        <v>0.28541666666666665</v>
      </c>
      <c r="C98" s="5" t="s">
        <v>76</v>
      </c>
      <c r="D98" s="5" t="s">
        <v>98</v>
      </c>
      <c r="E98" s="6" t="s">
        <v>139</v>
      </c>
      <c r="F98" s="7" t="s">
        <v>140</v>
      </c>
      <c r="G98" s="6" t="str">
        <f>VLOOKUP(E98,dicionario!$A$1:$C497,2,0)</f>
        <v>Tropidurus torquatus</v>
      </c>
      <c r="H98" s="6" t="str">
        <f>VLOOKUP(E98,dicionario!$A$1:$C497,3,0)</f>
        <v>calango; tropiduro-comum</v>
      </c>
    </row>
    <row r="99">
      <c r="A99" s="3">
        <v>45547.0</v>
      </c>
      <c r="B99" s="4">
        <v>0.2861111111111111</v>
      </c>
      <c r="C99" s="5" t="s">
        <v>76</v>
      </c>
      <c r="D99" s="5" t="s">
        <v>98</v>
      </c>
      <c r="E99" s="6" t="s">
        <v>141</v>
      </c>
      <c r="F99" s="7" t="s">
        <v>142</v>
      </c>
      <c r="G99" s="6" t="str">
        <f>VLOOKUP(E99,dicionario!$A$1:$C498,2,0)</f>
        <v>Ruellia blechum</v>
      </c>
      <c r="H99" s="6" t="str">
        <f>VLOOKUP(E99,dicionario!$A$1:$C498,3,0)</f>
        <v>camarão-verde</v>
      </c>
    </row>
    <row r="100">
      <c r="A100" s="3">
        <v>45547.0</v>
      </c>
      <c r="B100" s="4">
        <v>0.2861111111111111</v>
      </c>
      <c r="C100" s="5" t="s">
        <v>76</v>
      </c>
      <c r="D100" s="5" t="s">
        <v>98</v>
      </c>
      <c r="E100" s="6" t="s">
        <v>143</v>
      </c>
      <c r="F100" s="7" t="s">
        <v>63</v>
      </c>
      <c r="G100" s="6" t="str">
        <f>VLOOKUP(E100,dicionario!$A$1:$C499,2,0)</f>
        <v>Polybia</v>
      </c>
      <c r="H100" s="6" t="str">
        <f>VLOOKUP(E100,dicionario!$A$1:$C499,3,0)</f>
        <v>vespa</v>
      </c>
    </row>
    <row r="101">
      <c r="A101" s="3">
        <v>45547.0</v>
      </c>
      <c r="B101" s="4">
        <v>0.28680555555555554</v>
      </c>
      <c r="C101" s="5" t="s">
        <v>76</v>
      </c>
      <c r="D101" s="5" t="s">
        <v>98</v>
      </c>
      <c r="E101" s="6" t="s">
        <v>135</v>
      </c>
      <c r="F101" s="7" t="s">
        <v>136</v>
      </c>
      <c r="G101" s="6" t="str">
        <f>VLOOKUP(E101,dicionario!$A$1:$C500,2,0)</f>
        <v>Tridax procumbens</v>
      </c>
      <c r="H101" s="6" t="str">
        <f>VLOOKUP(E101,dicionario!$A$1:$C500,3,0)</f>
        <v>erva-de-touro</v>
      </c>
    </row>
    <row r="102">
      <c r="A102" s="3">
        <v>45547.0</v>
      </c>
      <c r="B102" s="4">
        <v>0.28680555555555554</v>
      </c>
      <c r="C102" s="5" t="s">
        <v>76</v>
      </c>
      <c r="D102" s="5" t="s">
        <v>98</v>
      </c>
      <c r="E102" s="6" t="s">
        <v>144</v>
      </c>
      <c r="F102" s="7" t="s">
        <v>145</v>
      </c>
      <c r="G102" s="6" t="str">
        <f>VLOOKUP(E102,dicionario!$A$1:$C501,2,0)</f>
        <v>Gomphrena globosa</v>
      </c>
      <c r="H102" s="6" t="str">
        <f>VLOOKUP(E102,dicionario!$A$1:$C501,3,0)</f>
        <v>perpétua-rosa</v>
      </c>
    </row>
    <row r="103">
      <c r="A103" s="3">
        <v>45547.0</v>
      </c>
      <c r="B103" s="4">
        <v>0.2875</v>
      </c>
      <c r="C103" s="5" t="s">
        <v>76</v>
      </c>
      <c r="D103" s="5" t="s">
        <v>98</v>
      </c>
      <c r="E103" s="6" t="s">
        <v>146</v>
      </c>
      <c r="F103" s="7" t="s">
        <v>147</v>
      </c>
      <c r="G103" s="6" t="str">
        <f>VLOOKUP(E103,dicionario!$A$1:$C502,2,0)</f>
        <v>Euphorbia hirta</v>
      </c>
      <c r="H103" s="6" t="str">
        <f>VLOOKUP(E103,dicionario!$A$1:$C502,3,0)</f>
        <v>erva-de-santa-luzia</v>
      </c>
    </row>
    <row r="104">
      <c r="A104" s="3">
        <v>45547.0</v>
      </c>
      <c r="B104" s="4">
        <v>0.2881944444444444</v>
      </c>
      <c r="C104" s="5" t="s">
        <v>76</v>
      </c>
      <c r="D104" s="5" t="s">
        <v>98</v>
      </c>
      <c r="E104" s="6" t="s">
        <v>148</v>
      </c>
      <c r="F104" s="7" t="s">
        <v>149</v>
      </c>
      <c r="G104" s="6" t="str">
        <f>VLOOKUP(E104,dicionario!$A$1:$C503,2,0)</f>
        <v>Parthenium hysterophorus</v>
      </c>
      <c r="H104" s="6" t="str">
        <f>VLOOKUP(E104,dicionario!$A$1:$C503,3,0)</f>
        <v>losna-branca</v>
      </c>
    </row>
    <row r="105">
      <c r="A105" s="3">
        <v>45547.0</v>
      </c>
      <c r="B105" s="4">
        <v>0.2881944444444444</v>
      </c>
      <c r="C105" s="5" t="s">
        <v>76</v>
      </c>
      <c r="D105" s="5" t="s">
        <v>98</v>
      </c>
      <c r="E105" s="6" t="s">
        <v>41</v>
      </c>
      <c r="F105" s="7" t="s">
        <v>45</v>
      </c>
      <c r="G105" s="6" t="str">
        <f>VLOOKUP(E105,dicionario!$A$1:$C504,2,0)</f>
        <v>Mimosa pudica</v>
      </c>
      <c r="H105" s="6" t="str">
        <f>VLOOKUP(E105,dicionario!$A$1:$C504,3,0)</f>
        <v>dormideira</v>
      </c>
    </row>
    <row r="106">
      <c r="A106" s="3">
        <v>45547.0</v>
      </c>
      <c r="B106" s="4">
        <v>0.28888888888888886</v>
      </c>
      <c r="C106" s="5" t="s">
        <v>76</v>
      </c>
      <c r="D106" s="5" t="s">
        <v>98</v>
      </c>
      <c r="E106" s="6" t="s">
        <v>69</v>
      </c>
      <c r="F106" s="7" t="s">
        <v>71</v>
      </c>
      <c r="G106" s="6" t="str">
        <f>VLOOKUP(E106,dicionario!$A$1:$C505,2,0)</f>
        <v>Talinum fruticosum</v>
      </c>
      <c r="H106" s="6" t="str">
        <f>VLOOKUP(E106,dicionario!$A$1:$C505,3,0)</f>
        <v>beldroega-grande</v>
      </c>
    </row>
    <row r="107">
      <c r="A107" s="3">
        <v>45547.0</v>
      </c>
      <c r="B107" s="4">
        <v>0.28958333333333336</v>
      </c>
      <c r="C107" s="5" t="s">
        <v>76</v>
      </c>
      <c r="D107" s="5" t="s">
        <v>98</v>
      </c>
      <c r="E107" s="6" t="s">
        <v>150</v>
      </c>
      <c r="F107" s="7" t="s">
        <v>151</v>
      </c>
      <c r="G107" s="6" t="str">
        <f>VLOOKUP(E107,dicionario!$A$1:$C506,2,0)</f>
        <v>Amaranthus viridis</v>
      </c>
      <c r="H107" s="6" t="str">
        <f>VLOOKUP(E107,dicionario!$A$1:$C506,3,0)</f>
        <v>caruru-de-mancha</v>
      </c>
    </row>
    <row r="108">
      <c r="A108" s="3">
        <v>45547.0</v>
      </c>
      <c r="B108" s="4">
        <v>0.28958333333333336</v>
      </c>
      <c r="C108" s="5" t="s">
        <v>76</v>
      </c>
      <c r="D108" s="5" t="s">
        <v>98</v>
      </c>
      <c r="E108" s="12" t="s">
        <v>152</v>
      </c>
      <c r="F108" s="7" t="s">
        <v>153</v>
      </c>
      <c r="G108" s="6" t="str">
        <f>VLOOKUP(E108,dicionario!$A$1:$C507,2,0)</f>
        <v>Cynodon dactylon</v>
      </c>
      <c r="H108" s="6" t="str">
        <f>VLOOKUP(E108,dicionario!$A$1:$C507,3,0)</f>
        <v>grama-bermuda</v>
      </c>
    </row>
    <row r="109">
      <c r="A109" s="3">
        <v>45547.0</v>
      </c>
      <c r="B109" s="4">
        <v>0.28958333333333336</v>
      </c>
      <c r="C109" s="5" t="s">
        <v>76</v>
      </c>
      <c r="D109" s="5" t="s">
        <v>98</v>
      </c>
      <c r="E109" s="6" t="s">
        <v>154</v>
      </c>
      <c r="F109" s="7" t="s">
        <v>155</v>
      </c>
      <c r="G109" s="6" t="str">
        <f>VLOOKUP(E109,dicionario!$A$1:$C508,2,0)</f>
        <v>Cyperus rotundus</v>
      </c>
      <c r="H109" s="6" t="str">
        <f>VLOOKUP(E109,dicionario!$A$1:$C508,3,0)</f>
        <v>tiririca</v>
      </c>
    </row>
    <row r="110">
      <c r="A110" s="3">
        <v>45547.0</v>
      </c>
      <c r="B110" s="4">
        <v>0.2902777777777778</v>
      </c>
      <c r="C110" s="5" t="s">
        <v>76</v>
      </c>
      <c r="D110" s="5" t="s">
        <v>98</v>
      </c>
      <c r="E110" s="6" t="s">
        <v>53</v>
      </c>
      <c r="F110" s="7" t="s">
        <v>54</v>
      </c>
      <c r="G110" s="6" t="str">
        <f>VLOOKUP(E110,dicionario!$A$1:$C509,2,0)</f>
        <v>Turnera subulata</v>
      </c>
      <c r="H110" s="6" t="str">
        <f>VLOOKUP(E110,dicionario!$A$1:$C509,3,0)</f>
        <v>xanana</v>
      </c>
    </row>
    <row r="111">
      <c r="A111" s="3">
        <v>45547.0</v>
      </c>
      <c r="B111" s="4">
        <v>0.2902777777777778</v>
      </c>
      <c r="C111" s="5" t="s">
        <v>76</v>
      </c>
      <c r="D111" s="5" t="s">
        <v>98</v>
      </c>
      <c r="E111" s="6" t="s">
        <v>156</v>
      </c>
      <c r="F111" s="7" t="s">
        <v>157</v>
      </c>
      <c r="G111" s="6" t="str">
        <f>VLOOKUP(E111,dicionario!$A$1:$C510,2,0)</f>
        <v>#N/A</v>
      </c>
      <c r="H111" s="6" t="str">
        <f>VLOOKUP(E111,dicionario!$A$1:$C510,3,0)</f>
        <v>#N/A</v>
      </c>
    </row>
    <row r="112">
      <c r="A112" s="3">
        <v>45547.0</v>
      </c>
      <c r="B112" s="4">
        <v>0.29097222222222224</v>
      </c>
      <c r="C112" s="5" t="s">
        <v>76</v>
      </c>
      <c r="D112" s="5" t="s">
        <v>98</v>
      </c>
      <c r="E112" s="8" t="s">
        <v>38</v>
      </c>
      <c r="F112" s="5" t="s">
        <v>39</v>
      </c>
      <c r="G112" s="6" t="str">
        <f>VLOOKUP(E112,dicionario!$A$1:$C511,2,0)</f>
        <v>Troglodytes musculus</v>
      </c>
      <c r="H112" s="6" t="str">
        <f>VLOOKUP(E112,dicionario!$A$1:$C511,3,0)</f>
        <v>curruíra</v>
      </c>
    </row>
    <row r="113">
      <c r="A113" s="3">
        <v>45547.0</v>
      </c>
      <c r="B113" s="4">
        <v>0.29097222222222224</v>
      </c>
      <c r="C113" s="5" t="s">
        <v>76</v>
      </c>
      <c r="D113" s="5" t="s">
        <v>98</v>
      </c>
      <c r="E113" s="6" t="s">
        <v>158</v>
      </c>
      <c r="F113" s="7" t="s">
        <v>159</v>
      </c>
      <c r="G113" s="6" t="str">
        <f>VLOOKUP(E113,dicionario!$A$1:$C512,2,0)</f>
        <v>Nephilingis cruentata</v>
      </c>
      <c r="H113" s="6" t="str">
        <f>VLOOKUP(E113,dicionario!$A$1:$C512,3,0)</f>
        <v>maria-bola</v>
      </c>
    </row>
    <row r="114">
      <c r="A114" s="3">
        <v>45547.0</v>
      </c>
      <c r="B114" s="4">
        <v>0.2916666666666667</v>
      </c>
      <c r="C114" s="5" t="s">
        <v>76</v>
      </c>
      <c r="D114" s="5" t="s">
        <v>98</v>
      </c>
      <c r="E114" s="6" t="s">
        <v>160</v>
      </c>
      <c r="F114" s="7" t="s">
        <v>161</v>
      </c>
      <c r="G114" s="6" t="str">
        <f>VLOOKUP(E114,dicionario!$A$1:$C513,2,0)</f>
        <v>Gryllidae</v>
      </c>
      <c r="H114" s="6" t="str">
        <f>VLOOKUP(E114,dicionario!$A$1:$C513,3,0)</f>
        <v>grilo</v>
      </c>
    </row>
    <row r="115">
      <c r="A115" s="3">
        <v>45547.0</v>
      </c>
      <c r="B115" s="4">
        <v>0.2916666666666667</v>
      </c>
      <c r="C115" s="5" t="s">
        <v>76</v>
      </c>
      <c r="D115" s="5" t="s">
        <v>98</v>
      </c>
      <c r="E115" s="6" t="s">
        <v>65</v>
      </c>
      <c r="F115" s="7" t="s">
        <v>66</v>
      </c>
      <c r="G115" s="6" t="str">
        <f>VLOOKUP(E115,dicionario!$A$1:$C514,2,0)</f>
        <v>Pitangus sulphutarus</v>
      </c>
      <c r="H115" s="6" t="str">
        <f>VLOOKUP(E115,dicionario!$A$1:$C514,3,0)</f>
        <v>bem-te-vi</v>
      </c>
    </row>
    <row r="116">
      <c r="A116" s="3">
        <v>45547.0</v>
      </c>
      <c r="B116" s="4">
        <v>0.2916666666666667</v>
      </c>
      <c r="C116" s="5" t="s">
        <v>76</v>
      </c>
      <c r="D116" s="5" t="s">
        <v>98</v>
      </c>
      <c r="E116" s="6" t="s">
        <v>24</v>
      </c>
      <c r="F116" s="7" t="s">
        <v>25</v>
      </c>
      <c r="G116" s="6" t="str">
        <f>VLOOKUP(E116,dicionario!$A$1:$C515,2,0)</f>
        <v>Lepidoptera</v>
      </c>
      <c r="H116" s="6" t="str">
        <f>VLOOKUP(E116,dicionario!$A$1:$C515,3,0)</f>
        <v>boboleta/mariposa</v>
      </c>
    </row>
    <row r="117">
      <c r="A117" s="3">
        <v>45547.0</v>
      </c>
      <c r="B117" s="4">
        <v>0.2916666666666667</v>
      </c>
      <c r="C117" s="5" t="s">
        <v>76</v>
      </c>
      <c r="D117" s="5" t="s">
        <v>98</v>
      </c>
      <c r="E117" s="6" t="s">
        <v>124</v>
      </c>
      <c r="F117" s="7" t="s">
        <v>125</v>
      </c>
      <c r="G117" s="6" t="str">
        <f>VLOOKUP(E117,dicionario!$A$1:$C516,2,0)</f>
        <v>Heteroptera</v>
      </c>
      <c r="H117" s="6" t="str">
        <f>VLOOKUP(E117,dicionario!$A$1:$C516,3,0)</f>
        <v>percevejo</v>
      </c>
    </row>
    <row r="118">
      <c r="A118" s="3">
        <v>45547.0</v>
      </c>
      <c r="B118" s="4">
        <v>0.2923611111111111</v>
      </c>
      <c r="C118" s="5" t="s">
        <v>76</v>
      </c>
      <c r="D118" s="5" t="s">
        <v>98</v>
      </c>
      <c r="E118" s="6" t="s">
        <v>88</v>
      </c>
      <c r="F118" s="7" t="s">
        <v>89</v>
      </c>
      <c r="G118" s="6" t="str">
        <f>VLOOKUP(E118,dicionario!$A$1:$C517,2,0)</f>
        <v>Tyrannus melancolichus</v>
      </c>
      <c r="H118" s="6" t="str">
        <f>VLOOKUP(E118,dicionario!$A$1:$C517,3,0)</f>
        <v>suiriri</v>
      </c>
    </row>
    <row r="119">
      <c r="A119" s="3">
        <v>45547.0</v>
      </c>
      <c r="B119" s="4">
        <v>0.2923611111111111</v>
      </c>
      <c r="C119" s="5" t="s">
        <v>76</v>
      </c>
      <c r="D119" s="5" t="s">
        <v>98</v>
      </c>
      <c r="E119" s="6" t="s">
        <v>113</v>
      </c>
      <c r="F119" s="7" t="s">
        <v>114</v>
      </c>
      <c r="G119" s="6" t="str">
        <f>VLOOKUP(E119,dicionario!$A$1:$C518,2,0)</f>
        <v>Columbina talpacoti</v>
      </c>
      <c r="H119" s="6" t="str">
        <f>VLOOKUP(E119,dicionario!$A$1:$C518,3,0)</f>
        <v>rolinha-roxa</v>
      </c>
    </row>
    <row r="120">
      <c r="A120" s="3">
        <v>45547.0</v>
      </c>
      <c r="B120" s="4">
        <v>0.2923611111111111</v>
      </c>
      <c r="C120" s="5" t="s">
        <v>76</v>
      </c>
      <c r="D120" s="5" t="s">
        <v>98</v>
      </c>
      <c r="E120" s="6" t="s">
        <v>162</v>
      </c>
      <c r="F120" s="7" t="s">
        <v>42</v>
      </c>
      <c r="G120" s="6" t="str">
        <f>VLOOKUP(E120,dicionario!$A$1:$C519,2,0)</f>
        <v>Fluvicola nengeta</v>
      </c>
      <c r="H120" s="6" t="str">
        <f>VLOOKUP(E120,dicionario!$A$1:$C519,3,0)</f>
        <v>lavadeira-mascarada</v>
      </c>
    </row>
    <row r="121">
      <c r="A121" s="3">
        <v>45547.0</v>
      </c>
      <c r="B121" s="4">
        <v>0.2923611111111111</v>
      </c>
      <c r="C121" s="5" t="s">
        <v>76</v>
      </c>
      <c r="D121" s="5" t="s">
        <v>98</v>
      </c>
      <c r="E121" s="6" t="s">
        <v>20</v>
      </c>
      <c r="F121" s="7" t="s">
        <v>21</v>
      </c>
      <c r="G121" s="6" t="str">
        <f>VLOOKUP(E121,dicionario!$A$1:$C520,2,0)</f>
        <v>Sicalis flaveola</v>
      </c>
      <c r="H121" s="6" t="str">
        <f>VLOOKUP(E121,dicionario!$A$1:$C520,3,0)</f>
        <v>canário-da-terra</v>
      </c>
    </row>
    <row r="122">
      <c r="A122" s="3">
        <v>45547.0</v>
      </c>
      <c r="B122" s="4">
        <v>0.2923611111111111</v>
      </c>
      <c r="C122" s="5" t="s">
        <v>76</v>
      </c>
      <c r="D122" s="5" t="s">
        <v>98</v>
      </c>
      <c r="E122" s="6" t="s">
        <v>72</v>
      </c>
      <c r="F122" s="7" t="s">
        <v>73</v>
      </c>
      <c r="G122" s="6" t="str">
        <f>VLOOKUP(E122,dicionario!$A$1:$C521,2,0)</f>
        <v>Thraupis palmarum</v>
      </c>
      <c r="H122" s="6" t="str">
        <f>VLOOKUP(E122,dicionario!$A$1:$C521,3,0)</f>
        <v>sanhaço-do-coqueiro</v>
      </c>
    </row>
    <row r="123">
      <c r="A123" s="3">
        <v>45547.0</v>
      </c>
      <c r="B123" s="4">
        <v>0.2923611111111111</v>
      </c>
      <c r="C123" s="5" t="s">
        <v>76</v>
      </c>
      <c r="D123" s="5" t="s">
        <v>98</v>
      </c>
      <c r="E123" s="6" t="s">
        <v>163</v>
      </c>
      <c r="F123" s="7" t="s">
        <v>164</v>
      </c>
      <c r="G123" s="6" t="str">
        <f>VLOOKUP(E123,dicionario!$A$1:$C522,2,0)</f>
        <v>Coragyps atratus</v>
      </c>
      <c r="H123" s="6" t="str">
        <f>VLOOKUP(E123,dicionario!$A$1:$C522,3,0)</f>
        <v>urubu-de-cabeça-preta</v>
      </c>
    </row>
    <row r="124">
      <c r="A124" s="3">
        <v>45547.0</v>
      </c>
      <c r="B124" s="4">
        <v>0.2923611111111111</v>
      </c>
      <c r="C124" s="5" t="s">
        <v>76</v>
      </c>
      <c r="D124" s="5" t="s">
        <v>98</v>
      </c>
      <c r="E124" s="6" t="s">
        <v>165</v>
      </c>
      <c r="F124" s="7" t="s">
        <v>166</v>
      </c>
      <c r="G124" s="6" t="str">
        <f>VLOOKUP(E124,dicionario!$A$1:$C523,2,0)</f>
        <v>Lycogala</v>
      </c>
      <c r="H124" s="6" t="str">
        <f>VLOOKUP(E124,dicionario!$A$1:$C523,3,0)</f>
        <v/>
      </c>
    </row>
    <row r="125">
      <c r="A125" s="3">
        <v>45547.0</v>
      </c>
      <c r="B125" s="4">
        <v>0.29305555555555557</v>
      </c>
      <c r="C125" s="5" t="s">
        <v>76</v>
      </c>
      <c r="D125" s="5" t="s">
        <v>98</v>
      </c>
      <c r="E125" s="6" t="s">
        <v>167</v>
      </c>
      <c r="F125" s="7" t="s">
        <v>168</v>
      </c>
      <c r="G125" s="6" t="str">
        <f>VLOOKUP(E125,dicionario!$A$1:$C524,2,0)</f>
        <v>Hemidactylus mabouia</v>
      </c>
      <c r="H125" s="6" t="str">
        <f>VLOOKUP(E125,dicionario!$A$1:$C524,3,0)</f>
        <v>lagartixa-doméstica-tropical</v>
      </c>
    </row>
    <row r="126">
      <c r="A126" s="3">
        <v>45547.0</v>
      </c>
      <c r="B126" s="4">
        <v>0.29305555555555557</v>
      </c>
      <c r="C126" s="5" t="s">
        <v>76</v>
      </c>
      <c r="D126" s="5" t="s">
        <v>98</v>
      </c>
      <c r="E126" s="6" t="s">
        <v>169</v>
      </c>
      <c r="F126" s="7" t="s">
        <v>170</v>
      </c>
      <c r="G126" s="6" t="str">
        <f>VLOOKUP(E126,dicionario!$A$1:$C525,2,0)</f>
        <v>Camponotus cruentatus</v>
      </c>
      <c r="H126" s="6" t="str">
        <f>VLOOKUP(E126,dicionario!$A$1:$C525,3,0)</f>
        <v>formiga-carpinteira</v>
      </c>
    </row>
    <row r="127">
      <c r="A127" s="3">
        <v>45547.0</v>
      </c>
      <c r="B127" s="4">
        <v>0.29375</v>
      </c>
      <c r="C127" s="5" t="s">
        <v>76</v>
      </c>
      <c r="D127" s="5" t="s">
        <v>98</v>
      </c>
      <c r="E127" s="6" t="s">
        <v>55</v>
      </c>
      <c r="F127" s="5" t="s">
        <v>56</v>
      </c>
      <c r="G127" s="6" t="str">
        <f>VLOOKUP(E127,dicionario!$A$1:$C526,2,0)</f>
        <v>Cubaris murina</v>
      </c>
      <c r="H127" s="6" t="str">
        <f>VLOOKUP(E127,dicionario!$A$1:$C526,3,0)</f>
        <v>tatuzinho-de-jardim</v>
      </c>
    </row>
    <row r="128">
      <c r="A128" s="3">
        <v>45547.0</v>
      </c>
      <c r="B128" s="4">
        <v>0.29375</v>
      </c>
      <c r="C128" s="5" t="s">
        <v>76</v>
      </c>
      <c r="D128" s="5" t="s">
        <v>98</v>
      </c>
      <c r="E128" s="6" t="s">
        <v>171</v>
      </c>
      <c r="F128" s="7" t="s">
        <v>172</v>
      </c>
      <c r="G128" s="6" t="str">
        <f>VLOOKUP(E128,dicionario!$A$1:$C527,2,0)</f>
        <v>Oxalis corniculata</v>
      </c>
      <c r="H128" s="6" t="str">
        <f>VLOOKUP(E128,dicionario!$A$1:$C527,3,0)</f>
        <v>trevo-azedinho</v>
      </c>
    </row>
    <row r="129">
      <c r="A129" s="3">
        <v>45547.0</v>
      </c>
      <c r="B129" s="4">
        <v>0.29444444444444445</v>
      </c>
      <c r="C129" s="5" t="s">
        <v>76</v>
      </c>
      <c r="D129" s="5" t="s">
        <v>98</v>
      </c>
      <c r="E129" s="6" t="s">
        <v>173</v>
      </c>
      <c r="F129" s="5" t="s">
        <v>174</v>
      </c>
      <c r="G129" s="6" t="str">
        <f>VLOOKUP(E129,dicionario!$A$1:$C528,2,0)</f>
        <v>Junonia evarete</v>
      </c>
      <c r="H129" s="6" t="str">
        <f>VLOOKUP(E129,dicionario!$A$1:$C528,3,0)</f>
        <v>borboleta-olho-de-pavão-diúrno</v>
      </c>
    </row>
    <row r="130">
      <c r="A130" s="3">
        <v>45547.0</v>
      </c>
      <c r="B130" s="4">
        <v>0.29444444444444445</v>
      </c>
      <c r="C130" s="5" t="s">
        <v>76</v>
      </c>
      <c r="D130" s="5" t="s">
        <v>98</v>
      </c>
      <c r="E130" s="6" t="s">
        <v>175</v>
      </c>
      <c r="F130" s="7" t="s">
        <v>176</v>
      </c>
      <c r="G130" s="6" t="str">
        <f>VLOOKUP(E130,dicionario!$A$1:$C529,2,0)</f>
        <v>Turdus leucomelas</v>
      </c>
      <c r="H130" s="6" t="str">
        <f>VLOOKUP(E130,dicionario!$A$1:$C529,3,0)</f>
        <v>sabiá-barranco</v>
      </c>
    </row>
    <row r="131">
      <c r="A131" s="3">
        <v>45547.0</v>
      </c>
      <c r="B131" s="4">
        <v>0.29583333333333334</v>
      </c>
      <c r="C131" s="5" t="s">
        <v>76</v>
      </c>
      <c r="D131" s="5" t="s">
        <v>98</v>
      </c>
      <c r="E131" s="6" t="s">
        <v>132</v>
      </c>
      <c r="F131" s="7" t="s">
        <v>133</v>
      </c>
      <c r="G131" s="6" t="str">
        <f>VLOOKUP(E131,dicionario!$A$1:$C530,2,0)</f>
        <v>Euphonia chlorotica</v>
      </c>
      <c r="H131" s="6" t="str">
        <f>VLOOKUP(E131,dicionario!$A$1:$C530,3,0)</f>
        <v>fim-fim</v>
      </c>
    </row>
    <row r="132">
      <c r="A132" s="3">
        <v>45547.0</v>
      </c>
      <c r="B132" s="4">
        <v>0.29583333333333334</v>
      </c>
      <c r="C132" s="5" t="s">
        <v>76</v>
      </c>
      <c r="D132" s="5" t="s">
        <v>98</v>
      </c>
      <c r="E132" s="6" t="s">
        <v>177</v>
      </c>
      <c r="F132" s="7" t="s">
        <v>178</v>
      </c>
      <c r="G132" s="6" t="str">
        <f>VLOOKUP(E132,dicionario!$A$1:$C531,2,0)</f>
        <v>Elaenia flavogaster</v>
      </c>
      <c r="H132" s="6" t="str">
        <f>VLOOKUP(E132,dicionario!$A$1:$C531,3,0)</f>
        <v>guaracava-de-barriga-amarela</v>
      </c>
    </row>
    <row r="133">
      <c r="A133" s="3">
        <v>45547.0</v>
      </c>
      <c r="B133" s="4">
        <v>0.2972222222222222</v>
      </c>
      <c r="C133" s="5" t="s">
        <v>76</v>
      </c>
      <c r="D133" s="5" t="s">
        <v>98</v>
      </c>
      <c r="E133" s="6" t="s">
        <v>179</v>
      </c>
      <c r="F133" s="7" t="s">
        <v>180</v>
      </c>
      <c r="G133" s="6" t="str">
        <f>VLOOKUP(E133,dicionario!$A$1:$C532,2,0)</f>
        <v>Aramides saracura</v>
      </c>
      <c r="H133" s="6" t="str">
        <f>VLOOKUP(E133,dicionario!$A$1:$C532,3,0)</f>
        <v>saracura-do-mato</v>
      </c>
    </row>
    <row r="134">
      <c r="A134" s="3">
        <v>45547.0</v>
      </c>
      <c r="B134" s="4">
        <v>0.2972222222222222</v>
      </c>
      <c r="C134" s="5" t="s">
        <v>76</v>
      </c>
      <c r="D134" s="5" t="s">
        <v>98</v>
      </c>
      <c r="E134" s="6" t="s">
        <v>20</v>
      </c>
      <c r="F134" s="7" t="s">
        <v>21</v>
      </c>
      <c r="G134" s="6" t="str">
        <f>VLOOKUP(E134,dicionario!$A$1:$C533,2,0)</f>
        <v>Sicalis flaveola</v>
      </c>
      <c r="H134" s="6" t="str">
        <f>VLOOKUP(E134,dicionario!$A$1:$C533,3,0)</f>
        <v>canário-da-terra</v>
      </c>
    </row>
    <row r="135">
      <c r="A135" s="3">
        <v>45547.0</v>
      </c>
      <c r="B135" s="4">
        <v>0.2972222222222222</v>
      </c>
      <c r="C135" s="5" t="s">
        <v>76</v>
      </c>
      <c r="D135" s="5" t="s">
        <v>98</v>
      </c>
      <c r="E135" s="6" t="s">
        <v>181</v>
      </c>
      <c r="F135" s="7" t="s">
        <v>182</v>
      </c>
      <c r="G135" s="6" t="str">
        <f>VLOOKUP(E135,dicionario!$A$1:$C534,2,0)</f>
        <v>#N/A</v>
      </c>
      <c r="H135" s="6" t="str">
        <f>VLOOKUP(E135,dicionario!$A$1:$C534,3,0)</f>
        <v>#N/A</v>
      </c>
    </row>
    <row r="136">
      <c r="A136" s="3">
        <v>45547.0</v>
      </c>
      <c r="B136" s="4">
        <v>0.29791666666666666</v>
      </c>
      <c r="C136" s="5" t="s">
        <v>76</v>
      </c>
      <c r="D136" s="5" t="s">
        <v>98</v>
      </c>
      <c r="E136" s="6" t="s">
        <v>183</v>
      </c>
      <c r="F136" s="7" t="s">
        <v>184</v>
      </c>
      <c r="G136" s="6" t="str">
        <f>VLOOKUP(E136,dicionario!$A$1:$C535,2,0)</f>
        <v>Thunbergia alata</v>
      </c>
      <c r="H136" s="6" t="str">
        <f>VLOOKUP(E136,dicionario!$A$1:$C535,3,0)</f>
        <v>susana-dos-olhos-negros</v>
      </c>
    </row>
    <row r="137">
      <c r="A137" s="3">
        <v>45547.0</v>
      </c>
      <c r="B137" s="4">
        <v>0.2986111111111111</v>
      </c>
      <c r="C137" s="5" t="s">
        <v>76</v>
      </c>
      <c r="D137" s="5" t="s">
        <v>98</v>
      </c>
      <c r="E137" s="6" t="s">
        <v>185</v>
      </c>
      <c r="F137" s="7" t="s">
        <v>186</v>
      </c>
      <c r="G137" s="6" t="str">
        <f>VLOOKUP(E137,dicionario!$A$1:$C536,2,0)</f>
        <v>Ipomoea</v>
      </c>
      <c r="H137" s="6" t="str">
        <f>VLOOKUP(E137,dicionario!$A$1:$C536,3,0)</f>
        <v>ipoméia</v>
      </c>
    </row>
    <row r="138">
      <c r="A138" s="3">
        <v>45547.0</v>
      </c>
      <c r="B138" s="4">
        <v>0.29930555555555555</v>
      </c>
      <c r="C138" s="5" t="s">
        <v>76</v>
      </c>
      <c r="D138" s="5" t="s">
        <v>98</v>
      </c>
      <c r="E138" s="6" t="s">
        <v>187</v>
      </c>
      <c r="F138" s="7" t="s">
        <v>70</v>
      </c>
      <c r="G138" s="6" t="str">
        <f>VLOOKUP(E138,dicionario!$A$1:$C537,2,0)</f>
        <v>Tangara cayana</v>
      </c>
      <c r="H138" s="6" t="str">
        <f>VLOOKUP(E138,dicionario!$A$1:$C537,3,0)</f>
        <v>saíra-amarela</v>
      </c>
    </row>
    <row r="139">
      <c r="A139" s="3">
        <v>45547.0</v>
      </c>
      <c r="B139" s="4">
        <v>0.30277777777777776</v>
      </c>
      <c r="C139" s="5" t="s">
        <v>76</v>
      </c>
      <c r="D139" s="5" t="s">
        <v>98</v>
      </c>
      <c r="E139" s="6" t="s">
        <v>18</v>
      </c>
      <c r="F139" s="5" t="s">
        <v>188</v>
      </c>
      <c r="G139" s="6" t="str">
        <f>VLOOKUP(E139,dicionario!$A$1:$C538,2,0)</f>
        <v>Xylocopa frontalis</v>
      </c>
      <c r="H139" s="6" t="str">
        <f>VLOOKUP(E139,dicionario!$A$1:$C538,3,0)</f>
        <v>Mamangava; mangangá; abelha-carpinteira</v>
      </c>
    </row>
    <row r="140">
      <c r="A140" s="3">
        <v>45547.0</v>
      </c>
      <c r="B140" s="4">
        <v>0.30277777777777776</v>
      </c>
      <c r="C140" s="5" t="s">
        <v>76</v>
      </c>
      <c r="D140" s="5" t="s">
        <v>98</v>
      </c>
      <c r="E140" s="6" t="s">
        <v>189</v>
      </c>
      <c r="F140" s="7" t="s">
        <v>190</v>
      </c>
      <c r="G140" s="6" t="str">
        <f>VLOOKUP(E140,dicionario!$A$1:$C539,2,0)</f>
        <v>Solanum paniculatum</v>
      </c>
      <c r="H140" s="6" t="str">
        <f>VLOOKUP(E140,dicionario!$A$1:$C539,3,0)</f>
        <v>jurubeba</v>
      </c>
    </row>
    <row r="141">
      <c r="A141" s="3">
        <v>45547.0</v>
      </c>
      <c r="B141" s="4">
        <v>0.30069444444444443</v>
      </c>
      <c r="C141" s="5" t="s">
        <v>64</v>
      </c>
      <c r="D141" s="5" t="s">
        <v>98</v>
      </c>
      <c r="E141" s="6" t="s">
        <v>74</v>
      </c>
      <c r="F141" s="7" t="s">
        <v>75</v>
      </c>
      <c r="G141" s="6" t="str">
        <f>VLOOKUP(E141,dicionario!$A$1:$C540,2,0)</f>
        <v>Crotophaga ani</v>
      </c>
      <c r="H141" s="6" t="str">
        <f>VLOOKUP(E141,dicionario!$A$1:$C540,3,0)</f>
        <v>anu-preto</v>
      </c>
    </row>
    <row r="142">
      <c r="A142" s="3">
        <v>45547.0</v>
      </c>
      <c r="B142" s="4">
        <v>0.3013888888888889</v>
      </c>
      <c r="C142" s="5" t="s">
        <v>64</v>
      </c>
      <c r="D142" s="5" t="s">
        <v>98</v>
      </c>
      <c r="E142" s="6" t="s">
        <v>113</v>
      </c>
      <c r="F142" s="7" t="s">
        <v>114</v>
      </c>
      <c r="G142" s="6" t="str">
        <f>VLOOKUP(E142,dicionario!$A$1:$C541,2,0)</f>
        <v>Columbina talpacoti</v>
      </c>
      <c r="H142" s="6" t="str">
        <f>VLOOKUP(E142,dicionario!$A$1:$C541,3,0)</f>
        <v>rolinha-roxa</v>
      </c>
    </row>
    <row r="143">
      <c r="A143" s="3">
        <v>45547.0</v>
      </c>
      <c r="B143" s="4">
        <v>0.3013888888888889</v>
      </c>
      <c r="C143" s="5" t="s">
        <v>64</v>
      </c>
      <c r="D143" s="5" t="s">
        <v>98</v>
      </c>
      <c r="E143" s="6" t="s">
        <v>65</v>
      </c>
      <c r="F143" s="7" t="s">
        <v>66</v>
      </c>
      <c r="G143" s="6" t="str">
        <f>VLOOKUP(E143,dicionario!$A$1:$C542,2,0)</f>
        <v>Pitangus sulphutarus</v>
      </c>
      <c r="H143" s="6" t="str">
        <f>VLOOKUP(E143,dicionario!$A$1:$C542,3,0)</f>
        <v>bem-te-vi</v>
      </c>
    </row>
    <row r="144">
      <c r="A144" s="3">
        <v>45547.0</v>
      </c>
      <c r="B144" s="4">
        <v>0.3020833333333333</v>
      </c>
      <c r="C144" s="5" t="s">
        <v>64</v>
      </c>
      <c r="D144" s="5" t="s">
        <v>98</v>
      </c>
      <c r="E144" s="6" t="s">
        <v>191</v>
      </c>
      <c r="F144" s="7" t="s">
        <v>192</v>
      </c>
      <c r="G144" s="6" t="str">
        <f>VLOOKUP(E144,dicionario!$A$1:$C543,2,0)</f>
        <v>Patagioenas picazuro</v>
      </c>
      <c r="H144" s="6" t="str">
        <f>VLOOKUP(E144,dicionario!$A$1:$C543,3,0)</f>
        <v>asa-branca; pomba-asa-branca; pocaçu</v>
      </c>
    </row>
    <row r="145">
      <c r="A145" s="3">
        <v>45547.0</v>
      </c>
      <c r="B145" s="4">
        <v>0.3020833333333333</v>
      </c>
      <c r="C145" s="5" t="s">
        <v>64</v>
      </c>
      <c r="D145" s="5" t="s">
        <v>98</v>
      </c>
      <c r="E145" s="6" t="s">
        <v>72</v>
      </c>
      <c r="F145" s="7" t="s">
        <v>73</v>
      </c>
      <c r="G145" s="6" t="str">
        <f>VLOOKUP(E145,dicionario!$A$1:$C544,2,0)</f>
        <v>Thraupis palmarum</v>
      </c>
      <c r="H145" s="6" t="str">
        <f>VLOOKUP(E145,dicionario!$A$1:$C544,3,0)</f>
        <v>sanhaço-do-coqueiro</v>
      </c>
    </row>
    <row r="146">
      <c r="A146" s="3">
        <v>45547.0</v>
      </c>
      <c r="B146" s="4">
        <v>0.30277777777777776</v>
      </c>
      <c r="C146" s="5" t="s">
        <v>64</v>
      </c>
      <c r="D146" s="5" t="s">
        <v>98</v>
      </c>
      <c r="E146" s="6" t="s">
        <v>163</v>
      </c>
      <c r="F146" s="7" t="s">
        <v>164</v>
      </c>
      <c r="G146" s="6" t="str">
        <f>VLOOKUP(E146,dicionario!$A$1:$C545,2,0)</f>
        <v>Coragyps atratus</v>
      </c>
      <c r="H146" s="6" t="str">
        <f>VLOOKUP(E146,dicionario!$A$1:$C545,3,0)</f>
        <v>urubu-de-cabeça-preta</v>
      </c>
    </row>
    <row r="147">
      <c r="A147" s="3">
        <v>45547.0</v>
      </c>
      <c r="B147" s="4">
        <v>0.30277777777777776</v>
      </c>
      <c r="C147" s="5" t="s">
        <v>64</v>
      </c>
      <c r="D147" s="5" t="s">
        <v>98</v>
      </c>
      <c r="E147" s="6" t="s">
        <v>193</v>
      </c>
      <c r="F147" s="7" t="s">
        <v>194</v>
      </c>
      <c r="G147" s="6" t="str">
        <f>VLOOKUP(E147,dicionario!$A$1:$C546,2,0)</f>
        <v>Conirostrum speciosum</v>
      </c>
      <c r="H147" s="6" t="str">
        <f>VLOOKUP(E147,dicionario!$A$1:$C546,3,0)</f>
        <v>figuinha-de-rabo-castanho</v>
      </c>
    </row>
    <row r="148">
      <c r="A148" s="3">
        <v>45547.0</v>
      </c>
      <c r="B148" s="4">
        <v>0.30625</v>
      </c>
      <c r="C148" s="5" t="s">
        <v>64</v>
      </c>
      <c r="D148" s="5" t="s">
        <v>98</v>
      </c>
      <c r="E148" s="6" t="s">
        <v>29</v>
      </c>
      <c r="F148" s="7" t="s">
        <v>30</v>
      </c>
      <c r="G148" s="6" t="str">
        <f>VLOOKUP(E148,dicionario!$A$1:$C547,2,0)</f>
        <v>Pycnoscelus surinamensis</v>
      </c>
      <c r="H148" s="6" t="str">
        <f>VLOOKUP(E148,dicionario!$A$1:$C547,3,0)</f>
        <v>Barata-de-jardim</v>
      </c>
    </row>
    <row r="149">
      <c r="A149" s="3">
        <v>45547.0</v>
      </c>
      <c r="B149" s="4">
        <v>0.3076388888888889</v>
      </c>
      <c r="C149" s="5" t="s">
        <v>64</v>
      </c>
      <c r="D149" s="5" t="s">
        <v>98</v>
      </c>
      <c r="E149" s="6" t="s">
        <v>187</v>
      </c>
      <c r="F149" s="7" t="s">
        <v>70</v>
      </c>
      <c r="G149" s="6" t="str">
        <f>VLOOKUP(E149,dicionario!$A$1:$C548,2,0)</f>
        <v>Tangara cayana</v>
      </c>
      <c r="H149" s="6" t="str">
        <f>VLOOKUP(E149,dicionario!$A$1:$C548,3,0)</f>
        <v>saíra-amarela</v>
      </c>
    </row>
    <row r="150">
      <c r="A150" s="3">
        <v>45547.0</v>
      </c>
      <c r="B150" s="4">
        <v>0.3076388888888889</v>
      </c>
      <c r="C150" s="5" t="s">
        <v>64</v>
      </c>
      <c r="D150" s="5" t="s">
        <v>98</v>
      </c>
      <c r="E150" s="6" t="s">
        <v>195</v>
      </c>
      <c r="F150" s="7" t="s">
        <v>196</v>
      </c>
      <c r="G150" s="6" t="str">
        <f>VLOOKUP(E150,dicionario!$A$1:$C549,2,0)</f>
        <v>Priva lappulacea</v>
      </c>
      <c r="H150" s="6" t="str">
        <f>VLOOKUP(E150,dicionario!$A$1:$C549,3,0)</f>
        <v>carrapicho</v>
      </c>
    </row>
    <row r="151">
      <c r="A151" s="3">
        <v>45547.0</v>
      </c>
      <c r="B151" s="4">
        <v>0.30833333333333335</v>
      </c>
      <c r="C151" s="5" t="s">
        <v>64</v>
      </c>
      <c r="D151" s="5" t="s">
        <v>98</v>
      </c>
      <c r="E151" s="6" t="s">
        <v>20</v>
      </c>
      <c r="F151" s="7" t="s">
        <v>21</v>
      </c>
      <c r="G151" s="6" t="str">
        <f>VLOOKUP(E151,dicionario!$A$1:$C550,2,0)</f>
        <v>Sicalis flaveola</v>
      </c>
      <c r="H151" s="6" t="str">
        <f>VLOOKUP(E151,dicionario!$A$1:$C550,3,0)</f>
        <v>canário-da-terra</v>
      </c>
    </row>
    <row r="152">
      <c r="A152" s="3">
        <v>45547.0</v>
      </c>
      <c r="B152" s="4">
        <v>0.30833333333333335</v>
      </c>
      <c r="C152" s="5" t="s">
        <v>64</v>
      </c>
      <c r="D152" s="5" t="s">
        <v>98</v>
      </c>
      <c r="E152" s="6" t="s">
        <v>57</v>
      </c>
      <c r="F152" s="7" t="s">
        <v>197</v>
      </c>
      <c r="G152" s="6" t="str">
        <f>VLOOKUP(E152,dicionario!$A$1:$C551,2,0)</f>
        <v>Juliformia</v>
      </c>
      <c r="H152" s="6" t="str">
        <f>VLOOKUP(E152,dicionario!$A$1:$C551,3,0)</f>
        <v>gongolo; maria-café</v>
      </c>
    </row>
    <row r="153">
      <c r="A153" s="3">
        <v>45547.0</v>
      </c>
      <c r="B153" s="4">
        <v>0.3090277777777778</v>
      </c>
      <c r="C153" s="5" t="s">
        <v>64</v>
      </c>
      <c r="D153" s="5" t="s">
        <v>98</v>
      </c>
      <c r="E153" s="6" t="s">
        <v>198</v>
      </c>
      <c r="F153" s="7" t="s">
        <v>199</v>
      </c>
      <c r="G153" s="6" t="str">
        <f>VLOOKUP(E153,dicionario!$A$1:$C552,2,0)</f>
        <v>Bradybaena similaris</v>
      </c>
      <c r="H153" s="6" t="str">
        <f>VLOOKUP(E153,dicionario!$A$1:$C552,3,0)</f>
        <v>caracol-asiático</v>
      </c>
    </row>
    <row r="154">
      <c r="A154" s="3">
        <v>45547.0</v>
      </c>
      <c r="B154" s="4">
        <v>0.30972222222222223</v>
      </c>
      <c r="C154" s="5" t="s">
        <v>64</v>
      </c>
      <c r="D154" s="5" t="s">
        <v>98</v>
      </c>
      <c r="E154" s="6" t="s">
        <v>141</v>
      </c>
      <c r="F154" s="7" t="s">
        <v>142</v>
      </c>
      <c r="G154" s="6" t="str">
        <f>VLOOKUP(E154,dicionario!$A$1:$C553,2,0)</f>
        <v>Ruellia blechum</v>
      </c>
      <c r="H154" s="6" t="str">
        <f>VLOOKUP(E154,dicionario!$A$1:$C553,3,0)</f>
        <v>camarão-verde</v>
      </c>
    </row>
    <row r="155">
      <c r="A155" s="3">
        <v>45547.0</v>
      </c>
      <c r="B155" s="4">
        <v>0.30972222222222223</v>
      </c>
      <c r="C155" s="5" t="s">
        <v>64</v>
      </c>
      <c r="D155" s="5" t="s">
        <v>98</v>
      </c>
      <c r="E155" s="6" t="s">
        <v>69</v>
      </c>
      <c r="F155" s="7" t="s">
        <v>71</v>
      </c>
      <c r="G155" s="6" t="str">
        <f>VLOOKUP(E155,dicionario!$A$1:$C554,2,0)</f>
        <v>Talinum fruticosum</v>
      </c>
      <c r="H155" s="6" t="str">
        <f>VLOOKUP(E155,dicionario!$A$1:$C554,3,0)</f>
        <v>beldroega-grande</v>
      </c>
    </row>
    <row r="156">
      <c r="A156" s="3">
        <v>45547.0</v>
      </c>
      <c r="B156" s="4">
        <v>0.30972222222222223</v>
      </c>
      <c r="C156" s="5" t="s">
        <v>64</v>
      </c>
      <c r="D156" s="5" t="s">
        <v>98</v>
      </c>
      <c r="E156" s="6" t="s">
        <v>62</v>
      </c>
      <c r="F156" s="7" t="s">
        <v>63</v>
      </c>
      <c r="G156" s="6" t="str">
        <f>VLOOKUP(E156,dicionario!$A$1:$C555,2,0)</f>
        <v>Hymenoptera</v>
      </c>
      <c r="H156" s="6" t="str">
        <f>VLOOKUP(E156,dicionario!$A$1:$C555,3,0)</f>
        <v>vespa</v>
      </c>
    </row>
    <row r="157">
      <c r="A157" s="3">
        <v>45547.0</v>
      </c>
      <c r="B157" s="4">
        <v>0.30972222222222223</v>
      </c>
      <c r="C157" s="5" t="s">
        <v>64</v>
      </c>
      <c r="D157" s="5" t="s">
        <v>98</v>
      </c>
      <c r="E157" s="6" t="s">
        <v>132</v>
      </c>
      <c r="F157" s="7" t="s">
        <v>133</v>
      </c>
      <c r="G157" s="6" t="str">
        <f>VLOOKUP(E157,dicionario!$A$1:$C556,2,0)</f>
        <v>Euphonia chlorotica</v>
      </c>
      <c r="H157" s="6" t="str">
        <f>VLOOKUP(E157,dicionario!$A$1:$C556,3,0)</f>
        <v>fim-fim</v>
      </c>
    </row>
    <row r="158">
      <c r="A158" s="3">
        <v>45547.0</v>
      </c>
      <c r="B158" s="4">
        <v>0.30972222222222223</v>
      </c>
      <c r="C158" s="5" t="s">
        <v>64</v>
      </c>
      <c r="D158" s="5" t="s">
        <v>98</v>
      </c>
      <c r="E158" s="6" t="s">
        <v>51</v>
      </c>
      <c r="F158" s="7" t="s">
        <v>77</v>
      </c>
      <c r="G158" s="6" t="str">
        <f>VLOOKUP(E158,dicionario!$A$1:$C557,2,0)</f>
        <v>Solenopsis</v>
      </c>
      <c r="H158" s="6" t="str">
        <f>VLOOKUP(E158,dicionario!$A$1:$C557,3,0)</f>
        <v>formiga-quente; formiga-lava-pés; formiga-de-fogo</v>
      </c>
    </row>
    <row r="159">
      <c r="A159" s="3">
        <v>45547.0</v>
      </c>
      <c r="B159" s="4">
        <v>0.3104166666666667</v>
      </c>
      <c r="C159" s="5" t="s">
        <v>59</v>
      </c>
      <c r="D159" s="5" t="s">
        <v>98</v>
      </c>
      <c r="E159" s="6" t="s">
        <v>88</v>
      </c>
      <c r="F159" s="7" t="s">
        <v>89</v>
      </c>
      <c r="G159" s="6" t="str">
        <f>VLOOKUP(E159,dicionario!$A$1:$C558,2,0)</f>
        <v>Tyrannus melancolichus</v>
      </c>
      <c r="H159" s="6" t="str">
        <f>VLOOKUP(E159,dicionario!$A$1:$C558,3,0)</f>
        <v>suiriri</v>
      </c>
    </row>
    <row r="160">
      <c r="A160" s="3">
        <v>45547.0</v>
      </c>
      <c r="B160" s="4">
        <v>0.3125</v>
      </c>
      <c r="C160" s="5" t="s">
        <v>59</v>
      </c>
      <c r="D160" s="5" t="s">
        <v>98</v>
      </c>
      <c r="E160" s="6" t="s">
        <v>20</v>
      </c>
      <c r="F160" s="7" t="s">
        <v>21</v>
      </c>
      <c r="G160" s="6" t="str">
        <f>VLOOKUP(E160,dicionario!$A$1:$C559,2,0)</f>
        <v>Sicalis flaveola</v>
      </c>
      <c r="H160" s="6" t="str">
        <f>VLOOKUP(E160,dicionario!$A$1:$C559,3,0)</f>
        <v>canário-da-terra</v>
      </c>
    </row>
    <row r="161">
      <c r="A161" s="3">
        <v>45547.0</v>
      </c>
      <c r="B161" s="4">
        <v>0.3125</v>
      </c>
      <c r="C161" s="5" t="s">
        <v>59</v>
      </c>
      <c r="D161" s="5" t="s">
        <v>98</v>
      </c>
      <c r="E161" s="6" t="s">
        <v>22</v>
      </c>
      <c r="F161" s="7" t="s">
        <v>97</v>
      </c>
      <c r="G161" s="6" t="str">
        <f>VLOOKUP(E161,dicionario!$A$1:$C560,2,0)</f>
        <v>Zenaida auriculata</v>
      </c>
      <c r="H161" s="6" t="str">
        <f>VLOOKUP(E161,dicionario!$A$1:$C560,3,0)</f>
        <v>pomba-de-bando; avoante</v>
      </c>
    </row>
    <row r="162">
      <c r="A162" s="3">
        <v>45547.0</v>
      </c>
      <c r="B162" s="4">
        <v>0.3125</v>
      </c>
      <c r="C162" s="5" t="s">
        <v>59</v>
      </c>
      <c r="D162" s="5" t="s">
        <v>98</v>
      </c>
      <c r="E162" s="6" t="s">
        <v>86</v>
      </c>
      <c r="F162" s="7" t="s">
        <v>87</v>
      </c>
      <c r="G162" s="6" t="str">
        <f>VLOOKUP(E162,dicionario!$A$1:$C561,2,0)</f>
        <v>Coereba flaveola</v>
      </c>
      <c r="H162" s="6" t="str">
        <f>VLOOKUP(E162,dicionario!$A$1:$C561,3,0)</f>
        <v>cambacica</v>
      </c>
    </row>
    <row r="163">
      <c r="A163" s="3">
        <v>45547.0</v>
      </c>
      <c r="B163" s="4">
        <v>0.3138888888888889</v>
      </c>
      <c r="C163" s="5" t="s">
        <v>59</v>
      </c>
      <c r="D163" s="5" t="s">
        <v>98</v>
      </c>
      <c r="E163" s="6" t="s">
        <v>200</v>
      </c>
      <c r="F163" s="7" t="s">
        <v>201</v>
      </c>
      <c r="G163" s="6" t="str">
        <f>VLOOKUP(E163,dicionario!$A$1:$C562,2,0)</f>
        <v>Columbina picui </v>
      </c>
      <c r="H163" s="6" t="str">
        <f>VLOOKUP(E163,dicionario!$A$1:$C562,3,0)</f>
        <v>rolinha-picuí</v>
      </c>
    </row>
    <row r="164">
      <c r="A164" s="3">
        <v>45547.0</v>
      </c>
      <c r="B164" s="4">
        <v>0.3138888888888889</v>
      </c>
      <c r="C164" s="5" t="s">
        <v>59</v>
      </c>
      <c r="D164" s="5" t="s">
        <v>98</v>
      </c>
      <c r="E164" s="6" t="s">
        <v>191</v>
      </c>
      <c r="F164" s="7" t="s">
        <v>192</v>
      </c>
      <c r="G164" s="6" t="str">
        <f>VLOOKUP(E164,dicionario!$A$1:$C563,2,0)</f>
        <v>Patagioenas picazuro</v>
      </c>
      <c r="H164" s="6" t="str">
        <f>VLOOKUP(E164,dicionario!$A$1:$C563,3,0)</f>
        <v>asa-branca; pomba-asa-branca; pocaçu</v>
      </c>
    </row>
    <row r="165">
      <c r="A165" s="3">
        <v>45547.0</v>
      </c>
      <c r="B165" s="4">
        <v>0.3138888888888889</v>
      </c>
      <c r="C165" s="5" t="s">
        <v>59</v>
      </c>
      <c r="D165" s="5" t="s">
        <v>98</v>
      </c>
      <c r="E165" s="6" t="s">
        <v>202</v>
      </c>
      <c r="F165" s="7" t="s">
        <v>203</v>
      </c>
      <c r="G165" s="6" t="str">
        <f>VLOOKUP(E165,dicionario!$A$1:$C564,2,0)</f>
        <v>Dysdercus</v>
      </c>
      <c r="H165" s="6" t="str">
        <f>VLOOKUP(E165,dicionario!$A$1:$C564,3,0)</f>
        <v>percevejo-manchador</v>
      </c>
    </row>
    <row r="166">
      <c r="A166" s="3">
        <v>45547.0</v>
      </c>
      <c r="B166" s="4">
        <v>0.3138888888888889</v>
      </c>
      <c r="C166" s="5" t="s">
        <v>59</v>
      </c>
      <c r="D166" s="5" t="s">
        <v>98</v>
      </c>
      <c r="E166" s="6" t="s">
        <v>16</v>
      </c>
      <c r="F166" s="7" t="s">
        <v>17</v>
      </c>
      <c r="G166" s="6" t="str">
        <f>VLOOKUP(E166,dicionario!$A$1:$C565,2,0)</f>
        <v>Eupetomena macroura</v>
      </c>
      <c r="H166" s="6" t="str">
        <f>VLOOKUP(E166,dicionario!$A$1:$C565,3,0)</f>
        <v>beija-flor-tesoura</v>
      </c>
    </row>
    <row r="167">
      <c r="A167" s="3">
        <v>45547.0</v>
      </c>
      <c r="B167" s="4">
        <v>0.3138888888888889</v>
      </c>
      <c r="C167" s="5" t="s">
        <v>59</v>
      </c>
      <c r="D167" s="5" t="s">
        <v>98</v>
      </c>
      <c r="E167" s="6" t="s">
        <v>109</v>
      </c>
      <c r="F167" s="7" t="s">
        <v>110</v>
      </c>
      <c r="G167" s="6" t="str">
        <f>VLOOKUP(E167,dicionario!$A$1:$C566,2,0)</f>
        <v>Tillandsia stricta</v>
      </c>
      <c r="H167" s="6" t="str">
        <f>VLOOKUP(E167,dicionario!$A$1:$C566,3,0)</f>
        <v>cravo-do-mato</v>
      </c>
    </row>
    <row r="168">
      <c r="A168" s="3">
        <v>45547.0</v>
      </c>
      <c r="B168" s="4">
        <v>0.3145833333333333</v>
      </c>
      <c r="C168" s="5" t="s">
        <v>59</v>
      </c>
      <c r="D168" s="5" t="s">
        <v>98</v>
      </c>
      <c r="E168" s="6" t="s">
        <v>204</v>
      </c>
      <c r="F168" s="7" t="s">
        <v>205</v>
      </c>
      <c r="G168" s="6" t="str">
        <f>VLOOKUP(E168,dicionario!$A$1:$C567,2,0)</f>
        <v>Vespidae</v>
      </c>
      <c r="H168" s="6" t="str">
        <f>VLOOKUP(E168,dicionario!$A$1:$C567,3,0)</f>
        <v>vespa</v>
      </c>
    </row>
    <row r="169">
      <c r="A169" s="3">
        <v>45547.0</v>
      </c>
      <c r="B169" s="4">
        <v>0.31527777777777777</v>
      </c>
      <c r="C169" s="5" t="s">
        <v>59</v>
      </c>
      <c r="D169" s="5" t="s">
        <v>98</v>
      </c>
      <c r="E169" s="6" t="s">
        <v>51</v>
      </c>
      <c r="F169" s="7" t="s">
        <v>77</v>
      </c>
      <c r="G169" s="6" t="str">
        <f>VLOOKUP(E169,dicionario!$A$1:$C568,2,0)</f>
        <v>Solenopsis</v>
      </c>
      <c r="H169" s="6" t="str">
        <f>VLOOKUP(E169,dicionario!$A$1:$C568,3,0)</f>
        <v>formiga-quente; formiga-lava-pés; formiga-de-fogo</v>
      </c>
    </row>
    <row r="170">
      <c r="A170" s="3">
        <v>45547.0</v>
      </c>
      <c r="B170" s="4">
        <v>0.31527777777777777</v>
      </c>
      <c r="C170" s="5" t="s">
        <v>59</v>
      </c>
      <c r="D170" s="5" t="s">
        <v>98</v>
      </c>
      <c r="E170" s="6" t="s">
        <v>62</v>
      </c>
      <c r="F170" s="7" t="s">
        <v>63</v>
      </c>
      <c r="G170" s="6" t="str">
        <f>VLOOKUP(E170,dicionario!$A$1:$C569,2,0)</f>
        <v>Hymenoptera</v>
      </c>
      <c r="H170" s="6" t="str">
        <f>VLOOKUP(E170,dicionario!$A$1:$C569,3,0)</f>
        <v>vespa</v>
      </c>
    </row>
    <row r="171">
      <c r="A171" s="3">
        <v>45547.0</v>
      </c>
      <c r="B171" s="4">
        <v>0.31527777777777777</v>
      </c>
      <c r="C171" s="5" t="s">
        <v>59</v>
      </c>
      <c r="D171" s="5" t="s">
        <v>98</v>
      </c>
      <c r="E171" s="6" t="s">
        <v>113</v>
      </c>
      <c r="F171" s="7" t="s">
        <v>114</v>
      </c>
      <c r="G171" s="6" t="str">
        <f>VLOOKUP(E171,dicionario!$A$1:$C570,2,0)</f>
        <v>Columbina talpacoti</v>
      </c>
      <c r="H171" s="6" t="str">
        <f>VLOOKUP(E171,dicionario!$A$1:$C570,3,0)</f>
        <v>rolinha-roxa</v>
      </c>
    </row>
    <row r="172">
      <c r="A172" s="3">
        <v>45547.0</v>
      </c>
      <c r="B172" s="4">
        <v>0.3159722222222222</v>
      </c>
      <c r="C172" s="5" t="s">
        <v>59</v>
      </c>
      <c r="D172" s="5" t="s">
        <v>98</v>
      </c>
      <c r="E172" s="6" t="s">
        <v>31</v>
      </c>
      <c r="F172" s="7" t="s">
        <v>32</v>
      </c>
      <c r="G172" s="6" t="str">
        <f>VLOOKUP(E172,dicionario!$A$1:$C571,2,0)</f>
        <v>Furnarius rufus</v>
      </c>
      <c r="H172" s="6" t="str">
        <f>VLOOKUP(E172,dicionario!$A$1:$C571,3,0)</f>
        <v>joão-de-barro</v>
      </c>
    </row>
    <row r="173">
      <c r="A173" s="3">
        <v>45547.0</v>
      </c>
      <c r="B173" s="4">
        <v>0.3159722222222222</v>
      </c>
      <c r="C173" s="5" t="s">
        <v>59</v>
      </c>
      <c r="D173" s="5" t="s">
        <v>98</v>
      </c>
      <c r="E173" s="6" t="s">
        <v>24</v>
      </c>
      <c r="F173" s="7" t="s">
        <v>25</v>
      </c>
      <c r="G173" s="6" t="str">
        <f>VLOOKUP(E173,dicionario!$A$1:$C572,2,0)</f>
        <v>Lepidoptera</v>
      </c>
      <c r="H173" s="6" t="str">
        <f>VLOOKUP(E173,dicionario!$A$1:$C572,3,0)</f>
        <v>boboleta/mariposa</v>
      </c>
    </row>
    <row r="174">
      <c r="A174" s="3">
        <v>45547.0</v>
      </c>
      <c r="B174" s="4">
        <v>0.3159722222222222</v>
      </c>
      <c r="C174" s="5" t="s">
        <v>59</v>
      </c>
      <c r="D174" s="5" t="s">
        <v>98</v>
      </c>
      <c r="E174" s="6" t="s">
        <v>53</v>
      </c>
      <c r="F174" s="7" t="s">
        <v>54</v>
      </c>
      <c r="G174" s="6" t="str">
        <f>VLOOKUP(E174,dicionario!$A$1:$C573,2,0)</f>
        <v>Turnera subulata</v>
      </c>
      <c r="H174" s="6" t="str">
        <f>VLOOKUP(E174,dicionario!$A$1:$C573,3,0)</f>
        <v>xanana</v>
      </c>
    </row>
    <row r="175">
      <c r="A175" s="3">
        <v>45547.0</v>
      </c>
      <c r="B175" s="4">
        <v>0.31666666666666665</v>
      </c>
      <c r="C175" s="5" t="s">
        <v>59</v>
      </c>
      <c r="D175" s="5" t="s">
        <v>98</v>
      </c>
      <c r="E175" s="6" t="s">
        <v>143</v>
      </c>
      <c r="F175" s="7" t="s">
        <v>63</v>
      </c>
      <c r="G175" s="6" t="str">
        <f>VLOOKUP(E175,dicionario!$A$1:$C574,2,0)</f>
        <v>Polybia</v>
      </c>
      <c r="H175" s="6" t="str">
        <f>VLOOKUP(E175,dicionario!$A$1:$C574,3,0)</f>
        <v>vespa</v>
      </c>
    </row>
    <row r="176">
      <c r="A176" s="3">
        <v>45547.0</v>
      </c>
      <c r="B176" s="4">
        <v>0.31666666666666665</v>
      </c>
      <c r="C176" s="5" t="s">
        <v>59</v>
      </c>
      <c r="D176" s="5" t="s">
        <v>98</v>
      </c>
      <c r="E176" s="6" t="s">
        <v>206</v>
      </c>
      <c r="F176" s="7" t="s">
        <v>207</v>
      </c>
      <c r="G176" s="6" t="str">
        <f>VLOOKUP(E176,dicionario!$A$1:$C575,2,0)</f>
        <v>Falco sparverius</v>
      </c>
      <c r="H176" s="6" t="str">
        <f>VLOOKUP(E176,dicionario!$A$1:$C575,3,0)</f>
        <v>quiriquiri</v>
      </c>
    </row>
    <row r="177">
      <c r="A177" s="3">
        <v>45547.0</v>
      </c>
      <c r="B177" s="4">
        <v>0.31666666666666665</v>
      </c>
      <c r="C177" s="5" t="s">
        <v>50</v>
      </c>
      <c r="D177" s="5" t="s">
        <v>98</v>
      </c>
      <c r="E177" s="6" t="s">
        <v>91</v>
      </c>
      <c r="F177" s="7" t="s">
        <v>208</v>
      </c>
      <c r="G177" s="6" t="str">
        <f>VLOOKUP(E177,dicionario!$A$1:$C576,2,0)</f>
        <v>Picumnus cirratus</v>
      </c>
      <c r="H177" s="6" t="str">
        <f>VLOOKUP(E177,dicionario!$A$1:$C576,3,0)</f>
        <v>picapauzinho-barrado</v>
      </c>
    </row>
    <row r="178">
      <c r="A178" s="3">
        <v>45547.0</v>
      </c>
      <c r="B178" s="4">
        <v>0.31805555555555554</v>
      </c>
      <c r="C178" s="5" t="s">
        <v>50</v>
      </c>
      <c r="D178" s="5" t="s">
        <v>98</v>
      </c>
      <c r="E178" s="6" t="s">
        <v>31</v>
      </c>
      <c r="F178" s="7" t="s">
        <v>32</v>
      </c>
      <c r="G178" s="6" t="str">
        <f>VLOOKUP(E178,dicionario!$A$1:$C577,2,0)</f>
        <v>Furnarius rufus</v>
      </c>
      <c r="H178" s="6" t="str">
        <f>VLOOKUP(E178,dicionario!$A$1:$C577,3,0)</f>
        <v>joão-de-barro</v>
      </c>
    </row>
    <row r="179">
      <c r="A179" s="3">
        <v>45547.0</v>
      </c>
      <c r="B179" s="4">
        <v>0.31875</v>
      </c>
      <c r="C179" s="5" t="s">
        <v>50</v>
      </c>
      <c r="D179" s="5" t="s">
        <v>98</v>
      </c>
      <c r="E179" s="6" t="s">
        <v>88</v>
      </c>
      <c r="F179" s="7" t="s">
        <v>89</v>
      </c>
      <c r="G179" s="6" t="str">
        <f>VLOOKUP(E179,dicionario!$A$1:$C578,2,0)</f>
        <v>Tyrannus melancolichus</v>
      </c>
      <c r="H179" s="6" t="str">
        <f>VLOOKUP(E179,dicionario!$A$1:$C578,3,0)</f>
        <v>suiriri</v>
      </c>
    </row>
    <row r="180">
      <c r="A180" s="3">
        <v>45547.0</v>
      </c>
      <c r="B180" s="4">
        <v>0.31875</v>
      </c>
      <c r="C180" s="5" t="s">
        <v>50</v>
      </c>
      <c r="D180" s="5" t="s">
        <v>98</v>
      </c>
      <c r="E180" s="6" t="s">
        <v>200</v>
      </c>
      <c r="F180" s="7" t="s">
        <v>201</v>
      </c>
      <c r="G180" s="6" t="str">
        <f>VLOOKUP(E180,dicionario!$A$1:$C579,2,0)</f>
        <v>Columbina picui </v>
      </c>
      <c r="H180" s="6" t="str">
        <f>VLOOKUP(E180,dicionario!$A$1:$C579,3,0)</f>
        <v>rolinha-picuí</v>
      </c>
    </row>
    <row r="181">
      <c r="A181" s="3">
        <v>45547.0</v>
      </c>
      <c r="B181" s="4">
        <v>0.31875</v>
      </c>
      <c r="C181" s="5" t="s">
        <v>50</v>
      </c>
      <c r="D181" s="5" t="s">
        <v>98</v>
      </c>
      <c r="E181" s="6" t="s">
        <v>209</v>
      </c>
      <c r="F181" s="7" t="s">
        <v>210</v>
      </c>
      <c r="G181" s="6" t="str">
        <f>VLOOKUP(E181,dicionario!$A$1:$C580,2,0)</f>
        <v>Furnarius figulus</v>
      </c>
      <c r="H181" s="6" t="str">
        <f>VLOOKUP(E181,dicionario!$A$1:$C580,3,0)</f>
        <v>casaca-de-couro-da-lama</v>
      </c>
    </row>
    <row r="182">
      <c r="A182" s="3">
        <v>45547.0</v>
      </c>
      <c r="B182" s="4">
        <v>0.32083333333333336</v>
      </c>
      <c r="C182" s="5" t="s">
        <v>50</v>
      </c>
      <c r="D182" s="5" t="s">
        <v>98</v>
      </c>
      <c r="E182" s="12" t="s">
        <v>16</v>
      </c>
      <c r="F182" s="7" t="s">
        <v>17</v>
      </c>
      <c r="G182" s="6" t="str">
        <f>VLOOKUP(E182,dicionario!$A$1:$C581,2,0)</f>
        <v>Eupetomena macroura</v>
      </c>
      <c r="H182" s="6" t="str">
        <f>VLOOKUP(E182,dicionario!$A$1:$C581,3,0)</f>
        <v>beija-flor-tesoura</v>
      </c>
    </row>
    <row r="183">
      <c r="A183" s="3">
        <v>45547.0</v>
      </c>
      <c r="B183" s="4">
        <v>0.32083333333333336</v>
      </c>
      <c r="C183" s="5" t="s">
        <v>50</v>
      </c>
      <c r="D183" s="5" t="s">
        <v>98</v>
      </c>
      <c r="E183" s="6" t="s">
        <v>206</v>
      </c>
      <c r="F183" s="7" t="s">
        <v>207</v>
      </c>
      <c r="G183" s="6" t="str">
        <f>VLOOKUP(E183,dicionario!$A$1:$C582,2,0)</f>
        <v>Falco sparverius</v>
      </c>
      <c r="H183" s="6" t="str">
        <f>VLOOKUP(E183,dicionario!$A$1:$C582,3,0)</f>
        <v>quiriquiri</v>
      </c>
    </row>
    <row r="184">
      <c r="A184" s="3">
        <v>45547.0</v>
      </c>
      <c r="B184" s="4">
        <v>0.32083333333333336</v>
      </c>
      <c r="C184" s="5" t="s">
        <v>50</v>
      </c>
      <c r="D184" s="5" t="s">
        <v>98</v>
      </c>
      <c r="E184" s="6" t="s">
        <v>211</v>
      </c>
      <c r="F184" s="7" t="s">
        <v>212</v>
      </c>
      <c r="G184" s="6" t="str">
        <f>VLOOKUP(E184,dicionario!$A$1:$C583,2,0)</f>
        <v>#N/A</v>
      </c>
      <c r="H184" s="6" t="str">
        <f>VLOOKUP(E184,dicionario!$A$1:$C583,3,0)</f>
        <v>#N/A</v>
      </c>
    </row>
    <row r="185">
      <c r="A185" s="3">
        <v>45547.0</v>
      </c>
      <c r="B185" s="4">
        <v>0.3215277777777778</v>
      </c>
      <c r="C185" s="5" t="s">
        <v>50</v>
      </c>
      <c r="D185" s="5" t="s">
        <v>98</v>
      </c>
      <c r="E185" s="6" t="s">
        <v>105</v>
      </c>
      <c r="F185" s="7" t="s">
        <v>106</v>
      </c>
      <c r="G185" s="6" t="str">
        <f>VLOOKUP(E185,dicionario!$A$1:$C584,2,0)</f>
        <v>Progne tapera</v>
      </c>
      <c r="H185" s="6" t="str">
        <f>VLOOKUP(E185,dicionario!$A$1:$C584,3,0)</f>
        <v>andorinha-do-campo</v>
      </c>
    </row>
    <row r="186">
      <c r="A186" s="3">
        <v>45547.0</v>
      </c>
      <c r="B186" s="4">
        <v>0.3215277777777778</v>
      </c>
      <c r="C186" s="5" t="s">
        <v>50</v>
      </c>
      <c r="D186" s="5" t="s">
        <v>98</v>
      </c>
      <c r="E186" s="6" t="s">
        <v>213</v>
      </c>
      <c r="F186" s="7" t="s">
        <v>214</v>
      </c>
      <c r="G186" s="6" t="str">
        <f>VLOOKUP(E186,dicionario!$A$1:$C585,2,0)</f>
        <v>Myiozetetes similis</v>
      </c>
      <c r="H186" s="6" t="str">
        <f>VLOOKUP(E186,dicionario!$A$1:$C585,3,0)</f>
        <v>bentevizinho-de-penacho-vermelho</v>
      </c>
    </row>
    <row r="187">
      <c r="A187" s="3">
        <v>45547.0</v>
      </c>
      <c r="B187" s="4">
        <v>0.3215277777777778</v>
      </c>
      <c r="C187" s="5" t="s">
        <v>50</v>
      </c>
      <c r="D187" s="5" t="s">
        <v>98</v>
      </c>
      <c r="E187" s="6" t="s">
        <v>122</v>
      </c>
      <c r="F187" s="7" t="s">
        <v>123</v>
      </c>
      <c r="G187" s="6" t="str">
        <f>VLOOKUP(E187,dicionario!$A$1:$C586,2,0)</f>
        <v>Todirostrum cinereum</v>
      </c>
      <c r="H187" s="6" t="str">
        <f>VLOOKUP(E187,dicionario!$A$1:$C586,3,0)</f>
        <v>ferreirinho-relógio</v>
      </c>
    </row>
    <row r="188">
      <c r="A188" s="3">
        <v>45547.0</v>
      </c>
      <c r="B188" s="4">
        <v>0.32222222222222224</v>
      </c>
      <c r="C188" s="5" t="s">
        <v>50</v>
      </c>
      <c r="D188" s="5" t="s">
        <v>98</v>
      </c>
      <c r="E188" s="6" t="s">
        <v>22</v>
      </c>
      <c r="F188" s="7" t="s">
        <v>97</v>
      </c>
      <c r="G188" s="6" t="str">
        <f>VLOOKUP(E188,dicionario!$A$1:$C587,2,0)</f>
        <v>Zenaida auriculata</v>
      </c>
      <c r="H188" s="6" t="str">
        <f>VLOOKUP(E188,dicionario!$A$1:$C587,3,0)</f>
        <v>pomba-de-bando; avoante</v>
      </c>
    </row>
    <row r="189">
      <c r="A189" s="3">
        <v>45547.0</v>
      </c>
      <c r="B189" s="4">
        <v>0.3229166666666667</v>
      </c>
      <c r="C189" s="5" t="s">
        <v>50</v>
      </c>
      <c r="D189" s="5" t="s">
        <v>98</v>
      </c>
      <c r="E189" s="6" t="s">
        <v>175</v>
      </c>
      <c r="F189" s="7" t="s">
        <v>176</v>
      </c>
      <c r="G189" s="6" t="str">
        <f>VLOOKUP(E189,dicionario!$A$1:$C588,2,0)</f>
        <v>Turdus leucomelas</v>
      </c>
      <c r="H189" s="6" t="str">
        <f>VLOOKUP(E189,dicionario!$A$1:$C588,3,0)</f>
        <v>sabiá-barranco</v>
      </c>
    </row>
    <row r="190">
      <c r="A190" s="3">
        <v>45547.0</v>
      </c>
      <c r="B190" s="4">
        <v>0.3236111111111111</v>
      </c>
      <c r="C190" s="5" t="s">
        <v>40</v>
      </c>
      <c r="D190" s="5" t="s">
        <v>98</v>
      </c>
      <c r="E190" s="6" t="s">
        <v>132</v>
      </c>
      <c r="F190" s="7" t="s">
        <v>133</v>
      </c>
      <c r="G190" s="6" t="str">
        <f>VLOOKUP(E190,dicionario!$A$1:$C589,2,0)</f>
        <v>Euphonia chlorotica</v>
      </c>
      <c r="H190" s="6" t="str">
        <f>VLOOKUP(E190,dicionario!$A$1:$C589,3,0)</f>
        <v>fim-fim</v>
      </c>
    </row>
    <row r="191">
      <c r="A191" s="3">
        <v>45547.0</v>
      </c>
      <c r="B191" s="4">
        <v>0.3263888888888889</v>
      </c>
      <c r="C191" s="5" t="s">
        <v>40</v>
      </c>
      <c r="D191" s="5" t="s">
        <v>98</v>
      </c>
      <c r="E191" s="6" t="s">
        <v>20</v>
      </c>
      <c r="F191" s="7" t="s">
        <v>21</v>
      </c>
      <c r="G191" s="6" t="str">
        <f>VLOOKUP(E191,dicionario!$A$1:$C590,2,0)</f>
        <v>Sicalis flaveola</v>
      </c>
      <c r="H191" s="6" t="str">
        <f>VLOOKUP(E191,dicionario!$A$1:$C590,3,0)</f>
        <v>canário-da-terra</v>
      </c>
    </row>
    <row r="192">
      <c r="A192" s="3">
        <v>45547.0</v>
      </c>
      <c r="B192" s="4">
        <v>0.3263888888888889</v>
      </c>
      <c r="C192" s="5" t="s">
        <v>40</v>
      </c>
      <c r="D192" s="5" t="s">
        <v>98</v>
      </c>
      <c r="E192" s="6" t="s">
        <v>113</v>
      </c>
      <c r="F192" s="7" t="s">
        <v>114</v>
      </c>
      <c r="G192" s="6" t="str">
        <f>VLOOKUP(E192,dicionario!$A$1:$C591,2,0)</f>
        <v>Columbina talpacoti</v>
      </c>
      <c r="H192" s="6" t="str">
        <f>VLOOKUP(E192,dicionario!$A$1:$C591,3,0)</f>
        <v>rolinha-roxa</v>
      </c>
    </row>
    <row r="193">
      <c r="A193" s="3">
        <v>45547.0</v>
      </c>
      <c r="B193" s="4">
        <v>0.32708333333333334</v>
      </c>
      <c r="C193" s="5" t="s">
        <v>40</v>
      </c>
      <c r="D193" s="5" t="s">
        <v>98</v>
      </c>
      <c r="E193" s="6" t="s">
        <v>204</v>
      </c>
      <c r="F193" s="7" t="s">
        <v>205</v>
      </c>
      <c r="G193" s="6" t="str">
        <f>VLOOKUP(E193,dicionario!$A$1:$C592,2,0)</f>
        <v>Vespidae</v>
      </c>
      <c r="H193" s="6" t="str">
        <f>VLOOKUP(E193,dicionario!$A$1:$C592,3,0)</f>
        <v>vespa</v>
      </c>
    </row>
    <row r="194">
      <c r="A194" s="3">
        <v>45547.0</v>
      </c>
      <c r="B194" s="4">
        <v>0.32708333333333334</v>
      </c>
      <c r="C194" s="5" t="s">
        <v>40</v>
      </c>
      <c r="D194" s="5" t="s">
        <v>98</v>
      </c>
      <c r="E194" s="6" t="s">
        <v>72</v>
      </c>
      <c r="F194" s="7" t="s">
        <v>73</v>
      </c>
      <c r="G194" s="6" t="str">
        <f>VLOOKUP(E194,dicionario!$A$1:$C593,2,0)</f>
        <v>Thraupis palmarum</v>
      </c>
      <c r="H194" s="6" t="str">
        <f>VLOOKUP(E194,dicionario!$A$1:$C593,3,0)</f>
        <v>sanhaço-do-coqueiro</v>
      </c>
    </row>
    <row r="195">
      <c r="A195" s="3">
        <v>45547.0</v>
      </c>
      <c r="B195" s="4">
        <v>0.32708333333333334</v>
      </c>
      <c r="C195" s="5" t="s">
        <v>40</v>
      </c>
      <c r="D195" s="5" t="s">
        <v>98</v>
      </c>
      <c r="E195" s="6" t="s">
        <v>215</v>
      </c>
      <c r="F195" s="7" t="s">
        <v>216</v>
      </c>
      <c r="G195" s="6" t="str">
        <f>VLOOKUP(E195,dicionario!$A$1:$C594,2,0)</f>
        <v>Pygochelidon cyanoleuca</v>
      </c>
      <c r="H195" s="6" t="str">
        <f>VLOOKUP(E195,dicionario!$A$1:$C594,3,0)</f>
        <v>andorinha-pequena-de-casa</v>
      </c>
    </row>
    <row r="196">
      <c r="A196" s="3">
        <v>45547.0</v>
      </c>
      <c r="B196" s="4">
        <v>0.3277777777777778</v>
      </c>
      <c r="C196" s="5" t="s">
        <v>40</v>
      </c>
      <c r="D196" s="5" t="s">
        <v>98</v>
      </c>
      <c r="E196" s="6" t="s">
        <v>22</v>
      </c>
      <c r="F196" s="7" t="s">
        <v>97</v>
      </c>
      <c r="G196" s="6" t="str">
        <f>VLOOKUP(E196,dicionario!$A$1:$C595,2,0)</f>
        <v>Zenaida auriculata</v>
      </c>
      <c r="H196" s="6" t="str">
        <f>VLOOKUP(E196,dicionario!$A$1:$C595,3,0)</f>
        <v>pomba-de-bando; avoante</v>
      </c>
    </row>
    <row r="197">
      <c r="A197" s="3">
        <v>45547.0</v>
      </c>
      <c r="B197" s="4">
        <v>0.3284722222222222</v>
      </c>
      <c r="C197" s="5" t="s">
        <v>40</v>
      </c>
      <c r="D197" s="5" t="s">
        <v>98</v>
      </c>
      <c r="E197" s="6" t="s">
        <v>163</v>
      </c>
      <c r="F197" s="7" t="s">
        <v>164</v>
      </c>
      <c r="G197" s="6" t="str">
        <f>VLOOKUP(E197,dicionario!$A$1:$C596,2,0)</f>
        <v>Coragyps atratus</v>
      </c>
      <c r="H197" s="6" t="str">
        <f>VLOOKUP(E197,dicionario!$A$1:$C596,3,0)</f>
        <v>urubu-de-cabeça-preta</v>
      </c>
    </row>
    <row r="198">
      <c r="A198" s="3">
        <v>45547.0</v>
      </c>
      <c r="B198" s="4">
        <v>0.32916666666666666</v>
      </c>
      <c r="C198" s="5" t="s">
        <v>33</v>
      </c>
      <c r="D198" s="5" t="s">
        <v>98</v>
      </c>
      <c r="E198" s="6" t="s">
        <v>109</v>
      </c>
      <c r="F198" s="7" t="s">
        <v>110</v>
      </c>
      <c r="G198" s="6" t="str">
        <f>VLOOKUP(E198,dicionario!$A$1:$C597,2,0)</f>
        <v>Tillandsia stricta</v>
      </c>
      <c r="H198" s="6" t="str">
        <f>VLOOKUP(E198,dicionario!$A$1:$C597,3,0)</f>
        <v>cravo-do-mato</v>
      </c>
    </row>
    <row r="199">
      <c r="A199" s="3">
        <v>45547.0</v>
      </c>
      <c r="B199" s="4">
        <v>0.3333333333333333</v>
      </c>
      <c r="C199" s="5" t="s">
        <v>33</v>
      </c>
      <c r="D199" s="5" t="s">
        <v>98</v>
      </c>
      <c r="E199" s="8" t="s">
        <v>38</v>
      </c>
      <c r="F199" s="5" t="s">
        <v>39</v>
      </c>
      <c r="G199" s="6" t="str">
        <f>VLOOKUP(E199,dicionario!$A$1:$C598,2,0)</f>
        <v>Troglodytes musculus</v>
      </c>
      <c r="H199" s="6" t="str">
        <f>VLOOKUP(E199,dicionario!$A$1:$C598,3,0)</f>
        <v>curruíra</v>
      </c>
    </row>
    <row r="200">
      <c r="A200" s="3">
        <v>45547.0</v>
      </c>
      <c r="B200" s="4">
        <v>0.33402777777777776</v>
      </c>
      <c r="C200" s="5" t="s">
        <v>33</v>
      </c>
      <c r="D200" s="5" t="s">
        <v>98</v>
      </c>
      <c r="E200" s="6" t="s">
        <v>122</v>
      </c>
      <c r="F200" s="7" t="s">
        <v>123</v>
      </c>
      <c r="G200" s="6" t="str">
        <f>VLOOKUP(E200,dicionario!$A$1:$C599,2,0)</f>
        <v>Todirostrum cinereum</v>
      </c>
      <c r="H200" s="6" t="str">
        <f>VLOOKUP(E200,dicionario!$A$1:$C599,3,0)</f>
        <v>ferreirinho-relógio</v>
      </c>
    </row>
    <row r="201">
      <c r="A201" s="3">
        <v>45547.0</v>
      </c>
      <c r="B201" s="4">
        <v>0.3347222222222222</v>
      </c>
      <c r="C201" s="5" t="s">
        <v>26</v>
      </c>
      <c r="D201" s="5" t="s">
        <v>98</v>
      </c>
      <c r="E201" s="6" t="s">
        <v>217</v>
      </c>
      <c r="F201" s="7" t="s">
        <v>218</v>
      </c>
      <c r="G201" s="6" t="str">
        <f>VLOOKUP(E201,dicionario!$A$1:$C600,2,0)</f>
        <v>Athene cunicularia</v>
      </c>
      <c r="H201" s="6" t="str">
        <f>VLOOKUP(E201,dicionario!$A$1:$C600,3,0)</f>
        <v>coruja-buraqueira</v>
      </c>
    </row>
    <row r="202">
      <c r="A202" s="3">
        <v>45547.0</v>
      </c>
      <c r="B202" s="4">
        <v>0.33611111111111114</v>
      </c>
      <c r="C202" s="5" t="s">
        <v>26</v>
      </c>
      <c r="D202" s="5" t="s">
        <v>98</v>
      </c>
      <c r="E202" s="6" t="s">
        <v>20</v>
      </c>
      <c r="F202" s="7" t="s">
        <v>21</v>
      </c>
      <c r="G202" s="6" t="str">
        <f>VLOOKUP(E202,dicionario!$A$1:$C601,2,0)</f>
        <v>Sicalis flaveola</v>
      </c>
      <c r="H202" s="6" t="str">
        <f>VLOOKUP(E202,dicionario!$A$1:$C601,3,0)</f>
        <v>canário-da-terra</v>
      </c>
    </row>
    <row r="203">
      <c r="A203" s="3">
        <v>45547.0</v>
      </c>
      <c r="B203" s="4">
        <v>0.3375</v>
      </c>
      <c r="C203" s="5" t="s">
        <v>26</v>
      </c>
      <c r="D203" s="5" t="s">
        <v>98</v>
      </c>
      <c r="E203" s="6" t="s">
        <v>34</v>
      </c>
      <c r="F203" s="7" t="s">
        <v>35</v>
      </c>
      <c r="G203" s="6" t="str">
        <f>VLOOKUP(E203,dicionario!$A$1:$C602,2,0)</f>
        <v>Formicidae</v>
      </c>
      <c r="H203" s="6" t="str">
        <f>VLOOKUP(E203,dicionario!$A$1:$C602,3,0)</f>
        <v>formiga</v>
      </c>
    </row>
    <row r="204">
      <c r="A204" s="3">
        <v>45547.0</v>
      </c>
      <c r="B204" s="4">
        <v>0.33819444444444446</v>
      </c>
      <c r="C204" s="5" t="s">
        <v>8</v>
      </c>
      <c r="D204" s="5" t="s">
        <v>98</v>
      </c>
      <c r="E204" s="6" t="s">
        <v>20</v>
      </c>
      <c r="F204" s="7" t="s">
        <v>21</v>
      </c>
      <c r="G204" s="6" t="str">
        <f>VLOOKUP(E204,dicionario!$A$1:$C603,2,0)</f>
        <v>Sicalis flaveola</v>
      </c>
      <c r="H204" s="6" t="str">
        <f>VLOOKUP(E204,dicionario!$A$1:$C603,3,0)</f>
        <v>canário-da-terra</v>
      </c>
    </row>
    <row r="205">
      <c r="A205" s="3">
        <v>45547.0</v>
      </c>
      <c r="B205" s="4">
        <v>0.33819444444444446</v>
      </c>
      <c r="C205" s="5" t="s">
        <v>8</v>
      </c>
      <c r="D205" s="5" t="s">
        <v>98</v>
      </c>
      <c r="E205" s="6" t="s">
        <v>88</v>
      </c>
      <c r="F205" s="7" t="s">
        <v>89</v>
      </c>
      <c r="G205" s="6" t="str">
        <f>VLOOKUP(E205,dicionario!$A$1:$C604,2,0)</f>
        <v>Tyrannus melancolichus</v>
      </c>
      <c r="H205" s="6" t="str">
        <f>VLOOKUP(E205,dicionario!$A$1:$C604,3,0)</f>
        <v>suiriri</v>
      </c>
    </row>
    <row r="206">
      <c r="A206" s="3">
        <v>45547.0</v>
      </c>
      <c r="B206" s="4">
        <v>0.33819444444444446</v>
      </c>
      <c r="C206" s="5" t="s">
        <v>8</v>
      </c>
      <c r="D206" s="5" t="s">
        <v>98</v>
      </c>
      <c r="E206" s="6" t="s">
        <v>18</v>
      </c>
      <c r="F206" s="7" t="s">
        <v>219</v>
      </c>
      <c r="G206" s="6" t="str">
        <f>VLOOKUP(E206,dicionario!$A$1:$C605,2,0)</f>
        <v>Xylocopa frontalis</v>
      </c>
      <c r="H206" s="6" t="str">
        <f>VLOOKUP(E206,dicionario!$A$1:$C605,3,0)</f>
        <v>Mamangava; mangangá; abelha-carpinteira</v>
      </c>
    </row>
    <row r="207">
      <c r="A207" s="3">
        <v>45547.0</v>
      </c>
      <c r="B207" s="4">
        <v>0.33958333333333335</v>
      </c>
      <c r="C207" s="5" t="s">
        <v>8</v>
      </c>
      <c r="D207" s="5" t="s">
        <v>98</v>
      </c>
      <c r="E207" s="6" t="s">
        <v>16</v>
      </c>
      <c r="F207" s="7" t="s">
        <v>17</v>
      </c>
      <c r="G207" s="6" t="str">
        <f>VLOOKUP(E207,dicionario!$A$1:$C606,2,0)</f>
        <v>Eupetomena macroura</v>
      </c>
      <c r="H207" s="6" t="str">
        <f>VLOOKUP(E207,dicionario!$A$1:$C606,3,0)</f>
        <v>beija-flor-tesoura</v>
      </c>
    </row>
    <row r="208">
      <c r="A208" s="3">
        <v>45547.0</v>
      </c>
      <c r="B208" s="4">
        <v>0.33958333333333335</v>
      </c>
      <c r="C208" s="5" t="s">
        <v>8</v>
      </c>
      <c r="D208" s="5" t="s">
        <v>98</v>
      </c>
      <c r="E208" s="6" t="s">
        <v>113</v>
      </c>
      <c r="F208" s="7" t="s">
        <v>114</v>
      </c>
      <c r="G208" s="6" t="str">
        <f>VLOOKUP(E208,dicionario!$A$1:$C607,2,0)</f>
        <v>Columbina talpacoti</v>
      </c>
      <c r="H208" s="6" t="str">
        <f>VLOOKUP(E208,dicionario!$A$1:$C607,3,0)</f>
        <v>rolinha-roxa</v>
      </c>
    </row>
    <row r="209">
      <c r="A209" s="3">
        <v>45547.0</v>
      </c>
      <c r="B209" s="4">
        <v>0.33958333333333335</v>
      </c>
      <c r="C209" s="5" t="s">
        <v>8</v>
      </c>
      <c r="D209" s="5" t="s">
        <v>98</v>
      </c>
      <c r="E209" s="6" t="s">
        <v>200</v>
      </c>
      <c r="F209" s="7" t="s">
        <v>201</v>
      </c>
      <c r="G209" s="6" t="str">
        <f>VLOOKUP(E209,dicionario!$A$1:$C608,2,0)</f>
        <v>Columbina picui </v>
      </c>
      <c r="H209" s="6" t="str">
        <f>VLOOKUP(E209,dicionario!$A$1:$C608,3,0)</f>
        <v>rolinha-picuí</v>
      </c>
    </row>
    <row r="210">
      <c r="A210" s="3">
        <v>45547.0</v>
      </c>
      <c r="B210" s="4">
        <v>0.33958333333333335</v>
      </c>
      <c r="C210" s="5" t="s">
        <v>8</v>
      </c>
      <c r="D210" s="5" t="s">
        <v>98</v>
      </c>
      <c r="E210" s="6" t="s">
        <v>86</v>
      </c>
      <c r="F210" s="7" t="s">
        <v>87</v>
      </c>
      <c r="G210" s="6" t="str">
        <f>VLOOKUP(E210,dicionario!$A$1:$C609,2,0)</f>
        <v>Coereba flaveola</v>
      </c>
      <c r="H210" s="6" t="str">
        <f>VLOOKUP(E210,dicionario!$A$1:$C609,3,0)</f>
        <v>cambacica</v>
      </c>
    </row>
    <row r="211">
      <c r="A211" s="3">
        <v>45547.0</v>
      </c>
      <c r="B211" s="4">
        <v>0.3402777777777778</v>
      </c>
      <c r="C211" s="5" t="s">
        <v>8</v>
      </c>
      <c r="D211" s="5" t="s">
        <v>98</v>
      </c>
      <c r="E211" s="6" t="s">
        <v>16</v>
      </c>
      <c r="F211" s="7" t="s">
        <v>17</v>
      </c>
      <c r="G211" s="6" t="str">
        <f>VLOOKUP(E211,dicionario!$A$1:$C610,2,0)</f>
        <v>Eupetomena macroura</v>
      </c>
      <c r="H211" s="6" t="str">
        <f>VLOOKUP(E211,dicionario!$A$1:$C610,3,0)</f>
        <v>beija-flor-tesoura</v>
      </c>
    </row>
    <row r="212">
      <c r="A212" s="3">
        <v>45547.0</v>
      </c>
      <c r="B212" s="4">
        <v>0.34097222222222223</v>
      </c>
      <c r="C212" s="5" t="s">
        <v>8</v>
      </c>
      <c r="D212" s="5" t="s">
        <v>98</v>
      </c>
      <c r="E212" s="6" t="s">
        <v>132</v>
      </c>
      <c r="F212" s="7" t="s">
        <v>133</v>
      </c>
      <c r="G212" s="6" t="str">
        <f>VLOOKUP(E212,dicionario!$A$1:$C611,2,0)</f>
        <v>Euphonia chlorotica</v>
      </c>
      <c r="H212" s="6" t="str">
        <f>VLOOKUP(E212,dicionario!$A$1:$C611,3,0)</f>
        <v>fim-fim</v>
      </c>
    </row>
    <row r="213">
      <c r="A213" s="3">
        <v>45547.0</v>
      </c>
      <c r="B213" s="4">
        <v>0.3416666666666667</v>
      </c>
      <c r="C213" s="5" t="s">
        <v>8</v>
      </c>
      <c r="D213" s="5" t="s">
        <v>98</v>
      </c>
      <c r="E213" s="6" t="s">
        <v>22</v>
      </c>
      <c r="F213" s="7" t="s">
        <v>97</v>
      </c>
      <c r="G213" s="6" t="str">
        <f>VLOOKUP(E213,dicionario!$A$1:$C612,2,0)</f>
        <v>Zenaida auriculata</v>
      </c>
      <c r="H213" s="6" t="str">
        <f>VLOOKUP(E213,dicionario!$A$1:$C612,3,0)</f>
        <v>pomba-de-bando; avoante</v>
      </c>
    </row>
    <row r="214">
      <c r="A214" s="3">
        <v>45547.0</v>
      </c>
      <c r="B214" s="4">
        <v>0.3416666666666667</v>
      </c>
      <c r="C214" s="5" t="s">
        <v>8</v>
      </c>
      <c r="D214" s="5" t="s">
        <v>98</v>
      </c>
      <c r="E214" s="6" t="s">
        <v>109</v>
      </c>
      <c r="F214" s="7" t="s">
        <v>110</v>
      </c>
      <c r="G214" s="6" t="str">
        <f>VLOOKUP(E214,dicionario!$A$1:$C613,2,0)</f>
        <v>Tillandsia stricta</v>
      </c>
      <c r="H214" s="6" t="str">
        <f>VLOOKUP(E214,dicionario!$A$1:$C613,3,0)</f>
        <v>cravo-do-mato</v>
      </c>
    </row>
    <row r="215">
      <c r="A215" s="3">
        <v>45547.0</v>
      </c>
      <c r="B215" s="4">
        <v>0.3416666666666667</v>
      </c>
      <c r="C215" s="5" t="s">
        <v>8</v>
      </c>
      <c r="D215" s="5" t="s">
        <v>98</v>
      </c>
      <c r="E215" s="12" t="s">
        <v>12</v>
      </c>
      <c r="F215" s="7" t="s">
        <v>13</v>
      </c>
      <c r="G215" s="6" t="str">
        <f>VLOOKUP(E215,dicionario!$A$1:$C614,2,0)</f>
        <v>Eulaema nigrita</v>
      </c>
      <c r="H215" s="6" t="str">
        <f>VLOOKUP(E215,dicionario!$A$1:$C614,3,0)</f>
        <v>abelha-de-orquídea</v>
      </c>
    </row>
    <row r="216">
      <c r="A216" s="3">
        <v>45554.0</v>
      </c>
      <c r="B216" s="4">
        <v>0.25555555555555554</v>
      </c>
      <c r="C216" s="5" t="s">
        <v>8</v>
      </c>
      <c r="D216" s="5" t="s">
        <v>220</v>
      </c>
      <c r="E216" s="12" t="s">
        <v>86</v>
      </c>
      <c r="F216" s="7" t="s">
        <v>87</v>
      </c>
      <c r="G216" s="6" t="str">
        <f>VLOOKUP(E216,dicionario!$A$1:$C615,2,0)</f>
        <v>Coereba flaveola</v>
      </c>
      <c r="H216" s="6" t="str">
        <f>VLOOKUP(E216,dicionario!$A$1:$C615,3,0)</f>
        <v>cambacica</v>
      </c>
    </row>
    <row r="217">
      <c r="A217" s="3">
        <v>45554.0</v>
      </c>
      <c r="B217" s="4">
        <v>0.25555555555555554</v>
      </c>
      <c r="C217" s="5" t="s">
        <v>8</v>
      </c>
      <c r="D217" s="5" t="s">
        <v>220</v>
      </c>
      <c r="E217" s="12" t="s">
        <v>16</v>
      </c>
      <c r="F217" s="7" t="s">
        <v>17</v>
      </c>
      <c r="G217" s="6" t="str">
        <f>VLOOKUP(E217,dicionario!$A$1:$C616,2,0)</f>
        <v>Eupetomena macroura</v>
      </c>
      <c r="H217" s="6" t="str">
        <f>VLOOKUP(E217,dicionario!$A$1:$C616,3,0)</f>
        <v>beija-flor-tesoura</v>
      </c>
    </row>
    <row r="218">
      <c r="A218" s="3">
        <v>45554.0</v>
      </c>
      <c r="B218" s="4">
        <v>0.25625</v>
      </c>
      <c r="C218" s="5" t="s">
        <v>8</v>
      </c>
      <c r="D218" s="5" t="s">
        <v>220</v>
      </c>
      <c r="E218" s="12" t="s">
        <v>191</v>
      </c>
      <c r="F218" s="7" t="s">
        <v>192</v>
      </c>
      <c r="G218" s="6" t="str">
        <f>VLOOKUP(E218,dicionario!$A$1:$C617,2,0)</f>
        <v>Patagioenas picazuro</v>
      </c>
      <c r="H218" s="6" t="str">
        <f>VLOOKUP(E218,dicionario!$A$1:$C617,3,0)</f>
        <v>asa-branca; pomba-asa-branca; pocaçu</v>
      </c>
    </row>
    <row r="219">
      <c r="A219" s="3">
        <v>45554.0</v>
      </c>
      <c r="B219" s="4">
        <v>0.25625</v>
      </c>
      <c r="C219" s="5" t="s">
        <v>8</v>
      </c>
      <c r="D219" s="5" t="s">
        <v>220</v>
      </c>
      <c r="E219" s="12" t="s">
        <v>111</v>
      </c>
      <c r="F219" s="7" t="s">
        <v>112</v>
      </c>
      <c r="G219" s="6" t="str">
        <f>VLOOKUP(E219,dicionario!$A$1:$C618,2,0)</f>
        <v>Trigona spinipes</v>
      </c>
      <c r="H219" s="6" t="str">
        <f>VLOOKUP(E219,dicionario!$A$1:$C618,3,0)</f>
        <v>abelha-cachorro</v>
      </c>
    </row>
    <row r="220">
      <c r="A220" s="3">
        <v>45554.0</v>
      </c>
      <c r="B220" s="4">
        <v>0.25625</v>
      </c>
      <c r="C220" s="5" t="s">
        <v>8</v>
      </c>
      <c r="D220" s="5" t="s">
        <v>220</v>
      </c>
      <c r="E220" s="12" t="s">
        <v>88</v>
      </c>
      <c r="F220" s="7" t="s">
        <v>89</v>
      </c>
      <c r="G220" s="6" t="str">
        <f>VLOOKUP(E220,dicionario!$A$1:$C619,2,0)</f>
        <v>Tyrannus melancolichus</v>
      </c>
      <c r="H220" s="6" t="str">
        <f>VLOOKUP(E220,dicionario!$A$1:$C619,3,0)</f>
        <v>suiriri</v>
      </c>
    </row>
    <row r="221">
      <c r="A221" s="3">
        <v>45554.0</v>
      </c>
      <c r="B221" s="4">
        <v>0.25625</v>
      </c>
      <c r="C221" s="5" t="s">
        <v>8</v>
      </c>
      <c r="D221" s="5" t="s">
        <v>220</v>
      </c>
      <c r="E221" s="12" t="s">
        <v>20</v>
      </c>
      <c r="F221" s="7" t="s">
        <v>21</v>
      </c>
      <c r="G221" s="6" t="str">
        <f>VLOOKUP(E221,dicionario!$A$1:$C620,2,0)</f>
        <v>Sicalis flaveola</v>
      </c>
      <c r="H221" s="6" t="str">
        <f>VLOOKUP(E221,dicionario!$A$1:$C620,3,0)</f>
        <v>canário-da-terra</v>
      </c>
    </row>
    <row r="222">
      <c r="A222" s="3">
        <v>45554.0</v>
      </c>
      <c r="B222" s="4">
        <v>0.25625</v>
      </c>
      <c r="C222" s="5" t="s">
        <v>8</v>
      </c>
      <c r="D222" s="5" t="s">
        <v>220</v>
      </c>
      <c r="E222" s="12" t="s">
        <v>221</v>
      </c>
      <c r="F222" s="7" t="s">
        <v>222</v>
      </c>
      <c r="G222" s="6" t="str">
        <f>VLOOKUP(E222,dicionario!$A$1:$C621,2,0)</f>
        <v>Volatinia jacarina</v>
      </c>
      <c r="H222" s="6" t="str">
        <f>VLOOKUP(E222,dicionario!$A$1:$C621,3,0)</f>
        <v>tiziu</v>
      </c>
    </row>
    <row r="223">
      <c r="A223" s="3">
        <v>45554.0</v>
      </c>
      <c r="B223" s="4">
        <v>0.25625</v>
      </c>
      <c r="C223" s="5" t="s">
        <v>8</v>
      </c>
      <c r="D223" s="5" t="s">
        <v>220</v>
      </c>
      <c r="E223" s="12" t="s">
        <v>14</v>
      </c>
      <c r="F223" s="7" t="s">
        <v>15</v>
      </c>
      <c r="G223" s="6" t="str">
        <f>VLOOKUP(E223,dicionario!$A$1:$C622,2,0)</f>
        <v>Spermacoce verticillata</v>
      </c>
      <c r="H223" s="6" t="str">
        <f>VLOOKUP(E223,dicionario!$A$1:$C622,3,0)</f>
        <v>vassourinha-de-botão</v>
      </c>
    </row>
    <row r="224">
      <c r="A224" s="3">
        <v>45554.0</v>
      </c>
      <c r="B224" s="4">
        <v>0.25833333333333336</v>
      </c>
      <c r="C224" s="5" t="s">
        <v>8</v>
      </c>
      <c r="D224" s="5" t="s">
        <v>220</v>
      </c>
      <c r="E224" s="12" t="s">
        <v>12</v>
      </c>
      <c r="F224" s="7" t="s">
        <v>13</v>
      </c>
      <c r="G224" s="6" t="str">
        <f>VLOOKUP(E224,dicionario!$A$1:$C623,2,0)</f>
        <v>Eulaema nigrita</v>
      </c>
      <c r="H224" s="6" t="str">
        <f>VLOOKUP(E224,dicionario!$A$1:$C623,3,0)</f>
        <v>abelha-de-orquídea</v>
      </c>
    </row>
    <row r="225">
      <c r="A225" s="3">
        <v>45554.0</v>
      </c>
      <c r="B225" s="4">
        <v>0.25833333333333336</v>
      </c>
      <c r="C225" s="5" t="s">
        <v>8</v>
      </c>
      <c r="D225" s="5" t="s">
        <v>220</v>
      </c>
      <c r="E225" s="8" t="s">
        <v>46</v>
      </c>
      <c r="F225" s="5" t="s">
        <v>47</v>
      </c>
      <c r="G225" s="6" t="str">
        <f>VLOOKUP(E225,dicionario!$A$1:$C624,2,0)</f>
        <v>Chionomesa fimbriata</v>
      </c>
      <c r="H225" s="6" t="str">
        <f>VLOOKUP(E225,dicionario!$A$1:$C624,3,0)</f>
        <v>beija-flor-de-garganta-verde</v>
      </c>
    </row>
    <row r="226">
      <c r="A226" s="3">
        <v>45554.0</v>
      </c>
      <c r="B226" s="4">
        <v>0.2590277777777778</v>
      </c>
      <c r="C226" s="5" t="s">
        <v>8</v>
      </c>
      <c r="D226" s="5" t="s">
        <v>220</v>
      </c>
      <c r="E226" s="6" t="s">
        <v>215</v>
      </c>
      <c r="F226" s="7" t="s">
        <v>216</v>
      </c>
      <c r="G226" s="6" t="str">
        <f>VLOOKUP(E226,dicionario!$A$1:$C625,2,0)</f>
        <v>Pygochelidon cyanoleuca</v>
      </c>
      <c r="H226" s="6" t="str">
        <f>VLOOKUP(E226,dicionario!$A$1:$C625,3,0)</f>
        <v>andorinha-pequena-de-casa</v>
      </c>
    </row>
    <row r="227">
      <c r="A227" s="3">
        <v>45554.0</v>
      </c>
      <c r="B227" s="4">
        <v>0.2590277777777778</v>
      </c>
      <c r="C227" s="5" t="s">
        <v>8</v>
      </c>
      <c r="D227" s="5" t="s">
        <v>220</v>
      </c>
      <c r="E227" s="6" t="s">
        <v>113</v>
      </c>
      <c r="F227" s="7" t="s">
        <v>114</v>
      </c>
      <c r="G227" s="6" t="str">
        <f>VLOOKUP(E227,dicionario!$A$1:$C626,2,0)</f>
        <v>Columbina talpacoti</v>
      </c>
      <c r="H227" s="6" t="str">
        <f>VLOOKUP(E227,dicionario!$A$1:$C626,3,0)</f>
        <v>rolinha-roxa</v>
      </c>
    </row>
    <row r="228">
      <c r="A228" s="3">
        <v>45554.0</v>
      </c>
      <c r="B228" s="4">
        <v>0.2604166666666667</v>
      </c>
      <c r="C228" s="5" t="s">
        <v>8</v>
      </c>
      <c r="D228" s="5" t="s">
        <v>220</v>
      </c>
      <c r="E228" s="8" t="s">
        <v>223</v>
      </c>
      <c r="F228" s="7" t="s">
        <v>224</v>
      </c>
      <c r="G228" s="6" t="str">
        <f>VLOOKUP(E228,dicionario!$A$1:$C627,2,0)</f>
        <v>Rhipsalis lindbergiana</v>
      </c>
      <c r="H228" s="6" t="str">
        <f>VLOOKUP(E228,dicionario!$A$1:$C627,3,0)</f>
        <v>cacto-macarrão</v>
      </c>
    </row>
    <row r="229">
      <c r="A229" s="3">
        <v>45554.0</v>
      </c>
      <c r="B229" s="4">
        <v>0.2604166666666667</v>
      </c>
      <c r="C229" s="5" t="s">
        <v>8</v>
      </c>
      <c r="D229" s="5" t="s">
        <v>220</v>
      </c>
      <c r="E229" s="6" t="s">
        <v>109</v>
      </c>
      <c r="F229" s="7" t="s">
        <v>110</v>
      </c>
      <c r="G229" s="6" t="str">
        <f>VLOOKUP(E229,dicionario!$A$1:$C628,2,0)</f>
        <v>Tillandsia stricta</v>
      </c>
      <c r="H229" s="6" t="str">
        <f>VLOOKUP(E229,dicionario!$A$1:$C628,3,0)</f>
        <v>cravo-do-mato</v>
      </c>
    </row>
    <row r="230">
      <c r="A230" s="3">
        <v>45554.0</v>
      </c>
      <c r="B230" s="4">
        <v>0.2611111111111111</v>
      </c>
      <c r="C230" s="5" t="s">
        <v>8</v>
      </c>
      <c r="D230" s="5" t="s">
        <v>220</v>
      </c>
      <c r="E230" s="6" t="s">
        <v>65</v>
      </c>
      <c r="F230" s="7" t="s">
        <v>66</v>
      </c>
      <c r="G230" s="6" t="str">
        <f>VLOOKUP(E230,dicionario!$A$1:$C629,2,0)</f>
        <v>Pitangus sulphutarus</v>
      </c>
      <c r="H230" s="6" t="str">
        <f>VLOOKUP(E230,dicionario!$A$1:$C629,3,0)</f>
        <v>bem-te-vi</v>
      </c>
    </row>
    <row r="231">
      <c r="A231" s="3">
        <v>45554.0</v>
      </c>
      <c r="B231" s="4">
        <v>0.26180555555555557</v>
      </c>
      <c r="C231" s="5" t="s">
        <v>8</v>
      </c>
      <c r="D231" s="5" t="s">
        <v>220</v>
      </c>
      <c r="E231" s="12" t="s">
        <v>105</v>
      </c>
      <c r="F231" s="7" t="s">
        <v>106</v>
      </c>
      <c r="G231" s="6" t="str">
        <f>VLOOKUP(E231,dicionario!$A$1:$C630,2,0)</f>
        <v>Progne tapera</v>
      </c>
      <c r="H231" s="6" t="str">
        <f>VLOOKUP(E231,dicionario!$A$1:$C630,3,0)</f>
        <v>andorinha-do-campo</v>
      </c>
    </row>
    <row r="232">
      <c r="A232" s="3">
        <v>45554.0</v>
      </c>
      <c r="B232" s="4">
        <v>0.2625</v>
      </c>
      <c r="C232" s="5" t="s">
        <v>8</v>
      </c>
      <c r="D232" s="5" t="s">
        <v>220</v>
      </c>
      <c r="E232" s="6" t="s">
        <v>225</v>
      </c>
      <c r="F232" s="7" t="s">
        <v>226</v>
      </c>
      <c r="G232" s="6" t="str">
        <f>VLOOKUP(E232,dicionario!$A$1:$C631,2,0)</f>
        <v>Passer domesticus</v>
      </c>
      <c r="H232" s="6" t="str">
        <f>VLOOKUP(E232,dicionario!$A$1:$C631,3,0)</f>
        <v>pardal</v>
      </c>
    </row>
    <row r="233">
      <c r="A233" s="3">
        <v>45554.0</v>
      </c>
      <c r="B233" s="4">
        <v>0.26319444444444445</v>
      </c>
      <c r="C233" s="5" t="s">
        <v>8</v>
      </c>
      <c r="D233" s="5" t="s">
        <v>220</v>
      </c>
      <c r="E233" s="6" t="s">
        <v>24</v>
      </c>
      <c r="F233" s="7" t="s">
        <v>25</v>
      </c>
      <c r="G233" s="6" t="str">
        <f>VLOOKUP(E233,dicionario!$A$1:$C632,2,0)</f>
        <v>Lepidoptera</v>
      </c>
      <c r="H233" s="6" t="str">
        <f>VLOOKUP(E233,dicionario!$A$1:$C632,3,0)</f>
        <v>boboleta/mariposa</v>
      </c>
    </row>
    <row r="234">
      <c r="A234" s="3">
        <v>45554.0</v>
      </c>
      <c r="B234" s="4">
        <v>0.26458333333333334</v>
      </c>
      <c r="C234" s="5" t="s">
        <v>8</v>
      </c>
      <c r="D234" s="5" t="s">
        <v>220</v>
      </c>
      <c r="E234" s="6" t="s">
        <v>227</v>
      </c>
      <c r="F234" s="7" t="s">
        <v>228</v>
      </c>
      <c r="G234" s="6" t="str">
        <f>VLOOKUP(E234,dicionario!$A$1:$C633,2,0)</f>
        <v>Indigofera hirsuta</v>
      </c>
      <c r="H234" s="6" t="str">
        <f>VLOOKUP(E234,dicionario!$A$1:$C633,3,0)</f>
        <v>anileira</v>
      </c>
    </row>
    <row r="235">
      <c r="A235" s="3">
        <v>45554.0</v>
      </c>
      <c r="B235" s="4">
        <v>0.2652777777777778</v>
      </c>
      <c r="C235" s="5" t="s">
        <v>8</v>
      </c>
      <c r="D235" s="5" t="s">
        <v>220</v>
      </c>
      <c r="E235" s="6" t="s">
        <v>229</v>
      </c>
      <c r="F235" s="7" t="s">
        <v>230</v>
      </c>
      <c r="G235" s="6" t="str">
        <f>VLOOKUP(E235,dicionario!$A$1:$C634,2,0)</f>
        <v>Apis mellifera</v>
      </c>
      <c r="H235" s="6" t="str">
        <f>VLOOKUP(E235,dicionario!$A$1:$C634,3,0)</f>
        <v>abelha-do-mel</v>
      </c>
    </row>
    <row r="236">
      <c r="A236" s="3">
        <v>45554.0</v>
      </c>
      <c r="B236" s="4">
        <v>0.2659722222222222</v>
      </c>
      <c r="C236" s="5" t="s">
        <v>8</v>
      </c>
      <c r="D236" s="5" t="s">
        <v>220</v>
      </c>
      <c r="E236" s="8" t="s">
        <v>38</v>
      </c>
      <c r="F236" s="5" t="s">
        <v>39</v>
      </c>
      <c r="G236" s="6" t="str">
        <f>VLOOKUP(E236,dicionario!$A$1:$C635,2,0)</f>
        <v>Troglodytes musculus</v>
      </c>
      <c r="H236" s="6" t="str">
        <f>VLOOKUP(E236,dicionario!$A$1:$C635,3,0)</f>
        <v>curruíra</v>
      </c>
    </row>
    <row r="237">
      <c r="A237" s="3">
        <v>45554.0</v>
      </c>
      <c r="B237" s="4">
        <v>0.26666666666666666</v>
      </c>
      <c r="C237" s="5" t="s">
        <v>26</v>
      </c>
      <c r="D237" s="5" t="s">
        <v>220</v>
      </c>
      <c r="E237" s="6" t="s">
        <v>217</v>
      </c>
      <c r="F237" s="7" t="s">
        <v>218</v>
      </c>
      <c r="G237" s="6" t="str">
        <f>VLOOKUP(E237,dicionario!$A$1:$C636,2,0)</f>
        <v>Athene cunicularia</v>
      </c>
      <c r="H237" s="6" t="str">
        <f>VLOOKUP(E237,dicionario!$A$1:$C636,3,0)</f>
        <v>coruja-buraqueira</v>
      </c>
    </row>
    <row r="238">
      <c r="A238" s="3">
        <v>45554.0</v>
      </c>
      <c r="B238" s="4">
        <v>0.26944444444444443</v>
      </c>
      <c r="C238" s="5" t="s">
        <v>26</v>
      </c>
      <c r="D238" s="5" t="s">
        <v>220</v>
      </c>
      <c r="E238" s="12" t="s">
        <v>88</v>
      </c>
      <c r="F238" s="7" t="s">
        <v>89</v>
      </c>
      <c r="G238" s="6" t="str">
        <f>VLOOKUP(E238,dicionario!$A$1:$C637,2,0)</f>
        <v>Tyrannus melancolichus</v>
      </c>
      <c r="H238" s="6" t="str">
        <f>VLOOKUP(E238,dicionario!$A$1:$C637,3,0)</f>
        <v>suiriri</v>
      </c>
    </row>
    <row r="239">
      <c r="A239" s="3">
        <v>45554.0</v>
      </c>
      <c r="B239" s="4">
        <v>0.2701388888888889</v>
      </c>
      <c r="C239" s="5" t="s">
        <v>26</v>
      </c>
      <c r="D239" s="5" t="s">
        <v>220</v>
      </c>
      <c r="E239" s="6" t="s">
        <v>162</v>
      </c>
      <c r="F239" s="7" t="s">
        <v>42</v>
      </c>
      <c r="G239" s="6" t="str">
        <f>VLOOKUP(E239,dicionario!$A$1:$C638,2,0)</f>
        <v>Fluvicola nengeta</v>
      </c>
      <c r="H239" s="6" t="str">
        <f>VLOOKUP(E239,dicionario!$A$1:$C638,3,0)</f>
        <v>lavadeira-mascarada</v>
      </c>
    </row>
    <row r="240">
      <c r="A240" s="3">
        <v>45554.0</v>
      </c>
      <c r="B240" s="4">
        <v>0.2708333333333333</v>
      </c>
      <c r="C240" s="5" t="s">
        <v>26</v>
      </c>
      <c r="D240" s="5" t="s">
        <v>220</v>
      </c>
      <c r="E240" s="6" t="s">
        <v>72</v>
      </c>
      <c r="F240" s="7" t="s">
        <v>73</v>
      </c>
      <c r="G240" s="6" t="str">
        <f>VLOOKUP(E240,dicionario!$A$1:$C639,2,0)</f>
        <v>Thraupis palmarum</v>
      </c>
      <c r="H240" s="6" t="str">
        <f>VLOOKUP(E240,dicionario!$A$1:$C639,3,0)</f>
        <v>sanhaço-do-coqueiro</v>
      </c>
    </row>
    <row r="241">
      <c r="A241" s="3">
        <v>45554.0</v>
      </c>
      <c r="B241" s="4">
        <v>0.2708333333333333</v>
      </c>
      <c r="C241" s="5" t="s">
        <v>26</v>
      </c>
      <c r="D241" s="5" t="s">
        <v>220</v>
      </c>
      <c r="E241" s="12" t="s">
        <v>191</v>
      </c>
      <c r="F241" s="7" t="s">
        <v>192</v>
      </c>
      <c r="G241" s="6" t="str">
        <f>VLOOKUP(E241,dicionario!$A$1:$C640,2,0)</f>
        <v>Patagioenas picazuro</v>
      </c>
      <c r="H241" s="6" t="str">
        <f>VLOOKUP(E241,dicionario!$A$1:$C640,3,0)</f>
        <v>asa-branca; pomba-asa-branca; pocaçu</v>
      </c>
    </row>
    <row r="242">
      <c r="A242" s="3">
        <v>45554.0</v>
      </c>
      <c r="B242" s="4">
        <v>0.27291666666666664</v>
      </c>
      <c r="C242" s="5" t="s">
        <v>26</v>
      </c>
      <c r="D242" s="5" t="s">
        <v>220</v>
      </c>
      <c r="E242" s="12" t="s">
        <v>20</v>
      </c>
      <c r="F242" s="7" t="s">
        <v>21</v>
      </c>
      <c r="G242" s="6" t="str">
        <f>VLOOKUP(E242,dicionario!$A$1:$C641,2,0)</f>
        <v>Sicalis flaveola</v>
      </c>
      <c r="H242" s="6" t="str">
        <f>VLOOKUP(E242,dicionario!$A$1:$C641,3,0)</f>
        <v>canário-da-terra</v>
      </c>
    </row>
    <row r="243">
      <c r="A243" s="3">
        <v>45554.0</v>
      </c>
      <c r="B243" s="4">
        <v>0.27291666666666664</v>
      </c>
      <c r="C243" s="5" t="s">
        <v>26</v>
      </c>
      <c r="D243" s="5" t="s">
        <v>220</v>
      </c>
      <c r="E243" s="6" t="s">
        <v>144</v>
      </c>
      <c r="F243" s="7" t="s">
        <v>145</v>
      </c>
      <c r="G243" s="6" t="str">
        <f>VLOOKUP(E243,dicionario!$A$1:$C642,2,0)</f>
        <v>Gomphrena globosa</v>
      </c>
      <c r="H243" s="6" t="str">
        <f>VLOOKUP(E243,dicionario!$A$1:$C642,3,0)</f>
        <v>perpétua-rosa</v>
      </c>
    </row>
    <row r="244">
      <c r="A244" s="3">
        <v>45554.0</v>
      </c>
      <c r="B244" s="4">
        <v>0.27361111111111114</v>
      </c>
      <c r="C244" s="5" t="s">
        <v>26</v>
      </c>
      <c r="D244" s="5" t="s">
        <v>220</v>
      </c>
      <c r="E244" s="6" t="s">
        <v>135</v>
      </c>
      <c r="F244" s="7" t="s">
        <v>136</v>
      </c>
      <c r="G244" s="6" t="str">
        <f>VLOOKUP(E244,dicionario!$A$1:$C643,2,0)</f>
        <v>Tridax procumbens</v>
      </c>
      <c r="H244" s="6" t="str">
        <f>VLOOKUP(E244,dicionario!$A$1:$C643,3,0)</f>
        <v>erva-de-touro</v>
      </c>
    </row>
    <row r="245">
      <c r="A245" s="3">
        <v>45554.0</v>
      </c>
      <c r="B245" s="4">
        <v>0.27361111111111114</v>
      </c>
      <c r="C245" s="5" t="s">
        <v>26</v>
      </c>
      <c r="D245" s="5" t="s">
        <v>220</v>
      </c>
      <c r="E245" s="6" t="s">
        <v>10</v>
      </c>
      <c r="F245" s="5" t="s">
        <v>11</v>
      </c>
      <c r="G245" s="6" t="str">
        <f>VLOOKUP(E245,dicionario!$A$1:$C644,2,0)</f>
        <v>Guira guira</v>
      </c>
      <c r="H245" s="6" t="str">
        <f>VLOOKUP(E245,dicionario!$A$1:$C644,3,0)</f>
        <v>anu-branco</v>
      </c>
    </row>
    <row r="246">
      <c r="A246" s="3">
        <v>45554.0</v>
      </c>
      <c r="B246" s="4">
        <v>0.275</v>
      </c>
      <c r="C246" s="5" t="s">
        <v>26</v>
      </c>
      <c r="D246" s="5" t="s">
        <v>220</v>
      </c>
      <c r="E246" s="6" t="s">
        <v>65</v>
      </c>
      <c r="F246" s="7" t="s">
        <v>66</v>
      </c>
      <c r="G246" s="6" t="str">
        <f>VLOOKUP(E246,dicionario!$A$1:$C645,2,0)</f>
        <v>Pitangus sulphutarus</v>
      </c>
      <c r="H246" s="6" t="str">
        <f>VLOOKUP(E246,dicionario!$A$1:$C645,3,0)</f>
        <v>bem-te-vi</v>
      </c>
    </row>
    <row r="247">
      <c r="A247" s="3">
        <v>45554.0</v>
      </c>
      <c r="B247" s="4">
        <v>0.275</v>
      </c>
      <c r="C247" s="5" t="s">
        <v>26</v>
      </c>
      <c r="D247" s="5" t="s">
        <v>220</v>
      </c>
      <c r="E247" s="6" t="s">
        <v>51</v>
      </c>
      <c r="F247" s="7" t="s">
        <v>77</v>
      </c>
      <c r="G247" s="6" t="str">
        <f>VLOOKUP(E247,dicionario!$A$1:$C646,2,0)</f>
        <v>Solenopsis</v>
      </c>
      <c r="H247" s="6" t="str">
        <f>VLOOKUP(E247,dicionario!$A$1:$C646,3,0)</f>
        <v>formiga-quente; formiga-lava-pés; formiga-de-fogo</v>
      </c>
    </row>
    <row r="248">
      <c r="A248" s="3">
        <v>45554.0</v>
      </c>
      <c r="B248" s="4">
        <v>0.27569444444444446</v>
      </c>
      <c r="C248" s="5" t="s">
        <v>26</v>
      </c>
      <c r="D248" s="5" t="s">
        <v>220</v>
      </c>
      <c r="E248" s="6" t="s">
        <v>31</v>
      </c>
      <c r="F248" s="7" t="s">
        <v>32</v>
      </c>
      <c r="G248" s="6" t="str">
        <f>VLOOKUP(E248,dicionario!$A$1:$C647,2,0)</f>
        <v>Furnarius rufus</v>
      </c>
      <c r="H248" s="6" t="str">
        <f>VLOOKUP(E248,dicionario!$A$1:$C647,3,0)</f>
        <v>joão-de-barro</v>
      </c>
    </row>
    <row r="249">
      <c r="A249" s="3">
        <v>45554.0</v>
      </c>
      <c r="B249" s="4">
        <v>0.27569444444444446</v>
      </c>
      <c r="C249" s="5" t="s">
        <v>26</v>
      </c>
      <c r="D249" s="5" t="s">
        <v>220</v>
      </c>
      <c r="E249" s="6" t="s">
        <v>132</v>
      </c>
      <c r="F249" s="7" t="s">
        <v>133</v>
      </c>
      <c r="G249" s="6" t="str">
        <f>VLOOKUP(E249,dicionario!$A$1:$C648,2,0)</f>
        <v>Euphonia chlorotica</v>
      </c>
      <c r="H249" s="6" t="str">
        <f>VLOOKUP(E249,dicionario!$A$1:$C648,3,0)</f>
        <v>fim-fim</v>
      </c>
    </row>
    <row r="250">
      <c r="A250" s="13">
        <v>45554.0</v>
      </c>
      <c r="B250" s="4">
        <v>0.27569444444444446</v>
      </c>
      <c r="C250" s="5" t="s">
        <v>26</v>
      </c>
      <c r="D250" s="5" t="s">
        <v>220</v>
      </c>
      <c r="E250" s="6" t="s">
        <v>227</v>
      </c>
      <c r="F250" s="7" t="s">
        <v>228</v>
      </c>
      <c r="G250" s="6" t="str">
        <f>VLOOKUP(E250,dicionario!$A$1:$C649,2,0)</f>
        <v>Indigofera hirsuta</v>
      </c>
      <c r="H250" s="6" t="str">
        <f>VLOOKUP(E250,dicionario!$A$1:$C649,3,0)</f>
        <v>anileira</v>
      </c>
    </row>
    <row r="251">
      <c r="A251" s="14">
        <v>45554.0</v>
      </c>
      <c r="B251" s="4">
        <v>0.2763888888888889</v>
      </c>
      <c r="C251" s="5" t="s">
        <v>26</v>
      </c>
      <c r="D251" s="5" t="s">
        <v>220</v>
      </c>
      <c r="E251" s="6" t="s">
        <v>231</v>
      </c>
      <c r="F251" s="7" t="s">
        <v>232</v>
      </c>
      <c r="G251" s="6" t="str">
        <f>VLOOKUP(E251,dicionario!$A$1:$C650,2,0)</f>
        <v>Magnoliophyta</v>
      </c>
      <c r="H251" s="6" t="str">
        <f>VLOOKUP(E251,dicionario!$A$1:$C650,3,0)</f>
        <v>angiosperma</v>
      </c>
    </row>
    <row r="252">
      <c r="A252" s="13">
        <v>45554.0</v>
      </c>
      <c r="B252" s="4">
        <v>0.2791666666666667</v>
      </c>
      <c r="C252" s="5" t="s">
        <v>33</v>
      </c>
      <c r="D252" s="5" t="s">
        <v>220</v>
      </c>
      <c r="E252" s="6" t="s">
        <v>109</v>
      </c>
      <c r="F252" s="7" t="s">
        <v>110</v>
      </c>
      <c r="G252" s="6" t="str">
        <f>VLOOKUP(E252,dicionario!$A$1:$C651,2,0)</f>
        <v>Tillandsia stricta</v>
      </c>
      <c r="H252" s="6" t="str">
        <f>VLOOKUP(E252,dicionario!$A$1:$C651,3,0)</f>
        <v>cravo-do-mato</v>
      </c>
    </row>
    <row r="253">
      <c r="A253" s="13">
        <v>45554.0</v>
      </c>
      <c r="B253" s="4">
        <v>0.2791666666666667</v>
      </c>
      <c r="C253" s="5" t="s">
        <v>33</v>
      </c>
      <c r="D253" s="5" t="s">
        <v>220</v>
      </c>
      <c r="E253" s="6" t="s">
        <v>233</v>
      </c>
      <c r="F253" s="7" t="s">
        <v>234</v>
      </c>
      <c r="G253" s="6" t="str">
        <f>VLOOKUP(E253,dicionario!$A$1:$C652,2,0)</f>
        <v>Araneae</v>
      </c>
      <c r="H253" s="6" t="str">
        <f>VLOOKUP(E253,dicionario!$A$1:$C652,3,0)</f>
        <v>aranha</v>
      </c>
    </row>
    <row r="254">
      <c r="A254" s="13">
        <v>45554.0</v>
      </c>
      <c r="B254" s="4">
        <v>0.2798611111111111</v>
      </c>
      <c r="C254" s="5" t="s">
        <v>33</v>
      </c>
      <c r="D254" s="5" t="s">
        <v>220</v>
      </c>
      <c r="E254" s="6" t="s">
        <v>122</v>
      </c>
      <c r="F254" s="7" t="s">
        <v>123</v>
      </c>
      <c r="G254" s="6" t="str">
        <f>VLOOKUP(E254,dicionario!$A$1:$C653,2,0)</f>
        <v>Todirostrum cinereum</v>
      </c>
      <c r="H254" s="6" t="str">
        <f>VLOOKUP(E254,dicionario!$A$1:$C653,3,0)</f>
        <v>ferreirinho-relógio</v>
      </c>
    </row>
    <row r="255">
      <c r="A255" s="13">
        <v>45554.0</v>
      </c>
      <c r="B255" s="4">
        <v>0.28125</v>
      </c>
      <c r="C255" s="5" t="s">
        <v>33</v>
      </c>
      <c r="D255" s="5" t="s">
        <v>220</v>
      </c>
      <c r="E255" s="6" t="s">
        <v>34</v>
      </c>
      <c r="F255" s="7" t="s">
        <v>35</v>
      </c>
      <c r="G255" s="6" t="str">
        <f>VLOOKUP(E255,dicionario!$A$1:$C654,2,0)</f>
        <v>Formicidae</v>
      </c>
      <c r="H255" s="6" t="str">
        <f>VLOOKUP(E255,dicionario!$A$1:$C654,3,0)</f>
        <v>formiga</v>
      </c>
    </row>
    <row r="256">
      <c r="A256" s="13">
        <v>45554.0</v>
      </c>
      <c r="B256" s="4">
        <v>0.28125</v>
      </c>
      <c r="C256" s="5" t="s">
        <v>33</v>
      </c>
      <c r="D256" s="5" t="s">
        <v>220</v>
      </c>
      <c r="E256" s="6" t="s">
        <v>51</v>
      </c>
      <c r="F256" s="7" t="s">
        <v>77</v>
      </c>
      <c r="G256" s="6" t="str">
        <f>VLOOKUP(E256,dicionario!$A$1:$C655,2,0)</f>
        <v>Solenopsis</v>
      </c>
      <c r="H256" s="6" t="str">
        <f>VLOOKUP(E256,dicionario!$A$1:$C655,3,0)</f>
        <v>formiga-quente; formiga-lava-pés; formiga-de-fogo</v>
      </c>
    </row>
    <row r="257">
      <c r="A257" s="13">
        <v>45554.0</v>
      </c>
      <c r="B257" s="4">
        <v>0.28194444444444444</v>
      </c>
      <c r="C257" s="5" t="s">
        <v>33</v>
      </c>
      <c r="D257" s="5" t="s">
        <v>220</v>
      </c>
      <c r="E257" s="12" t="s">
        <v>14</v>
      </c>
      <c r="F257" s="7" t="s">
        <v>15</v>
      </c>
      <c r="G257" s="6" t="str">
        <f>VLOOKUP(E257,dicionario!$A$1:$C656,2,0)</f>
        <v>Spermacoce verticillata</v>
      </c>
      <c r="H257" s="6" t="str">
        <f>VLOOKUP(E257,dicionario!$A$1:$C656,3,0)</f>
        <v>vassourinha-de-botão</v>
      </c>
    </row>
    <row r="258">
      <c r="A258" s="13">
        <v>45554.0</v>
      </c>
      <c r="B258" s="4">
        <v>0.28194444444444444</v>
      </c>
      <c r="C258" s="5" t="s">
        <v>33</v>
      </c>
      <c r="D258" s="5" t="s">
        <v>220</v>
      </c>
      <c r="E258" s="6" t="s">
        <v>235</v>
      </c>
      <c r="F258" s="7" t="s">
        <v>236</v>
      </c>
      <c r="G258" s="6" t="str">
        <f>VLOOKUP(E258,dicionario!$A$1:$C657,2,0)</f>
        <v>Leucaena leucocephala</v>
      </c>
      <c r="H258" s="6" t="str">
        <f>VLOOKUP(E258,dicionario!$A$1:$C657,3,0)</f>
        <v>leucena</v>
      </c>
    </row>
    <row r="259">
      <c r="A259" s="13">
        <v>45554.0</v>
      </c>
      <c r="B259" s="4">
        <v>0.2826388888888889</v>
      </c>
      <c r="C259" s="5" t="s">
        <v>33</v>
      </c>
      <c r="D259" s="5" t="s">
        <v>220</v>
      </c>
      <c r="E259" s="6" t="s">
        <v>53</v>
      </c>
      <c r="F259" s="7" t="s">
        <v>54</v>
      </c>
      <c r="G259" s="6" t="str">
        <f>VLOOKUP(E259,dicionario!$A$1:$C658,2,0)</f>
        <v>Turnera subulata</v>
      </c>
      <c r="H259" s="6" t="str">
        <f>VLOOKUP(E259,dicionario!$A$1:$C658,3,0)</f>
        <v>xanana</v>
      </c>
    </row>
    <row r="260">
      <c r="A260" s="13">
        <v>45554.0</v>
      </c>
      <c r="B260" s="4">
        <v>0.2833333333333333</v>
      </c>
      <c r="C260" s="5" t="s">
        <v>33</v>
      </c>
      <c r="D260" s="5" t="s">
        <v>220</v>
      </c>
      <c r="E260" s="6" t="s">
        <v>237</v>
      </c>
      <c r="F260" s="7" t="s">
        <v>238</v>
      </c>
      <c r="G260" s="6" t="str">
        <f>VLOOKUP(E260,dicionario!$A$1:$C659,2,0)</f>
        <v>Acromyrmex</v>
      </c>
      <c r="H260" s="6" t="str">
        <f>VLOOKUP(E260,dicionario!$A$1:$C659,3,0)</f>
        <v>quenquén</v>
      </c>
    </row>
    <row r="261">
      <c r="A261" s="13">
        <v>45554.0</v>
      </c>
      <c r="B261" s="4">
        <v>0.2847222222222222</v>
      </c>
      <c r="C261" s="5" t="s">
        <v>33</v>
      </c>
      <c r="D261" s="5" t="s">
        <v>220</v>
      </c>
      <c r="E261" s="12" t="s">
        <v>88</v>
      </c>
      <c r="F261" s="7" t="s">
        <v>89</v>
      </c>
      <c r="G261" s="6" t="str">
        <f>VLOOKUP(E261,dicionario!$A$1:$C660,2,0)</f>
        <v>Tyrannus melancolichus</v>
      </c>
      <c r="H261" s="6" t="str">
        <f>VLOOKUP(E261,dicionario!$A$1:$C660,3,0)</f>
        <v>suiriri</v>
      </c>
    </row>
    <row r="262">
      <c r="A262" s="13">
        <v>45554.0</v>
      </c>
      <c r="B262" s="4">
        <v>0.2847222222222222</v>
      </c>
      <c r="C262" s="5" t="s">
        <v>33</v>
      </c>
      <c r="D262" s="5" t="s">
        <v>220</v>
      </c>
      <c r="E262" s="8" t="s">
        <v>46</v>
      </c>
      <c r="F262" s="5" t="s">
        <v>47</v>
      </c>
      <c r="G262" s="6" t="str">
        <f>VLOOKUP(E262,dicionario!$A$1:$C661,2,0)</f>
        <v>Chionomesa fimbriata</v>
      </c>
      <c r="H262" s="6" t="str">
        <f>VLOOKUP(E262,dicionario!$A$1:$C661,3,0)</f>
        <v>beija-flor-de-garganta-verde</v>
      </c>
    </row>
    <row r="263">
      <c r="A263" s="13">
        <v>45554.0</v>
      </c>
      <c r="B263" s="4">
        <v>0.2847222222222222</v>
      </c>
      <c r="C263" s="5" t="s">
        <v>33</v>
      </c>
      <c r="D263" s="5" t="s">
        <v>220</v>
      </c>
      <c r="E263" s="6" t="s">
        <v>163</v>
      </c>
      <c r="F263" s="7" t="s">
        <v>164</v>
      </c>
      <c r="G263" s="6" t="str">
        <f>VLOOKUP(E263,dicionario!$A$1:$C662,2,0)</f>
        <v>Coragyps atratus</v>
      </c>
      <c r="H263" s="6" t="str">
        <f>VLOOKUP(E263,dicionario!$A$1:$C662,3,0)</f>
        <v>urubu-de-cabeça-preta</v>
      </c>
    </row>
    <row r="264">
      <c r="A264" s="13">
        <v>45554.0</v>
      </c>
      <c r="B264" s="4">
        <v>0.2847222222222222</v>
      </c>
      <c r="C264" s="5" t="s">
        <v>33</v>
      </c>
      <c r="D264" s="5" t="s">
        <v>220</v>
      </c>
      <c r="E264" s="12" t="s">
        <v>191</v>
      </c>
      <c r="F264" s="7" t="s">
        <v>192</v>
      </c>
      <c r="G264" s="6" t="str">
        <f>VLOOKUP(E264,dicionario!$A$1:$C663,2,0)</f>
        <v>Patagioenas picazuro</v>
      </c>
      <c r="H264" s="6" t="str">
        <f>VLOOKUP(E264,dicionario!$A$1:$C663,3,0)</f>
        <v>asa-branca; pomba-asa-branca; pocaçu</v>
      </c>
    </row>
    <row r="265">
      <c r="A265" s="13">
        <v>45554.0</v>
      </c>
      <c r="B265" s="4">
        <v>0.2861111111111111</v>
      </c>
      <c r="C265" s="5" t="s">
        <v>33</v>
      </c>
      <c r="D265" s="5" t="s">
        <v>220</v>
      </c>
      <c r="E265" s="6" t="s">
        <v>86</v>
      </c>
      <c r="F265" s="7" t="s">
        <v>87</v>
      </c>
      <c r="G265" s="6" t="str">
        <f>VLOOKUP(E265,dicionario!$A$1:$C664,2,0)</f>
        <v>Coereba flaveola</v>
      </c>
      <c r="H265" s="6" t="str">
        <f>VLOOKUP(E265,dicionario!$A$1:$C664,3,0)</f>
        <v>cambacica</v>
      </c>
    </row>
    <row r="266">
      <c r="A266" s="13">
        <v>45554.0</v>
      </c>
      <c r="B266" s="4">
        <v>0.28680555555555554</v>
      </c>
      <c r="C266" s="5" t="s">
        <v>33</v>
      </c>
      <c r="D266" s="5" t="s">
        <v>220</v>
      </c>
      <c r="E266" s="6" t="s">
        <v>65</v>
      </c>
      <c r="F266" s="7" t="s">
        <v>66</v>
      </c>
      <c r="G266" s="6" t="str">
        <f>VLOOKUP(E266,dicionario!$A$1:$C665,2,0)</f>
        <v>Pitangus sulphutarus</v>
      </c>
      <c r="H266" s="6" t="str">
        <f>VLOOKUP(E266,dicionario!$A$1:$C665,3,0)</f>
        <v>bem-te-vi</v>
      </c>
    </row>
    <row r="267">
      <c r="A267" s="13">
        <v>45554.0</v>
      </c>
      <c r="B267" s="4">
        <v>0.2881944444444444</v>
      </c>
      <c r="C267" s="5" t="s">
        <v>33</v>
      </c>
      <c r="D267" s="5" t="s">
        <v>220</v>
      </c>
      <c r="E267" s="6" t="s">
        <v>132</v>
      </c>
      <c r="F267" s="7" t="s">
        <v>133</v>
      </c>
      <c r="G267" s="6" t="str">
        <f>VLOOKUP(E267,dicionario!$A$1:$C666,2,0)</f>
        <v>Euphonia chlorotica</v>
      </c>
      <c r="H267" s="6" t="str">
        <f>VLOOKUP(E267,dicionario!$A$1:$C666,3,0)</f>
        <v>fim-fim</v>
      </c>
    </row>
    <row r="268">
      <c r="A268" s="13">
        <v>45554.0</v>
      </c>
      <c r="B268" s="4">
        <v>0.29097222222222224</v>
      </c>
      <c r="C268" s="5" t="s">
        <v>40</v>
      </c>
      <c r="D268" s="5" t="s">
        <v>220</v>
      </c>
      <c r="E268" s="6" t="s">
        <v>53</v>
      </c>
      <c r="F268" s="7" t="s">
        <v>54</v>
      </c>
      <c r="G268" s="6" t="str">
        <f>VLOOKUP(E268,dicionario!$A$1:$C667,2,0)</f>
        <v>Turnera subulata</v>
      </c>
      <c r="H268" s="6" t="str">
        <f>VLOOKUP(E268,dicionario!$A$1:$C667,3,0)</f>
        <v>xanana</v>
      </c>
    </row>
    <row r="269">
      <c r="A269" s="13">
        <v>45554.0</v>
      </c>
      <c r="B269" s="4">
        <v>0.29097222222222224</v>
      </c>
      <c r="C269" s="5" t="s">
        <v>40</v>
      </c>
      <c r="D269" s="5" t="s">
        <v>220</v>
      </c>
      <c r="E269" s="6" t="s">
        <v>229</v>
      </c>
      <c r="F269" s="7" t="s">
        <v>230</v>
      </c>
      <c r="G269" s="6" t="str">
        <f>VLOOKUP(E269,dicionario!$A$1:$C668,2,0)</f>
        <v>Apis mellifera</v>
      </c>
      <c r="H269" s="6" t="str">
        <f>VLOOKUP(E269,dicionario!$A$1:$C668,3,0)</f>
        <v>abelha-do-mel</v>
      </c>
    </row>
    <row r="270">
      <c r="A270" s="13">
        <v>45554.0</v>
      </c>
      <c r="B270" s="4">
        <v>0.2916666666666667</v>
      </c>
      <c r="C270" s="5" t="s">
        <v>40</v>
      </c>
      <c r="D270" s="5" t="s">
        <v>220</v>
      </c>
      <c r="E270" s="6" t="s">
        <v>65</v>
      </c>
      <c r="F270" s="7" t="s">
        <v>66</v>
      </c>
      <c r="G270" s="6" t="str">
        <f>VLOOKUP(E270,dicionario!$A$1:$C669,2,0)</f>
        <v>Pitangus sulphutarus</v>
      </c>
      <c r="H270" s="6" t="str">
        <f>VLOOKUP(E270,dicionario!$A$1:$C669,3,0)</f>
        <v>bem-te-vi</v>
      </c>
    </row>
    <row r="271">
      <c r="A271" s="13">
        <v>45554.0</v>
      </c>
      <c r="B271" s="4">
        <v>0.2916666666666667</v>
      </c>
      <c r="C271" s="5" t="s">
        <v>40</v>
      </c>
      <c r="D271" s="5" t="s">
        <v>220</v>
      </c>
      <c r="E271" s="6" t="s">
        <v>72</v>
      </c>
      <c r="F271" s="7" t="s">
        <v>73</v>
      </c>
      <c r="G271" s="6" t="str">
        <f>VLOOKUP(E271,dicionario!$A$1:$C670,2,0)</f>
        <v>Thraupis palmarum</v>
      </c>
      <c r="H271" s="6" t="str">
        <f>VLOOKUP(E271,dicionario!$A$1:$C670,3,0)</f>
        <v>sanhaço-do-coqueiro</v>
      </c>
    </row>
    <row r="272">
      <c r="A272" s="13">
        <v>45554.0</v>
      </c>
      <c r="B272" s="4">
        <v>0.2916666666666667</v>
      </c>
      <c r="C272" s="5" t="s">
        <v>40</v>
      </c>
      <c r="D272" s="5" t="s">
        <v>220</v>
      </c>
      <c r="E272" s="12" t="s">
        <v>215</v>
      </c>
      <c r="F272" s="7" t="s">
        <v>216</v>
      </c>
      <c r="G272" s="6" t="str">
        <f>VLOOKUP(E272,dicionario!$A$1:$C671,2,0)</f>
        <v>Pygochelidon cyanoleuca</v>
      </c>
      <c r="H272" s="6" t="str">
        <f>VLOOKUP(E272,dicionario!$A$1:$C671,3,0)</f>
        <v>andorinha-pequena-de-casa</v>
      </c>
    </row>
    <row r="273">
      <c r="A273" s="13">
        <v>45554.0</v>
      </c>
      <c r="B273" s="4">
        <v>0.2916666666666667</v>
      </c>
      <c r="C273" s="5" t="s">
        <v>40</v>
      </c>
      <c r="D273" s="5" t="s">
        <v>220</v>
      </c>
      <c r="E273" s="6" t="s">
        <v>227</v>
      </c>
      <c r="F273" s="7" t="s">
        <v>228</v>
      </c>
      <c r="G273" s="6" t="str">
        <f>VLOOKUP(E273,dicionario!$A$1:$C672,2,0)</f>
        <v>Indigofera hirsuta</v>
      </c>
      <c r="H273" s="6" t="str">
        <f>VLOOKUP(E273,dicionario!$A$1:$C672,3,0)</f>
        <v>anileira</v>
      </c>
    </row>
    <row r="274">
      <c r="A274" s="13">
        <v>45554.0</v>
      </c>
      <c r="B274" s="4">
        <v>0.2916666666666667</v>
      </c>
      <c r="C274" s="5" t="s">
        <v>40</v>
      </c>
      <c r="D274" s="5" t="s">
        <v>220</v>
      </c>
      <c r="E274" s="6" t="s">
        <v>239</v>
      </c>
      <c r="F274" s="7" t="s">
        <v>240</v>
      </c>
      <c r="G274" s="6" t="str">
        <f>VLOOKUP(E274,dicionario!$A$1:$C673,2,0)</f>
        <v>Gomphrena celosioides</v>
      </c>
      <c r="H274" s="6" t="str">
        <f>VLOOKUP(E274,dicionario!$A$1:$C673,3,0)</f>
        <v>perpétua-branca</v>
      </c>
    </row>
    <row r="275">
      <c r="A275" s="13">
        <v>45554.0</v>
      </c>
      <c r="B275" s="4">
        <v>0.2923611111111111</v>
      </c>
      <c r="C275" s="5" t="s">
        <v>40</v>
      </c>
      <c r="D275" s="5" t="s">
        <v>220</v>
      </c>
      <c r="E275" s="6" t="s">
        <v>150</v>
      </c>
      <c r="F275" s="7" t="s">
        <v>151</v>
      </c>
      <c r="G275" s="6" t="str">
        <f>VLOOKUP(E275,dicionario!$A$1:$C674,2,0)</f>
        <v>Amaranthus viridis</v>
      </c>
      <c r="H275" s="6" t="str">
        <f>VLOOKUP(E275,dicionario!$A$1:$C674,3,0)</f>
        <v>caruru-de-mancha</v>
      </c>
    </row>
    <row r="276">
      <c r="A276" s="13">
        <v>45554.0</v>
      </c>
      <c r="B276" s="4">
        <v>0.2923611111111111</v>
      </c>
      <c r="C276" s="5" t="s">
        <v>40</v>
      </c>
      <c r="D276" s="5" t="s">
        <v>220</v>
      </c>
      <c r="E276" s="6" t="s">
        <v>225</v>
      </c>
      <c r="F276" s="7" t="s">
        <v>226</v>
      </c>
      <c r="G276" s="6" t="str">
        <f>VLOOKUP(E276,dicionario!$A$1:$C675,2,0)</f>
        <v>Passer domesticus</v>
      </c>
      <c r="H276" s="6" t="str">
        <f>VLOOKUP(E276,dicionario!$A$1:$C675,3,0)</f>
        <v>pardal</v>
      </c>
    </row>
    <row r="277">
      <c r="A277" s="13">
        <v>45554.0</v>
      </c>
      <c r="B277" s="4">
        <v>0.2923611111111111</v>
      </c>
      <c r="C277" s="5" t="s">
        <v>40</v>
      </c>
      <c r="D277" s="5" t="s">
        <v>220</v>
      </c>
      <c r="E277" s="6" t="s">
        <v>135</v>
      </c>
      <c r="F277" s="7" t="s">
        <v>136</v>
      </c>
      <c r="G277" s="6" t="str">
        <f>VLOOKUP(E277,dicionario!$A$1:$C676,2,0)</f>
        <v>Tridax procumbens</v>
      </c>
      <c r="H277" s="6" t="str">
        <f>VLOOKUP(E277,dicionario!$A$1:$C676,3,0)</f>
        <v>erva-de-touro</v>
      </c>
    </row>
    <row r="278">
      <c r="A278" s="13">
        <v>45554.0</v>
      </c>
      <c r="B278" s="4">
        <v>0.29305555555555557</v>
      </c>
      <c r="C278" s="5" t="s">
        <v>40</v>
      </c>
      <c r="D278" s="5" t="s">
        <v>220</v>
      </c>
      <c r="E278" s="12" t="s">
        <v>88</v>
      </c>
      <c r="F278" s="7" t="s">
        <v>89</v>
      </c>
      <c r="G278" s="6" t="str">
        <f>VLOOKUP(E278,dicionario!$A$1:$C677,2,0)</f>
        <v>Tyrannus melancolichus</v>
      </c>
      <c r="H278" s="6" t="str">
        <f>VLOOKUP(E278,dicionario!$A$1:$C677,3,0)</f>
        <v>suiriri</v>
      </c>
    </row>
    <row r="279">
      <c r="A279" s="13">
        <v>45554.0</v>
      </c>
      <c r="B279" s="4">
        <v>0.29305555555555557</v>
      </c>
      <c r="C279" s="5" t="s">
        <v>40</v>
      </c>
      <c r="D279" s="5" t="s">
        <v>220</v>
      </c>
      <c r="E279" s="12" t="s">
        <v>191</v>
      </c>
      <c r="F279" s="7" t="s">
        <v>192</v>
      </c>
      <c r="G279" s="6" t="str">
        <f>VLOOKUP(E279,dicionario!$A$1:$C678,2,0)</f>
        <v>Patagioenas picazuro</v>
      </c>
      <c r="H279" s="6" t="str">
        <f>VLOOKUP(E279,dicionario!$A$1:$C678,3,0)</f>
        <v>asa-branca; pomba-asa-branca; pocaçu</v>
      </c>
    </row>
    <row r="280">
      <c r="A280" s="13">
        <v>45554.0</v>
      </c>
      <c r="B280" s="4">
        <v>0.29305555555555557</v>
      </c>
      <c r="C280" s="5" t="s">
        <v>40</v>
      </c>
      <c r="D280" s="5" t="s">
        <v>220</v>
      </c>
      <c r="E280" s="6" t="s">
        <v>113</v>
      </c>
      <c r="F280" s="7" t="s">
        <v>114</v>
      </c>
      <c r="G280" s="6" t="str">
        <f>VLOOKUP(E280,dicionario!$A$1:$C679,2,0)</f>
        <v>Columbina talpacoti</v>
      </c>
      <c r="H280" s="6" t="str">
        <f>VLOOKUP(E280,dicionario!$A$1:$C679,3,0)</f>
        <v>rolinha-roxa</v>
      </c>
    </row>
    <row r="281">
      <c r="A281" s="13">
        <v>45554.0</v>
      </c>
      <c r="B281" s="4">
        <v>0.29375</v>
      </c>
      <c r="C281" s="5" t="s">
        <v>40</v>
      </c>
      <c r="D281" s="5" t="s">
        <v>220</v>
      </c>
      <c r="E281" s="12" t="s">
        <v>111</v>
      </c>
      <c r="F281" s="7" t="s">
        <v>112</v>
      </c>
      <c r="G281" s="6" t="str">
        <f>VLOOKUP(E281,dicionario!$A$1:$C680,2,0)</f>
        <v>Trigona spinipes</v>
      </c>
      <c r="H281" s="6" t="str">
        <f>VLOOKUP(E281,dicionario!$A$1:$C680,3,0)</f>
        <v>abelha-cachorro</v>
      </c>
    </row>
    <row r="282">
      <c r="A282" s="13">
        <v>45554.0</v>
      </c>
      <c r="B282" s="4">
        <v>0.29375</v>
      </c>
      <c r="C282" s="5" t="s">
        <v>40</v>
      </c>
      <c r="D282" s="5" t="s">
        <v>220</v>
      </c>
      <c r="E282" s="6" t="s">
        <v>225</v>
      </c>
      <c r="F282" s="7" t="s">
        <v>226</v>
      </c>
      <c r="G282" s="6" t="str">
        <f>VLOOKUP(E282,dicionario!$A$1:$C681,2,0)</f>
        <v>Passer domesticus</v>
      </c>
      <c r="H282" s="6" t="str">
        <f>VLOOKUP(E282,dicionario!$A$1:$C681,3,0)</f>
        <v>pardal</v>
      </c>
    </row>
    <row r="283">
      <c r="A283" s="13">
        <v>45554.0</v>
      </c>
      <c r="B283" s="4">
        <v>0.29375</v>
      </c>
      <c r="C283" s="5" t="s">
        <v>40</v>
      </c>
      <c r="D283" s="5" t="s">
        <v>220</v>
      </c>
      <c r="E283" s="12" t="s">
        <v>213</v>
      </c>
      <c r="F283" s="7" t="s">
        <v>214</v>
      </c>
      <c r="G283" s="6" t="str">
        <f>VLOOKUP(E283,dicionario!$A$1:$C682,2,0)</f>
        <v>Myiozetetes similis</v>
      </c>
      <c r="H283" s="6" t="str">
        <f>VLOOKUP(E283,dicionario!$A$1:$C682,3,0)</f>
        <v>bentevizinho-de-penacho-vermelho</v>
      </c>
    </row>
    <row r="284">
      <c r="A284" s="13">
        <v>45554.0</v>
      </c>
      <c r="B284" s="4">
        <v>0.29444444444444445</v>
      </c>
      <c r="C284" s="5" t="s">
        <v>40</v>
      </c>
      <c r="D284" s="5" t="s">
        <v>220</v>
      </c>
      <c r="E284" s="12" t="s">
        <v>20</v>
      </c>
      <c r="F284" s="7" t="s">
        <v>21</v>
      </c>
      <c r="G284" s="6" t="str">
        <f>VLOOKUP(E284,dicionario!$A$1:$C683,2,0)</f>
        <v>Sicalis flaveola</v>
      </c>
      <c r="H284" s="6" t="str">
        <f>VLOOKUP(E284,dicionario!$A$1:$C683,3,0)</f>
        <v>canário-da-terra</v>
      </c>
    </row>
    <row r="285">
      <c r="A285" s="13">
        <v>45554.0</v>
      </c>
      <c r="B285" s="4">
        <v>0.2986111111111111</v>
      </c>
      <c r="C285" s="5" t="s">
        <v>40</v>
      </c>
      <c r="D285" s="5" t="s">
        <v>220</v>
      </c>
      <c r="E285" s="8" t="s">
        <v>38</v>
      </c>
      <c r="F285" s="5" t="s">
        <v>39</v>
      </c>
      <c r="G285" s="6" t="str">
        <f>VLOOKUP(E285,dicionario!$A$1:$C684,2,0)</f>
        <v>Troglodytes musculus</v>
      </c>
      <c r="H285" s="6" t="str">
        <f>VLOOKUP(E285,dicionario!$A$1:$C684,3,0)</f>
        <v>curruíra</v>
      </c>
    </row>
    <row r="286">
      <c r="A286" s="13">
        <v>45554.0</v>
      </c>
      <c r="B286" s="4">
        <v>0.30694444444444446</v>
      </c>
      <c r="C286" s="5" t="s">
        <v>50</v>
      </c>
      <c r="D286" s="5" t="s">
        <v>220</v>
      </c>
      <c r="E286" s="6" t="s">
        <v>65</v>
      </c>
      <c r="F286" s="7" t="s">
        <v>66</v>
      </c>
      <c r="G286" s="6" t="str">
        <f>VLOOKUP(E286,dicionario!$A$1:$C685,2,0)</f>
        <v>Pitangus sulphutarus</v>
      </c>
      <c r="H286" s="6" t="str">
        <f>VLOOKUP(E286,dicionario!$A$1:$C685,3,0)</f>
        <v>bem-te-vi</v>
      </c>
    </row>
    <row r="287">
      <c r="A287" s="13">
        <v>45554.0</v>
      </c>
      <c r="B287" s="4">
        <v>0.30694444444444446</v>
      </c>
      <c r="C287" s="5" t="s">
        <v>50</v>
      </c>
      <c r="D287" s="5" t="s">
        <v>220</v>
      </c>
      <c r="E287" s="8" t="s">
        <v>38</v>
      </c>
      <c r="F287" s="5" t="s">
        <v>39</v>
      </c>
      <c r="G287" s="6" t="str">
        <f>VLOOKUP(E287,dicionario!$A$1:$C686,2,0)</f>
        <v>Troglodytes musculus</v>
      </c>
      <c r="H287" s="6" t="str">
        <f>VLOOKUP(E287,dicionario!$A$1:$C686,3,0)</f>
        <v>curruíra</v>
      </c>
    </row>
    <row r="288">
      <c r="A288" s="13">
        <v>45554.0</v>
      </c>
      <c r="B288" s="4">
        <v>0.3076388888888889</v>
      </c>
      <c r="C288" s="5" t="s">
        <v>50</v>
      </c>
      <c r="D288" s="5" t="s">
        <v>220</v>
      </c>
      <c r="E288" s="12" t="s">
        <v>191</v>
      </c>
      <c r="F288" s="7" t="s">
        <v>192</v>
      </c>
      <c r="G288" s="6" t="str">
        <f>VLOOKUP(E288,dicionario!$A$1:$C687,2,0)</f>
        <v>Patagioenas picazuro</v>
      </c>
      <c r="H288" s="6" t="str">
        <f>VLOOKUP(E288,dicionario!$A$1:$C687,3,0)</f>
        <v>asa-branca; pomba-asa-branca; pocaçu</v>
      </c>
    </row>
    <row r="289">
      <c r="A289" s="13">
        <v>45554.0</v>
      </c>
      <c r="B289" s="4">
        <v>0.3076388888888889</v>
      </c>
      <c r="C289" s="5" t="s">
        <v>50</v>
      </c>
      <c r="D289" s="5" t="s">
        <v>220</v>
      </c>
      <c r="E289" s="6" t="s">
        <v>72</v>
      </c>
      <c r="F289" s="7" t="s">
        <v>73</v>
      </c>
      <c r="G289" s="6" t="str">
        <f>VLOOKUP(E289,dicionario!$A$1:$C688,2,0)</f>
        <v>Thraupis palmarum</v>
      </c>
      <c r="H289" s="6" t="str">
        <f>VLOOKUP(E289,dicionario!$A$1:$C688,3,0)</f>
        <v>sanhaço-do-coqueiro</v>
      </c>
    </row>
    <row r="290">
      <c r="A290" s="13">
        <v>45554.0</v>
      </c>
      <c r="B290" s="4">
        <v>0.3090277777777778</v>
      </c>
      <c r="C290" s="5" t="s">
        <v>50</v>
      </c>
      <c r="D290" s="5" t="s">
        <v>220</v>
      </c>
      <c r="E290" s="6" t="s">
        <v>18</v>
      </c>
      <c r="F290" s="7" t="s">
        <v>219</v>
      </c>
      <c r="G290" s="6" t="str">
        <f>VLOOKUP(E290,dicionario!$A$1:$C689,2,0)</f>
        <v>Xylocopa frontalis</v>
      </c>
      <c r="H290" s="6" t="str">
        <f>VLOOKUP(E290,dicionario!$A$1:$C689,3,0)</f>
        <v>Mamangava; mangangá; abelha-carpinteira</v>
      </c>
    </row>
    <row r="291">
      <c r="A291" s="13">
        <v>45554.0</v>
      </c>
      <c r="B291" s="4">
        <v>0.3090277777777778</v>
      </c>
      <c r="C291" s="5" t="s">
        <v>50</v>
      </c>
      <c r="D291" s="5" t="s">
        <v>220</v>
      </c>
      <c r="E291" s="6" t="s">
        <v>22</v>
      </c>
      <c r="F291" s="7" t="s">
        <v>97</v>
      </c>
      <c r="G291" s="6" t="str">
        <f>VLOOKUP(E291,dicionario!$A$1:$C690,2,0)</f>
        <v>Zenaida auriculata</v>
      </c>
      <c r="H291" s="6" t="str">
        <f>VLOOKUP(E291,dicionario!$A$1:$C690,3,0)</f>
        <v>pomba-de-bando; avoante</v>
      </c>
    </row>
    <row r="292">
      <c r="A292" s="13">
        <v>45554.0</v>
      </c>
      <c r="B292" s="4">
        <v>0.30972222222222223</v>
      </c>
      <c r="C292" s="5" t="s">
        <v>50</v>
      </c>
      <c r="D292" s="5" t="s">
        <v>220</v>
      </c>
      <c r="E292" s="6" t="s">
        <v>20</v>
      </c>
      <c r="F292" s="7" t="s">
        <v>21</v>
      </c>
      <c r="G292" s="6" t="str">
        <f>VLOOKUP(E292,dicionario!$A$1:$C691,2,0)</f>
        <v>Sicalis flaveola</v>
      </c>
      <c r="H292" s="6" t="str">
        <f>VLOOKUP(E292,dicionario!$A$1:$C691,3,0)</f>
        <v>canário-da-terra</v>
      </c>
    </row>
    <row r="293">
      <c r="A293" s="13">
        <v>45554.0</v>
      </c>
      <c r="B293" s="4">
        <v>0.30972222222222223</v>
      </c>
      <c r="C293" s="5" t="s">
        <v>50</v>
      </c>
      <c r="D293" s="5" t="s">
        <v>220</v>
      </c>
      <c r="E293" s="6" t="s">
        <v>91</v>
      </c>
      <c r="F293" s="7" t="s">
        <v>208</v>
      </c>
      <c r="G293" s="6" t="str">
        <f>VLOOKUP(E293,dicionario!$A$1:$C692,2,0)</f>
        <v>Picumnus cirratus</v>
      </c>
      <c r="H293" s="6" t="str">
        <f>VLOOKUP(E293,dicionario!$A$1:$C692,3,0)</f>
        <v>picapauzinho-barrado</v>
      </c>
    </row>
    <row r="294">
      <c r="A294" s="13">
        <v>45554.0</v>
      </c>
      <c r="B294" s="4">
        <v>0.30972222222222223</v>
      </c>
      <c r="C294" s="5" t="s">
        <v>50</v>
      </c>
      <c r="D294" s="5" t="s">
        <v>220</v>
      </c>
      <c r="E294" s="6" t="s">
        <v>177</v>
      </c>
      <c r="F294" s="7" t="s">
        <v>178</v>
      </c>
      <c r="G294" s="6" t="str">
        <f>VLOOKUP(E294,dicionario!$A$1:$C693,2,0)</f>
        <v>Elaenia flavogaster</v>
      </c>
      <c r="H294" s="6" t="str">
        <f>VLOOKUP(E294,dicionario!$A$1:$C693,3,0)</f>
        <v>guaracava-de-barriga-amarela</v>
      </c>
    </row>
    <row r="295">
      <c r="A295" s="13">
        <v>45554.0</v>
      </c>
      <c r="B295" s="4">
        <v>0.3111111111111111</v>
      </c>
      <c r="C295" s="5" t="s">
        <v>50</v>
      </c>
      <c r="D295" s="5" t="s">
        <v>220</v>
      </c>
      <c r="E295" s="6" t="s">
        <v>148</v>
      </c>
      <c r="F295" s="7" t="s">
        <v>149</v>
      </c>
      <c r="G295" s="6" t="str">
        <f>VLOOKUP(E295,dicionario!$A$1:$C694,2,0)</f>
        <v>Parthenium hysterophorus</v>
      </c>
      <c r="H295" s="6" t="str">
        <f>VLOOKUP(E295,dicionario!$A$1:$C694,3,0)</f>
        <v>losna-branca</v>
      </c>
    </row>
    <row r="296">
      <c r="A296" s="13">
        <v>45554.0</v>
      </c>
      <c r="B296" s="4">
        <v>0.31180555555555556</v>
      </c>
      <c r="C296" s="5" t="s">
        <v>50</v>
      </c>
      <c r="D296" s="5" t="s">
        <v>220</v>
      </c>
      <c r="E296" s="6" t="s">
        <v>237</v>
      </c>
      <c r="F296" s="7" t="s">
        <v>238</v>
      </c>
      <c r="G296" s="6" t="str">
        <f>VLOOKUP(E296,dicionario!$A$1:$C695,2,0)</f>
        <v>Acromyrmex</v>
      </c>
      <c r="H296" s="6" t="str">
        <f>VLOOKUP(E296,dicionario!$A$1:$C695,3,0)</f>
        <v>quenquén</v>
      </c>
    </row>
    <row r="297">
      <c r="A297" s="13">
        <v>45554.0</v>
      </c>
      <c r="B297" s="4">
        <v>0.31180555555555556</v>
      </c>
      <c r="C297" s="5" t="s">
        <v>50</v>
      </c>
      <c r="D297" s="5" t="s">
        <v>220</v>
      </c>
      <c r="E297" s="6" t="s">
        <v>86</v>
      </c>
      <c r="F297" s="7" t="s">
        <v>87</v>
      </c>
      <c r="G297" s="6" t="str">
        <f>VLOOKUP(E297,dicionario!$A$1:$C696,2,0)</f>
        <v>Coereba flaveola</v>
      </c>
      <c r="H297" s="6" t="str">
        <f>VLOOKUP(E297,dicionario!$A$1:$C696,3,0)</f>
        <v>cambacica</v>
      </c>
    </row>
    <row r="298">
      <c r="A298" s="13">
        <v>45554.0</v>
      </c>
      <c r="B298" s="4">
        <v>0.31180555555555556</v>
      </c>
      <c r="C298" s="5" t="s">
        <v>50</v>
      </c>
      <c r="D298" s="5" t="s">
        <v>220</v>
      </c>
      <c r="E298" s="6" t="s">
        <v>150</v>
      </c>
      <c r="F298" s="7" t="s">
        <v>151</v>
      </c>
      <c r="G298" s="6" t="str">
        <f>VLOOKUP(E298,dicionario!$A$1:$C697,2,0)</f>
        <v>Amaranthus viridis</v>
      </c>
      <c r="H298" s="6" t="str">
        <f>VLOOKUP(E298,dicionario!$A$1:$C697,3,0)</f>
        <v>caruru-de-mancha</v>
      </c>
    </row>
    <row r="299">
      <c r="A299" s="13">
        <v>45554.0</v>
      </c>
      <c r="B299" s="4">
        <v>0.3125</v>
      </c>
      <c r="C299" s="5" t="s">
        <v>50</v>
      </c>
      <c r="D299" s="5" t="s">
        <v>220</v>
      </c>
      <c r="E299" s="6" t="s">
        <v>241</v>
      </c>
      <c r="F299" s="7" t="s">
        <v>242</v>
      </c>
      <c r="G299" s="6" t="str">
        <f>VLOOKUP(E299,dicionario!$A$1:$C698,2,0)</f>
        <v>Asiopus minimus</v>
      </c>
      <c r="H299" s="6" t="str">
        <f>VLOOKUP(E299,dicionario!$A$1:$C698,3,0)</f>
        <v>tenébrio</v>
      </c>
    </row>
    <row r="300">
      <c r="A300" s="13">
        <v>45554.0</v>
      </c>
      <c r="B300" s="4">
        <v>0.3138888888888889</v>
      </c>
      <c r="C300" s="5" t="s">
        <v>50</v>
      </c>
      <c r="D300" s="5" t="s">
        <v>220</v>
      </c>
      <c r="E300" s="12" t="s">
        <v>213</v>
      </c>
      <c r="F300" s="7" t="s">
        <v>214</v>
      </c>
      <c r="G300" s="6" t="str">
        <f>VLOOKUP(E300,dicionario!$A$1:$C699,2,0)</f>
        <v>Myiozetetes similis</v>
      </c>
      <c r="H300" s="6" t="str">
        <f>VLOOKUP(E300,dicionario!$A$1:$C699,3,0)</f>
        <v>bentevizinho-de-penacho-vermelho</v>
      </c>
    </row>
    <row r="301">
      <c r="A301" s="13">
        <v>45554.0</v>
      </c>
      <c r="B301" s="4">
        <v>0.3138888888888889</v>
      </c>
      <c r="C301" s="5" t="s">
        <v>50</v>
      </c>
      <c r="D301" s="5" t="s">
        <v>220</v>
      </c>
      <c r="E301" s="6" t="s">
        <v>105</v>
      </c>
      <c r="F301" s="7" t="s">
        <v>106</v>
      </c>
      <c r="G301" s="6" t="str">
        <f>VLOOKUP(E301,dicionario!$A$1:$C700,2,0)</f>
        <v>Progne tapera</v>
      </c>
      <c r="H301" s="6" t="str">
        <f>VLOOKUP(E301,dicionario!$A$1:$C700,3,0)</f>
        <v>andorinha-do-campo</v>
      </c>
    </row>
    <row r="302">
      <c r="A302" s="3">
        <v>45554.0</v>
      </c>
      <c r="B302" s="4">
        <v>0.31527777777777777</v>
      </c>
      <c r="C302" s="5" t="s">
        <v>59</v>
      </c>
      <c r="D302" s="5" t="s">
        <v>220</v>
      </c>
      <c r="E302" s="6" t="s">
        <v>213</v>
      </c>
      <c r="F302" s="7" t="s">
        <v>214</v>
      </c>
      <c r="G302" s="6" t="str">
        <f>VLOOKUP(E302,dicionario!$A$1:$C701,2,0)</f>
        <v>Myiozetetes similis</v>
      </c>
      <c r="H302" s="6" t="str">
        <f>VLOOKUP(E302,dicionario!$A$1:$C701,3,0)</f>
        <v>bentevizinho-de-penacho-vermelho</v>
      </c>
    </row>
    <row r="303">
      <c r="A303" s="3">
        <v>45554.0</v>
      </c>
      <c r="B303" s="4">
        <v>0.3159722222222222</v>
      </c>
      <c r="C303" s="5" t="s">
        <v>59</v>
      </c>
      <c r="D303" s="5" t="s">
        <v>220</v>
      </c>
      <c r="E303" s="6" t="s">
        <v>22</v>
      </c>
      <c r="F303" s="7" t="s">
        <v>97</v>
      </c>
      <c r="G303" s="6" t="str">
        <f>VLOOKUP(E303,dicionario!$A$1:$C702,2,0)</f>
        <v>Zenaida auriculata</v>
      </c>
      <c r="H303" s="6" t="str">
        <f>VLOOKUP(E303,dicionario!$A$1:$C702,3,0)</f>
        <v>pomba-de-bando; avoante</v>
      </c>
    </row>
    <row r="304">
      <c r="A304" s="3">
        <v>45554.0</v>
      </c>
      <c r="B304" s="4">
        <v>0.31666666666666665</v>
      </c>
      <c r="C304" s="5" t="s">
        <v>59</v>
      </c>
      <c r="D304" s="5" t="s">
        <v>220</v>
      </c>
      <c r="E304" s="6" t="s">
        <v>10</v>
      </c>
      <c r="F304" s="5" t="s">
        <v>11</v>
      </c>
      <c r="G304" s="6" t="str">
        <f>VLOOKUP(E304,dicionario!$A$1:$C703,2,0)</f>
        <v>Guira guira</v>
      </c>
      <c r="H304" s="6" t="str">
        <f>VLOOKUP(E304,dicionario!$A$1:$C703,3,0)</f>
        <v>anu-branco</v>
      </c>
    </row>
    <row r="305">
      <c r="A305" s="3">
        <v>45554.0</v>
      </c>
      <c r="B305" s="4">
        <v>0.31666666666666665</v>
      </c>
      <c r="C305" s="5" t="s">
        <v>59</v>
      </c>
      <c r="D305" s="5" t="s">
        <v>220</v>
      </c>
      <c r="E305" s="12" t="s">
        <v>88</v>
      </c>
      <c r="F305" s="7" t="s">
        <v>89</v>
      </c>
      <c r="G305" s="6" t="str">
        <f>VLOOKUP(E305,dicionario!$A$1:$C704,2,0)</f>
        <v>Tyrannus melancolichus</v>
      </c>
      <c r="H305" s="6" t="str">
        <f>VLOOKUP(E305,dicionario!$A$1:$C704,3,0)</f>
        <v>suiriri</v>
      </c>
    </row>
    <row r="306">
      <c r="A306" s="3">
        <v>45554.0</v>
      </c>
      <c r="B306" s="4">
        <v>0.31666666666666665</v>
      </c>
      <c r="C306" s="5" t="s">
        <v>59</v>
      </c>
      <c r="D306" s="5" t="s">
        <v>220</v>
      </c>
      <c r="E306" s="6" t="s">
        <v>31</v>
      </c>
      <c r="F306" s="7" t="s">
        <v>32</v>
      </c>
      <c r="G306" s="6" t="str">
        <f>VLOOKUP(E306,dicionario!$A$1:$C705,2,0)</f>
        <v>Furnarius rufus</v>
      </c>
      <c r="H306" s="6" t="str">
        <f>VLOOKUP(E306,dicionario!$A$1:$C705,3,0)</f>
        <v>joão-de-barro</v>
      </c>
    </row>
    <row r="307">
      <c r="A307" s="3">
        <v>45554.0</v>
      </c>
      <c r="B307" s="4">
        <v>0.3173611111111111</v>
      </c>
      <c r="C307" s="5" t="s">
        <v>59</v>
      </c>
      <c r="D307" s="5" t="s">
        <v>220</v>
      </c>
      <c r="E307" s="12" t="s">
        <v>14</v>
      </c>
      <c r="F307" s="7" t="s">
        <v>15</v>
      </c>
      <c r="G307" s="6" t="str">
        <f>VLOOKUP(E307,dicionario!$A$1:$C706,2,0)</f>
        <v>Spermacoce verticillata</v>
      </c>
      <c r="H307" s="6" t="str">
        <f>VLOOKUP(E307,dicionario!$A$1:$C706,3,0)</f>
        <v>vassourinha-de-botão</v>
      </c>
    </row>
    <row r="308">
      <c r="A308" s="3">
        <v>45554.0</v>
      </c>
      <c r="B308" s="4">
        <v>0.3173611111111111</v>
      </c>
      <c r="C308" s="5" t="s">
        <v>59</v>
      </c>
      <c r="D308" s="5" t="s">
        <v>220</v>
      </c>
      <c r="E308" s="6" t="s">
        <v>227</v>
      </c>
      <c r="F308" s="7" t="s">
        <v>228</v>
      </c>
      <c r="G308" s="6" t="str">
        <f>VLOOKUP(E308,dicionario!$A$1:$C707,2,0)</f>
        <v>Indigofera hirsuta</v>
      </c>
      <c r="H308" s="6" t="str">
        <f>VLOOKUP(E308,dicionario!$A$1:$C707,3,0)</f>
        <v>anileira</v>
      </c>
    </row>
    <row r="309">
      <c r="A309" s="3">
        <v>45554.0</v>
      </c>
      <c r="B309" s="4">
        <v>0.3173611111111111</v>
      </c>
      <c r="C309" s="5" t="s">
        <v>59</v>
      </c>
      <c r="D309" s="5" t="s">
        <v>220</v>
      </c>
      <c r="E309" s="6" t="s">
        <v>239</v>
      </c>
      <c r="F309" s="7" t="s">
        <v>240</v>
      </c>
      <c r="G309" s="6" t="str">
        <f>VLOOKUP(E309,dicionario!$A$1:$C708,2,0)</f>
        <v>Gomphrena celosioides</v>
      </c>
      <c r="H309" s="6" t="str">
        <f>VLOOKUP(E309,dicionario!$A$1:$C708,3,0)</f>
        <v>perpétua-branca</v>
      </c>
    </row>
    <row r="310">
      <c r="A310" s="3">
        <v>45554.0</v>
      </c>
      <c r="B310" s="4">
        <v>0.3173611111111111</v>
      </c>
      <c r="C310" s="5" t="s">
        <v>59</v>
      </c>
      <c r="D310" s="5" t="s">
        <v>220</v>
      </c>
      <c r="E310" s="6" t="s">
        <v>53</v>
      </c>
      <c r="F310" s="7" t="s">
        <v>54</v>
      </c>
      <c r="G310" s="6" t="str">
        <f>VLOOKUP(E310,dicionario!$A$1:$C709,2,0)</f>
        <v>Turnera subulata</v>
      </c>
      <c r="H310" s="6" t="str">
        <f>VLOOKUP(E310,dicionario!$A$1:$C709,3,0)</f>
        <v>xanana</v>
      </c>
    </row>
    <row r="311">
      <c r="A311" s="3">
        <v>45554.0</v>
      </c>
      <c r="B311" s="4">
        <v>0.31875</v>
      </c>
      <c r="C311" s="5" t="s">
        <v>59</v>
      </c>
      <c r="D311" s="5" t="s">
        <v>220</v>
      </c>
      <c r="E311" s="6" t="s">
        <v>243</v>
      </c>
      <c r="F311" s="7" t="s">
        <v>244</v>
      </c>
      <c r="G311" s="6" t="str">
        <f>VLOOKUP(E311,dicionario!$A$1:$C710,2,0)</f>
        <v>Macroptilium atropurpureum</v>
      </c>
      <c r="H311" s="6" t="str">
        <f>VLOOKUP(E311,dicionario!$A$1:$C710,3,0)</f>
        <v>feijão-de-pombo</v>
      </c>
    </row>
    <row r="312">
      <c r="A312" s="3">
        <v>45554.0</v>
      </c>
      <c r="B312" s="4">
        <v>0.3194444444444444</v>
      </c>
      <c r="C312" s="5" t="s">
        <v>59</v>
      </c>
      <c r="D312" s="5" t="s">
        <v>220</v>
      </c>
      <c r="E312" s="6" t="s">
        <v>135</v>
      </c>
      <c r="F312" s="7" t="s">
        <v>136</v>
      </c>
      <c r="G312" s="6" t="str">
        <f>VLOOKUP(E312,dicionario!$A$1:$C711,2,0)</f>
        <v>Tridax procumbens</v>
      </c>
      <c r="H312" s="6" t="str">
        <f>VLOOKUP(E312,dicionario!$A$1:$C711,3,0)</f>
        <v>erva-de-touro</v>
      </c>
    </row>
    <row r="313">
      <c r="A313" s="3">
        <v>45554.0</v>
      </c>
      <c r="B313" s="4">
        <v>0.32013888888888886</v>
      </c>
      <c r="C313" s="5" t="s">
        <v>59</v>
      </c>
      <c r="D313" s="5" t="s">
        <v>220</v>
      </c>
      <c r="E313" s="6" t="s">
        <v>245</v>
      </c>
      <c r="F313" s="7" t="s">
        <v>246</v>
      </c>
      <c r="G313" s="6" t="str">
        <f>VLOOKUP(E313,dicionario!$A$1:$C712,2,0)</f>
        <v>Hemiargus hanno</v>
      </c>
      <c r="H313" s="6" t="str">
        <f>VLOOKUP(E313,dicionario!$A$1:$C712,3,0)</f>
        <v>borboleta-azulzinha-do-trevo</v>
      </c>
    </row>
    <row r="314">
      <c r="A314" s="3">
        <v>45554.0</v>
      </c>
      <c r="B314" s="4">
        <v>0.32083333333333336</v>
      </c>
      <c r="C314" s="5" t="s">
        <v>59</v>
      </c>
      <c r="D314" s="5" t="s">
        <v>220</v>
      </c>
      <c r="E314" s="6" t="s">
        <v>72</v>
      </c>
      <c r="F314" s="7" t="s">
        <v>73</v>
      </c>
      <c r="G314" s="6" t="str">
        <f>VLOOKUP(E314,dicionario!$A$1:$C713,2,0)</f>
        <v>Thraupis palmarum</v>
      </c>
      <c r="H314" s="6" t="str">
        <f>VLOOKUP(E314,dicionario!$A$1:$C713,3,0)</f>
        <v>sanhaço-do-coqueiro</v>
      </c>
    </row>
    <row r="315">
      <c r="A315" s="3">
        <v>45554.0</v>
      </c>
      <c r="B315" s="4">
        <v>0.32083333333333336</v>
      </c>
      <c r="C315" s="5" t="s">
        <v>59</v>
      </c>
      <c r="D315" s="5" t="s">
        <v>220</v>
      </c>
      <c r="E315" s="6" t="s">
        <v>163</v>
      </c>
      <c r="F315" s="7" t="s">
        <v>164</v>
      </c>
      <c r="G315" s="6" t="str">
        <f>VLOOKUP(E315,dicionario!$A$1:$C714,2,0)</f>
        <v>Coragyps atratus</v>
      </c>
      <c r="H315" s="6" t="str">
        <f>VLOOKUP(E315,dicionario!$A$1:$C714,3,0)</f>
        <v>urubu-de-cabeça-preta</v>
      </c>
    </row>
    <row r="316">
      <c r="A316" s="3">
        <v>45554.0</v>
      </c>
      <c r="B316" s="4">
        <v>0.3215277777777778</v>
      </c>
      <c r="C316" s="5" t="s">
        <v>59</v>
      </c>
      <c r="D316" s="5" t="s">
        <v>220</v>
      </c>
      <c r="E316" s="6" t="s">
        <v>202</v>
      </c>
      <c r="F316" s="7" t="s">
        <v>203</v>
      </c>
      <c r="G316" s="6" t="str">
        <f>VLOOKUP(E316,dicionario!$A$1:$C715,2,0)</f>
        <v>Dysdercus</v>
      </c>
      <c r="H316" s="6" t="str">
        <f>VLOOKUP(E316,dicionario!$A$1:$C715,3,0)</f>
        <v>percevejo-manchador</v>
      </c>
    </row>
    <row r="317">
      <c r="A317" s="3">
        <v>45554.0</v>
      </c>
      <c r="B317" s="4">
        <v>0.3215277777777778</v>
      </c>
      <c r="C317" s="5" t="s">
        <v>59</v>
      </c>
      <c r="D317" s="5" t="s">
        <v>220</v>
      </c>
      <c r="E317" s="6" t="s">
        <v>237</v>
      </c>
      <c r="F317" s="7" t="s">
        <v>238</v>
      </c>
      <c r="G317" s="6" t="str">
        <f>VLOOKUP(E317,dicionario!$A$1:$C716,2,0)</f>
        <v>Acromyrmex</v>
      </c>
      <c r="H317" s="6" t="str">
        <f>VLOOKUP(E317,dicionario!$A$1:$C716,3,0)</f>
        <v>quenquén</v>
      </c>
    </row>
    <row r="318">
      <c r="A318" s="3">
        <v>45554.0</v>
      </c>
      <c r="B318" s="4">
        <v>0.32430555555555557</v>
      </c>
      <c r="C318" s="5" t="s">
        <v>59</v>
      </c>
      <c r="D318" s="5" t="s">
        <v>220</v>
      </c>
      <c r="E318" s="6" t="s">
        <v>247</v>
      </c>
      <c r="F318" s="7" t="s">
        <v>248</v>
      </c>
      <c r="G318" s="6" t="str">
        <f>VLOOKUP(E318,dicionario!$A$1:$C717,2,0)</f>
        <v>Emilia sonchifolia</v>
      </c>
      <c r="H318" s="6" t="str">
        <f>VLOOKUP(E318,dicionario!$A$1:$C717,3,0)</f>
        <v>serralinha</v>
      </c>
    </row>
    <row r="319">
      <c r="A319" s="3">
        <v>45554.0</v>
      </c>
      <c r="B319" s="4">
        <v>0.32569444444444445</v>
      </c>
      <c r="C319" s="5" t="s">
        <v>59</v>
      </c>
      <c r="D319" s="5" t="s">
        <v>220</v>
      </c>
      <c r="E319" s="6" t="s">
        <v>141</v>
      </c>
      <c r="F319" s="7" t="s">
        <v>142</v>
      </c>
      <c r="G319" s="6" t="str">
        <f>VLOOKUP(E319,dicionario!$A$1:$C718,2,0)</f>
        <v>Ruellia blechum</v>
      </c>
      <c r="H319" s="6" t="str">
        <f>VLOOKUP(E319,dicionario!$A$1:$C718,3,0)</f>
        <v>camarão-verde</v>
      </c>
    </row>
    <row r="320">
      <c r="A320" s="3">
        <v>45554.0</v>
      </c>
      <c r="B320" s="4">
        <v>0.3263888888888889</v>
      </c>
      <c r="C320" s="5" t="s">
        <v>59</v>
      </c>
      <c r="D320" s="5" t="s">
        <v>220</v>
      </c>
      <c r="E320" s="6" t="s">
        <v>225</v>
      </c>
      <c r="F320" s="7" t="s">
        <v>226</v>
      </c>
      <c r="G320" s="6" t="str">
        <f>VLOOKUP(E320,dicionario!$A$1:$C719,2,0)</f>
        <v>Passer domesticus</v>
      </c>
      <c r="H320" s="6" t="str">
        <f>VLOOKUP(E320,dicionario!$A$1:$C719,3,0)</f>
        <v>pardal</v>
      </c>
    </row>
    <row r="321">
      <c r="A321" s="3">
        <v>45554.0</v>
      </c>
      <c r="B321" s="4">
        <v>0.32708333333333334</v>
      </c>
      <c r="C321" s="5" t="s">
        <v>64</v>
      </c>
      <c r="D321" s="5" t="s">
        <v>220</v>
      </c>
      <c r="E321" s="6" t="s">
        <v>249</v>
      </c>
      <c r="F321" s="5" t="s">
        <v>250</v>
      </c>
      <c r="G321" s="6" t="str">
        <f>VLOOKUP(E321,dicionario!$A$1:$C720,2,0)</f>
        <v>Araneidae</v>
      </c>
      <c r="H321" s="6" t="str">
        <f>VLOOKUP(E321,dicionario!$A$1:$C720,3,0)</f>
        <v>aranha-orbitelar</v>
      </c>
    </row>
    <row r="322">
      <c r="A322" s="3">
        <v>45554.0</v>
      </c>
      <c r="B322" s="4">
        <v>0.3277777777777778</v>
      </c>
      <c r="C322" s="5" t="s">
        <v>64</v>
      </c>
      <c r="D322" s="5" t="s">
        <v>220</v>
      </c>
      <c r="E322" s="6" t="s">
        <v>34</v>
      </c>
      <c r="F322" s="7" t="s">
        <v>35</v>
      </c>
      <c r="G322" s="6" t="str">
        <f>VLOOKUP(E322,dicionario!$A$1:$C721,2,0)</f>
        <v>Formicidae</v>
      </c>
      <c r="H322" s="6" t="str">
        <f>VLOOKUP(E322,dicionario!$A$1:$C721,3,0)</f>
        <v>formiga</v>
      </c>
    </row>
    <row r="323">
      <c r="A323" s="3">
        <v>45554.0</v>
      </c>
      <c r="B323" s="4">
        <v>0.3298611111111111</v>
      </c>
      <c r="C323" s="5" t="s">
        <v>64</v>
      </c>
      <c r="D323" s="5" t="s">
        <v>220</v>
      </c>
      <c r="E323" s="12" t="s">
        <v>72</v>
      </c>
      <c r="F323" s="7" t="s">
        <v>73</v>
      </c>
      <c r="G323" s="6" t="str">
        <f>VLOOKUP(E323,dicionario!$A$1:$C722,2,0)</f>
        <v>Thraupis palmarum</v>
      </c>
      <c r="H323" s="6" t="str">
        <f>VLOOKUP(E323,dicionario!$A$1:$C722,3,0)</f>
        <v>sanhaço-do-coqueiro</v>
      </c>
    </row>
    <row r="324">
      <c r="A324" s="13">
        <v>45554.0</v>
      </c>
      <c r="B324" s="4">
        <v>0.3298611111111111</v>
      </c>
      <c r="C324" s="5" t="s">
        <v>64</v>
      </c>
      <c r="D324" s="5" t="s">
        <v>220</v>
      </c>
      <c r="E324" s="12" t="s">
        <v>113</v>
      </c>
      <c r="F324" s="7" t="s">
        <v>114</v>
      </c>
      <c r="G324" s="6" t="str">
        <f>VLOOKUP(E324,dicionario!$A$1:$C723,2,0)</f>
        <v>Columbina talpacoti</v>
      </c>
      <c r="H324" s="6" t="str">
        <f>VLOOKUP(E324,dicionario!$A$1:$C723,3,0)</f>
        <v>rolinha-roxa</v>
      </c>
    </row>
    <row r="325">
      <c r="A325" s="13">
        <v>45554.0</v>
      </c>
      <c r="B325" s="4">
        <v>0.3298611111111111</v>
      </c>
      <c r="C325" s="5" t="s">
        <v>64</v>
      </c>
      <c r="D325" s="5" t="s">
        <v>220</v>
      </c>
      <c r="E325" s="12" t="s">
        <v>65</v>
      </c>
      <c r="F325" s="7" t="s">
        <v>66</v>
      </c>
      <c r="G325" s="6" t="str">
        <f>VLOOKUP(E325,dicionario!$A$1:$C724,2,0)</f>
        <v>Pitangus sulphutarus</v>
      </c>
      <c r="H325" s="6" t="str">
        <f>VLOOKUP(E325,dicionario!$A$1:$C724,3,0)</f>
        <v>bem-te-vi</v>
      </c>
    </row>
    <row r="326">
      <c r="A326" s="13">
        <v>45554.0</v>
      </c>
      <c r="B326" s="4">
        <v>0.33055555555555555</v>
      </c>
      <c r="C326" s="5" t="s">
        <v>64</v>
      </c>
      <c r="D326" s="5" t="s">
        <v>220</v>
      </c>
      <c r="E326" s="12" t="s">
        <v>191</v>
      </c>
      <c r="F326" s="7" t="s">
        <v>192</v>
      </c>
      <c r="G326" s="6" t="str">
        <f>VLOOKUP(E326,dicionario!$A$1:$C725,2,0)</f>
        <v>Patagioenas picazuro</v>
      </c>
      <c r="H326" s="6" t="str">
        <f>VLOOKUP(E326,dicionario!$A$1:$C725,3,0)</f>
        <v>asa-branca; pomba-asa-branca; pocaçu</v>
      </c>
    </row>
    <row r="327">
      <c r="A327" s="13">
        <v>45554.0</v>
      </c>
      <c r="B327" s="4">
        <v>0.33055555555555555</v>
      </c>
      <c r="C327" s="5" t="s">
        <v>64</v>
      </c>
      <c r="D327" s="5" t="s">
        <v>220</v>
      </c>
      <c r="E327" s="15" t="s">
        <v>38</v>
      </c>
      <c r="F327" s="5" t="s">
        <v>39</v>
      </c>
      <c r="G327" s="6" t="str">
        <f>VLOOKUP(E327,dicionario!$A$1:$C726,2,0)</f>
        <v>Troglodytes musculus</v>
      </c>
      <c r="H327" s="6" t="str">
        <f>VLOOKUP(E327,dicionario!$A$1:$C726,3,0)</f>
        <v>curruíra</v>
      </c>
    </row>
    <row r="328">
      <c r="A328" s="13">
        <v>45554.0</v>
      </c>
      <c r="B328" s="4">
        <v>0.33055555555555555</v>
      </c>
      <c r="C328" s="5" t="s">
        <v>64</v>
      </c>
      <c r="D328" s="5" t="s">
        <v>220</v>
      </c>
      <c r="E328" s="6" t="s">
        <v>158</v>
      </c>
      <c r="F328" s="7" t="s">
        <v>159</v>
      </c>
      <c r="G328" s="6" t="str">
        <f>VLOOKUP(E328,dicionario!$A$1:$C727,2,0)</f>
        <v>Nephilingis cruentata</v>
      </c>
      <c r="H328" s="6" t="str">
        <f>VLOOKUP(E328,dicionario!$A$1:$C727,3,0)</f>
        <v>maria-bola</v>
      </c>
    </row>
    <row r="329">
      <c r="A329" s="13">
        <v>45554.0</v>
      </c>
      <c r="B329" s="4">
        <v>0.33055555555555555</v>
      </c>
      <c r="C329" s="5" t="s">
        <v>64</v>
      </c>
      <c r="D329" s="5" t="s">
        <v>220</v>
      </c>
      <c r="E329" s="12" t="s">
        <v>141</v>
      </c>
      <c r="F329" s="7" t="s">
        <v>142</v>
      </c>
      <c r="G329" s="6" t="str">
        <f>VLOOKUP(E329,dicionario!$A$1:$C728,2,0)</f>
        <v>Ruellia blechum</v>
      </c>
      <c r="H329" s="6" t="str">
        <f>VLOOKUP(E329,dicionario!$A$1:$C728,3,0)</f>
        <v>camarão-verde</v>
      </c>
    </row>
    <row r="330">
      <c r="A330" s="13">
        <v>45554.0</v>
      </c>
      <c r="B330" s="4">
        <v>0.33125</v>
      </c>
      <c r="C330" s="5" t="s">
        <v>64</v>
      </c>
      <c r="D330" s="5" t="s">
        <v>220</v>
      </c>
      <c r="E330" s="6" t="s">
        <v>251</v>
      </c>
      <c r="F330" s="7" t="s">
        <v>252</v>
      </c>
      <c r="G330" s="6" t="str">
        <f>VLOOKUP(E330,dicionario!$A$1:$C729,2,0)</f>
        <v>Struthanthus flexicaulis</v>
      </c>
      <c r="H330" s="6" t="str">
        <f>VLOOKUP(E330,dicionario!$A$1:$C729,3,0)</f>
        <v>erva-de-passarinho</v>
      </c>
    </row>
    <row r="331">
      <c r="A331" s="13">
        <v>45554.0</v>
      </c>
      <c r="B331" s="4">
        <v>0.33194444444444443</v>
      </c>
      <c r="C331" s="5" t="s">
        <v>64</v>
      </c>
      <c r="D331" s="5" t="s">
        <v>220</v>
      </c>
      <c r="E331" s="12" t="s">
        <v>213</v>
      </c>
      <c r="F331" s="7" t="s">
        <v>214</v>
      </c>
      <c r="G331" s="6" t="str">
        <f>VLOOKUP(E331,dicionario!$A$1:$C730,2,0)</f>
        <v>Myiozetetes similis</v>
      </c>
      <c r="H331" s="6" t="str">
        <f>VLOOKUP(E331,dicionario!$A$1:$C730,3,0)</f>
        <v>bentevizinho-de-penacho-vermelho</v>
      </c>
    </row>
    <row r="332">
      <c r="A332" s="13">
        <v>45554.0</v>
      </c>
      <c r="B332" s="4">
        <v>0.33194444444444443</v>
      </c>
      <c r="C332" s="5" t="s">
        <v>64</v>
      </c>
      <c r="D332" s="5" t="s">
        <v>220</v>
      </c>
      <c r="E332" s="6" t="s">
        <v>253</v>
      </c>
      <c r="F332" s="7" t="s">
        <v>254</v>
      </c>
      <c r="G332" s="6" t="str">
        <f>VLOOKUP(E332,dicionario!$A$1:$C731,2,0)</f>
        <v>Panicum maximum</v>
      </c>
      <c r="H332" s="6" t="str">
        <f>VLOOKUP(E332,dicionario!$A$1:$C731,3,0)</f>
        <v>capim-colonião</v>
      </c>
    </row>
    <row r="333">
      <c r="A333" s="13">
        <v>45554.0</v>
      </c>
      <c r="B333" s="4">
        <v>0.33194444444444443</v>
      </c>
      <c r="C333" s="5" t="s">
        <v>64</v>
      </c>
      <c r="D333" s="5" t="s">
        <v>220</v>
      </c>
      <c r="E333" s="6" t="s">
        <v>249</v>
      </c>
      <c r="F333" s="7" t="s">
        <v>234</v>
      </c>
      <c r="G333" s="6" t="str">
        <f>VLOOKUP(E333,dicionario!$A$1:$C732,2,0)</f>
        <v>Araneidae</v>
      </c>
      <c r="H333" s="6" t="str">
        <f>VLOOKUP(E333,dicionario!$A$1:$C732,3,0)</f>
        <v>aranha-orbitelar</v>
      </c>
    </row>
    <row r="334">
      <c r="A334" s="13">
        <v>45554.0</v>
      </c>
      <c r="B334" s="4">
        <v>0.3326388888888889</v>
      </c>
      <c r="C334" s="5" t="s">
        <v>64</v>
      </c>
      <c r="D334" s="5" t="s">
        <v>220</v>
      </c>
      <c r="E334" s="12" t="s">
        <v>69</v>
      </c>
      <c r="F334" s="7" t="s">
        <v>71</v>
      </c>
      <c r="G334" s="6" t="str">
        <f>VLOOKUP(E334,dicionario!$A$1:$C733,2,0)</f>
        <v>Talinum fruticosum</v>
      </c>
      <c r="H334" s="6" t="str">
        <f>VLOOKUP(E334,dicionario!$A$1:$C733,3,0)</f>
        <v>beldroega-grande</v>
      </c>
    </row>
    <row r="335">
      <c r="A335" s="13">
        <v>45554.0</v>
      </c>
      <c r="B335" s="4">
        <v>0.3333333333333333</v>
      </c>
      <c r="C335" s="5" t="s">
        <v>64</v>
      </c>
      <c r="D335" s="5" t="s">
        <v>220</v>
      </c>
      <c r="E335" s="12" t="s">
        <v>16</v>
      </c>
      <c r="F335" s="7" t="s">
        <v>17</v>
      </c>
      <c r="G335" s="6" t="str">
        <f>VLOOKUP(E335,dicionario!$A$1:$C734,2,0)</f>
        <v>Eupetomena macroura</v>
      </c>
      <c r="H335" s="6" t="str">
        <f>VLOOKUP(E335,dicionario!$A$1:$C734,3,0)</f>
        <v>beija-flor-tesoura</v>
      </c>
    </row>
    <row r="336">
      <c r="A336" s="13">
        <v>45554.0</v>
      </c>
      <c r="B336" s="4">
        <v>0.3333333333333333</v>
      </c>
      <c r="C336" s="5" t="s">
        <v>64</v>
      </c>
      <c r="D336" s="5" t="s">
        <v>220</v>
      </c>
      <c r="E336" s="12" t="s">
        <v>177</v>
      </c>
      <c r="F336" s="7" t="s">
        <v>178</v>
      </c>
      <c r="G336" s="6" t="str">
        <f>VLOOKUP(E336,dicionario!$A$1:$C735,2,0)</f>
        <v>Elaenia flavogaster</v>
      </c>
      <c r="H336" s="6" t="str">
        <f>VLOOKUP(E336,dicionario!$A$1:$C735,3,0)</f>
        <v>guaracava-de-barriga-amarela</v>
      </c>
    </row>
    <row r="337">
      <c r="A337" s="13">
        <v>45554.0</v>
      </c>
      <c r="B337" s="4">
        <v>0.33402777777777776</v>
      </c>
      <c r="C337" s="5" t="s">
        <v>64</v>
      </c>
      <c r="D337" s="5" t="s">
        <v>220</v>
      </c>
      <c r="E337" s="12" t="s">
        <v>235</v>
      </c>
      <c r="F337" s="7" t="s">
        <v>236</v>
      </c>
      <c r="G337" s="6" t="str">
        <f>VLOOKUP(E337,dicionario!$A$1:$C736,2,0)</f>
        <v>Leucaena leucocephala</v>
      </c>
      <c r="H337" s="6" t="str">
        <f>VLOOKUP(E337,dicionario!$A$1:$C736,3,0)</f>
        <v>leucena</v>
      </c>
    </row>
    <row r="338">
      <c r="A338" s="13">
        <v>45554.0</v>
      </c>
      <c r="B338" s="4">
        <v>0.33402777777777776</v>
      </c>
      <c r="C338" s="5" t="s">
        <v>64</v>
      </c>
      <c r="D338" s="5" t="s">
        <v>220</v>
      </c>
      <c r="E338" s="12" t="s">
        <v>86</v>
      </c>
      <c r="F338" s="7" t="s">
        <v>87</v>
      </c>
      <c r="G338" s="6" t="str">
        <f>VLOOKUP(E338,dicionario!$A$1:$C737,2,0)</f>
        <v>Coereba flaveola</v>
      </c>
      <c r="H338" s="6" t="str">
        <f>VLOOKUP(E338,dicionario!$A$1:$C737,3,0)</f>
        <v>cambacica</v>
      </c>
    </row>
    <row r="339">
      <c r="A339" s="13">
        <v>45554.0</v>
      </c>
      <c r="B339" s="4">
        <v>0.33402777777777776</v>
      </c>
      <c r="C339" s="5" t="s">
        <v>64</v>
      </c>
      <c r="D339" s="5" t="s">
        <v>220</v>
      </c>
      <c r="E339" s="12" t="s">
        <v>206</v>
      </c>
      <c r="F339" s="7" t="s">
        <v>207</v>
      </c>
      <c r="G339" s="6" t="str">
        <f>VLOOKUP(E339,dicionario!$A$1:$C738,2,0)</f>
        <v>Falco sparverius</v>
      </c>
      <c r="H339" s="6" t="str">
        <f>VLOOKUP(E339,dicionario!$A$1:$C738,3,0)</f>
        <v>quiriquiri</v>
      </c>
    </row>
    <row r="340">
      <c r="A340" s="13">
        <v>45554.0</v>
      </c>
      <c r="B340" s="4">
        <v>0.33541666666666664</v>
      </c>
      <c r="C340" s="5" t="s">
        <v>64</v>
      </c>
      <c r="D340" s="5" t="s">
        <v>220</v>
      </c>
      <c r="E340" s="8" t="s">
        <v>46</v>
      </c>
      <c r="F340" s="5" t="s">
        <v>47</v>
      </c>
      <c r="G340" s="6" t="str">
        <f>VLOOKUP(E340,dicionario!$A$1:$C739,2,0)</f>
        <v>Chionomesa fimbriata</v>
      </c>
      <c r="H340" s="6" t="str">
        <f>VLOOKUP(E340,dicionario!$A$1:$C739,3,0)</f>
        <v>beija-flor-de-garganta-verde</v>
      </c>
    </row>
    <row r="341">
      <c r="A341" s="13">
        <v>45554.0</v>
      </c>
      <c r="B341" s="4">
        <v>0.33541666666666664</v>
      </c>
      <c r="C341" s="5" t="s">
        <v>64</v>
      </c>
      <c r="D341" s="5" t="s">
        <v>220</v>
      </c>
      <c r="E341" s="6" t="s">
        <v>255</v>
      </c>
      <c r="F341" s="7" t="s">
        <v>35</v>
      </c>
      <c r="G341" s="6" t="str">
        <f>VLOOKUP(E341,dicionario!$A$1:$C740,2,0)</f>
        <v>#N/A</v>
      </c>
      <c r="H341" s="6" t="str">
        <f>VLOOKUP(E341,dicionario!$A$1:$C740,3,0)</f>
        <v>#N/A</v>
      </c>
    </row>
    <row r="342">
      <c r="A342" s="13">
        <v>45554.0</v>
      </c>
      <c r="B342" s="4">
        <v>0.33611111111111114</v>
      </c>
      <c r="C342" s="5" t="s">
        <v>64</v>
      </c>
      <c r="D342" s="5" t="s">
        <v>220</v>
      </c>
      <c r="E342" s="12" t="s">
        <v>116</v>
      </c>
      <c r="F342" s="7" t="s">
        <v>117</v>
      </c>
      <c r="G342" s="6" t="str">
        <f>VLOOKUP(E342,dicionario!$A$1:$C741,2,0)</f>
        <v>Argiope argentata</v>
      </c>
      <c r="H342" s="6" t="str">
        <f>VLOOKUP(E342,dicionario!$A$1:$C741,3,0)</f>
        <v>aranha-de-prata</v>
      </c>
    </row>
    <row r="343">
      <c r="A343" s="13">
        <v>45554.0</v>
      </c>
      <c r="B343" s="4">
        <v>0.34930555555555554</v>
      </c>
      <c r="C343" s="16" t="s">
        <v>76</v>
      </c>
      <c r="D343" s="5" t="s">
        <v>220</v>
      </c>
      <c r="E343" s="6" t="s">
        <v>245</v>
      </c>
      <c r="F343" s="7" t="s">
        <v>246</v>
      </c>
      <c r="G343" s="6" t="str">
        <f>VLOOKUP(E343,dicionario!$A$1:$C742,2,0)</f>
        <v>Hemiargus hanno</v>
      </c>
      <c r="H343" s="6" t="str">
        <f>VLOOKUP(E343,dicionario!$A$1:$C742,3,0)</f>
        <v>borboleta-azulzinha-do-trevo</v>
      </c>
    </row>
    <row r="344">
      <c r="A344" s="13">
        <v>45554.0</v>
      </c>
      <c r="B344" s="4">
        <v>0.34930555555555554</v>
      </c>
      <c r="C344" s="16" t="s">
        <v>76</v>
      </c>
      <c r="D344" s="5" t="s">
        <v>220</v>
      </c>
      <c r="E344" s="12" t="s">
        <v>146</v>
      </c>
      <c r="F344" s="7" t="s">
        <v>147</v>
      </c>
      <c r="G344" s="6" t="str">
        <f>VLOOKUP(E344,dicionario!$A$1:$C743,2,0)</f>
        <v>Euphorbia hirta</v>
      </c>
      <c r="H344" s="6" t="str">
        <f>VLOOKUP(E344,dicionario!$A$1:$C743,3,0)</f>
        <v>erva-de-santa-luzia</v>
      </c>
    </row>
    <row r="345">
      <c r="A345" s="13">
        <v>45554.0</v>
      </c>
      <c r="B345" s="4">
        <v>0.34930555555555554</v>
      </c>
      <c r="C345" s="16" t="s">
        <v>76</v>
      </c>
      <c r="D345" s="5" t="s">
        <v>220</v>
      </c>
      <c r="E345" s="12" t="s">
        <v>195</v>
      </c>
      <c r="F345" s="7" t="s">
        <v>196</v>
      </c>
      <c r="G345" s="6" t="str">
        <f>VLOOKUP(E345,dicionario!$A$1:$C744,2,0)</f>
        <v>Priva lappulacea</v>
      </c>
      <c r="H345" s="6" t="str">
        <f>VLOOKUP(E345,dicionario!$A$1:$C744,3,0)</f>
        <v>carrapicho</v>
      </c>
    </row>
    <row r="346">
      <c r="A346" s="13">
        <v>45554.0</v>
      </c>
      <c r="B346" s="4">
        <v>0.34930555555555554</v>
      </c>
      <c r="C346" s="16" t="s">
        <v>76</v>
      </c>
      <c r="D346" s="5" t="s">
        <v>220</v>
      </c>
      <c r="E346" s="6" t="s">
        <v>148</v>
      </c>
      <c r="F346" s="7" t="s">
        <v>149</v>
      </c>
      <c r="G346" s="6" t="str">
        <f>VLOOKUP(E346,dicionario!$A$1:$C745,2,0)</f>
        <v>Parthenium hysterophorus</v>
      </c>
      <c r="H346" s="6" t="str">
        <f>VLOOKUP(E346,dicionario!$A$1:$C745,3,0)</f>
        <v>losna-branca</v>
      </c>
    </row>
    <row r="347">
      <c r="A347" s="13">
        <v>45554.0</v>
      </c>
      <c r="B347" s="4">
        <v>0.34930555555555554</v>
      </c>
      <c r="C347" s="17" t="s">
        <v>76</v>
      </c>
      <c r="D347" s="5" t="s">
        <v>220</v>
      </c>
      <c r="E347" s="12" t="s">
        <v>141</v>
      </c>
      <c r="F347" s="7" t="s">
        <v>142</v>
      </c>
      <c r="G347" s="6" t="str">
        <f>VLOOKUP(E347,dicionario!$A$1:$C746,2,0)</f>
        <v>Ruellia blechum</v>
      </c>
      <c r="H347" s="6" t="str">
        <f>VLOOKUP(E347,dicionario!$A$1:$C746,3,0)</f>
        <v>camarão-verde</v>
      </c>
    </row>
    <row r="348">
      <c r="A348" s="13">
        <v>45554.0</v>
      </c>
      <c r="B348" s="4">
        <v>0.34930555555555554</v>
      </c>
      <c r="C348" s="17" t="s">
        <v>76</v>
      </c>
      <c r="D348" s="5" t="s">
        <v>220</v>
      </c>
      <c r="E348" s="6" t="s">
        <v>256</v>
      </c>
      <c r="F348" s="7" t="s">
        <v>257</v>
      </c>
      <c r="G348" s="6" t="str">
        <f>VLOOKUP(E348,dicionario!$A$1:$C747,2,0)</f>
        <v>Youngia japonica</v>
      </c>
      <c r="H348" s="6" t="str">
        <f>VLOOKUP(E348,dicionario!$A$1:$C747,3,0)</f>
        <v>barba-de-falcão</v>
      </c>
    </row>
    <row r="349">
      <c r="A349" s="13">
        <v>45554.0</v>
      </c>
      <c r="B349" s="4">
        <v>0.35138888888888886</v>
      </c>
      <c r="C349" s="17" t="s">
        <v>76</v>
      </c>
      <c r="D349" s="5" t="s">
        <v>220</v>
      </c>
      <c r="E349" s="6" t="s">
        <v>20</v>
      </c>
      <c r="F349" s="7" t="s">
        <v>21</v>
      </c>
      <c r="G349" s="6" t="str">
        <f>VLOOKUP(E349,dicionario!$A$1:$C748,2,0)</f>
        <v>Sicalis flaveola</v>
      </c>
      <c r="H349" s="6" t="str">
        <f>VLOOKUP(E349,dicionario!$A$1:$C748,3,0)</f>
        <v>canário-da-terra</v>
      </c>
    </row>
    <row r="350">
      <c r="A350" s="13">
        <v>45554.0</v>
      </c>
      <c r="B350" s="4">
        <v>0.35138888888888886</v>
      </c>
      <c r="C350" s="17" t="s">
        <v>76</v>
      </c>
      <c r="D350" s="5" t="s">
        <v>220</v>
      </c>
      <c r="E350" s="6" t="s">
        <v>258</v>
      </c>
      <c r="F350" s="7" t="s">
        <v>259</v>
      </c>
      <c r="G350" s="6" t="str">
        <f>VLOOKUP(E350,dicionario!$A$1:$C749,2,0)</f>
        <v>Lantana camara</v>
      </c>
      <c r="H350" s="6" t="str">
        <f>VLOOKUP(E350,dicionario!$A$1:$C749,3,0)</f>
        <v>lantana</v>
      </c>
    </row>
    <row r="351">
      <c r="A351" s="13">
        <v>45554.0</v>
      </c>
      <c r="B351" s="4">
        <v>0.35138888888888886</v>
      </c>
      <c r="C351" s="16" t="s">
        <v>76</v>
      </c>
      <c r="D351" s="5" t="s">
        <v>220</v>
      </c>
      <c r="E351" s="6" t="s">
        <v>135</v>
      </c>
      <c r="F351" s="7" t="s">
        <v>136</v>
      </c>
      <c r="G351" s="6" t="str">
        <f>VLOOKUP(E351,dicionario!$A$1:$C750,2,0)</f>
        <v>Tridax procumbens</v>
      </c>
      <c r="H351" s="6" t="str">
        <f>VLOOKUP(E351,dicionario!$A$1:$C750,3,0)</f>
        <v>erva-de-touro</v>
      </c>
    </row>
    <row r="352">
      <c r="A352" s="13">
        <v>45554.0</v>
      </c>
      <c r="B352" s="4">
        <v>0.35208333333333336</v>
      </c>
      <c r="C352" s="16" t="s">
        <v>76</v>
      </c>
      <c r="D352" s="5" t="s">
        <v>220</v>
      </c>
      <c r="E352" s="6" t="s">
        <v>83</v>
      </c>
      <c r="F352" s="7" t="s">
        <v>84</v>
      </c>
      <c r="G352" s="6" t="str">
        <f>VLOOKUP(E352,dicionario!$A$1:$C751,2,0)</f>
        <v>Anartia jatrophae</v>
      </c>
      <c r="H352" s="6" t="str">
        <f>VLOOKUP(E352,dicionario!$A$1:$C751,3,0)</f>
        <v>borboleta-pavão-branco</v>
      </c>
    </row>
    <row r="353">
      <c r="A353" s="13">
        <v>45554.0</v>
      </c>
      <c r="B353" s="4">
        <v>0.35208333333333336</v>
      </c>
      <c r="C353" s="16" t="s">
        <v>76</v>
      </c>
      <c r="D353" s="5" t="s">
        <v>220</v>
      </c>
      <c r="E353" s="12" t="s">
        <v>86</v>
      </c>
      <c r="F353" s="7" t="s">
        <v>87</v>
      </c>
      <c r="G353" s="6" t="str">
        <f>VLOOKUP(E353,dicionario!$A$1:$C752,2,0)</f>
        <v>Coereba flaveola</v>
      </c>
      <c r="H353" s="6" t="str">
        <f>VLOOKUP(E353,dicionario!$A$1:$C752,3,0)</f>
        <v>cambacica</v>
      </c>
    </row>
    <row r="354">
      <c r="A354" s="13">
        <v>45554.0</v>
      </c>
      <c r="B354" s="4">
        <v>0.35347222222222224</v>
      </c>
      <c r="C354" s="16" t="s">
        <v>76</v>
      </c>
      <c r="D354" s="5" t="s">
        <v>220</v>
      </c>
      <c r="E354" s="6" t="s">
        <v>260</v>
      </c>
      <c r="F354" s="7" t="s">
        <v>261</v>
      </c>
      <c r="G354" s="6" t="str">
        <f>VLOOKUP(E354,dicionario!$A$1:$C753,2,0)</f>
        <v>Ruellia paniculata</v>
      </c>
      <c r="H354" s="6" t="str">
        <f>VLOOKUP(E354,dicionario!$A$1:$C753,3,0)</f>
        <v>ruélia</v>
      </c>
    </row>
    <row r="355">
      <c r="A355" s="13">
        <v>45554.0</v>
      </c>
      <c r="B355" s="4">
        <v>0.35347222222222224</v>
      </c>
      <c r="C355" s="17" t="s">
        <v>76</v>
      </c>
      <c r="D355" s="5" t="s">
        <v>220</v>
      </c>
      <c r="E355" s="6" t="s">
        <v>41</v>
      </c>
      <c r="F355" s="7" t="s">
        <v>45</v>
      </c>
      <c r="G355" s="6" t="str">
        <f>VLOOKUP(E355,dicionario!$A$1:$C754,2,0)</f>
        <v>Mimosa pudica</v>
      </c>
      <c r="H355" s="6" t="str">
        <f>VLOOKUP(E355,dicionario!$A$1:$C754,3,0)</f>
        <v>dormideira</v>
      </c>
    </row>
    <row r="356">
      <c r="A356" s="13">
        <v>45554.0</v>
      </c>
      <c r="B356" s="4">
        <v>0.3541666666666667</v>
      </c>
      <c r="C356" s="17" t="s">
        <v>76</v>
      </c>
      <c r="D356" s="5" t="s">
        <v>220</v>
      </c>
      <c r="E356" s="6" t="s">
        <v>262</v>
      </c>
      <c r="F356" s="7" t="s">
        <v>263</v>
      </c>
      <c r="G356" s="6" t="str">
        <f>VLOOKUP(E356,dicionario!$A$1:$C755,2,0)</f>
        <v>Portulaca oleracea</v>
      </c>
      <c r="H356" s="6" t="str">
        <f>VLOOKUP(E356,dicionario!$A$1:$C755,3,0)</f>
        <v>beldroega</v>
      </c>
    </row>
    <row r="357">
      <c r="A357" s="13">
        <v>45554.0</v>
      </c>
      <c r="B357" s="4">
        <v>0.3541666666666667</v>
      </c>
      <c r="C357" s="17" t="s">
        <v>76</v>
      </c>
      <c r="D357" s="5" t="s">
        <v>220</v>
      </c>
      <c r="E357" s="6" t="s">
        <v>150</v>
      </c>
      <c r="F357" s="7" t="s">
        <v>264</v>
      </c>
      <c r="G357" s="6" t="str">
        <f>VLOOKUP(E357,dicionario!$A$1:$C756,2,0)</f>
        <v>Amaranthus viridis</v>
      </c>
      <c r="H357" s="6" t="str">
        <f>VLOOKUP(E357,dicionario!$A$1:$C756,3,0)</f>
        <v>caruru-de-mancha</v>
      </c>
    </row>
    <row r="358">
      <c r="A358" s="13">
        <v>45554.0</v>
      </c>
      <c r="B358" s="4">
        <v>0.3541666666666667</v>
      </c>
      <c r="C358" s="17" t="s">
        <v>76</v>
      </c>
      <c r="D358" s="5" t="s">
        <v>220</v>
      </c>
      <c r="E358" s="6" t="s">
        <v>265</v>
      </c>
      <c r="F358" s="7" t="s">
        <v>266</v>
      </c>
      <c r="G358" s="6" t="str">
        <f>VLOOKUP(E358,dicionario!$A$1:$C757,2,0)</f>
        <v>Sonchus oleraceus</v>
      </c>
      <c r="H358" s="6" t="str">
        <f>VLOOKUP(E358,dicionario!$A$1:$C757,3,0)</f>
        <v>seralha</v>
      </c>
    </row>
    <row r="359">
      <c r="A359" s="13">
        <v>45554.0</v>
      </c>
      <c r="B359" s="4">
        <v>0.3541666666666667</v>
      </c>
      <c r="C359" s="16" t="s">
        <v>76</v>
      </c>
      <c r="D359" s="5" t="s">
        <v>220</v>
      </c>
      <c r="E359" s="6" t="s">
        <v>267</v>
      </c>
      <c r="F359" s="7" t="s">
        <v>268</v>
      </c>
      <c r="G359" s="6" t="str">
        <f>VLOOKUP(E359,dicionario!$A$1:$C758,2,0)</f>
        <v>Solanum americanum</v>
      </c>
      <c r="H359" s="6" t="str">
        <f>VLOOKUP(E359,dicionario!$A$1:$C758,3,0)</f>
        <v>maria-pretinha</v>
      </c>
    </row>
    <row r="360">
      <c r="A360" s="13">
        <v>45554.0</v>
      </c>
      <c r="B360" s="4">
        <v>0.3541666666666667</v>
      </c>
      <c r="C360" s="16" t="s">
        <v>76</v>
      </c>
      <c r="D360" s="5" t="s">
        <v>220</v>
      </c>
      <c r="E360" s="6" t="s">
        <v>269</v>
      </c>
      <c r="F360" s="7" t="s">
        <v>270</v>
      </c>
      <c r="G360" s="6" t="str">
        <f>VLOOKUP(E360,dicionario!$A$1:$C759,2,0)</f>
        <v>#N/A</v>
      </c>
      <c r="H360" s="6" t="str">
        <f>VLOOKUP(E360,dicionario!$A$1:$C759,3,0)</f>
        <v>#N/A</v>
      </c>
    </row>
    <row r="361">
      <c r="A361" s="13">
        <v>45554.0</v>
      </c>
      <c r="B361" s="4">
        <v>0.3541666666666667</v>
      </c>
      <c r="C361" s="16" t="s">
        <v>76</v>
      </c>
      <c r="D361" s="5" t="s">
        <v>220</v>
      </c>
      <c r="E361" s="6" t="s">
        <v>202</v>
      </c>
      <c r="F361" s="7" t="s">
        <v>203</v>
      </c>
      <c r="G361" s="6" t="str">
        <f>VLOOKUP(E361,dicionario!$A$1:$C760,2,0)</f>
        <v>Dysdercus</v>
      </c>
      <c r="H361" s="6" t="str">
        <f>VLOOKUP(E361,dicionario!$A$1:$C760,3,0)</f>
        <v>percevejo-manchador</v>
      </c>
    </row>
    <row r="362">
      <c r="A362" s="13">
        <v>45554.0</v>
      </c>
      <c r="B362" s="4">
        <v>0.3548611111111111</v>
      </c>
      <c r="C362" s="16" t="s">
        <v>76</v>
      </c>
      <c r="D362" s="5" t="s">
        <v>220</v>
      </c>
      <c r="E362" s="6" t="s">
        <v>271</v>
      </c>
      <c r="F362" s="7" t="s">
        <v>272</v>
      </c>
      <c r="G362" s="6" t="str">
        <f>VLOOKUP(E362,dicionario!$A$1:$C761,2,0)</f>
        <v>Cyanthillium cinereum</v>
      </c>
      <c r="H362" s="6" t="str">
        <f>VLOOKUP(E362,dicionario!$A$1:$C761,3,0)</f>
        <v>emília</v>
      </c>
    </row>
    <row r="363">
      <c r="A363" s="13">
        <v>45554.0</v>
      </c>
      <c r="B363" s="4">
        <v>0.3548611111111111</v>
      </c>
      <c r="C363" s="17" t="s">
        <v>76</v>
      </c>
      <c r="D363" s="5" t="s">
        <v>220</v>
      </c>
      <c r="E363" s="6" t="s">
        <v>273</v>
      </c>
      <c r="F363" s="7" t="s">
        <v>274</v>
      </c>
      <c r="G363" s="6" t="str">
        <f>VLOOKUP(E363,dicionario!$A$1:$C762,2,0)</f>
        <v>#N/A</v>
      </c>
      <c r="H363" s="6" t="str">
        <f>VLOOKUP(E363,dicionario!$A$1:$C762,3,0)</f>
        <v>#N/A</v>
      </c>
    </row>
    <row r="364">
      <c r="A364" s="13">
        <v>45554.0</v>
      </c>
      <c r="B364" s="4">
        <v>0.35555555555555557</v>
      </c>
      <c r="C364" s="17" t="s">
        <v>76</v>
      </c>
      <c r="D364" s="5" t="s">
        <v>220</v>
      </c>
      <c r="E364" s="6" t="s">
        <v>253</v>
      </c>
      <c r="F364" s="7" t="s">
        <v>254</v>
      </c>
      <c r="G364" s="6" t="str">
        <f>VLOOKUP(E364,dicionario!$A$1:$C763,2,0)</f>
        <v>Panicum maximum</v>
      </c>
      <c r="H364" s="6" t="str">
        <f>VLOOKUP(E364,dicionario!$A$1:$C763,3,0)</f>
        <v>capim-colonião</v>
      </c>
    </row>
    <row r="365">
      <c r="A365" s="13">
        <v>45554.0</v>
      </c>
      <c r="B365" s="4">
        <v>0.35555555555555557</v>
      </c>
      <c r="C365" s="17" t="s">
        <v>76</v>
      </c>
      <c r="D365" s="5" t="s">
        <v>220</v>
      </c>
      <c r="E365" s="6" t="s">
        <v>275</v>
      </c>
      <c r="F365" s="7" t="s">
        <v>276</v>
      </c>
      <c r="G365" s="6" t="str">
        <f>VLOOKUP(E365,dicionario!$A$1:$C764,2,0)</f>
        <v>Bidens pilosa</v>
      </c>
      <c r="H365" s="6" t="str">
        <f>VLOOKUP(E365,dicionario!$A$1:$C764,3,0)</f>
        <v>picão-preto</v>
      </c>
    </row>
    <row r="366">
      <c r="A366" s="13">
        <v>45554.0</v>
      </c>
      <c r="B366" s="4">
        <v>0.3576388888888889</v>
      </c>
      <c r="C366" s="17" t="s">
        <v>76</v>
      </c>
      <c r="D366" s="5" t="s">
        <v>220</v>
      </c>
      <c r="E366" s="6" t="s">
        <v>183</v>
      </c>
      <c r="F366" s="7" t="s">
        <v>277</v>
      </c>
      <c r="G366" s="6" t="str">
        <f>VLOOKUP(E366,dicionario!$A$1:$C765,2,0)</f>
        <v>Thunbergia alata</v>
      </c>
      <c r="H366" s="6" t="str">
        <f>VLOOKUP(E366,dicionario!$A$1:$C765,3,0)</f>
        <v>susana-dos-olhos-negros</v>
      </c>
    </row>
    <row r="367">
      <c r="A367" s="13">
        <v>45554.0</v>
      </c>
      <c r="B367" s="4">
        <v>0.3576388888888889</v>
      </c>
      <c r="C367" s="16" t="s">
        <v>76</v>
      </c>
      <c r="D367" s="5" t="s">
        <v>220</v>
      </c>
      <c r="E367" s="12" t="s">
        <v>14</v>
      </c>
      <c r="F367" s="7" t="s">
        <v>15</v>
      </c>
      <c r="G367" s="6" t="str">
        <f>VLOOKUP(E367,dicionario!$A$1:$C766,2,0)</f>
        <v>Spermacoce verticillata</v>
      </c>
      <c r="H367" s="6" t="str">
        <f>VLOOKUP(E367,dicionario!$A$1:$C766,3,0)</f>
        <v>vassourinha-de-botão</v>
      </c>
    </row>
    <row r="368">
      <c r="A368" s="13">
        <v>45554.0</v>
      </c>
      <c r="B368" s="4">
        <v>0.3576388888888889</v>
      </c>
      <c r="C368" s="16" t="s">
        <v>76</v>
      </c>
      <c r="D368" s="5" t="s">
        <v>220</v>
      </c>
      <c r="E368" s="6" t="s">
        <v>229</v>
      </c>
      <c r="F368" s="7" t="s">
        <v>230</v>
      </c>
      <c r="G368" s="6" t="str">
        <f>VLOOKUP(E368,dicionario!$A$1:$C767,2,0)</f>
        <v>Apis mellifera</v>
      </c>
      <c r="H368" s="6" t="str">
        <f>VLOOKUP(E368,dicionario!$A$1:$C767,3,0)</f>
        <v>abelha-do-mel</v>
      </c>
    </row>
    <row r="369">
      <c r="A369" s="13">
        <v>45554.0</v>
      </c>
      <c r="B369" s="4">
        <v>0.35833333333333334</v>
      </c>
      <c r="C369" s="16" t="s">
        <v>76</v>
      </c>
      <c r="D369" s="5" t="s">
        <v>220</v>
      </c>
      <c r="E369" s="6" t="s">
        <v>278</v>
      </c>
      <c r="F369" s="7" t="s">
        <v>279</v>
      </c>
      <c r="G369" s="6" t="str">
        <f>VLOOKUP(E369,dicionario!$A$1:$C768,2,0)</f>
        <v>#N/A</v>
      </c>
      <c r="H369" s="6" t="str">
        <f>VLOOKUP(E369,dicionario!$A$1:$C768,3,0)</f>
        <v>#N/A</v>
      </c>
    </row>
    <row r="370">
      <c r="A370" s="13">
        <v>45554.0</v>
      </c>
      <c r="B370" s="4">
        <v>0.35833333333333334</v>
      </c>
      <c r="C370" s="16" t="s">
        <v>76</v>
      </c>
      <c r="D370" s="5" t="s">
        <v>220</v>
      </c>
      <c r="E370" s="6" t="s">
        <v>280</v>
      </c>
      <c r="F370" s="7" t="s">
        <v>281</v>
      </c>
      <c r="G370" s="6" t="str">
        <f>VLOOKUP(E370,dicionario!$A$1:$C769,2,0)</f>
        <v>Lepidium virginicum</v>
      </c>
      <c r="H370" s="6" t="str">
        <f>VLOOKUP(E370,dicionario!$A$1:$C769,3,0)</f>
        <v>mastruz</v>
      </c>
    </row>
    <row r="371">
      <c r="A371" s="13">
        <v>45554.0</v>
      </c>
      <c r="B371" s="4">
        <v>0.35833333333333334</v>
      </c>
      <c r="C371" s="17" t="s">
        <v>76</v>
      </c>
      <c r="D371" s="5" t="s">
        <v>220</v>
      </c>
      <c r="E371" s="6" t="s">
        <v>154</v>
      </c>
      <c r="F371" s="7" t="s">
        <v>155</v>
      </c>
      <c r="G371" s="6" t="str">
        <f>VLOOKUP(E371,dicionario!$A$1:$C770,2,0)</f>
        <v>Cyperus rotundus</v>
      </c>
      <c r="H371" s="6" t="str">
        <f>VLOOKUP(E371,dicionario!$A$1:$C770,3,0)</f>
        <v>tiririca</v>
      </c>
    </row>
    <row r="372">
      <c r="A372" s="13">
        <v>45554.0</v>
      </c>
      <c r="B372" s="4">
        <v>0.3590277777777778</v>
      </c>
      <c r="C372" s="17" t="s">
        <v>76</v>
      </c>
      <c r="D372" s="5" t="s">
        <v>220</v>
      </c>
      <c r="E372" s="6" t="s">
        <v>282</v>
      </c>
      <c r="F372" s="7" t="s">
        <v>283</v>
      </c>
      <c r="G372" s="6" t="str">
        <f>VLOOKUP(E372,dicionario!$A$1:$C771,2,0)</f>
        <v>#N/A</v>
      </c>
      <c r="H372" s="6" t="str">
        <f>VLOOKUP(E372,dicionario!$A$1:$C771,3,0)</f>
        <v>#N/A</v>
      </c>
    </row>
    <row r="373">
      <c r="A373" s="13">
        <v>45554.0</v>
      </c>
      <c r="B373" s="4">
        <v>0.3590277777777778</v>
      </c>
      <c r="C373" s="17" t="s">
        <v>76</v>
      </c>
      <c r="D373" s="5" t="s">
        <v>220</v>
      </c>
      <c r="E373" s="6" t="s">
        <v>284</v>
      </c>
      <c r="F373" s="7" t="s">
        <v>285</v>
      </c>
      <c r="G373" s="6" t="str">
        <f>VLOOKUP(E373,dicionario!$A$1:$C772,2,0)</f>
        <v>#N/A</v>
      </c>
      <c r="H373" s="6" t="str">
        <f>VLOOKUP(E373,dicionario!$A$1:$C772,3,0)</f>
        <v>#N/A</v>
      </c>
    </row>
    <row r="374">
      <c r="A374" s="13">
        <v>45554.0</v>
      </c>
      <c r="B374" s="4">
        <v>0.3597222222222222</v>
      </c>
      <c r="C374" s="17" t="s">
        <v>76</v>
      </c>
      <c r="D374" s="5" t="s">
        <v>220</v>
      </c>
      <c r="E374" s="12" t="s">
        <v>88</v>
      </c>
      <c r="F374" s="7" t="s">
        <v>89</v>
      </c>
      <c r="G374" s="6" t="str">
        <f>VLOOKUP(E374,dicionario!$A$1:$C773,2,0)</f>
        <v>Tyrannus melancolichus</v>
      </c>
      <c r="H374" s="6" t="str">
        <f>VLOOKUP(E374,dicionario!$A$1:$C773,3,0)</f>
        <v>suiriri</v>
      </c>
    </row>
    <row r="375">
      <c r="A375" s="13">
        <v>45554.0</v>
      </c>
      <c r="B375" s="4">
        <v>0.3597222222222222</v>
      </c>
      <c r="C375" s="16" t="s">
        <v>76</v>
      </c>
      <c r="D375" s="5" t="s">
        <v>220</v>
      </c>
      <c r="E375" s="6" t="s">
        <v>286</v>
      </c>
      <c r="F375" s="7" t="s">
        <v>287</v>
      </c>
      <c r="G375" s="6" t="str">
        <f>VLOOKUP(E375,dicionario!$A$1:$C774,2,0)</f>
        <v>Setaria parviflora</v>
      </c>
      <c r="H375" s="6" t="str">
        <f>VLOOKUP(E375,dicionario!$A$1:$C774,3,0)</f>
        <v>capim-rabo-de-raposa</v>
      </c>
    </row>
    <row r="376">
      <c r="A376" s="13">
        <v>45554.0</v>
      </c>
      <c r="B376" s="4">
        <v>0.36041666666666666</v>
      </c>
      <c r="C376" s="16" t="s">
        <v>76</v>
      </c>
      <c r="D376" s="5" t="s">
        <v>220</v>
      </c>
      <c r="E376" s="12" t="s">
        <v>243</v>
      </c>
      <c r="F376" s="7" t="s">
        <v>244</v>
      </c>
      <c r="G376" s="6" t="str">
        <f>VLOOKUP(E376,dicionario!$A$1:$C775,2,0)</f>
        <v>Macroptilium atropurpureum</v>
      </c>
      <c r="H376" s="6" t="str">
        <f>VLOOKUP(E376,dicionario!$A$1:$C775,3,0)</f>
        <v>feijão-de-pombo</v>
      </c>
    </row>
    <row r="377">
      <c r="A377" s="13">
        <v>45554.0</v>
      </c>
      <c r="B377" s="4">
        <v>0.36041666666666666</v>
      </c>
      <c r="C377" s="16" t="s">
        <v>76</v>
      </c>
      <c r="D377" s="5" t="s">
        <v>220</v>
      </c>
      <c r="E377" s="6" t="s">
        <v>48</v>
      </c>
      <c r="F377" s="7" t="s">
        <v>49</v>
      </c>
      <c r="G377" s="6" t="str">
        <f>VLOOKUP(E377,dicionario!$A$1:$C776,2,0)</f>
        <v>Commelina erecta</v>
      </c>
      <c r="H377" s="6" t="str">
        <f>VLOOKUP(E377,dicionario!$A$1:$C776,3,0)</f>
        <v>trapoeraba</v>
      </c>
    </row>
    <row r="378">
      <c r="A378" s="13">
        <v>45554.0</v>
      </c>
      <c r="B378" s="4">
        <v>0.36041666666666666</v>
      </c>
      <c r="C378" s="16" t="s">
        <v>76</v>
      </c>
      <c r="D378" s="5" t="s">
        <v>220</v>
      </c>
      <c r="E378" s="6" t="s">
        <v>144</v>
      </c>
      <c r="F378" s="7" t="s">
        <v>145</v>
      </c>
      <c r="G378" s="6" t="str">
        <f>VLOOKUP(E378,dicionario!$A$1:$C777,2,0)</f>
        <v>Gomphrena globosa</v>
      </c>
      <c r="H378" s="6" t="str">
        <f>VLOOKUP(E378,dicionario!$A$1:$C777,3,0)</f>
        <v>perpétua-rosa</v>
      </c>
    </row>
    <row r="379">
      <c r="A379" s="13">
        <v>45554.0</v>
      </c>
      <c r="B379" s="4">
        <v>0.36041666666666666</v>
      </c>
      <c r="C379" s="16" t="s">
        <v>76</v>
      </c>
      <c r="D379" s="5" t="s">
        <v>220</v>
      </c>
      <c r="E379" s="6" t="s">
        <v>288</v>
      </c>
      <c r="F379" s="7" t="s">
        <v>289</v>
      </c>
      <c r="G379" s="6" t="str">
        <f>VLOOKUP(E379,dicionario!$A$1:$C778,2,0)</f>
        <v>Phyllanthus tenellus</v>
      </c>
      <c r="H379" s="6" t="str">
        <f>VLOOKUP(E379,dicionario!$A$1:$C778,3,0)</f>
        <v>quebra-pedra</v>
      </c>
    </row>
    <row r="380">
      <c r="A380" s="13">
        <v>45554.0</v>
      </c>
      <c r="B380" s="4">
        <v>0.3611111111111111</v>
      </c>
      <c r="C380" s="16" t="s">
        <v>76</v>
      </c>
      <c r="D380" s="5" t="s">
        <v>220</v>
      </c>
      <c r="E380" s="6" t="s">
        <v>290</v>
      </c>
      <c r="F380" s="7" t="s">
        <v>291</v>
      </c>
      <c r="G380" s="6" t="str">
        <f>VLOOKUP(E380,dicionario!$A$1:$C779,2,0)</f>
        <v>Drymaria cordata</v>
      </c>
      <c r="H380" s="6" t="str">
        <f>VLOOKUP(E380,dicionario!$A$1:$C779,3,0)</f>
        <v>orelha-de-rato</v>
      </c>
    </row>
    <row r="381">
      <c r="A381" s="13">
        <v>45554.0</v>
      </c>
      <c r="B381" s="4">
        <v>0.3611111111111111</v>
      </c>
      <c r="C381" s="17" t="s">
        <v>76</v>
      </c>
      <c r="D381" s="5" t="s">
        <v>220</v>
      </c>
      <c r="E381" s="6" t="s">
        <v>292</v>
      </c>
      <c r="F381" s="7" t="s">
        <v>293</v>
      </c>
      <c r="G381" s="6" t="str">
        <f>VLOOKUP(E381,dicionario!$A$1:$C780,2,0)</f>
        <v>Ascia monuste</v>
      </c>
      <c r="H381" s="6" t="str">
        <f>VLOOKUP(E381,dicionario!$A$1:$C780,3,0)</f>
        <v>borboleta-da-couve</v>
      </c>
    </row>
    <row r="382">
      <c r="A382" s="13">
        <v>45554.0</v>
      </c>
      <c r="B382" s="4">
        <v>0.36180555555555555</v>
      </c>
      <c r="C382" s="17" t="s">
        <v>76</v>
      </c>
      <c r="D382" s="5" t="s">
        <v>220</v>
      </c>
      <c r="E382" s="6" t="s">
        <v>239</v>
      </c>
      <c r="F382" s="7" t="s">
        <v>240</v>
      </c>
      <c r="G382" s="6" t="str">
        <f>VLOOKUP(E382,dicionario!$A$1:$C781,2,0)</f>
        <v>Gomphrena celosioides</v>
      </c>
      <c r="H382" s="6" t="str">
        <f>VLOOKUP(E382,dicionario!$A$1:$C781,3,0)</f>
        <v>perpétua-branca</v>
      </c>
    </row>
    <row r="383">
      <c r="A383" s="13">
        <v>45554.0</v>
      </c>
      <c r="B383" s="4">
        <v>0.36319444444444443</v>
      </c>
      <c r="C383" s="17" t="s">
        <v>76</v>
      </c>
      <c r="D383" s="5" t="s">
        <v>220</v>
      </c>
      <c r="E383" s="12" t="s">
        <v>111</v>
      </c>
      <c r="F383" s="7" t="s">
        <v>112</v>
      </c>
      <c r="G383" s="6" t="str">
        <f>VLOOKUP(E383,dicionario!$A$1:$C782,2,0)</f>
        <v>Trigona spinipes</v>
      </c>
      <c r="H383" s="6" t="str">
        <f>VLOOKUP(E383,dicionario!$A$1:$C782,3,0)</f>
        <v>abelha-cachorro</v>
      </c>
    </row>
    <row r="384">
      <c r="A384" s="13">
        <v>45554.0</v>
      </c>
      <c r="B384" s="4">
        <v>0.36319444444444443</v>
      </c>
      <c r="C384" s="17" t="s">
        <v>76</v>
      </c>
      <c r="D384" s="5" t="s">
        <v>220</v>
      </c>
      <c r="E384" s="6" t="s">
        <v>294</v>
      </c>
      <c r="F384" s="7" t="s">
        <v>295</v>
      </c>
      <c r="G384" s="6" t="str">
        <f>VLOOKUP(E384,dicionario!$A$1:$C783,2,0)</f>
        <v>Cycloneda sanguinea</v>
      </c>
      <c r="H384" s="6" t="str">
        <f>VLOOKUP(E384,dicionario!$A$1:$C783,3,0)</f>
        <v>joaninha-sem-pintas</v>
      </c>
    </row>
    <row r="385">
      <c r="A385" s="13">
        <v>45554.0</v>
      </c>
      <c r="B385" s="4">
        <v>0.3659722222222222</v>
      </c>
      <c r="C385" s="17" t="s">
        <v>76</v>
      </c>
      <c r="D385" s="5" t="s">
        <v>220</v>
      </c>
      <c r="E385" s="6" t="s">
        <v>163</v>
      </c>
      <c r="F385" s="7" t="s">
        <v>164</v>
      </c>
      <c r="G385" s="6" t="str">
        <f>VLOOKUP(E385,dicionario!$A$1:$C784,2,0)</f>
        <v>Coragyps atratus</v>
      </c>
      <c r="H385" s="6" t="str">
        <f>VLOOKUP(E385,dicionario!$A$1:$C784,3,0)</f>
        <v>urubu-de-cabeça-preta</v>
      </c>
    </row>
    <row r="386">
      <c r="A386" s="13">
        <v>45554.0</v>
      </c>
      <c r="B386" s="4">
        <v>0.3680555555555556</v>
      </c>
      <c r="C386" s="5" t="s">
        <v>85</v>
      </c>
      <c r="D386" s="5" t="s">
        <v>220</v>
      </c>
      <c r="E386" s="12" t="s">
        <v>65</v>
      </c>
      <c r="F386" s="7" t="s">
        <v>66</v>
      </c>
      <c r="G386" s="6" t="str">
        <f>VLOOKUP(E386,dicionario!$A$1:$C785,2,0)</f>
        <v>Pitangus sulphutarus</v>
      </c>
      <c r="H386" s="6" t="str">
        <f>VLOOKUP(E386,dicionario!$A$1:$C785,3,0)</f>
        <v>bem-te-vi</v>
      </c>
    </row>
    <row r="387">
      <c r="A387" s="13">
        <v>45554.0</v>
      </c>
      <c r="B387" s="4">
        <v>0.3680555555555556</v>
      </c>
      <c r="C387" s="5" t="s">
        <v>85</v>
      </c>
      <c r="D387" s="5" t="s">
        <v>220</v>
      </c>
      <c r="E387" s="15" t="s">
        <v>38</v>
      </c>
      <c r="F387" s="5" t="s">
        <v>39</v>
      </c>
      <c r="G387" s="6" t="str">
        <f>VLOOKUP(E387,dicionario!$A$1:$C786,2,0)</f>
        <v>Troglodytes musculus</v>
      </c>
      <c r="H387" s="6" t="str">
        <f>VLOOKUP(E387,dicionario!$A$1:$C786,3,0)</f>
        <v>curruíra</v>
      </c>
    </row>
    <row r="388">
      <c r="A388" s="13">
        <v>45554.0</v>
      </c>
      <c r="B388" s="4">
        <v>0.3680555555555556</v>
      </c>
      <c r="C388" s="5" t="s">
        <v>85</v>
      </c>
      <c r="D388" s="5" t="s">
        <v>220</v>
      </c>
      <c r="E388" s="12" t="s">
        <v>88</v>
      </c>
      <c r="F388" s="7" t="s">
        <v>89</v>
      </c>
      <c r="G388" s="6" t="str">
        <f>VLOOKUP(E388,dicionario!$A$1:$C787,2,0)</f>
        <v>Tyrannus melancolichus</v>
      </c>
      <c r="H388" s="6" t="str">
        <f>VLOOKUP(E388,dicionario!$A$1:$C787,3,0)</f>
        <v>suiriri</v>
      </c>
    </row>
    <row r="389">
      <c r="A389" s="13">
        <v>45554.0</v>
      </c>
      <c r="B389" s="4">
        <v>0.36875</v>
      </c>
      <c r="C389" s="5" t="s">
        <v>85</v>
      </c>
      <c r="D389" s="5" t="s">
        <v>220</v>
      </c>
      <c r="E389" s="12" t="s">
        <v>86</v>
      </c>
      <c r="F389" s="7" t="s">
        <v>87</v>
      </c>
      <c r="G389" s="6" t="str">
        <f>VLOOKUP(E389,dicionario!$A$1:$C788,2,0)</f>
        <v>Coereba flaveola</v>
      </c>
      <c r="H389" s="6" t="str">
        <f>VLOOKUP(E389,dicionario!$A$1:$C788,3,0)</f>
        <v>cambacica</v>
      </c>
    </row>
    <row r="390">
      <c r="A390" s="13">
        <v>45554.0</v>
      </c>
      <c r="B390" s="4">
        <v>0.36875</v>
      </c>
      <c r="C390" s="5" t="s">
        <v>85</v>
      </c>
      <c r="D390" s="5" t="s">
        <v>220</v>
      </c>
      <c r="E390" s="12" t="s">
        <v>132</v>
      </c>
      <c r="F390" s="7" t="s">
        <v>133</v>
      </c>
      <c r="G390" s="6" t="str">
        <f>VLOOKUP(E390,dicionario!$A$1:$C789,2,0)</f>
        <v>Euphonia chlorotica</v>
      </c>
      <c r="H390" s="6" t="str">
        <f>VLOOKUP(E390,dicionario!$A$1:$C789,3,0)</f>
        <v>fim-fim</v>
      </c>
    </row>
    <row r="391">
      <c r="A391" s="13">
        <v>45554.0</v>
      </c>
      <c r="B391" s="4">
        <v>0.36875</v>
      </c>
      <c r="C391" s="5" t="s">
        <v>85</v>
      </c>
      <c r="D391" s="5" t="s">
        <v>220</v>
      </c>
      <c r="E391" s="6" t="s">
        <v>53</v>
      </c>
      <c r="F391" s="7" t="s">
        <v>54</v>
      </c>
      <c r="G391" s="6" t="str">
        <f>VLOOKUP(E391,dicionario!$A$1:$C790,2,0)</f>
        <v>Turnera subulata</v>
      </c>
      <c r="H391" s="6" t="str">
        <f>VLOOKUP(E391,dicionario!$A$1:$C790,3,0)</f>
        <v>xanana</v>
      </c>
    </row>
    <row r="392">
      <c r="A392" s="13">
        <v>45554.0</v>
      </c>
      <c r="B392" s="4">
        <v>0.36944444444444446</v>
      </c>
      <c r="C392" s="5" t="s">
        <v>85</v>
      </c>
      <c r="D392" s="5" t="s">
        <v>220</v>
      </c>
      <c r="E392" s="12" t="s">
        <v>243</v>
      </c>
      <c r="F392" s="7" t="s">
        <v>244</v>
      </c>
      <c r="G392" s="6" t="str">
        <f>VLOOKUP(E392,dicionario!$A$1:$C791,2,0)</f>
        <v>Macroptilium atropurpureum</v>
      </c>
      <c r="H392" s="6" t="str">
        <f>VLOOKUP(E392,dicionario!$A$1:$C791,3,0)</f>
        <v>feijão-de-pombo</v>
      </c>
    </row>
    <row r="393">
      <c r="A393" s="13">
        <v>45554.0</v>
      </c>
      <c r="B393" s="4">
        <v>0.36944444444444446</v>
      </c>
      <c r="C393" s="5" t="s">
        <v>85</v>
      </c>
      <c r="D393" s="5" t="s">
        <v>220</v>
      </c>
      <c r="E393" s="12" t="s">
        <v>162</v>
      </c>
      <c r="F393" s="7" t="s">
        <v>42</v>
      </c>
      <c r="G393" s="6" t="str">
        <f>VLOOKUP(E393,dicionario!$A$1:$C792,2,0)</f>
        <v>Fluvicola nengeta</v>
      </c>
      <c r="H393" s="6" t="str">
        <f>VLOOKUP(E393,dicionario!$A$1:$C792,3,0)</f>
        <v>lavadeira-mascarada</v>
      </c>
    </row>
    <row r="394">
      <c r="A394" s="13">
        <v>45554.0</v>
      </c>
      <c r="B394" s="4">
        <v>0.36944444444444446</v>
      </c>
      <c r="C394" s="5" t="s">
        <v>85</v>
      </c>
      <c r="D394" s="5" t="s">
        <v>220</v>
      </c>
      <c r="E394" s="6" t="s">
        <v>296</v>
      </c>
      <c r="F394" s="7" t="s">
        <v>297</v>
      </c>
      <c r="G394" s="6" t="str">
        <f>VLOOKUP(E394,dicionario!$A$1:$C793,2,0)</f>
        <v>Richardia brasiliensis</v>
      </c>
      <c r="H394" s="6" t="str">
        <f>VLOOKUP(E394,dicionario!$A$1:$C793,3,0)</f>
        <v>poaia-branca</v>
      </c>
    </row>
    <row r="395">
      <c r="A395" s="13">
        <v>45554.0</v>
      </c>
      <c r="B395" s="4">
        <v>0.3701388888888889</v>
      </c>
      <c r="C395" s="5" t="s">
        <v>85</v>
      </c>
      <c r="D395" s="5" t="s">
        <v>220</v>
      </c>
      <c r="E395" s="6" t="s">
        <v>237</v>
      </c>
      <c r="F395" s="7" t="s">
        <v>238</v>
      </c>
      <c r="G395" s="6" t="str">
        <f>VLOOKUP(E395,dicionario!$A$1:$C794,2,0)</f>
        <v>Acromyrmex</v>
      </c>
      <c r="H395" s="6" t="str">
        <f>VLOOKUP(E395,dicionario!$A$1:$C794,3,0)</f>
        <v>quenquén</v>
      </c>
    </row>
    <row r="396">
      <c r="A396" s="13">
        <v>45554.0</v>
      </c>
      <c r="B396" s="4">
        <v>0.37083333333333335</v>
      </c>
      <c r="C396" s="5" t="s">
        <v>85</v>
      </c>
      <c r="D396" s="5" t="s">
        <v>220</v>
      </c>
      <c r="E396" s="6" t="s">
        <v>298</v>
      </c>
      <c r="F396" s="5" t="s">
        <v>299</v>
      </c>
      <c r="G396" s="6" t="str">
        <f>VLOOKUP(E396,dicionario!$A$1:$C795,2,0)</f>
        <v>Alysicarpus vaginalis</v>
      </c>
      <c r="H396" s="6" t="str">
        <f>VLOOKUP(E396,dicionario!$A$1:$C795,3,0)</f>
        <v/>
      </c>
    </row>
    <row r="397">
      <c r="A397" s="13">
        <v>45554.0</v>
      </c>
      <c r="B397" s="4">
        <v>0.3715277777777778</v>
      </c>
      <c r="C397" s="5" t="s">
        <v>85</v>
      </c>
      <c r="D397" s="5" t="s">
        <v>220</v>
      </c>
      <c r="E397" s="12" t="s">
        <v>135</v>
      </c>
      <c r="F397" s="7" t="s">
        <v>136</v>
      </c>
      <c r="G397" s="6" t="str">
        <f>VLOOKUP(E397,dicionario!$A$1:$C796,2,0)</f>
        <v>Tridax procumbens</v>
      </c>
      <c r="H397" s="6" t="str">
        <f>VLOOKUP(E397,dicionario!$A$1:$C796,3,0)</f>
        <v>erva-de-touro</v>
      </c>
    </row>
    <row r="398">
      <c r="A398" s="13">
        <v>45554.0</v>
      </c>
      <c r="B398" s="4">
        <v>0.3715277777777778</v>
      </c>
      <c r="C398" s="5" t="s">
        <v>85</v>
      </c>
      <c r="D398" s="5" t="s">
        <v>220</v>
      </c>
      <c r="E398" s="12" t="s">
        <v>111</v>
      </c>
      <c r="F398" s="7" t="s">
        <v>112</v>
      </c>
      <c r="G398" s="6" t="str">
        <f>VLOOKUP(E398,dicionario!$A$1:$C797,2,0)</f>
        <v>Trigona spinipes</v>
      </c>
      <c r="H398" s="6" t="str">
        <f>VLOOKUP(E398,dicionario!$A$1:$C797,3,0)</f>
        <v>abelha-cachorro</v>
      </c>
    </row>
    <row r="399">
      <c r="A399" s="13">
        <v>45554.0</v>
      </c>
      <c r="B399" s="4">
        <v>0.3715277777777778</v>
      </c>
      <c r="C399" s="5" t="s">
        <v>85</v>
      </c>
      <c r="D399" s="5" t="s">
        <v>220</v>
      </c>
      <c r="E399" s="6" t="s">
        <v>284</v>
      </c>
      <c r="F399" s="7" t="s">
        <v>285</v>
      </c>
      <c r="G399" s="6" t="str">
        <f>VLOOKUP(E399,dicionario!$A$1:$C798,2,0)</f>
        <v>#N/A</v>
      </c>
      <c r="H399" s="6" t="str">
        <f>VLOOKUP(E399,dicionario!$A$1:$C798,3,0)</f>
        <v>#N/A</v>
      </c>
    </row>
    <row r="400">
      <c r="A400" s="13">
        <v>45554.0</v>
      </c>
      <c r="B400" s="4">
        <v>0.3715277777777778</v>
      </c>
      <c r="C400" s="5" t="s">
        <v>85</v>
      </c>
      <c r="D400" s="5" t="s">
        <v>220</v>
      </c>
      <c r="E400" s="6" t="s">
        <v>300</v>
      </c>
      <c r="F400" s="7" t="s">
        <v>301</v>
      </c>
      <c r="G400" s="6" t="str">
        <f>VLOOKUP(E400,dicionario!$A$1:$C799,2,0)</f>
        <v>#N/A</v>
      </c>
      <c r="H400" s="6" t="str">
        <f>VLOOKUP(E400,dicionario!$A$1:$C799,3,0)</f>
        <v>#N/A</v>
      </c>
    </row>
    <row r="401">
      <c r="A401" s="14">
        <v>45554.0</v>
      </c>
      <c r="B401" s="4">
        <v>0.37222222222222223</v>
      </c>
      <c r="C401" s="5" t="s">
        <v>85</v>
      </c>
      <c r="D401" s="5" t="s">
        <v>220</v>
      </c>
      <c r="E401" s="6" t="s">
        <v>302</v>
      </c>
      <c r="F401" s="7" t="s">
        <v>303</v>
      </c>
      <c r="G401" s="6" t="str">
        <f>VLOOKUP(E401,dicionario!$A$1:$C800,2,0)</f>
        <v>Machetornis rixosa</v>
      </c>
      <c r="H401" s="6" t="str">
        <f>VLOOKUP(E401,dicionario!$A$1:$C800,3,0)</f>
        <v>suiriri-cavaleiro</v>
      </c>
    </row>
    <row r="402">
      <c r="A402" s="13">
        <v>45554.0</v>
      </c>
      <c r="B402" s="4">
        <v>0.3729166666666667</v>
      </c>
      <c r="C402" s="5" t="s">
        <v>85</v>
      </c>
      <c r="D402" s="5" t="s">
        <v>220</v>
      </c>
      <c r="E402" s="6" t="s">
        <v>41</v>
      </c>
      <c r="F402" s="7" t="s">
        <v>45</v>
      </c>
      <c r="G402" s="6" t="str">
        <f>VLOOKUP(E402,dicionario!$A$1:$C801,2,0)</f>
        <v>Mimosa pudica</v>
      </c>
      <c r="H402" s="6" t="str">
        <f>VLOOKUP(E402,dicionario!$A$1:$C801,3,0)</f>
        <v>dormideira</v>
      </c>
    </row>
    <row r="403">
      <c r="A403" s="13">
        <v>45554.0</v>
      </c>
      <c r="B403" s="4">
        <v>0.3736111111111111</v>
      </c>
      <c r="C403" s="5" t="s">
        <v>85</v>
      </c>
      <c r="D403" s="5" t="s">
        <v>220</v>
      </c>
      <c r="E403" s="12" t="s">
        <v>148</v>
      </c>
      <c r="F403" s="7" t="s">
        <v>149</v>
      </c>
      <c r="G403" s="6" t="str">
        <f>VLOOKUP(E403,dicionario!$A$1:$C802,2,0)</f>
        <v>Parthenium hysterophorus</v>
      </c>
      <c r="H403" s="6" t="str">
        <f>VLOOKUP(E403,dicionario!$A$1:$C802,3,0)</f>
        <v>losna-branca</v>
      </c>
    </row>
    <row r="404">
      <c r="A404" s="13">
        <v>45554.0</v>
      </c>
      <c r="B404" s="4">
        <v>0.3736111111111111</v>
      </c>
      <c r="C404" s="5" t="s">
        <v>85</v>
      </c>
      <c r="D404" s="5" t="s">
        <v>220</v>
      </c>
      <c r="E404" s="12" t="s">
        <v>146</v>
      </c>
      <c r="F404" s="7" t="s">
        <v>147</v>
      </c>
      <c r="G404" s="6" t="str">
        <f>VLOOKUP(E404,dicionario!$A$1:$C803,2,0)</f>
        <v>Euphorbia hirta</v>
      </c>
      <c r="H404" s="6" t="str">
        <f>VLOOKUP(E404,dicionario!$A$1:$C803,3,0)</f>
        <v>erva-de-santa-luzia</v>
      </c>
    </row>
    <row r="405">
      <c r="A405" s="13">
        <v>45554.0</v>
      </c>
      <c r="B405" s="4">
        <v>0.3736111111111111</v>
      </c>
      <c r="C405" s="5" t="s">
        <v>85</v>
      </c>
      <c r="D405" s="5" t="s">
        <v>220</v>
      </c>
      <c r="E405" s="6" t="s">
        <v>288</v>
      </c>
      <c r="F405" s="7" t="s">
        <v>289</v>
      </c>
      <c r="G405" s="6" t="str">
        <f>VLOOKUP(E405,dicionario!$A$1:$C804,2,0)</f>
        <v>Phyllanthus tenellus</v>
      </c>
      <c r="H405" s="6" t="str">
        <f>VLOOKUP(E405,dicionario!$A$1:$C804,3,0)</f>
        <v>quebra-pedra</v>
      </c>
    </row>
    <row r="406">
      <c r="A406" s="13">
        <v>45554.0</v>
      </c>
      <c r="B406" s="4">
        <v>0.37430555555555556</v>
      </c>
      <c r="C406" s="5" t="s">
        <v>85</v>
      </c>
      <c r="D406" s="5" t="s">
        <v>220</v>
      </c>
      <c r="E406" s="12" t="s">
        <v>239</v>
      </c>
      <c r="F406" s="7" t="s">
        <v>240</v>
      </c>
      <c r="G406" s="6" t="str">
        <f>VLOOKUP(E406,dicionario!$A$1:$C805,2,0)</f>
        <v>Gomphrena celosioides</v>
      </c>
      <c r="H406" s="6" t="str">
        <f>VLOOKUP(E406,dicionario!$A$1:$C805,3,0)</f>
        <v>perpétua-branca</v>
      </c>
    </row>
    <row r="407">
      <c r="A407" s="13">
        <v>45554.0</v>
      </c>
      <c r="B407" s="4">
        <v>0.37430555555555556</v>
      </c>
      <c r="C407" s="5" t="s">
        <v>85</v>
      </c>
      <c r="D407" s="5" t="s">
        <v>220</v>
      </c>
      <c r="E407" s="6" t="s">
        <v>267</v>
      </c>
      <c r="F407" s="7" t="s">
        <v>268</v>
      </c>
      <c r="G407" s="6" t="str">
        <f>VLOOKUP(E407,dicionario!$A$1:$C806,2,0)</f>
        <v>Solanum americanum</v>
      </c>
      <c r="H407" s="6" t="str">
        <f>VLOOKUP(E407,dicionario!$A$1:$C806,3,0)</f>
        <v>maria-pretinha</v>
      </c>
    </row>
    <row r="408">
      <c r="A408" s="13">
        <v>45554.0</v>
      </c>
      <c r="B408" s="4">
        <v>0.37430555555555556</v>
      </c>
      <c r="C408" s="5" t="s">
        <v>85</v>
      </c>
      <c r="D408" s="5" t="s">
        <v>220</v>
      </c>
      <c r="E408" s="6" t="s">
        <v>150</v>
      </c>
      <c r="F408" s="7" t="s">
        <v>151</v>
      </c>
      <c r="G408" s="6" t="str">
        <f>VLOOKUP(E408,dicionario!$A$1:$C807,2,0)</f>
        <v>Amaranthus viridis</v>
      </c>
      <c r="H408" s="6" t="str">
        <f>VLOOKUP(E408,dicionario!$A$1:$C807,3,0)</f>
        <v>caruru-de-mancha</v>
      </c>
    </row>
    <row r="409">
      <c r="A409" s="13">
        <v>45554.0</v>
      </c>
      <c r="B409" s="4">
        <v>0.37430555555555556</v>
      </c>
      <c r="C409" s="5" t="s">
        <v>85</v>
      </c>
      <c r="D409" s="5" t="s">
        <v>220</v>
      </c>
      <c r="E409" s="6" t="s">
        <v>304</v>
      </c>
      <c r="F409" s="7" t="s">
        <v>305</v>
      </c>
      <c r="G409" s="6" t="str">
        <f>VLOOKUP(E409,dicionario!$A$1:$C808,2,0)</f>
        <v>Sarcophaga</v>
      </c>
      <c r="H409" s="6" t="str">
        <f>VLOOKUP(E409,dicionario!$A$1:$C808,3,0)</f>
        <v>mosca-varejeira</v>
      </c>
    </row>
    <row r="410">
      <c r="A410" s="13">
        <v>45554.0</v>
      </c>
      <c r="B410" s="4">
        <v>0.375</v>
      </c>
      <c r="C410" s="5" t="s">
        <v>85</v>
      </c>
      <c r="D410" s="5" t="s">
        <v>220</v>
      </c>
      <c r="E410" s="6" t="s">
        <v>227</v>
      </c>
      <c r="F410" s="7" t="s">
        <v>228</v>
      </c>
      <c r="G410" s="6" t="str">
        <f>VLOOKUP(E410,dicionario!$A$1:$C809,2,0)</f>
        <v>Indigofera hirsuta</v>
      </c>
      <c r="H410" s="6" t="str">
        <f>VLOOKUP(E410,dicionario!$A$1:$C809,3,0)</f>
        <v>anileira</v>
      </c>
    </row>
    <row r="411">
      <c r="A411" s="13">
        <v>45554.0</v>
      </c>
      <c r="B411" s="4">
        <v>0.37569444444444444</v>
      </c>
      <c r="C411" s="5" t="s">
        <v>85</v>
      </c>
      <c r="D411" s="5" t="s">
        <v>220</v>
      </c>
      <c r="E411" s="6" t="s">
        <v>122</v>
      </c>
      <c r="F411" s="7" t="s">
        <v>123</v>
      </c>
      <c r="G411" s="6" t="str">
        <f>VLOOKUP(E411,dicionario!$A$1:$C810,2,0)</f>
        <v>Todirostrum cinereum</v>
      </c>
      <c r="H411" s="6" t="str">
        <f>VLOOKUP(E411,dicionario!$A$1:$C810,3,0)</f>
        <v>ferreirinho-relógio</v>
      </c>
    </row>
    <row r="412">
      <c r="A412" s="13">
        <v>45554.0</v>
      </c>
      <c r="B412" s="4">
        <v>0.3770833333333333</v>
      </c>
      <c r="C412" s="5" t="s">
        <v>85</v>
      </c>
      <c r="D412" s="5" t="s">
        <v>220</v>
      </c>
      <c r="E412" s="6" t="s">
        <v>306</v>
      </c>
      <c r="F412" s="7" t="s">
        <v>307</v>
      </c>
      <c r="G412" s="6" t="str">
        <f>VLOOKUP(E412,dicionario!$A$1:$C811,2,0)</f>
        <v>#N/A</v>
      </c>
      <c r="H412" s="6" t="str">
        <f>VLOOKUP(E412,dicionario!$A$1:$C811,3,0)</f>
        <v>#N/A</v>
      </c>
    </row>
    <row r="413">
      <c r="A413" s="13">
        <v>45554.0</v>
      </c>
      <c r="B413" s="4">
        <v>0.38055555555555554</v>
      </c>
      <c r="C413" s="5" t="s">
        <v>90</v>
      </c>
      <c r="D413" s="5" t="s">
        <v>220</v>
      </c>
      <c r="E413" s="6" t="s">
        <v>91</v>
      </c>
      <c r="F413" s="7" t="s">
        <v>208</v>
      </c>
      <c r="G413" s="6" t="str">
        <f>VLOOKUP(E413,dicionario!$A$1:$C812,2,0)</f>
        <v>Picumnus cirratus</v>
      </c>
      <c r="H413" s="6" t="str">
        <f>VLOOKUP(E413,dicionario!$A$1:$C812,3,0)</f>
        <v>picapauzinho-barrado</v>
      </c>
    </row>
    <row r="414">
      <c r="A414" s="13">
        <v>45554.0</v>
      </c>
      <c r="B414" s="4">
        <v>0.38125</v>
      </c>
      <c r="C414" s="5" t="s">
        <v>90</v>
      </c>
      <c r="D414" s="5" t="s">
        <v>220</v>
      </c>
      <c r="E414" s="12" t="s">
        <v>175</v>
      </c>
      <c r="F414" s="7" t="s">
        <v>176</v>
      </c>
      <c r="G414" s="6" t="str">
        <f>VLOOKUP(E414,dicionario!$A$1:$C813,2,0)</f>
        <v>Turdus leucomelas</v>
      </c>
      <c r="H414" s="6" t="str">
        <f>VLOOKUP(E414,dicionario!$A$1:$C813,3,0)</f>
        <v>sabiá-barranco</v>
      </c>
    </row>
    <row r="415">
      <c r="A415" s="13">
        <v>45554.0</v>
      </c>
      <c r="B415" s="4">
        <v>0.38125</v>
      </c>
      <c r="C415" s="5" t="s">
        <v>90</v>
      </c>
      <c r="D415" s="5" t="s">
        <v>220</v>
      </c>
      <c r="E415" s="12" t="s">
        <v>22</v>
      </c>
      <c r="F415" s="7" t="s">
        <v>97</v>
      </c>
      <c r="G415" s="6" t="str">
        <f>VLOOKUP(E415,dicionario!$A$1:$C814,2,0)</f>
        <v>Zenaida auriculata</v>
      </c>
      <c r="H415" s="6" t="str">
        <f>VLOOKUP(E415,dicionario!$A$1:$C814,3,0)</f>
        <v>pomba-de-bando; avoante</v>
      </c>
    </row>
    <row r="416">
      <c r="A416" s="13">
        <v>45554.0</v>
      </c>
      <c r="B416" s="4">
        <v>0.38125</v>
      </c>
      <c r="C416" s="5" t="s">
        <v>90</v>
      </c>
      <c r="D416" s="5" t="s">
        <v>220</v>
      </c>
      <c r="E416" s="6" t="s">
        <v>43</v>
      </c>
      <c r="F416" s="7" t="s">
        <v>44</v>
      </c>
      <c r="G416" s="6" t="str">
        <f>VLOOKUP(E416,dicionario!$A$1:$C815,2,0)</f>
        <v>Columba livia</v>
      </c>
      <c r="H416" s="6" t="str">
        <f>VLOOKUP(E416,dicionario!$A$1:$C815,3,0)</f>
        <v>pombo-doméstico</v>
      </c>
    </row>
    <row r="417">
      <c r="A417" s="13">
        <v>45554.0</v>
      </c>
      <c r="B417" s="4">
        <v>0.38125</v>
      </c>
      <c r="C417" s="5" t="s">
        <v>90</v>
      </c>
      <c r="D417" s="5" t="s">
        <v>220</v>
      </c>
      <c r="E417" s="6" t="s">
        <v>103</v>
      </c>
      <c r="F417" s="7" t="s">
        <v>104</v>
      </c>
      <c r="G417" s="6" t="str">
        <f>VLOOKUP(E417,dicionario!$A$1:$C816,2,0)</f>
        <v>Caracara plancus</v>
      </c>
      <c r="H417" s="6" t="str">
        <f>VLOOKUP(E417,dicionario!$A$1:$C816,3,0)</f>
        <v>carcará </v>
      </c>
    </row>
    <row r="418">
      <c r="A418" s="13">
        <v>45554.0</v>
      </c>
      <c r="B418" s="4">
        <v>0.3819444444444444</v>
      </c>
      <c r="C418" s="5" t="s">
        <v>90</v>
      </c>
      <c r="D418" s="5" t="s">
        <v>220</v>
      </c>
      <c r="E418" s="12" t="s">
        <v>65</v>
      </c>
      <c r="F418" s="7" t="s">
        <v>66</v>
      </c>
      <c r="G418" s="6" t="str">
        <f>VLOOKUP(E418,dicionario!$A$1:$C817,2,0)</f>
        <v>Pitangus sulphutarus</v>
      </c>
      <c r="H418" s="6" t="str">
        <f>VLOOKUP(E418,dicionario!$A$1:$C817,3,0)</f>
        <v>bem-te-vi</v>
      </c>
    </row>
    <row r="419">
      <c r="A419" s="13">
        <v>45554.0</v>
      </c>
      <c r="B419" s="4">
        <v>0.3819444444444444</v>
      </c>
      <c r="C419" s="5" t="s">
        <v>90</v>
      </c>
      <c r="D419" s="5" t="s">
        <v>220</v>
      </c>
      <c r="E419" s="15" t="s">
        <v>38</v>
      </c>
      <c r="F419" s="5" t="s">
        <v>39</v>
      </c>
      <c r="G419" s="6" t="str">
        <f>VLOOKUP(E419,dicionario!$A$1:$C818,2,0)</f>
        <v>Troglodytes musculus</v>
      </c>
      <c r="H419" s="6" t="str">
        <f>VLOOKUP(E419,dicionario!$A$1:$C818,3,0)</f>
        <v>curruíra</v>
      </c>
    </row>
    <row r="420">
      <c r="A420" s="13">
        <v>45554.0</v>
      </c>
      <c r="B420" s="4">
        <v>0.38263888888888886</v>
      </c>
      <c r="C420" s="5" t="s">
        <v>90</v>
      </c>
      <c r="D420" s="5" t="s">
        <v>220</v>
      </c>
      <c r="E420" s="6" t="s">
        <v>225</v>
      </c>
      <c r="F420" s="7" t="s">
        <v>226</v>
      </c>
      <c r="G420" s="6" t="str">
        <f>VLOOKUP(E420,dicionario!$A$1:$C819,2,0)</f>
        <v>Passer domesticus</v>
      </c>
      <c r="H420" s="6" t="str">
        <f>VLOOKUP(E420,dicionario!$A$1:$C819,3,0)</f>
        <v>pardal</v>
      </c>
    </row>
    <row r="421">
      <c r="A421" s="13">
        <v>45554.0</v>
      </c>
      <c r="B421" s="4">
        <v>0.38263888888888886</v>
      </c>
      <c r="C421" s="5" t="s">
        <v>90</v>
      </c>
      <c r="D421" s="5" t="s">
        <v>220</v>
      </c>
      <c r="E421" s="12" t="s">
        <v>292</v>
      </c>
      <c r="F421" s="7" t="s">
        <v>293</v>
      </c>
      <c r="G421" s="6" t="str">
        <f>VLOOKUP(E421,dicionario!$A$1:$C820,2,0)</f>
        <v>Ascia monuste</v>
      </c>
      <c r="H421" s="6" t="str">
        <f>VLOOKUP(E421,dicionario!$A$1:$C820,3,0)</f>
        <v>borboleta-da-couve</v>
      </c>
    </row>
    <row r="422">
      <c r="A422" s="13">
        <v>45554.0</v>
      </c>
      <c r="B422" s="4">
        <v>0.38263888888888886</v>
      </c>
      <c r="C422" s="5" t="s">
        <v>90</v>
      </c>
      <c r="D422" s="5" t="s">
        <v>220</v>
      </c>
      <c r="E422" s="12" t="s">
        <v>86</v>
      </c>
      <c r="F422" s="7" t="s">
        <v>87</v>
      </c>
      <c r="G422" s="6" t="str">
        <f>VLOOKUP(E422,dicionario!$A$1:$C821,2,0)</f>
        <v>Coereba flaveola</v>
      </c>
      <c r="H422" s="6" t="str">
        <f>VLOOKUP(E422,dicionario!$A$1:$C821,3,0)</f>
        <v>cambacica</v>
      </c>
    </row>
    <row r="423">
      <c r="A423" s="13">
        <v>45554.0</v>
      </c>
      <c r="B423" s="4">
        <v>0.38263888888888886</v>
      </c>
      <c r="C423" s="5" t="s">
        <v>90</v>
      </c>
      <c r="D423" s="5" t="s">
        <v>220</v>
      </c>
      <c r="E423" s="12" t="s">
        <v>51</v>
      </c>
      <c r="F423" s="7" t="s">
        <v>77</v>
      </c>
      <c r="G423" s="6" t="str">
        <f>VLOOKUP(E423,dicionario!$A$1:$C822,2,0)</f>
        <v>Solenopsis</v>
      </c>
      <c r="H423" s="6" t="str">
        <f>VLOOKUP(E423,dicionario!$A$1:$C822,3,0)</f>
        <v>formiga-quente; formiga-lava-pés; formiga-de-fogo</v>
      </c>
    </row>
    <row r="424">
      <c r="A424" s="13">
        <v>45554.0</v>
      </c>
      <c r="B424" s="4">
        <v>0.38333333333333336</v>
      </c>
      <c r="C424" s="5" t="s">
        <v>90</v>
      </c>
      <c r="D424" s="5" t="s">
        <v>220</v>
      </c>
      <c r="E424" s="12" t="s">
        <v>88</v>
      </c>
      <c r="F424" s="7" t="s">
        <v>89</v>
      </c>
      <c r="G424" s="6" t="str">
        <f>VLOOKUP(E424,dicionario!$A$1:$C823,2,0)</f>
        <v>Tyrannus melancolichus</v>
      </c>
      <c r="H424" s="6" t="str">
        <f>VLOOKUP(E424,dicionario!$A$1:$C823,3,0)</f>
        <v>suiriri</v>
      </c>
    </row>
    <row r="425">
      <c r="A425" s="13">
        <v>45554.0</v>
      </c>
      <c r="B425" s="4">
        <v>0.3854166666666667</v>
      </c>
      <c r="C425" s="5" t="s">
        <v>90</v>
      </c>
      <c r="D425" s="5" t="s">
        <v>220</v>
      </c>
      <c r="E425" s="6" t="s">
        <v>144</v>
      </c>
      <c r="F425" s="7" t="s">
        <v>145</v>
      </c>
      <c r="G425" s="6" t="str">
        <f>VLOOKUP(E425,dicionario!$A$1:$C824,2,0)</f>
        <v>Gomphrena globosa</v>
      </c>
      <c r="H425" s="6" t="str">
        <f>VLOOKUP(E425,dicionario!$A$1:$C824,3,0)</f>
        <v>perpétua-rosa</v>
      </c>
    </row>
    <row r="426">
      <c r="A426" s="13">
        <v>45554.0</v>
      </c>
      <c r="B426" s="4">
        <v>0.3854166666666667</v>
      </c>
      <c r="C426" s="5" t="s">
        <v>90</v>
      </c>
      <c r="D426" s="5" t="s">
        <v>220</v>
      </c>
      <c r="E426" s="12" t="s">
        <v>148</v>
      </c>
      <c r="F426" s="7" t="s">
        <v>149</v>
      </c>
      <c r="G426" s="6" t="str">
        <f>VLOOKUP(E426,dicionario!$A$1:$C825,2,0)</f>
        <v>Parthenium hysterophorus</v>
      </c>
      <c r="H426" s="6" t="str">
        <f>VLOOKUP(E426,dicionario!$A$1:$C825,3,0)</f>
        <v>losna-branca</v>
      </c>
    </row>
    <row r="427">
      <c r="A427" s="13">
        <v>45554.0</v>
      </c>
      <c r="B427" s="4">
        <v>0.3854166666666667</v>
      </c>
      <c r="C427" s="5" t="s">
        <v>90</v>
      </c>
      <c r="D427" s="5" t="s">
        <v>220</v>
      </c>
      <c r="E427" s="12" t="s">
        <v>14</v>
      </c>
      <c r="F427" s="7" t="s">
        <v>15</v>
      </c>
      <c r="G427" s="6" t="str">
        <f>VLOOKUP(E427,dicionario!$A$1:$C826,2,0)</f>
        <v>Spermacoce verticillata</v>
      </c>
      <c r="H427" s="6" t="str">
        <f>VLOOKUP(E427,dicionario!$A$1:$C826,3,0)</f>
        <v>vassourinha-de-botão</v>
      </c>
    </row>
    <row r="428">
      <c r="A428" s="13">
        <v>45554.0</v>
      </c>
      <c r="B428" s="4">
        <v>0.3854166666666667</v>
      </c>
      <c r="C428" s="5" t="s">
        <v>90</v>
      </c>
      <c r="D428" s="5" t="s">
        <v>220</v>
      </c>
      <c r="E428" s="12" t="s">
        <v>53</v>
      </c>
      <c r="F428" s="7" t="s">
        <v>54</v>
      </c>
      <c r="G428" s="6" t="str">
        <f>VLOOKUP(E428,dicionario!$A$1:$C827,2,0)</f>
        <v>Turnera subulata</v>
      </c>
      <c r="H428" s="6" t="str">
        <f>VLOOKUP(E428,dicionario!$A$1:$C827,3,0)</f>
        <v>xanana</v>
      </c>
    </row>
    <row r="429">
      <c r="A429" s="13">
        <v>45554.0</v>
      </c>
      <c r="B429" s="4">
        <v>0.3861111111111111</v>
      </c>
      <c r="C429" s="5" t="s">
        <v>90</v>
      </c>
      <c r="D429" s="5" t="s">
        <v>220</v>
      </c>
      <c r="E429" s="12" t="s">
        <v>296</v>
      </c>
      <c r="F429" s="7" t="s">
        <v>297</v>
      </c>
      <c r="G429" s="6" t="str">
        <f>VLOOKUP(E429,dicionario!$A$1:$C828,2,0)</f>
        <v>Richardia brasiliensis</v>
      </c>
      <c r="H429" s="6" t="str">
        <f>VLOOKUP(E429,dicionario!$A$1:$C828,3,0)</f>
        <v>poaia-branca</v>
      </c>
    </row>
    <row r="430">
      <c r="A430" s="13">
        <v>45554.0</v>
      </c>
      <c r="B430" s="4">
        <v>0.3861111111111111</v>
      </c>
      <c r="C430" s="5" t="s">
        <v>90</v>
      </c>
      <c r="D430" s="5" t="s">
        <v>220</v>
      </c>
      <c r="E430" s="6" t="s">
        <v>271</v>
      </c>
      <c r="F430" s="7" t="s">
        <v>272</v>
      </c>
      <c r="G430" s="6" t="str">
        <f>VLOOKUP(E430,dicionario!$A$1:$C829,2,0)</f>
        <v>Cyanthillium cinereum</v>
      </c>
      <c r="H430" s="6" t="str">
        <f>VLOOKUP(E430,dicionario!$A$1:$C829,3,0)</f>
        <v>emília</v>
      </c>
    </row>
    <row r="431">
      <c r="A431" s="13">
        <v>45554.0</v>
      </c>
      <c r="B431" s="4">
        <v>0.3861111111111111</v>
      </c>
      <c r="C431" s="5" t="s">
        <v>90</v>
      </c>
      <c r="D431" s="5" t="s">
        <v>220</v>
      </c>
      <c r="E431" s="6" t="s">
        <v>308</v>
      </c>
      <c r="F431" s="7" t="s">
        <v>309</v>
      </c>
      <c r="G431" s="6" t="str">
        <f>VLOOKUP(E431,dicionario!$A$1:$C830,2,0)</f>
        <v>#N/A</v>
      </c>
      <c r="H431" s="6" t="str">
        <f>VLOOKUP(E431,dicionario!$A$1:$C830,3,0)</f>
        <v>#N/A</v>
      </c>
    </row>
    <row r="432">
      <c r="A432" s="13">
        <v>45554.0</v>
      </c>
      <c r="B432" s="4">
        <v>0.38680555555555557</v>
      </c>
      <c r="C432" s="5" t="s">
        <v>90</v>
      </c>
      <c r="D432" s="5" t="s">
        <v>220</v>
      </c>
      <c r="E432" s="6" t="s">
        <v>310</v>
      </c>
      <c r="F432" s="7" t="s">
        <v>311</v>
      </c>
      <c r="G432" s="6" t="str">
        <f>VLOOKUP(E432,dicionario!$A$1:$C831,2,0)</f>
        <v>Salticidae</v>
      </c>
      <c r="H432" s="6" t="str">
        <f>VLOOKUP(E432,dicionario!$A$1:$C831,3,0)</f>
        <v>aranha-papa-mosca</v>
      </c>
    </row>
    <row r="433">
      <c r="A433" s="13">
        <v>45554.0</v>
      </c>
      <c r="B433" s="4">
        <v>0.38680555555555557</v>
      </c>
      <c r="C433" s="5" t="s">
        <v>90</v>
      </c>
      <c r="D433" s="5" t="s">
        <v>220</v>
      </c>
      <c r="E433" s="6" t="s">
        <v>312</v>
      </c>
      <c r="F433" s="7" t="s">
        <v>285</v>
      </c>
      <c r="G433" s="6" t="str">
        <f>VLOOKUP(E433,dicionario!$A$1:$C832,2,0)</f>
        <v>#N/A</v>
      </c>
      <c r="H433" s="6" t="str">
        <f>VLOOKUP(E433,dicionario!$A$1:$C832,3,0)</f>
        <v>#N/A</v>
      </c>
    </row>
    <row r="434">
      <c r="A434" s="14">
        <v>45561.0</v>
      </c>
      <c r="B434" s="4">
        <v>0.26180555555555557</v>
      </c>
      <c r="C434" s="5" t="s">
        <v>90</v>
      </c>
      <c r="D434" s="5" t="s">
        <v>313</v>
      </c>
      <c r="E434" s="6" t="s">
        <v>72</v>
      </c>
      <c r="F434" s="7" t="s">
        <v>73</v>
      </c>
      <c r="G434" s="6" t="str">
        <f>VLOOKUP(E434,dicionario!$A$1:$C833,2,0)</f>
        <v>Thraupis palmarum</v>
      </c>
      <c r="H434" s="6" t="str">
        <f>VLOOKUP(E434,dicionario!$A$1:$C833,3,0)</f>
        <v>sanhaço-do-coqueiro</v>
      </c>
    </row>
    <row r="435">
      <c r="A435" s="14">
        <v>45561.0</v>
      </c>
      <c r="B435" s="4">
        <v>0.26180555555555557</v>
      </c>
      <c r="C435" s="5" t="s">
        <v>90</v>
      </c>
      <c r="D435" s="5" t="s">
        <v>313</v>
      </c>
      <c r="E435" s="6" t="s">
        <v>65</v>
      </c>
      <c r="F435" s="7" t="s">
        <v>66</v>
      </c>
      <c r="G435" s="6" t="str">
        <f>VLOOKUP(E435,dicionario!$A$1:$C834,2,0)</f>
        <v>Pitangus sulphutarus</v>
      </c>
      <c r="H435" s="6" t="str">
        <f>VLOOKUP(E435,dicionario!$A$1:$C834,3,0)</f>
        <v>bem-te-vi</v>
      </c>
    </row>
    <row r="436">
      <c r="A436" s="14">
        <v>45561.0</v>
      </c>
      <c r="B436" s="4">
        <v>0.26180555555555557</v>
      </c>
      <c r="C436" s="5" t="s">
        <v>90</v>
      </c>
      <c r="D436" s="5" t="s">
        <v>313</v>
      </c>
      <c r="E436" s="6" t="s">
        <v>74</v>
      </c>
      <c r="F436" s="7" t="s">
        <v>75</v>
      </c>
      <c r="G436" s="6" t="str">
        <f>VLOOKUP(E436,dicionario!$A$1:$C835,2,0)</f>
        <v>Crotophaga ani</v>
      </c>
      <c r="H436" s="6" t="str">
        <f>VLOOKUP(E436,dicionario!$A$1:$C835,3,0)</f>
        <v>anu-preto</v>
      </c>
    </row>
    <row r="437">
      <c r="A437" s="14">
        <v>45561.0</v>
      </c>
      <c r="B437" s="4">
        <v>0.26180555555555557</v>
      </c>
      <c r="C437" s="5" t="s">
        <v>90</v>
      </c>
      <c r="D437" s="5" t="s">
        <v>313</v>
      </c>
      <c r="E437" s="6" t="s">
        <v>113</v>
      </c>
      <c r="F437" s="7" t="s">
        <v>114</v>
      </c>
      <c r="G437" s="6" t="str">
        <f>VLOOKUP(E437,dicionario!$A$1:$C836,2,0)</f>
        <v>Columbina talpacoti</v>
      </c>
      <c r="H437" s="6" t="str">
        <f>VLOOKUP(E437,dicionario!$A$1:$C836,3,0)</f>
        <v>rolinha-roxa</v>
      </c>
    </row>
    <row r="438">
      <c r="A438" s="14">
        <v>45561.0</v>
      </c>
      <c r="B438" s="4">
        <v>0.26180555555555557</v>
      </c>
      <c r="C438" s="5" t="s">
        <v>90</v>
      </c>
      <c r="D438" s="5" t="s">
        <v>313</v>
      </c>
      <c r="E438" s="6" t="s">
        <v>86</v>
      </c>
      <c r="F438" s="7" t="s">
        <v>87</v>
      </c>
      <c r="G438" s="6" t="str">
        <f>VLOOKUP(E438,dicionario!$A$1:$C837,2,0)</f>
        <v>Coereba flaveola</v>
      </c>
      <c r="H438" s="6" t="str">
        <f>VLOOKUP(E438,dicionario!$A$1:$C837,3,0)</f>
        <v>cambacica</v>
      </c>
    </row>
    <row r="439">
      <c r="A439" s="14">
        <v>45561.0</v>
      </c>
      <c r="B439" s="4">
        <v>0.26180555555555557</v>
      </c>
      <c r="C439" s="5" t="s">
        <v>90</v>
      </c>
      <c r="D439" s="5" t="s">
        <v>313</v>
      </c>
      <c r="E439" s="6" t="s">
        <v>20</v>
      </c>
      <c r="F439" s="7" t="s">
        <v>21</v>
      </c>
      <c r="G439" s="6" t="str">
        <f>VLOOKUP(E439,dicionario!$A$1:$C838,2,0)</f>
        <v>Sicalis flaveola</v>
      </c>
      <c r="H439" s="6" t="str">
        <f>VLOOKUP(E439,dicionario!$A$1:$C838,3,0)</f>
        <v>canário-da-terra</v>
      </c>
    </row>
    <row r="440">
      <c r="A440" s="14">
        <v>45561.0</v>
      </c>
      <c r="B440" s="4">
        <v>0.26180555555555557</v>
      </c>
      <c r="C440" s="5" t="s">
        <v>90</v>
      </c>
      <c r="D440" s="5" t="s">
        <v>313</v>
      </c>
      <c r="E440" s="6" t="s">
        <v>43</v>
      </c>
      <c r="F440" s="7" t="s">
        <v>44</v>
      </c>
      <c r="G440" s="6" t="str">
        <f>VLOOKUP(E440,dicionario!$A$1:$C839,2,0)</f>
        <v>Columba livia</v>
      </c>
      <c r="H440" s="6" t="str">
        <f>VLOOKUP(E440,dicionario!$A$1:$C839,3,0)</f>
        <v>pombo-doméstico</v>
      </c>
    </row>
    <row r="441">
      <c r="A441" s="14">
        <v>45561.0</v>
      </c>
      <c r="B441" s="4">
        <v>0.26180555555555557</v>
      </c>
      <c r="C441" s="5" t="s">
        <v>90</v>
      </c>
      <c r="D441" s="5" t="s">
        <v>313</v>
      </c>
      <c r="E441" s="6" t="s">
        <v>88</v>
      </c>
      <c r="F441" s="7" t="s">
        <v>89</v>
      </c>
      <c r="G441" s="6" t="str">
        <f>VLOOKUP(E441,dicionario!$A$1:$C840,2,0)</f>
        <v>Tyrannus melancolichus</v>
      </c>
      <c r="H441" s="6" t="str">
        <f>VLOOKUP(E441,dicionario!$A$1:$C840,3,0)</f>
        <v>suiriri</v>
      </c>
    </row>
    <row r="442">
      <c r="A442" s="14">
        <v>45561.0</v>
      </c>
      <c r="B442" s="4">
        <v>0.26180555555555557</v>
      </c>
      <c r="C442" s="5" t="s">
        <v>90</v>
      </c>
      <c r="D442" s="5" t="s">
        <v>313</v>
      </c>
      <c r="E442" s="6" t="s">
        <v>22</v>
      </c>
      <c r="F442" s="7" t="s">
        <v>97</v>
      </c>
      <c r="G442" s="6" t="str">
        <f>VLOOKUP(E442,dicionario!$A$1:$C841,2,0)</f>
        <v>Zenaida auriculata</v>
      </c>
      <c r="H442" s="6" t="str">
        <f>VLOOKUP(E442,dicionario!$A$1:$C841,3,0)</f>
        <v>pomba-de-bando; avoante</v>
      </c>
    </row>
    <row r="443">
      <c r="A443" s="14">
        <v>45561.0</v>
      </c>
      <c r="B443" s="4">
        <v>0.26180555555555557</v>
      </c>
      <c r="C443" s="5" t="s">
        <v>90</v>
      </c>
      <c r="D443" s="5" t="s">
        <v>313</v>
      </c>
      <c r="E443" s="6" t="s">
        <v>53</v>
      </c>
      <c r="F443" s="7" t="s">
        <v>314</v>
      </c>
      <c r="G443" s="6" t="str">
        <f>VLOOKUP(E443,dicionario!$A$1:$C842,2,0)</f>
        <v>Turnera subulata</v>
      </c>
      <c r="H443" s="6" t="str">
        <f>VLOOKUP(E443,dicionario!$A$1:$C842,3,0)</f>
        <v>xanana</v>
      </c>
    </row>
    <row r="444">
      <c r="A444" s="14">
        <v>45561.0</v>
      </c>
      <c r="B444" s="4">
        <v>0.26180555555555557</v>
      </c>
      <c r="C444" s="5" t="s">
        <v>90</v>
      </c>
      <c r="D444" s="5" t="s">
        <v>313</v>
      </c>
      <c r="E444" s="6" t="s">
        <v>315</v>
      </c>
      <c r="F444" s="7" t="s">
        <v>316</v>
      </c>
      <c r="G444" s="6" t="str">
        <f>VLOOKUP(E444,dicionario!$A$1:$C843,2,0)</f>
        <v>#N/A</v>
      </c>
      <c r="H444" s="6" t="str">
        <f>VLOOKUP(E444,dicionario!$A$1:$C843,3,0)</f>
        <v>#N/A</v>
      </c>
    </row>
    <row r="445">
      <c r="A445" s="14">
        <v>45561.0</v>
      </c>
      <c r="B445" s="4">
        <v>0.26180555555555557</v>
      </c>
      <c r="C445" s="5" t="s">
        <v>90</v>
      </c>
      <c r="D445" s="5" t="s">
        <v>313</v>
      </c>
      <c r="E445" s="6" t="s">
        <v>215</v>
      </c>
      <c r="F445" s="7" t="s">
        <v>216</v>
      </c>
      <c r="G445" s="6" t="str">
        <f>VLOOKUP(E445,dicionario!$A$1:$C844,2,0)</f>
        <v>Pygochelidon cyanoleuca</v>
      </c>
      <c r="H445" s="6" t="str">
        <f>VLOOKUP(E445,dicionario!$A$1:$C844,3,0)</f>
        <v>andorinha-pequena-de-casa</v>
      </c>
    </row>
    <row r="446">
      <c r="A446" s="14">
        <v>45561.0</v>
      </c>
      <c r="B446" s="4">
        <v>0.2625</v>
      </c>
      <c r="C446" s="5" t="s">
        <v>90</v>
      </c>
      <c r="D446" s="5" t="s">
        <v>313</v>
      </c>
      <c r="E446" s="6" t="s">
        <v>227</v>
      </c>
      <c r="F446" s="7" t="s">
        <v>228</v>
      </c>
      <c r="G446" s="6" t="str">
        <f>VLOOKUP(E446,dicionario!$A$1:$C845,2,0)</f>
        <v>Indigofera hirsuta</v>
      </c>
      <c r="H446" s="6" t="str">
        <f>VLOOKUP(E446,dicionario!$A$1:$C845,3,0)</f>
        <v>anileira</v>
      </c>
    </row>
    <row r="447">
      <c r="A447" s="14">
        <v>45561.0</v>
      </c>
      <c r="B447" s="4">
        <v>0.26319444444444445</v>
      </c>
      <c r="C447" s="5" t="s">
        <v>90</v>
      </c>
      <c r="D447" s="5" t="s">
        <v>313</v>
      </c>
      <c r="E447" s="8" t="s">
        <v>38</v>
      </c>
      <c r="F447" s="5" t="s">
        <v>39</v>
      </c>
      <c r="G447" s="6" t="str">
        <f>VLOOKUP(E447,dicionario!$A$1:$C846,2,0)</f>
        <v>Troglodytes musculus</v>
      </c>
      <c r="H447" s="6" t="str">
        <f>VLOOKUP(E447,dicionario!$A$1:$C846,3,0)</f>
        <v>curruíra</v>
      </c>
    </row>
    <row r="448">
      <c r="A448" s="14">
        <v>45561.0</v>
      </c>
      <c r="B448" s="4">
        <v>0.26319444444444445</v>
      </c>
      <c r="C448" s="5" t="s">
        <v>90</v>
      </c>
      <c r="D448" s="5" t="s">
        <v>313</v>
      </c>
      <c r="E448" s="6" t="s">
        <v>162</v>
      </c>
      <c r="F448" s="7" t="s">
        <v>42</v>
      </c>
      <c r="G448" s="6" t="str">
        <f>VLOOKUP(E448,dicionario!$A$1:$C847,2,0)</f>
        <v>Fluvicola nengeta</v>
      </c>
      <c r="H448" s="6" t="str">
        <f>VLOOKUP(E448,dicionario!$A$1:$C847,3,0)</f>
        <v>lavadeira-mascarada</v>
      </c>
    </row>
    <row r="449">
      <c r="A449" s="14">
        <v>45561.0</v>
      </c>
      <c r="B449" s="4">
        <v>0.26319444444444445</v>
      </c>
      <c r="C449" s="5" t="s">
        <v>90</v>
      </c>
      <c r="D449" s="5" t="s">
        <v>313</v>
      </c>
      <c r="E449" s="6" t="s">
        <v>191</v>
      </c>
      <c r="F449" s="7" t="s">
        <v>192</v>
      </c>
      <c r="G449" s="6" t="str">
        <f>VLOOKUP(E449,dicionario!$A$1:$C848,2,0)</f>
        <v>Patagioenas picazuro</v>
      </c>
      <c r="H449" s="6" t="str">
        <f>VLOOKUP(E449,dicionario!$A$1:$C848,3,0)</f>
        <v>asa-branca; pomba-asa-branca; pocaçu</v>
      </c>
    </row>
    <row r="450">
      <c r="A450" s="14">
        <v>45561.0</v>
      </c>
      <c r="B450" s="4">
        <v>0.2638888888888889</v>
      </c>
      <c r="C450" s="5" t="s">
        <v>90</v>
      </c>
      <c r="D450" s="5" t="s">
        <v>313</v>
      </c>
      <c r="E450" s="6" t="s">
        <v>163</v>
      </c>
      <c r="F450" s="7" t="s">
        <v>164</v>
      </c>
      <c r="G450" s="6" t="str">
        <f>VLOOKUP(E450,dicionario!$A$1:$C849,2,0)</f>
        <v>Coragyps atratus</v>
      </c>
      <c r="H450" s="6" t="str">
        <f>VLOOKUP(E450,dicionario!$A$1:$C849,3,0)</f>
        <v>urubu-de-cabeça-preta</v>
      </c>
    </row>
    <row r="451">
      <c r="A451" s="14">
        <v>45561.0</v>
      </c>
      <c r="B451" s="4">
        <v>0.2638888888888889</v>
      </c>
      <c r="C451" s="5" t="s">
        <v>90</v>
      </c>
      <c r="D451" s="5" t="s">
        <v>313</v>
      </c>
      <c r="E451" s="6" t="s">
        <v>99</v>
      </c>
      <c r="F451" s="7" t="s">
        <v>212</v>
      </c>
      <c r="G451" s="6" t="str">
        <f>VLOOKUP(E451,dicionario!$A$1:$C850,2,0)</f>
        <v>Molothrus bonariensis</v>
      </c>
      <c r="H451" s="6" t="str">
        <f>VLOOKUP(E451,dicionario!$A$1:$C850,3,0)</f>
        <v>chupim</v>
      </c>
    </row>
    <row r="452">
      <c r="A452" s="14">
        <v>45561.0</v>
      </c>
      <c r="B452" s="4">
        <v>0.2638888888888889</v>
      </c>
      <c r="C452" s="5" t="s">
        <v>90</v>
      </c>
      <c r="D452" s="5" t="s">
        <v>313</v>
      </c>
      <c r="E452" s="6" t="s">
        <v>91</v>
      </c>
      <c r="F452" s="7" t="s">
        <v>92</v>
      </c>
      <c r="G452" s="6" t="str">
        <f>VLOOKUP(E452,dicionario!$A$1:$C851,2,0)</f>
        <v>Picumnus cirratus</v>
      </c>
      <c r="H452" s="6" t="str">
        <f>VLOOKUP(E452,dicionario!$A$1:$C851,3,0)</f>
        <v>picapauzinho-barrado</v>
      </c>
    </row>
    <row r="453">
      <c r="A453" s="14">
        <v>45561.0</v>
      </c>
      <c r="B453" s="4">
        <v>0.2652777777777778</v>
      </c>
      <c r="C453" s="5" t="s">
        <v>90</v>
      </c>
      <c r="D453" s="5" t="s">
        <v>313</v>
      </c>
      <c r="E453" s="6" t="s">
        <v>175</v>
      </c>
      <c r="F453" s="7" t="s">
        <v>176</v>
      </c>
      <c r="G453" s="6" t="str">
        <f>VLOOKUP(E453,dicionario!$A$1:$C852,2,0)</f>
        <v>Turdus leucomelas</v>
      </c>
      <c r="H453" s="6" t="str">
        <f>VLOOKUP(E453,dicionario!$A$1:$C852,3,0)</f>
        <v>sabiá-barranco</v>
      </c>
    </row>
    <row r="454">
      <c r="A454" s="14">
        <v>45561.0</v>
      </c>
      <c r="B454" s="4">
        <v>0.2659722222222222</v>
      </c>
      <c r="C454" s="5" t="s">
        <v>90</v>
      </c>
      <c r="D454" s="5" t="s">
        <v>313</v>
      </c>
      <c r="E454" s="6" t="s">
        <v>239</v>
      </c>
      <c r="F454" s="7" t="s">
        <v>240</v>
      </c>
      <c r="G454" s="6" t="str">
        <f>VLOOKUP(E454,dicionario!$A$1:$C853,2,0)</f>
        <v>Gomphrena celosioides</v>
      </c>
      <c r="H454" s="6" t="str">
        <f>VLOOKUP(E454,dicionario!$A$1:$C853,3,0)</f>
        <v>perpétua-branca</v>
      </c>
    </row>
    <row r="455">
      <c r="A455" s="14">
        <v>45561.0</v>
      </c>
      <c r="B455" s="4">
        <v>0.26666666666666666</v>
      </c>
      <c r="C455" s="5" t="s">
        <v>90</v>
      </c>
      <c r="D455" s="5" t="s">
        <v>313</v>
      </c>
      <c r="E455" s="6" t="s">
        <v>111</v>
      </c>
      <c r="F455" s="7" t="s">
        <v>112</v>
      </c>
      <c r="G455" s="6" t="str">
        <f>VLOOKUP(E455,dicionario!$A$1:$C854,2,0)</f>
        <v>Trigona spinipes</v>
      </c>
      <c r="H455" s="6" t="str">
        <f>VLOOKUP(E455,dicionario!$A$1:$C854,3,0)</f>
        <v>abelha-cachorro</v>
      </c>
    </row>
    <row r="456">
      <c r="A456" s="14">
        <v>45561.0</v>
      </c>
      <c r="B456" s="4">
        <v>0.2673611111111111</v>
      </c>
      <c r="C456" s="5" t="s">
        <v>90</v>
      </c>
      <c r="D456" s="5" t="s">
        <v>313</v>
      </c>
      <c r="E456" s="6" t="s">
        <v>14</v>
      </c>
      <c r="F456" s="7" t="s">
        <v>15</v>
      </c>
      <c r="G456" s="6" t="str">
        <f>VLOOKUP(E456,dicionario!$A$1:$C855,2,0)</f>
        <v>Spermacoce verticillata</v>
      </c>
      <c r="H456" s="6" t="str">
        <f>VLOOKUP(E456,dicionario!$A$1:$C855,3,0)</f>
        <v>vassourinha-de-botão</v>
      </c>
    </row>
    <row r="457">
      <c r="A457" s="14">
        <v>45561.0</v>
      </c>
      <c r="B457" s="4">
        <v>0.26944444444444443</v>
      </c>
      <c r="C457" s="5" t="s">
        <v>85</v>
      </c>
      <c r="D457" s="5" t="s">
        <v>313</v>
      </c>
      <c r="E457" s="6" t="s">
        <v>132</v>
      </c>
      <c r="F457" s="7" t="s">
        <v>133</v>
      </c>
      <c r="G457" s="6" t="str">
        <f>VLOOKUP(E457,dicionario!$A$1:$C856,2,0)</f>
        <v>Euphonia chlorotica</v>
      </c>
      <c r="H457" s="6" t="str">
        <f>VLOOKUP(E457,dicionario!$A$1:$C856,3,0)</f>
        <v>fim-fim</v>
      </c>
    </row>
    <row r="458">
      <c r="A458" s="14">
        <v>45561.0</v>
      </c>
      <c r="B458" s="4">
        <v>0.26944444444444443</v>
      </c>
      <c r="C458" s="5" t="s">
        <v>85</v>
      </c>
      <c r="D458" s="5" t="s">
        <v>313</v>
      </c>
      <c r="E458" s="6" t="s">
        <v>65</v>
      </c>
      <c r="F458" s="7" t="s">
        <v>66</v>
      </c>
      <c r="G458" s="6" t="str">
        <f>VLOOKUP(E458,dicionario!$A$1:$C857,2,0)</f>
        <v>Pitangus sulphutarus</v>
      </c>
      <c r="H458" s="6" t="str">
        <f>VLOOKUP(E458,dicionario!$A$1:$C857,3,0)</f>
        <v>bem-te-vi</v>
      </c>
    </row>
    <row r="459">
      <c r="A459" s="14">
        <v>45561.0</v>
      </c>
      <c r="B459" s="4">
        <v>0.2701388888888889</v>
      </c>
      <c r="C459" s="5" t="s">
        <v>85</v>
      </c>
      <c r="D459" s="5" t="s">
        <v>313</v>
      </c>
      <c r="E459" s="6" t="s">
        <v>120</v>
      </c>
      <c r="F459" s="7" t="s">
        <v>121</v>
      </c>
      <c r="G459" s="6" t="str">
        <f>VLOOKUP(E459,dicionario!$A$1:$C858,2,0)</f>
        <v>#N/A</v>
      </c>
      <c r="H459" s="6" t="str">
        <f>VLOOKUP(E459,dicionario!$A$1:$C858,3,0)</f>
        <v>#N/A</v>
      </c>
    </row>
    <row r="460">
      <c r="A460" s="14">
        <v>45561.0</v>
      </c>
      <c r="B460" s="4">
        <v>0.2701388888888889</v>
      </c>
      <c r="C460" s="5" t="s">
        <v>85</v>
      </c>
      <c r="D460" s="5" t="s">
        <v>313</v>
      </c>
      <c r="E460" s="6" t="s">
        <v>122</v>
      </c>
      <c r="F460" s="7" t="s">
        <v>123</v>
      </c>
      <c r="G460" s="6" t="str">
        <f>VLOOKUP(E460,dicionario!$A$1:$C859,2,0)</f>
        <v>Todirostrum cinereum</v>
      </c>
      <c r="H460" s="6" t="str">
        <f>VLOOKUP(E460,dicionario!$A$1:$C859,3,0)</f>
        <v>ferreirinho-relógio</v>
      </c>
    </row>
    <row r="461">
      <c r="A461" s="14">
        <v>45561.0</v>
      </c>
      <c r="B461" s="4">
        <v>0.2708333333333333</v>
      </c>
      <c r="C461" s="5" t="s">
        <v>85</v>
      </c>
      <c r="D461" s="5" t="s">
        <v>313</v>
      </c>
      <c r="E461" s="6" t="s">
        <v>86</v>
      </c>
      <c r="F461" s="7" t="s">
        <v>87</v>
      </c>
      <c r="G461" s="6" t="str">
        <f>VLOOKUP(E461,dicionario!$A$1:$C860,2,0)</f>
        <v>Coereba flaveola</v>
      </c>
      <c r="H461" s="6" t="str">
        <f>VLOOKUP(E461,dicionario!$A$1:$C860,3,0)</f>
        <v>cambacica</v>
      </c>
    </row>
    <row r="462">
      <c r="A462" s="14">
        <v>45561.0</v>
      </c>
      <c r="B462" s="4">
        <v>0.2708333333333333</v>
      </c>
      <c r="C462" s="5" t="s">
        <v>85</v>
      </c>
      <c r="D462" s="5" t="s">
        <v>313</v>
      </c>
      <c r="E462" s="6" t="s">
        <v>72</v>
      </c>
      <c r="F462" s="7" t="s">
        <v>73</v>
      </c>
      <c r="G462" s="6" t="str">
        <f>VLOOKUP(E462,dicionario!$A$1:$C861,2,0)</f>
        <v>Thraupis palmarum</v>
      </c>
      <c r="H462" s="6" t="str">
        <f>VLOOKUP(E462,dicionario!$A$1:$C861,3,0)</f>
        <v>sanhaço-do-coqueiro</v>
      </c>
    </row>
    <row r="463">
      <c r="A463" s="14">
        <v>45561.0</v>
      </c>
      <c r="B463" s="4">
        <v>0.2708333333333333</v>
      </c>
      <c r="C463" s="5" t="s">
        <v>85</v>
      </c>
      <c r="D463" s="5" t="s">
        <v>313</v>
      </c>
      <c r="E463" s="6" t="s">
        <v>88</v>
      </c>
      <c r="F463" s="7" t="s">
        <v>89</v>
      </c>
      <c r="G463" s="6" t="str">
        <f>VLOOKUP(E463,dicionario!$A$1:$C862,2,0)</f>
        <v>Tyrannus melancolichus</v>
      </c>
      <c r="H463" s="6" t="str">
        <f>VLOOKUP(E463,dicionario!$A$1:$C862,3,0)</f>
        <v>suiriri</v>
      </c>
    </row>
    <row r="464">
      <c r="A464" s="14">
        <v>45561.0</v>
      </c>
      <c r="B464" s="4">
        <v>0.27152777777777776</v>
      </c>
      <c r="C464" s="5" t="s">
        <v>85</v>
      </c>
      <c r="D464" s="5" t="s">
        <v>313</v>
      </c>
      <c r="E464" s="6" t="s">
        <v>317</v>
      </c>
      <c r="F464" s="5" t="s">
        <v>318</v>
      </c>
      <c r="G464" s="6" t="str">
        <f>VLOOKUP(E464,dicionario!$A$1:$C863,2,0)</f>
        <v>Leucauge argyra</v>
      </c>
      <c r="H464" s="6" t="str">
        <f>VLOOKUP(E464,dicionario!$A$1:$C863,3,0)</f>
        <v>aranha-de-mandibula-longa</v>
      </c>
    </row>
    <row r="465">
      <c r="A465" s="14">
        <v>45561.0</v>
      </c>
      <c r="B465" s="4">
        <v>0.27152777777777776</v>
      </c>
      <c r="C465" s="5" t="s">
        <v>85</v>
      </c>
      <c r="D465" s="5" t="s">
        <v>313</v>
      </c>
      <c r="E465" s="6" t="s">
        <v>53</v>
      </c>
      <c r="F465" s="7" t="s">
        <v>314</v>
      </c>
      <c r="G465" s="6" t="str">
        <f>VLOOKUP(E465,dicionario!$A$1:$C864,2,0)</f>
        <v>Turnera subulata</v>
      </c>
      <c r="H465" s="6" t="str">
        <f>VLOOKUP(E465,dicionario!$A$1:$C864,3,0)</f>
        <v>xanana</v>
      </c>
    </row>
    <row r="466">
      <c r="A466" s="14">
        <v>45561.0</v>
      </c>
      <c r="B466" s="4">
        <v>0.27152777777777776</v>
      </c>
      <c r="C466" s="5" t="s">
        <v>85</v>
      </c>
      <c r="D466" s="5" t="s">
        <v>313</v>
      </c>
      <c r="E466" s="6" t="s">
        <v>243</v>
      </c>
      <c r="F466" s="7" t="s">
        <v>244</v>
      </c>
      <c r="G466" s="6" t="str">
        <f>VLOOKUP(E466,dicionario!$A$1:$C865,2,0)</f>
        <v>Macroptilium atropurpureum</v>
      </c>
      <c r="H466" s="6" t="str">
        <f>VLOOKUP(E466,dicionario!$A$1:$C865,3,0)</f>
        <v>feijão-de-pombo</v>
      </c>
    </row>
    <row r="467">
      <c r="A467" s="14">
        <v>45561.0</v>
      </c>
      <c r="B467" s="4">
        <v>0.27152777777777776</v>
      </c>
      <c r="C467" s="5" t="s">
        <v>85</v>
      </c>
      <c r="D467" s="5" t="s">
        <v>313</v>
      </c>
      <c r="E467" s="6" t="s">
        <v>227</v>
      </c>
      <c r="F467" s="7" t="s">
        <v>228</v>
      </c>
      <c r="G467" s="6" t="str">
        <f>VLOOKUP(E467,dicionario!$A$1:$C866,2,0)</f>
        <v>Indigofera hirsuta</v>
      </c>
      <c r="H467" s="6" t="str">
        <f>VLOOKUP(E467,dicionario!$A$1:$C866,3,0)</f>
        <v>anileira</v>
      </c>
    </row>
    <row r="468">
      <c r="A468" s="14">
        <v>45561.0</v>
      </c>
      <c r="B468" s="4">
        <v>0.2722222222222222</v>
      </c>
      <c r="C468" s="5" t="s">
        <v>85</v>
      </c>
      <c r="D468" s="5" t="s">
        <v>313</v>
      </c>
      <c r="E468" s="8" t="s">
        <v>38</v>
      </c>
      <c r="F468" s="5" t="s">
        <v>39</v>
      </c>
      <c r="G468" s="6" t="str">
        <f>VLOOKUP(E468,dicionario!$A$1:$C867,2,0)</f>
        <v>Troglodytes musculus</v>
      </c>
      <c r="H468" s="6" t="str">
        <f>VLOOKUP(E468,dicionario!$A$1:$C867,3,0)</f>
        <v>curruíra</v>
      </c>
    </row>
    <row r="469">
      <c r="A469" s="14">
        <v>45561.0</v>
      </c>
      <c r="B469" s="4">
        <v>0.27291666666666664</v>
      </c>
      <c r="C469" s="5" t="s">
        <v>85</v>
      </c>
      <c r="D469" s="5" t="s">
        <v>313</v>
      </c>
      <c r="E469" s="6" t="s">
        <v>191</v>
      </c>
      <c r="F469" s="7" t="s">
        <v>192</v>
      </c>
      <c r="G469" s="6" t="str">
        <f>VLOOKUP(E469,dicionario!$A$1:$C868,2,0)</f>
        <v>Patagioenas picazuro</v>
      </c>
      <c r="H469" s="6" t="str">
        <f>VLOOKUP(E469,dicionario!$A$1:$C868,3,0)</f>
        <v>asa-branca; pomba-asa-branca; pocaçu</v>
      </c>
    </row>
    <row r="470">
      <c r="A470" s="14">
        <v>45561.0</v>
      </c>
      <c r="B470" s="4">
        <v>0.27291666666666664</v>
      </c>
      <c r="C470" s="5" t="s">
        <v>85</v>
      </c>
      <c r="D470" s="5" t="s">
        <v>313</v>
      </c>
      <c r="E470" s="6" t="s">
        <v>319</v>
      </c>
      <c r="F470" s="7" t="s">
        <v>320</v>
      </c>
      <c r="G470" s="6" t="str">
        <f>VLOOKUP(E470,dicionario!$A$1:$C869,2,0)</f>
        <v>Schinus terebinthifolia</v>
      </c>
      <c r="H470" s="6" t="str">
        <f>VLOOKUP(E470,dicionario!$A$1:$C869,3,0)</f>
        <v>aroeira</v>
      </c>
    </row>
    <row r="471">
      <c r="A471" s="14">
        <v>45561.0</v>
      </c>
      <c r="B471" s="4">
        <v>0.27291666666666664</v>
      </c>
      <c r="C471" s="5" t="s">
        <v>85</v>
      </c>
      <c r="D471" s="5" t="s">
        <v>313</v>
      </c>
      <c r="E471" s="6" t="s">
        <v>255</v>
      </c>
      <c r="F471" s="7" t="s">
        <v>35</v>
      </c>
      <c r="G471" s="6" t="str">
        <f>VLOOKUP(E471,dicionario!$A$1:$C870,2,0)</f>
        <v>#N/A</v>
      </c>
      <c r="H471" s="6" t="str">
        <f>VLOOKUP(E471,dicionario!$A$1:$C870,3,0)</f>
        <v>#N/A</v>
      </c>
    </row>
    <row r="472">
      <c r="A472" s="14">
        <v>45561.0</v>
      </c>
      <c r="B472" s="4">
        <v>0.27361111111111114</v>
      </c>
      <c r="C472" s="5" t="s">
        <v>85</v>
      </c>
      <c r="D472" s="5" t="s">
        <v>313</v>
      </c>
      <c r="E472" s="6" t="s">
        <v>51</v>
      </c>
      <c r="F472" s="7" t="s">
        <v>321</v>
      </c>
      <c r="G472" s="6" t="str">
        <f>VLOOKUP(E472,dicionario!$A$1:$C871,2,0)</f>
        <v>Solenopsis</v>
      </c>
      <c r="H472" s="6" t="str">
        <f>VLOOKUP(E472,dicionario!$A$1:$C871,3,0)</f>
        <v>formiga-quente; formiga-lava-pés; formiga-de-fogo</v>
      </c>
    </row>
    <row r="473">
      <c r="A473" s="14">
        <v>45561.0</v>
      </c>
      <c r="B473" s="4">
        <v>0.2743055555555556</v>
      </c>
      <c r="C473" s="5" t="s">
        <v>85</v>
      </c>
      <c r="D473" s="5" t="s">
        <v>313</v>
      </c>
      <c r="E473" s="6" t="s">
        <v>135</v>
      </c>
      <c r="F473" s="7" t="s">
        <v>136</v>
      </c>
      <c r="G473" s="6" t="str">
        <f>VLOOKUP(E473,dicionario!$A$1:$C872,2,0)</f>
        <v>Tridax procumbens</v>
      </c>
      <c r="H473" s="6" t="str">
        <f>VLOOKUP(E473,dicionario!$A$1:$C872,3,0)</f>
        <v>erva-de-touro</v>
      </c>
    </row>
    <row r="474">
      <c r="A474" s="14">
        <v>45561.0</v>
      </c>
      <c r="B474" s="4">
        <v>0.2743055555555556</v>
      </c>
      <c r="C474" s="5" t="s">
        <v>85</v>
      </c>
      <c r="D474" s="5" t="s">
        <v>313</v>
      </c>
      <c r="E474" s="6" t="s">
        <v>204</v>
      </c>
      <c r="F474" s="7" t="s">
        <v>205</v>
      </c>
      <c r="G474" s="6" t="str">
        <f>VLOOKUP(E474,dicionario!$A$1:$C873,2,0)</f>
        <v>Vespidae</v>
      </c>
      <c r="H474" s="6" t="str">
        <f>VLOOKUP(E474,dicionario!$A$1:$C873,3,0)</f>
        <v>vespa</v>
      </c>
    </row>
    <row r="475">
      <c r="A475" s="14">
        <v>45561.0</v>
      </c>
      <c r="B475" s="4">
        <v>0.275</v>
      </c>
      <c r="C475" s="5" t="s">
        <v>85</v>
      </c>
      <c r="D475" s="5" t="s">
        <v>313</v>
      </c>
      <c r="E475" s="6" t="s">
        <v>16</v>
      </c>
      <c r="F475" s="7" t="s">
        <v>17</v>
      </c>
      <c r="G475" s="6" t="str">
        <f>VLOOKUP(E475,dicionario!$A$1:$C874,2,0)</f>
        <v>Eupetomena macroura</v>
      </c>
      <c r="H475" s="6" t="str">
        <f>VLOOKUP(E475,dicionario!$A$1:$C874,3,0)</f>
        <v>beija-flor-tesoura</v>
      </c>
    </row>
    <row r="476">
      <c r="A476" s="14">
        <v>45561.0</v>
      </c>
      <c r="B476" s="4">
        <v>0.27847222222222223</v>
      </c>
      <c r="C476" s="16" t="s">
        <v>76</v>
      </c>
      <c r="D476" s="5" t="s">
        <v>313</v>
      </c>
      <c r="E476" s="6" t="s">
        <v>322</v>
      </c>
      <c r="F476" s="7" t="s">
        <v>323</v>
      </c>
      <c r="G476" s="6" t="str">
        <f>VLOOKUP(E476,dicionario!$A$1:$C875,2,0)</f>
        <v>#N/A</v>
      </c>
      <c r="H476" s="6" t="str">
        <f>VLOOKUP(E476,dicionario!$A$1:$C875,3,0)</f>
        <v>#N/A</v>
      </c>
    </row>
    <row r="477">
      <c r="A477" s="14">
        <v>45561.0</v>
      </c>
      <c r="B477" s="4">
        <v>0.27847222222222223</v>
      </c>
      <c r="C477" s="16" t="s">
        <v>76</v>
      </c>
      <c r="D477" s="5" t="s">
        <v>313</v>
      </c>
      <c r="E477" s="6" t="s">
        <v>111</v>
      </c>
      <c r="F477" s="7" t="s">
        <v>112</v>
      </c>
      <c r="G477" s="6" t="str">
        <f>VLOOKUP(E477,dicionario!$A$1:$C876,2,0)</f>
        <v>Trigona spinipes</v>
      </c>
      <c r="H477" s="6" t="str">
        <f>VLOOKUP(E477,dicionario!$A$1:$C876,3,0)</f>
        <v>abelha-cachorro</v>
      </c>
    </row>
    <row r="478">
      <c r="A478" s="14">
        <v>45561.0</v>
      </c>
      <c r="B478" s="4">
        <v>0.27847222222222223</v>
      </c>
      <c r="C478" s="16" t="s">
        <v>76</v>
      </c>
      <c r="D478" s="5" t="s">
        <v>313</v>
      </c>
      <c r="E478" s="6" t="s">
        <v>195</v>
      </c>
      <c r="F478" s="7" t="s">
        <v>196</v>
      </c>
      <c r="G478" s="6" t="str">
        <f>VLOOKUP(E478,dicionario!$A$1:$C877,2,0)</f>
        <v>Priva lappulacea</v>
      </c>
      <c r="H478" s="6" t="str">
        <f>VLOOKUP(E478,dicionario!$A$1:$C877,3,0)</f>
        <v>carrapicho</v>
      </c>
    </row>
    <row r="479">
      <c r="A479" s="14">
        <v>45561.0</v>
      </c>
      <c r="B479" s="4">
        <v>0.27847222222222223</v>
      </c>
      <c r="C479" s="16" t="s">
        <v>76</v>
      </c>
      <c r="D479" s="5" t="s">
        <v>313</v>
      </c>
      <c r="E479" s="6" t="s">
        <v>148</v>
      </c>
      <c r="F479" s="7" t="s">
        <v>149</v>
      </c>
      <c r="G479" s="6" t="str">
        <f>VLOOKUP(E479,dicionario!$A$1:$C878,2,0)</f>
        <v>Parthenium hysterophorus</v>
      </c>
      <c r="H479" s="6" t="str">
        <f>VLOOKUP(E479,dicionario!$A$1:$C878,3,0)</f>
        <v>losna-branca</v>
      </c>
    </row>
    <row r="480">
      <c r="A480" s="14">
        <v>45561.0</v>
      </c>
      <c r="B480" s="4">
        <v>0.27847222222222223</v>
      </c>
      <c r="C480" s="16" t="s">
        <v>76</v>
      </c>
      <c r="D480" s="5" t="s">
        <v>313</v>
      </c>
      <c r="E480" s="6" t="s">
        <v>324</v>
      </c>
      <c r="F480" s="7" t="s">
        <v>325</v>
      </c>
      <c r="G480" s="6" t="str">
        <f>VLOOKUP(E480,dicionario!$A$1:$C879,2,0)</f>
        <v>#N/A</v>
      </c>
      <c r="H480" s="6" t="str">
        <f>VLOOKUP(E480,dicionario!$A$1:$C879,3,0)</f>
        <v>#N/A</v>
      </c>
    </row>
    <row r="481">
      <c r="A481" s="14">
        <v>45561.0</v>
      </c>
      <c r="B481" s="4">
        <v>0.2791666666666667</v>
      </c>
      <c r="C481" s="16" t="s">
        <v>76</v>
      </c>
      <c r="D481" s="5" t="s">
        <v>313</v>
      </c>
      <c r="E481" s="6" t="s">
        <v>20</v>
      </c>
      <c r="F481" s="7" t="s">
        <v>21</v>
      </c>
      <c r="G481" s="6" t="str">
        <f>VLOOKUP(E481,dicionario!$A$1:$C880,2,0)</f>
        <v>Sicalis flaveola</v>
      </c>
      <c r="H481" s="6" t="str">
        <f>VLOOKUP(E481,dicionario!$A$1:$C880,3,0)</f>
        <v>canário-da-terra</v>
      </c>
    </row>
    <row r="482">
      <c r="A482" s="14">
        <v>45561.0</v>
      </c>
      <c r="B482" s="4">
        <v>0.2791666666666667</v>
      </c>
      <c r="C482" s="16" t="s">
        <v>76</v>
      </c>
      <c r="D482" s="5" t="s">
        <v>313</v>
      </c>
      <c r="E482" s="6" t="s">
        <v>150</v>
      </c>
      <c r="F482" s="7" t="s">
        <v>151</v>
      </c>
      <c r="G482" s="6" t="str">
        <f>VLOOKUP(E482,dicionario!$A$1:$C881,2,0)</f>
        <v>Amaranthus viridis</v>
      </c>
      <c r="H482" s="6" t="str">
        <f>VLOOKUP(E482,dicionario!$A$1:$C881,3,0)</f>
        <v>caruru-de-mancha</v>
      </c>
    </row>
    <row r="483">
      <c r="A483" s="14">
        <v>45561.0</v>
      </c>
      <c r="B483" s="4">
        <v>0.2791666666666667</v>
      </c>
      <c r="C483" s="16" t="s">
        <v>76</v>
      </c>
      <c r="D483" s="5" t="s">
        <v>313</v>
      </c>
      <c r="E483" s="6" t="s">
        <v>14</v>
      </c>
      <c r="F483" s="7" t="s">
        <v>15</v>
      </c>
      <c r="G483" s="6" t="str">
        <f>VLOOKUP(E483,dicionario!$A$1:$C882,2,0)</f>
        <v>Spermacoce verticillata</v>
      </c>
      <c r="H483" s="6" t="str">
        <f>VLOOKUP(E483,dicionario!$A$1:$C882,3,0)</f>
        <v>vassourinha-de-botão</v>
      </c>
    </row>
    <row r="484">
      <c r="A484" s="14">
        <v>45561.0</v>
      </c>
      <c r="B484" s="4">
        <v>0.2791666666666667</v>
      </c>
      <c r="C484" s="16" t="s">
        <v>76</v>
      </c>
      <c r="D484" s="5" t="s">
        <v>313</v>
      </c>
      <c r="E484" s="6" t="s">
        <v>271</v>
      </c>
      <c r="F484" s="7" t="s">
        <v>272</v>
      </c>
      <c r="G484" s="6" t="str">
        <f>VLOOKUP(E484,dicionario!$A$1:$C883,2,0)</f>
        <v>Cyanthillium cinereum</v>
      </c>
      <c r="H484" s="6" t="str">
        <f>VLOOKUP(E484,dicionario!$A$1:$C883,3,0)</f>
        <v>emília</v>
      </c>
    </row>
    <row r="485">
      <c r="A485" s="14">
        <v>45561.0</v>
      </c>
      <c r="B485" s="4">
        <v>0.2791666666666667</v>
      </c>
      <c r="C485" s="16" t="s">
        <v>76</v>
      </c>
      <c r="D485" s="5" t="s">
        <v>313</v>
      </c>
      <c r="E485" s="6" t="s">
        <v>135</v>
      </c>
      <c r="F485" s="7" t="s">
        <v>136</v>
      </c>
      <c r="G485" s="6" t="str">
        <f>VLOOKUP(E485,dicionario!$A$1:$C884,2,0)</f>
        <v>Tridax procumbens</v>
      </c>
      <c r="H485" s="6" t="str">
        <f>VLOOKUP(E485,dicionario!$A$1:$C884,3,0)</f>
        <v>erva-de-touro</v>
      </c>
    </row>
    <row r="486">
      <c r="A486" s="14">
        <v>45561.0</v>
      </c>
      <c r="B486" s="4">
        <v>0.2791666666666667</v>
      </c>
      <c r="C486" s="16" t="s">
        <v>76</v>
      </c>
      <c r="D486" s="5" t="s">
        <v>313</v>
      </c>
      <c r="E486" s="6" t="s">
        <v>326</v>
      </c>
      <c r="F486" s="7" t="s">
        <v>327</v>
      </c>
      <c r="G486" s="6" t="str">
        <f>VLOOKUP(E486,dicionario!$A$1:$C885,2,0)</f>
        <v>Amaranthus spinosus</v>
      </c>
      <c r="H486" s="6" t="str">
        <f>VLOOKUP(E486,dicionario!$A$1:$C885,3,0)</f>
        <v>caruru-de-espinho</v>
      </c>
    </row>
    <row r="487">
      <c r="A487" s="14">
        <v>45561.0</v>
      </c>
      <c r="B487" s="4">
        <v>0.2791666666666667</v>
      </c>
      <c r="C487" s="16" t="s">
        <v>76</v>
      </c>
      <c r="D487" s="5" t="s">
        <v>313</v>
      </c>
      <c r="E487" s="6" t="s">
        <v>113</v>
      </c>
      <c r="F487" s="7" t="s">
        <v>114</v>
      </c>
      <c r="G487" s="6" t="str">
        <f>VLOOKUP(E487,dicionario!$A$1:$C886,2,0)</f>
        <v>Columbina talpacoti</v>
      </c>
      <c r="H487" s="6" t="str">
        <f>VLOOKUP(E487,dicionario!$A$1:$C886,3,0)</f>
        <v>rolinha-roxa</v>
      </c>
    </row>
    <row r="488">
      <c r="A488" s="14">
        <v>45561.0</v>
      </c>
      <c r="B488" s="4">
        <v>0.2798611111111111</v>
      </c>
      <c r="C488" s="16" t="s">
        <v>76</v>
      </c>
      <c r="D488" s="5" t="s">
        <v>313</v>
      </c>
      <c r="E488" s="6" t="s">
        <v>146</v>
      </c>
      <c r="F488" s="7" t="s">
        <v>147</v>
      </c>
      <c r="G488" s="6" t="str">
        <f>VLOOKUP(E488,dicionario!$A$1:$C887,2,0)</f>
        <v>Euphorbia hirta</v>
      </c>
      <c r="H488" s="6" t="str">
        <f>VLOOKUP(E488,dicionario!$A$1:$C887,3,0)</f>
        <v>erva-de-santa-luzia</v>
      </c>
    </row>
    <row r="489">
      <c r="A489" s="14">
        <v>45561.0</v>
      </c>
      <c r="B489" s="4">
        <v>0.2798611111111111</v>
      </c>
      <c r="C489" s="16" t="s">
        <v>76</v>
      </c>
      <c r="D489" s="5" t="s">
        <v>313</v>
      </c>
      <c r="E489" s="6" t="s">
        <v>239</v>
      </c>
      <c r="F489" s="7" t="s">
        <v>240</v>
      </c>
      <c r="G489" s="6" t="str">
        <f>VLOOKUP(E489,dicionario!$A$1:$C888,2,0)</f>
        <v>Gomphrena celosioides</v>
      </c>
      <c r="H489" s="6" t="str">
        <f>VLOOKUP(E489,dicionario!$A$1:$C888,3,0)</f>
        <v>perpétua-branca</v>
      </c>
    </row>
    <row r="490">
      <c r="A490" s="14">
        <v>45561.0</v>
      </c>
      <c r="B490" s="4">
        <v>0.2798611111111111</v>
      </c>
      <c r="C490" s="16" t="s">
        <v>76</v>
      </c>
      <c r="D490" s="5" t="s">
        <v>313</v>
      </c>
      <c r="E490" s="6" t="s">
        <v>144</v>
      </c>
      <c r="F490" s="7" t="s">
        <v>145</v>
      </c>
      <c r="G490" s="6" t="str">
        <f>VLOOKUP(E490,dicionario!$A$1:$C889,2,0)</f>
        <v>Gomphrena globosa</v>
      </c>
      <c r="H490" s="6" t="str">
        <f>VLOOKUP(E490,dicionario!$A$1:$C889,3,0)</f>
        <v>perpétua-rosa</v>
      </c>
    </row>
    <row r="491">
      <c r="A491" s="14">
        <v>45561.0</v>
      </c>
      <c r="B491" s="4">
        <v>0.2798611111111111</v>
      </c>
      <c r="C491" s="16" t="s">
        <v>76</v>
      </c>
      <c r="D491" s="5" t="s">
        <v>313</v>
      </c>
      <c r="E491" s="6" t="s">
        <v>141</v>
      </c>
      <c r="F491" s="7" t="s">
        <v>142</v>
      </c>
      <c r="G491" s="6" t="str">
        <f>VLOOKUP(E491,dicionario!$A$1:$C890,2,0)</f>
        <v>Ruellia blechum</v>
      </c>
      <c r="H491" s="6" t="str">
        <f>VLOOKUP(E491,dicionario!$A$1:$C890,3,0)</f>
        <v>camarão-verde</v>
      </c>
    </row>
    <row r="492">
      <c r="A492" s="14">
        <v>45561.0</v>
      </c>
      <c r="B492" s="4">
        <v>0.28055555555555556</v>
      </c>
      <c r="C492" s="16" t="s">
        <v>76</v>
      </c>
      <c r="D492" s="5" t="s">
        <v>313</v>
      </c>
      <c r="E492" s="6" t="s">
        <v>243</v>
      </c>
      <c r="F492" s="7" t="s">
        <v>244</v>
      </c>
      <c r="G492" s="6" t="str">
        <f>VLOOKUP(E492,dicionario!$A$1:$C891,2,0)</f>
        <v>Macroptilium atropurpureum</v>
      </c>
      <c r="H492" s="6" t="str">
        <f>VLOOKUP(E492,dicionario!$A$1:$C891,3,0)</f>
        <v>feijão-de-pombo</v>
      </c>
    </row>
    <row r="493">
      <c r="A493" s="14">
        <v>45561.0</v>
      </c>
      <c r="B493" s="4">
        <v>0.28055555555555556</v>
      </c>
      <c r="C493" s="16" t="s">
        <v>76</v>
      </c>
      <c r="D493" s="5" t="s">
        <v>313</v>
      </c>
      <c r="E493" s="6" t="s">
        <v>53</v>
      </c>
      <c r="F493" s="7" t="s">
        <v>314</v>
      </c>
      <c r="G493" s="6" t="str">
        <f>VLOOKUP(E493,dicionario!$A$1:$C892,2,0)</f>
        <v>Turnera subulata</v>
      </c>
      <c r="H493" s="6" t="str">
        <f>VLOOKUP(E493,dicionario!$A$1:$C892,3,0)</f>
        <v>xanana</v>
      </c>
    </row>
    <row r="494">
      <c r="A494" s="14">
        <v>45561.0</v>
      </c>
      <c r="B494" s="4">
        <v>0.28125</v>
      </c>
      <c r="C494" s="16" t="s">
        <v>76</v>
      </c>
      <c r="D494" s="5" t="s">
        <v>313</v>
      </c>
      <c r="E494" s="8" t="s">
        <v>38</v>
      </c>
      <c r="F494" s="5" t="s">
        <v>39</v>
      </c>
      <c r="G494" s="6" t="str">
        <f>VLOOKUP(E494,dicionario!$A$1:$C893,2,0)</f>
        <v>Troglodytes musculus</v>
      </c>
      <c r="H494" s="6" t="str">
        <f>VLOOKUP(E494,dicionario!$A$1:$C893,3,0)</f>
        <v>curruíra</v>
      </c>
    </row>
    <row r="495">
      <c r="A495" s="14">
        <v>45561.0</v>
      </c>
      <c r="B495" s="4">
        <v>0.28125</v>
      </c>
      <c r="C495" s="16" t="s">
        <v>76</v>
      </c>
      <c r="D495" s="5" t="s">
        <v>313</v>
      </c>
      <c r="E495" s="6" t="s">
        <v>162</v>
      </c>
      <c r="F495" s="7" t="s">
        <v>42</v>
      </c>
      <c r="G495" s="6" t="str">
        <f>VLOOKUP(E495,dicionario!$A$1:$C894,2,0)</f>
        <v>Fluvicola nengeta</v>
      </c>
      <c r="H495" s="6" t="str">
        <f>VLOOKUP(E495,dicionario!$A$1:$C894,3,0)</f>
        <v>lavadeira-mascarada</v>
      </c>
    </row>
    <row r="496">
      <c r="A496" s="14">
        <v>45561.0</v>
      </c>
      <c r="B496" s="4">
        <v>0.28125</v>
      </c>
      <c r="C496" s="16" t="s">
        <v>76</v>
      </c>
      <c r="D496" s="5" t="s">
        <v>313</v>
      </c>
      <c r="E496" s="6" t="s">
        <v>20</v>
      </c>
      <c r="F496" s="7" t="s">
        <v>21</v>
      </c>
      <c r="G496" s="6" t="str">
        <f>VLOOKUP(E496,dicionario!$A$1:$C895,2,0)</f>
        <v>Sicalis flaveola</v>
      </c>
      <c r="H496" s="6" t="str">
        <f>VLOOKUP(E496,dicionario!$A$1:$C895,3,0)</f>
        <v>canário-da-terra</v>
      </c>
    </row>
    <row r="497">
      <c r="A497" s="14">
        <v>45561.0</v>
      </c>
      <c r="B497" s="4">
        <v>0.28125</v>
      </c>
      <c r="C497" s="16" t="s">
        <v>76</v>
      </c>
      <c r="D497" s="5" t="s">
        <v>313</v>
      </c>
      <c r="E497" s="6" t="s">
        <v>88</v>
      </c>
      <c r="F497" s="7" t="s">
        <v>89</v>
      </c>
      <c r="G497" s="6" t="str">
        <f>VLOOKUP(E497,dicionario!$A$1:$C896,2,0)</f>
        <v>Tyrannus melancolichus</v>
      </c>
      <c r="H497" s="6" t="str">
        <f>VLOOKUP(E497,dicionario!$A$1:$C896,3,0)</f>
        <v>suiriri</v>
      </c>
    </row>
    <row r="498">
      <c r="A498" s="14">
        <v>45561.0</v>
      </c>
      <c r="B498" s="4">
        <v>0.28194444444444444</v>
      </c>
      <c r="C498" s="16" t="s">
        <v>76</v>
      </c>
      <c r="D498" s="5" t="s">
        <v>313</v>
      </c>
      <c r="E498" s="6" t="s">
        <v>177</v>
      </c>
      <c r="F498" s="7" t="s">
        <v>178</v>
      </c>
      <c r="G498" s="6" t="str">
        <f>VLOOKUP(E498,dicionario!$A$1:$C897,2,0)</f>
        <v>Elaenia flavogaster</v>
      </c>
      <c r="H498" s="6" t="str">
        <f>VLOOKUP(E498,dicionario!$A$1:$C897,3,0)</f>
        <v>guaracava-de-barriga-amarela</v>
      </c>
    </row>
    <row r="499">
      <c r="A499" s="3">
        <v>45561.0</v>
      </c>
      <c r="B499" s="4">
        <v>0.2826388888888889</v>
      </c>
      <c r="C499" s="16" t="s">
        <v>76</v>
      </c>
      <c r="D499" s="5" t="s">
        <v>313</v>
      </c>
      <c r="E499" s="6" t="s">
        <v>65</v>
      </c>
      <c r="F499" s="7" t="s">
        <v>66</v>
      </c>
      <c r="G499" s="6" t="str">
        <f>VLOOKUP(E499,dicionario!$A$1:$C898,2,0)</f>
        <v>Pitangus sulphutarus</v>
      </c>
      <c r="H499" s="6" t="str">
        <f>VLOOKUP(E499,dicionario!$A$1:$C898,3,0)</f>
        <v>bem-te-vi</v>
      </c>
    </row>
    <row r="500">
      <c r="A500" s="3">
        <v>45561.0</v>
      </c>
      <c r="B500" s="4">
        <v>0.2826388888888889</v>
      </c>
      <c r="C500" s="16" t="s">
        <v>76</v>
      </c>
      <c r="D500" s="5" t="s">
        <v>313</v>
      </c>
      <c r="E500" s="6" t="s">
        <v>132</v>
      </c>
      <c r="F500" s="7" t="s">
        <v>133</v>
      </c>
      <c r="G500" s="6" t="str">
        <f>VLOOKUP(E500,dicionario!$A$1:$C899,2,0)</f>
        <v>Euphonia chlorotica</v>
      </c>
      <c r="H500" s="6" t="str">
        <f>VLOOKUP(E500,dicionario!$A$1:$C899,3,0)</f>
        <v>fim-fim</v>
      </c>
    </row>
    <row r="501">
      <c r="A501" s="3">
        <v>45561.0</v>
      </c>
      <c r="B501" s="4">
        <v>0.2833333333333333</v>
      </c>
      <c r="C501" s="16" t="s">
        <v>76</v>
      </c>
      <c r="D501" s="5" t="s">
        <v>313</v>
      </c>
      <c r="E501" s="6" t="s">
        <v>86</v>
      </c>
      <c r="F501" s="7" t="s">
        <v>87</v>
      </c>
      <c r="G501" s="6" t="str">
        <f>VLOOKUP(E501,dicionario!$A$1:$C900,2,0)</f>
        <v>Coereba flaveola</v>
      </c>
      <c r="H501" s="6" t="str">
        <f>VLOOKUP(E501,dicionario!$A$1:$C900,3,0)</f>
        <v>cambacica</v>
      </c>
    </row>
    <row r="502">
      <c r="A502" s="3">
        <v>45561.0</v>
      </c>
      <c r="B502" s="4">
        <v>0.28402777777777777</v>
      </c>
      <c r="C502" s="16" t="s">
        <v>76</v>
      </c>
      <c r="D502" s="5" t="s">
        <v>313</v>
      </c>
      <c r="E502" s="6" t="s">
        <v>141</v>
      </c>
      <c r="F502" s="7" t="s">
        <v>142</v>
      </c>
      <c r="G502" s="6" t="str">
        <f>VLOOKUP(E502,dicionario!$A$1:$C901,2,0)</f>
        <v>Ruellia blechum</v>
      </c>
      <c r="H502" s="6" t="str">
        <f>VLOOKUP(E502,dicionario!$A$1:$C901,3,0)</f>
        <v>camarão-verde</v>
      </c>
    </row>
    <row r="503">
      <c r="A503" s="3">
        <v>45561.0</v>
      </c>
      <c r="B503" s="4">
        <v>0.2847222222222222</v>
      </c>
      <c r="C503" s="16" t="s">
        <v>76</v>
      </c>
      <c r="D503" s="5" t="s">
        <v>313</v>
      </c>
      <c r="E503" s="6" t="s">
        <v>328</v>
      </c>
      <c r="F503" s="7" t="s">
        <v>329</v>
      </c>
      <c r="G503" s="6" t="str">
        <f>VLOOKUP(E503,dicionario!$A$1:$C902,2,0)</f>
        <v>Rivina humilis</v>
      </c>
      <c r="H503" s="6" t="str">
        <f>VLOOKUP(E503,dicionario!$A$1:$C902,3,0)</f>
        <v>baga-de-sangue</v>
      </c>
    </row>
    <row r="504">
      <c r="A504" s="3">
        <v>45561.0</v>
      </c>
      <c r="B504" s="4">
        <v>0.2847222222222222</v>
      </c>
      <c r="C504" s="16" t="s">
        <v>76</v>
      </c>
      <c r="D504" s="5" t="s">
        <v>313</v>
      </c>
      <c r="E504" s="6" t="s">
        <v>16</v>
      </c>
      <c r="F504" s="7" t="s">
        <v>17</v>
      </c>
      <c r="G504" s="6" t="str">
        <f>VLOOKUP(E504,dicionario!$A$1:$C903,2,0)</f>
        <v>Eupetomena macroura</v>
      </c>
      <c r="H504" s="6" t="str">
        <f>VLOOKUP(E504,dicionario!$A$1:$C903,3,0)</f>
        <v>beija-flor-tesoura</v>
      </c>
    </row>
    <row r="505">
      <c r="A505" s="3">
        <v>45561.0</v>
      </c>
      <c r="B505" s="4">
        <v>0.2861111111111111</v>
      </c>
      <c r="C505" s="16" t="s">
        <v>76</v>
      </c>
      <c r="D505" s="5" t="s">
        <v>313</v>
      </c>
      <c r="E505" s="6" t="s">
        <v>330</v>
      </c>
      <c r="F505" s="7" t="s">
        <v>331</v>
      </c>
      <c r="G505" s="6" t="str">
        <f>VLOOKUP(E505,dicionario!$A$1:$C904,2,0)</f>
        <v>Hamadryas feronia</v>
      </c>
      <c r="H505" s="6" t="str">
        <f>VLOOKUP(E505,dicionario!$A$1:$C904,3,0)</f>
        <v>borboleta-estaladeira</v>
      </c>
    </row>
    <row r="506">
      <c r="A506" s="3">
        <v>45561.0</v>
      </c>
      <c r="B506" s="4">
        <v>0.28680555555555554</v>
      </c>
      <c r="C506" s="16" t="s">
        <v>76</v>
      </c>
      <c r="D506" s="5" t="s">
        <v>313</v>
      </c>
      <c r="E506" s="6" t="s">
        <v>113</v>
      </c>
      <c r="F506" s="7" t="s">
        <v>114</v>
      </c>
      <c r="G506" s="6" t="str">
        <f>VLOOKUP(E506,dicionario!$A$1:$C905,2,0)</f>
        <v>Columbina talpacoti</v>
      </c>
      <c r="H506" s="6" t="str">
        <f>VLOOKUP(E506,dicionario!$A$1:$C905,3,0)</f>
        <v>rolinha-roxa</v>
      </c>
    </row>
    <row r="507">
      <c r="A507" s="3">
        <v>45561.0</v>
      </c>
      <c r="B507" s="4">
        <v>0.28680555555555554</v>
      </c>
      <c r="C507" s="16" t="s">
        <v>76</v>
      </c>
      <c r="D507" s="5" t="s">
        <v>313</v>
      </c>
      <c r="E507" s="6" t="s">
        <v>237</v>
      </c>
      <c r="F507" s="7" t="s">
        <v>238</v>
      </c>
      <c r="G507" s="6" t="str">
        <f>VLOOKUP(E507,dicionario!$A$1:$C906,2,0)</f>
        <v>Acromyrmex</v>
      </c>
      <c r="H507" s="6" t="str">
        <f>VLOOKUP(E507,dicionario!$A$1:$C906,3,0)</f>
        <v>quenquén</v>
      </c>
    </row>
    <row r="508">
      <c r="A508" s="3">
        <v>45561.0</v>
      </c>
      <c r="B508" s="4">
        <v>0.28680555555555554</v>
      </c>
      <c r="C508" s="16" t="s">
        <v>76</v>
      </c>
      <c r="D508" s="5" t="s">
        <v>313</v>
      </c>
      <c r="E508" s="6" t="s">
        <v>18</v>
      </c>
      <c r="F508" s="7" t="s">
        <v>219</v>
      </c>
      <c r="G508" s="6" t="str">
        <f>VLOOKUP(E508,dicionario!$A$1:$C907,2,0)</f>
        <v>Xylocopa frontalis</v>
      </c>
      <c r="H508" s="6" t="str">
        <f>VLOOKUP(E508,dicionario!$A$1:$C907,3,0)</f>
        <v>Mamangava; mangangá; abelha-carpinteira</v>
      </c>
    </row>
    <row r="509">
      <c r="A509" s="3">
        <v>45561.0</v>
      </c>
      <c r="B509" s="4">
        <v>0.2875</v>
      </c>
      <c r="C509" s="16" t="s">
        <v>76</v>
      </c>
      <c r="D509" s="5" t="s">
        <v>313</v>
      </c>
      <c r="E509" s="6" t="s">
        <v>332</v>
      </c>
      <c r="F509" s="7" t="s">
        <v>333</v>
      </c>
      <c r="G509" s="6" t="str">
        <f>VLOOKUP(E509,dicionario!$A$1:$C908,2,0)</f>
        <v>#N/A</v>
      </c>
      <c r="H509" s="6" t="str">
        <f>VLOOKUP(E509,dicionario!$A$1:$C908,3,0)</f>
        <v>#N/A</v>
      </c>
    </row>
    <row r="510">
      <c r="A510" s="3">
        <v>45561.0</v>
      </c>
      <c r="B510" s="4">
        <v>0.2875</v>
      </c>
      <c r="C510" s="16" t="s">
        <v>76</v>
      </c>
      <c r="D510" s="5" t="s">
        <v>313</v>
      </c>
      <c r="E510" s="8" t="s">
        <v>38</v>
      </c>
      <c r="F510" s="5" t="s">
        <v>39</v>
      </c>
      <c r="G510" s="6" t="str">
        <f>VLOOKUP(E510,dicionario!$A$1:$C909,2,0)</f>
        <v>Troglodytes musculus</v>
      </c>
      <c r="H510" s="6" t="str">
        <f>VLOOKUP(E510,dicionario!$A$1:$C909,3,0)</f>
        <v>curruíra</v>
      </c>
    </row>
    <row r="511">
      <c r="A511" s="3">
        <v>45561.0</v>
      </c>
      <c r="B511" s="4">
        <v>0.2875</v>
      </c>
      <c r="C511" s="16" t="s">
        <v>76</v>
      </c>
      <c r="D511" s="5" t="s">
        <v>313</v>
      </c>
      <c r="E511" s="6" t="s">
        <v>163</v>
      </c>
      <c r="F511" s="7" t="s">
        <v>164</v>
      </c>
      <c r="G511" s="6" t="str">
        <f>VLOOKUP(E511,dicionario!$A$1:$C910,2,0)</f>
        <v>Coragyps atratus</v>
      </c>
      <c r="H511" s="6" t="str">
        <f>VLOOKUP(E511,dicionario!$A$1:$C910,3,0)</f>
        <v>urubu-de-cabeça-preta</v>
      </c>
    </row>
    <row r="512">
      <c r="A512" s="3">
        <v>45561.0</v>
      </c>
      <c r="B512" s="4">
        <v>0.2916666666666667</v>
      </c>
      <c r="C512" s="5" t="s">
        <v>64</v>
      </c>
      <c r="D512" s="5" t="s">
        <v>313</v>
      </c>
      <c r="E512" s="6" t="s">
        <v>65</v>
      </c>
      <c r="F512" s="7" t="s">
        <v>66</v>
      </c>
      <c r="G512" s="6" t="str">
        <f>VLOOKUP(E512,dicionario!$A$1:$C911,2,0)</f>
        <v>Pitangus sulphutarus</v>
      </c>
      <c r="H512" s="6" t="str">
        <f>VLOOKUP(E512,dicionario!$A$1:$C911,3,0)</f>
        <v>bem-te-vi</v>
      </c>
    </row>
    <row r="513">
      <c r="A513" s="3">
        <v>45561.0</v>
      </c>
      <c r="B513" s="4">
        <v>0.2916666666666667</v>
      </c>
      <c r="C513" s="5" t="s">
        <v>64</v>
      </c>
      <c r="D513" s="5" t="s">
        <v>313</v>
      </c>
      <c r="E513" s="6" t="s">
        <v>113</v>
      </c>
      <c r="F513" s="7" t="s">
        <v>114</v>
      </c>
      <c r="G513" s="6" t="str">
        <f>VLOOKUP(E513,dicionario!$A$1:$C912,2,0)</f>
        <v>Columbina talpacoti</v>
      </c>
      <c r="H513" s="6" t="str">
        <f>VLOOKUP(E513,dicionario!$A$1:$C912,3,0)</f>
        <v>rolinha-roxa</v>
      </c>
    </row>
    <row r="514">
      <c r="A514" s="3">
        <v>45561.0</v>
      </c>
      <c r="B514" s="4">
        <v>0.2923611111111111</v>
      </c>
      <c r="C514" s="5" t="s">
        <v>64</v>
      </c>
      <c r="D514" s="5" t="s">
        <v>313</v>
      </c>
      <c r="E514" s="6" t="s">
        <v>20</v>
      </c>
      <c r="F514" s="7" t="s">
        <v>21</v>
      </c>
      <c r="G514" s="6" t="str">
        <f>VLOOKUP(E514,dicionario!$A$1:$C913,2,0)</f>
        <v>Sicalis flaveola</v>
      </c>
      <c r="H514" s="6" t="str">
        <f>VLOOKUP(E514,dicionario!$A$1:$C913,3,0)</f>
        <v>canário-da-terra</v>
      </c>
    </row>
    <row r="515">
      <c r="A515" s="3">
        <v>45561.0</v>
      </c>
      <c r="B515" s="4">
        <v>0.2923611111111111</v>
      </c>
      <c r="C515" s="5" t="s">
        <v>64</v>
      </c>
      <c r="D515" s="5" t="s">
        <v>313</v>
      </c>
      <c r="E515" s="6" t="s">
        <v>162</v>
      </c>
      <c r="F515" s="7" t="s">
        <v>42</v>
      </c>
      <c r="G515" s="6" t="str">
        <f>VLOOKUP(E515,dicionario!$A$1:$C914,2,0)</f>
        <v>Fluvicola nengeta</v>
      </c>
      <c r="H515" s="6" t="str">
        <f>VLOOKUP(E515,dicionario!$A$1:$C914,3,0)</f>
        <v>lavadeira-mascarada</v>
      </c>
    </row>
    <row r="516">
      <c r="A516" s="3">
        <v>45561.0</v>
      </c>
      <c r="B516" s="4">
        <v>0.2923611111111111</v>
      </c>
      <c r="C516" s="5" t="s">
        <v>64</v>
      </c>
      <c r="D516" s="5" t="s">
        <v>313</v>
      </c>
      <c r="E516" s="6" t="s">
        <v>72</v>
      </c>
      <c r="F516" s="7" t="s">
        <v>73</v>
      </c>
      <c r="G516" s="6" t="str">
        <f>VLOOKUP(E516,dicionario!$A$1:$C915,2,0)</f>
        <v>Thraupis palmarum</v>
      </c>
      <c r="H516" s="6" t="str">
        <f>VLOOKUP(E516,dicionario!$A$1:$C915,3,0)</f>
        <v>sanhaço-do-coqueiro</v>
      </c>
    </row>
    <row r="517">
      <c r="A517" s="3">
        <v>45561.0</v>
      </c>
      <c r="B517" s="4">
        <v>0.2923611111111111</v>
      </c>
      <c r="C517" s="5" t="s">
        <v>64</v>
      </c>
      <c r="D517" s="5" t="s">
        <v>313</v>
      </c>
      <c r="E517" s="6" t="s">
        <v>132</v>
      </c>
      <c r="F517" s="7" t="s">
        <v>133</v>
      </c>
      <c r="G517" s="6" t="str">
        <f>VLOOKUP(E517,dicionario!$A$1:$C916,2,0)</f>
        <v>Euphonia chlorotica</v>
      </c>
      <c r="H517" s="6" t="str">
        <f>VLOOKUP(E517,dicionario!$A$1:$C916,3,0)</f>
        <v>fim-fim</v>
      </c>
    </row>
    <row r="518">
      <c r="A518" s="3">
        <v>45561.0</v>
      </c>
      <c r="B518" s="4">
        <v>0.2923611111111111</v>
      </c>
      <c r="C518" s="5" t="s">
        <v>64</v>
      </c>
      <c r="D518" s="5" t="s">
        <v>313</v>
      </c>
      <c r="E518" s="6" t="s">
        <v>148</v>
      </c>
      <c r="F518" s="7" t="s">
        <v>149</v>
      </c>
      <c r="G518" s="6" t="str">
        <f>VLOOKUP(E518,dicionario!$A$1:$C917,2,0)</f>
        <v>Parthenium hysterophorus</v>
      </c>
      <c r="H518" s="6" t="str">
        <f>VLOOKUP(E518,dicionario!$A$1:$C917,3,0)</f>
        <v>losna-branca</v>
      </c>
    </row>
    <row r="519">
      <c r="A519" s="3">
        <v>45561.0</v>
      </c>
      <c r="B519" s="4">
        <v>0.2923611111111111</v>
      </c>
      <c r="C519" s="5" t="s">
        <v>64</v>
      </c>
      <c r="D519" s="5" t="s">
        <v>313</v>
      </c>
      <c r="E519" s="6" t="s">
        <v>150</v>
      </c>
      <c r="F519" s="7" t="s">
        <v>151</v>
      </c>
      <c r="G519" s="6" t="str">
        <f>VLOOKUP(E519,dicionario!$A$1:$C918,2,0)</f>
        <v>Amaranthus viridis</v>
      </c>
      <c r="H519" s="6" t="str">
        <f>VLOOKUP(E519,dicionario!$A$1:$C918,3,0)</f>
        <v>caruru-de-mancha</v>
      </c>
    </row>
    <row r="520">
      <c r="A520" s="3">
        <v>45561.0</v>
      </c>
      <c r="B520" s="4">
        <v>0.29305555555555557</v>
      </c>
      <c r="C520" s="5" t="s">
        <v>64</v>
      </c>
      <c r="D520" s="5" t="s">
        <v>313</v>
      </c>
      <c r="E520" s="6" t="s">
        <v>195</v>
      </c>
      <c r="F520" s="7" t="s">
        <v>196</v>
      </c>
      <c r="G520" s="6" t="str">
        <f>VLOOKUP(E520,dicionario!$A$1:$C919,2,0)</f>
        <v>Priva lappulacea</v>
      </c>
      <c r="H520" s="6" t="str">
        <f>VLOOKUP(E520,dicionario!$A$1:$C919,3,0)</f>
        <v>carrapicho</v>
      </c>
    </row>
    <row r="521">
      <c r="A521" s="3">
        <v>45561.0</v>
      </c>
      <c r="B521" s="4">
        <v>0.29305555555555557</v>
      </c>
      <c r="C521" s="5" t="s">
        <v>64</v>
      </c>
      <c r="D521" s="5" t="s">
        <v>313</v>
      </c>
      <c r="E521" s="6" t="s">
        <v>141</v>
      </c>
      <c r="F521" s="7" t="s">
        <v>142</v>
      </c>
      <c r="G521" s="6" t="str">
        <f>VLOOKUP(E521,dicionario!$A$1:$C920,2,0)</f>
        <v>Ruellia blechum</v>
      </c>
      <c r="H521" s="6" t="str">
        <f>VLOOKUP(E521,dicionario!$A$1:$C920,3,0)</f>
        <v>camarão-verde</v>
      </c>
    </row>
    <row r="522">
      <c r="A522" s="3">
        <v>45561.0</v>
      </c>
      <c r="B522" s="4">
        <v>0.29305555555555557</v>
      </c>
      <c r="C522" s="5" t="s">
        <v>64</v>
      </c>
      <c r="D522" s="5" t="s">
        <v>313</v>
      </c>
      <c r="E522" s="6" t="s">
        <v>271</v>
      </c>
      <c r="F522" s="7" t="s">
        <v>272</v>
      </c>
      <c r="G522" s="6" t="str">
        <f>VLOOKUP(E522,dicionario!$A$1:$C921,2,0)</f>
        <v>Cyanthillium cinereum</v>
      </c>
      <c r="H522" s="6" t="str">
        <f>VLOOKUP(E522,dicionario!$A$1:$C921,3,0)</f>
        <v>emília</v>
      </c>
    </row>
    <row r="523">
      <c r="A523" s="3">
        <v>45561.0</v>
      </c>
      <c r="B523" s="4">
        <v>0.29305555555555557</v>
      </c>
      <c r="C523" s="5" t="s">
        <v>64</v>
      </c>
      <c r="D523" s="5" t="s">
        <v>313</v>
      </c>
      <c r="E523" s="6" t="s">
        <v>253</v>
      </c>
      <c r="F523" s="7" t="s">
        <v>254</v>
      </c>
      <c r="G523" s="6" t="str">
        <f>VLOOKUP(E523,dicionario!$A$1:$C922,2,0)</f>
        <v>Panicum maximum</v>
      </c>
      <c r="H523" s="6" t="str">
        <f>VLOOKUP(E523,dicionario!$A$1:$C922,3,0)</f>
        <v>capim-colonião</v>
      </c>
    </row>
    <row r="524">
      <c r="A524" s="3">
        <v>45561.0</v>
      </c>
      <c r="B524" s="4">
        <v>0.29305555555555557</v>
      </c>
      <c r="C524" s="5" t="s">
        <v>64</v>
      </c>
      <c r="D524" s="5" t="s">
        <v>313</v>
      </c>
      <c r="E524" s="6" t="s">
        <v>86</v>
      </c>
      <c r="F524" s="7" t="s">
        <v>87</v>
      </c>
      <c r="G524" s="6" t="str">
        <f>VLOOKUP(E524,dicionario!$A$1:$C923,2,0)</f>
        <v>Coereba flaveola</v>
      </c>
      <c r="H524" s="6" t="str">
        <f>VLOOKUP(E524,dicionario!$A$1:$C923,3,0)</f>
        <v>cambacica</v>
      </c>
    </row>
    <row r="525">
      <c r="A525" s="3">
        <v>45561.0</v>
      </c>
      <c r="B525" s="4">
        <v>0.29305555555555557</v>
      </c>
      <c r="C525" s="5" t="s">
        <v>64</v>
      </c>
      <c r="D525" s="5" t="s">
        <v>313</v>
      </c>
      <c r="E525" s="6" t="s">
        <v>16</v>
      </c>
      <c r="F525" s="7" t="s">
        <v>17</v>
      </c>
      <c r="G525" s="6" t="str">
        <f>VLOOKUP(E525,dicionario!$A$1:$C924,2,0)</f>
        <v>Eupetomena macroura</v>
      </c>
      <c r="H525" s="6" t="str">
        <f>VLOOKUP(E525,dicionario!$A$1:$C924,3,0)</f>
        <v>beija-flor-tesoura</v>
      </c>
    </row>
    <row r="526">
      <c r="A526" s="3">
        <v>45561.0</v>
      </c>
      <c r="B526" s="4">
        <v>0.29375</v>
      </c>
      <c r="C526" s="5" t="s">
        <v>64</v>
      </c>
      <c r="D526" s="5" t="s">
        <v>313</v>
      </c>
      <c r="E526" s="8" t="s">
        <v>38</v>
      </c>
      <c r="F526" s="5" t="s">
        <v>39</v>
      </c>
      <c r="G526" s="6" t="str">
        <f>VLOOKUP(E526,dicionario!$A$1:$C925,2,0)</f>
        <v>Troglodytes musculus</v>
      </c>
      <c r="H526" s="6" t="str">
        <f>VLOOKUP(E526,dicionario!$A$1:$C925,3,0)</f>
        <v>curruíra</v>
      </c>
    </row>
    <row r="527">
      <c r="A527" s="3">
        <v>45561.0</v>
      </c>
      <c r="B527" s="4">
        <v>0.29375</v>
      </c>
      <c r="C527" s="5" t="s">
        <v>64</v>
      </c>
      <c r="D527" s="5" t="s">
        <v>313</v>
      </c>
      <c r="E527" s="6" t="s">
        <v>122</v>
      </c>
      <c r="F527" s="7" t="s">
        <v>123</v>
      </c>
      <c r="G527" s="6" t="str">
        <f>VLOOKUP(E527,dicionario!$A$1:$C926,2,0)</f>
        <v>Todirostrum cinereum</v>
      </c>
      <c r="H527" s="6" t="str">
        <f>VLOOKUP(E527,dicionario!$A$1:$C926,3,0)</f>
        <v>ferreirinho-relógio</v>
      </c>
    </row>
    <row r="528">
      <c r="A528" s="3">
        <v>45561.0</v>
      </c>
      <c r="B528" s="4">
        <v>0.29444444444444445</v>
      </c>
      <c r="C528" s="5" t="s">
        <v>64</v>
      </c>
      <c r="D528" s="5" t="s">
        <v>313</v>
      </c>
      <c r="E528" s="6" t="s">
        <v>143</v>
      </c>
      <c r="F528" s="7" t="s">
        <v>63</v>
      </c>
      <c r="G528" s="6" t="str">
        <f>VLOOKUP(E528,dicionario!$A$1:$C927,2,0)</f>
        <v>Polybia</v>
      </c>
      <c r="H528" s="6" t="str">
        <f>VLOOKUP(E528,dicionario!$A$1:$C927,3,0)</f>
        <v>vespa</v>
      </c>
    </row>
    <row r="529">
      <c r="A529" s="3">
        <v>45561.0</v>
      </c>
      <c r="B529" s="4">
        <v>0.2965277777777778</v>
      </c>
      <c r="C529" s="5" t="s">
        <v>59</v>
      </c>
      <c r="D529" s="5" t="s">
        <v>313</v>
      </c>
      <c r="E529" s="6" t="s">
        <v>237</v>
      </c>
      <c r="F529" s="7" t="s">
        <v>238</v>
      </c>
      <c r="G529" s="6" t="str">
        <f>VLOOKUP(E529,dicionario!$A$1:$C928,2,0)</f>
        <v>Acromyrmex</v>
      </c>
      <c r="H529" s="6" t="str">
        <f>VLOOKUP(E529,dicionario!$A$1:$C928,3,0)</f>
        <v>quenquén</v>
      </c>
    </row>
    <row r="530">
      <c r="A530" s="3">
        <v>45561.0</v>
      </c>
      <c r="B530" s="4">
        <v>0.2965277777777778</v>
      </c>
      <c r="C530" s="5" t="s">
        <v>59</v>
      </c>
      <c r="D530" s="5" t="s">
        <v>313</v>
      </c>
      <c r="E530" s="6" t="s">
        <v>51</v>
      </c>
      <c r="F530" s="7" t="s">
        <v>321</v>
      </c>
      <c r="G530" s="6" t="str">
        <f>VLOOKUP(E530,dicionario!$A$1:$C929,2,0)</f>
        <v>Solenopsis</v>
      </c>
      <c r="H530" s="6" t="str">
        <f>VLOOKUP(E530,dicionario!$A$1:$C929,3,0)</f>
        <v>formiga-quente; formiga-lava-pés; formiga-de-fogo</v>
      </c>
    </row>
    <row r="531">
      <c r="A531" s="3">
        <v>45561.0</v>
      </c>
      <c r="B531" s="4">
        <v>0.2965277777777778</v>
      </c>
      <c r="C531" s="5" t="s">
        <v>59</v>
      </c>
      <c r="D531" s="5" t="s">
        <v>313</v>
      </c>
      <c r="E531" s="6" t="s">
        <v>213</v>
      </c>
      <c r="F531" s="7" t="s">
        <v>214</v>
      </c>
      <c r="G531" s="6" t="str">
        <f>VLOOKUP(E531,dicionario!$A$1:$C930,2,0)</f>
        <v>Myiozetetes similis</v>
      </c>
      <c r="H531" s="6" t="str">
        <f>VLOOKUP(E531,dicionario!$A$1:$C930,3,0)</f>
        <v>bentevizinho-de-penacho-vermelho</v>
      </c>
    </row>
    <row r="532">
      <c r="A532" s="3">
        <v>45561.0</v>
      </c>
      <c r="B532" s="4">
        <v>0.2965277777777778</v>
      </c>
      <c r="C532" s="5" t="s">
        <v>59</v>
      </c>
      <c r="D532" s="5" t="s">
        <v>313</v>
      </c>
      <c r="E532" s="6" t="s">
        <v>191</v>
      </c>
      <c r="F532" s="7" t="s">
        <v>192</v>
      </c>
      <c r="G532" s="6" t="str">
        <f>VLOOKUP(E532,dicionario!$A$1:$C931,2,0)</f>
        <v>Patagioenas picazuro</v>
      </c>
      <c r="H532" s="6" t="str">
        <f>VLOOKUP(E532,dicionario!$A$1:$C931,3,0)</f>
        <v>asa-branca; pomba-asa-branca; pocaçu</v>
      </c>
    </row>
    <row r="533">
      <c r="A533" s="3">
        <v>45561.0</v>
      </c>
      <c r="B533" s="4">
        <v>0.2965277777777778</v>
      </c>
      <c r="C533" s="5" t="s">
        <v>59</v>
      </c>
      <c r="D533" s="5" t="s">
        <v>313</v>
      </c>
      <c r="E533" s="6" t="s">
        <v>57</v>
      </c>
      <c r="F533" s="7" t="s">
        <v>197</v>
      </c>
      <c r="G533" s="6" t="str">
        <f>VLOOKUP(E533,dicionario!$A$1:$C932,2,0)</f>
        <v>Juliformia</v>
      </c>
      <c r="H533" s="6" t="str">
        <f>VLOOKUP(E533,dicionario!$A$1:$C932,3,0)</f>
        <v>gongolo; maria-café</v>
      </c>
    </row>
    <row r="534">
      <c r="A534" s="3">
        <v>45561.0</v>
      </c>
      <c r="B534" s="4">
        <v>0.2972222222222222</v>
      </c>
      <c r="C534" s="5" t="s">
        <v>59</v>
      </c>
      <c r="D534" s="5" t="s">
        <v>313</v>
      </c>
      <c r="E534" s="8" t="s">
        <v>46</v>
      </c>
      <c r="F534" s="5" t="s">
        <v>47</v>
      </c>
      <c r="G534" s="6" t="str">
        <f>VLOOKUP(E534,dicionario!$A$1:$C933,2,0)</f>
        <v>Chionomesa fimbriata</v>
      </c>
      <c r="H534" s="6" t="str">
        <f>VLOOKUP(E534,dicionario!$A$1:$C933,3,0)</f>
        <v>beija-flor-de-garganta-verde</v>
      </c>
    </row>
    <row r="535">
      <c r="A535" s="3">
        <v>45561.0</v>
      </c>
      <c r="B535" s="4">
        <v>0.2972222222222222</v>
      </c>
      <c r="C535" s="5" t="s">
        <v>59</v>
      </c>
      <c r="D535" s="5" t="s">
        <v>313</v>
      </c>
      <c r="E535" s="6" t="s">
        <v>193</v>
      </c>
      <c r="F535" s="7" t="s">
        <v>194</v>
      </c>
      <c r="G535" s="6" t="str">
        <f>VLOOKUP(E535,dicionario!$A$1:$C934,2,0)</f>
        <v>Conirostrum speciosum</v>
      </c>
      <c r="H535" s="6" t="str">
        <f>VLOOKUP(E535,dicionario!$A$1:$C934,3,0)</f>
        <v>figuinha-de-rabo-castanho</v>
      </c>
    </row>
    <row r="536">
      <c r="A536" s="3">
        <v>45561.0</v>
      </c>
      <c r="B536" s="4">
        <v>0.2972222222222222</v>
      </c>
      <c r="C536" s="5" t="s">
        <v>59</v>
      </c>
      <c r="D536" s="5" t="s">
        <v>313</v>
      </c>
      <c r="E536" s="6" t="s">
        <v>215</v>
      </c>
      <c r="F536" s="7" t="s">
        <v>216</v>
      </c>
      <c r="G536" s="6" t="str">
        <f>VLOOKUP(E536,dicionario!$A$1:$C935,2,0)</f>
        <v>Pygochelidon cyanoleuca</v>
      </c>
      <c r="H536" s="6" t="str">
        <f>VLOOKUP(E536,dicionario!$A$1:$C935,3,0)</f>
        <v>andorinha-pequena-de-casa</v>
      </c>
    </row>
    <row r="537">
      <c r="A537" s="3">
        <v>45561.0</v>
      </c>
      <c r="B537" s="4">
        <v>0.2972222222222222</v>
      </c>
      <c r="C537" s="5" t="s">
        <v>59</v>
      </c>
      <c r="D537" s="5" t="s">
        <v>313</v>
      </c>
      <c r="E537" s="6" t="s">
        <v>86</v>
      </c>
      <c r="F537" s="7" t="s">
        <v>87</v>
      </c>
      <c r="G537" s="6" t="str">
        <f>VLOOKUP(E537,dicionario!$A$1:$C936,2,0)</f>
        <v>Coereba flaveola</v>
      </c>
      <c r="H537" s="6" t="str">
        <f>VLOOKUP(E537,dicionario!$A$1:$C936,3,0)</f>
        <v>cambacica</v>
      </c>
    </row>
    <row r="538">
      <c r="A538" s="3">
        <v>45561.0</v>
      </c>
      <c r="B538" s="4">
        <v>0.29791666666666666</v>
      </c>
      <c r="C538" s="5" t="s">
        <v>59</v>
      </c>
      <c r="D538" s="5" t="s">
        <v>313</v>
      </c>
      <c r="E538" s="6" t="s">
        <v>72</v>
      </c>
      <c r="F538" s="7" t="s">
        <v>73</v>
      </c>
      <c r="G538" s="6" t="str">
        <f>VLOOKUP(E538,dicionario!$A$1:$C937,2,0)</f>
        <v>Thraupis palmarum</v>
      </c>
      <c r="H538" s="6" t="str">
        <f>VLOOKUP(E538,dicionario!$A$1:$C937,3,0)</f>
        <v>sanhaço-do-coqueiro</v>
      </c>
    </row>
    <row r="539">
      <c r="A539" s="3">
        <v>45561.0</v>
      </c>
      <c r="B539" s="4">
        <v>0.29791666666666666</v>
      </c>
      <c r="C539" s="5" t="s">
        <v>59</v>
      </c>
      <c r="D539" s="5" t="s">
        <v>313</v>
      </c>
      <c r="E539" s="6" t="s">
        <v>177</v>
      </c>
      <c r="F539" s="7" t="s">
        <v>178</v>
      </c>
      <c r="G539" s="6" t="str">
        <f>VLOOKUP(E539,dicionario!$A$1:$C938,2,0)</f>
        <v>Elaenia flavogaster</v>
      </c>
      <c r="H539" s="6" t="str">
        <f>VLOOKUP(E539,dicionario!$A$1:$C938,3,0)</f>
        <v>guaracava-de-barriga-amarela</v>
      </c>
    </row>
    <row r="540">
      <c r="A540" s="3">
        <v>45561.0</v>
      </c>
      <c r="B540" s="4">
        <v>0.29791666666666666</v>
      </c>
      <c r="C540" s="5" t="s">
        <v>59</v>
      </c>
      <c r="D540" s="5" t="s">
        <v>313</v>
      </c>
      <c r="E540" s="6" t="s">
        <v>16</v>
      </c>
      <c r="F540" s="7" t="s">
        <v>17</v>
      </c>
      <c r="G540" s="6" t="str">
        <f>VLOOKUP(E540,dicionario!$A$1:$C939,2,0)</f>
        <v>Eupetomena macroura</v>
      </c>
      <c r="H540" s="6" t="str">
        <f>VLOOKUP(E540,dicionario!$A$1:$C939,3,0)</f>
        <v>beija-flor-tesoura</v>
      </c>
    </row>
    <row r="541">
      <c r="A541" s="3">
        <v>45561.0</v>
      </c>
      <c r="B541" s="4">
        <v>0.2986111111111111</v>
      </c>
      <c r="C541" s="5" t="s">
        <v>59</v>
      </c>
      <c r="D541" s="5" t="s">
        <v>313</v>
      </c>
      <c r="E541" s="6" t="s">
        <v>88</v>
      </c>
      <c r="F541" s="7" t="s">
        <v>89</v>
      </c>
      <c r="G541" s="6" t="str">
        <f>VLOOKUP(E541,dicionario!$A$1:$C940,2,0)</f>
        <v>Tyrannus melancolichus</v>
      </c>
      <c r="H541" s="6" t="str">
        <f>VLOOKUP(E541,dicionario!$A$1:$C940,3,0)</f>
        <v>suiriri</v>
      </c>
    </row>
    <row r="542">
      <c r="A542" s="3">
        <v>45561.0</v>
      </c>
      <c r="B542" s="4">
        <v>0.29930555555555555</v>
      </c>
      <c r="C542" s="5" t="s">
        <v>59</v>
      </c>
      <c r="D542" s="5" t="s">
        <v>313</v>
      </c>
      <c r="E542" s="6" t="s">
        <v>202</v>
      </c>
      <c r="F542" s="7" t="s">
        <v>203</v>
      </c>
      <c r="G542" s="6" t="str">
        <f>VLOOKUP(E542,dicionario!$A$1:$C941,2,0)</f>
        <v>Dysdercus</v>
      </c>
      <c r="H542" s="6" t="str">
        <f>VLOOKUP(E542,dicionario!$A$1:$C941,3,0)</f>
        <v>percevejo-manchador</v>
      </c>
    </row>
    <row r="543">
      <c r="A543" s="3">
        <v>45561.0</v>
      </c>
      <c r="B543" s="4">
        <v>0.29930555555555555</v>
      </c>
      <c r="C543" s="5" t="s">
        <v>59</v>
      </c>
      <c r="D543" s="5" t="s">
        <v>313</v>
      </c>
      <c r="E543" s="6" t="s">
        <v>298</v>
      </c>
      <c r="F543" s="5" t="s">
        <v>299</v>
      </c>
      <c r="G543" s="6" t="str">
        <f>VLOOKUP(E543,dicionario!$A$1:$C942,2,0)</f>
        <v>Alysicarpus vaginalis</v>
      </c>
      <c r="H543" s="6" t="str">
        <f>VLOOKUP(E543,dicionario!$A$1:$C942,3,0)</f>
        <v/>
      </c>
    </row>
    <row r="544">
      <c r="A544" s="3">
        <v>45561.0</v>
      </c>
      <c r="B544" s="4">
        <v>0.3</v>
      </c>
      <c r="C544" s="5" t="s">
        <v>59</v>
      </c>
      <c r="D544" s="5" t="s">
        <v>313</v>
      </c>
      <c r="E544" s="6" t="s">
        <v>53</v>
      </c>
      <c r="F544" s="7" t="s">
        <v>314</v>
      </c>
      <c r="G544" s="6" t="str">
        <f>VLOOKUP(E544,dicionario!$A$1:$C943,2,0)</f>
        <v>Turnera subulata</v>
      </c>
      <c r="H544" s="6" t="str">
        <f>VLOOKUP(E544,dicionario!$A$1:$C943,3,0)</f>
        <v>xanana</v>
      </c>
    </row>
    <row r="545">
      <c r="A545" s="3">
        <v>45561.0</v>
      </c>
      <c r="B545" s="4">
        <v>0.3</v>
      </c>
      <c r="C545" s="5" t="s">
        <v>59</v>
      </c>
      <c r="D545" s="5" t="s">
        <v>313</v>
      </c>
      <c r="E545" s="6" t="s">
        <v>253</v>
      </c>
      <c r="F545" s="7" t="s">
        <v>254</v>
      </c>
      <c r="G545" s="6" t="str">
        <f>VLOOKUP(E545,dicionario!$A$1:$C944,2,0)</f>
        <v>Panicum maximum</v>
      </c>
      <c r="H545" s="6" t="str">
        <f>VLOOKUP(E545,dicionario!$A$1:$C944,3,0)</f>
        <v>capim-colonião</v>
      </c>
    </row>
    <row r="546">
      <c r="A546" s="3">
        <v>45561.0</v>
      </c>
      <c r="B546" s="4">
        <v>0.3</v>
      </c>
      <c r="C546" s="5" t="s">
        <v>59</v>
      </c>
      <c r="D546" s="5" t="s">
        <v>313</v>
      </c>
      <c r="E546" s="6" t="s">
        <v>239</v>
      </c>
      <c r="F546" s="7" t="s">
        <v>240</v>
      </c>
      <c r="G546" s="6" t="str">
        <f>VLOOKUP(E546,dicionario!$A$1:$C945,2,0)</f>
        <v>Gomphrena celosioides</v>
      </c>
      <c r="H546" s="6" t="str">
        <f>VLOOKUP(E546,dicionario!$A$1:$C945,3,0)</f>
        <v>perpétua-branca</v>
      </c>
    </row>
    <row r="547">
      <c r="A547" s="3">
        <v>45561.0</v>
      </c>
      <c r="B547" s="4">
        <v>0.3</v>
      </c>
      <c r="C547" s="5" t="s">
        <v>59</v>
      </c>
      <c r="D547" s="5" t="s">
        <v>313</v>
      </c>
      <c r="E547" s="6" t="s">
        <v>14</v>
      </c>
      <c r="F547" s="7" t="s">
        <v>15</v>
      </c>
      <c r="G547" s="6" t="str">
        <f>VLOOKUP(E547,dicionario!$A$1:$C946,2,0)</f>
        <v>Spermacoce verticillata</v>
      </c>
      <c r="H547" s="6" t="str">
        <f>VLOOKUP(E547,dicionario!$A$1:$C946,3,0)</f>
        <v>vassourinha-de-botão</v>
      </c>
    </row>
    <row r="548">
      <c r="A548" s="3">
        <v>45561.0</v>
      </c>
      <c r="B548" s="4">
        <v>0.30069444444444443</v>
      </c>
      <c r="C548" s="5" t="s">
        <v>59</v>
      </c>
      <c r="D548" s="5" t="s">
        <v>313</v>
      </c>
      <c r="E548" s="6" t="s">
        <v>334</v>
      </c>
      <c r="F548" s="7" t="s">
        <v>335</v>
      </c>
      <c r="G548" s="6" t="str">
        <f>VLOOKUP(E548,dicionario!$A$1:$C947,2,0)</f>
        <v>Eupsittula aurea</v>
      </c>
      <c r="H548" s="6" t="str">
        <f>VLOOKUP(E548,dicionario!$A$1:$C947,3,0)</f>
        <v>periquito-rei</v>
      </c>
    </row>
    <row r="549">
      <c r="A549" s="3">
        <v>45561.0</v>
      </c>
      <c r="B549" s="4">
        <v>0.30069444444444443</v>
      </c>
      <c r="C549" s="5" t="s">
        <v>59</v>
      </c>
      <c r="D549" s="5" t="s">
        <v>313</v>
      </c>
      <c r="E549" s="6" t="s">
        <v>141</v>
      </c>
      <c r="F549" s="7" t="s">
        <v>142</v>
      </c>
      <c r="G549" s="6" t="str">
        <f>VLOOKUP(E549,dicionario!$A$1:$C948,2,0)</f>
        <v>Ruellia blechum</v>
      </c>
      <c r="H549" s="6" t="str">
        <f>VLOOKUP(E549,dicionario!$A$1:$C948,3,0)</f>
        <v>camarão-verde</v>
      </c>
    </row>
    <row r="550">
      <c r="A550" s="3">
        <v>45561.0</v>
      </c>
      <c r="B550" s="4">
        <v>0.30069444444444443</v>
      </c>
      <c r="C550" s="5" t="s">
        <v>59</v>
      </c>
      <c r="D550" s="5" t="s">
        <v>313</v>
      </c>
      <c r="E550" s="6" t="s">
        <v>227</v>
      </c>
      <c r="F550" s="7" t="s">
        <v>228</v>
      </c>
      <c r="G550" s="6" t="str">
        <f>VLOOKUP(E550,dicionario!$A$1:$C949,2,0)</f>
        <v>Indigofera hirsuta</v>
      </c>
      <c r="H550" s="6" t="str">
        <f>VLOOKUP(E550,dicionario!$A$1:$C949,3,0)</f>
        <v>anileira</v>
      </c>
    </row>
    <row r="551">
      <c r="A551" s="3">
        <v>45561.0</v>
      </c>
      <c r="B551" s="4">
        <v>0.30069444444444443</v>
      </c>
      <c r="C551" s="5" t="s">
        <v>59</v>
      </c>
      <c r="D551" s="5" t="s">
        <v>313</v>
      </c>
      <c r="E551" s="6" t="s">
        <v>22</v>
      </c>
      <c r="F551" s="7" t="s">
        <v>97</v>
      </c>
      <c r="G551" s="6" t="str">
        <f>VLOOKUP(E551,dicionario!$A$1:$C950,2,0)</f>
        <v>Zenaida auriculata</v>
      </c>
      <c r="H551" s="6" t="str">
        <f>VLOOKUP(E551,dicionario!$A$1:$C950,3,0)</f>
        <v>pomba-de-bando; avoante</v>
      </c>
    </row>
    <row r="552">
      <c r="A552" s="3">
        <v>45561.0</v>
      </c>
      <c r="B552" s="4">
        <v>0.3013888888888889</v>
      </c>
      <c r="C552" s="5" t="s">
        <v>59</v>
      </c>
      <c r="D552" s="5" t="s">
        <v>313</v>
      </c>
      <c r="E552" s="6" t="s">
        <v>163</v>
      </c>
      <c r="F552" s="7" t="s">
        <v>164</v>
      </c>
      <c r="G552" s="6" t="str">
        <f>VLOOKUP(E552,dicionario!$A$1:$C951,2,0)</f>
        <v>Coragyps atratus</v>
      </c>
      <c r="H552" s="6" t="str">
        <f>VLOOKUP(E552,dicionario!$A$1:$C951,3,0)</f>
        <v>urubu-de-cabeça-preta</v>
      </c>
    </row>
    <row r="553">
      <c r="A553" s="3">
        <v>45561.0</v>
      </c>
      <c r="B553" s="4">
        <v>0.3013888888888889</v>
      </c>
      <c r="C553" s="5" t="s">
        <v>59</v>
      </c>
      <c r="D553" s="5" t="s">
        <v>313</v>
      </c>
      <c r="E553" s="6" t="s">
        <v>173</v>
      </c>
      <c r="F553" s="7" t="s">
        <v>336</v>
      </c>
      <c r="G553" s="6" t="str">
        <f>VLOOKUP(E553,dicionario!$A$1:$C952,2,0)</f>
        <v>Junonia evarete</v>
      </c>
      <c r="H553" s="6" t="str">
        <f>VLOOKUP(E553,dicionario!$A$1:$C952,3,0)</f>
        <v>borboleta-olho-de-pavão-diúrno</v>
      </c>
    </row>
    <row r="554">
      <c r="A554" s="3">
        <v>45561.0</v>
      </c>
      <c r="B554" s="4">
        <v>0.3020833333333333</v>
      </c>
      <c r="C554" s="5" t="s">
        <v>59</v>
      </c>
      <c r="D554" s="5" t="s">
        <v>313</v>
      </c>
      <c r="E554" s="6" t="s">
        <v>31</v>
      </c>
      <c r="F554" s="7" t="s">
        <v>32</v>
      </c>
      <c r="G554" s="6" t="str">
        <f>VLOOKUP(E554,dicionario!$A$1:$C953,2,0)</f>
        <v>Furnarius rufus</v>
      </c>
      <c r="H554" s="6" t="str">
        <f>VLOOKUP(E554,dicionario!$A$1:$C953,3,0)</f>
        <v>joão-de-barro</v>
      </c>
    </row>
    <row r="555">
      <c r="A555" s="3">
        <v>45561.0</v>
      </c>
      <c r="B555" s="4">
        <v>0.30277777777777776</v>
      </c>
      <c r="C555" s="5" t="s">
        <v>50</v>
      </c>
      <c r="D555" s="5" t="s">
        <v>313</v>
      </c>
      <c r="E555" s="6" t="s">
        <v>86</v>
      </c>
      <c r="F555" s="7" t="s">
        <v>87</v>
      </c>
      <c r="G555" s="6" t="str">
        <f>VLOOKUP(E555,dicionario!$A$1:$C954,2,0)</f>
        <v>Coereba flaveola</v>
      </c>
      <c r="H555" s="6" t="str">
        <f>VLOOKUP(E555,dicionario!$A$1:$C954,3,0)</f>
        <v>cambacica</v>
      </c>
    </row>
    <row r="556">
      <c r="A556" s="3">
        <v>45561.0</v>
      </c>
      <c r="B556" s="4">
        <v>0.30277777777777776</v>
      </c>
      <c r="C556" s="5" t="s">
        <v>50</v>
      </c>
      <c r="D556" s="5" t="s">
        <v>313</v>
      </c>
      <c r="E556" s="6" t="s">
        <v>337</v>
      </c>
      <c r="F556" s="7" t="s">
        <v>201</v>
      </c>
      <c r="G556" s="6" t="str">
        <f>VLOOKUP(E556,dicionario!$A$1:$C955,2,0)</f>
        <v>#N/A</v>
      </c>
      <c r="H556" s="6" t="str">
        <f>VLOOKUP(E556,dicionario!$A$1:$C955,3,0)</f>
        <v>#N/A</v>
      </c>
    </row>
    <row r="557">
      <c r="A557" s="3">
        <v>45561.0</v>
      </c>
      <c r="B557" s="4">
        <v>0.30277777777777776</v>
      </c>
      <c r="C557" s="5" t="s">
        <v>50</v>
      </c>
      <c r="D557" s="5" t="s">
        <v>313</v>
      </c>
      <c r="E557" s="6" t="s">
        <v>72</v>
      </c>
      <c r="F557" s="7" t="s">
        <v>73</v>
      </c>
      <c r="G557" s="6" t="str">
        <f>VLOOKUP(E557,dicionario!$A$1:$C956,2,0)</f>
        <v>Thraupis palmarum</v>
      </c>
      <c r="H557" s="6" t="str">
        <f>VLOOKUP(E557,dicionario!$A$1:$C956,3,0)</f>
        <v>sanhaço-do-coqueiro</v>
      </c>
    </row>
    <row r="558">
      <c r="A558" s="3">
        <v>45561.0</v>
      </c>
      <c r="B558" s="4">
        <v>0.30277777777777776</v>
      </c>
      <c r="C558" s="5" t="s">
        <v>50</v>
      </c>
      <c r="D558" s="5" t="s">
        <v>313</v>
      </c>
      <c r="E558" s="6" t="s">
        <v>88</v>
      </c>
      <c r="F558" s="7" t="s">
        <v>89</v>
      </c>
      <c r="G558" s="6" t="str">
        <f>VLOOKUP(E558,dicionario!$A$1:$C957,2,0)</f>
        <v>Tyrannus melancolichus</v>
      </c>
      <c r="H558" s="6" t="str">
        <f>VLOOKUP(E558,dicionario!$A$1:$C957,3,0)</f>
        <v>suiriri</v>
      </c>
    </row>
    <row r="559">
      <c r="A559" s="3">
        <v>45561.0</v>
      </c>
      <c r="B559" s="4">
        <v>0.3034722222222222</v>
      </c>
      <c r="C559" s="5" t="s">
        <v>50</v>
      </c>
      <c r="D559" s="5" t="s">
        <v>313</v>
      </c>
      <c r="E559" s="6" t="s">
        <v>122</v>
      </c>
      <c r="F559" s="7" t="s">
        <v>123</v>
      </c>
      <c r="G559" s="6" t="str">
        <f>VLOOKUP(E559,dicionario!$A$1:$C958,2,0)</f>
        <v>Todirostrum cinereum</v>
      </c>
      <c r="H559" s="6" t="str">
        <f>VLOOKUP(E559,dicionario!$A$1:$C958,3,0)</f>
        <v>ferreirinho-relógio</v>
      </c>
    </row>
    <row r="560">
      <c r="A560" s="3">
        <v>45561.0</v>
      </c>
      <c r="B560" s="4">
        <v>0.3034722222222222</v>
      </c>
      <c r="C560" s="5" t="s">
        <v>50</v>
      </c>
      <c r="D560" s="5" t="s">
        <v>313</v>
      </c>
      <c r="E560" s="6" t="s">
        <v>338</v>
      </c>
      <c r="F560" s="7" t="s">
        <v>238</v>
      </c>
      <c r="G560" s="6" t="str">
        <f>VLOOKUP(E560,dicionario!$A$1:$C959,2,0)</f>
        <v>Atta</v>
      </c>
      <c r="H560" s="6" t="str">
        <f>VLOOKUP(E560,dicionario!$A$1:$C959,3,0)</f>
        <v>saúva</v>
      </c>
    </row>
    <row r="561">
      <c r="A561" s="3">
        <v>45561.0</v>
      </c>
      <c r="B561" s="4">
        <v>0.3055555555555556</v>
      </c>
      <c r="C561" s="5" t="s">
        <v>50</v>
      </c>
      <c r="D561" s="5" t="s">
        <v>313</v>
      </c>
      <c r="E561" s="6" t="s">
        <v>241</v>
      </c>
      <c r="F561" s="7" t="s">
        <v>242</v>
      </c>
      <c r="G561" s="6" t="str">
        <f>VLOOKUP(E561,dicionario!$A$1:$C960,2,0)</f>
        <v>Asiopus minimus</v>
      </c>
      <c r="H561" s="6" t="str">
        <f>VLOOKUP(E561,dicionario!$A$1:$C960,3,0)</f>
        <v>tenébrio</v>
      </c>
    </row>
    <row r="562">
      <c r="A562" s="3">
        <v>45561.0</v>
      </c>
      <c r="B562" s="4">
        <v>0.3055555555555556</v>
      </c>
      <c r="C562" s="5" t="s">
        <v>50</v>
      </c>
      <c r="D562" s="5" t="s">
        <v>313</v>
      </c>
      <c r="E562" s="6" t="s">
        <v>57</v>
      </c>
      <c r="F562" s="7" t="s">
        <v>197</v>
      </c>
      <c r="G562" s="6" t="str">
        <f>VLOOKUP(E562,dicionario!$A$1:$C961,2,0)</f>
        <v>Juliformia</v>
      </c>
      <c r="H562" s="6" t="str">
        <f>VLOOKUP(E562,dicionario!$A$1:$C961,3,0)</f>
        <v>gongolo; maria-café</v>
      </c>
    </row>
    <row r="563">
      <c r="A563" s="3">
        <v>45561.0</v>
      </c>
      <c r="B563" s="4">
        <v>0.30625</v>
      </c>
      <c r="C563" s="5" t="s">
        <v>50</v>
      </c>
      <c r="D563" s="5" t="s">
        <v>313</v>
      </c>
      <c r="E563" s="6" t="s">
        <v>233</v>
      </c>
      <c r="F563" s="7" t="s">
        <v>234</v>
      </c>
      <c r="G563" s="6" t="str">
        <f>VLOOKUP(E563,dicionario!$A$1:$C962,2,0)</f>
        <v>Araneae</v>
      </c>
      <c r="H563" s="6" t="str">
        <f>VLOOKUP(E563,dicionario!$A$1:$C962,3,0)</f>
        <v>aranha</v>
      </c>
    </row>
    <row r="564">
      <c r="A564" s="3">
        <v>45561.0</v>
      </c>
      <c r="B564" s="4">
        <v>0.30694444444444446</v>
      </c>
      <c r="C564" s="5" t="s">
        <v>50</v>
      </c>
      <c r="D564" s="5" t="s">
        <v>313</v>
      </c>
      <c r="E564" s="6" t="s">
        <v>292</v>
      </c>
      <c r="F564" s="7" t="s">
        <v>339</v>
      </c>
      <c r="G564" s="6" t="str">
        <f>VLOOKUP(E564,dicionario!$A$1:$C963,2,0)</f>
        <v>Ascia monuste</v>
      </c>
      <c r="H564" s="6" t="str">
        <f>VLOOKUP(E564,dicionario!$A$1:$C963,3,0)</f>
        <v>borboleta-da-couve</v>
      </c>
    </row>
    <row r="565">
      <c r="A565" s="3">
        <v>45561.0</v>
      </c>
      <c r="B565" s="4">
        <v>0.30694444444444446</v>
      </c>
      <c r="C565" s="5" t="s">
        <v>50</v>
      </c>
      <c r="D565" s="5" t="s">
        <v>313</v>
      </c>
      <c r="E565" s="6" t="s">
        <v>113</v>
      </c>
      <c r="F565" s="7" t="s">
        <v>114</v>
      </c>
      <c r="G565" s="6" t="str">
        <f>VLOOKUP(E565,dicionario!$A$1:$C964,2,0)</f>
        <v>Columbina talpacoti</v>
      </c>
      <c r="H565" s="6" t="str">
        <f>VLOOKUP(E565,dicionario!$A$1:$C964,3,0)</f>
        <v>rolinha-roxa</v>
      </c>
    </row>
    <row r="566">
      <c r="A566" s="3">
        <v>45561.0</v>
      </c>
      <c r="B566" s="4">
        <v>0.3076388888888889</v>
      </c>
      <c r="C566" s="5" t="s">
        <v>50</v>
      </c>
      <c r="D566" s="5" t="s">
        <v>313</v>
      </c>
      <c r="E566" s="6" t="s">
        <v>91</v>
      </c>
      <c r="F566" s="7" t="s">
        <v>92</v>
      </c>
      <c r="G566" s="6" t="str">
        <f>VLOOKUP(E566,dicionario!$A$1:$C965,2,0)</f>
        <v>Picumnus cirratus</v>
      </c>
      <c r="H566" s="6" t="str">
        <f>VLOOKUP(E566,dicionario!$A$1:$C965,3,0)</f>
        <v>picapauzinho-barrado</v>
      </c>
    </row>
    <row r="567">
      <c r="A567" s="3">
        <v>45561.0</v>
      </c>
      <c r="B567" s="4">
        <v>0.30833333333333335</v>
      </c>
      <c r="C567" s="5" t="s">
        <v>50</v>
      </c>
      <c r="D567" s="5" t="s">
        <v>313</v>
      </c>
      <c r="E567" s="6" t="s">
        <v>31</v>
      </c>
      <c r="F567" s="7" t="s">
        <v>32</v>
      </c>
      <c r="G567" s="6" t="str">
        <f>VLOOKUP(E567,dicionario!$A$1:$C966,2,0)</f>
        <v>Furnarius rufus</v>
      </c>
      <c r="H567" s="6" t="str">
        <f>VLOOKUP(E567,dicionario!$A$1:$C966,3,0)</f>
        <v>joão-de-barro</v>
      </c>
    </row>
    <row r="568">
      <c r="A568" s="3">
        <v>45561.0</v>
      </c>
      <c r="B568" s="4">
        <v>0.3090277777777778</v>
      </c>
      <c r="C568" s="5" t="s">
        <v>50</v>
      </c>
      <c r="D568" s="5" t="s">
        <v>313</v>
      </c>
      <c r="E568" s="8" t="s">
        <v>46</v>
      </c>
      <c r="F568" s="5" t="s">
        <v>47</v>
      </c>
      <c r="G568" s="6" t="str">
        <f>VLOOKUP(E568,dicionario!$A$1:$C967,2,0)</f>
        <v>Chionomesa fimbriata</v>
      </c>
      <c r="H568" s="6" t="str">
        <f>VLOOKUP(E568,dicionario!$A$1:$C967,3,0)</f>
        <v>beija-flor-de-garganta-verde</v>
      </c>
    </row>
    <row r="569">
      <c r="A569" s="3">
        <v>45561.0</v>
      </c>
      <c r="B569" s="4">
        <v>0.3104166666666667</v>
      </c>
      <c r="C569" s="5" t="s">
        <v>40</v>
      </c>
      <c r="D569" s="5" t="s">
        <v>313</v>
      </c>
      <c r="E569" s="6" t="s">
        <v>340</v>
      </c>
      <c r="F569" s="7" t="s">
        <v>104</v>
      </c>
      <c r="G569" s="6" t="str">
        <f>VLOOKUP(E569,dicionario!$A$1:$C968,2,0)</f>
        <v>#N/A</v>
      </c>
      <c r="H569" s="6" t="str">
        <f>VLOOKUP(E569,dicionario!$A$1:$C968,3,0)</f>
        <v>#N/A</v>
      </c>
    </row>
    <row r="570">
      <c r="A570" s="3">
        <v>45561.0</v>
      </c>
      <c r="B570" s="4">
        <v>0.3111111111111111</v>
      </c>
      <c r="C570" s="5" t="s">
        <v>40</v>
      </c>
      <c r="D570" s="5" t="s">
        <v>313</v>
      </c>
      <c r="E570" s="6" t="s">
        <v>22</v>
      </c>
      <c r="F570" s="7" t="s">
        <v>97</v>
      </c>
      <c r="G570" s="6" t="str">
        <f>VLOOKUP(E570,dicionario!$A$1:$C969,2,0)</f>
        <v>Zenaida auriculata</v>
      </c>
      <c r="H570" s="6" t="str">
        <f>VLOOKUP(E570,dicionario!$A$1:$C969,3,0)</f>
        <v>pomba-de-bando; avoante</v>
      </c>
    </row>
    <row r="571">
      <c r="A571" s="3">
        <v>45561.0</v>
      </c>
      <c r="B571" s="4">
        <v>0.3111111111111111</v>
      </c>
      <c r="C571" s="5" t="s">
        <v>40</v>
      </c>
      <c r="D571" s="5" t="s">
        <v>313</v>
      </c>
      <c r="E571" s="6" t="s">
        <v>177</v>
      </c>
      <c r="F571" s="7" t="s">
        <v>178</v>
      </c>
      <c r="G571" s="6" t="str">
        <f>VLOOKUP(E571,dicionario!$A$1:$C970,2,0)</f>
        <v>Elaenia flavogaster</v>
      </c>
      <c r="H571" s="6" t="str">
        <f>VLOOKUP(E571,dicionario!$A$1:$C970,3,0)</f>
        <v>guaracava-de-barriga-amarela</v>
      </c>
    </row>
    <row r="572">
      <c r="A572" s="3">
        <v>45561.0</v>
      </c>
      <c r="B572" s="4">
        <v>0.31180555555555556</v>
      </c>
      <c r="C572" s="5" t="s">
        <v>40</v>
      </c>
      <c r="D572" s="5" t="s">
        <v>313</v>
      </c>
      <c r="E572" s="6" t="s">
        <v>20</v>
      </c>
      <c r="F572" s="7" t="s">
        <v>21</v>
      </c>
      <c r="G572" s="6" t="str">
        <f>VLOOKUP(E572,dicionario!$A$1:$C971,2,0)</f>
        <v>Sicalis flaveola</v>
      </c>
      <c r="H572" s="6" t="str">
        <f>VLOOKUP(E572,dicionario!$A$1:$C971,3,0)</f>
        <v>canário-da-terra</v>
      </c>
    </row>
    <row r="573">
      <c r="A573" s="3">
        <v>45561.0</v>
      </c>
      <c r="B573" s="4">
        <v>0.3125</v>
      </c>
      <c r="C573" s="5" t="s">
        <v>40</v>
      </c>
      <c r="D573" s="5" t="s">
        <v>313</v>
      </c>
      <c r="E573" s="6" t="s">
        <v>113</v>
      </c>
      <c r="F573" s="7" t="s">
        <v>114</v>
      </c>
      <c r="G573" s="6" t="str">
        <f>VLOOKUP(E573,dicionario!$A$1:$C972,2,0)</f>
        <v>Columbina talpacoti</v>
      </c>
      <c r="H573" s="6" t="str">
        <f>VLOOKUP(E573,dicionario!$A$1:$C972,3,0)</f>
        <v>rolinha-roxa</v>
      </c>
    </row>
    <row r="574">
      <c r="A574" s="3">
        <v>45561.0</v>
      </c>
      <c r="B574" s="4">
        <v>0.3125</v>
      </c>
      <c r="C574" s="5" t="s">
        <v>40</v>
      </c>
      <c r="D574" s="5" t="s">
        <v>313</v>
      </c>
      <c r="E574" s="6" t="s">
        <v>215</v>
      </c>
      <c r="F574" s="7" t="s">
        <v>216</v>
      </c>
      <c r="G574" s="6" t="str">
        <f>VLOOKUP(E574,dicionario!$A$1:$C973,2,0)</f>
        <v>Pygochelidon cyanoleuca</v>
      </c>
      <c r="H574" s="6" t="str">
        <f>VLOOKUP(E574,dicionario!$A$1:$C973,3,0)</f>
        <v>andorinha-pequena-de-casa</v>
      </c>
    </row>
    <row r="575">
      <c r="A575" s="3">
        <v>45561.0</v>
      </c>
      <c r="B575" s="4">
        <v>0.3125</v>
      </c>
      <c r="C575" s="5" t="s">
        <v>40</v>
      </c>
      <c r="D575" s="5" t="s">
        <v>313</v>
      </c>
      <c r="E575" s="8" t="s">
        <v>38</v>
      </c>
      <c r="F575" s="5" t="s">
        <v>39</v>
      </c>
      <c r="G575" s="6" t="str">
        <f>VLOOKUP(E575,dicionario!$A$1:$C974,2,0)</f>
        <v>Troglodytes musculus</v>
      </c>
      <c r="H575" s="6" t="str">
        <f>VLOOKUP(E575,dicionario!$A$1:$C974,3,0)</f>
        <v>curruíra</v>
      </c>
    </row>
    <row r="576">
      <c r="A576" s="3">
        <v>45561.0</v>
      </c>
      <c r="B576" s="4">
        <v>0.3125</v>
      </c>
      <c r="C576" s="5" t="s">
        <v>40</v>
      </c>
      <c r="D576" s="5" t="s">
        <v>313</v>
      </c>
      <c r="E576" s="6" t="s">
        <v>163</v>
      </c>
      <c r="F576" s="7" t="s">
        <v>164</v>
      </c>
      <c r="G576" s="6" t="str">
        <f>VLOOKUP(E576,dicionario!$A$1:$C975,2,0)</f>
        <v>Coragyps atratus</v>
      </c>
      <c r="H576" s="6" t="str">
        <f>VLOOKUP(E576,dicionario!$A$1:$C975,3,0)</f>
        <v>urubu-de-cabeça-preta</v>
      </c>
    </row>
    <row r="577">
      <c r="A577" s="3">
        <v>45561.0</v>
      </c>
      <c r="B577" s="4">
        <v>0.3125</v>
      </c>
      <c r="C577" s="5" t="s">
        <v>40</v>
      </c>
      <c r="D577" s="5" t="s">
        <v>313</v>
      </c>
      <c r="E577" s="6" t="s">
        <v>88</v>
      </c>
      <c r="F577" s="7" t="s">
        <v>89</v>
      </c>
      <c r="G577" s="6" t="str">
        <f>VLOOKUP(E577,dicionario!$A$1:$C976,2,0)</f>
        <v>Tyrannus melancolichus</v>
      </c>
      <c r="H577" s="6" t="str">
        <f>VLOOKUP(E577,dicionario!$A$1:$C976,3,0)</f>
        <v>suiriri</v>
      </c>
    </row>
    <row r="578">
      <c r="A578" s="3">
        <v>45561.0</v>
      </c>
      <c r="B578" s="4">
        <v>0.31319444444444444</v>
      </c>
      <c r="C578" s="5" t="s">
        <v>40</v>
      </c>
      <c r="D578" s="5" t="s">
        <v>313</v>
      </c>
      <c r="E578" s="6" t="s">
        <v>72</v>
      </c>
      <c r="F578" s="7" t="s">
        <v>73</v>
      </c>
      <c r="G578" s="6" t="str">
        <f>VLOOKUP(E578,dicionario!$A$1:$C977,2,0)</f>
        <v>Thraupis palmarum</v>
      </c>
      <c r="H578" s="6" t="str">
        <f>VLOOKUP(E578,dicionario!$A$1:$C977,3,0)</f>
        <v>sanhaço-do-coqueiro</v>
      </c>
    </row>
    <row r="579">
      <c r="A579" s="3">
        <v>45561.0</v>
      </c>
      <c r="B579" s="4">
        <v>0.3138888888888889</v>
      </c>
      <c r="C579" s="5" t="s">
        <v>40</v>
      </c>
      <c r="D579" s="5" t="s">
        <v>313</v>
      </c>
      <c r="E579" s="6" t="s">
        <v>65</v>
      </c>
      <c r="F579" s="7" t="s">
        <v>66</v>
      </c>
      <c r="G579" s="6" t="str">
        <f>VLOOKUP(E579,dicionario!$A$1:$C978,2,0)</f>
        <v>Pitangus sulphutarus</v>
      </c>
      <c r="H579" s="6" t="str">
        <f>VLOOKUP(E579,dicionario!$A$1:$C978,3,0)</f>
        <v>bem-te-vi</v>
      </c>
    </row>
    <row r="580">
      <c r="A580" s="3">
        <v>45561.0</v>
      </c>
      <c r="B580" s="4">
        <v>0.31527777777777777</v>
      </c>
      <c r="C580" s="5" t="s">
        <v>40</v>
      </c>
      <c r="D580" s="5" t="s">
        <v>313</v>
      </c>
      <c r="E580" s="6" t="s">
        <v>341</v>
      </c>
      <c r="F580" s="7" t="s">
        <v>342</v>
      </c>
      <c r="G580" s="6" t="str">
        <f>VLOOKUP(E580,dicionario!$A$1:$C979,2,0)</f>
        <v>#N/A</v>
      </c>
      <c r="H580" s="6" t="str">
        <f>VLOOKUP(E580,dicionario!$A$1:$C979,3,0)</f>
        <v>#N/A</v>
      </c>
    </row>
    <row r="581">
      <c r="A581" s="3">
        <v>45561.0</v>
      </c>
      <c r="B581" s="4">
        <v>0.3173611111111111</v>
      </c>
      <c r="C581" s="5" t="s">
        <v>33</v>
      </c>
      <c r="D581" s="5" t="s">
        <v>313</v>
      </c>
      <c r="E581" s="6" t="s">
        <v>65</v>
      </c>
      <c r="F581" s="7" t="s">
        <v>66</v>
      </c>
      <c r="G581" s="6" t="str">
        <f>VLOOKUP(E581,dicionario!$A$1:$C980,2,0)</f>
        <v>Pitangus sulphutarus</v>
      </c>
      <c r="H581" s="6" t="str">
        <f>VLOOKUP(E581,dicionario!$A$1:$C980,3,0)</f>
        <v>bem-te-vi</v>
      </c>
    </row>
    <row r="582">
      <c r="A582" s="3">
        <v>45561.0</v>
      </c>
      <c r="B582" s="4">
        <v>0.3173611111111111</v>
      </c>
      <c r="C582" s="5" t="s">
        <v>33</v>
      </c>
      <c r="D582" s="5" t="s">
        <v>313</v>
      </c>
      <c r="E582" s="6" t="s">
        <v>132</v>
      </c>
      <c r="F582" s="7" t="s">
        <v>133</v>
      </c>
      <c r="G582" s="6" t="str">
        <f>VLOOKUP(E582,dicionario!$A$1:$C981,2,0)</f>
        <v>Euphonia chlorotica</v>
      </c>
      <c r="H582" s="6" t="str">
        <f>VLOOKUP(E582,dicionario!$A$1:$C981,3,0)</f>
        <v>fim-fim</v>
      </c>
    </row>
    <row r="583">
      <c r="A583" s="3">
        <v>45561.0</v>
      </c>
      <c r="B583" s="4">
        <v>0.3173611111111111</v>
      </c>
      <c r="C583" s="5" t="s">
        <v>33</v>
      </c>
      <c r="D583" s="5" t="s">
        <v>313</v>
      </c>
      <c r="E583" s="6" t="s">
        <v>343</v>
      </c>
      <c r="F583" s="7" t="s">
        <v>192</v>
      </c>
      <c r="G583" s="6" t="str">
        <f>VLOOKUP(E583,dicionario!$A$1:$C982,2,0)</f>
        <v>#N/A</v>
      </c>
      <c r="H583" s="6" t="str">
        <f>VLOOKUP(E583,dicionario!$A$1:$C982,3,0)</f>
        <v>#N/A</v>
      </c>
    </row>
    <row r="584">
      <c r="A584" s="3">
        <v>45561.0</v>
      </c>
      <c r="B584" s="4">
        <v>0.31805555555555554</v>
      </c>
      <c r="C584" s="5" t="s">
        <v>33</v>
      </c>
      <c r="D584" s="5" t="s">
        <v>313</v>
      </c>
      <c r="E584" s="6" t="s">
        <v>122</v>
      </c>
      <c r="F584" s="7" t="s">
        <v>123</v>
      </c>
      <c r="G584" s="6" t="str">
        <f>VLOOKUP(E584,dicionario!$A$1:$C983,2,0)</f>
        <v>Todirostrum cinereum</v>
      </c>
      <c r="H584" s="6" t="str">
        <f>VLOOKUP(E584,dicionario!$A$1:$C983,3,0)</f>
        <v>ferreirinho-relógio</v>
      </c>
    </row>
    <row r="585">
      <c r="A585" s="3">
        <v>45561.0</v>
      </c>
      <c r="B585" s="4">
        <v>0.31805555555555554</v>
      </c>
      <c r="C585" s="5" t="s">
        <v>33</v>
      </c>
      <c r="D585" s="5" t="s">
        <v>313</v>
      </c>
      <c r="E585" s="8" t="s">
        <v>38</v>
      </c>
      <c r="F585" s="5" t="s">
        <v>39</v>
      </c>
      <c r="G585" s="6" t="str">
        <f>VLOOKUP(E585,dicionario!$A$1:$C984,2,0)</f>
        <v>Troglodytes musculus</v>
      </c>
      <c r="H585" s="6" t="str">
        <f>VLOOKUP(E585,dicionario!$A$1:$C984,3,0)</f>
        <v>curruíra</v>
      </c>
    </row>
    <row r="586">
      <c r="A586" s="3">
        <v>45561.0</v>
      </c>
      <c r="B586" s="4">
        <v>0.3194444444444444</v>
      </c>
      <c r="C586" s="5" t="s">
        <v>33</v>
      </c>
      <c r="D586" s="5" t="s">
        <v>313</v>
      </c>
      <c r="E586" s="6" t="s">
        <v>177</v>
      </c>
      <c r="F586" s="7" t="s">
        <v>178</v>
      </c>
      <c r="G586" s="6" t="str">
        <f>VLOOKUP(E586,dicionario!$A$1:$C985,2,0)</f>
        <v>Elaenia flavogaster</v>
      </c>
      <c r="H586" s="6" t="str">
        <f>VLOOKUP(E586,dicionario!$A$1:$C985,3,0)</f>
        <v>guaracava-de-barriga-amarela</v>
      </c>
    </row>
    <row r="587">
      <c r="A587" s="3">
        <v>45561.0</v>
      </c>
      <c r="B587" s="4">
        <v>0.3194444444444444</v>
      </c>
      <c r="C587" s="5" t="s">
        <v>33</v>
      </c>
      <c r="D587" s="5" t="s">
        <v>313</v>
      </c>
      <c r="E587" s="6" t="s">
        <v>143</v>
      </c>
      <c r="F587" s="7" t="s">
        <v>63</v>
      </c>
      <c r="G587" s="6" t="str">
        <f>VLOOKUP(E587,dicionario!$A$1:$C986,2,0)</f>
        <v>Polybia</v>
      </c>
      <c r="H587" s="6" t="str">
        <f>VLOOKUP(E587,dicionario!$A$1:$C986,3,0)</f>
        <v>vespa</v>
      </c>
    </row>
    <row r="588">
      <c r="A588" s="3">
        <v>45561.0</v>
      </c>
      <c r="B588" s="4">
        <v>0.3194444444444444</v>
      </c>
      <c r="C588" s="5" t="s">
        <v>33</v>
      </c>
      <c r="D588" s="5" t="s">
        <v>313</v>
      </c>
      <c r="E588" s="6" t="s">
        <v>315</v>
      </c>
      <c r="F588" s="7" t="s">
        <v>316</v>
      </c>
      <c r="G588" s="6" t="str">
        <f>VLOOKUP(E588,dicionario!$A$1:$C987,2,0)</f>
        <v>#N/A</v>
      </c>
      <c r="H588" s="6" t="str">
        <f>VLOOKUP(E588,dicionario!$A$1:$C987,3,0)</f>
        <v>#N/A</v>
      </c>
    </row>
    <row r="589">
      <c r="A589" s="3">
        <v>45561.0</v>
      </c>
      <c r="B589" s="4">
        <v>0.3194444444444444</v>
      </c>
      <c r="C589" s="5" t="s">
        <v>33</v>
      </c>
      <c r="D589" s="5" t="s">
        <v>313</v>
      </c>
      <c r="E589" s="6" t="s">
        <v>344</v>
      </c>
      <c r="F589" s="7" t="s">
        <v>28</v>
      </c>
      <c r="G589" s="6" t="str">
        <f>VLOOKUP(E589,dicionario!$A$1:$C988,2,0)</f>
        <v>#N/A</v>
      </c>
      <c r="H589" s="6" t="str">
        <f>VLOOKUP(E589,dicionario!$A$1:$C988,3,0)</f>
        <v>#N/A</v>
      </c>
    </row>
    <row r="590">
      <c r="A590" s="3">
        <v>45561.0</v>
      </c>
      <c r="B590" s="4">
        <v>0.32222222222222224</v>
      </c>
      <c r="C590" s="5" t="s">
        <v>26</v>
      </c>
      <c r="D590" s="5" t="s">
        <v>313</v>
      </c>
      <c r="E590" s="6" t="s">
        <v>65</v>
      </c>
      <c r="F590" s="7" t="s">
        <v>66</v>
      </c>
      <c r="G590" s="6" t="str">
        <f>VLOOKUP(E590,dicionario!$A$1:$C989,2,0)</f>
        <v>Pitangus sulphutarus</v>
      </c>
      <c r="H590" s="6" t="str">
        <f>VLOOKUP(E590,dicionario!$A$1:$C989,3,0)</f>
        <v>bem-te-vi</v>
      </c>
    </row>
    <row r="591">
      <c r="A591" s="3">
        <v>45561.0</v>
      </c>
      <c r="B591" s="4">
        <v>0.32222222222222224</v>
      </c>
      <c r="C591" s="5" t="s">
        <v>26</v>
      </c>
      <c r="D591" s="5" t="s">
        <v>313</v>
      </c>
      <c r="E591" s="6" t="s">
        <v>20</v>
      </c>
      <c r="F591" s="7" t="s">
        <v>21</v>
      </c>
      <c r="G591" s="6" t="str">
        <f>VLOOKUP(E591,dicionario!$A$1:$C990,2,0)</f>
        <v>Sicalis flaveola</v>
      </c>
      <c r="H591" s="6" t="str">
        <f>VLOOKUP(E591,dicionario!$A$1:$C990,3,0)</f>
        <v>canário-da-terra</v>
      </c>
    </row>
    <row r="592">
      <c r="A592" s="3">
        <v>45561.0</v>
      </c>
      <c r="B592" s="4">
        <v>0.32222222222222224</v>
      </c>
      <c r="C592" s="5" t="s">
        <v>26</v>
      </c>
      <c r="D592" s="5" t="s">
        <v>313</v>
      </c>
      <c r="E592" s="6" t="s">
        <v>217</v>
      </c>
      <c r="F592" s="7" t="s">
        <v>218</v>
      </c>
      <c r="G592" s="6" t="str">
        <f>VLOOKUP(E592,dicionario!$A$1:$C991,2,0)</f>
        <v>Athene cunicularia</v>
      </c>
      <c r="H592" s="6" t="str">
        <f>VLOOKUP(E592,dicionario!$A$1:$C991,3,0)</f>
        <v>coruja-buraqueira</v>
      </c>
    </row>
    <row r="593">
      <c r="A593" s="3">
        <v>45561.0</v>
      </c>
      <c r="B593" s="4">
        <v>0.3229166666666667</v>
      </c>
      <c r="C593" s="5" t="s">
        <v>26</v>
      </c>
      <c r="D593" s="5" t="s">
        <v>313</v>
      </c>
      <c r="E593" s="6" t="s">
        <v>345</v>
      </c>
      <c r="F593" s="7" t="s">
        <v>303</v>
      </c>
      <c r="G593" s="6" t="str">
        <f>VLOOKUP(E593,dicionario!$A$1:$C992,2,0)</f>
        <v>#N/A</v>
      </c>
      <c r="H593" s="6" t="str">
        <f>VLOOKUP(E593,dicionario!$A$1:$C992,3,0)</f>
        <v>#N/A</v>
      </c>
    </row>
    <row r="594">
      <c r="A594" s="3">
        <v>45561.0</v>
      </c>
      <c r="B594" s="4">
        <v>0.3236111111111111</v>
      </c>
      <c r="C594" s="5" t="s">
        <v>26</v>
      </c>
      <c r="D594" s="5" t="s">
        <v>313</v>
      </c>
      <c r="E594" s="6" t="s">
        <v>105</v>
      </c>
      <c r="F594" s="7" t="s">
        <v>106</v>
      </c>
      <c r="G594" s="6" t="str">
        <f>VLOOKUP(E594,dicionario!$A$1:$C993,2,0)</f>
        <v>Progne tapera</v>
      </c>
      <c r="H594" s="6" t="str">
        <f>VLOOKUP(E594,dicionario!$A$1:$C993,3,0)</f>
        <v>andorinha-do-campo</v>
      </c>
    </row>
    <row r="595">
      <c r="A595" s="3">
        <v>45561.0</v>
      </c>
      <c r="B595" s="4">
        <v>0.3236111111111111</v>
      </c>
      <c r="C595" s="5" t="s">
        <v>26</v>
      </c>
      <c r="D595" s="5" t="s">
        <v>313</v>
      </c>
      <c r="E595" s="6" t="s">
        <v>41</v>
      </c>
      <c r="F595" s="7" t="s">
        <v>45</v>
      </c>
      <c r="G595" s="6" t="str">
        <f>VLOOKUP(E595,dicionario!$A$1:$C994,2,0)</f>
        <v>Mimosa pudica</v>
      </c>
      <c r="H595" s="6" t="str">
        <f>VLOOKUP(E595,dicionario!$A$1:$C994,3,0)</f>
        <v>dormideira</v>
      </c>
    </row>
    <row r="596">
      <c r="A596" s="3">
        <v>45561.0</v>
      </c>
      <c r="B596" s="4">
        <v>0.32430555555555557</v>
      </c>
      <c r="C596" s="5" t="s">
        <v>26</v>
      </c>
      <c r="D596" s="5" t="s">
        <v>313</v>
      </c>
      <c r="E596" s="6" t="s">
        <v>243</v>
      </c>
      <c r="F596" s="7" t="s">
        <v>244</v>
      </c>
      <c r="G596" s="6" t="str">
        <f>VLOOKUP(E596,dicionario!$A$1:$C995,2,0)</f>
        <v>Macroptilium atropurpureum</v>
      </c>
      <c r="H596" s="6" t="str">
        <f>VLOOKUP(E596,dicionario!$A$1:$C995,3,0)</f>
        <v>feijão-de-pombo</v>
      </c>
    </row>
    <row r="597">
      <c r="A597" s="3">
        <v>45561.0</v>
      </c>
      <c r="B597" s="4">
        <v>0.32430555555555557</v>
      </c>
      <c r="C597" s="5" t="s">
        <v>26</v>
      </c>
      <c r="D597" s="5" t="s">
        <v>313</v>
      </c>
      <c r="E597" s="6" t="s">
        <v>343</v>
      </c>
      <c r="F597" s="7" t="s">
        <v>192</v>
      </c>
      <c r="G597" s="6" t="str">
        <f>VLOOKUP(E597,dicionario!$A$1:$C996,2,0)</f>
        <v>#N/A</v>
      </c>
      <c r="H597" s="6" t="str">
        <f>VLOOKUP(E597,dicionario!$A$1:$C996,3,0)</f>
        <v>#N/A</v>
      </c>
    </row>
    <row r="598">
      <c r="A598" s="3">
        <v>45561.0</v>
      </c>
      <c r="B598" s="4">
        <v>0.325</v>
      </c>
      <c r="C598" s="5" t="s">
        <v>26</v>
      </c>
      <c r="D598" s="5" t="s">
        <v>313</v>
      </c>
      <c r="E598" s="6" t="s">
        <v>53</v>
      </c>
      <c r="F598" s="7" t="s">
        <v>314</v>
      </c>
      <c r="G598" s="6" t="str">
        <f>VLOOKUP(E598,dicionario!$A$1:$C997,2,0)</f>
        <v>Turnera subulata</v>
      </c>
      <c r="H598" s="6" t="str">
        <f>VLOOKUP(E598,dicionario!$A$1:$C997,3,0)</f>
        <v>xanana</v>
      </c>
    </row>
    <row r="599">
      <c r="A599" s="3">
        <v>45561.0</v>
      </c>
      <c r="B599" s="4">
        <v>0.325</v>
      </c>
      <c r="C599" s="5" t="s">
        <v>26</v>
      </c>
      <c r="D599" s="5" t="s">
        <v>313</v>
      </c>
      <c r="E599" s="6" t="s">
        <v>14</v>
      </c>
      <c r="F599" s="7" t="s">
        <v>15</v>
      </c>
      <c r="G599" s="6" t="str">
        <f>VLOOKUP(E599,dicionario!$A$1:$C998,2,0)</f>
        <v>Spermacoce verticillata</v>
      </c>
      <c r="H599" s="6" t="str">
        <f>VLOOKUP(E599,dicionario!$A$1:$C998,3,0)</f>
        <v>vassourinha-de-botão</v>
      </c>
    </row>
    <row r="600">
      <c r="A600" s="3">
        <v>45561.0</v>
      </c>
      <c r="B600" s="4">
        <v>0.32569444444444445</v>
      </c>
      <c r="C600" s="5" t="s">
        <v>26</v>
      </c>
      <c r="D600" s="5" t="s">
        <v>313</v>
      </c>
      <c r="E600" s="6" t="s">
        <v>139</v>
      </c>
      <c r="F600" s="7" t="s">
        <v>140</v>
      </c>
      <c r="G600" s="6" t="str">
        <f>VLOOKUP(E600,dicionario!$A$1:$C999,2,0)</f>
        <v>Tropidurus torquatus</v>
      </c>
      <c r="H600" s="6" t="str">
        <f>VLOOKUP(E600,dicionario!$A$1:$C999,3,0)</f>
        <v>calango; tropiduro-comum</v>
      </c>
    </row>
    <row r="601">
      <c r="A601" s="3">
        <v>45561.0</v>
      </c>
      <c r="B601" s="4">
        <v>0.3263888888888889</v>
      </c>
      <c r="C601" s="5" t="s">
        <v>26</v>
      </c>
      <c r="D601" s="5" t="s">
        <v>313</v>
      </c>
      <c r="E601" s="6" t="s">
        <v>346</v>
      </c>
      <c r="F601" s="7" t="s">
        <v>347</v>
      </c>
      <c r="G601" s="6" t="str">
        <f>VLOOKUP(E601,dicionario!$A$1:$C1000,2,0)</f>
        <v>#N/A</v>
      </c>
      <c r="H601" s="6" t="str">
        <f>VLOOKUP(E601,dicionario!$A$1:$C1000,3,0)</f>
        <v>#N/A</v>
      </c>
    </row>
    <row r="602">
      <c r="A602" s="3">
        <v>45561.0</v>
      </c>
      <c r="B602" s="4">
        <v>0.3263888888888889</v>
      </c>
      <c r="C602" s="5" t="s">
        <v>26</v>
      </c>
      <c r="D602" s="5" t="s">
        <v>313</v>
      </c>
      <c r="E602" s="6" t="s">
        <v>348</v>
      </c>
      <c r="F602" s="7" t="s">
        <v>349</v>
      </c>
      <c r="G602" s="6" t="str">
        <f>VLOOKUP(E602,dicionario!$A$1:$C1001,2,0)</f>
        <v>#N/A</v>
      </c>
      <c r="H602" s="6" t="str">
        <f>VLOOKUP(E602,dicionario!$A$1:$C1001,3,0)</f>
        <v>#N/A</v>
      </c>
    </row>
    <row r="603">
      <c r="A603" s="3">
        <v>45561.0</v>
      </c>
      <c r="B603" s="4">
        <v>0.32916666666666666</v>
      </c>
      <c r="C603" s="5" t="s">
        <v>8</v>
      </c>
      <c r="D603" s="5" t="s">
        <v>313</v>
      </c>
      <c r="E603" s="6" t="s">
        <v>111</v>
      </c>
      <c r="F603" s="7" t="s">
        <v>112</v>
      </c>
      <c r="G603" s="6" t="str">
        <f>VLOOKUP(E603,dicionario!$A$1:$C1002,2,0)</f>
        <v>Trigona spinipes</v>
      </c>
      <c r="H603" s="6" t="str">
        <f>VLOOKUP(E603,dicionario!$A$1:$C1002,3,0)</f>
        <v>abelha-cachorro</v>
      </c>
    </row>
    <row r="604">
      <c r="A604" s="3">
        <v>45561.0</v>
      </c>
      <c r="B604" s="4">
        <v>0.32916666666666666</v>
      </c>
      <c r="C604" s="5" t="s">
        <v>8</v>
      </c>
      <c r="D604" s="5" t="s">
        <v>313</v>
      </c>
      <c r="E604" s="8" t="s">
        <v>12</v>
      </c>
      <c r="F604" s="7" t="s">
        <v>13</v>
      </c>
      <c r="G604" s="6" t="str">
        <f>VLOOKUP(E604,dicionario!$A$1:$C1003,2,0)</f>
        <v>Eulaema nigrita</v>
      </c>
      <c r="H604" s="6" t="str">
        <f>VLOOKUP(E604,dicionario!$A$1:$C1003,3,0)</f>
        <v>abelha-de-orquídea</v>
      </c>
    </row>
    <row r="605">
      <c r="A605" s="3">
        <v>45561.0</v>
      </c>
      <c r="B605" s="4">
        <v>0.32916666666666666</v>
      </c>
      <c r="C605" s="5" t="s">
        <v>8</v>
      </c>
      <c r="D605" s="5" t="s">
        <v>313</v>
      </c>
      <c r="E605" s="6" t="s">
        <v>20</v>
      </c>
      <c r="F605" s="7" t="s">
        <v>21</v>
      </c>
      <c r="G605" s="6" t="str">
        <f>VLOOKUP(E605,dicionario!$A$1:$C1004,2,0)</f>
        <v>Sicalis flaveola</v>
      </c>
      <c r="H605" s="6" t="str">
        <f>VLOOKUP(E605,dicionario!$A$1:$C1004,3,0)</f>
        <v>canário-da-terra</v>
      </c>
    </row>
    <row r="606">
      <c r="A606" s="3">
        <v>45561.0</v>
      </c>
      <c r="B606" s="4">
        <v>0.32916666666666666</v>
      </c>
      <c r="C606" s="5" t="s">
        <v>8</v>
      </c>
      <c r="D606" s="5" t="s">
        <v>313</v>
      </c>
      <c r="E606" s="6" t="s">
        <v>65</v>
      </c>
      <c r="F606" s="7" t="s">
        <v>66</v>
      </c>
      <c r="G606" s="6" t="str">
        <f>VLOOKUP(E606,dicionario!$A$1:$C1005,2,0)</f>
        <v>Pitangus sulphutarus</v>
      </c>
      <c r="H606" s="6" t="str">
        <f>VLOOKUP(E606,dicionario!$A$1:$C1005,3,0)</f>
        <v>bem-te-vi</v>
      </c>
    </row>
    <row r="607">
      <c r="A607" s="3">
        <v>45561.0</v>
      </c>
      <c r="B607" s="4">
        <v>0.3298611111111111</v>
      </c>
      <c r="C607" s="5" t="s">
        <v>8</v>
      </c>
      <c r="D607" s="5" t="s">
        <v>313</v>
      </c>
      <c r="E607" s="8" t="s">
        <v>225</v>
      </c>
      <c r="F607" s="7" t="s">
        <v>226</v>
      </c>
      <c r="G607" s="6" t="str">
        <f>VLOOKUP(E607,dicionario!$A$1:$C1006,2,0)</f>
        <v>Passer domesticus</v>
      </c>
      <c r="H607" s="6" t="str">
        <f>VLOOKUP(E607,dicionario!$A$1:$C1006,3,0)</f>
        <v>pardal</v>
      </c>
    </row>
    <row r="608">
      <c r="A608" s="3">
        <v>45561.0</v>
      </c>
      <c r="B608" s="4">
        <v>0.33055555555555555</v>
      </c>
      <c r="C608" s="5" t="s">
        <v>8</v>
      </c>
      <c r="D608" s="5" t="s">
        <v>313</v>
      </c>
      <c r="E608" s="6" t="s">
        <v>113</v>
      </c>
      <c r="F608" s="7" t="s">
        <v>114</v>
      </c>
      <c r="G608" s="6" t="str">
        <f>VLOOKUP(E608,dicionario!$A$1:$C1007,2,0)</f>
        <v>Columbina talpacoti</v>
      </c>
      <c r="H608" s="6" t="str">
        <f>VLOOKUP(E608,dicionario!$A$1:$C1007,3,0)</f>
        <v>rolinha-roxa</v>
      </c>
    </row>
    <row r="609">
      <c r="A609" s="3">
        <v>45561.0</v>
      </c>
      <c r="B609" s="4">
        <v>0.33055555555555555</v>
      </c>
      <c r="C609" s="5" t="s">
        <v>8</v>
      </c>
      <c r="D609" s="5" t="s">
        <v>313</v>
      </c>
      <c r="E609" s="6" t="s">
        <v>18</v>
      </c>
      <c r="F609" s="7" t="s">
        <v>219</v>
      </c>
      <c r="G609" s="6" t="str">
        <f>VLOOKUP(E609,dicionario!$A$1:$C1008,2,0)</f>
        <v>Xylocopa frontalis</v>
      </c>
      <c r="H609" s="6" t="str">
        <f>VLOOKUP(E609,dicionario!$A$1:$C1008,3,0)</f>
        <v>Mamangava; mangangá; abelha-carpinteira</v>
      </c>
    </row>
    <row r="610">
      <c r="A610" s="3">
        <v>45561.0</v>
      </c>
      <c r="B610" s="4">
        <v>0.3326388888888889</v>
      </c>
      <c r="C610" s="5" t="s">
        <v>8</v>
      </c>
      <c r="D610" s="5" t="s">
        <v>313</v>
      </c>
      <c r="E610" s="6" t="s">
        <v>350</v>
      </c>
      <c r="F610" s="7" t="s">
        <v>351</v>
      </c>
      <c r="G610" s="6" t="str">
        <f>VLOOKUP(E610,dicionario!$A$1:$C1009,2,0)</f>
        <v>#N/A</v>
      </c>
      <c r="H610" s="6" t="str">
        <f>VLOOKUP(E610,dicionario!$A$1:$C1009,3,0)</f>
        <v>#N/A</v>
      </c>
    </row>
    <row r="611">
      <c r="A611" s="3">
        <v>45561.0</v>
      </c>
      <c r="B611" s="4">
        <v>0.3326388888888889</v>
      </c>
      <c r="C611" s="5" t="s">
        <v>8</v>
      </c>
      <c r="D611" s="5" t="s">
        <v>313</v>
      </c>
      <c r="E611" s="8" t="s">
        <v>46</v>
      </c>
      <c r="F611" s="5" t="s">
        <v>47</v>
      </c>
      <c r="G611" s="6" t="str">
        <f>VLOOKUP(E611,dicionario!$A$1:$C1010,2,0)</f>
        <v>Chionomesa fimbriata</v>
      </c>
      <c r="H611" s="6" t="str">
        <f>VLOOKUP(E611,dicionario!$A$1:$C1010,3,0)</f>
        <v>beija-flor-de-garganta-verde</v>
      </c>
    </row>
    <row r="612">
      <c r="A612" s="3">
        <v>45561.0</v>
      </c>
      <c r="B612" s="4">
        <v>0.3326388888888889</v>
      </c>
      <c r="C612" s="5" t="s">
        <v>8</v>
      </c>
      <c r="D612" s="5" t="s">
        <v>313</v>
      </c>
      <c r="E612" s="6" t="s">
        <v>88</v>
      </c>
      <c r="F612" s="7" t="s">
        <v>89</v>
      </c>
      <c r="G612" s="6" t="str">
        <f>VLOOKUP(E612,dicionario!$A$1:$C1011,2,0)</f>
        <v>Tyrannus melancolichus</v>
      </c>
      <c r="H612" s="6" t="str">
        <f>VLOOKUP(E612,dicionario!$A$1:$C1011,3,0)</f>
        <v>suiriri</v>
      </c>
    </row>
    <row r="613">
      <c r="A613" s="3">
        <v>45561.0</v>
      </c>
      <c r="B613" s="4">
        <v>0.3333333333333333</v>
      </c>
      <c r="C613" s="5" t="s">
        <v>8</v>
      </c>
      <c r="D613" s="5" t="s">
        <v>313</v>
      </c>
      <c r="E613" s="6" t="s">
        <v>177</v>
      </c>
      <c r="F613" s="7" t="s">
        <v>178</v>
      </c>
      <c r="G613" s="6" t="str">
        <f>VLOOKUP(E613,dicionario!$A$1:$C1012,2,0)</f>
        <v>Elaenia flavogaster</v>
      </c>
      <c r="H613" s="6" t="str">
        <f>VLOOKUP(E613,dicionario!$A$1:$C1012,3,0)</f>
        <v>guaracava-de-barriga-amarela</v>
      </c>
    </row>
    <row r="614">
      <c r="A614" s="3">
        <v>45568.0</v>
      </c>
      <c r="B614" s="4">
        <v>0.25833333333333336</v>
      </c>
      <c r="C614" s="5" t="s">
        <v>8</v>
      </c>
      <c r="D614" s="5" t="s">
        <v>352</v>
      </c>
      <c r="E614" s="6" t="s">
        <v>177</v>
      </c>
      <c r="F614" s="7" t="s">
        <v>178</v>
      </c>
      <c r="G614" s="6" t="str">
        <f>VLOOKUP(E614,dicionario!$A$1:$C1013,2,0)</f>
        <v>Elaenia flavogaster</v>
      </c>
      <c r="H614" s="6" t="str">
        <f>VLOOKUP(E614,dicionario!$A$1:$C1013,3,0)</f>
        <v>guaracava-de-barriga-amarela</v>
      </c>
    </row>
    <row r="615">
      <c r="A615" s="3">
        <v>45568.0</v>
      </c>
      <c r="B615" s="4">
        <v>0.25833333333333336</v>
      </c>
      <c r="C615" s="5" t="s">
        <v>8</v>
      </c>
      <c r="D615" s="5" t="s">
        <v>352</v>
      </c>
      <c r="E615" s="6" t="s">
        <v>88</v>
      </c>
      <c r="F615" s="7" t="s">
        <v>89</v>
      </c>
      <c r="G615" s="6" t="str">
        <f>VLOOKUP(E615,dicionario!$A$1:$C1014,2,0)</f>
        <v>Tyrannus melancolichus</v>
      </c>
      <c r="H615" s="6" t="str">
        <f>VLOOKUP(E615,dicionario!$A$1:$C1014,3,0)</f>
        <v>suiriri</v>
      </c>
    </row>
    <row r="616">
      <c r="A616" s="3">
        <v>45568.0</v>
      </c>
      <c r="B616" s="4">
        <v>0.2590277777777778</v>
      </c>
      <c r="C616" s="5" t="s">
        <v>8</v>
      </c>
      <c r="D616" s="5" t="s">
        <v>352</v>
      </c>
      <c r="E616" s="6" t="s">
        <v>12</v>
      </c>
      <c r="F616" s="7" t="s">
        <v>13</v>
      </c>
      <c r="G616" s="6" t="str">
        <f>VLOOKUP(E616,dicionario!$A$1:$C1015,2,0)</f>
        <v>Eulaema nigrita</v>
      </c>
      <c r="H616" s="6" t="str">
        <f>VLOOKUP(E616,dicionario!$A$1:$C1015,3,0)</f>
        <v>abelha-de-orquídea</v>
      </c>
    </row>
    <row r="617">
      <c r="A617" s="3">
        <v>45568.0</v>
      </c>
      <c r="B617" s="4">
        <v>0.2590277777777778</v>
      </c>
      <c r="C617" s="5" t="s">
        <v>8</v>
      </c>
      <c r="D617" s="5" t="s">
        <v>352</v>
      </c>
      <c r="E617" s="6" t="s">
        <v>105</v>
      </c>
      <c r="F617" s="7" t="s">
        <v>106</v>
      </c>
      <c r="G617" s="6" t="str">
        <f>VLOOKUP(E617,dicionario!$A$1:$C1016,2,0)</f>
        <v>Progne tapera</v>
      </c>
      <c r="H617" s="6" t="str">
        <f>VLOOKUP(E617,dicionario!$A$1:$C1016,3,0)</f>
        <v>andorinha-do-campo</v>
      </c>
    </row>
    <row r="618">
      <c r="A618" s="3">
        <v>45568.0</v>
      </c>
      <c r="B618" s="4">
        <v>0.2590277777777778</v>
      </c>
      <c r="C618" s="5" t="s">
        <v>8</v>
      </c>
      <c r="D618" s="5" t="s">
        <v>352</v>
      </c>
      <c r="E618" s="6" t="s">
        <v>65</v>
      </c>
      <c r="F618" s="7" t="s">
        <v>66</v>
      </c>
      <c r="G618" s="6" t="str">
        <f>VLOOKUP(E618,dicionario!$A$1:$C1017,2,0)</f>
        <v>Pitangus sulphutarus</v>
      </c>
      <c r="H618" s="6" t="str">
        <f>VLOOKUP(E618,dicionario!$A$1:$C1017,3,0)</f>
        <v>bem-te-vi</v>
      </c>
    </row>
    <row r="619">
      <c r="A619" s="3">
        <v>45568.0</v>
      </c>
      <c r="B619" s="4">
        <v>0.25972222222222224</v>
      </c>
      <c r="C619" s="5" t="s">
        <v>8</v>
      </c>
      <c r="D619" s="5" t="s">
        <v>352</v>
      </c>
      <c r="E619" s="18" t="s">
        <v>14</v>
      </c>
      <c r="F619" s="7" t="s">
        <v>15</v>
      </c>
      <c r="G619" s="6" t="str">
        <f>VLOOKUP(E619,dicionario!$A$1:$C1018,2,0)</f>
        <v>Spermacoce verticillata</v>
      </c>
      <c r="H619" s="6" t="str">
        <f>VLOOKUP(E619,dicionario!$A$1:$C1018,3,0)</f>
        <v>vassourinha-de-botão</v>
      </c>
    </row>
    <row r="620">
      <c r="A620" s="13">
        <v>45568.0</v>
      </c>
      <c r="B620" s="4">
        <v>0.25972222222222224</v>
      </c>
      <c r="C620" s="5" t="s">
        <v>8</v>
      </c>
      <c r="D620" s="5" t="s">
        <v>352</v>
      </c>
      <c r="E620" s="6" t="s">
        <v>353</v>
      </c>
      <c r="F620" s="7" t="s">
        <v>354</v>
      </c>
      <c r="G620" s="6" t="str">
        <f>VLOOKUP(E620,dicionario!$A$1:$C1019,2,0)</f>
        <v>Desmodium incanum</v>
      </c>
      <c r="H620" s="6" t="str">
        <f>VLOOKUP(E620,dicionario!$A$1:$C1019,3,0)</f>
        <v>pega-pega</v>
      </c>
    </row>
    <row r="621">
      <c r="A621" s="13">
        <v>45568.0</v>
      </c>
      <c r="B621" s="4">
        <v>0.25972222222222224</v>
      </c>
      <c r="C621" s="5" t="s">
        <v>8</v>
      </c>
      <c r="D621" s="5" t="s">
        <v>352</v>
      </c>
      <c r="E621" s="18" t="s">
        <v>227</v>
      </c>
      <c r="F621" s="7" t="s">
        <v>228</v>
      </c>
      <c r="G621" s="6" t="str">
        <f>VLOOKUP(E621,dicionario!$A$1:$C1020,2,0)</f>
        <v>Indigofera hirsuta</v>
      </c>
      <c r="H621" s="6" t="str">
        <f>VLOOKUP(E621,dicionario!$A$1:$C1020,3,0)</f>
        <v>anileira</v>
      </c>
    </row>
    <row r="622">
      <c r="A622" s="13">
        <v>45568.0</v>
      </c>
      <c r="B622" s="4">
        <v>0.25972222222222224</v>
      </c>
      <c r="C622" s="5" t="s">
        <v>8</v>
      </c>
      <c r="D622" s="5" t="s">
        <v>352</v>
      </c>
      <c r="E622" s="18" t="s">
        <v>253</v>
      </c>
      <c r="F622" s="7" t="s">
        <v>254</v>
      </c>
      <c r="G622" s="6" t="str">
        <f>VLOOKUP(E622,dicionario!$A$1:$C1021,2,0)</f>
        <v>Panicum maximum</v>
      </c>
      <c r="H622" s="6" t="str">
        <f>VLOOKUP(E622,dicionario!$A$1:$C1021,3,0)</f>
        <v>capim-colonião</v>
      </c>
    </row>
    <row r="623">
      <c r="A623" s="3">
        <v>45568.0</v>
      </c>
      <c r="B623" s="4">
        <v>0.2604166666666667</v>
      </c>
      <c r="C623" s="5" t="s">
        <v>8</v>
      </c>
      <c r="D623" s="5" t="s">
        <v>352</v>
      </c>
      <c r="E623" s="18" t="s">
        <v>18</v>
      </c>
      <c r="F623" s="7" t="s">
        <v>219</v>
      </c>
      <c r="G623" s="6" t="str">
        <f>VLOOKUP(E623,dicionario!$A$1:$C1022,2,0)</f>
        <v>Xylocopa frontalis</v>
      </c>
      <c r="H623" s="6" t="str">
        <f>VLOOKUP(E623,dicionario!$A$1:$C1022,3,0)</f>
        <v>Mamangava; mangangá; abelha-carpinteira</v>
      </c>
    </row>
    <row r="624">
      <c r="A624" s="3">
        <v>45568.0</v>
      </c>
      <c r="B624" s="4">
        <v>0.2604166666666667</v>
      </c>
      <c r="C624" s="5" t="s">
        <v>8</v>
      </c>
      <c r="D624" s="5" t="s">
        <v>352</v>
      </c>
      <c r="E624" s="6" t="s">
        <v>338</v>
      </c>
      <c r="F624" s="7" t="s">
        <v>238</v>
      </c>
      <c r="G624" s="6" t="str">
        <f>VLOOKUP(E624,dicionario!$A$1:$C1023,2,0)</f>
        <v>Atta</v>
      </c>
      <c r="H624" s="6" t="str">
        <f>VLOOKUP(E624,dicionario!$A$1:$C1023,3,0)</f>
        <v>saúva</v>
      </c>
    </row>
    <row r="625">
      <c r="A625" s="3">
        <v>45568.0</v>
      </c>
      <c r="B625" s="4">
        <v>0.2611111111111111</v>
      </c>
      <c r="C625" s="5" t="s">
        <v>8</v>
      </c>
      <c r="D625" s="5" t="s">
        <v>352</v>
      </c>
      <c r="E625" s="6" t="s">
        <v>302</v>
      </c>
      <c r="F625" s="7" t="s">
        <v>303</v>
      </c>
      <c r="G625" s="6" t="str">
        <f>VLOOKUP(E625,dicionario!$A$1:$C1024,2,0)</f>
        <v>Machetornis rixosa</v>
      </c>
      <c r="H625" s="6" t="str">
        <f>VLOOKUP(E625,dicionario!$A$1:$C1024,3,0)</f>
        <v>suiriri-cavaleiro</v>
      </c>
    </row>
    <row r="626">
      <c r="A626" s="3">
        <v>45568.0</v>
      </c>
      <c r="B626" s="4">
        <v>0.2611111111111111</v>
      </c>
      <c r="C626" s="5" t="s">
        <v>8</v>
      </c>
      <c r="D626" s="5" t="s">
        <v>352</v>
      </c>
      <c r="E626" s="18" t="s">
        <v>22</v>
      </c>
      <c r="F626" s="7" t="s">
        <v>97</v>
      </c>
      <c r="G626" s="6" t="str">
        <f>VLOOKUP(E626,dicionario!$A$1:$C1025,2,0)</f>
        <v>Zenaida auriculata</v>
      </c>
      <c r="H626" s="6" t="str">
        <f>VLOOKUP(E626,dicionario!$A$1:$C1025,3,0)</f>
        <v>pomba-de-bando; avoante</v>
      </c>
    </row>
    <row r="627">
      <c r="A627" s="3">
        <v>45568.0</v>
      </c>
      <c r="B627" s="4">
        <v>0.2611111111111111</v>
      </c>
      <c r="C627" s="5" t="s">
        <v>8</v>
      </c>
      <c r="D627" s="5" t="s">
        <v>352</v>
      </c>
      <c r="E627" s="18" t="s">
        <v>225</v>
      </c>
      <c r="F627" s="7" t="s">
        <v>226</v>
      </c>
      <c r="G627" s="6" t="str">
        <f>VLOOKUP(E627,dicionario!$A$1:$C1026,2,0)</f>
        <v>Passer domesticus</v>
      </c>
      <c r="H627" s="6" t="str">
        <f>VLOOKUP(E627,dicionario!$A$1:$C1026,3,0)</f>
        <v>pardal</v>
      </c>
    </row>
    <row r="628">
      <c r="A628" s="3">
        <v>45568.0</v>
      </c>
      <c r="B628" s="4">
        <v>0.26180555555555557</v>
      </c>
      <c r="C628" s="5" t="s">
        <v>8</v>
      </c>
      <c r="D628" s="5" t="s">
        <v>352</v>
      </c>
      <c r="E628" s="18" t="s">
        <v>343</v>
      </c>
      <c r="F628" s="7" t="s">
        <v>192</v>
      </c>
      <c r="G628" s="6" t="str">
        <f>VLOOKUP(E628,dicionario!$A$1:$C1027,2,0)</f>
        <v>#N/A</v>
      </c>
      <c r="H628" s="6" t="str">
        <f>VLOOKUP(E628,dicionario!$A$1:$C1027,3,0)</f>
        <v>#N/A</v>
      </c>
    </row>
    <row r="629">
      <c r="A629" s="13">
        <v>45568.0</v>
      </c>
      <c r="B629" s="4">
        <v>0.26180555555555557</v>
      </c>
      <c r="C629" s="5" t="s">
        <v>8</v>
      </c>
      <c r="D629" s="5" t="s">
        <v>352</v>
      </c>
      <c r="E629" s="6" t="s">
        <v>215</v>
      </c>
      <c r="F629" s="7" t="s">
        <v>216</v>
      </c>
      <c r="G629" s="6" t="str">
        <f>VLOOKUP(E629,dicionario!$A$1:$C1028,2,0)</f>
        <v>Pygochelidon cyanoleuca</v>
      </c>
      <c r="H629" s="6" t="str">
        <f>VLOOKUP(E629,dicionario!$A$1:$C1028,3,0)</f>
        <v>andorinha-pequena-de-casa</v>
      </c>
    </row>
    <row r="630">
      <c r="A630" s="13">
        <v>45568.0</v>
      </c>
      <c r="B630" s="4">
        <v>0.2625</v>
      </c>
      <c r="C630" s="5" t="s">
        <v>8</v>
      </c>
      <c r="D630" s="5" t="s">
        <v>352</v>
      </c>
      <c r="E630" s="18" t="s">
        <v>20</v>
      </c>
      <c r="F630" s="7" t="s">
        <v>21</v>
      </c>
      <c r="G630" s="6" t="str">
        <f>VLOOKUP(E630,dicionario!$A$1:$C1029,2,0)</f>
        <v>Sicalis flaveola</v>
      </c>
      <c r="H630" s="6" t="str">
        <f>VLOOKUP(E630,dicionario!$A$1:$C1029,3,0)</f>
        <v>canário-da-terra</v>
      </c>
    </row>
    <row r="631">
      <c r="A631" s="13">
        <v>45568.0</v>
      </c>
      <c r="B631" s="4">
        <v>0.26319444444444445</v>
      </c>
      <c r="C631" s="5" t="s">
        <v>8</v>
      </c>
      <c r="D631" s="5" t="s">
        <v>352</v>
      </c>
      <c r="E631" s="18" t="s">
        <v>109</v>
      </c>
      <c r="F631" s="7" t="s">
        <v>110</v>
      </c>
      <c r="G631" s="6" t="str">
        <f>VLOOKUP(E631,dicionario!$A$1:$C1030,2,0)</f>
        <v>Tillandsia stricta</v>
      </c>
      <c r="H631" s="6" t="str">
        <f>VLOOKUP(E631,dicionario!$A$1:$C1030,3,0)</f>
        <v>cravo-do-mato</v>
      </c>
    </row>
    <row r="632">
      <c r="A632" s="13">
        <v>45568.0</v>
      </c>
      <c r="B632" s="4">
        <v>0.26319444444444445</v>
      </c>
      <c r="C632" s="5" t="s">
        <v>8</v>
      </c>
      <c r="D632" s="19" t="s">
        <v>352</v>
      </c>
      <c r="E632" s="20" t="s">
        <v>38</v>
      </c>
      <c r="F632" s="5" t="s">
        <v>39</v>
      </c>
      <c r="G632" s="6" t="str">
        <f>VLOOKUP(E632,dicionario!$A$1:$C1031,2,0)</f>
        <v>Troglodytes musculus</v>
      </c>
      <c r="H632" s="6" t="str">
        <f>VLOOKUP(E632,dicionario!$A$1:$C1031,3,0)</f>
        <v>curruíra</v>
      </c>
    </row>
    <row r="633">
      <c r="A633" s="13">
        <v>45568.0</v>
      </c>
      <c r="B633" s="4">
        <v>0.26319444444444445</v>
      </c>
      <c r="C633" s="5" t="s">
        <v>8</v>
      </c>
      <c r="D633" s="5" t="s">
        <v>352</v>
      </c>
      <c r="E633" s="8" t="s">
        <v>46</v>
      </c>
      <c r="F633" s="5" t="s">
        <v>47</v>
      </c>
      <c r="G633" s="6" t="str">
        <f>VLOOKUP(E633,dicionario!$A$1:$C1032,2,0)</f>
        <v>Chionomesa fimbriata</v>
      </c>
      <c r="H633" s="6" t="str">
        <f>VLOOKUP(E633,dicionario!$A$1:$C1032,3,0)</f>
        <v>beija-flor-de-garganta-verde</v>
      </c>
    </row>
    <row r="634">
      <c r="A634" s="13">
        <v>45568.0</v>
      </c>
      <c r="B634" s="4">
        <v>0.2638888888888889</v>
      </c>
      <c r="C634" s="5" t="s">
        <v>8</v>
      </c>
      <c r="D634" s="5" t="s">
        <v>352</v>
      </c>
      <c r="E634" s="6" t="s">
        <v>143</v>
      </c>
      <c r="F634" s="7" t="s">
        <v>63</v>
      </c>
      <c r="G634" s="6" t="str">
        <f>VLOOKUP(E634,dicionario!$A$1:$C1033,2,0)</f>
        <v>Polybia</v>
      </c>
      <c r="H634" s="6" t="str">
        <f>VLOOKUP(E634,dicionario!$A$1:$C1033,3,0)</f>
        <v>vespa</v>
      </c>
    </row>
    <row r="635">
      <c r="A635" s="13">
        <v>45568.0</v>
      </c>
      <c r="B635" s="4">
        <v>0.2638888888888889</v>
      </c>
      <c r="C635" s="5" t="s">
        <v>8</v>
      </c>
      <c r="D635" s="5" t="s">
        <v>352</v>
      </c>
      <c r="E635" s="18" t="s">
        <v>86</v>
      </c>
      <c r="F635" s="7" t="s">
        <v>87</v>
      </c>
      <c r="G635" s="6" t="str">
        <f>VLOOKUP(E635,dicionario!$A$1:$C1034,2,0)</f>
        <v>Coereba flaveola</v>
      </c>
      <c r="H635" s="6" t="str">
        <f>VLOOKUP(E635,dicionario!$A$1:$C1034,3,0)</f>
        <v>cambacica</v>
      </c>
    </row>
    <row r="636">
      <c r="A636" s="13">
        <v>45568.0</v>
      </c>
      <c r="B636" s="4">
        <v>0.26458333333333334</v>
      </c>
      <c r="C636" s="5" t="s">
        <v>8</v>
      </c>
      <c r="D636" s="5" t="s">
        <v>352</v>
      </c>
      <c r="E636" s="6" t="s">
        <v>353</v>
      </c>
      <c r="F636" s="7" t="s">
        <v>354</v>
      </c>
      <c r="G636" s="6" t="str">
        <f>VLOOKUP(E636,dicionario!$A$1:$C1035,2,0)</f>
        <v>Desmodium incanum</v>
      </c>
      <c r="H636" s="6" t="str">
        <f>VLOOKUP(E636,dicionario!$A$1:$C1035,3,0)</f>
        <v>pega-pega</v>
      </c>
    </row>
    <row r="637">
      <c r="A637" s="13">
        <v>45568.0</v>
      </c>
      <c r="B637" s="4">
        <v>0.2652777777777778</v>
      </c>
      <c r="C637" s="5" t="s">
        <v>8</v>
      </c>
      <c r="D637" s="5" t="s">
        <v>352</v>
      </c>
      <c r="E637" s="18" t="s">
        <v>111</v>
      </c>
      <c r="F637" s="7" t="s">
        <v>112</v>
      </c>
      <c r="G637" s="6" t="str">
        <f>VLOOKUP(E637,dicionario!$A$1:$C1036,2,0)</f>
        <v>Trigona spinipes</v>
      </c>
      <c r="H637" s="6" t="str">
        <f>VLOOKUP(E637,dicionario!$A$1:$C1036,3,0)</f>
        <v>abelha-cachorro</v>
      </c>
    </row>
    <row r="638">
      <c r="A638" s="13">
        <v>45568.0</v>
      </c>
      <c r="B638" s="4">
        <v>0.2652777777777778</v>
      </c>
      <c r="C638" s="5" t="s">
        <v>8</v>
      </c>
      <c r="D638" s="5" t="s">
        <v>352</v>
      </c>
      <c r="E638" s="6" t="s">
        <v>355</v>
      </c>
      <c r="F638" s="7" t="s">
        <v>356</v>
      </c>
      <c r="G638" s="6" t="str">
        <f>VLOOKUP(E638,dicionario!$A$1:$C1037,2,0)</f>
        <v>Boerhavia diffusa</v>
      </c>
      <c r="H638" s="6" t="str">
        <f>VLOOKUP(E638,dicionario!$A$1:$C1037,3,0)</f>
        <v>erva-tostão</v>
      </c>
    </row>
    <row r="639">
      <c r="A639" s="13">
        <v>45568.0</v>
      </c>
      <c r="B639" s="4">
        <v>0.26666666666666666</v>
      </c>
      <c r="C639" s="5" t="s">
        <v>8</v>
      </c>
      <c r="D639" s="5" t="s">
        <v>352</v>
      </c>
      <c r="E639" s="6" t="s">
        <v>357</v>
      </c>
      <c r="F639" s="7" t="s">
        <v>272</v>
      </c>
      <c r="G639" s="6" t="str">
        <f>VLOOKUP(E639,dicionario!$A$1:$C1038,2,0)</f>
        <v>#N/A</v>
      </c>
      <c r="H639" s="6" t="str">
        <f>VLOOKUP(E639,dicionario!$A$1:$C1038,3,0)</f>
        <v>#N/A</v>
      </c>
    </row>
    <row r="640">
      <c r="A640" s="13">
        <v>45568.0</v>
      </c>
      <c r="B640" s="4">
        <v>0.26805555555555555</v>
      </c>
      <c r="C640" s="5" t="s">
        <v>26</v>
      </c>
      <c r="D640" s="5" t="s">
        <v>352</v>
      </c>
      <c r="E640" s="18" t="s">
        <v>217</v>
      </c>
      <c r="F640" s="7" t="s">
        <v>218</v>
      </c>
      <c r="G640" s="6" t="str">
        <f>VLOOKUP(E640,dicionario!$A$1:$C1039,2,0)</f>
        <v>Athene cunicularia</v>
      </c>
      <c r="H640" s="6" t="str">
        <f>VLOOKUP(E640,dicionario!$A$1:$C1039,3,0)</f>
        <v>coruja-buraqueira</v>
      </c>
    </row>
    <row r="641">
      <c r="A641" s="13">
        <v>45568.0</v>
      </c>
      <c r="B641" s="4">
        <v>0.26805555555555555</v>
      </c>
      <c r="C641" s="5" t="s">
        <v>26</v>
      </c>
      <c r="D641" s="5" t="s">
        <v>352</v>
      </c>
      <c r="E641" s="6" t="s">
        <v>41</v>
      </c>
      <c r="F641" s="7" t="s">
        <v>45</v>
      </c>
      <c r="G641" s="6" t="str">
        <f>VLOOKUP(E641,dicionario!$A$1:$C1040,2,0)</f>
        <v>Mimosa pudica</v>
      </c>
      <c r="H641" s="6" t="str">
        <f>VLOOKUP(E641,dicionario!$A$1:$C1040,3,0)</f>
        <v>dormideira</v>
      </c>
    </row>
    <row r="642">
      <c r="A642" s="13">
        <v>45568.0</v>
      </c>
      <c r="B642" s="4">
        <v>0.26875</v>
      </c>
      <c r="C642" s="5" t="s">
        <v>26</v>
      </c>
      <c r="D642" s="5" t="s">
        <v>352</v>
      </c>
      <c r="E642" s="18" t="s">
        <v>14</v>
      </c>
      <c r="F642" s="7" t="s">
        <v>15</v>
      </c>
      <c r="G642" s="6" t="str">
        <f>VLOOKUP(E642,dicionario!$A$1:$C1041,2,0)</f>
        <v>Spermacoce verticillata</v>
      </c>
      <c r="H642" s="6" t="str">
        <f>VLOOKUP(E642,dicionario!$A$1:$C1041,3,0)</f>
        <v>vassourinha-de-botão</v>
      </c>
    </row>
    <row r="643">
      <c r="A643" s="13">
        <v>45568.0</v>
      </c>
      <c r="B643" s="4">
        <v>0.26875</v>
      </c>
      <c r="C643" s="5" t="s">
        <v>26</v>
      </c>
      <c r="D643" s="5" t="s">
        <v>352</v>
      </c>
      <c r="E643" s="6" t="s">
        <v>296</v>
      </c>
      <c r="F643" s="7" t="s">
        <v>297</v>
      </c>
      <c r="G643" s="6" t="str">
        <f>VLOOKUP(E643,dicionario!$A$1:$C1042,2,0)</f>
        <v>Richardia brasiliensis</v>
      </c>
      <c r="H643" s="6" t="str">
        <f>VLOOKUP(E643,dicionario!$A$1:$C1042,3,0)</f>
        <v>poaia-branca</v>
      </c>
    </row>
    <row r="644">
      <c r="A644" s="13">
        <v>45568.0</v>
      </c>
      <c r="B644" s="4">
        <v>0.26944444444444443</v>
      </c>
      <c r="C644" s="5" t="s">
        <v>26</v>
      </c>
      <c r="D644" s="5" t="s">
        <v>352</v>
      </c>
      <c r="E644" s="8" t="s">
        <v>358</v>
      </c>
      <c r="F644" s="7" t="s">
        <v>359</v>
      </c>
      <c r="G644" s="6" t="str">
        <f>VLOOKUP(E644,dicionario!$A$1:$C1043,2,0)</f>
        <v>Sida</v>
      </c>
      <c r="H644" s="6" t="str">
        <f>VLOOKUP(E644,dicionario!$A$1:$C1043,3,0)</f>
        <v/>
      </c>
    </row>
    <row r="645">
      <c r="A645" s="13">
        <v>45568.0</v>
      </c>
      <c r="B645" s="4">
        <v>0.26944444444444443</v>
      </c>
      <c r="C645" s="5" t="s">
        <v>26</v>
      </c>
      <c r="D645" s="5" t="s">
        <v>352</v>
      </c>
      <c r="E645" s="18" t="s">
        <v>146</v>
      </c>
      <c r="F645" s="7" t="s">
        <v>147</v>
      </c>
      <c r="G645" s="6" t="str">
        <f>VLOOKUP(E645,dicionario!$A$1:$C1044,2,0)</f>
        <v>Euphorbia hirta</v>
      </c>
      <c r="H645" s="6" t="str">
        <f>VLOOKUP(E645,dicionario!$A$1:$C1044,3,0)</f>
        <v>erva-de-santa-luzia</v>
      </c>
    </row>
    <row r="646">
      <c r="A646" s="13">
        <v>45568.0</v>
      </c>
      <c r="B646" s="4">
        <v>0.2701388888888889</v>
      </c>
      <c r="C646" s="5" t="s">
        <v>26</v>
      </c>
      <c r="D646" s="5" t="s">
        <v>352</v>
      </c>
      <c r="E646" s="18" t="s">
        <v>88</v>
      </c>
      <c r="F646" s="7" t="s">
        <v>89</v>
      </c>
      <c r="G646" s="6" t="str">
        <f>VLOOKUP(E646,dicionario!$A$1:$C1045,2,0)</f>
        <v>Tyrannus melancolichus</v>
      </c>
      <c r="H646" s="6" t="str">
        <f>VLOOKUP(E646,dicionario!$A$1:$C1045,3,0)</f>
        <v>suiriri</v>
      </c>
    </row>
    <row r="647">
      <c r="A647" s="13">
        <v>45568.0</v>
      </c>
      <c r="B647" s="4">
        <v>0.2708333333333333</v>
      </c>
      <c r="C647" s="5" t="s">
        <v>26</v>
      </c>
      <c r="D647" s="5" t="s">
        <v>352</v>
      </c>
      <c r="E647" s="6" t="s">
        <v>227</v>
      </c>
      <c r="F647" s="7" t="s">
        <v>228</v>
      </c>
      <c r="G647" s="6" t="str">
        <f>VLOOKUP(E647,dicionario!$A$1:$C1046,2,0)</f>
        <v>Indigofera hirsuta</v>
      </c>
      <c r="H647" s="6" t="str">
        <f>VLOOKUP(E647,dicionario!$A$1:$C1046,3,0)</f>
        <v>anileira</v>
      </c>
    </row>
    <row r="648">
      <c r="A648" s="13">
        <v>45568.0</v>
      </c>
      <c r="B648" s="4">
        <v>0.2708333333333333</v>
      </c>
      <c r="C648" s="5" t="s">
        <v>26</v>
      </c>
      <c r="D648" s="5" t="s">
        <v>352</v>
      </c>
      <c r="E648" s="6" t="s">
        <v>360</v>
      </c>
      <c r="F648" s="7" t="s">
        <v>361</v>
      </c>
      <c r="G648" s="6" t="str">
        <f>VLOOKUP(E648,dicionario!$A$1:$C1047,2,0)</f>
        <v>Chamaecrista rotundifolia</v>
      </c>
      <c r="H648" s="6" t="str">
        <f>VLOOKUP(E648,dicionario!$A$1:$C1047,3,0)</f>
        <v>alfafa-nativa</v>
      </c>
    </row>
    <row r="649">
      <c r="A649" s="13">
        <v>45568.0</v>
      </c>
      <c r="B649" s="4">
        <v>0.2708333333333333</v>
      </c>
      <c r="C649" s="5" t="s">
        <v>26</v>
      </c>
      <c r="D649" s="5" t="s">
        <v>352</v>
      </c>
      <c r="E649" s="18" t="s">
        <v>20</v>
      </c>
      <c r="F649" s="7" t="s">
        <v>21</v>
      </c>
      <c r="G649" s="6" t="str">
        <f>VLOOKUP(E649,dicionario!$A$1:$C1048,2,0)</f>
        <v>Sicalis flaveola</v>
      </c>
      <c r="H649" s="6" t="str">
        <f>VLOOKUP(E649,dicionario!$A$1:$C1048,3,0)</f>
        <v>canário-da-terra</v>
      </c>
    </row>
    <row r="650">
      <c r="A650" s="13">
        <v>45568.0</v>
      </c>
      <c r="B650" s="4">
        <v>0.27152777777777776</v>
      </c>
      <c r="C650" s="5" t="s">
        <v>26</v>
      </c>
      <c r="D650" s="5" t="s">
        <v>352</v>
      </c>
      <c r="E650" s="6" t="s">
        <v>65</v>
      </c>
      <c r="F650" s="7" t="s">
        <v>66</v>
      </c>
      <c r="G650" s="6" t="str">
        <f>VLOOKUP(E650,dicionario!$A$1:$C1049,2,0)</f>
        <v>Pitangus sulphutarus</v>
      </c>
      <c r="H650" s="6" t="str">
        <f>VLOOKUP(E650,dicionario!$A$1:$C1049,3,0)</f>
        <v>bem-te-vi</v>
      </c>
    </row>
    <row r="651">
      <c r="A651" s="13">
        <v>45568.0</v>
      </c>
      <c r="B651" s="4">
        <v>0.27152777777777776</v>
      </c>
      <c r="C651" s="5" t="s">
        <v>26</v>
      </c>
      <c r="D651" s="5" t="s">
        <v>352</v>
      </c>
      <c r="E651" s="6" t="s">
        <v>362</v>
      </c>
      <c r="F651" s="7" t="s">
        <v>363</v>
      </c>
      <c r="G651" s="6" t="str">
        <f>VLOOKUP(E651,dicionario!$A$1:$C1050,2,0)</f>
        <v>#N/A</v>
      </c>
      <c r="H651" s="6" t="str">
        <f>VLOOKUP(E651,dicionario!$A$1:$C1050,3,0)</f>
        <v>#N/A</v>
      </c>
    </row>
    <row r="652">
      <c r="A652" s="13">
        <v>45568.0</v>
      </c>
      <c r="B652" s="4">
        <v>0.27152777777777776</v>
      </c>
      <c r="C652" s="5" t="s">
        <v>26</v>
      </c>
      <c r="D652" s="5" t="s">
        <v>352</v>
      </c>
      <c r="E652" s="6" t="s">
        <v>364</v>
      </c>
      <c r="F652" s="7" t="s">
        <v>365</v>
      </c>
      <c r="G652" s="6" t="str">
        <f>VLOOKUP(E652,dicionario!$A$1:$C1051,2,0)</f>
        <v>#N/A</v>
      </c>
      <c r="H652" s="6" t="str">
        <f>VLOOKUP(E652,dicionario!$A$1:$C1051,3,0)</f>
        <v>#N/A</v>
      </c>
    </row>
    <row r="653">
      <c r="A653" s="13">
        <v>45568.0</v>
      </c>
      <c r="B653" s="4">
        <v>0.27152777777777776</v>
      </c>
      <c r="C653" s="5" t="s">
        <v>26</v>
      </c>
      <c r="D653" s="5" t="s">
        <v>352</v>
      </c>
      <c r="E653" s="18" t="s">
        <v>144</v>
      </c>
      <c r="F653" s="7" t="s">
        <v>145</v>
      </c>
      <c r="G653" s="6" t="str">
        <f>VLOOKUP(E653,dicionario!$A$1:$C1052,2,0)</f>
        <v>Gomphrena globosa</v>
      </c>
      <c r="H653" s="6" t="str">
        <f>VLOOKUP(E653,dicionario!$A$1:$C1052,3,0)</f>
        <v>perpétua-rosa</v>
      </c>
    </row>
    <row r="654">
      <c r="A654" s="13">
        <v>45568.0</v>
      </c>
      <c r="B654" s="4">
        <v>0.27291666666666664</v>
      </c>
      <c r="C654" s="5" t="s">
        <v>26</v>
      </c>
      <c r="D654" s="5" t="s">
        <v>352</v>
      </c>
      <c r="E654" s="6" t="s">
        <v>113</v>
      </c>
      <c r="F654" s="7" t="s">
        <v>114</v>
      </c>
      <c r="G654" s="6" t="str">
        <f>VLOOKUP(E654,dicionario!$A$1:$C1053,2,0)</f>
        <v>Columbina talpacoti</v>
      </c>
      <c r="H654" s="6" t="str">
        <f>VLOOKUP(E654,dicionario!$A$1:$C1053,3,0)</f>
        <v>rolinha-roxa</v>
      </c>
    </row>
    <row r="655">
      <c r="A655" s="13">
        <v>45568.0</v>
      </c>
      <c r="B655" s="4">
        <v>0.27291666666666664</v>
      </c>
      <c r="C655" s="5" t="s">
        <v>26</v>
      </c>
      <c r="D655" s="5" t="s">
        <v>352</v>
      </c>
      <c r="E655" s="6" t="s">
        <v>72</v>
      </c>
      <c r="F655" s="7" t="s">
        <v>73</v>
      </c>
      <c r="G655" s="6" t="str">
        <f>VLOOKUP(E655,dicionario!$A$1:$C1054,2,0)</f>
        <v>Thraupis palmarum</v>
      </c>
      <c r="H655" s="6" t="str">
        <f>VLOOKUP(E655,dicionario!$A$1:$C1054,3,0)</f>
        <v>sanhaço-do-coqueiro</v>
      </c>
    </row>
    <row r="656">
      <c r="A656" s="13">
        <v>45568.0</v>
      </c>
      <c r="B656" s="4">
        <v>0.27291666666666664</v>
      </c>
      <c r="C656" s="5" t="s">
        <v>26</v>
      </c>
      <c r="D656" s="5" t="s">
        <v>352</v>
      </c>
      <c r="E656" s="6" t="s">
        <v>111</v>
      </c>
      <c r="F656" s="7" t="s">
        <v>112</v>
      </c>
      <c r="G656" s="6" t="str">
        <f>VLOOKUP(E656,dicionario!$A$1:$C1055,2,0)</f>
        <v>Trigona spinipes</v>
      </c>
      <c r="H656" s="6" t="str">
        <f>VLOOKUP(E656,dicionario!$A$1:$C1055,3,0)</f>
        <v>abelha-cachorro</v>
      </c>
    </row>
    <row r="657">
      <c r="A657" s="13">
        <v>45568.0</v>
      </c>
      <c r="B657" s="4">
        <v>0.27361111111111114</v>
      </c>
      <c r="C657" s="5" t="s">
        <v>26</v>
      </c>
      <c r="D657" s="5" t="s">
        <v>352</v>
      </c>
      <c r="E657" s="6" t="s">
        <v>105</v>
      </c>
      <c r="F657" s="7" t="s">
        <v>106</v>
      </c>
      <c r="G657" s="6" t="str">
        <f>VLOOKUP(E657,dicionario!$A$1:$C1056,2,0)</f>
        <v>Progne tapera</v>
      </c>
      <c r="H657" s="6" t="str">
        <f>VLOOKUP(E657,dicionario!$A$1:$C1056,3,0)</f>
        <v>andorinha-do-campo</v>
      </c>
    </row>
    <row r="658">
      <c r="A658" s="13">
        <v>45568.0</v>
      </c>
      <c r="B658" s="4">
        <v>0.27361111111111114</v>
      </c>
      <c r="C658" s="5" t="s">
        <v>26</v>
      </c>
      <c r="D658" s="5" t="s">
        <v>352</v>
      </c>
      <c r="E658" s="18" t="s">
        <v>193</v>
      </c>
      <c r="F658" s="7" t="s">
        <v>194</v>
      </c>
      <c r="G658" s="6" t="str">
        <f>VLOOKUP(E658,dicionario!$A$1:$C1057,2,0)</f>
        <v>Conirostrum speciosum</v>
      </c>
      <c r="H658" s="6" t="str">
        <f>VLOOKUP(E658,dicionario!$A$1:$C1057,3,0)</f>
        <v>figuinha-de-rabo-castanho</v>
      </c>
    </row>
    <row r="659">
      <c r="A659" s="13">
        <v>45568.0</v>
      </c>
      <c r="B659" s="4">
        <v>0.2743055555555556</v>
      </c>
      <c r="C659" s="5" t="s">
        <v>26</v>
      </c>
      <c r="D659" s="5" t="s">
        <v>352</v>
      </c>
      <c r="E659" s="6" t="s">
        <v>60</v>
      </c>
      <c r="F659" s="7" t="s">
        <v>61</v>
      </c>
      <c r="G659" s="6" t="str">
        <f>VLOOKUP(E659,dicionario!$A$1:$C1058,2,0)</f>
        <v>Vanellus chilensis</v>
      </c>
      <c r="H659" s="6" t="str">
        <f>VLOOKUP(E659,dicionario!$A$1:$C1058,3,0)</f>
        <v>quero-quero</v>
      </c>
    </row>
    <row r="660">
      <c r="A660" s="13">
        <v>45568.0</v>
      </c>
      <c r="B660" s="4">
        <v>0.275</v>
      </c>
      <c r="C660" s="5" t="s">
        <v>26</v>
      </c>
      <c r="D660" s="5" t="s">
        <v>352</v>
      </c>
      <c r="E660" s="18" t="s">
        <v>343</v>
      </c>
      <c r="F660" s="7" t="s">
        <v>192</v>
      </c>
      <c r="G660" s="6" t="str">
        <f>VLOOKUP(E660,dicionario!$A$1:$C1059,2,0)</f>
        <v>#N/A</v>
      </c>
      <c r="H660" s="6" t="str">
        <f>VLOOKUP(E660,dicionario!$A$1:$C1059,3,0)</f>
        <v>#N/A</v>
      </c>
    </row>
    <row r="661">
      <c r="A661" s="13">
        <v>45568.0</v>
      </c>
      <c r="B661" s="4">
        <v>0.275</v>
      </c>
      <c r="C661" s="5" t="s">
        <v>26</v>
      </c>
      <c r="D661" s="5" t="s">
        <v>352</v>
      </c>
      <c r="E661" s="6" t="s">
        <v>51</v>
      </c>
      <c r="F661" s="7" t="s">
        <v>321</v>
      </c>
      <c r="G661" s="6" t="str">
        <f>VLOOKUP(E661,dicionario!$A$1:$C1060,2,0)</f>
        <v>Solenopsis</v>
      </c>
      <c r="H661" s="6" t="str">
        <f>VLOOKUP(E661,dicionario!$A$1:$C1060,3,0)</f>
        <v>formiga-quente; formiga-lava-pés; formiga-de-fogo</v>
      </c>
    </row>
    <row r="662">
      <c r="A662" s="13">
        <v>45568.0</v>
      </c>
      <c r="B662" s="4">
        <v>0.275</v>
      </c>
      <c r="C662" s="5" t="s">
        <v>26</v>
      </c>
      <c r="D662" s="5" t="s">
        <v>352</v>
      </c>
      <c r="E662" s="6" t="s">
        <v>338</v>
      </c>
      <c r="F662" s="7" t="s">
        <v>238</v>
      </c>
      <c r="G662" s="6" t="str">
        <f>VLOOKUP(E662,dicionario!$A$1:$C1061,2,0)</f>
        <v>Atta</v>
      </c>
      <c r="H662" s="6" t="str">
        <f>VLOOKUP(E662,dicionario!$A$1:$C1061,3,0)</f>
        <v>saúva</v>
      </c>
    </row>
    <row r="663">
      <c r="A663" s="13">
        <v>45568.0</v>
      </c>
      <c r="B663" s="4">
        <v>0.275</v>
      </c>
      <c r="C663" s="5" t="s">
        <v>26</v>
      </c>
      <c r="D663" s="5" t="s">
        <v>352</v>
      </c>
      <c r="E663" s="6" t="s">
        <v>366</v>
      </c>
      <c r="F663" s="7" t="s">
        <v>367</v>
      </c>
      <c r="G663" s="6" t="str">
        <f>VLOOKUP(E663,dicionario!$A$1:$C1062,2,0)</f>
        <v>Alternanthera ficoidea</v>
      </c>
      <c r="H663" s="6" t="str">
        <f>VLOOKUP(E663,dicionario!$A$1:$C1062,3,0)</f>
        <v>quebra-panela</v>
      </c>
    </row>
    <row r="664">
      <c r="A664" s="13">
        <v>45568.0</v>
      </c>
      <c r="B664" s="4">
        <v>0.27569444444444446</v>
      </c>
      <c r="C664" s="5" t="s">
        <v>26</v>
      </c>
      <c r="D664" s="5" t="s">
        <v>352</v>
      </c>
      <c r="E664" s="18" t="s">
        <v>53</v>
      </c>
      <c r="F664" s="7" t="s">
        <v>314</v>
      </c>
      <c r="G664" s="6" t="str">
        <f>VLOOKUP(E664,dicionario!$A$1:$C1063,2,0)</f>
        <v>Turnera subulata</v>
      </c>
      <c r="H664" s="6" t="str">
        <f>VLOOKUP(E664,dicionario!$A$1:$C1063,3,0)</f>
        <v>xanana</v>
      </c>
    </row>
    <row r="665">
      <c r="A665" s="13">
        <v>45568.0</v>
      </c>
      <c r="B665" s="4">
        <v>0.27569444444444446</v>
      </c>
      <c r="C665" s="5" t="s">
        <v>26</v>
      </c>
      <c r="D665" s="5" t="s">
        <v>352</v>
      </c>
      <c r="E665" s="18" t="s">
        <v>368</v>
      </c>
      <c r="F665" s="7" t="s">
        <v>35</v>
      </c>
      <c r="G665" s="6" t="str">
        <f>VLOOKUP(E665,dicionario!$A$1:$C1064,2,0)</f>
        <v>#N/A</v>
      </c>
      <c r="H665" s="6" t="str">
        <f>VLOOKUP(E665,dicionario!$A$1:$C1064,3,0)</f>
        <v>#N/A</v>
      </c>
    </row>
    <row r="666">
      <c r="A666" s="13">
        <v>45568.0</v>
      </c>
      <c r="B666" s="4">
        <v>0.27708333333333335</v>
      </c>
      <c r="C666" s="5" t="s">
        <v>26</v>
      </c>
      <c r="D666" s="5" t="s">
        <v>352</v>
      </c>
      <c r="E666" s="18" t="s">
        <v>86</v>
      </c>
      <c r="F666" s="7" t="s">
        <v>87</v>
      </c>
      <c r="G666" s="6" t="str">
        <f>VLOOKUP(E666,dicionario!$A$1:$C1065,2,0)</f>
        <v>Coereba flaveola</v>
      </c>
      <c r="H666" s="6" t="str">
        <f>VLOOKUP(E666,dicionario!$A$1:$C1065,3,0)</f>
        <v>cambacica</v>
      </c>
    </row>
    <row r="667">
      <c r="A667" s="13">
        <v>45568.0</v>
      </c>
      <c r="B667" s="4">
        <v>0.27708333333333335</v>
      </c>
      <c r="C667" s="5" t="s">
        <v>26</v>
      </c>
      <c r="D667" s="5" t="s">
        <v>352</v>
      </c>
      <c r="E667" s="6" t="s">
        <v>369</v>
      </c>
      <c r="F667" s="7" t="s">
        <v>35</v>
      </c>
      <c r="G667" s="6" t="str">
        <f>VLOOKUP(E667,dicionario!$A$1:$C1066,2,0)</f>
        <v>#N/A</v>
      </c>
      <c r="H667" s="6" t="str">
        <f>VLOOKUP(E667,dicionario!$A$1:$C1066,3,0)</f>
        <v>#N/A</v>
      </c>
    </row>
    <row r="668">
      <c r="A668" s="13">
        <v>45568.0</v>
      </c>
      <c r="B668" s="4">
        <v>0.2777777777777778</v>
      </c>
      <c r="C668" s="5" t="s">
        <v>26</v>
      </c>
      <c r="D668" s="5" t="s">
        <v>352</v>
      </c>
      <c r="E668" s="6" t="s">
        <v>370</v>
      </c>
      <c r="F668" s="7" t="s">
        <v>371</v>
      </c>
      <c r="G668" s="6" t="str">
        <f>VLOOKUP(E668,dicionario!$A$1:$C1067,2,0)</f>
        <v>Mimus saturninus</v>
      </c>
      <c r="H668" s="6" t="str">
        <f>VLOOKUP(E668,dicionario!$A$1:$C1067,3,0)</f>
        <v>sabiá-do-campo</v>
      </c>
    </row>
    <row r="669">
      <c r="A669" s="13">
        <v>45568.0</v>
      </c>
      <c r="B669" s="4">
        <v>0.2798611111111111</v>
      </c>
      <c r="C669" s="5" t="s">
        <v>26</v>
      </c>
      <c r="D669" s="5" t="s">
        <v>352</v>
      </c>
      <c r="E669" s="6" t="s">
        <v>243</v>
      </c>
      <c r="F669" s="7" t="s">
        <v>244</v>
      </c>
      <c r="G669" s="6" t="str">
        <f>VLOOKUP(E669,dicionario!$A$1:$C1068,2,0)</f>
        <v>Macroptilium atropurpureum</v>
      </c>
      <c r="H669" s="6" t="str">
        <f>VLOOKUP(E669,dicionario!$A$1:$C1068,3,0)</f>
        <v>feijão-de-pombo</v>
      </c>
    </row>
    <row r="670">
      <c r="A670" s="13">
        <v>45568.0</v>
      </c>
      <c r="B670" s="4">
        <v>0.2798611111111111</v>
      </c>
      <c r="C670" s="5" t="s">
        <v>26</v>
      </c>
      <c r="D670" s="5" t="s">
        <v>352</v>
      </c>
      <c r="E670" s="18" t="s">
        <v>253</v>
      </c>
      <c r="F670" s="7" t="s">
        <v>254</v>
      </c>
      <c r="G670" s="6" t="str">
        <f>VLOOKUP(E670,dicionario!$A$1:$C1069,2,0)</f>
        <v>Panicum maximum</v>
      </c>
      <c r="H670" s="6" t="str">
        <f>VLOOKUP(E670,dicionario!$A$1:$C1069,3,0)</f>
        <v>capim-colonião</v>
      </c>
    </row>
    <row r="671">
      <c r="A671" s="13">
        <v>45568.0</v>
      </c>
      <c r="B671" s="4">
        <v>0.28194444444444444</v>
      </c>
      <c r="C671" s="5" t="s">
        <v>33</v>
      </c>
      <c r="D671" s="5" t="s">
        <v>352</v>
      </c>
      <c r="E671" s="6" t="s">
        <v>65</v>
      </c>
      <c r="F671" s="7" t="s">
        <v>66</v>
      </c>
      <c r="G671" s="6" t="str">
        <f>VLOOKUP(E671,dicionario!$A$1:$C1070,2,0)</f>
        <v>Pitangus sulphutarus</v>
      </c>
      <c r="H671" s="6" t="str">
        <f>VLOOKUP(E671,dicionario!$A$1:$C1070,3,0)</f>
        <v>bem-te-vi</v>
      </c>
    </row>
    <row r="672">
      <c r="A672" s="13">
        <v>45568.0</v>
      </c>
      <c r="B672" s="4">
        <v>0.28194444444444444</v>
      </c>
      <c r="C672" s="5" t="s">
        <v>33</v>
      </c>
      <c r="D672" s="5" t="s">
        <v>352</v>
      </c>
      <c r="E672" s="6" t="s">
        <v>122</v>
      </c>
      <c r="F672" s="7" t="s">
        <v>123</v>
      </c>
      <c r="G672" s="6" t="str">
        <f>VLOOKUP(E672,dicionario!$A$1:$C1071,2,0)</f>
        <v>Todirostrum cinereum</v>
      </c>
      <c r="H672" s="6" t="str">
        <f>VLOOKUP(E672,dicionario!$A$1:$C1071,3,0)</f>
        <v>ferreirinho-relógio</v>
      </c>
    </row>
    <row r="673">
      <c r="A673" s="13">
        <v>45568.0</v>
      </c>
      <c r="B673" s="4">
        <v>0.28194444444444444</v>
      </c>
      <c r="C673" s="5" t="s">
        <v>33</v>
      </c>
      <c r="D673" s="5" t="s">
        <v>352</v>
      </c>
      <c r="E673" s="8" t="s">
        <v>143</v>
      </c>
      <c r="F673" s="7" t="s">
        <v>63</v>
      </c>
      <c r="G673" s="6" t="str">
        <f>VLOOKUP(E673,dicionario!$A$1:$C1072,2,0)</f>
        <v>Polybia</v>
      </c>
      <c r="H673" s="6" t="str">
        <f>VLOOKUP(E673,dicionario!$A$1:$C1072,3,0)</f>
        <v>vespa</v>
      </c>
    </row>
    <row r="674">
      <c r="A674" s="13">
        <v>45568.0</v>
      </c>
      <c r="B674" s="4">
        <v>0.28194444444444444</v>
      </c>
      <c r="C674" s="5" t="s">
        <v>33</v>
      </c>
      <c r="D674" s="5" t="s">
        <v>352</v>
      </c>
      <c r="E674" s="6" t="s">
        <v>111</v>
      </c>
      <c r="F674" s="7" t="s">
        <v>112</v>
      </c>
      <c r="G674" s="6" t="str">
        <f>VLOOKUP(E674,dicionario!$A$1:$C1073,2,0)</f>
        <v>Trigona spinipes</v>
      </c>
      <c r="H674" s="6" t="str">
        <f>VLOOKUP(E674,dicionario!$A$1:$C1073,3,0)</f>
        <v>abelha-cachorro</v>
      </c>
    </row>
    <row r="675">
      <c r="A675" s="13">
        <v>45568.0</v>
      </c>
      <c r="B675" s="4">
        <v>0.2826388888888889</v>
      </c>
      <c r="C675" s="5" t="s">
        <v>33</v>
      </c>
      <c r="D675" s="5" t="s">
        <v>352</v>
      </c>
      <c r="E675" s="18" t="s">
        <v>343</v>
      </c>
      <c r="F675" s="7" t="s">
        <v>192</v>
      </c>
      <c r="G675" s="6" t="str">
        <f>VLOOKUP(E675,dicionario!$A$1:$C1074,2,0)</f>
        <v>#N/A</v>
      </c>
      <c r="H675" s="6" t="str">
        <f>VLOOKUP(E675,dicionario!$A$1:$C1074,3,0)</f>
        <v>#N/A</v>
      </c>
    </row>
    <row r="676">
      <c r="A676" s="13">
        <v>45568.0</v>
      </c>
      <c r="B676" s="4">
        <v>0.2826388888888889</v>
      </c>
      <c r="C676" s="5" t="s">
        <v>33</v>
      </c>
      <c r="D676" s="5" t="s">
        <v>352</v>
      </c>
      <c r="E676" s="18" t="s">
        <v>20</v>
      </c>
      <c r="F676" s="7" t="s">
        <v>21</v>
      </c>
      <c r="G676" s="6" t="str">
        <f>VLOOKUP(E676,dicionario!$A$1:$C1075,2,0)</f>
        <v>Sicalis flaveola</v>
      </c>
      <c r="H676" s="6" t="str">
        <f>VLOOKUP(E676,dicionario!$A$1:$C1075,3,0)</f>
        <v>canário-da-terra</v>
      </c>
    </row>
    <row r="677">
      <c r="A677" s="13">
        <v>45568.0</v>
      </c>
      <c r="B677" s="4">
        <v>0.2826388888888889</v>
      </c>
      <c r="C677" s="5" t="s">
        <v>33</v>
      </c>
      <c r="D677" s="5" t="s">
        <v>352</v>
      </c>
      <c r="E677" s="18" t="s">
        <v>14</v>
      </c>
      <c r="F677" s="7" t="s">
        <v>15</v>
      </c>
      <c r="G677" s="6" t="str">
        <f>VLOOKUP(E677,dicionario!$A$1:$C1076,2,0)</f>
        <v>Spermacoce verticillata</v>
      </c>
      <c r="H677" s="6" t="str">
        <f>VLOOKUP(E677,dicionario!$A$1:$C1076,3,0)</f>
        <v>vassourinha-de-botão</v>
      </c>
    </row>
    <row r="678">
      <c r="A678" s="13">
        <v>45568.0</v>
      </c>
      <c r="B678" s="4">
        <v>0.2833333333333333</v>
      </c>
      <c r="C678" s="5" t="s">
        <v>33</v>
      </c>
      <c r="D678" s="5" t="s">
        <v>352</v>
      </c>
      <c r="E678" s="18" t="s">
        <v>109</v>
      </c>
      <c r="F678" s="7" t="s">
        <v>110</v>
      </c>
      <c r="G678" s="6" t="str">
        <f>VLOOKUP(E678,dicionario!$A$1:$C1077,2,0)</f>
        <v>Tillandsia stricta</v>
      </c>
      <c r="H678" s="6" t="str">
        <f>VLOOKUP(E678,dicionario!$A$1:$C1077,3,0)</f>
        <v>cravo-do-mato</v>
      </c>
    </row>
    <row r="679">
      <c r="A679" s="13">
        <v>45568.0</v>
      </c>
      <c r="B679" s="4">
        <v>0.2833333333333333</v>
      </c>
      <c r="C679" s="5" t="s">
        <v>33</v>
      </c>
      <c r="D679" s="5" t="s">
        <v>352</v>
      </c>
      <c r="E679" s="6" t="s">
        <v>202</v>
      </c>
      <c r="F679" s="7" t="s">
        <v>203</v>
      </c>
      <c r="G679" s="6" t="str">
        <f>VLOOKUP(E679,dicionario!$A$1:$C1078,2,0)</f>
        <v>Dysdercus</v>
      </c>
      <c r="H679" s="6" t="str">
        <f>VLOOKUP(E679,dicionario!$A$1:$C1078,3,0)</f>
        <v>percevejo-manchador</v>
      </c>
    </row>
    <row r="680">
      <c r="A680" s="13">
        <v>45568.0</v>
      </c>
      <c r="B680" s="4">
        <v>0.28402777777777777</v>
      </c>
      <c r="C680" s="5" t="s">
        <v>33</v>
      </c>
      <c r="D680" s="5" t="s">
        <v>352</v>
      </c>
      <c r="E680" s="6" t="s">
        <v>372</v>
      </c>
      <c r="F680" s="7" t="s">
        <v>373</v>
      </c>
      <c r="G680" s="6" t="str">
        <f>VLOOKUP(E680,dicionario!$A$1:$C1079,2,0)</f>
        <v>Rupornis magnirostris</v>
      </c>
      <c r="H680" s="6" t="str">
        <f>VLOOKUP(E680,dicionario!$A$1:$C1079,3,0)</f>
        <v>gavião-carijó</v>
      </c>
    </row>
    <row r="681">
      <c r="A681" s="13">
        <v>45568.0</v>
      </c>
      <c r="B681" s="4">
        <v>0.28402777777777777</v>
      </c>
      <c r="C681" s="5" t="s">
        <v>33</v>
      </c>
      <c r="D681" s="5" t="s">
        <v>352</v>
      </c>
      <c r="E681" s="6" t="s">
        <v>175</v>
      </c>
      <c r="F681" s="7" t="s">
        <v>176</v>
      </c>
      <c r="G681" s="6" t="str">
        <f>VLOOKUP(E681,dicionario!$A$1:$C1080,2,0)</f>
        <v>Turdus leucomelas</v>
      </c>
      <c r="H681" s="6" t="str">
        <f>VLOOKUP(E681,dicionario!$A$1:$C1080,3,0)</f>
        <v>sabiá-barranco</v>
      </c>
    </row>
    <row r="682">
      <c r="A682" s="13">
        <v>45568.0</v>
      </c>
      <c r="B682" s="4">
        <v>0.28402777777777777</v>
      </c>
      <c r="C682" s="5" t="s">
        <v>33</v>
      </c>
      <c r="D682" s="5" t="s">
        <v>352</v>
      </c>
      <c r="E682" s="6" t="s">
        <v>215</v>
      </c>
      <c r="F682" s="7" t="s">
        <v>216</v>
      </c>
      <c r="G682" s="6" t="str">
        <f>VLOOKUP(E682,dicionario!$A$1:$C1081,2,0)</f>
        <v>Pygochelidon cyanoleuca</v>
      </c>
      <c r="H682" s="6" t="str">
        <f>VLOOKUP(E682,dicionario!$A$1:$C1081,3,0)</f>
        <v>andorinha-pequena-de-casa</v>
      </c>
    </row>
    <row r="683">
      <c r="A683" s="13">
        <v>45568.0</v>
      </c>
      <c r="B683" s="4">
        <v>0.2847222222222222</v>
      </c>
      <c r="C683" s="5" t="s">
        <v>33</v>
      </c>
      <c r="D683" s="5" t="s">
        <v>352</v>
      </c>
      <c r="E683" s="6" t="s">
        <v>374</v>
      </c>
      <c r="F683" s="5" t="s">
        <v>35</v>
      </c>
      <c r="G683" s="6" t="str">
        <f>VLOOKUP(E683,dicionario!$A$1:$C1082,2,0)</f>
        <v>#N/A</v>
      </c>
      <c r="H683" s="6" t="str">
        <f>VLOOKUP(E683,dicionario!$A$1:$C1082,3,0)</f>
        <v>#N/A</v>
      </c>
    </row>
    <row r="684">
      <c r="A684" s="13">
        <v>45568.0</v>
      </c>
      <c r="B684" s="4">
        <v>0.2847222222222222</v>
      </c>
      <c r="C684" s="5" t="s">
        <v>33</v>
      </c>
      <c r="D684" s="5" t="s">
        <v>352</v>
      </c>
      <c r="E684" s="8" t="s">
        <v>375</v>
      </c>
      <c r="F684" s="5" t="s">
        <v>35</v>
      </c>
      <c r="G684" s="6" t="str">
        <f>VLOOKUP(E684,dicionario!$A$1:$C1083,2,0)</f>
        <v>Neoponera foetida</v>
      </c>
      <c r="H684" s="6" t="str">
        <f>VLOOKUP(E684,dicionario!$A$1:$C1083,3,0)</f>
        <v/>
      </c>
    </row>
    <row r="685">
      <c r="A685" s="13">
        <v>45568.0</v>
      </c>
      <c r="B685" s="4">
        <v>0.28541666666666665</v>
      </c>
      <c r="C685" s="5" t="s">
        <v>33</v>
      </c>
      <c r="D685" s="5" t="s">
        <v>352</v>
      </c>
      <c r="E685" s="6" t="s">
        <v>51</v>
      </c>
      <c r="F685" s="7" t="s">
        <v>321</v>
      </c>
      <c r="G685" s="6" t="str">
        <f>VLOOKUP(E685,dicionario!$A$1:$C1084,2,0)</f>
        <v>Solenopsis</v>
      </c>
      <c r="H685" s="6" t="str">
        <f>VLOOKUP(E685,dicionario!$A$1:$C1084,3,0)</f>
        <v>formiga-quente; formiga-lava-pés; formiga-de-fogo</v>
      </c>
    </row>
    <row r="686">
      <c r="A686" s="13">
        <v>45568.0</v>
      </c>
      <c r="B686" s="4">
        <v>0.28680555555555554</v>
      </c>
      <c r="C686" s="5" t="s">
        <v>33</v>
      </c>
      <c r="D686" s="5" t="s">
        <v>352</v>
      </c>
      <c r="E686" s="8" t="s">
        <v>38</v>
      </c>
      <c r="F686" s="5" t="s">
        <v>39</v>
      </c>
      <c r="G686" s="6" t="str">
        <f>VLOOKUP(E686,dicionario!$A$1:$C1085,2,0)</f>
        <v>Troglodytes musculus</v>
      </c>
      <c r="H686" s="6" t="str">
        <f>VLOOKUP(E686,dicionario!$A$1:$C1085,3,0)</f>
        <v>curruíra</v>
      </c>
    </row>
    <row r="687">
      <c r="A687" s="13">
        <v>45568.0</v>
      </c>
      <c r="B687" s="4">
        <v>0.2881944444444444</v>
      </c>
      <c r="C687" s="5" t="s">
        <v>33</v>
      </c>
      <c r="D687" s="5" t="s">
        <v>352</v>
      </c>
      <c r="E687" s="6" t="s">
        <v>251</v>
      </c>
      <c r="F687" s="7" t="s">
        <v>252</v>
      </c>
      <c r="G687" s="6" t="str">
        <f>VLOOKUP(E687,dicionario!$A$1:$C1086,2,0)</f>
        <v>Struthanthus flexicaulis</v>
      </c>
      <c r="H687" s="6" t="str">
        <f>VLOOKUP(E687,dicionario!$A$1:$C1086,3,0)</f>
        <v>erva-de-passarinho</v>
      </c>
    </row>
    <row r="688">
      <c r="A688" s="13">
        <v>45568.0</v>
      </c>
      <c r="B688" s="4">
        <v>0.2881944444444444</v>
      </c>
      <c r="C688" s="5" t="s">
        <v>33</v>
      </c>
      <c r="D688" s="5" t="s">
        <v>352</v>
      </c>
      <c r="E688" s="6" t="s">
        <v>286</v>
      </c>
      <c r="F688" s="7" t="s">
        <v>287</v>
      </c>
      <c r="G688" s="6" t="str">
        <f>VLOOKUP(E688,dicionario!$A$1:$C1087,2,0)</f>
        <v>Setaria parviflora</v>
      </c>
      <c r="H688" s="6" t="str">
        <f>VLOOKUP(E688,dicionario!$A$1:$C1087,3,0)</f>
        <v>capim-rabo-de-raposa</v>
      </c>
    </row>
    <row r="689">
      <c r="A689" s="13">
        <v>45568.0</v>
      </c>
      <c r="B689" s="4">
        <v>0.28888888888888886</v>
      </c>
      <c r="C689" s="5" t="s">
        <v>33</v>
      </c>
      <c r="D689" s="5" t="s">
        <v>352</v>
      </c>
      <c r="E689" s="6" t="s">
        <v>271</v>
      </c>
      <c r="F689" s="7" t="s">
        <v>272</v>
      </c>
      <c r="G689" s="6" t="str">
        <f>VLOOKUP(E689,dicionario!$A$1:$C1088,2,0)</f>
        <v>Cyanthillium cinereum</v>
      </c>
      <c r="H689" s="6" t="str">
        <f>VLOOKUP(E689,dicionario!$A$1:$C1088,3,0)</f>
        <v>emília</v>
      </c>
    </row>
    <row r="690">
      <c r="A690" s="13">
        <v>45568.0</v>
      </c>
      <c r="B690" s="4">
        <v>0.28888888888888886</v>
      </c>
      <c r="C690" s="5" t="s">
        <v>33</v>
      </c>
      <c r="D690" s="5" t="s">
        <v>352</v>
      </c>
      <c r="E690" s="6" t="s">
        <v>177</v>
      </c>
      <c r="F690" s="7" t="s">
        <v>178</v>
      </c>
      <c r="G690" s="6" t="str">
        <f>VLOOKUP(E690,dicionario!$A$1:$C1089,2,0)</f>
        <v>Elaenia flavogaster</v>
      </c>
      <c r="H690" s="6" t="str">
        <f>VLOOKUP(E690,dicionario!$A$1:$C1089,3,0)</f>
        <v>guaracava-de-barriga-amarela</v>
      </c>
    </row>
    <row r="691">
      <c r="A691" s="13">
        <v>45568.0</v>
      </c>
      <c r="B691" s="4">
        <v>0.28888888888888886</v>
      </c>
      <c r="C691" s="5" t="s">
        <v>33</v>
      </c>
      <c r="D691" s="5" t="s">
        <v>352</v>
      </c>
      <c r="E691" s="18" t="s">
        <v>88</v>
      </c>
      <c r="F691" s="7" t="s">
        <v>89</v>
      </c>
      <c r="G691" s="6" t="str">
        <f>VLOOKUP(E691,dicionario!$A$1:$C1090,2,0)</f>
        <v>Tyrannus melancolichus</v>
      </c>
      <c r="H691" s="6" t="str">
        <f>VLOOKUP(E691,dicionario!$A$1:$C1090,3,0)</f>
        <v>suiriri</v>
      </c>
    </row>
    <row r="692">
      <c r="A692" s="13">
        <v>45568.0</v>
      </c>
      <c r="B692" s="4">
        <v>0.28958333333333336</v>
      </c>
      <c r="C692" s="5" t="s">
        <v>33</v>
      </c>
      <c r="D692" s="5" t="s">
        <v>352</v>
      </c>
      <c r="E692" s="6" t="s">
        <v>258</v>
      </c>
      <c r="F692" s="7" t="s">
        <v>259</v>
      </c>
      <c r="G692" s="6" t="str">
        <f>VLOOKUP(E692,dicionario!$A$1:$C1091,2,0)</f>
        <v>Lantana camara</v>
      </c>
      <c r="H692" s="6" t="str">
        <f>VLOOKUP(E692,dicionario!$A$1:$C1091,3,0)</f>
        <v>lantana</v>
      </c>
    </row>
    <row r="693">
      <c r="A693" s="13">
        <v>45568.0</v>
      </c>
      <c r="B693" s="4">
        <v>0.29097222222222224</v>
      </c>
      <c r="C693" s="5" t="s">
        <v>40</v>
      </c>
      <c r="D693" s="5" t="s">
        <v>352</v>
      </c>
      <c r="E693" s="6" t="s">
        <v>65</v>
      </c>
      <c r="F693" s="7" t="s">
        <v>66</v>
      </c>
      <c r="G693" s="6" t="str">
        <f>VLOOKUP(E693,dicionario!$A$1:$C1092,2,0)</f>
        <v>Pitangus sulphutarus</v>
      </c>
      <c r="H693" s="6" t="str">
        <f>VLOOKUP(E693,dicionario!$A$1:$C1092,3,0)</f>
        <v>bem-te-vi</v>
      </c>
    </row>
    <row r="694">
      <c r="A694" s="13">
        <v>45568.0</v>
      </c>
      <c r="B694" s="4">
        <v>0.29097222222222224</v>
      </c>
      <c r="C694" s="5" t="s">
        <v>40</v>
      </c>
      <c r="D694" s="5" t="s">
        <v>352</v>
      </c>
      <c r="E694" s="18" t="s">
        <v>20</v>
      </c>
      <c r="F694" s="7" t="s">
        <v>21</v>
      </c>
      <c r="G694" s="6" t="str">
        <f>VLOOKUP(E694,dicionario!$A$1:$C1093,2,0)</f>
        <v>Sicalis flaveola</v>
      </c>
      <c r="H694" s="6" t="str">
        <f>VLOOKUP(E694,dicionario!$A$1:$C1093,3,0)</f>
        <v>canário-da-terra</v>
      </c>
    </row>
    <row r="695">
      <c r="A695" s="13">
        <v>45568.0</v>
      </c>
      <c r="B695" s="4">
        <v>0.29097222222222224</v>
      </c>
      <c r="C695" s="5" t="s">
        <v>40</v>
      </c>
      <c r="D695" s="5" t="s">
        <v>352</v>
      </c>
      <c r="E695" s="18" t="s">
        <v>225</v>
      </c>
      <c r="F695" s="7" t="s">
        <v>226</v>
      </c>
      <c r="G695" s="6" t="str">
        <f>VLOOKUP(E695,dicionario!$A$1:$C1094,2,0)</f>
        <v>Passer domesticus</v>
      </c>
      <c r="H695" s="6" t="str">
        <f>VLOOKUP(E695,dicionario!$A$1:$C1094,3,0)</f>
        <v>pardal</v>
      </c>
    </row>
    <row r="696">
      <c r="A696" s="13">
        <v>45568.0</v>
      </c>
      <c r="B696" s="4">
        <v>0.29097222222222224</v>
      </c>
      <c r="C696" s="5" t="s">
        <v>40</v>
      </c>
      <c r="D696" s="5" t="s">
        <v>352</v>
      </c>
      <c r="E696" s="6" t="s">
        <v>227</v>
      </c>
      <c r="F696" s="7" t="s">
        <v>228</v>
      </c>
      <c r="G696" s="6" t="str">
        <f>VLOOKUP(E696,dicionario!$A$1:$C1095,2,0)</f>
        <v>Indigofera hirsuta</v>
      </c>
      <c r="H696" s="6" t="str">
        <f>VLOOKUP(E696,dicionario!$A$1:$C1095,3,0)</f>
        <v>anileira</v>
      </c>
    </row>
    <row r="697">
      <c r="A697" s="13">
        <v>45568.0</v>
      </c>
      <c r="B697" s="21">
        <v>0.29097222222222224</v>
      </c>
      <c r="C697" s="5" t="s">
        <v>40</v>
      </c>
      <c r="D697" s="5" t="s">
        <v>352</v>
      </c>
      <c r="E697" s="18" t="s">
        <v>195</v>
      </c>
      <c r="F697" s="7" t="s">
        <v>196</v>
      </c>
      <c r="G697" s="6" t="str">
        <f>VLOOKUP(E697,dicionario!$A$1:$C1096,2,0)</f>
        <v>Priva lappulacea</v>
      </c>
      <c r="H697" s="6" t="str">
        <f>VLOOKUP(E697,dicionario!$A$1:$C1096,3,0)</f>
        <v>carrapicho</v>
      </c>
    </row>
    <row r="698">
      <c r="A698" s="13">
        <v>45568.0</v>
      </c>
      <c r="B698" s="21">
        <v>0.29097222222222224</v>
      </c>
      <c r="C698" s="5" t="s">
        <v>40</v>
      </c>
      <c r="D698" s="5" t="s">
        <v>352</v>
      </c>
      <c r="E698" s="18" t="s">
        <v>135</v>
      </c>
      <c r="F698" s="7" t="s">
        <v>136</v>
      </c>
      <c r="G698" s="6" t="str">
        <f>VLOOKUP(E698,dicionario!$A$1:$C1097,2,0)</f>
        <v>Tridax procumbens</v>
      </c>
      <c r="H698" s="6" t="str">
        <f>VLOOKUP(E698,dicionario!$A$1:$C1097,3,0)</f>
        <v>erva-de-touro</v>
      </c>
    </row>
    <row r="699">
      <c r="A699" s="13">
        <v>45568.0</v>
      </c>
      <c r="B699" s="22">
        <v>0.2916666666666667</v>
      </c>
      <c r="C699" s="5" t="s">
        <v>40</v>
      </c>
      <c r="D699" s="5" t="s">
        <v>352</v>
      </c>
      <c r="E699" s="18" t="s">
        <v>150</v>
      </c>
      <c r="F699" s="7" t="s">
        <v>376</v>
      </c>
      <c r="G699" s="6" t="str">
        <f>VLOOKUP(E699,dicionario!$A$1:$C1098,2,0)</f>
        <v>Amaranthus viridis</v>
      </c>
      <c r="H699" s="6" t="str">
        <f>VLOOKUP(E699,dicionario!$A$1:$C1098,3,0)</f>
        <v>caruru-de-mancha</v>
      </c>
    </row>
    <row r="700">
      <c r="A700" s="13">
        <v>45568.0</v>
      </c>
      <c r="B700" s="4">
        <v>0.2916666666666667</v>
      </c>
      <c r="C700" s="5" t="s">
        <v>40</v>
      </c>
      <c r="D700" s="5" t="s">
        <v>352</v>
      </c>
      <c r="E700" s="6" t="s">
        <v>355</v>
      </c>
      <c r="F700" s="7" t="s">
        <v>356</v>
      </c>
      <c r="G700" s="6" t="str">
        <f>VLOOKUP(E700,dicionario!$A$1:$C1099,2,0)</f>
        <v>Boerhavia diffusa</v>
      </c>
      <c r="H700" s="6" t="str">
        <f>VLOOKUP(E700,dicionario!$A$1:$C1099,3,0)</f>
        <v>erva-tostão</v>
      </c>
    </row>
    <row r="701">
      <c r="A701" s="13">
        <v>45568.0</v>
      </c>
      <c r="B701" s="4">
        <v>0.2916666666666667</v>
      </c>
      <c r="C701" s="5" t="s">
        <v>40</v>
      </c>
      <c r="D701" s="5" t="s">
        <v>352</v>
      </c>
      <c r="E701" s="6" t="s">
        <v>296</v>
      </c>
      <c r="F701" s="7" t="s">
        <v>377</v>
      </c>
      <c r="G701" s="6" t="str">
        <f>VLOOKUP(E701,dicionario!$A$1:$C1100,2,0)</f>
        <v>Richardia brasiliensis</v>
      </c>
      <c r="H701" s="6" t="str">
        <f>VLOOKUP(E701,dicionario!$A$1:$C1100,3,0)</f>
        <v>poaia-branca</v>
      </c>
    </row>
    <row r="702">
      <c r="A702" s="13">
        <v>45568.0</v>
      </c>
      <c r="B702" s="4">
        <v>0.2923611111111111</v>
      </c>
      <c r="C702" s="5" t="s">
        <v>40</v>
      </c>
      <c r="D702" s="5" t="s">
        <v>352</v>
      </c>
      <c r="E702" s="18" t="s">
        <v>53</v>
      </c>
      <c r="F702" s="7" t="s">
        <v>314</v>
      </c>
      <c r="G702" s="6" t="str">
        <f>VLOOKUP(E702,dicionario!$A$1:$C1101,2,0)</f>
        <v>Turnera subulata</v>
      </c>
      <c r="H702" s="6" t="str">
        <f>VLOOKUP(E702,dicionario!$A$1:$C1101,3,0)</f>
        <v>xanana</v>
      </c>
    </row>
    <row r="703">
      <c r="A703" s="13">
        <v>45568.0</v>
      </c>
      <c r="B703" s="4">
        <v>0.2923611111111111</v>
      </c>
      <c r="C703" s="5" t="s">
        <v>40</v>
      </c>
      <c r="D703" s="5" t="s">
        <v>352</v>
      </c>
      <c r="E703" s="6" t="s">
        <v>378</v>
      </c>
      <c r="F703" s="7" t="s">
        <v>205</v>
      </c>
      <c r="G703" s="6" t="str">
        <f>VLOOKUP(E703,dicionario!$A$1:$C1102,2,0)</f>
        <v>Polistes</v>
      </c>
      <c r="H703" s="6" t="str">
        <f>VLOOKUP(E703,dicionario!$A$1:$C1102,3,0)</f>
        <v>marimbondo</v>
      </c>
    </row>
    <row r="704">
      <c r="A704" s="13">
        <v>45568.0</v>
      </c>
      <c r="B704" s="4">
        <v>0.2923611111111111</v>
      </c>
      <c r="C704" s="5" t="s">
        <v>40</v>
      </c>
      <c r="D704" s="5" t="s">
        <v>352</v>
      </c>
      <c r="E704" s="6" t="s">
        <v>177</v>
      </c>
      <c r="F704" s="7" t="s">
        <v>178</v>
      </c>
      <c r="G704" s="6" t="str">
        <f>VLOOKUP(E704,dicionario!$A$1:$C1103,2,0)</f>
        <v>Elaenia flavogaster</v>
      </c>
      <c r="H704" s="6" t="str">
        <f>VLOOKUP(E704,dicionario!$A$1:$C1103,3,0)</f>
        <v>guaracava-de-barriga-amarela</v>
      </c>
    </row>
    <row r="705">
      <c r="A705" s="13">
        <v>45568.0</v>
      </c>
      <c r="B705" s="4">
        <v>0.29375</v>
      </c>
      <c r="C705" s="5" t="s">
        <v>40</v>
      </c>
      <c r="D705" s="5" t="s">
        <v>352</v>
      </c>
      <c r="E705" s="6" t="s">
        <v>113</v>
      </c>
      <c r="F705" s="7" t="s">
        <v>114</v>
      </c>
      <c r="G705" s="6" t="str">
        <f>VLOOKUP(E705,dicionario!$A$1:$C1104,2,0)</f>
        <v>Columbina talpacoti</v>
      </c>
      <c r="H705" s="6" t="str">
        <f>VLOOKUP(E705,dicionario!$A$1:$C1104,3,0)</f>
        <v>rolinha-roxa</v>
      </c>
    </row>
    <row r="706">
      <c r="A706" s="13">
        <v>45568.0</v>
      </c>
      <c r="B706" s="4">
        <v>0.29444444444444445</v>
      </c>
      <c r="C706" s="5" t="s">
        <v>40</v>
      </c>
      <c r="D706" s="5" t="s">
        <v>352</v>
      </c>
      <c r="E706" s="6" t="s">
        <v>379</v>
      </c>
      <c r="F706" s="5" t="s">
        <v>35</v>
      </c>
      <c r="G706" s="6" t="str">
        <f>VLOOKUP(E706,dicionario!$A$1:$C1105,2,0)</f>
        <v>#N/A</v>
      </c>
      <c r="H706" s="6" t="str">
        <f>VLOOKUP(E706,dicionario!$A$1:$C1105,3,0)</f>
        <v>#N/A</v>
      </c>
    </row>
    <row r="707">
      <c r="A707" s="13">
        <v>45568.0</v>
      </c>
      <c r="B707" s="4">
        <v>0.29583333333333334</v>
      </c>
      <c r="C707" s="5" t="s">
        <v>40</v>
      </c>
      <c r="D707" s="5" t="s">
        <v>352</v>
      </c>
      <c r="E707" s="6" t="s">
        <v>86</v>
      </c>
      <c r="F707" s="7" t="s">
        <v>87</v>
      </c>
      <c r="G707" s="6" t="str">
        <f>VLOOKUP(E707,dicionario!$A$1:$C1106,2,0)</f>
        <v>Coereba flaveola</v>
      </c>
      <c r="H707" s="6" t="str">
        <f>VLOOKUP(E707,dicionario!$A$1:$C1106,3,0)</f>
        <v>cambacica</v>
      </c>
    </row>
    <row r="708">
      <c r="A708" s="13">
        <v>45568.0</v>
      </c>
      <c r="B708" s="4">
        <v>0.2965277777777778</v>
      </c>
      <c r="C708" s="5" t="s">
        <v>40</v>
      </c>
      <c r="D708" s="5" t="s">
        <v>352</v>
      </c>
      <c r="E708" s="8" t="s">
        <v>46</v>
      </c>
      <c r="F708" s="5" t="s">
        <v>47</v>
      </c>
      <c r="G708" s="6" t="str">
        <f>VLOOKUP(E708,dicionario!$A$1:$C1107,2,0)</f>
        <v>Chionomesa fimbriata</v>
      </c>
      <c r="H708" s="6" t="str">
        <f>VLOOKUP(E708,dicionario!$A$1:$C1107,3,0)</f>
        <v>beija-flor-de-garganta-verde</v>
      </c>
    </row>
    <row r="709">
      <c r="A709" s="13">
        <v>45568.0</v>
      </c>
      <c r="B709" s="4">
        <v>0.2965277777777778</v>
      </c>
      <c r="C709" s="5" t="s">
        <v>40</v>
      </c>
      <c r="D709" s="5" t="s">
        <v>352</v>
      </c>
      <c r="E709" s="6" t="s">
        <v>72</v>
      </c>
      <c r="F709" s="7" t="s">
        <v>73</v>
      </c>
      <c r="G709" s="6" t="str">
        <f>VLOOKUP(E709,dicionario!$A$1:$C1108,2,0)</f>
        <v>Thraupis palmarum</v>
      </c>
      <c r="H709" s="6" t="str">
        <f>VLOOKUP(E709,dicionario!$A$1:$C1108,3,0)</f>
        <v>sanhaço-do-coqueiro</v>
      </c>
    </row>
    <row r="710">
      <c r="A710" s="13">
        <v>45568.0</v>
      </c>
      <c r="B710" s="4">
        <v>0.2965277777777778</v>
      </c>
      <c r="C710" s="5" t="s">
        <v>40</v>
      </c>
      <c r="D710" s="5" t="s">
        <v>352</v>
      </c>
      <c r="E710" s="15" t="s">
        <v>38</v>
      </c>
      <c r="F710" s="5" t="s">
        <v>39</v>
      </c>
      <c r="G710" s="6" t="str">
        <f>VLOOKUP(E710,dicionario!$A$1:$C1109,2,0)</f>
        <v>Troglodytes musculus</v>
      </c>
      <c r="H710" s="6" t="str">
        <f>VLOOKUP(E710,dicionario!$A$1:$C1109,3,0)</f>
        <v>curruíra</v>
      </c>
    </row>
    <row r="711">
      <c r="A711" s="13">
        <v>45568.0</v>
      </c>
      <c r="B711" s="4">
        <v>0.29791666666666666</v>
      </c>
      <c r="C711" s="5" t="s">
        <v>40</v>
      </c>
      <c r="D711" s="5" t="s">
        <v>352</v>
      </c>
      <c r="E711" s="6" t="s">
        <v>215</v>
      </c>
      <c r="F711" s="7" t="s">
        <v>216</v>
      </c>
      <c r="G711" s="6" t="str">
        <f>VLOOKUP(E711,dicionario!$A$1:$C1110,2,0)</f>
        <v>Pygochelidon cyanoleuca</v>
      </c>
      <c r="H711" s="6" t="str">
        <f>VLOOKUP(E711,dicionario!$A$1:$C1110,3,0)</f>
        <v>andorinha-pequena-de-casa</v>
      </c>
    </row>
    <row r="712">
      <c r="A712" s="13">
        <v>45568.0</v>
      </c>
      <c r="B712" s="4">
        <v>0.2986111111111111</v>
      </c>
      <c r="C712" s="5" t="s">
        <v>40</v>
      </c>
      <c r="D712" s="5" t="s">
        <v>352</v>
      </c>
      <c r="E712" s="6" t="s">
        <v>200</v>
      </c>
      <c r="F712" s="7" t="s">
        <v>201</v>
      </c>
      <c r="G712" s="6" t="str">
        <f>VLOOKUP(E712,dicionario!$A$1:$C1111,2,0)</f>
        <v>Columbina picui </v>
      </c>
      <c r="H712" s="6" t="str">
        <f>VLOOKUP(E712,dicionario!$A$1:$C1111,3,0)</f>
        <v>rolinha-picuí</v>
      </c>
    </row>
    <row r="713">
      <c r="A713" s="13">
        <v>45568.0</v>
      </c>
      <c r="B713" s="4">
        <v>0.2986111111111111</v>
      </c>
      <c r="C713" s="5" t="s">
        <v>40</v>
      </c>
      <c r="D713" s="5" t="s">
        <v>352</v>
      </c>
      <c r="E713" s="18" t="s">
        <v>343</v>
      </c>
      <c r="F713" s="7" t="s">
        <v>192</v>
      </c>
      <c r="G713" s="6" t="str">
        <f>VLOOKUP(E713,dicionario!$A$1:$C1112,2,0)</f>
        <v>#N/A</v>
      </c>
      <c r="H713" s="6" t="str">
        <f>VLOOKUP(E713,dicionario!$A$1:$C1112,3,0)</f>
        <v>#N/A</v>
      </c>
    </row>
    <row r="714">
      <c r="A714" s="13">
        <v>45568.0</v>
      </c>
      <c r="B714" s="4">
        <v>0.3013888888888889</v>
      </c>
      <c r="C714" s="5" t="s">
        <v>40</v>
      </c>
      <c r="D714" s="5" t="s">
        <v>352</v>
      </c>
      <c r="E714" s="18" t="s">
        <v>213</v>
      </c>
      <c r="F714" s="7" t="s">
        <v>214</v>
      </c>
      <c r="G714" s="6" t="str">
        <f>VLOOKUP(E714,dicionario!$A$1:$C1113,2,0)</f>
        <v>Myiozetetes similis</v>
      </c>
      <c r="H714" s="6" t="str">
        <f>VLOOKUP(E714,dicionario!$A$1:$C1113,3,0)</f>
        <v>bentevizinho-de-penacho-vermelho</v>
      </c>
    </row>
    <row r="715">
      <c r="A715" s="13">
        <v>45568.0</v>
      </c>
      <c r="B715" s="4">
        <v>0.3020833333333333</v>
      </c>
      <c r="C715" s="5" t="s">
        <v>50</v>
      </c>
      <c r="D715" s="5" t="s">
        <v>352</v>
      </c>
      <c r="E715" s="6" t="s">
        <v>158</v>
      </c>
      <c r="F715" s="7" t="s">
        <v>159</v>
      </c>
      <c r="G715" s="6" t="str">
        <f>VLOOKUP(E715,dicionario!$A$1:$C1114,2,0)</f>
        <v>Nephilingis cruentata</v>
      </c>
      <c r="H715" s="6" t="str">
        <f>VLOOKUP(E715,dicionario!$A$1:$C1114,3,0)</f>
        <v>maria-bola</v>
      </c>
    </row>
    <row r="716">
      <c r="A716" s="13">
        <v>45568.0</v>
      </c>
      <c r="B716" s="4">
        <v>0.30625</v>
      </c>
      <c r="C716" s="5" t="s">
        <v>50</v>
      </c>
      <c r="D716" s="5" t="s">
        <v>352</v>
      </c>
      <c r="E716" s="18" t="s">
        <v>213</v>
      </c>
      <c r="F716" s="7" t="s">
        <v>214</v>
      </c>
      <c r="G716" s="6" t="str">
        <f>VLOOKUP(E716,dicionario!$A$1:$C1115,2,0)</f>
        <v>Myiozetetes similis</v>
      </c>
      <c r="H716" s="6" t="str">
        <f>VLOOKUP(E716,dicionario!$A$1:$C1115,3,0)</f>
        <v>bentevizinho-de-penacho-vermelho</v>
      </c>
    </row>
    <row r="717">
      <c r="A717" s="13">
        <v>45568.0</v>
      </c>
      <c r="B717" s="4">
        <v>0.30625</v>
      </c>
      <c r="C717" s="5" t="s">
        <v>50</v>
      </c>
      <c r="D717" s="5" t="s">
        <v>352</v>
      </c>
      <c r="E717" s="6" t="s">
        <v>122</v>
      </c>
      <c r="F717" s="7" t="s">
        <v>123</v>
      </c>
      <c r="G717" s="6" t="str">
        <f>VLOOKUP(E717,dicionario!$A$1:$C1116,2,0)</f>
        <v>Todirostrum cinereum</v>
      </c>
      <c r="H717" s="6" t="str">
        <f>VLOOKUP(E717,dicionario!$A$1:$C1116,3,0)</f>
        <v>ferreirinho-relógio</v>
      </c>
    </row>
    <row r="718">
      <c r="A718" s="13">
        <v>45568.0</v>
      </c>
      <c r="B718" s="4">
        <v>0.3076388888888889</v>
      </c>
      <c r="C718" s="5" t="s">
        <v>50</v>
      </c>
      <c r="D718" s="5" t="s">
        <v>352</v>
      </c>
      <c r="E718" s="6" t="s">
        <v>72</v>
      </c>
      <c r="F718" s="7" t="s">
        <v>73</v>
      </c>
      <c r="G718" s="6" t="str">
        <f>VLOOKUP(E718,dicionario!$A$1:$C1117,2,0)</f>
        <v>Thraupis palmarum</v>
      </c>
      <c r="H718" s="6" t="str">
        <f>VLOOKUP(E718,dicionario!$A$1:$C1117,3,0)</f>
        <v>sanhaço-do-coqueiro</v>
      </c>
    </row>
    <row r="719">
      <c r="A719" s="13">
        <v>45568.0</v>
      </c>
      <c r="B719" s="4">
        <v>0.3076388888888889</v>
      </c>
      <c r="C719" s="5" t="s">
        <v>50</v>
      </c>
      <c r="D719" s="5" t="s">
        <v>352</v>
      </c>
      <c r="E719" s="6" t="s">
        <v>308</v>
      </c>
      <c r="F719" s="7" t="s">
        <v>309</v>
      </c>
      <c r="G719" s="6" t="str">
        <f>VLOOKUP(E719,dicionario!$A$1:$C1118,2,0)</f>
        <v>#N/A</v>
      </c>
      <c r="H719" s="6" t="str">
        <f>VLOOKUP(E719,dicionario!$A$1:$C1118,3,0)</f>
        <v>#N/A</v>
      </c>
    </row>
    <row r="720">
      <c r="A720" s="13">
        <v>45568.0</v>
      </c>
      <c r="B720" s="4">
        <v>0.3076388888888889</v>
      </c>
      <c r="C720" s="5" t="s">
        <v>50</v>
      </c>
      <c r="D720" s="5" t="s">
        <v>352</v>
      </c>
      <c r="E720" s="6" t="s">
        <v>105</v>
      </c>
      <c r="F720" s="7" t="s">
        <v>106</v>
      </c>
      <c r="G720" s="6" t="str">
        <f>VLOOKUP(E720,dicionario!$A$1:$C1119,2,0)</f>
        <v>Progne tapera</v>
      </c>
      <c r="H720" s="6" t="str">
        <f>VLOOKUP(E720,dicionario!$A$1:$C1119,3,0)</f>
        <v>andorinha-do-campo</v>
      </c>
    </row>
    <row r="721">
      <c r="A721" s="13">
        <v>45568.0</v>
      </c>
      <c r="B721" s="4">
        <v>0.3076388888888889</v>
      </c>
      <c r="C721" s="5" t="s">
        <v>50</v>
      </c>
      <c r="D721" s="5" t="s">
        <v>352</v>
      </c>
      <c r="E721" s="6" t="s">
        <v>177</v>
      </c>
      <c r="F721" s="7" t="s">
        <v>178</v>
      </c>
      <c r="G721" s="6" t="str">
        <f>VLOOKUP(E721,dicionario!$A$1:$C1120,2,0)</f>
        <v>Elaenia flavogaster</v>
      </c>
      <c r="H721" s="6" t="str">
        <f>VLOOKUP(E721,dicionario!$A$1:$C1120,3,0)</f>
        <v>guaracava-de-barriga-amarela</v>
      </c>
    </row>
    <row r="722">
      <c r="A722" s="13">
        <v>45568.0</v>
      </c>
      <c r="B722" s="4">
        <v>0.3076388888888889</v>
      </c>
      <c r="C722" s="5" t="s">
        <v>50</v>
      </c>
      <c r="D722" s="5" t="s">
        <v>352</v>
      </c>
      <c r="E722" s="6" t="s">
        <v>16</v>
      </c>
      <c r="F722" s="7" t="s">
        <v>17</v>
      </c>
      <c r="G722" s="6" t="str">
        <f>VLOOKUP(E722,dicionario!$A$1:$C1121,2,0)</f>
        <v>Eupetomena macroura</v>
      </c>
      <c r="H722" s="6" t="str">
        <f>VLOOKUP(E722,dicionario!$A$1:$C1121,3,0)</f>
        <v>beija-flor-tesoura</v>
      </c>
    </row>
    <row r="723">
      <c r="A723" s="13">
        <v>45568.0</v>
      </c>
      <c r="B723" s="4">
        <v>0.30833333333333335</v>
      </c>
      <c r="C723" s="5" t="s">
        <v>50</v>
      </c>
      <c r="D723" s="5" t="s">
        <v>352</v>
      </c>
      <c r="E723" s="18" t="s">
        <v>253</v>
      </c>
      <c r="F723" s="7" t="s">
        <v>254</v>
      </c>
      <c r="G723" s="6" t="str">
        <f>VLOOKUP(E723,dicionario!$A$1:$C1122,2,0)</f>
        <v>Panicum maximum</v>
      </c>
      <c r="H723" s="6" t="str">
        <f>VLOOKUP(E723,dicionario!$A$1:$C1122,3,0)</f>
        <v>capim-colonião</v>
      </c>
    </row>
    <row r="724">
      <c r="A724" s="13">
        <v>45568.0</v>
      </c>
      <c r="B724" s="4">
        <v>0.30972222222222223</v>
      </c>
      <c r="C724" s="5" t="s">
        <v>50</v>
      </c>
      <c r="D724" s="5" t="s">
        <v>352</v>
      </c>
      <c r="E724" s="6" t="s">
        <v>215</v>
      </c>
      <c r="F724" s="7" t="s">
        <v>216</v>
      </c>
      <c r="G724" s="6" t="str">
        <f>VLOOKUP(E724,dicionario!$A$1:$C1123,2,0)</f>
        <v>Pygochelidon cyanoleuca</v>
      </c>
      <c r="H724" s="6" t="str">
        <f>VLOOKUP(E724,dicionario!$A$1:$C1123,3,0)</f>
        <v>andorinha-pequena-de-casa</v>
      </c>
    </row>
    <row r="725">
      <c r="A725" s="13">
        <v>45568.0</v>
      </c>
      <c r="B725" s="4">
        <v>0.30972222222222223</v>
      </c>
      <c r="C725" s="5" t="s">
        <v>50</v>
      </c>
      <c r="D725" s="5" t="s">
        <v>352</v>
      </c>
      <c r="E725" s="6" t="s">
        <v>227</v>
      </c>
      <c r="F725" s="7" t="s">
        <v>228</v>
      </c>
      <c r="G725" s="6" t="str">
        <f>VLOOKUP(E725,dicionario!$A$1:$C1124,2,0)</f>
        <v>Indigofera hirsuta</v>
      </c>
      <c r="H725" s="6" t="str">
        <f>VLOOKUP(E725,dicionario!$A$1:$C1124,3,0)</f>
        <v>anileira</v>
      </c>
    </row>
    <row r="726">
      <c r="A726" s="13">
        <v>45568.0</v>
      </c>
      <c r="B726" s="4">
        <v>0.30972222222222223</v>
      </c>
      <c r="C726" s="5" t="s">
        <v>50</v>
      </c>
      <c r="D726" s="5" t="s">
        <v>352</v>
      </c>
      <c r="E726" s="18" t="s">
        <v>150</v>
      </c>
      <c r="F726" s="7" t="s">
        <v>151</v>
      </c>
      <c r="G726" s="6" t="str">
        <f>VLOOKUP(E726,dicionario!$A$1:$C1125,2,0)</f>
        <v>Amaranthus viridis</v>
      </c>
      <c r="H726" s="6" t="str">
        <f>VLOOKUP(E726,dicionario!$A$1:$C1125,3,0)</f>
        <v>caruru-de-mancha</v>
      </c>
    </row>
    <row r="727">
      <c r="A727" s="13">
        <v>45568.0</v>
      </c>
      <c r="B727" s="4">
        <v>0.30972222222222223</v>
      </c>
      <c r="C727" s="5" t="s">
        <v>50</v>
      </c>
      <c r="D727" s="5" t="s">
        <v>352</v>
      </c>
      <c r="E727" s="6" t="s">
        <v>148</v>
      </c>
      <c r="F727" s="7" t="s">
        <v>149</v>
      </c>
      <c r="G727" s="6" t="str">
        <f>VLOOKUP(E727,dicionario!$A$1:$C1126,2,0)</f>
        <v>Parthenium hysterophorus</v>
      </c>
      <c r="H727" s="6" t="str">
        <f>VLOOKUP(E727,dicionario!$A$1:$C1126,3,0)</f>
        <v>losna-branca</v>
      </c>
    </row>
    <row r="728">
      <c r="A728" s="13">
        <v>45568.0</v>
      </c>
      <c r="B728" s="4">
        <v>0.30972222222222223</v>
      </c>
      <c r="C728" s="5" t="s">
        <v>50</v>
      </c>
      <c r="D728" s="5" t="s">
        <v>352</v>
      </c>
      <c r="E728" s="18" t="s">
        <v>53</v>
      </c>
      <c r="F728" s="7" t="s">
        <v>314</v>
      </c>
      <c r="G728" s="6" t="str">
        <f>VLOOKUP(E728,dicionario!$A$1:$C1127,2,0)</f>
        <v>Turnera subulata</v>
      </c>
      <c r="H728" s="6" t="str">
        <f>VLOOKUP(E728,dicionario!$A$1:$C1127,3,0)</f>
        <v>xanana</v>
      </c>
    </row>
    <row r="729">
      <c r="A729" s="13">
        <v>45568.0</v>
      </c>
      <c r="B729" s="4">
        <v>0.30972222222222223</v>
      </c>
      <c r="C729" s="5" t="s">
        <v>50</v>
      </c>
      <c r="D729" s="5" t="s">
        <v>352</v>
      </c>
      <c r="E729" s="6" t="s">
        <v>195</v>
      </c>
      <c r="F729" s="7" t="s">
        <v>196</v>
      </c>
      <c r="G729" s="6" t="str">
        <f>VLOOKUP(E729,dicionario!$A$1:$C1128,2,0)</f>
        <v>Priva lappulacea</v>
      </c>
      <c r="H729" s="6" t="str">
        <f>VLOOKUP(E729,dicionario!$A$1:$C1128,3,0)</f>
        <v>carrapicho</v>
      </c>
    </row>
    <row r="730">
      <c r="A730" s="13">
        <v>45568.0</v>
      </c>
      <c r="B730" s="4">
        <v>0.30972222222222223</v>
      </c>
      <c r="C730" s="5" t="s">
        <v>50</v>
      </c>
      <c r="D730" s="5" t="s">
        <v>352</v>
      </c>
      <c r="E730" s="18" t="s">
        <v>135</v>
      </c>
      <c r="F730" s="7" t="s">
        <v>136</v>
      </c>
      <c r="G730" s="6" t="str">
        <f>VLOOKUP(E730,dicionario!$A$1:$C1129,2,0)</f>
        <v>Tridax procumbens</v>
      </c>
      <c r="H730" s="6" t="str">
        <f>VLOOKUP(E730,dicionario!$A$1:$C1129,3,0)</f>
        <v>erva-de-touro</v>
      </c>
    </row>
    <row r="731">
      <c r="A731" s="13">
        <v>45568.0</v>
      </c>
      <c r="B731" s="4">
        <v>0.3104166666666667</v>
      </c>
      <c r="C731" s="5" t="s">
        <v>50</v>
      </c>
      <c r="D731" s="5" t="s">
        <v>352</v>
      </c>
      <c r="E731" s="6" t="s">
        <v>239</v>
      </c>
      <c r="F731" s="7" t="s">
        <v>240</v>
      </c>
      <c r="G731" s="6" t="str">
        <f>VLOOKUP(E731,dicionario!$A$1:$C1130,2,0)</f>
        <v>Gomphrena celosioides</v>
      </c>
      <c r="H731" s="6" t="str">
        <f>VLOOKUP(E731,dicionario!$A$1:$C1130,3,0)</f>
        <v>perpétua-branca</v>
      </c>
    </row>
    <row r="732">
      <c r="A732" s="13">
        <v>45568.0</v>
      </c>
      <c r="B732" s="4">
        <v>0.3104166666666667</v>
      </c>
      <c r="C732" s="5" t="s">
        <v>50</v>
      </c>
      <c r="D732" s="5" t="s">
        <v>352</v>
      </c>
      <c r="E732" s="6" t="s">
        <v>55</v>
      </c>
      <c r="F732" s="5" t="s">
        <v>56</v>
      </c>
      <c r="G732" s="6" t="str">
        <f>VLOOKUP(E732,dicionario!$A$1:$C1131,2,0)</f>
        <v>Cubaris murina</v>
      </c>
      <c r="H732" s="6" t="str">
        <f>VLOOKUP(E732,dicionario!$A$1:$C1131,3,0)</f>
        <v>tatuzinho-de-jardim</v>
      </c>
    </row>
    <row r="733">
      <c r="A733" s="13">
        <v>45568.0</v>
      </c>
      <c r="B733" s="4">
        <v>0.3104166666666667</v>
      </c>
      <c r="C733" s="5" t="s">
        <v>50</v>
      </c>
      <c r="D733" s="5" t="s">
        <v>352</v>
      </c>
      <c r="E733" s="6" t="s">
        <v>86</v>
      </c>
      <c r="F733" s="7" t="s">
        <v>87</v>
      </c>
      <c r="G733" s="6" t="str">
        <f>VLOOKUP(E733,dicionario!$A$1:$C1132,2,0)</f>
        <v>Coereba flaveola</v>
      </c>
      <c r="H733" s="6" t="str">
        <f>VLOOKUP(E733,dicionario!$A$1:$C1132,3,0)</f>
        <v>cambacica</v>
      </c>
    </row>
    <row r="734">
      <c r="A734" s="13">
        <v>45568.0</v>
      </c>
      <c r="B734" s="4">
        <v>0.3111111111111111</v>
      </c>
      <c r="C734" s="5" t="s">
        <v>50</v>
      </c>
      <c r="D734" s="5" t="s">
        <v>352</v>
      </c>
      <c r="E734" s="6" t="s">
        <v>368</v>
      </c>
      <c r="F734" s="7" t="s">
        <v>35</v>
      </c>
      <c r="G734" s="6" t="str">
        <f>VLOOKUP(E734,dicionario!$A$1:$C1133,2,0)</f>
        <v>#N/A</v>
      </c>
      <c r="H734" s="6" t="str">
        <f>VLOOKUP(E734,dicionario!$A$1:$C1133,3,0)</f>
        <v>#N/A</v>
      </c>
    </row>
    <row r="735">
      <c r="A735" s="13">
        <v>45568.0</v>
      </c>
      <c r="B735" s="4">
        <v>0.3111111111111111</v>
      </c>
      <c r="C735" s="5" t="s">
        <v>50</v>
      </c>
      <c r="D735" s="5" t="s">
        <v>352</v>
      </c>
      <c r="E735" s="6" t="s">
        <v>364</v>
      </c>
      <c r="F735" s="7" t="s">
        <v>365</v>
      </c>
      <c r="G735" s="6" t="str">
        <f>VLOOKUP(E735,dicionario!$A$1:$C1134,2,0)</f>
        <v>#N/A</v>
      </c>
      <c r="H735" s="6" t="str">
        <f>VLOOKUP(E735,dicionario!$A$1:$C1134,3,0)</f>
        <v>#N/A</v>
      </c>
    </row>
    <row r="736">
      <c r="A736" s="13">
        <v>45568.0</v>
      </c>
      <c r="B736" s="4">
        <v>0.31319444444444444</v>
      </c>
      <c r="C736" s="5" t="s">
        <v>50</v>
      </c>
      <c r="D736" s="5" t="s">
        <v>352</v>
      </c>
      <c r="E736" s="6" t="s">
        <v>111</v>
      </c>
      <c r="F736" s="7" t="s">
        <v>112</v>
      </c>
      <c r="G736" s="6" t="str">
        <f>VLOOKUP(E736,dicionario!$A$1:$C1135,2,0)</f>
        <v>Trigona spinipes</v>
      </c>
      <c r="H736" s="6" t="str">
        <f>VLOOKUP(E736,dicionario!$A$1:$C1135,3,0)</f>
        <v>abelha-cachorro</v>
      </c>
    </row>
    <row r="737">
      <c r="A737" s="13">
        <v>45568.0</v>
      </c>
      <c r="B737" s="4">
        <v>0.3145833333333333</v>
      </c>
      <c r="C737" s="5" t="s">
        <v>59</v>
      </c>
      <c r="D737" s="5" t="s">
        <v>352</v>
      </c>
      <c r="E737" s="18" t="s">
        <v>53</v>
      </c>
      <c r="F737" s="7" t="s">
        <v>314</v>
      </c>
      <c r="G737" s="6" t="str">
        <f>VLOOKUP(E737,dicionario!$A$1:$C1136,2,0)</f>
        <v>Turnera subulata</v>
      </c>
      <c r="H737" s="6" t="str">
        <f>VLOOKUP(E737,dicionario!$A$1:$C1136,3,0)</f>
        <v>xanana</v>
      </c>
    </row>
    <row r="738">
      <c r="A738" s="13">
        <v>45568.0</v>
      </c>
      <c r="B738" s="4">
        <v>0.3145833333333333</v>
      </c>
      <c r="C738" s="5" t="s">
        <v>59</v>
      </c>
      <c r="D738" s="5" t="s">
        <v>352</v>
      </c>
      <c r="E738" s="6" t="s">
        <v>338</v>
      </c>
      <c r="F738" s="7" t="s">
        <v>238</v>
      </c>
      <c r="G738" s="6" t="str">
        <f>VLOOKUP(E738,dicionario!$A$1:$C1137,2,0)</f>
        <v>Atta</v>
      </c>
      <c r="H738" s="6" t="str">
        <f>VLOOKUP(E738,dicionario!$A$1:$C1137,3,0)</f>
        <v>saúva</v>
      </c>
    </row>
    <row r="739">
      <c r="A739" s="13">
        <v>45568.0</v>
      </c>
      <c r="B739" s="4">
        <v>0.3145833333333333</v>
      </c>
      <c r="C739" s="5" t="s">
        <v>59</v>
      </c>
      <c r="D739" s="5" t="s">
        <v>352</v>
      </c>
      <c r="E739" s="6" t="s">
        <v>239</v>
      </c>
      <c r="F739" s="7" t="s">
        <v>240</v>
      </c>
      <c r="G739" s="6" t="str">
        <f>VLOOKUP(E739,dicionario!$A$1:$C1138,2,0)</f>
        <v>Gomphrena celosioides</v>
      </c>
      <c r="H739" s="6" t="str">
        <f>VLOOKUP(E739,dicionario!$A$1:$C1138,3,0)</f>
        <v>perpétua-branca</v>
      </c>
    </row>
    <row r="740">
      <c r="A740" s="13">
        <v>45568.0</v>
      </c>
      <c r="B740" s="4">
        <v>0.3145833333333333</v>
      </c>
      <c r="C740" s="5" t="s">
        <v>59</v>
      </c>
      <c r="D740" s="5" t="s">
        <v>352</v>
      </c>
      <c r="E740" s="18" t="s">
        <v>144</v>
      </c>
      <c r="F740" s="7" t="s">
        <v>145</v>
      </c>
      <c r="G740" s="6" t="str">
        <f>VLOOKUP(E740,dicionario!$A$1:$C1139,2,0)</f>
        <v>Gomphrena globosa</v>
      </c>
      <c r="H740" s="6" t="str">
        <f>VLOOKUP(E740,dicionario!$A$1:$C1139,3,0)</f>
        <v>perpétua-rosa</v>
      </c>
    </row>
    <row r="741">
      <c r="A741" s="13">
        <v>45568.0</v>
      </c>
      <c r="B741" s="4">
        <v>0.3145833333333333</v>
      </c>
      <c r="C741" s="5" t="s">
        <v>59</v>
      </c>
      <c r="D741" s="5" t="s">
        <v>352</v>
      </c>
      <c r="E741" s="18" t="s">
        <v>14</v>
      </c>
      <c r="F741" s="7" t="s">
        <v>15</v>
      </c>
      <c r="G741" s="6" t="str">
        <f>VLOOKUP(E741,dicionario!$A$1:$C1140,2,0)</f>
        <v>Spermacoce verticillata</v>
      </c>
      <c r="H741" s="6" t="str">
        <f>VLOOKUP(E741,dicionario!$A$1:$C1140,3,0)</f>
        <v>vassourinha-de-botão</v>
      </c>
    </row>
    <row r="742">
      <c r="A742" s="13">
        <v>45568.0</v>
      </c>
      <c r="B742" s="4">
        <v>0.3145833333333333</v>
      </c>
      <c r="C742" s="5" t="s">
        <v>59</v>
      </c>
      <c r="D742" s="5" t="s">
        <v>352</v>
      </c>
      <c r="E742" s="6" t="s">
        <v>296</v>
      </c>
      <c r="F742" s="7" t="s">
        <v>297</v>
      </c>
      <c r="G742" s="6" t="str">
        <f>VLOOKUP(E742,dicionario!$A$1:$C1141,2,0)</f>
        <v>Richardia brasiliensis</v>
      </c>
      <c r="H742" s="6" t="str">
        <f>VLOOKUP(E742,dicionario!$A$1:$C1141,3,0)</f>
        <v>poaia-branca</v>
      </c>
    </row>
    <row r="743">
      <c r="A743" s="13">
        <v>45568.0</v>
      </c>
      <c r="B743" s="21">
        <v>0.3145833333333333</v>
      </c>
      <c r="C743" s="5" t="s">
        <v>59</v>
      </c>
      <c r="D743" s="5" t="s">
        <v>352</v>
      </c>
      <c r="E743" s="18" t="s">
        <v>135</v>
      </c>
      <c r="F743" s="7" t="s">
        <v>136</v>
      </c>
      <c r="G743" s="6" t="str">
        <f>VLOOKUP(E743,dicionario!$A$1:$C1142,2,0)</f>
        <v>Tridax procumbens</v>
      </c>
      <c r="H743" s="6" t="str">
        <f>VLOOKUP(E743,dicionario!$A$1:$C1142,3,0)</f>
        <v>erva-de-touro</v>
      </c>
    </row>
    <row r="744">
      <c r="A744" s="13">
        <v>45568.0</v>
      </c>
      <c r="B744" s="21">
        <v>0.3145833333333333</v>
      </c>
      <c r="C744" s="5" t="s">
        <v>59</v>
      </c>
      <c r="D744" s="5" t="s">
        <v>352</v>
      </c>
      <c r="E744" s="6" t="s">
        <v>298</v>
      </c>
      <c r="F744" s="5" t="s">
        <v>299</v>
      </c>
      <c r="G744" s="6" t="str">
        <f>VLOOKUP(E744,dicionario!$A$1:$C1143,2,0)</f>
        <v>Alysicarpus vaginalis</v>
      </c>
      <c r="H744" s="6" t="str">
        <f>VLOOKUP(E744,dicionario!$A$1:$C1143,3,0)</f>
        <v/>
      </c>
    </row>
    <row r="745">
      <c r="A745" s="13">
        <v>45568.0</v>
      </c>
      <c r="B745" s="21">
        <v>0.3145833333333333</v>
      </c>
      <c r="C745" s="5" t="s">
        <v>59</v>
      </c>
      <c r="D745" s="5" t="s">
        <v>352</v>
      </c>
      <c r="E745" s="6" t="s">
        <v>111</v>
      </c>
      <c r="F745" s="7" t="s">
        <v>112</v>
      </c>
      <c r="G745" s="6" t="str">
        <f>VLOOKUP(E745,dicionario!$A$1:$C1144,2,0)</f>
        <v>Trigona spinipes</v>
      </c>
      <c r="H745" s="6" t="str">
        <f>VLOOKUP(E745,dicionario!$A$1:$C1144,3,0)</f>
        <v>abelha-cachorro</v>
      </c>
    </row>
    <row r="746">
      <c r="A746" s="13">
        <v>45568.0</v>
      </c>
      <c r="B746" s="22">
        <v>0.31527777777777777</v>
      </c>
      <c r="C746" s="5" t="s">
        <v>59</v>
      </c>
      <c r="D746" s="5" t="s">
        <v>352</v>
      </c>
      <c r="E746" s="6" t="s">
        <v>227</v>
      </c>
      <c r="F746" s="7" t="s">
        <v>228</v>
      </c>
      <c r="G746" s="6" t="str">
        <f>VLOOKUP(E746,dicionario!$A$1:$C1145,2,0)</f>
        <v>Indigofera hirsuta</v>
      </c>
      <c r="H746" s="6" t="str">
        <f>VLOOKUP(E746,dicionario!$A$1:$C1145,3,0)</f>
        <v>anileira</v>
      </c>
    </row>
    <row r="747">
      <c r="A747" s="13">
        <v>45568.0</v>
      </c>
      <c r="B747" s="4">
        <v>0.31527777777777777</v>
      </c>
      <c r="C747" s="5" t="s">
        <v>59</v>
      </c>
      <c r="D747" s="5" t="s">
        <v>352</v>
      </c>
      <c r="E747" s="18" t="s">
        <v>343</v>
      </c>
      <c r="F747" s="7" t="s">
        <v>192</v>
      </c>
      <c r="G747" s="6" t="str">
        <f>VLOOKUP(E747,dicionario!$A$1:$C1146,2,0)</f>
        <v>#N/A</v>
      </c>
      <c r="H747" s="6" t="str">
        <f>VLOOKUP(E747,dicionario!$A$1:$C1146,3,0)</f>
        <v>#N/A</v>
      </c>
    </row>
    <row r="748">
      <c r="A748" s="13">
        <v>45568.0</v>
      </c>
      <c r="B748" s="4">
        <v>0.31527777777777777</v>
      </c>
      <c r="C748" s="5" t="s">
        <v>59</v>
      </c>
      <c r="D748" s="5" t="s">
        <v>352</v>
      </c>
      <c r="E748" s="6" t="s">
        <v>143</v>
      </c>
      <c r="F748" s="7" t="s">
        <v>63</v>
      </c>
      <c r="G748" s="6" t="str">
        <f>VLOOKUP(E748,dicionario!$A$1:$C1147,2,0)</f>
        <v>Polybia</v>
      </c>
      <c r="H748" s="6" t="str">
        <f>VLOOKUP(E748,dicionario!$A$1:$C1147,3,0)</f>
        <v>vespa</v>
      </c>
    </row>
    <row r="749">
      <c r="A749" s="13">
        <v>45568.0</v>
      </c>
      <c r="B749" s="4">
        <v>0.31527777777777777</v>
      </c>
      <c r="C749" s="5" t="s">
        <v>59</v>
      </c>
      <c r="D749" s="5" t="s">
        <v>352</v>
      </c>
      <c r="E749" s="18" t="s">
        <v>88</v>
      </c>
      <c r="F749" s="7" t="s">
        <v>89</v>
      </c>
      <c r="G749" s="6" t="str">
        <f>VLOOKUP(E749,dicionario!$A$1:$C1148,2,0)</f>
        <v>Tyrannus melancolichus</v>
      </c>
      <c r="H749" s="6" t="str">
        <f>VLOOKUP(E749,dicionario!$A$1:$C1148,3,0)</f>
        <v>suiriri</v>
      </c>
    </row>
    <row r="750">
      <c r="A750" s="13">
        <v>45568.0</v>
      </c>
      <c r="B750" s="4">
        <v>0.31666666666666665</v>
      </c>
      <c r="C750" s="5" t="s">
        <v>59</v>
      </c>
      <c r="D750" s="5" t="s">
        <v>352</v>
      </c>
      <c r="E750" s="6" t="s">
        <v>353</v>
      </c>
      <c r="F750" s="7" t="s">
        <v>380</v>
      </c>
      <c r="G750" s="6" t="str">
        <f>VLOOKUP(E750,dicionario!$A$1:$C1149,2,0)</f>
        <v>Desmodium incanum</v>
      </c>
      <c r="H750" s="6" t="str">
        <f>VLOOKUP(E750,dicionario!$A$1:$C1149,3,0)</f>
        <v>pega-pega</v>
      </c>
    </row>
    <row r="751">
      <c r="A751" s="13">
        <v>45568.0</v>
      </c>
      <c r="B751" s="4">
        <v>0.31666666666666665</v>
      </c>
      <c r="C751" s="5" t="s">
        <v>59</v>
      </c>
      <c r="D751" s="5" t="s">
        <v>352</v>
      </c>
      <c r="E751" s="6" t="s">
        <v>381</v>
      </c>
      <c r="F751" s="7" t="s">
        <v>382</v>
      </c>
      <c r="G751" s="6" t="str">
        <f>VLOOKUP(E751,dicionario!$A$1:$C1150,2,0)</f>
        <v>Pseudomyrmex</v>
      </c>
      <c r="H751" s="6" t="str">
        <f>VLOOKUP(E751,dicionario!$A$1:$C1150,3,0)</f>
        <v>maria-magra</v>
      </c>
    </row>
    <row r="752">
      <c r="A752" s="13">
        <v>45568.0</v>
      </c>
      <c r="B752" s="4">
        <v>0.31666666666666665</v>
      </c>
      <c r="C752" s="5" t="s">
        <v>59</v>
      </c>
      <c r="D752" s="5" t="s">
        <v>352</v>
      </c>
      <c r="E752" s="6" t="s">
        <v>202</v>
      </c>
      <c r="F752" s="7" t="s">
        <v>203</v>
      </c>
      <c r="G752" s="6" t="str">
        <f>VLOOKUP(E752,dicionario!$A$1:$C1151,2,0)</f>
        <v>Dysdercus</v>
      </c>
      <c r="H752" s="6" t="str">
        <f>VLOOKUP(E752,dicionario!$A$1:$C1151,3,0)</f>
        <v>percevejo-manchador</v>
      </c>
    </row>
    <row r="753">
      <c r="A753" s="13">
        <v>45568.0</v>
      </c>
      <c r="B753" s="4">
        <v>0.31666666666666665</v>
      </c>
      <c r="C753" s="5" t="s">
        <v>59</v>
      </c>
      <c r="D753" s="5" t="s">
        <v>352</v>
      </c>
      <c r="E753" s="6" t="s">
        <v>22</v>
      </c>
      <c r="F753" s="7" t="s">
        <v>97</v>
      </c>
      <c r="G753" s="6" t="str">
        <f>VLOOKUP(E753,dicionario!$A$1:$C1152,2,0)</f>
        <v>Zenaida auriculata</v>
      </c>
      <c r="H753" s="6" t="str">
        <f>VLOOKUP(E753,dicionario!$A$1:$C1152,3,0)</f>
        <v>pomba-de-bando; avoante</v>
      </c>
    </row>
    <row r="754">
      <c r="A754" s="13">
        <v>45568.0</v>
      </c>
      <c r="B754" s="4">
        <v>0.3173611111111111</v>
      </c>
      <c r="C754" s="5" t="s">
        <v>59</v>
      </c>
      <c r="D754" s="5" t="s">
        <v>352</v>
      </c>
      <c r="E754" s="6" t="s">
        <v>215</v>
      </c>
      <c r="F754" s="7" t="s">
        <v>216</v>
      </c>
      <c r="G754" s="6" t="str">
        <f>VLOOKUP(E754,dicionario!$A$1:$C1153,2,0)</f>
        <v>Pygochelidon cyanoleuca</v>
      </c>
      <c r="H754" s="6" t="str">
        <f>VLOOKUP(E754,dicionario!$A$1:$C1153,3,0)</f>
        <v>andorinha-pequena-de-casa</v>
      </c>
    </row>
    <row r="755">
      <c r="A755" s="13">
        <v>45568.0</v>
      </c>
      <c r="B755" s="4">
        <v>0.3173611111111111</v>
      </c>
      <c r="C755" s="5" t="s">
        <v>59</v>
      </c>
      <c r="D755" s="5" t="s">
        <v>352</v>
      </c>
      <c r="E755" s="6" t="s">
        <v>72</v>
      </c>
      <c r="F755" s="7" t="s">
        <v>73</v>
      </c>
      <c r="G755" s="6" t="str">
        <f>VLOOKUP(E755,dicionario!$A$1:$C1154,2,0)</f>
        <v>Thraupis palmarum</v>
      </c>
      <c r="H755" s="6" t="str">
        <f>VLOOKUP(E755,dicionario!$A$1:$C1154,3,0)</f>
        <v>sanhaço-do-coqueiro</v>
      </c>
    </row>
    <row r="756">
      <c r="A756" s="13">
        <v>45568.0</v>
      </c>
      <c r="B756" s="4">
        <v>0.3173611111111111</v>
      </c>
      <c r="C756" s="5" t="s">
        <v>59</v>
      </c>
      <c r="D756" s="5" t="s">
        <v>352</v>
      </c>
      <c r="E756" s="6" t="s">
        <v>167</v>
      </c>
      <c r="F756" s="7" t="s">
        <v>168</v>
      </c>
      <c r="G756" s="6" t="str">
        <f>VLOOKUP(E756,dicionario!$A$1:$C1155,2,0)</f>
        <v>Hemidactylus mabouia</v>
      </c>
      <c r="H756" s="6" t="str">
        <f>VLOOKUP(E756,dicionario!$A$1:$C1155,3,0)</f>
        <v>lagartixa-doméstica-tropical</v>
      </c>
    </row>
    <row r="757">
      <c r="A757" s="13">
        <v>45568.0</v>
      </c>
      <c r="B757" s="4">
        <v>0.31805555555555554</v>
      </c>
      <c r="C757" s="5" t="s">
        <v>59</v>
      </c>
      <c r="D757" s="5" t="s">
        <v>352</v>
      </c>
      <c r="E757" s="6" t="s">
        <v>132</v>
      </c>
      <c r="F757" s="7" t="s">
        <v>133</v>
      </c>
      <c r="G757" s="6" t="str">
        <f>VLOOKUP(E757,dicionario!$A$1:$C1156,2,0)</f>
        <v>Euphonia chlorotica</v>
      </c>
      <c r="H757" s="6" t="str">
        <f>VLOOKUP(E757,dicionario!$A$1:$C1156,3,0)</f>
        <v>fim-fim</v>
      </c>
    </row>
    <row r="758">
      <c r="A758" s="13">
        <v>45568.0</v>
      </c>
      <c r="B758" s="4">
        <v>0.3194444444444444</v>
      </c>
      <c r="C758" s="5" t="s">
        <v>59</v>
      </c>
      <c r="D758" s="5" t="s">
        <v>352</v>
      </c>
      <c r="E758" s="6" t="s">
        <v>65</v>
      </c>
      <c r="F758" s="7" t="s">
        <v>66</v>
      </c>
      <c r="G758" s="6" t="str">
        <f>VLOOKUP(E758,dicionario!$A$1:$C1157,2,0)</f>
        <v>Pitangus sulphutarus</v>
      </c>
      <c r="H758" s="6" t="str">
        <f>VLOOKUP(E758,dicionario!$A$1:$C1157,3,0)</f>
        <v>bem-te-vi</v>
      </c>
    </row>
    <row r="759">
      <c r="A759" s="13">
        <v>45568.0</v>
      </c>
      <c r="B759" s="4">
        <v>0.3194444444444444</v>
      </c>
      <c r="C759" s="5" t="s">
        <v>59</v>
      </c>
      <c r="D759" s="5" t="s">
        <v>352</v>
      </c>
      <c r="E759" s="6" t="s">
        <v>107</v>
      </c>
      <c r="F759" s="7" t="s">
        <v>108</v>
      </c>
      <c r="G759" s="6" t="str">
        <f>VLOOKUP(E759,dicionario!$A$1:$C1158,2,0)</f>
        <v>Ramalina complanata</v>
      </c>
      <c r="H759" s="6" t="str">
        <f>VLOOKUP(E759,dicionario!$A$1:$C1158,3,0)</f>
        <v>ramalina</v>
      </c>
    </row>
    <row r="760">
      <c r="A760" s="13">
        <v>45568.0</v>
      </c>
      <c r="B760" s="4">
        <v>0.3194444444444444</v>
      </c>
      <c r="C760" s="5" t="s">
        <v>59</v>
      </c>
      <c r="D760" s="5" t="s">
        <v>352</v>
      </c>
      <c r="E760" s="6" t="s">
        <v>141</v>
      </c>
      <c r="F760" s="7" t="s">
        <v>142</v>
      </c>
      <c r="G760" s="6" t="str">
        <f>VLOOKUP(E760,dicionario!$A$1:$C1159,2,0)</f>
        <v>Ruellia blechum</v>
      </c>
      <c r="H760" s="6" t="str">
        <f>VLOOKUP(E760,dicionario!$A$1:$C1159,3,0)</f>
        <v>camarão-verde</v>
      </c>
    </row>
    <row r="761">
      <c r="A761" s="13">
        <v>45568.0</v>
      </c>
      <c r="B761" s="4">
        <v>0.32083333333333336</v>
      </c>
      <c r="C761" s="5" t="s">
        <v>59</v>
      </c>
      <c r="D761" s="5" t="s">
        <v>352</v>
      </c>
      <c r="E761" s="15" t="s">
        <v>38</v>
      </c>
      <c r="F761" s="5" t="s">
        <v>39</v>
      </c>
      <c r="G761" s="6" t="str">
        <f>VLOOKUP(E761,dicionario!$A$1:$C1160,2,0)</f>
        <v>Troglodytes musculus</v>
      </c>
      <c r="H761" s="6" t="str">
        <f>VLOOKUP(E761,dicionario!$A$1:$C1160,3,0)</f>
        <v>curruíra</v>
      </c>
    </row>
    <row r="762">
      <c r="A762" s="13">
        <v>45568.0</v>
      </c>
      <c r="B762" s="4">
        <v>0.325</v>
      </c>
      <c r="C762" s="5" t="s">
        <v>64</v>
      </c>
      <c r="D762" s="5" t="s">
        <v>352</v>
      </c>
      <c r="E762" s="6" t="s">
        <v>141</v>
      </c>
      <c r="F762" s="7" t="s">
        <v>142</v>
      </c>
      <c r="G762" s="6" t="str">
        <f>VLOOKUP(E762,dicionario!$A$1:$C1161,2,0)</f>
        <v>Ruellia blechum</v>
      </c>
      <c r="H762" s="6" t="str">
        <f>VLOOKUP(E762,dicionario!$A$1:$C1161,3,0)</f>
        <v>camarão-verde</v>
      </c>
    </row>
    <row r="763">
      <c r="A763" s="13">
        <v>45568.0</v>
      </c>
      <c r="B763" s="4">
        <v>0.325</v>
      </c>
      <c r="C763" s="5" t="s">
        <v>64</v>
      </c>
      <c r="D763" s="5" t="s">
        <v>352</v>
      </c>
      <c r="E763" s="6" t="s">
        <v>69</v>
      </c>
      <c r="F763" s="7" t="s">
        <v>71</v>
      </c>
      <c r="G763" s="6" t="str">
        <f>VLOOKUP(E763,dicionario!$A$1:$C1162,2,0)</f>
        <v>Talinum fruticosum</v>
      </c>
      <c r="H763" s="6" t="str">
        <f>VLOOKUP(E763,dicionario!$A$1:$C1162,3,0)</f>
        <v>beldroega-grande</v>
      </c>
    </row>
    <row r="764">
      <c r="A764" s="13">
        <v>45568.0</v>
      </c>
      <c r="B764" s="4">
        <v>0.325</v>
      </c>
      <c r="C764" s="5" t="s">
        <v>64</v>
      </c>
      <c r="D764" s="5" t="s">
        <v>352</v>
      </c>
      <c r="E764" s="6" t="s">
        <v>154</v>
      </c>
      <c r="F764" s="7" t="s">
        <v>155</v>
      </c>
      <c r="G764" s="6" t="str">
        <f>VLOOKUP(E764,dicionario!$A$1:$C1163,2,0)</f>
        <v>Cyperus rotundus</v>
      </c>
      <c r="H764" s="6" t="str">
        <f>VLOOKUP(E764,dicionario!$A$1:$C1163,3,0)</f>
        <v>tiririca</v>
      </c>
    </row>
    <row r="765">
      <c r="A765" s="13">
        <v>45568.0</v>
      </c>
      <c r="B765" s="4">
        <v>0.325</v>
      </c>
      <c r="C765" s="5" t="s">
        <v>64</v>
      </c>
      <c r="D765" s="5" t="s">
        <v>352</v>
      </c>
      <c r="E765" s="18" t="s">
        <v>150</v>
      </c>
      <c r="F765" s="7" t="s">
        <v>151</v>
      </c>
      <c r="G765" s="6" t="str">
        <f>VLOOKUP(E765,dicionario!$A$1:$C1164,2,0)</f>
        <v>Amaranthus viridis</v>
      </c>
      <c r="H765" s="6" t="str">
        <f>VLOOKUP(E765,dicionario!$A$1:$C1164,3,0)</f>
        <v>caruru-de-mancha</v>
      </c>
    </row>
    <row r="766">
      <c r="A766" s="13">
        <v>45568.0</v>
      </c>
      <c r="B766" s="21">
        <v>0.325</v>
      </c>
      <c r="C766" s="5" t="s">
        <v>64</v>
      </c>
      <c r="D766" s="5" t="s">
        <v>352</v>
      </c>
      <c r="E766" s="8" t="s">
        <v>375</v>
      </c>
      <c r="F766" s="5" t="s">
        <v>35</v>
      </c>
      <c r="G766" s="6" t="str">
        <f>VLOOKUP(E766,dicionario!$A$1:$C1165,2,0)</f>
        <v>Neoponera foetida</v>
      </c>
      <c r="H766" s="6" t="str">
        <f>VLOOKUP(E766,dicionario!$A$1:$C1165,3,0)</f>
        <v/>
      </c>
    </row>
    <row r="767">
      <c r="A767" s="13">
        <v>45568.0</v>
      </c>
      <c r="B767" s="21">
        <v>0.325</v>
      </c>
      <c r="C767" s="5" t="s">
        <v>64</v>
      </c>
      <c r="D767" s="5" t="s">
        <v>352</v>
      </c>
      <c r="E767" s="6" t="s">
        <v>72</v>
      </c>
      <c r="F767" s="7" t="s">
        <v>73</v>
      </c>
      <c r="G767" s="6" t="str">
        <f>VLOOKUP(E767,dicionario!$A$1:$C1166,2,0)</f>
        <v>Thraupis palmarum</v>
      </c>
      <c r="H767" s="6" t="str">
        <f>VLOOKUP(E767,dicionario!$A$1:$C1166,3,0)</f>
        <v>sanhaço-do-coqueiro</v>
      </c>
    </row>
    <row r="768">
      <c r="A768" s="13">
        <v>45568.0</v>
      </c>
      <c r="B768" s="21">
        <v>0.325</v>
      </c>
      <c r="C768" s="5" t="s">
        <v>64</v>
      </c>
      <c r="D768" s="5" t="s">
        <v>352</v>
      </c>
      <c r="E768" s="6" t="s">
        <v>195</v>
      </c>
      <c r="F768" s="7" t="s">
        <v>196</v>
      </c>
      <c r="G768" s="6" t="str">
        <f>VLOOKUP(E768,dicionario!$A$1:$C1167,2,0)</f>
        <v>Priva lappulacea</v>
      </c>
      <c r="H768" s="6" t="str">
        <f>VLOOKUP(E768,dicionario!$A$1:$C1167,3,0)</f>
        <v>carrapicho</v>
      </c>
    </row>
    <row r="769">
      <c r="A769" s="13">
        <v>45568.0</v>
      </c>
      <c r="B769" s="21">
        <v>0.325</v>
      </c>
      <c r="C769" s="5" t="s">
        <v>64</v>
      </c>
      <c r="D769" s="5" t="s">
        <v>352</v>
      </c>
      <c r="E769" s="6" t="s">
        <v>122</v>
      </c>
      <c r="F769" s="7" t="s">
        <v>123</v>
      </c>
      <c r="G769" s="6" t="str">
        <f>VLOOKUP(E769,dicionario!$A$1:$C1168,2,0)</f>
        <v>Todirostrum cinereum</v>
      </c>
      <c r="H769" s="6" t="str">
        <f>VLOOKUP(E769,dicionario!$A$1:$C1168,3,0)</f>
        <v>ferreirinho-relógio</v>
      </c>
    </row>
    <row r="770">
      <c r="A770" s="13">
        <v>45568.0</v>
      </c>
      <c r="B770" s="22">
        <v>0.32569444444444445</v>
      </c>
      <c r="C770" s="5" t="s">
        <v>64</v>
      </c>
      <c r="D770" s="5" t="s">
        <v>352</v>
      </c>
      <c r="E770" s="6" t="s">
        <v>65</v>
      </c>
      <c r="F770" s="7" t="s">
        <v>66</v>
      </c>
      <c r="G770" s="6" t="str">
        <f>VLOOKUP(E770,dicionario!$A$1:$C1169,2,0)</f>
        <v>Pitangus sulphutarus</v>
      </c>
      <c r="H770" s="6" t="str">
        <f>VLOOKUP(E770,dicionario!$A$1:$C1169,3,0)</f>
        <v>bem-te-vi</v>
      </c>
    </row>
    <row r="771">
      <c r="A771" s="13">
        <v>45568.0</v>
      </c>
      <c r="B771" s="4">
        <v>0.32569444444444445</v>
      </c>
      <c r="C771" s="5" t="s">
        <v>64</v>
      </c>
      <c r="D771" s="5" t="s">
        <v>352</v>
      </c>
      <c r="E771" s="6" t="s">
        <v>328</v>
      </c>
      <c r="F771" s="7" t="s">
        <v>329</v>
      </c>
      <c r="G771" s="6" t="str">
        <f>VLOOKUP(E771,dicionario!$A$1:$C1170,2,0)</f>
        <v>Rivina humilis</v>
      </c>
      <c r="H771" s="6" t="str">
        <f>VLOOKUP(E771,dicionario!$A$1:$C1170,3,0)</f>
        <v>baga-de-sangue</v>
      </c>
    </row>
    <row r="772">
      <c r="A772" s="13">
        <v>45568.0</v>
      </c>
      <c r="B772" s="4">
        <v>0.32569444444444445</v>
      </c>
      <c r="C772" s="5" t="s">
        <v>64</v>
      </c>
      <c r="D772" s="5" t="s">
        <v>352</v>
      </c>
      <c r="E772" s="6" t="s">
        <v>271</v>
      </c>
      <c r="F772" s="7" t="s">
        <v>272</v>
      </c>
      <c r="G772" s="6" t="str">
        <f>VLOOKUP(E772,dicionario!$A$1:$C1171,2,0)</f>
        <v>Cyanthillium cinereum</v>
      </c>
      <c r="H772" s="6" t="str">
        <f>VLOOKUP(E772,dicionario!$A$1:$C1171,3,0)</f>
        <v>emília</v>
      </c>
    </row>
    <row r="773">
      <c r="A773" s="13">
        <v>45568.0</v>
      </c>
      <c r="B773" s="4">
        <v>0.32569444444444445</v>
      </c>
      <c r="C773" s="5" t="s">
        <v>64</v>
      </c>
      <c r="D773" s="5" t="s">
        <v>352</v>
      </c>
      <c r="E773" s="18" t="s">
        <v>253</v>
      </c>
      <c r="F773" s="7" t="s">
        <v>254</v>
      </c>
      <c r="G773" s="6" t="str">
        <f>VLOOKUP(E773,dicionario!$A$1:$C1172,2,0)</f>
        <v>Panicum maximum</v>
      </c>
      <c r="H773" s="6" t="str">
        <f>VLOOKUP(E773,dicionario!$A$1:$C1172,3,0)</f>
        <v>capim-colonião</v>
      </c>
    </row>
    <row r="774">
      <c r="A774" s="13">
        <v>45568.0</v>
      </c>
      <c r="B774" s="4">
        <v>0.3263888888888889</v>
      </c>
      <c r="C774" s="5" t="s">
        <v>64</v>
      </c>
      <c r="D774" s="5" t="s">
        <v>352</v>
      </c>
      <c r="E774" s="6" t="s">
        <v>86</v>
      </c>
      <c r="F774" s="7" t="s">
        <v>87</v>
      </c>
      <c r="G774" s="6" t="str">
        <f>VLOOKUP(E774,dicionario!$A$1:$C1173,2,0)</f>
        <v>Coereba flaveola</v>
      </c>
      <c r="H774" s="6" t="str">
        <f>VLOOKUP(E774,dicionario!$A$1:$C1173,3,0)</f>
        <v>cambacica</v>
      </c>
    </row>
    <row r="775">
      <c r="A775" s="13">
        <v>45568.0</v>
      </c>
      <c r="B775" s="4">
        <v>0.3263888888888889</v>
      </c>
      <c r="C775" s="5" t="s">
        <v>64</v>
      </c>
      <c r="D775" s="5" t="s">
        <v>352</v>
      </c>
      <c r="E775" s="6" t="s">
        <v>383</v>
      </c>
      <c r="F775" s="7" t="s">
        <v>384</v>
      </c>
      <c r="G775" s="6" t="str">
        <f>VLOOKUP(E775,dicionario!$A$1:$C1174,2,0)</f>
        <v>Setophaga pitiayumi</v>
      </c>
      <c r="H775" s="6" t="str">
        <f>VLOOKUP(E775,dicionario!$A$1:$C1174,3,0)</f>
        <v>mariquita</v>
      </c>
    </row>
    <row r="776">
      <c r="A776" s="13">
        <v>45568.0</v>
      </c>
      <c r="B776" s="4">
        <v>0.3263888888888889</v>
      </c>
      <c r="C776" s="5" t="s">
        <v>64</v>
      </c>
      <c r="D776" s="5" t="s">
        <v>352</v>
      </c>
      <c r="E776" s="6" t="s">
        <v>16</v>
      </c>
      <c r="F776" s="7" t="s">
        <v>17</v>
      </c>
      <c r="G776" s="6" t="str">
        <f>VLOOKUP(E776,dicionario!$A$1:$C1175,2,0)</f>
        <v>Eupetomena macroura</v>
      </c>
      <c r="H776" s="6" t="str">
        <f>VLOOKUP(E776,dicionario!$A$1:$C1175,3,0)</f>
        <v>beija-flor-tesoura</v>
      </c>
    </row>
    <row r="777">
      <c r="A777" s="13">
        <v>45568.0</v>
      </c>
      <c r="B777" s="4">
        <v>0.3263888888888889</v>
      </c>
      <c r="C777" s="5" t="s">
        <v>64</v>
      </c>
      <c r="D777" s="5" t="s">
        <v>352</v>
      </c>
      <c r="E777" s="8" t="s">
        <v>46</v>
      </c>
      <c r="F777" s="5" t="s">
        <v>47</v>
      </c>
      <c r="G777" s="6" t="str">
        <f>VLOOKUP(E777,dicionario!$A$1:$C1176,2,0)</f>
        <v>Chionomesa fimbriata</v>
      </c>
      <c r="H777" s="6" t="str">
        <f>VLOOKUP(E777,dicionario!$A$1:$C1176,3,0)</f>
        <v>beija-flor-de-garganta-verde</v>
      </c>
    </row>
    <row r="778">
      <c r="A778" s="13">
        <v>45568.0</v>
      </c>
      <c r="B778" s="4">
        <v>0.3277777777777778</v>
      </c>
      <c r="C778" s="5" t="s">
        <v>64</v>
      </c>
      <c r="D778" s="5" t="s">
        <v>352</v>
      </c>
      <c r="E778" s="6" t="s">
        <v>175</v>
      </c>
      <c r="F778" s="7" t="s">
        <v>176</v>
      </c>
      <c r="G778" s="6" t="str">
        <f>VLOOKUP(E778,dicionario!$A$1:$C1177,2,0)</f>
        <v>Turdus leucomelas</v>
      </c>
      <c r="H778" s="6" t="str">
        <f>VLOOKUP(E778,dicionario!$A$1:$C1177,3,0)</f>
        <v>sabiá-barranco</v>
      </c>
    </row>
    <row r="779">
      <c r="A779" s="13">
        <v>45568.0</v>
      </c>
      <c r="B779" s="4">
        <v>0.3277777777777778</v>
      </c>
      <c r="C779" s="5" t="s">
        <v>64</v>
      </c>
      <c r="D779" s="5" t="s">
        <v>352</v>
      </c>
      <c r="E779" s="6" t="s">
        <v>163</v>
      </c>
      <c r="F779" s="7" t="s">
        <v>164</v>
      </c>
      <c r="G779" s="6" t="str">
        <f>VLOOKUP(E779,dicionario!$A$1:$C1178,2,0)</f>
        <v>Coragyps atratus</v>
      </c>
      <c r="H779" s="6" t="str">
        <f>VLOOKUP(E779,dicionario!$A$1:$C1178,3,0)</f>
        <v>urubu-de-cabeça-preta</v>
      </c>
    </row>
    <row r="780">
      <c r="A780" s="13">
        <v>45568.0</v>
      </c>
      <c r="B780" s="4">
        <v>0.3284722222222222</v>
      </c>
      <c r="C780" s="5" t="s">
        <v>64</v>
      </c>
      <c r="D780" s="5" t="s">
        <v>352</v>
      </c>
      <c r="E780" s="6" t="s">
        <v>132</v>
      </c>
      <c r="F780" s="7" t="s">
        <v>133</v>
      </c>
      <c r="G780" s="6" t="str">
        <f>VLOOKUP(E780,dicionario!$A$1:$C1179,2,0)</f>
        <v>Euphonia chlorotica</v>
      </c>
      <c r="H780" s="6" t="str">
        <f>VLOOKUP(E780,dicionario!$A$1:$C1179,3,0)</f>
        <v>fim-fim</v>
      </c>
    </row>
    <row r="781">
      <c r="A781" s="13">
        <v>45568.0</v>
      </c>
      <c r="B781" s="4">
        <v>0.3298611111111111</v>
      </c>
      <c r="C781" s="5" t="s">
        <v>64</v>
      </c>
      <c r="D781" s="5" t="s">
        <v>352</v>
      </c>
      <c r="E781" s="6" t="s">
        <v>355</v>
      </c>
      <c r="F781" s="7" t="s">
        <v>356</v>
      </c>
      <c r="G781" s="6" t="str">
        <f>VLOOKUP(E781,dicionario!$A$1:$C1180,2,0)</f>
        <v>Boerhavia diffusa</v>
      </c>
      <c r="H781" s="6" t="str">
        <f>VLOOKUP(E781,dicionario!$A$1:$C1180,3,0)</f>
        <v>erva-tostão</v>
      </c>
    </row>
    <row r="782">
      <c r="A782" s="13">
        <v>45568.0</v>
      </c>
      <c r="B782" s="4">
        <v>0.3298611111111111</v>
      </c>
      <c r="C782" s="5" t="s">
        <v>64</v>
      </c>
      <c r="D782" s="5" t="s">
        <v>352</v>
      </c>
      <c r="E782" s="6" t="s">
        <v>148</v>
      </c>
      <c r="F782" s="7" t="s">
        <v>149</v>
      </c>
      <c r="G782" s="6" t="str">
        <f>VLOOKUP(E782,dicionario!$A$1:$C1181,2,0)</f>
        <v>Parthenium hysterophorus</v>
      </c>
      <c r="H782" s="6" t="str">
        <f>VLOOKUP(E782,dicionario!$A$1:$C1181,3,0)</f>
        <v>losna-branca</v>
      </c>
    </row>
    <row r="783">
      <c r="A783" s="13">
        <v>45568.0</v>
      </c>
      <c r="B783" s="4">
        <v>0.3298611111111111</v>
      </c>
      <c r="C783" s="5" t="s">
        <v>64</v>
      </c>
      <c r="D783" s="5" t="s">
        <v>352</v>
      </c>
      <c r="E783" s="6" t="s">
        <v>267</v>
      </c>
      <c r="F783" s="7" t="s">
        <v>268</v>
      </c>
      <c r="G783" s="6" t="str">
        <f>VLOOKUP(E783,dicionario!$A$1:$C1182,2,0)</f>
        <v>Solanum americanum</v>
      </c>
      <c r="H783" s="6" t="str">
        <f>VLOOKUP(E783,dicionario!$A$1:$C1182,3,0)</f>
        <v>maria-pretinha</v>
      </c>
    </row>
    <row r="784">
      <c r="A784" s="13">
        <v>45568.0</v>
      </c>
      <c r="B784" s="4">
        <v>0.3298611111111111</v>
      </c>
      <c r="C784" s="5" t="s">
        <v>64</v>
      </c>
      <c r="D784" s="5" t="s">
        <v>352</v>
      </c>
      <c r="E784" s="6" t="s">
        <v>227</v>
      </c>
      <c r="F784" s="7" t="s">
        <v>228</v>
      </c>
      <c r="G784" s="6" t="str">
        <f>VLOOKUP(E784,dicionario!$A$1:$C1183,2,0)</f>
        <v>Indigofera hirsuta</v>
      </c>
      <c r="H784" s="6" t="str">
        <f>VLOOKUP(E784,dicionario!$A$1:$C1183,3,0)</f>
        <v>anileira</v>
      </c>
    </row>
    <row r="785">
      <c r="A785" s="13">
        <v>45568.0</v>
      </c>
      <c r="B785" s="4">
        <v>0.3326388888888889</v>
      </c>
      <c r="C785" s="16" t="s">
        <v>76</v>
      </c>
      <c r="D785" s="5" t="s">
        <v>352</v>
      </c>
      <c r="E785" s="6" t="s">
        <v>175</v>
      </c>
      <c r="F785" s="7" t="s">
        <v>176</v>
      </c>
      <c r="G785" s="6" t="str">
        <f>VLOOKUP(E785,dicionario!$A$1:$C1184,2,0)</f>
        <v>Turdus leucomelas</v>
      </c>
      <c r="H785" s="6" t="str">
        <f>VLOOKUP(E785,dicionario!$A$1:$C1184,3,0)</f>
        <v>sabiá-barranco</v>
      </c>
    </row>
    <row r="786">
      <c r="A786" s="13">
        <v>45568.0</v>
      </c>
      <c r="B786" s="4">
        <v>0.3326388888888889</v>
      </c>
      <c r="C786" s="16" t="s">
        <v>76</v>
      </c>
      <c r="D786" s="5" t="s">
        <v>352</v>
      </c>
      <c r="E786" s="6" t="s">
        <v>385</v>
      </c>
      <c r="F786" s="7" t="s">
        <v>386</v>
      </c>
      <c r="G786" s="6" t="str">
        <f>VLOOKUP(E786,dicionario!$A$1:$C1185,2,0)</f>
        <v>Psidium guajava</v>
      </c>
      <c r="H786" s="6" t="str">
        <f>VLOOKUP(E786,dicionario!$A$1:$C1185,3,0)</f>
        <v>goiaba</v>
      </c>
    </row>
    <row r="787">
      <c r="A787" s="13">
        <v>45568.0</v>
      </c>
      <c r="B787" s="4">
        <v>0.33402777777777776</v>
      </c>
      <c r="C787" s="16" t="s">
        <v>76</v>
      </c>
      <c r="D787" s="5" t="s">
        <v>352</v>
      </c>
      <c r="E787" s="6" t="s">
        <v>113</v>
      </c>
      <c r="F787" s="7" t="s">
        <v>114</v>
      </c>
      <c r="G787" s="6" t="str">
        <f>VLOOKUP(E787,dicionario!$A$1:$C1186,2,0)</f>
        <v>Columbina talpacoti</v>
      </c>
      <c r="H787" s="6" t="str">
        <f>VLOOKUP(E787,dicionario!$A$1:$C1186,3,0)</f>
        <v>rolinha-roxa</v>
      </c>
    </row>
    <row r="788">
      <c r="A788" s="13">
        <v>45568.0</v>
      </c>
      <c r="B788" s="4">
        <v>0.33402777777777776</v>
      </c>
      <c r="C788" s="16" t="s">
        <v>76</v>
      </c>
      <c r="D788" s="5" t="s">
        <v>352</v>
      </c>
      <c r="E788" s="18" t="s">
        <v>55</v>
      </c>
      <c r="F788" s="5" t="s">
        <v>56</v>
      </c>
      <c r="G788" s="6" t="str">
        <f>VLOOKUP(E788,dicionario!$A$1:$C1187,2,0)</f>
        <v>Cubaris murina</v>
      </c>
      <c r="H788" s="6" t="str">
        <f>VLOOKUP(E788,dicionario!$A$1:$C1187,3,0)</f>
        <v>tatuzinho-de-jardim</v>
      </c>
    </row>
    <row r="789">
      <c r="A789" s="13">
        <v>45568.0</v>
      </c>
      <c r="B789" s="4">
        <v>0.33402777777777776</v>
      </c>
      <c r="C789" s="17" t="s">
        <v>76</v>
      </c>
      <c r="D789" s="5" t="s">
        <v>352</v>
      </c>
      <c r="E789" s="6" t="s">
        <v>111</v>
      </c>
      <c r="F789" s="7" t="s">
        <v>112</v>
      </c>
      <c r="G789" s="6" t="str">
        <f>VLOOKUP(E789,dicionario!$A$1:$C1188,2,0)</f>
        <v>Trigona spinipes</v>
      </c>
      <c r="H789" s="6" t="str">
        <f>VLOOKUP(E789,dicionario!$A$1:$C1188,3,0)</f>
        <v>abelha-cachorro</v>
      </c>
    </row>
    <row r="790">
      <c r="A790" s="13">
        <v>45568.0</v>
      </c>
      <c r="B790" s="4">
        <v>0.33402777777777776</v>
      </c>
      <c r="C790" s="17" t="s">
        <v>76</v>
      </c>
      <c r="D790" s="5" t="s">
        <v>352</v>
      </c>
      <c r="E790" s="6" t="s">
        <v>177</v>
      </c>
      <c r="F790" s="7" t="s">
        <v>178</v>
      </c>
      <c r="G790" s="6" t="str">
        <f>VLOOKUP(E790,dicionario!$A$1:$C1189,2,0)</f>
        <v>Elaenia flavogaster</v>
      </c>
      <c r="H790" s="6" t="str">
        <f>VLOOKUP(E790,dicionario!$A$1:$C1189,3,0)</f>
        <v>guaracava-de-barriga-amarela</v>
      </c>
    </row>
    <row r="791">
      <c r="A791" s="13">
        <v>45568.0</v>
      </c>
      <c r="B791" s="4">
        <v>0.34305555555555556</v>
      </c>
      <c r="C791" s="16" t="s">
        <v>76</v>
      </c>
      <c r="D791" s="5" t="s">
        <v>352</v>
      </c>
      <c r="E791" s="6" t="s">
        <v>141</v>
      </c>
      <c r="F791" s="7" t="s">
        <v>142</v>
      </c>
      <c r="G791" s="6" t="str">
        <f>VLOOKUP(E791,dicionario!$A$1:$C1190,2,0)</f>
        <v>Ruellia blechum</v>
      </c>
      <c r="H791" s="6" t="str">
        <f>VLOOKUP(E791,dicionario!$A$1:$C1190,3,0)</f>
        <v>camarão-verde</v>
      </c>
    </row>
    <row r="792">
      <c r="A792" s="13">
        <v>45568.0</v>
      </c>
      <c r="B792" s="4">
        <v>0.34305555555555556</v>
      </c>
      <c r="C792" s="16" t="s">
        <v>76</v>
      </c>
      <c r="D792" s="5" t="s">
        <v>352</v>
      </c>
      <c r="E792" s="18" t="s">
        <v>144</v>
      </c>
      <c r="F792" s="7" t="s">
        <v>145</v>
      </c>
      <c r="G792" s="6" t="str">
        <f>VLOOKUP(E792,dicionario!$A$1:$C1191,2,0)</f>
        <v>Gomphrena globosa</v>
      </c>
      <c r="H792" s="6" t="str">
        <f>VLOOKUP(E792,dicionario!$A$1:$C1191,3,0)</f>
        <v>perpétua-rosa</v>
      </c>
    </row>
    <row r="793">
      <c r="A793" s="13">
        <v>45568.0</v>
      </c>
      <c r="B793" s="4">
        <v>0.34305555555555556</v>
      </c>
      <c r="C793" s="17" t="s">
        <v>76</v>
      </c>
      <c r="D793" s="5" t="s">
        <v>352</v>
      </c>
      <c r="E793" s="18" t="s">
        <v>253</v>
      </c>
      <c r="F793" s="7" t="s">
        <v>254</v>
      </c>
      <c r="G793" s="6" t="str">
        <f>VLOOKUP(E793,dicionario!$A$1:$C1192,2,0)</f>
        <v>Panicum maximum</v>
      </c>
      <c r="H793" s="6" t="str">
        <f>VLOOKUP(E793,dicionario!$A$1:$C1192,3,0)</f>
        <v>capim-colonião</v>
      </c>
    </row>
    <row r="794">
      <c r="A794" s="13">
        <v>45568.0</v>
      </c>
      <c r="B794" s="4">
        <v>0.34375</v>
      </c>
      <c r="C794" s="17" t="s">
        <v>76</v>
      </c>
      <c r="D794" s="5" t="s">
        <v>352</v>
      </c>
      <c r="E794" s="18" t="s">
        <v>135</v>
      </c>
      <c r="F794" s="7" t="s">
        <v>136</v>
      </c>
      <c r="G794" s="6" t="str">
        <f>VLOOKUP(E794,dicionario!$A$1:$C1193,2,0)</f>
        <v>Tridax procumbens</v>
      </c>
      <c r="H794" s="6" t="str">
        <f>VLOOKUP(E794,dicionario!$A$1:$C1193,3,0)</f>
        <v>erva-de-touro</v>
      </c>
    </row>
    <row r="795">
      <c r="A795" s="13">
        <v>45568.0</v>
      </c>
      <c r="B795" s="4">
        <v>0.34375</v>
      </c>
      <c r="C795" s="17" t="s">
        <v>76</v>
      </c>
      <c r="D795" s="5" t="s">
        <v>352</v>
      </c>
      <c r="E795" s="6" t="s">
        <v>148</v>
      </c>
      <c r="F795" s="7" t="s">
        <v>149</v>
      </c>
      <c r="G795" s="6" t="str">
        <f>VLOOKUP(E795,dicionario!$A$1:$C1194,2,0)</f>
        <v>Parthenium hysterophorus</v>
      </c>
      <c r="H795" s="6" t="str">
        <f>VLOOKUP(E795,dicionario!$A$1:$C1194,3,0)</f>
        <v>losna-branca</v>
      </c>
    </row>
    <row r="796">
      <c r="A796" s="13">
        <v>45568.0</v>
      </c>
      <c r="B796" s="4">
        <v>0.34375</v>
      </c>
      <c r="C796" s="17" t="s">
        <v>76</v>
      </c>
      <c r="D796" s="5" t="s">
        <v>352</v>
      </c>
      <c r="E796" s="6" t="s">
        <v>83</v>
      </c>
      <c r="F796" s="7" t="s">
        <v>84</v>
      </c>
      <c r="G796" s="6" t="str">
        <f>VLOOKUP(E796,dicionario!$A$1:$C1195,2,0)</f>
        <v>Anartia jatrophae</v>
      </c>
      <c r="H796" s="6" t="str">
        <f>VLOOKUP(E796,dicionario!$A$1:$C1195,3,0)</f>
        <v>borboleta-pavão-branco</v>
      </c>
    </row>
    <row r="797">
      <c r="A797" s="13">
        <v>45568.0</v>
      </c>
      <c r="B797" s="4">
        <v>0.34375</v>
      </c>
      <c r="C797" s="17" t="s">
        <v>76</v>
      </c>
      <c r="D797" s="5" t="s">
        <v>352</v>
      </c>
      <c r="E797" s="18" t="s">
        <v>20</v>
      </c>
      <c r="F797" s="7" t="s">
        <v>21</v>
      </c>
      <c r="G797" s="6" t="str">
        <f>VLOOKUP(E797,dicionario!$A$1:$C1196,2,0)</f>
        <v>Sicalis flaveola</v>
      </c>
      <c r="H797" s="6" t="str">
        <f>VLOOKUP(E797,dicionario!$A$1:$C1196,3,0)</f>
        <v>canário-da-terra</v>
      </c>
    </row>
    <row r="798">
      <c r="A798" s="13">
        <v>45568.0</v>
      </c>
      <c r="B798" s="4">
        <v>0.34375</v>
      </c>
      <c r="C798" s="17" t="s">
        <v>76</v>
      </c>
      <c r="D798" s="5" t="s">
        <v>352</v>
      </c>
      <c r="E798" s="6" t="s">
        <v>286</v>
      </c>
      <c r="F798" s="7" t="s">
        <v>287</v>
      </c>
      <c r="G798" s="6" t="str">
        <f>VLOOKUP(E798,dicionario!$A$1:$C1197,2,0)</f>
        <v>Setaria parviflora</v>
      </c>
      <c r="H798" s="6" t="str">
        <f>VLOOKUP(E798,dicionario!$A$1:$C1197,3,0)</f>
        <v>capim-rabo-de-raposa</v>
      </c>
    </row>
    <row r="799">
      <c r="A799" s="13">
        <v>45568.0</v>
      </c>
      <c r="B799" s="4">
        <v>0.34375</v>
      </c>
      <c r="C799" s="16" t="s">
        <v>76</v>
      </c>
      <c r="D799" s="5" t="s">
        <v>352</v>
      </c>
      <c r="E799" s="18" t="s">
        <v>146</v>
      </c>
      <c r="F799" s="7" t="s">
        <v>147</v>
      </c>
      <c r="G799" s="6" t="str">
        <f>VLOOKUP(E799,dicionario!$A$1:$C1198,2,0)</f>
        <v>Euphorbia hirta</v>
      </c>
      <c r="H799" s="6" t="str">
        <f>VLOOKUP(E799,dicionario!$A$1:$C1198,3,0)</f>
        <v>erva-de-santa-luzia</v>
      </c>
    </row>
    <row r="800">
      <c r="A800" s="13">
        <v>45568.0</v>
      </c>
      <c r="B800" s="4">
        <v>0.3458333333333333</v>
      </c>
      <c r="C800" s="17" t="s">
        <v>76</v>
      </c>
      <c r="D800" s="5" t="s">
        <v>352</v>
      </c>
      <c r="E800" s="6" t="s">
        <v>296</v>
      </c>
      <c r="F800" s="7" t="s">
        <v>297</v>
      </c>
      <c r="G800" s="6" t="str">
        <f>VLOOKUP(E800,dicionario!$A$1:$C1199,2,0)</f>
        <v>Richardia brasiliensis</v>
      </c>
      <c r="H800" s="6" t="str">
        <f>VLOOKUP(E800,dicionario!$A$1:$C1199,3,0)</f>
        <v>poaia-branca</v>
      </c>
    </row>
    <row r="801">
      <c r="A801" s="13">
        <v>45568.0</v>
      </c>
      <c r="B801" s="4">
        <v>0.3458333333333333</v>
      </c>
      <c r="C801" s="16" t="s">
        <v>76</v>
      </c>
      <c r="D801" s="5" t="s">
        <v>352</v>
      </c>
      <c r="E801" s="6" t="s">
        <v>247</v>
      </c>
      <c r="F801" s="7" t="s">
        <v>387</v>
      </c>
      <c r="G801" s="6" t="str">
        <f>VLOOKUP(E801,dicionario!$A$1:$C1200,2,0)</f>
        <v>Emilia sonchifolia</v>
      </c>
      <c r="H801" s="6" t="str">
        <f>VLOOKUP(E801,dicionario!$A$1:$C1200,3,0)</f>
        <v>serralinha</v>
      </c>
    </row>
    <row r="802">
      <c r="A802" s="13">
        <v>45568.0</v>
      </c>
      <c r="B802" s="4">
        <v>0.3458333333333333</v>
      </c>
      <c r="C802" s="16" t="s">
        <v>76</v>
      </c>
      <c r="D802" s="5" t="s">
        <v>352</v>
      </c>
      <c r="E802" s="18" t="s">
        <v>150</v>
      </c>
      <c r="F802" s="7" t="s">
        <v>151</v>
      </c>
      <c r="G802" s="6" t="str">
        <f>VLOOKUP(E802,dicionario!$A$1:$C1201,2,0)</f>
        <v>Amaranthus viridis</v>
      </c>
      <c r="H802" s="6" t="str">
        <f>VLOOKUP(E802,dicionario!$A$1:$C1201,3,0)</f>
        <v>caruru-de-mancha</v>
      </c>
    </row>
    <row r="803">
      <c r="A803" s="13">
        <v>45568.0</v>
      </c>
      <c r="B803" s="4">
        <v>0.3458333333333333</v>
      </c>
      <c r="C803" s="17" t="s">
        <v>76</v>
      </c>
      <c r="D803" s="5" t="s">
        <v>352</v>
      </c>
      <c r="E803" s="6" t="s">
        <v>355</v>
      </c>
      <c r="F803" s="7" t="s">
        <v>356</v>
      </c>
      <c r="G803" s="6" t="str">
        <f>VLOOKUP(E803,dicionario!$A$1:$C1202,2,0)</f>
        <v>Boerhavia diffusa</v>
      </c>
      <c r="H803" s="6" t="str">
        <f>VLOOKUP(E803,dicionario!$A$1:$C1202,3,0)</f>
        <v>erva-tostão</v>
      </c>
    </row>
    <row r="804">
      <c r="A804" s="13">
        <v>45568.0</v>
      </c>
      <c r="B804" s="4">
        <v>0.3458333333333333</v>
      </c>
      <c r="C804" s="17" t="s">
        <v>76</v>
      </c>
      <c r="D804" s="5" t="s">
        <v>352</v>
      </c>
      <c r="E804" s="8" t="s">
        <v>388</v>
      </c>
      <c r="F804" s="5" t="s">
        <v>389</v>
      </c>
      <c r="G804" s="6" t="str">
        <f>VLOOKUP(E804,dicionario!$A$1:$C1203,2,0)</f>
        <v>Bulimulus tenuissimus</v>
      </c>
      <c r="H804" s="6" t="str">
        <f>VLOOKUP(E804,dicionario!$A$1:$C1203,3,0)</f>
        <v>caracol-fantasma</v>
      </c>
    </row>
    <row r="805">
      <c r="A805" s="13">
        <v>45568.0</v>
      </c>
      <c r="B805" s="4">
        <v>0.3472222222222222</v>
      </c>
      <c r="C805" s="17" t="s">
        <v>76</v>
      </c>
      <c r="D805" s="5" t="s">
        <v>352</v>
      </c>
      <c r="E805" s="6" t="s">
        <v>139</v>
      </c>
      <c r="F805" s="7" t="s">
        <v>140</v>
      </c>
      <c r="G805" s="6" t="str">
        <f>VLOOKUP(E805,dicionario!$A$1:$C1204,2,0)</f>
        <v>Tropidurus torquatus</v>
      </c>
      <c r="H805" s="6" t="str">
        <f>VLOOKUP(E805,dicionario!$A$1:$C1204,3,0)</f>
        <v>calango; tropiduro-comum</v>
      </c>
    </row>
    <row r="806">
      <c r="A806" s="13">
        <v>45568.0</v>
      </c>
      <c r="B806" s="4">
        <v>0.3472222222222222</v>
      </c>
      <c r="C806" s="17" t="s">
        <v>76</v>
      </c>
      <c r="D806" s="5" t="s">
        <v>352</v>
      </c>
      <c r="E806" s="6" t="s">
        <v>390</v>
      </c>
      <c r="F806" s="7" t="s">
        <v>391</v>
      </c>
      <c r="G806" s="6" t="str">
        <f>VLOOKUP(E806,dicionario!$A$1:$C1205,2,0)</f>
        <v>Oxalis barrelieri</v>
      </c>
      <c r="H806" s="6" t="str">
        <f>VLOOKUP(E806,dicionario!$A$1:$C1205,3,0)</f>
        <v>erva-azeda; azedinha </v>
      </c>
    </row>
    <row r="807">
      <c r="A807" s="13">
        <v>45568.0</v>
      </c>
      <c r="B807" s="4">
        <v>0.3472222222222222</v>
      </c>
      <c r="C807" s="17" t="s">
        <v>76</v>
      </c>
      <c r="D807" s="5" t="s">
        <v>352</v>
      </c>
      <c r="E807" s="6" t="s">
        <v>256</v>
      </c>
      <c r="F807" s="7" t="s">
        <v>257</v>
      </c>
      <c r="G807" s="6" t="str">
        <f>VLOOKUP(E807,dicionario!$A$1:$C1206,2,0)</f>
        <v>Youngia japonica</v>
      </c>
      <c r="H807" s="6" t="str">
        <f>VLOOKUP(E807,dicionario!$A$1:$C1206,3,0)</f>
        <v>barba-de-falcão</v>
      </c>
    </row>
    <row r="808">
      <c r="A808" s="13">
        <v>45568.0</v>
      </c>
      <c r="B808" s="4">
        <v>0.3472222222222222</v>
      </c>
      <c r="C808" s="17" t="s">
        <v>76</v>
      </c>
      <c r="D808" s="5" t="s">
        <v>352</v>
      </c>
      <c r="E808" s="6" t="s">
        <v>282</v>
      </c>
      <c r="F808" s="7" t="s">
        <v>283</v>
      </c>
      <c r="G808" s="6" t="str">
        <f>VLOOKUP(E808,dicionario!$A$1:$C1207,2,0)</f>
        <v>#N/A</v>
      </c>
      <c r="H808" s="6" t="str">
        <f>VLOOKUP(E808,dicionario!$A$1:$C1207,3,0)</f>
        <v>#N/A</v>
      </c>
    </row>
    <row r="809">
      <c r="A809" s="13">
        <v>45568.0</v>
      </c>
      <c r="B809" s="4">
        <v>0.3472222222222222</v>
      </c>
      <c r="C809" s="17" t="s">
        <v>76</v>
      </c>
      <c r="D809" s="5" t="s">
        <v>352</v>
      </c>
      <c r="E809" s="6" t="s">
        <v>154</v>
      </c>
      <c r="F809" s="7" t="s">
        <v>155</v>
      </c>
      <c r="G809" s="6" t="str">
        <f>VLOOKUP(E809,dicionario!$A$1:$C1208,2,0)</f>
        <v>Cyperus rotundus</v>
      </c>
      <c r="H809" s="6" t="str">
        <f>VLOOKUP(E809,dicionario!$A$1:$C1208,3,0)</f>
        <v>tiririca</v>
      </c>
    </row>
    <row r="810">
      <c r="A810" s="13">
        <v>45568.0</v>
      </c>
      <c r="B810" s="4">
        <v>0.35</v>
      </c>
      <c r="C810" s="17" t="s">
        <v>76</v>
      </c>
      <c r="D810" s="5" t="s">
        <v>352</v>
      </c>
      <c r="E810" s="6" t="s">
        <v>319</v>
      </c>
      <c r="F810" s="7" t="s">
        <v>320</v>
      </c>
      <c r="G810" s="6" t="str">
        <f>VLOOKUP(E810,dicionario!$A$1:$C1209,2,0)</f>
        <v>Schinus terebinthifolia</v>
      </c>
      <c r="H810" s="6" t="str">
        <f>VLOOKUP(E810,dicionario!$A$1:$C1209,3,0)</f>
        <v>aroeira</v>
      </c>
    </row>
    <row r="811">
      <c r="A811" s="13">
        <v>45568.0</v>
      </c>
      <c r="B811" s="4">
        <v>0.35</v>
      </c>
      <c r="C811" s="17" t="s">
        <v>76</v>
      </c>
      <c r="D811" s="5" t="s">
        <v>352</v>
      </c>
      <c r="E811" s="6" t="s">
        <v>202</v>
      </c>
      <c r="F811" s="7" t="s">
        <v>203</v>
      </c>
      <c r="G811" s="6" t="str">
        <f>VLOOKUP(E811,dicionario!$A$1:$C1210,2,0)</f>
        <v>Dysdercus</v>
      </c>
      <c r="H811" s="6" t="str">
        <f>VLOOKUP(E811,dicionario!$A$1:$C1210,3,0)</f>
        <v>percevejo-manchador</v>
      </c>
    </row>
    <row r="812">
      <c r="A812" s="13">
        <v>45568.0</v>
      </c>
      <c r="B812" s="4">
        <v>0.35</v>
      </c>
      <c r="C812" s="17" t="s">
        <v>76</v>
      </c>
      <c r="D812" s="5" t="s">
        <v>352</v>
      </c>
      <c r="E812" s="6" t="s">
        <v>392</v>
      </c>
      <c r="F812" s="7" t="s">
        <v>393</v>
      </c>
      <c r="G812" s="6" t="str">
        <f>VLOOKUP(E812,dicionario!$A$1:$C1211,2,0)</f>
        <v>Triplaris americana</v>
      </c>
      <c r="H812" s="6" t="str">
        <f>VLOOKUP(E812,dicionario!$A$1:$C1211,3,0)</f>
        <v>pau-formiga </v>
      </c>
    </row>
    <row r="813">
      <c r="A813" s="13">
        <v>45568.0</v>
      </c>
      <c r="B813" s="4">
        <v>0.35138888888888886</v>
      </c>
      <c r="C813" s="17" t="s">
        <v>76</v>
      </c>
      <c r="D813" s="5" t="s">
        <v>352</v>
      </c>
      <c r="E813" s="6" t="s">
        <v>394</v>
      </c>
      <c r="F813" s="7" t="s">
        <v>395</v>
      </c>
      <c r="G813" s="6" t="str">
        <f>VLOOKUP(E813,dicionario!$A$1:$C1212,2,0)</f>
        <v>#N/A</v>
      </c>
      <c r="H813" s="6" t="str">
        <f>VLOOKUP(E813,dicionario!$A$1:$C1212,3,0)</f>
        <v>#N/A</v>
      </c>
    </row>
    <row r="814">
      <c r="A814" s="13">
        <v>45568.0</v>
      </c>
      <c r="B814" s="4">
        <v>0.35138888888888886</v>
      </c>
      <c r="C814" s="17" t="s">
        <v>76</v>
      </c>
      <c r="D814" s="5" t="s">
        <v>352</v>
      </c>
      <c r="E814" s="6" t="s">
        <v>245</v>
      </c>
      <c r="F814" s="7" t="s">
        <v>246</v>
      </c>
      <c r="G814" s="6" t="str">
        <f>VLOOKUP(E814,dicionario!$A$1:$C1213,2,0)</f>
        <v>Hemiargus hanno</v>
      </c>
      <c r="H814" s="6" t="str">
        <f>VLOOKUP(E814,dicionario!$A$1:$C1213,3,0)</f>
        <v>borboleta-azulzinha-do-trevo</v>
      </c>
    </row>
    <row r="815">
      <c r="A815" s="13">
        <v>45568.0</v>
      </c>
      <c r="B815" s="4">
        <v>0.35138888888888886</v>
      </c>
      <c r="C815" s="17" t="s">
        <v>76</v>
      </c>
      <c r="D815" s="5" t="s">
        <v>352</v>
      </c>
      <c r="E815" s="6" t="s">
        <v>312</v>
      </c>
      <c r="F815" s="7" t="s">
        <v>285</v>
      </c>
      <c r="G815" s="6" t="str">
        <f>VLOOKUP(E815,dicionario!$A$1:$C1214,2,0)</f>
        <v>#N/A</v>
      </c>
      <c r="H815" s="6" t="str">
        <f>VLOOKUP(E815,dicionario!$A$1:$C1214,3,0)</f>
        <v>#N/A</v>
      </c>
    </row>
    <row r="816">
      <c r="A816" s="13">
        <v>45568.0</v>
      </c>
      <c r="B816" s="4">
        <v>0.3527777777777778</v>
      </c>
      <c r="C816" s="17" t="s">
        <v>76</v>
      </c>
      <c r="D816" s="5" t="s">
        <v>352</v>
      </c>
      <c r="E816" s="6" t="s">
        <v>306</v>
      </c>
      <c r="F816" s="7" t="s">
        <v>307</v>
      </c>
      <c r="G816" s="6" t="str">
        <f>VLOOKUP(E816,dicionario!$A$1:$C1215,2,0)</f>
        <v>#N/A</v>
      </c>
      <c r="H816" s="6" t="str">
        <f>VLOOKUP(E816,dicionario!$A$1:$C1215,3,0)</f>
        <v>#N/A</v>
      </c>
    </row>
    <row r="817">
      <c r="A817" s="13">
        <v>45568.0</v>
      </c>
      <c r="B817" s="4">
        <v>0.3527777777777778</v>
      </c>
      <c r="C817" s="17" t="s">
        <v>76</v>
      </c>
      <c r="D817" s="5" t="s">
        <v>352</v>
      </c>
      <c r="E817" s="6" t="s">
        <v>396</v>
      </c>
      <c r="F817" s="7" t="s">
        <v>397</v>
      </c>
      <c r="G817" s="6" t="str">
        <f>VLOOKUP(E817,dicionario!$A$1:$C1216,2,0)</f>
        <v>#N/A</v>
      </c>
      <c r="H817" s="6" t="str">
        <f>VLOOKUP(E817,dicionario!$A$1:$C1216,3,0)</f>
        <v>#N/A</v>
      </c>
    </row>
    <row r="818">
      <c r="A818" s="13">
        <v>45568.0</v>
      </c>
      <c r="B818" s="4">
        <v>0.3527777777777778</v>
      </c>
      <c r="C818" s="17" t="s">
        <v>76</v>
      </c>
      <c r="D818" s="5" t="s">
        <v>352</v>
      </c>
      <c r="E818" s="6" t="s">
        <v>143</v>
      </c>
      <c r="F818" s="7" t="s">
        <v>63</v>
      </c>
      <c r="G818" s="6" t="str">
        <f>VLOOKUP(E818,dicionario!$A$1:$C1217,2,0)</f>
        <v>Polybia</v>
      </c>
      <c r="H818" s="6" t="str">
        <f>VLOOKUP(E818,dicionario!$A$1:$C1217,3,0)</f>
        <v>vespa</v>
      </c>
    </row>
    <row r="819">
      <c r="A819" s="13">
        <v>45568.0</v>
      </c>
      <c r="B819" s="4">
        <v>0.3541666666666667</v>
      </c>
      <c r="C819" s="17" t="s">
        <v>76</v>
      </c>
      <c r="D819" s="5" t="s">
        <v>352</v>
      </c>
      <c r="E819" s="6" t="s">
        <v>275</v>
      </c>
      <c r="F819" s="7" t="s">
        <v>276</v>
      </c>
      <c r="G819" s="6" t="str">
        <f>VLOOKUP(E819,dicionario!$A$1:$C1218,2,0)</f>
        <v>Bidens pilosa</v>
      </c>
      <c r="H819" s="6" t="str">
        <f>VLOOKUP(E819,dicionario!$A$1:$C1218,3,0)</f>
        <v>picão-preto</v>
      </c>
    </row>
    <row r="820">
      <c r="A820" s="13">
        <v>45568.0</v>
      </c>
      <c r="B820" s="4">
        <v>0.3541666666666667</v>
      </c>
      <c r="C820" s="17" t="s">
        <v>76</v>
      </c>
      <c r="D820" s="5" t="s">
        <v>352</v>
      </c>
      <c r="E820" s="6" t="s">
        <v>271</v>
      </c>
      <c r="F820" s="7" t="s">
        <v>272</v>
      </c>
      <c r="G820" s="6" t="str">
        <f>VLOOKUP(E820,dicionario!$A$1:$C1219,2,0)</f>
        <v>Cyanthillium cinereum</v>
      </c>
      <c r="H820" s="6" t="str">
        <f>VLOOKUP(E820,dicionario!$A$1:$C1219,3,0)</f>
        <v>emília</v>
      </c>
    </row>
    <row r="821">
      <c r="A821" s="13">
        <v>45568.0</v>
      </c>
      <c r="B821" s="4">
        <v>0.35625</v>
      </c>
      <c r="C821" s="17" t="s">
        <v>76</v>
      </c>
      <c r="D821" s="5" t="s">
        <v>352</v>
      </c>
      <c r="E821" s="12" t="s">
        <v>221</v>
      </c>
      <c r="F821" s="7" t="s">
        <v>222</v>
      </c>
      <c r="G821" s="6" t="str">
        <f>VLOOKUP(E821,dicionario!$A$1:$C1220,2,0)</f>
        <v>Volatinia jacarina</v>
      </c>
      <c r="H821" s="6" t="str">
        <f>VLOOKUP(E821,dicionario!$A$1:$C1220,3,0)</f>
        <v>tiziu</v>
      </c>
    </row>
    <row r="822">
      <c r="A822" s="13">
        <v>45568.0</v>
      </c>
      <c r="B822" s="4">
        <v>0.35625</v>
      </c>
      <c r="C822" s="17" t="s">
        <v>76</v>
      </c>
      <c r="D822" s="5" t="s">
        <v>352</v>
      </c>
      <c r="E822" s="6" t="s">
        <v>12</v>
      </c>
      <c r="F822" s="7" t="s">
        <v>13</v>
      </c>
      <c r="G822" s="6" t="str">
        <f>VLOOKUP(E822,dicionario!$A$1:$C1221,2,0)</f>
        <v>Eulaema nigrita</v>
      </c>
      <c r="H822" s="6" t="str">
        <f>VLOOKUP(E822,dicionario!$A$1:$C1221,3,0)</f>
        <v>abelha-de-orquídea</v>
      </c>
    </row>
    <row r="823">
      <c r="A823" s="13">
        <v>45568.0</v>
      </c>
      <c r="B823" s="4">
        <v>0.36319444444444443</v>
      </c>
      <c r="C823" s="5" t="s">
        <v>85</v>
      </c>
      <c r="D823" s="5" t="s">
        <v>352</v>
      </c>
      <c r="E823" s="6" t="s">
        <v>86</v>
      </c>
      <c r="F823" s="7" t="s">
        <v>87</v>
      </c>
      <c r="G823" s="6" t="str">
        <f>VLOOKUP(E823,dicionario!$A$1:$C1222,2,0)</f>
        <v>Coereba flaveola</v>
      </c>
      <c r="H823" s="6" t="str">
        <f>VLOOKUP(E823,dicionario!$A$1:$C1222,3,0)</f>
        <v>cambacica</v>
      </c>
    </row>
    <row r="824">
      <c r="A824" s="13">
        <v>45568.0</v>
      </c>
      <c r="B824" s="4">
        <v>0.36319444444444443</v>
      </c>
      <c r="C824" s="5" t="s">
        <v>85</v>
      </c>
      <c r="D824" s="5" t="s">
        <v>352</v>
      </c>
      <c r="E824" s="6" t="s">
        <v>122</v>
      </c>
      <c r="F824" s="7" t="s">
        <v>123</v>
      </c>
      <c r="G824" s="6" t="str">
        <f>VLOOKUP(E824,dicionario!$A$1:$C1223,2,0)</f>
        <v>Todirostrum cinereum</v>
      </c>
      <c r="H824" s="6" t="str">
        <f>VLOOKUP(E824,dicionario!$A$1:$C1223,3,0)</f>
        <v>ferreirinho-relógio</v>
      </c>
    </row>
    <row r="825">
      <c r="A825" s="13">
        <v>45568.0</v>
      </c>
      <c r="B825" s="4">
        <v>0.36319444444444443</v>
      </c>
      <c r="C825" s="5" t="s">
        <v>85</v>
      </c>
      <c r="D825" s="5" t="s">
        <v>352</v>
      </c>
      <c r="E825" s="6" t="s">
        <v>306</v>
      </c>
      <c r="F825" s="7" t="s">
        <v>307</v>
      </c>
      <c r="G825" s="6" t="str">
        <f>VLOOKUP(E825,dicionario!$A$1:$C1224,2,0)</f>
        <v>#N/A</v>
      </c>
      <c r="H825" s="6" t="str">
        <f>VLOOKUP(E825,dicionario!$A$1:$C1224,3,0)</f>
        <v>#N/A</v>
      </c>
    </row>
    <row r="826">
      <c r="A826" s="13">
        <v>45568.0</v>
      </c>
      <c r="B826" s="4">
        <v>0.3638888888888889</v>
      </c>
      <c r="C826" s="5" t="s">
        <v>85</v>
      </c>
      <c r="D826" s="5" t="s">
        <v>352</v>
      </c>
      <c r="E826" s="18" t="s">
        <v>14</v>
      </c>
      <c r="F826" s="7" t="s">
        <v>15</v>
      </c>
      <c r="G826" s="6" t="str">
        <f>VLOOKUP(E826,dicionario!$A$1:$C1225,2,0)</f>
        <v>Spermacoce verticillata</v>
      </c>
      <c r="H826" s="6" t="str">
        <f>VLOOKUP(E826,dicionario!$A$1:$C1225,3,0)</f>
        <v>vassourinha-de-botão</v>
      </c>
    </row>
    <row r="827">
      <c r="A827" s="13">
        <v>45568.0</v>
      </c>
      <c r="B827" s="4">
        <v>0.3638888888888889</v>
      </c>
      <c r="C827" s="5" t="s">
        <v>85</v>
      </c>
      <c r="D827" s="5" t="s">
        <v>352</v>
      </c>
      <c r="E827" s="6" t="s">
        <v>368</v>
      </c>
      <c r="F827" s="7" t="s">
        <v>35</v>
      </c>
      <c r="G827" s="6" t="str">
        <f>VLOOKUP(E827,dicionario!$A$1:$C1226,2,0)</f>
        <v>#N/A</v>
      </c>
      <c r="H827" s="6" t="str">
        <f>VLOOKUP(E827,dicionario!$A$1:$C1226,3,0)</f>
        <v>#N/A</v>
      </c>
    </row>
    <row r="828">
      <c r="A828" s="13">
        <v>45568.0</v>
      </c>
      <c r="B828" s="4">
        <v>0.3638888888888889</v>
      </c>
      <c r="C828" s="5" t="s">
        <v>85</v>
      </c>
      <c r="D828" s="5" t="s">
        <v>352</v>
      </c>
      <c r="E828" s="6" t="s">
        <v>286</v>
      </c>
      <c r="F828" s="7" t="s">
        <v>287</v>
      </c>
      <c r="G828" s="6" t="str">
        <f>VLOOKUP(E828,dicionario!$A$1:$C1227,2,0)</f>
        <v>Setaria parviflora</v>
      </c>
      <c r="H828" s="6" t="str">
        <f>VLOOKUP(E828,dicionario!$A$1:$C1227,3,0)</f>
        <v>capim-rabo-de-raposa</v>
      </c>
    </row>
    <row r="829">
      <c r="A829" s="13">
        <v>45568.0</v>
      </c>
      <c r="B829" s="4">
        <v>0.3638888888888889</v>
      </c>
      <c r="C829" s="5" t="s">
        <v>85</v>
      </c>
      <c r="D829" s="5" t="s">
        <v>352</v>
      </c>
      <c r="E829" s="6" t="s">
        <v>213</v>
      </c>
      <c r="F829" s="7" t="s">
        <v>214</v>
      </c>
      <c r="G829" s="6" t="str">
        <f>VLOOKUP(E829,dicionario!$A$1:$C1228,2,0)</f>
        <v>Myiozetetes similis</v>
      </c>
      <c r="H829" s="6" t="str">
        <f>VLOOKUP(E829,dicionario!$A$1:$C1228,3,0)</f>
        <v>bentevizinho-de-penacho-vermelho</v>
      </c>
    </row>
    <row r="830">
      <c r="A830" s="13">
        <v>45568.0</v>
      </c>
      <c r="B830" s="4">
        <v>0.36666666666666664</v>
      </c>
      <c r="C830" s="5" t="s">
        <v>85</v>
      </c>
      <c r="D830" s="5" t="s">
        <v>352</v>
      </c>
      <c r="E830" s="6" t="s">
        <v>398</v>
      </c>
      <c r="F830" s="7" t="s">
        <v>35</v>
      </c>
      <c r="G830" s="6" t="str">
        <f>VLOOKUP(E830,dicionario!$A$1:$C1229,2,0)</f>
        <v>#N/A</v>
      </c>
      <c r="H830" s="6" t="str">
        <f>VLOOKUP(E830,dicionario!$A$1:$C1229,3,0)</f>
        <v>#N/A</v>
      </c>
    </row>
    <row r="831">
      <c r="A831" s="13">
        <v>45568.0</v>
      </c>
      <c r="B831" s="4">
        <v>0.36666666666666664</v>
      </c>
      <c r="C831" s="5" t="s">
        <v>85</v>
      </c>
      <c r="D831" s="5" t="s">
        <v>352</v>
      </c>
      <c r="E831" s="18" t="s">
        <v>135</v>
      </c>
      <c r="F831" s="7" t="s">
        <v>136</v>
      </c>
      <c r="G831" s="6" t="str">
        <f>VLOOKUP(E831,dicionario!$A$1:$C1230,2,0)</f>
        <v>Tridax procumbens</v>
      </c>
      <c r="H831" s="6" t="str">
        <f>VLOOKUP(E831,dicionario!$A$1:$C1230,3,0)</f>
        <v>erva-de-touro</v>
      </c>
    </row>
    <row r="832">
      <c r="A832" s="13">
        <v>45568.0</v>
      </c>
      <c r="B832" s="4">
        <v>0.36666666666666664</v>
      </c>
      <c r="C832" s="5" t="s">
        <v>85</v>
      </c>
      <c r="D832" s="5" t="s">
        <v>352</v>
      </c>
      <c r="E832" s="8" t="s">
        <v>46</v>
      </c>
      <c r="F832" s="5" t="s">
        <v>47</v>
      </c>
      <c r="G832" s="6" t="str">
        <f>VLOOKUP(E832,dicionario!$A$1:$C1231,2,0)</f>
        <v>Chionomesa fimbriata</v>
      </c>
      <c r="H832" s="6" t="str">
        <f>VLOOKUP(E832,dicionario!$A$1:$C1231,3,0)</f>
        <v>beija-flor-de-garganta-verde</v>
      </c>
    </row>
    <row r="833">
      <c r="A833" s="13">
        <v>45568.0</v>
      </c>
      <c r="B833" s="4">
        <v>0.3680555555555556</v>
      </c>
      <c r="C833" s="5" t="s">
        <v>85</v>
      </c>
      <c r="D833" s="5" t="s">
        <v>352</v>
      </c>
      <c r="E833" s="6" t="s">
        <v>51</v>
      </c>
      <c r="F833" s="7" t="s">
        <v>321</v>
      </c>
      <c r="G833" s="6" t="str">
        <f>VLOOKUP(E833,dicionario!$A$1:$C1232,2,0)</f>
        <v>Solenopsis</v>
      </c>
      <c r="H833" s="6" t="str">
        <f>VLOOKUP(E833,dicionario!$A$1:$C1232,3,0)</f>
        <v>formiga-quente; formiga-lava-pés; formiga-de-fogo</v>
      </c>
    </row>
    <row r="834">
      <c r="A834" s="13">
        <v>45568.0</v>
      </c>
      <c r="B834" s="4">
        <v>0.3680555555555556</v>
      </c>
      <c r="C834" s="5" t="s">
        <v>85</v>
      </c>
      <c r="D834" s="5" t="s">
        <v>352</v>
      </c>
      <c r="E834" s="6" t="s">
        <v>227</v>
      </c>
      <c r="F834" s="7" t="s">
        <v>228</v>
      </c>
      <c r="G834" s="6" t="str">
        <f>VLOOKUP(E834,dicionario!$A$1:$C1233,2,0)</f>
        <v>Indigofera hirsuta</v>
      </c>
      <c r="H834" s="6" t="str">
        <f>VLOOKUP(E834,dicionario!$A$1:$C1233,3,0)</f>
        <v>anileira</v>
      </c>
    </row>
    <row r="835">
      <c r="A835" s="13">
        <v>45568.0</v>
      </c>
      <c r="B835" s="4">
        <v>0.3680555555555556</v>
      </c>
      <c r="C835" s="5" t="s">
        <v>85</v>
      </c>
      <c r="D835" s="5" t="s">
        <v>352</v>
      </c>
      <c r="E835" s="6" t="s">
        <v>378</v>
      </c>
      <c r="F835" s="7" t="s">
        <v>205</v>
      </c>
      <c r="G835" s="6" t="str">
        <f>VLOOKUP(E835,dicionario!$A$1:$C1234,2,0)</f>
        <v>Polistes</v>
      </c>
      <c r="H835" s="6" t="str">
        <f>VLOOKUP(E835,dicionario!$A$1:$C1234,3,0)</f>
        <v>marimbondo</v>
      </c>
    </row>
    <row r="836">
      <c r="A836" s="13">
        <v>45568.0</v>
      </c>
      <c r="B836" s="4">
        <v>0.3680555555555556</v>
      </c>
      <c r="C836" s="5" t="s">
        <v>85</v>
      </c>
      <c r="D836" s="5" t="s">
        <v>352</v>
      </c>
      <c r="E836" s="6" t="s">
        <v>399</v>
      </c>
      <c r="F836" s="7" t="s">
        <v>400</v>
      </c>
      <c r="G836" s="6" t="str">
        <f>VLOOKUP(E836,dicionario!$A$1:$C1235,2,0)</f>
        <v>Varronia curassavica</v>
      </c>
      <c r="H836" s="6" t="str">
        <f>VLOOKUP(E836,dicionario!$A$1:$C1235,3,0)</f>
        <v>erva-baleeira</v>
      </c>
    </row>
    <row r="837">
      <c r="A837" s="13">
        <v>45568.0</v>
      </c>
      <c r="B837" s="4">
        <v>0.3680555555555556</v>
      </c>
      <c r="C837" s="5" t="s">
        <v>85</v>
      </c>
      <c r="D837" s="5" t="s">
        <v>352</v>
      </c>
      <c r="E837" s="6" t="s">
        <v>53</v>
      </c>
      <c r="F837" s="7" t="s">
        <v>314</v>
      </c>
      <c r="G837" s="6" t="str">
        <f>VLOOKUP(E837,dicionario!$A$1:$C1236,2,0)</f>
        <v>Turnera subulata</v>
      </c>
      <c r="H837" s="6" t="str">
        <f>VLOOKUP(E837,dicionario!$A$1:$C1236,3,0)</f>
        <v>xanana</v>
      </c>
    </row>
    <row r="838">
      <c r="A838" s="13">
        <v>45568.0</v>
      </c>
      <c r="B838" s="4">
        <v>0.37083333333333335</v>
      </c>
      <c r="C838" s="5" t="s">
        <v>85</v>
      </c>
      <c r="D838" s="5" t="s">
        <v>352</v>
      </c>
      <c r="E838" s="6" t="s">
        <v>245</v>
      </c>
      <c r="F838" s="7" t="s">
        <v>246</v>
      </c>
      <c r="G838" s="6" t="str">
        <f>VLOOKUP(E838,dicionario!$A$1:$C1237,2,0)</f>
        <v>Hemiargus hanno</v>
      </c>
      <c r="H838" s="6" t="str">
        <f>VLOOKUP(E838,dicionario!$A$1:$C1237,3,0)</f>
        <v>borboleta-azulzinha-do-trevo</v>
      </c>
    </row>
    <row r="839">
      <c r="A839" s="13">
        <v>45568.0</v>
      </c>
      <c r="B839" s="4">
        <v>0.37083333333333335</v>
      </c>
      <c r="C839" s="5" t="s">
        <v>85</v>
      </c>
      <c r="D839" s="5" t="s">
        <v>352</v>
      </c>
      <c r="E839" s="6" t="s">
        <v>111</v>
      </c>
      <c r="F839" s="7" t="s">
        <v>112</v>
      </c>
      <c r="G839" s="6" t="str">
        <f>VLOOKUP(E839,dicionario!$A$1:$C1238,2,0)</f>
        <v>Trigona spinipes</v>
      </c>
      <c r="H839" s="6" t="str">
        <f>VLOOKUP(E839,dicionario!$A$1:$C1238,3,0)</f>
        <v>abelha-cachorro</v>
      </c>
    </row>
    <row r="840">
      <c r="A840" s="13">
        <v>45568.0</v>
      </c>
      <c r="B840" s="4">
        <v>0.37083333333333335</v>
      </c>
      <c r="C840" s="5" t="s">
        <v>85</v>
      </c>
      <c r="D840" s="5" t="s">
        <v>352</v>
      </c>
      <c r="E840" s="18" t="s">
        <v>150</v>
      </c>
      <c r="F840" s="7" t="s">
        <v>151</v>
      </c>
      <c r="G840" s="6" t="str">
        <f>VLOOKUP(E840,dicionario!$A$1:$C1239,2,0)</f>
        <v>Amaranthus viridis</v>
      </c>
      <c r="H840" s="6" t="str">
        <f>VLOOKUP(E840,dicionario!$A$1:$C1239,3,0)</f>
        <v>caruru-de-mancha</v>
      </c>
    </row>
    <row r="841">
      <c r="A841" s="13">
        <v>45568.0</v>
      </c>
      <c r="B841" s="4">
        <v>0.37083333333333335</v>
      </c>
      <c r="C841" s="5" t="s">
        <v>85</v>
      </c>
      <c r="D841" s="5" t="s">
        <v>352</v>
      </c>
      <c r="E841" s="18" t="s">
        <v>253</v>
      </c>
      <c r="F841" s="7" t="s">
        <v>254</v>
      </c>
      <c r="G841" s="6" t="str">
        <f>VLOOKUP(E841,dicionario!$A$1:$C1240,2,0)</f>
        <v>Panicum maximum</v>
      </c>
      <c r="H841" s="6" t="str">
        <f>VLOOKUP(E841,dicionario!$A$1:$C1240,3,0)</f>
        <v>capim-colonião</v>
      </c>
    </row>
    <row r="842">
      <c r="A842" s="13">
        <v>45568.0</v>
      </c>
      <c r="B842" s="4">
        <v>0.37083333333333335</v>
      </c>
      <c r="C842" s="5" t="s">
        <v>85</v>
      </c>
      <c r="D842" s="5" t="s">
        <v>352</v>
      </c>
      <c r="E842" s="6" t="s">
        <v>148</v>
      </c>
      <c r="F842" s="7" t="s">
        <v>149</v>
      </c>
      <c r="G842" s="6" t="str">
        <f>VLOOKUP(E842,dicionario!$A$1:$C1241,2,0)</f>
        <v>Parthenium hysterophorus</v>
      </c>
      <c r="H842" s="6" t="str">
        <f>VLOOKUP(E842,dicionario!$A$1:$C1241,3,0)</f>
        <v>losna-branca</v>
      </c>
    </row>
    <row r="843">
      <c r="A843" s="13">
        <v>45568.0</v>
      </c>
      <c r="B843" s="4">
        <v>0.37222222222222223</v>
      </c>
      <c r="C843" s="5" t="s">
        <v>85</v>
      </c>
      <c r="D843" s="5" t="s">
        <v>352</v>
      </c>
      <c r="E843" s="6" t="s">
        <v>243</v>
      </c>
      <c r="F843" s="7" t="s">
        <v>244</v>
      </c>
      <c r="G843" s="6" t="str">
        <f>VLOOKUP(E843,dicionario!$A$1:$C1242,2,0)</f>
        <v>Macroptilium atropurpureum</v>
      </c>
      <c r="H843" s="6" t="str">
        <f>VLOOKUP(E843,dicionario!$A$1:$C1242,3,0)</f>
        <v>feijão-de-pombo</v>
      </c>
    </row>
    <row r="844">
      <c r="A844" s="13">
        <v>45568.0</v>
      </c>
      <c r="B844" s="4">
        <v>0.37222222222222223</v>
      </c>
      <c r="C844" s="5" t="s">
        <v>85</v>
      </c>
      <c r="D844" s="5" t="s">
        <v>352</v>
      </c>
      <c r="E844" s="6" t="s">
        <v>296</v>
      </c>
      <c r="F844" s="7" t="s">
        <v>297</v>
      </c>
      <c r="G844" s="6" t="str">
        <f>VLOOKUP(E844,dicionario!$A$1:$C1243,2,0)</f>
        <v>Richardia brasiliensis</v>
      </c>
      <c r="H844" s="6" t="str">
        <f>VLOOKUP(E844,dicionario!$A$1:$C1243,3,0)</f>
        <v>poaia-branca</v>
      </c>
    </row>
    <row r="845">
      <c r="A845" s="13">
        <v>45568.0</v>
      </c>
      <c r="B845" s="4">
        <v>0.37222222222222223</v>
      </c>
      <c r="C845" s="5" t="s">
        <v>85</v>
      </c>
      <c r="D845" s="5" t="s">
        <v>352</v>
      </c>
      <c r="E845" s="18" t="s">
        <v>146</v>
      </c>
      <c r="F845" s="7" t="s">
        <v>147</v>
      </c>
      <c r="G845" s="6" t="str">
        <f>VLOOKUP(E845,dicionario!$A$1:$C1244,2,0)</f>
        <v>Euphorbia hirta</v>
      </c>
      <c r="H845" s="6" t="str">
        <f>VLOOKUP(E845,dicionario!$A$1:$C1244,3,0)</f>
        <v>erva-de-santa-luzia</v>
      </c>
    </row>
    <row r="846">
      <c r="A846" s="13">
        <v>45568.0</v>
      </c>
      <c r="B846" s="4">
        <v>0.37222222222222223</v>
      </c>
      <c r="C846" s="5" t="s">
        <v>85</v>
      </c>
      <c r="D846" s="5" t="s">
        <v>352</v>
      </c>
      <c r="E846" s="6" t="s">
        <v>69</v>
      </c>
      <c r="F846" s="7" t="s">
        <v>71</v>
      </c>
      <c r="G846" s="6" t="str">
        <f>VLOOKUP(E846,dicionario!$A$1:$C1245,2,0)</f>
        <v>Talinum fruticosum</v>
      </c>
      <c r="H846" s="6" t="str">
        <f>VLOOKUP(E846,dicionario!$A$1:$C1245,3,0)</f>
        <v>beldroega-grande</v>
      </c>
    </row>
    <row r="847">
      <c r="A847" s="13">
        <v>45568.0</v>
      </c>
      <c r="B847" s="4">
        <v>0.37222222222222223</v>
      </c>
      <c r="C847" s="5" t="s">
        <v>85</v>
      </c>
      <c r="D847" s="5" t="s">
        <v>352</v>
      </c>
      <c r="E847" s="6" t="s">
        <v>401</v>
      </c>
      <c r="F847" s="7" t="s">
        <v>402</v>
      </c>
      <c r="G847" s="6" t="str">
        <f>VLOOKUP(E847,dicionario!$A$1:$C1246,2,0)</f>
        <v>Cissus verticillata</v>
      </c>
      <c r="H847" s="6" t="str">
        <f>VLOOKUP(E847,dicionario!$A$1:$C1246,3,0)</f>
        <v>uva-do-mato</v>
      </c>
    </row>
    <row r="848">
      <c r="A848" s="13">
        <v>45568.0</v>
      </c>
      <c r="B848" s="4">
        <v>0.37222222222222223</v>
      </c>
      <c r="C848" s="5" t="s">
        <v>85</v>
      </c>
      <c r="D848" s="5" t="s">
        <v>352</v>
      </c>
      <c r="E848" s="6" t="s">
        <v>267</v>
      </c>
      <c r="F848" s="7" t="s">
        <v>268</v>
      </c>
      <c r="G848" s="6" t="str">
        <f>VLOOKUP(E848,dicionario!$A$1:$C1247,2,0)</f>
        <v>Solanum americanum</v>
      </c>
      <c r="H848" s="6" t="str">
        <f>VLOOKUP(E848,dicionario!$A$1:$C1247,3,0)</f>
        <v>maria-pretinha</v>
      </c>
    </row>
    <row r="849">
      <c r="A849" s="13">
        <v>45568.0</v>
      </c>
      <c r="B849" s="4">
        <v>0.37222222222222223</v>
      </c>
      <c r="C849" s="5" t="s">
        <v>85</v>
      </c>
      <c r="D849" s="5" t="s">
        <v>352</v>
      </c>
      <c r="E849" s="6" t="s">
        <v>403</v>
      </c>
      <c r="F849" s="5" t="s">
        <v>404</v>
      </c>
      <c r="G849" s="6" t="str">
        <f>VLOOKUP(E849,dicionario!$A$1:$C1248,2,0)</f>
        <v>Trianthema portulacastrum</v>
      </c>
      <c r="H849" s="6" t="str">
        <f>VLOOKUP(E849,dicionario!$A$1:$C1248,3,0)</f>
        <v/>
      </c>
    </row>
    <row r="850">
      <c r="A850" s="13">
        <v>45568.0</v>
      </c>
      <c r="B850" s="4">
        <v>0.37222222222222223</v>
      </c>
      <c r="C850" s="5" t="s">
        <v>85</v>
      </c>
      <c r="D850" s="5" t="s">
        <v>352</v>
      </c>
      <c r="E850" s="6" t="s">
        <v>405</v>
      </c>
      <c r="F850" s="5" t="s">
        <v>406</v>
      </c>
      <c r="G850" s="6" t="str">
        <f>VLOOKUP(E850,dicionario!$A$1:$C1249,2,0)</f>
        <v>Ectatomma</v>
      </c>
      <c r="H850" s="6" t="str">
        <f>VLOOKUP(E850,dicionario!$A$1:$C1249,3,0)</f>
        <v>formiga-preta</v>
      </c>
    </row>
    <row r="851">
      <c r="A851" s="13">
        <v>45568.0</v>
      </c>
      <c r="B851" s="4">
        <v>0.3763888888888889</v>
      </c>
      <c r="C851" s="5" t="s">
        <v>90</v>
      </c>
      <c r="D851" s="5" t="s">
        <v>352</v>
      </c>
      <c r="E851" s="6" t="s">
        <v>215</v>
      </c>
      <c r="F851" s="7" t="s">
        <v>216</v>
      </c>
      <c r="G851" s="6" t="str">
        <f>VLOOKUP(E851,dicionario!$A$1:$C1250,2,0)</f>
        <v>Pygochelidon cyanoleuca</v>
      </c>
      <c r="H851" s="6" t="str">
        <f>VLOOKUP(E851,dicionario!$A$1:$C1250,3,0)</f>
        <v>andorinha-pequena-de-casa</v>
      </c>
    </row>
    <row r="852">
      <c r="A852" s="13">
        <v>45568.0</v>
      </c>
      <c r="B852" s="4">
        <v>0.3763888888888889</v>
      </c>
      <c r="C852" s="5" t="s">
        <v>90</v>
      </c>
      <c r="D852" s="5" t="s">
        <v>352</v>
      </c>
      <c r="E852" s="6" t="s">
        <v>227</v>
      </c>
      <c r="F852" s="7" t="s">
        <v>228</v>
      </c>
      <c r="G852" s="6" t="str">
        <f>VLOOKUP(E852,dicionario!$A$1:$C1251,2,0)</f>
        <v>Indigofera hirsuta</v>
      </c>
      <c r="H852" s="6" t="str">
        <f>VLOOKUP(E852,dicionario!$A$1:$C1251,3,0)</f>
        <v>anileira</v>
      </c>
    </row>
    <row r="853">
      <c r="A853" s="13">
        <v>45568.0</v>
      </c>
      <c r="B853" s="4">
        <v>0.3763888888888889</v>
      </c>
      <c r="C853" s="5" t="s">
        <v>90</v>
      </c>
      <c r="D853" s="5" t="s">
        <v>352</v>
      </c>
      <c r="E853" s="6" t="s">
        <v>53</v>
      </c>
      <c r="F853" s="7" t="s">
        <v>314</v>
      </c>
      <c r="G853" s="6" t="str">
        <f>VLOOKUP(E853,dicionario!$A$1:$C1252,2,0)</f>
        <v>Turnera subulata</v>
      </c>
      <c r="H853" s="6" t="str">
        <f>VLOOKUP(E853,dicionario!$A$1:$C1252,3,0)</f>
        <v>xanana</v>
      </c>
    </row>
    <row r="854">
      <c r="A854" s="13">
        <v>45568.0</v>
      </c>
      <c r="B854" s="4">
        <v>0.3763888888888889</v>
      </c>
      <c r="C854" s="5" t="s">
        <v>90</v>
      </c>
      <c r="D854" s="5" t="s">
        <v>352</v>
      </c>
      <c r="E854" s="6" t="s">
        <v>245</v>
      </c>
      <c r="F854" s="7" t="s">
        <v>246</v>
      </c>
      <c r="G854" s="6" t="str">
        <f>VLOOKUP(E854,dicionario!$A$1:$C1253,2,0)</f>
        <v>Hemiargus hanno</v>
      </c>
      <c r="H854" s="6" t="str">
        <f>VLOOKUP(E854,dicionario!$A$1:$C1253,3,0)</f>
        <v>borboleta-azulzinha-do-trevo</v>
      </c>
    </row>
    <row r="855">
      <c r="A855" s="13">
        <v>45568.0</v>
      </c>
      <c r="B855" s="4">
        <v>0.3763888888888889</v>
      </c>
      <c r="C855" s="5" t="s">
        <v>90</v>
      </c>
      <c r="D855" s="5" t="s">
        <v>352</v>
      </c>
      <c r="E855" s="6" t="s">
        <v>14</v>
      </c>
      <c r="F855" s="7" t="s">
        <v>15</v>
      </c>
      <c r="G855" s="6" t="str">
        <f>VLOOKUP(E855,dicionario!$A$1:$C1254,2,0)</f>
        <v>Spermacoce verticillata</v>
      </c>
      <c r="H855" s="6" t="str">
        <f>VLOOKUP(E855,dicionario!$A$1:$C1254,3,0)</f>
        <v>vassourinha-de-botão</v>
      </c>
    </row>
    <row r="856">
      <c r="A856" s="13">
        <v>45568.0</v>
      </c>
      <c r="B856" s="4">
        <v>0.37916666666666665</v>
      </c>
      <c r="C856" s="5" t="s">
        <v>90</v>
      </c>
      <c r="D856" s="5" t="s">
        <v>352</v>
      </c>
      <c r="E856" s="18" t="s">
        <v>88</v>
      </c>
      <c r="F856" s="7" t="s">
        <v>89</v>
      </c>
      <c r="G856" s="6" t="str">
        <f>VLOOKUP(E856,dicionario!$A$1:$C1255,2,0)</f>
        <v>Tyrannus melancolichus</v>
      </c>
      <c r="H856" s="6" t="str">
        <f>VLOOKUP(E856,dicionario!$A$1:$C1255,3,0)</f>
        <v>suiriri</v>
      </c>
    </row>
    <row r="857">
      <c r="A857" s="13">
        <v>45568.0</v>
      </c>
      <c r="B857" s="4">
        <v>0.37916666666666665</v>
      </c>
      <c r="C857" s="5" t="s">
        <v>90</v>
      </c>
      <c r="D857" s="5" t="s">
        <v>352</v>
      </c>
      <c r="E857" s="6" t="s">
        <v>239</v>
      </c>
      <c r="F857" s="7" t="s">
        <v>240</v>
      </c>
      <c r="G857" s="6" t="str">
        <f>VLOOKUP(E857,dicionario!$A$1:$C1256,2,0)</f>
        <v>Gomphrena celosioides</v>
      </c>
      <c r="H857" s="6" t="str">
        <f>VLOOKUP(E857,dicionario!$A$1:$C1256,3,0)</f>
        <v>perpétua-branca</v>
      </c>
    </row>
    <row r="858">
      <c r="A858" s="13">
        <v>45568.0</v>
      </c>
      <c r="B858" s="4">
        <v>0.37916666666666665</v>
      </c>
      <c r="C858" s="5" t="s">
        <v>90</v>
      </c>
      <c r="D858" s="5" t="s">
        <v>352</v>
      </c>
      <c r="E858" s="6" t="s">
        <v>338</v>
      </c>
      <c r="F858" s="7" t="s">
        <v>238</v>
      </c>
      <c r="G858" s="6" t="str">
        <f>VLOOKUP(E858,dicionario!$A$1:$C1257,2,0)</f>
        <v>Atta</v>
      </c>
      <c r="H858" s="6" t="str">
        <f>VLOOKUP(E858,dicionario!$A$1:$C1257,3,0)</f>
        <v>saúva</v>
      </c>
    </row>
    <row r="859">
      <c r="A859" s="13">
        <v>45568.0</v>
      </c>
      <c r="B859" s="4">
        <v>0.37916666666666665</v>
      </c>
      <c r="C859" s="5" t="s">
        <v>90</v>
      </c>
      <c r="D859" s="5" t="s">
        <v>352</v>
      </c>
      <c r="E859" s="6" t="s">
        <v>175</v>
      </c>
      <c r="F859" s="7" t="s">
        <v>176</v>
      </c>
      <c r="G859" s="6" t="str">
        <f>VLOOKUP(E859,dicionario!$A$1:$C1258,2,0)</f>
        <v>Turdus leucomelas</v>
      </c>
      <c r="H859" s="6" t="str">
        <f>VLOOKUP(E859,dicionario!$A$1:$C1258,3,0)</f>
        <v>sabiá-barranco</v>
      </c>
    </row>
    <row r="860">
      <c r="A860" s="13">
        <v>45568.0</v>
      </c>
      <c r="B860" s="4">
        <v>0.37916666666666665</v>
      </c>
      <c r="C860" s="5" t="s">
        <v>90</v>
      </c>
      <c r="D860" s="5" t="s">
        <v>352</v>
      </c>
      <c r="E860" s="6" t="s">
        <v>43</v>
      </c>
      <c r="F860" s="7" t="s">
        <v>44</v>
      </c>
      <c r="G860" s="6" t="str">
        <f>VLOOKUP(E860,dicionario!$A$1:$C1259,2,0)</f>
        <v>Columba livia</v>
      </c>
      <c r="H860" s="6" t="str">
        <f>VLOOKUP(E860,dicionario!$A$1:$C1259,3,0)</f>
        <v>pombo-doméstico</v>
      </c>
    </row>
    <row r="861">
      <c r="A861" s="13">
        <v>45568.0</v>
      </c>
      <c r="B861" s="4">
        <v>0.37916666666666665</v>
      </c>
      <c r="C861" s="5" t="s">
        <v>90</v>
      </c>
      <c r="D861" s="5" t="s">
        <v>352</v>
      </c>
      <c r="E861" s="6" t="s">
        <v>72</v>
      </c>
      <c r="F861" s="7" t="s">
        <v>73</v>
      </c>
      <c r="G861" s="6" t="str">
        <f>VLOOKUP(E861,dicionario!$A$1:$C1260,2,0)</f>
        <v>Thraupis palmarum</v>
      </c>
      <c r="H861" s="6" t="str">
        <f>VLOOKUP(E861,dicionario!$A$1:$C1260,3,0)</f>
        <v>sanhaço-do-coqueiro</v>
      </c>
    </row>
    <row r="862">
      <c r="A862" s="13">
        <v>45568.0</v>
      </c>
      <c r="B862" s="4">
        <v>0.3798611111111111</v>
      </c>
      <c r="C862" s="5" t="s">
        <v>90</v>
      </c>
      <c r="D862" s="5" t="s">
        <v>352</v>
      </c>
      <c r="E862" s="6" t="s">
        <v>105</v>
      </c>
      <c r="F862" s="7" t="s">
        <v>106</v>
      </c>
      <c r="G862" s="6" t="str">
        <f>VLOOKUP(E862,dicionario!$A$1:$C1261,2,0)</f>
        <v>Progne tapera</v>
      </c>
      <c r="H862" s="6" t="str">
        <f>VLOOKUP(E862,dicionario!$A$1:$C1261,3,0)</f>
        <v>andorinha-do-campo</v>
      </c>
    </row>
    <row r="863">
      <c r="A863" s="13">
        <v>45568.0</v>
      </c>
      <c r="B863" s="4">
        <v>0.3798611111111111</v>
      </c>
      <c r="C863" s="5" t="s">
        <v>90</v>
      </c>
      <c r="D863" s="5" t="s">
        <v>352</v>
      </c>
      <c r="E863" s="18" t="s">
        <v>343</v>
      </c>
      <c r="F863" s="7" t="s">
        <v>192</v>
      </c>
      <c r="G863" s="6" t="str">
        <f>VLOOKUP(E863,dicionario!$A$1:$C1262,2,0)</f>
        <v>#N/A</v>
      </c>
      <c r="H863" s="6" t="str">
        <f>VLOOKUP(E863,dicionario!$A$1:$C1262,3,0)</f>
        <v>#N/A</v>
      </c>
    </row>
    <row r="864">
      <c r="A864" s="13">
        <v>45568.0</v>
      </c>
      <c r="B864" s="4">
        <v>0.3798611111111111</v>
      </c>
      <c r="C864" s="5" t="s">
        <v>90</v>
      </c>
      <c r="D864" s="5" t="s">
        <v>352</v>
      </c>
      <c r="E864" s="6" t="s">
        <v>213</v>
      </c>
      <c r="F864" s="7" t="s">
        <v>214</v>
      </c>
      <c r="G864" s="6" t="str">
        <f>VLOOKUP(E864,dicionario!$A$1:$C1263,2,0)</f>
        <v>Myiozetetes similis</v>
      </c>
      <c r="H864" s="6" t="str">
        <f>VLOOKUP(E864,dicionario!$A$1:$C1263,3,0)</f>
        <v>bentevizinho-de-penacho-vermelho</v>
      </c>
    </row>
    <row r="865">
      <c r="A865" s="13">
        <v>45568.0</v>
      </c>
      <c r="B865" s="4">
        <v>0.3798611111111111</v>
      </c>
      <c r="C865" s="5" t="s">
        <v>90</v>
      </c>
      <c r="D865" s="5" t="s">
        <v>352</v>
      </c>
      <c r="E865" s="6" t="s">
        <v>162</v>
      </c>
      <c r="F865" s="7" t="s">
        <v>42</v>
      </c>
      <c r="G865" s="6" t="str">
        <f>VLOOKUP(E865,dicionario!$A$1:$C1264,2,0)</f>
        <v>Fluvicola nengeta</v>
      </c>
      <c r="H865" s="6" t="str">
        <f>VLOOKUP(E865,dicionario!$A$1:$C1264,3,0)</f>
        <v>lavadeira-mascarada</v>
      </c>
    </row>
    <row r="866">
      <c r="A866" s="13">
        <v>45568.0</v>
      </c>
      <c r="B866" s="4">
        <v>0.3840277777777778</v>
      </c>
      <c r="C866" s="5" t="s">
        <v>90</v>
      </c>
      <c r="D866" s="5" t="s">
        <v>352</v>
      </c>
      <c r="E866" s="8" t="s">
        <v>46</v>
      </c>
      <c r="F866" s="5" t="s">
        <v>47</v>
      </c>
      <c r="G866" s="6" t="str">
        <f>VLOOKUP(E866,dicionario!$A$1:$C1265,2,0)</f>
        <v>Chionomesa fimbriata</v>
      </c>
      <c r="H866" s="6" t="str">
        <f>VLOOKUP(E866,dicionario!$A$1:$C1265,3,0)</f>
        <v>beija-flor-de-garganta-verde</v>
      </c>
    </row>
    <row r="867">
      <c r="A867" s="13">
        <v>45568.0</v>
      </c>
      <c r="B867" s="4">
        <v>0.3840277777777778</v>
      </c>
      <c r="C867" s="5" t="s">
        <v>90</v>
      </c>
      <c r="D867" s="5" t="s">
        <v>352</v>
      </c>
      <c r="E867" s="6" t="s">
        <v>407</v>
      </c>
      <c r="F867" s="7" t="s">
        <v>408</v>
      </c>
      <c r="G867" s="6" t="str">
        <f>VLOOKUP(E867,dicionario!$A$1:$C1266,2,0)</f>
        <v>#N/A</v>
      </c>
      <c r="H867" s="6" t="str">
        <f>VLOOKUP(E867,dicionario!$A$1:$C1266,3,0)</f>
        <v>#N/A</v>
      </c>
    </row>
    <row r="868">
      <c r="A868" s="13">
        <v>45568.0</v>
      </c>
      <c r="B868" s="4">
        <v>0.3840277777777778</v>
      </c>
      <c r="C868" s="5" t="s">
        <v>90</v>
      </c>
      <c r="D868" s="5" t="s">
        <v>352</v>
      </c>
      <c r="E868" s="6" t="s">
        <v>143</v>
      </c>
      <c r="F868" s="7" t="s">
        <v>63</v>
      </c>
      <c r="G868" s="6" t="str">
        <f>VLOOKUP(E868,dicionario!$A$1:$C1267,2,0)</f>
        <v>Polybia</v>
      </c>
      <c r="H868" s="6" t="str">
        <f>VLOOKUP(E868,dicionario!$A$1:$C1267,3,0)</f>
        <v>vespa</v>
      </c>
    </row>
    <row r="869">
      <c r="A869" s="3">
        <v>45575.0</v>
      </c>
      <c r="B869" s="4">
        <v>0.2659722222222222</v>
      </c>
      <c r="C869" s="5" t="s">
        <v>90</v>
      </c>
      <c r="D869" s="5" t="s">
        <v>409</v>
      </c>
      <c r="E869" s="6" t="s">
        <v>338</v>
      </c>
      <c r="F869" s="7" t="s">
        <v>238</v>
      </c>
      <c r="G869" s="6" t="str">
        <f>VLOOKUP(E869,dicionario!$A$1:$C1268,2,0)</f>
        <v>Atta</v>
      </c>
      <c r="H869" s="6" t="str">
        <f>VLOOKUP(E869,dicionario!$A$1:$C1268,3,0)</f>
        <v>saúva</v>
      </c>
    </row>
    <row r="870">
      <c r="A870" s="3">
        <v>45575.0</v>
      </c>
      <c r="B870" s="4">
        <v>0.26666666666666666</v>
      </c>
      <c r="C870" s="5" t="s">
        <v>90</v>
      </c>
      <c r="D870" s="5" t="s">
        <v>409</v>
      </c>
      <c r="E870" s="6" t="s">
        <v>55</v>
      </c>
      <c r="F870" s="5" t="s">
        <v>56</v>
      </c>
      <c r="G870" s="6" t="str">
        <f>VLOOKUP(E870,dicionario!$A$1:$C1269,2,0)</f>
        <v>Cubaris murina</v>
      </c>
      <c r="H870" s="6" t="str">
        <f>VLOOKUP(E870,dicionario!$A$1:$C1269,3,0)</f>
        <v>tatuzinho-de-jardim</v>
      </c>
    </row>
    <row r="871">
      <c r="A871" s="3">
        <v>45575.0</v>
      </c>
      <c r="B871" s="4">
        <v>0.26666666666666666</v>
      </c>
      <c r="C871" s="5" t="s">
        <v>90</v>
      </c>
      <c r="D871" s="5" t="s">
        <v>409</v>
      </c>
      <c r="E871" s="6" t="s">
        <v>72</v>
      </c>
      <c r="F871" s="7" t="s">
        <v>73</v>
      </c>
      <c r="G871" s="6" t="str">
        <f>VLOOKUP(E871,dicionario!$A$1:$C1270,2,0)</f>
        <v>Thraupis palmarum</v>
      </c>
      <c r="H871" s="6" t="str">
        <f>VLOOKUP(E871,dicionario!$A$1:$C1270,3,0)</f>
        <v>sanhaço-do-coqueiro</v>
      </c>
    </row>
    <row r="872">
      <c r="A872" s="3">
        <v>45575.0</v>
      </c>
      <c r="B872" s="4">
        <v>0.26666666666666666</v>
      </c>
      <c r="C872" s="5" t="s">
        <v>90</v>
      </c>
      <c r="D872" s="5" t="s">
        <v>409</v>
      </c>
      <c r="E872" s="6" t="s">
        <v>410</v>
      </c>
      <c r="F872" s="7" t="s">
        <v>234</v>
      </c>
      <c r="G872" s="6" t="str">
        <f>VLOOKUP(E872,dicionario!$A$1:$C1271,2,0)</f>
        <v>#N/A</v>
      </c>
      <c r="H872" s="6" t="str">
        <f>VLOOKUP(E872,dicionario!$A$1:$C1271,3,0)</f>
        <v>#N/A</v>
      </c>
    </row>
    <row r="873">
      <c r="A873" s="3">
        <v>45575.0</v>
      </c>
      <c r="B873" s="4">
        <v>0.26666666666666666</v>
      </c>
      <c r="C873" s="5" t="s">
        <v>90</v>
      </c>
      <c r="D873" s="5" t="s">
        <v>409</v>
      </c>
      <c r="E873" s="6" t="s">
        <v>22</v>
      </c>
      <c r="F873" s="7" t="s">
        <v>97</v>
      </c>
      <c r="G873" s="6" t="str">
        <f>VLOOKUP(E873,dicionario!$A$1:$C1272,2,0)</f>
        <v>Zenaida auriculata</v>
      </c>
      <c r="H873" s="6" t="str">
        <f>VLOOKUP(E873,dicionario!$A$1:$C1272,3,0)</f>
        <v>pomba-de-bando; avoante</v>
      </c>
    </row>
    <row r="874">
      <c r="A874" s="3">
        <v>45575.0</v>
      </c>
      <c r="B874" s="4">
        <v>0.2673611111111111</v>
      </c>
      <c r="C874" s="5" t="s">
        <v>90</v>
      </c>
      <c r="D874" s="5" t="s">
        <v>409</v>
      </c>
      <c r="E874" s="6" t="s">
        <v>411</v>
      </c>
      <c r="F874" s="7" t="s">
        <v>412</v>
      </c>
      <c r="G874" s="6" t="str">
        <f>VLOOKUP(E874,dicionario!$A$1:$C1273,2,0)</f>
        <v>Chilopoda</v>
      </c>
      <c r="H874" s="6" t="str">
        <f>VLOOKUP(E874,dicionario!$A$1:$C1273,3,0)</f>
        <v>lacraia</v>
      </c>
    </row>
    <row r="875">
      <c r="A875" s="3">
        <v>45575.0</v>
      </c>
      <c r="B875" s="4">
        <v>0.2673611111111111</v>
      </c>
      <c r="C875" s="5" t="s">
        <v>90</v>
      </c>
      <c r="D875" s="5" t="s">
        <v>409</v>
      </c>
      <c r="E875" s="6" t="s">
        <v>105</v>
      </c>
      <c r="F875" s="7" t="s">
        <v>106</v>
      </c>
      <c r="G875" s="6" t="str">
        <f>VLOOKUP(E875,dicionario!$A$1:$C1274,2,0)</f>
        <v>Progne tapera</v>
      </c>
      <c r="H875" s="6" t="str">
        <f>VLOOKUP(E875,dicionario!$A$1:$C1274,3,0)</f>
        <v>andorinha-do-campo</v>
      </c>
    </row>
    <row r="876">
      <c r="A876" s="3">
        <v>45575.0</v>
      </c>
      <c r="B876" s="4">
        <v>0.26805555555555555</v>
      </c>
      <c r="C876" s="5" t="s">
        <v>90</v>
      </c>
      <c r="D876" s="5" t="s">
        <v>409</v>
      </c>
      <c r="E876" s="6" t="s">
        <v>225</v>
      </c>
      <c r="F876" s="7" t="s">
        <v>226</v>
      </c>
      <c r="G876" s="6" t="str">
        <f>VLOOKUP(E876,dicionario!$A$1:$C1275,2,0)</f>
        <v>Passer domesticus</v>
      </c>
      <c r="H876" s="6" t="str">
        <f>VLOOKUP(E876,dicionario!$A$1:$C1275,3,0)</f>
        <v>pardal</v>
      </c>
    </row>
    <row r="877">
      <c r="A877" s="3">
        <v>45575.0</v>
      </c>
      <c r="B877" s="4">
        <v>0.26805555555555555</v>
      </c>
      <c r="C877" s="5" t="s">
        <v>90</v>
      </c>
      <c r="D877" s="5" t="s">
        <v>409</v>
      </c>
      <c r="E877" s="6" t="s">
        <v>53</v>
      </c>
      <c r="F877" s="7" t="s">
        <v>314</v>
      </c>
      <c r="G877" s="6" t="str">
        <f>VLOOKUP(E877,dicionario!$A$1:$C1276,2,0)</f>
        <v>Turnera subulata</v>
      </c>
      <c r="H877" s="6" t="str">
        <f>VLOOKUP(E877,dicionario!$A$1:$C1276,3,0)</f>
        <v>xanana</v>
      </c>
    </row>
    <row r="878">
      <c r="A878" s="3">
        <v>45575.0</v>
      </c>
      <c r="B878" s="4">
        <v>0.26875</v>
      </c>
      <c r="C878" s="5" t="s">
        <v>90</v>
      </c>
      <c r="D878" s="5" t="s">
        <v>409</v>
      </c>
      <c r="E878" s="8" t="s">
        <v>38</v>
      </c>
      <c r="F878" s="5" t="s">
        <v>39</v>
      </c>
      <c r="G878" s="6" t="str">
        <f>VLOOKUP(E878,dicionario!$A$1:$C1277,2,0)</f>
        <v>Troglodytes musculus</v>
      </c>
      <c r="H878" s="6" t="str">
        <f>VLOOKUP(E878,dicionario!$A$1:$C1277,3,0)</f>
        <v>curruíra</v>
      </c>
    </row>
    <row r="879">
      <c r="A879" s="3">
        <v>45575.0</v>
      </c>
      <c r="B879" s="4">
        <v>0.26944444444444443</v>
      </c>
      <c r="C879" s="5" t="s">
        <v>90</v>
      </c>
      <c r="D879" s="5" t="s">
        <v>409</v>
      </c>
      <c r="E879" s="6" t="s">
        <v>65</v>
      </c>
      <c r="F879" s="7" t="s">
        <v>66</v>
      </c>
      <c r="G879" s="6" t="str">
        <f>VLOOKUP(E879,dicionario!$A$1:$C1278,2,0)</f>
        <v>Pitangus sulphutarus</v>
      </c>
      <c r="H879" s="6" t="str">
        <f>VLOOKUP(E879,dicionario!$A$1:$C1278,3,0)</f>
        <v>bem-te-vi</v>
      </c>
    </row>
    <row r="880">
      <c r="A880" s="3">
        <v>45575.0</v>
      </c>
      <c r="B880" s="4">
        <v>0.26944444444444443</v>
      </c>
      <c r="C880" s="5" t="s">
        <v>90</v>
      </c>
      <c r="D880" s="5" t="s">
        <v>409</v>
      </c>
      <c r="E880" s="6" t="s">
        <v>239</v>
      </c>
      <c r="F880" s="7" t="s">
        <v>240</v>
      </c>
      <c r="G880" s="6" t="str">
        <f>VLOOKUP(E880,dicionario!$A$1:$C1279,2,0)</f>
        <v>Gomphrena celosioides</v>
      </c>
      <c r="H880" s="6" t="str">
        <f>VLOOKUP(E880,dicionario!$A$1:$C1279,3,0)</f>
        <v>perpétua-branca</v>
      </c>
    </row>
    <row r="881">
      <c r="A881" s="3">
        <v>45575.0</v>
      </c>
      <c r="B881" s="4">
        <v>0.26944444444444443</v>
      </c>
      <c r="C881" s="5" t="s">
        <v>90</v>
      </c>
      <c r="D881" s="5" t="s">
        <v>409</v>
      </c>
      <c r="E881" s="6" t="s">
        <v>88</v>
      </c>
      <c r="F881" s="7" t="s">
        <v>89</v>
      </c>
      <c r="G881" s="6" t="str">
        <f>VLOOKUP(E881,dicionario!$A$1:$C1280,2,0)</f>
        <v>Tyrannus melancolichus</v>
      </c>
      <c r="H881" s="6" t="str">
        <f>VLOOKUP(E881,dicionario!$A$1:$C1280,3,0)</f>
        <v>suiriri</v>
      </c>
    </row>
    <row r="882">
      <c r="A882" s="3">
        <v>45575.0</v>
      </c>
      <c r="B882" s="4">
        <v>0.26944444444444443</v>
      </c>
      <c r="C882" s="5" t="s">
        <v>90</v>
      </c>
      <c r="D882" s="5" t="s">
        <v>409</v>
      </c>
      <c r="E882" s="6" t="s">
        <v>308</v>
      </c>
      <c r="F882" s="7" t="s">
        <v>309</v>
      </c>
      <c r="G882" s="6" t="str">
        <f>VLOOKUP(E882,dicionario!$A$1:$C1281,2,0)</f>
        <v>#N/A</v>
      </c>
      <c r="H882" s="6" t="str">
        <f>VLOOKUP(E882,dicionario!$A$1:$C1281,3,0)</f>
        <v>#N/A</v>
      </c>
    </row>
    <row r="883">
      <c r="A883" s="3">
        <v>45575.0</v>
      </c>
      <c r="B883" s="4">
        <v>0.2701388888888889</v>
      </c>
      <c r="C883" s="5" t="s">
        <v>90</v>
      </c>
      <c r="D883" s="5" t="s">
        <v>409</v>
      </c>
      <c r="E883" s="6" t="s">
        <v>163</v>
      </c>
      <c r="F883" s="7" t="s">
        <v>164</v>
      </c>
      <c r="G883" s="6" t="str">
        <f>VLOOKUP(E883,dicionario!$A$1:$C1282,2,0)</f>
        <v>Coragyps atratus</v>
      </c>
      <c r="H883" s="6" t="str">
        <f>VLOOKUP(E883,dicionario!$A$1:$C1282,3,0)</f>
        <v>urubu-de-cabeça-preta</v>
      </c>
    </row>
    <row r="884">
      <c r="A884" s="3">
        <v>45575.0</v>
      </c>
      <c r="B884" s="4">
        <v>0.2701388888888889</v>
      </c>
      <c r="C884" s="5" t="s">
        <v>90</v>
      </c>
      <c r="D884" s="5" t="s">
        <v>409</v>
      </c>
      <c r="E884" s="6" t="s">
        <v>343</v>
      </c>
      <c r="F884" s="7" t="s">
        <v>192</v>
      </c>
      <c r="G884" s="6" t="str">
        <f>VLOOKUP(E884,dicionario!$A$1:$C1283,2,0)</f>
        <v>#N/A</v>
      </c>
      <c r="H884" s="6" t="str">
        <f>VLOOKUP(E884,dicionario!$A$1:$C1283,3,0)</f>
        <v>#N/A</v>
      </c>
    </row>
    <row r="885">
      <c r="A885" s="3">
        <v>45575.0</v>
      </c>
      <c r="B885" s="4">
        <v>0.2701388888888889</v>
      </c>
      <c r="C885" s="5" t="s">
        <v>90</v>
      </c>
      <c r="D885" s="5" t="s">
        <v>409</v>
      </c>
      <c r="E885" s="6" t="s">
        <v>20</v>
      </c>
      <c r="F885" s="7" t="s">
        <v>21</v>
      </c>
      <c r="G885" s="6" t="str">
        <f>VLOOKUP(E885,dicionario!$A$1:$C1284,2,0)</f>
        <v>Sicalis flaveola</v>
      </c>
      <c r="H885" s="6" t="str">
        <f>VLOOKUP(E885,dicionario!$A$1:$C1284,3,0)</f>
        <v>canário-da-terra</v>
      </c>
    </row>
    <row r="886">
      <c r="A886" s="3">
        <v>45575.0</v>
      </c>
      <c r="B886" s="4">
        <v>0.2708333333333333</v>
      </c>
      <c r="C886" s="5" t="s">
        <v>90</v>
      </c>
      <c r="D886" s="5" t="s">
        <v>409</v>
      </c>
      <c r="E886" s="6" t="s">
        <v>14</v>
      </c>
      <c r="F886" s="7" t="s">
        <v>15</v>
      </c>
      <c r="G886" s="6" t="str">
        <f>VLOOKUP(E886,dicionario!$A$1:$C1285,2,0)</f>
        <v>Spermacoce verticillata</v>
      </c>
      <c r="H886" s="6" t="str">
        <f>VLOOKUP(E886,dicionario!$A$1:$C1285,3,0)</f>
        <v>vassourinha-de-botão</v>
      </c>
    </row>
    <row r="887">
      <c r="A887" s="3">
        <v>45575.0</v>
      </c>
      <c r="B887" s="4">
        <v>0.27152777777777776</v>
      </c>
      <c r="C887" s="5" t="s">
        <v>90</v>
      </c>
      <c r="D887" s="5" t="s">
        <v>409</v>
      </c>
      <c r="E887" s="6" t="s">
        <v>57</v>
      </c>
      <c r="F887" s="7" t="s">
        <v>197</v>
      </c>
      <c r="G887" s="6" t="str">
        <f>VLOOKUP(E887,dicionario!$A$1:$C1286,2,0)</f>
        <v>Juliformia</v>
      </c>
      <c r="H887" s="6" t="str">
        <f>VLOOKUP(E887,dicionario!$A$1:$C1286,3,0)</f>
        <v>gongolo; maria-café</v>
      </c>
    </row>
    <row r="888">
      <c r="A888" s="3">
        <v>45575.0</v>
      </c>
      <c r="B888" s="4">
        <v>0.2722222222222222</v>
      </c>
      <c r="C888" s="5" t="s">
        <v>90</v>
      </c>
      <c r="D888" s="5" t="s">
        <v>409</v>
      </c>
      <c r="E888" s="6" t="s">
        <v>413</v>
      </c>
      <c r="F888" s="7" t="s">
        <v>414</v>
      </c>
      <c r="G888" s="6" t="str">
        <f>VLOOKUP(E888,dicionario!$A$1:$C1287,2,0)</f>
        <v>#N/A</v>
      </c>
      <c r="H888" s="6" t="str">
        <f>VLOOKUP(E888,dicionario!$A$1:$C1287,3,0)</f>
        <v>#N/A</v>
      </c>
    </row>
    <row r="889">
      <c r="A889" s="3">
        <v>45575.0</v>
      </c>
      <c r="B889" s="4">
        <v>0.2722222222222222</v>
      </c>
      <c r="C889" s="5" t="s">
        <v>90</v>
      </c>
      <c r="D889" s="5" t="s">
        <v>409</v>
      </c>
      <c r="E889" s="6" t="s">
        <v>111</v>
      </c>
      <c r="F889" s="7" t="s">
        <v>112</v>
      </c>
      <c r="G889" s="6" t="str">
        <f>VLOOKUP(E889,dicionario!$A$1:$C1288,2,0)</f>
        <v>Trigona spinipes</v>
      </c>
      <c r="H889" s="6" t="str">
        <f>VLOOKUP(E889,dicionario!$A$1:$C1288,3,0)</f>
        <v>abelha-cachorro</v>
      </c>
    </row>
    <row r="890">
      <c r="A890" s="3">
        <v>45575.0</v>
      </c>
      <c r="B890" s="4">
        <v>0.27291666666666664</v>
      </c>
      <c r="C890" s="5" t="s">
        <v>90</v>
      </c>
      <c r="D890" s="5" t="s">
        <v>409</v>
      </c>
      <c r="E890" s="6" t="s">
        <v>175</v>
      </c>
      <c r="F890" s="7" t="s">
        <v>176</v>
      </c>
      <c r="G890" s="6" t="str">
        <f>VLOOKUP(E890,dicionario!$A$1:$C1289,2,0)</f>
        <v>Turdus leucomelas</v>
      </c>
      <c r="H890" s="6" t="str">
        <f>VLOOKUP(E890,dicionario!$A$1:$C1289,3,0)</f>
        <v>sabiá-barranco</v>
      </c>
    </row>
    <row r="891">
      <c r="A891" s="3">
        <v>45575.0</v>
      </c>
      <c r="B891" s="4">
        <v>0.2743055555555556</v>
      </c>
      <c r="C891" s="5" t="s">
        <v>90</v>
      </c>
      <c r="D891" s="5" t="s">
        <v>409</v>
      </c>
      <c r="E891" s="6" t="s">
        <v>415</v>
      </c>
      <c r="F891" s="7" t="s">
        <v>416</v>
      </c>
      <c r="G891" s="6" t="str">
        <f>VLOOKUP(E891,dicionario!$A$1:$C1290,2,0)</f>
        <v>#N/A</v>
      </c>
      <c r="H891" s="6" t="str">
        <f>VLOOKUP(E891,dicionario!$A$1:$C1290,3,0)</f>
        <v>#N/A</v>
      </c>
    </row>
    <row r="892">
      <c r="A892" s="3">
        <v>45575.0</v>
      </c>
      <c r="B892" s="4">
        <v>0.27708333333333335</v>
      </c>
      <c r="C892" s="5" t="s">
        <v>90</v>
      </c>
      <c r="D892" s="5" t="s">
        <v>409</v>
      </c>
      <c r="E892" s="6" t="s">
        <v>417</v>
      </c>
      <c r="F892" s="7" t="s">
        <v>234</v>
      </c>
      <c r="G892" s="6" t="str">
        <f>VLOOKUP(E892,dicionario!$A$1:$C1291,2,0)</f>
        <v>#N/A</v>
      </c>
      <c r="H892" s="6" t="str">
        <f>VLOOKUP(E892,dicionario!$A$1:$C1291,3,0)</f>
        <v>#N/A</v>
      </c>
    </row>
    <row r="893">
      <c r="A893" s="3">
        <v>45575.0</v>
      </c>
      <c r="B893" s="4">
        <v>0.27708333333333335</v>
      </c>
      <c r="C893" s="5" t="s">
        <v>90</v>
      </c>
      <c r="D893" s="5" t="s">
        <v>409</v>
      </c>
      <c r="E893" s="6" t="s">
        <v>227</v>
      </c>
      <c r="F893" s="7" t="s">
        <v>228</v>
      </c>
      <c r="G893" s="6" t="str">
        <f>VLOOKUP(E893,dicionario!$A$1:$C1292,2,0)</f>
        <v>Indigofera hirsuta</v>
      </c>
      <c r="H893" s="6" t="str">
        <f>VLOOKUP(E893,dicionario!$A$1:$C1292,3,0)</f>
        <v>anileira</v>
      </c>
    </row>
    <row r="894">
      <c r="A894" s="3">
        <v>45575.0</v>
      </c>
      <c r="B894" s="4">
        <v>0.27708333333333335</v>
      </c>
      <c r="C894" s="5" t="s">
        <v>90</v>
      </c>
      <c r="D894" s="5" t="s">
        <v>409</v>
      </c>
      <c r="E894" s="6" t="s">
        <v>135</v>
      </c>
      <c r="F894" s="7" t="s">
        <v>136</v>
      </c>
      <c r="G894" s="6" t="str">
        <f>VLOOKUP(E894,dicionario!$A$1:$C1293,2,0)</f>
        <v>Tridax procumbens</v>
      </c>
      <c r="H894" s="6" t="str">
        <f>VLOOKUP(E894,dicionario!$A$1:$C1293,3,0)</f>
        <v>erva-de-touro</v>
      </c>
    </row>
    <row r="895">
      <c r="A895" s="3">
        <v>45575.0</v>
      </c>
      <c r="B895" s="4">
        <v>0.2791666666666667</v>
      </c>
      <c r="C895" s="5" t="s">
        <v>85</v>
      </c>
      <c r="D895" s="5" t="s">
        <v>409</v>
      </c>
      <c r="E895" s="8" t="s">
        <v>38</v>
      </c>
      <c r="F895" s="5" t="s">
        <v>39</v>
      </c>
      <c r="G895" s="6" t="str">
        <f>VLOOKUP(E895,dicionario!$A$1:$C1294,2,0)</f>
        <v>Troglodytes musculus</v>
      </c>
      <c r="H895" s="6" t="str">
        <f>VLOOKUP(E895,dicionario!$A$1:$C1294,3,0)</f>
        <v>curruíra</v>
      </c>
    </row>
    <row r="896">
      <c r="A896" s="3">
        <v>45575.0</v>
      </c>
      <c r="B896" s="4">
        <v>0.2791666666666667</v>
      </c>
      <c r="C896" s="5" t="s">
        <v>85</v>
      </c>
      <c r="D896" s="5" t="s">
        <v>409</v>
      </c>
      <c r="E896" s="6" t="s">
        <v>20</v>
      </c>
      <c r="F896" s="7" t="s">
        <v>176</v>
      </c>
      <c r="G896" s="6" t="str">
        <f>VLOOKUP(E896,dicionario!$A$1:$C1295,2,0)</f>
        <v>Sicalis flaveola</v>
      </c>
      <c r="H896" s="6" t="str">
        <f>VLOOKUP(E896,dicionario!$A$1:$C1295,3,0)</f>
        <v>canário-da-terra</v>
      </c>
    </row>
    <row r="897">
      <c r="A897" s="3">
        <v>45575.0</v>
      </c>
      <c r="B897" s="4">
        <v>0.2791666666666667</v>
      </c>
      <c r="C897" s="5" t="s">
        <v>85</v>
      </c>
      <c r="D897" s="5" t="s">
        <v>409</v>
      </c>
      <c r="E897" s="6" t="s">
        <v>31</v>
      </c>
      <c r="F897" s="7" t="s">
        <v>32</v>
      </c>
      <c r="G897" s="6" t="str">
        <f>VLOOKUP(E897,dicionario!$A$1:$C1296,2,0)</f>
        <v>Furnarius rufus</v>
      </c>
      <c r="H897" s="6" t="str">
        <f>VLOOKUP(E897,dicionario!$A$1:$C1296,3,0)</f>
        <v>joão-de-barro</v>
      </c>
    </row>
    <row r="898">
      <c r="A898" s="3">
        <v>45575.0</v>
      </c>
      <c r="B898" s="4">
        <v>0.2798611111111111</v>
      </c>
      <c r="C898" s="5" t="s">
        <v>85</v>
      </c>
      <c r="D898" s="5" t="s">
        <v>409</v>
      </c>
      <c r="E898" s="6" t="s">
        <v>122</v>
      </c>
      <c r="F898" s="7" t="s">
        <v>123</v>
      </c>
      <c r="G898" s="6" t="str">
        <f>VLOOKUP(E898,dicionario!$A$1:$C1297,2,0)</f>
        <v>Todirostrum cinereum</v>
      </c>
      <c r="H898" s="6" t="str">
        <f>VLOOKUP(E898,dicionario!$A$1:$C1297,3,0)</f>
        <v>ferreirinho-relógio</v>
      </c>
    </row>
    <row r="899">
      <c r="A899" s="3">
        <v>45575.0</v>
      </c>
      <c r="B899" s="4">
        <v>0.2798611111111111</v>
      </c>
      <c r="C899" s="5" t="s">
        <v>85</v>
      </c>
      <c r="D899" s="5" t="s">
        <v>409</v>
      </c>
      <c r="E899" s="6" t="s">
        <v>65</v>
      </c>
      <c r="F899" s="7" t="s">
        <v>66</v>
      </c>
      <c r="G899" s="6" t="str">
        <f>VLOOKUP(E899,dicionario!$A$1:$C1298,2,0)</f>
        <v>Pitangus sulphutarus</v>
      </c>
      <c r="H899" s="6" t="str">
        <f>VLOOKUP(E899,dicionario!$A$1:$C1298,3,0)</f>
        <v>bem-te-vi</v>
      </c>
    </row>
    <row r="900">
      <c r="A900" s="3">
        <v>45575.0</v>
      </c>
      <c r="B900" s="4">
        <v>0.28055555555555556</v>
      </c>
      <c r="C900" s="5" t="s">
        <v>85</v>
      </c>
      <c r="D900" s="5" t="s">
        <v>409</v>
      </c>
      <c r="E900" s="8" t="s">
        <v>298</v>
      </c>
      <c r="F900" s="5" t="s">
        <v>299</v>
      </c>
      <c r="G900" s="6" t="str">
        <f>VLOOKUP(E900,dicionario!$A$1:$C1299,2,0)</f>
        <v>Alysicarpus vaginalis</v>
      </c>
      <c r="H900" s="6" t="str">
        <f>VLOOKUP(E900,dicionario!$A$1:$C1299,3,0)</f>
        <v/>
      </c>
    </row>
    <row r="901">
      <c r="A901" s="3">
        <v>45575.0</v>
      </c>
      <c r="B901" s="4">
        <v>0.28055555555555556</v>
      </c>
      <c r="C901" s="5" t="s">
        <v>85</v>
      </c>
      <c r="D901" s="5" t="s">
        <v>409</v>
      </c>
      <c r="E901" s="6" t="s">
        <v>109</v>
      </c>
      <c r="F901" s="7" t="s">
        <v>110</v>
      </c>
      <c r="G901" s="6" t="str">
        <f>VLOOKUP(E901,dicionario!$A$1:$C1300,2,0)</f>
        <v>Tillandsia stricta</v>
      </c>
      <c r="H901" s="6" t="str">
        <f>VLOOKUP(E901,dicionario!$A$1:$C1300,3,0)</f>
        <v>cravo-do-mato</v>
      </c>
    </row>
    <row r="902">
      <c r="A902" s="3">
        <v>45575.0</v>
      </c>
      <c r="B902" s="4">
        <v>0.28055555555555556</v>
      </c>
      <c r="C902" s="5" t="s">
        <v>85</v>
      </c>
      <c r="D902" s="5" t="s">
        <v>409</v>
      </c>
      <c r="E902" s="6" t="s">
        <v>405</v>
      </c>
      <c r="F902" s="7" t="s">
        <v>418</v>
      </c>
      <c r="G902" s="6" t="str">
        <f>VLOOKUP(E902,dicionario!$A$1:$C1301,2,0)</f>
        <v>Ectatomma</v>
      </c>
      <c r="H902" s="6" t="str">
        <f>VLOOKUP(E902,dicionario!$A$1:$C1301,3,0)</f>
        <v>formiga-preta</v>
      </c>
    </row>
    <row r="903">
      <c r="A903" s="3">
        <v>45575.0</v>
      </c>
      <c r="B903" s="4">
        <v>0.28125</v>
      </c>
      <c r="C903" s="5" t="s">
        <v>85</v>
      </c>
      <c r="D903" s="5" t="s">
        <v>409</v>
      </c>
      <c r="E903" s="6" t="s">
        <v>14</v>
      </c>
      <c r="F903" s="7" t="s">
        <v>15</v>
      </c>
      <c r="G903" s="6" t="str">
        <f>VLOOKUP(E903,dicionario!$A$1:$C1302,2,0)</f>
        <v>Spermacoce verticillata</v>
      </c>
      <c r="H903" s="6" t="str">
        <f>VLOOKUP(E903,dicionario!$A$1:$C1302,3,0)</f>
        <v>vassourinha-de-botão</v>
      </c>
    </row>
    <row r="904">
      <c r="A904" s="3">
        <v>45575.0</v>
      </c>
      <c r="B904" s="4">
        <v>0.28125</v>
      </c>
      <c r="C904" s="5" t="s">
        <v>85</v>
      </c>
      <c r="D904" s="5" t="s">
        <v>409</v>
      </c>
      <c r="E904" s="6" t="s">
        <v>286</v>
      </c>
      <c r="F904" s="7" t="s">
        <v>287</v>
      </c>
      <c r="G904" s="6" t="str">
        <f>VLOOKUP(E904,dicionario!$A$1:$C1303,2,0)</f>
        <v>Setaria parviflora</v>
      </c>
      <c r="H904" s="6" t="str">
        <f>VLOOKUP(E904,dicionario!$A$1:$C1303,3,0)</f>
        <v>capim-rabo-de-raposa</v>
      </c>
    </row>
    <row r="905">
      <c r="A905" s="3">
        <v>45575.0</v>
      </c>
      <c r="B905" s="4">
        <v>0.28125</v>
      </c>
      <c r="C905" s="5" t="s">
        <v>85</v>
      </c>
      <c r="D905" s="5" t="s">
        <v>409</v>
      </c>
      <c r="E905" s="6" t="s">
        <v>419</v>
      </c>
      <c r="F905" s="7" t="s">
        <v>257</v>
      </c>
      <c r="G905" s="6" t="str">
        <f>VLOOKUP(E905,dicionario!$A$1:$C1304,2,0)</f>
        <v>#N/A</v>
      </c>
      <c r="H905" s="6" t="str">
        <f>VLOOKUP(E905,dicionario!$A$1:$C1304,3,0)</f>
        <v>#N/A</v>
      </c>
    </row>
    <row r="906">
      <c r="A906" s="3">
        <v>45575.0</v>
      </c>
      <c r="B906" s="4">
        <v>0.2826388888888889</v>
      </c>
      <c r="C906" s="5" t="s">
        <v>85</v>
      </c>
      <c r="D906" s="5" t="s">
        <v>409</v>
      </c>
      <c r="E906" s="6" t="s">
        <v>177</v>
      </c>
      <c r="F906" s="7" t="s">
        <v>178</v>
      </c>
      <c r="G906" s="6" t="str">
        <f>VLOOKUP(E906,dicionario!$A$1:$C1305,2,0)</f>
        <v>Elaenia flavogaster</v>
      </c>
      <c r="H906" s="6" t="str">
        <f>VLOOKUP(E906,dicionario!$A$1:$C1305,3,0)</f>
        <v>guaracava-de-barriga-amarela</v>
      </c>
    </row>
    <row r="907">
      <c r="A907" s="3">
        <v>45575.0</v>
      </c>
      <c r="B907" s="4">
        <v>0.2826388888888889</v>
      </c>
      <c r="C907" s="5" t="s">
        <v>85</v>
      </c>
      <c r="D907" s="5" t="s">
        <v>409</v>
      </c>
      <c r="E907" s="6" t="s">
        <v>368</v>
      </c>
      <c r="F907" s="7" t="s">
        <v>35</v>
      </c>
      <c r="G907" s="6" t="str">
        <f>VLOOKUP(E907,dicionario!$A$1:$C1306,2,0)</f>
        <v>#N/A</v>
      </c>
      <c r="H907" s="6" t="str">
        <f>VLOOKUP(E907,dicionario!$A$1:$C1306,3,0)</f>
        <v>#N/A</v>
      </c>
    </row>
    <row r="908">
      <c r="A908" s="3">
        <v>45575.0</v>
      </c>
      <c r="B908" s="4">
        <v>0.2826388888888889</v>
      </c>
      <c r="C908" s="5" t="s">
        <v>85</v>
      </c>
      <c r="D908" s="5" t="s">
        <v>409</v>
      </c>
      <c r="E908" s="6" t="s">
        <v>390</v>
      </c>
      <c r="F908" s="7" t="s">
        <v>391</v>
      </c>
      <c r="G908" s="6" t="str">
        <f>VLOOKUP(E908,dicionario!$A$1:$C1307,2,0)</f>
        <v>Oxalis barrelieri</v>
      </c>
      <c r="H908" s="6" t="str">
        <f>VLOOKUP(E908,dicionario!$A$1:$C1307,3,0)</f>
        <v>erva-azeda; azedinha </v>
      </c>
    </row>
    <row r="909">
      <c r="A909" s="3">
        <v>45575.0</v>
      </c>
      <c r="B909" s="4">
        <v>0.28402777777777777</v>
      </c>
      <c r="C909" s="5" t="s">
        <v>85</v>
      </c>
      <c r="D909" s="5" t="s">
        <v>409</v>
      </c>
      <c r="E909" s="6" t="s">
        <v>53</v>
      </c>
      <c r="F909" s="7" t="s">
        <v>314</v>
      </c>
      <c r="G909" s="6" t="str">
        <f>VLOOKUP(E909,dicionario!$A$1:$C1308,2,0)</f>
        <v>Turnera subulata</v>
      </c>
      <c r="H909" s="6" t="str">
        <f>VLOOKUP(E909,dicionario!$A$1:$C1308,3,0)</f>
        <v>xanana</v>
      </c>
    </row>
    <row r="910">
      <c r="A910" s="3">
        <v>45575.0</v>
      </c>
      <c r="B910" s="4">
        <v>0.28402777777777777</v>
      </c>
      <c r="C910" s="5" t="s">
        <v>85</v>
      </c>
      <c r="D910" s="5" t="s">
        <v>409</v>
      </c>
      <c r="E910" s="6" t="s">
        <v>86</v>
      </c>
      <c r="F910" s="7" t="s">
        <v>87</v>
      </c>
      <c r="G910" s="6" t="str">
        <f>VLOOKUP(E910,dicionario!$A$1:$C1309,2,0)</f>
        <v>Coereba flaveola</v>
      </c>
      <c r="H910" s="6" t="str">
        <f>VLOOKUP(E910,dicionario!$A$1:$C1309,3,0)</f>
        <v>cambacica</v>
      </c>
    </row>
    <row r="911">
      <c r="A911" s="3">
        <v>45575.0</v>
      </c>
      <c r="B911" s="4">
        <v>0.28402777777777777</v>
      </c>
      <c r="C911" s="5" t="s">
        <v>85</v>
      </c>
      <c r="D911" s="5" t="s">
        <v>409</v>
      </c>
      <c r="E911" s="6" t="s">
        <v>237</v>
      </c>
      <c r="F911" s="7" t="s">
        <v>238</v>
      </c>
      <c r="G911" s="6" t="str">
        <f>VLOOKUP(E911,dicionario!$A$1:$C1310,2,0)</f>
        <v>Acromyrmex</v>
      </c>
      <c r="H911" s="6" t="str">
        <f>VLOOKUP(E911,dicionario!$A$1:$C1310,3,0)</f>
        <v>quenquén</v>
      </c>
    </row>
    <row r="912">
      <c r="A912" s="3">
        <v>45575.0</v>
      </c>
      <c r="B912" s="4">
        <v>0.2847222222222222</v>
      </c>
      <c r="C912" s="5" t="s">
        <v>85</v>
      </c>
      <c r="D912" s="5" t="s">
        <v>409</v>
      </c>
      <c r="E912" s="6" t="s">
        <v>135</v>
      </c>
      <c r="F912" s="7" t="s">
        <v>136</v>
      </c>
      <c r="G912" s="6" t="str">
        <f>VLOOKUP(E912,dicionario!$A$1:$C1311,2,0)</f>
        <v>Tridax procumbens</v>
      </c>
      <c r="H912" s="6" t="str">
        <f>VLOOKUP(E912,dicionario!$A$1:$C1311,3,0)</f>
        <v>erva-de-touro</v>
      </c>
    </row>
    <row r="913">
      <c r="A913" s="3">
        <v>45575.0</v>
      </c>
      <c r="B913" s="4">
        <v>0.2847222222222222</v>
      </c>
      <c r="C913" s="5" t="s">
        <v>85</v>
      </c>
      <c r="D913" s="5" t="s">
        <v>409</v>
      </c>
      <c r="E913" s="6" t="s">
        <v>243</v>
      </c>
      <c r="F913" s="7" t="s">
        <v>244</v>
      </c>
      <c r="G913" s="6" t="str">
        <f>VLOOKUP(E913,dicionario!$A$1:$C1312,2,0)</f>
        <v>Macroptilium atropurpureum</v>
      </c>
      <c r="H913" s="6" t="str">
        <f>VLOOKUP(E913,dicionario!$A$1:$C1312,3,0)</f>
        <v>feijão-de-pombo</v>
      </c>
    </row>
    <row r="914">
      <c r="A914" s="3">
        <v>45575.0</v>
      </c>
      <c r="B914" s="4">
        <v>0.2847222222222222</v>
      </c>
      <c r="C914" s="5" t="s">
        <v>85</v>
      </c>
      <c r="D914" s="5" t="s">
        <v>409</v>
      </c>
      <c r="E914" s="6" t="s">
        <v>253</v>
      </c>
      <c r="F914" s="7" t="s">
        <v>254</v>
      </c>
      <c r="G914" s="6" t="str">
        <f>VLOOKUP(E914,dicionario!$A$1:$C1313,2,0)</f>
        <v>Panicum maximum</v>
      </c>
      <c r="H914" s="6" t="str">
        <f>VLOOKUP(E914,dicionario!$A$1:$C1313,3,0)</f>
        <v>capim-colonião</v>
      </c>
    </row>
    <row r="915">
      <c r="A915" s="3">
        <v>45575.0</v>
      </c>
      <c r="B915" s="4">
        <v>0.2847222222222222</v>
      </c>
      <c r="C915" s="5" t="s">
        <v>85</v>
      </c>
      <c r="D915" s="5" t="s">
        <v>409</v>
      </c>
      <c r="E915" s="6" t="s">
        <v>150</v>
      </c>
      <c r="F915" s="7" t="s">
        <v>151</v>
      </c>
      <c r="G915" s="6" t="str">
        <f>VLOOKUP(E915,dicionario!$A$1:$C1314,2,0)</f>
        <v>Amaranthus viridis</v>
      </c>
      <c r="H915" s="6" t="str">
        <f>VLOOKUP(E915,dicionario!$A$1:$C1314,3,0)</f>
        <v>caruru-de-mancha</v>
      </c>
    </row>
    <row r="916">
      <c r="A916" s="3">
        <v>45575.0</v>
      </c>
      <c r="B916" s="4">
        <v>0.2847222222222222</v>
      </c>
      <c r="C916" s="5" t="s">
        <v>85</v>
      </c>
      <c r="D916" s="5" t="s">
        <v>409</v>
      </c>
      <c r="E916" s="6" t="s">
        <v>148</v>
      </c>
      <c r="F916" s="7" t="s">
        <v>149</v>
      </c>
      <c r="G916" s="6" t="str">
        <f>VLOOKUP(E916,dicionario!$A$1:$C1315,2,0)</f>
        <v>Parthenium hysterophorus</v>
      </c>
      <c r="H916" s="6" t="str">
        <f>VLOOKUP(E916,dicionario!$A$1:$C1315,3,0)</f>
        <v>losna-branca</v>
      </c>
    </row>
    <row r="917">
      <c r="A917" s="3">
        <v>45575.0</v>
      </c>
      <c r="B917" s="4">
        <v>0.2847222222222222</v>
      </c>
      <c r="C917" s="5" t="s">
        <v>85</v>
      </c>
      <c r="D917" s="5" t="s">
        <v>409</v>
      </c>
      <c r="E917" s="6" t="s">
        <v>420</v>
      </c>
      <c r="F917" s="7" t="s">
        <v>270</v>
      </c>
      <c r="G917" s="6" t="str">
        <f>VLOOKUP(E917,dicionario!$A$1:$C1316,2,0)</f>
        <v>#N/A</v>
      </c>
      <c r="H917" s="6" t="str">
        <f>VLOOKUP(E917,dicionario!$A$1:$C1316,3,0)</f>
        <v>#N/A</v>
      </c>
    </row>
    <row r="918">
      <c r="A918" s="3">
        <v>45575.0</v>
      </c>
      <c r="B918" s="4">
        <v>0.2847222222222222</v>
      </c>
      <c r="C918" s="5" t="s">
        <v>85</v>
      </c>
      <c r="D918" s="5" t="s">
        <v>409</v>
      </c>
      <c r="E918" s="6" t="s">
        <v>162</v>
      </c>
      <c r="F918" s="7" t="s">
        <v>42</v>
      </c>
      <c r="G918" s="6" t="str">
        <f>VLOOKUP(E918,dicionario!$A$1:$C1317,2,0)</f>
        <v>Fluvicola nengeta</v>
      </c>
      <c r="H918" s="6" t="str">
        <f>VLOOKUP(E918,dicionario!$A$1:$C1317,3,0)</f>
        <v>lavadeira-mascarada</v>
      </c>
    </row>
    <row r="919">
      <c r="A919" s="3">
        <v>45575.0</v>
      </c>
      <c r="B919" s="4">
        <v>0.28680555555555554</v>
      </c>
      <c r="C919" s="5" t="s">
        <v>85</v>
      </c>
      <c r="D919" s="5" t="s">
        <v>409</v>
      </c>
      <c r="E919" s="6" t="s">
        <v>141</v>
      </c>
      <c r="F919" s="7" t="s">
        <v>142</v>
      </c>
      <c r="G919" s="6" t="str">
        <f>VLOOKUP(E919,dicionario!$A$1:$C1318,2,0)</f>
        <v>Ruellia blechum</v>
      </c>
      <c r="H919" s="6" t="str">
        <f>VLOOKUP(E919,dicionario!$A$1:$C1318,3,0)</f>
        <v>camarão-verde</v>
      </c>
    </row>
    <row r="920">
      <c r="A920" s="3">
        <v>45575.0</v>
      </c>
      <c r="B920" s="4">
        <v>0.2881944444444444</v>
      </c>
      <c r="C920" s="5" t="s">
        <v>76</v>
      </c>
      <c r="D920" s="5" t="s">
        <v>409</v>
      </c>
      <c r="E920" s="6" t="s">
        <v>366</v>
      </c>
      <c r="F920" s="7" t="s">
        <v>367</v>
      </c>
      <c r="G920" s="6" t="str">
        <f>VLOOKUP(E920,dicionario!$A$1:$C1319,2,0)</f>
        <v>Alternanthera ficoidea</v>
      </c>
      <c r="H920" s="6" t="str">
        <f>VLOOKUP(E920,dicionario!$A$1:$C1319,3,0)</f>
        <v>quebra-panela</v>
      </c>
    </row>
    <row r="921">
      <c r="A921" s="3">
        <v>45575.0</v>
      </c>
      <c r="B921" s="4">
        <v>0.28958333333333336</v>
      </c>
      <c r="C921" s="5" t="s">
        <v>76</v>
      </c>
      <c r="D921" s="5" t="s">
        <v>409</v>
      </c>
      <c r="E921" s="6" t="s">
        <v>421</v>
      </c>
      <c r="F921" s="7" t="s">
        <v>422</v>
      </c>
      <c r="G921" s="6" t="str">
        <f>VLOOKUP(E921,dicionario!$A$1:$C1320,2,0)</f>
        <v>Subulina octona</v>
      </c>
      <c r="H921" s="6" t="str">
        <f>VLOOKUP(E921,dicionario!$A$1:$C1320,3,0)</f>
        <v>caracol-de-jardim</v>
      </c>
    </row>
    <row r="922">
      <c r="A922" s="3">
        <v>45575.0</v>
      </c>
      <c r="B922" s="4">
        <v>0.28958333333333336</v>
      </c>
      <c r="C922" s="5" t="s">
        <v>76</v>
      </c>
      <c r="D922" s="5" t="s">
        <v>409</v>
      </c>
      <c r="E922" s="6" t="s">
        <v>267</v>
      </c>
      <c r="F922" s="7" t="s">
        <v>268</v>
      </c>
      <c r="G922" s="6" t="str">
        <f>VLOOKUP(E922,dicionario!$A$1:$C1321,2,0)</f>
        <v>Solanum americanum</v>
      </c>
      <c r="H922" s="6" t="str">
        <f>VLOOKUP(E922,dicionario!$A$1:$C1321,3,0)</f>
        <v>maria-pretinha</v>
      </c>
    </row>
    <row r="923">
      <c r="A923" s="3">
        <v>45575.0</v>
      </c>
      <c r="B923" s="4">
        <v>0.28958333333333336</v>
      </c>
      <c r="C923" s="5" t="s">
        <v>76</v>
      </c>
      <c r="D923" s="5" t="s">
        <v>409</v>
      </c>
      <c r="E923" s="6" t="s">
        <v>423</v>
      </c>
      <c r="F923" s="7" t="s">
        <v>354</v>
      </c>
      <c r="G923" s="6" t="str">
        <f>VLOOKUP(E923,dicionario!$A$1:$C1322,2,0)</f>
        <v>#N/A</v>
      </c>
      <c r="H923" s="6" t="str">
        <f>VLOOKUP(E923,dicionario!$A$1:$C1322,3,0)</f>
        <v>#N/A</v>
      </c>
    </row>
    <row r="924">
      <c r="A924" s="3">
        <v>45575.0</v>
      </c>
      <c r="B924" s="4">
        <v>0.2902777777777778</v>
      </c>
      <c r="C924" s="5" t="s">
        <v>76</v>
      </c>
      <c r="D924" s="5" t="s">
        <v>409</v>
      </c>
      <c r="E924" s="6" t="s">
        <v>148</v>
      </c>
      <c r="F924" s="7" t="s">
        <v>149</v>
      </c>
      <c r="G924" s="6" t="str">
        <f>VLOOKUP(E924,dicionario!$A$1:$C1323,2,0)</f>
        <v>Parthenium hysterophorus</v>
      </c>
      <c r="H924" s="6" t="str">
        <f>VLOOKUP(E924,dicionario!$A$1:$C1323,3,0)</f>
        <v>losna-branca</v>
      </c>
    </row>
    <row r="925">
      <c r="A925" s="3">
        <v>45575.0</v>
      </c>
      <c r="B925" s="4">
        <v>0.2902777777777778</v>
      </c>
      <c r="C925" s="5" t="s">
        <v>76</v>
      </c>
      <c r="D925" s="5" t="s">
        <v>409</v>
      </c>
      <c r="E925" s="6" t="s">
        <v>48</v>
      </c>
      <c r="F925" s="7" t="s">
        <v>49</v>
      </c>
      <c r="G925" s="6" t="str">
        <f>VLOOKUP(E925,dicionario!$A$1:$C1324,2,0)</f>
        <v>Commelina erecta</v>
      </c>
      <c r="H925" s="6" t="str">
        <f>VLOOKUP(E925,dicionario!$A$1:$C1324,3,0)</f>
        <v>trapoeraba</v>
      </c>
    </row>
    <row r="926">
      <c r="A926" s="3">
        <v>45575.0</v>
      </c>
      <c r="B926" s="4">
        <v>0.2902777777777778</v>
      </c>
      <c r="C926" s="5" t="s">
        <v>76</v>
      </c>
      <c r="D926" s="5" t="s">
        <v>409</v>
      </c>
      <c r="E926" s="6" t="s">
        <v>424</v>
      </c>
      <c r="F926" s="7" t="s">
        <v>112</v>
      </c>
      <c r="G926" s="6" t="str">
        <f>VLOOKUP(E926,dicionario!$A$1:$C1325,2,0)</f>
        <v>#N/A</v>
      </c>
      <c r="H926" s="6" t="str">
        <f>VLOOKUP(E926,dicionario!$A$1:$C1325,3,0)</f>
        <v>#N/A</v>
      </c>
    </row>
    <row r="927">
      <c r="A927" s="3">
        <v>45575.0</v>
      </c>
      <c r="B927" s="4">
        <v>0.29097222222222224</v>
      </c>
      <c r="C927" s="5" t="s">
        <v>76</v>
      </c>
      <c r="D927" s="5" t="s">
        <v>409</v>
      </c>
      <c r="E927" s="6" t="s">
        <v>275</v>
      </c>
      <c r="F927" s="7" t="s">
        <v>276</v>
      </c>
      <c r="G927" s="6" t="str">
        <f>VLOOKUP(E927,dicionario!$A$1:$C1326,2,0)</f>
        <v>Bidens pilosa</v>
      </c>
      <c r="H927" s="6" t="str">
        <f>VLOOKUP(E927,dicionario!$A$1:$C1326,3,0)</f>
        <v>picão-preto</v>
      </c>
    </row>
    <row r="928">
      <c r="A928" s="3">
        <v>45575.0</v>
      </c>
      <c r="B928" s="4">
        <v>0.29097222222222224</v>
      </c>
      <c r="C928" s="5" t="s">
        <v>76</v>
      </c>
      <c r="D928" s="5" t="s">
        <v>409</v>
      </c>
      <c r="E928" s="6" t="s">
        <v>425</v>
      </c>
      <c r="F928" s="7" t="s">
        <v>426</v>
      </c>
      <c r="G928" s="6" t="str">
        <f>VLOOKUP(E928,dicionario!$A$1:$C1327,2,0)</f>
        <v>Digitaria insularis</v>
      </c>
      <c r="H928" s="6" t="str">
        <f>VLOOKUP(E928,dicionario!$A$1:$C1327,3,0)</f>
        <v>capim-amargoso</v>
      </c>
    </row>
    <row r="929">
      <c r="A929" s="3">
        <v>45575.0</v>
      </c>
      <c r="B929" s="4">
        <v>0.2916666666666667</v>
      </c>
      <c r="C929" s="5" t="s">
        <v>76</v>
      </c>
      <c r="D929" s="5" t="s">
        <v>409</v>
      </c>
      <c r="E929" s="6" t="s">
        <v>427</v>
      </c>
      <c r="F929" s="7" t="s">
        <v>428</v>
      </c>
      <c r="G929" s="6" t="str">
        <f>VLOOKUP(E929,dicionario!$A$1:$C1328,2,0)</f>
        <v>Condylostylus longicornis</v>
      </c>
      <c r="H929" s="6" t="str">
        <f>VLOOKUP(E929,dicionario!$A$1:$C1328,3,0)</f>
        <v>mosca-de-pernas-longas</v>
      </c>
    </row>
    <row r="930">
      <c r="A930" s="3">
        <v>45575.0</v>
      </c>
      <c r="B930" s="4">
        <v>0.2916666666666667</v>
      </c>
      <c r="C930" s="5" t="s">
        <v>76</v>
      </c>
      <c r="D930" s="5" t="s">
        <v>409</v>
      </c>
      <c r="E930" s="6" t="s">
        <v>245</v>
      </c>
      <c r="F930" s="7" t="s">
        <v>246</v>
      </c>
      <c r="G930" s="6" t="str">
        <f>VLOOKUP(E930,dicionario!$A$1:$C1329,2,0)</f>
        <v>Hemiargus hanno</v>
      </c>
      <c r="H930" s="6" t="str">
        <f>VLOOKUP(E930,dicionario!$A$1:$C1329,3,0)</f>
        <v>borboleta-azulzinha-do-trevo</v>
      </c>
    </row>
    <row r="931">
      <c r="A931" s="3">
        <v>45575.0</v>
      </c>
      <c r="B931" s="4">
        <v>0.2916666666666667</v>
      </c>
      <c r="C931" s="5" t="s">
        <v>76</v>
      </c>
      <c r="D931" s="5" t="s">
        <v>409</v>
      </c>
      <c r="E931" s="6" t="s">
        <v>150</v>
      </c>
      <c r="F931" s="7" t="s">
        <v>151</v>
      </c>
      <c r="G931" s="6" t="str">
        <f>VLOOKUP(E931,dicionario!$A$1:$C1330,2,0)</f>
        <v>Amaranthus viridis</v>
      </c>
      <c r="H931" s="6" t="str">
        <f>VLOOKUP(E931,dicionario!$A$1:$C1330,3,0)</f>
        <v>caruru-de-mancha</v>
      </c>
    </row>
    <row r="932">
      <c r="A932" s="3">
        <v>45575.0</v>
      </c>
      <c r="B932" s="4">
        <v>0.2916666666666667</v>
      </c>
      <c r="C932" s="5" t="s">
        <v>76</v>
      </c>
      <c r="D932" s="5" t="s">
        <v>409</v>
      </c>
      <c r="E932" s="6" t="s">
        <v>271</v>
      </c>
      <c r="F932" s="7" t="s">
        <v>272</v>
      </c>
      <c r="G932" s="6" t="str">
        <f>VLOOKUP(E932,dicionario!$A$1:$C1331,2,0)</f>
        <v>Cyanthillium cinereum</v>
      </c>
      <c r="H932" s="6" t="str">
        <f>VLOOKUP(E932,dicionario!$A$1:$C1331,3,0)</f>
        <v>emília</v>
      </c>
    </row>
    <row r="933">
      <c r="A933" s="3">
        <v>45575.0</v>
      </c>
      <c r="B933" s="4">
        <v>0.2916666666666667</v>
      </c>
      <c r="C933" s="5" t="s">
        <v>76</v>
      </c>
      <c r="D933" s="5" t="s">
        <v>409</v>
      </c>
      <c r="E933" s="6" t="s">
        <v>390</v>
      </c>
      <c r="F933" s="7" t="s">
        <v>391</v>
      </c>
      <c r="G933" s="6" t="str">
        <f>VLOOKUP(E933,dicionario!$A$1:$C1332,2,0)</f>
        <v>Oxalis barrelieri</v>
      </c>
      <c r="H933" s="6" t="str">
        <f>VLOOKUP(E933,dicionario!$A$1:$C1332,3,0)</f>
        <v>erva-azeda; azedinha </v>
      </c>
    </row>
    <row r="934">
      <c r="A934" s="3">
        <v>45575.0</v>
      </c>
      <c r="B934" s="4">
        <v>0.2916666666666667</v>
      </c>
      <c r="C934" s="5" t="s">
        <v>76</v>
      </c>
      <c r="D934" s="5" t="s">
        <v>409</v>
      </c>
      <c r="E934" s="6" t="s">
        <v>429</v>
      </c>
      <c r="F934" s="7" t="s">
        <v>430</v>
      </c>
      <c r="G934" s="6" t="str">
        <f>VLOOKUP(E934,dicionario!$A$1:$C1333,2,0)</f>
        <v>Leonurus sibiricus</v>
      </c>
      <c r="H934" s="6" t="str">
        <f>VLOOKUP(E934,dicionario!$A$1:$C1333,3,0)</f>
        <v>erva-macaé</v>
      </c>
    </row>
    <row r="935">
      <c r="A935" s="3">
        <v>45575.0</v>
      </c>
      <c r="B935" s="4">
        <v>0.2923611111111111</v>
      </c>
      <c r="C935" s="5" t="s">
        <v>76</v>
      </c>
      <c r="D935" s="5" t="s">
        <v>409</v>
      </c>
      <c r="E935" s="6" t="s">
        <v>431</v>
      </c>
      <c r="F935" s="7" t="s">
        <v>414</v>
      </c>
      <c r="G935" s="6" t="str">
        <f>VLOOKUP(E935,dicionario!$A$1:$C1334,2,0)</f>
        <v>#N/A</v>
      </c>
      <c r="H935" s="6" t="str">
        <f>VLOOKUP(E935,dicionario!$A$1:$C1334,3,0)</f>
        <v>#N/A</v>
      </c>
    </row>
    <row r="936">
      <c r="A936" s="3">
        <v>45575.0</v>
      </c>
      <c r="B936" s="4">
        <v>0.2923611111111111</v>
      </c>
      <c r="C936" s="5" t="s">
        <v>76</v>
      </c>
      <c r="D936" s="5" t="s">
        <v>409</v>
      </c>
      <c r="E936" s="6" t="s">
        <v>177</v>
      </c>
      <c r="F936" s="7" t="s">
        <v>178</v>
      </c>
      <c r="G936" s="6" t="str">
        <f>VLOOKUP(E936,dicionario!$A$1:$C1335,2,0)</f>
        <v>Elaenia flavogaster</v>
      </c>
      <c r="H936" s="6" t="str">
        <f>VLOOKUP(E936,dicionario!$A$1:$C1335,3,0)</f>
        <v>guaracava-de-barriga-amarela</v>
      </c>
    </row>
    <row r="937">
      <c r="A937" s="3">
        <v>45575.0</v>
      </c>
      <c r="B937" s="4">
        <v>0.29305555555555557</v>
      </c>
      <c r="C937" s="5" t="s">
        <v>76</v>
      </c>
      <c r="D937" s="5" t="s">
        <v>409</v>
      </c>
      <c r="E937" s="6" t="s">
        <v>135</v>
      </c>
      <c r="F937" s="7" t="s">
        <v>136</v>
      </c>
      <c r="G937" s="6" t="str">
        <f>VLOOKUP(E937,dicionario!$A$1:$C1336,2,0)</f>
        <v>Tridax procumbens</v>
      </c>
      <c r="H937" s="6" t="str">
        <f>VLOOKUP(E937,dicionario!$A$1:$C1336,3,0)</f>
        <v>erva-de-touro</v>
      </c>
    </row>
    <row r="938">
      <c r="A938" s="3">
        <v>45575.0</v>
      </c>
      <c r="B938" s="4">
        <v>0.29305555555555557</v>
      </c>
      <c r="C938" s="5" t="s">
        <v>76</v>
      </c>
      <c r="D938" s="5" t="s">
        <v>409</v>
      </c>
      <c r="E938" s="6" t="s">
        <v>296</v>
      </c>
      <c r="F938" s="7" t="s">
        <v>297</v>
      </c>
      <c r="G938" s="6" t="str">
        <f>VLOOKUP(E938,dicionario!$A$1:$C1337,2,0)</f>
        <v>Richardia brasiliensis</v>
      </c>
      <c r="H938" s="6" t="str">
        <f>VLOOKUP(E938,dicionario!$A$1:$C1337,3,0)</f>
        <v>poaia-branca</v>
      </c>
    </row>
    <row r="939">
      <c r="A939" s="3">
        <v>45575.0</v>
      </c>
      <c r="B939" s="4">
        <v>0.29305555555555557</v>
      </c>
      <c r="C939" s="5" t="s">
        <v>76</v>
      </c>
      <c r="D939" s="5" t="s">
        <v>409</v>
      </c>
      <c r="E939" s="6" t="s">
        <v>432</v>
      </c>
      <c r="F939" s="7" t="s">
        <v>433</v>
      </c>
      <c r="G939" s="6" t="str">
        <f>VLOOKUP(E939,dicionario!$A$1:$C1338,2,0)</f>
        <v>#N/A</v>
      </c>
      <c r="H939" s="6" t="str">
        <f>VLOOKUP(E939,dicionario!$A$1:$C1338,3,0)</f>
        <v>#N/A</v>
      </c>
    </row>
    <row r="940">
      <c r="A940" s="3">
        <v>45575.0</v>
      </c>
      <c r="B940" s="4">
        <v>0.29375</v>
      </c>
      <c r="C940" s="5" t="s">
        <v>76</v>
      </c>
      <c r="D940" s="5" t="s">
        <v>409</v>
      </c>
      <c r="E940" s="6" t="s">
        <v>31</v>
      </c>
      <c r="F940" s="7" t="s">
        <v>32</v>
      </c>
      <c r="G940" s="6" t="str">
        <f>VLOOKUP(E940,dicionario!$A$1:$C1339,2,0)</f>
        <v>Furnarius rufus</v>
      </c>
      <c r="H940" s="6" t="str">
        <f>VLOOKUP(E940,dicionario!$A$1:$C1339,3,0)</f>
        <v>joão-de-barro</v>
      </c>
    </row>
    <row r="941">
      <c r="A941" s="3">
        <v>45575.0</v>
      </c>
      <c r="B941" s="4">
        <v>0.29375</v>
      </c>
      <c r="C941" s="5" t="s">
        <v>76</v>
      </c>
      <c r="D941" s="5" t="s">
        <v>409</v>
      </c>
      <c r="E941" s="6" t="s">
        <v>20</v>
      </c>
      <c r="F941" s="7" t="s">
        <v>21</v>
      </c>
      <c r="G941" s="6" t="str">
        <f>VLOOKUP(E941,dicionario!$A$1:$C1340,2,0)</f>
        <v>Sicalis flaveola</v>
      </c>
      <c r="H941" s="6" t="str">
        <f>VLOOKUP(E941,dicionario!$A$1:$C1340,3,0)</f>
        <v>canário-da-terra</v>
      </c>
    </row>
    <row r="942">
      <c r="A942" s="3">
        <v>45575.0</v>
      </c>
      <c r="B942" s="4">
        <v>0.29375</v>
      </c>
      <c r="C942" s="5" t="s">
        <v>76</v>
      </c>
      <c r="D942" s="5" t="s">
        <v>409</v>
      </c>
      <c r="E942" s="6" t="s">
        <v>200</v>
      </c>
      <c r="F942" s="7" t="s">
        <v>201</v>
      </c>
      <c r="G942" s="6" t="str">
        <f>VLOOKUP(E942,dicionario!$A$1:$C1341,2,0)</f>
        <v>Columbina picui </v>
      </c>
      <c r="H942" s="6" t="str">
        <f>VLOOKUP(E942,dicionario!$A$1:$C1341,3,0)</f>
        <v>rolinha-picuí</v>
      </c>
    </row>
    <row r="943">
      <c r="A943" s="3">
        <v>45575.0</v>
      </c>
      <c r="B943" s="4">
        <v>0.29444444444444445</v>
      </c>
      <c r="C943" s="5" t="s">
        <v>76</v>
      </c>
      <c r="D943" s="5" t="s">
        <v>409</v>
      </c>
      <c r="E943" s="6" t="s">
        <v>65</v>
      </c>
      <c r="F943" s="7" t="s">
        <v>66</v>
      </c>
      <c r="G943" s="6" t="str">
        <f>VLOOKUP(E943,dicionario!$A$1:$C1342,2,0)</f>
        <v>Pitangus sulphutarus</v>
      </c>
      <c r="H943" s="6" t="str">
        <f>VLOOKUP(E943,dicionario!$A$1:$C1342,3,0)</f>
        <v>bem-te-vi</v>
      </c>
    </row>
    <row r="944">
      <c r="A944" s="3">
        <v>45575.0</v>
      </c>
      <c r="B944" s="4">
        <v>0.2951388888888889</v>
      </c>
      <c r="C944" s="5" t="s">
        <v>76</v>
      </c>
      <c r="D944" s="5" t="s">
        <v>409</v>
      </c>
      <c r="E944" s="6" t="s">
        <v>434</v>
      </c>
      <c r="F944" s="7" t="s">
        <v>435</v>
      </c>
      <c r="G944" s="6" t="str">
        <f>VLOOKUP(E944,dicionario!$A$1:$C1343,2,0)</f>
        <v>#N/A</v>
      </c>
      <c r="H944" s="6" t="str">
        <f>VLOOKUP(E944,dicionario!$A$1:$C1343,3,0)</f>
        <v>#N/A</v>
      </c>
    </row>
    <row r="945">
      <c r="A945" s="3">
        <v>45575.0</v>
      </c>
      <c r="B945" s="4">
        <v>0.2951388888888889</v>
      </c>
      <c r="C945" s="5" t="s">
        <v>76</v>
      </c>
      <c r="D945" s="5" t="s">
        <v>409</v>
      </c>
      <c r="E945" s="6" t="s">
        <v>144</v>
      </c>
      <c r="F945" s="7" t="s">
        <v>145</v>
      </c>
      <c r="G945" s="6" t="str">
        <f>VLOOKUP(E945,dicionario!$A$1:$C1344,2,0)</f>
        <v>Gomphrena globosa</v>
      </c>
      <c r="H945" s="6" t="str">
        <f>VLOOKUP(E945,dicionario!$A$1:$C1344,3,0)</f>
        <v>perpétua-rosa</v>
      </c>
    </row>
    <row r="946">
      <c r="A946" s="3">
        <v>45575.0</v>
      </c>
      <c r="B946" s="4">
        <v>0.29583333333333334</v>
      </c>
      <c r="C946" s="5" t="s">
        <v>76</v>
      </c>
      <c r="D946" s="5" t="s">
        <v>409</v>
      </c>
      <c r="E946" s="6" t="s">
        <v>239</v>
      </c>
      <c r="F946" s="7" t="s">
        <v>240</v>
      </c>
      <c r="G946" s="6" t="str">
        <f>VLOOKUP(E946,dicionario!$A$1:$C1345,2,0)</f>
        <v>Gomphrena celosioides</v>
      </c>
      <c r="H946" s="6" t="str">
        <f>VLOOKUP(E946,dicionario!$A$1:$C1345,3,0)</f>
        <v>perpétua-branca</v>
      </c>
    </row>
    <row r="947">
      <c r="A947" s="3">
        <v>45575.0</v>
      </c>
      <c r="B947" s="4">
        <v>0.29583333333333334</v>
      </c>
      <c r="C947" s="5" t="s">
        <v>76</v>
      </c>
      <c r="D947" s="5" t="s">
        <v>409</v>
      </c>
      <c r="E947" s="6" t="s">
        <v>167</v>
      </c>
      <c r="F947" s="7" t="s">
        <v>436</v>
      </c>
      <c r="G947" s="6" t="str">
        <f>VLOOKUP(E947,dicionario!$A$1:$C1346,2,0)</f>
        <v>Hemidactylus mabouia</v>
      </c>
      <c r="H947" s="6" t="str">
        <f>VLOOKUP(E947,dicionario!$A$1:$C1346,3,0)</f>
        <v>lagartixa-doméstica-tropical</v>
      </c>
    </row>
    <row r="948">
      <c r="A948" s="3">
        <v>45575.0</v>
      </c>
      <c r="B948" s="4">
        <v>0.2965277777777778</v>
      </c>
      <c r="C948" s="5" t="s">
        <v>76</v>
      </c>
      <c r="D948" s="5" t="s">
        <v>409</v>
      </c>
      <c r="E948" s="6" t="s">
        <v>29</v>
      </c>
      <c r="F948" s="7" t="s">
        <v>30</v>
      </c>
      <c r="G948" s="6" t="str">
        <f>VLOOKUP(E948,dicionario!$A$1:$C1347,2,0)</f>
        <v>Pycnoscelus surinamensis</v>
      </c>
      <c r="H948" s="6" t="str">
        <f>VLOOKUP(E948,dicionario!$A$1:$C1347,3,0)</f>
        <v>Barata-de-jardim</v>
      </c>
    </row>
    <row r="949">
      <c r="A949" s="3">
        <v>45575.0</v>
      </c>
      <c r="B949" s="4">
        <v>0.2965277777777778</v>
      </c>
      <c r="C949" s="5" t="s">
        <v>76</v>
      </c>
      <c r="D949" s="5" t="s">
        <v>409</v>
      </c>
      <c r="E949" s="6" t="s">
        <v>41</v>
      </c>
      <c r="F949" s="7" t="s">
        <v>45</v>
      </c>
      <c r="G949" s="6" t="str">
        <f>VLOOKUP(E949,dicionario!$A$1:$C1348,2,0)</f>
        <v>Mimosa pudica</v>
      </c>
      <c r="H949" s="6" t="str">
        <f>VLOOKUP(E949,dicionario!$A$1:$C1348,3,0)</f>
        <v>dormideira</v>
      </c>
    </row>
    <row r="950">
      <c r="A950" s="3">
        <v>45575.0</v>
      </c>
      <c r="B950" s="4">
        <v>0.2965277777777778</v>
      </c>
      <c r="C950" s="5" t="s">
        <v>76</v>
      </c>
      <c r="D950" s="5" t="s">
        <v>409</v>
      </c>
      <c r="E950" s="6" t="s">
        <v>113</v>
      </c>
      <c r="F950" s="7" t="s">
        <v>114</v>
      </c>
      <c r="G950" s="6" t="str">
        <f>VLOOKUP(E950,dicionario!$A$1:$C1349,2,0)</f>
        <v>Columbina talpacoti</v>
      </c>
      <c r="H950" s="6" t="str">
        <f>VLOOKUP(E950,dicionario!$A$1:$C1349,3,0)</f>
        <v>rolinha-roxa</v>
      </c>
    </row>
    <row r="951">
      <c r="A951" s="3">
        <v>45575.0</v>
      </c>
      <c r="B951" s="4">
        <v>0.2965277777777778</v>
      </c>
      <c r="C951" s="5" t="s">
        <v>76</v>
      </c>
      <c r="D951" s="5" t="s">
        <v>409</v>
      </c>
      <c r="E951" s="6" t="s">
        <v>241</v>
      </c>
      <c r="F951" s="7" t="s">
        <v>242</v>
      </c>
      <c r="G951" s="6" t="str">
        <f>VLOOKUP(E951,dicionario!$A$1:$C1350,2,0)</f>
        <v>Asiopus minimus</v>
      </c>
      <c r="H951" s="6" t="str">
        <f>VLOOKUP(E951,dicionario!$A$1:$C1350,3,0)</f>
        <v>tenébrio</v>
      </c>
    </row>
    <row r="952">
      <c r="A952" s="3">
        <v>45575.0</v>
      </c>
      <c r="B952" s="4">
        <v>0.2965277777777778</v>
      </c>
      <c r="C952" s="5" t="s">
        <v>76</v>
      </c>
      <c r="D952" s="5" t="s">
        <v>409</v>
      </c>
      <c r="E952" s="8" t="s">
        <v>154</v>
      </c>
      <c r="F952" s="7" t="s">
        <v>155</v>
      </c>
      <c r="G952" s="6" t="str">
        <f>VLOOKUP(E952,dicionario!$A$1:$C1351,2,0)</f>
        <v>Cyperus rotundus</v>
      </c>
      <c r="H952" s="6" t="str">
        <f>VLOOKUP(E952,dicionario!$A$1:$C1351,3,0)</f>
        <v>tiririca</v>
      </c>
    </row>
    <row r="953">
      <c r="A953" s="3">
        <v>45575.0</v>
      </c>
      <c r="B953" s="4">
        <v>0.2972222222222222</v>
      </c>
      <c r="C953" s="5" t="s">
        <v>76</v>
      </c>
      <c r="D953" s="5" t="s">
        <v>409</v>
      </c>
      <c r="E953" s="6" t="s">
        <v>286</v>
      </c>
      <c r="F953" s="7" t="s">
        <v>287</v>
      </c>
      <c r="G953" s="6" t="str">
        <f>VLOOKUP(E953,dicionario!$A$1:$C1352,2,0)</f>
        <v>Setaria parviflora</v>
      </c>
      <c r="H953" s="6" t="str">
        <f>VLOOKUP(E953,dicionario!$A$1:$C1352,3,0)</f>
        <v>capim-rabo-de-raposa</v>
      </c>
    </row>
    <row r="954">
      <c r="A954" s="3">
        <v>45575.0</v>
      </c>
      <c r="B954" s="4">
        <v>0.2972222222222222</v>
      </c>
      <c r="C954" s="5" t="s">
        <v>76</v>
      </c>
      <c r="D954" s="5" t="s">
        <v>409</v>
      </c>
      <c r="E954" s="6" t="s">
        <v>253</v>
      </c>
      <c r="F954" s="7" t="s">
        <v>254</v>
      </c>
      <c r="G954" s="6" t="str">
        <f>VLOOKUP(E954,dicionario!$A$1:$C1353,2,0)</f>
        <v>Panicum maximum</v>
      </c>
      <c r="H954" s="6" t="str">
        <f>VLOOKUP(E954,dicionario!$A$1:$C1353,3,0)</f>
        <v>capim-colonião</v>
      </c>
    </row>
    <row r="955">
      <c r="A955" s="3">
        <v>45575.0</v>
      </c>
      <c r="B955" s="4">
        <v>0.2972222222222222</v>
      </c>
      <c r="C955" s="5" t="s">
        <v>76</v>
      </c>
      <c r="D955" s="5" t="s">
        <v>409</v>
      </c>
      <c r="E955" s="6" t="s">
        <v>185</v>
      </c>
      <c r="F955" s="7" t="s">
        <v>186</v>
      </c>
      <c r="G955" s="6" t="str">
        <f>VLOOKUP(E955,dicionario!$A$1:$C1354,2,0)</f>
        <v>Ipomoea</v>
      </c>
      <c r="H955" s="6" t="str">
        <f>VLOOKUP(E955,dicionario!$A$1:$C1354,3,0)</f>
        <v>ipoméia</v>
      </c>
    </row>
    <row r="956">
      <c r="A956" s="3">
        <v>45575.0</v>
      </c>
      <c r="B956" s="4">
        <v>0.29791666666666666</v>
      </c>
      <c r="C956" s="5" t="s">
        <v>76</v>
      </c>
      <c r="D956" s="5" t="s">
        <v>409</v>
      </c>
      <c r="E956" s="6" t="s">
        <v>437</v>
      </c>
      <c r="F956" s="7" t="s">
        <v>228</v>
      </c>
      <c r="G956" s="6" t="str">
        <f>VLOOKUP(E956,dicionario!$A$1:$C1355,2,0)</f>
        <v>#N/A</v>
      </c>
      <c r="H956" s="6" t="str">
        <f>VLOOKUP(E956,dicionario!$A$1:$C1355,3,0)</f>
        <v>#N/A</v>
      </c>
    </row>
    <row r="957">
      <c r="A957" s="3">
        <v>45575.0</v>
      </c>
      <c r="B957" s="4">
        <v>0.29791666666666666</v>
      </c>
      <c r="C957" s="5" t="s">
        <v>76</v>
      </c>
      <c r="D957" s="5" t="s">
        <v>409</v>
      </c>
      <c r="E957" s="6" t="s">
        <v>280</v>
      </c>
      <c r="F957" s="7" t="s">
        <v>438</v>
      </c>
      <c r="G957" s="6" t="str">
        <f>VLOOKUP(E957,dicionario!$A$1:$C1356,2,0)</f>
        <v>Lepidium virginicum</v>
      </c>
      <c r="H957" s="6" t="str">
        <f>VLOOKUP(E957,dicionario!$A$1:$C1356,3,0)</f>
        <v>mastruz</v>
      </c>
    </row>
    <row r="958">
      <c r="A958" s="3">
        <v>45575.0</v>
      </c>
      <c r="B958" s="4">
        <v>0.2986111111111111</v>
      </c>
      <c r="C958" s="5" t="s">
        <v>76</v>
      </c>
      <c r="D958" s="5" t="s">
        <v>409</v>
      </c>
      <c r="E958" s="6" t="s">
        <v>439</v>
      </c>
      <c r="F958" s="7" t="s">
        <v>281</v>
      </c>
      <c r="G958" s="6" t="str">
        <f>VLOOKUP(E958,dicionario!$A$1:$C1357,2,0)</f>
        <v>#N/A</v>
      </c>
      <c r="H958" s="6" t="str">
        <f>VLOOKUP(E958,dicionario!$A$1:$C1357,3,0)</f>
        <v>#N/A</v>
      </c>
    </row>
    <row r="959">
      <c r="A959" s="3">
        <v>45575.0</v>
      </c>
      <c r="B959" s="4">
        <v>0.2986111111111111</v>
      </c>
      <c r="C959" s="5" t="s">
        <v>76</v>
      </c>
      <c r="D959" s="5" t="s">
        <v>409</v>
      </c>
      <c r="E959" s="6" t="s">
        <v>65</v>
      </c>
      <c r="F959" s="7" t="s">
        <v>66</v>
      </c>
      <c r="G959" s="6" t="str">
        <f>VLOOKUP(E959,dicionario!$A$1:$C1358,2,0)</f>
        <v>Pitangus sulphutarus</v>
      </c>
      <c r="H959" s="6" t="str">
        <f>VLOOKUP(E959,dicionario!$A$1:$C1358,3,0)</f>
        <v>bem-te-vi</v>
      </c>
    </row>
    <row r="960">
      <c r="A960" s="3">
        <v>45575.0</v>
      </c>
      <c r="B960" s="4">
        <v>0.3013888888888889</v>
      </c>
      <c r="C960" s="5" t="s">
        <v>64</v>
      </c>
      <c r="D960" s="5" t="s">
        <v>409</v>
      </c>
      <c r="E960" s="8" t="s">
        <v>38</v>
      </c>
      <c r="F960" s="5" t="s">
        <v>39</v>
      </c>
      <c r="G960" s="6" t="str">
        <f>VLOOKUP(E960,dicionario!$A$1:$C1359,2,0)</f>
        <v>Troglodytes musculus</v>
      </c>
      <c r="H960" s="6" t="str">
        <f>VLOOKUP(E960,dicionario!$A$1:$C1359,3,0)</f>
        <v>curruíra</v>
      </c>
    </row>
    <row r="961">
      <c r="A961" s="3">
        <v>45575.0</v>
      </c>
      <c r="B961" s="4">
        <v>0.3013888888888889</v>
      </c>
      <c r="C961" s="5" t="s">
        <v>64</v>
      </c>
      <c r="D961" s="5" t="s">
        <v>409</v>
      </c>
      <c r="E961" s="6" t="s">
        <v>148</v>
      </c>
      <c r="F961" s="7" t="s">
        <v>149</v>
      </c>
      <c r="G961" s="6" t="str">
        <f>VLOOKUP(E961,dicionario!$A$1:$C1360,2,0)</f>
        <v>Parthenium hysterophorus</v>
      </c>
      <c r="H961" s="6" t="str">
        <f>VLOOKUP(E961,dicionario!$A$1:$C1360,3,0)</f>
        <v>losna-branca</v>
      </c>
    </row>
    <row r="962">
      <c r="A962" s="3">
        <v>45575.0</v>
      </c>
      <c r="B962" s="4">
        <v>0.3020833333333333</v>
      </c>
      <c r="C962" s="5" t="s">
        <v>64</v>
      </c>
      <c r="D962" s="5" t="s">
        <v>409</v>
      </c>
      <c r="E962" s="6" t="s">
        <v>141</v>
      </c>
      <c r="F962" s="7" t="s">
        <v>142</v>
      </c>
      <c r="G962" s="6" t="str">
        <f>VLOOKUP(E962,dicionario!$A$1:$C1361,2,0)</f>
        <v>Ruellia blechum</v>
      </c>
      <c r="H962" s="6" t="str">
        <f>VLOOKUP(E962,dicionario!$A$1:$C1361,3,0)</f>
        <v>camarão-verde</v>
      </c>
    </row>
    <row r="963">
      <c r="A963" s="3">
        <v>45575.0</v>
      </c>
      <c r="B963" s="4">
        <v>0.3020833333333333</v>
      </c>
      <c r="C963" s="5" t="s">
        <v>64</v>
      </c>
      <c r="D963" s="5" t="s">
        <v>409</v>
      </c>
      <c r="E963" s="6" t="s">
        <v>57</v>
      </c>
      <c r="F963" s="7" t="s">
        <v>197</v>
      </c>
      <c r="G963" s="6" t="str">
        <f>VLOOKUP(E963,dicionario!$A$1:$C1362,2,0)</f>
        <v>Juliformia</v>
      </c>
      <c r="H963" s="6" t="str">
        <f>VLOOKUP(E963,dicionario!$A$1:$C1362,3,0)</f>
        <v>gongolo; maria-café</v>
      </c>
    </row>
    <row r="964">
      <c r="A964" s="3">
        <v>45575.0</v>
      </c>
      <c r="B964" s="4">
        <v>0.3020833333333333</v>
      </c>
      <c r="C964" s="5" t="s">
        <v>64</v>
      </c>
      <c r="D964" s="5" t="s">
        <v>409</v>
      </c>
      <c r="E964" s="6" t="s">
        <v>69</v>
      </c>
      <c r="F964" s="7" t="s">
        <v>71</v>
      </c>
      <c r="G964" s="6" t="str">
        <f>VLOOKUP(E964,dicionario!$A$1:$C1363,2,0)</f>
        <v>Talinum fruticosum</v>
      </c>
      <c r="H964" s="6" t="str">
        <f>VLOOKUP(E964,dicionario!$A$1:$C1363,3,0)</f>
        <v>beldroega-grande</v>
      </c>
    </row>
    <row r="965">
      <c r="A965" s="3">
        <v>45575.0</v>
      </c>
      <c r="B965" s="4">
        <v>0.3020833333333333</v>
      </c>
      <c r="C965" s="5" t="s">
        <v>64</v>
      </c>
      <c r="D965" s="5" t="s">
        <v>409</v>
      </c>
      <c r="E965" s="6" t="s">
        <v>253</v>
      </c>
      <c r="F965" s="7" t="s">
        <v>254</v>
      </c>
      <c r="G965" s="6" t="str">
        <f>VLOOKUP(E965,dicionario!$A$1:$C1364,2,0)</f>
        <v>Panicum maximum</v>
      </c>
      <c r="H965" s="6" t="str">
        <f>VLOOKUP(E965,dicionario!$A$1:$C1364,3,0)</f>
        <v>capim-colonião</v>
      </c>
    </row>
    <row r="966">
      <c r="A966" s="3">
        <v>45575.0</v>
      </c>
      <c r="B966" s="4">
        <v>0.30277777777777776</v>
      </c>
      <c r="C966" s="5" t="s">
        <v>64</v>
      </c>
      <c r="D966" s="5" t="s">
        <v>409</v>
      </c>
      <c r="E966" s="6" t="s">
        <v>343</v>
      </c>
      <c r="F966" s="7" t="s">
        <v>192</v>
      </c>
      <c r="G966" s="6" t="str">
        <f>VLOOKUP(E966,dicionario!$A$1:$C1365,2,0)</f>
        <v>#N/A</v>
      </c>
      <c r="H966" s="6" t="str">
        <f>VLOOKUP(E966,dicionario!$A$1:$C1365,3,0)</f>
        <v>#N/A</v>
      </c>
    </row>
    <row r="967">
      <c r="A967" s="3">
        <v>45575.0</v>
      </c>
      <c r="B967" s="4">
        <v>0.30277777777777776</v>
      </c>
      <c r="C967" s="5" t="s">
        <v>64</v>
      </c>
      <c r="D967" s="5" t="s">
        <v>409</v>
      </c>
      <c r="E967" s="6" t="s">
        <v>88</v>
      </c>
      <c r="F967" s="7" t="s">
        <v>89</v>
      </c>
      <c r="G967" s="6" t="str">
        <f>VLOOKUP(E967,dicionario!$A$1:$C1366,2,0)</f>
        <v>Tyrannus melancolichus</v>
      </c>
      <c r="H967" s="6" t="str">
        <f>VLOOKUP(E967,dicionario!$A$1:$C1366,3,0)</f>
        <v>suiriri</v>
      </c>
    </row>
    <row r="968">
      <c r="A968" s="3">
        <v>45575.0</v>
      </c>
      <c r="B968" s="4">
        <v>0.30277777777777776</v>
      </c>
      <c r="C968" s="5" t="s">
        <v>64</v>
      </c>
      <c r="D968" s="5" t="s">
        <v>409</v>
      </c>
      <c r="E968" s="6" t="s">
        <v>72</v>
      </c>
      <c r="F968" s="7" t="s">
        <v>73</v>
      </c>
      <c r="G968" s="6" t="str">
        <f>VLOOKUP(E968,dicionario!$A$1:$C1367,2,0)</f>
        <v>Thraupis palmarum</v>
      </c>
      <c r="H968" s="6" t="str">
        <f>VLOOKUP(E968,dicionario!$A$1:$C1367,3,0)</f>
        <v>sanhaço-do-coqueiro</v>
      </c>
    </row>
    <row r="969">
      <c r="A969" s="3">
        <v>45575.0</v>
      </c>
      <c r="B969" s="4">
        <v>0.3034722222222222</v>
      </c>
      <c r="C969" s="5" t="s">
        <v>64</v>
      </c>
      <c r="D969" s="5" t="s">
        <v>409</v>
      </c>
      <c r="E969" s="6" t="s">
        <v>175</v>
      </c>
      <c r="F969" s="7" t="s">
        <v>176</v>
      </c>
      <c r="G969" s="6" t="str">
        <f>VLOOKUP(E969,dicionario!$A$1:$C1368,2,0)</f>
        <v>Turdus leucomelas</v>
      </c>
      <c r="H969" s="6" t="str">
        <f>VLOOKUP(E969,dicionario!$A$1:$C1368,3,0)</f>
        <v>sabiá-barranco</v>
      </c>
    </row>
    <row r="970">
      <c r="A970" s="3">
        <v>45575.0</v>
      </c>
      <c r="B970" s="4">
        <v>0.3034722222222222</v>
      </c>
      <c r="C970" s="5" t="s">
        <v>64</v>
      </c>
      <c r="D970" s="5" t="s">
        <v>409</v>
      </c>
      <c r="E970" s="6" t="s">
        <v>353</v>
      </c>
      <c r="F970" s="7" t="s">
        <v>354</v>
      </c>
      <c r="G970" s="6" t="str">
        <f>VLOOKUP(E970,dicionario!$A$1:$C1369,2,0)</f>
        <v>Desmodium incanum</v>
      </c>
      <c r="H970" s="6" t="str">
        <f>VLOOKUP(E970,dicionario!$A$1:$C1369,3,0)</f>
        <v>pega-pega</v>
      </c>
    </row>
    <row r="971">
      <c r="A971" s="3">
        <v>45575.0</v>
      </c>
      <c r="B971" s="4">
        <v>0.3034722222222222</v>
      </c>
      <c r="C971" s="5" t="s">
        <v>64</v>
      </c>
      <c r="D971" s="5" t="s">
        <v>409</v>
      </c>
      <c r="E971" s="6" t="s">
        <v>267</v>
      </c>
      <c r="F971" s="7" t="s">
        <v>268</v>
      </c>
      <c r="G971" s="6" t="str">
        <f>VLOOKUP(E971,dicionario!$A$1:$C1370,2,0)</f>
        <v>Solanum americanum</v>
      </c>
      <c r="H971" s="6" t="str">
        <f>VLOOKUP(E971,dicionario!$A$1:$C1370,3,0)</f>
        <v>maria-pretinha</v>
      </c>
    </row>
    <row r="972">
      <c r="A972" s="3">
        <v>45575.0</v>
      </c>
      <c r="B972" s="4">
        <v>0.3034722222222222</v>
      </c>
      <c r="C972" s="5" t="s">
        <v>64</v>
      </c>
      <c r="D972" s="5" t="s">
        <v>409</v>
      </c>
      <c r="E972" s="6" t="s">
        <v>86</v>
      </c>
      <c r="F972" s="7" t="s">
        <v>87</v>
      </c>
      <c r="G972" s="6" t="str">
        <f>VLOOKUP(E972,dicionario!$A$1:$C1371,2,0)</f>
        <v>Coereba flaveola</v>
      </c>
      <c r="H972" s="6" t="str">
        <f>VLOOKUP(E972,dicionario!$A$1:$C1371,3,0)</f>
        <v>cambacica</v>
      </c>
    </row>
    <row r="973">
      <c r="A973" s="3">
        <v>45575.0</v>
      </c>
      <c r="B973" s="4">
        <v>0.30486111111111114</v>
      </c>
      <c r="C973" s="5" t="s">
        <v>64</v>
      </c>
      <c r="D973" s="5" t="s">
        <v>409</v>
      </c>
      <c r="E973" s="6" t="s">
        <v>163</v>
      </c>
      <c r="F973" s="7" t="s">
        <v>164</v>
      </c>
      <c r="G973" s="6" t="str">
        <f>VLOOKUP(E973,dicionario!$A$1:$C1372,2,0)</f>
        <v>Coragyps atratus</v>
      </c>
      <c r="H973" s="6" t="str">
        <f>VLOOKUP(E973,dicionario!$A$1:$C1372,3,0)</f>
        <v>urubu-de-cabeça-preta</v>
      </c>
    </row>
    <row r="974">
      <c r="A974" s="3">
        <v>45575.0</v>
      </c>
      <c r="B974" s="4">
        <v>0.3055555555555556</v>
      </c>
      <c r="C974" s="5" t="s">
        <v>64</v>
      </c>
      <c r="D974" s="5" t="s">
        <v>409</v>
      </c>
      <c r="E974" s="6" t="s">
        <v>103</v>
      </c>
      <c r="F974" s="7" t="s">
        <v>104</v>
      </c>
      <c r="G974" s="6" t="str">
        <f>VLOOKUP(E974,dicionario!$A$1:$C1373,2,0)</f>
        <v>Caracara plancus</v>
      </c>
      <c r="H974" s="6" t="str">
        <f>VLOOKUP(E974,dicionario!$A$1:$C1373,3,0)</f>
        <v>carcará </v>
      </c>
    </row>
    <row r="975">
      <c r="A975" s="3">
        <v>45575.0</v>
      </c>
      <c r="B975" s="4">
        <v>0.3055555555555556</v>
      </c>
      <c r="C975" s="5" t="s">
        <v>64</v>
      </c>
      <c r="D975" s="5" t="s">
        <v>409</v>
      </c>
      <c r="E975" s="6" t="s">
        <v>440</v>
      </c>
      <c r="F975" s="7" t="s">
        <v>441</v>
      </c>
      <c r="G975" s="6" t="str">
        <f>VLOOKUP(E975,dicionario!$A$1:$C1374,2,0)</f>
        <v>#N/A</v>
      </c>
      <c r="H975" s="6" t="str">
        <f>VLOOKUP(E975,dicionario!$A$1:$C1374,3,0)</f>
        <v>#N/A</v>
      </c>
    </row>
    <row r="976">
      <c r="A976" s="3">
        <v>45575.0</v>
      </c>
      <c r="B976" s="4">
        <v>0.3055555555555556</v>
      </c>
      <c r="C976" s="5" t="s">
        <v>64</v>
      </c>
      <c r="D976" s="5" t="s">
        <v>409</v>
      </c>
      <c r="E976" s="6" t="s">
        <v>107</v>
      </c>
      <c r="F976" s="5" t="s">
        <v>108</v>
      </c>
      <c r="G976" s="6" t="str">
        <f>VLOOKUP(E976,dicionario!$A$1:$C1375,2,0)</f>
        <v>Ramalina complanata</v>
      </c>
      <c r="H976" s="6" t="str">
        <f>VLOOKUP(E976,dicionario!$A$1:$C1375,3,0)</f>
        <v>ramalina</v>
      </c>
    </row>
    <row r="977">
      <c r="A977" s="3">
        <v>45575.0</v>
      </c>
      <c r="B977" s="4">
        <v>0.3055555555555556</v>
      </c>
      <c r="C977" s="5" t="s">
        <v>64</v>
      </c>
      <c r="D977" s="5" t="s">
        <v>409</v>
      </c>
      <c r="E977" s="6" t="s">
        <v>383</v>
      </c>
      <c r="F977" s="7" t="s">
        <v>384</v>
      </c>
      <c r="G977" s="6" t="str">
        <f>VLOOKUP(E977,dicionario!$A$1:$C1376,2,0)</f>
        <v>Setophaga pitiayumi</v>
      </c>
      <c r="H977" s="6" t="str">
        <f>VLOOKUP(E977,dicionario!$A$1:$C1376,3,0)</f>
        <v>mariquita</v>
      </c>
    </row>
    <row r="978">
      <c r="A978" s="3">
        <v>45575.0</v>
      </c>
      <c r="B978" s="4">
        <v>0.3055555555555556</v>
      </c>
      <c r="C978" s="5" t="s">
        <v>64</v>
      </c>
      <c r="D978" s="5" t="s">
        <v>409</v>
      </c>
      <c r="E978" s="6" t="s">
        <v>343</v>
      </c>
      <c r="F978" s="7" t="s">
        <v>192</v>
      </c>
      <c r="G978" s="6" t="str">
        <f>VLOOKUP(E978,dicionario!$A$1:$C1377,2,0)</f>
        <v>#N/A</v>
      </c>
      <c r="H978" s="6" t="str">
        <f>VLOOKUP(E978,dicionario!$A$1:$C1377,3,0)</f>
        <v>#N/A</v>
      </c>
    </row>
    <row r="979">
      <c r="A979" s="3">
        <v>45575.0</v>
      </c>
      <c r="B979" s="4">
        <v>0.3076388888888889</v>
      </c>
      <c r="C979" s="5" t="s">
        <v>59</v>
      </c>
      <c r="D979" s="5" t="s">
        <v>409</v>
      </c>
      <c r="E979" s="6" t="s">
        <v>163</v>
      </c>
      <c r="F979" s="7" t="s">
        <v>164</v>
      </c>
      <c r="G979" s="6" t="str">
        <f>VLOOKUP(E979,dicionario!$A$1:$C1378,2,0)</f>
        <v>Coragyps atratus</v>
      </c>
      <c r="H979" s="6" t="str">
        <f>VLOOKUP(E979,dicionario!$A$1:$C1378,3,0)</f>
        <v>urubu-de-cabeça-preta</v>
      </c>
    </row>
    <row r="980">
      <c r="A980" s="3">
        <v>45575.0</v>
      </c>
      <c r="B980" s="4">
        <v>0.3076388888888889</v>
      </c>
      <c r="C980" s="5" t="s">
        <v>59</v>
      </c>
      <c r="D980" s="5" t="s">
        <v>409</v>
      </c>
      <c r="E980" s="6" t="s">
        <v>53</v>
      </c>
      <c r="F980" s="7" t="s">
        <v>314</v>
      </c>
      <c r="G980" s="6" t="str">
        <f>VLOOKUP(E980,dicionario!$A$1:$C1379,2,0)</f>
        <v>Turnera subulata</v>
      </c>
      <c r="H980" s="6" t="str">
        <f>VLOOKUP(E980,dicionario!$A$1:$C1379,3,0)</f>
        <v>xanana</v>
      </c>
    </row>
    <row r="981">
      <c r="A981" s="3">
        <v>45575.0</v>
      </c>
      <c r="B981" s="4">
        <v>0.3076388888888889</v>
      </c>
      <c r="C981" s="5" t="s">
        <v>59</v>
      </c>
      <c r="D981" s="5" t="s">
        <v>409</v>
      </c>
      <c r="E981" s="6" t="s">
        <v>298</v>
      </c>
      <c r="F981" s="5" t="s">
        <v>299</v>
      </c>
      <c r="G981" s="6" t="str">
        <f>VLOOKUP(E981,dicionario!$A$1:$C1380,2,0)</f>
        <v>Alysicarpus vaginalis</v>
      </c>
      <c r="H981" s="6" t="str">
        <f>VLOOKUP(E981,dicionario!$A$1:$C1380,3,0)</f>
        <v/>
      </c>
    </row>
    <row r="982">
      <c r="A982" s="3">
        <v>45575.0</v>
      </c>
      <c r="B982" s="4">
        <v>0.3076388888888889</v>
      </c>
      <c r="C982" s="5" t="s">
        <v>59</v>
      </c>
      <c r="D982" s="5" t="s">
        <v>409</v>
      </c>
      <c r="E982" s="6" t="s">
        <v>14</v>
      </c>
      <c r="F982" s="7" t="s">
        <v>15</v>
      </c>
      <c r="G982" s="6" t="str">
        <f>VLOOKUP(E982,dicionario!$A$1:$C1381,2,0)</f>
        <v>Spermacoce verticillata</v>
      </c>
      <c r="H982" s="6" t="str">
        <f>VLOOKUP(E982,dicionario!$A$1:$C1381,3,0)</f>
        <v>vassourinha-de-botão</v>
      </c>
    </row>
    <row r="983">
      <c r="A983" s="3">
        <v>45575.0</v>
      </c>
      <c r="B983" s="4">
        <v>0.3076388888888889</v>
      </c>
      <c r="C983" s="5" t="s">
        <v>59</v>
      </c>
      <c r="D983" s="5" t="s">
        <v>409</v>
      </c>
      <c r="E983" s="6" t="s">
        <v>57</v>
      </c>
      <c r="F983" s="7" t="s">
        <v>197</v>
      </c>
      <c r="G983" s="6" t="str">
        <f>VLOOKUP(E983,dicionario!$A$1:$C1382,2,0)</f>
        <v>Juliformia</v>
      </c>
      <c r="H983" s="6" t="str">
        <f>VLOOKUP(E983,dicionario!$A$1:$C1382,3,0)</f>
        <v>gongolo; maria-café</v>
      </c>
    </row>
    <row r="984">
      <c r="A984" s="3">
        <v>45575.0</v>
      </c>
      <c r="B984" s="4">
        <v>0.30833333333333335</v>
      </c>
      <c r="C984" s="5" t="s">
        <v>59</v>
      </c>
      <c r="D984" s="5" t="s">
        <v>409</v>
      </c>
      <c r="E984" s="6" t="s">
        <v>86</v>
      </c>
      <c r="F984" s="7" t="s">
        <v>87</v>
      </c>
      <c r="G984" s="6" t="str">
        <f>VLOOKUP(E984,dicionario!$A$1:$C1383,2,0)</f>
        <v>Coereba flaveola</v>
      </c>
      <c r="H984" s="6" t="str">
        <f>VLOOKUP(E984,dicionario!$A$1:$C1383,3,0)</f>
        <v>cambacica</v>
      </c>
    </row>
    <row r="985">
      <c r="A985" s="3">
        <v>45575.0</v>
      </c>
      <c r="B985" s="4">
        <v>0.30833333333333335</v>
      </c>
      <c r="C985" s="5" t="s">
        <v>59</v>
      </c>
      <c r="D985" s="5" t="s">
        <v>409</v>
      </c>
      <c r="E985" s="6" t="s">
        <v>22</v>
      </c>
      <c r="F985" s="7" t="s">
        <v>97</v>
      </c>
      <c r="G985" s="6" t="str">
        <f>VLOOKUP(E985,dicionario!$A$1:$C1384,2,0)</f>
        <v>Zenaida auriculata</v>
      </c>
      <c r="H985" s="6" t="str">
        <f>VLOOKUP(E985,dicionario!$A$1:$C1384,3,0)</f>
        <v>pomba-de-bando; avoante</v>
      </c>
    </row>
    <row r="986">
      <c r="A986" s="3">
        <v>45575.0</v>
      </c>
      <c r="B986" s="4">
        <v>0.30833333333333335</v>
      </c>
      <c r="C986" s="5" t="s">
        <v>59</v>
      </c>
      <c r="D986" s="5" t="s">
        <v>409</v>
      </c>
      <c r="E986" s="18" t="s">
        <v>107</v>
      </c>
      <c r="F986" s="5" t="s">
        <v>108</v>
      </c>
      <c r="G986" s="6" t="str">
        <f>VLOOKUP(E986,dicionario!$A$1:$C1385,2,0)</f>
        <v>Ramalina complanata</v>
      </c>
      <c r="H986" s="6" t="str">
        <f>VLOOKUP(E986,dicionario!$A$1:$C1385,3,0)</f>
        <v>ramalina</v>
      </c>
    </row>
    <row r="987">
      <c r="A987" s="3">
        <v>45575.0</v>
      </c>
      <c r="B987" s="4">
        <v>0.3090277777777778</v>
      </c>
      <c r="C987" s="5" t="s">
        <v>59</v>
      </c>
      <c r="D987" s="5" t="s">
        <v>409</v>
      </c>
      <c r="E987" s="6" t="s">
        <v>245</v>
      </c>
      <c r="F987" s="7" t="s">
        <v>246</v>
      </c>
      <c r="G987" s="6" t="str">
        <f>VLOOKUP(E987,dicionario!$A$1:$C1386,2,0)</f>
        <v>Hemiargus hanno</v>
      </c>
      <c r="H987" s="6" t="str">
        <f>VLOOKUP(E987,dicionario!$A$1:$C1386,3,0)</f>
        <v>borboleta-azulzinha-do-trevo</v>
      </c>
    </row>
    <row r="988">
      <c r="A988" s="3">
        <v>45575.0</v>
      </c>
      <c r="B988" s="4">
        <v>0.3090277777777778</v>
      </c>
      <c r="C988" s="5" t="s">
        <v>59</v>
      </c>
      <c r="D988" s="5" t="s">
        <v>409</v>
      </c>
      <c r="E988" s="8" t="s">
        <v>187</v>
      </c>
      <c r="F988" s="5" t="s">
        <v>70</v>
      </c>
      <c r="G988" s="6" t="str">
        <f>VLOOKUP(E988,dicionario!$A$1:$C1387,2,0)</f>
        <v>Tangara cayana</v>
      </c>
      <c r="H988" s="6" t="str">
        <f>VLOOKUP(E988,dicionario!$A$1:$C1387,3,0)</f>
        <v>saíra-amarela</v>
      </c>
    </row>
    <row r="989">
      <c r="A989" s="3">
        <v>45575.0</v>
      </c>
      <c r="B989" s="4">
        <v>0.30972222222222223</v>
      </c>
      <c r="C989" s="5" t="s">
        <v>59</v>
      </c>
      <c r="D989" s="5" t="s">
        <v>409</v>
      </c>
      <c r="E989" s="6" t="s">
        <v>109</v>
      </c>
      <c r="F989" s="7" t="s">
        <v>110</v>
      </c>
      <c r="G989" s="6" t="str">
        <f>VLOOKUP(E989,dicionario!$A$1:$C1388,2,0)</f>
        <v>Tillandsia stricta</v>
      </c>
      <c r="H989" s="6" t="str">
        <f>VLOOKUP(E989,dicionario!$A$1:$C1388,3,0)</f>
        <v>cravo-do-mato</v>
      </c>
    </row>
    <row r="990">
      <c r="A990" s="3">
        <v>45575.0</v>
      </c>
      <c r="B990" s="4">
        <v>0.3104166666666667</v>
      </c>
      <c r="C990" s="5" t="s">
        <v>59</v>
      </c>
      <c r="D990" s="5" t="s">
        <v>409</v>
      </c>
      <c r="E990" s="6" t="s">
        <v>239</v>
      </c>
      <c r="F990" s="7" t="s">
        <v>240</v>
      </c>
      <c r="G990" s="6" t="str">
        <f>VLOOKUP(E990,dicionario!$A$1:$C1389,2,0)</f>
        <v>Gomphrena celosioides</v>
      </c>
      <c r="H990" s="6" t="str">
        <f>VLOOKUP(E990,dicionario!$A$1:$C1389,3,0)</f>
        <v>perpétua-branca</v>
      </c>
    </row>
    <row r="991">
      <c r="A991" s="3">
        <v>45575.0</v>
      </c>
      <c r="B991" s="4">
        <v>0.3111111111111111</v>
      </c>
      <c r="C991" s="5" t="s">
        <v>59</v>
      </c>
      <c r="D991" s="5" t="s">
        <v>409</v>
      </c>
      <c r="E991" s="6" t="s">
        <v>135</v>
      </c>
      <c r="F991" s="7" t="s">
        <v>136</v>
      </c>
      <c r="G991" s="6" t="str">
        <f>VLOOKUP(E991,dicionario!$A$1:$C1390,2,0)</f>
        <v>Tridax procumbens</v>
      </c>
      <c r="H991" s="6" t="str">
        <f>VLOOKUP(E991,dicionario!$A$1:$C1390,3,0)</f>
        <v>erva-de-touro</v>
      </c>
    </row>
    <row r="992">
      <c r="A992" s="3">
        <v>45575.0</v>
      </c>
      <c r="B992" s="4">
        <v>0.3111111111111111</v>
      </c>
      <c r="C992" s="5" t="s">
        <v>59</v>
      </c>
      <c r="D992" s="5" t="s">
        <v>409</v>
      </c>
      <c r="E992" s="6" t="s">
        <v>202</v>
      </c>
      <c r="F992" s="7" t="s">
        <v>203</v>
      </c>
      <c r="G992" s="6" t="str">
        <f>VLOOKUP(E992,dicionario!$A$1:$C1391,2,0)</f>
        <v>Dysdercus</v>
      </c>
      <c r="H992" s="6" t="str">
        <f>VLOOKUP(E992,dicionario!$A$1:$C1391,3,0)</f>
        <v>percevejo-manchador</v>
      </c>
    </row>
    <row r="993">
      <c r="A993" s="3">
        <v>45575.0</v>
      </c>
      <c r="B993" s="4">
        <v>0.3111111111111111</v>
      </c>
      <c r="C993" s="5" t="s">
        <v>59</v>
      </c>
      <c r="D993" s="5" t="s">
        <v>409</v>
      </c>
      <c r="E993" s="6" t="s">
        <v>368</v>
      </c>
      <c r="F993" s="7" t="s">
        <v>35</v>
      </c>
      <c r="G993" s="6" t="str">
        <f>VLOOKUP(E993,dicionario!$A$1:$C1392,2,0)</f>
        <v>#N/A</v>
      </c>
      <c r="H993" s="6" t="str">
        <f>VLOOKUP(E993,dicionario!$A$1:$C1392,3,0)</f>
        <v>#N/A</v>
      </c>
    </row>
    <row r="994">
      <c r="A994" s="3">
        <v>45575.0</v>
      </c>
      <c r="B994" s="4">
        <v>0.31180555555555556</v>
      </c>
      <c r="C994" s="5" t="s">
        <v>59</v>
      </c>
      <c r="D994" s="5" t="s">
        <v>409</v>
      </c>
      <c r="E994" s="6" t="s">
        <v>163</v>
      </c>
      <c r="F994" s="7" t="s">
        <v>164</v>
      </c>
      <c r="G994" s="6" t="str">
        <f>VLOOKUP(E994,dicionario!$A$1:$C1393,2,0)</f>
        <v>Coragyps atratus</v>
      </c>
      <c r="H994" s="6" t="str">
        <f>VLOOKUP(E994,dicionario!$A$1:$C1393,3,0)</f>
        <v>urubu-de-cabeça-preta</v>
      </c>
    </row>
    <row r="995">
      <c r="A995" s="3">
        <v>45575.0</v>
      </c>
      <c r="B995" s="4">
        <v>0.31319444444444444</v>
      </c>
      <c r="C995" s="5" t="s">
        <v>50</v>
      </c>
      <c r="D995" s="5" t="s">
        <v>409</v>
      </c>
      <c r="E995" s="6" t="s">
        <v>135</v>
      </c>
      <c r="F995" s="7" t="s">
        <v>136</v>
      </c>
      <c r="G995" s="6" t="str">
        <f>VLOOKUP(E995,dicionario!$A$1:$C1394,2,0)</f>
        <v>Tridax procumbens</v>
      </c>
      <c r="H995" s="6" t="str">
        <f>VLOOKUP(E995,dicionario!$A$1:$C1394,3,0)</f>
        <v>erva-de-touro</v>
      </c>
    </row>
    <row r="996">
      <c r="A996" s="3">
        <v>45575.0</v>
      </c>
      <c r="B996" s="4">
        <v>0.31319444444444444</v>
      </c>
      <c r="C996" s="5" t="s">
        <v>50</v>
      </c>
      <c r="D996" s="5" t="s">
        <v>409</v>
      </c>
      <c r="E996" s="6" t="s">
        <v>442</v>
      </c>
      <c r="F996" s="7" t="s">
        <v>443</v>
      </c>
      <c r="G996" s="6" t="str">
        <f>VLOOKUP(E996,dicionario!$A$1:$C1395,2,0)</f>
        <v>#N/A</v>
      </c>
      <c r="H996" s="6" t="str">
        <f>VLOOKUP(E996,dicionario!$A$1:$C1395,3,0)</f>
        <v>#N/A</v>
      </c>
    </row>
    <row r="997">
      <c r="A997" s="3">
        <v>45575.0</v>
      </c>
      <c r="B997" s="4">
        <v>0.3138888888888889</v>
      </c>
      <c r="C997" s="5" t="s">
        <v>50</v>
      </c>
      <c r="D997" s="5" t="s">
        <v>409</v>
      </c>
      <c r="E997" s="6" t="s">
        <v>227</v>
      </c>
      <c r="F997" s="7" t="s">
        <v>228</v>
      </c>
      <c r="G997" s="6" t="str">
        <f>VLOOKUP(E997,dicionario!$A$1:$C1396,2,0)</f>
        <v>Indigofera hirsuta</v>
      </c>
      <c r="H997" s="6" t="str">
        <f>VLOOKUP(E997,dicionario!$A$1:$C1396,3,0)</f>
        <v>anileira</v>
      </c>
    </row>
    <row r="998">
      <c r="A998" s="3">
        <v>45575.0</v>
      </c>
      <c r="B998" s="4">
        <v>0.3138888888888889</v>
      </c>
      <c r="C998" s="5" t="s">
        <v>50</v>
      </c>
      <c r="D998" s="5" t="s">
        <v>409</v>
      </c>
      <c r="E998" s="6" t="s">
        <v>353</v>
      </c>
      <c r="F998" s="7" t="s">
        <v>354</v>
      </c>
      <c r="G998" s="6" t="str">
        <f>VLOOKUP(E998,dicionario!$A$1:$C1397,2,0)</f>
        <v>Desmodium incanum</v>
      </c>
      <c r="H998" s="6" t="str">
        <f>VLOOKUP(E998,dicionario!$A$1:$C1397,3,0)</f>
        <v>pega-pega</v>
      </c>
    </row>
    <row r="999">
      <c r="A999" s="3">
        <v>45575.0</v>
      </c>
      <c r="B999" s="4">
        <v>0.3138888888888889</v>
      </c>
      <c r="C999" s="5" t="s">
        <v>50</v>
      </c>
      <c r="D999" s="5" t="s">
        <v>409</v>
      </c>
      <c r="E999" s="6" t="s">
        <v>148</v>
      </c>
      <c r="F999" s="7" t="s">
        <v>149</v>
      </c>
      <c r="G999" s="6" t="str">
        <f>VLOOKUP(E999,dicionario!$A$1:$C1398,2,0)</f>
        <v>Parthenium hysterophorus</v>
      </c>
      <c r="H999" s="6" t="str">
        <f>VLOOKUP(E999,dicionario!$A$1:$C1398,3,0)</f>
        <v>losna-branca</v>
      </c>
    </row>
    <row r="1000">
      <c r="A1000" s="3">
        <v>45575.0</v>
      </c>
      <c r="B1000" s="4">
        <v>0.3138888888888889</v>
      </c>
      <c r="C1000" s="5" t="s">
        <v>50</v>
      </c>
      <c r="D1000" s="5" t="s">
        <v>409</v>
      </c>
      <c r="E1000" s="6" t="s">
        <v>150</v>
      </c>
      <c r="F1000" s="7" t="s">
        <v>151</v>
      </c>
      <c r="G1000" s="6" t="str">
        <f>VLOOKUP(E1000,dicionario!$A$1:$C1399,2,0)</f>
        <v>Amaranthus viridis</v>
      </c>
      <c r="H1000" s="6" t="str">
        <f>VLOOKUP(E1000,dicionario!$A$1:$C1399,3,0)</f>
        <v>caruru-de-mancha</v>
      </c>
    </row>
    <row r="1001">
      <c r="A1001" s="3">
        <v>45575.0</v>
      </c>
      <c r="B1001" s="4">
        <v>0.3138888888888889</v>
      </c>
      <c r="C1001" s="5" t="s">
        <v>50</v>
      </c>
      <c r="D1001" s="5" t="s">
        <v>409</v>
      </c>
      <c r="E1001" s="6" t="s">
        <v>239</v>
      </c>
      <c r="F1001" s="7" t="s">
        <v>240</v>
      </c>
      <c r="G1001" s="6" t="str">
        <f>VLOOKUP(E1001,dicionario!$A$1:$C1400,2,0)</f>
        <v>Gomphrena celosioides</v>
      </c>
      <c r="H1001" s="6" t="str">
        <f>VLOOKUP(E1001,dicionario!$A$1:$C1400,3,0)</f>
        <v>perpétua-branca</v>
      </c>
    </row>
    <row r="1002">
      <c r="A1002" s="3">
        <v>45575.0</v>
      </c>
      <c r="B1002" s="4">
        <v>0.3138888888888889</v>
      </c>
      <c r="C1002" s="5" t="s">
        <v>50</v>
      </c>
      <c r="D1002" s="5" t="s">
        <v>409</v>
      </c>
      <c r="E1002" s="8" t="s">
        <v>38</v>
      </c>
      <c r="F1002" s="5" t="s">
        <v>39</v>
      </c>
      <c r="G1002" s="6" t="str">
        <f>VLOOKUP(E1002,dicionario!$A$1:$C1401,2,0)</f>
        <v>Troglodytes musculus</v>
      </c>
      <c r="H1002" s="6" t="str">
        <f>VLOOKUP(E1002,dicionario!$A$1:$C1401,3,0)</f>
        <v>curruíra</v>
      </c>
    </row>
    <row r="1003">
      <c r="A1003" s="3">
        <v>45575.0</v>
      </c>
      <c r="B1003" s="4">
        <v>0.31527777777777777</v>
      </c>
      <c r="C1003" s="5" t="s">
        <v>50</v>
      </c>
      <c r="D1003" s="5" t="s">
        <v>409</v>
      </c>
      <c r="E1003" s="6" t="s">
        <v>225</v>
      </c>
      <c r="F1003" s="7" t="s">
        <v>226</v>
      </c>
      <c r="G1003" s="6" t="str">
        <f>VLOOKUP(E1003,dicionario!$A$1:$C1402,2,0)</f>
        <v>Passer domesticus</v>
      </c>
      <c r="H1003" s="6" t="str">
        <f>VLOOKUP(E1003,dicionario!$A$1:$C1402,3,0)</f>
        <v>pardal</v>
      </c>
    </row>
    <row r="1004">
      <c r="A1004" s="3">
        <v>45575.0</v>
      </c>
      <c r="B1004" s="4">
        <v>0.31527777777777777</v>
      </c>
      <c r="C1004" s="5" t="s">
        <v>50</v>
      </c>
      <c r="D1004" s="5" t="s">
        <v>409</v>
      </c>
      <c r="E1004" s="6" t="s">
        <v>27</v>
      </c>
      <c r="F1004" s="7" t="s">
        <v>28</v>
      </c>
      <c r="G1004" s="6" t="str">
        <f>VLOOKUP(E1004,dicionario!$A$1:$C1403,2,0)</f>
        <v>Termitoidae</v>
      </c>
      <c r="H1004" s="6" t="str">
        <f>VLOOKUP(E1004,dicionario!$A$1:$C1403,3,0)</f>
        <v>cupim</v>
      </c>
    </row>
    <row r="1005">
      <c r="A1005" s="3">
        <v>45575.0</v>
      </c>
      <c r="B1005" s="4">
        <v>0.31527777777777777</v>
      </c>
      <c r="C1005" s="5" t="s">
        <v>50</v>
      </c>
      <c r="D1005" s="5" t="s">
        <v>409</v>
      </c>
      <c r="E1005" s="6" t="s">
        <v>72</v>
      </c>
      <c r="F1005" s="7" t="s">
        <v>73</v>
      </c>
      <c r="G1005" s="6" t="str">
        <f>VLOOKUP(E1005,dicionario!$A$1:$C1404,2,0)</f>
        <v>Thraupis palmarum</v>
      </c>
      <c r="H1005" s="6" t="str">
        <f>VLOOKUP(E1005,dicionario!$A$1:$C1404,3,0)</f>
        <v>sanhaço-do-coqueiro</v>
      </c>
    </row>
    <row r="1006">
      <c r="A1006" s="3">
        <v>45575.0</v>
      </c>
      <c r="B1006" s="4">
        <v>0.3159722222222222</v>
      </c>
      <c r="C1006" s="5" t="s">
        <v>50</v>
      </c>
      <c r="D1006" s="5" t="s">
        <v>409</v>
      </c>
      <c r="E1006" s="6" t="s">
        <v>364</v>
      </c>
      <c r="F1006" s="7" t="s">
        <v>365</v>
      </c>
      <c r="G1006" s="6" t="str">
        <f>VLOOKUP(E1006,dicionario!$A$1:$C1405,2,0)</f>
        <v>#N/A</v>
      </c>
      <c r="H1006" s="6" t="str">
        <f>VLOOKUP(E1006,dicionario!$A$1:$C1405,3,0)</f>
        <v>#N/A</v>
      </c>
    </row>
    <row r="1007">
      <c r="A1007" s="3">
        <v>45575.0</v>
      </c>
      <c r="B1007" s="4">
        <v>0.31875</v>
      </c>
      <c r="C1007" s="5" t="s">
        <v>40</v>
      </c>
      <c r="D1007" s="5" t="s">
        <v>409</v>
      </c>
      <c r="E1007" s="6" t="s">
        <v>162</v>
      </c>
      <c r="F1007" s="7" t="s">
        <v>42</v>
      </c>
      <c r="G1007" s="6" t="str">
        <f>VLOOKUP(E1007,dicionario!$A$1:$C1406,2,0)</f>
        <v>Fluvicola nengeta</v>
      </c>
      <c r="H1007" s="6" t="str">
        <f>VLOOKUP(E1007,dicionario!$A$1:$C1406,3,0)</f>
        <v>lavadeira-mascarada</v>
      </c>
    </row>
    <row r="1008">
      <c r="A1008" s="3">
        <v>45575.0</v>
      </c>
      <c r="B1008" s="4">
        <v>0.31875</v>
      </c>
      <c r="C1008" s="5" t="s">
        <v>40</v>
      </c>
      <c r="D1008" s="5" t="s">
        <v>409</v>
      </c>
      <c r="E1008" s="6" t="s">
        <v>93</v>
      </c>
      <c r="F1008" s="7" t="s">
        <v>94</v>
      </c>
      <c r="G1008" s="6" t="str">
        <f>VLOOKUP(E1008,dicionario!$A$1:$C1407,2,0)</f>
        <v>Thraupis sayaca</v>
      </c>
      <c r="H1008" s="6" t="str">
        <f>VLOOKUP(E1008,dicionario!$A$1:$C1407,3,0)</f>
        <v>sanhaçu-cinzento</v>
      </c>
    </row>
    <row r="1009">
      <c r="A1009" s="3">
        <v>45575.0</v>
      </c>
      <c r="B1009" s="4">
        <v>0.32083333333333336</v>
      </c>
      <c r="C1009" s="5" t="s">
        <v>40</v>
      </c>
      <c r="D1009" s="5" t="s">
        <v>409</v>
      </c>
      <c r="E1009" s="6" t="s">
        <v>343</v>
      </c>
      <c r="F1009" s="7" t="s">
        <v>192</v>
      </c>
      <c r="G1009" s="6" t="str">
        <f>VLOOKUP(E1009,dicionario!$A$1:$C1408,2,0)</f>
        <v>#N/A</v>
      </c>
      <c r="H1009" s="6" t="str">
        <f>VLOOKUP(E1009,dicionario!$A$1:$C1408,3,0)</f>
        <v>#N/A</v>
      </c>
    </row>
    <row r="1010">
      <c r="A1010" s="3">
        <v>45575.0</v>
      </c>
      <c r="B1010" s="4">
        <v>0.3215277777777778</v>
      </c>
      <c r="C1010" s="5" t="s">
        <v>40</v>
      </c>
      <c r="D1010" s="5" t="s">
        <v>409</v>
      </c>
      <c r="E1010" s="6" t="s">
        <v>113</v>
      </c>
      <c r="F1010" s="7" t="s">
        <v>114</v>
      </c>
      <c r="G1010" s="6" t="str">
        <f>VLOOKUP(E1010,dicionario!$A$1:$C1409,2,0)</f>
        <v>Columbina talpacoti</v>
      </c>
      <c r="H1010" s="6" t="str">
        <f>VLOOKUP(E1010,dicionario!$A$1:$C1409,3,0)</f>
        <v>rolinha-roxa</v>
      </c>
    </row>
    <row r="1011">
      <c r="A1011" s="3">
        <v>45575.0</v>
      </c>
      <c r="B1011" s="4">
        <v>0.32222222222222224</v>
      </c>
      <c r="C1011" s="5" t="s">
        <v>40</v>
      </c>
      <c r="D1011" s="5" t="s">
        <v>409</v>
      </c>
      <c r="E1011" s="6" t="s">
        <v>20</v>
      </c>
      <c r="F1011" s="7" t="s">
        <v>21</v>
      </c>
      <c r="G1011" s="6" t="str">
        <f>VLOOKUP(E1011,dicionario!$A$1:$C1410,2,0)</f>
        <v>Sicalis flaveola</v>
      </c>
      <c r="H1011" s="6" t="str">
        <f>VLOOKUP(E1011,dicionario!$A$1:$C1410,3,0)</f>
        <v>canário-da-terra</v>
      </c>
    </row>
    <row r="1012">
      <c r="A1012" s="3">
        <v>45575.0</v>
      </c>
      <c r="B1012" s="4">
        <v>0.32222222222222224</v>
      </c>
      <c r="C1012" s="5" t="s">
        <v>40</v>
      </c>
      <c r="D1012" s="5" t="s">
        <v>409</v>
      </c>
      <c r="E1012" s="6" t="s">
        <v>65</v>
      </c>
      <c r="F1012" s="7" t="s">
        <v>66</v>
      </c>
      <c r="G1012" s="6" t="str">
        <f>VLOOKUP(E1012,dicionario!$A$1:$C1411,2,0)</f>
        <v>Pitangus sulphutarus</v>
      </c>
      <c r="H1012" s="6" t="str">
        <f>VLOOKUP(E1012,dicionario!$A$1:$C1411,3,0)</f>
        <v>bem-te-vi</v>
      </c>
    </row>
    <row r="1013">
      <c r="A1013" s="3">
        <v>45575.0</v>
      </c>
      <c r="B1013" s="4">
        <v>0.32222222222222224</v>
      </c>
      <c r="C1013" s="5" t="s">
        <v>40</v>
      </c>
      <c r="D1013" s="5" t="s">
        <v>409</v>
      </c>
      <c r="E1013" s="6" t="s">
        <v>60</v>
      </c>
      <c r="F1013" s="7" t="s">
        <v>61</v>
      </c>
      <c r="G1013" s="6" t="str">
        <f>VLOOKUP(E1013,dicionario!$A$1:$C1412,2,0)</f>
        <v>Vanellus chilensis</v>
      </c>
      <c r="H1013" s="6" t="str">
        <f>VLOOKUP(E1013,dicionario!$A$1:$C1412,3,0)</f>
        <v>quero-quero</v>
      </c>
    </row>
    <row r="1014">
      <c r="A1014" s="3">
        <v>45575.0</v>
      </c>
      <c r="B1014" s="4">
        <v>0.32222222222222224</v>
      </c>
      <c r="C1014" s="5" t="s">
        <v>40</v>
      </c>
      <c r="D1014" s="5" t="s">
        <v>409</v>
      </c>
      <c r="E1014" s="6" t="s">
        <v>225</v>
      </c>
      <c r="F1014" s="7" t="s">
        <v>226</v>
      </c>
      <c r="G1014" s="6" t="str">
        <f>VLOOKUP(E1014,dicionario!$A$1:$C1413,2,0)</f>
        <v>Passer domesticus</v>
      </c>
      <c r="H1014" s="6" t="str">
        <f>VLOOKUP(E1014,dicionario!$A$1:$C1413,3,0)</f>
        <v>pardal</v>
      </c>
    </row>
    <row r="1015">
      <c r="A1015" s="3">
        <v>45575.0</v>
      </c>
      <c r="B1015" s="4">
        <v>0.32222222222222224</v>
      </c>
      <c r="C1015" s="5" t="s">
        <v>40</v>
      </c>
      <c r="D1015" s="5" t="s">
        <v>409</v>
      </c>
      <c r="E1015" s="6" t="s">
        <v>162</v>
      </c>
      <c r="F1015" s="7" t="s">
        <v>42</v>
      </c>
      <c r="G1015" s="6" t="str">
        <f>VLOOKUP(E1015,dicionario!$A$1:$C1414,2,0)</f>
        <v>Fluvicola nengeta</v>
      </c>
      <c r="H1015" s="6" t="str">
        <f>VLOOKUP(E1015,dicionario!$A$1:$C1414,3,0)</f>
        <v>lavadeira-mascarada</v>
      </c>
    </row>
    <row r="1016">
      <c r="A1016" s="3">
        <v>45575.0</v>
      </c>
      <c r="B1016" s="4">
        <v>0.3229166666666667</v>
      </c>
      <c r="C1016" s="5" t="s">
        <v>40</v>
      </c>
      <c r="D1016" s="5" t="s">
        <v>409</v>
      </c>
      <c r="E1016" s="6" t="s">
        <v>177</v>
      </c>
      <c r="F1016" s="7" t="s">
        <v>178</v>
      </c>
      <c r="G1016" s="6" t="str">
        <f>VLOOKUP(E1016,dicionario!$A$1:$C1415,2,0)</f>
        <v>Elaenia flavogaster</v>
      </c>
      <c r="H1016" s="6" t="str">
        <f>VLOOKUP(E1016,dicionario!$A$1:$C1415,3,0)</f>
        <v>guaracava-de-barriga-amarela</v>
      </c>
    </row>
    <row r="1017">
      <c r="A1017" s="3">
        <v>45575.0</v>
      </c>
      <c r="B1017" s="4">
        <v>0.3229166666666667</v>
      </c>
      <c r="C1017" s="5" t="s">
        <v>40</v>
      </c>
      <c r="D1017" s="5" t="s">
        <v>409</v>
      </c>
      <c r="E1017" s="8" t="s">
        <v>38</v>
      </c>
      <c r="F1017" s="5" t="s">
        <v>39</v>
      </c>
      <c r="G1017" s="6" t="str">
        <f>VLOOKUP(E1017,dicionario!$A$1:$C1416,2,0)</f>
        <v>Troglodytes musculus</v>
      </c>
      <c r="H1017" s="6" t="str">
        <f>VLOOKUP(E1017,dicionario!$A$1:$C1416,3,0)</f>
        <v>curruíra</v>
      </c>
    </row>
    <row r="1018">
      <c r="A1018" s="3">
        <v>45575.0</v>
      </c>
      <c r="B1018" s="4">
        <v>0.3229166666666667</v>
      </c>
      <c r="C1018" s="5" t="s">
        <v>40</v>
      </c>
      <c r="D1018" s="5" t="s">
        <v>409</v>
      </c>
      <c r="E1018" s="6" t="s">
        <v>213</v>
      </c>
      <c r="F1018" s="7" t="s">
        <v>214</v>
      </c>
      <c r="G1018" s="6" t="str">
        <f>VLOOKUP(E1018,dicionario!$A$1:$C1417,2,0)</f>
        <v>Myiozetetes similis</v>
      </c>
      <c r="H1018" s="6" t="str">
        <f>VLOOKUP(E1018,dicionario!$A$1:$C1417,3,0)</f>
        <v>bentevizinho-de-penacho-vermelho</v>
      </c>
    </row>
    <row r="1019">
      <c r="A1019" s="3">
        <v>45575.0</v>
      </c>
      <c r="B1019" s="4">
        <v>0.32430555555555557</v>
      </c>
      <c r="C1019" s="5" t="s">
        <v>40</v>
      </c>
      <c r="D1019" s="5" t="s">
        <v>409</v>
      </c>
      <c r="E1019" s="6" t="s">
        <v>267</v>
      </c>
      <c r="F1019" s="7" t="s">
        <v>268</v>
      </c>
      <c r="G1019" s="6" t="str">
        <f>VLOOKUP(E1019,dicionario!$A$1:$C1418,2,0)</f>
        <v>Solanum americanum</v>
      </c>
      <c r="H1019" s="6" t="str">
        <f>VLOOKUP(E1019,dicionario!$A$1:$C1418,3,0)</f>
        <v>maria-pretinha</v>
      </c>
    </row>
    <row r="1020">
      <c r="A1020" s="3">
        <v>45575.0</v>
      </c>
      <c r="B1020" s="4">
        <v>0.32430555555555557</v>
      </c>
      <c r="C1020" s="5" t="s">
        <v>40</v>
      </c>
      <c r="D1020" s="5" t="s">
        <v>409</v>
      </c>
      <c r="E1020" s="6" t="s">
        <v>57</v>
      </c>
      <c r="F1020" s="7" t="s">
        <v>197</v>
      </c>
      <c r="G1020" s="6" t="str">
        <f>VLOOKUP(E1020,dicionario!$A$1:$C1419,2,0)</f>
        <v>Juliformia</v>
      </c>
      <c r="H1020" s="6" t="str">
        <f>VLOOKUP(E1020,dicionario!$A$1:$C1419,3,0)</f>
        <v>gongolo; maria-café</v>
      </c>
    </row>
    <row r="1021">
      <c r="A1021" s="3">
        <v>45575.0</v>
      </c>
      <c r="B1021" s="4">
        <v>0.32430555555555557</v>
      </c>
      <c r="C1021" s="5" t="s">
        <v>40</v>
      </c>
      <c r="D1021" s="5" t="s">
        <v>409</v>
      </c>
      <c r="E1021" s="6" t="s">
        <v>53</v>
      </c>
      <c r="F1021" s="7" t="s">
        <v>314</v>
      </c>
      <c r="G1021" s="6" t="str">
        <f>VLOOKUP(E1021,dicionario!$A$1:$C1420,2,0)</f>
        <v>Turnera subulata</v>
      </c>
      <c r="H1021" s="6" t="str">
        <f>VLOOKUP(E1021,dicionario!$A$1:$C1420,3,0)</f>
        <v>xanana</v>
      </c>
    </row>
    <row r="1022">
      <c r="A1022" s="3">
        <v>45575.0</v>
      </c>
      <c r="B1022" s="4">
        <v>0.325</v>
      </c>
      <c r="C1022" s="5" t="s">
        <v>40</v>
      </c>
      <c r="D1022" s="5" t="s">
        <v>409</v>
      </c>
      <c r="E1022" s="6" t="s">
        <v>167</v>
      </c>
      <c r="F1022" s="7" t="s">
        <v>436</v>
      </c>
      <c r="G1022" s="6" t="str">
        <f>VLOOKUP(E1022,dicionario!$A$1:$C1421,2,0)</f>
        <v>Hemidactylus mabouia</v>
      </c>
      <c r="H1022" s="6" t="str">
        <f>VLOOKUP(E1022,dicionario!$A$1:$C1421,3,0)</f>
        <v>lagartixa-doméstica-tropical</v>
      </c>
    </row>
    <row r="1023">
      <c r="A1023" s="3">
        <v>45575.0</v>
      </c>
      <c r="B1023" s="4">
        <v>0.325</v>
      </c>
      <c r="C1023" s="5" t="s">
        <v>40</v>
      </c>
      <c r="D1023" s="5" t="s">
        <v>409</v>
      </c>
      <c r="E1023" s="6" t="s">
        <v>225</v>
      </c>
      <c r="F1023" s="7" t="s">
        <v>226</v>
      </c>
      <c r="G1023" s="6" t="str">
        <f>VLOOKUP(E1023,dicionario!$A$1:$C1422,2,0)</f>
        <v>Passer domesticus</v>
      </c>
      <c r="H1023" s="6" t="str">
        <f>VLOOKUP(E1023,dicionario!$A$1:$C1422,3,0)</f>
        <v>pardal</v>
      </c>
    </row>
    <row r="1024">
      <c r="A1024" s="3">
        <v>45575.0</v>
      </c>
      <c r="B1024" s="4">
        <v>0.32569444444444445</v>
      </c>
      <c r="C1024" s="5" t="s">
        <v>40</v>
      </c>
      <c r="D1024" s="5" t="s">
        <v>409</v>
      </c>
      <c r="E1024" s="6" t="s">
        <v>444</v>
      </c>
      <c r="F1024" s="7" t="s">
        <v>445</v>
      </c>
      <c r="G1024" s="6" t="str">
        <f>VLOOKUP(E1024,dicionario!$A$1:$C1423,2,0)</f>
        <v>#N/A</v>
      </c>
      <c r="H1024" s="6" t="str">
        <f>VLOOKUP(E1024,dicionario!$A$1:$C1423,3,0)</f>
        <v>#N/A</v>
      </c>
    </row>
    <row r="1025">
      <c r="A1025" s="3">
        <v>45575.0</v>
      </c>
      <c r="B1025" s="4">
        <v>0.32708333333333334</v>
      </c>
      <c r="C1025" s="5" t="s">
        <v>40</v>
      </c>
      <c r="D1025" s="5" t="s">
        <v>409</v>
      </c>
      <c r="E1025" s="6" t="s">
        <v>103</v>
      </c>
      <c r="F1025" s="7" t="s">
        <v>104</v>
      </c>
      <c r="G1025" s="6" t="str">
        <f>VLOOKUP(E1025,dicionario!$A$1:$C1424,2,0)</f>
        <v>Caracara plancus</v>
      </c>
      <c r="H1025" s="6" t="str">
        <f>VLOOKUP(E1025,dicionario!$A$1:$C1424,3,0)</f>
        <v>carcará </v>
      </c>
    </row>
    <row r="1026">
      <c r="A1026" s="3">
        <v>45575.0</v>
      </c>
      <c r="B1026" s="4">
        <v>0.3284722222222222</v>
      </c>
      <c r="C1026" s="5" t="s">
        <v>33</v>
      </c>
      <c r="D1026" s="5" t="s">
        <v>409</v>
      </c>
      <c r="E1026" s="6" t="s">
        <v>215</v>
      </c>
      <c r="F1026" s="7" t="s">
        <v>216</v>
      </c>
      <c r="G1026" s="6" t="str">
        <f>VLOOKUP(E1026,dicionario!$A$1:$C1425,2,0)</f>
        <v>Pygochelidon cyanoleuca</v>
      </c>
      <c r="H1026" s="6" t="str">
        <f>VLOOKUP(E1026,dicionario!$A$1:$C1425,3,0)</f>
        <v>andorinha-pequena-de-casa</v>
      </c>
    </row>
    <row r="1027">
      <c r="A1027" s="3">
        <v>45575.0</v>
      </c>
      <c r="B1027" s="4">
        <v>0.3284722222222222</v>
      </c>
      <c r="C1027" s="5" t="s">
        <v>33</v>
      </c>
      <c r="D1027" s="5" t="s">
        <v>409</v>
      </c>
      <c r="E1027" s="6" t="s">
        <v>150</v>
      </c>
      <c r="F1027" s="7" t="s">
        <v>151</v>
      </c>
      <c r="G1027" s="6" t="str">
        <f>VLOOKUP(E1027,dicionario!$A$1:$C1426,2,0)</f>
        <v>Amaranthus viridis</v>
      </c>
      <c r="H1027" s="6" t="str">
        <f>VLOOKUP(E1027,dicionario!$A$1:$C1426,3,0)</f>
        <v>caruru-de-mancha</v>
      </c>
    </row>
    <row r="1028">
      <c r="A1028" s="3">
        <v>45575.0</v>
      </c>
      <c r="B1028" s="4">
        <v>0.32222222222222224</v>
      </c>
      <c r="C1028" s="5" t="s">
        <v>33</v>
      </c>
      <c r="D1028" s="5" t="s">
        <v>409</v>
      </c>
      <c r="E1028" s="6" t="s">
        <v>53</v>
      </c>
      <c r="F1028" s="7" t="s">
        <v>54</v>
      </c>
      <c r="G1028" s="6" t="str">
        <f>VLOOKUP(E1028,dicionario!$A$1:$C1427,2,0)</f>
        <v>Turnera subulata</v>
      </c>
      <c r="H1028" s="6" t="str">
        <f>VLOOKUP(E1028,dicionario!$A$1:$C1427,3,0)</f>
        <v>xanana</v>
      </c>
    </row>
    <row r="1029">
      <c r="A1029" s="3">
        <v>45575.0</v>
      </c>
      <c r="B1029" s="4">
        <v>0.32916666666666666</v>
      </c>
      <c r="C1029" s="5" t="s">
        <v>33</v>
      </c>
      <c r="D1029" s="5" t="s">
        <v>409</v>
      </c>
      <c r="E1029" s="8" t="s">
        <v>38</v>
      </c>
      <c r="F1029" s="5" t="s">
        <v>39</v>
      </c>
      <c r="G1029" s="6" t="str">
        <f>VLOOKUP(E1029,dicionario!$A$1:$C1428,2,0)</f>
        <v>Troglodytes musculus</v>
      </c>
      <c r="H1029" s="6" t="str">
        <f>VLOOKUP(E1029,dicionario!$A$1:$C1428,3,0)</f>
        <v>curruíra</v>
      </c>
    </row>
    <row r="1030">
      <c r="A1030" s="3">
        <v>45575.0</v>
      </c>
      <c r="B1030" s="4">
        <v>0.3298611111111111</v>
      </c>
      <c r="C1030" s="5" t="s">
        <v>33</v>
      </c>
      <c r="D1030" s="5" t="s">
        <v>409</v>
      </c>
      <c r="E1030" s="6" t="s">
        <v>446</v>
      </c>
      <c r="F1030" s="7" t="s">
        <v>447</v>
      </c>
      <c r="G1030" s="6" t="str">
        <f>VLOOKUP(E1030,dicionario!$A$1:$C1429,2,0)</f>
        <v>Cyanerpes cyaneus</v>
      </c>
      <c r="H1030" s="6" t="str">
        <f>VLOOKUP(E1030,dicionario!$A$1:$C1429,3,0)</f>
        <v>saíra-beija-flor</v>
      </c>
    </row>
    <row r="1031">
      <c r="A1031" s="3">
        <v>45575.0</v>
      </c>
      <c r="B1031" s="4">
        <v>0.33055555555555555</v>
      </c>
      <c r="C1031" s="5" t="s">
        <v>33</v>
      </c>
      <c r="D1031" s="5" t="s">
        <v>409</v>
      </c>
      <c r="E1031" s="8" t="s">
        <v>38</v>
      </c>
      <c r="F1031" s="5" t="s">
        <v>39</v>
      </c>
      <c r="G1031" s="6" t="str">
        <f>VLOOKUP(E1031,dicionario!$A$1:$C1430,2,0)</f>
        <v>Troglodytes musculus</v>
      </c>
      <c r="H1031" s="6" t="str">
        <f>VLOOKUP(E1031,dicionario!$A$1:$C1430,3,0)</f>
        <v>curruíra</v>
      </c>
    </row>
    <row r="1032">
      <c r="A1032" s="3">
        <v>45575.0</v>
      </c>
      <c r="B1032" s="4">
        <v>0.33055555555555555</v>
      </c>
      <c r="C1032" s="5" t="s">
        <v>33</v>
      </c>
      <c r="D1032" s="5" t="s">
        <v>409</v>
      </c>
      <c r="E1032" s="6" t="s">
        <v>86</v>
      </c>
      <c r="F1032" s="7" t="s">
        <v>87</v>
      </c>
      <c r="G1032" s="6" t="str">
        <f>VLOOKUP(E1032,dicionario!$A$1:$C1431,2,0)</f>
        <v>Coereba flaveola</v>
      </c>
      <c r="H1032" s="6" t="str">
        <f>VLOOKUP(E1032,dicionario!$A$1:$C1431,3,0)</f>
        <v>cambacica</v>
      </c>
    </row>
    <row r="1033">
      <c r="A1033" s="3">
        <v>45575.0</v>
      </c>
      <c r="B1033" s="4">
        <v>0.33125</v>
      </c>
      <c r="C1033" s="5" t="s">
        <v>33</v>
      </c>
      <c r="D1033" s="5" t="s">
        <v>409</v>
      </c>
      <c r="E1033" s="6" t="s">
        <v>65</v>
      </c>
      <c r="F1033" s="7" t="s">
        <v>66</v>
      </c>
      <c r="G1033" s="6" t="str">
        <f>VLOOKUP(E1033,dicionario!$A$1:$C1432,2,0)</f>
        <v>Pitangus sulphutarus</v>
      </c>
      <c r="H1033" s="6" t="str">
        <f>VLOOKUP(E1033,dicionario!$A$1:$C1432,3,0)</f>
        <v>bem-te-vi</v>
      </c>
    </row>
    <row r="1034">
      <c r="A1034" s="3">
        <v>45575.0</v>
      </c>
      <c r="B1034" s="4">
        <v>0.33125</v>
      </c>
      <c r="C1034" s="5" t="s">
        <v>33</v>
      </c>
      <c r="D1034" s="5" t="s">
        <v>409</v>
      </c>
      <c r="E1034" s="6" t="s">
        <v>122</v>
      </c>
      <c r="F1034" s="7" t="s">
        <v>123</v>
      </c>
      <c r="G1034" s="6" t="str">
        <f>VLOOKUP(E1034,dicionario!$A$1:$C1433,2,0)</f>
        <v>Todirostrum cinereum</v>
      </c>
      <c r="H1034" s="6" t="str">
        <f>VLOOKUP(E1034,dicionario!$A$1:$C1433,3,0)</f>
        <v>ferreirinho-relógio</v>
      </c>
    </row>
    <row r="1035">
      <c r="A1035" s="3">
        <v>45575.0</v>
      </c>
      <c r="B1035" s="4">
        <v>0.33194444444444443</v>
      </c>
      <c r="C1035" s="5" t="s">
        <v>33</v>
      </c>
      <c r="D1035" s="5" t="s">
        <v>409</v>
      </c>
      <c r="E1035" s="6" t="s">
        <v>448</v>
      </c>
      <c r="F1035" s="7" t="s">
        <v>449</v>
      </c>
      <c r="G1035" s="6" t="str">
        <f>VLOOKUP(E1035,dicionario!$A$1:$C1434,2,0)</f>
        <v>Mechanitis polymnia</v>
      </c>
      <c r="H1035" s="6" t="str">
        <f>VLOOKUP(E1035,dicionario!$A$1:$C1434,3,0)</f>
        <v>maria-boba</v>
      </c>
    </row>
    <row r="1036">
      <c r="A1036" s="3">
        <v>45575.0</v>
      </c>
      <c r="B1036" s="4">
        <v>0.3333333333333333</v>
      </c>
      <c r="C1036" s="5" t="s">
        <v>33</v>
      </c>
      <c r="D1036" s="5" t="s">
        <v>409</v>
      </c>
      <c r="E1036" s="6" t="s">
        <v>109</v>
      </c>
      <c r="F1036" s="7" t="s">
        <v>110</v>
      </c>
      <c r="G1036" s="6" t="str">
        <f>VLOOKUP(E1036,dicionario!$A$1:$C1435,2,0)</f>
        <v>Tillandsia stricta</v>
      </c>
      <c r="H1036" s="6" t="str">
        <f>VLOOKUP(E1036,dicionario!$A$1:$C1435,3,0)</f>
        <v>cravo-do-mato</v>
      </c>
    </row>
    <row r="1037">
      <c r="A1037" s="3">
        <v>45575.0</v>
      </c>
      <c r="B1037" s="4">
        <v>0.3333333333333333</v>
      </c>
      <c r="C1037" s="5" t="s">
        <v>33</v>
      </c>
      <c r="D1037" s="5" t="s">
        <v>409</v>
      </c>
      <c r="E1037" s="6" t="s">
        <v>271</v>
      </c>
      <c r="F1037" s="7" t="s">
        <v>272</v>
      </c>
      <c r="G1037" s="6" t="str">
        <f>VLOOKUP(E1037,dicionario!$A$1:$C1436,2,0)</f>
        <v>Cyanthillium cinereum</v>
      </c>
      <c r="H1037" s="6" t="str">
        <f>VLOOKUP(E1037,dicionario!$A$1:$C1436,3,0)</f>
        <v>emília</v>
      </c>
    </row>
    <row r="1038">
      <c r="A1038" s="3">
        <v>45575.0</v>
      </c>
      <c r="B1038" s="4">
        <v>0.3333333333333333</v>
      </c>
      <c r="C1038" s="5" t="s">
        <v>33</v>
      </c>
      <c r="D1038" s="5" t="s">
        <v>409</v>
      </c>
      <c r="E1038" s="6" t="s">
        <v>24</v>
      </c>
      <c r="F1038" s="7" t="s">
        <v>25</v>
      </c>
      <c r="G1038" s="6" t="str">
        <f>VLOOKUP(E1038,dicionario!$A$1:$C1437,2,0)</f>
        <v>Lepidoptera</v>
      </c>
      <c r="H1038" s="6" t="str">
        <f>VLOOKUP(E1038,dicionario!$A$1:$C1437,3,0)</f>
        <v>boboleta/mariposa</v>
      </c>
    </row>
    <row r="1039">
      <c r="A1039" s="3">
        <v>45575.0</v>
      </c>
      <c r="B1039" s="4">
        <v>0.3347222222222222</v>
      </c>
      <c r="C1039" s="5" t="s">
        <v>26</v>
      </c>
      <c r="D1039" s="5" t="s">
        <v>409</v>
      </c>
      <c r="E1039" s="6" t="s">
        <v>243</v>
      </c>
      <c r="F1039" s="7" t="s">
        <v>244</v>
      </c>
      <c r="G1039" s="6" t="str">
        <f>VLOOKUP(E1039,dicionario!$A$1:$C1438,2,0)</f>
        <v>Macroptilium atropurpureum</v>
      </c>
      <c r="H1039" s="6" t="str">
        <f>VLOOKUP(E1039,dicionario!$A$1:$C1438,3,0)</f>
        <v>feijão-de-pombo</v>
      </c>
    </row>
    <row r="1040">
      <c r="A1040" s="3">
        <v>45575.0</v>
      </c>
      <c r="B1040" s="4">
        <v>0.33541666666666664</v>
      </c>
      <c r="C1040" s="5" t="s">
        <v>26</v>
      </c>
      <c r="D1040" s="5" t="s">
        <v>409</v>
      </c>
      <c r="E1040" s="6" t="s">
        <v>109</v>
      </c>
      <c r="F1040" s="7" t="s">
        <v>110</v>
      </c>
      <c r="G1040" s="6" t="str">
        <f>VLOOKUP(E1040,dicionario!$A$1:$C1439,2,0)</f>
        <v>Tillandsia stricta</v>
      </c>
      <c r="H1040" s="6" t="str">
        <f>VLOOKUP(E1040,dicionario!$A$1:$C1439,3,0)</f>
        <v>cravo-do-mato</v>
      </c>
    </row>
    <row r="1041">
      <c r="A1041" s="3">
        <v>45575.0</v>
      </c>
      <c r="B1041" s="4">
        <v>0.33541666666666664</v>
      </c>
      <c r="C1041" s="5" t="s">
        <v>26</v>
      </c>
      <c r="D1041" s="5" t="s">
        <v>409</v>
      </c>
      <c r="E1041" s="6" t="s">
        <v>450</v>
      </c>
      <c r="F1041" s="7" t="s">
        <v>451</v>
      </c>
      <c r="G1041" s="6" t="str">
        <f>VLOOKUP(E1041,dicionario!$A$1:$C1440,2,0)</f>
        <v>#N/A</v>
      </c>
      <c r="H1041" s="6" t="str">
        <f>VLOOKUP(E1041,dicionario!$A$1:$C1440,3,0)</f>
        <v>#N/A</v>
      </c>
    </row>
    <row r="1042">
      <c r="A1042" s="3">
        <v>45575.0</v>
      </c>
      <c r="B1042" s="4">
        <v>0.33611111111111114</v>
      </c>
      <c r="C1042" s="5" t="s">
        <v>26</v>
      </c>
      <c r="D1042" s="5" t="s">
        <v>409</v>
      </c>
      <c r="E1042" s="6" t="s">
        <v>41</v>
      </c>
      <c r="F1042" s="7" t="s">
        <v>45</v>
      </c>
      <c r="G1042" s="6" t="str">
        <f>VLOOKUP(E1042,dicionario!$A$1:$C1441,2,0)</f>
        <v>Mimosa pudica</v>
      </c>
      <c r="H1042" s="6" t="str">
        <f>VLOOKUP(E1042,dicionario!$A$1:$C1441,3,0)</f>
        <v>dormideira</v>
      </c>
    </row>
    <row r="1043">
      <c r="A1043" s="3">
        <v>45575.0</v>
      </c>
      <c r="B1043" s="4">
        <v>0.33611111111111114</v>
      </c>
      <c r="C1043" s="5" t="s">
        <v>26</v>
      </c>
      <c r="D1043" s="5" t="s">
        <v>409</v>
      </c>
      <c r="E1043" s="6" t="s">
        <v>135</v>
      </c>
      <c r="F1043" s="7" t="s">
        <v>136</v>
      </c>
      <c r="G1043" s="6" t="str">
        <f>VLOOKUP(E1043,dicionario!$A$1:$C1442,2,0)</f>
        <v>Tridax procumbens</v>
      </c>
      <c r="H1043" s="6" t="str">
        <f>VLOOKUP(E1043,dicionario!$A$1:$C1442,3,0)</f>
        <v>erva-de-touro</v>
      </c>
    </row>
    <row r="1044">
      <c r="A1044" s="3">
        <v>45575.0</v>
      </c>
      <c r="B1044" s="4">
        <v>0.3368055555555556</v>
      </c>
      <c r="C1044" s="5" t="s">
        <v>26</v>
      </c>
      <c r="D1044" s="5" t="s">
        <v>409</v>
      </c>
      <c r="E1044" s="6" t="s">
        <v>452</v>
      </c>
      <c r="F1044" s="7" t="s">
        <v>228</v>
      </c>
      <c r="G1044" s="6" t="str">
        <f>VLOOKUP(E1044,dicionario!$A$1:$C1443,2,0)</f>
        <v>#N/A</v>
      </c>
      <c r="H1044" s="6" t="str">
        <f>VLOOKUP(E1044,dicionario!$A$1:$C1443,3,0)</f>
        <v>#N/A</v>
      </c>
    </row>
    <row r="1045">
      <c r="A1045" s="3">
        <v>45575.0</v>
      </c>
      <c r="B1045" s="4">
        <v>0.3375</v>
      </c>
      <c r="C1045" s="5" t="s">
        <v>26</v>
      </c>
      <c r="D1045" s="5" t="s">
        <v>409</v>
      </c>
      <c r="E1045" s="6" t="s">
        <v>253</v>
      </c>
      <c r="F1045" s="7" t="s">
        <v>254</v>
      </c>
      <c r="G1045" s="6" t="str">
        <f>VLOOKUP(E1045,dicionario!$A$1:$C1444,2,0)</f>
        <v>Panicum maximum</v>
      </c>
      <c r="H1045" s="6" t="str">
        <f>VLOOKUP(E1045,dicionario!$A$1:$C1444,3,0)</f>
        <v>capim-colonião</v>
      </c>
    </row>
    <row r="1046">
      <c r="A1046" s="3">
        <v>45575.0</v>
      </c>
      <c r="B1046" s="4">
        <v>0.3375</v>
      </c>
      <c r="C1046" s="5" t="s">
        <v>26</v>
      </c>
      <c r="D1046" s="5" t="s">
        <v>409</v>
      </c>
      <c r="E1046" s="6" t="s">
        <v>60</v>
      </c>
      <c r="F1046" s="7" t="s">
        <v>61</v>
      </c>
      <c r="G1046" s="6" t="str">
        <f>VLOOKUP(E1046,dicionario!$A$1:$C1445,2,0)</f>
        <v>Vanellus chilensis</v>
      </c>
      <c r="H1046" s="6" t="str">
        <f>VLOOKUP(E1046,dicionario!$A$1:$C1445,3,0)</f>
        <v>quero-quero</v>
      </c>
    </row>
    <row r="1047">
      <c r="A1047" s="3">
        <v>45575.0</v>
      </c>
      <c r="B1047" s="4">
        <v>0.3375</v>
      </c>
      <c r="C1047" s="5" t="s">
        <v>26</v>
      </c>
      <c r="D1047" s="5" t="s">
        <v>409</v>
      </c>
      <c r="E1047" s="6" t="s">
        <v>366</v>
      </c>
      <c r="F1047" s="7" t="s">
        <v>367</v>
      </c>
      <c r="G1047" s="6" t="str">
        <f>VLOOKUP(E1047,dicionario!$A$1:$C1446,2,0)</f>
        <v>Alternanthera ficoidea</v>
      </c>
      <c r="H1047" s="6" t="str">
        <f>VLOOKUP(E1047,dicionario!$A$1:$C1446,3,0)</f>
        <v>quebra-panela</v>
      </c>
    </row>
    <row r="1048">
      <c r="A1048" s="3">
        <v>45575.0</v>
      </c>
      <c r="B1048" s="4">
        <v>0.33819444444444446</v>
      </c>
      <c r="C1048" s="5" t="s">
        <v>26</v>
      </c>
      <c r="D1048" s="5" t="s">
        <v>409</v>
      </c>
      <c r="E1048" s="6" t="s">
        <v>65</v>
      </c>
      <c r="F1048" s="7" t="s">
        <v>66</v>
      </c>
      <c r="G1048" s="6" t="str">
        <f>VLOOKUP(E1048,dicionario!$A$1:$C1447,2,0)</f>
        <v>Pitangus sulphutarus</v>
      </c>
      <c r="H1048" s="6" t="str">
        <f>VLOOKUP(E1048,dicionario!$A$1:$C1447,3,0)</f>
        <v>bem-te-vi</v>
      </c>
    </row>
    <row r="1049">
      <c r="A1049" s="3">
        <v>45575.0</v>
      </c>
      <c r="B1049" s="4">
        <v>0.33819444444444446</v>
      </c>
      <c r="C1049" s="5" t="s">
        <v>26</v>
      </c>
      <c r="D1049" s="5" t="s">
        <v>409</v>
      </c>
      <c r="E1049" s="6" t="s">
        <v>20</v>
      </c>
      <c r="F1049" s="7" t="s">
        <v>21</v>
      </c>
      <c r="G1049" s="6" t="str">
        <f>VLOOKUP(E1049,dicionario!$A$1:$C1448,2,0)</f>
        <v>Sicalis flaveola</v>
      </c>
      <c r="H1049" s="6" t="str">
        <f>VLOOKUP(E1049,dicionario!$A$1:$C1448,3,0)</f>
        <v>canário-da-terra</v>
      </c>
    </row>
    <row r="1050">
      <c r="A1050" s="3">
        <v>45575.0</v>
      </c>
      <c r="B1050" s="4">
        <v>0.33958333333333335</v>
      </c>
      <c r="C1050" s="5" t="s">
        <v>26</v>
      </c>
      <c r="D1050" s="5" t="s">
        <v>409</v>
      </c>
      <c r="E1050" s="6" t="s">
        <v>217</v>
      </c>
      <c r="F1050" s="7" t="s">
        <v>218</v>
      </c>
      <c r="G1050" s="6" t="str">
        <f>VLOOKUP(E1050,dicionario!$A$1:$C1449,2,0)</f>
        <v>Athene cunicularia</v>
      </c>
      <c r="H1050" s="6" t="str">
        <f>VLOOKUP(E1050,dicionario!$A$1:$C1449,3,0)</f>
        <v>coruja-buraqueira</v>
      </c>
    </row>
    <row r="1051">
      <c r="A1051" s="3">
        <v>45575.0</v>
      </c>
      <c r="B1051" s="4">
        <v>0.33958333333333335</v>
      </c>
      <c r="C1051" s="5" t="s">
        <v>26</v>
      </c>
      <c r="D1051" s="5" t="s">
        <v>409</v>
      </c>
      <c r="E1051" s="6" t="s">
        <v>31</v>
      </c>
      <c r="F1051" s="7" t="s">
        <v>32</v>
      </c>
      <c r="G1051" s="6" t="str">
        <f>VLOOKUP(E1051,dicionario!$A$1:$C1450,2,0)</f>
        <v>Furnarius rufus</v>
      </c>
      <c r="H1051" s="6" t="str">
        <f>VLOOKUP(E1051,dicionario!$A$1:$C1450,3,0)</f>
        <v>joão-de-barro</v>
      </c>
    </row>
    <row r="1052">
      <c r="A1052" s="3">
        <v>45575.0</v>
      </c>
      <c r="B1052" s="4">
        <v>0.33958333333333335</v>
      </c>
      <c r="C1052" s="5" t="s">
        <v>26</v>
      </c>
      <c r="D1052" s="5" t="s">
        <v>409</v>
      </c>
      <c r="E1052" s="6" t="s">
        <v>14</v>
      </c>
      <c r="F1052" s="7" t="s">
        <v>15</v>
      </c>
      <c r="G1052" s="6" t="str">
        <f>VLOOKUP(E1052,dicionario!$A$1:$C1451,2,0)</f>
        <v>Spermacoce verticillata</v>
      </c>
      <c r="H1052" s="6" t="str">
        <f>VLOOKUP(E1052,dicionario!$A$1:$C1451,3,0)</f>
        <v>vassourinha-de-botão</v>
      </c>
    </row>
    <row r="1053">
      <c r="A1053" s="3">
        <v>45575.0</v>
      </c>
      <c r="B1053" s="4">
        <v>0.3402777777777778</v>
      </c>
      <c r="C1053" s="5" t="s">
        <v>26</v>
      </c>
      <c r="D1053" s="5" t="s">
        <v>409</v>
      </c>
      <c r="E1053" s="6" t="s">
        <v>357</v>
      </c>
      <c r="F1053" s="7" t="s">
        <v>272</v>
      </c>
      <c r="G1053" s="6" t="str">
        <f>VLOOKUP(E1053,dicionario!$A$1:$C1452,2,0)</f>
        <v>#N/A</v>
      </c>
      <c r="H1053" s="6" t="str">
        <f>VLOOKUP(E1053,dicionario!$A$1:$C1452,3,0)</f>
        <v>#N/A</v>
      </c>
    </row>
    <row r="1054">
      <c r="A1054" s="3">
        <v>45575.0</v>
      </c>
      <c r="B1054" s="4">
        <v>0.3402777777777778</v>
      </c>
      <c r="C1054" s="5" t="s">
        <v>26</v>
      </c>
      <c r="D1054" s="5" t="s">
        <v>409</v>
      </c>
      <c r="E1054" s="6" t="s">
        <v>27</v>
      </c>
      <c r="F1054" s="7" t="s">
        <v>28</v>
      </c>
      <c r="G1054" s="6" t="str">
        <f>VLOOKUP(E1054,dicionario!$A$1:$C1453,2,0)</f>
        <v>Termitoidae</v>
      </c>
      <c r="H1054" s="6" t="str">
        <f>VLOOKUP(E1054,dicionario!$A$1:$C1453,3,0)</f>
        <v>cupim</v>
      </c>
    </row>
    <row r="1055">
      <c r="A1055" s="3">
        <v>45575.0</v>
      </c>
      <c r="B1055" s="4">
        <v>0.3402777777777778</v>
      </c>
      <c r="C1055" s="5" t="s">
        <v>26</v>
      </c>
      <c r="D1055" s="5" t="s">
        <v>409</v>
      </c>
      <c r="E1055" s="6" t="s">
        <v>319</v>
      </c>
      <c r="F1055" s="7" t="s">
        <v>320</v>
      </c>
      <c r="G1055" s="6" t="str">
        <f>VLOOKUP(E1055,dicionario!$A$1:$C1454,2,0)</f>
        <v>Schinus terebinthifolia</v>
      </c>
      <c r="H1055" s="6" t="str">
        <f>VLOOKUP(E1055,dicionario!$A$1:$C1454,3,0)</f>
        <v>aroeira</v>
      </c>
    </row>
    <row r="1056">
      <c r="A1056" s="3">
        <v>45575.0</v>
      </c>
      <c r="B1056" s="4">
        <v>0.3402777777777778</v>
      </c>
      <c r="C1056" s="5" t="s">
        <v>26</v>
      </c>
      <c r="D1056" s="5" t="s">
        <v>409</v>
      </c>
      <c r="E1056" s="6" t="s">
        <v>105</v>
      </c>
      <c r="F1056" s="7" t="s">
        <v>106</v>
      </c>
      <c r="G1056" s="6" t="str">
        <f>VLOOKUP(E1056,dicionario!$A$1:$C1455,2,0)</f>
        <v>Progne tapera</v>
      </c>
      <c r="H1056" s="6" t="str">
        <f>VLOOKUP(E1056,dicionario!$A$1:$C1455,3,0)</f>
        <v>andorinha-do-campo</v>
      </c>
    </row>
    <row r="1057">
      <c r="A1057" s="3">
        <v>45575.0</v>
      </c>
      <c r="B1057" s="4">
        <v>0.3416666666666667</v>
      </c>
      <c r="C1057" s="5" t="s">
        <v>8</v>
      </c>
      <c r="D1057" s="5" t="s">
        <v>409</v>
      </c>
      <c r="E1057" s="6" t="s">
        <v>343</v>
      </c>
      <c r="F1057" s="7" t="s">
        <v>192</v>
      </c>
      <c r="G1057" s="6" t="str">
        <f>VLOOKUP(E1057,dicionario!$A$1:$C1456,2,0)</f>
        <v>#N/A</v>
      </c>
      <c r="H1057" s="6" t="str">
        <f>VLOOKUP(E1057,dicionario!$A$1:$C1456,3,0)</f>
        <v>#N/A</v>
      </c>
    </row>
    <row r="1058">
      <c r="A1058" s="3">
        <v>45575.0</v>
      </c>
      <c r="B1058" s="4">
        <v>0.34375</v>
      </c>
      <c r="C1058" s="5" t="s">
        <v>8</v>
      </c>
      <c r="D1058" s="5" t="s">
        <v>409</v>
      </c>
      <c r="E1058" s="6" t="s">
        <v>162</v>
      </c>
      <c r="F1058" s="7" t="s">
        <v>42</v>
      </c>
      <c r="G1058" s="6" t="str">
        <f>VLOOKUP(E1058,dicionario!$A$1:$C1457,2,0)</f>
        <v>Fluvicola nengeta</v>
      </c>
      <c r="H1058" s="6" t="str">
        <f>VLOOKUP(E1058,dicionario!$A$1:$C1457,3,0)</f>
        <v>lavadeira-mascarada</v>
      </c>
    </row>
    <row r="1059">
      <c r="A1059" s="3">
        <v>45575.0</v>
      </c>
      <c r="B1059" s="4">
        <v>0.34375</v>
      </c>
      <c r="C1059" s="5" t="s">
        <v>8</v>
      </c>
      <c r="D1059" s="5" t="s">
        <v>409</v>
      </c>
      <c r="E1059" s="6" t="s">
        <v>88</v>
      </c>
      <c r="F1059" s="7" t="s">
        <v>89</v>
      </c>
      <c r="G1059" s="6" t="str">
        <f>VLOOKUP(E1059,dicionario!$A$1:$C1458,2,0)</f>
        <v>Tyrannus melancolichus</v>
      </c>
      <c r="H1059" s="6" t="str">
        <f>VLOOKUP(E1059,dicionario!$A$1:$C1458,3,0)</f>
        <v>suiriri</v>
      </c>
    </row>
    <row r="1060">
      <c r="A1060" s="3">
        <v>45575.0</v>
      </c>
      <c r="B1060" s="4">
        <v>0.34375</v>
      </c>
      <c r="C1060" s="5" t="s">
        <v>8</v>
      </c>
      <c r="D1060" s="5" t="s">
        <v>409</v>
      </c>
      <c r="E1060" s="6" t="s">
        <v>225</v>
      </c>
      <c r="F1060" s="7" t="s">
        <v>226</v>
      </c>
      <c r="G1060" s="6" t="str">
        <f>VLOOKUP(E1060,dicionario!$A$1:$C1459,2,0)</f>
        <v>Passer domesticus</v>
      </c>
      <c r="H1060" s="6" t="str">
        <f>VLOOKUP(E1060,dicionario!$A$1:$C1459,3,0)</f>
        <v>pardal</v>
      </c>
    </row>
    <row r="1061">
      <c r="A1061" s="3">
        <v>45575.0</v>
      </c>
      <c r="B1061" s="4">
        <v>0.34375</v>
      </c>
      <c r="C1061" s="5" t="s">
        <v>8</v>
      </c>
      <c r="D1061" s="5" t="s">
        <v>409</v>
      </c>
      <c r="E1061" s="6" t="s">
        <v>109</v>
      </c>
      <c r="F1061" s="7" t="s">
        <v>110</v>
      </c>
      <c r="G1061" s="6" t="str">
        <f>VLOOKUP(E1061,dicionario!$A$1:$C1460,2,0)</f>
        <v>Tillandsia stricta</v>
      </c>
      <c r="H1061" s="6" t="str">
        <f>VLOOKUP(E1061,dicionario!$A$1:$C1460,3,0)</f>
        <v>cravo-do-mato</v>
      </c>
    </row>
    <row r="1062">
      <c r="A1062" s="3">
        <v>45575.0</v>
      </c>
      <c r="B1062" s="4">
        <v>0.34375</v>
      </c>
      <c r="C1062" s="5" t="s">
        <v>8</v>
      </c>
      <c r="D1062" s="5" t="s">
        <v>409</v>
      </c>
      <c r="E1062" s="6" t="s">
        <v>22</v>
      </c>
      <c r="F1062" s="7" t="s">
        <v>97</v>
      </c>
      <c r="G1062" s="6" t="str">
        <f>VLOOKUP(E1062,dicionario!$A$1:$C1461,2,0)</f>
        <v>Zenaida auriculata</v>
      </c>
      <c r="H1062" s="6" t="str">
        <f>VLOOKUP(E1062,dicionario!$A$1:$C1461,3,0)</f>
        <v>pomba-de-bando; avoante</v>
      </c>
    </row>
    <row r="1063">
      <c r="A1063" s="3">
        <v>45575.0</v>
      </c>
      <c r="B1063" s="4">
        <v>0.3451388888888889</v>
      </c>
      <c r="C1063" s="5" t="s">
        <v>8</v>
      </c>
      <c r="D1063" s="5" t="s">
        <v>409</v>
      </c>
      <c r="E1063" s="6" t="s">
        <v>86</v>
      </c>
      <c r="F1063" s="7" t="s">
        <v>87</v>
      </c>
      <c r="G1063" s="6" t="str">
        <f>VLOOKUP(E1063,dicionario!$A$1:$C1462,2,0)</f>
        <v>Coereba flaveola</v>
      </c>
      <c r="H1063" s="6" t="str">
        <f>VLOOKUP(E1063,dicionario!$A$1:$C1462,3,0)</f>
        <v>cambacica</v>
      </c>
    </row>
    <row r="1064">
      <c r="A1064" s="3">
        <v>45575.0</v>
      </c>
      <c r="B1064" s="4">
        <v>0.3451388888888889</v>
      </c>
      <c r="C1064" s="5" t="s">
        <v>8</v>
      </c>
      <c r="D1064" s="5" t="s">
        <v>409</v>
      </c>
      <c r="E1064" s="6" t="s">
        <v>111</v>
      </c>
      <c r="F1064" s="7" t="s">
        <v>112</v>
      </c>
      <c r="G1064" s="6" t="str">
        <f>VLOOKUP(E1064,dicionario!$A$1:$C1463,2,0)</f>
        <v>Trigona spinipes</v>
      </c>
      <c r="H1064" s="6" t="str">
        <f>VLOOKUP(E1064,dicionario!$A$1:$C1463,3,0)</f>
        <v>abelha-cachorro</v>
      </c>
    </row>
    <row r="1065">
      <c r="A1065" s="3">
        <v>45575.0</v>
      </c>
      <c r="B1065" s="4">
        <v>0.3458333333333333</v>
      </c>
      <c r="C1065" s="5" t="s">
        <v>8</v>
      </c>
      <c r="D1065" s="5" t="s">
        <v>409</v>
      </c>
      <c r="E1065" s="6" t="s">
        <v>93</v>
      </c>
      <c r="F1065" s="7" t="s">
        <v>94</v>
      </c>
      <c r="G1065" s="6" t="str">
        <f>VLOOKUP(E1065,dicionario!$A$1:$C1464,2,0)</f>
        <v>Thraupis sayaca</v>
      </c>
      <c r="H1065" s="6" t="str">
        <f>VLOOKUP(E1065,dicionario!$A$1:$C1464,3,0)</f>
        <v>sanhaçu-cinzento</v>
      </c>
    </row>
    <row r="1066">
      <c r="A1066" s="3">
        <v>45575.0</v>
      </c>
      <c r="B1066" s="4">
        <v>0.3472222222222222</v>
      </c>
      <c r="C1066" s="5" t="s">
        <v>8</v>
      </c>
      <c r="D1066" s="5" t="s">
        <v>409</v>
      </c>
      <c r="E1066" s="6" t="s">
        <v>177</v>
      </c>
      <c r="F1066" s="7" t="s">
        <v>178</v>
      </c>
      <c r="G1066" s="6" t="str">
        <f>VLOOKUP(E1066,dicionario!$A$1:$C1465,2,0)</f>
        <v>Elaenia flavogaster</v>
      </c>
      <c r="H1066" s="6" t="str">
        <f>VLOOKUP(E1066,dicionario!$A$1:$C1465,3,0)</f>
        <v>guaracava-de-barriga-amarela</v>
      </c>
    </row>
    <row r="1067">
      <c r="A1067" s="3">
        <v>45575.0</v>
      </c>
      <c r="B1067" s="4">
        <v>0.3472222222222222</v>
      </c>
      <c r="C1067" s="5" t="s">
        <v>8</v>
      </c>
      <c r="D1067" s="5" t="s">
        <v>409</v>
      </c>
      <c r="E1067" s="6" t="s">
        <v>453</v>
      </c>
      <c r="F1067" s="7" t="s">
        <v>216</v>
      </c>
      <c r="G1067" s="6" t="str">
        <f>VLOOKUP(E1067,dicionario!$A$1:$C1466,2,0)</f>
        <v>Notiochelidon cyanoleuca</v>
      </c>
      <c r="H1067" s="6" t="str">
        <f>VLOOKUP(E1067,dicionario!$A$1:$C1466,3,0)</f>
        <v>andorinha-pequena-de-casa</v>
      </c>
    </row>
    <row r="1068">
      <c r="A1068" s="3">
        <v>45575.0</v>
      </c>
      <c r="B1068" s="4">
        <v>0.3541666666666667</v>
      </c>
      <c r="C1068" s="5" t="s">
        <v>8</v>
      </c>
      <c r="D1068" s="5" t="s">
        <v>409</v>
      </c>
      <c r="E1068" s="6" t="s">
        <v>298</v>
      </c>
      <c r="F1068" s="5" t="s">
        <v>299</v>
      </c>
      <c r="G1068" s="6" t="str">
        <f>VLOOKUP(E1068,dicionario!$A$1:$C1467,2,0)</f>
        <v>Alysicarpus vaginalis</v>
      </c>
      <c r="H1068" s="6" t="str">
        <f>VLOOKUP(E1068,dicionario!$A$1:$C1467,3,0)</f>
        <v/>
      </c>
    </row>
    <row r="1069">
      <c r="A1069" s="3">
        <v>45582.0</v>
      </c>
      <c r="B1069" s="4">
        <v>0.2604166666666667</v>
      </c>
      <c r="C1069" s="5" t="s">
        <v>8</v>
      </c>
      <c r="D1069" s="5" t="s">
        <v>454</v>
      </c>
      <c r="E1069" s="6" t="s">
        <v>65</v>
      </c>
      <c r="F1069" s="7" t="s">
        <v>66</v>
      </c>
      <c r="G1069" s="6" t="str">
        <f>VLOOKUP(E1069,dicionario!$A$1:$C1468,2,0)</f>
        <v>Pitangus sulphutarus</v>
      </c>
      <c r="H1069" s="6" t="str">
        <f>VLOOKUP(E1069,dicionario!$A$1:$C1468,3,0)</f>
        <v>bem-te-vi</v>
      </c>
    </row>
    <row r="1070">
      <c r="A1070" s="3">
        <v>45582.0</v>
      </c>
      <c r="B1070" s="4">
        <v>0.2604166666666667</v>
      </c>
      <c r="C1070" s="5" t="s">
        <v>8</v>
      </c>
      <c r="D1070" s="5" t="s">
        <v>454</v>
      </c>
      <c r="E1070" s="6" t="s">
        <v>343</v>
      </c>
      <c r="F1070" s="7" t="s">
        <v>192</v>
      </c>
      <c r="G1070" s="6" t="str">
        <f>VLOOKUP(E1070,dicionario!$A$1:$C1469,2,0)</f>
        <v>#N/A</v>
      </c>
      <c r="H1070" s="6" t="str">
        <f>VLOOKUP(E1070,dicionario!$A$1:$C1469,3,0)</f>
        <v>#N/A</v>
      </c>
    </row>
    <row r="1071">
      <c r="A1071" s="3">
        <v>45582.0</v>
      </c>
      <c r="B1071" s="4">
        <v>0.2604166666666667</v>
      </c>
      <c r="C1071" s="5" t="s">
        <v>8</v>
      </c>
      <c r="D1071" s="5" t="s">
        <v>454</v>
      </c>
      <c r="E1071" s="6" t="s">
        <v>20</v>
      </c>
      <c r="F1071" s="7" t="s">
        <v>21</v>
      </c>
      <c r="G1071" s="6" t="str">
        <f>VLOOKUP(E1071,dicionario!$A$1:$C1470,2,0)</f>
        <v>Sicalis flaveola</v>
      </c>
      <c r="H1071" s="6" t="str">
        <f>VLOOKUP(E1071,dicionario!$A$1:$C1470,3,0)</f>
        <v>canário-da-terra</v>
      </c>
    </row>
    <row r="1072">
      <c r="A1072" s="3">
        <v>45582.0</v>
      </c>
      <c r="B1072" s="4">
        <v>0.2604166666666667</v>
      </c>
      <c r="C1072" s="5" t="s">
        <v>8</v>
      </c>
      <c r="D1072" s="5" t="s">
        <v>454</v>
      </c>
      <c r="E1072" s="6" t="s">
        <v>41</v>
      </c>
      <c r="F1072" s="7" t="s">
        <v>45</v>
      </c>
      <c r="G1072" s="6" t="str">
        <f>VLOOKUP(E1072,dicionario!$A$1:$C1471,2,0)</f>
        <v>Mimosa pudica</v>
      </c>
      <c r="H1072" s="6" t="str">
        <f>VLOOKUP(E1072,dicionario!$A$1:$C1471,3,0)</f>
        <v>dormideira</v>
      </c>
    </row>
    <row r="1073">
      <c r="A1073" s="3">
        <v>45582.0</v>
      </c>
      <c r="B1073" s="4">
        <v>0.2611111111111111</v>
      </c>
      <c r="C1073" s="5" t="s">
        <v>8</v>
      </c>
      <c r="D1073" s="5" t="s">
        <v>454</v>
      </c>
      <c r="E1073" s="6" t="s">
        <v>227</v>
      </c>
      <c r="F1073" s="7" t="s">
        <v>228</v>
      </c>
      <c r="G1073" s="6" t="str">
        <f>VLOOKUP(E1073,dicionario!$A$1:$C1472,2,0)</f>
        <v>Indigofera hirsuta</v>
      </c>
      <c r="H1073" s="6" t="str">
        <f>VLOOKUP(E1073,dicionario!$A$1:$C1472,3,0)</f>
        <v>anileira</v>
      </c>
    </row>
    <row r="1074">
      <c r="A1074" s="3">
        <v>45582.0</v>
      </c>
      <c r="B1074" s="4">
        <v>0.2611111111111111</v>
      </c>
      <c r="C1074" s="5" t="s">
        <v>8</v>
      </c>
      <c r="D1074" s="5" t="s">
        <v>454</v>
      </c>
      <c r="E1074" s="6" t="s">
        <v>109</v>
      </c>
      <c r="F1074" s="7" t="s">
        <v>110</v>
      </c>
      <c r="G1074" s="6" t="str">
        <f>VLOOKUP(E1074,dicionario!$A$1:$C1473,2,0)</f>
        <v>Tillandsia stricta</v>
      </c>
      <c r="H1074" s="6" t="str">
        <f>VLOOKUP(E1074,dicionario!$A$1:$C1473,3,0)</f>
        <v>cravo-do-mato</v>
      </c>
    </row>
    <row r="1075">
      <c r="A1075" s="3">
        <v>45582.0</v>
      </c>
      <c r="B1075" s="4">
        <v>0.26180555555555557</v>
      </c>
      <c r="C1075" s="5" t="s">
        <v>8</v>
      </c>
      <c r="D1075" s="5" t="s">
        <v>454</v>
      </c>
      <c r="E1075" s="6" t="s">
        <v>135</v>
      </c>
      <c r="F1075" s="7" t="s">
        <v>136</v>
      </c>
      <c r="G1075" s="6" t="str">
        <f>VLOOKUP(E1075,dicionario!$A$1:$C1474,2,0)</f>
        <v>Tridax procumbens</v>
      </c>
      <c r="H1075" s="6" t="str">
        <f>VLOOKUP(E1075,dicionario!$A$1:$C1474,3,0)</f>
        <v>erva-de-touro</v>
      </c>
    </row>
    <row r="1076">
      <c r="A1076" s="3">
        <v>45582.0</v>
      </c>
      <c r="B1076" s="4">
        <v>0.26180555555555557</v>
      </c>
      <c r="C1076" s="5" t="s">
        <v>8</v>
      </c>
      <c r="D1076" s="5" t="s">
        <v>454</v>
      </c>
      <c r="E1076" s="6" t="s">
        <v>14</v>
      </c>
      <c r="F1076" s="7" t="s">
        <v>15</v>
      </c>
      <c r="G1076" s="6" t="str">
        <f>VLOOKUP(E1076,dicionario!$A$1:$C1475,2,0)</f>
        <v>Spermacoce verticillata</v>
      </c>
      <c r="H1076" s="6" t="str">
        <f>VLOOKUP(E1076,dicionario!$A$1:$C1475,3,0)</f>
        <v>vassourinha-de-botão</v>
      </c>
    </row>
    <row r="1077">
      <c r="A1077" s="3">
        <v>45582.0</v>
      </c>
      <c r="B1077" s="4">
        <v>0.2625</v>
      </c>
      <c r="C1077" s="5" t="s">
        <v>8</v>
      </c>
      <c r="D1077" s="5" t="s">
        <v>454</v>
      </c>
      <c r="E1077" s="6" t="s">
        <v>243</v>
      </c>
      <c r="F1077" s="7" t="s">
        <v>244</v>
      </c>
      <c r="G1077" s="6" t="str">
        <f>VLOOKUP(E1077,dicionario!$A$1:$C1476,2,0)</f>
        <v>Macroptilium atropurpureum</v>
      </c>
      <c r="H1077" s="6" t="str">
        <f>VLOOKUP(E1077,dicionario!$A$1:$C1476,3,0)</f>
        <v>feijão-de-pombo</v>
      </c>
    </row>
    <row r="1078">
      <c r="A1078" s="3">
        <v>45582.0</v>
      </c>
      <c r="B1078" s="4">
        <v>0.2625</v>
      </c>
      <c r="C1078" s="5" t="s">
        <v>8</v>
      </c>
      <c r="D1078" s="5" t="s">
        <v>454</v>
      </c>
      <c r="E1078" s="6" t="s">
        <v>107</v>
      </c>
      <c r="F1078" s="5" t="s">
        <v>108</v>
      </c>
      <c r="G1078" s="6" t="str">
        <f>VLOOKUP(E1078,dicionario!$A$1:$C1477,2,0)</f>
        <v>Ramalina complanata</v>
      </c>
      <c r="H1078" s="6" t="str">
        <f>VLOOKUP(E1078,dicionario!$A$1:$C1477,3,0)</f>
        <v>ramalina</v>
      </c>
    </row>
    <row r="1079">
      <c r="A1079" s="3">
        <v>45582.0</v>
      </c>
      <c r="B1079" s="4">
        <v>0.2625</v>
      </c>
      <c r="C1079" s="5" t="s">
        <v>8</v>
      </c>
      <c r="D1079" s="5" t="s">
        <v>454</v>
      </c>
      <c r="E1079" s="6" t="s">
        <v>193</v>
      </c>
      <c r="F1079" s="7" t="s">
        <v>194</v>
      </c>
      <c r="G1079" s="6" t="str">
        <f>VLOOKUP(E1079,dicionario!$A$1:$C1478,2,0)</f>
        <v>Conirostrum speciosum</v>
      </c>
      <c r="H1079" s="6" t="str">
        <f>VLOOKUP(E1079,dicionario!$A$1:$C1478,3,0)</f>
        <v>figuinha-de-rabo-castanho</v>
      </c>
    </row>
    <row r="1080">
      <c r="A1080" s="3">
        <v>45582.0</v>
      </c>
      <c r="B1080" s="4">
        <v>0.2625</v>
      </c>
      <c r="C1080" s="5" t="s">
        <v>8</v>
      </c>
      <c r="D1080" s="5" t="s">
        <v>454</v>
      </c>
      <c r="E1080" s="6" t="s">
        <v>111</v>
      </c>
      <c r="F1080" s="7" t="s">
        <v>112</v>
      </c>
      <c r="G1080" s="6" t="str">
        <f>VLOOKUP(E1080,dicionario!$A$1:$C1479,2,0)</f>
        <v>Trigona spinipes</v>
      </c>
      <c r="H1080" s="6" t="str">
        <f>VLOOKUP(E1080,dicionario!$A$1:$C1479,3,0)</f>
        <v>abelha-cachorro</v>
      </c>
    </row>
    <row r="1081">
      <c r="A1081" s="3">
        <v>45582.0</v>
      </c>
      <c r="B1081" s="4">
        <v>0.26319444444444445</v>
      </c>
      <c r="C1081" s="5" t="s">
        <v>8</v>
      </c>
      <c r="D1081" s="5" t="s">
        <v>454</v>
      </c>
      <c r="E1081" s="6" t="s">
        <v>378</v>
      </c>
      <c r="F1081" s="7" t="s">
        <v>205</v>
      </c>
      <c r="G1081" s="6" t="str">
        <f>VLOOKUP(E1081,dicionario!$A$1:$C1480,2,0)</f>
        <v>Polistes</v>
      </c>
      <c r="H1081" s="6" t="str">
        <f>VLOOKUP(E1081,dicionario!$A$1:$C1480,3,0)</f>
        <v>marimbondo</v>
      </c>
    </row>
    <row r="1082">
      <c r="A1082" s="3">
        <v>45582.0</v>
      </c>
      <c r="B1082" s="4">
        <v>0.2638888888888889</v>
      </c>
      <c r="C1082" s="5" t="s">
        <v>8</v>
      </c>
      <c r="D1082" s="5" t="s">
        <v>454</v>
      </c>
      <c r="E1082" s="6" t="s">
        <v>72</v>
      </c>
      <c r="F1082" s="7" t="s">
        <v>73</v>
      </c>
      <c r="G1082" s="6" t="str">
        <f>VLOOKUP(E1082,dicionario!$A$1:$C1481,2,0)</f>
        <v>Thraupis palmarum</v>
      </c>
      <c r="H1082" s="6" t="str">
        <f>VLOOKUP(E1082,dicionario!$A$1:$C1481,3,0)</f>
        <v>sanhaço-do-coqueiro</v>
      </c>
    </row>
    <row r="1083">
      <c r="A1083" s="3">
        <v>45582.0</v>
      </c>
      <c r="B1083" s="4">
        <v>0.2638888888888889</v>
      </c>
      <c r="C1083" s="5" t="s">
        <v>8</v>
      </c>
      <c r="D1083" s="5" t="s">
        <v>454</v>
      </c>
      <c r="E1083" s="8" t="s">
        <v>46</v>
      </c>
      <c r="F1083" s="5" t="s">
        <v>47</v>
      </c>
      <c r="G1083" s="6" t="str">
        <f>VLOOKUP(E1083,dicionario!$A$1:$C1482,2,0)</f>
        <v>Chionomesa fimbriata</v>
      </c>
      <c r="H1083" s="6" t="str">
        <f>VLOOKUP(E1083,dicionario!$A$1:$C1482,3,0)</f>
        <v>beija-flor-de-garganta-verde</v>
      </c>
    </row>
    <row r="1084">
      <c r="A1084" s="3">
        <v>45582.0</v>
      </c>
      <c r="B1084" s="4">
        <v>0.2638888888888889</v>
      </c>
      <c r="C1084" s="5" t="s">
        <v>8</v>
      </c>
      <c r="D1084" s="5" t="s">
        <v>454</v>
      </c>
      <c r="E1084" s="6" t="s">
        <v>215</v>
      </c>
      <c r="F1084" s="7" t="s">
        <v>216</v>
      </c>
      <c r="G1084" s="6" t="str">
        <f>VLOOKUP(E1084,dicionario!$A$1:$C1483,2,0)</f>
        <v>Pygochelidon cyanoleuca</v>
      </c>
      <c r="H1084" s="6" t="str">
        <f>VLOOKUP(E1084,dicionario!$A$1:$C1483,3,0)</f>
        <v>andorinha-pequena-de-casa</v>
      </c>
    </row>
    <row r="1085">
      <c r="A1085" s="3">
        <v>45582.0</v>
      </c>
      <c r="B1085" s="4">
        <v>0.2638888888888889</v>
      </c>
      <c r="C1085" s="5" t="s">
        <v>8</v>
      </c>
      <c r="D1085" s="5" t="s">
        <v>454</v>
      </c>
      <c r="E1085" s="6" t="s">
        <v>88</v>
      </c>
      <c r="F1085" s="7" t="s">
        <v>89</v>
      </c>
      <c r="G1085" s="6" t="str">
        <f>VLOOKUP(E1085,dicionario!$A$1:$C1484,2,0)</f>
        <v>Tyrannus melancolichus</v>
      </c>
      <c r="H1085" s="6" t="str">
        <f>VLOOKUP(E1085,dicionario!$A$1:$C1484,3,0)</f>
        <v>suiriri</v>
      </c>
    </row>
    <row r="1086">
      <c r="A1086" s="3">
        <v>45582.0</v>
      </c>
      <c r="B1086" s="4">
        <v>0.2638888888888889</v>
      </c>
      <c r="C1086" s="5" t="s">
        <v>8</v>
      </c>
      <c r="D1086" s="5" t="s">
        <v>454</v>
      </c>
      <c r="E1086" s="6" t="s">
        <v>455</v>
      </c>
      <c r="F1086" s="7" t="s">
        <v>456</v>
      </c>
      <c r="G1086" s="6" t="str">
        <f>VLOOKUP(E1086,dicionario!$A$1:$C1485,2,0)</f>
        <v>#N/A</v>
      </c>
      <c r="H1086" s="6" t="str">
        <f>VLOOKUP(E1086,dicionario!$A$1:$C1485,3,0)</f>
        <v>#N/A</v>
      </c>
    </row>
    <row r="1087">
      <c r="A1087" s="3">
        <v>45582.0</v>
      </c>
      <c r="B1087" s="4">
        <v>0.2659722222222222</v>
      </c>
      <c r="C1087" s="5" t="s">
        <v>8</v>
      </c>
      <c r="D1087" s="5" t="s">
        <v>454</v>
      </c>
      <c r="E1087" s="6" t="s">
        <v>258</v>
      </c>
      <c r="F1087" s="7" t="s">
        <v>259</v>
      </c>
      <c r="G1087" s="6" t="str">
        <f>VLOOKUP(E1087,dicionario!$A$1:$C1486,2,0)</f>
        <v>Lantana camara</v>
      </c>
      <c r="H1087" s="6" t="str">
        <f>VLOOKUP(E1087,dicionario!$A$1:$C1486,3,0)</f>
        <v>lantana</v>
      </c>
    </row>
    <row r="1088">
      <c r="A1088" s="3">
        <v>45582.0</v>
      </c>
      <c r="B1088" s="4">
        <v>0.2659722222222222</v>
      </c>
      <c r="C1088" s="5" t="s">
        <v>8</v>
      </c>
      <c r="D1088" s="5" t="s">
        <v>454</v>
      </c>
      <c r="E1088" s="6" t="s">
        <v>334</v>
      </c>
      <c r="F1088" s="7" t="s">
        <v>335</v>
      </c>
      <c r="G1088" s="6" t="str">
        <f>VLOOKUP(E1088,dicionario!$A$1:$C1487,2,0)</f>
        <v>Eupsittula aurea</v>
      </c>
      <c r="H1088" s="6" t="str">
        <f>VLOOKUP(E1088,dicionario!$A$1:$C1487,3,0)</f>
        <v>periquito-rei</v>
      </c>
    </row>
    <row r="1089">
      <c r="A1089" s="3">
        <v>45582.0</v>
      </c>
      <c r="B1089" s="4">
        <v>0.2659722222222222</v>
      </c>
      <c r="C1089" s="5" t="s">
        <v>8</v>
      </c>
      <c r="D1089" s="5" t="s">
        <v>454</v>
      </c>
      <c r="E1089" s="6" t="s">
        <v>162</v>
      </c>
      <c r="F1089" s="7" t="s">
        <v>42</v>
      </c>
      <c r="G1089" s="6" t="str">
        <f>VLOOKUP(E1089,dicionario!$A$1:$C1488,2,0)</f>
        <v>Fluvicola nengeta</v>
      </c>
      <c r="H1089" s="6" t="str">
        <f>VLOOKUP(E1089,dicionario!$A$1:$C1488,3,0)</f>
        <v>lavadeira-mascarada</v>
      </c>
    </row>
    <row r="1090">
      <c r="A1090" s="3">
        <v>45582.0</v>
      </c>
      <c r="B1090" s="4">
        <v>0.26666666666666666</v>
      </c>
      <c r="C1090" s="5" t="s">
        <v>8</v>
      </c>
      <c r="D1090" s="5" t="s">
        <v>454</v>
      </c>
      <c r="E1090" s="6" t="s">
        <v>69</v>
      </c>
      <c r="F1090" s="7" t="s">
        <v>71</v>
      </c>
      <c r="G1090" s="6" t="str">
        <f>VLOOKUP(E1090,dicionario!$A$1:$C1489,2,0)</f>
        <v>Talinum fruticosum</v>
      </c>
      <c r="H1090" s="6" t="str">
        <f>VLOOKUP(E1090,dicionario!$A$1:$C1489,3,0)</f>
        <v>beldroega-grande</v>
      </c>
    </row>
    <row r="1091">
      <c r="A1091" s="3">
        <v>45582.0</v>
      </c>
      <c r="B1091" s="4">
        <v>0.2673611111111111</v>
      </c>
      <c r="C1091" s="5" t="s">
        <v>8</v>
      </c>
      <c r="D1091" s="5" t="s">
        <v>454</v>
      </c>
      <c r="E1091" s="6" t="s">
        <v>457</v>
      </c>
      <c r="F1091" s="7" t="s">
        <v>458</v>
      </c>
      <c r="G1091" s="6" t="str">
        <f>VLOOKUP(E1091,dicionario!$A$1:$C1490,2,0)</f>
        <v>Alternanthera philoxeroides</v>
      </c>
      <c r="H1091" s="6" t="str">
        <f>VLOOKUP(E1091,dicionario!$A$1:$C1490,3,0)</f>
        <v>erva-jacaré </v>
      </c>
    </row>
    <row r="1092">
      <c r="A1092" s="3">
        <v>45582.0</v>
      </c>
      <c r="B1092" s="4">
        <v>0.2673611111111111</v>
      </c>
      <c r="C1092" s="5" t="s">
        <v>8</v>
      </c>
      <c r="D1092" s="5" t="s">
        <v>454</v>
      </c>
      <c r="E1092" s="6" t="s">
        <v>353</v>
      </c>
      <c r="F1092" s="7" t="s">
        <v>354</v>
      </c>
      <c r="G1092" s="6" t="str">
        <f>VLOOKUP(E1092,dicionario!$A$1:$C1491,2,0)</f>
        <v>Desmodium incanum</v>
      </c>
      <c r="H1092" s="6" t="str">
        <f>VLOOKUP(E1092,dicionario!$A$1:$C1491,3,0)</f>
        <v>pega-pega</v>
      </c>
    </row>
    <row r="1093">
      <c r="A1093" s="3">
        <v>45582.0</v>
      </c>
      <c r="B1093" s="4">
        <v>0.26805555555555555</v>
      </c>
      <c r="C1093" s="5" t="s">
        <v>8</v>
      </c>
      <c r="D1093" s="5" t="s">
        <v>454</v>
      </c>
      <c r="E1093" s="6" t="s">
        <v>271</v>
      </c>
      <c r="F1093" s="7" t="s">
        <v>272</v>
      </c>
      <c r="G1093" s="6" t="str">
        <f>VLOOKUP(E1093,dicionario!$A$1:$C1492,2,0)</f>
        <v>Cyanthillium cinereum</v>
      </c>
      <c r="H1093" s="6" t="str">
        <f>VLOOKUP(E1093,dicionario!$A$1:$C1492,3,0)</f>
        <v>emília</v>
      </c>
    </row>
    <row r="1094">
      <c r="A1094" s="3">
        <v>45582.0</v>
      </c>
      <c r="B1094" s="4">
        <v>0.26805555555555555</v>
      </c>
      <c r="C1094" s="5" t="s">
        <v>8</v>
      </c>
      <c r="D1094" s="5" t="s">
        <v>454</v>
      </c>
      <c r="E1094" s="6" t="s">
        <v>154</v>
      </c>
      <c r="F1094" s="7" t="s">
        <v>155</v>
      </c>
      <c r="G1094" s="6" t="str">
        <f>VLOOKUP(E1094,dicionario!$A$1:$C1493,2,0)</f>
        <v>Cyperus rotundus</v>
      </c>
      <c r="H1094" s="6" t="str">
        <f>VLOOKUP(E1094,dicionario!$A$1:$C1493,3,0)</f>
        <v>tiririca</v>
      </c>
    </row>
    <row r="1095">
      <c r="A1095" s="3">
        <v>45582.0</v>
      </c>
      <c r="B1095" s="4">
        <v>0.26805555555555555</v>
      </c>
      <c r="C1095" s="5" t="s">
        <v>8</v>
      </c>
      <c r="D1095" s="5" t="s">
        <v>454</v>
      </c>
      <c r="E1095" s="6" t="s">
        <v>253</v>
      </c>
      <c r="F1095" s="7" t="s">
        <v>254</v>
      </c>
      <c r="G1095" s="6" t="str">
        <f>VLOOKUP(E1095,dicionario!$A$1:$C1494,2,0)</f>
        <v>Panicum maximum</v>
      </c>
      <c r="H1095" s="6" t="str">
        <f>VLOOKUP(E1095,dicionario!$A$1:$C1494,3,0)</f>
        <v>capim-colonião</v>
      </c>
    </row>
    <row r="1096">
      <c r="A1096" s="3">
        <v>45582.0</v>
      </c>
      <c r="B1096" s="4">
        <v>0.26875</v>
      </c>
      <c r="C1096" s="5" t="s">
        <v>8</v>
      </c>
      <c r="D1096" s="5" t="s">
        <v>454</v>
      </c>
      <c r="E1096" s="6" t="s">
        <v>53</v>
      </c>
      <c r="F1096" s="7" t="s">
        <v>314</v>
      </c>
      <c r="G1096" s="6" t="str">
        <f>VLOOKUP(E1096,dicionario!$A$1:$C1495,2,0)</f>
        <v>Turnera subulata</v>
      </c>
      <c r="H1096" s="6" t="str">
        <f>VLOOKUP(E1096,dicionario!$A$1:$C1495,3,0)</f>
        <v>xanana</v>
      </c>
    </row>
    <row r="1097">
      <c r="A1097" s="3">
        <v>45582.0</v>
      </c>
      <c r="B1097" s="4">
        <v>0.26875</v>
      </c>
      <c r="C1097" s="5" t="s">
        <v>8</v>
      </c>
      <c r="D1097" s="5" t="s">
        <v>454</v>
      </c>
      <c r="E1097" s="6" t="s">
        <v>132</v>
      </c>
      <c r="F1097" s="7" t="s">
        <v>133</v>
      </c>
      <c r="G1097" s="6" t="str">
        <f>VLOOKUP(E1097,dicionario!$A$1:$C1496,2,0)</f>
        <v>Euphonia chlorotica</v>
      </c>
      <c r="H1097" s="6" t="str">
        <f>VLOOKUP(E1097,dicionario!$A$1:$C1496,3,0)</f>
        <v>fim-fim</v>
      </c>
    </row>
    <row r="1098">
      <c r="A1098" s="3">
        <v>45582.0</v>
      </c>
      <c r="B1098" s="4">
        <v>0.26944444444444443</v>
      </c>
      <c r="C1098" s="5" t="s">
        <v>8</v>
      </c>
      <c r="D1098" s="5" t="s">
        <v>454</v>
      </c>
      <c r="E1098" s="6" t="s">
        <v>298</v>
      </c>
      <c r="F1098" s="5" t="s">
        <v>299</v>
      </c>
      <c r="G1098" s="6" t="str">
        <f>VLOOKUP(E1098,dicionario!$A$1:$C1497,2,0)</f>
        <v>Alysicarpus vaginalis</v>
      </c>
      <c r="H1098" s="6" t="str">
        <f>VLOOKUP(E1098,dicionario!$A$1:$C1497,3,0)</f>
        <v/>
      </c>
    </row>
    <row r="1099">
      <c r="A1099" s="3">
        <v>45582.0</v>
      </c>
      <c r="B1099" s="4">
        <v>0.26944444444444443</v>
      </c>
      <c r="C1099" s="5" t="s">
        <v>8</v>
      </c>
      <c r="D1099" s="5" t="s">
        <v>454</v>
      </c>
      <c r="E1099" s="6" t="s">
        <v>286</v>
      </c>
      <c r="F1099" s="7" t="s">
        <v>287</v>
      </c>
      <c r="G1099" s="6" t="str">
        <f>VLOOKUP(E1099,dicionario!$A$1:$C1498,2,0)</f>
        <v>Setaria parviflora</v>
      </c>
      <c r="H1099" s="6" t="str">
        <f>VLOOKUP(E1099,dicionario!$A$1:$C1498,3,0)</f>
        <v>capim-rabo-de-raposa</v>
      </c>
    </row>
    <row r="1100">
      <c r="A1100" s="3">
        <v>45582.0</v>
      </c>
      <c r="B1100" s="4">
        <v>0.2708333333333333</v>
      </c>
      <c r="C1100" s="5" t="s">
        <v>26</v>
      </c>
      <c r="D1100" s="5" t="s">
        <v>454</v>
      </c>
      <c r="E1100" s="6" t="s">
        <v>143</v>
      </c>
      <c r="F1100" s="7" t="s">
        <v>63</v>
      </c>
      <c r="G1100" s="6" t="str">
        <f>VLOOKUP(E1100,dicionario!$A$1:$C1499,2,0)</f>
        <v>Polybia</v>
      </c>
      <c r="H1100" s="6" t="str">
        <f>VLOOKUP(E1100,dicionario!$A$1:$C1499,3,0)</f>
        <v>vespa</v>
      </c>
    </row>
    <row r="1101">
      <c r="A1101" s="3">
        <v>45582.0</v>
      </c>
      <c r="B1101" s="4">
        <v>0.2722222222222222</v>
      </c>
      <c r="C1101" s="5" t="s">
        <v>26</v>
      </c>
      <c r="D1101" s="5" t="s">
        <v>454</v>
      </c>
      <c r="E1101" s="6" t="s">
        <v>41</v>
      </c>
      <c r="F1101" s="7" t="s">
        <v>45</v>
      </c>
      <c r="G1101" s="6" t="str">
        <f>VLOOKUP(E1101,dicionario!$A$1:$C1500,2,0)</f>
        <v>Mimosa pudica</v>
      </c>
      <c r="H1101" s="6" t="str">
        <f>VLOOKUP(E1101,dicionario!$A$1:$C1500,3,0)</f>
        <v>dormideira</v>
      </c>
    </row>
    <row r="1102">
      <c r="A1102" s="3">
        <v>45582.0</v>
      </c>
      <c r="B1102" s="4">
        <v>0.2722222222222222</v>
      </c>
      <c r="C1102" s="5" t="s">
        <v>26</v>
      </c>
      <c r="D1102" s="5" t="s">
        <v>454</v>
      </c>
      <c r="E1102" s="6" t="s">
        <v>14</v>
      </c>
      <c r="F1102" s="7" t="s">
        <v>15</v>
      </c>
      <c r="G1102" s="6" t="str">
        <f>VLOOKUP(E1102,dicionario!$A$1:$C1501,2,0)</f>
        <v>Spermacoce verticillata</v>
      </c>
      <c r="H1102" s="6" t="str">
        <f>VLOOKUP(E1102,dicionario!$A$1:$C1501,3,0)</f>
        <v>vassourinha-de-botão</v>
      </c>
    </row>
    <row r="1103">
      <c r="A1103" s="3">
        <v>45582.0</v>
      </c>
      <c r="B1103" s="4">
        <v>0.27291666666666664</v>
      </c>
      <c r="C1103" s="5" t="s">
        <v>26</v>
      </c>
      <c r="D1103" s="5" t="s">
        <v>454</v>
      </c>
      <c r="E1103" s="6" t="s">
        <v>243</v>
      </c>
      <c r="F1103" s="7" t="s">
        <v>244</v>
      </c>
      <c r="G1103" s="6" t="str">
        <f>VLOOKUP(E1103,dicionario!$A$1:$C1502,2,0)</f>
        <v>Macroptilium atropurpureum</v>
      </c>
      <c r="H1103" s="6" t="str">
        <f>VLOOKUP(E1103,dicionario!$A$1:$C1502,3,0)</f>
        <v>feijão-de-pombo</v>
      </c>
    </row>
    <row r="1104">
      <c r="A1104" s="3">
        <v>45582.0</v>
      </c>
      <c r="B1104" s="4">
        <v>0.27291666666666664</v>
      </c>
      <c r="C1104" s="5" t="s">
        <v>26</v>
      </c>
      <c r="D1104" s="5" t="s">
        <v>454</v>
      </c>
      <c r="E1104" s="6" t="s">
        <v>65</v>
      </c>
      <c r="F1104" s="7" t="s">
        <v>66</v>
      </c>
      <c r="G1104" s="6" t="str">
        <f>VLOOKUP(E1104,dicionario!$A$1:$C1503,2,0)</f>
        <v>Pitangus sulphutarus</v>
      </c>
      <c r="H1104" s="6" t="str">
        <f>VLOOKUP(E1104,dicionario!$A$1:$C1503,3,0)</f>
        <v>bem-te-vi</v>
      </c>
    </row>
    <row r="1105">
      <c r="A1105" s="3">
        <v>45582.0</v>
      </c>
      <c r="B1105" s="4">
        <v>0.27291666666666664</v>
      </c>
      <c r="C1105" s="5" t="s">
        <v>26</v>
      </c>
      <c r="D1105" s="5" t="s">
        <v>454</v>
      </c>
      <c r="E1105" s="6" t="s">
        <v>217</v>
      </c>
      <c r="F1105" s="7" t="s">
        <v>218</v>
      </c>
      <c r="G1105" s="6" t="str">
        <f>VLOOKUP(E1105,dicionario!$A$1:$C1504,2,0)</f>
        <v>Athene cunicularia</v>
      </c>
      <c r="H1105" s="6" t="str">
        <f>VLOOKUP(E1105,dicionario!$A$1:$C1504,3,0)</f>
        <v>coruja-buraqueira</v>
      </c>
    </row>
    <row r="1106">
      <c r="A1106" s="3">
        <v>45582.0</v>
      </c>
      <c r="B1106" s="4">
        <v>0.27361111111111114</v>
      </c>
      <c r="C1106" s="5" t="s">
        <v>26</v>
      </c>
      <c r="D1106" s="5" t="s">
        <v>454</v>
      </c>
      <c r="E1106" s="6" t="s">
        <v>88</v>
      </c>
      <c r="F1106" s="7" t="s">
        <v>89</v>
      </c>
      <c r="G1106" s="6" t="str">
        <f>VLOOKUP(E1106,dicionario!$A$1:$C1505,2,0)</f>
        <v>Tyrannus melancolichus</v>
      </c>
      <c r="H1106" s="6" t="str">
        <f>VLOOKUP(E1106,dicionario!$A$1:$C1505,3,0)</f>
        <v>suiriri</v>
      </c>
    </row>
    <row r="1107">
      <c r="A1107" s="3">
        <v>45582.0</v>
      </c>
      <c r="B1107" s="4">
        <v>0.2743055555555556</v>
      </c>
      <c r="C1107" s="5" t="s">
        <v>26</v>
      </c>
      <c r="D1107" s="5" t="s">
        <v>454</v>
      </c>
      <c r="E1107" s="6" t="s">
        <v>105</v>
      </c>
      <c r="F1107" s="7" t="s">
        <v>106</v>
      </c>
      <c r="G1107" s="6" t="str">
        <f>VLOOKUP(E1107,dicionario!$A$1:$C1506,2,0)</f>
        <v>Progne tapera</v>
      </c>
      <c r="H1107" s="6" t="str">
        <f>VLOOKUP(E1107,dicionario!$A$1:$C1506,3,0)</f>
        <v>andorinha-do-campo</v>
      </c>
    </row>
    <row r="1108">
      <c r="A1108" s="3">
        <v>45582.0</v>
      </c>
      <c r="B1108" s="4">
        <v>0.275</v>
      </c>
      <c r="C1108" s="5" t="s">
        <v>26</v>
      </c>
      <c r="D1108" s="5" t="s">
        <v>454</v>
      </c>
      <c r="E1108" s="6" t="s">
        <v>362</v>
      </c>
      <c r="F1108" s="7" t="s">
        <v>363</v>
      </c>
      <c r="G1108" s="6" t="str">
        <f>VLOOKUP(E1108,dicionario!$A$1:$C1507,2,0)</f>
        <v>#N/A</v>
      </c>
      <c r="H1108" s="6" t="str">
        <f>VLOOKUP(E1108,dicionario!$A$1:$C1507,3,0)</f>
        <v>#N/A</v>
      </c>
    </row>
    <row r="1109">
      <c r="A1109" s="3">
        <v>45582.0</v>
      </c>
      <c r="B1109" s="4">
        <v>0.27569444444444446</v>
      </c>
      <c r="C1109" s="5" t="s">
        <v>26</v>
      </c>
      <c r="D1109" s="5" t="s">
        <v>454</v>
      </c>
      <c r="E1109" s="6" t="s">
        <v>225</v>
      </c>
      <c r="F1109" s="7" t="s">
        <v>226</v>
      </c>
      <c r="G1109" s="6" t="str">
        <f>VLOOKUP(E1109,dicionario!$A$1:$C1508,2,0)</f>
        <v>Passer domesticus</v>
      </c>
      <c r="H1109" s="6" t="str">
        <f>VLOOKUP(E1109,dicionario!$A$1:$C1508,3,0)</f>
        <v>pardal</v>
      </c>
    </row>
    <row r="1110">
      <c r="A1110" s="3">
        <v>45582.0</v>
      </c>
      <c r="B1110" s="4">
        <v>0.27569444444444446</v>
      </c>
      <c r="C1110" s="5" t="s">
        <v>26</v>
      </c>
      <c r="D1110" s="5" t="s">
        <v>454</v>
      </c>
      <c r="E1110" s="6" t="s">
        <v>24</v>
      </c>
      <c r="F1110" s="7" t="s">
        <v>459</v>
      </c>
      <c r="G1110" s="6" t="str">
        <f>VLOOKUP(E1110,dicionario!$A$1:$C1509,2,0)</f>
        <v>Lepidoptera</v>
      </c>
      <c r="H1110" s="6" t="str">
        <f>VLOOKUP(E1110,dicionario!$A$1:$C1509,3,0)</f>
        <v>boboleta/mariposa</v>
      </c>
    </row>
    <row r="1111">
      <c r="A1111" s="3">
        <v>45582.0</v>
      </c>
      <c r="B1111" s="4">
        <v>0.27708333333333335</v>
      </c>
      <c r="C1111" s="5" t="s">
        <v>26</v>
      </c>
      <c r="D1111" s="5" t="s">
        <v>454</v>
      </c>
      <c r="E1111" s="6" t="s">
        <v>258</v>
      </c>
      <c r="F1111" s="7" t="s">
        <v>259</v>
      </c>
      <c r="G1111" s="6" t="str">
        <f>VLOOKUP(E1111,dicionario!$A$1:$C1510,2,0)</f>
        <v>Lantana camara</v>
      </c>
      <c r="H1111" s="6" t="str">
        <f>VLOOKUP(E1111,dicionario!$A$1:$C1510,3,0)</f>
        <v>lantana</v>
      </c>
    </row>
    <row r="1112">
      <c r="A1112" s="3">
        <v>45582.0</v>
      </c>
      <c r="B1112" s="4">
        <v>0.27708333333333335</v>
      </c>
      <c r="C1112" s="5" t="s">
        <v>26</v>
      </c>
      <c r="D1112" s="5" t="s">
        <v>454</v>
      </c>
      <c r="E1112" s="6" t="s">
        <v>343</v>
      </c>
      <c r="F1112" s="7" t="s">
        <v>192</v>
      </c>
      <c r="G1112" s="6" t="str">
        <f>VLOOKUP(E1112,dicionario!$A$1:$C1511,2,0)</f>
        <v>#N/A</v>
      </c>
      <c r="H1112" s="6" t="str">
        <f>VLOOKUP(E1112,dicionario!$A$1:$C1511,3,0)</f>
        <v>#N/A</v>
      </c>
    </row>
    <row r="1113">
      <c r="A1113" s="3">
        <v>45582.0</v>
      </c>
      <c r="B1113" s="4">
        <v>0.2777777777777778</v>
      </c>
      <c r="C1113" s="5" t="s">
        <v>26</v>
      </c>
      <c r="D1113" s="5" t="s">
        <v>454</v>
      </c>
      <c r="E1113" s="6" t="s">
        <v>271</v>
      </c>
      <c r="F1113" s="7" t="s">
        <v>272</v>
      </c>
      <c r="G1113" s="6" t="str">
        <f>VLOOKUP(E1113,dicionario!$A$1:$C1512,2,0)</f>
        <v>Cyanthillium cinereum</v>
      </c>
      <c r="H1113" s="6" t="str">
        <f>VLOOKUP(E1113,dicionario!$A$1:$C1512,3,0)</f>
        <v>emília</v>
      </c>
    </row>
    <row r="1114">
      <c r="A1114" s="3">
        <v>45582.0</v>
      </c>
      <c r="B1114" s="4">
        <v>0.2777777777777778</v>
      </c>
      <c r="C1114" s="5" t="s">
        <v>26</v>
      </c>
      <c r="D1114" s="5" t="s">
        <v>454</v>
      </c>
      <c r="E1114" s="6" t="s">
        <v>366</v>
      </c>
      <c r="F1114" s="7" t="s">
        <v>367</v>
      </c>
      <c r="G1114" s="6" t="str">
        <f>VLOOKUP(E1114,dicionario!$A$1:$C1513,2,0)</f>
        <v>Alternanthera ficoidea</v>
      </c>
      <c r="H1114" s="6" t="str">
        <f>VLOOKUP(E1114,dicionario!$A$1:$C1513,3,0)</f>
        <v>quebra-panela</v>
      </c>
    </row>
    <row r="1115">
      <c r="A1115" s="3">
        <v>45582.0</v>
      </c>
      <c r="B1115" s="4">
        <v>0.2777777777777778</v>
      </c>
      <c r="C1115" s="5" t="s">
        <v>26</v>
      </c>
      <c r="D1115" s="5" t="s">
        <v>454</v>
      </c>
      <c r="E1115" s="6" t="s">
        <v>53</v>
      </c>
      <c r="F1115" s="7" t="s">
        <v>314</v>
      </c>
      <c r="G1115" s="6" t="str">
        <f>VLOOKUP(E1115,dicionario!$A$1:$C1514,2,0)</f>
        <v>Turnera subulata</v>
      </c>
      <c r="H1115" s="6" t="str">
        <f>VLOOKUP(E1115,dicionario!$A$1:$C1514,3,0)</f>
        <v>xanana</v>
      </c>
    </row>
    <row r="1116">
      <c r="A1116" s="3">
        <v>45582.0</v>
      </c>
      <c r="B1116" s="4">
        <v>0.2777777777777778</v>
      </c>
      <c r="C1116" s="5" t="s">
        <v>26</v>
      </c>
      <c r="D1116" s="5" t="s">
        <v>454</v>
      </c>
      <c r="E1116" s="6" t="s">
        <v>253</v>
      </c>
      <c r="F1116" s="7" t="s">
        <v>254</v>
      </c>
      <c r="G1116" s="6" t="str">
        <f>VLOOKUP(E1116,dicionario!$A$1:$C1515,2,0)</f>
        <v>Panicum maximum</v>
      </c>
      <c r="H1116" s="6" t="str">
        <f>VLOOKUP(E1116,dicionario!$A$1:$C1515,3,0)</f>
        <v>capim-colonião</v>
      </c>
    </row>
    <row r="1117">
      <c r="A1117" s="3">
        <v>45582.0</v>
      </c>
      <c r="B1117" s="4">
        <v>0.2777777777777778</v>
      </c>
      <c r="C1117" s="5" t="s">
        <v>26</v>
      </c>
      <c r="D1117" s="5" t="s">
        <v>454</v>
      </c>
      <c r="E1117" s="6" t="s">
        <v>460</v>
      </c>
      <c r="F1117" s="7" t="s">
        <v>142</v>
      </c>
      <c r="G1117" s="6" t="str">
        <f>VLOOKUP(E1117,dicionario!$A$1:$C1516,2,0)</f>
        <v>#N/A</v>
      </c>
      <c r="H1117" s="6" t="str">
        <f>VLOOKUP(E1117,dicionario!$A$1:$C1516,3,0)</f>
        <v>#N/A</v>
      </c>
    </row>
    <row r="1118">
      <c r="A1118" s="3">
        <v>45582.0</v>
      </c>
      <c r="B1118" s="4">
        <v>0.27847222222222223</v>
      </c>
      <c r="C1118" s="5" t="s">
        <v>26</v>
      </c>
      <c r="D1118" s="5" t="s">
        <v>454</v>
      </c>
      <c r="E1118" s="6" t="s">
        <v>368</v>
      </c>
      <c r="F1118" s="7" t="s">
        <v>35</v>
      </c>
      <c r="G1118" s="6" t="str">
        <f>VLOOKUP(E1118,dicionario!$A$1:$C1517,2,0)</f>
        <v>#N/A</v>
      </c>
      <c r="H1118" s="6" t="str">
        <f>VLOOKUP(E1118,dicionario!$A$1:$C1517,3,0)</f>
        <v>#N/A</v>
      </c>
    </row>
    <row r="1119">
      <c r="A1119" s="3">
        <v>45582.0</v>
      </c>
      <c r="B1119" s="4">
        <v>0.2798611111111111</v>
      </c>
      <c r="C1119" s="5" t="s">
        <v>26</v>
      </c>
      <c r="D1119" s="5" t="s">
        <v>454</v>
      </c>
      <c r="E1119" s="6" t="s">
        <v>135</v>
      </c>
      <c r="F1119" s="7" t="s">
        <v>136</v>
      </c>
      <c r="G1119" s="6" t="str">
        <f>VLOOKUP(E1119,dicionario!$A$1:$C1518,2,0)</f>
        <v>Tridax procumbens</v>
      </c>
      <c r="H1119" s="6" t="str">
        <f>VLOOKUP(E1119,dicionario!$A$1:$C1518,3,0)</f>
        <v>erva-de-touro</v>
      </c>
    </row>
    <row r="1120">
      <c r="A1120" s="3">
        <v>45582.0</v>
      </c>
      <c r="B1120" s="4">
        <v>0.2798611111111111</v>
      </c>
      <c r="C1120" s="5" t="s">
        <v>26</v>
      </c>
      <c r="D1120" s="5" t="s">
        <v>454</v>
      </c>
      <c r="E1120" s="6" t="s">
        <v>298</v>
      </c>
      <c r="F1120" s="5" t="s">
        <v>299</v>
      </c>
      <c r="G1120" s="6" t="str">
        <f>VLOOKUP(E1120,dicionario!$A$1:$C1519,2,0)</f>
        <v>Alysicarpus vaginalis</v>
      </c>
      <c r="H1120" s="6" t="str">
        <f>VLOOKUP(E1120,dicionario!$A$1:$C1519,3,0)</f>
        <v/>
      </c>
    </row>
    <row r="1121">
      <c r="A1121" s="3">
        <v>45582.0</v>
      </c>
      <c r="B1121" s="4">
        <v>0.28055555555555556</v>
      </c>
      <c r="C1121" s="5" t="s">
        <v>26</v>
      </c>
      <c r="D1121" s="5" t="s">
        <v>454</v>
      </c>
      <c r="E1121" s="6" t="s">
        <v>461</v>
      </c>
      <c r="F1121" s="7" t="s">
        <v>32</v>
      </c>
      <c r="G1121" s="6" t="str">
        <f>VLOOKUP(E1121,dicionario!$A$1:$C1520,2,0)</f>
        <v>#N/A</v>
      </c>
      <c r="H1121" s="6" t="str">
        <f>VLOOKUP(E1121,dicionario!$A$1:$C1520,3,0)</f>
        <v>#N/A</v>
      </c>
    </row>
    <row r="1122">
      <c r="A1122" s="3">
        <v>45582.0</v>
      </c>
      <c r="B1122" s="4">
        <v>0.28125</v>
      </c>
      <c r="C1122" s="5" t="s">
        <v>26</v>
      </c>
      <c r="D1122" s="5" t="s">
        <v>454</v>
      </c>
      <c r="E1122" s="6" t="s">
        <v>237</v>
      </c>
      <c r="F1122" s="7" t="s">
        <v>238</v>
      </c>
      <c r="G1122" s="6" t="str">
        <f>VLOOKUP(E1122,dicionario!$A$1:$C1521,2,0)</f>
        <v>Acromyrmex</v>
      </c>
      <c r="H1122" s="6" t="str">
        <f>VLOOKUP(E1122,dicionario!$A$1:$C1521,3,0)</f>
        <v>quenquén</v>
      </c>
    </row>
    <row r="1123">
      <c r="A1123" s="3">
        <v>45582.0</v>
      </c>
      <c r="B1123" s="4">
        <v>0.2826388888888889</v>
      </c>
      <c r="C1123" s="5" t="s">
        <v>33</v>
      </c>
      <c r="D1123" s="5" t="s">
        <v>454</v>
      </c>
      <c r="E1123" s="6" t="s">
        <v>88</v>
      </c>
      <c r="F1123" s="7" t="s">
        <v>89</v>
      </c>
      <c r="G1123" s="6" t="str">
        <f>VLOOKUP(E1123,dicionario!$A$1:$C1522,2,0)</f>
        <v>Tyrannus melancolichus</v>
      </c>
      <c r="H1123" s="6" t="str">
        <f>VLOOKUP(E1123,dicionario!$A$1:$C1522,3,0)</f>
        <v>suiriri</v>
      </c>
    </row>
    <row r="1124">
      <c r="A1124" s="3">
        <v>45582.0</v>
      </c>
      <c r="B1124" s="4">
        <v>0.2826388888888889</v>
      </c>
      <c r="C1124" s="5" t="s">
        <v>33</v>
      </c>
      <c r="D1124" s="5" t="s">
        <v>454</v>
      </c>
      <c r="E1124" s="6" t="s">
        <v>74</v>
      </c>
      <c r="F1124" s="7" t="s">
        <v>75</v>
      </c>
      <c r="G1124" s="6" t="str">
        <f>VLOOKUP(E1124,dicionario!$A$1:$C1523,2,0)</f>
        <v>Crotophaga ani</v>
      </c>
      <c r="H1124" s="6" t="str">
        <f>VLOOKUP(E1124,dicionario!$A$1:$C1523,3,0)</f>
        <v>anu-preto</v>
      </c>
    </row>
    <row r="1125">
      <c r="A1125" s="3">
        <v>45582.0</v>
      </c>
      <c r="B1125" s="4">
        <v>0.2826388888888889</v>
      </c>
      <c r="C1125" s="5" t="s">
        <v>33</v>
      </c>
      <c r="D1125" s="5" t="s">
        <v>454</v>
      </c>
      <c r="E1125" s="6" t="s">
        <v>122</v>
      </c>
      <c r="F1125" s="7" t="s">
        <v>123</v>
      </c>
      <c r="G1125" s="6" t="str">
        <f>VLOOKUP(E1125,dicionario!$A$1:$C1524,2,0)</f>
        <v>Todirostrum cinereum</v>
      </c>
      <c r="H1125" s="6" t="str">
        <f>VLOOKUP(E1125,dicionario!$A$1:$C1524,3,0)</f>
        <v>ferreirinho-relógio</v>
      </c>
    </row>
    <row r="1126">
      <c r="A1126" s="3">
        <v>45582.0</v>
      </c>
      <c r="B1126" s="4">
        <v>0.2833333333333333</v>
      </c>
      <c r="C1126" s="5" t="s">
        <v>33</v>
      </c>
      <c r="D1126" s="5" t="s">
        <v>454</v>
      </c>
      <c r="E1126" s="6" t="s">
        <v>65</v>
      </c>
      <c r="F1126" s="7" t="s">
        <v>66</v>
      </c>
      <c r="G1126" s="6" t="str">
        <f>VLOOKUP(E1126,dicionario!$A$1:$C1525,2,0)</f>
        <v>Pitangus sulphutarus</v>
      </c>
      <c r="H1126" s="6" t="str">
        <f>VLOOKUP(E1126,dicionario!$A$1:$C1525,3,0)</f>
        <v>bem-te-vi</v>
      </c>
    </row>
    <row r="1127">
      <c r="A1127" s="3">
        <v>45582.0</v>
      </c>
      <c r="B1127" s="4">
        <v>0.28680555555555554</v>
      </c>
      <c r="C1127" s="5" t="s">
        <v>33</v>
      </c>
      <c r="D1127" s="5" t="s">
        <v>454</v>
      </c>
      <c r="E1127" s="6" t="s">
        <v>448</v>
      </c>
      <c r="F1127" s="7" t="s">
        <v>462</v>
      </c>
      <c r="G1127" s="6" t="str">
        <f>VLOOKUP(E1127,dicionario!$A$1:$C1526,2,0)</f>
        <v>Mechanitis polymnia</v>
      </c>
      <c r="H1127" s="6" t="str">
        <f>VLOOKUP(E1127,dicionario!$A$1:$C1526,3,0)</f>
        <v>maria-boba</v>
      </c>
    </row>
    <row r="1128">
      <c r="A1128" s="3">
        <v>45582.0</v>
      </c>
      <c r="B1128" s="4">
        <v>0.28680555555555554</v>
      </c>
      <c r="C1128" s="5" t="s">
        <v>33</v>
      </c>
      <c r="D1128" s="5" t="s">
        <v>454</v>
      </c>
      <c r="E1128" s="6" t="s">
        <v>86</v>
      </c>
      <c r="F1128" s="7" t="s">
        <v>87</v>
      </c>
      <c r="G1128" s="6" t="str">
        <f>VLOOKUP(E1128,dicionario!$A$1:$C1527,2,0)</f>
        <v>Coereba flaveola</v>
      </c>
      <c r="H1128" s="6" t="str">
        <f>VLOOKUP(E1128,dicionario!$A$1:$C1527,3,0)</f>
        <v>cambacica</v>
      </c>
    </row>
    <row r="1129">
      <c r="A1129" s="3">
        <v>45582.0</v>
      </c>
      <c r="B1129" s="4">
        <v>0.28680555555555554</v>
      </c>
      <c r="C1129" s="5" t="s">
        <v>33</v>
      </c>
      <c r="D1129" s="5" t="s">
        <v>454</v>
      </c>
      <c r="E1129" s="6" t="s">
        <v>343</v>
      </c>
      <c r="F1129" s="7" t="s">
        <v>192</v>
      </c>
      <c r="G1129" s="6" t="str">
        <f>VLOOKUP(E1129,dicionario!$A$1:$C1528,2,0)</f>
        <v>#N/A</v>
      </c>
      <c r="H1129" s="6" t="str">
        <f>VLOOKUP(E1129,dicionario!$A$1:$C1528,3,0)</f>
        <v>#N/A</v>
      </c>
    </row>
    <row r="1130">
      <c r="A1130" s="3">
        <v>45582.0</v>
      </c>
      <c r="B1130" s="4">
        <v>0.2875</v>
      </c>
      <c r="C1130" s="5" t="s">
        <v>33</v>
      </c>
      <c r="D1130" s="5" t="s">
        <v>454</v>
      </c>
      <c r="E1130" s="6" t="s">
        <v>113</v>
      </c>
      <c r="F1130" s="7" t="s">
        <v>114</v>
      </c>
      <c r="G1130" s="6" t="str">
        <f>VLOOKUP(E1130,dicionario!$A$1:$C1529,2,0)</f>
        <v>Columbina talpacoti</v>
      </c>
      <c r="H1130" s="6" t="str">
        <f>VLOOKUP(E1130,dicionario!$A$1:$C1529,3,0)</f>
        <v>rolinha-roxa</v>
      </c>
    </row>
    <row r="1131">
      <c r="A1131" s="3">
        <v>45582.0</v>
      </c>
      <c r="B1131" s="4">
        <v>0.2875</v>
      </c>
      <c r="C1131" s="5" t="s">
        <v>33</v>
      </c>
      <c r="D1131" s="5" t="s">
        <v>454</v>
      </c>
      <c r="E1131" s="8" t="s">
        <v>38</v>
      </c>
      <c r="F1131" s="5" t="s">
        <v>39</v>
      </c>
      <c r="G1131" s="6" t="str">
        <f>VLOOKUP(E1131,dicionario!$A$1:$C1530,2,0)</f>
        <v>Troglodytes musculus</v>
      </c>
      <c r="H1131" s="6" t="str">
        <f>VLOOKUP(E1131,dicionario!$A$1:$C1530,3,0)</f>
        <v>curruíra</v>
      </c>
    </row>
    <row r="1132">
      <c r="A1132" s="3">
        <v>45582.0</v>
      </c>
      <c r="B1132" s="4">
        <v>0.2881944444444444</v>
      </c>
      <c r="C1132" s="5" t="s">
        <v>33</v>
      </c>
      <c r="D1132" s="5" t="s">
        <v>454</v>
      </c>
      <c r="E1132" s="6" t="s">
        <v>53</v>
      </c>
      <c r="F1132" s="7" t="s">
        <v>314</v>
      </c>
      <c r="G1132" s="6" t="str">
        <f>VLOOKUP(E1132,dicionario!$A$1:$C1531,2,0)</f>
        <v>Turnera subulata</v>
      </c>
      <c r="H1132" s="6" t="str">
        <f>VLOOKUP(E1132,dicionario!$A$1:$C1531,3,0)</f>
        <v>xanana</v>
      </c>
    </row>
    <row r="1133">
      <c r="A1133" s="3">
        <v>45582.0</v>
      </c>
      <c r="B1133" s="4">
        <v>0.2881944444444444</v>
      </c>
      <c r="C1133" s="5" t="s">
        <v>33</v>
      </c>
      <c r="D1133" s="5" t="s">
        <v>454</v>
      </c>
      <c r="E1133" s="6" t="s">
        <v>258</v>
      </c>
      <c r="F1133" s="7" t="s">
        <v>259</v>
      </c>
      <c r="G1133" s="6" t="str">
        <f>VLOOKUP(E1133,dicionario!$A$1:$C1532,2,0)</f>
        <v>Lantana camara</v>
      </c>
      <c r="H1133" s="6" t="str">
        <f>VLOOKUP(E1133,dicionario!$A$1:$C1532,3,0)</f>
        <v>lantana</v>
      </c>
    </row>
    <row r="1134">
      <c r="A1134" s="3">
        <v>45582.0</v>
      </c>
      <c r="B1134" s="4">
        <v>0.2881944444444444</v>
      </c>
      <c r="C1134" s="5" t="s">
        <v>33</v>
      </c>
      <c r="D1134" s="5" t="s">
        <v>454</v>
      </c>
      <c r="E1134" s="6" t="s">
        <v>353</v>
      </c>
      <c r="F1134" s="7" t="s">
        <v>354</v>
      </c>
      <c r="G1134" s="6" t="str">
        <f>VLOOKUP(E1134,dicionario!$A$1:$C1533,2,0)</f>
        <v>Desmodium incanum</v>
      </c>
      <c r="H1134" s="6" t="str">
        <f>VLOOKUP(E1134,dicionario!$A$1:$C1533,3,0)</f>
        <v>pega-pega</v>
      </c>
    </row>
    <row r="1135">
      <c r="A1135" s="3">
        <v>45582.0</v>
      </c>
      <c r="B1135" s="4">
        <v>0.28888888888888886</v>
      </c>
      <c r="C1135" s="5" t="s">
        <v>33</v>
      </c>
      <c r="D1135" s="5" t="s">
        <v>454</v>
      </c>
      <c r="E1135" s="6" t="s">
        <v>296</v>
      </c>
      <c r="F1135" s="7" t="s">
        <v>297</v>
      </c>
      <c r="G1135" s="6" t="str">
        <f>VLOOKUP(E1135,dicionario!$A$1:$C1534,2,0)</f>
        <v>Richardia brasiliensis</v>
      </c>
      <c r="H1135" s="6" t="str">
        <f>VLOOKUP(E1135,dicionario!$A$1:$C1534,3,0)</f>
        <v>poaia-branca</v>
      </c>
    </row>
    <row r="1136">
      <c r="A1136" s="3">
        <v>45582.0</v>
      </c>
      <c r="B1136" s="4">
        <v>0.28888888888888886</v>
      </c>
      <c r="C1136" s="5" t="s">
        <v>33</v>
      </c>
      <c r="D1136" s="5" t="s">
        <v>454</v>
      </c>
      <c r="E1136" s="6" t="s">
        <v>239</v>
      </c>
      <c r="F1136" s="7" t="s">
        <v>240</v>
      </c>
      <c r="G1136" s="6" t="str">
        <f>VLOOKUP(E1136,dicionario!$A$1:$C1535,2,0)</f>
        <v>Gomphrena celosioides</v>
      </c>
      <c r="H1136" s="6" t="str">
        <f>VLOOKUP(E1136,dicionario!$A$1:$C1535,3,0)</f>
        <v>perpétua-branca</v>
      </c>
    </row>
    <row r="1137">
      <c r="A1137" s="3">
        <v>45582.0</v>
      </c>
      <c r="B1137" s="4">
        <v>0.28958333333333336</v>
      </c>
      <c r="C1137" s="5" t="s">
        <v>33</v>
      </c>
      <c r="D1137" s="5" t="s">
        <v>454</v>
      </c>
      <c r="E1137" s="23" t="s">
        <v>463</v>
      </c>
      <c r="F1137" s="7"/>
      <c r="G1137" s="6" t="str">
        <f>VLOOKUP(E1137,dicionario!$A$1:$C1536,2,0)</f>
        <v>#N/A</v>
      </c>
      <c r="H1137" s="6" t="str">
        <f>VLOOKUP(E1137,dicionario!$A$1:$C1536,3,0)</f>
        <v>#N/A</v>
      </c>
    </row>
    <row r="1138">
      <c r="A1138" s="3">
        <v>45582.0</v>
      </c>
      <c r="B1138" s="4">
        <v>0.28958333333333336</v>
      </c>
      <c r="C1138" s="5" t="s">
        <v>33</v>
      </c>
      <c r="D1138" s="5" t="s">
        <v>454</v>
      </c>
      <c r="E1138" s="6" t="s">
        <v>150</v>
      </c>
      <c r="F1138" s="7" t="s">
        <v>151</v>
      </c>
      <c r="G1138" s="6" t="str">
        <f>VLOOKUP(E1138,dicionario!$A$1:$C1537,2,0)</f>
        <v>Amaranthus viridis</v>
      </c>
      <c r="H1138" s="6" t="str">
        <f>VLOOKUP(E1138,dicionario!$A$1:$C1537,3,0)</f>
        <v>caruru-de-mancha</v>
      </c>
    </row>
    <row r="1139">
      <c r="A1139" s="3">
        <v>45582.0</v>
      </c>
      <c r="B1139" s="4">
        <v>0.2916666666666667</v>
      </c>
      <c r="C1139" s="5" t="s">
        <v>40</v>
      </c>
      <c r="D1139" s="5" t="s">
        <v>454</v>
      </c>
      <c r="E1139" s="6" t="s">
        <v>215</v>
      </c>
      <c r="F1139" s="7" t="s">
        <v>216</v>
      </c>
      <c r="G1139" s="6" t="str">
        <f>VLOOKUP(E1139,dicionario!$A$1:$C1538,2,0)</f>
        <v>Pygochelidon cyanoleuca</v>
      </c>
      <c r="H1139" s="6" t="str">
        <f>VLOOKUP(E1139,dicionario!$A$1:$C1538,3,0)</f>
        <v>andorinha-pequena-de-casa</v>
      </c>
    </row>
    <row r="1140">
      <c r="A1140" s="3">
        <v>45582.0</v>
      </c>
      <c r="B1140" s="4">
        <v>0.2916666666666667</v>
      </c>
      <c r="C1140" s="5" t="s">
        <v>40</v>
      </c>
      <c r="D1140" s="5" t="s">
        <v>454</v>
      </c>
      <c r="E1140" s="6" t="s">
        <v>20</v>
      </c>
      <c r="F1140" s="7" t="s">
        <v>21</v>
      </c>
      <c r="G1140" s="6" t="str">
        <f>VLOOKUP(E1140,dicionario!$A$1:$C1539,2,0)</f>
        <v>Sicalis flaveola</v>
      </c>
      <c r="H1140" s="6" t="str">
        <f>VLOOKUP(E1140,dicionario!$A$1:$C1539,3,0)</f>
        <v>canário-da-terra</v>
      </c>
    </row>
    <row r="1141">
      <c r="A1141" s="3">
        <v>45582.0</v>
      </c>
      <c r="B1141" s="4">
        <v>0.2916666666666667</v>
      </c>
      <c r="C1141" s="5" t="s">
        <v>40</v>
      </c>
      <c r="D1141" s="5" t="s">
        <v>454</v>
      </c>
      <c r="E1141" s="6" t="s">
        <v>113</v>
      </c>
      <c r="F1141" s="7" t="s">
        <v>114</v>
      </c>
      <c r="G1141" s="6" t="str">
        <f>VLOOKUP(E1141,dicionario!$A$1:$C1540,2,0)</f>
        <v>Columbina talpacoti</v>
      </c>
      <c r="H1141" s="6" t="str">
        <f>VLOOKUP(E1141,dicionario!$A$1:$C1540,3,0)</f>
        <v>rolinha-roxa</v>
      </c>
    </row>
    <row r="1142">
      <c r="A1142" s="3">
        <v>45582.0</v>
      </c>
      <c r="B1142" s="4">
        <v>0.2923611111111111</v>
      </c>
      <c r="C1142" s="5" t="s">
        <v>40</v>
      </c>
      <c r="D1142" s="5" t="s">
        <v>454</v>
      </c>
      <c r="E1142" s="6" t="s">
        <v>72</v>
      </c>
      <c r="F1142" s="7" t="s">
        <v>73</v>
      </c>
      <c r="G1142" s="6" t="str">
        <f>VLOOKUP(E1142,dicionario!$A$1:$C1541,2,0)</f>
        <v>Thraupis palmarum</v>
      </c>
      <c r="H1142" s="6" t="str">
        <f>VLOOKUP(E1142,dicionario!$A$1:$C1541,3,0)</f>
        <v>sanhaço-do-coqueiro</v>
      </c>
    </row>
    <row r="1143">
      <c r="A1143" s="3">
        <v>45582.0</v>
      </c>
      <c r="B1143" s="4">
        <v>0.2923611111111111</v>
      </c>
      <c r="C1143" s="5" t="s">
        <v>40</v>
      </c>
      <c r="D1143" s="5" t="s">
        <v>454</v>
      </c>
      <c r="E1143" s="6" t="s">
        <v>65</v>
      </c>
      <c r="F1143" s="7" t="s">
        <v>66</v>
      </c>
      <c r="G1143" s="6" t="str">
        <f>VLOOKUP(E1143,dicionario!$A$1:$C1542,2,0)</f>
        <v>Pitangus sulphutarus</v>
      </c>
      <c r="H1143" s="6" t="str">
        <f>VLOOKUP(E1143,dicionario!$A$1:$C1542,3,0)</f>
        <v>bem-te-vi</v>
      </c>
    </row>
    <row r="1144">
      <c r="A1144" s="3">
        <v>45582.0</v>
      </c>
      <c r="B1144" s="4">
        <v>0.29305555555555557</v>
      </c>
      <c r="C1144" s="5" t="s">
        <v>40</v>
      </c>
      <c r="D1144" s="5" t="s">
        <v>454</v>
      </c>
      <c r="E1144" s="6" t="s">
        <v>18</v>
      </c>
      <c r="F1144" s="7" t="s">
        <v>219</v>
      </c>
      <c r="G1144" s="6" t="str">
        <f>VLOOKUP(E1144,dicionario!$A$1:$C1543,2,0)</f>
        <v>Xylocopa frontalis</v>
      </c>
      <c r="H1144" s="6" t="str">
        <f>VLOOKUP(E1144,dicionario!$A$1:$C1543,3,0)</f>
        <v>Mamangava; mangangá; abelha-carpinteira</v>
      </c>
    </row>
    <row r="1145">
      <c r="A1145" s="3">
        <v>45582.0</v>
      </c>
      <c r="B1145" s="4">
        <v>0.29305555555555557</v>
      </c>
      <c r="C1145" s="5" t="s">
        <v>40</v>
      </c>
      <c r="D1145" s="5" t="s">
        <v>454</v>
      </c>
      <c r="E1145" s="6" t="s">
        <v>225</v>
      </c>
      <c r="F1145" s="7" t="s">
        <v>226</v>
      </c>
      <c r="G1145" s="6" t="str">
        <f>VLOOKUP(E1145,dicionario!$A$1:$C1544,2,0)</f>
        <v>Passer domesticus</v>
      </c>
      <c r="H1145" s="6" t="str">
        <f>VLOOKUP(E1145,dicionario!$A$1:$C1544,3,0)</f>
        <v>pardal</v>
      </c>
    </row>
    <row r="1146">
      <c r="A1146" s="3">
        <v>45582.0</v>
      </c>
      <c r="B1146" s="4">
        <v>0.29375</v>
      </c>
      <c r="C1146" s="5" t="s">
        <v>40</v>
      </c>
      <c r="D1146" s="5" t="s">
        <v>454</v>
      </c>
      <c r="E1146" s="6" t="s">
        <v>111</v>
      </c>
      <c r="F1146" s="7" t="s">
        <v>112</v>
      </c>
      <c r="G1146" s="6" t="str">
        <f>VLOOKUP(E1146,dicionario!$A$1:$C1545,2,0)</f>
        <v>Trigona spinipes</v>
      </c>
      <c r="H1146" s="6" t="str">
        <f>VLOOKUP(E1146,dicionario!$A$1:$C1545,3,0)</f>
        <v>abelha-cachorro</v>
      </c>
    </row>
    <row r="1147">
      <c r="A1147" s="3">
        <v>45582.0</v>
      </c>
      <c r="B1147" s="4">
        <v>0.29375</v>
      </c>
      <c r="C1147" s="5" t="s">
        <v>40</v>
      </c>
      <c r="D1147" s="5" t="s">
        <v>454</v>
      </c>
      <c r="E1147" s="6" t="s">
        <v>343</v>
      </c>
      <c r="F1147" s="7" t="s">
        <v>192</v>
      </c>
      <c r="G1147" s="6" t="str">
        <f>VLOOKUP(E1147,dicionario!$A$1:$C1546,2,0)</f>
        <v>#N/A</v>
      </c>
      <c r="H1147" s="6" t="str">
        <f>VLOOKUP(E1147,dicionario!$A$1:$C1546,3,0)</f>
        <v>#N/A</v>
      </c>
    </row>
    <row r="1148">
      <c r="A1148" s="3">
        <v>45582.0</v>
      </c>
      <c r="B1148" s="4">
        <v>0.29444444444444445</v>
      </c>
      <c r="C1148" s="5" t="s">
        <v>40</v>
      </c>
      <c r="D1148" s="5" t="s">
        <v>454</v>
      </c>
      <c r="E1148" s="6" t="s">
        <v>109</v>
      </c>
      <c r="F1148" s="7" t="s">
        <v>110</v>
      </c>
      <c r="G1148" s="6" t="str">
        <f>VLOOKUP(E1148,dicionario!$A$1:$C1547,2,0)</f>
        <v>Tillandsia stricta</v>
      </c>
      <c r="H1148" s="6" t="str">
        <f>VLOOKUP(E1148,dicionario!$A$1:$C1547,3,0)</f>
        <v>cravo-do-mato</v>
      </c>
    </row>
    <row r="1149">
      <c r="A1149" s="3">
        <v>45582.0</v>
      </c>
      <c r="B1149" s="4">
        <v>0.29444444444444445</v>
      </c>
      <c r="C1149" s="5" t="s">
        <v>40</v>
      </c>
      <c r="D1149" s="5" t="s">
        <v>454</v>
      </c>
      <c r="E1149" s="6" t="s">
        <v>401</v>
      </c>
      <c r="F1149" s="7" t="s">
        <v>464</v>
      </c>
      <c r="G1149" s="6" t="str">
        <f>VLOOKUP(E1149,dicionario!$A$1:$C1548,2,0)</f>
        <v>Cissus verticillata</v>
      </c>
      <c r="H1149" s="6" t="str">
        <f>VLOOKUP(E1149,dicionario!$A$1:$C1548,3,0)</f>
        <v>uva-do-mato</v>
      </c>
    </row>
    <row r="1150">
      <c r="A1150" s="3">
        <v>45582.0</v>
      </c>
      <c r="B1150" s="4">
        <v>0.2951388888888889</v>
      </c>
      <c r="C1150" s="5" t="s">
        <v>40</v>
      </c>
      <c r="D1150" s="5" t="s">
        <v>454</v>
      </c>
      <c r="E1150" s="6" t="s">
        <v>213</v>
      </c>
      <c r="F1150" s="7" t="s">
        <v>214</v>
      </c>
      <c r="G1150" s="6" t="str">
        <f>VLOOKUP(E1150,dicionario!$A$1:$C1549,2,0)</f>
        <v>Myiozetetes similis</v>
      </c>
      <c r="H1150" s="6" t="str">
        <f>VLOOKUP(E1150,dicionario!$A$1:$C1549,3,0)</f>
        <v>bentevizinho-de-penacho-vermelho</v>
      </c>
    </row>
    <row r="1151">
      <c r="A1151" s="3">
        <v>45582.0</v>
      </c>
      <c r="B1151" s="4">
        <v>0.2951388888888889</v>
      </c>
      <c r="C1151" s="5" t="s">
        <v>40</v>
      </c>
      <c r="D1151" s="5" t="s">
        <v>454</v>
      </c>
      <c r="E1151" s="6" t="s">
        <v>86</v>
      </c>
      <c r="F1151" s="7" t="s">
        <v>87</v>
      </c>
      <c r="G1151" s="6" t="str">
        <f>VLOOKUP(E1151,dicionario!$A$1:$C1550,2,0)</f>
        <v>Coereba flaveola</v>
      </c>
      <c r="H1151" s="6" t="str">
        <f>VLOOKUP(E1151,dicionario!$A$1:$C1550,3,0)</f>
        <v>cambacica</v>
      </c>
    </row>
    <row r="1152">
      <c r="A1152" s="3">
        <v>45582.0</v>
      </c>
      <c r="B1152" s="4">
        <v>0.2951388888888889</v>
      </c>
      <c r="C1152" s="5" t="s">
        <v>40</v>
      </c>
      <c r="D1152" s="5" t="s">
        <v>454</v>
      </c>
      <c r="E1152" s="8" t="s">
        <v>38</v>
      </c>
      <c r="F1152" s="5" t="s">
        <v>39</v>
      </c>
      <c r="G1152" s="6" t="str">
        <f>VLOOKUP(E1152,dicionario!$A$1:$C1551,2,0)</f>
        <v>Troglodytes musculus</v>
      </c>
      <c r="H1152" s="6" t="str">
        <f>VLOOKUP(E1152,dicionario!$A$1:$C1551,3,0)</f>
        <v>curruíra</v>
      </c>
    </row>
    <row r="1153">
      <c r="A1153" s="3">
        <v>45582.0</v>
      </c>
      <c r="B1153" s="4">
        <v>0.2951388888888889</v>
      </c>
      <c r="C1153" s="5" t="s">
        <v>40</v>
      </c>
      <c r="D1153" s="5" t="s">
        <v>454</v>
      </c>
      <c r="E1153" s="6" t="s">
        <v>93</v>
      </c>
      <c r="F1153" s="7" t="s">
        <v>94</v>
      </c>
      <c r="G1153" s="6" t="str">
        <f>VLOOKUP(E1153,dicionario!$A$1:$C1552,2,0)</f>
        <v>Thraupis sayaca</v>
      </c>
      <c r="H1153" s="6" t="str">
        <f>VLOOKUP(E1153,dicionario!$A$1:$C1552,3,0)</f>
        <v>sanhaçu-cinzento</v>
      </c>
    </row>
    <row r="1154">
      <c r="A1154" s="3">
        <v>45582.0</v>
      </c>
      <c r="B1154" s="4">
        <v>0.29583333333333334</v>
      </c>
      <c r="C1154" s="5" t="s">
        <v>40</v>
      </c>
      <c r="D1154" s="5" t="s">
        <v>454</v>
      </c>
      <c r="E1154" s="6" t="s">
        <v>51</v>
      </c>
      <c r="F1154" s="7" t="s">
        <v>77</v>
      </c>
      <c r="G1154" s="6" t="str">
        <f>VLOOKUP(E1154,dicionario!$A$1:$C1553,2,0)</f>
        <v>Solenopsis</v>
      </c>
      <c r="H1154" s="6" t="str">
        <f>VLOOKUP(E1154,dicionario!$A$1:$C1553,3,0)</f>
        <v>formiga-quente; formiga-lava-pés; formiga-de-fogo</v>
      </c>
    </row>
    <row r="1155">
      <c r="A1155" s="3">
        <v>45582.0</v>
      </c>
      <c r="B1155" s="4">
        <v>0.2965277777777778</v>
      </c>
      <c r="C1155" s="5" t="s">
        <v>40</v>
      </c>
      <c r="D1155" s="5" t="s">
        <v>454</v>
      </c>
      <c r="E1155" s="6" t="s">
        <v>372</v>
      </c>
      <c r="F1155" s="7" t="s">
        <v>373</v>
      </c>
      <c r="G1155" s="6" t="str">
        <f>VLOOKUP(E1155,dicionario!$A$1:$C1554,2,0)</f>
        <v>Rupornis magnirostris</v>
      </c>
      <c r="H1155" s="6" t="str">
        <f>VLOOKUP(E1155,dicionario!$A$1:$C1554,3,0)</f>
        <v>gavião-carijó</v>
      </c>
    </row>
    <row r="1156">
      <c r="A1156" s="3">
        <v>45582.0</v>
      </c>
      <c r="B1156" s="4">
        <v>0.2972222222222222</v>
      </c>
      <c r="C1156" s="5" t="s">
        <v>40</v>
      </c>
      <c r="D1156" s="5" t="s">
        <v>454</v>
      </c>
      <c r="E1156" s="8" t="s">
        <v>46</v>
      </c>
      <c r="F1156" s="5" t="s">
        <v>47</v>
      </c>
      <c r="G1156" s="6" t="str">
        <f>VLOOKUP(E1156,dicionario!$A$1:$C1555,2,0)</f>
        <v>Chionomesa fimbriata</v>
      </c>
      <c r="H1156" s="6" t="str">
        <f>VLOOKUP(E1156,dicionario!$A$1:$C1555,3,0)</f>
        <v>beija-flor-de-garganta-verde</v>
      </c>
    </row>
    <row r="1157">
      <c r="A1157" s="3">
        <v>45582.0</v>
      </c>
      <c r="B1157" s="4">
        <v>0.2972222222222222</v>
      </c>
      <c r="C1157" s="5" t="s">
        <v>40</v>
      </c>
      <c r="D1157" s="5" t="s">
        <v>454</v>
      </c>
      <c r="E1157" s="6" t="s">
        <v>267</v>
      </c>
      <c r="F1157" s="7" t="s">
        <v>268</v>
      </c>
      <c r="G1157" s="6" t="str">
        <f>VLOOKUP(E1157,dicionario!$A$1:$C1556,2,0)</f>
        <v>Solanum americanum</v>
      </c>
      <c r="H1157" s="6" t="str">
        <f>VLOOKUP(E1157,dicionario!$A$1:$C1556,3,0)</f>
        <v>maria-pretinha</v>
      </c>
    </row>
    <row r="1158">
      <c r="A1158" s="3">
        <v>45582.0</v>
      </c>
      <c r="B1158" s="4">
        <v>0.29791666666666666</v>
      </c>
      <c r="C1158" s="5" t="s">
        <v>40</v>
      </c>
      <c r="D1158" s="5" t="s">
        <v>454</v>
      </c>
      <c r="E1158" s="6" t="s">
        <v>271</v>
      </c>
      <c r="F1158" s="7" t="s">
        <v>272</v>
      </c>
      <c r="G1158" s="6" t="str">
        <f>VLOOKUP(E1158,dicionario!$A$1:$C1557,2,0)</f>
        <v>Cyanthillium cinereum</v>
      </c>
      <c r="H1158" s="6" t="str">
        <f>VLOOKUP(E1158,dicionario!$A$1:$C1557,3,0)</f>
        <v>emília</v>
      </c>
    </row>
    <row r="1159">
      <c r="A1159" s="3">
        <v>45582.0</v>
      </c>
      <c r="B1159" s="4">
        <v>0.29791666666666666</v>
      </c>
      <c r="C1159" s="5" t="s">
        <v>40</v>
      </c>
      <c r="D1159" s="5" t="s">
        <v>454</v>
      </c>
      <c r="E1159" s="6" t="s">
        <v>465</v>
      </c>
      <c r="F1159" s="7" t="s">
        <v>466</v>
      </c>
      <c r="G1159" s="6" t="str">
        <f>VLOOKUP(E1159,dicionario!$A$1:$C1558,2,0)</f>
        <v>Solanum diphyllum</v>
      </c>
      <c r="H1159" s="6" t="str">
        <f>VLOOKUP(E1159,dicionario!$A$1:$C1558,3,0)</f>
        <v>tomatinho-amarelo</v>
      </c>
    </row>
    <row r="1160">
      <c r="A1160" s="3">
        <v>45582.0</v>
      </c>
      <c r="B1160" s="4">
        <v>0.29791666666666666</v>
      </c>
      <c r="C1160" s="5" t="s">
        <v>40</v>
      </c>
      <c r="D1160" s="5" t="s">
        <v>454</v>
      </c>
      <c r="E1160" s="6" t="s">
        <v>366</v>
      </c>
      <c r="F1160" s="7" t="s">
        <v>367</v>
      </c>
      <c r="G1160" s="6" t="str">
        <f>VLOOKUP(E1160,dicionario!$A$1:$C1559,2,0)</f>
        <v>Alternanthera ficoidea</v>
      </c>
      <c r="H1160" s="6" t="str">
        <f>VLOOKUP(E1160,dicionario!$A$1:$C1559,3,0)</f>
        <v>quebra-panela</v>
      </c>
    </row>
    <row r="1161">
      <c r="A1161" s="3">
        <v>45582.0</v>
      </c>
      <c r="B1161" s="4">
        <v>0.29791666666666666</v>
      </c>
      <c r="C1161" s="5" t="s">
        <v>40</v>
      </c>
      <c r="D1161" s="5" t="s">
        <v>454</v>
      </c>
      <c r="E1161" s="6" t="s">
        <v>467</v>
      </c>
      <c r="F1161" s="7" t="s">
        <v>468</v>
      </c>
      <c r="G1161" s="6" t="str">
        <f>VLOOKUP(E1161,dicionario!$A$1:$C1560,2,0)</f>
        <v>Eleusine indica</v>
      </c>
      <c r="H1161" s="6" t="str">
        <f>VLOOKUP(E1161,dicionario!$A$1:$C1560,3,0)</f>
        <v>capim-pé-de-galinha</v>
      </c>
    </row>
    <row r="1162">
      <c r="A1162" s="3">
        <v>45582.0</v>
      </c>
      <c r="B1162" s="4">
        <v>0.2986111111111111</v>
      </c>
      <c r="C1162" s="5" t="s">
        <v>40</v>
      </c>
      <c r="D1162" s="5" t="s">
        <v>454</v>
      </c>
      <c r="E1162" s="6" t="s">
        <v>69</v>
      </c>
      <c r="F1162" s="7" t="s">
        <v>71</v>
      </c>
      <c r="G1162" s="6" t="str">
        <f>VLOOKUP(E1162,dicionario!$A$1:$C1561,2,0)</f>
        <v>Talinum fruticosum</v>
      </c>
      <c r="H1162" s="6" t="str">
        <f>VLOOKUP(E1162,dicionario!$A$1:$C1561,3,0)</f>
        <v>beldroega-grande</v>
      </c>
    </row>
    <row r="1163">
      <c r="A1163" s="3">
        <v>45582.0</v>
      </c>
      <c r="B1163" s="4">
        <v>0.2986111111111111</v>
      </c>
      <c r="C1163" s="5" t="s">
        <v>40</v>
      </c>
      <c r="D1163" s="5" t="s">
        <v>454</v>
      </c>
      <c r="E1163" s="6" t="s">
        <v>154</v>
      </c>
      <c r="F1163" s="7" t="s">
        <v>155</v>
      </c>
      <c r="G1163" s="6" t="str">
        <f>VLOOKUP(E1163,dicionario!$A$1:$C1562,2,0)</f>
        <v>Cyperus rotundus</v>
      </c>
      <c r="H1163" s="6" t="str">
        <f>VLOOKUP(E1163,dicionario!$A$1:$C1562,3,0)</f>
        <v>tiririca</v>
      </c>
    </row>
    <row r="1164">
      <c r="A1164" s="3">
        <v>45582.0</v>
      </c>
      <c r="B1164" s="4">
        <v>0.2986111111111111</v>
      </c>
      <c r="C1164" s="5" t="s">
        <v>40</v>
      </c>
      <c r="D1164" s="5" t="s">
        <v>454</v>
      </c>
      <c r="E1164" s="6" t="s">
        <v>286</v>
      </c>
      <c r="F1164" s="7" t="s">
        <v>287</v>
      </c>
      <c r="G1164" s="6" t="str">
        <f>VLOOKUP(E1164,dicionario!$A$1:$C1563,2,0)</f>
        <v>Setaria parviflora</v>
      </c>
      <c r="H1164" s="6" t="str">
        <f>VLOOKUP(E1164,dicionario!$A$1:$C1563,3,0)</f>
        <v>capim-rabo-de-raposa</v>
      </c>
    </row>
    <row r="1165">
      <c r="A1165" s="3">
        <v>45582.0</v>
      </c>
      <c r="B1165" s="4">
        <v>0.2986111111111111</v>
      </c>
      <c r="C1165" s="5" t="s">
        <v>40</v>
      </c>
      <c r="D1165" s="5" t="s">
        <v>454</v>
      </c>
      <c r="E1165" s="6" t="s">
        <v>425</v>
      </c>
      <c r="F1165" s="7" t="s">
        <v>426</v>
      </c>
      <c r="G1165" s="6" t="str">
        <f>VLOOKUP(E1165,dicionario!$A$1:$C1564,2,0)</f>
        <v>Digitaria insularis</v>
      </c>
      <c r="H1165" s="6" t="str">
        <f>VLOOKUP(E1165,dicionario!$A$1:$C1564,3,0)</f>
        <v>capim-amargoso</v>
      </c>
    </row>
    <row r="1166">
      <c r="A1166" s="3">
        <v>45582.0</v>
      </c>
      <c r="B1166" s="4">
        <v>0.2986111111111111</v>
      </c>
      <c r="C1166" s="5" t="s">
        <v>40</v>
      </c>
      <c r="D1166" s="5" t="s">
        <v>454</v>
      </c>
      <c r="E1166" s="6" t="s">
        <v>378</v>
      </c>
      <c r="F1166" s="7" t="s">
        <v>205</v>
      </c>
      <c r="G1166" s="6" t="str">
        <f>VLOOKUP(E1166,dicionario!$A$1:$C1565,2,0)</f>
        <v>Polistes</v>
      </c>
      <c r="H1166" s="6" t="str">
        <f>VLOOKUP(E1166,dicionario!$A$1:$C1565,3,0)</f>
        <v>marimbondo</v>
      </c>
    </row>
    <row r="1167">
      <c r="A1167" s="3">
        <v>45582.0</v>
      </c>
      <c r="B1167" s="4">
        <v>0.2986111111111111</v>
      </c>
      <c r="C1167" s="5" t="s">
        <v>40</v>
      </c>
      <c r="D1167" s="5" t="s">
        <v>454</v>
      </c>
      <c r="E1167" s="6" t="s">
        <v>288</v>
      </c>
      <c r="F1167" s="7" t="s">
        <v>289</v>
      </c>
      <c r="G1167" s="6" t="str">
        <f>VLOOKUP(E1167,dicionario!$A$1:$C1566,2,0)</f>
        <v>Phyllanthus tenellus</v>
      </c>
      <c r="H1167" s="6" t="str">
        <f>VLOOKUP(E1167,dicionario!$A$1:$C1566,3,0)</f>
        <v>quebra-pedra</v>
      </c>
    </row>
    <row r="1168">
      <c r="A1168" s="3">
        <v>45582.0</v>
      </c>
      <c r="B1168" s="4">
        <v>0.2986111111111111</v>
      </c>
      <c r="C1168" s="5" t="s">
        <v>40</v>
      </c>
      <c r="D1168" s="5" t="s">
        <v>454</v>
      </c>
      <c r="E1168" s="6" t="s">
        <v>296</v>
      </c>
      <c r="F1168" s="7" t="s">
        <v>297</v>
      </c>
      <c r="G1168" s="6" t="str">
        <f>VLOOKUP(E1168,dicionario!$A$1:$C1567,2,0)</f>
        <v>Richardia brasiliensis</v>
      </c>
      <c r="H1168" s="6" t="str">
        <f>VLOOKUP(E1168,dicionario!$A$1:$C1567,3,0)</f>
        <v>poaia-branca</v>
      </c>
    </row>
    <row r="1169">
      <c r="A1169" s="3">
        <v>45582.0</v>
      </c>
      <c r="B1169" s="4">
        <v>0.2986111111111111</v>
      </c>
      <c r="C1169" s="5" t="s">
        <v>40</v>
      </c>
      <c r="D1169" s="5" t="s">
        <v>454</v>
      </c>
      <c r="E1169" s="6" t="s">
        <v>469</v>
      </c>
      <c r="F1169" s="7" t="s">
        <v>470</v>
      </c>
      <c r="G1169" s="6" t="str">
        <f>VLOOKUP(E1169,dicionario!$A$1:$C1568,2,0)</f>
        <v>#N/A</v>
      </c>
      <c r="H1169" s="6" t="str">
        <f>VLOOKUP(E1169,dicionario!$A$1:$C1568,3,0)</f>
        <v>#N/A</v>
      </c>
    </row>
    <row r="1170">
      <c r="A1170" s="3">
        <v>45582.0</v>
      </c>
      <c r="B1170" s="4">
        <v>0.29930555555555555</v>
      </c>
      <c r="C1170" s="5" t="s">
        <v>40</v>
      </c>
      <c r="D1170" s="5" t="s">
        <v>454</v>
      </c>
      <c r="E1170" s="6" t="s">
        <v>471</v>
      </c>
      <c r="F1170" s="7" t="s">
        <v>472</v>
      </c>
      <c r="G1170" s="6" t="str">
        <f>VLOOKUP(E1170,dicionario!$A$1:$C1569,2,0)</f>
        <v>Sida acuta</v>
      </c>
      <c r="H1170" s="6" t="str">
        <f>VLOOKUP(E1170,dicionario!$A$1:$C1569,3,0)</f>
        <v>reloginho</v>
      </c>
    </row>
    <row r="1171">
      <c r="A1171" s="3">
        <v>45582.0</v>
      </c>
      <c r="B1171" s="4">
        <v>0.30277777777777776</v>
      </c>
      <c r="C1171" s="5" t="s">
        <v>50</v>
      </c>
      <c r="D1171" s="5" t="s">
        <v>454</v>
      </c>
      <c r="E1171" s="6" t="s">
        <v>177</v>
      </c>
      <c r="F1171" s="7" t="s">
        <v>178</v>
      </c>
      <c r="G1171" s="6" t="str">
        <f>VLOOKUP(E1171,dicionario!$A$1:$C1570,2,0)</f>
        <v>Elaenia flavogaster</v>
      </c>
      <c r="H1171" s="6" t="str">
        <f>VLOOKUP(E1171,dicionario!$A$1:$C1570,3,0)</f>
        <v>guaracava-de-barriga-amarela</v>
      </c>
    </row>
    <row r="1172">
      <c r="A1172" s="3">
        <v>45582.0</v>
      </c>
      <c r="B1172" s="4">
        <v>0.30277777777777776</v>
      </c>
      <c r="C1172" s="5" t="s">
        <v>50</v>
      </c>
      <c r="D1172" s="5" t="s">
        <v>454</v>
      </c>
      <c r="E1172" s="6" t="s">
        <v>88</v>
      </c>
      <c r="F1172" s="7" t="s">
        <v>89</v>
      </c>
      <c r="G1172" s="6" t="str">
        <f>VLOOKUP(E1172,dicionario!$A$1:$C1571,2,0)</f>
        <v>Tyrannus melancolichus</v>
      </c>
      <c r="H1172" s="6" t="str">
        <f>VLOOKUP(E1172,dicionario!$A$1:$C1571,3,0)</f>
        <v>suiriri</v>
      </c>
    </row>
    <row r="1173">
      <c r="A1173" s="3">
        <v>45582.0</v>
      </c>
      <c r="B1173" s="4">
        <v>0.30277777777777776</v>
      </c>
      <c r="C1173" s="5" t="s">
        <v>50</v>
      </c>
      <c r="D1173" s="5" t="s">
        <v>454</v>
      </c>
      <c r="E1173" s="6" t="s">
        <v>175</v>
      </c>
      <c r="F1173" s="7" t="s">
        <v>176</v>
      </c>
      <c r="G1173" s="6" t="str">
        <f>VLOOKUP(E1173,dicionario!$A$1:$C1572,2,0)</f>
        <v>Turdus leucomelas</v>
      </c>
      <c r="H1173" s="6" t="str">
        <f>VLOOKUP(E1173,dicionario!$A$1:$C1572,3,0)</f>
        <v>sabiá-barranco</v>
      </c>
    </row>
    <row r="1174">
      <c r="A1174" s="3">
        <v>45582.0</v>
      </c>
      <c r="B1174" s="4">
        <v>0.3034722222222222</v>
      </c>
      <c r="C1174" s="5" t="s">
        <v>50</v>
      </c>
      <c r="D1174" s="5" t="s">
        <v>454</v>
      </c>
      <c r="E1174" s="6" t="s">
        <v>22</v>
      </c>
      <c r="F1174" s="7" t="s">
        <v>97</v>
      </c>
      <c r="G1174" s="6" t="str">
        <f>VLOOKUP(E1174,dicionario!$A$1:$C1573,2,0)</f>
        <v>Zenaida auriculata</v>
      </c>
      <c r="H1174" s="6" t="str">
        <f>VLOOKUP(E1174,dicionario!$A$1:$C1573,3,0)</f>
        <v>pomba-de-bando; avoante</v>
      </c>
    </row>
    <row r="1175">
      <c r="A1175" s="3">
        <v>45582.0</v>
      </c>
      <c r="B1175" s="4">
        <v>0.3034722222222222</v>
      </c>
      <c r="C1175" s="5" t="s">
        <v>50</v>
      </c>
      <c r="D1175" s="5" t="s">
        <v>454</v>
      </c>
      <c r="E1175" s="6" t="s">
        <v>122</v>
      </c>
      <c r="F1175" s="7" t="s">
        <v>123</v>
      </c>
      <c r="G1175" s="6" t="str">
        <f>VLOOKUP(E1175,dicionario!$A$1:$C1574,2,0)</f>
        <v>Todirostrum cinereum</v>
      </c>
      <c r="H1175" s="6" t="str">
        <f>VLOOKUP(E1175,dicionario!$A$1:$C1574,3,0)</f>
        <v>ferreirinho-relógio</v>
      </c>
    </row>
    <row r="1176">
      <c r="A1176" s="3">
        <v>45582.0</v>
      </c>
      <c r="B1176" s="4">
        <v>0.30416666666666664</v>
      </c>
      <c r="C1176" s="5" t="s">
        <v>50</v>
      </c>
      <c r="D1176" s="5" t="s">
        <v>454</v>
      </c>
      <c r="E1176" s="6" t="s">
        <v>20</v>
      </c>
      <c r="F1176" s="7" t="s">
        <v>21</v>
      </c>
      <c r="G1176" s="6" t="str">
        <f>VLOOKUP(E1176,dicionario!$A$1:$C1575,2,0)</f>
        <v>Sicalis flaveola</v>
      </c>
      <c r="H1176" s="6" t="str">
        <f>VLOOKUP(E1176,dicionario!$A$1:$C1575,3,0)</f>
        <v>canário-da-terra</v>
      </c>
    </row>
    <row r="1177">
      <c r="A1177" s="3">
        <v>45582.0</v>
      </c>
      <c r="B1177" s="4">
        <v>0.30416666666666664</v>
      </c>
      <c r="C1177" s="5" t="s">
        <v>50</v>
      </c>
      <c r="D1177" s="5" t="s">
        <v>454</v>
      </c>
      <c r="E1177" s="6" t="s">
        <v>31</v>
      </c>
      <c r="F1177" s="7" t="s">
        <v>32</v>
      </c>
      <c r="G1177" s="6" t="str">
        <f>VLOOKUP(E1177,dicionario!$A$1:$C1576,2,0)</f>
        <v>Furnarius rufus</v>
      </c>
      <c r="H1177" s="6" t="str">
        <f>VLOOKUP(E1177,dicionario!$A$1:$C1576,3,0)</f>
        <v>joão-de-barro</v>
      </c>
    </row>
    <row r="1178">
      <c r="A1178" s="3">
        <v>45582.0</v>
      </c>
      <c r="B1178" s="4">
        <v>0.30416666666666664</v>
      </c>
      <c r="C1178" s="5" t="s">
        <v>50</v>
      </c>
      <c r="D1178" s="5" t="s">
        <v>454</v>
      </c>
      <c r="E1178" s="6" t="s">
        <v>225</v>
      </c>
      <c r="F1178" s="7" t="s">
        <v>226</v>
      </c>
      <c r="G1178" s="6" t="str">
        <f>VLOOKUP(E1178,dicionario!$A$1:$C1577,2,0)</f>
        <v>Passer domesticus</v>
      </c>
      <c r="H1178" s="6" t="str">
        <f>VLOOKUP(E1178,dicionario!$A$1:$C1577,3,0)</f>
        <v>pardal</v>
      </c>
    </row>
    <row r="1179">
      <c r="A1179" s="3">
        <v>45582.0</v>
      </c>
      <c r="B1179" s="4">
        <v>0.30416666666666664</v>
      </c>
      <c r="C1179" s="5" t="s">
        <v>50</v>
      </c>
      <c r="D1179" s="5" t="s">
        <v>454</v>
      </c>
      <c r="E1179" s="6" t="s">
        <v>65</v>
      </c>
      <c r="F1179" s="7" t="s">
        <v>66</v>
      </c>
      <c r="G1179" s="6" t="str">
        <f>VLOOKUP(E1179,dicionario!$A$1:$C1578,2,0)</f>
        <v>Pitangus sulphutarus</v>
      </c>
      <c r="H1179" s="6" t="str">
        <f>VLOOKUP(E1179,dicionario!$A$1:$C1578,3,0)</f>
        <v>bem-te-vi</v>
      </c>
    </row>
    <row r="1180">
      <c r="A1180" s="3">
        <v>45582.0</v>
      </c>
      <c r="B1180" s="4">
        <v>0.30486111111111114</v>
      </c>
      <c r="C1180" s="5" t="s">
        <v>50</v>
      </c>
      <c r="D1180" s="5" t="s">
        <v>454</v>
      </c>
      <c r="E1180" s="6" t="s">
        <v>86</v>
      </c>
      <c r="F1180" s="7" t="s">
        <v>87</v>
      </c>
      <c r="G1180" s="6" t="str">
        <f>VLOOKUP(E1180,dicionario!$A$1:$C1579,2,0)</f>
        <v>Coereba flaveola</v>
      </c>
      <c r="H1180" s="6" t="str">
        <f>VLOOKUP(E1180,dicionario!$A$1:$C1579,3,0)</f>
        <v>cambacica</v>
      </c>
    </row>
    <row r="1181">
      <c r="A1181" s="3">
        <v>45582.0</v>
      </c>
      <c r="B1181" s="4">
        <v>0.30486111111111114</v>
      </c>
      <c r="C1181" s="5" t="s">
        <v>50</v>
      </c>
      <c r="D1181" s="5" t="s">
        <v>454</v>
      </c>
      <c r="E1181" s="6" t="s">
        <v>132</v>
      </c>
      <c r="F1181" s="7" t="s">
        <v>133</v>
      </c>
      <c r="G1181" s="6" t="str">
        <f>VLOOKUP(E1181,dicionario!$A$1:$C1580,2,0)</f>
        <v>Euphonia chlorotica</v>
      </c>
      <c r="H1181" s="6" t="str">
        <f>VLOOKUP(E1181,dicionario!$A$1:$C1580,3,0)</f>
        <v>fim-fim</v>
      </c>
    </row>
    <row r="1182">
      <c r="A1182" s="3">
        <v>45582.0</v>
      </c>
      <c r="B1182" s="4">
        <v>0.30486111111111114</v>
      </c>
      <c r="C1182" s="5" t="s">
        <v>50</v>
      </c>
      <c r="D1182" s="5" t="s">
        <v>454</v>
      </c>
      <c r="E1182" s="6" t="s">
        <v>271</v>
      </c>
      <c r="F1182" s="7" t="s">
        <v>272</v>
      </c>
      <c r="G1182" s="6" t="str">
        <f>VLOOKUP(E1182,dicionario!$A$1:$C1581,2,0)</f>
        <v>Cyanthillium cinereum</v>
      </c>
      <c r="H1182" s="6" t="str">
        <f>VLOOKUP(E1182,dicionario!$A$1:$C1581,3,0)</f>
        <v>emília</v>
      </c>
    </row>
    <row r="1183">
      <c r="A1183" s="3">
        <v>45582.0</v>
      </c>
      <c r="B1183" s="4">
        <v>0.30486111111111114</v>
      </c>
      <c r="C1183" s="5" t="s">
        <v>50</v>
      </c>
      <c r="D1183" s="5" t="s">
        <v>454</v>
      </c>
      <c r="E1183" s="6" t="s">
        <v>181</v>
      </c>
      <c r="F1183" s="7" t="s">
        <v>182</v>
      </c>
      <c r="G1183" s="6" t="str">
        <f>VLOOKUP(E1183,dicionario!$A$1:$C1582,2,0)</f>
        <v>#N/A</v>
      </c>
      <c r="H1183" s="6" t="str">
        <f>VLOOKUP(E1183,dicionario!$A$1:$C1582,3,0)</f>
        <v>#N/A</v>
      </c>
    </row>
    <row r="1184">
      <c r="A1184" s="3">
        <v>45582.0</v>
      </c>
      <c r="B1184" s="4">
        <v>0.3055555555555556</v>
      </c>
      <c r="C1184" s="5" t="s">
        <v>50</v>
      </c>
      <c r="D1184" s="5" t="s">
        <v>454</v>
      </c>
      <c r="E1184" s="6" t="s">
        <v>253</v>
      </c>
      <c r="F1184" s="7" t="s">
        <v>254</v>
      </c>
      <c r="G1184" s="6" t="str">
        <f>VLOOKUP(E1184,dicionario!$A$1:$C1583,2,0)</f>
        <v>Panicum maximum</v>
      </c>
      <c r="H1184" s="6" t="str">
        <f>VLOOKUP(E1184,dicionario!$A$1:$C1583,3,0)</f>
        <v>capim-colonião</v>
      </c>
    </row>
    <row r="1185">
      <c r="A1185" s="3">
        <v>45582.0</v>
      </c>
      <c r="B1185" s="4">
        <v>0.3055555555555556</v>
      </c>
      <c r="C1185" s="5" t="s">
        <v>50</v>
      </c>
      <c r="D1185" s="5" t="s">
        <v>454</v>
      </c>
      <c r="E1185" s="6" t="s">
        <v>29</v>
      </c>
      <c r="F1185" s="7" t="s">
        <v>30</v>
      </c>
      <c r="G1185" s="6" t="str">
        <f>VLOOKUP(E1185,dicionario!$A$1:$C1584,2,0)</f>
        <v>Pycnoscelus surinamensis</v>
      </c>
      <c r="H1185" s="6" t="str">
        <f>VLOOKUP(E1185,dicionario!$A$1:$C1584,3,0)</f>
        <v>Barata-de-jardim</v>
      </c>
    </row>
    <row r="1186">
      <c r="A1186" s="3">
        <v>45582.0</v>
      </c>
      <c r="B1186" s="4">
        <v>0.3055555555555556</v>
      </c>
      <c r="C1186" s="5" t="s">
        <v>50</v>
      </c>
      <c r="D1186" s="5" t="s">
        <v>454</v>
      </c>
      <c r="E1186" s="8" t="s">
        <v>405</v>
      </c>
      <c r="F1186" s="5" t="s">
        <v>418</v>
      </c>
      <c r="G1186" s="6" t="str">
        <f>VLOOKUP(E1186,dicionario!$A$1:$C1585,2,0)</f>
        <v>Ectatomma</v>
      </c>
      <c r="H1186" s="6" t="str">
        <f>VLOOKUP(E1186,dicionario!$A$1:$C1585,3,0)</f>
        <v>formiga-preta</v>
      </c>
    </row>
    <row r="1187">
      <c r="A1187" s="3">
        <v>45582.0</v>
      </c>
      <c r="B1187" s="4">
        <v>0.30625</v>
      </c>
      <c r="C1187" s="5" t="s">
        <v>50</v>
      </c>
      <c r="D1187" s="5" t="s">
        <v>454</v>
      </c>
      <c r="E1187" s="6" t="s">
        <v>473</v>
      </c>
      <c r="F1187" s="7" t="s">
        <v>474</v>
      </c>
      <c r="G1187" s="6" t="str">
        <f>VLOOKUP(E1187,dicionario!$A$1:$C1586,2,0)</f>
        <v>Turdus rufiventris</v>
      </c>
      <c r="H1187" s="6" t="str">
        <f>VLOOKUP(E1187,dicionario!$A$1:$C1586,3,0)</f>
        <v>sabiá-laranjeira</v>
      </c>
    </row>
    <row r="1188">
      <c r="A1188" s="3">
        <v>45582.0</v>
      </c>
      <c r="B1188" s="4">
        <v>0.30625</v>
      </c>
      <c r="C1188" s="5" t="s">
        <v>50</v>
      </c>
      <c r="D1188" s="5" t="s">
        <v>454</v>
      </c>
      <c r="E1188" s="6" t="s">
        <v>338</v>
      </c>
      <c r="F1188" s="7" t="s">
        <v>238</v>
      </c>
      <c r="G1188" s="6" t="str">
        <f>VLOOKUP(E1188,dicionario!$A$1:$C1587,2,0)</f>
        <v>Atta</v>
      </c>
      <c r="H1188" s="6" t="str">
        <f>VLOOKUP(E1188,dicionario!$A$1:$C1587,3,0)</f>
        <v>saúva</v>
      </c>
    </row>
    <row r="1189">
      <c r="A1189" s="3">
        <v>45582.0</v>
      </c>
      <c r="B1189" s="4">
        <v>0.30625</v>
      </c>
      <c r="C1189" s="5" t="s">
        <v>50</v>
      </c>
      <c r="D1189" s="5" t="s">
        <v>454</v>
      </c>
      <c r="E1189" s="6" t="s">
        <v>53</v>
      </c>
      <c r="F1189" s="7" t="s">
        <v>314</v>
      </c>
      <c r="G1189" s="6" t="str">
        <f>VLOOKUP(E1189,dicionario!$A$1:$C1588,2,0)</f>
        <v>Turnera subulata</v>
      </c>
      <c r="H1189" s="6" t="str">
        <f>VLOOKUP(E1189,dicionario!$A$1:$C1588,3,0)</f>
        <v>xanana</v>
      </c>
    </row>
    <row r="1190">
      <c r="A1190" s="3">
        <v>45582.0</v>
      </c>
      <c r="B1190" s="4">
        <v>0.30625</v>
      </c>
      <c r="C1190" s="5" t="s">
        <v>50</v>
      </c>
      <c r="D1190" s="5" t="s">
        <v>454</v>
      </c>
      <c r="E1190" s="6" t="s">
        <v>148</v>
      </c>
      <c r="F1190" s="7" t="s">
        <v>149</v>
      </c>
      <c r="G1190" s="6" t="str">
        <f>VLOOKUP(E1190,dicionario!$A$1:$C1589,2,0)</f>
        <v>Parthenium hysterophorus</v>
      </c>
      <c r="H1190" s="6" t="str">
        <f>VLOOKUP(E1190,dicionario!$A$1:$C1589,3,0)</f>
        <v>losna-branca</v>
      </c>
    </row>
    <row r="1191">
      <c r="A1191" s="3">
        <v>45582.0</v>
      </c>
      <c r="B1191" s="4">
        <v>0.30694444444444446</v>
      </c>
      <c r="C1191" s="5" t="s">
        <v>50</v>
      </c>
      <c r="D1191" s="5" t="s">
        <v>454</v>
      </c>
      <c r="E1191" s="6" t="s">
        <v>353</v>
      </c>
      <c r="F1191" s="7" t="s">
        <v>354</v>
      </c>
      <c r="G1191" s="6" t="str">
        <f>VLOOKUP(E1191,dicionario!$A$1:$C1590,2,0)</f>
        <v>Desmodium incanum</v>
      </c>
      <c r="H1191" s="6" t="str">
        <f>VLOOKUP(E1191,dicionario!$A$1:$C1590,3,0)</f>
        <v>pega-pega</v>
      </c>
    </row>
    <row r="1192">
      <c r="A1192" s="3">
        <v>45582.0</v>
      </c>
      <c r="B1192" s="4">
        <v>0.30694444444444446</v>
      </c>
      <c r="C1192" s="5" t="s">
        <v>50</v>
      </c>
      <c r="D1192" s="5" t="s">
        <v>454</v>
      </c>
      <c r="E1192" s="6" t="s">
        <v>150</v>
      </c>
      <c r="F1192" s="7" t="s">
        <v>151</v>
      </c>
      <c r="G1192" s="6" t="str">
        <f>VLOOKUP(E1192,dicionario!$A$1:$C1591,2,0)</f>
        <v>Amaranthus viridis</v>
      </c>
      <c r="H1192" s="6" t="str">
        <f>VLOOKUP(E1192,dicionario!$A$1:$C1591,3,0)</f>
        <v>caruru-de-mancha</v>
      </c>
    </row>
    <row r="1193">
      <c r="A1193" s="3">
        <v>45582.0</v>
      </c>
      <c r="B1193" s="4">
        <v>0.30694444444444446</v>
      </c>
      <c r="C1193" s="5" t="s">
        <v>50</v>
      </c>
      <c r="D1193" s="5" t="s">
        <v>454</v>
      </c>
      <c r="E1193" s="6" t="s">
        <v>227</v>
      </c>
      <c r="F1193" s="7" t="s">
        <v>228</v>
      </c>
      <c r="G1193" s="6" t="str">
        <f>VLOOKUP(E1193,dicionario!$A$1:$C1592,2,0)</f>
        <v>Indigofera hirsuta</v>
      </c>
      <c r="H1193" s="6" t="str">
        <f>VLOOKUP(E1193,dicionario!$A$1:$C1592,3,0)</f>
        <v>anileira</v>
      </c>
    </row>
    <row r="1194">
      <c r="A1194" s="3">
        <v>45582.0</v>
      </c>
      <c r="B1194" s="4">
        <v>0.30694444444444446</v>
      </c>
      <c r="C1194" s="5" t="s">
        <v>50</v>
      </c>
      <c r="D1194" s="5" t="s">
        <v>454</v>
      </c>
      <c r="E1194" s="6" t="s">
        <v>135</v>
      </c>
      <c r="F1194" s="7" t="s">
        <v>136</v>
      </c>
      <c r="G1194" s="6" t="str">
        <f>VLOOKUP(E1194,dicionario!$A$1:$C1593,2,0)</f>
        <v>Tridax procumbens</v>
      </c>
      <c r="H1194" s="6" t="str">
        <f>VLOOKUP(E1194,dicionario!$A$1:$C1593,3,0)</f>
        <v>erva-de-touro</v>
      </c>
    </row>
    <row r="1195">
      <c r="A1195" s="3">
        <v>45582.0</v>
      </c>
      <c r="B1195" s="4">
        <v>0.30694444444444446</v>
      </c>
      <c r="C1195" s="5" t="s">
        <v>50</v>
      </c>
      <c r="D1195" s="5" t="s">
        <v>454</v>
      </c>
      <c r="E1195" s="6" t="s">
        <v>471</v>
      </c>
      <c r="F1195" s="7" t="s">
        <v>472</v>
      </c>
      <c r="G1195" s="6" t="str">
        <f>VLOOKUP(E1195,dicionario!$A$1:$C1594,2,0)</f>
        <v>Sida acuta</v>
      </c>
      <c r="H1195" s="6" t="str">
        <f>VLOOKUP(E1195,dicionario!$A$1:$C1594,3,0)</f>
        <v>reloginho</v>
      </c>
    </row>
    <row r="1196">
      <c r="A1196" s="3">
        <v>45582.0</v>
      </c>
      <c r="B1196" s="4">
        <v>0.30694444444444446</v>
      </c>
      <c r="C1196" s="5" t="s">
        <v>50</v>
      </c>
      <c r="D1196" s="5" t="s">
        <v>454</v>
      </c>
      <c r="E1196" s="6" t="s">
        <v>57</v>
      </c>
      <c r="F1196" s="7" t="s">
        <v>475</v>
      </c>
      <c r="G1196" s="6" t="str">
        <f>VLOOKUP(E1196,dicionario!$A$1:$C1595,2,0)</f>
        <v>Juliformia</v>
      </c>
      <c r="H1196" s="6" t="str">
        <f>VLOOKUP(E1196,dicionario!$A$1:$C1595,3,0)</f>
        <v>gongolo; maria-café</v>
      </c>
    </row>
    <row r="1197">
      <c r="A1197" s="3">
        <v>45582.0</v>
      </c>
      <c r="B1197" s="4">
        <v>0.3076388888888889</v>
      </c>
      <c r="C1197" s="5" t="s">
        <v>50</v>
      </c>
      <c r="D1197" s="5" t="s">
        <v>454</v>
      </c>
      <c r="E1197" s="6" t="s">
        <v>337</v>
      </c>
      <c r="F1197" s="7" t="s">
        <v>201</v>
      </c>
      <c r="G1197" s="6" t="str">
        <f>VLOOKUP(E1197,dicionario!$A$1:$C1596,2,0)</f>
        <v>#N/A</v>
      </c>
      <c r="H1197" s="6" t="str">
        <f>VLOOKUP(E1197,dicionario!$A$1:$C1596,3,0)</f>
        <v>#N/A</v>
      </c>
    </row>
    <row r="1198">
      <c r="A1198" s="3">
        <v>45582.0</v>
      </c>
      <c r="B1198" s="4">
        <v>0.3076388888888889</v>
      </c>
      <c r="C1198" s="5" t="s">
        <v>50</v>
      </c>
      <c r="D1198" s="5" t="s">
        <v>454</v>
      </c>
      <c r="E1198" s="6" t="s">
        <v>69</v>
      </c>
      <c r="F1198" s="7" t="s">
        <v>71</v>
      </c>
      <c r="G1198" s="6" t="str">
        <f>VLOOKUP(E1198,dicionario!$A$1:$C1597,2,0)</f>
        <v>Talinum fruticosum</v>
      </c>
      <c r="H1198" s="6" t="str">
        <f>VLOOKUP(E1198,dicionario!$A$1:$C1597,3,0)</f>
        <v>beldroega-grande</v>
      </c>
    </row>
    <row r="1199">
      <c r="A1199" s="3">
        <v>45582.0</v>
      </c>
      <c r="B1199" s="4">
        <v>0.3076388888888889</v>
      </c>
      <c r="C1199" s="5" t="s">
        <v>50</v>
      </c>
      <c r="D1199" s="5" t="s">
        <v>454</v>
      </c>
      <c r="E1199" s="6" t="s">
        <v>195</v>
      </c>
      <c r="F1199" s="7" t="s">
        <v>196</v>
      </c>
      <c r="G1199" s="6" t="str">
        <f>VLOOKUP(E1199,dicionario!$A$1:$C1598,2,0)</f>
        <v>Priva lappulacea</v>
      </c>
      <c r="H1199" s="6" t="str">
        <f>VLOOKUP(E1199,dicionario!$A$1:$C1598,3,0)</f>
        <v>carrapicho</v>
      </c>
    </row>
    <row r="1200">
      <c r="A1200" s="3">
        <v>45582.0</v>
      </c>
      <c r="B1200" s="4">
        <v>0.3076388888888889</v>
      </c>
      <c r="C1200" s="5" t="s">
        <v>50</v>
      </c>
      <c r="D1200" s="5" t="s">
        <v>454</v>
      </c>
      <c r="E1200" s="6" t="s">
        <v>251</v>
      </c>
      <c r="F1200" s="7" t="s">
        <v>252</v>
      </c>
      <c r="G1200" s="6" t="str">
        <f>VLOOKUP(E1200,dicionario!$A$1:$C1599,2,0)</f>
        <v>Struthanthus flexicaulis</v>
      </c>
      <c r="H1200" s="6" t="str">
        <f>VLOOKUP(E1200,dicionario!$A$1:$C1599,3,0)</f>
        <v>erva-de-passarinho</v>
      </c>
    </row>
    <row r="1201">
      <c r="A1201" s="3">
        <v>45582.0</v>
      </c>
      <c r="B1201" s="4">
        <v>0.30833333333333335</v>
      </c>
      <c r="C1201" s="5" t="s">
        <v>50</v>
      </c>
      <c r="D1201" s="5" t="s">
        <v>454</v>
      </c>
      <c r="E1201" s="6" t="s">
        <v>460</v>
      </c>
      <c r="F1201" s="7" t="s">
        <v>142</v>
      </c>
      <c r="G1201" s="6" t="str">
        <f>VLOOKUP(E1201,dicionario!$A$1:$C1600,2,0)</f>
        <v>#N/A</v>
      </c>
      <c r="H1201" s="6" t="str">
        <f>VLOOKUP(E1201,dicionario!$A$1:$C1600,3,0)</f>
        <v>#N/A</v>
      </c>
    </row>
    <row r="1202">
      <c r="A1202" s="3">
        <v>45582.0</v>
      </c>
      <c r="B1202" s="4">
        <v>0.3090277777777778</v>
      </c>
      <c r="C1202" s="5" t="s">
        <v>50</v>
      </c>
      <c r="D1202" s="5" t="s">
        <v>454</v>
      </c>
      <c r="E1202" s="8" t="s">
        <v>38</v>
      </c>
      <c r="F1202" s="5" t="s">
        <v>39</v>
      </c>
      <c r="G1202" s="6" t="str">
        <f>VLOOKUP(E1202,dicionario!$A$1:$C1601,2,0)</f>
        <v>Troglodytes musculus</v>
      </c>
      <c r="H1202" s="6" t="str">
        <f>VLOOKUP(E1202,dicionario!$A$1:$C1601,3,0)</f>
        <v>curruíra</v>
      </c>
    </row>
    <row r="1203">
      <c r="A1203" s="3">
        <v>45582.0</v>
      </c>
      <c r="B1203" s="4">
        <v>0.3090277777777778</v>
      </c>
      <c r="C1203" s="5" t="s">
        <v>50</v>
      </c>
      <c r="D1203" s="5" t="s">
        <v>454</v>
      </c>
      <c r="E1203" s="6" t="s">
        <v>111</v>
      </c>
      <c r="F1203" s="7" t="s">
        <v>112</v>
      </c>
      <c r="G1203" s="6" t="str">
        <f>VLOOKUP(E1203,dicionario!$A$1:$C1602,2,0)</f>
        <v>Trigona spinipes</v>
      </c>
      <c r="H1203" s="6" t="str">
        <f>VLOOKUP(E1203,dicionario!$A$1:$C1602,3,0)</f>
        <v>abelha-cachorro</v>
      </c>
    </row>
    <row r="1204">
      <c r="A1204" s="3">
        <v>45582.0</v>
      </c>
      <c r="B1204" s="4">
        <v>0.3090277777777778</v>
      </c>
      <c r="C1204" s="5" t="s">
        <v>50</v>
      </c>
      <c r="D1204" s="5" t="s">
        <v>454</v>
      </c>
      <c r="E1204" s="6" t="s">
        <v>88</v>
      </c>
      <c r="F1204" s="7" t="s">
        <v>89</v>
      </c>
      <c r="G1204" s="6" t="str">
        <f>VLOOKUP(E1204,dicionario!$A$1:$C1603,2,0)</f>
        <v>Tyrannus melancolichus</v>
      </c>
      <c r="H1204" s="6" t="str">
        <f>VLOOKUP(E1204,dicionario!$A$1:$C1603,3,0)</f>
        <v>suiriri</v>
      </c>
    </row>
    <row r="1205">
      <c r="A1205" s="3">
        <v>45582.0</v>
      </c>
      <c r="B1205" s="4">
        <v>0.30972222222222223</v>
      </c>
      <c r="C1205" s="5" t="s">
        <v>59</v>
      </c>
      <c r="D1205" s="5" t="s">
        <v>454</v>
      </c>
      <c r="E1205" s="6" t="s">
        <v>22</v>
      </c>
      <c r="F1205" s="7" t="s">
        <v>97</v>
      </c>
      <c r="G1205" s="6" t="str">
        <f>VLOOKUP(E1205,dicionario!$A$1:$C1604,2,0)</f>
        <v>Zenaida auriculata</v>
      </c>
      <c r="H1205" s="6" t="str">
        <f>VLOOKUP(E1205,dicionario!$A$1:$C1604,3,0)</f>
        <v>pomba-de-bando; avoante</v>
      </c>
    </row>
    <row r="1206">
      <c r="A1206" s="3">
        <v>45582.0</v>
      </c>
      <c r="B1206" s="4">
        <v>0.3104166666666667</v>
      </c>
      <c r="C1206" s="5" t="s">
        <v>59</v>
      </c>
      <c r="D1206" s="5" t="s">
        <v>454</v>
      </c>
      <c r="E1206" s="6" t="s">
        <v>18</v>
      </c>
      <c r="F1206" s="7" t="s">
        <v>219</v>
      </c>
      <c r="G1206" s="6" t="str">
        <f>VLOOKUP(E1206,dicionario!$A$1:$C1605,2,0)</f>
        <v>Xylocopa frontalis</v>
      </c>
      <c r="H1206" s="6" t="str">
        <f>VLOOKUP(E1206,dicionario!$A$1:$C1605,3,0)</f>
        <v>Mamangava; mangangá; abelha-carpinteira</v>
      </c>
    </row>
    <row r="1207">
      <c r="A1207" s="3">
        <v>45582.0</v>
      </c>
      <c r="B1207" s="4">
        <v>0.3104166666666667</v>
      </c>
      <c r="C1207" s="5" t="s">
        <v>59</v>
      </c>
      <c r="D1207" s="5" t="s">
        <v>454</v>
      </c>
      <c r="E1207" s="6" t="s">
        <v>14</v>
      </c>
      <c r="F1207" s="7" t="s">
        <v>15</v>
      </c>
      <c r="G1207" s="6" t="str">
        <f>VLOOKUP(E1207,dicionario!$A$1:$C1606,2,0)</f>
        <v>Spermacoce verticillata</v>
      </c>
      <c r="H1207" s="6" t="str">
        <f>VLOOKUP(E1207,dicionario!$A$1:$C1606,3,0)</f>
        <v>vassourinha-de-botão</v>
      </c>
    </row>
    <row r="1208">
      <c r="A1208" s="3">
        <v>45582.0</v>
      </c>
      <c r="B1208" s="4">
        <v>0.3104166666666667</v>
      </c>
      <c r="C1208" s="5" t="s">
        <v>59</v>
      </c>
      <c r="D1208" s="5" t="s">
        <v>454</v>
      </c>
      <c r="E1208" s="6" t="s">
        <v>53</v>
      </c>
      <c r="F1208" s="7" t="s">
        <v>314</v>
      </c>
      <c r="G1208" s="6" t="str">
        <f>VLOOKUP(E1208,dicionario!$A$1:$C1607,2,0)</f>
        <v>Turnera subulata</v>
      </c>
      <c r="H1208" s="6" t="str">
        <f>VLOOKUP(E1208,dicionario!$A$1:$C1607,3,0)</f>
        <v>xanana</v>
      </c>
    </row>
    <row r="1209">
      <c r="A1209" s="3">
        <v>45582.0</v>
      </c>
      <c r="B1209" s="4">
        <v>0.3104166666666667</v>
      </c>
      <c r="C1209" s="5" t="s">
        <v>59</v>
      </c>
      <c r="D1209" s="5" t="s">
        <v>454</v>
      </c>
      <c r="E1209" s="8" t="s">
        <v>298</v>
      </c>
      <c r="F1209" s="5" t="s">
        <v>299</v>
      </c>
      <c r="G1209" s="6" t="str">
        <f>VLOOKUP(E1209,dicionario!$A$1:$C1608,2,0)</f>
        <v>Alysicarpus vaginalis</v>
      </c>
      <c r="H1209" s="6" t="str">
        <f>VLOOKUP(E1209,dicionario!$A$1:$C1608,3,0)</f>
        <v/>
      </c>
    </row>
    <row r="1210">
      <c r="A1210" s="3">
        <v>45582.0</v>
      </c>
      <c r="B1210" s="4">
        <v>0.3104166666666667</v>
      </c>
      <c r="C1210" s="5" t="s">
        <v>59</v>
      </c>
      <c r="D1210" s="5" t="s">
        <v>454</v>
      </c>
      <c r="E1210" s="6" t="s">
        <v>20</v>
      </c>
      <c r="F1210" s="7" t="s">
        <v>21</v>
      </c>
      <c r="G1210" s="6" t="str">
        <f>VLOOKUP(E1210,dicionario!$A$1:$C1609,2,0)</f>
        <v>Sicalis flaveola</v>
      </c>
      <c r="H1210" s="6" t="str">
        <f>VLOOKUP(E1210,dicionario!$A$1:$C1609,3,0)</f>
        <v>canário-da-terra</v>
      </c>
    </row>
    <row r="1211">
      <c r="A1211" s="3">
        <v>45582.0</v>
      </c>
      <c r="B1211" s="4">
        <v>0.3111111111111111</v>
      </c>
      <c r="C1211" s="5" t="s">
        <v>59</v>
      </c>
      <c r="D1211" s="5" t="s">
        <v>454</v>
      </c>
      <c r="E1211" s="6" t="s">
        <v>111</v>
      </c>
      <c r="F1211" s="7" t="s">
        <v>112</v>
      </c>
      <c r="G1211" s="6" t="str">
        <f>VLOOKUP(E1211,dicionario!$A$1:$C1610,2,0)</f>
        <v>Trigona spinipes</v>
      </c>
      <c r="H1211" s="6" t="str">
        <f>VLOOKUP(E1211,dicionario!$A$1:$C1610,3,0)</f>
        <v>abelha-cachorro</v>
      </c>
    </row>
    <row r="1212">
      <c r="A1212" s="3">
        <v>45582.0</v>
      </c>
      <c r="B1212" s="4">
        <v>0.31180555555555556</v>
      </c>
      <c r="C1212" s="5" t="s">
        <v>59</v>
      </c>
      <c r="D1212" s="5" t="s">
        <v>454</v>
      </c>
      <c r="E1212" s="6" t="s">
        <v>476</v>
      </c>
      <c r="F1212" s="7" t="s">
        <v>359</v>
      </c>
      <c r="G1212" s="6" t="str">
        <f>VLOOKUP(E1212,dicionario!$A$1:$C1611,2,0)</f>
        <v>#N/A</v>
      </c>
      <c r="H1212" s="6" t="str">
        <f>VLOOKUP(E1212,dicionario!$A$1:$C1611,3,0)</f>
        <v>#N/A</v>
      </c>
    </row>
    <row r="1213">
      <c r="A1213" s="3">
        <v>45582.0</v>
      </c>
      <c r="B1213" s="4">
        <v>0.31180555555555556</v>
      </c>
      <c r="C1213" s="5" t="s">
        <v>59</v>
      </c>
      <c r="D1213" s="5" t="s">
        <v>454</v>
      </c>
      <c r="E1213" s="6" t="s">
        <v>271</v>
      </c>
      <c r="F1213" s="7" t="s">
        <v>272</v>
      </c>
      <c r="G1213" s="6" t="str">
        <f>VLOOKUP(E1213,dicionario!$A$1:$C1612,2,0)</f>
        <v>Cyanthillium cinereum</v>
      </c>
      <c r="H1213" s="6" t="str">
        <f>VLOOKUP(E1213,dicionario!$A$1:$C1612,3,0)</f>
        <v>emília</v>
      </c>
    </row>
    <row r="1214">
      <c r="A1214" s="3">
        <v>45582.0</v>
      </c>
      <c r="B1214" s="4">
        <v>0.3125</v>
      </c>
      <c r="C1214" s="5" t="s">
        <v>59</v>
      </c>
      <c r="D1214" s="5" t="s">
        <v>454</v>
      </c>
      <c r="E1214" s="6" t="s">
        <v>239</v>
      </c>
      <c r="F1214" s="7" t="s">
        <v>240</v>
      </c>
      <c r="G1214" s="6" t="str">
        <f>VLOOKUP(E1214,dicionario!$A$1:$C1613,2,0)</f>
        <v>Gomphrena celosioides</v>
      </c>
      <c r="H1214" s="6" t="str">
        <f>VLOOKUP(E1214,dicionario!$A$1:$C1613,3,0)</f>
        <v>perpétua-branca</v>
      </c>
    </row>
    <row r="1215">
      <c r="A1215" s="3">
        <v>45582.0</v>
      </c>
      <c r="B1215" s="4">
        <v>0.3125</v>
      </c>
      <c r="C1215" s="5" t="s">
        <v>59</v>
      </c>
      <c r="D1215" s="5" t="s">
        <v>454</v>
      </c>
      <c r="E1215" s="6" t="s">
        <v>286</v>
      </c>
      <c r="F1215" s="7" t="s">
        <v>287</v>
      </c>
      <c r="G1215" s="6" t="str">
        <f>VLOOKUP(E1215,dicionario!$A$1:$C1614,2,0)</f>
        <v>Setaria parviflora</v>
      </c>
      <c r="H1215" s="6" t="str">
        <f>VLOOKUP(E1215,dicionario!$A$1:$C1614,3,0)</f>
        <v>capim-rabo-de-raposa</v>
      </c>
    </row>
    <row r="1216">
      <c r="A1216" s="3">
        <v>45582.0</v>
      </c>
      <c r="B1216" s="4">
        <v>0.3125</v>
      </c>
      <c r="C1216" s="5" t="s">
        <v>59</v>
      </c>
      <c r="D1216" s="5" t="s">
        <v>454</v>
      </c>
      <c r="E1216" s="6" t="s">
        <v>253</v>
      </c>
      <c r="F1216" s="7" t="s">
        <v>254</v>
      </c>
      <c r="G1216" s="6" t="str">
        <f>VLOOKUP(E1216,dicionario!$A$1:$C1615,2,0)</f>
        <v>Panicum maximum</v>
      </c>
      <c r="H1216" s="6" t="str">
        <f>VLOOKUP(E1216,dicionario!$A$1:$C1615,3,0)</f>
        <v>capim-colonião</v>
      </c>
    </row>
    <row r="1217">
      <c r="A1217" s="3">
        <v>45582.0</v>
      </c>
      <c r="B1217" s="4">
        <v>0.3125</v>
      </c>
      <c r="C1217" s="5" t="s">
        <v>59</v>
      </c>
      <c r="D1217" s="5" t="s">
        <v>454</v>
      </c>
      <c r="E1217" s="6" t="s">
        <v>143</v>
      </c>
      <c r="F1217" s="7" t="s">
        <v>63</v>
      </c>
      <c r="G1217" s="6" t="str">
        <f>VLOOKUP(E1217,dicionario!$A$1:$C1616,2,0)</f>
        <v>Polybia</v>
      </c>
      <c r="H1217" s="6" t="str">
        <f>VLOOKUP(E1217,dicionario!$A$1:$C1616,3,0)</f>
        <v>vespa</v>
      </c>
    </row>
    <row r="1218">
      <c r="A1218" s="3">
        <v>45582.0</v>
      </c>
      <c r="B1218" s="4">
        <v>0.31319444444444444</v>
      </c>
      <c r="C1218" s="5" t="s">
        <v>59</v>
      </c>
      <c r="D1218" s="5" t="s">
        <v>454</v>
      </c>
      <c r="E1218" s="6" t="s">
        <v>132</v>
      </c>
      <c r="F1218" s="7" t="s">
        <v>133</v>
      </c>
      <c r="G1218" s="6" t="str">
        <f>VLOOKUP(E1218,dicionario!$A$1:$C1617,2,0)</f>
        <v>Euphonia chlorotica</v>
      </c>
      <c r="H1218" s="6" t="str">
        <f>VLOOKUP(E1218,dicionario!$A$1:$C1617,3,0)</f>
        <v>fim-fim</v>
      </c>
    </row>
    <row r="1219">
      <c r="A1219" s="3">
        <v>45582.0</v>
      </c>
      <c r="B1219" s="4">
        <v>0.31319444444444444</v>
      </c>
      <c r="C1219" s="5" t="s">
        <v>59</v>
      </c>
      <c r="D1219" s="5" t="s">
        <v>454</v>
      </c>
      <c r="E1219" s="6" t="s">
        <v>440</v>
      </c>
      <c r="F1219" s="7" t="s">
        <v>441</v>
      </c>
      <c r="G1219" s="6" t="str">
        <f>VLOOKUP(E1219,dicionario!$A$1:$C1618,2,0)</f>
        <v>#N/A</v>
      </c>
      <c r="H1219" s="6" t="str">
        <f>VLOOKUP(E1219,dicionario!$A$1:$C1618,3,0)</f>
        <v>#N/A</v>
      </c>
    </row>
    <row r="1220">
      <c r="A1220" s="3">
        <v>45582.0</v>
      </c>
      <c r="B1220" s="4">
        <v>0.3138888888888889</v>
      </c>
      <c r="C1220" s="5" t="s">
        <v>59</v>
      </c>
      <c r="D1220" s="5" t="s">
        <v>454</v>
      </c>
      <c r="E1220" s="6" t="s">
        <v>431</v>
      </c>
      <c r="F1220" s="7" t="s">
        <v>414</v>
      </c>
      <c r="G1220" s="6" t="str">
        <f>VLOOKUP(E1220,dicionario!$A$1:$C1619,2,0)</f>
        <v>#N/A</v>
      </c>
      <c r="H1220" s="6" t="str">
        <f>VLOOKUP(E1220,dicionario!$A$1:$C1619,3,0)</f>
        <v>#N/A</v>
      </c>
    </row>
    <row r="1221">
      <c r="A1221" s="3">
        <v>45582.0</v>
      </c>
      <c r="B1221" s="4">
        <v>0.3138888888888889</v>
      </c>
      <c r="C1221" s="5" t="s">
        <v>59</v>
      </c>
      <c r="D1221" s="5" t="s">
        <v>454</v>
      </c>
      <c r="E1221" s="6" t="s">
        <v>471</v>
      </c>
      <c r="F1221" s="7" t="s">
        <v>472</v>
      </c>
      <c r="G1221" s="6" t="str">
        <f>VLOOKUP(E1221,dicionario!$A$1:$C1620,2,0)</f>
        <v>Sida acuta</v>
      </c>
      <c r="H1221" s="6" t="str">
        <f>VLOOKUP(E1221,dicionario!$A$1:$C1620,3,0)</f>
        <v>reloginho</v>
      </c>
    </row>
    <row r="1222">
      <c r="A1222" s="3">
        <v>45582.0</v>
      </c>
      <c r="B1222" s="4">
        <v>0.3145833333333333</v>
      </c>
      <c r="C1222" s="5" t="s">
        <v>59</v>
      </c>
      <c r="D1222" s="5" t="s">
        <v>454</v>
      </c>
      <c r="E1222" s="6" t="s">
        <v>477</v>
      </c>
      <c r="F1222" s="7" t="s">
        <v>261</v>
      </c>
      <c r="G1222" s="6" t="str">
        <f>VLOOKUP(E1222,dicionario!$A$1:$C1621,2,0)</f>
        <v>#N/A</v>
      </c>
      <c r="H1222" s="6" t="str">
        <f>VLOOKUP(E1222,dicionario!$A$1:$C1621,3,0)</f>
        <v>#N/A</v>
      </c>
    </row>
    <row r="1223">
      <c r="A1223" s="3">
        <v>45582.0</v>
      </c>
      <c r="B1223" s="4">
        <v>0.31527777777777777</v>
      </c>
      <c r="C1223" s="5" t="s">
        <v>59</v>
      </c>
      <c r="D1223" s="5" t="s">
        <v>454</v>
      </c>
      <c r="E1223" s="6" t="s">
        <v>148</v>
      </c>
      <c r="F1223" s="7" t="s">
        <v>149</v>
      </c>
      <c r="G1223" s="6" t="str">
        <f>VLOOKUP(E1223,dicionario!$A$1:$C1622,2,0)</f>
        <v>Parthenium hysterophorus</v>
      </c>
      <c r="H1223" s="6" t="str">
        <f>VLOOKUP(E1223,dicionario!$A$1:$C1622,3,0)</f>
        <v>losna-branca</v>
      </c>
    </row>
    <row r="1224">
      <c r="A1224" s="3">
        <v>45582.0</v>
      </c>
      <c r="B1224" s="4">
        <v>0.3159722222222222</v>
      </c>
      <c r="C1224" s="5" t="s">
        <v>59</v>
      </c>
      <c r="D1224" s="5" t="s">
        <v>454</v>
      </c>
      <c r="E1224" s="6" t="s">
        <v>163</v>
      </c>
      <c r="F1224" s="7" t="s">
        <v>164</v>
      </c>
      <c r="G1224" s="6" t="str">
        <f>VLOOKUP(E1224,dicionario!$A$1:$C1623,2,0)</f>
        <v>Coragyps atratus</v>
      </c>
      <c r="H1224" s="6" t="str">
        <f>VLOOKUP(E1224,dicionario!$A$1:$C1623,3,0)</f>
        <v>urubu-de-cabeça-preta</v>
      </c>
    </row>
    <row r="1225">
      <c r="A1225" s="3">
        <v>45582.0</v>
      </c>
      <c r="B1225" s="4">
        <v>0.3159722222222222</v>
      </c>
      <c r="C1225" s="5" t="s">
        <v>59</v>
      </c>
      <c r="D1225" s="5" t="s">
        <v>454</v>
      </c>
      <c r="E1225" s="6" t="s">
        <v>478</v>
      </c>
      <c r="F1225" s="7" t="s">
        <v>479</v>
      </c>
      <c r="G1225" s="6" t="str">
        <f>VLOOKUP(E1225,dicionario!$A$1:$C1624,2,0)</f>
        <v>Cathartes burrovianus</v>
      </c>
      <c r="H1225" s="6" t="str">
        <f>VLOOKUP(E1225,dicionario!$A$1:$C1624,3,0)</f>
        <v>urubu-de-cabeça-amarela</v>
      </c>
    </row>
    <row r="1226">
      <c r="A1226" s="3">
        <v>45582.0</v>
      </c>
      <c r="B1226" s="4">
        <v>0.3159722222222222</v>
      </c>
      <c r="C1226" s="5" t="s">
        <v>59</v>
      </c>
      <c r="D1226" s="5" t="s">
        <v>454</v>
      </c>
      <c r="E1226" s="6" t="s">
        <v>372</v>
      </c>
      <c r="F1226" s="7" t="s">
        <v>373</v>
      </c>
      <c r="G1226" s="6" t="str">
        <f>VLOOKUP(E1226,dicionario!$A$1:$C1625,2,0)</f>
        <v>Rupornis magnirostris</v>
      </c>
      <c r="H1226" s="6" t="str">
        <f>VLOOKUP(E1226,dicionario!$A$1:$C1625,3,0)</f>
        <v>gavião-carijó</v>
      </c>
    </row>
    <row r="1227">
      <c r="A1227" s="3">
        <v>45582.0</v>
      </c>
      <c r="B1227" s="4">
        <v>0.3159722222222222</v>
      </c>
      <c r="C1227" s="5" t="s">
        <v>59</v>
      </c>
      <c r="D1227" s="5" t="s">
        <v>454</v>
      </c>
      <c r="E1227" s="8" t="s">
        <v>298</v>
      </c>
      <c r="F1227" s="5" t="s">
        <v>299</v>
      </c>
      <c r="G1227" s="6" t="str">
        <f>VLOOKUP(E1227,dicionario!$A$1:$C1626,2,0)</f>
        <v>Alysicarpus vaginalis</v>
      </c>
      <c r="H1227" s="6" t="str">
        <f>VLOOKUP(E1227,dicionario!$A$1:$C1626,3,0)</f>
        <v/>
      </c>
    </row>
    <row r="1228">
      <c r="A1228" s="3">
        <v>45582.0</v>
      </c>
      <c r="B1228" s="4">
        <v>0.31805555555555554</v>
      </c>
      <c r="C1228" s="5" t="s">
        <v>64</v>
      </c>
      <c r="D1228" s="5" t="s">
        <v>454</v>
      </c>
      <c r="E1228" s="6" t="s">
        <v>86</v>
      </c>
      <c r="F1228" s="7" t="s">
        <v>87</v>
      </c>
      <c r="G1228" s="6" t="str">
        <f>VLOOKUP(E1228,dicionario!$A$1:$C1627,2,0)</f>
        <v>Coereba flaveola</v>
      </c>
      <c r="H1228" s="6" t="str">
        <f>VLOOKUP(E1228,dicionario!$A$1:$C1627,3,0)</f>
        <v>cambacica</v>
      </c>
    </row>
    <row r="1229">
      <c r="A1229" s="3">
        <v>45582.0</v>
      </c>
      <c r="B1229" s="4">
        <v>0.31805555555555554</v>
      </c>
      <c r="C1229" s="5" t="s">
        <v>64</v>
      </c>
      <c r="D1229" s="5" t="s">
        <v>454</v>
      </c>
      <c r="E1229" s="6" t="s">
        <v>139</v>
      </c>
      <c r="F1229" s="7" t="s">
        <v>140</v>
      </c>
      <c r="G1229" s="6" t="str">
        <f>VLOOKUP(E1229,dicionario!$A$1:$C1628,2,0)</f>
        <v>Tropidurus torquatus</v>
      </c>
      <c r="H1229" s="6" t="str">
        <f>VLOOKUP(E1229,dicionario!$A$1:$C1628,3,0)</f>
        <v>calango; tropiduro-comum</v>
      </c>
    </row>
    <row r="1230">
      <c r="A1230" s="3">
        <v>45582.0</v>
      </c>
      <c r="B1230" s="4">
        <v>0.31805555555555554</v>
      </c>
      <c r="C1230" s="5" t="s">
        <v>64</v>
      </c>
      <c r="D1230" s="5" t="s">
        <v>454</v>
      </c>
      <c r="E1230" s="6" t="s">
        <v>83</v>
      </c>
      <c r="F1230" s="7" t="s">
        <v>84</v>
      </c>
      <c r="G1230" s="6" t="str">
        <f>VLOOKUP(E1230,dicionario!$A$1:$C1629,2,0)</f>
        <v>Anartia jatrophae</v>
      </c>
      <c r="H1230" s="6" t="str">
        <f>VLOOKUP(E1230,dicionario!$A$1:$C1629,3,0)</f>
        <v>borboleta-pavão-branco</v>
      </c>
    </row>
    <row r="1231">
      <c r="A1231" s="3">
        <v>45582.0</v>
      </c>
      <c r="B1231" s="4">
        <v>0.31805555555555554</v>
      </c>
      <c r="C1231" s="5" t="s">
        <v>64</v>
      </c>
      <c r="D1231" s="5" t="s">
        <v>454</v>
      </c>
      <c r="E1231" s="6" t="s">
        <v>394</v>
      </c>
      <c r="F1231" s="7" t="s">
        <v>395</v>
      </c>
      <c r="G1231" s="6" t="str">
        <f>VLOOKUP(E1231,dicionario!$A$1:$C1630,2,0)</f>
        <v>#N/A</v>
      </c>
      <c r="H1231" s="6" t="str">
        <f>VLOOKUP(E1231,dicionario!$A$1:$C1630,3,0)</f>
        <v>#N/A</v>
      </c>
    </row>
    <row r="1232">
      <c r="A1232" s="3">
        <v>45582.0</v>
      </c>
      <c r="B1232" s="4">
        <v>0.31805555555555554</v>
      </c>
      <c r="C1232" s="5" t="s">
        <v>64</v>
      </c>
      <c r="D1232" s="5" t="s">
        <v>454</v>
      </c>
      <c r="E1232" s="6" t="s">
        <v>65</v>
      </c>
      <c r="F1232" s="7" t="s">
        <v>66</v>
      </c>
      <c r="G1232" s="6" t="str">
        <f>VLOOKUP(E1232,dicionario!$A$1:$C1631,2,0)</f>
        <v>Pitangus sulphutarus</v>
      </c>
      <c r="H1232" s="6" t="str">
        <f>VLOOKUP(E1232,dicionario!$A$1:$C1631,3,0)</f>
        <v>bem-te-vi</v>
      </c>
    </row>
    <row r="1233">
      <c r="A1233" s="3">
        <v>45582.0</v>
      </c>
      <c r="B1233" s="4">
        <v>0.31875</v>
      </c>
      <c r="C1233" s="5" t="s">
        <v>64</v>
      </c>
      <c r="D1233" s="5" t="s">
        <v>454</v>
      </c>
      <c r="E1233" s="6" t="s">
        <v>253</v>
      </c>
      <c r="F1233" s="7" t="s">
        <v>254</v>
      </c>
      <c r="G1233" s="6" t="str">
        <f>VLOOKUP(E1233,dicionario!$A$1:$C1632,2,0)</f>
        <v>Panicum maximum</v>
      </c>
      <c r="H1233" s="6" t="str">
        <f>VLOOKUP(E1233,dicionario!$A$1:$C1632,3,0)</f>
        <v>capim-colonião</v>
      </c>
    </row>
    <row r="1234">
      <c r="A1234" s="3">
        <v>45582.0</v>
      </c>
      <c r="B1234" s="4">
        <v>0.31875</v>
      </c>
      <c r="C1234" s="5" t="s">
        <v>64</v>
      </c>
      <c r="D1234" s="5" t="s">
        <v>454</v>
      </c>
      <c r="E1234" s="6" t="s">
        <v>460</v>
      </c>
      <c r="F1234" s="7" t="s">
        <v>142</v>
      </c>
      <c r="G1234" s="6" t="str">
        <f>VLOOKUP(E1234,dicionario!$A$1:$C1633,2,0)</f>
        <v>#N/A</v>
      </c>
      <c r="H1234" s="6" t="str">
        <f>VLOOKUP(E1234,dicionario!$A$1:$C1633,3,0)</f>
        <v>#N/A</v>
      </c>
    </row>
    <row r="1235">
      <c r="A1235" s="3">
        <v>45582.0</v>
      </c>
      <c r="B1235" s="4">
        <v>0.31875</v>
      </c>
      <c r="C1235" s="5" t="s">
        <v>64</v>
      </c>
      <c r="D1235" s="5" t="s">
        <v>454</v>
      </c>
      <c r="E1235" s="6" t="s">
        <v>271</v>
      </c>
      <c r="F1235" s="7" t="s">
        <v>272</v>
      </c>
      <c r="G1235" s="6" t="str">
        <f>VLOOKUP(E1235,dicionario!$A$1:$C1634,2,0)</f>
        <v>Cyanthillium cinereum</v>
      </c>
      <c r="H1235" s="6" t="str">
        <f>VLOOKUP(E1235,dicionario!$A$1:$C1634,3,0)</f>
        <v>emília</v>
      </c>
    </row>
    <row r="1236">
      <c r="A1236" s="3">
        <v>45582.0</v>
      </c>
      <c r="B1236" s="4">
        <v>0.31875</v>
      </c>
      <c r="C1236" s="5" t="s">
        <v>64</v>
      </c>
      <c r="D1236" s="5" t="s">
        <v>454</v>
      </c>
      <c r="E1236" s="6" t="s">
        <v>150</v>
      </c>
      <c r="F1236" s="7" t="s">
        <v>151</v>
      </c>
      <c r="G1236" s="6" t="str">
        <f>VLOOKUP(E1236,dicionario!$A$1:$C1635,2,0)</f>
        <v>Amaranthus viridis</v>
      </c>
      <c r="H1236" s="6" t="str">
        <f>VLOOKUP(E1236,dicionario!$A$1:$C1635,3,0)</f>
        <v>caruru-de-mancha</v>
      </c>
    </row>
    <row r="1237">
      <c r="A1237" s="3">
        <v>45582.0</v>
      </c>
      <c r="B1237" s="4">
        <v>0.31875</v>
      </c>
      <c r="C1237" s="5" t="s">
        <v>64</v>
      </c>
      <c r="D1237" s="5" t="s">
        <v>454</v>
      </c>
      <c r="E1237" s="6" t="s">
        <v>154</v>
      </c>
      <c r="F1237" s="7" t="s">
        <v>155</v>
      </c>
      <c r="G1237" s="6" t="str">
        <f>VLOOKUP(E1237,dicionario!$A$1:$C1636,2,0)</f>
        <v>Cyperus rotundus</v>
      </c>
      <c r="H1237" s="6" t="str">
        <f>VLOOKUP(E1237,dicionario!$A$1:$C1636,3,0)</f>
        <v>tiririca</v>
      </c>
    </row>
    <row r="1238">
      <c r="A1238" s="3">
        <v>45582.0</v>
      </c>
      <c r="B1238" s="4">
        <v>0.3194444444444444</v>
      </c>
      <c r="C1238" s="5" t="s">
        <v>64</v>
      </c>
      <c r="D1238" s="5" t="s">
        <v>454</v>
      </c>
      <c r="E1238" s="6" t="s">
        <v>328</v>
      </c>
      <c r="F1238" s="7" t="s">
        <v>329</v>
      </c>
      <c r="G1238" s="6" t="str">
        <f>VLOOKUP(E1238,dicionario!$A$1:$C1637,2,0)</f>
        <v>Rivina humilis</v>
      </c>
      <c r="H1238" s="6" t="str">
        <f>VLOOKUP(E1238,dicionario!$A$1:$C1637,3,0)</f>
        <v>baga-de-sangue</v>
      </c>
    </row>
    <row r="1239">
      <c r="A1239" s="3">
        <v>45582.0</v>
      </c>
      <c r="B1239" s="4">
        <v>0.3194444444444444</v>
      </c>
      <c r="C1239" s="5" t="s">
        <v>64</v>
      </c>
      <c r="D1239" s="5" t="s">
        <v>454</v>
      </c>
      <c r="E1239" s="8" t="s">
        <v>38</v>
      </c>
      <c r="F1239" s="5" t="s">
        <v>39</v>
      </c>
      <c r="G1239" s="6" t="str">
        <f>VLOOKUP(E1239,dicionario!$A$1:$C1638,2,0)</f>
        <v>Troglodytes musculus</v>
      </c>
      <c r="H1239" s="6" t="str">
        <f>VLOOKUP(E1239,dicionario!$A$1:$C1638,3,0)</f>
        <v>curruíra</v>
      </c>
    </row>
    <row r="1240">
      <c r="A1240" s="3">
        <v>45582.0</v>
      </c>
      <c r="B1240" s="4">
        <v>0.3194444444444444</v>
      </c>
      <c r="C1240" s="5" t="s">
        <v>64</v>
      </c>
      <c r="D1240" s="5" t="s">
        <v>454</v>
      </c>
      <c r="E1240" s="6" t="s">
        <v>72</v>
      </c>
      <c r="F1240" s="7" t="s">
        <v>73</v>
      </c>
      <c r="G1240" s="6" t="str">
        <f>VLOOKUP(E1240,dicionario!$A$1:$C1639,2,0)</f>
        <v>Thraupis palmarum</v>
      </c>
      <c r="H1240" s="6" t="str">
        <f>VLOOKUP(E1240,dicionario!$A$1:$C1639,3,0)</f>
        <v>sanhaço-do-coqueiro</v>
      </c>
    </row>
    <row r="1241">
      <c r="A1241" s="3">
        <v>45582.0</v>
      </c>
      <c r="B1241" s="4">
        <v>0.3194444444444444</v>
      </c>
      <c r="C1241" s="5" t="s">
        <v>64</v>
      </c>
      <c r="D1241" s="5" t="s">
        <v>454</v>
      </c>
      <c r="E1241" s="6" t="s">
        <v>143</v>
      </c>
      <c r="F1241" s="7" t="s">
        <v>63</v>
      </c>
      <c r="G1241" s="6" t="str">
        <f>VLOOKUP(E1241,dicionario!$A$1:$C1640,2,0)</f>
        <v>Polybia</v>
      </c>
      <c r="H1241" s="6" t="str">
        <f>VLOOKUP(E1241,dicionario!$A$1:$C1640,3,0)</f>
        <v>vespa</v>
      </c>
    </row>
    <row r="1242">
      <c r="A1242" s="3">
        <v>45582.0</v>
      </c>
      <c r="B1242" s="4">
        <v>0.32013888888888886</v>
      </c>
      <c r="C1242" s="5" t="s">
        <v>64</v>
      </c>
      <c r="D1242" s="5" t="s">
        <v>454</v>
      </c>
      <c r="E1242" s="6" t="s">
        <v>286</v>
      </c>
      <c r="F1242" s="7" t="s">
        <v>287</v>
      </c>
      <c r="G1242" s="6" t="str">
        <f>VLOOKUP(E1242,dicionario!$A$1:$C1641,2,0)</f>
        <v>Setaria parviflora</v>
      </c>
      <c r="H1242" s="6" t="str">
        <f>VLOOKUP(E1242,dicionario!$A$1:$C1641,3,0)</f>
        <v>capim-rabo-de-raposa</v>
      </c>
    </row>
    <row r="1243">
      <c r="A1243" s="3">
        <v>45582.0</v>
      </c>
      <c r="B1243" s="4">
        <v>0.32013888888888886</v>
      </c>
      <c r="C1243" s="5" t="s">
        <v>64</v>
      </c>
      <c r="D1243" s="5" t="s">
        <v>454</v>
      </c>
      <c r="E1243" s="6" t="s">
        <v>368</v>
      </c>
      <c r="F1243" s="7" t="s">
        <v>35</v>
      </c>
      <c r="G1243" s="6" t="str">
        <f>VLOOKUP(E1243,dicionario!$A$1:$C1642,2,0)</f>
        <v>#N/A</v>
      </c>
      <c r="H1243" s="6" t="str">
        <f>VLOOKUP(E1243,dicionario!$A$1:$C1642,3,0)</f>
        <v>#N/A</v>
      </c>
    </row>
    <row r="1244">
      <c r="A1244" s="3">
        <v>45582.0</v>
      </c>
      <c r="B1244" s="4">
        <v>0.32083333333333336</v>
      </c>
      <c r="C1244" s="5" t="s">
        <v>64</v>
      </c>
      <c r="D1244" s="5" t="s">
        <v>454</v>
      </c>
      <c r="E1244" s="6" t="s">
        <v>175</v>
      </c>
      <c r="F1244" s="7" t="s">
        <v>176</v>
      </c>
      <c r="G1244" s="6" t="str">
        <f>VLOOKUP(E1244,dicionario!$A$1:$C1643,2,0)</f>
        <v>Turdus leucomelas</v>
      </c>
      <c r="H1244" s="6" t="str">
        <f>VLOOKUP(E1244,dicionario!$A$1:$C1643,3,0)</f>
        <v>sabiá-barranco</v>
      </c>
    </row>
    <row r="1245">
      <c r="A1245" s="3">
        <v>45582.0</v>
      </c>
      <c r="B1245" s="4">
        <v>0.32083333333333336</v>
      </c>
      <c r="C1245" s="5" t="s">
        <v>64</v>
      </c>
      <c r="D1245" s="5" t="s">
        <v>454</v>
      </c>
      <c r="E1245" s="6" t="s">
        <v>177</v>
      </c>
      <c r="F1245" s="7" t="s">
        <v>178</v>
      </c>
      <c r="G1245" s="6" t="str">
        <f>VLOOKUP(E1245,dicionario!$A$1:$C1644,2,0)</f>
        <v>Elaenia flavogaster</v>
      </c>
      <c r="H1245" s="6" t="str">
        <f>VLOOKUP(E1245,dicionario!$A$1:$C1644,3,0)</f>
        <v>guaracava-de-barriga-amarela</v>
      </c>
    </row>
    <row r="1246">
      <c r="A1246" s="3">
        <v>45582.0</v>
      </c>
      <c r="B1246" s="4">
        <v>0.32083333333333336</v>
      </c>
      <c r="C1246" s="5" t="s">
        <v>64</v>
      </c>
      <c r="D1246" s="5" t="s">
        <v>454</v>
      </c>
      <c r="E1246" s="6" t="s">
        <v>122</v>
      </c>
      <c r="F1246" s="7" t="s">
        <v>123</v>
      </c>
      <c r="G1246" s="6" t="str">
        <f>VLOOKUP(E1246,dicionario!$A$1:$C1645,2,0)</f>
        <v>Todirostrum cinereum</v>
      </c>
      <c r="H1246" s="6" t="str">
        <f>VLOOKUP(E1246,dicionario!$A$1:$C1645,3,0)</f>
        <v>ferreirinho-relógio</v>
      </c>
    </row>
    <row r="1247">
      <c r="A1247" s="3">
        <v>45582.0</v>
      </c>
      <c r="B1247" s="4">
        <v>0.3215277777777778</v>
      </c>
      <c r="C1247" s="5" t="s">
        <v>64</v>
      </c>
      <c r="D1247" s="5" t="s">
        <v>454</v>
      </c>
      <c r="E1247" s="6" t="s">
        <v>113</v>
      </c>
      <c r="F1247" s="7" t="s">
        <v>114</v>
      </c>
      <c r="G1247" s="6" t="str">
        <f>VLOOKUP(E1247,dicionario!$A$1:$C1646,2,0)</f>
        <v>Columbina talpacoti</v>
      </c>
      <c r="H1247" s="6" t="str">
        <f>VLOOKUP(E1247,dicionario!$A$1:$C1646,3,0)</f>
        <v>rolinha-roxa</v>
      </c>
    </row>
    <row r="1248">
      <c r="A1248" s="3">
        <v>45582.0</v>
      </c>
      <c r="B1248" s="4">
        <v>0.3215277777777778</v>
      </c>
      <c r="C1248" s="5" t="s">
        <v>64</v>
      </c>
      <c r="D1248" s="5" t="s">
        <v>454</v>
      </c>
      <c r="E1248" s="6" t="s">
        <v>158</v>
      </c>
      <c r="F1248" s="7" t="s">
        <v>159</v>
      </c>
      <c r="G1248" s="6" t="str">
        <f>VLOOKUP(E1248,dicionario!$A$1:$C1647,2,0)</f>
        <v>Nephilingis cruentata</v>
      </c>
      <c r="H1248" s="6" t="str">
        <f>VLOOKUP(E1248,dicionario!$A$1:$C1647,3,0)</f>
        <v>maria-bola</v>
      </c>
    </row>
    <row r="1249">
      <c r="A1249" s="3">
        <v>45582.0</v>
      </c>
      <c r="B1249" s="4">
        <v>0.32222222222222224</v>
      </c>
      <c r="C1249" s="5" t="s">
        <v>64</v>
      </c>
      <c r="D1249" s="5" t="s">
        <v>454</v>
      </c>
      <c r="E1249" s="6" t="s">
        <v>88</v>
      </c>
      <c r="F1249" s="7" t="s">
        <v>89</v>
      </c>
      <c r="G1249" s="6" t="str">
        <f>VLOOKUP(E1249,dicionario!$A$1:$C1648,2,0)</f>
        <v>Tyrannus melancolichus</v>
      </c>
      <c r="H1249" s="6" t="str">
        <f>VLOOKUP(E1249,dicionario!$A$1:$C1648,3,0)</f>
        <v>suiriri</v>
      </c>
    </row>
    <row r="1250">
      <c r="A1250" s="3">
        <v>45582.0</v>
      </c>
      <c r="B1250" s="4">
        <v>0.32222222222222224</v>
      </c>
      <c r="C1250" s="5" t="s">
        <v>64</v>
      </c>
      <c r="D1250" s="5" t="s">
        <v>454</v>
      </c>
      <c r="E1250" s="6" t="s">
        <v>132</v>
      </c>
      <c r="F1250" s="7" t="s">
        <v>133</v>
      </c>
      <c r="G1250" s="6" t="str">
        <f>VLOOKUP(E1250,dicionario!$A$1:$C1649,2,0)</f>
        <v>Euphonia chlorotica</v>
      </c>
      <c r="H1250" s="6" t="str">
        <f>VLOOKUP(E1250,dicionario!$A$1:$C1649,3,0)</f>
        <v>fim-fim</v>
      </c>
    </row>
    <row r="1251">
      <c r="A1251" s="3">
        <v>45582.0</v>
      </c>
      <c r="B1251" s="4">
        <v>0.3229166666666667</v>
      </c>
      <c r="C1251" s="5" t="s">
        <v>64</v>
      </c>
      <c r="D1251" s="5" t="s">
        <v>454</v>
      </c>
      <c r="E1251" s="8" t="s">
        <v>378</v>
      </c>
      <c r="F1251" s="7" t="s">
        <v>205</v>
      </c>
      <c r="G1251" s="6" t="str">
        <f>VLOOKUP(E1251,dicionario!$A$1:$C1650,2,0)</f>
        <v>Polistes</v>
      </c>
      <c r="H1251" s="6" t="str">
        <f>VLOOKUP(E1251,dicionario!$A$1:$C1650,3,0)</f>
        <v>marimbondo</v>
      </c>
    </row>
    <row r="1252">
      <c r="A1252" s="3">
        <v>45582.0</v>
      </c>
      <c r="B1252" s="4">
        <v>0.3236111111111111</v>
      </c>
      <c r="C1252" s="5" t="s">
        <v>64</v>
      </c>
      <c r="D1252" s="5" t="s">
        <v>454</v>
      </c>
      <c r="E1252" s="6" t="s">
        <v>193</v>
      </c>
      <c r="F1252" s="7" t="s">
        <v>194</v>
      </c>
      <c r="G1252" s="6" t="str">
        <f>VLOOKUP(E1252,dicionario!$A$1:$C1651,2,0)</f>
        <v>Conirostrum speciosum</v>
      </c>
      <c r="H1252" s="6" t="str">
        <f>VLOOKUP(E1252,dicionario!$A$1:$C1651,3,0)</f>
        <v>figuinha-de-rabo-castanho</v>
      </c>
    </row>
    <row r="1253">
      <c r="A1253" s="3">
        <v>45582.0</v>
      </c>
      <c r="B1253" s="4">
        <v>0.3236111111111111</v>
      </c>
      <c r="C1253" s="5" t="s">
        <v>64</v>
      </c>
      <c r="D1253" s="5" t="s">
        <v>454</v>
      </c>
      <c r="E1253" s="6" t="s">
        <v>111</v>
      </c>
      <c r="F1253" s="7" t="s">
        <v>112</v>
      </c>
      <c r="G1253" s="6" t="str">
        <f>VLOOKUP(E1253,dicionario!$A$1:$C1652,2,0)</f>
        <v>Trigona spinipes</v>
      </c>
      <c r="H1253" s="6" t="str">
        <f>VLOOKUP(E1253,dicionario!$A$1:$C1652,3,0)</f>
        <v>abelha-cachorro</v>
      </c>
    </row>
    <row r="1254">
      <c r="A1254" s="3">
        <v>45582.0</v>
      </c>
      <c r="B1254" s="4">
        <v>0.3236111111111111</v>
      </c>
      <c r="C1254" s="5" t="s">
        <v>64</v>
      </c>
      <c r="D1254" s="5" t="s">
        <v>454</v>
      </c>
      <c r="E1254" s="6" t="s">
        <v>251</v>
      </c>
      <c r="F1254" s="7" t="s">
        <v>480</v>
      </c>
      <c r="G1254" s="6" t="str">
        <f>VLOOKUP(E1254,dicionario!$A$1:$C1653,2,0)</f>
        <v>Struthanthus flexicaulis</v>
      </c>
      <c r="H1254" s="6" t="str">
        <f>VLOOKUP(E1254,dicionario!$A$1:$C1653,3,0)</f>
        <v>erva-de-passarinho</v>
      </c>
    </row>
    <row r="1255">
      <c r="A1255" s="3">
        <v>45582.0</v>
      </c>
      <c r="B1255" s="4">
        <v>0.32430555555555557</v>
      </c>
      <c r="C1255" s="5" t="s">
        <v>64</v>
      </c>
      <c r="D1255" s="5" t="s">
        <v>454</v>
      </c>
      <c r="E1255" s="6" t="s">
        <v>481</v>
      </c>
      <c r="F1255" s="7" t="s">
        <v>482</v>
      </c>
      <c r="G1255" s="6" t="str">
        <f>VLOOKUP(E1255,dicionario!$A$1:$C1654,2,0)</f>
        <v>Camptostoma obsoletum</v>
      </c>
      <c r="H1255" s="6" t="str">
        <f>VLOOKUP(E1255,dicionario!$A$1:$C1654,3,0)</f>
        <v>risadinha</v>
      </c>
    </row>
    <row r="1256">
      <c r="A1256" s="3">
        <v>45582.0</v>
      </c>
      <c r="B1256" s="4">
        <v>0.325</v>
      </c>
      <c r="C1256" s="5" t="s">
        <v>64</v>
      </c>
      <c r="D1256" s="5" t="s">
        <v>454</v>
      </c>
      <c r="E1256" s="6" t="s">
        <v>383</v>
      </c>
      <c r="F1256" s="7" t="s">
        <v>384</v>
      </c>
      <c r="G1256" s="6" t="str">
        <f>VLOOKUP(E1256,dicionario!$A$1:$C1655,2,0)</f>
        <v>Setophaga pitiayumi</v>
      </c>
      <c r="H1256" s="6" t="str">
        <f>VLOOKUP(E1256,dicionario!$A$1:$C1655,3,0)</f>
        <v>mariquita</v>
      </c>
    </row>
    <row r="1257">
      <c r="A1257" s="3">
        <v>45582.0</v>
      </c>
      <c r="B1257" s="4">
        <v>0.3277777777777778</v>
      </c>
      <c r="C1257" s="5" t="s">
        <v>76</v>
      </c>
      <c r="D1257" s="5" t="s">
        <v>454</v>
      </c>
      <c r="E1257" s="6" t="s">
        <v>86</v>
      </c>
      <c r="F1257" s="7" t="s">
        <v>87</v>
      </c>
      <c r="G1257" s="6" t="str">
        <f>VLOOKUP(E1257,dicionario!$A$1:$C1656,2,0)</f>
        <v>Coereba flaveola</v>
      </c>
      <c r="H1257" s="6" t="str">
        <f>VLOOKUP(E1257,dicionario!$A$1:$C1656,3,0)</f>
        <v>cambacica</v>
      </c>
    </row>
    <row r="1258">
      <c r="A1258" s="3">
        <v>45582.0</v>
      </c>
      <c r="B1258" s="4">
        <v>0.3277777777777778</v>
      </c>
      <c r="C1258" s="5" t="s">
        <v>76</v>
      </c>
      <c r="D1258" s="5" t="s">
        <v>454</v>
      </c>
      <c r="E1258" s="6" t="s">
        <v>65</v>
      </c>
      <c r="F1258" s="7" t="s">
        <v>66</v>
      </c>
      <c r="G1258" s="6" t="str">
        <f>VLOOKUP(E1258,dicionario!$A$1:$C1657,2,0)</f>
        <v>Pitangus sulphutarus</v>
      </c>
      <c r="H1258" s="6" t="str">
        <f>VLOOKUP(E1258,dicionario!$A$1:$C1657,3,0)</f>
        <v>bem-te-vi</v>
      </c>
    </row>
    <row r="1259">
      <c r="A1259" s="3">
        <v>45582.0</v>
      </c>
      <c r="B1259" s="4">
        <v>0.3284722222222222</v>
      </c>
      <c r="C1259" s="5" t="s">
        <v>76</v>
      </c>
      <c r="D1259" s="5" t="s">
        <v>454</v>
      </c>
      <c r="E1259" s="6" t="s">
        <v>483</v>
      </c>
      <c r="F1259" s="7" t="s">
        <v>484</v>
      </c>
      <c r="G1259" s="6" t="str">
        <f>VLOOKUP(E1259,dicionario!$A$1:$C1658,2,0)</f>
        <v>Euphorbia prostrata</v>
      </c>
      <c r="H1259" s="6" t="str">
        <f>VLOOKUP(E1259,dicionario!$A$1:$C1658,3,0)</f>
        <v>quebra-pedra-rasteira</v>
      </c>
    </row>
    <row r="1260">
      <c r="A1260" s="3">
        <v>45582.0</v>
      </c>
      <c r="B1260" s="4">
        <v>0.3284722222222222</v>
      </c>
      <c r="C1260" s="5" t="s">
        <v>76</v>
      </c>
      <c r="D1260" s="5" t="s">
        <v>454</v>
      </c>
      <c r="E1260" s="6" t="s">
        <v>146</v>
      </c>
      <c r="F1260" s="7" t="s">
        <v>147</v>
      </c>
      <c r="G1260" s="6" t="str">
        <f>VLOOKUP(E1260,dicionario!$A$1:$C1659,2,0)</f>
        <v>Euphorbia hirta</v>
      </c>
      <c r="H1260" s="6" t="str">
        <f>VLOOKUP(E1260,dicionario!$A$1:$C1659,3,0)</f>
        <v>erva-de-santa-luzia</v>
      </c>
    </row>
    <row r="1261">
      <c r="A1261" s="3">
        <v>45582.0</v>
      </c>
      <c r="B1261" s="4">
        <v>0.32916666666666666</v>
      </c>
      <c r="C1261" s="5" t="s">
        <v>76</v>
      </c>
      <c r="D1261" s="5" t="s">
        <v>454</v>
      </c>
      <c r="E1261" s="6" t="s">
        <v>286</v>
      </c>
      <c r="F1261" s="7" t="s">
        <v>287</v>
      </c>
      <c r="G1261" s="6" t="str">
        <f>VLOOKUP(E1261,dicionario!$A$1:$C1660,2,0)</f>
        <v>Setaria parviflora</v>
      </c>
      <c r="H1261" s="6" t="str">
        <f>VLOOKUP(E1261,dicionario!$A$1:$C1660,3,0)</f>
        <v>capim-rabo-de-raposa</v>
      </c>
    </row>
    <row r="1262">
      <c r="A1262" s="3">
        <v>45582.0</v>
      </c>
      <c r="B1262" s="4">
        <v>0.32916666666666666</v>
      </c>
      <c r="C1262" s="5" t="s">
        <v>76</v>
      </c>
      <c r="D1262" s="5" t="s">
        <v>454</v>
      </c>
      <c r="E1262" s="6" t="s">
        <v>253</v>
      </c>
      <c r="F1262" s="7" t="s">
        <v>254</v>
      </c>
      <c r="G1262" s="6" t="str">
        <f>VLOOKUP(E1262,dicionario!$A$1:$C1661,2,0)</f>
        <v>Panicum maximum</v>
      </c>
      <c r="H1262" s="6" t="str">
        <f>VLOOKUP(E1262,dicionario!$A$1:$C1661,3,0)</f>
        <v>capim-colonião</v>
      </c>
    </row>
    <row r="1263">
      <c r="A1263" s="3">
        <v>45582.0</v>
      </c>
      <c r="B1263" s="4">
        <v>0.32916666666666666</v>
      </c>
      <c r="C1263" s="5" t="s">
        <v>76</v>
      </c>
      <c r="D1263" s="5" t="s">
        <v>454</v>
      </c>
      <c r="E1263" s="6" t="s">
        <v>195</v>
      </c>
      <c r="F1263" s="7" t="s">
        <v>196</v>
      </c>
      <c r="G1263" s="6" t="str">
        <f>VLOOKUP(E1263,dicionario!$A$1:$C1662,2,0)</f>
        <v>Priva lappulacea</v>
      </c>
      <c r="H1263" s="6" t="str">
        <f>VLOOKUP(E1263,dicionario!$A$1:$C1662,3,0)</f>
        <v>carrapicho</v>
      </c>
    </row>
    <row r="1264">
      <c r="A1264" s="3">
        <v>45582.0</v>
      </c>
      <c r="B1264" s="4">
        <v>0.32916666666666666</v>
      </c>
      <c r="C1264" s="5" t="s">
        <v>76</v>
      </c>
      <c r="D1264" s="5" t="s">
        <v>454</v>
      </c>
      <c r="E1264" s="6" t="s">
        <v>148</v>
      </c>
      <c r="F1264" s="7" t="s">
        <v>149</v>
      </c>
      <c r="G1264" s="6" t="str">
        <f>VLOOKUP(E1264,dicionario!$A$1:$C1663,2,0)</f>
        <v>Parthenium hysterophorus</v>
      </c>
      <c r="H1264" s="6" t="str">
        <f>VLOOKUP(E1264,dicionario!$A$1:$C1663,3,0)</f>
        <v>losna-branca</v>
      </c>
    </row>
    <row r="1265">
      <c r="A1265" s="3">
        <v>45582.0</v>
      </c>
      <c r="B1265" s="4">
        <v>0.32916666666666666</v>
      </c>
      <c r="C1265" s="5" t="s">
        <v>76</v>
      </c>
      <c r="D1265" s="5" t="s">
        <v>454</v>
      </c>
      <c r="E1265" s="6" t="s">
        <v>467</v>
      </c>
      <c r="F1265" s="7" t="s">
        <v>468</v>
      </c>
      <c r="G1265" s="6" t="str">
        <f>VLOOKUP(E1265,dicionario!$A$1:$C1664,2,0)</f>
        <v>Eleusine indica</v>
      </c>
      <c r="H1265" s="6" t="str">
        <f>VLOOKUP(E1265,dicionario!$A$1:$C1664,3,0)</f>
        <v>capim-pé-de-galinha</v>
      </c>
    </row>
    <row r="1266">
      <c r="A1266" s="3">
        <v>45582.0</v>
      </c>
      <c r="B1266" s="4">
        <v>0.32916666666666666</v>
      </c>
      <c r="C1266" s="5" t="s">
        <v>76</v>
      </c>
      <c r="D1266" s="5" t="s">
        <v>454</v>
      </c>
      <c r="E1266" s="6" t="s">
        <v>460</v>
      </c>
      <c r="F1266" s="7" t="s">
        <v>142</v>
      </c>
      <c r="G1266" s="6" t="str">
        <f>VLOOKUP(E1266,dicionario!$A$1:$C1665,2,0)</f>
        <v>#N/A</v>
      </c>
      <c r="H1266" s="6" t="str">
        <f>VLOOKUP(E1266,dicionario!$A$1:$C1665,3,0)</f>
        <v>#N/A</v>
      </c>
    </row>
    <row r="1267">
      <c r="A1267" s="3">
        <v>45582.0</v>
      </c>
      <c r="B1267" s="4">
        <v>0.3298611111111111</v>
      </c>
      <c r="C1267" s="5" t="s">
        <v>76</v>
      </c>
      <c r="D1267" s="5" t="s">
        <v>454</v>
      </c>
      <c r="E1267" s="6" t="s">
        <v>485</v>
      </c>
      <c r="F1267" s="7" t="s">
        <v>486</v>
      </c>
      <c r="G1267" s="6" t="str">
        <f>VLOOKUP(E1267,dicionario!$A$1:$C1666,2,0)</f>
        <v>Rostrhamus sociabilis</v>
      </c>
      <c r="H1267" s="6" t="str">
        <f>VLOOKUP(E1267,dicionario!$A$1:$C1666,3,0)</f>
        <v>gavião-caramujeiro</v>
      </c>
    </row>
    <row r="1268">
      <c r="A1268" s="3">
        <v>45582.0</v>
      </c>
      <c r="B1268" s="4">
        <v>0.3298611111111111</v>
      </c>
      <c r="C1268" s="5" t="s">
        <v>76</v>
      </c>
      <c r="D1268" s="5" t="s">
        <v>454</v>
      </c>
      <c r="E1268" s="6" t="s">
        <v>132</v>
      </c>
      <c r="F1268" s="7" t="s">
        <v>133</v>
      </c>
      <c r="G1268" s="6" t="str">
        <f>VLOOKUP(E1268,dicionario!$A$1:$C1667,2,0)</f>
        <v>Euphonia chlorotica</v>
      </c>
      <c r="H1268" s="6" t="str">
        <f>VLOOKUP(E1268,dicionario!$A$1:$C1667,3,0)</f>
        <v>fim-fim</v>
      </c>
    </row>
    <row r="1269">
      <c r="A1269" s="3">
        <v>45582.0</v>
      </c>
      <c r="B1269" s="4">
        <v>0.3298611111111111</v>
      </c>
      <c r="C1269" s="5" t="s">
        <v>76</v>
      </c>
      <c r="D1269" s="5" t="s">
        <v>454</v>
      </c>
      <c r="E1269" s="6" t="s">
        <v>487</v>
      </c>
      <c r="F1269" s="7" t="s">
        <v>488</v>
      </c>
      <c r="G1269" s="6" t="str">
        <f>VLOOKUP(E1269,dicionario!$A$1:$C1668,2,0)</f>
        <v>#N/A</v>
      </c>
      <c r="H1269" s="6" t="str">
        <f>VLOOKUP(E1269,dicionario!$A$1:$C1668,3,0)</f>
        <v>#N/A</v>
      </c>
    </row>
    <row r="1270">
      <c r="A1270" s="3">
        <v>45582.0</v>
      </c>
      <c r="B1270" s="4">
        <v>0.33055555555555555</v>
      </c>
      <c r="C1270" s="5" t="s">
        <v>76</v>
      </c>
      <c r="D1270" s="5" t="s">
        <v>454</v>
      </c>
      <c r="E1270" s="6" t="s">
        <v>88</v>
      </c>
      <c r="F1270" s="7" t="s">
        <v>89</v>
      </c>
      <c r="G1270" s="6" t="str">
        <f>VLOOKUP(E1270,dicionario!$A$1:$C1669,2,0)</f>
        <v>Tyrannus melancolichus</v>
      </c>
      <c r="H1270" s="6" t="str">
        <f>VLOOKUP(E1270,dicionario!$A$1:$C1669,3,0)</f>
        <v>suiriri</v>
      </c>
    </row>
    <row r="1271">
      <c r="A1271" s="3">
        <v>45582.0</v>
      </c>
      <c r="B1271" s="4">
        <v>0.3326388888888889</v>
      </c>
      <c r="C1271" s="5" t="s">
        <v>76</v>
      </c>
      <c r="D1271" s="5" t="s">
        <v>454</v>
      </c>
      <c r="E1271" s="6" t="s">
        <v>122</v>
      </c>
      <c r="F1271" s="7" t="s">
        <v>123</v>
      </c>
      <c r="G1271" s="6" t="str">
        <f>VLOOKUP(E1271,dicionario!$A$1:$C1670,2,0)</f>
        <v>Todirostrum cinereum</v>
      </c>
      <c r="H1271" s="6" t="str">
        <f>VLOOKUP(E1271,dicionario!$A$1:$C1670,3,0)</f>
        <v>ferreirinho-relógio</v>
      </c>
    </row>
    <row r="1272">
      <c r="A1272" s="3">
        <v>45582.0</v>
      </c>
      <c r="B1272" s="4">
        <v>0.3333333333333333</v>
      </c>
      <c r="C1272" s="5" t="s">
        <v>76</v>
      </c>
      <c r="D1272" s="5" t="s">
        <v>454</v>
      </c>
      <c r="E1272" s="6" t="s">
        <v>256</v>
      </c>
      <c r="F1272" s="7" t="s">
        <v>257</v>
      </c>
      <c r="G1272" s="6" t="str">
        <f>VLOOKUP(E1272,dicionario!$A$1:$C1671,2,0)</f>
        <v>Youngia japonica</v>
      </c>
      <c r="H1272" s="6" t="str">
        <f>VLOOKUP(E1272,dicionario!$A$1:$C1671,3,0)</f>
        <v>barba-de-falcão</v>
      </c>
    </row>
    <row r="1273">
      <c r="A1273" s="3">
        <v>45582.0</v>
      </c>
      <c r="B1273" s="4">
        <v>0.3333333333333333</v>
      </c>
      <c r="C1273" s="5" t="s">
        <v>76</v>
      </c>
      <c r="D1273" s="5" t="s">
        <v>454</v>
      </c>
      <c r="E1273" s="6" t="s">
        <v>144</v>
      </c>
      <c r="F1273" s="7" t="s">
        <v>145</v>
      </c>
      <c r="G1273" s="6" t="str">
        <f>VLOOKUP(E1273,dicionario!$A$1:$C1672,2,0)</f>
        <v>Gomphrena globosa</v>
      </c>
      <c r="H1273" s="6" t="str">
        <f>VLOOKUP(E1273,dicionario!$A$1:$C1672,3,0)</f>
        <v>perpétua-rosa</v>
      </c>
    </row>
    <row r="1274">
      <c r="A1274" s="3">
        <v>45582.0</v>
      </c>
      <c r="B1274" s="4">
        <v>0.3333333333333333</v>
      </c>
      <c r="C1274" s="5" t="s">
        <v>76</v>
      </c>
      <c r="D1274" s="5" t="s">
        <v>454</v>
      </c>
      <c r="E1274" s="6" t="s">
        <v>139</v>
      </c>
      <c r="F1274" s="7" t="s">
        <v>140</v>
      </c>
      <c r="G1274" s="6" t="str">
        <f>VLOOKUP(E1274,dicionario!$A$1:$C1673,2,0)</f>
        <v>Tropidurus torquatus</v>
      </c>
      <c r="H1274" s="6" t="str">
        <f>VLOOKUP(E1274,dicionario!$A$1:$C1673,3,0)</f>
        <v>calango; tropiduro-comum</v>
      </c>
    </row>
    <row r="1275">
      <c r="A1275" s="3">
        <v>45582.0</v>
      </c>
      <c r="B1275" s="4">
        <v>0.3333333333333333</v>
      </c>
      <c r="C1275" s="5" t="s">
        <v>76</v>
      </c>
      <c r="D1275" s="5" t="s">
        <v>454</v>
      </c>
      <c r="E1275" s="8" t="s">
        <v>298</v>
      </c>
      <c r="F1275" s="5" t="s">
        <v>299</v>
      </c>
      <c r="G1275" s="6" t="str">
        <f>VLOOKUP(E1275,dicionario!$A$1:$C1674,2,0)</f>
        <v>Alysicarpus vaginalis</v>
      </c>
      <c r="H1275" s="6" t="str">
        <f>VLOOKUP(E1275,dicionario!$A$1:$C1674,3,0)</f>
        <v/>
      </c>
    </row>
    <row r="1276">
      <c r="A1276" s="3">
        <v>45582.0</v>
      </c>
      <c r="B1276" s="4">
        <v>0.3333333333333333</v>
      </c>
      <c r="C1276" s="5" t="s">
        <v>76</v>
      </c>
      <c r="D1276" s="5" t="s">
        <v>454</v>
      </c>
      <c r="E1276" s="6" t="s">
        <v>18</v>
      </c>
      <c r="F1276" s="7" t="s">
        <v>219</v>
      </c>
      <c r="G1276" s="6" t="str">
        <f>VLOOKUP(E1276,dicionario!$A$1:$C1675,2,0)</f>
        <v>Xylocopa frontalis</v>
      </c>
      <c r="H1276" s="6" t="str">
        <f>VLOOKUP(E1276,dicionario!$A$1:$C1675,3,0)</f>
        <v>Mamangava; mangangá; abelha-carpinteira</v>
      </c>
    </row>
    <row r="1277">
      <c r="A1277" s="3">
        <v>45582.0</v>
      </c>
      <c r="B1277" s="4">
        <v>0.3333333333333333</v>
      </c>
      <c r="C1277" s="5" t="s">
        <v>76</v>
      </c>
      <c r="D1277" s="5" t="s">
        <v>454</v>
      </c>
      <c r="E1277" s="6" t="s">
        <v>173</v>
      </c>
      <c r="F1277" s="7" t="s">
        <v>336</v>
      </c>
      <c r="G1277" s="6" t="str">
        <f>VLOOKUP(E1277,dicionario!$A$1:$C1676,2,0)</f>
        <v>Junonia evarete</v>
      </c>
      <c r="H1277" s="6" t="str">
        <f>VLOOKUP(E1277,dicionario!$A$1:$C1676,3,0)</f>
        <v>borboleta-olho-de-pavão-diúrno</v>
      </c>
    </row>
    <row r="1278">
      <c r="A1278" s="3">
        <v>45582.0</v>
      </c>
      <c r="B1278" s="4">
        <v>0.3333333333333333</v>
      </c>
      <c r="C1278" s="5" t="s">
        <v>76</v>
      </c>
      <c r="D1278" s="5" t="s">
        <v>454</v>
      </c>
      <c r="E1278" s="6" t="s">
        <v>353</v>
      </c>
      <c r="F1278" s="7" t="s">
        <v>354</v>
      </c>
      <c r="G1278" s="6" t="str">
        <f>VLOOKUP(E1278,dicionario!$A$1:$C1677,2,0)</f>
        <v>Desmodium incanum</v>
      </c>
      <c r="H1278" s="6" t="str">
        <f>VLOOKUP(E1278,dicionario!$A$1:$C1677,3,0)</f>
        <v>pega-pega</v>
      </c>
    </row>
    <row r="1279">
      <c r="A1279" s="3">
        <v>45582.0</v>
      </c>
      <c r="B1279" s="4">
        <v>0.3347222222222222</v>
      </c>
      <c r="C1279" s="5" t="s">
        <v>76</v>
      </c>
      <c r="D1279" s="5" t="s">
        <v>454</v>
      </c>
      <c r="E1279" s="20" t="s">
        <v>489</v>
      </c>
      <c r="F1279" s="7" t="s">
        <v>490</v>
      </c>
      <c r="G1279" s="6" t="str">
        <f>VLOOKUP(E1279,dicionario!$A$1:$C1678,2,0)</f>
        <v>Cenchrus echinatus</v>
      </c>
      <c r="H1279" s="6" t="str">
        <f>VLOOKUP(E1279,dicionario!$A$1:$C1678,3,0)</f>
        <v>capim-carrapicho</v>
      </c>
    </row>
    <row r="1280">
      <c r="A1280" s="3">
        <v>45582.0</v>
      </c>
      <c r="B1280" s="4">
        <v>0.33541666666666664</v>
      </c>
      <c r="C1280" s="5" t="s">
        <v>76</v>
      </c>
      <c r="D1280" s="5" t="s">
        <v>454</v>
      </c>
      <c r="E1280" s="6" t="s">
        <v>491</v>
      </c>
      <c r="F1280" s="7" t="s">
        <v>492</v>
      </c>
      <c r="G1280" s="6" t="str">
        <f>VLOOKUP(E1280,dicionario!$A$1:$C1679,2,0)</f>
        <v>Oxidus gracilis</v>
      </c>
      <c r="H1280" s="6" t="str">
        <f>VLOOKUP(E1280,dicionario!$A$1:$C1679,3,0)</f>
        <v>mil-pés</v>
      </c>
    </row>
    <row r="1281">
      <c r="A1281" s="3">
        <v>45582.0</v>
      </c>
      <c r="B1281" s="4">
        <v>0.33541666666666664</v>
      </c>
      <c r="C1281" s="5" t="s">
        <v>76</v>
      </c>
      <c r="D1281" s="5" t="s">
        <v>454</v>
      </c>
      <c r="E1281" s="6" t="s">
        <v>245</v>
      </c>
      <c r="F1281" s="7" t="s">
        <v>246</v>
      </c>
      <c r="G1281" s="6" t="str">
        <f>VLOOKUP(E1281,dicionario!$A$1:$C1680,2,0)</f>
        <v>Hemiargus hanno</v>
      </c>
      <c r="H1281" s="6" t="str">
        <f>VLOOKUP(E1281,dicionario!$A$1:$C1680,3,0)</f>
        <v>borboleta-azulzinha-do-trevo</v>
      </c>
    </row>
    <row r="1282">
      <c r="A1282" s="3">
        <v>45582.0</v>
      </c>
      <c r="B1282" s="4">
        <v>0.33541666666666664</v>
      </c>
      <c r="C1282" s="5" t="s">
        <v>76</v>
      </c>
      <c r="D1282" s="5" t="s">
        <v>454</v>
      </c>
      <c r="E1282" s="6" t="s">
        <v>265</v>
      </c>
      <c r="F1282" s="7" t="s">
        <v>266</v>
      </c>
      <c r="G1282" s="6" t="str">
        <f>VLOOKUP(E1282,dicionario!$A$1:$C1681,2,0)</f>
        <v>Sonchus oleraceus</v>
      </c>
      <c r="H1282" s="6" t="str">
        <f>VLOOKUP(E1282,dicionario!$A$1:$C1681,3,0)</f>
        <v>seralha</v>
      </c>
    </row>
    <row r="1283">
      <c r="A1283" s="3">
        <v>45582.0</v>
      </c>
      <c r="B1283" s="4">
        <v>0.33541666666666664</v>
      </c>
      <c r="C1283" s="5" t="s">
        <v>76</v>
      </c>
      <c r="D1283" s="5" t="s">
        <v>454</v>
      </c>
      <c r="E1283" s="6" t="s">
        <v>69</v>
      </c>
      <c r="F1283" s="7" t="s">
        <v>71</v>
      </c>
      <c r="G1283" s="6" t="str">
        <f>VLOOKUP(E1283,dicionario!$A$1:$C1682,2,0)</f>
        <v>Talinum fruticosum</v>
      </c>
      <c r="H1283" s="6" t="str">
        <f>VLOOKUP(E1283,dicionario!$A$1:$C1682,3,0)</f>
        <v>beldroega-grande</v>
      </c>
    </row>
    <row r="1284">
      <c r="A1284" s="3">
        <v>45582.0</v>
      </c>
      <c r="B1284" s="4">
        <v>0.33541666666666664</v>
      </c>
      <c r="C1284" s="5" t="s">
        <v>76</v>
      </c>
      <c r="D1284" s="5" t="s">
        <v>454</v>
      </c>
      <c r="E1284" s="6" t="s">
        <v>189</v>
      </c>
      <c r="F1284" s="7" t="s">
        <v>190</v>
      </c>
      <c r="G1284" s="6" t="str">
        <f>VLOOKUP(E1284,dicionario!$A$1:$C1683,2,0)</f>
        <v>Solanum paniculatum</v>
      </c>
      <c r="H1284" s="6" t="str">
        <f>VLOOKUP(E1284,dicionario!$A$1:$C1683,3,0)</f>
        <v>jurubeba</v>
      </c>
    </row>
    <row r="1285">
      <c r="A1285" s="3">
        <v>45582.0</v>
      </c>
      <c r="B1285" s="4">
        <v>0.33611111111111114</v>
      </c>
      <c r="C1285" s="5" t="s">
        <v>76</v>
      </c>
      <c r="D1285" s="5" t="s">
        <v>454</v>
      </c>
      <c r="E1285" s="6" t="s">
        <v>48</v>
      </c>
      <c r="F1285" s="7" t="s">
        <v>49</v>
      </c>
      <c r="G1285" s="6" t="str">
        <f>VLOOKUP(E1285,dicionario!$A$1:$C1684,2,0)</f>
        <v>Commelina erecta</v>
      </c>
      <c r="H1285" s="6" t="str">
        <f>VLOOKUP(E1285,dicionario!$A$1:$C1684,3,0)</f>
        <v>trapoeraba</v>
      </c>
    </row>
    <row r="1286">
      <c r="A1286" s="3">
        <v>45582.0</v>
      </c>
      <c r="B1286" s="4">
        <v>0.33611111111111114</v>
      </c>
      <c r="C1286" s="5" t="s">
        <v>76</v>
      </c>
      <c r="D1286" s="5" t="s">
        <v>454</v>
      </c>
      <c r="E1286" s="6" t="s">
        <v>493</v>
      </c>
      <c r="F1286" s="7" t="s">
        <v>494</v>
      </c>
      <c r="G1286" s="6" t="str">
        <f>VLOOKUP(E1286,dicionario!$A$1:$C1685,2,0)</f>
        <v>#N/A</v>
      </c>
      <c r="H1286" s="6" t="str">
        <f>VLOOKUP(E1286,dicionario!$A$1:$C1685,3,0)</f>
        <v>#N/A</v>
      </c>
    </row>
    <row r="1287">
      <c r="A1287" s="3">
        <v>45582.0</v>
      </c>
      <c r="B1287" s="4">
        <v>0.33611111111111114</v>
      </c>
      <c r="C1287" s="5" t="s">
        <v>76</v>
      </c>
      <c r="D1287" s="5" t="s">
        <v>454</v>
      </c>
      <c r="E1287" s="6" t="s">
        <v>495</v>
      </c>
      <c r="F1287" s="7" t="s">
        <v>494</v>
      </c>
      <c r="G1287" s="6" t="str">
        <f>VLOOKUP(E1287,dicionario!$A$1:$C1686,2,0)</f>
        <v>#N/A</v>
      </c>
      <c r="H1287" s="6" t="str">
        <f>VLOOKUP(E1287,dicionario!$A$1:$C1686,3,0)</f>
        <v>#N/A</v>
      </c>
    </row>
    <row r="1288">
      <c r="A1288" s="3">
        <v>45582.0</v>
      </c>
      <c r="B1288" s="4">
        <v>0.33611111111111114</v>
      </c>
      <c r="C1288" s="5" t="s">
        <v>76</v>
      </c>
      <c r="D1288" s="5" t="s">
        <v>454</v>
      </c>
      <c r="E1288" s="6" t="s">
        <v>271</v>
      </c>
      <c r="F1288" s="7" t="s">
        <v>272</v>
      </c>
      <c r="G1288" s="6" t="str">
        <f>VLOOKUP(E1288,dicionario!$A$1:$C1687,2,0)</f>
        <v>Cyanthillium cinereum</v>
      </c>
      <c r="H1288" s="6" t="str">
        <f>VLOOKUP(E1288,dicionario!$A$1:$C1687,3,0)</f>
        <v>emília</v>
      </c>
    </row>
    <row r="1289">
      <c r="A1289" s="3">
        <v>45582.0</v>
      </c>
      <c r="B1289" s="4">
        <v>0.3368055555555556</v>
      </c>
      <c r="C1289" s="5" t="s">
        <v>76</v>
      </c>
      <c r="D1289" s="5" t="s">
        <v>454</v>
      </c>
      <c r="E1289" s="6" t="s">
        <v>288</v>
      </c>
      <c r="F1289" s="7" t="s">
        <v>289</v>
      </c>
      <c r="G1289" s="6" t="str">
        <f>VLOOKUP(E1289,dicionario!$A$1:$C1688,2,0)</f>
        <v>Phyllanthus tenellus</v>
      </c>
      <c r="H1289" s="6" t="str">
        <f>VLOOKUP(E1289,dicionario!$A$1:$C1688,3,0)</f>
        <v>quebra-pedra</v>
      </c>
    </row>
    <row r="1290">
      <c r="A1290" s="3">
        <v>45582.0</v>
      </c>
      <c r="B1290" s="4">
        <v>0.3368055555555556</v>
      </c>
      <c r="C1290" s="5" t="s">
        <v>76</v>
      </c>
      <c r="D1290" s="5" t="s">
        <v>454</v>
      </c>
      <c r="E1290" s="6" t="s">
        <v>171</v>
      </c>
      <c r="F1290" s="7" t="s">
        <v>172</v>
      </c>
      <c r="G1290" s="6" t="str">
        <f>VLOOKUP(E1290,dicionario!$A$1:$C1689,2,0)</f>
        <v>Oxalis corniculata</v>
      </c>
      <c r="H1290" s="6" t="str">
        <f>VLOOKUP(E1290,dicionario!$A$1:$C1689,3,0)</f>
        <v>trevo-azedinho</v>
      </c>
    </row>
    <row r="1291">
      <c r="A1291" s="3">
        <v>45582.0</v>
      </c>
      <c r="B1291" s="4">
        <v>0.3368055555555556</v>
      </c>
      <c r="C1291" s="5" t="s">
        <v>76</v>
      </c>
      <c r="D1291" s="5" t="s">
        <v>454</v>
      </c>
      <c r="E1291" s="6" t="s">
        <v>150</v>
      </c>
      <c r="F1291" s="7" t="s">
        <v>151</v>
      </c>
      <c r="G1291" s="6" t="str">
        <f>VLOOKUP(E1291,dicionario!$A$1:$C1690,2,0)</f>
        <v>Amaranthus viridis</v>
      </c>
      <c r="H1291" s="6" t="str">
        <f>VLOOKUP(E1291,dicionario!$A$1:$C1690,3,0)</f>
        <v>caruru-de-mancha</v>
      </c>
    </row>
    <row r="1292">
      <c r="A1292" s="3">
        <v>45582.0</v>
      </c>
      <c r="B1292" s="4">
        <v>0.3368055555555556</v>
      </c>
      <c r="C1292" s="5" t="s">
        <v>76</v>
      </c>
      <c r="D1292" s="5" t="s">
        <v>454</v>
      </c>
      <c r="E1292" s="6" t="s">
        <v>275</v>
      </c>
      <c r="F1292" s="7" t="s">
        <v>276</v>
      </c>
      <c r="G1292" s="6" t="str">
        <f>VLOOKUP(E1292,dicionario!$A$1:$C1691,2,0)</f>
        <v>Bidens pilosa</v>
      </c>
      <c r="H1292" s="6" t="str">
        <f>VLOOKUP(E1292,dicionario!$A$1:$C1691,3,0)</f>
        <v>picão-preto</v>
      </c>
    </row>
    <row r="1293">
      <c r="A1293" s="3">
        <v>45582.0</v>
      </c>
      <c r="B1293" s="4">
        <v>0.3375</v>
      </c>
      <c r="C1293" s="5" t="s">
        <v>76</v>
      </c>
      <c r="D1293" s="5" t="s">
        <v>454</v>
      </c>
      <c r="E1293" s="6" t="s">
        <v>496</v>
      </c>
      <c r="F1293" s="7" t="s">
        <v>497</v>
      </c>
      <c r="G1293" s="6" t="str">
        <f>VLOOKUP(E1293,dicionario!$A$1:$C1692,2,0)</f>
        <v>Eclipta prostrata</v>
      </c>
      <c r="H1293" s="6" t="str">
        <f>VLOOKUP(E1293,dicionario!$A$1:$C1692,3,0)</f>
        <v>falsa-margarida</v>
      </c>
    </row>
    <row r="1294">
      <c r="A1294" s="3">
        <v>45582.0</v>
      </c>
      <c r="B1294" s="4">
        <v>0.3375</v>
      </c>
      <c r="C1294" s="5" t="s">
        <v>76</v>
      </c>
      <c r="D1294" s="5" t="s">
        <v>454</v>
      </c>
      <c r="E1294" s="6" t="s">
        <v>267</v>
      </c>
      <c r="F1294" s="7" t="s">
        <v>268</v>
      </c>
      <c r="G1294" s="6" t="str">
        <f>VLOOKUP(E1294,dicionario!$A$1:$C1693,2,0)</f>
        <v>Solanum americanum</v>
      </c>
      <c r="H1294" s="6" t="str">
        <f>VLOOKUP(E1294,dicionario!$A$1:$C1693,3,0)</f>
        <v>maria-pretinha</v>
      </c>
    </row>
    <row r="1295">
      <c r="A1295" s="3">
        <v>45582.0</v>
      </c>
      <c r="B1295" s="4">
        <v>0.33819444444444446</v>
      </c>
      <c r="C1295" s="5" t="s">
        <v>76</v>
      </c>
      <c r="D1295" s="5" t="s">
        <v>454</v>
      </c>
      <c r="E1295" s="6" t="s">
        <v>262</v>
      </c>
      <c r="F1295" s="7" t="s">
        <v>263</v>
      </c>
      <c r="G1295" s="6" t="str">
        <f>VLOOKUP(E1295,dicionario!$A$1:$C1694,2,0)</f>
        <v>Portulaca oleracea</v>
      </c>
      <c r="H1295" s="6" t="str">
        <f>VLOOKUP(E1295,dicionario!$A$1:$C1694,3,0)</f>
        <v>beldroega</v>
      </c>
    </row>
    <row r="1296">
      <c r="A1296" s="3">
        <v>45582.0</v>
      </c>
      <c r="B1296" s="4">
        <v>0.33819444444444446</v>
      </c>
      <c r="C1296" s="5" t="s">
        <v>76</v>
      </c>
      <c r="D1296" s="5" t="s">
        <v>454</v>
      </c>
      <c r="E1296" s="6" t="s">
        <v>390</v>
      </c>
      <c r="F1296" s="7" t="s">
        <v>391</v>
      </c>
      <c r="G1296" s="6" t="str">
        <f>VLOOKUP(E1296,dicionario!$A$1:$C1695,2,0)</f>
        <v>Oxalis barrelieri</v>
      </c>
      <c r="H1296" s="6" t="str">
        <f>VLOOKUP(E1296,dicionario!$A$1:$C1695,3,0)</f>
        <v>erva-azeda; azedinha </v>
      </c>
    </row>
    <row r="1297">
      <c r="A1297" s="3">
        <v>45582.0</v>
      </c>
      <c r="B1297" s="4">
        <v>0.33819444444444446</v>
      </c>
      <c r="C1297" s="5" t="s">
        <v>76</v>
      </c>
      <c r="D1297" s="5" t="s">
        <v>454</v>
      </c>
      <c r="E1297" s="6" t="s">
        <v>227</v>
      </c>
      <c r="F1297" s="7" t="s">
        <v>228</v>
      </c>
      <c r="G1297" s="6" t="str">
        <f>VLOOKUP(E1297,dicionario!$A$1:$C1696,2,0)</f>
        <v>Indigofera hirsuta</v>
      </c>
      <c r="H1297" s="6" t="str">
        <f>VLOOKUP(E1297,dicionario!$A$1:$C1696,3,0)</f>
        <v>anileira</v>
      </c>
    </row>
    <row r="1298">
      <c r="A1298" s="3">
        <v>45582.0</v>
      </c>
      <c r="B1298" s="4">
        <v>0.33819444444444446</v>
      </c>
      <c r="C1298" s="5" t="s">
        <v>76</v>
      </c>
      <c r="D1298" s="5" t="s">
        <v>454</v>
      </c>
      <c r="E1298" s="6" t="s">
        <v>135</v>
      </c>
      <c r="F1298" s="7" t="s">
        <v>136</v>
      </c>
      <c r="G1298" s="6" t="str">
        <f>VLOOKUP(E1298,dicionario!$A$1:$C1697,2,0)</f>
        <v>Tridax procumbens</v>
      </c>
      <c r="H1298" s="6" t="str">
        <f>VLOOKUP(E1298,dicionario!$A$1:$C1697,3,0)</f>
        <v>erva-de-touro</v>
      </c>
    </row>
    <row r="1299">
      <c r="A1299" s="3">
        <v>45582.0</v>
      </c>
      <c r="B1299" s="4">
        <v>0.33819444444444446</v>
      </c>
      <c r="C1299" s="5" t="s">
        <v>76</v>
      </c>
      <c r="D1299" s="5" t="s">
        <v>454</v>
      </c>
      <c r="E1299" s="6" t="s">
        <v>239</v>
      </c>
      <c r="F1299" s="7" t="s">
        <v>240</v>
      </c>
      <c r="G1299" s="6" t="str">
        <f>VLOOKUP(E1299,dicionario!$A$1:$C1698,2,0)</f>
        <v>Gomphrena celosioides</v>
      </c>
      <c r="H1299" s="6" t="str">
        <f>VLOOKUP(E1299,dicionario!$A$1:$C1698,3,0)</f>
        <v>perpétua-branca</v>
      </c>
    </row>
    <row r="1300">
      <c r="A1300" s="3">
        <v>45582.0</v>
      </c>
      <c r="B1300" s="4">
        <v>0.33819444444444446</v>
      </c>
      <c r="C1300" s="5" t="s">
        <v>76</v>
      </c>
      <c r="D1300" s="5" t="s">
        <v>454</v>
      </c>
      <c r="E1300" s="6" t="s">
        <v>243</v>
      </c>
      <c r="F1300" s="7" t="s">
        <v>244</v>
      </c>
      <c r="G1300" s="6" t="str">
        <f>VLOOKUP(E1300,dicionario!$A$1:$C1699,2,0)</f>
        <v>Macroptilium atropurpureum</v>
      </c>
      <c r="H1300" s="6" t="str">
        <f>VLOOKUP(E1300,dicionario!$A$1:$C1699,3,0)</f>
        <v>feijão-de-pombo</v>
      </c>
    </row>
    <row r="1301">
      <c r="A1301" s="3">
        <v>45582.0</v>
      </c>
      <c r="B1301" s="4">
        <v>0.33819444444444446</v>
      </c>
      <c r="C1301" s="5" t="s">
        <v>76</v>
      </c>
      <c r="D1301" s="5" t="s">
        <v>454</v>
      </c>
      <c r="E1301" s="6" t="s">
        <v>20</v>
      </c>
      <c r="F1301" s="7" t="s">
        <v>21</v>
      </c>
      <c r="G1301" s="6" t="str">
        <f>VLOOKUP(E1301,dicionario!$A$1:$C1700,2,0)</f>
        <v>Sicalis flaveola</v>
      </c>
      <c r="H1301" s="6" t="str">
        <f>VLOOKUP(E1301,dicionario!$A$1:$C1700,3,0)</f>
        <v>canário-da-terra</v>
      </c>
    </row>
    <row r="1302">
      <c r="A1302" s="3">
        <v>45582.0</v>
      </c>
      <c r="B1302" s="4">
        <v>0.33819444444444446</v>
      </c>
      <c r="C1302" s="5" t="s">
        <v>76</v>
      </c>
      <c r="D1302" s="5" t="s">
        <v>454</v>
      </c>
      <c r="E1302" s="6" t="s">
        <v>72</v>
      </c>
      <c r="F1302" s="7" t="s">
        <v>73</v>
      </c>
      <c r="G1302" s="6" t="str">
        <f>VLOOKUP(E1302,dicionario!$A$1:$C1701,2,0)</f>
        <v>Thraupis palmarum</v>
      </c>
      <c r="H1302" s="6" t="str">
        <f>VLOOKUP(E1302,dicionario!$A$1:$C1701,3,0)</f>
        <v>sanhaço-do-coqueiro</v>
      </c>
    </row>
    <row r="1303">
      <c r="A1303" s="3">
        <v>45582.0</v>
      </c>
      <c r="B1303" s="4">
        <v>0.34444444444444444</v>
      </c>
      <c r="C1303" s="5" t="s">
        <v>85</v>
      </c>
      <c r="D1303" s="5" t="s">
        <v>454</v>
      </c>
      <c r="E1303" s="6" t="s">
        <v>122</v>
      </c>
      <c r="F1303" s="7" t="s">
        <v>123</v>
      </c>
      <c r="G1303" s="6" t="str">
        <f>VLOOKUP(E1303,dicionario!$A$1:$C1702,2,0)</f>
        <v>Todirostrum cinereum</v>
      </c>
      <c r="H1303" s="6" t="str">
        <f>VLOOKUP(E1303,dicionario!$A$1:$C1702,3,0)</f>
        <v>ferreirinho-relógio</v>
      </c>
    </row>
    <row r="1304">
      <c r="A1304" s="3">
        <v>45582.0</v>
      </c>
      <c r="B1304" s="4">
        <v>0.3451388888888889</v>
      </c>
      <c r="C1304" s="5" t="s">
        <v>85</v>
      </c>
      <c r="D1304" s="5" t="s">
        <v>454</v>
      </c>
      <c r="E1304" s="6" t="s">
        <v>135</v>
      </c>
      <c r="F1304" s="7" t="s">
        <v>136</v>
      </c>
      <c r="G1304" s="6" t="str">
        <f>VLOOKUP(E1304,dicionario!$A$1:$C1703,2,0)</f>
        <v>Tridax procumbens</v>
      </c>
      <c r="H1304" s="6" t="str">
        <f>VLOOKUP(E1304,dicionario!$A$1:$C1703,3,0)</f>
        <v>erva-de-touro</v>
      </c>
    </row>
    <row r="1305">
      <c r="A1305" s="3">
        <v>45582.0</v>
      </c>
      <c r="B1305" s="4">
        <v>0.3451388888888889</v>
      </c>
      <c r="C1305" s="5" t="s">
        <v>85</v>
      </c>
      <c r="D1305" s="5" t="s">
        <v>454</v>
      </c>
      <c r="E1305" s="6" t="s">
        <v>394</v>
      </c>
      <c r="F1305" s="7" t="s">
        <v>395</v>
      </c>
      <c r="G1305" s="6" t="str">
        <f>VLOOKUP(E1305,dicionario!$A$1:$C1704,2,0)</f>
        <v>#N/A</v>
      </c>
      <c r="H1305" s="6" t="str">
        <f>VLOOKUP(E1305,dicionario!$A$1:$C1704,3,0)</f>
        <v>#N/A</v>
      </c>
    </row>
    <row r="1306">
      <c r="A1306" s="3">
        <v>45582.0</v>
      </c>
      <c r="B1306" s="4">
        <v>0.3451388888888889</v>
      </c>
      <c r="C1306" s="5" t="s">
        <v>85</v>
      </c>
      <c r="D1306" s="5" t="s">
        <v>454</v>
      </c>
      <c r="E1306" s="6" t="s">
        <v>53</v>
      </c>
      <c r="F1306" s="7" t="s">
        <v>314</v>
      </c>
      <c r="G1306" s="6" t="str">
        <f>VLOOKUP(E1306,dicionario!$A$1:$C1705,2,0)</f>
        <v>Turnera subulata</v>
      </c>
      <c r="H1306" s="6" t="str">
        <f>VLOOKUP(E1306,dicionario!$A$1:$C1705,3,0)</f>
        <v>xanana</v>
      </c>
    </row>
    <row r="1307">
      <c r="A1307" s="3">
        <v>45582.0</v>
      </c>
      <c r="B1307" s="4">
        <v>0.3451388888888889</v>
      </c>
      <c r="C1307" s="5" t="s">
        <v>85</v>
      </c>
      <c r="D1307" s="5" t="s">
        <v>454</v>
      </c>
      <c r="E1307" s="6" t="s">
        <v>227</v>
      </c>
      <c r="F1307" s="7" t="s">
        <v>228</v>
      </c>
      <c r="G1307" s="6" t="str">
        <f>VLOOKUP(E1307,dicionario!$A$1:$C1706,2,0)</f>
        <v>Indigofera hirsuta</v>
      </c>
      <c r="H1307" s="6" t="str">
        <f>VLOOKUP(E1307,dicionario!$A$1:$C1706,3,0)</f>
        <v>anileira</v>
      </c>
    </row>
    <row r="1308">
      <c r="A1308" s="3">
        <v>45582.0</v>
      </c>
      <c r="B1308" s="4">
        <v>0.3458333333333333</v>
      </c>
      <c r="C1308" s="5" t="s">
        <v>85</v>
      </c>
      <c r="D1308" s="5" t="s">
        <v>454</v>
      </c>
      <c r="E1308" s="6" t="s">
        <v>253</v>
      </c>
      <c r="F1308" s="7" t="s">
        <v>254</v>
      </c>
      <c r="G1308" s="6" t="str">
        <f>VLOOKUP(E1308,dicionario!$A$1:$C1707,2,0)</f>
        <v>Panicum maximum</v>
      </c>
      <c r="H1308" s="6" t="str">
        <f>VLOOKUP(E1308,dicionario!$A$1:$C1707,3,0)</f>
        <v>capim-colonião</v>
      </c>
    </row>
    <row r="1309">
      <c r="A1309" s="3">
        <v>45582.0</v>
      </c>
      <c r="B1309" s="4">
        <v>0.34652777777777777</v>
      </c>
      <c r="C1309" s="5" t="s">
        <v>85</v>
      </c>
      <c r="D1309" s="5" t="s">
        <v>454</v>
      </c>
      <c r="E1309" s="6" t="s">
        <v>296</v>
      </c>
      <c r="F1309" s="7" t="s">
        <v>297</v>
      </c>
      <c r="G1309" s="6" t="str">
        <f>VLOOKUP(E1309,dicionario!$A$1:$C1708,2,0)</f>
        <v>Richardia brasiliensis</v>
      </c>
      <c r="H1309" s="6" t="str">
        <f>VLOOKUP(E1309,dicionario!$A$1:$C1708,3,0)</f>
        <v>poaia-branca</v>
      </c>
    </row>
    <row r="1310">
      <c r="A1310" s="3">
        <v>45582.0</v>
      </c>
      <c r="B1310" s="4">
        <v>0.34652777777777777</v>
      </c>
      <c r="C1310" s="5" t="s">
        <v>85</v>
      </c>
      <c r="D1310" s="5" t="s">
        <v>454</v>
      </c>
      <c r="E1310" s="6" t="s">
        <v>239</v>
      </c>
      <c r="F1310" s="7" t="s">
        <v>240</v>
      </c>
      <c r="G1310" s="6" t="str">
        <f>VLOOKUP(E1310,dicionario!$A$1:$C1709,2,0)</f>
        <v>Gomphrena celosioides</v>
      </c>
      <c r="H1310" s="6" t="str">
        <f>VLOOKUP(E1310,dicionario!$A$1:$C1709,3,0)</f>
        <v>perpétua-branca</v>
      </c>
    </row>
    <row r="1311">
      <c r="A1311" s="3">
        <v>45582.0</v>
      </c>
      <c r="B1311" s="4">
        <v>0.34652777777777777</v>
      </c>
      <c r="C1311" s="5" t="s">
        <v>85</v>
      </c>
      <c r="D1311" s="5" t="s">
        <v>454</v>
      </c>
      <c r="E1311" s="6" t="s">
        <v>143</v>
      </c>
      <c r="F1311" s="7" t="s">
        <v>63</v>
      </c>
      <c r="G1311" s="6" t="str">
        <f>VLOOKUP(E1311,dicionario!$A$1:$C1710,2,0)</f>
        <v>Polybia</v>
      </c>
      <c r="H1311" s="6" t="str">
        <f>VLOOKUP(E1311,dicionario!$A$1:$C1710,3,0)</f>
        <v>vespa</v>
      </c>
    </row>
    <row r="1312">
      <c r="A1312" s="3">
        <v>45582.0</v>
      </c>
      <c r="B1312" s="4">
        <v>0.34652777777777777</v>
      </c>
      <c r="C1312" s="5" t="s">
        <v>85</v>
      </c>
      <c r="D1312" s="5" t="s">
        <v>454</v>
      </c>
      <c r="E1312" s="6" t="s">
        <v>109</v>
      </c>
      <c r="F1312" s="7" t="s">
        <v>110</v>
      </c>
      <c r="G1312" s="6" t="str">
        <f>VLOOKUP(E1312,dicionario!$A$1:$C1711,2,0)</f>
        <v>Tillandsia stricta</v>
      </c>
      <c r="H1312" s="6" t="str">
        <f>VLOOKUP(E1312,dicionario!$A$1:$C1711,3,0)</f>
        <v>cravo-do-mato</v>
      </c>
    </row>
    <row r="1313">
      <c r="A1313" s="3">
        <v>45582.0</v>
      </c>
      <c r="B1313" s="4">
        <v>0.3472222222222222</v>
      </c>
      <c r="C1313" s="5" t="s">
        <v>85</v>
      </c>
      <c r="D1313" s="5" t="s">
        <v>454</v>
      </c>
      <c r="E1313" s="6" t="s">
        <v>41</v>
      </c>
      <c r="F1313" s="7" t="s">
        <v>45</v>
      </c>
      <c r="G1313" s="6" t="str">
        <f>VLOOKUP(E1313,dicionario!$A$1:$C1712,2,0)</f>
        <v>Mimosa pudica</v>
      </c>
      <c r="H1313" s="6" t="str">
        <f>VLOOKUP(E1313,dicionario!$A$1:$C1712,3,0)</f>
        <v>dormideira</v>
      </c>
    </row>
    <row r="1314">
      <c r="A1314" s="3">
        <v>45582.0</v>
      </c>
      <c r="B1314" s="4">
        <v>0.3472222222222222</v>
      </c>
      <c r="C1314" s="5" t="s">
        <v>85</v>
      </c>
      <c r="D1314" s="5" t="s">
        <v>454</v>
      </c>
      <c r="E1314" s="6" t="s">
        <v>14</v>
      </c>
      <c r="F1314" s="7" t="s">
        <v>15</v>
      </c>
      <c r="G1314" s="6" t="str">
        <f>VLOOKUP(E1314,dicionario!$A$1:$C1713,2,0)</f>
        <v>Spermacoce verticillata</v>
      </c>
      <c r="H1314" s="6" t="str">
        <f>VLOOKUP(E1314,dicionario!$A$1:$C1713,3,0)</f>
        <v>vassourinha-de-botão</v>
      </c>
    </row>
    <row r="1315">
      <c r="A1315" s="3">
        <v>45582.0</v>
      </c>
      <c r="B1315" s="4">
        <v>0.34791666666666665</v>
      </c>
      <c r="C1315" s="5" t="s">
        <v>85</v>
      </c>
      <c r="D1315" s="5" t="s">
        <v>454</v>
      </c>
      <c r="E1315" s="6" t="s">
        <v>65</v>
      </c>
      <c r="F1315" s="7" t="s">
        <v>66</v>
      </c>
      <c r="G1315" s="6" t="str">
        <f>VLOOKUP(E1315,dicionario!$A$1:$C1714,2,0)</f>
        <v>Pitangus sulphutarus</v>
      </c>
      <c r="H1315" s="6" t="str">
        <f>VLOOKUP(E1315,dicionario!$A$1:$C1714,3,0)</f>
        <v>bem-te-vi</v>
      </c>
    </row>
    <row r="1316">
      <c r="A1316" s="3">
        <v>45582.0</v>
      </c>
      <c r="B1316" s="4">
        <v>0.34791666666666665</v>
      </c>
      <c r="C1316" s="5" t="s">
        <v>85</v>
      </c>
      <c r="D1316" s="5" t="s">
        <v>454</v>
      </c>
      <c r="E1316" s="6" t="s">
        <v>215</v>
      </c>
      <c r="F1316" s="7" t="s">
        <v>216</v>
      </c>
      <c r="G1316" s="6" t="str">
        <f>VLOOKUP(E1316,dicionario!$A$1:$C1715,2,0)</f>
        <v>Pygochelidon cyanoleuca</v>
      </c>
      <c r="H1316" s="6" t="str">
        <f>VLOOKUP(E1316,dicionario!$A$1:$C1715,3,0)</f>
        <v>andorinha-pequena-de-casa</v>
      </c>
    </row>
    <row r="1317">
      <c r="A1317" s="3">
        <v>45582.0</v>
      </c>
      <c r="B1317" s="4">
        <v>0.34791666666666665</v>
      </c>
      <c r="C1317" s="5" t="s">
        <v>85</v>
      </c>
      <c r="D1317" s="5" t="s">
        <v>454</v>
      </c>
      <c r="E1317" s="6" t="s">
        <v>265</v>
      </c>
      <c r="F1317" s="7" t="s">
        <v>266</v>
      </c>
      <c r="G1317" s="6" t="str">
        <f>VLOOKUP(E1317,dicionario!$A$1:$C1716,2,0)</f>
        <v>Sonchus oleraceus</v>
      </c>
      <c r="H1317" s="6" t="str">
        <f>VLOOKUP(E1317,dicionario!$A$1:$C1716,3,0)</f>
        <v>seralha</v>
      </c>
    </row>
    <row r="1318">
      <c r="A1318" s="3">
        <v>45582.0</v>
      </c>
      <c r="B1318" s="4">
        <v>0.3486111111111111</v>
      </c>
      <c r="C1318" s="5" t="s">
        <v>85</v>
      </c>
      <c r="D1318" s="5" t="s">
        <v>454</v>
      </c>
      <c r="E1318" s="6" t="s">
        <v>51</v>
      </c>
      <c r="F1318" s="7" t="s">
        <v>77</v>
      </c>
      <c r="G1318" s="6" t="str">
        <f>VLOOKUP(E1318,dicionario!$A$1:$C1717,2,0)</f>
        <v>Solenopsis</v>
      </c>
      <c r="H1318" s="6" t="str">
        <f>VLOOKUP(E1318,dicionario!$A$1:$C1717,3,0)</f>
        <v>formiga-quente; formiga-lava-pés; formiga-de-fogo</v>
      </c>
    </row>
    <row r="1319">
      <c r="A1319" s="3">
        <v>45582.0</v>
      </c>
      <c r="B1319" s="4">
        <v>0.3486111111111111</v>
      </c>
      <c r="C1319" s="5" t="s">
        <v>85</v>
      </c>
      <c r="D1319" s="5" t="s">
        <v>454</v>
      </c>
      <c r="E1319" s="6" t="s">
        <v>369</v>
      </c>
      <c r="F1319" s="7" t="s">
        <v>35</v>
      </c>
      <c r="G1319" s="6" t="str">
        <f>VLOOKUP(E1319,dicionario!$A$1:$C1718,2,0)</f>
        <v>#N/A</v>
      </c>
      <c r="H1319" s="6" t="str">
        <f>VLOOKUP(E1319,dicionario!$A$1:$C1718,3,0)</f>
        <v>#N/A</v>
      </c>
    </row>
    <row r="1320">
      <c r="A1320" s="3">
        <v>45582.0</v>
      </c>
      <c r="B1320" s="4">
        <v>0.3506944444444444</v>
      </c>
      <c r="C1320" s="5" t="s">
        <v>85</v>
      </c>
      <c r="D1320" s="5" t="s">
        <v>454</v>
      </c>
      <c r="E1320" s="6" t="s">
        <v>360</v>
      </c>
      <c r="F1320" s="5" t="s">
        <v>361</v>
      </c>
      <c r="G1320" s="6" t="str">
        <f>VLOOKUP(E1320,dicionario!$A$1:$C1719,2,0)</f>
        <v>Chamaecrista rotundifolia</v>
      </c>
      <c r="H1320" s="6" t="str">
        <f>VLOOKUP(E1320,dicionario!$A$1:$C1719,3,0)</f>
        <v>alfafa-nativa</v>
      </c>
    </row>
    <row r="1321">
      <c r="A1321" s="3">
        <v>45582.0</v>
      </c>
      <c r="B1321" s="4">
        <v>0.3506944444444444</v>
      </c>
      <c r="C1321" s="5" t="s">
        <v>85</v>
      </c>
      <c r="D1321" s="5" t="s">
        <v>454</v>
      </c>
      <c r="E1321" s="6" t="s">
        <v>113</v>
      </c>
      <c r="F1321" s="7" t="s">
        <v>114</v>
      </c>
      <c r="G1321" s="6" t="str">
        <f>VLOOKUP(E1321,dicionario!$A$1:$C1720,2,0)</f>
        <v>Columbina talpacoti</v>
      </c>
      <c r="H1321" s="6" t="str">
        <f>VLOOKUP(E1321,dicionario!$A$1:$C1720,3,0)</f>
        <v>rolinha-roxa</v>
      </c>
    </row>
    <row r="1322">
      <c r="A1322" s="3">
        <v>45582.0</v>
      </c>
      <c r="B1322" s="4">
        <v>0.35208333333333336</v>
      </c>
      <c r="C1322" s="5" t="s">
        <v>90</v>
      </c>
      <c r="D1322" s="5" t="s">
        <v>454</v>
      </c>
      <c r="E1322" s="6" t="s">
        <v>53</v>
      </c>
      <c r="F1322" s="7" t="s">
        <v>314</v>
      </c>
      <c r="G1322" s="6" t="str">
        <f>VLOOKUP(E1322,dicionario!$A$1:$C1721,2,0)</f>
        <v>Turnera subulata</v>
      </c>
      <c r="H1322" s="6" t="str">
        <f>VLOOKUP(E1322,dicionario!$A$1:$C1721,3,0)</f>
        <v>xanana</v>
      </c>
    </row>
    <row r="1323">
      <c r="A1323" s="3">
        <v>45582.0</v>
      </c>
      <c r="B1323" s="4">
        <v>0.35208333333333336</v>
      </c>
      <c r="C1323" s="5" t="s">
        <v>90</v>
      </c>
      <c r="D1323" s="5" t="s">
        <v>454</v>
      </c>
      <c r="E1323" s="6" t="s">
        <v>43</v>
      </c>
      <c r="F1323" s="7" t="s">
        <v>44</v>
      </c>
      <c r="G1323" s="6" t="str">
        <f>VLOOKUP(E1323,dicionario!$A$1:$C1722,2,0)</f>
        <v>Columba livia</v>
      </c>
      <c r="H1323" s="6" t="str">
        <f>VLOOKUP(E1323,dicionario!$A$1:$C1722,3,0)</f>
        <v>pombo-doméstico</v>
      </c>
    </row>
    <row r="1324">
      <c r="A1324" s="3">
        <v>45582.0</v>
      </c>
      <c r="B1324" s="4">
        <v>0.35208333333333336</v>
      </c>
      <c r="C1324" s="5" t="s">
        <v>90</v>
      </c>
      <c r="D1324" s="5" t="s">
        <v>454</v>
      </c>
      <c r="E1324" s="6" t="s">
        <v>135</v>
      </c>
      <c r="F1324" s="7" t="s">
        <v>136</v>
      </c>
      <c r="G1324" s="6" t="str">
        <f>VLOOKUP(E1324,dicionario!$A$1:$C1723,2,0)</f>
        <v>Tridax procumbens</v>
      </c>
      <c r="H1324" s="6" t="str">
        <f>VLOOKUP(E1324,dicionario!$A$1:$C1723,3,0)</f>
        <v>erva-de-touro</v>
      </c>
    </row>
    <row r="1325">
      <c r="A1325" s="3">
        <v>45582.0</v>
      </c>
      <c r="B1325" s="4">
        <v>0.35208333333333336</v>
      </c>
      <c r="C1325" s="5" t="s">
        <v>90</v>
      </c>
      <c r="D1325" s="5" t="s">
        <v>454</v>
      </c>
      <c r="E1325" s="6" t="s">
        <v>195</v>
      </c>
      <c r="F1325" s="7" t="s">
        <v>196</v>
      </c>
      <c r="G1325" s="6" t="str">
        <f>VLOOKUP(E1325,dicionario!$A$1:$C1724,2,0)</f>
        <v>Priva lappulacea</v>
      </c>
      <c r="H1325" s="6" t="str">
        <f>VLOOKUP(E1325,dicionario!$A$1:$C1724,3,0)</f>
        <v>carrapicho</v>
      </c>
    </row>
    <row r="1326">
      <c r="A1326" s="3">
        <v>45582.0</v>
      </c>
      <c r="B1326" s="4">
        <v>0.3527777777777778</v>
      </c>
      <c r="C1326" s="5" t="s">
        <v>90</v>
      </c>
      <c r="D1326" s="5" t="s">
        <v>454</v>
      </c>
      <c r="E1326" s="6" t="s">
        <v>288</v>
      </c>
      <c r="F1326" s="7" t="s">
        <v>289</v>
      </c>
      <c r="G1326" s="6" t="str">
        <f>VLOOKUP(E1326,dicionario!$A$1:$C1725,2,0)</f>
        <v>Phyllanthus tenellus</v>
      </c>
      <c r="H1326" s="6" t="str">
        <f>VLOOKUP(E1326,dicionario!$A$1:$C1725,3,0)</f>
        <v>quebra-pedra</v>
      </c>
    </row>
    <row r="1327">
      <c r="A1327" s="3">
        <v>45582.0</v>
      </c>
      <c r="B1327" s="4">
        <v>0.3527777777777778</v>
      </c>
      <c r="C1327" s="5" t="s">
        <v>90</v>
      </c>
      <c r="D1327" s="5" t="s">
        <v>454</v>
      </c>
      <c r="E1327" s="6" t="s">
        <v>498</v>
      </c>
      <c r="F1327" s="7" t="s">
        <v>499</v>
      </c>
      <c r="G1327" s="6" t="str">
        <f>VLOOKUP(E1327,dicionario!$A$1:$C1726,2,0)</f>
        <v>Brachiaria decumbens</v>
      </c>
      <c r="H1327" s="6" t="str">
        <f>VLOOKUP(E1327,dicionario!$A$1:$C1726,3,0)</f>
        <v>capim-braquiária</v>
      </c>
    </row>
    <row r="1328">
      <c r="A1328" s="3">
        <v>45582.0</v>
      </c>
      <c r="B1328" s="4">
        <v>0.3527777777777778</v>
      </c>
      <c r="C1328" s="5" t="s">
        <v>90</v>
      </c>
      <c r="D1328" s="5" t="s">
        <v>454</v>
      </c>
      <c r="E1328" s="6" t="s">
        <v>14</v>
      </c>
      <c r="F1328" s="7" t="s">
        <v>15</v>
      </c>
      <c r="G1328" s="6" t="str">
        <f>VLOOKUP(E1328,dicionario!$A$1:$C1727,2,0)</f>
        <v>Spermacoce verticillata</v>
      </c>
      <c r="H1328" s="6" t="str">
        <f>VLOOKUP(E1328,dicionario!$A$1:$C1727,3,0)</f>
        <v>vassourinha-de-botão</v>
      </c>
    </row>
    <row r="1329">
      <c r="A1329" s="3">
        <v>45582.0</v>
      </c>
      <c r="B1329" s="4">
        <v>0.3527777777777778</v>
      </c>
      <c r="C1329" s="5" t="s">
        <v>90</v>
      </c>
      <c r="D1329" s="5" t="s">
        <v>454</v>
      </c>
      <c r="E1329" s="6" t="s">
        <v>227</v>
      </c>
      <c r="F1329" s="7" t="s">
        <v>228</v>
      </c>
      <c r="G1329" s="6" t="str">
        <f>VLOOKUP(E1329,dicionario!$A$1:$C1728,2,0)</f>
        <v>Indigofera hirsuta</v>
      </c>
      <c r="H1329" s="6" t="str">
        <f>VLOOKUP(E1329,dicionario!$A$1:$C1728,3,0)</f>
        <v>anileira</v>
      </c>
    </row>
    <row r="1330">
      <c r="A1330" s="3">
        <v>45582.0</v>
      </c>
      <c r="B1330" s="4">
        <v>0.35347222222222224</v>
      </c>
      <c r="C1330" s="5" t="s">
        <v>90</v>
      </c>
      <c r="D1330" s="5" t="s">
        <v>454</v>
      </c>
      <c r="E1330" s="6" t="s">
        <v>113</v>
      </c>
      <c r="F1330" s="7" t="s">
        <v>114</v>
      </c>
      <c r="G1330" s="6" t="str">
        <f>VLOOKUP(E1330,dicionario!$A$1:$C1729,2,0)</f>
        <v>Columbina talpacoti</v>
      </c>
      <c r="H1330" s="6" t="str">
        <f>VLOOKUP(E1330,dicionario!$A$1:$C1729,3,0)</f>
        <v>rolinha-roxa</v>
      </c>
    </row>
    <row r="1331">
      <c r="A1331" s="3">
        <v>45582.0</v>
      </c>
      <c r="B1331" s="4">
        <v>0.35347222222222224</v>
      </c>
      <c r="C1331" s="5" t="s">
        <v>90</v>
      </c>
      <c r="D1331" s="5" t="s">
        <v>454</v>
      </c>
      <c r="E1331" s="6" t="s">
        <v>162</v>
      </c>
      <c r="F1331" s="7" t="s">
        <v>42</v>
      </c>
      <c r="G1331" s="6" t="str">
        <f>VLOOKUP(E1331,dicionario!$A$1:$C1730,2,0)</f>
        <v>Fluvicola nengeta</v>
      </c>
      <c r="H1331" s="6" t="str">
        <f>VLOOKUP(E1331,dicionario!$A$1:$C1730,3,0)</f>
        <v>lavadeira-mascarada</v>
      </c>
    </row>
    <row r="1332">
      <c r="A1332" s="3">
        <v>45582.0</v>
      </c>
      <c r="B1332" s="4">
        <v>0.3541666666666667</v>
      </c>
      <c r="C1332" s="5" t="s">
        <v>90</v>
      </c>
      <c r="D1332" s="5" t="s">
        <v>454</v>
      </c>
      <c r="E1332" s="6" t="s">
        <v>175</v>
      </c>
      <c r="F1332" s="7" t="s">
        <v>176</v>
      </c>
      <c r="G1332" s="6" t="str">
        <f>VLOOKUP(E1332,dicionario!$A$1:$C1731,2,0)</f>
        <v>Turdus leucomelas</v>
      </c>
      <c r="H1332" s="6" t="str">
        <f>VLOOKUP(E1332,dicionario!$A$1:$C1731,3,0)</f>
        <v>sabiá-barranco</v>
      </c>
    </row>
    <row r="1333">
      <c r="A1333" s="3">
        <v>45582.0</v>
      </c>
      <c r="B1333" s="4">
        <v>0.3541666666666667</v>
      </c>
      <c r="C1333" s="5" t="s">
        <v>90</v>
      </c>
      <c r="D1333" s="5" t="s">
        <v>454</v>
      </c>
      <c r="E1333" s="6" t="s">
        <v>105</v>
      </c>
      <c r="F1333" s="7" t="s">
        <v>106</v>
      </c>
      <c r="G1333" s="6" t="str">
        <f>VLOOKUP(E1333,dicionario!$A$1:$C1732,2,0)</f>
        <v>Progne tapera</v>
      </c>
      <c r="H1333" s="6" t="str">
        <f>VLOOKUP(E1333,dicionario!$A$1:$C1732,3,0)</f>
        <v>andorinha-do-campo</v>
      </c>
    </row>
    <row r="1334">
      <c r="A1334" s="3">
        <v>45582.0</v>
      </c>
      <c r="B1334" s="4">
        <v>0.3548611111111111</v>
      </c>
      <c r="C1334" s="5" t="s">
        <v>90</v>
      </c>
      <c r="D1334" s="5" t="s">
        <v>454</v>
      </c>
      <c r="E1334" s="6" t="s">
        <v>215</v>
      </c>
      <c r="F1334" s="7" t="s">
        <v>216</v>
      </c>
      <c r="G1334" s="6" t="str">
        <f>VLOOKUP(E1334,dicionario!$A$1:$C1733,2,0)</f>
        <v>Pygochelidon cyanoleuca</v>
      </c>
      <c r="H1334" s="6" t="str">
        <f>VLOOKUP(E1334,dicionario!$A$1:$C1733,3,0)</f>
        <v>andorinha-pequena-de-casa</v>
      </c>
    </row>
    <row r="1335">
      <c r="A1335" s="3">
        <v>45582.0</v>
      </c>
      <c r="B1335" s="4">
        <v>0.35625</v>
      </c>
      <c r="C1335" s="5" t="s">
        <v>90</v>
      </c>
      <c r="D1335" s="5" t="s">
        <v>454</v>
      </c>
      <c r="E1335" s="6" t="s">
        <v>204</v>
      </c>
      <c r="F1335" s="7" t="s">
        <v>205</v>
      </c>
      <c r="G1335" s="6" t="str">
        <f>VLOOKUP(E1335,dicionario!$A$1:$C1734,2,0)</f>
        <v>Vespidae</v>
      </c>
      <c r="H1335" s="6" t="str">
        <f>VLOOKUP(E1335,dicionario!$A$1:$C1734,3,0)</f>
        <v>vespa</v>
      </c>
    </row>
    <row r="1336">
      <c r="A1336" s="3">
        <v>45582.0</v>
      </c>
      <c r="B1336" s="4">
        <v>0.35694444444444445</v>
      </c>
      <c r="C1336" s="5" t="s">
        <v>90</v>
      </c>
      <c r="D1336" s="5" t="s">
        <v>454</v>
      </c>
      <c r="E1336" s="6" t="s">
        <v>65</v>
      </c>
      <c r="F1336" s="7" t="s">
        <v>66</v>
      </c>
      <c r="G1336" s="6" t="str">
        <f>VLOOKUP(E1336,dicionario!$A$1:$C1735,2,0)</f>
        <v>Pitangus sulphutarus</v>
      </c>
      <c r="H1336" s="6" t="str">
        <f>VLOOKUP(E1336,dicionario!$A$1:$C1735,3,0)</f>
        <v>bem-te-vi</v>
      </c>
    </row>
    <row r="1337">
      <c r="A1337" s="3">
        <v>45582.0</v>
      </c>
      <c r="B1337" s="4">
        <v>0.3576388888888889</v>
      </c>
      <c r="C1337" s="5" t="s">
        <v>90</v>
      </c>
      <c r="D1337" s="5" t="s">
        <v>454</v>
      </c>
      <c r="E1337" s="6" t="s">
        <v>31</v>
      </c>
      <c r="F1337" s="7" t="s">
        <v>32</v>
      </c>
      <c r="G1337" s="6" t="str">
        <f>VLOOKUP(E1337,dicionario!$A$1:$C1736,2,0)</f>
        <v>Furnarius rufus</v>
      </c>
      <c r="H1337" s="6" t="str">
        <f>VLOOKUP(E1337,dicionario!$A$1:$C1736,3,0)</f>
        <v>joão-de-barro</v>
      </c>
    </row>
    <row r="1338">
      <c r="A1338" s="3">
        <v>45582.0</v>
      </c>
      <c r="B1338" s="4">
        <v>0.3576388888888889</v>
      </c>
      <c r="C1338" s="5" t="s">
        <v>90</v>
      </c>
      <c r="D1338" s="5" t="s">
        <v>454</v>
      </c>
      <c r="E1338" s="6" t="s">
        <v>338</v>
      </c>
      <c r="F1338" s="7" t="s">
        <v>35</v>
      </c>
      <c r="G1338" s="6" t="str">
        <f>VLOOKUP(E1338,dicionario!$A$1:$C1737,2,0)</f>
        <v>Atta</v>
      </c>
      <c r="H1338" s="6" t="str">
        <f>VLOOKUP(E1338,dicionario!$A$1:$C1737,3,0)</f>
        <v>saúva</v>
      </c>
    </row>
    <row r="1339">
      <c r="A1339" s="3">
        <v>45582.0</v>
      </c>
      <c r="B1339" s="4">
        <v>0.35833333333333334</v>
      </c>
      <c r="C1339" s="5" t="s">
        <v>90</v>
      </c>
      <c r="D1339" s="5" t="s">
        <v>454</v>
      </c>
      <c r="E1339" s="6" t="s">
        <v>148</v>
      </c>
      <c r="F1339" s="7" t="s">
        <v>149</v>
      </c>
      <c r="G1339" s="6" t="str">
        <f>VLOOKUP(E1339,dicionario!$A$1:$C1738,2,0)</f>
        <v>Parthenium hysterophorus</v>
      </c>
      <c r="H1339" s="6" t="str">
        <f>VLOOKUP(E1339,dicionario!$A$1:$C1738,3,0)</f>
        <v>losna-branca</v>
      </c>
    </row>
    <row r="1340">
      <c r="A1340" s="3">
        <v>45582.0</v>
      </c>
      <c r="B1340" s="4">
        <v>0.35833333333333334</v>
      </c>
      <c r="C1340" s="5" t="s">
        <v>90</v>
      </c>
      <c r="D1340" s="5" t="s">
        <v>454</v>
      </c>
      <c r="E1340" s="6" t="s">
        <v>146</v>
      </c>
      <c r="F1340" s="7" t="s">
        <v>147</v>
      </c>
      <c r="G1340" s="6" t="str">
        <f>VLOOKUP(E1340,dicionario!$A$1:$C1739,2,0)</f>
        <v>Euphorbia hirta</v>
      </c>
      <c r="H1340" s="6" t="str">
        <f>VLOOKUP(E1340,dicionario!$A$1:$C1739,3,0)</f>
        <v>erva-de-santa-luzia</v>
      </c>
    </row>
    <row r="1341">
      <c r="A1341" s="3">
        <v>45582.0</v>
      </c>
      <c r="B1341" s="4">
        <v>0.35833333333333334</v>
      </c>
      <c r="C1341" s="5" t="s">
        <v>90</v>
      </c>
      <c r="D1341" s="5" t="s">
        <v>454</v>
      </c>
      <c r="E1341" s="6" t="s">
        <v>296</v>
      </c>
      <c r="F1341" s="7" t="s">
        <v>297</v>
      </c>
      <c r="G1341" s="6" t="str">
        <f>VLOOKUP(E1341,dicionario!$A$1:$C1740,2,0)</f>
        <v>Richardia brasiliensis</v>
      </c>
      <c r="H1341" s="6" t="str">
        <f>VLOOKUP(E1341,dicionario!$A$1:$C1740,3,0)</f>
        <v>poaia-branca</v>
      </c>
    </row>
    <row r="1342">
      <c r="A1342" s="3">
        <v>45582.0</v>
      </c>
      <c r="B1342" s="4">
        <v>0.3590277777777778</v>
      </c>
      <c r="C1342" s="5" t="s">
        <v>90</v>
      </c>
      <c r="D1342" s="5" t="s">
        <v>454</v>
      </c>
      <c r="E1342" s="6" t="s">
        <v>271</v>
      </c>
      <c r="F1342" s="7" t="s">
        <v>272</v>
      </c>
      <c r="G1342" s="6" t="str">
        <f>VLOOKUP(E1342,dicionario!$A$1:$C1741,2,0)</f>
        <v>Cyanthillium cinereum</v>
      </c>
      <c r="H1342" s="6" t="str">
        <f>VLOOKUP(E1342,dicionario!$A$1:$C1741,3,0)</f>
        <v>emília</v>
      </c>
    </row>
    <row r="1343">
      <c r="A1343" s="3">
        <v>45582.0</v>
      </c>
      <c r="B1343" s="4">
        <v>0.3590277777777778</v>
      </c>
      <c r="C1343" s="5" t="s">
        <v>90</v>
      </c>
      <c r="D1343" s="5" t="s">
        <v>454</v>
      </c>
      <c r="E1343" s="6" t="s">
        <v>353</v>
      </c>
      <c r="F1343" s="7" t="s">
        <v>354</v>
      </c>
      <c r="G1343" s="6" t="str">
        <f>VLOOKUP(E1343,dicionario!$A$1:$C1742,2,0)</f>
        <v>Desmodium incanum</v>
      </c>
      <c r="H1343" s="6" t="str">
        <f>VLOOKUP(E1343,dicionario!$A$1:$C1742,3,0)</f>
        <v>pega-pega</v>
      </c>
    </row>
    <row r="1344">
      <c r="A1344" s="3">
        <v>45589.0</v>
      </c>
      <c r="B1344" s="4">
        <v>0.2659722222222222</v>
      </c>
      <c r="C1344" s="5" t="s">
        <v>90</v>
      </c>
      <c r="D1344" s="5" t="s">
        <v>500</v>
      </c>
      <c r="E1344" s="6" t="s">
        <v>31</v>
      </c>
      <c r="F1344" s="7" t="s">
        <v>32</v>
      </c>
      <c r="G1344" s="6" t="str">
        <f>VLOOKUP(E1344,dicionario!$A$1:$C1743,2,0)</f>
        <v>Furnarius rufus</v>
      </c>
      <c r="H1344" s="6" t="str">
        <f>VLOOKUP(E1344,dicionario!$A$1:$C1743,3,0)</f>
        <v>joão-de-barro</v>
      </c>
    </row>
    <row r="1345">
      <c r="A1345" s="3">
        <v>45589.0</v>
      </c>
      <c r="B1345" s="4">
        <v>0.2659722222222222</v>
      </c>
      <c r="C1345" s="5" t="s">
        <v>90</v>
      </c>
      <c r="D1345" s="5" t="s">
        <v>500</v>
      </c>
      <c r="E1345" s="6" t="s">
        <v>65</v>
      </c>
      <c r="F1345" s="7" t="s">
        <v>66</v>
      </c>
      <c r="G1345" s="6" t="str">
        <f>VLOOKUP(E1345,dicionario!$A$1:$C1744,2,0)</f>
        <v>Pitangus sulphutarus</v>
      </c>
      <c r="H1345" s="6" t="str">
        <f>VLOOKUP(E1345,dicionario!$A$1:$C1744,3,0)</f>
        <v>bem-te-vi</v>
      </c>
    </row>
    <row r="1346">
      <c r="A1346" s="3">
        <v>45589.0</v>
      </c>
      <c r="B1346" s="4">
        <v>0.26666666666666666</v>
      </c>
      <c r="C1346" s="5" t="s">
        <v>90</v>
      </c>
      <c r="D1346" s="5" t="s">
        <v>500</v>
      </c>
      <c r="E1346" s="6" t="s">
        <v>43</v>
      </c>
      <c r="F1346" s="7" t="s">
        <v>44</v>
      </c>
      <c r="G1346" s="6" t="str">
        <f>VLOOKUP(E1346,dicionario!$A$1:$C1745,2,0)</f>
        <v>Columba livia</v>
      </c>
      <c r="H1346" s="6" t="str">
        <f>VLOOKUP(E1346,dicionario!$A$1:$C1745,3,0)</f>
        <v>pombo-doméstico</v>
      </c>
    </row>
    <row r="1347">
      <c r="A1347" s="3">
        <v>45589.0</v>
      </c>
      <c r="B1347" s="4">
        <v>0.26666666666666666</v>
      </c>
      <c r="C1347" s="5" t="s">
        <v>90</v>
      </c>
      <c r="D1347" s="5" t="s">
        <v>500</v>
      </c>
      <c r="E1347" s="18" t="s">
        <v>158</v>
      </c>
      <c r="F1347" s="7" t="s">
        <v>159</v>
      </c>
      <c r="G1347" s="6" t="str">
        <f>VLOOKUP(E1347,dicionario!$A$1:$C1746,2,0)</f>
        <v>Nephilingis cruentata</v>
      </c>
      <c r="H1347" s="6" t="str">
        <f>VLOOKUP(E1347,dicionario!$A$1:$C1746,3,0)</f>
        <v>maria-bola</v>
      </c>
    </row>
    <row r="1348">
      <c r="A1348" s="3">
        <v>45589.0</v>
      </c>
      <c r="B1348" s="4">
        <v>0.26666666666666666</v>
      </c>
      <c r="C1348" s="5" t="s">
        <v>90</v>
      </c>
      <c r="D1348" s="5" t="s">
        <v>500</v>
      </c>
      <c r="E1348" s="6" t="s">
        <v>338</v>
      </c>
      <c r="F1348" s="7" t="s">
        <v>238</v>
      </c>
      <c r="G1348" s="6" t="str">
        <f>VLOOKUP(E1348,dicionario!$A$1:$C1747,2,0)</f>
        <v>Atta</v>
      </c>
      <c r="H1348" s="6" t="str">
        <f>VLOOKUP(E1348,dicionario!$A$1:$C1747,3,0)</f>
        <v>saúva</v>
      </c>
    </row>
    <row r="1349">
      <c r="A1349" s="3">
        <v>45589.0</v>
      </c>
      <c r="B1349" s="4">
        <v>0.26666666666666666</v>
      </c>
      <c r="C1349" s="5" t="s">
        <v>90</v>
      </c>
      <c r="D1349" s="5" t="s">
        <v>500</v>
      </c>
      <c r="E1349" s="6" t="s">
        <v>353</v>
      </c>
      <c r="F1349" s="7" t="s">
        <v>354</v>
      </c>
      <c r="G1349" s="6" t="str">
        <f>VLOOKUP(E1349,dicionario!$A$1:$C1748,2,0)</f>
        <v>Desmodium incanum</v>
      </c>
      <c r="H1349" s="6" t="str">
        <f>VLOOKUP(E1349,dicionario!$A$1:$C1748,3,0)</f>
        <v>pega-pega</v>
      </c>
    </row>
    <row r="1350">
      <c r="A1350" s="3">
        <v>45589.0</v>
      </c>
      <c r="B1350" s="4">
        <v>0.26666666666666666</v>
      </c>
      <c r="C1350" s="5" t="s">
        <v>90</v>
      </c>
      <c r="D1350" s="5" t="s">
        <v>500</v>
      </c>
      <c r="E1350" s="18" t="s">
        <v>14</v>
      </c>
      <c r="F1350" s="7" t="s">
        <v>15</v>
      </c>
      <c r="G1350" s="6" t="str">
        <f>VLOOKUP(E1350,dicionario!$A$1:$C1749,2,0)</f>
        <v>Spermacoce verticillata</v>
      </c>
      <c r="H1350" s="6" t="str">
        <f>VLOOKUP(E1350,dicionario!$A$1:$C1749,3,0)</f>
        <v>vassourinha-de-botão</v>
      </c>
    </row>
    <row r="1351">
      <c r="A1351" s="3">
        <v>45589.0</v>
      </c>
      <c r="B1351" s="4">
        <v>0.26666666666666666</v>
      </c>
      <c r="C1351" s="5" t="s">
        <v>90</v>
      </c>
      <c r="D1351" s="5" t="s">
        <v>500</v>
      </c>
      <c r="E1351" s="6" t="s">
        <v>53</v>
      </c>
      <c r="F1351" s="7" t="s">
        <v>54</v>
      </c>
      <c r="G1351" s="6" t="str">
        <f>VLOOKUP(E1351,dicionario!$A$1:$C1750,2,0)</f>
        <v>Turnera subulata</v>
      </c>
      <c r="H1351" s="6" t="str">
        <f>VLOOKUP(E1351,dicionario!$A$1:$C1750,3,0)</f>
        <v>xanana</v>
      </c>
    </row>
    <row r="1352">
      <c r="A1352" s="3">
        <v>45589.0</v>
      </c>
      <c r="B1352" s="4">
        <v>0.26666666666666666</v>
      </c>
      <c r="C1352" s="5" t="s">
        <v>90</v>
      </c>
      <c r="D1352" s="5" t="s">
        <v>500</v>
      </c>
      <c r="E1352" s="6" t="s">
        <v>107</v>
      </c>
      <c r="F1352" s="5" t="s">
        <v>108</v>
      </c>
      <c r="G1352" s="6" t="str">
        <f>VLOOKUP(E1352,dicionario!$A$1:$C1751,2,0)</f>
        <v>Ramalina complanata</v>
      </c>
      <c r="H1352" s="6" t="str">
        <f>VLOOKUP(E1352,dicionario!$A$1:$C1751,3,0)</f>
        <v>ramalina</v>
      </c>
    </row>
    <row r="1353">
      <c r="A1353" s="3">
        <v>45589.0</v>
      </c>
      <c r="B1353" s="4">
        <v>0.2673611111111111</v>
      </c>
      <c r="C1353" s="5" t="s">
        <v>90</v>
      </c>
      <c r="D1353" s="5" t="s">
        <v>500</v>
      </c>
      <c r="E1353" s="6" t="s">
        <v>109</v>
      </c>
      <c r="F1353" s="7" t="s">
        <v>110</v>
      </c>
      <c r="G1353" s="6" t="str">
        <f>VLOOKUP(E1353,dicionario!$A$1:$C1752,2,0)</f>
        <v>Tillandsia stricta</v>
      </c>
      <c r="H1353" s="6" t="str">
        <f>VLOOKUP(E1353,dicionario!$A$1:$C1752,3,0)</f>
        <v>cravo-do-mato</v>
      </c>
    </row>
    <row r="1354">
      <c r="A1354" s="3">
        <v>45589.0</v>
      </c>
      <c r="B1354" s="4">
        <v>0.2673611111111111</v>
      </c>
      <c r="C1354" s="5" t="s">
        <v>90</v>
      </c>
      <c r="D1354" s="5" t="s">
        <v>500</v>
      </c>
      <c r="E1354" s="24" t="s">
        <v>118</v>
      </c>
      <c r="F1354" s="7" t="s">
        <v>501</v>
      </c>
      <c r="G1354" s="6" t="str">
        <f>VLOOKUP(E1354,dicionario!$A$1:$C1753,2,0)</f>
        <v>Agaricus</v>
      </c>
      <c r="H1354" s="6" t="str">
        <f>VLOOKUP(E1354,dicionario!$A$1:$C1753,3,0)</f>
        <v>cogumelo</v>
      </c>
    </row>
    <row r="1355">
      <c r="A1355" s="3">
        <v>45589.0</v>
      </c>
      <c r="B1355" s="4">
        <v>0.26805555555555555</v>
      </c>
      <c r="C1355" s="5" t="s">
        <v>90</v>
      </c>
      <c r="D1355" s="5" t="s">
        <v>500</v>
      </c>
      <c r="E1355" s="6" t="s">
        <v>111</v>
      </c>
      <c r="F1355" s="7" t="s">
        <v>112</v>
      </c>
      <c r="G1355" s="6" t="str">
        <f>VLOOKUP(E1355,dicionario!$A$1:$C1754,2,0)</f>
        <v>Trigona spinipes</v>
      </c>
      <c r="H1355" s="6" t="str">
        <f>VLOOKUP(E1355,dicionario!$A$1:$C1754,3,0)</f>
        <v>abelha-cachorro</v>
      </c>
    </row>
    <row r="1356">
      <c r="A1356" s="3">
        <v>45589.0</v>
      </c>
      <c r="B1356" s="4">
        <v>0.26805555555555555</v>
      </c>
      <c r="C1356" s="5" t="s">
        <v>90</v>
      </c>
      <c r="D1356" s="5" t="s">
        <v>500</v>
      </c>
      <c r="E1356" s="6" t="s">
        <v>113</v>
      </c>
      <c r="F1356" s="7" t="s">
        <v>114</v>
      </c>
      <c r="G1356" s="6" t="str">
        <f>VLOOKUP(E1356,dicionario!$A$1:$C1755,2,0)</f>
        <v>Columbina talpacoti</v>
      </c>
      <c r="H1356" s="6" t="str">
        <f>VLOOKUP(E1356,dicionario!$A$1:$C1755,3,0)</f>
        <v>rolinha-roxa</v>
      </c>
    </row>
    <row r="1357">
      <c r="A1357" s="3">
        <v>45589.0</v>
      </c>
      <c r="B1357" s="4">
        <v>0.26805555555555555</v>
      </c>
      <c r="C1357" s="5" t="s">
        <v>90</v>
      </c>
      <c r="D1357" s="5" t="s">
        <v>500</v>
      </c>
      <c r="E1357" s="6" t="s">
        <v>227</v>
      </c>
      <c r="F1357" s="7" t="s">
        <v>228</v>
      </c>
      <c r="G1357" s="6" t="str">
        <f>VLOOKUP(E1357,dicionario!$A$1:$C1756,2,0)</f>
        <v>Indigofera hirsuta</v>
      </c>
      <c r="H1357" s="6" t="str">
        <f>VLOOKUP(E1357,dicionario!$A$1:$C1756,3,0)</f>
        <v>anileira</v>
      </c>
    </row>
    <row r="1358">
      <c r="A1358" s="3">
        <v>45589.0</v>
      </c>
      <c r="B1358" s="4">
        <v>0.26944444444444443</v>
      </c>
      <c r="C1358" s="5" t="s">
        <v>90</v>
      </c>
      <c r="D1358" s="5" t="s">
        <v>500</v>
      </c>
      <c r="E1358" s="6" t="s">
        <v>298</v>
      </c>
      <c r="F1358" s="5" t="s">
        <v>299</v>
      </c>
      <c r="G1358" s="6" t="str">
        <f>VLOOKUP(E1358,dicionario!$A$1:$C1757,2,0)</f>
        <v>Alysicarpus vaginalis</v>
      </c>
      <c r="H1358" s="6" t="str">
        <f>VLOOKUP(E1358,dicionario!$A$1:$C1757,3,0)</f>
        <v/>
      </c>
    </row>
    <row r="1359">
      <c r="A1359" s="3">
        <v>45589.0</v>
      </c>
      <c r="B1359" s="4">
        <v>0.2701388888888889</v>
      </c>
      <c r="C1359" s="5" t="s">
        <v>90</v>
      </c>
      <c r="D1359" s="5" t="s">
        <v>500</v>
      </c>
      <c r="E1359" s="6" t="s">
        <v>24</v>
      </c>
      <c r="F1359" s="7" t="s">
        <v>25</v>
      </c>
      <c r="G1359" s="6" t="str">
        <f>VLOOKUP(E1359,dicionario!$A$1:$C1758,2,0)</f>
        <v>Lepidoptera</v>
      </c>
      <c r="H1359" s="6" t="str">
        <f>VLOOKUP(E1359,dicionario!$A$1:$C1758,3,0)</f>
        <v>boboleta/mariposa</v>
      </c>
    </row>
    <row r="1360">
      <c r="A1360" s="3">
        <v>45589.0</v>
      </c>
      <c r="B1360" s="4">
        <v>0.2708333333333333</v>
      </c>
      <c r="C1360" s="5" t="s">
        <v>90</v>
      </c>
      <c r="D1360" s="5" t="s">
        <v>500</v>
      </c>
      <c r="E1360" s="6" t="s">
        <v>239</v>
      </c>
      <c r="F1360" s="7" t="s">
        <v>240</v>
      </c>
      <c r="G1360" s="6" t="str">
        <f>VLOOKUP(E1360,dicionario!$A$1:$C1759,2,0)</f>
        <v>Gomphrena celosioides</v>
      </c>
      <c r="H1360" s="6" t="str">
        <f>VLOOKUP(E1360,dicionario!$A$1:$C1759,3,0)</f>
        <v>perpétua-branca</v>
      </c>
    </row>
    <row r="1361">
      <c r="A1361" s="3">
        <v>45589.0</v>
      </c>
      <c r="B1361" s="4">
        <v>0.2708333333333333</v>
      </c>
      <c r="C1361" s="5" t="s">
        <v>90</v>
      </c>
      <c r="D1361" s="5" t="s">
        <v>500</v>
      </c>
      <c r="E1361" s="6" t="s">
        <v>132</v>
      </c>
      <c r="F1361" s="7" t="s">
        <v>133</v>
      </c>
      <c r="G1361" s="6" t="str">
        <f>VLOOKUP(E1361,dicionario!$A$1:$C1760,2,0)</f>
        <v>Euphonia chlorotica</v>
      </c>
      <c r="H1361" s="6" t="str">
        <f>VLOOKUP(E1361,dicionario!$A$1:$C1760,3,0)</f>
        <v>fim-fim</v>
      </c>
    </row>
    <row r="1362">
      <c r="A1362" s="3">
        <v>45589.0</v>
      </c>
      <c r="B1362" s="4">
        <v>0.2708333333333333</v>
      </c>
      <c r="C1362" s="5" t="s">
        <v>90</v>
      </c>
      <c r="D1362" s="5" t="s">
        <v>500</v>
      </c>
      <c r="E1362" s="6" t="s">
        <v>86</v>
      </c>
      <c r="F1362" s="7" t="s">
        <v>502</v>
      </c>
      <c r="G1362" s="6" t="str">
        <f>VLOOKUP(E1362,dicionario!$A$1:$C1761,2,0)</f>
        <v>Coereba flaveola</v>
      </c>
      <c r="H1362" s="6" t="str">
        <f>VLOOKUP(E1362,dicionario!$A$1:$C1761,3,0)</f>
        <v>cambacica</v>
      </c>
    </row>
    <row r="1363">
      <c r="A1363" s="3">
        <v>45589.0</v>
      </c>
      <c r="B1363" s="4">
        <v>0.2708333333333333</v>
      </c>
      <c r="C1363" s="5" t="s">
        <v>90</v>
      </c>
      <c r="D1363" s="5" t="s">
        <v>500</v>
      </c>
      <c r="E1363" s="6" t="s">
        <v>253</v>
      </c>
      <c r="F1363" s="7" t="s">
        <v>254</v>
      </c>
      <c r="G1363" s="6" t="str">
        <f>VLOOKUP(E1363,dicionario!$A$1:$C1762,2,0)</f>
        <v>Panicum maximum</v>
      </c>
      <c r="H1363" s="6" t="str">
        <f>VLOOKUP(E1363,dicionario!$A$1:$C1762,3,0)</f>
        <v>capim-colonião</v>
      </c>
    </row>
    <row r="1364">
      <c r="A1364" s="3">
        <v>45589.0</v>
      </c>
      <c r="B1364" s="4">
        <v>0.2708333333333333</v>
      </c>
      <c r="C1364" s="5" t="s">
        <v>90</v>
      </c>
      <c r="D1364" s="5" t="s">
        <v>500</v>
      </c>
      <c r="E1364" s="6" t="s">
        <v>154</v>
      </c>
      <c r="F1364" s="7" t="s">
        <v>155</v>
      </c>
      <c r="G1364" s="6" t="str">
        <f>VLOOKUP(E1364,dicionario!$A$1:$C1763,2,0)</f>
        <v>Cyperus rotundus</v>
      </c>
      <c r="H1364" s="6" t="str">
        <f>VLOOKUP(E1364,dicionario!$A$1:$C1763,3,0)</f>
        <v>tiririca</v>
      </c>
    </row>
    <row r="1365">
      <c r="A1365" s="3">
        <v>45589.0</v>
      </c>
      <c r="B1365" s="4">
        <v>0.27152777777777776</v>
      </c>
      <c r="C1365" s="5" t="s">
        <v>90</v>
      </c>
      <c r="D1365" s="5" t="s">
        <v>500</v>
      </c>
      <c r="E1365" s="6" t="s">
        <v>503</v>
      </c>
      <c r="F1365" s="7" t="s">
        <v>414</v>
      </c>
      <c r="G1365" s="6" t="str">
        <f>VLOOKUP(E1365,dicionario!$A$1:$C1764,2,0)</f>
        <v>Orphulella punctata</v>
      </c>
      <c r="H1365" s="6" t="str">
        <f>VLOOKUP(E1365,dicionario!$A$1:$C1764,3,0)</f>
        <v>gafanhotinho</v>
      </c>
    </row>
    <row r="1366">
      <c r="A1366" s="3">
        <v>45589.0</v>
      </c>
      <c r="B1366" s="4">
        <v>0.27152777777777776</v>
      </c>
      <c r="C1366" s="5" t="s">
        <v>90</v>
      </c>
      <c r="D1366" s="5" t="s">
        <v>500</v>
      </c>
      <c r="E1366" s="6" t="s">
        <v>181</v>
      </c>
      <c r="F1366" s="7" t="s">
        <v>182</v>
      </c>
      <c r="G1366" s="6" t="str">
        <f>VLOOKUP(E1366,dicionario!$A$1:$C1765,2,0)</f>
        <v>#N/A</v>
      </c>
      <c r="H1366" s="6" t="str">
        <f>VLOOKUP(E1366,dicionario!$A$1:$C1765,3,0)</f>
        <v>#N/A</v>
      </c>
    </row>
    <row r="1367">
      <c r="A1367" s="3">
        <v>45589.0</v>
      </c>
      <c r="B1367" s="4">
        <v>0.27152777777777776</v>
      </c>
      <c r="C1367" s="5" t="s">
        <v>90</v>
      </c>
      <c r="D1367" s="5" t="s">
        <v>500</v>
      </c>
      <c r="E1367" s="6" t="s">
        <v>144</v>
      </c>
      <c r="F1367" s="7" t="s">
        <v>145</v>
      </c>
      <c r="G1367" s="6" t="str">
        <f>VLOOKUP(E1367,dicionario!$A$1:$C1766,2,0)</f>
        <v>Gomphrena globosa</v>
      </c>
      <c r="H1367" s="6" t="str">
        <f>VLOOKUP(E1367,dicionario!$A$1:$C1766,3,0)</f>
        <v>perpétua-rosa</v>
      </c>
    </row>
    <row r="1368">
      <c r="A1368" s="3">
        <v>45589.0</v>
      </c>
      <c r="B1368" s="4">
        <v>0.27152777777777776</v>
      </c>
      <c r="C1368" s="5" t="s">
        <v>90</v>
      </c>
      <c r="D1368" s="5" t="s">
        <v>500</v>
      </c>
      <c r="E1368" s="6" t="s">
        <v>504</v>
      </c>
      <c r="F1368" s="5" t="s">
        <v>505</v>
      </c>
      <c r="G1368" s="6" t="str">
        <f>VLOOKUP(E1368,dicionario!$A$1:$C1767,2,0)</f>
        <v>Cleome aculeata</v>
      </c>
      <c r="H1368" s="6" t="str">
        <f>VLOOKUP(E1368,dicionario!$A$1:$C1767,3,0)</f>
        <v>cleome</v>
      </c>
    </row>
    <row r="1369">
      <c r="A1369" s="3">
        <v>45589.0</v>
      </c>
      <c r="B1369" s="4">
        <v>0.27291666666666664</v>
      </c>
      <c r="C1369" s="5" t="s">
        <v>90</v>
      </c>
      <c r="D1369" s="5" t="s">
        <v>500</v>
      </c>
      <c r="E1369" s="6" t="s">
        <v>177</v>
      </c>
      <c r="F1369" s="7" t="s">
        <v>506</v>
      </c>
      <c r="G1369" s="6" t="str">
        <f>VLOOKUP(E1369,dicionario!$A$1:$C1768,2,0)</f>
        <v>Elaenia flavogaster</v>
      </c>
      <c r="H1369" s="6" t="str">
        <f>VLOOKUP(E1369,dicionario!$A$1:$C1768,3,0)</f>
        <v>guaracava-de-barriga-amarela</v>
      </c>
    </row>
    <row r="1370">
      <c r="A1370" s="3">
        <v>45589.0</v>
      </c>
      <c r="B1370" s="4">
        <v>0.27291666666666664</v>
      </c>
      <c r="C1370" s="5" t="s">
        <v>90</v>
      </c>
      <c r="D1370" s="5" t="s">
        <v>500</v>
      </c>
      <c r="E1370" s="6" t="s">
        <v>175</v>
      </c>
      <c r="F1370" s="7" t="s">
        <v>507</v>
      </c>
      <c r="G1370" s="6" t="str">
        <f>VLOOKUP(E1370,dicionario!$A$1:$C1769,2,0)</f>
        <v>Turdus leucomelas</v>
      </c>
      <c r="H1370" s="6" t="str">
        <f>VLOOKUP(E1370,dicionario!$A$1:$C1769,3,0)</f>
        <v>sabiá-barranco</v>
      </c>
    </row>
    <row r="1371">
      <c r="A1371" s="3">
        <v>45589.0</v>
      </c>
      <c r="B1371" s="4">
        <v>0.27291666666666664</v>
      </c>
      <c r="C1371" s="5" t="s">
        <v>90</v>
      </c>
      <c r="D1371" s="5" t="s">
        <v>500</v>
      </c>
      <c r="E1371" s="6" t="s">
        <v>191</v>
      </c>
      <c r="F1371" s="7" t="s">
        <v>192</v>
      </c>
      <c r="G1371" s="6" t="str">
        <f>VLOOKUP(E1371,dicionario!$A$1:$C1770,2,0)</f>
        <v>Patagioenas picazuro</v>
      </c>
      <c r="H1371" s="6" t="str">
        <f>VLOOKUP(E1371,dicionario!$A$1:$C1770,3,0)</f>
        <v>asa-branca; pomba-asa-branca; pocaçu</v>
      </c>
    </row>
    <row r="1372">
      <c r="A1372" s="3">
        <v>45589.0</v>
      </c>
      <c r="B1372" s="4">
        <v>0.27291666666666664</v>
      </c>
      <c r="C1372" s="5" t="s">
        <v>90</v>
      </c>
      <c r="D1372" s="5" t="s">
        <v>500</v>
      </c>
      <c r="E1372" s="18" t="s">
        <v>362</v>
      </c>
      <c r="F1372" s="7" t="s">
        <v>363</v>
      </c>
      <c r="G1372" s="6" t="str">
        <f>VLOOKUP(E1372,dicionario!$A$1:$C1771,2,0)</f>
        <v>#N/A</v>
      </c>
      <c r="H1372" s="6" t="str">
        <f>VLOOKUP(E1372,dicionario!$A$1:$C1771,3,0)</f>
        <v>#N/A</v>
      </c>
    </row>
    <row r="1373">
      <c r="A1373" s="3">
        <v>45589.0</v>
      </c>
      <c r="B1373" s="4">
        <v>0.27291666666666664</v>
      </c>
      <c r="C1373" s="5" t="s">
        <v>90</v>
      </c>
      <c r="D1373" s="5" t="s">
        <v>500</v>
      </c>
      <c r="E1373" s="6" t="s">
        <v>41</v>
      </c>
      <c r="F1373" s="7" t="s">
        <v>45</v>
      </c>
      <c r="G1373" s="6" t="str">
        <f>VLOOKUP(E1373,dicionario!$A$1:$C1772,2,0)</f>
        <v>Mimosa pudica</v>
      </c>
      <c r="H1373" s="6" t="str">
        <f>VLOOKUP(E1373,dicionario!$A$1:$C1772,3,0)</f>
        <v>dormideira</v>
      </c>
    </row>
    <row r="1374">
      <c r="A1374" s="3">
        <v>45589.0</v>
      </c>
      <c r="B1374" s="4">
        <v>0.27291666666666664</v>
      </c>
      <c r="C1374" s="5" t="s">
        <v>90</v>
      </c>
      <c r="D1374" s="5" t="s">
        <v>500</v>
      </c>
      <c r="E1374" s="18" t="s">
        <v>498</v>
      </c>
      <c r="F1374" s="7" t="s">
        <v>499</v>
      </c>
      <c r="G1374" s="6" t="str">
        <f>VLOOKUP(E1374,dicionario!$A$1:$C1773,2,0)</f>
        <v>Brachiaria decumbens</v>
      </c>
      <c r="H1374" s="6" t="str">
        <f>VLOOKUP(E1374,dicionario!$A$1:$C1773,3,0)</f>
        <v>capim-braquiária</v>
      </c>
    </row>
    <row r="1375">
      <c r="A1375" s="3">
        <v>45589.0</v>
      </c>
      <c r="B1375" s="4">
        <v>0.2743055555555556</v>
      </c>
      <c r="C1375" s="5" t="s">
        <v>90</v>
      </c>
      <c r="D1375" s="5" t="s">
        <v>500</v>
      </c>
      <c r="E1375" s="6" t="s">
        <v>481</v>
      </c>
      <c r="F1375" s="7" t="s">
        <v>482</v>
      </c>
      <c r="G1375" s="6" t="str">
        <f>VLOOKUP(E1375,dicionario!$A$1:$C1774,2,0)</f>
        <v>Camptostoma obsoletum</v>
      </c>
      <c r="H1375" s="6" t="str">
        <f>VLOOKUP(E1375,dicionario!$A$1:$C1774,3,0)</f>
        <v>risadinha</v>
      </c>
    </row>
    <row r="1376">
      <c r="A1376" s="3">
        <v>45589.0</v>
      </c>
      <c r="B1376" s="4">
        <v>0.2743055555555556</v>
      </c>
      <c r="C1376" s="5" t="s">
        <v>90</v>
      </c>
      <c r="D1376" s="5" t="s">
        <v>500</v>
      </c>
      <c r="E1376" s="6" t="s">
        <v>16</v>
      </c>
      <c r="F1376" s="7" t="s">
        <v>17</v>
      </c>
      <c r="G1376" s="6" t="str">
        <f>VLOOKUP(E1376,dicionario!$A$1:$C1775,2,0)</f>
        <v>Eupetomena macroura</v>
      </c>
      <c r="H1376" s="6" t="str">
        <f>VLOOKUP(E1376,dicionario!$A$1:$C1775,3,0)</f>
        <v>beija-flor-tesoura</v>
      </c>
    </row>
    <row r="1377">
      <c r="A1377" s="3">
        <v>45589.0</v>
      </c>
      <c r="B1377" s="4">
        <v>0.2743055555555556</v>
      </c>
      <c r="C1377" s="5" t="s">
        <v>90</v>
      </c>
      <c r="D1377" s="5" t="s">
        <v>500</v>
      </c>
      <c r="E1377" s="6" t="s">
        <v>99</v>
      </c>
      <c r="F1377" s="7" t="s">
        <v>508</v>
      </c>
      <c r="G1377" s="6" t="str">
        <f>VLOOKUP(E1377,dicionario!$A$1:$C1776,2,0)</f>
        <v>Molothrus bonariensis</v>
      </c>
      <c r="H1377" s="6" t="str">
        <f>VLOOKUP(E1377,dicionario!$A$1:$C1776,3,0)</f>
        <v>chupim</v>
      </c>
    </row>
    <row r="1378">
      <c r="A1378" s="3">
        <v>45589.0</v>
      </c>
      <c r="B1378" s="4">
        <v>0.275</v>
      </c>
      <c r="C1378" s="5" t="s">
        <v>90</v>
      </c>
      <c r="D1378" s="5" t="s">
        <v>500</v>
      </c>
      <c r="E1378" s="6" t="s">
        <v>344</v>
      </c>
      <c r="F1378" s="7" t="s">
        <v>28</v>
      </c>
      <c r="G1378" s="6" t="str">
        <f>VLOOKUP(E1378,dicionario!$A$1:$C1777,2,0)</f>
        <v>#N/A</v>
      </c>
      <c r="H1378" s="6" t="str">
        <f>VLOOKUP(E1378,dicionario!$A$1:$C1777,3,0)</f>
        <v>#N/A</v>
      </c>
    </row>
    <row r="1379">
      <c r="A1379" s="3">
        <v>45589.0</v>
      </c>
      <c r="B1379" s="4">
        <v>0.27569444444444446</v>
      </c>
      <c r="C1379" s="5" t="s">
        <v>90</v>
      </c>
      <c r="D1379" s="5" t="s">
        <v>500</v>
      </c>
      <c r="E1379" s="6" t="s">
        <v>88</v>
      </c>
      <c r="F1379" s="7" t="s">
        <v>89</v>
      </c>
      <c r="G1379" s="6" t="str">
        <f>VLOOKUP(E1379,dicionario!$A$1:$C1778,2,0)</f>
        <v>Tyrannus melancolichus</v>
      </c>
      <c r="H1379" s="6" t="str">
        <f>VLOOKUP(E1379,dicionario!$A$1:$C1778,3,0)</f>
        <v>suiriri</v>
      </c>
    </row>
    <row r="1380">
      <c r="A1380" s="3">
        <v>45589.0</v>
      </c>
      <c r="B1380" s="4">
        <v>0.2763888888888889</v>
      </c>
      <c r="C1380" s="5" t="s">
        <v>90</v>
      </c>
      <c r="D1380" s="5" t="s">
        <v>500</v>
      </c>
      <c r="E1380" s="6" t="s">
        <v>225</v>
      </c>
      <c r="F1380" s="7" t="s">
        <v>226</v>
      </c>
      <c r="G1380" s="6" t="str">
        <f>VLOOKUP(E1380,dicionario!$A$1:$C1779,2,0)</f>
        <v>Passer domesticus</v>
      </c>
      <c r="H1380" s="6" t="str">
        <f>VLOOKUP(E1380,dicionario!$A$1:$C1779,3,0)</f>
        <v>pardal</v>
      </c>
    </row>
    <row r="1381">
      <c r="A1381" s="3">
        <v>45589.0</v>
      </c>
      <c r="B1381" s="4">
        <v>0.2763888888888889</v>
      </c>
      <c r="C1381" s="5" t="s">
        <v>90</v>
      </c>
      <c r="D1381" s="5" t="s">
        <v>500</v>
      </c>
      <c r="E1381" s="6" t="s">
        <v>72</v>
      </c>
      <c r="F1381" s="7" t="s">
        <v>73</v>
      </c>
      <c r="G1381" s="6" t="str">
        <f>VLOOKUP(E1381,dicionario!$A$1:$C1780,2,0)</f>
        <v>Thraupis palmarum</v>
      </c>
      <c r="H1381" s="6" t="str">
        <f>VLOOKUP(E1381,dicionario!$A$1:$C1780,3,0)</f>
        <v>sanhaço-do-coqueiro</v>
      </c>
    </row>
    <row r="1382">
      <c r="A1382" s="3">
        <v>45589.0</v>
      </c>
      <c r="B1382" s="4">
        <v>0.2763888888888889</v>
      </c>
      <c r="C1382" s="5" t="s">
        <v>90</v>
      </c>
      <c r="D1382" s="5" t="s">
        <v>500</v>
      </c>
      <c r="E1382" s="6" t="s">
        <v>135</v>
      </c>
      <c r="F1382" s="7" t="s">
        <v>136</v>
      </c>
      <c r="G1382" s="6" t="str">
        <f>VLOOKUP(E1382,dicionario!$A$1:$C1781,2,0)</f>
        <v>Tridax procumbens</v>
      </c>
      <c r="H1382" s="6" t="str">
        <f>VLOOKUP(E1382,dicionario!$A$1:$C1781,3,0)</f>
        <v>erva-de-touro</v>
      </c>
    </row>
    <row r="1383">
      <c r="A1383" s="3">
        <v>45589.0</v>
      </c>
      <c r="B1383" s="4">
        <v>0.2791666666666667</v>
      </c>
      <c r="C1383" s="5" t="s">
        <v>85</v>
      </c>
      <c r="D1383" s="5" t="s">
        <v>500</v>
      </c>
      <c r="E1383" s="6" t="s">
        <v>509</v>
      </c>
      <c r="F1383" s="7" t="s">
        <v>66</v>
      </c>
      <c r="G1383" s="6" t="str">
        <f>VLOOKUP(E1383,dicionario!$A$1:$C1782,2,0)</f>
        <v>#N/A</v>
      </c>
      <c r="H1383" s="6" t="str">
        <f>VLOOKUP(E1383,dicionario!$A$1:$C1782,3,0)</f>
        <v>#N/A</v>
      </c>
    </row>
    <row r="1384">
      <c r="A1384" s="3">
        <v>45589.0</v>
      </c>
      <c r="B1384" s="4">
        <v>0.2791666666666667</v>
      </c>
      <c r="C1384" s="5" t="s">
        <v>85</v>
      </c>
      <c r="D1384" s="5" t="s">
        <v>500</v>
      </c>
      <c r="E1384" s="6" t="s">
        <v>88</v>
      </c>
      <c r="F1384" s="7" t="s">
        <v>89</v>
      </c>
      <c r="G1384" s="6" t="str">
        <f>VLOOKUP(E1384,dicionario!$A$1:$C1783,2,0)</f>
        <v>Tyrannus melancolichus</v>
      </c>
      <c r="H1384" s="6" t="str">
        <f>VLOOKUP(E1384,dicionario!$A$1:$C1783,3,0)</f>
        <v>suiriri</v>
      </c>
    </row>
    <row r="1385">
      <c r="A1385" s="3">
        <v>45589.0</v>
      </c>
      <c r="B1385" s="4">
        <v>0.2791666666666667</v>
      </c>
      <c r="C1385" s="5" t="s">
        <v>85</v>
      </c>
      <c r="D1385" s="5" t="s">
        <v>500</v>
      </c>
      <c r="E1385" s="6" t="s">
        <v>286</v>
      </c>
      <c r="F1385" s="7" t="s">
        <v>287</v>
      </c>
      <c r="G1385" s="6" t="str">
        <f>VLOOKUP(E1385,dicionario!$A$1:$C1784,2,0)</f>
        <v>Setaria parviflora</v>
      </c>
      <c r="H1385" s="6" t="str">
        <f>VLOOKUP(E1385,dicionario!$A$1:$C1784,3,0)</f>
        <v>capim-rabo-de-raposa</v>
      </c>
    </row>
    <row r="1386">
      <c r="A1386" s="3">
        <v>45589.0</v>
      </c>
      <c r="B1386" s="4">
        <v>0.2791666666666667</v>
      </c>
      <c r="C1386" s="5" t="s">
        <v>85</v>
      </c>
      <c r="D1386" s="5" t="s">
        <v>500</v>
      </c>
      <c r="E1386" s="6" t="s">
        <v>353</v>
      </c>
      <c r="F1386" s="7" t="s">
        <v>354</v>
      </c>
      <c r="G1386" s="6" t="str">
        <f>VLOOKUP(E1386,dicionario!$A$1:$C1785,2,0)</f>
        <v>Desmodium incanum</v>
      </c>
      <c r="H1386" s="6" t="str">
        <f>VLOOKUP(E1386,dicionario!$A$1:$C1785,3,0)</f>
        <v>pega-pega</v>
      </c>
    </row>
    <row r="1387">
      <c r="A1387" s="3">
        <v>45589.0</v>
      </c>
      <c r="B1387" s="4">
        <v>0.2791666666666667</v>
      </c>
      <c r="C1387" s="5" t="s">
        <v>85</v>
      </c>
      <c r="D1387" s="5" t="s">
        <v>500</v>
      </c>
      <c r="E1387" s="6" t="s">
        <v>399</v>
      </c>
      <c r="F1387" s="7" t="s">
        <v>400</v>
      </c>
      <c r="G1387" s="6" t="str">
        <f>VLOOKUP(E1387,dicionario!$A$1:$C1786,2,0)</f>
        <v>Varronia curassavica</v>
      </c>
      <c r="H1387" s="6" t="str">
        <f>VLOOKUP(E1387,dicionario!$A$1:$C1786,3,0)</f>
        <v>erva-baleeira</v>
      </c>
    </row>
    <row r="1388">
      <c r="A1388" s="3">
        <v>45589.0</v>
      </c>
      <c r="B1388" s="4">
        <v>0.2791666666666667</v>
      </c>
      <c r="C1388" s="5" t="s">
        <v>85</v>
      </c>
      <c r="D1388" s="5" t="s">
        <v>500</v>
      </c>
      <c r="E1388" s="8" t="s">
        <v>38</v>
      </c>
      <c r="F1388" s="5" t="s">
        <v>39</v>
      </c>
      <c r="G1388" s="6" t="str">
        <f>VLOOKUP(E1388,dicionario!$A$1:$C1787,2,0)</f>
        <v>Troglodytes musculus</v>
      </c>
      <c r="H1388" s="6" t="str">
        <f>VLOOKUP(E1388,dicionario!$A$1:$C1787,3,0)</f>
        <v>curruíra</v>
      </c>
    </row>
    <row r="1389">
      <c r="A1389" s="3">
        <v>45589.0</v>
      </c>
      <c r="B1389" s="4">
        <v>0.2791666666666667</v>
      </c>
      <c r="C1389" s="5" t="s">
        <v>85</v>
      </c>
      <c r="D1389" s="5" t="s">
        <v>500</v>
      </c>
      <c r="E1389" s="6" t="s">
        <v>265</v>
      </c>
      <c r="F1389" s="7" t="s">
        <v>266</v>
      </c>
      <c r="G1389" s="6" t="str">
        <f>VLOOKUP(E1389,dicionario!$A$1:$C1788,2,0)</f>
        <v>Sonchus oleraceus</v>
      </c>
      <c r="H1389" s="6" t="str">
        <f>VLOOKUP(E1389,dicionario!$A$1:$C1788,3,0)</f>
        <v>seralha</v>
      </c>
    </row>
    <row r="1390">
      <c r="A1390" s="3">
        <v>45589.0</v>
      </c>
      <c r="B1390" s="4">
        <v>0.2791666666666667</v>
      </c>
      <c r="C1390" s="5" t="s">
        <v>85</v>
      </c>
      <c r="D1390" s="5" t="s">
        <v>500</v>
      </c>
      <c r="E1390" s="8" t="s">
        <v>126</v>
      </c>
      <c r="F1390" s="7" t="s">
        <v>127</v>
      </c>
      <c r="G1390" s="6" t="str">
        <f>VLOOKUP(E1390,dicionario!$A$1:$C1789,2,0)</f>
        <v>Bryophyta</v>
      </c>
      <c r="H1390" s="6" t="str">
        <f>VLOOKUP(E1390,dicionario!$A$1:$C1789,3,0)</f>
        <v>musgo</v>
      </c>
    </row>
    <row r="1391">
      <c r="A1391" s="3">
        <v>45589.0</v>
      </c>
      <c r="B1391" s="4">
        <v>0.2791666666666667</v>
      </c>
      <c r="C1391" s="5" t="s">
        <v>85</v>
      </c>
      <c r="D1391" s="5" t="s">
        <v>500</v>
      </c>
      <c r="E1391" s="6" t="s">
        <v>51</v>
      </c>
      <c r="F1391" s="7" t="s">
        <v>321</v>
      </c>
      <c r="G1391" s="6" t="str">
        <f>VLOOKUP(E1391,dicionario!$A$1:$C1790,2,0)</f>
        <v>Solenopsis</v>
      </c>
      <c r="H1391" s="6" t="str">
        <f>VLOOKUP(E1391,dicionario!$A$1:$C1790,3,0)</f>
        <v>formiga-quente; formiga-lava-pés; formiga-de-fogo</v>
      </c>
    </row>
    <row r="1392">
      <c r="A1392" s="3">
        <v>45589.0</v>
      </c>
      <c r="B1392" s="4">
        <v>0.2798611111111111</v>
      </c>
      <c r="C1392" s="5" t="s">
        <v>85</v>
      </c>
      <c r="D1392" s="5" t="s">
        <v>500</v>
      </c>
      <c r="E1392" s="6" t="s">
        <v>258</v>
      </c>
      <c r="F1392" s="7" t="s">
        <v>259</v>
      </c>
      <c r="G1392" s="6" t="str">
        <f>VLOOKUP(E1392,dicionario!$A$1:$C1791,2,0)</f>
        <v>Lantana camara</v>
      </c>
      <c r="H1392" s="6" t="str">
        <f>VLOOKUP(E1392,dicionario!$A$1:$C1791,3,0)</f>
        <v>lantana</v>
      </c>
    </row>
    <row r="1393">
      <c r="A1393" s="3">
        <v>45589.0</v>
      </c>
      <c r="B1393" s="4">
        <v>0.2798611111111111</v>
      </c>
      <c r="C1393" s="5" t="s">
        <v>85</v>
      </c>
      <c r="D1393" s="5" t="s">
        <v>500</v>
      </c>
      <c r="E1393" s="6" t="s">
        <v>390</v>
      </c>
      <c r="F1393" s="7" t="s">
        <v>391</v>
      </c>
      <c r="G1393" s="6" t="str">
        <f>VLOOKUP(E1393,dicionario!$A$1:$C1792,2,0)</f>
        <v>Oxalis barrelieri</v>
      </c>
      <c r="H1393" s="6" t="str">
        <f>VLOOKUP(E1393,dicionario!$A$1:$C1792,3,0)</f>
        <v>erva-azeda; azedinha </v>
      </c>
    </row>
    <row r="1394">
      <c r="A1394" s="3">
        <v>45589.0</v>
      </c>
      <c r="B1394" s="4">
        <v>0.2798611111111111</v>
      </c>
      <c r="C1394" s="5" t="s">
        <v>85</v>
      </c>
      <c r="D1394" s="5" t="s">
        <v>500</v>
      </c>
      <c r="E1394" s="6" t="s">
        <v>510</v>
      </c>
      <c r="F1394" s="7" t="s">
        <v>511</v>
      </c>
      <c r="G1394" s="6" t="str">
        <f>VLOOKUP(E1394,dicionario!$A$1:$C1793,2,0)</f>
        <v>#N/A</v>
      </c>
      <c r="H1394" s="6" t="str">
        <f>VLOOKUP(E1394,dicionario!$A$1:$C1793,3,0)</f>
        <v>#N/A</v>
      </c>
    </row>
    <row r="1395">
      <c r="A1395" s="3">
        <v>45589.0</v>
      </c>
      <c r="B1395" s="4">
        <v>0.2798611111111111</v>
      </c>
      <c r="C1395" s="5" t="s">
        <v>85</v>
      </c>
      <c r="D1395" s="5" t="s">
        <v>500</v>
      </c>
      <c r="E1395" s="6" t="s">
        <v>512</v>
      </c>
      <c r="F1395" s="7" t="s">
        <v>513</v>
      </c>
      <c r="G1395" s="6" t="str">
        <f>VLOOKUP(E1395,dicionario!$A$1:$C1794,2,0)</f>
        <v>#N/A</v>
      </c>
      <c r="H1395" s="6" t="str">
        <f>VLOOKUP(E1395,dicionario!$A$1:$C1794,3,0)</f>
        <v>#N/A</v>
      </c>
    </row>
    <row r="1396">
      <c r="A1396" s="3">
        <v>45589.0</v>
      </c>
      <c r="B1396" s="4">
        <v>0.2798611111111111</v>
      </c>
      <c r="C1396" s="5" t="s">
        <v>85</v>
      </c>
      <c r="D1396" s="5" t="s">
        <v>500</v>
      </c>
      <c r="E1396" s="6" t="s">
        <v>41</v>
      </c>
      <c r="F1396" s="7" t="s">
        <v>45</v>
      </c>
      <c r="G1396" s="6" t="str">
        <f>VLOOKUP(E1396,dicionario!$A$1:$C1795,2,0)</f>
        <v>Mimosa pudica</v>
      </c>
      <c r="H1396" s="6" t="str">
        <f>VLOOKUP(E1396,dicionario!$A$1:$C1795,3,0)</f>
        <v>dormideira</v>
      </c>
    </row>
    <row r="1397">
      <c r="A1397" s="3">
        <v>45589.0</v>
      </c>
      <c r="B1397" s="4">
        <v>0.2798611111111111</v>
      </c>
      <c r="C1397" s="5" t="s">
        <v>85</v>
      </c>
      <c r="D1397" s="5" t="s">
        <v>500</v>
      </c>
      <c r="E1397" s="6" t="s">
        <v>247</v>
      </c>
      <c r="F1397" s="7" t="s">
        <v>248</v>
      </c>
      <c r="G1397" s="6" t="str">
        <f>VLOOKUP(E1397,dicionario!$A$1:$C1796,2,0)</f>
        <v>Emilia sonchifolia</v>
      </c>
      <c r="H1397" s="6" t="str">
        <f>VLOOKUP(E1397,dicionario!$A$1:$C1796,3,0)</f>
        <v>serralinha</v>
      </c>
    </row>
    <row r="1398">
      <c r="A1398" s="3">
        <v>45589.0</v>
      </c>
      <c r="B1398" s="4">
        <v>0.28125</v>
      </c>
      <c r="C1398" s="5" t="s">
        <v>85</v>
      </c>
      <c r="D1398" s="5" t="s">
        <v>500</v>
      </c>
      <c r="E1398" s="6" t="s">
        <v>271</v>
      </c>
      <c r="F1398" s="7" t="s">
        <v>272</v>
      </c>
      <c r="G1398" s="6" t="str">
        <f>VLOOKUP(E1398,dicionario!$A$1:$C1797,2,0)</f>
        <v>Cyanthillium cinereum</v>
      </c>
      <c r="H1398" s="6" t="str">
        <f>VLOOKUP(E1398,dicionario!$A$1:$C1797,3,0)</f>
        <v>emília</v>
      </c>
    </row>
    <row r="1399">
      <c r="A1399" s="3">
        <v>45589.0</v>
      </c>
      <c r="B1399" s="4">
        <v>0.28125</v>
      </c>
      <c r="C1399" s="5" t="s">
        <v>85</v>
      </c>
      <c r="D1399" s="5" t="s">
        <v>500</v>
      </c>
      <c r="E1399" s="6" t="s">
        <v>171</v>
      </c>
      <c r="F1399" s="7" t="s">
        <v>172</v>
      </c>
      <c r="G1399" s="6" t="str">
        <f>VLOOKUP(E1399,dicionario!$A$1:$C1798,2,0)</f>
        <v>Oxalis corniculata</v>
      </c>
      <c r="H1399" s="6" t="str">
        <f>VLOOKUP(E1399,dicionario!$A$1:$C1798,3,0)</f>
        <v>trevo-azedinho</v>
      </c>
    </row>
    <row r="1400">
      <c r="A1400" s="3">
        <v>45589.0</v>
      </c>
      <c r="B1400" s="4">
        <v>0.28125</v>
      </c>
      <c r="C1400" s="5" t="s">
        <v>85</v>
      </c>
      <c r="D1400" s="5" t="s">
        <v>500</v>
      </c>
      <c r="E1400" s="6" t="s">
        <v>296</v>
      </c>
      <c r="F1400" s="7" t="s">
        <v>377</v>
      </c>
      <c r="G1400" s="6" t="str">
        <f>VLOOKUP(E1400,dicionario!$A$1:$C1799,2,0)</f>
        <v>Richardia brasiliensis</v>
      </c>
      <c r="H1400" s="6" t="str">
        <f>VLOOKUP(E1400,dicionario!$A$1:$C1799,3,0)</f>
        <v>poaia-branca</v>
      </c>
    </row>
    <row r="1401">
      <c r="A1401" s="3">
        <v>45589.0</v>
      </c>
      <c r="B1401" s="4">
        <v>0.28125</v>
      </c>
      <c r="C1401" s="5" t="s">
        <v>85</v>
      </c>
      <c r="D1401" s="5" t="s">
        <v>500</v>
      </c>
      <c r="E1401" s="6" t="s">
        <v>122</v>
      </c>
      <c r="F1401" s="7" t="s">
        <v>123</v>
      </c>
      <c r="G1401" s="6" t="str">
        <f>VLOOKUP(E1401,dicionario!$A$1:$C1800,2,0)</f>
        <v>Todirostrum cinereum</v>
      </c>
      <c r="H1401" s="6" t="str">
        <f>VLOOKUP(E1401,dicionario!$A$1:$C1800,3,0)</f>
        <v>ferreirinho-relógio</v>
      </c>
    </row>
    <row r="1402">
      <c r="A1402" s="3">
        <v>45589.0</v>
      </c>
      <c r="B1402" s="4">
        <v>0.28194444444444444</v>
      </c>
      <c r="C1402" s="5" t="s">
        <v>85</v>
      </c>
      <c r="D1402" s="5" t="s">
        <v>500</v>
      </c>
      <c r="E1402" s="6" t="s">
        <v>193</v>
      </c>
      <c r="F1402" s="7" t="s">
        <v>194</v>
      </c>
      <c r="G1402" s="6" t="str">
        <f>VLOOKUP(E1402,dicionario!$A$1:$C1801,2,0)</f>
        <v>Conirostrum speciosum</v>
      </c>
      <c r="H1402" s="6" t="str">
        <f>VLOOKUP(E1402,dicionario!$A$1:$C1801,3,0)</f>
        <v>figuinha-de-rabo-castanho</v>
      </c>
    </row>
    <row r="1403">
      <c r="A1403" s="3">
        <v>45589.0</v>
      </c>
      <c r="B1403" s="4">
        <v>0.28194444444444444</v>
      </c>
      <c r="C1403" s="5" t="s">
        <v>85</v>
      </c>
      <c r="D1403" s="5" t="s">
        <v>500</v>
      </c>
      <c r="E1403" s="6" t="s">
        <v>514</v>
      </c>
      <c r="F1403" s="7" t="s">
        <v>515</v>
      </c>
      <c r="G1403" s="6" t="str">
        <f>VLOOKUP(E1403,dicionario!$A$1:$C1802,2,0)</f>
        <v>Aedes aegypti</v>
      </c>
      <c r="H1403" s="6" t="str">
        <f>VLOOKUP(E1403,dicionario!$A$1:$C1802,3,0)</f>
        <v>mosquito-da-dengue</v>
      </c>
    </row>
    <row r="1404">
      <c r="A1404" s="3">
        <v>45589.0</v>
      </c>
      <c r="B1404" s="4">
        <v>0.2826388888888889</v>
      </c>
      <c r="C1404" s="5" t="s">
        <v>85</v>
      </c>
      <c r="D1404" s="5" t="s">
        <v>500</v>
      </c>
      <c r="E1404" s="6" t="s">
        <v>319</v>
      </c>
      <c r="F1404" s="7" t="s">
        <v>516</v>
      </c>
      <c r="G1404" s="6" t="str">
        <f>VLOOKUP(E1404,dicionario!$A$1:$C1803,2,0)</f>
        <v>Schinus terebinthifolia</v>
      </c>
      <c r="H1404" s="6" t="str">
        <f>VLOOKUP(E1404,dicionario!$A$1:$C1803,3,0)</f>
        <v>aroeira</v>
      </c>
    </row>
    <row r="1405">
      <c r="A1405" s="3">
        <v>45589.0</v>
      </c>
      <c r="B1405" s="4">
        <v>0.2826388888888889</v>
      </c>
      <c r="C1405" s="5" t="s">
        <v>85</v>
      </c>
      <c r="D1405" s="5" t="s">
        <v>500</v>
      </c>
      <c r="E1405" s="8" t="s">
        <v>517</v>
      </c>
      <c r="F1405" s="7" t="s">
        <v>518</v>
      </c>
      <c r="G1405" s="6" t="str">
        <f>VLOOKUP(E1405,dicionario!$A$1:$C1804,2,0)</f>
        <v>Evolvulus nummularius</v>
      </c>
      <c r="H1405" s="6" t="str">
        <f>VLOOKUP(E1405,dicionario!$A$1:$C1804,3,0)</f>
        <v/>
      </c>
    </row>
    <row r="1406">
      <c r="A1406" s="3">
        <v>45589.0</v>
      </c>
      <c r="B1406" s="4">
        <v>0.2826388888888889</v>
      </c>
      <c r="C1406" s="5" t="s">
        <v>85</v>
      </c>
      <c r="D1406" s="5" t="s">
        <v>500</v>
      </c>
      <c r="E1406" s="6" t="s">
        <v>132</v>
      </c>
      <c r="F1406" s="7" t="s">
        <v>133</v>
      </c>
      <c r="G1406" s="6" t="str">
        <f>VLOOKUP(E1406,dicionario!$A$1:$C1805,2,0)</f>
        <v>Euphonia chlorotica</v>
      </c>
      <c r="H1406" s="6" t="str">
        <f>VLOOKUP(E1406,dicionario!$A$1:$C1805,3,0)</f>
        <v>fim-fim</v>
      </c>
    </row>
    <row r="1407">
      <c r="A1407" s="3">
        <v>45589.0</v>
      </c>
      <c r="B1407" s="4">
        <v>0.2826388888888889</v>
      </c>
      <c r="C1407" s="5" t="s">
        <v>85</v>
      </c>
      <c r="D1407" s="5" t="s">
        <v>500</v>
      </c>
      <c r="E1407" s="6" t="s">
        <v>227</v>
      </c>
      <c r="F1407" s="7" t="s">
        <v>228</v>
      </c>
      <c r="G1407" s="6" t="str">
        <f>VLOOKUP(E1407,dicionario!$A$1:$C1806,2,0)</f>
        <v>Indigofera hirsuta</v>
      </c>
      <c r="H1407" s="6" t="str">
        <f>VLOOKUP(E1407,dicionario!$A$1:$C1806,3,0)</f>
        <v>anileira</v>
      </c>
    </row>
    <row r="1408">
      <c r="A1408" s="3">
        <v>45589.0</v>
      </c>
      <c r="B1408" s="4">
        <v>0.28402777777777777</v>
      </c>
      <c r="C1408" s="5" t="s">
        <v>85</v>
      </c>
      <c r="D1408" s="5" t="s">
        <v>500</v>
      </c>
      <c r="E1408" s="6" t="s">
        <v>111</v>
      </c>
      <c r="F1408" s="7" t="s">
        <v>112</v>
      </c>
      <c r="G1408" s="6" t="str">
        <f>VLOOKUP(E1408,dicionario!$A$1:$C1807,2,0)</f>
        <v>Trigona spinipes</v>
      </c>
      <c r="H1408" s="6" t="str">
        <f>VLOOKUP(E1408,dicionario!$A$1:$C1807,3,0)</f>
        <v>abelha-cachorro</v>
      </c>
    </row>
    <row r="1409">
      <c r="A1409" s="3">
        <v>45589.0</v>
      </c>
      <c r="B1409" s="4">
        <v>0.28402777777777777</v>
      </c>
      <c r="C1409" s="5" t="s">
        <v>85</v>
      </c>
      <c r="D1409" s="5" t="s">
        <v>500</v>
      </c>
      <c r="E1409" s="18" t="s">
        <v>362</v>
      </c>
      <c r="F1409" s="7" t="s">
        <v>363</v>
      </c>
      <c r="G1409" s="6" t="str">
        <f>VLOOKUP(E1409,dicionario!$A$1:$C1808,2,0)</f>
        <v>#N/A</v>
      </c>
      <c r="H1409" s="6" t="str">
        <f>VLOOKUP(E1409,dicionario!$A$1:$C1808,3,0)</f>
        <v>#N/A</v>
      </c>
    </row>
    <row r="1410">
      <c r="A1410" s="3">
        <v>45589.0</v>
      </c>
      <c r="B1410" s="4">
        <v>0.28402777777777777</v>
      </c>
      <c r="C1410" s="5" t="s">
        <v>85</v>
      </c>
      <c r="D1410" s="5" t="s">
        <v>500</v>
      </c>
      <c r="E1410" s="6" t="s">
        <v>135</v>
      </c>
      <c r="F1410" s="7" t="s">
        <v>136</v>
      </c>
      <c r="G1410" s="6" t="str">
        <f>VLOOKUP(E1410,dicionario!$A$1:$C1809,2,0)</f>
        <v>Tridax procumbens</v>
      </c>
      <c r="H1410" s="6" t="str">
        <f>VLOOKUP(E1410,dicionario!$A$1:$C1809,3,0)</f>
        <v>erva-de-touro</v>
      </c>
    </row>
    <row r="1411">
      <c r="A1411" s="3">
        <v>45589.0</v>
      </c>
      <c r="B1411" s="4">
        <v>0.28402777777777777</v>
      </c>
      <c r="C1411" s="5" t="s">
        <v>85</v>
      </c>
      <c r="D1411" s="5" t="s">
        <v>500</v>
      </c>
      <c r="E1411" s="6" t="s">
        <v>53</v>
      </c>
      <c r="F1411" s="7" t="s">
        <v>54</v>
      </c>
      <c r="G1411" s="6" t="str">
        <f>VLOOKUP(E1411,dicionario!$A$1:$C1810,2,0)</f>
        <v>Turnera subulata</v>
      </c>
      <c r="H1411" s="6" t="str">
        <f>VLOOKUP(E1411,dicionario!$A$1:$C1810,3,0)</f>
        <v>xanana</v>
      </c>
    </row>
    <row r="1412">
      <c r="A1412" s="3">
        <v>45589.0</v>
      </c>
      <c r="B1412" s="4">
        <v>0.28402777777777777</v>
      </c>
      <c r="C1412" s="5" t="s">
        <v>85</v>
      </c>
      <c r="D1412" s="5" t="s">
        <v>500</v>
      </c>
      <c r="E1412" s="6" t="s">
        <v>519</v>
      </c>
      <c r="F1412" s="7" t="s">
        <v>520</v>
      </c>
      <c r="G1412" s="6" t="str">
        <f>VLOOKUP(E1412,dicionario!$A$1:$C1811,2,0)</f>
        <v>Drosophila melanogaster</v>
      </c>
      <c r="H1412" s="6" t="str">
        <f>VLOOKUP(E1412,dicionario!$A$1:$C1811,3,0)</f>
        <v>mitinga/mosca-da-fruta</v>
      </c>
    </row>
    <row r="1413">
      <c r="A1413" s="3">
        <v>45589.0</v>
      </c>
      <c r="B1413" s="4">
        <v>0.28402777777777777</v>
      </c>
      <c r="C1413" s="5" t="s">
        <v>85</v>
      </c>
      <c r="D1413" s="5" t="s">
        <v>500</v>
      </c>
      <c r="E1413" s="6" t="s">
        <v>439</v>
      </c>
      <c r="F1413" s="7" t="s">
        <v>281</v>
      </c>
      <c r="G1413" s="6" t="str">
        <f>VLOOKUP(E1413,dicionario!$A$1:$C1812,2,0)</f>
        <v>#N/A</v>
      </c>
      <c r="H1413" s="6" t="str">
        <f>VLOOKUP(E1413,dicionario!$A$1:$C1812,3,0)</f>
        <v>#N/A</v>
      </c>
    </row>
    <row r="1414">
      <c r="A1414" s="3">
        <v>45589.0</v>
      </c>
      <c r="B1414" s="4">
        <v>0.28402777777777777</v>
      </c>
      <c r="C1414" s="5" t="s">
        <v>85</v>
      </c>
      <c r="D1414" s="5" t="s">
        <v>500</v>
      </c>
      <c r="E1414" s="6" t="s">
        <v>154</v>
      </c>
      <c r="F1414" s="7" t="s">
        <v>155</v>
      </c>
      <c r="G1414" s="6" t="str">
        <f>VLOOKUP(E1414,dicionario!$A$1:$C1813,2,0)</f>
        <v>Cyperus rotundus</v>
      </c>
      <c r="H1414" s="6" t="str">
        <f>VLOOKUP(E1414,dicionario!$A$1:$C1813,3,0)</f>
        <v>tiririca</v>
      </c>
    </row>
    <row r="1415">
      <c r="A1415" s="3">
        <v>45589.0</v>
      </c>
      <c r="B1415" s="4">
        <v>0.2847222222222222</v>
      </c>
      <c r="C1415" s="5" t="s">
        <v>85</v>
      </c>
      <c r="D1415" s="5" t="s">
        <v>500</v>
      </c>
      <c r="E1415" s="8" t="s">
        <v>46</v>
      </c>
      <c r="F1415" s="5" t="s">
        <v>47</v>
      </c>
      <c r="G1415" s="6" t="str">
        <f>VLOOKUP(E1415,dicionario!$A$1:$C1814,2,0)</f>
        <v>Chionomesa fimbriata</v>
      </c>
      <c r="H1415" s="6" t="str">
        <f>VLOOKUP(E1415,dicionario!$A$1:$C1814,3,0)</f>
        <v>beija-flor-de-garganta-verde</v>
      </c>
    </row>
    <row r="1416">
      <c r="A1416" s="3">
        <v>45589.0</v>
      </c>
      <c r="B1416" s="4">
        <v>0.2847222222222222</v>
      </c>
      <c r="C1416" s="5" t="s">
        <v>85</v>
      </c>
      <c r="D1416" s="5" t="s">
        <v>500</v>
      </c>
      <c r="E1416" s="6" t="s">
        <v>146</v>
      </c>
      <c r="F1416" s="7" t="s">
        <v>147</v>
      </c>
      <c r="G1416" s="6" t="str">
        <f>VLOOKUP(E1416,dicionario!$A$1:$C1815,2,0)</f>
        <v>Euphorbia hirta</v>
      </c>
      <c r="H1416" s="6" t="str">
        <f>VLOOKUP(E1416,dicionario!$A$1:$C1815,3,0)</f>
        <v>erva-de-santa-luzia</v>
      </c>
    </row>
    <row r="1417">
      <c r="A1417" s="3">
        <v>45589.0</v>
      </c>
      <c r="B1417" s="4">
        <v>0.2847222222222222</v>
      </c>
      <c r="C1417" s="5" t="s">
        <v>85</v>
      </c>
      <c r="D1417" s="5" t="s">
        <v>500</v>
      </c>
      <c r="E1417" s="6" t="s">
        <v>24</v>
      </c>
      <c r="F1417" s="7" t="s">
        <v>25</v>
      </c>
      <c r="G1417" s="6" t="str">
        <f>VLOOKUP(E1417,dicionario!$A$1:$C1816,2,0)</f>
        <v>Lepidoptera</v>
      </c>
      <c r="H1417" s="6" t="str">
        <f>VLOOKUP(E1417,dicionario!$A$1:$C1816,3,0)</f>
        <v>boboleta/mariposa</v>
      </c>
    </row>
    <row r="1418">
      <c r="A1418" s="3">
        <v>45589.0</v>
      </c>
      <c r="B1418" s="4">
        <v>0.2847222222222222</v>
      </c>
      <c r="C1418" s="5" t="s">
        <v>85</v>
      </c>
      <c r="D1418" s="5" t="s">
        <v>500</v>
      </c>
      <c r="E1418" s="6" t="s">
        <v>150</v>
      </c>
      <c r="F1418" s="7" t="s">
        <v>151</v>
      </c>
      <c r="G1418" s="6" t="str">
        <f>VLOOKUP(E1418,dicionario!$A$1:$C1817,2,0)</f>
        <v>Amaranthus viridis</v>
      </c>
      <c r="H1418" s="6" t="str">
        <f>VLOOKUP(E1418,dicionario!$A$1:$C1817,3,0)</f>
        <v>caruru-de-mancha</v>
      </c>
    </row>
    <row r="1419">
      <c r="A1419" s="3">
        <v>45589.0</v>
      </c>
      <c r="B1419" s="4">
        <v>0.28541666666666665</v>
      </c>
      <c r="C1419" s="5" t="s">
        <v>85</v>
      </c>
      <c r="D1419" s="5" t="s">
        <v>500</v>
      </c>
      <c r="E1419" s="6" t="s">
        <v>239</v>
      </c>
      <c r="F1419" s="7" t="s">
        <v>240</v>
      </c>
      <c r="G1419" s="6" t="str">
        <f>VLOOKUP(E1419,dicionario!$A$1:$C1818,2,0)</f>
        <v>Gomphrena celosioides</v>
      </c>
      <c r="H1419" s="6" t="str">
        <f>VLOOKUP(E1419,dicionario!$A$1:$C1818,3,0)</f>
        <v>perpétua-branca</v>
      </c>
    </row>
    <row r="1420">
      <c r="A1420" s="3">
        <v>45589.0</v>
      </c>
      <c r="B1420" s="4">
        <v>0.28541666666666665</v>
      </c>
      <c r="C1420" s="5" t="s">
        <v>85</v>
      </c>
      <c r="D1420" s="5" t="s">
        <v>500</v>
      </c>
      <c r="E1420" s="6" t="s">
        <v>148</v>
      </c>
      <c r="F1420" s="7" t="s">
        <v>149</v>
      </c>
      <c r="G1420" s="6" t="str">
        <f>VLOOKUP(E1420,dicionario!$A$1:$C1819,2,0)</f>
        <v>Parthenium hysterophorus</v>
      </c>
      <c r="H1420" s="6" t="str">
        <f>VLOOKUP(E1420,dicionario!$A$1:$C1819,3,0)</f>
        <v>losna-branca</v>
      </c>
    </row>
    <row r="1421">
      <c r="A1421" s="3">
        <v>45589.0</v>
      </c>
      <c r="B1421" s="4">
        <v>0.28541666666666665</v>
      </c>
      <c r="C1421" s="5" t="s">
        <v>85</v>
      </c>
      <c r="D1421" s="5" t="s">
        <v>500</v>
      </c>
      <c r="E1421" s="6" t="s">
        <v>338</v>
      </c>
      <c r="F1421" s="7" t="s">
        <v>238</v>
      </c>
      <c r="G1421" s="6" t="str">
        <f>VLOOKUP(E1421,dicionario!$A$1:$C1820,2,0)</f>
        <v>Atta</v>
      </c>
      <c r="H1421" s="6" t="str">
        <f>VLOOKUP(E1421,dicionario!$A$1:$C1820,3,0)</f>
        <v>saúva</v>
      </c>
    </row>
    <row r="1422">
      <c r="A1422" s="3">
        <v>45589.0</v>
      </c>
      <c r="B1422" s="4">
        <v>0.28680555555555554</v>
      </c>
      <c r="C1422" s="5" t="s">
        <v>85</v>
      </c>
      <c r="D1422" s="5" t="s">
        <v>500</v>
      </c>
      <c r="E1422" s="6" t="s">
        <v>489</v>
      </c>
      <c r="F1422" s="7" t="s">
        <v>521</v>
      </c>
      <c r="G1422" s="6" t="str">
        <f>VLOOKUP(E1422,dicionario!$A$1:$C1821,2,0)</f>
        <v>Cenchrus echinatus</v>
      </c>
      <c r="H1422" s="6" t="str">
        <f>VLOOKUP(E1422,dicionario!$A$1:$C1821,3,0)</f>
        <v>capim-carrapicho</v>
      </c>
    </row>
    <row r="1423">
      <c r="A1423" s="3">
        <v>45589.0</v>
      </c>
      <c r="B1423" s="4">
        <v>0.28680555555555554</v>
      </c>
      <c r="C1423" s="5" t="s">
        <v>85</v>
      </c>
      <c r="D1423" s="5" t="s">
        <v>500</v>
      </c>
      <c r="E1423" s="6" t="s">
        <v>48</v>
      </c>
      <c r="F1423" s="7" t="s">
        <v>49</v>
      </c>
      <c r="G1423" s="6" t="str">
        <f>VLOOKUP(E1423,dicionario!$A$1:$C1822,2,0)</f>
        <v>Commelina erecta</v>
      </c>
      <c r="H1423" s="6" t="str">
        <f>VLOOKUP(E1423,dicionario!$A$1:$C1822,3,0)</f>
        <v>trapoeraba</v>
      </c>
    </row>
    <row r="1424">
      <c r="A1424" s="3">
        <v>45589.0</v>
      </c>
      <c r="B1424" s="4">
        <v>0.28680555555555554</v>
      </c>
      <c r="C1424" s="5" t="s">
        <v>85</v>
      </c>
      <c r="D1424" s="5" t="s">
        <v>500</v>
      </c>
      <c r="E1424" s="6" t="s">
        <v>227</v>
      </c>
      <c r="F1424" s="7" t="s">
        <v>228</v>
      </c>
      <c r="G1424" s="6" t="str">
        <f>VLOOKUP(E1424,dicionario!$A$1:$C1823,2,0)</f>
        <v>Indigofera hirsuta</v>
      </c>
      <c r="H1424" s="6" t="str">
        <f>VLOOKUP(E1424,dicionario!$A$1:$C1823,3,0)</f>
        <v>anileira</v>
      </c>
    </row>
    <row r="1425">
      <c r="A1425" s="3">
        <v>45589.0</v>
      </c>
      <c r="B1425" s="4">
        <v>0.28680555555555554</v>
      </c>
      <c r="C1425" s="5" t="s">
        <v>85</v>
      </c>
      <c r="D1425" s="5" t="s">
        <v>500</v>
      </c>
      <c r="E1425" s="6" t="s">
        <v>262</v>
      </c>
      <c r="F1425" s="7" t="s">
        <v>263</v>
      </c>
      <c r="G1425" s="6" t="str">
        <f>VLOOKUP(E1425,dicionario!$A$1:$C1824,2,0)</f>
        <v>Portulaca oleracea</v>
      </c>
      <c r="H1425" s="6" t="str">
        <f>VLOOKUP(E1425,dicionario!$A$1:$C1824,3,0)</f>
        <v>beldroega</v>
      </c>
    </row>
    <row r="1426">
      <c r="A1426" s="3">
        <v>45589.0</v>
      </c>
      <c r="B1426" s="4">
        <v>0.28680555555555554</v>
      </c>
      <c r="C1426" s="5" t="s">
        <v>85</v>
      </c>
      <c r="D1426" s="5" t="s">
        <v>500</v>
      </c>
      <c r="E1426" s="6" t="s">
        <v>243</v>
      </c>
      <c r="F1426" s="7" t="s">
        <v>244</v>
      </c>
      <c r="G1426" s="6" t="str">
        <f>VLOOKUP(E1426,dicionario!$A$1:$C1825,2,0)</f>
        <v>Macroptilium atropurpureum</v>
      </c>
      <c r="H1426" s="6" t="str">
        <f>VLOOKUP(E1426,dicionario!$A$1:$C1825,3,0)</f>
        <v>feijão-de-pombo</v>
      </c>
    </row>
    <row r="1427">
      <c r="A1427" s="3">
        <v>45589.0</v>
      </c>
      <c r="B1427" s="4">
        <v>0.28680555555555554</v>
      </c>
      <c r="C1427" s="5" t="s">
        <v>85</v>
      </c>
      <c r="D1427" s="5" t="s">
        <v>500</v>
      </c>
      <c r="E1427" s="8" t="s">
        <v>522</v>
      </c>
      <c r="F1427" s="7" t="s">
        <v>119</v>
      </c>
      <c r="G1427" s="6" t="str">
        <f>VLOOKUP(E1427,dicionario!$A$1:$C1826,2,0)</f>
        <v>#N/A</v>
      </c>
      <c r="H1427" s="6" t="str">
        <f>VLOOKUP(E1427,dicionario!$A$1:$C1826,3,0)</f>
        <v>#N/A</v>
      </c>
    </row>
    <row r="1428">
      <c r="A1428" s="3">
        <v>45589.0</v>
      </c>
      <c r="B1428" s="4">
        <v>0.2881944444444444</v>
      </c>
      <c r="C1428" s="5" t="s">
        <v>85</v>
      </c>
      <c r="D1428" s="5" t="s">
        <v>500</v>
      </c>
      <c r="E1428" s="6" t="s">
        <v>523</v>
      </c>
      <c r="F1428" s="7" t="s">
        <v>524</v>
      </c>
      <c r="G1428" s="6" t="str">
        <f>VLOOKUP(E1428,dicionario!$A$1:$C1827,2,0)</f>
        <v>Coccinellidae</v>
      </c>
      <c r="H1428" s="6" t="str">
        <f>VLOOKUP(E1428,dicionario!$A$1:$C1827,3,0)</f>
        <v>joaninha </v>
      </c>
      <c r="I1428" s="25"/>
    </row>
    <row r="1429">
      <c r="A1429" s="3">
        <v>45589.0</v>
      </c>
      <c r="B1429" s="4">
        <v>0.2881944444444444</v>
      </c>
      <c r="C1429" s="5" t="s">
        <v>85</v>
      </c>
      <c r="D1429" s="5" t="s">
        <v>500</v>
      </c>
      <c r="E1429" s="6" t="s">
        <v>296</v>
      </c>
      <c r="F1429" s="7" t="s">
        <v>377</v>
      </c>
      <c r="G1429" s="6" t="str">
        <f>VLOOKUP(E1429,dicionario!$A$1:$C1828,2,0)</f>
        <v>Richardia brasiliensis</v>
      </c>
      <c r="H1429" s="6" t="str">
        <f>VLOOKUP(E1429,dicionario!$A$1:$C1828,3,0)</f>
        <v>poaia-branca</v>
      </c>
    </row>
    <row r="1430">
      <c r="A1430" s="3">
        <v>45589.0</v>
      </c>
      <c r="B1430" s="4">
        <v>0.28888888888888886</v>
      </c>
      <c r="C1430" s="5" t="s">
        <v>85</v>
      </c>
      <c r="D1430" s="5" t="s">
        <v>500</v>
      </c>
      <c r="E1430" s="6" t="s">
        <v>69</v>
      </c>
      <c r="F1430" s="7" t="s">
        <v>71</v>
      </c>
      <c r="G1430" s="6" t="str">
        <f>VLOOKUP(E1430,dicionario!$A$1:$C1829,2,0)</f>
        <v>Talinum fruticosum</v>
      </c>
      <c r="H1430" s="6" t="str">
        <f>VLOOKUP(E1430,dicionario!$A$1:$C1829,3,0)</f>
        <v>beldroega-grande</v>
      </c>
    </row>
    <row r="1431">
      <c r="A1431" s="3">
        <v>45589.0</v>
      </c>
      <c r="B1431" s="4">
        <v>0.28888888888888886</v>
      </c>
      <c r="C1431" s="5" t="s">
        <v>85</v>
      </c>
      <c r="D1431" s="5" t="s">
        <v>500</v>
      </c>
      <c r="E1431" s="6" t="s">
        <v>177</v>
      </c>
      <c r="F1431" s="7" t="s">
        <v>178</v>
      </c>
      <c r="G1431" s="6" t="str">
        <f>VLOOKUP(E1431,dicionario!$A$1:$C1830,2,0)</f>
        <v>Elaenia flavogaster</v>
      </c>
      <c r="H1431" s="6" t="str">
        <f>VLOOKUP(E1431,dicionario!$A$1:$C1830,3,0)</f>
        <v>guaracava-de-barriga-amarela</v>
      </c>
    </row>
    <row r="1432">
      <c r="A1432" s="3">
        <v>45589.0</v>
      </c>
      <c r="B1432" s="4">
        <v>0.29305555555555557</v>
      </c>
      <c r="C1432" s="5" t="s">
        <v>76</v>
      </c>
      <c r="D1432" s="5" t="s">
        <v>500</v>
      </c>
      <c r="E1432" s="6" t="s">
        <v>111</v>
      </c>
      <c r="F1432" s="7" t="s">
        <v>112</v>
      </c>
      <c r="G1432" s="6" t="str">
        <f>VLOOKUP(E1432,dicionario!$A$1:$C1831,2,0)</f>
        <v>Trigona spinipes</v>
      </c>
      <c r="H1432" s="6" t="str">
        <f>VLOOKUP(E1432,dicionario!$A$1:$C1831,3,0)</f>
        <v>abelha-cachorro</v>
      </c>
    </row>
    <row r="1433">
      <c r="A1433" s="3">
        <v>45589.0</v>
      </c>
      <c r="B1433" s="4">
        <v>0.29305555555555557</v>
      </c>
      <c r="C1433" s="5" t="s">
        <v>76</v>
      </c>
      <c r="D1433" s="5" t="s">
        <v>500</v>
      </c>
      <c r="E1433" s="6" t="s">
        <v>139</v>
      </c>
      <c r="F1433" s="7" t="s">
        <v>140</v>
      </c>
      <c r="G1433" s="6" t="str">
        <f>VLOOKUP(E1433,dicionario!$A$1:$C1832,2,0)</f>
        <v>Tropidurus torquatus</v>
      </c>
      <c r="H1433" s="6" t="str">
        <f>VLOOKUP(E1433,dicionario!$A$1:$C1832,3,0)</f>
        <v>calango; tropiduro-comum</v>
      </c>
    </row>
    <row r="1434">
      <c r="A1434" s="3">
        <v>45589.0</v>
      </c>
      <c r="B1434" s="4">
        <v>0.29305555555555557</v>
      </c>
      <c r="C1434" s="5" t="s">
        <v>76</v>
      </c>
      <c r="D1434" s="5" t="s">
        <v>500</v>
      </c>
      <c r="E1434" s="6" t="s">
        <v>20</v>
      </c>
      <c r="F1434" s="7" t="s">
        <v>21</v>
      </c>
      <c r="G1434" s="6" t="str">
        <f>VLOOKUP(E1434,dicionario!$A$1:$C1833,2,0)</f>
        <v>Sicalis flaveola</v>
      </c>
      <c r="H1434" s="6" t="str">
        <f>VLOOKUP(E1434,dicionario!$A$1:$C1833,3,0)</f>
        <v>canário-da-terra</v>
      </c>
    </row>
    <row r="1435">
      <c r="A1435" s="3">
        <v>45589.0</v>
      </c>
      <c r="B1435" s="4">
        <v>0.29305555555555557</v>
      </c>
      <c r="C1435" s="5" t="s">
        <v>76</v>
      </c>
      <c r="D1435" s="5" t="s">
        <v>500</v>
      </c>
      <c r="E1435" s="6" t="s">
        <v>290</v>
      </c>
      <c r="F1435" s="7" t="s">
        <v>291</v>
      </c>
      <c r="G1435" s="6" t="str">
        <f>VLOOKUP(E1435,dicionario!$A$1:$C1834,2,0)</f>
        <v>Drymaria cordata</v>
      </c>
      <c r="H1435" s="6" t="str">
        <f>VLOOKUP(E1435,dicionario!$A$1:$C1834,3,0)</f>
        <v>orelha-de-rato</v>
      </c>
    </row>
    <row r="1436">
      <c r="A1436" s="3">
        <v>45589.0</v>
      </c>
      <c r="B1436" s="4">
        <v>0.29305555555555557</v>
      </c>
      <c r="C1436" s="5" t="s">
        <v>76</v>
      </c>
      <c r="D1436" s="5" t="s">
        <v>500</v>
      </c>
      <c r="E1436" s="8" t="s">
        <v>525</v>
      </c>
      <c r="F1436" s="7" t="s">
        <v>526</v>
      </c>
      <c r="G1436" s="6" t="str">
        <f>VLOOKUP(E1436,dicionario!$A$1:$C1835,2,0)</f>
        <v>#N/A</v>
      </c>
      <c r="H1436" s="6" t="str">
        <f>VLOOKUP(E1436,dicionario!$A$1:$C1835,3,0)</f>
        <v>#N/A</v>
      </c>
    </row>
    <row r="1437">
      <c r="A1437" s="3">
        <v>45589.0</v>
      </c>
      <c r="B1437" s="4">
        <v>0.29305555555555557</v>
      </c>
      <c r="C1437" s="5" t="s">
        <v>76</v>
      </c>
      <c r="D1437" s="5" t="s">
        <v>500</v>
      </c>
      <c r="E1437" s="6" t="s">
        <v>24</v>
      </c>
      <c r="F1437" s="7" t="s">
        <v>25</v>
      </c>
      <c r="G1437" s="6" t="str">
        <f>VLOOKUP(E1437,dicionario!$A$1:$C1836,2,0)</f>
        <v>Lepidoptera</v>
      </c>
      <c r="H1437" s="6" t="str">
        <f>VLOOKUP(E1437,dicionario!$A$1:$C1836,3,0)</f>
        <v>boboleta/mariposa</v>
      </c>
    </row>
    <row r="1438">
      <c r="A1438" s="3">
        <v>45589.0</v>
      </c>
      <c r="B1438" s="4">
        <v>0.29305555555555557</v>
      </c>
      <c r="C1438" s="5" t="s">
        <v>76</v>
      </c>
      <c r="D1438" s="5" t="s">
        <v>500</v>
      </c>
      <c r="E1438" s="6" t="s">
        <v>527</v>
      </c>
      <c r="F1438" s="7" t="s">
        <v>119</v>
      </c>
      <c r="G1438" s="6" t="str">
        <f>VLOOKUP(E1438,dicionario!$A$1:$C1837,2,0)</f>
        <v>#N/A</v>
      </c>
      <c r="H1438" s="6" t="str">
        <f>VLOOKUP(E1438,dicionario!$A$1:$C1837,3,0)</f>
        <v>#N/A</v>
      </c>
    </row>
    <row r="1439">
      <c r="A1439" s="3">
        <v>45589.0</v>
      </c>
      <c r="B1439" s="4">
        <v>0.29305555555555557</v>
      </c>
      <c r="C1439" s="5" t="s">
        <v>76</v>
      </c>
      <c r="D1439" s="5" t="s">
        <v>500</v>
      </c>
      <c r="E1439" s="6" t="s">
        <v>489</v>
      </c>
      <c r="F1439" s="7" t="s">
        <v>521</v>
      </c>
      <c r="G1439" s="6" t="str">
        <f>VLOOKUP(E1439,dicionario!$A$1:$C1838,2,0)</f>
        <v>Cenchrus echinatus</v>
      </c>
      <c r="H1439" s="6" t="str">
        <f>VLOOKUP(E1439,dicionario!$A$1:$C1838,3,0)</f>
        <v>capim-carrapicho</v>
      </c>
    </row>
    <row r="1440">
      <c r="A1440" s="3">
        <v>45589.0</v>
      </c>
      <c r="B1440" s="4">
        <v>0.29375</v>
      </c>
      <c r="C1440" s="5" t="s">
        <v>76</v>
      </c>
      <c r="D1440" s="5" t="s">
        <v>500</v>
      </c>
      <c r="E1440" s="6" t="s">
        <v>48</v>
      </c>
      <c r="F1440" s="7" t="s">
        <v>49</v>
      </c>
      <c r="G1440" s="6" t="str">
        <f>VLOOKUP(E1440,dicionario!$A$1:$C1839,2,0)</f>
        <v>Commelina erecta</v>
      </c>
      <c r="H1440" s="6" t="str">
        <f>VLOOKUP(E1440,dicionario!$A$1:$C1839,3,0)</f>
        <v>trapoeraba</v>
      </c>
    </row>
    <row r="1441">
      <c r="A1441" s="3">
        <v>45589.0</v>
      </c>
      <c r="B1441" s="4">
        <v>0.29375</v>
      </c>
      <c r="C1441" s="5" t="s">
        <v>76</v>
      </c>
      <c r="D1441" s="5" t="s">
        <v>500</v>
      </c>
      <c r="E1441" s="18" t="s">
        <v>275</v>
      </c>
      <c r="F1441" s="7" t="s">
        <v>276</v>
      </c>
      <c r="G1441" s="6" t="str">
        <f>VLOOKUP(E1441,dicionario!$A$1:$C1840,2,0)</f>
        <v>Bidens pilosa</v>
      </c>
      <c r="H1441" s="6" t="str">
        <f>VLOOKUP(E1441,dicionario!$A$1:$C1840,3,0)</f>
        <v>picão-preto</v>
      </c>
    </row>
    <row r="1442">
      <c r="A1442" s="3">
        <v>45589.0</v>
      </c>
      <c r="B1442" s="4">
        <v>0.29375</v>
      </c>
      <c r="C1442" s="5" t="s">
        <v>76</v>
      </c>
      <c r="D1442" s="5" t="s">
        <v>500</v>
      </c>
      <c r="E1442" s="6" t="s">
        <v>148</v>
      </c>
      <c r="F1442" s="7" t="s">
        <v>149</v>
      </c>
      <c r="G1442" s="6" t="str">
        <f>VLOOKUP(E1442,dicionario!$A$1:$C1841,2,0)</f>
        <v>Parthenium hysterophorus</v>
      </c>
      <c r="H1442" s="6" t="str">
        <f>VLOOKUP(E1442,dicionario!$A$1:$C1841,3,0)</f>
        <v>losna-branca</v>
      </c>
    </row>
    <row r="1443">
      <c r="A1443" s="3">
        <v>45589.0</v>
      </c>
      <c r="B1443" s="4">
        <v>0.29375</v>
      </c>
      <c r="C1443" s="5" t="s">
        <v>76</v>
      </c>
      <c r="D1443" s="5" t="s">
        <v>500</v>
      </c>
      <c r="E1443" s="6" t="s">
        <v>528</v>
      </c>
      <c r="F1443" s="7" t="s">
        <v>529</v>
      </c>
      <c r="G1443" s="6" t="str">
        <f>VLOOKUP(E1443,dicionario!$A$1:$C1842,2,0)</f>
        <v>#N/A</v>
      </c>
      <c r="H1443" s="6" t="str">
        <f>VLOOKUP(E1443,dicionario!$A$1:$C1842,3,0)</f>
        <v>#N/A</v>
      </c>
    </row>
    <row r="1444">
      <c r="A1444" s="3">
        <v>45589.0</v>
      </c>
      <c r="B1444" s="4">
        <v>0.29375</v>
      </c>
      <c r="C1444" s="5" t="s">
        <v>76</v>
      </c>
      <c r="D1444" s="5" t="s">
        <v>500</v>
      </c>
      <c r="E1444" s="6" t="s">
        <v>150</v>
      </c>
      <c r="F1444" s="7" t="s">
        <v>151</v>
      </c>
      <c r="G1444" s="6" t="str">
        <f>VLOOKUP(E1444,dicionario!$A$1:$C1843,2,0)</f>
        <v>Amaranthus viridis</v>
      </c>
      <c r="H1444" s="6" t="str">
        <f>VLOOKUP(E1444,dicionario!$A$1:$C1843,3,0)</f>
        <v>caruru-de-mancha</v>
      </c>
    </row>
    <row r="1445">
      <c r="A1445" s="3">
        <v>45589.0</v>
      </c>
      <c r="B1445" s="4">
        <v>0.29444444444444445</v>
      </c>
      <c r="C1445" s="5" t="s">
        <v>76</v>
      </c>
      <c r="D1445" s="5" t="s">
        <v>500</v>
      </c>
      <c r="E1445" s="6" t="s">
        <v>271</v>
      </c>
      <c r="F1445" s="7" t="s">
        <v>272</v>
      </c>
      <c r="G1445" s="6" t="str">
        <f>VLOOKUP(E1445,dicionario!$A$1:$C1844,2,0)</f>
        <v>Cyanthillium cinereum</v>
      </c>
      <c r="H1445" s="6" t="str">
        <f>VLOOKUP(E1445,dicionario!$A$1:$C1844,3,0)</f>
        <v>emília</v>
      </c>
    </row>
    <row r="1446">
      <c r="A1446" s="3">
        <v>45589.0</v>
      </c>
      <c r="B1446" s="4">
        <v>0.29444444444444445</v>
      </c>
      <c r="C1446" s="5" t="s">
        <v>76</v>
      </c>
      <c r="D1446" s="5" t="s">
        <v>500</v>
      </c>
      <c r="E1446" s="20" t="s">
        <v>489</v>
      </c>
      <c r="F1446" s="7" t="s">
        <v>490</v>
      </c>
      <c r="G1446" s="6" t="str">
        <f>VLOOKUP(E1446,dicionario!$A$1:$C1845,2,0)</f>
        <v>Cenchrus echinatus</v>
      </c>
      <c r="H1446" s="6" t="str">
        <f>VLOOKUP(E1446,dicionario!$A$1:$C1845,3,0)</f>
        <v>capim-carrapicho</v>
      </c>
    </row>
    <row r="1447">
      <c r="A1447" s="3">
        <v>45589.0</v>
      </c>
      <c r="B1447" s="4">
        <v>0.29444444444444445</v>
      </c>
      <c r="C1447" s="5" t="s">
        <v>76</v>
      </c>
      <c r="D1447" s="5" t="s">
        <v>500</v>
      </c>
      <c r="E1447" s="6" t="s">
        <v>146</v>
      </c>
      <c r="F1447" s="7" t="s">
        <v>147</v>
      </c>
      <c r="G1447" s="6" t="str">
        <f>VLOOKUP(E1447,dicionario!$A$1:$C1846,2,0)</f>
        <v>Euphorbia hirta</v>
      </c>
      <c r="H1447" s="6" t="str">
        <f>VLOOKUP(E1447,dicionario!$A$1:$C1846,3,0)</f>
        <v>erva-de-santa-luzia</v>
      </c>
    </row>
    <row r="1448">
      <c r="A1448" s="3">
        <v>45589.0</v>
      </c>
      <c r="B1448" s="4">
        <v>0.29444444444444445</v>
      </c>
      <c r="C1448" s="5" t="s">
        <v>76</v>
      </c>
      <c r="D1448" s="5" t="s">
        <v>500</v>
      </c>
      <c r="E1448" s="6" t="s">
        <v>253</v>
      </c>
      <c r="F1448" s="7" t="s">
        <v>254</v>
      </c>
      <c r="G1448" s="6" t="str">
        <f>VLOOKUP(E1448,dicionario!$A$1:$C1847,2,0)</f>
        <v>Panicum maximum</v>
      </c>
      <c r="H1448" s="6" t="str">
        <f>VLOOKUP(E1448,dicionario!$A$1:$C1847,3,0)</f>
        <v>capim-colonião</v>
      </c>
    </row>
    <row r="1449">
      <c r="A1449" s="3">
        <v>45589.0</v>
      </c>
      <c r="B1449" s="4">
        <v>0.29444444444444445</v>
      </c>
      <c r="C1449" s="5" t="s">
        <v>76</v>
      </c>
      <c r="D1449" s="5" t="s">
        <v>500</v>
      </c>
      <c r="E1449" s="6" t="s">
        <v>530</v>
      </c>
      <c r="F1449" s="7" t="s">
        <v>531</v>
      </c>
      <c r="G1449" s="6" t="str">
        <f>VLOOKUP(E1449,dicionario!$A$1:$C1848,2,0)</f>
        <v>#N/A</v>
      </c>
      <c r="H1449" s="6" t="str">
        <f>VLOOKUP(E1449,dicionario!$A$1:$C1848,3,0)</f>
        <v>#N/A</v>
      </c>
    </row>
    <row r="1450">
      <c r="A1450" s="3">
        <v>45589.0</v>
      </c>
      <c r="B1450" s="4">
        <v>0.29444444444444445</v>
      </c>
      <c r="C1450" s="5" t="s">
        <v>76</v>
      </c>
      <c r="D1450" s="5" t="s">
        <v>500</v>
      </c>
      <c r="E1450" s="6" t="s">
        <v>262</v>
      </c>
      <c r="F1450" s="7" t="s">
        <v>263</v>
      </c>
      <c r="G1450" s="6" t="str">
        <f>VLOOKUP(E1450,dicionario!$A$1:$C1849,2,0)</f>
        <v>Portulaca oleracea</v>
      </c>
      <c r="H1450" s="6" t="str">
        <f>VLOOKUP(E1450,dicionario!$A$1:$C1849,3,0)</f>
        <v>beldroega</v>
      </c>
    </row>
    <row r="1451">
      <c r="A1451" s="3">
        <v>45589.0</v>
      </c>
      <c r="B1451" s="4">
        <v>0.29583333333333334</v>
      </c>
      <c r="C1451" s="5" t="s">
        <v>76</v>
      </c>
      <c r="D1451" s="5" t="s">
        <v>500</v>
      </c>
      <c r="E1451" s="6" t="s">
        <v>532</v>
      </c>
      <c r="F1451" s="7" t="s">
        <v>533</v>
      </c>
      <c r="G1451" s="6" t="str">
        <f>VLOOKUP(E1451,dicionario!$A$1:$C1850,2,0)</f>
        <v>Euphorbia heterophylla</v>
      </c>
      <c r="H1451" s="6" t="str">
        <f>VLOOKUP(E1451,dicionario!$A$1:$C1850,3,0)</f>
        <v>amendoim-bravo</v>
      </c>
    </row>
    <row r="1452">
      <c r="A1452" s="3">
        <v>45589.0</v>
      </c>
      <c r="B1452" s="4">
        <v>0.29583333333333334</v>
      </c>
      <c r="C1452" s="5" t="s">
        <v>76</v>
      </c>
      <c r="D1452" s="5" t="s">
        <v>500</v>
      </c>
      <c r="E1452" s="6" t="s">
        <v>504</v>
      </c>
      <c r="F1452" s="5" t="s">
        <v>534</v>
      </c>
      <c r="G1452" s="6" t="str">
        <f>VLOOKUP(E1452,dicionario!$A$1:$C1851,2,0)</f>
        <v>Cleome aculeata</v>
      </c>
      <c r="H1452" s="6" t="str">
        <f>VLOOKUP(E1452,dicionario!$A$1:$C1851,3,0)</f>
        <v>cleome</v>
      </c>
    </row>
    <row r="1453">
      <c r="A1453" s="3">
        <v>45589.0</v>
      </c>
      <c r="B1453" s="4">
        <v>0.29583333333333334</v>
      </c>
      <c r="C1453" s="5" t="s">
        <v>76</v>
      </c>
      <c r="D1453" s="5" t="s">
        <v>500</v>
      </c>
      <c r="E1453" s="8" t="s">
        <v>535</v>
      </c>
      <c r="F1453" s="7" t="s">
        <v>536</v>
      </c>
      <c r="G1453" s="6" t="str">
        <f>VLOOKUP(E1453,dicionario!$A$1:$C1852,2,0)</f>
        <v>Odonata</v>
      </c>
      <c r="H1453" s="6" t="str">
        <f>VLOOKUP(E1453,dicionario!$A$1:$C1852,3,0)</f>
        <v>libélula</v>
      </c>
    </row>
    <row r="1454">
      <c r="A1454" s="3">
        <v>45589.0</v>
      </c>
      <c r="B1454" s="4">
        <v>0.2965277777777778</v>
      </c>
      <c r="C1454" s="5" t="s">
        <v>76</v>
      </c>
      <c r="D1454" s="5" t="s">
        <v>500</v>
      </c>
      <c r="E1454" s="6" t="s">
        <v>113</v>
      </c>
      <c r="F1454" s="7" t="s">
        <v>114</v>
      </c>
      <c r="G1454" s="6" t="str">
        <f>VLOOKUP(E1454,dicionario!$A$1:$C1853,2,0)</f>
        <v>Columbina talpacoti</v>
      </c>
      <c r="H1454" s="6" t="str">
        <f>VLOOKUP(E1454,dicionario!$A$1:$C1853,3,0)</f>
        <v>rolinha-roxa</v>
      </c>
    </row>
    <row r="1455">
      <c r="A1455" s="3">
        <v>45589.0</v>
      </c>
      <c r="B1455" s="4">
        <v>0.2965277777777778</v>
      </c>
      <c r="C1455" s="5" t="s">
        <v>76</v>
      </c>
      <c r="D1455" s="5" t="s">
        <v>537</v>
      </c>
      <c r="E1455" s="8" t="s">
        <v>38</v>
      </c>
      <c r="F1455" s="5" t="s">
        <v>39</v>
      </c>
      <c r="G1455" s="6" t="str">
        <f>VLOOKUP(E1455,dicionario!$A$1:$C1854,2,0)</f>
        <v>Troglodytes musculus</v>
      </c>
      <c r="H1455" s="6" t="str">
        <f>VLOOKUP(E1455,dicionario!$A$1:$C1854,3,0)</f>
        <v>curruíra</v>
      </c>
    </row>
    <row r="1456">
      <c r="A1456" s="3">
        <v>45589.0</v>
      </c>
      <c r="B1456" s="4">
        <v>0.2965277777777778</v>
      </c>
      <c r="C1456" s="5" t="s">
        <v>76</v>
      </c>
      <c r="D1456" s="5" t="s">
        <v>500</v>
      </c>
      <c r="E1456" s="6" t="s">
        <v>144</v>
      </c>
      <c r="F1456" s="7" t="s">
        <v>538</v>
      </c>
      <c r="G1456" s="6" t="str">
        <f>VLOOKUP(E1456,dicionario!$A$1:$C1855,2,0)</f>
        <v>Gomphrena globosa</v>
      </c>
      <c r="H1456" s="6" t="str">
        <f>VLOOKUP(E1456,dicionario!$A$1:$C1855,3,0)</f>
        <v>perpétua-rosa</v>
      </c>
    </row>
    <row r="1457">
      <c r="A1457" s="3">
        <v>45589.0</v>
      </c>
      <c r="B1457" s="4">
        <v>0.2965277777777778</v>
      </c>
      <c r="C1457" s="5" t="s">
        <v>76</v>
      </c>
      <c r="D1457" s="5" t="s">
        <v>500</v>
      </c>
      <c r="E1457" s="6" t="s">
        <v>286</v>
      </c>
      <c r="F1457" s="7" t="s">
        <v>287</v>
      </c>
      <c r="G1457" s="6" t="str">
        <f>VLOOKUP(E1457,dicionario!$A$1:$C1856,2,0)</f>
        <v>Setaria parviflora</v>
      </c>
      <c r="H1457" s="6" t="str">
        <f>VLOOKUP(E1457,dicionario!$A$1:$C1856,3,0)</f>
        <v>capim-rabo-de-raposa</v>
      </c>
    </row>
    <row r="1458">
      <c r="A1458" s="3">
        <v>45589.0</v>
      </c>
      <c r="B1458" s="4">
        <v>0.2965277777777778</v>
      </c>
      <c r="C1458" s="5" t="s">
        <v>76</v>
      </c>
      <c r="D1458" s="5" t="s">
        <v>500</v>
      </c>
      <c r="E1458" s="6" t="s">
        <v>298</v>
      </c>
      <c r="F1458" s="5" t="s">
        <v>299</v>
      </c>
      <c r="G1458" s="6" t="str">
        <f>VLOOKUP(E1458,dicionario!$A$1:$C1857,2,0)</f>
        <v>Alysicarpus vaginalis</v>
      </c>
      <c r="H1458" s="6" t="str">
        <f>VLOOKUP(E1458,dicionario!$A$1:$C1857,3,0)</f>
        <v/>
      </c>
    </row>
    <row r="1459">
      <c r="A1459" s="3">
        <v>45589.0</v>
      </c>
      <c r="B1459" s="4">
        <v>0.2972222222222222</v>
      </c>
      <c r="C1459" s="5" t="s">
        <v>76</v>
      </c>
      <c r="D1459" s="5" t="s">
        <v>500</v>
      </c>
      <c r="E1459" s="6" t="s">
        <v>148</v>
      </c>
      <c r="F1459" s="7" t="s">
        <v>149</v>
      </c>
      <c r="G1459" s="6" t="str">
        <f>VLOOKUP(E1459,dicionario!$A$1:$C1858,2,0)</f>
        <v>Parthenium hysterophorus</v>
      </c>
      <c r="H1459" s="6" t="str">
        <f>VLOOKUP(E1459,dicionario!$A$1:$C1858,3,0)</f>
        <v>losna-branca</v>
      </c>
    </row>
    <row r="1460">
      <c r="A1460" s="3">
        <v>45589.0</v>
      </c>
      <c r="B1460" s="4">
        <v>0.2972222222222222</v>
      </c>
      <c r="C1460" s="5" t="s">
        <v>76</v>
      </c>
      <c r="D1460" s="5" t="s">
        <v>500</v>
      </c>
      <c r="E1460" s="6" t="s">
        <v>471</v>
      </c>
      <c r="F1460" s="7" t="s">
        <v>472</v>
      </c>
      <c r="G1460" s="6" t="str">
        <f>VLOOKUP(E1460,dicionario!$A$1:$C1859,2,0)</f>
        <v>Sida acuta</v>
      </c>
      <c r="H1460" s="6" t="str">
        <f>VLOOKUP(E1460,dicionario!$A$1:$C1859,3,0)</f>
        <v>reloginho</v>
      </c>
    </row>
    <row r="1461">
      <c r="A1461" s="3">
        <v>45589.0</v>
      </c>
      <c r="B1461" s="4">
        <v>0.2972222222222222</v>
      </c>
      <c r="C1461" s="5" t="s">
        <v>76</v>
      </c>
      <c r="D1461" s="5" t="s">
        <v>500</v>
      </c>
      <c r="E1461" s="6" t="s">
        <v>86</v>
      </c>
      <c r="F1461" s="7" t="s">
        <v>502</v>
      </c>
      <c r="G1461" s="6" t="str">
        <f>VLOOKUP(E1461,dicionario!$A$1:$C1860,2,0)</f>
        <v>Coereba flaveola</v>
      </c>
      <c r="H1461" s="6" t="str">
        <f>VLOOKUP(E1461,dicionario!$A$1:$C1860,3,0)</f>
        <v>cambacica</v>
      </c>
    </row>
    <row r="1462">
      <c r="A1462" s="3">
        <v>45589.0</v>
      </c>
      <c r="B1462" s="4">
        <v>0.2972222222222222</v>
      </c>
      <c r="C1462" s="5" t="s">
        <v>76</v>
      </c>
      <c r="D1462" s="5" t="s">
        <v>500</v>
      </c>
      <c r="E1462" s="6" t="s">
        <v>296</v>
      </c>
      <c r="F1462" s="7" t="s">
        <v>297</v>
      </c>
      <c r="G1462" s="6" t="str">
        <f>VLOOKUP(E1462,dicionario!$A$1:$C1861,2,0)</f>
        <v>Richardia brasiliensis</v>
      </c>
      <c r="H1462" s="6" t="str">
        <f>VLOOKUP(E1462,dicionario!$A$1:$C1861,3,0)</f>
        <v>poaia-branca</v>
      </c>
    </row>
    <row r="1463">
      <c r="A1463" s="3">
        <v>45589.0</v>
      </c>
      <c r="B1463" s="4">
        <v>0.2972222222222222</v>
      </c>
      <c r="C1463" s="5" t="s">
        <v>76</v>
      </c>
      <c r="D1463" s="5" t="s">
        <v>500</v>
      </c>
      <c r="E1463" s="6" t="s">
        <v>41</v>
      </c>
      <c r="F1463" s="7" t="s">
        <v>45</v>
      </c>
      <c r="G1463" s="6" t="str">
        <f>VLOOKUP(E1463,dicionario!$A$1:$C1862,2,0)</f>
        <v>Mimosa pudica</v>
      </c>
      <c r="H1463" s="6" t="str">
        <f>VLOOKUP(E1463,dicionario!$A$1:$C1862,3,0)</f>
        <v>dormideira</v>
      </c>
    </row>
    <row r="1464">
      <c r="A1464" s="3">
        <v>45589.0</v>
      </c>
      <c r="B1464" s="4">
        <v>0.29930555555555555</v>
      </c>
      <c r="C1464" s="5" t="s">
        <v>76</v>
      </c>
      <c r="D1464" s="5" t="s">
        <v>500</v>
      </c>
      <c r="E1464" s="6" t="s">
        <v>18</v>
      </c>
      <c r="F1464" s="7" t="s">
        <v>219</v>
      </c>
      <c r="G1464" s="6" t="str">
        <f>VLOOKUP(E1464,dicionario!$A$1:$C1863,2,0)</f>
        <v>Xylocopa frontalis</v>
      </c>
      <c r="H1464" s="6" t="str">
        <f>VLOOKUP(E1464,dicionario!$A$1:$C1863,3,0)</f>
        <v>Mamangava; mangangá; abelha-carpinteira</v>
      </c>
    </row>
    <row r="1465">
      <c r="A1465" s="3">
        <v>45589.0</v>
      </c>
      <c r="B1465" s="4">
        <v>0.29930555555555555</v>
      </c>
      <c r="C1465" s="5" t="s">
        <v>76</v>
      </c>
      <c r="D1465" s="5" t="s">
        <v>500</v>
      </c>
      <c r="E1465" s="6" t="s">
        <v>83</v>
      </c>
      <c r="F1465" s="7" t="s">
        <v>84</v>
      </c>
      <c r="G1465" s="6" t="str">
        <f>VLOOKUP(E1465,dicionario!$A$1:$C1864,2,0)</f>
        <v>Anartia jatrophae</v>
      </c>
      <c r="H1465" s="6" t="str">
        <f>VLOOKUP(E1465,dicionario!$A$1:$C1864,3,0)</f>
        <v>borboleta-pavão-branco</v>
      </c>
    </row>
    <row r="1466">
      <c r="A1466" s="3">
        <v>45589.0</v>
      </c>
      <c r="B1466" s="4">
        <v>0.29930555555555555</v>
      </c>
      <c r="C1466" s="5" t="s">
        <v>76</v>
      </c>
      <c r="D1466" s="5" t="s">
        <v>500</v>
      </c>
      <c r="E1466" s="6" t="s">
        <v>539</v>
      </c>
      <c r="F1466" s="7" t="s">
        <v>540</v>
      </c>
      <c r="G1466" s="6" t="str">
        <f>VLOOKUP(E1466,dicionario!$A$1:$C1865,2,0)</f>
        <v>#N/A</v>
      </c>
      <c r="H1466" s="6" t="str">
        <f>VLOOKUP(E1466,dicionario!$A$1:$C1865,3,0)</f>
        <v>#N/A</v>
      </c>
    </row>
    <row r="1467">
      <c r="A1467" s="3">
        <v>45589.0</v>
      </c>
      <c r="B1467" s="4">
        <v>0.29930555555555555</v>
      </c>
      <c r="C1467" s="5" t="s">
        <v>76</v>
      </c>
      <c r="D1467" s="5" t="s">
        <v>500</v>
      </c>
      <c r="E1467" s="6" t="s">
        <v>444</v>
      </c>
      <c r="F1467" s="7" t="s">
        <v>445</v>
      </c>
      <c r="G1467" s="6" t="str">
        <f>VLOOKUP(E1467,dicionario!$A$1:$C1866,2,0)</f>
        <v>#N/A</v>
      </c>
      <c r="H1467" s="6" t="str">
        <f>VLOOKUP(E1467,dicionario!$A$1:$C1866,3,0)</f>
        <v>#N/A</v>
      </c>
    </row>
    <row r="1468">
      <c r="A1468" s="3">
        <v>45589.0</v>
      </c>
      <c r="B1468" s="4">
        <v>0.3</v>
      </c>
      <c r="C1468" s="5" t="s">
        <v>76</v>
      </c>
      <c r="D1468" s="5" t="s">
        <v>500</v>
      </c>
      <c r="E1468" s="26" t="s">
        <v>80</v>
      </c>
      <c r="F1468" s="7" t="s">
        <v>541</v>
      </c>
      <c r="G1468" s="6" t="str">
        <f>VLOOKUP(E1468,dicionario!$A$1:$C1867,2,0)</f>
        <v>Pentatomidae</v>
      </c>
      <c r="H1468" s="6" t="str">
        <f>VLOOKUP(E1468,dicionario!$A$1:$C1867,3,0)</f>
        <v>maria-fedida</v>
      </c>
    </row>
    <row r="1469">
      <c r="A1469" s="3">
        <v>45589.0</v>
      </c>
      <c r="B1469" s="4">
        <v>0.3</v>
      </c>
      <c r="C1469" s="5" t="s">
        <v>76</v>
      </c>
      <c r="D1469" s="5" t="s">
        <v>500</v>
      </c>
      <c r="E1469" s="6" t="s">
        <v>542</v>
      </c>
      <c r="F1469" s="7" t="s">
        <v>543</v>
      </c>
      <c r="G1469" s="6" t="str">
        <f>VLOOKUP(E1469,dicionario!$A$1:$C1868,2,0)</f>
        <v>#N/A</v>
      </c>
      <c r="H1469" s="6" t="str">
        <f>VLOOKUP(E1469,dicionario!$A$1:$C1868,3,0)</f>
        <v>#N/A</v>
      </c>
    </row>
    <row r="1470">
      <c r="A1470" s="3">
        <v>45589.0</v>
      </c>
      <c r="B1470" s="4">
        <v>0.3</v>
      </c>
      <c r="C1470" s="5" t="s">
        <v>76</v>
      </c>
      <c r="D1470" s="5" t="s">
        <v>500</v>
      </c>
      <c r="E1470" s="6" t="s">
        <v>544</v>
      </c>
      <c r="F1470" s="7" t="s">
        <v>545</v>
      </c>
      <c r="G1470" s="6" t="str">
        <f>VLOOKUP(E1470,dicionario!$A$1:$C1869,2,0)</f>
        <v>#N/A</v>
      </c>
      <c r="H1470" s="6" t="str">
        <f>VLOOKUP(E1470,dicionario!$A$1:$C1869,3,0)</f>
        <v>#N/A</v>
      </c>
    </row>
    <row r="1471">
      <c r="A1471" s="3">
        <v>45589.0</v>
      </c>
      <c r="B1471" s="4">
        <v>0.3</v>
      </c>
      <c r="C1471" s="5" t="s">
        <v>76</v>
      </c>
      <c r="D1471" s="5" t="s">
        <v>500</v>
      </c>
      <c r="E1471" s="6" t="s">
        <v>183</v>
      </c>
      <c r="F1471" s="7" t="s">
        <v>277</v>
      </c>
      <c r="G1471" s="6" t="str">
        <f>VLOOKUP(E1471,dicionario!$A$1:$C1870,2,0)</f>
        <v>Thunbergia alata</v>
      </c>
      <c r="H1471" s="6" t="str">
        <f>VLOOKUP(E1471,dicionario!$A$1:$C1870,3,0)</f>
        <v>susana-dos-olhos-negros</v>
      </c>
    </row>
    <row r="1472">
      <c r="A1472" s="3">
        <v>45589.0</v>
      </c>
      <c r="B1472" s="4">
        <v>0.3013888888888889</v>
      </c>
      <c r="C1472" s="5" t="s">
        <v>76</v>
      </c>
      <c r="D1472" s="5" t="s">
        <v>500</v>
      </c>
      <c r="E1472" s="27" t="s">
        <v>546</v>
      </c>
      <c r="F1472" s="7" t="s">
        <v>547</v>
      </c>
      <c r="G1472" s="6" t="str">
        <f>VLOOKUP(E1472,dicionario!$A$1:$C1871,2,0)</f>
        <v>#N/A</v>
      </c>
      <c r="H1472" s="6" t="str">
        <f>VLOOKUP(E1472,dicionario!$A$1:$C1871,3,0)</f>
        <v>#N/A</v>
      </c>
    </row>
    <row r="1473">
      <c r="A1473" s="3">
        <v>45589.0</v>
      </c>
      <c r="B1473" s="4">
        <v>0.3013888888888889</v>
      </c>
      <c r="C1473" s="5" t="s">
        <v>76</v>
      </c>
      <c r="D1473" s="5" t="s">
        <v>500</v>
      </c>
      <c r="E1473" s="6" t="s">
        <v>514</v>
      </c>
      <c r="F1473" s="7" t="s">
        <v>515</v>
      </c>
      <c r="G1473" s="6" t="str">
        <f>VLOOKUP(E1473,dicionario!$A$1:$C1872,2,0)</f>
        <v>Aedes aegypti</v>
      </c>
      <c r="H1473" s="6" t="str">
        <f>VLOOKUP(E1473,dicionario!$A$1:$C1872,3,0)</f>
        <v>mosquito-da-dengue</v>
      </c>
    </row>
    <row r="1474">
      <c r="A1474" s="3">
        <v>45589.0</v>
      </c>
      <c r="B1474" s="4">
        <v>0.3013888888888889</v>
      </c>
      <c r="C1474" s="5" t="s">
        <v>76</v>
      </c>
      <c r="D1474" s="5" t="s">
        <v>500</v>
      </c>
      <c r="E1474" s="6" t="s">
        <v>185</v>
      </c>
      <c r="F1474" s="7" t="s">
        <v>186</v>
      </c>
      <c r="G1474" s="6" t="str">
        <f>VLOOKUP(E1474,dicionario!$A$1:$C1873,2,0)</f>
        <v>Ipomoea</v>
      </c>
      <c r="H1474" s="6" t="str">
        <f>VLOOKUP(E1474,dicionario!$A$1:$C1873,3,0)</f>
        <v>ipoméia</v>
      </c>
    </row>
    <row r="1475">
      <c r="A1475" s="3">
        <v>45589.0</v>
      </c>
      <c r="B1475" s="4">
        <v>0.3013888888888889</v>
      </c>
      <c r="C1475" s="5" t="s">
        <v>76</v>
      </c>
      <c r="D1475" s="5" t="s">
        <v>500</v>
      </c>
      <c r="E1475" s="6" t="s">
        <v>154</v>
      </c>
      <c r="F1475" s="7" t="s">
        <v>155</v>
      </c>
      <c r="G1475" s="6" t="str">
        <f>VLOOKUP(E1475,dicionario!$A$1:$C1874,2,0)</f>
        <v>Cyperus rotundus</v>
      </c>
      <c r="H1475" s="6" t="str">
        <f>VLOOKUP(E1475,dicionario!$A$1:$C1874,3,0)</f>
        <v>tiririca</v>
      </c>
    </row>
    <row r="1476">
      <c r="A1476" s="3">
        <v>45589.0</v>
      </c>
      <c r="B1476" s="4">
        <v>0.3020833333333333</v>
      </c>
      <c r="C1476" s="5" t="s">
        <v>76</v>
      </c>
      <c r="D1476" s="5" t="s">
        <v>500</v>
      </c>
      <c r="E1476" s="6" t="s">
        <v>548</v>
      </c>
      <c r="F1476" s="7" t="s">
        <v>549</v>
      </c>
      <c r="G1476" s="6" t="str">
        <f>VLOOKUP(E1476,dicionario!$A$1:$C1875,2,0)</f>
        <v>Ricinus communis</v>
      </c>
      <c r="H1476" s="6" t="str">
        <f>VLOOKUP(E1476,dicionario!$A$1:$C1875,3,0)</f>
        <v>mamona</v>
      </c>
    </row>
    <row r="1477">
      <c r="A1477" s="3">
        <v>45589.0</v>
      </c>
      <c r="B1477" s="4">
        <v>0.3020833333333333</v>
      </c>
      <c r="C1477" s="5" t="s">
        <v>76</v>
      </c>
      <c r="D1477" s="5" t="s">
        <v>500</v>
      </c>
      <c r="E1477" s="6" t="s">
        <v>550</v>
      </c>
      <c r="F1477" s="7" t="s">
        <v>551</v>
      </c>
      <c r="G1477" s="6" t="str">
        <f>VLOOKUP(E1477,dicionario!$A$1:$C1876,2,0)</f>
        <v>#N/A</v>
      </c>
      <c r="H1477" s="6" t="str">
        <f>VLOOKUP(E1477,dicionario!$A$1:$C1876,3,0)</f>
        <v>#N/A</v>
      </c>
    </row>
    <row r="1478">
      <c r="A1478" s="3">
        <v>45589.0</v>
      </c>
      <c r="B1478" s="4">
        <v>0.3020833333333333</v>
      </c>
      <c r="C1478" s="5" t="s">
        <v>76</v>
      </c>
      <c r="D1478" s="5" t="s">
        <v>500</v>
      </c>
      <c r="E1478" s="6" t="s">
        <v>552</v>
      </c>
      <c r="F1478" s="7" t="s">
        <v>121</v>
      </c>
      <c r="G1478" s="6" t="str">
        <f>VLOOKUP(E1478,dicionario!$A$1:$C1877,2,0)</f>
        <v>#N/A</v>
      </c>
      <c r="H1478" s="6" t="str">
        <f>VLOOKUP(E1478,dicionario!$A$1:$C1877,3,0)</f>
        <v>#N/A</v>
      </c>
    </row>
    <row r="1479">
      <c r="A1479" s="3">
        <v>45589.0</v>
      </c>
      <c r="B1479" s="4">
        <v>0.30277777777777776</v>
      </c>
      <c r="C1479" s="5" t="s">
        <v>76</v>
      </c>
      <c r="D1479" s="5" t="s">
        <v>500</v>
      </c>
      <c r="E1479" s="6" t="s">
        <v>267</v>
      </c>
      <c r="F1479" s="7" t="s">
        <v>553</v>
      </c>
      <c r="G1479" s="6" t="str">
        <f>VLOOKUP(E1479,dicionario!$A$1:$C1878,2,0)</f>
        <v>Solanum americanum</v>
      </c>
      <c r="H1479" s="6" t="str">
        <f>VLOOKUP(E1479,dicionario!$A$1:$C1878,3,0)</f>
        <v>maria-pretinha</v>
      </c>
    </row>
    <row r="1480">
      <c r="A1480" s="3">
        <v>45589.0</v>
      </c>
      <c r="B1480" s="4">
        <v>0.30277777777777776</v>
      </c>
      <c r="C1480" s="5" t="s">
        <v>76</v>
      </c>
      <c r="D1480" s="5" t="s">
        <v>500</v>
      </c>
      <c r="E1480" s="8" t="s">
        <v>522</v>
      </c>
      <c r="F1480" s="7" t="s">
        <v>554</v>
      </c>
      <c r="G1480" s="6" t="str">
        <f>VLOOKUP(E1480,dicionario!$A$1:$C1879,2,0)</f>
        <v>#N/A</v>
      </c>
      <c r="H1480" s="6" t="str">
        <f>VLOOKUP(E1480,dicionario!$A$1:$C1879,3,0)</f>
        <v>#N/A</v>
      </c>
    </row>
    <row r="1481">
      <c r="A1481" s="3">
        <v>45589.0</v>
      </c>
      <c r="B1481" s="4">
        <v>0.30277777777777776</v>
      </c>
      <c r="C1481" s="5" t="s">
        <v>76</v>
      </c>
      <c r="D1481" s="5" t="s">
        <v>500</v>
      </c>
      <c r="E1481" s="6" t="s">
        <v>177</v>
      </c>
      <c r="F1481" s="7" t="s">
        <v>178</v>
      </c>
      <c r="G1481" s="6" t="str">
        <f>VLOOKUP(E1481,dicionario!$A$1:$C1880,2,0)</f>
        <v>Elaenia flavogaster</v>
      </c>
      <c r="H1481" s="6" t="str">
        <f>VLOOKUP(E1481,dicionario!$A$1:$C1880,3,0)</f>
        <v>guaracava-de-barriga-amarela</v>
      </c>
    </row>
    <row r="1482">
      <c r="A1482" s="3">
        <v>45589.0</v>
      </c>
      <c r="B1482" s="4">
        <v>0.30277777777777776</v>
      </c>
      <c r="C1482" s="5" t="s">
        <v>76</v>
      </c>
      <c r="D1482" s="5" t="s">
        <v>500</v>
      </c>
      <c r="E1482" s="6" t="s">
        <v>132</v>
      </c>
      <c r="F1482" s="7" t="s">
        <v>133</v>
      </c>
      <c r="G1482" s="6" t="str">
        <f>VLOOKUP(E1482,dicionario!$A$1:$C1881,2,0)</f>
        <v>Euphonia chlorotica</v>
      </c>
      <c r="H1482" s="6" t="str">
        <f>VLOOKUP(E1482,dicionario!$A$1:$C1881,3,0)</f>
        <v>fim-fim</v>
      </c>
    </row>
    <row r="1483">
      <c r="A1483" s="3">
        <v>45589.0</v>
      </c>
      <c r="B1483" s="4">
        <v>0.30277777777777776</v>
      </c>
      <c r="C1483" s="5" t="s">
        <v>76</v>
      </c>
      <c r="D1483" s="5" t="s">
        <v>500</v>
      </c>
      <c r="E1483" s="6" t="s">
        <v>292</v>
      </c>
      <c r="F1483" s="7" t="s">
        <v>293</v>
      </c>
      <c r="G1483" s="6" t="str">
        <f>VLOOKUP(E1483,dicionario!$A$1:$C1882,2,0)</f>
        <v>Ascia monuste</v>
      </c>
      <c r="H1483" s="6" t="str">
        <f>VLOOKUP(E1483,dicionario!$A$1:$C1882,3,0)</f>
        <v>borboleta-da-couve</v>
      </c>
    </row>
    <row r="1484">
      <c r="A1484" s="3">
        <v>45589.0</v>
      </c>
      <c r="B1484" s="4">
        <v>0.30277777777777776</v>
      </c>
      <c r="C1484" s="5" t="s">
        <v>76</v>
      </c>
      <c r="D1484" s="5" t="s">
        <v>500</v>
      </c>
      <c r="E1484" s="6" t="s">
        <v>439</v>
      </c>
      <c r="F1484" s="7" t="s">
        <v>281</v>
      </c>
      <c r="G1484" s="6" t="str">
        <f>VLOOKUP(E1484,dicionario!$A$1:$C1883,2,0)</f>
        <v>#N/A</v>
      </c>
      <c r="H1484" s="6" t="str">
        <f>VLOOKUP(E1484,dicionario!$A$1:$C1883,3,0)</f>
        <v>#N/A</v>
      </c>
    </row>
    <row r="1485">
      <c r="A1485" s="3">
        <v>45589.0</v>
      </c>
      <c r="B1485" s="4">
        <v>0.30277777777777776</v>
      </c>
      <c r="C1485" s="5" t="s">
        <v>76</v>
      </c>
      <c r="D1485" s="5" t="s">
        <v>500</v>
      </c>
      <c r="E1485" s="6" t="s">
        <v>256</v>
      </c>
      <c r="F1485" s="7" t="s">
        <v>257</v>
      </c>
      <c r="G1485" s="6" t="str">
        <f>VLOOKUP(E1485,dicionario!$A$1:$C1884,2,0)</f>
        <v>Youngia japonica</v>
      </c>
      <c r="H1485" s="6" t="str">
        <f>VLOOKUP(E1485,dicionario!$A$1:$C1884,3,0)</f>
        <v>barba-de-falcão</v>
      </c>
    </row>
    <row r="1486">
      <c r="A1486" s="3">
        <v>45589.0</v>
      </c>
      <c r="B1486" s="4">
        <v>0.30277777777777776</v>
      </c>
      <c r="C1486" s="5" t="s">
        <v>76</v>
      </c>
      <c r="D1486" s="5" t="s">
        <v>500</v>
      </c>
      <c r="E1486" s="6" t="s">
        <v>355</v>
      </c>
      <c r="F1486" s="7" t="s">
        <v>356</v>
      </c>
      <c r="G1486" s="6" t="str">
        <f>VLOOKUP(E1486,dicionario!$A$1:$C1885,2,0)</f>
        <v>Boerhavia diffusa</v>
      </c>
      <c r="H1486" s="6" t="str">
        <f>VLOOKUP(E1486,dicionario!$A$1:$C1885,3,0)</f>
        <v>erva-tostão</v>
      </c>
    </row>
    <row r="1487">
      <c r="A1487" s="3">
        <v>45589.0</v>
      </c>
      <c r="B1487" s="4">
        <v>0.3104166666666667</v>
      </c>
      <c r="C1487" s="5" t="s">
        <v>64</v>
      </c>
      <c r="D1487" s="5" t="s">
        <v>500</v>
      </c>
      <c r="E1487" s="6" t="s">
        <v>113</v>
      </c>
      <c r="F1487" s="7" t="s">
        <v>114</v>
      </c>
      <c r="G1487" s="6" t="str">
        <f>VLOOKUP(E1487,dicionario!$A$1:$C1886,2,0)</f>
        <v>Columbina talpacoti</v>
      </c>
      <c r="H1487" s="6" t="str">
        <f>VLOOKUP(E1487,dicionario!$A$1:$C1886,3,0)</f>
        <v>rolinha-roxa</v>
      </c>
    </row>
    <row r="1488">
      <c r="A1488" s="3">
        <v>45589.0</v>
      </c>
      <c r="B1488" s="4">
        <v>0.3104166666666667</v>
      </c>
      <c r="C1488" s="5" t="s">
        <v>64</v>
      </c>
      <c r="D1488" s="5" t="s">
        <v>500</v>
      </c>
      <c r="E1488" s="6" t="s">
        <v>191</v>
      </c>
      <c r="F1488" s="7" t="s">
        <v>192</v>
      </c>
      <c r="G1488" s="6" t="str">
        <f>VLOOKUP(E1488,dicionario!$A$1:$C1887,2,0)</f>
        <v>Patagioenas picazuro</v>
      </c>
      <c r="H1488" s="6" t="str">
        <f>VLOOKUP(E1488,dicionario!$A$1:$C1887,3,0)</f>
        <v>asa-branca; pomba-asa-branca; pocaçu</v>
      </c>
    </row>
    <row r="1489">
      <c r="A1489" s="3">
        <v>45589.0</v>
      </c>
      <c r="B1489" s="4">
        <v>0.3104166666666667</v>
      </c>
      <c r="C1489" s="5" t="s">
        <v>64</v>
      </c>
      <c r="D1489" s="5" t="s">
        <v>500</v>
      </c>
      <c r="E1489" s="18" t="s">
        <v>296</v>
      </c>
      <c r="F1489" s="7" t="s">
        <v>297</v>
      </c>
      <c r="G1489" s="6" t="str">
        <f>VLOOKUP(E1489,dicionario!$A$1:$C1888,2,0)</f>
        <v>Richardia brasiliensis</v>
      </c>
      <c r="H1489" s="6" t="str">
        <f>VLOOKUP(E1489,dicionario!$A$1:$C1888,3,0)</f>
        <v>poaia-branca</v>
      </c>
    </row>
    <row r="1490">
      <c r="A1490" s="3">
        <v>45589.0</v>
      </c>
      <c r="B1490" s="4">
        <v>0.3104166666666667</v>
      </c>
      <c r="C1490" s="5" t="s">
        <v>64</v>
      </c>
      <c r="D1490" s="5" t="s">
        <v>500</v>
      </c>
      <c r="E1490" s="6" t="s">
        <v>154</v>
      </c>
      <c r="F1490" s="7" t="s">
        <v>155</v>
      </c>
      <c r="G1490" s="6" t="str">
        <f>VLOOKUP(E1490,dicionario!$A$1:$C1889,2,0)</f>
        <v>Cyperus rotundus</v>
      </c>
      <c r="H1490" s="6" t="str">
        <f>VLOOKUP(E1490,dicionario!$A$1:$C1889,3,0)</f>
        <v>tiririca</v>
      </c>
    </row>
    <row r="1491">
      <c r="A1491" s="3">
        <v>45589.0</v>
      </c>
      <c r="B1491" s="4">
        <v>0.3104166666666667</v>
      </c>
      <c r="C1491" s="5" t="s">
        <v>64</v>
      </c>
      <c r="D1491" s="5" t="s">
        <v>500</v>
      </c>
      <c r="E1491" s="6" t="s">
        <v>163</v>
      </c>
      <c r="F1491" s="7" t="s">
        <v>164</v>
      </c>
      <c r="G1491" s="6" t="str">
        <f>VLOOKUP(E1491,dicionario!$A$1:$C1890,2,0)</f>
        <v>Coragyps atratus</v>
      </c>
      <c r="H1491" s="6" t="str">
        <f>VLOOKUP(E1491,dicionario!$A$1:$C1890,3,0)</f>
        <v>urubu-de-cabeça-preta</v>
      </c>
    </row>
    <row r="1492">
      <c r="A1492" s="3">
        <v>45589.0</v>
      </c>
      <c r="B1492" s="4">
        <v>0.3104166666666667</v>
      </c>
      <c r="C1492" s="5" t="s">
        <v>64</v>
      </c>
      <c r="D1492" s="5" t="s">
        <v>500</v>
      </c>
      <c r="E1492" s="6" t="s">
        <v>65</v>
      </c>
      <c r="F1492" s="7" t="s">
        <v>66</v>
      </c>
      <c r="G1492" s="6" t="str">
        <f>VLOOKUP(E1492,dicionario!$A$1:$C1891,2,0)</f>
        <v>Pitangus sulphutarus</v>
      </c>
      <c r="H1492" s="6" t="str">
        <f>VLOOKUP(E1492,dicionario!$A$1:$C1891,3,0)</f>
        <v>bem-te-vi</v>
      </c>
    </row>
    <row r="1493">
      <c r="A1493" s="3">
        <v>45589.0</v>
      </c>
      <c r="B1493" s="4">
        <v>0.3111111111111111</v>
      </c>
      <c r="C1493" s="5" t="s">
        <v>64</v>
      </c>
      <c r="D1493" s="5" t="s">
        <v>500</v>
      </c>
      <c r="E1493" s="6" t="s">
        <v>53</v>
      </c>
      <c r="F1493" s="7" t="s">
        <v>54</v>
      </c>
      <c r="G1493" s="6" t="str">
        <f>VLOOKUP(E1493,dicionario!$A$1:$C1892,2,0)</f>
        <v>Turnera subulata</v>
      </c>
      <c r="H1493" s="6" t="str">
        <f>VLOOKUP(E1493,dicionario!$A$1:$C1892,3,0)</f>
        <v>xanana</v>
      </c>
    </row>
    <row r="1494">
      <c r="A1494" s="3">
        <v>45589.0</v>
      </c>
      <c r="B1494" s="4">
        <v>0.3111111111111111</v>
      </c>
      <c r="C1494" s="5" t="s">
        <v>64</v>
      </c>
      <c r="D1494" s="5" t="s">
        <v>500</v>
      </c>
      <c r="E1494" s="6" t="s">
        <v>227</v>
      </c>
      <c r="F1494" s="7" t="s">
        <v>228</v>
      </c>
      <c r="G1494" s="6" t="str">
        <f>VLOOKUP(E1494,dicionario!$A$1:$C1893,2,0)</f>
        <v>Indigofera hirsuta</v>
      </c>
      <c r="H1494" s="6" t="str">
        <f>VLOOKUP(E1494,dicionario!$A$1:$C1893,3,0)</f>
        <v>anileira</v>
      </c>
    </row>
    <row r="1495">
      <c r="A1495" s="3">
        <v>45589.0</v>
      </c>
      <c r="B1495" s="4">
        <v>0.3111111111111111</v>
      </c>
      <c r="C1495" s="5" t="s">
        <v>64</v>
      </c>
      <c r="D1495" s="5" t="s">
        <v>500</v>
      </c>
      <c r="E1495" s="6" t="s">
        <v>148</v>
      </c>
      <c r="F1495" s="7" t="s">
        <v>149</v>
      </c>
      <c r="G1495" s="6" t="str">
        <f>VLOOKUP(E1495,dicionario!$A$1:$C1894,2,0)</f>
        <v>Parthenium hysterophorus</v>
      </c>
      <c r="H1495" s="6" t="str">
        <f>VLOOKUP(E1495,dicionario!$A$1:$C1894,3,0)</f>
        <v>losna-branca</v>
      </c>
    </row>
    <row r="1496">
      <c r="A1496" s="3">
        <v>45589.0</v>
      </c>
      <c r="B1496" s="4">
        <v>0.3111111111111111</v>
      </c>
      <c r="C1496" s="5" t="s">
        <v>64</v>
      </c>
      <c r="D1496" s="5" t="s">
        <v>500</v>
      </c>
      <c r="E1496" s="6" t="s">
        <v>146</v>
      </c>
      <c r="F1496" s="7" t="s">
        <v>147</v>
      </c>
      <c r="G1496" s="6" t="str">
        <f>VLOOKUP(E1496,dicionario!$A$1:$C1895,2,0)</f>
        <v>Euphorbia hirta</v>
      </c>
      <c r="H1496" s="6" t="str">
        <f>VLOOKUP(E1496,dicionario!$A$1:$C1895,3,0)</f>
        <v>erva-de-santa-luzia</v>
      </c>
    </row>
    <row r="1497">
      <c r="A1497" s="3">
        <v>45589.0</v>
      </c>
      <c r="B1497" s="4">
        <v>0.3111111111111111</v>
      </c>
      <c r="C1497" s="5" t="s">
        <v>64</v>
      </c>
      <c r="D1497" s="5" t="s">
        <v>500</v>
      </c>
      <c r="E1497" s="6" t="s">
        <v>150</v>
      </c>
      <c r="F1497" s="7" t="s">
        <v>151</v>
      </c>
      <c r="G1497" s="6" t="str">
        <f>VLOOKUP(E1497,dicionario!$A$1:$C1896,2,0)</f>
        <v>Amaranthus viridis</v>
      </c>
      <c r="H1497" s="6" t="str">
        <f>VLOOKUP(E1497,dicionario!$A$1:$C1896,3,0)</f>
        <v>caruru-de-mancha</v>
      </c>
    </row>
    <row r="1498">
      <c r="A1498" s="3">
        <v>45589.0</v>
      </c>
      <c r="B1498" s="4">
        <v>0.3111111111111111</v>
      </c>
      <c r="C1498" s="5" t="s">
        <v>64</v>
      </c>
      <c r="D1498" s="5" t="s">
        <v>500</v>
      </c>
      <c r="E1498" s="6" t="s">
        <v>69</v>
      </c>
      <c r="F1498" s="7" t="s">
        <v>71</v>
      </c>
      <c r="G1498" s="6" t="str">
        <f>VLOOKUP(E1498,dicionario!$A$1:$C1897,2,0)</f>
        <v>Talinum fruticosum</v>
      </c>
      <c r="H1498" s="6" t="str">
        <f>VLOOKUP(E1498,dicionario!$A$1:$C1897,3,0)</f>
        <v>beldroega-grande</v>
      </c>
    </row>
    <row r="1499">
      <c r="A1499" s="3">
        <v>45589.0</v>
      </c>
      <c r="B1499" s="4">
        <v>0.3111111111111111</v>
      </c>
      <c r="C1499" s="5" t="s">
        <v>64</v>
      </c>
      <c r="D1499" s="5" t="s">
        <v>500</v>
      </c>
      <c r="E1499" s="6" t="s">
        <v>225</v>
      </c>
      <c r="F1499" s="7" t="s">
        <v>226</v>
      </c>
      <c r="G1499" s="6" t="str">
        <f>VLOOKUP(E1499,dicionario!$A$1:$C1898,2,0)</f>
        <v>Passer domesticus</v>
      </c>
      <c r="H1499" s="6" t="str">
        <f>VLOOKUP(E1499,dicionario!$A$1:$C1898,3,0)</f>
        <v>pardal</v>
      </c>
    </row>
    <row r="1500">
      <c r="A1500" s="3">
        <v>45589.0</v>
      </c>
      <c r="B1500" s="4">
        <v>0.3111111111111111</v>
      </c>
      <c r="C1500" s="5" t="s">
        <v>64</v>
      </c>
      <c r="D1500" s="5" t="s">
        <v>500</v>
      </c>
      <c r="E1500" s="6" t="s">
        <v>193</v>
      </c>
      <c r="F1500" s="7" t="s">
        <v>194</v>
      </c>
      <c r="G1500" s="6" t="str">
        <f>VLOOKUP(E1500,dicionario!$A$1:$C1899,2,0)</f>
        <v>Conirostrum speciosum</v>
      </c>
      <c r="H1500" s="6" t="str">
        <f>VLOOKUP(E1500,dicionario!$A$1:$C1899,3,0)</f>
        <v>figuinha-de-rabo-castanho</v>
      </c>
    </row>
    <row r="1501">
      <c r="A1501" s="3">
        <v>45589.0</v>
      </c>
      <c r="B1501" s="4">
        <v>0.3111111111111111</v>
      </c>
      <c r="C1501" s="5" t="s">
        <v>64</v>
      </c>
      <c r="D1501" s="5" t="s">
        <v>500</v>
      </c>
      <c r="E1501" s="6" t="s">
        <v>555</v>
      </c>
      <c r="F1501" s="7" t="s">
        <v>556</v>
      </c>
      <c r="G1501" s="6" t="str">
        <f>VLOOKUP(E1501,dicionario!$A$1:$C1900,2,0)</f>
        <v>Talinum paniculatum</v>
      </c>
      <c r="H1501" s="6" t="str">
        <f>VLOOKUP(E1501,dicionario!$A$1:$C1900,3,0)</f>
        <v>beldroegão</v>
      </c>
    </row>
    <row r="1502">
      <c r="A1502" s="3">
        <v>45589.0</v>
      </c>
      <c r="B1502" s="4">
        <v>0.3111111111111111</v>
      </c>
      <c r="C1502" s="5" t="s">
        <v>64</v>
      </c>
      <c r="D1502" s="5" t="s">
        <v>500</v>
      </c>
      <c r="E1502" s="20" t="s">
        <v>195</v>
      </c>
      <c r="F1502" s="7" t="s">
        <v>196</v>
      </c>
      <c r="G1502" s="6" t="str">
        <f>VLOOKUP(E1502,dicionario!$A$1:$C1901,2,0)</f>
        <v>Priva lappulacea</v>
      </c>
      <c r="H1502" s="6" t="str">
        <f>VLOOKUP(E1502,dicionario!$A$1:$C1901,3,0)</f>
        <v>carrapicho</v>
      </c>
    </row>
    <row r="1503">
      <c r="A1503" s="3">
        <v>45589.0</v>
      </c>
      <c r="B1503" s="4">
        <v>0.3111111111111111</v>
      </c>
      <c r="C1503" s="5" t="s">
        <v>64</v>
      </c>
      <c r="D1503" s="5" t="s">
        <v>500</v>
      </c>
      <c r="E1503" s="6" t="s">
        <v>253</v>
      </c>
      <c r="F1503" s="7" t="s">
        <v>254</v>
      </c>
      <c r="G1503" s="6" t="str">
        <f>VLOOKUP(E1503,dicionario!$A$1:$C1902,2,0)</f>
        <v>Panicum maximum</v>
      </c>
      <c r="H1503" s="6" t="str">
        <f>VLOOKUP(E1503,dicionario!$A$1:$C1902,3,0)</f>
        <v>capim-colonião</v>
      </c>
    </row>
    <row r="1504">
      <c r="A1504" s="3">
        <v>45589.0</v>
      </c>
      <c r="B1504" s="4">
        <v>0.3125</v>
      </c>
      <c r="C1504" s="5" t="s">
        <v>64</v>
      </c>
      <c r="D1504" s="5" t="s">
        <v>500</v>
      </c>
      <c r="E1504" s="6" t="s">
        <v>532</v>
      </c>
      <c r="F1504" s="7" t="s">
        <v>533</v>
      </c>
      <c r="G1504" s="6" t="str">
        <f>VLOOKUP(E1504,dicionario!$A$1:$C1903,2,0)</f>
        <v>Euphorbia heterophylla</v>
      </c>
      <c r="H1504" s="6" t="str">
        <f>VLOOKUP(E1504,dicionario!$A$1:$C1903,3,0)</f>
        <v>amendoim-bravo</v>
      </c>
    </row>
    <row r="1505">
      <c r="A1505" s="3">
        <v>45589.0</v>
      </c>
      <c r="B1505" s="4">
        <v>0.3125</v>
      </c>
      <c r="C1505" s="5" t="s">
        <v>64</v>
      </c>
      <c r="D1505" s="5" t="s">
        <v>500</v>
      </c>
      <c r="E1505" s="6" t="s">
        <v>557</v>
      </c>
      <c r="F1505" s="7" t="s">
        <v>558</v>
      </c>
      <c r="G1505" s="6" t="str">
        <f>VLOOKUP(E1505,dicionario!$A$1:$C1904,2,0)</f>
        <v>#N/A</v>
      </c>
      <c r="H1505" s="6" t="str">
        <f>VLOOKUP(E1505,dicionario!$A$1:$C1904,3,0)</f>
        <v>#N/A</v>
      </c>
    </row>
    <row r="1506">
      <c r="A1506" s="3">
        <v>45589.0</v>
      </c>
      <c r="B1506" s="4">
        <v>0.3125</v>
      </c>
      <c r="C1506" s="5" t="s">
        <v>64</v>
      </c>
      <c r="D1506" s="5" t="s">
        <v>500</v>
      </c>
      <c r="E1506" s="6" t="s">
        <v>109</v>
      </c>
      <c r="F1506" s="7" t="s">
        <v>110</v>
      </c>
      <c r="G1506" s="6" t="str">
        <f>VLOOKUP(E1506,dicionario!$A$1:$C1905,2,0)</f>
        <v>Tillandsia stricta</v>
      </c>
      <c r="H1506" s="6" t="str">
        <f>VLOOKUP(E1506,dicionario!$A$1:$C1905,3,0)</f>
        <v>cravo-do-mato</v>
      </c>
    </row>
    <row r="1507">
      <c r="A1507" s="3">
        <v>45589.0</v>
      </c>
      <c r="B1507" s="4">
        <v>0.3125</v>
      </c>
      <c r="C1507" s="5" t="s">
        <v>64</v>
      </c>
      <c r="D1507" s="5" t="s">
        <v>500</v>
      </c>
      <c r="E1507" s="6" t="s">
        <v>57</v>
      </c>
      <c r="F1507" s="7" t="s">
        <v>559</v>
      </c>
      <c r="G1507" s="6" t="str">
        <f>VLOOKUP(E1507,dicionario!$A$1:$C1906,2,0)</f>
        <v>Juliformia</v>
      </c>
      <c r="H1507" s="6" t="str">
        <f>VLOOKUP(E1507,dicionario!$A$1:$C1906,3,0)</f>
        <v>gongolo; maria-café</v>
      </c>
    </row>
    <row r="1508">
      <c r="A1508" s="3">
        <v>45589.0</v>
      </c>
      <c r="B1508" s="4">
        <v>0.3125</v>
      </c>
      <c r="C1508" s="5" t="s">
        <v>64</v>
      </c>
      <c r="D1508" s="5" t="s">
        <v>500</v>
      </c>
      <c r="E1508" s="8" t="s">
        <v>38</v>
      </c>
      <c r="F1508" s="5" t="s">
        <v>39</v>
      </c>
      <c r="G1508" s="6" t="str">
        <f>VLOOKUP(E1508,dicionario!$A$1:$C1907,2,0)</f>
        <v>Troglodytes musculus</v>
      </c>
      <c r="H1508" s="6" t="str">
        <f>VLOOKUP(E1508,dicionario!$A$1:$C1907,3,0)</f>
        <v>curruíra</v>
      </c>
    </row>
    <row r="1509">
      <c r="A1509" s="3">
        <v>45589.0</v>
      </c>
      <c r="B1509" s="4">
        <v>0.31319444444444444</v>
      </c>
      <c r="C1509" s="5" t="s">
        <v>64</v>
      </c>
      <c r="D1509" s="5" t="s">
        <v>500</v>
      </c>
      <c r="E1509" s="6" t="s">
        <v>271</v>
      </c>
      <c r="F1509" s="7" t="s">
        <v>272</v>
      </c>
      <c r="G1509" s="6" t="str">
        <f>VLOOKUP(E1509,dicionario!$A$1:$C1908,2,0)</f>
        <v>Cyanthillium cinereum</v>
      </c>
      <c r="H1509" s="6" t="str">
        <f>VLOOKUP(E1509,dicionario!$A$1:$C1908,3,0)</f>
        <v>emília</v>
      </c>
    </row>
    <row r="1510">
      <c r="A1510" s="3">
        <v>45589.0</v>
      </c>
      <c r="B1510" s="4">
        <v>0.31319444444444444</v>
      </c>
      <c r="C1510" s="5" t="s">
        <v>64</v>
      </c>
      <c r="D1510" s="5" t="s">
        <v>500</v>
      </c>
      <c r="E1510" s="6" t="s">
        <v>378</v>
      </c>
      <c r="F1510" s="7" t="s">
        <v>205</v>
      </c>
      <c r="G1510" s="6" t="str">
        <f>VLOOKUP(E1510,dicionario!$A$1:$C1909,2,0)</f>
        <v>Polistes</v>
      </c>
      <c r="H1510" s="6" t="str">
        <f>VLOOKUP(E1510,dicionario!$A$1:$C1909,3,0)</f>
        <v>marimbondo</v>
      </c>
    </row>
    <row r="1511">
      <c r="A1511" s="3">
        <v>45589.0</v>
      </c>
      <c r="B1511" s="4">
        <v>0.31319444444444444</v>
      </c>
      <c r="C1511" s="5" t="s">
        <v>64</v>
      </c>
      <c r="D1511" s="5" t="s">
        <v>500</v>
      </c>
      <c r="E1511" s="28" t="s">
        <v>560</v>
      </c>
      <c r="F1511" s="7" t="s">
        <v>561</v>
      </c>
      <c r="G1511" s="6" t="str">
        <f>VLOOKUP(E1511,dicionario!$A$1:$C1910,2,0)</f>
        <v>Megarynchus pitangua</v>
      </c>
      <c r="H1511" s="6" t="str">
        <f>VLOOKUP(E1511,dicionario!$A$1:$C1910,3,0)</f>
        <v>neinei</v>
      </c>
    </row>
    <row r="1512">
      <c r="A1512" s="3">
        <v>45589.0</v>
      </c>
      <c r="B1512" s="4">
        <v>0.3138888888888889</v>
      </c>
      <c r="C1512" s="5" t="s">
        <v>64</v>
      </c>
      <c r="D1512" s="5" t="s">
        <v>500</v>
      </c>
      <c r="E1512" s="6" t="s">
        <v>158</v>
      </c>
      <c r="F1512" s="7" t="s">
        <v>159</v>
      </c>
      <c r="G1512" s="6" t="str">
        <f>VLOOKUP(E1512,dicionario!$A$1:$C1911,2,0)</f>
        <v>Nephilingis cruentata</v>
      </c>
      <c r="H1512" s="6" t="str">
        <f>VLOOKUP(E1512,dicionario!$A$1:$C1911,3,0)</f>
        <v>maria-bola</v>
      </c>
    </row>
    <row r="1513">
      <c r="A1513" s="3">
        <v>45589.0</v>
      </c>
      <c r="B1513" s="4">
        <v>0.3138888888888889</v>
      </c>
      <c r="C1513" s="5" t="s">
        <v>64</v>
      </c>
      <c r="D1513" s="5" t="s">
        <v>500</v>
      </c>
      <c r="E1513" s="6" t="s">
        <v>288</v>
      </c>
      <c r="F1513" s="7" t="s">
        <v>289</v>
      </c>
      <c r="G1513" s="6" t="str">
        <f>VLOOKUP(E1513,dicionario!$A$1:$C1912,2,0)</f>
        <v>Phyllanthus tenellus</v>
      </c>
      <c r="H1513" s="6" t="str">
        <f>VLOOKUP(E1513,dicionario!$A$1:$C1912,3,0)</f>
        <v>quebra-pedra</v>
      </c>
    </row>
    <row r="1514">
      <c r="A1514" s="3">
        <v>45589.0</v>
      </c>
      <c r="B1514" s="4">
        <v>0.3138888888888889</v>
      </c>
      <c r="C1514" s="5" t="s">
        <v>64</v>
      </c>
      <c r="D1514" s="5" t="s">
        <v>500</v>
      </c>
      <c r="E1514" s="6" t="s">
        <v>171</v>
      </c>
      <c r="F1514" s="7" t="s">
        <v>172</v>
      </c>
      <c r="G1514" s="6" t="str">
        <f>VLOOKUP(E1514,dicionario!$A$1:$C1913,2,0)</f>
        <v>Oxalis corniculata</v>
      </c>
      <c r="H1514" s="6" t="str">
        <f>VLOOKUP(E1514,dicionario!$A$1:$C1913,3,0)</f>
        <v>trevo-azedinho</v>
      </c>
    </row>
    <row r="1515">
      <c r="A1515" s="3">
        <v>45589.0</v>
      </c>
      <c r="B1515" s="4">
        <v>0.3138888888888889</v>
      </c>
      <c r="C1515" s="5" t="s">
        <v>64</v>
      </c>
      <c r="D1515" s="5" t="s">
        <v>500</v>
      </c>
      <c r="E1515" s="6" t="s">
        <v>355</v>
      </c>
      <c r="F1515" s="7" t="s">
        <v>356</v>
      </c>
      <c r="G1515" s="6" t="str">
        <f>VLOOKUP(E1515,dicionario!$A$1:$C1914,2,0)</f>
        <v>Boerhavia diffusa</v>
      </c>
      <c r="H1515" s="6" t="str">
        <f>VLOOKUP(E1515,dicionario!$A$1:$C1914,3,0)</f>
        <v>erva-tostão</v>
      </c>
    </row>
    <row r="1516">
      <c r="A1516" s="3">
        <v>45589.0</v>
      </c>
      <c r="B1516" s="4">
        <v>0.3145833333333333</v>
      </c>
      <c r="C1516" s="5" t="s">
        <v>64</v>
      </c>
      <c r="D1516" s="5" t="s">
        <v>500</v>
      </c>
      <c r="E1516" s="6" t="s">
        <v>286</v>
      </c>
      <c r="F1516" s="7" t="s">
        <v>287</v>
      </c>
      <c r="G1516" s="6" t="str">
        <f>VLOOKUP(E1516,dicionario!$A$1:$C1915,2,0)</f>
        <v>Setaria parviflora</v>
      </c>
      <c r="H1516" s="6" t="str">
        <f>VLOOKUP(E1516,dicionario!$A$1:$C1915,3,0)</f>
        <v>capim-rabo-de-raposa</v>
      </c>
    </row>
    <row r="1517">
      <c r="A1517" s="3">
        <v>45589.0</v>
      </c>
      <c r="B1517" s="4">
        <v>0.3145833333333333</v>
      </c>
      <c r="C1517" s="5" t="s">
        <v>64</v>
      </c>
      <c r="D1517" s="5" t="s">
        <v>500</v>
      </c>
      <c r="E1517" s="6" t="s">
        <v>141</v>
      </c>
      <c r="F1517" s="7" t="s">
        <v>142</v>
      </c>
      <c r="G1517" s="6" t="str">
        <f>VLOOKUP(E1517,dicionario!$A$1:$C1916,2,0)</f>
        <v>Ruellia blechum</v>
      </c>
      <c r="H1517" s="6" t="str">
        <f>VLOOKUP(E1517,dicionario!$A$1:$C1916,3,0)</f>
        <v>camarão-verde</v>
      </c>
    </row>
    <row r="1518">
      <c r="A1518" s="3">
        <v>45589.0</v>
      </c>
      <c r="B1518" s="4">
        <v>0.3145833333333333</v>
      </c>
      <c r="C1518" s="5" t="s">
        <v>64</v>
      </c>
      <c r="D1518" s="5" t="s">
        <v>500</v>
      </c>
      <c r="E1518" s="6" t="s">
        <v>328</v>
      </c>
      <c r="F1518" s="7" t="s">
        <v>329</v>
      </c>
      <c r="G1518" s="6" t="str">
        <f>VLOOKUP(E1518,dicionario!$A$1:$C1917,2,0)</f>
        <v>Rivina humilis</v>
      </c>
      <c r="H1518" s="6" t="str">
        <f>VLOOKUP(E1518,dicionario!$A$1:$C1917,3,0)</f>
        <v>baga-de-sangue</v>
      </c>
    </row>
    <row r="1519">
      <c r="A1519" s="3">
        <v>45589.0</v>
      </c>
      <c r="B1519" s="4">
        <v>0.3145833333333333</v>
      </c>
      <c r="C1519" s="5" t="s">
        <v>64</v>
      </c>
      <c r="D1519" s="5" t="s">
        <v>500</v>
      </c>
      <c r="E1519" s="18" t="s">
        <v>399</v>
      </c>
      <c r="F1519" s="7" t="s">
        <v>400</v>
      </c>
      <c r="G1519" s="6" t="str">
        <f>VLOOKUP(E1519,dicionario!$A$1:$C1918,2,0)</f>
        <v>Varronia curassavica</v>
      </c>
      <c r="H1519" s="6" t="str">
        <f>VLOOKUP(E1519,dicionario!$A$1:$C1918,3,0)</f>
        <v>erva-baleeira</v>
      </c>
    </row>
    <row r="1520">
      <c r="A1520" s="3">
        <v>45589.0</v>
      </c>
      <c r="B1520" s="4">
        <v>0.3145833333333333</v>
      </c>
      <c r="C1520" s="5" t="s">
        <v>64</v>
      </c>
      <c r="D1520" s="5" t="s">
        <v>500</v>
      </c>
      <c r="E1520" s="8" t="s">
        <v>46</v>
      </c>
      <c r="F1520" s="5" t="s">
        <v>47</v>
      </c>
      <c r="G1520" s="6" t="str">
        <f>VLOOKUP(E1520,dicionario!$A$1:$C1919,2,0)</f>
        <v>Chionomesa fimbriata</v>
      </c>
      <c r="H1520" s="6" t="str">
        <f>VLOOKUP(E1520,dicionario!$A$1:$C1919,3,0)</f>
        <v>beija-flor-de-garganta-verde</v>
      </c>
    </row>
    <row r="1521">
      <c r="A1521" s="3">
        <v>45589.0</v>
      </c>
      <c r="B1521" s="4">
        <v>0.31527777777777777</v>
      </c>
      <c r="C1521" s="5" t="s">
        <v>64</v>
      </c>
      <c r="D1521" s="5" t="s">
        <v>500</v>
      </c>
      <c r="E1521" s="6" t="s">
        <v>143</v>
      </c>
      <c r="F1521" s="7" t="s">
        <v>63</v>
      </c>
      <c r="G1521" s="6" t="str">
        <f>VLOOKUP(E1521,dicionario!$A$1:$C1920,2,0)</f>
        <v>Polybia</v>
      </c>
      <c r="H1521" s="6" t="str">
        <f>VLOOKUP(E1521,dicionario!$A$1:$C1920,3,0)</f>
        <v>vespa</v>
      </c>
    </row>
    <row r="1522">
      <c r="A1522" s="3">
        <v>45589.0</v>
      </c>
      <c r="B1522" s="4">
        <v>0.31527777777777777</v>
      </c>
      <c r="C1522" s="5" t="s">
        <v>64</v>
      </c>
      <c r="D1522" s="5" t="s">
        <v>500</v>
      </c>
      <c r="E1522" s="6" t="s">
        <v>258</v>
      </c>
      <c r="F1522" s="7" t="s">
        <v>259</v>
      </c>
      <c r="G1522" s="6" t="str">
        <f>VLOOKUP(E1522,dicionario!$A$1:$C1921,2,0)</f>
        <v>Lantana camara</v>
      </c>
      <c r="H1522" s="6" t="str">
        <f>VLOOKUP(E1522,dicionario!$A$1:$C1921,3,0)</f>
        <v>lantana</v>
      </c>
    </row>
    <row r="1523">
      <c r="A1523" s="3">
        <v>45589.0</v>
      </c>
      <c r="B1523" s="4">
        <v>0.31527777777777777</v>
      </c>
      <c r="C1523" s="5" t="s">
        <v>64</v>
      </c>
      <c r="D1523" s="5" t="s">
        <v>500</v>
      </c>
      <c r="E1523" s="6" t="s">
        <v>562</v>
      </c>
      <c r="F1523" s="7" t="s">
        <v>563</v>
      </c>
      <c r="G1523" s="6" t="str">
        <f>VLOOKUP(E1523,dicionario!$A$1:$C1922,2,0)</f>
        <v>Syzygium cumini</v>
      </c>
      <c r="H1523" s="6" t="str">
        <f>VLOOKUP(E1523,dicionario!$A$1:$C1922,3,0)</f>
        <v>jamelão</v>
      </c>
    </row>
    <row r="1524">
      <c r="A1524" s="3">
        <v>45589.0</v>
      </c>
      <c r="B1524" s="4">
        <v>0.3159722222222222</v>
      </c>
      <c r="C1524" s="5" t="s">
        <v>64</v>
      </c>
      <c r="D1524" s="5" t="s">
        <v>500</v>
      </c>
      <c r="E1524" s="6" t="s">
        <v>72</v>
      </c>
      <c r="F1524" s="7" t="s">
        <v>73</v>
      </c>
      <c r="G1524" s="6" t="str">
        <f>VLOOKUP(E1524,dicionario!$A$1:$C1923,2,0)</f>
        <v>Thraupis palmarum</v>
      </c>
      <c r="H1524" s="6" t="str">
        <f>VLOOKUP(E1524,dicionario!$A$1:$C1923,3,0)</f>
        <v>sanhaço-do-coqueiro</v>
      </c>
    </row>
    <row r="1525">
      <c r="A1525" s="3">
        <v>45589.0</v>
      </c>
      <c r="B1525" s="4">
        <v>0.3159722222222222</v>
      </c>
      <c r="C1525" s="5" t="s">
        <v>64</v>
      </c>
      <c r="D1525" s="5" t="s">
        <v>500</v>
      </c>
      <c r="E1525" s="8" t="s">
        <v>564</v>
      </c>
      <c r="F1525" s="7" t="s">
        <v>565</v>
      </c>
      <c r="G1525" s="6" t="str">
        <f>VLOOKUP(E1525,dicionario!$A$1:$C1924,2,0)</f>
        <v>Strymon</v>
      </c>
      <c r="H1525" s="6" t="str">
        <f>VLOOKUP(E1525,dicionario!$A$1:$C1924,3,0)</f>
        <v>borboletinha que mexe a asinha</v>
      </c>
    </row>
    <row r="1526">
      <c r="A1526" s="3">
        <v>45589.0</v>
      </c>
      <c r="B1526" s="4">
        <v>0.3159722222222222</v>
      </c>
      <c r="C1526" s="5" t="s">
        <v>64</v>
      </c>
      <c r="D1526" s="5" t="s">
        <v>500</v>
      </c>
      <c r="E1526" s="6" t="s">
        <v>191</v>
      </c>
      <c r="F1526" s="7" t="s">
        <v>192</v>
      </c>
      <c r="G1526" s="6" t="str">
        <f>VLOOKUP(E1526,dicionario!$A$1:$C1925,2,0)</f>
        <v>Patagioenas picazuro</v>
      </c>
      <c r="H1526" s="6" t="str">
        <f>VLOOKUP(E1526,dicionario!$A$1:$C1925,3,0)</f>
        <v>asa-branca; pomba-asa-branca; pocaçu</v>
      </c>
    </row>
    <row r="1527">
      <c r="A1527" s="3">
        <v>45589.0</v>
      </c>
      <c r="B1527" s="4">
        <v>0.31666666666666665</v>
      </c>
      <c r="C1527" s="5" t="s">
        <v>64</v>
      </c>
      <c r="D1527" s="5" t="s">
        <v>500</v>
      </c>
      <c r="E1527" s="6" t="s">
        <v>181</v>
      </c>
      <c r="F1527" s="7" t="s">
        <v>182</v>
      </c>
      <c r="G1527" s="6" t="str">
        <f>VLOOKUP(E1527,dicionario!$A$1:$C1926,2,0)</f>
        <v>#N/A</v>
      </c>
      <c r="H1527" s="6" t="str">
        <f>VLOOKUP(E1527,dicionario!$A$1:$C1926,3,0)</f>
        <v>#N/A</v>
      </c>
    </row>
    <row r="1528">
      <c r="A1528" s="3">
        <v>45589.0</v>
      </c>
      <c r="B1528" s="4">
        <v>0.31666666666666665</v>
      </c>
      <c r="C1528" s="5" t="s">
        <v>64</v>
      </c>
      <c r="D1528" s="5" t="s">
        <v>500</v>
      </c>
      <c r="E1528" s="6" t="s">
        <v>469</v>
      </c>
      <c r="F1528" s="7" t="s">
        <v>470</v>
      </c>
      <c r="G1528" s="6" t="str">
        <f>VLOOKUP(E1528,dicionario!$A$1:$C1927,2,0)</f>
        <v>#N/A</v>
      </c>
      <c r="H1528" s="6" t="str">
        <f>VLOOKUP(E1528,dicionario!$A$1:$C1927,3,0)</f>
        <v>#N/A</v>
      </c>
    </row>
    <row r="1529">
      <c r="A1529" s="3">
        <v>45589.0</v>
      </c>
      <c r="B1529" s="4">
        <v>0.31666666666666665</v>
      </c>
      <c r="C1529" s="5" t="s">
        <v>64</v>
      </c>
      <c r="D1529" s="5" t="s">
        <v>500</v>
      </c>
      <c r="E1529" s="29" t="s">
        <v>566</v>
      </c>
      <c r="F1529" s="7" t="s">
        <v>567</v>
      </c>
      <c r="G1529" s="6" t="str">
        <f>VLOOKUP(E1529,dicionario!$A$1:$C1928,2,0)</f>
        <v>Baccharis dracunculifolia</v>
      </c>
      <c r="H1529" s="6" t="str">
        <f>VLOOKUP(E1529,dicionario!$A$1:$C1928,3,0)</f>
        <v>vassoura</v>
      </c>
    </row>
    <row r="1530">
      <c r="A1530" s="3">
        <v>45589.0</v>
      </c>
      <c r="B1530" s="4">
        <v>0.3173611111111111</v>
      </c>
      <c r="C1530" s="5" t="s">
        <v>64</v>
      </c>
      <c r="D1530" s="5" t="s">
        <v>500</v>
      </c>
      <c r="E1530" s="6" t="s">
        <v>401</v>
      </c>
      <c r="F1530" s="7" t="s">
        <v>464</v>
      </c>
      <c r="G1530" s="6" t="str">
        <f>VLOOKUP(E1530,dicionario!$A$1:$C1929,2,0)</f>
        <v>Cissus verticillata</v>
      </c>
      <c r="H1530" s="6" t="str">
        <f>VLOOKUP(E1530,dicionario!$A$1:$C1929,3,0)</f>
        <v>uva-do-mato</v>
      </c>
    </row>
    <row r="1531">
      <c r="A1531" s="3">
        <v>45589.0</v>
      </c>
      <c r="B1531" s="4">
        <v>0.3173611111111111</v>
      </c>
      <c r="C1531" s="5" t="s">
        <v>64</v>
      </c>
      <c r="D1531" s="5" t="s">
        <v>500</v>
      </c>
      <c r="E1531" s="6" t="s">
        <v>135</v>
      </c>
      <c r="F1531" s="7" t="s">
        <v>136</v>
      </c>
      <c r="G1531" s="6" t="str">
        <f>VLOOKUP(E1531,dicionario!$A$1:$C1930,2,0)</f>
        <v>Tridax procumbens</v>
      </c>
      <c r="H1531" s="6" t="str">
        <f>VLOOKUP(E1531,dicionario!$A$1:$C1930,3,0)</f>
        <v>erva-de-touro</v>
      </c>
    </row>
    <row r="1532">
      <c r="A1532" s="3">
        <v>45589.0</v>
      </c>
      <c r="B1532" s="4">
        <v>0.3173611111111111</v>
      </c>
      <c r="C1532" s="5" t="s">
        <v>64</v>
      </c>
      <c r="D1532" s="5" t="s">
        <v>500</v>
      </c>
      <c r="E1532" s="6" t="s">
        <v>568</v>
      </c>
      <c r="F1532" s="7" t="s">
        <v>458</v>
      </c>
      <c r="G1532" s="6" t="str">
        <f>VLOOKUP(E1532,dicionario!$A$1:$C1931,2,0)</f>
        <v>#N/A</v>
      </c>
      <c r="H1532" s="6" t="str">
        <f>VLOOKUP(E1532,dicionario!$A$1:$C1931,3,0)</f>
        <v>#N/A</v>
      </c>
    </row>
    <row r="1533">
      <c r="A1533" s="3">
        <v>45589.0</v>
      </c>
      <c r="B1533" s="4">
        <v>0.3173611111111111</v>
      </c>
      <c r="C1533" s="5" t="s">
        <v>64</v>
      </c>
      <c r="D1533" s="5" t="s">
        <v>500</v>
      </c>
      <c r="E1533" s="6" t="s">
        <v>298</v>
      </c>
      <c r="F1533" s="5" t="s">
        <v>299</v>
      </c>
      <c r="G1533" s="6" t="str">
        <f>VLOOKUP(E1533,dicionario!$A$1:$C1932,2,0)</f>
        <v>Alysicarpus vaginalis</v>
      </c>
      <c r="H1533" s="6" t="str">
        <f>VLOOKUP(E1533,dicionario!$A$1:$C1932,3,0)</f>
        <v/>
      </c>
    </row>
    <row r="1534">
      <c r="A1534" s="3">
        <v>45589.0</v>
      </c>
      <c r="B1534" s="4">
        <v>0.3173611111111111</v>
      </c>
      <c r="C1534" s="5" t="s">
        <v>64</v>
      </c>
      <c r="D1534" s="5" t="s">
        <v>500</v>
      </c>
      <c r="E1534" s="6" t="s">
        <v>353</v>
      </c>
      <c r="F1534" s="7" t="s">
        <v>354</v>
      </c>
      <c r="G1534" s="6" t="str">
        <f>VLOOKUP(E1534,dicionario!$A$1:$C1933,2,0)</f>
        <v>Desmodium incanum</v>
      </c>
      <c r="H1534" s="6" t="str">
        <f>VLOOKUP(E1534,dicionario!$A$1:$C1933,3,0)</f>
        <v>pega-pega</v>
      </c>
    </row>
    <row r="1535">
      <c r="A1535" s="3">
        <v>45589.0</v>
      </c>
      <c r="B1535" s="4">
        <v>0.3194444444444444</v>
      </c>
      <c r="C1535" s="5" t="s">
        <v>64</v>
      </c>
      <c r="D1535" s="5" t="s">
        <v>500</v>
      </c>
      <c r="E1535" s="8" t="s">
        <v>522</v>
      </c>
      <c r="F1535" s="7" t="s">
        <v>569</v>
      </c>
      <c r="G1535" s="6" t="str">
        <f>VLOOKUP(E1535,dicionario!$A$1:$C1934,2,0)</f>
        <v>#N/A</v>
      </c>
      <c r="H1535" s="6" t="str">
        <f>VLOOKUP(E1535,dicionario!$A$1:$C1934,3,0)</f>
        <v>#N/A</v>
      </c>
    </row>
    <row r="1536">
      <c r="A1536" s="3">
        <v>45589.0</v>
      </c>
      <c r="B1536" s="4">
        <v>0.3194444444444444</v>
      </c>
      <c r="C1536" s="5" t="s">
        <v>64</v>
      </c>
      <c r="D1536" s="5" t="s">
        <v>500</v>
      </c>
      <c r="E1536" s="6" t="s">
        <v>177</v>
      </c>
      <c r="F1536" s="7" t="s">
        <v>178</v>
      </c>
      <c r="G1536" s="6" t="str">
        <f>VLOOKUP(E1536,dicionario!$A$1:$C1935,2,0)</f>
        <v>Elaenia flavogaster</v>
      </c>
      <c r="H1536" s="6" t="str">
        <f>VLOOKUP(E1536,dicionario!$A$1:$C1935,3,0)</f>
        <v>guaracava-de-barriga-amarela</v>
      </c>
    </row>
    <row r="1537">
      <c r="A1537" s="3">
        <v>45589.0</v>
      </c>
      <c r="B1537" s="4">
        <v>0.3194444444444444</v>
      </c>
      <c r="C1537" s="5" t="s">
        <v>64</v>
      </c>
      <c r="D1537" s="5" t="s">
        <v>500</v>
      </c>
      <c r="E1537" s="6" t="s">
        <v>86</v>
      </c>
      <c r="F1537" s="7" t="s">
        <v>502</v>
      </c>
      <c r="G1537" s="6" t="str">
        <f>VLOOKUP(E1537,dicionario!$A$1:$C1936,2,0)</f>
        <v>Coereba flaveola</v>
      </c>
      <c r="H1537" s="6" t="str">
        <f>VLOOKUP(E1537,dicionario!$A$1:$C1936,3,0)</f>
        <v>cambacica</v>
      </c>
    </row>
    <row r="1538">
      <c r="A1538" s="3">
        <v>45589.0</v>
      </c>
      <c r="B1538" s="4">
        <v>0.3194444444444444</v>
      </c>
      <c r="C1538" s="5" t="s">
        <v>64</v>
      </c>
      <c r="D1538" s="5" t="s">
        <v>500</v>
      </c>
      <c r="E1538" s="6" t="s">
        <v>251</v>
      </c>
      <c r="F1538" s="7" t="s">
        <v>252</v>
      </c>
      <c r="G1538" s="6" t="str">
        <f>VLOOKUP(E1538,dicionario!$A$1:$C1937,2,0)</f>
        <v>Struthanthus flexicaulis</v>
      </c>
      <c r="H1538" s="6" t="str">
        <f>VLOOKUP(E1538,dicionario!$A$1:$C1937,3,0)</f>
        <v>erva-de-passarinho</v>
      </c>
    </row>
    <row r="1539">
      <c r="A1539" s="3">
        <v>45589.0</v>
      </c>
      <c r="B1539" s="4">
        <v>0.3194444444444444</v>
      </c>
      <c r="C1539" s="5" t="s">
        <v>64</v>
      </c>
      <c r="D1539" s="5" t="s">
        <v>500</v>
      </c>
      <c r="E1539" s="6" t="s">
        <v>132</v>
      </c>
      <c r="F1539" s="7" t="s">
        <v>133</v>
      </c>
      <c r="G1539" s="6" t="str">
        <f>VLOOKUP(E1539,dicionario!$A$1:$C1938,2,0)</f>
        <v>Euphonia chlorotica</v>
      </c>
      <c r="H1539" s="6" t="str">
        <f>VLOOKUP(E1539,dicionario!$A$1:$C1938,3,0)</f>
        <v>fim-fim</v>
      </c>
    </row>
    <row r="1540">
      <c r="A1540" s="3">
        <v>45589.0</v>
      </c>
      <c r="B1540" s="4">
        <v>0.32430555555555557</v>
      </c>
      <c r="C1540" s="5" t="s">
        <v>59</v>
      </c>
      <c r="D1540" s="5" t="s">
        <v>500</v>
      </c>
      <c r="E1540" s="6" t="s">
        <v>93</v>
      </c>
      <c r="F1540" s="7" t="s">
        <v>570</v>
      </c>
      <c r="G1540" s="6" t="str">
        <f>VLOOKUP(E1540,dicionario!$A$1:$C1939,2,0)</f>
        <v>Thraupis sayaca</v>
      </c>
      <c r="H1540" s="6" t="str">
        <f>VLOOKUP(E1540,dicionario!$A$1:$C1939,3,0)</f>
        <v>sanhaçu-cinzento</v>
      </c>
    </row>
    <row r="1541">
      <c r="A1541" s="3">
        <v>45589.0</v>
      </c>
      <c r="B1541" s="4">
        <v>0.32430555555555557</v>
      </c>
      <c r="C1541" s="5" t="s">
        <v>59</v>
      </c>
      <c r="D1541" s="5" t="s">
        <v>500</v>
      </c>
      <c r="E1541" s="6" t="s">
        <v>113</v>
      </c>
      <c r="F1541" s="7" t="s">
        <v>114</v>
      </c>
      <c r="G1541" s="6" t="str">
        <f>VLOOKUP(E1541,dicionario!$A$1:$C1940,2,0)</f>
        <v>Columbina talpacoti</v>
      </c>
      <c r="H1541" s="6" t="str">
        <f>VLOOKUP(E1541,dicionario!$A$1:$C1940,3,0)</f>
        <v>rolinha-roxa</v>
      </c>
    </row>
    <row r="1542">
      <c r="A1542" s="3">
        <v>45589.0</v>
      </c>
      <c r="B1542" s="4">
        <v>0.325</v>
      </c>
      <c r="C1542" s="5" t="s">
        <v>59</v>
      </c>
      <c r="D1542" s="5" t="s">
        <v>500</v>
      </c>
      <c r="E1542" s="6" t="s">
        <v>20</v>
      </c>
      <c r="F1542" s="7" t="s">
        <v>21</v>
      </c>
      <c r="G1542" s="6" t="str">
        <f>VLOOKUP(E1542,dicionario!$A$1:$C1941,2,0)</f>
        <v>Sicalis flaveola</v>
      </c>
      <c r="H1542" s="6" t="str">
        <f>VLOOKUP(E1542,dicionario!$A$1:$C1941,3,0)</f>
        <v>canário-da-terra</v>
      </c>
    </row>
    <row r="1543">
      <c r="A1543" s="3">
        <v>45589.0</v>
      </c>
      <c r="B1543" s="4">
        <v>0.325</v>
      </c>
      <c r="C1543" s="5" t="s">
        <v>59</v>
      </c>
      <c r="D1543" s="5" t="s">
        <v>500</v>
      </c>
      <c r="E1543" s="6" t="s">
        <v>163</v>
      </c>
      <c r="F1543" s="7" t="s">
        <v>164</v>
      </c>
      <c r="G1543" s="6" t="str">
        <f>VLOOKUP(E1543,dicionario!$A$1:$C1942,2,0)</f>
        <v>Coragyps atratus</v>
      </c>
      <c r="H1543" s="6" t="str">
        <f>VLOOKUP(E1543,dicionario!$A$1:$C1942,3,0)</f>
        <v>urubu-de-cabeça-preta</v>
      </c>
    </row>
    <row r="1544">
      <c r="A1544" s="3">
        <v>45589.0</v>
      </c>
      <c r="B1544" s="4">
        <v>0.325</v>
      </c>
      <c r="C1544" s="5" t="s">
        <v>59</v>
      </c>
      <c r="D1544" s="5" t="s">
        <v>500</v>
      </c>
      <c r="E1544" s="6" t="s">
        <v>65</v>
      </c>
      <c r="F1544" s="7" t="s">
        <v>66</v>
      </c>
      <c r="G1544" s="6" t="str">
        <f>VLOOKUP(E1544,dicionario!$A$1:$C1943,2,0)</f>
        <v>Pitangus sulphutarus</v>
      </c>
      <c r="H1544" s="6" t="str">
        <f>VLOOKUP(E1544,dicionario!$A$1:$C1943,3,0)</f>
        <v>bem-te-vi</v>
      </c>
    </row>
    <row r="1545">
      <c r="A1545" s="3">
        <v>45589.0</v>
      </c>
      <c r="B1545" s="4">
        <v>0.325</v>
      </c>
      <c r="C1545" s="5" t="s">
        <v>59</v>
      </c>
      <c r="D1545" s="5" t="s">
        <v>500</v>
      </c>
      <c r="E1545" s="6" t="s">
        <v>213</v>
      </c>
      <c r="F1545" s="7" t="s">
        <v>214</v>
      </c>
      <c r="G1545" s="6" t="str">
        <f>VLOOKUP(E1545,dicionario!$A$1:$C1944,2,0)</f>
        <v>Myiozetetes similis</v>
      </c>
      <c r="H1545" s="6" t="str">
        <f>VLOOKUP(E1545,dicionario!$A$1:$C1944,3,0)</f>
        <v>bentevizinho-de-penacho-vermelho</v>
      </c>
    </row>
    <row r="1546">
      <c r="A1546" s="3">
        <v>45589.0</v>
      </c>
      <c r="B1546" s="4">
        <v>0.325</v>
      </c>
      <c r="C1546" s="5" t="s">
        <v>59</v>
      </c>
      <c r="D1546" s="5" t="s">
        <v>500</v>
      </c>
      <c r="E1546" s="6" t="s">
        <v>88</v>
      </c>
      <c r="F1546" s="7" t="s">
        <v>89</v>
      </c>
      <c r="G1546" s="6" t="str">
        <f>VLOOKUP(E1546,dicionario!$A$1:$C1945,2,0)</f>
        <v>Tyrannus melancolichus</v>
      </c>
      <c r="H1546" s="6" t="str">
        <f>VLOOKUP(E1546,dicionario!$A$1:$C1945,3,0)</f>
        <v>suiriri</v>
      </c>
    </row>
    <row r="1547">
      <c r="A1547" s="3">
        <v>45589.0</v>
      </c>
      <c r="B1547" s="4">
        <v>0.325</v>
      </c>
      <c r="C1547" s="5" t="s">
        <v>59</v>
      </c>
      <c r="D1547" s="5" t="s">
        <v>500</v>
      </c>
      <c r="E1547" s="6" t="s">
        <v>53</v>
      </c>
      <c r="F1547" s="7" t="s">
        <v>54</v>
      </c>
      <c r="G1547" s="6" t="str">
        <f>VLOOKUP(E1547,dicionario!$A$1:$C1946,2,0)</f>
        <v>Turnera subulata</v>
      </c>
      <c r="H1547" s="6" t="str">
        <f>VLOOKUP(E1547,dicionario!$A$1:$C1946,3,0)</f>
        <v>xanana</v>
      </c>
    </row>
    <row r="1548">
      <c r="A1548" s="3">
        <v>45589.0</v>
      </c>
      <c r="B1548" s="4">
        <v>0.325</v>
      </c>
      <c r="C1548" s="5" t="s">
        <v>59</v>
      </c>
      <c r="D1548" s="5" t="s">
        <v>500</v>
      </c>
      <c r="E1548" s="6" t="s">
        <v>571</v>
      </c>
      <c r="F1548" s="7" t="s">
        <v>205</v>
      </c>
      <c r="G1548" s="6" t="str">
        <f>VLOOKUP(E1548,dicionario!$A$1:$C1947,2,0)</f>
        <v>#N/A</v>
      </c>
      <c r="H1548" s="6" t="str">
        <f>VLOOKUP(E1548,dicionario!$A$1:$C1947,3,0)</f>
        <v>#N/A</v>
      </c>
    </row>
    <row r="1549">
      <c r="A1549" s="3">
        <v>45589.0</v>
      </c>
      <c r="B1549" s="4">
        <v>0.325</v>
      </c>
      <c r="C1549" s="5" t="s">
        <v>59</v>
      </c>
      <c r="D1549" s="5" t="s">
        <v>500</v>
      </c>
      <c r="E1549" s="6" t="s">
        <v>353</v>
      </c>
      <c r="F1549" s="7" t="s">
        <v>354</v>
      </c>
      <c r="G1549" s="6" t="str">
        <f>VLOOKUP(E1549,dicionario!$A$1:$C1948,2,0)</f>
        <v>Desmodium incanum</v>
      </c>
      <c r="H1549" s="6" t="str">
        <f>VLOOKUP(E1549,dicionario!$A$1:$C1948,3,0)</f>
        <v>pega-pega</v>
      </c>
    </row>
    <row r="1550">
      <c r="A1550" s="3">
        <v>45589.0</v>
      </c>
      <c r="B1550" s="4">
        <v>0.325</v>
      </c>
      <c r="C1550" s="5" t="s">
        <v>59</v>
      </c>
      <c r="D1550" s="5" t="s">
        <v>500</v>
      </c>
      <c r="E1550" s="6" t="s">
        <v>265</v>
      </c>
      <c r="F1550" s="7" t="s">
        <v>266</v>
      </c>
      <c r="G1550" s="6" t="str">
        <f>VLOOKUP(E1550,dicionario!$A$1:$C1949,2,0)</f>
        <v>Sonchus oleraceus</v>
      </c>
      <c r="H1550" s="6" t="str">
        <f>VLOOKUP(E1550,dicionario!$A$1:$C1949,3,0)</f>
        <v>seralha</v>
      </c>
    </row>
    <row r="1551">
      <c r="A1551" s="3">
        <v>45589.0</v>
      </c>
      <c r="B1551" s="4">
        <v>0.32569444444444445</v>
      </c>
      <c r="C1551" s="5" t="s">
        <v>59</v>
      </c>
      <c r="D1551" s="5" t="s">
        <v>500</v>
      </c>
      <c r="E1551" s="6" t="s">
        <v>14</v>
      </c>
      <c r="F1551" s="7" t="s">
        <v>15</v>
      </c>
      <c r="G1551" s="6" t="str">
        <f>VLOOKUP(E1551,dicionario!$A$1:$C1950,2,0)</f>
        <v>Spermacoce verticillata</v>
      </c>
      <c r="H1551" s="6" t="str">
        <f>VLOOKUP(E1551,dicionario!$A$1:$C1950,3,0)</f>
        <v>vassourinha-de-botão</v>
      </c>
    </row>
    <row r="1552">
      <c r="A1552" s="3">
        <v>45589.0</v>
      </c>
      <c r="B1552" s="4">
        <v>0.32569444444444445</v>
      </c>
      <c r="C1552" s="5" t="s">
        <v>59</v>
      </c>
      <c r="D1552" s="5" t="s">
        <v>500</v>
      </c>
      <c r="E1552" s="6" t="s">
        <v>193</v>
      </c>
      <c r="F1552" s="7" t="s">
        <v>194</v>
      </c>
      <c r="G1552" s="6" t="str">
        <f>VLOOKUP(E1552,dicionario!$A$1:$C1951,2,0)</f>
        <v>Conirostrum speciosum</v>
      </c>
      <c r="H1552" s="6" t="str">
        <f>VLOOKUP(E1552,dicionario!$A$1:$C1951,3,0)</f>
        <v>figuinha-de-rabo-castanho</v>
      </c>
    </row>
    <row r="1553">
      <c r="A1553" s="3">
        <v>45589.0</v>
      </c>
      <c r="B1553" s="4">
        <v>0.32569444444444445</v>
      </c>
      <c r="C1553" s="5" t="s">
        <v>59</v>
      </c>
      <c r="D1553" s="5" t="s">
        <v>500</v>
      </c>
      <c r="E1553" s="6" t="s">
        <v>109</v>
      </c>
      <c r="F1553" s="7" t="s">
        <v>110</v>
      </c>
      <c r="G1553" s="6" t="str">
        <f>VLOOKUP(E1553,dicionario!$A$1:$C1952,2,0)</f>
        <v>Tillandsia stricta</v>
      </c>
      <c r="H1553" s="6" t="str">
        <f>VLOOKUP(E1553,dicionario!$A$1:$C1952,3,0)</f>
        <v>cravo-do-mato</v>
      </c>
    </row>
    <row r="1554">
      <c r="A1554" s="3">
        <v>45589.0</v>
      </c>
      <c r="B1554" s="4">
        <v>0.32569444444444445</v>
      </c>
      <c r="C1554" s="5" t="s">
        <v>59</v>
      </c>
      <c r="D1554" s="5" t="s">
        <v>500</v>
      </c>
      <c r="E1554" s="6" t="s">
        <v>88</v>
      </c>
      <c r="F1554" s="7" t="s">
        <v>89</v>
      </c>
      <c r="G1554" s="6" t="str">
        <f>VLOOKUP(E1554,dicionario!$A$1:$C1953,2,0)</f>
        <v>Tyrannus melancolichus</v>
      </c>
      <c r="H1554" s="6" t="str">
        <f>VLOOKUP(E1554,dicionario!$A$1:$C1953,3,0)</f>
        <v>suiriri</v>
      </c>
    </row>
    <row r="1555">
      <c r="A1555" s="3">
        <v>45589.0</v>
      </c>
      <c r="B1555" s="4">
        <v>0.32569444444444445</v>
      </c>
      <c r="C1555" s="5" t="s">
        <v>59</v>
      </c>
      <c r="D1555" s="5" t="s">
        <v>500</v>
      </c>
      <c r="E1555" s="6" t="s">
        <v>191</v>
      </c>
      <c r="F1555" s="7" t="s">
        <v>192</v>
      </c>
      <c r="G1555" s="6" t="str">
        <f>VLOOKUP(E1555,dicionario!$A$1:$C1954,2,0)</f>
        <v>Patagioenas picazuro</v>
      </c>
      <c r="H1555" s="6" t="str">
        <f>VLOOKUP(E1555,dicionario!$A$1:$C1954,3,0)</f>
        <v>asa-branca; pomba-asa-branca; pocaçu</v>
      </c>
    </row>
    <row r="1556">
      <c r="A1556" s="3">
        <v>45589.0</v>
      </c>
      <c r="B1556" s="4">
        <v>0.32569444444444445</v>
      </c>
      <c r="C1556" s="5" t="s">
        <v>59</v>
      </c>
      <c r="D1556" s="5" t="s">
        <v>500</v>
      </c>
      <c r="E1556" s="6" t="s">
        <v>245</v>
      </c>
      <c r="F1556" s="7" t="s">
        <v>246</v>
      </c>
      <c r="G1556" s="6" t="str">
        <f>VLOOKUP(E1556,dicionario!$A$1:$C1955,2,0)</f>
        <v>Hemiargus hanno</v>
      </c>
      <c r="H1556" s="6" t="str">
        <f>VLOOKUP(E1556,dicionario!$A$1:$C1955,3,0)</f>
        <v>borboleta-azulzinha-do-trevo</v>
      </c>
    </row>
    <row r="1557">
      <c r="A1557" s="3">
        <v>45589.0</v>
      </c>
      <c r="B1557" s="4">
        <v>0.32569444444444445</v>
      </c>
      <c r="C1557" s="5" t="s">
        <v>59</v>
      </c>
      <c r="D1557" s="5" t="s">
        <v>500</v>
      </c>
      <c r="E1557" s="6" t="s">
        <v>22</v>
      </c>
      <c r="F1557" s="7" t="s">
        <v>97</v>
      </c>
      <c r="G1557" s="6" t="str">
        <f>VLOOKUP(E1557,dicionario!$A$1:$C1956,2,0)</f>
        <v>Zenaida auriculata</v>
      </c>
      <c r="H1557" s="6" t="str">
        <f>VLOOKUP(E1557,dicionario!$A$1:$C1956,3,0)</f>
        <v>pomba-de-bando; avoante</v>
      </c>
    </row>
    <row r="1558">
      <c r="A1558" s="3">
        <v>45589.0</v>
      </c>
      <c r="B1558" s="4">
        <v>0.3263888888888889</v>
      </c>
      <c r="C1558" s="5" t="s">
        <v>59</v>
      </c>
      <c r="D1558" s="5" t="s">
        <v>500</v>
      </c>
      <c r="E1558" s="8" t="s">
        <v>46</v>
      </c>
      <c r="F1558" s="5" t="s">
        <v>47</v>
      </c>
      <c r="G1558" s="6" t="str">
        <f>VLOOKUP(E1558,dicionario!$A$1:$C1957,2,0)</f>
        <v>Chionomesa fimbriata</v>
      </c>
      <c r="H1558" s="6" t="str">
        <f>VLOOKUP(E1558,dicionario!$A$1:$C1957,3,0)</f>
        <v>beija-flor-de-garganta-verde</v>
      </c>
    </row>
    <row r="1559">
      <c r="A1559" s="3">
        <v>45589.0</v>
      </c>
      <c r="B1559" s="4">
        <v>0.3263888888888889</v>
      </c>
      <c r="C1559" s="5" t="s">
        <v>59</v>
      </c>
      <c r="D1559" s="5" t="s">
        <v>500</v>
      </c>
      <c r="E1559" s="6" t="s">
        <v>239</v>
      </c>
      <c r="F1559" s="7" t="s">
        <v>240</v>
      </c>
      <c r="G1559" s="6" t="str">
        <f>VLOOKUP(E1559,dicionario!$A$1:$C1958,2,0)</f>
        <v>Gomphrena celosioides</v>
      </c>
      <c r="H1559" s="6" t="str">
        <f>VLOOKUP(E1559,dicionario!$A$1:$C1958,3,0)</f>
        <v>perpétua-branca</v>
      </c>
    </row>
    <row r="1560">
      <c r="A1560" s="3">
        <v>45589.0</v>
      </c>
      <c r="B1560" s="4">
        <v>0.3263888888888889</v>
      </c>
      <c r="C1560" s="5" t="s">
        <v>59</v>
      </c>
      <c r="D1560" s="5" t="s">
        <v>500</v>
      </c>
      <c r="E1560" s="6" t="s">
        <v>132</v>
      </c>
      <c r="F1560" s="7" t="s">
        <v>133</v>
      </c>
      <c r="G1560" s="6" t="str">
        <f>VLOOKUP(E1560,dicionario!$A$1:$C1959,2,0)</f>
        <v>Euphonia chlorotica</v>
      </c>
      <c r="H1560" s="6" t="str">
        <f>VLOOKUP(E1560,dicionario!$A$1:$C1959,3,0)</f>
        <v>fim-fim</v>
      </c>
    </row>
    <row r="1561">
      <c r="A1561" s="3">
        <v>45589.0</v>
      </c>
      <c r="B1561" s="4">
        <v>0.3263888888888889</v>
      </c>
      <c r="C1561" s="5" t="s">
        <v>59</v>
      </c>
      <c r="D1561" s="5" t="s">
        <v>500</v>
      </c>
      <c r="E1561" s="8" t="s">
        <v>38</v>
      </c>
      <c r="F1561" s="5" t="s">
        <v>39</v>
      </c>
      <c r="G1561" s="6" t="str">
        <f>VLOOKUP(E1561,dicionario!$A$1:$C1960,2,0)</f>
        <v>Troglodytes musculus</v>
      </c>
      <c r="H1561" s="6" t="str">
        <f>VLOOKUP(E1561,dicionario!$A$1:$C1960,3,0)</f>
        <v>curruíra</v>
      </c>
    </row>
    <row r="1562">
      <c r="A1562" s="3">
        <v>45589.0</v>
      </c>
      <c r="B1562" s="4">
        <v>0.3263888888888889</v>
      </c>
      <c r="C1562" s="5" t="s">
        <v>59</v>
      </c>
      <c r="D1562" s="5" t="s">
        <v>500</v>
      </c>
      <c r="E1562" s="6" t="s">
        <v>286</v>
      </c>
      <c r="F1562" s="7" t="s">
        <v>287</v>
      </c>
      <c r="G1562" s="6" t="str">
        <f>VLOOKUP(E1562,dicionario!$A$1:$C1961,2,0)</f>
        <v>Setaria parviflora</v>
      </c>
      <c r="H1562" s="6" t="str">
        <f>VLOOKUP(E1562,dicionario!$A$1:$C1961,3,0)</f>
        <v>capim-rabo-de-raposa</v>
      </c>
    </row>
    <row r="1563">
      <c r="A1563" s="3">
        <v>45589.0</v>
      </c>
      <c r="B1563" s="4">
        <v>0.3277777777777778</v>
      </c>
      <c r="C1563" s="5" t="s">
        <v>59</v>
      </c>
      <c r="D1563" s="5" t="s">
        <v>500</v>
      </c>
      <c r="E1563" s="6" t="s">
        <v>253</v>
      </c>
      <c r="F1563" s="7" t="s">
        <v>254</v>
      </c>
      <c r="G1563" s="6" t="str">
        <f>VLOOKUP(E1563,dicionario!$A$1:$C1962,2,0)</f>
        <v>Panicum maximum</v>
      </c>
      <c r="H1563" s="6" t="str">
        <f>VLOOKUP(E1563,dicionario!$A$1:$C1962,3,0)</f>
        <v>capim-colonião</v>
      </c>
    </row>
    <row r="1564">
      <c r="A1564" s="3">
        <v>45589.0</v>
      </c>
      <c r="B1564" s="4">
        <v>0.3277777777777778</v>
      </c>
      <c r="C1564" s="5" t="s">
        <v>59</v>
      </c>
      <c r="D1564" s="5" t="s">
        <v>500</v>
      </c>
      <c r="E1564" s="6" t="s">
        <v>122</v>
      </c>
      <c r="F1564" s="7" t="s">
        <v>123</v>
      </c>
      <c r="G1564" s="6" t="str">
        <f>VLOOKUP(E1564,dicionario!$A$1:$C1963,2,0)</f>
        <v>Todirostrum cinereum</v>
      </c>
      <c r="H1564" s="6" t="str">
        <f>VLOOKUP(E1564,dicionario!$A$1:$C1963,3,0)</f>
        <v>ferreirinho-relógio</v>
      </c>
    </row>
    <row r="1565">
      <c r="A1565" s="3">
        <v>45589.0</v>
      </c>
      <c r="B1565" s="4">
        <v>0.3277777777777778</v>
      </c>
      <c r="C1565" s="5" t="s">
        <v>59</v>
      </c>
      <c r="D1565" s="5" t="s">
        <v>500</v>
      </c>
      <c r="E1565" s="6" t="s">
        <v>241</v>
      </c>
      <c r="F1565" s="7" t="s">
        <v>242</v>
      </c>
      <c r="G1565" s="6" t="str">
        <f>VLOOKUP(E1565,dicionario!$A$1:$C1964,2,0)</f>
        <v>Asiopus minimus</v>
      </c>
      <c r="H1565" s="6" t="str">
        <f>VLOOKUP(E1565,dicionario!$A$1:$C1964,3,0)</f>
        <v>tenébrio</v>
      </c>
    </row>
    <row r="1566">
      <c r="A1566" s="3">
        <v>45589.0</v>
      </c>
      <c r="B1566" s="4">
        <v>0.3277777777777778</v>
      </c>
      <c r="C1566" s="5" t="s">
        <v>59</v>
      </c>
      <c r="D1566" s="5" t="s">
        <v>500</v>
      </c>
      <c r="E1566" s="6" t="s">
        <v>60</v>
      </c>
      <c r="F1566" s="7" t="s">
        <v>61</v>
      </c>
      <c r="G1566" s="6" t="str">
        <f>VLOOKUP(E1566,dicionario!$A$1:$C1965,2,0)</f>
        <v>Vanellus chilensis</v>
      </c>
      <c r="H1566" s="6" t="str">
        <f>VLOOKUP(E1566,dicionario!$A$1:$C1965,3,0)</f>
        <v>quero-quero</v>
      </c>
    </row>
    <row r="1567">
      <c r="A1567" s="3">
        <v>45589.0</v>
      </c>
      <c r="B1567" s="4">
        <v>0.3277777777777778</v>
      </c>
      <c r="C1567" s="5" t="s">
        <v>59</v>
      </c>
      <c r="D1567" s="5" t="s">
        <v>500</v>
      </c>
      <c r="E1567" s="6" t="s">
        <v>135</v>
      </c>
      <c r="F1567" s="7" t="s">
        <v>136</v>
      </c>
      <c r="G1567" s="6" t="str">
        <f>VLOOKUP(E1567,dicionario!$A$1:$C1966,2,0)</f>
        <v>Tridax procumbens</v>
      </c>
      <c r="H1567" s="6" t="str">
        <f>VLOOKUP(E1567,dicionario!$A$1:$C1966,3,0)</f>
        <v>erva-de-touro</v>
      </c>
    </row>
    <row r="1568">
      <c r="A1568" s="3">
        <v>45589.0</v>
      </c>
      <c r="B1568" s="4">
        <v>0.3277777777777778</v>
      </c>
      <c r="C1568" s="5" t="s">
        <v>59</v>
      </c>
      <c r="D1568" s="5" t="s">
        <v>500</v>
      </c>
      <c r="E1568" s="6" t="s">
        <v>298</v>
      </c>
      <c r="F1568" s="5" t="s">
        <v>299</v>
      </c>
      <c r="G1568" s="6" t="str">
        <f>VLOOKUP(E1568,dicionario!$A$1:$C1967,2,0)</f>
        <v>Alysicarpus vaginalis</v>
      </c>
      <c r="H1568" s="6" t="str">
        <f>VLOOKUP(E1568,dicionario!$A$1:$C1967,3,0)</f>
        <v/>
      </c>
    </row>
    <row r="1569">
      <c r="A1569" s="3">
        <v>45589.0</v>
      </c>
      <c r="B1569" s="4">
        <v>0.3277777777777778</v>
      </c>
      <c r="C1569" s="5" t="s">
        <v>59</v>
      </c>
      <c r="D1569" s="5" t="s">
        <v>500</v>
      </c>
      <c r="E1569" s="8" t="s">
        <v>503</v>
      </c>
      <c r="F1569" s="7" t="s">
        <v>414</v>
      </c>
      <c r="G1569" s="6" t="str">
        <f>VLOOKUP(E1569,dicionario!$A$1:$C1968,2,0)</f>
        <v>Orphulella punctata</v>
      </c>
      <c r="H1569" s="6" t="str">
        <f>VLOOKUP(E1569,dicionario!$A$1:$C1968,3,0)</f>
        <v>gafanhotinho</v>
      </c>
    </row>
    <row r="1570">
      <c r="A1570" s="3">
        <v>45589.0</v>
      </c>
      <c r="B1570" s="4">
        <v>0.3277777777777778</v>
      </c>
      <c r="C1570" s="5" t="s">
        <v>59</v>
      </c>
      <c r="D1570" s="5" t="s">
        <v>500</v>
      </c>
      <c r="E1570" s="6" t="s">
        <v>375</v>
      </c>
      <c r="F1570" s="7" t="s">
        <v>35</v>
      </c>
      <c r="G1570" s="6" t="str">
        <f>VLOOKUP(E1570,dicionario!$A$1:$C1969,2,0)</f>
        <v>Neoponera foetida</v>
      </c>
      <c r="H1570" s="6" t="str">
        <f>VLOOKUP(E1570,dicionario!$A$1:$C1969,3,0)</f>
        <v/>
      </c>
    </row>
    <row r="1571">
      <c r="A1571" s="3">
        <v>45589.0</v>
      </c>
      <c r="B1571" s="4">
        <v>0.33055555555555555</v>
      </c>
      <c r="C1571" s="5" t="s">
        <v>59</v>
      </c>
      <c r="D1571" s="5" t="s">
        <v>500</v>
      </c>
      <c r="E1571" s="6" t="s">
        <v>258</v>
      </c>
      <c r="F1571" s="7" t="s">
        <v>259</v>
      </c>
      <c r="G1571" s="6" t="str">
        <f>VLOOKUP(E1571,dicionario!$A$1:$C1970,2,0)</f>
        <v>Lantana camara</v>
      </c>
      <c r="H1571" s="6" t="str">
        <f>VLOOKUP(E1571,dicionario!$A$1:$C1970,3,0)</f>
        <v>lantana</v>
      </c>
    </row>
    <row r="1572">
      <c r="A1572" s="3">
        <v>45589.0</v>
      </c>
      <c r="B1572" s="4">
        <v>0.33055555555555555</v>
      </c>
      <c r="C1572" s="5" t="s">
        <v>59</v>
      </c>
      <c r="D1572" s="5" t="s">
        <v>500</v>
      </c>
      <c r="E1572" s="6" t="s">
        <v>572</v>
      </c>
      <c r="F1572" s="5" t="s">
        <v>573</v>
      </c>
      <c r="G1572" s="6" t="str">
        <f>VLOOKUP(E1572,dicionario!$A$1:$C1971,2,0)</f>
        <v>#N/A</v>
      </c>
      <c r="H1572" s="6" t="str">
        <f>VLOOKUP(E1572,dicionario!$A$1:$C1971,3,0)</f>
        <v>#N/A</v>
      </c>
    </row>
    <row r="1573">
      <c r="A1573" s="3">
        <v>45589.0</v>
      </c>
      <c r="B1573" s="4">
        <v>0.33055555555555555</v>
      </c>
      <c r="C1573" s="5" t="s">
        <v>59</v>
      </c>
      <c r="D1573" s="5" t="s">
        <v>500</v>
      </c>
      <c r="E1573" s="6" t="s">
        <v>146</v>
      </c>
      <c r="F1573" s="7" t="s">
        <v>147</v>
      </c>
      <c r="G1573" s="6" t="str">
        <f>VLOOKUP(E1573,dicionario!$A$1:$C1972,2,0)</f>
        <v>Euphorbia hirta</v>
      </c>
      <c r="H1573" s="6" t="str">
        <f>VLOOKUP(E1573,dicionario!$A$1:$C1972,3,0)</f>
        <v>erva-de-santa-luzia</v>
      </c>
    </row>
    <row r="1574">
      <c r="A1574" s="3">
        <v>45589.0</v>
      </c>
      <c r="B1574" s="4">
        <v>0.33055555555555555</v>
      </c>
      <c r="C1574" s="5" t="s">
        <v>59</v>
      </c>
      <c r="D1574" s="5" t="s">
        <v>500</v>
      </c>
      <c r="E1574" s="6" t="s">
        <v>243</v>
      </c>
      <c r="F1574" s="7" t="s">
        <v>244</v>
      </c>
      <c r="G1574" s="6" t="str">
        <f>VLOOKUP(E1574,dicionario!$A$1:$C1973,2,0)</f>
        <v>Macroptilium atropurpureum</v>
      </c>
      <c r="H1574" s="6" t="str">
        <f>VLOOKUP(E1574,dicionario!$A$1:$C1973,3,0)</f>
        <v>feijão-de-pombo</v>
      </c>
    </row>
    <row r="1575">
      <c r="A1575" s="3">
        <v>45589.0</v>
      </c>
      <c r="B1575" s="4">
        <v>0.33055555555555555</v>
      </c>
      <c r="C1575" s="5" t="s">
        <v>59</v>
      </c>
      <c r="D1575" s="5" t="s">
        <v>500</v>
      </c>
      <c r="E1575" s="6" t="s">
        <v>227</v>
      </c>
      <c r="F1575" s="7" t="s">
        <v>228</v>
      </c>
      <c r="G1575" s="6" t="str">
        <f>VLOOKUP(E1575,dicionario!$A$1:$C1974,2,0)</f>
        <v>Indigofera hirsuta</v>
      </c>
      <c r="H1575" s="6" t="str">
        <f>VLOOKUP(E1575,dicionario!$A$1:$C1974,3,0)</f>
        <v>anileira</v>
      </c>
    </row>
    <row r="1576">
      <c r="A1576" s="3">
        <v>45589.0</v>
      </c>
      <c r="B1576" s="4">
        <v>0.33125</v>
      </c>
      <c r="C1576" s="5" t="s">
        <v>59</v>
      </c>
      <c r="D1576" s="5" t="s">
        <v>500</v>
      </c>
      <c r="E1576" s="8" t="s">
        <v>457</v>
      </c>
      <c r="F1576" s="7" t="s">
        <v>458</v>
      </c>
      <c r="G1576" s="6" t="str">
        <f>VLOOKUP(E1576,dicionario!$A$1:$C1975,2,0)</f>
        <v>Alternanthera philoxeroides</v>
      </c>
      <c r="H1576" s="6" t="str">
        <f>VLOOKUP(E1576,dicionario!$A$1:$C1975,3,0)</f>
        <v>erva-jacaré </v>
      </c>
    </row>
    <row r="1577">
      <c r="A1577" s="3">
        <v>45589.0</v>
      </c>
      <c r="B1577" s="4">
        <v>0.3333333333333333</v>
      </c>
      <c r="C1577" s="5" t="s">
        <v>59</v>
      </c>
      <c r="D1577" s="5" t="s">
        <v>500</v>
      </c>
      <c r="E1577" s="6" t="s">
        <v>574</v>
      </c>
      <c r="F1577" s="7" t="s">
        <v>234</v>
      </c>
      <c r="G1577" s="6" t="str">
        <f>VLOOKUP(E1577,dicionario!$A$1:$C1976,2,0)</f>
        <v>#N/A</v>
      </c>
      <c r="H1577" s="6" t="str">
        <f>VLOOKUP(E1577,dicionario!$A$1:$C1976,3,0)</f>
        <v>#N/A</v>
      </c>
    </row>
    <row r="1578">
      <c r="A1578" s="3">
        <v>45589.0</v>
      </c>
      <c r="B1578" s="4">
        <v>0.33402777777777776</v>
      </c>
      <c r="C1578" s="5" t="s">
        <v>59</v>
      </c>
      <c r="D1578" s="5" t="s">
        <v>500</v>
      </c>
      <c r="E1578" s="6" t="s">
        <v>308</v>
      </c>
      <c r="F1578" s="7" t="s">
        <v>575</v>
      </c>
      <c r="G1578" s="6" t="str">
        <f>VLOOKUP(E1578,dicionario!$A$1:$C1977,2,0)</f>
        <v>#N/A</v>
      </c>
      <c r="H1578" s="6" t="str">
        <f>VLOOKUP(E1578,dicionario!$A$1:$C1977,3,0)</f>
        <v>#N/A</v>
      </c>
    </row>
    <row r="1579">
      <c r="A1579" s="3">
        <v>45589.0</v>
      </c>
      <c r="B1579" s="4">
        <v>0.3347222222222222</v>
      </c>
      <c r="C1579" s="5" t="s">
        <v>59</v>
      </c>
      <c r="D1579" s="5" t="s">
        <v>500</v>
      </c>
      <c r="E1579" s="6" t="s">
        <v>18</v>
      </c>
      <c r="F1579" s="7" t="s">
        <v>219</v>
      </c>
      <c r="G1579" s="6" t="str">
        <f>VLOOKUP(E1579,dicionario!$A$1:$C1978,2,0)</f>
        <v>Xylocopa frontalis</v>
      </c>
      <c r="H1579" s="6" t="str">
        <f>VLOOKUP(E1579,dicionario!$A$1:$C1978,3,0)</f>
        <v>Mamangava; mangangá; abelha-carpinteira</v>
      </c>
    </row>
    <row r="1580">
      <c r="A1580" s="3">
        <v>45589.0</v>
      </c>
      <c r="B1580" s="4">
        <v>0.3347222222222222</v>
      </c>
      <c r="C1580" s="5" t="s">
        <v>59</v>
      </c>
      <c r="D1580" s="5" t="s">
        <v>500</v>
      </c>
      <c r="E1580" s="6" t="s">
        <v>390</v>
      </c>
      <c r="F1580" s="7" t="s">
        <v>576</v>
      </c>
      <c r="G1580" s="6" t="str">
        <f>VLOOKUP(E1580,dicionario!$A$1:$C1979,2,0)</f>
        <v>Oxalis barrelieri</v>
      </c>
      <c r="H1580" s="6" t="str">
        <f>VLOOKUP(E1580,dicionario!$A$1:$C1979,3,0)</f>
        <v>erva-azeda; azedinha </v>
      </c>
    </row>
    <row r="1581">
      <c r="A1581" s="3">
        <v>45589.0</v>
      </c>
      <c r="B1581" s="4">
        <v>0.33541666666666664</v>
      </c>
      <c r="C1581" s="5" t="s">
        <v>59</v>
      </c>
      <c r="D1581" s="5" t="s">
        <v>500</v>
      </c>
      <c r="E1581" s="10" t="s">
        <v>101</v>
      </c>
      <c r="F1581" s="7" t="s">
        <v>577</v>
      </c>
      <c r="G1581" s="6" t="str">
        <f>VLOOKUP(E1581,dicionario!$A$1:$C1980,2,0)</f>
        <v>Nemosia pileata</v>
      </c>
      <c r="H1581" s="6" t="str">
        <f>VLOOKUP(E1581,dicionario!$A$1:$C1980,3,0)</f>
        <v>saíra-de-chapéu-preto</v>
      </c>
    </row>
    <row r="1582">
      <c r="A1582" s="3">
        <v>45589.0</v>
      </c>
      <c r="B1582" s="4">
        <v>0.33541666666666664</v>
      </c>
      <c r="C1582" s="5" t="s">
        <v>59</v>
      </c>
      <c r="D1582" s="5" t="s">
        <v>500</v>
      </c>
      <c r="E1582" s="6" t="s">
        <v>383</v>
      </c>
      <c r="F1582" s="7" t="s">
        <v>384</v>
      </c>
      <c r="G1582" s="6" t="str">
        <f>VLOOKUP(E1582,dicionario!$A$1:$C1981,2,0)</f>
        <v>Setophaga pitiayumi</v>
      </c>
      <c r="H1582" s="6" t="str">
        <f>VLOOKUP(E1582,dicionario!$A$1:$C1981,3,0)</f>
        <v>mariquita</v>
      </c>
    </row>
    <row r="1583">
      <c r="A1583" s="3">
        <v>45589.0</v>
      </c>
      <c r="B1583" s="4">
        <v>0.33541666666666664</v>
      </c>
      <c r="C1583" s="5" t="s">
        <v>59</v>
      </c>
      <c r="D1583" s="5" t="s">
        <v>500</v>
      </c>
      <c r="E1583" s="6" t="s">
        <v>193</v>
      </c>
      <c r="F1583" s="7" t="s">
        <v>194</v>
      </c>
      <c r="G1583" s="6" t="str">
        <f>VLOOKUP(E1583,dicionario!$A$1:$C1982,2,0)</f>
        <v>Conirostrum speciosum</v>
      </c>
      <c r="H1583" s="6" t="str">
        <f>VLOOKUP(E1583,dicionario!$A$1:$C1982,3,0)</f>
        <v>figuinha-de-rabo-castanho</v>
      </c>
    </row>
    <row r="1584">
      <c r="A1584" s="3">
        <v>45589.0</v>
      </c>
      <c r="B1584" s="4">
        <v>0.3375</v>
      </c>
      <c r="C1584" s="5" t="s">
        <v>50</v>
      </c>
      <c r="D1584" s="5" t="s">
        <v>500</v>
      </c>
      <c r="E1584" s="6" t="s">
        <v>237</v>
      </c>
      <c r="F1584" s="7" t="s">
        <v>238</v>
      </c>
      <c r="G1584" s="6" t="str">
        <f>VLOOKUP(E1584,dicionario!$A$1:$C1983,2,0)</f>
        <v>Acromyrmex</v>
      </c>
      <c r="H1584" s="6" t="str">
        <f>VLOOKUP(E1584,dicionario!$A$1:$C1983,3,0)</f>
        <v>quenquén</v>
      </c>
    </row>
    <row r="1585">
      <c r="A1585" s="3">
        <v>45589.0</v>
      </c>
      <c r="B1585" s="4">
        <v>0.3375</v>
      </c>
      <c r="C1585" s="5" t="s">
        <v>50</v>
      </c>
      <c r="D1585" s="5" t="s">
        <v>500</v>
      </c>
      <c r="E1585" s="6" t="s">
        <v>158</v>
      </c>
      <c r="F1585" s="7" t="s">
        <v>159</v>
      </c>
      <c r="G1585" s="6" t="str">
        <f>VLOOKUP(E1585,dicionario!$A$1:$C1984,2,0)</f>
        <v>Nephilingis cruentata</v>
      </c>
      <c r="H1585" s="6" t="str">
        <f>VLOOKUP(E1585,dicionario!$A$1:$C1984,3,0)</f>
        <v>maria-bola</v>
      </c>
    </row>
    <row r="1586">
      <c r="A1586" s="3">
        <v>45589.0</v>
      </c>
      <c r="B1586" s="4">
        <v>0.3375</v>
      </c>
      <c r="C1586" s="5" t="s">
        <v>50</v>
      </c>
      <c r="D1586" s="5" t="s">
        <v>500</v>
      </c>
      <c r="E1586" s="6" t="s">
        <v>93</v>
      </c>
      <c r="F1586" s="7" t="s">
        <v>570</v>
      </c>
      <c r="G1586" s="6" t="str">
        <f>VLOOKUP(E1586,dicionario!$A$1:$C1985,2,0)</f>
        <v>Thraupis sayaca</v>
      </c>
      <c r="H1586" s="6" t="str">
        <f>VLOOKUP(E1586,dicionario!$A$1:$C1985,3,0)</f>
        <v>sanhaçu-cinzento</v>
      </c>
    </row>
    <row r="1587">
      <c r="A1587" s="3">
        <v>45589.0</v>
      </c>
      <c r="B1587" s="4">
        <v>0.33819444444444446</v>
      </c>
      <c r="C1587" s="5" t="s">
        <v>50</v>
      </c>
      <c r="D1587" s="5" t="s">
        <v>500</v>
      </c>
      <c r="E1587" s="6" t="s">
        <v>578</v>
      </c>
      <c r="F1587" s="7" t="s">
        <v>192</v>
      </c>
      <c r="G1587" s="6" t="str">
        <f>VLOOKUP(E1587,dicionario!$A$1:$C1986,2,0)</f>
        <v>#N/A</v>
      </c>
      <c r="H1587" s="6" t="str">
        <f>VLOOKUP(E1587,dicionario!$A$1:$C1986,3,0)</f>
        <v>#N/A</v>
      </c>
    </row>
    <row r="1588">
      <c r="A1588" s="3">
        <v>45589.0</v>
      </c>
      <c r="B1588" s="4">
        <v>0.33819444444444446</v>
      </c>
      <c r="C1588" s="5" t="s">
        <v>50</v>
      </c>
      <c r="D1588" s="5" t="s">
        <v>500</v>
      </c>
      <c r="E1588" s="6" t="s">
        <v>105</v>
      </c>
      <c r="F1588" s="7" t="s">
        <v>106</v>
      </c>
      <c r="G1588" s="6" t="str">
        <f>VLOOKUP(E1588,dicionario!$A$1:$C1987,2,0)</f>
        <v>Progne tapera</v>
      </c>
      <c r="H1588" s="6" t="str">
        <f>VLOOKUP(E1588,dicionario!$A$1:$C1987,3,0)</f>
        <v>andorinha-do-campo</v>
      </c>
    </row>
    <row r="1589">
      <c r="A1589" s="3">
        <v>45589.0</v>
      </c>
      <c r="B1589" s="4">
        <v>0.33819444444444446</v>
      </c>
      <c r="C1589" s="5" t="s">
        <v>50</v>
      </c>
      <c r="D1589" s="5" t="s">
        <v>500</v>
      </c>
      <c r="E1589" s="6" t="s">
        <v>20</v>
      </c>
      <c r="F1589" s="7" t="s">
        <v>21</v>
      </c>
      <c r="G1589" s="6" t="str">
        <f>VLOOKUP(E1589,dicionario!$A$1:$C1988,2,0)</f>
        <v>Sicalis flaveola</v>
      </c>
      <c r="H1589" s="6" t="str">
        <f>VLOOKUP(E1589,dicionario!$A$1:$C1988,3,0)</f>
        <v>canário-da-terra</v>
      </c>
    </row>
    <row r="1590">
      <c r="A1590" s="3">
        <v>45589.0</v>
      </c>
      <c r="B1590" s="4">
        <v>0.33819444444444446</v>
      </c>
      <c r="C1590" s="5" t="s">
        <v>50</v>
      </c>
      <c r="D1590" s="5" t="s">
        <v>500</v>
      </c>
      <c r="E1590" s="6" t="s">
        <v>69</v>
      </c>
      <c r="F1590" s="7" t="s">
        <v>71</v>
      </c>
      <c r="G1590" s="6" t="str">
        <f>VLOOKUP(E1590,dicionario!$A$1:$C1989,2,0)</f>
        <v>Talinum fruticosum</v>
      </c>
      <c r="H1590" s="6" t="str">
        <f>VLOOKUP(E1590,dicionario!$A$1:$C1989,3,0)</f>
        <v>beldroega-grande</v>
      </c>
    </row>
    <row r="1591">
      <c r="A1591" s="3">
        <v>45589.0</v>
      </c>
      <c r="B1591" s="4">
        <v>0.33819444444444446</v>
      </c>
      <c r="C1591" s="5" t="s">
        <v>50</v>
      </c>
      <c r="D1591" s="5" t="s">
        <v>500</v>
      </c>
      <c r="E1591" s="6" t="s">
        <v>113</v>
      </c>
      <c r="F1591" s="7" t="s">
        <v>114</v>
      </c>
      <c r="G1591" s="6" t="str">
        <f>VLOOKUP(E1591,dicionario!$A$1:$C1990,2,0)</f>
        <v>Columbina talpacoti</v>
      </c>
      <c r="H1591" s="6" t="str">
        <f>VLOOKUP(E1591,dicionario!$A$1:$C1990,3,0)</f>
        <v>rolinha-roxa</v>
      </c>
    </row>
    <row r="1592">
      <c r="A1592" s="3">
        <v>45589.0</v>
      </c>
      <c r="B1592" s="4">
        <v>0.33819444444444446</v>
      </c>
      <c r="C1592" s="5" t="s">
        <v>50</v>
      </c>
      <c r="D1592" s="5" t="s">
        <v>500</v>
      </c>
      <c r="E1592" s="6" t="s">
        <v>88</v>
      </c>
      <c r="F1592" s="7" t="s">
        <v>89</v>
      </c>
      <c r="G1592" s="6" t="str">
        <f>VLOOKUP(E1592,dicionario!$A$1:$C1991,2,0)</f>
        <v>Tyrannus melancolichus</v>
      </c>
      <c r="H1592" s="6" t="str">
        <f>VLOOKUP(E1592,dicionario!$A$1:$C1991,3,0)</f>
        <v>suiriri</v>
      </c>
    </row>
    <row r="1593">
      <c r="A1593" s="3">
        <v>45589.0</v>
      </c>
      <c r="B1593" s="4">
        <v>0.33819444444444446</v>
      </c>
      <c r="C1593" s="5" t="s">
        <v>50</v>
      </c>
      <c r="D1593" s="5" t="s">
        <v>500</v>
      </c>
      <c r="E1593" s="6" t="s">
        <v>181</v>
      </c>
      <c r="F1593" s="7" t="s">
        <v>182</v>
      </c>
      <c r="G1593" s="6" t="str">
        <f>VLOOKUP(E1593,dicionario!$A$1:$C1992,2,0)</f>
        <v>#N/A</v>
      </c>
      <c r="H1593" s="6" t="str">
        <f>VLOOKUP(E1593,dicionario!$A$1:$C1992,3,0)</f>
        <v>#N/A</v>
      </c>
    </row>
    <row r="1594">
      <c r="A1594" s="3">
        <v>45589.0</v>
      </c>
      <c r="B1594" s="4">
        <v>0.33819444444444446</v>
      </c>
      <c r="C1594" s="5" t="s">
        <v>50</v>
      </c>
      <c r="D1594" s="5" t="s">
        <v>500</v>
      </c>
      <c r="E1594" s="8" t="s">
        <v>579</v>
      </c>
      <c r="F1594" s="5" t="s">
        <v>580</v>
      </c>
      <c r="G1594" s="6" t="str">
        <f>VLOOKUP(E1594,dicionario!$A$1:$C1993,2,0)</f>
        <v>Piper tuberculatum</v>
      </c>
      <c r="H1594" s="6" t="str">
        <f>VLOOKUP(E1594,dicionario!$A$1:$C1993,3,0)</f>
        <v/>
      </c>
    </row>
    <row r="1595">
      <c r="A1595" s="3">
        <v>45589.0</v>
      </c>
      <c r="B1595" s="4">
        <v>0.33819444444444446</v>
      </c>
      <c r="C1595" s="5" t="s">
        <v>50</v>
      </c>
      <c r="D1595" s="5" t="s">
        <v>500</v>
      </c>
      <c r="E1595" s="6" t="s">
        <v>139</v>
      </c>
      <c r="F1595" s="7" t="s">
        <v>140</v>
      </c>
      <c r="G1595" s="6" t="str">
        <f>VLOOKUP(E1595,dicionario!$A$1:$C1994,2,0)</f>
        <v>Tropidurus torquatus</v>
      </c>
      <c r="H1595" s="6" t="str">
        <f>VLOOKUP(E1595,dicionario!$A$1:$C1994,3,0)</f>
        <v>calango; tropiduro-comum</v>
      </c>
    </row>
    <row r="1596">
      <c r="A1596" s="3">
        <v>45589.0</v>
      </c>
      <c r="B1596" s="4">
        <v>0.33819444444444446</v>
      </c>
      <c r="C1596" s="5" t="s">
        <v>50</v>
      </c>
      <c r="D1596" s="5" t="s">
        <v>500</v>
      </c>
      <c r="E1596" s="8" t="s">
        <v>581</v>
      </c>
      <c r="F1596" s="7" t="s">
        <v>582</v>
      </c>
      <c r="G1596" s="6" t="str">
        <f>VLOOKUP(E1596,dicionario!$A$1:$C1995,2,0)</f>
        <v>Phoebis marcellina</v>
      </c>
      <c r="H1596" s="6" t="str">
        <f>VLOOKUP(E1596,dicionario!$A$1:$C1995,3,0)</f>
        <v>borboleta-gema</v>
      </c>
    </row>
    <row r="1597">
      <c r="A1597" s="3">
        <v>45589.0</v>
      </c>
      <c r="B1597" s="4">
        <v>0.33819444444444446</v>
      </c>
      <c r="C1597" s="5" t="s">
        <v>50</v>
      </c>
      <c r="D1597" s="5" t="s">
        <v>500</v>
      </c>
      <c r="E1597" s="6" t="s">
        <v>338</v>
      </c>
      <c r="F1597" s="7" t="s">
        <v>238</v>
      </c>
      <c r="G1597" s="6" t="str">
        <f>VLOOKUP(E1597,dicionario!$A$1:$C1996,2,0)</f>
        <v>Atta</v>
      </c>
      <c r="H1597" s="6" t="str">
        <f>VLOOKUP(E1597,dicionario!$A$1:$C1996,3,0)</f>
        <v>saúva</v>
      </c>
    </row>
    <row r="1598">
      <c r="A1598" s="3">
        <v>45589.0</v>
      </c>
      <c r="B1598" s="4">
        <v>0.3423611111111111</v>
      </c>
      <c r="C1598" s="5" t="s">
        <v>50</v>
      </c>
      <c r="D1598" s="5" t="s">
        <v>500</v>
      </c>
      <c r="E1598" s="6" t="s">
        <v>163</v>
      </c>
      <c r="F1598" s="7" t="s">
        <v>164</v>
      </c>
      <c r="G1598" s="6" t="str">
        <f>VLOOKUP(E1598,dicionario!$A$1:$C1997,2,0)</f>
        <v>Coragyps atratus</v>
      </c>
      <c r="H1598" s="6" t="str">
        <f>VLOOKUP(E1598,dicionario!$A$1:$C1997,3,0)</f>
        <v>urubu-de-cabeça-preta</v>
      </c>
    </row>
    <row r="1599">
      <c r="A1599" s="3">
        <v>45589.0</v>
      </c>
      <c r="B1599" s="4">
        <v>0.3423611111111111</v>
      </c>
      <c r="C1599" s="5" t="s">
        <v>50</v>
      </c>
      <c r="D1599" s="5" t="s">
        <v>500</v>
      </c>
      <c r="E1599" s="8" t="s">
        <v>38</v>
      </c>
      <c r="F1599" s="5" t="s">
        <v>39</v>
      </c>
      <c r="G1599" s="6" t="str">
        <f>VLOOKUP(E1599,dicionario!$A$1:$C1998,2,0)</f>
        <v>Troglodytes musculus</v>
      </c>
      <c r="H1599" s="6" t="str">
        <f>VLOOKUP(E1599,dicionario!$A$1:$C1998,3,0)</f>
        <v>curruíra</v>
      </c>
    </row>
    <row r="1600">
      <c r="A1600" s="3">
        <v>45589.0</v>
      </c>
      <c r="B1600" s="4">
        <v>0.3423611111111111</v>
      </c>
      <c r="C1600" s="5" t="s">
        <v>50</v>
      </c>
      <c r="D1600" s="5" t="s">
        <v>500</v>
      </c>
      <c r="E1600" s="6" t="s">
        <v>177</v>
      </c>
      <c r="F1600" s="7" t="s">
        <v>178</v>
      </c>
      <c r="G1600" s="6" t="str">
        <f>VLOOKUP(E1600,dicionario!$A$1:$C1999,2,0)</f>
        <v>Elaenia flavogaster</v>
      </c>
      <c r="H1600" s="6" t="str">
        <f>VLOOKUP(E1600,dicionario!$A$1:$C1999,3,0)</f>
        <v>guaracava-de-barriga-amarela</v>
      </c>
    </row>
    <row r="1601">
      <c r="A1601" s="3">
        <v>45589.0</v>
      </c>
      <c r="B1601" s="4">
        <v>0.34305555555555556</v>
      </c>
      <c r="C1601" s="5" t="s">
        <v>50</v>
      </c>
      <c r="D1601" s="5" t="s">
        <v>500</v>
      </c>
      <c r="E1601" s="6" t="s">
        <v>22</v>
      </c>
      <c r="F1601" s="7" t="s">
        <v>97</v>
      </c>
      <c r="G1601" s="6" t="str">
        <f>VLOOKUP(E1601,dicionario!$A$1:$C2000,2,0)</f>
        <v>Zenaida auriculata</v>
      </c>
      <c r="H1601" s="6" t="str">
        <f>VLOOKUP(E1601,dicionario!$A$1:$C2000,3,0)</f>
        <v>pomba-de-bando; avoante</v>
      </c>
    </row>
    <row r="1602">
      <c r="A1602" s="3">
        <v>45589.0</v>
      </c>
      <c r="B1602" s="4">
        <v>0.34305555555555556</v>
      </c>
      <c r="C1602" s="5" t="s">
        <v>50</v>
      </c>
      <c r="D1602" s="5" t="s">
        <v>500</v>
      </c>
      <c r="E1602" s="6" t="s">
        <v>372</v>
      </c>
      <c r="F1602" s="7" t="s">
        <v>373</v>
      </c>
      <c r="G1602" s="6" t="str">
        <f>VLOOKUP(E1602,dicionario!$A$1:$C2001,2,0)</f>
        <v>Rupornis magnirostris</v>
      </c>
      <c r="H1602" s="6" t="str">
        <f>VLOOKUP(E1602,dicionario!$A$1:$C2001,3,0)</f>
        <v>gavião-carijó</v>
      </c>
    </row>
    <row r="1603">
      <c r="A1603" s="3">
        <v>45589.0</v>
      </c>
      <c r="B1603" s="4">
        <v>0.35</v>
      </c>
      <c r="C1603" s="5" t="s">
        <v>40</v>
      </c>
      <c r="D1603" s="5" t="s">
        <v>500</v>
      </c>
      <c r="E1603" s="6" t="s">
        <v>425</v>
      </c>
      <c r="F1603" s="7" t="s">
        <v>426</v>
      </c>
      <c r="G1603" s="6" t="str">
        <f>VLOOKUP(E1603,dicionario!$A$1:$C2002,2,0)</f>
        <v>Digitaria insularis</v>
      </c>
      <c r="H1603" s="6" t="str">
        <f>VLOOKUP(E1603,dicionario!$A$1:$C2002,3,0)</f>
        <v>capim-amargoso</v>
      </c>
    </row>
    <row r="1604">
      <c r="A1604" s="3">
        <v>45589.0</v>
      </c>
      <c r="B1604" s="4">
        <v>0.35</v>
      </c>
      <c r="C1604" s="5" t="s">
        <v>40</v>
      </c>
      <c r="D1604" s="5" t="s">
        <v>500</v>
      </c>
      <c r="E1604" s="6" t="s">
        <v>286</v>
      </c>
      <c r="F1604" s="7" t="s">
        <v>287</v>
      </c>
      <c r="G1604" s="6" t="str">
        <f>VLOOKUP(E1604,dicionario!$A$1:$C2003,2,0)</f>
        <v>Setaria parviflora</v>
      </c>
      <c r="H1604" s="6" t="str">
        <f>VLOOKUP(E1604,dicionario!$A$1:$C2003,3,0)</f>
        <v>capim-rabo-de-raposa</v>
      </c>
    </row>
    <row r="1605">
      <c r="A1605" s="3">
        <v>45589.0</v>
      </c>
      <c r="B1605" s="4">
        <v>0.35</v>
      </c>
      <c r="C1605" s="5" t="s">
        <v>40</v>
      </c>
      <c r="D1605" s="5" t="s">
        <v>500</v>
      </c>
      <c r="E1605" s="18" t="s">
        <v>296</v>
      </c>
      <c r="F1605" s="7" t="s">
        <v>297</v>
      </c>
      <c r="G1605" s="6" t="str">
        <f>VLOOKUP(E1605,dicionario!$A$1:$C2004,2,0)</f>
        <v>Richardia brasiliensis</v>
      </c>
      <c r="H1605" s="6" t="str">
        <f>VLOOKUP(E1605,dicionario!$A$1:$C2004,3,0)</f>
        <v>poaia-branca</v>
      </c>
    </row>
    <row r="1606">
      <c r="A1606" s="3">
        <v>45589.0</v>
      </c>
      <c r="B1606" s="4">
        <v>0.35</v>
      </c>
      <c r="C1606" s="5" t="s">
        <v>40</v>
      </c>
      <c r="D1606" s="5" t="s">
        <v>500</v>
      </c>
      <c r="E1606" s="6" t="s">
        <v>353</v>
      </c>
      <c r="F1606" s="7" t="s">
        <v>354</v>
      </c>
      <c r="G1606" s="6" t="str">
        <f>VLOOKUP(E1606,dicionario!$A$1:$C2005,2,0)</f>
        <v>Desmodium incanum</v>
      </c>
      <c r="H1606" s="6" t="str">
        <f>VLOOKUP(E1606,dicionario!$A$1:$C2005,3,0)</f>
        <v>pega-pega</v>
      </c>
    </row>
    <row r="1607">
      <c r="A1607" s="3">
        <v>45589.0</v>
      </c>
      <c r="B1607" s="4">
        <v>0.3506944444444444</v>
      </c>
      <c r="C1607" s="5" t="s">
        <v>40</v>
      </c>
      <c r="D1607" s="5" t="s">
        <v>500</v>
      </c>
      <c r="E1607" s="6" t="s">
        <v>288</v>
      </c>
      <c r="F1607" s="7" t="s">
        <v>289</v>
      </c>
      <c r="G1607" s="6" t="str">
        <f>VLOOKUP(E1607,dicionario!$A$1:$C2006,2,0)</f>
        <v>Phyllanthus tenellus</v>
      </c>
      <c r="H1607" s="6" t="str">
        <f>VLOOKUP(E1607,dicionario!$A$1:$C2006,3,0)</f>
        <v>quebra-pedra</v>
      </c>
    </row>
    <row r="1608">
      <c r="A1608" s="3">
        <v>45589.0</v>
      </c>
      <c r="B1608" s="4">
        <v>0.3506944444444444</v>
      </c>
      <c r="C1608" s="5" t="s">
        <v>40</v>
      </c>
      <c r="D1608" s="5" t="s">
        <v>500</v>
      </c>
      <c r="E1608" s="6" t="s">
        <v>338</v>
      </c>
      <c r="F1608" s="7" t="s">
        <v>238</v>
      </c>
      <c r="G1608" s="6" t="str">
        <f>VLOOKUP(E1608,dicionario!$A$1:$C2007,2,0)</f>
        <v>Atta</v>
      </c>
      <c r="H1608" s="6" t="str">
        <f>VLOOKUP(E1608,dicionario!$A$1:$C2007,3,0)</f>
        <v>saúva</v>
      </c>
    </row>
    <row r="1609">
      <c r="A1609" s="3">
        <v>45589.0</v>
      </c>
      <c r="B1609" s="4">
        <v>0.3506944444444444</v>
      </c>
      <c r="C1609" s="5" t="s">
        <v>40</v>
      </c>
      <c r="D1609" s="5" t="s">
        <v>500</v>
      </c>
      <c r="E1609" s="6" t="s">
        <v>467</v>
      </c>
      <c r="F1609" s="7" t="s">
        <v>468</v>
      </c>
      <c r="G1609" s="6" t="str">
        <f>VLOOKUP(E1609,dicionario!$A$1:$C2008,2,0)</f>
        <v>Eleusine indica</v>
      </c>
      <c r="H1609" s="6" t="str">
        <f>VLOOKUP(E1609,dicionario!$A$1:$C2008,3,0)</f>
        <v>capim-pé-de-galinha</v>
      </c>
    </row>
    <row r="1610">
      <c r="A1610" s="3">
        <v>45589.0</v>
      </c>
      <c r="B1610" s="4">
        <v>0.3506944444444444</v>
      </c>
      <c r="C1610" s="5" t="s">
        <v>40</v>
      </c>
      <c r="D1610" s="5" t="s">
        <v>500</v>
      </c>
      <c r="E1610" s="6" t="s">
        <v>469</v>
      </c>
      <c r="F1610" s="7" t="s">
        <v>470</v>
      </c>
      <c r="G1610" s="6" t="str">
        <f>VLOOKUP(E1610,dicionario!$A$1:$C2009,2,0)</f>
        <v>#N/A</v>
      </c>
      <c r="H1610" s="6" t="str">
        <f>VLOOKUP(E1610,dicionario!$A$1:$C2009,3,0)</f>
        <v>#N/A</v>
      </c>
    </row>
    <row r="1611">
      <c r="A1611" s="3">
        <v>45589.0</v>
      </c>
      <c r="B1611" s="4">
        <v>0.3506944444444444</v>
      </c>
      <c r="C1611" s="5" t="s">
        <v>40</v>
      </c>
      <c r="D1611" s="5" t="s">
        <v>500</v>
      </c>
      <c r="E1611" s="8" t="s">
        <v>360</v>
      </c>
      <c r="F1611" s="7" t="s">
        <v>361</v>
      </c>
      <c r="G1611" s="6" t="str">
        <f>VLOOKUP(E1611,dicionario!$A$1:$C2010,2,0)</f>
        <v>Chamaecrista rotundifolia</v>
      </c>
      <c r="H1611" s="6" t="str">
        <f>VLOOKUP(E1611,dicionario!$A$1:$C2010,3,0)</f>
        <v>alfafa-nativa</v>
      </c>
    </row>
    <row r="1612">
      <c r="A1612" s="3">
        <v>45589.0</v>
      </c>
      <c r="B1612" s="4">
        <v>0.3506944444444444</v>
      </c>
      <c r="C1612" s="5" t="s">
        <v>40</v>
      </c>
      <c r="D1612" s="5" t="s">
        <v>500</v>
      </c>
      <c r="E1612" s="6" t="s">
        <v>122</v>
      </c>
      <c r="F1612" s="7" t="s">
        <v>123</v>
      </c>
      <c r="G1612" s="6" t="str">
        <f>VLOOKUP(E1612,dicionario!$A$1:$C2011,2,0)</f>
        <v>Todirostrum cinereum</v>
      </c>
      <c r="H1612" s="6" t="str">
        <f>VLOOKUP(E1612,dicionario!$A$1:$C2011,3,0)</f>
        <v>ferreirinho-relógio</v>
      </c>
    </row>
    <row r="1613">
      <c r="A1613" s="3">
        <v>45589.0</v>
      </c>
      <c r="B1613" s="4">
        <v>0.3506944444444444</v>
      </c>
      <c r="C1613" s="5" t="s">
        <v>40</v>
      </c>
      <c r="D1613" s="5" t="s">
        <v>500</v>
      </c>
      <c r="E1613" s="6" t="s">
        <v>14</v>
      </c>
      <c r="F1613" s="7" t="s">
        <v>15</v>
      </c>
      <c r="G1613" s="6" t="str">
        <f>VLOOKUP(E1613,dicionario!$A$1:$C2012,2,0)</f>
        <v>Spermacoce verticillata</v>
      </c>
      <c r="H1613" s="6" t="str">
        <f>VLOOKUP(E1613,dicionario!$A$1:$C2012,3,0)</f>
        <v>vassourinha-de-botão</v>
      </c>
    </row>
    <row r="1614">
      <c r="A1614" s="3">
        <v>45589.0</v>
      </c>
      <c r="B1614" s="4">
        <v>0.3506944444444444</v>
      </c>
      <c r="C1614" s="5" t="s">
        <v>40</v>
      </c>
      <c r="D1614" s="5" t="s">
        <v>500</v>
      </c>
      <c r="E1614" s="6" t="s">
        <v>53</v>
      </c>
      <c r="F1614" s="7" t="s">
        <v>54</v>
      </c>
      <c r="G1614" s="6" t="str">
        <f>VLOOKUP(E1614,dicionario!$A$1:$C2013,2,0)</f>
        <v>Turnera subulata</v>
      </c>
      <c r="H1614" s="6" t="str">
        <f>VLOOKUP(E1614,dicionario!$A$1:$C2013,3,0)</f>
        <v>xanana</v>
      </c>
    </row>
    <row r="1615">
      <c r="A1615" s="3">
        <v>45589.0</v>
      </c>
      <c r="B1615" s="4">
        <v>0.3506944444444444</v>
      </c>
      <c r="C1615" s="5" t="s">
        <v>40</v>
      </c>
      <c r="D1615" s="5" t="s">
        <v>500</v>
      </c>
      <c r="E1615" s="6" t="s">
        <v>271</v>
      </c>
      <c r="F1615" s="7" t="s">
        <v>272</v>
      </c>
      <c r="G1615" s="6" t="str">
        <f>VLOOKUP(E1615,dicionario!$A$1:$C2014,2,0)</f>
        <v>Cyanthillium cinereum</v>
      </c>
      <c r="H1615" s="6" t="str">
        <f>VLOOKUP(E1615,dicionario!$A$1:$C2014,3,0)</f>
        <v>emília</v>
      </c>
    </row>
    <row r="1616">
      <c r="A1616" s="3">
        <v>45589.0</v>
      </c>
      <c r="B1616" s="4">
        <v>0.3506944444444444</v>
      </c>
      <c r="C1616" s="5" t="s">
        <v>40</v>
      </c>
      <c r="D1616" s="5" t="s">
        <v>500</v>
      </c>
      <c r="E1616" s="6" t="s">
        <v>267</v>
      </c>
      <c r="F1616" s="7" t="s">
        <v>268</v>
      </c>
      <c r="G1616" s="6" t="str">
        <f>VLOOKUP(E1616,dicionario!$A$1:$C2015,2,0)</f>
        <v>Solanum americanum</v>
      </c>
      <c r="H1616" s="6" t="str">
        <f>VLOOKUP(E1616,dicionario!$A$1:$C2015,3,0)</f>
        <v>maria-pretinha</v>
      </c>
    </row>
    <row r="1617">
      <c r="A1617" s="3">
        <v>45589.0</v>
      </c>
      <c r="B1617" s="4">
        <v>0.3506944444444444</v>
      </c>
      <c r="C1617" s="5" t="s">
        <v>40</v>
      </c>
      <c r="D1617" s="5" t="s">
        <v>500</v>
      </c>
      <c r="E1617" s="6" t="s">
        <v>401</v>
      </c>
      <c r="F1617" s="7" t="s">
        <v>464</v>
      </c>
      <c r="G1617" s="6" t="str">
        <f>VLOOKUP(E1617,dicionario!$A$1:$C2016,2,0)</f>
        <v>Cissus verticillata</v>
      </c>
      <c r="H1617" s="6" t="str">
        <f>VLOOKUP(E1617,dicionario!$A$1:$C2016,3,0)</f>
        <v>uva-do-mato</v>
      </c>
    </row>
    <row r="1618">
      <c r="A1618" s="3">
        <v>45589.0</v>
      </c>
      <c r="B1618" s="4">
        <v>0.3506944444444444</v>
      </c>
      <c r="C1618" s="5" t="s">
        <v>40</v>
      </c>
      <c r="D1618" s="5" t="s">
        <v>500</v>
      </c>
      <c r="E1618" s="8" t="s">
        <v>465</v>
      </c>
      <c r="F1618" s="7" t="s">
        <v>583</v>
      </c>
      <c r="G1618" s="6" t="str">
        <f>VLOOKUP(E1618,dicionario!$A$1:$C2017,2,0)</f>
        <v>Solanum diphyllum</v>
      </c>
      <c r="H1618" s="6" t="str">
        <f>VLOOKUP(E1618,dicionario!$A$1:$C2017,3,0)</f>
        <v>tomatinho-amarelo</v>
      </c>
    </row>
    <row r="1619">
      <c r="A1619" s="3">
        <v>45589.0</v>
      </c>
      <c r="B1619" s="4">
        <v>0.35138888888888886</v>
      </c>
      <c r="C1619" s="5" t="s">
        <v>40</v>
      </c>
      <c r="D1619" s="5" t="s">
        <v>500</v>
      </c>
      <c r="E1619" s="8" t="s">
        <v>38</v>
      </c>
      <c r="F1619" s="5" t="s">
        <v>39</v>
      </c>
      <c r="G1619" s="6" t="str">
        <f>VLOOKUP(E1619,dicionario!$A$1:$C2018,2,0)</f>
        <v>Troglodytes musculus</v>
      </c>
      <c r="H1619" s="6" t="str">
        <f>VLOOKUP(E1619,dicionario!$A$1:$C2018,3,0)</f>
        <v>curruíra</v>
      </c>
    </row>
    <row r="1620">
      <c r="A1620" s="3">
        <v>45589.0</v>
      </c>
      <c r="B1620" s="4">
        <v>0.35138888888888886</v>
      </c>
      <c r="C1620" s="5" t="s">
        <v>40</v>
      </c>
      <c r="D1620" s="5" t="s">
        <v>500</v>
      </c>
      <c r="E1620" s="6" t="s">
        <v>191</v>
      </c>
      <c r="F1620" s="7" t="s">
        <v>192</v>
      </c>
      <c r="G1620" s="6" t="str">
        <f>VLOOKUP(E1620,dicionario!$A$1:$C2019,2,0)</f>
        <v>Patagioenas picazuro</v>
      </c>
      <c r="H1620" s="6" t="str">
        <f>VLOOKUP(E1620,dicionario!$A$1:$C2019,3,0)</f>
        <v>asa-branca; pomba-asa-branca; pocaçu</v>
      </c>
    </row>
    <row r="1621">
      <c r="A1621" s="3">
        <v>45589.0</v>
      </c>
      <c r="B1621" s="4">
        <v>0.35138888888888886</v>
      </c>
      <c r="C1621" s="5" t="s">
        <v>40</v>
      </c>
      <c r="D1621" s="5" t="s">
        <v>500</v>
      </c>
      <c r="E1621" s="6" t="s">
        <v>20</v>
      </c>
      <c r="F1621" s="7" t="s">
        <v>21</v>
      </c>
      <c r="G1621" s="6" t="str">
        <f>VLOOKUP(E1621,dicionario!$A$1:$C2020,2,0)</f>
        <v>Sicalis flaveola</v>
      </c>
      <c r="H1621" s="6" t="str">
        <f>VLOOKUP(E1621,dicionario!$A$1:$C2020,3,0)</f>
        <v>canário-da-terra</v>
      </c>
    </row>
    <row r="1622">
      <c r="A1622" s="3">
        <v>45589.0</v>
      </c>
      <c r="B1622" s="4">
        <v>0.35138888888888886</v>
      </c>
      <c r="C1622" s="5" t="s">
        <v>40</v>
      </c>
      <c r="D1622" s="5" t="s">
        <v>500</v>
      </c>
      <c r="E1622" s="6" t="s">
        <v>18</v>
      </c>
      <c r="F1622" s="7" t="s">
        <v>219</v>
      </c>
      <c r="G1622" s="6" t="str">
        <f>VLOOKUP(E1622,dicionario!$A$1:$C2021,2,0)</f>
        <v>Xylocopa frontalis</v>
      </c>
      <c r="H1622" s="6" t="str">
        <f>VLOOKUP(E1622,dicionario!$A$1:$C2021,3,0)</f>
        <v>Mamangava; mangangá; abelha-carpinteira</v>
      </c>
    </row>
    <row r="1623">
      <c r="A1623" s="3">
        <v>45589.0</v>
      </c>
      <c r="B1623" s="4">
        <v>0.35138888888888886</v>
      </c>
      <c r="C1623" s="5" t="s">
        <v>40</v>
      </c>
      <c r="D1623" s="5" t="s">
        <v>500</v>
      </c>
      <c r="E1623" s="6" t="s">
        <v>65</v>
      </c>
      <c r="F1623" s="7" t="s">
        <v>66</v>
      </c>
      <c r="G1623" s="6" t="str">
        <f>VLOOKUP(E1623,dicionario!$A$1:$C2022,2,0)</f>
        <v>Pitangus sulphutarus</v>
      </c>
      <c r="H1623" s="6" t="str">
        <f>VLOOKUP(E1623,dicionario!$A$1:$C2022,3,0)</f>
        <v>bem-te-vi</v>
      </c>
    </row>
    <row r="1624">
      <c r="A1624" s="3">
        <v>45589.0</v>
      </c>
      <c r="B1624" s="4">
        <v>0.35138888888888886</v>
      </c>
      <c r="C1624" s="5" t="s">
        <v>40</v>
      </c>
      <c r="D1624" s="5" t="s">
        <v>500</v>
      </c>
      <c r="E1624" s="6" t="s">
        <v>53</v>
      </c>
      <c r="F1624" s="7" t="s">
        <v>54</v>
      </c>
      <c r="G1624" s="6" t="str">
        <f>VLOOKUP(E1624,dicionario!$A$1:$C2023,2,0)</f>
        <v>Turnera subulata</v>
      </c>
      <c r="H1624" s="6" t="str">
        <f>VLOOKUP(E1624,dicionario!$A$1:$C2023,3,0)</f>
        <v>xanana</v>
      </c>
    </row>
    <row r="1625">
      <c r="A1625" s="3">
        <v>45589.0</v>
      </c>
      <c r="B1625" s="4">
        <v>0.35138888888888886</v>
      </c>
      <c r="C1625" s="5" t="s">
        <v>40</v>
      </c>
      <c r="D1625" s="5" t="s">
        <v>500</v>
      </c>
      <c r="E1625" s="6" t="s">
        <v>517</v>
      </c>
      <c r="F1625" s="7" t="s">
        <v>518</v>
      </c>
      <c r="G1625" s="6" t="str">
        <f>VLOOKUP(E1625,dicionario!$A$1:$C2024,2,0)</f>
        <v>Evolvulus nummularius</v>
      </c>
      <c r="H1625" s="6" t="str">
        <f>VLOOKUP(E1625,dicionario!$A$1:$C2024,3,0)</f>
        <v/>
      </c>
    </row>
    <row r="1626">
      <c r="A1626" s="3">
        <v>45589.0</v>
      </c>
      <c r="B1626" s="4">
        <v>0.3527777777777778</v>
      </c>
      <c r="C1626" s="5" t="s">
        <v>40</v>
      </c>
      <c r="D1626" s="5" t="s">
        <v>500</v>
      </c>
      <c r="E1626" s="6" t="s">
        <v>189</v>
      </c>
      <c r="F1626" s="7" t="s">
        <v>190</v>
      </c>
      <c r="G1626" s="6" t="str">
        <f>VLOOKUP(E1626,dicionario!$A$1:$C2025,2,0)</f>
        <v>Solanum paniculatum</v>
      </c>
      <c r="H1626" s="6" t="str">
        <f>VLOOKUP(E1626,dicionario!$A$1:$C2025,3,0)</f>
        <v>jurubeba</v>
      </c>
    </row>
    <row r="1627">
      <c r="A1627" s="3">
        <v>45589.0</v>
      </c>
      <c r="B1627" s="4">
        <v>0.3527777777777778</v>
      </c>
      <c r="C1627" s="5" t="s">
        <v>40</v>
      </c>
      <c r="D1627" s="5" t="s">
        <v>500</v>
      </c>
      <c r="E1627" s="6" t="s">
        <v>154</v>
      </c>
      <c r="F1627" s="7" t="s">
        <v>155</v>
      </c>
      <c r="G1627" s="6" t="str">
        <f>VLOOKUP(E1627,dicionario!$A$1:$C2026,2,0)</f>
        <v>Cyperus rotundus</v>
      </c>
      <c r="H1627" s="6" t="str">
        <f>VLOOKUP(E1627,dicionario!$A$1:$C2026,3,0)</f>
        <v>tiririca</v>
      </c>
    </row>
    <row r="1628">
      <c r="A1628" s="3">
        <v>45589.0</v>
      </c>
      <c r="B1628" s="4">
        <v>0.3527777777777778</v>
      </c>
      <c r="C1628" s="5" t="s">
        <v>40</v>
      </c>
      <c r="D1628" s="5" t="s">
        <v>500</v>
      </c>
      <c r="E1628" s="6" t="s">
        <v>86</v>
      </c>
      <c r="F1628" s="7" t="s">
        <v>502</v>
      </c>
      <c r="G1628" s="6" t="str">
        <f>VLOOKUP(E1628,dicionario!$A$1:$C2027,2,0)</f>
        <v>Coereba flaveola</v>
      </c>
      <c r="H1628" s="6" t="str">
        <f>VLOOKUP(E1628,dicionario!$A$1:$C2027,3,0)</f>
        <v>cambacica</v>
      </c>
    </row>
    <row r="1629">
      <c r="A1629" s="3">
        <v>45589.0</v>
      </c>
      <c r="B1629" s="4">
        <v>0.3527777777777778</v>
      </c>
      <c r="C1629" s="5" t="s">
        <v>40</v>
      </c>
      <c r="D1629" s="5" t="s">
        <v>500</v>
      </c>
      <c r="E1629" s="6" t="s">
        <v>338</v>
      </c>
      <c r="F1629" s="7" t="s">
        <v>238</v>
      </c>
      <c r="G1629" s="6" t="str">
        <f>VLOOKUP(E1629,dicionario!$A$1:$C2028,2,0)</f>
        <v>Atta</v>
      </c>
      <c r="H1629" s="6" t="str">
        <f>VLOOKUP(E1629,dicionario!$A$1:$C2028,3,0)</f>
        <v>saúva</v>
      </c>
    </row>
    <row r="1630">
      <c r="A1630" s="3">
        <v>45589.0</v>
      </c>
      <c r="B1630" s="4">
        <v>0.3527777777777778</v>
      </c>
      <c r="C1630" s="5" t="s">
        <v>40</v>
      </c>
      <c r="D1630" s="5" t="s">
        <v>500</v>
      </c>
      <c r="E1630" s="6" t="s">
        <v>514</v>
      </c>
      <c r="F1630" s="7" t="s">
        <v>515</v>
      </c>
      <c r="G1630" s="6" t="str">
        <f>VLOOKUP(E1630,dicionario!$A$1:$C2029,2,0)</f>
        <v>Aedes aegypti</v>
      </c>
      <c r="H1630" s="6" t="str">
        <f>VLOOKUP(E1630,dicionario!$A$1:$C2029,3,0)</f>
        <v>mosquito-da-dengue</v>
      </c>
    </row>
    <row r="1631">
      <c r="A1631" s="3">
        <v>45589.0</v>
      </c>
      <c r="B1631" s="4">
        <v>0.35347222222222224</v>
      </c>
      <c r="C1631" s="5" t="s">
        <v>40</v>
      </c>
      <c r="D1631" s="5" t="s">
        <v>500</v>
      </c>
      <c r="E1631" s="6" t="s">
        <v>225</v>
      </c>
      <c r="F1631" s="7" t="s">
        <v>226</v>
      </c>
      <c r="G1631" s="6" t="str">
        <f>VLOOKUP(E1631,dicionario!$A$1:$C2030,2,0)</f>
        <v>Passer domesticus</v>
      </c>
      <c r="H1631" s="6" t="str">
        <f>VLOOKUP(E1631,dicionario!$A$1:$C2030,3,0)</f>
        <v>pardal</v>
      </c>
    </row>
    <row r="1632">
      <c r="A1632" s="3">
        <v>45589.0</v>
      </c>
      <c r="B1632" s="4">
        <v>0.35347222222222224</v>
      </c>
      <c r="C1632" s="5" t="s">
        <v>40</v>
      </c>
      <c r="D1632" s="5" t="s">
        <v>500</v>
      </c>
      <c r="E1632" s="6" t="s">
        <v>113</v>
      </c>
      <c r="F1632" s="7" t="s">
        <v>114</v>
      </c>
      <c r="G1632" s="6" t="str">
        <f>VLOOKUP(E1632,dicionario!$A$1:$C2031,2,0)</f>
        <v>Columbina talpacoti</v>
      </c>
      <c r="H1632" s="6" t="str">
        <f>VLOOKUP(E1632,dicionario!$A$1:$C2031,3,0)</f>
        <v>rolinha-roxa</v>
      </c>
    </row>
    <row r="1633">
      <c r="A1633" s="3">
        <v>45589.0</v>
      </c>
      <c r="B1633" s="4">
        <v>0.3541666666666667</v>
      </c>
      <c r="C1633" s="5" t="s">
        <v>40</v>
      </c>
      <c r="D1633" s="5" t="s">
        <v>500</v>
      </c>
      <c r="E1633" s="6" t="s">
        <v>215</v>
      </c>
      <c r="F1633" s="7" t="s">
        <v>216</v>
      </c>
      <c r="G1633" s="6" t="str">
        <f>VLOOKUP(E1633,dicionario!$A$1:$C2032,2,0)</f>
        <v>Pygochelidon cyanoleuca</v>
      </c>
      <c r="H1633" s="6" t="str">
        <f>VLOOKUP(E1633,dicionario!$A$1:$C2032,3,0)</f>
        <v>andorinha-pequena-de-casa</v>
      </c>
    </row>
    <row r="1634">
      <c r="A1634" s="3">
        <v>45589.0</v>
      </c>
      <c r="B1634" s="4">
        <v>0.3541666666666667</v>
      </c>
      <c r="C1634" s="5" t="s">
        <v>40</v>
      </c>
      <c r="D1634" s="5" t="s">
        <v>500</v>
      </c>
      <c r="E1634" s="8" t="s">
        <v>581</v>
      </c>
      <c r="F1634" s="7" t="s">
        <v>582</v>
      </c>
      <c r="G1634" s="6" t="str">
        <f>VLOOKUP(E1634,dicionario!$A$1:$C2033,2,0)</f>
        <v>Phoebis marcellina</v>
      </c>
      <c r="H1634" s="6" t="str">
        <f>VLOOKUP(E1634,dicionario!$A$1:$C2033,3,0)</f>
        <v>borboleta-gema</v>
      </c>
    </row>
    <row r="1635">
      <c r="A1635" s="3">
        <v>45589.0</v>
      </c>
      <c r="B1635" s="4">
        <v>0.35625</v>
      </c>
      <c r="C1635" s="5" t="s">
        <v>40</v>
      </c>
      <c r="D1635" s="5" t="s">
        <v>500</v>
      </c>
      <c r="E1635" s="6" t="s">
        <v>227</v>
      </c>
      <c r="F1635" s="7" t="s">
        <v>228</v>
      </c>
      <c r="G1635" s="6" t="str">
        <f>VLOOKUP(E1635,dicionario!$A$1:$C2034,2,0)</f>
        <v>Indigofera hirsuta</v>
      </c>
      <c r="H1635" s="6" t="str">
        <f>VLOOKUP(E1635,dicionario!$A$1:$C2034,3,0)</f>
        <v>anileira</v>
      </c>
    </row>
    <row r="1636">
      <c r="A1636" s="3">
        <v>45589.0</v>
      </c>
      <c r="B1636" s="4">
        <v>0.35625</v>
      </c>
      <c r="C1636" s="5" t="s">
        <v>40</v>
      </c>
      <c r="D1636" s="5" t="s">
        <v>500</v>
      </c>
      <c r="E1636" s="6" t="s">
        <v>135</v>
      </c>
      <c r="F1636" s="7" t="s">
        <v>136</v>
      </c>
      <c r="G1636" s="6" t="str">
        <f>VLOOKUP(E1636,dicionario!$A$1:$C2035,2,0)</f>
        <v>Tridax procumbens</v>
      </c>
      <c r="H1636" s="6" t="str">
        <f>VLOOKUP(E1636,dicionario!$A$1:$C2035,3,0)</f>
        <v>erva-de-touro</v>
      </c>
    </row>
    <row r="1637">
      <c r="A1637" s="3">
        <v>45589.0</v>
      </c>
      <c r="B1637" s="4">
        <v>0.35694444444444445</v>
      </c>
      <c r="C1637" s="5" t="s">
        <v>40</v>
      </c>
      <c r="D1637" s="5" t="s">
        <v>500</v>
      </c>
      <c r="E1637" s="6" t="s">
        <v>239</v>
      </c>
      <c r="F1637" s="7" t="s">
        <v>240</v>
      </c>
      <c r="G1637" s="6" t="str">
        <f>VLOOKUP(E1637,dicionario!$A$1:$C2036,2,0)</f>
        <v>Gomphrena celosioides</v>
      </c>
      <c r="H1637" s="6" t="str">
        <f>VLOOKUP(E1637,dicionario!$A$1:$C2036,3,0)</f>
        <v>perpétua-branca</v>
      </c>
    </row>
    <row r="1638">
      <c r="A1638" s="3">
        <v>45589.0</v>
      </c>
      <c r="B1638" s="4">
        <v>0.35694444444444445</v>
      </c>
      <c r="C1638" s="5" t="s">
        <v>40</v>
      </c>
      <c r="D1638" s="5" t="s">
        <v>500</v>
      </c>
      <c r="E1638" s="6" t="s">
        <v>135</v>
      </c>
      <c r="F1638" s="7" t="s">
        <v>136</v>
      </c>
      <c r="G1638" s="6" t="str">
        <f>VLOOKUP(E1638,dicionario!$A$1:$C2037,2,0)</f>
        <v>Tridax procumbens</v>
      </c>
      <c r="H1638" s="6" t="str">
        <f>VLOOKUP(E1638,dicionario!$A$1:$C2037,3,0)</f>
        <v>erva-de-touro</v>
      </c>
    </row>
    <row r="1639">
      <c r="A1639" s="3">
        <v>45589.0</v>
      </c>
      <c r="B1639" s="4">
        <v>0.35694444444444445</v>
      </c>
      <c r="C1639" s="5" t="s">
        <v>40</v>
      </c>
      <c r="D1639" s="5" t="s">
        <v>500</v>
      </c>
      <c r="E1639" s="6" t="s">
        <v>150</v>
      </c>
      <c r="F1639" s="7" t="s">
        <v>151</v>
      </c>
      <c r="G1639" s="6" t="str">
        <f>VLOOKUP(E1639,dicionario!$A$1:$C2038,2,0)</f>
        <v>Amaranthus viridis</v>
      </c>
      <c r="H1639" s="6" t="str">
        <f>VLOOKUP(E1639,dicionario!$A$1:$C2038,3,0)</f>
        <v>caruru-de-mancha</v>
      </c>
    </row>
    <row r="1640">
      <c r="A1640" s="3">
        <v>45589.0</v>
      </c>
      <c r="B1640" s="4">
        <v>0.35694444444444445</v>
      </c>
      <c r="C1640" s="5" t="s">
        <v>40</v>
      </c>
      <c r="D1640" s="5" t="s">
        <v>500</v>
      </c>
      <c r="E1640" s="6" t="s">
        <v>535</v>
      </c>
      <c r="F1640" s="7" t="s">
        <v>395</v>
      </c>
      <c r="G1640" s="6" t="str">
        <f>VLOOKUP(E1640,dicionario!$A$1:$C2039,2,0)</f>
        <v>Odonata</v>
      </c>
      <c r="H1640" s="6" t="str">
        <f>VLOOKUP(E1640,dicionario!$A$1:$C2039,3,0)</f>
        <v>libélula</v>
      </c>
    </row>
    <row r="1641">
      <c r="A1641" s="3">
        <v>45589.0</v>
      </c>
      <c r="B1641" s="4">
        <v>0.3576388888888889</v>
      </c>
      <c r="C1641" s="5" t="s">
        <v>40</v>
      </c>
      <c r="D1641" s="5" t="s">
        <v>500</v>
      </c>
      <c r="E1641" s="6" t="s">
        <v>146</v>
      </c>
      <c r="F1641" s="7" t="s">
        <v>147</v>
      </c>
      <c r="G1641" s="6" t="str">
        <f>VLOOKUP(E1641,dicionario!$A$1:$C2040,2,0)</f>
        <v>Euphorbia hirta</v>
      </c>
      <c r="H1641" s="6" t="str">
        <f>VLOOKUP(E1641,dicionario!$A$1:$C2040,3,0)</f>
        <v>erva-de-santa-luzia</v>
      </c>
    </row>
    <row r="1642">
      <c r="A1642" s="3">
        <v>45589.0</v>
      </c>
      <c r="B1642" s="4">
        <v>0.35833333333333334</v>
      </c>
      <c r="C1642" s="5" t="s">
        <v>33</v>
      </c>
      <c r="D1642" s="5" t="s">
        <v>500</v>
      </c>
      <c r="E1642" s="6" t="s">
        <v>53</v>
      </c>
      <c r="F1642" s="7" t="s">
        <v>54</v>
      </c>
      <c r="G1642" s="6" t="str">
        <f>VLOOKUP(E1642,dicionario!$A$1:$C2041,2,0)</f>
        <v>Turnera subulata</v>
      </c>
      <c r="H1642" s="6" t="str">
        <f>VLOOKUP(E1642,dicionario!$A$1:$C2041,3,0)</f>
        <v>xanana</v>
      </c>
    </row>
    <row r="1643">
      <c r="A1643" s="3">
        <v>45589.0</v>
      </c>
      <c r="B1643" s="4">
        <v>0.35833333333333334</v>
      </c>
      <c r="C1643" s="5" t="s">
        <v>33</v>
      </c>
      <c r="D1643" s="5" t="s">
        <v>500</v>
      </c>
      <c r="E1643" s="8" t="s">
        <v>38</v>
      </c>
      <c r="F1643" s="5" t="s">
        <v>39</v>
      </c>
      <c r="G1643" s="6" t="str">
        <f>VLOOKUP(E1643,dicionario!$A$1:$C2042,2,0)</f>
        <v>Troglodytes musculus</v>
      </c>
      <c r="H1643" s="6" t="str">
        <f>VLOOKUP(E1643,dicionario!$A$1:$C2042,3,0)</f>
        <v>curruíra</v>
      </c>
    </row>
    <row r="1644">
      <c r="A1644" s="3">
        <v>45589.0</v>
      </c>
      <c r="B1644" s="4">
        <v>0.35833333333333334</v>
      </c>
      <c r="C1644" s="5" t="s">
        <v>33</v>
      </c>
      <c r="D1644" s="5" t="s">
        <v>500</v>
      </c>
      <c r="E1644" s="6" t="s">
        <v>271</v>
      </c>
      <c r="F1644" s="7" t="s">
        <v>272</v>
      </c>
      <c r="G1644" s="6" t="str">
        <f>VLOOKUP(E1644,dicionario!$A$1:$C2043,2,0)</f>
        <v>Cyanthillium cinereum</v>
      </c>
      <c r="H1644" s="6" t="str">
        <f>VLOOKUP(E1644,dicionario!$A$1:$C2043,3,0)</f>
        <v>emília</v>
      </c>
    </row>
    <row r="1645">
      <c r="A1645" s="3">
        <v>45589.0</v>
      </c>
      <c r="B1645" s="4">
        <v>0.35833333333333334</v>
      </c>
      <c r="C1645" s="5" t="s">
        <v>33</v>
      </c>
      <c r="D1645" s="5" t="s">
        <v>500</v>
      </c>
      <c r="E1645" s="6" t="s">
        <v>122</v>
      </c>
      <c r="F1645" s="7" t="s">
        <v>123</v>
      </c>
      <c r="G1645" s="6" t="str">
        <f>VLOOKUP(E1645,dicionario!$A$1:$C2044,2,0)</f>
        <v>Todirostrum cinereum</v>
      </c>
      <c r="H1645" s="6" t="str">
        <f>VLOOKUP(E1645,dicionario!$A$1:$C2044,3,0)</f>
        <v>ferreirinho-relógio</v>
      </c>
    </row>
    <row r="1646">
      <c r="A1646" s="3">
        <v>45589.0</v>
      </c>
      <c r="B1646" s="4">
        <v>0.35833333333333334</v>
      </c>
      <c r="C1646" s="5" t="s">
        <v>33</v>
      </c>
      <c r="D1646" s="5" t="s">
        <v>500</v>
      </c>
      <c r="E1646" s="6" t="s">
        <v>584</v>
      </c>
      <c r="F1646" s="7" t="s">
        <v>583</v>
      </c>
      <c r="G1646" s="6" t="str">
        <f>VLOOKUP(E1646,dicionario!$A$1:$C2045,2,0)</f>
        <v>Solanum</v>
      </c>
      <c r="H1646" s="6" t="str">
        <f>VLOOKUP(E1646,dicionario!$A$1:$C2045,3,0)</f>
        <v/>
      </c>
    </row>
    <row r="1647">
      <c r="A1647" s="3">
        <v>45589.0</v>
      </c>
      <c r="B1647" s="4">
        <v>0.35833333333333334</v>
      </c>
      <c r="C1647" s="5" t="s">
        <v>33</v>
      </c>
      <c r="D1647" s="5" t="s">
        <v>500</v>
      </c>
      <c r="E1647" s="6" t="s">
        <v>109</v>
      </c>
      <c r="F1647" s="7" t="s">
        <v>110</v>
      </c>
      <c r="G1647" s="6" t="str">
        <f>VLOOKUP(E1647,dicionario!$A$1:$C2046,2,0)</f>
        <v>Tillandsia stricta</v>
      </c>
      <c r="H1647" s="6" t="str">
        <f>VLOOKUP(E1647,dicionario!$A$1:$C2046,3,0)</f>
        <v>cravo-do-mato</v>
      </c>
    </row>
    <row r="1648">
      <c r="A1648" s="3">
        <v>45589.0</v>
      </c>
      <c r="B1648" s="4">
        <v>0.35833333333333334</v>
      </c>
      <c r="C1648" s="5" t="s">
        <v>33</v>
      </c>
      <c r="D1648" s="5" t="s">
        <v>500</v>
      </c>
      <c r="E1648" s="6" t="s">
        <v>86</v>
      </c>
      <c r="F1648" s="7" t="s">
        <v>502</v>
      </c>
      <c r="G1648" s="6" t="str">
        <f>VLOOKUP(E1648,dicionario!$A$1:$C2047,2,0)</f>
        <v>Coereba flaveola</v>
      </c>
      <c r="H1648" s="6" t="str">
        <f>VLOOKUP(E1648,dicionario!$A$1:$C2047,3,0)</f>
        <v>cambacica</v>
      </c>
    </row>
    <row r="1649">
      <c r="A1649" s="3">
        <v>45589.0</v>
      </c>
      <c r="B1649" s="4">
        <v>0.35833333333333334</v>
      </c>
      <c r="C1649" s="5" t="s">
        <v>33</v>
      </c>
      <c r="D1649" s="5" t="s">
        <v>500</v>
      </c>
      <c r="E1649" s="6" t="s">
        <v>113</v>
      </c>
      <c r="F1649" s="7" t="s">
        <v>114</v>
      </c>
      <c r="G1649" s="6" t="str">
        <f>VLOOKUP(E1649,dicionario!$A$1:$C2048,2,0)</f>
        <v>Columbina talpacoti</v>
      </c>
      <c r="H1649" s="6" t="str">
        <f>VLOOKUP(E1649,dicionario!$A$1:$C2048,3,0)</f>
        <v>rolinha-roxa</v>
      </c>
    </row>
    <row r="1650">
      <c r="A1650" s="3">
        <v>45589.0</v>
      </c>
      <c r="B1650" s="4">
        <v>0.35833333333333334</v>
      </c>
      <c r="C1650" s="5" t="s">
        <v>33</v>
      </c>
      <c r="D1650" s="5" t="s">
        <v>500</v>
      </c>
      <c r="E1650" s="6" t="s">
        <v>20</v>
      </c>
      <c r="F1650" s="7" t="s">
        <v>21</v>
      </c>
      <c r="G1650" s="6" t="str">
        <f>VLOOKUP(E1650,dicionario!$A$1:$C2049,2,0)</f>
        <v>Sicalis flaveola</v>
      </c>
      <c r="H1650" s="6" t="str">
        <f>VLOOKUP(E1650,dicionario!$A$1:$C2049,3,0)</f>
        <v>canário-da-terra</v>
      </c>
    </row>
    <row r="1651">
      <c r="A1651" s="3">
        <v>45589.0</v>
      </c>
      <c r="B1651" s="4">
        <v>0.3590277777777778</v>
      </c>
      <c r="C1651" s="5" t="s">
        <v>33</v>
      </c>
      <c r="D1651" s="5" t="s">
        <v>500</v>
      </c>
      <c r="E1651" s="8" t="s">
        <v>585</v>
      </c>
      <c r="F1651" s="7" t="s">
        <v>586</v>
      </c>
      <c r="G1651" s="6" t="str">
        <f>VLOOKUP(E1651,dicionario!$A$1:$C2050,2,0)</f>
        <v>#N/A</v>
      </c>
      <c r="H1651" s="6" t="str">
        <f>VLOOKUP(E1651,dicionario!$A$1:$C2050,3,0)</f>
        <v>#N/A</v>
      </c>
    </row>
    <row r="1652">
      <c r="A1652" s="3">
        <v>45589.0</v>
      </c>
      <c r="B1652" s="4">
        <v>0.3590277777777778</v>
      </c>
      <c r="C1652" s="5" t="s">
        <v>33</v>
      </c>
      <c r="D1652" s="5" t="s">
        <v>500</v>
      </c>
      <c r="E1652" s="6" t="s">
        <v>122</v>
      </c>
      <c r="F1652" s="7" t="s">
        <v>123</v>
      </c>
      <c r="G1652" s="6" t="str">
        <f>VLOOKUP(E1652,dicionario!$A$1:$C2051,2,0)</f>
        <v>Todirostrum cinereum</v>
      </c>
      <c r="H1652" s="6" t="str">
        <f>VLOOKUP(E1652,dicionario!$A$1:$C2051,3,0)</f>
        <v>ferreirinho-relógio</v>
      </c>
    </row>
    <row r="1653">
      <c r="A1653" s="3">
        <v>45589.0</v>
      </c>
      <c r="B1653" s="4">
        <v>0.3590277777777778</v>
      </c>
      <c r="C1653" s="5" t="s">
        <v>33</v>
      </c>
      <c r="D1653" s="5" t="s">
        <v>500</v>
      </c>
      <c r="E1653" s="30" t="s">
        <v>587</v>
      </c>
      <c r="F1653" s="31"/>
      <c r="G1653" s="6" t="str">
        <f>VLOOKUP(E1653,dicionario!$A$1:$C2052,2,0)</f>
        <v>#N/A</v>
      </c>
      <c r="H1653" s="6" t="str">
        <f>VLOOKUP(E1653,dicionario!$A$1:$C2052,3,0)</f>
        <v>#N/A</v>
      </c>
    </row>
    <row r="1654">
      <c r="A1654" s="3">
        <v>45589.0</v>
      </c>
      <c r="B1654" s="4">
        <v>0.3597222222222222</v>
      </c>
      <c r="C1654" s="5" t="s">
        <v>33</v>
      </c>
      <c r="D1654" s="5" t="s">
        <v>500</v>
      </c>
      <c r="E1654" s="6" t="s">
        <v>162</v>
      </c>
      <c r="F1654" s="7" t="s">
        <v>42</v>
      </c>
      <c r="G1654" s="6" t="str">
        <f>VLOOKUP(E1654,dicionario!$A$1:$C2053,2,0)</f>
        <v>Fluvicola nengeta</v>
      </c>
      <c r="H1654" s="6" t="str">
        <f>VLOOKUP(E1654,dicionario!$A$1:$C2053,3,0)</f>
        <v>lavadeira-mascarada</v>
      </c>
    </row>
    <row r="1655">
      <c r="A1655" s="3">
        <v>45589.0</v>
      </c>
      <c r="B1655" s="4">
        <v>0.3597222222222222</v>
      </c>
      <c r="C1655" s="5" t="s">
        <v>33</v>
      </c>
      <c r="D1655" s="5" t="s">
        <v>500</v>
      </c>
      <c r="E1655" s="32" t="s">
        <v>588</v>
      </c>
      <c r="F1655" s="7" t="s">
        <v>589</v>
      </c>
      <c r="G1655" s="6" t="str">
        <f>VLOOKUP(E1655,dicionario!$A$1:$C2054,2,0)</f>
        <v>#N/A</v>
      </c>
      <c r="H1655" s="6" t="str">
        <f>VLOOKUP(E1655,dicionario!$A$1:$C2054,3,0)</f>
        <v>#N/A</v>
      </c>
    </row>
    <row r="1656">
      <c r="A1656" s="3">
        <v>45589.0</v>
      </c>
      <c r="B1656" s="4">
        <v>0.36041666666666666</v>
      </c>
      <c r="C1656" s="5" t="s">
        <v>33</v>
      </c>
      <c r="D1656" s="5" t="s">
        <v>500</v>
      </c>
      <c r="E1656" s="6" t="s">
        <v>375</v>
      </c>
      <c r="F1656" s="7" t="s">
        <v>35</v>
      </c>
      <c r="G1656" s="6" t="str">
        <f>VLOOKUP(E1656,dicionario!$A$1:$C2055,2,0)</f>
        <v>Neoponera foetida</v>
      </c>
      <c r="H1656" s="6" t="str">
        <f>VLOOKUP(E1656,dicionario!$A$1:$C2055,3,0)</f>
        <v/>
      </c>
    </row>
    <row r="1657">
      <c r="A1657" s="3">
        <v>45589.0</v>
      </c>
      <c r="B1657" s="4">
        <v>0.36180555555555555</v>
      </c>
      <c r="C1657" s="5" t="s">
        <v>33</v>
      </c>
      <c r="D1657" s="5" t="s">
        <v>500</v>
      </c>
      <c r="E1657" s="18" t="s">
        <v>235</v>
      </c>
      <c r="F1657" s="7" t="s">
        <v>236</v>
      </c>
      <c r="G1657" s="6" t="str">
        <f>VLOOKUP(E1657,dicionario!$A$1:$C2056,2,0)</f>
        <v>Leucaena leucocephala</v>
      </c>
      <c r="H1657" s="6" t="str">
        <f>VLOOKUP(E1657,dicionario!$A$1:$C2056,3,0)</f>
        <v>leucena</v>
      </c>
    </row>
    <row r="1658">
      <c r="A1658" s="3">
        <v>45589.0</v>
      </c>
      <c r="B1658" s="4">
        <v>0.3625</v>
      </c>
      <c r="C1658" s="5" t="s">
        <v>33</v>
      </c>
      <c r="D1658" s="5" t="s">
        <v>500</v>
      </c>
      <c r="E1658" s="18" t="s">
        <v>215</v>
      </c>
      <c r="F1658" s="7" t="s">
        <v>216</v>
      </c>
      <c r="G1658" s="6" t="str">
        <f>VLOOKUP(E1658,dicionario!$A$1:$C2057,2,0)</f>
        <v>Pygochelidon cyanoleuca</v>
      </c>
      <c r="H1658" s="6" t="str">
        <f>VLOOKUP(E1658,dicionario!$A$1:$C2057,3,0)</f>
        <v>andorinha-pequena-de-casa</v>
      </c>
    </row>
    <row r="1659">
      <c r="A1659" s="3">
        <v>45589.0</v>
      </c>
      <c r="B1659" s="4">
        <v>0.36319444444444443</v>
      </c>
      <c r="C1659" s="5" t="s">
        <v>26</v>
      </c>
      <c r="D1659" s="5" t="s">
        <v>500</v>
      </c>
      <c r="E1659" s="6" t="s">
        <v>60</v>
      </c>
      <c r="F1659" s="7" t="s">
        <v>61</v>
      </c>
      <c r="G1659" s="6" t="str">
        <f>VLOOKUP(E1659,dicionario!$A$1:$C2058,2,0)</f>
        <v>Vanellus chilensis</v>
      </c>
      <c r="H1659" s="6" t="str">
        <f>VLOOKUP(E1659,dicionario!$A$1:$C2058,3,0)</f>
        <v>quero-quero</v>
      </c>
    </row>
    <row r="1660">
      <c r="A1660" s="3">
        <v>45589.0</v>
      </c>
      <c r="B1660" s="4">
        <v>0.36319444444444443</v>
      </c>
      <c r="C1660" s="5" t="s">
        <v>26</v>
      </c>
      <c r="D1660" s="5" t="s">
        <v>500</v>
      </c>
      <c r="E1660" s="6" t="s">
        <v>217</v>
      </c>
      <c r="F1660" s="7" t="s">
        <v>218</v>
      </c>
      <c r="G1660" s="6" t="str">
        <f>VLOOKUP(E1660,dicionario!$A$1:$C2059,2,0)</f>
        <v>Athene cunicularia</v>
      </c>
      <c r="H1660" s="6" t="str">
        <f>VLOOKUP(E1660,dicionario!$A$1:$C2059,3,0)</f>
        <v>coruja-buraqueira</v>
      </c>
    </row>
    <row r="1661">
      <c r="A1661" s="3">
        <v>45589.0</v>
      </c>
      <c r="B1661" s="4">
        <v>0.36319444444444443</v>
      </c>
      <c r="C1661" s="5" t="s">
        <v>26</v>
      </c>
      <c r="D1661" s="5" t="s">
        <v>500</v>
      </c>
      <c r="E1661" s="6" t="s">
        <v>535</v>
      </c>
      <c r="F1661" s="5" t="s">
        <v>395</v>
      </c>
      <c r="G1661" s="6" t="str">
        <f>VLOOKUP(E1661,dicionario!$A$1:$C2060,2,0)</f>
        <v>Odonata</v>
      </c>
      <c r="H1661" s="6" t="str">
        <f>VLOOKUP(E1661,dicionario!$A$1:$C2060,3,0)</f>
        <v>libélula</v>
      </c>
    </row>
    <row r="1662">
      <c r="A1662" s="3">
        <v>45589.0</v>
      </c>
      <c r="B1662" s="4">
        <v>0.36319444444444443</v>
      </c>
      <c r="C1662" s="5" t="s">
        <v>26</v>
      </c>
      <c r="D1662" s="5" t="s">
        <v>500</v>
      </c>
      <c r="E1662" s="6" t="s">
        <v>109</v>
      </c>
      <c r="F1662" s="7" t="s">
        <v>110</v>
      </c>
      <c r="G1662" s="6" t="str">
        <f>VLOOKUP(E1662,dicionario!$A$1:$C2061,2,0)</f>
        <v>Tillandsia stricta</v>
      </c>
      <c r="H1662" s="6" t="str">
        <f>VLOOKUP(E1662,dicionario!$A$1:$C2061,3,0)</f>
        <v>cravo-do-mato</v>
      </c>
    </row>
    <row r="1663">
      <c r="A1663" s="3">
        <v>45589.0</v>
      </c>
      <c r="B1663" s="4">
        <v>0.36319444444444443</v>
      </c>
      <c r="C1663" s="5" t="s">
        <v>26</v>
      </c>
      <c r="D1663" s="5" t="s">
        <v>500</v>
      </c>
      <c r="E1663" s="6" t="s">
        <v>227</v>
      </c>
      <c r="F1663" s="7" t="s">
        <v>228</v>
      </c>
      <c r="G1663" s="6" t="str">
        <f>VLOOKUP(E1663,dicionario!$A$1:$C2062,2,0)</f>
        <v>Indigofera hirsuta</v>
      </c>
      <c r="H1663" s="6" t="str">
        <f>VLOOKUP(E1663,dicionario!$A$1:$C2062,3,0)</f>
        <v>anileira</v>
      </c>
    </row>
    <row r="1664">
      <c r="A1664" s="3">
        <v>45589.0</v>
      </c>
      <c r="B1664" s="4">
        <v>0.36319444444444443</v>
      </c>
      <c r="C1664" s="5" t="s">
        <v>26</v>
      </c>
      <c r="D1664" s="5" t="s">
        <v>500</v>
      </c>
      <c r="E1664" s="6" t="s">
        <v>298</v>
      </c>
      <c r="F1664" s="5" t="s">
        <v>299</v>
      </c>
      <c r="G1664" s="6" t="str">
        <f>VLOOKUP(E1664,dicionario!$A$1:$C2063,2,0)</f>
        <v>Alysicarpus vaginalis</v>
      </c>
      <c r="H1664" s="6" t="str">
        <f>VLOOKUP(E1664,dicionario!$A$1:$C2063,3,0)</f>
        <v/>
      </c>
    </row>
    <row r="1665">
      <c r="A1665" s="3">
        <v>45589.0</v>
      </c>
      <c r="B1665" s="4">
        <v>0.36319444444444443</v>
      </c>
      <c r="C1665" s="5" t="s">
        <v>26</v>
      </c>
      <c r="D1665" s="5" t="s">
        <v>500</v>
      </c>
      <c r="E1665" s="6" t="s">
        <v>353</v>
      </c>
      <c r="F1665" s="7" t="s">
        <v>354</v>
      </c>
      <c r="G1665" s="6" t="str">
        <f>VLOOKUP(E1665,dicionario!$A$1:$C2064,2,0)</f>
        <v>Desmodium incanum</v>
      </c>
      <c r="H1665" s="6" t="str">
        <f>VLOOKUP(E1665,dicionario!$A$1:$C2064,3,0)</f>
        <v>pega-pega</v>
      </c>
    </row>
    <row r="1666">
      <c r="A1666" s="3">
        <v>45589.0</v>
      </c>
      <c r="B1666" s="4">
        <v>0.3638888888888889</v>
      </c>
      <c r="C1666" s="5" t="s">
        <v>26</v>
      </c>
      <c r="D1666" s="5" t="s">
        <v>500</v>
      </c>
      <c r="E1666" s="6" t="s">
        <v>243</v>
      </c>
      <c r="F1666" s="7" t="s">
        <v>244</v>
      </c>
      <c r="G1666" s="6" t="str">
        <f>VLOOKUP(E1666,dicionario!$A$1:$C2065,2,0)</f>
        <v>Macroptilium atropurpureum</v>
      </c>
      <c r="H1666" s="6" t="str">
        <f>VLOOKUP(E1666,dicionario!$A$1:$C2065,3,0)</f>
        <v>feijão-de-pombo</v>
      </c>
    </row>
    <row r="1667">
      <c r="A1667" s="3">
        <v>45589.0</v>
      </c>
      <c r="B1667" s="4">
        <v>0.3638888888888889</v>
      </c>
      <c r="C1667" s="5" t="s">
        <v>26</v>
      </c>
      <c r="D1667" s="5" t="s">
        <v>500</v>
      </c>
      <c r="E1667" s="6" t="s">
        <v>154</v>
      </c>
      <c r="F1667" s="7" t="s">
        <v>155</v>
      </c>
      <c r="G1667" s="6" t="str">
        <f>VLOOKUP(E1667,dicionario!$A$1:$C2066,2,0)</f>
        <v>Cyperus rotundus</v>
      </c>
      <c r="H1667" s="6" t="str">
        <f>VLOOKUP(E1667,dicionario!$A$1:$C2066,3,0)</f>
        <v>tiririca</v>
      </c>
    </row>
    <row r="1668">
      <c r="A1668" s="3">
        <v>45589.0</v>
      </c>
      <c r="B1668" s="4">
        <v>0.3638888888888889</v>
      </c>
      <c r="C1668" s="5" t="s">
        <v>26</v>
      </c>
      <c r="D1668" s="5" t="s">
        <v>500</v>
      </c>
      <c r="E1668" s="6" t="s">
        <v>253</v>
      </c>
      <c r="F1668" s="7" t="s">
        <v>254</v>
      </c>
      <c r="G1668" s="6" t="str">
        <f>VLOOKUP(E1668,dicionario!$A$1:$C2067,2,0)</f>
        <v>Panicum maximum</v>
      </c>
      <c r="H1668" s="6" t="str">
        <f>VLOOKUP(E1668,dicionario!$A$1:$C2067,3,0)</f>
        <v>capim-colonião</v>
      </c>
    </row>
    <row r="1669">
      <c r="A1669" s="3">
        <v>45589.0</v>
      </c>
      <c r="B1669" s="4">
        <v>0.3638888888888889</v>
      </c>
      <c r="C1669" s="5" t="s">
        <v>26</v>
      </c>
      <c r="D1669" s="5" t="s">
        <v>500</v>
      </c>
      <c r="E1669" s="6" t="s">
        <v>41</v>
      </c>
      <c r="F1669" s="7" t="s">
        <v>45</v>
      </c>
      <c r="G1669" s="6" t="str">
        <f>VLOOKUP(E1669,dicionario!$A$1:$C2068,2,0)</f>
        <v>Mimosa pudica</v>
      </c>
      <c r="H1669" s="6" t="str">
        <f>VLOOKUP(E1669,dicionario!$A$1:$C2068,3,0)</f>
        <v>dormideira</v>
      </c>
    </row>
    <row r="1670">
      <c r="A1670" s="3">
        <v>45589.0</v>
      </c>
      <c r="B1670" s="4">
        <v>0.3638888888888889</v>
      </c>
      <c r="C1670" s="5" t="s">
        <v>26</v>
      </c>
      <c r="D1670" s="5" t="s">
        <v>500</v>
      </c>
      <c r="E1670" s="6" t="s">
        <v>401</v>
      </c>
      <c r="F1670" s="7" t="s">
        <v>464</v>
      </c>
      <c r="G1670" s="6" t="str">
        <f>VLOOKUP(E1670,dicionario!$A$1:$C2069,2,0)</f>
        <v>Cissus verticillata</v>
      </c>
      <c r="H1670" s="6" t="str">
        <f>VLOOKUP(E1670,dicionario!$A$1:$C2069,3,0)</f>
        <v>uva-do-mato</v>
      </c>
    </row>
    <row r="1671">
      <c r="A1671" s="3">
        <v>45589.0</v>
      </c>
      <c r="B1671" s="4">
        <v>0.3638888888888889</v>
      </c>
      <c r="C1671" s="5" t="s">
        <v>26</v>
      </c>
      <c r="D1671" s="5" t="s">
        <v>500</v>
      </c>
      <c r="E1671" s="6" t="s">
        <v>237</v>
      </c>
      <c r="F1671" s="7" t="s">
        <v>238</v>
      </c>
      <c r="G1671" s="6" t="str">
        <f>VLOOKUP(E1671,dicionario!$A$1:$C2070,2,0)</f>
        <v>Acromyrmex</v>
      </c>
      <c r="H1671" s="6" t="str">
        <f>VLOOKUP(E1671,dicionario!$A$1:$C2070,3,0)</f>
        <v>quenquén</v>
      </c>
    </row>
    <row r="1672">
      <c r="A1672" s="3">
        <v>45589.0</v>
      </c>
      <c r="B1672" s="4">
        <v>0.36527777777777776</v>
      </c>
      <c r="C1672" s="5" t="s">
        <v>26</v>
      </c>
      <c r="D1672" s="5" t="s">
        <v>500</v>
      </c>
      <c r="E1672" s="6" t="s">
        <v>366</v>
      </c>
      <c r="F1672" s="7" t="s">
        <v>367</v>
      </c>
      <c r="G1672" s="6" t="str">
        <f>VLOOKUP(E1672,dicionario!$A$1:$C2071,2,0)</f>
        <v>Alternanthera ficoidea</v>
      </c>
      <c r="H1672" s="6" t="str">
        <f>VLOOKUP(E1672,dicionario!$A$1:$C2071,3,0)</f>
        <v>quebra-panela</v>
      </c>
    </row>
    <row r="1673">
      <c r="A1673" s="3">
        <v>45589.0</v>
      </c>
      <c r="B1673" s="4">
        <v>0.36527777777777776</v>
      </c>
      <c r="C1673" s="5" t="s">
        <v>26</v>
      </c>
      <c r="D1673" s="5" t="s">
        <v>500</v>
      </c>
      <c r="E1673" s="6" t="s">
        <v>69</v>
      </c>
      <c r="F1673" s="7" t="s">
        <v>71</v>
      </c>
      <c r="G1673" s="6" t="str">
        <f>VLOOKUP(E1673,dicionario!$A$1:$C2072,2,0)</f>
        <v>Talinum fruticosum</v>
      </c>
      <c r="H1673" s="6" t="str">
        <f>VLOOKUP(E1673,dicionario!$A$1:$C2072,3,0)</f>
        <v>beldroega-grande</v>
      </c>
    </row>
    <row r="1674">
      <c r="A1674" s="3">
        <v>45589.0</v>
      </c>
      <c r="B1674" s="4">
        <v>0.36527777777777776</v>
      </c>
      <c r="C1674" s="5" t="s">
        <v>26</v>
      </c>
      <c r="D1674" s="5" t="s">
        <v>500</v>
      </c>
      <c r="E1674" s="6" t="s">
        <v>14</v>
      </c>
      <c r="F1674" s="7" t="s">
        <v>15</v>
      </c>
      <c r="G1674" s="6" t="str">
        <f>VLOOKUP(E1674,dicionario!$A$1:$C2073,2,0)</f>
        <v>Spermacoce verticillata</v>
      </c>
      <c r="H1674" s="6" t="str">
        <f>VLOOKUP(E1674,dicionario!$A$1:$C2073,3,0)</f>
        <v>vassourinha-de-botão</v>
      </c>
    </row>
    <row r="1675">
      <c r="A1675" s="3">
        <v>45589.0</v>
      </c>
      <c r="B1675" s="4">
        <v>0.36527777777777776</v>
      </c>
      <c r="C1675" s="5" t="s">
        <v>26</v>
      </c>
      <c r="D1675" s="5" t="s">
        <v>500</v>
      </c>
      <c r="E1675" s="6" t="s">
        <v>53</v>
      </c>
      <c r="F1675" s="7" t="s">
        <v>54</v>
      </c>
      <c r="G1675" s="6" t="str">
        <f>VLOOKUP(E1675,dicionario!$A$1:$C2074,2,0)</f>
        <v>Turnera subulata</v>
      </c>
      <c r="H1675" s="6" t="str">
        <f>VLOOKUP(E1675,dicionario!$A$1:$C2074,3,0)</f>
        <v>xanana</v>
      </c>
    </row>
    <row r="1676">
      <c r="A1676" s="3">
        <v>45589.0</v>
      </c>
      <c r="B1676" s="4">
        <v>0.36527777777777776</v>
      </c>
      <c r="C1676" s="5" t="s">
        <v>26</v>
      </c>
      <c r="D1676" s="5" t="s">
        <v>500</v>
      </c>
      <c r="E1676" s="6" t="s">
        <v>171</v>
      </c>
      <c r="F1676" s="7" t="s">
        <v>172</v>
      </c>
      <c r="G1676" s="6" t="str">
        <f>VLOOKUP(E1676,dicionario!$A$1:$C2075,2,0)</f>
        <v>Oxalis corniculata</v>
      </c>
      <c r="H1676" s="6" t="str">
        <f>VLOOKUP(E1676,dicionario!$A$1:$C2075,3,0)</f>
        <v>trevo-azedinho</v>
      </c>
    </row>
    <row r="1677">
      <c r="A1677" s="3">
        <v>45589.0</v>
      </c>
      <c r="B1677" s="4">
        <v>0.36527777777777776</v>
      </c>
      <c r="C1677" s="5" t="s">
        <v>26</v>
      </c>
      <c r="D1677" s="5" t="s">
        <v>500</v>
      </c>
      <c r="E1677" s="8" t="s">
        <v>523</v>
      </c>
      <c r="F1677" s="7" t="s">
        <v>590</v>
      </c>
      <c r="G1677" s="6" t="str">
        <f>VLOOKUP(E1677,dicionario!$A$1:$C2076,2,0)</f>
        <v>Coccinellidae</v>
      </c>
      <c r="H1677" s="6" t="str">
        <f>VLOOKUP(E1677,dicionario!$A$1:$C2076,3,0)</f>
        <v>joaninha </v>
      </c>
    </row>
    <row r="1678">
      <c r="A1678" s="3">
        <v>45589.0</v>
      </c>
      <c r="B1678" s="4">
        <v>0.36736111111111114</v>
      </c>
      <c r="C1678" s="5" t="s">
        <v>26</v>
      </c>
      <c r="D1678" s="5" t="s">
        <v>500</v>
      </c>
      <c r="E1678" s="6" t="s">
        <v>209</v>
      </c>
      <c r="F1678" s="7" t="s">
        <v>591</v>
      </c>
      <c r="G1678" s="6" t="str">
        <f>VLOOKUP(E1678,dicionario!$A$1:$C2077,2,0)</f>
        <v>Furnarius figulus</v>
      </c>
      <c r="H1678" s="6" t="str">
        <f>VLOOKUP(E1678,dicionario!$A$1:$C2077,3,0)</f>
        <v>casaca-de-couro-da-lama</v>
      </c>
    </row>
    <row r="1679">
      <c r="A1679" s="3">
        <v>45589.0</v>
      </c>
      <c r="B1679" s="4">
        <v>0.36736111111111114</v>
      </c>
      <c r="C1679" s="5" t="s">
        <v>26</v>
      </c>
      <c r="D1679" s="5" t="s">
        <v>500</v>
      </c>
      <c r="E1679" s="6" t="s">
        <v>65</v>
      </c>
      <c r="F1679" s="7" t="s">
        <v>66</v>
      </c>
      <c r="G1679" s="6" t="str">
        <f>VLOOKUP(E1679,dicionario!$A$1:$C2078,2,0)</f>
        <v>Pitangus sulphutarus</v>
      </c>
      <c r="H1679" s="6" t="str">
        <f>VLOOKUP(E1679,dicionario!$A$1:$C2078,3,0)</f>
        <v>bem-te-vi</v>
      </c>
    </row>
    <row r="1680">
      <c r="A1680" s="3">
        <v>45589.0</v>
      </c>
      <c r="B1680" s="4">
        <v>0.36736111111111114</v>
      </c>
      <c r="C1680" s="5" t="s">
        <v>26</v>
      </c>
      <c r="D1680" s="5" t="s">
        <v>500</v>
      </c>
      <c r="E1680" s="18" t="s">
        <v>215</v>
      </c>
      <c r="F1680" s="7" t="s">
        <v>216</v>
      </c>
      <c r="G1680" s="6" t="str">
        <f>VLOOKUP(E1680,dicionario!$A$1:$C2079,2,0)</f>
        <v>Pygochelidon cyanoleuca</v>
      </c>
      <c r="H1680" s="6" t="str">
        <f>VLOOKUP(E1680,dicionario!$A$1:$C2079,3,0)</f>
        <v>andorinha-pequena-de-casa</v>
      </c>
    </row>
    <row r="1681">
      <c r="A1681" s="3">
        <v>45589.0</v>
      </c>
      <c r="B1681" s="4">
        <v>0.3680555555555556</v>
      </c>
      <c r="C1681" s="5" t="s">
        <v>26</v>
      </c>
      <c r="D1681" s="5" t="s">
        <v>500</v>
      </c>
      <c r="E1681" s="6" t="s">
        <v>319</v>
      </c>
      <c r="F1681" s="7" t="s">
        <v>320</v>
      </c>
      <c r="G1681" s="6" t="str">
        <f>VLOOKUP(E1681,dicionario!$A$1:$C2080,2,0)</f>
        <v>Schinus terebinthifolia</v>
      </c>
      <c r="H1681" s="6" t="str">
        <f>VLOOKUP(E1681,dicionario!$A$1:$C2080,3,0)</f>
        <v>aroeira</v>
      </c>
    </row>
    <row r="1682">
      <c r="A1682" s="3">
        <v>45589.0</v>
      </c>
      <c r="B1682" s="4">
        <v>0.3680555555555556</v>
      </c>
      <c r="C1682" s="5" t="s">
        <v>26</v>
      </c>
      <c r="D1682" s="5" t="s">
        <v>500</v>
      </c>
      <c r="E1682" s="6" t="s">
        <v>592</v>
      </c>
      <c r="F1682" s="7" t="s">
        <v>28</v>
      </c>
      <c r="G1682" s="6" t="str">
        <f>VLOOKUP(E1682,dicionario!$A$1:$C2081,2,0)</f>
        <v>#N/A</v>
      </c>
      <c r="H1682" s="6" t="str">
        <f>VLOOKUP(E1682,dicionario!$A$1:$C2081,3,0)</f>
        <v>#N/A</v>
      </c>
    </row>
    <row r="1683">
      <c r="A1683" s="3">
        <v>45589.0</v>
      </c>
      <c r="B1683" s="4">
        <v>0.3701388888888889</v>
      </c>
      <c r="C1683" s="5" t="s">
        <v>8</v>
      </c>
      <c r="D1683" s="5" t="s">
        <v>500</v>
      </c>
      <c r="E1683" s="6" t="s">
        <v>22</v>
      </c>
      <c r="F1683" s="7" t="s">
        <v>97</v>
      </c>
      <c r="G1683" s="6" t="str">
        <f>VLOOKUP(E1683,dicionario!$A$1:$C2082,2,0)</f>
        <v>Zenaida auriculata</v>
      </c>
      <c r="H1683" s="6" t="str">
        <f>VLOOKUP(E1683,dicionario!$A$1:$C2082,3,0)</f>
        <v>pomba-de-bando; avoante</v>
      </c>
    </row>
    <row r="1684">
      <c r="A1684" s="3">
        <v>45589.0</v>
      </c>
      <c r="B1684" s="4">
        <v>0.3701388888888889</v>
      </c>
      <c r="C1684" s="5" t="s">
        <v>8</v>
      </c>
      <c r="D1684" s="5" t="s">
        <v>500</v>
      </c>
      <c r="E1684" s="6" t="s">
        <v>353</v>
      </c>
      <c r="F1684" s="7" t="s">
        <v>354</v>
      </c>
      <c r="G1684" s="6" t="str">
        <f>VLOOKUP(E1684,dicionario!$A$1:$C2083,2,0)</f>
        <v>Desmodium incanum</v>
      </c>
      <c r="H1684" s="6" t="str">
        <f>VLOOKUP(E1684,dicionario!$A$1:$C2083,3,0)</f>
        <v>pega-pega</v>
      </c>
    </row>
    <row r="1685">
      <c r="A1685" s="3">
        <v>45589.0</v>
      </c>
      <c r="B1685" s="4">
        <v>0.3701388888888889</v>
      </c>
      <c r="C1685" s="5" t="s">
        <v>8</v>
      </c>
      <c r="D1685" s="5" t="s">
        <v>500</v>
      </c>
      <c r="E1685" s="6" t="s">
        <v>390</v>
      </c>
      <c r="F1685" s="7" t="s">
        <v>391</v>
      </c>
      <c r="G1685" s="6" t="str">
        <f>VLOOKUP(E1685,dicionario!$A$1:$C2084,2,0)</f>
        <v>Oxalis barrelieri</v>
      </c>
      <c r="H1685" s="6" t="str">
        <f>VLOOKUP(E1685,dicionario!$A$1:$C2084,3,0)</f>
        <v>erva-azeda; azedinha </v>
      </c>
    </row>
    <row r="1686">
      <c r="A1686" s="3">
        <v>45589.0</v>
      </c>
      <c r="B1686" s="4">
        <v>0.3701388888888889</v>
      </c>
      <c r="C1686" s="5" t="s">
        <v>8</v>
      </c>
      <c r="D1686" s="5" t="s">
        <v>500</v>
      </c>
      <c r="E1686" s="6" t="s">
        <v>162</v>
      </c>
      <c r="F1686" s="7" t="s">
        <v>42</v>
      </c>
      <c r="G1686" s="6" t="str">
        <f>VLOOKUP(E1686,dicionario!$A$1:$C2085,2,0)</f>
        <v>Fluvicola nengeta</v>
      </c>
      <c r="H1686" s="6" t="str">
        <f>VLOOKUP(E1686,dicionario!$A$1:$C2085,3,0)</f>
        <v>lavadeira-mascarada</v>
      </c>
    </row>
    <row r="1687">
      <c r="A1687" s="3">
        <v>45589.0</v>
      </c>
      <c r="B1687" s="4">
        <v>0.3715277777777778</v>
      </c>
      <c r="C1687" s="5" t="s">
        <v>8</v>
      </c>
      <c r="D1687" s="5" t="s">
        <v>500</v>
      </c>
      <c r="E1687" s="6" t="s">
        <v>109</v>
      </c>
      <c r="F1687" s="7" t="s">
        <v>110</v>
      </c>
      <c r="G1687" s="6" t="str">
        <f>VLOOKUP(E1687,dicionario!$A$1:$C2086,2,0)</f>
        <v>Tillandsia stricta</v>
      </c>
      <c r="H1687" s="6" t="str">
        <f>VLOOKUP(E1687,dicionario!$A$1:$C2086,3,0)</f>
        <v>cravo-do-mato</v>
      </c>
    </row>
    <row r="1688">
      <c r="A1688" s="3">
        <v>45589.0</v>
      </c>
      <c r="B1688" s="4">
        <v>0.3715277777777778</v>
      </c>
      <c r="C1688" s="5" t="s">
        <v>8</v>
      </c>
      <c r="D1688" s="5" t="s">
        <v>500</v>
      </c>
      <c r="E1688" s="6" t="s">
        <v>88</v>
      </c>
      <c r="F1688" s="7" t="s">
        <v>89</v>
      </c>
      <c r="G1688" s="6" t="str">
        <f>VLOOKUP(E1688,dicionario!$A$1:$C2087,2,0)</f>
        <v>Tyrannus melancolichus</v>
      </c>
      <c r="H1688" s="6" t="str">
        <f>VLOOKUP(E1688,dicionario!$A$1:$C2087,3,0)</f>
        <v>suiriri</v>
      </c>
    </row>
    <row r="1689">
      <c r="A1689" s="3">
        <v>45589.0</v>
      </c>
      <c r="B1689" s="4">
        <v>0.3715277777777778</v>
      </c>
      <c r="C1689" s="5" t="s">
        <v>8</v>
      </c>
      <c r="D1689" s="5" t="s">
        <v>500</v>
      </c>
      <c r="E1689" s="6" t="s">
        <v>135</v>
      </c>
      <c r="F1689" s="7" t="s">
        <v>136</v>
      </c>
      <c r="G1689" s="6" t="str">
        <f>VLOOKUP(E1689,dicionario!$A$1:$C2088,2,0)</f>
        <v>Tridax procumbens</v>
      </c>
      <c r="H1689" s="6" t="str">
        <f>VLOOKUP(E1689,dicionario!$A$1:$C2088,3,0)</f>
        <v>erva-de-touro</v>
      </c>
    </row>
    <row r="1690">
      <c r="A1690" s="3">
        <v>45589.0</v>
      </c>
      <c r="B1690" s="4">
        <v>0.3715277777777778</v>
      </c>
      <c r="C1690" s="5" t="s">
        <v>8</v>
      </c>
      <c r="D1690" s="5" t="s">
        <v>500</v>
      </c>
      <c r="E1690" s="20" t="s">
        <v>195</v>
      </c>
      <c r="F1690" s="7" t="s">
        <v>196</v>
      </c>
      <c r="G1690" s="6" t="str">
        <f>VLOOKUP(E1690,dicionario!$A$1:$C2089,2,0)</f>
        <v>Priva lappulacea</v>
      </c>
      <c r="H1690" s="6" t="str">
        <f>VLOOKUP(E1690,dicionario!$A$1:$C2089,3,0)</f>
        <v>carrapicho</v>
      </c>
    </row>
    <row r="1691">
      <c r="A1691" s="3">
        <v>45589.0</v>
      </c>
      <c r="B1691" s="4">
        <v>0.3715277777777778</v>
      </c>
      <c r="C1691" s="5" t="s">
        <v>8</v>
      </c>
      <c r="D1691" s="5" t="s">
        <v>500</v>
      </c>
      <c r="E1691" s="6" t="s">
        <v>593</v>
      </c>
      <c r="F1691" s="7" t="s">
        <v>335</v>
      </c>
      <c r="G1691" s="6" t="str">
        <f>VLOOKUP(E1691,dicionario!$A$1:$C2090,2,0)</f>
        <v>#N/A</v>
      </c>
      <c r="H1691" s="6" t="str">
        <f>VLOOKUP(E1691,dicionario!$A$1:$C2090,3,0)</f>
        <v>#N/A</v>
      </c>
    </row>
    <row r="1692">
      <c r="A1692" s="3">
        <v>45589.0</v>
      </c>
      <c r="B1692" s="4">
        <v>0.3715277777777778</v>
      </c>
      <c r="C1692" s="5" t="s">
        <v>8</v>
      </c>
      <c r="D1692" s="5" t="s">
        <v>500</v>
      </c>
      <c r="E1692" s="6" t="s">
        <v>111</v>
      </c>
      <c r="F1692" s="7" t="s">
        <v>112</v>
      </c>
      <c r="G1692" s="6" t="str">
        <f>VLOOKUP(E1692,dicionario!$A$1:$C2091,2,0)</f>
        <v>Trigona spinipes</v>
      </c>
      <c r="H1692" s="6" t="str">
        <f>VLOOKUP(E1692,dicionario!$A$1:$C2091,3,0)</f>
        <v>abelha-cachorro</v>
      </c>
    </row>
    <row r="1693">
      <c r="A1693" s="3">
        <v>45589.0</v>
      </c>
      <c r="B1693" s="4">
        <v>0.37222222222222223</v>
      </c>
      <c r="C1693" s="5" t="s">
        <v>8</v>
      </c>
      <c r="D1693" s="5" t="s">
        <v>500</v>
      </c>
      <c r="E1693" s="6" t="s">
        <v>20</v>
      </c>
      <c r="F1693" s="7" t="s">
        <v>21</v>
      </c>
      <c r="G1693" s="6" t="str">
        <f>VLOOKUP(E1693,dicionario!$A$1:$C2092,2,0)</f>
        <v>Sicalis flaveola</v>
      </c>
      <c r="H1693" s="6" t="str">
        <f>VLOOKUP(E1693,dicionario!$A$1:$C2092,3,0)</f>
        <v>canário-da-terra</v>
      </c>
    </row>
    <row r="1694">
      <c r="A1694" s="3">
        <v>45589.0</v>
      </c>
      <c r="B1694" s="4">
        <v>0.3729166666666667</v>
      </c>
      <c r="C1694" s="5" t="s">
        <v>8</v>
      </c>
      <c r="D1694" s="5" t="s">
        <v>500</v>
      </c>
      <c r="E1694" s="8" t="s">
        <v>571</v>
      </c>
      <c r="F1694" s="7" t="s">
        <v>205</v>
      </c>
      <c r="G1694" s="6" t="str">
        <f>VLOOKUP(E1694,dicionario!$A$1:$C2093,2,0)</f>
        <v>#N/A</v>
      </c>
      <c r="H1694" s="6" t="str">
        <f>VLOOKUP(E1694,dicionario!$A$1:$C2093,3,0)</f>
        <v>#N/A</v>
      </c>
    </row>
    <row r="1695">
      <c r="A1695" s="3">
        <v>45589.0</v>
      </c>
      <c r="B1695" s="4">
        <v>0.3729166666666667</v>
      </c>
      <c r="C1695" s="5" t="s">
        <v>8</v>
      </c>
      <c r="D1695" s="5" t="s">
        <v>500</v>
      </c>
      <c r="E1695" s="6" t="s">
        <v>271</v>
      </c>
      <c r="F1695" s="7" t="s">
        <v>272</v>
      </c>
      <c r="G1695" s="6" t="str">
        <f>VLOOKUP(E1695,dicionario!$A$1:$C2094,2,0)</f>
        <v>Cyanthillium cinereum</v>
      </c>
      <c r="H1695" s="6" t="str">
        <f>VLOOKUP(E1695,dicionario!$A$1:$C2094,3,0)</f>
        <v>emília</v>
      </c>
    </row>
    <row r="1696">
      <c r="A1696" s="3">
        <v>45589.0</v>
      </c>
      <c r="B1696" s="4">
        <v>0.3729166666666667</v>
      </c>
      <c r="C1696" s="5" t="s">
        <v>8</v>
      </c>
      <c r="D1696" s="5" t="s">
        <v>500</v>
      </c>
      <c r="E1696" s="6" t="s">
        <v>12</v>
      </c>
      <c r="F1696" s="7" t="s">
        <v>13</v>
      </c>
      <c r="G1696" s="6" t="str">
        <f>VLOOKUP(E1696,dicionario!$A$1:$C2095,2,0)</f>
        <v>Eulaema nigrita</v>
      </c>
      <c r="H1696" s="6" t="str">
        <f>VLOOKUP(E1696,dicionario!$A$1:$C2095,3,0)</f>
        <v>abelha-de-orquídea</v>
      </c>
    </row>
    <row r="1697">
      <c r="A1697" s="3">
        <v>45589.0</v>
      </c>
      <c r="B1697" s="4">
        <v>0.3729166666666667</v>
      </c>
      <c r="C1697" s="5" t="s">
        <v>8</v>
      </c>
      <c r="D1697" s="5" t="s">
        <v>500</v>
      </c>
      <c r="E1697" s="18" t="s">
        <v>215</v>
      </c>
      <c r="F1697" s="7" t="s">
        <v>216</v>
      </c>
      <c r="G1697" s="6" t="str">
        <f>VLOOKUP(E1697,dicionario!$A$1:$C2096,2,0)</f>
        <v>Pygochelidon cyanoleuca</v>
      </c>
      <c r="H1697" s="6" t="str">
        <f>VLOOKUP(E1697,dicionario!$A$1:$C2096,3,0)</f>
        <v>andorinha-pequena-de-casa</v>
      </c>
    </row>
    <row r="1698">
      <c r="A1698" s="3">
        <v>45589.0</v>
      </c>
      <c r="B1698" s="4">
        <v>0.3729166666666667</v>
      </c>
      <c r="C1698" s="5" t="s">
        <v>8</v>
      </c>
      <c r="D1698" s="5" t="s">
        <v>500</v>
      </c>
      <c r="E1698" s="6" t="s">
        <v>22</v>
      </c>
      <c r="F1698" s="7" t="s">
        <v>97</v>
      </c>
      <c r="G1698" s="6" t="str">
        <f>VLOOKUP(E1698,dicionario!$A$1:$C2097,2,0)</f>
        <v>Zenaida auriculata</v>
      </c>
      <c r="H1698" s="6" t="str">
        <f>VLOOKUP(E1698,dicionario!$A$1:$C2097,3,0)</f>
        <v>pomba-de-bando; avoante</v>
      </c>
    </row>
    <row r="1699">
      <c r="A1699" s="3">
        <v>45589.0</v>
      </c>
      <c r="B1699" s="4">
        <v>0.3736111111111111</v>
      </c>
      <c r="C1699" s="5" t="s">
        <v>8</v>
      </c>
      <c r="D1699" s="5" t="s">
        <v>500</v>
      </c>
      <c r="E1699" s="6" t="s">
        <v>298</v>
      </c>
      <c r="F1699" s="5" t="s">
        <v>299</v>
      </c>
      <c r="G1699" s="6" t="str">
        <f>VLOOKUP(E1699,dicionario!$A$1:$C2098,2,0)</f>
        <v>Alysicarpus vaginalis</v>
      </c>
      <c r="H1699" s="6" t="str">
        <f>VLOOKUP(E1699,dicionario!$A$1:$C2098,3,0)</f>
        <v/>
      </c>
    </row>
    <row r="1700">
      <c r="A1700" s="3">
        <v>45589.0</v>
      </c>
      <c r="B1700" s="4">
        <v>0.3736111111111111</v>
      </c>
      <c r="C1700" s="5" t="s">
        <v>8</v>
      </c>
      <c r="D1700" s="5" t="s">
        <v>500</v>
      </c>
      <c r="E1700" s="6" t="s">
        <v>158</v>
      </c>
      <c r="F1700" s="7" t="s">
        <v>159</v>
      </c>
      <c r="G1700" s="6" t="str">
        <f>VLOOKUP(E1700,dicionario!$A$1:$C2099,2,0)</f>
        <v>Nephilingis cruentata</v>
      </c>
      <c r="H1700" s="6" t="str">
        <f>VLOOKUP(E1700,dicionario!$A$1:$C2099,3,0)</f>
        <v>maria-bola</v>
      </c>
    </row>
    <row r="1701">
      <c r="A1701" s="3">
        <v>45589.0</v>
      </c>
      <c r="B1701" s="4">
        <v>0.3736111111111111</v>
      </c>
      <c r="C1701" s="5" t="s">
        <v>8</v>
      </c>
      <c r="D1701" s="5" t="s">
        <v>500</v>
      </c>
      <c r="E1701" s="6" t="s">
        <v>381</v>
      </c>
      <c r="F1701" s="7" t="s">
        <v>382</v>
      </c>
      <c r="G1701" s="6" t="str">
        <f>VLOOKUP(E1701,dicionario!$A$1:$C2100,2,0)</f>
        <v>Pseudomyrmex</v>
      </c>
      <c r="H1701" s="6" t="str">
        <f>VLOOKUP(E1701,dicionario!$A$1:$C2100,3,0)</f>
        <v>maria-magra</v>
      </c>
    </row>
    <row r="1702">
      <c r="A1702" s="3">
        <v>45589.0</v>
      </c>
      <c r="B1702" s="4">
        <v>0.3736111111111111</v>
      </c>
      <c r="C1702" s="5" t="s">
        <v>8</v>
      </c>
      <c r="D1702" s="5" t="s">
        <v>500</v>
      </c>
      <c r="E1702" s="6" t="s">
        <v>88</v>
      </c>
      <c r="F1702" s="7" t="s">
        <v>89</v>
      </c>
      <c r="G1702" s="6" t="str">
        <f>VLOOKUP(E1702,dicionario!$A$1:$C2101,2,0)</f>
        <v>Tyrannus melancolichus</v>
      </c>
      <c r="H1702" s="6" t="str">
        <f>VLOOKUP(E1702,dicionario!$A$1:$C2101,3,0)</f>
        <v>suiriri</v>
      </c>
    </row>
    <row r="1703">
      <c r="A1703" s="3">
        <v>45589.0</v>
      </c>
      <c r="B1703" s="4">
        <v>0.3736111111111111</v>
      </c>
      <c r="C1703" s="5" t="s">
        <v>8</v>
      </c>
      <c r="D1703" s="5" t="s">
        <v>500</v>
      </c>
      <c r="E1703" s="6" t="s">
        <v>213</v>
      </c>
      <c r="F1703" s="7" t="s">
        <v>214</v>
      </c>
      <c r="G1703" s="6" t="str">
        <f>VLOOKUP(E1703,dicionario!$A$1:$C2102,2,0)</f>
        <v>Myiozetetes similis</v>
      </c>
      <c r="H1703" s="6" t="str">
        <f>VLOOKUP(E1703,dicionario!$A$1:$C2102,3,0)</f>
        <v>bentevizinho-de-penacho-vermelho</v>
      </c>
    </row>
    <row r="1704">
      <c r="A1704" s="3">
        <v>45589.0</v>
      </c>
      <c r="B1704" s="4">
        <v>0.37430555555555556</v>
      </c>
      <c r="C1704" s="5" t="s">
        <v>8</v>
      </c>
      <c r="D1704" s="5" t="s">
        <v>500</v>
      </c>
      <c r="E1704" s="6" t="s">
        <v>113</v>
      </c>
      <c r="F1704" s="7" t="s">
        <v>114</v>
      </c>
      <c r="G1704" s="6" t="str">
        <f>VLOOKUP(E1704,dicionario!$A$1:$C2103,2,0)</f>
        <v>Columbina talpacoti</v>
      </c>
      <c r="H1704" s="6" t="str">
        <f>VLOOKUP(E1704,dicionario!$A$1:$C2103,3,0)</f>
        <v>rolinha-roxa</v>
      </c>
    </row>
    <row r="1705">
      <c r="A1705" s="3">
        <v>45589.0</v>
      </c>
      <c r="B1705" s="4">
        <v>0.37430555555555556</v>
      </c>
      <c r="C1705" s="5" t="s">
        <v>8</v>
      </c>
      <c r="D1705" s="5" t="s">
        <v>500</v>
      </c>
      <c r="E1705" s="6" t="s">
        <v>200</v>
      </c>
      <c r="F1705" s="7" t="s">
        <v>201</v>
      </c>
      <c r="G1705" s="6" t="str">
        <f>VLOOKUP(E1705,dicionario!$A$1:$C2104,2,0)</f>
        <v>Columbina picui </v>
      </c>
      <c r="H1705" s="6" t="str">
        <f>VLOOKUP(E1705,dicionario!$A$1:$C2104,3,0)</f>
        <v>rolinha-picuí</v>
      </c>
    </row>
    <row r="1706">
      <c r="A1706" s="3">
        <v>45589.0</v>
      </c>
      <c r="B1706" s="4">
        <v>0.37430555555555556</v>
      </c>
      <c r="C1706" s="5" t="s">
        <v>8</v>
      </c>
      <c r="D1706" s="5" t="s">
        <v>500</v>
      </c>
      <c r="E1706" s="6" t="s">
        <v>163</v>
      </c>
      <c r="F1706" s="7" t="s">
        <v>164</v>
      </c>
      <c r="G1706" s="6" t="str">
        <f>VLOOKUP(E1706,dicionario!$A$1:$C2105,2,0)</f>
        <v>Coragyps atratus</v>
      </c>
      <c r="H1706" s="6" t="str">
        <f>VLOOKUP(E1706,dicionario!$A$1:$C2105,3,0)</f>
        <v>urubu-de-cabeça-preta</v>
      </c>
    </row>
    <row r="1707">
      <c r="A1707" s="3">
        <v>45589.0</v>
      </c>
      <c r="B1707" s="4">
        <v>0.37569444444444444</v>
      </c>
      <c r="C1707" s="5" t="s">
        <v>8</v>
      </c>
      <c r="D1707" s="5" t="s">
        <v>500</v>
      </c>
      <c r="E1707" s="6" t="s">
        <v>258</v>
      </c>
      <c r="F1707" s="7" t="s">
        <v>259</v>
      </c>
      <c r="G1707" s="6" t="str">
        <f>VLOOKUP(E1707,dicionario!$A$1:$C2106,2,0)</f>
        <v>Lantana camara</v>
      </c>
      <c r="H1707" s="6" t="str">
        <f>VLOOKUP(E1707,dicionario!$A$1:$C2106,3,0)</f>
        <v>lantana</v>
      </c>
    </row>
    <row r="1708">
      <c r="A1708" s="3">
        <v>45589.0</v>
      </c>
      <c r="B1708" s="4">
        <v>0.37569444444444444</v>
      </c>
      <c r="C1708" s="5" t="s">
        <v>8</v>
      </c>
      <c r="D1708" s="5" t="s">
        <v>500</v>
      </c>
      <c r="E1708" s="6" t="s">
        <v>243</v>
      </c>
      <c r="F1708" s="7" t="s">
        <v>244</v>
      </c>
      <c r="G1708" s="6" t="str">
        <f>VLOOKUP(E1708,dicionario!$A$1:$C2107,2,0)</f>
        <v>Macroptilium atropurpureum</v>
      </c>
      <c r="H1708" s="6" t="str">
        <f>VLOOKUP(E1708,dicionario!$A$1:$C2107,3,0)</f>
        <v>feijão-de-pombo</v>
      </c>
    </row>
    <row r="1709">
      <c r="A1709" s="3">
        <v>45589.0</v>
      </c>
      <c r="B1709" s="4">
        <v>0.37569444444444444</v>
      </c>
      <c r="C1709" s="5" t="s">
        <v>8</v>
      </c>
      <c r="D1709" s="5" t="s">
        <v>500</v>
      </c>
      <c r="E1709" s="6" t="s">
        <v>286</v>
      </c>
      <c r="F1709" s="7" t="s">
        <v>287</v>
      </c>
      <c r="G1709" s="6" t="str">
        <f>VLOOKUP(E1709,dicionario!$A$1:$C2108,2,0)</f>
        <v>Setaria parviflora</v>
      </c>
      <c r="H1709" s="6" t="str">
        <f>VLOOKUP(E1709,dicionario!$A$1:$C2108,3,0)</f>
        <v>capim-rabo-de-raposa</v>
      </c>
    </row>
    <row r="1710">
      <c r="A1710" s="3">
        <v>45589.0</v>
      </c>
      <c r="B1710" s="4">
        <v>0.37569444444444444</v>
      </c>
      <c r="C1710" s="5" t="s">
        <v>8</v>
      </c>
      <c r="D1710" s="5" t="s">
        <v>500</v>
      </c>
      <c r="E1710" s="6" t="s">
        <v>14</v>
      </c>
      <c r="F1710" s="7" t="s">
        <v>15</v>
      </c>
      <c r="G1710" s="6" t="str">
        <f>VLOOKUP(E1710,dicionario!$A$1:$C2109,2,0)</f>
        <v>Spermacoce verticillata</v>
      </c>
      <c r="H1710" s="6" t="str">
        <f>VLOOKUP(E1710,dicionario!$A$1:$C2109,3,0)</f>
        <v>vassourinha-de-botão</v>
      </c>
    </row>
    <row r="1711">
      <c r="A1711" s="3">
        <v>45589.0</v>
      </c>
      <c r="B1711" s="4">
        <v>0.37569444444444444</v>
      </c>
      <c r="C1711" s="5" t="s">
        <v>8</v>
      </c>
      <c r="D1711" s="5" t="s">
        <v>500</v>
      </c>
      <c r="E1711" s="6" t="s">
        <v>53</v>
      </c>
      <c r="F1711" s="7" t="s">
        <v>54</v>
      </c>
      <c r="G1711" s="6" t="str">
        <f>VLOOKUP(E1711,dicionario!$A$1:$C2110,2,0)</f>
        <v>Turnera subulata</v>
      </c>
      <c r="H1711" s="6" t="str">
        <f>VLOOKUP(E1711,dicionario!$A$1:$C2110,3,0)</f>
        <v>xanana</v>
      </c>
    </row>
    <row r="1712">
      <c r="A1712" s="3">
        <v>45589.0</v>
      </c>
      <c r="B1712" s="4">
        <v>0.37569444444444444</v>
      </c>
      <c r="C1712" s="5" t="s">
        <v>8</v>
      </c>
      <c r="D1712" s="5" t="s">
        <v>500</v>
      </c>
      <c r="E1712" s="6" t="s">
        <v>99</v>
      </c>
      <c r="F1712" s="7" t="s">
        <v>508</v>
      </c>
      <c r="G1712" s="6" t="str">
        <f>VLOOKUP(E1712,dicionario!$A$1:$C2111,2,0)</f>
        <v>Molothrus bonariensis</v>
      </c>
      <c r="H1712" s="6" t="str">
        <f>VLOOKUP(E1712,dicionario!$A$1:$C2111,3,0)</f>
        <v>chupim</v>
      </c>
    </row>
    <row r="1713">
      <c r="A1713" s="3">
        <v>45589.0</v>
      </c>
      <c r="B1713" s="4">
        <v>0.37569444444444444</v>
      </c>
      <c r="C1713" s="5" t="s">
        <v>8</v>
      </c>
      <c r="D1713" s="5" t="s">
        <v>500</v>
      </c>
      <c r="E1713" s="6" t="s">
        <v>65</v>
      </c>
      <c r="F1713" s="7" t="s">
        <v>66</v>
      </c>
      <c r="G1713" s="6" t="str">
        <f>VLOOKUP(E1713,dicionario!$A$1:$C2112,2,0)</f>
        <v>Pitangus sulphutarus</v>
      </c>
      <c r="H1713" s="6" t="str">
        <f>VLOOKUP(E1713,dicionario!$A$1:$C2112,3,0)</f>
        <v>bem-te-vi</v>
      </c>
    </row>
    <row r="1714">
      <c r="A1714" s="3">
        <v>45589.0</v>
      </c>
      <c r="B1714" s="4">
        <v>0.37777777777777777</v>
      </c>
      <c r="C1714" s="5" t="s">
        <v>8</v>
      </c>
      <c r="D1714" s="5" t="s">
        <v>500</v>
      </c>
      <c r="E1714" s="8" t="s">
        <v>46</v>
      </c>
      <c r="F1714" s="5" t="s">
        <v>47</v>
      </c>
      <c r="G1714" s="6" t="str">
        <f>VLOOKUP(E1714,dicionario!$A$1:$C2113,2,0)</f>
        <v>Chionomesa fimbriata</v>
      </c>
      <c r="H1714" s="6" t="str">
        <f>VLOOKUP(E1714,dicionario!$A$1:$C2113,3,0)</f>
        <v>beija-flor-de-garganta-verde</v>
      </c>
    </row>
    <row r="1715">
      <c r="A1715" s="3">
        <v>45589.0</v>
      </c>
      <c r="B1715" s="4">
        <v>0.37777777777777777</v>
      </c>
      <c r="C1715" s="5" t="s">
        <v>8</v>
      </c>
      <c r="D1715" s="5" t="s">
        <v>500</v>
      </c>
      <c r="E1715" s="6" t="s">
        <v>245</v>
      </c>
      <c r="F1715" s="7" t="s">
        <v>246</v>
      </c>
      <c r="G1715" s="6" t="str">
        <f>VLOOKUP(E1715,dicionario!$A$1:$C2114,2,0)</f>
        <v>Hemiargus hanno</v>
      </c>
      <c r="H1715" s="6" t="str">
        <f>VLOOKUP(E1715,dicionario!$A$1:$C2114,3,0)</f>
        <v>borboleta-azulzinha-do-trevo</v>
      </c>
    </row>
    <row r="1716">
      <c r="A1716" s="33">
        <v>41943.0</v>
      </c>
      <c r="B1716" s="34"/>
      <c r="C1716" s="35"/>
      <c r="D1716" s="35"/>
      <c r="E1716" s="36"/>
      <c r="F1716" s="34"/>
      <c r="G1716" s="6" t="str">
        <f>VLOOKUP(E1716,dicionario!$A$1:$C2115,2,0)</f>
        <v>#N/A</v>
      </c>
      <c r="H1716" s="6" t="str">
        <f>VLOOKUP(E1716,dicionario!$A$1:$C2115,3,0)</f>
        <v>#N/A</v>
      </c>
      <c r="I1716" s="37" t="s">
        <v>594</v>
      </c>
    </row>
    <row r="1717">
      <c r="A1717" s="3">
        <v>45596.0</v>
      </c>
      <c r="B1717" s="4">
        <v>0.25416666666666665</v>
      </c>
      <c r="C1717" s="5" t="s">
        <v>8</v>
      </c>
      <c r="D1717" s="5" t="s">
        <v>595</v>
      </c>
      <c r="E1717" s="6" t="s">
        <v>88</v>
      </c>
      <c r="F1717" s="7" t="s">
        <v>89</v>
      </c>
      <c r="G1717" s="6" t="str">
        <f>VLOOKUP(E1717,dicionario!$A$1:$C2116,2,0)</f>
        <v>Tyrannus melancolichus</v>
      </c>
      <c r="H1717" s="6" t="str">
        <f>VLOOKUP(E1717,dicionario!$A$1:$C2116,3,0)</f>
        <v>suiriri</v>
      </c>
    </row>
    <row r="1718">
      <c r="A1718" s="3">
        <v>45596.0</v>
      </c>
      <c r="B1718" s="4">
        <v>0.25416666666666665</v>
      </c>
      <c r="C1718" s="5" t="s">
        <v>8</v>
      </c>
      <c r="D1718" s="5" t="s">
        <v>595</v>
      </c>
      <c r="E1718" s="9" t="s">
        <v>65</v>
      </c>
      <c r="F1718" s="7" t="s">
        <v>66</v>
      </c>
      <c r="G1718" s="6" t="str">
        <f>VLOOKUP(E1718,dicionario!$A$1:$C2117,2,0)</f>
        <v>Pitangus sulphutarus</v>
      </c>
      <c r="H1718" s="6" t="str">
        <f>VLOOKUP(E1718,dicionario!$A$1:$C2117,3,0)</f>
        <v>bem-te-vi</v>
      </c>
    </row>
    <row r="1719">
      <c r="A1719" s="3">
        <v>45596.0</v>
      </c>
      <c r="B1719" s="4">
        <v>0.25416666666666665</v>
      </c>
      <c r="C1719" s="5" t="s">
        <v>8</v>
      </c>
      <c r="D1719" s="5" t="s">
        <v>595</v>
      </c>
      <c r="E1719" s="9" t="s">
        <v>22</v>
      </c>
      <c r="F1719" s="7" t="s">
        <v>97</v>
      </c>
      <c r="G1719" s="6" t="str">
        <f>VLOOKUP(E1719,dicionario!$A$1:$C2118,2,0)</f>
        <v>Zenaida auriculata</v>
      </c>
      <c r="H1719" s="6" t="str">
        <f>VLOOKUP(E1719,dicionario!$A$1:$C2118,3,0)</f>
        <v>pomba-de-bando; avoante</v>
      </c>
    </row>
    <row r="1720">
      <c r="A1720" s="3">
        <v>45596.0</v>
      </c>
      <c r="B1720" s="4">
        <v>0.25416666666666665</v>
      </c>
      <c r="C1720" s="5" t="s">
        <v>8</v>
      </c>
      <c r="D1720" s="5" t="s">
        <v>595</v>
      </c>
      <c r="E1720" s="6" t="s">
        <v>60</v>
      </c>
      <c r="F1720" s="7" t="s">
        <v>61</v>
      </c>
      <c r="G1720" s="6" t="str">
        <f>VLOOKUP(E1720,dicionario!$A$1:$C2119,2,0)</f>
        <v>Vanellus chilensis</v>
      </c>
      <c r="H1720" s="6" t="str">
        <f>VLOOKUP(E1720,dicionario!$A$1:$C2119,3,0)</f>
        <v>quero-quero</v>
      </c>
    </row>
    <row r="1721">
      <c r="A1721" s="3">
        <v>45596.0</v>
      </c>
      <c r="B1721" s="4">
        <v>0.2548611111111111</v>
      </c>
      <c r="C1721" s="5" t="s">
        <v>8</v>
      </c>
      <c r="D1721" s="5" t="s">
        <v>595</v>
      </c>
      <c r="E1721" s="6" t="s">
        <v>20</v>
      </c>
      <c r="F1721" s="7" t="s">
        <v>21</v>
      </c>
      <c r="G1721" s="6" t="str">
        <f>VLOOKUP(E1721,dicionario!$A$1:$C2120,2,0)</f>
        <v>Sicalis flaveola</v>
      </c>
      <c r="H1721" s="6" t="str">
        <f>VLOOKUP(E1721,dicionario!$A$1:$C2120,3,0)</f>
        <v>canário-da-terra</v>
      </c>
    </row>
    <row r="1722">
      <c r="A1722" s="3">
        <v>45596.0</v>
      </c>
      <c r="B1722" s="4">
        <v>0.2548611111111111</v>
      </c>
      <c r="C1722" s="5" t="s">
        <v>8</v>
      </c>
      <c r="D1722" s="5" t="s">
        <v>595</v>
      </c>
      <c r="E1722" s="6" t="s">
        <v>177</v>
      </c>
      <c r="F1722" s="7" t="s">
        <v>178</v>
      </c>
      <c r="G1722" s="6" t="str">
        <f>VLOOKUP(E1722,dicionario!$A$1:$C2121,2,0)</f>
        <v>Elaenia flavogaster</v>
      </c>
      <c r="H1722" s="6" t="str">
        <f>VLOOKUP(E1722,dicionario!$A$1:$C2121,3,0)</f>
        <v>guaracava-de-barriga-amarela</v>
      </c>
    </row>
    <row r="1723">
      <c r="A1723" s="3">
        <v>45596.0</v>
      </c>
      <c r="B1723" s="4">
        <v>0.25555555555555554</v>
      </c>
      <c r="C1723" s="5" t="s">
        <v>8</v>
      </c>
      <c r="D1723" s="5" t="s">
        <v>595</v>
      </c>
      <c r="E1723" s="6" t="s">
        <v>225</v>
      </c>
      <c r="F1723" s="7" t="s">
        <v>226</v>
      </c>
      <c r="G1723" s="6" t="str">
        <f>VLOOKUP(E1723,dicionario!$A$1:$C2122,2,0)</f>
        <v>Passer domesticus</v>
      </c>
      <c r="H1723" s="6" t="str">
        <f>VLOOKUP(E1723,dicionario!$A$1:$C2122,3,0)</f>
        <v>pardal</v>
      </c>
    </row>
    <row r="1724">
      <c r="A1724" s="3">
        <v>45596.0</v>
      </c>
      <c r="B1724" s="4">
        <v>0.25555555555555554</v>
      </c>
      <c r="C1724" s="5" t="s">
        <v>8</v>
      </c>
      <c r="D1724" s="5" t="s">
        <v>595</v>
      </c>
      <c r="E1724" s="6" t="s">
        <v>302</v>
      </c>
      <c r="F1724" s="7" t="s">
        <v>303</v>
      </c>
      <c r="G1724" s="6" t="str">
        <f>VLOOKUP(E1724,dicionario!$A$1:$C2123,2,0)</f>
        <v>Machetornis rixosa</v>
      </c>
      <c r="H1724" s="6" t="str">
        <f>VLOOKUP(E1724,dicionario!$A$1:$C2123,3,0)</f>
        <v>suiriri-cavaleiro</v>
      </c>
    </row>
    <row r="1725">
      <c r="A1725" s="3">
        <v>45596.0</v>
      </c>
      <c r="B1725" s="4">
        <v>0.25555555555555554</v>
      </c>
      <c r="C1725" s="5" t="s">
        <v>8</v>
      </c>
      <c r="D1725" s="5" t="s">
        <v>595</v>
      </c>
      <c r="E1725" s="6" t="s">
        <v>10</v>
      </c>
      <c r="F1725" s="5" t="s">
        <v>11</v>
      </c>
      <c r="G1725" s="6" t="str">
        <f>VLOOKUP(E1725,dicionario!$A$1:$C2124,2,0)</f>
        <v>Guira guira</v>
      </c>
      <c r="H1725" s="6" t="str">
        <f>VLOOKUP(E1725,dicionario!$A$1:$C2124,3,0)</f>
        <v>anu-branco</v>
      </c>
    </row>
    <row r="1726">
      <c r="A1726" s="3">
        <v>45596.0</v>
      </c>
      <c r="B1726" s="4">
        <v>0.25555555555555554</v>
      </c>
      <c r="C1726" s="5" t="s">
        <v>8</v>
      </c>
      <c r="D1726" s="5" t="s">
        <v>595</v>
      </c>
      <c r="E1726" s="6" t="s">
        <v>132</v>
      </c>
      <c r="F1726" s="7" t="s">
        <v>133</v>
      </c>
      <c r="G1726" s="6" t="str">
        <f>VLOOKUP(E1726,dicionario!$A$1:$C2125,2,0)</f>
        <v>Euphonia chlorotica</v>
      </c>
      <c r="H1726" s="6" t="str">
        <f>VLOOKUP(E1726,dicionario!$A$1:$C2125,3,0)</f>
        <v>fim-fim</v>
      </c>
    </row>
    <row r="1727">
      <c r="A1727" s="3">
        <v>45596.0</v>
      </c>
      <c r="B1727" s="4">
        <v>0.2569444444444444</v>
      </c>
      <c r="C1727" s="5" t="s">
        <v>8</v>
      </c>
      <c r="D1727" s="5" t="s">
        <v>595</v>
      </c>
      <c r="E1727" s="6" t="s">
        <v>93</v>
      </c>
      <c r="F1727" s="7" t="s">
        <v>570</v>
      </c>
      <c r="G1727" s="6" t="str">
        <f>VLOOKUP(E1727,dicionario!$A$1:$C2126,2,0)</f>
        <v>Thraupis sayaca</v>
      </c>
      <c r="H1727" s="6" t="str">
        <f>VLOOKUP(E1727,dicionario!$A$1:$C2126,3,0)</f>
        <v>sanhaçu-cinzento</v>
      </c>
    </row>
    <row r="1728">
      <c r="A1728" s="3">
        <v>45596.0</v>
      </c>
      <c r="B1728" s="4">
        <v>0.25833333333333336</v>
      </c>
      <c r="C1728" s="5" t="s">
        <v>8</v>
      </c>
      <c r="D1728" s="5" t="s">
        <v>595</v>
      </c>
      <c r="E1728" s="6" t="s">
        <v>135</v>
      </c>
      <c r="F1728" s="7" t="s">
        <v>136</v>
      </c>
      <c r="G1728" s="6" t="str">
        <f>VLOOKUP(E1728,dicionario!$A$1:$C2127,2,0)</f>
        <v>Tridax procumbens</v>
      </c>
      <c r="H1728" s="6" t="str">
        <f>VLOOKUP(E1728,dicionario!$A$1:$C2127,3,0)</f>
        <v>erva-de-touro</v>
      </c>
    </row>
    <row r="1729">
      <c r="A1729" s="3">
        <v>45596.0</v>
      </c>
      <c r="B1729" s="4">
        <v>0.25833333333333336</v>
      </c>
      <c r="C1729" s="5" t="s">
        <v>8</v>
      </c>
      <c r="D1729" s="5" t="s">
        <v>595</v>
      </c>
      <c r="E1729" s="6" t="s">
        <v>355</v>
      </c>
      <c r="F1729" s="7" t="s">
        <v>356</v>
      </c>
      <c r="G1729" s="6" t="str">
        <f>VLOOKUP(E1729,dicionario!$A$1:$C2128,2,0)</f>
        <v>Boerhavia diffusa</v>
      </c>
      <c r="H1729" s="6" t="str">
        <f>VLOOKUP(E1729,dicionario!$A$1:$C2128,3,0)</f>
        <v>erva-tostão</v>
      </c>
    </row>
    <row r="1730">
      <c r="A1730" s="3">
        <v>45596.0</v>
      </c>
      <c r="B1730" s="4">
        <v>0.2590277777777778</v>
      </c>
      <c r="C1730" s="5" t="s">
        <v>8</v>
      </c>
      <c r="D1730" s="5" t="s">
        <v>595</v>
      </c>
      <c r="E1730" s="6" t="s">
        <v>286</v>
      </c>
      <c r="F1730" s="7" t="s">
        <v>287</v>
      </c>
      <c r="G1730" s="6" t="str">
        <f>VLOOKUP(E1730,dicionario!$A$1:$C2129,2,0)</f>
        <v>Setaria parviflora</v>
      </c>
      <c r="H1730" s="6" t="str">
        <f>VLOOKUP(E1730,dicionario!$A$1:$C2129,3,0)</f>
        <v>capim-rabo-de-raposa</v>
      </c>
    </row>
    <row r="1731">
      <c r="A1731" s="3">
        <v>45596.0</v>
      </c>
      <c r="B1731" s="4">
        <v>0.2604166666666667</v>
      </c>
      <c r="C1731" s="5" t="s">
        <v>8</v>
      </c>
      <c r="D1731" s="5" t="s">
        <v>595</v>
      </c>
      <c r="E1731" s="6" t="s">
        <v>425</v>
      </c>
      <c r="F1731" s="7" t="s">
        <v>426</v>
      </c>
      <c r="G1731" s="6" t="str">
        <f>VLOOKUP(E1731,dicionario!$A$1:$C2130,2,0)</f>
        <v>Digitaria insularis</v>
      </c>
      <c r="H1731" s="6" t="str">
        <f>VLOOKUP(E1731,dicionario!$A$1:$C2130,3,0)</f>
        <v>capim-amargoso</v>
      </c>
    </row>
    <row r="1732">
      <c r="A1732" s="3">
        <v>45596.0</v>
      </c>
      <c r="B1732" s="4">
        <v>0.2604166666666667</v>
      </c>
      <c r="C1732" s="5" t="s">
        <v>8</v>
      </c>
      <c r="D1732" s="5" t="s">
        <v>595</v>
      </c>
      <c r="E1732" s="6" t="s">
        <v>14</v>
      </c>
      <c r="F1732" s="7" t="s">
        <v>596</v>
      </c>
      <c r="G1732" s="6" t="str">
        <f>VLOOKUP(E1732,dicionario!$A$1:$C2131,2,0)</f>
        <v>Spermacoce verticillata</v>
      </c>
      <c r="H1732" s="6" t="str">
        <f>VLOOKUP(E1732,dicionario!$A$1:$C2131,3,0)</f>
        <v>vassourinha-de-botão</v>
      </c>
    </row>
    <row r="1733">
      <c r="A1733" s="3">
        <v>45596.0</v>
      </c>
      <c r="B1733" s="4">
        <v>0.2604166666666667</v>
      </c>
      <c r="C1733" s="5" t="s">
        <v>8</v>
      </c>
      <c r="D1733" s="5" t="s">
        <v>595</v>
      </c>
      <c r="E1733" s="6" t="s">
        <v>154</v>
      </c>
      <c r="F1733" s="7" t="s">
        <v>155</v>
      </c>
      <c r="G1733" s="6" t="str">
        <f>VLOOKUP(E1733,dicionario!$A$1:$C2132,2,0)</f>
        <v>Cyperus rotundus</v>
      </c>
      <c r="H1733" s="6" t="str">
        <f>VLOOKUP(E1733,dicionario!$A$1:$C2132,3,0)</f>
        <v>tiririca</v>
      </c>
    </row>
    <row r="1734">
      <c r="A1734" s="3">
        <v>45596.0</v>
      </c>
      <c r="B1734" s="4">
        <v>0.2604166666666667</v>
      </c>
      <c r="C1734" s="5" t="s">
        <v>8</v>
      </c>
      <c r="D1734" s="5" t="s">
        <v>595</v>
      </c>
      <c r="E1734" s="6" t="s">
        <v>353</v>
      </c>
      <c r="F1734" s="7" t="s">
        <v>354</v>
      </c>
      <c r="G1734" s="6" t="str">
        <f>VLOOKUP(E1734,dicionario!$A$1:$C2133,2,0)</f>
        <v>Desmodium incanum</v>
      </c>
      <c r="H1734" s="6" t="str">
        <f>VLOOKUP(E1734,dicionario!$A$1:$C2133,3,0)</f>
        <v>pega-pega</v>
      </c>
    </row>
    <row r="1735">
      <c r="A1735" s="3">
        <v>45596.0</v>
      </c>
      <c r="B1735" s="4">
        <v>0.2604166666666667</v>
      </c>
      <c r="C1735" s="5" t="s">
        <v>8</v>
      </c>
      <c r="D1735" s="5" t="s">
        <v>595</v>
      </c>
      <c r="E1735" s="6" t="s">
        <v>181</v>
      </c>
      <c r="F1735" s="7" t="s">
        <v>182</v>
      </c>
      <c r="G1735" s="6" t="str">
        <f>VLOOKUP(E1735,dicionario!$A$1:$C2134,2,0)</f>
        <v>#N/A</v>
      </c>
      <c r="H1735" s="6" t="str">
        <f>VLOOKUP(E1735,dicionario!$A$1:$C2134,3,0)</f>
        <v>#N/A</v>
      </c>
    </row>
    <row r="1736">
      <c r="A1736" s="3">
        <v>45596.0</v>
      </c>
      <c r="B1736" s="4">
        <v>0.2611111111111111</v>
      </c>
      <c r="C1736" s="5" t="s">
        <v>8</v>
      </c>
      <c r="D1736" s="5" t="s">
        <v>595</v>
      </c>
      <c r="E1736" s="6" t="s">
        <v>109</v>
      </c>
      <c r="F1736" s="7" t="s">
        <v>110</v>
      </c>
      <c r="G1736" s="6" t="str">
        <f>VLOOKUP(E1736,dicionario!$A$1:$C2135,2,0)</f>
        <v>Tillandsia stricta</v>
      </c>
      <c r="H1736" s="6" t="str">
        <f>VLOOKUP(E1736,dicionario!$A$1:$C2135,3,0)</f>
        <v>cravo-do-mato</v>
      </c>
    </row>
    <row r="1737">
      <c r="A1737" s="3">
        <v>45596.0</v>
      </c>
      <c r="B1737" s="4">
        <v>0.2611111111111111</v>
      </c>
      <c r="C1737" s="5" t="s">
        <v>8</v>
      </c>
      <c r="D1737" s="5" t="s">
        <v>595</v>
      </c>
      <c r="E1737" s="6" t="s">
        <v>597</v>
      </c>
      <c r="F1737" s="5" t="s">
        <v>598</v>
      </c>
      <c r="G1737" s="6" t="str">
        <f>VLOOKUP(E1737,dicionario!$A$1:$C2136,2,0)</f>
        <v>#N/A</v>
      </c>
      <c r="H1737" s="6" t="str">
        <f>VLOOKUP(E1737,dicionario!$A$1:$C2136,3,0)</f>
        <v>#N/A</v>
      </c>
    </row>
    <row r="1738">
      <c r="A1738" s="3">
        <v>45596.0</v>
      </c>
      <c r="B1738" s="4">
        <v>0.26180555555555557</v>
      </c>
      <c r="C1738" s="5" t="s">
        <v>8</v>
      </c>
      <c r="D1738" s="5" t="s">
        <v>595</v>
      </c>
      <c r="E1738" s="6" t="s">
        <v>504</v>
      </c>
      <c r="F1738" s="5" t="s">
        <v>534</v>
      </c>
      <c r="G1738" s="6" t="str">
        <f>VLOOKUP(E1738,dicionario!$A$1:$C2137,2,0)</f>
        <v>Cleome aculeata</v>
      </c>
      <c r="H1738" s="6" t="str">
        <f>VLOOKUP(E1738,dicionario!$A$1:$C2137,3,0)</f>
        <v>cleome</v>
      </c>
    </row>
    <row r="1739">
      <c r="A1739" s="3">
        <v>45596.0</v>
      </c>
      <c r="B1739" s="4">
        <v>0.26180555555555557</v>
      </c>
      <c r="C1739" s="5" t="s">
        <v>8</v>
      </c>
      <c r="D1739" s="5" t="s">
        <v>595</v>
      </c>
      <c r="E1739" s="6" t="s">
        <v>262</v>
      </c>
      <c r="F1739" s="7" t="s">
        <v>263</v>
      </c>
      <c r="G1739" s="6" t="str">
        <f>VLOOKUP(E1739,dicionario!$A$1:$C2138,2,0)</f>
        <v>Portulaca oleracea</v>
      </c>
      <c r="H1739" s="6" t="str">
        <f>VLOOKUP(E1739,dicionario!$A$1:$C2138,3,0)</f>
        <v>beldroega</v>
      </c>
    </row>
    <row r="1740">
      <c r="A1740" s="3">
        <v>45596.0</v>
      </c>
      <c r="B1740" s="4">
        <v>0.26180555555555557</v>
      </c>
      <c r="C1740" s="5" t="s">
        <v>8</v>
      </c>
      <c r="D1740" s="5" t="s">
        <v>595</v>
      </c>
      <c r="E1740" s="6" t="s">
        <v>247</v>
      </c>
      <c r="F1740" s="7" t="s">
        <v>387</v>
      </c>
      <c r="G1740" s="6" t="str">
        <f>VLOOKUP(E1740,dicionario!$A$1:$C2139,2,0)</f>
        <v>Emilia sonchifolia</v>
      </c>
      <c r="H1740" s="6" t="str">
        <f>VLOOKUP(E1740,dicionario!$A$1:$C2139,3,0)</f>
        <v>serralinha</v>
      </c>
    </row>
    <row r="1741">
      <c r="A1741" s="3">
        <v>45596.0</v>
      </c>
      <c r="B1741" s="4">
        <v>0.2625</v>
      </c>
      <c r="C1741" s="5" t="s">
        <v>8</v>
      </c>
      <c r="D1741" s="5" t="s">
        <v>595</v>
      </c>
      <c r="E1741" s="6" t="s">
        <v>245</v>
      </c>
      <c r="F1741" s="7" t="s">
        <v>246</v>
      </c>
      <c r="G1741" s="6" t="str">
        <f>VLOOKUP(E1741,dicionario!$A$1:$C2140,2,0)</f>
        <v>Hemiargus hanno</v>
      </c>
      <c r="H1741" s="6" t="str">
        <f>VLOOKUP(E1741,dicionario!$A$1:$C2140,3,0)</f>
        <v>borboleta-azulzinha-do-trevo</v>
      </c>
    </row>
    <row r="1742">
      <c r="A1742" s="3">
        <v>45596.0</v>
      </c>
      <c r="B1742" s="4">
        <v>0.2625</v>
      </c>
      <c r="C1742" s="5" t="s">
        <v>8</v>
      </c>
      <c r="D1742" s="5" t="s">
        <v>595</v>
      </c>
      <c r="E1742" s="6" t="s">
        <v>12</v>
      </c>
      <c r="F1742" s="7" t="s">
        <v>13</v>
      </c>
      <c r="G1742" s="6" t="str">
        <f>VLOOKUP(E1742,dicionario!$A$1:$C2141,2,0)</f>
        <v>Eulaema nigrita</v>
      </c>
      <c r="H1742" s="6" t="str">
        <f>VLOOKUP(E1742,dicionario!$A$1:$C2141,3,0)</f>
        <v>abelha-de-orquídea</v>
      </c>
    </row>
    <row r="1743">
      <c r="A1743" s="3">
        <v>45596.0</v>
      </c>
      <c r="B1743" s="4">
        <v>0.2625</v>
      </c>
      <c r="C1743" s="5" t="s">
        <v>8</v>
      </c>
      <c r="D1743" s="5" t="s">
        <v>595</v>
      </c>
      <c r="E1743" s="6" t="s">
        <v>471</v>
      </c>
      <c r="F1743" s="7" t="s">
        <v>472</v>
      </c>
      <c r="G1743" s="6" t="str">
        <f>VLOOKUP(E1743,dicionario!$A$1:$C2142,2,0)</f>
        <v>Sida acuta</v>
      </c>
      <c r="H1743" s="6" t="str">
        <f>VLOOKUP(E1743,dicionario!$A$1:$C2142,3,0)</f>
        <v>reloginho</v>
      </c>
    </row>
    <row r="1744">
      <c r="A1744" s="3">
        <v>45596.0</v>
      </c>
      <c r="B1744" s="4">
        <v>0.26319444444444445</v>
      </c>
      <c r="C1744" s="5" t="s">
        <v>8</v>
      </c>
      <c r="D1744" s="5" t="s">
        <v>595</v>
      </c>
      <c r="E1744" s="6" t="s">
        <v>271</v>
      </c>
      <c r="F1744" s="7" t="s">
        <v>272</v>
      </c>
      <c r="G1744" s="6" t="str">
        <f>VLOOKUP(E1744,dicionario!$A$1:$C2143,2,0)</f>
        <v>Cyanthillium cinereum</v>
      </c>
      <c r="H1744" s="6" t="str">
        <f>VLOOKUP(E1744,dicionario!$A$1:$C2143,3,0)</f>
        <v>emília</v>
      </c>
    </row>
    <row r="1745">
      <c r="A1745" s="3">
        <v>45596.0</v>
      </c>
      <c r="B1745" s="4">
        <v>0.2638888888888889</v>
      </c>
      <c r="C1745" s="5" t="s">
        <v>8</v>
      </c>
      <c r="D1745" s="5" t="s">
        <v>595</v>
      </c>
      <c r="E1745" s="6" t="s">
        <v>69</v>
      </c>
      <c r="F1745" s="7" t="s">
        <v>71</v>
      </c>
      <c r="G1745" s="6" t="str">
        <f>VLOOKUP(E1745,dicionario!$A$1:$C2144,2,0)</f>
        <v>Talinum fruticosum</v>
      </c>
      <c r="H1745" s="6" t="str">
        <f>VLOOKUP(E1745,dicionario!$A$1:$C2144,3,0)</f>
        <v>beldroega-grande</v>
      </c>
    </row>
    <row r="1746">
      <c r="A1746" s="3">
        <v>45596.0</v>
      </c>
      <c r="B1746" s="4">
        <v>0.2638888888888889</v>
      </c>
      <c r="C1746" s="5" t="s">
        <v>8</v>
      </c>
      <c r="D1746" s="5" t="s">
        <v>595</v>
      </c>
      <c r="E1746" s="6" t="s">
        <v>195</v>
      </c>
      <c r="F1746" s="7" t="s">
        <v>196</v>
      </c>
      <c r="G1746" s="6" t="str">
        <f>VLOOKUP(E1746,dicionario!$A$1:$C2145,2,0)</f>
        <v>Priva lappulacea</v>
      </c>
      <c r="H1746" s="6" t="str">
        <f>VLOOKUP(E1746,dicionario!$A$1:$C2145,3,0)</f>
        <v>carrapicho</v>
      </c>
    </row>
    <row r="1747">
      <c r="A1747" s="3">
        <v>45596.0</v>
      </c>
      <c r="B1747" s="4">
        <v>0.2638888888888889</v>
      </c>
      <c r="C1747" s="5" t="s">
        <v>8</v>
      </c>
      <c r="D1747" s="5" t="s">
        <v>595</v>
      </c>
      <c r="E1747" s="6" t="s">
        <v>258</v>
      </c>
      <c r="F1747" s="7" t="s">
        <v>259</v>
      </c>
      <c r="G1747" s="6" t="str">
        <f>VLOOKUP(E1747,dicionario!$A$1:$C2146,2,0)</f>
        <v>Lantana camara</v>
      </c>
      <c r="H1747" s="6" t="str">
        <f>VLOOKUP(E1747,dicionario!$A$1:$C2146,3,0)</f>
        <v>lantana</v>
      </c>
    </row>
    <row r="1748">
      <c r="A1748" s="3">
        <v>45596.0</v>
      </c>
      <c r="B1748" s="4">
        <v>0.2638888888888889</v>
      </c>
      <c r="C1748" s="5" t="s">
        <v>8</v>
      </c>
      <c r="D1748" s="5" t="s">
        <v>595</v>
      </c>
      <c r="E1748" s="6" t="s">
        <v>364</v>
      </c>
      <c r="F1748" s="7" t="s">
        <v>365</v>
      </c>
      <c r="G1748" s="6" t="str">
        <f>VLOOKUP(E1748,dicionario!$A$1:$C2147,2,0)</f>
        <v>#N/A</v>
      </c>
      <c r="H1748" s="6" t="str">
        <f>VLOOKUP(E1748,dicionario!$A$1:$C2147,3,0)</f>
        <v>#N/A</v>
      </c>
    </row>
    <row r="1749">
      <c r="A1749" s="3">
        <v>45596.0</v>
      </c>
      <c r="B1749" s="4">
        <v>0.26458333333333334</v>
      </c>
      <c r="C1749" s="5" t="s">
        <v>8</v>
      </c>
      <c r="D1749" s="5" t="s">
        <v>595</v>
      </c>
      <c r="E1749" s="6" t="s">
        <v>91</v>
      </c>
      <c r="F1749" s="7" t="s">
        <v>92</v>
      </c>
      <c r="G1749" s="6" t="str">
        <f>VLOOKUP(E1749,dicionario!$A$1:$C2148,2,0)</f>
        <v>Picumnus cirratus</v>
      </c>
      <c r="H1749" s="6" t="str">
        <f>VLOOKUP(E1749,dicionario!$A$1:$C2148,3,0)</f>
        <v>picapauzinho-barrado</v>
      </c>
    </row>
    <row r="1750">
      <c r="A1750" s="3">
        <v>45596.0</v>
      </c>
      <c r="B1750" s="4">
        <v>0.2659722222222222</v>
      </c>
      <c r="C1750" s="5" t="s">
        <v>8</v>
      </c>
      <c r="D1750" s="5" t="s">
        <v>595</v>
      </c>
      <c r="E1750" s="6" t="s">
        <v>599</v>
      </c>
      <c r="F1750" s="7" t="s">
        <v>600</v>
      </c>
      <c r="G1750" s="6" t="str">
        <f>VLOOKUP(E1750,dicionario!$A$1:$C2149,2,0)</f>
        <v>Emilia fosbergii</v>
      </c>
      <c r="H1750" s="6" t="str">
        <f>VLOOKUP(E1750,dicionario!$A$1:$C2149,3,0)</f>
        <v>algodão-de-preá</v>
      </c>
    </row>
    <row r="1751">
      <c r="A1751" s="3">
        <v>45596.0</v>
      </c>
      <c r="B1751" s="4">
        <v>0.2659722222222222</v>
      </c>
      <c r="C1751" s="5" t="s">
        <v>8</v>
      </c>
      <c r="D1751" s="5" t="s">
        <v>595</v>
      </c>
      <c r="E1751" s="6" t="s">
        <v>343</v>
      </c>
      <c r="F1751" s="7" t="s">
        <v>192</v>
      </c>
      <c r="G1751" s="6" t="str">
        <f>VLOOKUP(E1751,dicionario!$A$1:$C2150,2,0)</f>
        <v>#N/A</v>
      </c>
      <c r="H1751" s="6" t="str">
        <f>VLOOKUP(E1751,dicionario!$A$1:$C2150,3,0)</f>
        <v>#N/A</v>
      </c>
    </row>
    <row r="1752">
      <c r="A1752" s="3">
        <v>45596.0</v>
      </c>
      <c r="B1752" s="4">
        <v>0.2659722222222222</v>
      </c>
      <c r="C1752" s="5" t="s">
        <v>8</v>
      </c>
      <c r="D1752" s="5" t="s">
        <v>595</v>
      </c>
      <c r="E1752" s="6" t="s">
        <v>288</v>
      </c>
      <c r="F1752" s="7" t="s">
        <v>289</v>
      </c>
      <c r="G1752" s="6" t="str">
        <f>VLOOKUP(E1752,dicionario!$A$1:$C2151,2,0)</f>
        <v>Phyllanthus tenellus</v>
      </c>
      <c r="H1752" s="6" t="str">
        <f>VLOOKUP(E1752,dicionario!$A$1:$C2151,3,0)</f>
        <v>quebra-pedra</v>
      </c>
    </row>
    <row r="1753">
      <c r="A1753" s="3">
        <v>45596.0</v>
      </c>
      <c r="B1753" s="4">
        <v>0.2659722222222222</v>
      </c>
      <c r="C1753" s="5" t="s">
        <v>8</v>
      </c>
      <c r="D1753" s="5" t="s">
        <v>595</v>
      </c>
      <c r="E1753" s="6" t="s">
        <v>146</v>
      </c>
      <c r="F1753" s="7" t="s">
        <v>147</v>
      </c>
      <c r="G1753" s="6" t="str">
        <f>VLOOKUP(E1753,dicionario!$A$1:$C2152,2,0)</f>
        <v>Euphorbia hirta</v>
      </c>
      <c r="H1753" s="6" t="str">
        <f>VLOOKUP(E1753,dicionario!$A$1:$C2152,3,0)</f>
        <v>erva-de-santa-luzia</v>
      </c>
    </row>
    <row r="1754">
      <c r="A1754" s="3">
        <v>45596.0</v>
      </c>
      <c r="B1754" s="4">
        <v>0.2659722222222222</v>
      </c>
      <c r="C1754" s="5" t="s">
        <v>8</v>
      </c>
      <c r="D1754" s="5" t="s">
        <v>595</v>
      </c>
      <c r="E1754" s="6" t="s">
        <v>227</v>
      </c>
      <c r="F1754" s="7" t="s">
        <v>228</v>
      </c>
      <c r="G1754" s="6" t="str">
        <f>VLOOKUP(E1754,dicionario!$A$1:$C2153,2,0)</f>
        <v>Indigofera hirsuta</v>
      </c>
      <c r="H1754" s="6" t="str">
        <f>VLOOKUP(E1754,dicionario!$A$1:$C2153,3,0)</f>
        <v>anileira</v>
      </c>
    </row>
    <row r="1755">
      <c r="A1755" s="3">
        <v>45596.0</v>
      </c>
      <c r="B1755" s="4">
        <v>0.26666666666666666</v>
      </c>
      <c r="C1755" s="5" t="s">
        <v>26</v>
      </c>
      <c r="D1755" s="5" t="s">
        <v>595</v>
      </c>
      <c r="E1755" s="6" t="s">
        <v>41</v>
      </c>
      <c r="F1755" s="7" t="s">
        <v>45</v>
      </c>
      <c r="G1755" s="6" t="str">
        <f>VLOOKUP(E1755,dicionario!$A$1:$C2154,2,0)</f>
        <v>Mimosa pudica</v>
      </c>
      <c r="H1755" s="6" t="str">
        <f>VLOOKUP(E1755,dicionario!$A$1:$C2154,3,0)</f>
        <v>dormideira</v>
      </c>
    </row>
    <row r="1756">
      <c r="A1756" s="3">
        <v>45596.0</v>
      </c>
      <c r="B1756" s="4">
        <v>0.26666666666666666</v>
      </c>
      <c r="C1756" s="5" t="s">
        <v>26</v>
      </c>
      <c r="D1756" s="5" t="s">
        <v>595</v>
      </c>
      <c r="E1756" s="6" t="s">
        <v>217</v>
      </c>
      <c r="F1756" s="7" t="s">
        <v>218</v>
      </c>
      <c r="G1756" s="6" t="str">
        <f>VLOOKUP(E1756,dicionario!$A$1:$C2155,2,0)</f>
        <v>Athene cunicularia</v>
      </c>
      <c r="H1756" s="6" t="str">
        <f>VLOOKUP(E1756,dicionario!$A$1:$C2155,3,0)</f>
        <v>coruja-buraqueira</v>
      </c>
    </row>
    <row r="1757">
      <c r="A1757" s="3">
        <v>45596.0</v>
      </c>
      <c r="B1757" s="4">
        <v>0.26666666666666666</v>
      </c>
      <c r="C1757" s="5" t="s">
        <v>26</v>
      </c>
      <c r="D1757" s="5" t="s">
        <v>595</v>
      </c>
      <c r="E1757" s="6" t="s">
        <v>14</v>
      </c>
      <c r="F1757" s="7" t="s">
        <v>596</v>
      </c>
      <c r="G1757" s="6" t="str">
        <f>VLOOKUP(E1757,dicionario!$A$1:$C2156,2,0)</f>
        <v>Spermacoce verticillata</v>
      </c>
      <c r="H1757" s="6" t="str">
        <f>VLOOKUP(E1757,dicionario!$A$1:$C2156,3,0)</f>
        <v>vassourinha-de-botão</v>
      </c>
    </row>
    <row r="1758">
      <c r="A1758" s="3">
        <v>45596.0</v>
      </c>
      <c r="B1758" s="4">
        <v>0.2673611111111111</v>
      </c>
      <c r="C1758" s="5" t="s">
        <v>26</v>
      </c>
      <c r="D1758" s="5" t="s">
        <v>595</v>
      </c>
      <c r="E1758" s="6" t="s">
        <v>118</v>
      </c>
      <c r="F1758" s="7" t="s">
        <v>119</v>
      </c>
      <c r="G1758" s="6" t="str">
        <f>VLOOKUP(E1758,dicionario!$A$1:$C2157,2,0)</f>
        <v>Agaricus</v>
      </c>
      <c r="H1758" s="6" t="str">
        <f>VLOOKUP(E1758,dicionario!$A$1:$C2157,3,0)</f>
        <v>cogumelo</v>
      </c>
    </row>
    <row r="1759">
      <c r="A1759" s="3">
        <v>45596.0</v>
      </c>
      <c r="B1759" s="4">
        <v>0.2673611111111111</v>
      </c>
      <c r="C1759" s="5" t="s">
        <v>26</v>
      </c>
      <c r="D1759" s="5" t="s">
        <v>595</v>
      </c>
      <c r="E1759" s="6" t="s">
        <v>353</v>
      </c>
      <c r="F1759" s="7" t="s">
        <v>354</v>
      </c>
      <c r="G1759" s="6" t="str">
        <f>VLOOKUP(E1759,dicionario!$A$1:$C2158,2,0)</f>
        <v>Desmodium incanum</v>
      </c>
      <c r="H1759" s="6" t="str">
        <f>VLOOKUP(E1759,dicionario!$A$1:$C2158,3,0)</f>
        <v>pega-pega</v>
      </c>
    </row>
    <row r="1760">
      <c r="A1760" s="3">
        <v>45596.0</v>
      </c>
      <c r="B1760" s="4">
        <v>0.26805555555555555</v>
      </c>
      <c r="C1760" s="5" t="s">
        <v>26</v>
      </c>
      <c r="D1760" s="5" t="s">
        <v>595</v>
      </c>
      <c r="E1760" s="6" t="s">
        <v>227</v>
      </c>
      <c r="F1760" s="7" t="s">
        <v>228</v>
      </c>
      <c r="G1760" s="6" t="str">
        <f>VLOOKUP(E1760,dicionario!$A$1:$C2159,2,0)</f>
        <v>Indigofera hirsuta</v>
      </c>
      <c r="H1760" s="6" t="str">
        <f>VLOOKUP(E1760,dicionario!$A$1:$C2159,3,0)</f>
        <v>anileira</v>
      </c>
    </row>
    <row r="1761">
      <c r="A1761" s="3">
        <v>45596.0</v>
      </c>
      <c r="B1761" s="4">
        <v>0.26805555555555555</v>
      </c>
      <c r="C1761" s="5" t="s">
        <v>26</v>
      </c>
      <c r="D1761" s="5" t="s">
        <v>595</v>
      </c>
      <c r="E1761" s="6" t="s">
        <v>237</v>
      </c>
      <c r="F1761" s="7" t="s">
        <v>238</v>
      </c>
      <c r="G1761" s="6" t="str">
        <f>VLOOKUP(E1761,dicionario!$A$1:$C2160,2,0)</f>
        <v>Acromyrmex</v>
      </c>
      <c r="H1761" s="6" t="str">
        <f>VLOOKUP(E1761,dicionario!$A$1:$C2160,3,0)</f>
        <v>quenquén</v>
      </c>
    </row>
    <row r="1762">
      <c r="A1762" s="3">
        <v>45596.0</v>
      </c>
      <c r="B1762" s="4">
        <v>0.26875</v>
      </c>
      <c r="C1762" s="5" t="s">
        <v>26</v>
      </c>
      <c r="D1762" s="5" t="s">
        <v>595</v>
      </c>
      <c r="E1762" s="6" t="s">
        <v>65</v>
      </c>
      <c r="F1762" s="7" t="s">
        <v>66</v>
      </c>
      <c r="G1762" s="6" t="str">
        <f>VLOOKUP(E1762,dicionario!$A$1:$C2161,2,0)</f>
        <v>Pitangus sulphutarus</v>
      </c>
      <c r="H1762" s="6" t="str">
        <f>VLOOKUP(E1762,dicionario!$A$1:$C2161,3,0)</f>
        <v>bem-te-vi</v>
      </c>
    </row>
    <row r="1763">
      <c r="A1763" s="3">
        <v>45596.0</v>
      </c>
      <c r="B1763" s="4">
        <v>0.27152777777777776</v>
      </c>
      <c r="C1763" s="5" t="s">
        <v>26</v>
      </c>
      <c r="D1763" s="5" t="s">
        <v>595</v>
      </c>
      <c r="E1763" s="6" t="s">
        <v>360</v>
      </c>
      <c r="F1763" s="7" t="s">
        <v>361</v>
      </c>
      <c r="G1763" s="6" t="str">
        <f>VLOOKUP(E1763,dicionario!$A$1:$C2162,2,0)</f>
        <v>Chamaecrista rotundifolia</v>
      </c>
      <c r="H1763" s="6" t="str">
        <f>VLOOKUP(E1763,dicionario!$A$1:$C2162,3,0)</f>
        <v>alfafa-nativa</v>
      </c>
    </row>
    <row r="1764">
      <c r="A1764" s="3">
        <v>45596.0</v>
      </c>
      <c r="B1764" s="4">
        <v>0.27152777777777776</v>
      </c>
      <c r="C1764" s="5" t="s">
        <v>26</v>
      </c>
      <c r="D1764" s="5" t="s">
        <v>595</v>
      </c>
      <c r="E1764" s="6" t="s">
        <v>601</v>
      </c>
      <c r="F1764" s="7" t="s">
        <v>359</v>
      </c>
      <c r="G1764" s="6" t="str">
        <f>VLOOKUP(E1764,dicionario!$A$1:$C2163,2,0)</f>
        <v>#N/A</v>
      </c>
      <c r="H1764" s="6" t="str">
        <f>VLOOKUP(E1764,dicionario!$A$1:$C2163,3,0)</f>
        <v>#N/A</v>
      </c>
    </row>
    <row r="1765">
      <c r="A1765" s="3">
        <v>45596.0</v>
      </c>
      <c r="B1765" s="4">
        <v>0.2722222222222222</v>
      </c>
      <c r="C1765" s="5" t="s">
        <v>26</v>
      </c>
      <c r="D1765" s="5" t="s">
        <v>595</v>
      </c>
      <c r="E1765" s="6" t="s">
        <v>60</v>
      </c>
      <c r="F1765" s="7" t="s">
        <v>61</v>
      </c>
      <c r="G1765" s="6" t="str">
        <f>VLOOKUP(E1765,dicionario!$A$1:$C2164,2,0)</f>
        <v>Vanellus chilensis</v>
      </c>
      <c r="H1765" s="6" t="str">
        <f>VLOOKUP(E1765,dicionario!$A$1:$C2164,3,0)</f>
        <v>quero-quero</v>
      </c>
    </row>
    <row r="1766">
      <c r="A1766" s="3">
        <v>45596.0</v>
      </c>
      <c r="B1766" s="4">
        <v>0.27291666666666664</v>
      </c>
      <c r="C1766" s="5" t="s">
        <v>26</v>
      </c>
      <c r="D1766" s="5" t="s">
        <v>595</v>
      </c>
      <c r="E1766" s="6" t="s">
        <v>302</v>
      </c>
      <c r="F1766" s="7" t="s">
        <v>303</v>
      </c>
      <c r="G1766" s="6" t="str">
        <f>VLOOKUP(E1766,dicionario!$A$1:$C2165,2,0)</f>
        <v>Machetornis rixosa</v>
      </c>
      <c r="H1766" s="6" t="str">
        <f>VLOOKUP(E1766,dicionario!$A$1:$C2165,3,0)</f>
        <v>suiriri-cavaleiro</v>
      </c>
    </row>
    <row r="1767">
      <c r="A1767" s="3">
        <v>45596.0</v>
      </c>
      <c r="B1767" s="4">
        <v>0.27361111111111114</v>
      </c>
      <c r="C1767" s="5" t="s">
        <v>26</v>
      </c>
      <c r="D1767" s="5" t="s">
        <v>595</v>
      </c>
      <c r="E1767" s="6" t="s">
        <v>113</v>
      </c>
      <c r="F1767" s="7" t="s">
        <v>114</v>
      </c>
      <c r="G1767" s="6" t="str">
        <f>VLOOKUP(E1767,dicionario!$A$1:$C2166,2,0)</f>
        <v>Columbina talpacoti</v>
      </c>
      <c r="H1767" s="6" t="str">
        <f>VLOOKUP(E1767,dicionario!$A$1:$C2166,3,0)</f>
        <v>rolinha-roxa</v>
      </c>
    </row>
    <row r="1768">
      <c r="A1768" s="3">
        <v>45596.0</v>
      </c>
      <c r="B1768" s="4">
        <v>0.2743055555555556</v>
      </c>
      <c r="C1768" s="5" t="s">
        <v>33</v>
      </c>
      <c r="D1768" s="5" t="s">
        <v>595</v>
      </c>
      <c r="E1768" s="6" t="s">
        <v>154</v>
      </c>
      <c r="F1768" s="7" t="s">
        <v>155</v>
      </c>
      <c r="G1768" s="6" t="str">
        <f>VLOOKUP(E1768,dicionario!$A$1:$C2167,2,0)</f>
        <v>Cyperus rotundus</v>
      </c>
      <c r="H1768" s="6" t="str">
        <f>VLOOKUP(E1768,dicionario!$A$1:$C2167,3,0)</f>
        <v>tiririca</v>
      </c>
    </row>
    <row r="1769">
      <c r="A1769" s="3">
        <v>45596.0</v>
      </c>
      <c r="B1769" s="4">
        <v>0.275</v>
      </c>
      <c r="C1769" s="5" t="s">
        <v>33</v>
      </c>
      <c r="D1769" s="5" t="s">
        <v>595</v>
      </c>
      <c r="E1769" s="6" t="s">
        <v>122</v>
      </c>
      <c r="F1769" s="7" t="s">
        <v>123</v>
      </c>
      <c r="G1769" s="6" t="str">
        <f>VLOOKUP(E1769,dicionario!$A$1:$C2168,2,0)</f>
        <v>Todirostrum cinereum</v>
      </c>
      <c r="H1769" s="6" t="str">
        <f>VLOOKUP(E1769,dicionario!$A$1:$C2168,3,0)</f>
        <v>ferreirinho-relógio</v>
      </c>
    </row>
    <row r="1770">
      <c r="A1770" s="3">
        <v>45596.0</v>
      </c>
      <c r="B1770" s="4">
        <v>0.275</v>
      </c>
      <c r="C1770" s="5" t="s">
        <v>33</v>
      </c>
      <c r="D1770" s="5" t="s">
        <v>595</v>
      </c>
      <c r="E1770" s="6" t="s">
        <v>602</v>
      </c>
      <c r="F1770" s="7" t="s">
        <v>603</v>
      </c>
      <c r="G1770" s="6" t="str">
        <f>VLOOKUP(E1770,dicionario!$A$1:$C2169,2,0)</f>
        <v>Trametes sanguinea</v>
      </c>
      <c r="H1770" s="6" t="str">
        <f>VLOOKUP(E1770,dicionario!$A$1:$C2169,3,0)</f>
        <v>orelha-de-pau</v>
      </c>
    </row>
    <row r="1771">
      <c r="A1771" s="3">
        <v>45596.0</v>
      </c>
      <c r="B1771" s="4">
        <v>0.27569444444444446</v>
      </c>
      <c r="C1771" s="5" t="s">
        <v>33</v>
      </c>
      <c r="D1771" s="5" t="s">
        <v>595</v>
      </c>
      <c r="E1771" s="18" t="s">
        <v>109</v>
      </c>
      <c r="F1771" s="7" t="s">
        <v>110</v>
      </c>
      <c r="G1771" s="6" t="str">
        <f>VLOOKUP(E1771,dicionario!$A$1:$C2170,2,0)</f>
        <v>Tillandsia stricta</v>
      </c>
      <c r="H1771" s="6" t="str">
        <f>VLOOKUP(E1771,dicionario!$A$1:$C2170,3,0)</f>
        <v>cravo-do-mato</v>
      </c>
    </row>
    <row r="1772">
      <c r="A1772" s="3">
        <v>45596.0</v>
      </c>
      <c r="B1772" s="4">
        <v>0.2763888888888889</v>
      </c>
      <c r="C1772" s="5" t="s">
        <v>33</v>
      </c>
      <c r="D1772" s="5" t="s">
        <v>595</v>
      </c>
      <c r="E1772" s="8" t="s">
        <v>38</v>
      </c>
      <c r="F1772" s="5" t="s">
        <v>39</v>
      </c>
      <c r="G1772" s="6" t="str">
        <f>VLOOKUP(E1772,dicionario!$A$1:$C2171,2,0)</f>
        <v>Troglodytes musculus</v>
      </c>
      <c r="H1772" s="6" t="str">
        <f>VLOOKUP(E1772,dicionario!$A$1:$C2171,3,0)</f>
        <v>curruíra</v>
      </c>
    </row>
    <row r="1773">
      <c r="A1773" s="3">
        <v>45596.0</v>
      </c>
      <c r="B1773" s="4">
        <v>0.2763888888888889</v>
      </c>
      <c r="C1773" s="5" t="s">
        <v>33</v>
      </c>
      <c r="D1773" s="5" t="s">
        <v>595</v>
      </c>
      <c r="E1773" s="6" t="s">
        <v>177</v>
      </c>
      <c r="F1773" s="7" t="s">
        <v>506</v>
      </c>
      <c r="G1773" s="6" t="str">
        <f>VLOOKUP(E1773,dicionario!$A$1:$C2172,2,0)</f>
        <v>Elaenia flavogaster</v>
      </c>
      <c r="H1773" s="6" t="str">
        <f>VLOOKUP(E1773,dicionario!$A$1:$C2172,3,0)</f>
        <v>guaracava-de-barriga-amarela</v>
      </c>
    </row>
    <row r="1774">
      <c r="A1774" s="3">
        <v>45596.0</v>
      </c>
      <c r="B1774" s="4">
        <v>0.27708333333333335</v>
      </c>
      <c r="C1774" s="5" t="s">
        <v>33</v>
      </c>
      <c r="D1774" s="5" t="s">
        <v>595</v>
      </c>
      <c r="E1774" s="8" t="s">
        <v>405</v>
      </c>
      <c r="F1774" s="7" t="s">
        <v>35</v>
      </c>
      <c r="G1774" s="6" t="str">
        <f>VLOOKUP(E1774,dicionario!$A$1:$C2173,2,0)</f>
        <v>Ectatomma</v>
      </c>
      <c r="H1774" s="6" t="str">
        <f>VLOOKUP(E1774,dicionario!$A$1:$C2173,3,0)</f>
        <v>formiga-preta</v>
      </c>
    </row>
    <row r="1775">
      <c r="A1775" s="3">
        <v>45596.0</v>
      </c>
      <c r="B1775" s="4">
        <v>0.2777777777777778</v>
      </c>
      <c r="C1775" s="5" t="s">
        <v>33</v>
      </c>
      <c r="D1775" s="5" t="s">
        <v>595</v>
      </c>
      <c r="E1775" s="8" t="s">
        <v>604</v>
      </c>
      <c r="F1775" s="7" t="s">
        <v>605</v>
      </c>
      <c r="G1775" s="6" t="str">
        <f>VLOOKUP(E1775,dicionario!$A$1:$C2174,2,0)</f>
        <v>#N/A</v>
      </c>
      <c r="H1775" s="6" t="str">
        <f>VLOOKUP(E1775,dicionario!$A$1:$C2174,3,0)</f>
        <v>#N/A</v>
      </c>
    </row>
    <row r="1776">
      <c r="A1776" s="3">
        <v>45596.0</v>
      </c>
      <c r="B1776" s="4">
        <v>0.2791666666666667</v>
      </c>
      <c r="C1776" s="5" t="s">
        <v>33</v>
      </c>
      <c r="D1776" s="5" t="s">
        <v>595</v>
      </c>
      <c r="E1776" s="6" t="s">
        <v>169</v>
      </c>
      <c r="F1776" s="7" t="s">
        <v>170</v>
      </c>
      <c r="G1776" s="6" t="str">
        <f>VLOOKUP(E1776,dicionario!$A$1:$C2175,2,0)</f>
        <v>Camponotus cruentatus</v>
      </c>
      <c r="H1776" s="6" t="str">
        <f>VLOOKUP(E1776,dicionario!$A$1:$C2175,3,0)</f>
        <v>formiga-carpinteira</v>
      </c>
    </row>
    <row r="1777">
      <c r="A1777" s="3">
        <v>45596.0</v>
      </c>
      <c r="B1777" s="4">
        <v>0.2791666666666667</v>
      </c>
      <c r="C1777" s="5" t="s">
        <v>33</v>
      </c>
      <c r="D1777" s="5" t="s">
        <v>595</v>
      </c>
      <c r="E1777" s="6" t="s">
        <v>191</v>
      </c>
      <c r="F1777" s="7" t="s">
        <v>192</v>
      </c>
      <c r="G1777" s="6" t="str">
        <f>VLOOKUP(E1777,dicionario!$A$1:$C2176,2,0)</f>
        <v>Patagioenas picazuro</v>
      </c>
      <c r="H1777" s="6" t="str">
        <f>VLOOKUP(E1777,dicionario!$A$1:$C2176,3,0)</f>
        <v>asa-branca; pomba-asa-branca; pocaçu</v>
      </c>
    </row>
    <row r="1778">
      <c r="A1778" s="3">
        <v>45596.0</v>
      </c>
      <c r="B1778" s="4">
        <v>0.2791666666666667</v>
      </c>
      <c r="C1778" s="5" t="s">
        <v>33</v>
      </c>
      <c r="D1778" s="5" t="s">
        <v>595</v>
      </c>
      <c r="E1778" s="6" t="s">
        <v>606</v>
      </c>
      <c r="F1778" s="7" t="s">
        <v>607</v>
      </c>
      <c r="G1778" s="6" t="str">
        <f>VLOOKUP(E1778,dicionario!$A$1:$C2177,2,0)</f>
        <v>Elaenia spectabilis</v>
      </c>
      <c r="H1778" s="6" t="str">
        <f>VLOOKUP(E1778,dicionario!$A$1:$C2177,3,0)</f>
        <v>guaracava-grande</v>
      </c>
    </row>
    <row r="1779">
      <c r="A1779" s="3">
        <v>45596.0</v>
      </c>
      <c r="B1779" s="4">
        <v>0.2798611111111111</v>
      </c>
      <c r="C1779" s="5" t="s">
        <v>33</v>
      </c>
      <c r="D1779" s="5" t="s">
        <v>595</v>
      </c>
      <c r="E1779" s="6" t="s">
        <v>88</v>
      </c>
      <c r="F1779" s="7" t="s">
        <v>89</v>
      </c>
      <c r="G1779" s="6" t="str">
        <f>VLOOKUP(E1779,dicionario!$A$1:$C2178,2,0)</f>
        <v>Tyrannus melancolichus</v>
      </c>
      <c r="H1779" s="6" t="str">
        <f>VLOOKUP(E1779,dicionario!$A$1:$C2178,3,0)</f>
        <v>suiriri</v>
      </c>
    </row>
    <row r="1780">
      <c r="A1780" s="3">
        <v>45596.0</v>
      </c>
      <c r="B1780" s="4">
        <v>0.2798611111111111</v>
      </c>
      <c r="C1780" s="5" t="s">
        <v>33</v>
      </c>
      <c r="D1780" s="5" t="s">
        <v>595</v>
      </c>
      <c r="E1780" s="38" t="s">
        <v>587</v>
      </c>
      <c r="F1780" s="31"/>
      <c r="G1780" s="6" t="str">
        <f>VLOOKUP(E1780,dicionario!$A$1:$C2179,2,0)</f>
        <v>#N/A</v>
      </c>
      <c r="H1780" s="6" t="str">
        <f>VLOOKUP(E1780,dicionario!$A$1:$C2179,3,0)</f>
        <v>#N/A</v>
      </c>
    </row>
    <row r="1781">
      <c r="A1781" s="3">
        <v>45596.0</v>
      </c>
      <c r="B1781" s="4">
        <v>0.2798611111111111</v>
      </c>
      <c r="C1781" s="5" t="s">
        <v>33</v>
      </c>
      <c r="D1781" s="5" t="s">
        <v>595</v>
      </c>
      <c r="E1781" s="6" t="s">
        <v>608</v>
      </c>
      <c r="F1781" s="7" t="s">
        <v>609</v>
      </c>
      <c r="G1781" s="6" t="str">
        <f>VLOOKUP(E1781,dicionario!$A$1:$C2180,2,0)</f>
        <v>#N/A</v>
      </c>
      <c r="H1781" s="6" t="str">
        <f>VLOOKUP(E1781,dicionario!$A$1:$C2180,3,0)</f>
        <v>#N/A</v>
      </c>
    </row>
    <row r="1782">
      <c r="A1782" s="3">
        <v>45596.0</v>
      </c>
      <c r="B1782" s="4">
        <v>0.2798611111111111</v>
      </c>
      <c r="C1782" s="5" t="s">
        <v>33</v>
      </c>
      <c r="D1782" s="5" t="s">
        <v>595</v>
      </c>
      <c r="E1782" s="6" t="s">
        <v>489</v>
      </c>
      <c r="F1782" s="7" t="s">
        <v>521</v>
      </c>
      <c r="G1782" s="6" t="str">
        <f>VLOOKUP(E1782,dicionario!$A$1:$C2181,2,0)</f>
        <v>Cenchrus echinatus</v>
      </c>
      <c r="H1782" s="6" t="str">
        <f>VLOOKUP(E1782,dicionario!$A$1:$C2181,3,0)</f>
        <v>capim-carrapicho</v>
      </c>
    </row>
    <row r="1783">
      <c r="A1783" s="3">
        <v>45596.0</v>
      </c>
      <c r="B1783" s="4">
        <v>0.28125</v>
      </c>
      <c r="C1783" s="5" t="s">
        <v>33</v>
      </c>
      <c r="D1783" s="5" t="s">
        <v>595</v>
      </c>
      <c r="E1783" s="8" t="s">
        <v>610</v>
      </c>
      <c r="F1783" s="7" t="s">
        <v>37</v>
      </c>
      <c r="G1783" s="6" t="str">
        <f>VLOOKUP(E1783,dicionario!$A$1:$C2182,2,0)</f>
        <v>#N/A</v>
      </c>
      <c r="H1783" s="6" t="str">
        <f>VLOOKUP(E1783,dicionario!$A$1:$C2182,3,0)</f>
        <v>#N/A</v>
      </c>
    </row>
    <row r="1784">
      <c r="A1784" s="3">
        <v>45596.0</v>
      </c>
      <c r="B1784" s="4">
        <v>0.28194444444444444</v>
      </c>
      <c r="C1784" s="5" t="s">
        <v>33</v>
      </c>
      <c r="D1784" s="5" t="s">
        <v>595</v>
      </c>
      <c r="E1784" s="6" t="s">
        <v>65</v>
      </c>
      <c r="F1784" s="7" t="s">
        <v>66</v>
      </c>
      <c r="G1784" s="6" t="str">
        <f>VLOOKUP(E1784,dicionario!$A$1:$C2183,2,0)</f>
        <v>Pitangus sulphutarus</v>
      </c>
      <c r="H1784" s="6" t="str">
        <f>VLOOKUP(E1784,dicionario!$A$1:$C2183,3,0)</f>
        <v>bem-te-vi</v>
      </c>
    </row>
    <row r="1785">
      <c r="A1785" s="3">
        <v>45596.0</v>
      </c>
      <c r="B1785" s="4">
        <v>0.28194444444444444</v>
      </c>
      <c r="C1785" s="5" t="s">
        <v>33</v>
      </c>
      <c r="D1785" s="5" t="s">
        <v>595</v>
      </c>
      <c r="E1785" s="6" t="s">
        <v>271</v>
      </c>
      <c r="F1785" s="7" t="s">
        <v>272</v>
      </c>
      <c r="G1785" s="6" t="str">
        <f>VLOOKUP(E1785,dicionario!$A$1:$C2184,2,0)</f>
        <v>Cyanthillium cinereum</v>
      </c>
      <c r="H1785" s="6" t="str">
        <f>VLOOKUP(E1785,dicionario!$A$1:$C2184,3,0)</f>
        <v>emília</v>
      </c>
    </row>
    <row r="1786">
      <c r="A1786" s="3">
        <v>45596.0</v>
      </c>
      <c r="B1786" s="4">
        <v>0.28194444444444444</v>
      </c>
      <c r="C1786" s="5" t="s">
        <v>33</v>
      </c>
      <c r="D1786" s="5" t="s">
        <v>595</v>
      </c>
      <c r="E1786" s="18" t="s">
        <v>611</v>
      </c>
      <c r="F1786" s="7" t="s">
        <v>612</v>
      </c>
      <c r="G1786" s="6" t="str">
        <f>VLOOKUP(E1786,dicionario!$A$1:$C2185,2,0)</f>
        <v>Boehmeria cylindrica</v>
      </c>
      <c r="H1786" s="6" t="str">
        <f>VLOOKUP(E1786,dicionario!$A$1:$C2185,3,0)</f>
        <v>falsa-urtiga</v>
      </c>
    </row>
    <row r="1787">
      <c r="A1787" s="3">
        <v>45596.0</v>
      </c>
      <c r="B1787" s="4">
        <v>0.2826388888888889</v>
      </c>
      <c r="C1787" s="5" t="s">
        <v>33</v>
      </c>
      <c r="D1787" s="5" t="s">
        <v>595</v>
      </c>
      <c r="E1787" s="6" t="s">
        <v>113</v>
      </c>
      <c r="F1787" s="7" t="s">
        <v>114</v>
      </c>
      <c r="G1787" s="6" t="str">
        <f>VLOOKUP(E1787,dicionario!$A$1:$C2186,2,0)</f>
        <v>Columbina talpacoti</v>
      </c>
      <c r="H1787" s="6" t="str">
        <f>VLOOKUP(E1787,dicionario!$A$1:$C2186,3,0)</f>
        <v>rolinha-roxa</v>
      </c>
    </row>
    <row r="1788">
      <c r="A1788" s="3">
        <v>45596.0</v>
      </c>
      <c r="B1788" s="4">
        <v>0.2826388888888889</v>
      </c>
      <c r="C1788" s="5" t="s">
        <v>33</v>
      </c>
      <c r="D1788" s="5" t="s">
        <v>595</v>
      </c>
      <c r="E1788" s="8" t="s">
        <v>46</v>
      </c>
      <c r="F1788" s="5" t="s">
        <v>47</v>
      </c>
      <c r="G1788" s="6" t="str">
        <f>VLOOKUP(E1788,dicionario!$A$1:$C2187,2,0)</f>
        <v>Chionomesa fimbriata</v>
      </c>
      <c r="H1788" s="6" t="str">
        <f>VLOOKUP(E1788,dicionario!$A$1:$C2187,3,0)</f>
        <v>beija-flor-de-garganta-verde</v>
      </c>
    </row>
    <row r="1789">
      <c r="A1789" s="3">
        <v>45596.0</v>
      </c>
      <c r="B1789" s="4">
        <v>0.2833333333333333</v>
      </c>
      <c r="C1789" s="5" t="s">
        <v>33</v>
      </c>
      <c r="D1789" s="5" t="s">
        <v>595</v>
      </c>
      <c r="E1789" s="6" t="s">
        <v>375</v>
      </c>
      <c r="F1789" s="7" t="s">
        <v>35</v>
      </c>
      <c r="G1789" s="6" t="str">
        <f>VLOOKUP(E1789,dicionario!$A$1:$C2188,2,0)</f>
        <v>Neoponera foetida</v>
      </c>
      <c r="H1789" s="6" t="str">
        <f>VLOOKUP(E1789,dicionario!$A$1:$C2188,3,0)</f>
        <v/>
      </c>
    </row>
    <row r="1790">
      <c r="A1790" s="3">
        <v>45596.0</v>
      </c>
      <c r="B1790" s="4">
        <v>0.2847222222222222</v>
      </c>
      <c r="C1790" s="5" t="s">
        <v>33</v>
      </c>
      <c r="D1790" s="5" t="s">
        <v>595</v>
      </c>
      <c r="E1790" s="6" t="s">
        <v>53</v>
      </c>
      <c r="F1790" s="7" t="s">
        <v>54</v>
      </c>
      <c r="G1790" s="6" t="str">
        <f>VLOOKUP(E1790,dicionario!$A$1:$C2189,2,0)</f>
        <v>Turnera subulata</v>
      </c>
      <c r="H1790" s="6" t="str">
        <f>VLOOKUP(E1790,dicionario!$A$1:$C2189,3,0)</f>
        <v>xanana</v>
      </c>
    </row>
    <row r="1791">
      <c r="A1791" s="3">
        <v>45596.0</v>
      </c>
      <c r="B1791" s="4">
        <v>0.2847222222222222</v>
      </c>
      <c r="C1791" s="5" t="s">
        <v>33</v>
      </c>
      <c r="D1791" s="5" t="s">
        <v>595</v>
      </c>
      <c r="E1791" s="6" t="s">
        <v>355</v>
      </c>
      <c r="F1791" s="7" t="s">
        <v>356</v>
      </c>
      <c r="G1791" s="6" t="str">
        <f>VLOOKUP(E1791,dicionario!$A$1:$C2190,2,0)</f>
        <v>Boerhavia diffusa</v>
      </c>
      <c r="H1791" s="6" t="str">
        <f>VLOOKUP(E1791,dicionario!$A$1:$C2190,3,0)</f>
        <v>erva-tostão</v>
      </c>
    </row>
    <row r="1792">
      <c r="A1792" s="3">
        <v>45596.0</v>
      </c>
      <c r="B1792" s="4">
        <v>0.28541666666666665</v>
      </c>
      <c r="C1792" s="5" t="s">
        <v>33</v>
      </c>
      <c r="D1792" s="5" t="s">
        <v>595</v>
      </c>
      <c r="E1792" s="6" t="s">
        <v>227</v>
      </c>
      <c r="F1792" s="7" t="s">
        <v>228</v>
      </c>
      <c r="G1792" s="6" t="str">
        <f>VLOOKUP(E1792,dicionario!$A$1:$C2191,2,0)</f>
        <v>Indigofera hirsuta</v>
      </c>
      <c r="H1792" s="6" t="str">
        <f>VLOOKUP(E1792,dicionario!$A$1:$C2191,3,0)</f>
        <v>anileira</v>
      </c>
    </row>
    <row r="1793">
      <c r="A1793" s="3">
        <v>45596.0</v>
      </c>
      <c r="B1793" s="4">
        <v>0.28541666666666665</v>
      </c>
      <c r="C1793" s="5" t="s">
        <v>33</v>
      </c>
      <c r="D1793" s="5" t="s">
        <v>595</v>
      </c>
      <c r="E1793" s="6" t="s">
        <v>135</v>
      </c>
      <c r="F1793" s="7" t="s">
        <v>136</v>
      </c>
      <c r="G1793" s="6" t="str">
        <f>VLOOKUP(E1793,dicionario!$A$1:$C2192,2,0)</f>
        <v>Tridax procumbens</v>
      </c>
      <c r="H1793" s="6" t="str">
        <f>VLOOKUP(E1793,dicionario!$A$1:$C2192,3,0)</f>
        <v>erva-de-touro</v>
      </c>
    </row>
    <row r="1794">
      <c r="A1794" s="3">
        <v>45596.0</v>
      </c>
      <c r="B1794" s="4">
        <v>0.28541666666666665</v>
      </c>
      <c r="C1794" s="5" t="s">
        <v>33</v>
      </c>
      <c r="D1794" s="5" t="s">
        <v>595</v>
      </c>
      <c r="E1794" s="6" t="s">
        <v>239</v>
      </c>
      <c r="F1794" s="7" t="s">
        <v>240</v>
      </c>
      <c r="G1794" s="6" t="str">
        <f>VLOOKUP(E1794,dicionario!$A$1:$C2193,2,0)</f>
        <v>Gomphrena celosioides</v>
      </c>
      <c r="H1794" s="6" t="str">
        <f>VLOOKUP(E1794,dicionario!$A$1:$C2193,3,0)</f>
        <v>perpétua-branca</v>
      </c>
    </row>
    <row r="1795">
      <c r="A1795" s="3">
        <v>45596.0</v>
      </c>
      <c r="B1795" s="4">
        <v>0.28541666666666665</v>
      </c>
      <c r="C1795" s="5" t="s">
        <v>33</v>
      </c>
      <c r="D1795" s="5" t="s">
        <v>595</v>
      </c>
      <c r="E1795" s="6" t="s">
        <v>262</v>
      </c>
      <c r="F1795" s="7" t="s">
        <v>263</v>
      </c>
      <c r="G1795" s="6" t="str">
        <f>VLOOKUP(E1795,dicionario!$A$1:$C2194,2,0)</f>
        <v>Portulaca oleracea</v>
      </c>
      <c r="H1795" s="6" t="str">
        <f>VLOOKUP(E1795,dicionario!$A$1:$C2194,3,0)</f>
        <v>beldroega</v>
      </c>
    </row>
    <row r="1796">
      <c r="A1796" s="3">
        <v>45596.0</v>
      </c>
      <c r="B1796" s="4">
        <v>0.28541666666666665</v>
      </c>
      <c r="C1796" s="5" t="s">
        <v>33</v>
      </c>
      <c r="D1796" s="5" t="s">
        <v>595</v>
      </c>
      <c r="E1796" s="6" t="s">
        <v>154</v>
      </c>
      <c r="F1796" s="7" t="s">
        <v>155</v>
      </c>
      <c r="G1796" s="6" t="str">
        <f>VLOOKUP(E1796,dicionario!$A$1:$C2195,2,0)</f>
        <v>Cyperus rotundus</v>
      </c>
      <c r="H1796" s="6" t="str">
        <f>VLOOKUP(E1796,dicionario!$A$1:$C2195,3,0)</f>
        <v>tiririca</v>
      </c>
    </row>
    <row r="1797">
      <c r="A1797" s="3">
        <v>45596.0</v>
      </c>
      <c r="B1797" s="4">
        <v>0.28541666666666665</v>
      </c>
      <c r="C1797" s="5" t="s">
        <v>33</v>
      </c>
      <c r="D1797" s="5" t="s">
        <v>595</v>
      </c>
      <c r="E1797" s="6" t="s">
        <v>613</v>
      </c>
      <c r="F1797" s="7" t="s">
        <v>614</v>
      </c>
      <c r="G1797" s="6" t="str">
        <f>VLOOKUP(E1797,dicionario!$A$1:$C2196,2,0)</f>
        <v>Euphorbia hyssopifolia</v>
      </c>
      <c r="H1797" s="6" t="str">
        <f>VLOOKUP(E1797,dicionario!$A$1:$C2196,3,0)</f>
        <v>maria-leite</v>
      </c>
    </row>
    <row r="1798">
      <c r="A1798" s="3">
        <v>45596.0</v>
      </c>
      <c r="B1798" s="4">
        <v>0.28680555555555554</v>
      </c>
      <c r="C1798" s="5" t="s">
        <v>40</v>
      </c>
      <c r="D1798" s="5" t="s">
        <v>595</v>
      </c>
      <c r="E1798" s="8" t="s">
        <v>286</v>
      </c>
      <c r="F1798" s="7" t="s">
        <v>287</v>
      </c>
      <c r="G1798" s="6" t="str">
        <f>VLOOKUP(E1798,dicionario!$A$1:$C2197,2,0)</f>
        <v>Setaria parviflora</v>
      </c>
      <c r="H1798" s="6" t="str">
        <f>VLOOKUP(E1798,dicionario!$A$1:$C2197,3,0)</f>
        <v>capim-rabo-de-raposa</v>
      </c>
    </row>
    <row r="1799">
      <c r="A1799" s="3">
        <v>45596.0</v>
      </c>
      <c r="B1799" s="4">
        <v>0.28680555555555554</v>
      </c>
      <c r="C1799" s="5" t="s">
        <v>40</v>
      </c>
      <c r="D1799" s="5" t="s">
        <v>595</v>
      </c>
      <c r="E1799" s="6" t="s">
        <v>146</v>
      </c>
      <c r="F1799" s="7" t="s">
        <v>147</v>
      </c>
      <c r="G1799" s="6" t="str">
        <f>VLOOKUP(E1799,dicionario!$A$1:$C2198,2,0)</f>
        <v>Euphorbia hirta</v>
      </c>
      <c r="H1799" s="6" t="str">
        <f>VLOOKUP(E1799,dicionario!$A$1:$C2198,3,0)</f>
        <v>erva-de-santa-luzia</v>
      </c>
    </row>
    <row r="1800">
      <c r="A1800" s="3">
        <v>45596.0</v>
      </c>
      <c r="B1800" s="4">
        <v>0.28680555555555554</v>
      </c>
      <c r="C1800" s="5" t="s">
        <v>40</v>
      </c>
      <c r="D1800" s="5" t="s">
        <v>595</v>
      </c>
      <c r="E1800" s="6" t="s">
        <v>247</v>
      </c>
      <c r="F1800" s="7" t="s">
        <v>387</v>
      </c>
      <c r="G1800" s="6" t="str">
        <f>VLOOKUP(E1800,dicionario!$A$1:$C2199,2,0)</f>
        <v>Emilia sonchifolia</v>
      </c>
      <c r="H1800" s="6" t="str">
        <f>VLOOKUP(E1800,dicionario!$A$1:$C2199,3,0)</f>
        <v>serralinha</v>
      </c>
    </row>
    <row r="1801">
      <c r="A1801" s="3">
        <v>45596.0</v>
      </c>
      <c r="B1801" s="4">
        <v>0.28680555555555554</v>
      </c>
      <c r="C1801" s="5" t="s">
        <v>40</v>
      </c>
      <c r="D1801" s="5" t="s">
        <v>595</v>
      </c>
      <c r="E1801" s="6" t="s">
        <v>229</v>
      </c>
      <c r="F1801" s="7" t="s">
        <v>230</v>
      </c>
      <c r="G1801" s="6" t="str">
        <f>VLOOKUP(E1801,dicionario!$A$1:$C2200,2,0)</f>
        <v>Apis mellifera</v>
      </c>
      <c r="H1801" s="6" t="str">
        <f>VLOOKUP(E1801,dicionario!$A$1:$C2200,3,0)</f>
        <v>abelha-do-mel</v>
      </c>
    </row>
    <row r="1802">
      <c r="A1802" s="3">
        <v>45596.0</v>
      </c>
      <c r="B1802" s="4">
        <v>0.28680555555555554</v>
      </c>
      <c r="C1802" s="5" t="s">
        <v>40</v>
      </c>
      <c r="D1802" s="5" t="s">
        <v>595</v>
      </c>
      <c r="E1802" s="6" t="s">
        <v>504</v>
      </c>
      <c r="F1802" s="5" t="s">
        <v>534</v>
      </c>
      <c r="G1802" s="6" t="str">
        <f>VLOOKUP(E1802,dicionario!$A$1:$C2201,2,0)</f>
        <v>Cleome aculeata</v>
      </c>
      <c r="H1802" s="6" t="str">
        <f>VLOOKUP(E1802,dicionario!$A$1:$C2201,3,0)</f>
        <v>cleome</v>
      </c>
    </row>
    <row r="1803">
      <c r="A1803" s="3">
        <v>45596.0</v>
      </c>
      <c r="B1803" s="4">
        <v>0.2875</v>
      </c>
      <c r="C1803" s="5" t="s">
        <v>40</v>
      </c>
      <c r="D1803" s="5" t="s">
        <v>595</v>
      </c>
      <c r="E1803" s="6" t="s">
        <v>265</v>
      </c>
      <c r="F1803" s="7" t="s">
        <v>266</v>
      </c>
      <c r="G1803" s="6" t="str">
        <f>VLOOKUP(E1803,dicionario!$A$1:$C2202,2,0)</f>
        <v>Sonchus oleraceus</v>
      </c>
      <c r="H1803" s="6" t="str">
        <f>VLOOKUP(E1803,dicionario!$A$1:$C2202,3,0)</f>
        <v>seralha</v>
      </c>
    </row>
    <row r="1804">
      <c r="A1804" s="3">
        <v>45596.0</v>
      </c>
      <c r="B1804" s="4">
        <v>0.2875</v>
      </c>
      <c r="C1804" s="5" t="s">
        <v>40</v>
      </c>
      <c r="D1804" s="5" t="s">
        <v>595</v>
      </c>
      <c r="E1804" s="6" t="s">
        <v>150</v>
      </c>
      <c r="F1804" s="7" t="s">
        <v>151</v>
      </c>
      <c r="G1804" s="6" t="str">
        <f>VLOOKUP(E1804,dicionario!$A$1:$C2203,2,0)</f>
        <v>Amaranthus viridis</v>
      </c>
      <c r="H1804" s="6" t="str">
        <f>VLOOKUP(E1804,dicionario!$A$1:$C2203,3,0)</f>
        <v>caruru-de-mancha</v>
      </c>
    </row>
    <row r="1805">
      <c r="A1805" s="3">
        <v>45596.0</v>
      </c>
      <c r="B1805" s="4">
        <v>0.2875</v>
      </c>
      <c r="C1805" s="5" t="s">
        <v>40</v>
      </c>
      <c r="D1805" s="5" t="s">
        <v>595</v>
      </c>
      <c r="E1805" s="18" t="s">
        <v>611</v>
      </c>
      <c r="F1805" s="7" t="s">
        <v>612</v>
      </c>
      <c r="G1805" s="6" t="str">
        <f>VLOOKUP(E1805,dicionario!$A$1:$C2204,2,0)</f>
        <v>Boehmeria cylindrica</v>
      </c>
      <c r="H1805" s="6" t="str">
        <f>VLOOKUP(E1805,dicionario!$A$1:$C2204,3,0)</f>
        <v>falsa-urtiga</v>
      </c>
    </row>
    <row r="1806">
      <c r="A1806" s="3">
        <v>45596.0</v>
      </c>
      <c r="B1806" s="4">
        <v>0.2881944444444444</v>
      </c>
      <c r="C1806" s="5" t="s">
        <v>40</v>
      </c>
      <c r="D1806" s="5" t="s">
        <v>595</v>
      </c>
      <c r="E1806" s="6" t="s">
        <v>65</v>
      </c>
      <c r="F1806" s="7" t="s">
        <v>66</v>
      </c>
      <c r="G1806" s="6" t="str">
        <f>VLOOKUP(E1806,dicionario!$A$1:$C2205,2,0)</f>
        <v>Pitangus sulphutarus</v>
      </c>
      <c r="H1806" s="6" t="str">
        <f>VLOOKUP(E1806,dicionario!$A$1:$C2205,3,0)</f>
        <v>bem-te-vi</v>
      </c>
    </row>
    <row r="1807">
      <c r="A1807" s="3">
        <v>45596.0</v>
      </c>
      <c r="B1807" s="4">
        <v>0.2881944444444444</v>
      </c>
      <c r="C1807" s="5" t="s">
        <v>40</v>
      </c>
      <c r="D1807" s="5" t="s">
        <v>595</v>
      </c>
      <c r="E1807" s="6" t="s">
        <v>72</v>
      </c>
      <c r="F1807" s="7" t="s">
        <v>73</v>
      </c>
      <c r="G1807" s="6" t="str">
        <f>VLOOKUP(E1807,dicionario!$A$1:$C2206,2,0)</f>
        <v>Thraupis palmarum</v>
      </c>
      <c r="H1807" s="6" t="str">
        <f>VLOOKUP(E1807,dicionario!$A$1:$C2206,3,0)</f>
        <v>sanhaço-do-coqueiro</v>
      </c>
    </row>
    <row r="1808">
      <c r="A1808" s="3">
        <v>45596.0</v>
      </c>
      <c r="B1808" s="4">
        <v>0.2881944444444444</v>
      </c>
      <c r="C1808" s="5" t="s">
        <v>40</v>
      </c>
      <c r="D1808" s="5" t="s">
        <v>595</v>
      </c>
      <c r="E1808" s="6" t="s">
        <v>225</v>
      </c>
      <c r="F1808" s="7" t="s">
        <v>226</v>
      </c>
      <c r="G1808" s="6" t="str">
        <f>VLOOKUP(E1808,dicionario!$A$1:$C2207,2,0)</f>
        <v>Passer domesticus</v>
      </c>
      <c r="H1808" s="6" t="str">
        <f>VLOOKUP(E1808,dicionario!$A$1:$C2207,3,0)</f>
        <v>pardal</v>
      </c>
    </row>
    <row r="1809">
      <c r="A1809" s="3">
        <v>45596.0</v>
      </c>
      <c r="B1809" s="4">
        <v>0.2881944444444444</v>
      </c>
      <c r="C1809" s="5" t="s">
        <v>40</v>
      </c>
      <c r="D1809" s="5" t="s">
        <v>595</v>
      </c>
      <c r="E1809" s="6" t="s">
        <v>20</v>
      </c>
      <c r="F1809" s="7" t="s">
        <v>21</v>
      </c>
      <c r="G1809" s="6" t="str">
        <f>VLOOKUP(E1809,dicionario!$A$1:$C2208,2,0)</f>
        <v>Sicalis flaveola</v>
      </c>
      <c r="H1809" s="6" t="str">
        <f>VLOOKUP(E1809,dicionario!$A$1:$C2208,3,0)</f>
        <v>canário-da-terra</v>
      </c>
    </row>
    <row r="1810">
      <c r="A1810" s="3">
        <v>45596.0</v>
      </c>
      <c r="B1810" s="4">
        <v>0.2881944444444444</v>
      </c>
      <c r="C1810" s="5" t="s">
        <v>40</v>
      </c>
      <c r="D1810" s="5" t="s">
        <v>595</v>
      </c>
      <c r="E1810" s="6" t="s">
        <v>177</v>
      </c>
      <c r="F1810" s="7" t="s">
        <v>178</v>
      </c>
      <c r="G1810" s="6" t="str">
        <f>VLOOKUP(E1810,dicionario!$A$1:$C2209,2,0)</f>
        <v>Elaenia flavogaster</v>
      </c>
      <c r="H1810" s="6" t="str">
        <f>VLOOKUP(E1810,dicionario!$A$1:$C2209,3,0)</f>
        <v>guaracava-de-barriga-amarela</v>
      </c>
    </row>
    <row r="1811">
      <c r="A1811" s="3">
        <v>45596.0</v>
      </c>
      <c r="B1811" s="4">
        <v>0.2881944444444444</v>
      </c>
      <c r="C1811" s="5" t="s">
        <v>40</v>
      </c>
      <c r="D1811" s="5" t="s">
        <v>595</v>
      </c>
      <c r="E1811" s="6" t="s">
        <v>388</v>
      </c>
      <c r="F1811" s="7" t="s">
        <v>389</v>
      </c>
      <c r="G1811" s="6" t="str">
        <f>VLOOKUP(E1811,dicionario!$A$1:$C2210,2,0)</f>
        <v>Bulimulus tenuissimus</v>
      </c>
      <c r="H1811" s="6" t="str">
        <f>VLOOKUP(E1811,dicionario!$A$1:$C2210,3,0)</f>
        <v>caracol-fantasma</v>
      </c>
    </row>
    <row r="1812">
      <c r="A1812" s="3">
        <v>45596.0</v>
      </c>
      <c r="B1812" s="4">
        <v>0.2881944444444444</v>
      </c>
      <c r="C1812" s="5" t="s">
        <v>40</v>
      </c>
      <c r="D1812" s="5" t="s">
        <v>595</v>
      </c>
      <c r="E1812" s="8" t="s">
        <v>38</v>
      </c>
      <c r="F1812" s="5" t="s">
        <v>39</v>
      </c>
      <c r="G1812" s="6" t="str">
        <f>VLOOKUP(E1812,dicionario!$A$1:$C2211,2,0)</f>
        <v>Troglodytes musculus</v>
      </c>
      <c r="H1812" s="6" t="str">
        <f>VLOOKUP(E1812,dicionario!$A$1:$C2211,3,0)</f>
        <v>curruíra</v>
      </c>
    </row>
    <row r="1813">
      <c r="A1813" s="3">
        <v>45596.0</v>
      </c>
      <c r="B1813" s="4">
        <v>0.2881944444444444</v>
      </c>
      <c r="C1813" s="5" t="s">
        <v>40</v>
      </c>
      <c r="D1813" s="5" t="s">
        <v>595</v>
      </c>
      <c r="E1813" s="6" t="s">
        <v>215</v>
      </c>
      <c r="F1813" s="7" t="s">
        <v>216</v>
      </c>
      <c r="G1813" s="6" t="str">
        <f>VLOOKUP(E1813,dicionario!$A$1:$C2212,2,0)</f>
        <v>Pygochelidon cyanoleuca</v>
      </c>
      <c r="H1813" s="6" t="str">
        <f>VLOOKUP(E1813,dicionario!$A$1:$C2212,3,0)</f>
        <v>andorinha-pequena-de-casa</v>
      </c>
    </row>
    <row r="1814">
      <c r="A1814" s="3">
        <v>45596.0</v>
      </c>
      <c r="B1814" s="4">
        <v>0.28888888888888886</v>
      </c>
      <c r="C1814" s="5" t="s">
        <v>40</v>
      </c>
      <c r="D1814" s="5" t="s">
        <v>595</v>
      </c>
      <c r="E1814" s="6" t="s">
        <v>227</v>
      </c>
      <c r="F1814" s="7" t="s">
        <v>228</v>
      </c>
      <c r="G1814" s="6" t="str">
        <f>VLOOKUP(E1814,dicionario!$A$1:$C2213,2,0)</f>
        <v>Indigofera hirsuta</v>
      </c>
      <c r="H1814" s="6" t="str">
        <f>VLOOKUP(E1814,dicionario!$A$1:$C2213,3,0)</f>
        <v>anileira</v>
      </c>
    </row>
    <row r="1815">
      <c r="A1815" s="3">
        <v>45596.0</v>
      </c>
      <c r="B1815" s="4">
        <v>0.28958333333333336</v>
      </c>
      <c r="C1815" s="5" t="s">
        <v>40</v>
      </c>
      <c r="D1815" s="5" t="s">
        <v>595</v>
      </c>
      <c r="E1815" s="6" t="s">
        <v>88</v>
      </c>
      <c r="F1815" s="7" t="s">
        <v>89</v>
      </c>
      <c r="G1815" s="6" t="str">
        <f>VLOOKUP(E1815,dicionario!$A$1:$C2214,2,0)</f>
        <v>Tyrannus melancolichus</v>
      </c>
      <c r="H1815" s="6" t="str">
        <f>VLOOKUP(E1815,dicionario!$A$1:$C2214,3,0)</f>
        <v>suiriri</v>
      </c>
    </row>
    <row r="1816">
      <c r="A1816" s="3">
        <v>45596.0</v>
      </c>
      <c r="B1816" s="4">
        <v>0.28958333333333336</v>
      </c>
      <c r="C1816" s="5" t="s">
        <v>40</v>
      </c>
      <c r="D1816" s="5" t="s">
        <v>595</v>
      </c>
      <c r="E1816" s="6" t="s">
        <v>113</v>
      </c>
      <c r="F1816" s="7" t="s">
        <v>114</v>
      </c>
      <c r="G1816" s="6" t="str">
        <f>VLOOKUP(E1816,dicionario!$A$1:$C2215,2,0)</f>
        <v>Columbina talpacoti</v>
      </c>
      <c r="H1816" s="6" t="str">
        <f>VLOOKUP(E1816,dicionario!$A$1:$C2215,3,0)</f>
        <v>rolinha-roxa</v>
      </c>
    </row>
    <row r="1817">
      <c r="A1817" s="3">
        <v>45596.0</v>
      </c>
      <c r="B1817" s="4">
        <v>0.28958333333333336</v>
      </c>
      <c r="C1817" s="5" t="s">
        <v>40</v>
      </c>
      <c r="D1817" s="5" t="s">
        <v>595</v>
      </c>
      <c r="E1817" s="6" t="s">
        <v>602</v>
      </c>
      <c r="F1817" s="7" t="s">
        <v>603</v>
      </c>
      <c r="G1817" s="6" t="str">
        <f>VLOOKUP(E1817,dicionario!$A$1:$C2216,2,0)</f>
        <v>Trametes sanguinea</v>
      </c>
      <c r="H1817" s="6" t="str">
        <f>VLOOKUP(E1817,dicionario!$A$1:$C2216,3,0)</f>
        <v>orelha-de-pau</v>
      </c>
    </row>
    <row r="1818">
      <c r="A1818" s="3">
        <v>45596.0</v>
      </c>
      <c r="B1818" s="4">
        <v>0.28958333333333336</v>
      </c>
      <c r="C1818" s="5" t="s">
        <v>40</v>
      </c>
      <c r="D1818" s="5" t="s">
        <v>595</v>
      </c>
      <c r="E1818" s="18" t="s">
        <v>109</v>
      </c>
      <c r="F1818" s="7" t="s">
        <v>110</v>
      </c>
      <c r="G1818" s="6" t="str">
        <f>VLOOKUP(E1818,dicionario!$A$1:$C2217,2,0)</f>
        <v>Tillandsia stricta</v>
      </c>
      <c r="H1818" s="6" t="str">
        <f>VLOOKUP(E1818,dicionario!$A$1:$C2217,3,0)</f>
        <v>cravo-do-mato</v>
      </c>
    </row>
    <row r="1819">
      <c r="A1819" s="3">
        <v>45596.0</v>
      </c>
      <c r="B1819" s="4">
        <v>0.2902777777777778</v>
      </c>
      <c r="C1819" s="5" t="s">
        <v>40</v>
      </c>
      <c r="D1819" s="5" t="s">
        <v>595</v>
      </c>
      <c r="E1819" s="6" t="s">
        <v>517</v>
      </c>
      <c r="F1819" s="7" t="s">
        <v>518</v>
      </c>
      <c r="G1819" s="6" t="str">
        <f>VLOOKUP(E1819,dicionario!$A$1:$C2218,2,0)</f>
        <v>Evolvulus nummularius</v>
      </c>
      <c r="H1819" s="6" t="str">
        <f>VLOOKUP(E1819,dicionario!$A$1:$C2218,3,0)</f>
        <v/>
      </c>
    </row>
    <row r="1820">
      <c r="A1820" s="3">
        <v>45596.0</v>
      </c>
      <c r="B1820" s="4">
        <v>0.2902777777777778</v>
      </c>
      <c r="C1820" s="5" t="s">
        <v>40</v>
      </c>
      <c r="D1820" s="5" t="s">
        <v>595</v>
      </c>
      <c r="E1820" s="6" t="s">
        <v>298</v>
      </c>
      <c r="F1820" s="5" t="s">
        <v>299</v>
      </c>
      <c r="G1820" s="6" t="str">
        <f>VLOOKUP(E1820,dicionario!$A$1:$C2219,2,0)</f>
        <v>Alysicarpus vaginalis</v>
      </c>
      <c r="H1820" s="6" t="str">
        <f>VLOOKUP(E1820,dicionario!$A$1:$C2219,3,0)</f>
        <v/>
      </c>
    </row>
    <row r="1821">
      <c r="A1821" s="3">
        <v>45596.0</v>
      </c>
      <c r="B1821" s="4">
        <v>0.2902777777777778</v>
      </c>
      <c r="C1821" s="5" t="s">
        <v>40</v>
      </c>
      <c r="D1821" s="5" t="s">
        <v>595</v>
      </c>
      <c r="E1821" s="8" t="s">
        <v>615</v>
      </c>
      <c r="F1821" s="7" t="s">
        <v>238</v>
      </c>
      <c r="G1821" s="6" t="str">
        <f>VLOOKUP(E1821,dicionario!$A$1:$C2220,2,0)</f>
        <v>#N/A</v>
      </c>
      <c r="H1821" s="6" t="str">
        <f>VLOOKUP(E1821,dicionario!$A$1:$C2220,3,0)</f>
        <v>#N/A</v>
      </c>
    </row>
    <row r="1822">
      <c r="A1822" s="3">
        <v>45596.0</v>
      </c>
      <c r="B1822" s="4">
        <v>0.29097222222222224</v>
      </c>
      <c r="C1822" s="5" t="s">
        <v>40</v>
      </c>
      <c r="D1822" s="5" t="s">
        <v>595</v>
      </c>
      <c r="E1822" s="6" t="s">
        <v>169</v>
      </c>
      <c r="F1822" s="7" t="s">
        <v>170</v>
      </c>
      <c r="G1822" s="6" t="str">
        <f>VLOOKUP(E1822,dicionario!$A$1:$C2221,2,0)</f>
        <v>Camponotus cruentatus</v>
      </c>
      <c r="H1822" s="6" t="str">
        <f>VLOOKUP(E1822,dicionario!$A$1:$C2221,3,0)</f>
        <v>formiga-carpinteira</v>
      </c>
    </row>
    <row r="1823">
      <c r="A1823" s="3">
        <v>45596.0</v>
      </c>
      <c r="B1823" s="4">
        <v>0.2916666666666667</v>
      </c>
      <c r="C1823" s="5" t="s">
        <v>40</v>
      </c>
      <c r="D1823" s="5" t="s">
        <v>595</v>
      </c>
      <c r="E1823" s="6" t="s">
        <v>41</v>
      </c>
      <c r="F1823" s="7" t="s">
        <v>45</v>
      </c>
      <c r="G1823" s="6" t="str">
        <f>VLOOKUP(E1823,dicionario!$A$1:$C2222,2,0)</f>
        <v>Mimosa pudica</v>
      </c>
      <c r="H1823" s="6" t="str">
        <f>VLOOKUP(E1823,dicionario!$A$1:$C2222,3,0)</f>
        <v>dormideira</v>
      </c>
    </row>
    <row r="1824">
      <c r="A1824" s="3">
        <v>45596.0</v>
      </c>
      <c r="B1824" s="4">
        <v>0.2916666666666667</v>
      </c>
      <c r="C1824" s="5" t="s">
        <v>40</v>
      </c>
      <c r="D1824" s="5" t="s">
        <v>595</v>
      </c>
      <c r="E1824" s="6" t="s">
        <v>191</v>
      </c>
      <c r="F1824" s="7" t="s">
        <v>192</v>
      </c>
      <c r="G1824" s="6" t="str">
        <f>VLOOKUP(E1824,dicionario!$A$1:$C2223,2,0)</f>
        <v>Patagioenas picazuro</v>
      </c>
      <c r="H1824" s="6" t="str">
        <f>VLOOKUP(E1824,dicionario!$A$1:$C2223,3,0)</f>
        <v>asa-branca; pomba-asa-branca; pocaçu</v>
      </c>
    </row>
    <row r="1825">
      <c r="A1825" s="3">
        <v>45596.0</v>
      </c>
      <c r="B1825" s="4">
        <v>0.2923611111111111</v>
      </c>
      <c r="C1825" s="5" t="s">
        <v>40</v>
      </c>
      <c r="D1825" s="5" t="s">
        <v>595</v>
      </c>
      <c r="E1825" s="6" t="s">
        <v>162</v>
      </c>
      <c r="F1825" s="7" t="s">
        <v>42</v>
      </c>
      <c r="G1825" s="6" t="str">
        <f>VLOOKUP(E1825,dicionario!$A$1:$C2224,2,0)</f>
        <v>Fluvicola nengeta</v>
      </c>
      <c r="H1825" s="6" t="str">
        <f>VLOOKUP(E1825,dicionario!$A$1:$C2224,3,0)</f>
        <v>lavadeira-mascarada</v>
      </c>
    </row>
    <row r="1826">
      <c r="A1826" s="3">
        <v>45596.0</v>
      </c>
      <c r="B1826" s="4">
        <v>0.29305555555555557</v>
      </c>
      <c r="C1826" s="5" t="s">
        <v>40</v>
      </c>
      <c r="D1826" s="5" t="s">
        <v>595</v>
      </c>
      <c r="E1826" s="6" t="s">
        <v>18</v>
      </c>
      <c r="F1826" s="7" t="s">
        <v>219</v>
      </c>
      <c r="G1826" s="6" t="str">
        <f>VLOOKUP(E1826,dicionario!$A$1:$C2225,2,0)</f>
        <v>Xylocopa frontalis</v>
      </c>
      <c r="H1826" s="6" t="str">
        <f>VLOOKUP(E1826,dicionario!$A$1:$C2225,3,0)</f>
        <v>Mamangava; mangangá; abelha-carpinteira</v>
      </c>
    </row>
    <row r="1827">
      <c r="A1827" s="3">
        <v>45596.0</v>
      </c>
      <c r="B1827" s="4">
        <v>0.29305555555555557</v>
      </c>
      <c r="C1827" s="5" t="s">
        <v>40</v>
      </c>
      <c r="D1827" s="5" t="s">
        <v>595</v>
      </c>
      <c r="E1827" s="8" t="s">
        <v>46</v>
      </c>
      <c r="F1827" s="5" t="s">
        <v>47</v>
      </c>
      <c r="G1827" s="6" t="str">
        <f>VLOOKUP(E1827,dicionario!$A$1:$C2226,2,0)</f>
        <v>Chionomesa fimbriata</v>
      </c>
      <c r="H1827" s="6" t="str">
        <f>VLOOKUP(E1827,dicionario!$A$1:$C2226,3,0)</f>
        <v>beija-flor-de-garganta-verde</v>
      </c>
    </row>
    <row r="1828">
      <c r="A1828" s="3">
        <v>45596.0</v>
      </c>
      <c r="B1828" s="4">
        <v>0.29375</v>
      </c>
      <c r="C1828" s="5" t="s">
        <v>40</v>
      </c>
      <c r="D1828" s="5" t="s">
        <v>595</v>
      </c>
      <c r="E1828" s="6" t="s">
        <v>213</v>
      </c>
      <c r="F1828" s="7" t="s">
        <v>214</v>
      </c>
      <c r="G1828" s="6" t="str">
        <f>VLOOKUP(E1828,dicionario!$A$1:$C2227,2,0)</f>
        <v>Myiozetetes similis</v>
      </c>
      <c r="H1828" s="6" t="str">
        <f>VLOOKUP(E1828,dicionario!$A$1:$C2227,3,0)</f>
        <v>bentevizinho-de-penacho-vermelho</v>
      </c>
    </row>
    <row r="1829">
      <c r="A1829" s="3">
        <v>45596.0</v>
      </c>
      <c r="B1829" s="4">
        <v>0.2965277777777778</v>
      </c>
      <c r="C1829" s="5" t="s">
        <v>50</v>
      </c>
      <c r="D1829" s="5" t="s">
        <v>595</v>
      </c>
      <c r="E1829" s="6" t="s">
        <v>158</v>
      </c>
      <c r="F1829" s="7" t="s">
        <v>159</v>
      </c>
      <c r="G1829" s="6" t="str">
        <f>VLOOKUP(E1829,dicionario!$A$1:$C2228,2,0)</f>
        <v>Nephilingis cruentata</v>
      </c>
      <c r="H1829" s="6" t="str">
        <f>VLOOKUP(E1829,dicionario!$A$1:$C2228,3,0)</f>
        <v>maria-bola</v>
      </c>
    </row>
    <row r="1830">
      <c r="A1830" s="3">
        <v>45596.0</v>
      </c>
      <c r="B1830" s="4">
        <v>0.2965277777777778</v>
      </c>
      <c r="C1830" s="5" t="s">
        <v>50</v>
      </c>
      <c r="D1830" s="5" t="s">
        <v>595</v>
      </c>
      <c r="E1830" s="6" t="s">
        <v>177</v>
      </c>
      <c r="F1830" s="7" t="s">
        <v>178</v>
      </c>
      <c r="G1830" s="6" t="str">
        <f>VLOOKUP(E1830,dicionario!$A$1:$C2229,2,0)</f>
        <v>Elaenia flavogaster</v>
      </c>
      <c r="H1830" s="6" t="str">
        <f>VLOOKUP(E1830,dicionario!$A$1:$C2229,3,0)</f>
        <v>guaracava-de-barriga-amarela</v>
      </c>
    </row>
    <row r="1831">
      <c r="A1831" s="3">
        <v>45596.0</v>
      </c>
      <c r="B1831" s="4">
        <v>0.2972222222222222</v>
      </c>
      <c r="C1831" s="5" t="s">
        <v>50</v>
      </c>
      <c r="D1831" s="5" t="s">
        <v>595</v>
      </c>
      <c r="E1831" s="6" t="s">
        <v>225</v>
      </c>
      <c r="F1831" s="7" t="s">
        <v>226</v>
      </c>
      <c r="G1831" s="6" t="str">
        <f>VLOOKUP(E1831,dicionario!$A$1:$C2230,2,0)</f>
        <v>Passer domesticus</v>
      </c>
      <c r="H1831" s="6" t="str">
        <f>VLOOKUP(E1831,dicionario!$A$1:$C2230,3,0)</f>
        <v>pardal</v>
      </c>
    </row>
    <row r="1832">
      <c r="A1832" s="3">
        <v>45596.0</v>
      </c>
      <c r="B1832" s="4">
        <v>0.2972222222222222</v>
      </c>
      <c r="C1832" s="5" t="s">
        <v>50</v>
      </c>
      <c r="D1832" s="5" t="s">
        <v>595</v>
      </c>
      <c r="E1832" s="8" t="s">
        <v>38</v>
      </c>
      <c r="F1832" s="5" t="s">
        <v>39</v>
      </c>
      <c r="G1832" s="6" t="str">
        <f>VLOOKUP(E1832,dicionario!$A$1:$C2231,2,0)</f>
        <v>Troglodytes musculus</v>
      </c>
      <c r="H1832" s="6" t="str">
        <f>VLOOKUP(E1832,dicionario!$A$1:$C2231,3,0)</f>
        <v>curruíra</v>
      </c>
    </row>
    <row r="1833">
      <c r="A1833" s="3">
        <v>45596.0</v>
      </c>
      <c r="B1833" s="4">
        <v>0.2972222222222222</v>
      </c>
      <c r="C1833" s="5" t="s">
        <v>50</v>
      </c>
      <c r="D1833" s="5" t="s">
        <v>595</v>
      </c>
      <c r="E1833" s="6" t="s">
        <v>72</v>
      </c>
      <c r="F1833" s="7" t="s">
        <v>73</v>
      </c>
      <c r="G1833" s="6" t="str">
        <f>VLOOKUP(E1833,dicionario!$A$1:$C2232,2,0)</f>
        <v>Thraupis palmarum</v>
      </c>
      <c r="H1833" s="6" t="str">
        <f>VLOOKUP(E1833,dicionario!$A$1:$C2232,3,0)</f>
        <v>sanhaço-do-coqueiro</v>
      </c>
    </row>
    <row r="1834">
      <c r="A1834" s="3">
        <v>45596.0</v>
      </c>
      <c r="B1834" s="4">
        <v>0.2972222222222222</v>
      </c>
      <c r="C1834" s="5" t="s">
        <v>50</v>
      </c>
      <c r="D1834" s="5" t="s">
        <v>595</v>
      </c>
      <c r="E1834" s="6" t="s">
        <v>69</v>
      </c>
      <c r="F1834" s="7" t="s">
        <v>71</v>
      </c>
      <c r="G1834" s="6" t="str">
        <f>VLOOKUP(E1834,dicionario!$A$1:$C2233,2,0)</f>
        <v>Talinum fruticosum</v>
      </c>
      <c r="H1834" s="6" t="str">
        <f>VLOOKUP(E1834,dicionario!$A$1:$C2233,3,0)</f>
        <v>beldroega-grande</v>
      </c>
    </row>
    <row r="1835">
      <c r="A1835" s="3">
        <v>45596.0</v>
      </c>
      <c r="B1835" s="4">
        <v>0.29791666666666666</v>
      </c>
      <c r="C1835" s="5" t="s">
        <v>50</v>
      </c>
      <c r="D1835" s="5" t="s">
        <v>595</v>
      </c>
      <c r="E1835" s="6" t="s">
        <v>132</v>
      </c>
      <c r="F1835" s="7" t="s">
        <v>133</v>
      </c>
      <c r="G1835" s="6" t="str">
        <f>VLOOKUP(E1835,dicionario!$A$1:$C2234,2,0)</f>
        <v>Euphonia chlorotica</v>
      </c>
      <c r="H1835" s="6" t="str">
        <f>VLOOKUP(E1835,dicionario!$A$1:$C2234,3,0)</f>
        <v>fim-fim</v>
      </c>
    </row>
    <row r="1836">
      <c r="A1836" s="3">
        <v>45596.0</v>
      </c>
      <c r="B1836" s="4">
        <v>0.29791666666666666</v>
      </c>
      <c r="C1836" s="5" t="s">
        <v>50</v>
      </c>
      <c r="D1836" s="5" t="s">
        <v>595</v>
      </c>
      <c r="E1836" s="18" t="s">
        <v>611</v>
      </c>
      <c r="F1836" s="7" t="s">
        <v>612</v>
      </c>
      <c r="G1836" s="6" t="str">
        <f>VLOOKUP(E1836,dicionario!$A$1:$C2235,2,0)</f>
        <v>Boehmeria cylindrica</v>
      </c>
      <c r="H1836" s="6" t="str">
        <f>VLOOKUP(E1836,dicionario!$A$1:$C2235,3,0)</f>
        <v>falsa-urtiga</v>
      </c>
    </row>
    <row r="1837">
      <c r="A1837" s="3">
        <v>45596.0</v>
      </c>
      <c r="B1837" s="4">
        <v>0.29791666666666666</v>
      </c>
      <c r="C1837" s="5" t="s">
        <v>50</v>
      </c>
      <c r="D1837" s="5" t="s">
        <v>595</v>
      </c>
      <c r="E1837" s="6" t="s">
        <v>251</v>
      </c>
      <c r="F1837" s="7" t="s">
        <v>252</v>
      </c>
      <c r="G1837" s="6" t="str">
        <f>VLOOKUP(E1837,dicionario!$A$1:$C2236,2,0)</f>
        <v>Struthanthus flexicaulis</v>
      </c>
      <c r="H1837" s="6" t="str">
        <f>VLOOKUP(E1837,dicionario!$A$1:$C2236,3,0)</f>
        <v>erva-de-passarinho</v>
      </c>
    </row>
    <row r="1838">
      <c r="A1838" s="3">
        <v>45596.0</v>
      </c>
      <c r="B1838" s="4">
        <v>0.2986111111111111</v>
      </c>
      <c r="C1838" s="5" t="s">
        <v>50</v>
      </c>
      <c r="D1838" s="5" t="s">
        <v>595</v>
      </c>
      <c r="E1838" s="6" t="s">
        <v>271</v>
      </c>
      <c r="F1838" s="7" t="s">
        <v>272</v>
      </c>
      <c r="G1838" s="6" t="str">
        <f>VLOOKUP(E1838,dicionario!$A$1:$C2237,2,0)</f>
        <v>Cyanthillium cinereum</v>
      </c>
      <c r="H1838" s="6" t="str">
        <f>VLOOKUP(E1838,dicionario!$A$1:$C2237,3,0)</f>
        <v>emília</v>
      </c>
    </row>
    <row r="1839">
      <c r="A1839" s="3">
        <v>45596.0</v>
      </c>
      <c r="B1839" s="4">
        <v>0.2986111111111111</v>
      </c>
      <c r="C1839" s="5" t="s">
        <v>50</v>
      </c>
      <c r="D1839" s="5" t="s">
        <v>595</v>
      </c>
      <c r="E1839" s="6" t="s">
        <v>14</v>
      </c>
      <c r="F1839" s="7" t="s">
        <v>596</v>
      </c>
      <c r="G1839" s="6" t="str">
        <f>VLOOKUP(E1839,dicionario!$A$1:$C2238,2,0)</f>
        <v>Spermacoce verticillata</v>
      </c>
      <c r="H1839" s="6" t="str">
        <f>VLOOKUP(E1839,dicionario!$A$1:$C2238,3,0)</f>
        <v>vassourinha-de-botão</v>
      </c>
    </row>
    <row r="1840">
      <c r="A1840" s="3">
        <v>45596.0</v>
      </c>
      <c r="B1840" s="4">
        <v>0.2986111111111111</v>
      </c>
      <c r="C1840" s="5" t="s">
        <v>50</v>
      </c>
      <c r="D1840" s="5" t="s">
        <v>595</v>
      </c>
      <c r="E1840" s="6" t="s">
        <v>504</v>
      </c>
      <c r="F1840" s="5" t="s">
        <v>534</v>
      </c>
      <c r="G1840" s="6" t="str">
        <f>VLOOKUP(E1840,dicionario!$A$1:$C2239,2,0)</f>
        <v>Cleome aculeata</v>
      </c>
      <c r="H1840" s="6" t="str">
        <f>VLOOKUP(E1840,dicionario!$A$1:$C2239,3,0)</f>
        <v>cleome</v>
      </c>
    </row>
    <row r="1841">
      <c r="A1841" s="3">
        <v>45596.0</v>
      </c>
      <c r="B1841" s="4">
        <v>0.2986111111111111</v>
      </c>
      <c r="C1841" s="5" t="s">
        <v>50</v>
      </c>
      <c r="D1841" s="5" t="s">
        <v>595</v>
      </c>
      <c r="E1841" s="18" t="s">
        <v>296</v>
      </c>
      <c r="F1841" s="7" t="s">
        <v>297</v>
      </c>
      <c r="G1841" s="6" t="str">
        <f>VLOOKUP(E1841,dicionario!$A$1:$C2240,2,0)</f>
        <v>Richardia brasiliensis</v>
      </c>
      <c r="H1841" s="6" t="str">
        <f>VLOOKUP(E1841,dicionario!$A$1:$C2240,3,0)</f>
        <v>poaia-branca</v>
      </c>
    </row>
    <row r="1842">
      <c r="A1842" s="3">
        <v>45596.0</v>
      </c>
      <c r="B1842" s="4">
        <v>0.2986111111111111</v>
      </c>
      <c r="C1842" s="5" t="s">
        <v>50</v>
      </c>
      <c r="D1842" s="5" t="s">
        <v>595</v>
      </c>
      <c r="E1842" s="6" t="s">
        <v>471</v>
      </c>
      <c r="F1842" s="7" t="s">
        <v>472</v>
      </c>
      <c r="G1842" s="6" t="str">
        <f>VLOOKUP(E1842,dicionario!$A$1:$C2241,2,0)</f>
        <v>Sida acuta</v>
      </c>
      <c r="H1842" s="6" t="str">
        <f>VLOOKUP(E1842,dicionario!$A$1:$C2241,3,0)</f>
        <v>reloginho</v>
      </c>
    </row>
    <row r="1843">
      <c r="A1843" s="3">
        <v>45596.0</v>
      </c>
      <c r="B1843" s="4">
        <v>0.29930555555555555</v>
      </c>
      <c r="C1843" s="5" t="s">
        <v>50</v>
      </c>
      <c r="D1843" s="5" t="s">
        <v>595</v>
      </c>
      <c r="E1843" s="6" t="s">
        <v>181</v>
      </c>
      <c r="F1843" s="7" t="s">
        <v>182</v>
      </c>
      <c r="G1843" s="6" t="str">
        <f>VLOOKUP(E1843,dicionario!$A$1:$C2242,2,0)</f>
        <v>#N/A</v>
      </c>
      <c r="H1843" s="6" t="str">
        <f>VLOOKUP(E1843,dicionario!$A$1:$C2242,3,0)</f>
        <v>#N/A</v>
      </c>
    </row>
    <row r="1844">
      <c r="A1844" s="3">
        <v>45596.0</v>
      </c>
      <c r="B1844" s="4">
        <v>0.3</v>
      </c>
      <c r="C1844" s="5" t="s">
        <v>50</v>
      </c>
      <c r="D1844" s="5" t="s">
        <v>595</v>
      </c>
      <c r="E1844" s="6" t="s">
        <v>616</v>
      </c>
      <c r="F1844" s="7" t="s">
        <v>617</v>
      </c>
      <c r="G1844" s="6" t="str">
        <f>VLOOKUP(E1844,dicionario!$A$1:$C2243,2,0)</f>
        <v>#N/A</v>
      </c>
      <c r="H1844" s="6" t="str">
        <f>VLOOKUP(E1844,dicionario!$A$1:$C2243,3,0)</f>
        <v>#N/A</v>
      </c>
    </row>
    <row r="1845">
      <c r="A1845" s="3">
        <v>45596.0</v>
      </c>
      <c r="B1845" s="4">
        <v>0.30069444444444443</v>
      </c>
      <c r="C1845" s="5" t="s">
        <v>50</v>
      </c>
      <c r="D1845" s="5" t="s">
        <v>595</v>
      </c>
      <c r="E1845" s="6" t="s">
        <v>113</v>
      </c>
      <c r="F1845" s="7" t="s">
        <v>114</v>
      </c>
      <c r="G1845" s="6" t="str">
        <f>VLOOKUP(E1845,dicionario!$A$1:$C2244,2,0)</f>
        <v>Columbina talpacoti</v>
      </c>
      <c r="H1845" s="6" t="str">
        <f>VLOOKUP(E1845,dicionario!$A$1:$C2244,3,0)</f>
        <v>rolinha-roxa</v>
      </c>
    </row>
    <row r="1846">
      <c r="A1846" s="3">
        <v>45596.0</v>
      </c>
      <c r="B1846" s="4">
        <v>0.30069444444444443</v>
      </c>
      <c r="C1846" s="5" t="s">
        <v>50</v>
      </c>
      <c r="D1846" s="5" t="s">
        <v>595</v>
      </c>
      <c r="E1846" s="6" t="s">
        <v>288</v>
      </c>
      <c r="F1846" s="7" t="s">
        <v>289</v>
      </c>
      <c r="G1846" s="6" t="str">
        <f>VLOOKUP(E1846,dicionario!$A$1:$C2245,2,0)</f>
        <v>Phyllanthus tenellus</v>
      </c>
      <c r="H1846" s="6" t="str">
        <f>VLOOKUP(E1846,dicionario!$A$1:$C2245,3,0)</f>
        <v>quebra-pedra</v>
      </c>
    </row>
    <row r="1847">
      <c r="A1847" s="3">
        <v>45596.0</v>
      </c>
      <c r="B1847" s="4">
        <v>0.30069444444444443</v>
      </c>
      <c r="C1847" s="5" t="s">
        <v>50</v>
      </c>
      <c r="D1847" s="5" t="s">
        <v>595</v>
      </c>
      <c r="E1847" s="6" t="s">
        <v>148</v>
      </c>
      <c r="F1847" s="7" t="s">
        <v>149</v>
      </c>
      <c r="G1847" s="6" t="str">
        <f>VLOOKUP(E1847,dicionario!$A$1:$C2246,2,0)</f>
        <v>Parthenium hysterophorus</v>
      </c>
      <c r="H1847" s="6" t="str">
        <f>VLOOKUP(E1847,dicionario!$A$1:$C2246,3,0)</f>
        <v>losna-branca</v>
      </c>
    </row>
    <row r="1848">
      <c r="A1848" s="3">
        <v>45596.0</v>
      </c>
      <c r="B1848" s="4">
        <v>0.3013888888888889</v>
      </c>
      <c r="C1848" s="5" t="s">
        <v>50</v>
      </c>
      <c r="D1848" s="5" t="s">
        <v>595</v>
      </c>
      <c r="E1848" s="6" t="s">
        <v>237</v>
      </c>
      <c r="F1848" s="7" t="s">
        <v>238</v>
      </c>
      <c r="G1848" s="6" t="str">
        <f>VLOOKUP(E1848,dicionario!$A$1:$C2247,2,0)</f>
        <v>Acromyrmex</v>
      </c>
      <c r="H1848" s="6" t="str">
        <f>VLOOKUP(E1848,dicionario!$A$1:$C2247,3,0)</f>
        <v>quenquén</v>
      </c>
    </row>
    <row r="1849">
      <c r="A1849" s="3">
        <v>45596.0</v>
      </c>
      <c r="B1849" s="4">
        <v>0.3013888888888889</v>
      </c>
      <c r="C1849" s="5" t="s">
        <v>50</v>
      </c>
      <c r="D1849" s="5" t="s">
        <v>595</v>
      </c>
      <c r="E1849" s="6" t="s">
        <v>353</v>
      </c>
      <c r="F1849" s="7" t="s">
        <v>354</v>
      </c>
      <c r="G1849" s="6" t="str">
        <f>VLOOKUP(E1849,dicionario!$A$1:$C2248,2,0)</f>
        <v>Desmodium incanum</v>
      </c>
      <c r="H1849" s="6" t="str">
        <f>VLOOKUP(E1849,dicionario!$A$1:$C2248,3,0)</f>
        <v>pega-pega</v>
      </c>
    </row>
    <row r="1850">
      <c r="A1850" s="3">
        <v>45596.0</v>
      </c>
      <c r="B1850" s="4">
        <v>0.3020833333333333</v>
      </c>
      <c r="C1850" s="5" t="s">
        <v>50</v>
      </c>
      <c r="D1850" s="5" t="s">
        <v>595</v>
      </c>
      <c r="E1850" s="6" t="s">
        <v>146</v>
      </c>
      <c r="F1850" s="7" t="s">
        <v>147</v>
      </c>
      <c r="G1850" s="6" t="str">
        <f>VLOOKUP(E1850,dicionario!$A$1:$C2249,2,0)</f>
        <v>Euphorbia hirta</v>
      </c>
      <c r="H1850" s="6" t="str">
        <f>VLOOKUP(E1850,dicionario!$A$1:$C2249,3,0)</f>
        <v>erva-de-santa-luzia</v>
      </c>
    </row>
    <row r="1851">
      <c r="A1851" s="3">
        <v>45596.0</v>
      </c>
      <c r="B1851" s="4">
        <v>0.3020833333333333</v>
      </c>
      <c r="C1851" s="5" t="s">
        <v>50</v>
      </c>
      <c r="D1851" s="5" t="s">
        <v>595</v>
      </c>
      <c r="E1851" s="6" t="s">
        <v>247</v>
      </c>
      <c r="F1851" s="7" t="s">
        <v>387</v>
      </c>
      <c r="G1851" s="6" t="str">
        <f>VLOOKUP(E1851,dicionario!$A$1:$C2250,2,0)</f>
        <v>Emilia sonchifolia</v>
      </c>
      <c r="H1851" s="6" t="str">
        <f>VLOOKUP(E1851,dicionario!$A$1:$C2250,3,0)</f>
        <v>serralinha</v>
      </c>
    </row>
    <row r="1852">
      <c r="A1852" s="3">
        <v>45596.0</v>
      </c>
      <c r="B1852" s="4">
        <v>0.3020833333333333</v>
      </c>
      <c r="C1852" s="5" t="s">
        <v>50</v>
      </c>
      <c r="D1852" s="5" t="s">
        <v>595</v>
      </c>
      <c r="E1852" s="6" t="s">
        <v>225</v>
      </c>
      <c r="F1852" s="7" t="s">
        <v>226</v>
      </c>
      <c r="G1852" s="6" t="str">
        <f>VLOOKUP(E1852,dicionario!$A$1:$C2251,2,0)</f>
        <v>Passer domesticus</v>
      </c>
      <c r="H1852" s="6" t="str">
        <f>VLOOKUP(E1852,dicionario!$A$1:$C2251,3,0)</f>
        <v>pardal</v>
      </c>
    </row>
    <row r="1853">
      <c r="A1853" s="3">
        <v>45596.0</v>
      </c>
      <c r="B1853" s="4">
        <v>0.3020833333333333</v>
      </c>
      <c r="C1853" s="5" t="s">
        <v>50</v>
      </c>
      <c r="D1853" s="5" t="s">
        <v>595</v>
      </c>
      <c r="E1853" s="8" t="s">
        <v>618</v>
      </c>
      <c r="F1853" s="7" t="s">
        <v>619</v>
      </c>
      <c r="G1853" s="6" t="str">
        <f>VLOOKUP(E1853,dicionario!$A$1:$C2252,2,0)</f>
        <v>#N/A</v>
      </c>
      <c r="H1853" s="6" t="str">
        <f>VLOOKUP(E1853,dicionario!$A$1:$C2252,3,0)</f>
        <v>#N/A</v>
      </c>
    </row>
    <row r="1854">
      <c r="A1854" s="3">
        <v>45596.0</v>
      </c>
      <c r="B1854" s="4">
        <v>0.3020833333333333</v>
      </c>
      <c r="C1854" s="5" t="s">
        <v>50</v>
      </c>
      <c r="D1854" s="5" t="s">
        <v>595</v>
      </c>
      <c r="E1854" s="6" t="s">
        <v>308</v>
      </c>
      <c r="F1854" s="7" t="s">
        <v>309</v>
      </c>
      <c r="G1854" s="6" t="str">
        <f>VLOOKUP(E1854,dicionario!$A$1:$C2253,2,0)</f>
        <v>#N/A</v>
      </c>
      <c r="H1854" s="6" t="str">
        <f>VLOOKUP(E1854,dicionario!$A$1:$C2253,3,0)</f>
        <v>#N/A</v>
      </c>
    </row>
    <row r="1855">
      <c r="A1855" s="3">
        <v>45596.0</v>
      </c>
      <c r="B1855" s="4">
        <v>0.3020833333333333</v>
      </c>
      <c r="C1855" s="5" t="s">
        <v>50</v>
      </c>
      <c r="D1855" s="5" t="s">
        <v>595</v>
      </c>
      <c r="E1855" s="6" t="s">
        <v>86</v>
      </c>
      <c r="F1855" s="7" t="s">
        <v>502</v>
      </c>
      <c r="G1855" s="6" t="str">
        <f>VLOOKUP(E1855,dicionario!$A$1:$C2254,2,0)</f>
        <v>Coereba flaveola</v>
      </c>
      <c r="H1855" s="6" t="str">
        <f>VLOOKUP(E1855,dicionario!$A$1:$C2254,3,0)</f>
        <v>cambacica</v>
      </c>
    </row>
    <row r="1856">
      <c r="A1856" s="3">
        <v>45596.0</v>
      </c>
      <c r="B1856" s="4">
        <v>0.3020833333333333</v>
      </c>
      <c r="C1856" s="5" t="s">
        <v>50</v>
      </c>
      <c r="D1856" s="5" t="s">
        <v>595</v>
      </c>
      <c r="E1856" s="6" t="s">
        <v>606</v>
      </c>
      <c r="F1856" s="7" t="s">
        <v>607</v>
      </c>
      <c r="G1856" s="6" t="str">
        <f>VLOOKUP(E1856,dicionario!$A$1:$C2255,2,0)</f>
        <v>Elaenia spectabilis</v>
      </c>
      <c r="H1856" s="6" t="str">
        <f>VLOOKUP(E1856,dicionario!$A$1:$C2255,3,0)</f>
        <v>guaracava-grande</v>
      </c>
    </row>
    <row r="1857">
      <c r="A1857" s="3">
        <v>45596.0</v>
      </c>
      <c r="B1857" s="4">
        <v>0.30277777777777776</v>
      </c>
      <c r="C1857" s="5" t="s">
        <v>50</v>
      </c>
      <c r="D1857" s="5" t="s">
        <v>595</v>
      </c>
      <c r="E1857" s="8" t="s">
        <v>620</v>
      </c>
      <c r="F1857" s="7" t="s">
        <v>559</v>
      </c>
      <c r="G1857" s="6" t="str">
        <f>VLOOKUP(E1857,dicionario!$A$1:$C2256,2,0)</f>
        <v>#N/A</v>
      </c>
      <c r="H1857" s="6" t="str">
        <f>VLOOKUP(E1857,dicionario!$A$1:$C2256,3,0)</f>
        <v>#N/A</v>
      </c>
    </row>
    <row r="1858">
      <c r="A1858" s="3">
        <v>45596.0</v>
      </c>
      <c r="B1858" s="4">
        <v>0.30277777777777776</v>
      </c>
      <c r="C1858" s="5" t="s">
        <v>50</v>
      </c>
      <c r="D1858" s="5" t="s">
        <v>595</v>
      </c>
      <c r="E1858" s="6" t="s">
        <v>55</v>
      </c>
      <c r="F1858" s="5" t="s">
        <v>621</v>
      </c>
      <c r="G1858" s="6" t="str">
        <f>VLOOKUP(E1858,dicionario!$A$1:$C2257,2,0)</f>
        <v>Cubaris murina</v>
      </c>
      <c r="H1858" s="6" t="str">
        <f>VLOOKUP(E1858,dicionario!$A$1:$C2257,3,0)</f>
        <v>tatuzinho-de-jardim</v>
      </c>
    </row>
    <row r="1859">
      <c r="A1859" s="3">
        <v>45596.0</v>
      </c>
      <c r="B1859" s="4">
        <v>0.30277777777777776</v>
      </c>
      <c r="C1859" s="5" t="s">
        <v>50</v>
      </c>
      <c r="D1859" s="5" t="s">
        <v>595</v>
      </c>
      <c r="E1859" s="6" t="s">
        <v>364</v>
      </c>
      <c r="F1859" s="7" t="s">
        <v>365</v>
      </c>
      <c r="G1859" s="6" t="str">
        <f>VLOOKUP(E1859,dicionario!$A$1:$C2258,2,0)</f>
        <v>#N/A</v>
      </c>
      <c r="H1859" s="6" t="str">
        <f>VLOOKUP(E1859,dicionario!$A$1:$C2258,3,0)</f>
        <v>#N/A</v>
      </c>
    </row>
    <row r="1860">
      <c r="A1860" s="3">
        <v>45596.0</v>
      </c>
      <c r="B1860" s="4">
        <v>0.3034722222222222</v>
      </c>
      <c r="C1860" s="5" t="s">
        <v>50</v>
      </c>
      <c r="D1860" s="5" t="s">
        <v>595</v>
      </c>
      <c r="E1860" s="8" t="s">
        <v>622</v>
      </c>
      <c r="F1860" s="7" t="s">
        <v>35</v>
      </c>
      <c r="G1860" s="6" t="str">
        <f>VLOOKUP(E1860,dicionario!$A$1:$C2259,2,0)</f>
        <v>#N/A</v>
      </c>
      <c r="H1860" s="6" t="str">
        <f>VLOOKUP(E1860,dicionario!$A$1:$C2259,3,0)</f>
        <v>#N/A</v>
      </c>
    </row>
    <row r="1861">
      <c r="A1861" s="3">
        <v>45596.0</v>
      </c>
      <c r="B1861" s="4">
        <v>0.3034722222222222</v>
      </c>
      <c r="C1861" s="5" t="s">
        <v>50</v>
      </c>
      <c r="D1861" s="5" t="s">
        <v>595</v>
      </c>
      <c r="E1861" s="8" t="s">
        <v>623</v>
      </c>
      <c r="F1861" s="7" t="s">
        <v>119</v>
      </c>
      <c r="G1861" s="6" t="str">
        <f>VLOOKUP(E1861,dicionario!$A$1:$C2260,2,0)</f>
        <v>#N/A</v>
      </c>
      <c r="H1861" s="6" t="str">
        <f>VLOOKUP(E1861,dicionario!$A$1:$C2260,3,0)</f>
        <v>#N/A</v>
      </c>
    </row>
    <row r="1862">
      <c r="A1862" s="3">
        <v>45596.0</v>
      </c>
      <c r="B1862" s="4">
        <v>0.3034722222222222</v>
      </c>
      <c r="C1862" s="5" t="s">
        <v>50</v>
      </c>
      <c r="D1862" s="5" t="s">
        <v>595</v>
      </c>
      <c r="E1862" s="6" t="s">
        <v>624</v>
      </c>
      <c r="F1862" s="7" t="s">
        <v>625</v>
      </c>
      <c r="G1862" s="6" t="str">
        <f>VLOOKUP(E1862,dicionario!$A$1:$C2261,2,0)</f>
        <v>Euphonia violacea</v>
      </c>
      <c r="H1862" s="6" t="str">
        <f>VLOOKUP(E1862,dicionario!$A$1:$C2261,3,0)</f>
        <v>gaturamo-verdadeiro</v>
      </c>
    </row>
    <row r="1863">
      <c r="A1863" s="3">
        <v>45596.0</v>
      </c>
      <c r="B1863" s="4">
        <v>0.3055555555555556</v>
      </c>
      <c r="C1863" s="5" t="s">
        <v>50</v>
      </c>
      <c r="D1863" s="5" t="s">
        <v>595</v>
      </c>
      <c r="E1863" s="6" t="s">
        <v>91</v>
      </c>
      <c r="F1863" s="7" t="s">
        <v>92</v>
      </c>
      <c r="G1863" s="6" t="str">
        <f>VLOOKUP(E1863,dicionario!$A$1:$C2262,2,0)</f>
        <v>Picumnus cirratus</v>
      </c>
      <c r="H1863" s="6" t="str">
        <f>VLOOKUP(E1863,dicionario!$A$1:$C2262,3,0)</f>
        <v>picapauzinho-barrado</v>
      </c>
    </row>
    <row r="1864">
      <c r="A1864" s="3">
        <v>45596.0</v>
      </c>
      <c r="B1864" s="4">
        <v>0.3055555555555556</v>
      </c>
      <c r="C1864" s="5" t="s">
        <v>50</v>
      </c>
      <c r="D1864" s="5" t="s">
        <v>595</v>
      </c>
      <c r="E1864" s="6" t="s">
        <v>107</v>
      </c>
      <c r="F1864" s="7" t="s">
        <v>108</v>
      </c>
      <c r="G1864" s="6" t="str">
        <f>VLOOKUP(E1864,dicionario!$A$1:$C2263,2,0)</f>
        <v>Ramalina complanata</v>
      </c>
      <c r="H1864" s="6" t="str">
        <f>VLOOKUP(E1864,dicionario!$A$1:$C2263,3,0)</f>
        <v>ramalina</v>
      </c>
    </row>
    <row r="1865">
      <c r="A1865" s="3">
        <v>45596.0</v>
      </c>
      <c r="B1865" s="4">
        <v>0.3055555555555556</v>
      </c>
      <c r="C1865" s="5" t="s">
        <v>50</v>
      </c>
      <c r="D1865" s="5" t="s">
        <v>595</v>
      </c>
      <c r="E1865" s="18" t="s">
        <v>109</v>
      </c>
      <c r="F1865" s="7" t="s">
        <v>110</v>
      </c>
      <c r="G1865" s="6" t="str">
        <f>VLOOKUP(E1865,dicionario!$A$1:$C2264,2,0)</f>
        <v>Tillandsia stricta</v>
      </c>
      <c r="H1865" s="6" t="str">
        <f>VLOOKUP(E1865,dicionario!$A$1:$C2264,3,0)</f>
        <v>cravo-do-mato</v>
      </c>
    </row>
    <row r="1866">
      <c r="A1866" s="3">
        <v>45596.0</v>
      </c>
      <c r="B1866" s="4">
        <v>0.3055555555555556</v>
      </c>
      <c r="C1866" s="5" t="s">
        <v>50</v>
      </c>
      <c r="D1866" s="5" t="s">
        <v>595</v>
      </c>
      <c r="E1866" s="6" t="s">
        <v>103</v>
      </c>
      <c r="F1866" s="7" t="s">
        <v>104</v>
      </c>
      <c r="G1866" s="6" t="str">
        <f>VLOOKUP(E1866,dicionario!$A$1:$C2265,2,0)</f>
        <v>Caracara plancus</v>
      </c>
      <c r="H1866" s="6" t="str">
        <f>VLOOKUP(E1866,dicionario!$A$1:$C2265,3,0)</f>
        <v>carcará </v>
      </c>
    </row>
    <row r="1867">
      <c r="A1867" s="3">
        <v>45596.0</v>
      </c>
      <c r="B1867" s="4">
        <v>0.3055555555555556</v>
      </c>
      <c r="C1867" s="5" t="s">
        <v>50</v>
      </c>
      <c r="D1867" s="5" t="s">
        <v>595</v>
      </c>
      <c r="E1867" s="6" t="s">
        <v>53</v>
      </c>
      <c r="F1867" s="7" t="s">
        <v>54</v>
      </c>
      <c r="G1867" s="6" t="str">
        <f>VLOOKUP(E1867,dicionario!$A$1:$C2266,2,0)</f>
        <v>Turnera subulata</v>
      </c>
      <c r="H1867" s="6" t="str">
        <f>VLOOKUP(E1867,dicionario!$A$1:$C2266,3,0)</f>
        <v>xanana</v>
      </c>
    </row>
    <row r="1868">
      <c r="A1868" s="3">
        <v>45596.0</v>
      </c>
      <c r="B1868" s="4">
        <v>0.3055555555555556</v>
      </c>
      <c r="C1868" s="5" t="s">
        <v>50</v>
      </c>
      <c r="D1868" s="5" t="s">
        <v>595</v>
      </c>
      <c r="E1868" s="6" t="s">
        <v>163</v>
      </c>
      <c r="F1868" s="7" t="s">
        <v>164</v>
      </c>
      <c r="G1868" s="6" t="str">
        <f>VLOOKUP(E1868,dicionario!$A$1:$C2267,2,0)</f>
        <v>Coragyps atratus</v>
      </c>
      <c r="H1868" s="6" t="str">
        <f>VLOOKUP(E1868,dicionario!$A$1:$C2267,3,0)</f>
        <v>urubu-de-cabeça-preta</v>
      </c>
    </row>
    <row r="1869">
      <c r="A1869" s="3">
        <v>45596.0</v>
      </c>
      <c r="B1869" s="4">
        <v>0.30625</v>
      </c>
      <c r="C1869" s="5" t="s">
        <v>59</v>
      </c>
      <c r="D1869" s="5" t="s">
        <v>595</v>
      </c>
      <c r="E1869" s="6" t="s">
        <v>154</v>
      </c>
      <c r="F1869" s="7" t="s">
        <v>155</v>
      </c>
      <c r="G1869" s="6" t="str">
        <f>VLOOKUP(E1869,dicionario!$A$1:$C2268,2,0)</f>
        <v>Cyperus rotundus</v>
      </c>
      <c r="H1869" s="6" t="str">
        <f>VLOOKUP(E1869,dicionario!$A$1:$C2268,3,0)</f>
        <v>tiririca</v>
      </c>
    </row>
    <row r="1870">
      <c r="A1870" s="3">
        <v>45596.0</v>
      </c>
      <c r="B1870" s="4">
        <v>0.30625</v>
      </c>
      <c r="C1870" s="5" t="s">
        <v>59</v>
      </c>
      <c r="D1870" s="5" t="s">
        <v>595</v>
      </c>
      <c r="E1870" s="6" t="s">
        <v>355</v>
      </c>
      <c r="F1870" s="7" t="s">
        <v>356</v>
      </c>
      <c r="G1870" s="6" t="str">
        <f>VLOOKUP(E1870,dicionario!$A$1:$C2269,2,0)</f>
        <v>Boerhavia diffusa</v>
      </c>
      <c r="H1870" s="6" t="str">
        <f>VLOOKUP(E1870,dicionario!$A$1:$C2269,3,0)</f>
        <v>erva-tostão</v>
      </c>
    </row>
    <row r="1871">
      <c r="A1871" s="3">
        <v>45596.0</v>
      </c>
      <c r="B1871" s="4">
        <v>0.30625</v>
      </c>
      <c r="C1871" s="5" t="s">
        <v>59</v>
      </c>
      <c r="D1871" s="5" t="s">
        <v>595</v>
      </c>
      <c r="E1871" s="18" t="s">
        <v>611</v>
      </c>
      <c r="F1871" s="7" t="s">
        <v>612</v>
      </c>
      <c r="G1871" s="6" t="str">
        <f>VLOOKUP(E1871,dicionario!$A$1:$C2270,2,0)</f>
        <v>Boehmeria cylindrica</v>
      </c>
      <c r="H1871" s="6" t="str">
        <f>VLOOKUP(E1871,dicionario!$A$1:$C2270,3,0)</f>
        <v>falsa-urtiga</v>
      </c>
    </row>
    <row r="1872">
      <c r="A1872" s="3">
        <v>45596.0</v>
      </c>
      <c r="B1872" s="4">
        <v>0.30625</v>
      </c>
      <c r="C1872" s="5" t="s">
        <v>59</v>
      </c>
      <c r="D1872" s="5" t="s">
        <v>595</v>
      </c>
      <c r="E1872" s="6" t="s">
        <v>181</v>
      </c>
      <c r="F1872" s="7" t="s">
        <v>182</v>
      </c>
      <c r="G1872" s="6" t="str">
        <f>VLOOKUP(E1872,dicionario!$A$1:$C2271,2,0)</f>
        <v>#N/A</v>
      </c>
      <c r="H1872" s="6" t="str">
        <f>VLOOKUP(E1872,dicionario!$A$1:$C2271,3,0)</f>
        <v>#N/A</v>
      </c>
    </row>
    <row r="1873">
      <c r="A1873" s="3">
        <v>45596.0</v>
      </c>
      <c r="B1873" s="4">
        <v>0.30694444444444446</v>
      </c>
      <c r="C1873" s="5" t="s">
        <v>59</v>
      </c>
      <c r="D1873" s="5" t="s">
        <v>595</v>
      </c>
      <c r="E1873" s="9" t="s">
        <v>22</v>
      </c>
      <c r="F1873" s="7" t="s">
        <v>97</v>
      </c>
      <c r="G1873" s="6" t="str">
        <f>VLOOKUP(E1873,dicionario!$A$1:$C2272,2,0)</f>
        <v>Zenaida auriculata</v>
      </c>
      <c r="H1873" s="6" t="str">
        <f>VLOOKUP(E1873,dicionario!$A$1:$C2272,3,0)</f>
        <v>pomba-de-bando; avoante</v>
      </c>
    </row>
    <row r="1874">
      <c r="A1874" s="3">
        <v>45596.0</v>
      </c>
      <c r="B1874" s="4">
        <v>0.30694444444444446</v>
      </c>
      <c r="C1874" s="5" t="s">
        <v>59</v>
      </c>
      <c r="D1874" s="5" t="s">
        <v>595</v>
      </c>
      <c r="E1874" s="18" t="s">
        <v>109</v>
      </c>
      <c r="F1874" s="7" t="s">
        <v>110</v>
      </c>
      <c r="G1874" s="6" t="str">
        <f>VLOOKUP(E1874,dicionario!$A$1:$C2273,2,0)</f>
        <v>Tillandsia stricta</v>
      </c>
      <c r="H1874" s="6" t="str">
        <f>VLOOKUP(E1874,dicionario!$A$1:$C2273,3,0)</f>
        <v>cravo-do-mato</v>
      </c>
    </row>
    <row r="1875">
      <c r="A1875" s="3">
        <v>45596.0</v>
      </c>
      <c r="B1875" s="4">
        <v>0.30694444444444446</v>
      </c>
      <c r="C1875" s="5" t="s">
        <v>59</v>
      </c>
      <c r="D1875" s="5" t="s">
        <v>595</v>
      </c>
      <c r="E1875" s="6" t="s">
        <v>162</v>
      </c>
      <c r="F1875" s="7" t="s">
        <v>42</v>
      </c>
      <c r="G1875" s="6" t="str">
        <f>VLOOKUP(E1875,dicionario!$A$1:$C2274,2,0)</f>
        <v>Fluvicola nengeta</v>
      </c>
      <c r="H1875" s="6" t="str">
        <f>VLOOKUP(E1875,dicionario!$A$1:$C2274,3,0)</f>
        <v>lavadeira-mascarada</v>
      </c>
    </row>
    <row r="1876">
      <c r="A1876" s="3">
        <v>45596.0</v>
      </c>
      <c r="B1876" s="4">
        <v>0.3076388888888889</v>
      </c>
      <c r="C1876" s="5" t="s">
        <v>59</v>
      </c>
      <c r="D1876" s="5" t="s">
        <v>595</v>
      </c>
      <c r="E1876" s="8" t="s">
        <v>38</v>
      </c>
      <c r="F1876" s="5" t="s">
        <v>39</v>
      </c>
      <c r="G1876" s="6" t="str">
        <f>VLOOKUP(E1876,dicionario!$A$1:$C2275,2,0)</f>
        <v>Troglodytes musculus</v>
      </c>
      <c r="H1876" s="6" t="str">
        <f>VLOOKUP(E1876,dicionario!$A$1:$C2275,3,0)</f>
        <v>curruíra</v>
      </c>
    </row>
    <row r="1877">
      <c r="A1877" s="3">
        <v>45596.0</v>
      </c>
      <c r="B1877" s="4">
        <v>0.3076388888888889</v>
      </c>
      <c r="C1877" s="5" t="s">
        <v>59</v>
      </c>
      <c r="D1877" s="5" t="s">
        <v>595</v>
      </c>
      <c r="E1877" s="6" t="s">
        <v>14</v>
      </c>
      <c r="F1877" s="7" t="s">
        <v>596</v>
      </c>
      <c r="G1877" s="6" t="str">
        <f>VLOOKUP(E1877,dicionario!$A$1:$C2276,2,0)</f>
        <v>Spermacoce verticillata</v>
      </c>
      <c r="H1877" s="6" t="str">
        <f>VLOOKUP(E1877,dicionario!$A$1:$C2276,3,0)</f>
        <v>vassourinha-de-botão</v>
      </c>
    </row>
    <row r="1878">
      <c r="A1878" s="3">
        <v>45596.0</v>
      </c>
      <c r="B1878" s="4">
        <v>0.30833333333333335</v>
      </c>
      <c r="C1878" s="5" t="s">
        <v>59</v>
      </c>
      <c r="D1878" s="5" t="s">
        <v>595</v>
      </c>
      <c r="E1878" s="8" t="s">
        <v>626</v>
      </c>
      <c r="F1878" s="7" t="s">
        <v>627</v>
      </c>
      <c r="G1878" s="6" t="str">
        <f>VLOOKUP(E1878,dicionario!$A$1:$C2277,2,0)</f>
        <v>#N/A</v>
      </c>
      <c r="H1878" s="6" t="str">
        <f>VLOOKUP(E1878,dicionario!$A$1:$C2277,3,0)</f>
        <v>#N/A</v>
      </c>
    </row>
    <row r="1879">
      <c r="A1879" s="3">
        <v>45596.0</v>
      </c>
      <c r="B1879" s="4">
        <v>0.3090277777777778</v>
      </c>
      <c r="C1879" s="5" t="s">
        <v>59</v>
      </c>
      <c r="D1879" s="5" t="s">
        <v>595</v>
      </c>
      <c r="E1879" s="6" t="s">
        <v>239</v>
      </c>
      <c r="F1879" s="7" t="s">
        <v>240</v>
      </c>
      <c r="G1879" s="6" t="str">
        <f>VLOOKUP(E1879,dicionario!$A$1:$C2278,2,0)</f>
        <v>Gomphrena celosioides</v>
      </c>
      <c r="H1879" s="6" t="str">
        <f>VLOOKUP(E1879,dicionario!$A$1:$C2278,3,0)</f>
        <v>perpétua-branca</v>
      </c>
    </row>
    <row r="1880">
      <c r="A1880" s="3">
        <v>45596.0</v>
      </c>
      <c r="B1880" s="4">
        <v>0.3090277777777778</v>
      </c>
      <c r="C1880" s="5" t="s">
        <v>59</v>
      </c>
      <c r="D1880" s="5" t="s">
        <v>595</v>
      </c>
      <c r="E1880" s="6" t="s">
        <v>135</v>
      </c>
      <c r="F1880" s="7" t="s">
        <v>136</v>
      </c>
      <c r="G1880" s="6" t="str">
        <f>VLOOKUP(E1880,dicionario!$A$1:$C2279,2,0)</f>
        <v>Tridax procumbens</v>
      </c>
      <c r="H1880" s="6" t="str">
        <f>VLOOKUP(E1880,dicionario!$A$1:$C2279,3,0)</f>
        <v>erva-de-touro</v>
      </c>
    </row>
    <row r="1881">
      <c r="A1881" s="3">
        <v>45596.0</v>
      </c>
      <c r="B1881" s="4">
        <v>0.30972222222222223</v>
      </c>
      <c r="C1881" s="5" t="s">
        <v>59</v>
      </c>
      <c r="D1881" s="5" t="s">
        <v>595</v>
      </c>
      <c r="E1881" s="6" t="s">
        <v>88</v>
      </c>
      <c r="F1881" s="7" t="s">
        <v>89</v>
      </c>
      <c r="G1881" s="6" t="str">
        <f>VLOOKUP(E1881,dicionario!$A$1:$C2280,2,0)</f>
        <v>Tyrannus melancolichus</v>
      </c>
      <c r="H1881" s="6" t="str">
        <f>VLOOKUP(E1881,dicionario!$A$1:$C2280,3,0)</f>
        <v>suiriri</v>
      </c>
    </row>
    <row r="1882">
      <c r="A1882" s="3">
        <v>45596.0</v>
      </c>
      <c r="B1882" s="4">
        <v>0.30972222222222223</v>
      </c>
      <c r="C1882" s="5" t="s">
        <v>59</v>
      </c>
      <c r="D1882" s="5" t="s">
        <v>595</v>
      </c>
      <c r="E1882" s="6" t="s">
        <v>213</v>
      </c>
      <c r="F1882" s="7" t="s">
        <v>214</v>
      </c>
      <c r="G1882" s="6" t="str">
        <f>VLOOKUP(E1882,dicionario!$A$1:$C2281,2,0)</f>
        <v>Myiozetetes similis</v>
      </c>
      <c r="H1882" s="6" t="str">
        <f>VLOOKUP(E1882,dicionario!$A$1:$C2281,3,0)</f>
        <v>bentevizinho-de-penacho-vermelho</v>
      </c>
    </row>
    <row r="1883">
      <c r="A1883" s="3">
        <v>45596.0</v>
      </c>
      <c r="B1883" s="4">
        <v>0.30972222222222223</v>
      </c>
      <c r="C1883" s="5" t="s">
        <v>59</v>
      </c>
      <c r="D1883" s="5" t="s">
        <v>595</v>
      </c>
      <c r="E1883" s="8" t="s">
        <v>628</v>
      </c>
      <c r="F1883" s="7" t="s">
        <v>203</v>
      </c>
      <c r="G1883" s="6" t="str">
        <f>VLOOKUP(E1883,dicionario!$A$1:$C2282,2,0)</f>
        <v>#N/A</v>
      </c>
      <c r="H1883" s="6" t="str">
        <f>VLOOKUP(E1883,dicionario!$A$1:$C2282,3,0)</f>
        <v>#N/A</v>
      </c>
    </row>
    <row r="1884">
      <c r="A1884" s="3">
        <v>45596.0</v>
      </c>
      <c r="B1884" s="4">
        <v>0.30972222222222223</v>
      </c>
      <c r="C1884" s="5" t="s">
        <v>59</v>
      </c>
      <c r="D1884" s="5" t="s">
        <v>595</v>
      </c>
      <c r="E1884" s="6" t="s">
        <v>317</v>
      </c>
      <c r="F1884" s="5" t="s">
        <v>318</v>
      </c>
      <c r="G1884" s="6" t="str">
        <f>VLOOKUP(E1884,dicionario!$A$1:$C2283,2,0)</f>
        <v>Leucauge argyra</v>
      </c>
      <c r="H1884" s="6" t="str">
        <f>VLOOKUP(E1884,dicionario!$A$1:$C2283,3,0)</f>
        <v>aranha-de-mandibula-longa</v>
      </c>
    </row>
    <row r="1885">
      <c r="A1885" s="3">
        <v>45596.0</v>
      </c>
      <c r="B1885" s="4">
        <v>0.30972222222222223</v>
      </c>
      <c r="C1885" s="5" t="s">
        <v>59</v>
      </c>
      <c r="D1885" s="5" t="s">
        <v>595</v>
      </c>
      <c r="E1885" s="6" t="s">
        <v>388</v>
      </c>
      <c r="F1885" s="5" t="s">
        <v>389</v>
      </c>
      <c r="G1885" s="6" t="str">
        <f>VLOOKUP(E1885,dicionario!$A$1:$C2284,2,0)</f>
        <v>Bulimulus tenuissimus</v>
      </c>
      <c r="H1885" s="6" t="str">
        <f>VLOOKUP(E1885,dicionario!$A$1:$C2284,3,0)</f>
        <v>caracol-fantasma</v>
      </c>
    </row>
    <row r="1886">
      <c r="A1886" s="3">
        <v>45596.0</v>
      </c>
      <c r="B1886" s="4">
        <v>0.30972222222222223</v>
      </c>
      <c r="C1886" s="5" t="s">
        <v>59</v>
      </c>
      <c r="D1886" s="5" t="s">
        <v>595</v>
      </c>
      <c r="E1886" s="8" t="s">
        <v>46</v>
      </c>
      <c r="F1886" s="5" t="s">
        <v>47</v>
      </c>
      <c r="G1886" s="6" t="str">
        <f>VLOOKUP(E1886,dicionario!$A$1:$C2285,2,0)</f>
        <v>Chionomesa fimbriata</v>
      </c>
      <c r="H1886" s="6" t="str">
        <f>VLOOKUP(E1886,dicionario!$A$1:$C2285,3,0)</f>
        <v>beija-flor-de-garganta-verde</v>
      </c>
    </row>
    <row r="1887">
      <c r="A1887" s="3">
        <v>45596.0</v>
      </c>
      <c r="B1887" s="4">
        <v>0.30972222222222223</v>
      </c>
      <c r="C1887" s="5" t="s">
        <v>59</v>
      </c>
      <c r="D1887" s="5" t="s">
        <v>595</v>
      </c>
      <c r="E1887" s="6" t="s">
        <v>271</v>
      </c>
      <c r="F1887" s="7" t="s">
        <v>272</v>
      </c>
      <c r="G1887" s="6" t="str">
        <f>VLOOKUP(E1887,dicionario!$A$1:$C2286,2,0)</f>
        <v>Cyanthillium cinereum</v>
      </c>
      <c r="H1887" s="6" t="str">
        <f>VLOOKUP(E1887,dicionario!$A$1:$C2286,3,0)</f>
        <v>emília</v>
      </c>
    </row>
    <row r="1888">
      <c r="A1888" s="3">
        <v>45596.0</v>
      </c>
      <c r="B1888" s="4">
        <v>0.3104166666666667</v>
      </c>
      <c r="C1888" s="5" t="s">
        <v>59</v>
      </c>
      <c r="D1888" s="5" t="s">
        <v>595</v>
      </c>
      <c r="E1888" s="6" t="s">
        <v>629</v>
      </c>
      <c r="F1888" s="7" t="s">
        <v>301</v>
      </c>
      <c r="G1888" s="6" t="str">
        <f>VLOOKUP(E1888,dicionario!$A$1:$C2287,2,0)</f>
        <v>#N/A</v>
      </c>
      <c r="H1888" s="6" t="str">
        <f>VLOOKUP(E1888,dicionario!$A$1:$C2287,3,0)</f>
        <v>#N/A</v>
      </c>
    </row>
    <row r="1889">
      <c r="A1889" s="3">
        <v>45596.0</v>
      </c>
      <c r="B1889" s="4">
        <v>0.3104166666666667</v>
      </c>
      <c r="C1889" s="5" t="s">
        <v>59</v>
      </c>
      <c r="D1889" s="5" t="s">
        <v>595</v>
      </c>
      <c r="E1889" s="6" t="s">
        <v>107</v>
      </c>
      <c r="F1889" s="5" t="s">
        <v>108</v>
      </c>
      <c r="G1889" s="6" t="str">
        <f>VLOOKUP(E1889,dicionario!$A$1:$C2288,2,0)</f>
        <v>Ramalina complanata</v>
      </c>
      <c r="H1889" s="6" t="str">
        <f>VLOOKUP(E1889,dicionario!$A$1:$C2288,3,0)</f>
        <v>ramalina</v>
      </c>
    </row>
    <row r="1890">
      <c r="A1890" s="3">
        <v>45596.0</v>
      </c>
      <c r="B1890" s="4">
        <v>0.3111111111111111</v>
      </c>
      <c r="C1890" s="5" t="s">
        <v>59</v>
      </c>
      <c r="D1890" s="5" t="s">
        <v>595</v>
      </c>
      <c r="E1890" s="8" t="s">
        <v>622</v>
      </c>
      <c r="F1890" s="7" t="s">
        <v>35</v>
      </c>
      <c r="G1890" s="6" t="str">
        <f>VLOOKUP(E1890,dicionario!$A$1:$C2289,2,0)</f>
        <v>#N/A</v>
      </c>
      <c r="H1890" s="6" t="str">
        <f>VLOOKUP(E1890,dicionario!$A$1:$C2289,3,0)</f>
        <v>#N/A</v>
      </c>
    </row>
    <row r="1891">
      <c r="A1891" s="3">
        <v>45596.0</v>
      </c>
      <c r="B1891" s="4">
        <v>0.3111111111111111</v>
      </c>
      <c r="C1891" s="5" t="s">
        <v>59</v>
      </c>
      <c r="D1891" s="5" t="s">
        <v>595</v>
      </c>
      <c r="E1891" s="6" t="s">
        <v>227</v>
      </c>
      <c r="F1891" s="7" t="s">
        <v>228</v>
      </c>
      <c r="G1891" s="6" t="str">
        <f>VLOOKUP(E1891,dicionario!$A$1:$C2290,2,0)</f>
        <v>Indigofera hirsuta</v>
      </c>
      <c r="H1891" s="6" t="str">
        <f>VLOOKUP(E1891,dicionario!$A$1:$C2290,3,0)</f>
        <v>anileira</v>
      </c>
    </row>
    <row r="1892">
      <c r="A1892" s="3">
        <v>45596.0</v>
      </c>
      <c r="B1892" s="4">
        <v>0.31180555555555556</v>
      </c>
      <c r="C1892" s="5" t="s">
        <v>59</v>
      </c>
      <c r="D1892" s="5" t="s">
        <v>595</v>
      </c>
      <c r="E1892" s="6" t="s">
        <v>105</v>
      </c>
      <c r="F1892" s="7" t="s">
        <v>106</v>
      </c>
      <c r="G1892" s="6" t="str">
        <f>VLOOKUP(E1892,dicionario!$A$1:$C2291,2,0)</f>
        <v>Progne tapera</v>
      </c>
      <c r="H1892" s="6" t="str">
        <f>VLOOKUP(E1892,dicionario!$A$1:$C2291,3,0)</f>
        <v>andorinha-do-campo</v>
      </c>
    </row>
    <row r="1893">
      <c r="A1893" s="3">
        <v>45596.0</v>
      </c>
      <c r="B1893" s="4">
        <v>0.3125</v>
      </c>
      <c r="C1893" s="5" t="s">
        <v>59</v>
      </c>
      <c r="D1893" s="5" t="s">
        <v>595</v>
      </c>
      <c r="E1893" s="6" t="s">
        <v>630</v>
      </c>
      <c r="F1893" s="7" t="s">
        <v>119</v>
      </c>
      <c r="G1893" s="6" t="str">
        <f>VLOOKUP(E1893,dicionario!$A$1:$C2292,2,0)</f>
        <v>#N/A</v>
      </c>
      <c r="H1893" s="6" t="str">
        <f>VLOOKUP(E1893,dicionario!$A$1:$C2292,3,0)</f>
        <v>#N/A</v>
      </c>
    </row>
    <row r="1894">
      <c r="A1894" s="3">
        <v>45596.0</v>
      </c>
      <c r="B1894" s="4">
        <v>0.31319444444444444</v>
      </c>
      <c r="C1894" s="5" t="s">
        <v>59</v>
      </c>
      <c r="D1894" s="5" t="s">
        <v>595</v>
      </c>
      <c r="E1894" s="6" t="s">
        <v>631</v>
      </c>
      <c r="F1894" s="7" t="s">
        <v>632</v>
      </c>
      <c r="G1894" s="6" t="str">
        <f>VLOOKUP(E1894,dicionario!$A$1:$C2293,2,0)</f>
        <v>Chamaecrista nictitans</v>
      </c>
      <c r="H1894" s="6" t="str">
        <f>VLOOKUP(E1894,dicionario!$A$1:$C2293,3,0)</f>
        <v>falsa-dormideira</v>
      </c>
    </row>
    <row r="1895">
      <c r="A1895" s="3">
        <v>45596.0</v>
      </c>
      <c r="B1895" s="4">
        <v>0.3138888888888889</v>
      </c>
      <c r="C1895" s="5" t="s">
        <v>59</v>
      </c>
      <c r="D1895" s="5" t="s">
        <v>595</v>
      </c>
      <c r="E1895" s="6" t="s">
        <v>390</v>
      </c>
      <c r="F1895" s="5" t="s">
        <v>633</v>
      </c>
      <c r="G1895" s="6" t="str">
        <f>VLOOKUP(E1895,dicionario!$A$1:$C2294,2,0)</f>
        <v>Oxalis barrelieri</v>
      </c>
      <c r="H1895" s="6" t="str">
        <f>VLOOKUP(E1895,dicionario!$A$1:$C2294,3,0)</f>
        <v>erva-azeda; azedinha </v>
      </c>
    </row>
    <row r="1896">
      <c r="A1896" s="3">
        <v>45596.0</v>
      </c>
      <c r="B1896" s="4">
        <v>0.3138888888888889</v>
      </c>
      <c r="C1896" s="5" t="s">
        <v>59</v>
      </c>
      <c r="D1896" s="5" t="s">
        <v>595</v>
      </c>
      <c r="E1896" s="15" t="s">
        <v>53</v>
      </c>
      <c r="F1896" s="5" t="s">
        <v>314</v>
      </c>
      <c r="G1896" s="6" t="str">
        <f>VLOOKUP(E1896,dicionario!$A$1:$C2295,2,0)</f>
        <v>Turnera subulata</v>
      </c>
      <c r="H1896" s="6" t="str">
        <f>VLOOKUP(E1896,dicionario!$A$1:$C2295,3,0)</f>
        <v>xanana</v>
      </c>
    </row>
    <row r="1897">
      <c r="A1897" s="3">
        <v>45596.0</v>
      </c>
      <c r="B1897" s="4">
        <v>0.3138888888888889</v>
      </c>
      <c r="C1897" s="5" t="s">
        <v>59</v>
      </c>
      <c r="D1897" s="5" t="s">
        <v>595</v>
      </c>
      <c r="E1897" s="8" t="s">
        <v>286</v>
      </c>
      <c r="F1897" s="7" t="s">
        <v>287</v>
      </c>
      <c r="G1897" s="6" t="str">
        <f>VLOOKUP(E1897,dicionario!$A$1:$C2296,2,0)</f>
        <v>Setaria parviflora</v>
      </c>
      <c r="H1897" s="6" t="str">
        <f>VLOOKUP(E1897,dicionario!$A$1:$C2296,3,0)</f>
        <v>capim-rabo-de-raposa</v>
      </c>
    </row>
    <row r="1898">
      <c r="A1898" s="3">
        <v>45596.0</v>
      </c>
      <c r="B1898" s="4">
        <v>0.3138888888888889</v>
      </c>
      <c r="C1898" s="5" t="s">
        <v>59</v>
      </c>
      <c r="D1898" s="5" t="s">
        <v>595</v>
      </c>
      <c r="E1898" s="6" t="s">
        <v>111</v>
      </c>
      <c r="F1898" s="7" t="s">
        <v>112</v>
      </c>
      <c r="G1898" s="6" t="str">
        <f>VLOOKUP(E1898,dicionario!$A$1:$C2297,2,0)</f>
        <v>Trigona spinipes</v>
      </c>
      <c r="H1898" s="6" t="str">
        <f>VLOOKUP(E1898,dicionario!$A$1:$C2297,3,0)</f>
        <v>abelha-cachorro</v>
      </c>
    </row>
    <row r="1899">
      <c r="A1899" s="3">
        <v>45596.0</v>
      </c>
      <c r="B1899" s="4">
        <v>0.3145833333333333</v>
      </c>
      <c r="C1899" s="5" t="s">
        <v>59</v>
      </c>
      <c r="D1899" s="5" t="s">
        <v>595</v>
      </c>
      <c r="E1899" s="6" t="s">
        <v>107</v>
      </c>
      <c r="F1899" s="5" t="s">
        <v>108</v>
      </c>
      <c r="G1899" s="6" t="str">
        <f>VLOOKUP(E1899,dicionario!$A$1:$C2298,2,0)</f>
        <v>Ramalina complanata</v>
      </c>
      <c r="H1899" s="6" t="str">
        <f>VLOOKUP(E1899,dicionario!$A$1:$C2298,3,0)</f>
        <v>ramalina</v>
      </c>
    </row>
    <row r="1900">
      <c r="A1900" s="3">
        <v>45596.0</v>
      </c>
      <c r="B1900" s="4">
        <v>0.31527777777777777</v>
      </c>
      <c r="C1900" s="5" t="s">
        <v>59</v>
      </c>
      <c r="D1900" s="5" t="s">
        <v>595</v>
      </c>
      <c r="E1900" s="6" t="s">
        <v>253</v>
      </c>
      <c r="F1900" s="7" t="s">
        <v>254</v>
      </c>
      <c r="G1900" s="6" t="str">
        <f>VLOOKUP(E1900,dicionario!$A$1:$C2299,2,0)</f>
        <v>Panicum maximum</v>
      </c>
      <c r="H1900" s="6" t="str">
        <f>VLOOKUP(E1900,dicionario!$A$1:$C2299,3,0)</f>
        <v>capim-colonião</v>
      </c>
    </row>
    <row r="1901">
      <c r="A1901" s="3">
        <v>45596.0</v>
      </c>
      <c r="B1901" s="4">
        <v>0.3159722222222222</v>
      </c>
      <c r="C1901" s="5" t="s">
        <v>59</v>
      </c>
      <c r="D1901" s="5" t="s">
        <v>595</v>
      </c>
      <c r="E1901" s="6" t="s">
        <v>471</v>
      </c>
      <c r="F1901" s="7" t="s">
        <v>472</v>
      </c>
      <c r="G1901" s="6" t="str">
        <f>VLOOKUP(E1901,dicionario!$A$1:$C2300,2,0)</f>
        <v>Sida acuta</v>
      </c>
      <c r="H1901" s="6" t="str">
        <f>VLOOKUP(E1901,dicionario!$A$1:$C2300,3,0)</f>
        <v>reloginho</v>
      </c>
    </row>
    <row r="1902">
      <c r="A1902" s="3">
        <v>45596.0</v>
      </c>
      <c r="B1902" s="4">
        <v>0.3159722222222222</v>
      </c>
      <c r="C1902" s="5" t="s">
        <v>59</v>
      </c>
      <c r="D1902" s="5" t="s">
        <v>595</v>
      </c>
      <c r="E1902" s="8" t="s">
        <v>360</v>
      </c>
      <c r="F1902" s="7" t="s">
        <v>361</v>
      </c>
      <c r="G1902" s="6" t="str">
        <f>VLOOKUP(E1902,dicionario!$A$1:$C2301,2,0)</f>
        <v>Chamaecrista rotundifolia</v>
      </c>
      <c r="H1902" s="6" t="str">
        <f>VLOOKUP(E1902,dicionario!$A$1:$C2301,3,0)</f>
        <v>alfafa-nativa</v>
      </c>
    </row>
    <row r="1903">
      <c r="A1903" s="3">
        <v>45596.0</v>
      </c>
      <c r="B1903" s="4">
        <v>0.3159722222222222</v>
      </c>
      <c r="C1903" s="5" t="s">
        <v>59</v>
      </c>
      <c r="D1903" s="5" t="s">
        <v>595</v>
      </c>
      <c r="E1903" s="6" t="s">
        <v>298</v>
      </c>
      <c r="F1903" s="19" t="s">
        <v>299</v>
      </c>
      <c r="G1903" s="6" t="str">
        <f>VLOOKUP(E1903,dicionario!$A$1:$C2302,2,0)</f>
        <v>Alysicarpus vaginalis</v>
      </c>
      <c r="H1903" s="6" t="str">
        <f>VLOOKUP(E1903,dicionario!$A$1:$C2302,3,0)</f>
        <v/>
      </c>
    </row>
    <row r="1904">
      <c r="A1904" s="3">
        <v>45596.0</v>
      </c>
      <c r="B1904" s="4">
        <v>0.3159722222222222</v>
      </c>
      <c r="C1904" s="5" t="s">
        <v>59</v>
      </c>
      <c r="D1904" s="5" t="s">
        <v>595</v>
      </c>
      <c r="E1904" s="6" t="s">
        <v>195</v>
      </c>
      <c r="F1904" s="7" t="s">
        <v>196</v>
      </c>
      <c r="G1904" s="6" t="str">
        <f>VLOOKUP(E1904,dicionario!$A$1:$C2303,2,0)</f>
        <v>Priva lappulacea</v>
      </c>
      <c r="H1904" s="6" t="str">
        <f>VLOOKUP(E1904,dicionario!$A$1:$C2303,3,0)</f>
        <v>carrapicho</v>
      </c>
    </row>
    <row r="1905">
      <c r="A1905" s="3">
        <v>45596.0</v>
      </c>
      <c r="B1905" s="4">
        <v>0.3159722222222222</v>
      </c>
      <c r="C1905" s="5" t="s">
        <v>59</v>
      </c>
      <c r="D1905" s="5" t="s">
        <v>595</v>
      </c>
      <c r="E1905" s="18" t="s">
        <v>109</v>
      </c>
      <c r="F1905" s="7" t="s">
        <v>110</v>
      </c>
      <c r="G1905" s="6" t="str">
        <f>VLOOKUP(E1905,dicionario!$A$1:$C2304,2,0)</f>
        <v>Tillandsia stricta</v>
      </c>
      <c r="H1905" s="6" t="str">
        <f>VLOOKUP(E1905,dicionario!$A$1:$C2304,3,0)</f>
        <v>cravo-do-mato</v>
      </c>
    </row>
    <row r="1906">
      <c r="A1906" s="3">
        <v>45596.0</v>
      </c>
      <c r="B1906" s="4">
        <v>0.3159722222222222</v>
      </c>
      <c r="C1906" s="5" t="s">
        <v>59</v>
      </c>
      <c r="D1906" s="5" t="s">
        <v>595</v>
      </c>
      <c r="E1906" s="30" t="s">
        <v>634</v>
      </c>
      <c r="F1906" s="7"/>
      <c r="G1906" s="6" t="str">
        <f>VLOOKUP(E1906,dicionario!$A$1:$C2305,2,0)</f>
        <v>#N/A</v>
      </c>
      <c r="H1906" s="6" t="str">
        <f>VLOOKUP(E1906,dicionario!$A$1:$C2305,3,0)</f>
        <v>#N/A</v>
      </c>
    </row>
    <row r="1907">
      <c r="A1907" s="3">
        <v>45596.0</v>
      </c>
      <c r="B1907" s="4">
        <v>0.31805555555555554</v>
      </c>
      <c r="C1907" s="5" t="s">
        <v>59</v>
      </c>
      <c r="D1907" s="5" t="s">
        <v>595</v>
      </c>
      <c r="E1907" s="6" t="s">
        <v>132</v>
      </c>
      <c r="F1907" s="7" t="s">
        <v>133</v>
      </c>
      <c r="G1907" s="6" t="str">
        <f>VLOOKUP(E1907,dicionario!$A$1:$C2306,2,0)</f>
        <v>Euphonia chlorotica</v>
      </c>
      <c r="H1907" s="6" t="str">
        <f>VLOOKUP(E1907,dicionario!$A$1:$C2306,3,0)</f>
        <v>fim-fim</v>
      </c>
    </row>
    <row r="1908">
      <c r="A1908" s="3">
        <v>45596.0</v>
      </c>
      <c r="B1908" s="4">
        <v>0.31805555555555554</v>
      </c>
      <c r="C1908" s="5" t="s">
        <v>59</v>
      </c>
      <c r="D1908" s="5" t="s">
        <v>595</v>
      </c>
      <c r="E1908" s="6" t="s">
        <v>91</v>
      </c>
      <c r="F1908" s="7" t="s">
        <v>92</v>
      </c>
      <c r="G1908" s="6" t="str">
        <f>VLOOKUP(E1908,dicionario!$A$1:$C2307,2,0)</f>
        <v>Picumnus cirratus</v>
      </c>
      <c r="H1908" s="6" t="str">
        <f>VLOOKUP(E1908,dicionario!$A$1:$C2307,3,0)</f>
        <v>picapauzinho-barrado</v>
      </c>
    </row>
    <row r="1909">
      <c r="A1909" s="3">
        <v>45596.0</v>
      </c>
      <c r="B1909" s="4">
        <v>0.31875</v>
      </c>
      <c r="C1909" s="5" t="s">
        <v>59</v>
      </c>
      <c r="D1909" s="5" t="s">
        <v>595</v>
      </c>
      <c r="E1909" s="6" t="s">
        <v>65</v>
      </c>
      <c r="F1909" s="7" t="s">
        <v>66</v>
      </c>
      <c r="G1909" s="6" t="str">
        <f>VLOOKUP(E1909,dicionario!$A$1:$C2308,2,0)</f>
        <v>Pitangus sulphutarus</v>
      </c>
      <c r="H1909" s="6" t="str">
        <f>VLOOKUP(E1909,dicionario!$A$1:$C2308,3,0)</f>
        <v>bem-te-vi</v>
      </c>
    </row>
    <row r="1910">
      <c r="A1910" s="3">
        <v>45596.0</v>
      </c>
      <c r="B1910" s="4">
        <v>0.31875</v>
      </c>
      <c r="C1910" s="5" t="s">
        <v>59</v>
      </c>
      <c r="D1910" s="5" t="s">
        <v>595</v>
      </c>
      <c r="E1910" s="6" t="s">
        <v>113</v>
      </c>
      <c r="F1910" s="7" t="s">
        <v>114</v>
      </c>
      <c r="G1910" s="6" t="str">
        <f>VLOOKUP(E1910,dicionario!$A$1:$C2309,2,0)</f>
        <v>Columbina talpacoti</v>
      </c>
      <c r="H1910" s="6" t="str">
        <f>VLOOKUP(E1910,dicionario!$A$1:$C2309,3,0)</f>
        <v>rolinha-roxa</v>
      </c>
    </row>
    <row r="1911">
      <c r="A1911" s="3">
        <v>45596.0</v>
      </c>
      <c r="B1911" s="4">
        <v>0.31875</v>
      </c>
      <c r="C1911" s="5" t="s">
        <v>59</v>
      </c>
      <c r="D1911" s="5" t="s">
        <v>595</v>
      </c>
      <c r="E1911" s="6" t="s">
        <v>86</v>
      </c>
      <c r="F1911" s="7" t="s">
        <v>502</v>
      </c>
      <c r="G1911" s="6" t="str">
        <f>VLOOKUP(E1911,dicionario!$A$1:$C2310,2,0)</f>
        <v>Coereba flaveola</v>
      </c>
      <c r="H1911" s="6" t="str">
        <f>VLOOKUP(E1911,dicionario!$A$1:$C2310,3,0)</f>
        <v>cambacica</v>
      </c>
    </row>
    <row r="1912">
      <c r="A1912" s="3">
        <v>45596.0</v>
      </c>
      <c r="B1912" s="4">
        <v>0.31875</v>
      </c>
      <c r="C1912" s="5" t="s">
        <v>59</v>
      </c>
      <c r="D1912" s="5" t="s">
        <v>595</v>
      </c>
      <c r="E1912" s="6" t="s">
        <v>177</v>
      </c>
      <c r="F1912" s="7" t="s">
        <v>178</v>
      </c>
      <c r="G1912" s="6" t="str">
        <f>VLOOKUP(E1912,dicionario!$A$1:$C2311,2,0)</f>
        <v>Elaenia flavogaster</v>
      </c>
      <c r="H1912" s="6" t="str">
        <f>VLOOKUP(E1912,dicionario!$A$1:$C2311,3,0)</f>
        <v>guaracava-de-barriga-amarela</v>
      </c>
    </row>
    <row r="1913">
      <c r="A1913" s="3">
        <v>45596.0</v>
      </c>
      <c r="B1913" s="4">
        <v>0.3194444444444444</v>
      </c>
      <c r="C1913" s="5" t="s">
        <v>59</v>
      </c>
      <c r="D1913" s="5" t="s">
        <v>595</v>
      </c>
      <c r="E1913" s="8" t="s">
        <v>38</v>
      </c>
      <c r="F1913" s="5" t="s">
        <v>39</v>
      </c>
      <c r="G1913" s="6" t="str">
        <f>VLOOKUP(E1913,dicionario!$A$1:$C2312,2,0)</f>
        <v>Troglodytes musculus</v>
      </c>
      <c r="H1913" s="6" t="str">
        <f>VLOOKUP(E1913,dicionario!$A$1:$C2312,3,0)</f>
        <v>curruíra</v>
      </c>
    </row>
    <row r="1914">
      <c r="A1914" s="3">
        <v>45596.0</v>
      </c>
      <c r="B1914" s="4">
        <v>0.32013888888888886</v>
      </c>
      <c r="C1914" s="5" t="s">
        <v>59</v>
      </c>
      <c r="D1914" s="5" t="s">
        <v>595</v>
      </c>
      <c r="E1914" s="6" t="s">
        <v>69</v>
      </c>
      <c r="F1914" s="7" t="s">
        <v>71</v>
      </c>
      <c r="G1914" s="6" t="str">
        <f>VLOOKUP(E1914,dicionario!$A$1:$C2313,2,0)</f>
        <v>Talinum fruticosum</v>
      </c>
      <c r="H1914" s="6" t="str">
        <f>VLOOKUP(E1914,dicionario!$A$1:$C2313,3,0)</f>
        <v>beldroega-grande</v>
      </c>
    </row>
    <row r="1915">
      <c r="A1915" s="3">
        <v>45596.0</v>
      </c>
      <c r="B1915" s="4">
        <v>0.32013888888888886</v>
      </c>
      <c r="C1915" s="5" t="s">
        <v>59</v>
      </c>
      <c r="D1915" s="5" t="s">
        <v>595</v>
      </c>
      <c r="E1915" s="6" t="s">
        <v>195</v>
      </c>
      <c r="F1915" s="7" t="s">
        <v>196</v>
      </c>
      <c r="G1915" s="6" t="str">
        <f>VLOOKUP(E1915,dicionario!$A$1:$C2314,2,0)</f>
        <v>Priva lappulacea</v>
      </c>
      <c r="H1915" s="6" t="str">
        <f>VLOOKUP(E1915,dicionario!$A$1:$C2314,3,0)</f>
        <v>carrapicho</v>
      </c>
    </row>
    <row r="1916">
      <c r="A1916" s="3">
        <v>45596.0</v>
      </c>
      <c r="B1916" s="4">
        <v>0.32013888888888886</v>
      </c>
      <c r="C1916" s="5" t="s">
        <v>59</v>
      </c>
      <c r="D1916" s="5" t="s">
        <v>595</v>
      </c>
      <c r="E1916" s="6" t="s">
        <v>154</v>
      </c>
      <c r="F1916" s="7" t="s">
        <v>155</v>
      </c>
      <c r="G1916" s="6" t="str">
        <f>VLOOKUP(E1916,dicionario!$A$1:$C2315,2,0)</f>
        <v>Cyperus rotundus</v>
      </c>
      <c r="H1916" s="6" t="str">
        <f>VLOOKUP(E1916,dicionario!$A$1:$C2315,3,0)</f>
        <v>tiririca</v>
      </c>
    </row>
    <row r="1917">
      <c r="A1917" s="3">
        <v>45596.0</v>
      </c>
      <c r="B1917" s="4">
        <v>0.32013888888888886</v>
      </c>
      <c r="C1917" s="5" t="s">
        <v>59</v>
      </c>
      <c r="D1917" s="5" t="s">
        <v>595</v>
      </c>
      <c r="E1917" s="6" t="s">
        <v>20</v>
      </c>
      <c r="F1917" s="7" t="s">
        <v>21</v>
      </c>
      <c r="G1917" s="6" t="str">
        <f>VLOOKUP(E1917,dicionario!$A$1:$C2316,2,0)</f>
        <v>Sicalis flaveola</v>
      </c>
      <c r="H1917" s="6" t="str">
        <f>VLOOKUP(E1917,dicionario!$A$1:$C2316,3,0)</f>
        <v>canário-da-terra</v>
      </c>
    </row>
    <row r="1918">
      <c r="A1918" s="3">
        <v>45596.0</v>
      </c>
      <c r="B1918" s="4">
        <v>0.32013888888888886</v>
      </c>
      <c r="C1918" s="5" t="s">
        <v>59</v>
      </c>
      <c r="D1918" s="5" t="s">
        <v>595</v>
      </c>
      <c r="E1918" s="6" t="s">
        <v>251</v>
      </c>
      <c r="F1918" s="7" t="s">
        <v>252</v>
      </c>
      <c r="G1918" s="6" t="str">
        <f>VLOOKUP(E1918,dicionario!$A$1:$C2317,2,0)</f>
        <v>Struthanthus flexicaulis</v>
      </c>
      <c r="H1918" s="6" t="str">
        <f>VLOOKUP(E1918,dicionario!$A$1:$C2317,3,0)</f>
        <v>erva-de-passarinho</v>
      </c>
    </row>
    <row r="1919">
      <c r="A1919" s="3">
        <v>45596.0</v>
      </c>
      <c r="B1919" s="4">
        <v>0.32013888888888886</v>
      </c>
      <c r="C1919" s="5" t="s">
        <v>59</v>
      </c>
      <c r="D1919" s="5" t="s">
        <v>595</v>
      </c>
      <c r="E1919" s="6" t="s">
        <v>118</v>
      </c>
      <c r="F1919" s="7" t="s">
        <v>119</v>
      </c>
      <c r="G1919" s="6" t="str">
        <f>VLOOKUP(E1919,dicionario!$A$1:$C2318,2,0)</f>
        <v>Agaricus</v>
      </c>
      <c r="H1919" s="6" t="str">
        <f>VLOOKUP(E1919,dicionario!$A$1:$C2318,3,0)</f>
        <v>cogumelo</v>
      </c>
    </row>
    <row r="1920">
      <c r="A1920" s="3">
        <v>45596.0</v>
      </c>
      <c r="B1920" s="4">
        <v>0.32083333333333336</v>
      </c>
      <c r="C1920" s="5" t="s">
        <v>59</v>
      </c>
      <c r="D1920" s="5" t="s">
        <v>595</v>
      </c>
      <c r="E1920" s="6" t="s">
        <v>163</v>
      </c>
      <c r="F1920" s="7" t="s">
        <v>164</v>
      </c>
      <c r="G1920" s="6" t="str">
        <f>VLOOKUP(E1920,dicionario!$A$1:$C2319,2,0)</f>
        <v>Coragyps atratus</v>
      </c>
      <c r="H1920" s="6" t="str">
        <f>VLOOKUP(E1920,dicionario!$A$1:$C2319,3,0)</f>
        <v>urubu-de-cabeça-preta</v>
      </c>
    </row>
    <row r="1921">
      <c r="A1921" s="3">
        <v>45596.0</v>
      </c>
      <c r="B1921" s="4">
        <v>0.32083333333333336</v>
      </c>
      <c r="C1921" s="5" t="s">
        <v>59</v>
      </c>
      <c r="D1921" s="5" t="s">
        <v>595</v>
      </c>
      <c r="E1921" s="6" t="s">
        <v>171</v>
      </c>
      <c r="F1921" s="7" t="s">
        <v>172</v>
      </c>
      <c r="G1921" s="6" t="str">
        <f>VLOOKUP(E1921,dicionario!$A$1:$C2320,2,0)</f>
        <v>Oxalis corniculata</v>
      </c>
      <c r="H1921" s="6" t="str">
        <f>VLOOKUP(E1921,dicionario!$A$1:$C2320,3,0)</f>
        <v>trevo-azedinho</v>
      </c>
    </row>
    <row r="1922">
      <c r="A1922" s="3">
        <v>45596.0</v>
      </c>
      <c r="B1922" s="4">
        <v>0.32083333333333336</v>
      </c>
      <c r="C1922" s="5" t="s">
        <v>59</v>
      </c>
      <c r="D1922" s="5" t="s">
        <v>595</v>
      </c>
      <c r="E1922" s="6" t="s">
        <v>48</v>
      </c>
      <c r="F1922" s="7" t="s">
        <v>49</v>
      </c>
      <c r="G1922" s="6" t="str">
        <f>VLOOKUP(E1922,dicionario!$A$1:$C2321,2,0)</f>
        <v>Commelina erecta</v>
      </c>
      <c r="H1922" s="6" t="str">
        <f>VLOOKUP(E1922,dicionario!$A$1:$C2321,3,0)</f>
        <v>trapoeraba</v>
      </c>
    </row>
    <row r="1923">
      <c r="A1923" s="3">
        <v>45596.0</v>
      </c>
      <c r="B1923" s="4">
        <v>0.3215277777777778</v>
      </c>
      <c r="C1923" s="5" t="s">
        <v>59</v>
      </c>
      <c r="D1923" s="5" t="s">
        <v>595</v>
      </c>
      <c r="E1923" s="6" t="s">
        <v>635</v>
      </c>
      <c r="F1923" s="7" t="s">
        <v>636</v>
      </c>
      <c r="G1923" s="6" t="str">
        <f>VLOOKUP(E1923,dicionario!$A$1:$C2322,2,0)</f>
        <v>Euphorbia graminea</v>
      </c>
      <c r="H1923" s="6" t="str">
        <f>VLOOKUP(E1923,dicionario!$A$1:$C2322,3,0)</f>
        <v>ponta-de-flecha</v>
      </c>
    </row>
    <row r="1924">
      <c r="A1924" s="3">
        <v>45596.0</v>
      </c>
      <c r="B1924" s="4">
        <v>0.3215277777777778</v>
      </c>
      <c r="C1924" s="5" t="s">
        <v>59</v>
      </c>
      <c r="D1924" s="5" t="s">
        <v>595</v>
      </c>
      <c r="E1924" s="6" t="s">
        <v>150</v>
      </c>
      <c r="F1924" s="7" t="s">
        <v>151</v>
      </c>
      <c r="G1924" s="6" t="str">
        <f>VLOOKUP(E1924,dicionario!$A$1:$C2323,2,0)</f>
        <v>Amaranthus viridis</v>
      </c>
      <c r="H1924" s="6" t="str">
        <f>VLOOKUP(E1924,dicionario!$A$1:$C2323,3,0)</f>
        <v>caruru-de-mancha</v>
      </c>
    </row>
    <row r="1925">
      <c r="A1925" s="3">
        <v>45596.0</v>
      </c>
      <c r="B1925" s="4">
        <v>0.32222222222222224</v>
      </c>
      <c r="C1925" s="5" t="s">
        <v>59</v>
      </c>
      <c r="D1925" s="5" t="s">
        <v>595</v>
      </c>
      <c r="E1925" s="6" t="s">
        <v>148</v>
      </c>
      <c r="F1925" s="7" t="s">
        <v>149</v>
      </c>
      <c r="G1925" s="6" t="str">
        <f>VLOOKUP(E1925,dicionario!$A$1:$C2324,2,0)</f>
        <v>Parthenium hysterophorus</v>
      </c>
      <c r="H1925" s="6" t="str">
        <f>VLOOKUP(E1925,dicionario!$A$1:$C2324,3,0)</f>
        <v>losna-branca</v>
      </c>
    </row>
    <row r="1926">
      <c r="A1926" s="3">
        <v>45596.0</v>
      </c>
      <c r="B1926" s="4">
        <v>0.32222222222222224</v>
      </c>
      <c r="C1926" s="5" t="s">
        <v>59</v>
      </c>
      <c r="D1926" s="5" t="s">
        <v>595</v>
      </c>
      <c r="E1926" s="6" t="s">
        <v>141</v>
      </c>
      <c r="F1926" s="7" t="s">
        <v>142</v>
      </c>
      <c r="G1926" s="6" t="str">
        <f>VLOOKUP(E1926,dicionario!$A$1:$C2325,2,0)</f>
        <v>Ruellia blechum</v>
      </c>
      <c r="H1926" s="6" t="str">
        <f>VLOOKUP(E1926,dicionario!$A$1:$C2325,3,0)</f>
        <v>camarão-verde</v>
      </c>
    </row>
    <row r="1927">
      <c r="A1927" s="3">
        <v>45596.0</v>
      </c>
      <c r="B1927" s="4">
        <v>0.32222222222222224</v>
      </c>
      <c r="C1927" s="5" t="s">
        <v>59</v>
      </c>
      <c r="D1927" s="5" t="s">
        <v>595</v>
      </c>
      <c r="E1927" s="6" t="s">
        <v>181</v>
      </c>
      <c r="F1927" s="7" t="s">
        <v>182</v>
      </c>
      <c r="G1927" s="6" t="str">
        <f>VLOOKUP(E1927,dicionario!$A$1:$C2326,2,0)</f>
        <v>#N/A</v>
      </c>
      <c r="H1927" s="6" t="str">
        <f>VLOOKUP(E1927,dicionario!$A$1:$C2326,3,0)</f>
        <v>#N/A</v>
      </c>
    </row>
    <row r="1928">
      <c r="A1928" s="3">
        <v>45596.0</v>
      </c>
      <c r="B1928" s="4">
        <v>0.3229166666666667</v>
      </c>
      <c r="C1928" s="5" t="s">
        <v>59</v>
      </c>
      <c r="D1928" s="5" t="s">
        <v>595</v>
      </c>
      <c r="E1928" s="8" t="s">
        <v>571</v>
      </c>
      <c r="F1928" s="7" t="s">
        <v>205</v>
      </c>
      <c r="G1928" s="6" t="str">
        <f>VLOOKUP(E1928,dicionario!$A$1:$C2327,2,0)</f>
        <v>#N/A</v>
      </c>
      <c r="H1928" s="6" t="str">
        <f>VLOOKUP(E1928,dicionario!$A$1:$C2327,3,0)</f>
        <v>#N/A</v>
      </c>
    </row>
    <row r="1929">
      <c r="A1929" s="3">
        <v>45596.0</v>
      </c>
      <c r="B1929" s="4">
        <v>0.3229166666666667</v>
      </c>
      <c r="C1929" s="5" t="s">
        <v>59</v>
      </c>
      <c r="D1929" s="5" t="s">
        <v>595</v>
      </c>
      <c r="E1929" s="6" t="s">
        <v>175</v>
      </c>
      <c r="F1929" s="7" t="s">
        <v>176</v>
      </c>
      <c r="G1929" s="6" t="str">
        <f>VLOOKUP(E1929,dicionario!$A$1:$C2328,2,0)</f>
        <v>Turdus leucomelas</v>
      </c>
      <c r="H1929" s="6" t="str">
        <f>VLOOKUP(E1929,dicionario!$A$1:$C2328,3,0)</f>
        <v>sabiá-barranco</v>
      </c>
    </row>
    <row r="1930">
      <c r="A1930" s="3">
        <v>45596.0</v>
      </c>
      <c r="B1930" s="4">
        <v>0.32569444444444445</v>
      </c>
      <c r="C1930" s="5" t="s">
        <v>59</v>
      </c>
      <c r="D1930" s="5" t="s">
        <v>595</v>
      </c>
      <c r="E1930" s="6" t="s">
        <v>193</v>
      </c>
      <c r="F1930" s="7" t="s">
        <v>194</v>
      </c>
      <c r="G1930" s="6" t="str">
        <f>VLOOKUP(E1930,dicionario!$A$1:$C2329,2,0)</f>
        <v>Conirostrum speciosum</v>
      </c>
      <c r="H1930" s="6" t="str">
        <f>VLOOKUP(E1930,dicionario!$A$1:$C2329,3,0)</f>
        <v>figuinha-de-rabo-castanho</v>
      </c>
    </row>
    <row r="1931">
      <c r="A1931" s="3">
        <v>45596.0</v>
      </c>
      <c r="B1931" s="4">
        <v>0.3284722222222222</v>
      </c>
      <c r="C1931" s="5" t="s">
        <v>76</v>
      </c>
      <c r="D1931" s="5" t="s">
        <v>595</v>
      </c>
      <c r="E1931" s="6" t="s">
        <v>86</v>
      </c>
      <c r="F1931" s="7" t="s">
        <v>502</v>
      </c>
      <c r="G1931" s="6" t="str">
        <f>VLOOKUP(E1931,dicionario!$A$1:$C2330,2,0)</f>
        <v>Coereba flaveola</v>
      </c>
      <c r="H1931" s="6" t="str">
        <f>VLOOKUP(E1931,dicionario!$A$1:$C2330,3,0)</f>
        <v>cambacica</v>
      </c>
    </row>
    <row r="1932">
      <c r="A1932" s="3">
        <v>45596.0</v>
      </c>
      <c r="B1932" s="4">
        <v>0.3284722222222222</v>
      </c>
      <c r="C1932" s="5" t="s">
        <v>76</v>
      </c>
      <c r="D1932" s="5" t="s">
        <v>595</v>
      </c>
      <c r="E1932" s="6" t="s">
        <v>286</v>
      </c>
      <c r="F1932" s="7" t="s">
        <v>287</v>
      </c>
      <c r="G1932" s="6" t="str">
        <f>VLOOKUP(E1932,dicionario!$A$1:$C2331,2,0)</f>
        <v>Setaria parviflora</v>
      </c>
      <c r="H1932" s="6" t="str">
        <f>VLOOKUP(E1932,dicionario!$A$1:$C2331,3,0)</f>
        <v>capim-rabo-de-raposa</v>
      </c>
    </row>
    <row r="1933">
      <c r="A1933" s="3">
        <v>45596.0</v>
      </c>
      <c r="B1933" s="4">
        <v>0.3284722222222222</v>
      </c>
      <c r="C1933" s="5" t="s">
        <v>76</v>
      </c>
      <c r="D1933" s="5" t="s">
        <v>595</v>
      </c>
      <c r="E1933" s="6" t="s">
        <v>144</v>
      </c>
      <c r="F1933" s="7" t="s">
        <v>145</v>
      </c>
      <c r="G1933" s="6" t="str">
        <f>VLOOKUP(E1933,dicionario!$A$1:$C2332,2,0)</f>
        <v>Gomphrena globosa</v>
      </c>
      <c r="H1933" s="6" t="str">
        <f>VLOOKUP(E1933,dicionario!$A$1:$C2332,3,0)</f>
        <v>perpétua-rosa</v>
      </c>
    </row>
    <row r="1934">
      <c r="A1934" s="3">
        <v>45596.0</v>
      </c>
      <c r="B1934" s="4">
        <v>0.3284722222222222</v>
      </c>
      <c r="C1934" s="5" t="s">
        <v>76</v>
      </c>
      <c r="D1934" s="5" t="s">
        <v>595</v>
      </c>
      <c r="E1934" s="6" t="s">
        <v>162</v>
      </c>
      <c r="F1934" s="7" t="s">
        <v>42</v>
      </c>
      <c r="G1934" s="6" t="str">
        <f>VLOOKUP(E1934,dicionario!$A$1:$C2333,2,0)</f>
        <v>Fluvicola nengeta</v>
      </c>
      <c r="H1934" s="6" t="str">
        <f>VLOOKUP(E1934,dicionario!$A$1:$C2333,3,0)</f>
        <v>lavadeira-mascarada</v>
      </c>
    </row>
    <row r="1935">
      <c r="A1935" s="3">
        <v>45596.0</v>
      </c>
      <c r="B1935" s="4">
        <v>0.3284722222222222</v>
      </c>
      <c r="C1935" s="5" t="s">
        <v>76</v>
      </c>
      <c r="D1935" s="5" t="s">
        <v>595</v>
      </c>
      <c r="E1935" s="6" t="s">
        <v>271</v>
      </c>
      <c r="F1935" s="7" t="s">
        <v>272</v>
      </c>
      <c r="G1935" s="6" t="str">
        <f>VLOOKUP(E1935,dicionario!$A$1:$C2334,2,0)</f>
        <v>Cyanthillium cinereum</v>
      </c>
      <c r="H1935" s="6" t="str">
        <f>VLOOKUP(E1935,dicionario!$A$1:$C2334,3,0)</f>
        <v>emília</v>
      </c>
    </row>
    <row r="1936">
      <c r="A1936" s="3">
        <v>45596.0</v>
      </c>
      <c r="B1936" s="4">
        <v>0.3284722222222222</v>
      </c>
      <c r="C1936" s="5" t="s">
        <v>76</v>
      </c>
      <c r="D1936" s="5" t="s">
        <v>595</v>
      </c>
      <c r="E1936" s="6" t="s">
        <v>163</v>
      </c>
      <c r="F1936" s="7" t="s">
        <v>164</v>
      </c>
      <c r="G1936" s="6" t="str">
        <f>VLOOKUP(E1936,dicionario!$A$1:$C2335,2,0)</f>
        <v>Coragyps atratus</v>
      </c>
      <c r="H1936" s="6" t="str">
        <f>VLOOKUP(E1936,dicionario!$A$1:$C2335,3,0)</f>
        <v>urubu-de-cabeça-preta</v>
      </c>
    </row>
    <row r="1937">
      <c r="A1937" s="3">
        <v>45596.0</v>
      </c>
      <c r="B1937" s="4">
        <v>0.3284722222222222</v>
      </c>
      <c r="C1937" s="5" t="s">
        <v>76</v>
      </c>
      <c r="D1937" s="5" t="s">
        <v>595</v>
      </c>
      <c r="E1937" s="6" t="s">
        <v>253</v>
      </c>
      <c r="F1937" s="7" t="s">
        <v>254</v>
      </c>
      <c r="G1937" s="6" t="str">
        <f>VLOOKUP(E1937,dicionario!$A$1:$C2336,2,0)</f>
        <v>Panicum maximum</v>
      </c>
      <c r="H1937" s="6" t="str">
        <f>VLOOKUP(E1937,dicionario!$A$1:$C2336,3,0)</f>
        <v>capim-colonião</v>
      </c>
    </row>
    <row r="1938">
      <c r="A1938" s="3">
        <v>45596.0</v>
      </c>
      <c r="B1938" s="4">
        <v>0.3298611111111111</v>
      </c>
      <c r="C1938" s="5" t="s">
        <v>76</v>
      </c>
      <c r="D1938" s="5" t="s">
        <v>595</v>
      </c>
      <c r="E1938" s="6" t="s">
        <v>637</v>
      </c>
      <c r="F1938" s="7" t="s">
        <v>638</v>
      </c>
      <c r="G1938" s="6" t="str">
        <f>VLOOKUP(E1938,dicionario!$A$1:$C2337,2,0)</f>
        <v>#N/A</v>
      </c>
      <c r="H1938" s="6" t="str">
        <f>VLOOKUP(E1938,dicionario!$A$1:$C2337,3,0)</f>
        <v>#N/A</v>
      </c>
    </row>
    <row r="1939">
      <c r="A1939" s="3">
        <v>45596.0</v>
      </c>
      <c r="B1939" s="4">
        <v>0.3298611111111111</v>
      </c>
      <c r="C1939" s="5" t="s">
        <v>76</v>
      </c>
      <c r="D1939" s="5" t="s">
        <v>595</v>
      </c>
      <c r="E1939" s="6" t="s">
        <v>187</v>
      </c>
      <c r="F1939" s="7" t="s">
        <v>70</v>
      </c>
      <c r="G1939" s="6" t="str">
        <f>VLOOKUP(E1939,dicionario!$A$1:$C2338,2,0)</f>
        <v>Tangara cayana</v>
      </c>
      <c r="H1939" s="6" t="str">
        <f>VLOOKUP(E1939,dicionario!$A$1:$C2338,3,0)</f>
        <v>saíra-amarela</v>
      </c>
    </row>
    <row r="1940">
      <c r="A1940" s="3">
        <v>45596.0</v>
      </c>
      <c r="B1940" s="4">
        <v>0.33055555555555555</v>
      </c>
      <c r="C1940" s="5" t="s">
        <v>76</v>
      </c>
      <c r="D1940" s="5" t="s">
        <v>595</v>
      </c>
      <c r="E1940" s="6" t="s">
        <v>639</v>
      </c>
      <c r="F1940" s="7" t="s">
        <v>640</v>
      </c>
      <c r="G1940" s="6" t="str">
        <f>VLOOKUP(E1940,dicionario!$A$1:$C2339,2,0)</f>
        <v>Egretta thula</v>
      </c>
      <c r="H1940" s="6" t="str">
        <f>VLOOKUP(E1940,dicionario!$A$1:$C2339,3,0)</f>
        <v>garça-branca-pequena</v>
      </c>
    </row>
    <row r="1941">
      <c r="A1941" s="3">
        <v>45596.0</v>
      </c>
      <c r="B1941" s="4">
        <v>0.33125</v>
      </c>
      <c r="C1941" s="5" t="s">
        <v>76</v>
      </c>
      <c r="D1941" s="5" t="s">
        <v>595</v>
      </c>
      <c r="E1941" s="6" t="s">
        <v>481</v>
      </c>
      <c r="F1941" s="7" t="s">
        <v>482</v>
      </c>
      <c r="G1941" s="6" t="str">
        <f>VLOOKUP(E1941,dicionario!$A$1:$C2340,2,0)</f>
        <v>Camptostoma obsoletum</v>
      </c>
      <c r="H1941" s="6" t="str">
        <f>VLOOKUP(E1941,dicionario!$A$1:$C2340,3,0)</f>
        <v>risadinha</v>
      </c>
    </row>
    <row r="1942">
      <c r="A1942" s="3">
        <v>45596.0</v>
      </c>
      <c r="B1942" s="4">
        <v>0.33125</v>
      </c>
      <c r="C1942" s="5" t="s">
        <v>76</v>
      </c>
      <c r="D1942" s="5" t="s">
        <v>595</v>
      </c>
      <c r="E1942" s="6" t="s">
        <v>141</v>
      </c>
      <c r="F1942" s="7" t="s">
        <v>142</v>
      </c>
      <c r="G1942" s="6" t="str">
        <f>VLOOKUP(E1942,dicionario!$A$1:$C2341,2,0)</f>
        <v>Ruellia blechum</v>
      </c>
      <c r="H1942" s="6" t="str">
        <f>VLOOKUP(E1942,dicionario!$A$1:$C2341,3,0)</f>
        <v>camarão-verde</v>
      </c>
    </row>
    <row r="1943">
      <c r="A1943" s="3">
        <v>45596.0</v>
      </c>
      <c r="B1943" s="4">
        <v>0.33125</v>
      </c>
      <c r="C1943" s="5" t="s">
        <v>76</v>
      </c>
      <c r="D1943" s="5" t="s">
        <v>595</v>
      </c>
      <c r="E1943" s="6" t="s">
        <v>260</v>
      </c>
      <c r="F1943" s="5" t="s">
        <v>261</v>
      </c>
      <c r="G1943" s="6" t="str">
        <f>VLOOKUP(E1943,dicionario!$A$1:$C2342,2,0)</f>
        <v>Ruellia paniculata</v>
      </c>
      <c r="H1943" s="6" t="str">
        <f>VLOOKUP(E1943,dicionario!$A$1:$C2342,3,0)</f>
        <v>ruélia</v>
      </c>
    </row>
    <row r="1944">
      <c r="A1944" s="3">
        <v>45596.0</v>
      </c>
      <c r="B1944" s="4">
        <v>0.33125</v>
      </c>
      <c r="C1944" s="5" t="s">
        <v>76</v>
      </c>
      <c r="D1944" s="5" t="s">
        <v>595</v>
      </c>
      <c r="E1944" s="6" t="s">
        <v>158</v>
      </c>
      <c r="F1944" s="7" t="s">
        <v>159</v>
      </c>
      <c r="G1944" s="6" t="str">
        <f>VLOOKUP(E1944,dicionario!$A$1:$C2343,2,0)</f>
        <v>Nephilingis cruentata</v>
      </c>
      <c r="H1944" s="6" t="str">
        <f>VLOOKUP(E1944,dicionario!$A$1:$C2343,3,0)</f>
        <v>maria-bola</v>
      </c>
    </row>
    <row r="1945">
      <c r="A1945" s="3">
        <v>45596.0</v>
      </c>
      <c r="B1945" s="4">
        <v>0.3375</v>
      </c>
      <c r="C1945" s="5" t="s">
        <v>76</v>
      </c>
      <c r="D1945" s="5" t="s">
        <v>595</v>
      </c>
      <c r="E1945" s="26"/>
      <c r="F1945" s="39" t="s">
        <v>641</v>
      </c>
      <c r="G1945" s="6" t="str">
        <f>VLOOKUP(E1945,dicionario!$A$1:$C2344,2,0)</f>
        <v>#N/A</v>
      </c>
      <c r="H1945" s="6" t="str">
        <f>VLOOKUP(E1945,dicionario!$A$1:$C2344,3,0)</f>
        <v>#N/A</v>
      </c>
    </row>
    <row r="1946">
      <c r="A1946" s="3">
        <v>45596.0</v>
      </c>
      <c r="B1946" s="4">
        <v>0.33819444444444446</v>
      </c>
      <c r="C1946" s="5" t="s">
        <v>76</v>
      </c>
      <c r="D1946" s="5" t="s">
        <v>595</v>
      </c>
      <c r="E1946" s="6" t="s">
        <v>328</v>
      </c>
      <c r="F1946" s="7" t="s">
        <v>329</v>
      </c>
      <c r="G1946" s="6" t="str">
        <f>VLOOKUP(E1946,dicionario!$A$1:$C2345,2,0)</f>
        <v>Rivina humilis</v>
      </c>
      <c r="H1946" s="6" t="str">
        <f>VLOOKUP(E1946,dicionario!$A$1:$C2345,3,0)</f>
        <v>baga-de-sangue</v>
      </c>
    </row>
    <row r="1947">
      <c r="A1947" s="3">
        <v>45596.0</v>
      </c>
      <c r="B1947" s="4">
        <v>0.33819444444444446</v>
      </c>
      <c r="C1947" s="5" t="s">
        <v>76</v>
      </c>
      <c r="D1947" s="5" t="s">
        <v>595</v>
      </c>
      <c r="E1947" s="6" t="s">
        <v>290</v>
      </c>
      <c r="F1947" s="7" t="s">
        <v>291</v>
      </c>
      <c r="G1947" s="6" t="str">
        <f>VLOOKUP(E1947,dicionario!$A$1:$C2346,2,0)</f>
        <v>Drymaria cordata</v>
      </c>
      <c r="H1947" s="6" t="str">
        <f>VLOOKUP(E1947,dicionario!$A$1:$C2346,3,0)</f>
        <v>orelha-de-rato</v>
      </c>
    </row>
    <row r="1948">
      <c r="A1948" s="3">
        <v>45596.0</v>
      </c>
      <c r="B1948" s="4">
        <v>0.33819444444444446</v>
      </c>
      <c r="C1948" s="5" t="s">
        <v>76</v>
      </c>
      <c r="D1948" s="5" t="s">
        <v>595</v>
      </c>
      <c r="E1948" s="18" t="s">
        <v>611</v>
      </c>
      <c r="F1948" s="7" t="s">
        <v>612</v>
      </c>
      <c r="G1948" s="6" t="str">
        <f>VLOOKUP(E1948,dicionario!$A$1:$C2347,2,0)</f>
        <v>Boehmeria cylindrica</v>
      </c>
      <c r="H1948" s="6" t="str">
        <f>VLOOKUP(E1948,dicionario!$A$1:$C2347,3,0)</f>
        <v>falsa-urtiga</v>
      </c>
    </row>
    <row r="1949">
      <c r="A1949" s="3">
        <v>45596.0</v>
      </c>
      <c r="B1949" s="4">
        <v>0.33819444444444446</v>
      </c>
      <c r="C1949" s="5" t="s">
        <v>76</v>
      </c>
      <c r="D1949" s="5" t="s">
        <v>595</v>
      </c>
      <c r="E1949" s="6" t="s">
        <v>401</v>
      </c>
      <c r="F1949" s="7" t="s">
        <v>464</v>
      </c>
      <c r="G1949" s="6" t="str">
        <f>VLOOKUP(E1949,dicionario!$A$1:$C2348,2,0)</f>
        <v>Cissus verticillata</v>
      </c>
      <c r="H1949" s="6" t="str">
        <f>VLOOKUP(E1949,dicionario!$A$1:$C2348,3,0)</f>
        <v>uva-do-mato</v>
      </c>
    </row>
    <row r="1950">
      <c r="A1950" s="3">
        <v>45596.0</v>
      </c>
      <c r="B1950" s="4">
        <v>0.33819444444444446</v>
      </c>
      <c r="C1950" s="5" t="s">
        <v>76</v>
      </c>
      <c r="D1950" s="5" t="s">
        <v>595</v>
      </c>
      <c r="E1950" s="6" t="s">
        <v>83</v>
      </c>
      <c r="F1950" s="7" t="s">
        <v>84</v>
      </c>
      <c r="G1950" s="6" t="str">
        <f>VLOOKUP(E1950,dicionario!$A$1:$C2349,2,0)</f>
        <v>Anartia jatrophae</v>
      </c>
      <c r="H1950" s="6" t="str">
        <f>VLOOKUP(E1950,dicionario!$A$1:$C2349,3,0)</f>
        <v>borboleta-pavão-branco</v>
      </c>
    </row>
    <row r="1951">
      <c r="A1951" s="3">
        <v>45596.0</v>
      </c>
      <c r="B1951" s="4">
        <v>0.33958333333333335</v>
      </c>
      <c r="C1951" s="5" t="s">
        <v>76</v>
      </c>
      <c r="D1951" s="5" t="s">
        <v>595</v>
      </c>
      <c r="E1951" s="6" t="s">
        <v>642</v>
      </c>
      <c r="F1951" s="7" t="s">
        <v>643</v>
      </c>
      <c r="G1951" s="6" t="str">
        <f>VLOOKUP(E1951,dicionario!$A$1:$C2350,2,0)</f>
        <v>#N/A</v>
      </c>
      <c r="H1951" s="6" t="str">
        <f>VLOOKUP(E1951,dicionario!$A$1:$C2350,3,0)</f>
        <v>#N/A</v>
      </c>
    </row>
    <row r="1952">
      <c r="A1952" s="3">
        <v>45596.0</v>
      </c>
      <c r="B1952" s="4">
        <v>0.33958333333333335</v>
      </c>
      <c r="C1952" s="5" t="s">
        <v>76</v>
      </c>
      <c r="D1952" s="5" t="s">
        <v>595</v>
      </c>
      <c r="E1952" s="6" t="s">
        <v>245</v>
      </c>
      <c r="F1952" s="7" t="s">
        <v>246</v>
      </c>
      <c r="G1952" s="6" t="str">
        <f>VLOOKUP(E1952,dicionario!$A$1:$C2351,2,0)</f>
        <v>Hemiargus hanno</v>
      </c>
      <c r="H1952" s="6" t="str">
        <f>VLOOKUP(E1952,dicionario!$A$1:$C2351,3,0)</f>
        <v>borboleta-azulzinha-do-trevo</v>
      </c>
    </row>
    <row r="1953">
      <c r="A1953" s="3">
        <v>45596.0</v>
      </c>
      <c r="B1953" s="4">
        <v>0.33958333333333335</v>
      </c>
      <c r="C1953" s="5" t="s">
        <v>76</v>
      </c>
      <c r="D1953" s="5" t="s">
        <v>595</v>
      </c>
      <c r="E1953" s="6" t="s">
        <v>312</v>
      </c>
      <c r="F1953" s="7" t="s">
        <v>285</v>
      </c>
      <c r="G1953" s="6" t="str">
        <f>VLOOKUP(E1953,dicionario!$A$1:$C2352,2,0)</f>
        <v>#N/A</v>
      </c>
      <c r="H1953" s="6" t="str">
        <f>VLOOKUP(E1953,dicionario!$A$1:$C2352,3,0)</f>
        <v>#N/A</v>
      </c>
    </row>
    <row r="1954">
      <c r="A1954" s="3">
        <v>45596.0</v>
      </c>
      <c r="B1954" s="4">
        <v>0.33958333333333335</v>
      </c>
      <c r="C1954" s="5" t="s">
        <v>76</v>
      </c>
      <c r="D1954" s="5" t="s">
        <v>595</v>
      </c>
      <c r="E1954" s="6" t="s">
        <v>229</v>
      </c>
      <c r="F1954" s="7" t="s">
        <v>230</v>
      </c>
      <c r="G1954" s="6" t="str">
        <f>VLOOKUP(E1954,dicionario!$A$1:$C2353,2,0)</f>
        <v>Apis mellifera</v>
      </c>
      <c r="H1954" s="6" t="str">
        <f>VLOOKUP(E1954,dicionario!$A$1:$C2353,3,0)</f>
        <v>abelha-do-mel</v>
      </c>
    </row>
    <row r="1955">
      <c r="A1955" s="3">
        <v>45596.0</v>
      </c>
      <c r="B1955" s="4">
        <v>0.33958333333333335</v>
      </c>
      <c r="C1955" s="5" t="s">
        <v>76</v>
      </c>
      <c r="D1955" s="5" t="s">
        <v>595</v>
      </c>
      <c r="E1955" s="6" t="s">
        <v>111</v>
      </c>
      <c r="F1955" s="7" t="s">
        <v>112</v>
      </c>
      <c r="G1955" s="6" t="str">
        <f>VLOOKUP(E1955,dicionario!$A$1:$C2354,2,0)</f>
        <v>Trigona spinipes</v>
      </c>
      <c r="H1955" s="6" t="str">
        <f>VLOOKUP(E1955,dicionario!$A$1:$C2354,3,0)</f>
        <v>abelha-cachorro</v>
      </c>
    </row>
    <row r="1956">
      <c r="A1956" s="3">
        <v>45596.0</v>
      </c>
      <c r="B1956" s="4">
        <v>0.33958333333333335</v>
      </c>
      <c r="C1956" s="5" t="s">
        <v>76</v>
      </c>
      <c r="D1956" s="5" t="s">
        <v>595</v>
      </c>
      <c r="E1956" s="8" t="s">
        <v>12</v>
      </c>
      <c r="F1956" s="7" t="s">
        <v>13</v>
      </c>
      <c r="G1956" s="6" t="str">
        <f>VLOOKUP(E1956,dicionario!$A$1:$C2355,2,0)</f>
        <v>Eulaema nigrita</v>
      </c>
      <c r="H1956" s="6" t="str">
        <f>VLOOKUP(E1956,dicionario!$A$1:$C2355,3,0)</f>
        <v>abelha-de-orquídea</v>
      </c>
    </row>
    <row r="1957">
      <c r="A1957" s="3">
        <v>45596.0</v>
      </c>
      <c r="B1957" s="4">
        <v>0.3402777777777778</v>
      </c>
      <c r="C1957" s="5" t="s">
        <v>76</v>
      </c>
      <c r="D1957" s="5" t="s">
        <v>595</v>
      </c>
      <c r="E1957" s="6" t="s">
        <v>183</v>
      </c>
      <c r="F1957" s="7" t="s">
        <v>644</v>
      </c>
      <c r="G1957" s="6" t="str">
        <f>VLOOKUP(E1957,dicionario!$A$1:$C2356,2,0)</f>
        <v>Thunbergia alata</v>
      </c>
      <c r="H1957" s="6" t="str">
        <f>VLOOKUP(E1957,dicionario!$A$1:$C2356,3,0)</f>
        <v>susana-dos-olhos-negros</v>
      </c>
    </row>
    <row r="1958">
      <c r="A1958" s="3">
        <v>45596.0</v>
      </c>
      <c r="B1958" s="4">
        <v>0.3402777777777778</v>
      </c>
      <c r="C1958" s="5" t="s">
        <v>76</v>
      </c>
      <c r="D1958" s="5" t="s">
        <v>595</v>
      </c>
      <c r="E1958" s="6" t="s">
        <v>69</v>
      </c>
      <c r="F1958" s="7" t="s">
        <v>71</v>
      </c>
      <c r="G1958" s="6" t="str">
        <f>VLOOKUP(E1958,dicionario!$A$1:$C2357,2,0)</f>
        <v>Talinum fruticosum</v>
      </c>
      <c r="H1958" s="6" t="str">
        <f>VLOOKUP(E1958,dicionario!$A$1:$C2357,3,0)</f>
        <v>beldroega-grande</v>
      </c>
    </row>
    <row r="1959">
      <c r="A1959" s="3">
        <v>45596.0</v>
      </c>
      <c r="B1959" s="4">
        <v>0.3402777777777778</v>
      </c>
      <c r="C1959" s="5" t="s">
        <v>76</v>
      </c>
      <c r="D1959" s="5" t="s">
        <v>595</v>
      </c>
      <c r="E1959" s="6" t="s">
        <v>457</v>
      </c>
      <c r="F1959" s="7" t="s">
        <v>645</v>
      </c>
      <c r="G1959" s="6" t="str">
        <f>VLOOKUP(E1959,dicionario!$A$1:$C2358,2,0)</f>
        <v>Alternanthera philoxeroides</v>
      </c>
      <c r="H1959" s="6" t="str">
        <f>VLOOKUP(E1959,dicionario!$A$1:$C2358,3,0)</f>
        <v>erva-jacaré </v>
      </c>
    </row>
    <row r="1960">
      <c r="A1960" s="3">
        <v>45596.0</v>
      </c>
      <c r="B1960" s="4">
        <v>0.3402777777777778</v>
      </c>
      <c r="C1960" s="5" t="s">
        <v>76</v>
      </c>
      <c r="D1960" s="5" t="s">
        <v>595</v>
      </c>
      <c r="E1960" s="6" t="s">
        <v>646</v>
      </c>
      <c r="F1960" s="7" t="s">
        <v>647</v>
      </c>
      <c r="G1960" s="6" t="str">
        <f>VLOOKUP(E1960,dicionario!$A$1:$C2359,2,0)</f>
        <v>Palpada mexicana</v>
      </c>
      <c r="H1960" s="6" t="str">
        <f>VLOOKUP(E1960,dicionario!$A$1:$C2359,3,0)</f>
        <v>mosca-das-flores</v>
      </c>
    </row>
    <row r="1961">
      <c r="A1961" s="3">
        <v>45596.0</v>
      </c>
      <c r="B1961" s="4">
        <v>0.34097222222222223</v>
      </c>
      <c r="C1961" s="5" t="s">
        <v>76</v>
      </c>
      <c r="D1961" s="5" t="s">
        <v>595</v>
      </c>
      <c r="E1961" s="6" t="s">
        <v>144</v>
      </c>
      <c r="F1961" s="7" t="s">
        <v>145</v>
      </c>
      <c r="G1961" s="6" t="str">
        <f>VLOOKUP(E1961,dicionario!$A$1:$C2360,2,0)</f>
        <v>Gomphrena globosa</v>
      </c>
      <c r="H1961" s="6" t="str">
        <f>VLOOKUP(E1961,dicionario!$A$1:$C2360,3,0)</f>
        <v>perpétua-rosa</v>
      </c>
    </row>
    <row r="1962">
      <c r="A1962" s="3">
        <v>45596.0</v>
      </c>
      <c r="B1962" s="4">
        <v>0.3416666666666667</v>
      </c>
      <c r="C1962" s="5" t="s">
        <v>76</v>
      </c>
      <c r="D1962" s="5" t="s">
        <v>595</v>
      </c>
      <c r="E1962" s="6" t="s">
        <v>471</v>
      </c>
      <c r="F1962" s="7" t="s">
        <v>472</v>
      </c>
      <c r="G1962" s="6" t="str">
        <f>VLOOKUP(E1962,dicionario!$A$1:$C2361,2,0)</f>
        <v>Sida acuta</v>
      </c>
      <c r="H1962" s="6" t="str">
        <f>VLOOKUP(E1962,dicionario!$A$1:$C2361,3,0)</f>
        <v>reloginho</v>
      </c>
    </row>
    <row r="1963">
      <c r="A1963" s="3">
        <v>45596.0</v>
      </c>
      <c r="B1963" s="4">
        <v>0.3416666666666667</v>
      </c>
      <c r="C1963" s="5" t="s">
        <v>76</v>
      </c>
      <c r="D1963" s="5" t="s">
        <v>595</v>
      </c>
      <c r="E1963" s="6" t="s">
        <v>648</v>
      </c>
      <c r="F1963" s="5" t="s">
        <v>649</v>
      </c>
      <c r="G1963" s="6" t="str">
        <f>VLOOKUP(E1963,dicionario!$A$1:$C2362,2,0)</f>
        <v>Burnsius orcus</v>
      </c>
      <c r="H1963" s="6" t="str">
        <f>VLOOKUP(E1963,dicionario!$A$1:$C2362,3,0)</f>
        <v/>
      </c>
    </row>
    <row r="1964">
      <c r="A1964" s="3">
        <v>45596.0</v>
      </c>
      <c r="B1964" s="4">
        <v>0.3416666666666667</v>
      </c>
      <c r="C1964" s="5" t="s">
        <v>76</v>
      </c>
      <c r="D1964" s="5" t="s">
        <v>595</v>
      </c>
      <c r="E1964" s="6" t="s">
        <v>135</v>
      </c>
      <c r="F1964" s="7" t="s">
        <v>136</v>
      </c>
      <c r="G1964" s="6" t="str">
        <f>VLOOKUP(E1964,dicionario!$A$1:$C2363,2,0)</f>
        <v>Tridax procumbens</v>
      </c>
      <c r="H1964" s="6" t="str">
        <f>VLOOKUP(E1964,dicionario!$A$1:$C2363,3,0)</f>
        <v>erva-de-touro</v>
      </c>
    </row>
    <row r="1965">
      <c r="A1965" s="3">
        <v>45596.0</v>
      </c>
      <c r="B1965" s="4">
        <v>0.3416666666666667</v>
      </c>
      <c r="C1965" s="5" t="s">
        <v>76</v>
      </c>
      <c r="D1965" s="5" t="s">
        <v>595</v>
      </c>
      <c r="E1965" s="6" t="s">
        <v>355</v>
      </c>
      <c r="F1965" s="7" t="s">
        <v>356</v>
      </c>
      <c r="G1965" s="6" t="str">
        <f>VLOOKUP(E1965,dicionario!$A$1:$C2364,2,0)</f>
        <v>Boerhavia diffusa</v>
      </c>
      <c r="H1965" s="6" t="str">
        <f>VLOOKUP(E1965,dicionario!$A$1:$C2364,3,0)</f>
        <v>erva-tostão</v>
      </c>
    </row>
    <row r="1966">
      <c r="A1966" s="3">
        <v>45596.0</v>
      </c>
      <c r="B1966" s="4">
        <v>0.3416666666666667</v>
      </c>
      <c r="C1966" s="5" t="s">
        <v>76</v>
      </c>
      <c r="D1966" s="5" t="s">
        <v>595</v>
      </c>
      <c r="E1966" s="6" t="s">
        <v>650</v>
      </c>
      <c r="F1966" s="7" t="s">
        <v>414</v>
      </c>
      <c r="G1966" s="6" t="str">
        <f>VLOOKUP(E1966,dicionario!$A$1:$C2365,2,0)</f>
        <v>#N/A</v>
      </c>
      <c r="H1966" s="6" t="str">
        <f>VLOOKUP(E1966,dicionario!$A$1:$C2365,3,0)</f>
        <v>#N/A</v>
      </c>
    </row>
    <row r="1967">
      <c r="A1967" s="3">
        <v>45596.0</v>
      </c>
      <c r="B1967" s="4">
        <v>0.3416666666666667</v>
      </c>
      <c r="C1967" s="5" t="s">
        <v>76</v>
      </c>
      <c r="D1967" s="5" t="s">
        <v>595</v>
      </c>
      <c r="E1967" s="6" t="s">
        <v>256</v>
      </c>
      <c r="F1967" s="7" t="s">
        <v>257</v>
      </c>
      <c r="G1967" s="6" t="str">
        <f>VLOOKUP(E1967,dicionario!$A$1:$C2366,2,0)</f>
        <v>Youngia japonica</v>
      </c>
      <c r="H1967" s="6" t="str">
        <f>VLOOKUP(E1967,dicionario!$A$1:$C2366,3,0)</f>
        <v>barba-de-falcão</v>
      </c>
    </row>
    <row r="1968">
      <c r="A1968" s="3">
        <v>45596.0</v>
      </c>
      <c r="B1968" s="4">
        <v>0.3423611111111111</v>
      </c>
      <c r="C1968" s="5" t="s">
        <v>76</v>
      </c>
      <c r="D1968" s="5" t="s">
        <v>595</v>
      </c>
      <c r="E1968" s="6" t="s">
        <v>324</v>
      </c>
      <c r="F1968" s="7" t="s">
        <v>325</v>
      </c>
      <c r="G1968" s="6" t="str">
        <f>VLOOKUP(E1968,dicionario!$A$1:$C2367,2,0)</f>
        <v>#N/A</v>
      </c>
      <c r="H1968" s="6" t="str">
        <f>VLOOKUP(E1968,dicionario!$A$1:$C2367,3,0)</f>
        <v>#N/A</v>
      </c>
    </row>
    <row r="1969">
      <c r="A1969" s="3">
        <v>45596.0</v>
      </c>
      <c r="B1969" s="4">
        <v>0.3423611111111111</v>
      </c>
      <c r="C1969" s="5" t="s">
        <v>76</v>
      </c>
      <c r="D1969" s="5" t="s">
        <v>595</v>
      </c>
      <c r="E1969" s="6" t="s">
        <v>651</v>
      </c>
      <c r="F1969" s="7" t="s">
        <v>414</v>
      </c>
      <c r="G1969" s="6" t="str">
        <f>VLOOKUP(E1969,dicionario!$A$1:$C2368,2,0)</f>
        <v>#N/A</v>
      </c>
      <c r="H1969" s="6" t="str">
        <f>VLOOKUP(E1969,dicionario!$A$1:$C2368,3,0)</f>
        <v>#N/A</v>
      </c>
    </row>
    <row r="1970">
      <c r="A1970" s="3">
        <v>45596.0</v>
      </c>
      <c r="B1970" s="4">
        <v>0.3423611111111111</v>
      </c>
      <c r="C1970" s="5" t="s">
        <v>76</v>
      </c>
      <c r="D1970" s="5" t="s">
        <v>595</v>
      </c>
      <c r="E1970" s="6" t="s">
        <v>139</v>
      </c>
      <c r="F1970" s="7" t="s">
        <v>140</v>
      </c>
      <c r="G1970" s="6" t="str">
        <f>VLOOKUP(E1970,dicionario!$A$1:$C2369,2,0)</f>
        <v>Tropidurus torquatus</v>
      </c>
      <c r="H1970" s="6" t="str">
        <f>VLOOKUP(E1970,dicionario!$A$1:$C2369,3,0)</f>
        <v>calango; tropiduro-comum</v>
      </c>
    </row>
    <row r="1971">
      <c r="A1971" s="3">
        <v>45596.0</v>
      </c>
      <c r="B1971" s="4">
        <v>0.3423611111111111</v>
      </c>
      <c r="C1971" s="5" t="s">
        <v>76</v>
      </c>
      <c r="D1971" s="5" t="s">
        <v>595</v>
      </c>
      <c r="E1971" s="6" t="s">
        <v>652</v>
      </c>
      <c r="F1971" s="7" t="s">
        <v>653</v>
      </c>
      <c r="G1971" s="6" t="str">
        <f>VLOOKUP(E1971,dicionario!$A$1:$C2370,2,0)</f>
        <v>Oxalis latifolia</v>
      </c>
      <c r="H1971" s="6" t="str">
        <f>VLOOKUP(E1971,dicionario!$A$1:$C2370,3,0)</f>
        <v>trevo-azedo</v>
      </c>
    </row>
    <row r="1972">
      <c r="A1972" s="3">
        <v>45596.0</v>
      </c>
      <c r="B1972" s="4">
        <v>0.34305555555555556</v>
      </c>
      <c r="C1972" s="5" t="s">
        <v>76</v>
      </c>
      <c r="D1972" s="5" t="s">
        <v>595</v>
      </c>
      <c r="E1972" s="6" t="s">
        <v>606</v>
      </c>
      <c r="F1972" s="7" t="s">
        <v>607</v>
      </c>
      <c r="G1972" s="6" t="str">
        <f>VLOOKUP(E1972,dicionario!$A$1:$C2371,2,0)</f>
        <v>Elaenia spectabilis</v>
      </c>
      <c r="H1972" s="6" t="str">
        <f>VLOOKUP(E1972,dicionario!$A$1:$C2371,3,0)</f>
        <v>guaracava-grande</v>
      </c>
    </row>
    <row r="1973">
      <c r="A1973" s="3">
        <v>45596.0</v>
      </c>
      <c r="B1973" s="4">
        <v>0.34444444444444444</v>
      </c>
      <c r="C1973" s="5" t="s">
        <v>76</v>
      </c>
      <c r="D1973" s="5" t="s">
        <v>595</v>
      </c>
      <c r="E1973" s="26"/>
      <c r="F1973" s="40" t="s">
        <v>654</v>
      </c>
      <c r="G1973" s="6" t="str">
        <f>VLOOKUP(E1973,dicionario!$A$1:$C2372,2,0)</f>
        <v>#N/A</v>
      </c>
      <c r="H1973" s="6" t="str">
        <f>VLOOKUP(E1973,dicionario!$A$1:$C2372,3,0)</f>
        <v>#N/A</v>
      </c>
    </row>
    <row r="1974">
      <c r="A1974" s="3">
        <v>45596.0</v>
      </c>
      <c r="B1974" s="4">
        <v>0.34444444444444444</v>
      </c>
      <c r="C1974" s="5" t="s">
        <v>76</v>
      </c>
      <c r="D1974" s="5" t="s">
        <v>595</v>
      </c>
      <c r="E1974" s="8" t="s">
        <v>655</v>
      </c>
      <c r="F1974" s="7" t="s">
        <v>186</v>
      </c>
      <c r="G1974" s="6" t="str">
        <f>VLOOKUP(E1974,dicionario!$A$1:$C2373,2,0)</f>
        <v>#N/A</v>
      </c>
      <c r="H1974" s="6" t="str">
        <f>VLOOKUP(E1974,dicionario!$A$1:$C2373,3,0)</f>
        <v>#N/A</v>
      </c>
    </row>
    <row r="1975">
      <c r="A1975" s="3">
        <v>45596.0</v>
      </c>
      <c r="B1975" s="4">
        <v>0.34444444444444444</v>
      </c>
      <c r="C1975" s="5" t="s">
        <v>76</v>
      </c>
      <c r="D1975" s="5" t="s">
        <v>595</v>
      </c>
      <c r="E1975" s="6" t="s">
        <v>267</v>
      </c>
      <c r="F1975" s="7" t="s">
        <v>268</v>
      </c>
      <c r="G1975" s="6" t="str">
        <f>VLOOKUP(E1975,dicionario!$A$1:$C2374,2,0)</f>
        <v>Solanum americanum</v>
      </c>
      <c r="H1975" s="6" t="str">
        <f>VLOOKUP(E1975,dicionario!$A$1:$C2374,3,0)</f>
        <v>maria-pretinha</v>
      </c>
    </row>
    <row r="1976">
      <c r="A1976" s="3">
        <v>45596.0</v>
      </c>
      <c r="B1976" s="4">
        <v>0.34444444444444444</v>
      </c>
      <c r="C1976" s="5" t="s">
        <v>76</v>
      </c>
      <c r="D1976" s="5" t="s">
        <v>595</v>
      </c>
      <c r="E1976" s="6" t="s">
        <v>150</v>
      </c>
      <c r="F1976" s="7" t="s">
        <v>151</v>
      </c>
      <c r="G1976" s="6" t="str">
        <f>VLOOKUP(E1976,dicionario!$A$1:$C2375,2,0)</f>
        <v>Amaranthus viridis</v>
      </c>
      <c r="H1976" s="6" t="str">
        <f>VLOOKUP(E1976,dicionario!$A$1:$C2375,3,0)</f>
        <v>caruru-de-mancha</v>
      </c>
    </row>
    <row r="1977">
      <c r="A1977" s="3">
        <v>45596.0</v>
      </c>
      <c r="B1977" s="4">
        <v>0.34444444444444444</v>
      </c>
      <c r="C1977" s="5" t="s">
        <v>76</v>
      </c>
      <c r="D1977" s="5" t="s">
        <v>595</v>
      </c>
      <c r="E1977" s="6" t="s">
        <v>48</v>
      </c>
      <c r="F1977" s="7" t="s">
        <v>49</v>
      </c>
      <c r="G1977" s="6" t="str">
        <f>VLOOKUP(E1977,dicionario!$A$1:$C2376,2,0)</f>
        <v>Commelina erecta</v>
      </c>
      <c r="H1977" s="6" t="str">
        <f>VLOOKUP(E1977,dicionario!$A$1:$C2376,3,0)</f>
        <v>trapoeraba</v>
      </c>
    </row>
    <row r="1978">
      <c r="A1978" s="3">
        <v>45596.0</v>
      </c>
      <c r="B1978" s="4">
        <v>0.3451388888888889</v>
      </c>
      <c r="C1978" s="5" t="s">
        <v>76</v>
      </c>
      <c r="D1978" s="5" t="s">
        <v>595</v>
      </c>
      <c r="E1978" s="6" t="s">
        <v>132</v>
      </c>
      <c r="F1978" s="7" t="s">
        <v>133</v>
      </c>
      <c r="G1978" s="6" t="str">
        <f>VLOOKUP(E1978,dicionario!$A$1:$C2377,2,0)</f>
        <v>Euphonia chlorotica</v>
      </c>
      <c r="H1978" s="6" t="str">
        <f>VLOOKUP(E1978,dicionario!$A$1:$C2377,3,0)</f>
        <v>fim-fim</v>
      </c>
    </row>
    <row r="1979">
      <c r="A1979" s="3">
        <v>45596.0</v>
      </c>
      <c r="B1979" s="4">
        <v>0.3451388888888889</v>
      </c>
      <c r="C1979" s="5" t="s">
        <v>76</v>
      </c>
      <c r="D1979" s="5" t="s">
        <v>595</v>
      </c>
      <c r="E1979" s="6" t="s">
        <v>392</v>
      </c>
      <c r="F1979" s="7" t="s">
        <v>393</v>
      </c>
      <c r="G1979" s="6" t="str">
        <f>VLOOKUP(E1979,dicionario!$A$1:$C2378,2,0)</f>
        <v>Triplaris americana</v>
      </c>
      <c r="H1979" s="6" t="str">
        <f>VLOOKUP(E1979,dicionario!$A$1:$C2378,3,0)</f>
        <v>pau-formiga </v>
      </c>
    </row>
    <row r="1980">
      <c r="A1980" s="3">
        <v>45596.0</v>
      </c>
      <c r="B1980" s="4">
        <v>0.3458333333333333</v>
      </c>
      <c r="C1980" s="5" t="s">
        <v>76</v>
      </c>
      <c r="D1980" s="5" t="s">
        <v>595</v>
      </c>
      <c r="E1980" s="6" t="s">
        <v>372</v>
      </c>
      <c r="F1980" s="7" t="s">
        <v>373</v>
      </c>
      <c r="G1980" s="6" t="str">
        <f>VLOOKUP(E1980,dicionario!$A$1:$C2379,2,0)</f>
        <v>Rupornis magnirostris</v>
      </c>
      <c r="H1980" s="6" t="str">
        <f>VLOOKUP(E1980,dicionario!$A$1:$C2379,3,0)</f>
        <v>gavião-carijó</v>
      </c>
    </row>
    <row r="1981">
      <c r="A1981" s="3">
        <v>45596.0</v>
      </c>
      <c r="B1981" s="4">
        <v>0.3458333333333333</v>
      </c>
      <c r="C1981" s="5" t="s">
        <v>76</v>
      </c>
      <c r="D1981" s="5" t="s">
        <v>595</v>
      </c>
      <c r="E1981" s="8" t="s">
        <v>656</v>
      </c>
      <c r="F1981" s="7" t="s">
        <v>657</v>
      </c>
      <c r="G1981" s="6" t="str">
        <f>VLOOKUP(E1981,dicionario!$A$1:$C2380,2,0)</f>
        <v>#N/A</v>
      </c>
      <c r="H1981" s="6" t="str">
        <f>VLOOKUP(E1981,dicionario!$A$1:$C2380,3,0)</f>
        <v>#N/A</v>
      </c>
    </row>
    <row r="1982">
      <c r="A1982" s="3">
        <v>45596.0</v>
      </c>
      <c r="B1982" s="4">
        <v>0.34652777777777777</v>
      </c>
      <c r="C1982" s="5" t="s">
        <v>76</v>
      </c>
      <c r="D1982" s="5" t="s">
        <v>595</v>
      </c>
      <c r="E1982" s="6" t="s">
        <v>504</v>
      </c>
      <c r="F1982" s="5" t="s">
        <v>534</v>
      </c>
      <c r="G1982" s="6" t="str">
        <f>VLOOKUP(E1982,dicionario!$A$1:$C2381,2,0)</f>
        <v>Cleome aculeata</v>
      </c>
      <c r="H1982" s="6" t="str">
        <f>VLOOKUP(E1982,dicionario!$A$1:$C2381,3,0)</f>
        <v>cleome</v>
      </c>
    </row>
    <row r="1983">
      <c r="A1983" s="3">
        <v>45596.0</v>
      </c>
      <c r="B1983" s="4">
        <v>0.34652777777777777</v>
      </c>
      <c r="C1983" s="5" t="s">
        <v>76</v>
      </c>
      <c r="D1983" s="5" t="s">
        <v>595</v>
      </c>
      <c r="E1983" s="6" t="s">
        <v>181</v>
      </c>
      <c r="F1983" s="7" t="s">
        <v>182</v>
      </c>
      <c r="G1983" s="6" t="str">
        <f>VLOOKUP(E1983,dicionario!$A$1:$C2382,2,0)</f>
        <v>#N/A</v>
      </c>
      <c r="H1983" s="6" t="str">
        <f>VLOOKUP(E1983,dicionario!$A$1:$C2382,3,0)</f>
        <v>#N/A</v>
      </c>
    </row>
    <row r="1984">
      <c r="A1984" s="3">
        <v>45596.0</v>
      </c>
      <c r="B1984" s="4">
        <v>0.34652777777777777</v>
      </c>
      <c r="C1984" s="5" t="s">
        <v>76</v>
      </c>
      <c r="D1984" s="5" t="s">
        <v>595</v>
      </c>
      <c r="E1984" s="6" t="s">
        <v>65</v>
      </c>
      <c r="F1984" s="7" t="s">
        <v>66</v>
      </c>
      <c r="G1984" s="6" t="str">
        <f>VLOOKUP(E1984,dicionario!$A$1:$C2383,2,0)</f>
        <v>Pitangus sulphutarus</v>
      </c>
      <c r="H1984" s="6" t="str">
        <f>VLOOKUP(E1984,dicionario!$A$1:$C2383,3,0)</f>
        <v>bem-te-vi</v>
      </c>
    </row>
    <row r="1985">
      <c r="A1985" s="3">
        <v>45596.0</v>
      </c>
      <c r="B1985" s="4">
        <v>0.3472222222222222</v>
      </c>
      <c r="C1985" s="5" t="s">
        <v>76</v>
      </c>
      <c r="D1985" s="5" t="s">
        <v>595</v>
      </c>
      <c r="E1985" s="6" t="s">
        <v>319</v>
      </c>
      <c r="F1985" s="7" t="s">
        <v>320</v>
      </c>
      <c r="G1985" s="6" t="str">
        <f>VLOOKUP(E1985,dicionario!$A$1:$C2384,2,0)</f>
        <v>Schinus terebinthifolia</v>
      </c>
      <c r="H1985" s="6" t="str">
        <f>VLOOKUP(E1985,dicionario!$A$1:$C2384,3,0)</f>
        <v>aroeira</v>
      </c>
    </row>
    <row r="1986">
      <c r="A1986" s="3">
        <v>45596.0</v>
      </c>
      <c r="B1986" s="4">
        <v>0.3472222222222222</v>
      </c>
      <c r="C1986" s="5" t="s">
        <v>76</v>
      </c>
      <c r="D1986" s="5" t="s">
        <v>595</v>
      </c>
      <c r="E1986" s="8" t="s">
        <v>628</v>
      </c>
      <c r="F1986" s="7" t="s">
        <v>203</v>
      </c>
      <c r="G1986" s="6" t="str">
        <f>VLOOKUP(E1986,dicionario!$A$1:$C2385,2,0)</f>
        <v>#N/A</v>
      </c>
      <c r="H1986" s="6" t="str">
        <f>VLOOKUP(E1986,dicionario!$A$1:$C2385,3,0)</f>
        <v>#N/A</v>
      </c>
    </row>
    <row r="1987">
      <c r="A1987" s="3">
        <v>45596.0</v>
      </c>
      <c r="B1987" s="4">
        <v>0.34791666666666665</v>
      </c>
      <c r="C1987" s="5" t="s">
        <v>76</v>
      </c>
      <c r="D1987" s="5" t="s">
        <v>595</v>
      </c>
      <c r="E1987" s="6" t="s">
        <v>171</v>
      </c>
      <c r="F1987" s="7" t="s">
        <v>172</v>
      </c>
      <c r="G1987" s="6" t="str">
        <f>VLOOKUP(E1987,dicionario!$A$1:$C2386,2,0)</f>
        <v>Oxalis corniculata</v>
      </c>
      <c r="H1987" s="6" t="str">
        <f>VLOOKUP(E1987,dicionario!$A$1:$C2386,3,0)</f>
        <v>trevo-azedinho</v>
      </c>
    </row>
    <row r="1988">
      <c r="A1988" s="3">
        <v>45596.0</v>
      </c>
      <c r="B1988" s="4">
        <v>0.34791666666666665</v>
      </c>
      <c r="C1988" s="5" t="s">
        <v>76</v>
      </c>
      <c r="D1988" s="5" t="s">
        <v>595</v>
      </c>
      <c r="E1988" s="8" t="s">
        <v>658</v>
      </c>
      <c r="F1988" s="7" t="s">
        <v>119</v>
      </c>
      <c r="G1988" s="6" t="str">
        <f>VLOOKUP(E1988,dicionario!$A$1:$C2387,2,0)</f>
        <v>#N/A</v>
      </c>
      <c r="H1988" s="6" t="str">
        <f>VLOOKUP(E1988,dicionario!$A$1:$C2387,3,0)</f>
        <v>#N/A</v>
      </c>
    </row>
    <row r="1989">
      <c r="A1989" s="3">
        <v>45596.0</v>
      </c>
      <c r="B1989" s="4">
        <v>0.34930555555555554</v>
      </c>
      <c r="C1989" s="5" t="s">
        <v>76</v>
      </c>
      <c r="D1989" s="5" t="s">
        <v>595</v>
      </c>
      <c r="E1989" s="6" t="s">
        <v>135</v>
      </c>
      <c r="F1989" s="7" t="s">
        <v>136</v>
      </c>
      <c r="G1989" s="6" t="str">
        <f>VLOOKUP(E1989,dicionario!$A$1:$C2388,2,0)</f>
        <v>Tridax procumbens</v>
      </c>
      <c r="H1989" s="6" t="str">
        <f>VLOOKUP(E1989,dicionario!$A$1:$C2388,3,0)</f>
        <v>erva-de-touro</v>
      </c>
    </row>
    <row r="1990">
      <c r="A1990" s="3">
        <v>45596.0</v>
      </c>
      <c r="B1990" s="4">
        <v>0.3506944444444444</v>
      </c>
      <c r="C1990" s="5" t="s">
        <v>76</v>
      </c>
      <c r="D1990" s="5" t="s">
        <v>595</v>
      </c>
      <c r="E1990" s="6" t="s">
        <v>659</v>
      </c>
      <c r="F1990" s="7" t="s">
        <v>545</v>
      </c>
      <c r="G1990" s="6" t="str">
        <f>VLOOKUP(E1990,dicionario!$A$1:$C2389,2,0)</f>
        <v>#N/A</v>
      </c>
      <c r="H1990" s="6" t="str">
        <f>VLOOKUP(E1990,dicionario!$A$1:$C2389,3,0)</f>
        <v>#N/A</v>
      </c>
    </row>
    <row r="1991">
      <c r="A1991" s="3">
        <v>45596.0</v>
      </c>
      <c r="B1991" s="4">
        <v>0.3506944444444444</v>
      </c>
      <c r="C1991" s="5" t="s">
        <v>76</v>
      </c>
      <c r="D1991" s="5" t="s">
        <v>595</v>
      </c>
      <c r="E1991" s="6" t="s">
        <v>294</v>
      </c>
      <c r="F1991" s="7" t="s">
        <v>295</v>
      </c>
      <c r="G1991" s="6" t="str">
        <f>VLOOKUP(E1991,dicionario!$A$1:$C2390,2,0)</f>
        <v>Cycloneda sanguinea</v>
      </c>
      <c r="H1991" s="6" t="str">
        <f>VLOOKUP(E1991,dicionario!$A$1:$C2390,3,0)</f>
        <v>joaninha-sem-pintas</v>
      </c>
    </row>
    <row r="1992">
      <c r="A1992" s="3">
        <v>45596.0</v>
      </c>
      <c r="B1992" s="4">
        <v>0.3506944444444444</v>
      </c>
      <c r="C1992" s="5" t="s">
        <v>76</v>
      </c>
      <c r="D1992" s="5" t="s">
        <v>595</v>
      </c>
      <c r="E1992" s="6" t="s">
        <v>429</v>
      </c>
      <c r="F1992" s="7" t="s">
        <v>660</v>
      </c>
      <c r="G1992" s="6" t="str">
        <f>VLOOKUP(E1992,dicionario!$A$1:$C2391,2,0)</f>
        <v>Leonurus sibiricus</v>
      </c>
      <c r="H1992" s="6" t="str">
        <f>VLOOKUP(E1992,dicionario!$A$1:$C2391,3,0)</f>
        <v>erva-macaé</v>
      </c>
    </row>
    <row r="1993">
      <c r="A1993" s="3">
        <v>45596.0</v>
      </c>
      <c r="B1993" s="4">
        <v>0.35208333333333336</v>
      </c>
      <c r="C1993" s="5" t="s">
        <v>76</v>
      </c>
      <c r="D1993" s="5" t="s">
        <v>595</v>
      </c>
      <c r="E1993" s="6" t="s">
        <v>273</v>
      </c>
      <c r="F1993" s="7" t="s">
        <v>274</v>
      </c>
      <c r="G1993" s="6" t="str">
        <f>VLOOKUP(E1993,dicionario!$A$1:$C2392,2,0)</f>
        <v>#N/A</v>
      </c>
      <c r="H1993" s="6" t="str">
        <f>VLOOKUP(E1993,dicionario!$A$1:$C2392,3,0)</f>
        <v>#N/A</v>
      </c>
    </row>
    <row r="1994">
      <c r="A1994" s="3">
        <v>45596.0</v>
      </c>
      <c r="B1994" s="4">
        <v>0.3548611111111111</v>
      </c>
      <c r="C1994" s="5" t="s">
        <v>85</v>
      </c>
      <c r="D1994" s="5" t="s">
        <v>595</v>
      </c>
      <c r="E1994" s="8" t="s">
        <v>38</v>
      </c>
      <c r="F1994" s="5" t="s">
        <v>39</v>
      </c>
      <c r="G1994" s="6" t="str">
        <f>VLOOKUP(E1994,dicionario!$A$1:$C2393,2,0)</f>
        <v>Troglodytes musculus</v>
      </c>
      <c r="H1994" s="6" t="str">
        <f>VLOOKUP(E1994,dicionario!$A$1:$C2393,3,0)</f>
        <v>curruíra</v>
      </c>
    </row>
    <row r="1995">
      <c r="A1995" s="3">
        <v>45596.0</v>
      </c>
      <c r="B1995" s="4">
        <v>0.3548611111111111</v>
      </c>
      <c r="C1995" s="5" t="s">
        <v>85</v>
      </c>
      <c r="D1995" s="5" t="s">
        <v>595</v>
      </c>
      <c r="E1995" s="6" t="s">
        <v>53</v>
      </c>
      <c r="F1995" s="7" t="s">
        <v>54</v>
      </c>
      <c r="G1995" s="6" t="str">
        <f>VLOOKUP(E1995,dicionario!$A$1:$C2394,2,0)</f>
        <v>Turnera subulata</v>
      </c>
      <c r="H1995" s="6" t="str">
        <f>VLOOKUP(E1995,dicionario!$A$1:$C2394,3,0)</f>
        <v>xanana</v>
      </c>
    </row>
    <row r="1996">
      <c r="A1996" s="3">
        <v>45596.0</v>
      </c>
      <c r="B1996" s="4">
        <v>0.35555555555555557</v>
      </c>
      <c r="C1996" s="5" t="s">
        <v>85</v>
      </c>
      <c r="D1996" s="5" t="s">
        <v>595</v>
      </c>
      <c r="E1996" s="6" t="s">
        <v>150</v>
      </c>
      <c r="F1996" s="7" t="s">
        <v>151</v>
      </c>
      <c r="G1996" s="6" t="str">
        <f>VLOOKUP(E1996,dicionario!$A$1:$C2395,2,0)</f>
        <v>Amaranthus viridis</v>
      </c>
      <c r="H1996" s="6" t="str">
        <f>VLOOKUP(E1996,dicionario!$A$1:$C2395,3,0)</f>
        <v>caruru-de-mancha</v>
      </c>
    </row>
    <row r="1997">
      <c r="A1997" s="3">
        <v>45596.0</v>
      </c>
      <c r="B1997" s="4">
        <v>0.35555555555555557</v>
      </c>
      <c r="C1997" s="5" t="s">
        <v>85</v>
      </c>
      <c r="D1997" s="5" t="s">
        <v>595</v>
      </c>
      <c r="E1997" s="6" t="s">
        <v>177</v>
      </c>
      <c r="F1997" s="7" t="s">
        <v>178</v>
      </c>
      <c r="G1997" s="6" t="str">
        <f>VLOOKUP(E1997,dicionario!$A$1:$C2396,2,0)</f>
        <v>Elaenia flavogaster</v>
      </c>
      <c r="H1997" s="6" t="str">
        <f>VLOOKUP(E1997,dicionario!$A$1:$C2396,3,0)</f>
        <v>guaracava-de-barriga-amarela</v>
      </c>
    </row>
    <row r="1998">
      <c r="A1998" s="3">
        <v>45596.0</v>
      </c>
      <c r="B1998" s="4">
        <v>0.35555555555555557</v>
      </c>
      <c r="C1998" s="5" t="s">
        <v>85</v>
      </c>
      <c r="D1998" s="5" t="s">
        <v>595</v>
      </c>
      <c r="E1998" s="6" t="s">
        <v>243</v>
      </c>
      <c r="F1998" s="7" t="s">
        <v>244</v>
      </c>
      <c r="G1998" s="6" t="str">
        <f>VLOOKUP(E1998,dicionario!$A$1:$C2397,2,0)</f>
        <v>Macroptilium atropurpureum</v>
      </c>
      <c r="H1998" s="6" t="str">
        <f>VLOOKUP(E1998,dicionario!$A$1:$C2397,3,0)</f>
        <v>feijão-de-pombo</v>
      </c>
    </row>
    <row r="1999">
      <c r="A1999" s="3">
        <v>45596.0</v>
      </c>
      <c r="B1999" s="4">
        <v>0.35555555555555557</v>
      </c>
      <c r="C1999" s="5" t="s">
        <v>85</v>
      </c>
      <c r="D1999" s="5" t="s">
        <v>595</v>
      </c>
      <c r="E1999" s="6" t="s">
        <v>148</v>
      </c>
      <c r="F1999" s="7" t="s">
        <v>149</v>
      </c>
      <c r="G1999" s="6" t="str">
        <f>VLOOKUP(E1999,dicionario!$A$1:$C2398,2,0)</f>
        <v>Parthenium hysterophorus</v>
      </c>
      <c r="H1999" s="6" t="str">
        <f>VLOOKUP(E1999,dicionario!$A$1:$C2398,3,0)</f>
        <v>losna-branca</v>
      </c>
    </row>
    <row r="2000">
      <c r="A2000" s="3">
        <v>45596.0</v>
      </c>
      <c r="B2000" s="4">
        <v>0.35555555555555557</v>
      </c>
      <c r="C2000" s="5" t="s">
        <v>85</v>
      </c>
      <c r="D2000" s="5" t="s">
        <v>595</v>
      </c>
      <c r="E2000" s="6" t="s">
        <v>135</v>
      </c>
      <c r="F2000" s="7" t="s">
        <v>136</v>
      </c>
      <c r="G2000" s="6" t="str">
        <f>VLOOKUP(E2000,dicionario!$A$1:$C2399,2,0)</f>
        <v>Tridax procumbens</v>
      </c>
      <c r="H2000" s="6" t="str">
        <f>VLOOKUP(E2000,dicionario!$A$1:$C2399,3,0)</f>
        <v>erva-de-touro</v>
      </c>
    </row>
    <row r="2001">
      <c r="A2001" s="3">
        <v>45596.0</v>
      </c>
      <c r="B2001" s="4">
        <v>0.35555555555555557</v>
      </c>
      <c r="C2001" s="5" t="s">
        <v>85</v>
      </c>
      <c r="D2001" s="5" t="s">
        <v>595</v>
      </c>
      <c r="E2001" s="6" t="s">
        <v>65</v>
      </c>
      <c r="F2001" s="7" t="s">
        <v>66</v>
      </c>
      <c r="G2001" s="6" t="str">
        <f>VLOOKUP(E2001,dicionario!$A$1:$C2400,2,0)</f>
        <v>Pitangus sulphutarus</v>
      </c>
      <c r="H2001" s="6" t="str">
        <f>VLOOKUP(E2001,dicionario!$A$1:$C2400,3,0)</f>
        <v>bem-te-vi</v>
      </c>
    </row>
    <row r="2002">
      <c r="A2002" s="3">
        <v>45596.0</v>
      </c>
      <c r="B2002" s="4">
        <v>0.35555555555555557</v>
      </c>
      <c r="C2002" s="5" t="s">
        <v>85</v>
      </c>
      <c r="D2002" s="5" t="s">
        <v>595</v>
      </c>
      <c r="E2002" s="6" t="s">
        <v>122</v>
      </c>
      <c r="F2002" s="7" t="s">
        <v>123</v>
      </c>
      <c r="G2002" s="6" t="str">
        <f>VLOOKUP(E2002,dicionario!$A$1:$C2401,2,0)</f>
        <v>Todirostrum cinereum</v>
      </c>
      <c r="H2002" s="6" t="str">
        <f>VLOOKUP(E2002,dicionario!$A$1:$C2401,3,0)</f>
        <v>ferreirinho-relógio</v>
      </c>
    </row>
    <row r="2003">
      <c r="A2003" s="3">
        <v>45596.0</v>
      </c>
      <c r="B2003" s="4">
        <v>0.35694444444444445</v>
      </c>
      <c r="C2003" s="5" t="s">
        <v>85</v>
      </c>
      <c r="D2003" s="5" t="s">
        <v>595</v>
      </c>
      <c r="E2003" s="8" t="s">
        <v>661</v>
      </c>
      <c r="F2003" s="7" t="s">
        <v>321</v>
      </c>
      <c r="G2003" s="6" t="str">
        <f>VLOOKUP(E2003,dicionario!$A$1:$C2402,2,0)</f>
        <v>#N/A</v>
      </c>
      <c r="H2003" s="6" t="str">
        <f>VLOOKUP(E2003,dicionario!$A$1:$C2402,3,0)</f>
        <v>#N/A</v>
      </c>
    </row>
    <row r="2004">
      <c r="A2004" s="3">
        <v>45596.0</v>
      </c>
      <c r="B2004" s="4">
        <v>0.35694444444444445</v>
      </c>
      <c r="C2004" s="5" t="s">
        <v>85</v>
      </c>
      <c r="D2004" s="5" t="s">
        <v>595</v>
      </c>
      <c r="E2004" s="6" t="s">
        <v>111</v>
      </c>
      <c r="F2004" s="7" t="s">
        <v>112</v>
      </c>
      <c r="G2004" s="6" t="str">
        <f>VLOOKUP(E2004,dicionario!$A$1:$C2403,2,0)</f>
        <v>Trigona spinipes</v>
      </c>
      <c r="H2004" s="6" t="str">
        <f>VLOOKUP(E2004,dicionario!$A$1:$C2403,3,0)</f>
        <v>abelha-cachorro</v>
      </c>
    </row>
    <row r="2005">
      <c r="A2005" s="3">
        <v>45596.0</v>
      </c>
      <c r="B2005" s="4">
        <v>0.3576388888888889</v>
      </c>
      <c r="C2005" s="5" t="s">
        <v>85</v>
      </c>
      <c r="D2005" s="5" t="s">
        <v>595</v>
      </c>
      <c r="E2005" s="6" t="s">
        <v>146</v>
      </c>
      <c r="F2005" s="7" t="s">
        <v>147</v>
      </c>
      <c r="G2005" s="6" t="str">
        <f>VLOOKUP(E2005,dicionario!$A$1:$C2404,2,0)</f>
        <v>Euphorbia hirta</v>
      </c>
      <c r="H2005" s="6" t="str">
        <f>VLOOKUP(E2005,dicionario!$A$1:$C2404,3,0)</f>
        <v>erva-de-santa-luzia</v>
      </c>
    </row>
    <row r="2006">
      <c r="A2006" s="3">
        <v>45596.0</v>
      </c>
      <c r="B2006" s="4">
        <v>0.3576388888888889</v>
      </c>
      <c r="C2006" s="5" t="s">
        <v>85</v>
      </c>
      <c r="D2006" s="5" t="s">
        <v>595</v>
      </c>
      <c r="E2006" s="6" t="s">
        <v>88</v>
      </c>
      <c r="F2006" s="7" t="s">
        <v>89</v>
      </c>
      <c r="G2006" s="6" t="str">
        <f>VLOOKUP(E2006,dicionario!$A$1:$C2405,2,0)</f>
        <v>Tyrannus melancolichus</v>
      </c>
      <c r="H2006" s="6" t="str">
        <f>VLOOKUP(E2006,dicionario!$A$1:$C2405,3,0)</f>
        <v>suiriri</v>
      </c>
    </row>
    <row r="2007">
      <c r="A2007" s="3">
        <v>45596.0</v>
      </c>
      <c r="B2007" s="4">
        <v>0.3576388888888889</v>
      </c>
      <c r="C2007" s="5" t="s">
        <v>85</v>
      </c>
      <c r="D2007" s="5" t="s">
        <v>595</v>
      </c>
      <c r="E2007" s="6" t="s">
        <v>132</v>
      </c>
      <c r="F2007" s="7" t="s">
        <v>133</v>
      </c>
      <c r="G2007" s="6" t="str">
        <f>VLOOKUP(E2007,dicionario!$A$1:$C2406,2,0)</f>
        <v>Euphonia chlorotica</v>
      </c>
      <c r="H2007" s="6" t="str">
        <f>VLOOKUP(E2007,dicionario!$A$1:$C2406,3,0)</f>
        <v>fim-fim</v>
      </c>
    </row>
    <row r="2008">
      <c r="A2008" s="3">
        <v>45596.0</v>
      </c>
      <c r="B2008" s="4">
        <v>0.3576388888888889</v>
      </c>
      <c r="C2008" s="5" t="s">
        <v>85</v>
      </c>
      <c r="D2008" s="5" t="s">
        <v>595</v>
      </c>
      <c r="E2008" s="6" t="s">
        <v>262</v>
      </c>
      <c r="F2008" s="7" t="s">
        <v>263</v>
      </c>
      <c r="G2008" s="6" t="str">
        <f>VLOOKUP(E2008,dicionario!$A$1:$C2407,2,0)</f>
        <v>Portulaca oleracea</v>
      </c>
      <c r="H2008" s="6" t="str">
        <f>VLOOKUP(E2008,dicionario!$A$1:$C2407,3,0)</f>
        <v>beldroega</v>
      </c>
    </row>
    <row r="2009">
      <c r="A2009" s="3">
        <v>45596.0</v>
      </c>
      <c r="B2009" s="4">
        <v>0.35833333333333334</v>
      </c>
      <c r="C2009" s="5" t="s">
        <v>85</v>
      </c>
      <c r="D2009" s="5" t="s">
        <v>595</v>
      </c>
      <c r="E2009" s="6" t="s">
        <v>239</v>
      </c>
      <c r="F2009" s="7" t="s">
        <v>240</v>
      </c>
      <c r="G2009" s="6" t="str">
        <f>VLOOKUP(E2009,dicionario!$A$1:$C2408,2,0)</f>
        <v>Gomphrena celosioides</v>
      </c>
      <c r="H2009" s="6" t="str">
        <f>VLOOKUP(E2009,dicionario!$A$1:$C2408,3,0)</f>
        <v>perpétua-branca</v>
      </c>
    </row>
    <row r="2010">
      <c r="A2010" s="3">
        <v>45596.0</v>
      </c>
      <c r="B2010" s="4">
        <v>0.3597222222222222</v>
      </c>
      <c r="C2010" s="5" t="s">
        <v>85</v>
      </c>
      <c r="D2010" s="5" t="s">
        <v>595</v>
      </c>
      <c r="E2010" s="6" t="s">
        <v>86</v>
      </c>
      <c r="F2010" s="5" t="s">
        <v>502</v>
      </c>
      <c r="G2010" s="6" t="str">
        <f>VLOOKUP(E2010,dicionario!$A$1:$C2409,2,0)</f>
        <v>Coereba flaveola</v>
      </c>
      <c r="H2010" s="6" t="str">
        <f>VLOOKUP(E2010,dicionario!$A$1:$C2409,3,0)</f>
        <v>cambacica</v>
      </c>
    </row>
    <row r="2011">
      <c r="A2011" s="3">
        <v>45596.0</v>
      </c>
      <c r="B2011" s="4">
        <v>0.36041666666666666</v>
      </c>
      <c r="C2011" s="5" t="s">
        <v>85</v>
      </c>
      <c r="D2011" s="5" t="s">
        <v>595</v>
      </c>
      <c r="E2011" s="6" t="s">
        <v>662</v>
      </c>
      <c r="F2011" s="7" t="s">
        <v>663</v>
      </c>
      <c r="G2011" s="6" t="str">
        <f>VLOOKUP(E2011,dicionario!$A$1:$C2410,2,0)</f>
        <v>Zonotrichia capensis</v>
      </c>
      <c r="H2011" s="6" t="str">
        <f>VLOOKUP(E2011,dicionario!$A$1:$C2410,3,0)</f>
        <v>tico-tico</v>
      </c>
    </row>
    <row r="2012">
      <c r="A2012" s="3">
        <v>45596.0</v>
      </c>
      <c r="B2012" s="4">
        <v>0.3611111111111111</v>
      </c>
      <c r="C2012" s="5" t="s">
        <v>90</v>
      </c>
      <c r="D2012" s="5" t="s">
        <v>595</v>
      </c>
      <c r="E2012" s="6" t="s">
        <v>53</v>
      </c>
      <c r="F2012" s="7" t="s">
        <v>54</v>
      </c>
      <c r="G2012" s="6" t="str">
        <f>VLOOKUP(E2012,dicionario!$A$1:$C2411,2,0)</f>
        <v>Turnera subulata</v>
      </c>
      <c r="H2012" s="6" t="str">
        <f>VLOOKUP(E2012,dicionario!$A$1:$C2411,3,0)</f>
        <v>xanana</v>
      </c>
    </row>
    <row r="2013">
      <c r="A2013" s="3">
        <v>45596.0</v>
      </c>
      <c r="B2013" s="4">
        <v>0.3611111111111111</v>
      </c>
      <c r="C2013" s="5" t="s">
        <v>90</v>
      </c>
      <c r="D2013" s="5" t="s">
        <v>595</v>
      </c>
      <c r="E2013" s="6" t="s">
        <v>225</v>
      </c>
      <c r="F2013" s="7" t="s">
        <v>226</v>
      </c>
      <c r="G2013" s="6" t="str">
        <f>VLOOKUP(E2013,dicionario!$A$1:$C2412,2,0)</f>
        <v>Passer domesticus</v>
      </c>
      <c r="H2013" s="6" t="str">
        <f>VLOOKUP(E2013,dicionario!$A$1:$C2412,3,0)</f>
        <v>pardal</v>
      </c>
    </row>
    <row r="2014">
      <c r="A2014" s="3">
        <v>45596.0</v>
      </c>
      <c r="B2014" s="4">
        <v>0.36180555555555555</v>
      </c>
      <c r="C2014" s="5" t="s">
        <v>90</v>
      </c>
      <c r="D2014" s="5" t="s">
        <v>595</v>
      </c>
      <c r="E2014" s="6" t="s">
        <v>135</v>
      </c>
      <c r="F2014" s="7" t="s">
        <v>136</v>
      </c>
      <c r="G2014" s="6" t="str">
        <f>VLOOKUP(E2014,dicionario!$A$1:$C2413,2,0)</f>
        <v>Tridax procumbens</v>
      </c>
      <c r="H2014" s="6" t="str">
        <f>VLOOKUP(E2014,dicionario!$A$1:$C2413,3,0)</f>
        <v>erva-de-touro</v>
      </c>
    </row>
    <row r="2015">
      <c r="A2015" s="3">
        <v>45596.0</v>
      </c>
      <c r="B2015" s="4">
        <v>0.36180555555555555</v>
      </c>
      <c r="C2015" s="5" t="s">
        <v>90</v>
      </c>
      <c r="D2015" s="5" t="s">
        <v>595</v>
      </c>
      <c r="E2015" s="6" t="s">
        <v>191</v>
      </c>
      <c r="F2015" s="7" t="s">
        <v>192</v>
      </c>
      <c r="G2015" s="6" t="str">
        <f>VLOOKUP(E2015,dicionario!$A$1:$C2414,2,0)</f>
        <v>Patagioenas picazuro</v>
      </c>
      <c r="H2015" s="6" t="str">
        <f>VLOOKUP(E2015,dicionario!$A$1:$C2414,3,0)</f>
        <v>asa-branca; pomba-asa-branca; pocaçu</v>
      </c>
    </row>
    <row r="2016">
      <c r="A2016" s="3">
        <v>45596.0</v>
      </c>
      <c r="B2016" s="4">
        <v>0.36180555555555555</v>
      </c>
      <c r="C2016" s="5" t="s">
        <v>90</v>
      </c>
      <c r="D2016" s="5" t="s">
        <v>595</v>
      </c>
      <c r="E2016" s="6" t="s">
        <v>227</v>
      </c>
      <c r="F2016" s="7" t="s">
        <v>228</v>
      </c>
      <c r="G2016" s="6" t="str">
        <f>VLOOKUP(E2016,dicionario!$A$1:$C2415,2,0)</f>
        <v>Indigofera hirsuta</v>
      </c>
      <c r="H2016" s="6" t="str">
        <f>VLOOKUP(E2016,dicionario!$A$1:$C2415,3,0)</f>
        <v>anileira</v>
      </c>
    </row>
    <row r="2017">
      <c r="A2017" s="3">
        <v>45596.0</v>
      </c>
      <c r="B2017" s="4">
        <v>0.36180555555555555</v>
      </c>
      <c r="C2017" s="5" t="s">
        <v>90</v>
      </c>
      <c r="D2017" s="5" t="s">
        <v>595</v>
      </c>
      <c r="E2017" s="18" t="s">
        <v>215</v>
      </c>
      <c r="F2017" s="7" t="s">
        <v>216</v>
      </c>
      <c r="G2017" s="6" t="str">
        <f>VLOOKUP(E2017,dicionario!$A$1:$C2416,2,0)</f>
        <v>Pygochelidon cyanoleuca</v>
      </c>
      <c r="H2017" s="6" t="str">
        <f>VLOOKUP(E2017,dicionario!$A$1:$C2416,3,0)</f>
        <v>andorinha-pequena-de-casa</v>
      </c>
    </row>
    <row r="2018">
      <c r="A2018" s="3">
        <v>45596.0</v>
      </c>
      <c r="B2018" s="4">
        <v>0.3625</v>
      </c>
      <c r="C2018" s="5" t="s">
        <v>90</v>
      </c>
      <c r="D2018" s="5" t="s">
        <v>595</v>
      </c>
      <c r="E2018" s="6" t="s">
        <v>65</v>
      </c>
      <c r="F2018" s="7" t="s">
        <v>66</v>
      </c>
      <c r="G2018" s="6" t="str">
        <f>VLOOKUP(E2018,dicionario!$A$1:$C2417,2,0)</f>
        <v>Pitangus sulphutarus</v>
      </c>
      <c r="H2018" s="6" t="str">
        <f>VLOOKUP(E2018,dicionario!$A$1:$C2417,3,0)</f>
        <v>bem-te-vi</v>
      </c>
    </row>
    <row r="2019">
      <c r="A2019" s="3">
        <v>45596.0</v>
      </c>
      <c r="B2019" s="4">
        <v>0.3625</v>
      </c>
      <c r="C2019" s="5" t="s">
        <v>90</v>
      </c>
      <c r="D2019" s="5" t="s">
        <v>595</v>
      </c>
      <c r="E2019" s="6" t="s">
        <v>14</v>
      </c>
      <c r="F2019" s="7" t="s">
        <v>15</v>
      </c>
      <c r="G2019" s="6" t="str">
        <f>VLOOKUP(E2019,dicionario!$A$1:$C2418,2,0)</f>
        <v>Spermacoce verticillata</v>
      </c>
      <c r="H2019" s="6" t="str">
        <f>VLOOKUP(E2019,dicionario!$A$1:$C2418,3,0)</f>
        <v>vassourinha-de-botão</v>
      </c>
    </row>
    <row r="2020">
      <c r="A2020" s="3">
        <v>45596.0</v>
      </c>
      <c r="B2020" s="4">
        <v>0.3625</v>
      </c>
      <c r="C2020" s="5" t="s">
        <v>90</v>
      </c>
      <c r="D2020" s="5" t="s">
        <v>595</v>
      </c>
      <c r="E2020" s="6" t="s">
        <v>103</v>
      </c>
      <c r="F2020" s="7" t="s">
        <v>104</v>
      </c>
      <c r="G2020" s="6" t="str">
        <f>VLOOKUP(E2020,dicionario!$A$1:$C2419,2,0)</f>
        <v>Caracara plancus</v>
      </c>
      <c r="H2020" s="6" t="str">
        <f>VLOOKUP(E2020,dicionario!$A$1:$C2419,3,0)</f>
        <v>carcará </v>
      </c>
    </row>
    <row r="2021">
      <c r="A2021" s="3">
        <v>45596.0</v>
      </c>
      <c r="B2021" s="4">
        <v>0.36319444444444443</v>
      </c>
      <c r="C2021" s="5" t="s">
        <v>90</v>
      </c>
      <c r="D2021" s="5" t="s">
        <v>595</v>
      </c>
      <c r="E2021" s="6" t="s">
        <v>18</v>
      </c>
      <c r="F2021" s="7" t="s">
        <v>219</v>
      </c>
      <c r="G2021" s="6" t="str">
        <f>VLOOKUP(E2021,dicionario!$A$1:$C2420,2,0)</f>
        <v>Xylocopa frontalis</v>
      </c>
      <c r="H2021" s="6" t="str">
        <f>VLOOKUP(E2021,dicionario!$A$1:$C2420,3,0)</f>
        <v>Mamangava; mangangá; abelha-carpinteira</v>
      </c>
    </row>
    <row r="2022">
      <c r="A2022" s="3">
        <v>45596.0</v>
      </c>
      <c r="B2022" s="4">
        <v>0.3638888888888889</v>
      </c>
      <c r="C2022" s="5" t="s">
        <v>90</v>
      </c>
      <c r="D2022" s="5" t="s">
        <v>595</v>
      </c>
      <c r="E2022" s="6" t="s">
        <v>43</v>
      </c>
      <c r="F2022" s="7" t="s">
        <v>664</v>
      </c>
      <c r="G2022" s="6" t="str">
        <f>VLOOKUP(E2022,dicionario!$A$1:$C2421,2,0)</f>
        <v>Columba livia</v>
      </c>
      <c r="H2022" s="6" t="str">
        <f>VLOOKUP(E2022,dicionario!$A$1:$C2421,3,0)</f>
        <v>pombo-doméstico</v>
      </c>
    </row>
    <row r="2023">
      <c r="A2023" s="3">
        <v>45596.0</v>
      </c>
      <c r="B2023" s="4">
        <v>0.3638888888888889</v>
      </c>
      <c r="C2023" s="5" t="s">
        <v>90</v>
      </c>
      <c r="D2023" s="5" t="s">
        <v>595</v>
      </c>
      <c r="E2023" s="6" t="s">
        <v>239</v>
      </c>
      <c r="F2023" s="7" t="s">
        <v>240</v>
      </c>
      <c r="G2023" s="6" t="str">
        <f>VLOOKUP(E2023,dicionario!$A$1:$C2422,2,0)</f>
        <v>Gomphrena celosioides</v>
      </c>
      <c r="H2023" s="6" t="str">
        <f>VLOOKUP(E2023,dicionario!$A$1:$C2422,3,0)</f>
        <v>perpétua-branca</v>
      </c>
    </row>
    <row r="2024">
      <c r="A2024" s="3">
        <v>45596.0</v>
      </c>
      <c r="B2024" s="4">
        <v>0.3645833333333333</v>
      </c>
      <c r="C2024" s="5" t="s">
        <v>90</v>
      </c>
      <c r="D2024" s="5" t="s">
        <v>595</v>
      </c>
      <c r="E2024" s="6" t="s">
        <v>132</v>
      </c>
      <c r="F2024" s="7" t="s">
        <v>133</v>
      </c>
      <c r="G2024" s="6" t="str">
        <f>VLOOKUP(E2024,dicionario!$A$1:$C2423,2,0)</f>
        <v>Euphonia chlorotica</v>
      </c>
      <c r="H2024" s="6" t="str">
        <f>VLOOKUP(E2024,dicionario!$A$1:$C2423,3,0)</f>
        <v>fim-fim</v>
      </c>
    </row>
    <row r="2025">
      <c r="A2025" s="3">
        <v>45596.0</v>
      </c>
      <c r="B2025" s="4">
        <v>0.3645833333333333</v>
      </c>
      <c r="C2025" s="5" t="s">
        <v>90</v>
      </c>
      <c r="D2025" s="5" t="s">
        <v>595</v>
      </c>
      <c r="E2025" s="6" t="s">
        <v>630</v>
      </c>
      <c r="F2025" s="7" t="s">
        <v>119</v>
      </c>
      <c r="G2025" s="6" t="str">
        <f>VLOOKUP(E2025,dicionario!$A$1:$C2424,2,0)</f>
        <v>#N/A</v>
      </c>
      <c r="H2025" s="6" t="str">
        <f>VLOOKUP(E2025,dicionario!$A$1:$C2424,3,0)</f>
        <v>#N/A</v>
      </c>
    </row>
    <row r="2026">
      <c r="A2026" s="3">
        <v>45596.0</v>
      </c>
      <c r="B2026" s="4">
        <v>0.36527777777777776</v>
      </c>
      <c r="C2026" s="5" t="s">
        <v>90</v>
      </c>
      <c r="D2026" s="5" t="s">
        <v>595</v>
      </c>
      <c r="E2026" s="6" t="s">
        <v>665</v>
      </c>
      <c r="F2026" s="5" t="s">
        <v>666</v>
      </c>
      <c r="G2026" s="6" t="str">
        <f>VLOOKUP(E2026,dicionario!$A$1:$C2425,2,0)</f>
        <v>#N/A</v>
      </c>
      <c r="H2026" s="6" t="str">
        <f>VLOOKUP(E2026,dicionario!$A$1:$C2425,3,0)</f>
        <v>#N/A</v>
      </c>
    </row>
    <row r="2027">
      <c r="A2027" s="3">
        <v>45596.0</v>
      </c>
      <c r="B2027" s="4">
        <v>0.36527777777777776</v>
      </c>
      <c r="C2027" s="5" t="s">
        <v>90</v>
      </c>
      <c r="D2027" s="5" t="s">
        <v>595</v>
      </c>
      <c r="E2027" s="6" t="s">
        <v>160</v>
      </c>
      <c r="F2027" s="7" t="s">
        <v>161</v>
      </c>
      <c r="G2027" s="6" t="str">
        <f>VLOOKUP(E2027,dicionario!$A$1:$C2426,2,0)</f>
        <v>Gryllidae</v>
      </c>
      <c r="H2027" s="6" t="str">
        <f>VLOOKUP(E2027,dicionario!$A$1:$C2426,3,0)</f>
        <v>grilo</v>
      </c>
    </row>
    <row r="2028">
      <c r="A2028" s="3">
        <v>45596.0</v>
      </c>
      <c r="B2028" s="4">
        <v>0.36666666666666664</v>
      </c>
      <c r="C2028" s="5" t="s">
        <v>90</v>
      </c>
      <c r="D2028" s="5" t="s">
        <v>595</v>
      </c>
      <c r="E2028" s="6" t="s">
        <v>144</v>
      </c>
      <c r="F2028" s="7" t="s">
        <v>145</v>
      </c>
      <c r="G2028" s="6" t="str">
        <f>VLOOKUP(E2028,dicionario!$A$1:$C2427,2,0)</f>
        <v>Gomphrena globosa</v>
      </c>
      <c r="H2028" s="6" t="str">
        <f>VLOOKUP(E2028,dicionario!$A$1:$C2427,3,0)</f>
        <v>perpétua-rosa</v>
      </c>
    </row>
    <row r="2029">
      <c r="A2029" s="3">
        <v>45596.0</v>
      </c>
      <c r="B2029" s="4">
        <v>0.3680555555555556</v>
      </c>
      <c r="C2029" s="5" t="s">
        <v>90</v>
      </c>
      <c r="D2029" s="5" t="s">
        <v>595</v>
      </c>
      <c r="E2029" s="6" t="s">
        <v>239</v>
      </c>
      <c r="F2029" s="7" t="s">
        <v>240</v>
      </c>
      <c r="G2029" s="6" t="str">
        <f>VLOOKUP(E2029,dicionario!$A$1:$C2428,2,0)</f>
        <v>Gomphrena celosioides</v>
      </c>
      <c r="H2029" s="6" t="str">
        <f>VLOOKUP(E2029,dicionario!$A$1:$C2428,3,0)</f>
        <v>perpétua-branca</v>
      </c>
    </row>
    <row r="2030">
      <c r="A2030" s="3">
        <v>45603.0</v>
      </c>
      <c r="B2030" s="4">
        <v>0.2604166666666667</v>
      </c>
      <c r="C2030" s="5" t="s">
        <v>90</v>
      </c>
      <c r="D2030" s="5" t="s">
        <v>667</v>
      </c>
      <c r="E2030" s="6" t="s">
        <v>65</v>
      </c>
      <c r="F2030" s="7" t="s">
        <v>66</v>
      </c>
      <c r="G2030" s="6" t="str">
        <f>VLOOKUP(E2030,dicionario!$A$1:$C2429,2,0)</f>
        <v>Pitangus sulphutarus</v>
      </c>
      <c r="H2030" s="6" t="str">
        <f>VLOOKUP(E2030,dicionario!$A$1:$C2429,3,0)</f>
        <v>bem-te-vi</v>
      </c>
    </row>
    <row r="2031">
      <c r="A2031" s="3">
        <v>45603.0</v>
      </c>
      <c r="B2031" s="4">
        <v>0.2611111111111111</v>
      </c>
      <c r="C2031" s="5" t="s">
        <v>90</v>
      </c>
      <c r="D2031" s="5" t="s">
        <v>667</v>
      </c>
      <c r="E2031" s="6" t="s">
        <v>135</v>
      </c>
      <c r="F2031" s="7" t="s">
        <v>136</v>
      </c>
      <c r="G2031" s="6" t="str">
        <f>VLOOKUP(E2031,dicionario!$A$1:$C2430,2,0)</f>
        <v>Tridax procumbens</v>
      </c>
      <c r="H2031" s="6" t="str">
        <f>VLOOKUP(E2031,dicionario!$A$1:$C2430,3,0)</f>
        <v>erva-de-touro</v>
      </c>
    </row>
    <row r="2032">
      <c r="A2032" s="3">
        <v>45603.0</v>
      </c>
      <c r="B2032" s="4">
        <v>0.2611111111111111</v>
      </c>
      <c r="C2032" s="5" t="s">
        <v>90</v>
      </c>
      <c r="D2032" s="5" t="s">
        <v>667</v>
      </c>
      <c r="E2032" s="6" t="s">
        <v>53</v>
      </c>
      <c r="F2032" s="7" t="s">
        <v>54</v>
      </c>
      <c r="G2032" s="6" t="str">
        <f>VLOOKUP(E2032,dicionario!$A$1:$C2431,2,0)</f>
        <v>Turnera subulata</v>
      </c>
      <c r="H2032" s="6" t="str">
        <f>VLOOKUP(E2032,dicionario!$A$1:$C2431,3,0)</f>
        <v>xanana</v>
      </c>
    </row>
    <row r="2033">
      <c r="A2033" s="3">
        <v>45603.0</v>
      </c>
      <c r="B2033" s="4">
        <v>0.2611111111111111</v>
      </c>
      <c r="C2033" s="5" t="s">
        <v>90</v>
      </c>
      <c r="D2033" s="5" t="s">
        <v>667</v>
      </c>
      <c r="E2033" s="6" t="s">
        <v>14</v>
      </c>
      <c r="F2033" s="7" t="s">
        <v>15</v>
      </c>
      <c r="G2033" s="6" t="str">
        <f>VLOOKUP(E2033,dicionario!$A$1:$C2432,2,0)</f>
        <v>Spermacoce verticillata</v>
      </c>
      <c r="H2033" s="6" t="str">
        <f>VLOOKUP(E2033,dicionario!$A$1:$C2432,3,0)</f>
        <v>vassourinha-de-botão</v>
      </c>
    </row>
    <row r="2034">
      <c r="A2034" s="3">
        <v>45603.0</v>
      </c>
      <c r="B2034" s="4">
        <v>0.26180555555555557</v>
      </c>
      <c r="C2034" s="5" t="s">
        <v>90</v>
      </c>
      <c r="D2034" s="5" t="s">
        <v>667</v>
      </c>
      <c r="E2034" s="6" t="s">
        <v>227</v>
      </c>
      <c r="F2034" s="7" t="s">
        <v>228</v>
      </c>
      <c r="G2034" s="6" t="str">
        <f>VLOOKUP(E2034,dicionario!$A$1:$C2433,2,0)</f>
        <v>Indigofera hirsuta</v>
      </c>
      <c r="H2034" s="6" t="str">
        <f>VLOOKUP(E2034,dicionario!$A$1:$C2433,3,0)</f>
        <v>anileira</v>
      </c>
    </row>
    <row r="2035">
      <c r="A2035" s="3">
        <v>45603.0</v>
      </c>
      <c r="B2035" s="4">
        <v>0.26180555555555557</v>
      </c>
      <c r="C2035" s="5" t="s">
        <v>90</v>
      </c>
      <c r="D2035" s="5" t="s">
        <v>667</v>
      </c>
      <c r="E2035" s="6" t="s">
        <v>20</v>
      </c>
      <c r="F2035" s="7" t="s">
        <v>21</v>
      </c>
      <c r="G2035" s="6" t="str">
        <f>VLOOKUP(E2035,dicionario!$A$1:$C2434,2,0)</f>
        <v>Sicalis flaveola</v>
      </c>
      <c r="H2035" s="6" t="str">
        <f>VLOOKUP(E2035,dicionario!$A$1:$C2434,3,0)</f>
        <v>canário-da-terra</v>
      </c>
    </row>
    <row r="2036">
      <c r="A2036" s="3">
        <v>45603.0</v>
      </c>
      <c r="B2036" s="4">
        <v>0.26180555555555557</v>
      </c>
      <c r="C2036" s="5" t="s">
        <v>90</v>
      </c>
      <c r="D2036" s="5" t="s">
        <v>667</v>
      </c>
      <c r="E2036" s="6" t="s">
        <v>245</v>
      </c>
      <c r="F2036" s="7" t="s">
        <v>246</v>
      </c>
      <c r="G2036" s="6" t="str">
        <f>VLOOKUP(E2036,dicionario!$A$1:$C2435,2,0)</f>
        <v>Hemiargus hanno</v>
      </c>
      <c r="H2036" s="6" t="str">
        <f>VLOOKUP(E2036,dicionario!$A$1:$C2435,3,0)</f>
        <v>borboleta-azulzinha-do-trevo</v>
      </c>
    </row>
    <row r="2037">
      <c r="A2037" s="3">
        <v>45603.0</v>
      </c>
      <c r="B2037" s="4">
        <v>0.26319444444444445</v>
      </c>
      <c r="C2037" s="5" t="s">
        <v>90</v>
      </c>
      <c r="D2037" s="5" t="s">
        <v>667</v>
      </c>
      <c r="E2037" s="6" t="s">
        <v>118</v>
      </c>
      <c r="F2037" s="7" t="s">
        <v>119</v>
      </c>
      <c r="G2037" s="6" t="str">
        <f>VLOOKUP(E2037,dicionario!$A$1:$C2436,2,0)</f>
        <v>Agaricus</v>
      </c>
      <c r="H2037" s="6" t="str">
        <f>VLOOKUP(E2037,dicionario!$A$1:$C2436,3,0)</f>
        <v>cogumelo</v>
      </c>
    </row>
    <row r="2038">
      <c r="A2038" s="3">
        <v>45603.0</v>
      </c>
      <c r="B2038" s="4">
        <v>0.26319444444444445</v>
      </c>
      <c r="C2038" s="5" t="s">
        <v>90</v>
      </c>
      <c r="D2038" s="5" t="s">
        <v>667</v>
      </c>
      <c r="E2038" s="6" t="s">
        <v>239</v>
      </c>
      <c r="F2038" s="7" t="s">
        <v>240</v>
      </c>
      <c r="G2038" s="6" t="str">
        <f>VLOOKUP(E2038,dicionario!$A$1:$C2437,2,0)</f>
        <v>Gomphrena celosioides</v>
      </c>
      <c r="H2038" s="6" t="str">
        <f>VLOOKUP(E2038,dicionario!$A$1:$C2437,3,0)</f>
        <v>perpétua-branca</v>
      </c>
    </row>
    <row r="2039">
      <c r="A2039" s="3">
        <v>45603.0</v>
      </c>
      <c r="B2039" s="4">
        <v>0.26319444444444445</v>
      </c>
      <c r="C2039" s="5" t="s">
        <v>90</v>
      </c>
      <c r="D2039" s="5" t="s">
        <v>667</v>
      </c>
      <c r="E2039" s="6" t="s">
        <v>144</v>
      </c>
      <c r="F2039" s="7" t="s">
        <v>145</v>
      </c>
      <c r="G2039" s="6" t="str">
        <f>VLOOKUP(E2039,dicionario!$A$1:$C2438,2,0)</f>
        <v>Gomphrena globosa</v>
      </c>
      <c r="H2039" s="6" t="str">
        <f>VLOOKUP(E2039,dicionario!$A$1:$C2438,3,0)</f>
        <v>perpétua-rosa</v>
      </c>
    </row>
    <row r="2040">
      <c r="A2040" s="3">
        <v>45603.0</v>
      </c>
      <c r="B2040" s="4">
        <v>0.26319444444444445</v>
      </c>
      <c r="C2040" s="5" t="s">
        <v>90</v>
      </c>
      <c r="D2040" s="5" t="s">
        <v>667</v>
      </c>
      <c r="E2040" s="6" t="s">
        <v>43</v>
      </c>
      <c r="F2040" s="7" t="s">
        <v>44</v>
      </c>
      <c r="G2040" s="6" t="str">
        <f>VLOOKUP(E2040,dicionario!$A$1:$C2439,2,0)</f>
        <v>Columba livia</v>
      </c>
      <c r="H2040" s="6" t="str">
        <f>VLOOKUP(E2040,dicionario!$A$1:$C2439,3,0)</f>
        <v>pombo-doméstico</v>
      </c>
    </row>
    <row r="2041">
      <c r="A2041" s="3">
        <v>45603.0</v>
      </c>
      <c r="B2041" s="4">
        <v>0.2638888888888889</v>
      </c>
      <c r="C2041" s="5" t="s">
        <v>90</v>
      </c>
      <c r="D2041" s="5" t="s">
        <v>667</v>
      </c>
      <c r="E2041" s="6" t="s">
        <v>498</v>
      </c>
      <c r="F2041" s="7" t="s">
        <v>499</v>
      </c>
      <c r="G2041" s="6" t="str">
        <f>VLOOKUP(E2041,dicionario!$A$1:$C2440,2,0)</f>
        <v>Brachiaria decumbens</v>
      </c>
      <c r="H2041" s="6" t="str">
        <f>VLOOKUP(E2041,dicionario!$A$1:$C2440,3,0)</f>
        <v>capim-braquiária</v>
      </c>
    </row>
    <row r="2042">
      <c r="A2042" s="3">
        <v>45603.0</v>
      </c>
      <c r="B2042" s="4">
        <v>0.2638888888888889</v>
      </c>
      <c r="C2042" s="5" t="s">
        <v>90</v>
      </c>
      <c r="D2042" s="5" t="s">
        <v>667</v>
      </c>
      <c r="E2042" s="6" t="s">
        <v>109</v>
      </c>
      <c r="F2042" s="7" t="s">
        <v>110</v>
      </c>
      <c r="G2042" s="6" t="str">
        <f>VLOOKUP(E2042,dicionario!$A$1:$C2441,2,0)</f>
        <v>Tillandsia stricta</v>
      </c>
      <c r="H2042" s="6" t="str">
        <f>VLOOKUP(E2042,dicionario!$A$1:$C2441,3,0)</f>
        <v>cravo-do-mato</v>
      </c>
    </row>
    <row r="2043">
      <c r="A2043" s="3">
        <v>45603.0</v>
      </c>
      <c r="B2043" s="4">
        <v>0.2638888888888889</v>
      </c>
      <c r="C2043" s="5" t="s">
        <v>90</v>
      </c>
      <c r="D2043" s="5" t="s">
        <v>667</v>
      </c>
      <c r="E2043" s="6" t="s">
        <v>353</v>
      </c>
      <c r="F2043" s="7" t="s">
        <v>354</v>
      </c>
      <c r="G2043" s="6" t="str">
        <f>VLOOKUP(E2043,dicionario!$A$1:$C2442,2,0)</f>
        <v>Desmodium incanum</v>
      </c>
      <c r="H2043" s="6" t="str">
        <f>VLOOKUP(E2043,dicionario!$A$1:$C2442,3,0)</f>
        <v>pega-pega</v>
      </c>
    </row>
    <row r="2044">
      <c r="A2044" s="3">
        <v>45603.0</v>
      </c>
      <c r="B2044" s="4">
        <v>0.2638888888888889</v>
      </c>
      <c r="C2044" s="5" t="s">
        <v>90</v>
      </c>
      <c r="D2044" s="5" t="s">
        <v>667</v>
      </c>
      <c r="E2044" s="6" t="s">
        <v>298</v>
      </c>
      <c r="F2044" s="5" t="s">
        <v>299</v>
      </c>
      <c r="G2044" s="6" t="str">
        <f>VLOOKUP(E2044,dicionario!$A$1:$C2443,2,0)</f>
        <v>Alysicarpus vaginalis</v>
      </c>
      <c r="H2044" s="6" t="str">
        <f>VLOOKUP(E2044,dicionario!$A$1:$C2443,3,0)</f>
        <v/>
      </c>
    </row>
    <row r="2045">
      <c r="A2045" s="3">
        <v>45603.0</v>
      </c>
      <c r="B2045" s="4">
        <v>0.26458333333333334</v>
      </c>
      <c r="C2045" s="5" t="s">
        <v>90</v>
      </c>
      <c r="D2045" s="5" t="s">
        <v>667</v>
      </c>
      <c r="E2045" s="6" t="s">
        <v>113</v>
      </c>
      <c r="F2045" s="7" t="s">
        <v>114</v>
      </c>
      <c r="G2045" s="6" t="str">
        <f>VLOOKUP(E2045,dicionario!$A$1:$C2444,2,0)</f>
        <v>Columbina talpacoti</v>
      </c>
      <c r="H2045" s="6" t="str">
        <f>VLOOKUP(E2045,dicionario!$A$1:$C2444,3,0)</f>
        <v>rolinha-roxa</v>
      </c>
    </row>
    <row r="2046">
      <c r="A2046" s="3">
        <v>45603.0</v>
      </c>
      <c r="B2046" s="4">
        <v>0.2652777777777778</v>
      </c>
      <c r="C2046" s="5" t="s">
        <v>90</v>
      </c>
      <c r="D2046" s="5" t="s">
        <v>667</v>
      </c>
      <c r="E2046" s="6" t="s">
        <v>225</v>
      </c>
      <c r="F2046" s="7" t="s">
        <v>226</v>
      </c>
      <c r="G2046" s="6" t="str">
        <f>VLOOKUP(E2046,dicionario!$A$1:$C2445,2,0)</f>
        <v>Passer domesticus</v>
      </c>
      <c r="H2046" s="6" t="str">
        <f>VLOOKUP(E2046,dicionario!$A$1:$C2445,3,0)</f>
        <v>pardal</v>
      </c>
    </row>
    <row r="2047">
      <c r="A2047" s="3">
        <v>45603.0</v>
      </c>
      <c r="B2047" s="4">
        <v>0.2652777777777778</v>
      </c>
      <c r="C2047" s="5" t="s">
        <v>90</v>
      </c>
      <c r="D2047" s="5" t="s">
        <v>667</v>
      </c>
      <c r="E2047" s="6" t="s">
        <v>88</v>
      </c>
      <c r="F2047" s="7" t="s">
        <v>89</v>
      </c>
      <c r="G2047" s="6" t="str">
        <f>VLOOKUP(E2047,dicionario!$A$1:$C2446,2,0)</f>
        <v>Tyrannus melancolichus</v>
      </c>
      <c r="H2047" s="6" t="str">
        <f>VLOOKUP(E2047,dicionario!$A$1:$C2446,3,0)</f>
        <v>suiriri</v>
      </c>
    </row>
    <row r="2048">
      <c r="A2048" s="3">
        <v>45603.0</v>
      </c>
      <c r="B2048" s="4">
        <v>0.2652777777777778</v>
      </c>
      <c r="C2048" s="5" t="s">
        <v>90</v>
      </c>
      <c r="D2048" s="5" t="s">
        <v>667</v>
      </c>
      <c r="E2048" s="6" t="s">
        <v>118</v>
      </c>
      <c r="F2048" s="7" t="s">
        <v>119</v>
      </c>
      <c r="G2048" s="6" t="str">
        <f>VLOOKUP(E2048,dicionario!$A$1:$C2447,2,0)</f>
        <v>Agaricus</v>
      </c>
      <c r="H2048" s="6" t="str">
        <f>VLOOKUP(E2048,dicionario!$A$1:$C2447,3,0)</f>
        <v>cogumelo</v>
      </c>
    </row>
    <row r="2049">
      <c r="A2049" s="3">
        <v>45603.0</v>
      </c>
      <c r="B2049" s="4">
        <v>0.2652777777777778</v>
      </c>
      <c r="C2049" s="5" t="s">
        <v>90</v>
      </c>
      <c r="D2049" s="5" t="s">
        <v>667</v>
      </c>
      <c r="E2049" s="6" t="s">
        <v>195</v>
      </c>
      <c r="F2049" s="7" t="s">
        <v>196</v>
      </c>
      <c r="G2049" s="6" t="str">
        <f>VLOOKUP(E2049,dicionario!$A$1:$C2448,2,0)</f>
        <v>Priva lappulacea</v>
      </c>
      <c r="H2049" s="6" t="str">
        <f>VLOOKUP(E2049,dicionario!$A$1:$C2448,3,0)</f>
        <v>carrapicho</v>
      </c>
    </row>
    <row r="2050">
      <c r="A2050" s="3">
        <v>45603.0</v>
      </c>
      <c r="B2050" s="4">
        <v>0.2659722222222222</v>
      </c>
      <c r="C2050" s="5" t="s">
        <v>90</v>
      </c>
      <c r="D2050" s="5" t="s">
        <v>667</v>
      </c>
      <c r="E2050" s="6" t="s">
        <v>271</v>
      </c>
      <c r="F2050" s="7" t="s">
        <v>272</v>
      </c>
      <c r="G2050" s="6" t="str">
        <f>VLOOKUP(E2050,dicionario!$A$1:$C2449,2,0)</f>
        <v>Cyanthillium cinereum</v>
      </c>
      <c r="H2050" s="6" t="str">
        <f>VLOOKUP(E2050,dicionario!$A$1:$C2449,3,0)</f>
        <v>emília</v>
      </c>
    </row>
    <row r="2051">
      <c r="A2051" s="3">
        <v>45603.0</v>
      </c>
      <c r="B2051" s="4">
        <v>0.26666666666666666</v>
      </c>
      <c r="C2051" s="5" t="s">
        <v>90</v>
      </c>
      <c r="D2051" s="5" t="s">
        <v>667</v>
      </c>
      <c r="E2051" s="6" t="s">
        <v>405</v>
      </c>
      <c r="F2051" s="5" t="s">
        <v>418</v>
      </c>
      <c r="G2051" s="6" t="str">
        <f>VLOOKUP(E2051,dicionario!$A$1:$C2450,2,0)</f>
        <v>Ectatomma</v>
      </c>
      <c r="H2051" s="6" t="str">
        <f>VLOOKUP(E2051,dicionario!$A$1:$C2450,3,0)</f>
        <v>formiga-preta</v>
      </c>
    </row>
    <row r="2052">
      <c r="A2052" s="3">
        <v>45603.0</v>
      </c>
      <c r="B2052" s="4">
        <v>0.2673611111111111</v>
      </c>
      <c r="C2052" s="5" t="s">
        <v>90</v>
      </c>
      <c r="D2052" s="5" t="s">
        <v>667</v>
      </c>
      <c r="E2052" s="6" t="s">
        <v>177</v>
      </c>
      <c r="F2052" s="7" t="s">
        <v>178</v>
      </c>
      <c r="G2052" s="6" t="str">
        <f>VLOOKUP(E2052,dicionario!$A$1:$C2451,2,0)</f>
        <v>Elaenia flavogaster</v>
      </c>
      <c r="H2052" s="6" t="str">
        <f>VLOOKUP(E2052,dicionario!$A$1:$C2451,3,0)</f>
        <v>guaracava-de-barriga-amarela</v>
      </c>
    </row>
    <row r="2053">
      <c r="A2053" s="3">
        <v>45603.0</v>
      </c>
      <c r="B2053" s="4">
        <v>0.26805555555555555</v>
      </c>
      <c r="C2053" s="5" t="s">
        <v>90</v>
      </c>
      <c r="D2053" s="5" t="s">
        <v>667</v>
      </c>
      <c r="E2053" s="6" t="s">
        <v>154</v>
      </c>
      <c r="F2053" s="7" t="s">
        <v>155</v>
      </c>
      <c r="G2053" s="6" t="str">
        <f>VLOOKUP(E2053,dicionario!$A$1:$C2452,2,0)</f>
        <v>Cyperus rotundus</v>
      </c>
      <c r="H2053" s="6" t="str">
        <f>VLOOKUP(E2053,dicionario!$A$1:$C2452,3,0)</f>
        <v>tiririca</v>
      </c>
    </row>
    <row r="2054">
      <c r="A2054" s="3">
        <v>45603.0</v>
      </c>
      <c r="B2054" s="4">
        <v>0.26805555555555555</v>
      </c>
      <c r="C2054" s="5" t="s">
        <v>90</v>
      </c>
      <c r="D2054" s="5" t="s">
        <v>667</v>
      </c>
      <c r="E2054" s="8" t="s">
        <v>46</v>
      </c>
      <c r="F2054" s="5" t="s">
        <v>47</v>
      </c>
      <c r="G2054" s="6" t="str">
        <f>VLOOKUP(E2054,dicionario!$A$1:$C2453,2,0)</f>
        <v>Chionomesa fimbriata</v>
      </c>
      <c r="H2054" s="6" t="str">
        <f>VLOOKUP(E2054,dicionario!$A$1:$C2453,3,0)</f>
        <v>beija-flor-de-garganta-verde</v>
      </c>
    </row>
    <row r="2055">
      <c r="A2055" s="3">
        <v>45603.0</v>
      </c>
      <c r="B2055" s="4">
        <v>0.26805555555555555</v>
      </c>
      <c r="C2055" s="5" t="s">
        <v>90</v>
      </c>
      <c r="D2055" s="5" t="s">
        <v>667</v>
      </c>
      <c r="E2055" s="8" t="s">
        <v>38</v>
      </c>
      <c r="F2055" s="5" t="s">
        <v>39</v>
      </c>
      <c r="G2055" s="6" t="str">
        <f>VLOOKUP(E2055,dicionario!$A$1:$C2454,2,0)</f>
        <v>Troglodytes musculus</v>
      </c>
      <c r="H2055" s="6" t="str">
        <f>VLOOKUP(E2055,dicionario!$A$1:$C2454,3,0)</f>
        <v>curruíra</v>
      </c>
    </row>
    <row r="2056">
      <c r="A2056" s="3">
        <v>45603.0</v>
      </c>
      <c r="B2056" s="4">
        <v>0.26875</v>
      </c>
      <c r="C2056" s="5" t="s">
        <v>90</v>
      </c>
      <c r="D2056" s="5" t="s">
        <v>667</v>
      </c>
      <c r="E2056" s="6" t="s">
        <v>72</v>
      </c>
      <c r="F2056" s="7" t="s">
        <v>73</v>
      </c>
      <c r="G2056" s="6" t="str">
        <f>VLOOKUP(E2056,dicionario!$A$1:$C2455,2,0)</f>
        <v>Thraupis palmarum</v>
      </c>
      <c r="H2056" s="6" t="str">
        <f>VLOOKUP(E2056,dicionario!$A$1:$C2455,3,0)</f>
        <v>sanhaço-do-coqueiro</v>
      </c>
    </row>
    <row r="2057">
      <c r="A2057" s="3">
        <v>45603.0</v>
      </c>
      <c r="B2057" s="4">
        <v>0.26875</v>
      </c>
      <c r="C2057" s="5" t="s">
        <v>90</v>
      </c>
      <c r="D2057" s="5" t="s">
        <v>667</v>
      </c>
      <c r="E2057" s="6" t="s">
        <v>163</v>
      </c>
      <c r="F2057" s="7" t="s">
        <v>164</v>
      </c>
      <c r="G2057" s="6" t="str">
        <f>VLOOKUP(E2057,dicionario!$A$1:$C2456,2,0)</f>
        <v>Coragyps atratus</v>
      </c>
      <c r="H2057" s="6" t="str">
        <f>VLOOKUP(E2057,dicionario!$A$1:$C2456,3,0)</f>
        <v>urubu-de-cabeça-preta</v>
      </c>
    </row>
    <row r="2058">
      <c r="A2058" s="3">
        <v>45603.0</v>
      </c>
      <c r="B2058" s="4">
        <v>0.26875</v>
      </c>
      <c r="C2058" s="5" t="s">
        <v>90</v>
      </c>
      <c r="D2058" s="5" t="s">
        <v>667</v>
      </c>
      <c r="E2058" s="6" t="s">
        <v>175</v>
      </c>
      <c r="F2058" s="7" t="s">
        <v>176</v>
      </c>
      <c r="G2058" s="6" t="str">
        <f>VLOOKUP(E2058,dicionario!$A$1:$C2457,2,0)</f>
        <v>Turdus leucomelas</v>
      </c>
      <c r="H2058" s="6" t="str">
        <f>VLOOKUP(E2058,dicionario!$A$1:$C2457,3,0)</f>
        <v>sabiá-barranco</v>
      </c>
    </row>
    <row r="2059">
      <c r="A2059" s="3">
        <v>45603.0</v>
      </c>
      <c r="B2059" s="4">
        <v>0.26875</v>
      </c>
      <c r="C2059" s="5" t="s">
        <v>90</v>
      </c>
      <c r="D2059" s="5" t="s">
        <v>667</v>
      </c>
      <c r="E2059" s="6" t="s">
        <v>215</v>
      </c>
      <c r="F2059" s="7" t="s">
        <v>216</v>
      </c>
      <c r="G2059" s="6" t="str">
        <f>VLOOKUP(E2059,dicionario!$A$1:$C2458,2,0)</f>
        <v>Pygochelidon cyanoleuca</v>
      </c>
      <c r="H2059" s="6" t="str">
        <f>VLOOKUP(E2059,dicionario!$A$1:$C2458,3,0)</f>
        <v>andorinha-pequena-de-casa</v>
      </c>
    </row>
    <row r="2060">
      <c r="A2060" s="3">
        <v>45603.0</v>
      </c>
      <c r="B2060" s="4">
        <v>0.2701388888888889</v>
      </c>
      <c r="C2060" s="5" t="s">
        <v>90</v>
      </c>
      <c r="D2060" s="5" t="s">
        <v>667</v>
      </c>
      <c r="E2060" s="8" t="s">
        <v>668</v>
      </c>
      <c r="F2060" s="5" t="s">
        <v>669</v>
      </c>
      <c r="G2060" s="6" t="str">
        <f>VLOOKUP(E2060,dicionario!$A$1:$C2459,2,0)</f>
        <v>#N/A</v>
      </c>
      <c r="H2060" s="6" t="str">
        <f>VLOOKUP(E2060,dicionario!$A$1:$C2459,3,0)</f>
        <v>#N/A</v>
      </c>
    </row>
    <row r="2061">
      <c r="A2061" s="3">
        <v>45603.0</v>
      </c>
      <c r="B2061" s="4">
        <v>0.2708333333333333</v>
      </c>
      <c r="C2061" s="5" t="s">
        <v>90</v>
      </c>
      <c r="D2061" s="5" t="s">
        <v>667</v>
      </c>
      <c r="E2061" s="6" t="s">
        <v>631</v>
      </c>
      <c r="F2061" s="7" t="s">
        <v>632</v>
      </c>
      <c r="G2061" s="6" t="str">
        <f>VLOOKUP(E2061,dicionario!$A$1:$C2460,2,0)</f>
        <v>Chamaecrista nictitans</v>
      </c>
      <c r="H2061" s="6" t="str">
        <f>VLOOKUP(E2061,dicionario!$A$1:$C2460,3,0)</f>
        <v>falsa-dormideira</v>
      </c>
    </row>
    <row r="2062">
      <c r="A2062" s="3">
        <v>45603.0</v>
      </c>
      <c r="B2062" s="4">
        <v>0.2708333333333333</v>
      </c>
      <c r="C2062" s="5" t="s">
        <v>90</v>
      </c>
      <c r="D2062" s="5" t="s">
        <v>667</v>
      </c>
      <c r="E2062" s="6" t="s">
        <v>670</v>
      </c>
      <c r="F2062" s="7" t="s">
        <v>244</v>
      </c>
      <c r="G2062" s="6" t="str">
        <f>VLOOKUP(E2062,dicionario!$A$1:$C2461,2,0)</f>
        <v>#N/A</v>
      </c>
      <c r="H2062" s="6" t="str">
        <f>VLOOKUP(E2062,dicionario!$A$1:$C2461,3,0)</f>
        <v>#N/A</v>
      </c>
    </row>
    <row r="2063">
      <c r="A2063" s="3">
        <v>45603.0</v>
      </c>
      <c r="B2063" s="4">
        <v>0.27152777777777776</v>
      </c>
      <c r="C2063" s="5" t="s">
        <v>85</v>
      </c>
      <c r="D2063" s="5" t="s">
        <v>667</v>
      </c>
      <c r="E2063" s="6" t="s">
        <v>631</v>
      </c>
      <c r="F2063" s="7" t="s">
        <v>632</v>
      </c>
      <c r="G2063" s="6" t="str">
        <f>VLOOKUP(E2063,dicionario!$A$1:$C2462,2,0)</f>
        <v>Chamaecrista nictitans</v>
      </c>
      <c r="H2063" s="6" t="str">
        <f>VLOOKUP(E2063,dicionario!$A$1:$C2462,3,0)</f>
        <v>falsa-dormideira</v>
      </c>
    </row>
    <row r="2064">
      <c r="A2064" s="3">
        <v>45603.0</v>
      </c>
      <c r="B2064" s="4">
        <v>0.2722222222222222</v>
      </c>
      <c r="C2064" s="5" t="s">
        <v>85</v>
      </c>
      <c r="D2064" s="5" t="s">
        <v>667</v>
      </c>
      <c r="E2064" s="6" t="s">
        <v>109</v>
      </c>
      <c r="F2064" s="7" t="s">
        <v>110</v>
      </c>
      <c r="G2064" s="6" t="str">
        <f>VLOOKUP(E2064,dicionario!$A$1:$C2463,2,0)</f>
        <v>Tillandsia stricta</v>
      </c>
      <c r="H2064" s="6" t="str">
        <f>VLOOKUP(E2064,dicionario!$A$1:$C2463,3,0)</f>
        <v>cravo-do-mato</v>
      </c>
    </row>
    <row r="2065">
      <c r="A2065" s="3">
        <v>45603.0</v>
      </c>
      <c r="B2065" s="4">
        <v>0.2722222222222222</v>
      </c>
      <c r="C2065" s="5" t="s">
        <v>85</v>
      </c>
      <c r="D2065" s="5" t="s">
        <v>667</v>
      </c>
      <c r="E2065" s="6" t="s">
        <v>286</v>
      </c>
      <c r="F2065" s="7" t="s">
        <v>287</v>
      </c>
      <c r="G2065" s="6" t="str">
        <f>VLOOKUP(E2065,dicionario!$A$1:$C2464,2,0)</f>
        <v>Setaria parviflora</v>
      </c>
      <c r="H2065" s="6" t="str">
        <f>VLOOKUP(E2065,dicionario!$A$1:$C2464,3,0)</f>
        <v>capim-rabo-de-raposa</v>
      </c>
    </row>
    <row r="2066">
      <c r="A2066" s="3">
        <v>45603.0</v>
      </c>
      <c r="B2066" s="4">
        <v>0.27291666666666664</v>
      </c>
      <c r="C2066" s="5" t="s">
        <v>85</v>
      </c>
      <c r="D2066" s="5" t="s">
        <v>667</v>
      </c>
      <c r="E2066" s="6" t="s">
        <v>258</v>
      </c>
      <c r="F2066" s="7" t="s">
        <v>259</v>
      </c>
      <c r="G2066" s="6" t="str">
        <f>VLOOKUP(E2066,dicionario!$A$1:$C2465,2,0)</f>
        <v>Lantana camara</v>
      </c>
      <c r="H2066" s="6" t="str">
        <f>VLOOKUP(E2066,dicionario!$A$1:$C2465,3,0)</f>
        <v>lantana</v>
      </c>
    </row>
    <row r="2067">
      <c r="A2067" s="3">
        <v>45603.0</v>
      </c>
      <c r="B2067" s="4">
        <v>0.27291666666666664</v>
      </c>
      <c r="C2067" s="5" t="s">
        <v>85</v>
      </c>
      <c r="D2067" s="5" t="s">
        <v>667</v>
      </c>
      <c r="E2067" s="6" t="s">
        <v>16</v>
      </c>
      <c r="F2067" s="7" t="s">
        <v>17</v>
      </c>
      <c r="G2067" s="6" t="str">
        <f>VLOOKUP(E2067,dicionario!$A$1:$C2466,2,0)</f>
        <v>Eupetomena macroura</v>
      </c>
      <c r="H2067" s="6" t="str">
        <f>VLOOKUP(E2067,dicionario!$A$1:$C2466,3,0)</f>
        <v>beija-flor-tesoura</v>
      </c>
    </row>
    <row r="2068">
      <c r="A2068" s="3">
        <v>45603.0</v>
      </c>
      <c r="B2068" s="4">
        <v>0.27291666666666664</v>
      </c>
      <c r="C2068" s="5" t="s">
        <v>85</v>
      </c>
      <c r="D2068" s="5" t="s">
        <v>667</v>
      </c>
      <c r="E2068" s="6" t="s">
        <v>606</v>
      </c>
      <c r="F2068" s="7" t="s">
        <v>607</v>
      </c>
      <c r="G2068" s="6" t="str">
        <f>VLOOKUP(E2068,dicionario!$A$1:$C2467,2,0)</f>
        <v>Elaenia spectabilis</v>
      </c>
      <c r="H2068" s="6" t="str">
        <f>VLOOKUP(E2068,dicionario!$A$1:$C2467,3,0)</f>
        <v>guaracava-grande</v>
      </c>
    </row>
    <row r="2069">
      <c r="A2069" s="3">
        <v>45603.0</v>
      </c>
      <c r="B2069" s="4">
        <v>0.27291666666666664</v>
      </c>
      <c r="C2069" s="5" t="s">
        <v>85</v>
      </c>
      <c r="D2069" s="5" t="s">
        <v>667</v>
      </c>
      <c r="E2069" s="6" t="s">
        <v>296</v>
      </c>
      <c r="F2069" s="7" t="s">
        <v>297</v>
      </c>
      <c r="G2069" s="6" t="str">
        <f>VLOOKUP(E2069,dicionario!$A$1:$C2468,2,0)</f>
        <v>Richardia brasiliensis</v>
      </c>
      <c r="H2069" s="6" t="str">
        <f>VLOOKUP(E2069,dicionario!$A$1:$C2468,3,0)</f>
        <v>poaia-branca</v>
      </c>
    </row>
    <row r="2070">
      <c r="A2070" s="3">
        <v>45603.0</v>
      </c>
      <c r="B2070" s="4">
        <v>0.27291666666666664</v>
      </c>
      <c r="C2070" s="5" t="s">
        <v>85</v>
      </c>
      <c r="D2070" s="5" t="s">
        <v>667</v>
      </c>
      <c r="E2070" s="8" t="s">
        <v>375</v>
      </c>
      <c r="F2070" s="7" t="s">
        <v>35</v>
      </c>
      <c r="G2070" s="6" t="str">
        <f>VLOOKUP(E2070,dicionario!$A$1:$C2469,2,0)</f>
        <v>Neoponera foetida</v>
      </c>
      <c r="H2070" s="6" t="str">
        <f>VLOOKUP(E2070,dicionario!$A$1:$C2469,3,0)</f>
        <v/>
      </c>
    </row>
    <row r="2071">
      <c r="A2071" s="3">
        <v>45603.0</v>
      </c>
      <c r="B2071" s="4">
        <v>0.27291666666666664</v>
      </c>
      <c r="C2071" s="5" t="s">
        <v>85</v>
      </c>
      <c r="D2071" s="5" t="s">
        <v>667</v>
      </c>
      <c r="E2071" s="6" t="s">
        <v>671</v>
      </c>
      <c r="F2071" s="7" t="s">
        <v>140</v>
      </c>
      <c r="G2071" s="6" t="str">
        <f>VLOOKUP(E2071,dicionario!$A$1:$C2470,2,0)</f>
        <v>#N/A</v>
      </c>
      <c r="H2071" s="6" t="str">
        <f>VLOOKUP(E2071,dicionario!$A$1:$C2470,3,0)</f>
        <v>#N/A</v>
      </c>
    </row>
    <row r="2072">
      <c r="A2072" s="3">
        <v>45603.0</v>
      </c>
      <c r="B2072" s="4">
        <v>0.27291666666666664</v>
      </c>
      <c r="C2072" s="5" t="s">
        <v>85</v>
      </c>
      <c r="D2072" s="5" t="s">
        <v>667</v>
      </c>
      <c r="E2072" s="6" t="s">
        <v>237</v>
      </c>
      <c r="F2072" s="7" t="s">
        <v>238</v>
      </c>
      <c r="G2072" s="6" t="str">
        <f>VLOOKUP(E2072,dicionario!$A$1:$C2471,2,0)</f>
        <v>Acromyrmex</v>
      </c>
      <c r="H2072" s="6" t="str">
        <f>VLOOKUP(E2072,dicionario!$A$1:$C2471,3,0)</f>
        <v>quenquén</v>
      </c>
    </row>
    <row r="2073">
      <c r="A2073" s="3">
        <v>45603.0</v>
      </c>
      <c r="B2073" s="4">
        <v>0.27361111111111114</v>
      </c>
      <c r="C2073" s="5" t="s">
        <v>85</v>
      </c>
      <c r="D2073" s="5" t="s">
        <v>667</v>
      </c>
      <c r="E2073" s="6" t="s">
        <v>271</v>
      </c>
      <c r="F2073" s="7" t="s">
        <v>272</v>
      </c>
      <c r="G2073" s="6" t="str">
        <f>VLOOKUP(E2073,dicionario!$A$1:$C2472,2,0)</f>
        <v>Cyanthillium cinereum</v>
      </c>
      <c r="H2073" s="6" t="str">
        <f>VLOOKUP(E2073,dicionario!$A$1:$C2472,3,0)</f>
        <v>emília</v>
      </c>
    </row>
    <row r="2074">
      <c r="A2074" s="3">
        <v>45603.0</v>
      </c>
      <c r="B2074" s="4">
        <v>0.27361111111111114</v>
      </c>
      <c r="C2074" s="5" t="s">
        <v>85</v>
      </c>
      <c r="D2074" s="5" t="s">
        <v>667</v>
      </c>
      <c r="E2074" s="6" t="s">
        <v>471</v>
      </c>
      <c r="F2074" s="7" t="s">
        <v>472</v>
      </c>
      <c r="G2074" s="6" t="str">
        <f>VLOOKUP(E2074,dicionario!$A$1:$C2473,2,0)</f>
        <v>Sida acuta</v>
      </c>
      <c r="H2074" s="6" t="str">
        <f>VLOOKUP(E2074,dicionario!$A$1:$C2473,3,0)</f>
        <v>reloginho</v>
      </c>
    </row>
    <row r="2075">
      <c r="A2075" s="3">
        <v>45603.0</v>
      </c>
      <c r="B2075" s="4">
        <v>0.27361111111111114</v>
      </c>
      <c r="C2075" s="5" t="s">
        <v>85</v>
      </c>
      <c r="D2075" s="5" t="s">
        <v>667</v>
      </c>
      <c r="E2075" s="6" t="s">
        <v>517</v>
      </c>
      <c r="F2075" s="7" t="s">
        <v>518</v>
      </c>
      <c r="G2075" s="6" t="str">
        <f>VLOOKUP(E2075,dicionario!$A$1:$C2474,2,0)</f>
        <v>Evolvulus nummularius</v>
      </c>
      <c r="H2075" s="6" t="str">
        <f>VLOOKUP(E2075,dicionario!$A$1:$C2474,3,0)</f>
        <v/>
      </c>
    </row>
    <row r="2076">
      <c r="A2076" s="3">
        <v>45603.0</v>
      </c>
      <c r="B2076" s="4">
        <v>0.27361111111111114</v>
      </c>
      <c r="C2076" s="5" t="s">
        <v>85</v>
      </c>
      <c r="D2076" s="5" t="s">
        <v>667</v>
      </c>
      <c r="E2076" s="6" t="s">
        <v>55</v>
      </c>
      <c r="F2076" s="5" t="s">
        <v>56</v>
      </c>
      <c r="G2076" s="6" t="str">
        <f>VLOOKUP(E2076,dicionario!$A$1:$C2475,2,0)</f>
        <v>Cubaris murina</v>
      </c>
      <c r="H2076" s="6" t="str">
        <f>VLOOKUP(E2076,dicionario!$A$1:$C2475,3,0)</f>
        <v>tatuzinho-de-jardim</v>
      </c>
    </row>
    <row r="2077">
      <c r="A2077" s="3">
        <v>45603.0</v>
      </c>
      <c r="B2077" s="4">
        <v>0.2743055555555556</v>
      </c>
      <c r="C2077" s="5" t="s">
        <v>85</v>
      </c>
      <c r="D2077" s="5" t="s">
        <v>667</v>
      </c>
      <c r="E2077" s="6" t="s">
        <v>20</v>
      </c>
      <c r="F2077" s="7" t="s">
        <v>21</v>
      </c>
      <c r="G2077" s="6" t="str">
        <f>VLOOKUP(E2077,dicionario!$A$1:$C2476,2,0)</f>
        <v>Sicalis flaveola</v>
      </c>
      <c r="H2077" s="6" t="str">
        <f>VLOOKUP(E2077,dicionario!$A$1:$C2476,3,0)</f>
        <v>canário-da-terra</v>
      </c>
    </row>
    <row r="2078">
      <c r="A2078" s="3">
        <v>45603.0</v>
      </c>
      <c r="B2078" s="4">
        <v>0.2743055555555556</v>
      </c>
      <c r="C2078" s="5" t="s">
        <v>85</v>
      </c>
      <c r="D2078" s="5" t="s">
        <v>667</v>
      </c>
      <c r="E2078" s="6" t="s">
        <v>113</v>
      </c>
      <c r="F2078" s="7" t="s">
        <v>114</v>
      </c>
      <c r="G2078" s="6" t="str">
        <f>VLOOKUP(E2078,dicionario!$A$1:$C2477,2,0)</f>
        <v>Columbina talpacoti</v>
      </c>
      <c r="H2078" s="6" t="str">
        <f>VLOOKUP(E2078,dicionario!$A$1:$C2477,3,0)</f>
        <v>rolinha-roxa</v>
      </c>
    </row>
    <row r="2079">
      <c r="A2079" s="3">
        <v>45603.0</v>
      </c>
      <c r="B2079" s="4">
        <v>0.2743055555555556</v>
      </c>
      <c r="C2079" s="5" t="s">
        <v>85</v>
      </c>
      <c r="D2079" s="5" t="s">
        <v>667</v>
      </c>
      <c r="E2079" s="6" t="s">
        <v>171</v>
      </c>
      <c r="F2079" s="7" t="s">
        <v>391</v>
      </c>
      <c r="G2079" s="6" t="str">
        <f>VLOOKUP(E2079,dicionario!$A$1:$C2478,2,0)</f>
        <v>Oxalis corniculata</v>
      </c>
      <c r="H2079" s="6" t="str">
        <f>VLOOKUP(E2079,dicionario!$A$1:$C2478,3,0)</f>
        <v>trevo-azedinho</v>
      </c>
    </row>
    <row r="2080">
      <c r="A2080" s="3">
        <v>45603.0</v>
      </c>
      <c r="B2080" s="4">
        <v>0.2743055555555556</v>
      </c>
      <c r="C2080" s="5" t="s">
        <v>85</v>
      </c>
      <c r="D2080" s="5" t="s">
        <v>667</v>
      </c>
      <c r="E2080" s="6" t="s">
        <v>512</v>
      </c>
      <c r="F2080" s="7" t="s">
        <v>513</v>
      </c>
      <c r="G2080" s="6" t="str">
        <f>VLOOKUP(E2080,dicionario!$A$1:$C2479,2,0)</f>
        <v>#N/A</v>
      </c>
      <c r="H2080" s="6" t="str">
        <f>VLOOKUP(E2080,dicionario!$A$1:$C2479,3,0)</f>
        <v>#N/A</v>
      </c>
    </row>
    <row r="2081">
      <c r="A2081" s="3">
        <v>45603.0</v>
      </c>
      <c r="B2081" s="4">
        <v>0.2743055555555556</v>
      </c>
      <c r="C2081" s="5" t="s">
        <v>85</v>
      </c>
      <c r="D2081" s="5" t="s">
        <v>667</v>
      </c>
      <c r="E2081" s="6" t="s">
        <v>399</v>
      </c>
      <c r="F2081" s="7" t="s">
        <v>400</v>
      </c>
      <c r="G2081" s="6" t="str">
        <f>VLOOKUP(E2081,dicionario!$A$1:$C2480,2,0)</f>
        <v>Varronia curassavica</v>
      </c>
      <c r="H2081" s="6" t="str">
        <f>VLOOKUP(E2081,dicionario!$A$1:$C2480,3,0)</f>
        <v>erva-baleeira</v>
      </c>
    </row>
    <row r="2082">
      <c r="A2082" s="3">
        <v>45603.0</v>
      </c>
      <c r="B2082" s="4">
        <v>0.2743055555555556</v>
      </c>
      <c r="C2082" s="5" t="s">
        <v>85</v>
      </c>
      <c r="D2082" s="5" t="s">
        <v>667</v>
      </c>
      <c r="E2082" s="6" t="s">
        <v>319</v>
      </c>
      <c r="F2082" s="7" t="s">
        <v>320</v>
      </c>
      <c r="G2082" s="6" t="str">
        <f>VLOOKUP(E2082,dicionario!$A$1:$C2481,2,0)</f>
        <v>Schinus terebinthifolia</v>
      </c>
      <c r="H2082" s="6" t="str">
        <f>VLOOKUP(E2082,dicionario!$A$1:$C2481,3,0)</f>
        <v>aroeira</v>
      </c>
    </row>
    <row r="2083">
      <c r="A2083" s="3">
        <v>45603.0</v>
      </c>
      <c r="B2083" s="4">
        <v>0.2743055555555556</v>
      </c>
      <c r="C2083" s="5" t="s">
        <v>85</v>
      </c>
      <c r="D2083" s="5" t="s">
        <v>667</v>
      </c>
      <c r="E2083" s="6" t="s">
        <v>672</v>
      </c>
      <c r="F2083" s="7" t="s">
        <v>673</v>
      </c>
      <c r="G2083" s="6" t="str">
        <f>VLOOKUP(E2083,dicionario!$A$1:$C2482,2,0)</f>
        <v>#N/A</v>
      </c>
      <c r="H2083" s="6" t="str">
        <f>VLOOKUP(E2083,dicionario!$A$1:$C2482,3,0)</f>
        <v>#N/A</v>
      </c>
    </row>
    <row r="2084">
      <c r="A2084" s="3">
        <v>45603.0</v>
      </c>
      <c r="B2084" s="4">
        <v>0.275</v>
      </c>
      <c r="C2084" s="5" t="s">
        <v>85</v>
      </c>
      <c r="D2084" s="5" t="s">
        <v>667</v>
      </c>
      <c r="E2084" s="6" t="s">
        <v>14</v>
      </c>
      <c r="F2084" s="7" t="s">
        <v>15</v>
      </c>
      <c r="G2084" s="6" t="str">
        <f>VLOOKUP(E2084,dicionario!$A$1:$C2483,2,0)</f>
        <v>Spermacoce verticillata</v>
      </c>
      <c r="H2084" s="6" t="str">
        <f>VLOOKUP(E2084,dicionario!$A$1:$C2483,3,0)</f>
        <v>vassourinha-de-botão</v>
      </c>
    </row>
    <row r="2085">
      <c r="A2085" s="3">
        <v>45603.0</v>
      </c>
      <c r="B2085" s="4">
        <v>0.27569444444444446</v>
      </c>
      <c r="C2085" s="5" t="s">
        <v>85</v>
      </c>
      <c r="D2085" s="5" t="s">
        <v>667</v>
      </c>
      <c r="E2085" s="6" t="s">
        <v>88</v>
      </c>
      <c r="F2085" s="7" t="s">
        <v>89</v>
      </c>
      <c r="G2085" s="6" t="str">
        <f>VLOOKUP(E2085,dicionario!$A$1:$C2484,2,0)</f>
        <v>Tyrannus melancolichus</v>
      </c>
      <c r="H2085" s="6" t="str">
        <f>VLOOKUP(E2085,dicionario!$A$1:$C2484,3,0)</f>
        <v>suiriri</v>
      </c>
    </row>
    <row r="2086">
      <c r="A2086" s="3">
        <v>45603.0</v>
      </c>
      <c r="B2086" s="4">
        <v>0.2763888888888889</v>
      </c>
      <c r="C2086" s="5" t="s">
        <v>85</v>
      </c>
      <c r="D2086" s="5" t="s">
        <v>667</v>
      </c>
      <c r="E2086" s="6" t="s">
        <v>53</v>
      </c>
      <c r="F2086" s="7" t="s">
        <v>54</v>
      </c>
      <c r="G2086" s="6" t="str">
        <f>VLOOKUP(E2086,dicionario!$A$1:$C2485,2,0)</f>
        <v>Turnera subulata</v>
      </c>
      <c r="H2086" s="6" t="str">
        <f>VLOOKUP(E2086,dicionario!$A$1:$C2485,3,0)</f>
        <v>xanana</v>
      </c>
    </row>
    <row r="2087">
      <c r="A2087" s="3">
        <v>45603.0</v>
      </c>
      <c r="B2087" s="4">
        <v>0.2763888888888889</v>
      </c>
      <c r="C2087" s="5" t="s">
        <v>85</v>
      </c>
      <c r="D2087" s="5" t="s">
        <v>667</v>
      </c>
      <c r="E2087" s="6" t="s">
        <v>245</v>
      </c>
      <c r="F2087" s="7" t="s">
        <v>246</v>
      </c>
      <c r="G2087" s="6" t="str">
        <f>VLOOKUP(E2087,dicionario!$A$1:$C2486,2,0)</f>
        <v>Hemiargus hanno</v>
      </c>
      <c r="H2087" s="6" t="str">
        <f>VLOOKUP(E2087,dicionario!$A$1:$C2486,3,0)</f>
        <v>borboleta-azulzinha-do-trevo</v>
      </c>
    </row>
    <row r="2088">
      <c r="A2088" s="3">
        <v>45603.0</v>
      </c>
      <c r="B2088" s="4">
        <v>0.2763888888888889</v>
      </c>
      <c r="C2088" s="5" t="s">
        <v>85</v>
      </c>
      <c r="D2088" s="5" t="s">
        <v>667</v>
      </c>
      <c r="E2088" s="6" t="s">
        <v>41</v>
      </c>
      <c r="F2088" s="7" t="s">
        <v>45</v>
      </c>
      <c r="G2088" s="6" t="str">
        <f>VLOOKUP(E2088,dicionario!$A$1:$C2487,2,0)</f>
        <v>Mimosa pudica</v>
      </c>
      <c r="H2088" s="6" t="str">
        <f>VLOOKUP(E2088,dicionario!$A$1:$C2487,3,0)</f>
        <v>dormideira</v>
      </c>
    </row>
    <row r="2089">
      <c r="A2089" s="3">
        <v>45603.0</v>
      </c>
      <c r="B2089" s="4">
        <v>0.2763888888888889</v>
      </c>
      <c r="C2089" s="5" t="s">
        <v>85</v>
      </c>
      <c r="D2089" s="5" t="s">
        <v>667</v>
      </c>
      <c r="E2089" s="6" t="s">
        <v>31</v>
      </c>
      <c r="F2089" s="7" t="s">
        <v>32</v>
      </c>
      <c r="G2089" s="6" t="str">
        <f>VLOOKUP(E2089,dicionario!$A$1:$C2488,2,0)</f>
        <v>Furnarius rufus</v>
      </c>
      <c r="H2089" s="6" t="str">
        <f>VLOOKUP(E2089,dicionario!$A$1:$C2488,3,0)</f>
        <v>joão-de-barro</v>
      </c>
    </row>
    <row r="2090">
      <c r="A2090" s="3">
        <v>45603.0</v>
      </c>
      <c r="B2090" s="4">
        <v>0.2763888888888889</v>
      </c>
      <c r="C2090" s="5" t="s">
        <v>85</v>
      </c>
      <c r="D2090" s="5" t="s">
        <v>667</v>
      </c>
      <c r="E2090" s="6" t="s">
        <v>674</v>
      </c>
      <c r="F2090" s="7" t="s">
        <v>675</v>
      </c>
      <c r="G2090" s="6" t="str">
        <f>VLOOKUP(E2090,dicionario!$A$1:$C2489,2,0)</f>
        <v>#N/A</v>
      </c>
      <c r="H2090" s="6" t="str">
        <f>VLOOKUP(E2090,dicionario!$A$1:$C2489,3,0)</f>
        <v>#N/A</v>
      </c>
    </row>
    <row r="2091">
      <c r="A2091" s="3">
        <v>45603.0</v>
      </c>
      <c r="B2091" s="4">
        <v>0.2763888888888889</v>
      </c>
      <c r="C2091" s="5" t="s">
        <v>85</v>
      </c>
      <c r="D2091" s="5" t="s">
        <v>667</v>
      </c>
      <c r="E2091" s="8" t="s">
        <v>635</v>
      </c>
      <c r="F2091" s="5" t="s">
        <v>636</v>
      </c>
      <c r="G2091" s="6" t="str">
        <f>VLOOKUP(E2091,dicionario!$A$1:$C2490,2,0)</f>
        <v>Euphorbia graminea</v>
      </c>
      <c r="H2091" s="6" t="str">
        <f>VLOOKUP(E2091,dicionario!$A$1:$C2490,3,0)</f>
        <v>ponta-de-flecha</v>
      </c>
    </row>
    <row r="2092">
      <c r="A2092" s="3">
        <v>45603.0</v>
      </c>
      <c r="B2092" s="4">
        <v>0.27708333333333335</v>
      </c>
      <c r="C2092" s="5" t="s">
        <v>85</v>
      </c>
      <c r="D2092" s="5" t="s">
        <v>667</v>
      </c>
      <c r="E2092" s="8" t="s">
        <v>38</v>
      </c>
      <c r="F2092" s="5" t="s">
        <v>39</v>
      </c>
      <c r="G2092" s="6" t="str">
        <f>VLOOKUP(E2092,dicionario!$A$1:$C2491,2,0)</f>
        <v>Troglodytes musculus</v>
      </c>
      <c r="H2092" s="6" t="str">
        <f>VLOOKUP(E2092,dicionario!$A$1:$C2491,3,0)</f>
        <v>curruíra</v>
      </c>
    </row>
    <row r="2093">
      <c r="A2093" s="3">
        <v>45603.0</v>
      </c>
      <c r="B2093" s="4">
        <v>0.27708333333333335</v>
      </c>
      <c r="C2093" s="5" t="s">
        <v>85</v>
      </c>
      <c r="D2093" s="5" t="s">
        <v>667</v>
      </c>
      <c r="E2093" s="6" t="s">
        <v>143</v>
      </c>
      <c r="F2093" s="7" t="s">
        <v>63</v>
      </c>
      <c r="G2093" s="6" t="str">
        <f>VLOOKUP(E2093,dicionario!$A$1:$C2492,2,0)</f>
        <v>Polybia</v>
      </c>
      <c r="H2093" s="6" t="str">
        <f>VLOOKUP(E2093,dicionario!$A$1:$C2492,3,0)</f>
        <v>vespa</v>
      </c>
    </row>
    <row r="2094">
      <c r="A2094" s="3">
        <v>45603.0</v>
      </c>
      <c r="B2094" s="4">
        <v>0.27708333333333335</v>
      </c>
      <c r="C2094" s="5" t="s">
        <v>85</v>
      </c>
      <c r="D2094" s="5" t="s">
        <v>667</v>
      </c>
      <c r="E2094" s="6" t="s">
        <v>448</v>
      </c>
      <c r="F2094" s="7" t="s">
        <v>462</v>
      </c>
      <c r="G2094" s="6" t="str">
        <f>VLOOKUP(E2094,dicionario!$A$1:$C2493,2,0)</f>
        <v>Mechanitis polymnia</v>
      </c>
      <c r="H2094" s="6" t="str">
        <f>VLOOKUP(E2094,dicionario!$A$1:$C2493,3,0)</f>
        <v>maria-boba</v>
      </c>
    </row>
    <row r="2095">
      <c r="A2095" s="3">
        <v>45603.0</v>
      </c>
      <c r="B2095" s="4">
        <v>0.27708333333333335</v>
      </c>
      <c r="C2095" s="5" t="s">
        <v>85</v>
      </c>
      <c r="D2095" s="5" t="s">
        <v>667</v>
      </c>
      <c r="E2095" s="20" t="s">
        <v>676</v>
      </c>
      <c r="F2095" s="7" t="s">
        <v>677</v>
      </c>
      <c r="G2095" s="6" t="str">
        <f>VLOOKUP(E2095,dicionario!$A$1:$C2494,2,0)</f>
        <v>Zornia latifolia</v>
      </c>
      <c r="H2095" s="6" t="str">
        <f>VLOOKUP(E2095,dicionario!$A$1:$C2494,3,0)</f>
        <v>arrozinho-do-campo</v>
      </c>
    </row>
    <row r="2096">
      <c r="A2096" s="3">
        <v>45603.0</v>
      </c>
      <c r="B2096" s="4">
        <v>0.2777777777777778</v>
      </c>
      <c r="C2096" s="5" t="s">
        <v>85</v>
      </c>
      <c r="D2096" s="5" t="s">
        <v>667</v>
      </c>
      <c r="E2096" s="6" t="s">
        <v>243</v>
      </c>
      <c r="F2096" s="7" t="s">
        <v>244</v>
      </c>
      <c r="G2096" s="6" t="str">
        <f>VLOOKUP(E2096,dicionario!$A$1:$C2495,2,0)</f>
        <v>Macroptilium atropurpureum</v>
      </c>
      <c r="H2096" s="6" t="str">
        <f>VLOOKUP(E2096,dicionario!$A$1:$C2495,3,0)</f>
        <v>feijão-de-pombo</v>
      </c>
    </row>
    <row r="2097">
      <c r="A2097" s="3">
        <v>45603.0</v>
      </c>
      <c r="B2097" s="4">
        <v>0.27847222222222223</v>
      </c>
      <c r="C2097" s="5" t="s">
        <v>85</v>
      </c>
      <c r="D2097" s="5" t="s">
        <v>667</v>
      </c>
      <c r="E2097" s="6" t="s">
        <v>200</v>
      </c>
      <c r="F2097" s="7" t="s">
        <v>201</v>
      </c>
      <c r="G2097" s="6" t="str">
        <f>VLOOKUP(E2097,dicionario!$A$1:$C2496,2,0)</f>
        <v>Columbina picui </v>
      </c>
      <c r="H2097" s="6" t="str">
        <f>VLOOKUP(E2097,dicionario!$A$1:$C2496,3,0)</f>
        <v>rolinha-picuí</v>
      </c>
    </row>
    <row r="2098">
      <c r="A2098" s="3">
        <v>45603.0</v>
      </c>
      <c r="B2098" s="4">
        <v>0.27847222222222223</v>
      </c>
      <c r="C2098" s="5" t="s">
        <v>85</v>
      </c>
      <c r="D2098" s="5" t="s">
        <v>667</v>
      </c>
      <c r="E2098" s="6" t="s">
        <v>448</v>
      </c>
      <c r="F2098" s="5" t="s">
        <v>678</v>
      </c>
      <c r="G2098" s="6" t="str">
        <f>VLOOKUP(E2098,dicionario!$A$1:$C2497,2,0)</f>
        <v>Mechanitis polymnia</v>
      </c>
      <c r="H2098" s="6" t="str">
        <f>VLOOKUP(E2098,dicionario!$A$1:$C2497,3,0)</f>
        <v>maria-boba</v>
      </c>
    </row>
    <row r="2099">
      <c r="A2099" s="3">
        <v>45603.0</v>
      </c>
      <c r="B2099" s="4">
        <v>0.2791666666666667</v>
      </c>
      <c r="C2099" s="5" t="s">
        <v>85</v>
      </c>
      <c r="D2099" s="5" t="s">
        <v>667</v>
      </c>
      <c r="E2099" s="20" t="s">
        <v>631</v>
      </c>
      <c r="F2099" s="7" t="s">
        <v>632</v>
      </c>
      <c r="G2099" s="6" t="str">
        <f>VLOOKUP(E2099,dicionario!$A$1:$C2498,2,0)</f>
        <v>Chamaecrista nictitans</v>
      </c>
      <c r="H2099" s="6" t="str">
        <f>VLOOKUP(E2099,dicionario!$A$1:$C2498,3,0)</f>
        <v>falsa-dormideira</v>
      </c>
    </row>
    <row r="2100">
      <c r="A2100" s="3">
        <v>45603.0</v>
      </c>
      <c r="B2100" s="4">
        <v>0.2791666666666667</v>
      </c>
      <c r="C2100" s="5" t="s">
        <v>85</v>
      </c>
      <c r="D2100" s="5" t="s">
        <v>667</v>
      </c>
      <c r="E2100" s="6" t="s">
        <v>294</v>
      </c>
      <c r="F2100" s="7" t="s">
        <v>295</v>
      </c>
      <c r="G2100" s="6" t="str">
        <f>VLOOKUP(E2100,dicionario!$A$1:$C2499,2,0)</f>
        <v>Cycloneda sanguinea</v>
      </c>
      <c r="H2100" s="6" t="str">
        <f>VLOOKUP(E2100,dicionario!$A$1:$C2499,3,0)</f>
        <v>joaninha-sem-pintas</v>
      </c>
    </row>
    <row r="2101">
      <c r="A2101" s="3">
        <v>45603.0</v>
      </c>
      <c r="B2101" s="4">
        <v>0.2791666666666667</v>
      </c>
      <c r="C2101" s="5" t="s">
        <v>85</v>
      </c>
      <c r="D2101" s="5" t="s">
        <v>667</v>
      </c>
      <c r="E2101" s="6" t="s">
        <v>148</v>
      </c>
      <c r="F2101" s="7" t="s">
        <v>149</v>
      </c>
      <c r="G2101" s="6" t="str">
        <f>VLOOKUP(E2101,dicionario!$A$1:$C2500,2,0)</f>
        <v>Parthenium hysterophorus</v>
      </c>
      <c r="H2101" s="6" t="str">
        <f>VLOOKUP(E2101,dicionario!$A$1:$C2500,3,0)</f>
        <v>losna-branca</v>
      </c>
    </row>
    <row r="2102">
      <c r="A2102" s="3">
        <v>45603.0</v>
      </c>
      <c r="B2102" s="4">
        <v>0.2791666666666667</v>
      </c>
      <c r="C2102" s="5" t="s">
        <v>85</v>
      </c>
      <c r="D2102" s="5" t="s">
        <v>667</v>
      </c>
      <c r="E2102" s="6" t="s">
        <v>296</v>
      </c>
      <c r="F2102" s="7" t="s">
        <v>297</v>
      </c>
      <c r="G2102" s="6" t="str">
        <f>VLOOKUP(E2102,dicionario!$A$1:$C2501,2,0)</f>
        <v>Richardia brasiliensis</v>
      </c>
      <c r="H2102" s="6" t="str">
        <f>VLOOKUP(E2102,dicionario!$A$1:$C2501,3,0)</f>
        <v>poaia-branca</v>
      </c>
    </row>
    <row r="2103">
      <c r="A2103" s="3">
        <v>45603.0</v>
      </c>
      <c r="B2103" s="4">
        <v>0.2791666666666667</v>
      </c>
      <c r="C2103" s="5" t="s">
        <v>85</v>
      </c>
      <c r="D2103" s="5" t="s">
        <v>667</v>
      </c>
      <c r="E2103" s="6" t="s">
        <v>262</v>
      </c>
      <c r="F2103" s="7" t="s">
        <v>263</v>
      </c>
      <c r="G2103" s="6" t="str">
        <f>VLOOKUP(E2103,dicionario!$A$1:$C2502,2,0)</f>
        <v>Portulaca oleracea</v>
      </c>
      <c r="H2103" s="6" t="str">
        <f>VLOOKUP(E2103,dicionario!$A$1:$C2502,3,0)</f>
        <v>beldroega</v>
      </c>
    </row>
    <row r="2104">
      <c r="A2104" s="3">
        <v>45603.0</v>
      </c>
      <c r="B2104" s="4">
        <v>0.2791666666666667</v>
      </c>
      <c r="C2104" s="5" t="s">
        <v>85</v>
      </c>
      <c r="D2104" s="5" t="s">
        <v>667</v>
      </c>
      <c r="E2104" s="8" t="s">
        <v>195</v>
      </c>
      <c r="F2104" s="5" t="s">
        <v>679</v>
      </c>
      <c r="G2104" s="6" t="str">
        <f>VLOOKUP(E2104,dicionario!$A$1:$C2503,2,0)</f>
        <v>Priva lappulacea</v>
      </c>
      <c r="H2104" s="6" t="str">
        <f>VLOOKUP(E2104,dicionario!$A$1:$C2503,3,0)</f>
        <v>carrapicho</v>
      </c>
    </row>
    <row r="2105">
      <c r="A2105" s="3">
        <v>45603.0</v>
      </c>
      <c r="B2105" s="4">
        <v>0.2791666666666667</v>
      </c>
      <c r="C2105" s="5" t="s">
        <v>85</v>
      </c>
      <c r="D2105" s="5" t="s">
        <v>667</v>
      </c>
      <c r="E2105" s="8" t="s">
        <v>355</v>
      </c>
      <c r="F2105" s="5" t="s">
        <v>356</v>
      </c>
      <c r="G2105" s="6" t="str">
        <f>VLOOKUP(E2105,dicionario!$A$1:$C2504,2,0)</f>
        <v>Boerhavia diffusa</v>
      </c>
      <c r="H2105" s="6" t="str">
        <f>VLOOKUP(E2105,dicionario!$A$1:$C2504,3,0)</f>
        <v>erva-tostão</v>
      </c>
    </row>
    <row r="2106">
      <c r="A2106" s="3">
        <v>45603.0</v>
      </c>
      <c r="B2106" s="4">
        <v>0.2791666666666667</v>
      </c>
      <c r="C2106" s="5" t="s">
        <v>85</v>
      </c>
      <c r="D2106" s="5" t="s">
        <v>667</v>
      </c>
      <c r="E2106" s="6" t="s">
        <v>135</v>
      </c>
      <c r="F2106" s="7" t="s">
        <v>136</v>
      </c>
      <c r="G2106" s="6" t="str">
        <f>VLOOKUP(E2106,dicionario!$A$1:$C2505,2,0)</f>
        <v>Tridax procumbens</v>
      </c>
      <c r="H2106" s="6" t="str">
        <f>VLOOKUP(E2106,dicionario!$A$1:$C2505,3,0)</f>
        <v>erva-de-touro</v>
      </c>
    </row>
    <row r="2107">
      <c r="A2107" s="3">
        <v>45603.0</v>
      </c>
      <c r="B2107" s="4">
        <v>0.2791666666666667</v>
      </c>
      <c r="C2107" s="5" t="s">
        <v>85</v>
      </c>
      <c r="D2107" s="5" t="s">
        <v>667</v>
      </c>
      <c r="E2107" s="6" t="s">
        <v>239</v>
      </c>
      <c r="F2107" s="7" t="s">
        <v>240</v>
      </c>
      <c r="G2107" s="6" t="str">
        <f>VLOOKUP(E2107,dicionario!$A$1:$C2506,2,0)</f>
        <v>Gomphrena celosioides</v>
      </c>
      <c r="H2107" s="6" t="str">
        <f>VLOOKUP(E2107,dicionario!$A$1:$C2506,3,0)</f>
        <v>perpétua-branca</v>
      </c>
    </row>
    <row r="2108">
      <c r="A2108" s="3">
        <v>45603.0</v>
      </c>
      <c r="B2108" s="4">
        <v>0.2791666666666667</v>
      </c>
      <c r="C2108" s="5" t="s">
        <v>85</v>
      </c>
      <c r="D2108" s="5" t="s">
        <v>667</v>
      </c>
      <c r="E2108" s="6" t="s">
        <v>150</v>
      </c>
      <c r="F2108" s="7" t="s">
        <v>151</v>
      </c>
      <c r="G2108" s="6" t="str">
        <f>VLOOKUP(E2108,dicionario!$A$1:$C2507,2,0)</f>
        <v>Amaranthus viridis</v>
      </c>
      <c r="H2108" s="6" t="str">
        <f>VLOOKUP(E2108,dicionario!$A$1:$C2507,3,0)</f>
        <v>caruru-de-mancha</v>
      </c>
    </row>
    <row r="2109">
      <c r="A2109" s="3">
        <v>45603.0</v>
      </c>
      <c r="B2109" s="4">
        <v>0.2791666666666667</v>
      </c>
      <c r="C2109" s="5" t="s">
        <v>85</v>
      </c>
      <c r="D2109" s="5" t="s">
        <v>667</v>
      </c>
      <c r="E2109" s="6" t="s">
        <v>288</v>
      </c>
      <c r="F2109" s="7" t="s">
        <v>289</v>
      </c>
      <c r="G2109" s="6" t="str">
        <f>VLOOKUP(E2109,dicionario!$A$1:$C2508,2,0)</f>
        <v>Phyllanthus tenellus</v>
      </c>
      <c r="H2109" s="6" t="str">
        <f>VLOOKUP(E2109,dicionario!$A$1:$C2508,3,0)</f>
        <v>quebra-pedra</v>
      </c>
    </row>
    <row r="2110">
      <c r="A2110" s="3">
        <v>45603.0</v>
      </c>
      <c r="B2110" s="4">
        <v>0.2791666666666667</v>
      </c>
      <c r="C2110" s="5" t="s">
        <v>85</v>
      </c>
      <c r="D2110" s="5" t="s">
        <v>667</v>
      </c>
      <c r="E2110" s="6" t="s">
        <v>425</v>
      </c>
      <c r="F2110" s="7" t="s">
        <v>426</v>
      </c>
      <c r="G2110" s="6" t="str">
        <f>VLOOKUP(E2110,dicionario!$A$1:$C2509,2,0)</f>
        <v>Digitaria insularis</v>
      </c>
      <c r="H2110" s="6" t="str">
        <f>VLOOKUP(E2110,dicionario!$A$1:$C2509,3,0)</f>
        <v>capim-amargoso</v>
      </c>
    </row>
    <row r="2111">
      <c r="A2111" s="3">
        <v>45603.0</v>
      </c>
      <c r="B2111" s="4">
        <v>0.2791666666666667</v>
      </c>
      <c r="C2111" s="5" t="s">
        <v>85</v>
      </c>
      <c r="D2111" s="5" t="s">
        <v>667</v>
      </c>
      <c r="E2111" s="6" t="s">
        <v>680</v>
      </c>
      <c r="F2111" s="7" t="s">
        <v>414</v>
      </c>
      <c r="G2111" s="6" t="str">
        <f>VLOOKUP(E2111,dicionario!$A$1:$C2510,2,0)</f>
        <v>Orphulella punctata</v>
      </c>
      <c r="H2111" s="6" t="str">
        <f>VLOOKUP(E2111,dicionario!$A$1:$C2510,3,0)</f>
        <v>gafanhotinho</v>
      </c>
    </row>
    <row r="2112">
      <c r="A2112" s="3">
        <v>45603.0</v>
      </c>
      <c r="B2112" s="4">
        <v>0.2791666666666667</v>
      </c>
      <c r="C2112" s="5" t="s">
        <v>85</v>
      </c>
      <c r="D2112" s="5" t="s">
        <v>667</v>
      </c>
      <c r="E2112" s="6" t="s">
        <v>144</v>
      </c>
      <c r="F2112" s="7" t="s">
        <v>145</v>
      </c>
      <c r="G2112" s="6" t="str">
        <f>VLOOKUP(E2112,dicionario!$A$1:$C2511,2,0)</f>
        <v>Gomphrena globosa</v>
      </c>
      <c r="H2112" s="6" t="str">
        <f>VLOOKUP(E2112,dicionario!$A$1:$C2511,3,0)</f>
        <v>perpétua-rosa</v>
      </c>
    </row>
    <row r="2113">
      <c r="A2113" s="3">
        <v>45603.0</v>
      </c>
      <c r="B2113" s="4">
        <v>0.28055555555555556</v>
      </c>
      <c r="C2113" s="5" t="s">
        <v>85</v>
      </c>
      <c r="D2113" s="5" t="s">
        <v>667</v>
      </c>
      <c r="E2113" s="6" t="s">
        <v>525</v>
      </c>
      <c r="F2113" s="5" t="s">
        <v>494</v>
      </c>
      <c r="G2113" s="6" t="str">
        <f>VLOOKUP(E2113,dicionario!$A$1:$C2512,2,0)</f>
        <v>#N/A</v>
      </c>
      <c r="H2113" s="6" t="str">
        <f>VLOOKUP(E2113,dicionario!$A$1:$C2512,3,0)</f>
        <v>#N/A</v>
      </c>
    </row>
    <row r="2114">
      <c r="A2114" s="3">
        <v>45603.0</v>
      </c>
      <c r="B2114" s="4">
        <v>0.28055555555555556</v>
      </c>
      <c r="C2114" s="5" t="s">
        <v>85</v>
      </c>
      <c r="D2114" s="5" t="s">
        <v>667</v>
      </c>
      <c r="E2114" s="6" t="s">
        <v>681</v>
      </c>
      <c r="F2114" s="7" t="s">
        <v>301</v>
      </c>
      <c r="G2114" s="6" t="str">
        <f>VLOOKUP(E2114,dicionario!$A$1:$C2513,2,0)</f>
        <v>#N/A</v>
      </c>
      <c r="H2114" s="6" t="str">
        <f>VLOOKUP(E2114,dicionario!$A$1:$C2513,3,0)</f>
        <v>#N/A</v>
      </c>
    </row>
    <row r="2115">
      <c r="A2115" s="3">
        <v>45603.0</v>
      </c>
      <c r="B2115" s="4">
        <v>0.28055555555555556</v>
      </c>
      <c r="C2115" s="5" t="s">
        <v>85</v>
      </c>
      <c r="D2115" s="5" t="s">
        <v>667</v>
      </c>
      <c r="E2115" s="6" t="s">
        <v>613</v>
      </c>
      <c r="F2115" s="7" t="s">
        <v>614</v>
      </c>
      <c r="G2115" s="6" t="str">
        <f>VLOOKUP(E2115,dicionario!$A$1:$C2514,2,0)</f>
        <v>Euphorbia hyssopifolia</v>
      </c>
      <c r="H2115" s="6" t="str">
        <f>VLOOKUP(E2115,dicionario!$A$1:$C2514,3,0)</f>
        <v>maria-leite</v>
      </c>
    </row>
    <row r="2116">
      <c r="A2116" s="3">
        <v>45603.0</v>
      </c>
      <c r="B2116" s="4">
        <v>0.28194444444444444</v>
      </c>
      <c r="C2116" s="5" t="s">
        <v>85</v>
      </c>
      <c r="D2116" s="5" t="s">
        <v>667</v>
      </c>
      <c r="E2116" s="6" t="s">
        <v>682</v>
      </c>
      <c r="F2116" s="7" t="s">
        <v>683</v>
      </c>
      <c r="G2116" s="6" t="str">
        <f>VLOOKUP(E2116,dicionario!$A$1:$C2515,2,0)</f>
        <v>Lagria villosa</v>
      </c>
      <c r="H2116" s="6" t="str">
        <f>VLOOKUP(E2116,dicionario!$A$1:$C2515,3,0)</f>
        <v>bicho-capixaba</v>
      </c>
    </row>
    <row r="2117">
      <c r="A2117" s="3">
        <v>45603.0</v>
      </c>
      <c r="B2117" s="4">
        <v>0.28194444444444444</v>
      </c>
      <c r="C2117" s="5" t="s">
        <v>85</v>
      </c>
      <c r="D2117" s="5" t="s">
        <v>667</v>
      </c>
      <c r="E2117" s="6" t="s">
        <v>154</v>
      </c>
      <c r="F2117" s="7" t="s">
        <v>155</v>
      </c>
      <c r="G2117" s="6" t="str">
        <f>VLOOKUP(E2117,dicionario!$A$1:$C2516,2,0)</f>
        <v>Cyperus rotundus</v>
      </c>
      <c r="H2117" s="6" t="str">
        <f>VLOOKUP(E2117,dicionario!$A$1:$C2516,3,0)</f>
        <v>tiririca</v>
      </c>
    </row>
    <row r="2118">
      <c r="A2118" s="3">
        <v>45603.0</v>
      </c>
      <c r="B2118" s="4">
        <v>0.28194444444444444</v>
      </c>
      <c r="C2118" s="5" t="s">
        <v>85</v>
      </c>
      <c r="D2118" s="5" t="s">
        <v>667</v>
      </c>
      <c r="E2118" s="6" t="s">
        <v>69</v>
      </c>
      <c r="F2118" s="7" t="s">
        <v>71</v>
      </c>
      <c r="G2118" s="6" t="str">
        <f>VLOOKUP(E2118,dicionario!$A$1:$C2517,2,0)</f>
        <v>Talinum fruticosum</v>
      </c>
      <c r="H2118" s="6" t="str">
        <f>VLOOKUP(E2118,dicionario!$A$1:$C2517,3,0)</f>
        <v>beldroega-grande</v>
      </c>
    </row>
    <row r="2119">
      <c r="A2119" s="3">
        <v>45603.0</v>
      </c>
      <c r="B2119" s="4">
        <v>0.28194444444444444</v>
      </c>
      <c r="C2119" s="5" t="s">
        <v>85</v>
      </c>
      <c r="D2119" s="5" t="s">
        <v>667</v>
      </c>
      <c r="E2119" s="6" t="s">
        <v>103</v>
      </c>
      <c r="F2119" s="7" t="s">
        <v>104</v>
      </c>
      <c r="G2119" s="6" t="str">
        <f>VLOOKUP(E2119,dicionario!$A$1:$C2518,2,0)</f>
        <v>Caracara plancus</v>
      </c>
      <c r="H2119" s="6" t="str">
        <f>VLOOKUP(E2119,dicionario!$A$1:$C2518,3,0)</f>
        <v>carcará </v>
      </c>
    </row>
    <row r="2120">
      <c r="A2120" s="3">
        <v>45603.0</v>
      </c>
      <c r="B2120" s="4">
        <v>0.2826388888888889</v>
      </c>
      <c r="C2120" s="5" t="s">
        <v>85</v>
      </c>
      <c r="D2120" s="5" t="s">
        <v>667</v>
      </c>
      <c r="E2120" s="6" t="s">
        <v>227</v>
      </c>
      <c r="F2120" s="7" t="s">
        <v>228</v>
      </c>
      <c r="G2120" s="6" t="str">
        <f>VLOOKUP(E2120,dicionario!$A$1:$C2519,2,0)</f>
        <v>Indigofera hirsuta</v>
      </c>
      <c r="H2120" s="6" t="str">
        <f>VLOOKUP(E2120,dicionario!$A$1:$C2519,3,0)</f>
        <v>anileira</v>
      </c>
    </row>
    <row r="2121">
      <c r="A2121" s="3">
        <v>45603.0</v>
      </c>
      <c r="B2121" s="4">
        <v>0.2826388888888889</v>
      </c>
      <c r="C2121" s="5" t="s">
        <v>85</v>
      </c>
      <c r="D2121" s="5" t="s">
        <v>667</v>
      </c>
      <c r="E2121" s="6" t="s">
        <v>247</v>
      </c>
      <c r="F2121" s="7" t="s">
        <v>387</v>
      </c>
      <c r="G2121" s="6" t="str">
        <f>VLOOKUP(E2121,dicionario!$A$1:$C2520,2,0)</f>
        <v>Emilia sonchifolia</v>
      </c>
      <c r="H2121" s="6" t="str">
        <f>VLOOKUP(E2121,dicionario!$A$1:$C2520,3,0)</f>
        <v>serralinha</v>
      </c>
    </row>
    <row r="2122">
      <c r="A2122" s="3">
        <v>45603.0</v>
      </c>
      <c r="B2122" s="4">
        <v>0.28402777777777777</v>
      </c>
      <c r="C2122" s="5" t="s">
        <v>76</v>
      </c>
      <c r="D2122" s="5" t="s">
        <v>667</v>
      </c>
      <c r="E2122" s="6" t="s">
        <v>684</v>
      </c>
      <c r="F2122" s="7" t="s">
        <v>685</v>
      </c>
      <c r="G2122" s="6" t="str">
        <f>VLOOKUP(E2122,dicionario!$A$1:$C2521,2,0)</f>
        <v>Columbina squammata</v>
      </c>
      <c r="H2122" s="6" t="str">
        <f>VLOOKUP(E2122,dicionario!$A$1:$C2521,3,0)</f>
        <v>rolinha-fogo-apagou</v>
      </c>
    </row>
    <row r="2123">
      <c r="A2123" s="3">
        <v>45603.0</v>
      </c>
      <c r="B2123" s="4">
        <v>0.2847222222222222</v>
      </c>
      <c r="C2123" s="5" t="s">
        <v>76</v>
      </c>
      <c r="D2123" s="5" t="s">
        <v>667</v>
      </c>
      <c r="E2123" s="6" t="s">
        <v>296</v>
      </c>
      <c r="F2123" s="7" t="s">
        <v>297</v>
      </c>
      <c r="G2123" s="6" t="str">
        <f>VLOOKUP(E2123,dicionario!$A$1:$C2522,2,0)</f>
        <v>Richardia brasiliensis</v>
      </c>
      <c r="H2123" s="6" t="str">
        <f>VLOOKUP(E2123,dicionario!$A$1:$C2522,3,0)</f>
        <v>poaia-branca</v>
      </c>
    </row>
    <row r="2124">
      <c r="A2124" s="3">
        <v>45603.0</v>
      </c>
      <c r="B2124" s="4">
        <v>0.2847222222222222</v>
      </c>
      <c r="C2124" s="5" t="s">
        <v>76</v>
      </c>
      <c r="D2124" s="5" t="s">
        <v>667</v>
      </c>
      <c r="E2124" s="6" t="s">
        <v>282</v>
      </c>
      <c r="F2124" s="7" t="s">
        <v>283</v>
      </c>
      <c r="G2124" s="6" t="str">
        <f>VLOOKUP(E2124,dicionario!$A$1:$C2523,2,0)</f>
        <v>#N/A</v>
      </c>
      <c r="H2124" s="6" t="str">
        <f>VLOOKUP(E2124,dicionario!$A$1:$C2523,3,0)</f>
        <v>#N/A</v>
      </c>
    </row>
    <row r="2125">
      <c r="A2125" s="3">
        <v>45603.0</v>
      </c>
      <c r="B2125" s="4">
        <v>0.2847222222222222</v>
      </c>
      <c r="C2125" s="5" t="s">
        <v>76</v>
      </c>
      <c r="D2125" s="5" t="s">
        <v>667</v>
      </c>
      <c r="E2125" s="8" t="s">
        <v>355</v>
      </c>
      <c r="F2125" s="5" t="s">
        <v>356</v>
      </c>
      <c r="G2125" s="6" t="str">
        <f>VLOOKUP(E2125,dicionario!$A$1:$C2524,2,0)</f>
        <v>Boerhavia diffusa</v>
      </c>
      <c r="H2125" s="6" t="str">
        <f>VLOOKUP(E2125,dicionario!$A$1:$C2524,3,0)</f>
        <v>erva-tostão</v>
      </c>
    </row>
    <row r="2126">
      <c r="A2126" s="3">
        <v>45603.0</v>
      </c>
      <c r="B2126" s="4">
        <v>0.2847222222222222</v>
      </c>
      <c r="C2126" s="5" t="s">
        <v>76</v>
      </c>
      <c r="D2126" s="5" t="s">
        <v>667</v>
      </c>
      <c r="E2126" s="6" t="s">
        <v>150</v>
      </c>
      <c r="F2126" s="7" t="s">
        <v>151</v>
      </c>
      <c r="G2126" s="6" t="str">
        <f>VLOOKUP(E2126,dicionario!$A$1:$C2525,2,0)</f>
        <v>Amaranthus viridis</v>
      </c>
      <c r="H2126" s="6" t="str">
        <f>VLOOKUP(E2126,dicionario!$A$1:$C2525,3,0)</f>
        <v>caruru-de-mancha</v>
      </c>
    </row>
    <row r="2127">
      <c r="A2127" s="3">
        <v>45603.0</v>
      </c>
      <c r="B2127" s="4">
        <v>0.2847222222222222</v>
      </c>
      <c r="C2127" s="5" t="s">
        <v>76</v>
      </c>
      <c r="D2127" s="5" t="s">
        <v>667</v>
      </c>
      <c r="E2127" s="6" t="s">
        <v>686</v>
      </c>
      <c r="F2127" s="5" t="s">
        <v>687</v>
      </c>
      <c r="G2127" s="6" t="str">
        <f>VLOOKUP(E2127,dicionario!$A$1:$C2526,2,0)</f>
        <v>#N/A</v>
      </c>
      <c r="H2127" s="6" t="str">
        <f>VLOOKUP(E2127,dicionario!$A$1:$C2526,3,0)</f>
        <v>#N/A</v>
      </c>
    </row>
    <row r="2128">
      <c r="A2128" s="3">
        <v>45603.0</v>
      </c>
      <c r="B2128" s="4">
        <v>0.2847222222222222</v>
      </c>
      <c r="C2128" s="5" t="s">
        <v>76</v>
      </c>
      <c r="D2128" s="5" t="s">
        <v>667</v>
      </c>
      <c r="E2128" s="6" t="s">
        <v>103</v>
      </c>
      <c r="F2128" s="7" t="s">
        <v>104</v>
      </c>
      <c r="G2128" s="6" t="str">
        <f>VLOOKUP(E2128,dicionario!$A$1:$C2527,2,0)</f>
        <v>Caracara plancus</v>
      </c>
      <c r="H2128" s="6" t="str">
        <f>VLOOKUP(E2128,dicionario!$A$1:$C2527,3,0)</f>
        <v>carcará </v>
      </c>
    </row>
    <row r="2129">
      <c r="A2129" s="3">
        <v>45603.0</v>
      </c>
      <c r="B2129" s="4">
        <v>0.28541666666666665</v>
      </c>
      <c r="C2129" s="5" t="s">
        <v>76</v>
      </c>
      <c r="D2129" s="5" t="s">
        <v>667</v>
      </c>
      <c r="E2129" s="6" t="s">
        <v>20</v>
      </c>
      <c r="F2129" s="7" t="s">
        <v>21</v>
      </c>
      <c r="G2129" s="6" t="str">
        <f>VLOOKUP(E2129,dicionario!$A$1:$C2528,2,0)</f>
        <v>Sicalis flaveola</v>
      </c>
      <c r="H2129" s="6" t="str">
        <f>VLOOKUP(E2129,dicionario!$A$1:$C2528,3,0)</f>
        <v>canário-da-terra</v>
      </c>
    </row>
    <row r="2130">
      <c r="A2130" s="3">
        <v>45603.0</v>
      </c>
      <c r="B2130" s="4">
        <v>0.28541666666666665</v>
      </c>
      <c r="C2130" s="5" t="s">
        <v>76</v>
      </c>
      <c r="D2130" s="5" t="s">
        <v>667</v>
      </c>
      <c r="E2130" s="8" t="s">
        <v>139</v>
      </c>
      <c r="F2130" s="7" t="s">
        <v>140</v>
      </c>
      <c r="G2130" s="6" t="str">
        <f>VLOOKUP(E2130,dicionario!$A$1:$C2529,2,0)</f>
        <v>Tropidurus torquatus</v>
      </c>
      <c r="H2130" s="6" t="str">
        <f>VLOOKUP(E2130,dicionario!$A$1:$C2529,3,0)</f>
        <v>calango; tropiduro-comum</v>
      </c>
    </row>
    <row r="2131">
      <c r="A2131" s="3">
        <v>45603.0</v>
      </c>
      <c r="B2131" s="4">
        <v>0.28541666666666665</v>
      </c>
      <c r="C2131" s="5" t="s">
        <v>76</v>
      </c>
      <c r="D2131" s="5" t="s">
        <v>667</v>
      </c>
      <c r="E2131" s="6" t="s">
        <v>48</v>
      </c>
      <c r="F2131" s="7" t="s">
        <v>49</v>
      </c>
      <c r="G2131" s="6" t="str">
        <f>VLOOKUP(E2131,dicionario!$A$1:$C2530,2,0)</f>
        <v>Commelina erecta</v>
      </c>
      <c r="H2131" s="6" t="str">
        <f>VLOOKUP(E2131,dicionario!$A$1:$C2530,3,0)</f>
        <v>trapoeraba</v>
      </c>
    </row>
    <row r="2132">
      <c r="A2132" s="3">
        <v>45603.0</v>
      </c>
      <c r="B2132" s="4">
        <v>0.28541666666666665</v>
      </c>
      <c r="C2132" s="5" t="s">
        <v>76</v>
      </c>
      <c r="D2132" s="5" t="s">
        <v>667</v>
      </c>
      <c r="E2132" s="6" t="s">
        <v>65</v>
      </c>
      <c r="F2132" s="7" t="s">
        <v>66</v>
      </c>
      <c r="G2132" s="6" t="str">
        <f>VLOOKUP(E2132,dicionario!$A$1:$C2531,2,0)</f>
        <v>Pitangus sulphutarus</v>
      </c>
      <c r="H2132" s="6" t="str">
        <f>VLOOKUP(E2132,dicionario!$A$1:$C2531,3,0)</f>
        <v>bem-te-vi</v>
      </c>
    </row>
    <row r="2133">
      <c r="A2133" s="3">
        <v>45603.0</v>
      </c>
      <c r="B2133" s="4">
        <v>0.28541666666666665</v>
      </c>
      <c r="C2133" s="5" t="s">
        <v>76</v>
      </c>
      <c r="D2133" s="5" t="s">
        <v>667</v>
      </c>
      <c r="E2133" s="6" t="s">
        <v>109</v>
      </c>
      <c r="F2133" s="7" t="s">
        <v>110</v>
      </c>
      <c r="G2133" s="6" t="str">
        <f>VLOOKUP(E2133,dicionario!$A$1:$C2532,2,0)</f>
        <v>Tillandsia stricta</v>
      </c>
      <c r="H2133" s="6" t="str">
        <f>VLOOKUP(E2133,dicionario!$A$1:$C2532,3,0)</f>
        <v>cravo-do-mato</v>
      </c>
    </row>
    <row r="2134">
      <c r="A2134" s="3">
        <v>45603.0</v>
      </c>
      <c r="B2134" s="4">
        <v>0.2861111111111111</v>
      </c>
      <c r="C2134" s="5" t="s">
        <v>76</v>
      </c>
      <c r="D2134" s="5" t="s">
        <v>667</v>
      </c>
      <c r="E2134" s="6" t="s">
        <v>141</v>
      </c>
      <c r="F2134" s="7" t="s">
        <v>142</v>
      </c>
      <c r="G2134" s="6" t="str">
        <f>VLOOKUP(E2134,dicionario!$A$1:$C2533,2,0)</f>
        <v>Ruellia blechum</v>
      </c>
      <c r="H2134" s="6" t="str">
        <f>VLOOKUP(E2134,dicionario!$A$1:$C2533,3,0)</f>
        <v>camarão-verde</v>
      </c>
    </row>
    <row r="2135">
      <c r="A2135" s="3">
        <v>45603.0</v>
      </c>
      <c r="B2135" s="4">
        <v>0.2861111111111111</v>
      </c>
      <c r="C2135" s="5" t="s">
        <v>76</v>
      </c>
      <c r="D2135" s="5" t="s">
        <v>667</v>
      </c>
      <c r="E2135" s="6" t="s">
        <v>146</v>
      </c>
      <c r="F2135" s="7" t="s">
        <v>147</v>
      </c>
      <c r="G2135" s="6" t="str">
        <f>VLOOKUP(E2135,dicionario!$A$1:$C2534,2,0)</f>
        <v>Euphorbia hirta</v>
      </c>
      <c r="H2135" s="6" t="str">
        <f>VLOOKUP(E2135,dicionario!$A$1:$C2534,3,0)</f>
        <v>erva-de-santa-luzia</v>
      </c>
    </row>
    <row r="2136">
      <c r="A2136" s="3">
        <v>45603.0</v>
      </c>
      <c r="B2136" s="4">
        <v>0.2861111111111111</v>
      </c>
      <c r="C2136" s="5" t="s">
        <v>76</v>
      </c>
      <c r="D2136" s="5" t="s">
        <v>667</v>
      </c>
      <c r="E2136" s="6" t="s">
        <v>171</v>
      </c>
      <c r="F2136" s="7" t="s">
        <v>172</v>
      </c>
      <c r="G2136" s="6" t="str">
        <f>VLOOKUP(E2136,dicionario!$A$1:$C2535,2,0)</f>
        <v>Oxalis corniculata</v>
      </c>
      <c r="H2136" s="6" t="str">
        <f>VLOOKUP(E2136,dicionario!$A$1:$C2535,3,0)</f>
        <v>trevo-azedinho</v>
      </c>
    </row>
    <row r="2137">
      <c r="A2137" s="3">
        <v>45603.0</v>
      </c>
      <c r="B2137" s="4">
        <v>0.2861111111111111</v>
      </c>
      <c r="C2137" s="5" t="s">
        <v>76</v>
      </c>
      <c r="D2137" s="5" t="s">
        <v>667</v>
      </c>
      <c r="E2137" s="6" t="s">
        <v>181</v>
      </c>
      <c r="F2137" s="7" t="s">
        <v>182</v>
      </c>
      <c r="G2137" s="6" t="str">
        <f>VLOOKUP(E2137,dicionario!$A$1:$C2536,2,0)</f>
        <v>#N/A</v>
      </c>
      <c r="H2137" s="6" t="str">
        <f>VLOOKUP(E2137,dicionario!$A$1:$C2536,3,0)</f>
        <v>#N/A</v>
      </c>
    </row>
    <row r="2138">
      <c r="A2138" s="3">
        <v>45603.0</v>
      </c>
      <c r="B2138" s="4">
        <v>0.2861111111111111</v>
      </c>
      <c r="C2138" s="5" t="s">
        <v>76</v>
      </c>
      <c r="D2138" s="5" t="s">
        <v>667</v>
      </c>
      <c r="E2138" s="8" t="s">
        <v>564</v>
      </c>
      <c r="F2138" s="7" t="s">
        <v>565</v>
      </c>
      <c r="G2138" s="6" t="str">
        <f>VLOOKUP(E2138,dicionario!$A$1:$C2537,2,0)</f>
        <v>Strymon</v>
      </c>
      <c r="H2138" s="6" t="str">
        <f>VLOOKUP(E2138,dicionario!$A$1:$C2537,3,0)</f>
        <v>borboletinha que mexe a asinha</v>
      </c>
    </row>
    <row r="2139">
      <c r="A2139" s="3">
        <v>45603.0</v>
      </c>
      <c r="B2139" s="4">
        <v>0.28680555555555554</v>
      </c>
      <c r="C2139" s="5" t="s">
        <v>76</v>
      </c>
      <c r="D2139" s="5" t="s">
        <v>667</v>
      </c>
      <c r="E2139" s="6" t="s">
        <v>150</v>
      </c>
      <c r="F2139" s="7" t="s">
        <v>151</v>
      </c>
      <c r="G2139" s="6" t="str">
        <f>VLOOKUP(E2139,dicionario!$A$1:$C2538,2,0)</f>
        <v>Amaranthus viridis</v>
      </c>
      <c r="H2139" s="6" t="str">
        <f>VLOOKUP(E2139,dicionario!$A$1:$C2538,3,0)</f>
        <v>caruru-de-mancha</v>
      </c>
    </row>
    <row r="2140">
      <c r="A2140" s="3">
        <v>45603.0</v>
      </c>
      <c r="B2140" s="4">
        <v>0.2875</v>
      </c>
      <c r="C2140" s="5" t="s">
        <v>76</v>
      </c>
      <c r="D2140" s="5" t="s">
        <v>667</v>
      </c>
      <c r="E2140" s="6" t="s">
        <v>163</v>
      </c>
      <c r="F2140" s="7" t="s">
        <v>164</v>
      </c>
      <c r="G2140" s="6" t="str">
        <f>VLOOKUP(E2140,dicionario!$A$1:$C2539,2,0)</f>
        <v>Coragyps atratus</v>
      </c>
      <c r="H2140" s="6" t="str">
        <f>VLOOKUP(E2140,dicionario!$A$1:$C2539,3,0)</f>
        <v>urubu-de-cabeça-preta</v>
      </c>
    </row>
    <row r="2141">
      <c r="A2141" s="3">
        <v>45603.0</v>
      </c>
      <c r="B2141" s="4">
        <v>0.2875</v>
      </c>
      <c r="C2141" s="5" t="s">
        <v>76</v>
      </c>
      <c r="D2141" s="5" t="s">
        <v>667</v>
      </c>
      <c r="E2141" s="18" t="s">
        <v>275</v>
      </c>
      <c r="F2141" s="7" t="s">
        <v>276</v>
      </c>
      <c r="G2141" s="6" t="str">
        <f>VLOOKUP(E2141,dicionario!$A$1:$C2540,2,0)</f>
        <v>Bidens pilosa</v>
      </c>
      <c r="H2141" s="6" t="str">
        <f>VLOOKUP(E2141,dicionario!$A$1:$C2540,3,0)</f>
        <v>picão-preto</v>
      </c>
    </row>
    <row r="2142">
      <c r="A2142" s="3">
        <v>45603.0</v>
      </c>
      <c r="B2142" s="4">
        <v>0.2875</v>
      </c>
      <c r="C2142" s="5" t="s">
        <v>76</v>
      </c>
      <c r="D2142" s="5" t="s">
        <v>667</v>
      </c>
      <c r="E2142" s="18" t="s">
        <v>611</v>
      </c>
      <c r="F2142" s="7" t="s">
        <v>612</v>
      </c>
      <c r="G2142" s="6" t="str">
        <f>VLOOKUP(E2142,dicionario!$A$1:$C2541,2,0)</f>
        <v>Boehmeria cylindrica</v>
      </c>
      <c r="H2142" s="6" t="str">
        <f>VLOOKUP(E2142,dicionario!$A$1:$C2541,3,0)</f>
        <v>falsa-urtiga</v>
      </c>
    </row>
    <row r="2143">
      <c r="A2143" s="3">
        <v>45603.0</v>
      </c>
      <c r="B2143" s="4">
        <v>0.2875</v>
      </c>
      <c r="C2143" s="5" t="s">
        <v>76</v>
      </c>
      <c r="D2143" s="5" t="s">
        <v>667</v>
      </c>
      <c r="E2143" s="8" t="s">
        <v>504</v>
      </c>
      <c r="F2143" s="5" t="s">
        <v>534</v>
      </c>
      <c r="G2143" s="6" t="str">
        <f>VLOOKUP(E2143,dicionario!$A$1:$C2542,2,0)</f>
        <v>Cleome aculeata</v>
      </c>
      <c r="H2143" s="6" t="str">
        <f>VLOOKUP(E2143,dicionario!$A$1:$C2542,3,0)</f>
        <v>cleome</v>
      </c>
    </row>
    <row r="2144">
      <c r="A2144" s="3">
        <v>45603.0</v>
      </c>
      <c r="B2144" s="4">
        <v>0.2881944444444444</v>
      </c>
      <c r="C2144" s="5" t="s">
        <v>76</v>
      </c>
      <c r="D2144" s="5" t="s">
        <v>667</v>
      </c>
      <c r="E2144" s="6" t="s">
        <v>550</v>
      </c>
      <c r="F2144" s="7" t="s">
        <v>551</v>
      </c>
      <c r="G2144" s="6" t="str">
        <f>VLOOKUP(E2144,dicionario!$A$1:$C2543,2,0)</f>
        <v>#N/A</v>
      </c>
      <c r="H2144" s="6" t="str">
        <f>VLOOKUP(E2144,dicionario!$A$1:$C2543,3,0)</f>
        <v>#N/A</v>
      </c>
    </row>
    <row r="2145">
      <c r="A2145" s="3">
        <v>45603.0</v>
      </c>
      <c r="B2145" s="4">
        <v>0.2881944444444444</v>
      </c>
      <c r="C2145" s="5" t="s">
        <v>76</v>
      </c>
      <c r="D2145" s="5" t="s">
        <v>667</v>
      </c>
      <c r="E2145" s="6" t="s">
        <v>262</v>
      </c>
      <c r="F2145" s="7" t="s">
        <v>263</v>
      </c>
      <c r="G2145" s="6" t="str">
        <f>VLOOKUP(E2145,dicionario!$A$1:$C2544,2,0)</f>
        <v>Portulaca oleracea</v>
      </c>
      <c r="H2145" s="6" t="str">
        <f>VLOOKUP(E2145,dicionario!$A$1:$C2544,3,0)</f>
        <v>beldroega</v>
      </c>
    </row>
    <row r="2146">
      <c r="A2146" s="3">
        <v>45603.0</v>
      </c>
      <c r="B2146" s="4">
        <v>0.2881944444444444</v>
      </c>
      <c r="C2146" s="5" t="s">
        <v>76</v>
      </c>
      <c r="D2146" s="5" t="s">
        <v>667</v>
      </c>
      <c r="E2146" s="6" t="s">
        <v>688</v>
      </c>
      <c r="F2146" s="7" t="s">
        <v>121</v>
      </c>
      <c r="G2146" s="6" t="str">
        <f>VLOOKUP(E2146,dicionario!$A$1:$C2545,2,0)</f>
        <v>Fidicina</v>
      </c>
      <c r="H2146" s="6" t="str">
        <f>VLOOKUP(E2146,dicionario!$A$1:$C2545,3,0)</f>
        <v>cigarra</v>
      </c>
    </row>
    <row r="2147">
      <c r="A2147" s="3">
        <v>45603.0</v>
      </c>
      <c r="B2147" s="4">
        <v>0.2881944444444444</v>
      </c>
      <c r="C2147" s="5" t="s">
        <v>76</v>
      </c>
      <c r="D2147" s="5" t="s">
        <v>667</v>
      </c>
      <c r="E2147" s="8" t="s">
        <v>288</v>
      </c>
      <c r="F2147" s="5" t="s">
        <v>289</v>
      </c>
      <c r="G2147" s="6" t="str">
        <f>VLOOKUP(E2147,dicionario!$A$1:$C2546,2,0)</f>
        <v>Phyllanthus tenellus</v>
      </c>
      <c r="H2147" s="6" t="str">
        <f>VLOOKUP(E2147,dicionario!$A$1:$C2546,3,0)</f>
        <v>quebra-pedra</v>
      </c>
    </row>
    <row r="2148">
      <c r="A2148" s="3">
        <v>45603.0</v>
      </c>
      <c r="B2148" s="4">
        <v>0.2881944444444444</v>
      </c>
      <c r="C2148" s="5" t="s">
        <v>76</v>
      </c>
      <c r="D2148" s="5" t="s">
        <v>667</v>
      </c>
      <c r="E2148" s="6" t="s">
        <v>483</v>
      </c>
      <c r="F2148" s="7" t="s">
        <v>484</v>
      </c>
      <c r="G2148" s="6" t="str">
        <f>VLOOKUP(E2148,dicionario!$A$1:$C2547,2,0)</f>
        <v>Euphorbia prostrata</v>
      </c>
      <c r="H2148" s="6" t="str">
        <f>VLOOKUP(E2148,dicionario!$A$1:$C2547,3,0)</f>
        <v>quebra-pedra-rasteira</v>
      </c>
    </row>
    <row r="2149">
      <c r="A2149" s="3">
        <v>45603.0</v>
      </c>
      <c r="B2149" s="4">
        <v>0.2881944444444444</v>
      </c>
      <c r="C2149" s="5" t="s">
        <v>76</v>
      </c>
      <c r="D2149" s="5" t="s">
        <v>667</v>
      </c>
      <c r="E2149" s="6" t="s">
        <v>473</v>
      </c>
      <c r="F2149" s="7" t="s">
        <v>474</v>
      </c>
      <c r="G2149" s="6" t="str">
        <f>VLOOKUP(E2149,dicionario!$A$1:$C2548,2,0)</f>
        <v>Turdus rufiventris</v>
      </c>
      <c r="H2149" s="6" t="str">
        <f>VLOOKUP(E2149,dicionario!$A$1:$C2548,3,0)</f>
        <v>sabiá-laranjeira</v>
      </c>
    </row>
    <row r="2150">
      <c r="A2150" s="3">
        <v>45603.0</v>
      </c>
      <c r="B2150" s="4">
        <v>0.2881944444444444</v>
      </c>
      <c r="C2150" s="5" t="s">
        <v>76</v>
      </c>
      <c r="D2150" s="5" t="s">
        <v>667</v>
      </c>
      <c r="E2150" s="6" t="s">
        <v>390</v>
      </c>
      <c r="F2150" s="7" t="s">
        <v>391</v>
      </c>
      <c r="G2150" s="6" t="str">
        <f>VLOOKUP(E2150,dicionario!$A$1:$C2549,2,0)</f>
        <v>Oxalis barrelieri</v>
      </c>
      <c r="H2150" s="6" t="str">
        <f>VLOOKUP(E2150,dicionario!$A$1:$C2549,3,0)</f>
        <v>erva-azeda; azedinha </v>
      </c>
    </row>
    <row r="2151">
      <c r="A2151" s="3">
        <v>45603.0</v>
      </c>
      <c r="B2151" s="4">
        <v>0.28888888888888886</v>
      </c>
      <c r="C2151" s="5" t="s">
        <v>76</v>
      </c>
      <c r="D2151" s="5" t="s">
        <v>667</v>
      </c>
      <c r="E2151" s="8" t="s">
        <v>535</v>
      </c>
      <c r="F2151" s="7" t="s">
        <v>395</v>
      </c>
      <c r="G2151" s="6" t="str">
        <f>VLOOKUP(E2151,dicionario!$A$1:$C2550,2,0)</f>
        <v>Odonata</v>
      </c>
      <c r="H2151" s="6" t="str">
        <f>VLOOKUP(E2151,dicionario!$A$1:$C2550,3,0)</f>
        <v>libélula</v>
      </c>
    </row>
    <row r="2152">
      <c r="A2152" s="3">
        <v>45603.0</v>
      </c>
      <c r="B2152" s="4">
        <v>0.28888888888888886</v>
      </c>
      <c r="C2152" s="5" t="s">
        <v>76</v>
      </c>
      <c r="D2152" s="5" t="s">
        <v>667</v>
      </c>
      <c r="E2152" s="8" t="s">
        <v>38</v>
      </c>
      <c r="F2152" s="5" t="s">
        <v>39</v>
      </c>
      <c r="G2152" s="6" t="str">
        <f>VLOOKUP(E2152,dicionario!$A$1:$C2551,2,0)</f>
        <v>Troglodytes musculus</v>
      </c>
      <c r="H2152" s="6" t="str">
        <f>VLOOKUP(E2152,dicionario!$A$1:$C2551,3,0)</f>
        <v>curruíra</v>
      </c>
    </row>
    <row r="2153">
      <c r="A2153" s="3">
        <v>45603.0</v>
      </c>
      <c r="B2153" s="4">
        <v>0.28888888888888886</v>
      </c>
      <c r="C2153" s="5" t="s">
        <v>76</v>
      </c>
      <c r="D2153" s="5" t="s">
        <v>667</v>
      </c>
      <c r="E2153" s="6" t="s">
        <v>65</v>
      </c>
      <c r="F2153" s="7" t="s">
        <v>66</v>
      </c>
      <c r="G2153" s="6" t="str">
        <f>VLOOKUP(E2153,dicionario!$A$1:$C2552,2,0)</f>
        <v>Pitangus sulphutarus</v>
      </c>
      <c r="H2153" s="6" t="str">
        <f>VLOOKUP(E2153,dicionario!$A$1:$C2552,3,0)</f>
        <v>bem-te-vi</v>
      </c>
    </row>
    <row r="2154">
      <c r="A2154" s="3">
        <v>45603.0</v>
      </c>
      <c r="B2154" s="4">
        <v>0.28958333333333336</v>
      </c>
      <c r="C2154" s="5" t="s">
        <v>76</v>
      </c>
      <c r="D2154" s="5" t="s">
        <v>667</v>
      </c>
      <c r="E2154" s="8" t="s">
        <v>195</v>
      </c>
      <c r="F2154" s="5" t="s">
        <v>679</v>
      </c>
      <c r="G2154" s="6" t="str">
        <f>VLOOKUP(E2154,dicionario!$A$1:$C2553,2,0)</f>
        <v>Priva lappulacea</v>
      </c>
      <c r="H2154" s="6" t="str">
        <f>VLOOKUP(E2154,dicionario!$A$1:$C2553,3,0)</f>
        <v>carrapicho</v>
      </c>
    </row>
    <row r="2155">
      <c r="A2155" s="3">
        <v>45603.0</v>
      </c>
      <c r="B2155" s="4">
        <v>0.28958333333333336</v>
      </c>
      <c r="C2155" s="5" t="s">
        <v>76</v>
      </c>
      <c r="D2155" s="5" t="s">
        <v>667</v>
      </c>
      <c r="E2155" s="6" t="s">
        <v>260</v>
      </c>
      <c r="F2155" s="7" t="s">
        <v>261</v>
      </c>
      <c r="G2155" s="6" t="str">
        <f>VLOOKUP(E2155,dicionario!$A$1:$C2554,2,0)</f>
        <v>Ruellia paniculata</v>
      </c>
      <c r="H2155" s="6" t="str">
        <f>VLOOKUP(E2155,dicionario!$A$1:$C2554,3,0)</f>
        <v>ruélia</v>
      </c>
    </row>
    <row r="2156">
      <c r="A2156" s="3">
        <v>45603.0</v>
      </c>
      <c r="B2156" s="4">
        <v>0.28958333333333336</v>
      </c>
      <c r="C2156" s="5" t="s">
        <v>76</v>
      </c>
      <c r="D2156" s="5" t="s">
        <v>667</v>
      </c>
      <c r="E2156" s="8" t="s">
        <v>120</v>
      </c>
      <c r="F2156" s="7" t="s">
        <v>121</v>
      </c>
      <c r="G2156" s="6" t="str">
        <f>VLOOKUP(E2156,dicionario!$A$1:$C2555,2,0)</f>
        <v>#N/A</v>
      </c>
      <c r="H2156" s="6" t="str">
        <f>VLOOKUP(E2156,dicionario!$A$1:$C2555,3,0)</f>
        <v>#N/A</v>
      </c>
    </row>
    <row r="2157">
      <c r="A2157" s="3">
        <v>45603.0</v>
      </c>
      <c r="B2157" s="4">
        <v>0.28958333333333336</v>
      </c>
      <c r="C2157" s="5" t="s">
        <v>76</v>
      </c>
      <c r="D2157" s="5" t="s">
        <v>667</v>
      </c>
      <c r="E2157" s="8" t="s">
        <v>535</v>
      </c>
      <c r="F2157" s="7" t="s">
        <v>395</v>
      </c>
      <c r="G2157" s="6" t="str">
        <f>VLOOKUP(E2157,dicionario!$A$1:$C2556,2,0)</f>
        <v>Odonata</v>
      </c>
      <c r="H2157" s="6" t="str">
        <f>VLOOKUP(E2157,dicionario!$A$1:$C2556,3,0)</f>
        <v>libélula</v>
      </c>
    </row>
    <row r="2158">
      <c r="A2158" s="3">
        <v>45603.0</v>
      </c>
      <c r="B2158" s="4">
        <v>0.28958333333333336</v>
      </c>
      <c r="C2158" s="5" t="s">
        <v>76</v>
      </c>
      <c r="D2158" s="5" t="s">
        <v>667</v>
      </c>
      <c r="E2158" s="6" t="s">
        <v>74</v>
      </c>
      <c r="F2158" s="7" t="s">
        <v>75</v>
      </c>
      <c r="G2158" s="6" t="str">
        <f>VLOOKUP(E2158,dicionario!$A$1:$C2557,2,0)</f>
        <v>Crotophaga ani</v>
      </c>
      <c r="H2158" s="6" t="str">
        <f>VLOOKUP(E2158,dicionario!$A$1:$C2557,3,0)</f>
        <v>anu-preto</v>
      </c>
    </row>
    <row r="2159">
      <c r="A2159" s="3">
        <v>45603.0</v>
      </c>
      <c r="B2159" s="4">
        <v>0.2902777777777778</v>
      </c>
      <c r="C2159" s="5" t="s">
        <v>76</v>
      </c>
      <c r="D2159" s="5" t="s">
        <v>667</v>
      </c>
      <c r="E2159" s="6" t="s">
        <v>247</v>
      </c>
      <c r="F2159" s="7" t="s">
        <v>387</v>
      </c>
      <c r="G2159" s="6" t="str">
        <f>VLOOKUP(E2159,dicionario!$A$1:$C2558,2,0)</f>
        <v>Emilia sonchifolia</v>
      </c>
      <c r="H2159" s="6" t="str">
        <f>VLOOKUP(E2159,dicionario!$A$1:$C2558,3,0)</f>
        <v>serralinha</v>
      </c>
    </row>
    <row r="2160">
      <c r="A2160" s="3">
        <v>45603.0</v>
      </c>
      <c r="B2160" s="4">
        <v>0.2902777777777778</v>
      </c>
      <c r="C2160" s="5" t="s">
        <v>76</v>
      </c>
      <c r="D2160" s="5" t="s">
        <v>667</v>
      </c>
      <c r="E2160" s="6" t="s">
        <v>290</v>
      </c>
      <c r="F2160" s="7" t="s">
        <v>291</v>
      </c>
      <c r="G2160" s="6" t="str">
        <f>VLOOKUP(E2160,dicionario!$A$1:$C2559,2,0)</f>
        <v>Drymaria cordata</v>
      </c>
      <c r="H2160" s="6" t="str">
        <f>VLOOKUP(E2160,dicionario!$A$1:$C2559,3,0)</f>
        <v>orelha-de-rato</v>
      </c>
    </row>
    <row r="2161">
      <c r="A2161" s="3">
        <v>45603.0</v>
      </c>
      <c r="B2161" s="4">
        <v>0.29097222222222224</v>
      </c>
      <c r="C2161" s="5" t="s">
        <v>76</v>
      </c>
      <c r="D2161" s="5" t="s">
        <v>667</v>
      </c>
      <c r="E2161" s="6" t="s">
        <v>271</v>
      </c>
      <c r="F2161" s="7" t="s">
        <v>272</v>
      </c>
      <c r="G2161" s="6" t="str">
        <f>VLOOKUP(E2161,dicionario!$A$1:$C2560,2,0)</f>
        <v>Cyanthillium cinereum</v>
      </c>
      <c r="H2161" s="6" t="str">
        <f>VLOOKUP(E2161,dicionario!$A$1:$C2560,3,0)</f>
        <v>emília</v>
      </c>
    </row>
    <row r="2162">
      <c r="A2162" s="3">
        <v>45603.0</v>
      </c>
      <c r="B2162" s="4">
        <v>0.29097222222222224</v>
      </c>
      <c r="C2162" s="5" t="s">
        <v>76</v>
      </c>
      <c r="D2162" s="5" t="s">
        <v>667</v>
      </c>
      <c r="E2162" s="6" t="s">
        <v>613</v>
      </c>
      <c r="F2162" s="7" t="s">
        <v>614</v>
      </c>
      <c r="G2162" s="6" t="str">
        <f>VLOOKUP(E2162,dicionario!$A$1:$C2561,2,0)</f>
        <v>Euphorbia hyssopifolia</v>
      </c>
      <c r="H2162" s="6" t="str">
        <f>VLOOKUP(E2162,dicionario!$A$1:$C2561,3,0)</f>
        <v>maria-leite</v>
      </c>
    </row>
    <row r="2163">
      <c r="A2163" s="3">
        <v>45603.0</v>
      </c>
      <c r="B2163" s="4">
        <v>0.2916666666666667</v>
      </c>
      <c r="C2163" s="5" t="s">
        <v>76</v>
      </c>
      <c r="D2163" s="5" t="s">
        <v>667</v>
      </c>
      <c r="E2163" s="8" t="s">
        <v>403</v>
      </c>
      <c r="F2163" s="5" t="s">
        <v>689</v>
      </c>
      <c r="G2163" s="6" t="str">
        <f>VLOOKUP(E2163,dicionario!$A$1:$C2562,2,0)</f>
        <v>Trianthema portulacastrum</v>
      </c>
      <c r="H2163" s="6" t="str">
        <f>VLOOKUP(E2163,dicionario!$A$1:$C2562,3,0)</f>
        <v/>
      </c>
    </row>
    <row r="2164">
      <c r="A2164" s="3">
        <v>45603.0</v>
      </c>
      <c r="B2164" s="4">
        <v>0.2916666666666667</v>
      </c>
      <c r="C2164" s="5" t="s">
        <v>76</v>
      </c>
      <c r="D2164" s="5" t="s">
        <v>667</v>
      </c>
      <c r="E2164" s="6" t="s">
        <v>532</v>
      </c>
      <c r="F2164" s="7" t="s">
        <v>533</v>
      </c>
      <c r="G2164" s="6" t="str">
        <f>VLOOKUP(E2164,dicionario!$A$1:$C2563,2,0)</f>
        <v>Euphorbia heterophylla</v>
      </c>
      <c r="H2164" s="6" t="str">
        <f>VLOOKUP(E2164,dicionario!$A$1:$C2563,3,0)</f>
        <v>amendoim-bravo</v>
      </c>
    </row>
    <row r="2165">
      <c r="A2165" s="3">
        <v>45603.0</v>
      </c>
      <c r="B2165" s="4">
        <v>0.2916666666666667</v>
      </c>
      <c r="C2165" s="5" t="s">
        <v>76</v>
      </c>
      <c r="D2165" s="5" t="s">
        <v>667</v>
      </c>
      <c r="E2165" s="6" t="s">
        <v>606</v>
      </c>
      <c r="F2165" s="7" t="s">
        <v>607</v>
      </c>
      <c r="G2165" s="6" t="str">
        <f>VLOOKUP(E2165,dicionario!$A$1:$C2564,2,0)</f>
        <v>Elaenia spectabilis</v>
      </c>
      <c r="H2165" s="6" t="str">
        <f>VLOOKUP(E2165,dicionario!$A$1:$C2564,3,0)</f>
        <v>guaracava-grande</v>
      </c>
    </row>
    <row r="2166">
      <c r="A2166" s="3">
        <v>45603.0</v>
      </c>
      <c r="B2166" s="4">
        <v>0.2916666666666667</v>
      </c>
      <c r="C2166" s="5" t="s">
        <v>76</v>
      </c>
      <c r="D2166" s="5" t="s">
        <v>667</v>
      </c>
      <c r="E2166" s="6" t="s">
        <v>83</v>
      </c>
      <c r="F2166" s="7" t="s">
        <v>84</v>
      </c>
      <c r="G2166" s="6" t="str">
        <f>VLOOKUP(E2166,dicionario!$A$1:$C2565,2,0)</f>
        <v>Anartia jatrophae</v>
      </c>
      <c r="H2166" s="6" t="str">
        <f>VLOOKUP(E2166,dicionario!$A$1:$C2565,3,0)</f>
        <v>borboleta-pavão-branco</v>
      </c>
    </row>
    <row r="2167">
      <c r="A2167" s="3">
        <v>45603.0</v>
      </c>
      <c r="B2167" s="4">
        <v>0.2916666666666667</v>
      </c>
      <c r="C2167" s="5" t="s">
        <v>76</v>
      </c>
      <c r="D2167" s="5" t="s">
        <v>667</v>
      </c>
      <c r="E2167" s="6" t="s">
        <v>471</v>
      </c>
      <c r="F2167" s="7" t="s">
        <v>472</v>
      </c>
      <c r="G2167" s="6" t="str">
        <f>VLOOKUP(E2167,dicionario!$A$1:$C2566,2,0)</f>
        <v>Sida acuta</v>
      </c>
      <c r="H2167" s="6" t="str">
        <f>VLOOKUP(E2167,dicionario!$A$1:$C2566,3,0)</f>
        <v>reloginho</v>
      </c>
    </row>
    <row r="2168">
      <c r="A2168" s="3">
        <v>45603.0</v>
      </c>
      <c r="B2168" s="4">
        <v>0.2916666666666667</v>
      </c>
      <c r="C2168" s="5" t="s">
        <v>76</v>
      </c>
      <c r="D2168" s="5" t="s">
        <v>667</v>
      </c>
      <c r="E2168" s="8" t="s">
        <v>38</v>
      </c>
      <c r="F2168" s="5" t="s">
        <v>39</v>
      </c>
      <c r="G2168" s="6" t="str">
        <f>VLOOKUP(E2168,dicionario!$A$1:$C2567,2,0)</f>
        <v>Troglodytes musculus</v>
      </c>
      <c r="H2168" s="6" t="str">
        <f>VLOOKUP(E2168,dicionario!$A$1:$C2567,3,0)</f>
        <v>curruíra</v>
      </c>
    </row>
    <row r="2169">
      <c r="A2169" s="3">
        <v>45603.0</v>
      </c>
      <c r="B2169" s="4">
        <v>0.2916666666666667</v>
      </c>
      <c r="C2169" s="5" t="s">
        <v>76</v>
      </c>
      <c r="D2169" s="5" t="s">
        <v>667</v>
      </c>
      <c r="E2169" s="6" t="s">
        <v>473</v>
      </c>
      <c r="F2169" s="7" t="s">
        <v>474</v>
      </c>
      <c r="G2169" s="6" t="str">
        <f>VLOOKUP(E2169,dicionario!$A$1:$C2568,2,0)</f>
        <v>Turdus rufiventris</v>
      </c>
      <c r="H2169" s="6" t="str">
        <f>VLOOKUP(E2169,dicionario!$A$1:$C2568,3,0)</f>
        <v>sabiá-laranjeira</v>
      </c>
    </row>
    <row r="2170">
      <c r="A2170" s="3">
        <v>45603.0</v>
      </c>
      <c r="B2170" s="4">
        <v>0.2916666666666667</v>
      </c>
      <c r="C2170" s="5" t="s">
        <v>76</v>
      </c>
      <c r="D2170" s="5" t="s">
        <v>667</v>
      </c>
      <c r="E2170" s="6" t="s">
        <v>324</v>
      </c>
      <c r="F2170" s="7" t="s">
        <v>325</v>
      </c>
      <c r="G2170" s="6" t="str">
        <f>VLOOKUP(E2170,dicionario!$A$1:$C2569,2,0)</f>
        <v>#N/A</v>
      </c>
      <c r="H2170" s="6" t="str">
        <f>VLOOKUP(E2170,dicionario!$A$1:$C2569,3,0)</f>
        <v>#N/A</v>
      </c>
    </row>
    <row r="2171">
      <c r="A2171" s="3">
        <v>45603.0</v>
      </c>
      <c r="B2171" s="4">
        <v>0.2923611111111111</v>
      </c>
      <c r="C2171" s="5" t="s">
        <v>76</v>
      </c>
      <c r="D2171" s="5" t="s">
        <v>667</v>
      </c>
      <c r="E2171" s="6" t="s">
        <v>662</v>
      </c>
      <c r="F2171" s="7" t="s">
        <v>663</v>
      </c>
      <c r="G2171" s="6" t="str">
        <f>VLOOKUP(E2171,dicionario!$A$1:$C2570,2,0)</f>
        <v>Zonotrichia capensis</v>
      </c>
      <c r="H2171" s="6" t="str">
        <f>VLOOKUP(E2171,dicionario!$A$1:$C2570,3,0)</f>
        <v>tico-tico</v>
      </c>
    </row>
    <row r="2172">
      <c r="A2172" s="3">
        <v>45603.0</v>
      </c>
      <c r="B2172" s="4">
        <v>0.2923611111111111</v>
      </c>
      <c r="C2172" s="5" t="s">
        <v>76</v>
      </c>
      <c r="D2172" s="5" t="s">
        <v>667</v>
      </c>
      <c r="E2172" s="6" t="s">
        <v>372</v>
      </c>
      <c r="F2172" s="7" t="s">
        <v>373</v>
      </c>
      <c r="G2172" s="6" t="str">
        <f>VLOOKUP(E2172,dicionario!$A$1:$C2571,2,0)</f>
        <v>Rupornis magnirostris</v>
      </c>
      <c r="H2172" s="6" t="str">
        <f>VLOOKUP(E2172,dicionario!$A$1:$C2571,3,0)</f>
        <v>gavião-carijó</v>
      </c>
    </row>
    <row r="2173">
      <c r="A2173" s="3">
        <v>45603.0</v>
      </c>
      <c r="B2173" s="4">
        <v>0.2923611111111111</v>
      </c>
      <c r="C2173" s="5" t="s">
        <v>76</v>
      </c>
      <c r="D2173" s="5" t="s">
        <v>667</v>
      </c>
      <c r="E2173" s="8" t="s">
        <v>690</v>
      </c>
      <c r="F2173" s="7" t="s">
        <v>691</v>
      </c>
      <c r="G2173" s="6" t="str">
        <f>VLOOKUP(E2173,dicionario!$A$1:$C2572,2,0)</f>
        <v>#N/A</v>
      </c>
      <c r="H2173" s="6" t="str">
        <f>VLOOKUP(E2173,dicionario!$A$1:$C2572,3,0)</f>
        <v>#N/A</v>
      </c>
    </row>
    <row r="2174">
      <c r="A2174" s="3">
        <v>45603.0</v>
      </c>
      <c r="B2174" s="4">
        <v>0.30972222222222223</v>
      </c>
      <c r="C2174" s="5" t="s">
        <v>64</v>
      </c>
      <c r="D2174" s="5" t="s">
        <v>667</v>
      </c>
      <c r="E2174" s="6" t="s">
        <v>215</v>
      </c>
      <c r="F2174" s="7" t="s">
        <v>216</v>
      </c>
      <c r="G2174" s="6" t="str">
        <f>VLOOKUP(E2174,dicionario!$A$1:$C2573,2,0)</f>
        <v>Pygochelidon cyanoleuca</v>
      </c>
      <c r="H2174" s="6" t="str">
        <f>VLOOKUP(E2174,dicionario!$A$1:$C2573,3,0)</f>
        <v>andorinha-pequena-de-casa</v>
      </c>
    </row>
    <row r="2175">
      <c r="A2175" s="3">
        <v>45603.0</v>
      </c>
      <c r="B2175" s="4">
        <v>0.30972222222222223</v>
      </c>
      <c r="C2175" s="5" t="s">
        <v>64</v>
      </c>
      <c r="D2175" s="5" t="s">
        <v>667</v>
      </c>
      <c r="E2175" s="6" t="s">
        <v>65</v>
      </c>
      <c r="F2175" s="7" t="s">
        <v>66</v>
      </c>
      <c r="G2175" s="6" t="str">
        <f>VLOOKUP(E2175,dicionario!$A$1:$C2574,2,0)</f>
        <v>Pitangus sulphutarus</v>
      </c>
      <c r="H2175" s="6" t="str">
        <f>VLOOKUP(E2175,dicionario!$A$1:$C2574,3,0)</f>
        <v>bem-te-vi</v>
      </c>
    </row>
    <row r="2176">
      <c r="A2176" s="3">
        <v>45603.0</v>
      </c>
      <c r="B2176" s="4">
        <v>0.30972222222222223</v>
      </c>
      <c r="C2176" s="5" t="s">
        <v>64</v>
      </c>
      <c r="D2176" s="5" t="s">
        <v>667</v>
      </c>
      <c r="E2176" s="10" t="s">
        <v>101</v>
      </c>
      <c r="F2176" s="7" t="s">
        <v>102</v>
      </c>
      <c r="G2176" s="6" t="str">
        <f>VLOOKUP(E2176,dicionario!$A$1:$C2575,2,0)</f>
        <v>Nemosia pileata</v>
      </c>
      <c r="H2176" s="6" t="str">
        <f>VLOOKUP(E2176,dicionario!$A$1:$C2575,3,0)</f>
        <v>saíra-de-chapéu-preto</v>
      </c>
    </row>
    <row r="2177">
      <c r="A2177" s="3">
        <v>45603.0</v>
      </c>
      <c r="B2177" s="4">
        <v>0.3104166666666667</v>
      </c>
      <c r="C2177" s="5" t="s">
        <v>64</v>
      </c>
      <c r="D2177" s="5" t="s">
        <v>667</v>
      </c>
      <c r="E2177" s="6" t="s">
        <v>122</v>
      </c>
      <c r="F2177" s="7" t="s">
        <v>123</v>
      </c>
      <c r="G2177" s="6" t="str">
        <f>VLOOKUP(E2177,dicionario!$A$1:$C2576,2,0)</f>
        <v>Todirostrum cinereum</v>
      </c>
      <c r="H2177" s="6" t="str">
        <f>VLOOKUP(E2177,dicionario!$A$1:$C2576,3,0)</f>
        <v>ferreirinho-relógio</v>
      </c>
    </row>
    <row r="2178">
      <c r="A2178" s="3">
        <v>45603.0</v>
      </c>
      <c r="B2178" s="4">
        <v>0.3104166666666667</v>
      </c>
      <c r="C2178" s="5" t="s">
        <v>64</v>
      </c>
      <c r="D2178" s="5" t="s">
        <v>667</v>
      </c>
      <c r="E2178" s="6" t="s">
        <v>191</v>
      </c>
      <c r="F2178" s="7" t="s">
        <v>192</v>
      </c>
      <c r="G2178" s="6" t="str">
        <f>VLOOKUP(E2178,dicionario!$A$1:$C2577,2,0)</f>
        <v>Patagioenas picazuro</v>
      </c>
      <c r="H2178" s="6" t="str">
        <f>VLOOKUP(E2178,dicionario!$A$1:$C2577,3,0)</f>
        <v>asa-branca; pomba-asa-branca; pocaçu</v>
      </c>
    </row>
    <row r="2179">
      <c r="A2179" s="3">
        <v>45603.0</v>
      </c>
      <c r="B2179" s="4">
        <v>0.3104166666666667</v>
      </c>
      <c r="C2179" s="5" t="s">
        <v>64</v>
      </c>
      <c r="D2179" s="5" t="s">
        <v>667</v>
      </c>
      <c r="E2179" s="6" t="s">
        <v>251</v>
      </c>
      <c r="F2179" s="7" t="s">
        <v>252</v>
      </c>
      <c r="G2179" s="6" t="str">
        <f>VLOOKUP(E2179,dicionario!$A$1:$C2578,2,0)</f>
        <v>Struthanthus flexicaulis</v>
      </c>
      <c r="H2179" s="6" t="str">
        <f>VLOOKUP(E2179,dicionario!$A$1:$C2578,3,0)</f>
        <v>erva-de-passarinho</v>
      </c>
    </row>
    <row r="2180">
      <c r="A2180" s="3">
        <v>45603.0</v>
      </c>
      <c r="B2180" s="4">
        <v>0.3104166666666667</v>
      </c>
      <c r="C2180" s="5" t="s">
        <v>64</v>
      </c>
      <c r="D2180" s="5" t="s">
        <v>667</v>
      </c>
      <c r="E2180" s="6" t="s">
        <v>296</v>
      </c>
      <c r="F2180" s="7" t="s">
        <v>297</v>
      </c>
      <c r="G2180" s="6" t="str">
        <f>VLOOKUP(E2180,dicionario!$A$1:$C2579,2,0)</f>
        <v>Richardia brasiliensis</v>
      </c>
      <c r="H2180" s="6" t="str">
        <f>VLOOKUP(E2180,dicionario!$A$1:$C2579,3,0)</f>
        <v>poaia-branca</v>
      </c>
    </row>
    <row r="2181">
      <c r="A2181" s="3">
        <v>45603.0</v>
      </c>
      <c r="B2181" s="4">
        <v>0.3104166666666667</v>
      </c>
      <c r="C2181" s="5" t="s">
        <v>64</v>
      </c>
      <c r="D2181" s="5" t="s">
        <v>667</v>
      </c>
      <c r="E2181" s="6" t="s">
        <v>154</v>
      </c>
      <c r="F2181" s="7" t="s">
        <v>155</v>
      </c>
      <c r="G2181" s="6" t="str">
        <f>VLOOKUP(E2181,dicionario!$A$1:$C2580,2,0)</f>
        <v>Cyperus rotundus</v>
      </c>
      <c r="H2181" s="6" t="str">
        <f>VLOOKUP(E2181,dicionario!$A$1:$C2580,3,0)</f>
        <v>tiririca</v>
      </c>
    </row>
    <row r="2182">
      <c r="A2182" s="3">
        <v>45603.0</v>
      </c>
      <c r="B2182" s="4">
        <v>0.3104166666666667</v>
      </c>
      <c r="C2182" s="5" t="s">
        <v>64</v>
      </c>
      <c r="D2182" s="5" t="s">
        <v>667</v>
      </c>
      <c r="E2182" s="6" t="s">
        <v>69</v>
      </c>
      <c r="F2182" s="7" t="s">
        <v>71</v>
      </c>
      <c r="G2182" s="6" t="str">
        <f>VLOOKUP(E2182,dicionario!$A$1:$C2581,2,0)</f>
        <v>Talinum fruticosum</v>
      </c>
      <c r="H2182" s="6" t="str">
        <f>VLOOKUP(E2182,dicionario!$A$1:$C2581,3,0)</f>
        <v>beldroega-grande</v>
      </c>
    </row>
    <row r="2183">
      <c r="A2183" s="3">
        <v>45603.0</v>
      </c>
      <c r="B2183" s="4">
        <v>0.3104166666666667</v>
      </c>
      <c r="C2183" s="5" t="s">
        <v>64</v>
      </c>
      <c r="D2183" s="5" t="s">
        <v>667</v>
      </c>
      <c r="E2183" s="6" t="s">
        <v>150</v>
      </c>
      <c r="F2183" s="7" t="s">
        <v>151</v>
      </c>
      <c r="G2183" s="6" t="str">
        <f>VLOOKUP(E2183,dicionario!$A$1:$C2582,2,0)</f>
        <v>Amaranthus viridis</v>
      </c>
      <c r="H2183" s="6" t="str">
        <f>VLOOKUP(E2183,dicionario!$A$1:$C2582,3,0)</f>
        <v>caruru-de-mancha</v>
      </c>
    </row>
    <row r="2184">
      <c r="A2184" s="3">
        <v>45603.0</v>
      </c>
      <c r="B2184" s="4">
        <v>0.3111111111111111</v>
      </c>
      <c r="C2184" s="5" t="s">
        <v>64</v>
      </c>
      <c r="D2184" s="5" t="s">
        <v>667</v>
      </c>
      <c r="E2184" s="6" t="s">
        <v>171</v>
      </c>
      <c r="F2184" s="7" t="s">
        <v>172</v>
      </c>
      <c r="G2184" s="6" t="str">
        <f>VLOOKUP(E2184,dicionario!$A$1:$C2583,2,0)</f>
        <v>Oxalis corniculata</v>
      </c>
      <c r="H2184" s="6" t="str">
        <f>VLOOKUP(E2184,dicionario!$A$1:$C2583,3,0)</f>
        <v>trevo-azedinho</v>
      </c>
    </row>
    <row r="2185">
      <c r="A2185" s="3">
        <v>45603.0</v>
      </c>
      <c r="B2185" s="4">
        <v>0.3111111111111111</v>
      </c>
      <c r="C2185" s="5" t="s">
        <v>64</v>
      </c>
      <c r="D2185" s="5" t="s">
        <v>667</v>
      </c>
      <c r="E2185" s="6" t="s">
        <v>43</v>
      </c>
      <c r="F2185" s="7" t="s">
        <v>44</v>
      </c>
      <c r="G2185" s="6" t="str">
        <f>VLOOKUP(E2185,dicionario!$A$1:$C2584,2,0)</f>
        <v>Columba livia</v>
      </c>
      <c r="H2185" s="6" t="str">
        <f>VLOOKUP(E2185,dicionario!$A$1:$C2584,3,0)</f>
        <v>pombo-doméstico</v>
      </c>
    </row>
    <row r="2186">
      <c r="A2186" s="3">
        <v>45603.0</v>
      </c>
      <c r="B2186" s="4">
        <v>0.3111111111111111</v>
      </c>
      <c r="C2186" s="5" t="s">
        <v>64</v>
      </c>
      <c r="D2186" s="5" t="s">
        <v>667</v>
      </c>
      <c r="E2186" s="6" t="s">
        <v>132</v>
      </c>
      <c r="F2186" s="7" t="s">
        <v>133</v>
      </c>
      <c r="G2186" s="6" t="str">
        <f>VLOOKUP(E2186,dicionario!$A$1:$C2585,2,0)</f>
        <v>Euphonia chlorotica</v>
      </c>
      <c r="H2186" s="6" t="str">
        <f>VLOOKUP(E2186,dicionario!$A$1:$C2585,3,0)</f>
        <v>fim-fim</v>
      </c>
    </row>
    <row r="2187">
      <c r="A2187" s="3">
        <v>45603.0</v>
      </c>
      <c r="B2187" s="4">
        <v>0.3111111111111111</v>
      </c>
      <c r="C2187" s="5" t="s">
        <v>64</v>
      </c>
      <c r="D2187" s="5" t="s">
        <v>667</v>
      </c>
      <c r="E2187" s="6" t="s">
        <v>148</v>
      </c>
      <c r="F2187" s="7" t="s">
        <v>149</v>
      </c>
      <c r="G2187" s="6" t="str">
        <f>VLOOKUP(E2187,dicionario!$A$1:$C2586,2,0)</f>
        <v>Parthenium hysterophorus</v>
      </c>
      <c r="H2187" s="6" t="str">
        <f>VLOOKUP(E2187,dicionario!$A$1:$C2586,3,0)</f>
        <v>losna-branca</v>
      </c>
    </row>
    <row r="2188">
      <c r="A2188" s="3">
        <v>45603.0</v>
      </c>
      <c r="B2188" s="4">
        <v>0.3111111111111111</v>
      </c>
      <c r="C2188" s="5" t="s">
        <v>64</v>
      </c>
      <c r="D2188" s="5" t="s">
        <v>667</v>
      </c>
      <c r="E2188" s="6" t="s">
        <v>109</v>
      </c>
      <c r="F2188" s="7" t="s">
        <v>110</v>
      </c>
      <c r="G2188" s="6" t="str">
        <f>VLOOKUP(E2188,dicionario!$A$1:$C2587,2,0)</f>
        <v>Tillandsia stricta</v>
      </c>
      <c r="H2188" s="6" t="str">
        <f>VLOOKUP(E2188,dicionario!$A$1:$C2587,3,0)</f>
        <v>cravo-do-mato</v>
      </c>
    </row>
    <row r="2189">
      <c r="A2189" s="3">
        <v>45603.0</v>
      </c>
      <c r="B2189" s="4">
        <v>0.3111111111111111</v>
      </c>
      <c r="C2189" s="5" t="s">
        <v>64</v>
      </c>
      <c r="D2189" s="5" t="s">
        <v>667</v>
      </c>
      <c r="E2189" s="8" t="s">
        <v>355</v>
      </c>
      <c r="F2189" s="5" t="s">
        <v>356</v>
      </c>
      <c r="G2189" s="6" t="str">
        <f>VLOOKUP(E2189,dicionario!$A$1:$C2588,2,0)</f>
        <v>Boerhavia diffusa</v>
      </c>
      <c r="H2189" s="6" t="str">
        <f>VLOOKUP(E2189,dicionario!$A$1:$C2588,3,0)</f>
        <v>erva-tostão</v>
      </c>
    </row>
    <row r="2190">
      <c r="A2190" s="3">
        <v>45603.0</v>
      </c>
      <c r="B2190" s="4">
        <v>0.3111111111111111</v>
      </c>
      <c r="C2190" s="5" t="s">
        <v>64</v>
      </c>
      <c r="D2190" s="5" t="s">
        <v>667</v>
      </c>
      <c r="E2190" s="6" t="s">
        <v>162</v>
      </c>
      <c r="F2190" s="7" t="s">
        <v>42</v>
      </c>
      <c r="G2190" s="6" t="str">
        <f>VLOOKUP(E2190,dicionario!$A$1:$C2589,2,0)</f>
        <v>Fluvicola nengeta</v>
      </c>
      <c r="H2190" s="6" t="str">
        <f>VLOOKUP(E2190,dicionario!$A$1:$C2589,3,0)</f>
        <v>lavadeira-mascarada</v>
      </c>
    </row>
    <row r="2191">
      <c r="A2191" s="3">
        <v>45603.0</v>
      </c>
      <c r="B2191" s="4">
        <v>0.3111111111111111</v>
      </c>
      <c r="C2191" s="5" t="s">
        <v>64</v>
      </c>
      <c r="D2191" s="5" t="s">
        <v>667</v>
      </c>
      <c r="E2191" s="6" t="s">
        <v>181</v>
      </c>
      <c r="F2191" s="7" t="s">
        <v>182</v>
      </c>
      <c r="G2191" s="6" t="str">
        <f>VLOOKUP(E2191,dicionario!$A$1:$C2590,2,0)</f>
        <v>#N/A</v>
      </c>
      <c r="H2191" s="6" t="str">
        <f>VLOOKUP(E2191,dicionario!$A$1:$C2590,3,0)</f>
        <v>#N/A</v>
      </c>
    </row>
    <row r="2192">
      <c r="A2192" s="3">
        <v>45603.0</v>
      </c>
      <c r="B2192" s="4">
        <v>0.31180555555555556</v>
      </c>
      <c r="C2192" s="5" t="s">
        <v>64</v>
      </c>
      <c r="D2192" s="5" t="s">
        <v>667</v>
      </c>
      <c r="E2192" s="8" t="s">
        <v>38</v>
      </c>
      <c r="F2192" s="5" t="s">
        <v>39</v>
      </c>
      <c r="G2192" s="6" t="str">
        <f>VLOOKUP(E2192,dicionario!$A$1:$C2591,2,0)</f>
        <v>Troglodytes musculus</v>
      </c>
      <c r="H2192" s="6" t="str">
        <f>VLOOKUP(E2192,dicionario!$A$1:$C2591,3,0)</f>
        <v>curruíra</v>
      </c>
    </row>
    <row r="2193">
      <c r="A2193" s="3">
        <v>45603.0</v>
      </c>
      <c r="B2193" s="4">
        <v>0.3125</v>
      </c>
      <c r="C2193" s="5" t="s">
        <v>64</v>
      </c>
      <c r="D2193" s="5" t="s">
        <v>667</v>
      </c>
      <c r="E2193" s="6" t="s">
        <v>116</v>
      </c>
      <c r="F2193" s="7" t="s">
        <v>117</v>
      </c>
      <c r="G2193" s="6" t="str">
        <f>VLOOKUP(E2193,dicionario!$A$1:$C2592,2,0)</f>
        <v>Argiope argentata</v>
      </c>
      <c r="H2193" s="6" t="str">
        <f>VLOOKUP(E2193,dicionario!$A$1:$C2592,3,0)</f>
        <v>aranha-de-prata</v>
      </c>
    </row>
    <row r="2194">
      <c r="A2194" s="3">
        <v>45603.0</v>
      </c>
      <c r="B2194" s="4">
        <v>0.3125</v>
      </c>
      <c r="C2194" s="5" t="s">
        <v>64</v>
      </c>
      <c r="D2194" s="5" t="s">
        <v>667</v>
      </c>
      <c r="E2194" s="6" t="s">
        <v>483</v>
      </c>
      <c r="F2194" s="7" t="s">
        <v>484</v>
      </c>
      <c r="G2194" s="6" t="str">
        <f>VLOOKUP(E2194,dicionario!$A$1:$C2593,2,0)</f>
        <v>Euphorbia prostrata</v>
      </c>
      <c r="H2194" s="6" t="str">
        <f>VLOOKUP(E2194,dicionario!$A$1:$C2593,3,0)</f>
        <v>quebra-pedra-rasteira</v>
      </c>
    </row>
    <row r="2195">
      <c r="A2195" s="3">
        <v>45603.0</v>
      </c>
      <c r="B2195" s="4">
        <v>0.3125</v>
      </c>
      <c r="C2195" s="5" t="s">
        <v>64</v>
      </c>
      <c r="D2195" s="5" t="s">
        <v>667</v>
      </c>
      <c r="E2195" s="6" t="s">
        <v>401</v>
      </c>
      <c r="F2195" s="7" t="s">
        <v>464</v>
      </c>
      <c r="G2195" s="6" t="str">
        <f>VLOOKUP(E2195,dicionario!$A$1:$C2594,2,0)</f>
        <v>Cissus verticillata</v>
      </c>
      <c r="H2195" s="6" t="str">
        <f>VLOOKUP(E2195,dicionario!$A$1:$C2594,3,0)</f>
        <v>uva-do-mato</v>
      </c>
    </row>
    <row r="2196">
      <c r="A2196" s="3">
        <v>45603.0</v>
      </c>
      <c r="B2196" s="4">
        <v>0.3125</v>
      </c>
      <c r="C2196" s="5" t="s">
        <v>64</v>
      </c>
      <c r="D2196" s="5" t="s">
        <v>667</v>
      </c>
      <c r="E2196" s="6" t="s">
        <v>288</v>
      </c>
      <c r="F2196" s="7" t="s">
        <v>289</v>
      </c>
      <c r="G2196" s="6" t="str">
        <f>VLOOKUP(E2196,dicionario!$A$1:$C2595,2,0)</f>
        <v>Phyllanthus tenellus</v>
      </c>
      <c r="H2196" s="6" t="str">
        <f>VLOOKUP(E2196,dicionario!$A$1:$C2595,3,0)</f>
        <v>quebra-pedra</v>
      </c>
    </row>
    <row r="2197">
      <c r="A2197" s="3">
        <v>45603.0</v>
      </c>
      <c r="B2197" s="4">
        <v>0.3125</v>
      </c>
      <c r="C2197" s="5" t="s">
        <v>64</v>
      </c>
      <c r="D2197" s="5" t="s">
        <v>667</v>
      </c>
      <c r="E2197" s="6" t="s">
        <v>158</v>
      </c>
      <c r="F2197" s="7" t="s">
        <v>159</v>
      </c>
      <c r="G2197" s="6" t="str">
        <f>VLOOKUP(E2197,dicionario!$A$1:$C2596,2,0)</f>
        <v>Nephilingis cruentata</v>
      </c>
      <c r="H2197" s="6" t="str">
        <f>VLOOKUP(E2197,dicionario!$A$1:$C2596,3,0)</f>
        <v>maria-bola</v>
      </c>
    </row>
    <row r="2198">
      <c r="A2198" s="3">
        <v>45603.0</v>
      </c>
      <c r="B2198" s="4">
        <v>0.3138888888888889</v>
      </c>
      <c r="C2198" s="5" t="s">
        <v>64</v>
      </c>
      <c r="D2198" s="5" t="s">
        <v>667</v>
      </c>
      <c r="E2198" s="6" t="s">
        <v>227</v>
      </c>
      <c r="F2198" s="7" t="s">
        <v>228</v>
      </c>
      <c r="G2198" s="6" t="str">
        <f>VLOOKUP(E2198,dicionario!$A$1:$C2597,2,0)</f>
        <v>Indigofera hirsuta</v>
      </c>
      <c r="H2198" s="6" t="str">
        <f>VLOOKUP(E2198,dicionario!$A$1:$C2597,3,0)</f>
        <v>anileira</v>
      </c>
    </row>
    <row r="2199">
      <c r="A2199" s="3">
        <v>45603.0</v>
      </c>
      <c r="B2199" s="4">
        <v>0.3138888888888889</v>
      </c>
      <c r="C2199" s="5" t="s">
        <v>64</v>
      </c>
      <c r="D2199" s="5" t="s">
        <v>667</v>
      </c>
      <c r="E2199" s="6" t="s">
        <v>353</v>
      </c>
      <c r="F2199" s="7" t="s">
        <v>354</v>
      </c>
      <c r="G2199" s="6" t="str">
        <f>VLOOKUP(E2199,dicionario!$A$1:$C2598,2,0)</f>
        <v>Desmodium incanum</v>
      </c>
      <c r="H2199" s="6" t="str">
        <f>VLOOKUP(E2199,dicionario!$A$1:$C2598,3,0)</f>
        <v>pega-pega</v>
      </c>
    </row>
    <row r="2200">
      <c r="A2200" s="3">
        <v>45603.0</v>
      </c>
      <c r="B2200" s="4">
        <v>0.3138888888888889</v>
      </c>
      <c r="C2200" s="5" t="s">
        <v>64</v>
      </c>
      <c r="D2200" s="5" t="s">
        <v>667</v>
      </c>
      <c r="E2200" s="6" t="s">
        <v>86</v>
      </c>
      <c r="F2200" s="7" t="s">
        <v>502</v>
      </c>
      <c r="G2200" s="6" t="str">
        <f>VLOOKUP(E2200,dicionario!$A$1:$C2599,2,0)</f>
        <v>Coereba flaveola</v>
      </c>
      <c r="H2200" s="6" t="str">
        <f>VLOOKUP(E2200,dicionario!$A$1:$C2599,3,0)</f>
        <v>cambacica</v>
      </c>
    </row>
    <row r="2201">
      <c r="A2201" s="3">
        <v>45603.0</v>
      </c>
      <c r="B2201" s="4">
        <v>0.3145833333333333</v>
      </c>
      <c r="C2201" s="5" t="s">
        <v>64</v>
      </c>
      <c r="D2201" s="5" t="s">
        <v>667</v>
      </c>
      <c r="E2201" s="6" t="s">
        <v>442</v>
      </c>
      <c r="F2201" s="7" t="s">
        <v>433</v>
      </c>
      <c r="G2201" s="6" t="str">
        <f>VLOOKUP(E2201,dicionario!$A$1:$C2600,2,0)</f>
        <v>#N/A</v>
      </c>
      <c r="H2201" s="6" t="str">
        <f>VLOOKUP(E2201,dicionario!$A$1:$C2600,3,0)</f>
        <v>#N/A</v>
      </c>
    </row>
    <row r="2202">
      <c r="A2202" s="3">
        <v>45603.0</v>
      </c>
      <c r="B2202" s="4">
        <v>0.3159722222222222</v>
      </c>
      <c r="C2202" s="5" t="s">
        <v>64</v>
      </c>
      <c r="D2202" s="5" t="s">
        <v>667</v>
      </c>
      <c r="E2202" s="6" t="s">
        <v>88</v>
      </c>
      <c r="F2202" s="7" t="s">
        <v>89</v>
      </c>
      <c r="G2202" s="6" t="str">
        <f>VLOOKUP(E2202,dicionario!$A$1:$C2601,2,0)</f>
        <v>Tyrannus melancolichus</v>
      </c>
      <c r="H2202" s="6" t="str">
        <f>VLOOKUP(E2202,dicionario!$A$1:$C2601,3,0)</f>
        <v>suiriri</v>
      </c>
    </row>
    <row r="2203">
      <c r="A2203" s="3">
        <v>45603.0</v>
      </c>
      <c r="B2203" s="4">
        <v>0.31805555555555554</v>
      </c>
      <c r="C2203" s="5" t="s">
        <v>59</v>
      </c>
      <c r="D2203" s="5" t="s">
        <v>667</v>
      </c>
      <c r="E2203" s="6" t="s">
        <v>53</v>
      </c>
      <c r="F2203" s="7" t="s">
        <v>54</v>
      </c>
      <c r="G2203" s="6" t="str">
        <f>VLOOKUP(E2203,dicionario!$A$1:$C2602,2,0)</f>
        <v>Turnera subulata</v>
      </c>
      <c r="H2203" s="6" t="str">
        <f>VLOOKUP(E2203,dicionario!$A$1:$C2602,3,0)</f>
        <v>xanana</v>
      </c>
    </row>
    <row r="2204">
      <c r="A2204" s="3">
        <v>45603.0</v>
      </c>
      <c r="B2204" s="4">
        <v>0.31805555555555554</v>
      </c>
      <c r="C2204" s="5" t="s">
        <v>59</v>
      </c>
      <c r="D2204" s="5" t="s">
        <v>667</v>
      </c>
      <c r="E2204" s="8" t="s">
        <v>22</v>
      </c>
      <c r="F2204" s="5" t="s">
        <v>97</v>
      </c>
      <c r="G2204" s="6" t="str">
        <f>VLOOKUP(E2204,dicionario!$A$1:$C2603,2,0)</f>
        <v>Zenaida auriculata</v>
      </c>
      <c r="H2204" s="6" t="str">
        <f>VLOOKUP(E2204,dicionario!$A$1:$C2603,3,0)</f>
        <v>pomba-de-bando; avoante</v>
      </c>
    </row>
    <row r="2205">
      <c r="A2205" s="3">
        <v>45603.0</v>
      </c>
      <c r="B2205" s="4">
        <v>0.31805555555555554</v>
      </c>
      <c r="C2205" s="5" t="s">
        <v>59</v>
      </c>
      <c r="D2205" s="5" t="s">
        <v>667</v>
      </c>
      <c r="E2205" s="6" t="s">
        <v>65</v>
      </c>
      <c r="F2205" s="7" t="s">
        <v>66</v>
      </c>
      <c r="G2205" s="6" t="str">
        <f>VLOOKUP(E2205,dicionario!$A$1:$C2604,2,0)</f>
        <v>Pitangus sulphutarus</v>
      </c>
      <c r="H2205" s="6" t="str">
        <f>VLOOKUP(E2205,dicionario!$A$1:$C2604,3,0)</f>
        <v>bem-te-vi</v>
      </c>
    </row>
    <row r="2206">
      <c r="A2206" s="3">
        <v>45603.0</v>
      </c>
      <c r="B2206" s="4">
        <v>0.3194444444444444</v>
      </c>
      <c r="C2206" s="5" t="s">
        <v>59</v>
      </c>
      <c r="D2206" s="5" t="s">
        <v>667</v>
      </c>
      <c r="E2206" s="6" t="s">
        <v>282</v>
      </c>
      <c r="F2206" s="7" t="s">
        <v>283</v>
      </c>
      <c r="G2206" s="6" t="str">
        <f>VLOOKUP(E2206,dicionario!$A$1:$C2605,2,0)</f>
        <v>#N/A</v>
      </c>
      <c r="H2206" s="6" t="str">
        <f>VLOOKUP(E2206,dicionario!$A$1:$C2605,3,0)</f>
        <v>#N/A</v>
      </c>
    </row>
    <row r="2207">
      <c r="A2207" s="3">
        <v>45603.0</v>
      </c>
      <c r="B2207" s="4">
        <v>0.3194444444444444</v>
      </c>
      <c r="C2207" s="5" t="s">
        <v>59</v>
      </c>
      <c r="D2207" s="5" t="s">
        <v>667</v>
      </c>
      <c r="E2207" s="6" t="s">
        <v>14</v>
      </c>
      <c r="F2207" s="7" t="s">
        <v>15</v>
      </c>
      <c r="G2207" s="6" t="str">
        <f>VLOOKUP(E2207,dicionario!$A$1:$C2606,2,0)</f>
        <v>Spermacoce verticillata</v>
      </c>
      <c r="H2207" s="6" t="str">
        <f>VLOOKUP(E2207,dicionario!$A$1:$C2606,3,0)</f>
        <v>vassourinha-de-botão</v>
      </c>
    </row>
    <row r="2208">
      <c r="A2208" s="3">
        <v>45603.0</v>
      </c>
      <c r="B2208" s="4">
        <v>0.3194444444444444</v>
      </c>
      <c r="C2208" s="5" t="s">
        <v>59</v>
      </c>
      <c r="D2208" s="5" t="s">
        <v>667</v>
      </c>
      <c r="E2208" s="6" t="s">
        <v>353</v>
      </c>
      <c r="F2208" s="7" t="s">
        <v>354</v>
      </c>
      <c r="G2208" s="6" t="str">
        <f>VLOOKUP(E2208,dicionario!$A$1:$C2607,2,0)</f>
        <v>Desmodium incanum</v>
      </c>
      <c r="H2208" s="6" t="str">
        <f>VLOOKUP(E2208,dicionario!$A$1:$C2607,3,0)</f>
        <v>pega-pega</v>
      </c>
    </row>
    <row r="2209">
      <c r="A2209" s="3">
        <v>45603.0</v>
      </c>
      <c r="B2209" s="4">
        <v>0.32013888888888886</v>
      </c>
      <c r="C2209" s="5" t="s">
        <v>59</v>
      </c>
      <c r="D2209" s="5" t="s">
        <v>667</v>
      </c>
      <c r="E2209" s="6" t="s">
        <v>109</v>
      </c>
      <c r="F2209" s="7" t="s">
        <v>110</v>
      </c>
      <c r="G2209" s="6" t="str">
        <f>VLOOKUP(E2209,dicionario!$A$1:$C2608,2,0)</f>
        <v>Tillandsia stricta</v>
      </c>
      <c r="H2209" s="6" t="str">
        <f>VLOOKUP(E2209,dicionario!$A$1:$C2608,3,0)</f>
        <v>cravo-do-mato</v>
      </c>
    </row>
    <row r="2210">
      <c r="A2210" s="3">
        <v>45603.0</v>
      </c>
      <c r="B2210" s="4">
        <v>0.32013888888888886</v>
      </c>
      <c r="C2210" s="5" t="s">
        <v>59</v>
      </c>
      <c r="D2210" s="5" t="s">
        <v>667</v>
      </c>
      <c r="E2210" s="8" t="s">
        <v>403</v>
      </c>
      <c r="F2210" s="5" t="s">
        <v>404</v>
      </c>
      <c r="G2210" s="6" t="str">
        <f>VLOOKUP(E2210,dicionario!$A$1:$C2609,2,0)</f>
        <v>Trianthema portulacastrum</v>
      </c>
      <c r="H2210" s="6" t="str">
        <f>VLOOKUP(E2210,dicionario!$A$1:$C2609,3,0)</f>
        <v/>
      </c>
    </row>
    <row r="2211">
      <c r="A2211" s="3">
        <v>45603.0</v>
      </c>
      <c r="B2211" s="4">
        <v>0.32083333333333336</v>
      </c>
      <c r="C2211" s="5" t="s">
        <v>59</v>
      </c>
      <c r="D2211" s="5" t="s">
        <v>667</v>
      </c>
      <c r="E2211" s="8" t="s">
        <v>692</v>
      </c>
      <c r="F2211" s="5" t="s">
        <v>414</v>
      </c>
      <c r="G2211" s="6" t="str">
        <f>VLOOKUP(E2211,dicionario!$A$1:$C2610,2,0)</f>
        <v>#N/A</v>
      </c>
      <c r="H2211" s="6" t="str">
        <f>VLOOKUP(E2211,dicionario!$A$1:$C2610,3,0)</f>
        <v>#N/A</v>
      </c>
    </row>
    <row r="2212">
      <c r="A2212" s="3">
        <v>45603.0</v>
      </c>
      <c r="B2212" s="4">
        <v>0.32083333333333336</v>
      </c>
      <c r="C2212" s="5" t="s">
        <v>59</v>
      </c>
      <c r="D2212" s="5" t="s">
        <v>667</v>
      </c>
      <c r="E2212" s="6" t="s">
        <v>471</v>
      </c>
      <c r="F2212" s="7" t="s">
        <v>472</v>
      </c>
      <c r="G2212" s="6" t="str">
        <f>VLOOKUP(E2212,dicionario!$A$1:$C2611,2,0)</f>
        <v>Sida acuta</v>
      </c>
      <c r="H2212" s="6" t="str">
        <f>VLOOKUP(E2212,dicionario!$A$1:$C2611,3,0)</f>
        <v>reloginho</v>
      </c>
    </row>
    <row r="2213">
      <c r="A2213" s="3">
        <v>45603.0</v>
      </c>
      <c r="B2213" s="4">
        <v>0.32083333333333336</v>
      </c>
      <c r="C2213" s="5" t="s">
        <v>59</v>
      </c>
      <c r="D2213" s="5" t="s">
        <v>667</v>
      </c>
      <c r="E2213" s="6" t="s">
        <v>425</v>
      </c>
      <c r="F2213" s="7" t="s">
        <v>426</v>
      </c>
      <c r="G2213" s="6" t="str">
        <f>VLOOKUP(E2213,dicionario!$A$1:$C2612,2,0)</f>
        <v>Digitaria insularis</v>
      </c>
      <c r="H2213" s="6" t="str">
        <f>VLOOKUP(E2213,dicionario!$A$1:$C2612,3,0)</f>
        <v>capim-amargoso</v>
      </c>
    </row>
    <row r="2214">
      <c r="A2214" s="3">
        <v>45603.0</v>
      </c>
      <c r="B2214" s="4">
        <v>0.32083333333333336</v>
      </c>
      <c r="C2214" s="5" t="s">
        <v>59</v>
      </c>
      <c r="D2214" s="5" t="s">
        <v>667</v>
      </c>
      <c r="E2214" s="6" t="s">
        <v>193</v>
      </c>
      <c r="F2214" s="7" t="s">
        <v>194</v>
      </c>
      <c r="G2214" s="6" t="str">
        <f>VLOOKUP(E2214,dicionario!$A$1:$C2613,2,0)</f>
        <v>Conirostrum speciosum</v>
      </c>
      <c r="H2214" s="6" t="str">
        <f>VLOOKUP(E2214,dicionario!$A$1:$C2613,3,0)</f>
        <v>figuinha-de-rabo-castanho</v>
      </c>
    </row>
    <row r="2215">
      <c r="A2215" s="3">
        <v>45603.0</v>
      </c>
      <c r="B2215" s="4">
        <v>0.32083333333333336</v>
      </c>
      <c r="C2215" s="5" t="s">
        <v>59</v>
      </c>
      <c r="D2215" s="5" t="s">
        <v>667</v>
      </c>
      <c r="E2215" s="6" t="s">
        <v>517</v>
      </c>
      <c r="F2215" s="7" t="s">
        <v>518</v>
      </c>
      <c r="G2215" s="6" t="str">
        <f>VLOOKUP(E2215,dicionario!$A$1:$C2614,2,0)</f>
        <v>Evolvulus nummularius</v>
      </c>
      <c r="H2215" s="6" t="str">
        <f>VLOOKUP(E2215,dicionario!$A$1:$C2614,3,0)</f>
        <v/>
      </c>
    </row>
    <row r="2216">
      <c r="A2216" s="3">
        <v>45603.0</v>
      </c>
      <c r="B2216" s="4">
        <v>0.3215277777777778</v>
      </c>
      <c r="C2216" s="5" t="s">
        <v>59</v>
      </c>
      <c r="D2216" s="5" t="s">
        <v>667</v>
      </c>
      <c r="E2216" s="6" t="s">
        <v>298</v>
      </c>
      <c r="F2216" s="7"/>
      <c r="G2216" s="6" t="str">
        <f>VLOOKUP(E2216,dicionario!$A$1:$C2615,2,0)</f>
        <v>Alysicarpus vaginalis</v>
      </c>
      <c r="H2216" s="6" t="str">
        <f>VLOOKUP(E2216,dicionario!$A$1:$C2615,3,0)</f>
        <v/>
      </c>
    </row>
    <row r="2217">
      <c r="A2217" s="3">
        <v>45603.0</v>
      </c>
      <c r="B2217" s="4">
        <v>0.3215277777777778</v>
      </c>
      <c r="C2217" s="5" t="s">
        <v>59</v>
      </c>
      <c r="D2217" s="5" t="s">
        <v>667</v>
      </c>
      <c r="E2217" s="6" t="s">
        <v>31</v>
      </c>
      <c r="F2217" s="7" t="s">
        <v>32</v>
      </c>
      <c r="G2217" s="6" t="str">
        <f>VLOOKUP(E2217,dicionario!$A$1:$C2616,2,0)</f>
        <v>Furnarius rufus</v>
      </c>
      <c r="H2217" s="6" t="str">
        <f>VLOOKUP(E2217,dicionario!$A$1:$C2616,3,0)</f>
        <v>joão-de-barro</v>
      </c>
    </row>
    <row r="2218">
      <c r="A2218" s="3">
        <v>45603.0</v>
      </c>
      <c r="B2218" s="4">
        <v>0.3215277777777778</v>
      </c>
      <c r="C2218" s="5" t="s">
        <v>59</v>
      </c>
      <c r="D2218" s="5" t="s">
        <v>667</v>
      </c>
      <c r="E2218" s="6" t="s">
        <v>171</v>
      </c>
      <c r="F2218" s="7" t="s">
        <v>172</v>
      </c>
      <c r="G2218" s="6" t="str">
        <f>VLOOKUP(E2218,dicionario!$A$1:$C2617,2,0)</f>
        <v>Oxalis corniculata</v>
      </c>
      <c r="H2218" s="6" t="str">
        <f>VLOOKUP(E2218,dicionario!$A$1:$C2617,3,0)</f>
        <v>trevo-azedinho</v>
      </c>
    </row>
    <row r="2219">
      <c r="A2219" s="3">
        <v>45603.0</v>
      </c>
      <c r="B2219" s="4">
        <v>0.32222222222222224</v>
      </c>
      <c r="C2219" s="5" t="s">
        <v>59</v>
      </c>
      <c r="D2219" s="5" t="s">
        <v>667</v>
      </c>
      <c r="E2219" s="6" t="s">
        <v>60</v>
      </c>
      <c r="F2219" s="7" t="s">
        <v>61</v>
      </c>
      <c r="G2219" s="6" t="str">
        <f>VLOOKUP(E2219,dicionario!$A$1:$C2618,2,0)</f>
        <v>Vanellus chilensis</v>
      </c>
      <c r="H2219" s="6" t="str">
        <f>VLOOKUP(E2219,dicionario!$A$1:$C2618,3,0)</f>
        <v>quero-quero</v>
      </c>
    </row>
    <row r="2220">
      <c r="A2220" s="3">
        <v>45603.0</v>
      </c>
      <c r="B2220" s="4">
        <v>0.32222222222222224</v>
      </c>
      <c r="C2220" s="5" t="s">
        <v>59</v>
      </c>
      <c r="D2220" s="5" t="s">
        <v>667</v>
      </c>
      <c r="E2220" s="6" t="s">
        <v>103</v>
      </c>
      <c r="F2220" s="7" t="s">
        <v>104</v>
      </c>
      <c r="G2220" s="6" t="str">
        <f>VLOOKUP(E2220,dicionario!$A$1:$C2619,2,0)</f>
        <v>Caracara plancus</v>
      </c>
      <c r="H2220" s="6" t="str">
        <f>VLOOKUP(E2220,dicionario!$A$1:$C2619,3,0)</f>
        <v>carcará </v>
      </c>
    </row>
    <row r="2221">
      <c r="A2221" s="3">
        <v>45603.0</v>
      </c>
      <c r="B2221" s="4">
        <v>0.32222222222222224</v>
      </c>
      <c r="C2221" s="5" t="s">
        <v>59</v>
      </c>
      <c r="D2221" s="5" t="s">
        <v>667</v>
      </c>
      <c r="E2221" s="6" t="s">
        <v>271</v>
      </c>
      <c r="F2221" s="7" t="s">
        <v>272</v>
      </c>
      <c r="G2221" s="6" t="str">
        <f>VLOOKUP(E2221,dicionario!$A$1:$C2620,2,0)</f>
        <v>Cyanthillium cinereum</v>
      </c>
      <c r="H2221" s="6" t="str">
        <f>VLOOKUP(E2221,dicionario!$A$1:$C2620,3,0)</f>
        <v>emília</v>
      </c>
    </row>
    <row r="2222">
      <c r="A2222" s="3">
        <v>45603.0</v>
      </c>
      <c r="B2222" s="4">
        <v>0.32222222222222224</v>
      </c>
      <c r="C2222" s="5" t="s">
        <v>59</v>
      </c>
      <c r="D2222" s="5" t="s">
        <v>667</v>
      </c>
      <c r="E2222" s="6" t="s">
        <v>227</v>
      </c>
      <c r="F2222" s="7" t="s">
        <v>228</v>
      </c>
      <c r="G2222" s="6" t="str">
        <f>VLOOKUP(E2222,dicionario!$A$1:$C2621,2,0)</f>
        <v>Indigofera hirsuta</v>
      </c>
      <c r="H2222" s="6" t="str">
        <f>VLOOKUP(E2222,dicionario!$A$1:$C2621,3,0)</f>
        <v>anileira</v>
      </c>
    </row>
    <row r="2223">
      <c r="A2223" s="3">
        <v>45603.0</v>
      </c>
      <c r="B2223" s="4">
        <v>0.32222222222222224</v>
      </c>
      <c r="C2223" s="5" t="s">
        <v>59</v>
      </c>
      <c r="D2223" s="5" t="s">
        <v>667</v>
      </c>
      <c r="E2223" s="6" t="s">
        <v>286</v>
      </c>
      <c r="F2223" s="7" t="s">
        <v>287</v>
      </c>
      <c r="G2223" s="6" t="str">
        <f>VLOOKUP(E2223,dicionario!$A$1:$C2622,2,0)</f>
        <v>Setaria parviflora</v>
      </c>
      <c r="H2223" s="6" t="str">
        <f>VLOOKUP(E2223,dicionario!$A$1:$C2622,3,0)</f>
        <v>capim-rabo-de-raposa</v>
      </c>
    </row>
    <row r="2224">
      <c r="A2224" s="3">
        <v>45603.0</v>
      </c>
      <c r="B2224" s="4">
        <v>0.3229166666666667</v>
      </c>
      <c r="C2224" s="5" t="s">
        <v>59</v>
      </c>
      <c r="D2224" s="5" t="s">
        <v>667</v>
      </c>
      <c r="E2224" s="6" t="s">
        <v>467</v>
      </c>
      <c r="F2224" s="7" t="s">
        <v>468</v>
      </c>
      <c r="G2224" s="6" t="str">
        <f>VLOOKUP(E2224,dicionario!$A$1:$C2623,2,0)</f>
        <v>Eleusine indica</v>
      </c>
      <c r="H2224" s="6" t="str">
        <f>VLOOKUP(E2224,dicionario!$A$1:$C2623,3,0)</f>
        <v>capim-pé-de-galinha</v>
      </c>
    </row>
    <row r="2225">
      <c r="A2225" s="3">
        <v>45603.0</v>
      </c>
      <c r="B2225" s="4">
        <v>0.3229166666666667</v>
      </c>
      <c r="C2225" s="5" t="s">
        <v>59</v>
      </c>
      <c r="D2225" s="5" t="s">
        <v>667</v>
      </c>
      <c r="E2225" s="6" t="s">
        <v>163</v>
      </c>
      <c r="F2225" s="7" t="s">
        <v>164</v>
      </c>
      <c r="G2225" s="6" t="str">
        <f>VLOOKUP(E2225,dicionario!$A$1:$C2624,2,0)</f>
        <v>Coragyps atratus</v>
      </c>
      <c r="H2225" s="6" t="str">
        <f>VLOOKUP(E2225,dicionario!$A$1:$C2624,3,0)</f>
        <v>urubu-de-cabeça-preta</v>
      </c>
    </row>
    <row r="2226">
      <c r="A2226" s="3">
        <v>45603.0</v>
      </c>
      <c r="B2226" s="4">
        <v>0.3236111111111111</v>
      </c>
      <c r="C2226" s="5" t="s">
        <v>59</v>
      </c>
      <c r="D2226" s="5" t="s">
        <v>667</v>
      </c>
      <c r="E2226" s="6" t="s">
        <v>135</v>
      </c>
      <c r="F2226" s="7" t="s">
        <v>136</v>
      </c>
      <c r="G2226" s="6" t="str">
        <f>VLOOKUP(E2226,dicionario!$A$1:$C2625,2,0)</f>
        <v>Tridax procumbens</v>
      </c>
      <c r="H2226" s="6" t="str">
        <f>VLOOKUP(E2226,dicionario!$A$1:$C2625,3,0)</f>
        <v>erva-de-touro</v>
      </c>
    </row>
    <row r="2227">
      <c r="A2227" s="3">
        <v>45603.0</v>
      </c>
      <c r="B2227" s="4">
        <v>0.3236111111111111</v>
      </c>
      <c r="C2227" s="5" t="s">
        <v>59</v>
      </c>
      <c r="D2227" s="5" t="s">
        <v>667</v>
      </c>
      <c r="E2227" s="6" t="s">
        <v>111</v>
      </c>
      <c r="F2227" s="7" t="s">
        <v>112</v>
      </c>
      <c r="G2227" s="6" t="str">
        <f>VLOOKUP(E2227,dicionario!$A$1:$C2626,2,0)</f>
        <v>Trigona spinipes</v>
      </c>
      <c r="H2227" s="6" t="str">
        <f>VLOOKUP(E2227,dicionario!$A$1:$C2626,3,0)</f>
        <v>abelha-cachorro</v>
      </c>
    </row>
    <row r="2228">
      <c r="A2228" s="3">
        <v>45603.0</v>
      </c>
      <c r="B2228" s="4">
        <v>0.3236111111111111</v>
      </c>
      <c r="C2228" s="5" t="s">
        <v>59</v>
      </c>
      <c r="D2228" s="5" t="s">
        <v>667</v>
      </c>
      <c r="E2228" s="6" t="s">
        <v>229</v>
      </c>
      <c r="F2228" s="7" t="s">
        <v>230</v>
      </c>
      <c r="G2228" s="6" t="str">
        <f>VLOOKUP(E2228,dicionario!$A$1:$C2627,2,0)</f>
        <v>Apis mellifera</v>
      </c>
      <c r="H2228" s="6" t="str">
        <f>VLOOKUP(E2228,dicionario!$A$1:$C2627,3,0)</f>
        <v>abelha-do-mel</v>
      </c>
    </row>
    <row r="2229">
      <c r="A2229" s="3">
        <v>45603.0</v>
      </c>
      <c r="B2229" s="4">
        <v>0.3236111111111111</v>
      </c>
      <c r="C2229" s="5" t="s">
        <v>59</v>
      </c>
      <c r="D2229" s="5" t="s">
        <v>667</v>
      </c>
      <c r="E2229" s="6" t="s">
        <v>146</v>
      </c>
      <c r="F2229" s="7" t="s">
        <v>147</v>
      </c>
      <c r="G2229" s="6" t="str">
        <f>VLOOKUP(E2229,dicionario!$A$1:$C2628,2,0)</f>
        <v>Euphorbia hirta</v>
      </c>
      <c r="H2229" s="6" t="str">
        <f>VLOOKUP(E2229,dicionario!$A$1:$C2628,3,0)</f>
        <v>erva-de-santa-luzia</v>
      </c>
    </row>
    <row r="2230">
      <c r="A2230" s="3">
        <v>45603.0</v>
      </c>
      <c r="B2230" s="4">
        <v>0.3236111111111111</v>
      </c>
      <c r="C2230" s="5" t="s">
        <v>59</v>
      </c>
      <c r="D2230" s="5" t="s">
        <v>667</v>
      </c>
      <c r="E2230" s="6" t="s">
        <v>225</v>
      </c>
      <c r="F2230" s="7" t="s">
        <v>226</v>
      </c>
      <c r="G2230" s="6" t="str">
        <f>VLOOKUP(E2230,dicionario!$A$1:$C2629,2,0)</f>
        <v>Passer domesticus</v>
      </c>
      <c r="H2230" s="6" t="str">
        <f>VLOOKUP(E2230,dicionario!$A$1:$C2629,3,0)</f>
        <v>pardal</v>
      </c>
    </row>
    <row r="2231">
      <c r="A2231" s="3">
        <v>45603.0</v>
      </c>
      <c r="B2231" s="4">
        <v>0.325</v>
      </c>
      <c r="C2231" s="5" t="s">
        <v>50</v>
      </c>
      <c r="D2231" s="5" t="s">
        <v>667</v>
      </c>
      <c r="E2231" s="9" t="s">
        <v>22</v>
      </c>
      <c r="F2231" s="7" t="s">
        <v>97</v>
      </c>
      <c r="G2231" s="6" t="str">
        <f>VLOOKUP(E2231,dicionario!$A$1:$C2630,2,0)</f>
        <v>Zenaida auriculata</v>
      </c>
      <c r="H2231" s="6" t="str">
        <f>VLOOKUP(E2231,dicionario!$A$1:$C2630,3,0)</f>
        <v>pomba-de-bando; avoante</v>
      </c>
    </row>
    <row r="2232">
      <c r="A2232" s="3">
        <v>45603.0</v>
      </c>
      <c r="B2232" s="4">
        <v>0.325</v>
      </c>
      <c r="C2232" s="5" t="s">
        <v>50</v>
      </c>
      <c r="D2232" s="5" t="s">
        <v>667</v>
      </c>
      <c r="E2232" s="6" t="s">
        <v>215</v>
      </c>
      <c r="F2232" s="7" t="s">
        <v>216</v>
      </c>
      <c r="G2232" s="6" t="str">
        <f>VLOOKUP(E2232,dicionario!$A$1:$C2631,2,0)</f>
        <v>Pygochelidon cyanoleuca</v>
      </c>
      <c r="H2232" s="6" t="str">
        <f>VLOOKUP(E2232,dicionario!$A$1:$C2631,3,0)</f>
        <v>andorinha-pequena-de-casa</v>
      </c>
    </row>
    <row r="2233">
      <c r="A2233" s="3">
        <v>45603.0</v>
      </c>
      <c r="B2233" s="4">
        <v>0.325</v>
      </c>
      <c r="C2233" s="5" t="s">
        <v>50</v>
      </c>
      <c r="D2233" s="5" t="s">
        <v>667</v>
      </c>
      <c r="E2233" s="6" t="s">
        <v>88</v>
      </c>
      <c r="F2233" s="7" t="s">
        <v>89</v>
      </c>
      <c r="G2233" s="6" t="str">
        <f>VLOOKUP(E2233,dicionario!$A$1:$C2632,2,0)</f>
        <v>Tyrannus melancolichus</v>
      </c>
      <c r="H2233" s="6" t="str">
        <f>VLOOKUP(E2233,dicionario!$A$1:$C2632,3,0)</f>
        <v>suiriri</v>
      </c>
    </row>
    <row r="2234">
      <c r="A2234" s="3">
        <v>45603.0</v>
      </c>
      <c r="B2234" s="4">
        <v>0.325</v>
      </c>
      <c r="C2234" s="5" t="s">
        <v>50</v>
      </c>
      <c r="D2234" s="5" t="s">
        <v>667</v>
      </c>
      <c r="E2234" s="6" t="s">
        <v>163</v>
      </c>
      <c r="F2234" s="7" t="s">
        <v>164</v>
      </c>
      <c r="G2234" s="6" t="str">
        <f>VLOOKUP(E2234,dicionario!$A$1:$C2633,2,0)</f>
        <v>Coragyps atratus</v>
      </c>
      <c r="H2234" s="6" t="str">
        <f>VLOOKUP(E2234,dicionario!$A$1:$C2633,3,0)</f>
        <v>urubu-de-cabeça-preta</v>
      </c>
    </row>
    <row r="2235">
      <c r="A2235" s="3">
        <v>45603.0</v>
      </c>
      <c r="B2235" s="4">
        <v>0.325</v>
      </c>
      <c r="C2235" s="5" t="s">
        <v>50</v>
      </c>
      <c r="D2235" s="5" t="s">
        <v>667</v>
      </c>
      <c r="E2235" s="6" t="s">
        <v>113</v>
      </c>
      <c r="F2235" s="7" t="s">
        <v>114</v>
      </c>
      <c r="G2235" s="6" t="str">
        <f>VLOOKUP(E2235,dicionario!$A$1:$C2634,2,0)</f>
        <v>Columbina talpacoti</v>
      </c>
      <c r="H2235" s="6" t="str">
        <f>VLOOKUP(E2235,dicionario!$A$1:$C2634,3,0)</f>
        <v>rolinha-roxa</v>
      </c>
    </row>
    <row r="2236">
      <c r="A2236" s="3">
        <v>45603.0</v>
      </c>
      <c r="B2236" s="4">
        <v>0.325</v>
      </c>
      <c r="C2236" s="5" t="s">
        <v>50</v>
      </c>
      <c r="D2236" s="5" t="s">
        <v>667</v>
      </c>
      <c r="E2236" s="6" t="s">
        <v>225</v>
      </c>
      <c r="F2236" s="7" t="s">
        <v>226</v>
      </c>
      <c r="G2236" s="6" t="str">
        <f>VLOOKUP(E2236,dicionario!$A$1:$C2635,2,0)</f>
        <v>Passer domesticus</v>
      </c>
      <c r="H2236" s="6" t="str">
        <f>VLOOKUP(E2236,dicionario!$A$1:$C2635,3,0)</f>
        <v>pardal</v>
      </c>
    </row>
    <row r="2237">
      <c r="A2237" s="3">
        <v>45603.0</v>
      </c>
      <c r="B2237" s="4">
        <v>0.325</v>
      </c>
      <c r="C2237" s="5" t="s">
        <v>50</v>
      </c>
      <c r="D2237" s="5" t="s">
        <v>667</v>
      </c>
      <c r="E2237" s="6" t="s">
        <v>65</v>
      </c>
      <c r="F2237" s="7" t="s">
        <v>66</v>
      </c>
      <c r="G2237" s="6" t="str">
        <f>VLOOKUP(E2237,dicionario!$A$1:$C2636,2,0)</f>
        <v>Pitangus sulphutarus</v>
      </c>
      <c r="H2237" s="6" t="str">
        <f>VLOOKUP(E2237,dicionario!$A$1:$C2636,3,0)</f>
        <v>bem-te-vi</v>
      </c>
    </row>
    <row r="2238">
      <c r="A2238" s="3">
        <v>45603.0</v>
      </c>
      <c r="B2238" s="4">
        <v>0.325</v>
      </c>
      <c r="C2238" s="5" t="s">
        <v>50</v>
      </c>
      <c r="D2238" s="5" t="s">
        <v>667</v>
      </c>
      <c r="E2238" s="6" t="s">
        <v>606</v>
      </c>
      <c r="F2238" s="7" t="s">
        <v>607</v>
      </c>
      <c r="G2238" s="6" t="str">
        <f>VLOOKUP(E2238,dicionario!$A$1:$C2637,2,0)</f>
        <v>Elaenia spectabilis</v>
      </c>
      <c r="H2238" s="6" t="str">
        <f>VLOOKUP(E2238,dicionario!$A$1:$C2637,3,0)</f>
        <v>guaracava-grande</v>
      </c>
    </row>
    <row r="2239">
      <c r="A2239" s="3">
        <v>45603.0</v>
      </c>
      <c r="B2239" s="4">
        <v>0.32569444444444445</v>
      </c>
      <c r="C2239" s="5" t="s">
        <v>50</v>
      </c>
      <c r="D2239" s="5" t="s">
        <v>667</v>
      </c>
      <c r="E2239" s="6" t="s">
        <v>154</v>
      </c>
      <c r="F2239" s="7" t="s">
        <v>155</v>
      </c>
      <c r="G2239" s="6" t="str">
        <f>VLOOKUP(E2239,dicionario!$A$1:$C2638,2,0)</f>
        <v>Cyperus rotundus</v>
      </c>
      <c r="H2239" s="6" t="str">
        <f>VLOOKUP(E2239,dicionario!$A$1:$C2638,3,0)</f>
        <v>tiririca</v>
      </c>
    </row>
    <row r="2240">
      <c r="A2240" s="3">
        <v>45603.0</v>
      </c>
      <c r="B2240" s="4">
        <v>0.3263888888888889</v>
      </c>
      <c r="C2240" s="5" t="s">
        <v>50</v>
      </c>
      <c r="D2240" s="5" t="s">
        <v>667</v>
      </c>
      <c r="E2240" s="6" t="s">
        <v>91</v>
      </c>
      <c r="F2240" s="5" t="s">
        <v>92</v>
      </c>
      <c r="G2240" s="6" t="str">
        <f>VLOOKUP(E2240,dicionario!$A$1:$C2639,2,0)</f>
        <v>Picumnus cirratus</v>
      </c>
      <c r="H2240" s="6" t="str">
        <f>VLOOKUP(E2240,dicionario!$A$1:$C2639,3,0)</f>
        <v>picapauzinho-barrado</v>
      </c>
    </row>
    <row r="2241">
      <c r="A2241" s="3">
        <v>45603.0</v>
      </c>
      <c r="B2241" s="4">
        <v>0.3263888888888889</v>
      </c>
      <c r="C2241" s="5" t="s">
        <v>50</v>
      </c>
      <c r="D2241" s="5" t="s">
        <v>667</v>
      </c>
      <c r="E2241" s="6" t="s">
        <v>55</v>
      </c>
      <c r="F2241" s="5" t="s">
        <v>56</v>
      </c>
      <c r="G2241" s="6" t="str">
        <f>VLOOKUP(E2241,dicionario!$A$1:$C2640,2,0)</f>
        <v>Cubaris murina</v>
      </c>
      <c r="H2241" s="6" t="str">
        <f>VLOOKUP(E2241,dicionario!$A$1:$C2640,3,0)</f>
        <v>tatuzinho-de-jardim</v>
      </c>
    </row>
    <row r="2242">
      <c r="A2242" s="3">
        <v>45603.0</v>
      </c>
      <c r="B2242" s="4">
        <v>0.3263888888888889</v>
      </c>
      <c r="C2242" s="5" t="s">
        <v>50</v>
      </c>
      <c r="D2242" s="5" t="s">
        <v>667</v>
      </c>
      <c r="E2242" s="6" t="s">
        <v>57</v>
      </c>
      <c r="F2242" s="7" t="s">
        <v>559</v>
      </c>
      <c r="G2242" s="6" t="str">
        <f>VLOOKUP(E2242,dicionario!$A$1:$C2641,2,0)</f>
        <v>Juliformia</v>
      </c>
      <c r="H2242" s="6" t="str">
        <f>VLOOKUP(E2242,dicionario!$A$1:$C2641,3,0)</f>
        <v>gongolo; maria-café</v>
      </c>
    </row>
    <row r="2243">
      <c r="A2243" s="3">
        <v>45603.0</v>
      </c>
      <c r="B2243" s="4">
        <v>0.3263888888888889</v>
      </c>
      <c r="C2243" s="5" t="s">
        <v>50</v>
      </c>
      <c r="D2243" s="5" t="s">
        <v>667</v>
      </c>
      <c r="E2243" s="8" t="s">
        <v>693</v>
      </c>
      <c r="F2243" s="7" t="s">
        <v>694</v>
      </c>
      <c r="G2243" s="6" t="str">
        <f>VLOOKUP(E2243,dicionario!$A$1:$C2642,2,0)</f>
        <v>Sarasinula plebeia</v>
      </c>
      <c r="H2243" s="6" t="str">
        <f>VLOOKUP(E2243,dicionario!$A$1:$C2642,3,0)</f>
        <v>lesma-feijão</v>
      </c>
    </row>
    <row r="2244">
      <c r="A2244" s="3">
        <v>45603.0</v>
      </c>
      <c r="B2244" s="4">
        <v>0.3263888888888889</v>
      </c>
      <c r="C2244" s="5" t="s">
        <v>50</v>
      </c>
      <c r="D2244" s="5" t="s">
        <v>667</v>
      </c>
      <c r="E2244" s="6" t="s">
        <v>55</v>
      </c>
      <c r="F2244" s="5" t="s">
        <v>695</v>
      </c>
      <c r="G2244" s="6" t="str">
        <f>VLOOKUP(E2244,dicionario!$A$1:$C2643,2,0)</f>
        <v>Cubaris murina</v>
      </c>
      <c r="H2244" s="6" t="str">
        <f>VLOOKUP(E2244,dicionario!$A$1:$C2643,3,0)</f>
        <v>tatuzinho-de-jardim</v>
      </c>
    </row>
    <row r="2245">
      <c r="A2245" s="3">
        <v>45603.0</v>
      </c>
      <c r="B2245" s="4">
        <v>0.3263888888888889</v>
      </c>
      <c r="C2245" s="5" t="s">
        <v>50</v>
      </c>
      <c r="D2245" s="5" t="s">
        <v>667</v>
      </c>
      <c r="E2245" s="6" t="s">
        <v>696</v>
      </c>
      <c r="F2245" s="7" t="s">
        <v>619</v>
      </c>
      <c r="G2245" s="6" t="str">
        <f>VLOOKUP(E2245,dicionario!$A$1:$C2644,2,0)</f>
        <v>Gryne</v>
      </c>
      <c r="H2245" s="6" t="str">
        <f>VLOOKUP(E2245,dicionario!$A$1:$C2644,3,0)</f>
        <v>opilião</v>
      </c>
    </row>
    <row r="2246">
      <c r="A2246" s="3">
        <v>45603.0</v>
      </c>
      <c r="B2246" s="4">
        <v>0.3263888888888889</v>
      </c>
      <c r="C2246" s="5" t="s">
        <v>50</v>
      </c>
      <c r="D2246" s="5" t="s">
        <v>667</v>
      </c>
      <c r="E2246" s="6" t="s">
        <v>29</v>
      </c>
      <c r="F2246" s="7" t="s">
        <v>30</v>
      </c>
      <c r="G2246" s="6" t="str">
        <f>VLOOKUP(E2246,dicionario!$A$1:$C2645,2,0)</f>
        <v>Pycnoscelus surinamensis</v>
      </c>
      <c r="H2246" s="6" t="str">
        <f>VLOOKUP(E2246,dicionario!$A$1:$C2645,3,0)</f>
        <v>Barata-de-jardim</v>
      </c>
    </row>
    <row r="2247">
      <c r="A2247" s="3">
        <v>45603.0</v>
      </c>
      <c r="B2247" s="4">
        <v>0.3263888888888889</v>
      </c>
      <c r="C2247" s="5" t="s">
        <v>50</v>
      </c>
      <c r="D2247" s="5" t="s">
        <v>667</v>
      </c>
      <c r="E2247" s="6" t="s">
        <v>51</v>
      </c>
      <c r="F2247" s="7" t="s">
        <v>77</v>
      </c>
      <c r="G2247" s="6" t="str">
        <f>VLOOKUP(E2247,dicionario!$A$1:$C2646,2,0)</f>
        <v>Solenopsis</v>
      </c>
      <c r="H2247" s="6" t="str">
        <f>VLOOKUP(E2247,dicionario!$A$1:$C2646,3,0)</f>
        <v>formiga-quente; formiga-lava-pés; formiga-de-fogo</v>
      </c>
    </row>
    <row r="2248">
      <c r="A2248" s="3">
        <v>45603.0</v>
      </c>
      <c r="B2248" s="4">
        <v>0.32708333333333334</v>
      </c>
      <c r="C2248" s="5" t="s">
        <v>50</v>
      </c>
      <c r="D2248" s="5" t="s">
        <v>667</v>
      </c>
      <c r="E2248" s="6" t="s">
        <v>697</v>
      </c>
      <c r="F2248" s="7" t="s">
        <v>234</v>
      </c>
      <c r="G2248" s="6" t="str">
        <f>VLOOKUP(E2248,dicionario!$A$1:$C2647,2,0)</f>
        <v>#N/A</v>
      </c>
      <c r="H2248" s="6" t="str">
        <f>VLOOKUP(E2248,dicionario!$A$1:$C2647,3,0)</f>
        <v>#N/A</v>
      </c>
    </row>
    <row r="2249">
      <c r="A2249" s="3">
        <v>45603.0</v>
      </c>
      <c r="B2249" s="4">
        <v>0.32708333333333334</v>
      </c>
      <c r="C2249" s="5" t="s">
        <v>50</v>
      </c>
      <c r="D2249" s="5" t="s">
        <v>667</v>
      </c>
      <c r="E2249" s="6" t="s">
        <v>69</v>
      </c>
      <c r="F2249" s="7" t="s">
        <v>71</v>
      </c>
      <c r="G2249" s="6" t="str">
        <f>VLOOKUP(E2249,dicionario!$A$1:$C2648,2,0)</f>
        <v>Talinum fruticosum</v>
      </c>
      <c r="H2249" s="6" t="str">
        <f>VLOOKUP(E2249,dicionario!$A$1:$C2648,3,0)</f>
        <v>beldroega-grande</v>
      </c>
    </row>
    <row r="2250">
      <c r="A2250" s="3">
        <v>45603.0</v>
      </c>
      <c r="B2250" s="4">
        <v>0.32708333333333334</v>
      </c>
      <c r="C2250" s="5" t="s">
        <v>50</v>
      </c>
      <c r="D2250" s="5" t="s">
        <v>667</v>
      </c>
      <c r="E2250" s="8" t="s">
        <v>388</v>
      </c>
      <c r="F2250" s="5" t="s">
        <v>389</v>
      </c>
      <c r="G2250" s="6" t="str">
        <f>VLOOKUP(E2250,dicionario!$A$1:$C2649,2,0)</f>
        <v>Bulimulus tenuissimus</v>
      </c>
      <c r="H2250" s="6" t="str">
        <f>VLOOKUP(E2250,dicionario!$A$1:$C2649,3,0)</f>
        <v>caracol-fantasma</v>
      </c>
    </row>
    <row r="2251">
      <c r="A2251" s="3">
        <v>45603.0</v>
      </c>
      <c r="B2251" s="4">
        <v>0.3284722222222222</v>
      </c>
      <c r="C2251" s="5" t="s">
        <v>50</v>
      </c>
      <c r="D2251" s="5" t="s">
        <v>667</v>
      </c>
      <c r="E2251" s="6" t="s">
        <v>213</v>
      </c>
      <c r="F2251" s="7" t="s">
        <v>214</v>
      </c>
      <c r="G2251" s="6" t="str">
        <f>VLOOKUP(E2251,dicionario!$A$1:$C2650,2,0)</f>
        <v>Myiozetetes similis</v>
      </c>
      <c r="H2251" s="6" t="str">
        <f>VLOOKUP(E2251,dicionario!$A$1:$C2650,3,0)</f>
        <v>bentevizinho-de-penacho-vermelho</v>
      </c>
    </row>
    <row r="2252">
      <c r="A2252" s="3">
        <v>45603.0</v>
      </c>
      <c r="B2252" s="4">
        <v>0.3284722222222222</v>
      </c>
      <c r="C2252" s="5" t="s">
        <v>50</v>
      </c>
      <c r="D2252" s="5" t="s">
        <v>667</v>
      </c>
      <c r="E2252" s="6" t="s">
        <v>154</v>
      </c>
      <c r="F2252" s="7" t="s">
        <v>155</v>
      </c>
      <c r="G2252" s="6" t="str">
        <f>VLOOKUP(E2252,dicionario!$A$1:$C2651,2,0)</f>
        <v>Cyperus rotundus</v>
      </c>
      <c r="H2252" s="6" t="str">
        <f>VLOOKUP(E2252,dicionario!$A$1:$C2651,3,0)</f>
        <v>tiririca</v>
      </c>
    </row>
    <row r="2253">
      <c r="A2253" s="3">
        <v>45603.0</v>
      </c>
      <c r="B2253" s="4">
        <v>0.3284722222222222</v>
      </c>
      <c r="C2253" s="5" t="s">
        <v>50</v>
      </c>
      <c r="D2253" s="5" t="s">
        <v>667</v>
      </c>
      <c r="E2253" s="8" t="s">
        <v>195</v>
      </c>
      <c r="F2253" s="7" t="s">
        <v>698</v>
      </c>
      <c r="G2253" s="6" t="str">
        <f>VLOOKUP(E2253,dicionario!$A$1:$C2652,2,0)</f>
        <v>Priva lappulacea</v>
      </c>
      <c r="H2253" s="6" t="str">
        <f>VLOOKUP(E2253,dicionario!$A$1:$C2652,3,0)</f>
        <v>carrapicho</v>
      </c>
    </row>
    <row r="2254">
      <c r="A2254" s="3">
        <v>45603.0</v>
      </c>
      <c r="B2254" s="4">
        <v>0.3284722222222222</v>
      </c>
      <c r="C2254" s="5" t="s">
        <v>50</v>
      </c>
      <c r="D2254" s="5" t="s">
        <v>667</v>
      </c>
      <c r="E2254" s="6" t="s">
        <v>48</v>
      </c>
      <c r="F2254" s="7" t="s">
        <v>49</v>
      </c>
      <c r="G2254" s="6" t="str">
        <f>VLOOKUP(E2254,dicionario!$A$1:$C2653,2,0)</f>
        <v>Commelina erecta</v>
      </c>
      <c r="H2254" s="6" t="str">
        <f>VLOOKUP(E2254,dicionario!$A$1:$C2653,3,0)</f>
        <v>trapoeraba</v>
      </c>
    </row>
    <row r="2255">
      <c r="A2255" s="3">
        <v>45603.0</v>
      </c>
      <c r="B2255" s="4">
        <v>0.3284722222222222</v>
      </c>
      <c r="C2255" s="5" t="s">
        <v>50</v>
      </c>
      <c r="D2255" s="5" t="s">
        <v>667</v>
      </c>
      <c r="E2255" s="6" t="s">
        <v>146</v>
      </c>
      <c r="F2255" s="7" t="s">
        <v>147</v>
      </c>
      <c r="G2255" s="6" t="str">
        <f>VLOOKUP(E2255,dicionario!$A$1:$C2654,2,0)</f>
        <v>Euphorbia hirta</v>
      </c>
      <c r="H2255" s="6" t="str">
        <f>VLOOKUP(E2255,dicionario!$A$1:$C2654,3,0)</f>
        <v>erva-de-santa-luzia</v>
      </c>
    </row>
    <row r="2256">
      <c r="A2256" s="3">
        <v>45603.0</v>
      </c>
      <c r="B2256" s="4">
        <v>0.3284722222222222</v>
      </c>
      <c r="C2256" s="5" t="s">
        <v>50</v>
      </c>
      <c r="D2256" s="5" t="s">
        <v>667</v>
      </c>
      <c r="E2256" s="6" t="s">
        <v>150</v>
      </c>
      <c r="F2256" s="7" t="s">
        <v>151</v>
      </c>
      <c r="G2256" s="6" t="str">
        <f>VLOOKUP(E2256,dicionario!$A$1:$C2655,2,0)</f>
        <v>Amaranthus viridis</v>
      </c>
      <c r="H2256" s="6" t="str">
        <f>VLOOKUP(E2256,dicionario!$A$1:$C2655,3,0)</f>
        <v>caruru-de-mancha</v>
      </c>
    </row>
    <row r="2257">
      <c r="A2257" s="3">
        <v>45603.0</v>
      </c>
      <c r="B2257" s="4">
        <v>0.3284722222222222</v>
      </c>
      <c r="C2257" s="5" t="s">
        <v>50</v>
      </c>
      <c r="D2257" s="5" t="s">
        <v>667</v>
      </c>
      <c r="E2257" s="6" t="s">
        <v>227</v>
      </c>
      <c r="F2257" s="7" t="s">
        <v>228</v>
      </c>
      <c r="G2257" s="6" t="str">
        <f>VLOOKUP(E2257,dicionario!$A$1:$C2656,2,0)</f>
        <v>Indigofera hirsuta</v>
      </c>
      <c r="H2257" s="6" t="str">
        <f>VLOOKUP(E2257,dicionario!$A$1:$C2656,3,0)</f>
        <v>anileira</v>
      </c>
    </row>
    <row r="2258">
      <c r="A2258" s="3">
        <v>45603.0</v>
      </c>
      <c r="B2258" s="4">
        <v>0.3284722222222222</v>
      </c>
      <c r="C2258" s="5" t="s">
        <v>50</v>
      </c>
      <c r="D2258" s="5" t="s">
        <v>667</v>
      </c>
      <c r="E2258" s="6" t="s">
        <v>148</v>
      </c>
      <c r="F2258" s="7" t="s">
        <v>149</v>
      </c>
      <c r="G2258" s="6" t="str">
        <f>VLOOKUP(E2258,dicionario!$A$1:$C2657,2,0)</f>
        <v>Parthenium hysterophorus</v>
      </c>
      <c r="H2258" s="6" t="str">
        <f>VLOOKUP(E2258,dicionario!$A$1:$C2657,3,0)</f>
        <v>losna-branca</v>
      </c>
    </row>
    <row r="2259">
      <c r="A2259" s="3">
        <v>45603.0</v>
      </c>
      <c r="B2259" s="4">
        <v>0.3284722222222222</v>
      </c>
      <c r="C2259" s="5" t="s">
        <v>50</v>
      </c>
      <c r="D2259" s="5" t="s">
        <v>667</v>
      </c>
      <c r="E2259" s="8" t="s">
        <v>548</v>
      </c>
      <c r="F2259" s="7" t="s">
        <v>549</v>
      </c>
      <c r="G2259" s="6" t="str">
        <f>VLOOKUP(E2259,dicionario!$A$1:$C2658,2,0)</f>
        <v>Ricinus communis</v>
      </c>
      <c r="H2259" s="6" t="str">
        <f>VLOOKUP(E2259,dicionario!$A$1:$C2658,3,0)</f>
        <v>mamona</v>
      </c>
    </row>
    <row r="2260">
      <c r="A2260" s="3">
        <v>45603.0</v>
      </c>
      <c r="B2260" s="4">
        <v>0.3284722222222222</v>
      </c>
      <c r="C2260" s="5" t="s">
        <v>50</v>
      </c>
      <c r="D2260" s="5" t="s">
        <v>667</v>
      </c>
      <c r="E2260" s="6" t="s">
        <v>239</v>
      </c>
      <c r="F2260" s="7" t="s">
        <v>240</v>
      </c>
      <c r="G2260" s="6" t="str">
        <f>VLOOKUP(E2260,dicionario!$A$1:$C2659,2,0)</f>
        <v>Gomphrena celosioides</v>
      </c>
      <c r="H2260" s="6" t="str">
        <f>VLOOKUP(E2260,dicionario!$A$1:$C2659,3,0)</f>
        <v>perpétua-branca</v>
      </c>
    </row>
    <row r="2261">
      <c r="A2261" s="3">
        <v>45603.0</v>
      </c>
      <c r="B2261" s="4">
        <v>0.3284722222222222</v>
      </c>
      <c r="C2261" s="5" t="s">
        <v>50</v>
      </c>
      <c r="D2261" s="5" t="s">
        <v>667</v>
      </c>
      <c r="E2261" s="8" t="s">
        <v>592</v>
      </c>
      <c r="F2261" s="7" t="s">
        <v>28</v>
      </c>
      <c r="G2261" s="6" t="str">
        <f>VLOOKUP(E2261,dicionario!$A$1:$C2660,2,0)</f>
        <v>#N/A</v>
      </c>
      <c r="H2261" s="6" t="str">
        <f>VLOOKUP(E2261,dicionario!$A$1:$C2660,3,0)</f>
        <v>#N/A</v>
      </c>
    </row>
    <row r="2262">
      <c r="A2262" s="3">
        <v>45603.0</v>
      </c>
      <c r="B2262" s="4">
        <v>0.3284722222222222</v>
      </c>
      <c r="C2262" s="5" t="s">
        <v>50</v>
      </c>
      <c r="D2262" s="5" t="s">
        <v>667</v>
      </c>
      <c r="E2262" s="6" t="s">
        <v>699</v>
      </c>
      <c r="F2262" s="7" t="s">
        <v>458</v>
      </c>
      <c r="G2262" s="6" t="str">
        <f>VLOOKUP(E2262,dicionario!$A$1:$C2661,2,0)</f>
        <v>#N/A</v>
      </c>
      <c r="H2262" s="6" t="str">
        <f>VLOOKUP(E2262,dicionario!$A$1:$C2661,3,0)</f>
        <v>#N/A</v>
      </c>
    </row>
    <row r="2263">
      <c r="A2263" s="3">
        <v>45603.0</v>
      </c>
      <c r="B2263" s="4">
        <v>0.3284722222222222</v>
      </c>
      <c r="C2263" s="5" t="s">
        <v>50</v>
      </c>
      <c r="D2263" s="5" t="s">
        <v>667</v>
      </c>
      <c r="E2263" s="6" t="s">
        <v>471</v>
      </c>
      <c r="F2263" s="7" t="s">
        <v>472</v>
      </c>
      <c r="G2263" s="6" t="str">
        <f>VLOOKUP(E2263,dicionario!$A$1:$C2662,2,0)</f>
        <v>Sida acuta</v>
      </c>
      <c r="H2263" s="6" t="str">
        <f>VLOOKUP(E2263,dicionario!$A$1:$C2662,3,0)</f>
        <v>reloginho</v>
      </c>
    </row>
    <row r="2264">
      <c r="A2264" s="3">
        <v>45603.0</v>
      </c>
      <c r="B2264" s="4">
        <v>0.3284722222222222</v>
      </c>
      <c r="C2264" s="5" t="s">
        <v>50</v>
      </c>
      <c r="D2264" s="5" t="s">
        <v>667</v>
      </c>
      <c r="E2264" s="6" t="s">
        <v>135</v>
      </c>
      <c r="F2264" s="7" t="s">
        <v>136</v>
      </c>
      <c r="G2264" s="6" t="str">
        <f>VLOOKUP(E2264,dicionario!$A$1:$C2663,2,0)</f>
        <v>Tridax procumbens</v>
      </c>
      <c r="H2264" s="6" t="str">
        <f>VLOOKUP(E2264,dicionario!$A$1:$C2663,3,0)</f>
        <v>erva-de-touro</v>
      </c>
    </row>
    <row r="2265">
      <c r="A2265" s="3">
        <v>45603.0</v>
      </c>
      <c r="B2265" s="4">
        <v>0.3284722222222222</v>
      </c>
      <c r="C2265" s="5" t="s">
        <v>50</v>
      </c>
      <c r="D2265" s="5" t="s">
        <v>667</v>
      </c>
      <c r="E2265" s="6" t="s">
        <v>613</v>
      </c>
      <c r="F2265" s="7" t="s">
        <v>614</v>
      </c>
      <c r="G2265" s="6" t="str">
        <f>VLOOKUP(E2265,dicionario!$A$1:$C2664,2,0)</f>
        <v>Euphorbia hyssopifolia</v>
      </c>
      <c r="H2265" s="6" t="str">
        <f>VLOOKUP(E2265,dicionario!$A$1:$C2664,3,0)</f>
        <v>maria-leite</v>
      </c>
    </row>
    <row r="2266">
      <c r="A2266" s="3">
        <v>45603.0</v>
      </c>
      <c r="B2266" s="4">
        <v>0.3298611111111111</v>
      </c>
      <c r="C2266" s="5" t="s">
        <v>50</v>
      </c>
      <c r="D2266" s="5" t="s">
        <v>667</v>
      </c>
      <c r="E2266" s="8" t="s">
        <v>355</v>
      </c>
      <c r="F2266" s="5" t="s">
        <v>356</v>
      </c>
      <c r="G2266" s="6" t="str">
        <f>VLOOKUP(E2266,dicionario!$A$1:$C2665,2,0)</f>
        <v>Boerhavia diffusa</v>
      </c>
      <c r="H2266" s="6" t="str">
        <f>VLOOKUP(E2266,dicionario!$A$1:$C2665,3,0)</f>
        <v>erva-tostão</v>
      </c>
    </row>
    <row r="2267">
      <c r="A2267" s="3">
        <v>45603.0</v>
      </c>
      <c r="B2267" s="4">
        <v>0.3298611111111111</v>
      </c>
      <c r="C2267" s="5" t="s">
        <v>50</v>
      </c>
      <c r="D2267" s="5" t="s">
        <v>667</v>
      </c>
      <c r="E2267" s="6" t="s">
        <v>262</v>
      </c>
      <c r="F2267" s="7" t="s">
        <v>263</v>
      </c>
      <c r="G2267" s="6" t="str">
        <f>VLOOKUP(E2267,dicionario!$A$1:$C2666,2,0)</f>
        <v>Portulaca oleracea</v>
      </c>
      <c r="H2267" s="6" t="str">
        <f>VLOOKUP(E2267,dicionario!$A$1:$C2666,3,0)</f>
        <v>beldroega</v>
      </c>
    </row>
    <row r="2268">
      <c r="A2268" s="3">
        <v>45603.0</v>
      </c>
      <c r="B2268" s="4">
        <v>0.3298611111111111</v>
      </c>
      <c r="C2268" s="5" t="s">
        <v>50</v>
      </c>
      <c r="D2268" s="5" t="s">
        <v>667</v>
      </c>
      <c r="E2268" s="6" t="s">
        <v>253</v>
      </c>
      <c r="F2268" s="7" t="s">
        <v>254</v>
      </c>
      <c r="G2268" s="6" t="str">
        <f>VLOOKUP(E2268,dicionario!$A$1:$C2667,2,0)</f>
        <v>Panicum maximum</v>
      </c>
      <c r="H2268" s="6" t="str">
        <f>VLOOKUP(E2268,dicionario!$A$1:$C2667,3,0)</f>
        <v>capim-colonião</v>
      </c>
    </row>
    <row r="2269">
      <c r="A2269" s="3">
        <v>45603.0</v>
      </c>
      <c r="B2269" s="4">
        <v>0.3298611111111111</v>
      </c>
      <c r="C2269" s="5" t="s">
        <v>50</v>
      </c>
      <c r="D2269" s="5" t="s">
        <v>667</v>
      </c>
      <c r="E2269" s="6" t="s">
        <v>181</v>
      </c>
      <c r="F2269" s="7" t="s">
        <v>182</v>
      </c>
      <c r="G2269" s="6" t="str">
        <f>VLOOKUP(E2269,dicionario!$A$1:$C2668,2,0)</f>
        <v>#N/A</v>
      </c>
      <c r="H2269" s="6" t="str">
        <f>VLOOKUP(E2269,dicionario!$A$1:$C2668,3,0)</f>
        <v>#N/A</v>
      </c>
    </row>
    <row r="2270">
      <c r="A2270" s="3">
        <v>45603.0</v>
      </c>
      <c r="B2270" s="4">
        <v>0.33055555555555555</v>
      </c>
      <c r="C2270" s="5" t="s">
        <v>50</v>
      </c>
      <c r="D2270" s="5" t="s">
        <v>667</v>
      </c>
      <c r="E2270" s="6" t="s">
        <v>401</v>
      </c>
      <c r="F2270" s="7" t="s">
        <v>464</v>
      </c>
      <c r="G2270" s="6" t="str">
        <f>VLOOKUP(E2270,dicionario!$A$1:$C2669,2,0)</f>
        <v>Cissus verticillata</v>
      </c>
      <c r="H2270" s="6" t="str">
        <f>VLOOKUP(E2270,dicionario!$A$1:$C2669,3,0)</f>
        <v>uva-do-mato</v>
      </c>
    </row>
    <row r="2271">
      <c r="A2271" s="3">
        <v>45603.0</v>
      </c>
      <c r="B2271" s="4">
        <v>0.33055555555555555</v>
      </c>
      <c r="C2271" s="5" t="s">
        <v>50</v>
      </c>
      <c r="D2271" s="5" t="s">
        <v>667</v>
      </c>
      <c r="E2271" s="6" t="s">
        <v>296</v>
      </c>
      <c r="F2271" s="7" t="s">
        <v>297</v>
      </c>
      <c r="G2271" s="6" t="str">
        <f>VLOOKUP(E2271,dicionario!$A$1:$C2670,2,0)</f>
        <v>Richardia brasiliensis</v>
      </c>
      <c r="H2271" s="6" t="str">
        <f>VLOOKUP(E2271,dicionario!$A$1:$C2670,3,0)</f>
        <v>poaia-branca</v>
      </c>
    </row>
    <row r="2272">
      <c r="A2272" s="3">
        <v>45603.0</v>
      </c>
      <c r="B2272" s="4">
        <v>0.33055555555555555</v>
      </c>
      <c r="C2272" s="5" t="s">
        <v>50</v>
      </c>
      <c r="D2272" s="5" t="s">
        <v>667</v>
      </c>
      <c r="E2272" s="6" t="s">
        <v>288</v>
      </c>
      <c r="F2272" s="7" t="s">
        <v>289</v>
      </c>
      <c r="G2272" s="6" t="str">
        <f>VLOOKUP(E2272,dicionario!$A$1:$C2671,2,0)</f>
        <v>Phyllanthus tenellus</v>
      </c>
      <c r="H2272" s="6" t="str">
        <f>VLOOKUP(E2272,dicionario!$A$1:$C2671,3,0)</f>
        <v>quebra-pedra</v>
      </c>
    </row>
    <row r="2273">
      <c r="A2273" s="3">
        <v>45603.0</v>
      </c>
      <c r="B2273" s="4">
        <v>0.33402777777777776</v>
      </c>
      <c r="C2273" s="5" t="s">
        <v>40</v>
      </c>
      <c r="D2273" s="5" t="s">
        <v>667</v>
      </c>
      <c r="E2273" s="6" t="s">
        <v>296</v>
      </c>
      <c r="F2273" s="7" t="s">
        <v>297</v>
      </c>
      <c r="G2273" s="6" t="str">
        <f>VLOOKUP(E2273,dicionario!$A$1:$C2672,2,0)</f>
        <v>Richardia brasiliensis</v>
      </c>
      <c r="H2273" s="6" t="str">
        <f>VLOOKUP(E2273,dicionario!$A$1:$C2672,3,0)</f>
        <v>poaia-branca</v>
      </c>
    </row>
    <row r="2274">
      <c r="A2274" s="3">
        <v>45603.0</v>
      </c>
      <c r="B2274" s="4">
        <v>0.33402777777777776</v>
      </c>
      <c r="C2274" s="5" t="s">
        <v>40</v>
      </c>
      <c r="D2274" s="5" t="s">
        <v>667</v>
      </c>
      <c r="E2274" s="6" t="s">
        <v>225</v>
      </c>
      <c r="F2274" s="7" t="s">
        <v>226</v>
      </c>
      <c r="G2274" s="6" t="str">
        <f>VLOOKUP(E2274,dicionario!$A$1:$C2673,2,0)</f>
        <v>Passer domesticus</v>
      </c>
      <c r="H2274" s="6" t="str">
        <f>VLOOKUP(E2274,dicionario!$A$1:$C2673,3,0)</f>
        <v>pardal</v>
      </c>
    </row>
    <row r="2275">
      <c r="A2275" s="3">
        <v>45603.0</v>
      </c>
      <c r="B2275" s="4">
        <v>0.33402777777777776</v>
      </c>
      <c r="C2275" s="5" t="s">
        <v>40</v>
      </c>
      <c r="D2275" s="5" t="s">
        <v>667</v>
      </c>
      <c r="E2275" s="6" t="s">
        <v>135</v>
      </c>
      <c r="F2275" s="7" t="s">
        <v>136</v>
      </c>
      <c r="G2275" s="6" t="str">
        <f>VLOOKUP(E2275,dicionario!$A$1:$C2674,2,0)</f>
        <v>Tridax procumbens</v>
      </c>
      <c r="H2275" s="6" t="str">
        <f>VLOOKUP(E2275,dicionario!$A$1:$C2674,3,0)</f>
        <v>erva-de-touro</v>
      </c>
    </row>
    <row r="2276">
      <c r="A2276" s="3">
        <v>45603.0</v>
      </c>
      <c r="B2276" s="4">
        <v>0.33402777777777776</v>
      </c>
      <c r="C2276" s="5" t="s">
        <v>40</v>
      </c>
      <c r="D2276" s="5" t="s">
        <v>667</v>
      </c>
      <c r="E2276" s="6" t="s">
        <v>146</v>
      </c>
      <c r="F2276" s="7" t="s">
        <v>147</v>
      </c>
      <c r="G2276" s="6" t="str">
        <f>VLOOKUP(E2276,dicionario!$A$1:$C2675,2,0)</f>
        <v>Euphorbia hirta</v>
      </c>
      <c r="H2276" s="6" t="str">
        <f>VLOOKUP(E2276,dicionario!$A$1:$C2675,3,0)</f>
        <v>erva-de-santa-luzia</v>
      </c>
    </row>
    <row r="2277">
      <c r="A2277" s="3">
        <v>45603.0</v>
      </c>
      <c r="B2277" s="4">
        <v>0.33402777777777776</v>
      </c>
      <c r="C2277" s="5" t="s">
        <v>40</v>
      </c>
      <c r="D2277" s="5" t="s">
        <v>667</v>
      </c>
      <c r="E2277" s="6" t="s">
        <v>483</v>
      </c>
      <c r="F2277" s="7" t="s">
        <v>484</v>
      </c>
      <c r="G2277" s="6" t="str">
        <f>VLOOKUP(E2277,dicionario!$A$1:$C2676,2,0)</f>
        <v>Euphorbia prostrata</v>
      </c>
      <c r="H2277" s="6" t="str">
        <f>VLOOKUP(E2277,dicionario!$A$1:$C2676,3,0)</f>
        <v>quebra-pedra-rasteira</v>
      </c>
    </row>
    <row r="2278">
      <c r="A2278" s="3">
        <v>45603.0</v>
      </c>
      <c r="B2278" s="4">
        <v>0.33402777777777776</v>
      </c>
      <c r="C2278" s="5" t="s">
        <v>40</v>
      </c>
      <c r="D2278" s="5" t="s">
        <v>667</v>
      </c>
      <c r="E2278" s="6" t="s">
        <v>286</v>
      </c>
      <c r="F2278" s="7" t="s">
        <v>287</v>
      </c>
      <c r="G2278" s="6" t="str">
        <f>VLOOKUP(E2278,dicionario!$A$1:$C2677,2,0)</f>
        <v>Setaria parviflora</v>
      </c>
      <c r="H2278" s="6" t="str">
        <f>VLOOKUP(E2278,dicionario!$A$1:$C2677,3,0)</f>
        <v>capim-rabo-de-raposa</v>
      </c>
    </row>
    <row r="2279">
      <c r="A2279" s="3">
        <v>45603.0</v>
      </c>
      <c r="B2279" s="4">
        <v>0.33402777777777776</v>
      </c>
      <c r="C2279" s="5" t="s">
        <v>40</v>
      </c>
      <c r="D2279" s="5" t="s">
        <v>667</v>
      </c>
      <c r="E2279" s="6" t="s">
        <v>53</v>
      </c>
      <c r="F2279" s="7" t="s">
        <v>54</v>
      </c>
      <c r="G2279" s="6" t="str">
        <f>VLOOKUP(E2279,dicionario!$A$1:$C2678,2,0)</f>
        <v>Turnera subulata</v>
      </c>
      <c r="H2279" s="6" t="str">
        <f>VLOOKUP(E2279,dicionario!$A$1:$C2678,3,0)</f>
        <v>xanana</v>
      </c>
    </row>
    <row r="2280">
      <c r="A2280" s="3">
        <v>45603.0</v>
      </c>
      <c r="B2280" s="4">
        <v>0.33402777777777776</v>
      </c>
      <c r="C2280" s="5" t="s">
        <v>40</v>
      </c>
      <c r="D2280" s="5" t="s">
        <v>667</v>
      </c>
      <c r="E2280" s="8" t="s">
        <v>504</v>
      </c>
      <c r="F2280" s="5" t="s">
        <v>534</v>
      </c>
      <c r="G2280" s="6" t="str">
        <f>VLOOKUP(E2280,dicionario!$A$1:$C2679,2,0)</f>
        <v>Cleome aculeata</v>
      </c>
      <c r="H2280" s="6" t="str">
        <f>VLOOKUP(E2280,dicionario!$A$1:$C2679,3,0)</f>
        <v>cleome</v>
      </c>
    </row>
    <row r="2281">
      <c r="A2281" s="3">
        <v>45603.0</v>
      </c>
      <c r="B2281" s="4">
        <v>0.33402777777777776</v>
      </c>
      <c r="C2281" s="5" t="s">
        <v>40</v>
      </c>
      <c r="D2281" s="5" t="s">
        <v>667</v>
      </c>
      <c r="E2281" s="6" t="s">
        <v>288</v>
      </c>
      <c r="F2281" s="7" t="s">
        <v>289</v>
      </c>
      <c r="G2281" s="6" t="str">
        <f>VLOOKUP(E2281,dicionario!$A$1:$C2680,2,0)</f>
        <v>Phyllanthus tenellus</v>
      </c>
      <c r="H2281" s="6" t="str">
        <f>VLOOKUP(E2281,dicionario!$A$1:$C2680,3,0)</f>
        <v>quebra-pedra</v>
      </c>
    </row>
    <row r="2282">
      <c r="A2282" s="3">
        <v>45603.0</v>
      </c>
      <c r="B2282" s="4">
        <v>0.3347222222222222</v>
      </c>
      <c r="C2282" s="5" t="s">
        <v>40</v>
      </c>
      <c r="D2282" s="5" t="s">
        <v>667</v>
      </c>
      <c r="E2282" s="6" t="s">
        <v>20</v>
      </c>
      <c r="F2282" s="7" t="s">
        <v>21</v>
      </c>
      <c r="G2282" s="6" t="str">
        <f>VLOOKUP(E2282,dicionario!$A$1:$C2681,2,0)</f>
        <v>Sicalis flaveola</v>
      </c>
      <c r="H2282" s="6" t="str">
        <f>VLOOKUP(E2282,dicionario!$A$1:$C2681,3,0)</f>
        <v>canário-da-terra</v>
      </c>
    </row>
    <row r="2283">
      <c r="A2283" s="3">
        <v>45603.0</v>
      </c>
      <c r="B2283" s="4">
        <v>0.3347222222222222</v>
      </c>
      <c r="C2283" s="5" t="s">
        <v>40</v>
      </c>
      <c r="D2283" s="5" t="s">
        <v>667</v>
      </c>
      <c r="E2283" s="6" t="s">
        <v>401</v>
      </c>
      <c r="F2283" s="7" t="s">
        <v>464</v>
      </c>
      <c r="G2283" s="6" t="str">
        <f>VLOOKUP(E2283,dicionario!$A$1:$C2682,2,0)</f>
        <v>Cissus verticillata</v>
      </c>
      <c r="H2283" s="6" t="str">
        <f>VLOOKUP(E2283,dicionario!$A$1:$C2682,3,0)</f>
        <v>uva-do-mato</v>
      </c>
    </row>
    <row r="2284">
      <c r="A2284" s="3">
        <v>45603.0</v>
      </c>
      <c r="B2284" s="4">
        <v>0.3347222222222222</v>
      </c>
      <c r="C2284" s="5" t="s">
        <v>40</v>
      </c>
      <c r="D2284" s="5" t="s">
        <v>667</v>
      </c>
      <c r="E2284" s="6" t="s">
        <v>471</v>
      </c>
      <c r="F2284" s="7" t="s">
        <v>472</v>
      </c>
      <c r="G2284" s="6" t="str">
        <f>VLOOKUP(E2284,dicionario!$A$1:$C2683,2,0)</f>
        <v>Sida acuta</v>
      </c>
      <c r="H2284" s="6" t="str">
        <f>VLOOKUP(E2284,dicionario!$A$1:$C2683,3,0)</f>
        <v>reloginho</v>
      </c>
    </row>
    <row r="2285">
      <c r="A2285" s="3">
        <v>45603.0</v>
      </c>
      <c r="B2285" s="4">
        <v>0.3347222222222222</v>
      </c>
      <c r="C2285" s="5" t="s">
        <v>40</v>
      </c>
      <c r="D2285" s="5" t="s">
        <v>667</v>
      </c>
      <c r="E2285" s="8" t="s">
        <v>38</v>
      </c>
      <c r="F2285" s="5" t="s">
        <v>39</v>
      </c>
      <c r="G2285" s="6" t="str">
        <f>VLOOKUP(E2285,dicionario!$A$1:$C2684,2,0)</f>
        <v>Troglodytes musculus</v>
      </c>
      <c r="H2285" s="6" t="str">
        <f>VLOOKUP(E2285,dicionario!$A$1:$C2684,3,0)</f>
        <v>curruíra</v>
      </c>
    </row>
    <row r="2286">
      <c r="A2286" s="3">
        <v>45603.0</v>
      </c>
      <c r="B2286" s="4">
        <v>0.3347222222222222</v>
      </c>
      <c r="C2286" s="5" t="s">
        <v>40</v>
      </c>
      <c r="D2286" s="5" t="s">
        <v>667</v>
      </c>
      <c r="E2286" s="6" t="s">
        <v>154</v>
      </c>
      <c r="F2286" s="7" t="s">
        <v>155</v>
      </c>
      <c r="G2286" s="6" t="str">
        <f>VLOOKUP(E2286,dicionario!$A$1:$C2685,2,0)</f>
        <v>Cyperus rotundus</v>
      </c>
      <c r="H2286" s="6" t="str">
        <f>VLOOKUP(E2286,dicionario!$A$1:$C2685,3,0)</f>
        <v>tiririca</v>
      </c>
    </row>
    <row r="2287">
      <c r="A2287" s="3">
        <v>45603.0</v>
      </c>
      <c r="B2287" s="4">
        <v>0.3347222222222222</v>
      </c>
      <c r="C2287" s="5" t="s">
        <v>40</v>
      </c>
      <c r="D2287" s="5" t="s">
        <v>667</v>
      </c>
      <c r="E2287" s="6" t="s">
        <v>113</v>
      </c>
      <c r="F2287" s="7" t="s">
        <v>114</v>
      </c>
      <c r="G2287" s="6" t="str">
        <f>VLOOKUP(E2287,dicionario!$A$1:$C2686,2,0)</f>
        <v>Columbina talpacoti</v>
      </c>
      <c r="H2287" s="6" t="str">
        <f>VLOOKUP(E2287,dicionario!$A$1:$C2686,3,0)</f>
        <v>rolinha-roxa</v>
      </c>
    </row>
    <row r="2288">
      <c r="A2288" s="3">
        <v>45603.0</v>
      </c>
      <c r="B2288" s="4">
        <v>0.3347222222222222</v>
      </c>
      <c r="C2288" s="5" t="s">
        <v>40</v>
      </c>
      <c r="D2288" s="5" t="s">
        <v>667</v>
      </c>
      <c r="E2288" s="6" t="s">
        <v>18</v>
      </c>
      <c r="F2288" s="7" t="s">
        <v>219</v>
      </c>
      <c r="G2288" s="6" t="str">
        <f>VLOOKUP(E2288,dicionario!$A$1:$C2687,2,0)</f>
        <v>Xylocopa frontalis</v>
      </c>
      <c r="H2288" s="6" t="str">
        <f>VLOOKUP(E2288,dicionario!$A$1:$C2687,3,0)</f>
        <v>Mamangava; mangangá; abelha-carpinteira</v>
      </c>
    </row>
    <row r="2289">
      <c r="A2289" s="3">
        <v>45603.0</v>
      </c>
      <c r="B2289" s="4">
        <v>0.33541666666666664</v>
      </c>
      <c r="C2289" s="5" t="s">
        <v>40</v>
      </c>
      <c r="D2289" s="5" t="s">
        <v>667</v>
      </c>
      <c r="E2289" s="6" t="s">
        <v>12</v>
      </c>
      <c r="F2289" s="7" t="s">
        <v>13</v>
      </c>
      <c r="G2289" s="6" t="str">
        <f>VLOOKUP(E2289,dicionario!$A$1:$C2688,2,0)</f>
        <v>Eulaema nigrita</v>
      </c>
      <c r="H2289" s="6" t="str">
        <f>VLOOKUP(E2289,dicionario!$A$1:$C2688,3,0)</f>
        <v>abelha-de-orquídea</v>
      </c>
    </row>
    <row r="2290">
      <c r="A2290" s="3">
        <v>45603.0</v>
      </c>
      <c r="B2290" s="4">
        <v>0.33541666666666664</v>
      </c>
      <c r="C2290" s="5" t="s">
        <v>40</v>
      </c>
      <c r="D2290" s="5" t="s">
        <v>667</v>
      </c>
      <c r="E2290" s="6" t="s">
        <v>517</v>
      </c>
      <c r="F2290" s="7" t="s">
        <v>518</v>
      </c>
      <c r="G2290" s="6" t="str">
        <f>VLOOKUP(E2290,dicionario!$A$1:$C2689,2,0)</f>
        <v>Evolvulus nummularius</v>
      </c>
      <c r="H2290" s="6" t="str">
        <f>VLOOKUP(E2290,dicionario!$A$1:$C2689,3,0)</f>
        <v/>
      </c>
    </row>
    <row r="2291">
      <c r="A2291" s="3">
        <v>45603.0</v>
      </c>
      <c r="B2291" s="4">
        <v>0.33541666666666664</v>
      </c>
      <c r="C2291" s="5" t="s">
        <v>40</v>
      </c>
      <c r="D2291" s="5" t="s">
        <v>667</v>
      </c>
      <c r="E2291" s="6" t="s">
        <v>48</v>
      </c>
      <c r="F2291" s="7" t="s">
        <v>49</v>
      </c>
      <c r="G2291" s="6" t="str">
        <f>VLOOKUP(E2291,dicionario!$A$1:$C2690,2,0)</f>
        <v>Commelina erecta</v>
      </c>
      <c r="H2291" s="6" t="str">
        <f>VLOOKUP(E2291,dicionario!$A$1:$C2690,3,0)</f>
        <v>trapoeraba</v>
      </c>
    </row>
    <row r="2292">
      <c r="A2292" s="3">
        <v>45603.0</v>
      </c>
      <c r="B2292" s="4">
        <v>0.33541666666666664</v>
      </c>
      <c r="C2292" s="5" t="s">
        <v>40</v>
      </c>
      <c r="D2292" s="5" t="s">
        <v>667</v>
      </c>
      <c r="E2292" s="6" t="s">
        <v>215</v>
      </c>
      <c r="F2292" s="7" t="s">
        <v>216</v>
      </c>
      <c r="G2292" s="6" t="str">
        <f>VLOOKUP(E2292,dicionario!$A$1:$C2691,2,0)</f>
        <v>Pygochelidon cyanoleuca</v>
      </c>
      <c r="H2292" s="6" t="str">
        <f>VLOOKUP(E2292,dicionario!$A$1:$C2691,3,0)</f>
        <v>andorinha-pequena-de-casa</v>
      </c>
    </row>
    <row r="2293">
      <c r="A2293" s="3">
        <v>45603.0</v>
      </c>
      <c r="B2293" s="4">
        <v>0.3368055555555556</v>
      </c>
      <c r="C2293" s="5" t="s">
        <v>40</v>
      </c>
      <c r="D2293" s="5" t="s">
        <v>667</v>
      </c>
      <c r="E2293" s="8" t="s">
        <v>338</v>
      </c>
      <c r="F2293" s="5" t="s">
        <v>238</v>
      </c>
      <c r="G2293" s="6" t="str">
        <f>VLOOKUP(E2293,dicionario!$A$1:$C2692,2,0)</f>
        <v>Atta</v>
      </c>
      <c r="H2293" s="6" t="str">
        <f>VLOOKUP(E2293,dicionario!$A$1:$C2692,3,0)</f>
        <v>saúva</v>
      </c>
    </row>
    <row r="2294">
      <c r="A2294" s="3">
        <v>45603.0</v>
      </c>
      <c r="B2294" s="4">
        <v>0.3368055555555556</v>
      </c>
      <c r="C2294" s="5" t="s">
        <v>40</v>
      </c>
      <c r="D2294" s="5" t="s">
        <v>667</v>
      </c>
      <c r="E2294" s="6" t="s">
        <v>86</v>
      </c>
      <c r="F2294" s="7" t="s">
        <v>502</v>
      </c>
      <c r="G2294" s="6" t="str">
        <f>VLOOKUP(E2294,dicionario!$A$1:$C2693,2,0)</f>
        <v>Coereba flaveola</v>
      </c>
      <c r="H2294" s="6" t="str">
        <f>VLOOKUP(E2294,dicionario!$A$1:$C2693,3,0)</f>
        <v>cambacica</v>
      </c>
    </row>
    <row r="2295">
      <c r="A2295" s="3">
        <v>45603.0</v>
      </c>
      <c r="B2295" s="4">
        <v>0.3368055555555556</v>
      </c>
      <c r="C2295" s="5" t="s">
        <v>40</v>
      </c>
      <c r="D2295" s="5" t="s">
        <v>667</v>
      </c>
      <c r="E2295" s="6" t="s">
        <v>378</v>
      </c>
      <c r="F2295" s="7" t="s">
        <v>63</v>
      </c>
      <c r="G2295" s="6" t="str">
        <f>VLOOKUP(E2295,dicionario!$A$1:$C2694,2,0)</f>
        <v>Polistes</v>
      </c>
      <c r="H2295" s="6" t="str">
        <f>VLOOKUP(E2295,dicionario!$A$1:$C2694,3,0)</f>
        <v>marimbondo</v>
      </c>
    </row>
    <row r="2296">
      <c r="A2296" s="3">
        <v>45603.0</v>
      </c>
      <c r="B2296" s="4">
        <v>0.33819444444444446</v>
      </c>
      <c r="C2296" s="5" t="s">
        <v>40</v>
      </c>
      <c r="D2296" s="5" t="s">
        <v>667</v>
      </c>
      <c r="E2296" s="6" t="s">
        <v>338</v>
      </c>
      <c r="F2296" s="5" t="s">
        <v>238</v>
      </c>
      <c r="G2296" s="6" t="str">
        <f>VLOOKUP(E2296,dicionario!$A$1:$C2695,2,0)</f>
        <v>Atta</v>
      </c>
      <c r="H2296" s="6" t="str">
        <f>VLOOKUP(E2296,dicionario!$A$1:$C2695,3,0)</f>
        <v>saúva</v>
      </c>
    </row>
    <row r="2297">
      <c r="A2297" s="3">
        <v>45603.0</v>
      </c>
      <c r="B2297" s="4">
        <v>0.33819444444444446</v>
      </c>
      <c r="C2297" s="5" t="s">
        <v>40</v>
      </c>
      <c r="D2297" s="5" t="s">
        <v>667</v>
      </c>
      <c r="E2297" s="8" t="s">
        <v>700</v>
      </c>
      <c r="F2297" s="7" t="s">
        <v>418</v>
      </c>
      <c r="G2297" s="6" t="str">
        <f>VLOOKUP(E2297,dicionario!$A$1:$C2696,2,0)</f>
        <v>#N/A</v>
      </c>
      <c r="H2297" s="6" t="str">
        <f>VLOOKUP(E2297,dicionario!$A$1:$C2696,3,0)</f>
        <v>#N/A</v>
      </c>
    </row>
    <row r="2298">
      <c r="A2298" s="3">
        <v>45603.0</v>
      </c>
      <c r="B2298" s="4">
        <v>0.33819444444444446</v>
      </c>
      <c r="C2298" s="5" t="s">
        <v>40</v>
      </c>
      <c r="D2298" s="5" t="s">
        <v>667</v>
      </c>
      <c r="E2298" s="6" t="s">
        <v>53</v>
      </c>
      <c r="F2298" s="7" t="s">
        <v>54</v>
      </c>
      <c r="G2298" s="6" t="str">
        <f>VLOOKUP(E2298,dicionario!$A$1:$C2697,2,0)</f>
        <v>Turnera subulata</v>
      </c>
      <c r="H2298" s="6" t="str">
        <f>VLOOKUP(E2298,dicionario!$A$1:$C2697,3,0)</f>
        <v>xanana</v>
      </c>
    </row>
    <row r="2299">
      <c r="A2299" s="3">
        <v>45603.0</v>
      </c>
      <c r="B2299" s="4">
        <v>0.33819444444444446</v>
      </c>
      <c r="C2299" s="5" t="s">
        <v>40</v>
      </c>
      <c r="D2299" s="5" t="s">
        <v>667</v>
      </c>
      <c r="E2299" s="6" t="s">
        <v>177</v>
      </c>
      <c r="F2299" s="7" t="s">
        <v>178</v>
      </c>
      <c r="G2299" s="6" t="str">
        <f>VLOOKUP(E2299,dicionario!$A$1:$C2698,2,0)</f>
        <v>Elaenia flavogaster</v>
      </c>
      <c r="H2299" s="6" t="str">
        <f>VLOOKUP(E2299,dicionario!$A$1:$C2698,3,0)</f>
        <v>guaracava-de-barriga-amarela</v>
      </c>
    </row>
    <row r="2300">
      <c r="A2300" s="3">
        <v>45603.0</v>
      </c>
      <c r="B2300" s="4">
        <v>0.33819444444444446</v>
      </c>
      <c r="C2300" s="5" t="s">
        <v>40</v>
      </c>
      <c r="D2300" s="5" t="s">
        <v>667</v>
      </c>
      <c r="E2300" s="6" t="s">
        <v>132</v>
      </c>
      <c r="F2300" s="7" t="s">
        <v>133</v>
      </c>
      <c r="G2300" s="6" t="str">
        <f>VLOOKUP(E2300,dicionario!$A$1:$C2699,2,0)</f>
        <v>Euphonia chlorotica</v>
      </c>
      <c r="H2300" s="6" t="str">
        <f>VLOOKUP(E2300,dicionario!$A$1:$C2699,3,0)</f>
        <v>fim-fim</v>
      </c>
    </row>
    <row r="2301">
      <c r="A2301" s="3">
        <v>45603.0</v>
      </c>
      <c r="B2301" s="4">
        <v>0.3388888888888889</v>
      </c>
      <c r="C2301" s="5" t="s">
        <v>40</v>
      </c>
      <c r="D2301" s="5" t="s">
        <v>667</v>
      </c>
      <c r="E2301" s="6" t="s">
        <v>57</v>
      </c>
      <c r="F2301" s="7" t="s">
        <v>559</v>
      </c>
      <c r="G2301" s="6" t="str">
        <f>VLOOKUP(E2301,dicionario!$A$1:$C2700,2,0)</f>
        <v>Juliformia</v>
      </c>
      <c r="H2301" s="6" t="str">
        <f>VLOOKUP(E2301,dicionario!$A$1:$C2700,3,0)</f>
        <v>gongolo; maria-café</v>
      </c>
    </row>
    <row r="2302">
      <c r="A2302" s="3">
        <v>45603.0</v>
      </c>
      <c r="B2302" s="4">
        <v>0.34097222222222223</v>
      </c>
      <c r="C2302" s="5" t="s">
        <v>33</v>
      </c>
      <c r="D2302" s="5" t="s">
        <v>667</v>
      </c>
      <c r="E2302" s="6" t="s">
        <v>20</v>
      </c>
      <c r="F2302" s="7" t="s">
        <v>21</v>
      </c>
      <c r="G2302" s="6" t="str">
        <f>VLOOKUP(E2302,dicionario!$A$1:$C2701,2,0)</f>
        <v>Sicalis flaveola</v>
      </c>
      <c r="H2302" s="6" t="str">
        <f>VLOOKUP(E2302,dicionario!$A$1:$C2701,3,0)</f>
        <v>canário-da-terra</v>
      </c>
    </row>
    <row r="2303">
      <c r="A2303" s="3">
        <v>45603.0</v>
      </c>
      <c r="B2303" s="4">
        <v>0.34097222222222223</v>
      </c>
      <c r="C2303" s="5" t="s">
        <v>33</v>
      </c>
      <c r="D2303" s="5" t="s">
        <v>667</v>
      </c>
      <c r="E2303" s="6" t="s">
        <v>122</v>
      </c>
      <c r="F2303" s="7" t="s">
        <v>123</v>
      </c>
      <c r="G2303" s="6" t="str">
        <f>VLOOKUP(E2303,dicionario!$A$1:$C2702,2,0)</f>
        <v>Todirostrum cinereum</v>
      </c>
      <c r="H2303" s="6" t="str">
        <f>VLOOKUP(E2303,dicionario!$A$1:$C2702,3,0)</f>
        <v>ferreirinho-relógio</v>
      </c>
    </row>
    <row r="2304">
      <c r="A2304" s="3">
        <v>45603.0</v>
      </c>
      <c r="B2304" s="4">
        <v>0.3416666666666667</v>
      </c>
      <c r="C2304" s="5" t="s">
        <v>33</v>
      </c>
      <c r="D2304" s="5" t="s">
        <v>667</v>
      </c>
      <c r="E2304" s="6" t="s">
        <v>162</v>
      </c>
      <c r="F2304" s="7" t="s">
        <v>42</v>
      </c>
      <c r="G2304" s="6" t="str">
        <f>VLOOKUP(E2304,dicionario!$A$1:$C2703,2,0)</f>
        <v>Fluvicola nengeta</v>
      </c>
      <c r="H2304" s="6" t="str">
        <f>VLOOKUP(E2304,dicionario!$A$1:$C2703,3,0)</f>
        <v>lavadeira-mascarada</v>
      </c>
    </row>
    <row r="2305">
      <c r="A2305" s="3">
        <v>45603.0</v>
      </c>
      <c r="B2305" s="4">
        <v>0.3416666666666667</v>
      </c>
      <c r="C2305" s="5" t="s">
        <v>33</v>
      </c>
      <c r="D2305" s="5" t="s">
        <v>667</v>
      </c>
      <c r="E2305" s="6" t="s">
        <v>14</v>
      </c>
      <c r="F2305" s="7" t="s">
        <v>15</v>
      </c>
      <c r="G2305" s="6" t="str">
        <f>VLOOKUP(E2305,dicionario!$A$1:$C2704,2,0)</f>
        <v>Spermacoce verticillata</v>
      </c>
      <c r="H2305" s="6" t="str">
        <f>VLOOKUP(E2305,dicionario!$A$1:$C2704,3,0)</f>
        <v>vassourinha-de-botão</v>
      </c>
    </row>
    <row r="2306">
      <c r="A2306" s="3">
        <v>45603.0</v>
      </c>
      <c r="B2306" s="4">
        <v>0.3416666666666667</v>
      </c>
      <c r="C2306" s="5" t="s">
        <v>33</v>
      </c>
      <c r="D2306" s="5" t="s">
        <v>667</v>
      </c>
      <c r="E2306" s="6" t="s">
        <v>370</v>
      </c>
      <c r="F2306" s="7" t="s">
        <v>371</v>
      </c>
      <c r="G2306" s="6" t="str">
        <f>VLOOKUP(E2306,dicionario!$A$1:$C2705,2,0)</f>
        <v>Mimus saturninus</v>
      </c>
      <c r="H2306" s="6" t="str">
        <f>VLOOKUP(E2306,dicionario!$A$1:$C2705,3,0)</f>
        <v>sabiá-do-campo</v>
      </c>
    </row>
    <row r="2307">
      <c r="A2307" s="3">
        <v>45603.0</v>
      </c>
      <c r="B2307" s="4">
        <v>0.3416666666666667</v>
      </c>
      <c r="C2307" s="5" t="s">
        <v>33</v>
      </c>
      <c r="D2307" s="5" t="s">
        <v>667</v>
      </c>
      <c r="E2307" s="6" t="s">
        <v>144</v>
      </c>
      <c r="F2307" s="7" t="s">
        <v>145</v>
      </c>
      <c r="G2307" s="6" t="str">
        <f>VLOOKUP(E2307,dicionario!$A$1:$C2706,2,0)</f>
        <v>Gomphrena globosa</v>
      </c>
      <c r="H2307" s="6" t="str">
        <f>VLOOKUP(E2307,dicionario!$A$1:$C2706,3,0)</f>
        <v>perpétua-rosa</v>
      </c>
    </row>
    <row r="2308">
      <c r="A2308" s="3">
        <v>45603.0</v>
      </c>
      <c r="B2308" s="4">
        <v>0.3416666666666667</v>
      </c>
      <c r="C2308" s="5" t="s">
        <v>33</v>
      </c>
      <c r="D2308" s="5" t="s">
        <v>667</v>
      </c>
      <c r="E2308" s="8" t="s">
        <v>41</v>
      </c>
      <c r="F2308" s="7" t="s">
        <v>45</v>
      </c>
      <c r="G2308" s="6" t="str">
        <f>VLOOKUP(E2308,dicionario!$A$1:$C2707,2,0)</f>
        <v>Mimosa pudica</v>
      </c>
      <c r="H2308" s="6" t="str">
        <f>VLOOKUP(E2308,dicionario!$A$1:$C2707,3,0)</f>
        <v>dormideira</v>
      </c>
    </row>
    <row r="2309">
      <c r="A2309" s="3">
        <v>45603.0</v>
      </c>
      <c r="B2309" s="4">
        <v>0.3416666666666667</v>
      </c>
      <c r="C2309" s="5" t="s">
        <v>33</v>
      </c>
      <c r="D2309" s="5" t="s">
        <v>667</v>
      </c>
      <c r="E2309" s="6" t="s">
        <v>227</v>
      </c>
      <c r="F2309" s="7" t="s">
        <v>228</v>
      </c>
      <c r="G2309" s="6" t="str">
        <f>VLOOKUP(E2309,dicionario!$A$1:$C2708,2,0)</f>
        <v>Indigofera hirsuta</v>
      </c>
      <c r="H2309" s="6" t="str">
        <f>VLOOKUP(E2309,dicionario!$A$1:$C2708,3,0)</f>
        <v>anileira</v>
      </c>
    </row>
    <row r="2310">
      <c r="A2310" s="3">
        <v>45603.0</v>
      </c>
      <c r="B2310" s="4">
        <v>0.3416666666666667</v>
      </c>
      <c r="C2310" s="5" t="s">
        <v>33</v>
      </c>
      <c r="D2310" s="5" t="s">
        <v>667</v>
      </c>
      <c r="E2310" s="6" t="s">
        <v>296</v>
      </c>
      <c r="F2310" s="7" t="s">
        <v>297</v>
      </c>
      <c r="G2310" s="6" t="str">
        <f>VLOOKUP(E2310,dicionario!$A$1:$C2709,2,0)</f>
        <v>Richardia brasiliensis</v>
      </c>
      <c r="H2310" s="6" t="str">
        <f>VLOOKUP(E2310,dicionario!$A$1:$C2709,3,0)</f>
        <v>poaia-branca</v>
      </c>
    </row>
    <row r="2311">
      <c r="A2311" s="3">
        <v>45603.0</v>
      </c>
      <c r="B2311" s="4">
        <v>0.3416666666666667</v>
      </c>
      <c r="C2311" s="5" t="s">
        <v>33</v>
      </c>
      <c r="D2311" s="5" t="s">
        <v>667</v>
      </c>
      <c r="E2311" s="6" t="s">
        <v>109</v>
      </c>
      <c r="F2311" s="7" t="s">
        <v>110</v>
      </c>
      <c r="G2311" s="6" t="str">
        <f>VLOOKUP(E2311,dicionario!$A$1:$C2710,2,0)</f>
        <v>Tillandsia stricta</v>
      </c>
      <c r="H2311" s="6" t="str">
        <f>VLOOKUP(E2311,dicionario!$A$1:$C2710,3,0)</f>
        <v>cravo-do-mato</v>
      </c>
    </row>
    <row r="2312">
      <c r="A2312" s="3">
        <v>45603.0</v>
      </c>
      <c r="B2312" s="4">
        <v>0.3416666666666667</v>
      </c>
      <c r="C2312" s="5" t="s">
        <v>33</v>
      </c>
      <c r="D2312" s="5" t="s">
        <v>667</v>
      </c>
      <c r="E2312" s="6" t="s">
        <v>154</v>
      </c>
      <c r="F2312" s="7" t="s">
        <v>155</v>
      </c>
      <c r="G2312" s="6" t="str">
        <f>VLOOKUP(E2312,dicionario!$A$1:$C2711,2,0)</f>
        <v>Cyperus rotundus</v>
      </c>
      <c r="H2312" s="6" t="str">
        <f>VLOOKUP(E2312,dicionario!$A$1:$C2711,3,0)</f>
        <v>tiririca</v>
      </c>
    </row>
    <row r="2313">
      <c r="A2313" s="3">
        <v>45603.0</v>
      </c>
      <c r="B2313" s="4">
        <v>0.3416666666666667</v>
      </c>
      <c r="C2313" s="5" t="s">
        <v>33</v>
      </c>
      <c r="D2313" s="5" t="s">
        <v>667</v>
      </c>
      <c r="E2313" s="6" t="s">
        <v>286</v>
      </c>
      <c r="F2313" s="7" t="s">
        <v>287</v>
      </c>
      <c r="G2313" s="6" t="str">
        <f>VLOOKUP(E2313,dicionario!$A$1:$C2712,2,0)</f>
        <v>Setaria parviflora</v>
      </c>
      <c r="H2313" s="6" t="str">
        <f>VLOOKUP(E2313,dicionario!$A$1:$C2712,3,0)</f>
        <v>capim-rabo-de-raposa</v>
      </c>
    </row>
    <row r="2314">
      <c r="A2314" s="3">
        <v>45603.0</v>
      </c>
      <c r="B2314" s="4">
        <v>0.3423611111111111</v>
      </c>
      <c r="C2314" s="5" t="s">
        <v>33</v>
      </c>
      <c r="D2314" s="5" t="s">
        <v>667</v>
      </c>
      <c r="E2314" s="6" t="s">
        <v>65</v>
      </c>
      <c r="F2314" s="7" t="s">
        <v>66</v>
      </c>
      <c r="G2314" s="6" t="str">
        <f>VLOOKUP(E2314,dicionario!$A$1:$C2713,2,0)</f>
        <v>Pitangus sulphutarus</v>
      </c>
      <c r="H2314" s="6" t="str">
        <f>VLOOKUP(E2314,dicionario!$A$1:$C2713,3,0)</f>
        <v>bem-te-vi</v>
      </c>
    </row>
    <row r="2315">
      <c r="A2315" s="3">
        <v>45603.0</v>
      </c>
      <c r="B2315" s="4">
        <v>0.3423611111111111</v>
      </c>
      <c r="C2315" s="5" t="s">
        <v>33</v>
      </c>
      <c r="D2315" s="5" t="s">
        <v>667</v>
      </c>
      <c r="E2315" s="6" t="s">
        <v>701</v>
      </c>
      <c r="F2315" s="7" t="s">
        <v>586</v>
      </c>
      <c r="G2315" s="6" t="str">
        <f>VLOOKUP(E2315,dicionario!$A$1:$C2714,2,0)</f>
        <v>#N/A</v>
      </c>
      <c r="H2315" s="6" t="str">
        <f>VLOOKUP(E2315,dicionario!$A$1:$C2714,3,0)</f>
        <v>#N/A</v>
      </c>
    </row>
    <row r="2316">
      <c r="A2316" s="3">
        <v>45603.0</v>
      </c>
      <c r="B2316" s="4">
        <v>0.3423611111111111</v>
      </c>
      <c r="C2316" s="5" t="s">
        <v>33</v>
      </c>
      <c r="D2316" s="5" t="s">
        <v>667</v>
      </c>
      <c r="E2316" s="6" t="s">
        <v>608</v>
      </c>
      <c r="F2316" s="7" t="s">
        <v>609</v>
      </c>
      <c r="G2316" s="6" t="str">
        <f>VLOOKUP(E2316,dicionario!$A$1:$C2715,2,0)</f>
        <v>#N/A</v>
      </c>
      <c r="H2316" s="6" t="str">
        <f>VLOOKUP(E2316,dicionario!$A$1:$C2715,3,0)</f>
        <v>#N/A</v>
      </c>
    </row>
    <row r="2317">
      <c r="A2317" s="3">
        <v>45603.0</v>
      </c>
      <c r="B2317" s="4">
        <v>0.3451388888888889</v>
      </c>
      <c r="C2317" s="5" t="s">
        <v>33</v>
      </c>
      <c r="D2317" s="5" t="s">
        <v>667</v>
      </c>
      <c r="E2317" s="6" t="s">
        <v>702</v>
      </c>
      <c r="F2317" s="7" t="s">
        <v>703</v>
      </c>
      <c r="G2317" s="6" t="str">
        <f>VLOOKUP(E2317,dicionario!$A$1:$C2716,2,0)</f>
        <v>Acacia mangium</v>
      </c>
      <c r="H2317" s="6" t="str">
        <f>VLOOKUP(E2317,dicionario!$A$1:$C2716,3,0)</f>
        <v>acácia</v>
      </c>
    </row>
    <row r="2318">
      <c r="A2318" s="3">
        <v>45603.0</v>
      </c>
      <c r="B2318" s="4">
        <v>0.3451388888888889</v>
      </c>
      <c r="C2318" s="5" t="s">
        <v>33</v>
      </c>
      <c r="D2318" s="5" t="s">
        <v>667</v>
      </c>
      <c r="E2318" s="6" t="s">
        <v>247</v>
      </c>
      <c r="F2318" s="7" t="s">
        <v>387</v>
      </c>
      <c r="G2318" s="6" t="str">
        <f>VLOOKUP(E2318,dicionario!$A$1:$C2717,2,0)</f>
        <v>Emilia sonchifolia</v>
      </c>
      <c r="H2318" s="6" t="str">
        <f>VLOOKUP(E2318,dicionario!$A$1:$C2717,3,0)</f>
        <v>serralinha</v>
      </c>
    </row>
    <row r="2319">
      <c r="A2319" s="3">
        <v>45603.0</v>
      </c>
      <c r="B2319" s="4">
        <v>0.34652777777777777</v>
      </c>
      <c r="C2319" s="5" t="s">
        <v>26</v>
      </c>
      <c r="D2319" s="5" t="s">
        <v>667</v>
      </c>
      <c r="E2319" s="6" t="s">
        <v>60</v>
      </c>
      <c r="F2319" s="7" t="s">
        <v>61</v>
      </c>
      <c r="G2319" s="6" t="str">
        <f>VLOOKUP(E2319,dicionario!$A$1:$C2718,2,0)</f>
        <v>Vanellus chilensis</v>
      </c>
      <c r="H2319" s="6" t="str">
        <f>VLOOKUP(E2319,dicionario!$A$1:$C2718,3,0)</f>
        <v>quero-quero</v>
      </c>
    </row>
    <row r="2320">
      <c r="A2320" s="3">
        <v>45603.0</v>
      </c>
      <c r="B2320" s="4">
        <v>0.3472222222222222</v>
      </c>
      <c r="C2320" s="5" t="s">
        <v>26</v>
      </c>
      <c r="D2320" s="5" t="s">
        <v>667</v>
      </c>
      <c r="E2320" s="6" t="s">
        <v>370</v>
      </c>
      <c r="F2320" s="7" t="s">
        <v>371</v>
      </c>
      <c r="G2320" s="6" t="str">
        <f>VLOOKUP(E2320,dicionario!$A$1:$C2719,2,0)</f>
        <v>Mimus saturninus</v>
      </c>
      <c r="H2320" s="6" t="str">
        <f>VLOOKUP(E2320,dicionario!$A$1:$C2719,3,0)</f>
        <v>sabiá-do-campo</v>
      </c>
    </row>
    <row r="2321">
      <c r="A2321" s="3">
        <v>45603.0</v>
      </c>
      <c r="B2321" s="4">
        <v>0.3472222222222222</v>
      </c>
      <c r="C2321" s="5" t="s">
        <v>26</v>
      </c>
      <c r="D2321" s="5" t="s">
        <v>667</v>
      </c>
      <c r="E2321" s="6" t="s">
        <v>103</v>
      </c>
      <c r="F2321" s="7" t="s">
        <v>104</v>
      </c>
      <c r="G2321" s="6" t="str">
        <f>VLOOKUP(E2321,dicionario!$A$1:$C2720,2,0)</f>
        <v>Caracara plancus</v>
      </c>
      <c r="H2321" s="6" t="str">
        <f>VLOOKUP(E2321,dicionario!$A$1:$C2720,3,0)</f>
        <v>carcará </v>
      </c>
    </row>
    <row r="2322">
      <c r="A2322" s="3">
        <v>45603.0</v>
      </c>
      <c r="B2322" s="4">
        <v>0.34791666666666665</v>
      </c>
      <c r="C2322" s="5" t="s">
        <v>26</v>
      </c>
      <c r="D2322" s="5" t="s">
        <v>667</v>
      </c>
      <c r="E2322" s="6" t="s">
        <v>298</v>
      </c>
      <c r="F2322" s="5" t="s">
        <v>299</v>
      </c>
      <c r="G2322" s="6" t="str">
        <f>VLOOKUP(E2322,dicionario!$A$1:$C2721,2,0)</f>
        <v>Alysicarpus vaginalis</v>
      </c>
      <c r="H2322" s="6" t="str">
        <f>VLOOKUP(E2322,dicionario!$A$1:$C2721,3,0)</f>
        <v/>
      </c>
    </row>
    <row r="2323">
      <c r="A2323" s="3">
        <v>45603.0</v>
      </c>
      <c r="B2323" s="4">
        <v>0.34791666666666665</v>
      </c>
      <c r="C2323" s="5" t="s">
        <v>26</v>
      </c>
      <c r="D2323" s="5" t="s">
        <v>667</v>
      </c>
      <c r="E2323" s="6" t="s">
        <v>353</v>
      </c>
      <c r="F2323" s="7" t="s">
        <v>354</v>
      </c>
      <c r="G2323" s="6" t="str">
        <f>VLOOKUP(E2323,dicionario!$A$1:$C2722,2,0)</f>
        <v>Desmodium incanum</v>
      </c>
      <c r="H2323" s="6" t="str">
        <f>VLOOKUP(E2323,dicionario!$A$1:$C2722,3,0)</f>
        <v>pega-pega</v>
      </c>
    </row>
    <row r="2324">
      <c r="A2324" s="3">
        <v>45603.0</v>
      </c>
      <c r="B2324" s="4">
        <v>0.34791666666666665</v>
      </c>
      <c r="C2324" s="5" t="s">
        <v>26</v>
      </c>
      <c r="D2324" s="5" t="s">
        <v>667</v>
      </c>
      <c r="E2324" s="8" t="s">
        <v>195</v>
      </c>
      <c r="F2324" s="7" t="s">
        <v>698</v>
      </c>
      <c r="G2324" s="6" t="str">
        <f>VLOOKUP(E2324,dicionario!$A$1:$C2723,2,0)</f>
        <v>Priva lappulacea</v>
      </c>
      <c r="H2324" s="6" t="str">
        <f>VLOOKUP(E2324,dicionario!$A$1:$C2723,3,0)</f>
        <v>carrapicho</v>
      </c>
    </row>
    <row r="2325">
      <c r="A2325" s="3">
        <v>45603.0</v>
      </c>
      <c r="B2325" s="4">
        <v>0.34791666666666665</v>
      </c>
      <c r="C2325" s="5" t="s">
        <v>26</v>
      </c>
      <c r="D2325" s="5" t="s">
        <v>667</v>
      </c>
      <c r="E2325" s="6" t="s">
        <v>41</v>
      </c>
      <c r="F2325" s="7" t="s">
        <v>45</v>
      </c>
      <c r="G2325" s="6" t="str">
        <f>VLOOKUP(E2325,dicionario!$A$1:$C2724,2,0)</f>
        <v>Mimosa pudica</v>
      </c>
      <c r="H2325" s="6" t="str">
        <f>VLOOKUP(E2325,dicionario!$A$1:$C2724,3,0)</f>
        <v>dormideira</v>
      </c>
    </row>
    <row r="2326">
      <c r="A2326" s="3">
        <v>45603.0</v>
      </c>
      <c r="B2326" s="4">
        <v>0.34930555555555554</v>
      </c>
      <c r="C2326" s="5" t="s">
        <v>26</v>
      </c>
      <c r="D2326" s="5" t="s">
        <v>667</v>
      </c>
      <c r="E2326" s="6" t="s">
        <v>243</v>
      </c>
      <c r="F2326" s="7" t="s">
        <v>244</v>
      </c>
      <c r="G2326" s="6" t="str">
        <f>VLOOKUP(E2326,dicionario!$A$1:$C2725,2,0)</f>
        <v>Macroptilium atropurpureum</v>
      </c>
      <c r="H2326" s="6" t="str">
        <f>VLOOKUP(E2326,dicionario!$A$1:$C2725,3,0)</f>
        <v>feijão-de-pombo</v>
      </c>
    </row>
    <row r="2327">
      <c r="A2327" s="3">
        <v>45603.0</v>
      </c>
      <c r="B2327" s="4">
        <v>0.34930555555555554</v>
      </c>
      <c r="C2327" s="5" t="s">
        <v>26</v>
      </c>
      <c r="D2327" s="5" t="s">
        <v>667</v>
      </c>
      <c r="E2327" s="6" t="s">
        <v>144</v>
      </c>
      <c r="F2327" s="7" t="s">
        <v>145</v>
      </c>
      <c r="G2327" s="6" t="str">
        <f>VLOOKUP(E2327,dicionario!$A$1:$C2726,2,0)</f>
        <v>Gomphrena globosa</v>
      </c>
      <c r="H2327" s="6" t="str">
        <f>VLOOKUP(E2327,dicionario!$A$1:$C2726,3,0)</f>
        <v>perpétua-rosa</v>
      </c>
    </row>
    <row r="2328">
      <c r="A2328" s="3">
        <v>45603.0</v>
      </c>
      <c r="B2328" s="4">
        <v>0.34930555555555554</v>
      </c>
      <c r="C2328" s="5" t="s">
        <v>26</v>
      </c>
      <c r="D2328" s="5" t="s">
        <v>667</v>
      </c>
      <c r="E2328" s="6" t="s">
        <v>24</v>
      </c>
      <c r="F2328" s="7" t="s">
        <v>459</v>
      </c>
      <c r="G2328" s="6" t="str">
        <f>VLOOKUP(E2328,dicionario!$A$1:$C2727,2,0)</f>
        <v>Lepidoptera</v>
      </c>
      <c r="H2328" s="6" t="str">
        <f>VLOOKUP(E2328,dicionario!$A$1:$C2727,3,0)</f>
        <v>boboleta/mariposa</v>
      </c>
    </row>
    <row r="2329">
      <c r="A2329" s="3">
        <v>45603.0</v>
      </c>
      <c r="B2329" s="4">
        <v>0.35</v>
      </c>
      <c r="C2329" s="5" t="s">
        <v>26</v>
      </c>
      <c r="D2329" s="5" t="s">
        <v>667</v>
      </c>
      <c r="E2329" s="6" t="s">
        <v>699</v>
      </c>
      <c r="F2329" s="7" t="s">
        <v>458</v>
      </c>
      <c r="G2329" s="6" t="str">
        <f>VLOOKUP(E2329,dicionario!$A$1:$C2728,2,0)</f>
        <v>#N/A</v>
      </c>
      <c r="H2329" s="6" t="str">
        <f>VLOOKUP(E2329,dicionario!$A$1:$C2728,3,0)</f>
        <v>#N/A</v>
      </c>
    </row>
    <row r="2330">
      <c r="A2330" s="3">
        <v>45603.0</v>
      </c>
      <c r="B2330" s="4">
        <v>0.35</v>
      </c>
      <c r="C2330" s="5" t="s">
        <v>26</v>
      </c>
      <c r="D2330" s="5" t="s">
        <v>667</v>
      </c>
      <c r="E2330" s="6" t="s">
        <v>24</v>
      </c>
      <c r="F2330" s="7" t="s">
        <v>25</v>
      </c>
      <c r="G2330" s="6" t="str">
        <f>VLOOKUP(E2330,dicionario!$A$1:$C2729,2,0)</f>
        <v>Lepidoptera</v>
      </c>
      <c r="H2330" s="6" t="str">
        <f>VLOOKUP(E2330,dicionario!$A$1:$C2729,3,0)</f>
        <v>boboleta/mariposa</v>
      </c>
    </row>
    <row r="2331">
      <c r="A2331" s="3">
        <v>45603.0</v>
      </c>
      <c r="B2331" s="4">
        <v>0.35138888888888886</v>
      </c>
      <c r="C2331" s="5" t="s">
        <v>26</v>
      </c>
      <c r="D2331" s="5" t="s">
        <v>667</v>
      </c>
      <c r="E2331" s="6" t="s">
        <v>31</v>
      </c>
      <c r="F2331" s="7" t="s">
        <v>32</v>
      </c>
      <c r="G2331" s="6" t="str">
        <f>VLOOKUP(E2331,dicionario!$A$1:$C2730,2,0)</f>
        <v>Furnarius rufus</v>
      </c>
      <c r="H2331" s="6" t="str">
        <f>VLOOKUP(E2331,dicionario!$A$1:$C2730,3,0)</f>
        <v>joão-de-barro</v>
      </c>
    </row>
    <row r="2332">
      <c r="A2332" s="3">
        <v>45603.0</v>
      </c>
      <c r="B2332" s="4">
        <v>0.35138888888888886</v>
      </c>
      <c r="C2332" s="5" t="s">
        <v>26</v>
      </c>
      <c r="D2332" s="5" t="s">
        <v>667</v>
      </c>
      <c r="E2332" s="6" t="s">
        <v>69</v>
      </c>
      <c r="F2332" s="7" t="s">
        <v>71</v>
      </c>
      <c r="G2332" s="6" t="str">
        <f>VLOOKUP(E2332,dicionario!$A$1:$C2731,2,0)</f>
        <v>Talinum fruticosum</v>
      </c>
      <c r="H2332" s="6" t="str">
        <f>VLOOKUP(E2332,dicionario!$A$1:$C2731,3,0)</f>
        <v>beldroega-grande</v>
      </c>
    </row>
    <row r="2333">
      <c r="A2333" s="3">
        <v>45603.0</v>
      </c>
      <c r="B2333" s="4">
        <v>0.35138888888888886</v>
      </c>
      <c r="C2333" s="5" t="s">
        <v>26</v>
      </c>
      <c r="D2333" s="5" t="s">
        <v>667</v>
      </c>
      <c r="E2333" s="6" t="s">
        <v>53</v>
      </c>
      <c r="F2333" s="7" t="s">
        <v>54</v>
      </c>
      <c r="G2333" s="6" t="str">
        <f>VLOOKUP(E2333,dicionario!$A$1:$C2732,2,0)</f>
        <v>Turnera subulata</v>
      </c>
      <c r="H2333" s="6" t="str">
        <f>VLOOKUP(E2333,dicionario!$A$1:$C2732,3,0)</f>
        <v>xanana</v>
      </c>
    </row>
    <row r="2334">
      <c r="A2334" s="3">
        <v>45603.0</v>
      </c>
      <c r="B2334" s="4">
        <v>0.35138888888888886</v>
      </c>
      <c r="C2334" s="5" t="s">
        <v>26</v>
      </c>
      <c r="D2334" s="5" t="s">
        <v>667</v>
      </c>
      <c r="E2334" s="8" t="s">
        <v>355</v>
      </c>
      <c r="F2334" s="5" t="s">
        <v>356</v>
      </c>
      <c r="G2334" s="6" t="str">
        <f>VLOOKUP(E2334,dicionario!$A$1:$C2733,2,0)</f>
        <v>Boerhavia diffusa</v>
      </c>
      <c r="H2334" s="6" t="str">
        <f>VLOOKUP(E2334,dicionario!$A$1:$C2733,3,0)</f>
        <v>erva-tostão</v>
      </c>
    </row>
    <row r="2335">
      <c r="A2335" s="3">
        <v>45603.0</v>
      </c>
      <c r="B2335" s="4">
        <v>0.35208333333333336</v>
      </c>
      <c r="C2335" s="5" t="s">
        <v>26</v>
      </c>
      <c r="D2335" s="5" t="s">
        <v>667</v>
      </c>
      <c r="E2335" s="8" t="s">
        <v>405</v>
      </c>
      <c r="F2335" s="7" t="s">
        <v>418</v>
      </c>
      <c r="G2335" s="6" t="str">
        <f>VLOOKUP(E2335,dicionario!$A$1:$C2734,2,0)</f>
        <v>Ectatomma</v>
      </c>
      <c r="H2335" s="6" t="str">
        <f>VLOOKUP(E2335,dicionario!$A$1:$C2734,3,0)</f>
        <v>formiga-preta</v>
      </c>
    </row>
    <row r="2336">
      <c r="A2336" s="3">
        <v>45603.0</v>
      </c>
      <c r="B2336" s="4">
        <v>0.35208333333333336</v>
      </c>
      <c r="C2336" s="5" t="s">
        <v>26</v>
      </c>
      <c r="D2336" s="5" t="s">
        <v>667</v>
      </c>
      <c r="E2336" s="6" t="s">
        <v>704</v>
      </c>
      <c r="F2336" s="7" t="s">
        <v>705</v>
      </c>
      <c r="G2336" s="6" t="str">
        <f>VLOOKUP(E2336,dicionario!$A$1:$C2735,2,0)</f>
        <v>Brachygastra lecheguana</v>
      </c>
      <c r="H2336" s="6" t="str">
        <f>VLOOKUP(E2336,dicionario!$A$1:$C2735,3,0)</f>
        <v>enxu-verdadeiro</v>
      </c>
    </row>
    <row r="2337">
      <c r="A2337" s="3">
        <v>45603.0</v>
      </c>
      <c r="B2337" s="4">
        <v>0.35208333333333336</v>
      </c>
      <c r="C2337" s="5" t="s">
        <v>26</v>
      </c>
      <c r="D2337" s="5" t="s">
        <v>667</v>
      </c>
      <c r="E2337" s="6" t="s">
        <v>122</v>
      </c>
      <c r="F2337" s="7" t="s">
        <v>123</v>
      </c>
      <c r="G2337" s="6" t="str">
        <f>VLOOKUP(E2337,dicionario!$A$1:$C2736,2,0)</f>
        <v>Todirostrum cinereum</v>
      </c>
      <c r="H2337" s="6" t="str">
        <f>VLOOKUP(E2337,dicionario!$A$1:$C2736,3,0)</f>
        <v>ferreirinho-relógio</v>
      </c>
    </row>
    <row r="2338">
      <c r="A2338" s="3">
        <v>45603.0</v>
      </c>
      <c r="B2338" s="4">
        <v>0.35208333333333336</v>
      </c>
      <c r="C2338" s="5" t="s">
        <v>26</v>
      </c>
      <c r="D2338" s="5" t="s">
        <v>667</v>
      </c>
      <c r="E2338" s="6" t="s">
        <v>271</v>
      </c>
      <c r="F2338" s="7" t="s">
        <v>272</v>
      </c>
      <c r="G2338" s="6" t="str">
        <f>VLOOKUP(E2338,dicionario!$A$1:$C2737,2,0)</f>
        <v>Cyanthillium cinereum</v>
      </c>
      <c r="H2338" s="6" t="str">
        <f>VLOOKUP(E2338,dicionario!$A$1:$C2737,3,0)</f>
        <v>emília</v>
      </c>
    </row>
    <row r="2339">
      <c r="A2339" s="3">
        <v>45603.0</v>
      </c>
      <c r="B2339" s="4">
        <v>0.35208333333333336</v>
      </c>
      <c r="C2339" s="5" t="s">
        <v>26</v>
      </c>
      <c r="D2339" s="5" t="s">
        <v>667</v>
      </c>
      <c r="E2339" s="6" t="s">
        <v>258</v>
      </c>
      <c r="F2339" s="7" t="s">
        <v>259</v>
      </c>
      <c r="G2339" s="6" t="str">
        <f>VLOOKUP(E2339,dicionario!$A$1:$C2738,2,0)</f>
        <v>Lantana camara</v>
      </c>
      <c r="H2339" s="6" t="str">
        <f>VLOOKUP(E2339,dicionario!$A$1:$C2738,3,0)</f>
        <v>lantana</v>
      </c>
    </row>
    <row r="2340">
      <c r="A2340" s="3">
        <v>45603.0</v>
      </c>
      <c r="B2340" s="4">
        <v>0.35208333333333336</v>
      </c>
      <c r="C2340" s="5" t="s">
        <v>26</v>
      </c>
      <c r="D2340" s="5" t="s">
        <v>667</v>
      </c>
      <c r="E2340" s="6" t="s">
        <v>217</v>
      </c>
      <c r="F2340" s="7" t="s">
        <v>218</v>
      </c>
      <c r="G2340" s="6" t="str">
        <f>VLOOKUP(E2340,dicionario!$A$1:$C2739,2,0)</f>
        <v>Athene cunicularia</v>
      </c>
      <c r="H2340" s="6" t="str">
        <f>VLOOKUP(E2340,dicionario!$A$1:$C2739,3,0)</f>
        <v>coruja-buraqueira</v>
      </c>
    </row>
    <row r="2341">
      <c r="A2341" s="3">
        <v>45603.0</v>
      </c>
      <c r="B2341" s="4">
        <v>0.3527777777777778</v>
      </c>
      <c r="C2341" s="5" t="s">
        <v>26</v>
      </c>
      <c r="D2341" s="5" t="s">
        <v>667</v>
      </c>
      <c r="E2341" s="6" t="s">
        <v>262</v>
      </c>
      <c r="F2341" s="7" t="s">
        <v>263</v>
      </c>
      <c r="G2341" s="6" t="str">
        <f>VLOOKUP(E2341,dicionario!$A$1:$C2740,2,0)</f>
        <v>Portulaca oleracea</v>
      </c>
      <c r="H2341" s="6" t="str">
        <f>VLOOKUP(E2341,dicionario!$A$1:$C2740,3,0)</f>
        <v>beldroega</v>
      </c>
    </row>
    <row r="2342">
      <c r="A2342" s="3">
        <v>45603.0</v>
      </c>
      <c r="B2342" s="4">
        <v>0.35347222222222224</v>
      </c>
      <c r="C2342" s="5" t="s">
        <v>26</v>
      </c>
      <c r="D2342" s="5" t="s">
        <v>667</v>
      </c>
      <c r="E2342" s="8" t="s">
        <v>360</v>
      </c>
      <c r="F2342" s="7" t="s">
        <v>361</v>
      </c>
      <c r="G2342" s="6" t="str">
        <f>VLOOKUP(E2342,dicionario!$A$1:$C2741,2,0)</f>
        <v>Chamaecrista rotundifolia</v>
      </c>
      <c r="H2342" s="6" t="str">
        <f>VLOOKUP(E2342,dicionario!$A$1:$C2741,3,0)</f>
        <v>alfafa-nativa</v>
      </c>
    </row>
    <row r="2343">
      <c r="A2343" s="3">
        <v>45603.0</v>
      </c>
      <c r="B2343" s="4">
        <v>0.3541666666666667</v>
      </c>
      <c r="C2343" s="5" t="s">
        <v>26</v>
      </c>
      <c r="D2343" s="5" t="s">
        <v>667</v>
      </c>
      <c r="E2343" s="6" t="s">
        <v>476</v>
      </c>
      <c r="F2343" s="7" t="s">
        <v>359</v>
      </c>
      <c r="G2343" s="6" t="str">
        <f>VLOOKUP(E2343,dicionario!$A$1:$C2742,2,0)</f>
        <v>#N/A</v>
      </c>
      <c r="H2343" s="6" t="str">
        <f>VLOOKUP(E2343,dicionario!$A$1:$C2742,3,0)</f>
        <v>#N/A</v>
      </c>
    </row>
    <row r="2344">
      <c r="A2344" s="3">
        <v>45603.0</v>
      </c>
      <c r="B2344" s="4">
        <v>0.3541666666666667</v>
      </c>
      <c r="C2344" s="5" t="s">
        <v>26</v>
      </c>
      <c r="D2344" s="5" t="s">
        <v>667</v>
      </c>
      <c r="E2344" s="20" t="s">
        <v>676</v>
      </c>
      <c r="F2344" s="7" t="s">
        <v>677</v>
      </c>
      <c r="G2344" s="6" t="str">
        <f>VLOOKUP(E2344,dicionario!$A$1:$C2743,2,0)</f>
        <v>Zornia latifolia</v>
      </c>
      <c r="H2344" s="6" t="str">
        <f>VLOOKUP(E2344,dicionario!$A$1:$C2743,3,0)</f>
        <v>arrozinho-do-campo</v>
      </c>
    </row>
    <row r="2345">
      <c r="A2345" s="3">
        <v>45603.0</v>
      </c>
      <c r="B2345" s="4">
        <v>0.3548611111111111</v>
      </c>
      <c r="C2345" s="5" t="s">
        <v>26</v>
      </c>
      <c r="D2345" s="5" t="s">
        <v>667</v>
      </c>
      <c r="E2345" s="6" t="s">
        <v>302</v>
      </c>
      <c r="F2345" s="7" t="s">
        <v>303</v>
      </c>
      <c r="G2345" s="6" t="str">
        <f>VLOOKUP(E2345,dicionario!$A$1:$C2744,2,0)</f>
        <v>Machetornis rixosa</v>
      </c>
      <c r="H2345" s="6" t="str">
        <f>VLOOKUP(E2345,dicionario!$A$1:$C2744,3,0)</f>
        <v>suiriri-cavaleiro</v>
      </c>
    </row>
    <row r="2346">
      <c r="A2346" s="3">
        <v>45603.0</v>
      </c>
      <c r="B2346" s="4">
        <v>0.35555555555555557</v>
      </c>
      <c r="C2346" s="5" t="s">
        <v>26</v>
      </c>
      <c r="D2346" s="5" t="s">
        <v>667</v>
      </c>
      <c r="E2346" s="8" t="s">
        <v>24</v>
      </c>
      <c r="F2346" s="7" t="s">
        <v>25</v>
      </c>
      <c r="G2346" s="6" t="str">
        <f>VLOOKUP(E2346,dicionario!$A$1:$C2745,2,0)</f>
        <v>Lepidoptera</v>
      </c>
      <c r="H2346" s="6" t="str">
        <f>VLOOKUP(E2346,dicionario!$A$1:$C2745,3,0)</f>
        <v>boboleta/mariposa</v>
      </c>
    </row>
    <row r="2347">
      <c r="A2347" s="3">
        <v>45603.0</v>
      </c>
      <c r="B2347" s="4">
        <v>0.35625</v>
      </c>
      <c r="C2347" s="5" t="s">
        <v>8</v>
      </c>
      <c r="D2347" s="5" t="s">
        <v>667</v>
      </c>
      <c r="E2347" s="6" t="s">
        <v>613</v>
      </c>
      <c r="F2347" s="7" t="s">
        <v>614</v>
      </c>
      <c r="G2347" s="6" t="str">
        <f>VLOOKUP(E2347,dicionario!$A$1:$C2746,2,0)</f>
        <v>Euphorbia hyssopifolia</v>
      </c>
      <c r="H2347" s="6" t="str">
        <f>VLOOKUP(E2347,dicionario!$A$1:$C2746,3,0)</f>
        <v>maria-leite</v>
      </c>
    </row>
    <row r="2348">
      <c r="A2348" s="3">
        <v>45603.0</v>
      </c>
      <c r="B2348" s="4">
        <v>0.35625</v>
      </c>
      <c r="C2348" s="5" t="s">
        <v>8</v>
      </c>
      <c r="D2348" s="5" t="s">
        <v>667</v>
      </c>
      <c r="E2348" s="6" t="s">
        <v>146</v>
      </c>
      <c r="F2348" s="7" t="s">
        <v>147</v>
      </c>
      <c r="G2348" s="6" t="str">
        <f>VLOOKUP(E2348,dicionario!$A$1:$C2747,2,0)</f>
        <v>Euphorbia hirta</v>
      </c>
      <c r="H2348" s="6" t="str">
        <f>VLOOKUP(E2348,dicionario!$A$1:$C2747,3,0)</f>
        <v>erva-de-santa-luzia</v>
      </c>
    </row>
    <row r="2349">
      <c r="A2349" s="3">
        <v>45603.0</v>
      </c>
      <c r="B2349" s="4">
        <v>0.35625</v>
      </c>
      <c r="C2349" s="5" t="s">
        <v>8</v>
      </c>
      <c r="D2349" s="5" t="s">
        <v>667</v>
      </c>
      <c r="E2349" s="6" t="s">
        <v>14</v>
      </c>
      <c r="F2349" s="7" t="s">
        <v>15</v>
      </c>
      <c r="G2349" s="6" t="str">
        <f>VLOOKUP(E2349,dicionario!$A$1:$C2748,2,0)</f>
        <v>Spermacoce verticillata</v>
      </c>
      <c r="H2349" s="6" t="str">
        <f>VLOOKUP(E2349,dicionario!$A$1:$C2748,3,0)</f>
        <v>vassourinha-de-botão</v>
      </c>
    </row>
    <row r="2350">
      <c r="A2350" s="3">
        <v>45603.0</v>
      </c>
      <c r="B2350" s="4">
        <v>0.35625</v>
      </c>
      <c r="C2350" s="5" t="s">
        <v>8</v>
      </c>
      <c r="D2350" s="5" t="s">
        <v>667</v>
      </c>
      <c r="E2350" s="6" t="s">
        <v>135</v>
      </c>
      <c r="F2350" s="7" t="s">
        <v>136</v>
      </c>
      <c r="G2350" s="6" t="str">
        <f>VLOOKUP(E2350,dicionario!$A$1:$C2749,2,0)</f>
        <v>Tridax procumbens</v>
      </c>
      <c r="H2350" s="6" t="str">
        <f>VLOOKUP(E2350,dicionario!$A$1:$C2749,3,0)</f>
        <v>erva-de-touro</v>
      </c>
    </row>
    <row r="2351">
      <c r="A2351" s="3">
        <v>45603.0</v>
      </c>
      <c r="B2351" s="4">
        <v>0.35625</v>
      </c>
      <c r="C2351" s="5" t="s">
        <v>8</v>
      </c>
      <c r="D2351" s="5" t="s">
        <v>667</v>
      </c>
      <c r="E2351" s="6" t="s">
        <v>390</v>
      </c>
      <c r="F2351" s="7" t="s">
        <v>391</v>
      </c>
      <c r="G2351" s="6" t="str">
        <f>VLOOKUP(E2351,dicionario!$A$1:$C2750,2,0)</f>
        <v>Oxalis barrelieri</v>
      </c>
      <c r="H2351" s="6" t="str">
        <f>VLOOKUP(E2351,dicionario!$A$1:$C2750,3,0)</f>
        <v>erva-azeda; azedinha </v>
      </c>
    </row>
    <row r="2352">
      <c r="A2352" s="3">
        <v>45603.0</v>
      </c>
      <c r="B2352" s="4">
        <v>0.35694444444444445</v>
      </c>
      <c r="C2352" s="5" t="s">
        <v>8</v>
      </c>
      <c r="D2352" s="5" t="s">
        <v>667</v>
      </c>
      <c r="E2352" s="6" t="s">
        <v>706</v>
      </c>
      <c r="F2352" s="7" t="s">
        <v>351</v>
      </c>
      <c r="G2352" s="6" t="str">
        <f>VLOOKUP(E2352,dicionario!$A$1:$C2751,2,0)</f>
        <v>#N/A</v>
      </c>
      <c r="H2352" s="6" t="str">
        <f>VLOOKUP(E2352,dicionario!$A$1:$C2751,3,0)</f>
        <v>#N/A</v>
      </c>
    </row>
    <row r="2353">
      <c r="A2353" s="3">
        <v>45603.0</v>
      </c>
      <c r="B2353" s="4">
        <v>0.35694444444444445</v>
      </c>
      <c r="C2353" s="5" t="s">
        <v>8</v>
      </c>
      <c r="D2353" s="5" t="s">
        <v>667</v>
      </c>
      <c r="E2353" s="6" t="s">
        <v>353</v>
      </c>
      <c r="F2353" s="7" t="s">
        <v>354</v>
      </c>
      <c r="G2353" s="6" t="str">
        <f>VLOOKUP(E2353,dicionario!$A$1:$C2752,2,0)</f>
        <v>Desmodium incanum</v>
      </c>
      <c r="H2353" s="6" t="str">
        <f>VLOOKUP(E2353,dicionario!$A$1:$C2752,3,0)</f>
        <v>pega-pega</v>
      </c>
    </row>
    <row r="2354">
      <c r="A2354" s="3">
        <v>45603.0</v>
      </c>
      <c r="B2354" s="4">
        <v>0.35694444444444445</v>
      </c>
      <c r="C2354" s="5" t="s">
        <v>8</v>
      </c>
      <c r="D2354" s="5" t="s">
        <v>667</v>
      </c>
      <c r="E2354" s="6" t="s">
        <v>258</v>
      </c>
      <c r="F2354" s="7" t="s">
        <v>259</v>
      </c>
      <c r="G2354" s="6" t="str">
        <f>VLOOKUP(E2354,dicionario!$A$1:$C2753,2,0)</f>
        <v>Lantana camara</v>
      </c>
      <c r="H2354" s="6" t="str">
        <f>VLOOKUP(E2354,dicionario!$A$1:$C2753,3,0)</f>
        <v>lantana</v>
      </c>
    </row>
    <row r="2355">
      <c r="A2355" s="3">
        <v>45603.0</v>
      </c>
      <c r="B2355" s="4">
        <v>0.3576388888888889</v>
      </c>
      <c r="C2355" s="5" t="s">
        <v>8</v>
      </c>
      <c r="D2355" s="5" t="s">
        <v>667</v>
      </c>
      <c r="E2355" s="41" t="s">
        <v>707</v>
      </c>
      <c r="F2355" s="7" t="s">
        <v>708</v>
      </c>
      <c r="G2355" s="6" t="str">
        <f>VLOOKUP(E2355,dicionario!$A$1:$C2754,2,0)</f>
        <v>#N/A</v>
      </c>
      <c r="H2355" s="6" t="str">
        <f>VLOOKUP(E2355,dicionario!$A$1:$C2754,3,0)</f>
        <v>#N/A</v>
      </c>
    </row>
    <row r="2356">
      <c r="A2356" s="3">
        <v>45603.0</v>
      </c>
      <c r="B2356" s="4">
        <v>0.35833333333333334</v>
      </c>
      <c r="C2356" s="5" t="s">
        <v>8</v>
      </c>
      <c r="D2356" s="5" t="s">
        <v>667</v>
      </c>
      <c r="E2356" s="6" t="s">
        <v>247</v>
      </c>
      <c r="F2356" s="7" t="s">
        <v>387</v>
      </c>
      <c r="G2356" s="6" t="str">
        <f>VLOOKUP(E2356,dicionario!$A$1:$C2755,2,0)</f>
        <v>Emilia sonchifolia</v>
      </c>
      <c r="H2356" s="6" t="str">
        <f>VLOOKUP(E2356,dicionario!$A$1:$C2755,3,0)</f>
        <v>serralinha</v>
      </c>
    </row>
    <row r="2357">
      <c r="A2357" s="3">
        <v>45603.0</v>
      </c>
      <c r="B2357" s="4">
        <v>0.35833333333333334</v>
      </c>
      <c r="C2357" s="5" t="s">
        <v>8</v>
      </c>
      <c r="D2357" s="5" t="s">
        <v>667</v>
      </c>
      <c r="E2357" s="6" t="s">
        <v>709</v>
      </c>
      <c r="F2357" s="5" t="s">
        <v>598</v>
      </c>
      <c r="G2357" s="6" t="str">
        <f>VLOOKUP(E2357,dicionario!$A$1:$C2756,2,0)</f>
        <v>#N/A</v>
      </c>
      <c r="H2357" s="6" t="str">
        <f>VLOOKUP(E2357,dicionario!$A$1:$C2756,3,0)</f>
        <v>#N/A</v>
      </c>
    </row>
    <row r="2358">
      <c r="A2358" s="3">
        <v>45603.0</v>
      </c>
      <c r="B2358" s="4">
        <v>0.35833333333333334</v>
      </c>
      <c r="C2358" s="5" t="s">
        <v>8</v>
      </c>
      <c r="D2358" s="5" t="s">
        <v>667</v>
      </c>
      <c r="E2358" s="6" t="s">
        <v>262</v>
      </c>
      <c r="F2358" s="7" t="s">
        <v>263</v>
      </c>
      <c r="G2358" s="6" t="str">
        <f>VLOOKUP(E2358,dicionario!$A$1:$C2757,2,0)</f>
        <v>Portulaca oleracea</v>
      </c>
      <c r="H2358" s="6" t="str">
        <f>VLOOKUP(E2358,dicionario!$A$1:$C2757,3,0)</f>
        <v>beldroega</v>
      </c>
    </row>
    <row r="2359">
      <c r="A2359" s="3">
        <v>45603.0</v>
      </c>
      <c r="B2359" s="4">
        <v>0.35833333333333334</v>
      </c>
      <c r="C2359" s="5" t="s">
        <v>8</v>
      </c>
      <c r="D2359" s="5" t="s">
        <v>667</v>
      </c>
      <c r="E2359" s="6" t="s">
        <v>286</v>
      </c>
      <c r="F2359" s="7" t="s">
        <v>287</v>
      </c>
      <c r="G2359" s="6" t="str">
        <f>VLOOKUP(E2359,dicionario!$A$1:$C2758,2,0)</f>
        <v>Setaria parviflora</v>
      </c>
      <c r="H2359" s="6" t="str">
        <f>VLOOKUP(E2359,dicionario!$A$1:$C2758,3,0)</f>
        <v>capim-rabo-de-raposa</v>
      </c>
    </row>
    <row r="2360">
      <c r="A2360" s="3">
        <v>45603.0</v>
      </c>
      <c r="B2360" s="4">
        <v>0.35833333333333334</v>
      </c>
      <c r="C2360" s="5" t="s">
        <v>8</v>
      </c>
      <c r="D2360" s="5" t="s">
        <v>667</v>
      </c>
      <c r="E2360" s="30" t="s">
        <v>710</v>
      </c>
      <c r="F2360" s="7"/>
      <c r="G2360" s="6" t="str">
        <f>VLOOKUP(E2360,dicionario!$A$1:$C2759,2,0)</f>
        <v>#N/A</v>
      </c>
      <c r="H2360" s="6" t="str">
        <f>VLOOKUP(E2360,dicionario!$A$1:$C2759,3,0)</f>
        <v>#N/A</v>
      </c>
    </row>
    <row r="2361">
      <c r="A2361" s="3">
        <v>45603.0</v>
      </c>
      <c r="B2361" s="4">
        <v>0.3597222222222222</v>
      </c>
      <c r="C2361" s="5" t="s">
        <v>8</v>
      </c>
      <c r="D2361" s="5" t="s">
        <v>667</v>
      </c>
      <c r="E2361" s="6" t="s">
        <v>215</v>
      </c>
      <c r="F2361" s="7" t="s">
        <v>216</v>
      </c>
      <c r="G2361" s="6" t="str">
        <f>VLOOKUP(E2361,dicionario!$A$1:$C2760,2,0)</f>
        <v>Pygochelidon cyanoleuca</v>
      </c>
      <c r="H2361" s="6" t="str">
        <f>VLOOKUP(E2361,dicionario!$A$1:$C2760,3,0)</f>
        <v>andorinha-pequena-de-casa</v>
      </c>
    </row>
    <row r="2362">
      <c r="A2362" s="3">
        <v>45603.0</v>
      </c>
      <c r="B2362" s="4">
        <v>0.3597222222222222</v>
      </c>
      <c r="C2362" s="5" t="s">
        <v>8</v>
      </c>
      <c r="D2362" s="5" t="s">
        <v>667</v>
      </c>
      <c r="E2362" s="6" t="s">
        <v>227</v>
      </c>
      <c r="F2362" s="7" t="s">
        <v>228</v>
      </c>
      <c r="G2362" s="6" t="str">
        <f>VLOOKUP(E2362,dicionario!$A$1:$C2761,2,0)</f>
        <v>Indigofera hirsuta</v>
      </c>
      <c r="H2362" s="6" t="str">
        <f>VLOOKUP(E2362,dicionario!$A$1:$C2761,3,0)</f>
        <v>anileira</v>
      </c>
    </row>
    <row r="2363">
      <c r="A2363" s="3">
        <v>45603.0</v>
      </c>
      <c r="B2363" s="4">
        <v>0.3597222222222222</v>
      </c>
      <c r="C2363" s="5" t="s">
        <v>8</v>
      </c>
      <c r="D2363" s="5" t="s">
        <v>667</v>
      </c>
      <c r="E2363" s="6" t="s">
        <v>253</v>
      </c>
      <c r="F2363" s="7" t="s">
        <v>254</v>
      </c>
      <c r="G2363" s="6" t="str">
        <f>VLOOKUP(E2363,dicionario!$A$1:$C2762,2,0)</f>
        <v>Panicum maximum</v>
      </c>
      <c r="H2363" s="6" t="str">
        <f>VLOOKUP(E2363,dicionario!$A$1:$C2762,3,0)</f>
        <v>capim-colonião</v>
      </c>
    </row>
    <row r="2364">
      <c r="A2364" s="3">
        <v>45603.0</v>
      </c>
      <c r="B2364" s="4">
        <v>0.3597222222222222</v>
      </c>
      <c r="C2364" s="5" t="s">
        <v>8</v>
      </c>
      <c r="D2364" s="5" t="s">
        <v>667</v>
      </c>
      <c r="E2364" s="6" t="s">
        <v>298</v>
      </c>
      <c r="F2364" s="5" t="s">
        <v>299</v>
      </c>
      <c r="G2364" s="6" t="str">
        <f>VLOOKUP(E2364,dicionario!$A$1:$C2763,2,0)</f>
        <v>Alysicarpus vaginalis</v>
      </c>
      <c r="H2364" s="6" t="str">
        <f>VLOOKUP(E2364,dicionario!$A$1:$C2763,3,0)</f>
        <v/>
      </c>
    </row>
    <row r="2365">
      <c r="A2365" s="3">
        <v>45603.0</v>
      </c>
      <c r="B2365" s="4">
        <v>0.3597222222222222</v>
      </c>
      <c r="C2365" s="5" t="s">
        <v>8</v>
      </c>
      <c r="D2365" s="5" t="s">
        <v>667</v>
      </c>
      <c r="E2365" s="6" t="s">
        <v>602</v>
      </c>
      <c r="F2365" s="7" t="s">
        <v>603</v>
      </c>
      <c r="G2365" s="6" t="str">
        <f>VLOOKUP(E2365,dicionario!$A$1:$C2764,2,0)</f>
        <v>Trametes sanguinea</v>
      </c>
      <c r="H2365" s="6" t="str">
        <f>VLOOKUP(E2365,dicionario!$A$1:$C2764,3,0)</f>
        <v>orelha-de-pau</v>
      </c>
    </row>
    <row r="2366">
      <c r="A2366" s="3">
        <v>45603.0</v>
      </c>
      <c r="B2366" s="4">
        <v>0.36180555555555555</v>
      </c>
      <c r="C2366" s="5" t="s">
        <v>8</v>
      </c>
      <c r="D2366" s="5" t="s">
        <v>667</v>
      </c>
      <c r="E2366" s="6" t="s">
        <v>20</v>
      </c>
      <c r="F2366" s="7" t="s">
        <v>21</v>
      </c>
      <c r="G2366" s="6" t="str">
        <f>VLOOKUP(E2366,dicionario!$A$1:$C2765,2,0)</f>
        <v>Sicalis flaveola</v>
      </c>
      <c r="H2366" s="6" t="str">
        <f>VLOOKUP(E2366,dicionario!$A$1:$C2765,3,0)</f>
        <v>canário-da-terra</v>
      </c>
    </row>
    <row r="2367">
      <c r="A2367" s="3">
        <v>45603.0</v>
      </c>
      <c r="B2367" s="4">
        <v>0.36180555555555555</v>
      </c>
      <c r="C2367" s="5" t="s">
        <v>8</v>
      </c>
      <c r="D2367" s="5" t="s">
        <v>667</v>
      </c>
      <c r="E2367" s="6" t="s">
        <v>225</v>
      </c>
      <c r="F2367" s="7" t="s">
        <v>226</v>
      </c>
      <c r="G2367" s="6" t="str">
        <f>VLOOKUP(E2367,dicionario!$A$1:$C2766,2,0)</f>
        <v>Passer domesticus</v>
      </c>
      <c r="H2367" s="6" t="str">
        <f>VLOOKUP(E2367,dicionario!$A$1:$C2766,3,0)</f>
        <v>pardal</v>
      </c>
    </row>
    <row r="2368">
      <c r="A2368" s="3">
        <v>45603.0</v>
      </c>
      <c r="B2368" s="4">
        <v>0.36180555555555555</v>
      </c>
      <c r="C2368" s="5" t="s">
        <v>8</v>
      </c>
      <c r="D2368" s="5" t="s">
        <v>667</v>
      </c>
      <c r="E2368" s="6" t="s">
        <v>14</v>
      </c>
      <c r="F2368" s="7" t="s">
        <v>15</v>
      </c>
      <c r="G2368" s="6" t="str">
        <f>VLOOKUP(E2368,dicionario!$A$1:$C2767,2,0)</f>
        <v>Spermacoce verticillata</v>
      </c>
      <c r="H2368" s="6" t="str">
        <f>VLOOKUP(E2368,dicionario!$A$1:$C2767,3,0)</f>
        <v>vassourinha-de-botão</v>
      </c>
    </row>
    <row r="2369">
      <c r="A2369" s="3">
        <v>45603.0</v>
      </c>
      <c r="B2369" s="4">
        <v>0.3625</v>
      </c>
      <c r="C2369" s="5" t="s">
        <v>8</v>
      </c>
      <c r="D2369" s="5" t="s">
        <v>667</v>
      </c>
      <c r="E2369" s="8" t="s">
        <v>711</v>
      </c>
      <c r="F2369" s="7" t="s">
        <v>224</v>
      </c>
      <c r="G2369" s="6" t="str">
        <f>VLOOKUP(E2369,dicionario!$A$1:$C2768,2,0)</f>
        <v>#N/A</v>
      </c>
      <c r="H2369" s="6" t="str">
        <f>VLOOKUP(E2369,dicionario!$A$1:$C2768,3,0)</f>
        <v>#N/A</v>
      </c>
    </row>
    <row r="2370">
      <c r="A2370" s="3">
        <v>45603.0</v>
      </c>
      <c r="B2370" s="4">
        <v>0.36319444444444443</v>
      </c>
      <c r="C2370" s="5" t="s">
        <v>8</v>
      </c>
      <c r="D2370" s="5" t="s">
        <v>667</v>
      </c>
      <c r="E2370" s="6" t="s">
        <v>195</v>
      </c>
      <c r="F2370" s="7" t="s">
        <v>698</v>
      </c>
      <c r="G2370" s="6" t="str">
        <f>VLOOKUP(E2370,dicionario!$A$1:$C2769,2,0)</f>
        <v>Priva lappulacea</v>
      </c>
      <c r="H2370" s="6" t="str">
        <f>VLOOKUP(E2370,dicionario!$A$1:$C2769,3,0)</f>
        <v>carrapicho</v>
      </c>
    </row>
    <row r="2371">
      <c r="A2371" s="3">
        <v>45603.0</v>
      </c>
      <c r="B2371" s="4">
        <v>0.36319444444444443</v>
      </c>
      <c r="C2371" s="5" t="s">
        <v>8</v>
      </c>
      <c r="D2371" s="5" t="s">
        <v>667</v>
      </c>
      <c r="E2371" s="6" t="s">
        <v>271</v>
      </c>
      <c r="F2371" s="7" t="s">
        <v>272</v>
      </c>
      <c r="G2371" s="6" t="str">
        <f>VLOOKUP(E2371,dicionario!$A$1:$C2770,2,0)</f>
        <v>Cyanthillium cinereum</v>
      </c>
      <c r="H2371" s="6" t="str">
        <f>VLOOKUP(E2371,dicionario!$A$1:$C2770,3,0)</f>
        <v>emília</v>
      </c>
    </row>
    <row r="2372">
      <c r="A2372" s="3">
        <v>45603.0</v>
      </c>
      <c r="B2372" s="4">
        <v>0.3638888888888889</v>
      </c>
      <c r="C2372" s="5" t="s">
        <v>8</v>
      </c>
      <c r="D2372" s="5" t="s">
        <v>667</v>
      </c>
      <c r="E2372" s="6" t="s">
        <v>69</v>
      </c>
      <c r="F2372" s="7" t="s">
        <v>71</v>
      </c>
      <c r="G2372" s="6" t="str">
        <f>VLOOKUP(E2372,dicionario!$A$1:$C2771,2,0)</f>
        <v>Talinum fruticosum</v>
      </c>
      <c r="H2372" s="6" t="str">
        <f>VLOOKUP(E2372,dicionario!$A$1:$C2771,3,0)</f>
        <v>beldroega-grande</v>
      </c>
    </row>
    <row r="2373">
      <c r="A2373" s="3">
        <v>45603.0</v>
      </c>
      <c r="B2373" s="4">
        <v>0.3638888888888889</v>
      </c>
      <c r="C2373" s="5" t="s">
        <v>8</v>
      </c>
      <c r="D2373" s="5" t="s">
        <v>667</v>
      </c>
      <c r="E2373" s="6" t="s">
        <v>399</v>
      </c>
      <c r="F2373" s="7" t="s">
        <v>400</v>
      </c>
      <c r="G2373" s="6" t="str">
        <f>VLOOKUP(E2373,dicionario!$A$1:$C2772,2,0)</f>
        <v>Varronia curassavica</v>
      </c>
      <c r="H2373" s="6" t="str">
        <f>VLOOKUP(E2373,dicionario!$A$1:$C2772,3,0)</f>
        <v>erva-baleeira</v>
      </c>
    </row>
    <row r="2374">
      <c r="A2374" s="3">
        <v>45603.0</v>
      </c>
      <c r="B2374" s="4">
        <v>0.3645833333333333</v>
      </c>
      <c r="C2374" s="5" t="s">
        <v>8</v>
      </c>
      <c r="D2374" s="5" t="s">
        <v>667</v>
      </c>
      <c r="E2374" s="8" t="s">
        <v>712</v>
      </c>
      <c r="F2374" s="5" t="s">
        <v>713</v>
      </c>
      <c r="G2374" s="6" t="str">
        <f>VLOOKUP(E2374,dicionario!$A$1:$C2773,2,0)</f>
        <v>Flavopunctelia soredica</v>
      </c>
      <c r="H2374" s="6" t="str">
        <f>VLOOKUP(E2374,dicionario!$A$1:$C2773,3,0)</f>
        <v>líquen-folioso</v>
      </c>
    </row>
    <row r="2375">
      <c r="A2375" s="3">
        <v>45610.0</v>
      </c>
      <c r="B2375" s="34"/>
      <c r="C2375" s="42"/>
      <c r="D2375" s="42"/>
      <c r="E2375" s="43" t="s">
        <v>714</v>
      </c>
      <c r="F2375" s="42" t="s">
        <v>714</v>
      </c>
      <c r="G2375" s="6" t="str">
        <f>VLOOKUP(E2375,dicionario!$A$1:$C2774,2,0)</f>
        <v>#N/A</v>
      </c>
      <c r="H2375" s="6" t="str">
        <f>VLOOKUP(E2375,dicionario!$A$1:$C2774,3,0)</f>
        <v>#N/A</v>
      </c>
      <c r="I2375" s="35" t="s">
        <v>715</v>
      </c>
    </row>
    <row r="2376">
      <c r="A2376" s="3">
        <v>45610.0</v>
      </c>
      <c r="B2376" s="34"/>
      <c r="C2376" s="42"/>
      <c r="D2376" s="42"/>
      <c r="E2376" s="43" t="s">
        <v>714</v>
      </c>
      <c r="F2376" s="44"/>
      <c r="G2376" s="6" t="str">
        <f>VLOOKUP(E2376,dicionario!$A$1:$C2775,2,0)</f>
        <v>#N/A</v>
      </c>
      <c r="H2376" s="6" t="str">
        <f>VLOOKUP(E2376,dicionario!$A$1:$C2775,3,0)</f>
        <v>#N/A</v>
      </c>
      <c r="I2376" s="35" t="s">
        <v>716</v>
      </c>
    </row>
    <row r="2377">
      <c r="A2377" s="3">
        <v>45617.0</v>
      </c>
      <c r="B2377" s="4">
        <v>0.2534722222222222</v>
      </c>
      <c r="C2377" s="5" t="s">
        <v>8</v>
      </c>
      <c r="D2377" s="5" t="s">
        <v>717</v>
      </c>
      <c r="E2377" s="6" t="s">
        <v>20</v>
      </c>
      <c r="F2377" s="7" t="s">
        <v>21</v>
      </c>
      <c r="G2377" s="6" t="str">
        <f>VLOOKUP(E2377,dicionario!$A$1:$C2776,2,0)</f>
        <v>Sicalis flaveola</v>
      </c>
      <c r="H2377" s="6" t="str">
        <f>VLOOKUP(E2377,dicionario!$A$1:$C2776,3,0)</f>
        <v>canário-da-terra</v>
      </c>
    </row>
    <row r="2378">
      <c r="A2378" s="3">
        <v>45617.0</v>
      </c>
      <c r="B2378" s="4">
        <v>0.25416666666666665</v>
      </c>
      <c r="C2378" s="5" t="s">
        <v>8</v>
      </c>
      <c r="D2378" s="5" t="s">
        <v>717</v>
      </c>
      <c r="E2378" s="6" t="s">
        <v>200</v>
      </c>
      <c r="F2378" s="7" t="s">
        <v>201</v>
      </c>
      <c r="G2378" s="6" t="str">
        <f>VLOOKUP(E2378,dicionario!$A$1:$C2777,2,0)</f>
        <v>Columbina picui </v>
      </c>
      <c r="H2378" s="6" t="str">
        <f>VLOOKUP(E2378,dicionario!$A$1:$C2777,3,0)</f>
        <v>rolinha-picuí</v>
      </c>
    </row>
    <row r="2379">
      <c r="A2379" s="3">
        <v>45617.0</v>
      </c>
      <c r="B2379" s="45">
        <v>0.25416666666666665</v>
      </c>
      <c r="C2379" s="5" t="s">
        <v>8</v>
      </c>
      <c r="D2379" s="5" t="s">
        <v>717</v>
      </c>
      <c r="E2379" s="6" t="s">
        <v>109</v>
      </c>
      <c r="F2379" s="7" t="s">
        <v>110</v>
      </c>
      <c r="G2379" s="6" t="str">
        <f>VLOOKUP(E2379,dicionario!$A$1:$C2778,2,0)</f>
        <v>Tillandsia stricta</v>
      </c>
      <c r="H2379" s="6" t="str">
        <f>VLOOKUP(E2379,dicionario!$A$1:$C2778,3,0)</f>
        <v>cravo-do-mato</v>
      </c>
    </row>
    <row r="2380">
      <c r="A2380" s="3">
        <v>45617.0</v>
      </c>
      <c r="B2380" s="45">
        <v>0.25416666666666665</v>
      </c>
      <c r="C2380" s="5" t="s">
        <v>8</v>
      </c>
      <c r="D2380" s="5" t="s">
        <v>717</v>
      </c>
      <c r="E2380" s="6" t="s">
        <v>227</v>
      </c>
      <c r="F2380" s="7" t="s">
        <v>228</v>
      </c>
      <c r="G2380" s="6" t="str">
        <f>VLOOKUP(E2380,dicionario!$A$1:$C2779,2,0)</f>
        <v>Indigofera hirsuta</v>
      </c>
      <c r="H2380" s="6" t="str">
        <f>VLOOKUP(E2380,dicionario!$A$1:$C2779,3,0)</f>
        <v>anileira</v>
      </c>
    </row>
    <row r="2381">
      <c r="A2381" s="3">
        <v>45617.0</v>
      </c>
      <c r="B2381" s="45">
        <v>0.25416666666666665</v>
      </c>
      <c r="C2381" s="5" t="s">
        <v>8</v>
      </c>
      <c r="D2381" s="5" t="s">
        <v>717</v>
      </c>
      <c r="E2381" s="8" t="s">
        <v>712</v>
      </c>
      <c r="F2381" s="5" t="s">
        <v>718</v>
      </c>
      <c r="G2381" s="6" t="str">
        <f>VLOOKUP(E2381,dicionario!$A$1:$C2780,2,0)</f>
        <v>Flavopunctelia soredica</v>
      </c>
      <c r="H2381" s="6" t="str">
        <f>VLOOKUP(E2381,dicionario!$A$1:$C2780,3,0)</f>
        <v>líquen-folioso</v>
      </c>
    </row>
    <row r="2382">
      <c r="A2382" s="3">
        <v>45617.0</v>
      </c>
      <c r="B2382" s="4">
        <v>0.2548611111111111</v>
      </c>
      <c r="C2382" s="5" t="s">
        <v>8</v>
      </c>
      <c r="D2382" s="5" t="s">
        <v>717</v>
      </c>
      <c r="E2382" s="6" t="s">
        <v>719</v>
      </c>
      <c r="F2382" s="5" t="s">
        <v>720</v>
      </c>
      <c r="G2382" s="6" t="str">
        <f>VLOOKUP(E2382,dicionario!$A$1:$C2781,2,0)</f>
        <v>Dirinaria</v>
      </c>
      <c r="H2382" s="6" t="str">
        <f>VLOOKUP(E2382,dicionario!$A$1:$C2781,3,0)</f>
        <v>líquen-crostoso</v>
      </c>
    </row>
    <row r="2383">
      <c r="A2383" s="3">
        <v>45617.0</v>
      </c>
      <c r="B2383" s="46">
        <v>0.25555555555555554</v>
      </c>
      <c r="C2383" s="5" t="s">
        <v>8</v>
      </c>
      <c r="D2383" s="5" t="s">
        <v>717</v>
      </c>
      <c r="E2383" s="6" t="s">
        <v>88</v>
      </c>
      <c r="F2383" s="7" t="s">
        <v>89</v>
      </c>
      <c r="G2383" s="6" t="str">
        <f>VLOOKUP(E2383,dicionario!$A$1:$C2782,2,0)</f>
        <v>Tyrannus melancolichus</v>
      </c>
      <c r="H2383" s="6" t="str">
        <f>VLOOKUP(E2383,dicionario!$A$1:$C2782,3,0)</f>
        <v>suiriri</v>
      </c>
    </row>
    <row r="2384">
      <c r="A2384" s="3">
        <v>45617.0</v>
      </c>
      <c r="B2384" s="46">
        <v>0.25555555555555554</v>
      </c>
      <c r="C2384" s="5" t="s">
        <v>8</v>
      </c>
      <c r="D2384" s="5" t="s">
        <v>717</v>
      </c>
      <c r="E2384" s="6" t="s">
        <v>162</v>
      </c>
      <c r="F2384" s="7" t="s">
        <v>42</v>
      </c>
      <c r="G2384" s="6" t="str">
        <f>VLOOKUP(E2384,dicionario!$A$1:$C2783,2,0)</f>
        <v>Fluvicola nengeta</v>
      </c>
      <c r="H2384" s="6" t="str">
        <f>VLOOKUP(E2384,dicionario!$A$1:$C2783,3,0)</f>
        <v>lavadeira-mascarada</v>
      </c>
    </row>
    <row r="2385">
      <c r="A2385" s="3">
        <v>45617.0</v>
      </c>
      <c r="B2385" s="46">
        <v>0.25625</v>
      </c>
      <c r="C2385" s="5" t="s">
        <v>8</v>
      </c>
      <c r="D2385" s="5" t="s">
        <v>717</v>
      </c>
      <c r="E2385" s="6" t="s">
        <v>65</v>
      </c>
      <c r="F2385" s="7" t="s">
        <v>66</v>
      </c>
      <c r="G2385" s="6" t="str">
        <f>VLOOKUP(E2385,dicionario!$A$1:$C2784,2,0)</f>
        <v>Pitangus sulphutarus</v>
      </c>
      <c r="H2385" s="6" t="str">
        <f>VLOOKUP(E2385,dicionario!$A$1:$C2784,3,0)</f>
        <v>bem-te-vi</v>
      </c>
    </row>
    <row r="2386">
      <c r="A2386" s="3">
        <v>45617.0</v>
      </c>
      <c r="B2386" s="47">
        <v>0.25625</v>
      </c>
      <c r="C2386" s="5" t="s">
        <v>8</v>
      </c>
      <c r="D2386" s="5" t="s">
        <v>717</v>
      </c>
      <c r="E2386" s="8" t="s">
        <v>298</v>
      </c>
      <c r="F2386" s="7"/>
      <c r="G2386" s="6" t="str">
        <f>VLOOKUP(E2386,dicionario!$A$1:$C2785,2,0)</f>
        <v>Alysicarpus vaginalis</v>
      </c>
      <c r="H2386" s="6" t="str">
        <f>VLOOKUP(E2386,dicionario!$A$1:$C2785,3,0)</f>
        <v/>
      </c>
    </row>
    <row r="2387">
      <c r="A2387" s="3">
        <v>45617.0</v>
      </c>
      <c r="B2387" s="45">
        <v>0.25625</v>
      </c>
      <c r="C2387" s="5" t="s">
        <v>8</v>
      </c>
      <c r="D2387" s="5" t="s">
        <v>717</v>
      </c>
      <c r="E2387" s="6" t="s">
        <v>113</v>
      </c>
      <c r="F2387" s="7" t="s">
        <v>114</v>
      </c>
      <c r="G2387" s="6" t="str">
        <f>VLOOKUP(E2387,dicionario!$A$1:$C2786,2,0)</f>
        <v>Columbina talpacoti</v>
      </c>
      <c r="H2387" s="6" t="str">
        <f>VLOOKUP(E2387,dicionario!$A$1:$C2786,3,0)</f>
        <v>rolinha-roxa</v>
      </c>
    </row>
    <row r="2388">
      <c r="A2388" s="3">
        <v>45617.0</v>
      </c>
      <c r="B2388" s="45">
        <v>0.25625</v>
      </c>
      <c r="C2388" s="5" t="s">
        <v>8</v>
      </c>
      <c r="D2388" s="5" t="s">
        <v>717</v>
      </c>
      <c r="E2388" s="8" t="s">
        <v>38</v>
      </c>
      <c r="F2388" s="5" t="s">
        <v>39</v>
      </c>
      <c r="G2388" s="6" t="str">
        <f>VLOOKUP(E2388,dicionario!$A$1:$C2787,2,0)</f>
        <v>Troglodytes musculus</v>
      </c>
      <c r="H2388" s="6" t="str">
        <f>VLOOKUP(E2388,dicionario!$A$1:$C2787,3,0)</f>
        <v>curruíra</v>
      </c>
    </row>
    <row r="2389">
      <c r="A2389" s="3">
        <v>45617.0</v>
      </c>
      <c r="B2389" s="46">
        <v>0.2569444444444444</v>
      </c>
      <c r="C2389" s="5" t="s">
        <v>8</v>
      </c>
      <c r="D2389" s="5" t="s">
        <v>717</v>
      </c>
      <c r="E2389" s="6" t="s">
        <v>302</v>
      </c>
      <c r="F2389" s="7" t="s">
        <v>303</v>
      </c>
      <c r="G2389" s="6" t="str">
        <f>VLOOKUP(E2389,dicionario!$A$1:$C2788,2,0)</f>
        <v>Machetornis rixosa</v>
      </c>
      <c r="H2389" s="6" t="str">
        <f>VLOOKUP(E2389,dicionario!$A$1:$C2788,3,0)</f>
        <v>suiriri-cavaleiro</v>
      </c>
    </row>
    <row r="2390">
      <c r="A2390" s="3">
        <v>45617.0</v>
      </c>
      <c r="B2390" s="46">
        <v>0.2569444444444444</v>
      </c>
      <c r="C2390" s="5" t="s">
        <v>8</v>
      </c>
      <c r="D2390" s="5" t="s">
        <v>717</v>
      </c>
      <c r="E2390" s="6" t="s">
        <v>225</v>
      </c>
      <c r="F2390" s="7" t="s">
        <v>226</v>
      </c>
      <c r="G2390" s="6" t="str">
        <f>VLOOKUP(E2390,dicionario!$A$1:$C2789,2,0)</f>
        <v>Passer domesticus</v>
      </c>
      <c r="H2390" s="6" t="str">
        <f>VLOOKUP(E2390,dicionario!$A$1:$C2789,3,0)</f>
        <v>pardal</v>
      </c>
    </row>
    <row r="2391">
      <c r="A2391" s="3">
        <v>45617.0</v>
      </c>
      <c r="B2391" s="46">
        <v>0.2569444444444444</v>
      </c>
      <c r="C2391" s="5" t="s">
        <v>8</v>
      </c>
      <c r="D2391" s="5" t="s">
        <v>717</v>
      </c>
      <c r="E2391" s="6" t="s">
        <v>215</v>
      </c>
      <c r="F2391" s="7" t="s">
        <v>216</v>
      </c>
      <c r="G2391" s="6" t="str">
        <f>VLOOKUP(E2391,dicionario!$A$1:$C2790,2,0)</f>
        <v>Pygochelidon cyanoleuca</v>
      </c>
      <c r="H2391" s="6" t="str">
        <f>VLOOKUP(E2391,dicionario!$A$1:$C2790,3,0)</f>
        <v>andorinha-pequena-de-casa</v>
      </c>
    </row>
    <row r="2392">
      <c r="A2392" s="3">
        <v>45617.0</v>
      </c>
      <c r="B2392" s="46">
        <v>0.25763888888888886</v>
      </c>
      <c r="C2392" s="5" t="s">
        <v>8</v>
      </c>
      <c r="D2392" s="5" t="s">
        <v>717</v>
      </c>
      <c r="E2392" s="6" t="s">
        <v>191</v>
      </c>
      <c r="F2392" s="7" t="s">
        <v>192</v>
      </c>
      <c r="G2392" s="6" t="str">
        <f>VLOOKUP(E2392,dicionario!$A$1:$C2791,2,0)</f>
        <v>Patagioenas picazuro</v>
      </c>
      <c r="H2392" s="6" t="str">
        <f>VLOOKUP(E2392,dicionario!$A$1:$C2791,3,0)</f>
        <v>asa-branca; pomba-asa-branca; pocaçu</v>
      </c>
    </row>
    <row r="2393">
      <c r="A2393" s="3">
        <v>45617.0</v>
      </c>
      <c r="B2393" s="46">
        <v>0.25833333333333336</v>
      </c>
      <c r="C2393" s="5" t="s">
        <v>8</v>
      </c>
      <c r="D2393" s="5" t="s">
        <v>717</v>
      </c>
      <c r="E2393" s="6" t="s">
        <v>72</v>
      </c>
      <c r="F2393" s="7" t="s">
        <v>73</v>
      </c>
      <c r="G2393" s="6" t="str">
        <f>VLOOKUP(E2393,dicionario!$A$1:$C2792,2,0)</f>
        <v>Thraupis palmarum</v>
      </c>
      <c r="H2393" s="6" t="str">
        <f>VLOOKUP(E2393,dicionario!$A$1:$C2792,3,0)</f>
        <v>sanhaço-do-coqueiro</v>
      </c>
    </row>
    <row r="2394">
      <c r="A2394" s="3">
        <v>45617.0</v>
      </c>
      <c r="B2394" s="46">
        <v>0.25972222222222224</v>
      </c>
      <c r="C2394" s="5" t="s">
        <v>8</v>
      </c>
      <c r="D2394" s="5" t="s">
        <v>717</v>
      </c>
      <c r="E2394" s="8" t="s">
        <v>592</v>
      </c>
      <c r="F2394" s="7" t="s">
        <v>28</v>
      </c>
      <c r="G2394" s="6" t="str">
        <f>VLOOKUP(E2394,dicionario!$A$1:$C2793,2,0)</f>
        <v>#N/A</v>
      </c>
      <c r="H2394" s="6" t="str">
        <f>VLOOKUP(E2394,dicionario!$A$1:$C2793,3,0)</f>
        <v>#N/A</v>
      </c>
    </row>
    <row r="2395">
      <c r="A2395" s="3">
        <v>45617.0</v>
      </c>
      <c r="B2395" s="46">
        <v>0.25972222222222224</v>
      </c>
      <c r="C2395" s="5" t="s">
        <v>8</v>
      </c>
      <c r="D2395" s="5" t="s">
        <v>717</v>
      </c>
      <c r="E2395" s="6" t="s">
        <v>704</v>
      </c>
      <c r="F2395" s="7" t="s">
        <v>705</v>
      </c>
      <c r="G2395" s="6" t="str">
        <f>VLOOKUP(E2395,dicionario!$A$1:$C2794,2,0)</f>
        <v>Brachygastra lecheguana</v>
      </c>
      <c r="H2395" s="6" t="str">
        <f>VLOOKUP(E2395,dicionario!$A$1:$C2794,3,0)</f>
        <v>enxu-verdadeiro</v>
      </c>
    </row>
    <row r="2396">
      <c r="A2396" s="3">
        <v>45617.0</v>
      </c>
      <c r="B2396" s="46">
        <v>0.2611111111111111</v>
      </c>
      <c r="C2396" s="5" t="s">
        <v>8</v>
      </c>
      <c r="D2396" s="5" t="s">
        <v>717</v>
      </c>
      <c r="E2396" s="8" t="s">
        <v>360</v>
      </c>
      <c r="F2396" s="7" t="s">
        <v>361</v>
      </c>
      <c r="G2396" s="6" t="str">
        <f>VLOOKUP(E2396,dicionario!$A$1:$C2795,2,0)</f>
        <v>Chamaecrista rotundifolia</v>
      </c>
      <c r="H2396" s="6" t="str">
        <f>VLOOKUP(E2396,dicionario!$A$1:$C2795,3,0)</f>
        <v>alfafa-nativa</v>
      </c>
    </row>
    <row r="2397">
      <c r="A2397" s="3">
        <v>45617.0</v>
      </c>
      <c r="B2397" s="46">
        <v>0.26180555555555557</v>
      </c>
      <c r="C2397" s="5" t="s">
        <v>8</v>
      </c>
      <c r="D2397" s="5" t="s">
        <v>717</v>
      </c>
      <c r="E2397" s="6" t="s">
        <v>14</v>
      </c>
      <c r="F2397" s="7" t="s">
        <v>596</v>
      </c>
      <c r="G2397" s="6" t="str">
        <f>VLOOKUP(E2397,dicionario!$A$1:$C2796,2,0)</f>
        <v>Spermacoce verticillata</v>
      </c>
      <c r="H2397" s="6" t="str">
        <f>VLOOKUP(E2397,dicionario!$A$1:$C2796,3,0)</f>
        <v>vassourinha-de-botão</v>
      </c>
    </row>
    <row r="2398">
      <c r="A2398" s="3">
        <v>45617.0</v>
      </c>
      <c r="B2398" s="46">
        <v>0.26180555555555557</v>
      </c>
      <c r="C2398" s="5" t="s">
        <v>8</v>
      </c>
      <c r="D2398" s="5" t="s">
        <v>717</v>
      </c>
      <c r="E2398" s="8" t="s">
        <v>504</v>
      </c>
      <c r="F2398" s="5" t="s">
        <v>534</v>
      </c>
      <c r="G2398" s="6" t="str">
        <f>VLOOKUP(E2398,dicionario!$A$1:$C2797,2,0)</f>
        <v>Cleome aculeata</v>
      </c>
      <c r="H2398" s="6" t="str">
        <f>VLOOKUP(E2398,dicionario!$A$1:$C2797,3,0)</f>
        <v>cleome</v>
      </c>
    </row>
    <row r="2399">
      <c r="A2399" s="3">
        <v>45617.0</v>
      </c>
      <c r="B2399" s="4">
        <v>0.2625</v>
      </c>
      <c r="C2399" s="5" t="s">
        <v>8</v>
      </c>
      <c r="D2399" s="5" t="s">
        <v>717</v>
      </c>
      <c r="E2399" s="6" t="s">
        <v>709</v>
      </c>
      <c r="F2399" s="5" t="s">
        <v>598</v>
      </c>
      <c r="G2399" s="6" t="str">
        <f>VLOOKUP(E2399,dicionario!$A$1:$C2798,2,0)</f>
        <v>#N/A</v>
      </c>
      <c r="H2399" s="6" t="str">
        <f>VLOOKUP(E2399,dicionario!$A$1:$C2798,3,0)</f>
        <v>#N/A</v>
      </c>
    </row>
    <row r="2400">
      <c r="A2400" s="3">
        <v>45617.0</v>
      </c>
      <c r="B2400" s="4">
        <v>0.2625</v>
      </c>
      <c r="C2400" s="5" t="s">
        <v>8</v>
      </c>
      <c r="D2400" s="5" t="s">
        <v>717</v>
      </c>
      <c r="E2400" s="8" t="s">
        <v>262</v>
      </c>
      <c r="F2400" s="7" t="s">
        <v>263</v>
      </c>
      <c r="G2400" s="6" t="str">
        <f>VLOOKUP(E2400,dicionario!$A$1:$C2799,2,0)</f>
        <v>Portulaca oleracea</v>
      </c>
      <c r="H2400" s="6" t="str">
        <f>VLOOKUP(E2400,dicionario!$A$1:$C2799,3,0)</f>
        <v>beldroega</v>
      </c>
    </row>
    <row r="2401">
      <c r="A2401" s="3">
        <v>45617.0</v>
      </c>
      <c r="B2401" s="4">
        <v>0.2625</v>
      </c>
      <c r="C2401" s="5" t="s">
        <v>8</v>
      </c>
      <c r="D2401" s="5" t="s">
        <v>717</v>
      </c>
      <c r="E2401" s="6" t="s">
        <v>613</v>
      </c>
      <c r="F2401" s="7" t="s">
        <v>614</v>
      </c>
      <c r="G2401" s="6" t="str">
        <f>VLOOKUP(E2401,dicionario!$A$1:$C2800,2,0)</f>
        <v>Euphorbia hyssopifolia</v>
      </c>
      <c r="H2401" s="6" t="str">
        <f>VLOOKUP(E2401,dicionario!$A$1:$C2800,3,0)</f>
        <v>maria-leite</v>
      </c>
    </row>
    <row r="2402">
      <c r="A2402" s="3">
        <v>45617.0</v>
      </c>
      <c r="B2402" s="4">
        <v>0.26319444444444445</v>
      </c>
      <c r="C2402" s="5" t="s">
        <v>26</v>
      </c>
      <c r="D2402" s="5" t="s">
        <v>717</v>
      </c>
      <c r="E2402" s="6" t="s">
        <v>217</v>
      </c>
      <c r="F2402" s="7" t="s">
        <v>218</v>
      </c>
      <c r="G2402" s="6" t="str">
        <f>VLOOKUP(E2402,dicionario!$A$1:$C2801,2,0)</f>
        <v>Athene cunicularia</v>
      </c>
      <c r="H2402" s="6" t="str">
        <f>VLOOKUP(E2402,dicionario!$A$1:$C2801,3,0)</f>
        <v>coruja-buraqueira</v>
      </c>
    </row>
    <row r="2403">
      <c r="A2403" s="3">
        <v>45617.0</v>
      </c>
      <c r="B2403" s="4">
        <v>0.26319444444444445</v>
      </c>
      <c r="C2403" s="5" t="s">
        <v>26</v>
      </c>
      <c r="D2403" s="5" t="s">
        <v>717</v>
      </c>
      <c r="E2403" s="6" t="s">
        <v>721</v>
      </c>
      <c r="F2403" s="5" t="s">
        <v>45</v>
      </c>
      <c r="G2403" s="6" t="str">
        <f>VLOOKUP(E2403,dicionario!$A$1:$C2802,2,0)</f>
        <v>Mimosa pudica</v>
      </c>
      <c r="H2403" s="6" t="str">
        <f>VLOOKUP(E2403,dicionario!$A$1:$C2802,3,0)</f>
        <v>dormideira</v>
      </c>
    </row>
    <row r="2404">
      <c r="A2404" s="3">
        <v>45617.0</v>
      </c>
      <c r="B2404" s="4">
        <v>0.26319444444444445</v>
      </c>
      <c r="C2404" s="5" t="s">
        <v>26</v>
      </c>
      <c r="D2404" s="5" t="s">
        <v>717</v>
      </c>
      <c r="E2404" s="8" t="s">
        <v>143</v>
      </c>
      <c r="F2404" s="7" t="s">
        <v>63</v>
      </c>
      <c r="G2404" s="6" t="str">
        <f>VLOOKUP(E2404,dicionario!$A$1:$C2803,2,0)</f>
        <v>Polybia</v>
      </c>
      <c r="H2404" s="6" t="str">
        <f>VLOOKUP(E2404,dicionario!$A$1:$C2803,3,0)</f>
        <v>vespa</v>
      </c>
    </row>
    <row r="2405">
      <c r="A2405" s="3">
        <v>45617.0</v>
      </c>
      <c r="B2405" s="4">
        <v>0.2638888888888889</v>
      </c>
      <c r="C2405" s="5" t="s">
        <v>26</v>
      </c>
      <c r="D2405" s="5" t="s">
        <v>717</v>
      </c>
      <c r="E2405" s="6" t="s">
        <v>353</v>
      </c>
      <c r="F2405" s="7" t="s">
        <v>354</v>
      </c>
      <c r="G2405" s="6" t="str">
        <f>VLOOKUP(E2405,dicionario!$A$1:$C2804,2,0)</f>
        <v>Desmodium incanum</v>
      </c>
      <c r="H2405" s="6" t="str">
        <f>VLOOKUP(E2405,dicionario!$A$1:$C2804,3,0)</f>
        <v>pega-pega</v>
      </c>
    </row>
    <row r="2406">
      <c r="A2406" s="3">
        <v>45617.0</v>
      </c>
      <c r="B2406" s="4">
        <v>0.2638888888888889</v>
      </c>
      <c r="C2406" s="5" t="s">
        <v>26</v>
      </c>
      <c r="D2406" s="5" t="s">
        <v>717</v>
      </c>
      <c r="E2406" s="20" t="s">
        <v>676</v>
      </c>
      <c r="F2406" s="7" t="s">
        <v>677</v>
      </c>
      <c r="G2406" s="6" t="str">
        <f>VLOOKUP(E2406,dicionario!$A$1:$C2805,2,0)</f>
        <v>Zornia latifolia</v>
      </c>
      <c r="H2406" s="6" t="str">
        <f>VLOOKUP(E2406,dicionario!$A$1:$C2805,3,0)</f>
        <v>arrozinho-do-campo</v>
      </c>
    </row>
    <row r="2407">
      <c r="A2407" s="3">
        <v>45617.0</v>
      </c>
      <c r="B2407" s="4">
        <v>0.2638888888888889</v>
      </c>
      <c r="C2407" s="5" t="s">
        <v>26</v>
      </c>
      <c r="D2407" s="5" t="s">
        <v>717</v>
      </c>
      <c r="E2407" s="8" t="s">
        <v>360</v>
      </c>
      <c r="F2407" s="7" t="s">
        <v>361</v>
      </c>
      <c r="G2407" s="6" t="str">
        <f>VLOOKUP(E2407,dicionario!$A$1:$C2806,2,0)</f>
        <v>Chamaecrista rotundifolia</v>
      </c>
      <c r="H2407" s="6" t="str">
        <f>VLOOKUP(E2407,dicionario!$A$1:$C2806,3,0)</f>
        <v>alfafa-nativa</v>
      </c>
    </row>
    <row r="2408">
      <c r="A2408" s="3">
        <v>45617.0</v>
      </c>
      <c r="B2408" s="4">
        <v>0.26458333333333334</v>
      </c>
      <c r="C2408" s="5" t="s">
        <v>26</v>
      </c>
      <c r="D2408" s="5" t="s">
        <v>717</v>
      </c>
      <c r="E2408" s="9" t="s">
        <v>22</v>
      </c>
      <c r="F2408" s="7" t="s">
        <v>97</v>
      </c>
      <c r="G2408" s="6" t="str">
        <f>VLOOKUP(E2408,dicionario!$A$1:$C2807,2,0)</f>
        <v>Zenaida auriculata</v>
      </c>
      <c r="H2408" s="6" t="str">
        <f>VLOOKUP(E2408,dicionario!$A$1:$C2807,3,0)</f>
        <v>pomba-de-bando; avoante</v>
      </c>
    </row>
    <row r="2409">
      <c r="A2409" s="3">
        <v>45617.0</v>
      </c>
      <c r="B2409" s="4">
        <v>0.26458333333333334</v>
      </c>
      <c r="C2409" s="5" t="s">
        <v>26</v>
      </c>
      <c r="D2409" s="5" t="s">
        <v>717</v>
      </c>
      <c r="E2409" s="6" t="s">
        <v>215</v>
      </c>
      <c r="F2409" s="7" t="s">
        <v>216</v>
      </c>
      <c r="G2409" s="6" t="str">
        <f>VLOOKUP(E2409,dicionario!$A$1:$C2808,2,0)</f>
        <v>Pygochelidon cyanoleuca</v>
      </c>
      <c r="H2409" s="6" t="str">
        <f>VLOOKUP(E2409,dicionario!$A$1:$C2808,3,0)</f>
        <v>andorinha-pequena-de-casa</v>
      </c>
    </row>
    <row r="2410">
      <c r="A2410" s="3">
        <v>45617.0</v>
      </c>
      <c r="B2410" s="4">
        <v>0.26458333333333334</v>
      </c>
      <c r="C2410" s="5" t="s">
        <v>26</v>
      </c>
      <c r="D2410" s="5" t="s">
        <v>717</v>
      </c>
      <c r="E2410" s="6" t="s">
        <v>209</v>
      </c>
      <c r="F2410" s="7" t="s">
        <v>722</v>
      </c>
      <c r="G2410" s="6" t="str">
        <f>VLOOKUP(E2410,dicionario!$A$1:$C2809,2,0)</f>
        <v>Furnarius figulus</v>
      </c>
      <c r="H2410" s="6" t="str">
        <f>VLOOKUP(E2410,dicionario!$A$1:$C2809,3,0)</f>
        <v>casaca-de-couro-da-lama</v>
      </c>
    </row>
    <row r="2411">
      <c r="A2411" s="3">
        <v>45617.0</v>
      </c>
      <c r="B2411" s="4">
        <v>0.26458333333333334</v>
      </c>
      <c r="C2411" s="5" t="s">
        <v>26</v>
      </c>
      <c r="D2411" s="5" t="s">
        <v>717</v>
      </c>
      <c r="E2411" s="6" t="s">
        <v>302</v>
      </c>
      <c r="F2411" s="7" t="s">
        <v>303</v>
      </c>
      <c r="G2411" s="6" t="str">
        <f>VLOOKUP(E2411,dicionario!$A$1:$C2810,2,0)</f>
        <v>Machetornis rixosa</v>
      </c>
      <c r="H2411" s="6" t="str">
        <f>VLOOKUP(E2411,dicionario!$A$1:$C2810,3,0)</f>
        <v>suiriri-cavaleiro</v>
      </c>
    </row>
    <row r="2412">
      <c r="A2412" s="3">
        <v>45617.0</v>
      </c>
      <c r="B2412" s="4">
        <v>0.26458333333333334</v>
      </c>
      <c r="C2412" s="5" t="s">
        <v>26</v>
      </c>
      <c r="D2412" s="5" t="s">
        <v>717</v>
      </c>
      <c r="E2412" s="6" t="s">
        <v>237</v>
      </c>
      <c r="F2412" s="7" t="s">
        <v>238</v>
      </c>
      <c r="G2412" s="6" t="str">
        <f>VLOOKUP(E2412,dicionario!$A$1:$C2811,2,0)</f>
        <v>Acromyrmex</v>
      </c>
      <c r="H2412" s="6" t="str">
        <f>VLOOKUP(E2412,dicionario!$A$1:$C2811,3,0)</f>
        <v>quenquén</v>
      </c>
    </row>
    <row r="2413">
      <c r="A2413" s="3">
        <v>45617.0</v>
      </c>
      <c r="B2413" s="4">
        <v>0.2659722222222222</v>
      </c>
      <c r="C2413" s="5" t="s">
        <v>26</v>
      </c>
      <c r="D2413" s="5" t="s">
        <v>717</v>
      </c>
      <c r="E2413" s="6" t="s">
        <v>498</v>
      </c>
      <c r="F2413" s="7" t="s">
        <v>499</v>
      </c>
      <c r="G2413" s="6" t="str">
        <f>VLOOKUP(E2413,dicionario!$A$1:$C2812,2,0)</f>
        <v>Brachiaria decumbens</v>
      </c>
      <c r="H2413" s="6" t="str">
        <f>VLOOKUP(E2413,dicionario!$A$1:$C2812,3,0)</f>
        <v>capim-braquiária</v>
      </c>
    </row>
    <row r="2414">
      <c r="A2414" s="3">
        <v>45617.0</v>
      </c>
      <c r="B2414" s="4">
        <v>0.2659722222222222</v>
      </c>
      <c r="C2414" s="5" t="s">
        <v>26</v>
      </c>
      <c r="D2414" s="5" t="s">
        <v>717</v>
      </c>
      <c r="E2414" s="6" t="s">
        <v>239</v>
      </c>
      <c r="F2414" s="7" t="s">
        <v>240</v>
      </c>
      <c r="G2414" s="6" t="str">
        <f>VLOOKUP(E2414,dicionario!$A$1:$C2813,2,0)</f>
        <v>Gomphrena celosioides</v>
      </c>
      <c r="H2414" s="6" t="str">
        <f>VLOOKUP(E2414,dicionario!$A$1:$C2813,3,0)</f>
        <v>perpétua-branca</v>
      </c>
    </row>
    <row r="2415">
      <c r="A2415" s="3">
        <v>45617.0</v>
      </c>
      <c r="B2415" s="4">
        <v>0.2659722222222222</v>
      </c>
      <c r="C2415" s="5" t="s">
        <v>26</v>
      </c>
      <c r="D2415" s="5" t="s">
        <v>717</v>
      </c>
      <c r="E2415" s="6" t="s">
        <v>14</v>
      </c>
      <c r="F2415" s="7" t="s">
        <v>596</v>
      </c>
      <c r="G2415" s="6" t="str">
        <f>VLOOKUP(E2415,dicionario!$A$1:$C2814,2,0)</f>
        <v>Spermacoce verticillata</v>
      </c>
      <c r="H2415" s="6" t="str">
        <f>VLOOKUP(E2415,dicionario!$A$1:$C2814,3,0)</f>
        <v>vassourinha-de-botão</v>
      </c>
    </row>
    <row r="2416">
      <c r="A2416" s="3">
        <v>45617.0</v>
      </c>
      <c r="B2416" s="4">
        <v>0.2673611111111111</v>
      </c>
      <c r="C2416" s="5" t="s">
        <v>26</v>
      </c>
      <c r="D2416" s="5" t="s">
        <v>717</v>
      </c>
      <c r="E2416" s="6" t="s">
        <v>88</v>
      </c>
      <c r="F2416" s="7" t="s">
        <v>89</v>
      </c>
      <c r="G2416" s="6" t="str">
        <f>VLOOKUP(E2416,dicionario!$A$1:$C2815,2,0)</f>
        <v>Tyrannus melancolichus</v>
      </c>
      <c r="H2416" s="6" t="str">
        <f>VLOOKUP(E2416,dicionario!$A$1:$C2815,3,0)</f>
        <v>suiriri</v>
      </c>
    </row>
    <row r="2417">
      <c r="A2417" s="3">
        <v>45617.0</v>
      </c>
      <c r="B2417" s="4">
        <v>0.2673611111111111</v>
      </c>
      <c r="C2417" s="5" t="s">
        <v>26</v>
      </c>
      <c r="D2417" s="5" t="s">
        <v>717</v>
      </c>
      <c r="E2417" s="6" t="s">
        <v>65</v>
      </c>
      <c r="F2417" s="7" t="s">
        <v>66</v>
      </c>
      <c r="G2417" s="6" t="str">
        <f>VLOOKUP(E2417,dicionario!$A$1:$C2816,2,0)</f>
        <v>Pitangus sulphutarus</v>
      </c>
      <c r="H2417" s="6" t="str">
        <f>VLOOKUP(E2417,dicionario!$A$1:$C2816,3,0)</f>
        <v>bem-te-vi</v>
      </c>
    </row>
    <row r="2418">
      <c r="A2418" s="3">
        <v>45617.0</v>
      </c>
      <c r="B2418" s="4">
        <v>0.2701388888888889</v>
      </c>
      <c r="C2418" s="5" t="s">
        <v>26</v>
      </c>
      <c r="D2418" s="5" t="s">
        <v>717</v>
      </c>
      <c r="E2418" s="6" t="s">
        <v>144</v>
      </c>
      <c r="F2418" s="7" t="s">
        <v>145</v>
      </c>
      <c r="G2418" s="6" t="str">
        <f>VLOOKUP(E2418,dicionario!$A$1:$C2817,2,0)</f>
        <v>Gomphrena globosa</v>
      </c>
      <c r="H2418" s="6" t="str">
        <f>VLOOKUP(E2418,dicionario!$A$1:$C2817,3,0)</f>
        <v>perpétua-rosa</v>
      </c>
    </row>
    <row r="2419">
      <c r="A2419" s="3">
        <v>45617.0</v>
      </c>
      <c r="B2419" s="4">
        <v>0.2701388888888889</v>
      </c>
      <c r="C2419" s="5" t="s">
        <v>26</v>
      </c>
      <c r="D2419" s="5" t="s">
        <v>717</v>
      </c>
      <c r="E2419" s="6" t="s">
        <v>69</v>
      </c>
      <c r="F2419" s="7" t="s">
        <v>71</v>
      </c>
      <c r="G2419" s="6" t="str">
        <f>VLOOKUP(E2419,dicionario!$A$1:$C2818,2,0)</f>
        <v>Talinum fruticosum</v>
      </c>
      <c r="H2419" s="6" t="str">
        <f>VLOOKUP(E2419,dicionario!$A$1:$C2818,3,0)</f>
        <v>beldroega-grande</v>
      </c>
    </row>
    <row r="2420">
      <c r="A2420" s="3">
        <v>45617.0</v>
      </c>
      <c r="B2420" s="4">
        <v>0.2701388888888889</v>
      </c>
      <c r="C2420" s="5" t="s">
        <v>26</v>
      </c>
      <c r="D2420" s="5" t="s">
        <v>717</v>
      </c>
      <c r="E2420" s="6" t="s">
        <v>471</v>
      </c>
      <c r="F2420" s="7" t="s">
        <v>472</v>
      </c>
      <c r="G2420" s="6" t="str">
        <f>VLOOKUP(E2420,dicionario!$A$1:$C2819,2,0)</f>
        <v>Sida acuta</v>
      </c>
      <c r="H2420" s="6" t="str">
        <f>VLOOKUP(E2420,dicionario!$A$1:$C2819,3,0)</f>
        <v>reloginho</v>
      </c>
    </row>
    <row r="2421">
      <c r="A2421" s="3">
        <v>45617.0</v>
      </c>
      <c r="B2421" s="4">
        <v>0.2708333333333333</v>
      </c>
      <c r="C2421" s="5" t="s">
        <v>26</v>
      </c>
      <c r="D2421" s="5" t="s">
        <v>717</v>
      </c>
      <c r="E2421" s="8" t="s">
        <v>38</v>
      </c>
      <c r="F2421" s="5" t="s">
        <v>39</v>
      </c>
      <c r="G2421" s="6" t="str">
        <f>VLOOKUP(E2421,dicionario!$A$1:$C2820,2,0)</f>
        <v>Troglodytes musculus</v>
      </c>
      <c r="H2421" s="6" t="str">
        <f>VLOOKUP(E2421,dicionario!$A$1:$C2820,3,0)</f>
        <v>curruíra</v>
      </c>
    </row>
    <row r="2422">
      <c r="A2422" s="3">
        <v>45617.0</v>
      </c>
      <c r="B2422" s="4">
        <v>0.27152777777777776</v>
      </c>
      <c r="C2422" s="5" t="s">
        <v>26</v>
      </c>
      <c r="D2422" s="5" t="s">
        <v>717</v>
      </c>
      <c r="E2422" s="6" t="s">
        <v>699</v>
      </c>
      <c r="F2422" s="7" t="s">
        <v>458</v>
      </c>
      <c r="G2422" s="6" t="str">
        <f>VLOOKUP(E2422,dicionario!$A$1:$C2821,2,0)</f>
        <v>#N/A</v>
      </c>
      <c r="H2422" s="6" t="str">
        <f>VLOOKUP(E2422,dicionario!$A$1:$C2821,3,0)</f>
        <v>#N/A</v>
      </c>
    </row>
    <row r="2423">
      <c r="A2423" s="3">
        <v>45617.0</v>
      </c>
      <c r="B2423" s="4">
        <v>0.27152777777777776</v>
      </c>
      <c r="C2423" s="5" t="s">
        <v>26</v>
      </c>
      <c r="D2423" s="5" t="s">
        <v>717</v>
      </c>
      <c r="E2423" s="8" t="s">
        <v>247</v>
      </c>
      <c r="F2423" s="5" t="s">
        <v>387</v>
      </c>
      <c r="G2423" s="6" t="str">
        <f>VLOOKUP(E2423,dicionario!$A$1:$C2822,2,0)</f>
        <v>Emilia sonchifolia</v>
      </c>
      <c r="H2423" s="6" t="str">
        <f>VLOOKUP(E2423,dicionario!$A$1:$C2822,3,0)</f>
        <v>serralinha</v>
      </c>
    </row>
    <row r="2424">
      <c r="A2424" s="3">
        <v>45617.0</v>
      </c>
      <c r="B2424" s="4">
        <v>0.2722222222222222</v>
      </c>
      <c r="C2424" s="5" t="s">
        <v>26</v>
      </c>
      <c r="D2424" s="5" t="s">
        <v>717</v>
      </c>
      <c r="E2424" s="6" t="s">
        <v>243</v>
      </c>
      <c r="F2424" s="7" t="s">
        <v>244</v>
      </c>
      <c r="G2424" s="6" t="str">
        <f>VLOOKUP(E2424,dicionario!$A$1:$C2823,2,0)</f>
        <v>Macroptilium atropurpureum</v>
      </c>
      <c r="H2424" s="6" t="str">
        <f>VLOOKUP(E2424,dicionario!$A$1:$C2823,3,0)</f>
        <v>feijão-de-pombo</v>
      </c>
    </row>
    <row r="2425">
      <c r="A2425" s="3">
        <v>45617.0</v>
      </c>
      <c r="B2425" s="4">
        <v>0.2722222222222222</v>
      </c>
      <c r="C2425" s="5" t="s">
        <v>26</v>
      </c>
      <c r="D2425" s="5" t="s">
        <v>717</v>
      </c>
      <c r="E2425" s="6" t="s">
        <v>109</v>
      </c>
      <c r="F2425" s="7" t="s">
        <v>110</v>
      </c>
      <c r="G2425" s="6" t="str">
        <f>VLOOKUP(E2425,dicionario!$A$1:$C2824,2,0)</f>
        <v>Tillandsia stricta</v>
      </c>
      <c r="H2425" s="6" t="str">
        <f>VLOOKUP(E2425,dicionario!$A$1:$C2824,3,0)</f>
        <v>cravo-do-mato</v>
      </c>
    </row>
    <row r="2426">
      <c r="A2426" s="3">
        <v>45617.0</v>
      </c>
      <c r="B2426" s="4">
        <v>0.2722222222222222</v>
      </c>
      <c r="C2426" s="5" t="s">
        <v>26</v>
      </c>
      <c r="D2426" s="5" t="s">
        <v>717</v>
      </c>
      <c r="E2426" s="6" t="s">
        <v>450</v>
      </c>
      <c r="F2426" s="7" t="s">
        <v>451</v>
      </c>
      <c r="G2426" s="6" t="str">
        <f>VLOOKUP(E2426,dicionario!$A$1:$C2825,2,0)</f>
        <v>#N/A</v>
      </c>
      <c r="H2426" s="6" t="str">
        <f>VLOOKUP(E2426,dicionario!$A$1:$C2825,3,0)</f>
        <v>#N/A</v>
      </c>
    </row>
    <row r="2427">
      <c r="A2427" s="3">
        <v>45617.0</v>
      </c>
      <c r="B2427" s="4">
        <v>0.2743055555555556</v>
      </c>
      <c r="C2427" s="5" t="s">
        <v>33</v>
      </c>
      <c r="D2427" s="5" t="s">
        <v>717</v>
      </c>
      <c r="E2427" s="6" t="s">
        <v>122</v>
      </c>
      <c r="F2427" s="7" t="s">
        <v>123</v>
      </c>
      <c r="G2427" s="6" t="str">
        <f>VLOOKUP(E2427,dicionario!$A$1:$C2826,2,0)</f>
        <v>Todirostrum cinereum</v>
      </c>
      <c r="H2427" s="6" t="str">
        <f>VLOOKUP(E2427,dicionario!$A$1:$C2826,3,0)</f>
        <v>ferreirinho-relógio</v>
      </c>
    </row>
    <row r="2428">
      <c r="A2428" s="3">
        <v>45617.0</v>
      </c>
      <c r="B2428" s="4">
        <v>0.275</v>
      </c>
      <c r="C2428" s="5" t="s">
        <v>33</v>
      </c>
      <c r="D2428" s="5" t="s">
        <v>717</v>
      </c>
      <c r="E2428" s="6" t="s">
        <v>65</v>
      </c>
      <c r="F2428" s="7" t="s">
        <v>66</v>
      </c>
      <c r="G2428" s="6" t="str">
        <f>VLOOKUP(E2428,dicionario!$A$1:$C2827,2,0)</f>
        <v>Pitangus sulphutarus</v>
      </c>
      <c r="H2428" s="6" t="str">
        <f>VLOOKUP(E2428,dicionario!$A$1:$C2827,3,0)</f>
        <v>bem-te-vi</v>
      </c>
    </row>
    <row r="2429">
      <c r="A2429" s="3">
        <v>45617.0</v>
      </c>
      <c r="B2429" s="4">
        <v>0.27569444444444446</v>
      </c>
      <c r="C2429" s="5" t="s">
        <v>33</v>
      </c>
      <c r="D2429" s="5" t="s">
        <v>717</v>
      </c>
      <c r="E2429" s="6" t="s">
        <v>286</v>
      </c>
      <c r="F2429" s="7" t="s">
        <v>287</v>
      </c>
      <c r="G2429" s="6" t="str">
        <f>VLOOKUP(E2429,dicionario!$A$1:$C2828,2,0)</f>
        <v>Setaria parviflora</v>
      </c>
      <c r="H2429" s="6" t="str">
        <f>VLOOKUP(E2429,dicionario!$A$1:$C2828,3,0)</f>
        <v>capim-rabo-de-raposa</v>
      </c>
    </row>
    <row r="2430">
      <c r="A2430" s="3">
        <v>45617.0</v>
      </c>
      <c r="B2430" s="4">
        <v>0.27569444444444446</v>
      </c>
      <c r="C2430" s="5" t="s">
        <v>33</v>
      </c>
      <c r="D2430" s="5" t="s">
        <v>717</v>
      </c>
      <c r="E2430" s="6" t="s">
        <v>258</v>
      </c>
      <c r="F2430" s="7" t="s">
        <v>259</v>
      </c>
      <c r="G2430" s="6" t="str">
        <f>VLOOKUP(E2430,dicionario!$A$1:$C2829,2,0)</f>
        <v>Lantana camara</v>
      </c>
      <c r="H2430" s="6" t="str">
        <f>VLOOKUP(E2430,dicionario!$A$1:$C2829,3,0)</f>
        <v>lantana</v>
      </c>
    </row>
    <row r="2431">
      <c r="A2431" s="3">
        <v>45617.0</v>
      </c>
      <c r="B2431" s="4">
        <v>0.2763888888888889</v>
      </c>
      <c r="C2431" s="5" t="s">
        <v>33</v>
      </c>
      <c r="D2431" s="5" t="s">
        <v>717</v>
      </c>
      <c r="E2431" s="6" t="s">
        <v>296</v>
      </c>
      <c r="F2431" s="7" t="s">
        <v>297</v>
      </c>
      <c r="G2431" s="6" t="str">
        <f>VLOOKUP(E2431,dicionario!$A$1:$C2830,2,0)</f>
        <v>Richardia brasiliensis</v>
      </c>
      <c r="H2431" s="6" t="str">
        <f>VLOOKUP(E2431,dicionario!$A$1:$C2830,3,0)</f>
        <v>poaia-branca</v>
      </c>
    </row>
    <row r="2432">
      <c r="A2432" s="3">
        <v>45617.0</v>
      </c>
      <c r="B2432" s="45">
        <v>0.2763888888888889</v>
      </c>
      <c r="C2432" s="5" t="s">
        <v>33</v>
      </c>
      <c r="D2432" s="5" t="s">
        <v>717</v>
      </c>
      <c r="E2432" s="6" t="s">
        <v>288</v>
      </c>
      <c r="F2432" s="7" t="s">
        <v>289</v>
      </c>
      <c r="G2432" s="6" t="str">
        <f>VLOOKUP(E2432,dicionario!$A$1:$C2831,2,0)</f>
        <v>Phyllanthus tenellus</v>
      </c>
      <c r="H2432" s="6" t="str">
        <f>VLOOKUP(E2432,dicionario!$A$1:$C2831,3,0)</f>
        <v>quebra-pedra</v>
      </c>
    </row>
    <row r="2433">
      <c r="A2433" s="3">
        <v>45617.0</v>
      </c>
      <c r="B2433" s="45">
        <v>0.2763888888888889</v>
      </c>
      <c r="C2433" s="5" t="s">
        <v>33</v>
      </c>
      <c r="D2433" s="5" t="s">
        <v>717</v>
      </c>
      <c r="E2433" s="6" t="s">
        <v>154</v>
      </c>
      <c r="F2433" s="7" t="s">
        <v>155</v>
      </c>
      <c r="G2433" s="6" t="str">
        <f>VLOOKUP(E2433,dicionario!$A$1:$C2832,2,0)</f>
        <v>Cyperus rotundus</v>
      </c>
      <c r="H2433" s="6" t="str">
        <f>VLOOKUP(E2433,dicionario!$A$1:$C2832,3,0)</f>
        <v>tiririca</v>
      </c>
    </row>
    <row r="2434">
      <c r="A2434" s="3">
        <v>45617.0</v>
      </c>
      <c r="B2434" s="45">
        <v>0.27708333333333335</v>
      </c>
      <c r="C2434" s="5" t="s">
        <v>33</v>
      </c>
      <c r="D2434" s="5" t="s">
        <v>717</v>
      </c>
      <c r="E2434" s="6" t="s">
        <v>109</v>
      </c>
      <c r="F2434" s="7" t="s">
        <v>110</v>
      </c>
      <c r="G2434" s="6" t="str">
        <f>VLOOKUP(E2434,dicionario!$A$1:$C2833,2,0)</f>
        <v>Tillandsia stricta</v>
      </c>
      <c r="H2434" s="6" t="str">
        <f>VLOOKUP(E2434,dicionario!$A$1:$C2833,3,0)</f>
        <v>cravo-do-mato</v>
      </c>
    </row>
    <row r="2435">
      <c r="A2435" s="3">
        <v>45617.0</v>
      </c>
      <c r="B2435" s="45">
        <v>0.27708333333333335</v>
      </c>
      <c r="C2435" s="5" t="s">
        <v>33</v>
      </c>
      <c r="D2435" s="5" t="s">
        <v>717</v>
      </c>
      <c r="E2435" s="20" t="s">
        <v>676</v>
      </c>
      <c r="F2435" s="7" t="s">
        <v>677</v>
      </c>
      <c r="G2435" s="6" t="str">
        <f>VLOOKUP(E2435,dicionario!$A$1:$C2834,2,0)</f>
        <v>Zornia latifolia</v>
      </c>
      <c r="H2435" s="6" t="str">
        <f>VLOOKUP(E2435,dicionario!$A$1:$C2834,3,0)</f>
        <v>arrozinho-do-campo</v>
      </c>
    </row>
    <row r="2436">
      <c r="A2436" s="3">
        <v>45617.0</v>
      </c>
      <c r="B2436" s="4">
        <v>0.2777777777777778</v>
      </c>
      <c r="C2436" s="5" t="s">
        <v>33</v>
      </c>
      <c r="D2436" s="5" t="s">
        <v>717</v>
      </c>
      <c r="E2436" s="6" t="s">
        <v>14</v>
      </c>
      <c r="F2436" s="7" t="s">
        <v>15</v>
      </c>
      <c r="G2436" s="6" t="str">
        <f>VLOOKUP(E2436,dicionario!$A$1:$C2835,2,0)</f>
        <v>Spermacoce verticillata</v>
      </c>
      <c r="H2436" s="6" t="str">
        <f>VLOOKUP(E2436,dicionario!$A$1:$C2835,3,0)</f>
        <v>vassourinha-de-botão</v>
      </c>
    </row>
    <row r="2437">
      <c r="A2437" s="3">
        <v>45617.0</v>
      </c>
      <c r="B2437" s="45">
        <v>0.2777777777777778</v>
      </c>
      <c r="C2437" s="5" t="s">
        <v>33</v>
      </c>
      <c r="D2437" s="5" t="s">
        <v>717</v>
      </c>
      <c r="E2437" s="6" t="s">
        <v>280</v>
      </c>
      <c r="F2437" s="7" t="s">
        <v>438</v>
      </c>
      <c r="G2437" s="6" t="str">
        <f>VLOOKUP(E2437,dicionario!$A$1:$C2836,2,0)</f>
        <v>Lepidium virginicum</v>
      </c>
      <c r="H2437" s="6" t="str">
        <f>VLOOKUP(E2437,dicionario!$A$1:$C2836,3,0)</f>
        <v>mastruz</v>
      </c>
    </row>
    <row r="2438">
      <c r="A2438" s="3">
        <v>45617.0</v>
      </c>
      <c r="B2438" s="45">
        <v>0.2777777777777778</v>
      </c>
      <c r="C2438" s="5" t="s">
        <v>33</v>
      </c>
      <c r="D2438" s="5" t="s">
        <v>717</v>
      </c>
      <c r="E2438" s="8" t="s">
        <v>227</v>
      </c>
      <c r="F2438" s="5" t="s">
        <v>228</v>
      </c>
      <c r="G2438" s="6" t="str">
        <f>VLOOKUP(E2438,dicionario!$A$1:$C2837,2,0)</f>
        <v>Indigofera hirsuta</v>
      </c>
      <c r="H2438" s="6" t="str">
        <f>VLOOKUP(E2438,dicionario!$A$1:$C2837,3,0)</f>
        <v>anileira</v>
      </c>
    </row>
    <row r="2439">
      <c r="A2439" s="3">
        <v>45617.0</v>
      </c>
      <c r="B2439" s="45">
        <v>0.2777777777777778</v>
      </c>
      <c r="C2439" s="5" t="s">
        <v>33</v>
      </c>
      <c r="D2439" s="5" t="s">
        <v>717</v>
      </c>
      <c r="E2439" s="6" t="s">
        <v>41</v>
      </c>
      <c r="F2439" s="7" t="s">
        <v>45</v>
      </c>
      <c r="G2439" s="6" t="str">
        <f>VLOOKUP(E2439,dicionario!$A$1:$C2838,2,0)</f>
        <v>Mimosa pudica</v>
      </c>
      <c r="H2439" s="6" t="str">
        <f>VLOOKUP(E2439,dicionario!$A$1:$C2838,3,0)</f>
        <v>dormideira</v>
      </c>
    </row>
    <row r="2440">
      <c r="A2440" s="3">
        <v>45617.0</v>
      </c>
      <c r="B2440" s="45">
        <v>0.2777777777777778</v>
      </c>
      <c r="C2440" s="5" t="s">
        <v>33</v>
      </c>
      <c r="D2440" s="5" t="s">
        <v>717</v>
      </c>
      <c r="E2440" s="6" t="s">
        <v>48</v>
      </c>
      <c r="F2440" s="7" t="s">
        <v>49</v>
      </c>
      <c r="G2440" s="6" t="str">
        <f>VLOOKUP(E2440,dicionario!$A$1:$C2839,2,0)</f>
        <v>Commelina erecta</v>
      </c>
      <c r="H2440" s="6" t="str">
        <f>VLOOKUP(E2440,dicionario!$A$1:$C2839,3,0)</f>
        <v>trapoeraba</v>
      </c>
    </row>
    <row r="2441">
      <c r="A2441" s="3">
        <v>45617.0</v>
      </c>
      <c r="B2441" s="46">
        <v>0.2791666666666667</v>
      </c>
      <c r="C2441" s="5" t="s">
        <v>33</v>
      </c>
      <c r="D2441" s="5" t="s">
        <v>717</v>
      </c>
      <c r="E2441" s="6" t="s">
        <v>702</v>
      </c>
      <c r="F2441" s="7" t="s">
        <v>703</v>
      </c>
      <c r="G2441" s="6" t="str">
        <f>VLOOKUP(E2441,dicionario!$A$1:$C2840,2,0)</f>
        <v>Acacia mangium</v>
      </c>
      <c r="H2441" s="6" t="str">
        <f>VLOOKUP(E2441,dicionario!$A$1:$C2840,3,0)</f>
        <v>acácia</v>
      </c>
    </row>
    <row r="2442">
      <c r="A2442" s="3">
        <v>45617.0</v>
      </c>
      <c r="B2442" s="45">
        <v>0.2791666666666667</v>
      </c>
      <c r="C2442" s="5" t="s">
        <v>33</v>
      </c>
      <c r="D2442" s="5" t="s">
        <v>717</v>
      </c>
      <c r="E2442" s="6" t="s">
        <v>144</v>
      </c>
      <c r="F2442" s="7" t="s">
        <v>145</v>
      </c>
      <c r="G2442" s="6" t="str">
        <f>VLOOKUP(E2442,dicionario!$A$1:$C2841,2,0)</f>
        <v>Gomphrena globosa</v>
      </c>
      <c r="H2442" s="6" t="str">
        <f>VLOOKUP(E2442,dicionario!$A$1:$C2841,3,0)</f>
        <v>perpétua-rosa</v>
      </c>
    </row>
    <row r="2443">
      <c r="A2443" s="3">
        <v>45617.0</v>
      </c>
      <c r="B2443" s="45">
        <v>0.2798611111111111</v>
      </c>
      <c r="C2443" s="5" t="s">
        <v>33</v>
      </c>
      <c r="D2443" s="5" t="s">
        <v>717</v>
      </c>
      <c r="E2443" s="8" t="s">
        <v>723</v>
      </c>
      <c r="F2443" s="5" t="s">
        <v>724</v>
      </c>
      <c r="G2443" s="6" t="str">
        <f>VLOOKUP(E2443,dicionario!$A$1:$C2842,2,0)</f>
        <v>Asemeia violacea</v>
      </c>
      <c r="H2443" s="6" t="str">
        <f>VLOOKUP(E2443,dicionario!$A$1:$C2842,3,0)</f>
        <v/>
      </c>
    </row>
    <row r="2444">
      <c r="A2444" s="3">
        <v>45617.0</v>
      </c>
      <c r="B2444" s="4">
        <v>0.28194444444444444</v>
      </c>
      <c r="C2444" s="5" t="s">
        <v>33</v>
      </c>
      <c r="D2444" s="5" t="s">
        <v>717</v>
      </c>
      <c r="E2444" s="8" t="s">
        <v>535</v>
      </c>
      <c r="F2444" s="5" t="s">
        <v>395</v>
      </c>
      <c r="G2444" s="6" t="str">
        <f>VLOOKUP(E2444,dicionario!$A$1:$C2843,2,0)</f>
        <v>Odonata</v>
      </c>
      <c r="H2444" s="6" t="str">
        <f>VLOOKUP(E2444,dicionario!$A$1:$C2843,3,0)</f>
        <v>libélula</v>
      </c>
    </row>
    <row r="2445">
      <c r="A2445" s="3">
        <v>45617.0</v>
      </c>
      <c r="B2445" s="4">
        <v>0.2826388888888889</v>
      </c>
      <c r="C2445" s="5" t="s">
        <v>33</v>
      </c>
      <c r="D2445" s="5" t="s">
        <v>717</v>
      </c>
      <c r="E2445" s="8" t="s">
        <v>378</v>
      </c>
      <c r="F2445" s="5" t="s">
        <v>205</v>
      </c>
      <c r="G2445" s="6" t="str">
        <f>VLOOKUP(E2445,dicionario!$A$1:$C2844,2,0)</f>
        <v>Polistes</v>
      </c>
      <c r="H2445" s="6" t="str">
        <f>VLOOKUP(E2445,dicionario!$A$1:$C2844,3,0)</f>
        <v>marimbondo</v>
      </c>
    </row>
    <row r="2446">
      <c r="A2446" s="3">
        <v>45617.0</v>
      </c>
      <c r="B2446" s="4">
        <v>0.2833333333333333</v>
      </c>
      <c r="C2446" s="5" t="s">
        <v>33</v>
      </c>
      <c r="D2446" s="5" t="s">
        <v>717</v>
      </c>
      <c r="E2446" s="8" t="s">
        <v>223</v>
      </c>
      <c r="F2446" s="5" t="s">
        <v>224</v>
      </c>
      <c r="G2446" s="6" t="str">
        <f>VLOOKUP(E2446,dicionario!$A$1:$C2845,2,0)</f>
        <v>Rhipsalis lindbergiana</v>
      </c>
      <c r="H2446" s="6" t="str">
        <f>VLOOKUP(E2446,dicionario!$A$1:$C2845,3,0)</f>
        <v>cacto-macarrão</v>
      </c>
    </row>
    <row r="2447">
      <c r="A2447" s="3">
        <v>45617.0</v>
      </c>
      <c r="B2447" s="46">
        <v>0.28402777777777777</v>
      </c>
      <c r="C2447" s="5" t="s">
        <v>33</v>
      </c>
      <c r="D2447" s="5" t="s">
        <v>717</v>
      </c>
      <c r="E2447" s="8" t="s">
        <v>375</v>
      </c>
      <c r="F2447" s="5" t="s">
        <v>35</v>
      </c>
      <c r="G2447" s="6" t="str">
        <f>VLOOKUP(E2447,dicionario!$A$1:$C2846,2,0)</f>
        <v>Neoponera foetida</v>
      </c>
      <c r="H2447" s="6" t="str">
        <f>VLOOKUP(E2447,dicionario!$A$1:$C2846,3,0)</f>
        <v/>
      </c>
    </row>
    <row r="2448">
      <c r="A2448" s="3">
        <v>45617.0</v>
      </c>
      <c r="B2448" s="45">
        <v>0.28402777777777777</v>
      </c>
      <c r="C2448" s="5" t="s">
        <v>33</v>
      </c>
      <c r="D2448" s="5" t="s">
        <v>717</v>
      </c>
      <c r="E2448" s="6" t="s">
        <v>53</v>
      </c>
      <c r="F2448" s="7" t="s">
        <v>54</v>
      </c>
      <c r="G2448" s="6" t="str">
        <f>VLOOKUP(E2448,dicionario!$A$1:$C2847,2,0)</f>
        <v>Turnera subulata</v>
      </c>
      <c r="H2448" s="6" t="str">
        <f>VLOOKUP(E2448,dicionario!$A$1:$C2847,3,0)</f>
        <v>xanana</v>
      </c>
    </row>
    <row r="2449">
      <c r="A2449" s="3">
        <v>45617.0</v>
      </c>
      <c r="B2449" s="46">
        <v>0.28402777777777777</v>
      </c>
      <c r="C2449" s="5" t="s">
        <v>33</v>
      </c>
      <c r="D2449" s="5" t="s">
        <v>717</v>
      </c>
      <c r="E2449" s="6" t="s">
        <v>251</v>
      </c>
      <c r="F2449" s="7" t="s">
        <v>252</v>
      </c>
      <c r="G2449" s="6" t="str">
        <f>VLOOKUP(E2449,dicionario!$A$1:$C2848,2,0)</f>
        <v>Struthanthus flexicaulis</v>
      </c>
      <c r="H2449" s="6" t="str">
        <f>VLOOKUP(E2449,dicionario!$A$1:$C2848,3,0)</f>
        <v>erva-de-passarinho</v>
      </c>
    </row>
    <row r="2450">
      <c r="A2450" s="3">
        <v>45617.0</v>
      </c>
      <c r="B2450" s="46">
        <v>0.28541666666666665</v>
      </c>
      <c r="C2450" s="5" t="s">
        <v>40</v>
      </c>
      <c r="D2450" s="5" t="s">
        <v>717</v>
      </c>
      <c r="E2450" s="6" t="s">
        <v>296</v>
      </c>
      <c r="F2450" s="7" t="s">
        <v>297</v>
      </c>
      <c r="G2450" s="6" t="str">
        <f>VLOOKUP(E2450,dicionario!$A$1:$C2849,2,0)</f>
        <v>Richardia brasiliensis</v>
      </c>
      <c r="H2450" s="6" t="str">
        <f>VLOOKUP(E2450,dicionario!$A$1:$C2849,3,0)</f>
        <v>poaia-branca</v>
      </c>
    </row>
    <row r="2451">
      <c r="A2451" s="3">
        <v>45617.0</v>
      </c>
      <c r="B2451" s="46">
        <v>0.28541666666666665</v>
      </c>
      <c r="C2451" s="5" t="s">
        <v>40</v>
      </c>
      <c r="D2451" s="5" t="s">
        <v>717</v>
      </c>
      <c r="E2451" s="6" t="s">
        <v>135</v>
      </c>
      <c r="F2451" s="7" t="s">
        <v>136</v>
      </c>
      <c r="G2451" s="6" t="str">
        <f>VLOOKUP(E2451,dicionario!$A$1:$C2850,2,0)</f>
        <v>Tridax procumbens</v>
      </c>
      <c r="H2451" s="6" t="str">
        <f>VLOOKUP(E2451,dicionario!$A$1:$C2850,3,0)</f>
        <v>erva-de-touro</v>
      </c>
    </row>
    <row r="2452">
      <c r="A2452" s="3">
        <v>45617.0</v>
      </c>
      <c r="B2452" s="46">
        <v>0.2861111111111111</v>
      </c>
      <c r="C2452" s="5" t="s">
        <v>40</v>
      </c>
      <c r="D2452" s="5" t="s">
        <v>717</v>
      </c>
      <c r="E2452" s="8" t="s">
        <v>227</v>
      </c>
      <c r="F2452" s="5" t="s">
        <v>228</v>
      </c>
      <c r="G2452" s="6" t="str">
        <f>VLOOKUP(E2452,dicionario!$A$1:$C2851,2,0)</f>
        <v>Indigofera hirsuta</v>
      </c>
      <c r="H2452" s="6" t="str">
        <f>VLOOKUP(E2452,dicionario!$A$1:$C2851,3,0)</f>
        <v>anileira</v>
      </c>
    </row>
    <row r="2453">
      <c r="A2453" s="3">
        <v>45617.0</v>
      </c>
      <c r="B2453" s="46">
        <v>0.2861111111111111</v>
      </c>
      <c r="C2453" s="5" t="s">
        <v>40</v>
      </c>
      <c r="D2453" s="5" t="s">
        <v>717</v>
      </c>
      <c r="E2453" s="6" t="s">
        <v>613</v>
      </c>
      <c r="F2453" s="7" t="s">
        <v>614</v>
      </c>
      <c r="G2453" s="6" t="str">
        <f>VLOOKUP(E2453,dicionario!$A$1:$C2852,2,0)</f>
        <v>Euphorbia hyssopifolia</v>
      </c>
      <c r="H2453" s="6" t="str">
        <f>VLOOKUP(E2453,dicionario!$A$1:$C2852,3,0)</f>
        <v>maria-leite</v>
      </c>
    </row>
    <row r="2454">
      <c r="A2454" s="3">
        <v>45617.0</v>
      </c>
      <c r="B2454" s="46">
        <v>0.2861111111111111</v>
      </c>
      <c r="C2454" s="5" t="s">
        <v>40</v>
      </c>
      <c r="D2454" s="5" t="s">
        <v>717</v>
      </c>
      <c r="E2454" s="6" t="s">
        <v>53</v>
      </c>
      <c r="F2454" s="7" t="s">
        <v>54</v>
      </c>
      <c r="G2454" s="6" t="str">
        <f>VLOOKUP(E2454,dicionario!$A$1:$C2853,2,0)</f>
        <v>Turnera subulata</v>
      </c>
      <c r="H2454" s="6" t="str">
        <f>VLOOKUP(E2454,dicionario!$A$1:$C2853,3,0)</f>
        <v>xanana</v>
      </c>
    </row>
    <row r="2455">
      <c r="A2455" s="3">
        <v>45617.0</v>
      </c>
      <c r="B2455" s="46">
        <v>0.2861111111111111</v>
      </c>
      <c r="C2455" s="5" t="s">
        <v>40</v>
      </c>
      <c r="D2455" s="5" t="s">
        <v>717</v>
      </c>
      <c r="E2455" s="6" t="s">
        <v>271</v>
      </c>
      <c r="F2455" s="7" t="s">
        <v>272</v>
      </c>
      <c r="G2455" s="6" t="str">
        <f>VLOOKUP(E2455,dicionario!$A$1:$C2854,2,0)</f>
        <v>Cyanthillium cinereum</v>
      </c>
      <c r="H2455" s="6" t="str">
        <f>VLOOKUP(E2455,dicionario!$A$1:$C2854,3,0)</f>
        <v>emília</v>
      </c>
    </row>
    <row r="2456">
      <c r="A2456" s="3">
        <v>45617.0</v>
      </c>
      <c r="B2456" s="46">
        <v>0.28680555555555554</v>
      </c>
      <c r="C2456" s="5" t="s">
        <v>40</v>
      </c>
      <c r="D2456" s="5" t="s">
        <v>717</v>
      </c>
      <c r="E2456" s="6" t="s">
        <v>111</v>
      </c>
      <c r="F2456" s="7" t="s">
        <v>112</v>
      </c>
      <c r="G2456" s="6" t="str">
        <f>VLOOKUP(E2456,dicionario!$A$1:$C2855,2,0)</f>
        <v>Trigona spinipes</v>
      </c>
      <c r="H2456" s="6" t="str">
        <f>VLOOKUP(E2456,dicionario!$A$1:$C2855,3,0)</f>
        <v>abelha-cachorro</v>
      </c>
    </row>
    <row r="2457">
      <c r="A2457" s="3">
        <v>45617.0</v>
      </c>
      <c r="B2457" s="46">
        <v>0.28680555555555554</v>
      </c>
      <c r="C2457" s="5" t="s">
        <v>40</v>
      </c>
      <c r="D2457" s="5" t="s">
        <v>717</v>
      </c>
      <c r="E2457" s="6" t="s">
        <v>355</v>
      </c>
      <c r="F2457" s="7" t="s">
        <v>356</v>
      </c>
      <c r="G2457" s="6" t="str">
        <f>VLOOKUP(E2457,dicionario!$A$1:$C2856,2,0)</f>
        <v>Boerhavia diffusa</v>
      </c>
      <c r="H2457" s="6" t="str">
        <f>VLOOKUP(E2457,dicionario!$A$1:$C2856,3,0)</f>
        <v>erva-tostão</v>
      </c>
    </row>
    <row r="2458">
      <c r="A2458" s="3">
        <v>45617.0</v>
      </c>
      <c r="B2458" s="46">
        <v>0.2875</v>
      </c>
      <c r="C2458" s="5" t="s">
        <v>40</v>
      </c>
      <c r="D2458" s="5" t="s">
        <v>717</v>
      </c>
      <c r="E2458" s="8" t="s">
        <v>262</v>
      </c>
      <c r="F2458" s="7" t="s">
        <v>263</v>
      </c>
      <c r="G2458" s="6" t="str">
        <f>VLOOKUP(E2458,dicionario!$A$1:$C2857,2,0)</f>
        <v>Portulaca oleracea</v>
      </c>
      <c r="H2458" s="6" t="str">
        <f>VLOOKUP(E2458,dicionario!$A$1:$C2857,3,0)</f>
        <v>beldroega</v>
      </c>
    </row>
    <row r="2459">
      <c r="A2459" s="3">
        <v>45617.0</v>
      </c>
      <c r="B2459" s="45">
        <v>0.2875</v>
      </c>
      <c r="C2459" s="5" t="s">
        <v>40</v>
      </c>
      <c r="D2459" s="5" t="s">
        <v>717</v>
      </c>
      <c r="E2459" s="6" t="s">
        <v>150</v>
      </c>
      <c r="F2459" s="7" t="s">
        <v>151</v>
      </c>
      <c r="G2459" s="6" t="str">
        <f>VLOOKUP(E2459,dicionario!$A$1:$C2858,2,0)</f>
        <v>Amaranthus viridis</v>
      </c>
      <c r="H2459" s="6" t="str">
        <f>VLOOKUP(E2459,dicionario!$A$1:$C2858,3,0)</f>
        <v>caruru-de-mancha</v>
      </c>
    </row>
    <row r="2460">
      <c r="A2460" s="3">
        <v>45617.0</v>
      </c>
      <c r="B2460" s="45">
        <v>0.2875</v>
      </c>
      <c r="C2460" s="5" t="s">
        <v>40</v>
      </c>
      <c r="D2460" s="5" t="s">
        <v>717</v>
      </c>
      <c r="E2460" s="6" t="s">
        <v>146</v>
      </c>
      <c r="F2460" s="7" t="s">
        <v>147</v>
      </c>
      <c r="G2460" s="6" t="str">
        <f>VLOOKUP(E2460,dicionario!$A$1:$C2859,2,0)</f>
        <v>Euphorbia hirta</v>
      </c>
      <c r="H2460" s="6" t="str">
        <f>VLOOKUP(E2460,dicionario!$A$1:$C2859,3,0)</f>
        <v>erva-de-santa-luzia</v>
      </c>
    </row>
    <row r="2461">
      <c r="A2461" s="3">
        <v>45617.0</v>
      </c>
      <c r="B2461" s="45">
        <v>0.2875</v>
      </c>
      <c r="C2461" s="5" t="s">
        <v>40</v>
      </c>
      <c r="D2461" s="5" t="s">
        <v>717</v>
      </c>
      <c r="E2461" s="6" t="s">
        <v>286</v>
      </c>
      <c r="F2461" s="7" t="s">
        <v>287</v>
      </c>
      <c r="G2461" s="6" t="str">
        <f>VLOOKUP(E2461,dicionario!$A$1:$C2860,2,0)</f>
        <v>Setaria parviflora</v>
      </c>
      <c r="H2461" s="6" t="str">
        <f>VLOOKUP(E2461,dicionario!$A$1:$C2860,3,0)</f>
        <v>capim-rabo-de-raposa</v>
      </c>
    </row>
    <row r="2462">
      <c r="A2462" s="3">
        <v>45617.0</v>
      </c>
      <c r="B2462" s="45">
        <v>0.2875</v>
      </c>
      <c r="C2462" s="5" t="s">
        <v>40</v>
      </c>
      <c r="D2462" s="5" t="s">
        <v>717</v>
      </c>
      <c r="E2462" s="6" t="s">
        <v>606</v>
      </c>
      <c r="F2462" s="7" t="s">
        <v>607</v>
      </c>
      <c r="G2462" s="6" t="str">
        <f>VLOOKUP(E2462,dicionario!$A$1:$C2861,2,0)</f>
        <v>Elaenia spectabilis</v>
      </c>
      <c r="H2462" s="6" t="str">
        <f>VLOOKUP(E2462,dicionario!$A$1:$C2861,3,0)</f>
        <v>guaracava-grande</v>
      </c>
    </row>
    <row r="2463">
      <c r="A2463" s="3">
        <v>45617.0</v>
      </c>
      <c r="B2463" s="45">
        <v>0.2875</v>
      </c>
      <c r="C2463" s="5" t="s">
        <v>40</v>
      </c>
      <c r="D2463" s="5" t="s">
        <v>717</v>
      </c>
      <c r="E2463" s="6" t="s">
        <v>154</v>
      </c>
      <c r="F2463" s="7" t="s">
        <v>155</v>
      </c>
      <c r="G2463" s="6" t="str">
        <f>VLOOKUP(E2463,dicionario!$A$1:$C2862,2,0)</f>
        <v>Cyperus rotundus</v>
      </c>
      <c r="H2463" s="6" t="str">
        <f>VLOOKUP(E2463,dicionario!$A$1:$C2862,3,0)</f>
        <v>tiririca</v>
      </c>
    </row>
    <row r="2464">
      <c r="A2464" s="3">
        <v>45617.0</v>
      </c>
      <c r="B2464" s="4">
        <v>0.2881944444444444</v>
      </c>
      <c r="C2464" s="5" t="s">
        <v>40</v>
      </c>
      <c r="D2464" s="5" t="s">
        <v>717</v>
      </c>
      <c r="E2464" s="20" t="s">
        <v>676</v>
      </c>
      <c r="F2464" s="7" t="s">
        <v>677</v>
      </c>
      <c r="G2464" s="6" t="str">
        <f>VLOOKUP(E2464,dicionario!$A$1:$C2863,2,0)</f>
        <v>Zornia latifolia</v>
      </c>
      <c r="H2464" s="6" t="str">
        <f>VLOOKUP(E2464,dicionario!$A$1:$C2863,3,0)</f>
        <v>arrozinho-do-campo</v>
      </c>
    </row>
    <row r="2465">
      <c r="A2465" s="3">
        <v>45617.0</v>
      </c>
      <c r="B2465" s="45">
        <v>0.2881944444444444</v>
      </c>
      <c r="C2465" s="5" t="s">
        <v>40</v>
      </c>
      <c r="D2465" s="5" t="s">
        <v>717</v>
      </c>
      <c r="E2465" s="6" t="s">
        <v>144</v>
      </c>
      <c r="F2465" s="7" t="s">
        <v>145</v>
      </c>
      <c r="G2465" s="6" t="str">
        <f>VLOOKUP(E2465,dicionario!$A$1:$C2864,2,0)</f>
        <v>Gomphrena globosa</v>
      </c>
      <c r="H2465" s="6" t="str">
        <f>VLOOKUP(E2465,dicionario!$A$1:$C2864,3,0)</f>
        <v>perpétua-rosa</v>
      </c>
    </row>
    <row r="2466">
      <c r="A2466" s="3">
        <v>45617.0</v>
      </c>
      <c r="B2466" s="45">
        <v>0.2881944444444444</v>
      </c>
      <c r="C2466" s="5" t="s">
        <v>40</v>
      </c>
      <c r="D2466" s="5" t="s">
        <v>717</v>
      </c>
      <c r="E2466" s="8" t="s">
        <v>72</v>
      </c>
      <c r="F2466" s="5" t="s">
        <v>73</v>
      </c>
      <c r="G2466" s="6" t="str">
        <f>VLOOKUP(E2466,dicionario!$A$1:$C2865,2,0)</f>
        <v>Thraupis palmarum</v>
      </c>
      <c r="H2466" s="6" t="str">
        <f>VLOOKUP(E2466,dicionario!$A$1:$C2865,3,0)</f>
        <v>sanhaço-do-coqueiro</v>
      </c>
    </row>
    <row r="2467">
      <c r="A2467" s="3">
        <v>45617.0</v>
      </c>
      <c r="B2467" s="45">
        <v>0.2881944444444444</v>
      </c>
      <c r="C2467" s="5" t="s">
        <v>40</v>
      </c>
      <c r="D2467" s="5" t="s">
        <v>717</v>
      </c>
      <c r="E2467" s="6" t="s">
        <v>113</v>
      </c>
      <c r="F2467" s="7" t="s">
        <v>114</v>
      </c>
      <c r="G2467" s="6" t="str">
        <f>VLOOKUP(E2467,dicionario!$A$1:$C2866,2,0)</f>
        <v>Columbina talpacoti</v>
      </c>
      <c r="H2467" s="6" t="str">
        <f>VLOOKUP(E2467,dicionario!$A$1:$C2866,3,0)</f>
        <v>rolinha-roxa</v>
      </c>
    </row>
    <row r="2468">
      <c r="A2468" s="3">
        <v>45617.0</v>
      </c>
      <c r="B2468" s="4">
        <v>0.28888888888888886</v>
      </c>
      <c r="C2468" s="5" t="s">
        <v>40</v>
      </c>
      <c r="D2468" s="5" t="s">
        <v>717</v>
      </c>
      <c r="E2468" s="6" t="s">
        <v>225</v>
      </c>
      <c r="F2468" s="7" t="s">
        <v>226</v>
      </c>
      <c r="G2468" s="6" t="str">
        <f>VLOOKUP(E2468,dicionario!$A$1:$C2867,2,0)</f>
        <v>Passer domesticus</v>
      </c>
      <c r="H2468" s="6" t="str">
        <f>VLOOKUP(E2468,dicionario!$A$1:$C2867,3,0)</f>
        <v>pardal</v>
      </c>
    </row>
    <row r="2469">
      <c r="A2469" s="3">
        <v>45617.0</v>
      </c>
      <c r="B2469" s="4">
        <v>0.28958333333333336</v>
      </c>
      <c r="C2469" s="5" t="s">
        <v>40</v>
      </c>
      <c r="D2469" s="5" t="s">
        <v>717</v>
      </c>
      <c r="E2469" s="6" t="s">
        <v>191</v>
      </c>
      <c r="F2469" s="7" t="s">
        <v>192</v>
      </c>
      <c r="G2469" s="6" t="str">
        <f>VLOOKUP(E2469,dicionario!$A$1:$C2868,2,0)</f>
        <v>Patagioenas picazuro</v>
      </c>
      <c r="H2469" s="6" t="str">
        <f>VLOOKUP(E2469,dicionario!$A$1:$C2868,3,0)</f>
        <v>asa-branca; pomba-asa-branca; pocaçu</v>
      </c>
    </row>
    <row r="2470">
      <c r="A2470" s="3">
        <v>45617.0</v>
      </c>
      <c r="B2470" s="4">
        <v>0.28958333333333336</v>
      </c>
      <c r="C2470" s="5" t="s">
        <v>40</v>
      </c>
      <c r="D2470" s="5" t="s">
        <v>717</v>
      </c>
      <c r="E2470" s="6" t="s">
        <v>20</v>
      </c>
      <c r="F2470" s="7" t="s">
        <v>21</v>
      </c>
      <c r="G2470" s="6" t="str">
        <f>VLOOKUP(E2470,dicionario!$A$1:$C2869,2,0)</f>
        <v>Sicalis flaveola</v>
      </c>
      <c r="H2470" s="6" t="str">
        <f>VLOOKUP(E2470,dicionario!$A$1:$C2869,3,0)</f>
        <v>canário-da-terra</v>
      </c>
    </row>
    <row r="2471">
      <c r="A2471" s="3">
        <v>45617.0</v>
      </c>
      <c r="B2471" s="4">
        <v>0.28958333333333336</v>
      </c>
      <c r="C2471" s="5" t="s">
        <v>40</v>
      </c>
      <c r="D2471" s="5" t="s">
        <v>717</v>
      </c>
      <c r="E2471" s="6" t="s">
        <v>602</v>
      </c>
      <c r="F2471" s="7" t="s">
        <v>603</v>
      </c>
      <c r="G2471" s="6" t="str">
        <f>VLOOKUP(E2471,dicionario!$A$1:$C2870,2,0)</f>
        <v>Trametes sanguinea</v>
      </c>
      <c r="H2471" s="6" t="str">
        <f>VLOOKUP(E2471,dicionario!$A$1:$C2870,3,0)</f>
        <v>orelha-de-pau</v>
      </c>
    </row>
    <row r="2472">
      <c r="A2472" s="3">
        <v>45617.0</v>
      </c>
      <c r="B2472" s="4">
        <v>0.2902777777777778</v>
      </c>
      <c r="C2472" s="5" t="s">
        <v>40</v>
      </c>
      <c r="D2472" s="5" t="s">
        <v>717</v>
      </c>
      <c r="E2472" s="6" t="s">
        <v>14</v>
      </c>
      <c r="F2472" s="7" t="s">
        <v>15</v>
      </c>
      <c r="G2472" s="6" t="str">
        <f>VLOOKUP(E2472,dicionario!$A$1:$C2871,2,0)</f>
        <v>Spermacoce verticillata</v>
      </c>
      <c r="H2472" s="6" t="str">
        <f>VLOOKUP(E2472,dicionario!$A$1:$C2871,3,0)</f>
        <v>vassourinha-de-botão</v>
      </c>
    </row>
    <row r="2473">
      <c r="A2473" s="3">
        <v>45617.0</v>
      </c>
      <c r="B2473" s="4">
        <v>0.2902777777777778</v>
      </c>
      <c r="C2473" s="5" t="s">
        <v>40</v>
      </c>
      <c r="D2473" s="5" t="s">
        <v>717</v>
      </c>
      <c r="E2473" s="6" t="s">
        <v>215</v>
      </c>
      <c r="F2473" s="7" t="s">
        <v>216</v>
      </c>
      <c r="G2473" s="6" t="str">
        <f>VLOOKUP(E2473,dicionario!$A$1:$C2872,2,0)</f>
        <v>Pygochelidon cyanoleuca</v>
      </c>
      <c r="H2473" s="6" t="str">
        <f>VLOOKUP(E2473,dicionario!$A$1:$C2872,3,0)</f>
        <v>andorinha-pequena-de-casa</v>
      </c>
    </row>
    <row r="2474">
      <c r="A2474" s="3">
        <v>45617.0</v>
      </c>
      <c r="B2474" s="4">
        <v>0.29097222222222224</v>
      </c>
      <c r="C2474" s="5" t="s">
        <v>40</v>
      </c>
      <c r="D2474" s="5" t="s">
        <v>717</v>
      </c>
      <c r="E2474" s="6" t="s">
        <v>118</v>
      </c>
      <c r="F2474" s="7" t="s">
        <v>119</v>
      </c>
      <c r="G2474" s="6" t="str">
        <f>VLOOKUP(E2474,dicionario!$A$1:$C2873,2,0)</f>
        <v>Agaricus</v>
      </c>
      <c r="H2474" s="6" t="str">
        <f>VLOOKUP(E2474,dicionario!$A$1:$C2873,3,0)</f>
        <v>cogumelo</v>
      </c>
    </row>
    <row r="2475">
      <c r="A2475" s="3">
        <v>45617.0</v>
      </c>
      <c r="B2475" s="45">
        <v>0.29097222222222224</v>
      </c>
      <c r="C2475" s="5" t="s">
        <v>40</v>
      </c>
      <c r="D2475" s="5" t="s">
        <v>717</v>
      </c>
      <c r="E2475" s="6" t="s">
        <v>105</v>
      </c>
      <c r="F2475" s="7" t="s">
        <v>106</v>
      </c>
      <c r="G2475" s="6" t="str">
        <f>VLOOKUP(E2475,dicionario!$A$1:$C2874,2,0)</f>
        <v>Progne tapera</v>
      </c>
      <c r="H2475" s="6" t="str">
        <f>VLOOKUP(E2475,dicionario!$A$1:$C2874,3,0)</f>
        <v>andorinha-do-campo</v>
      </c>
    </row>
    <row r="2476">
      <c r="A2476" s="3">
        <v>45617.0</v>
      </c>
      <c r="B2476" s="45">
        <v>0.29097222222222224</v>
      </c>
      <c r="C2476" s="5" t="s">
        <v>40</v>
      </c>
      <c r="D2476" s="5" t="s">
        <v>717</v>
      </c>
      <c r="E2476" s="6" t="s">
        <v>213</v>
      </c>
      <c r="F2476" s="7" t="s">
        <v>214</v>
      </c>
      <c r="G2476" s="6" t="str">
        <f>VLOOKUP(E2476,dicionario!$A$1:$C2875,2,0)</f>
        <v>Myiozetetes similis</v>
      </c>
      <c r="H2476" s="6" t="str">
        <f>VLOOKUP(E2476,dicionario!$A$1:$C2875,3,0)</f>
        <v>bentevizinho-de-penacho-vermelho</v>
      </c>
    </row>
    <row r="2477">
      <c r="A2477" s="3">
        <v>45617.0</v>
      </c>
      <c r="B2477" s="45">
        <v>0.29097222222222224</v>
      </c>
      <c r="C2477" s="5" t="s">
        <v>40</v>
      </c>
      <c r="D2477" s="5" t="s">
        <v>717</v>
      </c>
      <c r="E2477" s="8" t="s">
        <v>517</v>
      </c>
      <c r="F2477" s="7" t="s">
        <v>518</v>
      </c>
      <c r="G2477" s="6" t="str">
        <f>VLOOKUP(E2477,dicionario!$A$1:$C2876,2,0)</f>
        <v>Evolvulus nummularius</v>
      </c>
      <c r="H2477" s="6" t="str">
        <f>VLOOKUP(E2477,dicionario!$A$1:$C2876,3,0)</f>
        <v/>
      </c>
    </row>
    <row r="2478">
      <c r="A2478" s="3">
        <v>45617.0</v>
      </c>
      <c r="B2478" s="46">
        <v>0.2916666666666667</v>
      </c>
      <c r="C2478" s="5" t="s">
        <v>40</v>
      </c>
      <c r="D2478" s="5" t="s">
        <v>717</v>
      </c>
      <c r="E2478" s="8" t="s">
        <v>504</v>
      </c>
      <c r="F2478" s="5" t="s">
        <v>534</v>
      </c>
      <c r="G2478" s="6" t="str">
        <f>VLOOKUP(E2478,dicionario!$A$1:$C2877,2,0)</f>
        <v>Cleome aculeata</v>
      </c>
      <c r="H2478" s="6" t="str">
        <f>VLOOKUP(E2478,dicionario!$A$1:$C2877,3,0)</f>
        <v>cleome</v>
      </c>
    </row>
    <row r="2479">
      <c r="A2479" s="3">
        <v>45617.0</v>
      </c>
      <c r="B2479" s="45">
        <v>0.2916666666666667</v>
      </c>
      <c r="C2479" s="5" t="s">
        <v>40</v>
      </c>
      <c r="D2479" s="5" t="s">
        <v>717</v>
      </c>
      <c r="E2479" s="6" t="s">
        <v>177</v>
      </c>
      <c r="F2479" s="7" t="s">
        <v>178</v>
      </c>
      <c r="G2479" s="6" t="str">
        <f>VLOOKUP(E2479,dicionario!$A$1:$C2878,2,0)</f>
        <v>Elaenia flavogaster</v>
      </c>
      <c r="H2479" s="6" t="str">
        <f>VLOOKUP(E2479,dicionario!$A$1:$C2878,3,0)</f>
        <v>guaracava-de-barriga-amarela</v>
      </c>
    </row>
    <row r="2480">
      <c r="A2480" s="3">
        <v>45617.0</v>
      </c>
      <c r="B2480" s="45">
        <v>0.2916666666666667</v>
      </c>
      <c r="C2480" s="5" t="s">
        <v>40</v>
      </c>
      <c r="D2480" s="5" t="s">
        <v>717</v>
      </c>
      <c r="E2480" s="8" t="s">
        <v>38</v>
      </c>
      <c r="F2480" s="5" t="s">
        <v>39</v>
      </c>
      <c r="G2480" s="6" t="str">
        <f>VLOOKUP(E2480,dicionario!$A$1:$C2879,2,0)</f>
        <v>Troglodytes musculus</v>
      </c>
      <c r="H2480" s="6" t="str">
        <f>VLOOKUP(E2480,dicionario!$A$1:$C2879,3,0)</f>
        <v>curruíra</v>
      </c>
    </row>
    <row r="2481">
      <c r="A2481" s="3">
        <v>45617.0</v>
      </c>
      <c r="B2481" s="45">
        <v>0.2923611111111111</v>
      </c>
      <c r="C2481" s="5" t="s">
        <v>40</v>
      </c>
      <c r="D2481" s="5" t="s">
        <v>717</v>
      </c>
      <c r="E2481" s="6" t="s">
        <v>141</v>
      </c>
      <c r="F2481" s="7" t="s">
        <v>142</v>
      </c>
      <c r="G2481" s="6" t="str">
        <f>VLOOKUP(E2481,dicionario!$A$1:$C2880,2,0)</f>
        <v>Ruellia blechum</v>
      </c>
      <c r="H2481" s="6" t="str">
        <f>VLOOKUP(E2481,dicionario!$A$1:$C2880,3,0)</f>
        <v>camarão-verde</v>
      </c>
    </row>
    <row r="2482">
      <c r="A2482" s="3">
        <v>45617.0</v>
      </c>
      <c r="B2482" s="45">
        <v>0.2923611111111111</v>
      </c>
      <c r="C2482" s="5" t="s">
        <v>40</v>
      </c>
      <c r="D2482" s="5" t="s">
        <v>717</v>
      </c>
      <c r="E2482" s="6" t="s">
        <v>267</v>
      </c>
      <c r="F2482" s="7" t="s">
        <v>553</v>
      </c>
      <c r="G2482" s="6" t="str">
        <f>VLOOKUP(E2482,dicionario!$A$1:$C2881,2,0)</f>
        <v>Solanum americanum</v>
      </c>
      <c r="H2482" s="6" t="str">
        <f>VLOOKUP(E2482,dicionario!$A$1:$C2881,3,0)</f>
        <v>maria-pretinha</v>
      </c>
    </row>
    <row r="2483">
      <c r="A2483" s="3">
        <v>45617.0</v>
      </c>
      <c r="B2483" s="45">
        <v>0.2923611111111111</v>
      </c>
      <c r="C2483" s="5" t="s">
        <v>40</v>
      </c>
      <c r="D2483" s="5" t="s">
        <v>717</v>
      </c>
      <c r="E2483" s="6" t="s">
        <v>385</v>
      </c>
      <c r="F2483" s="7" t="s">
        <v>386</v>
      </c>
      <c r="G2483" s="6" t="str">
        <f>VLOOKUP(E2483,dicionario!$A$1:$C2882,2,0)</f>
        <v>Psidium guajava</v>
      </c>
      <c r="H2483" s="6" t="str">
        <f>VLOOKUP(E2483,dicionario!$A$1:$C2882,3,0)</f>
        <v>goiaba</v>
      </c>
    </row>
    <row r="2484">
      <c r="A2484" s="3">
        <v>45617.0</v>
      </c>
      <c r="B2484" s="45">
        <v>0.29305555555555557</v>
      </c>
      <c r="C2484" s="5" t="s">
        <v>40</v>
      </c>
      <c r="D2484" s="5" t="s">
        <v>717</v>
      </c>
      <c r="E2484" s="6" t="s">
        <v>725</v>
      </c>
      <c r="F2484" s="5" t="s">
        <v>726</v>
      </c>
      <c r="G2484" s="6" t="str">
        <f>VLOOKUP(E2484,dicionario!$A$1:$C2883,2,0)</f>
        <v>#N/A</v>
      </c>
      <c r="H2484" s="6" t="str">
        <f>VLOOKUP(E2484,dicionario!$A$1:$C2883,3,0)</f>
        <v>#N/A</v>
      </c>
    </row>
    <row r="2485">
      <c r="A2485" s="3">
        <v>45617.0</v>
      </c>
      <c r="B2485" s="45">
        <v>0.29305555555555557</v>
      </c>
      <c r="C2485" s="5" t="s">
        <v>40</v>
      </c>
      <c r="D2485" s="5" t="s">
        <v>717</v>
      </c>
      <c r="E2485" s="29" t="s">
        <v>566</v>
      </c>
      <c r="F2485" s="7" t="s">
        <v>567</v>
      </c>
      <c r="G2485" s="6" t="str">
        <f>VLOOKUP(E2485,dicionario!$A$1:$C2884,2,0)</f>
        <v>Baccharis dracunculifolia</v>
      </c>
      <c r="H2485" s="6" t="str">
        <f>VLOOKUP(E2485,dicionario!$A$1:$C2884,3,0)</f>
        <v>vassoura</v>
      </c>
    </row>
    <row r="2486">
      <c r="A2486" s="3">
        <v>45617.0</v>
      </c>
      <c r="B2486" s="45">
        <v>0.29305555555555557</v>
      </c>
      <c r="C2486" s="5" t="s">
        <v>40</v>
      </c>
      <c r="D2486" s="5" t="s">
        <v>717</v>
      </c>
      <c r="E2486" s="6" t="s">
        <v>471</v>
      </c>
      <c r="F2486" s="7" t="s">
        <v>472</v>
      </c>
      <c r="G2486" s="6" t="str">
        <f>VLOOKUP(E2486,dicionario!$A$1:$C2885,2,0)</f>
        <v>Sida acuta</v>
      </c>
      <c r="H2486" s="6" t="str">
        <f>VLOOKUP(E2486,dicionario!$A$1:$C2885,3,0)</f>
        <v>reloginho</v>
      </c>
    </row>
    <row r="2487">
      <c r="A2487" s="3">
        <v>45617.0</v>
      </c>
      <c r="B2487" s="45">
        <v>0.29305555555555557</v>
      </c>
      <c r="C2487" s="5" t="s">
        <v>40</v>
      </c>
      <c r="D2487" s="5" t="s">
        <v>717</v>
      </c>
      <c r="E2487" s="6" t="s">
        <v>353</v>
      </c>
      <c r="F2487" s="7" t="s">
        <v>354</v>
      </c>
      <c r="G2487" s="6" t="str">
        <f>VLOOKUP(E2487,dicionario!$A$1:$C2886,2,0)</f>
        <v>Desmodium incanum</v>
      </c>
      <c r="H2487" s="6" t="str">
        <f>VLOOKUP(E2487,dicionario!$A$1:$C2886,3,0)</f>
        <v>pega-pega</v>
      </c>
    </row>
    <row r="2488">
      <c r="A2488" s="3">
        <v>45617.0</v>
      </c>
      <c r="B2488" s="45">
        <v>0.29375</v>
      </c>
      <c r="C2488" s="5" t="s">
        <v>40</v>
      </c>
      <c r="D2488" s="5" t="s">
        <v>717</v>
      </c>
      <c r="E2488" s="6" t="s">
        <v>41</v>
      </c>
      <c r="F2488" s="7" t="s">
        <v>45</v>
      </c>
      <c r="G2488" s="6" t="str">
        <f>VLOOKUP(E2488,dicionario!$A$1:$C2887,2,0)</f>
        <v>Mimosa pudica</v>
      </c>
      <c r="H2488" s="6" t="str">
        <f>VLOOKUP(E2488,dicionario!$A$1:$C2887,3,0)</f>
        <v>dormideira</v>
      </c>
    </row>
    <row r="2489">
      <c r="A2489" s="3">
        <v>45617.0</v>
      </c>
      <c r="B2489" s="46">
        <v>0.29583333333333334</v>
      </c>
      <c r="C2489" s="5" t="s">
        <v>40</v>
      </c>
      <c r="D2489" s="5" t="s">
        <v>717</v>
      </c>
      <c r="E2489" s="20" t="s">
        <v>489</v>
      </c>
      <c r="F2489" s="7" t="s">
        <v>490</v>
      </c>
      <c r="G2489" s="6" t="str">
        <f>VLOOKUP(E2489,dicionario!$A$1:$C2888,2,0)</f>
        <v>Cenchrus echinatus</v>
      </c>
      <c r="H2489" s="6" t="str">
        <f>VLOOKUP(E2489,dicionario!$A$1:$C2888,3,0)</f>
        <v>capim-carrapicho</v>
      </c>
    </row>
    <row r="2490">
      <c r="A2490" s="3">
        <v>45617.0</v>
      </c>
      <c r="B2490" s="46">
        <v>0.29583333333333334</v>
      </c>
      <c r="C2490" s="5" t="s">
        <v>40</v>
      </c>
      <c r="D2490" s="5" t="s">
        <v>717</v>
      </c>
      <c r="E2490" s="8" t="s">
        <v>195</v>
      </c>
      <c r="F2490" s="7" t="s">
        <v>196</v>
      </c>
      <c r="G2490" s="6" t="str">
        <f>VLOOKUP(E2490,dicionario!$A$1:$C2889,2,0)</f>
        <v>Priva lappulacea</v>
      </c>
      <c r="H2490" s="6" t="str">
        <f>VLOOKUP(E2490,dicionario!$A$1:$C2889,3,0)</f>
        <v>carrapicho</v>
      </c>
    </row>
    <row r="2491">
      <c r="A2491" s="3">
        <v>45617.0</v>
      </c>
      <c r="B2491" s="46">
        <v>0.29583333333333334</v>
      </c>
      <c r="C2491" s="5" t="s">
        <v>40</v>
      </c>
      <c r="D2491" s="5" t="s">
        <v>717</v>
      </c>
      <c r="E2491" s="6" t="s">
        <v>517</v>
      </c>
      <c r="F2491" s="7" t="s">
        <v>518</v>
      </c>
      <c r="G2491" s="6" t="str">
        <f>VLOOKUP(E2491,dicionario!$A$1:$C2890,2,0)</f>
        <v>Evolvulus nummularius</v>
      </c>
      <c r="H2491" s="6" t="str">
        <f>VLOOKUP(E2491,dicionario!$A$1:$C2890,3,0)</f>
        <v/>
      </c>
    </row>
    <row r="2492">
      <c r="A2492" s="3">
        <v>45617.0</v>
      </c>
      <c r="B2492" s="46">
        <v>0.29583333333333334</v>
      </c>
      <c r="C2492" s="5" t="s">
        <v>40</v>
      </c>
      <c r="D2492" s="5" t="s">
        <v>717</v>
      </c>
      <c r="E2492" s="6" t="s">
        <v>727</v>
      </c>
      <c r="F2492" s="5" t="s">
        <v>728</v>
      </c>
      <c r="G2492" s="6" t="str">
        <f>VLOOKUP(E2492,dicionario!$A$1:$C2891,2,0)</f>
        <v>#N/A</v>
      </c>
      <c r="H2492" s="6" t="str">
        <f>VLOOKUP(E2492,dicionario!$A$1:$C2891,3,0)</f>
        <v>#N/A</v>
      </c>
    </row>
    <row r="2493">
      <c r="A2493" s="3">
        <v>45617.0</v>
      </c>
      <c r="B2493" s="46">
        <v>0.29583333333333334</v>
      </c>
      <c r="C2493" s="5" t="s">
        <v>40</v>
      </c>
      <c r="D2493" s="5" t="s">
        <v>717</v>
      </c>
      <c r="E2493" s="6" t="s">
        <v>247</v>
      </c>
      <c r="F2493" s="7" t="s">
        <v>387</v>
      </c>
      <c r="G2493" s="6" t="str">
        <f>VLOOKUP(E2493,dicionario!$A$1:$C2892,2,0)</f>
        <v>Emilia sonchifolia</v>
      </c>
      <c r="H2493" s="6" t="str">
        <f>VLOOKUP(E2493,dicionario!$A$1:$C2892,3,0)</f>
        <v>serralinha</v>
      </c>
    </row>
    <row r="2494">
      <c r="A2494" s="3">
        <v>45617.0</v>
      </c>
      <c r="B2494" s="46">
        <v>0.2965277777777778</v>
      </c>
      <c r="C2494" s="5" t="s">
        <v>40</v>
      </c>
      <c r="D2494" s="5" t="s">
        <v>717</v>
      </c>
      <c r="E2494" s="6" t="s">
        <v>483</v>
      </c>
      <c r="F2494" s="7" t="s">
        <v>484</v>
      </c>
      <c r="G2494" s="6" t="str">
        <f>VLOOKUP(E2494,dicionario!$A$1:$C2893,2,0)</f>
        <v>Euphorbia prostrata</v>
      </c>
      <c r="H2494" s="6" t="str">
        <f>VLOOKUP(E2494,dicionario!$A$1:$C2893,3,0)</f>
        <v>quebra-pedra-rasteira</v>
      </c>
    </row>
    <row r="2495">
      <c r="A2495" s="3">
        <v>45617.0</v>
      </c>
      <c r="B2495" s="45">
        <v>0.2965277777777778</v>
      </c>
      <c r="C2495" s="5" t="s">
        <v>40</v>
      </c>
      <c r="D2495" s="5" t="s">
        <v>717</v>
      </c>
      <c r="E2495" s="48" t="s">
        <v>611</v>
      </c>
      <c r="F2495" s="5" t="s">
        <v>612</v>
      </c>
      <c r="G2495" s="6" t="str">
        <f>VLOOKUP(E2495,dicionario!$A$1:$C2894,2,0)</f>
        <v>Boehmeria cylindrica</v>
      </c>
      <c r="H2495" s="6" t="str">
        <f>VLOOKUP(E2495,dicionario!$A$1:$C2894,3,0)</f>
        <v>falsa-urtiga</v>
      </c>
    </row>
    <row r="2496">
      <c r="A2496" s="3">
        <v>45617.0</v>
      </c>
      <c r="B2496" s="45">
        <v>0.2965277777777778</v>
      </c>
      <c r="C2496" s="5" t="s">
        <v>40</v>
      </c>
      <c r="D2496" s="5" t="s">
        <v>717</v>
      </c>
      <c r="E2496" s="6" t="s">
        <v>181</v>
      </c>
      <c r="F2496" s="7" t="s">
        <v>182</v>
      </c>
      <c r="G2496" s="6" t="str">
        <f>VLOOKUP(E2496,dicionario!$A$1:$C2895,2,0)</f>
        <v>#N/A</v>
      </c>
      <c r="H2496" s="6" t="str">
        <f>VLOOKUP(E2496,dicionario!$A$1:$C2895,3,0)</f>
        <v>#N/A</v>
      </c>
    </row>
    <row r="2497">
      <c r="A2497" s="3">
        <v>45617.0</v>
      </c>
      <c r="B2497" s="45">
        <v>0.2965277777777778</v>
      </c>
      <c r="C2497" s="5" t="s">
        <v>40</v>
      </c>
      <c r="D2497" s="5" t="s">
        <v>717</v>
      </c>
      <c r="E2497" s="6" t="s">
        <v>429</v>
      </c>
      <c r="F2497" s="7" t="s">
        <v>660</v>
      </c>
      <c r="G2497" s="6" t="str">
        <f>VLOOKUP(E2497,dicionario!$A$1:$C2896,2,0)</f>
        <v>Leonurus sibiricus</v>
      </c>
      <c r="H2497" s="6" t="str">
        <f>VLOOKUP(E2497,dicionario!$A$1:$C2896,3,0)</f>
        <v>erva-macaé</v>
      </c>
    </row>
    <row r="2498">
      <c r="A2498" s="3">
        <v>45617.0</v>
      </c>
      <c r="B2498" s="45">
        <v>0.2965277777777778</v>
      </c>
      <c r="C2498" s="5" t="s">
        <v>40</v>
      </c>
      <c r="D2498" s="5" t="s">
        <v>717</v>
      </c>
      <c r="E2498" s="6" t="s">
        <v>200</v>
      </c>
      <c r="F2498" s="7" t="s">
        <v>201</v>
      </c>
      <c r="G2498" s="6" t="str">
        <f>VLOOKUP(E2498,dicionario!$A$1:$C2897,2,0)</f>
        <v>Columbina picui </v>
      </c>
      <c r="H2498" s="6" t="str">
        <f>VLOOKUP(E2498,dicionario!$A$1:$C2897,3,0)</f>
        <v>rolinha-picuí</v>
      </c>
    </row>
    <row r="2499">
      <c r="A2499" s="3">
        <v>45617.0</v>
      </c>
      <c r="B2499" s="46">
        <v>0.3</v>
      </c>
      <c r="C2499" s="5" t="s">
        <v>50</v>
      </c>
      <c r="D2499" s="5" t="s">
        <v>717</v>
      </c>
      <c r="E2499" s="18" t="s">
        <v>611</v>
      </c>
      <c r="F2499" s="5" t="s">
        <v>612</v>
      </c>
      <c r="G2499" s="6" t="str">
        <f>VLOOKUP(E2499,dicionario!$A$1:$C2898,2,0)</f>
        <v>Boehmeria cylindrica</v>
      </c>
      <c r="H2499" s="6" t="str">
        <f>VLOOKUP(E2499,dicionario!$A$1:$C2898,3,0)</f>
        <v>falsa-urtiga</v>
      </c>
    </row>
    <row r="2500">
      <c r="A2500" s="3">
        <v>45617.0</v>
      </c>
      <c r="B2500" s="45">
        <v>0.3</v>
      </c>
      <c r="C2500" s="5" t="s">
        <v>50</v>
      </c>
      <c r="D2500" s="5" t="s">
        <v>717</v>
      </c>
      <c r="E2500" s="6" t="s">
        <v>148</v>
      </c>
      <c r="F2500" s="7" t="s">
        <v>149</v>
      </c>
      <c r="G2500" s="6" t="str">
        <f>VLOOKUP(E2500,dicionario!$A$1:$C2899,2,0)</f>
        <v>Parthenium hysterophorus</v>
      </c>
      <c r="H2500" s="6" t="str">
        <f>VLOOKUP(E2500,dicionario!$A$1:$C2899,3,0)</f>
        <v>losna-branca</v>
      </c>
    </row>
    <row r="2501">
      <c r="A2501" s="3">
        <v>45617.0</v>
      </c>
      <c r="B2501" s="45">
        <v>0.3</v>
      </c>
      <c r="C2501" s="5" t="s">
        <v>50</v>
      </c>
      <c r="D2501" s="5" t="s">
        <v>717</v>
      </c>
      <c r="E2501" s="6" t="s">
        <v>247</v>
      </c>
      <c r="F2501" s="7" t="s">
        <v>387</v>
      </c>
      <c r="G2501" s="6" t="str">
        <f>VLOOKUP(E2501,dicionario!$A$1:$C2900,2,0)</f>
        <v>Emilia sonchifolia</v>
      </c>
      <c r="H2501" s="6" t="str">
        <f>VLOOKUP(E2501,dicionario!$A$1:$C2900,3,0)</f>
        <v>serralinha</v>
      </c>
    </row>
    <row r="2502">
      <c r="A2502" s="3">
        <v>45617.0</v>
      </c>
      <c r="B2502" s="45">
        <v>0.3</v>
      </c>
      <c r="C2502" s="5" t="s">
        <v>50</v>
      </c>
      <c r="D2502" s="5" t="s">
        <v>717</v>
      </c>
      <c r="E2502" s="6" t="s">
        <v>353</v>
      </c>
      <c r="F2502" s="7" t="s">
        <v>354</v>
      </c>
      <c r="G2502" s="6" t="str">
        <f>VLOOKUP(E2502,dicionario!$A$1:$C2901,2,0)</f>
        <v>Desmodium incanum</v>
      </c>
      <c r="H2502" s="6" t="str">
        <f>VLOOKUP(E2502,dicionario!$A$1:$C2901,3,0)</f>
        <v>pega-pega</v>
      </c>
    </row>
    <row r="2503">
      <c r="A2503" s="3">
        <v>45617.0</v>
      </c>
      <c r="B2503" s="45">
        <v>0.30069444444444443</v>
      </c>
      <c r="C2503" s="5" t="s">
        <v>50</v>
      </c>
      <c r="D2503" s="5" t="s">
        <v>717</v>
      </c>
      <c r="E2503" s="6" t="s">
        <v>471</v>
      </c>
      <c r="F2503" s="7" t="s">
        <v>472</v>
      </c>
      <c r="G2503" s="6" t="str">
        <f>VLOOKUP(E2503,dicionario!$A$1:$C2902,2,0)</f>
        <v>Sida acuta</v>
      </c>
      <c r="H2503" s="6" t="str">
        <f>VLOOKUP(E2503,dicionario!$A$1:$C2902,3,0)</f>
        <v>reloginho</v>
      </c>
    </row>
    <row r="2504">
      <c r="A2504" s="3">
        <v>45617.0</v>
      </c>
      <c r="B2504" s="45">
        <v>0.30069444444444443</v>
      </c>
      <c r="C2504" s="5" t="s">
        <v>50</v>
      </c>
      <c r="D2504" s="5" t="s">
        <v>717</v>
      </c>
      <c r="E2504" s="6" t="s">
        <v>267</v>
      </c>
      <c r="F2504" s="7" t="s">
        <v>553</v>
      </c>
      <c r="G2504" s="6" t="str">
        <f>VLOOKUP(E2504,dicionario!$A$1:$C2903,2,0)</f>
        <v>Solanum americanum</v>
      </c>
      <c r="H2504" s="6" t="str">
        <f>VLOOKUP(E2504,dicionario!$A$1:$C2903,3,0)</f>
        <v>maria-pretinha</v>
      </c>
    </row>
    <row r="2505">
      <c r="A2505" s="3">
        <v>45617.0</v>
      </c>
      <c r="B2505" s="45">
        <v>0.30069444444444443</v>
      </c>
      <c r="C2505" s="5" t="s">
        <v>50</v>
      </c>
      <c r="D2505" s="5" t="s">
        <v>717</v>
      </c>
      <c r="E2505" s="6" t="s">
        <v>69</v>
      </c>
      <c r="F2505" s="7" t="s">
        <v>71</v>
      </c>
      <c r="G2505" s="6" t="str">
        <f>VLOOKUP(E2505,dicionario!$A$1:$C2904,2,0)</f>
        <v>Talinum fruticosum</v>
      </c>
      <c r="H2505" s="6" t="str">
        <f>VLOOKUP(E2505,dicionario!$A$1:$C2904,3,0)</f>
        <v>beldroega-grande</v>
      </c>
    </row>
    <row r="2506">
      <c r="A2506" s="3">
        <v>45617.0</v>
      </c>
      <c r="B2506" s="46">
        <v>0.3013888888888889</v>
      </c>
      <c r="C2506" s="5" t="s">
        <v>50</v>
      </c>
      <c r="D2506" s="5" t="s">
        <v>717</v>
      </c>
      <c r="E2506" s="8" t="s">
        <v>375</v>
      </c>
      <c r="F2506" s="5" t="s">
        <v>35</v>
      </c>
      <c r="G2506" s="6" t="str">
        <f>VLOOKUP(E2506,dicionario!$A$1:$C2905,2,0)</f>
        <v>Neoponera foetida</v>
      </c>
      <c r="H2506" s="6" t="str">
        <f>VLOOKUP(E2506,dicionario!$A$1:$C2905,3,0)</f>
        <v/>
      </c>
    </row>
    <row r="2507">
      <c r="A2507" s="3">
        <v>45617.0</v>
      </c>
      <c r="B2507" s="45">
        <v>0.3013888888888889</v>
      </c>
      <c r="C2507" s="5" t="s">
        <v>50</v>
      </c>
      <c r="D2507" s="5" t="s">
        <v>717</v>
      </c>
      <c r="E2507" s="8" t="s">
        <v>579</v>
      </c>
      <c r="F2507" s="7" t="s">
        <v>729</v>
      </c>
      <c r="G2507" s="6" t="str">
        <f>VLOOKUP(E2507,dicionario!$A$1:$C2906,2,0)</f>
        <v>Piper tuberculatum</v>
      </c>
      <c r="H2507" s="6" t="str">
        <f>VLOOKUP(E2507,dicionario!$A$1:$C2906,3,0)</f>
        <v/>
      </c>
    </row>
    <row r="2508">
      <c r="A2508" s="3">
        <v>45617.0</v>
      </c>
      <c r="B2508" s="45">
        <v>0.3013888888888889</v>
      </c>
      <c r="C2508" s="5" t="s">
        <v>50</v>
      </c>
      <c r="D2508" s="5" t="s">
        <v>717</v>
      </c>
      <c r="E2508" s="6" t="s">
        <v>288</v>
      </c>
      <c r="F2508" s="7" t="s">
        <v>289</v>
      </c>
      <c r="G2508" s="6" t="str">
        <f>VLOOKUP(E2508,dicionario!$A$1:$C2907,2,0)</f>
        <v>Phyllanthus tenellus</v>
      </c>
      <c r="H2508" s="6" t="str">
        <f>VLOOKUP(E2508,dicionario!$A$1:$C2907,3,0)</f>
        <v>quebra-pedra</v>
      </c>
    </row>
    <row r="2509">
      <c r="A2509" s="3">
        <v>45617.0</v>
      </c>
      <c r="B2509" s="45">
        <v>0.3013888888888889</v>
      </c>
      <c r="C2509" s="5" t="s">
        <v>50</v>
      </c>
      <c r="D2509" s="5" t="s">
        <v>717</v>
      </c>
      <c r="E2509" s="6" t="s">
        <v>181</v>
      </c>
      <c r="F2509" s="7" t="s">
        <v>182</v>
      </c>
      <c r="G2509" s="6" t="str">
        <f>VLOOKUP(E2509,dicionario!$A$1:$C2908,2,0)</f>
        <v>#N/A</v>
      </c>
      <c r="H2509" s="6" t="str">
        <f>VLOOKUP(E2509,dicionario!$A$1:$C2908,3,0)</f>
        <v>#N/A</v>
      </c>
    </row>
    <row r="2510">
      <c r="A2510" s="3">
        <v>45617.0</v>
      </c>
      <c r="B2510" s="45">
        <v>0.3013888888888889</v>
      </c>
      <c r="C2510" s="5" t="s">
        <v>50</v>
      </c>
      <c r="D2510" s="5" t="s">
        <v>717</v>
      </c>
      <c r="E2510" s="6" t="s">
        <v>65</v>
      </c>
      <c r="F2510" s="7" t="s">
        <v>66</v>
      </c>
      <c r="G2510" s="6" t="str">
        <f>VLOOKUP(E2510,dicionario!$A$1:$C2909,2,0)</f>
        <v>Pitangus sulphutarus</v>
      </c>
      <c r="H2510" s="6" t="str">
        <f>VLOOKUP(E2510,dicionario!$A$1:$C2909,3,0)</f>
        <v>bem-te-vi</v>
      </c>
    </row>
    <row r="2511">
      <c r="A2511" s="3">
        <v>45617.0</v>
      </c>
      <c r="B2511" s="46">
        <v>0.3020833333333333</v>
      </c>
      <c r="C2511" s="5" t="s">
        <v>50</v>
      </c>
      <c r="D2511" s="5" t="s">
        <v>717</v>
      </c>
      <c r="E2511" s="6" t="s">
        <v>225</v>
      </c>
      <c r="F2511" s="7" t="s">
        <v>226</v>
      </c>
      <c r="G2511" s="6" t="str">
        <f>VLOOKUP(E2511,dicionario!$A$1:$C2910,2,0)</f>
        <v>Passer domesticus</v>
      </c>
      <c r="H2511" s="6" t="str">
        <f>VLOOKUP(E2511,dicionario!$A$1:$C2910,3,0)</f>
        <v>pardal</v>
      </c>
    </row>
    <row r="2512">
      <c r="A2512" s="3">
        <v>45617.0</v>
      </c>
      <c r="B2512" s="45">
        <v>0.3020833333333333</v>
      </c>
      <c r="C2512" s="5" t="s">
        <v>50</v>
      </c>
      <c r="D2512" s="5" t="s">
        <v>717</v>
      </c>
      <c r="E2512" s="6" t="s">
        <v>113</v>
      </c>
      <c r="F2512" s="7" t="s">
        <v>114</v>
      </c>
      <c r="G2512" s="6" t="str">
        <f>VLOOKUP(E2512,dicionario!$A$1:$C2911,2,0)</f>
        <v>Columbina talpacoti</v>
      </c>
      <c r="H2512" s="6" t="str">
        <f>VLOOKUP(E2512,dicionario!$A$1:$C2911,3,0)</f>
        <v>rolinha-roxa</v>
      </c>
    </row>
    <row r="2513">
      <c r="A2513" s="3">
        <v>45617.0</v>
      </c>
      <c r="B2513" s="45">
        <v>0.3020833333333333</v>
      </c>
      <c r="C2513" s="5" t="s">
        <v>50</v>
      </c>
      <c r="D2513" s="5" t="s">
        <v>717</v>
      </c>
      <c r="E2513" s="6" t="s">
        <v>99</v>
      </c>
      <c r="F2513" s="7" t="s">
        <v>508</v>
      </c>
      <c r="G2513" s="6" t="str">
        <f>VLOOKUP(E2513,dicionario!$A$1:$C2912,2,0)</f>
        <v>Molothrus bonariensis</v>
      </c>
      <c r="H2513" s="6" t="str">
        <f>VLOOKUP(E2513,dicionario!$A$1:$C2912,3,0)</f>
        <v>chupim</v>
      </c>
    </row>
    <row r="2514">
      <c r="A2514" s="3">
        <v>45617.0</v>
      </c>
      <c r="B2514" s="45">
        <v>0.3020833333333333</v>
      </c>
      <c r="C2514" s="5" t="s">
        <v>50</v>
      </c>
      <c r="D2514" s="5" t="s">
        <v>717</v>
      </c>
      <c r="E2514" s="6" t="s">
        <v>425</v>
      </c>
      <c r="F2514" s="7" t="s">
        <v>426</v>
      </c>
      <c r="G2514" s="6" t="str">
        <f>VLOOKUP(E2514,dicionario!$A$1:$C2913,2,0)</f>
        <v>Digitaria insularis</v>
      </c>
      <c r="H2514" s="6" t="str">
        <f>VLOOKUP(E2514,dicionario!$A$1:$C2913,3,0)</f>
        <v>capim-amargoso</v>
      </c>
    </row>
    <row r="2515">
      <c r="A2515" s="3">
        <v>45617.0</v>
      </c>
      <c r="B2515" s="46">
        <v>0.30277777777777776</v>
      </c>
      <c r="C2515" s="5" t="s">
        <v>50</v>
      </c>
      <c r="D2515" s="5" t="s">
        <v>717</v>
      </c>
      <c r="E2515" s="6" t="s">
        <v>338</v>
      </c>
      <c r="F2515" s="7" t="s">
        <v>238</v>
      </c>
      <c r="G2515" s="6" t="str">
        <f>VLOOKUP(E2515,dicionario!$A$1:$C2914,2,0)</f>
        <v>Atta</v>
      </c>
      <c r="H2515" s="6" t="str">
        <f>VLOOKUP(E2515,dicionario!$A$1:$C2914,3,0)</f>
        <v>saúva</v>
      </c>
    </row>
    <row r="2516">
      <c r="A2516" s="3">
        <v>45617.0</v>
      </c>
      <c r="B2516" s="45">
        <v>0.30277777777777776</v>
      </c>
      <c r="C2516" s="5" t="s">
        <v>50</v>
      </c>
      <c r="D2516" s="5" t="s">
        <v>717</v>
      </c>
      <c r="E2516" s="20" t="s">
        <v>676</v>
      </c>
      <c r="F2516" s="7" t="s">
        <v>677</v>
      </c>
      <c r="G2516" s="6" t="str">
        <f>VLOOKUP(E2516,dicionario!$A$1:$C2915,2,0)</f>
        <v>Zornia latifolia</v>
      </c>
      <c r="H2516" s="6" t="str">
        <f>VLOOKUP(E2516,dicionario!$A$1:$C2915,3,0)</f>
        <v>arrozinho-do-campo</v>
      </c>
    </row>
    <row r="2517">
      <c r="A2517" s="3">
        <v>45617.0</v>
      </c>
      <c r="B2517" s="45">
        <v>0.30277777777777776</v>
      </c>
      <c r="C2517" s="5" t="s">
        <v>50</v>
      </c>
      <c r="D2517" s="5" t="s">
        <v>717</v>
      </c>
      <c r="E2517" s="6" t="s">
        <v>53</v>
      </c>
      <c r="F2517" s="7" t="s">
        <v>54</v>
      </c>
      <c r="G2517" s="6" t="str">
        <f>VLOOKUP(E2517,dicionario!$A$1:$C2916,2,0)</f>
        <v>Turnera subulata</v>
      </c>
      <c r="H2517" s="6" t="str">
        <f>VLOOKUP(E2517,dicionario!$A$1:$C2916,3,0)</f>
        <v>xanana</v>
      </c>
    </row>
    <row r="2518">
      <c r="A2518" s="3">
        <v>45617.0</v>
      </c>
      <c r="B2518" s="46">
        <v>0.30416666666666664</v>
      </c>
      <c r="C2518" s="5" t="s">
        <v>50</v>
      </c>
      <c r="D2518" s="5" t="s">
        <v>717</v>
      </c>
      <c r="E2518" s="6" t="s">
        <v>286</v>
      </c>
      <c r="F2518" s="7" t="s">
        <v>287</v>
      </c>
      <c r="G2518" s="6" t="str">
        <f>VLOOKUP(E2518,dicionario!$A$1:$C2917,2,0)</f>
        <v>Setaria parviflora</v>
      </c>
      <c r="H2518" s="6" t="str">
        <f>VLOOKUP(E2518,dicionario!$A$1:$C2917,3,0)</f>
        <v>capim-rabo-de-raposa</v>
      </c>
    </row>
    <row r="2519">
      <c r="A2519" s="3">
        <v>45617.0</v>
      </c>
      <c r="B2519" s="45">
        <v>0.30416666666666664</v>
      </c>
      <c r="C2519" s="5" t="s">
        <v>50</v>
      </c>
      <c r="D2519" s="5" t="s">
        <v>717</v>
      </c>
      <c r="E2519" s="6" t="s">
        <v>483</v>
      </c>
      <c r="F2519" s="5" t="s">
        <v>484</v>
      </c>
      <c r="G2519" s="6" t="str">
        <f>VLOOKUP(E2519,dicionario!$A$1:$C2918,2,0)</f>
        <v>Euphorbia prostrata</v>
      </c>
      <c r="H2519" s="6" t="str">
        <f>VLOOKUP(E2519,dicionario!$A$1:$C2918,3,0)</f>
        <v>quebra-pedra-rasteira</v>
      </c>
    </row>
    <row r="2520">
      <c r="A2520" s="3">
        <v>45617.0</v>
      </c>
      <c r="B2520" s="45">
        <v>0.30416666666666664</v>
      </c>
      <c r="C2520" s="5" t="s">
        <v>50</v>
      </c>
      <c r="D2520" s="5" t="s">
        <v>717</v>
      </c>
      <c r="E2520" s="6" t="s">
        <v>467</v>
      </c>
      <c r="F2520" s="7" t="s">
        <v>468</v>
      </c>
      <c r="G2520" s="6" t="str">
        <f>VLOOKUP(E2520,dicionario!$A$1:$C2919,2,0)</f>
        <v>Eleusine indica</v>
      </c>
      <c r="H2520" s="6" t="str">
        <f>VLOOKUP(E2520,dicionario!$A$1:$C2919,3,0)</f>
        <v>capim-pé-de-galinha</v>
      </c>
    </row>
    <row r="2521">
      <c r="A2521" s="3">
        <v>45617.0</v>
      </c>
      <c r="B2521" s="45">
        <v>0.30416666666666664</v>
      </c>
      <c r="C2521" s="5" t="s">
        <v>50</v>
      </c>
      <c r="D2521" s="5" t="s">
        <v>717</v>
      </c>
      <c r="E2521" s="6" t="s">
        <v>239</v>
      </c>
      <c r="F2521" s="7" t="s">
        <v>240</v>
      </c>
      <c r="G2521" s="6" t="str">
        <f>VLOOKUP(E2521,dicionario!$A$1:$C2920,2,0)</f>
        <v>Gomphrena celosioides</v>
      </c>
      <c r="H2521" s="6" t="str">
        <f>VLOOKUP(E2521,dicionario!$A$1:$C2920,3,0)</f>
        <v>perpétua-branca</v>
      </c>
    </row>
    <row r="2522">
      <c r="A2522" s="3">
        <v>45617.0</v>
      </c>
      <c r="B2522" s="45">
        <v>0.30416666666666664</v>
      </c>
      <c r="C2522" s="5" t="s">
        <v>50</v>
      </c>
      <c r="D2522" s="5" t="s">
        <v>717</v>
      </c>
      <c r="E2522" s="6" t="s">
        <v>55</v>
      </c>
      <c r="F2522" s="5" t="s">
        <v>621</v>
      </c>
      <c r="G2522" s="6" t="str">
        <f>VLOOKUP(E2522,dicionario!$A$1:$C2921,2,0)</f>
        <v>Cubaris murina</v>
      </c>
      <c r="H2522" s="6" t="str">
        <f>VLOOKUP(E2522,dicionario!$A$1:$C2921,3,0)</f>
        <v>tatuzinho-de-jardim</v>
      </c>
    </row>
    <row r="2523">
      <c r="A2523" s="3">
        <v>45617.0</v>
      </c>
      <c r="B2523" s="45">
        <v>0.30416666666666664</v>
      </c>
      <c r="C2523" s="5" t="s">
        <v>50</v>
      </c>
      <c r="D2523" s="5" t="s">
        <v>717</v>
      </c>
      <c r="E2523" s="8" t="s">
        <v>730</v>
      </c>
      <c r="F2523" s="7" t="s">
        <v>731</v>
      </c>
      <c r="G2523" s="6" t="str">
        <f>VLOOKUP(E2523,dicionario!$A$1:$C2922,2,0)</f>
        <v>#N/A</v>
      </c>
      <c r="H2523" s="6" t="str">
        <f>VLOOKUP(E2523,dicionario!$A$1:$C2922,3,0)</f>
        <v>#N/A</v>
      </c>
    </row>
    <row r="2524">
      <c r="A2524" s="3">
        <v>45617.0</v>
      </c>
      <c r="B2524" s="46">
        <v>0.3055555555555556</v>
      </c>
      <c r="C2524" s="5" t="s">
        <v>50</v>
      </c>
      <c r="D2524" s="5" t="s">
        <v>717</v>
      </c>
      <c r="E2524" s="6" t="s">
        <v>150</v>
      </c>
      <c r="F2524" s="7" t="s">
        <v>151</v>
      </c>
      <c r="G2524" s="6" t="str">
        <f>VLOOKUP(E2524,dicionario!$A$1:$C2923,2,0)</f>
        <v>Amaranthus viridis</v>
      </c>
      <c r="H2524" s="6" t="str">
        <f>VLOOKUP(E2524,dicionario!$A$1:$C2923,3,0)</f>
        <v>caruru-de-mancha</v>
      </c>
    </row>
    <row r="2525">
      <c r="A2525" s="3">
        <v>45617.0</v>
      </c>
      <c r="B2525" s="46">
        <v>0.3055555555555556</v>
      </c>
      <c r="C2525" s="5" t="s">
        <v>50</v>
      </c>
      <c r="D2525" s="5" t="s">
        <v>717</v>
      </c>
      <c r="E2525" s="29" t="s">
        <v>566</v>
      </c>
      <c r="F2525" s="7" t="s">
        <v>567</v>
      </c>
      <c r="G2525" s="6" t="str">
        <f>VLOOKUP(E2525,dicionario!$A$1:$C2924,2,0)</f>
        <v>Baccharis dracunculifolia</v>
      </c>
      <c r="H2525" s="6" t="str">
        <f>VLOOKUP(E2525,dicionario!$A$1:$C2924,3,0)</f>
        <v>vassoura</v>
      </c>
    </row>
    <row r="2526">
      <c r="A2526" s="3">
        <v>45617.0</v>
      </c>
      <c r="B2526" s="45">
        <v>0.3055555555555556</v>
      </c>
      <c r="C2526" s="5" t="s">
        <v>50</v>
      </c>
      <c r="D2526" s="5" t="s">
        <v>717</v>
      </c>
      <c r="E2526" s="6" t="s">
        <v>532</v>
      </c>
      <c r="F2526" s="7" t="s">
        <v>533</v>
      </c>
      <c r="G2526" s="6" t="str">
        <f>VLOOKUP(E2526,dicionario!$A$1:$C2925,2,0)</f>
        <v>Euphorbia heterophylla</v>
      </c>
      <c r="H2526" s="6" t="str">
        <f>VLOOKUP(E2526,dicionario!$A$1:$C2925,3,0)</f>
        <v>amendoim-bravo</v>
      </c>
    </row>
    <row r="2527">
      <c r="A2527" s="3">
        <v>45617.0</v>
      </c>
      <c r="B2527" s="45">
        <v>0.3055555555555556</v>
      </c>
      <c r="C2527" s="5" t="s">
        <v>50</v>
      </c>
      <c r="D2527" s="5" t="s">
        <v>717</v>
      </c>
      <c r="E2527" s="6" t="s">
        <v>48</v>
      </c>
      <c r="F2527" s="7" t="s">
        <v>49</v>
      </c>
      <c r="G2527" s="6" t="str">
        <f>VLOOKUP(E2527,dicionario!$A$1:$C2926,2,0)</f>
        <v>Commelina erecta</v>
      </c>
      <c r="H2527" s="6" t="str">
        <f>VLOOKUP(E2527,dicionario!$A$1:$C2926,3,0)</f>
        <v>trapoeraba</v>
      </c>
    </row>
    <row r="2528">
      <c r="A2528" s="3">
        <v>45617.0</v>
      </c>
      <c r="B2528" s="45">
        <v>0.3055555555555556</v>
      </c>
      <c r="C2528" s="5" t="s">
        <v>50</v>
      </c>
      <c r="D2528" s="5" t="s">
        <v>717</v>
      </c>
      <c r="E2528" s="6" t="s">
        <v>135</v>
      </c>
      <c r="F2528" s="7" t="s">
        <v>136</v>
      </c>
      <c r="G2528" s="6" t="str">
        <f>VLOOKUP(E2528,dicionario!$A$1:$C2927,2,0)</f>
        <v>Tridax procumbens</v>
      </c>
      <c r="H2528" s="6" t="str">
        <f>VLOOKUP(E2528,dicionario!$A$1:$C2927,3,0)</f>
        <v>erva-de-touro</v>
      </c>
    </row>
    <row r="2529">
      <c r="A2529" s="3">
        <v>45617.0</v>
      </c>
      <c r="B2529" s="4">
        <v>0.30625</v>
      </c>
      <c r="C2529" s="5" t="s">
        <v>50</v>
      </c>
      <c r="D2529" s="5" t="s">
        <v>717</v>
      </c>
      <c r="E2529" s="6" t="s">
        <v>732</v>
      </c>
      <c r="F2529" s="7" t="s">
        <v>732</v>
      </c>
      <c r="G2529" s="6" t="str">
        <f>VLOOKUP(E2529,dicionario!$A$1:$C2928,2,0)</f>
        <v>#N/A</v>
      </c>
      <c r="H2529" s="6" t="str">
        <f>VLOOKUP(E2529,dicionario!$A$1:$C2928,3,0)</f>
        <v>#N/A</v>
      </c>
    </row>
    <row r="2530">
      <c r="A2530" s="3">
        <v>45617.0</v>
      </c>
      <c r="B2530" s="4">
        <v>0.30625</v>
      </c>
      <c r="C2530" s="5" t="s">
        <v>50</v>
      </c>
      <c r="D2530" s="5" t="s">
        <v>717</v>
      </c>
      <c r="E2530" s="6" t="s">
        <v>227</v>
      </c>
      <c r="F2530" s="7" t="s">
        <v>733</v>
      </c>
      <c r="G2530" s="6" t="str">
        <f>VLOOKUP(E2530,dicionario!$A$1:$C2929,2,0)</f>
        <v>Indigofera hirsuta</v>
      </c>
      <c r="H2530" s="6" t="str">
        <f>VLOOKUP(E2530,dicionario!$A$1:$C2929,3,0)</f>
        <v>anileira</v>
      </c>
    </row>
    <row r="2531">
      <c r="A2531" s="3">
        <v>45617.0</v>
      </c>
      <c r="B2531" s="4">
        <v>0.30625</v>
      </c>
      <c r="C2531" s="5" t="s">
        <v>50</v>
      </c>
      <c r="D2531" s="5" t="s">
        <v>717</v>
      </c>
      <c r="E2531" s="6" t="s">
        <v>355</v>
      </c>
      <c r="F2531" s="7" t="s">
        <v>356</v>
      </c>
      <c r="G2531" s="6" t="str">
        <f>VLOOKUP(E2531,dicionario!$A$1:$C2930,2,0)</f>
        <v>Boerhavia diffusa</v>
      </c>
      <c r="H2531" s="6" t="str">
        <f>VLOOKUP(E2531,dicionario!$A$1:$C2930,3,0)</f>
        <v>erva-tostão</v>
      </c>
    </row>
    <row r="2532">
      <c r="A2532" s="3">
        <v>45617.0</v>
      </c>
      <c r="B2532" s="4">
        <v>0.30625</v>
      </c>
      <c r="C2532" s="5" t="s">
        <v>50</v>
      </c>
      <c r="D2532" s="5" t="s">
        <v>717</v>
      </c>
      <c r="E2532" s="8" t="s">
        <v>195</v>
      </c>
      <c r="F2532" s="7" t="s">
        <v>196</v>
      </c>
      <c r="G2532" s="6" t="str">
        <f>VLOOKUP(E2532,dicionario!$A$1:$C2931,2,0)</f>
        <v>Priva lappulacea</v>
      </c>
      <c r="H2532" s="6" t="str">
        <f>VLOOKUP(E2532,dicionario!$A$1:$C2931,3,0)</f>
        <v>carrapicho</v>
      </c>
    </row>
    <row r="2533">
      <c r="A2533" s="3">
        <v>45617.0</v>
      </c>
      <c r="B2533" s="4">
        <v>0.30625</v>
      </c>
      <c r="C2533" s="5" t="s">
        <v>50</v>
      </c>
      <c r="D2533" s="5" t="s">
        <v>717</v>
      </c>
      <c r="E2533" s="6" t="s">
        <v>57</v>
      </c>
      <c r="F2533" s="7" t="s">
        <v>559</v>
      </c>
      <c r="G2533" s="6" t="str">
        <f>VLOOKUP(E2533,dicionario!$A$1:$C2932,2,0)</f>
        <v>Juliformia</v>
      </c>
      <c r="H2533" s="6" t="str">
        <f>VLOOKUP(E2533,dicionario!$A$1:$C2932,3,0)</f>
        <v>gongolo; maria-café</v>
      </c>
    </row>
    <row r="2534">
      <c r="A2534" s="3">
        <v>45617.0</v>
      </c>
      <c r="B2534" s="4">
        <v>0.30625</v>
      </c>
      <c r="C2534" s="5" t="s">
        <v>50</v>
      </c>
      <c r="D2534" s="5" t="s">
        <v>717</v>
      </c>
      <c r="E2534" s="8" t="s">
        <v>548</v>
      </c>
      <c r="F2534" s="7" t="s">
        <v>549</v>
      </c>
      <c r="G2534" s="6" t="str">
        <f>VLOOKUP(E2534,dicionario!$A$1:$C2933,2,0)</f>
        <v>Ricinus communis</v>
      </c>
      <c r="H2534" s="6" t="str">
        <f>VLOOKUP(E2534,dicionario!$A$1:$C2933,3,0)</f>
        <v>mamona</v>
      </c>
    </row>
    <row r="2535">
      <c r="A2535" s="3">
        <v>45617.0</v>
      </c>
      <c r="B2535" s="4">
        <v>0.30625</v>
      </c>
      <c r="C2535" s="5" t="s">
        <v>50</v>
      </c>
      <c r="D2535" s="5" t="s">
        <v>717</v>
      </c>
      <c r="E2535" s="6" t="s">
        <v>613</v>
      </c>
      <c r="F2535" s="7" t="s">
        <v>614</v>
      </c>
      <c r="G2535" s="6" t="str">
        <f>VLOOKUP(E2535,dicionario!$A$1:$C2934,2,0)</f>
        <v>Euphorbia hyssopifolia</v>
      </c>
      <c r="H2535" s="6" t="str">
        <f>VLOOKUP(E2535,dicionario!$A$1:$C2934,3,0)</f>
        <v>maria-leite</v>
      </c>
    </row>
    <row r="2536">
      <c r="A2536" s="3">
        <v>45617.0</v>
      </c>
      <c r="B2536" s="4">
        <v>0.30625</v>
      </c>
      <c r="C2536" s="5" t="s">
        <v>50</v>
      </c>
      <c r="D2536" s="5" t="s">
        <v>717</v>
      </c>
      <c r="E2536" s="6" t="s">
        <v>146</v>
      </c>
      <c r="F2536" s="7" t="s">
        <v>147</v>
      </c>
      <c r="G2536" s="6" t="str">
        <f>VLOOKUP(E2536,dicionario!$A$1:$C2935,2,0)</f>
        <v>Euphorbia hirta</v>
      </c>
      <c r="H2536" s="6" t="str">
        <f>VLOOKUP(E2536,dicionario!$A$1:$C2935,3,0)</f>
        <v>erva-de-santa-luzia</v>
      </c>
    </row>
    <row r="2537">
      <c r="A2537" s="3">
        <v>45617.0</v>
      </c>
      <c r="B2537" s="4">
        <v>0.30694444444444446</v>
      </c>
      <c r="C2537" s="5" t="s">
        <v>50</v>
      </c>
      <c r="D2537" s="5" t="s">
        <v>717</v>
      </c>
      <c r="E2537" s="8" t="s">
        <v>734</v>
      </c>
      <c r="F2537" s="7" t="s">
        <v>234</v>
      </c>
      <c r="G2537" s="6" t="str">
        <f>VLOOKUP(E2537,dicionario!$A$1:$C2936,2,0)</f>
        <v>#N/A</v>
      </c>
      <c r="H2537" s="6" t="str">
        <f>VLOOKUP(E2537,dicionario!$A$1:$C2936,3,0)</f>
        <v>#N/A</v>
      </c>
    </row>
    <row r="2538">
      <c r="A2538" s="3">
        <v>45617.0</v>
      </c>
      <c r="B2538" s="4">
        <v>0.30833333333333335</v>
      </c>
      <c r="C2538" s="5" t="s">
        <v>59</v>
      </c>
      <c r="D2538" s="5" t="s">
        <v>717</v>
      </c>
      <c r="E2538" s="6" t="s">
        <v>53</v>
      </c>
      <c r="F2538" s="7" t="s">
        <v>54</v>
      </c>
      <c r="G2538" s="6" t="str">
        <f>VLOOKUP(E2538,dicionario!$A$1:$C2937,2,0)</f>
        <v>Turnera subulata</v>
      </c>
      <c r="H2538" s="6" t="str">
        <f>VLOOKUP(E2538,dicionario!$A$1:$C2937,3,0)</f>
        <v>xanana</v>
      </c>
    </row>
    <row r="2539">
      <c r="A2539" s="3">
        <v>45617.0</v>
      </c>
      <c r="B2539" s="4">
        <v>0.30833333333333335</v>
      </c>
      <c r="C2539" s="5" t="s">
        <v>59</v>
      </c>
      <c r="D2539" s="5" t="s">
        <v>717</v>
      </c>
      <c r="E2539" s="6" t="s">
        <v>88</v>
      </c>
      <c r="F2539" s="7" t="s">
        <v>89</v>
      </c>
      <c r="G2539" s="6" t="str">
        <f>VLOOKUP(E2539,dicionario!$A$1:$C2938,2,0)</f>
        <v>Tyrannus melancolichus</v>
      </c>
      <c r="H2539" s="6" t="str">
        <f>VLOOKUP(E2539,dicionario!$A$1:$C2938,3,0)</f>
        <v>suiriri</v>
      </c>
    </row>
    <row r="2540">
      <c r="A2540" s="3">
        <v>45617.0</v>
      </c>
      <c r="B2540" s="4">
        <v>0.30833333333333335</v>
      </c>
      <c r="C2540" s="5" t="s">
        <v>59</v>
      </c>
      <c r="D2540" s="5" t="s">
        <v>717</v>
      </c>
      <c r="E2540" s="6" t="s">
        <v>613</v>
      </c>
      <c r="F2540" s="7" t="s">
        <v>614</v>
      </c>
      <c r="G2540" s="6" t="str">
        <f>VLOOKUP(E2540,dicionario!$A$1:$C2939,2,0)</f>
        <v>Euphorbia hyssopifolia</v>
      </c>
      <c r="H2540" s="6" t="str">
        <f>VLOOKUP(E2540,dicionario!$A$1:$C2939,3,0)</f>
        <v>maria-leite</v>
      </c>
    </row>
    <row r="2541">
      <c r="A2541" s="3">
        <v>45617.0</v>
      </c>
      <c r="B2541" s="4">
        <v>0.30833333333333335</v>
      </c>
      <c r="C2541" s="5" t="s">
        <v>59</v>
      </c>
      <c r="D2541" s="5" t="s">
        <v>717</v>
      </c>
      <c r="E2541" s="6" t="s">
        <v>146</v>
      </c>
      <c r="F2541" s="7" t="s">
        <v>147</v>
      </c>
      <c r="G2541" s="6" t="str">
        <f>VLOOKUP(E2541,dicionario!$A$1:$C2940,2,0)</f>
        <v>Euphorbia hirta</v>
      </c>
      <c r="H2541" s="6" t="str">
        <f>VLOOKUP(E2541,dicionario!$A$1:$C2940,3,0)</f>
        <v>erva-de-santa-luzia</v>
      </c>
    </row>
    <row r="2542">
      <c r="A2542" s="49">
        <v>45617.0</v>
      </c>
      <c r="B2542" s="4">
        <v>0.30833333333333335</v>
      </c>
      <c r="C2542" s="5" t="s">
        <v>59</v>
      </c>
      <c r="D2542" s="5" t="s">
        <v>717</v>
      </c>
      <c r="E2542" s="6" t="s">
        <v>200</v>
      </c>
      <c r="F2542" s="7" t="s">
        <v>201</v>
      </c>
      <c r="G2542" s="6" t="str">
        <f>VLOOKUP(E2542,dicionario!$A$1:$C2941,2,0)</f>
        <v>Columbina picui </v>
      </c>
      <c r="H2542" s="6" t="str">
        <f>VLOOKUP(E2542,dicionario!$A$1:$C2941,3,0)</f>
        <v>rolinha-picuí</v>
      </c>
    </row>
    <row r="2543">
      <c r="A2543" s="3">
        <v>45617.0</v>
      </c>
      <c r="B2543" s="4">
        <v>0.30833333333333335</v>
      </c>
      <c r="C2543" s="5" t="s">
        <v>59</v>
      </c>
      <c r="D2543" s="5" t="s">
        <v>717</v>
      </c>
      <c r="E2543" s="6" t="s">
        <v>209</v>
      </c>
      <c r="F2543" s="7" t="s">
        <v>722</v>
      </c>
      <c r="G2543" s="6" t="str">
        <f>VLOOKUP(E2543,dicionario!$A$1:$C2942,2,0)</f>
        <v>Furnarius figulus</v>
      </c>
      <c r="H2543" s="6" t="str">
        <f>VLOOKUP(E2543,dicionario!$A$1:$C2942,3,0)</f>
        <v>casaca-de-couro-da-lama</v>
      </c>
    </row>
    <row r="2544">
      <c r="A2544" s="3">
        <v>45617.0</v>
      </c>
      <c r="B2544" s="4">
        <v>0.3090277777777778</v>
      </c>
      <c r="C2544" s="5" t="s">
        <v>59</v>
      </c>
      <c r="D2544" s="5" t="s">
        <v>717</v>
      </c>
      <c r="E2544" s="6" t="s">
        <v>31</v>
      </c>
      <c r="F2544" s="7" t="s">
        <v>735</v>
      </c>
      <c r="G2544" s="6" t="str">
        <f>VLOOKUP(E2544,dicionario!$A$1:$C2943,2,0)</f>
        <v>Furnarius rufus</v>
      </c>
      <c r="H2544" s="6" t="str">
        <f>VLOOKUP(E2544,dicionario!$A$1:$C2943,3,0)</f>
        <v>joão-de-barro</v>
      </c>
    </row>
    <row r="2545">
      <c r="A2545" s="3">
        <v>45617.0</v>
      </c>
      <c r="B2545" s="4">
        <v>0.3090277777777778</v>
      </c>
      <c r="C2545" s="5" t="s">
        <v>59</v>
      </c>
      <c r="D2545" s="5" t="s">
        <v>717</v>
      </c>
      <c r="E2545" s="6" t="s">
        <v>135</v>
      </c>
      <c r="F2545" s="7" t="s">
        <v>136</v>
      </c>
      <c r="G2545" s="6" t="str">
        <f>VLOOKUP(E2545,dicionario!$A$1:$C2944,2,0)</f>
        <v>Tridax procumbens</v>
      </c>
      <c r="H2545" s="6" t="str">
        <f>VLOOKUP(E2545,dicionario!$A$1:$C2944,3,0)</f>
        <v>erva-de-touro</v>
      </c>
    </row>
    <row r="2546">
      <c r="A2546" s="3">
        <v>45617.0</v>
      </c>
      <c r="B2546" s="4">
        <v>0.3090277777777778</v>
      </c>
      <c r="C2546" s="5" t="s">
        <v>59</v>
      </c>
      <c r="D2546" s="5" t="s">
        <v>717</v>
      </c>
      <c r="E2546" s="6" t="s">
        <v>425</v>
      </c>
      <c r="F2546" s="7" t="s">
        <v>426</v>
      </c>
      <c r="G2546" s="6" t="str">
        <f>VLOOKUP(E2546,dicionario!$A$1:$C2945,2,0)</f>
        <v>Digitaria insularis</v>
      </c>
      <c r="H2546" s="6" t="str">
        <f>VLOOKUP(E2546,dicionario!$A$1:$C2945,3,0)</f>
        <v>capim-amargoso</v>
      </c>
    </row>
    <row r="2547">
      <c r="A2547" s="3">
        <v>45617.0</v>
      </c>
      <c r="B2547" s="4">
        <v>0.3090277777777778</v>
      </c>
      <c r="C2547" s="5" t="s">
        <v>59</v>
      </c>
      <c r="D2547" s="5" t="s">
        <v>717</v>
      </c>
      <c r="E2547" s="6" t="s">
        <v>286</v>
      </c>
      <c r="F2547" s="7" t="s">
        <v>287</v>
      </c>
      <c r="G2547" s="6" t="str">
        <f>VLOOKUP(E2547,dicionario!$A$1:$C2946,2,0)</f>
        <v>Setaria parviflora</v>
      </c>
      <c r="H2547" s="6" t="str">
        <f>VLOOKUP(E2547,dicionario!$A$1:$C2946,3,0)</f>
        <v>capim-rabo-de-raposa</v>
      </c>
    </row>
    <row r="2548">
      <c r="A2548" s="3">
        <v>45617.0</v>
      </c>
      <c r="B2548" s="4">
        <v>0.3090277777777778</v>
      </c>
      <c r="C2548" s="5" t="s">
        <v>59</v>
      </c>
      <c r="D2548" s="5" t="s">
        <v>717</v>
      </c>
      <c r="E2548" s="6" t="s">
        <v>736</v>
      </c>
      <c r="F2548" s="5" t="s">
        <v>737</v>
      </c>
      <c r="G2548" s="6" t="str">
        <f>VLOOKUP(E2548,dicionario!$A$1:$C2947,2,0)</f>
        <v>Chloris virgata</v>
      </c>
      <c r="H2548" s="6" t="str">
        <f>VLOOKUP(E2548,dicionario!$A$1:$C2947,3,0)</f>
        <v>capim-pavão</v>
      </c>
    </row>
    <row r="2549">
      <c r="A2549" s="3">
        <v>45617.0</v>
      </c>
      <c r="B2549" s="4">
        <v>0.3090277777777778</v>
      </c>
      <c r="C2549" s="5" t="s">
        <v>59</v>
      </c>
      <c r="D2549" s="5" t="s">
        <v>717</v>
      </c>
      <c r="E2549" s="8" t="s">
        <v>517</v>
      </c>
      <c r="F2549" s="7" t="s">
        <v>518</v>
      </c>
      <c r="G2549" s="6" t="str">
        <f>VLOOKUP(E2549,dicionario!$A$1:$C2948,2,0)</f>
        <v>Evolvulus nummularius</v>
      </c>
      <c r="H2549" s="6" t="str">
        <f>VLOOKUP(E2549,dicionario!$A$1:$C2948,3,0)</f>
        <v/>
      </c>
    </row>
    <row r="2550">
      <c r="A2550" s="3">
        <v>45617.0</v>
      </c>
      <c r="B2550" s="4">
        <v>0.30972222222222223</v>
      </c>
      <c r="C2550" s="5" t="s">
        <v>59</v>
      </c>
      <c r="D2550" s="5" t="s">
        <v>717</v>
      </c>
      <c r="E2550" s="6" t="s">
        <v>355</v>
      </c>
      <c r="F2550" s="7" t="s">
        <v>356</v>
      </c>
      <c r="G2550" s="6" t="str">
        <f>VLOOKUP(E2550,dicionario!$A$1:$C2949,2,0)</f>
        <v>Boerhavia diffusa</v>
      </c>
      <c r="H2550" s="6" t="str">
        <f>VLOOKUP(E2550,dicionario!$A$1:$C2949,3,0)</f>
        <v>erva-tostão</v>
      </c>
    </row>
    <row r="2551">
      <c r="A2551" s="3">
        <v>45617.0</v>
      </c>
      <c r="B2551" s="4">
        <v>0.30972222222222223</v>
      </c>
      <c r="C2551" s="5" t="s">
        <v>59</v>
      </c>
      <c r="D2551" s="5" t="s">
        <v>717</v>
      </c>
      <c r="E2551" s="23" t="s">
        <v>738</v>
      </c>
      <c r="F2551" s="31"/>
      <c r="G2551" s="6" t="str">
        <f>VLOOKUP(E2551,dicionario!$A$1:$C2950,2,0)</f>
        <v>Portulaca</v>
      </c>
      <c r="H2551" s="6" t="str">
        <f>VLOOKUP(E2551,dicionario!$A$1:$C2950,3,0)</f>
        <v/>
      </c>
    </row>
    <row r="2552">
      <c r="A2552" s="3">
        <v>45617.0</v>
      </c>
      <c r="B2552" s="4">
        <v>0.30972222222222223</v>
      </c>
      <c r="C2552" s="5" t="s">
        <v>59</v>
      </c>
      <c r="D2552" s="5" t="s">
        <v>717</v>
      </c>
      <c r="E2552" s="8" t="s">
        <v>457</v>
      </c>
      <c r="F2552" s="7" t="s">
        <v>458</v>
      </c>
      <c r="G2552" s="6" t="str">
        <f>VLOOKUP(E2552,dicionario!$A$1:$C2951,2,0)</f>
        <v>Alternanthera philoxeroides</v>
      </c>
      <c r="H2552" s="6" t="str">
        <f>VLOOKUP(E2552,dicionario!$A$1:$C2951,3,0)</f>
        <v>erva-jacaré </v>
      </c>
    </row>
    <row r="2553">
      <c r="A2553" s="3">
        <v>45617.0</v>
      </c>
      <c r="B2553" s="4">
        <v>0.30972222222222223</v>
      </c>
      <c r="C2553" s="5" t="s">
        <v>59</v>
      </c>
      <c r="D2553" s="5" t="s">
        <v>717</v>
      </c>
      <c r="E2553" s="8" t="s">
        <v>298</v>
      </c>
      <c r="F2553" s="5" t="s">
        <v>739</v>
      </c>
      <c r="G2553" s="6" t="str">
        <f>VLOOKUP(E2553,dicionario!$A$1:$C2952,2,0)</f>
        <v>Alysicarpus vaginalis</v>
      </c>
      <c r="H2553" s="6" t="str">
        <f>VLOOKUP(E2553,dicionario!$A$1:$C2952,3,0)</f>
        <v/>
      </c>
    </row>
    <row r="2554">
      <c r="A2554" s="3">
        <v>45617.0</v>
      </c>
      <c r="B2554" s="4">
        <v>0.3104166666666667</v>
      </c>
      <c r="C2554" s="5" t="s">
        <v>59</v>
      </c>
      <c r="D2554" s="5" t="s">
        <v>717</v>
      </c>
      <c r="E2554" s="6" t="s">
        <v>14</v>
      </c>
      <c r="F2554" s="7" t="s">
        <v>15</v>
      </c>
      <c r="G2554" s="6" t="str">
        <f>VLOOKUP(E2554,dicionario!$A$1:$C2953,2,0)</f>
        <v>Spermacoce verticillata</v>
      </c>
      <c r="H2554" s="6" t="str">
        <f>VLOOKUP(E2554,dicionario!$A$1:$C2953,3,0)</f>
        <v>vassourinha-de-botão</v>
      </c>
    </row>
    <row r="2555">
      <c r="A2555" s="3">
        <v>45617.0</v>
      </c>
      <c r="B2555" s="4">
        <v>0.3104166666666667</v>
      </c>
      <c r="C2555" s="5" t="s">
        <v>59</v>
      </c>
      <c r="D2555" s="5" t="s">
        <v>717</v>
      </c>
      <c r="E2555" s="6" t="s">
        <v>202</v>
      </c>
      <c r="F2555" s="7" t="s">
        <v>203</v>
      </c>
      <c r="G2555" s="6" t="str">
        <f>VLOOKUP(E2555,dicionario!$A$1:$C2954,2,0)</f>
        <v>Dysdercus</v>
      </c>
      <c r="H2555" s="6" t="str">
        <f>VLOOKUP(E2555,dicionario!$A$1:$C2954,3,0)</f>
        <v>percevejo-manchador</v>
      </c>
    </row>
    <row r="2556">
      <c r="A2556" s="3">
        <v>45617.0</v>
      </c>
      <c r="B2556" s="4">
        <v>0.3104166666666667</v>
      </c>
      <c r="C2556" s="5" t="s">
        <v>59</v>
      </c>
      <c r="D2556" s="5" t="s">
        <v>717</v>
      </c>
      <c r="E2556" s="6" t="s">
        <v>109</v>
      </c>
      <c r="F2556" s="7" t="s">
        <v>110</v>
      </c>
      <c r="G2556" s="6" t="str">
        <f>VLOOKUP(E2556,dicionario!$A$1:$C2955,2,0)</f>
        <v>Tillandsia stricta</v>
      </c>
      <c r="H2556" s="6" t="str">
        <f>VLOOKUP(E2556,dicionario!$A$1:$C2955,3,0)</f>
        <v>cravo-do-mato</v>
      </c>
    </row>
    <row r="2557">
      <c r="A2557" s="3">
        <v>45617.0</v>
      </c>
      <c r="B2557" s="4">
        <v>0.3104166666666667</v>
      </c>
      <c r="C2557" s="5" t="s">
        <v>59</v>
      </c>
      <c r="D2557" s="5" t="s">
        <v>717</v>
      </c>
      <c r="E2557" s="6" t="s">
        <v>193</v>
      </c>
      <c r="F2557" s="7" t="s">
        <v>194</v>
      </c>
      <c r="G2557" s="6" t="str">
        <f>VLOOKUP(E2557,dicionario!$A$1:$C2956,2,0)</f>
        <v>Conirostrum speciosum</v>
      </c>
      <c r="H2557" s="6" t="str">
        <f>VLOOKUP(E2557,dicionario!$A$1:$C2956,3,0)</f>
        <v>figuinha-de-rabo-castanho</v>
      </c>
    </row>
    <row r="2558">
      <c r="A2558" s="3">
        <v>45617.0</v>
      </c>
      <c r="B2558" s="4">
        <v>0.3104166666666667</v>
      </c>
      <c r="C2558" s="5" t="s">
        <v>59</v>
      </c>
      <c r="D2558" s="5" t="s">
        <v>717</v>
      </c>
      <c r="E2558" s="6" t="s">
        <v>243</v>
      </c>
      <c r="F2558" s="7" t="s">
        <v>244</v>
      </c>
      <c r="G2558" s="6" t="str">
        <f>VLOOKUP(E2558,dicionario!$A$1:$C2957,2,0)</f>
        <v>Macroptilium atropurpureum</v>
      </c>
      <c r="H2558" s="6" t="str">
        <f>VLOOKUP(E2558,dicionario!$A$1:$C2957,3,0)</f>
        <v>feijão-de-pombo</v>
      </c>
    </row>
    <row r="2559">
      <c r="A2559" s="3">
        <v>45617.0</v>
      </c>
      <c r="B2559" s="4">
        <v>0.3111111111111111</v>
      </c>
      <c r="C2559" s="5" t="s">
        <v>59</v>
      </c>
      <c r="D2559" s="5" t="s">
        <v>717</v>
      </c>
      <c r="E2559" s="8" t="s">
        <v>740</v>
      </c>
      <c r="F2559" s="5" t="s">
        <v>741</v>
      </c>
      <c r="G2559" s="6" t="str">
        <f>VLOOKUP(E2559,dicionario!$A$1:$C2958,2,0)</f>
        <v>Melothria cucumis</v>
      </c>
      <c r="H2559" s="6" t="str">
        <f>VLOOKUP(E2559,dicionario!$A$1:$C2958,3,0)</f>
        <v>pepino-do-mato</v>
      </c>
    </row>
    <row r="2560">
      <c r="A2560" s="3">
        <v>45617.0</v>
      </c>
      <c r="B2560" s="4">
        <v>0.3111111111111111</v>
      </c>
      <c r="C2560" s="5" t="s">
        <v>59</v>
      </c>
      <c r="D2560" s="5" t="s">
        <v>717</v>
      </c>
      <c r="E2560" s="8" t="s">
        <v>742</v>
      </c>
      <c r="F2560" s="5" t="s">
        <v>743</v>
      </c>
      <c r="G2560" s="6" t="str">
        <f>VLOOKUP(E2560,dicionario!$A$1:$C2959,2,0)</f>
        <v>#N/A</v>
      </c>
      <c r="H2560" s="6" t="str">
        <f>VLOOKUP(E2560,dicionario!$A$1:$C2959,3,0)</f>
        <v>#N/A</v>
      </c>
    </row>
    <row r="2561">
      <c r="A2561" s="3">
        <v>45617.0</v>
      </c>
      <c r="B2561" s="4">
        <v>0.3111111111111111</v>
      </c>
      <c r="C2561" s="5" t="s">
        <v>59</v>
      </c>
      <c r="D2561" s="5" t="s">
        <v>717</v>
      </c>
      <c r="E2561" s="8" t="s">
        <v>651</v>
      </c>
      <c r="F2561" s="5" t="s">
        <v>414</v>
      </c>
      <c r="G2561" s="6" t="str">
        <f>VLOOKUP(E2561,dicionario!$A$1:$C2960,2,0)</f>
        <v>#N/A</v>
      </c>
      <c r="H2561" s="6" t="str">
        <f>VLOOKUP(E2561,dicionario!$A$1:$C2960,3,0)</f>
        <v>#N/A</v>
      </c>
    </row>
    <row r="2562">
      <c r="A2562" s="3">
        <v>45617.0</v>
      </c>
      <c r="B2562" s="4">
        <v>0.3111111111111111</v>
      </c>
      <c r="C2562" s="5" t="s">
        <v>59</v>
      </c>
      <c r="D2562" s="5" t="s">
        <v>717</v>
      </c>
      <c r="E2562" s="6" t="s">
        <v>271</v>
      </c>
      <c r="F2562" s="7" t="s">
        <v>272</v>
      </c>
      <c r="G2562" s="6" t="str">
        <f>VLOOKUP(E2562,dicionario!$A$1:$C2961,2,0)</f>
        <v>Cyanthillium cinereum</v>
      </c>
      <c r="H2562" s="6" t="str">
        <f>VLOOKUP(E2562,dicionario!$A$1:$C2961,3,0)</f>
        <v>emília</v>
      </c>
    </row>
    <row r="2563">
      <c r="A2563" s="3">
        <v>45617.0</v>
      </c>
      <c r="B2563" s="4">
        <v>0.3111111111111111</v>
      </c>
      <c r="C2563" s="5" t="s">
        <v>59</v>
      </c>
      <c r="D2563" s="5" t="s">
        <v>717</v>
      </c>
      <c r="E2563" s="6" t="s">
        <v>253</v>
      </c>
      <c r="F2563" s="7" t="s">
        <v>254</v>
      </c>
      <c r="G2563" s="6" t="str">
        <f>VLOOKUP(E2563,dicionario!$A$1:$C2962,2,0)</f>
        <v>Panicum maximum</v>
      </c>
      <c r="H2563" s="6" t="str">
        <f>VLOOKUP(E2563,dicionario!$A$1:$C2962,3,0)</f>
        <v>capim-colonião</v>
      </c>
    </row>
    <row r="2564">
      <c r="A2564" s="3">
        <v>45617.0</v>
      </c>
      <c r="B2564" s="4">
        <v>0.3125</v>
      </c>
      <c r="C2564" s="5" t="s">
        <v>59</v>
      </c>
      <c r="D2564" s="5" t="s">
        <v>717</v>
      </c>
      <c r="E2564" s="12" t="s">
        <v>152</v>
      </c>
      <c r="F2564" s="7" t="s">
        <v>153</v>
      </c>
      <c r="G2564" s="6" t="str">
        <f>VLOOKUP(E2564,dicionario!$A$1:$C2963,2,0)</f>
        <v>Cynodon dactylon</v>
      </c>
      <c r="H2564" s="6" t="str">
        <f>VLOOKUP(E2564,dicionario!$A$1:$C2963,3,0)</f>
        <v>grama-bermuda</v>
      </c>
    </row>
    <row r="2565">
      <c r="A2565" s="3">
        <v>45617.0</v>
      </c>
      <c r="B2565" s="4">
        <v>0.3125</v>
      </c>
      <c r="C2565" s="5" t="s">
        <v>59</v>
      </c>
      <c r="D2565" s="5" t="s">
        <v>717</v>
      </c>
      <c r="E2565" s="6" t="s">
        <v>258</v>
      </c>
      <c r="F2565" s="7" t="s">
        <v>259</v>
      </c>
      <c r="G2565" s="6" t="str">
        <f>VLOOKUP(E2565,dicionario!$A$1:$C2964,2,0)</f>
        <v>Lantana camara</v>
      </c>
      <c r="H2565" s="6" t="str">
        <f>VLOOKUP(E2565,dicionario!$A$1:$C2964,3,0)</f>
        <v>lantana</v>
      </c>
    </row>
    <row r="2566">
      <c r="A2566" s="3">
        <v>45617.0</v>
      </c>
      <c r="B2566" s="4">
        <v>0.3125</v>
      </c>
      <c r="C2566" s="5" t="s">
        <v>59</v>
      </c>
      <c r="D2566" s="5" t="s">
        <v>717</v>
      </c>
      <c r="E2566" s="6" t="s">
        <v>227</v>
      </c>
      <c r="F2566" s="7" t="s">
        <v>228</v>
      </c>
      <c r="G2566" s="6" t="str">
        <f>VLOOKUP(E2566,dicionario!$A$1:$C2965,2,0)</f>
        <v>Indigofera hirsuta</v>
      </c>
      <c r="H2566" s="6" t="str">
        <f>VLOOKUP(E2566,dicionario!$A$1:$C2965,3,0)</f>
        <v>anileira</v>
      </c>
    </row>
    <row r="2567">
      <c r="A2567" s="3">
        <v>45617.0</v>
      </c>
      <c r="B2567" s="4">
        <v>0.3125</v>
      </c>
      <c r="C2567" s="5" t="s">
        <v>59</v>
      </c>
      <c r="D2567" s="5" t="s">
        <v>717</v>
      </c>
      <c r="E2567" s="6" t="s">
        <v>181</v>
      </c>
      <c r="F2567" s="7" t="s">
        <v>182</v>
      </c>
      <c r="G2567" s="6" t="str">
        <f>VLOOKUP(E2567,dicionario!$A$1:$C2966,2,0)</f>
        <v>#N/A</v>
      </c>
      <c r="H2567" s="6" t="str">
        <f>VLOOKUP(E2567,dicionario!$A$1:$C2966,3,0)</f>
        <v>#N/A</v>
      </c>
    </row>
    <row r="2568">
      <c r="A2568" s="3">
        <v>45617.0</v>
      </c>
      <c r="B2568" s="4">
        <v>0.3125</v>
      </c>
      <c r="C2568" s="5" t="s">
        <v>59</v>
      </c>
      <c r="D2568" s="5" t="s">
        <v>717</v>
      </c>
      <c r="E2568" s="8" t="s">
        <v>504</v>
      </c>
      <c r="F2568" s="5" t="s">
        <v>534</v>
      </c>
      <c r="G2568" s="6" t="str">
        <f>VLOOKUP(E2568,dicionario!$A$1:$C2967,2,0)</f>
        <v>Cleome aculeata</v>
      </c>
      <c r="H2568" s="6" t="str">
        <f>VLOOKUP(E2568,dicionario!$A$1:$C2967,3,0)</f>
        <v>cleome</v>
      </c>
    </row>
    <row r="2569">
      <c r="A2569" s="3">
        <v>45617.0</v>
      </c>
      <c r="B2569" s="4">
        <v>0.3125</v>
      </c>
      <c r="C2569" s="5" t="s">
        <v>59</v>
      </c>
      <c r="D2569" s="5" t="s">
        <v>717</v>
      </c>
      <c r="E2569" s="8" t="s">
        <v>744</v>
      </c>
      <c r="F2569" s="5" t="s">
        <v>428</v>
      </c>
      <c r="G2569" s="6" t="str">
        <f>VLOOKUP(E2569,dicionario!$A$1:$C2968,2,0)</f>
        <v>#N/A</v>
      </c>
      <c r="H2569" s="6" t="str">
        <f>VLOOKUP(E2569,dicionario!$A$1:$C2968,3,0)</f>
        <v>#N/A</v>
      </c>
    </row>
    <row r="2570">
      <c r="A2570" s="3">
        <v>45617.0</v>
      </c>
      <c r="B2570" s="4">
        <v>0.31319444444444444</v>
      </c>
      <c r="C2570" s="5" t="s">
        <v>59</v>
      </c>
      <c r="D2570" s="5" t="s">
        <v>717</v>
      </c>
      <c r="E2570" s="6" t="s">
        <v>116</v>
      </c>
      <c r="F2570" s="7" t="s">
        <v>117</v>
      </c>
      <c r="G2570" s="6" t="str">
        <f>VLOOKUP(E2570,dicionario!$A$1:$C2969,2,0)</f>
        <v>Argiope argentata</v>
      </c>
      <c r="H2570" s="6" t="str">
        <f>VLOOKUP(E2570,dicionario!$A$1:$C2969,3,0)</f>
        <v>aranha-de-prata</v>
      </c>
    </row>
    <row r="2571">
      <c r="A2571" s="3">
        <v>45617.0</v>
      </c>
      <c r="B2571" s="4">
        <v>0.31319444444444444</v>
      </c>
      <c r="C2571" s="5" t="s">
        <v>59</v>
      </c>
      <c r="D2571" s="5" t="s">
        <v>717</v>
      </c>
      <c r="E2571" s="8" t="s">
        <v>38</v>
      </c>
      <c r="F2571" s="5" t="s">
        <v>39</v>
      </c>
      <c r="G2571" s="6" t="str">
        <f>VLOOKUP(E2571,dicionario!$A$1:$C2970,2,0)</f>
        <v>Troglodytes musculus</v>
      </c>
      <c r="H2571" s="6" t="str">
        <f>VLOOKUP(E2571,dicionario!$A$1:$C2970,3,0)</f>
        <v>curruíra</v>
      </c>
    </row>
    <row r="2572">
      <c r="A2572" s="3">
        <v>45617.0</v>
      </c>
      <c r="B2572" s="4">
        <v>0.31319444444444444</v>
      </c>
      <c r="C2572" s="5" t="s">
        <v>59</v>
      </c>
      <c r="D2572" s="5" t="s">
        <v>717</v>
      </c>
      <c r="E2572" s="6" t="s">
        <v>163</v>
      </c>
      <c r="F2572" s="7" t="s">
        <v>164</v>
      </c>
      <c r="G2572" s="6" t="str">
        <f>VLOOKUP(E2572,dicionario!$A$1:$C2971,2,0)</f>
        <v>Coragyps atratus</v>
      </c>
      <c r="H2572" s="6" t="str">
        <f>VLOOKUP(E2572,dicionario!$A$1:$C2971,3,0)</f>
        <v>urubu-de-cabeça-preta</v>
      </c>
    </row>
    <row r="2573">
      <c r="A2573" s="3">
        <v>45617.0</v>
      </c>
      <c r="B2573" s="4">
        <v>0.31319444444444444</v>
      </c>
      <c r="C2573" s="5" t="s">
        <v>59</v>
      </c>
      <c r="D2573" s="5" t="s">
        <v>717</v>
      </c>
      <c r="E2573" s="6" t="s">
        <v>245</v>
      </c>
      <c r="F2573" s="7" t="s">
        <v>246</v>
      </c>
      <c r="G2573" s="6" t="str">
        <f>VLOOKUP(E2573,dicionario!$A$1:$C2972,2,0)</f>
        <v>Hemiargus hanno</v>
      </c>
      <c r="H2573" s="6" t="str">
        <f>VLOOKUP(E2573,dicionario!$A$1:$C2972,3,0)</f>
        <v>borboleta-azulzinha-do-trevo</v>
      </c>
    </row>
    <row r="2574">
      <c r="A2574" s="3">
        <v>45617.0</v>
      </c>
      <c r="B2574" s="4">
        <v>0.31319444444444444</v>
      </c>
      <c r="C2574" s="5" t="s">
        <v>59</v>
      </c>
      <c r="D2574" s="5" t="s">
        <v>717</v>
      </c>
      <c r="E2574" s="6" t="s">
        <v>191</v>
      </c>
      <c r="F2574" s="7" t="s">
        <v>192</v>
      </c>
      <c r="G2574" s="6" t="str">
        <f>VLOOKUP(E2574,dicionario!$A$1:$C2973,2,0)</f>
        <v>Patagioenas picazuro</v>
      </c>
      <c r="H2574" s="6" t="str">
        <f>VLOOKUP(E2574,dicionario!$A$1:$C2973,3,0)</f>
        <v>asa-branca; pomba-asa-branca; pocaçu</v>
      </c>
    </row>
    <row r="2575">
      <c r="A2575" s="3">
        <v>45617.0</v>
      </c>
      <c r="B2575" s="4">
        <v>0.31319444444444444</v>
      </c>
      <c r="C2575" s="5" t="s">
        <v>59</v>
      </c>
      <c r="D2575" s="5" t="s">
        <v>717</v>
      </c>
      <c r="E2575" s="9" t="s">
        <v>22</v>
      </c>
      <c r="F2575" s="7" t="s">
        <v>97</v>
      </c>
      <c r="G2575" s="6" t="str">
        <f>VLOOKUP(E2575,dicionario!$A$1:$C2974,2,0)</f>
        <v>Zenaida auriculata</v>
      </c>
      <c r="H2575" s="6" t="str">
        <f>VLOOKUP(E2575,dicionario!$A$1:$C2974,3,0)</f>
        <v>pomba-de-bando; avoante</v>
      </c>
    </row>
    <row r="2576">
      <c r="A2576" s="3">
        <v>45617.0</v>
      </c>
      <c r="B2576" s="4">
        <v>0.31319444444444444</v>
      </c>
      <c r="C2576" s="5" t="s">
        <v>59</v>
      </c>
      <c r="D2576" s="5" t="s">
        <v>717</v>
      </c>
      <c r="E2576" s="8" t="s">
        <v>719</v>
      </c>
      <c r="F2576" s="5" t="s">
        <v>713</v>
      </c>
      <c r="G2576" s="6" t="str">
        <f>VLOOKUP(E2576,dicionario!$A$1:$C2975,2,0)</f>
        <v>Dirinaria</v>
      </c>
      <c r="H2576" s="6" t="str">
        <f>VLOOKUP(E2576,dicionario!$A$1:$C2975,3,0)</f>
        <v>líquen-crostoso</v>
      </c>
    </row>
    <row r="2577">
      <c r="A2577" s="3">
        <v>45617.0</v>
      </c>
      <c r="B2577" s="4">
        <v>0.31319444444444444</v>
      </c>
      <c r="C2577" s="5" t="s">
        <v>59</v>
      </c>
      <c r="D2577" s="5" t="s">
        <v>717</v>
      </c>
      <c r="E2577" s="8" t="s">
        <v>719</v>
      </c>
      <c r="F2577" s="7" t="s">
        <v>745</v>
      </c>
      <c r="G2577" s="6" t="str">
        <f>VLOOKUP(E2577,dicionario!$A$1:$C2976,2,0)</f>
        <v>Dirinaria</v>
      </c>
      <c r="H2577" s="6" t="str">
        <f>VLOOKUP(E2577,dicionario!$A$1:$C2976,3,0)</f>
        <v>líquen-crostoso</v>
      </c>
    </row>
    <row r="2578">
      <c r="A2578" s="3">
        <v>45617.0</v>
      </c>
      <c r="B2578" s="4">
        <v>0.31319444444444444</v>
      </c>
      <c r="C2578" s="5" t="s">
        <v>59</v>
      </c>
      <c r="D2578" s="5" t="s">
        <v>717</v>
      </c>
      <c r="E2578" s="6" t="s">
        <v>107</v>
      </c>
      <c r="F2578" s="7" t="s">
        <v>108</v>
      </c>
      <c r="G2578" s="6" t="str">
        <f>VLOOKUP(E2578,dicionario!$A$1:$C2977,2,0)</f>
        <v>Ramalina complanata</v>
      </c>
      <c r="H2578" s="6" t="str">
        <f>VLOOKUP(E2578,dicionario!$A$1:$C2977,3,0)</f>
        <v>ramalina</v>
      </c>
    </row>
    <row r="2579">
      <c r="A2579" s="3">
        <v>45617.0</v>
      </c>
      <c r="B2579" s="4">
        <v>0.31319444444444444</v>
      </c>
      <c r="C2579" s="5" t="s">
        <v>59</v>
      </c>
      <c r="D2579" s="5" t="s">
        <v>717</v>
      </c>
      <c r="E2579" s="6" t="s">
        <v>148</v>
      </c>
      <c r="F2579" s="7" t="s">
        <v>149</v>
      </c>
      <c r="G2579" s="6" t="str">
        <f>VLOOKUP(E2579,dicionario!$A$1:$C2978,2,0)</f>
        <v>Parthenium hysterophorus</v>
      </c>
      <c r="H2579" s="6" t="str">
        <f>VLOOKUP(E2579,dicionario!$A$1:$C2978,3,0)</f>
        <v>losna-branca</v>
      </c>
    </row>
    <row r="2580">
      <c r="A2580" s="3">
        <v>45617.0</v>
      </c>
      <c r="B2580" s="4">
        <v>0.3145833333333333</v>
      </c>
      <c r="C2580" s="5" t="s">
        <v>59</v>
      </c>
      <c r="D2580" s="5" t="s">
        <v>717</v>
      </c>
      <c r="E2580" s="6" t="s">
        <v>111</v>
      </c>
      <c r="F2580" s="7" t="s">
        <v>112</v>
      </c>
      <c r="G2580" s="6" t="str">
        <f>VLOOKUP(E2580,dicionario!$A$1:$C2979,2,0)</f>
        <v>Trigona spinipes</v>
      </c>
      <c r="H2580" s="6" t="str">
        <f>VLOOKUP(E2580,dicionario!$A$1:$C2979,3,0)</f>
        <v>abelha-cachorro</v>
      </c>
    </row>
    <row r="2581">
      <c r="A2581" s="3">
        <v>45617.0</v>
      </c>
      <c r="B2581" s="4">
        <v>0.3145833333333333</v>
      </c>
      <c r="C2581" s="5" t="s">
        <v>59</v>
      </c>
      <c r="D2581" s="5" t="s">
        <v>717</v>
      </c>
      <c r="E2581" s="8" t="s">
        <v>525</v>
      </c>
      <c r="F2581" s="7" t="s">
        <v>746</v>
      </c>
      <c r="G2581" s="6" t="str">
        <f>VLOOKUP(E2581,dicionario!$A$1:$C2980,2,0)</f>
        <v>#N/A</v>
      </c>
      <c r="H2581" s="6" t="str">
        <f>VLOOKUP(E2581,dicionario!$A$1:$C2980,3,0)</f>
        <v>#N/A</v>
      </c>
    </row>
    <row r="2582">
      <c r="A2582" s="3">
        <v>45617.0</v>
      </c>
      <c r="B2582" s="4">
        <v>0.31527777777777777</v>
      </c>
      <c r="C2582" s="5" t="s">
        <v>59</v>
      </c>
      <c r="D2582" s="5" t="s">
        <v>717</v>
      </c>
      <c r="E2582" s="6" t="s">
        <v>72</v>
      </c>
      <c r="F2582" s="7" t="s">
        <v>73</v>
      </c>
      <c r="G2582" s="6" t="str">
        <f>VLOOKUP(E2582,dicionario!$A$1:$C2981,2,0)</f>
        <v>Thraupis palmarum</v>
      </c>
      <c r="H2582" s="6" t="str">
        <f>VLOOKUP(E2582,dicionario!$A$1:$C2981,3,0)</f>
        <v>sanhaço-do-coqueiro</v>
      </c>
    </row>
    <row r="2583">
      <c r="A2583" s="3">
        <v>45617.0</v>
      </c>
      <c r="B2583" s="4">
        <v>0.31527777777777777</v>
      </c>
      <c r="C2583" s="5" t="s">
        <v>59</v>
      </c>
      <c r="D2583" s="5" t="s">
        <v>717</v>
      </c>
      <c r="E2583" s="6" t="s">
        <v>86</v>
      </c>
      <c r="F2583" s="7" t="s">
        <v>502</v>
      </c>
      <c r="G2583" s="6" t="str">
        <f>VLOOKUP(E2583,dicionario!$A$1:$C2982,2,0)</f>
        <v>Coereba flaveola</v>
      </c>
      <c r="H2583" s="6" t="str">
        <f>VLOOKUP(E2583,dicionario!$A$1:$C2982,3,0)</f>
        <v>cambacica</v>
      </c>
    </row>
    <row r="2584">
      <c r="A2584" s="3">
        <v>45617.0</v>
      </c>
      <c r="B2584" s="4">
        <v>0.31527777777777777</v>
      </c>
      <c r="C2584" s="5" t="s">
        <v>59</v>
      </c>
      <c r="D2584" s="5" t="s">
        <v>717</v>
      </c>
      <c r="E2584" s="8" t="s">
        <v>360</v>
      </c>
      <c r="F2584" s="7" t="s">
        <v>361</v>
      </c>
      <c r="G2584" s="6" t="str">
        <f>VLOOKUP(E2584,dicionario!$A$1:$C2983,2,0)</f>
        <v>Chamaecrista rotundifolia</v>
      </c>
      <c r="H2584" s="6" t="str">
        <f>VLOOKUP(E2584,dicionario!$A$1:$C2983,3,0)</f>
        <v>alfafa-nativa</v>
      </c>
    </row>
    <row r="2585">
      <c r="A2585" s="3">
        <v>45617.0</v>
      </c>
      <c r="B2585" s="4">
        <v>0.31527777777777777</v>
      </c>
      <c r="C2585" s="5" t="s">
        <v>59</v>
      </c>
      <c r="D2585" s="5" t="s">
        <v>717</v>
      </c>
      <c r="E2585" s="29" t="s">
        <v>566</v>
      </c>
      <c r="F2585" s="7" t="s">
        <v>567</v>
      </c>
      <c r="G2585" s="6" t="str">
        <f>VLOOKUP(E2585,dicionario!$A$1:$C2984,2,0)</f>
        <v>Baccharis dracunculifolia</v>
      </c>
      <c r="H2585" s="6" t="str">
        <f>VLOOKUP(E2585,dicionario!$A$1:$C2984,3,0)</f>
        <v>vassoura</v>
      </c>
    </row>
    <row r="2586">
      <c r="A2586" s="3">
        <v>45617.0</v>
      </c>
      <c r="B2586" s="4">
        <v>0.31527777777777777</v>
      </c>
      <c r="C2586" s="5" t="s">
        <v>59</v>
      </c>
      <c r="D2586" s="5" t="s">
        <v>717</v>
      </c>
      <c r="E2586" s="6" t="s">
        <v>20</v>
      </c>
      <c r="F2586" s="7" t="s">
        <v>21</v>
      </c>
      <c r="G2586" s="6" t="str">
        <f>VLOOKUP(E2586,dicionario!$A$1:$C2985,2,0)</f>
        <v>Sicalis flaveola</v>
      </c>
      <c r="H2586" s="6" t="str">
        <f>VLOOKUP(E2586,dicionario!$A$1:$C2985,3,0)</f>
        <v>canário-da-terra</v>
      </c>
    </row>
    <row r="2587">
      <c r="A2587" s="3">
        <v>45617.0</v>
      </c>
      <c r="B2587" s="4">
        <v>0.3159722222222222</v>
      </c>
      <c r="C2587" s="5" t="s">
        <v>59</v>
      </c>
      <c r="D2587" s="5" t="s">
        <v>717</v>
      </c>
      <c r="E2587" s="6" t="s">
        <v>476</v>
      </c>
      <c r="F2587" s="7" t="s">
        <v>747</v>
      </c>
      <c r="G2587" s="6" t="str">
        <f>VLOOKUP(E2587,dicionario!$A$1:$C2986,2,0)</f>
        <v>#N/A</v>
      </c>
      <c r="H2587" s="6" t="str">
        <f>VLOOKUP(E2587,dicionario!$A$1:$C2986,3,0)</f>
        <v>#N/A</v>
      </c>
    </row>
    <row r="2588">
      <c r="A2588" s="3">
        <v>45617.0</v>
      </c>
      <c r="B2588" s="4">
        <v>0.3159722222222222</v>
      </c>
      <c r="C2588" s="5" t="s">
        <v>59</v>
      </c>
      <c r="D2588" s="5" t="s">
        <v>717</v>
      </c>
      <c r="E2588" s="20" t="s">
        <v>631</v>
      </c>
      <c r="F2588" s="7" t="s">
        <v>632</v>
      </c>
      <c r="G2588" s="6" t="str">
        <f>VLOOKUP(E2588,dicionario!$A$1:$C2987,2,0)</f>
        <v>Chamaecrista nictitans</v>
      </c>
      <c r="H2588" s="6" t="str">
        <f>VLOOKUP(E2588,dicionario!$A$1:$C2987,3,0)</f>
        <v>falsa-dormideira</v>
      </c>
    </row>
    <row r="2589">
      <c r="A2589" s="3">
        <v>45617.0</v>
      </c>
      <c r="B2589" s="4">
        <v>0.31666666666666665</v>
      </c>
      <c r="C2589" s="5" t="s">
        <v>59</v>
      </c>
      <c r="D2589" s="5" t="s">
        <v>717</v>
      </c>
      <c r="E2589" s="8" t="s">
        <v>748</v>
      </c>
      <c r="F2589" s="7" t="s">
        <v>749</v>
      </c>
      <c r="G2589" s="6" t="str">
        <f>VLOOKUP(E2589,dicionario!$A$1:$C2988,2,0)</f>
        <v>#N/A</v>
      </c>
      <c r="H2589" s="6" t="str">
        <f>VLOOKUP(E2589,dicionario!$A$1:$C2988,3,0)</f>
        <v>#N/A</v>
      </c>
    </row>
    <row r="2590">
      <c r="A2590" s="3">
        <v>45617.0</v>
      </c>
      <c r="B2590" s="4">
        <v>0.3173611111111111</v>
      </c>
      <c r="C2590" s="5" t="s">
        <v>59</v>
      </c>
      <c r="D2590" s="5" t="s">
        <v>717</v>
      </c>
      <c r="E2590" s="20" t="s">
        <v>676</v>
      </c>
      <c r="F2590" s="7" t="s">
        <v>677</v>
      </c>
      <c r="G2590" s="6" t="str">
        <f>VLOOKUP(E2590,dicionario!$A$1:$C2989,2,0)</f>
        <v>Zornia latifolia</v>
      </c>
      <c r="H2590" s="6" t="str">
        <f>VLOOKUP(E2590,dicionario!$A$1:$C2989,3,0)</f>
        <v>arrozinho-do-campo</v>
      </c>
    </row>
    <row r="2591">
      <c r="A2591" s="3">
        <v>45617.0</v>
      </c>
      <c r="B2591" s="4">
        <v>0.3173611111111111</v>
      </c>
      <c r="C2591" s="5" t="s">
        <v>59</v>
      </c>
      <c r="D2591" s="5" t="s">
        <v>717</v>
      </c>
      <c r="E2591" s="6" t="s">
        <v>144</v>
      </c>
      <c r="F2591" s="7" t="s">
        <v>145</v>
      </c>
      <c r="G2591" s="6" t="str">
        <f>VLOOKUP(E2591,dicionario!$A$1:$C2990,2,0)</f>
        <v>Gomphrena globosa</v>
      </c>
      <c r="H2591" s="6" t="str">
        <f>VLOOKUP(E2591,dicionario!$A$1:$C2990,3,0)</f>
        <v>perpétua-rosa</v>
      </c>
    </row>
    <row r="2592">
      <c r="A2592" s="3">
        <v>45617.0</v>
      </c>
      <c r="B2592" s="4">
        <v>0.31875</v>
      </c>
      <c r="C2592" s="5" t="s">
        <v>59</v>
      </c>
      <c r="D2592" s="5" t="s">
        <v>717</v>
      </c>
      <c r="E2592" s="6" t="s">
        <v>750</v>
      </c>
      <c r="F2592" s="7" t="s">
        <v>751</v>
      </c>
      <c r="G2592" s="6" t="str">
        <f>VLOOKUP(E2592,dicionario!$A$1:$C2991,2,0)</f>
        <v>#N/A</v>
      </c>
      <c r="H2592" s="6" t="str">
        <f>VLOOKUP(E2592,dicionario!$A$1:$C2991,3,0)</f>
        <v>#N/A</v>
      </c>
    </row>
    <row r="2593">
      <c r="A2593" s="3">
        <v>45617.0</v>
      </c>
      <c r="B2593" s="4">
        <v>0.31875</v>
      </c>
      <c r="C2593" s="5" t="s">
        <v>59</v>
      </c>
      <c r="D2593" s="5" t="s">
        <v>717</v>
      </c>
      <c r="E2593" s="6" t="s">
        <v>752</v>
      </c>
      <c r="F2593" s="5" t="s">
        <v>753</v>
      </c>
      <c r="G2593" s="6" t="str">
        <f>VLOOKUP(E2593,dicionario!$A$1:$C2992,2,0)</f>
        <v>#N/A</v>
      </c>
      <c r="H2593" s="6" t="str">
        <f>VLOOKUP(E2593,dicionario!$A$1:$C2992,3,0)</f>
        <v>#N/A</v>
      </c>
    </row>
    <row r="2594">
      <c r="A2594" s="3">
        <v>45617.0</v>
      </c>
      <c r="B2594" s="4">
        <v>0.31875</v>
      </c>
      <c r="C2594" s="5" t="s">
        <v>59</v>
      </c>
      <c r="D2594" s="5" t="s">
        <v>717</v>
      </c>
      <c r="E2594" s="6" t="s">
        <v>148</v>
      </c>
      <c r="F2594" s="7" t="s">
        <v>149</v>
      </c>
      <c r="G2594" s="6" t="str">
        <f>VLOOKUP(E2594,dicionario!$A$1:$C2993,2,0)</f>
        <v>Parthenium hysterophorus</v>
      </c>
      <c r="H2594" s="6" t="str">
        <f>VLOOKUP(E2594,dicionario!$A$1:$C2993,3,0)</f>
        <v>losna-branca</v>
      </c>
    </row>
    <row r="2595">
      <c r="A2595" s="3">
        <v>45617.0</v>
      </c>
      <c r="B2595" s="4">
        <v>0.32083333333333336</v>
      </c>
      <c r="C2595" s="5" t="s">
        <v>64</v>
      </c>
      <c r="D2595" s="5" t="s">
        <v>717</v>
      </c>
      <c r="E2595" s="30" t="s">
        <v>754</v>
      </c>
      <c r="F2595" s="31"/>
      <c r="G2595" s="6" t="str">
        <f>VLOOKUP(E2595,dicionario!$A$1:$C2994,2,0)</f>
        <v>#N/A</v>
      </c>
      <c r="H2595" s="6" t="str">
        <f>VLOOKUP(E2595,dicionario!$A$1:$C2994,3,0)</f>
        <v>#N/A</v>
      </c>
    </row>
    <row r="2596">
      <c r="A2596" s="3">
        <v>45617.0</v>
      </c>
      <c r="B2596" s="4">
        <v>0.3215277777777778</v>
      </c>
      <c r="C2596" s="5" t="s">
        <v>64</v>
      </c>
      <c r="D2596" s="5" t="s">
        <v>717</v>
      </c>
      <c r="E2596" s="6" t="s">
        <v>258</v>
      </c>
      <c r="F2596" s="7" t="s">
        <v>259</v>
      </c>
      <c r="G2596" s="6" t="str">
        <f>VLOOKUP(E2596,dicionario!$A$1:$C2995,2,0)</f>
        <v>Lantana camara</v>
      </c>
      <c r="H2596" s="6" t="str">
        <f>VLOOKUP(E2596,dicionario!$A$1:$C2995,3,0)</f>
        <v>lantana</v>
      </c>
    </row>
    <row r="2597">
      <c r="A2597" s="3">
        <v>45617.0</v>
      </c>
      <c r="B2597" s="4">
        <v>0.3215277777777778</v>
      </c>
      <c r="C2597" s="5" t="s">
        <v>64</v>
      </c>
      <c r="D2597" s="5" t="s">
        <v>717</v>
      </c>
      <c r="E2597" s="6" t="s">
        <v>271</v>
      </c>
      <c r="F2597" s="7" t="s">
        <v>272</v>
      </c>
      <c r="G2597" s="6" t="str">
        <f>VLOOKUP(E2597,dicionario!$A$1:$C2996,2,0)</f>
        <v>Cyanthillium cinereum</v>
      </c>
      <c r="H2597" s="6" t="str">
        <f>VLOOKUP(E2597,dicionario!$A$1:$C2996,3,0)</f>
        <v>emília</v>
      </c>
    </row>
    <row r="2598">
      <c r="A2598" s="3">
        <v>45617.0</v>
      </c>
      <c r="B2598" s="4">
        <v>0.3215277777777778</v>
      </c>
      <c r="C2598" s="5" t="s">
        <v>64</v>
      </c>
      <c r="D2598" s="5" t="s">
        <v>717</v>
      </c>
      <c r="E2598" s="6" t="s">
        <v>148</v>
      </c>
      <c r="F2598" s="7" t="s">
        <v>149</v>
      </c>
      <c r="G2598" s="6" t="str">
        <f>VLOOKUP(E2598,dicionario!$A$1:$C2997,2,0)</f>
        <v>Parthenium hysterophorus</v>
      </c>
      <c r="H2598" s="6" t="str">
        <f>VLOOKUP(E2598,dicionario!$A$1:$C2997,3,0)</f>
        <v>losna-branca</v>
      </c>
    </row>
    <row r="2599">
      <c r="A2599" s="3">
        <v>45617.0</v>
      </c>
      <c r="B2599" s="4">
        <v>0.3215277777777778</v>
      </c>
      <c r="C2599" s="5" t="s">
        <v>64</v>
      </c>
      <c r="D2599" s="5" t="s">
        <v>717</v>
      </c>
      <c r="E2599" s="29" t="s">
        <v>566</v>
      </c>
      <c r="F2599" s="7" t="s">
        <v>567</v>
      </c>
      <c r="G2599" s="6" t="str">
        <f>VLOOKUP(E2599,dicionario!$A$1:$C2998,2,0)</f>
        <v>Baccharis dracunculifolia</v>
      </c>
      <c r="H2599" s="6" t="str">
        <f>VLOOKUP(E2599,dicionario!$A$1:$C2998,3,0)</f>
        <v>vassoura</v>
      </c>
    </row>
    <row r="2600">
      <c r="A2600" s="3">
        <v>45617.0</v>
      </c>
      <c r="B2600" s="4">
        <v>0.32222222222222224</v>
      </c>
      <c r="C2600" s="5" t="s">
        <v>64</v>
      </c>
      <c r="D2600" s="5" t="s">
        <v>717</v>
      </c>
      <c r="E2600" s="6" t="s">
        <v>471</v>
      </c>
      <c r="F2600" s="7" t="s">
        <v>472</v>
      </c>
      <c r="G2600" s="6" t="str">
        <f>VLOOKUP(E2600,dicionario!$A$1:$C2999,2,0)</f>
        <v>Sida acuta</v>
      </c>
      <c r="H2600" s="6" t="str">
        <f>VLOOKUP(E2600,dicionario!$A$1:$C2999,3,0)</f>
        <v>reloginho</v>
      </c>
    </row>
    <row r="2601">
      <c r="A2601" s="3">
        <v>45617.0</v>
      </c>
      <c r="B2601" s="4">
        <v>0.32222222222222224</v>
      </c>
      <c r="C2601" s="5" t="s">
        <v>64</v>
      </c>
      <c r="D2601" s="5" t="s">
        <v>717</v>
      </c>
      <c r="E2601" s="6" t="s">
        <v>65</v>
      </c>
      <c r="F2601" s="7" t="s">
        <v>66</v>
      </c>
      <c r="G2601" s="6" t="str">
        <f>VLOOKUP(E2601,dicionario!$A$1:$C3000,2,0)</f>
        <v>Pitangus sulphutarus</v>
      </c>
      <c r="H2601" s="6" t="str">
        <f>VLOOKUP(E2601,dicionario!$A$1:$C3000,3,0)</f>
        <v>bem-te-vi</v>
      </c>
    </row>
    <row r="2602">
      <c r="A2602" s="3">
        <v>45617.0</v>
      </c>
      <c r="B2602" s="4">
        <v>0.32222222222222224</v>
      </c>
      <c r="C2602" s="5" t="s">
        <v>64</v>
      </c>
      <c r="D2602" s="5" t="s">
        <v>717</v>
      </c>
      <c r="E2602" s="9" t="s">
        <v>22</v>
      </c>
      <c r="F2602" s="7" t="s">
        <v>97</v>
      </c>
      <c r="G2602" s="6" t="str">
        <f>VLOOKUP(E2602,dicionario!$A$1:$C3001,2,0)</f>
        <v>Zenaida auriculata</v>
      </c>
      <c r="H2602" s="6" t="str">
        <f>VLOOKUP(E2602,dicionario!$A$1:$C3001,3,0)</f>
        <v>pomba-de-bando; avoante</v>
      </c>
    </row>
    <row r="2603">
      <c r="A2603" s="3">
        <v>45617.0</v>
      </c>
      <c r="B2603" s="4">
        <v>0.3229166666666667</v>
      </c>
      <c r="C2603" s="5" t="s">
        <v>64</v>
      </c>
      <c r="D2603" s="5" t="s">
        <v>717</v>
      </c>
      <c r="E2603" s="6" t="s">
        <v>171</v>
      </c>
      <c r="F2603" s="7" t="s">
        <v>172</v>
      </c>
      <c r="G2603" s="6" t="str">
        <f>VLOOKUP(E2603,dicionario!$A$1:$C3002,2,0)</f>
        <v>Oxalis corniculata</v>
      </c>
      <c r="H2603" s="6" t="str">
        <f>VLOOKUP(E2603,dicionario!$A$1:$C3002,3,0)</f>
        <v>trevo-azedinho</v>
      </c>
    </row>
    <row r="2604">
      <c r="A2604" s="3">
        <v>45617.0</v>
      </c>
      <c r="B2604" s="4">
        <v>0.3229166666666667</v>
      </c>
      <c r="C2604" s="5" t="s">
        <v>64</v>
      </c>
      <c r="D2604" s="5" t="s">
        <v>717</v>
      </c>
      <c r="E2604" s="23" t="s">
        <v>738</v>
      </c>
      <c r="F2604" s="31"/>
      <c r="G2604" s="6" t="str">
        <f>VLOOKUP(E2604,dicionario!$A$1:$C3003,2,0)</f>
        <v>Portulaca</v>
      </c>
      <c r="H2604" s="6" t="str">
        <f>VLOOKUP(E2604,dicionario!$A$1:$C3003,3,0)</f>
        <v/>
      </c>
    </row>
    <row r="2605">
      <c r="A2605" s="3">
        <v>45617.0</v>
      </c>
      <c r="B2605" s="4">
        <v>0.3229166666666667</v>
      </c>
      <c r="C2605" s="5" t="s">
        <v>64</v>
      </c>
      <c r="D2605" s="5" t="s">
        <v>717</v>
      </c>
      <c r="E2605" s="6" t="s">
        <v>113</v>
      </c>
      <c r="F2605" s="7" t="s">
        <v>114</v>
      </c>
      <c r="G2605" s="6" t="str">
        <f>VLOOKUP(E2605,dicionario!$A$1:$C3004,2,0)</f>
        <v>Columbina talpacoti</v>
      </c>
      <c r="H2605" s="6" t="str">
        <f>VLOOKUP(E2605,dicionario!$A$1:$C3004,3,0)</f>
        <v>rolinha-roxa</v>
      </c>
    </row>
    <row r="2606">
      <c r="A2606" s="3">
        <v>45617.0</v>
      </c>
      <c r="B2606" s="4">
        <v>0.3229166666666667</v>
      </c>
      <c r="C2606" s="5" t="s">
        <v>64</v>
      </c>
      <c r="D2606" s="5" t="s">
        <v>717</v>
      </c>
      <c r="E2606" s="6" t="s">
        <v>141</v>
      </c>
      <c r="F2606" s="7" t="s">
        <v>142</v>
      </c>
      <c r="G2606" s="6" t="str">
        <f>VLOOKUP(E2606,dicionario!$A$1:$C3005,2,0)</f>
        <v>Ruellia blechum</v>
      </c>
      <c r="H2606" s="6" t="str">
        <f>VLOOKUP(E2606,dicionario!$A$1:$C3005,3,0)</f>
        <v>camarão-verde</v>
      </c>
    </row>
    <row r="2607">
      <c r="A2607" s="3">
        <v>45617.0</v>
      </c>
      <c r="B2607" s="4">
        <v>0.3236111111111111</v>
      </c>
      <c r="C2607" s="5" t="s">
        <v>64</v>
      </c>
      <c r="D2607" s="5" t="s">
        <v>717</v>
      </c>
      <c r="E2607" s="8" t="s">
        <v>548</v>
      </c>
      <c r="F2607" s="7" t="s">
        <v>549</v>
      </c>
      <c r="G2607" s="6" t="str">
        <f>VLOOKUP(E2607,dicionario!$A$1:$C3006,2,0)</f>
        <v>Ricinus communis</v>
      </c>
      <c r="H2607" s="6" t="str">
        <f>VLOOKUP(E2607,dicionario!$A$1:$C3006,3,0)</f>
        <v>mamona</v>
      </c>
    </row>
    <row r="2608">
      <c r="A2608" s="3">
        <v>45617.0</v>
      </c>
      <c r="B2608" s="4">
        <v>0.32430555555555557</v>
      </c>
      <c r="C2608" s="5" t="s">
        <v>64</v>
      </c>
      <c r="D2608" s="5" t="s">
        <v>717</v>
      </c>
      <c r="E2608" s="6" t="s">
        <v>154</v>
      </c>
      <c r="F2608" s="7" t="s">
        <v>155</v>
      </c>
      <c r="G2608" s="6" t="str">
        <f>VLOOKUP(E2608,dicionario!$A$1:$C3007,2,0)</f>
        <v>Cyperus rotundus</v>
      </c>
      <c r="H2608" s="6" t="str">
        <f>VLOOKUP(E2608,dicionario!$A$1:$C3007,3,0)</f>
        <v>tiririca</v>
      </c>
    </row>
    <row r="2609">
      <c r="A2609" s="3">
        <v>45617.0</v>
      </c>
      <c r="B2609" s="4">
        <v>0.32430555555555557</v>
      </c>
      <c r="C2609" s="5" t="s">
        <v>64</v>
      </c>
      <c r="D2609" s="5" t="s">
        <v>717</v>
      </c>
      <c r="E2609" s="6" t="s">
        <v>755</v>
      </c>
      <c r="F2609" s="7" t="s">
        <v>756</v>
      </c>
      <c r="G2609" s="6" t="str">
        <f>VLOOKUP(E2609,dicionario!$A$1:$C3008,2,0)</f>
        <v>#N/A</v>
      </c>
      <c r="H2609" s="6" t="str">
        <f>VLOOKUP(E2609,dicionario!$A$1:$C3008,3,0)</f>
        <v>#N/A</v>
      </c>
    </row>
    <row r="2610">
      <c r="A2610" s="3">
        <v>45617.0</v>
      </c>
      <c r="B2610" s="4">
        <v>0.32430555555555557</v>
      </c>
      <c r="C2610" s="5" t="s">
        <v>64</v>
      </c>
      <c r="D2610" s="5" t="s">
        <v>717</v>
      </c>
      <c r="E2610" s="8" t="s">
        <v>223</v>
      </c>
      <c r="F2610" s="5" t="s">
        <v>224</v>
      </c>
      <c r="G2610" s="6" t="str">
        <f>VLOOKUP(E2610,dicionario!$A$1:$C3009,2,0)</f>
        <v>Rhipsalis lindbergiana</v>
      </c>
      <c r="H2610" s="6" t="str">
        <f>VLOOKUP(E2610,dicionario!$A$1:$C3009,3,0)</f>
        <v>cacto-macarrão</v>
      </c>
    </row>
    <row r="2611">
      <c r="A2611" s="3">
        <v>45617.0</v>
      </c>
      <c r="B2611" s="4">
        <v>0.325</v>
      </c>
      <c r="C2611" s="5" t="s">
        <v>64</v>
      </c>
      <c r="D2611" s="5" t="s">
        <v>717</v>
      </c>
      <c r="E2611" s="6" t="s">
        <v>69</v>
      </c>
      <c r="F2611" s="7" t="s">
        <v>71</v>
      </c>
      <c r="G2611" s="6" t="str">
        <f>VLOOKUP(E2611,dicionario!$A$1:$C3010,2,0)</f>
        <v>Talinum fruticosum</v>
      </c>
      <c r="H2611" s="6" t="str">
        <f>VLOOKUP(E2611,dicionario!$A$1:$C3010,3,0)</f>
        <v>beldroega-grande</v>
      </c>
    </row>
    <row r="2612">
      <c r="A2612" s="3">
        <v>45617.0</v>
      </c>
      <c r="B2612" s="4">
        <v>0.325</v>
      </c>
      <c r="C2612" s="5" t="s">
        <v>64</v>
      </c>
      <c r="D2612" s="5" t="s">
        <v>717</v>
      </c>
      <c r="E2612" s="6" t="s">
        <v>682</v>
      </c>
      <c r="F2612" s="5" t="s">
        <v>757</v>
      </c>
      <c r="G2612" s="6" t="str">
        <f>VLOOKUP(E2612,dicionario!$A$1:$C3011,2,0)</f>
        <v>Lagria villosa</v>
      </c>
      <c r="H2612" s="6" t="str">
        <f>VLOOKUP(E2612,dicionario!$A$1:$C3011,3,0)</f>
        <v>bicho-capixaba</v>
      </c>
    </row>
    <row r="2613">
      <c r="A2613" s="3">
        <v>45617.0</v>
      </c>
      <c r="B2613" s="4">
        <v>0.325</v>
      </c>
      <c r="C2613" s="5" t="s">
        <v>64</v>
      </c>
      <c r="D2613" s="5" t="s">
        <v>717</v>
      </c>
      <c r="E2613" s="8" t="s">
        <v>758</v>
      </c>
      <c r="F2613" s="5" t="s">
        <v>759</v>
      </c>
      <c r="G2613" s="6" t="str">
        <f>VLOOKUP(E2613,dicionario!$A$1:$C3012,2,0)</f>
        <v>Cyperus esculentus</v>
      </c>
      <c r="H2613" s="6" t="str">
        <f>VLOOKUP(E2613,dicionario!$A$1:$C3012,3,0)</f>
        <v>tiriricão</v>
      </c>
    </row>
    <row r="2614">
      <c r="A2614" s="3">
        <v>45617.0</v>
      </c>
      <c r="B2614" s="4">
        <v>0.32569444444444445</v>
      </c>
      <c r="C2614" s="5" t="s">
        <v>64</v>
      </c>
      <c r="D2614" s="5" t="s">
        <v>717</v>
      </c>
      <c r="E2614" s="6" t="s">
        <v>288</v>
      </c>
      <c r="F2614" s="5" t="s">
        <v>760</v>
      </c>
      <c r="G2614" s="6" t="str">
        <f>VLOOKUP(E2614,dicionario!$A$1:$C3013,2,0)</f>
        <v>Phyllanthus tenellus</v>
      </c>
      <c r="H2614" s="6" t="str">
        <f>VLOOKUP(E2614,dicionario!$A$1:$C3013,3,0)</f>
        <v>quebra-pedra</v>
      </c>
    </row>
    <row r="2615">
      <c r="A2615" s="3">
        <v>45617.0</v>
      </c>
      <c r="B2615" s="4">
        <v>0.32569444444444445</v>
      </c>
      <c r="C2615" s="5" t="s">
        <v>64</v>
      </c>
      <c r="D2615" s="5" t="s">
        <v>717</v>
      </c>
      <c r="E2615" s="8" t="s">
        <v>712</v>
      </c>
      <c r="F2615" s="5" t="s">
        <v>761</v>
      </c>
      <c r="G2615" s="6" t="str">
        <f>VLOOKUP(E2615,dicionario!$A$1:$C3014,2,0)</f>
        <v>Flavopunctelia soredica</v>
      </c>
      <c r="H2615" s="6" t="str">
        <f>VLOOKUP(E2615,dicionario!$A$1:$C3014,3,0)</f>
        <v>líquen-folioso</v>
      </c>
    </row>
    <row r="2616">
      <c r="A2616" s="3">
        <v>45617.0</v>
      </c>
      <c r="B2616" s="4">
        <v>0.32569444444444445</v>
      </c>
      <c r="C2616" s="5" t="s">
        <v>64</v>
      </c>
      <c r="D2616" s="5" t="s">
        <v>717</v>
      </c>
      <c r="E2616" s="8" t="s">
        <v>719</v>
      </c>
      <c r="F2616" s="5" t="s">
        <v>762</v>
      </c>
      <c r="G2616" s="6" t="str">
        <f>VLOOKUP(E2616,dicionario!$A$1:$C3015,2,0)</f>
        <v>Dirinaria</v>
      </c>
      <c r="H2616" s="6" t="str">
        <f>VLOOKUP(E2616,dicionario!$A$1:$C3015,3,0)</f>
        <v>líquen-crostoso</v>
      </c>
    </row>
    <row r="2617">
      <c r="A2617" s="3">
        <v>45617.0</v>
      </c>
      <c r="B2617" s="4">
        <v>0.32569444444444445</v>
      </c>
      <c r="C2617" s="5" t="s">
        <v>64</v>
      </c>
      <c r="D2617" s="5" t="s">
        <v>717</v>
      </c>
      <c r="E2617" s="8" t="s">
        <v>195</v>
      </c>
      <c r="F2617" s="5" t="s">
        <v>763</v>
      </c>
      <c r="G2617" s="6" t="str">
        <f>VLOOKUP(E2617,dicionario!$A$1:$C3016,2,0)</f>
        <v>Priva lappulacea</v>
      </c>
      <c r="H2617" s="6" t="str">
        <f>VLOOKUP(E2617,dicionario!$A$1:$C3016,3,0)</f>
        <v>carrapicho</v>
      </c>
    </row>
    <row r="2618">
      <c r="A2618" s="3">
        <v>45617.0</v>
      </c>
      <c r="B2618" s="4">
        <v>0.32569444444444445</v>
      </c>
      <c r="C2618" s="5" t="s">
        <v>64</v>
      </c>
      <c r="D2618" s="5" t="s">
        <v>717</v>
      </c>
      <c r="E2618" s="6" t="s">
        <v>72</v>
      </c>
      <c r="F2618" s="5" t="s">
        <v>764</v>
      </c>
      <c r="G2618" s="6" t="str">
        <f>VLOOKUP(E2618,dicionario!$A$1:$C3017,2,0)</f>
        <v>Thraupis palmarum</v>
      </c>
      <c r="H2618" s="6" t="str">
        <f>VLOOKUP(E2618,dicionario!$A$1:$C3017,3,0)</f>
        <v>sanhaço-do-coqueiro</v>
      </c>
    </row>
    <row r="2619">
      <c r="A2619" s="3">
        <v>45617.0</v>
      </c>
      <c r="B2619" s="4">
        <v>0.3263888888888889</v>
      </c>
      <c r="C2619" s="5" t="s">
        <v>64</v>
      </c>
      <c r="D2619" s="5" t="s">
        <v>717</v>
      </c>
      <c r="E2619" s="6" t="s">
        <v>267</v>
      </c>
      <c r="F2619" s="5" t="s">
        <v>765</v>
      </c>
      <c r="G2619" s="6" t="str">
        <f>VLOOKUP(E2619,dicionario!$A$1:$C3018,2,0)</f>
        <v>Solanum americanum</v>
      </c>
      <c r="H2619" s="6" t="str">
        <f>VLOOKUP(E2619,dicionario!$A$1:$C3018,3,0)</f>
        <v>maria-pretinha</v>
      </c>
    </row>
    <row r="2620">
      <c r="A2620" s="3">
        <v>45617.0</v>
      </c>
      <c r="B2620" s="4">
        <v>0.3263888888888889</v>
      </c>
      <c r="C2620" s="5" t="s">
        <v>64</v>
      </c>
      <c r="D2620" s="5" t="s">
        <v>717</v>
      </c>
      <c r="E2620" s="6" t="s">
        <v>171</v>
      </c>
      <c r="F2620" s="5" t="s">
        <v>766</v>
      </c>
      <c r="G2620" s="6" t="str">
        <f>VLOOKUP(E2620,dicionario!$A$1:$C3019,2,0)</f>
        <v>Oxalis corniculata</v>
      </c>
      <c r="H2620" s="6" t="str">
        <f>VLOOKUP(E2620,dicionario!$A$1:$C3019,3,0)</f>
        <v>trevo-azedinho</v>
      </c>
    </row>
    <row r="2621">
      <c r="A2621" s="3">
        <v>45617.0</v>
      </c>
      <c r="B2621" s="4">
        <v>0.3263888888888889</v>
      </c>
      <c r="C2621" s="5" t="s">
        <v>64</v>
      </c>
      <c r="D2621" s="5" t="s">
        <v>717</v>
      </c>
      <c r="E2621" s="8" t="s">
        <v>767</v>
      </c>
      <c r="F2621" s="5" t="s">
        <v>768</v>
      </c>
      <c r="G2621" s="6" t="str">
        <f>VLOOKUP(E2621,dicionario!$A$1:$C3020,2,0)</f>
        <v>#N/A</v>
      </c>
      <c r="H2621" s="6" t="str">
        <f>VLOOKUP(E2621,dicionario!$A$1:$C3020,3,0)</f>
        <v>#N/A</v>
      </c>
    </row>
    <row r="2622">
      <c r="A2622" s="3">
        <v>45617.0</v>
      </c>
      <c r="B2622" s="4">
        <v>0.32708333333333334</v>
      </c>
      <c r="C2622" s="5" t="s">
        <v>64</v>
      </c>
      <c r="D2622" s="5" t="s">
        <v>717</v>
      </c>
      <c r="E2622" s="6" t="s">
        <v>150</v>
      </c>
      <c r="F2622" s="5" t="s">
        <v>769</v>
      </c>
      <c r="G2622" s="6" t="str">
        <f>VLOOKUP(E2622,dicionario!$A$1:$C3021,2,0)</f>
        <v>Amaranthus viridis</v>
      </c>
      <c r="H2622" s="6" t="str">
        <f>VLOOKUP(E2622,dicionario!$A$1:$C3021,3,0)</f>
        <v>caruru-de-mancha</v>
      </c>
    </row>
    <row r="2623">
      <c r="A2623" s="3">
        <v>45617.0</v>
      </c>
      <c r="B2623" s="4">
        <v>0.32708333333333334</v>
      </c>
      <c r="C2623" s="5" t="s">
        <v>64</v>
      </c>
      <c r="D2623" s="5" t="s">
        <v>717</v>
      </c>
      <c r="E2623" s="6" t="s">
        <v>401</v>
      </c>
      <c r="F2623" s="5" t="s">
        <v>770</v>
      </c>
      <c r="G2623" s="6" t="str">
        <f>VLOOKUP(E2623,dicionario!$A$1:$C3022,2,0)</f>
        <v>Cissus verticillata</v>
      </c>
      <c r="H2623" s="6" t="str">
        <f>VLOOKUP(E2623,dicionario!$A$1:$C3022,3,0)</f>
        <v>uva-do-mato</v>
      </c>
    </row>
    <row r="2624">
      <c r="A2624" s="3">
        <v>45617.0</v>
      </c>
      <c r="B2624" s="4">
        <v>0.32708333333333334</v>
      </c>
      <c r="C2624" s="5" t="s">
        <v>64</v>
      </c>
      <c r="D2624" s="5" t="s">
        <v>717</v>
      </c>
      <c r="E2624" s="8" t="s">
        <v>38</v>
      </c>
      <c r="F2624" s="5" t="s">
        <v>39</v>
      </c>
      <c r="G2624" s="6" t="str">
        <f>VLOOKUP(E2624,dicionario!$A$1:$C3023,2,0)</f>
        <v>Troglodytes musculus</v>
      </c>
      <c r="H2624" s="6" t="str">
        <f>VLOOKUP(E2624,dicionario!$A$1:$C3023,3,0)</f>
        <v>curruíra</v>
      </c>
    </row>
    <row r="2625">
      <c r="A2625" s="3">
        <v>45617.0</v>
      </c>
      <c r="B2625" s="4">
        <v>0.32708333333333334</v>
      </c>
      <c r="C2625" s="5" t="s">
        <v>64</v>
      </c>
      <c r="D2625" s="5" t="s">
        <v>717</v>
      </c>
      <c r="E2625" s="6" t="s">
        <v>191</v>
      </c>
      <c r="F2625" s="5" t="s">
        <v>771</v>
      </c>
      <c r="G2625" s="6" t="str">
        <f>VLOOKUP(E2625,dicionario!$A$1:$C3024,2,0)</f>
        <v>Patagioenas picazuro</v>
      </c>
      <c r="H2625" s="6" t="str">
        <f>VLOOKUP(E2625,dicionario!$A$1:$C3024,3,0)</f>
        <v>asa-branca; pomba-asa-branca; pocaçu</v>
      </c>
    </row>
    <row r="2626">
      <c r="A2626" s="3">
        <v>45617.0</v>
      </c>
      <c r="B2626" s="4">
        <v>0.32708333333333334</v>
      </c>
      <c r="C2626" s="5" t="s">
        <v>64</v>
      </c>
      <c r="D2626" s="5" t="s">
        <v>717</v>
      </c>
      <c r="E2626" s="6" t="s">
        <v>148</v>
      </c>
      <c r="F2626" s="5" t="s">
        <v>772</v>
      </c>
      <c r="G2626" s="6" t="str">
        <f>VLOOKUP(E2626,dicionario!$A$1:$C3025,2,0)</f>
        <v>Parthenium hysterophorus</v>
      </c>
      <c r="H2626" s="6" t="str">
        <f>VLOOKUP(E2626,dicionario!$A$1:$C3025,3,0)</f>
        <v>losna-branca</v>
      </c>
    </row>
    <row r="2627">
      <c r="A2627" s="3">
        <v>45617.0</v>
      </c>
      <c r="B2627" s="4">
        <v>0.3277777777777778</v>
      </c>
      <c r="C2627" s="5" t="s">
        <v>64</v>
      </c>
      <c r="D2627" s="5" t="s">
        <v>717</v>
      </c>
      <c r="E2627" s="6" t="s">
        <v>55</v>
      </c>
      <c r="F2627" s="5" t="s">
        <v>773</v>
      </c>
      <c r="G2627" s="6" t="str">
        <f>VLOOKUP(E2627,dicionario!$A$1:$C3026,2,0)</f>
        <v>Cubaris murina</v>
      </c>
      <c r="H2627" s="6" t="str">
        <f>VLOOKUP(E2627,dicionario!$A$1:$C3026,3,0)</f>
        <v>tatuzinho-de-jardim</v>
      </c>
    </row>
    <row r="2628">
      <c r="A2628" s="3">
        <v>45617.0</v>
      </c>
      <c r="B2628" s="4">
        <v>0.3277777777777778</v>
      </c>
      <c r="C2628" s="5" t="s">
        <v>64</v>
      </c>
      <c r="D2628" s="5" t="s">
        <v>717</v>
      </c>
      <c r="E2628" s="8" t="s">
        <v>774</v>
      </c>
      <c r="F2628" s="5" t="s">
        <v>775</v>
      </c>
      <c r="G2628" s="6" t="str">
        <f>VLOOKUP(E2628,dicionario!$A$1:$C3027,2,0)</f>
        <v>#N/A</v>
      </c>
      <c r="H2628" s="6" t="str">
        <f>VLOOKUP(E2628,dicionario!$A$1:$C3027,3,0)</f>
        <v>#N/A</v>
      </c>
    </row>
    <row r="2629">
      <c r="A2629" s="3">
        <v>45617.0</v>
      </c>
      <c r="B2629" s="4">
        <v>0.3277777777777778</v>
      </c>
      <c r="C2629" s="5" t="s">
        <v>64</v>
      </c>
      <c r="D2629" s="5" t="s">
        <v>717</v>
      </c>
      <c r="E2629" s="6" t="s">
        <v>294</v>
      </c>
      <c r="F2629" s="7" t="s">
        <v>295</v>
      </c>
      <c r="G2629" s="6" t="str">
        <f>VLOOKUP(E2629,dicionario!$A$1:$C3028,2,0)</f>
        <v>Cycloneda sanguinea</v>
      </c>
      <c r="H2629" s="6" t="str">
        <f>VLOOKUP(E2629,dicionario!$A$1:$C3028,3,0)</f>
        <v>joaninha-sem-pintas</v>
      </c>
    </row>
    <row r="2630">
      <c r="A2630" s="3">
        <v>45617.0</v>
      </c>
      <c r="B2630" s="4">
        <v>0.3277777777777778</v>
      </c>
      <c r="C2630" s="5" t="s">
        <v>64</v>
      </c>
      <c r="D2630" s="5" t="s">
        <v>717</v>
      </c>
      <c r="E2630" s="6" t="s">
        <v>20</v>
      </c>
      <c r="F2630" s="7" t="s">
        <v>21</v>
      </c>
      <c r="G2630" s="6" t="str">
        <f>VLOOKUP(E2630,dicionario!$A$1:$C3029,2,0)</f>
        <v>Sicalis flaveola</v>
      </c>
      <c r="H2630" s="6" t="str">
        <f>VLOOKUP(E2630,dicionario!$A$1:$C3029,3,0)</f>
        <v>canário-da-terra</v>
      </c>
    </row>
    <row r="2631">
      <c r="A2631" s="3">
        <v>45617.0</v>
      </c>
      <c r="B2631" s="4">
        <v>0.3284722222222222</v>
      </c>
      <c r="C2631" s="5" t="s">
        <v>64</v>
      </c>
      <c r="D2631" s="5" t="s">
        <v>717</v>
      </c>
      <c r="E2631" s="9" t="s">
        <v>22</v>
      </c>
      <c r="F2631" s="5" t="s">
        <v>776</v>
      </c>
      <c r="G2631" s="6" t="str">
        <f>VLOOKUP(E2631,dicionario!$A$1:$C3030,2,0)</f>
        <v>Zenaida auriculata</v>
      </c>
      <c r="H2631" s="6" t="str">
        <f>VLOOKUP(E2631,dicionario!$A$1:$C3030,3,0)</f>
        <v>pomba-de-bando; avoante</v>
      </c>
    </row>
    <row r="2632">
      <c r="A2632" s="3">
        <v>45617.0</v>
      </c>
      <c r="B2632" s="4">
        <v>0.3284722222222222</v>
      </c>
      <c r="C2632" s="5" t="s">
        <v>64</v>
      </c>
      <c r="D2632" s="5" t="s">
        <v>717</v>
      </c>
      <c r="E2632" s="6" t="s">
        <v>109</v>
      </c>
      <c r="F2632" s="5" t="s">
        <v>777</v>
      </c>
      <c r="G2632" s="6" t="str">
        <f>VLOOKUP(E2632,dicionario!$A$1:$C3031,2,0)</f>
        <v>Tillandsia stricta</v>
      </c>
      <c r="H2632" s="6" t="str">
        <f>VLOOKUP(E2632,dicionario!$A$1:$C3031,3,0)</f>
        <v>cravo-do-mato</v>
      </c>
    </row>
    <row r="2633">
      <c r="A2633" s="3">
        <v>45617.0</v>
      </c>
      <c r="B2633" s="4">
        <v>0.3284722222222222</v>
      </c>
      <c r="C2633" s="5" t="s">
        <v>64</v>
      </c>
      <c r="D2633" s="5" t="s">
        <v>717</v>
      </c>
      <c r="E2633" s="6" t="s">
        <v>181</v>
      </c>
      <c r="F2633" s="5" t="s">
        <v>778</v>
      </c>
      <c r="G2633" s="6" t="str">
        <f>VLOOKUP(E2633,dicionario!$A$1:$C3032,2,0)</f>
        <v>#N/A</v>
      </c>
      <c r="H2633" s="6" t="str">
        <f>VLOOKUP(E2633,dicionario!$A$1:$C3032,3,0)</f>
        <v>#N/A</v>
      </c>
    </row>
    <row r="2634">
      <c r="A2634" s="3">
        <v>45617.0</v>
      </c>
      <c r="B2634" s="4">
        <v>0.3284722222222222</v>
      </c>
      <c r="C2634" s="5" t="s">
        <v>64</v>
      </c>
      <c r="D2634" s="5" t="s">
        <v>717</v>
      </c>
      <c r="E2634" s="6" t="s">
        <v>290</v>
      </c>
      <c r="F2634" s="5" t="s">
        <v>779</v>
      </c>
      <c r="G2634" s="6" t="str">
        <f>VLOOKUP(E2634,dicionario!$A$1:$C3033,2,0)</f>
        <v>Drymaria cordata</v>
      </c>
      <c r="H2634" s="6" t="str">
        <f>VLOOKUP(E2634,dicionario!$A$1:$C3033,3,0)</f>
        <v>orelha-de-rato</v>
      </c>
    </row>
    <row r="2635">
      <c r="A2635" s="3">
        <v>45617.0</v>
      </c>
      <c r="B2635" s="4">
        <v>0.3284722222222222</v>
      </c>
      <c r="C2635" s="5" t="s">
        <v>64</v>
      </c>
      <c r="D2635" s="5" t="s">
        <v>717</v>
      </c>
      <c r="E2635" s="6" t="s">
        <v>111</v>
      </c>
      <c r="F2635" s="7" t="s">
        <v>112</v>
      </c>
      <c r="G2635" s="6" t="str">
        <f>VLOOKUP(E2635,dicionario!$A$1:$C3034,2,0)</f>
        <v>Trigona spinipes</v>
      </c>
      <c r="H2635" s="6" t="str">
        <f>VLOOKUP(E2635,dicionario!$A$1:$C3034,3,0)</f>
        <v>abelha-cachorro</v>
      </c>
    </row>
    <row r="2636">
      <c r="A2636" s="3">
        <v>45617.0</v>
      </c>
      <c r="B2636" s="4">
        <v>0.3284722222222222</v>
      </c>
      <c r="C2636" s="5" t="s">
        <v>64</v>
      </c>
      <c r="D2636" s="5" t="s">
        <v>717</v>
      </c>
      <c r="E2636" s="6" t="s">
        <v>253</v>
      </c>
      <c r="F2636" s="5" t="s">
        <v>780</v>
      </c>
      <c r="G2636" s="6" t="str">
        <f>VLOOKUP(E2636,dicionario!$A$1:$C3035,2,0)</f>
        <v>Panicum maximum</v>
      </c>
      <c r="H2636" s="6" t="str">
        <f>VLOOKUP(E2636,dicionario!$A$1:$C3035,3,0)</f>
        <v>capim-colonião</v>
      </c>
    </row>
    <row r="2637">
      <c r="A2637" s="3">
        <v>45617.0</v>
      </c>
      <c r="B2637" s="4">
        <v>0.3284722222222222</v>
      </c>
      <c r="C2637" s="5" t="s">
        <v>64</v>
      </c>
      <c r="D2637" s="5" t="s">
        <v>717</v>
      </c>
      <c r="E2637" s="6" t="s">
        <v>286</v>
      </c>
      <c r="F2637" s="5" t="s">
        <v>781</v>
      </c>
      <c r="G2637" s="6" t="str">
        <f>VLOOKUP(E2637,dicionario!$A$1:$C3036,2,0)</f>
        <v>Setaria parviflora</v>
      </c>
      <c r="H2637" s="6" t="str">
        <f>VLOOKUP(E2637,dicionario!$A$1:$C3036,3,0)</f>
        <v>capim-rabo-de-raposa</v>
      </c>
    </row>
    <row r="2638">
      <c r="A2638" s="3">
        <v>45617.0</v>
      </c>
      <c r="B2638" s="4">
        <v>0.3298611111111111</v>
      </c>
      <c r="C2638" s="5" t="s">
        <v>64</v>
      </c>
      <c r="D2638" s="5" t="s">
        <v>717</v>
      </c>
      <c r="E2638" s="18" t="s">
        <v>611</v>
      </c>
      <c r="F2638" s="5" t="s">
        <v>612</v>
      </c>
      <c r="G2638" s="6" t="str">
        <f>VLOOKUP(E2638,dicionario!$A$1:$C3037,2,0)</f>
        <v>Boehmeria cylindrica</v>
      </c>
      <c r="H2638" s="6" t="str">
        <f>VLOOKUP(E2638,dicionario!$A$1:$C3037,3,0)</f>
        <v>falsa-urtiga</v>
      </c>
    </row>
    <row r="2639">
      <c r="A2639" s="3">
        <v>45617.0</v>
      </c>
      <c r="B2639" s="4">
        <v>0.3298611111111111</v>
      </c>
      <c r="C2639" s="5" t="s">
        <v>64</v>
      </c>
      <c r="D2639" s="5" t="s">
        <v>717</v>
      </c>
      <c r="E2639" s="6" t="s">
        <v>88</v>
      </c>
      <c r="F2639" s="5" t="s">
        <v>782</v>
      </c>
      <c r="G2639" s="6" t="str">
        <f>VLOOKUP(E2639,dicionario!$A$1:$C3038,2,0)</f>
        <v>Tyrannus melancolichus</v>
      </c>
      <c r="H2639" s="6" t="str">
        <f>VLOOKUP(E2639,dicionario!$A$1:$C3038,3,0)</f>
        <v>suiriri</v>
      </c>
    </row>
    <row r="2640">
      <c r="A2640" s="3">
        <v>45617.0</v>
      </c>
      <c r="B2640" s="4">
        <v>0.3298611111111111</v>
      </c>
      <c r="C2640" s="5" t="s">
        <v>64</v>
      </c>
      <c r="D2640" s="5" t="s">
        <v>717</v>
      </c>
      <c r="E2640" s="8" t="s">
        <v>143</v>
      </c>
      <c r="F2640" s="5" t="s">
        <v>63</v>
      </c>
      <c r="G2640" s="6" t="str">
        <f>VLOOKUP(E2640,dicionario!$A$1:$C3039,2,0)</f>
        <v>Polybia</v>
      </c>
      <c r="H2640" s="6" t="str">
        <f>VLOOKUP(E2640,dicionario!$A$1:$C3039,3,0)</f>
        <v>vespa</v>
      </c>
    </row>
    <row r="2641">
      <c r="A2641" s="3">
        <v>45617.0</v>
      </c>
      <c r="B2641" s="4">
        <v>0.3298611111111111</v>
      </c>
      <c r="C2641" s="5" t="s">
        <v>64</v>
      </c>
      <c r="D2641" s="5" t="s">
        <v>717</v>
      </c>
      <c r="E2641" s="6" t="s">
        <v>326</v>
      </c>
      <c r="F2641" s="5" t="s">
        <v>327</v>
      </c>
      <c r="G2641" s="6" t="str">
        <f>VLOOKUP(E2641,dicionario!$A$1:$C3040,2,0)</f>
        <v>Amaranthus spinosus</v>
      </c>
      <c r="H2641" s="6" t="str">
        <f>VLOOKUP(E2641,dicionario!$A$1:$C3040,3,0)</f>
        <v>caruru-de-espinho</v>
      </c>
    </row>
    <row r="2642">
      <c r="A2642" s="3">
        <v>45617.0</v>
      </c>
      <c r="B2642" s="4">
        <v>0.3298611111111111</v>
      </c>
      <c r="C2642" s="5" t="s">
        <v>64</v>
      </c>
      <c r="D2642" s="5" t="s">
        <v>717</v>
      </c>
      <c r="E2642" s="12" t="s">
        <v>152</v>
      </c>
      <c r="F2642" s="5" t="s">
        <v>153</v>
      </c>
      <c r="G2642" s="6" t="str">
        <f>VLOOKUP(E2642,dicionario!$A$1:$C3041,2,0)</f>
        <v>Cynodon dactylon</v>
      </c>
      <c r="H2642" s="6" t="str">
        <f>VLOOKUP(E2642,dicionario!$A$1:$C3041,3,0)</f>
        <v>grama-bermuda</v>
      </c>
    </row>
    <row r="2643">
      <c r="A2643" s="3">
        <v>45617.0</v>
      </c>
      <c r="B2643" s="4">
        <v>0.3298611111111111</v>
      </c>
      <c r="C2643" s="5" t="s">
        <v>64</v>
      </c>
      <c r="D2643" s="5" t="s">
        <v>717</v>
      </c>
      <c r="E2643" s="6" t="s">
        <v>86</v>
      </c>
      <c r="F2643" s="5" t="s">
        <v>783</v>
      </c>
      <c r="G2643" s="6" t="str">
        <f>VLOOKUP(E2643,dicionario!$A$1:$C3042,2,0)</f>
        <v>Coereba flaveola</v>
      </c>
      <c r="H2643" s="6" t="str">
        <f>VLOOKUP(E2643,dicionario!$A$1:$C3042,3,0)</f>
        <v>cambacica</v>
      </c>
    </row>
    <row r="2644">
      <c r="A2644" s="3">
        <v>45617.0</v>
      </c>
      <c r="B2644" s="4">
        <v>0.3298611111111111</v>
      </c>
      <c r="C2644" s="5" t="s">
        <v>64</v>
      </c>
      <c r="D2644" s="5" t="s">
        <v>717</v>
      </c>
      <c r="E2644" s="8" t="s">
        <v>784</v>
      </c>
      <c r="F2644" s="5" t="s">
        <v>785</v>
      </c>
      <c r="G2644" s="6" t="str">
        <f>VLOOKUP(E2644,dicionario!$A$1:$C3043,2,0)</f>
        <v>#N/A</v>
      </c>
      <c r="H2644" s="6" t="str">
        <f>VLOOKUP(E2644,dicionario!$A$1:$C3043,3,0)</f>
        <v>#N/A</v>
      </c>
    </row>
    <row r="2645">
      <c r="A2645" s="3">
        <v>45617.0</v>
      </c>
      <c r="B2645" s="4">
        <v>0.33194444444444443</v>
      </c>
      <c r="C2645" s="5" t="s">
        <v>64</v>
      </c>
      <c r="D2645" s="5" t="s">
        <v>717</v>
      </c>
      <c r="E2645" s="8" t="s">
        <v>262</v>
      </c>
      <c r="F2645" s="7" t="s">
        <v>263</v>
      </c>
      <c r="G2645" s="6" t="str">
        <f>VLOOKUP(E2645,dicionario!$A$1:$C3044,2,0)</f>
        <v>Portulaca oleracea</v>
      </c>
      <c r="H2645" s="6" t="str">
        <f>VLOOKUP(E2645,dicionario!$A$1:$C3044,3,0)</f>
        <v>beldroega</v>
      </c>
    </row>
    <row r="2646">
      <c r="A2646" s="3">
        <v>45617.0</v>
      </c>
      <c r="B2646" s="4">
        <v>0.33541666666666664</v>
      </c>
      <c r="C2646" s="5" t="s">
        <v>76</v>
      </c>
      <c r="D2646" s="5" t="s">
        <v>717</v>
      </c>
      <c r="E2646" s="8" t="s">
        <v>786</v>
      </c>
      <c r="F2646" s="5" t="s">
        <v>787</v>
      </c>
      <c r="G2646" s="6" t="str">
        <f>VLOOKUP(E2646,dicionario!$A$1:$C3045,2,0)</f>
        <v>Lycianthes asarifolia</v>
      </c>
      <c r="H2646" s="6" t="str">
        <f>VLOOKUP(E2646,dicionario!$A$1:$C3045,3,0)</f>
        <v>joá-rasteiro</v>
      </c>
    </row>
    <row r="2647">
      <c r="A2647" s="3">
        <v>45617.0</v>
      </c>
      <c r="B2647" s="4">
        <v>0.33541666666666664</v>
      </c>
      <c r="C2647" s="5" t="s">
        <v>76</v>
      </c>
      <c r="D2647" s="5" t="s">
        <v>717</v>
      </c>
      <c r="E2647" s="6" t="s">
        <v>286</v>
      </c>
      <c r="F2647" s="5" t="s">
        <v>781</v>
      </c>
      <c r="G2647" s="6" t="str">
        <f>VLOOKUP(E2647,dicionario!$A$1:$C3046,2,0)</f>
        <v>Setaria parviflora</v>
      </c>
      <c r="H2647" s="6" t="str">
        <f>VLOOKUP(E2647,dicionario!$A$1:$C3046,3,0)</f>
        <v>capim-rabo-de-raposa</v>
      </c>
    </row>
    <row r="2648">
      <c r="A2648" s="3">
        <v>45617.0</v>
      </c>
      <c r="B2648" s="4">
        <v>0.33541666666666664</v>
      </c>
      <c r="C2648" s="5" t="s">
        <v>76</v>
      </c>
      <c r="D2648" s="5" t="s">
        <v>717</v>
      </c>
      <c r="E2648" s="6" t="s">
        <v>83</v>
      </c>
      <c r="F2648" s="5" t="s">
        <v>788</v>
      </c>
      <c r="G2648" s="6" t="str">
        <f>VLOOKUP(E2648,dicionario!$A$1:$C3047,2,0)</f>
        <v>Anartia jatrophae</v>
      </c>
      <c r="H2648" s="6" t="str">
        <f>VLOOKUP(E2648,dicionario!$A$1:$C3047,3,0)</f>
        <v>borboleta-pavão-branco</v>
      </c>
    </row>
    <row r="2649">
      <c r="A2649" s="3">
        <v>45617.0</v>
      </c>
      <c r="B2649" s="4">
        <v>0.33541666666666664</v>
      </c>
      <c r="C2649" s="5" t="s">
        <v>76</v>
      </c>
      <c r="D2649" s="5" t="s">
        <v>717</v>
      </c>
      <c r="E2649" s="6" t="s">
        <v>72</v>
      </c>
      <c r="F2649" s="5" t="s">
        <v>764</v>
      </c>
      <c r="G2649" s="6" t="str">
        <f>VLOOKUP(E2649,dicionario!$A$1:$C3048,2,0)</f>
        <v>Thraupis palmarum</v>
      </c>
      <c r="H2649" s="6" t="str">
        <f>VLOOKUP(E2649,dicionario!$A$1:$C3048,3,0)</f>
        <v>sanhaço-do-coqueiro</v>
      </c>
    </row>
    <row r="2650">
      <c r="A2650" s="3">
        <v>45617.0</v>
      </c>
      <c r="B2650" s="4">
        <v>0.33541666666666664</v>
      </c>
      <c r="C2650" s="5" t="s">
        <v>76</v>
      </c>
      <c r="D2650" s="5" t="s">
        <v>717</v>
      </c>
      <c r="E2650" s="6" t="s">
        <v>324</v>
      </c>
      <c r="F2650" s="5" t="s">
        <v>325</v>
      </c>
      <c r="G2650" s="6" t="str">
        <f>VLOOKUP(E2650,dicionario!$A$1:$C3049,2,0)</f>
        <v>#N/A</v>
      </c>
      <c r="H2650" s="6" t="str">
        <f>VLOOKUP(E2650,dicionario!$A$1:$C3049,3,0)</f>
        <v>#N/A</v>
      </c>
    </row>
    <row r="2651">
      <c r="A2651" s="3">
        <v>45617.0</v>
      </c>
      <c r="B2651" s="4">
        <v>0.33611111111111114</v>
      </c>
      <c r="C2651" s="5" t="s">
        <v>76</v>
      </c>
      <c r="D2651" s="5" t="s">
        <v>717</v>
      </c>
      <c r="E2651" s="6" t="s">
        <v>401</v>
      </c>
      <c r="F2651" s="5" t="s">
        <v>770</v>
      </c>
      <c r="G2651" s="6" t="str">
        <f>VLOOKUP(E2651,dicionario!$A$1:$C3050,2,0)</f>
        <v>Cissus verticillata</v>
      </c>
      <c r="H2651" s="6" t="str">
        <f>VLOOKUP(E2651,dicionario!$A$1:$C3050,3,0)</f>
        <v>uva-do-mato</v>
      </c>
    </row>
    <row r="2652">
      <c r="A2652" s="3">
        <v>45617.0</v>
      </c>
      <c r="B2652" s="4">
        <v>0.33611111111111114</v>
      </c>
      <c r="C2652" s="5" t="s">
        <v>76</v>
      </c>
      <c r="D2652" s="5" t="s">
        <v>717</v>
      </c>
      <c r="E2652" s="8" t="s">
        <v>195</v>
      </c>
      <c r="F2652" s="5" t="s">
        <v>196</v>
      </c>
      <c r="G2652" s="6" t="str">
        <f>VLOOKUP(E2652,dicionario!$A$1:$C3051,2,0)</f>
        <v>Priva lappulacea</v>
      </c>
      <c r="H2652" s="6" t="str">
        <f>VLOOKUP(E2652,dicionario!$A$1:$C3051,3,0)</f>
        <v>carrapicho</v>
      </c>
    </row>
    <row r="2653">
      <c r="A2653" s="3">
        <v>45617.0</v>
      </c>
      <c r="B2653" s="4">
        <v>0.33611111111111114</v>
      </c>
      <c r="C2653" s="5" t="s">
        <v>76</v>
      </c>
      <c r="D2653" s="5" t="s">
        <v>717</v>
      </c>
      <c r="E2653" s="6" t="s">
        <v>253</v>
      </c>
      <c r="F2653" s="5" t="s">
        <v>780</v>
      </c>
      <c r="G2653" s="6" t="str">
        <f>VLOOKUP(E2653,dicionario!$A$1:$C3052,2,0)</f>
        <v>Panicum maximum</v>
      </c>
      <c r="H2653" s="6" t="str">
        <f>VLOOKUP(E2653,dicionario!$A$1:$C3052,3,0)</f>
        <v>capim-colonião</v>
      </c>
    </row>
    <row r="2654">
      <c r="A2654" s="3">
        <v>45617.0</v>
      </c>
      <c r="B2654" s="4">
        <v>0.33611111111111114</v>
      </c>
      <c r="C2654" s="5" t="s">
        <v>76</v>
      </c>
      <c r="D2654" s="5" t="s">
        <v>717</v>
      </c>
      <c r="E2654" s="12" t="s">
        <v>152</v>
      </c>
      <c r="F2654" s="5" t="s">
        <v>789</v>
      </c>
      <c r="G2654" s="6" t="str">
        <f>VLOOKUP(E2654,dicionario!$A$1:$C3053,2,0)</f>
        <v>Cynodon dactylon</v>
      </c>
      <c r="H2654" s="6" t="str">
        <f>VLOOKUP(E2654,dicionario!$A$1:$C3053,3,0)</f>
        <v>grama-bermuda</v>
      </c>
    </row>
    <row r="2655">
      <c r="A2655" s="3">
        <v>45617.0</v>
      </c>
      <c r="B2655" s="4">
        <v>0.33611111111111114</v>
      </c>
      <c r="C2655" s="5" t="s">
        <v>76</v>
      </c>
      <c r="D2655" s="5" t="s">
        <v>717</v>
      </c>
      <c r="E2655" s="6" t="s">
        <v>256</v>
      </c>
      <c r="F2655" s="5" t="s">
        <v>790</v>
      </c>
      <c r="G2655" s="6" t="str">
        <f>VLOOKUP(E2655,dicionario!$A$1:$C3054,2,0)</f>
        <v>Youngia japonica</v>
      </c>
      <c r="H2655" s="6" t="str">
        <f>VLOOKUP(E2655,dicionario!$A$1:$C3054,3,0)</f>
        <v>barba-de-falcão</v>
      </c>
    </row>
    <row r="2656">
      <c r="A2656" s="3">
        <v>45617.0</v>
      </c>
      <c r="B2656" s="4">
        <v>0.33611111111111114</v>
      </c>
      <c r="C2656" s="5" t="s">
        <v>76</v>
      </c>
      <c r="D2656" s="5" t="s">
        <v>717</v>
      </c>
      <c r="E2656" s="6" t="s">
        <v>148</v>
      </c>
      <c r="F2656" s="5" t="s">
        <v>772</v>
      </c>
      <c r="G2656" s="6" t="str">
        <f>VLOOKUP(E2656,dicionario!$A$1:$C3055,2,0)</f>
        <v>Parthenium hysterophorus</v>
      </c>
      <c r="H2656" s="6" t="str">
        <f>VLOOKUP(E2656,dicionario!$A$1:$C3055,3,0)</f>
        <v>losna-branca</v>
      </c>
    </row>
    <row r="2657">
      <c r="A2657" s="3">
        <v>45617.0</v>
      </c>
      <c r="B2657" s="4">
        <v>0.33611111111111114</v>
      </c>
      <c r="C2657" s="5" t="s">
        <v>76</v>
      </c>
      <c r="D2657" s="5" t="s">
        <v>717</v>
      </c>
      <c r="E2657" s="6" t="s">
        <v>144</v>
      </c>
      <c r="F2657" s="5" t="s">
        <v>791</v>
      </c>
      <c r="G2657" s="6" t="str">
        <f>VLOOKUP(E2657,dicionario!$A$1:$C3056,2,0)</f>
        <v>Gomphrena globosa</v>
      </c>
      <c r="H2657" s="6" t="str">
        <f>VLOOKUP(E2657,dicionario!$A$1:$C3056,3,0)</f>
        <v>perpétua-rosa</v>
      </c>
    </row>
    <row r="2658">
      <c r="A2658" s="3">
        <v>45617.0</v>
      </c>
      <c r="B2658" s="4">
        <v>0.3368055555555556</v>
      </c>
      <c r="C2658" s="5" t="s">
        <v>76</v>
      </c>
      <c r="D2658" s="5" t="s">
        <v>717</v>
      </c>
      <c r="E2658" s="8" t="s">
        <v>792</v>
      </c>
      <c r="F2658" s="5" t="s">
        <v>793</v>
      </c>
      <c r="G2658" s="6" t="str">
        <f>VLOOKUP(E2658,dicionario!$A$1:$C3057,2,0)</f>
        <v>Musca domestica</v>
      </c>
      <c r="H2658" s="6" t="str">
        <f>VLOOKUP(E2658,dicionario!$A$1:$C3057,3,0)</f>
        <v>mosca-doméstica</v>
      </c>
    </row>
    <row r="2659">
      <c r="A2659" s="3">
        <v>45617.0</v>
      </c>
      <c r="B2659" s="4">
        <v>0.3375</v>
      </c>
      <c r="C2659" s="5" t="s">
        <v>76</v>
      </c>
      <c r="D2659" s="5" t="s">
        <v>717</v>
      </c>
      <c r="E2659" s="6" t="s">
        <v>20</v>
      </c>
      <c r="F2659" s="7" t="s">
        <v>21</v>
      </c>
      <c r="G2659" s="6" t="str">
        <f>VLOOKUP(E2659,dicionario!$A$1:$C3058,2,0)</f>
        <v>Sicalis flaveola</v>
      </c>
      <c r="H2659" s="6" t="str">
        <f>VLOOKUP(E2659,dicionario!$A$1:$C3058,3,0)</f>
        <v>canário-da-terra</v>
      </c>
    </row>
    <row r="2660">
      <c r="A2660" s="3">
        <v>45617.0</v>
      </c>
      <c r="B2660" s="4">
        <v>0.3375</v>
      </c>
      <c r="C2660" s="5" t="s">
        <v>76</v>
      </c>
      <c r="D2660" s="5" t="s">
        <v>717</v>
      </c>
      <c r="E2660" s="6" t="s">
        <v>290</v>
      </c>
      <c r="F2660" s="5" t="s">
        <v>291</v>
      </c>
      <c r="G2660" s="6" t="str">
        <f>VLOOKUP(E2660,dicionario!$A$1:$C3059,2,0)</f>
        <v>Drymaria cordata</v>
      </c>
      <c r="H2660" s="6" t="str">
        <f>VLOOKUP(E2660,dicionario!$A$1:$C3059,3,0)</f>
        <v>orelha-de-rato</v>
      </c>
    </row>
    <row r="2661">
      <c r="A2661" s="3">
        <v>45617.0</v>
      </c>
      <c r="B2661" s="4">
        <v>0.3375</v>
      </c>
      <c r="C2661" s="5" t="s">
        <v>76</v>
      </c>
      <c r="D2661" s="5" t="s">
        <v>717</v>
      </c>
      <c r="E2661" s="6" t="s">
        <v>146</v>
      </c>
      <c r="F2661" s="5" t="s">
        <v>794</v>
      </c>
      <c r="G2661" s="6" t="str">
        <f>VLOOKUP(E2661,dicionario!$A$1:$C3060,2,0)</f>
        <v>Euphorbia hirta</v>
      </c>
      <c r="H2661" s="6" t="str">
        <f>VLOOKUP(E2661,dicionario!$A$1:$C3060,3,0)</f>
        <v>erva-de-santa-luzia</v>
      </c>
    </row>
    <row r="2662">
      <c r="A2662" s="3">
        <v>45617.0</v>
      </c>
      <c r="B2662" s="4">
        <v>0.33819444444444446</v>
      </c>
      <c r="C2662" s="5" t="s">
        <v>76</v>
      </c>
      <c r="D2662" s="5" t="s">
        <v>717</v>
      </c>
      <c r="E2662" s="8" t="s">
        <v>795</v>
      </c>
      <c r="F2662" s="5" t="s">
        <v>796</v>
      </c>
      <c r="G2662" s="6" t="str">
        <f>VLOOKUP(E2662,dicionario!$A$1:$C3061,2,0)</f>
        <v>#N/A</v>
      </c>
      <c r="H2662" s="6" t="str">
        <f>VLOOKUP(E2662,dicionario!$A$1:$C3061,3,0)</f>
        <v>#N/A</v>
      </c>
    </row>
    <row r="2663">
      <c r="A2663" s="3">
        <v>45617.0</v>
      </c>
      <c r="B2663" s="4">
        <v>0.33819444444444446</v>
      </c>
      <c r="C2663" s="5" t="s">
        <v>76</v>
      </c>
      <c r="D2663" s="5" t="s">
        <v>717</v>
      </c>
      <c r="E2663" s="8" t="s">
        <v>504</v>
      </c>
      <c r="F2663" s="5" t="s">
        <v>534</v>
      </c>
      <c r="G2663" s="6" t="str">
        <f>VLOOKUP(E2663,dicionario!$A$1:$C3062,2,0)</f>
        <v>Cleome aculeata</v>
      </c>
      <c r="H2663" s="6" t="str">
        <f>VLOOKUP(E2663,dicionario!$A$1:$C3062,3,0)</f>
        <v>cleome</v>
      </c>
    </row>
    <row r="2664">
      <c r="A2664" s="3">
        <v>45617.0</v>
      </c>
      <c r="B2664" s="4">
        <v>0.33819444444444446</v>
      </c>
      <c r="C2664" s="5" t="s">
        <v>76</v>
      </c>
      <c r="D2664" s="5" t="s">
        <v>717</v>
      </c>
      <c r="E2664" s="12" t="s">
        <v>221</v>
      </c>
      <c r="F2664" s="5" t="s">
        <v>797</v>
      </c>
      <c r="G2664" s="6" t="str">
        <f>VLOOKUP(E2664,dicionario!$A$1:$C3063,2,0)</f>
        <v>Volatinia jacarina</v>
      </c>
      <c r="H2664" s="6" t="str">
        <f>VLOOKUP(E2664,dicionario!$A$1:$C3063,3,0)</f>
        <v>tiziu</v>
      </c>
    </row>
    <row r="2665">
      <c r="A2665" s="3">
        <v>45617.0</v>
      </c>
      <c r="B2665" s="4">
        <v>0.33819444444444446</v>
      </c>
      <c r="C2665" s="5" t="s">
        <v>76</v>
      </c>
      <c r="D2665" s="5" t="s">
        <v>717</v>
      </c>
      <c r="E2665" s="6" t="s">
        <v>267</v>
      </c>
      <c r="F2665" s="5" t="s">
        <v>765</v>
      </c>
      <c r="G2665" s="6" t="str">
        <f>VLOOKUP(E2665,dicionario!$A$1:$C3064,2,0)</f>
        <v>Solanum americanum</v>
      </c>
      <c r="H2665" s="6" t="str">
        <f>VLOOKUP(E2665,dicionario!$A$1:$C3064,3,0)</f>
        <v>maria-pretinha</v>
      </c>
    </row>
    <row r="2666">
      <c r="A2666" s="3">
        <v>45617.0</v>
      </c>
      <c r="B2666" s="4">
        <v>0.3388888888888889</v>
      </c>
      <c r="C2666" s="5" t="s">
        <v>76</v>
      </c>
      <c r="D2666" s="5" t="s">
        <v>717</v>
      </c>
      <c r="E2666" s="6" t="s">
        <v>294</v>
      </c>
      <c r="F2666" s="7" t="s">
        <v>295</v>
      </c>
      <c r="G2666" s="6" t="str">
        <f>VLOOKUP(E2666,dicionario!$A$1:$C3065,2,0)</f>
        <v>Cycloneda sanguinea</v>
      </c>
      <c r="H2666" s="6" t="str">
        <f>VLOOKUP(E2666,dicionario!$A$1:$C3065,3,0)</f>
        <v>joaninha-sem-pintas</v>
      </c>
    </row>
    <row r="2667">
      <c r="A2667" s="3">
        <v>45617.0</v>
      </c>
      <c r="B2667" s="4">
        <v>0.3388888888888889</v>
      </c>
      <c r="C2667" s="5" t="s">
        <v>76</v>
      </c>
      <c r="D2667" s="5" t="s">
        <v>717</v>
      </c>
      <c r="E2667" s="6" t="s">
        <v>271</v>
      </c>
      <c r="F2667" s="7" t="s">
        <v>272</v>
      </c>
      <c r="G2667" s="6" t="str">
        <f>VLOOKUP(E2667,dicionario!$A$1:$C3066,2,0)</f>
        <v>Cyanthillium cinereum</v>
      </c>
      <c r="H2667" s="6" t="str">
        <f>VLOOKUP(E2667,dicionario!$A$1:$C3066,3,0)</f>
        <v>emília</v>
      </c>
    </row>
    <row r="2668">
      <c r="A2668" s="3">
        <v>45617.0</v>
      </c>
      <c r="B2668" s="4">
        <v>0.3388888888888889</v>
      </c>
      <c r="C2668" s="5" t="s">
        <v>76</v>
      </c>
      <c r="D2668" s="5" t="s">
        <v>717</v>
      </c>
      <c r="E2668" s="6" t="s">
        <v>183</v>
      </c>
      <c r="F2668" s="5" t="s">
        <v>184</v>
      </c>
      <c r="G2668" s="6" t="str">
        <f>VLOOKUP(E2668,dicionario!$A$1:$C3067,2,0)</f>
        <v>Thunbergia alata</v>
      </c>
      <c r="H2668" s="6" t="str">
        <f>VLOOKUP(E2668,dicionario!$A$1:$C3067,3,0)</f>
        <v>susana-dos-olhos-negros</v>
      </c>
    </row>
    <row r="2669">
      <c r="A2669" s="3">
        <v>45617.0</v>
      </c>
      <c r="B2669" s="4">
        <v>0.3388888888888889</v>
      </c>
      <c r="C2669" s="5" t="s">
        <v>76</v>
      </c>
      <c r="D2669" s="5" t="s">
        <v>717</v>
      </c>
      <c r="E2669" s="18" t="s">
        <v>275</v>
      </c>
      <c r="F2669" s="5" t="s">
        <v>276</v>
      </c>
      <c r="G2669" s="6" t="str">
        <f>VLOOKUP(E2669,dicionario!$A$1:$C3068,2,0)</f>
        <v>Bidens pilosa</v>
      </c>
      <c r="H2669" s="6" t="str">
        <f>VLOOKUP(E2669,dicionario!$A$1:$C3068,3,0)</f>
        <v>picão-preto</v>
      </c>
    </row>
    <row r="2670">
      <c r="A2670" s="3">
        <v>45617.0</v>
      </c>
      <c r="B2670" s="4">
        <v>0.3388888888888889</v>
      </c>
      <c r="C2670" s="5" t="s">
        <v>76</v>
      </c>
      <c r="D2670" s="5" t="s">
        <v>717</v>
      </c>
      <c r="E2670" s="6" t="s">
        <v>69</v>
      </c>
      <c r="F2670" s="7" t="s">
        <v>71</v>
      </c>
      <c r="G2670" s="6" t="str">
        <f>VLOOKUP(E2670,dicionario!$A$1:$C3069,2,0)</f>
        <v>Talinum fruticosum</v>
      </c>
      <c r="H2670" s="6" t="str">
        <f>VLOOKUP(E2670,dicionario!$A$1:$C3069,3,0)</f>
        <v>beldroega-grande</v>
      </c>
    </row>
    <row r="2671">
      <c r="A2671" s="3">
        <v>45617.0</v>
      </c>
      <c r="B2671" s="4">
        <v>0.3388888888888889</v>
      </c>
      <c r="C2671" s="5" t="s">
        <v>76</v>
      </c>
      <c r="D2671" s="5" t="s">
        <v>717</v>
      </c>
      <c r="E2671" s="6" t="s">
        <v>18</v>
      </c>
      <c r="F2671" s="5" t="s">
        <v>219</v>
      </c>
      <c r="G2671" s="6" t="str">
        <f>VLOOKUP(E2671,dicionario!$A$1:$C3070,2,0)</f>
        <v>Xylocopa frontalis</v>
      </c>
      <c r="H2671" s="6" t="str">
        <f>VLOOKUP(E2671,dicionario!$A$1:$C3070,3,0)</f>
        <v>Mamangava; mangangá; abelha-carpinteira</v>
      </c>
    </row>
    <row r="2672">
      <c r="A2672" s="3">
        <v>45617.0</v>
      </c>
      <c r="B2672" s="4">
        <v>0.3388888888888889</v>
      </c>
      <c r="C2672" s="5" t="s">
        <v>76</v>
      </c>
      <c r="D2672" s="5" t="s">
        <v>717</v>
      </c>
      <c r="E2672" s="6" t="s">
        <v>48</v>
      </c>
      <c r="F2672" s="5" t="s">
        <v>798</v>
      </c>
      <c r="G2672" s="6" t="str">
        <f>VLOOKUP(E2672,dicionario!$A$1:$C3071,2,0)</f>
        <v>Commelina erecta</v>
      </c>
      <c r="H2672" s="6" t="str">
        <f>VLOOKUP(E2672,dicionario!$A$1:$C3071,3,0)</f>
        <v>trapoeraba</v>
      </c>
    </row>
    <row r="2673">
      <c r="A2673" s="3">
        <v>45617.0</v>
      </c>
      <c r="B2673" s="4">
        <v>0.33958333333333335</v>
      </c>
      <c r="C2673" s="5" t="s">
        <v>76</v>
      </c>
      <c r="D2673" s="5" t="s">
        <v>717</v>
      </c>
      <c r="E2673" s="6" t="s">
        <v>355</v>
      </c>
      <c r="F2673" s="5" t="s">
        <v>799</v>
      </c>
      <c r="G2673" s="6" t="str">
        <f>VLOOKUP(E2673,dicionario!$A$1:$C3072,2,0)</f>
        <v>Boerhavia diffusa</v>
      </c>
      <c r="H2673" s="6" t="str">
        <f>VLOOKUP(E2673,dicionario!$A$1:$C3072,3,0)</f>
        <v>erva-tostão</v>
      </c>
    </row>
    <row r="2674">
      <c r="A2674" s="3">
        <v>45617.0</v>
      </c>
      <c r="B2674" s="4">
        <v>0.33958333333333335</v>
      </c>
      <c r="C2674" s="5" t="s">
        <v>76</v>
      </c>
      <c r="D2674" s="5" t="s">
        <v>717</v>
      </c>
      <c r="E2674" s="8" t="s">
        <v>800</v>
      </c>
      <c r="F2674" s="5" t="s">
        <v>801</v>
      </c>
      <c r="G2674" s="6" t="str">
        <f>VLOOKUP(E2674,dicionario!$A$1:$C3073,2,0)</f>
        <v>#N/A</v>
      </c>
      <c r="H2674" s="6" t="str">
        <f>VLOOKUP(E2674,dicionario!$A$1:$C3073,3,0)</f>
        <v>#N/A</v>
      </c>
    </row>
    <row r="2675">
      <c r="A2675" s="3">
        <v>45617.0</v>
      </c>
      <c r="B2675" s="4">
        <v>0.33958333333333335</v>
      </c>
      <c r="C2675" s="5" t="s">
        <v>76</v>
      </c>
      <c r="D2675" s="5" t="s">
        <v>717</v>
      </c>
      <c r="E2675" s="6" t="s">
        <v>328</v>
      </c>
      <c r="F2675" s="5" t="s">
        <v>329</v>
      </c>
      <c r="G2675" s="6" t="str">
        <f>VLOOKUP(E2675,dicionario!$A$1:$C3074,2,0)</f>
        <v>Rivina humilis</v>
      </c>
      <c r="H2675" s="6" t="str">
        <f>VLOOKUP(E2675,dicionario!$A$1:$C3074,3,0)</f>
        <v>baga-de-sangue</v>
      </c>
    </row>
    <row r="2676">
      <c r="A2676" s="3">
        <v>45617.0</v>
      </c>
      <c r="B2676" s="4">
        <v>0.34305555555555556</v>
      </c>
      <c r="C2676" s="5" t="s">
        <v>76</v>
      </c>
      <c r="D2676" s="5" t="s">
        <v>717</v>
      </c>
      <c r="E2676" s="8" t="s">
        <v>802</v>
      </c>
      <c r="F2676" s="5" t="s">
        <v>803</v>
      </c>
      <c r="G2676" s="6" t="str">
        <f>VLOOKUP(E2676,dicionario!$A$1:$C3075,2,0)</f>
        <v>#N/A</v>
      </c>
      <c r="H2676" s="6" t="str">
        <f>VLOOKUP(E2676,dicionario!$A$1:$C3075,3,0)</f>
        <v>#N/A</v>
      </c>
    </row>
    <row r="2677">
      <c r="A2677" s="3">
        <v>45617.0</v>
      </c>
      <c r="B2677" s="4">
        <v>0.34375</v>
      </c>
      <c r="C2677" s="5" t="s">
        <v>76</v>
      </c>
      <c r="D2677" s="5" t="s">
        <v>717</v>
      </c>
      <c r="E2677" s="6" t="s">
        <v>177</v>
      </c>
      <c r="F2677" s="5" t="s">
        <v>804</v>
      </c>
      <c r="G2677" s="6" t="str">
        <f>VLOOKUP(E2677,dicionario!$A$1:$C3076,2,0)</f>
        <v>Elaenia flavogaster</v>
      </c>
      <c r="H2677" s="6" t="str">
        <f>VLOOKUP(E2677,dicionario!$A$1:$C3076,3,0)</f>
        <v>guaracava-de-barriga-amarela</v>
      </c>
    </row>
    <row r="2678">
      <c r="A2678" s="3">
        <v>45617.0</v>
      </c>
      <c r="B2678" s="4">
        <v>0.34375</v>
      </c>
      <c r="C2678" s="5" t="s">
        <v>76</v>
      </c>
      <c r="D2678" s="5" t="s">
        <v>717</v>
      </c>
      <c r="E2678" s="8" t="s">
        <v>805</v>
      </c>
      <c r="F2678" s="5" t="s">
        <v>806</v>
      </c>
      <c r="G2678" s="6" t="str">
        <f>VLOOKUP(E2678,dicionario!$A$1:$C3077,2,0)</f>
        <v>#N/A</v>
      </c>
      <c r="H2678" s="6" t="str">
        <f>VLOOKUP(E2678,dicionario!$A$1:$C3077,3,0)</f>
        <v>#N/A</v>
      </c>
    </row>
    <row r="2679">
      <c r="A2679" s="3">
        <v>45617.0</v>
      </c>
      <c r="B2679" s="4">
        <v>0.34375</v>
      </c>
      <c r="C2679" s="5" t="s">
        <v>76</v>
      </c>
      <c r="D2679" s="5" t="s">
        <v>717</v>
      </c>
      <c r="E2679" s="6" t="s">
        <v>755</v>
      </c>
      <c r="F2679" s="5" t="s">
        <v>807</v>
      </c>
      <c r="G2679" s="6" t="str">
        <f>VLOOKUP(E2679,dicionario!$A$1:$C3078,2,0)</f>
        <v>#N/A</v>
      </c>
      <c r="H2679" s="6" t="str">
        <f>VLOOKUP(E2679,dicionario!$A$1:$C3078,3,0)</f>
        <v>#N/A</v>
      </c>
    </row>
    <row r="2680">
      <c r="A2680" s="3">
        <v>45617.0</v>
      </c>
      <c r="B2680" s="4">
        <v>0.34375</v>
      </c>
      <c r="C2680" s="5" t="s">
        <v>76</v>
      </c>
      <c r="D2680" s="5" t="s">
        <v>717</v>
      </c>
      <c r="E2680" s="6" t="s">
        <v>392</v>
      </c>
      <c r="F2680" s="5" t="s">
        <v>393</v>
      </c>
      <c r="G2680" s="6" t="str">
        <f>VLOOKUP(E2680,dicionario!$A$1:$C3079,2,0)</f>
        <v>Triplaris americana</v>
      </c>
      <c r="H2680" s="6" t="str">
        <f>VLOOKUP(E2680,dicionario!$A$1:$C3079,3,0)</f>
        <v>pau-formiga </v>
      </c>
    </row>
    <row r="2681">
      <c r="A2681" s="3">
        <v>45617.0</v>
      </c>
      <c r="B2681" s="4">
        <v>0.34375</v>
      </c>
      <c r="C2681" s="5" t="s">
        <v>76</v>
      </c>
      <c r="D2681" s="5" t="s">
        <v>717</v>
      </c>
      <c r="E2681" s="8" t="s">
        <v>332</v>
      </c>
      <c r="F2681" s="5" t="s">
        <v>333</v>
      </c>
      <c r="G2681" s="6" t="str">
        <f>VLOOKUP(E2681,dicionario!$A$1:$C3080,2,0)</f>
        <v>#N/A</v>
      </c>
      <c r="H2681" s="6" t="str">
        <f>VLOOKUP(E2681,dicionario!$A$1:$C3080,3,0)</f>
        <v>#N/A</v>
      </c>
    </row>
    <row r="2682">
      <c r="A2682" s="3">
        <v>45617.0</v>
      </c>
      <c r="B2682" s="4">
        <v>0.34375</v>
      </c>
      <c r="C2682" s="5" t="s">
        <v>76</v>
      </c>
      <c r="D2682" s="5" t="s">
        <v>717</v>
      </c>
      <c r="E2682" s="6" t="s">
        <v>247</v>
      </c>
      <c r="F2682" s="5" t="s">
        <v>387</v>
      </c>
      <c r="G2682" s="6" t="str">
        <f>VLOOKUP(E2682,dicionario!$A$1:$C3081,2,0)</f>
        <v>Emilia sonchifolia</v>
      </c>
      <c r="H2682" s="6" t="str">
        <f>VLOOKUP(E2682,dicionario!$A$1:$C3081,3,0)</f>
        <v>serralinha</v>
      </c>
    </row>
    <row r="2683">
      <c r="A2683" s="3">
        <v>45617.0</v>
      </c>
      <c r="B2683" s="4">
        <v>0.34375</v>
      </c>
      <c r="C2683" s="5" t="s">
        <v>76</v>
      </c>
      <c r="D2683" s="5" t="s">
        <v>717</v>
      </c>
      <c r="E2683" s="6" t="s">
        <v>20</v>
      </c>
      <c r="F2683" s="7" t="s">
        <v>21</v>
      </c>
      <c r="G2683" s="6" t="str">
        <f>VLOOKUP(E2683,dicionario!$A$1:$C3082,2,0)</f>
        <v>Sicalis flaveola</v>
      </c>
      <c r="H2683" s="6" t="str">
        <f>VLOOKUP(E2683,dicionario!$A$1:$C3082,3,0)</f>
        <v>canário-da-terra</v>
      </c>
    </row>
    <row r="2684">
      <c r="A2684" s="3">
        <v>45617.0</v>
      </c>
      <c r="B2684" s="4">
        <v>0.34375</v>
      </c>
      <c r="C2684" s="5" t="s">
        <v>76</v>
      </c>
      <c r="D2684" s="5" t="s">
        <v>717</v>
      </c>
      <c r="E2684" s="6" t="s">
        <v>162</v>
      </c>
      <c r="F2684" s="7" t="s">
        <v>42</v>
      </c>
      <c r="G2684" s="6" t="str">
        <f>VLOOKUP(E2684,dicionario!$A$1:$C3083,2,0)</f>
        <v>Fluvicola nengeta</v>
      </c>
      <c r="H2684" s="6" t="str">
        <f>VLOOKUP(E2684,dicionario!$A$1:$C3083,3,0)</f>
        <v>lavadeira-mascarada</v>
      </c>
    </row>
    <row r="2685">
      <c r="A2685" s="3">
        <v>45617.0</v>
      </c>
      <c r="B2685" s="4">
        <v>0.3451388888888889</v>
      </c>
      <c r="C2685" s="5" t="s">
        <v>76</v>
      </c>
      <c r="D2685" s="5" t="s">
        <v>717</v>
      </c>
      <c r="E2685" s="6" t="s">
        <v>122</v>
      </c>
      <c r="F2685" s="7" t="s">
        <v>123</v>
      </c>
      <c r="G2685" s="6" t="str">
        <f>VLOOKUP(E2685,dicionario!$A$1:$C3084,2,0)</f>
        <v>Todirostrum cinereum</v>
      </c>
      <c r="H2685" s="6" t="str">
        <f>VLOOKUP(E2685,dicionario!$A$1:$C3084,3,0)</f>
        <v>ferreirinho-relógio</v>
      </c>
    </row>
    <row r="2686">
      <c r="A2686" s="3">
        <v>45617.0</v>
      </c>
      <c r="B2686" s="4">
        <v>0.3451388888888889</v>
      </c>
      <c r="C2686" s="5" t="s">
        <v>76</v>
      </c>
      <c r="D2686" s="5" t="s">
        <v>717</v>
      </c>
      <c r="E2686" s="6" t="s">
        <v>48</v>
      </c>
      <c r="F2686" s="5" t="s">
        <v>798</v>
      </c>
      <c r="G2686" s="6" t="str">
        <f>VLOOKUP(E2686,dicionario!$A$1:$C3085,2,0)</f>
        <v>Commelina erecta</v>
      </c>
      <c r="H2686" s="6" t="str">
        <f>VLOOKUP(E2686,dicionario!$A$1:$C3085,3,0)</f>
        <v>trapoeraba</v>
      </c>
    </row>
    <row r="2687">
      <c r="A2687" s="3">
        <v>45617.0</v>
      </c>
      <c r="B2687" s="4">
        <v>0.3451388888888889</v>
      </c>
      <c r="C2687" s="5" t="s">
        <v>76</v>
      </c>
      <c r="D2687" s="5" t="s">
        <v>717</v>
      </c>
      <c r="E2687" s="6" t="s">
        <v>132</v>
      </c>
      <c r="F2687" s="5" t="s">
        <v>808</v>
      </c>
      <c r="G2687" s="6" t="str">
        <f>VLOOKUP(E2687,dicionario!$A$1:$C3086,2,0)</f>
        <v>Euphonia chlorotica</v>
      </c>
      <c r="H2687" s="6" t="str">
        <f>VLOOKUP(E2687,dicionario!$A$1:$C3086,3,0)</f>
        <v>fim-fim</v>
      </c>
    </row>
    <row r="2688">
      <c r="A2688" s="3">
        <v>45617.0</v>
      </c>
      <c r="B2688" s="4">
        <v>0.3451388888888889</v>
      </c>
      <c r="C2688" s="5" t="s">
        <v>76</v>
      </c>
      <c r="D2688" s="5" t="s">
        <v>717</v>
      </c>
      <c r="E2688" s="8" t="s">
        <v>548</v>
      </c>
      <c r="F2688" s="5" t="s">
        <v>549</v>
      </c>
      <c r="G2688" s="6" t="str">
        <f>VLOOKUP(E2688,dicionario!$A$1:$C3087,2,0)</f>
        <v>Ricinus communis</v>
      </c>
      <c r="H2688" s="6" t="str">
        <f>VLOOKUP(E2688,dicionario!$A$1:$C3087,3,0)</f>
        <v>mamona</v>
      </c>
    </row>
    <row r="2689">
      <c r="A2689" s="3">
        <v>45617.0</v>
      </c>
      <c r="B2689" s="4">
        <v>0.3451388888888889</v>
      </c>
      <c r="C2689" s="5" t="s">
        <v>76</v>
      </c>
      <c r="D2689" s="5" t="s">
        <v>717</v>
      </c>
      <c r="E2689" s="8" t="s">
        <v>308</v>
      </c>
      <c r="F2689" s="5" t="s">
        <v>309</v>
      </c>
      <c r="G2689" s="6" t="str">
        <f>VLOOKUP(E2689,dicionario!$A$1:$C3088,2,0)</f>
        <v>#N/A</v>
      </c>
      <c r="H2689" s="6" t="str">
        <f>VLOOKUP(E2689,dicionario!$A$1:$C3088,3,0)</f>
        <v>#N/A</v>
      </c>
    </row>
    <row r="2690">
      <c r="A2690" s="3">
        <v>45617.0</v>
      </c>
      <c r="B2690" s="4">
        <v>0.3451388888888889</v>
      </c>
      <c r="C2690" s="5" t="s">
        <v>76</v>
      </c>
      <c r="D2690" s="5" t="s">
        <v>717</v>
      </c>
      <c r="E2690" s="6" t="s">
        <v>229</v>
      </c>
      <c r="F2690" s="5" t="s">
        <v>809</v>
      </c>
      <c r="G2690" s="6" t="str">
        <f>VLOOKUP(E2690,dicionario!$A$1:$C3089,2,0)</f>
        <v>Apis mellifera</v>
      </c>
      <c r="H2690" s="6" t="str">
        <f>VLOOKUP(E2690,dicionario!$A$1:$C3089,3,0)</f>
        <v>abelha-do-mel</v>
      </c>
    </row>
    <row r="2691">
      <c r="A2691" s="3">
        <v>45617.0</v>
      </c>
      <c r="B2691" s="4">
        <v>0.3451388888888889</v>
      </c>
      <c r="C2691" s="5" t="s">
        <v>76</v>
      </c>
      <c r="D2691" s="5" t="s">
        <v>717</v>
      </c>
      <c r="E2691" s="20" t="s">
        <v>631</v>
      </c>
      <c r="F2691" s="5" t="s">
        <v>810</v>
      </c>
      <c r="G2691" s="6" t="str">
        <f>VLOOKUP(E2691,dicionario!$A$1:$C3090,2,0)</f>
        <v>Chamaecrista nictitans</v>
      </c>
      <c r="H2691" s="6" t="str">
        <f>VLOOKUP(E2691,dicionario!$A$1:$C3090,3,0)</f>
        <v>falsa-dormideira</v>
      </c>
    </row>
    <row r="2692">
      <c r="A2692" s="3">
        <v>45617.0</v>
      </c>
      <c r="B2692" s="4">
        <v>0.34791666666666665</v>
      </c>
      <c r="C2692" s="5" t="s">
        <v>76</v>
      </c>
      <c r="D2692" s="5" t="s">
        <v>717</v>
      </c>
      <c r="E2692" s="8" t="s">
        <v>811</v>
      </c>
      <c r="F2692" s="5" t="s">
        <v>812</v>
      </c>
      <c r="G2692" s="6" t="str">
        <f>VLOOKUP(E2692,dicionario!$A$1:$C3091,2,0)</f>
        <v>Leptodactylus fuscus</v>
      </c>
      <c r="H2692" s="6" t="str">
        <f>VLOOKUP(E2692,dicionario!$A$1:$C3091,3,0)</f>
        <v>rã-assobiadora</v>
      </c>
    </row>
    <row r="2693">
      <c r="A2693" s="3">
        <v>45617.0</v>
      </c>
      <c r="B2693" s="4">
        <v>0.35347222222222224</v>
      </c>
      <c r="C2693" s="5" t="s">
        <v>85</v>
      </c>
      <c r="D2693" s="5" t="s">
        <v>717</v>
      </c>
      <c r="E2693" s="20" t="s">
        <v>676</v>
      </c>
      <c r="F2693" s="7" t="s">
        <v>677</v>
      </c>
      <c r="G2693" s="6" t="str">
        <f>VLOOKUP(E2693,dicionario!$A$1:$C3092,2,0)</f>
        <v>Zornia latifolia</v>
      </c>
      <c r="H2693" s="6" t="str">
        <f>VLOOKUP(E2693,dicionario!$A$1:$C3092,3,0)</f>
        <v>arrozinho-do-campo</v>
      </c>
    </row>
    <row r="2694">
      <c r="A2694" s="3">
        <v>45617.0</v>
      </c>
      <c r="B2694" s="4">
        <v>0.35347222222222224</v>
      </c>
      <c r="C2694" s="5" t="s">
        <v>85</v>
      </c>
      <c r="D2694" s="5" t="s">
        <v>717</v>
      </c>
      <c r="E2694" s="6" t="s">
        <v>227</v>
      </c>
      <c r="F2694" s="5" t="s">
        <v>813</v>
      </c>
      <c r="G2694" s="6" t="str">
        <f>VLOOKUP(E2694,dicionario!$A$1:$C3093,2,0)</f>
        <v>Indigofera hirsuta</v>
      </c>
      <c r="H2694" s="6" t="str">
        <f>VLOOKUP(E2694,dicionario!$A$1:$C3093,3,0)</f>
        <v>anileira</v>
      </c>
    </row>
    <row r="2695">
      <c r="A2695" s="3">
        <v>45617.0</v>
      </c>
      <c r="B2695" s="4">
        <v>0.35347222222222224</v>
      </c>
      <c r="C2695" s="5" t="s">
        <v>85</v>
      </c>
      <c r="D2695" s="5" t="s">
        <v>717</v>
      </c>
      <c r="E2695" s="8" t="s">
        <v>613</v>
      </c>
      <c r="F2695" s="5" t="s">
        <v>814</v>
      </c>
      <c r="G2695" s="6" t="str">
        <f>VLOOKUP(E2695,dicionario!$A$1:$C3094,2,0)</f>
        <v>Euphorbia hyssopifolia</v>
      </c>
      <c r="H2695" s="6" t="str">
        <f>VLOOKUP(E2695,dicionario!$A$1:$C3094,3,0)</f>
        <v>maria-leite</v>
      </c>
    </row>
    <row r="2696">
      <c r="A2696" s="3">
        <v>45617.0</v>
      </c>
      <c r="B2696" s="4">
        <v>0.35347222222222224</v>
      </c>
      <c r="C2696" s="5" t="s">
        <v>85</v>
      </c>
      <c r="D2696" s="5" t="s">
        <v>717</v>
      </c>
      <c r="E2696" s="6" t="s">
        <v>646</v>
      </c>
      <c r="F2696" s="5" t="s">
        <v>647</v>
      </c>
      <c r="G2696" s="6" t="str">
        <f>VLOOKUP(E2696,dicionario!$A$1:$C3095,2,0)</f>
        <v>Palpada mexicana</v>
      </c>
      <c r="H2696" s="6" t="str">
        <f>VLOOKUP(E2696,dicionario!$A$1:$C3095,3,0)</f>
        <v>mosca-das-flores</v>
      </c>
    </row>
    <row r="2697">
      <c r="A2697" s="3">
        <v>45617.0</v>
      </c>
      <c r="B2697" s="4">
        <v>0.3541666666666667</v>
      </c>
      <c r="C2697" s="5" t="s">
        <v>85</v>
      </c>
      <c r="D2697" s="5" t="s">
        <v>717</v>
      </c>
      <c r="E2697" s="6" t="s">
        <v>154</v>
      </c>
      <c r="F2697" s="5" t="s">
        <v>815</v>
      </c>
      <c r="G2697" s="6" t="str">
        <f>VLOOKUP(E2697,dicionario!$A$1:$C3096,2,0)</f>
        <v>Cyperus rotundus</v>
      </c>
      <c r="H2697" s="6" t="str">
        <f>VLOOKUP(E2697,dicionario!$A$1:$C3096,3,0)</f>
        <v>tiririca</v>
      </c>
    </row>
    <row r="2698">
      <c r="A2698" s="3">
        <v>45617.0</v>
      </c>
      <c r="B2698" s="4">
        <v>0.3541666666666667</v>
      </c>
      <c r="C2698" s="5" t="s">
        <v>85</v>
      </c>
      <c r="D2698" s="5" t="s">
        <v>717</v>
      </c>
      <c r="E2698" s="8" t="s">
        <v>262</v>
      </c>
      <c r="F2698" s="7" t="s">
        <v>263</v>
      </c>
      <c r="G2698" s="6" t="str">
        <f>VLOOKUP(E2698,dicionario!$A$1:$C3097,2,0)</f>
        <v>Portulaca oleracea</v>
      </c>
      <c r="H2698" s="6" t="str">
        <f>VLOOKUP(E2698,dicionario!$A$1:$C3097,3,0)</f>
        <v>beldroega</v>
      </c>
    </row>
    <row r="2699">
      <c r="A2699" s="3">
        <v>45617.0</v>
      </c>
      <c r="B2699" s="4">
        <v>0.3541666666666667</v>
      </c>
      <c r="C2699" s="5" t="s">
        <v>85</v>
      </c>
      <c r="D2699" s="5" t="s">
        <v>717</v>
      </c>
      <c r="E2699" s="6" t="s">
        <v>239</v>
      </c>
      <c r="F2699" s="5" t="s">
        <v>816</v>
      </c>
      <c r="G2699" s="6" t="str">
        <f>VLOOKUP(E2699,dicionario!$A$1:$C3098,2,0)</f>
        <v>Gomphrena celosioides</v>
      </c>
      <c r="H2699" s="6" t="str">
        <f>VLOOKUP(E2699,dicionario!$A$1:$C3098,3,0)</f>
        <v>perpétua-branca</v>
      </c>
    </row>
    <row r="2700">
      <c r="A2700" s="3">
        <v>45617.0</v>
      </c>
      <c r="B2700" s="4">
        <v>0.3541666666666667</v>
      </c>
      <c r="C2700" s="5" t="s">
        <v>85</v>
      </c>
      <c r="D2700" s="5" t="s">
        <v>717</v>
      </c>
      <c r="E2700" s="6" t="s">
        <v>483</v>
      </c>
      <c r="F2700" s="5" t="s">
        <v>817</v>
      </c>
      <c r="G2700" s="6" t="str">
        <f>VLOOKUP(E2700,dicionario!$A$1:$C3099,2,0)</f>
        <v>Euphorbia prostrata</v>
      </c>
      <c r="H2700" s="6" t="str">
        <f>VLOOKUP(E2700,dicionario!$A$1:$C3099,3,0)</f>
        <v>quebra-pedra-rasteira</v>
      </c>
    </row>
    <row r="2701">
      <c r="A2701" s="3">
        <v>45617.0</v>
      </c>
      <c r="B2701" s="4">
        <v>0.3541666666666667</v>
      </c>
      <c r="C2701" s="5" t="s">
        <v>85</v>
      </c>
      <c r="D2701" s="5" t="s">
        <v>717</v>
      </c>
      <c r="E2701" s="6" t="s">
        <v>146</v>
      </c>
      <c r="F2701" s="5" t="s">
        <v>794</v>
      </c>
      <c r="G2701" s="6" t="str">
        <f>VLOOKUP(E2701,dicionario!$A$1:$C3100,2,0)</f>
        <v>Euphorbia hirta</v>
      </c>
      <c r="H2701" s="6" t="str">
        <f>VLOOKUP(E2701,dicionario!$A$1:$C3100,3,0)</f>
        <v>erva-de-santa-luzia</v>
      </c>
    </row>
    <row r="2702">
      <c r="A2702" s="3">
        <v>45617.0</v>
      </c>
      <c r="B2702" s="4">
        <v>0.3541666666666667</v>
      </c>
      <c r="C2702" s="5" t="s">
        <v>85</v>
      </c>
      <c r="D2702" s="5" t="s">
        <v>717</v>
      </c>
      <c r="E2702" s="6" t="s">
        <v>53</v>
      </c>
      <c r="F2702" s="7" t="s">
        <v>54</v>
      </c>
      <c r="G2702" s="6" t="str">
        <f>VLOOKUP(E2702,dicionario!$A$1:$C3101,2,0)</f>
        <v>Turnera subulata</v>
      </c>
      <c r="H2702" s="6" t="str">
        <f>VLOOKUP(E2702,dicionario!$A$1:$C3101,3,0)</f>
        <v>xanana</v>
      </c>
    </row>
    <row r="2703">
      <c r="A2703" s="3">
        <v>45617.0</v>
      </c>
      <c r="B2703" s="4">
        <v>0.3548611111111111</v>
      </c>
      <c r="C2703" s="5" t="s">
        <v>85</v>
      </c>
      <c r="D2703" s="5" t="s">
        <v>717</v>
      </c>
      <c r="E2703" s="6" t="s">
        <v>109</v>
      </c>
      <c r="F2703" s="5" t="s">
        <v>777</v>
      </c>
      <c r="G2703" s="6" t="str">
        <f>VLOOKUP(E2703,dicionario!$A$1:$C3102,2,0)</f>
        <v>Tillandsia stricta</v>
      </c>
      <c r="H2703" s="6" t="str">
        <f>VLOOKUP(E2703,dicionario!$A$1:$C3102,3,0)</f>
        <v>cravo-do-mato</v>
      </c>
    </row>
    <row r="2704">
      <c r="A2704" s="3">
        <v>45617.0</v>
      </c>
      <c r="B2704" s="4">
        <v>0.35555555555555557</v>
      </c>
      <c r="C2704" s="5" t="s">
        <v>85</v>
      </c>
      <c r="D2704" s="5" t="s">
        <v>717</v>
      </c>
      <c r="E2704" s="6" t="s">
        <v>14</v>
      </c>
      <c r="F2704" s="5" t="s">
        <v>818</v>
      </c>
      <c r="G2704" s="6" t="str">
        <f>VLOOKUP(E2704,dicionario!$A$1:$C3103,2,0)</f>
        <v>Spermacoce verticillata</v>
      </c>
      <c r="H2704" s="6" t="str">
        <f>VLOOKUP(E2704,dicionario!$A$1:$C3103,3,0)</f>
        <v>vassourinha-de-botão</v>
      </c>
    </row>
    <row r="2705">
      <c r="A2705" s="3">
        <v>45617.0</v>
      </c>
      <c r="B2705" s="4">
        <v>0.35555555555555557</v>
      </c>
      <c r="C2705" s="5" t="s">
        <v>85</v>
      </c>
      <c r="D2705" s="5" t="s">
        <v>717</v>
      </c>
      <c r="E2705" s="6" t="s">
        <v>65</v>
      </c>
      <c r="F2705" s="5" t="s">
        <v>819</v>
      </c>
      <c r="G2705" s="6" t="str">
        <f>VLOOKUP(E2705,dicionario!$A$1:$C3104,2,0)</f>
        <v>Pitangus sulphutarus</v>
      </c>
      <c r="H2705" s="6" t="str">
        <f>VLOOKUP(E2705,dicionario!$A$1:$C3104,3,0)</f>
        <v>bem-te-vi</v>
      </c>
    </row>
    <row r="2706">
      <c r="A2706" s="3">
        <v>45617.0</v>
      </c>
      <c r="B2706" s="4">
        <v>0.35555555555555557</v>
      </c>
      <c r="C2706" s="5" t="s">
        <v>85</v>
      </c>
      <c r="D2706" s="5" t="s">
        <v>717</v>
      </c>
      <c r="E2706" s="6" t="s">
        <v>271</v>
      </c>
      <c r="F2706" s="7" t="s">
        <v>272</v>
      </c>
      <c r="G2706" s="6" t="str">
        <f>VLOOKUP(E2706,dicionario!$A$1:$C3105,2,0)</f>
        <v>Cyanthillium cinereum</v>
      </c>
      <c r="H2706" s="6" t="str">
        <f>VLOOKUP(E2706,dicionario!$A$1:$C3105,3,0)</f>
        <v>emília</v>
      </c>
    </row>
    <row r="2707">
      <c r="A2707" s="3">
        <v>45617.0</v>
      </c>
      <c r="B2707" s="4">
        <v>0.35555555555555557</v>
      </c>
      <c r="C2707" s="5" t="s">
        <v>85</v>
      </c>
      <c r="D2707" s="5" t="s">
        <v>717</v>
      </c>
      <c r="E2707" s="6" t="s">
        <v>286</v>
      </c>
      <c r="F2707" s="5" t="s">
        <v>781</v>
      </c>
      <c r="G2707" s="6" t="str">
        <f>VLOOKUP(E2707,dicionario!$A$1:$C3106,2,0)</f>
        <v>Setaria parviflora</v>
      </c>
      <c r="H2707" s="6" t="str">
        <f>VLOOKUP(E2707,dicionario!$A$1:$C3106,3,0)</f>
        <v>capim-rabo-de-raposa</v>
      </c>
    </row>
    <row r="2708">
      <c r="A2708" s="3">
        <v>45617.0</v>
      </c>
      <c r="B2708" s="4">
        <v>0.35555555555555557</v>
      </c>
      <c r="C2708" s="5" t="s">
        <v>85</v>
      </c>
      <c r="D2708" s="5" t="s">
        <v>717</v>
      </c>
      <c r="E2708" s="8" t="s">
        <v>723</v>
      </c>
      <c r="F2708" s="5" t="s">
        <v>724</v>
      </c>
      <c r="G2708" s="6" t="str">
        <f>VLOOKUP(E2708,dicionario!$A$1:$C3107,2,0)</f>
        <v>Asemeia violacea</v>
      </c>
      <c r="H2708" s="6" t="str">
        <f>VLOOKUP(E2708,dicionario!$A$1:$C3107,3,0)</f>
        <v/>
      </c>
    </row>
    <row r="2709">
      <c r="A2709" s="3">
        <v>45617.0</v>
      </c>
      <c r="B2709" s="4">
        <v>0.35555555555555557</v>
      </c>
      <c r="C2709" s="5" t="s">
        <v>85</v>
      </c>
      <c r="D2709" s="5" t="s">
        <v>717</v>
      </c>
      <c r="E2709" s="8" t="s">
        <v>46</v>
      </c>
      <c r="F2709" s="5" t="s">
        <v>47</v>
      </c>
      <c r="G2709" s="6" t="str">
        <f>VLOOKUP(E2709,dicionario!$A$1:$C3108,2,0)</f>
        <v>Chionomesa fimbriata</v>
      </c>
      <c r="H2709" s="6" t="str">
        <f>VLOOKUP(E2709,dicionario!$A$1:$C3108,3,0)</f>
        <v>beija-flor-de-garganta-verde</v>
      </c>
    </row>
    <row r="2710">
      <c r="A2710" s="3">
        <v>45617.0</v>
      </c>
      <c r="B2710" s="4">
        <v>0.35555555555555557</v>
      </c>
      <c r="C2710" s="5" t="s">
        <v>85</v>
      </c>
      <c r="D2710" s="5" t="s">
        <v>717</v>
      </c>
      <c r="E2710" s="6" t="s">
        <v>122</v>
      </c>
      <c r="F2710" s="7" t="s">
        <v>123</v>
      </c>
      <c r="G2710" s="6" t="str">
        <f>VLOOKUP(E2710,dicionario!$A$1:$C3109,2,0)</f>
        <v>Todirostrum cinereum</v>
      </c>
      <c r="H2710" s="6" t="str">
        <f>VLOOKUP(E2710,dicionario!$A$1:$C3109,3,0)</f>
        <v>ferreirinho-relógio</v>
      </c>
    </row>
    <row r="2711">
      <c r="A2711" s="3">
        <v>45617.0</v>
      </c>
      <c r="B2711" s="4">
        <v>0.35625</v>
      </c>
      <c r="C2711" s="5" t="s">
        <v>85</v>
      </c>
      <c r="D2711" s="5" t="s">
        <v>717</v>
      </c>
      <c r="E2711" s="6" t="s">
        <v>113</v>
      </c>
      <c r="F2711" s="5" t="s">
        <v>820</v>
      </c>
      <c r="G2711" s="6" t="str">
        <f>VLOOKUP(E2711,dicionario!$A$1:$C3110,2,0)</f>
        <v>Columbina talpacoti</v>
      </c>
      <c r="H2711" s="6" t="str">
        <f>VLOOKUP(E2711,dicionario!$A$1:$C3110,3,0)</f>
        <v>rolinha-roxa</v>
      </c>
    </row>
    <row r="2712">
      <c r="A2712" s="3">
        <v>45617.0</v>
      </c>
      <c r="B2712" s="4">
        <v>0.35625</v>
      </c>
      <c r="C2712" s="5" t="s">
        <v>85</v>
      </c>
      <c r="D2712" s="5" t="s">
        <v>717</v>
      </c>
      <c r="E2712" s="6" t="s">
        <v>20</v>
      </c>
      <c r="F2712" s="7" t="s">
        <v>21</v>
      </c>
      <c r="G2712" s="6" t="str">
        <f>VLOOKUP(E2712,dicionario!$A$1:$C3111,2,0)</f>
        <v>Sicalis flaveola</v>
      </c>
      <c r="H2712" s="6" t="str">
        <f>VLOOKUP(E2712,dicionario!$A$1:$C3111,3,0)</f>
        <v>canário-da-terra</v>
      </c>
    </row>
    <row r="2713">
      <c r="A2713" s="3">
        <v>45617.0</v>
      </c>
      <c r="B2713" s="4">
        <v>0.35625</v>
      </c>
      <c r="C2713" s="5" t="s">
        <v>85</v>
      </c>
      <c r="D2713" s="5" t="s">
        <v>717</v>
      </c>
      <c r="E2713" s="8" t="s">
        <v>821</v>
      </c>
      <c r="F2713" s="5" t="s">
        <v>822</v>
      </c>
      <c r="G2713" s="6" t="str">
        <f>VLOOKUP(E2713,dicionario!$A$1:$C3112,2,0)</f>
        <v>Schefflera actinophylla</v>
      </c>
      <c r="H2713" s="6" t="str">
        <f>VLOOKUP(E2713,dicionario!$A$1:$C3112,3,0)</f>
        <v>árvore-guarda-chuva</v>
      </c>
    </row>
    <row r="2714">
      <c r="A2714" s="3">
        <v>45617.0</v>
      </c>
      <c r="B2714" s="4">
        <v>0.35694444444444445</v>
      </c>
      <c r="C2714" s="5" t="s">
        <v>85</v>
      </c>
      <c r="D2714" s="5" t="s">
        <v>717</v>
      </c>
      <c r="E2714" s="6" t="s">
        <v>381</v>
      </c>
      <c r="F2714" s="5" t="s">
        <v>382</v>
      </c>
      <c r="G2714" s="6" t="str">
        <f>VLOOKUP(E2714,dicionario!$A$1:$C3113,2,0)</f>
        <v>Pseudomyrmex</v>
      </c>
      <c r="H2714" s="6" t="str">
        <f>VLOOKUP(E2714,dicionario!$A$1:$C3113,3,0)</f>
        <v>maria-magra</v>
      </c>
    </row>
    <row r="2715">
      <c r="A2715" s="3">
        <v>45617.0</v>
      </c>
      <c r="B2715" s="4">
        <v>0.35694444444444445</v>
      </c>
      <c r="C2715" s="5" t="s">
        <v>85</v>
      </c>
      <c r="D2715" s="5" t="s">
        <v>717</v>
      </c>
      <c r="E2715" s="6" t="s">
        <v>319</v>
      </c>
      <c r="F2715" s="5" t="s">
        <v>320</v>
      </c>
      <c r="G2715" s="6" t="str">
        <f>VLOOKUP(E2715,dicionario!$A$1:$C3114,2,0)</f>
        <v>Schinus terebinthifolia</v>
      </c>
      <c r="H2715" s="6" t="str">
        <f>VLOOKUP(E2715,dicionario!$A$1:$C3114,3,0)</f>
        <v>aroeira</v>
      </c>
    </row>
    <row r="2716">
      <c r="A2716" s="3">
        <v>45617.0</v>
      </c>
      <c r="B2716" s="4">
        <v>0.35694444444444445</v>
      </c>
      <c r="C2716" s="5" t="s">
        <v>85</v>
      </c>
      <c r="D2716" s="5" t="s">
        <v>717</v>
      </c>
      <c r="E2716" s="6" t="s">
        <v>296</v>
      </c>
      <c r="F2716" s="5" t="s">
        <v>823</v>
      </c>
      <c r="G2716" s="6" t="str">
        <f>VLOOKUP(E2716,dicionario!$A$1:$C3115,2,0)</f>
        <v>Richardia brasiliensis</v>
      </c>
      <c r="H2716" s="6" t="str">
        <f>VLOOKUP(E2716,dicionario!$A$1:$C3115,3,0)</f>
        <v>poaia-branca</v>
      </c>
    </row>
    <row r="2717">
      <c r="A2717" s="3">
        <v>45617.0</v>
      </c>
      <c r="B2717" s="4">
        <v>0.3576388888888889</v>
      </c>
      <c r="C2717" s="5" t="s">
        <v>85</v>
      </c>
      <c r="D2717" s="5" t="s">
        <v>717</v>
      </c>
      <c r="E2717" s="6" t="s">
        <v>243</v>
      </c>
      <c r="F2717" s="5" t="s">
        <v>824</v>
      </c>
      <c r="G2717" s="6" t="str">
        <f>VLOOKUP(E2717,dicionario!$A$1:$C3116,2,0)</f>
        <v>Macroptilium atropurpureum</v>
      </c>
      <c r="H2717" s="6" t="str">
        <f>VLOOKUP(E2717,dicionario!$A$1:$C3116,3,0)</f>
        <v>feijão-de-pombo</v>
      </c>
    </row>
    <row r="2718">
      <c r="A2718" s="3">
        <v>45617.0</v>
      </c>
      <c r="B2718" s="4">
        <v>0.3576388888888889</v>
      </c>
      <c r="C2718" s="5" t="s">
        <v>85</v>
      </c>
      <c r="D2718" s="5" t="s">
        <v>717</v>
      </c>
      <c r="E2718" s="8" t="s">
        <v>258</v>
      </c>
      <c r="F2718" s="5" t="s">
        <v>259</v>
      </c>
      <c r="G2718" s="6" t="str">
        <f>VLOOKUP(E2718,dicionario!$A$1:$C3117,2,0)</f>
        <v>Lantana camara</v>
      </c>
      <c r="H2718" s="6" t="str">
        <f>VLOOKUP(E2718,dicionario!$A$1:$C3117,3,0)</f>
        <v>lantana</v>
      </c>
    </row>
    <row r="2719">
      <c r="A2719" s="3">
        <v>45617.0</v>
      </c>
      <c r="B2719" s="4">
        <v>0.3576388888888889</v>
      </c>
      <c r="C2719" s="5" t="s">
        <v>85</v>
      </c>
      <c r="D2719" s="5" t="s">
        <v>717</v>
      </c>
      <c r="E2719" s="6" t="s">
        <v>247</v>
      </c>
      <c r="F2719" s="5" t="s">
        <v>825</v>
      </c>
      <c r="G2719" s="6" t="str">
        <f>VLOOKUP(E2719,dicionario!$A$1:$C3118,2,0)</f>
        <v>Emilia sonchifolia</v>
      </c>
      <c r="H2719" s="6" t="str">
        <f>VLOOKUP(E2719,dicionario!$A$1:$C3118,3,0)</f>
        <v>serralinha</v>
      </c>
    </row>
    <row r="2720">
      <c r="A2720" s="3">
        <v>45617.0</v>
      </c>
      <c r="B2720" s="4">
        <v>0.35833333333333334</v>
      </c>
      <c r="C2720" s="5" t="s">
        <v>85</v>
      </c>
      <c r="D2720" s="5" t="s">
        <v>717</v>
      </c>
      <c r="E2720" s="8" t="s">
        <v>517</v>
      </c>
      <c r="F2720" s="7" t="s">
        <v>518</v>
      </c>
      <c r="G2720" s="6" t="str">
        <f>VLOOKUP(E2720,dicionario!$A$1:$C3119,2,0)</f>
        <v>Evolvulus nummularius</v>
      </c>
      <c r="H2720" s="6" t="str">
        <f>VLOOKUP(E2720,dicionario!$A$1:$C3119,3,0)</f>
        <v/>
      </c>
    </row>
    <row r="2721">
      <c r="A2721" s="3">
        <v>45617.0</v>
      </c>
      <c r="B2721" s="4">
        <v>0.35833333333333334</v>
      </c>
      <c r="C2721" s="5" t="s">
        <v>85</v>
      </c>
      <c r="D2721" s="5" t="s">
        <v>717</v>
      </c>
      <c r="E2721" s="6" t="s">
        <v>429</v>
      </c>
      <c r="F2721" s="5" t="s">
        <v>660</v>
      </c>
      <c r="G2721" s="6" t="str">
        <f>VLOOKUP(E2721,dicionario!$A$1:$C3120,2,0)</f>
        <v>Leonurus sibiricus</v>
      </c>
      <c r="H2721" s="6" t="str">
        <f>VLOOKUP(E2721,dicionario!$A$1:$C3120,3,0)</f>
        <v>erva-macaé</v>
      </c>
    </row>
    <row r="2722">
      <c r="A2722" s="3">
        <v>45617.0</v>
      </c>
      <c r="B2722" s="4">
        <v>0.35833333333333334</v>
      </c>
      <c r="C2722" s="5" t="s">
        <v>85</v>
      </c>
      <c r="D2722" s="5" t="s">
        <v>717</v>
      </c>
      <c r="E2722" s="8" t="s">
        <v>826</v>
      </c>
      <c r="F2722" s="5" t="s">
        <v>827</v>
      </c>
      <c r="G2722" s="6" t="str">
        <f>VLOOKUP(E2722,dicionario!$A$1:$C3121,2,0)</f>
        <v>#N/A</v>
      </c>
      <c r="H2722" s="6" t="str">
        <f>VLOOKUP(E2722,dicionario!$A$1:$C3121,3,0)</f>
        <v>#N/A</v>
      </c>
    </row>
    <row r="2723">
      <c r="A2723" s="3">
        <v>45617.0</v>
      </c>
      <c r="B2723" s="4">
        <v>0.35833333333333334</v>
      </c>
      <c r="C2723" s="5" t="s">
        <v>85</v>
      </c>
      <c r="D2723" s="5" t="s">
        <v>717</v>
      </c>
      <c r="E2723" s="6" t="s">
        <v>150</v>
      </c>
      <c r="F2723" s="5" t="s">
        <v>769</v>
      </c>
      <c r="G2723" s="6" t="str">
        <f>VLOOKUP(E2723,dicionario!$A$1:$C3122,2,0)</f>
        <v>Amaranthus viridis</v>
      </c>
      <c r="H2723" s="6" t="str">
        <f>VLOOKUP(E2723,dicionario!$A$1:$C3122,3,0)</f>
        <v>caruru-de-mancha</v>
      </c>
    </row>
    <row r="2724">
      <c r="A2724" s="3">
        <v>45617.0</v>
      </c>
      <c r="B2724" s="4">
        <v>0.3590277777777778</v>
      </c>
      <c r="C2724" s="5" t="s">
        <v>85</v>
      </c>
      <c r="D2724" s="5" t="s">
        <v>717</v>
      </c>
      <c r="E2724" s="6" t="s">
        <v>613</v>
      </c>
      <c r="F2724" s="5" t="s">
        <v>814</v>
      </c>
      <c r="G2724" s="6" t="str">
        <f>VLOOKUP(E2724,dicionario!$A$1:$C3123,2,0)</f>
        <v>Euphorbia hyssopifolia</v>
      </c>
      <c r="H2724" s="6" t="str">
        <f>VLOOKUP(E2724,dicionario!$A$1:$C3123,3,0)</f>
        <v>maria-leite</v>
      </c>
    </row>
    <row r="2725">
      <c r="A2725" s="3">
        <v>45617.0</v>
      </c>
      <c r="B2725" s="4">
        <v>0.3590277777777778</v>
      </c>
      <c r="C2725" s="5" t="s">
        <v>85</v>
      </c>
      <c r="D2725" s="5" t="s">
        <v>717</v>
      </c>
      <c r="E2725" s="6" t="s">
        <v>146</v>
      </c>
      <c r="F2725" s="5" t="s">
        <v>794</v>
      </c>
      <c r="G2725" s="6" t="str">
        <f>VLOOKUP(E2725,dicionario!$A$1:$C3124,2,0)</f>
        <v>Euphorbia hirta</v>
      </c>
      <c r="H2725" s="6" t="str">
        <f>VLOOKUP(E2725,dicionario!$A$1:$C3124,3,0)</f>
        <v>erva-de-santa-luzia</v>
      </c>
    </row>
    <row r="2726">
      <c r="A2726" s="3">
        <v>45617.0</v>
      </c>
      <c r="B2726" s="4">
        <v>0.3590277777777778</v>
      </c>
      <c r="C2726" s="5" t="s">
        <v>85</v>
      </c>
      <c r="D2726" s="5" t="s">
        <v>717</v>
      </c>
      <c r="E2726" s="6" t="s">
        <v>425</v>
      </c>
      <c r="F2726" s="5" t="s">
        <v>828</v>
      </c>
      <c r="G2726" s="6" t="str">
        <f>VLOOKUP(E2726,dicionario!$A$1:$C3125,2,0)</f>
        <v>Digitaria insularis</v>
      </c>
      <c r="H2726" s="6" t="str">
        <f>VLOOKUP(E2726,dicionario!$A$1:$C3125,3,0)</f>
        <v>capim-amargoso</v>
      </c>
    </row>
    <row r="2727">
      <c r="A2727" s="3">
        <v>45617.0</v>
      </c>
      <c r="B2727" s="4">
        <v>0.3590277777777778</v>
      </c>
      <c r="C2727" s="5" t="s">
        <v>85</v>
      </c>
      <c r="D2727" s="5" t="s">
        <v>717</v>
      </c>
      <c r="E2727" s="6" t="s">
        <v>399</v>
      </c>
      <c r="F2727" s="5" t="s">
        <v>829</v>
      </c>
      <c r="G2727" s="6" t="str">
        <f>VLOOKUP(E2727,dicionario!$A$1:$C3126,2,0)</f>
        <v>Varronia curassavica</v>
      </c>
      <c r="H2727" s="6" t="str">
        <f>VLOOKUP(E2727,dicionario!$A$1:$C3126,3,0)</f>
        <v>erva-baleeira</v>
      </c>
    </row>
    <row r="2728">
      <c r="A2728" s="3">
        <v>45617.0</v>
      </c>
      <c r="B2728" s="4">
        <v>0.3597222222222222</v>
      </c>
      <c r="C2728" s="5" t="s">
        <v>85</v>
      </c>
      <c r="D2728" s="5" t="s">
        <v>717</v>
      </c>
      <c r="E2728" s="8" t="s">
        <v>41</v>
      </c>
      <c r="F2728" s="5" t="s">
        <v>796</v>
      </c>
      <c r="G2728" s="6" t="str">
        <f>VLOOKUP(E2728,dicionario!$A$1:$C3127,2,0)</f>
        <v>Mimosa pudica</v>
      </c>
      <c r="H2728" s="6" t="str">
        <f>VLOOKUP(E2728,dicionario!$A$1:$C3127,3,0)</f>
        <v>dormideira</v>
      </c>
    </row>
    <row r="2729">
      <c r="A2729" s="3">
        <v>45617.0</v>
      </c>
      <c r="B2729" s="4">
        <v>0.3597222222222222</v>
      </c>
      <c r="C2729" s="5" t="s">
        <v>85</v>
      </c>
      <c r="D2729" s="5" t="s">
        <v>717</v>
      </c>
      <c r="E2729" s="8" t="s">
        <v>298</v>
      </c>
      <c r="F2729" s="5" t="s">
        <v>739</v>
      </c>
      <c r="G2729" s="6" t="str">
        <f>VLOOKUP(E2729,dicionario!$A$1:$C3128,2,0)</f>
        <v>Alysicarpus vaginalis</v>
      </c>
      <c r="H2729" s="6" t="str">
        <f>VLOOKUP(E2729,dicionario!$A$1:$C3128,3,0)</f>
        <v/>
      </c>
    </row>
    <row r="2730">
      <c r="A2730" s="3">
        <v>45617.0</v>
      </c>
      <c r="B2730" s="4">
        <v>0.3611111111111111</v>
      </c>
      <c r="C2730" s="5" t="s">
        <v>85</v>
      </c>
      <c r="D2730" s="5" t="s">
        <v>717</v>
      </c>
      <c r="E2730" s="6" t="s">
        <v>267</v>
      </c>
      <c r="F2730" s="5" t="s">
        <v>765</v>
      </c>
      <c r="G2730" s="6" t="str">
        <f>VLOOKUP(E2730,dicionario!$A$1:$C3129,2,0)</f>
        <v>Solanum americanum</v>
      </c>
      <c r="H2730" s="6" t="str">
        <f>VLOOKUP(E2730,dicionario!$A$1:$C3129,3,0)</f>
        <v>maria-pretinha</v>
      </c>
    </row>
    <row r="2731">
      <c r="A2731" s="3">
        <v>45617.0</v>
      </c>
      <c r="B2731" s="4">
        <v>0.3611111111111111</v>
      </c>
      <c r="C2731" s="5" t="s">
        <v>85</v>
      </c>
      <c r="D2731" s="5" t="s">
        <v>717</v>
      </c>
      <c r="E2731" s="8" t="s">
        <v>830</v>
      </c>
      <c r="F2731" s="5" t="s">
        <v>831</v>
      </c>
      <c r="G2731" s="6" t="str">
        <f>VLOOKUP(E2731,dicionario!$A$1:$C3130,2,0)</f>
        <v>#N/A</v>
      </c>
      <c r="H2731" s="6" t="str">
        <f>VLOOKUP(E2731,dicionario!$A$1:$C3130,3,0)</f>
        <v>#N/A</v>
      </c>
    </row>
    <row r="2732">
      <c r="A2732" s="3">
        <v>45617.0</v>
      </c>
      <c r="B2732" s="4">
        <v>0.3611111111111111</v>
      </c>
      <c r="C2732" s="5" t="s">
        <v>85</v>
      </c>
      <c r="D2732" s="5" t="s">
        <v>717</v>
      </c>
      <c r="E2732" s="29" t="s">
        <v>566</v>
      </c>
      <c r="F2732" s="5" t="s">
        <v>832</v>
      </c>
      <c r="G2732" s="6" t="str">
        <f>VLOOKUP(E2732,dicionario!$A$1:$C3131,2,0)</f>
        <v>Baccharis dracunculifolia</v>
      </c>
      <c r="H2732" s="6" t="str">
        <f>VLOOKUP(E2732,dicionario!$A$1:$C3131,3,0)</f>
        <v>vassoura</v>
      </c>
    </row>
    <row r="2733">
      <c r="A2733" s="3">
        <v>45617.0</v>
      </c>
      <c r="B2733" s="4">
        <v>0.3638888888888889</v>
      </c>
      <c r="C2733" s="5" t="s">
        <v>90</v>
      </c>
      <c r="D2733" s="5" t="s">
        <v>717</v>
      </c>
      <c r="E2733" s="6" t="s">
        <v>154</v>
      </c>
      <c r="F2733" s="5" t="s">
        <v>155</v>
      </c>
      <c r="G2733" s="6" t="str">
        <f>VLOOKUP(E2733,dicionario!$A$1:$C3132,2,0)</f>
        <v>Cyperus rotundus</v>
      </c>
      <c r="H2733" s="6" t="str">
        <f>VLOOKUP(E2733,dicionario!$A$1:$C3132,3,0)</f>
        <v>tiririca</v>
      </c>
    </row>
    <row r="2734">
      <c r="A2734" s="3">
        <v>45617.0</v>
      </c>
      <c r="B2734" s="4">
        <v>0.3638888888888889</v>
      </c>
      <c r="C2734" s="5" t="s">
        <v>90</v>
      </c>
      <c r="D2734" s="5" t="s">
        <v>717</v>
      </c>
      <c r="E2734" s="6" t="s">
        <v>227</v>
      </c>
      <c r="F2734" s="5" t="s">
        <v>813</v>
      </c>
      <c r="G2734" s="6" t="str">
        <f>VLOOKUP(E2734,dicionario!$A$1:$C3133,2,0)</f>
        <v>Indigofera hirsuta</v>
      </c>
      <c r="H2734" s="6" t="str">
        <f>VLOOKUP(E2734,dicionario!$A$1:$C3133,3,0)</f>
        <v>anileira</v>
      </c>
    </row>
    <row r="2735">
      <c r="A2735" s="3">
        <v>45617.0</v>
      </c>
      <c r="B2735" s="4">
        <v>0.3638888888888889</v>
      </c>
      <c r="C2735" s="5" t="s">
        <v>90</v>
      </c>
      <c r="D2735" s="5" t="s">
        <v>717</v>
      </c>
      <c r="E2735" s="6" t="s">
        <v>135</v>
      </c>
      <c r="F2735" s="5" t="s">
        <v>833</v>
      </c>
      <c r="G2735" s="6" t="str">
        <f>VLOOKUP(E2735,dicionario!$A$1:$C3134,2,0)</f>
        <v>Tridax procumbens</v>
      </c>
      <c r="H2735" s="6" t="str">
        <f>VLOOKUP(E2735,dicionario!$A$1:$C3134,3,0)</f>
        <v>erva-de-touro</v>
      </c>
    </row>
    <row r="2736">
      <c r="A2736" s="3">
        <v>45617.0</v>
      </c>
      <c r="B2736" s="4">
        <v>0.3638888888888889</v>
      </c>
      <c r="C2736" s="5" t="s">
        <v>90</v>
      </c>
      <c r="D2736" s="5" t="s">
        <v>717</v>
      </c>
      <c r="E2736" s="8" t="s">
        <v>758</v>
      </c>
      <c r="F2736" s="5" t="s">
        <v>759</v>
      </c>
      <c r="G2736" s="6" t="str">
        <f>VLOOKUP(E2736,dicionario!$A$1:$C3135,2,0)</f>
        <v>Cyperus esculentus</v>
      </c>
      <c r="H2736" s="6" t="str">
        <f>VLOOKUP(E2736,dicionario!$A$1:$C3135,3,0)</f>
        <v>tiriricão</v>
      </c>
    </row>
    <row r="2737">
      <c r="A2737" s="3">
        <v>45617.0</v>
      </c>
      <c r="B2737" s="4">
        <v>0.3638888888888889</v>
      </c>
      <c r="C2737" s="5" t="s">
        <v>90</v>
      </c>
      <c r="D2737" s="5" t="s">
        <v>717</v>
      </c>
      <c r="E2737" s="8" t="s">
        <v>712</v>
      </c>
      <c r="F2737" s="5" t="s">
        <v>713</v>
      </c>
      <c r="G2737" s="6" t="str">
        <f>VLOOKUP(E2737,dicionario!$A$1:$C3136,2,0)</f>
        <v>Flavopunctelia soredica</v>
      </c>
      <c r="H2737" s="6" t="str">
        <f>VLOOKUP(E2737,dicionario!$A$1:$C3136,3,0)</f>
        <v>líquen-folioso</v>
      </c>
    </row>
    <row r="2738">
      <c r="A2738" s="3">
        <v>45617.0</v>
      </c>
      <c r="B2738" s="4">
        <v>0.3638888888888889</v>
      </c>
      <c r="C2738" s="5" t="s">
        <v>90</v>
      </c>
      <c r="D2738" s="5" t="s">
        <v>717</v>
      </c>
      <c r="E2738" s="8" t="s">
        <v>719</v>
      </c>
      <c r="F2738" s="5" t="s">
        <v>762</v>
      </c>
      <c r="G2738" s="6" t="str">
        <f>VLOOKUP(E2738,dicionario!$A$1:$C3137,2,0)</f>
        <v>Dirinaria</v>
      </c>
      <c r="H2738" s="6" t="str">
        <f>VLOOKUP(E2738,dicionario!$A$1:$C3137,3,0)</f>
        <v>líquen-crostoso</v>
      </c>
    </row>
    <row r="2739">
      <c r="A2739" s="3">
        <v>45617.0</v>
      </c>
      <c r="B2739" s="4">
        <v>0.3638888888888889</v>
      </c>
      <c r="C2739" s="5" t="s">
        <v>90</v>
      </c>
      <c r="D2739" s="5" t="s">
        <v>717</v>
      </c>
      <c r="E2739" s="8" t="s">
        <v>107</v>
      </c>
      <c r="F2739" s="5" t="s">
        <v>834</v>
      </c>
      <c r="G2739" s="6" t="str">
        <f>VLOOKUP(E2739,dicionario!$A$1:$C3138,2,0)</f>
        <v>Ramalina complanata</v>
      </c>
      <c r="H2739" s="6" t="str">
        <f>VLOOKUP(E2739,dicionario!$A$1:$C3138,3,0)</f>
        <v>ramalina</v>
      </c>
    </row>
    <row r="2740">
      <c r="A2740" s="3">
        <v>45617.0</v>
      </c>
      <c r="B2740" s="4">
        <v>0.3638888888888889</v>
      </c>
      <c r="C2740" s="5" t="s">
        <v>90</v>
      </c>
      <c r="D2740" s="5" t="s">
        <v>717</v>
      </c>
      <c r="E2740" s="6" t="s">
        <v>353</v>
      </c>
      <c r="F2740" s="5" t="s">
        <v>835</v>
      </c>
      <c r="G2740" s="6" t="str">
        <f>VLOOKUP(E2740,dicionario!$A$1:$C3139,2,0)</f>
        <v>Desmodium incanum</v>
      </c>
      <c r="H2740" s="6" t="str">
        <f>VLOOKUP(E2740,dicionario!$A$1:$C3139,3,0)</f>
        <v>pega-pega</v>
      </c>
    </row>
    <row r="2741">
      <c r="A2741" s="3">
        <v>45617.0</v>
      </c>
      <c r="B2741" s="4">
        <v>0.3645833333333333</v>
      </c>
      <c r="C2741" s="5" t="s">
        <v>90</v>
      </c>
      <c r="D2741" s="5" t="s">
        <v>717</v>
      </c>
      <c r="E2741" s="20" t="s">
        <v>676</v>
      </c>
      <c r="F2741" s="7" t="s">
        <v>677</v>
      </c>
      <c r="G2741" s="6" t="str">
        <f>VLOOKUP(E2741,dicionario!$A$1:$C3140,2,0)</f>
        <v>Zornia latifolia</v>
      </c>
      <c r="H2741" s="6" t="str">
        <f>VLOOKUP(E2741,dicionario!$A$1:$C3140,3,0)</f>
        <v>arrozinho-do-campo</v>
      </c>
    </row>
    <row r="2742">
      <c r="A2742" s="3">
        <v>45617.0</v>
      </c>
      <c r="B2742" s="4">
        <v>0.3645833333333333</v>
      </c>
      <c r="C2742" s="5" t="s">
        <v>90</v>
      </c>
      <c r="D2742" s="5" t="s">
        <v>717</v>
      </c>
      <c r="E2742" s="6" t="s">
        <v>245</v>
      </c>
      <c r="F2742" s="7" t="s">
        <v>246</v>
      </c>
      <c r="G2742" s="6" t="str">
        <f>VLOOKUP(E2742,dicionario!$A$1:$C3141,2,0)</f>
        <v>Hemiargus hanno</v>
      </c>
      <c r="H2742" s="6" t="str">
        <f>VLOOKUP(E2742,dicionario!$A$1:$C3141,3,0)</f>
        <v>borboleta-azulzinha-do-trevo</v>
      </c>
    </row>
    <row r="2743">
      <c r="A2743" s="3">
        <v>45617.0</v>
      </c>
      <c r="B2743" s="4">
        <v>0.3645833333333333</v>
      </c>
      <c r="C2743" s="5" t="s">
        <v>90</v>
      </c>
      <c r="D2743" s="5" t="s">
        <v>717</v>
      </c>
      <c r="E2743" s="8" t="s">
        <v>360</v>
      </c>
      <c r="F2743" s="7" t="s">
        <v>361</v>
      </c>
      <c r="G2743" s="6" t="str">
        <f>VLOOKUP(E2743,dicionario!$A$1:$C3142,2,0)</f>
        <v>Chamaecrista rotundifolia</v>
      </c>
      <c r="H2743" s="6" t="str">
        <f>VLOOKUP(E2743,dicionario!$A$1:$C3142,3,0)</f>
        <v>alfafa-nativa</v>
      </c>
    </row>
    <row r="2744">
      <c r="A2744" s="3">
        <v>45617.0</v>
      </c>
      <c r="B2744" s="4">
        <v>0.3645833333333333</v>
      </c>
      <c r="C2744" s="5" t="s">
        <v>90</v>
      </c>
      <c r="D2744" s="5" t="s">
        <v>717</v>
      </c>
      <c r="E2744" s="6" t="s">
        <v>93</v>
      </c>
      <c r="F2744" s="5" t="s">
        <v>836</v>
      </c>
      <c r="G2744" s="6" t="str">
        <f>VLOOKUP(E2744,dicionario!$A$1:$C3143,2,0)</f>
        <v>Thraupis sayaca</v>
      </c>
      <c r="H2744" s="6" t="str">
        <f>VLOOKUP(E2744,dicionario!$A$1:$C3143,3,0)</f>
        <v>sanhaçu-cinzento</v>
      </c>
    </row>
    <row r="2745">
      <c r="A2745" s="3">
        <v>45617.0</v>
      </c>
      <c r="B2745" s="4">
        <v>0.3645833333333333</v>
      </c>
      <c r="C2745" s="5" t="s">
        <v>90</v>
      </c>
      <c r="D2745" s="5" t="s">
        <v>717</v>
      </c>
      <c r="E2745" s="6" t="s">
        <v>53</v>
      </c>
      <c r="F2745" s="7" t="s">
        <v>54</v>
      </c>
      <c r="G2745" s="6" t="str">
        <f>VLOOKUP(E2745,dicionario!$A$1:$C3144,2,0)</f>
        <v>Turnera subulata</v>
      </c>
      <c r="H2745" s="6" t="str">
        <f>VLOOKUP(E2745,dicionario!$A$1:$C3144,3,0)</f>
        <v>xanana</v>
      </c>
    </row>
    <row r="2746">
      <c r="A2746" s="3">
        <v>45617.0</v>
      </c>
      <c r="B2746" s="4">
        <v>0.3645833333333333</v>
      </c>
      <c r="C2746" s="5" t="s">
        <v>90</v>
      </c>
      <c r="D2746" s="5" t="s">
        <v>717</v>
      </c>
      <c r="E2746" s="6" t="s">
        <v>239</v>
      </c>
      <c r="F2746" s="5" t="s">
        <v>816</v>
      </c>
      <c r="G2746" s="6" t="str">
        <f>VLOOKUP(E2746,dicionario!$A$1:$C3145,2,0)</f>
        <v>Gomphrena celosioides</v>
      </c>
      <c r="H2746" s="6" t="str">
        <f>VLOOKUP(E2746,dicionario!$A$1:$C3145,3,0)</f>
        <v>perpétua-branca</v>
      </c>
    </row>
    <row r="2747">
      <c r="A2747" s="3">
        <v>45617.0</v>
      </c>
      <c r="B2747" s="4">
        <v>0.3645833333333333</v>
      </c>
      <c r="C2747" s="5" t="s">
        <v>90</v>
      </c>
      <c r="D2747" s="5" t="s">
        <v>717</v>
      </c>
      <c r="E2747" s="20" t="s">
        <v>631</v>
      </c>
      <c r="F2747" s="5" t="s">
        <v>810</v>
      </c>
      <c r="G2747" s="6" t="str">
        <f>VLOOKUP(E2747,dicionario!$A$1:$C3146,2,0)</f>
        <v>Chamaecrista nictitans</v>
      </c>
      <c r="H2747" s="6" t="str">
        <f>VLOOKUP(E2747,dicionario!$A$1:$C3146,3,0)</f>
        <v>falsa-dormideira</v>
      </c>
    </row>
    <row r="2748">
      <c r="A2748" s="3">
        <v>45617.0</v>
      </c>
      <c r="B2748" s="4">
        <v>0.3645833333333333</v>
      </c>
      <c r="C2748" s="5" t="s">
        <v>90</v>
      </c>
      <c r="D2748" s="5" t="s">
        <v>717</v>
      </c>
      <c r="E2748" s="6" t="s">
        <v>286</v>
      </c>
      <c r="F2748" s="5" t="s">
        <v>781</v>
      </c>
      <c r="G2748" s="6" t="str">
        <f>VLOOKUP(E2748,dicionario!$A$1:$C3147,2,0)</f>
        <v>Setaria parviflora</v>
      </c>
      <c r="H2748" s="6" t="str">
        <f>VLOOKUP(E2748,dicionario!$A$1:$C3147,3,0)</f>
        <v>capim-rabo-de-raposa</v>
      </c>
    </row>
    <row r="2749">
      <c r="A2749" s="3">
        <v>45617.0</v>
      </c>
      <c r="B2749" s="4">
        <v>0.36527777777777776</v>
      </c>
      <c r="C2749" s="5" t="s">
        <v>90</v>
      </c>
      <c r="D2749" s="5" t="s">
        <v>717</v>
      </c>
      <c r="E2749" s="6" t="s">
        <v>144</v>
      </c>
      <c r="F2749" s="5" t="s">
        <v>791</v>
      </c>
      <c r="G2749" s="6" t="str">
        <f>VLOOKUP(E2749,dicionario!$A$1:$C3148,2,0)</f>
        <v>Gomphrena globosa</v>
      </c>
      <c r="H2749" s="6" t="str">
        <f>VLOOKUP(E2749,dicionario!$A$1:$C3148,3,0)</f>
        <v>perpétua-rosa</v>
      </c>
    </row>
    <row r="2750">
      <c r="A2750" s="3">
        <v>45617.0</v>
      </c>
      <c r="B2750" s="4">
        <v>0.3659722222222222</v>
      </c>
      <c r="C2750" s="5" t="s">
        <v>90</v>
      </c>
      <c r="D2750" s="5" t="s">
        <v>717</v>
      </c>
      <c r="E2750" s="8" t="s">
        <v>503</v>
      </c>
      <c r="F2750" s="5" t="s">
        <v>414</v>
      </c>
      <c r="G2750" s="6" t="str">
        <f>VLOOKUP(E2750,dicionario!$A$1:$C3149,2,0)</f>
        <v>Orphulella punctata</v>
      </c>
      <c r="H2750" s="6" t="str">
        <f>VLOOKUP(E2750,dicionario!$A$1:$C3149,3,0)</f>
        <v>gafanhotinho</v>
      </c>
    </row>
    <row r="2751">
      <c r="A2751" s="3">
        <v>45617.0</v>
      </c>
      <c r="B2751" s="4">
        <v>0.3659722222222222</v>
      </c>
      <c r="C2751" s="5" t="s">
        <v>90</v>
      </c>
      <c r="D2751" s="5" t="s">
        <v>717</v>
      </c>
      <c r="E2751" s="6" t="s">
        <v>43</v>
      </c>
      <c r="F2751" s="5" t="s">
        <v>837</v>
      </c>
      <c r="G2751" s="6" t="str">
        <f>VLOOKUP(E2751,dicionario!$A$1:$C3150,2,0)</f>
        <v>Columba livia</v>
      </c>
      <c r="H2751" s="6" t="str">
        <f>VLOOKUP(E2751,dicionario!$A$1:$C3150,3,0)</f>
        <v>pombo-doméstico</v>
      </c>
    </row>
    <row r="2752">
      <c r="A2752" s="3">
        <v>45617.0</v>
      </c>
      <c r="B2752" s="4">
        <v>0.3680555555555556</v>
      </c>
      <c r="C2752" s="5" t="s">
        <v>90</v>
      </c>
      <c r="D2752" s="5" t="s">
        <v>717</v>
      </c>
      <c r="E2752" s="6" t="s">
        <v>215</v>
      </c>
      <c r="F2752" s="7" t="s">
        <v>216</v>
      </c>
      <c r="G2752" s="6" t="str">
        <f>VLOOKUP(E2752,dicionario!$A$1:$C3151,2,0)</f>
        <v>Pygochelidon cyanoleuca</v>
      </c>
      <c r="H2752" s="6" t="str">
        <f>VLOOKUP(E2752,dicionario!$A$1:$C3151,3,0)</f>
        <v>andorinha-pequena-de-casa</v>
      </c>
    </row>
    <row r="2753">
      <c r="A2753" s="3">
        <v>45617.0</v>
      </c>
      <c r="B2753" s="4">
        <v>0.3680555555555556</v>
      </c>
      <c r="C2753" s="5" t="s">
        <v>90</v>
      </c>
      <c r="D2753" s="5" t="s">
        <v>717</v>
      </c>
      <c r="E2753" s="8" t="s">
        <v>143</v>
      </c>
      <c r="F2753" s="5" t="s">
        <v>63</v>
      </c>
      <c r="G2753" s="6" t="str">
        <f>VLOOKUP(E2753,dicionario!$A$1:$C3152,2,0)</f>
        <v>Polybia</v>
      </c>
      <c r="H2753" s="6" t="str">
        <f>VLOOKUP(E2753,dicionario!$A$1:$C3152,3,0)</f>
        <v>vespa</v>
      </c>
    </row>
    <row r="2754">
      <c r="A2754" s="3">
        <v>45617.0</v>
      </c>
      <c r="B2754" s="4">
        <v>0.3680555555555556</v>
      </c>
      <c r="C2754" s="5" t="s">
        <v>90</v>
      </c>
      <c r="D2754" s="5" t="s">
        <v>717</v>
      </c>
      <c r="E2754" s="8" t="s">
        <v>838</v>
      </c>
      <c r="F2754" s="5" t="s">
        <v>839</v>
      </c>
      <c r="G2754" s="6" t="str">
        <f>VLOOKUP(E2754,dicionario!$A$1:$C3153,2,0)</f>
        <v>Plexippus paykulli</v>
      </c>
      <c r="H2754" s="6" t="str">
        <f>VLOOKUP(E2754,dicionario!$A$1:$C3153,3,0)</f>
        <v>aranha-saltadora-pantropical</v>
      </c>
    </row>
    <row r="2755">
      <c r="A2755" s="3">
        <v>45624.0</v>
      </c>
      <c r="B2755" s="4">
        <v>0.25833333333333336</v>
      </c>
      <c r="C2755" s="5" t="s">
        <v>90</v>
      </c>
      <c r="D2755" s="5" t="s">
        <v>840</v>
      </c>
      <c r="E2755" s="6" t="s">
        <v>206</v>
      </c>
      <c r="F2755" s="5" t="s">
        <v>841</v>
      </c>
      <c r="G2755" s="6" t="str">
        <f>VLOOKUP(E2755,dicionario!$A$1:$C3154,2,0)</f>
        <v>Falco sparverius</v>
      </c>
      <c r="H2755" s="6" t="str">
        <f>VLOOKUP(E2755,dicionario!$A$1:$C3154,3,0)</f>
        <v>quiriquiri</v>
      </c>
    </row>
    <row r="2756">
      <c r="A2756" s="3">
        <v>45624.0</v>
      </c>
      <c r="B2756" s="4">
        <v>0.2590277777777778</v>
      </c>
      <c r="C2756" s="5" t="s">
        <v>90</v>
      </c>
      <c r="D2756" s="5" t="s">
        <v>840</v>
      </c>
      <c r="E2756" s="8" t="s">
        <v>191</v>
      </c>
      <c r="F2756" s="5" t="s">
        <v>771</v>
      </c>
      <c r="G2756" s="6" t="str">
        <f>VLOOKUP(E2756,dicionario!$A$1:$C3155,2,0)</f>
        <v>Patagioenas picazuro</v>
      </c>
      <c r="H2756" s="6" t="str">
        <f>VLOOKUP(E2756,dicionario!$A$1:$C3155,3,0)</f>
        <v>asa-branca; pomba-asa-branca; pocaçu</v>
      </c>
    </row>
    <row r="2757">
      <c r="A2757" s="3">
        <v>45624.0</v>
      </c>
      <c r="B2757" s="4">
        <v>0.2590277777777778</v>
      </c>
      <c r="C2757" s="5" t="s">
        <v>90</v>
      </c>
      <c r="D2757" s="5" t="s">
        <v>840</v>
      </c>
      <c r="E2757" s="6" t="s">
        <v>72</v>
      </c>
      <c r="F2757" s="5" t="s">
        <v>764</v>
      </c>
      <c r="G2757" s="6" t="str">
        <f>VLOOKUP(E2757,dicionario!$A$1:$C3156,2,0)</f>
        <v>Thraupis palmarum</v>
      </c>
      <c r="H2757" s="6" t="str">
        <f>VLOOKUP(E2757,dicionario!$A$1:$C3156,3,0)</f>
        <v>sanhaço-do-coqueiro</v>
      </c>
    </row>
    <row r="2758">
      <c r="A2758" s="3">
        <v>45624.0</v>
      </c>
      <c r="B2758" s="4">
        <v>0.2604166666666667</v>
      </c>
      <c r="C2758" s="5" t="s">
        <v>90</v>
      </c>
      <c r="D2758" s="5" t="s">
        <v>840</v>
      </c>
      <c r="E2758" s="6" t="s">
        <v>53</v>
      </c>
      <c r="F2758" s="7" t="s">
        <v>54</v>
      </c>
      <c r="G2758" s="6" t="str">
        <f>VLOOKUP(E2758,dicionario!$A$1:$C3157,2,0)</f>
        <v>Turnera subulata</v>
      </c>
      <c r="H2758" s="6" t="str">
        <f>VLOOKUP(E2758,dicionario!$A$1:$C3157,3,0)</f>
        <v>xanana</v>
      </c>
    </row>
    <row r="2759">
      <c r="A2759" s="3">
        <v>45624.0</v>
      </c>
      <c r="B2759" s="4">
        <v>0.2611111111111111</v>
      </c>
      <c r="C2759" s="5" t="s">
        <v>90</v>
      </c>
      <c r="D2759" s="5" t="s">
        <v>840</v>
      </c>
      <c r="E2759" s="6" t="s">
        <v>135</v>
      </c>
      <c r="F2759" s="5" t="s">
        <v>833</v>
      </c>
      <c r="G2759" s="6" t="str">
        <f>VLOOKUP(E2759,dicionario!$A$1:$C3158,2,0)</f>
        <v>Tridax procumbens</v>
      </c>
      <c r="H2759" s="6" t="str">
        <f>VLOOKUP(E2759,dicionario!$A$1:$C3158,3,0)</f>
        <v>erva-de-touro</v>
      </c>
    </row>
    <row r="2760">
      <c r="A2760" s="3">
        <v>45624.0</v>
      </c>
      <c r="B2760" s="4">
        <v>0.2611111111111111</v>
      </c>
      <c r="C2760" s="5" t="s">
        <v>90</v>
      </c>
      <c r="D2760" s="5" t="s">
        <v>840</v>
      </c>
      <c r="E2760" s="20" t="s">
        <v>676</v>
      </c>
      <c r="F2760" s="7" t="s">
        <v>677</v>
      </c>
      <c r="G2760" s="6" t="str">
        <f>VLOOKUP(E2760,dicionario!$A$1:$C3159,2,0)</f>
        <v>Zornia latifolia</v>
      </c>
      <c r="H2760" s="6" t="str">
        <f>VLOOKUP(E2760,dicionario!$A$1:$C3159,3,0)</f>
        <v>arrozinho-do-campo</v>
      </c>
    </row>
    <row r="2761">
      <c r="A2761" s="3">
        <v>45624.0</v>
      </c>
      <c r="B2761" s="4">
        <v>0.2611111111111111</v>
      </c>
      <c r="C2761" s="5" t="s">
        <v>90</v>
      </c>
      <c r="D2761" s="5" t="s">
        <v>840</v>
      </c>
      <c r="E2761" s="6" t="s">
        <v>154</v>
      </c>
      <c r="F2761" s="5" t="s">
        <v>815</v>
      </c>
      <c r="G2761" s="6" t="str">
        <f>VLOOKUP(E2761,dicionario!$A$1:$C3160,2,0)</f>
        <v>Cyperus rotundus</v>
      </c>
      <c r="H2761" s="6" t="str">
        <f>VLOOKUP(E2761,dicionario!$A$1:$C3160,3,0)</f>
        <v>tiririca</v>
      </c>
    </row>
    <row r="2762">
      <c r="A2762" s="3">
        <v>45624.0</v>
      </c>
      <c r="B2762" s="4">
        <v>0.2611111111111111</v>
      </c>
      <c r="C2762" s="5" t="s">
        <v>90</v>
      </c>
      <c r="D2762" s="5" t="s">
        <v>840</v>
      </c>
      <c r="E2762" s="6" t="s">
        <v>14</v>
      </c>
      <c r="F2762" s="5" t="s">
        <v>15</v>
      </c>
      <c r="G2762" s="6" t="str">
        <f>VLOOKUP(E2762,dicionario!$A$1:$C3161,2,0)</f>
        <v>Spermacoce verticillata</v>
      </c>
      <c r="H2762" s="6" t="str">
        <f>VLOOKUP(E2762,dicionario!$A$1:$C3161,3,0)</f>
        <v>vassourinha-de-botão</v>
      </c>
    </row>
    <row r="2763">
      <c r="A2763" s="3">
        <v>45624.0</v>
      </c>
      <c r="B2763" s="4">
        <v>0.26180555555555557</v>
      </c>
      <c r="C2763" s="5" t="s">
        <v>90</v>
      </c>
      <c r="D2763" s="5" t="s">
        <v>840</v>
      </c>
      <c r="E2763" s="6" t="s">
        <v>105</v>
      </c>
      <c r="F2763" s="5" t="s">
        <v>842</v>
      </c>
      <c r="G2763" s="6" t="str">
        <f>VLOOKUP(E2763,dicionario!$A$1:$C3162,2,0)</f>
        <v>Progne tapera</v>
      </c>
      <c r="H2763" s="6" t="str">
        <f>VLOOKUP(E2763,dicionario!$A$1:$C3162,3,0)</f>
        <v>andorinha-do-campo</v>
      </c>
    </row>
    <row r="2764">
      <c r="A2764" s="3">
        <v>45624.0</v>
      </c>
      <c r="B2764" s="4">
        <v>0.26180555555555557</v>
      </c>
      <c r="C2764" s="5" t="s">
        <v>90</v>
      </c>
      <c r="D2764" s="5" t="s">
        <v>840</v>
      </c>
      <c r="E2764" s="8" t="s">
        <v>107</v>
      </c>
      <c r="F2764" s="5" t="s">
        <v>834</v>
      </c>
      <c r="G2764" s="6" t="str">
        <f>VLOOKUP(E2764,dicionario!$A$1:$C3163,2,0)</f>
        <v>Ramalina complanata</v>
      </c>
      <c r="H2764" s="6" t="str">
        <f>VLOOKUP(E2764,dicionario!$A$1:$C3163,3,0)</f>
        <v>ramalina</v>
      </c>
    </row>
    <row r="2765">
      <c r="A2765" s="3">
        <v>45624.0</v>
      </c>
      <c r="B2765" s="4">
        <v>0.2625</v>
      </c>
      <c r="C2765" s="5" t="s">
        <v>90</v>
      </c>
      <c r="D2765" s="5" t="s">
        <v>840</v>
      </c>
      <c r="E2765" s="8" t="s">
        <v>20</v>
      </c>
      <c r="F2765" s="7" t="s">
        <v>21</v>
      </c>
      <c r="G2765" s="6" t="str">
        <f>VLOOKUP(E2765,dicionario!$A$1:$C3164,2,0)</f>
        <v>Sicalis flaveola</v>
      </c>
      <c r="H2765" s="6" t="str">
        <f>VLOOKUP(E2765,dicionario!$A$1:$C3164,3,0)</f>
        <v>canário-da-terra</v>
      </c>
    </row>
    <row r="2766">
      <c r="A2766" s="3">
        <v>45624.0</v>
      </c>
      <c r="B2766" s="4">
        <v>0.2625</v>
      </c>
      <c r="C2766" s="5" t="s">
        <v>90</v>
      </c>
      <c r="D2766" s="5" t="s">
        <v>840</v>
      </c>
      <c r="E2766" s="6" t="s">
        <v>109</v>
      </c>
      <c r="F2766" s="5" t="s">
        <v>777</v>
      </c>
      <c r="G2766" s="6" t="str">
        <f>VLOOKUP(E2766,dicionario!$A$1:$C3165,2,0)</f>
        <v>Tillandsia stricta</v>
      </c>
      <c r="H2766" s="6" t="str">
        <f>VLOOKUP(E2766,dicionario!$A$1:$C3165,3,0)</f>
        <v>cravo-do-mato</v>
      </c>
    </row>
    <row r="2767">
      <c r="A2767" s="3">
        <v>45624.0</v>
      </c>
      <c r="B2767" s="4">
        <v>0.2638888888888889</v>
      </c>
      <c r="C2767" s="5" t="s">
        <v>90</v>
      </c>
      <c r="D2767" s="5" t="s">
        <v>840</v>
      </c>
      <c r="E2767" s="6" t="s">
        <v>113</v>
      </c>
      <c r="F2767" s="5" t="s">
        <v>820</v>
      </c>
      <c r="G2767" s="6" t="str">
        <f>VLOOKUP(E2767,dicionario!$A$1:$C3166,2,0)</f>
        <v>Columbina talpacoti</v>
      </c>
      <c r="H2767" s="6" t="str">
        <f>VLOOKUP(E2767,dicionario!$A$1:$C3166,3,0)</f>
        <v>rolinha-roxa</v>
      </c>
    </row>
    <row r="2768">
      <c r="A2768" s="3">
        <v>45624.0</v>
      </c>
      <c r="B2768" s="4">
        <v>0.2638888888888889</v>
      </c>
      <c r="C2768" s="5" t="s">
        <v>90</v>
      </c>
      <c r="D2768" s="5" t="s">
        <v>840</v>
      </c>
      <c r="E2768" s="6" t="s">
        <v>111</v>
      </c>
      <c r="F2768" s="7" t="s">
        <v>112</v>
      </c>
      <c r="G2768" s="6" t="str">
        <f>VLOOKUP(E2768,dicionario!$A$1:$C3167,2,0)</f>
        <v>Trigona spinipes</v>
      </c>
      <c r="H2768" s="6" t="str">
        <f>VLOOKUP(E2768,dicionario!$A$1:$C3167,3,0)</f>
        <v>abelha-cachorro</v>
      </c>
    </row>
    <row r="2769">
      <c r="A2769" s="3">
        <v>45624.0</v>
      </c>
      <c r="B2769" s="4">
        <v>0.26458333333333334</v>
      </c>
      <c r="C2769" s="5" t="s">
        <v>90</v>
      </c>
      <c r="D2769" s="5" t="s">
        <v>840</v>
      </c>
      <c r="E2769" s="6" t="s">
        <v>91</v>
      </c>
      <c r="F2769" s="5" t="s">
        <v>843</v>
      </c>
      <c r="G2769" s="6" t="str">
        <f>VLOOKUP(E2769,dicionario!$A$1:$C3168,2,0)</f>
        <v>Picumnus cirratus</v>
      </c>
      <c r="H2769" s="6" t="str">
        <f>VLOOKUP(E2769,dicionario!$A$1:$C3168,3,0)</f>
        <v>picapauzinho-barrado</v>
      </c>
    </row>
    <row r="2770">
      <c r="A2770" s="3">
        <v>45624.0</v>
      </c>
      <c r="B2770" s="4">
        <v>0.26458333333333334</v>
      </c>
      <c r="C2770" s="5" t="s">
        <v>90</v>
      </c>
      <c r="D2770" s="5" t="s">
        <v>840</v>
      </c>
      <c r="E2770" s="6" t="s">
        <v>213</v>
      </c>
      <c r="F2770" s="7" t="s">
        <v>214</v>
      </c>
      <c r="G2770" s="6" t="str">
        <f>VLOOKUP(E2770,dicionario!$A$1:$C3169,2,0)</f>
        <v>Myiozetetes similis</v>
      </c>
      <c r="H2770" s="6" t="str">
        <f>VLOOKUP(E2770,dicionario!$A$1:$C3169,3,0)</f>
        <v>bentevizinho-de-penacho-vermelho</v>
      </c>
    </row>
    <row r="2771">
      <c r="A2771" s="3">
        <v>45624.0</v>
      </c>
      <c r="B2771" s="4">
        <v>0.2652777777777778</v>
      </c>
      <c r="C2771" s="5" t="s">
        <v>90</v>
      </c>
      <c r="D2771" s="5" t="s">
        <v>840</v>
      </c>
      <c r="E2771" s="8" t="s">
        <v>844</v>
      </c>
      <c r="F2771" s="5" t="s">
        <v>753</v>
      </c>
      <c r="G2771" s="6" t="str">
        <f>VLOOKUP(E2771,dicionario!$A$1:$C3170,2,0)</f>
        <v>#N/A</v>
      </c>
      <c r="H2771" s="6" t="str">
        <f>VLOOKUP(E2771,dicionario!$A$1:$C3170,3,0)</f>
        <v>#N/A</v>
      </c>
    </row>
    <row r="2772">
      <c r="A2772" s="3">
        <v>45624.0</v>
      </c>
      <c r="B2772" s="4">
        <v>0.2652777777777778</v>
      </c>
      <c r="C2772" s="5" t="s">
        <v>90</v>
      </c>
      <c r="D2772" s="5" t="s">
        <v>840</v>
      </c>
      <c r="E2772" s="8" t="s">
        <v>712</v>
      </c>
      <c r="F2772" s="5" t="s">
        <v>845</v>
      </c>
      <c r="G2772" s="6" t="str">
        <f>VLOOKUP(E2772,dicionario!$A$1:$C3171,2,0)</f>
        <v>Flavopunctelia soredica</v>
      </c>
      <c r="H2772" s="6" t="str">
        <f>VLOOKUP(E2772,dicionario!$A$1:$C3171,3,0)</f>
        <v>líquen-folioso</v>
      </c>
    </row>
    <row r="2773">
      <c r="A2773" s="3">
        <v>45624.0</v>
      </c>
      <c r="B2773" s="4">
        <v>0.2652777777777778</v>
      </c>
      <c r="C2773" s="5" t="s">
        <v>90</v>
      </c>
      <c r="D2773" s="5" t="s">
        <v>840</v>
      </c>
      <c r="E2773" s="8" t="s">
        <v>719</v>
      </c>
      <c r="F2773" s="5" t="s">
        <v>762</v>
      </c>
      <c r="G2773" s="6" t="str">
        <f>VLOOKUP(E2773,dicionario!$A$1:$C3172,2,0)</f>
        <v>Dirinaria</v>
      </c>
      <c r="H2773" s="6" t="str">
        <f>VLOOKUP(E2773,dicionario!$A$1:$C3172,3,0)</f>
        <v>líquen-crostoso</v>
      </c>
    </row>
    <row r="2774">
      <c r="A2774" s="3">
        <v>45624.0</v>
      </c>
      <c r="B2774" s="4">
        <v>0.2659722222222222</v>
      </c>
      <c r="C2774" s="5" t="s">
        <v>90</v>
      </c>
      <c r="D2774" s="5" t="s">
        <v>840</v>
      </c>
      <c r="E2774" s="8" t="s">
        <v>846</v>
      </c>
      <c r="F2774" s="5" t="s">
        <v>35</v>
      </c>
      <c r="G2774" s="6" t="str">
        <f>VLOOKUP(E2774,dicionario!$A$1:$C3173,2,0)</f>
        <v>#N/A</v>
      </c>
      <c r="H2774" s="6" t="str">
        <f>VLOOKUP(E2774,dicionario!$A$1:$C3173,3,0)</f>
        <v>#N/A</v>
      </c>
    </row>
    <row r="2775">
      <c r="A2775" s="3">
        <v>45624.0</v>
      </c>
      <c r="B2775" s="4">
        <v>0.26666666666666666</v>
      </c>
      <c r="C2775" s="5" t="s">
        <v>90</v>
      </c>
      <c r="D2775" s="5" t="s">
        <v>840</v>
      </c>
      <c r="E2775" s="6" t="s">
        <v>14</v>
      </c>
      <c r="F2775" s="5" t="s">
        <v>818</v>
      </c>
      <c r="G2775" s="6" t="str">
        <f>VLOOKUP(E2775,dicionario!$A$1:$C3174,2,0)</f>
        <v>Spermacoce verticillata</v>
      </c>
      <c r="H2775" s="6" t="str">
        <f>VLOOKUP(E2775,dicionario!$A$1:$C3174,3,0)</f>
        <v>vassourinha-de-botão</v>
      </c>
    </row>
    <row r="2776">
      <c r="A2776" s="3">
        <v>45624.0</v>
      </c>
      <c r="B2776" s="4">
        <v>0.26666666666666666</v>
      </c>
      <c r="C2776" s="5" t="s">
        <v>90</v>
      </c>
      <c r="D2776" s="5" t="s">
        <v>840</v>
      </c>
      <c r="E2776" s="8" t="s">
        <v>24</v>
      </c>
      <c r="F2776" s="5" t="s">
        <v>25</v>
      </c>
      <c r="G2776" s="6" t="str">
        <f>VLOOKUP(E2776,dicionario!$A$1:$C3175,2,0)</f>
        <v>Lepidoptera</v>
      </c>
      <c r="H2776" s="6" t="str">
        <f>VLOOKUP(E2776,dicionario!$A$1:$C3175,3,0)</f>
        <v>boboleta/mariposa</v>
      </c>
    </row>
    <row r="2777">
      <c r="A2777" s="3">
        <v>45624.0</v>
      </c>
      <c r="B2777" s="4">
        <v>0.26666666666666666</v>
      </c>
      <c r="C2777" s="5" t="s">
        <v>90</v>
      </c>
      <c r="D2777" s="5" t="s">
        <v>840</v>
      </c>
      <c r="E2777" s="6" t="s">
        <v>227</v>
      </c>
      <c r="F2777" s="5" t="s">
        <v>813</v>
      </c>
      <c r="G2777" s="6" t="str">
        <f>VLOOKUP(E2777,dicionario!$A$1:$C3176,2,0)</f>
        <v>Indigofera hirsuta</v>
      </c>
      <c r="H2777" s="6" t="str">
        <f>VLOOKUP(E2777,dicionario!$A$1:$C3176,3,0)</f>
        <v>anileira</v>
      </c>
    </row>
    <row r="2778">
      <c r="A2778" s="3">
        <v>45624.0</v>
      </c>
      <c r="B2778" s="4">
        <v>0.26666666666666666</v>
      </c>
      <c r="C2778" s="5" t="s">
        <v>90</v>
      </c>
      <c r="D2778" s="5" t="s">
        <v>840</v>
      </c>
      <c r="E2778" s="6" t="s">
        <v>239</v>
      </c>
      <c r="F2778" s="5" t="s">
        <v>816</v>
      </c>
      <c r="G2778" s="6" t="str">
        <f>VLOOKUP(E2778,dicionario!$A$1:$C3177,2,0)</f>
        <v>Gomphrena celosioides</v>
      </c>
      <c r="H2778" s="6" t="str">
        <f>VLOOKUP(E2778,dicionario!$A$1:$C3177,3,0)</f>
        <v>perpétua-branca</v>
      </c>
    </row>
    <row r="2779">
      <c r="A2779" s="3">
        <v>45624.0</v>
      </c>
      <c r="B2779" s="4">
        <v>0.26666666666666666</v>
      </c>
      <c r="C2779" s="5" t="s">
        <v>90</v>
      </c>
      <c r="D2779" s="5" t="s">
        <v>840</v>
      </c>
      <c r="E2779" s="6" t="s">
        <v>144</v>
      </c>
      <c r="F2779" s="5" t="s">
        <v>791</v>
      </c>
      <c r="G2779" s="6" t="str">
        <f>VLOOKUP(E2779,dicionario!$A$1:$C3178,2,0)</f>
        <v>Gomphrena globosa</v>
      </c>
      <c r="H2779" s="6" t="str">
        <f>VLOOKUP(E2779,dicionario!$A$1:$C3178,3,0)</f>
        <v>perpétua-rosa</v>
      </c>
    </row>
    <row r="2780">
      <c r="A2780" s="3">
        <v>45624.0</v>
      </c>
      <c r="B2780" s="4">
        <v>0.2673611111111111</v>
      </c>
      <c r="C2780" s="5" t="s">
        <v>90</v>
      </c>
      <c r="D2780" s="5" t="s">
        <v>840</v>
      </c>
      <c r="E2780" s="6" t="s">
        <v>65</v>
      </c>
      <c r="F2780" s="5" t="s">
        <v>819</v>
      </c>
      <c r="G2780" s="6" t="str">
        <f>VLOOKUP(E2780,dicionario!$A$1:$C3179,2,0)</f>
        <v>Pitangus sulphutarus</v>
      </c>
      <c r="H2780" s="6" t="str">
        <f>VLOOKUP(E2780,dicionario!$A$1:$C3179,3,0)</f>
        <v>bem-te-vi</v>
      </c>
    </row>
    <row r="2781">
      <c r="A2781" s="3">
        <v>45624.0</v>
      </c>
      <c r="B2781" s="4">
        <v>0.26805555555555555</v>
      </c>
      <c r="C2781" s="5" t="s">
        <v>90</v>
      </c>
      <c r="D2781" s="5" t="s">
        <v>840</v>
      </c>
      <c r="E2781" s="6" t="s">
        <v>225</v>
      </c>
      <c r="F2781" s="5" t="s">
        <v>847</v>
      </c>
      <c r="G2781" s="6" t="str">
        <f>VLOOKUP(E2781,dicionario!$A$1:$C3180,2,0)</f>
        <v>Passer domesticus</v>
      </c>
      <c r="H2781" s="6" t="str">
        <f>VLOOKUP(E2781,dicionario!$A$1:$C3180,3,0)</f>
        <v>pardal</v>
      </c>
    </row>
    <row r="2782">
      <c r="A2782" s="3">
        <v>45624.0</v>
      </c>
      <c r="B2782" s="4">
        <v>0.26805555555555555</v>
      </c>
      <c r="C2782" s="5" t="s">
        <v>90</v>
      </c>
      <c r="D2782" s="5" t="s">
        <v>840</v>
      </c>
      <c r="E2782" s="6" t="s">
        <v>425</v>
      </c>
      <c r="F2782" s="5" t="s">
        <v>828</v>
      </c>
      <c r="G2782" s="6" t="str">
        <f>VLOOKUP(E2782,dicionario!$A$1:$C3181,2,0)</f>
        <v>Digitaria insularis</v>
      </c>
      <c r="H2782" s="6" t="str">
        <f>VLOOKUP(E2782,dicionario!$A$1:$C3181,3,0)</f>
        <v>capim-amargoso</v>
      </c>
    </row>
    <row r="2783">
      <c r="A2783" s="3">
        <v>45624.0</v>
      </c>
      <c r="B2783" s="4">
        <v>0.26944444444444443</v>
      </c>
      <c r="C2783" s="5" t="s">
        <v>90</v>
      </c>
      <c r="D2783" s="5" t="s">
        <v>840</v>
      </c>
      <c r="E2783" s="20" t="s">
        <v>690</v>
      </c>
      <c r="F2783" s="5" t="s">
        <v>848</v>
      </c>
      <c r="G2783" s="6" t="str">
        <f>VLOOKUP(E2783,dicionario!$A$1:$C3182,2,0)</f>
        <v>#N/A</v>
      </c>
      <c r="H2783" s="6" t="str">
        <f>VLOOKUP(E2783,dicionario!$A$1:$C3182,3,0)</f>
        <v>#N/A</v>
      </c>
    </row>
    <row r="2784">
      <c r="A2784" s="3">
        <v>45624.0</v>
      </c>
      <c r="B2784" s="4">
        <v>0.26944444444444443</v>
      </c>
      <c r="C2784" s="5" t="s">
        <v>90</v>
      </c>
      <c r="D2784" s="5" t="s">
        <v>840</v>
      </c>
      <c r="E2784" s="6" t="s">
        <v>390</v>
      </c>
      <c r="F2784" s="5" t="s">
        <v>391</v>
      </c>
      <c r="G2784" s="6" t="str">
        <f>VLOOKUP(E2784,dicionario!$A$1:$C3183,2,0)</f>
        <v>Oxalis barrelieri</v>
      </c>
      <c r="H2784" s="6" t="str">
        <f>VLOOKUP(E2784,dicionario!$A$1:$C3183,3,0)</f>
        <v>erva-azeda; azedinha </v>
      </c>
    </row>
    <row r="2785">
      <c r="A2785" s="3">
        <v>45624.0</v>
      </c>
      <c r="B2785" s="4">
        <v>0.26944444444444443</v>
      </c>
      <c r="C2785" s="5" t="s">
        <v>90</v>
      </c>
      <c r="D2785" s="5" t="s">
        <v>840</v>
      </c>
      <c r="E2785" s="6" t="s">
        <v>181</v>
      </c>
      <c r="F2785" s="5" t="s">
        <v>778</v>
      </c>
      <c r="G2785" s="6" t="str">
        <f>VLOOKUP(E2785,dicionario!$A$1:$C3184,2,0)</f>
        <v>#N/A</v>
      </c>
      <c r="H2785" s="6" t="str">
        <f>VLOOKUP(E2785,dicionario!$A$1:$C3184,3,0)</f>
        <v>#N/A</v>
      </c>
    </row>
    <row r="2786">
      <c r="A2786" s="3">
        <v>45624.0</v>
      </c>
      <c r="B2786" s="4">
        <v>0.2708333333333333</v>
      </c>
      <c r="C2786" s="5" t="s">
        <v>90</v>
      </c>
      <c r="D2786" s="5" t="s">
        <v>840</v>
      </c>
      <c r="E2786" s="6" t="s">
        <v>286</v>
      </c>
      <c r="F2786" s="5" t="s">
        <v>781</v>
      </c>
      <c r="G2786" s="6" t="str">
        <f>VLOOKUP(E2786,dicionario!$A$1:$C3185,2,0)</f>
        <v>Setaria parviflora</v>
      </c>
      <c r="H2786" s="6" t="str">
        <f>VLOOKUP(E2786,dicionario!$A$1:$C3185,3,0)</f>
        <v>capim-rabo-de-raposa</v>
      </c>
    </row>
    <row r="2787">
      <c r="A2787" s="3">
        <v>45624.0</v>
      </c>
      <c r="B2787" s="4">
        <v>0.2708333333333333</v>
      </c>
      <c r="C2787" s="5" t="s">
        <v>90</v>
      </c>
      <c r="D2787" s="5" t="s">
        <v>840</v>
      </c>
      <c r="E2787" s="8" t="s">
        <v>849</v>
      </c>
      <c r="F2787" s="5" t="s">
        <v>849</v>
      </c>
      <c r="G2787" s="6" t="str">
        <f>VLOOKUP(E2787,dicionario!$A$1:$C3186,2,0)</f>
        <v>#N/A</v>
      </c>
      <c r="H2787" s="6" t="str">
        <f>VLOOKUP(E2787,dicionario!$A$1:$C3186,3,0)</f>
        <v>#N/A</v>
      </c>
    </row>
    <row r="2788">
      <c r="A2788" s="3">
        <v>45624.0</v>
      </c>
      <c r="B2788" s="4">
        <v>0.27152777777777776</v>
      </c>
      <c r="C2788" s="5" t="s">
        <v>90</v>
      </c>
      <c r="D2788" s="5" t="s">
        <v>840</v>
      </c>
      <c r="E2788" s="6" t="s">
        <v>88</v>
      </c>
      <c r="F2788" s="5" t="s">
        <v>782</v>
      </c>
      <c r="G2788" s="6" t="str">
        <f>VLOOKUP(E2788,dicionario!$A$1:$C3187,2,0)</f>
        <v>Tyrannus melancolichus</v>
      </c>
      <c r="H2788" s="6" t="str">
        <f>VLOOKUP(E2788,dicionario!$A$1:$C3187,3,0)</f>
        <v>suiriri</v>
      </c>
    </row>
    <row r="2789">
      <c r="A2789" s="3">
        <v>45624.0</v>
      </c>
      <c r="B2789" s="4">
        <v>0.27152777777777776</v>
      </c>
      <c r="C2789" s="5" t="s">
        <v>90</v>
      </c>
      <c r="D2789" s="5" t="s">
        <v>840</v>
      </c>
      <c r="E2789" s="8" t="s">
        <v>503</v>
      </c>
      <c r="F2789" s="5" t="s">
        <v>414</v>
      </c>
      <c r="G2789" s="6" t="str">
        <f>VLOOKUP(E2789,dicionario!$A$1:$C3188,2,0)</f>
        <v>Orphulella punctata</v>
      </c>
      <c r="H2789" s="6" t="str">
        <f>VLOOKUP(E2789,dicionario!$A$1:$C3188,3,0)</f>
        <v>gafanhotinho</v>
      </c>
    </row>
    <row r="2790">
      <c r="A2790" s="3">
        <v>45624.0</v>
      </c>
      <c r="B2790" s="4">
        <v>0.27152777777777776</v>
      </c>
      <c r="C2790" s="5" t="s">
        <v>90</v>
      </c>
      <c r="D2790" s="5" t="s">
        <v>840</v>
      </c>
      <c r="E2790" s="20" t="s">
        <v>631</v>
      </c>
      <c r="F2790" s="5" t="s">
        <v>810</v>
      </c>
      <c r="G2790" s="6" t="str">
        <f>VLOOKUP(E2790,dicionario!$A$1:$C3189,2,0)</f>
        <v>Chamaecrista nictitans</v>
      </c>
      <c r="H2790" s="6" t="str">
        <f>VLOOKUP(E2790,dicionario!$A$1:$C3189,3,0)</f>
        <v>falsa-dormideira</v>
      </c>
    </row>
    <row r="2791">
      <c r="A2791" s="3">
        <v>45624.0</v>
      </c>
      <c r="B2791" s="4">
        <v>0.27361111111111114</v>
      </c>
      <c r="C2791" s="5" t="s">
        <v>85</v>
      </c>
      <c r="D2791" s="5" t="s">
        <v>840</v>
      </c>
      <c r="E2791" s="6" t="s">
        <v>109</v>
      </c>
      <c r="F2791" s="5" t="s">
        <v>777</v>
      </c>
      <c r="G2791" s="6" t="str">
        <f>VLOOKUP(E2791,dicionario!$A$1:$C3190,2,0)</f>
        <v>Tillandsia stricta</v>
      </c>
      <c r="H2791" s="6" t="str">
        <f>VLOOKUP(E2791,dicionario!$A$1:$C3190,3,0)</f>
        <v>cravo-do-mato</v>
      </c>
    </row>
    <row r="2792">
      <c r="A2792" s="3">
        <v>45624.0</v>
      </c>
      <c r="B2792" s="4">
        <v>0.27361111111111114</v>
      </c>
      <c r="C2792" s="5" t="s">
        <v>85</v>
      </c>
      <c r="D2792" s="5" t="s">
        <v>840</v>
      </c>
      <c r="E2792" s="6" t="s">
        <v>113</v>
      </c>
      <c r="F2792" s="5" t="s">
        <v>820</v>
      </c>
      <c r="G2792" s="6" t="str">
        <f>VLOOKUP(E2792,dicionario!$A$1:$C3191,2,0)</f>
        <v>Columbina talpacoti</v>
      </c>
      <c r="H2792" s="6" t="str">
        <f>VLOOKUP(E2792,dicionario!$A$1:$C3191,3,0)</f>
        <v>rolinha-roxa</v>
      </c>
    </row>
    <row r="2793">
      <c r="A2793" s="3">
        <v>45624.0</v>
      </c>
      <c r="B2793" s="4">
        <v>0.27361111111111114</v>
      </c>
      <c r="C2793" s="5" t="s">
        <v>85</v>
      </c>
      <c r="D2793" s="5" t="s">
        <v>840</v>
      </c>
      <c r="E2793" s="6" t="s">
        <v>20</v>
      </c>
      <c r="F2793" s="7" t="s">
        <v>21</v>
      </c>
      <c r="G2793" s="6" t="str">
        <f>VLOOKUP(E2793,dicionario!$A$1:$C3192,2,0)</f>
        <v>Sicalis flaveola</v>
      </c>
      <c r="H2793" s="6" t="str">
        <f>VLOOKUP(E2793,dicionario!$A$1:$C3192,3,0)</f>
        <v>canário-da-terra</v>
      </c>
    </row>
    <row r="2794">
      <c r="A2794" s="3">
        <v>45624.0</v>
      </c>
      <c r="B2794" s="4">
        <v>0.27361111111111114</v>
      </c>
      <c r="C2794" s="5" t="s">
        <v>85</v>
      </c>
      <c r="D2794" s="5" t="s">
        <v>840</v>
      </c>
      <c r="E2794" s="8" t="s">
        <v>38</v>
      </c>
      <c r="F2794" s="5" t="s">
        <v>39</v>
      </c>
      <c r="G2794" s="6" t="str">
        <f>VLOOKUP(E2794,dicionario!$A$1:$C3193,2,0)</f>
        <v>Troglodytes musculus</v>
      </c>
      <c r="H2794" s="6" t="str">
        <f>VLOOKUP(E2794,dicionario!$A$1:$C3193,3,0)</f>
        <v>curruíra</v>
      </c>
    </row>
    <row r="2795">
      <c r="A2795" s="3">
        <v>45624.0</v>
      </c>
      <c r="B2795" s="4">
        <v>0.27361111111111114</v>
      </c>
      <c r="C2795" s="5" t="s">
        <v>85</v>
      </c>
      <c r="D2795" s="5" t="s">
        <v>840</v>
      </c>
      <c r="E2795" s="6" t="s">
        <v>286</v>
      </c>
      <c r="F2795" s="5" t="s">
        <v>781</v>
      </c>
      <c r="G2795" s="6" t="str">
        <f>VLOOKUP(E2795,dicionario!$A$1:$C3194,2,0)</f>
        <v>Setaria parviflora</v>
      </c>
      <c r="H2795" s="6" t="str">
        <f>VLOOKUP(E2795,dicionario!$A$1:$C3194,3,0)</f>
        <v>capim-rabo-de-raposa</v>
      </c>
    </row>
    <row r="2796">
      <c r="A2796" s="3">
        <v>45624.0</v>
      </c>
      <c r="B2796" s="4">
        <v>0.27361111111111114</v>
      </c>
      <c r="C2796" s="5" t="s">
        <v>85</v>
      </c>
      <c r="D2796" s="5" t="s">
        <v>840</v>
      </c>
      <c r="E2796" s="6" t="s">
        <v>72</v>
      </c>
      <c r="F2796" s="5" t="s">
        <v>764</v>
      </c>
      <c r="G2796" s="6" t="str">
        <f>VLOOKUP(E2796,dicionario!$A$1:$C3195,2,0)</f>
        <v>Thraupis palmarum</v>
      </c>
      <c r="H2796" s="6" t="str">
        <f>VLOOKUP(E2796,dicionario!$A$1:$C3195,3,0)</f>
        <v>sanhaço-do-coqueiro</v>
      </c>
    </row>
    <row r="2797">
      <c r="A2797" s="3">
        <v>45624.0</v>
      </c>
      <c r="B2797" s="4">
        <v>0.275</v>
      </c>
      <c r="C2797" s="5" t="s">
        <v>85</v>
      </c>
      <c r="D2797" s="5" t="s">
        <v>840</v>
      </c>
      <c r="E2797" s="9" t="s">
        <v>22</v>
      </c>
      <c r="F2797" s="5" t="s">
        <v>776</v>
      </c>
      <c r="G2797" s="6" t="str">
        <f>VLOOKUP(E2797,dicionario!$A$1:$C3196,2,0)</f>
        <v>Zenaida auriculata</v>
      </c>
      <c r="H2797" s="6" t="str">
        <f>VLOOKUP(E2797,dicionario!$A$1:$C3196,3,0)</f>
        <v>pomba-de-bando; avoante</v>
      </c>
    </row>
    <row r="2798">
      <c r="A2798" s="3">
        <v>45624.0</v>
      </c>
      <c r="B2798" s="4">
        <v>0.275</v>
      </c>
      <c r="C2798" s="5" t="s">
        <v>85</v>
      </c>
      <c r="D2798" s="5" t="s">
        <v>840</v>
      </c>
      <c r="E2798" s="6" t="s">
        <v>31</v>
      </c>
      <c r="F2798" s="5" t="s">
        <v>850</v>
      </c>
      <c r="G2798" s="6" t="str">
        <f>VLOOKUP(E2798,dicionario!$A$1:$C3197,2,0)</f>
        <v>Furnarius rufus</v>
      </c>
      <c r="H2798" s="6" t="str">
        <f>VLOOKUP(E2798,dicionario!$A$1:$C3197,3,0)</f>
        <v>joão-de-barro</v>
      </c>
    </row>
    <row r="2799">
      <c r="A2799" s="3">
        <v>45624.0</v>
      </c>
      <c r="B2799" s="4">
        <v>0.275</v>
      </c>
      <c r="C2799" s="5" t="s">
        <v>85</v>
      </c>
      <c r="D2799" s="5" t="s">
        <v>840</v>
      </c>
      <c r="E2799" s="8" t="s">
        <v>375</v>
      </c>
      <c r="F2799" s="5" t="s">
        <v>35</v>
      </c>
      <c r="G2799" s="6" t="str">
        <f>VLOOKUP(E2799,dicionario!$A$1:$C3198,2,0)</f>
        <v>Neoponera foetida</v>
      </c>
      <c r="H2799" s="6" t="str">
        <f>VLOOKUP(E2799,dicionario!$A$1:$C3198,3,0)</f>
        <v/>
      </c>
    </row>
    <row r="2800">
      <c r="A2800" s="3">
        <v>45624.0</v>
      </c>
      <c r="B2800" s="4">
        <v>0.275</v>
      </c>
      <c r="C2800" s="5" t="s">
        <v>85</v>
      </c>
      <c r="D2800" s="5" t="s">
        <v>840</v>
      </c>
      <c r="E2800" s="8" t="s">
        <v>517</v>
      </c>
      <c r="F2800" s="5" t="s">
        <v>849</v>
      </c>
      <c r="G2800" s="6" t="str">
        <f>VLOOKUP(E2800,dicionario!$A$1:$C3199,2,0)</f>
        <v>Evolvulus nummularius</v>
      </c>
      <c r="H2800" s="6" t="str">
        <f>VLOOKUP(E2800,dicionario!$A$1:$C3199,3,0)</f>
        <v/>
      </c>
    </row>
    <row r="2801">
      <c r="A2801" s="3">
        <v>45624.0</v>
      </c>
      <c r="B2801" s="4">
        <v>0.27569444444444446</v>
      </c>
      <c r="C2801" s="5" t="s">
        <v>85</v>
      </c>
      <c r="D2801" s="5" t="s">
        <v>840</v>
      </c>
      <c r="E2801" s="6" t="s">
        <v>86</v>
      </c>
      <c r="F2801" s="5" t="s">
        <v>783</v>
      </c>
      <c r="G2801" s="6" t="str">
        <f>VLOOKUP(E2801,dicionario!$A$1:$C3200,2,0)</f>
        <v>Coereba flaveola</v>
      </c>
      <c r="H2801" s="6" t="str">
        <f>VLOOKUP(E2801,dicionario!$A$1:$C3200,3,0)</f>
        <v>cambacica</v>
      </c>
    </row>
    <row r="2802">
      <c r="A2802" s="3">
        <v>45624.0</v>
      </c>
      <c r="B2802" s="4">
        <v>0.27569444444444446</v>
      </c>
      <c r="C2802" s="5" t="s">
        <v>85</v>
      </c>
      <c r="D2802" s="5" t="s">
        <v>840</v>
      </c>
      <c r="E2802" s="6" t="s">
        <v>65</v>
      </c>
      <c r="F2802" s="5" t="s">
        <v>819</v>
      </c>
      <c r="G2802" s="6" t="str">
        <f>VLOOKUP(E2802,dicionario!$A$1:$C3201,2,0)</f>
        <v>Pitangus sulphutarus</v>
      </c>
      <c r="H2802" s="6" t="str">
        <f>VLOOKUP(E2802,dicionario!$A$1:$C3201,3,0)</f>
        <v>bem-te-vi</v>
      </c>
    </row>
    <row r="2803">
      <c r="A2803" s="3">
        <v>45624.0</v>
      </c>
      <c r="B2803" s="4">
        <v>0.27569444444444446</v>
      </c>
      <c r="C2803" s="5" t="s">
        <v>85</v>
      </c>
      <c r="D2803" s="5" t="s">
        <v>840</v>
      </c>
      <c r="E2803" s="6" t="s">
        <v>177</v>
      </c>
      <c r="F2803" s="5" t="s">
        <v>804</v>
      </c>
      <c r="G2803" s="6" t="str">
        <f>VLOOKUP(E2803,dicionario!$A$1:$C3202,2,0)</f>
        <v>Elaenia flavogaster</v>
      </c>
      <c r="H2803" s="6" t="str">
        <f>VLOOKUP(E2803,dicionario!$A$1:$C3202,3,0)</f>
        <v>guaracava-de-barriga-amarela</v>
      </c>
    </row>
    <row r="2804">
      <c r="A2804" s="3">
        <v>45624.0</v>
      </c>
      <c r="B2804" s="4">
        <v>0.2763888888888889</v>
      </c>
      <c r="C2804" s="5" t="s">
        <v>85</v>
      </c>
      <c r="D2804" s="5" t="s">
        <v>840</v>
      </c>
      <c r="E2804" s="6" t="s">
        <v>213</v>
      </c>
      <c r="F2804" s="7" t="s">
        <v>214</v>
      </c>
      <c r="G2804" s="6" t="str">
        <f>VLOOKUP(E2804,dicionario!$A$1:$C3203,2,0)</f>
        <v>Myiozetetes similis</v>
      </c>
      <c r="H2804" s="6" t="str">
        <f>VLOOKUP(E2804,dicionario!$A$1:$C3203,3,0)</f>
        <v>bentevizinho-de-penacho-vermelho</v>
      </c>
    </row>
    <row r="2805">
      <c r="A2805" s="3">
        <v>45624.0</v>
      </c>
      <c r="B2805" s="4">
        <v>0.2763888888888889</v>
      </c>
      <c r="C2805" s="5" t="s">
        <v>85</v>
      </c>
      <c r="D2805" s="5" t="s">
        <v>840</v>
      </c>
      <c r="E2805" s="6" t="s">
        <v>122</v>
      </c>
      <c r="F2805" s="7" t="s">
        <v>123</v>
      </c>
      <c r="G2805" s="6" t="str">
        <f>VLOOKUP(E2805,dicionario!$A$1:$C3204,2,0)</f>
        <v>Todirostrum cinereum</v>
      </c>
      <c r="H2805" s="6" t="str">
        <f>VLOOKUP(E2805,dicionario!$A$1:$C3204,3,0)</f>
        <v>ferreirinho-relógio</v>
      </c>
    </row>
    <row r="2806">
      <c r="A2806" s="3">
        <v>45624.0</v>
      </c>
      <c r="B2806" s="4">
        <v>0.27708333333333335</v>
      </c>
      <c r="C2806" s="5" t="s">
        <v>85</v>
      </c>
      <c r="D2806" s="5" t="s">
        <v>840</v>
      </c>
      <c r="E2806" s="8" t="s">
        <v>46</v>
      </c>
      <c r="F2806" s="5" t="s">
        <v>47</v>
      </c>
      <c r="G2806" s="6" t="str">
        <f>VLOOKUP(E2806,dicionario!$A$1:$C3205,2,0)</f>
        <v>Chionomesa fimbriata</v>
      </c>
      <c r="H2806" s="6" t="str">
        <f>VLOOKUP(E2806,dicionario!$A$1:$C3205,3,0)</f>
        <v>beija-flor-de-garganta-verde</v>
      </c>
    </row>
    <row r="2807">
      <c r="A2807" s="3">
        <v>45624.0</v>
      </c>
      <c r="B2807" s="4">
        <v>0.27708333333333335</v>
      </c>
      <c r="C2807" s="5" t="s">
        <v>85</v>
      </c>
      <c r="D2807" s="5" t="s">
        <v>840</v>
      </c>
      <c r="E2807" s="6" t="s">
        <v>616</v>
      </c>
      <c r="F2807" s="5" t="s">
        <v>617</v>
      </c>
      <c r="G2807" s="6" t="str">
        <f>VLOOKUP(E2807,dicionario!$A$1:$C3206,2,0)</f>
        <v>#N/A</v>
      </c>
      <c r="H2807" s="6" t="str">
        <f>VLOOKUP(E2807,dicionario!$A$1:$C3206,3,0)</f>
        <v>#N/A</v>
      </c>
    </row>
    <row r="2808">
      <c r="A2808" s="3">
        <v>45624.0</v>
      </c>
      <c r="B2808" s="4">
        <v>0.27708333333333335</v>
      </c>
      <c r="C2808" s="5" t="s">
        <v>85</v>
      </c>
      <c r="D2808" s="5" t="s">
        <v>840</v>
      </c>
      <c r="E2808" s="6" t="s">
        <v>319</v>
      </c>
      <c r="F2808" s="5" t="s">
        <v>320</v>
      </c>
      <c r="G2808" s="6" t="str">
        <f>VLOOKUP(E2808,dicionario!$A$1:$C3207,2,0)</f>
        <v>Schinus terebinthifolia</v>
      </c>
      <c r="H2808" s="6" t="str">
        <f>VLOOKUP(E2808,dicionario!$A$1:$C3207,3,0)</f>
        <v>aroeira</v>
      </c>
    </row>
    <row r="2809">
      <c r="A2809" s="3">
        <v>45624.0</v>
      </c>
      <c r="B2809" s="4">
        <v>0.27708333333333335</v>
      </c>
      <c r="C2809" s="5" t="s">
        <v>85</v>
      </c>
      <c r="D2809" s="5" t="s">
        <v>840</v>
      </c>
      <c r="E2809" s="6" t="s">
        <v>247</v>
      </c>
      <c r="F2809" s="5" t="s">
        <v>387</v>
      </c>
      <c r="G2809" s="6" t="str">
        <f>VLOOKUP(E2809,dicionario!$A$1:$C3208,2,0)</f>
        <v>Emilia sonchifolia</v>
      </c>
      <c r="H2809" s="6" t="str">
        <f>VLOOKUP(E2809,dicionario!$A$1:$C3208,3,0)</f>
        <v>serralinha</v>
      </c>
    </row>
    <row r="2810">
      <c r="A2810" s="3">
        <v>45624.0</v>
      </c>
      <c r="B2810" s="4">
        <v>0.27708333333333335</v>
      </c>
      <c r="C2810" s="5" t="s">
        <v>85</v>
      </c>
      <c r="D2810" s="5" t="s">
        <v>840</v>
      </c>
      <c r="E2810" s="8" t="s">
        <v>592</v>
      </c>
      <c r="F2810" s="5" t="s">
        <v>28</v>
      </c>
      <c r="G2810" s="6" t="str">
        <f>VLOOKUP(E2810,dicionario!$A$1:$C3209,2,0)</f>
        <v>#N/A</v>
      </c>
      <c r="H2810" s="6" t="str">
        <f>VLOOKUP(E2810,dicionario!$A$1:$C3209,3,0)</f>
        <v>#N/A</v>
      </c>
    </row>
    <row r="2811">
      <c r="A2811" s="3">
        <v>45624.0</v>
      </c>
      <c r="B2811" s="4">
        <v>0.27847222222222223</v>
      </c>
      <c r="C2811" s="5" t="s">
        <v>85</v>
      </c>
      <c r="D2811" s="5" t="s">
        <v>840</v>
      </c>
      <c r="E2811" s="8" t="s">
        <v>851</v>
      </c>
      <c r="F2811" s="5" t="s">
        <v>852</v>
      </c>
      <c r="G2811" s="6" t="str">
        <f>VLOOKUP(E2811,dicionario!$A$1:$C3210,2,0)</f>
        <v>#N/A</v>
      </c>
      <c r="H2811" s="6" t="str">
        <f>VLOOKUP(E2811,dicionario!$A$1:$C3210,3,0)</f>
        <v>#N/A</v>
      </c>
    </row>
    <row r="2812">
      <c r="A2812" s="3">
        <v>45624.0</v>
      </c>
      <c r="B2812" s="4">
        <v>0.27847222222222223</v>
      </c>
      <c r="C2812" s="5" t="s">
        <v>85</v>
      </c>
      <c r="D2812" s="5" t="s">
        <v>840</v>
      </c>
      <c r="E2812" s="6" t="s">
        <v>606</v>
      </c>
      <c r="F2812" s="5" t="s">
        <v>853</v>
      </c>
      <c r="G2812" s="6" t="str">
        <f>VLOOKUP(E2812,dicionario!$A$1:$C3211,2,0)</f>
        <v>Elaenia spectabilis</v>
      </c>
      <c r="H2812" s="6" t="str">
        <f>VLOOKUP(E2812,dicionario!$A$1:$C3211,3,0)</f>
        <v>guaracava-grande</v>
      </c>
    </row>
    <row r="2813">
      <c r="A2813" s="3">
        <v>45624.0</v>
      </c>
      <c r="B2813" s="4">
        <v>0.27847222222222223</v>
      </c>
      <c r="C2813" s="5" t="s">
        <v>85</v>
      </c>
      <c r="D2813" s="5" t="s">
        <v>840</v>
      </c>
      <c r="E2813" s="6" t="s">
        <v>401</v>
      </c>
      <c r="F2813" s="5" t="s">
        <v>770</v>
      </c>
      <c r="G2813" s="6" t="str">
        <f>VLOOKUP(E2813,dicionario!$A$1:$C3212,2,0)</f>
        <v>Cissus verticillata</v>
      </c>
      <c r="H2813" s="6" t="str">
        <f>VLOOKUP(E2813,dicionario!$A$1:$C3212,3,0)</f>
        <v>uva-do-mato</v>
      </c>
    </row>
    <row r="2814">
      <c r="A2814" s="3">
        <v>45624.0</v>
      </c>
      <c r="B2814" s="4">
        <v>0.27847222222222223</v>
      </c>
      <c r="C2814" s="5" t="s">
        <v>85</v>
      </c>
      <c r="D2814" s="5" t="s">
        <v>840</v>
      </c>
      <c r="E2814" s="6" t="s">
        <v>51</v>
      </c>
      <c r="F2814" s="5" t="s">
        <v>321</v>
      </c>
      <c r="G2814" s="6" t="str">
        <f>VLOOKUP(E2814,dicionario!$A$1:$C3213,2,0)</f>
        <v>Solenopsis</v>
      </c>
      <c r="H2814" s="6" t="str">
        <f>VLOOKUP(E2814,dicionario!$A$1:$C3213,3,0)</f>
        <v>formiga-quente; formiga-lava-pés; formiga-de-fogo</v>
      </c>
    </row>
    <row r="2815">
      <c r="A2815" s="3">
        <v>45624.0</v>
      </c>
      <c r="B2815" s="4">
        <v>0.2798611111111111</v>
      </c>
      <c r="C2815" s="5" t="s">
        <v>85</v>
      </c>
      <c r="D2815" s="5" t="s">
        <v>840</v>
      </c>
      <c r="E2815" s="6" t="s">
        <v>200</v>
      </c>
      <c r="F2815" s="5" t="s">
        <v>854</v>
      </c>
      <c r="G2815" s="6" t="str">
        <f>VLOOKUP(E2815,dicionario!$A$1:$C3214,2,0)</f>
        <v>Columbina picui </v>
      </c>
      <c r="H2815" s="6" t="str">
        <f>VLOOKUP(E2815,dicionario!$A$1:$C3214,3,0)</f>
        <v>rolinha-picuí</v>
      </c>
    </row>
    <row r="2816">
      <c r="A2816" s="3">
        <v>45624.0</v>
      </c>
      <c r="B2816" s="4">
        <v>0.2798611111111111</v>
      </c>
      <c r="C2816" s="5" t="s">
        <v>85</v>
      </c>
      <c r="D2816" s="5" t="s">
        <v>840</v>
      </c>
      <c r="E2816" s="6" t="s">
        <v>146</v>
      </c>
      <c r="F2816" s="5" t="s">
        <v>794</v>
      </c>
      <c r="G2816" s="6" t="str">
        <f>VLOOKUP(E2816,dicionario!$A$1:$C3215,2,0)</f>
        <v>Euphorbia hirta</v>
      </c>
      <c r="H2816" s="6" t="str">
        <f>VLOOKUP(E2816,dicionario!$A$1:$C3215,3,0)</f>
        <v>erva-de-santa-luzia</v>
      </c>
    </row>
    <row r="2817">
      <c r="A2817" s="3">
        <v>45624.0</v>
      </c>
      <c r="B2817" s="4">
        <v>0.2798611111111111</v>
      </c>
      <c r="C2817" s="5" t="s">
        <v>85</v>
      </c>
      <c r="D2817" s="5" t="s">
        <v>840</v>
      </c>
      <c r="E2817" s="20" t="s">
        <v>676</v>
      </c>
      <c r="F2817" s="7" t="s">
        <v>677</v>
      </c>
      <c r="G2817" s="6" t="str">
        <f>VLOOKUP(E2817,dicionario!$A$1:$C3216,2,0)</f>
        <v>Zornia latifolia</v>
      </c>
      <c r="H2817" s="6" t="str">
        <f>VLOOKUP(E2817,dicionario!$A$1:$C3216,3,0)</f>
        <v>arrozinho-do-campo</v>
      </c>
    </row>
    <row r="2818">
      <c r="A2818" s="3">
        <v>45624.0</v>
      </c>
      <c r="B2818" s="4">
        <v>0.2798611111111111</v>
      </c>
      <c r="C2818" s="5" t="s">
        <v>85</v>
      </c>
      <c r="D2818" s="5" t="s">
        <v>840</v>
      </c>
      <c r="E2818" s="6" t="s">
        <v>324</v>
      </c>
      <c r="F2818" s="5" t="s">
        <v>855</v>
      </c>
      <c r="G2818" s="6" t="str">
        <f>VLOOKUP(E2818,dicionario!$A$1:$C3217,2,0)</f>
        <v>#N/A</v>
      </c>
      <c r="H2818" s="6" t="str">
        <f>VLOOKUP(E2818,dicionario!$A$1:$C3217,3,0)</f>
        <v>#N/A</v>
      </c>
    </row>
    <row r="2819">
      <c r="A2819" s="3">
        <v>45624.0</v>
      </c>
      <c r="B2819" s="4">
        <v>0.2798611111111111</v>
      </c>
      <c r="C2819" s="5" t="s">
        <v>85</v>
      </c>
      <c r="D2819" s="5" t="s">
        <v>840</v>
      </c>
      <c r="E2819" s="6" t="s">
        <v>111</v>
      </c>
      <c r="F2819" s="7" t="s">
        <v>112</v>
      </c>
      <c r="G2819" s="6" t="str">
        <f>VLOOKUP(E2819,dicionario!$A$1:$C3218,2,0)</f>
        <v>Trigona spinipes</v>
      </c>
      <c r="H2819" s="6" t="str">
        <f>VLOOKUP(E2819,dicionario!$A$1:$C3218,3,0)</f>
        <v>abelha-cachorro</v>
      </c>
    </row>
    <row r="2820">
      <c r="A2820" s="3">
        <v>45624.0</v>
      </c>
      <c r="B2820" s="4">
        <v>0.2798611111111111</v>
      </c>
      <c r="C2820" s="5" t="s">
        <v>85</v>
      </c>
      <c r="D2820" s="5" t="s">
        <v>840</v>
      </c>
      <c r="E2820" s="6" t="s">
        <v>439</v>
      </c>
      <c r="F2820" s="5" t="s">
        <v>856</v>
      </c>
      <c r="G2820" s="6" t="str">
        <f>VLOOKUP(E2820,dicionario!$A$1:$C3219,2,0)</f>
        <v>#N/A</v>
      </c>
      <c r="H2820" s="6" t="str">
        <f>VLOOKUP(E2820,dicionario!$A$1:$C3219,3,0)</f>
        <v>#N/A</v>
      </c>
    </row>
    <row r="2821">
      <c r="A2821" s="3">
        <v>45624.0</v>
      </c>
      <c r="B2821" s="4">
        <v>0.2798611111111111</v>
      </c>
      <c r="C2821" s="5" t="s">
        <v>85</v>
      </c>
      <c r="D2821" s="5" t="s">
        <v>840</v>
      </c>
      <c r="E2821" s="6" t="s">
        <v>429</v>
      </c>
      <c r="F2821" s="5" t="s">
        <v>857</v>
      </c>
      <c r="G2821" s="6" t="str">
        <f>VLOOKUP(E2821,dicionario!$A$1:$C3220,2,0)</f>
        <v>Leonurus sibiricus</v>
      </c>
      <c r="H2821" s="6" t="str">
        <f>VLOOKUP(E2821,dicionario!$A$1:$C3220,3,0)</f>
        <v>erva-macaé</v>
      </c>
    </row>
    <row r="2822">
      <c r="A2822" s="3">
        <v>45624.0</v>
      </c>
      <c r="B2822" s="4">
        <v>0.28055555555555556</v>
      </c>
      <c r="C2822" s="5" t="s">
        <v>85</v>
      </c>
      <c r="D2822" s="5" t="s">
        <v>840</v>
      </c>
      <c r="E2822" s="6" t="s">
        <v>296</v>
      </c>
      <c r="F2822" s="5" t="s">
        <v>823</v>
      </c>
      <c r="G2822" s="6" t="str">
        <f>VLOOKUP(E2822,dicionario!$A$1:$C3221,2,0)</f>
        <v>Richardia brasiliensis</v>
      </c>
      <c r="H2822" s="6" t="str">
        <f>VLOOKUP(E2822,dicionario!$A$1:$C3221,3,0)</f>
        <v>poaia-branca</v>
      </c>
    </row>
    <row r="2823">
      <c r="A2823" s="3">
        <v>45624.0</v>
      </c>
      <c r="B2823" s="4">
        <v>0.28055555555555556</v>
      </c>
      <c r="C2823" s="5" t="s">
        <v>85</v>
      </c>
      <c r="D2823" s="5" t="s">
        <v>840</v>
      </c>
      <c r="E2823" s="6" t="s">
        <v>148</v>
      </c>
      <c r="F2823" s="5" t="s">
        <v>772</v>
      </c>
      <c r="G2823" s="6" t="str">
        <f>VLOOKUP(E2823,dicionario!$A$1:$C3222,2,0)</f>
        <v>Parthenium hysterophorus</v>
      </c>
      <c r="H2823" s="6" t="str">
        <f>VLOOKUP(E2823,dicionario!$A$1:$C3222,3,0)</f>
        <v>losna-branca</v>
      </c>
    </row>
    <row r="2824">
      <c r="A2824" s="3">
        <v>45624.0</v>
      </c>
      <c r="B2824" s="4">
        <v>0.28055555555555556</v>
      </c>
      <c r="C2824" s="5" t="s">
        <v>85</v>
      </c>
      <c r="D2824" s="5" t="s">
        <v>840</v>
      </c>
      <c r="E2824" s="30" t="s">
        <v>738</v>
      </c>
      <c r="F2824" s="31"/>
      <c r="G2824" s="6" t="str">
        <f>VLOOKUP(E2824,dicionario!$A$1:$C3223,2,0)</f>
        <v>Portulaca</v>
      </c>
      <c r="H2824" s="6" t="str">
        <f>VLOOKUP(E2824,dicionario!$A$1:$C3223,3,0)</f>
        <v/>
      </c>
    </row>
    <row r="2825">
      <c r="A2825" s="3">
        <v>45624.0</v>
      </c>
      <c r="B2825" s="4">
        <v>0.28194444444444444</v>
      </c>
      <c r="C2825" s="5" t="s">
        <v>85</v>
      </c>
      <c r="D2825" s="5" t="s">
        <v>840</v>
      </c>
      <c r="E2825" s="6" t="s">
        <v>150</v>
      </c>
      <c r="F2825" s="5" t="s">
        <v>769</v>
      </c>
      <c r="G2825" s="6" t="str">
        <f>VLOOKUP(E2825,dicionario!$A$1:$C3224,2,0)</f>
        <v>Amaranthus viridis</v>
      </c>
      <c r="H2825" s="6" t="str">
        <f>VLOOKUP(E2825,dicionario!$A$1:$C3224,3,0)</f>
        <v>caruru-de-mancha</v>
      </c>
    </row>
    <row r="2826">
      <c r="A2826" s="3">
        <v>45624.0</v>
      </c>
      <c r="B2826" s="4">
        <v>0.28194444444444444</v>
      </c>
      <c r="C2826" s="5" t="s">
        <v>85</v>
      </c>
      <c r="D2826" s="5" t="s">
        <v>840</v>
      </c>
      <c r="E2826" s="6" t="s">
        <v>154</v>
      </c>
      <c r="F2826" s="5" t="s">
        <v>815</v>
      </c>
      <c r="G2826" s="6" t="str">
        <f>VLOOKUP(E2826,dicionario!$A$1:$C3225,2,0)</f>
        <v>Cyperus rotundus</v>
      </c>
      <c r="H2826" s="6" t="str">
        <f>VLOOKUP(E2826,dicionario!$A$1:$C3225,3,0)</f>
        <v>tiririca</v>
      </c>
    </row>
    <row r="2827">
      <c r="A2827" s="3">
        <v>45624.0</v>
      </c>
      <c r="B2827" s="4">
        <v>0.2847222222222222</v>
      </c>
      <c r="C2827" s="5" t="s">
        <v>76</v>
      </c>
      <c r="D2827" s="5" t="s">
        <v>840</v>
      </c>
      <c r="E2827" s="8" t="s">
        <v>858</v>
      </c>
      <c r="F2827" s="5" t="s">
        <v>859</v>
      </c>
      <c r="G2827" s="6" t="str">
        <f>VLOOKUP(E2827,dicionario!$A$1:$C3226,2,0)</f>
        <v>Rumex obtusifolius</v>
      </c>
      <c r="H2827" s="6" t="str">
        <f>VLOOKUP(E2827,dicionario!$A$1:$C3226,3,0)</f>
        <v>lingua-de-vaca</v>
      </c>
    </row>
    <row r="2828">
      <c r="A2828" s="3">
        <v>45624.0</v>
      </c>
      <c r="B2828" s="4">
        <v>0.2847222222222222</v>
      </c>
      <c r="C2828" s="5" t="s">
        <v>76</v>
      </c>
      <c r="D2828" s="5" t="s">
        <v>840</v>
      </c>
      <c r="E2828" s="6" t="s">
        <v>99</v>
      </c>
      <c r="F2828" s="5" t="s">
        <v>860</v>
      </c>
      <c r="G2828" s="6" t="str">
        <f>VLOOKUP(E2828,dicionario!$A$1:$C3227,2,0)</f>
        <v>Molothrus bonariensis</v>
      </c>
      <c r="H2828" s="6" t="str">
        <f>VLOOKUP(E2828,dicionario!$A$1:$C3227,3,0)</f>
        <v>chupim</v>
      </c>
    </row>
    <row r="2829">
      <c r="A2829" s="3">
        <v>45624.0</v>
      </c>
      <c r="B2829" s="4">
        <v>0.2847222222222222</v>
      </c>
      <c r="C2829" s="5" t="s">
        <v>76</v>
      </c>
      <c r="D2829" s="5" t="s">
        <v>840</v>
      </c>
      <c r="E2829" s="6" t="s">
        <v>162</v>
      </c>
      <c r="F2829" s="7" t="s">
        <v>42</v>
      </c>
      <c r="G2829" s="6" t="str">
        <f>VLOOKUP(E2829,dicionario!$A$1:$C3228,2,0)</f>
        <v>Fluvicola nengeta</v>
      </c>
      <c r="H2829" s="6" t="str">
        <f>VLOOKUP(E2829,dicionario!$A$1:$C3228,3,0)</f>
        <v>lavadeira-mascarada</v>
      </c>
    </row>
    <row r="2830">
      <c r="A2830" s="3">
        <v>45624.0</v>
      </c>
      <c r="B2830" s="4">
        <v>0.2847222222222222</v>
      </c>
      <c r="C2830" s="5" t="s">
        <v>76</v>
      </c>
      <c r="D2830" s="5" t="s">
        <v>840</v>
      </c>
      <c r="E2830" s="6" t="s">
        <v>20</v>
      </c>
      <c r="F2830" s="7" t="s">
        <v>21</v>
      </c>
      <c r="G2830" s="6" t="str">
        <f>VLOOKUP(E2830,dicionario!$A$1:$C3229,2,0)</f>
        <v>Sicalis flaveola</v>
      </c>
      <c r="H2830" s="6" t="str">
        <f>VLOOKUP(E2830,dicionario!$A$1:$C3229,3,0)</f>
        <v>canário-da-terra</v>
      </c>
    </row>
    <row r="2831">
      <c r="A2831" s="3">
        <v>45624.0</v>
      </c>
      <c r="B2831" s="4">
        <v>0.2847222222222222</v>
      </c>
      <c r="C2831" s="5" t="s">
        <v>76</v>
      </c>
      <c r="D2831" s="5" t="s">
        <v>840</v>
      </c>
      <c r="E2831" s="6" t="s">
        <v>200</v>
      </c>
      <c r="F2831" s="5" t="s">
        <v>854</v>
      </c>
      <c r="G2831" s="6" t="str">
        <f>VLOOKUP(E2831,dicionario!$A$1:$C3230,2,0)</f>
        <v>Columbina picui </v>
      </c>
      <c r="H2831" s="6" t="str">
        <f>VLOOKUP(E2831,dicionario!$A$1:$C3230,3,0)</f>
        <v>rolinha-picuí</v>
      </c>
    </row>
    <row r="2832">
      <c r="A2832" s="3">
        <v>45624.0</v>
      </c>
      <c r="B2832" s="4">
        <v>0.28541666666666665</v>
      </c>
      <c r="C2832" s="5" t="s">
        <v>76</v>
      </c>
      <c r="D2832" s="5" t="s">
        <v>840</v>
      </c>
      <c r="E2832" s="6" t="s">
        <v>65</v>
      </c>
      <c r="F2832" s="5" t="s">
        <v>819</v>
      </c>
      <c r="G2832" s="6" t="str">
        <f>VLOOKUP(E2832,dicionario!$A$1:$C3231,2,0)</f>
        <v>Pitangus sulphutarus</v>
      </c>
      <c r="H2832" s="6" t="str">
        <f>VLOOKUP(E2832,dicionario!$A$1:$C3231,3,0)</f>
        <v>bem-te-vi</v>
      </c>
    </row>
    <row r="2833">
      <c r="A2833" s="3">
        <v>45624.0</v>
      </c>
      <c r="B2833" s="4">
        <v>0.28541666666666665</v>
      </c>
      <c r="C2833" s="5" t="s">
        <v>76</v>
      </c>
      <c r="D2833" s="5" t="s">
        <v>840</v>
      </c>
      <c r="E2833" s="8" t="s">
        <v>861</v>
      </c>
      <c r="F2833" s="5" t="s">
        <v>351</v>
      </c>
      <c r="G2833" s="6" t="str">
        <f>VLOOKUP(E2833,dicionario!$A$1:$C3232,2,0)</f>
        <v>#N/A</v>
      </c>
      <c r="H2833" s="6" t="str">
        <f>VLOOKUP(E2833,dicionario!$A$1:$C3232,3,0)</f>
        <v>#N/A</v>
      </c>
    </row>
    <row r="2834">
      <c r="A2834" s="3">
        <v>45624.0</v>
      </c>
      <c r="B2834" s="4">
        <v>0.28541666666666665</v>
      </c>
      <c r="C2834" s="5" t="s">
        <v>76</v>
      </c>
      <c r="D2834" s="5" t="s">
        <v>840</v>
      </c>
      <c r="E2834" s="8" t="s">
        <v>139</v>
      </c>
      <c r="F2834" s="5" t="s">
        <v>862</v>
      </c>
      <c r="G2834" s="6" t="str">
        <f>VLOOKUP(E2834,dicionario!$A$1:$C3233,2,0)</f>
        <v>Tropidurus torquatus</v>
      </c>
      <c r="H2834" s="6" t="str">
        <f>VLOOKUP(E2834,dicionario!$A$1:$C3233,3,0)</f>
        <v>calango; tropiduro-comum</v>
      </c>
    </row>
    <row r="2835">
      <c r="A2835" s="3">
        <v>45624.0</v>
      </c>
      <c r="B2835" s="4">
        <v>0.28541666666666665</v>
      </c>
      <c r="C2835" s="5" t="s">
        <v>76</v>
      </c>
      <c r="D2835" s="5" t="s">
        <v>840</v>
      </c>
      <c r="E2835" s="8" t="s">
        <v>863</v>
      </c>
      <c r="F2835" s="5" t="s">
        <v>864</v>
      </c>
      <c r="G2835" s="6" t="str">
        <f>VLOOKUP(E2835,dicionario!$A$1:$C3234,2,0)</f>
        <v>#N/A</v>
      </c>
      <c r="H2835" s="6" t="str">
        <f>VLOOKUP(E2835,dicionario!$A$1:$C3234,3,0)</f>
        <v>#N/A</v>
      </c>
    </row>
    <row r="2836">
      <c r="A2836" s="3">
        <v>45624.0</v>
      </c>
      <c r="B2836" s="4">
        <v>0.28541666666666665</v>
      </c>
      <c r="C2836" s="5" t="s">
        <v>76</v>
      </c>
      <c r="D2836" s="5" t="s">
        <v>840</v>
      </c>
      <c r="E2836" s="6" t="s">
        <v>355</v>
      </c>
      <c r="F2836" s="5" t="s">
        <v>799</v>
      </c>
      <c r="G2836" s="6" t="str">
        <f>VLOOKUP(E2836,dicionario!$A$1:$C3235,2,0)</f>
        <v>Boerhavia diffusa</v>
      </c>
      <c r="H2836" s="6" t="str">
        <f>VLOOKUP(E2836,dicionario!$A$1:$C3235,3,0)</f>
        <v>erva-tostão</v>
      </c>
    </row>
    <row r="2837">
      <c r="A2837" s="3">
        <v>45624.0</v>
      </c>
      <c r="B2837" s="4">
        <v>0.2861111111111111</v>
      </c>
      <c r="C2837" s="5" t="s">
        <v>76</v>
      </c>
      <c r="D2837" s="5" t="s">
        <v>840</v>
      </c>
      <c r="E2837" s="6" t="s">
        <v>146</v>
      </c>
      <c r="F2837" s="5" t="s">
        <v>794</v>
      </c>
      <c r="G2837" s="6" t="str">
        <f>VLOOKUP(E2837,dicionario!$A$1:$C3236,2,0)</f>
        <v>Euphorbia hirta</v>
      </c>
      <c r="H2837" s="6" t="str">
        <f>VLOOKUP(E2837,dicionario!$A$1:$C3236,3,0)</f>
        <v>erva-de-santa-luzia</v>
      </c>
    </row>
    <row r="2838">
      <c r="A2838" s="3">
        <v>45624.0</v>
      </c>
      <c r="B2838" s="4">
        <v>0.2861111111111111</v>
      </c>
      <c r="C2838" s="5" t="s">
        <v>76</v>
      </c>
      <c r="D2838" s="5" t="s">
        <v>840</v>
      </c>
      <c r="E2838" s="30" t="s">
        <v>738</v>
      </c>
      <c r="F2838" s="31"/>
      <c r="G2838" s="6" t="str">
        <f>VLOOKUP(E2838,dicionario!$A$1:$C3237,2,0)</f>
        <v>Portulaca</v>
      </c>
      <c r="H2838" s="6" t="str">
        <f>VLOOKUP(E2838,dicionario!$A$1:$C3237,3,0)</f>
        <v/>
      </c>
    </row>
    <row r="2839">
      <c r="A2839" s="3">
        <v>45624.0</v>
      </c>
      <c r="B2839" s="4">
        <v>0.2861111111111111</v>
      </c>
      <c r="C2839" s="5" t="s">
        <v>76</v>
      </c>
      <c r="D2839" s="5" t="s">
        <v>840</v>
      </c>
      <c r="E2839" s="8" t="s">
        <v>262</v>
      </c>
      <c r="F2839" s="7" t="s">
        <v>263</v>
      </c>
      <c r="G2839" s="6" t="str">
        <f>VLOOKUP(E2839,dicionario!$A$1:$C3238,2,0)</f>
        <v>Portulaca oleracea</v>
      </c>
      <c r="H2839" s="6" t="str">
        <f>VLOOKUP(E2839,dicionario!$A$1:$C3238,3,0)</f>
        <v>beldroega</v>
      </c>
    </row>
    <row r="2840">
      <c r="A2840" s="3">
        <v>45624.0</v>
      </c>
      <c r="B2840" s="4">
        <v>0.2861111111111111</v>
      </c>
      <c r="C2840" s="5" t="s">
        <v>76</v>
      </c>
      <c r="D2840" s="5" t="s">
        <v>840</v>
      </c>
      <c r="E2840" s="6" t="s">
        <v>150</v>
      </c>
      <c r="F2840" s="5" t="s">
        <v>769</v>
      </c>
      <c r="G2840" s="6" t="str">
        <f>VLOOKUP(E2840,dicionario!$A$1:$C3239,2,0)</f>
        <v>Amaranthus viridis</v>
      </c>
      <c r="H2840" s="6" t="str">
        <f>VLOOKUP(E2840,dicionario!$A$1:$C3239,3,0)</f>
        <v>caruru-de-mancha</v>
      </c>
    </row>
    <row r="2841">
      <c r="A2841" s="3">
        <v>45624.0</v>
      </c>
      <c r="B2841" s="4">
        <v>0.2861111111111111</v>
      </c>
      <c r="C2841" s="5" t="s">
        <v>76</v>
      </c>
      <c r="D2841" s="5" t="s">
        <v>840</v>
      </c>
      <c r="E2841" s="6" t="s">
        <v>148</v>
      </c>
      <c r="F2841" s="5" t="s">
        <v>772</v>
      </c>
      <c r="G2841" s="6" t="str">
        <f>VLOOKUP(E2841,dicionario!$A$1:$C3240,2,0)</f>
        <v>Parthenium hysterophorus</v>
      </c>
      <c r="H2841" s="6" t="str">
        <f>VLOOKUP(E2841,dicionario!$A$1:$C3240,3,0)</f>
        <v>losna-branca</v>
      </c>
    </row>
    <row r="2842">
      <c r="A2842" s="3">
        <v>45624.0</v>
      </c>
      <c r="B2842" s="4">
        <v>0.2861111111111111</v>
      </c>
      <c r="C2842" s="5" t="s">
        <v>76</v>
      </c>
      <c r="D2842" s="5" t="s">
        <v>840</v>
      </c>
      <c r="E2842" s="6" t="s">
        <v>425</v>
      </c>
      <c r="F2842" s="5" t="s">
        <v>828</v>
      </c>
      <c r="G2842" s="6" t="str">
        <f>VLOOKUP(E2842,dicionario!$A$1:$C3241,2,0)</f>
        <v>Digitaria insularis</v>
      </c>
      <c r="H2842" s="6" t="str">
        <f>VLOOKUP(E2842,dicionario!$A$1:$C3241,3,0)</f>
        <v>capim-amargoso</v>
      </c>
    </row>
    <row r="2843">
      <c r="A2843" s="3">
        <v>45624.0</v>
      </c>
      <c r="B2843" s="4">
        <v>0.2881944444444444</v>
      </c>
      <c r="C2843" s="5" t="s">
        <v>76</v>
      </c>
      <c r="D2843" s="5" t="s">
        <v>840</v>
      </c>
      <c r="E2843" s="8" t="s">
        <v>611</v>
      </c>
      <c r="F2843" s="5" t="s">
        <v>865</v>
      </c>
      <c r="G2843" s="6" t="str">
        <f>VLOOKUP(E2843,dicionario!$A$1:$C3242,2,0)</f>
        <v>Boehmeria cylindrica</v>
      </c>
      <c r="H2843" s="6" t="str">
        <f>VLOOKUP(E2843,dicionario!$A$1:$C3242,3,0)</f>
        <v>falsa-urtiga</v>
      </c>
    </row>
    <row r="2844">
      <c r="A2844" s="3">
        <v>45624.0</v>
      </c>
      <c r="B2844" s="4">
        <v>0.2881944444444444</v>
      </c>
      <c r="C2844" s="5" t="s">
        <v>76</v>
      </c>
      <c r="D2844" s="5" t="s">
        <v>840</v>
      </c>
      <c r="E2844" s="6" t="s">
        <v>280</v>
      </c>
      <c r="F2844" s="5" t="s">
        <v>438</v>
      </c>
      <c r="G2844" s="6" t="str">
        <f>VLOOKUP(E2844,dicionario!$A$1:$C3243,2,0)</f>
        <v>Lepidium virginicum</v>
      </c>
      <c r="H2844" s="6" t="str">
        <f>VLOOKUP(E2844,dicionario!$A$1:$C3243,3,0)</f>
        <v>mastruz</v>
      </c>
    </row>
    <row r="2845">
      <c r="A2845" s="3">
        <v>45624.0</v>
      </c>
      <c r="B2845" s="4">
        <v>0.2881944444444444</v>
      </c>
      <c r="C2845" s="5" t="s">
        <v>76</v>
      </c>
      <c r="D2845" s="5" t="s">
        <v>840</v>
      </c>
      <c r="E2845" s="6" t="s">
        <v>288</v>
      </c>
      <c r="F2845" s="5" t="s">
        <v>760</v>
      </c>
      <c r="G2845" s="6" t="str">
        <f>VLOOKUP(E2845,dicionario!$A$1:$C3244,2,0)</f>
        <v>Phyllanthus tenellus</v>
      </c>
      <c r="H2845" s="6" t="str">
        <f>VLOOKUP(E2845,dicionario!$A$1:$C3244,3,0)</f>
        <v>quebra-pedra</v>
      </c>
    </row>
    <row r="2846">
      <c r="A2846" s="3">
        <v>45624.0</v>
      </c>
      <c r="B2846" s="4">
        <v>0.2881944444444444</v>
      </c>
      <c r="C2846" s="5" t="s">
        <v>76</v>
      </c>
      <c r="D2846" s="5" t="s">
        <v>840</v>
      </c>
      <c r="E2846" s="8" t="s">
        <v>866</v>
      </c>
      <c r="F2846" s="5" t="s">
        <v>867</v>
      </c>
      <c r="G2846" s="6" t="str">
        <f>VLOOKUP(E2846,dicionario!$A$1:$C3245,2,0)</f>
        <v>Laportea aestuans</v>
      </c>
      <c r="H2846" s="6" t="str">
        <f>VLOOKUP(E2846,dicionario!$A$1:$C3245,3,0)</f>
        <v>urtiga-vermelha</v>
      </c>
    </row>
    <row r="2847">
      <c r="A2847" s="3">
        <v>45624.0</v>
      </c>
      <c r="B2847" s="4">
        <v>0.2881944444444444</v>
      </c>
      <c r="C2847" s="5" t="s">
        <v>76</v>
      </c>
      <c r="D2847" s="5" t="s">
        <v>840</v>
      </c>
      <c r="E2847" s="6" t="s">
        <v>171</v>
      </c>
      <c r="F2847" s="5" t="s">
        <v>766</v>
      </c>
      <c r="G2847" s="6" t="str">
        <f>VLOOKUP(E2847,dicionario!$A$1:$C3246,2,0)</f>
        <v>Oxalis corniculata</v>
      </c>
      <c r="H2847" s="6" t="str">
        <f>VLOOKUP(E2847,dicionario!$A$1:$C3246,3,0)</f>
        <v>trevo-azedinho</v>
      </c>
    </row>
    <row r="2848">
      <c r="A2848" s="3">
        <v>45624.0</v>
      </c>
      <c r="B2848" s="4">
        <v>0.2881944444444444</v>
      </c>
      <c r="C2848" s="5" t="s">
        <v>76</v>
      </c>
      <c r="D2848" s="5" t="s">
        <v>840</v>
      </c>
      <c r="E2848" s="6" t="s">
        <v>593</v>
      </c>
      <c r="F2848" s="5" t="s">
        <v>868</v>
      </c>
      <c r="G2848" s="6" t="str">
        <f>VLOOKUP(E2848,dicionario!$A$1:$C3247,2,0)</f>
        <v>#N/A</v>
      </c>
      <c r="H2848" s="6" t="str">
        <f>VLOOKUP(E2848,dicionario!$A$1:$C3247,3,0)</f>
        <v>#N/A</v>
      </c>
    </row>
    <row r="2849">
      <c r="A2849" s="3">
        <v>45624.0</v>
      </c>
      <c r="B2849" s="4">
        <v>0.28958333333333336</v>
      </c>
      <c r="C2849" s="5" t="s">
        <v>76</v>
      </c>
      <c r="D2849" s="5" t="s">
        <v>840</v>
      </c>
      <c r="E2849" s="6" t="s">
        <v>322</v>
      </c>
      <c r="F2849" s="5" t="s">
        <v>323</v>
      </c>
      <c r="G2849" s="6" t="str">
        <f>VLOOKUP(E2849,dicionario!$A$1:$C3248,2,0)</f>
        <v>#N/A</v>
      </c>
      <c r="H2849" s="6" t="str">
        <f>VLOOKUP(E2849,dicionario!$A$1:$C3248,3,0)</f>
        <v>#N/A</v>
      </c>
    </row>
    <row r="2850">
      <c r="A2850" s="3">
        <v>45624.0</v>
      </c>
      <c r="B2850" s="4">
        <v>0.28958333333333336</v>
      </c>
      <c r="C2850" s="5" t="s">
        <v>76</v>
      </c>
      <c r="D2850" s="5" t="s">
        <v>840</v>
      </c>
      <c r="E2850" s="6" t="s">
        <v>111</v>
      </c>
      <c r="F2850" s="7" t="s">
        <v>112</v>
      </c>
      <c r="G2850" s="6" t="str">
        <f>VLOOKUP(E2850,dicionario!$A$1:$C3249,2,0)</f>
        <v>Trigona spinipes</v>
      </c>
      <c r="H2850" s="6" t="str">
        <f>VLOOKUP(E2850,dicionario!$A$1:$C3249,3,0)</f>
        <v>abelha-cachorro</v>
      </c>
    </row>
    <row r="2851">
      <c r="A2851" s="3">
        <v>45624.0</v>
      </c>
      <c r="B2851" s="4">
        <v>0.28958333333333336</v>
      </c>
      <c r="C2851" s="5" t="s">
        <v>76</v>
      </c>
      <c r="D2851" s="5" t="s">
        <v>840</v>
      </c>
      <c r="E2851" s="6" t="s">
        <v>181</v>
      </c>
      <c r="F2851" s="5" t="s">
        <v>778</v>
      </c>
      <c r="G2851" s="6" t="str">
        <f>VLOOKUP(E2851,dicionario!$A$1:$C3250,2,0)</f>
        <v>#N/A</v>
      </c>
      <c r="H2851" s="6" t="str">
        <f>VLOOKUP(E2851,dicionario!$A$1:$C3250,3,0)</f>
        <v>#N/A</v>
      </c>
    </row>
    <row r="2852">
      <c r="A2852" s="3">
        <v>45624.0</v>
      </c>
      <c r="B2852" s="4">
        <v>0.28958333333333336</v>
      </c>
      <c r="C2852" s="5" t="s">
        <v>76</v>
      </c>
      <c r="D2852" s="5" t="s">
        <v>840</v>
      </c>
      <c r="E2852" s="6" t="s">
        <v>684</v>
      </c>
      <c r="F2852" s="5" t="s">
        <v>685</v>
      </c>
      <c r="G2852" s="6" t="str">
        <f>VLOOKUP(E2852,dicionario!$A$1:$C3251,2,0)</f>
        <v>Columbina squammata</v>
      </c>
      <c r="H2852" s="6" t="str">
        <f>VLOOKUP(E2852,dicionario!$A$1:$C3251,3,0)</f>
        <v>rolinha-fogo-apagou</v>
      </c>
    </row>
    <row r="2853">
      <c r="A2853" s="3">
        <v>45624.0</v>
      </c>
      <c r="B2853" s="4">
        <v>0.29097222222222224</v>
      </c>
      <c r="C2853" s="5" t="s">
        <v>76</v>
      </c>
      <c r="D2853" s="5" t="s">
        <v>840</v>
      </c>
      <c r="E2853" s="8" t="s">
        <v>503</v>
      </c>
      <c r="F2853" s="5" t="s">
        <v>414</v>
      </c>
      <c r="G2853" s="6" t="str">
        <f>VLOOKUP(E2853,dicionario!$A$1:$C3252,2,0)</f>
        <v>Orphulella punctata</v>
      </c>
      <c r="H2853" s="6" t="str">
        <f>VLOOKUP(E2853,dicionario!$A$1:$C3252,3,0)</f>
        <v>gafanhotinho</v>
      </c>
    </row>
    <row r="2854">
      <c r="A2854" s="3">
        <v>45624.0</v>
      </c>
      <c r="B2854" s="4">
        <v>0.29097222222222224</v>
      </c>
      <c r="C2854" s="5" t="s">
        <v>76</v>
      </c>
      <c r="D2854" s="5" t="s">
        <v>840</v>
      </c>
      <c r="E2854" s="6" t="s">
        <v>290</v>
      </c>
      <c r="F2854" s="5" t="s">
        <v>779</v>
      </c>
      <c r="G2854" s="6" t="str">
        <f>VLOOKUP(E2854,dicionario!$A$1:$C3253,2,0)</f>
        <v>Drymaria cordata</v>
      </c>
      <c r="H2854" s="6" t="str">
        <f>VLOOKUP(E2854,dicionario!$A$1:$C3253,3,0)</f>
        <v>orelha-de-rato</v>
      </c>
    </row>
    <row r="2855">
      <c r="A2855" s="3">
        <v>45624.0</v>
      </c>
      <c r="B2855" s="4">
        <v>0.29097222222222224</v>
      </c>
      <c r="C2855" s="5" t="s">
        <v>76</v>
      </c>
      <c r="D2855" s="5" t="s">
        <v>840</v>
      </c>
      <c r="E2855" s="6" t="s">
        <v>606</v>
      </c>
      <c r="F2855" s="5" t="s">
        <v>853</v>
      </c>
      <c r="G2855" s="6" t="str">
        <f>VLOOKUP(E2855,dicionario!$A$1:$C3254,2,0)</f>
        <v>Elaenia spectabilis</v>
      </c>
      <c r="H2855" s="6" t="str">
        <f>VLOOKUP(E2855,dicionario!$A$1:$C3254,3,0)</f>
        <v>guaracava-grande</v>
      </c>
    </row>
    <row r="2856">
      <c r="A2856" s="3">
        <v>45624.0</v>
      </c>
      <c r="B2856" s="4">
        <v>0.2916666666666667</v>
      </c>
      <c r="C2856" s="5" t="s">
        <v>76</v>
      </c>
      <c r="D2856" s="5" t="s">
        <v>840</v>
      </c>
      <c r="E2856" s="6" t="s">
        <v>539</v>
      </c>
      <c r="F2856" s="5" t="s">
        <v>540</v>
      </c>
      <c r="G2856" s="6" t="str">
        <f>VLOOKUP(E2856,dicionario!$A$1:$C3255,2,0)</f>
        <v>#N/A</v>
      </c>
      <c r="H2856" s="6" t="str">
        <f>VLOOKUP(E2856,dicionario!$A$1:$C3255,3,0)</f>
        <v>#N/A</v>
      </c>
    </row>
    <row r="2857">
      <c r="A2857" s="3">
        <v>45624.0</v>
      </c>
      <c r="B2857" s="4">
        <v>0.2923611111111111</v>
      </c>
      <c r="C2857" s="5" t="s">
        <v>76</v>
      </c>
      <c r="D2857" s="5" t="s">
        <v>840</v>
      </c>
      <c r="E2857" s="8" t="s">
        <v>786</v>
      </c>
      <c r="F2857" s="5" t="s">
        <v>787</v>
      </c>
      <c r="G2857" s="6" t="str">
        <f>VLOOKUP(E2857,dicionario!$A$1:$C3256,2,0)</f>
        <v>Lycianthes asarifolia</v>
      </c>
      <c r="H2857" s="6" t="str">
        <f>VLOOKUP(E2857,dicionario!$A$1:$C3256,3,0)</f>
        <v>joá-rasteiro</v>
      </c>
    </row>
    <row r="2858">
      <c r="A2858" s="3">
        <v>45624.0</v>
      </c>
      <c r="B2858" s="4">
        <v>0.2923611111111111</v>
      </c>
      <c r="C2858" s="5" t="s">
        <v>76</v>
      </c>
      <c r="D2858" s="5" t="s">
        <v>840</v>
      </c>
      <c r="E2858" s="8" t="s">
        <v>38</v>
      </c>
      <c r="F2858" s="5" t="s">
        <v>39</v>
      </c>
      <c r="G2858" s="6" t="str">
        <f>VLOOKUP(E2858,dicionario!$A$1:$C3257,2,0)</f>
        <v>Troglodytes musculus</v>
      </c>
      <c r="H2858" s="6" t="str">
        <f>VLOOKUP(E2858,dicionario!$A$1:$C3257,3,0)</f>
        <v>curruíra</v>
      </c>
    </row>
    <row r="2859">
      <c r="A2859" s="3">
        <v>45624.0</v>
      </c>
      <c r="B2859" s="4">
        <v>0.2923611111111111</v>
      </c>
      <c r="C2859" s="5" t="s">
        <v>76</v>
      </c>
      <c r="D2859" s="5" t="s">
        <v>840</v>
      </c>
      <c r="E2859" s="6" t="s">
        <v>91</v>
      </c>
      <c r="F2859" s="5" t="s">
        <v>843</v>
      </c>
      <c r="G2859" s="6" t="str">
        <f>VLOOKUP(E2859,dicionario!$A$1:$C3258,2,0)</f>
        <v>Picumnus cirratus</v>
      </c>
      <c r="H2859" s="6" t="str">
        <f>VLOOKUP(E2859,dicionario!$A$1:$C3258,3,0)</f>
        <v>picapauzinho-barrado</v>
      </c>
    </row>
    <row r="2860">
      <c r="A2860" s="3">
        <v>45624.0</v>
      </c>
      <c r="B2860" s="4">
        <v>0.29305555555555557</v>
      </c>
      <c r="C2860" s="5" t="s">
        <v>76</v>
      </c>
      <c r="D2860" s="5" t="s">
        <v>840</v>
      </c>
      <c r="E2860" s="8" t="s">
        <v>195</v>
      </c>
      <c r="F2860" s="5" t="s">
        <v>196</v>
      </c>
      <c r="G2860" s="6" t="str">
        <f>VLOOKUP(E2860,dicionario!$A$1:$C3259,2,0)</f>
        <v>Priva lappulacea</v>
      </c>
      <c r="H2860" s="6" t="str">
        <f>VLOOKUP(E2860,dicionario!$A$1:$C3259,3,0)</f>
        <v>carrapicho</v>
      </c>
    </row>
    <row r="2861">
      <c r="A2861" s="3">
        <v>45624.0</v>
      </c>
      <c r="B2861" s="4">
        <v>0.29305555555555557</v>
      </c>
      <c r="C2861" s="5" t="s">
        <v>76</v>
      </c>
      <c r="D2861" s="5" t="s">
        <v>840</v>
      </c>
      <c r="E2861" s="6" t="s">
        <v>144</v>
      </c>
      <c r="F2861" s="5" t="s">
        <v>791</v>
      </c>
      <c r="G2861" s="6" t="str">
        <f>VLOOKUP(E2861,dicionario!$A$1:$C3260,2,0)</f>
        <v>Gomphrena globosa</v>
      </c>
      <c r="H2861" s="6" t="str">
        <f>VLOOKUP(E2861,dicionario!$A$1:$C3260,3,0)</f>
        <v>perpétua-rosa</v>
      </c>
    </row>
    <row r="2862">
      <c r="A2862" s="3">
        <v>45624.0</v>
      </c>
      <c r="B2862" s="4">
        <v>0.29305555555555557</v>
      </c>
      <c r="C2862" s="5" t="s">
        <v>76</v>
      </c>
      <c r="D2862" s="5" t="s">
        <v>840</v>
      </c>
      <c r="E2862" s="6" t="s">
        <v>48</v>
      </c>
      <c r="F2862" s="5" t="s">
        <v>798</v>
      </c>
      <c r="G2862" s="6" t="str">
        <f>VLOOKUP(E2862,dicionario!$A$1:$C3261,2,0)</f>
        <v>Commelina erecta</v>
      </c>
      <c r="H2862" s="6" t="str">
        <f>VLOOKUP(E2862,dicionario!$A$1:$C3261,3,0)</f>
        <v>trapoeraba</v>
      </c>
    </row>
    <row r="2863">
      <c r="A2863" s="3">
        <v>45624.0</v>
      </c>
      <c r="B2863" s="4">
        <v>0.29305555555555557</v>
      </c>
      <c r="C2863" s="5" t="s">
        <v>76</v>
      </c>
      <c r="D2863" s="5" t="s">
        <v>840</v>
      </c>
      <c r="E2863" s="6" t="s">
        <v>372</v>
      </c>
      <c r="F2863" s="5" t="s">
        <v>373</v>
      </c>
      <c r="G2863" s="6" t="str">
        <f>VLOOKUP(E2863,dicionario!$A$1:$C3262,2,0)</f>
        <v>Rupornis magnirostris</v>
      </c>
      <c r="H2863" s="6" t="str">
        <f>VLOOKUP(E2863,dicionario!$A$1:$C3262,3,0)</f>
        <v>gavião-carijó</v>
      </c>
    </row>
    <row r="2864">
      <c r="A2864" s="3">
        <v>45624.0</v>
      </c>
      <c r="B2864" s="4">
        <v>0.2951388888888889</v>
      </c>
      <c r="C2864" s="5" t="s">
        <v>76</v>
      </c>
      <c r="D2864" s="5" t="s">
        <v>840</v>
      </c>
      <c r="E2864" s="6" t="s">
        <v>286</v>
      </c>
      <c r="F2864" s="5" t="s">
        <v>781</v>
      </c>
      <c r="G2864" s="6" t="str">
        <f>VLOOKUP(E2864,dicionario!$A$1:$C3263,2,0)</f>
        <v>Setaria parviflora</v>
      </c>
      <c r="H2864" s="6" t="str">
        <f>VLOOKUP(E2864,dicionario!$A$1:$C3263,3,0)</f>
        <v>capim-rabo-de-raposa</v>
      </c>
    </row>
    <row r="2865">
      <c r="A2865" s="3">
        <v>45624.0</v>
      </c>
      <c r="B2865" s="4">
        <v>0.2951388888888889</v>
      </c>
      <c r="C2865" s="5" t="s">
        <v>76</v>
      </c>
      <c r="D2865" s="5" t="s">
        <v>840</v>
      </c>
      <c r="E2865" s="6" t="s">
        <v>253</v>
      </c>
      <c r="F2865" s="5" t="s">
        <v>780</v>
      </c>
      <c r="G2865" s="6" t="str">
        <f>VLOOKUP(E2865,dicionario!$A$1:$C3264,2,0)</f>
        <v>Panicum maximum</v>
      </c>
      <c r="H2865" s="6" t="str">
        <f>VLOOKUP(E2865,dicionario!$A$1:$C3264,3,0)</f>
        <v>capim-colonião</v>
      </c>
    </row>
    <row r="2866">
      <c r="A2866" s="3">
        <v>45624.0</v>
      </c>
      <c r="B2866" s="4">
        <v>0.2951388888888889</v>
      </c>
      <c r="C2866" s="5" t="s">
        <v>76</v>
      </c>
      <c r="D2866" s="5" t="s">
        <v>840</v>
      </c>
      <c r="E2866" s="6" t="s">
        <v>69</v>
      </c>
      <c r="F2866" s="7" t="s">
        <v>71</v>
      </c>
      <c r="G2866" s="6" t="str">
        <f>VLOOKUP(E2866,dicionario!$A$1:$C3265,2,0)</f>
        <v>Talinum fruticosum</v>
      </c>
      <c r="H2866" s="6" t="str">
        <f>VLOOKUP(E2866,dicionario!$A$1:$C3265,3,0)</f>
        <v>beldroega-grande</v>
      </c>
    </row>
    <row r="2867">
      <c r="A2867" s="3">
        <v>45624.0</v>
      </c>
      <c r="B2867" s="4">
        <v>0.2951388888888889</v>
      </c>
      <c r="C2867" s="5" t="s">
        <v>76</v>
      </c>
      <c r="D2867" s="5" t="s">
        <v>840</v>
      </c>
      <c r="E2867" s="6" t="s">
        <v>498</v>
      </c>
      <c r="F2867" s="5" t="s">
        <v>869</v>
      </c>
      <c r="G2867" s="6" t="str">
        <f>VLOOKUP(E2867,dicionario!$A$1:$C3266,2,0)</f>
        <v>Brachiaria decumbens</v>
      </c>
      <c r="H2867" s="6" t="str">
        <f>VLOOKUP(E2867,dicionario!$A$1:$C3266,3,0)</f>
        <v>capim-braquiária</v>
      </c>
    </row>
    <row r="2868">
      <c r="A2868" s="3">
        <v>45624.0</v>
      </c>
      <c r="B2868" s="4">
        <v>0.2951388888888889</v>
      </c>
      <c r="C2868" s="5" t="s">
        <v>76</v>
      </c>
      <c r="D2868" s="5" t="s">
        <v>840</v>
      </c>
      <c r="E2868" s="12" t="s">
        <v>152</v>
      </c>
      <c r="F2868" s="5" t="s">
        <v>789</v>
      </c>
      <c r="G2868" s="6" t="str">
        <f>VLOOKUP(E2868,dicionario!$A$1:$C3267,2,0)</f>
        <v>Cynodon dactylon</v>
      </c>
      <c r="H2868" s="6" t="str">
        <f>VLOOKUP(E2868,dicionario!$A$1:$C3267,3,0)</f>
        <v>grama-bermuda</v>
      </c>
    </row>
    <row r="2869">
      <c r="A2869" s="3">
        <v>45624.0</v>
      </c>
      <c r="B2869" s="4">
        <v>0.2951388888888889</v>
      </c>
      <c r="C2869" s="5" t="s">
        <v>76</v>
      </c>
      <c r="D2869" s="5" t="s">
        <v>840</v>
      </c>
      <c r="E2869" s="6" t="s">
        <v>227</v>
      </c>
      <c r="F2869" s="5" t="s">
        <v>813</v>
      </c>
      <c r="G2869" s="6" t="str">
        <f>VLOOKUP(E2869,dicionario!$A$1:$C3268,2,0)</f>
        <v>Indigofera hirsuta</v>
      </c>
      <c r="H2869" s="6" t="str">
        <f>VLOOKUP(E2869,dicionario!$A$1:$C3268,3,0)</f>
        <v>anileira</v>
      </c>
    </row>
    <row r="2870">
      <c r="A2870" s="3">
        <v>45624.0</v>
      </c>
      <c r="B2870" s="4">
        <v>0.2951388888888889</v>
      </c>
      <c r="C2870" s="5" t="s">
        <v>76</v>
      </c>
      <c r="D2870" s="5" t="s">
        <v>840</v>
      </c>
      <c r="E2870" s="6" t="s">
        <v>225</v>
      </c>
      <c r="F2870" s="5" t="s">
        <v>847</v>
      </c>
      <c r="G2870" s="6" t="str">
        <f>VLOOKUP(E2870,dicionario!$A$1:$C3269,2,0)</f>
        <v>Passer domesticus</v>
      </c>
      <c r="H2870" s="6" t="str">
        <f>VLOOKUP(E2870,dicionario!$A$1:$C3269,3,0)</f>
        <v>pardal</v>
      </c>
    </row>
    <row r="2871">
      <c r="A2871" s="3">
        <v>45624.0</v>
      </c>
      <c r="B2871" s="4">
        <v>0.29583333333333334</v>
      </c>
      <c r="C2871" s="5" t="s">
        <v>76</v>
      </c>
      <c r="D2871" s="5" t="s">
        <v>840</v>
      </c>
      <c r="E2871" s="6" t="s">
        <v>296</v>
      </c>
      <c r="F2871" s="5" t="s">
        <v>823</v>
      </c>
      <c r="G2871" s="6" t="str">
        <f>VLOOKUP(E2871,dicionario!$A$1:$C3270,2,0)</f>
        <v>Richardia brasiliensis</v>
      </c>
      <c r="H2871" s="6" t="str">
        <f>VLOOKUP(E2871,dicionario!$A$1:$C3270,3,0)</f>
        <v>poaia-branca</v>
      </c>
    </row>
    <row r="2872">
      <c r="A2872" s="3">
        <v>45624.0</v>
      </c>
      <c r="B2872" s="4">
        <v>0.29583333333333334</v>
      </c>
      <c r="C2872" s="5" t="s">
        <v>76</v>
      </c>
      <c r="D2872" s="5" t="s">
        <v>840</v>
      </c>
      <c r="E2872" s="6" t="s">
        <v>390</v>
      </c>
      <c r="F2872" s="5" t="s">
        <v>391</v>
      </c>
      <c r="G2872" s="6" t="str">
        <f>VLOOKUP(E2872,dicionario!$A$1:$C3271,2,0)</f>
        <v>Oxalis barrelieri</v>
      </c>
      <c r="H2872" s="6" t="str">
        <f>VLOOKUP(E2872,dicionario!$A$1:$C3271,3,0)</f>
        <v>erva-azeda; azedinha </v>
      </c>
    </row>
    <row r="2873">
      <c r="A2873" s="3">
        <v>45624.0</v>
      </c>
      <c r="B2873" s="4">
        <v>0.29583333333333334</v>
      </c>
      <c r="C2873" s="5" t="s">
        <v>76</v>
      </c>
      <c r="D2873" s="5" t="s">
        <v>840</v>
      </c>
      <c r="E2873" s="6" t="s">
        <v>105</v>
      </c>
      <c r="F2873" s="5" t="s">
        <v>842</v>
      </c>
      <c r="G2873" s="6" t="str">
        <f>VLOOKUP(E2873,dicionario!$A$1:$C3272,2,0)</f>
        <v>Progne tapera</v>
      </c>
      <c r="H2873" s="6" t="str">
        <f>VLOOKUP(E2873,dicionario!$A$1:$C3272,3,0)</f>
        <v>andorinha-do-campo</v>
      </c>
    </row>
    <row r="2874">
      <c r="A2874" s="3">
        <v>45624.0</v>
      </c>
      <c r="B2874" s="4">
        <v>0.29583333333333334</v>
      </c>
      <c r="C2874" s="5" t="s">
        <v>76</v>
      </c>
      <c r="D2874" s="5" t="s">
        <v>840</v>
      </c>
      <c r="E2874" s="26" t="s">
        <v>870</v>
      </c>
      <c r="F2874" s="5" t="s">
        <v>871</v>
      </c>
      <c r="G2874" s="6" t="str">
        <f>VLOOKUP(E2874,dicionario!$A$1:$C3273,2,0)</f>
        <v>#N/A</v>
      </c>
      <c r="H2874" s="6" t="str">
        <f>VLOOKUP(E2874,dicionario!$A$1:$C3273,3,0)</f>
        <v>#N/A</v>
      </c>
    </row>
    <row r="2875">
      <c r="A2875" s="3">
        <v>45624.0</v>
      </c>
      <c r="B2875" s="4">
        <v>0.2972222222222222</v>
      </c>
      <c r="C2875" s="5" t="s">
        <v>76</v>
      </c>
      <c r="D2875" s="5" t="s">
        <v>840</v>
      </c>
      <c r="E2875" s="6" t="s">
        <v>122</v>
      </c>
      <c r="F2875" s="7" t="s">
        <v>123</v>
      </c>
      <c r="G2875" s="6" t="str">
        <f>VLOOKUP(E2875,dicionario!$A$1:$C3274,2,0)</f>
        <v>Todirostrum cinereum</v>
      </c>
      <c r="H2875" s="6" t="str">
        <f>VLOOKUP(E2875,dicionario!$A$1:$C3274,3,0)</f>
        <v>ferreirinho-relógio</v>
      </c>
    </row>
    <row r="2876">
      <c r="A2876" s="3">
        <v>45624.0</v>
      </c>
      <c r="B2876" s="4">
        <v>0.29791666666666666</v>
      </c>
      <c r="C2876" s="5" t="s">
        <v>76</v>
      </c>
      <c r="D2876" s="5" t="s">
        <v>840</v>
      </c>
      <c r="E2876" s="6" t="s">
        <v>328</v>
      </c>
      <c r="F2876" s="5" t="s">
        <v>872</v>
      </c>
      <c r="G2876" s="6" t="str">
        <f>VLOOKUP(E2876,dicionario!$A$1:$C3275,2,0)</f>
        <v>Rivina humilis</v>
      </c>
      <c r="H2876" s="6" t="str">
        <f>VLOOKUP(E2876,dicionario!$A$1:$C3275,3,0)</f>
        <v>baga-de-sangue</v>
      </c>
    </row>
    <row r="2877">
      <c r="A2877" s="3">
        <v>45624.0</v>
      </c>
      <c r="B2877" s="4">
        <v>0.29791666666666666</v>
      </c>
      <c r="C2877" s="5" t="s">
        <v>64</v>
      </c>
      <c r="D2877" s="5" t="s">
        <v>840</v>
      </c>
      <c r="E2877" s="6" t="s">
        <v>65</v>
      </c>
      <c r="F2877" s="5" t="s">
        <v>819</v>
      </c>
      <c r="G2877" s="6" t="str">
        <f>VLOOKUP(E2877,dicionario!$A$1:$C3276,2,0)</f>
        <v>Pitangus sulphutarus</v>
      </c>
      <c r="H2877" s="6" t="str">
        <f>VLOOKUP(E2877,dicionario!$A$1:$C3276,3,0)</f>
        <v>bem-te-vi</v>
      </c>
    </row>
    <row r="2878">
      <c r="A2878" s="3">
        <v>45624.0</v>
      </c>
      <c r="B2878" s="4">
        <v>0.3125</v>
      </c>
      <c r="C2878" s="5" t="s">
        <v>64</v>
      </c>
      <c r="D2878" s="5" t="s">
        <v>840</v>
      </c>
      <c r="E2878" s="6" t="s">
        <v>122</v>
      </c>
      <c r="F2878" s="7" t="s">
        <v>123</v>
      </c>
      <c r="G2878" s="6" t="str">
        <f>VLOOKUP(E2878,dicionario!$A$1:$C3277,2,0)</f>
        <v>Todirostrum cinereum</v>
      </c>
      <c r="H2878" s="6" t="str">
        <f>VLOOKUP(E2878,dicionario!$A$1:$C3277,3,0)</f>
        <v>ferreirinho-relógio</v>
      </c>
    </row>
    <row r="2879">
      <c r="A2879" s="3">
        <v>45624.0</v>
      </c>
      <c r="B2879" s="4">
        <v>0.3125</v>
      </c>
      <c r="C2879" s="5" t="s">
        <v>64</v>
      </c>
      <c r="D2879" s="5" t="s">
        <v>840</v>
      </c>
      <c r="E2879" s="6" t="s">
        <v>251</v>
      </c>
      <c r="F2879" s="5" t="s">
        <v>873</v>
      </c>
      <c r="G2879" s="6" t="str">
        <f>VLOOKUP(E2879,dicionario!$A$1:$C3278,2,0)</f>
        <v>Struthanthus flexicaulis</v>
      </c>
      <c r="H2879" s="6" t="str">
        <f>VLOOKUP(E2879,dicionario!$A$1:$C3278,3,0)</f>
        <v>erva-de-passarinho</v>
      </c>
    </row>
    <row r="2880">
      <c r="A2880" s="3">
        <v>45624.0</v>
      </c>
      <c r="B2880" s="4">
        <v>0.3125</v>
      </c>
      <c r="C2880" s="5" t="s">
        <v>64</v>
      </c>
      <c r="D2880" s="5" t="s">
        <v>840</v>
      </c>
      <c r="E2880" s="6" t="s">
        <v>109</v>
      </c>
      <c r="F2880" s="5" t="s">
        <v>777</v>
      </c>
      <c r="G2880" s="6" t="str">
        <f>VLOOKUP(E2880,dicionario!$A$1:$C3279,2,0)</f>
        <v>Tillandsia stricta</v>
      </c>
      <c r="H2880" s="6" t="str">
        <f>VLOOKUP(E2880,dicionario!$A$1:$C3279,3,0)</f>
        <v>cravo-do-mato</v>
      </c>
    </row>
    <row r="2881">
      <c r="A2881" s="3">
        <v>45624.0</v>
      </c>
      <c r="B2881" s="4">
        <v>0.3125</v>
      </c>
      <c r="C2881" s="5" t="s">
        <v>64</v>
      </c>
      <c r="D2881" s="5" t="s">
        <v>840</v>
      </c>
      <c r="E2881" s="6" t="s">
        <v>48</v>
      </c>
      <c r="F2881" s="5" t="s">
        <v>798</v>
      </c>
      <c r="G2881" s="6" t="str">
        <f>VLOOKUP(E2881,dicionario!$A$1:$C3280,2,0)</f>
        <v>Commelina erecta</v>
      </c>
      <c r="H2881" s="6" t="str">
        <f>VLOOKUP(E2881,dicionario!$A$1:$C3280,3,0)</f>
        <v>trapoeraba</v>
      </c>
    </row>
    <row r="2882">
      <c r="A2882" s="3">
        <v>45624.0</v>
      </c>
      <c r="B2882" s="4">
        <v>0.3125</v>
      </c>
      <c r="C2882" s="5" t="s">
        <v>64</v>
      </c>
      <c r="D2882" s="5" t="s">
        <v>840</v>
      </c>
      <c r="E2882" s="6" t="s">
        <v>69</v>
      </c>
      <c r="F2882" s="7" t="s">
        <v>71</v>
      </c>
      <c r="G2882" s="6" t="str">
        <f>VLOOKUP(E2882,dicionario!$A$1:$C3281,2,0)</f>
        <v>Talinum fruticosum</v>
      </c>
      <c r="H2882" s="6" t="str">
        <f>VLOOKUP(E2882,dicionario!$A$1:$C3281,3,0)</f>
        <v>beldroega-grande</v>
      </c>
    </row>
    <row r="2883">
      <c r="A2883" s="3">
        <v>45624.0</v>
      </c>
      <c r="B2883" s="4">
        <v>0.31319444444444444</v>
      </c>
      <c r="C2883" s="5" t="s">
        <v>64</v>
      </c>
      <c r="D2883" s="5" t="s">
        <v>840</v>
      </c>
      <c r="E2883" s="6" t="s">
        <v>20</v>
      </c>
      <c r="F2883" s="7" t="s">
        <v>21</v>
      </c>
      <c r="G2883" s="6" t="str">
        <f>VLOOKUP(E2883,dicionario!$A$1:$C3282,2,0)</f>
        <v>Sicalis flaveola</v>
      </c>
      <c r="H2883" s="6" t="str">
        <f>VLOOKUP(E2883,dicionario!$A$1:$C3282,3,0)</f>
        <v>canário-da-terra</v>
      </c>
    </row>
    <row r="2884">
      <c r="A2884" s="3">
        <v>45624.0</v>
      </c>
      <c r="B2884" s="4">
        <v>0.31319444444444444</v>
      </c>
      <c r="C2884" s="5" t="s">
        <v>64</v>
      </c>
      <c r="D2884" s="5" t="s">
        <v>840</v>
      </c>
      <c r="E2884" s="6" t="s">
        <v>247</v>
      </c>
      <c r="F2884" s="5" t="s">
        <v>825</v>
      </c>
      <c r="G2884" s="6" t="str">
        <f>VLOOKUP(E2884,dicionario!$A$1:$C3283,2,0)</f>
        <v>Emilia sonchifolia</v>
      </c>
      <c r="H2884" s="6" t="str">
        <f>VLOOKUP(E2884,dicionario!$A$1:$C3283,3,0)</f>
        <v>serralinha</v>
      </c>
    </row>
    <row r="2885">
      <c r="A2885" s="3">
        <v>45624.0</v>
      </c>
      <c r="B2885" s="4">
        <v>0.31319444444444444</v>
      </c>
      <c r="C2885" s="5" t="s">
        <v>64</v>
      </c>
      <c r="D2885" s="5" t="s">
        <v>840</v>
      </c>
      <c r="E2885" s="8" t="s">
        <v>758</v>
      </c>
      <c r="F2885" s="5" t="s">
        <v>874</v>
      </c>
      <c r="G2885" s="6" t="str">
        <f>VLOOKUP(E2885,dicionario!$A$1:$C3284,2,0)</f>
        <v>Cyperus esculentus</v>
      </c>
      <c r="H2885" s="6" t="str">
        <f>VLOOKUP(E2885,dicionario!$A$1:$C3284,3,0)</f>
        <v>tiriricão</v>
      </c>
    </row>
    <row r="2886">
      <c r="A2886" s="3">
        <v>45624.0</v>
      </c>
      <c r="B2886" s="4">
        <v>0.31319444444444444</v>
      </c>
      <c r="C2886" s="5" t="s">
        <v>64</v>
      </c>
      <c r="D2886" s="5" t="s">
        <v>840</v>
      </c>
      <c r="E2886" s="6" t="s">
        <v>113</v>
      </c>
      <c r="F2886" s="5" t="s">
        <v>820</v>
      </c>
      <c r="G2886" s="6" t="str">
        <f>VLOOKUP(E2886,dicionario!$A$1:$C3285,2,0)</f>
        <v>Columbina talpacoti</v>
      </c>
      <c r="H2886" s="6" t="str">
        <f>VLOOKUP(E2886,dicionario!$A$1:$C3285,3,0)</f>
        <v>rolinha-roxa</v>
      </c>
    </row>
    <row r="2887">
      <c r="A2887" s="3">
        <v>45624.0</v>
      </c>
      <c r="B2887" s="4">
        <v>0.31319444444444444</v>
      </c>
      <c r="C2887" s="5" t="s">
        <v>64</v>
      </c>
      <c r="D2887" s="5" t="s">
        <v>840</v>
      </c>
      <c r="E2887" s="8" t="s">
        <v>143</v>
      </c>
      <c r="F2887" s="5" t="s">
        <v>63</v>
      </c>
      <c r="G2887" s="6" t="str">
        <f>VLOOKUP(E2887,dicionario!$A$1:$C3286,2,0)</f>
        <v>Polybia</v>
      </c>
      <c r="H2887" s="6" t="str">
        <f>VLOOKUP(E2887,dicionario!$A$1:$C3286,3,0)</f>
        <v>vespa</v>
      </c>
    </row>
    <row r="2888">
      <c r="A2888" s="3">
        <v>45624.0</v>
      </c>
      <c r="B2888" s="4">
        <v>0.3138888888888889</v>
      </c>
      <c r="C2888" s="5" t="s">
        <v>64</v>
      </c>
      <c r="D2888" s="5" t="s">
        <v>840</v>
      </c>
      <c r="E2888" s="8" t="s">
        <v>38</v>
      </c>
      <c r="F2888" s="5" t="s">
        <v>39</v>
      </c>
      <c r="G2888" s="6" t="str">
        <f>VLOOKUP(E2888,dicionario!$A$1:$C3287,2,0)</f>
        <v>Troglodytes musculus</v>
      </c>
      <c r="H2888" s="6" t="str">
        <f>VLOOKUP(E2888,dicionario!$A$1:$C3287,3,0)</f>
        <v>curruíra</v>
      </c>
    </row>
    <row r="2889">
      <c r="A2889" s="3">
        <v>45624.0</v>
      </c>
      <c r="B2889" s="4">
        <v>0.3138888888888889</v>
      </c>
      <c r="C2889" s="5" t="s">
        <v>64</v>
      </c>
      <c r="D2889" s="5" t="s">
        <v>840</v>
      </c>
      <c r="E2889" s="6" t="s">
        <v>401</v>
      </c>
      <c r="F2889" s="5" t="s">
        <v>770</v>
      </c>
      <c r="G2889" s="6" t="str">
        <f>VLOOKUP(E2889,dicionario!$A$1:$C3288,2,0)</f>
        <v>Cissus verticillata</v>
      </c>
      <c r="H2889" s="6" t="str">
        <f>VLOOKUP(E2889,dicionario!$A$1:$C3288,3,0)</f>
        <v>uva-do-mato</v>
      </c>
    </row>
    <row r="2890">
      <c r="A2890" s="3">
        <v>45624.0</v>
      </c>
      <c r="B2890" s="4">
        <v>0.3138888888888889</v>
      </c>
      <c r="C2890" s="5" t="s">
        <v>64</v>
      </c>
      <c r="D2890" s="5" t="s">
        <v>840</v>
      </c>
      <c r="E2890" s="6" t="s">
        <v>171</v>
      </c>
      <c r="F2890" s="5" t="s">
        <v>766</v>
      </c>
      <c r="G2890" s="6" t="str">
        <f>VLOOKUP(E2890,dicionario!$A$1:$C3289,2,0)</f>
        <v>Oxalis corniculata</v>
      </c>
      <c r="H2890" s="6" t="str">
        <f>VLOOKUP(E2890,dicionario!$A$1:$C3289,3,0)</f>
        <v>trevo-azedinho</v>
      </c>
    </row>
    <row r="2891">
      <c r="A2891" s="3">
        <v>45624.0</v>
      </c>
      <c r="B2891" s="4">
        <v>0.3138888888888889</v>
      </c>
      <c r="C2891" s="5" t="s">
        <v>64</v>
      </c>
      <c r="D2891" s="5" t="s">
        <v>840</v>
      </c>
      <c r="E2891" s="6" t="s">
        <v>141</v>
      </c>
      <c r="F2891" s="5" t="s">
        <v>875</v>
      </c>
      <c r="G2891" s="6" t="str">
        <f>VLOOKUP(E2891,dicionario!$A$1:$C3290,2,0)</f>
        <v>Ruellia blechum</v>
      </c>
      <c r="H2891" s="6" t="str">
        <f>VLOOKUP(E2891,dicionario!$A$1:$C3290,3,0)</f>
        <v>camarão-verde</v>
      </c>
    </row>
    <row r="2892">
      <c r="A2892" s="3">
        <v>45624.0</v>
      </c>
      <c r="B2892" s="4">
        <v>0.3138888888888889</v>
      </c>
      <c r="C2892" s="5" t="s">
        <v>64</v>
      </c>
      <c r="D2892" s="5" t="s">
        <v>840</v>
      </c>
      <c r="E2892" s="8" t="s">
        <v>195</v>
      </c>
      <c r="F2892" s="5" t="s">
        <v>679</v>
      </c>
      <c r="G2892" s="6" t="str">
        <f>VLOOKUP(E2892,dicionario!$A$1:$C3291,2,0)</f>
        <v>Priva lappulacea</v>
      </c>
      <c r="H2892" s="6" t="str">
        <f>VLOOKUP(E2892,dicionario!$A$1:$C3291,3,0)</f>
        <v>carrapicho</v>
      </c>
    </row>
    <row r="2893">
      <c r="A2893" s="3">
        <v>45624.0</v>
      </c>
      <c r="B2893" s="4">
        <v>0.3138888888888889</v>
      </c>
      <c r="C2893" s="5" t="s">
        <v>64</v>
      </c>
      <c r="D2893" s="5" t="s">
        <v>840</v>
      </c>
      <c r="E2893" s="6" t="s">
        <v>177</v>
      </c>
      <c r="F2893" s="5" t="s">
        <v>804</v>
      </c>
      <c r="G2893" s="6" t="str">
        <f>VLOOKUP(E2893,dicionario!$A$1:$C3292,2,0)</f>
        <v>Elaenia flavogaster</v>
      </c>
      <c r="H2893" s="6" t="str">
        <f>VLOOKUP(E2893,dicionario!$A$1:$C3292,3,0)</f>
        <v>guaracava-de-barriga-amarela</v>
      </c>
    </row>
    <row r="2894">
      <c r="A2894" s="3">
        <v>45624.0</v>
      </c>
      <c r="B2894" s="4">
        <v>0.3145833333333333</v>
      </c>
      <c r="C2894" s="5" t="s">
        <v>64</v>
      </c>
      <c r="D2894" s="5" t="s">
        <v>840</v>
      </c>
      <c r="E2894" s="6" t="s">
        <v>175</v>
      </c>
      <c r="F2894" s="5" t="s">
        <v>176</v>
      </c>
      <c r="G2894" s="6" t="str">
        <f>VLOOKUP(E2894,dicionario!$A$1:$C3293,2,0)</f>
        <v>Turdus leucomelas</v>
      </c>
      <c r="H2894" s="6" t="str">
        <f>VLOOKUP(E2894,dicionario!$A$1:$C3293,3,0)</f>
        <v>sabiá-barranco</v>
      </c>
    </row>
    <row r="2895">
      <c r="A2895" s="3">
        <v>45624.0</v>
      </c>
      <c r="B2895" s="4">
        <v>0.31527777777777777</v>
      </c>
      <c r="C2895" s="5" t="s">
        <v>64</v>
      </c>
      <c r="D2895" s="5" t="s">
        <v>840</v>
      </c>
      <c r="E2895" s="6" t="s">
        <v>181</v>
      </c>
      <c r="F2895" s="5" t="s">
        <v>778</v>
      </c>
      <c r="G2895" s="6" t="str">
        <f>VLOOKUP(E2895,dicionario!$A$1:$C3294,2,0)</f>
        <v>#N/A</v>
      </c>
      <c r="H2895" s="6" t="str">
        <f>VLOOKUP(E2895,dicionario!$A$1:$C3294,3,0)</f>
        <v>#N/A</v>
      </c>
    </row>
    <row r="2896">
      <c r="A2896" s="3">
        <v>45624.0</v>
      </c>
      <c r="B2896" s="4">
        <v>0.31527777777777777</v>
      </c>
      <c r="C2896" s="5" t="s">
        <v>64</v>
      </c>
      <c r="D2896" s="5" t="s">
        <v>840</v>
      </c>
      <c r="E2896" s="6" t="s">
        <v>132</v>
      </c>
      <c r="F2896" s="5" t="s">
        <v>808</v>
      </c>
      <c r="G2896" s="6" t="str">
        <f>VLOOKUP(E2896,dicionario!$A$1:$C3295,2,0)</f>
        <v>Euphonia chlorotica</v>
      </c>
      <c r="H2896" s="6" t="str">
        <f>VLOOKUP(E2896,dicionario!$A$1:$C3295,3,0)</f>
        <v>fim-fim</v>
      </c>
    </row>
    <row r="2897">
      <c r="A2897" s="3">
        <v>45624.0</v>
      </c>
      <c r="B2897" s="4">
        <v>0.31666666666666665</v>
      </c>
      <c r="C2897" s="5" t="s">
        <v>64</v>
      </c>
      <c r="D2897" s="5" t="s">
        <v>840</v>
      </c>
      <c r="E2897" s="8" t="s">
        <v>51</v>
      </c>
      <c r="F2897" s="5" t="s">
        <v>77</v>
      </c>
      <c r="G2897" s="6" t="str">
        <f>VLOOKUP(E2897,dicionario!$A$1:$C3296,2,0)</f>
        <v>Solenopsis</v>
      </c>
      <c r="H2897" s="6" t="str">
        <f>VLOOKUP(E2897,dicionario!$A$1:$C3296,3,0)</f>
        <v>formiga-quente; formiga-lava-pés; formiga-de-fogo</v>
      </c>
    </row>
    <row r="2898">
      <c r="A2898" s="3">
        <v>45624.0</v>
      </c>
      <c r="B2898" s="4">
        <v>0.31666666666666665</v>
      </c>
      <c r="C2898" s="5" t="s">
        <v>64</v>
      </c>
      <c r="D2898" s="5" t="s">
        <v>840</v>
      </c>
      <c r="E2898" s="6" t="s">
        <v>215</v>
      </c>
      <c r="F2898" s="7" t="s">
        <v>216</v>
      </c>
      <c r="G2898" s="6" t="str">
        <f>VLOOKUP(E2898,dicionario!$A$1:$C3297,2,0)</f>
        <v>Pygochelidon cyanoleuca</v>
      </c>
      <c r="H2898" s="6" t="str">
        <f>VLOOKUP(E2898,dicionario!$A$1:$C3297,3,0)</f>
        <v>andorinha-pequena-de-casa</v>
      </c>
    </row>
    <row r="2899">
      <c r="A2899" s="3">
        <v>45624.0</v>
      </c>
      <c r="B2899" s="4">
        <v>0.31666666666666665</v>
      </c>
      <c r="C2899" s="5" t="s">
        <v>64</v>
      </c>
      <c r="D2899" s="5" t="s">
        <v>840</v>
      </c>
      <c r="E2899" s="6" t="s">
        <v>111</v>
      </c>
      <c r="F2899" s="7" t="s">
        <v>112</v>
      </c>
      <c r="G2899" s="6" t="str">
        <f>VLOOKUP(E2899,dicionario!$A$1:$C3298,2,0)</f>
        <v>Trigona spinipes</v>
      </c>
      <c r="H2899" s="6" t="str">
        <f>VLOOKUP(E2899,dicionario!$A$1:$C3298,3,0)</f>
        <v>abelha-cachorro</v>
      </c>
    </row>
    <row r="2900">
      <c r="A2900" s="3">
        <v>45624.0</v>
      </c>
      <c r="B2900" s="4">
        <v>0.31666666666666665</v>
      </c>
      <c r="C2900" s="5" t="s">
        <v>64</v>
      </c>
      <c r="D2900" s="5" t="s">
        <v>840</v>
      </c>
      <c r="E2900" s="8" t="s">
        <v>46</v>
      </c>
      <c r="F2900" s="5" t="s">
        <v>47</v>
      </c>
      <c r="G2900" s="6" t="str">
        <f>VLOOKUP(E2900,dicionario!$A$1:$C3299,2,0)</f>
        <v>Chionomesa fimbriata</v>
      </c>
      <c r="H2900" s="6" t="str">
        <f>VLOOKUP(E2900,dicionario!$A$1:$C3299,3,0)</f>
        <v>beija-flor-de-garganta-verde</v>
      </c>
    </row>
    <row r="2901">
      <c r="A2901" s="3">
        <v>45624.0</v>
      </c>
      <c r="B2901" s="4">
        <v>0.31666666666666665</v>
      </c>
      <c r="C2901" s="5" t="s">
        <v>64</v>
      </c>
      <c r="D2901" s="5" t="s">
        <v>840</v>
      </c>
      <c r="E2901" s="8" t="s">
        <v>719</v>
      </c>
      <c r="F2901" s="5" t="s">
        <v>762</v>
      </c>
      <c r="G2901" s="6" t="str">
        <f>VLOOKUP(E2901,dicionario!$A$1:$C3300,2,0)</f>
        <v>Dirinaria</v>
      </c>
      <c r="H2901" s="6" t="str">
        <f>VLOOKUP(E2901,dicionario!$A$1:$C3300,3,0)</f>
        <v>líquen-crostoso</v>
      </c>
    </row>
    <row r="2902">
      <c r="A2902" s="3">
        <v>45624.0</v>
      </c>
      <c r="B2902" s="4">
        <v>0.31666666666666665</v>
      </c>
      <c r="C2902" s="5" t="s">
        <v>64</v>
      </c>
      <c r="D2902" s="5" t="s">
        <v>840</v>
      </c>
      <c r="E2902" s="6" t="s">
        <v>86</v>
      </c>
      <c r="F2902" s="5" t="s">
        <v>783</v>
      </c>
      <c r="G2902" s="6" t="str">
        <f>VLOOKUP(E2902,dicionario!$A$1:$C3301,2,0)</f>
        <v>Coereba flaveola</v>
      </c>
      <c r="H2902" s="6" t="str">
        <f>VLOOKUP(E2902,dicionario!$A$1:$C3301,3,0)</f>
        <v>cambacica</v>
      </c>
    </row>
    <row r="2903">
      <c r="A2903" s="3">
        <v>45624.0</v>
      </c>
      <c r="B2903" s="4">
        <v>0.3173611111111111</v>
      </c>
      <c r="C2903" s="5" t="s">
        <v>64</v>
      </c>
      <c r="D2903" s="5" t="s">
        <v>840</v>
      </c>
      <c r="E2903" s="6" t="s">
        <v>72</v>
      </c>
      <c r="F2903" s="5" t="s">
        <v>764</v>
      </c>
      <c r="G2903" s="6" t="str">
        <f>VLOOKUP(E2903,dicionario!$A$1:$C3302,2,0)</f>
        <v>Thraupis palmarum</v>
      </c>
      <c r="H2903" s="6" t="str">
        <f>VLOOKUP(E2903,dicionario!$A$1:$C3302,3,0)</f>
        <v>sanhaço-do-coqueiro</v>
      </c>
    </row>
    <row r="2904">
      <c r="A2904" s="3">
        <v>45624.0</v>
      </c>
      <c r="B2904" s="4">
        <v>0.3173611111111111</v>
      </c>
      <c r="C2904" s="5" t="s">
        <v>64</v>
      </c>
      <c r="D2904" s="5" t="s">
        <v>840</v>
      </c>
      <c r="E2904" s="8" t="s">
        <v>821</v>
      </c>
      <c r="F2904" s="5" t="s">
        <v>876</v>
      </c>
      <c r="G2904" s="6" t="str">
        <f>VLOOKUP(E2904,dicionario!$A$1:$C3303,2,0)</f>
        <v>Schefflera actinophylla</v>
      </c>
      <c r="H2904" s="6" t="str">
        <f>VLOOKUP(E2904,dicionario!$A$1:$C3303,3,0)</f>
        <v>árvore-guarda-chuva</v>
      </c>
    </row>
    <row r="2905">
      <c r="A2905" s="3">
        <v>45624.0</v>
      </c>
      <c r="B2905" s="4">
        <v>0.31805555555555554</v>
      </c>
      <c r="C2905" s="5" t="s">
        <v>64</v>
      </c>
      <c r="D2905" s="5" t="s">
        <v>840</v>
      </c>
      <c r="E2905" s="6" t="s">
        <v>88</v>
      </c>
      <c r="F2905" s="5" t="s">
        <v>782</v>
      </c>
      <c r="G2905" s="6" t="str">
        <f>VLOOKUP(E2905,dicionario!$A$1:$C3304,2,0)</f>
        <v>Tyrannus melancolichus</v>
      </c>
      <c r="H2905" s="6" t="str">
        <f>VLOOKUP(E2905,dicionario!$A$1:$C3304,3,0)</f>
        <v>suiriri</v>
      </c>
    </row>
    <row r="2906">
      <c r="A2906" s="3">
        <v>45624.0</v>
      </c>
      <c r="B2906" s="4">
        <v>0.31875</v>
      </c>
      <c r="C2906" s="5" t="s">
        <v>64</v>
      </c>
      <c r="D2906" s="5" t="s">
        <v>840</v>
      </c>
      <c r="E2906" s="6" t="s">
        <v>158</v>
      </c>
      <c r="F2906" s="5" t="s">
        <v>159</v>
      </c>
      <c r="G2906" s="6" t="str">
        <f>VLOOKUP(E2906,dicionario!$A$1:$C3305,2,0)</f>
        <v>Nephilingis cruentata</v>
      </c>
      <c r="H2906" s="6" t="str">
        <f>VLOOKUP(E2906,dicionario!$A$1:$C3305,3,0)</f>
        <v>maria-bola</v>
      </c>
    </row>
    <row r="2907">
      <c r="A2907" s="3">
        <v>45624.0</v>
      </c>
      <c r="B2907" s="4">
        <v>0.32013888888888886</v>
      </c>
      <c r="C2907" s="5" t="s">
        <v>64</v>
      </c>
      <c r="D2907" s="5" t="s">
        <v>840</v>
      </c>
      <c r="E2907" s="8" t="s">
        <v>877</v>
      </c>
      <c r="F2907" s="5" t="s">
        <v>878</v>
      </c>
      <c r="G2907" s="6" t="str">
        <f>VLOOKUP(E2907,dicionario!$A$1:$C3306,2,0)</f>
        <v>#N/A</v>
      </c>
      <c r="H2907" s="6" t="str">
        <f>VLOOKUP(E2907,dicionario!$A$1:$C3306,3,0)</f>
        <v>#N/A</v>
      </c>
    </row>
    <row r="2908">
      <c r="A2908" s="3">
        <v>45624.0</v>
      </c>
      <c r="B2908" s="4">
        <v>0.32013888888888886</v>
      </c>
      <c r="C2908" s="5" t="s">
        <v>64</v>
      </c>
      <c r="D2908" s="5" t="s">
        <v>840</v>
      </c>
      <c r="E2908" s="8" t="s">
        <v>879</v>
      </c>
      <c r="F2908" s="5" t="s">
        <v>880</v>
      </c>
      <c r="G2908" s="6" t="str">
        <f>VLOOKUP(E2908,dicionario!$A$1:$C3307,2,0)</f>
        <v>#N/A</v>
      </c>
      <c r="H2908" s="6" t="str">
        <f>VLOOKUP(E2908,dicionario!$A$1:$C3307,3,0)</f>
        <v>#N/A</v>
      </c>
    </row>
    <row r="2909">
      <c r="A2909" s="3">
        <v>45624.0</v>
      </c>
      <c r="B2909" s="4">
        <v>0.32083333333333336</v>
      </c>
      <c r="C2909" s="5" t="s">
        <v>64</v>
      </c>
      <c r="D2909" s="5" t="s">
        <v>840</v>
      </c>
      <c r="E2909" s="6" t="s">
        <v>310</v>
      </c>
      <c r="F2909" s="5" t="s">
        <v>881</v>
      </c>
      <c r="G2909" s="6" t="str">
        <f>VLOOKUP(E2909,dicionario!$A$1:$C3308,2,0)</f>
        <v>Salticidae</v>
      </c>
      <c r="H2909" s="6" t="str">
        <f>VLOOKUP(E2909,dicionario!$A$1:$C3308,3,0)</f>
        <v>aranha-papa-mosca</v>
      </c>
    </row>
    <row r="2910">
      <c r="A2910" s="3">
        <v>45624.0</v>
      </c>
      <c r="B2910" s="4">
        <v>0.32083333333333336</v>
      </c>
      <c r="C2910" s="5" t="s">
        <v>64</v>
      </c>
      <c r="D2910" s="5" t="s">
        <v>840</v>
      </c>
      <c r="E2910" s="6" t="s">
        <v>267</v>
      </c>
      <c r="F2910" s="5" t="s">
        <v>268</v>
      </c>
      <c r="G2910" s="6" t="str">
        <f>VLOOKUP(E2910,dicionario!$A$1:$C3309,2,0)</f>
        <v>Solanum americanum</v>
      </c>
      <c r="H2910" s="6" t="str">
        <f>VLOOKUP(E2910,dicionario!$A$1:$C3309,3,0)</f>
        <v>maria-pretinha</v>
      </c>
    </row>
    <row r="2911">
      <c r="A2911" s="3">
        <v>45624.0</v>
      </c>
      <c r="B2911" s="4">
        <v>0.32083333333333336</v>
      </c>
      <c r="C2911" s="5" t="s">
        <v>64</v>
      </c>
      <c r="D2911" s="5" t="s">
        <v>840</v>
      </c>
      <c r="E2911" s="6" t="s">
        <v>539</v>
      </c>
      <c r="F2911" s="5" t="s">
        <v>882</v>
      </c>
      <c r="G2911" s="6" t="str">
        <f>VLOOKUP(E2911,dicionario!$A$1:$C3310,2,0)</f>
        <v>#N/A</v>
      </c>
      <c r="H2911" s="6" t="str">
        <f>VLOOKUP(E2911,dicionario!$A$1:$C3310,3,0)</f>
        <v>#N/A</v>
      </c>
    </row>
    <row r="2912">
      <c r="A2912" s="3">
        <v>45624.0</v>
      </c>
      <c r="B2912" s="4">
        <v>0.32083333333333336</v>
      </c>
      <c r="C2912" s="5" t="s">
        <v>64</v>
      </c>
      <c r="D2912" s="5" t="s">
        <v>840</v>
      </c>
      <c r="E2912" s="8" t="s">
        <v>139</v>
      </c>
      <c r="F2912" s="5" t="s">
        <v>883</v>
      </c>
      <c r="G2912" s="6" t="str">
        <f>VLOOKUP(E2912,dicionario!$A$1:$C3311,2,0)</f>
        <v>Tropidurus torquatus</v>
      </c>
      <c r="H2912" s="6" t="str">
        <f>VLOOKUP(E2912,dicionario!$A$1:$C3311,3,0)</f>
        <v>calango; tropiduro-comum</v>
      </c>
    </row>
    <row r="2913">
      <c r="A2913" s="3">
        <v>45624.0</v>
      </c>
      <c r="B2913" s="4">
        <v>0.32222222222222224</v>
      </c>
      <c r="C2913" s="5" t="s">
        <v>59</v>
      </c>
      <c r="D2913" s="5" t="s">
        <v>840</v>
      </c>
      <c r="E2913" s="6" t="s">
        <v>111</v>
      </c>
      <c r="F2913" s="7" t="s">
        <v>112</v>
      </c>
      <c r="G2913" s="6" t="str">
        <f>VLOOKUP(E2913,dicionario!$A$1:$C3312,2,0)</f>
        <v>Trigona spinipes</v>
      </c>
      <c r="H2913" s="6" t="str">
        <f>VLOOKUP(E2913,dicionario!$A$1:$C3312,3,0)</f>
        <v>abelha-cachorro</v>
      </c>
    </row>
    <row r="2914">
      <c r="A2914" s="3">
        <v>45624.0</v>
      </c>
      <c r="B2914" s="4">
        <v>0.32222222222222224</v>
      </c>
      <c r="C2914" s="5" t="s">
        <v>59</v>
      </c>
      <c r="D2914" s="5" t="s">
        <v>840</v>
      </c>
      <c r="E2914" s="8" t="s">
        <v>830</v>
      </c>
      <c r="F2914" s="5" t="s">
        <v>831</v>
      </c>
      <c r="G2914" s="6" t="str">
        <f>VLOOKUP(E2914,dicionario!$A$1:$C3313,2,0)</f>
        <v>#N/A</v>
      </c>
      <c r="H2914" s="6" t="str">
        <f>VLOOKUP(E2914,dicionario!$A$1:$C3313,3,0)</f>
        <v>#N/A</v>
      </c>
    </row>
    <row r="2915">
      <c r="A2915" s="3">
        <v>45624.0</v>
      </c>
      <c r="B2915" s="4">
        <v>0.32222222222222224</v>
      </c>
      <c r="C2915" s="5" t="s">
        <v>59</v>
      </c>
      <c r="D2915" s="5" t="s">
        <v>840</v>
      </c>
      <c r="E2915" s="6" t="s">
        <v>253</v>
      </c>
      <c r="F2915" s="5" t="s">
        <v>780</v>
      </c>
      <c r="G2915" s="6" t="str">
        <f>VLOOKUP(E2915,dicionario!$A$1:$C3314,2,0)</f>
        <v>Panicum maximum</v>
      </c>
      <c r="H2915" s="6" t="str">
        <f>VLOOKUP(E2915,dicionario!$A$1:$C3314,3,0)</f>
        <v>capim-colonião</v>
      </c>
    </row>
    <row r="2916">
      <c r="A2916" s="3">
        <v>45624.0</v>
      </c>
      <c r="B2916" s="4">
        <v>0.32222222222222224</v>
      </c>
      <c r="C2916" s="5" t="s">
        <v>59</v>
      </c>
      <c r="D2916" s="5" t="s">
        <v>840</v>
      </c>
      <c r="E2916" s="6" t="s">
        <v>53</v>
      </c>
      <c r="F2916" s="7" t="s">
        <v>54</v>
      </c>
      <c r="G2916" s="6" t="str">
        <f>VLOOKUP(E2916,dicionario!$A$1:$C3315,2,0)</f>
        <v>Turnera subulata</v>
      </c>
      <c r="H2916" s="6" t="str">
        <f>VLOOKUP(E2916,dicionario!$A$1:$C3315,3,0)</f>
        <v>xanana</v>
      </c>
    </row>
    <row r="2917">
      <c r="A2917" s="3">
        <v>45624.0</v>
      </c>
      <c r="B2917" s="4">
        <v>0.32222222222222224</v>
      </c>
      <c r="C2917" s="5" t="s">
        <v>59</v>
      </c>
      <c r="D2917" s="5" t="s">
        <v>840</v>
      </c>
      <c r="E2917" s="6" t="s">
        <v>471</v>
      </c>
      <c r="F2917" s="5" t="s">
        <v>884</v>
      </c>
      <c r="G2917" s="6" t="str">
        <f>VLOOKUP(E2917,dicionario!$A$1:$C3316,2,0)</f>
        <v>Sida acuta</v>
      </c>
      <c r="H2917" s="6" t="str">
        <f>VLOOKUP(E2917,dicionario!$A$1:$C3316,3,0)</f>
        <v>reloginho</v>
      </c>
    </row>
    <row r="2918">
      <c r="A2918" s="3">
        <v>45624.0</v>
      </c>
      <c r="B2918" s="4">
        <v>0.3229166666666667</v>
      </c>
      <c r="C2918" s="5" t="s">
        <v>59</v>
      </c>
      <c r="D2918" s="5" t="s">
        <v>840</v>
      </c>
      <c r="E2918" s="6" t="s">
        <v>286</v>
      </c>
      <c r="F2918" s="5" t="s">
        <v>781</v>
      </c>
      <c r="G2918" s="6" t="str">
        <f>VLOOKUP(E2918,dicionario!$A$1:$C3317,2,0)</f>
        <v>Setaria parviflora</v>
      </c>
      <c r="H2918" s="6" t="str">
        <f>VLOOKUP(E2918,dicionario!$A$1:$C3317,3,0)</f>
        <v>capim-rabo-de-raposa</v>
      </c>
    </row>
    <row r="2919">
      <c r="A2919" s="3">
        <v>45624.0</v>
      </c>
      <c r="B2919" s="4">
        <v>0.3229166666666667</v>
      </c>
      <c r="C2919" s="5" t="s">
        <v>59</v>
      </c>
      <c r="D2919" s="5" t="s">
        <v>840</v>
      </c>
      <c r="E2919" s="6" t="s">
        <v>383</v>
      </c>
      <c r="F2919" s="5" t="s">
        <v>885</v>
      </c>
      <c r="G2919" s="6" t="str">
        <f>VLOOKUP(E2919,dicionario!$A$1:$C3318,2,0)</f>
        <v>Setophaga pitiayumi</v>
      </c>
      <c r="H2919" s="6" t="str">
        <f>VLOOKUP(E2919,dicionario!$A$1:$C3318,3,0)</f>
        <v>mariquita</v>
      </c>
    </row>
    <row r="2920">
      <c r="A2920" s="3">
        <v>45624.0</v>
      </c>
      <c r="B2920" s="4">
        <v>0.3229166666666667</v>
      </c>
      <c r="C2920" s="5" t="s">
        <v>59</v>
      </c>
      <c r="D2920" s="5" t="s">
        <v>840</v>
      </c>
      <c r="E2920" s="6" t="s">
        <v>20</v>
      </c>
      <c r="F2920" s="7" t="s">
        <v>21</v>
      </c>
      <c r="G2920" s="6" t="str">
        <f>VLOOKUP(E2920,dicionario!$A$1:$C3319,2,0)</f>
        <v>Sicalis flaveola</v>
      </c>
      <c r="H2920" s="6" t="str">
        <f>VLOOKUP(E2920,dicionario!$A$1:$C3319,3,0)</f>
        <v>canário-da-terra</v>
      </c>
    </row>
    <row r="2921">
      <c r="A2921" s="3">
        <v>45624.0</v>
      </c>
      <c r="B2921" s="4">
        <v>0.3229166666666667</v>
      </c>
      <c r="C2921" s="5" t="s">
        <v>59</v>
      </c>
      <c r="D2921" s="5" t="s">
        <v>840</v>
      </c>
      <c r="E2921" s="6" t="s">
        <v>14</v>
      </c>
      <c r="F2921" s="5" t="s">
        <v>818</v>
      </c>
      <c r="G2921" s="6" t="str">
        <f>VLOOKUP(E2921,dicionario!$A$1:$C3320,2,0)</f>
        <v>Spermacoce verticillata</v>
      </c>
      <c r="H2921" s="6" t="str">
        <f>VLOOKUP(E2921,dicionario!$A$1:$C3320,3,0)</f>
        <v>vassourinha-de-botão</v>
      </c>
    </row>
    <row r="2922">
      <c r="A2922" s="3">
        <v>45624.0</v>
      </c>
      <c r="B2922" s="4">
        <v>0.3229166666666667</v>
      </c>
      <c r="C2922" s="5" t="s">
        <v>59</v>
      </c>
      <c r="D2922" s="5" t="s">
        <v>840</v>
      </c>
      <c r="E2922" s="6" t="s">
        <v>181</v>
      </c>
      <c r="F2922" s="5" t="s">
        <v>778</v>
      </c>
      <c r="G2922" s="6" t="str">
        <f>VLOOKUP(E2922,dicionario!$A$1:$C3321,2,0)</f>
        <v>#N/A</v>
      </c>
      <c r="H2922" s="6" t="str">
        <f>VLOOKUP(E2922,dicionario!$A$1:$C3321,3,0)</f>
        <v>#N/A</v>
      </c>
    </row>
    <row r="2923">
      <c r="A2923" s="3">
        <v>45624.0</v>
      </c>
      <c r="B2923" s="4">
        <v>0.3236111111111111</v>
      </c>
      <c r="C2923" s="5" t="s">
        <v>59</v>
      </c>
      <c r="D2923" s="5" t="s">
        <v>840</v>
      </c>
      <c r="E2923" s="8" t="s">
        <v>886</v>
      </c>
      <c r="F2923" s="5" t="s">
        <v>887</v>
      </c>
      <c r="G2923" s="6" t="str">
        <f>VLOOKUP(E2923,dicionario!$A$1:$C3322,2,0)</f>
        <v>Oldenlandia corymbosa</v>
      </c>
      <c r="H2923" s="6" t="str">
        <f>VLOOKUP(E2923,dicionario!$A$1:$C3322,3,0)</f>
        <v>erva-diamante</v>
      </c>
    </row>
    <row r="2924">
      <c r="A2924" s="3">
        <v>45624.0</v>
      </c>
      <c r="B2924" s="4">
        <v>0.3236111111111111</v>
      </c>
      <c r="C2924" s="5" t="s">
        <v>59</v>
      </c>
      <c r="D2924" s="5" t="s">
        <v>840</v>
      </c>
      <c r="E2924" s="6" t="s">
        <v>267</v>
      </c>
      <c r="F2924" s="5" t="s">
        <v>888</v>
      </c>
      <c r="G2924" s="6" t="str">
        <f>VLOOKUP(E2924,dicionario!$A$1:$C3323,2,0)</f>
        <v>Solanum americanum</v>
      </c>
      <c r="H2924" s="6" t="str">
        <f>VLOOKUP(E2924,dicionario!$A$1:$C3323,3,0)</f>
        <v>maria-pretinha</v>
      </c>
    </row>
    <row r="2925">
      <c r="A2925" s="3">
        <v>45624.0</v>
      </c>
      <c r="B2925" s="4">
        <v>0.3236111111111111</v>
      </c>
      <c r="C2925" s="5" t="s">
        <v>59</v>
      </c>
      <c r="D2925" s="5" t="s">
        <v>840</v>
      </c>
      <c r="E2925" s="6" t="s">
        <v>296</v>
      </c>
      <c r="F2925" s="5" t="s">
        <v>823</v>
      </c>
      <c r="G2925" s="6" t="str">
        <f>VLOOKUP(E2925,dicionario!$A$1:$C3324,2,0)</f>
        <v>Richardia brasiliensis</v>
      </c>
      <c r="H2925" s="6" t="str">
        <f>VLOOKUP(E2925,dicionario!$A$1:$C3324,3,0)</f>
        <v>poaia-branca</v>
      </c>
    </row>
    <row r="2926">
      <c r="A2926" s="3">
        <v>45624.0</v>
      </c>
      <c r="B2926" s="4">
        <v>0.3236111111111111</v>
      </c>
      <c r="C2926" s="5" t="s">
        <v>59</v>
      </c>
      <c r="D2926" s="5" t="s">
        <v>840</v>
      </c>
      <c r="E2926" s="6" t="s">
        <v>225</v>
      </c>
      <c r="F2926" s="5" t="s">
        <v>847</v>
      </c>
      <c r="G2926" s="6" t="str">
        <f>VLOOKUP(E2926,dicionario!$A$1:$C3325,2,0)</f>
        <v>Passer domesticus</v>
      </c>
      <c r="H2926" s="6" t="str">
        <f>VLOOKUP(E2926,dicionario!$A$1:$C3325,3,0)</f>
        <v>pardal</v>
      </c>
    </row>
    <row r="2927">
      <c r="A2927" s="3">
        <v>45624.0</v>
      </c>
      <c r="B2927" s="4">
        <v>0.3236111111111111</v>
      </c>
      <c r="C2927" s="5" t="s">
        <v>59</v>
      </c>
      <c r="D2927" s="5" t="s">
        <v>840</v>
      </c>
      <c r="E2927" s="8" t="s">
        <v>889</v>
      </c>
      <c r="F2927" s="5" t="s">
        <v>743</v>
      </c>
      <c r="G2927" s="6" t="str">
        <f>VLOOKUP(E2927,dicionario!$A$1:$C3326,2,0)</f>
        <v>#N/A</v>
      </c>
      <c r="H2927" s="6" t="str">
        <f>VLOOKUP(E2927,dicionario!$A$1:$C3326,3,0)</f>
        <v>#N/A</v>
      </c>
    </row>
    <row r="2928">
      <c r="A2928" s="3">
        <v>45624.0</v>
      </c>
      <c r="B2928" s="4">
        <v>0.3236111111111111</v>
      </c>
      <c r="C2928" s="5" t="s">
        <v>59</v>
      </c>
      <c r="D2928" s="5" t="s">
        <v>840</v>
      </c>
      <c r="E2928" s="8" t="s">
        <v>504</v>
      </c>
      <c r="F2928" s="5" t="s">
        <v>534</v>
      </c>
      <c r="G2928" s="6" t="str">
        <f>VLOOKUP(E2928,dicionario!$A$1:$C3327,2,0)</f>
        <v>Cleome aculeata</v>
      </c>
      <c r="H2928" s="6" t="str">
        <f>VLOOKUP(E2928,dicionario!$A$1:$C3327,3,0)</f>
        <v>cleome</v>
      </c>
    </row>
    <row r="2929">
      <c r="A2929" s="3">
        <v>45624.0</v>
      </c>
      <c r="B2929" s="4">
        <v>0.32430555555555557</v>
      </c>
      <c r="C2929" s="5" t="s">
        <v>59</v>
      </c>
      <c r="D2929" s="5" t="s">
        <v>840</v>
      </c>
      <c r="E2929" s="29" t="s">
        <v>566</v>
      </c>
      <c r="F2929" s="5" t="s">
        <v>832</v>
      </c>
      <c r="G2929" s="6" t="str">
        <f>VLOOKUP(E2929,dicionario!$A$1:$C3328,2,0)</f>
        <v>Baccharis dracunculifolia</v>
      </c>
      <c r="H2929" s="6" t="str">
        <f>VLOOKUP(E2929,dicionario!$A$1:$C3328,3,0)</f>
        <v>vassoura</v>
      </c>
    </row>
    <row r="2930">
      <c r="A2930" s="3">
        <v>45624.0</v>
      </c>
      <c r="B2930" s="4">
        <v>0.32430555555555557</v>
      </c>
      <c r="C2930" s="5" t="s">
        <v>59</v>
      </c>
      <c r="D2930" s="5" t="s">
        <v>840</v>
      </c>
      <c r="E2930" s="6" t="s">
        <v>353</v>
      </c>
      <c r="F2930" s="5" t="s">
        <v>835</v>
      </c>
      <c r="G2930" s="6" t="str">
        <f>VLOOKUP(E2930,dicionario!$A$1:$C3329,2,0)</f>
        <v>Desmodium incanum</v>
      </c>
      <c r="H2930" s="6" t="str">
        <f>VLOOKUP(E2930,dicionario!$A$1:$C3329,3,0)</f>
        <v>pega-pega</v>
      </c>
    </row>
    <row r="2931">
      <c r="A2931" s="3">
        <v>45624.0</v>
      </c>
      <c r="B2931" s="4">
        <v>0.32430555555555557</v>
      </c>
      <c r="C2931" s="5" t="s">
        <v>59</v>
      </c>
      <c r="D2931" s="5" t="s">
        <v>840</v>
      </c>
      <c r="E2931" s="8" t="s">
        <v>235</v>
      </c>
      <c r="F2931" s="5" t="s">
        <v>890</v>
      </c>
      <c r="G2931" s="6" t="str">
        <f>VLOOKUP(E2931,dicionario!$A$1:$C3330,2,0)</f>
        <v>Leucaena leucocephala</v>
      </c>
      <c r="H2931" s="6" t="str">
        <f>VLOOKUP(E2931,dicionario!$A$1:$C3330,3,0)</f>
        <v>leucena</v>
      </c>
    </row>
    <row r="2932">
      <c r="A2932" s="3">
        <v>45624.0</v>
      </c>
      <c r="B2932" s="4">
        <v>0.32430555555555557</v>
      </c>
      <c r="C2932" s="5" t="s">
        <v>59</v>
      </c>
      <c r="D2932" s="5" t="s">
        <v>840</v>
      </c>
      <c r="E2932" s="6" t="s">
        <v>65</v>
      </c>
      <c r="F2932" s="5" t="s">
        <v>819</v>
      </c>
      <c r="G2932" s="6" t="str">
        <f>VLOOKUP(E2932,dicionario!$A$1:$C3331,2,0)</f>
        <v>Pitangus sulphutarus</v>
      </c>
      <c r="H2932" s="6" t="str">
        <f>VLOOKUP(E2932,dicionario!$A$1:$C3331,3,0)</f>
        <v>bem-te-vi</v>
      </c>
    </row>
    <row r="2933">
      <c r="A2933" s="3">
        <v>45624.0</v>
      </c>
      <c r="B2933" s="4">
        <v>0.32430555555555557</v>
      </c>
      <c r="C2933" s="5" t="s">
        <v>59</v>
      </c>
      <c r="D2933" s="5" t="s">
        <v>840</v>
      </c>
      <c r="E2933" s="6" t="s">
        <v>213</v>
      </c>
      <c r="F2933" s="7" t="s">
        <v>214</v>
      </c>
      <c r="G2933" s="6" t="str">
        <f>VLOOKUP(E2933,dicionario!$A$1:$C3332,2,0)</f>
        <v>Myiozetetes similis</v>
      </c>
      <c r="H2933" s="6" t="str">
        <f>VLOOKUP(E2933,dicionario!$A$1:$C3332,3,0)</f>
        <v>bentevizinho-de-penacho-vermelho</v>
      </c>
    </row>
    <row r="2934">
      <c r="A2934" s="3">
        <v>45624.0</v>
      </c>
      <c r="B2934" s="4">
        <v>0.325</v>
      </c>
      <c r="C2934" s="5" t="s">
        <v>59</v>
      </c>
      <c r="D2934" s="5" t="s">
        <v>840</v>
      </c>
      <c r="E2934" s="6" t="s">
        <v>215</v>
      </c>
      <c r="F2934" s="7" t="s">
        <v>216</v>
      </c>
      <c r="G2934" s="6" t="str">
        <f>VLOOKUP(E2934,dicionario!$A$1:$C3333,2,0)</f>
        <v>Pygochelidon cyanoleuca</v>
      </c>
      <c r="H2934" s="6" t="str">
        <f>VLOOKUP(E2934,dicionario!$A$1:$C3333,3,0)</f>
        <v>andorinha-pequena-de-casa</v>
      </c>
    </row>
    <row r="2935">
      <c r="A2935" s="3">
        <v>45624.0</v>
      </c>
      <c r="B2935" s="4">
        <v>0.325</v>
      </c>
      <c r="C2935" s="5" t="s">
        <v>59</v>
      </c>
      <c r="D2935" s="5" t="s">
        <v>840</v>
      </c>
      <c r="E2935" s="8" t="s">
        <v>107</v>
      </c>
      <c r="F2935" s="5" t="s">
        <v>834</v>
      </c>
      <c r="G2935" s="6" t="str">
        <f>VLOOKUP(E2935,dicionario!$A$1:$C3334,2,0)</f>
        <v>Ramalina complanata</v>
      </c>
      <c r="H2935" s="6" t="str">
        <f>VLOOKUP(E2935,dicionario!$A$1:$C3334,3,0)</f>
        <v>ramalina</v>
      </c>
    </row>
    <row r="2936">
      <c r="A2936" s="3">
        <v>45624.0</v>
      </c>
      <c r="B2936" s="4">
        <v>0.325</v>
      </c>
      <c r="C2936" s="5" t="s">
        <v>59</v>
      </c>
      <c r="D2936" s="5" t="s">
        <v>840</v>
      </c>
      <c r="E2936" s="6" t="s">
        <v>109</v>
      </c>
      <c r="F2936" s="5" t="s">
        <v>777</v>
      </c>
      <c r="G2936" s="6" t="str">
        <f>VLOOKUP(E2936,dicionario!$A$1:$C3335,2,0)</f>
        <v>Tillandsia stricta</v>
      </c>
      <c r="H2936" s="6" t="str">
        <f>VLOOKUP(E2936,dicionario!$A$1:$C3335,3,0)</f>
        <v>cravo-do-mato</v>
      </c>
    </row>
    <row r="2937">
      <c r="A2937" s="3">
        <v>45624.0</v>
      </c>
      <c r="B2937" s="4">
        <v>0.32569444444444445</v>
      </c>
      <c r="C2937" s="5" t="s">
        <v>59</v>
      </c>
      <c r="D2937" s="5" t="s">
        <v>840</v>
      </c>
      <c r="E2937" s="9" t="s">
        <v>22</v>
      </c>
      <c r="F2937" s="5" t="s">
        <v>776</v>
      </c>
      <c r="G2937" s="6" t="str">
        <f>VLOOKUP(E2937,dicionario!$A$1:$C3336,2,0)</f>
        <v>Zenaida auriculata</v>
      </c>
      <c r="H2937" s="6" t="str">
        <f>VLOOKUP(E2937,dicionario!$A$1:$C3336,3,0)</f>
        <v>pomba-de-bando; avoante</v>
      </c>
    </row>
    <row r="2938">
      <c r="A2938" s="3">
        <v>45624.0</v>
      </c>
      <c r="B2938" s="4">
        <v>0.32569444444444445</v>
      </c>
      <c r="C2938" s="5" t="s">
        <v>59</v>
      </c>
      <c r="D2938" s="5" t="s">
        <v>840</v>
      </c>
      <c r="E2938" s="6" t="s">
        <v>113</v>
      </c>
      <c r="F2938" s="5" t="s">
        <v>820</v>
      </c>
      <c r="G2938" s="6" t="str">
        <f>VLOOKUP(E2938,dicionario!$A$1:$C3337,2,0)</f>
        <v>Columbina talpacoti</v>
      </c>
      <c r="H2938" s="6" t="str">
        <f>VLOOKUP(E2938,dicionario!$A$1:$C3337,3,0)</f>
        <v>rolinha-roxa</v>
      </c>
    </row>
    <row r="2939">
      <c r="A2939" s="3">
        <v>45624.0</v>
      </c>
      <c r="B2939" s="4">
        <v>0.3263888888888889</v>
      </c>
      <c r="C2939" s="5" t="s">
        <v>59</v>
      </c>
      <c r="D2939" s="5" t="s">
        <v>840</v>
      </c>
      <c r="E2939" s="6" t="s">
        <v>191</v>
      </c>
      <c r="F2939" s="5" t="s">
        <v>771</v>
      </c>
      <c r="G2939" s="6" t="str">
        <f>VLOOKUP(E2939,dicionario!$A$1:$C3338,2,0)</f>
        <v>Patagioenas picazuro</v>
      </c>
      <c r="H2939" s="6" t="str">
        <f>VLOOKUP(E2939,dicionario!$A$1:$C3338,3,0)</f>
        <v>asa-branca; pomba-asa-branca; pocaçu</v>
      </c>
    </row>
    <row r="2940">
      <c r="A2940" s="3">
        <v>45624.0</v>
      </c>
      <c r="B2940" s="4">
        <v>0.3263888888888889</v>
      </c>
      <c r="C2940" s="5" t="s">
        <v>59</v>
      </c>
      <c r="D2940" s="5" t="s">
        <v>840</v>
      </c>
      <c r="E2940" s="6" t="s">
        <v>86</v>
      </c>
      <c r="F2940" s="5" t="s">
        <v>783</v>
      </c>
      <c r="G2940" s="6" t="str">
        <f>VLOOKUP(E2940,dicionario!$A$1:$C3339,2,0)</f>
        <v>Coereba flaveola</v>
      </c>
      <c r="H2940" s="6" t="str">
        <f>VLOOKUP(E2940,dicionario!$A$1:$C3339,3,0)</f>
        <v>cambacica</v>
      </c>
    </row>
    <row r="2941">
      <c r="A2941" s="3">
        <v>45624.0</v>
      </c>
      <c r="B2941" s="4">
        <v>0.3263888888888889</v>
      </c>
      <c r="C2941" s="5" t="s">
        <v>59</v>
      </c>
      <c r="D2941" s="5" t="s">
        <v>840</v>
      </c>
      <c r="E2941" s="6" t="s">
        <v>200</v>
      </c>
      <c r="F2941" s="5" t="s">
        <v>854</v>
      </c>
      <c r="G2941" s="6" t="str">
        <f>VLOOKUP(E2941,dicionario!$A$1:$C3340,2,0)</f>
        <v>Columbina picui </v>
      </c>
      <c r="H2941" s="6" t="str">
        <f>VLOOKUP(E2941,dicionario!$A$1:$C3340,3,0)</f>
        <v>rolinha-picuí</v>
      </c>
    </row>
    <row r="2942">
      <c r="A2942" s="3">
        <v>45624.0</v>
      </c>
      <c r="B2942" s="4">
        <v>0.3263888888888889</v>
      </c>
      <c r="C2942" s="5" t="s">
        <v>59</v>
      </c>
      <c r="D2942" s="5" t="s">
        <v>840</v>
      </c>
      <c r="E2942" s="6" t="s">
        <v>177</v>
      </c>
      <c r="F2942" s="5" t="s">
        <v>804</v>
      </c>
      <c r="G2942" s="6" t="str">
        <f>VLOOKUP(E2942,dicionario!$A$1:$C3341,2,0)</f>
        <v>Elaenia flavogaster</v>
      </c>
      <c r="H2942" s="6" t="str">
        <f>VLOOKUP(E2942,dicionario!$A$1:$C3341,3,0)</f>
        <v>guaracava-de-barriga-amarela</v>
      </c>
    </row>
    <row r="2943">
      <c r="A2943" s="3">
        <v>45624.0</v>
      </c>
      <c r="B2943" s="4">
        <v>0.3263888888888889</v>
      </c>
      <c r="C2943" s="5" t="s">
        <v>59</v>
      </c>
      <c r="D2943" s="5" t="s">
        <v>840</v>
      </c>
      <c r="E2943" s="8" t="s">
        <v>891</v>
      </c>
      <c r="F2943" s="5" t="s">
        <v>892</v>
      </c>
      <c r="G2943" s="6" t="str">
        <f>VLOOKUP(E2943,dicionario!$A$1:$C3342,2,0)</f>
        <v>Cymaenes tripunctus</v>
      </c>
      <c r="H2943" s="6" t="str">
        <f>VLOOKUP(E2943,dicionario!$A$1:$C3342,3,0)</f>
        <v>borboleta-de-três-pintas</v>
      </c>
    </row>
    <row r="2944">
      <c r="A2944" s="3">
        <v>45624.0</v>
      </c>
      <c r="B2944" s="4">
        <v>0.3263888888888889</v>
      </c>
      <c r="C2944" s="5" t="s">
        <v>59</v>
      </c>
      <c r="D2944" s="5" t="s">
        <v>840</v>
      </c>
      <c r="E2944" s="6" t="s">
        <v>91</v>
      </c>
      <c r="F2944" s="5" t="s">
        <v>893</v>
      </c>
      <c r="G2944" s="6" t="str">
        <f>VLOOKUP(E2944,dicionario!$A$1:$C3343,2,0)</f>
        <v>Picumnus cirratus</v>
      </c>
      <c r="H2944" s="6" t="str">
        <f>VLOOKUP(E2944,dicionario!$A$1:$C3343,3,0)</f>
        <v>picapauzinho-barrado</v>
      </c>
    </row>
    <row r="2945">
      <c r="A2945" s="3">
        <v>45624.0</v>
      </c>
      <c r="B2945" s="4">
        <v>0.32708333333333334</v>
      </c>
      <c r="C2945" s="5" t="s">
        <v>59</v>
      </c>
      <c r="D2945" s="5" t="s">
        <v>840</v>
      </c>
      <c r="E2945" s="6" t="s">
        <v>31</v>
      </c>
      <c r="F2945" s="5" t="s">
        <v>32</v>
      </c>
      <c r="G2945" s="6" t="str">
        <f>VLOOKUP(E2945,dicionario!$A$1:$C3344,2,0)</f>
        <v>Furnarius rufus</v>
      </c>
      <c r="H2945" s="6" t="str">
        <f>VLOOKUP(E2945,dicionario!$A$1:$C3344,3,0)</f>
        <v>joão-de-barro</v>
      </c>
    </row>
    <row r="2946">
      <c r="A2946" s="3">
        <v>45624.0</v>
      </c>
      <c r="B2946" s="4">
        <v>0.3284722222222222</v>
      </c>
      <c r="C2946" s="5" t="s">
        <v>59</v>
      </c>
      <c r="D2946" s="5" t="s">
        <v>840</v>
      </c>
      <c r="E2946" s="6" t="s">
        <v>227</v>
      </c>
      <c r="F2946" s="5" t="s">
        <v>813</v>
      </c>
      <c r="G2946" s="6" t="str">
        <f>VLOOKUP(E2946,dicionario!$A$1:$C3345,2,0)</f>
        <v>Indigofera hirsuta</v>
      </c>
      <c r="H2946" s="6" t="str">
        <f>VLOOKUP(E2946,dicionario!$A$1:$C3345,3,0)</f>
        <v>anileira</v>
      </c>
    </row>
    <row r="2947">
      <c r="A2947" s="3">
        <v>45624.0</v>
      </c>
      <c r="B2947" s="4">
        <v>0.3284722222222222</v>
      </c>
      <c r="C2947" s="5" t="s">
        <v>59</v>
      </c>
      <c r="D2947" s="5" t="s">
        <v>840</v>
      </c>
      <c r="E2947" s="8" t="s">
        <v>193</v>
      </c>
      <c r="F2947" s="5" t="s">
        <v>894</v>
      </c>
      <c r="G2947" s="6" t="str">
        <f>VLOOKUP(E2947,dicionario!$A$1:$C3346,2,0)</f>
        <v>Conirostrum speciosum</v>
      </c>
      <c r="H2947" s="6" t="str">
        <f>VLOOKUP(E2947,dicionario!$A$1:$C3346,3,0)</f>
        <v>figuinha-de-rabo-castanho</v>
      </c>
    </row>
    <row r="2948">
      <c r="A2948" s="3">
        <v>45624.0</v>
      </c>
      <c r="B2948" s="4">
        <v>0.32916666666666666</v>
      </c>
      <c r="C2948" s="5" t="s">
        <v>59</v>
      </c>
      <c r="D2948" s="5" t="s">
        <v>840</v>
      </c>
      <c r="E2948" s="8" t="s">
        <v>895</v>
      </c>
      <c r="F2948" s="5" t="s">
        <v>896</v>
      </c>
      <c r="G2948" s="6" t="str">
        <f>VLOOKUP(E2948,dicionario!$A$1:$C3347,2,0)</f>
        <v>Trametes cubensis</v>
      </c>
      <c r="H2948" s="6" t="str">
        <f>VLOOKUP(E2948,dicionario!$A$1:$C3347,3,0)</f>
        <v/>
      </c>
    </row>
    <row r="2949">
      <c r="A2949" s="3">
        <v>45624.0</v>
      </c>
      <c r="B2949" s="4">
        <v>0.32916666666666666</v>
      </c>
      <c r="C2949" s="5" t="s">
        <v>59</v>
      </c>
      <c r="D2949" s="5" t="s">
        <v>840</v>
      </c>
      <c r="E2949" s="8" t="s">
        <v>897</v>
      </c>
      <c r="F2949" s="5" t="s">
        <v>898</v>
      </c>
      <c r="G2949" s="6" t="str">
        <f>VLOOKUP(E2949,dicionario!$A$1:$C3348,2,0)</f>
        <v>#N/A</v>
      </c>
      <c r="H2949" s="6" t="str">
        <f>VLOOKUP(E2949,dicionario!$A$1:$C3348,3,0)</f>
        <v>#N/A</v>
      </c>
    </row>
    <row r="2950">
      <c r="A2950" s="3">
        <v>45624.0</v>
      </c>
      <c r="B2950" s="4">
        <v>0.33055555555555555</v>
      </c>
      <c r="C2950" s="5" t="s">
        <v>59</v>
      </c>
      <c r="D2950" s="5" t="s">
        <v>840</v>
      </c>
      <c r="E2950" s="6" t="s">
        <v>111</v>
      </c>
      <c r="F2950" s="7" t="s">
        <v>112</v>
      </c>
      <c r="G2950" s="6" t="str">
        <f>VLOOKUP(E2950,dicionario!$A$1:$C3349,2,0)</f>
        <v>Trigona spinipes</v>
      </c>
      <c r="H2950" s="6" t="str">
        <f>VLOOKUP(E2950,dicionario!$A$1:$C3349,3,0)</f>
        <v>abelha-cachorro</v>
      </c>
    </row>
    <row r="2951">
      <c r="A2951" s="3">
        <v>45624.0</v>
      </c>
      <c r="B2951" s="4">
        <v>0.33055555555555555</v>
      </c>
      <c r="C2951" s="5" t="s">
        <v>59</v>
      </c>
      <c r="D2951" s="5" t="s">
        <v>840</v>
      </c>
      <c r="E2951" s="6" t="s">
        <v>271</v>
      </c>
      <c r="F2951" s="7" t="s">
        <v>272</v>
      </c>
      <c r="G2951" s="6" t="str">
        <f>VLOOKUP(E2951,dicionario!$A$1:$C3350,2,0)</f>
        <v>Cyanthillium cinereum</v>
      </c>
      <c r="H2951" s="6" t="str">
        <f>VLOOKUP(E2951,dicionario!$A$1:$C3350,3,0)</f>
        <v>emília</v>
      </c>
    </row>
    <row r="2952">
      <c r="A2952" s="3">
        <v>45624.0</v>
      </c>
      <c r="B2952" s="4">
        <v>0.33055555555555555</v>
      </c>
      <c r="C2952" s="5" t="s">
        <v>59</v>
      </c>
      <c r="D2952" s="5" t="s">
        <v>840</v>
      </c>
      <c r="E2952" s="6" t="s">
        <v>148</v>
      </c>
      <c r="F2952" s="5" t="s">
        <v>772</v>
      </c>
      <c r="G2952" s="6" t="str">
        <f>VLOOKUP(E2952,dicionario!$A$1:$C3351,2,0)</f>
        <v>Parthenium hysterophorus</v>
      </c>
      <c r="H2952" s="6" t="str">
        <f>VLOOKUP(E2952,dicionario!$A$1:$C3351,3,0)</f>
        <v>losna-branca</v>
      </c>
    </row>
    <row r="2953">
      <c r="A2953" s="3">
        <v>45624.0</v>
      </c>
      <c r="B2953" s="4">
        <v>0.3333333333333333</v>
      </c>
      <c r="C2953" s="5" t="s">
        <v>50</v>
      </c>
      <c r="D2953" s="5" t="s">
        <v>840</v>
      </c>
      <c r="E2953" s="6" t="s">
        <v>20</v>
      </c>
      <c r="F2953" s="7" t="s">
        <v>21</v>
      </c>
      <c r="G2953" s="6" t="str">
        <f>VLOOKUP(E2953,dicionario!$A$1:$C3352,2,0)</f>
        <v>Sicalis flaveola</v>
      </c>
      <c r="H2953" s="6" t="str">
        <f>VLOOKUP(E2953,dicionario!$A$1:$C3352,3,0)</f>
        <v>canário-da-terra</v>
      </c>
    </row>
    <row r="2954">
      <c r="A2954" s="3">
        <v>45624.0</v>
      </c>
      <c r="B2954" s="4">
        <v>0.3333333333333333</v>
      </c>
      <c r="C2954" s="5" t="s">
        <v>50</v>
      </c>
      <c r="D2954" s="5" t="s">
        <v>840</v>
      </c>
      <c r="E2954" s="8" t="s">
        <v>38</v>
      </c>
      <c r="F2954" s="5" t="s">
        <v>39</v>
      </c>
      <c r="G2954" s="6" t="str">
        <f>VLOOKUP(E2954,dicionario!$A$1:$C3353,2,0)</f>
        <v>Troglodytes musculus</v>
      </c>
      <c r="H2954" s="6" t="str">
        <f>VLOOKUP(E2954,dicionario!$A$1:$C3353,3,0)</f>
        <v>curruíra</v>
      </c>
    </row>
    <row r="2955">
      <c r="A2955" s="3">
        <v>45624.0</v>
      </c>
      <c r="B2955" s="4">
        <v>0.3333333333333333</v>
      </c>
      <c r="C2955" s="5" t="s">
        <v>50</v>
      </c>
      <c r="D2955" s="5" t="s">
        <v>840</v>
      </c>
      <c r="E2955" s="8" t="s">
        <v>91</v>
      </c>
      <c r="F2955" s="5" t="s">
        <v>92</v>
      </c>
      <c r="G2955" s="6" t="str">
        <f>VLOOKUP(E2955,dicionario!$A$1:$C3354,2,0)</f>
        <v>Picumnus cirratus</v>
      </c>
      <c r="H2955" s="6" t="str">
        <f>VLOOKUP(E2955,dicionario!$A$1:$C3354,3,0)</f>
        <v>picapauzinho-barrado</v>
      </c>
    </row>
    <row r="2956">
      <c r="A2956" s="3">
        <v>45624.0</v>
      </c>
      <c r="B2956" s="4">
        <v>0.3333333333333333</v>
      </c>
      <c r="C2956" s="5" t="s">
        <v>50</v>
      </c>
      <c r="D2956" s="5" t="s">
        <v>840</v>
      </c>
      <c r="E2956" s="6" t="s">
        <v>53</v>
      </c>
      <c r="F2956" s="7" t="s">
        <v>54</v>
      </c>
      <c r="G2956" s="6" t="str">
        <f>VLOOKUP(E2956,dicionario!$A$1:$C3355,2,0)</f>
        <v>Turnera subulata</v>
      </c>
      <c r="H2956" s="6" t="str">
        <f>VLOOKUP(E2956,dicionario!$A$1:$C3355,3,0)</f>
        <v>xanana</v>
      </c>
    </row>
    <row r="2957">
      <c r="A2957" s="3">
        <v>45624.0</v>
      </c>
      <c r="B2957" s="4">
        <v>0.3333333333333333</v>
      </c>
      <c r="C2957" s="5" t="s">
        <v>50</v>
      </c>
      <c r="D2957" s="5" t="s">
        <v>840</v>
      </c>
      <c r="E2957" s="6" t="s">
        <v>65</v>
      </c>
      <c r="F2957" s="5" t="s">
        <v>819</v>
      </c>
      <c r="G2957" s="6" t="str">
        <f>VLOOKUP(E2957,dicionario!$A$1:$C3356,2,0)</f>
        <v>Pitangus sulphutarus</v>
      </c>
      <c r="H2957" s="6" t="str">
        <f>VLOOKUP(E2957,dicionario!$A$1:$C3356,3,0)</f>
        <v>bem-te-vi</v>
      </c>
    </row>
    <row r="2958">
      <c r="A2958" s="3">
        <v>45624.0</v>
      </c>
      <c r="B2958" s="4">
        <v>0.3347222222222222</v>
      </c>
      <c r="C2958" s="5" t="s">
        <v>50</v>
      </c>
      <c r="D2958" s="5" t="s">
        <v>840</v>
      </c>
      <c r="E2958" s="6" t="s">
        <v>215</v>
      </c>
      <c r="F2958" s="7" t="s">
        <v>216</v>
      </c>
      <c r="G2958" s="6" t="str">
        <f>VLOOKUP(E2958,dicionario!$A$1:$C3357,2,0)</f>
        <v>Pygochelidon cyanoleuca</v>
      </c>
      <c r="H2958" s="6" t="str">
        <f>VLOOKUP(E2958,dicionario!$A$1:$C3357,3,0)</f>
        <v>andorinha-pequena-de-casa</v>
      </c>
    </row>
    <row r="2959">
      <c r="A2959" s="3">
        <v>45624.0</v>
      </c>
      <c r="B2959" s="4">
        <v>0.3347222222222222</v>
      </c>
      <c r="C2959" s="5" t="s">
        <v>50</v>
      </c>
      <c r="D2959" s="5" t="s">
        <v>840</v>
      </c>
      <c r="E2959" s="6" t="s">
        <v>16</v>
      </c>
      <c r="F2959" s="5" t="s">
        <v>17</v>
      </c>
      <c r="G2959" s="6" t="str">
        <f>VLOOKUP(E2959,dicionario!$A$1:$C3358,2,0)</f>
        <v>Eupetomena macroura</v>
      </c>
      <c r="H2959" s="6" t="str">
        <f>VLOOKUP(E2959,dicionario!$A$1:$C3358,3,0)</f>
        <v>beija-flor-tesoura</v>
      </c>
    </row>
    <row r="2960">
      <c r="A2960" s="3">
        <v>45624.0</v>
      </c>
      <c r="B2960" s="4">
        <v>0.3347222222222222</v>
      </c>
      <c r="C2960" s="5" t="s">
        <v>50</v>
      </c>
      <c r="D2960" s="5" t="s">
        <v>840</v>
      </c>
      <c r="E2960" s="6" t="s">
        <v>55</v>
      </c>
      <c r="F2960" s="5" t="s">
        <v>56</v>
      </c>
      <c r="G2960" s="6" t="str">
        <f>VLOOKUP(E2960,dicionario!$A$1:$C3359,2,0)</f>
        <v>Cubaris murina</v>
      </c>
      <c r="H2960" s="6" t="str">
        <f>VLOOKUP(E2960,dicionario!$A$1:$C3359,3,0)</f>
        <v>tatuzinho-de-jardim</v>
      </c>
    </row>
    <row r="2961">
      <c r="A2961" s="3">
        <v>45624.0</v>
      </c>
      <c r="B2961" s="4">
        <v>0.3347222222222222</v>
      </c>
      <c r="C2961" s="5" t="s">
        <v>50</v>
      </c>
      <c r="D2961" s="5" t="s">
        <v>840</v>
      </c>
      <c r="E2961" s="6" t="s">
        <v>191</v>
      </c>
      <c r="F2961" s="5" t="s">
        <v>771</v>
      </c>
      <c r="G2961" s="6" t="str">
        <f>VLOOKUP(E2961,dicionario!$A$1:$C3360,2,0)</f>
        <v>Patagioenas picazuro</v>
      </c>
      <c r="H2961" s="6" t="str">
        <f>VLOOKUP(E2961,dicionario!$A$1:$C3360,3,0)</f>
        <v>asa-branca; pomba-asa-branca; pocaçu</v>
      </c>
    </row>
    <row r="2962">
      <c r="A2962" s="3">
        <v>45624.0</v>
      </c>
      <c r="B2962" s="4">
        <v>0.3347222222222222</v>
      </c>
      <c r="C2962" s="5" t="s">
        <v>50</v>
      </c>
      <c r="D2962" s="5" t="s">
        <v>840</v>
      </c>
      <c r="E2962" s="8" t="s">
        <v>489</v>
      </c>
      <c r="F2962" s="5" t="s">
        <v>196</v>
      </c>
      <c r="G2962" s="6" t="str">
        <f>VLOOKUP(E2962,dicionario!$A$1:$C3361,2,0)</f>
        <v>Cenchrus echinatus</v>
      </c>
      <c r="H2962" s="6" t="str">
        <f>VLOOKUP(E2962,dicionario!$A$1:$C3361,3,0)</f>
        <v>capim-carrapicho</v>
      </c>
    </row>
    <row r="2963">
      <c r="A2963" s="3">
        <v>45624.0</v>
      </c>
      <c r="B2963" s="4">
        <v>0.33611111111111114</v>
      </c>
      <c r="C2963" s="5" t="s">
        <v>50</v>
      </c>
      <c r="D2963" s="5" t="s">
        <v>840</v>
      </c>
      <c r="E2963" s="6" t="s">
        <v>122</v>
      </c>
      <c r="F2963" s="7" t="s">
        <v>123</v>
      </c>
      <c r="G2963" s="6" t="str">
        <f>VLOOKUP(E2963,dicionario!$A$1:$C3362,2,0)</f>
        <v>Todirostrum cinereum</v>
      </c>
      <c r="H2963" s="6" t="str">
        <f>VLOOKUP(E2963,dicionario!$A$1:$C3362,3,0)</f>
        <v>ferreirinho-relógio</v>
      </c>
    </row>
    <row r="2964">
      <c r="A2964" s="3">
        <v>45624.0</v>
      </c>
      <c r="B2964" s="4">
        <v>0.33611111111111114</v>
      </c>
      <c r="C2964" s="5" t="s">
        <v>50</v>
      </c>
      <c r="D2964" s="5" t="s">
        <v>840</v>
      </c>
      <c r="E2964" s="6" t="s">
        <v>181</v>
      </c>
      <c r="F2964" s="5" t="s">
        <v>182</v>
      </c>
      <c r="G2964" s="6" t="str">
        <f>VLOOKUP(E2964,dicionario!$A$1:$C3363,2,0)</f>
        <v>#N/A</v>
      </c>
      <c r="H2964" s="6" t="str">
        <f>VLOOKUP(E2964,dicionario!$A$1:$C3363,3,0)</f>
        <v>#N/A</v>
      </c>
    </row>
    <row r="2965">
      <c r="A2965" s="3">
        <v>45624.0</v>
      </c>
      <c r="B2965" s="4">
        <v>0.33611111111111114</v>
      </c>
      <c r="C2965" s="5" t="s">
        <v>50</v>
      </c>
      <c r="D2965" s="5" t="s">
        <v>840</v>
      </c>
      <c r="E2965" s="6" t="s">
        <v>177</v>
      </c>
      <c r="F2965" s="5" t="s">
        <v>804</v>
      </c>
      <c r="G2965" s="6" t="str">
        <f>VLOOKUP(E2965,dicionario!$A$1:$C3364,2,0)</f>
        <v>Elaenia flavogaster</v>
      </c>
      <c r="H2965" s="6" t="str">
        <f>VLOOKUP(E2965,dicionario!$A$1:$C3364,3,0)</f>
        <v>guaracava-de-barriga-amarela</v>
      </c>
    </row>
    <row r="2966">
      <c r="A2966" s="3">
        <v>45624.0</v>
      </c>
      <c r="B2966" s="4">
        <v>0.3368055555555556</v>
      </c>
      <c r="C2966" s="5" t="s">
        <v>50</v>
      </c>
      <c r="D2966" s="5" t="s">
        <v>840</v>
      </c>
      <c r="E2966" s="6" t="s">
        <v>292</v>
      </c>
      <c r="F2966" s="5" t="s">
        <v>293</v>
      </c>
      <c r="G2966" s="6" t="str">
        <f>VLOOKUP(E2966,dicionario!$A$1:$C3365,2,0)</f>
        <v>Ascia monuste</v>
      </c>
      <c r="H2966" s="6" t="str">
        <f>VLOOKUP(E2966,dicionario!$A$1:$C3365,3,0)</f>
        <v>borboleta-da-couve</v>
      </c>
    </row>
    <row r="2967">
      <c r="A2967" s="3">
        <v>45624.0</v>
      </c>
      <c r="B2967" s="4">
        <v>0.35138888888888886</v>
      </c>
      <c r="C2967" s="5" t="s">
        <v>40</v>
      </c>
      <c r="D2967" s="5" t="s">
        <v>840</v>
      </c>
      <c r="E2967" s="6" t="s">
        <v>20</v>
      </c>
      <c r="F2967" s="7" t="s">
        <v>21</v>
      </c>
      <c r="G2967" s="6" t="str">
        <f>VLOOKUP(E2967,dicionario!$A$1:$C3366,2,0)</f>
        <v>Sicalis flaveola</v>
      </c>
      <c r="H2967" s="6" t="str">
        <f>VLOOKUP(E2967,dicionario!$A$1:$C3366,3,0)</f>
        <v>canário-da-terra</v>
      </c>
    </row>
    <row r="2968">
      <c r="A2968" s="3">
        <v>45624.0</v>
      </c>
      <c r="B2968" s="4">
        <v>0.35138888888888886</v>
      </c>
      <c r="C2968" s="5" t="s">
        <v>40</v>
      </c>
      <c r="D2968" s="5" t="s">
        <v>840</v>
      </c>
      <c r="E2968" s="6" t="s">
        <v>113</v>
      </c>
      <c r="F2968" s="5" t="s">
        <v>820</v>
      </c>
      <c r="G2968" s="6" t="str">
        <f>VLOOKUP(E2968,dicionario!$A$1:$C3367,2,0)</f>
        <v>Columbina talpacoti</v>
      </c>
      <c r="H2968" s="6" t="str">
        <f>VLOOKUP(E2968,dicionario!$A$1:$C3367,3,0)</f>
        <v>rolinha-roxa</v>
      </c>
    </row>
    <row r="2969">
      <c r="A2969" s="3">
        <v>45624.0</v>
      </c>
      <c r="B2969" s="4">
        <v>0.35138888888888886</v>
      </c>
      <c r="C2969" s="5" t="s">
        <v>40</v>
      </c>
      <c r="D2969" s="5" t="s">
        <v>840</v>
      </c>
      <c r="E2969" s="6" t="s">
        <v>65</v>
      </c>
      <c r="F2969" s="5" t="s">
        <v>66</v>
      </c>
      <c r="G2969" s="6" t="str">
        <f>VLOOKUP(E2969,dicionario!$A$1:$C3368,2,0)</f>
        <v>Pitangus sulphutarus</v>
      </c>
      <c r="H2969" s="6" t="str">
        <f>VLOOKUP(E2969,dicionario!$A$1:$C3368,3,0)</f>
        <v>bem-te-vi</v>
      </c>
    </row>
    <row r="2970">
      <c r="A2970" s="3">
        <v>45624.0</v>
      </c>
      <c r="B2970" s="4">
        <v>0.35138888888888886</v>
      </c>
      <c r="C2970" s="5" t="s">
        <v>40</v>
      </c>
      <c r="D2970" s="5" t="s">
        <v>840</v>
      </c>
      <c r="E2970" s="6" t="s">
        <v>215</v>
      </c>
      <c r="F2970" s="7" t="s">
        <v>216</v>
      </c>
      <c r="G2970" s="6" t="str">
        <f>VLOOKUP(E2970,dicionario!$A$1:$C3369,2,0)</f>
        <v>Pygochelidon cyanoleuca</v>
      </c>
      <c r="H2970" s="6" t="str">
        <f>VLOOKUP(E2970,dicionario!$A$1:$C3369,3,0)</f>
        <v>andorinha-pequena-de-casa</v>
      </c>
    </row>
    <row r="2971">
      <c r="A2971" s="3">
        <v>45624.0</v>
      </c>
      <c r="B2971" s="4">
        <v>0.35208333333333336</v>
      </c>
      <c r="C2971" s="5" t="s">
        <v>40</v>
      </c>
      <c r="D2971" s="5" t="s">
        <v>840</v>
      </c>
      <c r="E2971" s="6" t="s">
        <v>163</v>
      </c>
      <c r="F2971" s="5" t="s">
        <v>164</v>
      </c>
      <c r="G2971" s="6" t="str">
        <f>VLOOKUP(E2971,dicionario!$A$1:$C3370,2,0)</f>
        <v>Coragyps atratus</v>
      </c>
      <c r="H2971" s="6" t="str">
        <f>VLOOKUP(E2971,dicionario!$A$1:$C3370,3,0)</f>
        <v>urubu-de-cabeça-preta</v>
      </c>
    </row>
    <row r="2972">
      <c r="A2972" s="3">
        <v>45624.0</v>
      </c>
      <c r="B2972" s="4">
        <v>0.3527777777777778</v>
      </c>
      <c r="C2972" s="5" t="s">
        <v>40</v>
      </c>
      <c r="D2972" s="5" t="s">
        <v>840</v>
      </c>
      <c r="E2972" s="6" t="s">
        <v>148</v>
      </c>
      <c r="F2972" s="5" t="s">
        <v>772</v>
      </c>
      <c r="G2972" s="6" t="str">
        <f>VLOOKUP(E2972,dicionario!$A$1:$C3371,2,0)</f>
        <v>Parthenium hysterophorus</v>
      </c>
      <c r="H2972" s="6" t="str">
        <f>VLOOKUP(E2972,dicionario!$A$1:$C3371,3,0)</f>
        <v>losna-branca</v>
      </c>
    </row>
    <row r="2973">
      <c r="A2973" s="3">
        <v>45624.0</v>
      </c>
      <c r="B2973" s="4">
        <v>0.3527777777777778</v>
      </c>
      <c r="C2973" s="5" t="s">
        <v>40</v>
      </c>
      <c r="D2973" s="5" t="s">
        <v>840</v>
      </c>
      <c r="E2973" s="6" t="s">
        <v>200</v>
      </c>
      <c r="F2973" s="5" t="s">
        <v>854</v>
      </c>
      <c r="G2973" s="6" t="str">
        <f>VLOOKUP(E2973,dicionario!$A$1:$C3372,2,0)</f>
        <v>Columbina picui </v>
      </c>
      <c r="H2973" s="6" t="str">
        <f>VLOOKUP(E2973,dicionario!$A$1:$C3372,3,0)</f>
        <v>rolinha-picuí</v>
      </c>
    </row>
    <row r="2974">
      <c r="A2974" s="3">
        <v>45624.0</v>
      </c>
      <c r="B2974" s="4">
        <v>0.35347222222222224</v>
      </c>
      <c r="C2974" s="5" t="s">
        <v>40</v>
      </c>
      <c r="D2974" s="5" t="s">
        <v>840</v>
      </c>
      <c r="E2974" s="6" t="s">
        <v>290</v>
      </c>
      <c r="F2974" s="5" t="s">
        <v>291</v>
      </c>
      <c r="G2974" s="6" t="str">
        <f>VLOOKUP(E2974,dicionario!$A$1:$C3373,2,0)</f>
        <v>Drymaria cordata</v>
      </c>
      <c r="H2974" s="6" t="str">
        <f>VLOOKUP(E2974,dicionario!$A$1:$C3373,3,0)</f>
        <v>orelha-de-rato</v>
      </c>
    </row>
    <row r="2975">
      <c r="A2975" s="3">
        <v>45624.0</v>
      </c>
      <c r="B2975" s="4">
        <v>0.35347222222222224</v>
      </c>
      <c r="C2975" s="5" t="s">
        <v>40</v>
      </c>
      <c r="D2975" s="5" t="s">
        <v>840</v>
      </c>
      <c r="E2975" s="6" t="s">
        <v>498</v>
      </c>
      <c r="F2975" s="5" t="s">
        <v>899</v>
      </c>
      <c r="G2975" s="6" t="str">
        <f>VLOOKUP(E2975,dicionario!$A$1:$C3374,2,0)</f>
        <v>Brachiaria decumbens</v>
      </c>
      <c r="H2975" s="6" t="str">
        <f>VLOOKUP(E2975,dicionario!$A$1:$C3374,3,0)</f>
        <v>capim-braquiária</v>
      </c>
    </row>
    <row r="2976">
      <c r="A2976" s="3">
        <v>45624.0</v>
      </c>
      <c r="B2976" s="4">
        <v>0.35347222222222224</v>
      </c>
      <c r="C2976" s="5" t="s">
        <v>40</v>
      </c>
      <c r="D2976" s="5" t="s">
        <v>840</v>
      </c>
      <c r="E2976" s="6" t="s">
        <v>286</v>
      </c>
      <c r="F2976" s="5" t="s">
        <v>287</v>
      </c>
      <c r="G2976" s="6" t="str">
        <f>VLOOKUP(E2976,dicionario!$A$1:$C3375,2,0)</f>
        <v>Setaria parviflora</v>
      </c>
      <c r="H2976" s="6" t="str">
        <f>VLOOKUP(E2976,dicionario!$A$1:$C3375,3,0)</f>
        <v>capim-rabo-de-raposa</v>
      </c>
    </row>
    <row r="2977">
      <c r="A2977" s="3">
        <v>45624.0</v>
      </c>
      <c r="B2977" s="4">
        <v>0.35347222222222224</v>
      </c>
      <c r="C2977" s="5" t="s">
        <v>40</v>
      </c>
      <c r="D2977" s="5" t="s">
        <v>840</v>
      </c>
      <c r="E2977" s="8" t="s">
        <v>535</v>
      </c>
      <c r="F2977" s="5" t="s">
        <v>900</v>
      </c>
      <c r="G2977" s="6" t="str">
        <f>VLOOKUP(E2977,dicionario!$A$1:$C3376,2,0)</f>
        <v>Odonata</v>
      </c>
      <c r="H2977" s="6" t="str">
        <f>VLOOKUP(E2977,dicionario!$A$1:$C3376,3,0)</f>
        <v>libélula</v>
      </c>
    </row>
    <row r="2978">
      <c r="A2978" s="3">
        <v>45624.0</v>
      </c>
      <c r="B2978" s="4">
        <v>0.35347222222222224</v>
      </c>
      <c r="C2978" s="5" t="s">
        <v>40</v>
      </c>
      <c r="D2978" s="5" t="s">
        <v>840</v>
      </c>
      <c r="E2978" s="6" t="s">
        <v>225</v>
      </c>
      <c r="F2978" s="5" t="s">
        <v>226</v>
      </c>
      <c r="G2978" s="6" t="str">
        <f>VLOOKUP(E2978,dicionario!$A$1:$C3377,2,0)</f>
        <v>Passer domesticus</v>
      </c>
      <c r="H2978" s="6" t="str">
        <f>VLOOKUP(E2978,dicionario!$A$1:$C3377,3,0)</f>
        <v>pardal</v>
      </c>
    </row>
    <row r="2979">
      <c r="A2979" s="3">
        <v>45624.0</v>
      </c>
      <c r="B2979" s="4">
        <v>0.35347222222222224</v>
      </c>
      <c r="C2979" s="5" t="s">
        <v>40</v>
      </c>
      <c r="D2979" s="5" t="s">
        <v>840</v>
      </c>
      <c r="E2979" s="6" t="s">
        <v>288</v>
      </c>
      <c r="F2979" s="5" t="s">
        <v>289</v>
      </c>
      <c r="G2979" s="6" t="str">
        <f>VLOOKUP(E2979,dicionario!$A$1:$C3378,2,0)</f>
        <v>Phyllanthus tenellus</v>
      </c>
      <c r="H2979" s="6" t="str">
        <f>VLOOKUP(E2979,dicionario!$A$1:$C3378,3,0)</f>
        <v>quebra-pedra</v>
      </c>
    </row>
    <row r="2980">
      <c r="A2980" s="3">
        <v>45624.0</v>
      </c>
      <c r="B2980" s="4">
        <v>0.35347222222222224</v>
      </c>
      <c r="C2980" s="5" t="s">
        <v>40</v>
      </c>
      <c r="D2980" s="5" t="s">
        <v>840</v>
      </c>
      <c r="E2980" s="6" t="s">
        <v>181</v>
      </c>
      <c r="F2980" s="5" t="s">
        <v>182</v>
      </c>
      <c r="G2980" s="6" t="str">
        <f>VLOOKUP(E2980,dicionario!$A$1:$C3379,2,0)</f>
        <v>#N/A</v>
      </c>
      <c r="H2980" s="6" t="str">
        <f>VLOOKUP(E2980,dicionario!$A$1:$C3379,3,0)</f>
        <v>#N/A</v>
      </c>
    </row>
    <row r="2981">
      <c r="A2981" s="3">
        <v>45624.0</v>
      </c>
      <c r="B2981" s="4">
        <v>0.35555555555555557</v>
      </c>
      <c r="C2981" s="5" t="s">
        <v>40</v>
      </c>
      <c r="D2981" s="5" t="s">
        <v>840</v>
      </c>
      <c r="E2981" s="6" t="s">
        <v>213</v>
      </c>
      <c r="F2981" s="7" t="s">
        <v>214</v>
      </c>
      <c r="G2981" s="6" t="str">
        <f>VLOOKUP(E2981,dicionario!$A$1:$C3380,2,0)</f>
        <v>Myiozetetes similis</v>
      </c>
      <c r="H2981" s="6" t="str">
        <f>VLOOKUP(E2981,dicionario!$A$1:$C3380,3,0)</f>
        <v>bentevizinho-de-penacho-vermelho</v>
      </c>
    </row>
    <row r="2982">
      <c r="A2982" s="3">
        <v>45624.0</v>
      </c>
      <c r="B2982" s="4">
        <v>0.35555555555555557</v>
      </c>
      <c r="C2982" s="5" t="s">
        <v>40</v>
      </c>
      <c r="D2982" s="5" t="s">
        <v>840</v>
      </c>
      <c r="E2982" s="8" t="s">
        <v>489</v>
      </c>
      <c r="F2982" s="5" t="s">
        <v>196</v>
      </c>
      <c r="G2982" s="6" t="str">
        <f>VLOOKUP(E2982,dicionario!$A$1:$C3381,2,0)</f>
        <v>Cenchrus echinatus</v>
      </c>
      <c r="H2982" s="6" t="str">
        <f>VLOOKUP(E2982,dicionario!$A$1:$C3381,3,0)</f>
        <v>capim-carrapicho</v>
      </c>
    </row>
    <row r="2983">
      <c r="A2983" s="3">
        <v>45624.0</v>
      </c>
      <c r="B2983" s="4">
        <v>0.35555555555555557</v>
      </c>
      <c r="C2983" s="5" t="s">
        <v>40</v>
      </c>
      <c r="D2983" s="5" t="s">
        <v>840</v>
      </c>
      <c r="E2983" s="6" t="s">
        <v>53</v>
      </c>
      <c r="F2983" s="7" t="s">
        <v>54</v>
      </c>
      <c r="G2983" s="6" t="str">
        <f>VLOOKUP(E2983,dicionario!$A$1:$C3382,2,0)</f>
        <v>Turnera subulata</v>
      </c>
      <c r="H2983" s="6" t="str">
        <f>VLOOKUP(E2983,dicionario!$A$1:$C3382,3,0)</f>
        <v>xanana</v>
      </c>
    </row>
    <row r="2984">
      <c r="A2984" s="3">
        <v>45624.0</v>
      </c>
      <c r="B2984" s="4">
        <v>0.3576388888888889</v>
      </c>
      <c r="C2984" s="5" t="s">
        <v>40</v>
      </c>
      <c r="D2984" s="5" t="s">
        <v>840</v>
      </c>
      <c r="E2984" s="8" t="s">
        <v>41</v>
      </c>
      <c r="F2984" s="5" t="s">
        <v>45</v>
      </c>
      <c r="G2984" s="6" t="str">
        <f>VLOOKUP(E2984,dicionario!$A$1:$C3383,2,0)</f>
        <v>Mimosa pudica</v>
      </c>
      <c r="H2984" s="6" t="str">
        <f>VLOOKUP(E2984,dicionario!$A$1:$C3383,3,0)</f>
        <v>dormideira</v>
      </c>
    </row>
    <row r="2985">
      <c r="A2985" s="3">
        <v>45624.0</v>
      </c>
      <c r="B2985" s="4">
        <v>0.3590277777777778</v>
      </c>
      <c r="C2985" s="5" t="s">
        <v>33</v>
      </c>
      <c r="D2985" s="5" t="s">
        <v>840</v>
      </c>
      <c r="E2985" s="6" t="s">
        <v>93</v>
      </c>
      <c r="F2985" s="5" t="s">
        <v>570</v>
      </c>
      <c r="G2985" s="6" t="str">
        <f>VLOOKUP(E2985,dicionario!$A$1:$C3384,2,0)</f>
        <v>Thraupis sayaca</v>
      </c>
      <c r="H2985" s="6" t="str">
        <f>VLOOKUP(E2985,dicionario!$A$1:$C3384,3,0)</f>
        <v>sanhaçu-cinzento</v>
      </c>
    </row>
    <row r="2986">
      <c r="A2986" s="3">
        <v>45624.0</v>
      </c>
      <c r="B2986" s="4">
        <v>0.3590277777777778</v>
      </c>
      <c r="C2986" s="5" t="s">
        <v>33</v>
      </c>
      <c r="D2986" s="5" t="s">
        <v>840</v>
      </c>
      <c r="E2986" s="6" t="s">
        <v>53</v>
      </c>
      <c r="F2986" s="7" t="s">
        <v>54</v>
      </c>
      <c r="G2986" s="6" t="str">
        <f>VLOOKUP(E2986,dicionario!$A$1:$C3385,2,0)</f>
        <v>Turnera subulata</v>
      </c>
      <c r="H2986" s="6" t="str">
        <f>VLOOKUP(E2986,dicionario!$A$1:$C3385,3,0)</f>
        <v>xanana</v>
      </c>
    </row>
    <row r="2987">
      <c r="A2987" s="3">
        <v>45624.0</v>
      </c>
      <c r="B2987" s="4">
        <v>0.3590277777777778</v>
      </c>
      <c r="C2987" s="5" t="s">
        <v>33</v>
      </c>
      <c r="D2987" s="5" t="s">
        <v>840</v>
      </c>
      <c r="E2987" s="6" t="s">
        <v>355</v>
      </c>
      <c r="F2987" s="5" t="s">
        <v>356</v>
      </c>
      <c r="G2987" s="6" t="str">
        <f>VLOOKUP(E2987,dicionario!$A$1:$C3386,2,0)</f>
        <v>Boerhavia diffusa</v>
      </c>
      <c r="H2987" s="6" t="str">
        <f>VLOOKUP(E2987,dicionario!$A$1:$C3386,3,0)</f>
        <v>erva-tostão</v>
      </c>
    </row>
    <row r="2988">
      <c r="A2988" s="3">
        <v>45624.0</v>
      </c>
      <c r="B2988" s="4">
        <v>0.3597222222222222</v>
      </c>
      <c r="C2988" s="5" t="s">
        <v>33</v>
      </c>
      <c r="D2988" s="5" t="s">
        <v>840</v>
      </c>
      <c r="E2988" s="8" t="s">
        <v>38</v>
      </c>
      <c r="F2988" s="5" t="s">
        <v>39</v>
      </c>
      <c r="G2988" s="6" t="str">
        <f>VLOOKUP(E2988,dicionario!$A$1:$C3387,2,0)</f>
        <v>Troglodytes musculus</v>
      </c>
      <c r="H2988" s="6" t="str">
        <f>VLOOKUP(E2988,dicionario!$A$1:$C3387,3,0)</f>
        <v>curruíra</v>
      </c>
    </row>
    <row r="2989">
      <c r="A2989" s="3">
        <v>45624.0</v>
      </c>
      <c r="B2989" s="4">
        <v>0.3597222222222222</v>
      </c>
      <c r="C2989" s="5" t="s">
        <v>33</v>
      </c>
      <c r="D2989" s="5" t="s">
        <v>840</v>
      </c>
      <c r="E2989" s="6" t="s">
        <v>122</v>
      </c>
      <c r="F2989" s="7" t="s">
        <v>123</v>
      </c>
      <c r="G2989" s="6" t="str">
        <f>VLOOKUP(E2989,dicionario!$A$1:$C3388,2,0)</f>
        <v>Todirostrum cinereum</v>
      </c>
      <c r="H2989" s="6" t="str">
        <f>VLOOKUP(E2989,dicionario!$A$1:$C3388,3,0)</f>
        <v>ferreirinho-relógio</v>
      </c>
    </row>
    <row r="2990">
      <c r="A2990" s="3">
        <v>45624.0</v>
      </c>
      <c r="B2990" s="4">
        <v>0.3597222222222222</v>
      </c>
      <c r="C2990" s="5" t="s">
        <v>33</v>
      </c>
      <c r="D2990" s="5" t="s">
        <v>840</v>
      </c>
      <c r="E2990" s="8" t="s">
        <v>338</v>
      </c>
      <c r="F2990" s="5" t="s">
        <v>238</v>
      </c>
      <c r="G2990" s="6" t="str">
        <f>VLOOKUP(E2990,dicionario!$A$1:$C3389,2,0)</f>
        <v>Atta</v>
      </c>
      <c r="H2990" s="6" t="str">
        <f>VLOOKUP(E2990,dicionario!$A$1:$C3389,3,0)</f>
        <v>saúva</v>
      </c>
    </row>
    <row r="2991">
      <c r="A2991" s="3">
        <v>45624.0</v>
      </c>
      <c r="B2991" s="4">
        <v>0.3597222222222222</v>
      </c>
      <c r="C2991" s="5" t="s">
        <v>33</v>
      </c>
      <c r="D2991" s="5" t="s">
        <v>840</v>
      </c>
      <c r="E2991" s="8" t="s">
        <v>535</v>
      </c>
      <c r="F2991" s="5" t="s">
        <v>901</v>
      </c>
      <c r="G2991" s="6" t="str">
        <f>VLOOKUP(E2991,dicionario!$A$1:$C3390,2,0)</f>
        <v>Odonata</v>
      </c>
      <c r="H2991" s="6" t="str">
        <f>VLOOKUP(E2991,dicionario!$A$1:$C3390,3,0)</f>
        <v>libélula</v>
      </c>
    </row>
    <row r="2992">
      <c r="A2992" s="3">
        <v>45624.0</v>
      </c>
      <c r="B2992" s="4">
        <v>0.3597222222222222</v>
      </c>
      <c r="C2992" s="5" t="s">
        <v>33</v>
      </c>
      <c r="D2992" s="5" t="s">
        <v>840</v>
      </c>
      <c r="E2992" s="6" t="s">
        <v>113</v>
      </c>
      <c r="F2992" s="5" t="s">
        <v>114</v>
      </c>
      <c r="G2992" s="6" t="str">
        <f>VLOOKUP(E2992,dicionario!$A$1:$C3391,2,0)</f>
        <v>Columbina talpacoti</v>
      </c>
      <c r="H2992" s="6" t="str">
        <f>VLOOKUP(E2992,dicionario!$A$1:$C3391,3,0)</f>
        <v>rolinha-roxa</v>
      </c>
    </row>
    <row r="2993">
      <c r="A2993" s="3">
        <v>45624.0</v>
      </c>
      <c r="B2993" s="4">
        <v>0.3597222222222222</v>
      </c>
      <c r="C2993" s="5" t="s">
        <v>33</v>
      </c>
      <c r="D2993" s="5" t="s">
        <v>840</v>
      </c>
      <c r="E2993" s="6" t="s">
        <v>162</v>
      </c>
      <c r="F2993" s="7" t="s">
        <v>42</v>
      </c>
      <c r="G2993" s="6" t="str">
        <f>VLOOKUP(E2993,dicionario!$A$1:$C3392,2,0)</f>
        <v>Fluvicola nengeta</v>
      </c>
      <c r="H2993" s="6" t="str">
        <f>VLOOKUP(E2993,dicionario!$A$1:$C3392,3,0)</f>
        <v>lavadeira-mascarada</v>
      </c>
    </row>
    <row r="2994">
      <c r="A2994" s="3">
        <v>45624.0</v>
      </c>
      <c r="B2994" s="4">
        <v>0.3597222222222222</v>
      </c>
      <c r="C2994" s="5" t="s">
        <v>33</v>
      </c>
      <c r="D2994" s="5" t="s">
        <v>840</v>
      </c>
      <c r="E2994" s="9" t="s">
        <v>22</v>
      </c>
      <c r="F2994" s="5" t="s">
        <v>902</v>
      </c>
      <c r="G2994" s="6" t="str">
        <f>VLOOKUP(E2994,dicionario!$A$1:$C3393,2,0)</f>
        <v>Zenaida auriculata</v>
      </c>
      <c r="H2994" s="6" t="str">
        <f>VLOOKUP(E2994,dicionario!$A$1:$C3393,3,0)</f>
        <v>pomba-de-bando; avoante</v>
      </c>
    </row>
    <row r="2995">
      <c r="A2995" s="3">
        <v>45624.0</v>
      </c>
      <c r="B2995" s="4">
        <v>0.3597222222222222</v>
      </c>
      <c r="C2995" s="5" t="s">
        <v>33</v>
      </c>
      <c r="D2995" s="5" t="s">
        <v>840</v>
      </c>
      <c r="E2995" s="8" t="s">
        <v>535</v>
      </c>
      <c r="F2995" s="5" t="s">
        <v>903</v>
      </c>
      <c r="G2995" s="6" t="str">
        <f>VLOOKUP(E2995,dicionario!$A$1:$C3394,2,0)</f>
        <v>Odonata</v>
      </c>
      <c r="H2995" s="6" t="str">
        <f>VLOOKUP(E2995,dicionario!$A$1:$C3394,3,0)</f>
        <v>libélula</v>
      </c>
    </row>
    <row r="2996">
      <c r="A2996" s="3">
        <v>45624.0</v>
      </c>
      <c r="B2996" s="4">
        <v>0.3625</v>
      </c>
      <c r="C2996" s="5" t="s">
        <v>33</v>
      </c>
      <c r="D2996" s="5" t="s">
        <v>840</v>
      </c>
      <c r="E2996" s="6" t="s">
        <v>14</v>
      </c>
      <c r="F2996" s="5" t="s">
        <v>15</v>
      </c>
      <c r="G2996" s="6" t="str">
        <f>VLOOKUP(E2996,dicionario!$A$1:$C3395,2,0)</f>
        <v>Spermacoce verticillata</v>
      </c>
      <c r="H2996" s="6" t="str">
        <f>VLOOKUP(E2996,dicionario!$A$1:$C3395,3,0)</f>
        <v>vassourinha-de-botão</v>
      </c>
    </row>
    <row r="2997">
      <c r="A2997" s="3">
        <v>45624.0</v>
      </c>
      <c r="B2997" s="4">
        <v>0.3625</v>
      </c>
      <c r="C2997" s="5" t="s">
        <v>33</v>
      </c>
      <c r="D2997" s="5" t="s">
        <v>840</v>
      </c>
      <c r="E2997" s="6" t="s">
        <v>109</v>
      </c>
      <c r="F2997" s="5" t="s">
        <v>110</v>
      </c>
      <c r="G2997" s="6" t="str">
        <f>VLOOKUP(E2997,dicionario!$A$1:$C3396,2,0)</f>
        <v>Tillandsia stricta</v>
      </c>
      <c r="H2997" s="6" t="str">
        <f>VLOOKUP(E2997,dicionario!$A$1:$C3396,3,0)</f>
        <v>cravo-do-mato</v>
      </c>
    </row>
    <row r="2998">
      <c r="A2998" s="3">
        <v>45624.0</v>
      </c>
      <c r="B2998" s="4">
        <v>0.3625</v>
      </c>
      <c r="C2998" s="5" t="s">
        <v>33</v>
      </c>
      <c r="D2998" s="5" t="s">
        <v>840</v>
      </c>
      <c r="E2998" s="8" t="s">
        <v>107</v>
      </c>
      <c r="F2998" s="5" t="s">
        <v>108</v>
      </c>
      <c r="G2998" s="6" t="str">
        <f>VLOOKUP(E2998,dicionario!$A$1:$C3397,2,0)</f>
        <v>Ramalina complanata</v>
      </c>
      <c r="H2998" s="6" t="str">
        <f>VLOOKUP(E2998,dicionario!$A$1:$C3397,3,0)</f>
        <v>ramalina</v>
      </c>
    </row>
    <row r="2999">
      <c r="A2999" s="3">
        <v>45624.0</v>
      </c>
      <c r="B2999" s="4">
        <v>0.3625</v>
      </c>
      <c r="C2999" s="5" t="s">
        <v>33</v>
      </c>
      <c r="D2999" s="5" t="s">
        <v>840</v>
      </c>
      <c r="E2999" s="6" t="s">
        <v>191</v>
      </c>
      <c r="F2999" s="5" t="s">
        <v>192</v>
      </c>
      <c r="G2999" s="6" t="str">
        <f>VLOOKUP(E2999,dicionario!$A$1:$C3398,2,0)</f>
        <v>Patagioenas picazuro</v>
      </c>
      <c r="H2999" s="6" t="str">
        <f>VLOOKUP(E2999,dicionario!$A$1:$C3398,3,0)</f>
        <v>asa-branca; pomba-asa-branca; pocaçu</v>
      </c>
    </row>
    <row r="3000">
      <c r="A3000" s="3">
        <v>45624.0</v>
      </c>
      <c r="B3000" s="4">
        <v>0.3625</v>
      </c>
      <c r="C3000" s="5" t="s">
        <v>33</v>
      </c>
      <c r="D3000" s="5" t="s">
        <v>840</v>
      </c>
      <c r="E3000" s="8" t="s">
        <v>355</v>
      </c>
      <c r="F3000" s="5" t="s">
        <v>356</v>
      </c>
      <c r="G3000" s="6" t="str">
        <f>VLOOKUP(E3000,dicionario!$A$1:$C3399,2,0)</f>
        <v>Boerhavia diffusa</v>
      </c>
      <c r="H3000" s="6" t="str">
        <f>VLOOKUP(E3000,dicionario!$A$1:$C3399,3,0)</f>
        <v>erva-tostão</v>
      </c>
    </row>
    <row r="3001">
      <c r="A3001" s="3">
        <v>45624.0</v>
      </c>
      <c r="B3001" s="4">
        <v>0.3638888888888889</v>
      </c>
      <c r="C3001" s="5" t="s">
        <v>33</v>
      </c>
      <c r="D3001" s="5" t="s">
        <v>840</v>
      </c>
      <c r="E3001" s="6" t="s">
        <v>51</v>
      </c>
      <c r="F3001" s="5" t="s">
        <v>321</v>
      </c>
      <c r="G3001" s="6" t="str">
        <f>VLOOKUP(E3001,dicionario!$A$1:$C3400,2,0)</f>
        <v>Solenopsis</v>
      </c>
      <c r="H3001" s="6" t="str">
        <f>VLOOKUP(E3001,dicionario!$A$1:$C3400,3,0)</f>
        <v>formiga-quente; formiga-lava-pés; formiga-de-fogo</v>
      </c>
    </row>
    <row r="3002">
      <c r="A3002" s="3">
        <v>45624.0</v>
      </c>
      <c r="B3002" s="4">
        <v>0.3638888888888889</v>
      </c>
      <c r="C3002" s="5" t="s">
        <v>33</v>
      </c>
      <c r="D3002" s="5" t="s">
        <v>840</v>
      </c>
      <c r="E3002" s="6" t="s">
        <v>200</v>
      </c>
      <c r="F3002" s="5" t="s">
        <v>201</v>
      </c>
      <c r="G3002" s="6" t="str">
        <f>VLOOKUP(E3002,dicionario!$A$1:$C3401,2,0)</f>
        <v>Columbina picui </v>
      </c>
      <c r="H3002" s="6" t="str">
        <f>VLOOKUP(E3002,dicionario!$A$1:$C3401,3,0)</f>
        <v>rolinha-picuí</v>
      </c>
    </row>
    <row r="3003">
      <c r="A3003" s="3">
        <v>45624.0</v>
      </c>
      <c r="B3003" s="4">
        <v>0.3638888888888889</v>
      </c>
      <c r="C3003" s="5" t="s">
        <v>33</v>
      </c>
      <c r="D3003" s="5" t="s">
        <v>840</v>
      </c>
      <c r="E3003" s="6" t="s">
        <v>144</v>
      </c>
      <c r="F3003" s="5" t="s">
        <v>145</v>
      </c>
      <c r="G3003" s="6" t="str">
        <f>VLOOKUP(E3003,dicionario!$A$1:$C3402,2,0)</f>
        <v>Gomphrena globosa</v>
      </c>
      <c r="H3003" s="6" t="str">
        <f>VLOOKUP(E3003,dicionario!$A$1:$C3402,3,0)</f>
        <v>perpétua-rosa</v>
      </c>
    </row>
    <row r="3004">
      <c r="A3004" s="3">
        <v>45624.0</v>
      </c>
      <c r="B3004" s="4">
        <v>0.3645833333333333</v>
      </c>
      <c r="C3004" s="5" t="s">
        <v>33</v>
      </c>
      <c r="D3004" s="5" t="s">
        <v>840</v>
      </c>
      <c r="E3004" s="6" t="s">
        <v>353</v>
      </c>
      <c r="F3004" s="5" t="s">
        <v>354</v>
      </c>
      <c r="G3004" s="6" t="str">
        <f>VLOOKUP(E3004,dicionario!$A$1:$C3403,2,0)</f>
        <v>Desmodium incanum</v>
      </c>
      <c r="H3004" s="6" t="str">
        <f>VLOOKUP(E3004,dicionario!$A$1:$C3403,3,0)</f>
        <v>pega-pega</v>
      </c>
    </row>
    <row r="3005">
      <c r="A3005" s="3">
        <v>45624.0</v>
      </c>
      <c r="B3005" s="4">
        <v>0.3645833333333333</v>
      </c>
      <c r="C3005" s="5" t="s">
        <v>33</v>
      </c>
      <c r="D3005" s="5" t="s">
        <v>840</v>
      </c>
      <c r="E3005" s="6" t="s">
        <v>227</v>
      </c>
      <c r="F3005" s="5" t="s">
        <v>228</v>
      </c>
      <c r="G3005" s="6" t="str">
        <f>VLOOKUP(E3005,dicionario!$A$1:$C3404,2,0)</f>
        <v>Indigofera hirsuta</v>
      </c>
      <c r="H3005" s="6" t="str">
        <f>VLOOKUP(E3005,dicionario!$A$1:$C3404,3,0)</f>
        <v>anileira</v>
      </c>
    </row>
    <row r="3006">
      <c r="A3006" s="3">
        <v>45624.0</v>
      </c>
      <c r="B3006" s="4">
        <v>0.36527777777777776</v>
      </c>
      <c r="C3006" s="5" t="s">
        <v>33</v>
      </c>
      <c r="D3006" s="5" t="s">
        <v>840</v>
      </c>
      <c r="E3006" s="6" t="s">
        <v>181</v>
      </c>
      <c r="F3006" s="5" t="s">
        <v>182</v>
      </c>
      <c r="G3006" s="6" t="str">
        <f>VLOOKUP(E3006,dicionario!$A$1:$C3405,2,0)</f>
        <v>#N/A</v>
      </c>
      <c r="H3006" s="6" t="str">
        <f>VLOOKUP(E3006,dicionario!$A$1:$C3405,3,0)</f>
        <v>#N/A</v>
      </c>
    </row>
    <row r="3007">
      <c r="A3007" s="3">
        <v>45624.0</v>
      </c>
      <c r="B3007" s="4">
        <v>0.36527777777777776</v>
      </c>
      <c r="C3007" s="5" t="s">
        <v>33</v>
      </c>
      <c r="D3007" s="5" t="s">
        <v>840</v>
      </c>
      <c r="E3007" s="8" t="s">
        <v>41</v>
      </c>
      <c r="F3007" s="5" t="s">
        <v>45</v>
      </c>
      <c r="G3007" s="6" t="str">
        <f>VLOOKUP(E3007,dicionario!$A$1:$C3406,2,0)</f>
        <v>Mimosa pudica</v>
      </c>
      <c r="H3007" s="6" t="str">
        <f>VLOOKUP(E3007,dicionario!$A$1:$C3406,3,0)</f>
        <v>dormideira</v>
      </c>
    </row>
    <row r="3008">
      <c r="A3008" s="3">
        <v>45624.0</v>
      </c>
      <c r="B3008" s="4">
        <v>0.36527777777777776</v>
      </c>
      <c r="C3008" s="5" t="s">
        <v>33</v>
      </c>
      <c r="D3008" s="5" t="s">
        <v>840</v>
      </c>
      <c r="E3008" s="6" t="s">
        <v>296</v>
      </c>
      <c r="F3008" s="5" t="s">
        <v>297</v>
      </c>
      <c r="G3008" s="6" t="str">
        <f>VLOOKUP(E3008,dicionario!$A$1:$C3407,2,0)</f>
        <v>Richardia brasiliensis</v>
      </c>
      <c r="H3008" s="6" t="str">
        <f>VLOOKUP(E3008,dicionario!$A$1:$C3407,3,0)</f>
        <v>poaia-branca</v>
      </c>
    </row>
    <row r="3009">
      <c r="A3009" s="3">
        <v>45624.0</v>
      </c>
      <c r="B3009" s="4">
        <v>0.36527777777777776</v>
      </c>
      <c r="C3009" s="5" t="s">
        <v>904</v>
      </c>
      <c r="D3009" s="5" t="s">
        <v>840</v>
      </c>
      <c r="E3009" s="12" t="s">
        <v>152</v>
      </c>
      <c r="F3009" s="5" t="s">
        <v>153</v>
      </c>
      <c r="G3009" s="6" t="str">
        <f>VLOOKUP(E3009,dicionario!$A$1:$C3408,2,0)</f>
        <v>Cynodon dactylon</v>
      </c>
      <c r="H3009" s="6" t="str">
        <f>VLOOKUP(E3009,dicionario!$A$1:$C3408,3,0)</f>
        <v>grama-bermuda</v>
      </c>
    </row>
    <row r="3010">
      <c r="A3010" s="3">
        <v>45624.0</v>
      </c>
      <c r="B3010" s="4">
        <v>0.3659722222222222</v>
      </c>
      <c r="C3010" s="5" t="s">
        <v>905</v>
      </c>
      <c r="D3010" s="5" t="s">
        <v>840</v>
      </c>
      <c r="E3010" s="6" t="s">
        <v>60</v>
      </c>
      <c r="F3010" s="5" t="s">
        <v>61</v>
      </c>
      <c r="G3010" s="6" t="str">
        <f>VLOOKUP(E3010,dicionario!$A$1:$C3409,2,0)</f>
        <v>Vanellus chilensis</v>
      </c>
      <c r="H3010" s="6" t="str">
        <f>VLOOKUP(E3010,dicionario!$A$1:$C3409,3,0)</f>
        <v>quero-quero</v>
      </c>
    </row>
    <row r="3011">
      <c r="A3011" s="3">
        <v>45624.0</v>
      </c>
      <c r="B3011" s="4">
        <v>0.3659722222222222</v>
      </c>
      <c r="C3011" s="5" t="s">
        <v>905</v>
      </c>
      <c r="D3011" s="5" t="s">
        <v>840</v>
      </c>
      <c r="E3011" s="6" t="s">
        <v>65</v>
      </c>
      <c r="F3011" s="5" t="s">
        <v>66</v>
      </c>
      <c r="G3011" s="6" t="str">
        <f>VLOOKUP(E3011,dicionario!$A$1:$C3410,2,0)</f>
        <v>Pitangus sulphutarus</v>
      </c>
      <c r="H3011" s="6" t="str">
        <f>VLOOKUP(E3011,dicionario!$A$1:$C3410,3,0)</f>
        <v>bem-te-vi</v>
      </c>
    </row>
    <row r="3012">
      <c r="A3012" s="3">
        <v>45624.0</v>
      </c>
      <c r="B3012" s="4">
        <v>0.3659722222222222</v>
      </c>
      <c r="C3012" s="5" t="s">
        <v>905</v>
      </c>
      <c r="D3012" s="5" t="s">
        <v>840</v>
      </c>
      <c r="E3012" s="6" t="s">
        <v>227</v>
      </c>
      <c r="F3012" s="5" t="s">
        <v>228</v>
      </c>
      <c r="G3012" s="6" t="str">
        <f>VLOOKUP(E3012,dicionario!$A$1:$C3411,2,0)</f>
        <v>Indigofera hirsuta</v>
      </c>
      <c r="H3012" s="6" t="str">
        <f>VLOOKUP(E3012,dicionario!$A$1:$C3411,3,0)</f>
        <v>anileira</v>
      </c>
    </row>
    <row r="3013">
      <c r="A3013" s="3">
        <v>45624.0</v>
      </c>
      <c r="B3013" s="4">
        <v>0.3659722222222222</v>
      </c>
      <c r="C3013" s="5" t="s">
        <v>905</v>
      </c>
      <c r="D3013" s="5" t="s">
        <v>840</v>
      </c>
      <c r="E3013" s="6" t="s">
        <v>144</v>
      </c>
      <c r="F3013" s="5" t="s">
        <v>145</v>
      </c>
      <c r="G3013" s="6" t="str">
        <f>VLOOKUP(E3013,dicionario!$A$1:$C3412,2,0)</f>
        <v>Gomphrena globosa</v>
      </c>
      <c r="H3013" s="6" t="str">
        <f>VLOOKUP(E3013,dicionario!$A$1:$C3412,3,0)</f>
        <v>perpétua-rosa</v>
      </c>
    </row>
    <row r="3014">
      <c r="A3014" s="3">
        <v>45624.0</v>
      </c>
      <c r="B3014" s="4">
        <v>0.3659722222222222</v>
      </c>
      <c r="C3014" s="5" t="s">
        <v>905</v>
      </c>
      <c r="D3014" s="5" t="s">
        <v>840</v>
      </c>
      <c r="E3014" s="6" t="s">
        <v>239</v>
      </c>
      <c r="F3014" s="5" t="s">
        <v>240</v>
      </c>
      <c r="G3014" s="6" t="str">
        <f>VLOOKUP(E3014,dicionario!$A$1:$C3413,2,0)</f>
        <v>Gomphrena celosioides</v>
      </c>
      <c r="H3014" s="6" t="str">
        <f>VLOOKUP(E3014,dicionario!$A$1:$C3413,3,0)</f>
        <v>perpétua-branca</v>
      </c>
    </row>
    <row r="3015">
      <c r="A3015" s="3">
        <v>45624.0</v>
      </c>
      <c r="B3015" s="4">
        <v>0.3659722222222222</v>
      </c>
      <c r="C3015" s="5" t="s">
        <v>905</v>
      </c>
      <c r="D3015" s="5" t="s">
        <v>840</v>
      </c>
      <c r="E3015" s="6" t="s">
        <v>88</v>
      </c>
      <c r="F3015" s="5" t="s">
        <v>89</v>
      </c>
      <c r="G3015" s="6" t="str">
        <f>VLOOKUP(E3015,dicionario!$A$1:$C3414,2,0)</f>
        <v>Tyrannus melancolichus</v>
      </c>
      <c r="H3015" s="6" t="str">
        <f>VLOOKUP(E3015,dicionario!$A$1:$C3414,3,0)</f>
        <v>suiriri</v>
      </c>
    </row>
    <row r="3016">
      <c r="A3016" s="3">
        <v>45624.0</v>
      </c>
      <c r="B3016" s="4">
        <v>0.36666666666666664</v>
      </c>
      <c r="C3016" s="5" t="s">
        <v>905</v>
      </c>
      <c r="D3016" s="5" t="s">
        <v>840</v>
      </c>
      <c r="E3016" s="12" t="s">
        <v>152</v>
      </c>
      <c r="F3016" s="5" t="s">
        <v>153</v>
      </c>
      <c r="G3016" s="6" t="str">
        <f>VLOOKUP(E3016,dicionario!$A$1:$C3415,2,0)</f>
        <v>Cynodon dactylon</v>
      </c>
      <c r="H3016" s="6" t="str">
        <f>VLOOKUP(E3016,dicionario!$A$1:$C3415,3,0)</f>
        <v>grama-bermuda</v>
      </c>
    </row>
    <row r="3017">
      <c r="A3017" s="3">
        <v>45624.0</v>
      </c>
      <c r="B3017" s="4">
        <v>0.36666666666666664</v>
      </c>
      <c r="C3017" s="5" t="s">
        <v>905</v>
      </c>
      <c r="D3017" s="5" t="s">
        <v>840</v>
      </c>
      <c r="E3017" s="6" t="s">
        <v>162</v>
      </c>
      <c r="F3017" s="7" t="s">
        <v>42</v>
      </c>
      <c r="G3017" s="6" t="str">
        <f>VLOOKUP(E3017,dicionario!$A$1:$C3416,2,0)</f>
        <v>Fluvicola nengeta</v>
      </c>
      <c r="H3017" s="6" t="str">
        <f>VLOOKUP(E3017,dicionario!$A$1:$C3416,3,0)</f>
        <v>lavadeira-mascarada</v>
      </c>
    </row>
    <row r="3018">
      <c r="A3018" s="3">
        <v>45624.0</v>
      </c>
      <c r="B3018" s="4">
        <v>0.36666666666666664</v>
      </c>
      <c r="C3018" s="5" t="s">
        <v>905</v>
      </c>
      <c r="D3018" s="5" t="s">
        <v>840</v>
      </c>
      <c r="E3018" s="6" t="s">
        <v>286</v>
      </c>
      <c r="F3018" s="5" t="s">
        <v>287</v>
      </c>
      <c r="G3018" s="6" t="str">
        <f>VLOOKUP(E3018,dicionario!$A$1:$C3417,2,0)</f>
        <v>Setaria parviflora</v>
      </c>
      <c r="H3018" s="6" t="str">
        <f>VLOOKUP(E3018,dicionario!$A$1:$C3417,3,0)</f>
        <v>capim-rabo-de-raposa</v>
      </c>
    </row>
    <row r="3019">
      <c r="A3019" s="3">
        <v>45624.0</v>
      </c>
      <c r="B3019" s="4">
        <v>0.36666666666666664</v>
      </c>
      <c r="C3019" s="5" t="s">
        <v>905</v>
      </c>
      <c r="D3019" s="5" t="s">
        <v>840</v>
      </c>
      <c r="E3019" s="6" t="s">
        <v>498</v>
      </c>
      <c r="F3019" s="5" t="s">
        <v>899</v>
      </c>
      <c r="G3019" s="6" t="str">
        <f>VLOOKUP(E3019,dicionario!$A$1:$C3418,2,0)</f>
        <v>Brachiaria decumbens</v>
      </c>
      <c r="H3019" s="6" t="str">
        <f>VLOOKUP(E3019,dicionario!$A$1:$C3418,3,0)</f>
        <v>capim-braquiária</v>
      </c>
    </row>
    <row r="3020">
      <c r="A3020" s="3">
        <v>45624.0</v>
      </c>
      <c r="B3020" s="4">
        <v>0.36666666666666664</v>
      </c>
      <c r="C3020" s="5" t="s">
        <v>905</v>
      </c>
      <c r="D3020" s="5" t="s">
        <v>840</v>
      </c>
      <c r="E3020" s="6" t="s">
        <v>243</v>
      </c>
      <c r="F3020" s="5" t="s">
        <v>244</v>
      </c>
      <c r="G3020" s="6" t="str">
        <f>VLOOKUP(E3020,dicionario!$A$1:$C3419,2,0)</f>
        <v>Macroptilium atropurpureum</v>
      </c>
      <c r="H3020" s="6" t="str">
        <f>VLOOKUP(E3020,dicionario!$A$1:$C3419,3,0)</f>
        <v>feijão-de-pombo</v>
      </c>
    </row>
    <row r="3021">
      <c r="A3021" s="3">
        <v>45624.0</v>
      </c>
      <c r="B3021" s="4">
        <v>0.36666666666666664</v>
      </c>
      <c r="C3021" s="5" t="s">
        <v>905</v>
      </c>
      <c r="D3021" s="5" t="s">
        <v>840</v>
      </c>
      <c r="E3021" s="6" t="s">
        <v>353</v>
      </c>
      <c r="F3021" s="5" t="s">
        <v>354</v>
      </c>
      <c r="G3021" s="6" t="str">
        <f>VLOOKUP(E3021,dicionario!$A$1:$C3420,2,0)</f>
        <v>Desmodium incanum</v>
      </c>
      <c r="H3021" s="6" t="str">
        <f>VLOOKUP(E3021,dicionario!$A$1:$C3420,3,0)</f>
        <v>pega-pega</v>
      </c>
    </row>
    <row r="3022">
      <c r="A3022" s="3">
        <v>45624.0</v>
      </c>
      <c r="B3022" s="4">
        <v>0.36666666666666664</v>
      </c>
      <c r="C3022" s="5" t="s">
        <v>905</v>
      </c>
      <c r="D3022" s="5" t="s">
        <v>840</v>
      </c>
      <c r="E3022" s="8" t="s">
        <v>41</v>
      </c>
      <c r="F3022" s="5" t="s">
        <v>45</v>
      </c>
      <c r="G3022" s="6" t="str">
        <f>VLOOKUP(E3022,dicionario!$A$1:$C3421,2,0)</f>
        <v>Mimosa pudica</v>
      </c>
      <c r="H3022" s="6" t="str">
        <f>VLOOKUP(E3022,dicionario!$A$1:$C3421,3,0)</f>
        <v>dormideira</v>
      </c>
    </row>
    <row r="3023">
      <c r="A3023" s="3">
        <v>45624.0</v>
      </c>
      <c r="B3023" s="4">
        <v>0.36736111111111114</v>
      </c>
      <c r="C3023" s="5" t="s">
        <v>905</v>
      </c>
      <c r="D3023" s="5" t="s">
        <v>840</v>
      </c>
      <c r="E3023" s="6" t="s">
        <v>450</v>
      </c>
      <c r="F3023" s="5" t="s">
        <v>451</v>
      </c>
      <c r="G3023" s="6" t="str">
        <f>VLOOKUP(E3023,dicionario!$A$1:$C3422,2,0)</f>
        <v>#N/A</v>
      </c>
      <c r="H3023" s="6" t="str">
        <f>VLOOKUP(E3023,dicionario!$A$1:$C3422,3,0)</f>
        <v>#N/A</v>
      </c>
    </row>
    <row r="3024">
      <c r="A3024" s="3">
        <v>45624.0</v>
      </c>
      <c r="B3024" s="4">
        <v>0.36736111111111114</v>
      </c>
      <c r="C3024" s="5" t="s">
        <v>905</v>
      </c>
      <c r="D3024" s="5" t="s">
        <v>840</v>
      </c>
      <c r="E3024" s="6" t="s">
        <v>113</v>
      </c>
      <c r="F3024" s="5" t="s">
        <v>114</v>
      </c>
      <c r="G3024" s="6" t="str">
        <f>VLOOKUP(E3024,dicionario!$A$1:$C3423,2,0)</f>
        <v>Columbina talpacoti</v>
      </c>
      <c r="H3024" s="6" t="str">
        <f>VLOOKUP(E3024,dicionario!$A$1:$C3423,3,0)</f>
        <v>rolinha-roxa</v>
      </c>
    </row>
    <row r="3025">
      <c r="A3025" s="3">
        <v>45624.0</v>
      </c>
      <c r="B3025" s="4">
        <v>0.36736111111111114</v>
      </c>
      <c r="C3025" s="5" t="s">
        <v>905</v>
      </c>
      <c r="D3025" s="5" t="s">
        <v>840</v>
      </c>
      <c r="E3025" s="6" t="s">
        <v>181</v>
      </c>
      <c r="F3025" s="5" t="s">
        <v>182</v>
      </c>
      <c r="G3025" s="6" t="str">
        <f>VLOOKUP(E3025,dicionario!$A$1:$C3424,2,0)</f>
        <v>#N/A</v>
      </c>
      <c r="H3025" s="6" t="str">
        <f>VLOOKUP(E3025,dicionario!$A$1:$C3424,3,0)</f>
        <v>#N/A</v>
      </c>
    </row>
    <row r="3026">
      <c r="A3026" s="3">
        <v>45624.0</v>
      </c>
      <c r="B3026" s="4">
        <v>0.36944444444444446</v>
      </c>
      <c r="C3026" s="5" t="s">
        <v>905</v>
      </c>
      <c r="D3026" s="5" t="s">
        <v>840</v>
      </c>
      <c r="E3026" s="6" t="s">
        <v>171</v>
      </c>
      <c r="F3026" s="5" t="s">
        <v>172</v>
      </c>
      <c r="G3026" s="6" t="str">
        <f>VLOOKUP(E3026,dicionario!$A$1:$C3425,2,0)</f>
        <v>Oxalis corniculata</v>
      </c>
      <c r="H3026" s="6" t="str">
        <f>VLOOKUP(E3026,dicionario!$A$1:$C3425,3,0)</f>
        <v>trevo-azedinho</v>
      </c>
    </row>
    <row r="3027">
      <c r="A3027" s="3">
        <v>45624.0</v>
      </c>
      <c r="B3027" s="4">
        <v>0.36944444444444446</v>
      </c>
      <c r="C3027" s="5" t="s">
        <v>905</v>
      </c>
      <c r="D3027" s="5" t="s">
        <v>840</v>
      </c>
      <c r="E3027" s="20" t="s">
        <v>676</v>
      </c>
      <c r="F3027" s="7" t="s">
        <v>677</v>
      </c>
      <c r="G3027" s="6" t="str">
        <f>VLOOKUP(E3027,dicionario!$A$1:$C3426,2,0)</f>
        <v>Zornia latifolia</v>
      </c>
      <c r="H3027" s="6" t="str">
        <f>VLOOKUP(E3027,dicionario!$A$1:$C3426,3,0)</f>
        <v>arrozinho-do-campo</v>
      </c>
    </row>
    <row r="3028">
      <c r="A3028" s="3">
        <v>45624.0</v>
      </c>
      <c r="B3028" s="4">
        <v>0.3715277777777778</v>
      </c>
      <c r="C3028" s="5" t="s">
        <v>905</v>
      </c>
      <c r="D3028" s="5" t="s">
        <v>840</v>
      </c>
      <c r="E3028" s="6" t="s">
        <v>83</v>
      </c>
      <c r="F3028" s="5" t="s">
        <v>84</v>
      </c>
      <c r="G3028" s="6" t="str">
        <f>VLOOKUP(E3028,dicionario!$A$1:$C3427,2,0)</f>
        <v>Anartia jatrophae</v>
      </c>
      <c r="H3028" s="6" t="str">
        <f>VLOOKUP(E3028,dicionario!$A$1:$C3427,3,0)</f>
        <v>borboleta-pavão-branco</v>
      </c>
    </row>
    <row r="3029">
      <c r="A3029" s="3">
        <v>45624.0</v>
      </c>
      <c r="B3029" s="4">
        <v>0.3715277777777778</v>
      </c>
      <c r="C3029" s="5" t="s">
        <v>905</v>
      </c>
      <c r="D3029" s="5" t="s">
        <v>840</v>
      </c>
      <c r="E3029" s="6" t="s">
        <v>249</v>
      </c>
      <c r="F3029" s="5" t="s">
        <v>250</v>
      </c>
      <c r="G3029" s="6" t="str">
        <f>VLOOKUP(E3029,dicionario!$A$1:$C3428,2,0)</f>
        <v>Araneidae</v>
      </c>
      <c r="H3029" s="6" t="str">
        <f>VLOOKUP(E3029,dicionario!$A$1:$C3428,3,0)</f>
        <v>aranha-orbitelar</v>
      </c>
    </row>
    <row r="3030">
      <c r="A3030" s="3">
        <v>45624.0</v>
      </c>
      <c r="B3030" s="4">
        <v>0.3729166666666667</v>
      </c>
      <c r="C3030" s="5" t="s">
        <v>906</v>
      </c>
      <c r="D3030" s="5" t="s">
        <v>840</v>
      </c>
      <c r="E3030" s="6" t="s">
        <v>353</v>
      </c>
      <c r="F3030" s="5" t="s">
        <v>354</v>
      </c>
      <c r="G3030" s="6" t="str">
        <f>VLOOKUP(E3030,dicionario!$A$1:$C3429,2,0)</f>
        <v>Desmodium incanum</v>
      </c>
      <c r="H3030" s="6" t="str">
        <f>VLOOKUP(E3030,dicionario!$A$1:$C3429,3,0)</f>
        <v>pega-pega</v>
      </c>
    </row>
    <row r="3031">
      <c r="A3031" s="3">
        <v>45624.0</v>
      </c>
      <c r="B3031" s="4">
        <v>0.3729166666666667</v>
      </c>
      <c r="C3031" s="5" t="s">
        <v>906</v>
      </c>
      <c r="D3031" s="5" t="s">
        <v>840</v>
      </c>
      <c r="E3031" s="6" t="s">
        <v>227</v>
      </c>
      <c r="F3031" s="5" t="s">
        <v>228</v>
      </c>
      <c r="G3031" s="6" t="str">
        <f>VLOOKUP(E3031,dicionario!$A$1:$C3430,2,0)</f>
        <v>Indigofera hirsuta</v>
      </c>
      <c r="H3031" s="6" t="str">
        <f>VLOOKUP(E3031,dicionario!$A$1:$C3430,3,0)</f>
        <v>anileira</v>
      </c>
    </row>
    <row r="3032">
      <c r="A3032" s="3">
        <v>45624.0</v>
      </c>
      <c r="B3032" s="4">
        <v>0.3729166666666667</v>
      </c>
      <c r="C3032" s="5" t="s">
        <v>906</v>
      </c>
      <c r="D3032" s="5" t="s">
        <v>840</v>
      </c>
      <c r="E3032" s="6" t="s">
        <v>20</v>
      </c>
      <c r="F3032" s="7" t="s">
        <v>21</v>
      </c>
      <c r="G3032" s="6" t="str">
        <f>VLOOKUP(E3032,dicionario!$A$1:$C3431,2,0)</f>
        <v>Sicalis flaveola</v>
      </c>
      <c r="H3032" s="6" t="str">
        <f>VLOOKUP(E3032,dicionario!$A$1:$C3431,3,0)</f>
        <v>canário-da-terra</v>
      </c>
    </row>
    <row r="3033">
      <c r="A3033" s="3">
        <v>45624.0</v>
      </c>
      <c r="B3033" s="4">
        <v>0.3729166666666667</v>
      </c>
      <c r="C3033" s="5" t="s">
        <v>906</v>
      </c>
      <c r="D3033" s="5" t="s">
        <v>840</v>
      </c>
      <c r="E3033" s="6" t="s">
        <v>105</v>
      </c>
      <c r="F3033" s="5" t="s">
        <v>106</v>
      </c>
      <c r="G3033" s="6" t="str">
        <f>VLOOKUP(E3033,dicionario!$A$1:$C3432,2,0)</f>
        <v>Progne tapera</v>
      </c>
      <c r="H3033" s="6" t="str">
        <f>VLOOKUP(E3033,dicionario!$A$1:$C3432,3,0)</f>
        <v>andorinha-do-campo</v>
      </c>
    </row>
    <row r="3034">
      <c r="A3034" s="3">
        <v>45624.0</v>
      </c>
      <c r="B3034" s="4">
        <v>0.3729166666666667</v>
      </c>
      <c r="C3034" s="5" t="s">
        <v>906</v>
      </c>
      <c r="D3034" s="5" t="s">
        <v>840</v>
      </c>
      <c r="E3034" s="8" t="s">
        <v>107</v>
      </c>
      <c r="F3034" s="5" t="s">
        <v>108</v>
      </c>
      <c r="G3034" s="6" t="str">
        <f>VLOOKUP(E3034,dicionario!$A$1:$C3433,2,0)</f>
        <v>Ramalina complanata</v>
      </c>
      <c r="H3034" s="6" t="str">
        <f>VLOOKUP(E3034,dicionario!$A$1:$C3433,3,0)</f>
        <v>ramalina</v>
      </c>
    </row>
    <row r="3035">
      <c r="A3035" s="3">
        <v>45624.0</v>
      </c>
      <c r="B3035" s="4">
        <v>0.3729166666666667</v>
      </c>
      <c r="C3035" s="5" t="s">
        <v>906</v>
      </c>
      <c r="D3035" s="5" t="s">
        <v>840</v>
      </c>
      <c r="E3035" s="6" t="s">
        <v>109</v>
      </c>
      <c r="F3035" s="5" t="s">
        <v>110</v>
      </c>
      <c r="G3035" s="6" t="str">
        <f>VLOOKUP(E3035,dicionario!$A$1:$C3434,2,0)</f>
        <v>Tillandsia stricta</v>
      </c>
      <c r="H3035" s="6" t="str">
        <f>VLOOKUP(E3035,dicionario!$A$1:$C3434,3,0)</f>
        <v>cravo-do-mato</v>
      </c>
    </row>
    <row r="3036">
      <c r="A3036" s="3">
        <v>45624.0</v>
      </c>
      <c r="B3036" s="4">
        <v>0.3729166666666667</v>
      </c>
      <c r="C3036" s="5" t="s">
        <v>906</v>
      </c>
      <c r="D3036" s="5" t="s">
        <v>840</v>
      </c>
      <c r="E3036" s="6" t="s">
        <v>65</v>
      </c>
      <c r="F3036" s="5" t="s">
        <v>66</v>
      </c>
      <c r="G3036" s="6" t="str">
        <f>VLOOKUP(E3036,dicionario!$A$1:$C3435,2,0)</f>
        <v>Pitangus sulphutarus</v>
      </c>
      <c r="H3036" s="6" t="str">
        <f>VLOOKUP(E3036,dicionario!$A$1:$C3435,3,0)</f>
        <v>bem-te-vi</v>
      </c>
    </row>
    <row r="3037">
      <c r="A3037" s="3">
        <v>45624.0</v>
      </c>
      <c r="B3037" s="4">
        <v>0.3736111111111111</v>
      </c>
      <c r="C3037" s="5" t="s">
        <v>906</v>
      </c>
      <c r="D3037" s="5" t="s">
        <v>840</v>
      </c>
      <c r="E3037" s="9" t="s">
        <v>22</v>
      </c>
      <c r="F3037" s="5" t="s">
        <v>902</v>
      </c>
      <c r="G3037" s="6" t="str">
        <f>VLOOKUP(E3037,dicionario!$A$1:$C3436,2,0)</f>
        <v>Zenaida auriculata</v>
      </c>
      <c r="H3037" s="6" t="str">
        <f>VLOOKUP(E3037,dicionario!$A$1:$C3436,3,0)</f>
        <v>pomba-de-bando; avoante</v>
      </c>
    </row>
    <row r="3038">
      <c r="A3038" s="3">
        <v>45624.0</v>
      </c>
      <c r="B3038" s="4">
        <v>0.3736111111111111</v>
      </c>
      <c r="C3038" s="5" t="s">
        <v>906</v>
      </c>
      <c r="D3038" s="5" t="s">
        <v>840</v>
      </c>
      <c r="E3038" s="6" t="s">
        <v>200</v>
      </c>
      <c r="F3038" s="5" t="s">
        <v>201</v>
      </c>
      <c r="G3038" s="6" t="str">
        <f>VLOOKUP(E3038,dicionario!$A$1:$C3437,2,0)</f>
        <v>Columbina picui </v>
      </c>
      <c r="H3038" s="6" t="str">
        <f>VLOOKUP(E3038,dicionario!$A$1:$C3437,3,0)</f>
        <v>rolinha-picuí</v>
      </c>
    </row>
    <row r="3039">
      <c r="A3039" s="3">
        <v>45624.0</v>
      </c>
      <c r="B3039" s="4">
        <v>0.3736111111111111</v>
      </c>
      <c r="C3039" s="5" t="s">
        <v>906</v>
      </c>
      <c r="D3039" s="5" t="s">
        <v>840</v>
      </c>
      <c r="E3039" s="6" t="s">
        <v>99</v>
      </c>
      <c r="F3039" s="5" t="s">
        <v>508</v>
      </c>
      <c r="G3039" s="6" t="str">
        <f>VLOOKUP(E3039,dicionario!$A$1:$C3438,2,0)</f>
        <v>Molothrus bonariensis</v>
      </c>
      <c r="H3039" s="6" t="str">
        <f>VLOOKUP(E3039,dicionario!$A$1:$C3438,3,0)</f>
        <v>chupim</v>
      </c>
    </row>
    <row r="3040">
      <c r="A3040" s="3">
        <v>45624.0</v>
      </c>
      <c r="B3040" s="4">
        <v>0.375</v>
      </c>
      <c r="C3040" s="5" t="s">
        <v>906</v>
      </c>
      <c r="D3040" s="5" t="s">
        <v>840</v>
      </c>
      <c r="E3040" s="8" t="s">
        <v>223</v>
      </c>
      <c r="F3040" s="5" t="s">
        <v>224</v>
      </c>
      <c r="G3040" s="6" t="str">
        <f>VLOOKUP(E3040,dicionario!$A$1:$C3439,2,0)</f>
        <v>Rhipsalis lindbergiana</v>
      </c>
      <c r="H3040" s="6" t="str">
        <f>VLOOKUP(E3040,dicionario!$A$1:$C3439,3,0)</f>
        <v>cacto-macarrão</v>
      </c>
    </row>
    <row r="3041">
      <c r="A3041" s="3">
        <v>45624.0</v>
      </c>
      <c r="B3041" s="4">
        <v>0.375</v>
      </c>
      <c r="C3041" s="5" t="s">
        <v>906</v>
      </c>
      <c r="D3041" s="5" t="s">
        <v>840</v>
      </c>
      <c r="E3041" s="8" t="s">
        <v>143</v>
      </c>
      <c r="F3041" s="5" t="s">
        <v>63</v>
      </c>
      <c r="G3041" s="6" t="str">
        <f>VLOOKUP(E3041,dicionario!$A$1:$C3440,2,0)</f>
        <v>Polybia</v>
      </c>
      <c r="H3041" s="6" t="str">
        <f>VLOOKUP(E3041,dicionario!$A$1:$C3440,3,0)</f>
        <v>vespa</v>
      </c>
    </row>
    <row r="3042">
      <c r="A3042" s="3">
        <v>45624.0</v>
      </c>
      <c r="B3042" s="4">
        <v>0.375</v>
      </c>
      <c r="C3042" s="5" t="s">
        <v>906</v>
      </c>
      <c r="D3042" s="5" t="s">
        <v>840</v>
      </c>
      <c r="E3042" s="6" t="s">
        <v>113</v>
      </c>
      <c r="F3042" s="5" t="s">
        <v>114</v>
      </c>
      <c r="G3042" s="6" t="str">
        <f>VLOOKUP(E3042,dicionario!$A$1:$C3441,2,0)</f>
        <v>Columbina talpacoti</v>
      </c>
      <c r="H3042" s="6" t="str">
        <f>VLOOKUP(E3042,dicionario!$A$1:$C3441,3,0)</f>
        <v>rolinha-roxa</v>
      </c>
    </row>
    <row r="3043">
      <c r="A3043" s="3">
        <v>45624.0</v>
      </c>
      <c r="B3043" s="4">
        <v>0.37569444444444444</v>
      </c>
      <c r="C3043" s="5" t="s">
        <v>906</v>
      </c>
      <c r="D3043" s="5" t="s">
        <v>840</v>
      </c>
      <c r="E3043" s="6" t="s">
        <v>181</v>
      </c>
      <c r="F3043" s="5" t="s">
        <v>182</v>
      </c>
      <c r="G3043" s="6" t="str">
        <f>VLOOKUP(E3043,dicionario!$A$1:$C3442,2,0)</f>
        <v>#N/A</v>
      </c>
      <c r="H3043" s="6" t="str">
        <f>VLOOKUP(E3043,dicionario!$A$1:$C3442,3,0)</f>
        <v>#N/A</v>
      </c>
    </row>
    <row r="3044">
      <c r="A3044" s="3">
        <v>45624.0</v>
      </c>
      <c r="B3044" s="4">
        <v>0.3763888888888889</v>
      </c>
      <c r="C3044" s="5" t="s">
        <v>906</v>
      </c>
      <c r="D3044" s="5" t="s">
        <v>840</v>
      </c>
      <c r="E3044" s="6" t="s">
        <v>109</v>
      </c>
      <c r="F3044" s="5" t="s">
        <v>110</v>
      </c>
      <c r="G3044" s="6" t="str">
        <f>VLOOKUP(E3044,dicionario!$A$1:$C3443,2,0)</f>
        <v>Tillandsia stricta</v>
      </c>
      <c r="H3044" s="6" t="str">
        <f>VLOOKUP(E3044,dicionario!$A$1:$C3443,3,0)</f>
        <v>cravo-do-mato</v>
      </c>
    </row>
    <row r="3045">
      <c r="A3045" s="3">
        <v>45624.0</v>
      </c>
      <c r="B3045" s="4">
        <v>0.37777777777777777</v>
      </c>
      <c r="C3045" s="5" t="s">
        <v>906</v>
      </c>
      <c r="D3045" s="5" t="s">
        <v>840</v>
      </c>
      <c r="E3045" s="6" t="s">
        <v>88</v>
      </c>
      <c r="F3045" s="5" t="s">
        <v>89</v>
      </c>
      <c r="G3045" s="6" t="str">
        <f>VLOOKUP(E3045,dicionario!$A$1:$C3444,2,0)</f>
        <v>Tyrannus melancolichus</v>
      </c>
      <c r="H3045" s="6" t="str">
        <f>VLOOKUP(E3045,dicionario!$A$1:$C3444,3,0)</f>
        <v>suiriri</v>
      </c>
    </row>
    <row r="3046">
      <c r="A3046" s="3">
        <v>45631.0</v>
      </c>
      <c r="B3046" s="4">
        <v>0.2534722222222222</v>
      </c>
      <c r="C3046" s="19" t="s">
        <v>8</v>
      </c>
      <c r="D3046" s="5" t="s">
        <v>907</v>
      </c>
      <c r="E3046" s="8" t="s">
        <v>41</v>
      </c>
      <c r="F3046" s="5" t="s">
        <v>45</v>
      </c>
      <c r="G3046" s="6" t="str">
        <f>VLOOKUP(E3046,dicionario!$A$1:$C3445,2,0)</f>
        <v>Mimosa pudica</v>
      </c>
      <c r="H3046" s="6" t="str">
        <f>VLOOKUP(E3046,dicionario!$A$1:$C3445,3,0)</f>
        <v>dormideira</v>
      </c>
    </row>
    <row r="3047">
      <c r="A3047" s="3">
        <v>45631.0</v>
      </c>
      <c r="B3047" s="4">
        <v>0.2534722222222222</v>
      </c>
      <c r="C3047" s="19" t="s">
        <v>8</v>
      </c>
      <c r="D3047" s="5" t="s">
        <v>907</v>
      </c>
      <c r="E3047" s="6" t="s">
        <v>353</v>
      </c>
      <c r="F3047" s="5" t="s">
        <v>354</v>
      </c>
      <c r="G3047" s="6" t="str">
        <f>VLOOKUP(E3047,dicionario!$A$1:$C3446,2,0)</f>
        <v>Desmodium incanum</v>
      </c>
      <c r="H3047" s="6" t="str">
        <f>VLOOKUP(E3047,dicionario!$A$1:$C3446,3,0)</f>
        <v>pega-pega</v>
      </c>
    </row>
    <row r="3048">
      <c r="A3048" s="3">
        <v>45631.0</v>
      </c>
      <c r="B3048" s="4">
        <v>0.2534722222222222</v>
      </c>
      <c r="C3048" s="19" t="s">
        <v>8</v>
      </c>
      <c r="D3048" s="5" t="s">
        <v>907</v>
      </c>
      <c r="E3048" s="6" t="s">
        <v>200</v>
      </c>
      <c r="F3048" s="5" t="s">
        <v>201</v>
      </c>
      <c r="G3048" s="6" t="str">
        <f>VLOOKUP(E3048,dicionario!$A$1:$C3447,2,0)</f>
        <v>Columbina picui </v>
      </c>
      <c r="H3048" s="6" t="str">
        <f>VLOOKUP(E3048,dicionario!$A$1:$C3447,3,0)</f>
        <v>rolinha-picuí</v>
      </c>
    </row>
    <row r="3049">
      <c r="A3049" s="3">
        <v>45631.0</v>
      </c>
      <c r="B3049" s="46">
        <v>0.25416666666666665</v>
      </c>
      <c r="C3049" s="19" t="s">
        <v>8</v>
      </c>
      <c r="D3049" s="5" t="s">
        <v>907</v>
      </c>
      <c r="E3049" s="6" t="s">
        <v>20</v>
      </c>
      <c r="F3049" s="7" t="s">
        <v>21</v>
      </c>
      <c r="G3049" s="6" t="str">
        <f>VLOOKUP(E3049,dicionario!$A$1:$C3448,2,0)</f>
        <v>Sicalis flaveola</v>
      </c>
      <c r="H3049" s="6" t="str">
        <f>VLOOKUP(E3049,dicionario!$A$1:$C3448,3,0)</f>
        <v>canário-da-terra</v>
      </c>
    </row>
    <row r="3050">
      <c r="A3050" s="3">
        <v>45631.0</v>
      </c>
      <c r="B3050" s="45">
        <v>0.25416666666666665</v>
      </c>
      <c r="C3050" s="19" t="s">
        <v>8</v>
      </c>
      <c r="D3050" s="5" t="s">
        <v>907</v>
      </c>
      <c r="E3050" s="6" t="s">
        <v>88</v>
      </c>
      <c r="F3050" s="5" t="s">
        <v>89</v>
      </c>
      <c r="G3050" s="6" t="str">
        <f>VLOOKUP(E3050,dicionario!$A$1:$C3449,2,0)</f>
        <v>Tyrannus melancolichus</v>
      </c>
      <c r="H3050" s="6" t="str">
        <f>VLOOKUP(E3050,dicionario!$A$1:$C3449,3,0)</f>
        <v>suiriri</v>
      </c>
    </row>
    <row r="3051">
      <c r="A3051" s="3">
        <v>45631.0</v>
      </c>
      <c r="B3051" s="45">
        <v>0.25416666666666665</v>
      </c>
      <c r="C3051" s="19" t="s">
        <v>8</v>
      </c>
      <c r="D3051" s="5" t="s">
        <v>907</v>
      </c>
      <c r="E3051" s="6" t="s">
        <v>65</v>
      </c>
      <c r="F3051" s="5" t="s">
        <v>66</v>
      </c>
      <c r="G3051" s="6" t="str">
        <f>VLOOKUP(E3051,dicionario!$A$1:$C3450,2,0)</f>
        <v>Pitangus sulphutarus</v>
      </c>
      <c r="H3051" s="6" t="str">
        <f>VLOOKUP(E3051,dicionario!$A$1:$C3450,3,0)</f>
        <v>bem-te-vi</v>
      </c>
    </row>
    <row r="3052">
      <c r="A3052" s="3">
        <v>45631.0</v>
      </c>
      <c r="B3052" s="45">
        <v>0.25416666666666665</v>
      </c>
      <c r="C3052" s="19" t="s">
        <v>8</v>
      </c>
      <c r="D3052" s="5" t="s">
        <v>907</v>
      </c>
      <c r="E3052" s="6" t="s">
        <v>109</v>
      </c>
      <c r="F3052" s="5" t="s">
        <v>110</v>
      </c>
      <c r="G3052" s="6" t="str">
        <f>VLOOKUP(E3052,dicionario!$A$1:$C3451,2,0)</f>
        <v>Tillandsia stricta</v>
      </c>
      <c r="H3052" s="6" t="str">
        <f>VLOOKUP(E3052,dicionario!$A$1:$C3451,3,0)</f>
        <v>cravo-do-mato</v>
      </c>
    </row>
    <row r="3053">
      <c r="A3053" s="3">
        <v>45631.0</v>
      </c>
      <c r="B3053" s="45">
        <v>0.25416666666666665</v>
      </c>
      <c r="C3053" s="19" t="s">
        <v>8</v>
      </c>
      <c r="D3053" s="5" t="s">
        <v>907</v>
      </c>
      <c r="E3053" s="6" t="s">
        <v>113</v>
      </c>
      <c r="F3053" s="5" t="s">
        <v>114</v>
      </c>
      <c r="G3053" s="6" t="str">
        <f>VLOOKUP(E3053,dicionario!$A$1:$C3452,2,0)</f>
        <v>Columbina talpacoti</v>
      </c>
      <c r="H3053" s="6" t="str">
        <f>VLOOKUP(E3053,dicionario!$A$1:$C3452,3,0)</f>
        <v>rolinha-roxa</v>
      </c>
    </row>
    <row r="3054">
      <c r="A3054" s="3">
        <v>45631.0</v>
      </c>
      <c r="B3054" s="45">
        <v>0.25416666666666665</v>
      </c>
      <c r="C3054" s="19" t="s">
        <v>8</v>
      </c>
      <c r="D3054" s="5" t="s">
        <v>907</v>
      </c>
      <c r="E3054" s="6" t="s">
        <v>154</v>
      </c>
      <c r="F3054" s="5" t="s">
        <v>155</v>
      </c>
      <c r="G3054" s="6" t="str">
        <f>VLOOKUP(E3054,dicionario!$A$1:$C3453,2,0)</f>
        <v>Cyperus rotundus</v>
      </c>
      <c r="H3054" s="6" t="str">
        <f>VLOOKUP(E3054,dicionario!$A$1:$C3453,3,0)</f>
        <v>tiririca</v>
      </c>
    </row>
    <row r="3055">
      <c r="A3055" s="3">
        <v>45631.0</v>
      </c>
      <c r="B3055" s="45">
        <v>0.25416666666666665</v>
      </c>
      <c r="C3055" s="19" t="s">
        <v>8</v>
      </c>
      <c r="D3055" s="5" t="s">
        <v>907</v>
      </c>
      <c r="E3055" s="6" t="s">
        <v>135</v>
      </c>
      <c r="F3055" s="5" t="s">
        <v>136</v>
      </c>
      <c r="G3055" s="6" t="str">
        <f>VLOOKUP(E3055,dicionario!$A$1:$C3454,2,0)</f>
        <v>Tridax procumbens</v>
      </c>
      <c r="H3055" s="6" t="str">
        <f>VLOOKUP(E3055,dicionario!$A$1:$C3454,3,0)</f>
        <v>erva-de-touro</v>
      </c>
    </row>
    <row r="3056">
      <c r="A3056" s="3">
        <v>45631.0</v>
      </c>
      <c r="B3056" s="45">
        <v>0.25416666666666665</v>
      </c>
      <c r="C3056" s="19" t="s">
        <v>8</v>
      </c>
      <c r="D3056" s="5" t="s">
        <v>907</v>
      </c>
      <c r="E3056" s="6" t="s">
        <v>286</v>
      </c>
      <c r="F3056" s="5" t="s">
        <v>287</v>
      </c>
      <c r="G3056" s="6" t="str">
        <f>VLOOKUP(E3056,dicionario!$A$1:$C3455,2,0)</f>
        <v>Setaria parviflora</v>
      </c>
      <c r="H3056" s="6" t="str">
        <f>VLOOKUP(E3056,dicionario!$A$1:$C3455,3,0)</f>
        <v>capim-rabo-de-raposa</v>
      </c>
    </row>
    <row r="3057">
      <c r="A3057" s="3">
        <v>45631.0</v>
      </c>
      <c r="B3057" s="45">
        <v>0.25416666666666665</v>
      </c>
      <c r="C3057" s="19" t="s">
        <v>8</v>
      </c>
      <c r="D3057" s="5" t="s">
        <v>907</v>
      </c>
      <c r="E3057" s="6" t="s">
        <v>467</v>
      </c>
      <c r="F3057" s="5" t="s">
        <v>468</v>
      </c>
      <c r="G3057" s="6" t="str">
        <f>VLOOKUP(E3057,dicionario!$A$1:$C3456,2,0)</f>
        <v>Eleusine indica</v>
      </c>
      <c r="H3057" s="6" t="str">
        <f>VLOOKUP(E3057,dicionario!$A$1:$C3456,3,0)</f>
        <v>capim-pé-de-galinha</v>
      </c>
    </row>
    <row r="3058">
      <c r="A3058" s="3">
        <v>45631.0</v>
      </c>
      <c r="B3058" s="45">
        <v>0.25416666666666665</v>
      </c>
      <c r="C3058" s="19" t="s">
        <v>8</v>
      </c>
      <c r="D3058" s="5" t="s">
        <v>907</v>
      </c>
      <c r="E3058" s="6" t="s">
        <v>247</v>
      </c>
      <c r="F3058" s="5" t="s">
        <v>387</v>
      </c>
      <c r="G3058" s="6" t="str">
        <f>VLOOKUP(E3058,dicionario!$A$1:$C3457,2,0)</f>
        <v>Emilia sonchifolia</v>
      </c>
      <c r="H3058" s="6" t="str">
        <f>VLOOKUP(E3058,dicionario!$A$1:$C3457,3,0)</f>
        <v>serralinha</v>
      </c>
    </row>
    <row r="3059">
      <c r="A3059" s="3">
        <v>45631.0</v>
      </c>
      <c r="B3059" s="46">
        <v>0.2548611111111111</v>
      </c>
      <c r="C3059" s="19" t="s">
        <v>8</v>
      </c>
      <c r="D3059" s="5" t="s">
        <v>907</v>
      </c>
      <c r="E3059" s="8" t="s">
        <v>223</v>
      </c>
      <c r="F3059" s="5" t="s">
        <v>224</v>
      </c>
      <c r="G3059" s="6" t="str">
        <f>VLOOKUP(E3059,dicionario!$A$1:$C3458,2,0)</f>
        <v>Rhipsalis lindbergiana</v>
      </c>
      <c r="H3059" s="6" t="str">
        <f>VLOOKUP(E3059,dicionario!$A$1:$C3458,3,0)</f>
        <v>cacto-macarrão</v>
      </c>
    </row>
    <row r="3060">
      <c r="A3060" s="3">
        <v>45631.0</v>
      </c>
      <c r="B3060" s="45">
        <v>0.2548611111111111</v>
      </c>
      <c r="C3060" s="19" t="s">
        <v>8</v>
      </c>
      <c r="D3060" s="5" t="s">
        <v>907</v>
      </c>
      <c r="E3060" s="6" t="s">
        <v>245</v>
      </c>
      <c r="F3060" s="5" t="s">
        <v>908</v>
      </c>
      <c r="G3060" s="6" t="str">
        <f>VLOOKUP(E3060,dicionario!$A$1:$C3459,2,0)</f>
        <v>Hemiargus hanno</v>
      </c>
      <c r="H3060" s="6" t="str">
        <f>VLOOKUP(E3060,dicionario!$A$1:$C3459,3,0)</f>
        <v>borboleta-azulzinha-do-trevo</v>
      </c>
    </row>
    <row r="3061">
      <c r="A3061" s="3">
        <v>45631.0</v>
      </c>
      <c r="B3061" s="45">
        <v>0.2548611111111111</v>
      </c>
      <c r="C3061" s="19" t="s">
        <v>8</v>
      </c>
      <c r="D3061" s="5" t="s">
        <v>907</v>
      </c>
      <c r="E3061" s="6" t="s">
        <v>296</v>
      </c>
      <c r="F3061" s="5" t="s">
        <v>297</v>
      </c>
      <c r="G3061" s="6" t="str">
        <f>VLOOKUP(E3061,dicionario!$A$1:$C3460,2,0)</f>
        <v>Richardia brasiliensis</v>
      </c>
      <c r="H3061" s="6" t="str">
        <f>VLOOKUP(E3061,dicionario!$A$1:$C3460,3,0)</f>
        <v>poaia-branca</v>
      </c>
    </row>
    <row r="3062">
      <c r="A3062" s="3">
        <v>45631.0</v>
      </c>
      <c r="B3062" s="45">
        <v>0.2548611111111111</v>
      </c>
      <c r="C3062" s="19" t="s">
        <v>8</v>
      </c>
      <c r="D3062" s="5" t="s">
        <v>907</v>
      </c>
      <c r="E3062" s="6" t="s">
        <v>267</v>
      </c>
      <c r="F3062" s="5" t="s">
        <v>268</v>
      </c>
      <c r="G3062" s="6" t="str">
        <f>VLOOKUP(E3062,dicionario!$A$1:$C3461,2,0)</f>
        <v>Solanum americanum</v>
      </c>
      <c r="H3062" s="6" t="str">
        <f>VLOOKUP(E3062,dicionario!$A$1:$C3461,3,0)</f>
        <v>maria-pretinha</v>
      </c>
    </row>
    <row r="3063">
      <c r="A3063" s="3">
        <v>45631.0</v>
      </c>
      <c r="B3063" s="46">
        <v>0.2548611111111111</v>
      </c>
      <c r="C3063" s="19" t="s">
        <v>8</v>
      </c>
      <c r="D3063" s="5" t="s">
        <v>907</v>
      </c>
      <c r="E3063" s="6" t="s">
        <v>227</v>
      </c>
      <c r="F3063" s="5" t="s">
        <v>228</v>
      </c>
      <c r="G3063" s="6" t="str">
        <f>VLOOKUP(E3063,dicionario!$A$1:$C3462,2,0)</f>
        <v>Indigofera hirsuta</v>
      </c>
      <c r="H3063" s="6" t="str">
        <f>VLOOKUP(E3063,dicionario!$A$1:$C3462,3,0)</f>
        <v>anileira</v>
      </c>
    </row>
    <row r="3064">
      <c r="A3064" s="3">
        <v>45631.0</v>
      </c>
      <c r="B3064" s="46">
        <v>0.25555555555555554</v>
      </c>
      <c r="C3064" s="19" t="s">
        <v>8</v>
      </c>
      <c r="D3064" s="5" t="s">
        <v>907</v>
      </c>
      <c r="E3064" s="6" t="s">
        <v>498</v>
      </c>
      <c r="F3064" s="5" t="s">
        <v>499</v>
      </c>
      <c r="G3064" s="6" t="str">
        <f>VLOOKUP(E3064,dicionario!$A$1:$C3463,2,0)</f>
        <v>Brachiaria decumbens</v>
      </c>
      <c r="H3064" s="6" t="str">
        <f>VLOOKUP(E3064,dicionario!$A$1:$C3463,3,0)</f>
        <v>capim-braquiária</v>
      </c>
    </row>
    <row r="3065">
      <c r="A3065" s="3">
        <v>45631.0</v>
      </c>
      <c r="B3065" s="46">
        <v>0.25555555555555554</v>
      </c>
      <c r="C3065" s="19" t="s">
        <v>8</v>
      </c>
      <c r="D3065" s="5" t="s">
        <v>907</v>
      </c>
      <c r="E3065" s="8" t="s">
        <v>909</v>
      </c>
      <c r="F3065" s="5" t="s">
        <v>910</v>
      </c>
      <c r="G3065" s="6" t="str">
        <f>VLOOKUP(E3065,dicionario!$A$1:$C3464,2,0)</f>
        <v>Chordeiles acutipennis</v>
      </c>
      <c r="H3065" s="6" t="str">
        <f>VLOOKUP(E3065,dicionario!$A$1:$C3464,3,0)</f>
        <v>bacurau-de-asa-fina</v>
      </c>
    </row>
    <row r="3066">
      <c r="A3066" s="3">
        <v>45631.0</v>
      </c>
      <c r="B3066" s="46">
        <v>0.25625</v>
      </c>
      <c r="C3066" s="19" t="s">
        <v>8</v>
      </c>
      <c r="D3066" s="5" t="s">
        <v>907</v>
      </c>
      <c r="E3066" s="8" t="s">
        <v>46</v>
      </c>
      <c r="F3066" s="5" t="s">
        <v>47</v>
      </c>
      <c r="G3066" s="6" t="str">
        <f>VLOOKUP(E3066,dicionario!$A$1:$C3465,2,0)</f>
        <v>Chionomesa fimbriata</v>
      </c>
      <c r="H3066" s="6" t="str">
        <f>VLOOKUP(E3066,dicionario!$A$1:$C3465,3,0)</f>
        <v>beija-flor-de-garganta-verde</v>
      </c>
    </row>
    <row r="3067">
      <c r="A3067" s="3">
        <v>45631.0</v>
      </c>
      <c r="B3067" s="46">
        <v>0.25625</v>
      </c>
      <c r="C3067" s="19" t="s">
        <v>8</v>
      </c>
      <c r="D3067" s="5" t="s">
        <v>907</v>
      </c>
      <c r="E3067" s="6" t="s">
        <v>162</v>
      </c>
      <c r="F3067" s="7" t="s">
        <v>42</v>
      </c>
      <c r="G3067" s="6" t="str">
        <f>VLOOKUP(E3067,dicionario!$A$1:$C3466,2,0)</f>
        <v>Fluvicola nengeta</v>
      </c>
      <c r="H3067" s="6" t="str">
        <f>VLOOKUP(E3067,dicionario!$A$1:$C3466,3,0)</f>
        <v>lavadeira-mascarada</v>
      </c>
    </row>
    <row r="3068">
      <c r="A3068" s="3">
        <v>45631.0</v>
      </c>
      <c r="B3068" s="46">
        <v>0.25625</v>
      </c>
      <c r="C3068" s="19" t="s">
        <v>8</v>
      </c>
      <c r="D3068" s="5" t="s">
        <v>907</v>
      </c>
      <c r="E3068" s="6" t="s">
        <v>225</v>
      </c>
      <c r="F3068" s="5" t="s">
        <v>226</v>
      </c>
      <c r="G3068" s="6" t="str">
        <f>VLOOKUP(E3068,dicionario!$A$1:$C3467,2,0)</f>
        <v>Passer domesticus</v>
      </c>
      <c r="H3068" s="6" t="str">
        <f>VLOOKUP(E3068,dicionario!$A$1:$C3467,3,0)</f>
        <v>pardal</v>
      </c>
    </row>
    <row r="3069">
      <c r="A3069" s="3">
        <v>45631.0</v>
      </c>
      <c r="B3069" s="45">
        <v>0.25625</v>
      </c>
      <c r="C3069" s="19" t="s">
        <v>8</v>
      </c>
      <c r="D3069" s="5" t="s">
        <v>907</v>
      </c>
      <c r="E3069" s="8" t="s">
        <v>38</v>
      </c>
      <c r="F3069" s="5" t="s">
        <v>39</v>
      </c>
      <c r="G3069" s="6" t="str">
        <f>VLOOKUP(E3069,dicionario!$A$1:$C3468,2,0)</f>
        <v>Troglodytes musculus</v>
      </c>
      <c r="H3069" s="6" t="str">
        <f>VLOOKUP(E3069,dicionario!$A$1:$C3468,3,0)</f>
        <v>curruíra</v>
      </c>
    </row>
    <row r="3070">
      <c r="A3070" s="3">
        <v>45631.0</v>
      </c>
      <c r="B3070" s="46">
        <v>0.2569444444444444</v>
      </c>
      <c r="C3070" s="19" t="s">
        <v>8</v>
      </c>
      <c r="D3070" s="5" t="s">
        <v>907</v>
      </c>
      <c r="E3070" s="8" t="s">
        <v>503</v>
      </c>
      <c r="F3070" s="5" t="s">
        <v>414</v>
      </c>
      <c r="G3070" s="6" t="str">
        <f>VLOOKUP(E3070,dicionario!$A$1:$C3469,2,0)</f>
        <v>Orphulella punctata</v>
      </c>
      <c r="H3070" s="6" t="str">
        <f>VLOOKUP(E3070,dicionario!$A$1:$C3469,3,0)</f>
        <v>gafanhotinho</v>
      </c>
    </row>
    <row r="3071">
      <c r="A3071" s="3">
        <v>45631.0</v>
      </c>
      <c r="B3071" s="45">
        <v>0.2569444444444444</v>
      </c>
      <c r="C3071" s="19" t="s">
        <v>8</v>
      </c>
      <c r="D3071" s="5" t="s">
        <v>907</v>
      </c>
      <c r="E3071" s="8" t="s">
        <v>719</v>
      </c>
      <c r="F3071" s="5" t="s">
        <v>911</v>
      </c>
      <c r="G3071" s="6" t="str">
        <f>VLOOKUP(E3071,dicionario!$A$1:$C3470,2,0)</f>
        <v>Dirinaria</v>
      </c>
      <c r="H3071" s="6" t="str">
        <f>VLOOKUP(E3071,dicionario!$A$1:$C3470,3,0)</f>
        <v>líquen-crostoso</v>
      </c>
    </row>
    <row r="3072">
      <c r="A3072" s="3">
        <v>45631.0</v>
      </c>
      <c r="B3072" s="45">
        <v>0.2569444444444444</v>
      </c>
      <c r="C3072" s="19" t="s">
        <v>8</v>
      </c>
      <c r="D3072" s="5" t="s">
        <v>907</v>
      </c>
      <c r="E3072" s="8" t="s">
        <v>712</v>
      </c>
      <c r="F3072" s="5" t="s">
        <v>912</v>
      </c>
      <c r="G3072" s="6" t="str">
        <f>VLOOKUP(E3072,dicionario!$A$1:$C3471,2,0)</f>
        <v>Flavopunctelia soredica</v>
      </c>
      <c r="H3072" s="6" t="str">
        <f>VLOOKUP(E3072,dicionario!$A$1:$C3471,3,0)</f>
        <v>líquen-folioso</v>
      </c>
    </row>
    <row r="3073">
      <c r="A3073" s="3">
        <v>45631.0</v>
      </c>
      <c r="B3073" s="46">
        <v>0.25763888888888886</v>
      </c>
      <c r="C3073" s="19" t="s">
        <v>8</v>
      </c>
      <c r="D3073" s="5" t="s">
        <v>907</v>
      </c>
      <c r="E3073" s="8" t="s">
        <v>107</v>
      </c>
      <c r="F3073" s="5" t="s">
        <v>108</v>
      </c>
      <c r="G3073" s="6" t="str">
        <f>VLOOKUP(E3073,dicionario!$A$1:$C3472,2,0)</f>
        <v>Ramalina complanata</v>
      </c>
      <c r="H3073" s="6" t="str">
        <f>VLOOKUP(E3073,dicionario!$A$1:$C3472,3,0)</f>
        <v>ramalina</v>
      </c>
    </row>
    <row r="3074">
      <c r="A3074" s="3">
        <v>45631.0</v>
      </c>
      <c r="B3074" s="45">
        <v>0.25763888888888886</v>
      </c>
      <c r="C3074" s="19" t="s">
        <v>8</v>
      </c>
      <c r="D3074" s="5" t="s">
        <v>907</v>
      </c>
      <c r="E3074" s="6" t="s">
        <v>177</v>
      </c>
      <c r="F3074" s="5" t="s">
        <v>178</v>
      </c>
      <c r="G3074" s="6" t="str">
        <f>VLOOKUP(E3074,dicionario!$A$1:$C3473,2,0)</f>
        <v>Elaenia flavogaster</v>
      </c>
      <c r="H3074" s="6" t="str">
        <f>VLOOKUP(E3074,dicionario!$A$1:$C3473,3,0)</f>
        <v>guaracava-de-barriga-amarela</v>
      </c>
    </row>
    <row r="3075">
      <c r="A3075" s="3">
        <v>45631.0</v>
      </c>
      <c r="B3075" s="45">
        <v>0.25763888888888886</v>
      </c>
      <c r="C3075" s="19" t="s">
        <v>8</v>
      </c>
      <c r="D3075" s="5" t="s">
        <v>907</v>
      </c>
      <c r="E3075" s="6" t="s">
        <v>86</v>
      </c>
      <c r="F3075" s="5" t="s">
        <v>502</v>
      </c>
      <c r="G3075" s="6" t="str">
        <f>VLOOKUP(E3075,dicionario!$A$1:$C3474,2,0)</f>
        <v>Coereba flaveola</v>
      </c>
      <c r="H3075" s="6" t="str">
        <f>VLOOKUP(E3075,dicionario!$A$1:$C3474,3,0)</f>
        <v>cambacica</v>
      </c>
    </row>
    <row r="3076">
      <c r="A3076" s="3">
        <v>45631.0</v>
      </c>
      <c r="B3076" s="45">
        <v>0.25763888888888886</v>
      </c>
      <c r="C3076" s="19" t="s">
        <v>8</v>
      </c>
      <c r="D3076" s="5" t="s">
        <v>907</v>
      </c>
      <c r="E3076" s="8" t="s">
        <v>143</v>
      </c>
      <c r="F3076" s="5" t="s">
        <v>63</v>
      </c>
      <c r="G3076" s="6" t="str">
        <f>VLOOKUP(E3076,dicionario!$A$1:$C3475,2,0)</f>
        <v>Polybia</v>
      </c>
      <c r="H3076" s="6" t="str">
        <f>VLOOKUP(E3076,dicionario!$A$1:$C3475,3,0)</f>
        <v>vespa</v>
      </c>
    </row>
    <row r="3077">
      <c r="A3077" s="3">
        <v>45631.0</v>
      </c>
      <c r="B3077" s="46">
        <v>0.25833333333333336</v>
      </c>
      <c r="C3077" s="19" t="s">
        <v>8</v>
      </c>
      <c r="D3077" s="5" t="s">
        <v>907</v>
      </c>
      <c r="E3077" s="6" t="s">
        <v>249</v>
      </c>
      <c r="F3077" s="5" t="s">
        <v>250</v>
      </c>
      <c r="G3077" s="6" t="str">
        <f>VLOOKUP(E3077,dicionario!$A$1:$C3476,2,0)</f>
        <v>Araneidae</v>
      </c>
      <c r="H3077" s="6" t="str">
        <f>VLOOKUP(E3077,dicionario!$A$1:$C3476,3,0)</f>
        <v>aranha-orbitelar</v>
      </c>
    </row>
    <row r="3078">
      <c r="A3078" s="3">
        <v>45631.0</v>
      </c>
      <c r="B3078" s="46">
        <v>0.25972222222222224</v>
      </c>
      <c r="C3078" s="19" t="s">
        <v>8</v>
      </c>
      <c r="D3078" s="5" t="s">
        <v>907</v>
      </c>
      <c r="E3078" s="30" t="s">
        <v>754</v>
      </c>
      <c r="F3078" s="31"/>
      <c r="G3078" s="6" t="str">
        <f>VLOOKUP(E3078,dicionario!$A$1:$C3477,2,0)</f>
        <v>#N/A</v>
      </c>
      <c r="H3078" s="6" t="str">
        <f>VLOOKUP(E3078,dicionario!$A$1:$C3477,3,0)</f>
        <v>#N/A</v>
      </c>
    </row>
    <row r="3079">
      <c r="A3079" s="3">
        <v>45631.0</v>
      </c>
      <c r="B3079" s="46">
        <v>0.2611111111111111</v>
      </c>
      <c r="C3079" s="19" t="s">
        <v>8</v>
      </c>
      <c r="D3079" s="5" t="s">
        <v>907</v>
      </c>
      <c r="E3079" s="6" t="s">
        <v>302</v>
      </c>
      <c r="F3079" s="5" t="s">
        <v>303</v>
      </c>
      <c r="G3079" s="6" t="str">
        <f>VLOOKUP(E3079,dicionario!$A$1:$C3478,2,0)</f>
        <v>Machetornis rixosa</v>
      </c>
      <c r="H3079" s="6" t="str">
        <f>VLOOKUP(E3079,dicionario!$A$1:$C3478,3,0)</f>
        <v>suiriri-cavaleiro</v>
      </c>
    </row>
    <row r="3080">
      <c r="A3080" s="3">
        <v>45631.0</v>
      </c>
      <c r="B3080" s="45">
        <v>0.2611111111111111</v>
      </c>
      <c r="C3080" s="19" t="s">
        <v>8</v>
      </c>
      <c r="D3080" s="5" t="s">
        <v>907</v>
      </c>
      <c r="E3080" s="8" t="s">
        <v>592</v>
      </c>
      <c r="F3080" s="5" t="s">
        <v>913</v>
      </c>
      <c r="G3080" s="6" t="str">
        <f>VLOOKUP(E3080,dicionario!$A$1:$C3479,2,0)</f>
        <v>#N/A</v>
      </c>
      <c r="H3080" s="6" t="str">
        <f>VLOOKUP(E3080,dicionario!$A$1:$C3479,3,0)</f>
        <v>#N/A</v>
      </c>
    </row>
    <row r="3081">
      <c r="A3081" s="3">
        <v>45631.0</v>
      </c>
      <c r="B3081" s="45">
        <v>0.2611111111111111</v>
      </c>
      <c r="C3081" s="19" t="s">
        <v>8</v>
      </c>
      <c r="D3081" s="5" t="s">
        <v>907</v>
      </c>
      <c r="E3081" s="8" t="s">
        <v>704</v>
      </c>
      <c r="F3081" s="5" t="s">
        <v>705</v>
      </c>
      <c r="G3081" s="6" t="str">
        <f>VLOOKUP(E3081,dicionario!$A$1:$C3480,2,0)</f>
        <v>Brachygastra lecheguana</v>
      </c>
      <c r="H3081" s="6" t="str">
        <f>VLOOKUP(E3081,dicionario!$A$1:$C3480,3,0)</f>
        <v>enxu-verdadeiro</v>
      </c>
    </row>
    <row r="3082">
      <c r="A3082" s="3">
        <v>45631.0</v>
      </c>
      <c r="B3082" s="45">
        <v>0.2611111111111111</v>
      </c>
      <c r="C3082" s="19" t="s">
        <v>8</v>
      </c>
      <c r="D3082" s="5" t="s">
        <v>907</v>
      </c>
      <c r="E3082" s="6" t="s">
        <v>355</v>
      </c>
      <c r="F3082" s="5" t="s">
        <v>356</v>
      </c>
      <c r="G3082" s="6" t="str">
        <f>VLOOKUP(E3082,dicionario!$A$1:$C3481,2,0)</f>
        <v>Boerhavia diffusa</v>
      </c>
      <c r="H3082" s="6" t="str">
        <f>VLOOKUP(E3082,dicionario!$A$1:$C3481,3,0)</f>
        <v>erva-tostão</v>
      </c>
    </row>
    <row r="3083">
      <c r="A3083" s="3">
        <v>45631.0</v>
      </c>
      <c r="B3083" s="45">
        <v>0.2611111111111111</v>
      </c>
      <c r="C3083" s="19" t="s">
        <v>8</v>
      </c>
      <c r="D3083" s="5" t="s">
        <v>907</v>
      </c>
      <c r="E3083" s="6" t="s">
        <v>69</v>
      </c>
      <c r="F3083" s="7" t="s">
        <v>71</v>
      </c>
      <c r="G3083" s="6" t="str">
        <f>VLOOKUP(E3083,dicionario!$A$1:$C3482,2,0)</f>
        <v>Talinum fruticosum</v>
      </c>
      <c r="H3083" s="6" t="str">
        <f>VLOOKUP(E3083,dicionario!$A$1:$C3482,3,0)</f>
        <v>beldroega-grande</v>
      </c>
    </row>
    <row r="3084">
      <c r="A3084" s="3">
        <v>45631.0</v>
      </c>
      <c r="B3084" s="46">
        <v>0.26180555555555557</v>
      </c>
      <c r="C3084" s="19" t="s">
        <v>8</v>
      </c>
      <c r="D3084" s="5" t="s">
        <v>907</v>
      </c>
      <c r="E3084" s="8" t="s">
        <v>262</v>
      </c>
      <c r="F3084" s="7" t="s">
        <v>263</v>
      </c>
      <c r="G3084" s="6" t="str">
        <f>VLOOKUP(E3084,dicionario!$A$1:$C3483,2,0)</f>
        <v>Portulaca oleracea</v>
      </c>
      <c r="H3084" s="6" t="str">
        <f>VLOOKUP(E3084,dicionario!$A$1:$C3483,3,0)</f>
        <v>beldroega</v>
      </c>
    </row>
    <row r="3085">
      <c r="A3085" s="3">
        <v>45631.0</v>
      </c>
      <c r="B3085" s="45">
        <v>0.26180555555555557</v>
      </c>
      <c r="C3085" s="19" t="s">
        <v>8</v>
      </c>
      <c r="D3085" s="5" t="s">
        <v>907</v>
      </c>
      <c r="E3085" s="6" t="s">
        <v>271</v>
      </c>
      <c r="F3085" s="7" t="s">
        <v>272</v>
      </c>
      <c r="G3085" s="6" t="str">
        <f>VLOOKUP(E3085,dicionario!$A$1:$C3484,2,0)</f>
        <v>Cyanthillium cinereum</v>
      </c>
      <c r="H3085" s="6" t="str">
        <f>VLOOKUP(E3085,dicionario!$A$1:$C3484,3,0)</f>
        <v>emília</v>
      </c>
    </row>
    <row r="3086">
      <c r="A3086" s="3">
        <v>45631.0</v>
      </c>
      <c r="B3086" s="45">
        <v>0.26180555555555557</v>
      </c>
      <c r="C3086" s="19" t="s">
        <v>8</v>
      </c>
      <c r="D3086" s="5" t="s">
        <v>907</v>
      </c>
      <c r="E3086" s="6" t="s">
        <v>14</v>
      </c>
      <c r="F3086" s="5" t="s">
        <v>15</v>
      </c>
      <c r="G3086" s="6" t="str">
        <f>VLOOKUP(E3086,dicionario!$A$1:$C3485,2,0)</f>
        <v>Spermacoce verticillata</v>
      </c>
      <c r="H3086" s="6" t="str">
        <f>VLOOKUP(E3086,dicionario!$A$1:$C3485,3,0)</f>
        <v>vassourinha-de-botão</v>
      </c>
    </row>
    <row r="3087">
      <c r="A3087" s="3">
        <v>45631.0</v>
      </c>
      <c r="B3087" s="45">
        <v>0.26180555555555557</v>
      </c>
      <c r="C3087" s="19" t="s">
        <v>8</v>
      </c>
      <c r="D3087" s="5" t="s">
        <v>907</v>
      </c>
      <c r="E3087" s="6" t="s">
        <v>471</v>
      </c>
      <c r="F3087" s="5" t="s">
        <v>472</v>
      </c>
      <c r="G3087" s="6" t="str">
        <f>VLOOKUP(E3087,dicionario!$A$1:$C3486,2,0)</f>
        <v>Sida acuta</v>
      </c>
      <c r="H3087" s="6" t="str">
        <f>VLOOKUP(E3087,dicionario!$A$1:$C3486,3,0)</f>
        <v>reloginho</v>
      </c>
    </row>
    <row r="3088">
      <c r="A3088" s="3">
        <v>45631.0</v>
      </c>
      <c r="B3088" s="46">
        <v>0.2625</v>
      </c>
      <c r="C3088" s="19" t="s">
        <v>8</v>
      </c>
      <c r="D3088" s="5" t="s">
        <v>907</v>
      </c>
      <c r="E3088" s="8" t="s">
        <v>258</v>
      </c>
      <c r="F3088" s="5" t="s">
        <v>259</v>
      </c>
      <c r="G3088" s="6" t="str">
        <f>VLOOKUP(E3088,dicionario!$A$1:$C3487,2,0)</f>
        <v>Lantana camara</v>
      </c>
      <c r="H3088" s="6" t="str">
        <f>VLOOKUP(E3088,dicionario!$A$1:$C3487,3,0)</f>
        <v>lantana</v>
      </c>
    </row>
    <row r="3089">
      <c r="A3089" s="3">
        <v>45631.0</v>
      </c>
      <c r="B3089" s="46">
        <v>0.2625</v>
      </c>
      <c r="C3089" s="19" t="s">
        <v>8</v>
      </c>
      <c r="D3089" s="5" t="s">
        <v>907</v>
      </c>
      <c r="E3089" s="8" t="s">
        <v>709</v>
      </c>
      <c r="F3089" s="5" t="s">
        <v>598</v>
      </c>
      <c r="G3089" s="6" t="str">
        <f>VLOOKUP(E3089,dicionario!$A$1:$C3488,2,0)</f>
        <v>#N/A</v>
      </c>
      <c r="H3089" s="6" t="str">
        <f>VLOOKUP(E3089,dicionario!$A$1:$C3488,3,0)</f>
        <v>#N/A</v>
      </c>
    </row>
    <row r="3090">
      <c r="A3090" s="3">
        <v>45631.0</v>
      </c>
      <c r="B3090" s="45">
        <v>0.2625</v>
      </c>
      <c r="C3090" s="19" t="s">
        <v>8</v>
      </c>
      <c r="D3090" s="5" t="s">
        <v>907</v>
      </c>
      <c r="E3090" s="6" t="s">
        <v>132</v>
      </c>
      <c r="F3090" s="5" t="s">
        <v>133</v>
      </c>
      <c r="G3090" s="6" t="str">
        <f>VLOOKUP(E3090,dicionario!$A$1:$C3489,2,0)</f>
        <v>Euphonia chlorotica</v>
      </c>
      <c r="H3090" s="6" t="str">
        <f>VLOOKUP(E3090,dicionario!$A$1:$C3489,3,0)</f>
        <v>fim-fim</v>
      </c>
    </row>
    <row r="3091">
      <c r="A3091" s="3">
        <v>45631.0</v>
      </c>
      <c r="B3091" s="46">
        <v>0.2625</v>
      </c>
      <c r="C3091" s="19" t="s">
        <v>8</v>
      </c>
      <c r="D3091" s="5" t="s">
        <v>907</v>
      </c>
      <c r="E3091" s="20" t="s">
        <v>676</v>
      </c>
      <c r="F3091" s="7" t="s">
        <v>677</v>
      </c>
      <c r="G3091" s="6" t="str">
        <f>VLOOKUP(E3091,dicionario!$A$1:$C3490,2,0)</f>
        <v>Zornia latifolia</v>
      </c>
      <c r="H3091" s="6" t="str">
        <f>VLOOKUP(E3091,dicionario!$A$1:$C3490,3,0)</f>
        <v>arrozinho-do-campo</v>
      </c>
    </row>
    <row r="3092">
      <c r="A3092" s="3">
        <v>45631.0</v>
      </c>
      <c r="B3092" s="46">
        <v>0.26319444444444445</v>
      </c>
      <c r="C3092" s="5" t="s">
        <v>26</v>
      </c>
      <c r="D3092" s="5" t="s">
        <v>907</v>
      </c>
      <c r="E3092" s="6" t="s">
        <v>146</v>
      </c>
      <c r="F3092" s="5" t="s">
        <v>147</v>
      </c>
      <c r="G3092" s="6" t="str">
        <f>VLOOKUP(E3092,dicionario!$A$1:$C3491,2,0)</f>
        <v>Euphorbia hirta</v>
      </c>
      <c r="H3092" s="6" t="str">
        <f>VLOOKUP(E3092,dicionario!$A$1:$C3491,3,0)</f>
        <v>erva-de-santa-luzia</v>
      </c>
    </row>
    <row r="3093">
      <c r="A3093" s="3">
        <v>45631.0</v>
      </c>
      <c r="B3093" s="46">
        <v>0.26319444444444445</v>
      </c>
      <c r="C3093" s="5" t="s">
        <v>26</v>
      </c>
      <c r="D3093" s="5" t="s">
        <v>907</v>
      </c>
      <c r="E3093" s="6" t="s">
        <v>217</v>
      </c>
      <c r="F3093" s="5" t="s">
        <v>218</v>
      </c>
      <c r="G3093" s="6" t="str">
        <f>VLOOKUP(E3093,dicionario!$A$1:$C3492,2,0)</f>
        <v>Athene cunicularia</v>
      </c>
      <c r="H3093" s="6" t="str">
        <f>VLOOKUP(E3093,dicionario!$A$1:$C3492,3,0)</f>
        <v>coruja-buraqueira</v>
      </c>
    </row>
    <row r="3094">
      <c r="A3094" s="3">
        <v>45631.0</v>
      </c>
      <c r="B3094" s="46">
        <v>0.26319444444444445</v>
      </c>
      <c r="C3094" s="5" t="s">
        <v>26</v>
      </c>
      <c r="D3094" s="5" t="s">
        <v>907</v>
      </c>
      <c r="E3094" s="6" t="s">
        <v>498</v>
      </c>
      <c r="F3094" s="5" t="s">
        <v>499</v>
      </c>
      <c r="G3094" s="6" t="str">
        <f>VLOOKUP(E3094,dicionario!$A$1:$C3493,2,0)</f>
        <v>Brachiaria decumbens</v>
      </c>
      <c r="H3094" s="6" t="str">
        <f>VLOOKUP(E3094,dicionario!$A$1:$C3493,3,0)</f>
        <v>capim-braquiária</v>
      </c>
    </row>
    <row r="3095">
      <c r="A3095" s="3">
        <v>45631.0</v>
      </c>
      <c r="B3095" s="46">
        <v>0.2638888888888889</v>
      </c>
      <c r="C3095" s="5" t="s">
        <v>26</v>
      </c>
      <c r="D3095" s="5" t="s">
        <v>907</v>
      </c>
      <c r="E3095" s="20" t="s">
        <v>676</v>
      </c>
      <c r="F3095" s="7" t="s">
        <v>677</v>
      </c>
      <c r="G3095" s="6" t="str">
        <f>VLOOKUP(E3095,dicionario!$A$1:$C3494,2,0)</f>
        <v>Zornia latifolia</v>
      </c>
      <c r="H3095" s="6" t="str">
        <f>VLOOKUP(E3095,dicionario!$A$1:$C3494,3,0)</f>
        <v>arrozinho-do-campo</v>
      </c>
    </row>
    <row r="3096">
      <c r="A3096" s="3">
        <v>45631.0</v>
      </c>
      <c r="B3096" s="46">
        <v>0.2638888888888889</v>
      </c>
      <c r="C3096" s="5" t="s">
        <v>26</v>
      </c>
      <c r="D3096" s="5" t="s">
        <v>907</v>
      </c>
      <c r="E3096" s="8" t="s">
        <v>41</v>
      </c>
      <c r="F3096" s="5" t="s">
        <v>45</v>
      </c>
      <c r="G3096" s="6" t="str">
        <f>VLOOKUP(E3096,dicionario!$A$1:$C3495,2,0)</f>
        <v>Mimosa pudica</v>
      </c>
      <c r="H3096" s="6" t="str">
        <f>VLOOKUP(E3096,dicionario!$A$1:$C3495,3,0)</f>
        <v>dormideira</v>
      </c>
    </row>
    <row r="3097">
      <c r="A3097" s="3">
        <v>45631.0</v>
      </c>
      <c r="B3097" s="46">
        <v>0.26458333333333334</v>
      </c>
      <c r="C3097" s="5" t="s">
        <v>26</v>
      </c>
      <c r="D3097" s="5" t="s">
        <v>907</v>
      </c>
      <c r="E3097" s="6" t="s">
        <v>146</v>
      </c>
      <c r="F3097" s="5" t="s">
        <v>147</v>
      </c>
      <c r="G3097" s="6" t="str">
        <f>VLOOKUP(E3097,dicionario!$A$1:$C3496,2,0)</f>
        <v>Euphorbia hirta</v>
      </c>
      <c r="H3097" s="6" t="str">
        <f>VLOOKUP(E3097,dicionario!$A$1:$C3496,3,0)</f>
        <v>erva-de-santa-luzia</v>
      </c>
    </row>
    <row r="3098">
      <c r="A3098" s="3">
        <v>45631.0</v>
      </c>
      <c r="B3098" s="45">
        <v>0.26458333333333334</v>
      </c>
      <c r="C3098" s="5" t="s">
        <v>26</v>
      </c>
      <c r="D3098" s="5" t="s">
        <v>907</v>
      </c>
      <c r="E3098" s="8" t="s">
        <v>298</v>
      </c>
      <c r="F3098" s="5" t="s">
        <v>739</v>
      </c>
      <c r="G3098" s="6" t="str">
        <f>VLOOKUP(E3098,dicionario!$A$1:$C3497,2,0)</f>
        <v>Alysicarpus vaginalis</v>
      </c>
      <c r="H3098" s="6" t="str">
        <f>VLOOKUP(E3098,dicionario!$A$1:$C3497,3,0)</f>
        <v/>
      </c>
    </row>
    <row r="3099">
      <c r="A3099" s="3">
        <v>45631.0</v>
      </c>
      <c r="B3099" s="45">
        <v>0.26458333333333334</v>
      </c>
      <c r="C3099" s="5" t="s">
        <v>26</v>
      </c>
      <c r="D3099" s="5" t="s">
        <v>907</v>
      </c>
      <c r="E3099" s="6" t="s">
        <v>288</v>
      </c>
      <c r="F3099" s="5" t="s">
        <v>289</v>
      </c>
      <c r="G3099" s="6" t="str">
        <f>VLOOKUP(E3099,dicionario!$A$1:$C3498,2,0)</f>
        <v>Phyllanthus tenellus</v>
      </c>
      <c r="H3099" s="6" t="str">
        <f>VLOOKUP(E3099,dicionario!$A$1:$C3498,3,0)</f>
        <v>quebra-pedra</v>
      </c>
    </row>
    <row r="3100">
      <c r="A3100" s="3">
        <v>45631.0</v>
      </c>
      <c r="B3100" s="45">
        <v>0.26458333333333334</v>
      </c>
      <c r="C3100" s="5" t="s">
        <v>26</v>
      </c>
      <c r="D3100" s="5" t="s">
        <v>907</v>
      </c>
      <c r="E3100" s="6" t="s">
        <v>483</v>
      </c>
      <c r="F3100" s="5" t="s">
        <v>484</v>
      </c>
      <c r="G3100" s="6" t="str">
        <f>VLOOKUP(E3100,dicionario!$A$1:$C3499,2,0)</f>
        <v>Euphorbia prostrata</v>
      </c>
      <c r="H3100" s="6" t="str">
        <f>VLOOKUP(E3100,dicionario!$A$1:$C3499,3,0)</f>
        <v>quebra-pedra-rasteira</v>
      </c>
    </row>
    <row r="3101">
      <c r="A3101" s="3">
        <v>45631.0</v>
      </c>
      <c r="B3101" s="45">
        <v>0.26458333333333334</v>
      </c>
      <c r="C3101" s="5" t="s">
        <v>26</v>
      </c>
      <c r="D3101" s="5" t="s">
        <v>907</v>
      </c>
      <c r="E3101" s="6" t="s">
        <v>60</v>
      </c>
      <c r="F3101" s="5" t="s">
        <v>61</v>
      </c>
      <c r="G3101" s="6" t="str">
        <f>VLOOKUP(E3101,dicionario!$A$1:$C3500,2,0)</f>
        <v>Vanellus chilensis</v>
      </c>
      <c r="H3101" s="6" t="str">
        <f>VLOOKUP(E3101,dicionario!$A$1:$C3500,3,0)</f>
        <v>quero-quero</v>
      </c>
    </row>
    <row r="3102">
      <c r="A3102" s="3">
        <v>45631.0</v>
      </c>
      <c r="B3102" s="45">
        <v>0.26458333333333334</v>
      </c>
      <c r="C3102" s="5" t="s">
        <v>26</v>
      </c>
      <c r="D3102" s="5" t="s">
        <v>907</v>
      </c>
      <c r="E3102" s="8" t="s">
        <v>24</v>
      </c>
      <c r="F3102" s="5" t="s">
        <v>25</v>
      </c>
      <c r="G3102" s="6" t="str">
        <f>VLOOKUP(E3102,dicionario!$A$1:$C3501,2,0)</f>
        <v>Lepidoptera</v>
      </c>
      <c r="H3102" s="6" t="str">
        <f>VLOOKUP(E3102,dicionario!$A$1:$C3501,3,0)</f>
        <v>boboleta/mariposa</v>
      </c>
    </row>
    <row r="3103">
      <c r="A3103" s="3">
        <v>45631.0</v>
      </c>
      <c r="B3103" s="45">
        <v>0.26458333333333334</v>
      </c>
      <c r="C3103" s="5" t="s">
        <v>26</v>
      </c>
      <c r="D3103" s="5" t="s">
        <v>907</v>
      </c>
      <c r="E3103" s="6" t="s">
        <v>353</v>
      </c>
      <c r="F3103" s="5" t="s">
        <v>354</v>
      </c>
      <c r="G3103" s="6" t="str">
        <f>VLOOKUP(E3103,dicionario!$A$1:$C3502,2,0)</f>
        <v>Desmodium incanum</v>
      </c>
      <c r="H3103" s="6" t="str">
        <f>VLOOKUP(E3103,dicionario!$A$1:$C3502,3,0)</f>
        <v>pega-pega</v>
      </c>
    </row>
    <row r="3104">
      <c r="A3104" s="3">
        <v>45631.0</v>
      </c>
      <c r="B3104" s="45">
        <v>0.26458333333333334</v>
      </c>
      <c r="C3104" s="5" t="s">
        <v>26</v>
      </c>
      <c r="D3104" s="5" t="s">
        <v>907</v>
      </c>
      <c r="E3104" s="8" t="s">
        <v>360</v>
      </c>
      <c r="F3104" s="7" t="s">
        <v>361</v>
      </c>
      <c r="G3104" s="6" t="str">
        <f>VLOOKUP(E3104,dicionario!$A$1:$C3503,2,0)</f>
        <v>Chamaecrista rotundifolia</v>
      </c>
      <c r="H3104" s="6" t="str">
        <f>VLOOKUP(E3104,dicionario!$A$1:$C3503,3,0)</f>
        <v>alfafa-nativa</v>
      </c>
    </row>
    <row r="3105">
      <c r="A3105" s="3">
        <v>45631.0</v>
      </c>
      <c r="B3105" s="46">
        <v>0.2652777777777778</v>
      </c>
      <c r="C3105" s="5" t="s">
        <v>26</v>
      </c>
      <c r="D3105" s="5" t="s">
        <v>907</v>
      </c>
      <c r="E3105" s="8" t="s">
        <v>914</v>
      </c>
      <c r="F3105" s="5" t="s">
        <v>669</v>
      </c>
      <c r="G3105" s="6" t="str">
        <f>VLOOKUP(E3105,dicionario!$A$1:$C3504,2,0)</f>
        <v>#N/A</v>
      </c>
      <c r="H3105" s="6" t="str">
        <f>VLOOKUP(E3105,dicionario!$A$1:$C3504,3,0)</f>
        <v>#N/A</v>
      </c>
    </row>
    <row r="3106">
      <c r="A3106" s="3">
        <v>45631.0</v>
      </c>
      <c r="B3106" s="46">
        <v>0.2659722222222222</v>
      </c>
      <c r="C3106" s="5" t="s">
        <v>26</v>
      </c>
      <c r="D3106" s="5" t="s">
        <v>907</v>
      </c>
      <c r="E3106" s="9" t="s">
        <v>105</v>
      </c>
      <c r="F3106" s="5" t="s">
        <v>106</v>
      </c>
      <c r="G3106" s="6" t="str">
        <f>VLOOKUP(E3106,dicionario!$A$1:$C3505,2,0)</f>
        <v>Progne tapera</v>
      </c>
      <c r="H3106" s="6" t="str">
        <f>VLOOKUP(E3106,dicionario!$A$1:$C3505,3,0)</f>
        <v>andorinha-do-campo</v>
      </c>
    </row>
    <row r="3107">
      <c r="A3107" s="3">
        <v>45631.0</v>
      </c>
      <c r="B3107" s="46">
        <v>0.2659722222222222</v>
      </c>
      <c r="C3107" s="5" t="s">
        <v>26</v>
      </c>
      <c r="D3107" s="5" t="s">
        <v>907</v>
      </c>
      <c r="E3107" s="6" t="s">
        <v>467</v>
      </c>
      <c r="F3107" s="5" t="s">
        <v>468</v>
      </c>
      <c r="G3107" s="6" t="str">
        <f>VLOOKUP(E3107,dicionario!$A$1:$C3506,2,0)</f>
        <v>Eleusine indica</v>
      </c>
      <c r="H3107" s="6" t="str">
        <f>VLOOKUP(E3107,dicionario!$A$1:$C3506,3,0)</f>
        <v>capim-pé-de-galinha</v>
      </c>
    </row>
    <row r="3108">
      <c r="A3108" s="3">
        <v>45631.0</v>
      </c>
      <c r="B3108" s="46">
        <v>0.2659722222222222</v>
      </c>
      <c r="C3108" s="5" t="s">
        <v>26</v>
      </c>
      <c r="D3108" s="5" t="s">
        <v>907</v>
      </c>
      <c r="E3108" s="6" t="s">
        <v>425</v>
      </c>
      <c r="F3108" s="5" t="s">
        <v>426</v>
      </c>
      <c r="G3108" s="6" t="str">
        <f>VLOOKUP(E3108,dicionario!$A$1:$C3507,2,0)</f>
        <v>Digitaria insularis</v>
      </c>
      <c r="H3108" s="6" t="str">
        <f>VLOOKUP(E3108,dicionario!$A$1:$C3507,3,0)</f>
        <v>capim-amargoso</v>
      </c>
    </row>
    <row r="3109">
      <c r="A3109" s="3">
        <v>45631.0</v>
      </c>
      <c r="B3109" s="46">
        <v>0.2659722222222222</v>
      </c>
      <c r="C3109" s="5" t="s">
        <v>26</v>
      </c>
      <c r="D3109" s="5" t="s">
        <v>907</v>
      </c>
      <c r="E3109" s="6" t="s">
        <v>286</v>
      </c>
      <c r="F3109" s="5" t="s">
        <v>287</v>
      </c>
      <c r="G3109" s="6" t="str">
        <f>VLOOKUP(E3109,dicionario!$A$1:$C3508,2,0)</f>
        <v>Setaria parviflora</v>
      </c>
      <c r="H3109" s="6" t="str">
        <f>VLOOKUP(E3109,dicionario!$A$1:$C3508,3,0)</f>
        <v>capim-rabo-de-raposa</v>
      </c>
    </row>
    <row r="3110">
      <c r="A3110" s="3">
        <v>45631.0</v>
      </c>
      <c r="B3110" s="45">
        <v>0.26666666666666666</v>
      </c>
      <c r="C3110" s="5" t="s">
        <v>26</v>
      </c>
      <c r="D3110" s="5" t="s">
        <v>907</v>
      </c>
      <c r="E3110" s="6" t="s">
        <v>132</v>
      </c>
      <c r="F3110" s="5" t="s">
        <v>133</v>
      </c>
      <c r="G3110" s="6" t="str">
        <f>VLOOKUP(E3110,dicionario!$A$1:$C3509,2,0)</f>
        <v>Euphonia chlorotica</v>
      </c>
      <c r="H3110" s="6" t="str">
        <f>VLOOKUP(E3110,dicionario!$A$1:$C3509,3,0)</f>
        <v>fim-fim</v>
      </c>
    </row>
    <row r="3111">
      <c r="A3111" s="3">
        <v>45631.0</v>
      </c>
      <c r="B3111" s="45">
        <v>0.26666666666666666</v>
      </c>
      <c r="C3111" s="5" t="s">
        <v>26</v>
      </c>
      <c r="D3111" s="5" t="s">
        <v>907</v>
      </c>
      <c r="E3111" s="6" t="s">
        <v>65</v>
      </c>
      <c r="F3111" s="5" t="s">
        <v>66</v>
      </c>
      <c r="G3111" s="6" t="str">
        <f>VLOOKUP(E3111,dicionario!$A$1:$C3510,2,0)</f>
        <v>Pitangus sulphutarus</v>
      </c>
      <c r="H3111" s="6" t="str">
        <f>VLOOKUP(E3111,dicionario!$A$1:$C3510,3,0)</f>
        <v>bem-te-vi</v>
      </c>
    </row>
    <row r="3112">
      <c r="A3112" s="3">
        <v>45631.0</v>
      </c>
      <c r="B3112" s="45">
        <v>0.26666666666666666</v>
      </c>
      <c r="C3112" s="5" t="s">
        <v>26</v>
      </c>
      <c r="D3112" s="5" t="s">
        <v>907</v>
      </c>
      <c r="E3112" s="6" t="s">
        <v>215</v>
      </c>
      <c r="F3112" s="7" t="s">
        <v>216</v>
      </c>
      <c r="G3112" s="6" t="str">
        <f>VLOOKUP(E3112,dicionario!$A$1:$C3511,2,0)</f>
        <v>Pygochelidon cyanoleuca</v>
      </c>
      <c r="H3112" s="6" t="str">
        <f>VLOOKUP(E3112,dicionario!$A$1:$C3511,3,0)</f>
        <v>andorinha-pequena-de-casa</v>
      </c>
    </row>
    <row r="3113">
      <c r="A3113" s="3">
        <v>45631.0</v>
      </c>
      <c r="B3113" s="45">
        <v>0.26666666666666666</v>
      </c>
      <c r="C3113" s="5" t="s">
        <v>26</v>
      </c>
      <c r="D3113" s="5" t="s">
        <v>907</v>
      </c>
      <c r="E3113" s="6" t="s">
        <v>225</v>
      </c>
      <c r="F3113" s="5" t="s">
        <v>226</v>
      </c>
      <c r="G3113" s="6" t="str">
        <f>VLOOKUP(E3113,dicionario!$A$1:$C3512,2,0)</f>
        <v>Passer domesticus</v>
      </c>
      <c r="H3113" s="6" t="str">
        <f>VLOOKUP(E3113,dicionario!$A$1:$C3512,3,0)</f>
        <v>pardal</v>
      </c>
    </row>
    <row r="3114">
      <c r="A3114" s="3">
        <v>45631.0</v>
      </c>
      <c r="B3114" s="45">
        <v>0.26666666666666666</v>
      </c>
      <c r="C3114" s="5" t="s">
        <v>26</v>
      </c>
      <c r="D3114" s="5" t="s">
        <v>907</v>
      </c>
      <c r="E3114" s="6" t="s">
        <v>191</v>
      </c>
      <c r="F3114" s="5" t="s">
        <v>192</v>
      </c>
      <c r="G3114" s="6" t="str">
        <f>VLOOKUP(E3114,dicionario!$A$1:$C3513,2,0)</f>
        <v>Patagioenas picazuro</v>
      </c>
      <c r="H3114" s="6" t="str">
        <f>VLOOKUP(E3114,dicionario!$A$1:$C3513,3,0)</f>
        <v>asa-branca; pomba-asa-branca; pocaçu</v>
      </c>
    </row>
    <row r="3115">
      <c r="A3115" s="3">
        <v>45631.0</v>
      </c>
      <c r="B3115" s="45">
        <v>0.26666666666666666</v>
      </c>
      <c r="C3115" s="5" t="s">
        <v>26</v>
      </c>
      <c r="D3115" s="5" t="s">
        <v>907</v>
      </c>
      <c r="E3115" s="8" t="s">
        <v>915</v>
      </c>
      <c r="F3115" s="5" t="s">
        <v>916</v>
      </c>
      <c r="G3115" s="6" t="str">
        <f>VLOOKUP(E3115,dicionario!$A$1:$C3514,2,0)</f>
        <v>Tachycineta albiventer</v>
      </c>
      <c r="H3115" s="6" t="str">
        <f>VLOOKUP(E3115,dicionario!$A$1:$C3514,3,0)</f>
        <v>andorinha-de-rio</v>
      </c>
    </row>
    <row r="3116">
      <c r="A3116" s="3">
        <v>45631.0</v>
      </c>
      <c r="B3116" s="46">
        <v>0.2673611111111111</v>
      </c>
      <c r="C3116" s="5" t="s">
        <v>26</v>
      </c>
      <c r="D3116" s="5" t="s">
        <v>907</v>
      </c>
      <c r="E3116" s="6" t="s">
        <v>20</v>
      </c>
      <c r="F3116" s="7" t="s">
        <v>21</v>
      </c>
      <c r="G3116" s="6" t="str">
        <f>VLOOKUP(E3116,dicionario!$A$1:$C3515,2,0)</f>
        <v>Sicalis flaveola</v>
      </c>
      <c r="H3116" s="6" t="str">
        <f>VLOOKUP(E3116,dicionario!$A$1:$C3515,3,0)</f>
        <v>canário-da-terra</v>
      </c>
    </row>
    <row r="3117">
      <c r="A3117" s="3">
        <v>45631.0</v>
      </c>
      <c r="B3117" s="46">
        <v>0.2673611111111111</v>
      </c>
      <c r="C3117" s="5" t="s">
        <v>26</v>
      </c>
      <c r="D3117" s="5" t="s">
        <v>907</v>
      </c>
      <c r="E3117" s="6" t="s">
        <v>14</v>
      </c>
      <c r="F3117" s="5" t="s">
        <v>15</v>
      </c>
      <c r="G3117" s="6" t="str">
        <f>VLOOKUP(E3117,dicionario!$A$1:$C3516,2,0)</f>
        <v>Spermacoce verticillata</v>
      </c>
      <c r="H3117" s="6" t="str">
        <f>VLOOKUP(E3117,dicionario!$A$1:$C3516,3,0)</f>
        <v>vassourinha-de-botão</v>
      </c>
    </row>
    <row r="3118">
      <c r="A3118" s="3">
        <v>45631.0</v>
      </c>
      <c r="B3118" s="46">
        <v>0.2673611111111111</v>
      </c>
      <c r="C3118" s="5" t="s">
        <v>26</v>
      </c>
      <c r="D3118" s="5" t="s">
        <v>907</v>
      </c>
      <c r="E3118" s="8" t="s">
        <v>476</v>
      </c>
      <c r="F3118" s="5" t="s">
        <v>917</v>
      </c>
      <c r="G3118" s="6" t="str">
        <f>VLOOKUP(E3118,dicionario!$A$1:$C3517,2,0)</f>
        <v>#N/A</v>
      </c>
      <c r="H3118" s="6" t="str">
        <f>VLOOKUP(E3118,dicionario!$A$1:$C3517,3,0)</f>
        <v>#N/A</v>
      </c>
    </row>
    <row r="3119">
      <c r="A3119" s="3">
        <v>45631.0</v>
      </c>
      <c r="B3119" s="46">
        <v>0.26875</v>
      </c>
      <c r="C3119" s="5" t="s">
        <v>26</v>
      </c>
      <c r="D3119" s="5" t="s">
        <v>907</v>
      </c>
      <c r="E3119" s="8" t="s">
        <v>918</v>
      </c>
      <c r="F3119" s="5" t="s">
        <v>458</v>
      </c>
      <c r="G3119" s="6" t="str">
        <f>VLOOKUP(E3119,dicionario!$A$1:$C3518,2,0)</f>
        <v>#N/A</v>
      </c>
      <c r="H3119" s="6" t="str">
        <f>VLOOKUP(E3119,dicionario!$A$1:$C3518,3,0)</f>
        <v>#N/A</v>
      </c>
    </row>
    <row r="3120">
      <c r="A3120" s="3">
        <v>45631.0</v>
      </c>
      <c r="B3120" s="46">
        <v>0.26875</v>
      </c>
      <c r="C3120" s="5" t="s">
        <v>26</v>
      </c>
      <c r="D3120" s="5" t="s">
        <v>907</v>
      </c>
      <c r="E3120" s="6" t="s">
        <v>253</v>
      </c>
      <c r="F3120" s="5" t="s">
        <v>254</v>
      </c>
      <c r="G3120" s="6" t="str">
        <f>VLOOKUP(E3120,dicionario!$A$1:$C3519,2,0)</f>
        <v>Panicum maximum</v>
      </c>
      <c r="H3120" s="6" t="str">
        <f>VLOOKUP(E3120,dicionario!$A$1:$C3519,3,0)</f>
        <v>capim-colonião</v>
      </c>
    </row>
    <row r="3121">
      <c r="A3121" s="3">
        <v>45631.0</v>
      </c>
      <c r="B3121" s="46">
        <v>0.26944444444444443</v>
      </c>
      <c r="C3121" s="5" t="s">
        <v>26</v>
      </c>
      <c r="D3121" s="5" t="s">
        <v>907</v>
      </c>
      <c r="E3121" s="8" t="s">
        <v>919</v>
      </c>
      <c r="F3121" s="5" t="s">
        <v>28</v>
      </c>
      <c r="G3121" s="6" t="str">
        <f>VLOOKUP(E3121,dicionario!$A$1:$C3520,2,0)</f>
        <v>#N/A</v>
      </c>
      <c r="H3121" s="6" t="str">
        <f>VLOOKUP(E3121,dicionario!$A$1:$C3520,3,0)</f>
        <v>#N/A</v>
      </c>
    </row>
    <row r="3122">
      <c r="A3122" s="3">
        <v>45631.0</v>
      </c>
      <c r="B3122" s="46">
        <v>0.26944444444444443</v>
      </c>
      <c r="C3122" s="5" t="s">
        <v>26</v>
      </c>
      <c r="D3122" s="5" t="s">
        <v>907</v>
      </c>
      <c r="E3122" s="6" t="s">
        <v>448</v>
      </c>
      <c r="F3122" s="5" t="s">
        <v>678</v>
      </c>
      <c r="G3122" s="6" t="str">
        <f>VLOOKUP(E3122,dicionario!$A$1:$C3521,2,0)</f>
        <v>Mechanitis polymnia</v>
      </c>
      <c r="H3122" s="6" t="str">
        <f>VLOOKUP(E3122,dicionario!$A$1:$C3521,3,0)</f>
        <v>maria-boba</v>
      </c>
    </row>
    <row r="3123">
      <c r="A3123" s="3">
        <v>45631.0</v>
      </c>
      <c r="B3123" s="46">
        <v>0.26944444444444443</v>
      </c>
      <c r="C3123" s="5" t="s">
        <v>26</v>
      </c>
      <c r="D3123" s="5" t="s">
        <v>907</v>
      </c>
      <c r="E3123" s="6" t="s">
        <v>467</v>
      </c>
      <c r="F3123" s="5" t="s">
        <v>468</v>
      </c>
      <c r="G3123" s="6" t="str">
        <f>VLOOKUP(E3123,dicionario!$A$1:$C3522,2,0)</f>
        <v>Eleusine indica</v>
      </c>
      <c r="H3123" s="6" t="str">
        <f>VLOOKUP(E3123,dicionario!$A$1:$C3522,3,0)</f>
        <v>capim-pé-de-galinha</v>
      </c>
    </row>
    <row r="3124">
      <c r="A3124" s="3">
        <v>45631.0</v>
      </c>
      <c r="B3124" s="46">
        <v>0.26944444444444443</v>
      </c>
      <c r="C3124" s="5" t="s">
        <v>26</v>
      </c>
      <c r="D3124" s="5" t="s">
        <v>907</v>
      </c>
      <c r="E3124" s="6" t="s">
        <v>181</v>
      </c>
      <c r="F3124" s="5" t="s">
        <v>182</v>
      </c>
      <c r="G3124" s="6" t="str">
        <f>VLOOKUP(E3124,dicionario!$A$1:$C3523,2,0)</f>
        <v>#N/A</v>
      </c>
      <c r="H3124" s="6" t="str">
        <f>VLOOKUP(E3124,dicionario!$A$1:$C3523,3,0)</f>
        <v>#N/A</v>
      </c>
    </row>
    <row r="3125">
      <c r="A3125" s="3">
        <v>45631.0</v>
      </c>
      <c r="B3125" s="46">
        <v>0.2701388888888889</v>
      </c>
      <c r="C3125" s="5" t="s">
        <v>26</v>
      </c>
      <c r="D3125" s="5" t="s">
        <v>907</v>
      </c>
      <c r="E3125" s="6" t="s">
        <v>150</v>
      </c>
      <c r="F3125" s="5" t="s">
        <v>151</v>
      </c>
      <c r="G3125" s="6" t="str">
        <f>VLOOKUP(E3125,dicionario!$A$1:$C3524,2,0)</f>
        <v>Amaranthus viridis</v>
      </c>
      <c r="H3125" s="6" t="str">
        <f>VLOOKUP(E3125,dicionario!$A$1:$C3524,3,0)</f>
        <v>caruru-de-mancha</v>
      </c>
    </row>
    <row r="3126">
      <c r="A3126" s="3">
        <v>45631.0</v>
      </c>
      <c r="B3126" s="46">
        <v>0.2701388888888889</v>
      </c>
      <c r="C3126" s="5" t="s">
        <v>26</v>
      </c>
      <c r="D3126" s="5" t="s">
        <v>907</v>
      </c>
      <c r="E3126" s="6" t="s">
        <v>471</v>
      </c>
      <c r="F3126" s="5" t="s">
        <v>472</v>
      </c>
      <c r="G3126" s="6" t="str">
        <f>VLOOKUP(E3126,dicionario!$A$1:$C3525,2,0)</f>
        <v>Sida acuta</v>
      </c>
      <c r="H3126" s="6" t="str">
        <f>VLOOKUP(E3126,dicionario!$A$1:$C3525,3,0)</f>
        <v>reloginho</v>
      </c>
    </row>
    <row r="3127">
      <c r="A3127" s="3">
        <v>45631.0</v>
      </c>
      <c r="B3127" s="46">
        <v>0.2701388888888889</v>
      </c>
      <c r="C3127" s="5" t="s">
        <v>26</v>
      </c>
      <c r="D3127" s="5" t="s">
        <v>907</v>
      </c>
      <c r="E3127" s="8" t="s">
        <v>51</v>
      </c>
      <c r="F3127" s="5" t="s">
        <v>920</v>
      </c>
      <c r="G3127" s="6" t="str">
        <f>VLOOKUP(E3127,dicionario!$A$1:$C3526,2,0)</f>
        <v>Solenopsis</v>
      </c>
      <c r="H3127" s="6" t="str">
        <f>VLOOKUP(E3127,dicionario!$A$1:$C3526,3,0)</f>
        <v>formiga-quente; formiga-lava-pés; formiga-de-fogo</v>
      </c>
    </row>
    <row r="3128">
      <c r="A3128" s="3">
        <v>45631.0</v>
      </c>
      <c r="B3128" s="46">
        <v>0.2701388888888889</v>
      </c>
      <c r="C3128" s="5" t="s">
        <v>26</v>
      </c>
      <c r="D3128" s="5" t="s">
        <v>907</v>
      </c>
      <c r="E3128" s="6" t="s">
        <v>267</v>
      </c>
      <c r="F3128" s="5" t="s">
        <v>268</v>
      </c>
      <c r="G3128" s="6" t="str">
        <f>VLOOKUP(E3128,dicionario!$A$1:$C3527,2,0)</f>
        <v>Solanum americanum</v>
      </c>
      <c r="H3128" s="6" t="str">
        <f>VLOOKUP(E3128,dicionario!$A$1:$C3527,3,0)</f>
        <v>maria-pretinha</v>
      </c>
    </row>
    <row r="3129">
      <c r="A3129" s="3">
        <v>45631.0</v>
      </c>
      <c r="B3129" s="46">
        <v>0.2701388888888889</v>
      </c>
      <c r="C3129" s="5" t="s">
        <v>26</v>
      </c>
      <c r="D3129" s="5" t="s">
        <v>907</v>
      </c>
      <c r="E3129" s="8" t="s">
        <v>346</v>
      </c>
      <c r="F3129" s="5" t="s">
        <v>347</v>
      </c>
      <c r="G3129" s="6" t="str">
        <f>VLOOKUP(E3129,dicionario!$A$1:$C3528,2,0)</f>
        <v>#N/A</v>
      </c>
      <c r="H3129" s="6" t="str">
        <f>VLOOKUP(E3129,dicionario!$A$1:$C3528,3,0)</f>
        <v>#N/A</v>
      </c>
    </row>
    <row r="3130">
      <c r="A3130" s="3">
        <v>45631.0</v>
      </c>
      <c r="B3130" s="46">
        <v>0.2701388888888889</v>
      </c>
      <c r="C3130" s="5" t="s">
        <v>26</v>
      </c>
      <c r="D3130" s="5" t="s">
        <v>907</v>
      </c>
      <c r="E3130" s="6" t="s">
        <v>271</v>
      </c>
      <c r="F3130" s="7" t="s">
        <v>272</v>
      </c>
      <c r="G3130" s="6" t="str">
        <f>VLOOKUP(E3130,dicionario!$A$1:$C3529,2,0)</f>
        <v>Cyanthillium cinereum</v>
      </c>
      <c r="H3130" s="6" t="str">
        <f>VLOOKUP(E3130,dicionario!$A$1:$C3529,3,0)</f>
        <v>emília</v>
      </c>
    </row>
    <row r="3131">
      <c r="A3131" s="3">
        <v>45631.0</v>
      </c>
      <c r="B3131" s="46">
        <v>0.2708333333333333</v>
      </c>
      <c r="C3131" s="5" t="s">
        <v>26</v>
      </c>
      <c r="D3131" s="5" t="s">
        <v>907</v>
      </c>
      <c r="E3131" s="8" t="s">
        <v>262</v>
      </c>
      <c r="F3131" s="7" t="s">
        <v>263</v>
      </c>
      <c r="G3131" s="6" t="str">
        <f>VLOOKUP(E3131,dicionario!$A$1:$C3530,2,0)</f>
        <v>Portulaca oleracea</v>
      </c>
      <c r="H3131" s="6" t="str">
        <f>VLOOKUP(E3131,dicionario!$A$1:$C3530,3,0)</f>
        <v>beldroega</v>
      </c>
    </row>
    <row r="3132">
      <c r="A3132" s="3">
        <v>45631.0</v>
      </c>
      <c r="B3132" s="46">
        <v>0.2708333333333333</v>
      </c>
      <c r="C3132" s="5" t="s">
        <v>26</v>
      </c>
      <c r="D3132" s="5" t="s">
        <v>907</v>
      </c>
      <c r="E3132" s="6" t="s">
        <v>243</v>
      </c>
      <c r="F3132" s="5" t="s">
        <v>244</v>
      </c>
      <c r="G3132" s="6" t="str">
        <f>VLOOKUP(E3132,dicionario!$A$1:$C3531,2,0)</f>
        <v>Macroptilium atropurpureum</v>
      </c>
      <c r="H3132" s="6" t="str">
        <f>VLOOKUP(E3132,dicionario!$A$1:$C3531,3,0)</f>
        <v>feijão-de-pombo</v>
      </c>
    </row>
    <row r="3133">
      <c r="A3133" s="3">
        <v>45631.0</v>
      </c>
      <c r="B3133" s="46">
        <v>0.2708333333333333</v>
      </c>
      <c r="C3133" s="5" t="s">
        <v>26</v>
      </c>
      <c r="D3133" s="5" t="s">
        <v>907</v>
      </c>
      <c r="E3133" s="6" t="s">
        <v>450</v>
      </c>
      <c r="F3133" s="5" t="s">
        <v>921</v>
      </c>
      <c r="G3133" s="6" t="str">
        <f>VLOOKUP(E3133,dicionario!$A$1:$C3532,2,0)</f>
        <v>#N/A</v>
      </c>
      <c r="H3133" s="6" t="str">
        <f>VLOOKUP(E3133,dicionario!$A$1:$C3532,3,0)</f>
        <v>#N/A</v>
      </c>
    </row>
    <row r="3134">
      <c r="A3134" s="3">
        <v>45631.0</v>
      </c>
      <c r="B3134" s="46">
        <v>0.2708333333333333</v>
      </c>
      <c r="C3134" s="5" t="s">
        <v>26</v>
      </c>
      <c r="D3134" s="5" t="s">
        <v>907</v>
      </c>
      <c r="E3134" s="6" t="s">
        <v>109</v>
      </c>
      <c r="F3134" s="5" t="s">
        <v>110</v>
      </c>
      <c r="G3134" s="6" t="str">
        <f>VLOOKUP(E3134,dicionario!$A$1:$C3533,2,0)</f>
        <v>Tillandsia stricta</v>
      </c>
      <c r="H3134" s="6" t="str">
        <f>VLOOKUP(E3134,dicionario!$A$1:$C3533,3,0)</f>
        <v>cravo-do-mato</v>
      </c>
    </row>
    <row r="3135">
      <c r="A3135" s="3">
        <v>45631.0</v>
      </c>
      <c r="B3135" s="46">
        <v>0.27291666666666664</v>
      </c>
      <c r="C3135" s="5" t="s">
        <v>33</v>
      </c>
      <c r="D3135" s="5" t="s">
        <v>907</v>
      </c>
      <c r="E3135" s="29" t="s">
        <v>566</v>
      </c>
      <c r="F3135" s="5" t="s">
        <v>567</v>
      </c>
      <c r="G3135" s="6" t="str">
        <f>VLOOKUP(E3135,dicionario!$A$1:$C3534,2,0)</f>
        <v>Baccharis dracunculifolia</v>
      </c>
      <c r="H3135" s="6" t="str">
        <f>VLOOKUP(E3135,dicionario!$A$1:$C3534,3,0)</f>
        <v>vassoura</v>
      </c>
    </row>
    <row r="3136">
      <c r="A3136" s="3">
        <v>45631.0</v>
      </c>
      <c r="B3136" s="46">
        <v>0.27291666666666664</v>
      </c>
      <c r="C3136" s="5" t="s">
        <v>33</v>
      </c>
      <c r="D3136" s="5" t="s">
        <v>907</v>
      </c>
      <c r="E3136" s="6" t="s">
        <v>286</v>
      </c>
      <c r="F3136" s="5" t="s">
        <v>287</v>
      </c>
      <c r="G3136" s="6" t="str">
        <f>VLOOKUP(E3136,dicionario!$A$1:$C3535,2,0)</f>
        <v>Setaria parviflora</v>
      </c>
      <c r="H3136" s="6" t="str">
        <f>VLOOKUP(E3136,dicionario!$A$1:$C3535,3,0)</f>
        <v>capim-rabo-de-raposa</v>
      </c>
    </row>
    <row r="3137">
      <c r="A3137" s="3">
        <v>45631.0</v>
      </c>
      <c r="B3137" s="46">
        <v>0.27291666666666664</v>
      </c>
      <c r="C3137" s="5" t="s">
        <v>33</v>
      </c>
      <c r="D3137" s="5" t="s">
        <v>907</v>
      </c>
      <c r="E3137" s="8" t="s">
        <v>298</v>
      </c>
      <c r="F3137" s="5" t="s">
        <v>739</v>
      </c>
      <c r="G3137" s="6" t="str">
        <f>VLOOKUP(E3137,dicionario!$A$1:$C3536,2,0)</f>
        <v>Alysicarpus vaginalis</v>
      </c>
      <c r="H3137" s="6" t="str">
        <f>VLOOKUP(E3137,dicionario!$A$1:$C3536,3,0)</f>
        <v/>
      </c>
    </row>
    <row r="3138">
      <c r="A3138" s="3">
        <v>45631.0</v>
      </c>
      <c r="B3138" s="46">
        <v>0.27291666666666664</v>
      </c>
      <c r="C3138" s="5" t="s">
        <v>33</v>
      </c>
      <c r="D3138" s="5" t="s">
        <v>907</v>
      </c>
      <c r="E3138" s="6" t="s">
        <v>353</v>
      </c>
      <c r="F3138" s="5" t="s">
        <v>354</v>
      </c>
      <c r="G3138" s="6" t="str">
        <f>VLOOKUP(E3138,dicionario!$A$1:$C3537,2,0)</f>
        <v>Desmodium incanum</v>
      </c>
      <c r="H3138" s="6" t="str">
        <f>VLOOKUP(E3138,dicionario!$A$1:$C3537,3,0)</f>
        <v>pega-pega</v>
      </c>
    </row>
    <row r="3139">
      <c r="A3139" s="3">
        <v>45631.0</v>
      </c>
      <c r="B3139" s="46">
        <v>0.27291666666666664</v>
      </c>
      <c r="C3139" s="5" t="s">
        <v>33</v>
      </c>
      <c r="D3139" s="5" t="s">
        <v>907</v>
      </c>
      <c r="E3139" s="6" t="s">
        <v>296</v>
      </c>
      <c r="F3139" s="5" t="s">
        <v>297</v>
      </c>
      <c r="G3139" s="6" t="str">
        <f>VLOOKUP(E3139,dicionario!$A$1:$C3538,2,0)</f>
        <v>Richardia brasiliensis</v>
      </c>
      <c r="H3139" s="6" t="str">
        <f>VLOOKUP(E3139,dicionario!$A$1:$C3538,3,0)</f>
        <v>poaia-branca</v>
      </c>
    </row>
    <row r="3140">
      <c r="A3140" s="3">
        <v>45631.0</v>
      </c>
      <c r="B3140" s="46">
        <v>0.27291666666666664</v>
      </c>
      <c r="C3140" s="5" t="s">
        <v>33</v>
      </c>
      <c r="D3140" s="5" t="s">
        <v>907</v>
      </c>
      <c r="E3140" s="18" t="s">
        <v>611</v>
      </c>
      <c r="F3140" s="5" t="s">
        <v>612</v>
      </c>
      <c r="G3140" s="6" t="str">
        <f>VLOOKUP(E3140,dicionario!$A$1:$C3539,2,0)</f>
        <v>Boehmeria cylindrica</v>
      </c>
      <c r="H3140" s="6" t="str">
        <f>VLOOKUP(E3140,dicionario!$A$1:$C3539,3,0)</f>
        <v>falsa-urtiga</v>
      </c>
    </row>
    <row r="3141">
      <c r="A3141" s="3">
        <v>45631.0</v>
      </c>
      <c r="B3141" s="46">
        <v>0.27291666666666664</v>
      </c>
      <c r="C3141" s="5" t="s">
        <v>33</v>
      </c>
      <c r="D3141" s="5" t="s">
        <v>907</v>
      </c>
      <c r="E3141" s="6" t="s">
        <v>171</v>
      </c>
      <c r="F3141" s="5" t="s">
        <v>172</v>
      </c>
      <c r="G3141" s="6" t="str">
        <f>VLOOKUP(E3141,dicionario!$A$1:$C3540,2,0)</f>
        <v>Oxalis corniculata</v>
      </c>
      <c r="H3141" s="6" t="str">
        <f>VLOOKUP(E3141,dicionario!$A$1:$C3540,3,0)</f>
        <v>trevo-azedinho</v>
      </c>
    </row>
    <row r="3142">
      <c r="A3142" s="3">
        <v>45631.0</v>
      </c>
      <c r="B3142" s="46">
        <v>0.27361111111111114</v>
      </c>
      <c r="C3142" s="5" t="s">
        <v>33</v>
      </c>
      <c r="D3142" s="5" t="s">
        <v>907</v>
      </c>
      <c r="E3142" s="6" t="s">
        <v>14</v>
      </c>
      <c r="F3142" s="5" t="s">
        <v>922</v>
      </c>
      <c r="G3142" s="6" t="str">
        <f>VLOOKUP(E3142,dicionario!$A$1:$C3541,2,0)</f>
        <v>Spermacoce verticillata</v>
      </c>
      <c r="H3142" s="6" t="str">
        <f>VLOOKUP(E3142,dicionario!$A$1:$C3541,3,0)</f>
        <v>vassourinha-de-botão</v>
      </c>
    </row>
    <row r="3143">
      <c r="A3143" s="3">
        <v>45631.0</v>
      </c>
      <c r="B3143" s="46">
        <v>0.27361111111111114</v>
      </c>
      <c r="C3143" s="5" t="s">
        <v>33</v>
      </c>
      <c r="D3143" s="5" t="s">
        <v>907</v>
      </c>
      <c r="E3143" s="8" t="s">
        <v>51</v>
      </c>
      <c r="F3143" s="5" t="s">
        <v>923</v>
      </c>
      <c r="G3143" s="6" t="str">
        <f>VLOOKUP(E3143,dicionario!$A$1:$C3542,2,0)</f>
        <v>Solenopsis</v>
      </c>
      <c r="H3143" s="6" t="str">
        <f>VLOOKUP(E3143,dicionario!$A$1:$C3542,3,0)</f>
        <v>formiga-quente; formiga-lava-pés; formiga-de-fogo</v>
      </c>
    </row>
    <row r="3144">
      <c r="A3144" s="3">
        <v>45631.0</v>
      </c>
      <c r="B3144" s="46">
        <v>0.27361111111111114</v>
      </c>
      <c r="C3144" s="5" t="s">
        <v>33</v>
      </c>
      <c r="D3144" s="5" t="s">
        <v>907</v>
      </c>
      <c r="E3144" s="6" t="s">
        <v>401</v>
      </c>
      <c r="F3144" s="5" t="s">
        <v>464</v>
      </c>
      <c r="G3144" s="6" t="str">
        <f>VLOOKUP(E3144,dicionario!$A$1:$C3543,2,0)</f>
        <v>Cissus verticillata</v>
      </c>
      <c r="H3144" s="6" t="str">
        <f>VLOOKUP(E3144,dicionario!$A$1:$C3543,3,0)</f>
        <v>uva-do-mato</v>
      </c>
    </row>
    <row r="3145">
      <c r="A3145" s="3">
        <v>45631.0</v>
      </c>
      <c r="B3145" s="46">
        <v>0.27361111111111114</v>
      </c>
      <c r="C3145" s="5" t="s">
        <v>33</v>
      </c>
      <c r="D3145" s="5" t="s">
        <v>907</v>
      </c>
      <c r="E3145" s="6" t="s">
        <v>144</v>
      </c>
      <c r="F3145" s="5" t="s">
        <v>145</v>
      </c>
      <c r="G3145" s="6" t="str">
        <f>VLOOKUP(E3145,dicionario!$A$1:$C3544,2,0)</f>
        <v>Gomphrena globosa</v>
      </c>
      <c r="H3145" s="6" t="str">
        <f>VLOOKUP(E3145,dicionario!$A$1:$C3544,3,0)</f>
        <v>perpétua-rosa</v>
      </c>
    </row>
    <row r="3146">
      <c r="A3146" s="3">
        <v>45631.0</v>
      </c>
      <c r="B3146" s="46">
        <v>0.27361111111111114</v>
      </c>
      <c r="C3146" s="5" t="s">
        <v>33</v>
      </c>
      <c r="D3146" s="5" t="s">
        <v>907</v>
      </c>
      <c r="E3146" s="6" t="s">
        <v>288</v>
      </c>
      <c r="F3146" s="5" t="s">
        <v>289</v>
      </c>
      <c r="G3146" s="6" t="str">
        <f>VLOOKUP(E3146,dicionario!$A$1:$C3545,2,0)</f>
        <v>Phyllanthus tenellus</v>
      </c>
      <c r="H3146" s="6" t="str">
        <f>VLOOKUP(E3146,dicionario!$A$1:$C3545,3,0)</f>
        <v>quebra-pedra</v>
      </c>
    </row>
    <row r="3147">
      <c r="A3147" s="3">
        <v>45631.0</v>
      </c>
      <c r="B3147" s="46">
        <v>0.27361111111111114</v>
      </c>
      <c r="C3147" s="5" t="s">
        <v>33</v>
      </c>
      <c r="D3147" s="5" t="s">
        <v>907</v>
      </c>
      <c r="E3147" s="8" t="s">
        <v>41</v>
      </c>
      <c r="F3147" s="5" t="s">
        <v>45</v>
      </c>
      <c r="G3147" s="6" t="str">
        <f>VLOOKUP(E3147,dicionario!$A$1:$C3546,2,0)</f>
        <v>Mimosa pudica</v>
      </c>
      <c r="H3147" s="6" t="str">
        <f>VLOOKUP(E3147,dicionario!$A$1:$C3546,3,0)</f>
        <v>dormideira</v>
      </c>
    </row>
    <row r="3148">
      <c r="A3148" s="3">
        <v>45631.0</v>
      </c>
      <c r="B3148" s="46">
        <v>0.27361111111111114</v>
      </c>
      <c r="C3148" s="5" t="s">
        <v>33</v>
      </c>
      <c r="D3148" s="5" t="s">
        <v>907</v>
      </c>
      <c r="E3148" s="6" t="s">
        <v>146</v>
      </c>
      <c r="F3148" s="5" t="s">
        <v>147</v>
      </c>
      <c r="G3148" s="6" t="str">
        <f>VLOOKUP(E3148,dicionario!$A$1:$C3547,2,0)</f>
        <v>Euphorbia hirta</v>
      </c>
      <c r="H3148" s="6" t="str">
        <f>VLOOKUP(E3148,dicionario!$A$1:$C3547,3,0)</f>
        <v>erva-de-santa-luzia</v>
      </c>
    </row>
    <row r="3149">
      <c r="A3149" s="3">
        <v>45631.0</v>
      </c>
      <c r="B3149" s="46">
        <v>0.2743055555555556</v>
      </c>
      <c r="C3149" s="5" t="s">
        <v>33</v>
      </c>
      <c r="D3149" s="5" t="s">
        <v>907</v>
      </c>
      <c r="E3149" s="6" t="s">
        <v>181</v>
      </c>
      <c r="F3149" s="5" t="s">
        <v>182</v>
      </c>
      <c r="G3149" s="6" t="str">
        <f>VLOOKUP(E3149,dicionario!$A$1:$C3548,2,0)</f>
        <v>#N/A</v>
      </c>
      <c r="H3149" s="6" t="str">
        <f>VLOOKUP(E3149,dicionario!$A$1:$C3548,3,0)</f>
        <v>#N/A</v>
      </c>
    </row>
    <row r="3150">
      <c r="A3150" s="3">
        <v>45631.0</v>
      </c>
      <c r="B3150" s="46">
        <v>0.2743055555555556</v>
      </c>
      <c r="C3150" s="5" t="s">
        <v>33</v>
      </c>
      <c r="D3150" s="5" t="s">
        <v>907</v>
      </c>
      <c r="E3150" s="6" t="s">
        <v>122</v>
      </c>
      <c r="F3150" s="7" t="s">
        <v>123</v>
      </c>
      <c r="G3150" s="6" t="str">
        <f>VLOOKUP(E3150,dicionario!$A$1:$C3549,2,0)</f>
        <v>Todirostrum cinereum</v>
      </c>
      <c r="H3150" s="6" t="str">
        <f>VLOOKUP(E3150,dicionario!$A$1:$C3549,3,0)</f>
        <v>ferreirinho-relógio</v>
      </c>
    </row>
    <row r="3151">
      <c r="A3151" s="3">
        <v>45631.0</v>
      </c>
      <c r="B3151" s="46">
        <v>0.2743055555555556</v>
      </c>
      <c r="C3151" s="5" t="s">
        <v>33</v>
      </c>
      <c r="D3151" s="5" t="s">
        <v>907</v>
      </c>
      <c r="E3151" s="6" t="s">
        <v>267</v>
      </c>
      <c r="F3151" s="5" t="s">
        <v>268</v>
      </c>
      <c r="G3151" s="6" t="str">
        <f>VLOOKUP(E3151,dicionario!$A$1:$C3550,2,0)</f>
        <v>Solanum americanum</v>
      </c>
      <c r="H3151" s="6" t="str">
        <f>VLOOKUP(E3151,dicionario!$A$1:$C3550,3,0)</f>
        <v>maria-pretinha</v>
      </c>
    </row>
    <row r="3152">
      <c r="A3152" s="3">
        <v>45631.0</v>
      </c>
      <c r="B3152" s="46">
        <v>0.2743055555555556</v>
      </c>
      <c r="C3152" s="5" t="s">
        <v>33</v>
      </c>
      <c r="D3152" s="5" t="s">
        <v>907</v>
      </c>
      <c r="E3152" s="6" t="s">
        <v>271</v>
      </c>
      <c r="F3152" s="7" t="s">
        <v>272</v>
      </c>
      <c r="G3152" s="6" t="str">
        <f>VLOOKUP(E3152,dicionario!$A$1:$C3551,2,0)</f>
        <v>Cyanthillium cinereum</v>
      </c>
      <c r="H3152" s="6" t="str">
        <f>VLOOKUP(E3152,dicionario!$A$1:$C3551,3,0)</f>
        <v>emília</v>
      </c>
    </row>
    <row r="3153">
      <c r="A3153" s="3">
        <v>45631.0</v>
      </c>
      <c r="B3153" s="46">
        <v>0.2743055555555556</v>
      </c>
      <c r="C3153" s="5" t="s">
        <v>33</v>
      </c>
      <c r="D3153" s="5" t="s">
        <v>907</v>
      </c>
      <c r="E3153" s="6" t="s">
        <v>150</v>
      </c>
      <c r="F3153" s="5" t="s">
        <v>151</v>
      </c>
      <c r="G3153" s="6" t="str">
        <f>VLOOKUP(E3153,dicionario!$A$1:$C3552,2,0)</f>
        <v>Amaranthus viridis</v>
      </c>
      <c r="H3153" s="6" t="str">
        <f>VLOOKUP(E3153,dicionario!$A$1:$C3552,3,0)</f>
        <v>caruru-de-mancha</v>
      </c>
    </row>
    <row r="3154">
      <c r="A3154" s="3">
        <v>45631.0</v>
      </c>
      <c r="B3154" s="46">
        <v>0.275</v>
      </c>
      <c r="C3154" s="5" t="s">
        <v>33</v>
      </c>
      <c r="D3154" s="5" t="s">
        <v>907</v>
      </c>
      <c r="E3154" s="6" t="s">
        <v>53</v>
      </c>
      <c r="F3154" s="7" t="s">
        <v>54</v>
      </c>
      <c r="G3154" s="6" t="str">
        <f>VLOOKUP(E3154,dicionario!$A$1:$C3553,2,0)</f>
        <v>Turnera subulata</v>
      </c>
      <c r="H3154" s="6" t="str">
        <f>VLOOKUP(E3154,dicionario!$A$1:$C3553,3,0)</f>
        <v>xanana</v>
      </c>
    </row>
    <row r="3155">
      <c r="A3155" s="3">
        <v>45631.0</v>
      </c>
      <c r="B3155" s="46">
        <v>0.275</v>
      </c>
      <c r="C3155" s="5" t="s">
        <v>33</v>
      </c>
      <c r="D3155" s="5" t="s">
        <v>907</v>
      </c>
      <c r="E3155" s="6" t="s">
        <v>517</v>
      </c>
      <c r="F3155" s="7" t="s">
        <v>518</v>
      </c>
      <c r="G3155" s="6" t="str">
        <f>VLOOKUP(E3155,dicionario!$A$1:$C3554,2,0)</f>
        <v>Evolvulus nummularius</v>
      </c>
      <c r="H3155" s="6" t="str">
        <f>VLOOKUP(E3155,dicionario!$A$1:$C3554,3,0)</f>
        <v/>
      </c>
    </row>
    <row r="3156">
      <c r="A3156" s="3">
        <v>45631.0</v>
      </c>
      <c r="B3156" s="46">
        <v>0.275</v>
      </c>
      <c r="C3156" s="5" t="s">
        <v>33</v>
      </c>
      <c r="D3156" s="5" t="s">
        <v>907</v>
      </c>
      <c r="E3156" s="8" t="s">
        <v>723</v>
      </c>
      <c r="F3156" s="5" t="s">
        <v>924</v>
      </c>
      <c r="G3156" s="6" t="str">
        <f>VLOOKUP(E3156,dicionario!$A$1:$C3555,2,0)</f>
        <v>Asemeia violacea</v>
      </c>
      <c r="H3156" s="6" t="str">
        <f>VLOOKUP(E3156,dicionario!$A$1:$C3555,3,0)</f>
        <v/>
      </c>
    </row>
    <row r="3157">
      <c r="A3157" s="3">
        <v>45631.0</v>
      </c>
      <c r="B3157" s="46">
        <v>0.275</v>
      </c>
      <c r="C3157" s="5" t="s">
        <v>33</v>
      </c>
      <c r="D3157" s="5" t="s">
        <v>907</v>
      </c>
      <c r="E3157" s="6" t="s">
        <v>109</v>
      </c>
      <c r="F3157" s="5" t="s">
        <v>110</v>
      </c>
      <c r="G3157" s="6" t="str">
        <f>VLOOKUP(E3157,dicionario!$A$1:$C3556,2,0)</f>
        <v>Tillandsia stricta</v>
      </c>
      <c r="H3157" s="6" t="str">
        <f>VLOOKUP(E3157,dicionario!$A$1:$C3556,3,0)</f>
        <v>cravo-do-mato</v>
      </c>
    </row>
    <row r="3158">
      <c r="A3158" s="3">
        <v>45631.0</v>
      </c>
      <c r="B3158" s="46">
        <v>0.275</v>
      </c>
      <c r="C3158" s="5" t="s">
        <v>33</v>
      </c>
      <c r="D3158" s="5" t="s">
        <v>907</v>
      </c>
      <c r="E3158" s="20" t="s">
        <v>676</v>
      </c>
      <c r="F3158" s="7" t="s">
        <v>677</v>
      </c>
      <c r="G3158" s="6" t="str">
        <f>VLOOKUP(E3158,dicionario!$A$1:$C3557,2,0)</f>
        <v>Zornia latifolia</v>
      </c>
      <c r="H3158" s="6" t="str">
        <f>VLOOKUP(E3158,dicionario!$A$1:$C3557,3,0)</f>
        <v>arrozinho-do-campo</v>
      </c>
    </row>
    <row r="3159">
      <c r="A3159" s="3">
        <v>45631.0</v>
      </c>
      <c r="B3159" s="46">
        <v>0.275</v>
      </c>
      <c r="C3159" s="5" t="s">
        <v>33</v>
      </c>
      <c r="D3159" s="5" t="s">
        <v>907</v>
      </c>
      <c r="E3159" s="6" t="s">
        <v>280</v>
      </c>
      <c r="F3159" s="5" t="s">
        <v>438</v>
      </c>
      <c r="G3159" s="6" t="str">
        <f>VLOOKUP(E3159,dicionario!$A$1:$C3558,2,0)</f>
        <v>Lepidium virginicum</v>
      </c>
      <c r="H3159" s="6" t="str">
        <f>VLOOKUP(E3159,dicionario!$A$1:$C3558,3,0)</f>
        <v>mastruz</v>
      </c>
    </row>
    <row r="3160">
      <c r="A3160" s="3">
        <v>45631.0</v>
      </c>
      <c r="B3160" s="46">
        <v>0.275</v>
      </c>
      <c r="C3160" s="5" t="s">
        <v>33</v>
      </c>
      <c r="D3160" s="5" t="s">
        <v>907</v>
      </c>
      <c r="E3160" s="6" t="s">
        <v>227</v>
      </c>
      <c r="F3160" s="5" t="s">
        <v>228</v>
      </c>
      <c r="G3160" s="6" t="str">
        <f>VLOOKUP(E3160,dicionario!$A$1:$C3559,2,0)</f>
        <v>Indigofera hirsuta</v>
      </c>
      <c r="H3160" s="6" t="str">
        <f>VLOOKUP(E3160,dicionario!$A$1:$C3559,3,0)</f>
        <v>anileira</v>
      </c>
    </row>
    <row r="3161">
      <c r="A3161" s="3">
        <v>45631.0</v>
      </c>
      <c r="B3161" s="46">
        <v>0.275</v>
      </c>
      <c r="C3161" s="5" t="s">
        <v>33</v>
      </c>
      <c r="D3161" s="5" t="s">
        <v>907</v>
      </c>
      <c r="E3161" s="6" t="s">
        <v>154</v>
      </c>
      <c r="F3161" s="5" t="s">
        <v>155</v>
      </c>
      <c r="G3161" s="6" t="str">
        <f>VLOOKUP(E3161,dicionario!$A$1:$C3560,2,0)</f>
        <v>Cyperus rotundus</v>
      </c>
      <c r="H3161" s="6" t="str">
        <f>VLOOKUP(E3161,dicionario!$A$1:$C3560,3,0)</f>
        <v>tiririca</v>
      </c>
    </row>
    <row r="3162">
      <c r="A3162" s="3">
        <v>45631.0</v>
      </c>
      <c r="B3162" s="46">
        <v>0.27569444444444446</v>
      </c>
      <c r="C3162" s="5" t="s">
        <v>33</v>
      </c>
      <c r="D3162" s="5" t="s">
        <v>907</v>
      </c>
      <c r="E3162" s="6" t="s">
        <v>702</v>
      </c>
      <c r="F3162" s="7" t="s">
        <v>703</v>
      </c>
      <c r="G3162" s="6" t="str">
        <f>VLOOKUP(E3162,dicionario!$A$1:$C3561,2,0)</f>
        <v>Acacia mangium</v>
      </c>
      <c r="H3162" s="6" t="str">
        <f>VLOOKUP(E3162,dicionario!$A$1:$C3561,3,0)</f>
        <v>acácia</v>
      </c>
    </row>
    <row r="3163">
      <c r="A3163" s="3">
        <v>45631.0</v>
      </c>
      <c r="B3163" s="46">
        <v>0.27569444444444446</v>
      </c>
      <c r="C3163" s="5" t="s">
        <v>33</v>
      </c>
      <c r="D3163" s="5" t="s">
        <v>907</v>
      </c>
      <c r="E3163" s="8" t="s">
        <v>126</v>
      </c>
      <c r="F3163" s="5" t="s">
        <v>127</v>
      </c>
      <c r="G3163" s="6" t="str">
        <f>VLOOKUP(E3163,dicionario!$A$1:$C3562,2,0)</f>
        <v>Bryophyta</v>
      </c>
      <c r="H3163" s="6" t="str">
        <f>VLOOKUP(E3163,dicionario!$A$1:$C3562,3,0)</f>
        <v>musgo</v>
      </c>
    </row>
    <row r="3164">
      <c r="A3164" s="3">
        <v>45631.0</v>
      </c>
      <c r="B3164" s="46">
        <v>0.27569444444444446</v>
      </c>
      <c r="C3164" s="5" t="s">
        <v>33</v>
      </c>
      <c r="D3164" s="5" t="s">
        <v>907</v>
      </c>
      <c r="E3164" s="6" t="s">
        <v>191</v>
      </c>
      <c r="F3164" s="5" t="s">
        <v>192</v>
      </c>
      <c r="G3164" s="6" t="str">
        <f>VLOOKUP(E3164,dicionario!$A$1:$C3563,2,0)</f>
        <v>Patagioenas picazuro</v>
      </c>
      <c r="H3164" s="6" t="str">
        <f>VLOOKUP(E3164,dicionario!$A$1:$C3563,3,0)</f>
        <v>asa-branca; pomba-asa-branca; pocaçu</v>
      </c>
    </row>
    <row r="3165">
      <c r="A3165" s="3">
        <v>45631.0</v>
      </c>
      <c r="B3165" s="46">
        <v>0.2763888888888889</v>
      </c>
      <c r="C3165" s="5" t="s">
        <v>33</v>
      </c>
      <c r="D3165" s="5" t="s">
        <v>907</v>
      </c>
      <c r="E3165" s="8" t="s">
        <v>535</v>
      </c>
      <c r="F3165" s="5" t="s">
        <v>395</v>
      </c>
      <c r="G3165" s="6" t="str">
        <f>VLOOKUP(E3165,dicionario!$A$1:$C3564,2,0)</f>
        <v>Odonata</v>
      </c>
      <c r="H3165" s="6" t="str">
        <f>VLOOKUP(E3165,dicionario!$A$1:$C3564,3,0)</f>
        <v>libélula</v>
      </c>
    </row>
    <row r="3166">
      <c r="A3166" s="3">
        <v>45631.0</v>
      </c>
      <c r="B3166" s="46">
        <v>0.2763888888888889</v>
      </c>
      <c r="C3166" s="5" t="s">
        <v>33</v>
      </c>
      <c r="D3166" s="5" t="s">
        <v>907</v>
      </c>
      <c r="E3166" s="8" t="s">
        <v>223</v>
      </c>
      <c r="F3166" s="5" t="s">
        <v>224</v>
      </c>
      <c r="G3166" s="6" t="str">
        <f>VLOOKUP(E3166,dicionario!$A$1:$C3565,2,0)</f>
        <v>Rhipsalis lindbergiana</v>
      </c>
      <c r="H3166" s="6" t="str">
        <f>VLOOKUP(E3166,dicionario!$A$1:$C3565,3,0)</f>
        <v>cacto-macarrão</v>
      </c>
    </row>
    <row r="3167">
      <c r="A3167" s="3">
        <v>45631.0</v>
      </c>
      <c r="B3167" s="46">
        <v>0.2763888888888889</v>
      </c>
      <c r="C3167" s="5" t="s">
        <v>33</v>
      </c>
      <c r="D3167" s="5" t="s">
        <v>907</v>
      </c>
      <c r="E3167" s="6" t="s">
        <v>113</v>
      </c>
      <c r="F3167" s="5" t="s">
        <v>114</v>
      </c>
      <c r="G3167" s="6" t="str">
        <f>VLOOKUP(E3167,dicionario!$A$1:$C3566,2,0)</f>
        <v>Columbina talpacoti</v>
      </c>
      <c r="H3167" s="6" t="str">
        <f>VLOOKUP(E3167,dicionario!$A$1:$C3566,3,0)</f>
        <v>rolinha-roxa</v>
      </c>
    </row>
    <row r="3168">
      <c r="A3168" s="3">
        <v>45631.0</v>
      </c>
      <c r="B3168" s="46">
        <v>0.27708333333333335</v>
      </c>
      <c r="C3168" s="5" t="s">
        <v>33</v>
      </c>
      <c r="D3168" s="5" t="s">
        <v>907</v>
      </c>
      <c r="E3168" s="8" t="s">
        <v>375</v>
      </c>
      <c r="F3168" s="5" t="s">
        <v>35</v>
      </c>
      <c r="G3168" s="6" t="str">
        <f>VLOOKUP(E3168,dicionario!$A$1:$C3567,2,0)</f>
        <v>Neoponera foetida</v>
      </c>
      <c r="H3168" s="6" t="str">
        <f>VLOOKUP(E3168,dicionario!$A$1:$C3567,3,0)</f>
        <v/>
      </c>
    </row>
    <row r="3169">
      <c r="A3169" s="3">
        <v>45631.0</v>
      </c>
      <c r="B3169" s="46">
        <v>0.27708333333333335</v>
      </c>
      <c r="C3169" s="5" t="s">
        <v>33</v>
      </c>
      <c r="D3169" s="5" t="s">
        <v>907</v>
      </c>
      <c r="E3169" s="8" t="s">
        <v>385</v>
      </c>
      <c r="F3169" s="5" t="s">
        <v>386</v>
      </c>
      <c r="G3169" s="6" t="str">
        <f>VLOOKUP(E3169,dicionario!$A$1:$C3568,2,0)</f>
        <v>Psidium guajava</v>
      </c>
      <c r="H3169" s="6" t="str">
        <f>VLOOKUP(E3169,dicionario!$A$1:$C3568,3,0)</f>
        <v>goiaba</v>
      </c>
    </row>
    <row r="3170">
      <c r="A3170" s="3">
        <v>45631.0</v>
      </c>
      <c r="B3170" s="46">
        <v>0.27708333333333335</v>
      </c>
      <c r="C3170" s="5" t="s">
        <v>33</v>
      </c>
      <c r="D3170" s="5" t="s">
        <v>907</v>
      </c>
      <c r="E3170" s="8" t="s">
        <v>688</v>
      </c>
      <c r="F3170" s="5" t="s">
        <v>121</v>
      </c>
      <c r="G3170" s="6" t="str">
        <f>VLOOKUP(E3170,dicionario!$A$1:$C3569,2,0)</f>
        <v>Fidicina</v>
      </c>
      <c r="H3170" s="6" t="str">
        <f>VLOOKUP(E3170,dicionario!$A$1:$C3569,3,0)</f>
        <v>cigarra</v>
      </c>
    </row>
    <row r="3171">
      <c r="A3171" s="3">
        <v>45631.0</v>
      </c>
      <c r="B3171" s="46">
        <v>0.2791666666666667</v>
      </c>
      <c r="C3171" s="5" t="s">
        <v>33</v>
      </c>
      <c r="D3171" s="5" t="s">
        <v>907</v>
      </c>
      <c r="E3171" s="8" t="s">
        <v>38</v>
      </c>
      <c r="F3171" s="5" t="s">
        <v>39</v>
      </c>
      <c r="G3171" s="6" t="str">
        <f>VLOOKUP(E3171,dicionario!$A$1:$C3570,2,0)</f>
        <v>Troglodytes musculus</v>
      </c>
      <c r="H3171" s="6" t="str">
        <f>VLOOKUP(E3171,dicionario!$A$1:$C3570,3,0)</f>
        <v>curruíra</v>
      </c>
    </row>
    <row r="3172">
      <c r="A3172" s="3">
        <v>45631.0</v>
      </c>
      <c r="B3172" s="46">
        <v>0.2791666666666667</v>
      </c>
      <c r="C3172" s="5" t="s">
        <v>33</v>
      </c>
      <c r="D3172" s="5" t="s">
        <v>907</v>
      </c>
      <c r="E3172" s="6" t="s">
        <v>20</v>
      </c>
      <c r="F3172" s="7" t="s">
        <v>21</v>
      </c>
      <c r="G3172" s="6" t="str">
        <f>VLOOKUP(E3172,dicionario!$A$1:$C3571,2,0)</f>
        <v>Sicalis flaveola</v>
      </c>
      <c r="H3172" s="6" t="str">
        <f>VLOOKUP(E3172,dicionario!$A$1:$C3571,3,0)</f>
        <v>canário-da-terra</v>
      </c>
    </row>
    <row r="3173">
      <c r="A3173" s="3">
        <v>45631.0</v>
      </c>
      <c r="B3173" s="46">
        <v>0.2791666666666667</v>
      </c>
      <c r="C3173" s="5" t="s">
        <v>33</v>
      </c>
      <c r="D3173" s="5" t="s">
        <v>907</v>
      </c>
      <c r="E3173" s="6" t="s">
        <v>519</v>
      </c>
      <c r="F3173" s="5" t="s">
        <v>925</v>
      </c>
      <c r="G3173" s="6" t="str">
        <f>VLOOKUP(E3173,dicionario!$A$1:$C3572,2,0)</f>
        <v>Drosophila melanogaster</v>
      </c>
      <c r="H3173" s="6" t="str">
        <f>VLOOKUP(E3173,dicionario!$A$1:$C3572,3,0)</f>
        <v>mitinga/mosca-da-fruta</v>
      </c>
    </row>
    <row r="3174">
      <c r="A3174" s="3">
        <v>45631.0</v>
      </c>
      <c r="B3174" s="46">
        <v>0.2798611111111111</v>
      </c>
      <c r="C3174" s="5" t="s">
        <v>33</v>
      </c>
      <c r="D3174" s="5" t="s">
        <v>907</v>
      </c>
      <c r="E3174" s="8" t="s">
        <v>258</v>
      </c>
      <c r="F3174" s="5" t="s">
        <v>259</v>
      </c>
      <c r="G3174" s="6" t="str">
        <f>VLOOKUP(E3174,dicionario!$A$1:$C3573,2,0)</f>
        <v>Lantana camara</v>
      </c>
      <c r="H3174" s="6" t="str">
        <f>VLOOKUP(E3174,dicionario!$A$1:$C3573,3,0)</f>
        <v>lantana</v>
      </c>
    </row>
    <row r="3175">
      <c r="A3175" s="3">
        <v>45631.0</v>
      </c>
      <c r="B3175" s="46">
        <v>0.28055555555555556</v>
      </c>
      <c r="C3175" s="5" t="s">
        <v>33</v>
      </c>
      <c r="D3175" s="5" t="s">
        <v>907</v>
      </c>
      <c r="E3175" s="6" t="s">
        <v>355</v>
      </c>
      <c r="F3175" s="5" t="s">
        <v>356</v>
      </c>
      <c r="G3175" s="6" t="str">
        <f>VLOOKUP(E3175,dicionario!$A$1:$C3574,2,0)</f>
        <v>Boerhavia diffusa</v>
      </c>
      <c r="H3175" s="6" t="str">
        <f>VLOOKUP(E3175,dicionario!$A$1:$C3574,3,0)</f>
        <v>erva-tostão</v>
      </c>
    </row>
    <row r="3176">
      <c r="A3176" s="3">
        <v>45631.0</v>
      </c>
      <c r="B3176" s="46">
        <v>0.28125</v>
      </c>
      <c r="C3176" s="5" t="s">
        <v>33</v>
      </c>
      <c r="D3176" s="5" t="s">
        <v>907</v>
      </c>
      <c r="E3176" s="6" t="s">
        <v>613</v>
      </c>
      <c r="F3176" s="5" t="s">
        <v>614</v>
      </c>
      <c r="G3176" s="6" t="str">
        <f>VLOOKUP(E3176,dicionario!$A$1:$C3575,2,0)</f>
        <v>Euphorbia hyssopifolia</v>
      </c>
      <c r="H3176" s="6" t="str">
        <f>VLOOKUP(E3176,dicionario!$A$1:$C3575,3,0)</f>
        <v>maria-leite</v>
      </c>
    </row>
    <row r="3177">
      <c r="A3177" s="3">
        <v>45631.0</v>
      </c>
      <c r="B3177" s="46">
        <v>0.28125</v>
      </c>
      <c r="C3177" s="5" t="s">
        <v>33</v>
      </c>
      <c r="D3177" s="5" t="s">
        <v>907</v>
      </c>
      <c r="E3177" s="6" t="s">
        <v>14</v>
      </c>
      <c r="F3177" s="5" t="s">
        <v>15</v>
      </c>
      <c r="G3177" s="6" t="str">
        <f>VLOOKUP(E3177,dicionario!$A$1:$C3576,2,0)</f>
        <v>Spermacoce verticillata</v>
      </c>
      <c r="H3177" s="6" t="str">
        <f>VLOOKUP(E3177,dicionario!$A$1:$C3576,3,0)</f>
        <v>vassourinha-de-botão</v>
      </c>
    </row>
    <row r="3178">
      <c r="A3178" s="3">
        <v>45631.0</v>
      </c>
      <c r="B3178" s="46">
        <v>0.28125</v>
      </c>
      <c r="C3178" s="5" t="s">
        <v>33</v>
      </c>
      <c r="D3178" s="5" t="s">
        <v>907</v>
      </c>
      <c r="E3178" s="6" t="s">
        <v>135</v>
      </c>
      <c r="F3178" s="5" t="s">
        <v>136</v>
      </c>
      <c r="G3178" s="6" t="str">
        <f>VLOOKUP(E3178,dicionario!$A$1:$C3577,2,0)</f>
        <v>Tridax procumbens</v>
      </c>
      <c r="H3178" s="6" t="str">
        <f>VLOOKUP(E3178,dicionario!$A$1:$C3577,3,0)</f>
        <v>erva-de-touro</v>
      </c>
    </row>
    <row r="3179">
      <c r="A3179" s="3">
        <v>45631.0</v>
      </c>
      <c r="B3179" s="46">
        <v>0.28125</v>
      </c>
      <c r="C3179" s="5" t="s">
        <v>33</v>
      </c>
      <c r="D3179" s="5" t="s">
        <v>907</v>
      </c>
      <c r="E3179" s="6" t="s">
        <v>292</v>
      </c>
      <c r="F3179" s="5" t="s">
        <v>293</v>
      </c>
      <c r="G3179" s="6" t="str">
        <f>VLOOKUP(E3179,dicionario!$A$1:$C3578,2,0)</f>
        <v>Ascia monuste</v>
      </c>
      <c r="H3179" s="6" t="str">
        <f>VLOOKUP(E3179,dicionario!$A$1:$C3578,3,0)</f>
        <v>borboleta-da-couve</v>
      </c>
    </row>
    <row r="3180">
      <c r="A3180" s="3">
        <v>45631.0</v>
      </c>
      <c r="B3180" s="46">
        <v>0.28125</v>
      </c>
      <c r="C3180" s="5" t="s">
        <v>33</v>
      </c>
      <c r="D3180" s="5" t="s">
        <v>907</v>
      </c>
      <c r="E3180" s="6" t="s">
        <v>227</v>
      </c>
      <c r="F3180" s="5" t="s">
        <v>228</v>
      </c>
      <c r="G3180" s="6" t="str">
        <f>VLOOKUP(E3180,dicionario!$A$1:$C3579,2,0)</f>
        <v>Indigofera hirsuta</v>
      </c>
      <c r="H3180" s="6" t="str">
        <f>VLOOKUP(E3180,dicionario!$A$1:$C3579,3,0)</f>
        <v>anileira</v>
      </c>
    </row>
    <row r="3181">
      <c r="A3181" s="3">
        <v>45631.0</v>
      </c>
      <c r="B3181" s="46">
        <v>0.28125</v>
      </c>
      <c r="C3181" s="5" t="s">
        <v>33</v>
      </c>
      <c r="D3181" s="5" t="s">
        <v>907</v>
      </c>
      <c r="E3181" s="6" t="s">
        <v>111</v>
      </c>
      <c r="F3181" s="7" t="s">
        <v>112</v>
      </c>
      <c r="G3181" s="6" t="str">
        <f>VLOOKUP(E3181,dicionario!$A$1:$C3580,2,0)</f>
        <v>Trigona spinipes</v>
      </c>
      <c r="H3181" s="6" t="str">
        <f>VLOOKUP(E3181,dicionario!$A$1:$C3580,3,0)</f>
        <v>abelha-cachorro</v>
      </c>
    </row>
    <row r="3182">
      <c r="A3182" s="3">
        <v>45631.0</v>
      </c>
      <c r="B3182" s="46">
        <v>0.28194444444444444</v>
      </c>
      <c r="C3182" s="5" t="s">
        <v>926</v>
      </c>
      <c r="D3182" s="5" t="s">
        <v>907</v>
      </c>
      <c r="E3182" s="6" t="s">
        <v>146</v>
      </c>
      <c r="F3182" s="5" t="s">
        <v>147</v>
      </c>
      <c r="G3182" s="6" t="str">
        <f>VLOOKUP(E3182,dicionario!$A$1:$C3581,2,0)</f>
        <v>Euphorbia hirta</v>
      </c>
      <c r="H3182" s="6" t="str">
        <f>VLOOKUP(E3182,dicionario!$A$1:$C3581,3,0)</f>
        <v>erva-de-santa-luzia</v>
      </c>
    </row>
    <row r="3183">
      <c r="A3183" s="3">
        <v>45631.0</v>
      </c>
      <c r="B3183" s="46">
        <v>0.28194444444444444</v>
      </c>
      <c r="C3183" s="5" t="s">
        <v>926</v>
      </c>
      <c r="D3183" s="5" t="s">
        <v>907</v>
      </c>
      <c r="E3183" s="8" t="s">
        <v>298</v>
      </c>
      <c r="F3183" s="5" t="s">
        <v>739</v>
      </c>
      <c r="G3183" s="6" t="str">
        <f>VLOOKUP(E3183,dicionario!$A$1:$C3582,2,0)</f>
        <v>Alysicarpus vaginalis</v>
      </c>
      <c r="H3183" s="6" t="str">
        <f>VLOOKUP(E3183,dicionario!$A$1:$C3582,3,0)</f>
        <v/>
      </c>
    </row>
    <row r="3184">
      <c r="A3184" s="3">
        <v>45631.0</v>
      </c>
      <c r="B3184" s="46">
        <v>0.28194444444444444</v>
      </c>
      <c r="C3184" s="5" t="s">
        <v>926</v>
      </c>
      <c r="D3184" s="5" t="s">
        <v>907</v>
      </c>
      <c r="E3184" s="6" t="s">
        <v>296</v>
      </c>
      <c r="F3184" s="5" t="s">
        <v>297</v>
      </c>
      <c r="G3184" s="6" t="str">
        <f>VLOOKUP(E3184,dicionario!$A$1:$C3583,2,0)</f>
        <v>Richardia brasiliensis</v>
      </c>
      <c r="H3184" s="6" t="str">
        <f>VLOOKUP(E3184,dicionario!$A$1:$C3583,3,0)</f>
        <v>poaia-branca</v>
      </c>
    </row>
    <row r="3185">
      <c r="A3185" s="3">
        <v>45631.0</v>
      </c>
      <c r="B3185" s="46">
        <v>0.28194444444444444</v>
      </c>
      <c r="C3185" s="5" t="s">
        <v>926</v>
      </c>
      <c r="D3185" s="5" t="s">
        <v>907</v>
      </c>
      <c r="E3185" s="8" t="s">
        <v>489</v>
      </c>
      <c r="F3185" s="5" t="s">
        <v>521</v>
      </c>
      <c r="G3185" s="6" t="str">
        <f>VLOOKUP(E3185,dicionario!$A$1:$C3584,2,0)</f>
        <v>Cenchrus echinatus</v>
      </c>
      <c r="H3185" s="6" t="str">
        <f>VLOOKUP(E3185,dicionario!$A$1:$C3584,3,0)</f>
        <v>capim-carrapicho</v>
      </c>
    </row>
    <row r="3186">
      <c r="A3186" s="3">
        <v>45631.0</v>
      </c>
      <c r="B3186" s="46">
        <v>0.28194444444444444</v>
      </c>
      <c r="C3186" s="5" t="s">
        <v>926</v>
      </c>
      <c r="D3186" s="5" t="s">
        <v>907</v>
      </c>
      <c r="E3186" s="6" t="s">
        <v>239</v>
      </c>
      <c r="F3186" s="5" t="s">
        <v>240</v>
      </c>
      <c r="G3186" s="6" t="str">
        <f>VLOOKUP(E3186,dicionario!$A$1:$C3585,2,0)</f>
        <v>Gomphrena celosioides</v>
      </c>
      <c r="H3186" s="6" t="str">
        <f>VLOOKUP(E3186,dicionario!$A$1:$C3585,3,0)</f>
        <v>perpétua-branca</v>
      </c>
    </row>
    <row r="3187">
      <c r="A3187" s="3">
        <v>45631.0</v>
      </c>
      <c r="B3187" s="46">
        <v>0.28194444444444444</v>
      </c>
      <c r="C3187" s="5" t="s">
        <v>926</v>
      </c>
      <c r="D3187" s="5" t="s">
        <v>907</v>
      </c>
      <c r="E3187" s="6" t="s">
        <v>286</v>
      </c>
      <c r="F3187" s="5" t="s">
        <v>287</v>
      </c>
      <c r="G3187" s="6" t="str">
        <f>VLOOKUP(E3187,dicionario!$A$1:$C3586,2,0)</f>
        <v>Setaria parviflora</v>
      </c>
      <c r="H3187" s="6" t="str">
        <f>VLOOKUP(E3187,dicionario!$A$1:$C3586,3,0)</f>
        <v>capim-rabo-de-raposa</v>
      </c>
    </row>
    <row r="3188">
      <c r="A3188" s="3">
        <v>45631.0</v>
      </c>
      <c r="B3188" s="46">
        <v>0.28194444444444444</v>
      </c>
      <c r="C3188" s="5" t="s">
        <v>926</v>
      </c>
      <c r="D3188" s="5" t="s">
        <v>907</v>
      </c>
      <c r="E3188" s="6" t="s">
        <v>247</v>
      </c>
      <c r="F3188" s="5" t="s">
        <v>387</v>
      </c>
      <c r="G3188" s="6" t="str">
        <f>VLOOKUP(E3188,dicionario!$A$1:$C3587,2,0)</f>
        <v>Emilia sonchifolia</v>
      </c>
      <c r="H3188" s="6" t="str">
        <f>VLOOKUP(E3188,dicionario!$A$1:$C3587,3,0)</f>
        <v>serralinha</v>
      </c>
    </row>
    <row r="3189">
      <c r="A3189" s="3">
        <v>45631.0</v>
      </c>
      <c r="B3189" s="46">
        <v>0.2826388888888889</v>
      </c>
      <c r="C3189" s="5" t="s">
        <v>926</v>
      </c>
      <c r="D3189" s="5" t="s">
        <v>907</v>
      </c>
      <c r="E3189" s="6" t="s">
        <v>150</v>
      </c>
      <c r="F3189" s="5" t="s">
        <v>151</v>
      </c>
      <c r="G3189" s="6" t="str">
        <f>VLOOKUP(E3189,dicionario!$A$1:$C3588,2,0)</f>
        <v>Amaranthus viridis</v>
      </c>
      <c r="H3189" s="6" t="str">
        <f>VLOOKUP(E3189,dicionario!$A$1:$C3588,3,0)</f>
        <v>caruru-de-mancha</v>
      </c>
    </row>
    <row r="3190">
      <c r="A3190" s="3">
        <v>45631.0</v>
      </c>
      <c r="B3190" s="46">
        <v>0.2826388888888889</v>
      </c>
      <c r="C3190" s="5" t="s">
        <v>926</v>
      </c>
      <c r="D3190" s="5" t="s">
        <v>907</v>
      </c>
      <c r="E3190" s="8" t="s">
        <v>38</v>
      </c>
      <c r="F3190" s="5" t="s">
        <v>39</v>
      </c>
      <c r="G3190" s="6" t="str">
        <f>VLOOKUP(E3190,dicionario!$A$1:$C3589,2,0)</f>
        <v>Troglodytes musculus</v>
      </c>
      <c r="H3190" s="6" t="str">
        <f>VLOOKUP(E3190,dicionario!$A$1:$C3589,3,0)</f>
        <v>curruíra</v>
      </c>
    </row>
    <row r="3191">
      <c r="A3191" s="3">
        <v>45631.0</v>
      </c>
      <c r="B3191" s="46">
        <v>0.2826388888888889</v>
      </c>
      <c r="C3191" s="5" t="s">
        <v>926</v>
      </c>
      <c r="D3191" s="5" t="s">
        <v>907</v>
      </c>
      <c r="E3191" s="6" t="s">
        <v>65</v>
      </c>
      <c r="F3191" s="5" t="s">
        <v>66</v>
      </c>
      <c r="G3191" s="6" t="str">
        <f>VLOOKUP(E3191,dicionario!$A$1:$C3590,2,0)</f>
        <v>Pitangus sulphutarus</v>
      </c>
      <c r="H3191" s="6" t="str">
        <f>VLOOKUP(E3191,dicionario!$A$1:$C3590,3,0)</f>
        <v>bem-te-vi</v>
      </c>
    </row>
    <row r="3192">
      <c r="A3192" s="3">
        <v>45631.0</v>
      </c>
      <c r="B3192" s="46">
        <v>0.2833333333333333</v>
      </c>
      <c r="C3192" s="5" t="s">
        <v>926</v>
      </c>
      <c r="D3192" s="5" t="s">
        <v>907</v>
      </c>
      <c r="E3192" s="6" t="s">
        <v>113</v>
      </c>
      <c r="F3192" s="5" t="s">
        <v>114</v>
      </c>
      <c r="G3192" s="6" t="str">
        <f>VLOOKUP(E3192,dicionario!$A$1:$C3591,2,0)</f>
        <v>Columbina talpacoti</v>
      </c>
      <c r="H3192" s="6" t="str">
        <f>VLOOKUP(E3192,dicionario!$A$1:$C3591,3,0)</f>
        <v>rolinha-roxa</v>
      </c>
    </row>
    <row r="3193">
      <c r="A3193" s="3">
        <v>45631.0</v>
      </c>
      <c r="B3193" s="46">
        <v>0.2833333333333333</v>
      </c>
      <c r="C3193" s="5" t="s">
        <v>926</v>
      </c>
      <c r="D3193" s="5" t="s">
        <v>907</v>
      </c>
      <c r="E3193" s="8" t="s">
        <v>927</v>
      </c>
      <c r="F3193" s="5" t="s">
        <v>25</v>
      </c>
      <c r="G3193" s="6" t="str">
        <f>VLOOKUP(E3193,dicionario!$A$1:$C3592,2,0)</f>
        <v>#N/A</v>
      </c>
      <c r="H3193" s="6" t="str">
        <f>VLOOKUP(E3193,dicionario!$A$1:$C3592,3,0)</f>
        <v>#N/A</v>
      </c>
    </row>
    <row r="3194">
      <c r="A3194" s="3">
        <v>45631.0</v>
      </c>
      <c r="B3194" s="46">
        <v>0.2833333333333333</v>
      </c>
      <c r="C3194" s="5" t="s">
        <v>926</v>
      </c>
      <c r="D3194" s="5" t="s">
        <v>907</v>
      </c>
      <c r="E3194" s="6" t="s">
        <v>154</v>
      </c>
      <c r="F3194" s="5" t="s">
        <v>155</v>
      </c>
      <c r="G3194" s="6" t="str">
        <f>VLOOKUP(E3194,dicionario!$A$1:$C3593,2,0)</f>
        <v>Cyperus rotundus</v>
      </c>
      <c r="H3194" s="6" t="str">
        <f>VLOOKUP(E3194,dicionario!$A$1:$C3593,3,0)</f>
        <v>tiririca</v>
      </c>
    </row>
    <row r="3195">
      <c r="A3195" s="3">
        <v>45631.0</v>
      </c>
      <c r="B3195" s="46">
        <v>0.2833333333333333</v>
      </c>
      <c r="C3195" s="5" t="s">
        <v>926</v>
      </c>
      <c r="D3195" s="5" t="s">
        <v>907</v>
      </c>
      <c r="E3195" s="18" t="s">
        <v>611</v>
      </c>
      <c r="F3195" s="5" t="s">
        <v>612</v>
      </c>
      <c r="G3195" s="6" t="str">
        <f>VLOOKUP(E3195,dicionario!$A$1:$C3594,2,0)</f>
        <v>Boehmeria cylindrica</v>
      </c>
      <c r="H3195" s="6" t="str">
        <f>VLOOKUP(E3195,dicionario!$A$1:$C3594,3,0)</f>
        <v>falsa-urtiga</v>
      </c>
    </row>
    <row r="3196">
      <c r="A3196" s="3">
        <v>45631.0</v>
      </c>
      <c r="B3196" s="46">
        <v>0.28402777777777777</v>
      </c>
      <c r="C3196" s="5" t="s">
        <v>926</v>
      </c>
      <c r="D3196" s="5" t="s">
        <v>907</v>
      </c>
      <c r="E3196" s="8" t="s">
        <v>41</v>
      </c>
      <c r="F3196" s="5" t="s">
        <v>45</v>
      </c>
      <c r="G3196" s="6" t="str">
        <f>VLOOKUP(E3196,dicionario!$A$1:$C3595,2,0)</f>
        <v>Mimosa pudica</v>
      </c>
      <c r="H3196" s="6" t="str">
        <f>VLOOKUP(E3196,dicionario!$A$1:$C3595,3,0)</f>
        <v>dormideira</v>
      </c>
    </row>
    <row r="3197">
      <c r="A3197" s="3">
        <v>45631.0</v>
      </c>
      <c r="B3197" s="46">
        <v>0.28402777777777777</v>
      </c>
      <c r="C3197" s="5" t="s">
        <v>926</v>
      </c>
      <c r="D3197" s="5" t="s">
        <v>907</v>
      </c>
      <c r="E3197" s="6" t="s">
        <v>20</v>
      </c>
      <c r="F3197" s="7" t="s">
        <v>21</v>
      </c>
      <c r="G3197" s="6" t="str">
        <f>VLOOKUP(E3197,dicionario!$A$1:$C3596,2,0)</f>
        <v>Sicalis flaveola</v>
      </c>
      <c r="H3197" s="6" t="str">
        <f>VLOOKUP(E3197,dicionario!$A$1:$C3596,3,0)</f>
        <v>canário-da-terra</v>
      </c>
    </row>
    <row r="3198">
      <c r="A3198" s="3">
        <v>45631.0</v>
      </c>
      <c r="B3198" s="46">
        <v>0.28402777777777777</v>
      </c>
      <c r="C3198" s="5" t="s">
        <v>926</v>
      </c>
      <c r="D3198" s="5" t="s">
        <v>907</v>
      </c>
      <c r="E3198" s="8" t="s">
        <v>928</v>
      </c>
      <c r="F3198" s="5" t="s">
        <v>170</v>
      </c>
      <c r="G3198" s="6" t="str">
        <f>VLOOKUP(E3198,dicionario!$A$1:$C3597,2,0)</f>
        <v>Camponotus</v>
      </c>
      <c r="H3198" s="6" t="str">
        <f>VLOOKUP(E3198,dicionario!$A$1:$C3597,3,0)</f>
        <v>formiga-preta</v>
      </c>
    </row>
    <row r="3199">
      <c r="A3199" s="3">
        <v>45631.0</v>
      </c>
      <c r="B3199" s="46">
        <v>0.28402777777777777</v>
      </c>
      <c r="C3199" s="5" t="s">
        <v>926</v>
      </c>
      <c r="D3199" s="5" t="s">
        <v>907</v>
      </c>
      <c r="E3199" s="8" t="s">
        <v>338</v>
      </c>
      <c r="F3199" s="5" t="s">
        <v>929</v>
      </c>
      <c r="G3199" s="6" t="str">
        <f>VLOOKUP(E3199,dicionario!$A$1:$C3598,2,0)</f>
        <v>Atta</v>
      </c>
      <c r="H3199" s="6" t="str">
        <f>VLOOKUP(E3199,dicionario!$A$1:$C3598,3,0)</f>
        <v>saúva</v>
      </c>
    </row>
    <row r="3200">
      <c r="A3200" s="3">
        <v>45631.0</v>
      </c>
      <c r="B3200" s="46">
        <v>0.28541666666666665</v>
      </c>
      <c r="C3200" s="5" t="s">
        <v>926</v>
      </c>
      <c r="D3200" s="5" t="s">
        <v>907</v>
      </c>
      <c r="E3200" s="8" t="s">
        <v>143</v>
      </c>
      <c r="F3200" s="5" t="s">
        <v>63</v>
      </c>
      <c r="G3200" s="6" t="str">
        <f>VLOOKUP(E3200,dicionario!$A$1:$C3599,2,0)</f>
        <v>Polybia</v>
      </c>
      <c r="H3200" s="6" t="str">
        <f>VLOOKUP(E3200,dicionario!$A$1:$C3599,3,0)</f>
        <v>vespa</v>
      </c>
    </row>
    <row r="3201">
      <c r="A3201" s="3">
        <v>45631.0</v>
      </c>
      <c r="B3201" s="46">
        <v>0.28541666666666665</v>
      </c>
      <c r="C3201" s="5" t="s">
        <v>926</v>
      </c>
      <c r="D3201" s="5" t="s">
        <v>907</v>
      </c>
      <c r="E3201" s="8" t="s">
        <v>517</v>
      </c>
      <c r="F3201" s="7" t="s">
        <v>518</v>
      </c>
      <c r="G3201" s="6" t="str">
        <f>VLOOKUP(E3201,dicionario!$A$1:$C3600,2,0)</f>
        <v>Evolvulus nummularius</v>
      </c>
      <c r="H3201" s="6" t="str">
        <f>VLOOKUP(E3201,dicionario!$A$1:$C3600,3,0)</f>
        <v/>
      </c>
    </row>
    <row r="3202">
      <c r="A3202" s="3">
        <v>45631.0</v>
      </c>
      <c r="B3202" s="46">
        <v>0.28541666666666665</v>
      </c>
      <c r="C3202" s="5" t="s">
        <v>926</v>
      </c>
      <c r="D3202" s="5" t="s">
        <v>907</v>
      </c>
      <c r="E3202" s="6" t="s">
        <v>471</v>
      </c>
      <c r="F3202" s="5" t="s">
        <v>472</v>
      </c>
      <c r="G3202" s="6" t="str">
        <f>VLOOKUP(E3202,dicionario!$A$1:$C3601,2,0)</f>
        <v>Sida acuta</v>
      </c>
      <c r="H3202" s="6" t="str">
        <f>VLOOKUP(E3202,dicionario!$A$1:$C3601,3,0)</f>
        <v>reloginho</v>
      </c>
    </row>
    <row r="3203">
      <c r="A3203" s="3">
        <v>45631.0</v>
      </c>
      <c r="B3203" s="46">
        <v>0.28541666666666665</v>
      </c>
      <c r="C3203" s="5" t="s">
        <v>926</v>
      </c>
      <c r="D3203" s="5" t="s">
        <v>907</v>
      </c>
      <c r="E3203" s="12" t="s">
        <v>152</v>
      </c>
      <c r="F3203" s="5" t="s">
        <v>153</v>
      </c>
      <c r="G3203" s="6" t="str">
        <f>VLOOKUP(E3203,dicionario!$A$1:$C3602,2,0)</f>
        <v>Cynodon dactylon</v>
      </c>
      <c r="H3203" s="6" t="str">
        <f>VLOOKUP(E3203,dicionario!$A$1:$C3602,3,0)</f>
        <v>grama-bermuda</v>
      </c>
    </row>
    <row r="3204">
      <c r="A3204" s="3">
        <v>45631.0</v>
      </c>
      <c r="B3204" s="46">
        <v>0.28680555555555554</v>
      </c>
      <c r="C3204" s="5" t="s">
        <v>926</v>
      </c>
      <c r="D3204" s="5" t="s">
        <v>907</v>
      </c>
      <c r="E3204" s="6" t="s">
        <v>401</v>
      </c>
      <c r="F3204" s="5" t="s">
        <v>464</v>
      </c>
      <c r="G3204" s="6" t="str">
        <f>VLOOKUP(E3204,dicionario!$A$1:$C3603,2,0)</f>
        <v>Cissus verticillata</v>
      </c>
      <c r="H3204" s="6" t="str">
        <f>VLOOKUP(E3204,dicionario!$A$1:$C3603,3,0)</f>
        <v>uva-do-mato</v>
      </c>
    </row>
    <row r="3205">
      <c r="A3205" s="3">
        <v>45631.0</v>
      </c>
      <c r="B3205" s="46">
        <v>0.28680555555555554</v>
      </c>
      <c r="C3205" s="5" t="s">
        <v>926</v>
      </c>
      <c r="D3205" s="5" t="s">
        <v>907</v>
      </c>
      <c r="E3205" s="6" t="s">
        <v>271</v>
      </c>
      <c r="F3205" s="7" t="s">
        <v>272</v>
      </c>
      <c r="G3205" s="6" t="str">
        <f>VLOOKUP(E3205,dicionario!$A$1:$C3604,2,0)</f>
        <v>Cyanthillium cinereum</v>
      </c>
      <c r="H3205" s="6" t="str">
        <f>VLOOKUP(E3205,dicionario!$A$1:$C3604,3,0)</f>
        <v>emília</v>
      </c>
    </row>
    <row r="3206">
      <c r="A3206" s="3">
        <v>45631.0</v>
      </c>
      <c r="B3206" s="46">
        <v>0.28680555555555554</v>
      </c>
      <c r="C3206" s="5" t="s">
        <v>926</v>
      </c>
      <c r="D3206" s="5" t="s">
        <v>907</v>
      </c>
      <c r="E3206" s="6" t="s">
        <v>225</v>
      </c>
      <c r="F3206" s="5" t="s">
        <v>226</v>
      </c>
      <c r="G3206" s="6" t="str">
        <f>VLOOKUP(E3206,dicionario!$A$1:$C3605,2,0)</f>
        <v>Passer domesticus</v>
      </c>
      <c r="H3206" s="6" t="str">
        <f>VLOOKUP(E3206,dicionario!$A$1:$C3605,3,0)</f>
        <v>pardal</v>
      </c>
    </row>
    <row r="3207">
      <c r="A3207" s="3">
        <v>45631.0</v>
      </c>
      <c r="B3207" s="46">
        <v>0.28680555555555554</v>
      </c>
      <c r="C3207" s="5" t="s">
        <v>926</v>
      </c>
      <c r="D3207" s="5" t="s">
        <v>907</v>
      </c>
      <c r="E3207" s="6" t="s">
        <v>18</v>
      </c>
      <c r="F3207" s="5" t="s">
        <v>219</v>
      </c>
      <c r="G3207" s="6" t="str">
        <f>VLOOKUP(E3207,dicionario!$A$1:$C3606,2,0)</f>
        <v>Xylocopa frontalis</v>
      </c>
      <c r="H3207" s="6" t="str">
        <f>VLOOKUP(E3207,dicionario!$A$1:$C3606,3,0)</f>
        <v>Mamangava; mangangá; abelha-carpinteira</v>
      </c>
    </row>
    <row r="3208">
      <c r="A3208" s="3">
        <v>45631.0</v>
      </c>
      <c r="B3208" s="46">
        <v>0.2875</v>
      </c>
      <c r="C3208" s="5" t="s">
        <v>926</v>
      </c>
      <c r="D3208" s="5" t="s">
        <v>907</v>
      </c>
      <c r="E3208" s="6" t="s">
        <v>69</v>
      </c>
      <c r="F3208" s="7" t="s">
        <v>71</v>
      </c>
      <c r="G3208" s="6" t="str">
        <f>VLOOKUP(E3208,dicionario!$A$1:$C3607,2,0)</f>
        <v>Talinum fruticosum</v>
      </c>
      <c r="H3208" s="6" t="str">
        <f>VLOOKUP(E3208,dicionario!$A$1:$C3607,3,0)</f>
        <v>beldroega-grande</v>
      </c>
    </row>
    <row r="3209">
      <c r="A3209" s="3">
        <v>45631.0</v>
      </c>
      <c r="B3209" s="46">
        <v>0.2875</v>
      </c>
      <c r="C3209" s="5" t="s">
        <v>926</v>
      </c>
      <c r="D3209" s="5" t="s">
        <v>907</v>
      </c>
      <c r="E3209" s="6" t="s">
        <v>191</v>
      </c>
      <c r="F3209" s="5" t="s">
        <v>192</v>
      </c>
      <c r="G3209" s="6" t="str">
        <f>VLOOKUP(E3209,dicionario!$A$1:$C3608,2,0)</f>
        <v>Patagioenas picazuro</v>
      </c>
      <c r="H3209" s="6" t="str">
        <f>VLOOKUP(E3209,dicionario!$A$1:$C3608,3,0)</f>
        <v>asa-branca; pomba-asa-branca; pocaçu</v>
      </c>
    </row>
    <row r="3210">
      <c r="A3210" s="3">
        <v>45631.0</v>
      </c>
      <c r="B3210" s="46">
        <v>0.2875</v>
      </c>
      <c r="C3210" s="5" t="s">
        <v>926</v>
      </c>
      <c r="D3210" s="5" t="s">
        <v>907</v>
      </c>
      <c r="E3210" s="6" t="s">
        <v>109</v>
      </c>
      <c r="F3210" s="5" t="s">
        <v>110</v>
      </c>
      <c r="G3210" s="6" t="str">
        <f>VLOOKUP(E3210,dicionario!$A$1:$C3609,2,0)</f>
        <v>Tillandsia stricta</v>
      </c>
      <c r="H3210" s="6" t="str">
        <f>VLOOKUP(E3210,dicionario!$A$1:$C3609,3,0)</f>
        <v>cravo-do-mato</v>
      </c>
    </row>
    <row r="3211">
      <c r="A3211" s="3">
        <v>45631.0</v>
      </c>
      <c r="B3211" s="46">
        <v>0.28888888888888886</v>
      </c>
      <c r="C3211" s="5" t="s">
        <v>926</v>
      </c>
      <c r="D3211" s="5" t="s">
        <v>907</v>
      </c>
      <c r="E3211" s="6" t="s">
        <v>682</v>
      </c>
      <c r="F3211" s="5" t="s">
        <v>683</v>
      </c>
      <c r="G3211" s="6" t="str">
        <f>VLOOKUP(E3211,dicionario!$A$1:$C3610,2,0)</f>
        <v>Lagria villosa</v>
      </c>
      <c r="H3211" s="6" t="str">
        <f>VLOOKUP(E3211,dicionario!$A$1:$C3610,3,0)</f>
        <v>bicho-capixaba</v>
      </c>
    </row>
    <row r="3212">
      <c r="A3212" s="3">
        <v>45631.0</v>
      </c>
      <c r="B3212" s="46">
        <v>0.28888888888888886</v>
      </c>
      <c r="C3212" s="5" t="s">
        <v>926</v>
      </c>
      <c r="D3212" s="5" t="s">
        <v>907</v>
      </c>
      <c r="E3212" s="6" t="s">
        <v>181</v>
      </c>
      <c r="F3212" s="5" t="s">
        <v>182</v>
      </c>
      <c r="G3212" s="6" t="str">
        <f>VLOOKUP(E3212,dicionario!$A$1:$C3611,2,0)</f>
        <v>#N/A</v>
      </c>
      <c r="H3212" s="6" t="str">
        <f>VLOOKUP(E3212,dicionario!$A$1:$C3611,3,0)</f>
        <v>#N/A</v>
      </c>
    </row>
    <row r="3213">
      <c r="A3213" s="3">
        <v>45631.0</v>
      </c>
      <c r="B3213" s="46">
        <v>0.28888888888888886</v>
      </c>
      <c r="C3213" s="5" t="s">
        <v>926</v>
      </c>
      <c r="D3213" s="5" t="s">
        <v>907</v>
      </c>
      <c r="E3213" s="6" t="s">
        <v>288</v>
      </c>
      <c r="F3213" s="5" t="s">
        <v>289</v>
      </c>
      <c r="G3213" s="6" t="str">
        <f>VLOOKUP(E3213,dicionario!$A$1:$C3612,2,0)</f>
        <v>Phyllanthus tenellus</v>
      </c>
      <c r="H3213" s="6" t="str">
        <f>VLOOKUP(E3213,dicionario!$A$1:$C3612,3,0)</f>
        <v>quebra-pedra</v>
      </c>
    </row>
    <row r="3214">
      <c r="A3214" s="3">
        <v>45631.0</v>
      </c>
      <c r="B3214" s="46">
        <v>0.29375</v>
      </c>
      <c r="C3214" s="5" t="s">
        <v>50</v>
      </c>
      <c r="D3214" s="5" t="s">
        <v>907</v>
      </c>
      <c r="E3214" s="6" t="s">
        <v>148</v>
      </c>
      <c r="F3214" s="5" t="s">
        <v>149</v>
      </c>
      <c r="G3214" s="6" t="str">
        <f>VLOOKUP(E3214,dicionario!$A$1:$C3613,2,0)</f>
        <v>Parthenium hysterophorus</v>
      </c>
      <c r="H3214" s="6" t="str">
        <f>VLOOKUP(E3214,dicionario!$A$1:$C3613,3,0)</f>
        <v>losna-branca</v>
      </c>
    </row>
    <row r="3215">
      <c r="A3215" s="3">
        <v>45631.0</v>
      </c>
      <c r="B3215" s="46">
        <v>0.29375</v>
      </c>
      <c r="C3215" s="5" t="s">
        <v>50</v>
      </c>
      <c r="D3215" s="5" t="s">
        <v>907</v>
      </c>
      <c r="E3215" s="6" t="s">
        <v>471</v>
      </c>
      <c r="F3215" s="5" t="s">
        <v>472</v>
      </c>
      <c r="G3215" s="6" t="str">
        <f>VLOOKUP(E3215,dicionario!$A$1:$C3614,2,0)</f>
        <v>Sida acuta</v>
      </c>
      <c r="H3215" s="6" t="str">
        <f>VLOOKUP(E3215,dicionario!$A$1:$C3614,3,0)</f>
        <v>reloginho</v>
      </c>
    </row>
    <row r="3216">
      <c r="A3216" s="3">
        <v>45631.0</v>
      </c>
      <c r="B3216" s="46">
        <v>0.29375</v>
      </c>
      <c r="C3216" s="5" t="s">
        <v>50</v>
      </c>
      <c r="D3216" s="5" t="s">
        <v>907</v>
      </c>
      <c r="E3216" s="6" t="s">
        <v>296</v>
      </c>
      <c r="F3216" s="5" t="s">
        <v>297</v>
      </c>
      <c r="G3216" s="6" t="str">
        <f>VLOOKUP(E3216,dicionario!$A$1:$C3615,2,0)</f>
        <v>Richardia brasiliensis</v>
      </c>
      <c r="H3216" s="6" t="str">
        <f>VLOOKUP(E3216,dicionario!$A$1:$C3615,3,0)</f>
        <v>poaia-branca</v>
      </c>
    </row>
    <row r="3217">
      <c r="A3217" s="3">
        <v>45631.0</v>
      </c>
      <c r="B3217" s="46">
        <v>0.29375</v>
      </c>
      <c r="C3217" s="5" t="s">
        <v>50</v>
      </c>
      <c r="D3217" s="5" t="s">
        <v>907</v>
      </c>
      <c r="E3217" s="6" t="s">
        <v>271</v>
      </c>
      <c r="F3217" s="7" t="s">
        <v>272</v>
      </c>
      <c r="G3217" s="6" t="str">
        <f>VLOOKUP(E3217,dicionario!$A$1:$C3616,2,0)</f>
        <v>Cyanthillium cinereum</v>
      </c>
      <c r="H3217" s="6" t="str">
        <f>VLOOKUP(E3217,dicionario!$A$1:$C3616,3,0)</f>
        <v>emília</v>
      </c>
    </row>
    <row r="3218">
      <c r="A3218" s="3">
        <v>45631.0</v>
      </c>
      <c r="B3218" s="46">
        <v>0.29375</v>
      </c>
      <c r="C3218" s="5" t="s">
        <v>50</v>
      </c>
      <c r="D3218" s="5" t="s">
        <v>907</v>
      </c>
      <c r="E3218" s="6" t="s">
        <v>253</v>
      </c>
      <c r="F3218" s="5" t="s">
        <v>254</v>
      </c>
      <c r="G3218" s="6" t="str">
        <f>VLOOKUP(E3218,dicionario!$A$1:$C3617,2,0)</f>
        <v>Panicum maximum</v>
      </c>
      <c r="H3218" s="6" t="str">
        <f>VLOOKUP(E3218,dicionario!$A$1:$C3617,3,0)</f>
        <v>capim-colonião</v>
      </c>
    </row>
    <row r="3219">
      <c r="A3219" s="3">
        <v>45631.0</v>
      </c>
      <c r="B3219" s="46">
        <v>0.29375</v>
      </c>
      <c r="C3219" s="5" t="s">
        <v>50</v>
      </c>
      <c r="D3219" s="5" t="s">
        <v>907</v>
      </c>
      <c r="E3219" s="6" t="s">
        <v>286</v>
      </c>
      <c r="F3219" s="5" t="s">
        <v>287</v>
      </c>
      <c r="G3219" s="6" t="str">
        <f>VLOOKUP(E3219,dicionario!$A$1:$C3618,2,0)</f>
        <v>Setaria parviflora</v>
      </c>
      <c r="H3219" s="6" t="str">
        <f>VLOOKUP(E3219,dicionario!$A$1:$C3618,3,0)</f>
        <v>capim-rabo-de-raposa</v>
      </c>
    </row>
    <row r="3220">
      <c r="A3220" s="3">
        <v>45631.0</v>
      </c>
      <c r="B3220" s="46">
        <v>0.29375</v>
      </c>
      <c r="C3220" s="5" t="s">
        <v>50</v>
      </c>
      <c r="D3220" s="5" t="s">
        <v>907</v>
      </c>
      <c r="E3220" s="6" t="s">
        <v>267</v>
      </c>
      <c r="F3220" s="5" t="s">
        <v>268</v>
      </c>
      <c r="G3220" s="6" t="str">
        <f>VLOOKUP(E3220,dicionario!$A$1:$C3619,2,0)</f>
        <v>Solanum americanum</v>
      </c>
      <c r="H3220" s="6" t="str">
        <f>VLOOKUP(E3220,dicionario!$A$1:$C3619,3,0)</f>
        <v>maria-pretinha</v>
      </c>
    </row>
    <row r="3221">
      <c r="A3221" s="3">
        <v>45631.0</v>
      </c>
      <c r="B3221" s="46">
        <v>0.29375</v>
      </c>
      <c r="C3221" s="5" t="s">
        <v>50</v>
      </c>
      <c r="D3221" s="5" t="s">
        <v>907</v>
      </c>
      <c r="E3221" s="6" t="s">
        <v>181</v>
      </c>
      <c r="F3221" s="5" t="s">
        <v>182</v>
      </c>
      <c r="G3221" s="6" t="str">
        <f>VLOOKUP(E3221,dicionario!$A$1:$C3620,2,0)</f>
        <v>#N/A</v>
      </c>
      <c r="H3221" s="6" t="str">
        <f>VLOOKUP(E3221,dicionario!$A$1:$C3620,3,0)</f>
        <v>#N/A</v>
      </c>
    </row>
    <row r="3222">
      <c r="A3222" s="3">
        <v>45631.0</v>
      </c>
      <c r="B3222" s="46">
        <v>0.29444444444444445</v>
      </c>
      <c r="C3222" s="5" t="s">
        <v>50</v>
      </c>
      <c r="D3222" s="5" t="s">
        <v>907</v>
      </c>
      <c r="E3222" s="6" t="s">
        <v>69</v>
      </c>
      <c r="F3222" s="7" t="s">
        <v>71</v>
      </c>
      <c r="G3222" s="6" t="str">
        <f>VLOOKUP(E3222,dicionario!$A$1:$C3621,2,0)</f>
        <v>Talinum fruticosum</v>
      </c>
      <c r="H3222" s="6" t="str">
        <f>VLOOKUP(E3222,dicionario!$A$1:$C3621,3,0)</f>
        <v>beldroega-grande</v>
      </c>
    </row>
    <row r="3223">
      <c r="A3223" s="3">
        <v>45631.0</v>
      </c>
      <c r="B3223" s="46">
        <v>0.29444444444444445</v>
      </c>
      <c r="C3223" s="5" t="s">
        <v>50</v>
      </c>
      <c r="D3223" s="5" t="s">
        <v>907</v>
      </c>
      <c r="E3223" s="8" t="s">
        <v>821</v>
      </c>
      <c r="F3223" s="5" t="s">
        <v>876</v>
      </c>
      <c r="G3223" s="6" t="str">
        <f>VLOOKUP(E3223,dicionario!$A$1:$C3622,2,0)</f>
        <v>Schefflera actinophylla</v>
      </c>
      <c r="H3223" s="6" t="str">
        <f>VLOOKUP(E3223,dicionario!$A$1:$C3622,3,0)</f>
        <v>árvore-guarda-chuva</v>
      </c>
    </row>
    <row r="3224">
      <c r="A3224" s="3">
        <v>45631.0</v>
      </c>
      <c r="B3224" s="46">
        <v>0.29444444444444445</v>
      </c>
      <c r="C3224" s="5" t="s">
        <v>50</v>
      </c>
      <c r="D3224" s="5" t="s">
        <v>907</v>
      </c>
      <c r="E3224" s="6" t="s">
        <v>113</v>
      </c>
      <c r="F3224" s="5" t="s">
        <v>114</v>
      </c>
      <c r="G3224" s="6" t="str">
        <f>VLOOKUP(E3224,dicionario!$A$1:$C3623,2,0)</f>
        <v>Columbina talpacoti</v>
      </c>
      <c r="H3224" s="6" t="str">
        <f>VLOOKUP(E3224,dicionario!$A$1:$C3623,3,0)</f>
        <v>rolinha-roxa</v>
      </c>
    </row>
    <row r="3225">
      <c r="A3225" s="3">
        <v>45631.0</v>
      </c>
      <c r="B3225" s="46">
        <v>0.29444444444444445</v>
      </c>
      <c r="C3225" s="5" t="s">
        <v>50</v>
      </c>
      <c r="D3225" s="5" t="s">
        <v>907</v>
      </c>
      <c r="E3225" s="8" t="s">
        <v>866</v>
      </c>
      <c r="F3225" s="5" t="s">
        <v>867</v>
      </c>
      <c r="G3225" s="6" t="str">
        <f>VLOOKUP(E3225,dicionario!$A$1:$C3624,2,0)</f>
        <v>Laportea aestuans</v>
      </c>
      <c r="H3225" s="6" t="str">
        <f>VLOOKUP(E3225,dicionario!$A$1:$C3624,3,0)</f>
        <v>urtiga-vermelha</v>
      </c>
    </row>
    <row r="3226">
      <c r="A3226" s="3">
        <v>45631.0</v>
      </c>
      <c r="B3226" s="46">
        <v>0.29444444444444445</v>
      </c>
      <c r="C3226" s="5" t="s">
        <v>50</v>
      </c>
      <c r="D3226" s="5" t="s">
        <v>907</v>
      </c>
      <c r="E3226" s="8" t="s">
        <v>579</v>
      </c>
      <c r="F3226" s="5" t="s">
        <v>580</v>
      </c>
      <c r="G3226" s="6" t="str">
        <f>VLOOKUP(E3226,dicionario!$A$1:$C3625,2,0)</f>
        <v>Piper tuberculatum</v>
      </c>
      <c r="H3226" s="6" t="str">
        <f>VLOOKUP(E3226,dicionario!$A$1:$C3625,3,0)</f>
        <v/>
      </c>
    </row>
    <row r="3227">
      <c r="A3227" s="3">
        <v>45631.0</v>
      </c>
      <c r="B3227" s="46">
        <v>0.29444444444444445</v>
      </c>
      <c r="C3227" s="5" t="s">
        <v>50</v>
      </c>
      <c r="D3227" s="5" t="s">
        <v>907</v>
      </c>
      <c r="E3227" s="8" t="s">
        <v>38</v>
      </c>
      <c r="F3227" s="5" t="s">
        <v>39</v>
      </c>
      <c r="G3227" s="6" t="str">
        <f>VLOOKUP(E3227,dicionario!$A$1:$C3626,2,0)</f>
        <v>Troglodytes musculus</v>
      </c>
      <c r="H3227" s="6" t="str">
        <f>VLOOKUP(E3227,dicionario!$A$1:$C3626,3,0)</f>
        <v>curruíra</v>
      </c>
    </row>
    <row r="3228">
      <c r="A3228" s="3">
        <v>45631.0</v>
      </c>
      <c r="B3228" s="46">
        <v>0.2951388888888889</v>
      </c>
      <c r="C3228" s="5" t="s">
        <v>50</v>
      </c>
      <c r="D3228" s="5" t="s">
        <v>907</v>
      </c>
      <c r="E3228" s="6" t="s">
        <v>177</v>
      </c>
      <c r="F3228" s="5" t="s">
        <v>178</v>
      </c>
      <c r="G3228" s="6" t="str">
        <f>VLOOKUP(E3228,dicionario!$A$1:$C3627,2,0)</f>
        <v>Elaenia flavogaster</v>
      </c>
      <c r="H3228" s="6" t="str">
        <f>VLOOKUP(E3228,dicionario!$A$1:$C3627,3,0)</f>
        <v>guaracava-de-barriga-amarela</v>
      </c>
    </row>
    <row r="3229">
      <c r="A3229" s="3">
        <v>45631.0</v>
      </c>
      <c r="B3229" s="46">
        <v>0.2951388888888889</v>
      </c>
      <c r="C3229" s="5" t="s">
        <v>50</v>
      </c>
      <c r="D3229" s="5" t="s">
        <v>907</v>
      </c>
      <c r="E3229" s="6" t="s">
        <v>122</v>
      </c>
      <c r="F3229" s="7" t="s">
        <v>123</v>
      </c>
      <c r="G3229" s="6" t="str">
        <f>VLOOKUP(E3229,dicionario!$A$1:$C3628,2,0)</f>
        <v>Todirostrum cinereum</v>
      </c>
      <c r="H3229" s="6" t="str">
        <f>VLOOKUP(E3229,dicionario!$A$1:$C3628,3,0)</f>
        <v>ferreirinho-relógio</v>
      </c>
    </row>
    <row r="3230">
      <c r="A3230" s="3">
        <v>45631.0</v>
      </c>
      <c r="B3230" s="46">
        <v>0.2951388888888889</v>
      </c>
      <c r="C3230" s="5" t="s">
        <v>50</v>
      </c>
      <c r="D3230" s="5" t="s">
        <v>907</v>
      </c>
      <c r="E3230" s="8" t="s">
        <v>46</v>
      </c>
      <c r="F3230" s="5" t="s">
        <v>47</v>
      </c>
      <c r="G3230" s="6" t="str">
        <f>VLOOKUP(E3230,dicionario!$A$1:$C3629,2,0)</f>
        <v>Chionomesa fimbriata</v>
      </c>
      <c r="H3230" s="6" t="str">
        <f>VLOOKUP(E3230,dicionario!$A$1:$C3629,3,0)</f>
        <v>beija-flor-de-garganta-verde</v>
      </c>
    </row>
    <row r="3231">
      <c r="A3231" s="3">
        <v>45631.0</v>
      </c>
      <c r="B3231" s="46">
        <v>0.2951388888888889</v>
      </c>
      <c r="C3231" s="5" t="s">
        <v>50</v>
      </c>
      <c r="D3231" s="5" t="s">
        <v>907</v>
      </c>
      <c r="E3231" s="6" t="s">
        <v>99</v>
      </c>
      <c r="F3231" s="5" t="s">
        <v>508</v>
      </c>
      <c r="G3231" s="6" t="str">
        <f>VLOOKUP(E3231,dicionario!$A$1:$C3630,2,0)</f>
        <v>Molothrus bonariensis</v>
      </c>
      <c r="H3231" s="6" t="str">
        <f>VLOOKUP(E3231,dicionario!$A$1:$C3630,3,0)</f>
        <v>chupim</v>
      </c>
    </row>
    <row r="3232">
      <c r="A3232" s="3">
        <v>45631.0</v>
      </c>
      <c r="B3232" s="46">
        <v>0.29583333333333334</v>
      </c>
      <c r="C3232" s="5" t="s">
        <v>50</v>
      </c>
      <c r="D3232" s="5" t="s">
        <v>907</v>
      </c>
      <c r="E3232" s="6" t="s">
        <v>14</v>
      </c>
      <c r="F3232" s="5" t="s">
        <v>15</v>
      </c>
      <c r="G3232" s="6" t="str">
        <f>VLOOKUP(E3232,dicionario!$A$1:$C3631,2,0)</f>
        <v>Spermacoce verticillata</v>
      </c>
      <c r="H3232" s="6" t="str">
        <f>VLOOKUP(E3232,dicionario!$A$1:$C3631,3,0)</f>
        <v>vassourinha-de-botão</v>
      </c>
    </row>
    <row r="3233">
      <c r="A3233" s="3">
        <v>45631.0</v>
      </c>
      <c r="B3233" s="46">
        <v>0.29583333333333334</v>
      </c>
      <c r="C3233" s="5" t="s">
        <v>50</v>
      </c>
      <c r="D3233" s="5" t="s">
        <v>907</v>
      </c>
      <c r="E3233" s="6" t="s">
        <v>288</v>
      </c>
      <c r="F3233" s="5" t="s">
        <v>289</v>
      </c>
      <c r="G3233" s="6" t="str">
        <f>VLOOKUP(E3233,dicionario!$A$1:$C3632,2,0)</f>
        <v>Phyllanthus tenellus</v>
      </c>
      <c r="H3233" s="6" t="str">
        <f>VLOOKUP(E3233,dicionario!$A$1:$C3632,3,0)</f>
        <v>quebra-pedra</v>
      </c>
    </row>
    <row r="3234">
      <c r="A3234" s="3">
        <v>45631.0</v>
      </c>
      <c r="B3234" s="46">
        <v>0.29583333333333334</v>
      </c>
      <c r="C3234" s="5" t="s">
        <v>50</v>
      </c>
      <c r="D3234" s="5" t="s">
        <v>907</v>
      </c>
      <c r="E3234" s="6" t="s">
        <v>48</v>
      </c>
      <c r="F3234" s="5" t="s">
        <v>49</v>
      </c>
      <c r="G3234" s="6" t="str">
        <f>VLOOKUP(E3234,dicionario!$A$1:$C3633,2,0)</f>
        <v>Commelina erecta</v>
      </c>
      <c r="H3234" s="6" t="str">
        <f>VLOOKUP(E3234,dicionario!$A$1:$C3633,3,0)</f>
        <v>trapoeraba</v>
      </c>
    </row>
    <row r="3235">
      <c r="A3235" s="3">
        <v>45631.0</v>
      </c>
      <c r="B3235" s="46">
        <v>0.29583333333333334</v>
      </c>
      <c r="C3235" s="5" t="s">
        <v>50</v>
      </c>
      <c r="D3235" s="5" t="s">
        <v>907</v>
      </c>
      <c r="E3235" s="6" t="s">
        <v>247</v>
      </c>
      <c r="F3235" s="5" t="s">
        <v>387</v>
      </c>
      <c r="G3235" s="6" t="str">
        <f>VLOOKUP(E3235,dicionario!$A$1:$C3634,2,0)</f>
        <v>Emilia sonchifolia</v>
      </c>
      <c r="H3235" s="6" t="str">
        <f>VLOOKUP(E3235,dicionario!$A$1:$C3634,3,0)</f>
        <v>serralinha</v>
      </c>
    </row>
    <row r="3236">
      <c r="A3236" s="3">
        <v>45631.0</v>
      </c>
      <c r="B3236" s="46">
        <v>0.29583333333333334</v>
      </c>
      <c r="C3236" s="5" t="s">
        <v>50</v>
      </c>
      <c r="D3236" s="5" t="s">
        <v>907</v>
      </c>
      <c r="E3236" s="6" t="s">
        <v>200</v>
      </c>
      <c r="F3236" s="5" t="s">
        <v>201</v>
      </c>
      <c r="G3236" s="6" t="str">
        <f>VLOOKUP(E3236,dicionario!$A$1:$C3635,2,0)</f>
        <v>Columbina picui </v>
      </c>
      <c r="H3236" s="6" t="str">
        <f>VLOOKUP(E3236,dicionario!$A$1:$C3635,3,0)</f>
        <v>rolinha-picuí</v>
      </c>
    </row>
    <row r="3237">
      <c r="A3237" s="3">
        <v>45631.0</v>
      </c>
      <c r="B3237" s="46">
        <v>0.29583333333333334</v>
      </c>
      <c r="C3237" s="5" t="s">
        <v>50</v>
      </c>
      <c r="D3237" s="5" t="s">
        <v>907</v>
      </c>
      <c r="E3237" s="8" t="s">
        <v>548</v>
      </c>
      <c r="F3237" s="5" t="s">
        <v>549</v>
      </c>
      <c r="G3237" s="6" t="str">
        <f>VLOOKUP(E3237,dicionario!$A$1:$C3636,2,0)</f>
        <v>Ricinus communis</v>
      </c>
      <c r="H3237" s="6" t="str">
        <f>VLOOKUP(E3237,dicionario!$A$1:$C3636,3,0)</f>
        <v>mamona</v>
      </c>
    </row>
    <row r="3238">
      <c r="A3238" s="3">
        <v>45631.0</v>
      </c>
      <c r="B3238" s="4">
        <v>0.2965277777777778</v>
      </c>
      <c r="C3238" s="5" t="s">
        <v>50</v>
      </c>
      <c r="D3238" s="5" t="s">
        <v>907</v>
      </c>
      <c r="E3238" s="6" t="s">
        <v>109</v>
      </c>
      <c r="F3238" s="5" t="s">
        <v>110</v>
      </c>
      <c r="G3238" s="6" t="str">
        <f>VLOOKUP(E3238,dicionario!$A$1:$C3637,2,0)</f>
        <v>Tillandsia stricta</v>
      </c>
      <c r="H3238" s="6" t="str">
        <f>VLOOKUP(E3238,dicionario!$A$1:$C3637,3,0)</f>
        <v>cravo-do-mato</v>
      </c>
    </row>
    <row r="3239">
      <c r="A3239" s="3">
        <v>45631.0</v>
      </c>
      <c r="B3239" s="46">
        <v>0.2965277777777778</v>
      </c>
      <c r="C3239" s="5" t="s">
        <v>50</v>
      </c>
      <c r="D3239" s="5" t="s">
        <v>907</v>
      </c>
      <c r="E3239" s="6" t="s">
        <v>225</v>
      </c>
      <c r="F3239" s="5" t="s">
        <v>226</v>
      </c>
      <c r="G3239" s="6" t="str">
        <f>VLOOKUP(E3239,dicionario!$A$1:$C3638,2,0)</f>
        <v>Passer domesticus</v>
      </c>
      <c r="H3239" s="6" t="str">
        <f>VLOOKUP(E3239,dicionario!$A$1:$C3638,3,0)</f>
        <v>pardal</v>
      </c>
    </row>
    <row r="3240">
      <c r="A3240" s="3">
        <v>45631.0</v>
      </c>
      <c r="B3240" s="46">
        <v>0.2965277777777778</v>
      </c>
      <c r="C3240" s="5" t="s">
        <v>50</v>
      </c>
      <c r="D3240" s="5" t="s">
        <v>907</v>
      </c>
      <c r="E3240" s="6" t="s">
        <v>251</v>
      </c>
      <c r="F3240" s="5" t="s">
        <v>252</v>
      </c>
      <c r="G3240" s="6" t="str">
        <f>VLOOKUP(E3240,dicionario!$A$1:$C3639,2,0)</f>
        <v>Struthanthus flexicaulis</v>
      </c>
      <c r="H3240" s="6" t="str">
        <f>VLOOKUP(E3240,dicionario!$A$1:$C3639,3,0)</f>
        <v>erva-de-passarinho</v>
      </c>
    </row>
    <row r="3241">
      <c r="A3241" s="3">
        <v>45631.0</v>
      </c>
      <c r="B3241" s="46">
        <v>0.2965277777777778</v>
      </c>
      <c r="C3241" s="5" t="s">
        <v>50</v>
      </c>
      <c r="D3241" s="5" t="s">
        <v>907</v>
      </c>
      <c r="E3241" s="6" t="s">
        <v>241</v>
      </c>
      <c r="F3241" s="5" t="s">
        <v>930</v>
      </c>
      <c r="G3241" s="6" t="str">
        <f>VLOOKUP(E3241,dicionario!$A$1:$C3640,2,0)</f>
        <v>Asiopus minimus</v>
      </c>
      <c r="H3241" s="6" t="str">
        <f>VLOOKUP(E3241,dicionario!$A$1:$C3640,3,0)</f>
        <v>tenébrio</v>
      </c>
    </row>
    <row r="3242">
      <c r="A3242" s="3">
        <v>45631.0</v>
      </c>
      <c r="B3242" s="46">
        <v>0.2972222222222222</v>
      </c>
      <c r="C3242" s="5" t="s">
        <v>50</v>
      </c>
      <c r="D3242" s="5" t="s">
        <v>907</v>
      </c>
      <c r="E3242" s="8" t="s">
        <v>338</v>
      </c>
      <c r="F3242" s="5" t="s">
        <v>238</v>
      </c>
      <c r="G3242" s="6" t="str">
        <f>VLOOKUP(E3242,dicionario!$A$1:$C3641,2,0)</f>
        <v>Atta</v>
      </c>
      <c r="H3242" s="6" t="str">
        <f>VLOOKUP(E3242,dicionario!$A$1:$C3641,3,0)</f>
        <v>saúva</v>
      </c>
    </row>
    <row r="3243">
      <c r="A3243" s="3">
        <v>45631.0</v>
      </c>
      <c r="B3243" s="46">
        <v>0.2972222222222222</v>
      </c>
      <c r="C3243" s="5" t="s">
        <v>50</v>
      </c>
      <c r="D3243" s="5" t="s">
        <v>907</v>
      </c>
      <c r="E3243" s="6" t="s">
        <v>267</v>
      </c>
      <c r="F3243" s="5" t="s">
        <v>553</v>
      </c>
      <c r="G3243" s="6" t="str">
        <f>VLOOKUP(E3243,dicionario!$A$1:$C3642,2,0)</f>
        <v>Solanum americanum</v>
      </c>
      <c r="H3243" s="6" t="str">
        <f>VLOOKUP(E3243,dicionario!$A$1:$C3642,3,0)</f>
        <v>maria-pretinha</v>
      </c>
    </row>
    <row r="3244">
      <c r="A3244" s="3">
        <v>45631.0</v>
      </c>
      <c r="B3244" s="46">
        <v>0.2972222222222222</v>
      </c>
      <c r="C3244" s="5" t="s">
        <v>50</v>
      </c>
      <c r="D3244" s="5" t="s">
        <v>907</v>
      </c>
      <c r="E3244" s="6" t="s">
        <v>150</v>
      </c>
      <c r="F3244" s="5" t="s">
        <v>151</v>
      </c>
      <c r="G3244" s="6" t="str">
        <f>VLOOKUP(E3244,dicionario!$A$1:$C3643,2,0)</f>
        <v>Amaranthus viridis</v>
      </c>
      <c r="H3244" s="6" t="str">
        <f>VLOOKUP(E3244,dicionario!$A$1:$C3643,3,0)</f>
        <v>caruru-de-mancha</v>
      </c>
    </row>
    <row r="3245">
      <c r="A3245" s="3">
        <v>45631.0</v>
      </c>
      <c r="B3245" s="46">
        <v>0.29791666666666666</v>
      </c>
      <c r="C3245" s="5" t="s">
        <v>50</v>
      </c>
      <c r="D3245" s="5" t="s">
        <v>907</v>
      </c>
      <c r="E3245" s="6" t="s">
        <v>57</v>
      </c>
      <c r="F3245" s="5" t="s">
        <v>931</v>
      </c>
      <c r="G3245" s="6" t="str">
        <f>VLOOKUP(E3245,dicionario!$A$1:$C3644,2,0)</f>
        <v>Juliformia</v>
      </c>
      <c r="H3245" s="6" t="str">
        <f>VLOOKUP(E3245,dicionario!$A$1:$C3644,3,0)</f>
        <v>gongolo; maria-café</v>
      </c>
    </row>
    <row r="3246">
      <c r="A3246" s="3">
        <v>45631.0</v>
      </c>
      <c r="B3246" s="46">
        <v>0.29791666666666666</v>
      </c>
      <c r="C3246" s="5" t="s">
        <v>50</v>
      </c>
      <c r="D3246" s="5" t="s">
        <v>907</v>
      </c>
      <c r="E3246" s="8" t="s">
        <v>730</v>
      </c>
      <c r="F3246" s="5" t="s">
        <v>731</v>
      </c>
      <c r="G3246" s="6" t="str">
        <f>VLOOKUP(E3246,dicionario!$A$1:$C3645,2,0)</f>
        <v>#N/A</v>
      </c>
      <c r="H3246" s="6" t="str">
        <f>VLOOKUP(E3246,dicionario!$A$1:$C3645,3,0)</f>
        <v>#N/A</v>
      </c>
    </row>
    <row r="3247">
      <c r="A3247" s="3">
        <v>45631.0</v>
      </c>
      <c r="B3247" s="46">
        <v>0.29791666666666666</v>
      </c>
      <c r="C3247" s="5" t="s">
        <v>50</v>
      </c>
      <c r="D3247" s="5" t="s">
        <v>907</v>
      </c>
      <c r="E3247" s="6" t="s">
        <v>467</v>
      </c>
      <c r="F3247" s="5" t="s">
        <v>468</v>
      </c>
      <c r="G3247" s="6" t="str">
        <f>VLOOKUP(E3247,dicionario!$A$1:$C3646,2,0)</f>
        <v>Eleusine indica</v>
      </c>
      <c r="H3247" s="6" t="str">
        <f>VLOOKUP(E3247,dicionario!$A$1:$C3646,3,0)</f>
        <v>capim-pé-de-galinha</v>
      </c>
    </row>
    <row r="3248">
      <c r="A3248" s="3">
        <v>45631.0</v>
      </c>
      <c r="B3248" s="46">
        <v>0.2986111111111111</v>
      </c>
      <c r="C3248" s="5" t="s">
        <v>50</v>
      </c>
      <c r="D3248" s="5" t="s">
        <v>907</v>
      </c>
      <c r="E3248" s="6" t="s">
        <v>294</v>
      </c>
      <c r="F3248" s="7" t="s">
        <v>295</v>
      </c>
      <c r="G3248" s="6" t="str">
        <f>VLOOKUP(E3248,dicionario!$A$1:$C3647,2,0)</f>
        <v>Cycloneda sanguinea</v>
      </c>
      <c r="H3248" s="6" t="str">
        <f>VLOOKUP(E3248,dicionario!$A$1:$C3647,3,0)</f>
        <v>joaninha-sem-pintas</v>
      </c>
    </row>
    <row r="3249">
      <c r="A3249" s="3">
        <v>45631.0</v>
      </c>
      <c r="B3249" s="46">
        <v>0.2986111111111111</v>
      </c>
      <c r="C3249" s="5" t="s">
        <v>50</v>
      </c>
      <c r="D3249" s="5" t="s">
        <v>907</v>
      </c>
      <c r="E3249" s="6" t="s">
        <v>135</v>
      </c>
      <c r="F3249" s="5" t="s">
        <v>136</v>
      </c>
      <c r="G3249" s="6" t="str">
        <f>VLOOKUP(E3249,dicionario!$A$1:$C3648,2,0)</f>
        <v>Tridax procumbens</v>
      </c>
      <c r="H3249" s="6" t="str">
        <f>VLOOKUP(E3249,dicionario!$A$1:$C3648,3,0)</f>
        <v>erva-de-touro</v>
      </c>
    </row>
    <row r="3250">
      <c r="A3250" s="3">
        <v>45631.0</v>
      </c>
      <c r="B3250" s="46">
        <v>0.29930555555555555</v>
      </c>
      <c r="C3250" s="5" t="s">
        <v>50</v>
      </c>
      <c r="D3250" s="5" t="s">
        <v>907</v>
      </c>
      <c r="E3250" s="6" t="s">
        <v>144</v>
      </c>
      <c r="F3250" s="5" t="s">
        <v>145</v>
      </c>
      <c r="G3250" s="6" t="str">
        <f>VLOOKUP(E3250,dicionario!$A$1:$C3649,2,0)</f>
        <v>Gomphrena globosa</v>
      </c>
      <c r="H3250" s="6" t="str">
        <f>VLOOKUP(E3250,dicionario!$A$1:$C3649,3,0)</f>
        <v>perpétua-rosa</v>
      </c>
    </row>
    <row r="3251">
      <c r="A3251" s="3">
        <v>45631.0</v>
      </c>
      <c r="B3251" s="46">
        <v>0.29930555555555555</v>
      </c>
      <c r="C3251" s="5" t="s">
        <v>50</v>
      </c>
      <c r="D3251" s="5" t="s">
        <v>907</v>
      </c>
      <c r="E3251" s="6" t="s">
        <v>532</v>
      </c>
      <c r="F3251" s="7" t="s">
        <v>533</v>
      </c>
      <c r="G3251" s="6" t="str">
        <f>VLOOKUP(E3251,dicionario!$A$1:$C3650,2,0)</f>
        <v>Euphorbia heterophylla</v>
      </c>
      <c r="H3251" s="6" t="str">
        <f>VLOOKUP(E3251,dicionario!$A$1:$C3650,3,0)</f>
        <v>amendoim-bravo</v>
      </c>
    </row>
    <row r="3252">
      <c r="A3252" s="3">
        <v>45631.0</v>
      </c>
      <c r="B3252" s="46">
        <v>0.29930555555555555</v>
      </c>
      <c r="C3252" s="5" t="s">
        <v>50</v>
      </c>
      <c r="D3252" s="5" t="s">
        <v>907</v>
      </c>
      <c r="E3252" s="6" t="s">
        <v>55</v>
      </c>
      <c r="F3252" s="5" t="s">
        <v>56</v>
      </c>
      <c r="G3252" s="6" t="str">
        <f>VLOOKUP(E3252,dicionario!$A$1:$C3651,2,0)</f>
        <v>Cubaris murina</v>
      </c>
      <c r="H3252" s="6" t="str">
        <f>VLOOKUP(E3252,dicionario!$A$1:$C3651,3,0)</f>
        <v>tatuzinho-de-jardim</v>
      </c>
    </row>
    <row r="3253">
      <c r="A3253" s="3">
        <v>45631.0</v>
      </c>
      <c r="B3253" s="46">
        <v>0.29930555555555555</v>
      </c>
      <c r="C3253" s="5" t="s">
        <v>50</v>
      </c>
      <c r="D3253" s="5" t="s">
        <v>907</v>
      </c>
      <c r="E3253" s="8" t="s">
        <v>308</v>
      </c>
      <c r="F3253" s="5" t="s">
        <v>309</v>
      </c>
      <c r="G3253" s="6" t="str">
        <f>VLOOKUP(E3253,dicionario!$A$1:$C3652,2,0)</f>
        <v>#N/A</v>
      </c>
      <c r="H3253" s="6" t="str">
        <f>VLOOKUP(E3253,dicionario!$A$1:$C3652,3,0)</f>
        <v>#N/A</v>
      </c>
    </row>
    <row r="3254">
      <c r="A3254" s="3">
        <v>45631.0</v>
      </c>
      <c r="B3254" s="46">
        <v>0.29930555555555555</v>
      </c>
      <c r="C3254" s="5" t="s">
        <v>50</v>
      </c>
      <c r="D3254" s="5" t="s">
        <v>907</v>
      </c>
      <c r="E3254" s="6" t="s">
        <v>53</v>
      </c>
      <c r="F3254" s="7" t="s">
        <v>54</v>
      </c>
      <c r="G3254" s="6" t="str">
        <f>VLOOKUP(E3254,dicionario!$A$1:$C3653,2,0)</f>
        <v>Turnera subulata</v>
      </c>
      <c r="H3254" s="6" t="str">
        <f>VLOOKUP(E3254,dicionario!$A$1:$C3653,3,0)</f>
        <v>xanana</v>
      </c>
    </row>
    <row r="3255">
      <c r="A3255" s="3">
        <v>45631.0</v>
      </c>
      <c r="B3255" s="46">
        <v>0.29930555555555555</v>
      </c>
      <c r="C3255" s="5" t="s">
        <v>50</v>
      </c>
      <c r="D3255" s="5" t="s">
        <v>907</v>
      </c>
      <c r="E3255" s="8" t="s">
        <v>932</v>
      </c>
      <c r="F3255" s="5" t="s">
        <v>933</v>
      </c>
      <c r="G3255" s="6" t="str">
        <f>VLOOKUP(E3255,dicionario!$A$1:$C3654,2,0)</f>
        <v>#N/A</v>
      </c>
      <c r="H3255" s="6" t="str">
        <f>VLOOKUP(E3255,dicionario!$A$1:$C3654,3,0)</f>
        <v>#N/A</v>
      </c>
    </row>
    <row r="3256">
      <c r="A3256" s="3">
        <v>45631.0</v>
      </c>
      <c r="B3256" s="46">
        <v>0.3</v>
      </c>
      <c r="C3256" s="5" t="s">
        <v>50</v>
      </c>
      <c r="D3256" s="5" t="s">
        <v>907</v>
      </c>
      <c r="E3256" s="6" t="s">
        <v>146</v>
      </c>
      <c r="F3256" s="5" t="s">
        <v>147</v>
      </c>
      <c r="G3256" s="6" t="str">
        <f>VLOOKUP(E3256,dicionario!$A$1:$C3655,2,0)</f>
        <v>Euphorbia hirta</v>
      </c>
      <c r="H3256" s="6" t="str">
        <f>VLOOKUP(E3256,dicionario!$A$1:$C3655,3,0)</f>
        <v>erva-de-santa-luzia</v>
      </c>
    </row>
    <row r="3257">
      <c r="A3257" s="3">
        <v>45631.0</v>
      </c>
      <c r="B3257" s="46">
        <v>0.3</v>
      </c>
      <c r="C3257" s="5" t="s">
        <v>50</v>
      </c>
      <c r="D3257" s="5" t="s">
        <v>907</v>
      </c>
      <c r="E3257" s="6" t="s">
        <v>111</v>
      </c>
      <c r="F3257" s="7" t="s">
        <v>112</v>
      </c>
      <c r="G3257" s="6" t="str">
        <f>VLOOKUP(E3257,dicionario!$A$1:$C3656,2,0)</f>
        <v>Trigona spinipes</v>
      </c>
      <c r="H3257" s="6" t="str">
        <f>VLOOKUP(E3257,dicionario!$A$1:$C3656,3,0)</f>
        <v>abelha-cachorro</v>
      </c>
    </row>
    <row r="3258">
      <c r="A3258" s="3">
        <v>45631.0</v>
      </c>
      <c r="B3258" s="46">
        <v>0.3</v>
      </c>
      <c r="C3258" s="5" t="s">
        <v>50</v>
      </c>
      <c r="D3258" s="5" t="s">
        <v>907</v>
      </c>
      <c r="E3258" s="8" t="s">
        <v>934</v>
      </c>
      <c r="F3258" s="5" t="s">
        <v>414</v>
      </c>
      <c r="G3258" s="6" t="str">
        <f>VLOOKUP(E3258,dicionario!$A$1:$C3657,2,0)</f>
        <v>#N/A</v>
      </c>
      <c r="H3258" s="6" t="str">
        <f>VLOOKUP(E3258,dicionario!$A$1:$C3657,3,0)</f>
        <v>#N/A</v>
      </c>
    </row>
    <row r="3259">
      <c r="A3259" s="3">
        <v>45631.0</v>
      </c>
      <c r="B3259" s="46">
        <v>0.3</v>
      </c>
      <c r="C3259" s="5" t="s">
        <v>50</v>
      </c>
      <c r="D3259" s="5" t="s">
        <v>907</v>
      </c>
      <c r="E3259" s="8" t="s">
        <v>195</v>
      </c>
      <c r="F3259" s="5" t="s">
        <v>679</v>
      </c>
      <c r="G3259" s="6" t="str">
        <f>VLOOKUP(E3259,dicionario!$A$1:$C3658,2,0)</f>
        <v>Priva lappulacea</v>
      </c>
      <c r="H3259" s="6" t="str">
        <f>VLOOKUP(E3259,dicionario!$A$1:$C3658,3,0)</f>
        <v>carrapicho</v>
      </c>
    </row>
    <row r="3260">
      <c r="A3260" s="3">
        <v>45631.0</v>
      </c>
      <c r="B3260" s="4">
        <v>0.30069444444444443</v>
      </c>
      <c r="C3260" s="5" t="s">
        <v>50</v>
      </c>
      <c r="D3260" s="5" t="s">
        <v>907</v>
      </c>
      <c r="E3260" s="6" t="s">
        <v>425</v>
      </c>
      <c r="F3260" s="5" t="s">
        <v>426</v>
      </c>
      <c r="G3260" s="6" t="str">
        <f>VLOOKUP(E3260,dicionario!$A$1:$C3659,2,0)</f>
        <v>Digitaria insularis</v>
      </c>
      <c r="H3260" s="6" t="str">
        <f>VLOOKUP(E3260,dicionario!$A$1:$C3659,3,0)</f>
        <v>capim-amargoso</v>
      </c>
    </row>
    <row r="3261">
      <c r="A3261" s="3">
        <v>45631.0</v>
      </c>
      <c r="B3261" s="4">
        <v>0.30069444444444443</v>
      </c>
      <c r="C3261" s="5" t="s">
        <v>50</v>
      </c>
      <c r="D3261" s="5" t="s">
        <v>907</v>
      </c>
      <c r="E3261" s="6" t="s">
        <v>189</v>
      </c>
      <c r="F3261" s="5" t="s">
        <v>190</v>
      </c>
      <c r="G3261" s="6" t="str">
        <f>VLOOKUP(E3261,dicionario!$A$1:$C3660,2,0)</f>
        <v>Solanum paniculatum</v>
      </c>
      <c r="H3261" s="6" t="str">
        <f>VLOOKUP(E3261,dicionario!$A$1:$C3660,3,0)</f>
        <v>jurubeba</v>
      </c>
    </row>
    <row r="3262">
      <c r="A3262" s="3">
        <v>45631.0</v>
      </c>
      <c r="B3262" s="4">
        <v>0.30069444444444443</v>
      </c>
      <c r="C3262" s="5" t="s">
        <v>50</v>
      </c>
      <c r="D3262" s="5" t="s">
        <v>907</v>
      </c>
      <c r="E3262" s="9" t="s">
        <v>22</v>
      </c>
      <c r="F3262" s="5" t="s">
        <v>902</v>
      </c>
      <c r="G3262" s="6" t="str">
        <f>VLOOKUP(E3262,dicionario!$A$1:$C3661,2,0)</f>
        <v>Zenaida auriculata</v>
      </c>
      <c r="H3262" s="6" t="str">
        <f>VLOOKUP(E3262,dicionario!$A$1:$C3661,3,0)</f>
        <v>pomba-de-bando; avoante</v>
      </c>
    </row>
    <row r="3263">
      <c r="A3263" s="3">
        <v>45631.0</v>
      </c>
      <c r="B3263" s="4">
        <v>0.30069444444444443</v>
      </c>
      <c r="C3263" s="5" t="s">
        <v>50</v>
      </c>
      <c r="D3263" s="5" t="s">
        <v>907</v>
      </c>
      <c r="E3263" s="8" t="s">
        <v>935</v>
      </c>
      <c r="F3263" s="5" t="s">
        <v>936</v>
      </c>
      <c r="G3263" s="6" t="str">
        <f>VLOOKUP(E3263,dicionario!$A$1:$C3662,2,0)</f>
        <v>#N/A</v>
      </c>
      <c r="H3263" s="6" t="str">
        <f>VLOOKUP(E3263,dicionario!$A$1:$C3662,3,0)</f>
        <v>#N/A</v>
      </c>
    </row>
    <row r="3264">
      <c r="A3264" s="3">
        <v>45631.0</v>
      </c>
      <c r="B3264" s="4">
        <v>0.3013888888888889</v>
      </c>
      <c r="C3264" s="5" t="s">
        <v>937</v>
      </c>
      <c r="D3264" s="5" t="s">
        <v>907</v>
      </c>
      <c r="E3264" s="6" t="s">
        <v>53</v>
      </c>
      <c r="F3264" s="7" t="s">
        <v>54</v>
      </c>
      <c r="G3264" s="6" t="str">
        <f>VLOOKUP(E3264,dicionario!$A$1:$C3663,2,0)</f>
        <v>Turnera subulata</v>
      </c>
      <c r="H3264" s="6" t="str">
        <f>VLOOKUP(E3264,dicionario!$A$1:$C3663,3,0)</f>
        <v>xanana</v>
      </c>
    </row>
    <row r="3265">
      <c r="A3265" s="3">
        <v>45631.0</v>
      </c>
      <c r="B3265" s="4">
        <v>0.3013888888888889</v>
      </c>
      <c r="C3265" s="5" t="s">
        <v>937</v>
      </c>
      <c r="D3265" s="5" t="s">
        <v>907</v>
      </c>
      <c r="E3265" s="6" t="s">
        <v>267</v>
      </c>
      <c r="F3265" s="5" t="s">
        <v>553</v>
      </c>
      <c r="G3265" s="6" t="str">
        <f>VLOOKUP(E3265,dicionario!$A$1:$C3664,2,0)</f>
        <v>Solanum americanum</v>
      </c>
      <c r="H3265" s="6" t="str">
        <f>VLOOKUP(E3265,dicionario!$A$1:$C3664,3,0)</f>
        <v>maria-pretinha</v>
      </c>
    </row>
    <row r="3266">
      <c r="A3266" s="3">
        <v>45631.0</v>
      </c>
      <c r="B3266" s="4">
        <v>0.3013888888888889</v>
      </c>
      <c r="C3266" s="5" t="s">
        <v>937</v>
      </c>
      <c r="D3266" s="5" t="s">
        <v>907</v>
      </c>
      <c r="E3266" s="6" t="s">
        <v>296</v>
      </c>
      <c r="F3266" s="5" t="s">
        <v>297</v>
      </c>
      <c r="G3266" s="6" t="str">
        <f>VLOOKUP(E3266,dicionario!$A$1:$C3665,2,0)</f>
        <v>Richardia brasiliensis</v>
      </c>
      <c r="H3266" s="6" t="str">
        <f>VLOOKUP(E3266,dicionario!$A$1:$C3665,3,0)</f>
        <v>poaia-branca</v>
      </c>
    </row>
    <row r="3267">
      <c r="A3267" s="3">
        <v>45631.0</v>
      </c>
      <c r="B3267" s="4">
        <v>0.3013888888888889</v>
      </c>
      <c r="C3267" s="5" t="s">
        <v>937</v>
      </c>
      <c r="D3267" s="5" t="s">
        <v>907</v>
      </c>
      <c r="E3267" s="6" t="s">
        <v>146</v>
      </c>
      <c r="F3267" s="5" t="s">
        <v>147</v>
      </c>
      <c r="G3267" s="6" t="str">
        <f>VLOOKUP(E3267,dicionario!$A$1:$C3666,2,0)</f>
        <v>Euphorbia hirta</v>
      </c>
      <c r="H3267" s="6" t="str">
        <f>VLOOKUP(E3267,dicionario!$A$1:$C3666,3,0)</f>
        <v>erva-de-santa-luzia</v>
      </c>
    </row>
    <row r="3268">
      <c r="A3268" s="3">
        <v>45631.0</v>
      </c>
      <c r="B3268" s="4">
        <v>0.3013888888888889</v>
      </c>
      <c r="C3268" s="5" t="s">
        <v>937</v>
      </c>
      <c r="D3268" s="5" t="s">
        <v>907</v>
      </c>
      <c r="E3268" s="6" t="s">
        <v>355</v>
      </c>
      <c r="F3268" s="5" t="s">
        <v>356</v>
      </c>
      <c r="G3268" s="6" t="str">
        <f>VLOOKUP(E3268,dicionario!$A$1:$C3667,2,0)</f>
        <v>Boerhavia diffusa</v>
      </c>
      <c r="H3268" s="6" t="str">
        <f>VLOOKUP(E3268,dicionario!$A$1:$C3667,3,0)</f>
        <v>erva-tostão</v>
      </c>
    </row>
    <row r="3269">
      <c r="A3269" s="3">
        <v>45631.0</v>
      </c>
      <c r="B3269" s="4">
        <v>0.3013888888888889</v>
      </c>
      <c r="C3269" s="5" t="s">
        <v>937</v>
      </c>
      <c r="D3269" s="5" t="s">
        <v>907</v>
      </c>
      <c r="E3269" s="6" t="s">
        <v>239</v>
      </c>
      <c r="F3269" s="5" t="s">
        <v>240</v>
      </c>
      <c r="G3269" s="6" t="str">
        <f>VLOOKUP(E3269,dicionario!$A$1:$C3668,2,0)</f>
        <v>Gomphrena celosioides</v>
      </c>
      <c r="H3269" s="6" t="str">
        <f>VLOOKUP(E3269,dicionario!$A$1:$C3668,3,0)</f>
        <v>perpétua-branca</v>
      </c>
    </row>
    <row r="3270">
      <c r="A3270" s="3">
        <v>45631.0</v>
      </c>
      <c r="B3270" s="4">
        <v>0.3013888888888889</v>
      </c>
      <c r="C3270" s="5" t="s">
        <v>937</v>
      </c>
      <c r="D3270" s="5" t="s">
        <v>907</v>
      </c>
      <c r="E3270" s="8" t="s">
        <v>938</v>
      </c>
      <c r="F3270" s="5" t="s">
        <v>737</v>
      </c>
      <c r="G3270" s="6" t="str">
        <f>VLOOKUP(E3270,dicionario!$A$1:$C3669,2,0)</f>
        <v>Chloris barbata</v>
      </c>
      <c r="H3270" s="6" t="str">
        <f>VLOOKUP(E3270,dicionario!$A$1:$C3669,3,0)</f>
        <v/>
      </c>
    </row>
    <row r="3271">
      <c r="A3271" s="3">
        <v>45631.0</v>
      </c>
      <c r="B3271" s="4">
        <v>0.3020833333333333</v>
      </c>
      <c r="C3271" s="5" t="s">
        <v>937</v>
      </c>
      <c r="D3271" s="5" t="s">
        <v>907</v>
      </c>
      <c r="E3271" s="6" t="s">
        <v>113</v>
      </c>
      <c r="F3271" s="5" t="s">
        <v>114</v>
      </c>
      <c r="G3271" s="6" t="str">
        <f>VLOOKUP(E3271,dicionario!$A$1:$C3670,2,0)</f>
        <v>Columbina talpacoti</v>
      </c>
      <c r="H3271" s="6" t="str">
        <f>VLOOKUP(E3271,dicionario!$A$1:$C3670,3,0)</f>
        <v>rolinha-roxa</v>
      </c>
    </row>
    <row r="3272">
      <c r="A3272" s="3">
        <v>45631.0</v>
      </c>
      <c r="B3272" s="4">
        <v>0.3020833333333333</v>
      </c>
      <c r="C3272" s="5" t="s">
        <v>937</v>
      </c>
      <c r="D3272" s="5" t="s">
        <v>907</v>
      </c>
      <c r="E3272" s="6" t="s">
        <v>383</v>
      </c>
      <c r="F3272" s="5" t="s">
        <v>384</v>
      </c>
      <c r="G3272" s="6" t="str">
        <f>VLOOKUP(E3272,dicionario!$A$1:$C3671,2,0)</f>
        <v>Setophaga pitiayumi</v>
      </c>
      <c r="H3272" s="6" t="str">
        <f>VLOOKUP(E3272,dicionario!$A$1:$C3671,3,0)</f>
        <v>mariquita</v>
      </c>
    </row>
    <row r="3273">
      <c r="A3273" s="3">
        <v>45631.0</v>
      </c>
      <c r="B3273" s="4">
        <v>0.3020833333333333</v>
      </c>
      <c r="C3273" s="5" t="s">
        <v>937</v>
      </c>
      <c r="D3273" s="5" t="s">
        <v>907</v>
      </c>
      <c r="E3273" s="9" t="s">
        <v>22</v>
      </c>
      <c r="F3273" s="5" t="s">
        <v>97</v>
      </c>
      <c r="G3273" s="6" t="str">
        <f>VLOOKUP(E3273,dicionario!$A$1:$C3672,2,0)</f>
        <v>Zenaida auriculata</v>
      </c>
      <c r="H3273" s="6" t="str">
        <f>VLOOKUP(E3273,dicionario!$A$1:$C3672,3,0)</f>
        <v>pomba-de-bando; avoante</v>
      </c>
    </row>
    <row r="3274">
      <c r="A3274" s="3">
        <v>45631.0</v>
      </c>
      <c r="B3274" s="4">
        <v>0.3020833333333333</v>
      </c>
      <c r="C3274" s="5" t="s">
        <v>937</v>
      </c>
      <c r="D3274" s="5" t="s">
        <v>907</v>
      </c>
      <c r="E3274" s="6" t="s">
        <v>200</v>
      </c>
      <c r="F3274" s="5" t="s">
        <v>201</v>
      </c>
      <c r="G3274" s="6" t="str">
        <f>VLOOKUP(E3274,dicionario!$A$1:$C3673,2,0)</f>
        <v>Columbina picui </v>
      </c>
      <c r="H3274" s="6" t="str">
        <f>VLOOKUP(E3274,dicionario!$A$1:$C3673,3,0)</f>
        <v>rolinha-picuí</v>
      </c>
    </row>
    <row r="3275">
      <c r="A3275" s="3">
        <v>45631.0</v>
      </c>
      <c r="B3275" s="4">
        <v>0.3020833333333333</v>
      </c>
      <c r="C3275" s="5" t="s">
        <v>937</v>
      </c>
      <c r="D3275" s="5" t="s">
        <v>907</v>
      </c>
      <c r="E3275" s="8" t="s">
        <v>193</v>
      </c>
      <c r="F3275" s="5" t="s">
        <v>194</v>
      </c>
      <c r="G3275" s="6" t="str">
        <f>VLOOKUP(E3275,dicionario!$A$1:$C3674,2,0)</f>
        <v>Conirostrum speciosum</v>
      </c>
      <c r="H3275" s="6" t="str">
        <f>VLOOKUP(E3275,dicionario!$A$1:$C3674,3,0)</f>
        <v>figuinha-de-rabo-castanho</v>
      </c>
    </row>
    <row r="3276">
      <c r="A3276" s="3">
        <v>45631.0</v>
      </c>
      <c r="B3276" s="4">
        <v>0.30277777777777776</v>
      </c>
      <c r="C3276" s="5" t="s">
        <v>937</v>
      </c>
      <c r="D3276" s="5" t="s">
        <v>907</v>
      </c>
      <c r="E3276" s="6" t="s">
        <v>144</v>
      </c>
      <c r="F3276" s="5" t="s">
        <v>145</v>
      </c>
      <c r="G3276" s="6" t="str">
        <f>VLOOKUP(E3276,dicionario!$A$1:$C3675,2,0)</f>
        <v>Gomphrena globosa</v>
      </c>
      <c r="H3276" s="6" t="str">
        <f>VLOOKUP(E3276,dicionario!$A$1:$C3675,3,0)</f>
        <v>perpétua-rosa</v>
      </c>
    </row>
    <row r="3277">
      <c r="A3277" s="3">
        <v>45631.0</v>
      </c>
      <c r="B3277" s="4">
        <v>0.30277777777777776</v>
      </c>
      <c r="C3277" s="5" t="s">
        <v>937</v>
      </c>
      <c r="D3277" s="5" t="s">
        <v>907</v>
      </c>
      <c r="E3277" s="8" t="s">
        <v>298</v>
      </c>
      <c r="F3277" s="5" t="s">
        <v>739</v>
      </c>
      <c r="G3277" s="6" t="str">
        <f>VLOOKUP(E3277,dicionario!$A$1:$C3676,2,0)</f>
        <v>Alysicarpus vaginalis</v>
      </c>
      <c r="H3277" s="6" t="str">
        <f>VLOOKUP(E3277,dicionario!$A$1:$C3676,3,0)</f>
        <v/>
      </c>
    </row>
    <row r="3278">
      <c r="A3278" s="3">
        <v>45631.0</v>
      </c>
      <c r="B3278" s="4">
        <v>0.30277777777777776</v>
      </c>
      <c r="C3278" s="5" t="s">
        <v>937</v>
      </c>
      <c r="D3278" s="5" t="s">
        <v>907</v>
      </c>
      <c r="E3278" s="8" t="s">
        <v>740</v>
      </c>
      <c r="F3278" s="5" t="s">
        <v>741</v>
      </c>
      <c r="G3278" s="6" t="str">
        <f>VLOOKUP(E3278,dicionario!$A$1:$C3677,2,0)</f>
        <v>Melothria cucumis</v>
      </c>
      <c r="H3278" s="6" t="str">
        <f>VLOOKUP(E3278,dicionario!$A$1:$C3677,3,0)</f>
        <v>pepino-do-mato</v>
      </c>
    </row>
    <row r="3279">
      <c r="A3279" s="3">
        <v>45631.0</v>
      </c>
      <c r="B3279" s="4">
        <v>0.30277777777777776</v>
      </c>
      <c r="C3279" s="5" t="s">
        <v>937</v>
      </c>
      <c r="D3279" s="5" t="s">
        <v>907</v>
      </c>
      <c r="E3279" s="12" t="s">
        <v>152</v>
      </c>
      <c r="F3279" s="5" t="s">
        <v>153</v>
      </c>
      <c r="G3279" s="6" t="str">
        <f>VLOOKUP(E3279,dicionario!$A$1:$C3678,2,0)</f>
        <v>Cynodon dactylon</v>
      </c>
      <c r="H3279" s="6" t="str">
        <f>VLOOKUP(E3279,dicionario!$A$1:$C3678,3,0)</f>
        <v>grama-bermuda</v>
      </c>
    </row>
    <row r="3280">
      <c r="A3280" s="3">
        <v>45631.0</v>
      </c>
      <c r="B3280" s="4">
        <v>0.30277777777777776</v>
      </c>
      <c r="C3280" s="5" t="s">
        <v>937</v>
      </c>
      <c r="D3280" s="5" t="s">
        <v>907</v>
      </c>
      <c r="E3280" s="9" t="s">
        <v>105</v>
      </c>
      <c r="F3280" s="5" t="s">
        <v>106</v>
      </c>
      <c r="G3280" s="6" t="str">
        <f>VLOOKUP(E3280,dicionario!$A$1:$C3679,2,0)</f>
        <v>Progne tapera</v>
      </c>
      <c r="H3280" s="6" t="str">
        <f>VLOOKUP(E3280,dicionario!$A$1:$C3679,3,0)</f>
        <v>andorinha-do-campo</v>
      </c>
    </row>
    <row r="3281">
      <c r="A3281" s="3">
        <v>45631.0</v>
      </c>
      <c r="B3281" s="4">
        <v>0.30277777777777776</v>
      </c>
      <c r="C3281" s="5" t="s">
        <v>937</v>
      </c>
      <c r="D3281" s="5" t="s">
        <v>907</v>
      </c>
      <c r="E3281" s="6" t="s">
        <v>401</v>
      </c>
      <c r="F3281" s="5" t="s">
        <v>464</v>
      </c>
      <c r="G3281" s="6" t="str">
        <f>VLOOKUP(E3281,dicionario!$A$1:$C3680,2,0)</f>
        <v>Cissus verticillata</v>
      </c>
      <c r="H3281" s="6" t="str">
        <f>VLOOKUP(E3281,dicionario!$A$1:$C3680,3,0)</f>
        <v>uva-do-mato</v>
      </c>
    </row>
    <row r="3282">
      <c r="A3282" s="3">
        <v>45631.0</v>
      </c>
      <c r="B3282" s="4">
        <v>0.30277777777777776</v>
      </c>
      <c r="C3282" s="5" t="s">
        <v>937</v>
      </c>
      <c r="D3282" s="5" t="s">
        <v>907</v>
      </c>
      <c r="E3282" s="8" t="s">
        <v>738</v>
      </c>
      <c r="F3282" s="5" t="s">
        <v>263</v>
      </c>
      <c r="G3282" s="6" t="str">
        <f>VLOOKUP(E3282,dicionario!$A$1:$C3681,2,0)</f>
        <v>Portulaca</v>
      </c>
      <c r="H3282" s="6" t="str">
        <f>VLOOKUP(E3282,dicionario!$A$1:$C3681,3,0)</f>
        <v/>
      </c>
    </row>
    <row r="3283">
      <c r="A3283" s="3">
        <v>45631.0</v>
      </c>
      <c r="B3283" s="4">
        <v>0.3034722222222222</v>
      </c>
      <c r="C3283" s="5" t="s">
        <v>937</v>
      </c>
      <c r="D3283" s="5" t="s">
        <v>907</v>
      </c>
      <c r="E3283" s="6" t="s">
        <v>88</v>
      </c>
      <c r="F3283" s="5" t="s">
        <v>89</v>
      </c>
      <c r="G3283" s="6" t="str">
        <f>VLOOKUP(E3283,dicionario!$A$1:$C3682,2,0)</f>
        <v>Tyrannus melancolichus</v>
      </c>
      <c r="H3283" s="6" t="str">
        <f>VLOOKUP(E3283,dicionario!$A$1:$C3682,3,0)</f>
        <v>suiriri</v>
      </c>
    </row>
    <row r="3284">
      <c r="A3284" s="3">
        <v>45631.0</v>
      </c>
      <c r="B3284" s="4">
        <v>0.3034722222222222</v>
      </c>
      <c r="C3284" s="5" t="s">
        <v>937</v>
      </c>
      <c r="D3284" s="5" t="s">
        <v>907</v>
      </c>
      <c r="E3284" s="6" t="s">
        <v>111</v>
      </c>
      <c r="F3284" s="7" t="s">
        <v>112</v>
      </c>
      <c r="G3284" s="6" t="str">
        <f>VLOOKUP(E3284,dicionario!$A$1:$C3683,2,0)</f>
        <v>Trigona spinipes</v>
      </c>
      <c r="H3284" s="6" t="str">
        <f>VLOOKUP(E3284,dicionario!$A$1:$C3683,3,0)</f>
        <v>abelha-cachorro</v>
      </c>
    </row>
    <row r="3285">
      <c r="A3285" s="3">
        <v>45631.0</v>
      </c>
      <c r="B3285" s="4">
        <v>0.3034722222222222</v>
      </c>
      <c r="C3285" s="5" t="s">
        <v>937</v>
      </c>
      <c r="D3285" s="5" t="s">
        <v>907</v>
      </c>
      <c r="E3285" s="6" t="s">
        <v>286</v>
      </c>
      <c r="F3285" s="5" t="s">
        <v>287</v>
      </c>
      <c r="G3285" s="6" t="str">
        <f>VLOOKUP(E3285,dicionario!$A$1:$C3684,2,0)</f>
        <v>Setaria parviflora</v>
      </c>
      <c r="H3285" s="6" t="str">
        <f>VLOOKUP(E3285,dicionario!$A$1:$C3684,3,0)</f>
        <v>capim-rabo-de-raposa</v>
      </c>
    </row>
    <row r="3286">
      <c r="A3286" s="3">
        <v>45631.0</v>
      </c>
      <c r="B3286" s="4">
        <v>0.3034722222222222</v>
      </c>
      <c r="C3286" s="5" t="s">
        <v>937</v>
      </c>
      <c r="D3286" s="5" t="s">
        <v>907</v>
      </c>
      <c r="E3286" s="6" t="s">
        <v>181</v>
      </c>
      <c r="F3286" s="5" t="s">
        <v>182</v>
      </c>
      <c r="G3286" s="6" t="str">
        <f>VLOOKUP(E3286,dicionario!$A$1:$C3685,2,0)</f>
        <v>#N/A</v>
      </c>
      <c r="H3286" s="6" t="str">
        <f>VLOOKUP(E3286,dicionario!$A$1:$C3685,3,0)</f>
        <v>#N/A</v>
      </c>
    </row>
    <row r="3287">
      <c r="A3287" s="3">
        <v>45631.0</v>
      </c>
      <c r="B3287" s="4">
        <v>0.3034722222222222</v>
      </c>
      <c r="C3287" s="5" t="s">
        <v>937</v>
      </c>
      <c r="D3287" s="5" t="s">
        <v>907</v>
      </c>
      <c r="E3287" s="6" t="s">
        <v>202</v>
      </c>
      <c r="F3287" s="5" t="s">
        <v>203</v>
      </c>
      <c r="G3287" s="6" t="str">
        <f>VLOOKUP(E3287,dicionario!$A$1:$C3686,2,0)</f>
        <v>Dysdercus</v>
      </c>
      <c r="H3287" s="6" t="str">
        <f>VLOOKUP(E3287,dicionario!$A$1:$C3686,3,0)</f>
        <v>percevejo-manchador</v>
      </c>
    </row>
    <row r="3288">
      <c r="A3288" s="3">
        <v>45631.0</v>
      </c>
      <c r="B3288" s="4">
        <v>0.3034722222222222</v>
      </c>
      <c r="C3288" s="5" t="s">
        <v>937</v>
      </c>
      <c r="D3288" s="5" t="s">
        <v>907</v>
      </c>
      <c r="E3288" s="6" t="s">
        <v>288</v>
      </c>
      <c r="F3288" s="5" t="s">
        <v>289</v>
      </c>
      <c r="G3288" s="6" t="str">
        <f>VLOOKUP(E3288,dicionario!$A$1:$C3687,2,0)</f>
        <v>Phyllanthus tenellus</v>
      </c>
      <c r="H3288" s="6" t="str">
        <f>VLOOKUP(E3288,dicionario!$A$1:$C3687,3,0)</f>
        <v>quebra-pedra</v>
      </c>
    </row>
    <row r="3289">
      <c r="A3289" s="3">
        <v>45631.0</v>
      </c>
      <c r="B3289" s="4">
        <v>0.3034722222222222</v>
      </c>
      <c r="C3289" s="5" t="s">
        <v>937</v>
      </c>
      <c r="D3289" s="5" t="s">
        <v>907</v>
      </c>
      <c r="E3289" s="6" t="s">
        <v>135</v>
      </c>
      <c r="F3289" s="5" t="s">
        <v>136</v>
      </c>
      <c r="G3289" s="6" t="str">
        <f>VLOOKUP(E3289,dicionario!$A$1:$C3688,2,0)</f>
        <v>Tridax procumbens</v>
      </c>
      <c r="H3289" s="6" t="str">
        <f>VLOOKUP(E3289,dicionario!$A$1:$C3688,3,0)</f>
        <v>erva-de-touro</v>
      </c>
    </row>
    <row r="3290">
      <c r="A3290" s="3">
        <v>45631.0</v>
      </c>
      <c r="B3290" s="4">
        <v>0.30416666666666664</v>
      </c>
      <c r="C3290" s="5" t="s">
        <v>937</v>
      </c>
      <c r="D3290" s="5" t="s">
        <v>907</v>
      </c>
      <c r="E3290" s="8" t="s">
        <v>939</v>
      </c>
      <c r="F3290" s="5" t="s">
        <v>940</v>
      </c>
      <c r="G3290" s="6" t="str">
        <f>VLOOKUP(E3290,dicionario!$A$1:$C3689,2,0)</f>
        <v>#N/A</v>
      </c>
      <c r="H3290" s="6" t="str">
        <f>VLOOKUP(E3290,dicionario!$A$1:$C3689,3,0)</f>
        <v>#N/A</v>
      </c>
    </row>
    <row r="3291">
      <c r="A3291" s="3">
        <v>45631.0</v>
      </c>
      <c r="B3291" s="4">
        <v>0.30416666666666664</v>
      </c>
      <c r="C3291" s="5" t="s">
        <v>937</v>
      </c>
      <c r="D3291" s="5" t="s">
        <v>907</v>
      </c>
      <c r="E3291" s="6" t="s">
        <v>14</v>
      </c>
      <c r="F3291" s="5" t="s">
        <v>15</v>
      </c>
      <c r="G3291" s="6" t="str">
        <f>VLOOKUP(E3291,dicionario!$A$1:$C3690,2,0)</f>
        <v>Spermacoce verticillata</v>
      </c>
      <c r="H3291" s="6" t="str">
        <f>VLOOKUP(E3291,dicionario!$A$1:$C3690,3,0)</f>
        <v>vassourinha-de-botão</v>
      </c>
    </row>
    <row r="3292">
      <c r="A3292" s="3">
        <v>45631.0</v>
      </c>
      <c r="B3292" s="4">
        <v>0.30416666666666664</v>
      </c>
      <c r="C3292" s="5" t="s">
        <v>937</v>
      </c>
      <c r="D3292" s="5" t="s">
        <v>907</v>
      </c>
      <c r="E3292" s="6" t="s">
        <v>253</v>
      </c>
      <c r="F3292" s="5" t="s">
        <v>254</v>
      </c>
      <c r="G3292" s="6" t="str">
        <f>VLOOKUP(E3292,dicionario!$A$1:$C3691,2,0)</f>
        <v>Panicum maximum</v>
      </c>
      <c r="H3292" s="6" t="str">
        <f>VLOOKUP(E3292,dicionario!$A$1:$C3691,3,0)</f>
        <v>capim-colonião</v>
      </c>
    </row>
    <row r="3293">
      <c r="A3293" s="3">
        <v>45631.0</v>
      </c>
      <c r="B3293" s="4">
        <v>0.30416666666666664</v>
      </c>
      <c r="C3293" s="5" t="s">
        <v>937</v>
      </c>
      <c r="D3293" s="5" t="s">
        <v>907</v>
      </c>
      <c r="E3293" s="6" t="s">
        <v>227</v>
      </c>
      <c r="F3293" s="5" t="s">
        <v>228</v>
      </c>
      <c r="G3293" s="6" t="str">
        <f>VLOOKUP(E3293,dicionario!$A$1:$C3692,2,0)</f>
        <v>Indigofera hirsuta</v>
      </c>
      <c r="H3293" s="6" t="str">
        <f>VLOOKUP(E3293,dicionario!$A$1:$C3692,3,0)</f>
        <v>anileira</v>
      </c>
    </row>
    <row r="3294">
      <c r="A3294" s="3">
        <v>45631.0</v>
      </c>
      <c r="B3294" s="4">
        <v>0.30416666666666664</v>
      </c>
      <c r="C3294" s="5" t="s">
        <v>937</v>
      </c>
      <c r="D3294" s="5" t="s">
        <v>907</v>
      </c>
      <c r="E3294" s="8" t="s">
        <v>235</v>
      </c>
      <c r="F3294" s="5" t="s">
        <v>941</v>
      </c>
      <c r="G3294" s="6" t="str">
        <f>VLOOKUP(E3294,dicionario!$A$1:$C3693,2,0)</f>
        <v>Leucaena leucocephala</v>
      </c>
      <c r="H3294" s="6" t="str">
        <f>VLOOKUP(E3294,dicionario!$A$1:$C3693,3,0)</f>
        <v>leucena</v>
      </c>
    </row>
    <row r="3295">
      <c r="A3295" s="3">
        <v>45631.0</v>
      </c>
      <c r="B3295" s="4">
        <v>0.30416666666666664</v>
      </c>
      <c r="C3295" s="5" t="s">
        <v>937</v>
      </c>
      <c r="D3295" s="5" t="s">
        <v>907</v>
      </c>
      <c r="E3295" s="6" t="s">
        <v>353</v>
      </c>
      <c r="F3295" s="5" t="s">
        <v>354</v>
      </c>
      <c r="G3295" s="6" t="str">
        <f>VLOOKUP(E3295,dicionario!$A$1:$C3694,2,0)</f>
        <v>Desmodium incanum</v>
      </c>
      <c r="H3295" s="6" t="str">
        <f>VLOOKUP(E3295,dicionario!$A$1:$C3694,3,0)</f>
        <v>pega-pega</v>
      </c>
    </row>
    <row r="3296">
      <c r="A3296" s="3">
        <v>45631.0</v>
      </c>
      <c r="B3296" s="4">
        <v>0.30486111111111114</v>
      </c>
      <c r="C3296" s="5" t="s">
        <v>937</v>
      </c>
      <c r="D3296" s="5" t="s">
        <v>907</v>
      </c>
      <c r="E3296" s="6" t="s">
        <v>20</v>
      </c>
      <c r="F3296" s="7" t="s">
        <v>21</v>
      </c>
      <c r="G3296" s="6" t="str">
        <f>VLOOKUP(E3296,dicionario!$A$1:$C3695,2,0)</f>
        <v>Sicalis flaveola</v>
      </c>
      <c r="H3296" s="6" t="str">
        <f>VLOOKUP(E3296,dicionario!$A$1:$C3695,3,0)</f>
        <v>canário-da-terra</v>
      </c>
    </row>
    <row r="3297">
      <c r="A3297" s="3">
        <v>45631.0</v>
      </c>
      <c r="B3297" s="4">
        <v>0.30486111111111114</v>
      </c>
      <c r="C3297" s="5" t="s">
        <v>937</v>
      </c>
      <c r="D3297" s="5" t="s">
        <v>907</v>
      </c>
      <c r="E3297" s="8" t="s">
        <v>942</v>
      </c>
      <c r="F3297" s="5" t="s">
        <v>943</v>
      </c>
      <c r="G3297" s="6" t="str">
        <f>VLOOKUP(E3297,dicionario!$A$1:$C3696,2,0)</f>
        <v>#N/A</v>
      </c>
      <c r="H3297" s="6" t="str">
        <f>VLOOKUP(E3297,dicionario!$A$1:$C3696,3,0)</f>
        <v>#N/A</v>
      </c>
    </row>
    <row r="3298">
      <c r="A3298" s="3">
        <v>45631.0</v>
      </c>
      <c r="B3298" s="4">
        <v>0.30486111111111114</v>
      </c>
      <c r="C3298" s="5" t="s">
        <v>937</v>
      </c>
      <c r="D3298" s="5" t="s">
        <v>907</v>
      </c>
      <c r="E3298" s="6" t="s">
        <v>699</v>
      </c>
      <c r="F3298" s="5" t="s">
        <v>458</v>
      </c>
      <c r="G3298" s="6" t="str">
        <f>VLOOKUP(E3298,dicionario!$A$1:$C3697,2,0)</f>
        <v>#N/A</v>
      </c>
      <c r="H3298" s="6" t="str">
        <f>VLOOKUP(E3298,dicionario!$A$1:$C3697,3,0)</f>
        <v>#N/A</v>
      </c>
    </row>
    <row r="3299">
      <c r="A3299" s="3">
        <v>45631.0</v>
      </c>
      <c r="B3299" s="4">
        <v>0.30486111111111114</v>
      </c>
      <c r="C3299" s="5" t="s">
        <v>937</v>
      </c>
      <c r="D3299" s="5" t="s">
        <v>907</v>
      </c>
      <c r="E3299" s="6" t="s">
        <v>83</v>
      </c>
      <c r="F3299" s="5" t="s">
        <v>84</v>
      </c>
      <c r="G3299" s="6" t="str">
        <f>VLOOKUP(E3299,dicionario!$A$1:$C3698,2,0)</f>
        <v>Anartia jatrophae</v>
      </c>
      <c r="H3299" s="6" t="str">
        <f>VLOOKUP(E3299,dicionario!$A$1:$C3698,3,0)</f>
        <v>borboleta-pavão-branco</v>
      </c>
    </row>
    <row r="3300">
      <c r="A3300" s="3">
        <v>45631.0</v>
      </c>
      <c r="B3300" s="4">
        <v>0.3055555555555556</v>
      </c>
      <c r="C3300" s="5" t="s">
        <v>937</v>
      </c>
      <c r="D3300" s="5" t="s">
        <v>907</v>
      </c>
      <c r="E3300" s="8" t="s">
        <v>298</v>
      </c>
      <c r="F3300" s="5" t="s">
        <v>739</v>
      </c>
      <c r="G3300" s="6" t="str">
        <f>VLOOKUP(E3300,dicionario!$A$1:$C3699,2,0)</f>
        <v>Alysicarpus vaginalis</v>
      </c>
      <c r="H3300" s="6" t="str">
        <f>VLOOKUP(E3300,dicionario!$A$1:$C3699,3,0)</f>
        <v/>
      </c>
    </row>
    <row r="3301">
      <c r="A3301" s="3">
        <v>45631.0</v>
      </c>
      <c r="B3301" s="4">
        <v>0.3055555555555556</v>
      </c>
      <c r="C3301" s="5" t="s">
        <v>937</v>
      </c>
      <c r="D3301" s="5" t="s">
        <v>907</v>
      </c>
      <c r="E3301" s="6" t="s">
        <v>225</v>
      </c>
      <c r="F3301" s="5" t="s">
        <v>226</v>
      </c>
      <c r="G3301" s="6" t="str">
        <f>VLOOKUP(E3301,dicionario!$A$1:$C3700,2,0)</f>
        <v>Passer domesticus</v>
      </c>
      <c r="H3301" s="6" t="str">
        <f>VLOOKUP(E3301,dicionario!$A$1:$C3700,3,0)</f>
        <v>pardal</v>
      </c>
    </row>
    <row r="3302">
      <c r="A3302" s="3">
        <v>45631.0</v>
      </c>
      <c r="B3302" s="4">
        <v>0.3055555555555556</v>
      </c>
      <c r="C3302" s="5" t="s">
        <v>937</v>
      </c>
      <c r="D3302" s="5" t="s">
        <v>907</v>
      </c>
      <c r="E3302" s="8" t="s">
        <v>719</v>
      </c>
      <c r="F3302" s="5" t="s">
        <v>911</v>
      </c>
      <c r="G3302" s="6" t="str">
        <f>VLOOKUP(E3302,dicionario!$A$1:$C3701,2,0)</f>
        <v>Dirinaria</v>
      </c>
      <c r="H3302" s="6" t="str">
        <f>VLOOKUP(E3302,dicionario!$A$1:$C3701,3,0)</f>
        <v>líquen-crostoso</v>
      </c>
    </row>
    <row r="3303">
      <c r="A3303" s="3">
        <v>45631.0</v>
      </c>
      <c r="B3303" s="4">
        <v>0.3055555555555556</v>
      </c>
      <c r="C3303" s="5" t="s">
        <v>937</v>
      </c>
      <c r="D3303" s="5" t="s">
        <v>907</v>
      </c>
      <c r="E3303" s="8" t="s">
        <v>712</v>
      </c>
      <c r="F3303" s="5" t="s">
        <v>912</v>
      </c>
      <c r="G3303" s="6" t="str">
        <f>VLOOKUP(E3303,dicionario!$A$1:$C3702,2,0)</f>
        <v>Flavopunctelia soredica</v>
      </c>
      <c r="H3303" s="6" t="str">
        <f>VLOOKUP(E3303,dicionario!$A$1:$C3702,3,0)</f>
        <v>líquen-folioso</v>
      </c>
    </row>
    <row r="3304">
      <c r="A3304" s="3">
        <v>45631.0</v>
      </c>
      <c r="B3304" s="4">
        <v>0.3055555555555556</v>
      </c>
      <c r="C3304" s="5" t="s">
        <v>937</v>
      </c>
      <c r="D3304" s="5" t="s">
        <v>907</v>
      </c>
      <c r="E3304" s="8" t="s">
        <v>107</v>
      </c>
      <c r="F3304" s="5" t="s">
        <v>108</v>
      </c>
      <c r="G3304" s="6" t="str">
        <f>VLOOKUP(E3304,dicionario!$A$1:$C3703,2,0)</f>
        <v>Ramalina complanata</v>
      </c>
      <c r="H3304" s="6" t="str">
        <f>VLOOKUP(E3304,dicionario!$A$1:$C3703,3,0)</f>
        <v>ramalina</v>
      </c>
    </row>
    <row r="3305">
      <c r="A3305" s="3">
        <v>45631.0</v>
      </c>
      <c r="B3305" s="4">
        <v>0.3055555555555556</v>
      </c>
      <c r="C3305" s="5" t="s">
        <v>937</v>
      </c>
      <c r="D3305" s="5" t="s">
        <v>907</v>
      </c>
      <c r="E3305" s="6" t="s">
        <v>213</v>
      </c>
      <c r="F3305" s="7" t="s">
        <v>214</v>
      </c>
      <c r="G3305" s="6" t="str">
        <f>VLOOKUP(E3305,dicionario!$A$1:$C3704,2,0)</f>
        <v>Myiozetetes similis</v>
      </c>
      <c r="H3305" s="6" t="str">
        <f>VLOOKUP(E3305,dicionario!$A$1:$C3704,3,0)</f>
        <v>bentevizinho-de-penacho-vermelho</v>
      </c>
    </row>
    <row r="3306">
      <c r="A3306" s="3">
        <v>45631.0</v>
      </c>
      <c r="B3306" s="4">
        <v>0.30833333333333335</v>
      </c>
      <c r="C3306" s="5" t="s">
        <v>937</v>
      </c>
      <c r="D3306" s="5" t="s">
        <v>907</v>
      </c>
      <c r="E3306" s="6" t="s">
        <v>86</v>
      </c>
      <c r="F3306" s="5" t="s">
        <v>502</v>
      </c>
      <c r="G3306" s="6" t="str">
        <f>VLOOKUP(E3306,dicionario!$A$1:$C3705,2,0)</f>
        <v>Coereba flaveola</v>
      </c>
      <c r="H3306" s="6" t="str">
        <f>VLOOKUP(E3306,dicionario!$A$1:$C3705,3,0)</f>
        <v>cambacica</v>
      </c>
    </row>
    <row r="3307">
      <c r="A3307" s="3">
        <v>45631.0</v>
      </c>
      <c r="B3307" s="4">
        <v>0.30972222222222223</v>
      </c>
      <c r="C3307" s="5" t="s">
        <v>937</v>
      </c>
      <c r="D3307" s="5" t="s">
        <v>907</v>
      </c>
      <c r="E3307" s="8" t="s">
        <v>581</v>
      </c>
      <c r="F3307" s="5" t="s">
        <v>944</v>
      </c>
      <c r="G3307" s="6" t="str">
        <f>VLOOKUP(E3307,dicionario!$A$1:$C3706,2,0)</f>
        <v>Phoebis marcellina</v>
      </c>
      <c r="H3307" s="6" t="str">
        <f>VLOOKUP(E3307,dicionario!$A$1:$C3706,3,0)</f>
        <v>borboleta-gema</v>
      </c>
    </row>
    <row r="3308">
      <c r="A3308" s="3">
        <v>45631.0</v>
      </c>
      <c r="B3308" s="4">
        <v>0.30972222222222223</v>
      </c>
      <c r="C3308" s="5" t="s">
        <v>937</v>
      </c>
      <c r="D3308" s="5" t="s">
        <v>907</v>
      </c>
      <c r="E3308" s="6" t="s">
        <v>177</v>
      </c>
      <c r="F3308" s="5" t="s">
        <v>178</v>
      </c>
      <c r="G3308" s="6" t="str">
        <f>VLOOKUP(E3308,dicionario!$A$1:$C3707,2,0)</f>
        <v>Elaenia flavogaster</v>
      </c>
      <c r="H3308" s="6" t="str">
        <f>VLOOKUP(E3308,dicionario!$A$1:$C3707,3,0)</f>
        <v>guaracava-de-barriga-amarela</v>
      </c>
    </row>
    <row r="3309">
      <c r="A3309" s="3">
        <v>45631.0</v>
      </c>
      <c r="B3309" s="4">
        <v>0.30972222222222223</v>
      </c>
      <c r="C3309" s="5" t="s">
        <v>937</v>
      </c>
      <c r="D3309" s="5" t="s">
        <v>907</v>
      </c>
      <c r="E3309" s="20" t="s">
        <v>676</v>
      </c>
      <c r="F3309" s="7" t="s">
        <v>677</v>
      </c>
      <c r="G3309" s="6" t="str">
        <f>VLOOKUP(E3309,dicionario!$A$1:$C3708,2,0)</f>
        <v>Zornia latifolia</v>
      </c>
      <c r="H3309" s="6" t="str">
        <f>VLOOKUP(E3309,dicionario!$A$1:$C3708,3,0)</f>
        <v>arrozinho-do-campo</v>
      </c>
    </row>
    <row r="3310">
      <c r="A3310" s="3">
        <v>45631.0</v>
      </c>
      <c r="B3310" s="4">
        <v>0.3104166666666667</v>
      </c>
      <c r="C3310" s="5" t="s">
        <v>937</v>
      </c>
      <c r="D3310" s="5" t="s">
        <v>907</v>
      </c>
      <c r="E3310" s="10" t="s">
        <v>101</v>
      </c>
      <c r="F3310" s="5" t="s">
        <v>102</v>
      </c>
      <c r="G3310" s="6" t="str">
        <f>VLOOKUP(E3310,dicionario!$A$1:$C3709,2,0)</f>
        <v>Nemosia pileata</v>
      </c>
      <c r="H3310" s="6" t="str">
        <f>VLOOKUP(E3310,dicionario!$A$1:$C3709,3,0)</f>
        <v>saíra-de-chapéu-preto</v>
      </c>
    </row>
    <row r="3311">
      <c r="A3311" s="3">
        <v>45631.0</v>
      </c>
      <c r="B3311" s="4">
        <v>0.3111111111111111</v>
      </c>
      <c r="C3311" s="5" t="s">
        <v>937</v>
      </c>
      <c r="D3311" s="5" t="s">
        <v>907</v>
      </c>
      <c r="E3311" s="6" t="s">
        <v>243</v>
      </c>
      <c r="F3311" s="5" t="s">
        <v>244</v>
      </c>
      <c r="G3311" s="6" t="str">
        <f>VLOOKUP(E3311,dicionario!$A$1:$C3710,2,0)</f>
        <v>Macroptilium atropurpureum</v>
      </c>
      <c r="H3311" s="6" t="str">
        <f>VLOOKUP(E3311,dicionario!$A$1:$C3710,3,0)</f>
        <v>feijão-de-pombo</v>
      </c>
    </row>
    <row r="3312">
      <c r="A3312" s="3">
        <v>45631.0</v>
      </c>
      <c r="B3312" s="4">
        <v>0.3111111111111111</v>
      </c>
      <c r="C3312" s="5" t="s">
        <v>937</v>
      </c>
      <c r="D3312" s="5" t="s">
        <v>907</v>
      </c>
      <c r="E3312" s="8" t="s">
        <v>378</v>
      </c>
      <c r="F3312" s="5" t="s">
        <v>205</v>
      </c>
      <c r="G3312" s="6" t="str">
        <f>VLOOKUP(E3312,dicionario!$A$1:$C3711,2,0)</f>
        <v>Polistes</v>
      </c>
      <c r="H3312" s="6" t="str">
        <f>VLOOKUP(E3312,dicionario!$A$1:$C3711,3,0)</f>
        <v>marimbondo</v>
      </c>
    </row>
    <row r="3313">
      <c r="A3313" s="3">
        <v>45631.0</v>
      </c>
      <c r="B3313" s="4">
        <v>0.3111111111111111</v>
      </c>
      <c r="C3313" s="5" t="s">
        <v>937</v>
      </c>
      <c r="D3313" s="5" t="s">
        <v>907</v>
      </c>
      <c r="E3313" s="8" t="s">
        <v>258</v>
      </c>
      <c r="F3313" s="5" t="s">
        <v>259</v>
      </c>
      <c r="G3313" s="6" t="str">
        <f>VLOOKUP(E3313,dicionario!$A$1:$C3712,2,0)</f>
        <v>Lantana camara</v>
      </c>
      <c r="H3313" s="6" t="str">
        <f>VLOOKUP(E3313,dicionario!$A$1:$C3712,3,0)</f>
        <v>lantana</v>
      </c>
    </row>
    <row r="3314">
      <c r="A3314" s="3">
        <v>45631.0</v>
      </c>
      <c r="B3314" s="4">
        <v>0.31180555555555556</v>
      </c>
      <c r="C3314" s="5" t="s">
        <v>937</v>
      </c>
      <c r="D3314" s="5" t="s">
        <v>907</v>
      </c>
      <c r="E3314" s="6" t="s">
        <v>381</v>
      </c>
      <c r="F3314" s="5" t="s">
        <v>945</v>
      </c>
      <c r="G3314" s="6" t="str">
        <f>VLOOKUP(E3314,dicionario!$A$1:$C3713,2,0)</f>
        <v>Pseudomyrmex</v>
      </c>
      <c r="H3314" s="6" t="str">
        <f>VLOOKUP(E3314,dicionario!$A$1:$C3713,3,0)</f>
        <v>maria-magra</v>
      </c>
    </row>
    <row r="3315">
      <c r="A3315" s="3">
        <v>45631.0</v>
      </c>
      <c r="B3315" s="4">
        <v>0.31180555555555556</v>
      </c>
      <c r="C3315" s="5" t="s">
        <v>937</v>
      </c>
      <c r="D3315" s="5" t="s">
        <v>907</v>
      </c>
      <c r="E3315" s="8" t="s">
        <v>752</v>
      </c>
      <c r="F3315" s="5" t="s">
        <v>753</v>
      </c>
      <c r="G3315" s="6" t="str">
        <f>VLOOKUP(E3315,dicionario!$A$1:$C3714,2,0)</f>
        <v>#N/A</v>
      </c>
      <c r="H3315" s="6" t="str">
        <f>VLOOKUP(E3315,dicionario!$A$1:$C3714,3,0)</f>
        <v>#N/A</v>
      </c>
    </row>
    <row r="3316">
      <c r="A3316" s="3">
        <v>45631.0</v>
      </c>
      <c r="B3316" s="4">
        <v>0.31180555555555556</v>
      </c>
      <c r="C3316" s="5" t="s">
        <v>937</v>
      </c>
      <c r="D3316" s="5" t="s">
        <v>907</v>
      </c>
      <c r="E3316" s="8" t="s">
        <v>946</v>
      </c>
      <c r="F3316" s="5" t="s">
        <v>947</v>
      </c>
      <c r="G3316" s="6" t="str">
        <f>VLOOKUP(E3316,dicionario!$A$1:$C3715,2,0)</f>
        <v>Thorybes dorantes</v>
      </c>
      <c r="H3316" s="6" t="str">
        <f>VLOOKUP(E3316,dicionario!$A$1:$C3715,3,0)</f>
        <v>mariposa-de-cauda-lilás</v>
      </c>
    </row>
    <row r="3317">
      <c r="A3317" s="3">
        <v>45631.0</v>
      </c>
      <c r="B3317" s="4">
        <v>0.31180555555555556</v>
      </c>
      <c r="C3317" s="5" t="s">
        <v>937</v>
      </c>
      <c r="D3317" s="5" t="s">
        <v>907</v>
      </c>
      <c r="E3317" s="8" t="s">
        <v>375</v>
      </c>
      <c r="F3317" s="5" t="s">
        <v>35</v>
      </c>
      <c r="G3317" s="6" t="str">
        <f>VLOOKUP(E3317,dicionario!$A$1:$C3716,2,0)</f>
        <v>Neoponera foetida</v>
      </c>
      <c r="H3317" s="6" t="str">
        <f>VLOOKUP(E3317,dicionario!$A$1:$C3716,3,0)</f>
        <v/>
      </c>
    </row>
    <row r="3318">
      <c r="A3318" s="3">
        <v>45631.0</v>
      </c>
      <c r="B3318" s="4">
        <v>0.3138888888888889</v>
      </c>
      <c r="C3318" s="5" t="s">
        <v>937</v>
      </c>
      <c r="D3318" s="5" t="s">
        <v>907</v>
      </c>
      <c r="E3318" s="8" t="s">
        <v>88</v>
      </c>
      <c r="F3318" s="5" t="s">
        <v>924</v>
      </c>
      <c r="G3318" s="6" t="str">
        <f>VLOOKUP(E3318,dicionario!$A$1:$C3717,2,0)</f>
        <v>Tyrannus melancolichus</v>
      </c>
      <c r="H3318" s="6" t="str">
        <f>VLOOKUP(E3318,dicionario!$A$1:$C3717,3,0)</f>
        <v>suiriri</v>
      </c>
    </row>
    <row r="3319">
      <c r="A3319" s="3">
        <v>45631.0</v>
      </c>
      <c r="B3319" s="4">
        <v>0.31527777777777777</v>
      </c>
      <c r="C3319" s="5" t="s">
        <v>948</v>
      </c>
      <c r="D3319" s="5" t="s">
        <v>907</v>
      </c>
      <c r="E3319" s="6" t="s">
        <v>88</v>
      </c>
      <c r="F3319" s="5" t="s">
        <v>89</v>
      </c>
      <c r="G3319" s="6" t="str">
        <f>VLOOKUP(E3319,dicionario!$A$1:$C3718,2,0)</f>
        <v>Tyrannus melancolichus</v>
      </c>
      <c r="H3319" s="6" t="str">
        <f>VLOOKUP(E3319,dicionario!$A$1:$C3718,3,0)</f>
        <v>suiriri</v>
      </c>
    </row>
    <row r="3320">
      <c r="A3320" s="3">
        <v>45631.0</v>
      </c>
      <c r="B3320" s="4">
        <v>0.31527777777777777</v>
      </c>
      <c r="C3320" s="5" t="s">
        <v>948</v>
      </c>
      <c r="D3320" s="5" t="s">
        <v>907</v>
      </c>
      <c r="E3320" s="6" t="s">
        <v>148</v>
      </c>
      <c r="F3320" s="5" t="s">
        <v>149</v>
      </c>
      <c r="G3320" s="6" t="str">
        <f>VLOOKUP(E3320,dicionario!$A$1:$C3719,2,0)</f>
        <v>Parthenium hysterophorus</v>
      </c>
      <c r="H3320" s="6" t="str">
        <f>VLOOKUP(E3320,dicionario!$A$1:$C3719,3,0)</f>
        <v>losna-branca</v>
      </c>
    </row>
    <row r="3321">
      <c r="A3321" s="3">
        <v>45631.0</v>
      </c>
      <c r="B3321" s="4">
        <v>0.31527777777777777</v>
      </c>
      <c r="C3321" s="5" t="s">
        <v>948</v>
      </c>
      <c r="D3321" s="5" t="s">
        <v>907</v>
      </c>
      <c r="E3321" s="8" t="s">
        <v>457</v>
      </c>
      <c r="F3321" s="5" t="s">
        <v>458</v>
      </c>
      <c r="G3321" s="6" t="str">
        <f>VLOOKUP(E3321,dicionario!$A$1:$C3720,2,0)</f>
        <v>Alternanthera philoxeroides</v>
      </c>
      <c r="H3321" s="6" t="str">
        <f>VLOOKUP(E3321,dicionario!$A$1:$C3720,3,0)</f>
        <v>erva-jacaré </v>
      </c>
    </row>
    <row r="3322">
      <c r="A3322" s="3">
        <v>45631.0</v>
      </c>
      <c r="B3322" s="4">
        <v>0.31527777777777777</v>
      </c>
      <c r="C3322" s="5" t="s">
        <v>948</v>
      </c>
      <c r="D3322" s="5" t="s">
        <v>907</v>
      </c>
      <c r="E3322" s="6" t="s">
        <v>20</v>
      </c>
      <c r="F3322" s="7" t="s">
        <v>21</v>
      </c>
      <c r="G3322" s="6" t="str">
        <f>VLOOKUP(E3322,dicionario!$A$1:$C3721,2,0)</f>
        <v>Sicalis flaveola</v>
      </c>
      <c r="H3322" s="6" t="str">
        <f>VLOOKUP(E3322,dicionario!$A$1:$C3721,3,0)</f>
        <v>canário-da-terra</v>
      </c>
    </row>
    <row r="3323">
      <c r="A3323" s="3">
        <v>45631.0</v>
      </c>
      <c r="B3323" s="4">
        <v>0.31527777777777777</v>
      </c>
      <c r="C3323" s="5" t="s">
        <v>948</v>
      </c>
      <c r="D3323" s="5" t="s">
        <v>907</v>
      </c>
      <c r="E3323" s="6" t="s">
        <v>154</v>
      </c>
      <c r="F3323" s="5" t="s">
        <v>155</v>
      </c>
      <c r="G3323" s="6" t="str">
        <f>VLOOKUP(E3323,dicionario!$A$1:$C3722,2,0)</f>
        <v>Cyperus rotundus</v>
      </c>
      <c r="H3323" s="6" t="str">
        <f>VLOOKUP(E3323,dicionario!$A$1:$C3722,3,0)</f>
        <v>tiririca</v>
      </c>
    </row>
    <row r="3324">
      <c r="A3324" s="3">
        <v>45631.0</v>
      </c>
      <c r="B3324" s="4">
        <v>0.31527777777777777</v>
      </c>
      <c r="C3324" s="5" t="s">
        <v>948</v>
      </c>
      <c r="D3324" s="5" t="s">
        <v>907</v>
      </c>
      <c r="E3324" s="6" t="s">
        <v>253</v>
      </c>
      <c r="F3324" s="5" t="s">
        <v>254</v>
      </c>
      <c r="G3324" s="6" t="str">
        <f>VLOOKUP(E3324,dicionario!$A$1:$C3723,2,0)</f>
        <v>Panicum maximum</v>
      </c>
      <c r="H3324" s="6" t="str">
        <f>VLOOKUP(E3324,dicionario!$A$1:$C3723,3,0)</f>
        <v>capim-colonião</v>
      </c>
    </row>
    <row r="3325">
      <c r="A3325" s="3">
        <v>45631.0</v>
      </c>
      <c r="B3325" s="4">
        <v>0.31527777777777777</v>
      </c>
      <c r="C3325" s="5" t="s">
        <v>948</v>
      </c>
      <c r="D3325" s="5" t="s">
        <v>907</v>
      </c>
      <c r="E3325" s="6" t="s">
        <v>271</v>
      </c>
      <c r="F3325" s="7" t="s">
        <v>272</v>
      </c>
      <c r="G3325" s="6" t="str">
        <f>VLOOKUP(E3325,dicionario!$A$1:$C3724,2,0)</f>
        <v>Cyanthillium cinereum</v>
      </c>
      <c r="H3325" s="6" t="str">
        <f>VLOOKUP(E3325,dicionario!$A$1:$C3724,3,0)</f>
        <v>emília</v>
      </c>
    </row>
    <row r="3326">
      <c r="A3326" s="3">
        <v>45631.0</v>
      </c>
      <c r="B3326" s="4">
        <v>0.31527777777777777</v>
      </c>
      <c r="C3326" s="5" t="s">
        <v>948</v>
      </c>
      <c r="D3326" s="5" t="s">
        <v>907</v>
      </c>
      <c r="E3326" s="6" t="s">
        <v>171</v>
      </c>
      <c r="F3326" s="5" t="s">
        <v>172</v>
      </c>
      <c r="G3326" s="6" t="str">
        <f>VLOOKUP(E3326,dicionario!$A$1:$C3725,2,0)</f>
        <v>Oxalis corniculata</v>
      </c>
      <c r="H3326" s="6" t="str">
        <f>VLOOKUP(E3326,dicionario!$A$1:$C3725,3,0)</f>
        <v>trevo-azedinho</v>
      </c>
    </row>
    <row r="3327">
      <c r="A3327" s="3">
        <v>45631.0</v>
      </c>
      <c r="B3327" s="4">
        <v>0.3159722222222222</v>
      </c>
      <c r="C3327" s="5" t="s">
        <v>948</v>
      </c>
      <c r="D3327" s="5" t="s">
        <v>907</v>
      </c>
      <c r="E3327" s="8" t="s">
        <v>262</v>
      </c>
      <c r="F3327" s="7" t="s">
        <v>263</v>
      </c>
      <c r="G3327" s="6" t="str">
        <f>VLOOKUP(E3327,dicionario!$A$1:$C3726,2,0)</f>
        <v>Portulaca oleracea</v>
      </c>
      <c r="H3327" s="6" t="str">
        <f>VLOOKUP(E3327,dicionario!$A$1:$C3726,3,0)</f>
        <v>beldroega</v>
      </c>
    </row>
    <row r="3328">
      <c r="A3328" s="3">
        <v>45631.0</v>
      </c>
      <c r="B3328" s="4">
        <v>0.3159722222222222</v>
      </c>
      <c r="C3328" s="5" t="s">
        <v>948</v>
      </c>
      <c r="D3328" s="5" t="s">
        <v>907</v>
      </c>
      <c r="E3328" s="8" t="s">
        <v>193</v>
      </c>
      <c r="F3328" s="5" t="s">
        <v>194</v>
      </c>
      <c r="G3328" s="6" t="str">
        <f>VLOOKUP(E3328,dicionario!$A$1:$C3727,2,0)</f>
        <v>Conirostrum speciosum</v>
      </c>
      <c r="H3328" s="6" t="str">
        <f>VLOOKUP(E3328,dicionario!$A$1:$C3727,3,0)</f>
        <v>figuinha-de-rabo-castanho</v>
      </c>
    </row>
    <row r="3329">
      <c r="A3329" s="3">
        <v>45631.0</v>
      </c>
      <c r="B3329" s="4">
        <v>0.3159722222222222</v>
      </c>
      <c r="C3329" s="5" t="s">
        <v>948</v>
      </c>
      <c r="D3329" s="5" t="s">
        <v>907</v>
      </c>
      <c r="E3329" s="8" t="s">
        <v>719</v>
      </c>
      <c r="F3329" s="5" t="s">
        <v>911</v>
      </c>
      <c r="G3329" s="6" t="str">
        <f>VLOOKUP(E3329,dicionario!$A$1:$C3728,2,0)</f>
        <v>Dirinaria</v>
      </c>
      <c r="H3329" s="6" t="str">
        <f>VLOOKUP(E3329,dicionario!$A$1:$C3728,3,0)</f>
        <v>líquen-crostoso</v>
      </c>
    </row>
    <row r="3330">
      <c r="A3330" s="3">
        <v>45631.0</v>
      </c>
      <c r="B3330" s="4">
        <v>0.3159722222222222</v>
      </c>
      <c r="C3330" s="5" t="s">
        <v>948</v>
      </c>
      <c r="D3330" s="5" t="s">
        <v>907</v>
      </c>
      <c r="E3330" s="6" t="s">
        <v>132</v>
      </c>
      <c r="F3330" s="5" t="s">
        <v>133</v>
      </c>
      <c r="G3330" s="6" t="str">
        <f>VLOOKUP(E3330,dicionario!$A$1:$C3729,2,0)</f>
        <v>Euphonia chlorotica</v>
      </c>
      <c r="H3330" s="6" t="str">
        <f>VLOOKUP(E3330,dicionario!$A$1:$C3729,3,0)</f>
        <v>fim-fim</v>
      </c>
    </row>
    <row r="3331">
      <c r="A3331" s="3">
        <v>45631.0</v>
      </c>
      <c r="B3331" s="4">
        <v>0.31666666666666665</v>
      </c>
      <c r="C3331" s="5" t="s">
        <v>948</v>
      </c>
      <c r="D3331" s="5" t="s">
        <v>907</v>
      </c>
      <c r="E3331" s="6" t="s">
        <v>65</v>
      </c>
      <c r="F3331" s="5" t="s">
        <v>66</v>
      </c>
      <c r="G3331" s="6" t="str">
        <f>VLOOKUP(E3331,dicionario!$A$1:$C3730,2,0)</f>
        <v>Pitangus sulphutarus</v>
      </c>
      <c r="H3331" s="6" t="str">
        <f>VLOOKUP(E3331,dicionario!$A$1:$C3730,3,0)</f>
        <v>bem-te-vi</v>
      </c>
    </row>
    <row r="3332">
      <c r="A3332" s="3">
        <v>45631.0</v>
      </c>
      <c r="B3332" s="4">
        <v>0.31666666666666665</v>
      </c>
      <c r="C3332" s="5" t="s">
        <v>948</v>
      </c>
      <c r="D3332" s="5" t="s">
        <v>907</v>
      </c>
      <c r="E3332" s="6" t="s">
        <v>113</v>
      </c>
      <c r="F3332" s="5" t="s">
        <v>114</v>
      </c>
      <c r="G3332" s="6" t="str">
        <f>VLOOKUP(E3332,dicionario!$A$1:$C3731,2,0)</f>
        <v>Columbina talpacoti</v>
      </c>
      <c r="H3332" s="6" t="str">
        <f>VLOOKUP(E3332,dicionario!$A$1:$C3731,3,0)</f>
        <v>rolinha-roxa</v>
      </c>
    </row>
    <row r="3333">
      <c r="A3333" s="3">
        <v>45631.0</v>
      </c>
      <c r="B3333" s="4">
        <v>0.31666666666666665</v>
      </c>
      <c r="C3333" s="5" t="s">
        <v>948</v>
      </c>
      <c r="D3333" s="5" t="s">
        <v>907</v>
      </c>
      <c r="E3333" s="8" t="s">
        <v>38</v>
      </c>
      <c r="F3333" s="5" t="s">
        <v>39</v>
      </c>
      <c r="G3333" s="6" t="str">
        <f>VLOOKUP(E3333,dicionario!$A$1:$C3732,2,0)</f>
        <v>Troglodytes musculus</v>
      </c>
      <c r="H3333" s="6" t="str">
        <f>VLOOKUP(E3333,dicionario!$A$1:$C3732,3,0)</f>
        <v>curruíra</v>
      </c>
    </row>
    <row r="3334">
      <c r="A3334" s="3">
        <v>45631.0</v>
      </c>
      <c r="B3334" s="4">
        <v>0.3173611111111111</v>
      </c>
      <c r="C3334" s="5" t="s">
        <v>948</v>
      </c>
      <c r="D3334" s="5" t="s">
        <v>907</v>
      </c>
      <c r="E3334" s="8" t="s">
        <v>195</v>
      </c>
      <c r="F3334" s="5" t="s">
        <v>196</v>
      </c>
      <c r="G3334" s="6" t="str">
        <f>VLOOKUP(E3334,dicionario!$A$1:$C3733,2,0)</f>
        <v>Priva lappulacea</v>
      </c>
      <c r="H3334" s="6" t="str">
        <f>VLOOKUP(E3334,dicionario!$A$1:$C3733,3,0)</f>
        <v>carrapicho</v>
      </c>
    </row>
    <row r="3335">
      <c r="A3335" s="3">
        <v>45631.0</v>
      </c>
      <c r="B3335" s="4">
        <v>0.3173611111111111</v>
      </c>
      <c r="C3335" s="5" t="s">
        <v>948</v>
      </c>
      <c r="D3335" s="5" t="s">
        <v>907</v>
      </c>
      <c r="E3335" s="6" t="s">
        <v>43</v>
      </c>
      <c r="F3335" s="5" t="s">
        <v>949</v>
      </c>
      <c r="G3335" s="6" t="str">
        <f>VLOOKUP(E3335,dicionario!$A$1:$C3734,2,0)</f>
        <v>Columba livia</v>
      </c>
      <c r="H3335" s="6" t="str">
        <f>VLOOKUP(E3335,dicionario!$A$1:$C3734,3,0)</f>
        <v>pombo-doméstico</v>
      </c>
    </row>
    <row r="3336">
      <c r="A3336" s="3">
        <v>45631.0</v>
      </c>
      <c r="B3336" s="4">
        <v>0.3173611111111111</v>
      </c>
      <c r="C3336" s="5" t="s">
        <v>948</v>
      </c>
      <c r="D3336" s="5" t="s">
        <v>907</v>
      </c>
      <c r="E3336" s="6" t="s">
        <v>181</v>
      </c>
      <c r="F3336" s="5" t="s">
        <v>182</v>
      </c>
      <c r="G3336" s="6" t="str">
        <f>VLOOKUP(E3336,dicionario!$A$1:$C3735,2,0)</f>
        <v>#N/A</v>
      </c>
      <c r="H3336" s="6" t="str">
        <f>VLOOKUP(E3336,dicionario!$A$1:$C3735,3,0)</f>
        <v>#N/A</v>
      </c>
    </row>
    <row r="3337">
      <c r="A3337" s="3">
        <v>45631.0</v>
      </c>
      <c r="B3337" s="4">
        <v>0.3173611111111111</v>
      </c>
      <c r="C3337" s="5" t="s">
        <v>948</v>
      </c>
      <c r="D3337" s="5" t="s">
        <v>907</v>
      </c>
      <c r="E3337" s="8" t="s">
        <v>223</v>
      </c>
      <c r="F3337" s="5" t="s">
        <v>224</v>
      </c>
      <c r="G3337" s="6" t="str">
        <f>VLOOKUP(E3337,dicionario!$A$1:$C3736,2,0)</f>
        <v>Rhipsalis lindbergiana</v>
      </c>
      <c r="H3337" s="6" t="str">
        <f>VLOOKUP(E3337,dicionario!$A$1:$C3736,3,0)</f>
        <v>cacto-macarrão</v>
      </c>
    </row>
    <row r="3338">
      <c r="A3338" s="3">
        <v>45631.0</v>
      </c>
      <c r="B3338" s="4">
        <v>0.3173611111111111</v>
      </c>
      <c r="C3338" s="5" t="s">
        <v>948</v>
      </c>
      <c r="D3338" s="5" t="s">
        <v>907</v>
      </c>
      <c r="E3338" s="6" t="s">
        <v>324</v>
      </c>
      <c r="F3338" s="5" t="s">
        <v>855</v>
      </c>
      <c r="G3338" s="6" t="str">
        <f>VLOOKUP(E3338,dicionario!$A$1:$C3737,2,0)</f>
        <v>#N/A</v>
      </c>
      <c r="H3338" s="6" t="str">
        <f>VLOOKUP(E3338,dicionario!$A$1:$C3737,3,0)</f>
        <v>#N/A</v>
      </c>
    </row>
    <row r="3339">
      <c r="A3339" s="3">
        <v>45631.0</v>
      </c>
      <c r="B3339" s="4">
        <v>0.31875</v>
      </c>
      <c r="C3339" s="5" t="s">
        <v>948</v>
      </c>
      <c r="D3339" s="5" t="s">
        <v>907</v>
      </c>
      <c r="E3339" s="6" t="s">
        <v>682</v>
      </c>
      <c r="F3339" s="5" t="s">
        <v>683</v>
      </c>
      <c r="G3339" s="6" t="str">
        <f>VLOOKUP(E3339,dicionario!$A$1:$C3738,2,0)</f>
        <v>Lagria villosa</v>
      </c>
      <c r="H3339" s="6" t="str">
        <f>VLOOKUP(E3339,dicionario!$A$1:$C3738,3,0)</f>
        <v>bicho-capixaba</v>
      </c>
    </row>
    <row r="3340">
      <c r="A3340" s="3">
        <v>45631.0</v>
      </c>
      <c r="B3340" s="4">
        <v>0.31875</v>
      </c>
      <c r="C3340" s="5" t="s">
        <v>948</v>
      </c>
      <c r="D3340" s="5" t="s">
        <v>907</v>
      </c>
      <c r="E3340" s="6" t="s">
        <v>191</v>
      </c>
      <c r="F3340" s="5" t="s">
        <v>192</v>
      </c>
      <c r="G3340" s="6" t="str">
        <f>VLOOKUP(E3340,dicionario!$A$1:$C3739,2,0)</f>
        <v>Patagioenas picazuro</v>
      </c>
      <c r="H3340" s="6" t="str">
        <f>VLOOKUP(E3340,dicionario!$A$1:$C3739,3,0)</f>
        <v>asa-branca; pomba-asa-branca; pocaçu</v>
      </c>
    </row>
    <row r="3341">
      <c r="A3341" s="3">
        <v>45631.0</v>
      </c>
      <c r="B3341" s="4">
        <v>0.31875</v>
      </c>
      <c r="C3341" s="5" t="s">
        <v>948</v>
      </c>
      <c r="D3341" s="5" t="s">
        <v>907</v>
      </c>
      <c r="E3341" s="6" t="s">
        <v>111</v>
      </c>
      <c r="F3341" s="7" t="s">
        <v>112</v>
      </c>
      <c r="G3341" s="6" t="str">
        <f>VLOOKUP(E3341,dicionario!$A$1:$C3740,2,0)</f>
        <v>Trigona spinipes</v>
      </c>
      <c r="H3341" s="6" t="str">
        <f>VLOOKUP(E3341,dicionario!$A$1:$C3740,3,0)</f>
        <v>abelha-cachorro</v>
      </c>
    </row>
    <row r="3342">
      <c r="A3342" s="3">
        <v>45631.0</v>
      </c>
      <c r="B3342" s="4">
        <v>0.31875</v>
      </c>
      <c r="C3342" s="5" t="s">
        <v>948</v>
      </c>
      <c r="D3342" s="5" t="s">
        <v>907</v>
      </c>
      <c r="E3342" s="6" t="s">
        <v>69</v>
      </c>
      <c r="F3342" s="7" t="s">
        <v>71</v>
      </c>
      <c r="G3342" s="6" t="str">
        <f>VLOOKUP(E3342,dicionario!$A$1:$C3741,2,0)</f>
        <v>Talinum fruticosum</v>
      </c>
      <c r="H3342" s="6" t="str">
        <f>VLOOKUP(E3342,dicionario!$A$1:$C3741,3,0)</f>
        <v>beldroega-grande</v>
      </c>
    </row>
    <row r="3343">
      <c r="A3343" s="3">
        <v>45631.0</v>
      </c>
      <c r="B3343" s="4">
        <v>0.3194444444444444</v>
      </c>
      <c r="C3343" s="5" t="s">
        <v>948</v>
      </c>
      <c r="D3343" s="5" t="s">
        <v>907</v>
      </c>
      <c r="E3343" s="6" t="s">
        <v>122</v>
      </c>
      <c r="F3343" s="7" t="s">
        <v>123</v>
      </c>
      <c r="G3343" s="6" t="str">
        <f>VLOOKUP(E3343,dicionario!$A$1:$C3742,2,0)</f>
        <v>Todirostrum cinereum</v>
      </c>
      <c r="H3343" s="6" t="str">
        <f>VLOOKUP(E3343,dicionario!$A$1:$C3742,3,0)</f>
        <v>ferreirinho-relógio</v>
      </c>
    </row>
    <row r="3344">
      <c r="A3344" s="3">
        <v>45631.0</v>
      </c>
      <c r="B3344" s="4">
        <v>0.3194444444444444</v>
      </c>
      <c r="C3344" s="5" t="s">
        <v>948</v>
      </c>
      <c r="D3344" s="5" t="s">
        <v>907</v>
      </c>
      <c r="E3344" s="10" t="s">
        <v>101</v>
      </c>
      <c r="F3344" s="5" t="s">
        <v>102</v>
      </c>
      <c r="G3344" s="6" t="str">
        <f>VLOOKUP(E3344,dicionario!$A$1:$C3743,2,0)</f>
        <v>Nemosia pileata</v>
      </c>
      <c r="H3344" s="6" t="str">
        <f>VLOOKUP(E3344,dicionario!$A$1:$C3743,3,0)</f>
        <v>saíra-de-chapéu-preto</v>
      </c>
    </row>
    <row r="3345">
      <c r="A3345" s="3">
        <v>45631.0</v>
      </c>
      <c r="B3345" s="4">
        <v>0.3194444444444444</v>
      </c>
      <c r="C3345" s="5" t="s">
        <v>948</v>
      </c>
      <c r="D3345" s="5" t="s">
        <v>907</v>
      </c>
      <c r="E3345" s="6" t="s">
        <v>83</v>
      </c>
      <c r="F3345" s="5" t="s">
        <v>84</v>
      </c>
      <c r="G3345" s="6" t="str">
        <f>VLOOKUP(E3345,dicionario!$A$1:$C3744,2,0)</f>
        <v>Anartia jatrophae</v>
      </c>
      <c r="H3345" s="6" t="str">
        <f>VLOOKUP(E3345,dicionario!$A$1:$C3744,3,0)</f>
        <v>borboleta-pavão-branco</v>
      </c>
    </row>
    <row r="3346">
      <c r="A3346" s="3">
        <v>45631.0</v>
      </c>
      <c r="B3346" s="4">
        <v>0.3194444444444444</v>
      </c>
      <c r="C3346" s="5" t="s">
        <v>948</v>
      </c>
      <c r="D3346" s="5" t="s">
        <v>907</v>
      </c>
      <c r="E3346" s="6" t="s">
        <v>150</v>
      </c>
      <c r="F3346" s="5" t="s">
        <v>151</v>
      </c>
      <c r="G3346" s="6" t="str">
        <f>VLOOKUP(E3346,dicionario!$A$1:$C3745,2,0)</f>
        <v>Amaranthus viridis</v>
      </c>
      <c r="H3346" s="6" t="str">
        <f>VLOOKUP(E3346,dicionario!$A$1:$C3745,3,0)</f>
        <v>caruru-de-mancha</v>
      </c>
    </row>
    <row r="3347">
      <c r="A3347" s="3">
        <v>45631.0</v>
      </c>
      <c r="B3347" s="4">
        <v>0.3194444444444444</v>
      </c>
      <c r="C3347" s="5" t="s">
        <v>948</v>
      </c>
      <c r="D3347" s="5" t="s">
        <v>907</v>
      </c>
      <c r="E3347" s="6" t="s">
        <v>401</v>
      </c>
      <c r="F3347" s="5" t="s">
        <v>464</v>
      </c>
      <c r="G3347" s="6" t="str">
        <f>VLOOKUP(E3347,dicionario!$A$1:$C3746,2,0)</f>
        <v>Cissus verticillata</v>
      </c>
      <c r="H3347" s="6" t="str">
        <f>VLOOKUP(E3347,dicionario!$A$1:$C3746,3,0)</f>
        <v>uva-do-mato</v>
      </c>
    </row>
    <row r="3348">
      <c r="A3348" s="3">
        <v>45631.0</v>
      </c>
      <c r="B3348" s="4">
        <v>0.3194444444444444</v>
      </c>
      <c r="C3348" s="5" t="s">
        <v>948</v>
      </c>
      <c r="D3348" s="5" t="s">
        <v>907</v>
      </c>
      <c r="E3348" s="6" t="s">
        <v>48</v>
      </c>
      <c r="F3348" s="5" t="s">
        <v>49</v>
      </c>
      <c r="G3348" s="6" t="str">
        <f>VLOOKUP(E3348,dicionario!$A$1:$C3747,2,0)</f>
        <v>Commelina erecta</v>
      </c>
      <c r="H3348" s="6" t="str">
        <f>VLOOKUP(E3348,dicionario!$A$1:$C3747,3,0)</f>
        <v>trapoeraba</v>
      </c>
    </row>
    <row r="3349">
      <c r="A3349" s="3">
        <v>45631.0</v>
      </c>
      <c r="B3349" s="4">
        <v>0.3194444444444444</v>
      </c>
      <c r="C3349" s="5" t="s">
        <v>948</v>
      </c>
      <c r="D3349" s="5" t="s">
        <v>907</v>
      </c>
      <c r="E3349" s="6" t="s">
        <v>175</v>
      </c>
      <c r="F3349" s="5" t="s">
        <v>176</v>
      </c>
      <c r="G3349" s="6" t="str">
        <f>VLOOKUP(E3349,dicionario!$A$1:$C3748,2,0)</f>
        <v>Turdus leucomelas</v>
      </c>
      <c r="H3349" s="6" t="str">
        <f>VLOOKUP(E3349,dicionario!$A$1:$C3748,3,0)</f>
        <v>sabiá-barranco</v>
      </c>
    </row>
    <row r="3350">
      <c r="A3350" s="3">
        <v>45631.0</v>
      </c>
      <c r="B3350" s="4">
        <v>0.32013888888888886</v>
      </c>
      <c r="C3350" s="5" t="s">
        <v>948</v>
      </c>
      <c r="D3350" s="5" t="s">
        <v>907</v>
      </c>
      <c r="E3350" s="12" t="s">
        <v>152</v>
      </c>
      <c r="F3350" s="5" t="s">
        <v>153</v>
      </c>
      <c r="G3350" s="6" t="str">
        <f>VLOOKUP(E3350,dicionario!$A$1:$C3749,2,0)</f>
        <v>Cynodon dactylon</v>
      </c>
      <c r="H3350" s="6" t="str">
        <f>VLOOKUP(E3350,dicionario!$A$1:$C3749,3,0)</f>
        <v>grama-bermuda</v>
      </c>
    </row>
    <row r="3351">
      <c r="A3351" s="3">
        <v>45631.0</v>
      </c>
      <c r="B3351" s="4">
        <v>0.32013888888888886</v>
      </c>
      <c r="C3351" s="5" t="s">
        <v>948</v>
      </c>
      <c r="D3351" s="5" t="s">
        <v>907</v>
      </c>
      <c r="E3351" s="8" t="s">
        <v>504</v>
      </c>
      <c r="F3351" s="5" t="s">
        <v>505</v>
      </c>
      <c r="G3351" s="6" t="str">
        <f>VLOOKUP(E3351,dicionario!$A$1:$C3750,2,0)</f>
        <v>Cleome aculeata</v>
      </c>
      <c r="H3351" s="6" t="str">
        <f>VLOOKUP(E3351,dicionario!$A$1:$C3750,3,0)</f>
        <v>cleome</v>
      </c>
    </row>
    <row r="3352">
      <c r="A3352" s="3">
        <v>45631.0</v>
      </c>
      <c r="B3352" s="4">
        <v>0.32013888888888886</v>
      </c>
      <c r="C3352" s="5" t="s">
        <v>948</v>
      </c>
      <c r="D3352" s="5" t="s">
        <v>907</v>
      </c>
      <c r="E3352" s="6" t="s">
        <v>539</v>
      </c>
      <c r="F3352" s="5" t="s">
        <v>540</v>
      </c>
      <c r="G3352" s="6" t="str">
        <f>VLOOKUP(E3352,dicionario!$A$1:$C3751,2,0)</f>
        <v>#N/A</v>
      </c>
      <c r="H3352" s="6" t="str">
        <f>VLOOKUP(E3352,dicionario!$A$1:$C3751,3,0)</f>
        <v>#N/A</v>
      </c>
    </row>
    <row r="3353">
      <c r="A3353" s="3">
        <v>45631.0</v>
      </c>
      <c r="B3353" s="4">
        <v>0.32013888888888886</v>
      </c>
      <c r="C3353" s="5" t="s">
        <v>948</v>
      </c>
      <c r="D3353" s="5" t="s">
        <v>907</v>
      </c>
      <c r="E3353" s="6" t="s">
        <v>162</v>
      </c>
      <c r="F3353" s="7" t="s">
        <v>42</v>
      </c>
      <c r="G3353" s="6" t="str">
        <f>VLOOKUP(E3353,dicionario!$A$1:$C3752,2,0)</f>
        <v>Fluvicola nengeta</v>
      </c>
      <c r="H3353" s="6" t="str">
        <f>VLOOKUP(E3353,dicionario!$A$1:$C3752,3,0)</f>
        <v>lavadeira-mascarada</v>
      </c>
    </row>
    <row r="3354">
      <c r="A3354" s="3">
        <v>45631.0</v>
      </c>
      <c r="B3354" s="4">
        <v>0.32083333333333336</v>
      </c>
      <c r="C3354" s="5" t="s">
        <v>948</v>
      </c>
      <c r="D3354" s="5" t="s">
        <v>907</v>
      </c>
      <c r="E3354" s="8" t="s">
        <v>821</v>
      </c>
      <c r="F3354" s="5" t="s">
        <v>876</v>
      </c>
      <c r="G3354" s="6" t="str">
        <f>VLOOKUP(E3354,dicionario!$A$1:$C3753,2,0)</f>
        <v>Schefflera actinophylla</v>
      </c>
      <c r="H3354" s="6" t="str">
        <f>VLOOKUP(E3354,dicionario!$A$1:$C3753,3,0)</f>
        <v>árvore-guarda-chuva</v>
      </c>
    </row>
    <row r="3355">
      <c r="A3355" s="3">
        <v>45631.0</v>
      </c>
      <c r="B3355" s="4">
        <v>0.32083333333333336</v>
      </c>
      <c r="C3355" s="5" t="s">
        <v>948</v>
      </c>
      <c r="D3355" s="5" t="s">
        <v>907</v>
      </c>
      <c r="E3355" s="8" t="s">
        <v>57</v>
      </c>
      <c r="F3355" s="5" t="s">
        <v>950</v>
      </c>
      <c r="G3355" s="6" t="str">
        <f>VLOOKUP(E3355,dicionario!$A$1:$C3754,2,0)</f>
        <v>Juliformia</v>
      </c>
      <c r="H3355" s="6" t="str">
        <f>VLOOKUP(E3355,dicionario!$A$1:$C3754,3,0)</f>
        <v>gongolo; maria-café</v>
      </c>
    </row>
    <row r="3356">
      <c r="A3356" s="3">
        <v>45631.0</v>
      </c>
      <c r="B3356" s="4">
        <v>0.32083333333333336</v>
      </c>
      <c r="C3356" s="5" t="s">
        <v>948</v>
      </c>
      <c r="D3356" s="5" t="s">
        <v>907</v>
      </c>
      <c r="E3356" s="8" t="s">
        <v>951</v>
      </c>
      <c r="F3356" s="5" t="s">
        <v>881</v>
      </c>
      <c r="G3356" s="6" t="str">
        <f>VLOOKUP(E3356,dicionario!$A$1:$C3755,2,0)</f>
        <v>#N/A</v>
      </c>
      <c r="H3356" s="6" t="str">
        <f>VLOOKUP(E3356,dicionario!$A$1:$C3755,3,0)</f>
        <v>#N/A</v>
      </c>
    </row>
    <row r="3357">
      <c r="A3357" s="3">
        <v>45631.0</v>
      </c>
      <c r="B3357" s="4">
        <v>0.3215277777777778</v>
      </c>
      <c r="C3357" s="5" t="s">
        <v>948</v>
      </c>
      <c r="D3357" s="5" t="s">
        <v>907</v>
      </c>
      <c r="E3357" s="8" t="s">
        <v>388</v>
      </c>
      <c r="F3357" s="5" t="s">
        <v>389</v>
      </c>
      <c r="G3357" s="6" t="str">
        <f>VLOOKUP(E3357,dicionario!$A$1:$C3756,2,0)</f>
        <v>Bulimulus tenuissimus</v>
      </c>
      <c r="H3357" s="6" t="str">
        <f>VLOOKUP(E3357,dicionario!$A$1:$C3756,3,0)</f>
        <v>caracol-fantasma</v>
      </c>
    </row>
    <row r="3358">
      <c r="A3358" s="3">
        <v>45631.0</v>
      </c>
      <c r="B3358" s="4">
        <v>0.3215277777777778</v>
      </c>
      <c r="C3358" s="5" t="s">
        <v>948</v>
      </c>
      <c r="D3358" s="5" t="s">
        <v>907</v>
      </c>
      <c r="E3358" s="6" t="s">
        <v>421</v>
      </c>
      <c r="F3358" s="5" t="s">
        <v>422</v>
      </c>
      <c r="G3358" s="6" t="str">
        <f>VLOOKUP(E3358,dicionario!$A$1:$C3757,2,0)</f>
        <v>Subulina octona</v>
      </c>
      <c r="H3358" s="6" t="str">
        <f>VLOOKUP(E3358,dicionario!$A$1:$C3757,3,0)</f>
        <v>caracol-de-jardim</v>
      </c>
    </row>
    <row r="3359">
      <c r="A3359" s="3">
        <v>45631.0</v>
      </c>
      <c r="B3359" s="4">
        <v>0.32222222222222224</v>
      </c>
      <c r="C3359" s="5" t="s">
        <v>948</v>
      </c>
      <c r="D3359" s="5" t="s">
        <v>907</v>
      </c>
      <c r="E3359" s="6" t="s">
        <v>290</v>
      </c>
      <c r="F3359" s="5" t="s">
        <v>291</v>
      </c>
      <c r="G3359" s="6" t="str">
        <f>VLOOKUP(E3359,dicionario!$A$1:$C3758,2,0)</f>
        <v>Drymaria cordata</v>
      </c>
      <c r="H3359" s="6" t="str">
        <f>VLOOKUP(E3359,dicionario!$A$1:$C3758,3,0)</f>
        <v>orelha-de-rato</v>
      </c>
    </row>
    <row r="3360">
      <c r="A3360" s="3">
        <v>45631.0</v>
      </c>
      <c r="B3360" s="4">
        <v>0.32222222222222224</v>
      </c>
      <c r="C3360" s="5" t="s">
        <v>948</v>
      </c>
      <c r="D3360" s="5" t="s">
        <v>907</v>
      </c>
      <c r="E3360" s="8" t="s">
        <v>952</v>
      </c>
      <c r="F3360" s="5" t="s">
        <v>953</v>
      </c>
      <c r="G3360" s="6" t="str">
        <f>VLOOKUP(E3360,dicionario!$A$1:$C3759,2,0)</f>
        <v>Christella dentata</v>
      </c>
      <c r="H3360" s="6" t="str">
        <f>VLOOKUP(E3360,dicionario!$A$1:$C3759,3,0)</f>
        <v>samambaia-rabo-de-gato</v>
      </c>
    </row>
    <row r="3361">
      <c r="A3361" s="3">
        <v>45631.0</v>
      </c>
      <c r="B3361" s="4">
        <v>0.32222222222222224</v>
      </c>
      <c r="C3361" s="5" t="s">
        <v>948</v>
      </c>
      <c r="D3361" s="5" t="s">
        <v>907</v>
      </c>
      <c r="E3361" s="6" t="s">
        <v>353</v>
      </c>
      <c r="F3361" s="5" t="s">
        <v>354</v>
      </c>
      <c r="G3361" s="6" t="str">
        <f>VLOOKUP(E3361,dicionario!$A$1:$C3760,2,0)</f>
        <v>Desmodium incanum</v>
      </c>
      <c r="H3361" s="6" t="str">
        <f>VLOOKUP(E3361,dicionario!$A$1:$C3760,3,0)</f>
        <v>pega-pega</v>
      </c>
    </row>
    <row r="3362">
      <c r="A3362" s="3">
        <v>45631.0</v>
      </c>
      <c r="B3362" s="4">
        <v>0.3229166666666667</v>
      </c>
      <c r="C3362" s="5" t="s">
        <v>948</v>
      </c>
      <c r="D3362" s="5" t="s">
        <v>907</v>
      </c>
      <c r="E3362" s="8" t="s">
        <v>143</v>
      </c>
      <c r="F3362" s="5" t="s">
        <v>63</v>
      </c>
      <c r="G3362" s="6" t="str">
        <f>VLOOKUP(E3362,dicionario!$A$1:$C3761,2,0)</f>
        <v>Polybia</v>
      </c>
      <c r="H3362" s="6" t="str">
        <f>VLOOKUP(E3362,dicionario!$A$1:$C3761,3,0)</f>
        <v>vespa</v>
      </c>
    </row>
    <row r="3363">
      <c r="A3363" s="3">
        <v>45631.0</v>
      </c>
      <c r="B3363" s="4">
        <v>0.3229166666666667</v>
      </c>
      <c r="C3363" s="5" t="s">
        <v>948</v>
      </c>
      <c r="D3363" s="5" t="s">
        <v>907</v>
      </c>
      <c r="E3363" s="6" t="s">
        <v>247</v>
      </c>
      <c r="F3363" s="5" t="s">
        <v>387</v>
      </c>
      <c r="G3363" s="6" t="str">
        <f>VLOOKUP(E3363,dicionario!$A$1:$C3762,2,0)</f>
        <v>Emilia sonchifolia</v>
      </c>
      <c r="H3363" s="6" t="str">
        <f>VLOOKUP(E3363,dicionario!$A$1:$C3762,3,0)</f>
        <v>serralinha</v>
      </c>
    </row>
    <row r="3364">
      <c r="A3364" s="3">
        <v>45631.0</v>
      </c>
      <c r="B3364" s="4">
        <v>0.3229166666666667</v>
      </c>
      <c r="C3364" s="5" t="s">
        <v>948</v>
      </c>
      <c r="D3364" s="5" t="s">
        <v>907</v>
      </c>
      <c r="E3364" s="8" t="s">
        <v>378</v>
      </c>
      <c r="F3364" s="5" t="s">
        <v>205</v>
      </c>
      <c r="G3364" s="6" t="str">
        <f>VLOOKUP(E3364,dicionario!$A$1:$C3763,2,0)</f>
        <v>Polistes</v>
      </c>
      <c r="H3364" s="6" t="str">
        <f>VLOOKUP(E3364,dicionario!$A$1:$C3763,3,0)</f>
        <v>marimbondo</v>
      </c>
    </row>
    <row r="3365">
      <c r="A3365" s="3">
        <v>45631.0</v>
      </c>
      <c r="B3365" s="4">
        <v>0.3229166666666667</v>
      </c>
      <c r="C3365" s="5" t="s">
        <v>948</v>
      </c>
      <c r="D3365" s="5" t="s">
        <v>907</v>
      </c>
      <c r="E3365" s="6" t="s">
        <v>86</v>
      </c>
      <c r="F3365" s="5" t="s">
        <v>502</v>
      </c>
      <c r="G3365" s="6" t="str">
        <f>VLOOKUP(E3365,dicionario!$A$1:$C3764,2,0)</f>
        <v>Coereba flaveola</v>
      </c>
      <c r="H3365" s="6" t="str">
        <f>VLOOKUP(E3365,dicionario!$A$1:$C3764,3,0)</f>
        <v>cambacica</v>
      </c>
    </row>
    <row r="3366">
      <c r="A3366" s="3">
        <v>45631.0</v>
      </c>
      <c r="B3366" s="4">
        <v>0.3236111111111111</v>
      </c>
      <c r="C3366" s="5" t="s">
        <v>948</v>
      </c>
      <c r="D3366" s="5" t="s">
        <v>907</v>
      </c>
      <c r="E3366" s="6" t="s">
        <v>251</v>
      </c>
      <c r="F3366" s="5" t="s">
        <v>252</v>
      </c>
      <c r="G3366" s="6" t="str">
        <f>VLOOKUP(E3366,dicionario!$A$1:$C3765,2,0)</f>
        <v>Struthanthus flexicaulis</v>
      </c>
      <c r="H3366" s="6" t="str">
        <f>VLOOKUP(E3366,dicionario!$A$1:$C3765,3,0)</f>
        <v>erva-de-passarinho</v>
      </c>
    </row>
    <row r="3367">
      <c r="A3367" s="3">
        <v>45631.0</v>
      </c>
      <c r="B3367" s="4">
        <v>0.3236111111111111</v>
      </c>
      <c r="C3367" s="5" t="s">
        <v>948</v>
      </c>
      <c r="D3367" s="5" t="s">
        <v>907</v>
      </c>
      <c r="E3367" s="6" t="s">
        <v>72</v>
      </c>
      <c r="F3367" s="5" t="s">
        <v>73</v>
      </c>
      <c r="G3367" s="6" t="str">
        <f>VLOOKUP(E3367,dicionario!$A$1:$C3766,2,0)</f>
        <v>Thraupis palmarum</v>
      </c>
      <c r="H3367" s="6" t="str">
        <f>VLOOKUP(E3367,dicionario!$A$1:$C3766,3,0)</f>
        <v>sanhaço-do-coqueiro</v>
      </c>
    </row>
    <row r="3368">
      <c r="A3368" s="3">
        <v>45631.0</v>
      </c>
      <c r="B3368" s="4">
        <v>0.32430555555555557</v>
      </c>
      <c r="C3368" s="5" t="s">
        <v>948</v>
      </c>
      <c r="D3368" s="5" t="s">
        <v>907</v>
      </c>
      <c r="E3368" s="8" t="s">
        <v>954</v>
      </c>
      <c r="F3368" s="5" t="s">
        <v>147</v>
      </c>
      <c r="G3368" s="6" t="str">
        <f>VLOOKUP(E3368,dicionario!$A$1:$C3767,2,0)</f>
        <v>Euphorbia</v>
      </c>
      <c r="H3368" s="6" t="str">
        <f>VLOOKUP(E3368,dicionario!$A$1:$C3767,3,0)</f>
        <v/>
      </c>
    </row>
    <row r="3369">
      <c r="A3369" s="3">
        <v>45631.0</v>
      </c>
      <c r="B3369" s="4">
        <v>0.32708333333333334</v>
      </c>
      <c r="C3369" s="5" t="s">
        <v>76</v>
      </c>
      <c r="D3369" s="5" t="s">
        <v>907</v>
      </c>
      <c r="E3369" s="6" t="s">
        <v>83</v>
      </c>
      <c r="F3369" s="5" t="s">
        <v>84</v>
      </c>
      <c r="G3369" s="6" t="str">
        <f>VLOOKUP(E3369,dicionario!$A$1:$C3768,2,0)</f>
        <v>Anartia jatrophae</v>
      </c>
      <c r="H3369" s="6" t="str">
        <f>VLOOKUP(E3369,dicionario!$A$1:$C3768,3,0)</f>
        <v>borboleta-pavão-branco</v>
      </c>
    </row>
    <row r="3370">
      <c r="A3370" s="3">
        <v>45631.0</v>
      </c>
      <c r="B3370" s="4">
        <v>0.32708333333333334</v>
      </c>
      <c r="C3370" s="5" t="s">
        <v>76</v>
      </c>
      <c r="D3370" s="5" t="s">
        <v>907</v>
      </c>
      <c r="E3370" s="6" t="s">
        <v>113</v>
      </c>
      <c r="F3370" s="5" t="s">
        <v>114</v>
      </c>
      <c r="G3370" s="6" t="str">
        <f>VLOOKUP(E3370,dicionario!$A$1:$C3769,2,0)</f>
        <v>Columbina talpacoti</v>
      </c>
      <c r="H3370" s="6" t="str">
        <f>VLOOKUP(E3370,dicionario!$A$1:$C3769,3,0)</f>
        <v>rolinha-roxa</v>
      </c>
    </row>
    <row r="3371">
      <c r="A3371" s="3">
        <v>45631.0</v>
      </c>
      <c r="B3371" s="4">
        <v>0.32708333333333334</v>
      </c>
      <c r="C3371" s="5" t="s">
        <v>76</v>
      </c>
      <c r="D3371" s="5" t="s">
        <v>907</v>
      </c>
      <c r="E3371" s="8" t="s">
        <v>38</v>
      </c>
      <c r="F3371" s="5" t="s">
        <v>39</v>
      </c>
      <c r="G3371" s="6" t="str">
        <f>VLOOKUP(E3371,dicionario!$A$1:$C3770,2,0)</f>
        <v>Troglodytes musculus</v>
      </c>
      <c r="H3371" s="6" t="str">
        <f>VLOOKUP(E3371,dicionario!$A$1:$C3770,3,0)</f>
        <v>curruíra</v>
      </c>
    </row>
    <row r="3372">
      <c r="A3372" s="3">
        <v>45631.0</v>
      </c>
      <c r="B3372" s="4">
        <v>0.32708333333333334</v>
      </c>
      <c r="C3372" s="5" t="s">
        <v>76</v>
      </c>
      <c r="D3372" s="5" t="s">
        <v>907</v>
      </c>
      <c r="E3372" s="6" t="s">
        <v>401</v>
      </c>
      <c r="F3372" s="5" t="s">
        <v>464</v>
      </c>
      <c r="G3372" s="6" t="str">
        <f>VLOOKUP(E3372,dicionario!$A$1:$C3771,2,0)</f>
        <v>Cissus verticillata</v>
      </c>
      <c r="H3372" s="6" t="str">
        <f>VLOOKUP(E3372,dicionario!$A$1:$C3771,3,0)</f>
        <v>uva-do-mato</v>
      </c>
    </row>
    <row r="3373">
      <c r="A3373" s="3">
        <v>45631.0</v>
      </c>
      <c r="B3373" s="4">
        <v>0.32708333333333334</v>
      </c>
      <c r="C3373" s="5" t="s">
        <v>76</v>
      </c>
      <c r="D3373" s="5" t="s">
        <v>907</v>
      </c>
      <c r="E3373" s="6" t="s">
        <v>48</v>
      </c>
      <c r="F3373" s="5" t="s">
        <v>49</v>
      </c>
      <c r="G3373" s="6" t="str">
        <f>VLOOKUP(E3373,dicionario!$A$1:$C3772,2,0)</f>
        <v>Commelina erecta</v>
      </c>
      <c r="H3373" s="6" t="str">
        <f>VLOOKUP(E3373,dicionario!$A$1:$C3772,3,0)</f>
        <v>trapoeraba</v>
      </c>
    </row>
    <row r="3374">
      <c r="A3374" s="3">
        <v>45631.0</v>
      </c>
      <c r="B3374" s="4">
        <v>0.3277777777777778</v>
      </c>
      <c r="C3374" s="5" t="s">
        <v>76</v>
      </c>
      <c r="D3374" s="5" t="s">
        <v>907</v>
      </c>
      <c r="E3374" s="6" t="s">
        <v>328</v>
      </c>
      <c r="F3374" s="5" t="s">
        <v>329</v>
      </c>
      <c r="G3374" s="6" t="str">
        <f>VLOOKUP(E3374,dicionario!$A$1:$C3773,2,0)</f>
        <v>Rivina humilis</v>
      </c>
      <c r="H3374" s="6" t="str">
        <f>VLOOKUP(E3374,dicionario!$A$1:$C3773,3,0)</f>
        <v>baga-de-sangue</v>
      </c>
    </row>
    <row r="3375">
      <c r="A3375" s="3">
        <v>45631.0</v>
      </c>
      <c r="B3375" s="4">
        <v>0.3277777777777778</v>
      </c>
      <c r="C3375" s="5" t="s">
        <v>76</v>
      </c>
      <c r="D3375" s="5" t="s">
        <v>907</v>
      </c>
      <c r="E3375" s="8" t="s">
        <v>786</v>
      </c>
      <c r="F3375" s="5" t="s">
        <v>787</v>
      </c>
      <c r="G3375" s="6" t="str">
        <f>VLOOKUP(E3375,dicionario!$A$1:$C3774,2,0)</f>
        <v>Lycianthes asarifolia</v>
      </c>
      <c r="H3375" s="6" t="str">
        <f>VLOOKUP(E3375,dicionario!$A$1:$C3774,3,0)</f>
        <v>joá-rasteiro</v>
      </c>
    </row>
    <row r="3376">
      <c r="A3376" s="3">
        <v>45631.0</v>
      </c>
      <c r="B3376" s="4">
        <v>0.3277777777777778</v>
      </c>
      <c r="C3376" s="5" t="s">
        <v>76</v>
      </c>
      <c r="D3376" s="5" t="s">
        <v>907</v>
      </c>
      <c r="E3376" s="6" t="s">
        <v>86</v>
      </c>
      <c r="F3376" s="5" t="s">
        <v>502</v>
      </c>
      <c r="G3376" s="6" t="str">
        <f>VLOOKUP(E3376,dicionario!$A$1:$C3775,2,0)</f>
        <v>Coereba flaveola</v>
      </c>
      <c r="H3376" s="6" t="str">
        <f>VLOOKUP(E3376,dicionario!$A$1:$C3775,3,0)</f>
        <v>cambacica</v>
      </c>
    </row>
    <row r="3377">
      <c r="A3377" s="3">
        <v>45631.0</v>
      </c>
      <c r="B3377" s="4">
        <v>0.3277777777777778</v>
      </c>
      <c r="C3377" s="5" t="s">
        <v>76</v>
      </c>
      <c r="D3377" s="5" t="s">
        <v>907</v>
      </c>
      <c r="E3377" s="8" t="s">
        <v>866</v>
      </c>
      <c r="F3377" s="5" t="s">
        <v>867</v>
      </c>
      <c r="G3377" s="6" t="str">
        <f>VLOOKUP(E3377,dicionario!$A$1:$C3776,2,0)</f>
        <v>Laportea aestuans</v>
      </c>
      <c r="H3377" s="6" t="str">
        <f>VLOOKUP(E3377,dicionario!$A$1:$C3776,3,0)</f>
        <v>urtiga-vermelha</v>
      </c>
    </row>
    <row r="3378">
      <c r="A3378" s="3">
        <v>45631.0</v>
      </c>
      <c r="B3378" s="4">
        <v>0.3277777777777778</v>
      </c>
      <c r="C3378" s="5" t="s">
        <v>76</v>
      </c>
      <c r="D3378" s="5" t="s">
        <v>907</v>
      </c>
      <c r="E3378" s="6" t="s">
        <v>141</v>
      </c>
      <c r="F3378" s="5" t="s">
        <v>142</v>
      </c>
      <c r="G3378" s="6" t="str">
        <f>VLOOKUP(E3378,dicionario!$A$1:$C3777,2,0)</f>
        <v>Ruellia blechum</v>
      </c>
      <c r="H3378" s="6" t="str">
        <f>VLOOKUP(E3378,dicionario!$A$1:$C3777,3,0)</f>
        <v>camarão-verde</v>
      </c>
    </row>
    <row r="3379">
      <c r="A3379" s="3">
        <v>45631.0</v>
      </c>
      <c r="B3379" s="4">
        <v>0.3284722222222222</v>
      </c>
      <c r="C3379" s="5" t="s">
        <v>76</v>
      </c>
      <c r="D3379" s="5" t="s">
        <v>907</v>
      </c>
      <c r="E3379" s="6" t="s">
        <v>471</v>
      </c>
      <c r="F3379" s="5" t="s">
        <v>472</v>
      </c>
      <c r="G3379" s="6" t="str">
        <f>VLOOKUP(E3379,dicionario!$A$1:$C3778,2,0)</f>
        <v>Sida acuta</v>
      </c>
      <c r="H3379" s="6" t="str">
        <f>VLOOKUP(E3379,dicionario!$A$1:$C3778,3,0)</f>
        <v>reloginho</v>
      </c>
    </row>
    <row r="3380">
      <c r="A3380" s="3">
        <v>45631.0</v>
      </c>
      <c r="B3380" s="4">
        <v>0.3284722222222222</v>
      </c>
      <c r="C3380" s="5" t="s">
        <v>76</v>
      </c>
      <c r="D3380" s="5" t="s">
        <v>907</v>
      </c>
      <c r="E3380" s="6" t="s">
        <v>144</v>
      </c>
      <c r="F3380" s="5" t="s">
        <v>145</v>
      </c>
      <c r="G3380" s="6" t="str">
        <f>VLOOKUP(E3380,dicionario!$A$1:$C3779,2,0)</f>
        <v>Gomphrena globosa</v>
      </c>
      <c r="H3380" s="6" t="str">
        <f>VLOOKUP(E3380,dicionario!$A$1:$C3779,3,0)</f>
        <v>perpétua-rosa</v>
      </c>
    </row>
    <row r="3381">
      <c r="A3381" s="3">
        <v>45631.0</v>
      </c>
      <c r="B3381" s="4">
        <v>0.3284722222222222</v>
      </c>
      <c r="C3381" s="5" t="s">
        <v>76</v>
      </c>
      <c r="D3381" s="5" t="s">
        <v>907</v>
      </c>
      <c r="E3381" s="8" t="s">
        <v>378</v>
      </c>
      <c r="F3381" s="5" t="s">
        <v>205</v>
      </c>
      <c r="G3381" s="6" t="str">
        <f>VLOOKUP(E3381,dicionario!$A$1:$C3780,2,0)</f>
        <v>Polistes</v>
      </c>
      <c r="H3381" s="6" t="str">
        <f>VLOOKUP(E3381,dicionario!$A$1:$C3780,3,0)</f>
        <v>marimbondo</v>
      </c>
    </row>
    <row r="3382">
      <c r="A3382" s="3">
        <v>45631.0</v>
      </c>
      <c r="B3382" s="4">
        <v>0.3284722222222222</v>
      </c>
      <c r="C3382" s="5" t="s">
        <v>76</v>
      </c>
      <c r="D3382" s="5" t="s">
        <v>907</v>
      </c>
      <c r="E3382" s="6" t="s">
        <v>241</v>
      </c>
      <c r="F3382" s="5" t="s">
        <v>930</v>
      </c>
      <c r="G3382" s="6" t="str">
        <f>VLOOKUP(E3382,dicionario!$A$1:$C3781,2,0)</f>
        <v>Asiopus minimus</v>
      </c>
      <c r="H3382" s="6" t="str">
        <f>VLOOKUP(E3382,dicionario!$A$1:$C3781,3,0)</f>
        <v>tenébrio</v>
      </c>
    </row>
    <row r="3383">
      <c r="A3383" s="3">
        <v>45631.0</v>
      </c>
      <c r="B3383" s="4">
        <v>0.3284722222222222</v>
      </c>
      <c r="C3383" s="5" t="s">
        <v>76</v>
      </c>
      <c r="D3383" s="5" t="s">
        <v>907</v>
      </c>
      <c r="E3383" s="6" t="s">
        <v>519</v>
      </c>
      <c r="F3383" s="5" t="s">
        <v>520</v>
      </c>
      <c r="G3383" s="6" t="str">
        <f>VLOOKUP(E3383,dicionario!$A$1:$C3782,2,0)</f>
        <v>Drosophila melanogaster</v>
      </c>
      <c r="H3383" s="6" t="str">
        <f>VLOOKUP(E3383,dicionario!$A$1:$C3782,3,0)</f>
        <v>mitinga/mosca-da-fruta</v>
      </c>
    </row>
    <row r="3384">
      <c r="A3384" s="3">
        <v>45631.0</v>
      </c>
      <c r="B3384" s="4">
        <v>0.3284722222222222</v>
      </c>
      <c r="C3384" s="5" t="s">
        <v>76</v>
      </c>
      <c r="D3384" s="5" t="s">
        <v>907</v>
      </c>
      <c r="E3384" s="6" t="s">
        <v>146</v>
      </c>
      <c r="F3384" s="5" t="s">
        <v>147</v>
      </c>
      <c r="G3384" s="6" t="str">
        <f>VLOOKUP(E3384,dicionario!$A$1:$C3783,2,0)</f>
        <v>Euphorbia hirta</v>
      </c>
      <c r="H3384" s="6" t="str">
        <f>VLOOKUP(E3384,dicionario!$A$1:$C3783,3,0)</f>
        <v>erva-de-santa-luzia</v>
      </c>
    </row>
    <row r="3385">
      <c r="A3385" s="3">
        <v>45631.0</v>
      </c>
      <c r="B3385" s="4">
        <v>0.3284722222222222</v>
      </c>
      <c r="C3385" s="5" t="s">
        <v>76</v>
      </c>
      <c r="D3385" s="5" t="s">
        <v>907</v>
      </c>
      <c r="E3385" s="6" t="s">
        <v>290</v>
      </c>
      <c r="F3385" s="5" t="s">
        <v>291</v>
      </c>
      <c r="G3385" s="6" t="str">
        <f>VLOOKUP(E3385,dicionario!$A$1:$C3784,2,0)</f>
        <v>Drymaria cordata</v>
      </c>
      <c r="H3385" s="6" t="str">
        <f>VLOOKUP(E3385,dicionario!$A$1:$C3784,3,0)</f>
        <v>orelha-de-rato</v>
      </c>
    </row>
    <row r="3386">
      <c r="A3386" s="3">
        <v>45631.0</v>
      </c>
      <c r="B3386" s="4">
        <v>0.32916666666666666</v>
      </c>
      <c r="C3386" s="5" t="s">
        <v>76</v>
      </c>
      <c r="D3386" s="5" t="s">
        <v>907</v>
      </c>
      <c r="E3386" s="6" t="s">
        <v>271</v>
      </c>
      <c r="F3386" s="7" t="s">
        <v>272</v>
      </c>
      <c r="G3386" s="6" t="str">
        <f>VLOOKUP(E3386,dicionario!$A$1:$C3785,2,0)</f>
        <v>Cyanthillium cinereum</v>
      </c>
      <c r="H3386" s="6" t="str">
        <f>VLOOKUP(E3386,dicionario!$A$1:$C3785,3,0)</f>
        <v>emília</v>
      </c>
    </row>
    <row r="3387">
      <c r="A3387" s="3">
        <v>45631.0</v>
      </c>
      <c r="B3387" s="4">
        <v>0.32916666666666666</v>
      </c>
      <c r="C3387" s="5" t="s">
        <v>76</v>
      </c>
      <c r="D3387" s="5" t="s">
        <v>907</v>
      </c>
      <c r="E3387" s="6" t="s">
        <v>65</v>
      </c>
      <c r="F3387" s="5" t="s">
        <v>66</v>
      </c>
      <c r="G3387" s="6" t="str">
        <f>VLOOKUP(E3387,dicionario!$A$1:$C3786,2,0)</f>
        <v>Pitangus sulphutarus</v>
      </c>
      <c r="H3387" s="6" t="str">
        <f>VLOOKUP(E3387,dicionario!$A$1:$C3786,3,0)</f>
        <v>bem-te-vi</v>
      </c>
    </row>
    <row r="3388">
      <c r="A3388" s="3">
        <v>45631.0</v>
      </c>
      <c r="B3388" s="4">
        <v>0.32916666666666666</v>
      </c>
      <c r="C3388" s="5" t="s">
        <v>76</v>
      </c>
      <c r="D3388" s="5" t="s">
        <v>907</v>
      </c>
      <c r="E3388" s="6" t="s">
        <v>353</v>
      </c>
      <c r="F3388" s="5" t="s">
        <v>354</v>
      </c>
      <c r="G3388" s="6" t="str">
        <f>VLOOKUP(E3388,dicionario!$A$1:$C3787,2,0)</f>
        <v>Desmodium incanum</v>
      </c>
      <c r="H3388" s="6" t="str">
        <f>VLOOKUP(E3388,dicionario!$A$1:$C3787,3,0)</f>
        <v>pega-pega</v>
      </c>
    </row>
    <row r="3389">
      <c r="A3389" s="3">
        <v>45631.0</v>
      </c>
      <c r="B3389" s="4">
        <v>0.32916666666666666</v>
      </c>
      <c r="C3389" s="5" t="s">
        <v>76</v>
      </c>
      <c r="D3389" s="5" t="s">
        <v>907</v>
      </c>
      <c r="E3389" s="8" t="s">
        <v>139</v>
      </c>
      <c r="F3389" s="5" t="s">
        <v>862</v>
      </c>
      <c r="G3389" s="6" t="str">
        <f>VLOOKUP(E3389,dicionario!$A$1:$C3788,2,0)</f>
        <v>Tropidurus torquatus</v>
      </c>
      <c r="H3389" s="6" t="str">
        <f>VLOOKUP(E3389,dicionario!$A$1:$C3788,3,0)</f>
        <v>calango; tropiduro-comum</v>
      </c>
    </row>
    <row r="3390">
      <c r="A3390" s="3">
        <v>45631.0</v>
      </c>
      <c r="B3390" s="4">
        <v>0.3298611111111111</v>
      </c>
      <c r="C3390" s="5" t="s">
        <v>76</v>
      </c>
      <c r="D3390" s="5" t="s">
        <v>907</v>
      </c>
      <c r="E3390" s="6" t="s">
        <v>275</v>
      </c>
      <c r="F3390" s="5" t="s">
        <v>276</v>
      </c>
      <c r="G3390" s="6" t="str">
        <f>VLOOKUP(E3390,dicionario!$A$1:$C3789,2,0)</f>
        <v>Bidens pilosa</v>
      </c>
      <c r="H3390" s="6" t="str">
        <f>VLOOKUP(E3390,dicionario!$A$1:$C3789,3,0)</f>
        <v>picão-preto</v>
      </c>
    </row>
    <row r="3391">
      <c r="A3391" s="3">
        <v>45631.0</v>
      </c>
      <c r="B3391" s="4">
        <v>0.3298611111111111</v>
      </c>
      <c r="C3391" s="5" t="s">
        <v>76</v>
      </c>
      <c r="D3391" s="5" t="s">
        <v>907</v>
      </c>
      <c r="E3391" s="8" t="s">
        <v>348</v>
      </c>
      <c r="F3391" s="5" t="s">
        <v>955</v>
      </c>
      <c r="G3391" s="6" t="str">
        <f>VLOOKUP(E3391,dicionario!$A$1:$C3790,2,0)</f>
        <v>#N/A</v>
      </c>
      <c r="H3391" s="6" t="str">
        <f>VLOOKUP(E3391,dicionario!$A$1:$C3790,3,0)</f>
        <v>#N/A</v>
      </c>
    </row>
    <row r="3392">
      <c r="A3392" s="3">
        <v>45631.0</v>
      </c>
      <c r="B3392" s="4">
        <v>0.3298611111111111</v>
      </c>
      <c r="C3392" s="5" t="s">
        <v>76</v>
      </c>
      <c r="D3392" s="5" t="s">
        <v>907</v>
      </c>
      <c r="E3392" s="6" t="s">
        <v>256</v>
      </c>
      <c r="F3392" s="5" t="s">
        <v>257</v>
      </c>
      <c r="G3392" s="6" t="str">
        <f>VLOOKUP(E3392,dicionario!$A$1:$C3791,2,0)</f>
        <v>Youngia japonica</v>
      </c>
      <c r="H3392" s="6" t="str">
        <f>VLOOKUP(E3392,dicionario!$A$1:$C3791,3,0)</f>
        <v>barba-de-falcão</v>
      </c>
    </row>
    <row r="3393">
      <c r="A3393" s="3">
        <v>45631.0</v>
      </c>
      <c r="B3393" s="4">
        <v>0.3298611111111111</v>
      </c>
      <c r="C3393" s="5" t="s">
        <v>76</v>
      </c>
      <c r="D3393" s="5" t="s">
        <v>907</v>
      </c>
      <c r="E3393" s="6" t="s">
        <v>286</v>
      </c>
      <c r="F3393" s="5" t="s">
        <v>287</v>
      </c>
      <c r="G3393" s="6" t="str">
        <f>VLOOKUP(E3393,dicionario!$A$1:$C3792,2,0)</f>
        <v>Setaria parviflora</v>
      </c>
      <c r="H3393" s="6" t="str">
        <f>VLOOKUP(E3393,dicionario!$A$1:$C3792,3,0)</f>
        <v>capim-rabo-de-raposa</v>
      </c>
    </row>
    <row r="3394">
      <c r="A3394" s="3">
        <v>45631.0</v>
      </c>
      <c r="B3394" s="4">
        <v>0.33055555555555555</v>
      </c>
      <c r="C3394" s="5" t="s">
        <v>76</v>
      </c>
      <c r="D3394" s="5" t="s">
        <v>907</v>
      </c>
      <c r="E3394" s="8" t="s">
        <v>956</v>
      </c>
      <c r="F3394" s="5" t="s">
        <v>957</v>
      </c>
      <c r="G3394" s="6" t="str">
        <f>VLOOKUP(E3394,dicionario!$A$1:$C3793,2,0)</f>
        <v>Pepsini</v>
      </c>
      <c r="H3394" s="6" t="str">
        <f>VLOOKUP(E3394,dicionario!$A$1:$C3793,3,0)</f>
        <v>vespa-caçadora</v>
      </c>
    </row>
    <row r="3395">
      <c r="A3395" s="3">
        <v>45631.0</v>
      </c>
      <c r="B3395" s="4">
        <v>0.33055555555555555</v>
      </c>
      <c r="C3395" s="5" t="s">
        <v>76</v>
      </c>
      <c r="D3395" s="5" t="s">
        <v>907</v>
      </c>
      <c r="E3395" s="8" t="s">
        <v>308</v>
      </c>
      <c r="F3395" s="5" t="s">
        <v>309</v>
      </c>
      <c r="G3395" s="6" t="str">
        <f>VLOOKUP(E3395,dicionario!$A$1:$C3794,2,0)</f>
        <v>#N/A</v>
      </c>
      <c r="H3395" s="6" t="str">
        <f>VLOOKUP(E3395,dicionario!$A$1:$C3794,3,0)</f>
        <v>#N/A</v>
      </c>
    </row>
    <row r="3396">
      <c r="A3396" s="3">
        <v>45631.0</v>
      </c>
      <c r="B3396" s="4">
        <v>0.33055555555555555</v>
      </c>
      <c r="C3396" s="5" t="s">
        <v>76</v>
      </c>
      <c r="D3396" s="5" t="s">
        <v>907</v>
      </c>
      <c r="E3396" s="8" t="s">
        <v>723</v>
      </c>
      <c r="F3396" s="5" t="s">
        <v>958</v>
      </c>
      <c r="G3396" s="6" t="str">
        <f>VLOOKUP(E3396,dicionario!$A$1:$C3795,2,0)</f>
        <v>Asemeia violacea</v>
      </c>
      <c r="H3396" s="6" t="str">
        <f>VLOOKUP(E3396,dicionario!$A$1:$C3795,3,0)</f>
        <v/>
      </c>
    </row>
    <row r="3397">
      <c r="A3397" s="3">
        <v>45631.0</v>
      </c>
      <c r="B3397" s="4">
        <v>0.33055555555555555</v>
      </c>
      <c r="C3397" s="5" t="s">
        <v>76</v>
      </c>
      <c r="D3397" s="5" t="s">
        <v>907</v>
      </c>
      <c r="E3397" s="8" t="s">
        <v>41</v>
      </c>
      <c r="F3397" s="5" t="s">
        <v>45</v>
      </c>
      <c r="G3397" s="6" t="str">
        <f>VLOOKUP(E3397,dicionario!$A$1:$C3796,2,0)</f>
        <v>Mimosa pudica</v>
      </c>
      <c r="H3397" s="6" t="str">
        <f>VLOOKUP(E3397,dicionario!$A$1:$C3796,3,0)</f>
        <v>dormideira</v>
      </c>
    </row>
    <row r="3398">
      <c r="A3398" s="3">
        <v>45631.0</v>
      </c>
      <c r="B3398" s="4">
        <v>0.33125</v>
      </c>
      <c r="C3398" s="5" t="s">
        <v>76</v>
      </c>
      <c r="D3398" s="5" t="s">
        <v>907</v>
      </c>
      <c r="E3398" s="6" t="s">
        <v>294</v>
      </c>
      <c r="F3398" s="7" t="s">
        <v>295</v>
      </c>
      <c r="G3398" s="6" t="str">
        <f>VLOOKUP(E3398,dicionario!$A$1:$C3797,2,0)</f>
        <v>Cycloneda sanguinea</v>
      </c>
      <c r="H3398" s="6" t="str">
        <f>VLOOKUP(E3398,dicionario!$A$1:$C3797,3,0)</f>
        <v>joaninha-sem-pintas</v>
      </c>
    </row>
    <row r="3399">
      <c r="A3399" s="3">
        <v>45631.0</v>
      </c>
      <c r="B3399" s="4">
        <v>0.33125</v>
      </c>
      <c r="C3399" s="5" t="s">
        <v>76</v>
      </c>
      <c r="D3399" s="5" t="s">
        <v>907</v>
      </c>
      <c r="E3399" s="6" t="s">
        <v>154</v>
      </c>
      <c r="F3399" s="5" t="s">
        <v>155</v>
      </c>
      <c r="G3399" s="6" t="str">
        <f>VLOOKUP(E3399,dicionario!$A$1:$C3798,2,0)</f>
        <v>Cyperus rotundus</v>
      </c>
      <c r="H3399" s="6" t="str">
        <f>VLOOKUP(E3399,dicionario!$A$1:$C3798,3,0)</f>
        <v>tiririca</v>
      </c>
    </row>
    <row r="3400">
      <c r="A3400" s="3">
        <v>45631.0</v>
      </c>
      <c r="B3400" s="4">
        <v>0.33125</v>
      </c>
      <c r="C3400" s="5" t="s">
        <v>76</v>
      </c>
      <c r="D3400" s="5" t="s">
        <v>907</v>
      </c>
      <c r="E3400" s="6" t="s">
        <v>355</v>
      </c>
      <c r="F3400" s="5" t="s">
        <v>356</v>
      </c>
      <c r="G3400" s="6" t="str">
        <f>VLOOKUP(E3400,dicionario!$A$1:$C3799,2,0)</f>
        <v>Boerhavia diffusa</v>
      </c>
      <c r="H3400" s="6" t="str">
        <f>VLOOKUP(E3400,dicionario!$A$1:$C3799,3,0)</f>
        <v>erva-tostão</v>
      </c>
    </row>
    <row r="3401">
      <c r="A3401" s="3">
        <v>45631.0</v>
      </c>
      <c r="B3401" s="4">
        <v>0.33125</v>
      </c>
      <c r="C3401" s="5" t="s">
        <v>76</v>
      </c>
      <c r="D3401" s="5" t="s">
        <v>907</v>
      </c>
      <c r="E3401" s="6" t="s">
        <v>227</v>
      </c>
      <c r="F3401" s="5" t="s">
        <v>228</v>
      </c>
      <c r="G3401" s="6" t="str">
        <f>VLOOKUP(E3401,dicionario!$A$1:$C3800,2,0)</f>
        <v>Indigofera hirsuta</v>
      </c>
      <c r="H3401" s="6" t="str">
        <f>VLOOKUP(E3401,dicionario!$A$1:$C3800,3,0)</f>
        <v>anileira</v>
      </c>
    </row>
    <row r="3402">
      <c r="A3402" s="3">
        <v>45631.0</v>
      </c>
      <c r="B3402" s="4">
        <v>0.33125</v>
      </c>
      <c r="C3402" s="5" t="s">
        <v>76</v>
      </c>
      <c r="D3402" s="5" t="s">
        <v>907</v>
      </c>
      <c r="E3402" s="6" t="s">
        <v>48</v>
      </c>
      <c r="F3402" s="5" t="s">
        <v>49</v>
      </c>
      <c r="G3402" s="6" t="str">
        <f>VLOOKUP(E3402,dicionario!$A$1:$C3801,2,0)</f>
        <v>Commelina erecta</v>
      </c>
      <c r="H3402" s="6" t="str">
        <f>VLOOKUP(E3402,dicionario!$A$1:$C3801,3,0)</f>
        <v>trapoeraba</v>
      </c>
    </row>
    <row r="3403">
      <c r="A3403" s="3">
        <v>45631.0</v>
      </c>
      <c r="B3403" s="4">
        <v>0.33194444444444443</v>
      </c>
      <c r="C3403" s="5" t="s">
        <v>76</v>
      </c>
      <c r="D3403" s="5" t="s">
        <v>907</v>
      </c>
      <c r="E3403" s="20" t="s">
        <v>631</v>
      </c>
      <c r="F3403" s="5" t="s">
        <v>632</v>
      </c>
      <c r="G3403" s="6" t="str">
        <f>VLOOKUP(E3403,dicionario!$A$1:$C3802,2,0)</f>
        <v>Chamaecrista nictitans</v>
      </c>
      <c r="H3403" s="6" t="str">
        <f>VLOOKUP(E3403,dicionario!$A$1:$C3802,3,0)</f>
        <v>falsa-dormideira</v>
      </c>
    </row>
    <row r="3404">
      <c r="A3404" s="3">
        <v>45631.0</v>
      </c>
      <c r="B3404" s="4">
        <v>0.33194444444444443</v>
      </c>
      <c r="C3404" s="5" t="s">
        <v>76</v>
      </c>
      <c r="D3404" s="5" t="s">
        <v>907</v>
      </c>
      <c r="E3404" s="6" t="s">
        <v>532</v>
      </c>
      <c r="F3404" s="7" t="s">
        <v>533</v>
      </c>
      <c r="G3404" s="6" t="str">
        <f>VLOOKUP(E3404,dicionario!$A$1:$C3803,2,0)</f>
        <v>Euphorbia heterophylla</v>
      </c>
      <c r="H3404" s="6" t="str">
        <f>VLOOKUP(E3404,dicionario!$A$1:$C3803,3,0)</f>
        <v>amendoim-bravo</v>
      </c>
    </row>
    <row r="3405">
      <c r="A3405" s="3">
        <v>45631.0</v>
      </c>
      <c r="B3405" s="4">
        <v>0.33194444444444443</v>
      </c>
      <c r="C3405" s="5" t="s">
        <v>76</v>
      </c>
      <c r="D3405" s="5" t="s">
        <v>907</v>
      </c>
      <c r="E3405" s="6" t="s">
        <v>132</v>
      </c>
      <c r="F3405" s="5" t="s">
        <v>133</v>
      </c>
      <c r="G3405" s="6" t="str">
        <f>VLOOKUP(E3405,dicionario!$A$1:$C3804,2,0)</f>
        <v>Euphonia chlorotica</v>
      </c>
      <c r="H3405" s="6" t="str">
        <f>VLOOKUP(E3405,dicionario!$A$1:$C3804,3,0)</f>
        <v>fim-fim</v>
      </c>
    </row>
    <row r="3406">
      <c r="A3406" s="3">
        <v>45631.0</v>
      </c>
      <c r="B3406" s="4">
        <v>0.33194444444444443</v>
      </c>
      <c r="C3406" s="5" t="s">
        <v>76</v>
      </c>
      <c r="D3406" s="5" t="s">
        <v>907</v>
      </c>
      <c r="E3406" s="8" t="s">
        <v>700</v>
      </c>
      <c r="F3406" s="5" t="s">
        <v>418</v>
      </c>
      <c r="G3406" s="6" t="str">
        <f>VLOOKUP(E3406,dicionario!$A$1:$C3805,2,0)</f>
        <v>#N/A</v>
      </c>
      <c r="H3406" s="6" t="str">
        <f>VLOOKUP(E3406,dicionario!$A$1:$C3805,3,0)</f>
        <v>#N/A</v>
      </c>
    </row>
    <row r="3407">
      <c r="A3407" s="3">
        <v>45631.0</v>
      </c>
      <c r="B3407" s="4">
        <v>0.3326388888888889</v>
      </c>
      <c r="C3407" s="5" t="s">
        <v>76</v>
      </c>
      <c r="D3407" s="5" t="s">
        <v>907</v>
      </c>
      <c r="E3407" s="8" t="s">
        <v>260</v>
      </c>
      <c r="F3407" s="5" t="s">
        <v>261</v>
      </c>
      <c r="G3407" s="6" t="str">
        <f>VLOOKUP(E3407,dicionario!$A$1:$C3806,2,0)</f>
        <v>Ruellia paniculata</v>
      </c>
      <c r="H3407" s="6" t="str">
        <f>VLOOKUP(E3407,dicionario!$A$1:$C3806,3,0)</f>
        <v>ruélia</v>
      </c>
    </row>
    <row r="3408">
      <c r="A3408" s="3">
        <v>45631.0</v>
      </c>
      <c r="B3408" s="4">
        <v>0.3326388888888889</v>
      </c>
      <c r="C3408" s="5" t="s">
        <v>76</v>
      </c>
      <c r="D3408" s="5" t="s">
        <v>907</v>
      </c>
      <c r="E3408" s="8" t="s">
        <v>858</v>
      </c>
      <c r="F3408" s="5" t="s">
        <v>959</v>
      </c>
      <c r="G3408" s="6" t="str">
        <f>VLOOKUP(E3408,dicionario!$A$1:$C3807,2,0)</f>
        <v>Rumex obtusifolius</v>
      </c>
      <c r="H3408" s="6" t="str">
        <f>VLOOKUP(E3408,dicionario!$A$1:$C3807,3,0)</f>
        <v>lingua-de-vaca</v>
      </c>
    </row>
    <row r="3409">
      <c r="A3409" s="3">
        <v>45631.0</v>
      </c>
      <c r="B3409" s="4">
        <v>0.3326388888888889</v>
      </c>
      <c r="C3409" s="5" t="s">
        <v>76</v>
      </c>
      <c r="D3409" s="5" t="s">
        <v>907</v>
      </c>
      <c r="E3409" s="6" t="s">
        <v>584</v>
      </c>
      <c r="F3409" s="5" t="s">
        <v>190</v>
      </c>
      <c r="G3409" s="6" t="str">
        <f>VLOOKUP(E3409,dicionario!$A$1:$C3808,2,0)</f>
        <v>Solanum</v>
      </c>
      <c r="H3409" s="6" t="str">
        <f>VLOOKUP(E3409,dicionario!$A$1:$C3808,3,0)</f>
        <v/>
      </c>
    </row>
    <row r="3410">
      <c r="A3410" s="3">
        <v>45631.0</v>
      </c>
      <c r="B3410" s="4">
        <v>0.3333333333333333</v>
      </c>
      <c r="C3410" s="5" t="s">
        <v>76</v>
      </c>
      <c r="D3410" s="5" t="s">
        <v>907</v>
      </c>
      <c r="E3410" s="8" t="s">
        <v>805</v>
      </c>
      <c r="F3410" s="5" t="s">
        <v>186</v>
      </c>
      <c r="G3410" s="6" t="str">
        <f>VLOOKUP(E3410,dicionario!$A$1:$C3809,2,0)</f>
        <v>#N/A</v>
      </c>
      <c r="H3410" s="6" t="str">
        <f>VLOOKUP(E3410,dicionario!$A$1:$C3809,3,0)</f>
        <v>#N/A</v>
      </c>
    </row>
    <row r="3411">
      <c r="A3411" s="3">
        <v>45631.0</v>
      </c>
      <c r="B3411" s="4">
        <v>0.33402777777777776</v>
      </c>
      <c r="C3411" s="5" t="s">
        <v>76</v>
      </c>
      <c r="D3411" s="5" t="s">
        <v>907</v>
      </c>
      <c r="E3411" s="6" t="s">
        <v>324</v>
      </c>
      <c r="F3411" s="5" t="s">
        <v>325</v>
      </c>
      <c r="G3411" s="6" t="str">
        <f>VLOOKUP(E3411,dicionario!$A$1:$C3810,2,0)</f>
        <v>#N/A</v>
      </c>
      <c r="H3411" s="6" t="str">
        <f>VLOOKUP(E3411,dicionario!$A$1:$C3810,3,0)</f>
        <v>#N/A</v>
      </c>
    </row>
    <row r="3412">
      <c r="A3412" s="3">
        <v>45631.0</v>
      </c>
      <c r="B3412" s="4">
        <v>0.33402777777777776</v>
      </c>
      <c r="C3412" s="5" t="s">
        <v>76</v>
      </c>
      <c r="D3412" s="5" t="s">
        <v>907</v>
      </c>
      <c r="E3412" s="8" t="s">
        <v>960</v>
      </c>
      <c r="F3412" s="5" t="s">
        <v>380</v>
      </c>
      <c r="G3412" s="6" t="str">
        <f>VLOOKUP(E3412,dicionario!$A$1:$C3811,2,0)</f>
        <v>#N/A</v>
      </c>
      <c r="H3412" s="6" t="str">
        <f>VLOOKUP(E3412,dicionario!$A$1:$C3811,3,0)</f>
        <v>#N/A</v>
      </c>
    </row>
    <row r="3413">
      <c r="A3413" s="3">
        <v>45631.0</v>
      </c>
      <c r="B3413" s="4">
        <v>0.33402777777777776</v>
      </c>
      <c r="C3413" s="5" t="s">
        <v>76</v>
      </c>
      <c r="D3413" s="5" t="s">
        <v>907</v>
      </c>
      <c r="E3413" s="8" t="s">
        <v>262</v>
      </c>
      <c r="F3413" s="7" t="s">
        <v>263</v>
      </c>
      <c r="G3413" s="6" t="str">
        <f>VLOOKUP(E3413,dicionario!$A$1:$C3812,2,0)</f>
        <v>Portulaca oleracea</v>
      </c>
      <c r="H3413" s="6" t="str">
        <f>VLOOKUP(E3413,dicionario!$A$1:$C3812,3,0)</f>
        <v>beldroega</v>
      </c>
    </row>
    <row r="3414">
      <c r="A3414" s="3">
        <v>45631.0</v>
      </c>
      <c r="B3414" s="4">
        <v>0.3347222222222222</v>
      </c>
      <c r="C3414" s="5" t="s">
        <v>76</v>
      </c>
      <c r="D3414" s="5" t="s">
        <v>907</v>
      </c>
      <c r="E3414" s="8" t="s">
        <v>258</v>
      </c>
      <c r="F3414" s="5" t="s">
        <v>259</v>
      </c>
      <c r="G3414" s="6" t="str">
        <f>VLOOKUP(E3414,dicionario!$A$1:$C3813,2,0)</f>
        <v>Lantana camara</v>
      </c>
      <c r="H3414" s="6" t="str">
        <f>VLOOKUP(E3414,dicionario!$A$1:$C3813,3,0)</f>
        <v>lantana</v>
      </c>
    </row>
    <row r="3415">
      <c r="A3415" s="3">
        <v>45631.0</v>
      </c>
      <c r="B3415" s="4">
        <v>0.3347222222222222</v>
      </c>
      <c r="C3415" s="5" t="s">
        <v>76</v>
      </c>
      <c r="D3415" s="5" t="s">
        <v>907</v>
      </c>
      <c r="E3415" s="8" t="s">
        <v>535</v>
      </c>
      <c r="F3415" s="5" t="s">
        <v>901</v>
      </c>
      <c r="G3415" s="6" t="str">
        <f>VLOOKUP(E3415,dicionario!$A$1:$C3814,2,0)</f>
        <v>Odonata</v>
      </c>
      <c r="H3415" s="6" t="str">
        <f>VLOOKUP(E3415,dicionario!$A$1:$C3814,3,0)</f>
        <v>libélula</v>
      </c>
    </row>
    <row r="3416">
      <c r="A3416" s="3">
        <v>45631.0</v>
      </c>
      <c r="B3416" s="4">
        <v>0.33541666666666664</v>
      </c>
      <c r="C3416" s="5" t="s">
        <v>76</v>
      </c>
      <c r="D3416" s="5" t="s">
        <v>907</v>
      </c>
      <c r="E3416" s="8" t="s">
        <v>489</v>
      </c>
      <c r="F3416" s="5" t="s">
        <v>521</v>
      </c>
      <c r="G3416" s="6" t="str">
        <f>VLOOKUP(E3416,dicionario!$A$1:$C3815,2,0)</f>
        <v>Cenchrus echinatus</v>
      </c>
      <c r="H3416" s="6" t="str">
        <f>VLOOKUP(E3416,dicionario!$A$1:$C3815,3,0)</f>
        <v>capim-carrapicho</v>
      </c>
    </row>
    <row r="3417">
      <c r="A3417" s="3">
        <v>45631.0</v>
      </c>
      <c r="B3417" s="4">
        <v>0.33541666666666664</v>
      </c>
      <c r="C3417" s="5" t="s">
        <v>76</v>
      </c>
      <c r="D3417" s="5" t="s">
        <v>907</v>
      </c>
      <c r="E3417" s="8" t="s">
        <v>961</v>
      </c>
      <c r="F3417" s="5" t="s">
        <v>962</v>
      </c>
      <c r="G3417" s="6" t="str">
        <f>VLOOKUP(E3417,dicionario!$A$1:$C3816,2,0)</f>
        <v>#N/A</v>
      </c>
      <c r="H3417" s="6" t="str">
        <f>VLOOKUP(E3417,dicionario!$A$1:$C3816,3,0)</f>
        <v>#N/A</v>
      </c>
    </row>
    <row r="3418">
      <c r="A3418" s="3">
        <v>45631.0</v>
      </c>
      <c r="B3418" s="4">
        <v>0.33611111111111114</v>
      </c>
      <c r="C3418" s="5" t="s">
        <v>76</v>
      </c>
      <c r="D3418" s="5" t="s">
        <v>907</v>
      </c>
      <c r="E3418" s="6" t="s">
        <v>215</v>
      </c>
      <c r="F3418" s="7" t="s">
        <v>216</v>
      </c>
      <c r="G3418" s="6" t="str">
        <f>VLOOKUP(E3418,dicionario!$A$1:$C3817,2,0)</f>
        <v>Pygochelidon cyanoleuca</v>
      </c>
      <c r="H3418" s="6" t="str">
        <f>VLOOKUP(E3418,dicionario!$A$1:$C3817,3,0)</f>
        <v>andorinha-pequena-de-casa</v>
      </c>
    </row>
    <row r="3419">
      <c r="A3419" s="3">
        <v>45631.0</v>
      </c>
      <c r="B3419" s="4">
        <v>0.33611111111111114</v>
      </c>
      <c r="C3419" s="5" t="s">
        <v>76</v>
      </c>
      <c r="D3419" s="5" t="s">
        <v>907</v>
      </c>
      <c r="E3419" s="6" t="s">
        <v>425</v>
      </c>
      <c r="F3419" s="5" t="s">
        <v>426</v>
      </c>
      <c r="G3419" s="6" t="str">
        <f>VLOOKUP(E3419,dicionario!$A$1:$C3818,2,0)</f>
        <v>Digitaria insularis</v>
      </c>
      <c r="H3419" s="6" t="str">
        <f>VLOOKUP(E3419,dicionario!$A$1:$C3818,3,0)</f>
        <v>capim-amargoso</v>
      </c>
    </row>
    <row r="3420">
      <c r="A3420" s="3">
        <v>45631.0</v>
      </c>
      <c r="B3420" s="4">
        <v>0.3375</v>
      </c>
      <c r="C3420" s="5" t="s">
        <v>76</v>
      </c>
      <c r="D3420" s="5" t="s">
        <v>907</v>
      </c>
      <c r="E3420" s="6" t="s">
        <v>326</v>
      </c>
      <c r="F3420" s="5" t="s">
        <v>963</v>
      </c>
      <c r="G3420" s="6" t="str">
        <f>VLOOKUP(E3420,dicionario!$A$1:$C3819,2,0)</f>
        <v>Amaranthus spinosus</v>
      </c>
      <c r="H3420" s="6" t="str">
        <f>VLOOKUP(E3420,dicionario!$A$1:$C3819,3,0)</f>
        <v>caruru-de-espinho</v>
      </c>
    </row>
    <row r="3421">
      <c r="A3421" s="3">
        <v>45631.0</v>
      </c>
      <c r="B3421" s="4">
        <v>0.3375</v>
      </c>
      <c r="C3421" s="5" t="s">
        <v>76</v>
      </c>
      <c r="D3421" s="5" t="s">
        <v>907</v>
      </c>
      <c r="E3421" s="6" t="s">
        <v>467</v>
      </c>
      <c r="F3421" s="5" t="s">
        <v>468</v>
      </c>
      <c r="G3421" s="6" t="str">
        <f>VLOOKUP(E3421,dicionario!$A$1:$C3820,2,0)</f>
        <v>Eleusine indica</v>
      </c>
      <c r="H3421" s="6" t="str">
        <f>VLOOKUP(E3421,dicionario!$A$1:$C3820,3,0)</f>
        <v>capim-pé-de-galinha</v>
      </c>
    </row>
    <row r="3422">
      <c r="A3422" s="3">
        <v>45631.0</v>
      </c>
      <c r="B3422" s="4">
        <v>0.33819444444444446</v>
      </c>
      <c r="C3422" s="5" t="s">
        <v>76</v>
      </c>
      <c r="D3422" s="5" t="s">
        <v>907</v>
      </c>
      <c r="E3422" s="6" t="s">
        <v>225</v>
      </c>
      <c r="F3422" s="5" t="s">
        <v>226</v>
      </c>
      <c r="G3422" s="6" t="str">
        <f>VLOOKUP(E3422,dicionario!$A$1:$C3821,2,0)</f>
        <v>Passer domesticus</v>
      </c>
      <c r="H3422" s="6" t="str">
        <f>VLOOKUP(E3422,dicionario!$A$1:$C3821,3,0)</f>
        <v>pardal</v>
      </c>
    </row>
    <row r="3423">
      <c r="A3423" s="3">
        <v>45631.0</v>
      </c>
      <c r="B3423" s="4">
        <v>0.33819444444444446</v>
      </c>
      <c r="C3423" s="5" t="s">
        <v>76</v>
      </c>
      <c r="D3423" s="5" t="s">
        <v>907</v>
      </c>
      <c r="E3423" s="8" t="s">
        <v>10</v>
      </c>
      <c r="F3423" s="5" t="s">
        <v>11</v>
      </c>
      <c r="G3423" s="6" t="str">
        <f>VLOOKUP(E3423,dicionario!$A$1:$C3822,2,0)</f>
        <v>Guira guira</v>
      </c>
      <c r="H3423" s="6" t="str">
        <f>VLOOKUP(E3423,dicionario!$A$1:$C3822,3,0)</f>
        <v>anu-branco</v>
      </c>
    </row>
    <row r="3424">
      <c r="A3424" s="3">
        <v>45631.0</v>
      </c>
      <c r="B3424" s="4">
        <v>0.33819444444444446</v>
      </c>
      <c r="C3424" s="5" t="s">
        <v>76</v>
      </c>
      <c r="D3424" s="5" t="s">
        <v>907</v>
      </c>
      <c r="E3424" s="6" t="s">
        <v>539</v>
      </c>
      <c r="F3424" s="5" t="s">
        <v>540</v>
      </c>
      <c r="G3424" s="6" t="str">
        <f>VLOOKUP(E3424,dicionario!$A$1:$C3823,2,0)</f>
        <v>#N/A</v>
      </c>
      <c r="H3424" s="6" t="str">
        <f>VLOOKUP(E3424,dicionario!$A$1:$C3823,3,0)</f>
        <v>#N/A</v>
      </c>
    </row>
    <row r="3425">
      <c r="A3425" s="3">
        <v>45631.0</v>
      </c>
      <c r="B3425" s="4">
        <v>0.33958333333333335</v>
      </c>
      <c r="C3425" s="5" t="s">
        <v>76</v>
      </c>
      <c r="D3425" s="5" t="s">
        <v>907</v>
      </c>
      <c r="E3425" s="6" t="s">
        <v>606</v>
      </c>
      <c r="F3425" s="5" t="s">
        <v>607</v>
      </c>
      <c r="G3425" s="6" t="str">
        <f>VLOOKUP(E3425,dicionario!$A$1:$C3824,2,0)</f>
        <v>Elaenia spectabilis</v>
      </c>
      <c r="H3425" s="6" t="str">
        <f>VLOOKUP(E3425,dicionario!$A$1:$C3824,3,0)</f>
        <v>guaracava-grande</v>
      </c>
    </row>
    <row r="3426">
      <c r="A3426" s="3">
        <v>45631.0</v>
      </c>
      <c r="B3426" s="4">
        <v>0.33958333333333335</v>
      </c>
      <c r="C3426" s="5" t="s">
        <v>76</v>
      </c>
      <c r="D3426" s="5" t="s">
        <v>907</v>
      </c>
      <c r="E3426" s="6" t="s">
        <v>177</v>
      </c>
      <c r="F3426" s="5" t="s">
        <v>178</v>
      </c>
      <c r="G3426" s="6" t="str">
        <f>VLOOKUP(E3426,dicionario!$A$1:$C3825,2,0)</f>
        <v>Elaenia flavogaster</v>
      </c>
      <c r="H3426" s="6" t="str">
        <f>VLOOKUP(E3426,dicionario!$A$1:$C3825,3,0)</f>
        <v>guaracava-de-barriga-amarela</v>
      </c>
    </row>
    <row r="3427">
      <c r="A3427" s="3">
        <v>45631.0</v>
      </c>
      <c r="B3427" s="4">
        <v>0.34097222222222223</v>
      </c>
      <c r="C3427" s="5" t="s">
        <v>76</v>
      </c>
      <c r="D3427" s="5" t="s">
        <v>907</v>
      </c>
      <c r="E3427" s="6" t="s">
        <v>684</v>
      </c>
      <c r="F3427" s="5" t="s">
        <v>685</v>
      </c>
      <c r="G3427" s="6" t="str">
        <f>VLOOKUP(E3427,dicionario!$A$1:$C3826,2,0)</f>
        <v>Columbina squammata</v>
      </c>
      <c r="H3427" s="6" t="str">
        <f>VLOOKUP(E3427,dicionario!$A$1:$C3826,3,0)</f>
        <v>rolinha-fogo-apagou</v>
      </c>
    </row>
    <row r="3428">
      <c r="A3428" s="3">
        <v>45631.0</v>
      </c>
      <c r="B3428" s="4">
        <v>0.34097222222222223</v>
      </c>
      <c r="C3428" s="5" t="s">
        <v>76</v>
      </c>
      <c r="D3428" s="5" t="s">
        <v>907</v>
      </c>
      <c r="E3428" s="8" t="s">
        <v>378</v>
      </c>
      <c r="F3428" s="5" t="s">
        <v>205</v>
      </c>
      <c r="G3428" s="6" t="str">
        <f>VLOOKUP(E3428,dicionario!$A$1:$C3827,2,0)</f>
        <v>Polistes</v>
      </c>
      <c r="H3428" s="6" t="str">
        <f>VLOOKUP(E3428,dicionario!$A$1:$C3827,3,0)</f>
        <v>marimbondo</v>
      </c>
    </row>
    <row r="3429">
      <c r="A3429" s="3">
        <v>45631.0</v>
      </c>
      <c r="B3429" s="4">
        <v>0.34097222222222223</v>
      </c>
      <c r="C3429" s="5" t="s">
        <v>76</v>
      </c>
      <c r="D3429" s="5" t="s">
        <v>907</v>
      </c>
      <c r="E3429" s="8" t="s">
        <v>964</v>
      </c>
      <c r="F3429" s="5" t="s">
        <v>236</v>
      </c>
      <c r="G3429" s="6" t="str">
        <f>VLOOKUP(E3429,dicionario!$A$1:$C3828,2,0)</f>
        <v>#N/A</v>
      </c>
      <c r="H3429" s="6" t="str">
        <f>VLOOKUP(E3429,dicionario!$A$1:$C3828,3,0)</f>
        <v>#N/A</v>
      </c>
    </row>
    <row r="3430">
      <c r="A3430" s="3">
        <v>45631.0</v>
      </c>
      <c r="B3430" s="4">
        <v>0.34097222222222223</v>
      </c>
      <c r="C3430" s="5" t="s">
        <v>76</v>
      </c>
      <c r="D3430" s="5" t="s">
        <v>907</v>
      </c>
      <c r="E3430" s="6" t="s">
        <v>267</v>
      </c>
      <c r="F3430" s="5" t="s">
        <v>553</v>
      </c>
      <c r="G3430" s="6" t="str">
        <f>VLOOKUP(E3430,dicionario!$A$1:$C3829,2,0)</f>
        <v>Solanum americanum</v>
      </c>
      <c r="H3430" s="6" t="str">
        <f>VLOOKUP(E3430,dicionario!$A$1:$C3829,3,0)</f>
        <v>maria-pretinha</v>
      </c>
    </row>
    <row r="3431">
      <c r="A3431" s="3">
        <v>45631.0</v>
      </c>
      <c r="B3431" s="4">
        <v>0.3416666666666667</v>
      </c>
      <c r="C3431" s="5" t="s">
        <v>76</v>
      </c>
      <c r="D3431" s="5" t="s">
        <v>907</v>
      </c>
      <c r="E3431" s="8" t="s">
        <v>546</v>
      </c>
      <c r="F3431" s="5" t="s">
        <v>965</v>
      </c>
      <c r="G3431" s="6" t="str">
        <f>VLOOKUP(E3431,dicionario!$A$1:$C3830,2,0)</f>
        <v>#N/A</v>
      </c>
      <c r="H3431" s="6" t="str">
        <f>VLOOKUP(E3431,dicionario!$A$1:$C3830,3,0)</f>
        <v>#N/A</v>
      </c>
    </row>
    <row r="3432">
      <c r="A3432" s="3">
        <v>45631.0</v>
      </c>
      <c r="B3432" s="4">
        <v>0.34305555555555556</v>
      </c>
      <c r="C3432" s="5" t="s">
        <v>85</v>
      </c>
      <c r="D3432" s="5" t="s">
        <v>907</v>
      </c>
      <c r="E3432" s="6" t="s">
        <v>135</v>
      </c>
      <c r="F3432" s="5" t="s">
        <v>136</v>
      </c>
      <c r="G3432" s="6" t="str">
        <f>VLOOKUP(E3432,dicionario!$A$1:$C3831,2,0)</f>
        <v>Tridax procumbens</v>
      </c>
      <c r="H3432" s="6" t="str">
        <f>VLOOKUP(E3432,dicionario!$A$1:$C3831,3,0)</f>
        <v>erva-de-touro</v>
      </c>
    </row>
    <row r="3433">
      <c r="A3433" s="3">
        <v>45631.0</v>
      </c>
      <c r="B3433" s="4">
        <v>0.34305555555555556</v>
      </c>
      <c r="C3433" s="5" t="s">
        <v>85</v>
      </c>
      <c r="D3433" s="5" t="s">
        <v>907</v>
      </c>
      <c r="E3433" s="6" t="s">
        <v>144</v>
      </c>
      <c r="F3433" s="5" t="s">
        <v>145</v>
      </c>
      <c r="G3433" s="6" t="str">
        <f>VLOOKUP(E3433,dicionario!$A$1:$C3832,2,0)</f>
        <v>Gomphrena globosa</v>
      </c>
      <c r="H3433" s="6" t="str">
        <f>VLOOKUP(E3433,dicionario!$A$1:$C3832,3,0)</f>
        <v>perpétua-rosa</v>
      </c>
    </row>
    <row r="3434">
      <c r="A3434" s="3">
        <v>45631.0</v>
      </c>
      <c r="B3434" s="4">
        <v>0.34305555555555556</v>
      </c>
      <c r="C3434" s="5" t="s">
        <v>85</v>
      </c>
      <c r="D3434" s="5" t="s">
        <v>907</v>
      </c>
      <c r="E3434" s="8" t="s">
        <v>966</v>
      </c>
      <c r="F3434" s="5" t="s">
        <v>967</v>
      </c>
      <c r="G3434" s="6" t="str">
        <f>VLOOKUP(E3434,dicionario!$A$1:$C3833,2,0)</f>
        <v>Portulaca halimoides</v>
      </c>
      <c r="H3434" s="6" t="str">
        <f>VLOOKUP(E3434,dicionario!$A$1:$C3833,3,0)</f>
        <v>beldroega-de-seda</v>
      </c>
    </row>
    <row r="3435">
      <c r="A3435" s="3">
        <v>45631.0</v>
      </c>
      <c r="B3435" s="4">
        <v>0.34305555555555556</v>
      </c>
      <c r="C3435" s="5" t="s">
        <v>85</v>
      </c>
      <c r="D3435" s="5" t="s">
        <v>907</v>
      </c>
      <c r="E3435" s="6" t="s">
        <v>146</v>
      </c>
      <c r="F3435" s="5" t="s">
        <v>147</v>
      </c>
      <c r="G3435" s="6" t="str">
        <f>VLOOKUP(E3435,dicionario!$A$1:$C3834,2,0)</f>
        <v>Euphorbia hirta</v>
      </c>
      <c r="H3435" s="6" t="str">
        <f>VLOOKUP(E3435,dicionario!$A$1:$C3834,3,0)</f>
        <v>erva-de-santa-luzia</v>
      </c>
    </row>
    <row r="3436">
      <c r="A3436" s="3">
        <v>45631.0</v>
      </c>
      <c r="B3436" s="4">
        <v>0.34305555555555556</v>
      </c>
      <c r="C3436" s="5" t="s">
        <v>85</v>
      </c>
      <c r="D3436" s="5" t="s">
        <v>907</v>
      </c>
      <c r="E3436" s="6" t="s">
        <v>200</v>
      </c>
      <c r="F3436" s="5" t="s">
        <v>201</v>
      </c>
      <c r="G3436" s="6" t="str">
        <f>VLOOKUP(E3436,dicionario!$A$1:$C3835,2,0)</f>
        <v>Columbina picui </v>
      </c>
      <c r="H3436" s="6" t="str">
        <f>VLOOKUP(E3436,dicionario!$A$1:$C3835,3,0)</f>
        <v>rolinha-picuí</v>
      </c>
    </row>
    <row r="3437">
      <c r="A3437" s="3">
        <v>45631.0</v>
      </c>
      <c r="B3437" s="4">
        <v>0.34375</v>
      </c>
      <c r="C3437" s="5" t="s">
        <v>85</v>
      </c>
      <c r="D3437" s="5" t="s">
        <v>907</v>
      </c>
      <c r="E3437" s="8" t="s">
        <v>405</v>
      </c>
      <c r="F3437" s="5" t="s">
        <v>418</v>
      </c>
      <c r="G3437" s="6" t="str">
        <f>VLOOKUP(E3437,dicionario!$A$1:$C3836,2,0)</f>
        <v>Ectatomma</v>
      </c>
      <c r="H3437" s="6" t="str">
        <f>VLOOKUP(E3437,dicionario!$A$1:$C3836,3,0)</f>
        <v>formiga-preta</v>
      </c>
    </row>
    <row r="3438">
      <c r="A3438" s="3">
        <v>45631.0</v>
      </c>
      <c r="B3438" s="4">
        <v>0.34375</v>
      </c>
      <c r="C3438" s="5" t="s">
        <v>85</v>
      </c>
      <c r="D3438" s="5" t="s">
        <v>907</v>
      </c>
      <c r="E3438" s="8" t="s">
        <v>262</v>
      </c>
      <c r="F3438" s="7" t="s">
        <v>263</v>
      </c>
      <c r="G3438" s="6" t="str">
        <f>VLOOKUP(E3438,dicionario!$A$1:$C3837,2,0)</f>
        <v>Portulaca oleracea</v>
      </c>
      <c r="H3438" s="6" t="str">
        <f>VLOOKUP(E3438,dicionario!$A$1:$C3837,3,0)</f>
        <v>beldroega</v>
      </c>
    </row>
    <row r="3439">
      <c r="A3439" s="3">
        <v>45631.0</v>
      </c>
      <c r="B3439" s="4">
        <v>0.34375</v>
      </c>
      <c r="C3439" s="5" t="s">
        <v>85</v>
      </c>
      <c r="D3439" s="5" t="s">
        <v>907</v>
      </c>
      <c r="E3439" s="6" t="s">
        <v>154</v>
      </c>
      <c r="F3439" s="5" t="s">
        <v>155</v>
      </c>
      <c r="G3439" s="6" t="str">
        <f>VLOOKUP(E3439,dicionario!$A$1:$C3838,2,0)</f>
        <v>Cyperus rotundus</v>
      </c>
      <c r="H3439" s="6" t="str">
        <f>VLOOKUP(E3439,dicionario!$A$1:$C3838,3,0)</f>
        <v>tiririca</v>
      </c>
    </row>
    <row r="3440">
      <c r="A3440" s="3">
        <v>45631.0</v>
      </c>
      <c r="B3440" s="4">
        <v>0.34375</v>
      </c>
      <c r="C3440" s="5" t="s">
        <v>85</v>
      </c>
      <c r="D3440" s="5" t="s">
        <v>907</v>
      </c>
      <c r="E3440" s="8" t="s">
        <v>51</v>
      </c>
      <c r="F3440" s="5" t="s">
        <v>77</v>
      </c>
      <c r="G3440" s="6" t="str">
        <f>VLOOKUP(E3440,dicionario!$A$1:$C3839,2,0)</f>
        <v>Solenopsis</v>
      </c>
      <c r="H3440" s="6" t="str">
        <f>VLOOKUP(E3440,dicionario!$A$1:$C3839,3,0)</f>
        <v>formiga-quente; formiga-lava-pés; formiga-de-fogo</v>
      </c>
    </row>
    <row r="3441">
      <c r="A3441" s="3">
        <v>45631.0</v>
      </c>
      <c r="B3441" s="4">
        <v>0.34375</v>
      </c>
      <c r="C3441" s="5" t="s">
        <v>85</v>
      </c>
      <c r="D3441" s="5" t="s">
        <v>907</v>
      </c>
      <c r="E3441" s="6" t="s">
        <v>109</v>
      </c>
      <c r="F3441" s="5" t="s">
        <v>110</v>
      </c>
      <c r="G3441" s="6" t="str">
        <f>VLOOKUP(E3441,dicionario!$A$1:$C3840,2,0)</f>
        <v>Tillandsia stricta</v>
      </c>
      <c r="H3441" s="6" t="str">
        <f>VLOOKUP(E3441,dicionario!$A$1:$C3840,3,0)</f>
        <v>cravo-do-mato</v>
      </c>
    </row>
    <row r="3442">
      <c r="A3442" s="3">
        <v>45631.0</v>
      </c>
      <c r="B3442" s="4">
        <v>0.34375</v>
      </c>
      <c r="C3442" s="5" t="s">
        <v>85</v>
      </c>
      <c r="D3442" s="5" t="s">
        <v>907</v>
      </c>
      <c r="E3442" s="8" t="s">
        <v>517</v>
      </c>
      <c r="F3442" s="7" t="s">
        <v>518</v>
      </c>
      <c r="G3442" s="6" t="str">
        <f>VLOOKUP(E3442,dicionario!$A$1:$C3841,2,0)</f>
        <v>Evolvulus nummularius</v>
      </c>
      <c r="H3442" s="6" t="str">
        <f>VLOOKUP(E3442,dicionario!$A$1:$C3841,3,0)</f>
        <v/>
      </c>
    </row>
    <row r="3443">
      <c r="A3443" s="3">
        <v>45631.0</v>
      </c>
      <c r="B3443" s="4">
        <v>0.34375</v>
      </c>
      <c r="C3443" s="5" t="s">
        <v>85</v>
      </c>
      <c r="D3443" s="5" t="s">
        <v>907</v>
      </c>
      <c r="E3443" s="8" t="s">
        <v>38</v>
      </c>
      <c r="F3443" s="5" t="s">
        <v>39</v>
      </c>
      <c r="G3443" s="6" t="str">
        <f>VLOOKUP(E3443,dicionario!$A$1:$C3842,2,0)</f>
        <v>Troglodytes musculus</v>
      </c>
      <c r="H3443" s="6" t="str">
        <f>VLOOKUP(E3443,dicionario!$A$1:$C3842,3,0)</f>
        <v>curruíra</v>
      </c>
    </row>
    <row r="3444">
      <c r="A3444" s="3">
        <v>45631.0</v>
      </c>
      <c r="B3444" s="4">
        <v>0.34444444444444444</v>
      </c>
      <c r="C3444" s="5" t="s">
        <v>85</v>
      </c>
      <c r="D3444" s="5" t="s">
        <v>907</v>
      </c>
      <c r="E3444" s="6" t="s">
        <v>606</v>
      </c>
      <c r="F3444" s="5" t="s">
        <v>607</v>
      </c>
      <c r="G3444" s="6" t="str">
        <f>VLOOKUP(E3444,dicionario!$A$1:$C3843,2,0)</f>
        <v>Elaenia spectabilis</v>
      </c>
      <c r="H3444" s="6" t="str">
        <f>VLOOKUP(E3444,dicionario!$A$1:$C3843,3,0)</f>
        <v>guaracava-grande</v>
      </c>
    </row>
    <row r="3445">
      <c r="A3445" s="3">
        <v>45631.0</v>
      </c>
      <c r="B3445" s="4">
        <v>0.34444444444444444</v>
      </c>
      <c r="C3445" s="5" t="s">
        <v>85</v>
      </c>
      <c r="D3445" s="5" t="s">
        <v>907</v>
      </c>
      <c r="E3445" s="6" t="s">
        <v>65</v>
      </c>
      <c r="F3445" s="5" t="s">
        <v>66</v>
      </c>
      <c r="G3445" s="6" t="str">
        <f>VLOOKUP(E3445,dicionario!$A$1:$C3844,2,0)</f>
        <v>Pitangus sulphutarus</v>
      </c>
      <c r="H3445" s="6" t="str">
        <f>VLOOKUP(E3445,dicionario!$A$1:$C3844,3,0)</f>
        <v>bem-te-vi</v>
      </c>
    </row>
    <row r="3446">
      <c r="A3446" s="3">
        <v>45631.0</v>
      </c>
      <c r="B3446" s="4">
        <v>0.34444444444444444</v>
      </c>
      <c r="C3446" s="5" t="s">
        <v>85</v>
      </c>
      <c r="D3446" s="5" t="s">
        <v>907</v>
      </c>
      <c r="E3446" s="6" t="s">
        <v>20</v>
      </c>
      <c r="F3446" s="7" t="s">
        <v>21</v>
      </c>
      <c r="G3446" s="6" t="str">
        <f>VLOOKUP(E3446,dicionario!$A$1:$C3845,2,0)</f>
        <v>Sicalis flaveola</v>
      </c>
      <c r="H3446" s="6" t="str">
        <f>VLOOKUP(E3446,dicionario!$A$1:$C3845,3,0)</f>
        <v>canário-da-terra</v>
      </c>
    </row>
    <row r="3447">
      <c r="A3447" s="3">
        <v>45631.0</v>
      </c>
      <c r="B3447" s="4">
        <v>0.3451388888888889</v>
      </c>
      <c r="C3447" s="5" t="s">
        <v>85</v>
      </c>
      <c r="D3447" s="5" t="s">
        <v>907</v>
      </c>
      <c r="E3447" s="6" t="s">
        <v>122</v>
      </c>
      <c r="F3447" s="7" t="s">
        <v>123</v>
      </c>
      <c r="G3447" s="6" t="str">
        <f>VLOOKUP(E3447,dicionario!$A$1:$C3846,2,0)</f>
        <v>Todirostrum cinereum</v>
      </c>
      <c r="H3447" s="6" t="str">
        <f>VLOOKUP(E3447,dicionario!$A$1:$C3846,3,0)</f>
        <v>ferreirinho-relógio</v>
      </c>
    </row>
    <row r="3448">
      <c r="A3448" s="3">
        <v>45631.0</v>
      </c>
      <c r="B3448" s="4">
        <v>0.3451388888888889</v>
      </c>
      <c r="C3448" s="5" t="s">
        <v>85</v>
      </c>
      <c r="D3448" s="5" t="s">
        <v>907</v>
      </c>
      <c r="E3448" s="6" t="s">
        <v>399</v>
      </c>
      <c r="F3448" s="5" t="s">
        <v>400</v>
      </c>
      <c r="G3448" s="6" t="str">
        <f>VLOOKUP(E3448,dicionario!$A$1:$C3847,2,0)</f>
        <v>Varronia curassavica</v>
      </c>
      <c r="H3448" s="6" t="str">
        <f>VLOOKUP(E3448,dicionario!$A$1:$C3847,3,0)</f>
        <v>erva-baleeira</v>
      </c>
    </row>
    <row r="3449">
      <c r="A3449" s="3">
        <v>45631.0</v>
      </c>
      <c r="B3449" s="4">
        <v>0.3451388888888889</v>
      </c>
      <c r="C3449" s="5" t="s">
        <v>85</v>
      </c>
      <c r="D3449" s="5" t="s">
        <v>907</v>
      </c>
      <c r="E3449" s="6" t="s">
        <v>247</v>
      </c>
      <c r="F3449" s="5" t="s">
        <v>387</v>
      </c>
      <c r="G3449" s="6" t="str">
        <f>VLOOKUP(E3449,dicionario!$A$1:$C3848,2,0)</f>
        <v>Emilia sonchifolia</v>
      </c>
      <c r="H3449" s="6" t="str">
        <f>VLOOKUP(E3449,dicionario!$A$1:$C3848,3,0)</f>
        <v>serralinha</v>
      </c>
    </row>
    <row r="3450">
      <c r="A3450" s="3">
        <v>45631.0</v>
      </c>
      <c r="B3450" s="4">
        <v>0.3451388888888889</v>
      </c>
      <c r="C3450" s="5" t="s">
        <v>85</v>
      </c>
      <c r="D3450" s="5" t="s">
        <v>907</v>
      </c>
      <c r="E3450" s="8" t="s">
        <v>946</v>
      </c>
      <c r="F3450" s="5" t="s">
        <v>947</v>
      </c>
      <c r="G3450" s="6" t="str">
        <f>VLOOKUP(E3450,dicionario!$A$1:$C3849,2,0)</f>
        <v>Thorybes dorantes</v>
      </c>
      <c r="H3450" s="6" t="str">
        <f>VLOOKUP(E3450,dicionario!$A$1:$C3849,3,0)</f>
        <v>mariposa-de-cauda-lilás</v>
      </c>
    </row>
    <row r="3451">
      <c r="A3451" s="3">
        <v>45631.0</v>
      </c>
      <c r="B3451" s="4">
        <v>0.3458333333333333</v>
      </c>
      <c r="C3451" s="5" t="s">
        <v>85</v>
      </c>
      <c r="D3451" s="5" t="s">
        <v>907</v>
      </c>
      <c r="E3451" s="6" t="s">
        <v>150</v>
      </c>
      <c r="F3451" s="5" t="s">
        <v>151</v>
      </c>
      <c r="G3451" s="6" t="str">
        <f>VLOOKUP(E3451,dicionario!$A$1:$C3850,2,0)</f>
        <v>Amaranthus viridis</v>
      </c>
      <c r="H3451" s="6" t="str">
        <f>VLOOKUP(E3451,dicionario!$A$1:$C3850,3,0)</f>
        <v>caruru-de-mancha</v>
      </c>
    </row>
    <row r="3452">
      <c r="A3452" s="3">
        <v>45631.0</v>
      </c>
      <c r="B3452" s="4">
        <v>0.3458333333333333</v>
      </c>
      <c r="C3452" s="5" t="s">
        <v>85</v>
      </c>
      <c r="D3452" s="5" t="s">
        <v>907</v>
      </c>
      <c r="E3452" s="6" t="s">
        <v>113</v>
      </c>
      <c r="F3452" s="5" t="s">
        <v>114</v>
      </c>
      <c r="G3452" s="6" t="str">
        <f>VLOOKUP(E3452,dicionario!$A$1:$C3851,2,0)</f>
        <v>Columbina talpacoti</v>
      </c>
      <c r="H3452" s="6" t="str">
        <f>VLOOKUP(E3452,dicionario!$A$1:$C3851,3,0)</f>
        <v>rolinha-roxa</v>
      </c>
    </row>
    <row r="3453">
      <c r="A3453" s="3">
        <v>45631.0</v>
      </c>
      <c r="B3453" s="4">
        <v>0.3458333333333333</v>
      </c>
      <c r="C3453" s="5" t="s">
        <v>85</v>
      </c>
      <c r="D3453" s="5" t="s">
        <v>907</v>
      </c>
      <c r="E3453" s="6" t="s">
        <v>148</v>
      </c>
      <c r="F3453" s="5" t="s">
        <v>149</v>
      </c>
      <c r="G3453" s="6" t="str">
        <f>VLOOKUP(E3453,dicionario!$A$1:$C3852,2,0)</f>
        <v>Parthenium hysterophorus</v>
      </c>
      <c r="H3453" s="6" t="str">
        <f>VLOOKUP(E3453,dicionario!$A$1:$C3852,3,0)</f>
        <v>losna-branca</v>
      </c>
    </row>
    <row r="3454">
      <c r="A3454" s="3">
        <v>45631.0</v>
      </c>
      <c r="B3454" s="4">
        <v>0.3458333333333333</v>
      </c>
      <c r="C3454" s="5" t="s">
        <v>85</v>
      </c>
      <c r="D3454" s="5" t="s">
        <v>907</v>
      </c>
      <c r="E3454" s="6" t="s">
        <v>83</v>
      </c>
      <c r="F3454" s="5" t="s">
        <v>84</v>
      </c>
      <c r="G3454" s="6" t="str">
        <f>VLOOKUP(E3454,dicionario!$A$1:$C3853,2,0)</f>
        <v>Anartia jatrophae</v>
      </c>
      <c r="H3454" s="6" t="str">
        <f>VLOOKUP(E3454,dicionario!$A$1:$C3853,3,0)</f>
        <v>borboleta-pavão-branco</v>
      </c>
    </row>
    <row r="3455">
      <c r="A3455" s="3">
        <v>45631.0</v>
      </c>
      <c r="B3455" s="4">
        <v>0.3458333333333333</v>
      </c>
      <c r="C3455" s="5" t="s">
        <v>85</v>
      </c>
      <c r="D3455" s="5" t="s">
        <v>907</v>
      </c>
      <c r="E3455" s="6" t="s">
        <v>53</v>
      </c>
      <c r="F3455" s="7" t="s">
        <v>54</v>
      </c>
      <c r="G3455" s="6" t="str">
        <f>VLOOKUP(E3455,dicionario!$A$1:$C3854,2,0)</f>
        <v>Turnera subulata</v>
      </c>
      <c r="H3455" s="6" t="str">
        <f>VLOOKUP(E3455,dicionario!$A$1:$C3854,3,0)</f>
        <v>xanana</v>
      </c>
    </row>
    <row r="3456">
      <c r="A3456" s="3">
        <v>45631.0</v>
      </c>
      <c r="B3456" s="4">
        <v>0.34652777777777777</v>
      </c>
      <c r="C3456" s="5" t="s">
        <v>85</v>
      </c>
      <c r="D3456" s="5" t="s">
        <v>907</v>
      </c>
      <c r="E3456" s="8" t="s">
        <v>298</v>
      </c>
      <c r="F3456" s="5" t="s">
        <v>739</v>
      </c>
      <c r="G3456" s="6" t="str">
        <f>VLOOKUP(E3456,dicionario!$A$1:$C3855,2,0)</f>
        <v>Alysicarpus vaginalis</v>
      </c>
      <c r="H3456" s="6" t="str">
        <f>VLOOKUP(E3456,dicionario!$A$1:$C3855,3,0)</f>
        <v/>
      </c>
    </row>
    <row r="3457">
      <c r="A3457" s="3">
        <v>45631.0</v>
      </c>
      <c r="B3457" s="4">
        <v>0.34652777777777777</v>
      </c>
      <c r="C3457" s="5" t="s">
        <v>85</v>
      </c>
      <c r="D3457" s="5" t="s">
        <v>907</v>
      </c>
      <c r="E3457" s="6" t="s">
        <v>227</v>
      </c>
      <c r="F3457" s="5" t="s">
        <v>228</v>
      </c>
      <c r="G3457" s="6" t="str">
        <f>VLOOKUP(E3457,dicionario!$A$1:$C3856,2,0)</f>
        <v>Indigofera hirsuta</v>
      </c>
      <c r="H3457" s="6" t="str">
        <f>VLOOKUP(E3457,dicionario!$A$1:$C3856,3,0)</f>
        <v>anileira</v>
      </c>
    </row>
    <row r="3458">
      <c r="A3458" s="3">
        <v>45631.0</v>
      </c>
      <c r="B3458" s="4">
        <v>0.34652777777777777</v>
      </c>
      <c r="C3458" s="5" t="s">
        <v>85</v>
      </c>
      <c r="D3458" s="5" t="s">
        <v>907</v>
      </c>
      <c r="E3458" s="8" t="s">
        <v>143</v>
      </c>
      <c r="F3458" s="5" t="s">
        <v>63</v>
      </c>
      <c r="G3458" s="6" t="str">
        <f>VLOOKUP(E3458,dicionario!$A$1:$C3857,2,0)</f>
        <v>Polybia</v>
      </c>
      <c r="H3458" s="6" t="str">
        <f>VLOOKUP(E3458,dicionario!$A$1:$C3857,3,0)</f>
        <v>vespa</v>
      </c>
    </row>
    <row r="3459">
      <c r="A3459" s="3">
        <v>45631.0</v>
      </c>
      <c r="B3459" s="4">
        <v>0.34652777777777777</v>
      </c>
      <c r="C3459" s="5" t="s">
        <v>85</v>
      </c>
      <c r="D3459" s="5" t="s">
        <v>907</v>
      </c>
      <c r="E3459" s="8" t="s">
        <v>338</v>
      </c>
      <c r="F3459" s="5" t="s">
        <v>238</v>
      </c>
      <c r="G3459" s="6" t="str">
        <f>VLOOKUP(E3459,dicionario!$A$1:$C3858,2,0)</f>
        <v>Atta</v>
      </c>
      <c r="H3459" s="6" t="str">
        <f>VLOOKUP(E3459,dicionario!$A$1:$C3858,3,0)</f>
        <v>saúva</v>
      </c>
    </row>
    <row r="3460">
      <c r="A3460" s="3">
        <v>45631.0</v>
      </c>
      <c r="B3460" s="4">
        <v>0.3472222222222222</v>
      </c>
      <c r="C3460" s="5" t="s">
        <v>85</v>
      </c>
      <c r="D3460" s="5" t="s">
        <v>907</v>
      </c>
      <c r="E3460" s="20" t="s">
        <v>676</v>
      </c>
      <c r="F3460" s="7" t="s">
        <v>677</v>
      </c>
      <c r="G3460" s="6" t="str">
        <f>VLOOKUP(E3460,dicionario!$A$1:$C3859,2,0)</f>
        <v>Zornia latifolia</v>
      </c>
      <c r="H3460" s="6" t="str">
        <f>VLOOKUP(E3460,dicionario!$A$1:$C3859,3,0)</f>
        <v>arrozinho-do-campo</v>
      </c>
    </row>
    <row r="3461">
      <c r="A3461" s="3">
        <v>45631.0</v>
      </c>
      <c r="B3461" s="4">
        <v>0.3472222222222222</v>
      </c>
      <c r="C3461" s="5" t="s">
        <v>85</v>
      </c>
      <c r="D3461" s="5" t="s">
        <v>907</v>
      </c>
      <c r="E3461" s="6" t="s">
        <v>286</v>
      </c>
      <c r="F3461" s="5" t="s">
        <v>287</v>
      </c>
      <c r="G3461" s="6" t="str">
        <f>VLOOKUP(E3461,dicionario!$A$1:$C3860,2,0)</f>
        <v>Setaria parviflora</v>
      </c>
      <c r="H3461" s="6" t="str">
        <f>VLOOKUP(E3461,dicionario!$A$1:$C3860,3,0)</f>
        <v>capim-rabo-de-raposa</v>
      </c>
    </row>
    <row r="3462">
      <c r="A3462" s="3">
        <v>45631.0</v>
      </c>
      <c r="B3462" s="4">
        <v>0.3472222222222222</v>
      </c>
      <c r="C3462" s="5" t="s">
        <v>85</v>
      </c>
      <c r="D3462" s="5" t="s">
        <v>907</v>
      </c>
      <c r="E3462" s="29" t="s">
        <v>566</v>
      </c>
      <c r="F3462" s="5" t="s">
        <v>567</v>
      </c>
      <c r="G3462" s="6" t="str">
        <f>VLOOKUP(E3462,dicionario!$A$1:$C3861,2,0)</f>
        <v>Baccharis dracunculifolia</v>
      </c>
      <c r="H3462" s="6" t="str">
        <f>VLOOKUP(E3462,dicionario!$A$1:$C3861,3,0)</f>
        <v>vassoura</v>
      </c>
    </row>
    <row r="3463">
      <c r="A3463" s="3">
        <v>45631.0</v>
      </c>
      <c r="B3463" s="4">
        <v>0.34791666666666665</v>
      </c>
      <c r="C3463" s="5" t="s">
        <v>85</v>
      </c>
      <c r="D3463" s="5" t="s">
        <v>907</v>
      </c>
      <c r="E3463" s="6" t="s">
        <v>163</v>
      </c>
      <c r="F3463" s="5" t="s">
        <v>164</v>
      </c>
      <c r="G3463" s="6" t="str">
        <f>VLOOKUP(E3463,dicionario!$A$1:$C3862,2,0)</f>
        <v>Coragyps atratus</v>
      </c>
      <c r="H3463" s="6" t="str">
        <f>VLOOKUP(E3463,dicionario!$A$1:$C3862,3,0)</f>
        <v>urubu-de-cabeça-preta</v>
      </c>
    </row>
    <row r="3464">
      <c r="A3464" s="3">
        <v>45631.0</v>
      </c>
      <c r="B3464" s="4">
        <v>0.34791666666666665</v>
      </c>
      <c r="C3464" s="5" t="s">
        <v>85</v>
      </c>
      <c r="D3464" s="5" t="s">
        <v>907</v>
      </c>
      <c r="E3464" s="6" t="s">
        <v>353</v>
      </c>
      <c r="F3464" s="5" t="s">
        <v>354</v>
      </c>
      <c r="G3464" s="6" t="str">
        <f>VLOOKUP(E3464,dicionario!$A$1:$C3863,2,0)</f>
        <v>Desmodium incanum</v>
      </c>
      <c r="H3464" s="6" t="str">
        <f>VLOOKUP(E3464,dicionario!$A$1:$C3863,3,0)</f>
        <v>pega-pega</v>
      </c>
    </row>
    <row r="3465">
      <c r="A3465" s="3">
        <v>45631.0</v>
      </c>
      <c r="B3465" s="4">
        <v>0.34791666666666665</v>
      </c>
      <c r="C3465" s="5" t="s">
        <v>85</v>
      </c>
      <c r="D3465" s="5" t="s">
        <v>907</v>
      </c>
      <c r="E3465" s="6" t="s">
        <v>616</v>
      </c>
      <c r="F3465" s="5" t="s">
        <v>617</v>
      </c>
      <c r="G3465" s="6" t="str">
        <f>VLOOKUP(E3465,dicionario!$A$1:$C3864,2,0)</f>
        <v>#N/A</v>
      </c>
      <c r="H3465" s="6" t="str">
        <f>VLOOKUP(E3465,dicionario!$A$1:$C3864,3,0)</f>
        <v>#N/A</v>
      </c>
    </row>
    <row r="3466">
      <c r="A3466" s="3">
        <v>45631.0</v>
      </c>
      <c r="B3466" s="4">
        <v>0.34791666666666665</v>
      </c>
      <c r="C3466" s="5" t="s">
        <v>85</v>
      </c>
      <c r="D3466" s="5" t="s">
        <v>907</v>
      </c>
      <c r="E3466" s="6" t="s">
        <v>319</v>
      </c>
      <c r="F3466" s="5" t="s">
        <v>320</v>
      </c>
      <c r="G3466" s="6" t="str">
        <f>VLOOKUP(E3466,dicionario!$A$1:$C3865,2,0)</f>
        <v>Schinus terebinthifolia</v>
      </c>
      <c r="H3466" s="6" t="str">
        <f>VLOOKUP(E3466,dicionario!$A$1:$C3865,3,0)</f>
        <v>aroeira</v>
      </c>
    </row>
    <row r="3467">
      <c r="A3467" s="3">
        <v>45631.0</v>
      </c>
      <c r="B3467" s="4">
        <v>0.34791666666666665</v>
      </c>
      <c r="C3467" s="5" t="s">
        <v>85</v>
      </c>
      <c r="D3467" s="5" t="s">
        <v>907</v>
      </c>
      <c r="E3467" s="8" t="s">
        <v>719</v>
      </c>
      <c r="F3467" s="5" t="s">
        <v>720</v>
      </c>
      <c r="G3467" s="6" t="str">
        <f>VLOOKUP(E3467,dicionario!$A$1:$C3866,2,0)</f>
        <v>Dirinaria</v>
      </c>
      <c r="H3467" s="6" t="str">
        <f>VLOOKUP(E3467,dicionario!$A$1:$C3866,3,0)</f>
        <v>líquen-crostoso</v>
      </c>
    </row>
    <row r="3468">
      <c r="A3468" s="3">
        <v>45631.0</v>
      </c>
      <c r="B3468" s="4">
        <v>0.34791666666666665</v>
      </c>
      <c r="C3468" s="5" t="s">
        <v>85</v>
      </c>
      <c r="D3468" s="5" t="s">
        <v>907</v>
      </c>
      <c r="E3468" s="8" t="s">
        <v>712</v>
      </c>
      <c r="F3468" s="5" t="s">
        <v>718</v>
      </c>
      <c r="G3468" s="6" t="str">
        <f>VLOOKUP(E3468,dicionario!$A$1:$C3867,2,0)</f>
        <v>Flavopunctelia soredica</v>
      </c>
      <c r="H3468" s="6" t="str">
        <f>VLOOKUP(E3468,dicionario!$A$1:$C3867,3,0)</f>
        <v>líquen-folioso</v>
      </c>
    </row>
    <row r="3469">
      <c r="A3469" s="3">
        <v>45631.0</v>
      </c>
      <c r="B3469" s="4">
        <v>0.3486111111111111</v>
      </c>
      <c r="C3469" s="5" t="s">
        <v>85</v>
      </c>
      <c r="D3469" s="5" t="s">
        <v>907</v>
      </c>
      <c r="E3469" s="8" t="s">
        <v>821</v>
      </c>
      <c r="F3469" s="5" t="s">
        <v>876</v>
      </c>
      <c r="G3469" s="6" t="str">
        <f>VLOOKUP(E3469,dicionario!$A$1:$C3868,2,0)</f>
        <v>Schefflera actinophylla</v>
      </c>
      <c r="H3469" s="6" t="str">
        <f>VLOOKUP(E3469,dicionario!$A$1:$C3868,3,0)</f>
        <v>árvore-guarda-chuva</v>
      </c>
    </row>
    <row r="3470">
      <c r="A3470" s="3">
        <v>45631.0</v>
      </c>
      <c r="B3470" s="4">
        <v>0.3486111111111111</v>
      </c>
      <c r="C3470" s="5" t="s">
        <v>85</v>
      </c>
      <c r="D3470" s="5" t="s">
        <v>907</v>
      </c>
      <c r="E3470" s="6" t="s">
        <v>215</v>
      </c>
      <c r="F3470" s="7" t="s">
        <v>216</v>
      </c>
      <c r="G3470" s="6" t="str">
        <f>VLOOKUP(E3470,dicionario!$A$1:$C3869,2,0)</f>
        <v>Pygochelidon cyanoleuca</v>
      </c>
      <c r="H3470" s="6" t="str">
        <f>VLOOKUP(E3470,dicionario!$A$1:$C3869,3,0)</f>
        <v>andorinha-pequena-de-casa</v>
      </c>
    </row>
    <row r="3471">
      <c r="A3471" s="3">
        <v>45631.0</v>
      </c>
      <c r="B3471" s="4">
        <v>0.3486111111111111</v>
      </c>
      <c r="C3471" s="5" t="s">
        <v>85</v>
      </c>
      <c r="D3471" s="5" t="s">
        <v>907</v>
      </c>
      <c r="E3471" s="8" t="s">
        <v>858</v>
      </c>
      <c r="F3471" s="5" t="s">
        <v>859</v>
      </c>
      <c r="G3471" s="6" t="str">
        <f>VLOOKUP(E3471,dicionario!$A$1:$C3870,2,0)</f>
        <v>Rumex obtusifolius</v>
      </c>
      <c r="H3471" s="6" t="str">
        <f>VLOOKUP(E3471,dicionario!$A$1:$C3870,3,0)</f>
        <v>lingua-de-vaca</v>
      </c>
    </row>
    <row r="3472">
      <c r="A3472" s="3">
        <v>45631.0</v>
      </c>
      <c r="B3472" s="4">
        <v>0.3506944444444444</v>
      </c>
      <c r="C3472" s="5" t="s">
        <v>90</v>
      </c>
      <c r="D3472" s="5" t="s">
        <v>907</v>
      </c>
      <c r="E3472" s="6" t="s">
        <v>206</v>
      </c>
      <c r="F3472" s="5" t="s">
        <v>968</v>
      </c>
      <c r="G3472" s="6" t="str">
        <f>VLOOKUP(E3472,dicionario!$A$1:$C3871,2,0)</f>
        <v>Falco sparverius</v>
      </c>
      <c r="H3472" s="6" t="str">
        <f>VLOOKUP(E3472,dicionario!$A$1:$C3871,3,0)</f>
        <v>quiriquiri</v>
      </c>
    </row>
    <row r="3473">
      <c r="A3473" s="3">
        <v>45631.0</v>
      </c>
      <c r="B3473" s="4">
        <v>0.3506944444444444</v>
      </c>
      <c r="C3473" s="5" t="s">
        <v>90</v>
      </c>
      <c r="D3473" s="5" t="s">
        <v>907</v>
      </c>
      <c r="E3473" s="6" t="s">
        <v>132</v>
      </c>
      <c r="F3473" s="5" t="s">
        <v>133</v>
      </c>
      <c r="G3473" s="6" t="str">
        <f>VLOOKUP(E3473,dicionario!$A$1:$C3872,2,0)</f>
        <v>Euphonia chlorotica</v>
      </c>
      <c r="H3473" s="6" t="str">
        <f>VLOOKUP(E3473,dicionario!$A$1:$C3872,3,0)</f>
        <v>fim-fim</v>
      </c>
    </row>
    <row r="3474">
      <c r="A3474" s="3">
        <v>45631.0</v>
      </c>
      <c r="B3474" s="4">
        <v>0.3506944444444444</v>
      </c>
      <c r="C3474" s="5" t="s">
        <v>90</v>
      </c>
      <c r="D3474" s="5" t="s">
        <v>907</v>
      </c>
      <c r="E3474" s="6" t="s">
        <v>286</v>
      </c>
      <c r="F3474" s="5" t="s">
        <v>287</v>
      </c>
      <c r="G3474" s="6" t="str">
        <f>VLOOKUP(E3474,dicionario!$A$1:$C3873,2,0)</f>
        <v>Setaria parviflora</v>
      </c>
      <c r="H3474" s="6" t="str">
        <f>VLOOKUP(E3474,dicionario!$A$1:$C3873,3,0)</f>
        <v>capim-rabo-de-raposa</v>
      </c>
    </row>
    <row r="3475">
      <c r="A3475" s="3">
        <v>45631.0</v>
      </c>
      <c r="B3475" s="4">
        <v>0.3506944444444444</v>
      </c>
      <c r="C3475" s="5" t="s">
        <v>90</v>
      </c>
      <c r="D3475" s="5" t="s">
        <v>907</v>
      </c>
      <c r="E3475" s="6" t="s">
        <v>109</v>
      </c>
      <c r="F3475" s="5" t="s">
        <v>110</v>
      </c>
      <c r="G3475" s="6" t="str">
        <f>VLOOKUP(E3475,dicionario!$A$1:$C3874,2,0)</f>
        <v>Tillandsia stricta</v>
      </c>
      <c r="H3475" s="6" t="str">
        <f>VLOOKUP(E3475,dicionario!$A$1:$C3874,3,0)</f>
        <v>cravo-do-mato</v>
      </c>
    </row>
    <row r="3476">
      <c r="A3476" s="3">
        <v>45631.0</v>
      </c>
      <c r="B3476" s="4">
        <v>0.3506944444444444</v>
      </c>
      <c r="C3476" s="5" t="s">
        <v>90</v>
      </c>
      <c r="D3476" s="5" t="s">
        <v>907</v>
      </c>
      <c r="E3476" s="6" t="s">
        <v>175</v>
      </c>
      <c r="F3476" s="5" t="s">
        <v>176</v>
      </c>
      <c r="G3476" s="6" t="str">
        <f>VLOOKUP(E3476,dicionario!$A$1:$C3875,2,0)</f>
        <v>Turdus leucomelas</v>
      </c>
      <c r="H3476" s="6" t="str">
        <f>VLOOKUP(E3476,dicionario!$A$1:$C3875,3,0)</f>
        <v>sabiá-barranco</v>
      </c>
    </row>
    <row r="3477">
      <c r="A3477" s="3">
        <v>45631.0</v>
      </c>
      <c r="B3477" s="4">
        <v>0.3506944444444444</v>
      </c>
      <c r="C3477" s="5" t="s">
        <v>90</v>
      </c>
      <c r="D3477" s="5" t="s">
        <v>907</v>
      </c>
      <c r="E3477" s="8" t="s">
        <v>227</v>
      </c>
      <c r="F3477" s="5" t="s">
        <v>228</v>
      </c>
      <c r="G3477" s="6" t="str">
        <f>VLOOKUP(E3477,dicionario!$A$1:$C3876,2,0)</f>
        <v>Indigofera hirsuta</v>
      </c>
      <c r="H3477" s="6" t="str">
        <f>VLOOKUP(E3477,dicionario!$A$1:$C3876,3,0)</f>
        <v>anileira</v>
      </c>
    </row>
    <row r="3478">
      <c r="A3478" s="3">
        <v>45631.0</v>
      </c>
      <c r="B3478" s="4">
        <v>0.35208333333333336</v>
      </c>
      <c r="C3478" s="5" t="s">
        <v>90</v>
      </c>
      <c r="D3478" s="5" t="s">
        <v>907</v>
      </c>
      <c r="E3478" s="6" t="s">
        <v>353</v>
      </c>
      <c r="F3478" s="5" t="s">
        <v>354</v>
      </c>
      <c r="G3478" s="6" t="str">
        <f>VLOOKUP(E3478,dicionario!$A$1:$C3877,2,0)</f>
        <v>Desmodium incanum</v>
      </c>
      <c r="H3478" s="6" t="str">
        <f>VLOOKUP(E3478,dicionario!$A$1:$C3877,3,0)</f>
        <v>pega-pega</v>
      </c>
    </row>
    <row r="3479">
      <c r="A3479" s="3">
        <v>45631.0</v>
      </c>
      <c r="B3479" s="4">
        <v>0.35208333333333336</v>
      </c>
      <c r="C3479" s="5" t="s">
        <v>90</v>
      </c>
      <c r="D3479" s="5" t="s">
        <v>907</v>
      </c>
      <c r="E3479" s="6" t="s">
        <v>498</v>
      </c>
      <c r="F3479" s="5" t="s">
        <v>499</v>
      </c>
      <c r="G3479" s="6" t="str">
        <f>VLOOKUP(E3479,dicionario!$A$1:$C3878,2,0)</f>
        <v>Brachiaria decumbens</v>
      </c>
      <c r="H3479" s="6" t="str">
        <f>VLOOKUP(E3479,dicionario!$A$1:$C3878,3,0)</f>
        <v>capim-braquiária</v>
      </c>
    </row>
    <row r="3480">
      <c r="A3480" s="3">
        <v>45631.0</v>
      </c>
      <c r="B3480" s="4">
        <v>0.35208333333333336</v>
      </c>
      <c r="C3480" s="5" t="s">
        <v>90</v>
      </c>
      <c r="D3480" s="5" t="s">
        <v>907</v>
      </c>
      <c r="E3480" s="8" t="s">
        <v>298</v>
      </c>
      <c r="F3480" s="7"/>
      <c r="G3480" s="6" t="str">
        <f>VLOOKUP(E3480,dicionario!$A$1:$C3879,2,0)</f>
        <v>Alysicarpus vaginalis</v>
      </c>
      <c r="H3480" s="6" t="str">
        <f>VLOOKUP(E3480,dicionario!$A$1:$C3879,3,0)</f>
        <v/>
      </c>
    </row>
    <row r="3481">
      <c r="A3481" s="3">
        <v>45631.0</v>
      </c>
      <c r="B3481" s="4">
        <v>0.35208333333333336</v>
      </c>
      <c r="C3481" s="5" t="s">
        <v>90</v>
      </c>
      <c r="D3481" s="5" t="s">
        <v>907</v>
      </c>
      <c r="E3481" s="6" t="s">
        <v>53</v>
      </c>
      <c r="F3481" s="7" t="s">
        <v>54</v>
      </c>
      <c r="G3481" s="6" t="str">
        <f>VLOOKUP(E3481,dicionario!$A$1:$C3880,2,0)</f>
        <v>Turnera subulata</v>
      </c>
      <c r="H3481" s="6" t="str">
        <f>VLOOKUP(E3481,dicionario!$A$1:$C3880,3,0)</f>
        <v>xanana</v>
      </c>
    </row>
    <row r="3482">
      <c r="A3482" s="3">
        <v>45631.0</v>
      </c>
      <c r="B3482" s="4">
        <v>0.35208333333333336</v>
      </c>
      <c r="C3482" s="5" t="s">
        <v>90</v>
      </c>
      <c r="D3482" s="5" t="s">
        <v>907</v>
      </c>
      <c r="E3482" s="8" t="s">
        <v>719</v>
      </c>
      <c r="F3482" s="5" t="s">
        <v>720</v>
      </c>
      <c r="G3482" s="6" t="str">
        <f>VLOOKUP(E3482,dicionario!$A$1:$C3881,2,0)</f>
        <v>Dirinaria</v>
      </c>
      <c r="H3482" s="6" t="str">
        <f>VLOOKUP(E3482,dicionario!$A$1:$C3881,3,0)</f>
        <v>líquen-crostoso</v>
      </c>
    </row>
    <row r="3483">
      <c r="A3483" s="3">
        <v>45631.0</v>
      </c>
      <c r="B3483" s="4">
        <v>0.35208333333333336</v>
      </c>
      <c r="C3483" s="5" t="s">
        <v>90</v>
      </c>
      <c r="D3483" s="5" t="s">
        <v>907</v>
      </c>
      <c r="E3483" s="8" t="s">
        <v>712</v>
      </c>
      <c r="F3483" s="5" t="s">
        <v>718</v>
      </c>
      <c r="G3483" s="6" t="str">
        <f>VLOOKUP(E3483,dicionario!$A$1:$C3882,2,0)</f>
        <v>Flavopunctelia soredica</v>
      </c>
      <c r="H3483" s="6" t="str">
        <f>VLOOKUP(E3483,dicionario!$A$1:$C3882,3,0)</f>
        <v>líquen-folioso</v>
      </c>
    </row>
    <row r="3484">
      <c r="A3484" s="3">
        <v>45631.0</v>
      </c>
      <c r="B3484" s="4">
        <v>0.35208333333333336</v>
      </c>
      <c r="C3484" s="5" t="s">
        <v>90</v>
      </c>
      <c r="D3484" s="5" t="s">
        <v>907</v>
      </c>
      <c r="E3484" s="8" t="s">
        <v>107</v>
      </c>
      <c r="F3484" s="5" t="s">
        <v>108</v>
      </c>
      <c r="G3484" s="6" t="str">
        <f>VLOOKUP(E3484,dicionario!$A$1:$C3883,2,0)</f>
        <v>Ramalina complanata</v>
      </c>
      <c r="H3484" s="6" t="str">
        <f>VLOOKUP(E3484,dicionario!$A$1:$C3883,3,0)</f>
        <v>ramalina</v>
      </c>
    </row>
    <row r="3485">
      <c r="A3485" s="3">
        <v>45631.0</v>
      </c>
      <c r="B3485" s="4">
        <v>0.3527777777777778</v>
      </c>
      <c r="C3485" s="5" t="s">
        <v>90</v>
      </c>
      <c r="D3485" s="5" t="s">
        <v>907</v>
      </c>
      <c r="E3485" s="6" t="s">
        <v>109</v>
      </c>
      <c r="F3485" s="5" t="s">
        <v>110</v>
      </c>
      <c r="G3485" s="6" t="str">
        <f>VLOOKUP(E3485,dicionario!$A$1:$C3884,2,0)</f>
        <v>Tillandsia stricta</v>
      </c>
      <c r="H3485" s="6" t="str">
        <f>VLOOKUP(E3485,dicionario!$A$1:$C3884,3,0)</f>
        <v>cravo-do-mato</v>
      </c>
    </row>
    <row r="3486">
      <c r="A3486" s="3">
        <v>45631.0</v>
      </c>
      <c r="B3486" s="4">
        <v>0.3527777777777778</v>
      </c>
      <c r="C3486" s="5" t="s">
        <v>90</v>
      </c>
      <c r="D3486" s="5" t="s">
        <v>907</v>
      </c>
      <c r="E3486" s="6" t="s">
        <v>113</v>
      </c>
      <c r="F3486" s="5" t="s">
        <v>114</v>
      </c>
      <c r="G3486" s="6" t="str">
        <f>VLOOKUP(E3486,dicionario!$A$1:$C3885,2,0)</f>
        <v>Columbina talpacoti</v>
      </c>
      <c r="H3486" s="6" t="str">
        <f>VLOOKUP(E3486,dicionario!$A$1:$C3885,3,0)</f>
        <v>rolinha-roxa</v>
      </c>
    </row>
    <row r="3487">
      <c r="A3487" s="3">
        <v>45631.0</v>
      </c>
      <c r="B3487" s="4">
        <v>0.3527777777777778</v>
      </c>
      <c r="C3487" s="5" t="s">
        <v>90</v>
      </c>
      <c r="D3487" s="5" t="s">
        <v>907</v>
      </c>
      <c r="E3487" s="9" t="s">
        <v>22</v>
      </c>
      <c r="F3487" s="5" t="s">
        <v>97</v>
      </c>
      <c r="G3487" s="6" t="str">
        <f>VLOOKUP(E3487,dicionario!$A$1:$C3886,2,0)</f>
        <v>Zenaida auriculata</v>
      </c>
      <c r="H3487" s="6" t="str">
        <f>VLOOKUP(E3487,dicionario!$A$1:$C3886,3,0)</f>
        <v>pomba-de-bando; avoante</v>
      </c>
    </row>
    <row r="3488">
      <c r="A3488" s="3">
        <v>45631.0</v>
      </c>
      <c r="B3488" s="4">
        <v>0.3527777777777778</v>
      </c>
      <c r="C3488" s="5" t="s">
        <v>90</v>
      </c>
      <c r="D3488" s="5" t="s">
        <v>907</v>
      </c>
      <c r="E3488" s="8" t="s">
        <v>752</v>
      </c>
      <c r="F3488" s="5" t="s">
        <v>969</v>
      </c>
      <c r="G3488" s="6" t="str">
        <f>VLOOKUP(E3488,dicionario!$A$1:$C3887,2,0)</f>
        <v>#N/A</v>
      </c>
      <c r="H3488" s="6" t="str">
        <f>VLOOKUP(E3488,dicionario!$A$1:$C3887,3,0)</f>
        <v>#N/A</v>
      </c>
    </row>
    <row r="3489">
      <c r="A3489" s="3">
        <v>45631.0</v>
      </c>
      <c r="B3489" s="4">
        <v>0.3527777777777778</v>
      </c>
      <c r="C3489" s="5" t="s">
        <v>90</v>
      </c>
      <c r="D3489" s="5" t="s">
        <v>907</v>
      </c>
      <c r="E3489" s="6" t="s">
        <v>163</v>
      </c>
      <c r="F3489" s="5" t="s">
        <v>164</v>
      </c>
      <c r="G3489" s="6" t="str">
        <f>VLOOKUP(E3489,dicionario!$A$1:$C3888,2,0)</f>
        <v>Coragyps atratus</v>
      </c>
      <c r="H3489" s="6" t="str">
        <f>VLOOKUP(E3489,dicionario!$A$1:$C3888,3,0)</f>
        <v>urubu-de-cabeça-preta</v>
      </c>
    </row>
    <row r="3490">
      <c r="A3490" s="3">
        <v>45631.0</v>
      </c>
      <c r="B3490" s="4">
        <v>0.35347222222222224</v>
      </c>
      <c r="C3490" s="5" t="s">
        <v>90</v>
      </c>
      <c r="D3490" s="5" t="s">
        <v>907</v>
      </c>
      <c r="E3490" s="6" t="s">
        <v>292</v>
      </c>
      <c r="F3490" s="5" t="s">
        <v>293</v>
      </c>
      <c r="G3490" s="6" t="str">
        <f>VLOOKUP(E3490,dicionario!$A$1:$C3889,2,0)</f>
        <v>Ascia monuste</v>
      </c>
      <c r="H3490" s="6" t="str">
        <f>VLOOKUP(E3490,dicionario!$A$1:$C3889,3,0)</f>
        <v>borboleta-da-couve</v>
      </c>
    </row>
    <row r="3491">
      <c r="A3491" s="3">
        <v>45631.0</v>
      </c>
      <c r="B3491" s="4">
        <v>0.35347222222222224</v>
      </c>
      <c r="C3491" s="5" t="s">
        <v>90</v>
      </c>
      <c r="D3491" s="5" t="s">
        <v>907</v>
      </c>
      <c r="E3491" s="6" t="s">
        <v>381</v>
      </c>
      <c r="F3491" s="5" t="s">
        <v>382</v>
      </c>
      <c r="G3491" s="6" t="str">
        <f>VLOOKUP(E3491,dicionario!$A$1:$C3890,2,0)</f>
        <v>Pseudomyrmex</v>
      </c>
      <c r="H3491" s="6" t="str">
        <f>VLOOKUP(E3491,dicionario!$A$1:$C3890,3,0)</f>
        <v>maria-magra</v>
      </c>
    </row>
    <row r="3492">
      <c r="A3492" s="3">
        <v>45631.0</v>
      </c>
      <c r="B3492" s="4">
        <v>0.3541666666666667</v>
      </c>
      <c r="C3492" s="5" t="s">
        <v>90</v>
      </c>
      <c r="D3492" s="5" t="s">
        <v>907</v>
      </c>
      <c r="E3492" s="8" t="s">
        <v>572</v>
      </c>
      <c r="F3492" s="5" t="s">
        <v>573</v>
      </c>
      <c r="G3492" s="6" t="str">
        <f>VLOOKUP(E3492,dicionario!$A$1:$C3891,2,0)</f>
        <v>#N/A</v>
      </c>
      <c r="H3492" s="6" t="str">
        <f>VLOOKUP(E3492,dicionario!$A$1:$C3891,3,0)</f>
        <v>#N/A</v>
      </c>
    </row>
    <row r="3493">
      <c r="A3493" s="3">
        <v>45631.0</v>
      </c>
      <c r="B3493" s="4">
        <v>0.3541666666666667</v>
      </c>
      <c r="C3493" s="5" t="s">
        <v>90</v>
      </c>
      <c r="D3493" s="5" t="s">
        <v>907</v>
      </c>
      <c r="E3493" s="8" t="s">
        <v>202</v>
      </c>
      <c r="F3493" s="5" t="s">
        <v>203</v>
      </c>
      <c r="G3493" s="6" t="str">
        <f>VLOOKUP(E3493,dicionario!$A$1:$C3892,2,0)</f>
        <v>Dysdercus</v>
      </c>
      <c r="H3493" s="6" t="str">
        <f>VLOOKUP(E3493,dicionario!$A$1:$C3892,3,0)</f>
        <v>percevejo-manchador</v>
      </c>
    </row>
    <row r="3494">
      <c r="A3494" s="3">
        <v>45631.0</v>
      </c>
      <c r="B3494" s="4">
        <v>0.3548611111111111</v>
      </c>
      <c r="C3494" s="5" t="s">
        <v>90</v>
      </c>
      <c r="D3494" s="5" t="s">
        <v>907</v>
      </c>
      <c r="E3494" s="6" t="s">
        <v>111</v>
      </c>
      <c r="F3494" s="7" t="s">
        <v>112</v>
      </c>
      <c r="G3494" s="6" t="str">
        <f>VLOOKUP(E3494,dicionario!$A$1:$C3893,2,0)</f>
        <v>Trigona spinipes</v>
      </c>
      <c r="H3494" s="6" t="str">
        <f>VLOOKUP(E3494,dicionario!$A$1:$C3893,3,0)</f>
        <v>abelha-cachorro</v>
      </c>
    </row>
    <row r="3495">
      <c r="A3495" s="3">
        <v>45631.0</v>
      </c>
      <c r="B3495" s="4">
        <v>0.3548611111111111</v>
      </c>
      <c r="C3495" s="5" t="s">
        <v>90</v>
      </c>
      <c r="D3495" s="5" t="s">
        <v>907</v>
      </c>
      <c r="E3495" s="6" t="s">
        <v>65</v>
      </c>
      <c r="F3495" s="5" t="s">
        <v>66</v>
      </c>
      <c r="G3495" s="6" t="str">
        <f>VLOOKUP(E3495,dicionario!$A$1:$C3894,2,0)</f>
        <v>Pitangus sulphutarus</v>
      </c>
      <c r="H3495" s="6" t="str">
        <f>VLOOKUP(E3495,dicionario!$A$1:$C3894,3,0)</f>
        <v>bem-te-vi</v>
      </c>
    </row>
    <row r="3496">
      <c r="A3496" s="3">
        <v>45631.0</v>
      </c>
      <c r="B3496" s="4">
        <v>0.3548611111111111</v>
      </c>
      <c r="C3496" s="5" t="s">
        <v>90</v>
      </c>
      <c r="D3496" s="5" t="s">
        <v>907</v>
      </c>
      <c r="E3496" s="20" t="s">
        <v>676</v>
      </c>
      <c r="F3496" s="7" t="s">
        <v>677</v>
      </c>
      <c r="G3496" s="6" t="str">
        <f>VLOOKUP(E3496,dicionario!$A$1:$C3895,2,0)</f>
        <v>Zornia latifolia</v>
      </c>
      <c r="H3496" s="6" t="str">
        <f>VLOOKUP(E3496,dicionario!$A$1:$C3895,3,0)</f>
        <v>arrozinho-do-campo</v>
      </c>
    </row>
    <row r="3497">
      <c r="A3497" s="3">
        <v>45631.0</v>
      </c>
      <c r="B3497" s="4">
        <v>0.3548611111111111</v>
      </c>
      <c r="C3497" s="5" t="s">
        <v>90</v>
      </c>
      <c r="D3497" s="5" t="s">
        <v>907</v>
      </c>
      <c r="E3497" s="8" t="s">
        <v>358</v>
      </c>
      <c r="F3497" s="5" t="s">
        <v>359</v>
      </c>
      <c r="G3497" s="6" t="str">
        <f>VLOOKUP(E3497,dicionario!$A$1:$C3896,2,0)</f>
        <v>Sida</v>
      </c>
      <c r="H3497" s="6" t="str">
        <f>VLOOKUP(E3497,dicionario!$A$1:$C3896,3,0)</f>
        <v/>
      </c>
    </row>
    <row r="3498">
      <c r="A3498" s="3">
        <v>45631.0</v>
      </c>
      <c r="B3498" s="4">
        <v>0.35555555555555557</v>
      </c>
      <c r="C3498" s="5" t="s">
        <v>90</v>
      </c>
      <c r="D3498" s="5" t="s">
        <v>907</v>
      </c>
      <c r="E3498" s="8" t="s">
        <v>517</v>
      </c>
      <c r="F3498" s="7" t="s">
        <v>518</v>
      </c>
      <c r="G3498" s="6" t="str">
        <f>VLOOKUP(E3498,dicionario!$A$1:$C3897,2,0)</f>
        <v>Evolvulus nummularius</v>
      </c>
      <c r="H3498" s="6" t="str">
        <f>VLOOKUP(E3498,dicionario!$A$1:$C3897,3,0)</f>
        <v/>
      </c>
    </row>
    <row r="3499">
      <c r="A3499" s="3">
        <v>45631.0</v>
      </c>
      <c r="B3499" s="4">
        <v>0.35625</v>
      </c>
      <c r="C3499" s="5" t="s">
        <v>90</v>
      </c>
      <c r="D3499" s="5" t="s">
        <v>907</v>
      </c>
      <c r="E3499" s="8" t="s">
        <v>38</v>
      </c>
      <c r="F3499" s="5" t="s">
        <v>39</v>
      </c>
      <c r="G3499" s="6" t="str">
        <f>VLOOKUP(E3499,dicionario!$A$1:$C3898,2,0)</f>
        <v>Troglodytes musculus</v>
      </c>
      <c r="H3499" s="6" t="str">
        <f>VLOOKUP(E3499,dicionario!$A$1:$C3898,3,0)</f>
        <v>curruíra</v>
      </c>
    </row>
    <row r="3500">
      <c r="A3500" s="3">
        <v>45631.0</v>
      </c>
      <c r="B3500" s="4">
        <v>0.35694444444444445</v>
      </c>
      <c r="C3500" s="5" t="s">
        <v>90</v>
      </c>
      <c r="D3500" s="5" t="s">
        <v>907</v>
      </c>
      <c r="E3500" s="6" t="s">
        <v>225</v>
      </c>
      <c r="F3500" s="5" t="s">
        <v>226</v>
      </c>
      <c r="G3500" s="6" t="str">
        <f>VLOOKUP(E3500,dicionario!$A$1:$C3899,2,0)</f>
        <v>Passer domesticus</v>
      </c>
      <c r="H3500" s="6" t="str">
        <f>VLOOKUP(E3500,dicionario!$A$1:$C3899,3,0)</f>
        <v>pardal</v>
      </c>
    </row>
    <row r="3501">
      <c r="A3501" s="3">
        <v>45631.0</v>
      </c>
      <c r="B3501" s="4">
        <v>0.35694444444444445</v>
      </c>
      <c r="C3501" s="5" t="s">
        <v>90</v>
      </c>
      <c r="D3501" s="5" t="s">
        <v>907</v>
      </c>
      <c r="E3501" s="6" t="s">
        <v>88</v>
      </c>
      <c r="F3501" s="5" t="s">
        <v>89</v>
      </c>
      <c r="G3501" s="6" t="str">
        <f>VLOOKUP(E3501,dicionario!$A$1:$C3900,2,0)</f>
        <v>Tyrannus melancolichus</v>
      </c>
      <c r="H3501" s="6" t="str">
        <f>VLOOKUP(E3501,dicionario!$A$1:$C3900,3,0)</f>
        <v>suiriri</v>
      </c>
    </row>
    <row r="3502">
      <c r="A3502" s="3">
        <v>45631.0</v>
      </c>
      <c r="B3502" s="4">
        <v>0.35694444444444445</v>
      </c>
      <c r="C3502" s="5" t="s">
        <v>90</v>
      </c>
      <c r="D3502" s="5" t="s">
        <v>907</v>
      </c>
      <c r="E3502" s="6" t="s">
        <v>213</v>
      </c>
      <c r="F3502" s="7" t="s">
        <v>214</v>
      </c>
      <c r="G3502" s="6" t="str">
        <f>VLOOKUP(E3502,dicionario!$A$1:$C3901,2,0)</f>
        <v>Myiozetetes similis</v>
      </c>
      <c r="H3502" s="6" t="str">
        <f>VLOOKUP(E3502,dicionario!$A$1:$C3901,3,0)</f>
        <v>bentevizinho-de-penacho-vermelho</v>
      </c>
    </row>
    <row r="3503">
      <c r="A3503" s="3">
        <v>45631.0</v>
      </c>
      <c r="B3503" s="4">
        <v>0.35694444444444445</v>
      </c>
      <c r="C3503" s="5" t="s">
        <v>90</v>
      </c>
      <c r="D3503" s="5" t="s">
        <v>907</v>
      </c>
      <c r="E3503" s="6" t="s">
        <v>14</v>
      </c>
      <c r="F3503" s="5" t="s">
        <v>15</v>
      </c>
      <c r="G3503" s="6" t="str">
        <f>VLOOKUP(E3503,dicionario!$A$1:$C3902,2,0)</f>
        <v>Spermacoce verticillata</v>
      </c>
      <c r="H3503" s="6" t="str">
        <f>VLOOKUP(E3503,dicionario!$A$1:$C3902,3,0)</f>
        <v>vassourinha-de-botão</v>
      </c>
    </row>
    <row r="3504">
      <c r="A3504" s="3">
        <v>45631.0</v>
      </c>
      <c r="B3504" s="4">
        <v>0.3576388888888889</v>
      </c>
      <c r="C3504" s="5" t="s">
        <v>90</v>
      </c>
      <c r="D3504" s="5" t="s">
        <v>907</v>
      </c>
      <c r="E3504" s="6" t="s">
        <v>191</v>
      </c>
      <c r="F3504" s="5" t="s">
        <v>192</v>
      </c>
      <c r="G3504" s="6" t="str">
        <f>VLOOKUP(E3504,dicionario!$A$1:$C3903,2,0)</f>
        <v>Patagioenas picazuro</v>
      </c>
      <c r="H3504" s="6" t="str">
        <f>VLOOKUP(E3504,dicionario!$A$1:$C3903,3,0)</f>
        <v>asa-branca; pomba-asa-branca; pocaçu</v>
      </c>
    </row>
    <row r="3505">
      <c r="A3505" s="3">
        <v>45631.0</v>
      </c>
      <c r="B3505" s="4">
        <v>0.35833333333333334</v>
      </c>
      <c r="C3505" s="5" t="s">
        <v>90</v>
      </c>
      <c r="D3505" s="5" t="s">
        <v>907</v>
      </c>
      <c r="E3505" s="8" t="s">
        <v>970</v>
      </c>
      <c r="F3505" s="5" t="s">
        <v>603</v>
      </c>
      <c r="G3505" s="6" t="str">
        <f>VLOOKUP(E3505,dicionario!$A$1:$C3904,2,0)</f>
        <v>#N/A</v>
      </c>
      <c r="H3505" s="6" t="str">
        <f>VLOOKUP(E3505,dicionario!$A$1:$C3904,3,0)</f>
        <v>#N/A</v>
      </c>
    </row>
    <row r="3506">
      <c r="A3506" s="3">
        <v>45631.0</v>
      </c>
      <c r="B3506" s="4">
        <v>0.3590277777777778</v>
      </c>
      <c r="C3506" s="5" t="s">
        <v>90</v>
      </c>
      <c r="D3506" s="5" t="s">
        <v>907</v>
      </c>
      <c r="E3506" s="8" t="s">
        <v>46</v>
      </c>
      <c r="F3506" s="5" t="s">
        <v>47</v>
      </c>
      <c r="G3506" s="6" t="str">
        <f>VLOOKUP(E3506,dicionario!$A$1:$C3905,2,0)</f>
        <v>Chionomesa fimbriata</v>
      </c>
      <c r="H3506" s="6" t="str">
        <f>VLOOKUP(E3506,dicionario!$A$1:$C3905,3,0)</f>
        <v>beija-flor-de-garganta-verde</v>
      </c>
    </row>
    <row r="3507">
      <c r="A3507" s="3">
        <v>45631.0</v>
      </c>
      <c r="B3507" s="4">
        <v>0.3597222222222222</v>
      </c>
      <c r="C3507" s="5" t="s">
        <v>90</v>
      </c>
      <c r="D3507" s="5" t="s">
        <v>907</v>
      </c>
      <c r="E3507" s="8" t="s">
        <v>57</v>
      </c>
      <c r="F3507" s="5" t="s">
        <v>58</v>
      </c>
      <c r="G3507" s="6" t="str">
        <f>VLOOKUP(E3507,dicionario!$A$1:$C3906,2,0)</f>
        <v>Juliformia</v>
      </c>
      <c r="H3507" s="6" t="str">
        <f>VLOOKUP(E3507,dicionario!$A$1:$C3906,3,0)</f>
        <v>gongolo; maria-café</v>
      </c>
    </row>
    <row r="3508">
      <c r="A3508" s="3">
        <v>45638.0</v>
      </c>
      <c r="B3508" s="4">
        <v>0.25833333333333336</v>
      </c>
      <c r="C3508" s="5" t="s">
        <v>90</v>
      </c>
      <c r="D3508" s="5" t="s">
        <v>971</v>
      </c>
      <c r="E3508" s="6" t="s">
        <v>498</v>
      </c>
      <c r="F3508" s="5" t="s">
        <v>499</v>
      </c>
      <c r="G3508" s="6" t="str">
        <f>VLOOKUP(E3508,dicionario!$A$1:$C3907,2,0)</f>
        <v>Brachiaria decumbens</v>
      </c>
      <c r="H3508" s="6" t="str">
        <f>VLOOKUP(E3508,dicionario!$A$1:$C3907,3,0)</f>
        <v>capim-braquiária</v>
      </c>
    </row>
    <row r="3509">
      <c r="A3509" s="50">
        <v>45638.0</v>
      </c>
      <c r="B3509" s="4">
        <v>0.25833333333333336</v>
      </c>
      <c r="C3509" s="5" t="s">
        <v>90</v>
      </c>
      <c r="D3509" s="5" t="s">
        <v>971</v>
      </c>
      <c r="E3509" s="6" t="s">
        <v>111</v>
      </c>
      <c r="F3509" s="7" t="s">
        <v>112</v>
      </c>
      <c r="G3509" s="6" t="str">
        <f>VLOOKUP(E3509,dicionario!$A$1:$C3908,2,0)</f>
        <v>Trigona spinipes</v>
      </c>
      <c r="H3509" s="6" t="str">
        <f>VLOOKUP(E3509,dicionario!$A$1:$C3908,3,0)</f>
        <v>abelha-cachorro</v>
      </c>
    </row>
    <row r="3510">
      <c r="A3510" s="3">
        <v>45638.0</v>
      </c>
      <c r="B3510" s="45">
        <v>0.25833333333333336</v>
      </c>
      <c r="C3510" s="5" t="s">
        <v>90</v>
      </c>
      <c r="D3510" s="5" t="s">
        <v>971</v>
      </c>
      <c r="E3510" s="6" t="s">
        <v>245</v>
      </c>
      <c r="F3510" s="7" t="s">
        <v>246</v>
      </c>
      <c r="G3510" s="6" t="str">
        <f>VLOOKUP(E3510,dicionario!$A$1:$C3909,2,0)</f>
        <v>Hemiargus hanno</v>
      </c>
      <c r="H3510" s="6" t="str">
        <f>VLOOKUP(E3510,dicionario!$A$1:$C3909,3,0)</f>
        <v>borboleta-azulzinha-do-trevo</v>
      </c>
    </row>
    <row r="3511">
      <c r="A3511" s="3">
        <v>45638.0</v>
      </c>
      <c r="B3511" s="45">
        <v>0.25833333333333336</v>
      </c>
      <c r="C3511" s="5" t="s">
        <v>90</v>
      </c>
      <c r="D3511" s="5" t="s">
        <v>971</v>
      </c>
      <c r="E3511" s="8" t="s">
        <v>12</v>
      </c>
      <c r="F3511" s="7" t="s">
        <v>13</v>
      </c>
      <c r="G3511" s="6" t="str">
        <f>VLOOKUP(E3511,dicionario!$A$1:$C3910,2,0)</f>
        <v>Eulaema nigrita</v>
      </c>
      <c r="H3511" s="6" t="str">
        <f>VLOOKUP(E3511,dicionario!$A$1:$C3910,3,0)</f>
        <v>abelha-de-orquídea</v>
      </c>
    </row>
    <row r="3512">
      <c r="A3512" s="3">
        <v>45638.0</v>
      </c>
      <c r="B3512" s="45">
        <v>0.25833333333333336</v>
      </c>
      <c r="C3512" s="5" t="s">
        <v>90</v>
      </c>
      <c r="D3512" s="5" t="s">
        <v>971</v>
      </c>
      <c r="E3512" s="8" t="s">
        <v>972</v>
      </c>
      <c r="F3512" s="5" t="s">
        <v>973</v>
      </c>
      <c r="G3512" s="6" t="str">
        <f>VLOOKUP(E3512,dicionario!$A$1:$C3911,2,0)</f>
        <v>Colaptes campestris</v>
      </c>
      <c r="H3512" s="6" t="str">
        <f>VLOOKUP(E3512,dicionario!$A$1:$C3911,3,0)</f>
        <v>pica-pau-do-campo</v>
      </c>
    </row>
    <row r="3513">
      <c r="A3513" s="3">
        <v>45638.0</v>
      </c>
      <c r="B3513" s="45">
        <v>0.25833333333333336</v>
      </c>
      <c r="C3513" s="5" t="s">
        <v>90</v>
      </c>
      <c r="D3513" s="5" t="s">
        <v>971</v>
      </c>
      <c r="E3513" s="8" t="s">
        <v>298</v>
      </c>
      <c r="F3513" s="7"/>
      <c r="G3513" s="6" t="str">
        <f>VLOOKUP(E3513,dicionario!$A$1:$C3912,2,0)</f>
        <v>Alysicarpus vaginalis</v>
      </c>
      <c r="H3513" s="6" t="str">
        <f>VLOOKUP(E3513,dicionario!$A$1:$C3912,3,0)</f>
        <v/>
      </c>
    </row>
    <row r="3514">
      <c r="A3514" s="3">
        <v>45638.0</v>
      </c>
      <c r="B3514" s="45">
        <v>0.2590277777777778</v>
      </c>
      <c r="C3514" s="5" t="s">
        <v>90</v>
      </c>
      <c r="D3514" s="5" t="s">
        <v>971</v>
      </c>
      <c r="E3514" s="28" t="s">
        <v>560</v>
      </c>
      <c r="F3514" s="5" t="s">
        <v>561</v>
      </c>
      <c r="G3514" s="6" t="str">
        <f>VLOOKUP(E3514,dicionario!$A$1:$C3913,2,0)</f>
        <v>Megarynchus pitangua</v>
      </c>
      <c r="H3514" s="6" t="str">
        <f>VLOOKUP(E3514,dicionario!$A$1:$C3913,3,0)</f>
        <v>neinei</v>
      </c>
    </row>
    <row r="3515">
      <c r="A3515" s="3">
        <v>45638.0</v>
      </c>
      <c r="B3515" s="45">
        <v>0.2590277777777778</v>
      </c>
      <c r="C3515" s="5" t="s">
        <v>90</v>
      </c>
      <c r="D3515" s="5" t="s">
        <v>971</v>
      </c>
      <c r="E3515" s="6" t="s">
        <v>206</v>
      </c>
      <c r="F3515" s="5" t="s">
        <v>968</v>
      </c>
      <c r="G3515" s="6" t="str">
        <f>VLOOKUP(E3515,dicionario!$A$1:$C3914,2,0)</f>
        <v>Falco sparverius</v>
      </c>
      <c r="H3515" s="6" t="str">
        <f>VLOOKUP(E3515,dicionario!$A$1:$C3914,3,0)</f>
        <v>quiriquiri</v>
      </c>
    </row>
    <row r="3516">
      <c r="A3516" s="3">
        <v>45638.0</v>
      </c>
      <c r="B3516" s="45">
        <v>0.2590277777777778</v>
      </c>
      <c r="C3516" s="5" t="s">
        <v>90</v>
      </c>
      <c r="D3516" s="5" t="s">
        <v>971</v>
      </c>
      <c r="E3516" s="6" t="s">
        <v>88</v>
      </c>
      <c r="F3516" s="5" t="s">
        <v>89</v>
      </c>
      <c r="G3516" s="6" t="str">
        <f>VLOOKUP(E3516,dicionario!$A$1:$C3915,2,0)</f>
        <v>Tyrannus melancolichus</v>
      </c>
      <c r="H3516" s="6" t="str">
        <f>VLOOKUP(E3516,dicionario!$A$1:$C3915,3,0)</f>
        <v>suiriri</v>
      </c>
    </row>
    <row r="3517">
      <c r="A3517" s="3">
        <v>45638.0</v>
      </c>
      <c r="B3517" s="45">
        <v>0.2590277777777778</v>
      </c>
      <c r="C3517" s="5" t="s">
        <v>90</v>
      </c>
      <c r="D3517" s="5" t="s">
        <v>971</v>
      </c>
      <c r="E3517" s="6" t="s">
        <v>113</v>
      </c>
      <c r="F3517" s="5" t="s">
        <v>114</v>
      </c>
      <c r="G3517" s="6" t="str">
        <f>VLOOKUP(E3517,dicionario!$A$1:$C3916,2,0)</f>
        <v>Columbina talpacoti</v>
      </c>
      <c r="H3517" s="6" t="str">
        <f>VLOOKUP(E3517,dicionario!$A$1:$C3916,3,0)</f>
        <v>rolinha-roxa</v>
      </c>
    </row>
    <row r="3518">
      <c r="A3518" s="3">
        <v>45638.0</v>
      </c>
      <c r="B3518" s="45">
        <v>0.2590277777777778</v>
      </c>
      <c r="C3518" s="5" t="s">
        <v>90</v>
      </c>
      <c r="D3518" s="5" t="s">
        <v>971</v>
      </c>
      <c r="E3518" s="8" t="s">
        <v>503</v>
      </c>
      <c r="F3518" s="5" t="s">
        <v>414</v>
      </c>
      <c r="G3518" s="6" t="str">
        <f>VLOOKUP(E3518,dicionario!$A$1:$C3917,2,0)</f>
        <v>Orphulella punctata</v>
      </c>
      <c r="H3518" s="6" t="str">
        <f>VLOOKUP(E3518,dicionario!$A$1:$C3917,3,0)</f>
        <v>gafanhotinho</v>
      </c>
    </row>
    <row r="3519">
      <c r="A3519" s="3">
        <v>45638.0</v>
      </c>
      <c r="B3519" s="45">
        <v>0.2590277777777778</v>
      </c>
      <c r="C3519" s="5" t="s">
        <v>90</v>
      </c>
      <c r="D3519" s="5" t="s">
        <v>971</v>
      </c>
      <c r="E3519" s="6" t="s">
        <v>519</v>
      </c>
      <c r="F3519" s="5" t="s">
        <v>925</v>
      </c>
      <c r="G3519" s="6" t="str">
        <f>VLOOKUP(E3519,dicionario!$A$1:$C3918,2,0)</f>
        <v>Drosophila melanogaster</v>
      </c>
      <c r="H3519" s="6" t="str">
        <f>VLOOKUP(E3519,dicionario!$A$1:$C3918,3,0)</f>
        <v>mitinga/mosca-da-fruta</v>
      </c>
    </row>
    <row r="3520">
      <c r="A3520" s="3">
        <v>45638.0</v>
      </c>
      <c r="B3520" s="45">
        <v>0.2590277777777778</v>
      </c>
      <c r="C3520" s="5" t="s">
        <v>90</v>
      </c>
      <c r="D3520" s="5" t="s">
        <v>971</v>
      </c>
      <c r="E3520" s="8" t="s">
        <v>107</v>
      </c>
      <c r="F3520" s="5" t="s">
        <v>108</v>
      </c>
      <c r="G3520" s="6" t="str">
        <f>VLOOKUP(E3520,dicionario!$A$1:$C3919,2,0)</f>
        <v>Ramalina complanata</v>
      </c>
      <c r="H3520" s="6" t="str">
        <f>VLOOKUP(E3520,dicionario!$A$1:$C3919,3,0)</f>
        <v>ramalina</v>
      </c>
    </row>
    <row r="3521">
      <c r="A3521" s="3">
        <v>45638.0</v>
      </c>
      <c r="B3521" s="45">
        <v>0.2590277777777778</v>
      </c>
      <c r="C3521" s="5" t="s">
        <v>90</v>
      </c>
      <c r="D3521" s="5" t="s">
        <v>971</v>
      </c>
      <c r="E3521" s="6" t="s">
        <v>109</v>
      </c>
      <c r="F3521" s="5" t="s">
        <v>110</v>
      </c>
      <c r="G3521" s="6" t="str">
        <f>VLOOKUP(E3521,dicionario!$A$1:$C3920,2,0)</f>
        <v>Tillandsia stricta</v>
      </c>
      <c r="H3521" s="6" t="str">
        <f>VLOOKUP(E3521,dicionario!$A$1:$C3920,3,0)</f>
        <v>cravo-do-mato</v>
      </c>
    </row>
    <row r="3522">
      <c r="A3522" s="3">
        <v>45638.0</v>
      </c>
      <c r="B3522" s="45">
        <v>0.25972222222222224</v>
      </c>
      <c r="C3522" s="5" t="s">
        <v>90</v>
      </c>
      <c r="D3522" s="5" t="s">
        <v>971</v>
      </c>
      <c r="E3522" s="8" t="s">
        <v>712</v>
      </c>
      <c r="F3522" s="5" t="s">
        <v>974</v>
      </c>
      <c r="G3522" s="6" t="str">
        <f>VLOOKUP(E3522,dicionario!$A$1:$C3921,2,0)</f>
        <v>Flavopunctelia soredica</v>
      </c>
      <c r="H3522" s="6" t="str">
        <f>VLOOKUP(E3522,dicionario!$A$1:$C3921,3,0)</f>
        <v>líquen-folioso</v>
      </c>
    </row>
    <row r="3523">
      <c r="A3523" s="3">
        <v>45638.0</v>
      </c>
      <c r="B3523" s="45">
        <v>0.25972222222222224</v>
      </c>
      <c r="C3523" s="5" t="s">
        <v>90</v>
      </c>
      <c r="D3523" s="5" t="s">
        <v>971</v>
      </c>
      <c r="E3523" s="8" t="s">
        <v>719</v>
      </c>
      <c r="F3523" s="5" t="s">
        <v>975</v>
      </c>
      <c r="G3523" s="6" t="str">
        <f>VLOOKUP(E3523,dicionario!$A$1:$C3922,2,0)</f>
        <v>Dirinaria</v>
      </c>
      <c r="H3523" s="6" t="str">
        <f>VLOOKUP(E3523,dicionario!$A$1:$C3922,3,0)</f>
        <v>líquen-crostoso</v>
      </c>
    </row>
    <row r="3524">
      <c r="A3524" s="3">
        <v>45638.0</v>
      </c>
      <c r="B3524" s="45">
        <v>0.25972222222222224</v>
      </c>
      <c r="C3524" s="5" t="s">
        <v>90</v>
      </c>
      <c r="D3524" s="5" t="s">
        <v>971</v>
      </c>
      <c r="E3524" s="6" t="s">
        <v>43</v>
      </c>
      <c r="F3524" s="5" t="s">
        <v>44</v>
      </c>
      <c r="G3524" s="6" t="str">
        <f>VLOOKUP(E3524,dicionario!$A$1:$C3923,2,0)</f>
        <v>Columba livia</v>
      </c>
      <c r="H3524" s="6" t="str">
        <f>VLOOKUP(E3524,dicionario!$A$1:$C3923,3,0)</f>
        <v>pombo-doméstico</v>
      </c>
    </row>
    <row r="3525">
      <c r="A3525" s="3">
        <v>45638.0</v>
      </c>
      <c r="B3525" s="45">
        <v>0.25972222222222224</v>
      </c>
      <c r="C3525" s="5" t="s">
        <v>90</v>
      </c>
      <c r="D3525" s="5" t="s">
        <v>971</v>
      </c>
      <c r="E3525" s="6" t="s">
        <v>20</v>
      </c>
      <c r="F3525" s="7" t="s">
        <v>21</v>
      </c>
      <c r="G3525" s="6" t="str">
        <f>VLOOKUP(E3525,dicionario!$A$1:$C3924,2,0)</f>
        <v>Sicalis flaveola</v>
      </c>
      <c r="H3525" s="6" t="str">
        <f>VLOOKUP(E3525,dicionario!$A$1:$C3924,3,0)</f>
        <v>canário-da-terra</v>
      </c>
    </row>
    <row r="3526">
      <c r="A3526" s="3">
        <v>45638.0</v>
      </c>
      <c r="B3526" s="4">
        <v>0.2604166666666667</v>
      </c>
      <c r="C3526" s="5" t="s">
        <v>90</v>
      </c>
      <c r="D3526" s="5" t="s">
        <v>971</v>
      </c>
      <c r="E3526" s="6" t="s">
        <v>135</v>
      </c>
      <c r="F3526" s="5" t="s">
        <v>136</v>
      </c>
      <c r="G3526" s="6" t="str">
        <f>VLOOKUP(E3526,dicionario!$A$1:$C3925,2,0)</f>
        <v>Tridax procumbens</v>
      </c>
      <c r="H3526" s="6" t="str">
        <f>VLOOKUP(E3526,dicionario!$A$1:$C3925,3,0)</f>
        <v>erva-de-touro</v>
      </c>
    </row>
    <row r="3527">
      <c r="A3527" s="3">
        <v>45638.0</v>
      </c>
      <c r="B3527" s="4">
        <v>0.2604166666666667</v>
      </c>
      <c r="C3527" s="5" t="s">
        <v>90</v>
      </c>
      <c r="D3527" s="5" t="s">
        <v>971</v>
      </c>
      <c r="E3527" s="8" t="s">
        <v>353</v>
      </c>
      <c r="F3527" s="5" t="s">
        <v>354</v>
      </c>
      <c r="G3527" s="6" t="str">
        <f>VLOOKUP(E3527,dicionario!$A$1:$C3926,2,0)</f>
        <v>Desmodium incanum</v>
      </c>
      <c r="H3527" s="6" t="str">
        <f>VLOOKUP(E3527,dicionario!$A$1:$C3926,3,0)</f>
        <v>pega-pega</v>
      </c>
    </row>
    <row r="3528">
      <c r="A3528" s="3">
        <v>45638.0</v>
      </c>
      <c r="B3528" s="4">
        <v>0.2604166666666667</v>
      </c>
      <c r="C3528" s="5" t="s">
        <v>90</v>
      </c>
      <c r="D3528" s="5" t="s">
        <v>971</v>
      </c>
      <c r="E3528" s="6" t="s">
        <v>53</v>
      </c>
      <c r="F3528" s="7" t="s">
        <v>54</v>
      </c>
      <c r="G3528" s="6" t="str">
        <f>VLOOKUP(E3528,dicionario!$A$1:$C3927,2,0)</f>
        <v>Turnera subulata</v>
      </c>
      <c r="H3528" s="6" t="str">
        <f>VLOOKUP(E3528,dicionario!$A$1:$C3927,3,0)</f>
        <v>xanana</v>
      </c>
    </row>
    <row r="3529">
      <c r="A3529" s="3">
        <v>45638.0</v>
      </c>
      <c r="B3529" s="4">
        <v>0.2604166666666667</v>
      </c>
      <c r="C3529" s="5" t="s">
        <v>90</v>
      </c>
      <c r="D3529" s="5" t="s">
        <v>971</v>
      </c>
      <c r="E3529" s="6" t="s">
        <v>163</v>
      </c>
      <c r="F3529" s="5" t="s">
        <v>164</v>
      </c>
      <c r="G3529" s="6" t="str">
        <f>VLOOKUP(E3529,dicionario!$A$1:$C3928,2,0)</f>
        <v>Coragyps atratus</v>
      </c>
      <c r="H3529" s="6" t="str">
        <f>VLOOKUP(E3529,dicionario!$A$1:$C3928,3,0)</f>
        <v>urubu-de-cabeça-preta</v>
      </c>
    </row>
    <row r="3530">
      <c r="A3530" s="3">
        <v>45638.0</v>
      </c>
      <c r="B3530" s="4">
        <v>0.2604166666666667</v>
      </c>
      <c r="C3530" s="5" t="s">
        <v>90</v>
      </c>
      <c r="D3530" s="5" t="s">
        <v>971</v>
      </c>
      <c r="E3530" s="30" t="s">
        <v>932</v>
      </c>
      <c r="F3530" s="31"/>
      <c r="G3530" s="6" t="str">
        <f>VLOOKUP(E3530,dicionario!$A$1:$C3929,2,0)</f>
        <v>#N/A</v>
      </c>
      <c r="H3530" s="6" t="str">
        <f>VLOOKUP(E3530,dicionario!$A$1:$C3929,3,0)</f>
        <v>#N/A</v>
      </c>
    </row>
    <row r="3531">
      <c r="A3531" s="3">
        <v>45638.0</v>
      </c>
      <c r="B3531" s="4">
        <v>0.2604166666666667</v>
      </c>
      <c r="C3531" s="5" t="s">
        <v>90</v>
      </c>
      <c r="D3531" s="5" t="s">
        <v>971</v>
      </c>
      <c r="E3531" s="6" t="s">
        <v>467</v>
      </c>
      <c r="F3531" s="5" t="s">
        <v>468</v>
      </c>
      <c r="G3531" s="6" t="str">
        <f>VLOOKUP(E3531,dicionario!$A$1:$C3930,2,0)</f>
        <v>Eleusine indica</v>
      </c>
      <c r="H3531" s="6" t="str">
        <f>VLOOKUP(E3531,dicionario!$A$1:$C3930,3,0)</f>
        <v>capim-pé-de-galinha</v>
      </c>
    </row>
    <row r="3532">
      <c r="A3532" s="3">
        <v>45638.0</v>
      </c>
      <c r="B3532" s="4">
        <v>0.2604166666666667</v>
      </c>
      <c r="C3532" s="5" t="s">
        <v>90</v>
      </c>
      <c r="D3532" s="5" t="s">
        <v>971</v>
      </c>
      <c r="E3532" s="9" t="s">
        <v>22</v>
      </c>
      <c r="F3532" s="5" t="s">
        <v>97</v>
      </c>
      <c r="G3532" s="6" t="str">
        <f>VLOOKUP(E3532,dicionario!$A$1:$C3931,2,0)</f>
        <v>Zenaida auriculata</v>
      </c>
      <c r="H3532" s="6" t="str">
        <f>VLOOKUP(E3532,dicionario!$A$1:$C3931,3,0)</f>
        <v>pomba-de-bando; avoante</v>
      </c>
    </row>
    <row r="3533">
      <c r="A3533" s="3">
        <v>45638.0</v>
      </c>
      <c r="B3533" s="4">
        <v>0.2604166666666667</v>
      </c>
      <c r="C3533" s="5" t="s">
        <v>90</v>
      </c>
      <c r="D3533" s="5" t="s">
        <v>971</v>
      </c>
      <c r="E3533" s="6" t="s">
        <v>65</v>
      </c>
      <c r="F3533" s="5" t="s">
        <v>66</v>
      </c>
      <c r="G3533" s="6" t="str">
        <f>VLOOKUP(E3533,dicionario!$A$1:$C3932,2,0)</f>
        <v>Pitangus sulphutarus</v>
      </c>
      <c r="H3533" s="6" t="str">
        <f>VLOOKUP(E3533,dicionario!$A$1:$C3932,3,0)</f>
        <v>bem-te-vi</v>
      </c>
    </row>
    <row r="3534">
      <c r="A3534" s="3">
        <v>45638.0</v>
      </c>
      <c r="B3534" s="4">
        <v>0.2611111111111111</v>
      </c>
      <c r="C3534" s="5" t="s">
        <v>90</v>
      </c>
      <c r="D3534" s="5" t="s">
        <v>971</v>
      </c>
      <c r="E3534" s="6" t="s">
        <v>93</v>
      </c>
      <c r="F3534" s="5" t="s">
        <v>570</v>
      </c>
      <c r="G3534" s="6" t="str">
        <f>VLOOKUP(E3534,dicionario!$A$1:$C3933,2,0)</f>
        <v>Thraupis sayaca</v>
      </c>
      <c r="H3534" s="6" t="str">
        <f>VLOOKUP(E3534,dicionario!$A$1:$C3933,3,0)</f>
        <v>sanhaçu-cinzento</v>
      </c>
    </row>
    <row r="3535">
      <c r="A3535" s="3">
        <v>45638.0</v>
      </c>
      <c r="B3535" s="4">
        <v>0.2611111111111111</v>
      </c>
      <c r="C3535" s="5" t="s">
        <v>90</v>
      </c>
      <c r="D3535" s="5" t="s">
        <v>971</v>
      </c>
      <c r="E3535" s="6" t="s">
        <v>225</v>
      </c>
      <c r="F3535" s="5" t="s">
        <v>226</v>
      </c>
      <c r="G3535" s="6" t="str">
        <f>VLOOKUP(E3535,dicionario!$A$1:$C3934,2,0)</f>
        <v>Passer domesticus</v>
      </c>
      <c r="H3535" s="6" t="str">
        <f>VLOOKUP(E3535,dicionario!$A$1:$C3934,3,0)</f>
        <v>pardal</v>
      </c>
    </row>
    <row r="3536">
      <c r="A3536" s="3">
        <v>45638.0</v>
      </c>
      <c r="B3536" s="4">
        <v>0.2611111111111111</v>
      </c>
      <c r="C3536" s="5" t="s">
        <v>90</v>
      </c>
      <c r="D3536" s="5" t="s">
        <v>971</v>
      </c>
      <c r="E3536" s="20" t="s">
        <v>676</v>
      </c>
      <c r="F3536" s="7" t="s">
        <v>677</v>
      </c>
      <c r="G3536" s="6" t="str">
        <f>VLOOKUP(E3536,dicionario!$A$1:$C3935,2,0)</f>
        <v>Zornia latifolia</v>
      </c>
      <c r="H3536" s="6" t="str">
        <f>VLOOKUP(E3536,dicionario!$A$1:$C3935,3,0)</f>
        <v>arrozinho-do-campo</v>
      </c>
    </row>
    <row r="3537">
      <c r="A3537" s="3">
        <v>45638.0</v>
      </c>
      <c r="B3537" s="4">
        <v>0.26180555555555557</v>
      </c>
      <c r="C3537" s="5" t="s">
        <v>90</v>
      </c>
      <c r="D3537" s="5" t="s">
        <v>971</v>
      </c>
      <c r="E3537" s="6" t="s">
        <v>227</v>
      </c>
      <c r="F3537" s="5" t="s">
        <v>228</v>
      </c>
      <c r="G3537" s="6" t="str">
        <f>VLOOKUP(E3537,dicionario!$A$1:$C3936,2,0)</f>
        <v>Indigofera hirsuta</v>
      </c>
      <c r="H3537" s="6" t="str">
        <f>VLOOKUP(E3537,dicionario!$A$1:$C3936,3,0)</f>
        <v>anileira</v>
      </c>
    </row>
    <row r="3538">
      <c r="A3538" s="3">
        <v>45638.0</v>
      </c>
      <c r="B3538" s="4">
        <v>0.26180555555555557</v>
      </c>
      <c r="C3538" s="5" t="s">
        <v>90</v>
      </c>
      <c r="D3538" s="5" t="s">
        <v>971</v>
      </c>
      <c r="E3538" s="6" t="s">
        <v>162</v>
      </c>
      <c r="F3538" s="7" t="s">
        <v>42</v>
      </c>
      <c r="G3538" s="6" t="str">
        <f>VLOOKUP(E3538,dicionario!$A$1:$C3937,2,0)</f>
        <v>Fluvicola nengeta</v>
      </c>
      <c r="H3538" s="6" t="str">
        <f>VLOOKUP(E3538,dicionario!$A$1:$C3937,3,0)</f>
        <v>lavadeira-mascarada</v>
      </c>
    </row>
    <row r="3539">
      <c r="A3539" s="3">
        <v>45638.0</v>
      </c>
      <c r="B3539" s="4">
        <v>0.2625</v>
      </c>
      <c r="C3539" s="5" t="s">
        <v>90</v>
      </c>
      <c r="D3539" s="5" t="s">
        <v>971</v>
      </c>
      <c r="E3539" s="6" t="s">
        <v>191</v>
      </c>
      <c r="F3539" s="5" t="s">
        <v>192</v>
      </c>
      <c r="G3539" s="6" t="str">
        <f>VLOOKUP(E3539,dicionario!$A$1:$C3938,2,0)</f>
        <v>Patagioenas picazuro</v>
      </c>
      <c r="H3539" s="6" t="str">
        <f>VLOOKUP(E3539,dicionario!$A$1:$C3938,3,0)</f>
        <v>asa-branca; pomba-asa-branca; pocaçu</v>
      </c>
    </row>
    <row r="3540">
      <c r="A3540" s="3">
        <v>45638.0</v>
      </c>
      <c r="B3540" s="4">
        <v>0.26319444444444445</v>
      </c>
      <c r="C3540" s="5" t="s">
        <v>90</v>
      </c>
      <c r="D3540" s="5" t="s">
        <v>971</v>
      </c>
      <c r="E3540" s="8" t="s">
        <v>38</v>
      </c>
      <c r="F3540" s="5" t="s">
        <v>39</v>
      </c>
      <c r="G3540" s="6" t="str">
        <f>VLOOKUP(E3540,dicionario!$A$1:$C3939,2,0)</f>
        <v>Troglodytes musculus</v>
      </c>
      <c r="H3540" s="6" t="str">
        <f>VLOOKUP(E3540,dicionario!$A$1:$C3939,3,0)</f>
        <v>curruíra</v>
      </c>
    </row>
    <row r="3541">
      <c r="A3541" s="3">
        <v>45638.0</v>
      </c>
      <c r="B3541" s="4">
        <v>0.26458333333333334</v>
      </c>
      <c r="C3541" s="5" t="s">
        <v>90</v>
      </c>
      <c r="D3541" s="5" t="s">
        <v>971</v>
      </c>
      <c r="E3541" s="6" t="s">
        <v>72</v>
      </c>
      <c r="F3541" s="5" t="s">
        <v>73</v>
      </c>
      <c r="G3541" s="6" t="str">
        <f>VLOOKUP(E3541,dicionario!$A$1:$C3940,2,0)</f>
        <v>Thraupis palmarum</v>
      </c>
      <c r="H3541" s="6" t="str">
        <f>VLOOKUP(E3541,dicionario!$A$1:$C3940,3,0)</f>
        <v>sanhaço-do-coqueiro</v>
      </c>
    </row>
    <row r="3542">
      <c r="A3542" s="3">
        <v>45638.0</v>
      </c>
      <c r="B3542" s="4">
        <v>0.26458333333333334</v>
      </c>
      <c r="C3542" s="5" t="s">
        <v>90</v>
      </c>
      <c r="D3542" s="5" t="s">
        <v>971</v>
      </c>
      <c r="E3542" s="6" t="s">
        <v>86</v>
      </c>
      <c r="F3542" s="5" t="s">
        <v>502</v>
      </c>
      <c r="G3542" s="6" t="str">
        <f>VLOOKUP(E3542,dicionario!$A$1:$C3941,2,0)</f>
        <v>Coereba flaveola</v>
      </c>
      <c r="H3542" s="6" t="str">
        <f>VLOOKUP(E3542,dicionario!$A$1:$C3941,3,0)</f>
        <v>cambacica</v>
      </c>
    </row>
    <row r="3543">
      <c r="A3543" s="3">
        <v>45638.0</v>
      </c>
      <c r="B3543" s="4">
        <v>0.26458333333333334</v>
      </c>
      <c r="C3543" s="5" t="s">
        <v>90</v>
      </c>
      <c r="D3543" s="5" t="s">
        <v>971</v>
      </c>
      <c r="E3543" s="6" t="s">
        <v>99</v>
      </c>
      <c r="F3543" s="5" t="s">
        <v>508</v>
      </c>
      <c r="G3543" s="6" t="str">
        <f>VLOOKUP(E3543,dicionario!$A$1:$C3942,2,0)</f>
        <v>Molothrus bonariensis</v>
      </c>
      <c r="H3543" s="6" t="str">
        <f>VLOOKUP(E3543,dicionario!$A$1:$C3942,3,0)</f>
        <v>chupim</v>
      </c>
    </row>
    <row r="3544">
      <c r="A3544" s="3">
        <v>45638.0</v>
      </c>
      <c r="B3544" s="4">
        <v>0.26458333333333334</v>
      </c>
      <c r="C3544" s="5" t="s">
        <v>90</v>
      </c>
      <c r="D3544" s="5" t="s">
        <v>971</v>
      </c>
      <c r="E3544" s="9" t="s">
        <v>105</v>
      </c>
      <c r="F3544" s="5" t="s">
        <v>106</v>
      </c>
      <c r="G3544" s="6" t="str">
        <f>VLOOKUP(E3544,dicionario!$A$1:$C3943,2,0)</f>
        <v>Progne tapera</v>
      </c>
      <c r="H3544" s="6" t="str">
        <f>VLOOKUP(E3544,dicionario!$A$1:$C3943,3,0)</f>
        <v>andorinha-do-campo</v>
      </c>
    </row>
    <row r="3545">
      <c r="A3545" s="3">
        <v>45638.0</v>
      </c>
      <c r="B3545" s="4">
        <v>0.2652777777777778</v>
      </c>
      <c r="C3545" s="5" t="s">
        <v>90</v>
      </c>
      <c r="D3545" s="5" t="s">
        <v>971</v>
      </c>
      <c r="E3545" s="20" t="s">
        <v>631</v>
      </c>
      <c r="F3545" s="5" t="s">
        <v>632</v>
      </c>
      <c r="G3545" s="6" t="str">
        <f>VLOOKUP(E3545,dicionario!$A$1:$C3944,2,0)</f>
        <v>Chamaecrista nictitans</v>
      </c>
      <c r="H3545" s="6" t="str">
        <f>VLOOKUP(E3545,dicionario!$A$1:$C3944,3,0)</f>
        <v>falsa-dormideira</v>
      </c>
    </row>
    <row r="3546">
      <c r="A3546" s="3">
        <v>45638.0</v>
      </c>
      <c r="B3546" s="4">
        <v>0.2652777777777778</v>
      </c>
      <c r="C3546" s="5" t="s">
        <v>90</v>
      </c>
      <c r="D3546" s="5" t="s">
        <v>971</v>
      </c>
      <c r="E3546" s="6" t="s">
        <v>177</v>
      </c>
      <c r="F3546" s="5" t="s">
        <v>178</v>
      </c>
      <c r="G3546" s="6" t="str">
        <f>VLOOKUP(E3546,dicionario!$A$1:$C3945,2,0)</f>
        <v>Elaenia flavogaster</v>
      </c>
      <c r="H3546" s="6" t="str">
        <f>VLOOKUP(E3546,dicionario!$A$1:$C3945,3,0)</f>
        <v>guaracava-de-barriga-amarela</v>
      </c>
    </row>
    <row r="3547">
      <c r="A3547" s="3">
        <v>45638.0</v>
      </c>
      <c r="B3547" s="4">
        <v>0.2659722222222222</v>
      </c>
      <c r="C3547" s="5" t="s">
        <v>90</v>
      </c>
      <c r="D3547" s="5" t="s">
        <v>971</v>
      </c>
      <c r="E3547" s="6" t="s">
        <v>613</v>
      </c>
      <c r="F3547" s="5" t="s">
        <v>614</v>
      </c>
      <c r="G3547" s="6" t="str">
        <f>VLOOKUP(E3547,dicionario!$A$1:$C3946,2,0)</f>
        <v>Euphorbia hyssopifolia</v>
      </c>
      <c r="H3547" s="6" t="str">
        <f>VLOOKUP(E3547,dicionario!$A$1:$C3946,3,0)</f>
        <v>maria-leite</v>
      </c>
    </row>
    <row r="3548">
      <c r="A3548" s="3">
        <v>45638.0</v>
      </c>
      <c r="B3548" s="4">
        <v>0.2659722222222222</v>
      </c>
      <c r="C3548" s="5" t="s">
        <v>90</v>
      </c>
      <c r="D3548" s="5" t="s">
        <v>971</v>
      </c>
      <c r="E3548" s="8" t="s">
        <v>517</v>
      </c>
      <c r="F3548" s="7" t="s">
        <v>518</v>
      </c>
      <c r="G3548" s="6" t="str">
        <f>VLOOKUP(E3548,dicionario!$A$1:$C3947,2,0)</f>
        <v>Evolvulus nummularius</v>
      </c>
      <c r="H3548" s="6" t="str">
        <f>VLOOKUP(E3548,dicionario!$A$1:$C3947,3,0)</f>
        <v/>
      </c>
    </row>
    <row r="3549">
      <c r="A3549" s="3">
        <v>45638.0</v>
      </c>
      <c r="B3549" s="4">
        <v>0.2659722222222222</v>
      </c>
      <c r="C3549" s="5" t="s">
        <v>90</v>
      </c>
      <c r="D3549" s="5" t="s">
        <v>971</v>
      </c>
      <c r="E3549" s="6" t="s">
        <v>148</v>
      </c>
      <c r="F3549" s="5" t="s">
        <v>149</v>
      </c>
      <c r="G3549" s="6" t="str">
        <f>VLOOKUP(E3549,dicionario!$A$1:$C3948,2,0)</f>
        <v>Parthenium hysterophorus</v>
      </c>
      <c r="H3549" s="6" t="str">
        <f>VLOOKUP(E3549,dicionario!$A$1:$C3948,3,0)</f>
        <v>losna-branca</v>
      </c>
    </row>
    <row r="3550">
      <c r="A3550" s="3">
        <v>45638.0</v>
      </c>
      <c r="B3550" s="4">
        <v>0.26666666666666666</v>
      </c>
      <c r="C3550" s="5" t="s">
        <v>90</v>
      </c>
      <c r="D3550" s="5" t="s">
        <v>971</v>
      </c>
      <c r="E3550" s="6" t="s">
        <v>286</v>
      </c>
      <c r="F3550" s="5" t="s">
        <v>287</v>
      </c>
      <c r="G3550" s="6" t="str">
        <f>VLOOKUP(E3550,dicionario!$A$1:$C3949,2,0)</f>
        <v>Setaria parviflora</v>
      </c>
      <c r="H3550" s="6" t="str">
        <f>VLOOKUP(E3550,dicionario!$A$1:$C3949,3,0)</f>
        <v>capim-rabo-de-raposa</v>
      </c>
    </row>
    <row r="3551">
      <c r="A3551" s="3">
        <v>45638.0</v>
      </c>
      <c r="B3551" s="4">
        <v>0.26666666666666666</v>
      </c>
      <c r="C3551" s="5" t="s">
        <v>90</v>
      </c>
      <c r="D3551" s="5" t="s">
        <v>971</v>
      </c>
      <c r="E3551" s="6" t="s">
        <v>14</v>
      </c>
      <c r="F3551" s="5" t="s">
        <v>15</v>
      </c>
      <c r="G3551" s="6" t="str">
        <f>VLOOKUP(E3551,dicionario!$A$1:$C3950,2,0)</f>
        <v>Spermacoce verticillata</v>
      </c>
      <c r="H3551" s="6" t="str">
        <f>VLOOKUP(E3551,dicionario!$A$1:$C3950,3,0)</f>
        <v>vassourinha-de-botão</v>
      </c>
    </row>
    <row r="3552">
      <c r="A3552" s="3">
        <v>45638.0</v>
      </c>
      <c r="B3552" s="4">
        <v>0.2673611111111111</v>
      </c>
      <c r="C3552" s="5" t="s">
        <v>90</v>
      </c>
      <c r="D3552" s="5" t="s">
        <v>971</v>
      </c>
      <c r="E3552" s="29" t="s">
        <v>566</v>
      </c>
      <c r="F3552" s="5" t="s">
        <v>567</v>
      </c>
      <c r="G3552" s="6" t="str">
        <f>VLOOKUP(E3552,dicionario!$A$1:$C3951,2,0)</f>
        <v>Baccharis dracunculifolia</v>
      </c>
      <c r="H3552" s="6" t="str">
        <f>VLOOKUP(E3552,dicionario!$A$1:$C3951,3,0)</f>
        <v>vassoura</v>
      </c>
    </row>
    <row r="3553">
      <c r="A3553" s="3">
        <v>45638.0</v>
      </c>
      <c r="B3553" s="4">
        <v>0.26875</v>
      </c>
      <c r="C3553" s="5" t="s">
        <v>90</v>
      </c>
      <c r="D3553" s="5" t="s">
        <v>971</v>
      </c>
      <c r="E3553" s="6" t="s">
        <v>239</v>
      </c>
      <c r="F3553" s="5" t="s">
        <v>240</v>
      </c>
      <c r="G3553" s="6" t="str">
        <f>VLOOKUP(E3553,dicionario!$A$1:$C3952,2,0)</f>
        <v>Gomphrena celosioides</v>
      </c>
      <c r="H3553" s="6" t="str">
        <f>VLOOKUP(E3553,dicionario!$A$1:$C3952,3,0)</f>
        <v>perpétua-branca</v>
      </c>
    </row>
    <row r="3554">
      <c r="A3554" s="3">
        <v>45638.0</v>
      </c>
      <c r="B3554" s="4">
        <v>0.26875</v>
      </c>
      <c r="C3554" s="5" t="s">
        <v>90</v>
      </c>
      <c r="D3554" s="5" t="s">
        <v>971</v>
      </c>
      <c r="E3554" s="8" t="s">
        <v>489</v>
      </c>
      <c r="F3554" s="5" t="s">
        <v>521</v>
      </c>
      <c r="G3554" s="6" t="str">
        <f>VLOOKUP(E3554,dicionario!$A$1:$C3953,2,0)</f>
        <v>Cenchrus echinatus</v>
      </c>
      <c r="H3554" s="6" t="str">
        <f>VLOOKUP(E3554,dicionario!$A$1:$C3953,3,0)</f>
        <v>capim-carrapicho</v>
      </c>
    </row>
    <row r="3555">
      <c r="A3555" s="3">
        <v>45638.0</v>
      </c>
      <c r="B3555" s="4">
        <v>0.26875</v>
      </c>
      <c r="C3555" s="5" t="s">
        <v>90</v>
      </c>
      <c r="D3555" s="5" t="s">
        <v>971</v>
      </c>
      <c r="E3555" s="6" t="s">
        <v>296</v>
      </c>
      <c r="F3555" s="5" t="s">
        <v>297</v>
      </c>
      <c r="G3555" s="6" t="str">
        <f>VLOOKUP(E3555,dicionario!$A$1:$C3954,2,0)</f>
        <v>Richardia brasiliensis</v>
      </c>
      <c r="H3555" s="6" t="str">
        <f>VLOOKUP(E3555,dicionario!$A$1:$C3954,3,0)</f>
        <v>poaia-branca</v>
      </c>
    </row>
    <row r="3556">
      <c r="A3556" s="3">
        <v>45638.0</v>
      </c>
      <c r="B3556" s="4">
        <v>0.27152777777777776</v>
      </c>
      <c r="C3556" s="5" t="s">
        <v>85</v>
      </c>
      <c r="D3556" s="5" t="s">
        <v>971</v>
      </c>
      <c r="E3556" s="6" t="s">
        <v>353</v>
      </c>
      <c r="F3556" s="5" t="s">
        <v>354</v>
      </c>
      <c r="G3556" s="6" t="str">
        <f>VLOOKUP(E3556,dicionario!$A$1:$C3955,2,0)</f>
        <v>Desmodium incanum</v>
      </c>
      <c r="H3556" s="6" t="str">
        <f>VLOOKUP(E3556,dicionario!$A$1:$C3955,3,0)</f>
        <v>pega-pega</v>
      </c>
    </row>
    <row r="3557">
      <c r="A3557" s="3">
        <v>45638.0</v>
      </c>
      <c r="B3557" s="4">
        <v>0.27152777777777776</v>
      </c>
      <c r="C3557" s="5" t="s">
        <v>85</v>
      </c>
      <c r="D3557" s="5" t="s">
        <v>971</v>
      </c>
      <c r="E3557" s="6" t="s">
        <v>14</v>
      </c>
      <c r="F3557" s="5" t="s">
        <v>15</v>
      </c>
      <c r="G3557" s="6" t="str">
        <f>VLOOKUP(E3557,dicionario!$A$1:$C3956,2,0)</f>
        <v>Spermacoce verticillata</v>
      </c>
      <c r="H3557" s="6" t="str">
        <f>VLOOKUP(E3557,dicionario!$A$1:$C3956,3,0)</f>
        <v>vassourinha-de-botão</v>
      </c>
    </row>
    <row r="3558">
      <c r="A3558" s="3">
        <v>45638.0</v>
      </c>
      <c r="B3558" s="4">
        <v>0.27152777777777776</v>
      </c>
      <c r="C3558" s="5" t="s">
        <v>85</v>
      </c>
      <c r="D3558" s="5" t="s">
        <v>971</v>
      </c>
      <c r="E3558" s="8" t="s">
        <v>338</v>
      </c>
      <c r="F3558" s="5" t="s">
        <v>238</v>
      </c>
      <c r="G3558" s="6" t="str">
        <f>VLOOKUP(E3558,dicionario!$A$1:$C3957,2,0)</f>
        <v>Atta</v>
      </c>
      <c r="H3558" s="6" t="str">
        <f>VLOOKUP(E3558,dicionario!$A$1:$C3957,3,0)</f>
        <v>saúva</v>
      </c>
    </row>
    <row r="3559">
      <c r="A3559" s="3">
        <v>45638.0</v>
      </c>
      <c r="B3559" s="4">
        <v>0.27152777777777776</v>
      </c>
      <c r="C3559" s="5" t="s">
        <v>85</v>
      </c>
      <c r="D3559" s="5" t="s">
        <v>971</v>
      </c>
      <c r="E3559" s="20" t="s">
        <v>631</v>
      </c>
      <c r="F3559" s="5" t="s">
        <v>632</v>
      </c>
      <c r="G3559" s="6" t="str">
        <f>VLOOKUP(E3559,dicionario!$A$1:$C3958,2,0)</f>
        <v>Chamaecrista nictitans</v>
      </c>
      <c r="H3559" s="6" t="str">
        <f>VLOOKUP(E3559,dicionario!$A$1:$C3958,3,0)</f>
        <v>falsa-dormideira</v>
      </c>
    </row>
    <row r="3560">
      <c r="A3560" s="3">
        <v>45638.0</v>
      </c>
      <c r="B3560" s="4">
        <v>0.2722222222222222</v>
      </c>
      <c r="C3560" s="5" t="s">
        <v>85</v>
      </c>
      <c r="D3560" s="5" t="s">
        <v>971</v>
      </c>
      <c r="E3560" s="6" t="s">
        <v>53</v>
      </c>
      <c r="F3560" s="7" t="s">
        <v>54</v>
      </c>
      <c r="G3560" s="6" t="str">
        <f>VLOOKUP(E3560,dicionario!$A$1:$C3959,2,0)</f>
        <v>Turnera subulata</v>
      </c>
      <c r="H3560" s="6" t="str">
        <f>VLOOKUP(E3560,dicionario!$A$1:$C3959,3,0)</f>
        <v>xanana</v>
      </c>
    </row>
    <row r="3561">
      <c r="A3561" s="3">
        <v>45638.0</v>
      </c>
      <c r="B3561" s="4">
        <v>0.2722222222222222</v>
      </c>
      <c r="C3561" s="5" t="s">
        <v>85</v>
      </c>
      <c r="D3561" s="5" t="s">
        <v>971</v>
      </c>
      <c r="E3561" s="6" t="s">
        <v>286</v>
      </c>
      <c r="F3561" s="5" t="s">
        <v>287</v>
      </c>
      <c r="G3561" s="6" t="str">
        <f>VLOOKUP(E3561,dicionario!$A$1:$C3960,2,0)</f>
        <v>Setaria parviflora</v>
      </c>
      <c r="H3561" s="6" t="str">
        <f>VLOOKUP(E3561,dicionario!$A$1:$C3960,3,0)</f>
        <v>capim-rabo-de-raposa</v>
      </c>
    </row>
    <row r="3562">
      <c r="A3562" s="3">
        <v>45638.0</v>
      </c>
      <c r="B3562" s="4">
        <v>0.2722222222222222</v>
      </c>
      <c r="C3562" s="5" t="s">
        <v>85</v>
      </c>
      <c r="D3562" s="5" t="s">
        <v>971</v>
      </c>
      <c r="E3562" s="8" t="s">
        <v>517</v>
      </c>
      <c r="F3562" s="7" t="s">
        <v>518</v>
      </c>
      <c r="G3562" s="6" t="str">
        <f>VLOOKUP(E3562,dicionario!$A$1:$C3961,2,0)</f>
        <v>Evolvulus nummularius</v>
      </c>
      <c r="H3562" s="6" t="str">
        <f>VLOOKUP(E3562,dicionario!$A$1:$C3961,3,0)</f>
        <v/>
      </c>
    </row>
    <row r="3563">
      <c r="A3563" s="3">
        <v>45638.0</v>
      </c>
      <c r="B3563" s="4">
        <v>0.27291666666666664</v>
      </c>
      <c r="C3563" s="5" t="s">
        <v>85</v>
      </c>
      <c r="D3563" s="5" t="s">
        <v>971</v>
      </c>
      <c r="E3563" s="8" t="s">
        <v>51</v>
      </c>
      <c r="F3563" s="5" t="s">
        <v>77</v>
      </c>
      <c r="G3563" s="6" t="str">
        <f>VLOOKUP(E3563,dicionario!$A$1:$C3962,2,0)</f>
        <v>Solenopsis</v>
      </c>
      <c r="H3563" s="6" t="str">
        <f>VLOOKUP(E3563,dicionario!$A$1:$C3962,3,0)</f>
        <v>formiga-quente; formiga-lava-pés; formiga-de-fogo</v>
      </c>
    </row>
    <row r="3564">
      <c r="A3564" s="3">
        <v>45638.0</v>
      </c>
      <c r="B3564" s="4">
        <v>0.27291666666666664</v>
      </c>
      <c r="C3564" s="5" t="s">
        <v>85</v>
      </c>
      <c r="D3564" s="5" t="s">
        <v>971</v>
      </c>
      <c r="E3564" s="6" t="s">
        <v>109</v>
      </c>
      <c r="F3564" s="5" t="s">
        <v>110</v>
      </c>
      <c r="G3564" s="6" t="str">
        <f>VLOOKUP(E3564,dicionario!$A$1:$C3963,2,0)</f>
        <v>Tillandsia stricta</v>
      </c>
      <c r="H3564" s="6" t="str">
        <f>VLOOKUP(E3564,dicionario!$A$1:$C3963,3,0)</f>
        <v>cravo-do-mato</v>
      </c>
    </row>
    <row r="3565">
      <c r="A3565" s="3">
        <v>45638.0</v>
      </c>
      <c r="B3565" s="4">
        <v>0.27291666666666664</v>
      </c>
      <c r="C3565" s="5" t="s">
        <v>85</v>
      </c>
      <c r="D3565" s="5" t="s">
        <v>971</v>
      </c>
      <c r="E3565" s="8" t="s">
        <v>38</v>
      </c>
      <c r="F3565" s="5" t="s">
        <v>39</v>
      </c>
      <c r="G3565" s="6" t="str">
        <f>VLOOKUP(E3565,dicionario!$A$1:$C3964,2,0)</f>
        <v>Troglodytes musculus</v>
      </c>
      <c r="H3565" s="6" t="str">
        <f>VLOOKUP(E3565,dicionario!$A$1:$C3964,3,0)</f>
        <v>curruíra</v>
      </c>
    </row>
    <row r="3566">
      <c r="A3566" s="3">
        <v>45638.0</v>
      </c>
      <c r="B3566" s="4">
        <v>0.27291666666666664</v>
      </c>
      <c r="C3566" s="5" t="s">
        <v>85</v>
      </c>
      <c r="D3566" s="5" t="s">
        <v>971</v>
      </c>
      <c r="E3566" s="8" t="s">
        <v>976</v>
      </c>
      <c r="F3566" s="5" t="s">
        <v>35</v>
      </c>
      <c r="G3566" s="6" t="str">
        <f>VLOOKUP(E3566,dicionario!$A$1:$C3965,2,0)</f>
        <v>#N/A</v>
      </c>
      <c r="H3566" s="6" t="str">
        <f>VLOOKUP(E3566,dicionario!$A$1:$C3965,3,0)</f>
        <v>#N/A</v>
      </c>
    </row>
    <row r="3567">
      <c r="A3567" s="3">
        <v>45638.0</v>
      </c>
      <c r="B3567" s="4">
        <v>0.27361111111111114</v>
      </c>
      <c r="C3567" s="5" t="s">
        <v>85</v>
      </c>
      <c r="D3567" s="5" t="s">
        <v>971</v>
      </c>
      <c r="E3567" s="29" t="s">
        <v>566</v>
      </c>
      <c r="F3567" s="5" t="s">
        <v>567</v>
      </c>
      <c r="G3567" s="6" t="str">
        <f>VLOOKUP(E3567,dicionario!$A$1:$C3966,2,0)</f>
        <v>Baccharis dracunculifolia</v>
      </c>
      <c r="H3567" s="6" t="str">
        <f>VLOOKUP(E3567,dicionario!$A$1:$C3966,3,0)</f>
        <v>vassoura</v>
      </c>
    </row>
    <row r="3568">
      <c r="A3568" s="3">
        <v>45638.0</v>
      </c>
      <c r="B3568" s="4">
        <v>0.27361111111111114</v>
      </c>
      <c r="C3568" s="5" t="s">
        <v>85</v>
      </c>
      <c r="D3568" s="5" t="s">
        <v>971</v>
      </c>
      <c r="E3568" s="6" t="s">
        <v>122</v>
      </c>
      <c r="F3568" s="7" t="s">
        <v>123</v>
      </c>
      <c r="G3568" s="6" t="str">
        <f>VLOOKUP(E3568,dicionario!$A$1:$C3967,2,0)</f>
        <v>Todirostrum cinereum</v>
      </c>
      <c r="H3568" s="6" t="str">
        <f>VLOOKUP(E3568,dicionario!$A$1:$C3967,3,0)</f>
        <v>ferreirinho-relógio</v>
      </c>
    </row>
    <row r="3569">
      <c r="A3569" s="3">
        <v>45638.0</v>
      </c>
      <c r="B3569" s="4">
        <v>0.27361111111111114</v>
      </c>
      <c r="C3569" s="5" t="s">
        <v>85</v>
      </c>
      <c r="D3569" s="5" t="s">
        <v>971</v>
      </c>
      <c r="E3569" s="6" t="s">
        <v>296</v>
      </c>
      <c r="F3569" s="5" t="s">
        <v>297</v>
      </c>
      <c r="G3569" s="6" t="str">
        <f>VLOOKUP(E3569,dicionario!$A$1:$C3968,2,0)</f>
        <v>Richardia brasiliensis</v>
      </c>
      <c r="H3569" s="6" t="str">
        <f>VLOOKUP(E3569,dicionario!$A$1:$C3968,3,0)</f>
        <v>poaia-branca</v>
      </c>
    </row>
    <row r="3570">
      <c r="A3570" s="3">
        <v>45638.0</v>
      </c>
      <c r="B3570" s="4">
        <v>0.27361111111111114</v>
      </c>
      <c r="C3570" s="5" t="s">
        <v>85</v>
      </c>
      <c r="D3570" s="5" t="s">
        <v>971</v>
      </c>
      <c r="E3570" s="8" t="s">
        <v>126</v>
      </c>
      <c r="F3570" s="5" t="s">
        <v>127</v>
      </c>
      <c r="G3570" s="6" t="str">
        <f>VLOOKUP(E3570,dicionario!$A$1:$C3969,2,0)</f>
        <v>Bryophyta</v>
      </c>
      <c r="H3570" s="6" t="str">
        <f>VLOOKUP(E3570,dicionario!$A$1:$C3969,3,0)</f>
        <v>musgo</v>
      </c>
    </row>
    <row r="3571">
      <c r="A3571" s="3">
        <v>45638.0</v>
      </c>
      <c r="B3571" s="4">
        <v>0.2743055555555556</v>
      </c>
      <c r="C3571" s="5" t="s">
        <v>85</v>
      </c>
      <c r="D3571" s="5" t="s">
        <v>971</v>
      </c>
      <c r="E3571" s="6" t="s">
        <v>399</v>
      </c>
      <c r="F3571" s="5" t="s">
        <v>400</v>
      </c>
      <c r="G3571" s="6" t="str">
        <f>VLOOKUP(E3571,dicionario!$A$1:$C3970,2,0)</f>
        <v>Varronia curassavica</v>
      </c>
      <c r="H3571" s="6" t="str">
        <f>VLOOKUP(E3571,dicionario!$A$1:$C3970,3,0)</f>
        <v>erva-baleeira</v>
      </c>
    </row>
    <row r="3572">
      <c r="A3572" s="3">
        <v>45638.0</v>
      </c>
      <c r="B3572" s="4">
        <v>0.2743055555555556</v>
      </c>
      <c r="C3572" s="5" t="s">
        <v>85</v>
      </c>
      <c r="D3572" s="5" t="s">
        <v>971</v>
      </c>
      <c r="E3572" s="6" t="s">
        <v>88</v>
      </c>
      <c r="F3572" s="5" t="s">
        <v>89</v>
      </c>
      <c r="G3572" s="6" t="str">
        <f>VLOOKUP(E3572,dicionario!$A$1:$C3971,2,0)</f>
        <v>Tyrannus melancolichus</v>
      </c>
      <c r="H3572" s="6" t="str">
        <f>VLOOKUP(E3572,dicionario!$A$1:$C3971,3,0)</f>
        <v>suiriri</v>
      </c>
    </row>
    <row r="3573">
      <c r="A3573" s="3">
        <v>45638.0</v>
      </c>
      <c r="B3573" s="4">
        <v>0.2743055555555556</v>
      </c>
      <c r="C3573" s="5" t="s">
        <v>85</v>
      </c>
      <c r="D3573" s="5" t="s">
        <v>971</v>
      </c>
      <c r="E3573" s="6" t="s">
        <v>20</v>
      </c>
      <c r="F3573" s="7" t="s">
        <v>21</v>
      </c>
      <c r="G3573" s="6" t="str">
        <f>VLOOKUP(E3573,dicionario!$A$1:$C3972,2,0)</f>
        <v>Sicalis flaveola</v>
      </c>
      <c r="H3573" s="6" t="str">
        <f>VLOOKUP(E3573,dicionario!$A$1:$C3972,3,0)</f>
        <v>canário-da-terra</v>
      </c>
    </row>
    <row r="3574">
      <c r="A3574" s="3">
        <v>45638.0</v>
      </c>
      <c r="B3574" s="4">
        <v>0.2743055555555556</v>
      </c>
      <c r="C3574" s="5" t="s">
        <v>85</v>
      </c>
      <c r="D3574" s="5" t="s">
        <v>971</v>
      </c>
      <c r="E3574" s="6" t="s">
        <v>65</v>
      </c>
      <c r="F3574" s="5" t="s">
        <v>66</v>
      </c>
      <c r="G3574" s="6" t="str">
        <f>VLOOKUP(E3574,dicionario!$A$1:$C3973,2,0)</f>
        <v>Pitangus sulphutarus</v>
      </c>
      <c r="H3574" s="6" t="str">
        <f>VLOOKUP(E3574,dicionario!$A$1:$C3973,3,0)</f>
        <v>bem-te-vi</v>
      </c>
    </row>
    <row r="3575">
      <c r="A3575" s="3">
        <v>45638.0</v>
      </c>
      <c r="B3575" s="4">
        <v>0.2743055555555556</v>
      </c>
      <c r="C3575" s="5" t="s">
        <v>85</v>
      </c>
      <c r="D3575" s="5" t="s">
        <v>971</v>
      </c>
      <c r="E3575" s="8" t="s">
        <v>298</v>
      </c>
      <c r="F3575" s="5" t="s">
        <v>739</v>
      </c>
      <c r="G3575" s="6" t="str">
        <f>VLOOKUP(E3575,dicionario!$A$1:$C3974,2,0)</f>
        <v>Alysicarpus vaginalis</v>
      </c>
      <c r="H3575" s="6" t="str">
        <f>VLOOKUP(E3575,dicionario!$A$1:$C3974,3,0)</f>
        <v/>
      </c>
    </row>
    <row r="3576">
      <c r="A3576" s="3">
        <v>45638.0</v>
      </c>
      <c r="B3576" s="4">
        <v>0.2743055555555556</v>
      </c>
      <c r="C3576" s="5" t="s">
        <v>85</v>
      </c>
      <c r="D3576" s="5" t="s">
        <v>971</v>
      </c>
      <c r="E3576" s="6" t="s">
        <v>162</v>
      </c>
      <c r="F3576" s="7" t="s">
        <v>42</v>
      </c>
      <c r="G3576" s="6" t="str">
        <f>VLOOKUP(E3576,dicionario!$A$1:$C3975,2,0)</f>
        <v>Fluvicola nengeta</v>
      </c>
      <c r="H3576" s="6" t="str">
        <f>VLOOKUP(E3576,dicionario!$A$1:$C3975,3,0)</f>
        <v>lavadeira-mascarada</v>
      </c>
    </row>
    <row r="3577">
      <c r="A3577" s="3">
        <v>45638.0</v>
      </c>
      <c r="B3577" s="4">
        <v>0.275</v>
      </c>
      <c r="C3577" s="5" t="s">
        <v>85</v>
      </c>
      <c r="D3577" s="5" t="s">
        <v>971</v>
      </c>
      <c r="E3577" s="8" t="s">
        <v>977</v>
      </c>
      <c r="F3577" s="5" t="s">
        <v>978</v>
      </c>
      <c r="G3577" s="6" t="str">
        <f>VLOOKUP(E3577,dicionario!$A$1:$C3976,2,0)</f>
        <v>Odontomachus</v>
      </c>
      <c r="H3577" s="6" t="str">
        <f>VLOOKUP(E3577,dicionario!$A$1:$C3976,3,0)</f>
        <v>formiga-de-estalo</v>
      </c>
    </row>
    <row r="3578">
      <c r="A3578" s="3">
        <v>45638.0</v>
      </c>
      <c r="B3578" s="4">
        <v>0.275</v>
      </c>
      <c r="C3578" s="5" t="s">
        <v>85</v>
      </c>
      <c r="D3578" s="5" t="s">
        <v>971</v>
      </c>
      <c r="E3578" s="8" t="s">
        <v>719</v>
      </c>
      <c r="F3578" s="5" t="s">
        <v>975</v>
      </c>
      <c r="G3578" s="6" t="str">
        <f>VLOOKUP(E3578,dicionario!$A$1:$C3977,2,0)</f>
        <v>Dirinaria</v>
      </c>
      <c r="H3578" s="6" t="str">
        <f>VLOOKUP(E3578,dicionario!$A$1:$C3977,3,0)</f>
        <v>líquen-crostoso</v>
      </c>
    </row>
    <row r="3579">
      <c r="A3579" s="3">
        <v>45638.0</v>
      </c>
      <c r="B3579" s="4">
        <v>0.275</v>
      </c>
      <c r="C3579" s="5" t="s">
        <v>85</v>
      </c>
      <c r="D3579" s="5" t="s">
        <v>971</v>
      </c>
      <c r="E3579" s="8" t="s">
        <v>712</v>
      </c>
      <c r="F3579" s="5" t="s">
        <v>974</v>
      </c>
      <c r="G3579" s="6" t="str">
        <f>VLOOKUP(E3579,dicionario!$A$1:$C3978,2,0)</f>
        <v>Flavopunctelia soredica</v>
      </c>
      <c r="H3579" s="6" t="str">
        <f>VLOOKUP(E3579,dicionario!$A$1:$C3978,3,0)</f>
        <v>líquen-folioso</v>
      </c>
    </row>
    <row r="3580">
      <c r="A3580" s="3">
        <v>45638.0</v>
      </c>
      <c r="B3580" s="4">
        <v>0.275</v>
      </c>
      <c r="C3580" s="5" t="s">
        <v>85</v>
      </c>
      <c r="D3580" s="5" t="s">
        <v>971</v>
      </c>
      <c r="E3580" s="6" t="s">
        <v>606</v>
      </c>
      <c r="F3580" s="5" t="s">
        <v>607</v>
      </c>
      <c r="G3580" s="6" t="str">
        <f>VLOOKUP(E3580,dicionario!$A$1:$C3979,2,0)</f>
        <v>Elaenia spectabilis</v>
      </c>
      <c r="H3580" s="6" t="str">
        <f>VLOOKUP(E3580,dicionario!$A$1:$C3979,3,0)</f>
        <v>guaracava-grande</v>
      </c>
    </row>
    <row r="3581">
      <c r="A3581" s="3">
        <v>45638.0</v>
      </c>
      <c r="B3581" s="4">
        <v>0.27569444444444446</v>
      </c>
      <c r="C3581" s="5" t="s">
        <v>85</v>
      </c>
      <c r="D3581" s="5" t="s">
        <v>971</v>
      </c>
      <c r="E3581" s="8" t="s">
        <v>113</v>
      </c>
      <c r="F3581" s="5" t="s">
        <v>114</v>
      </c>
      <c r="G3581" s="6" t="str">
        <f>VLOOKUP(E3581,dicionario!$A$1:$C3980,2,0)</f>
        <v>Columbina talpacoti</v>
      </c>
      <c r="H3581" s="6" t="str">
        <f>VLOOKUP(E3581,dicionario!$A$1:$C3980,3,0)</f>
        <v>rolinha-roxa</v>
      </c>
    </row>
    <row r="3582">
      <c r="A3582" s="3">
        <v>45638.0</v>
      </c>
      <c r="B3582" s="4">
        <v>0.2763888888888889</v>
      </c>
      <c r="C3582" s="5" t="s">
        <v>85</v>
      </c>
      <c r="D3582" s="5" t="s">
        <v>971</v>
      </c>
      <c r="E3582" s="8" t="s">
        <v>247</v>
      </c>
      <c r="F3582" s="5" t="s">
        <v>387</v>
      </c>
      <c r="G3582" s="6" t="str">
        <f>VLOOKUP(E3582,dicionario!$A$1:$C3981,2,0)</f>
        <v>Emilia sonchifolia</v>
      </c>
      <c r="H3582" s="6" t="str">
        <f>VLOOKUP(E3582,dicionario!$A$1:$C3981,3,0)</f>
        <v>serralinha</v>
      </c>
    </row>
    <row r="3583">
      <c r="A3583" s="3">
        <v>45638.0</v>
      </c>
      <c r="B3583" s="4">
        <v>0.2763888888888889</v>
      </c>
      <c r="C3583" s="5" t="s">
        <v>85</v>
      </c>
      <c r="D3583" s="5" t="s">
        <v>971</v>
      </c>
      <c r="E3583" s="8" t="s">
        <v>146</v>
      </c>
      <c r="F3583" s="5" t="s">
        <v>147</v>
      </c>
      <c r="G3583" s="6" t="str">
        <f>VLOOKUP(E3583,dicionario!$A$1:$C3982,2,0)</f>
        <v>Euphorbia hirta</v>
      </c>
      <c r="H3583" s="6" t="str">
        <f>VLOOKUP(E3583,dicionario!$A$1:$C3982,3,0)</f>
        <v>erva-de-santa-luzia</v>
      </c>
    </row>
    <row r="3584">
      <c r="A3584" s="3">
        <v>45638.0</v>
      </c>
      <c r="B3584" s="4">
        <v>0.2763888888888889</v>
      </c>
      <c r="C3584" s="5" t="s">
        <v>85</v>
      </c>
      <c r="D3584" s="5" t="s">
        <v>971</v>
      </c>
      <c r="E3584" s="6" t="s">
        <v>225</v>
      </c>
      <c r="F3584" s="5" t="s">
        <v>226</v>
      </c>
      <c r="G3584" s="6" t="str">
        <f>VLOOKUP(E3584,dicionario!$A$1:$C3983,2,0)</f>
        <v>Passer domesticus</v>
      </c>
      <c r="H3584" s="6" t="str">
        <f>VLOOKUP(E3584,dicionario!$A$1:$C3983,3,0)</f>
        <v>pardal</v>
      </c>
    </row>
    <row r="3585">
      <c r="A3585" s="3">
        <v>45638.0</v>
      </c>
      <c r="B3585" s="4">
        <v>0.27708333333333335</v>
      </c>
      <c r="C3585" s="5" t="s">
        <v>85</v>
      </c>
      <c r="D3585" s="5" t="s">
        <v>971</v>
      </c>
      <c r="E3585" s="8" t="s">
        <v>46</v>
      </c>
      <c r="F3585" s="5" t="s">
        <v>47</v>
      </c>
      <c r="G3585" s="6" t="str">
        <f>VLOOKUP(E3585,dicionario!$A$1:$C3984,2,0)</f>
        <v>Chionomesa fimbriata</v>
      </c>
      <c r="H3585" s="6" t="str">
        <f>VLOOKUP(E3585,dicionario!$A$1:$C3984,3,0)</f>
        <v>beija-flor-de-garganta-verde</v>
      </c>
    </row>
    <row r="3586">
      <c r="A3586" s="3">
        <v>45638.0</v>
      </c>
      <c r="B3586" s="4">
        <v>0.27708333333333335</v>
      </c>
      <c r="C3586" s="5" t="s">
        <v>85</v>
      </c>
      <c r="D3586" s="5" t="s">
        <v>971</v>
      </c>
      <c r="E3586" s="6" t="s">
        <v>200</v>
      </c>
      <c r="F3586" s="5" t="s">
        <v>201</v>
      </c>
      <c r="G3586" s="6" t="str">
        <f>VLOOKUP(E3586,dicionario!$A$1:$C3985,2,0)</f>
        <v>Columbina picui </v>
      </c>
      <c r="H3586" s="6" t="str">
        <f>VLOOKUP(E3586,dicionario!$A$1:$C3985,3,0)</f>
        <v>rolinha-picuí</v>
      </c>
    </row>
    <row r="3587">
      <c r="A3587" s="3">
        <v>45638.0</v>
      </c>
      <c r="B3587" s="4">
        <v>0.27708333333333335</v>
      </c>
      <c r="C3587" s="5" t="s">
        <v>85</v>
      </c>
      <c r="D3587" s="5" t="s">
        <v>971</v>
      </c>
      <c r="E3587" s="8" t="s">
        <v>18</v>
      </c>
      <c r="F3587" s="5" t="s">
        <v>219</v>
      </c>
      <c r="G3587" s="6" t="str">
        <f>VLOOKUP(E3587,dicionario!$A$1:$C3986,2,0)</f>
        <v>Xylocopa frontalis</v>
      </c>
      <c r="H3587" s="6" t="str">
        <f>VLOOKUP(E3587,dicionario!$A$1:$C3986,3,0)</f>
        <v>Mamangava; mangangá; abelha-carpinteira</v>
      </c>
    </row>
    <row r="3588">
      <c r="A3588" s="3">
        <v>45638.0</v>
      </c>
      <c r="B3588" s="4">
        <v>0.2777777777777778</v>
      </c>
      <c r="C3588" s="5" t="s">
        <v>85</v>
      </c>
      <c r="D3588" s="5" t="s">
        <v>971</v>
      </c>
      <c r="E3588" s="30" t="s">
        <v>979</v>
      </c>
      <c r="F3588" s="31"/>
      <c r="G3588" s="6" t="str">
        <f>VLOOKUP(E3588,dicionario!$A$1:$C3987,2,0)</f>
        <v>#N/A</v>
      </c>
      <c r="H3588" s="6" t="str">
        <f>VLOOKUP(E3588,dicionario!$A$1:$C3987,3,0)</f>
        <v>#N/A</v>
      </c>
    </row>
    <row r="3589">
      <c r="A3589" s="3">
        <v>45638.0</v>
      </c>
      <c r="B3589" s="4">
        <v>0.2777777777777778</v>
      </c>
      <c r="C3589" s="5" t="s">
        <v>85</v>
      </c>
      <c r="D3589" s="5" t="s">
        <v>971</v>
      </c>
      <c r="E3589" s="20" t="s">
        <v>676</v>
      </c>
      <c r="F3589" s="7" t="s">
        <v>677</v>
      </c>
      <c r="G3589" s="6" t="str">
        <f>VLOOKUP(E3589,dicionario!$A$1:$C3988,2,0)</f>
        <v>Zornia latifolia</v>
      </c>
      <c r="H3589" s="6" t="str">
        <f>VLOOKUP(E3589,dicionario!$A$1:$C3988,3,0)</f>
        <v>arrozinho-do-campo</v>
      </c>
    </row>
    <row r="3590">
      <c r="A3590" s="3">
        <v>45638.0</v>
      </c>
      <c r="B3590" s="4">
        <v>0.2777777777777778</v>
      </c>
      <c r="C3590" s="5" t="s">
        <v>85</v>
      </c>
      <c r="D3590" s="5" t="s">
        <v>971</v>
      </c>
      <c r="E3590" s="6" t="s">
        <v>355</v>
      </c>
      <c r="F3590" s="5" t="s">
        <v>356</v>
      </c>
      <c r="G3590" s="6" t="str">
        <f>VLOOKUP(E3590,dicionario!$A$1:$C3989,2,0)</f>
        <v>Boerhavia diffusa</v>
      </c>
      <c r="H3590" s="6" t="str">
        <f>VLOOKUP(E3590,dicionario!$A$1:$C3989,3,0)</f>
        <v>erva-tostão</v>
      </c>
    </row>
    <row r="3591">
      <c r="A3591" s="3">
        <v>45638.0</v>
      </c>
      <c r="B3591" s="4">
        <v>0.27847222222222223</v>
      </c>
      <c r="C3591" s="5" t="s">
        <v>85</v>
      </c>
      <c r="D3591" s="5" t="s">
        <v>971</v>
      </c>
      <c r="E3591" s="6" t="s">
        <v>613</v>
      </c>
      <c r="F3591" s="5" t="s">
        <v>614</v>
      </c>
      <c r="G3591" s="6" t="str">
        <f>VLOOKUP(E3591,dicionario!$A$1:$C3990,2,0)</f>
        <v>Euphorbia hyssopifolia</v>
      </c>
      <c r="H3591" s="6" t="str">
        <f>VLOOKUP(E3591,dicionario!$A$1:$C3990,3,0)</f>
        <v>maria-leite</v>
      </c>
    </row>
    <row r="3592">
      <c r="A3592" s="3">
        <v>45638.0</v>
      </c>
      <c r="B3592" s="4">
        <v>0.2791666666666667</v>
      </c>
      <c r="C3592" s="5" t="s">
        <v>85</v>
      </c>
      <c r="D3592" s="5" t="s">
        <v>971</v>
      </c>
      <c r="E3592" s="6" t="s">
        <v>135</v>
      </c>
      <c r="F3592" s="5" t="s">
        <v>136</v>
      </c>
      <c r="G3592" s="6" t="str">
        <f>VLOOKUP(E3592,dicionario!$A$1:$C3991,2,0)</f>
        <v>Tridax procumbens</v>
      </c>
      <c r="H3592" s="6" t="str">
        <f>VLOOKUP(E3592,dicionario!$A$1:$C3991,3,0)</f>
        <v>erva-de-touro</v>
      </c>
    </row>
    <row r="3593">
      <c r="A3593" s="3">
        <v>45638.0</v>
      </c>
      <c r="B3593" s="4">
        <v>0.2791666666666667</v>
      </c>
      <c r="C3593" s="5" t="s">
        <v>85</v>
      </c>
      <c r="D3593" s="5" t="s">
        <v>971</v>
      </c>
      <c r="E3593" s="6" t="s">
        <v>243</v>
      </c>
      <c r="F3593" s="5" t="s">
        <v>244</v>
      </c>
      <c r="G3593" s="6" t="str">
        <f>VLOOKUP(E3593,dicionario!$A$1:$C3992,2,0)</f>
        <v>Macroptilium atropurpureum</v>
      </c>
      <c r="H3593" s="6" t="str">
        <f>VLOOKUP(E3593,dicionario!$A$1:$C3992,3,0)</f>
        <v>feijão-de-pombo</v>
      </c>
    </row>
    <row r="3594">
      <c r="A3594" s="3">
        <v>45638.0</v>
      </c>
      <c r="B3594" s="4">
        <v>0.2791666666666667</v>
      </c>
      <c r="C3594" s="5" t="s">
        <v>85</v>
      </c>
      <c r="D3594" s="5" t="s">
        <v>971</v>
      </c>
      <c r="E3594" s="6" t="s">
        <v>146</v>
      </c>
      <c r="F3594" s="5" t="s">
        <v>147</v>
      </c>
      <c r="G3594" s="6" t="str">
        <f>VLOOKUP(E3594,dicionario!$A$1:$C3993,2,0)</f>
        <v>Euphorbia hirta</v>
      </c>
      <c r="H3594" s="6" t="str">
        <f>VLOOKUP(E3594,dicionario!$A$1:$C3993,3,0)</f>
        <v>erva-de-santa-luzia</v>
      </c>
    </row>
    <row r="3595">
      <c r="A3595" s="3">
        <v>45638.0</v>
      </c>
      <c r="B3595" s="4">
        <v>0.2791666666666667</v>
      </c>
      <c r="C3595" s="5" t="s">
        <v>85</v>
      </c>
      <c r="D3595" s="5" t="s">
        <v>971</v>
      </c>
      <c r="E3595" s="6" t="s">
        <v>150</v>
      </c>
      <c r="F3595" s="5" t="s">
        <v>151</v>
      </c>
      <c r="G3595" s="6" t="str">
        <f>VLOOKUP(E3595,dicionario!$A$1:$C3994,2,0)</f>
        <v>Amaranthus viridis</v>
      </c>
      <c r="H3595" s="6" t="str">
        <f>VLOOKUP(E3595,dicionario!$A$1:$C3994,3,0)</f>
        <v>caruru-de-mancha</v>
      </c>
    </row>
    <row r="3596">
      <c r="A3596" s="3">
        <v>45638.0</v>
      </c>
      <c r="B3596" s="4">
        <v>0.2798611111111111</v>
      </c>
      <c r="C3596" s="5" t="s">
        <v>85</v>
      </c>
      <c r="D3596" s="5" t="s">
        <v>971</v>
      </c>
      <c r="E3596" s="8" t="s">
        <v>980</v>
      </c>
      <c r="F3596" s="5" t="s">
        <v>414</v>
      </c>
      <c r="G3596" s="6" t="str">
        <f>VLOOKUP(E3596,dicionario!$A$1:$C3995,2,0)</f>
        <v>#N/A</v>
      </c>
      <c r="H3596" s="6" t="str">
        <f>VLOOKUP(E3596,dicionario!$A$1:$C3995,3,0)</f>
        <v>#N/A</v>
      </c>
    </row>
    <row r="3597">
      <c r="A3597" s="3">
        <v>45638.0</v>
      </c>
      <c r="B3597" s="4">
        <v>0.2798611111111111</v>
      </c>
      <c r="C3597" s="5" t="s">
        <v>85</v>
      </c>
      <c r="D3597" s="5" t="s">
        <v>971</v>
      </c>
      <c r="E3597" s="6" t="s">
        <v>227</v>
      </c>
      <c r="F3597" s="5" t="s">
        <v>228</v>
      </c>
      <c r="G3597" s="6" t="str">
        <f>VLOOKUP(E3597,dicionario!$A$1:$C3996,2,0)</f>
        <v>Indigofera hirsuta</v>
      </c>
      <c r="H3597" s="6" t="str">
        <f>VLOOKUP(E3597,dicionario!$A$1:$C3996,3,0)</f>
        <v>anileira</v>
      </c>
    </row>
    <row r="3598">
      <c r="A3598" s="3">
        <v>45638.0</v>
      </c>
      <c r="B3598" s="4">
        <v>0.2798611111111111</v>
      </c>
      <c r="C3598" s="5" t="s">
        <v>85</v>
      </c>
      <c r="D3598" s="5" t="s">
        <v>971</v>
      </c>
      <c r="E3598" s="8" t="s">
        <v>457</v>
      </c>
      <c r="F3598" s="5" t="s">
        <v>458</v>
      </c>
      <c r="G3598" s="6" t="str">
        <f>VLOOKUP(E3598,dicionario!$A$1:$C3997,2,0)</f>
        <v>Alternanthera philoxeroides</v>
      </c>
      <c r="H3598" s="6" t="str">
        <f>VLOOKUP(E3598,dicionario!$A$1:$C3997,3,0)</f>
        <v>erva-jacaré </v>
      </c>
    </row>
    <row r="3599">
      <c r="A3599" s="3">
        <v>45638.0</v>
      </c>
      <c r="B3599" s="4">
        <v>0.2798611111111111</v>
      </c>
      <c r="C3599" s="5" t="s">
        <v>85</v>
      </c>
      <c r="D3599" s="5" t="s">
        <v>971</v>
      </c>
      <c r="E3599" s="6" t="s">
        <v>132</v>
      </c>
      <c r="F3599" s="5" t="s">
        <v>133</v>
      </c>
      <c r="G3599" s="6" t="str">
        <f>VLOOKUP(E3599,dicionario!$A$1:$C3998,2,0)</f>
        <v>Euphonia chlorotica</v>
      </c>
      <c r="H3599" s="6" t="str">
        <f>VLOOKUP(E3599,dicionario!$A$1:$C3998,3,0)</f>
        <v>fim-fim</v>
      </c>
    </row>
    <row r="3600">
      <c r="A3600" s="3">
        <v>45638.0</v>
      </c>
      <c r="B3600" s="4">
        <v>0.28055555555555556</v>
      </c>
      <c r="C3600" s="5" t="s">
        <v>76</v>
      </c>
      <c r="D3600" s="5" t="s">
        <v>971</v>
      </c>
      <c r="E3600" s="6" t="s">
        <v>65</v>
      </c>
      <c r="F3600" s="5" t="s">
        <v>66</v>
      </c>
      <c r="G3600" s="6" t="str">
        <f>VLOOKUP(E3600,dicionario!$A$1:$C3999,2,0)</f>
        <v>Pitangus sulphutarus</v>
      </c>
      <c r="H3600" s="6" t="str">
        <f>VLOOKUP(E3600,dicionario!$A$1:$C3999,3,0)</f>
        <v>bem-te-vi</v>
      </c>
    </row>
    <row r="3601">
      <c r="A3601" s="3">
        <v>45638.0</v>
      </c>
      <c r="B3601" s="4">
        <v>0.2833333333333333</v>
      </c>
      <c r="C3601" s="5" t="s">
        <v>76</v>
      </c>
      <c r="D3601" s="5" t="s">
        <v>971</v>
      </c>
      <c r="E3601" s="6" t="s">
        <v>113</v>
      </c>
      <c r="F3601" s="5" t="s">
        <v>114</v>
      </c>
      <c r="G3601" s="6" t="str">
        <f>VLOOKUP(E3601,dicionario!$A$1:$C4000,2,0)</f>
        <v>Columbina talpacoti</v>
      </c>
      <c r="H3601" s="6" t="str">
        <f>VLOOKUP(E3601,dicionario!$A$1:$C4000,3,0)</f>
        <v>rolinha-roxa</v>
      </c>
    </row>
    <row r="3602">
      <c r="A3602" s="3">
        <v>45638.0</v>
      </c>
      <c r="B3602" s="4">
        <v>0.2833333333333333</v>
      </c>
      <c r="C3602" s="5" t="s">
        <v>981</v>
      </c>
      <c r="D3602" s="5" t="s">
        <v>971</v>
      </c>
      <c r="E3602" s="6" t="s">
        <v>606</v>
      </c>
      <c r="F3602" s="5" t="s">
        <v>607</v>
      </c>
      <c r="G3602" s="6" t="str">
        <f>VLOOKUP(E3602,dicionario!$A$1:$C4001,2,0)</f>
        <v>Elaenia spectabilis</v>
      </c>
      <c r="H3602" s="6" t="str">
        <f>VLOOKUP(E3602,dicionario!$A$1:$C4001,3,0)</f>
        <v>guaracava-grande</v>
      </c>
    </row>
    <row r="3603">
      <c r="A3603" s="3">
        <v>45638.0</v>
      </c>
      <c r="B3603" s="4">
        <v>0.2833333333333333</v>
      </c>
      <c r="C3603" s="5" t="s">
        <v>76</v>
      </c>
      <c r="D3603" s="5" t="s">
        <v>971</v>
      </c>
      <c r="E3603" s="6" t="s">
        <v>135</v>
      </c>
      <c r="F3603" s="5" t="s">
        <v>136</v>
      </c>
      <c r="G3603" s="6" t="str">
        <f>VLOOKUP(E3603,dicionario!$A$1:$C4002,2,0)</f>
        <v>Tridax procumbens</v>
      </c>
      <c r="H3603" s="6" t="str">
        <f>VLOOKUP(E3603,dicionario!$A$1:$C4002,3,0)</f>
        <v>erva-de-touro</v>
      </c>
    </row>
    <row r="3604">
      <c r="A3604" s="3">
        <v>45638.0</v>
      </c>
      <c r="B3604" s="4">
        <v>0.2833333333333333</v>
      </c>
      <c r="C3604" s="5" t="s">
        <v>76</v>
      </c>
      <c r="D3604" s="5" t="s">
        <v>971</v>
      </c>
      <c r="E3604" s="6" t="s">
        <v>148</v>
      </c>
      <c r="F3604" s="5" t="s">
        <v>149</v>
      </c>
      <c r="G3604" s="6" t="str">
        <f>VLOOKUP(E3604,dicionario!$A$1:$C4003,2,0)</f>
        <v>Parthenium hysterophorus</v>
      </c>
      <c r="H3604" s="6" t="str">
        <f>VLOOKUP(E3604,dicionario!$A$1:$C4003,3,0)</f>
        <v>losna-branca</v>
      </c>
    </row>
    <row r="3605">
      <c r="A3605" s="3">
        <v>45638.0</v>
      </c>
      <c r="B3605" s="4">
        <v>0.28402777777777777</v>
      </c>
      <c r="C3605" s="5" t="s">
        <v>76</v>
      </c>
      <c r="D3605" s="5" t="s">
        <v>971</v>
      </c>
      <c r="E3605" s="8" t="s">
        <v>195</v>
      </c>
      <c r="F3605" s="5" t="s">
        <v>679</v>
      </c>
      <c r="G3605" s="6" t="str">
        <f>VLOOKUP(E3605,dicionario!$A$1:$C4004,2,0)</f>
        <v>Priva lappulacea</v>
      </c>
      <c r="H3605" s="6" t="str">
        <f>VLOOKUP(E3605,dicionario!$A$1:$C4004,3,0)</f>
        <v>carrapicho</v>
      </c>
    </row>
    <row r="3606">
      <c r="A3606" s="3">
        <v>45638.0</v>
      </c>
      <c r="B3606" s="4">
        <v>0.28402777777777777</v>
      </c>
      <c r="C3606" s="5" t="s">
        <v>76</v>
      </c>
      <c r="D3606" s="5" t="s">
        <v>971</v>
      </c>
      <c r="E3606" s="6" t="s">
        <v>267</v>
      </c>
      <c r="F3606" s="5" t="s">
        <v>553</v>
      </c>
      <c r="G3606" s="6" t="str">
        <f>VLOOKUP(E3606,dicionario!$A$1:$C4005,2,0)</f>
        <v>Solanum americanum</v>
      </c>
      <c r="H3606" s="6" t="str">
        <f>VLOOKUP(E3606,dicionario!$A$1:$C4005,3,0)</f>
        <v>maria-pretinha</v>
      </c>
    </row>
    <row r="3607">
      <c r="A3607" s="3">
        <v>45638.0</v>
      </c>
      <c r="B3607" s="4">
        <v>0.28402777777777777</v>
      </c>
      <c r="C3607" s="5" t="s">
        <v>76</v>
      </c>
      <c r="D3607" s="5" t="s">
        <v>971</v>
      </c>
      <c r="E3607" s="51" t="s">
        <v>271</v>
      </c>
      <c r="F3607" s="7" t="s">
        <v>272</v>
      </c>
      <c r="G3607" s="6" t="str">
        <f>VLOOKUP(E3607,dicionario!$A$1:$C4006,2,0)</f>
        <v>Cyanthillium cinereum</v>
      </c>
      <c r="H3607" s="6" t="str">
        <f>VLOOKUP(E3607,dicionario!$A$1:$C4006,3,0)</f>
        <v>emília</v>
      </c>
    </row>
    <row r="3608">
      <c r="A3608" s="3">
        <v>45638.0</v>
      </c>
      <c r="B3608" s="4">
        <v>0.28402777777777777</v>
      </c>
      <c r="C3608" s="5" t="s">
        <v>76</v>
      </c>
      <c r="D3608" s="5" t="s">
        <v>971</v>
      </c>
      <c r="E3608" s="8" t="s">
        <v>548</v>
      </c>
      <c r="F3608" s="5" t="s">
        <v>549</v>
      </c>
      <c r="G3608" s="6" t="str">
        <f>VLOOKUP(E3608,dicionario!$A$1:$C4007,2,0)</f>
        <v>Ricinus communis</v>
      </c>
      <c r="H3608" s="6" t="str">
        <f>VLOOKUP(E3608,dicionario!$A$1:$C4007,3,0)</f>
        <v>mamona</v>
      </c>
    </row>
    <row r="3609">
      <c r="A3609" s="3">
        <v>45638.0</v>
      </c>
      <c r="B3609" s="4">
        <v>0.28402777777777777</v>
      </c>
      <c r="C3609" s="5" t="s">
        <v>76</v>
      </c>
      <c r="D3609" s="5" t="s">
        <v>971</v>
      </c>
      <c r="E3609" s="6" t="s">
        <v>317</v>
      </c>
      <c r="F3609" s="5" t="s">
        <v>318</v>
      </c>
      <c r="G3609" s="6" t="str">
        <f>VLOOKUP(E3609,dicionario!$A$1:$C4008,2,0)</f>
        <v>Leucauge argyra</v>
      </c>
      <c r="H3609" s="6" t="str">
        <f>VLOOKUP(E3609,dicionario!$A$1:$C4008,3,0)</f>
        <v>aranha-de-mandibula-longa</v>
      </c>
    </row>
    <row r="3610">
      <c r="A3610" s="3">
        <v>45638.0</v>
      </c>
      <c r="B3610" s="4">
        <v>0.28402777777777777</v>
      </c>
      <c r="C3610" s="5" t="s">
        <v>76</v>
      </c>
      <c r="D3610" s="5" t="s">
        <v>971</v>
      </c>
      <c r="E3610" s="8" t="s">
        <v>504</v>
      </c>
      <c r="F3610" s="5" t="s">
        <v>534</v>
      </c>
      <c r="G3610" s="6" t="str">
        <f>VLOOKUP(E3610,dicionario!$A$1:$C4009,2,0)</f>
        <v>Cleome aculeata</v>
      </c>
      <c r="H3610" s="6" t="str">
        <f>VLOOKUP(E3610,dicionario!$A$1:$C4009,3,0)</f>
        <v>cleome</v>
      </c>
    </row>
    <row r="3611">
      <c r="A3611" s="3">
        <v>45638.0</v>
      </c>
      <c r="B3611" s="4">
        <v>0.2847222222222222</v>
      </c>
      <c r="C3611" s="5" t="s">
        <v>76</v>
      </c>
      <c r="D3611" s="5" t="s">
        <v>971</v>
      </c>
      <c r="E3611" s="6" t="s">
        <v>146</v>
      </c>
      <c r="F3611" s="5" t="s">
        <v>147</v>
      </c>
      <c r="G3611" s="6" t="str">
        <f>VLOOKUP(E3611,dicionario!$A$1:$C4010,2,0)</f>
        <v>Euphorbia hirta</v>
      </c>
      <c r="H3611" s="6" t="str">
        <f>VLOOKUP(E3611,dicionario!$A$1:$C4010,3,0)</f>
        <v>erva-de-santa-luzia</v>
      </c>
    </row>
    <row r="3612">
      <c r="A3612" s="3">
        <v>45638.0</v>
      </c>
      <c r="B3612" s="4">
        <v>0.2847222222222222</v>
      </c>
      <c r="C3612" s="5" t="s">
        <v>76</v>
      </c>
      <c r="D3612" s="5" t="s">
        <v>971</v>
      </c>
      <c r="E3612" s="6" t="s">
        <v>239</v>
      </c>
      <c r="F3612" s="5" t="s">
        <v>240</v>
      </c>
      <c r="G3612" s="6" t="str">
        <f>VLOOKUP(E3612,dicionario!$A$1:$C4011,2,0)</f>
        <v>Gomphrena celosioides</v>
      </c>
      <c r="H3612" s="6" t="str">
        <f>VLOOKUP(E3612,dicionario!$A$1:$C4011,3,0)</f>
        <v>perpétua-branca</v>
      </c>
    </row>
    <row r="3613">
      <c r="A3613" s="3">
        <v>45638.0</v>
      </c>
      <c r="B3613" s="4">
        <v>0.2847222222222222</v>
      </c>
      <c r="C3613" s="5" t="s">
        <v>76</v>
      </c>
      <c r="D3613" s="5" t="s">
        <v>971</v>
      </c>
      <c r="E3613" s="6" t="s">
        <v>296</v>
      </c>
      <c r="F3613" s="5" t="s">
        <v>297</v>
      </c>
      <c r="G3613" s="6" t="str">
        <f>VLOOKUP(E3613,dicionario!$A$1:$C4012,2,0)</f>
        <v>Richardia brasiliensis</v>
      </c>
      <c r="H3613" s="6" t="str">
        <f>VLOOKUP(E3613,dicionario!$A$1:$C4012,3,0)</f>
        <v>poaia-branca</v>
      </c>
    </row>
    <row r="3614">
      <c r="A3614" s="3">
        <v>45638.0</v>
      </c>
      <c r="B3614" s="4">
        <v>0.2847222222222222</v>
      </c>
      <c r="C3614" s="5" t="s">
        <v>76</v>
      </c>
      <c r="D3614" s="5" t="s">
        <v>971</v>
      </c>
      <c r="E3614" s="6" t="s">
        <v>483</v>
      </c>
      <c r="F3614" s="5" t="s">
        <v>484</v>
      </c>
      <c r="G3614" s="6" t="str">
        <f>VLOOKUP(E3614,dicionario!$A$1:$C4013,2,0)</f>
        <v>Euphorbia prostrata</v>
      </c>
      <c r="H3614" s="6" t="str">
        <f>VLOOKUP(E3614,dicionario!$A$1:$C4013,3,0)</f>
        <v>quebra-pedra-rasteira</v>
      </c>
    </row>
    <row r="3615">
      <c r="A3615" s="3">
        <v>45638.0</v>
      </c>
      <c r="B3615" s="4">
        <v>0.2847222222222222</v>
      </c>
      <c r="C3615" s="5" t="s">
        <v>76</v>
      </c>
      <c r="D3615" s="5" t="s">
        <v>971</v>
      </c>
      <c r="E3615" s="6" t="s">
        <v>181</v>
      </c>
      <c r="F3615" s="5" t="s">
        <v>182</v>
      </c>
      <c r="G3615" s="6" t="str">
        <f>VLOOKUP(E3615,dicionario!$A$1:$C4014,2,0)</f>
        <v>#N/A</v>
      </c>
      <c r="H3615" s="6" t="str">
        <f>VLOOKUP(E3615,dicionario!$A$1:$C4014,3,0)</f>
        <v>#N/A</v>
      </c>
    </row>
    <row r="3616">
      <c r="A3616" s="3">
        <v>45638.0</v>
      </c>
      <c r="B3616" s="4">
        <v>0.28541666666666665</v>
      </c>
      <c r="C3616" s="5" t="s">
        <v>76</v>
      </c>
      <c r="D3616" s="5" t="s">
        <v>971</v>
      </c>
      <c r="E3616" s="6" t="s">
        <v>265</v>
      </c>
      <c r="F3616" s="5" t="s">
        <v>266</v>
      </c>
      <c r="G3616" s="6" t="str">
        <f>VLOOKUP(E3616,dicionario!$A$1:$C4015,2,0)</f>
        <v>Sonchus oleraceus</v>
      </c>
      <c r="H3616" s="6" t="str">
        <f>VLOOKUP(E3616,dicionario!$A$1:$C4015,3,0)</f>
        <v>seralha</v>
      </c>
    </row>
    <row r="3617">
      <c r="A3617" s="3">
        <v>45638.0</v>
      </c>
      <c r="B3617" s="4">
        <v>0.28541666666666665</v>
      </c>
      <c r="C3617" s="5" t="s">
        <v>76</v>
      </c>
      <c r="D3617" s="5" t="s">
        <v>971</v>
      </c>
      <c r="E3617" s="6" t="s">
        <v>227</v>
      </c>
      <c r="F3617" s="5" t="s">
        <v>228</v>
      </c>
      <c r="G3617" s="6" t="str">
        <f>VLOOKUP(E3617,dicionario!$A$1:$C4016,2,0)</f>
        <v>Indigofera hirsuta</v>
      </c>
      <c r="H3617" s="6" t="str">
        <f>VLOOKUP(E3617,dicionario!$A$1:$C4016,3,0)</f>
        <v>anileira</v>
      </c>
    </row>
    <row r="3618">
      <c r="A3618" s="3">
        <v>45638.0</v>
      </c>
      <c r="B3618" s="4">
        <v>0.28541666666666665</v>
      </c>
      <c r="C3618" s="5" t="s">
        <v>76</v>
      </c>
      <c r="D3618" s="5" t="s">
        <v>971</v>
      </c>
      <c r="E3618" s="6" t="s">
        <v>514</v>
      </c>
      <c r="F3618" s="7" t="s">
        <v>515</v>
      </c>
      <c r="G3618" s="6" t="str">
        <f>VLOOKUP(E3618,dicionario!$A$1:$C4017,2,0)</f>
        <v>Aedes aegypti</v>
      </c>
      <c r="H3618" s="6" t="str">
        <f>VLOOKUP(E3618,dicionario!$A$1:$C4017,3,0)</f>
        <v>mosquito-da-dengue</v>
      </c>
    </row>
    <row r="3619">
      <c r="A3619" s="3">
        <v>45638.0</v>
      </c>
      <c r="B3619" s="4">
        <v>0.28541666666666665</v>
      </c>
      <c r="C3619" s="5" t="s">
        <v>76</v>
      </c>
      <c r="D3619" s="5" t="s">
        <v>971</v>
      </c>
      <c r="E3619" s="8" t="s">
        <v>288</v>
      </c>
      <c r="F3619" s="5" t="s">
        <v>289</v>
      </c>
      <c r="G3619" s="6" t="str">
        <f>VLOOKUP(E3619,dicionario!$A$1:$C4018,2,0)</f>
        <v>Phyllanthus tenellus</v>
      </c>
      <c r="H3619" s="6" t="str">
        <f>VLOOKUP(E3619,dicionario!$A$1:$C4018,3,0)</f>
        <v>quebra-pedra</v>
      </c>
    </row>
    <row r="3620">
      <c r="A3620" s="3">
        <v>45638.0</v>
      </c>
      <c r="B3620" s="4">
        <v>0.28541666666666665</v>
      </c>
      <c r="C3620" s="5" t="s">
        <v>76</v>
      </c>
      <c r="D3620" s="5" t="s">
        <v>971</v>
      </c>
      <c r="E3620" s="38" t="s">
        <v>979</v>
      </c>
      <c r="F3620" s="31"/>
      <c r="G3620" s="6" t="str">
        <f>VLOOKUP(E3620,dicionario!$A$1:$C4019,2,0)</f>
        <v>#N/A</v>
      </c>
      <c r="H3620" s="6" t="str">
        <f>VLOOKUP(E3620,dicionario!$A$1:$C4019,3,0)</f>
        <v>#N/A</v>
      </c>
    </row>
    <row r="3621">
      <c r="A3621" s="3">
        <v>45638.0</v>
      </c>
      <c r="B3621" s="4">
        <v>0.28680555555555554</v>
      </c>
      <c r="C3621" s="5" t="s">
        <v>76</v>
      </c>
      <c r="D3621" s="5" t="s">
        <v>971</v>
      </c>
      <c r="E3621" s="6" t="s">
        <v>88</v>
      </c>
      <c r="F3621" s="5" t="s">
        <v>89</v>
      </c>
      <c r="G3621" s="6" t="str">
        <f>VLOOKUP(E3621,dicionario!$A$1:$C4020,2,0)</f>
        <v>Tyrannus melancolichus</v>
      </c>
      <c r="H3621" s="6" t="str">
        <f>VLOOKUP(E3621,dicionario!$A$1:$C4020,3,0)</f>
        <v>suiriri</v>
      </c>
    </row>
    <row r="3622">
      <c r="A3622" s="3">
        <v>45638.0</v>
      </c>
      <c r="B3622" s="4">
        <v>0.28680555555555554</v>
      </c>
      <c r="C3622" s="5" t="s">
        <v>76</v>
      </c>
      <c r="D3622" s="5" t="s">
        <v>971</v>
      </c>
      <c r="E3622" s="6" t="s">
        <v>20</v>
      </c>
      <c r="F3622" s="7" t="s">
        <v>21</v>
      </c>
      <c r="G3622" s="6" t="str">
        <f>VLOOKUP(E3622,dicionario!$A$1:$C4021,2,0)</f>
        <v>Sicalis flaveola</v>
      </c>
      <c r="H3622" s="6" t="str">
        <f>VLOOKUP(E3622,dicionario!$A$1:$C4021,3,0)</f>
        <v>canário-da-terra</v>
      </c>
    </row>
    <row r="3623">
      <c r="A3623" s="3">
        <v>45638.0</v>
      </c>
      <c r="B3623" s="4">
        <v>0.28680555555555554</v>
      </c>
      <c r="C3623" s="5" t="s">
        <v>76</v>
      </c>
      <c r="D3623" s="5" t="s">
        <v>971</v>
      </c>
      <c r="E3623" s="8" t="s">
        <v>38</v>
      </c>
      <c r="F3623" s="5" t="s">
        <v>39</v>
      </c>
      <c r="G3623" s="6" t="str">
        <f>VLOOKUP(E3623,dicionario!$A$1:$C4022,2,0)</f>
        <v>Troglodytes musculus</v>
      </c>
      <c r="H3623" s="6" t="str">
        <f>VLOOKUP(E3623,dicionario!$A$1:$C4022,3,0)</f>
        <v>curruíra</v>
      </c>
    </row>
    <row r="3624">
      <c r="A3624" s="3">
        <v>45638.0</v>
      </c>
      <c r="B3624" s="4">
        <v>0.28680555555555554</v>
      </c>
      <c r="C3624" s="5" t="s">
        <v>76</v>
      </c>
      <c r="D3624" s="5" t="s">
        <v>971</v>
      </c>
      <c r="E3624" s="9" t="s">
        <v>105</v>
      </c>
      <c r="F3624" s="5" t="s">
        <v>106</v>
      </c>
      <c r="G3624" s="6" t="str">
        <f>VLOOKUP(E3624,dicionario!$A$1:$C4023,2,0)</f>
        <v>Progne tapera</v>
      </c>
      <c r="H3624" s="6" t="str">
        <f>VLOOKUP(E3624,dicionario!$A$1:$C4023,3,0)</f>
        <v>andorinha-do-campo</v>
      </c>
    </row>
    <row r="3625">
      <c r="A3625" s="3">
        <v>45638.0</v>
      </c>
      <c r="B3625" s="4">
        <v>0.28680555555555554</v>
      </c>
      <c r="C3625" s="5" t="s">
        <v>76</v>
      </c>
      <c r="D3625" s="5" t="s">
        <v>971</v>
      </c>
      <c r="E3625" s="6" t="s">
        <v>48</v>
      </c>
      <c r="F3625" s="5" t="s">
        <v>49</v>
      </c>
      <c r="G3625" s="6" t="str">
        <f>VLOOKUP(E3625,dicionario!$A$1:$C4024,2,0)</f>
        <v>Commelina erecta</v>
      </c>
      <c r="H3625" s="6" t="str">
        <f>VLOOKUP(E3625,dicionario!$A$1:$C4024,3,0)</f>
        <v>trapoeraba</v>
      </c>
    </row>
    <row r="3626">
      <c r="A3626" s="3">
        <v>45638.0</v>
      </c>
      <c r="B3626" s="4">
        <v>0.28680555555555554</v>
      </c>
      <c r="C3626" s="5" t="s">
        <v>76</v>
      </c>
      <c r="D3626" s="5" t="s">
        <v>971</v>
      </c>
      <c r="E3626" s="6" t="s">
        <v>355</v>
      </c>
      <c r="F3626" s="5" t="s">
        <v>356</v>
      </c>
      <c r="G3626" s="6" t="str">
        <f>VLOOKUP(E3626,dicionario!$A$1:$C4025,2,0)</f>
        <v>Boerhavia diffusa</v>
      </c>
      <c r="H3626" s="6" t="str">
        <f>VLOOKUP(E3626,dicionario!$A$1:$C4025,3,0)</f>
        <v>erva-tostão</v>
      </c>
    </row>
    <row r="3627">
      <c r="A3627" s="3">
        <v>45638.0</v>
      </c>
      <c r="B3627" s="4">
        <v>0.28680555555555554</v>
      </c>
      <c r="C3627" s="5" t="s">
        <v>76</v>
      </c>
      <c r="D3627" s="5" t="s">
        <v>971</v>
      </c>
      <c r="E3627" s="6" t="s">
        <v>324</v>
      </c>
      <c r="F3627" s="5" t="s">
        <v>325</v>
      </c>
      <c r="G3627" s="6" t="str">
        <f>VLOOKUP(E3627,dicionario!$A$1:$C4026,2,0)</f>
        <v>#N/A</v>
      </c>
      <c r="H3627" s="6" t="str">
        <f>VLOOKUP(E3627,dicionario!$A$1:$C4026,3,0)</f>
        <v>#N/A</v>
      </c>
    </row>
    <row r="3628">
      <c r="A3628" s="3">
        <v>45638.0</v>
      </c>
      <c r="B3628" s="4">
        <v>0.28680555555555554</v>
      </c>
      <c r="C3628" s="5" t="s">
        <v>76</v>
      </c>
      <c r="D3628" s="5" t="s">
        <v>971</v>
      </c>
      <c r="E3628" s="12" t="s">
        <v>221</v>
      </c>
      <c r="F3628" s="5" t="s">
        <v>222</v>
      </c>
      <c r="G3628" s="6" t="str">
        <f>VLOOKUP(E3628,dicionario!$A$1:$C4027,2,0)</f>
        <v>Volatinia jacarina</v>
      </c>
      <c r="H3628" s="6" t="str">
        <f>VLOOKUP(E3628,dicionario!$A$1:$C4027,3,0)</f>
        <v>tiziu</v>
      </c>
    </row>
    <row r="3629">
      <c r="A3629" s="3">
        <v>45638.0</v>
      </c>
      <c r="B3629" s="4">
        <v>0.28680555555555554</v>
      </c>
      <c r="C3629" s="5" t="s">
        <v>76</v>
      </c>
      <c r="D3629" s="5" t="s">
        <v>971</v>
      </c>
      <c r="E3629" s="6" t="s">
        <v>16</v>
      </c>
      <c r="F3629" s="5" t="s">
        <v>17</v>
      </c>
      <c r="G3629" s="6" t="str">
        <f>VLOOKUP(E3629,dicionario!$A$1:$C4028,2,0)</f>
        <v>Eupetomena macroura</v>
      </c>
      <c r="H3629" s="6" t="str">
        <f>VLOOKUP(E3629,dicionario!$A$1:$C4028,3,0)</f>
        <v>beija-flor-tesoura</v>
      </c>
    </row>
    <row r="3630">
      <c r="A3630" s="3">
        <v>45638.0</v>
      </c>
      <c r="B3630" s="4">
        <v>0.28680555555555554</v>
      </c>
      <c r="C3630" s="5" t="s">
        <v>76</v>
      </c>
      <c r="D3630" s="5" t="s">
        <v>971</v>
      </c>
      <c r="E3630" s="8" t="s">
        <v>41</v>
      </c>
      <c r="F3630" s="5" t="s">
        <v>45</v>
      </c>
      <c r="G3630" s="6" t="str">
        <f>VLOOKUP(E3630,dicionario!$A$1:$C4029,2,0)</f>
        <v>Mimosa pudica</v>
      </c>
      <c r="H3630" s="6" t="str">
        <f>VLOOKUP(E3630,dicionario!$A$1:$C4029,3,0)</f>
        <v>dormideira</v>
      </c>
    </row>
    <row r="3631">
      <c r="A3631" s="3">
        <v>45638.0</v>
      </c>
      <c r="B3631" s="4">
        <v>0.28680555555555554</v>
      </c>
      <c r="C3631" s="5" t="s">
        <v>76</v>
      </c>
      <c r="D3631" s="5" t="s">
        <v>971</v>
      </c>
      <c r="E3631" s="6" t="s">
        <v>245</v>
      </c>
      <c r="F3631" s="7" t="s">
        <v>246</v>
      </c>
      <c r="G3631" s="6" t="str">
        <f>VLOOKUP(E3631,dicionario!$A$1:$C4030,2,0)</f>
        <v>Hemiargus hanno</v>
      </c>
      <c r="H3631" s="6" t="str">
        <f>VLOOKUP(E3631,dicionario!$A$1:$C4030,3,0)</f>
        <v>borboleta-azulzinha-do-trevo</v>
      </c>
    </row>
    <row r="3632">
      <c r="A3632" s="3">
        <v>45638.0</v>
      </c>
      <c r="B3632" s="4">
        <v>0.28680555555555554</v>
      </c>
      <c r="C3632" s="5" t="s">
        <v>76</v>
      </c>
      <c r="D3632" s="5" t="s">
        <v>971</v>
      </c>
      <c r="E3632" s="6" t="s">
        <v>171</v>
      </c>
      <c r="F3632" s="5" t="s">
        <v>172</v>
      </c>
      <c r="G3632" s="6" t="str">
        <f>VLOOKUP(E3632,dicionario!$A$1:$C4031,2,0)</f>
        <v>Oxalis corniculata</v>
      </c>
      <c r="H3632" s="6" t="str">
        <f>VLOOKUP(E3632,dicionario!$A$1:$C4031,3,0)</f>
        <v>trevo-azedinho</v>
      </c>
    </row>
    <row r="3633">
      <c r="A3633" s="3">
        <v>45638.0</v>
      </c>
      <c r="B3633" s="4">
        <v>0.28680555555555554</v>
      </c>
      <c r="C3633" s="5" t="s">
        <v>76</v>
      </c>
      <c r="D3633" s="5" t="s">
        <v>971</v>
      </c>
      <c r="E3633" s="8" t="s">
        <v>858</v>
      </c>
      <c r="F3633" s="5" t="s">
        <v>859</v>
      </c>
      <c r="G3633" s="6" t="str">
        <f>VLOOKUP(E3633,dicionario!$A$1:$C4032,2,0)</f>
        <v>Rumex obtusifolius</v>
      </c>
      <c r="H3633" s="6" t="str">
        <f>VLOOKUP(E3633,dicionario!$A$1:$C4032,3,0)</f>
        <v>lingua-de-vaca</v>
      </c>
    </row>
    <row r="3634">
      <c r="A3634" s="3">
        <v>45638.0</v>
      </c>
      <c r="B3634" s="4">
        <v>0.2875</v>
      </c>
      <c r="C3634" s="5" t="s">
        <v>76</v>
      </c>
      <c r="D3634" s="5" t="s">
        <v>971</v>
      </c>
      <c r="E3634" s="6" t="s">
        <v>247</v>
      </c>
      <c r="F3634" s="5" t="s">
        <v>387</v>
      </c>
      <c r="G3634" s="6" t="str">
        <f>VLOOKUP(E3634,dicionario!$A$1:$C4033,2,0)</f>
        <v>Emilia sonchifolia</v>
      </c>
      <c r="H3634" s="6" t="str">
        <f>VLOOKUP(E3634,dicionario!$A$1:$C4033,3,0)</f>
        <v>serralinha</v>
      </c>
    </row>
    <row r="3635">
      <c r="A3635" s="3">
        <v>45638.0</v>
      </c>
      <c r="B3635" s="4">
        <v>0.2875</v>
      </c>
      <c r="C3635" s="5" t="s">
        <v>76</v>
      </c>
      <c r="D3635" s="5" t="s">
        <v>971</v>
      </c>
      <c r="E3635" s="6" t="s">
        <v>646</v>
      </c>
      <c r="F3635" s="5" t="s">
        <v>647</v>
      </c>
      <c r="G3635" s="6" t="str">
        <f>VLOOKUP(E3635,dicionario!$A$1:$C4034,2,0)</f>
        <v>Palpada mexicana</v>
      </c>
      <c r="H3635" s="6" t="str">
        <f>VLOOKUP(E3635,dicionario!$A$1:$C4034,3,0)</f>
        <v>mosca-das-flores</v>
      </c>
    </row>
    <row r="3636">
      <c r="A3636" s="3">
        <v>45638.0</v>
      </c>
      <c r="B3636" s="4">
        <v>0.2881944444444444</v>
      </c>
      <c r="C3636" s="5" t="s">
        <v>76</v>
      </c>
      <c r="D3636" s="5" t="s">
        <v>971</v>
      </c>
      <c r="E3636" s="29" t="s">
        <v>566</v>
      </c>
      <c r="F3636" s="5" t="s">
        <v>567</v>
      </c>
      <c r="G3636" s="6" t="str">
        <f>VLOOKUP(E3636,dicionario!$A$1:$C4035,2,0)</f>
        <v>Baccharis dracunculifolia</v>
      </c>
      <c r="H3636" s="6" t="str">
        <f>VLOOKUP(E3636,dicionario!$A$1:$C4035,3,0)</f>
        <v>vassoura</v>
      </c>
    </row>
    <row r="3637">
      <c r="A3637" s="3">
        <v>45638.0</v>
      </c>
      <c r="B3637" s="4">
        <v>0.28888888888888886</v>
      </c>
      <c r="C3637" s="5" t="s">
        <v>76</v>
      </c>
      <c r="D3637" s="5" t="s">
        <v>971</v>
      </c>
      <c r="E3637" s="8" t="s">
        <v>528</v>
      </c>
      <c r="F3637" s="5" t="s">
        <v>529</v>
      </c>
      <c r="G3637" s="6" t="str">
        <f>VLOOKUP(E3637,dicionario!$A$1:$C4036,2,0)</f>
        <v>#N/A</v>
      </c>
      <c r="H3637" s="6" t="str">
        <f>VLOOKUP(E3637,dicionario!$A$1:$C4036,3,0)</f>
        <v>#N/A</v>
      </c>
    </row>
    <row r="3638">
      <c r="A3638" s="3">
        <v>45638.0</v>
      </c>
      <c r="B3638" s="4">
        <v>0.28888888888888886</v>
      </c>
      <c r="C3638" s="5" t="s">
        <v>76</v>
      </c>
      <c r="D3638" s="5" t="s">
        <v>971</v>
      </c>
      <c r="E3638" s="6" t="s">
        <v>162</v>
      </c>
      <c r="F3638" s="7" t="s">
        <v>42</v>
      </c>
      <c r="G3638" s="6" t="str">
        <f>VLOOKUP(E3638,dicionario!$A$1:$C4037,2,0)</f>
        <v>Fluvicola nengeta</v>
      </c>
      <c r="H3638" s="6" t="str">
        <f>VLOOKUP(E3638,dicionario!$A$1:$C4037,3,0)</f>
        <v>lavadeira-mascarada</v>
      </c>
    </row>
    <row r="3639">
      <c r="A3639" s="3">
        <v>45638.0</v>
      </c>
      <c r="B3639" s="4">
        <v>0.28958333333333336</v>
      </c>
      <c r="C3639" s="5" t="s">
        <v>76</v>
      </c>
      <c r="D3639" s="5" t="s">
        <v>971</v>
      </c>
      <c r="E3639" s="8" t="s">
        <v>69</v>
      </c>
      <c r="F3639" s="7" t="s">
        <v>71</v>
      </c>
      <c r="G3639" s="6" t="str">
        <f>VLOOKUP(E3639,dicionario!$A$1:$C4038,2,0)</f>
        <v>Talinum fruticosum</v>
      </c>
      <c r="H3639" s="6" t="str">
        <f>VLOOKUP(E3639,dicionario!$A$1:$C4038,3,0)</f>
        <v>beldroega-grande</v>
      </c>
    </row>
    <row r="3640">
      <c r="A3640" s="3">
        <v>45638.0</v>
      </c>
      <c r="B3640" s="4">
        <v>0.28958333333333336</v>
      </c>
      <c r="C3640" s="5" t="s">
        <v>76</v>
      </c>
      <c r="D3640" s="5" t="s">
        <v>971</v>
      </c>
      <c r="E3640" s="6" t="s">
        <v>111</v>
      </c>
      <c r="F3640" s="7" t="s">
        <v>112</v>
      </c>
      <c r="G3640" s="6" t="str">
        <f>VLOOKUP(E3640,dicionario!$A$1:$C4039,2,0)</f>
        <v>Trigona spinipes</v>
      </c>
      <c r="H3640" s="6" t="str">
        <f>VLOOKUP(E3640,dicionario!$A$1:$C4039,3,0)</f>
        <v>abelha-cachorro</v>
      </c>
    </row>
    <row r="3641">
      <c r="A3641" s="3">
        <v>45638.0</v>
      </c>
      <c r="B3641" s="4">
        <v>0.29097222222222224</v>
      </c>
      <c r="C3641" s="5" t="s">
        <v>76</v>
      </c>
      <c r="D3641" s="5" t="s">
        <v>971</v>
      </c>
      <c r="E3641" s="8" t="s">
        <v>555</v>
      </c>
      <c r="F3641" s="7" t="s">
        <v>556</v>
      </c>
      <c r="G3641" s="6" t="str">
        <f>VLOOKUP(E3641,dicionario!$A$1:$C4040,2,0)</f>
        <v>Talinum paniculatum</v>
      </c>
      <c r="H3641" s="6" t="str">
        <f>VLOOKUP(E3641,dicionario!$A$1:$C4040,3,0)</f>
        <v>beldroegão</v>
      </c>
    </row>
    <row r="3642">
      <c r="A3642" s="3">
        <v>45638.0</v>
      </c>
      <c r="B3642" s="4">
        <v>0.29097222222222224</v>
      </c>
      <c r="C3642" s="5" t="s">
        <v>76</v>
      </c>
      <c r="D3642" s="5" t="s">
        <v>971</v>
      </c>
      <c r="E3642" s="8" t="s">
        <v>434</v>
      </c>
      <c r="F3642" s="5" t="s">
        <v>435</v>
      </c>
      <c r="G3642" s="6" t="str">
        <f>VLOOKUP(E3642,dicionario!$A$1:$C4041,2,0)</f>
        <v>#N/A</v>
      </c>
      <c r="H3642" s="6" t="str">
        <f>VLOOKUP(E3642,dicionario!$A$1:$C4041,3,0)</f>
        <v>#N/A</v>
      </c>
    </row>
    <row r="3643">
      <c r="A3643" s="3">
        <v>45638.0</v>
      </c>
      <c r="B3643" s="4">
        <v>0.29097222222222224</v>
      </c>
      <c r="C3643" s="5" t="s">
        <v>76</v>
      </c>
      <c r="D3643" s="5" t="s">
        <v>971</v>
      </c>
      <c r="E3643" s="6" t="s">
        <v>83</v>
      </c>
      <c r="F3643" s="5" t="s">
        <v>84</v>
      </c>
      <c r="G3643" s="6" t="str">
        <f>VLOOKUP(E3643,dicionario!$A$1:$C4042,2,0)</f>
        <v>Anartia jatrophae</v>
      </c>
      <c r="H3643" s="6" t="str">
        <f>VLOOKUP(E3643,dicionario!$A$1:$C4042,3,0)</f>
        <v>borboleta-pavão-branco</v>
      </c>
    </row>
    <row r="3644">
      <c r="A3644" s="3">
        <v>45638.0</v>
      </c>
      <c r="B3644" s="4">
        <v>0.29097222222222224</v>
      </c>
      <c r="C3644" s="5" t="s">
        <v>76</v>
      </c>
      <c r="D3644" s="5" t="s">
        <v>971</v>
      </c>
      <c r="E3644" s="26"/>
      <c r="F3644" s="52" t="s">
        <v>726</v>
      </c>
      <c r="G3644" s="6" t="str">
        <f>VLOOKUP(E3644,dicionario!$A$1:$C4043,2,0)</f>
        <v>#N/A</v>
      </c>
      <c r="H3644" s="6" t="str">
        <f>VLOOKUP(E3644,dicionario!$A$1:$C4043,3,0)</f>
        <v>#N/A</v>
      </c>
    </row>
    <row r="3645">
      <c r="A3645" s="3">
        <v>45638.0</v>
      </c>
      <c r="B3645" s="4">
        <v>0.29097222222222224</v>
      </c>
      <c r="C3645" s="5" t="s">
        <v>76</v>
      </c>
      <c r="D3645" s="5" t="s">
        <v>971</v>
      </c>
      <c r="E3645" s="6" t="s">
        <v>684</v>
      </c>
      <c r="F3645" s="5" t="s">
        <v>685</v>
      </c>
      <c r="G3645" s="6" t="str">
        <f>VLOOKUP(E3645,dicionario!$A$1:$C4044,2,0)</f>
        <v>Columbina squammata</v>
      </c>
      <c r="H3645" s="6" t="str">
        <f>VLOOKUP(E3645,dicionario!$A$1:$C4044,3,0)</f>
        <v>rolinha-fogo-apagou</v>
      </c>
    </row>
    <row r="3646">
      <c r="A3646" s="3">
        <v>45638.0</v>
      </c>
      <c r="B3646" s="4">
        <v>0.29097222222222224</v>
      </c>
      <c r="C3646" s="5" t="s">
        <v>76</v>
      </c>
      <c r="D3646" s="5" t="s">
        <v>971</v>
      </c>
      <c r="E3646" s="6" t="s">
        <v>144</v>
      </c>
      <c r="F3646" s="5" t="s">
        <v>145</v>
      </c>
      <c r="G3646" s="6" t="str">
        <f>VLOOKUP(E3646,dicionario!$A$1:$C4045,2,0)</f>
        <v>Gomphrena globosa</v>
      </c>
      <c r="H3646" s="6" t="str">
        <f>VLOOKUP(E3646,dicionario!$A$1:$C4045,3,0)</f>
        <v>perpétua-rosa</v>
      </c>
    </row>
    <row r="3647">
      <c r="A3647" s="3">
        <v>45638.0</v>
      </c>
      <c r="B3647" s="4">
        <v>0.29097222222222224</v>
      </c>
      <c r="C3647" s="5" t="s">
        <v>76</v>
      </c>
      <c r="D3647" s="5" t="s">
        <v>971</v>
      </c>
      <c r="E3647" s="6" t="s">
        <v>467</v>
      </c>
      <c r="F3647" s="5" t="s">
        <v>468</v>
      </c>
      <c r="G3647" s="6" t="str">
        <f>VLOOKUP(E3647,dicionario!$A$1:$C4046,2,0)</f>
        <v>Eleusine indica</v>
      </c>
      <c r="H3647" s="6" t="str">
        <f>VLOOKUP(E3647,dicionario!$A$1:$C4046,3,0)</f>
        <v>capim-pé-de-galinha</v>
      </c>
    </row>
    <row r="3648">
      <c r="A3648" s="3">
        <v>45638.0</v>
      </c>
      <c r="B3648" s="4">
        <v>0.29097222222222224</v>
      </c>
      <c r="C3648" s="5" t="s">
        <v>76</v>
      </c>
      <c r="D3648" s="5" t="s">
        <v>971</v>
      </c>
      <c r="E3648" s="8" t="s">
        <v>980</v>
      </c>
      <c r="F3648" s="5" t="s">
        <v>414</v>
      </c>
      <c r="G3648" s="6" t="str">
        <f>VLOOKUP(E3648,dicionario!$A$1:$C4047,2,0)</f>
        <v>#N/A</v>
      </c>
      <c r="H3648" s="6" t="str">
        <f>VLOOKUP(E3648,dicionario!$A$1:$C4047,3,0)</f>
        <v>#N/A</v>
      </c>
    </row>
    <row r="3649">
      <c r="A3649" s="3">
        <v>45638.0</v>
      </c>
      <c r="B3649" s="4">
        <v>0.29097222222222224</v>
      </c>
      <c r="C3649" s="5" t="s">
        <v>76</v>
      </c>
      <c r="D3649" s="5" t="s">
        <v>971</v>
      </c>
      <c r="E3649" s="6" t="s">
        <v>425</v>
      </c>
      <c r="F3649" s="5" t="s">
        <v>426</v>
      </c>
      <c r="G3649" s="6" t="str">
        <f>VLOOKUP(E3649,dicionario!$A$1:$C4048,2,0)</f>
        <v>Digitaria insularis</v>
      </c>
      <c r="H3649" s="6" t="str">
        <f>VLOOKUP(E3649,dicionario!$A$1:$C4048,3,0)</f>
        <v>capim-amargoso</v>
      </c>
    </row>
    <row r="3650">
      <c r="A3650" s="3">
        <v>45638.0</v>
      </c>
      <c r="B3650" s="4">
        <v>0.29097222222222224</v>
      </c>
      <c r="C3650" s="5" t="s">
        <v>76</v>
      </c>
      <c r="D3650" s="5" t="s">
        <v>971</v>
      </c>
      <c r="E3650" s="6" t="s">
        <v>471</v>
      </c>
      <c r="F3650" s="5" t="s">
        <v>472</v>
      </c>
      <c r="G3650" s="6" t="str">
        <f>VLOOKUP(E3650,dicionario!$A$1:$C4049,2,0)</f>
        <v>Sida acuta</v>
      </c>
      <c r="H3650" s="6" t="str">
        <f>VLOOKUP(E3650,dicionario!$A$1:$C4049,3,0)</f>
        <v>reloginho</v>
      </c>
    </row>
    <row r="3651">
      <c r="A3651" s="3">
        <v>45638.0</v>
      </c>
      <c r="B3651" s="4">
        <v>0.2923611111111111</v>
      </c>
      <c r="C3651" s="5" t="s">
        <v>76</v>
      </c>
      <c r="D3651" s="5" t="s">
        <v>971</v>
      </c>
      <c r="E3651" s="6" t="s">
        <v>326</v>
      </c>
      <c r="F3651" s="5" t="s">
        <v>327</v>
      </c>
      <c r="G3651" s="6" t="str">
        <f>VLOOKUP(E3651,dicionario!$A$1:$C4050,2,0)</f>
        <v>Amaranthus spinosus</v>
      </c>
      <c r="H3651" s="6" t="str">
        <f>VLOOKUP(E3651,dicionario!$A$1:$C4050,3,0)</f>
        <v>caruru-de-espinho</v>
      </c>
    </row>
    <row r="3652">
      <c r="A3652" s="3">
        <v>45638.0</v>
      </c>
      <c r="B3652" s="4">
        <v>0.2923611111111111</v>
      </c>
      <c r="C3652" s="5" t="s">
        <v>76</v>
      </c>
      <c r="D3652" s="5" t="s">
        <v>971</v>
      </c>
      <c r="E3652" s="6" t="s">
        <v>253</v>
      </c>
      <c r="F3652" s="5" t="s">
        <v>254</v>
      </c>
      <c r="G3652" s="6" t="str">
        <f>VLOOKUP(E3652,dicionario!$A$1:$C4051,2,0)</f>
        <v>Panicum maximum</v>
      </c>
      <c r="H3652" s="6" t="str">
        <f>VLOOKUP(E3652,dicionario!$A$1:$C4051,3,0)</f>
        <v>capim-colonião</v>
      </c>
    </row>
    <row r="3653">
      <c r="A3653" s="3">
        <v>45638.0</v>
      </c>
      <c r="B3653" s="4">
        <v>0.29305555555555557</v>
      </c>
      <c r="C3653" s="5" t="s">
        <v>76</v>
      </c>
      <c r="D3653" s="5" t="s">
        <v>971</v>
      </c>
      <c r="E3653" s="6" t="s">
        <v>280</v>
      </c>
      <c r="F3653" s="5" t="s">
        <v>438</v>
      </c>
      <c r="G3653" s="6" t="str">
        <f>VLOOKUP(E3653,dicionario!$A$1:$C4052,2,0)</f>
        <v>Lepidium virginicum</v>
      </c>
      <c r="H3653" s="6" t="str">
        <f>VLOOKUP(E3653,dicionario!$A$1:$C4052,3,0)</f>
        <v>mastruz</v>
      </c>
    </row>
    <row r="3654">
      <c r="A3654" s="3">
        <v>45638.0</v>
      </c>
      <c r="B3654" s="4">
        <v>0.29305555555555557</v>
      </c>
      <c r="C3654" s="5" t="s">
        <v>76</v>
      </c>
      <c r="D3654" s="5" t="s">
        <v>971</v>
      </c>
      <c r="E3654" s="6" t="s">
        <v>292</v>
      </c>
      <c r="F3654" s="5" t="s">
        <v>293</v>
      </c>
      <c r="G3654" s="6" t="str">
        <f>VLOOKUP(E3654,dicionario!$A$1:$C4053,2,0)</f>
        <v>Ascia monuste</v>
      </c>
      <c r="H3654" s="6" t="str">
        <f>VLOOKUP(E3654,dicionario!$A$1:$C4053,3,0)</f>
        <v>borboleta-da-couve</v>
      </c>
    </row>
    <row r="3655">
      <c r="A3655" s="3">
        <v>45638.0</v>
      </c>
      <c r="B3655" s="4">
        <v>0.29375</v>
      </c>
      <c r="C3655" s="5" t="s">
        <v>76</v>
      </c>
      <c r="D3655" s="5" t="s">
        <v>971</v>
      </c>
      <c r="E3655" s="8" t="s">
        <v>173</v>
      </c>
      <c r="F3655" s="5" t="s">
        <v>174</v>
      </c>
      <c r="G3655" s="6" t="str">
        <f>VLOOKUP(E3655,dicionario!$A$1:$C4054,2,0)</f>
        <v>Junonia evarete</v>
      </c>
      <c r="H3655" s="6" t="str">
        <f>VLOOKUP(E3655,dicionario!$A$1:$C4054,3,0)</f>
        <v>borboleta-olho-de-pavão-diúrno</v>
      </c>
    </row>
    <row r="3656">
      <c r="A3656" s="3">
        <v>45638.0</v>
      </c>
      <c r="B3656" s="4">
        <v>0.2951388888888889</v>
      </c>
      <c r="C3656" s="5" t="s">
        <v>76</v>
      </c>
      <c r="D3656" s="5" t="s">
        <v>971</v>
      </c>
      <c r="E3656" s="8" t="s">
        <v>886</v>
      </c>
      <c r="F3656" s="5" t="s">
        <v>887</v>
      </c>
      <c r="G3656" s="6" t="str">
        <f>VLOOKUP(E3656,dicionario!$A$1:$C4055,2,0)</f>
        <v>Oldenlandia corymbosa</v>
      </c>
      <c r="H3656" s="6" t="str">
        <f>VLOOKUP(E3656,dicionario!$A$1:$C4055,3,0)</f>
        <v>erva-diamante</v>
      </c>
    </row>
    <row r="3657">
      <c r="A3657" s="3">
        <v>45638.0</v>
      </c>
      <c r="B3657" s="4">
        <v>0.2951388888888889</v>
      </c>
      <c r="C3657" s="5" t="s">
        <v>76</v>
      </c>
      <c r="D3657" s="5" t="s">
        <v>971</v>
      </c>
      <c r="E3657" s="6" t="s">
        <v>290</v>
      </c>
      <c r="F3657" s="5" t="s">
        <v>291</v>
      </c>
      <c r="G3657" s="6" t="str">
        <f>VLOOKUP(E3657,dicionario!$A$1:$C4056,2,0)</f>
        <v>Drymaria cordata</v>
      </c>
      <c r="H3657" s="6" t="str">
        <f>VLOOKUP(E3657,dicionario!$A$1:$C4056,3,0)</f>
        <v>orelha-de-rato</v>
      </c>
    </row>
    <row r="3658">
      <c r="A3658" s="3">
        <v>45638.0</v>
      </c>
      <c r="B3658" s="4">
        <v>0.2951388888888889</v>
      </c>
      <c r="C3658" s="5" t="s">
        <v>76</v>
      </c>
      <c r="D3658" s="5" t="s">
        <v>971</v>
      </c>
      <c r="E3658" s="8" t="s">
        <v>46</v>
      </c>
      <c r="F3658" s="5" t="s">
        <v>47</v>
      </c>
      <c r="G3658" s="6" t="str">
        <f>VLOOKUP(E3658,dicionario!$A$1:$C4057,2,0)</f>
        <v>Chionomesa fimbriata</v>
      </c>
      <c r="H3658" s="6" t="str">
        <f>VLOOKUP(E3658,dicionario!$A$1:$C4057,3,0)</f>
        <v>beija-flor-de-garganta-verde</v>
      </c>
    </row>
    <row r="3659">
      <c r="A3659" s="3">
        <v>45638.0</v>
      </c>
      <c r="B3659" s="4">
        <v>0.2951388888888889</v>
      </c>
      <c r="C3659" s="5" t="s">
        <v>76</v>
      </c>
      <c r="D3659" s="5" t="s">
        <v>971</v>
      </c>
      <c r="E3659" s="6" t="s">
        <v>328</v>
      </c>
      <c r="F3659" s="5" t="s">
        <v>329</v>
      </c>
      <c r="G3659" s="6" t="str">
        <f>VLOOKUP(E3659,dicionario!$A$1:$C4058,2,0)</f>
        <v>Rivina humilis</v>
      </c>
      <c r="H3659" s="6" t="str">
        <f>VLOOKUP(E3659,dicionario!$A$1:$C4058,3,0)</f>
        <v>baga-de-sangue</v>
      </c>
    </row>
    <row r="3660">
      <c r="A3660" s="3">
        <v>45638.0</v>
      </c>
      <c r="B3660" s="4">
        <v>0.30069444444444443</v>
      </c>
      <c r="C3660" s="5" t="s">
        <v>64</v>
      </c>
      <c r="D3660" s="5" t="s">
        <v>971</v>
      </c>
      <c r="E3660" s="8" t="s">
        <v>504</v>
      </c>
      <c r="F3660" s="5" t="s">
        <v>534</v>
      </c>
      <c r="G3660" s="6" t="str">
        <f>VLOOKUP(E3660,dicionario!$A$1:$C4059,2,0)</f>
        <v>Cleome aculeata</v>
      </c>
      <c r="H3660" s="6" t="str">
        <f>VLOOKUP(E3660,dicionario!$A$1:$C4059,3,0)</f>
        <v>cleome</v>
      </c>
    </row>
    <row r="3661">
      <c r="A3661" s="3">
        <v>45638.0</v>
      </c>
      <c r="B3661" s="4">
        <v>0.30069444444444443</v>
      </c>
      <c r="C3661" s="5" t="s">
        <v>64</v>
      </c>
      <c r="D3661" s="5" t="s">
        <v>971</v>
      </c>
      <c r="E3661" s="6" t="s">
        <v>483</v>
      </c>
      <c r="F3661" s="5" t="s">
        <v>484</v>
      </c>
      <c r="G3661" s="6" t="str">
        <f>VLOOKUP(E3661,dicionario!$A$1:$C4060,2,0)</f>
        <v>Euphorbia prostrata</v>
      </c>
      <c r="H3661" s="6" t="str">
        <f>VLOOKUP(E3661,dicionario!$A$1:$C4060,3,0)</f>
        <v>quebra-pedra-rasteira</v>
      </c>
    </row>
    <row r="3662">
      <c r="A3662" s="3">
        <v>45638.0</v>
      </c>
      <c r="B3662" s="4">
        <v>0.30069444444444443</v>
      </c>
      <c r="C3662" s="5" t="s">
        <v>64</v>
      </c>
      <c r="D3662" s="5" t="s">
        <v>971</v>
      </c>
      <c r="E3662" s="6" t="s">
        <v>296</v>
      </c>
      <c r="F3662" s="5" t="s">
        <v>297</v>
      </c>
      <c r="G3662" s="6" t="str">
        <f>VLOOKUP(E3662,dicionario!$A$1:$C4061,2,0)</f>
        <v>Richardia brasiliensis</v>
      </c>
      <c r="H3662" s="6" t="str">
        <f>VLOOKUP(E3662,dicionario!$A$1:$C4061,3,0)</f>
        <v>poaia-branca</v>
      </c>
    </row>
    <row r="3663">
      <c r="A3663" s="3">
        <v>45638.0</v>
      </c>
      <c r="B3663" s="4">
        <v>0.30069444444444443</v>
      </c>
      <c r="C3663" s="5" t="s">
        <v>64</v>
      </c>
      <c r="D3663" s="5" t="s">
        <v>971</v>
      </c>
      <c r="E3663" s="6" t="s">
        <v>471</v>
      </c>
      <c r="F3663" s="5" t="s">
        <v>472</v>
      </c>
      <c r="G3663" s="6" t="str">
        <f>VLOOKUP(E3663,dicionario!$A$1:$C4062,2,0)</f>
        <v>Sida acuta</v>
      </c>
      <c r="H3663" s="6" t="str">
        <f>VLOOKUP(E3663,dicionario!$A$1:$C4062,3,0)</f>
        <v>reloginho</v>
      </c>
    </row>
    <row r="3664">
      <c r="A3664" s="3">
        <v>45638.0</v>
      </c>
      <c r="B3664" s="4">
        <v>0.30069444444444443</v>
      </c>
      <c r="C3664" s="5" t="s">
        <v>64</v>
      </c>
      <c r="D3664" s="5" t="s">
        <v>971</v>
      </c>
      <c r="E3664" s="6" t="s">
        <v>122</v>
      </c>
      <c r="F3664" s="7" t="s">
        <v>123</v>
      </c>
      <c r="G3664" s="6" t="str">
        <f>VLOOKUP(E3664,dicionario!$A$1:$C4063,2,0)</f>
        <v>Todirostrum cinereum</v>
      </c>
      <c r="H3664" s="6" t="str">
        <f>VLOOKUP(E3664,dicionario!$A$1:$C4063,3,0)</f>
        <v>ferreirinho-relógio</v>
      </c>
    </row>
    <row r="3665">
      <c r="A3665" s="3">
        <v>45638.0</v>
      </c>
      <c r="B3665" s="4">
        <v>0.3013888888888889</v>
      </c>
      <c r="C3665" s="5" t="s">
        <v>64</v>
      </c>
      <c r="D3665" s="5" t="s">
        <v>971</v>
      </c>
      <c r="E3665" s="8" t="s">
        <v>294</v>
      </c>
      <c r="F3665" s="7" t="s">
        <v>295</v>
      </c>
      <c r="G3665" s="6" t="str">
        <f>VLOOKUP(E3665,dicionario!$A$1:$C4064,2,0)</f>
        <v>Cycloneda sanguinea</v>
      </c>
      <c r="H3665" s="6" t="str">
        <f>VLOOKUP(E3665,dicionario!$A$1:$C4064,3,0)</f>
        <v>joaninha-sem-pintas</v>
      </c>
    </row>
    <row r="3666">
      <c r="A3666" s="3">
        <v>45638.0</v>
      </c>
      <c r="B3666" s="4">
        <v>0.3013888888888889</v>
      </c>
      <c r="C3666" s="5" t="s">
        <v>64</v>
      </c>
      <c r="D3666" s="5" t="s">
        <v>971</v>
      </c>
      <c r="E3666" s="6" t="s">
        <v>162</v>
      </c>
      <c r="F3666" s="7" t="s">
        <v>42</v>
      </c>
      <c r="G3666" s="6" t="str">
        <f>VLOOKUP(E3666,dicionario!$A$1:$C4065,2,0)</f>
        <v>Fluvicola nengeta</v>
      </c>
      <c r="H3666" s="6" t="str">
        <f>VLOOKUP(E3666,dicionario!$A$1:$C4065,3,0)</f>
        <v>lavadeira-mascarada</v>
      </c>
    </row>
    <row r="3667">
      <c r="A3667" s="3">
        <v>45638.0</v>
      </c>
      <c r="B3667" s="4">
        <v>0.3013888888888889</v>
      </c>
      <c r="C3667" s="5" t="s">
        <v>64</v>
      </c>
      <c r="D3667" s="5" t="s">
        <v>971</v>
      </c>
      <c r="E3667" s="6" t="s">
        <v>191</v>
      </c>
      <c r="F3667" s="5" t="s">
        <v>192</v>
      </c>
      <c r="G3667" s="6" t="str">
        <f>VLOOKUP(E3667,dicionario!$A$1:$C4066,2,0)</f>
        <v>Patagioenas picazuro</v>
      </c>
      <c r="H3667" s="6" t="str">
        <f>VLOOKUP(E3667,dicionario!$A$1:$C4066,3,0)</f>
        <v>asa-branca; pomba-asa-branca; pocaçu</v>
      </c>
    </row>
    <row r="3668">
      <c r="A3668" s="3">
        <v>45638.0</v>
      </c>
      <c r="B3668" s="4">
        <v>0.3013888888888889</v>
      </c>
      <c r="C3668" s="5" t="s">
        <v>64</v>
      </c>
      <c r="D3668" s="5" t="s">
        <v>971</v>
      </c>
      <c r="E3668" s="6" t="s">
        <v>65</v>
      </c>
      <c r="F3668" s="5" t="s">
        <v>66</v>
      </c>
      <c r="G3668" s="6" t="str">
        <f>VLOOKUP(E3668,dicionario!$A$1:$C4067,2,0)</f>
        <v>Pitangus sulphutarus</v>
      </c>
      <c r="H3668" s="6" t="str">
        <f>VLOOKUP(E3668,dicionario!$A$1:$C4067,3,0)</f>
        <v>bem-te-vi</v>
      </c>
    </row>
    <row r="3669">
      <c r="A3669" s="3">
        <v>45638.0</v>
      </c>
      <c r="B3669" s="4">
        <v>0.3013888888888889</v>
      </c>
      <c r="C3669" s="5" t="s">
        <v>64</v>
      </c>
      <c r="D3669" s="5" t="s">
        <v>971</v>
      </c>
      <c r="E3669" s="8" t="s">
        <v>69</v>
      </c>
      <c r="F3669" s="7" t="s">
        <v>71</v>
      </c>
      <c r="G3669" s="6" t="str">
        <f>VLOOKUP(E3669,dicionario!$A$1:$C4068,2,0)</f>
        <v>Talinum fruticosum</v>
      </c>
      <c r="H3669" s="6" t="str">
        <f>VLOOKUP(E3669,dicionario!$A$1:$C4068,3,0)</f>
        <v>beldroega-grande</v>
      </c>
    </row>
    <row r="3670">
      <c r="A3670" s="3">
        <v>45638.0</v>
      </c>
      <c r="B3670" s="4">
        <v>0.30277777777777776</v>
      </c>
      <c r="C3670" s="5" t="s">
        <v>64</v>
      </c>
      <c r="D3670" s="5" t="s">
        <v>971</v>
      </c>
      <c r="E3670" s="8" t="s">
        <v>38</v>
      </c>
      <c r="F3670" s="5" t="s">
        <v>39</v>
      </c>
      <c r="G3670" s="6" t="str">
        <f>VLOOKUP(E3670,dicionario!$A$1:$C4069,2,0)</f>
        <v>Troglodytes musculus</v>
      </c>
      <c r="H3670" s="6" t="str">
        <f>VLOOKUP(E3670,dicionario!$A$1:$C4069,3,0)</f>
        <v>curruíra</v>
      </c>
    </row>
    <row r="3671">
      <c r="A3671" s="3">
        <v>45638.0</v>
      </c>
      <c r="B3671" s="4">
        <v>0.3034722222222222</v>
      </c>
      <c r="C3671" s="5" t="s">
        <v>64</v>
      </c>
      <c r="D3671" s="5" t="s">
        <v>971</v>
      </c>
      <c r="E3671" s="8" t="s">
        <v>195</v>
      </c>
      <c r="F3671" s="5" t="s">
        <v>196</v>
      </c>
      <c r="G3671" s="6" t="str">
        <f>VLOOKUP(E3671,dicionario!$A$1:$C4070,2,0)</f>
        <v>Priva lappulacea</v>
      </c>
      <c r="H3671" s="6" t="str">
        <f>VLOOKUP(E3671,dicionario!$A$1:$C4070,3,0)</f>
        <v>carrapicho</v>
      </c>
    </row>
    <row r="3672">
      <c r="A3672" s="3">
        <v>45638.0</v>
      </c>
      <c r="B3672" s="4">
        <v>0.3034722222222222</v>
      </c>
      <c r="C3672" s="5" t="s">
        <v>64</v>
      </c>
      <c r="D3672" s="5" t="s">
        <v>971</v>
      </c>
      <c r="E3672" s="6" t="s">
        <v>448</v>
      </c>
      <c r="F3672" s="5" t="s">
        <v>462</v>
      </c>
      <c r="G3672" s="6" t="str">
        <f>VLOOKUP(E3672,dicionario!$A$1:$C4071,2,0)</f>
        <v>Mechanitis polymnia</v>
      </c>
      <c r="H3672" s="6" t="str">
        <f>VLOOKUP(E3672,dicionario!$A$1:$C4071,3,0)</f>
        <v>maria-boba</v>
      </c>
    </row>
    <row r="3673">
      <c r="A3673" s="3">
        <v>45638.0</v>
      </c>
      <c r="B3673" s="4">
        <v>0.3034722222222222</v>
      </c>
      <c r="C3673" s="5" t="s">
        <v>64</v>
      </c>
      <c r="D3673" s="5" t="s">
        <v>971</v>
      </c>
      <c r="E3673" s="6" t="s">
        <v>148</v>
      </c>
      <c r="F3673" s="5" t="s">
        <v>149</v>
      </c>
      <c r="G3673" s="6" t="str">
        <f>VLOOKUP(E3673,dicionario!$A$1:$C4072,2,0)</f>
        <v>Parthenium hysterophorus</v>
      </c>
      <c r="H3673" s="6" t="str">
        <f>VLOOKUP(E3673,dicionario!$A$1:$C4072,3,0)</f>
        <v>losna-branca</v>
      </c>
    </row>
    <row r="3674">
      <c r="A3674" s="3">
        <v>45638.0</v>
      </c>
      <c r="B3674" s="4">
        <v>0.3034722222222222</v>
      </c>
      <c r="C3674" s="5" t="s">
        <v>64</v>
      </c>
      <c r="D3674" s="5" t="s">
        <v>971</v>
      </c>
      <c r="E3674" s="6" t="s">
        <v>150</v>
      </c>
      <c r="F3674" s="5" t="s">
        <v>151</v>
      </c>
      <c r="G3674" s="6" t="str">
        <f>VLOOKUP(E3674,dicionario!$A$1:$C4073,2,0)</f>
        <v>Amaranthus viridis</v>
      </c>
      <c r="H3674" s="6" t="str">
        <f>VLOOKUP(E3674,dicionario!$A$1:$C4073,3,0)</f>
        <v>caruru-de-mancha</v>
      </c>
    </row>
    <row r="3675">
      <c r="A3675" s="3">
        <v>45638.0</v>
      </c>
      <c r="B3675" s="4">
        <v>0.3034722222222222</v>
      </c>
      <c r="C3675" s="5" t="s">
        <v>64</v>
      </c>
      <c r="D3675" s="5" t="s">
        <v>971</v>
      </c>
      <c r="E3675" s="6" t="s">
        <v>111</v>
      </c>
      <c r="F3675" s="7" t="s">
        <v>112</v>
      </c>
      <c r="G3675" s="6" t="str">
        <f>VLOOKUP(E3675,dicionario!$A$1:$C4074,2,0)</f>
        <v>Trigona spinipes</v>
      </c>
      <c r="H3675" s="6" t="str">
        <f>VLOOKUP(E3675,dicionario!$A$1:$C4074,3,0)</f>
        <v>abelha-cachorro</v>
      </c>
    </row>
    <row r="3676">
      <c r="A3676" s="3">
        <v>45638.0</v>
      </c>
      <c r="B3676" s="4">
        <v>0.3034722222222222</v>
      </c>
      <c r="C3676" s="5" t="s">
        <v>64</v>
      </c>
      <c r="D3676" s="5" t="s">
        <v>971</v>
      </c>
      <c r="E3676" s="8" t="s">
        <v>171</v>
      </c>
      <c r="F3676" s="5" t="s">
        <v>172</v>
      </c>
      <c r="G3676" s="6" t="str">
        <f>VLOOKUP(E3676,dicionario!$A$1:$C4075,2,0)</f>
        <v>Oxalis corniculata</v>
      </c>
      <c r="H3676" s="6" t="str">
        <f>VLOOKUP(E3676,dicionario!$A$1:$C4075,3,0)</f>
        <v>trevo-azedinho</v>
      </c>
    </row>
    <row r="3677">
      <c r="A3677" s="3">
        <v>45638.0</v>
      </c>
      <c r="B3677" s="4">
        <v>0.3034722222222222</v>
      </c>
      <c r="C3677" s="5" t="s">
        <v>64</v>
      </c>
      <c r="D3677" s="5" t="s">
        <v>971</v>
      </c>
      <c r="E3677" s="6" t="s">
        <v>467</v>
      </c>
      <c r="F3677" s="5" t="s">
        <v>468</v>
      </c>
      <c r="G3677" s="6" t="str">
        <f>VLOOKUP(E3677,dicionario!$A$1:$C4076,2,0)</f>
        <v>Eleusine indica</v>
      </c>
      <c r="H3677" s="6" t="str">
        <f>VLOOKUP(E3677,dicionario!$A$1:$C4076,3,0)</f>
        <v>capim-pé-de-galinha</v>
      </c>
    </row>
    <row r="3678">
      <c r="A3678" s="3">
        <v>45638.0</v>
      </c>
      <c r="B3678" s="4">
        <v>0.30416666666666664</v>
      </c>
      <c r="C3678" s="5" t="s">
        <v>64</v>
      </c>
      <c r="D3678" s="5" t="s">
        <v>971</v>
      </c>
      <c r="E3678" s="8" t="s">
        <v>838</v>
      </c>
      <c r="F3678" s="5" t="s">
        <v>839</v>
      </c>
      <c r="G3678" s="6" t="str">
        <f>VLOOKUP(E3678,dicionario!$A$1:$C4077,2,0)</f>
        <v>Plexippus paykulli</v>
      </c>
      <c r="H3678" s="6" t="str">
        <f>VLOOKUP(E3678,dicionario!$A$1:$C4077,3,0)</f>
        <v>aranha-saltadora-pantropical</v>
      </c>
    </row>
    <row r="3679">
      <c r="A3679" s="3">
        <v>45638.0</v>
      </c>
      <c r="B3679" s="4">
        <v>0.30416666666666664</v>
      </c>
      <c r="C3679" s="5" t="s">
        <v>64</v>
      </c>
      <c r="D3679" s="5" t="s">
        <v>971</v>
      </c>
      <c r="E3679" s="6" t="s">
        <v>158</v>
      </c>
      <c r="F3679" s="5" t="s">
        <v>159</v>
      </c>
      <c r="G3679" s="6" t="str">
        <f>VLOOKUP(E3679,dicionario!$A$1:$C4078,2,0)</f>
        <v>Nephilingis cruentata</v>
      </c>
      <c r="H3679" s="6" t="str">
        <f>VLOOKUP(E3679,dicionario!$A$1:$C4078,3,0)</f>
        <v>maria-bola</v>
      </c>
    </row>
    <row r="3680">
      <c r="A3680" s="3">
        <v>45638.0</v>
      </c>
      <c r="B3680" s="4">
        <v>0.30416666666666664</v>
      </c>
      <c r="C3680" s="5" t="s">
        <v>64</v>
      </c>
      <c r="D3680" s="5" t="s">
        <v>971</v>
      </c>
      <c r="E3680" s="8" t="s">
        <v>378</v>
      </c>
      <c r="F3680" s="5" t="s">
        <v>205</v>
      </c>
      <c r="G3680" s="6" t="str">
        <f>VLOOKUP(E3680,dicionario!$A$1:$C4079,2,0)</f>
        <v>Polistes</v>
      </c>
      <c r="H3680" s="6" t="str">
        <f>VLOOKUP(E3680,dicionario!$A$1:$C4079,3,0)</f>
        <v>marimbondo</v>
      </c>
    </row>
    <row r="3681">
      <c r="A3681" s="3">
        <v>45638.0</v>
      </c>
      <c r="B3681" s="4">
        <v>0.30416666666666664</v>
      </c>
      <c r="C3681" s="5" t="s">
        <v>64</v>
      </c>
      <c r="D3681" s="5" t="s">
        <v>971</v>
      </c>
      <c r="E3681" s="6" t="s">
        <v>355</v>
      </c>
      <c r="F3681" s="5" t="s">
        <v>356</v>
      </c>
      <c r="G3681" s="6" t="str">
        <f>VLOOKUP(E3681,dicionario!$A$1:$C4080,2,0)</f>
        <v>Boerhavia diffusa</v>
      </c>
      <c r="H3681" s="6" t="str">
        <f>VLOOKUP(E3681,dicionario!$A$1:$C4080,3,0)</f>
        <v>erva-tostão</v>
      </c>
    </row>
    <row r="3682">
      <c r="A3682" s="3">
        <v>45638.0</v>
      </c>
      <c r="B3682" s="4">
        <v>0.30416666666666664</v>
      </c>
      <c r="C3682" s="5" t="s">
        <v>64</v>
      </c>
      <c r="D3682" s="5" t="s">
        <v>971</v>
      </c>
      <c r="E3682" s="8" t="s">
        <v>193</v>
      </c>
      <c r="F3682" s="5" t="s">
        <v>194</v>
      </c>
      <c r="G3682" s="6" t="str">
        <f>VLOOKUP(E3682,dicionario!$A$1:$C4081,2,0)</f>
        <v>Conirostrum speciosum</v>
      </c>
      <c r="H3682" s="6" t="str">
        <f>VLOOKUP(E3682,dicionario!$A$1:$C4081,3,0)</f>
        <v>figuinha-de-rabo-castanho</v>
      </c>
    </row>
    <row r="3683">
      <c r="A3683" s="3">
        <v>45638.0</v>
      </c>
      <c r="B3683" s="4">
        <v>0.30416666666666664</v>
      </c>
      <c r="C3683" s="5" t="s">
        <v>64</v>
      </c>
      <c r="D3683" s="5" t="s">
        <v>971</v>
      </c>
      <c r="E3683" s="8" t="s">
        <v>473</v>
      </c>
      <c r="F3683" s="5" t="s">
        <v>474</v>
      </c>
      <c r="G3683" s="6" t="str">
        <f>VLOOKUP(E3683,dicionario!$A$1:$C4082,2,0)</f>
        <v>Turdus rufiventris</v>
      </c>
      <c r="H3683" s="6" t="str">
        <f>VLOOKUP(E3683,dicionario!$A$1:$C4082,3,0)</f>
        <v>sabiá-laranjeira</v>
      </c>
    </row>
    <row r="3684">
      <c r="A3684" s="3">
        <v>45638.0</v>
      </c>
      <c r="B3684" s="4">
        <v>0.30416666666666664</v>
      </c>
      <c r="C3684" s="5" t="s">
        <v>64</v>
      </c>
      <c r="D3684" s="5" t="s">
        <v>971</v>
      </c>
      <c r="E3684" s="6" t="s">
        <v>606</v>
      </c>
      <c r="F3684" s="5" t="s">
        <v>607</v>
      </c>
      <c r="G3684" s="6" t="str">
        <f>VLOOKUP(E3684,dicionario!$A$1:$C4083,2,0)</f>
        <v>Elaenia spectabilis</v>
      </c>
      <c r="H3684" s="6" t="str">
        <f>VLOOKUP(E3684,dicionario!$A$1:$C4083,3,0)</f>
        <v>guaracava-grande</v>
      </c>
    </row>
    <row r="3685">
      <c r="A3685" s="3">
        <v>45638.0</v>
      </c>
      <c r="B3685" s="4">
        <v>0.30416666666666664</v>
      </c>
      <c r="C3685" s="5" t="s">
        <v>64</v>
      </c>
      <c r="D3685" s="5" t="s">
        <v>971</v>
      </c>
      <c r="E3685" s="6" t="s">
        <v>383</v>
      </c>
      <c r="F3685" s="5" t="s">
        <v>384</v>
      </c>
      <c r="G3685" s="6" t="str">
        <f>VLOOKUP(E3685,dicionario!$A$1:$C4084,2,0)</f>
        <v>Setophaga pitiayumi</v>
      </c>
      <c r="H3685" s="6" t="str">
        <f>VLOOKUP(E3685,dicionario!$A$1:$C4084,3,0)</f>
        <v>mariquita</v>
      </c>
    </row>
    <row r="3686">
      <c r="A3686" s="3">
        <v>45638.0</v>
      </c>
      <c r="B3686" s="4">
        <v>0.30625</v>
      </c>
      <c r="C3686" s="5" t="s">
        <v>64</v>
      </c>
      <c r="D3686" s="5" t="s">
        <v>971</v>
      </c>
      <c r="E3686" s="6" t="s">
        <v>175</v>
      </c>
      <c r="F3686" s="5" t="s">
        <v>176</v>
      </c>
      <c r="G3686" s="6" t="str">
        <f>VLOOKUP(E3686,dicionario!$A$1:$C4085,2,0)</f>
        <v>Turdus leucomelas</v>
      </c>
      <c r="H3686" s="6" t="str">
        <f>VLOOKUP(E3686,dicionario!$A$1:$C4085,3,0)</f>
        <v>sabiá-barranco</v>
      </c>
    </row>
    <row r="3687">
      <c r="A3687" s="3">
        <v>45638.0</v>
      </c>
      <c r="B3687" s="4">
        <v>0.30625</v>
      </c>
      <c r="C3687" s="5" t="s">
        <v>64</v>
      </c>
      <c r="D3687" s="5" t="s">
        <v>971</v>
      </c>
      <c r="E3687" s="6" t="s">
        <v>251</v>
      </c>
      <c r="F3687" s="5" t="s">
        <v>252</v>
      </c>
      <c r="G3687" s="6" t="str">
        <f>VLOOKUP(E3687,dicionario!$A$1:$C4086,2,0)</f>
        <v>Struthanthus flexicaulis</v>
      </c>
      <c r="H3687" s="6" t="str">
        <f>VLOOKUP(E3687,dicionario!$A$1:$C4086,3,0)</f>
        <v>erva-de-passarinho</v>
      </c>
    </row>
    <row r="3688">
      <c r="A3688" s="3">
        <v>45638.0</v>
      </c>
      <c r="B3688" s="4">
        <v>0.30625</v>
      </c>
      <c r="C3688" s="5" t="s">
        <v>64</v>
      </c>
      <c r="D3688" s="5" t="s">
        <v>971</v>
      </c>
      <c r="E3688" s="6" t="s">
        <v>253</v>
      </c>
      <c r="F3688" s="5" t="s">
        <v>254</v>
      </c>
      <c r="G3688" s="6" t="str">
        <f>VLOOKUP(E3688,dicionario!$A$1:$C4087,2,0)</f>
        <v>Panicum maximum</v>
      </c>
      <c r="H3688" s="6" t="str">
        <f>VLOOKUP(E3688,dicionario!$A$1:$C4087,3,0)</f>
        <v>capim-colonião</v>
      </c>
    </row>
    <row r="3689">
      <c r="A3689" s="3">
        <v>45638.0</v>
      </c>
      <c r="B3689" s="4">
        <v>0.3076388888888889</v>
      </c>
      <c r="C3689" s="5" t="s">
        <v>64</v>
      </c>
      <c r="D3689" s="5" t="s">
        <v>971</v>
      </c>
      <c r="E3689" s="6" t="s">
        <v>401</v>
      </c>
      <c r="F3689" s="5" t="s">
        <v>464</v>
      </c>
      <c r="G3689" s="6" t="str">
        <f>VLOOKUP(E3689,dicionario!$A$1:$C4088,2,0)</f>
        <v>Cissus verticillata</v>
      </c>
      <c r="H3689" s="6" t="str">
        <f>VLOOKUP(E3689,dicionario!$A$1:$C4088,3,0)</f>
        <v>uva-do-mato</v>
      </c>
    </row>
    <row r="3690">
      <c r="A3690" s="3">
        <v>45638.0</v>
      </c>
      <c r="B3690" s="4">
        <v>0.3076388888888889</v>
      </c>
      <c r="C3690" s="5" t="s">
        <v>64</v>
      </c>
      <c r="D3690" s="5" t="s">
        <v>971</v>
      </c>
      <c r="E3690" s="51" t="s">
        <v>271</v>
      </c>
      <c r="F3690" s="7" t="s">
        <v>272</v>
      </c>
      <c r="G3690" s="6" t="str">
        <f>VLOOKUP(E3690,dicionario!$A$1:$C4089,2,0)</f>
        <v>Cyanthillium cinereum</v>
      </c>
      <c r="H3690" s="6" t="str">
        <f>VLOOKUP(E3690,dicionario!$A$1:$C4089,3,0)</f>
        <v>emília</v>
      </c>
    </row>
    <row r="3691">
      <c r="A3691" s="3">
        <v>45638.0</v>
      </c>
      <c r="B3691" s="4">
        <v>0.3076388888888889</v>
      </c>
      <c r="C3691" s="5" t="s">
        <v>64</v>
      </c>
      <c r="D3691" s="5" t="s">
        <v>971</v>
      </c>
      <c r="E3691" s="8" t="s">
        <v>976</v>
      </c>
      <c r="F3691" s="5" t="s">
        <v>35</v>
      </c>
      <c r="G3691" s="6" t="str">
        <f>VLOOKUP(E3691,dicionario!$A$1:$C4090,2,0)</f>
        <v>#N/A</v>
      </c>
      <c r="H3691" s="6" t="str">
        <f>VLOOKUP(E3691,dicionario!$A$1:$C4090,3,0)</f>
        <v>#N/A</v>
      </c>
    </row>
    <row r="3692">
      <c r="A3692" s="3">
        <v>45638.0</v>
      </c>
      <c r="B3692" s="4">
        <v>0.3076388888888889</v>
      </c>
      <c r="C3692" s="5" t="s">
        <v>64</v>
      </c>
      <c r="D3692" s="5" t="s">
        <v>971</v>
      </c>
      <c r="E3692" s="6" t="s">
        <v>514</v>
      </c>
      <c r="F3692" s="7" t="s">
        <v>515</v>
      </c>
      <c r="G3692" s="6" t="str">
        <f>VLOOKUP(E3692,dicionario!$A$1:$C4091,2,0)</f>
        <v>Aedes aegypti</v>
      </c>
      <c r="H3692" s="6" t="str">
        <f>VLOOKUP(E3692,dicionario!$A$1:$C4091,3,0)</f>
        <v>mosquito-da-dengue</v>
      </c>
    </row>
    <row r="3693">
      <c r="A3693" s="3">
        <v>45638.0</v>
      </c>
      <c r="B3693" s="4">
        <v>0.3076388888888889</v>
      </c>
      <c r="C3693" s="5" t="s">
        <v>64</v>
      </c>
      <c r="D3693" s="5" t="s">
        <v>971</v>
      </c>
      <c r="E3693" s="6" t="s">
        <v>154</v>
      </c>
      <c r="F3693" s="5" t="s">
        <v>155</v>
      </c>
      <c r="G3693" s="6" t="str">
        <f>VLOOKUP(E3693,dicionario!$A$1:$C4092,2,0)</f>
        <v>Cyperus rotundus</v>
      </c>
      <c r="H3693" s="6" t="str">
        <f>VLOOKUP(E3693,dicionario!$A$1:$C4092,3,0)</f>
        <v>tiririca</v>
      </c>
    </row>
    <row r="3694">
      <c r="A3694" s="3">
        <v>45638.0</v>
      </c>
      <c r="B3694" s="4">
        <v>0.3090277777777778</v>
      </c>
      <c r="C3694" s="5" t="s">
        <v>64</v>
      </c>
      <c r="D3694" s="5" t="s">
        <v>971</v>
      </c>
      <c r="E3694" s="6" t="s">
        <v>83</v>
      </c>
      <c r="F3694" s="5" t="s">
        <v>84</v>
      </c>
      <c r="G3694" s="6" t="str">
        <f>VLOOKUP(E3694,dicionario!$A$1:$C4093,2,0)</f>
        <v>Anartia jatrophae</v>
      </c>
      <c r="H3694" s="6" t="str">
        <f>VLOOKUP(E3694,dicionario!$A$1:$C4093,3,0)</f>
        <v>borboleta-pavão-branco</v>
      </c>
    </row>
    <row r="3695">
      <c r="A3695" s="3">
        <v>45638.0</v>
      </c>
      <c r="B3695" s="4">
        <v>0.3090277777777778</v>
      </c>
      <c r="C3695" s="5" t="s">
        <v>64</v>
      </c>
      <c r="D3695" s="5" t="s">
        <v>971</v>
      </c>
      <c r="E3695" s="6" t="s">
        <v>113</v>
      </c>
      <c r="F3695" s="5" t="s">
        <v>114</v>
      </c>
      <c r="G3695" s="6" t="str">
        <f>VLOOKUP(E3695,dicionario!$A$1:$C4094,2,0)</f>
        <v>Columbina talpacoti</v>
      </c>
      <c r="H3695" s="6" t="str">
        <f>VLOOKUP(E3695,dicionario!$A$1:$C4094,3,0)</f>
        <v>rolinha-roxa</v>
      </c>
    </row>
    <row r="3696">
      <c r="A3696" s="3">
        <v>45638.0</v>
      </c>
      <c r="B3696" s="4">
        <v>0.3104166666666667</v>
      </c>
      <c r="C3696" s="5" t="s">
        <v>64</v>
      </c>
      <c r="D3696" s="5" t="s">
        <v>971</v>
      </c>
      <c r="E3696" s="8" t="s">
        <v>427</v>
      </c>
      <c r="F3696" s="5" t="s">
        <v>428</v>
      </c>
      <c r="G3696" s="6" t="str">
        <f>VLOOKUP(E3696,dicionario!$A$1:$C4095,2,0)</f>
        <v>Condylostylus longicornis</v>
      </c>
      <c r="H3696" s="6" t="str">
        <f>VLOOKUP(E3696,dicionario!$A$1:$C4095,3,0)</f>
        <v>mosca-de-pernas-longas</v>
      </c>
    </row>
    <row r="3697">
      <c r="A3697" s="3">
        <v>45638.0</v>
      </c>
      <c r="B3697" s="4">
        <v>0.31180555555555556</v>
      </c>
      <c r="C3697" s="5" t="s">
        <v>59</v>
      </c>
      <c r="D3697" s="5" t="s">
        <v>971</v>
      </c>
      <c r="E3697" s="6" t="s">
        <v>99</v>
      </c>
      <c r="F3697" s="5" t="s">
        <v>508</v>
      </c>
      <c r="G3697" s="6" t="str">
        <f>VLOOKUP(E3697,dicionario!$A$1:$C4096,2,0)</f>
        <v>Molothrus bonariensis</v>
      </c>
      <c r="H3697" s="6" t="str">
        <f>VLOOKUP(E3697,dicionario!$A$1:$C4096,3,0)</f>
        <v>chupim</v>
      </c>
    </row>
    <row r="3698">
      <c r="A3698" s="3">
        <v>45638.0</v>
      </c>
      <c r="B3698" s="4">
        <v>0.3125</v>
      </c>
      <c r="C3698" s="5" t="s">
        <v>59</v>
      </c>
      <c r="D3698" s="5" t="s">
        <v>971</v>
      </c>
      <c r="E3698" s="6" t="s">
        <v>113</v>
      </c>
      <c r="F3698" s="5" t="s">
        <v>114</v>
      </c>
      <c r="G3698" s="6" t="str">
        <f>VLOOKUP(E3698,dicionario!$A$1:$C4097,2,0)</f>
        <v>Columbina talpacoti</v>
      </c>
      <c r="H3698" s="6" t="str">
        <f>VLOOKUP(E3698,dicionario!$A$1:$C4097,3,0)</f>
        <v>rolinha-roxa</v>
      </c>
    </row>
    <row r="3699">
      <c r="A3699" s="3">
        <v>45638.0</v>
      </c>
      <c r="B3699" s="4">
        <v>0.3125</v>
      </c>
      <c r="C3699" s="5" t="s">
        <v>59</v>
      </c>
      <c r="D3699" s="5" t="s">
        <v>971</v>
      </c>
      <c r="E3699" s="8" t="s">
        <v>46</v>
      </c>
      <c r="F3699" s="5" t="s">
        <v>47</v>
      </c>
      <c r="G3699" s="6" t="str">
        <f>VLOOKUP(E3699,dicionario!$A$1:$C4098,2,0)</f>
        <v>Chionomesa fimbriata</v>
      </c>
      <c r="H3699" s="6" t="str">
        <f>VLOOKUP(E3699,dicionario!$A$1:$C4098,3,0)</f>
        <v>beija-flor-de-garganta-verde</v>
      </c>
    </row>
    <row r="3700">
      <c r="A3700" s="3">
        <v>45638.0</v>
      </c>
      <c r="B3700" s="4">
        <v>0.3125</v>
      </c>
      <c r="C3700" s="5" t="s">
        <v>59</v>
      </c>
      <c r="D3700" s="5" t="s">
        <v>971</v>
      </c>
      <c r="E3700" s="6" t="s">
        <v>60</v>
      </c>
      <c r="F3700" s="5" t="s">
        <v>61</v>
      </c>
      <c r="G3700" s="6" t="str">
        <f>VLOOKUP(E3700,dicionario!$A$1:$C4099,2,0)</f>
        <v>Vanellus chilensis</v>
      </c>
      <c r="H3700" s="6" t="str">
        <f>VLOOKUP(E3700,dicionario!$A$1:$C4099,3,0)</f>
        <v>quero-quero</v>
      </c>
    </row>
    <row r="3701">
      <c r="A3701" s="3">
        <v>45638.0</v>
      </c>
      <c r="B3701" s="4">
        <v>0.3125</v>
      </c>
      <c r="C3701" s="5" t="s">
        <v>59</v>
      </c>
      <c r="D3701" s="5" t="s">
        <v>971</v>
      </c>
      <c r="E3701" s="9" t="s">
        <v>22</v>
      </c>
      <c r="F3701" s="5" t="s">
        <v>97</v>
      </c>
      <c r="G3701" s="6" t="str">
        <f>VLOOKUP(E3701,dicionario!$A$1:$C4100,2,0)</f>
        <v>Zenaida auriculata</v>
      </c>
      <c r="H3701" s="6" t="str">
        <f>VLOOKUP(E3701,dicionario!$A$1:$C4100,3,0)</f>
        <v>pomba-de-bando; avoante</v>
      </c>
    </row>
    <row r="3702">
      <c r="A3702" s="3">
        <v>45638.0</v>
      </c>
      <c r="B3702" s="4">
        <v>0.3125</v>
      </c>
      <c r="C3702" s="5" t="s">
        <v>59</v>
      </c>
      <c r="D3702" s="5" t="s">
        <v>971</v>
      </c>
      <c r="E3702" s="6" t="s">
        <v>213</v>
      </c>
      <c r="F3702" s="7" t="s">
        <v>214</v>
      </c>
      <c r="G3702" s="6" t="str">
        <f>VLOOKUP(E3702,dicionario!$A$1:$C4101,2,0)</f>
        <v>Myiozetetes similis</v>
      </c>
      <c r="H3702" s="6" t="str">
        <f>VLOOKUP(E3702,dicionario!$A$1:$C4101,3,0)</f>
        <v>bentevizinho-de-penacho-vermelho</v>
      </c>
    </row>
    <row r="3703">
      <c r="A3703" s="3">
        <v>45638.0</v>
      </c>
      <c r="B3703" s="4">
        <v>0.3125</v>
      </c>
      <c r="C3703" s="5" t="s">
        <v>59</v>
      </c>
      <c r="D3703" s="5" t="s">
        <v>971</v>
      </c>
      <c r="E3703" s="8" t="s">
        <v>982</v>
      </c>
      <c r="F3703" s="5" t="s">
        <v>983</v>
      </c>
      <c r="G3703" s="6" t="str">
        <f>VLOOKUP(E3703,dicionario!$A$1:$C4102,2,0)</f>
        <v>#N/A</v>
      </c>
      <c r="H3703" s="6" t="str">
        <f>VLOOKUP(E3703,dicionario!$A$1:$C4102,3,0)</f>
        <v>#N/A</v>
      </c>
    </row>
    <row r="3704">
      <c r="A3704" s="3">
        <v>45638.0</v>
      </c>
      <c r="B3704" s="4">
        <v>0.3125</v>
      </c>
      <c r="C3704" s="5" t="s">
        <v>59</v>
      </c>
      <c r="D3704" s="5" t="s">
        <v>971</v>
      </c>
      <c r="E3704" s="6" t="s">
        <v>18</v>
      </c>
      <c r="F3704" s="5" t="s">
        <v>219</v>
      </c>
      <c r="G3704" s="6" t="str">
        <f>VLOOKUP(E3704,dicionario!$A$1:$C4103,2,0)</f>
        <v>Xylocopa frontalis</v>
      </c>
      <c r="H3704" s="6" t="str">
        <f>VLOOKUP(E3704,dicionario!$A$1:$C4103,3,0)</f>
        <v>Mamangava; mangangá; abelha-carpinteira</v>
      </c>
    </row>
    <row r="3705">
      <c r="A3705" s="3">
        <v>45638.0</v>
      </c>
      <c r="B3705" s="4">
        <v>0.3125</v>
      </c>
      <c r="C3705" s="5" t="s">
        <v>59</v>
      </c>
      <c r="D3705" s="5" t="s">
        <v>971</v>
      </c>
      <c r="E3705" s="8" t="s">
        <v>719</v>
      </c>
      <c r="F3705" s="5" t="s">
        <v>975</v>
      </c>
      <c r="G3705" s="6" t="str">
        <f>VLOOKUP(E3705,dicionario!$A$1:$C4104,2,0)</f>
        <v>Dirinaria</v>
      </c>
      <c r="H3705" s="6" t="str">
        <f>VLOOKUP(E3705,dicionario!$A$1:$C4104,3,0)</f>
        <v>líquen-crostoso</v>
      </c>
    </row>
    <row r="3706">
      <c r="A3706" s="3">
        <v>45638.0</v>
      </c>
      <c r="B3706" s="4">
        <v>0.3125</v>
      </c>
      <c r="C3706" s="5" t="s">
        <v>59</v>
      </c>
      <c r="D3706" s="5" t="s">
        <v>971</v>
      </c>
      <c r="E3706" s="8" t="s">
        <v>712</v>
      </c>
      <c r="F3706" s="5" t="s">
        <v>912</v>
      </c>
      <c r="G3706" s="6" t="str">
        <f>VLOOKUP(E3706,dicionario!$A$1:$C4105,2,0)</f>
        <v>Flavopunctelia soredica</v>
      </c>
      <c r="H3706" s="6" t="str">
        <f>VLOOKUP(E3706,dicionario!$A$1:$C4105,3,0)</f>
        <v>líquen-folioso</v>
      </c>
    </row>
    <row r="3707">
      <c r="A3707" s="3">
        <v>45638.0</v>
      </c>
      <c r="B3707" s="4">
        <v>0.3125</v>
      </c>
      <c r="C3707" s="5" t="s">
        <v>59</v>
      </c>
      <c r="D3707" s="5" t="s">
        <v>971</v>
      </c>
      <c r="E3707" s="8" t="s">
        <v>107</v>
      </c>
      <c r="F3707" s="5" t="s">
        <v>108</v>
      </c>
      <c r="G3707" s="6" t="str">
        <f>VLOOKUP(E3707,dicionario!$A$1:$C4106,2,0)</f>
        <v>Ramalina complanata</v>
      </c>
      <c r="H3707" s="6" t="str">
        <f>VLOOKUP(E3707,dicionario!$A$1:$C4106,3,0)</f>
        <v>ramalina</v>
      </c>
    </row>
    <row r="3708">
      <c r="A3708" s="3">
        <v>45638.0</v>
      </c>
      <c r="B3708" s="4">
        <v>0.3125</v>
      </c>
      <c r="C3708" s="5" t="s">
        <v>59</v>
      </c>
      <c r="D3708" s="5" t="s">
        <v>971</v>
      </c>
      <c r="E3708" s="8" t="s">
        <v>517</v>
      </c>
      <c r="F3708" s="5" t="s">
        <v>984</v>
      </c>
      <c r="G3708" s="6" t="str">
        <f>VLOOKUP(E3708,dicionario!$A$1:$C4107,2,0)</f>
        <v>Evolvulus nummularius</v>
      </c>
      <c r="H3708" s="6" t="str">
        <f>VLOOKUP(E3708,dicionario!$A$1:$C4107,3,0)</f>
        <v/>
      </c>
    </row>
    <row r="3709">
      <c r="A3709" s="3">
        <v>45638.0</v>
      </c>
      <c r="B3709" s="4">
        <v>0.3125</v>
      </c>
      <c r="C3709" s="5" t="s">
        <v>59</v>
      </c>
      <c r="D3709" s="5" t="s">
        <v>971</v>
      </c>
      <c r="E3709" s="6" t="s">
        <v>401</v>
      </c>
      <c r="F3709" s="5" t="s">
        <v>464</v>
      </c>
      <c r="G3709" s="6" t="str">
        <f>VLOOKUP(E3709,dicionario!$A$1:$C4108,2,0)</f>
        <v>Cissus verticillata</v>
      </c>
      <c r="H3709" s="6" t="str">
        <f>VLOOKUP(E3709,dicionario!$A$1:$C4108,3,0)</f>
        <v>uva-do-mato</v>
      </c>
    </row>
    <row r="3710">
      <c r="A3710" s="3">
        <v>45638.0</v>
      </c>
      <c r="B3710" s="4">
        <v>0.3125</v>
      </c>
      <c r="C3710" s="5" t="s">
        <v>59</v>
      </c>
      <c r="D3710" s="5" t="s">
        <v>971</v>
      </c>
      <c r="E3710" s="6" t="s">
        <v>20</v>
      </c>
      <c r="F3710" s="7" t="s">
        <v>21</v>
      </c>
      <c r="G3710" s="6" t="str">
        <f>VLOOKUP(E3710,dicionario!$A$1:$C4109,2,0)</f>
        <v>Sicalis flaveola</v>
      </c>
      <c r="H3710" s="6" t="str">
        <f>VLOOKUP(E3710,dicionario!$A$1:$C4109,3,0)</f>
        <v>canário-da-terra</v>
      </c>
    </row>
    <row r="3711">
      <c r="A3711" s="3">
        <v>45638.0</v>
      </c>
      <c r="B3711" s="4">
        <v>0.3125</v>
      </c>
      <c r="C3711" s="5" t="s">
        <v>59</v>
      </c>
      <c r="D3711" s="5" t="s">
        <v>971</v>
      </c>
      <c r="E3711" s="8" t="s">
        <v>298</v>
      </c>
      <c r="F3711" s="5" t="s">
        <v>739</v>
      </c>
      <c r="G3711" s="6" t="str">
        <f>VLOOKUP(E3711,dicionario!$A$1:$C4110,2,0)</f>
        <v>Alysicarpus vaginalis</v>
      </c>
      <c r="H3711" s="6" t="str">
        <f>VLOOKUP(E3711,dicionario!$A$1:$C4110,3,0)</f>
        <v/>
      </c>
    </row>
    <row r="3712">
      <c r="A3712" s="3">
        <v>45638.0</v>
      </c>
      <c r="B3712" s="4">
        <v>0.3138888888888889</v>
      </c>
      <c r="C3712" s="5" t="s">
        <v>59</v>
      </c>
      <c r="D3712" s="5" t="s">
        <v>971</v>
      </c>
      <c r="E3712" s="6" t="s">
        <v>353</v>
      </c>
      <c r="F3712" s="5" t="s">
        <v>354</v>
      </c>
      <c r="G3712" s="6" t="str">
        <f>VLOOKUP(E3712,dicionario!$A$1:$C4111,2,0)</f>
        <v>Desmodium incanum</v>
      </c>
      <c r="H3712" s="6" t="str">
        <f>VLOOKUP(E3712,dicionario!$A$1:$C4111,3,0)</f>
        <v>pega-pega</v>
      </c>
    </row>
    <row r="3713">
      <c r="A3713" s="3">
        <v>45638.0</v>
      </c>
      <c r="B3713" s="4">
        <v>0.3138888888888889</v>
      </c>
      <c r="C3713" s="5" t="s">
        <v>59</v>
      </c>
      <c r="D3713" s="5" t="s">
        <v>971</v>
      </c>
      <c r="E3713" s="6" t="s">
        <v>86</v>
      </c>
      <c r="F3713" s="5" t="s">
        <v>502</v>
      </c>
      <c r="G3713" s="6" t="str">
        <f>VLOOKUP(E3713,dicionario!$A$1:$C4112,2,0)</f>
        <v>Coereba flaveola</v>
      </c>
      <c r="H3713" s="6" t="str">
        <f>VLOOKUP(E3713,dicionario!$A$1:$C4112,3,0)</f>
        <v>cambacica</v>
      </c>
    </row>
    <row r="3714">
      <c r="A3714" s="3">
        <v>45638.0</v>
      </c>
      <c r="B3714" s="4">
        <v>0.3138888888888889</v>
      </c>
      <c r="C3714" s="5" t="s">
        <v>59</v>
      </c>
      <c r="D3714" s="5" t="s">
        <v>971</v>
      </c>
      <c r="E3714" s="6" t="s">
        <v>72</v>
      </c>
      <c r="F3714" s="5" t="s">
        <v>73</v>
      </c>
      <c r="G3714" s="6" t="str">
        <f>VLOOKUP(E3714,dicionario!$A$1:$C4113,2,0)</f>
        <v>Thraupis palmarum</v>
      </c>
      <c r="H3714" s="6" t="str">
        <f>VLOOKUP(E3714,dicionario!$A$1:$C4113,3,0)</f>
        <v>sanhaço-do-coqueiro</v>
      </c>
    </row>
    <row r="3715">
      <c r="A3715" s="3">
        <v>45638.0</v>
      </c>
      <c r="B3715" s="4">
        <v>0.3138888888888889</v>
      </c>
      <c r="C3715" s="5" t="s">
        <v>59</v>
      </c>
      <c r="D3715" s="5" t="s">
        <v>971</v>
      </c>
      <c r="E3715" s="6" t="s">
        <v>53</v>
      </c>
      <c r="F3715" s="7" t="s">
        <v>54</v>
      </c>
      <c r="G3715" s="6" t="str">
        <f>VLOOKUP(E3715,dicionario!$A$1:$C4114,2,0)</f>
        <v>Turnera subulata</v>
      </c>
      <c r="H3715" s="6" t="str">
        <f>VLOOKUP(E3715,dicionario!$A$1:$C4114,3,0)</f>
        <v>xanana</v>
      </c>
    </row>
    <row r="3716">
      <c r="A3716" s="3">
        <v>45638.0</v>
      </c>
      <c r="B3716" s="4">
        <v>0.3138888888888889</v>
      </c>
      <c r="C3716" s="5" t="s">
        <v>59</v>
      </c>
      <c r="D3716" s="5" t="s">
        <v>971</v>
      </c>
      <c r="E3716" s="8" t="s">
        <v>985</v>
      </c>
      <c r="F3716" s="5" t="s">
        <v>305</v>
      </c>
      <c r="G3716" s="6" t="str">
        <f>VLOOKUP(E3716,dicionario!$A$1:$C4115,2,0)</f>
        <v>#N/A</v>
      </c>
      <c r="H3716" s="6" t="str">
        <f>VLOOKUP(E3716,dicionario!$A$1:$C4115,3,0)</f>
        <v>#N/A</v>
      </c>
    </row>
    <row r="3717">
      <c r="A3717" s="3">
        <v>45638.0</v>
      </c>
      <c r="B3717" s="4">
        <v>0.3145833333333333</v>
      </c>
      <c r="C3717" s="5" t="s">
        <v>59</v>
      </c>
      <c r="D3717" s="5" t="s">
        <v>971</v>
      </c>
      <c r="E3717" s="6" t="s">
        <v>498</v>
      </c>
      <c r="F3717" s="5" t="s">
        <v>499</v>
      </c>
      <c r="G3717" s="6" t="str">
        <f>VLOOKUP(E3717,dicionario!$A$1:$C4116,2,0)</f>
        <v>Brachiaria decumbens</v>
      </c>
      <c r="H3717" s="6" t="str">
        <f>VLOOKUP(E3717,dicionario!$A$1:$C4116,3,0)</f>
        <v>capim-braquiária</v>
      </c>
    </row>
    <row r="3718">
      <c r="A3718" s="3">
        <v>45638.0</v>
      </c>
      <c r="B3718" s="4">
        <v>0.3145833333333333</v>
      </c>
      <c r="C3718" s="5" t="s">
        <v>59</v>
      </c>
      <c r="D3718" s="5" t="s">
        <v>971</v>
      </c>
      <c r="E3718" s="6" t="s">
        <v>88</v>
      </c>
      <c r="F3718" s="5" t="s">
        <v>89</v>
      </c>
      <c r="G3718" s="6" t="str">
        <f>VLOOKUP(E3718,dicionario!$A$1:$C4117,2,0)</f>
        <v>Tyrannus melancolichus</v>
      </c>
      <c r="H3718" s="6" t="str">
        <f>VLOOKUP(E3718,dicionario!$A$1:$C4117,3,0)</f>
        <v>suiriri</v>
      </c>
    </row>
    <row r="3719">
      <c r="A3719" s="3">
        <v>45638.0</v>
      </c>
      <c r="B3719" s="4">
        <v>0.3145833333333333</v>
      </c>
      <c r="C3719" s="5" t="s">
        <v>59</v>
      </c>
      <c r="D3719" s="5" t="s">
        <v>971</v>
      </c>
      <c r="E3719" s="6" t="s">
        <v>43</v>
      </c>
      <c r="F3719" s="5" t="s">
        <v>44</v>
      </c>
      <c r="G3719" s="6" t="str">
        <f>VLOOKUP(E3719,dicionario!$A$1:$C4118,2,0)</f>
        <v>Columba livia</v>
      </c>
      <c r="H3719" s="6" t="str">
        <f>VLOOKUP(E3719,dicionario!$A$1:$C4118,3,0)</f>
        <v>pombo-doméstico</v>
      </c>
    </row>
    <row r="3720">
      <c r="A3720" s="3">
        <v>45638.0</v>
      </c>
      <c r="B3720" s="4">
        <v>0.3159722222222222</v>
      </c>
      <c r="C3720" s="5" t="s">
        <v>59</v>
      </c>
      <c r="D3720" s="5" t="s">
        <v>971</v>
      </c>
      <c r="E3720" s="6" t="s">
        <v>111</v>
      </c>
      <c r="F3720" s="7" t="s">
        <v>112</v>
      </c>
      <c r="G3720" s="6" t="str">
        <f>VLOOKUP(E3720,dicionario!$A$1:$C4119,2,0)</f>
        <v>Trigona spinipes</v>
      </c>
      <c r="H3720" s="6" t="str">
        <f>VLOOKUP(E3720,dicionario!$A$1:$C4119,3,0)</f>
        <v>abelha-cachorro</v>
      </c>
    </row>
    <row r="3721">
      <c r="A3721" s="3">
        <v>45638.0</v>
      </c>
      <c r="B3721" s="4">
        <v>0.3159722222222222</v>
      </c>
      <c r="C3721" s="5" t="s">
        <v>59</v>
      </c>
      <c r="D3721" s="5" t="s">
        <v>971</v>
      </c>
      <c r="E3721" s="6" t="s">
        <v>177</v>
      </c>
      <c r="F3721" s="5" t="s">
        <v>178</v>
      </c>
      <c r="G3721" s="6" t="str">
        <f>VLOOKUP(E3721,dicionario!$A$1:$C4120,2,0)</f>
        <v>Elaenia flavogaster</v>
      </c>
      <c r="H3721" s="6" t="str">
        <f>VLOOKUP(E3721,dicionario!$A$1:$C4120,3,0)</f>
        <v>guaracava-de-barriga-amarela</v>
      </c>
    </row>
    <row r="3722">
      <c r="A3722" s="3">
        <v>45638.0</v>
      </c>
      <c r="B3722" s="4">
        <v>0.31666666666666665</v>
      </c>
      <c r="C3722" s="5" t="s">
        <v>59</v>
      </c>
      <c r="D3722" s="5" t="s">
        <v>971</v>
      </c>
      <c r="E3722" s="28" t="s">
        <v>560</v>
      </c>
      <c r="F3722" s="5" t="s">
        <v>561</v>
      </c>
      <c r="G3722" s="6" t="str">
        <f>VLOOKUP(E3722,dicionario!$A$1:$C4121,2,0)</f>
        <v>Megarynchus pitangua</v>
      </c>
      <c r="H3722" s="6" t="str">
        <f>VLOOKUP(E3722,dicionario!$A$1:$C4121,3,0)</f>
        <v>neinei</v>
      </c>
    </row>
    <row r="3723">
      <c r="A3723" s="3">
        <v>45638.0</v>
      </c>
      <c r="B3723" s="4">
        <v>0.31666666666666665</v>
      </c>
      <c r="C3723" s="5" t="s">
        <v>59</v>
      </c>
      <c r="D3723" s="5" t="s">
        <v>971</v>
      </c>
      <c r="E3723" s="6" t="s">
        <v>65</v>
      </c>
      <c r="F3723" s="5" t="s">
        <v>66</v>
      </c>
      <c r="G3723" s="6" t="str">
        <f>VLOOKUP(E3723,dicionario!$A$1:$C4122,2,0)</f>
        <v>Pitangus sulphutarus</v>
      </c>
      <c r="H3723" s="6" t="str">
        <f>VLOOKUP(E3723,dicionario!$A$1:$C4122,3,0)</f>
        <v>bem-te-vi</v>
      </c>
    </row>
    <row r="3724">
      <c r="A3724" s="3">
        <v>45638.0</v>
      </c>
      <c r="B3724" s="4">
        <v>0.31666666666666665</v>
      </c>
      <c r="C3724" s="5" t="s">
        <v>59</v>
      </c>
      <c r="D3724" s="5" t="s">
        <v>971</v>
      </c>
      <c r="E3724" s="8" t="s">
        <v>915</v>
      </c>
      <c r="F3724" s="5" t="s">
        <v>916</v>
      </c>
      <c r="G3724" s="6" t="str">
        <f>VLOOKUP(E3724,dicionario!$A$1:$C4123,2,0)</f>
        <v>Tachycineta albiventer</v>
      </c>
      <c r="H3724" s="6" t="str">
        <f>VLOOKUP(E3724,dicionario!$A$1:$C4123,3,0)</f>
        <v>andorinha-de-rio</v>
      </c>
    </row>
    <row r="3725">
      <c r="A3725" s="3">
        <v>45638.0</v>
      </c>
      <c r="B3725" s="4">
        <v>0.3194444444444444</v>
      </c>
      <c r="C3725" s="5" t="s">
        <v>50</v>
      </c>
      <c r="D3725" s="5" t="s">
        <v>971</v>
      </c>
      <c r="E3725" s="9" t="s">
        <v>22</v>
      </c>
      <c r="F3725" s="5" t="s">
        <v>97</v>
      </c>
      <c r="G3725" s="6" t="str">
        <f>VLOOKUP(E3725,dicionario!$A$1:$C4124,2,0)</f>
        <v>Zenaida auriculata</v>
      </c>
      <c r="H3725" s="6" t="str">
        <f>VLOOKUP(E3725,dicionario!$A$1:$C4124,3,0)</f>
        <v>pomba-de-bando; avoante</v>
      </c>
    </row>
    <row r="3726">
      <c r="A3726" s="3">
        <v>45638.0</v>
      </c>
      <c r="B3726" s="4">
        <v>0.3194444444444444</v>
      </c>
      <c r="C3726" s="5" t="s">
        <v>50</v>
      </c>
      <c r="D3726" s="5" t="s">
        <v>971</v>
      </c>
      <c r="E3726" s="6" t="s">
        <v>20</v>
      </c>
      <c r="F3726" s="7" t="s">
        <v>21</v>
      </c>
      <c r="G3726" s="6" t="str">
        <f>VLOOKUP(E3726,dicionario!$A$1:$C4125,2,0)</f>
        <v>Sicalis flaveola</v>
      </c>
      <c r="H3726" s="6" t="str">
        <f>VLOOKUP(E3726,dicionario!$A$1:$C4125,3,0)</f>
        <v>canário-da-terra</v>
      </c>
    </row>
    <row r="3727">
      <c r="A3727" s="3">
        <v>45638.0</v>
      </c>
      <c r="B3727" s="4">
        <v>0.3194444444444444</v>
      </c>
      <c r="C3727" s="5" t="s">
        <v>50</v>
      </c>
      <c r="D3727" s="5" t="s">
        <v>971</v>
      </c>
      <c r="E3727" s="6" t="s">
        <v>72</v>
      </c>
      <c r="F3727" s="5" t="s">
        <v>73</v>
      </c>
      <c r="G3727" s="6" t="str">
        <f>VLOOKUP(E3727,dicionario!$A$1:$C4126,2,0)</f>
        <v>Thraupis palmarum</v>
      </c>
      <c r="H3727" s="6" t="str">
        <f>VLOOKUP(E3727,dicionario!$A$1:$C4126,3,0)</f>
        <v>sanhaço-do-coqueiro</v>
      </c>
    </row>
    <row r="3728">
      <c r="A3728" s="3">
        <v>45638.0</v>
      </c>
      <c r="B3728" s="4">
        <v>0.3194444444444444</v>
      </c>
      <c r="C3728" s="5" t="s">
        <v>50</v>
      </c>
      <c r="D3728" s="5" t="s">
        <v>971</v>
      </c>
      <c r="E3728" s="6" t="s">
        <v>65</v>
      </c>
      <c r="F3728" s="5" t="s">
        <v>66</v>
      </c>
      <c r="G3728" s="6" t="str">
        <f>VLOOKUP(E3728,dicionario!$A$1:$C4127,2,0)</f>
        <v>Pitangus sulphutarus</v>
      </c>
      <c r="H3728" s="6" t="str">
        <f>VLOOKUP(E3728,dicionario!$A$1:$C4127,3,0)</f>
        <v>bem-te-vi</v>
      </c>
    </row>
    <row r="3729">
      <c r="A3729" s="3">
        <v>45638.0</v>
      </c>
      <c r="B3729" s="4">
        <v>0.3194444444444444</v>
      </c>
      <c r="C3729" s="5" t="s">
        <v>50</v>
      </c>
      <c r="D3729" s="5" t="s">
        <v>971</v>
      </c>
      <c r="E3729" s="6" t="s">
        <v>55</v>
      </c>
      <c r="F3729" s="5" t="s">
        <v>56</v>
      </c>
      <c r="G3729" s="6" t="str">
        <f>VLOOKUP(E3729,dicionario!$A$1:$C4128,2,0)</f>
        <v>Cubaris murina</v>
      </c>
      <c r="H3729" s="6" t="str">
        <f>VLOOKUP(E3729,dicionario!$A$1:$C4128,3,0)</f>
        <v>tatuzinho-de-jardim</v>
      </c>
    </row>
    <row r="3730">
      <c r="A3730" s="3">
        <v>45638.0</v>
      </c>
      <c r="B3730" s="4">
        <v>0.3194444444444444</v>
      </c>
      <c r="C3730" s="5" t="s">
        <v>50</v>
      </c>
      <c r="D3730" s="5" t="s">
        <v>971</v>
      </c>
      <c r="E3730" s="6" t="s">
        <v>696</v>
      </c>
      <c r="F3730" s="5" t="s">
        <v>619</v>
      </c>
      <c r="G3730" s="6" t="str">
        <f>VLOOKUP(E3730,dicionario!$A$1:$C4129,2,0)</f>
        <v>Gryne</v>
      </c>
      <c r="H3730" s="6" t="str">
        <f>VLOOKUP(E3730,dicionario!$A$1:$C4129,3,0)</f>
        <v>opilião</v>
      </c>
    </row>
    <row r="3731">
      <c r="A3731" s="3">
        <v>45638.0</v>
      </c>
      <c r="B3731" s="4">
        <v>0.3194444444444444</v>
      </c>
      <c r="C3731" s="5" t="s">
        <v>50</v>
      </c>
      <c r="D3731" s="5" t="s">
        <v>971</v>
      </c>
      <c r="E3731" s="6" t="s">
        <v>239</v>
      </c>
      <c r="F3731" s="5" t="s">
        <v>240</v>
      </c>
      <c r="G3731" s="6" t="str">
        <f>VLOOKUP(E3731,dicionario!$A$1:$C4130,2,0)</f>
        <v>Gomphrena celosioides</v>
      </c>
      <c r="H3731" s="6" t="str">
        <f>VLOOKUP(E3731,dicionario!$A$1:$C4130,3,0)</f>
        <v>perpétua-branca</v>
      </c>
    </row>
    <row r="3732">
      <c r="A3732" s="3">
        <v>45638.0</v>
      </c>
      <c r="B3732" s="4">
        <v>0.3194444444444444</v>
      </c>
      <c r="C3732" s="5" t="s">
        <v>50</v>
      </c>
      <c r="D3732" s="5" t="s">
        <v>971</v>
      </c>
      <c r="E3732" s="8" t="s">
        <v>986</v>
      </c>
      <c r="F3732" s="5" t="s">
        <v>987</v>
      </c>
      <c r="G3732" s="6" t="str">
        <f>VLOOKUP(E3732,dicionario!$A$1:$C4131,2,0)</f>
        <v>Uroleucon</v>
      </c>
      <c r="H3732" s="6" t="str">
        <f>VLOOKUP(E3732,dicionario!$A$1:$C4131,3,0)</f>
        <v>pulgão-vermelho</v>
      </c>
    </row>
    <row r="3733">
      <c r="A3733" s="3">
        <v>45638.0</v>
      </c>
      <c r="B3733" s="4">
        <v>0.3194444444444444</v>
      </c>
      <c r="C3733" s="5" t="s">
        <v>50</v>
      </c>
      <c r="D3733" s="5" t="s">
        <v>971</v>
      </c>
      <c r="E3733" s="8" t="s">
        <v>988</v>
      </c>
      <c r="F3733" s="5" t="s">
        <v>989</v>
      </c>
      <c r="G3733" s="6" t="str">
        <f>VLOOKUP(E3733,dicionario!$A$1:$C4132,2,0)</f>
        <v>#N/A</v>
      </c>
      <c r="H3733" s="6" t="str">
        <f>VLOOKUP(E3733,dicionario!$A$1:$C4132,3,0)</f>
        <v>#N/A</v>
      </c>
    </row>
    <row r="3734">
      <c r="A3734" s="3">
        <v>45638.0</v>
      </c>
      <c r="B3734" s="4">
        <v>0.3194444444444444</v>
      </c>
      <c r="C3734" s="5" t="s">
        <v>50</v>
      </c>
      <c r="D3734" s="5" t="s">
        <v>971</v>
      </c>
      <c r="E3734" s="6" t="s">
        <v>364</v>
      </c>
      <c r="F3734" s="5" t="s">
        <v>365</v>
      </c>
      <c r="G3734" s="6" t="str">
        <f>VLOOKUP(E3734,dicionario!$A$1:$C4133,2,0)</f>
        <v>#N/A</v>
      </c>
      <c r="H3734" s="6" t="str">
        <f>VLOOKUP(E3734,dicionario!$A$1:$C4133,3,0)</f>
        <v>#N/A</v>
      </c>
    </row>
    <row r="3735">
      <c r="A3735" s="3">
        <v>45638.0</v>
      </c>
      <c r="B3735" s="4">
        <v>0.3194444444444444</v>
      </c>
      <c r="C3735" s="5" t="s">
        <v>50</v>
      </c>
      <c r="D3735" s="5" t="s">
        <v>971</v>
      </c>
      <c r="E3735" s="8" t="s">
        <v>195</v>
      </c>
      <c r="F3735" s="5" t="s">
        <v>196</v>
      </c>
      <c r="G3735" s="6" t="str">
        <f>VLOOKUP(E3735,dicionario!$A$1:$C4134,2,0)</f>
        <v>Priva lappulacea</v>
      </c>
      <c r="H3735" s="6" t="str">
        <f>VLOOKUP(E3735,dicionario!$A$1:$C4134,3,0)</f>
        <v>carrapicho</v>
      </c>
    </row>
    <row r="3736">
      <c r="A3736" s="3">
        <v>45638.0</v>
      </c>
      <c r="B3736" s="4">
        <v>0.3215277777777778</v>
      </c>
      <c r="C3736" s="5" t="s">
        <v>50</v>
      </c>
      <c r="D3736" s="5" t="s">
        <v>971</v>
      </c>
      <c r="E3736" s="6" t="s">
        <v>225</v>
      </c>
      <c r="F3736" s="5" t="s">
        <v>226</v>
      </c>
      <c r="G3736" s="6" t="str">
        <f>VLOOKUP(E3736,dicionario!$A$1:$C4135,2,0)</f>
        <v>Passer domesticus</v>
      </c>
      <c r="H3736" s="6" t="str">
        <f>VLOOKUP(E3736,dicionario!$A$1:$C4135,3,0)</f>
        <v>pardal</v>
      </c>
    </row>
    <row r="3737">
      <c r="A3737" s="3">
        <v>45638.0</v>
      </c>
      <c r="B3737" s="4">
        <v>0.3215277777777778</v>
      </c>
      <c r="C3737" s="5" t="s">
        <v>50</v>
      </c>
      <c r="D3737" s="5" t="s">
        <v>971</v>
      </c>
      <c r="E3737" s="6" t="s">
        <v>471</v>
      </c>
      <c r="F3737" s="5" t="s">
        <v>472</v>
      </c>
      <c r="G3737" s="6" t="str">
        <f>VLOOKUP(E3737,dicionario!$A$1:$C4136,2,0)</f>
        <v>Sida acuta</v>
      </c>
      <c r="H3737" s="6" t="str">
        <f>VLOOKUP(E3737,dicionario!$A$1:$C4136,3,0)</f>
        <v>reloginho</v>
      </c>
    </row>
    <row r="3738">
      <c r="A3738" s="3">
        <v>45638.0</v>
      </c>
      <c r="B3738" s="4">
        <v>0.3215277777777778</v>
      </c>
      <c r="C3738" s="5" t="s">
        <v>50</v>
      </c>
      <c r="D3738" s="5" t="s">
        <v>971</v>
      </c>
      <c r="E3738" s="6" t="s">
        <v>401</v>
      </c>
      <c r="F3738" s="5" t="s">
        <v>464</v>
      </c>
      <c r="G3738" s="6" t="str">
        <f>VLOOKUP(E3738,dicionario!$A$1:$C4137,2,0)</f>
        <v>Cissus verticillata</v>
      </c>
      <c r="H3738" s="6" t="str">
        <f>VLOOKUP(E3738,dicionario!$A$1:$C4137,3,0)</f>
        <v>uva-do-mato</v>
      </c>
    </row>
    <row r="3739">
      <c r="A3739" s="3">
        <v>45638.0</v>
      </c>
      <c r="B3739" s="4">
        <v>0.3215277777777778</v>
      </c>
      <c r="C3739" s="5" t="s">
        <v>50</v>
      </c>
      <c r="D3739" s="5" t="s">
        <v>971</v>
      </c>
      <c r="E3739" s="8" t="s">
        <v>504</v>
      </c>
      <c r="F3739" s="5" t="s">
        <v>534</v>
      </c>
      <c r="G3739" s="6" t="str">
        <f>VLOOKUP(E3739,dicionario!$A$1:$C4138,2,0)</f>
        <v>Cleome aculeata</v>
      </c>
      <c r="H3739" s="6" t="str">
        <f>VLOOKUP(E3739,dicionario!$A$1:$C4138,3,0)</f>
        <v>cleome</v>
      </c>
    </row>
    <row r="3740">
      <c r="A3740" s="3">
        <v>45638.0</v>
      </c>
      <c r="B3740" s="4">
        <v>0.3215277777777778</v>
      </c>
      <c r="C3740" s="5" t="s">
        <v>50</v>
      </c>
      <c r="D3740" s="5" t="s">
        <v>971</v>
      </c>
      <c r="E3740" s="6" t="s">
        <v>247</v>
      </c>
      <c r="F3740" s="5" t="s">
        <v>248</v>
      </c>
      <c r="G3740" s="6" t="str">
        <f>VLOOKUP(E3740,dicionario!$A$1:$C4139,2,0)</f>
        <v>Emilia sonchifolia</v>
      </c>
      <c r="H3740" s="6" t="str">
        <f>VLOOKUP(E3740,dicionario!$A$1:$C4139,3,0)</f>
        <v>serralinha</v>
      </c>
    </row>
    <row r="3741">
      <c r="A3741" s="3">
        <v>45638.0</v>
      </c>
      <c r="B3741" s="4">
        <v>0.3215277777777778</v>
      </c>
      <c r="C3741" s="5" t="s">
        <v>50</v>
      </c>
      <c r="D3741" s="5" t="s">
        <v>971</v>
      </c>
      <c r="E3741" s="8" t="s">
        <v>990</v>
      </c>
      <c r="F3741" s="5" t="s">
        <v>580</v>
      </c>
      <c r="G3741" s="6" t="str">
        <f>VLOOKUP(E3741,dicionario!$A$1:$C4140,2,0)</f>
        <v>#N/A</v>
      </c>
      <c r="H3741" s="6" t="str">
        <f>VLOOKUP(E3741,dicionario!$A$1:$C4140,3,0)</f>
        <v>#N/A</v>
      </c>
    </row>
    <row r="3742">
      <c r="A3742" s="3">
        <v>45638.0</v>
      </c>
      <c r="B3742" s="4">
        <v>0.3215277777777778</v>
      </c>
      <c r="C3742" s="5" t="s">
        <v>50</v>
      </c>
      <c r="D3742" s="5" t="s">
        <v>971</v>
      </c>
      <c r="E3742" s="6" t="s">
        <v>319</v>
      </c>
      <c r="F3742" s="5" t="s">
        <v>320</v>
      </c>
      <c r="G3742" s="6" t="str">
        <f>VLOOKUP(E3742,dicionario!$A$1:$C4141,2,0)</f>
        <v>Schinus terebinthifolia</v>
      </c>
      <c r="H3742" s="6" t="str">
        <f>VLOOKUP(E3742,dicionario!$A$1:$C4141,3,0)</f>
        <v>aroeira</v>
      </c>
    </row>
    <row r="3743">
      <c r="A3743" s="3">
        <v>45638.0</v>
      </c>
      <c r="B3743" s="4">
        <v>0.3215277777777778</v>
      </c>
      <c r="C3743" s="5" t="s">
        <v>50</v>
      </c>
      <c r="D3743" s="5" t="s">
        <v>971</v>
      </c>
      <c r="E3743" s="8" t="s">
        <v>821</v>
      </c>
      <c r="F3743" s="5" t="s">
        <v>876</v>
      </c>
      <c r="G3743" s="6" t="str">
        <f>VLOOKUP(E3743,dicionario!$A$1:$C4142,2,0)</f>
        <v>Schefflera actinophylla</v>
      </c>
      <c r="H3743" s="6" t="str">
        <f>VLOOKUP(E3743,dicionario!$A$1:$C4142,3,0)</f>
        <v>árvore-guarda-chuva</v>
      </c>
    </row>
    <row r="3744">
      <c r="A3744" s="3">
        <v>45638.0</v>
      </c>
      <c r="B3744" s="4">
        <v>0.3215277777777778</v>
      </c>
      <c r="C3744" s="5" t="s">
        <v>50</v>
      </c>
      <c r="D3744" s="5" t="s">
        <v>971</v>
      </c>
      <c r="E3744" s="8" t="s">
        <v>139</v>
      </c>
      <c r="F3744" s="5" t="s">
        <v>140</v>
      </c>
      <c r="G3744" s="6" t="str">
        <f>VLOOKUP(E3744,dicionario!$A$1:$C4143,2,0)</f>
        <v>Tropidurus torquatus</v>
      </c>
      <c r="H3744" s="6" t="str">
        <f>VLOOKUP(E3744,dicionario!$A$1:$C4143,3,0)</f>
        <v>calango; tropiduro-comum</v>
      </c>
    </row>
    <row r="3745">
      <c r="A3745" s="3">
        <v>45638.0</v>
      </c>
      <c r="B3745" s="4">
        <v>0.3215277777777778</v>
      </c>
      <c r="C3745" s="5" t="s">
        <v>50</v>
      </c>
      <c r="D3745" s="5" t="s">
        <v>971</v>
      </c>
      <c r="E3745" s="6" t="s">
        <v>253</v>
      </c>
      <c r="F3745" s="5" t="s">
        <v>254</v>
      </c>
      <c r="G3745" s="6" t="str">
        <f>VLOOKUP(E3745,dicionario!$A$1:$C4144,2,0)</f>
        <v>Panicum maximum</v>
      </c>
      <c r="H3745" s="6" t="str">
        <f>VLOOKUP(E3745,dicionario!$A$1:$C4144,3,0)</f>
        <v>capim-colonião</v>
      </c>
    </row>
    <row r="3746">
      <c r="A3746" s="3">
        <v>45638.0</v>
      </c>
      <c r="B3746" s="4">
        <v>0.3215277777777778</v>
      </c>
      <c r="C3746" s="5" t="s">
        <v>50</v>
      </c>
      <c r="D3746" s="5" t="s">
        <v>971</v>
      </c>
      <c r="E3746" s="6" t="s">
        <v>181</v>
      </c>
      <c r="F3746" s="5" t="s">
        <v>182</v>
      </c>
      <c r="G3746" s="6" t="str">
        <f>VLOOKUP(E3746,dicionario!$A$1:$C4145,2,0)</f>
        <v>#N/A</v>
      </c>
      <c r="H3746" s="6" t="str">
        <f>VLOOKUP(E3746,dicionario!$A$1:$C4145,3,0)</f>
        <v>#N/A</v>
      </c>
    </row>
    <row r="3747">
      <c r="A3747" s="3">
        <v>45638.0</v>
      </c>
      <c r="B3747" s="4">
        <v>0.32430555555555557</v>
      </c>
      <c r="C3747" s="5" t="s">
        <v>50</v>
      </c>
      <c r="D3747" s="5" t="s">
        <v>971</v>
      </c>
      <c r="E3747" s="53" t="s">
        <v>991</v>
      </c>
      <c r="F3747" s="5" t="s">
        <v>28</v>
      </c>
      <c r="G3747" s="6" t="str">
        <f>VLOOKUP(E3747,dicionario!$A$1:$C4146,2,0)</f>
        <v>#N/A</v>
      </c>
      <c r="H3747" s="6" t="str">
        <f>VLOOKUP(E3747,dicionario!$A$1:$C4146,3,0)</f>
        <v>#N/A</v>
      </c>
    </row>
    <row r="3748">
      <c r="A3748" s="3">
        <v>45638.0</v>
      </c>
      <c r="B3748" s="4">
        <v>0.32430555555555557</v>
      </c>
      <c r="C3748" s="5" t="s">
        <v>50</v>
      </c>
      <c r="D3748" s="5" t="s">
        <v>971</v>
      </c>
      <c r="E3748" s="6" t="s">
        <v>109</v>
      </c>
      <c r="F3748" s="5" t="s">
        <v>110</v>
      </c>
      <c r="G3748" s="6" t="str">
        <f>VLOOKUP(E3748,dicionario!$A$1:$C4147,2,0)</f>
        <v>Tillandsia stricta</v>
      </c>
      <c r="H3748" s="6" t="str">
        <f>VLOOKUP(E3748,dicionario!$A$1:$C4147,3,0)</f>
        <v>cravo-do-mato</v>
      </c>
    </row>
    <row r="3749">
      <c r="A3749" s="3">
        <v>45638.0</v>
      </c>
      <c r="B3749" s="4">
        <v>0.32430555555555557</v>
      </c>
      <c r="C3749" s="5" t="s">
        <v>50</v>
      </c>
      <c r="D3749" s="5" t="s">
        <v>971</v>
      </c>
      <c r="E3749" s="8" t="s">
        <v>992</v>
      </c>
      <c r="F3749" s="5" t="s">
        <v>236</v>
      </c>
      <c r="G3749" s="6" t="str">
        <f>VLOOKUP(E3749,dicionario!$A$1:$C4148,2,0)</f>
        <v>#N/A</v>
      </c>
      <c r="H3749" s="6" t="str">
        <f>VLOOKUP(E3749,dicionario!$A$1:$C4148,3,0)</f>
        <v>#N/A</v>
      </c>
    </row>
    <row r="3750">
      <c r="A3750" s="3">
        <v>45638.0</v>
      </c>
      <c r="B3750" s="4">
        <v>0.32430555555555557</v>
      </c>
      <c r="C3750" s="5" t="s">
        <v>50</v>
      </c>
      <c r="D3750" s="5" t="s">
        <v>971</v>
      </c>
      <c r="E3750" s="6" t="s">
        <v>616</v>
      </c>
      <c r="F3750" s="5" t="s">
        <v>617</v>
      </c>
      <c r="G3750" s="6" t="str">
        <f>VLOOKUP(E3750,dicionario!$A$1:$C4149,2,0)</f>
        <v>#N/A</v>
      </c>
      <c r="H3750" s="6" t="str">
        <f>VLOOKUP(E3750,dicionario!$A$1:$C4149,3,0)</f>
        <v>#N/A</v>
      </c>
    </row>
    <row r="3751">
      <c r="A3751" s="3">
        <v>45638.0</v>
      </c>
      <c r="B3751" s="4">
        <v>0.32430555555555557</v>
      </c>
      <c r="C3751" s="5" t="s">
        <v>50</v>
      </c>
      <c r="D3751" s="5" t="s">
        <v>971</v>
      </c>
      <c r="E3751" s="6" t="s">
        <v>122</v>
      </c>
      <c r="F3751" s="7" t="s">
        <v>123</v>
      </c>
      <c r="G3751" s="6" t="str">
        <f>VLOOKUP(E3751,dicionario!$A$1:$C4150,2,0)</f>
        <v>Todirostrum cinereum</v>
      </c>
      <c r="H3751" s="6" t="str">
        <f>VLOOKUP(E3751,dicionario!$A$1:$C4150,3,0)</f>
        <v>ferreirinho-relógio</v>
      </c>
    </row>
    <row r="3752">
      <c r="A3752" s="3">
        <v>45638.0</v>
      </c>
      <c r="B3752" s="4">
        <v>0.32430555555555557</v>
      </c>
      <c r="C3752" s="5" t="s">
        <v>50</v>
      </c>
      <c r="D3752" s="5" t="s">
        <v>971</v>
      </c>
      <c r="E3752" s="6" t="s">
        <v>251</v>
      </c>
      <c r="F3752" s="5" t="s">
        <v>252</v>
      </c>
      <c r="G3752" s="6" t="str">
        <f>VLOOKUP(E3752,dicionario!$A$1:$C4151,2,0)</f>
        <v>Struthanthus flexicaulis</v>
      </c>
      <c r="H3752" s="6" t="str">
        <f>VLOOKUP(E3752,dicionario!$A$1:$C4151,3,0)</f>
        <v>erva-de-passarinho</v>
      </c>
    </row>
    <row r="3753">
      <c r="A3753" s="3">
        <v>45638.0</v>
      </c>
      <c r="B3753" s="4">
        <v>0.32430555555555557</v>
      </c>
      <c r="C3753" s="5" t="s">
        <v>50</v>
      </c>
      <c r="D3753" s="5" t="s">
        <v>971</v>
      </c>
      <c r="E3753" s="6" t="s">
        <v>288</v>
      </c>
      <c r="F3753" s="5" t="s">
        <v>289</v>
      </c>
      <c r="G3753" s="6" t="str">
        <f>VLOOKUP(E3753,dicionario!$A$1:$C4152,2,0)</f>
        <v>Phyllanthus tenellus</v>
      </c>
      <c r="H3753" s="6" t="str">
        <f>VLOOKUP(E3753,dicionario!$A$1:$C4152,3,0)</f>
        <v>quebra-pedra</v>
      </c>
    </row>
    <row r="3754">
      <c r="A3754" s="3">
        <v>45638.0</v>
      </c>
      <c r="B3754" s="4">
        <v>0.32430555555555557</v>
      </c>
      <c r="C3754" s="5" t="s">
        <v>50</v>
      </c>
      <c r="D3754" s="5" t="s">
        <v>971</v>
      </c>
      <c r="E3754" s="6" t="s">
        <v>296</v>
      </c>
      <c r="F3754" s="5" t="s">
        <v>297</v>
      </c>
      <c r="G3754" s="6" t="str">
        <f>VLOOKUP(E3754,dicionario!$A$1:$C4153,2,0)</f>
        <v>Richardia brasiliensis</v>
      </c>
      <c r="H3754" s="6" t="str">
        <f>VLOOKUP(E3754,dicionario!$A$1:$C4153,3,0)</f>
        <v>poaia-branca</v>
      </c>
    </row>
    <row r="3755">
      <c r="A3755" s="3">
        <v>45638.0</v>
      </c>
      <c r="B3755" s="4">
        <v>0.32430555555555557</v>
      </c>
      <c r="C3755" s="5" t="s">
        <v>50</v>
      </c>
      <c r="D3755" s="5" t="s">
        <v>971</v>
      </c>
      <c r="E3755" s="8" t="s">
        <v>51</v>
      </c>
      <c r="F3755" s="5" t="s">
        <v>77</v>
      </c>
      <c r="G3755" s="6" t="str">
        <f>VLOOKUP(E3755,dicionario!$A$1:$C4154,2,0)</f>
        <v>Solenopsis</v>
      </c>
      <c r="H3755" s="6" t="str">
        <f>VLOOKUP(E3755,dicionario!$A$1:$C4154,3,0)</f>
        <v>formiga-quente; formiga-lava-pés; formiga-de-fogo</v>
      </c>
    </row>
    <row r="3756">
      <c r="A3756" s="3">
        <v>45638.0</v>
      </c>
      <c r="B3756" s="4">
        <v>0.32916666666666666</v>
      </c>
      <c r="C3756" s="5" t="s">
        <v>40</v>
      </c>
      <c r="D3756" s="5" t="s">
        <v>971</v>
      </c>
      <c r="E3756" s="6" t="s">
        <v>381</v>
      </c>
      <c r="F3756" s="5" t="s">
        <v>382</v>
      </c>
      <c r="G3756" s="6" t="str">
        <f>VLOOKUP(E3756,dicionario!$A$1:$C4155,2,0)</f>
        <v>Pseudomyrmex</v>
      </c>
      <c r="H3756" s="6" t="str">
        <f>VLOOKUP(E3756,dicionario!$A$1:$C4155,3,0)</f>
        <v>maria-magra</v>
      </c>
    </row>
    <row r="3757">
      <c r="A3757" s="3">
        <v>45638.0</v>
      </c>
      <c r="B3757" s="4">
        <v>0.32916666666666666</v>
      </c>
      <c r="C3757" s="5" t="s">
        <v>40</v>
      </c>
      <c r="D3757" s="5" t="s">
        <v>971</v>
      </c>
      <c r="E3757" s="6" t="s">
        <v>225</v>
      </c>
      <c r="F3757" s="5" t="s">
        <v>226</v>
      </c>
      <c r="G3757" s="6" t="str">
        <f>VLOOKUP(E3757,dicionario!$A$1:$C4156,2,0)</f>
        <v>Passer domesticus</v>
      </c>
      <c r="H3757" s="6" t="str">
        <f>VLOOKUP(E3757,dicionario!$A$1:$C4156,3,0)</f>
        <v>pardal</v>
      </c>
    </row>
    <row r="3758">
      <c r="A3758" s="3">
        <v>45638.0</v>
      </c>
      <c r="B3758" s="4">
        <v>0.3298611111111111</v>
      </c>
      <c r="C3758" s="5" t="s">
        <v>40</v>
      </c>
      <c r="D3758" s="5" t="s">
        <v>971</v>
      </c>
      <c r="E3758" s="6" t="s">
        <v>65</v>
      </c>
      <c r="F3758" s="5" t="s">
        <v>66</v>
      </c>
      <c r="G3758" s="6" t="str">
        <f>VLOOKUP(E3758,dicionario!$A$1:$C4157,2,0)</f>
        <v>Pitangus sulphutarus</v>
      </c>
      <c r="H3758" s="6" t="str">
        <f>VLOOKUP(E3758,dicionario!$A$1:$C4157,3,0)</f>
        <v>bem-te-vi</v>
      </c>
    </row>
    <row r="3759">
      <c r="A3759" s="3">
        <v>45638.0</v>
      </c>
      <c r="B3759" s="4">
        <v>0.3298611111111111</v>
      </c>
      <c r="C3759" s="5" t="s">
        <v>40</v>
      </c>
      <c r="D3759" s="5" t="s">
        <v>971</v>
      </c>
      <c r="E3759" s="6" t="s">
        <v>154</v>
      </c>
      <c r="F3759" s="5" t="s">
        <v>155</v>
      </c>
      <c r="G3759" s="6" t="str">
        <f>VLOOKUP(E3759,dicionario!$A$1:$C4158,2,0)</f>
        <v>Cyperus rotundus</v>
      </c>
      <c r="H3759" s="6" t="str">
        <f>VLOOKUP(E3759,dicionario!$A$1:$C4158,3,0)</f>
        <v>tiririca</v>
      </c>
    </row>
    <row r="3760">
      <c r="A3760" s="3">
        <v>45638.0</v>
      </c>
      <c r="B3760" s="4">
        <v>0.3298611111111111</v>
      </c>
      <c r="C3760" s="5" t="s">
        <v>40</v>
      </c>
      <c r="D3760" s="5" t="s">
        <v>971</v>
      </c>
      <c r="E3760" s="6" t="s">
        <v>288</v>
      </c>
      <c r="F3760" s="5" t="s">
        <v>289</v>
      </c>
      <c r="G3760" s="6" t="str">
        <f>VLOOKUP(E3760,dicionario!$A$1:$C4159,2,0)</f>
        <v>Phyllanthus tenellus</v>
      </c>
      <c r="H3760" s="6" t="str">
        <f>VLOOKUP(E3760,dicionario!$A$1:$C4159,3,0)</f>
        <v>quebra-pedra</v>
      </c>
    </row>
    <row r="3761">
      <c r="A3761" s="3">
        <v>45638.0</v>
      </c>
      <c r="B3761" s="4">
        <v>0.3298611111111111</v>
      </c>
      <c r="C3761" s="5" t="s">
        <v>40</v>
      </c>
      <c r="D3761" s="5" t="s">
        <v>971</v>
      </c>
      <c r="E3761" s="6" t="s">
        <v>53</v>
      </c>
      <c r="F3761" s="7" t="s">
        <v>54</v>
      </c>
      <c r="G3761" s="6" t="str">
        <f>VLOOKUP(E3761,dicionario!$A$1:$C4160,2,0)</f>
        <v>Turnera subulata</v>
      </c>
      <c r="H3761" s="6" t="str">
        <f>VLOOKUP(E3761,dicionario!$A$1:$C4160,3,0)</f>
        <v>xanana</v>
      </c>
    </row>
    <row r="3762">
      <c r="A3762" s="3">
        <v>45638.0</v>
      </c>
      <c r="B3762" s="4">
        <v>0.3298611111111111</v>
      </c>
      <c r="C3762" s="5" t="s">
        <v>40</v>
      </c>
      <c r="D3762" s="5" t="s">
        <v>971</v>
      </c>
      <c r="E3762" s="6" t="s">
        <v>150</v>
      </c>
      <c r="F3762" s="5" t="s">
        <v>151</v>
      </c>
      <c r="G3762" s="6" t="str">
        <f>VLOOKUP(E3762,dicionario!$A$1:$C4161,2,0)</f>
        <v>Amaranthus viridis</v>
      </c>
      <c r="H3762" s="6" t="str">
        <f>VLOOKUP(E3762,dicionario!$A$1:$C4161,3,0)</f>
        <v>caruru-de-mancha</v>
      </c>
    </row>
    <row r="3763">
      <c r="A3763" s="3">
        <v>45638.0</v>
      </c>
      <c r="B3763" s="4">
        <v>0.3298611111111111</v>
      </c>
      <c r="C3763" s="5" t="s">
        <v>40</v>
      </c>
      <c r="D3763" s="5" t="s">
        <v>971</v>
      </c>
      <c r="E3763" s="8" t="s">
        <v>298</v>
      </c>
      <c r="F3763" s="5" t="s">
        <v>739</v>
      </c>
      <c r="G3763" s="6" t="str">
        <f>VLOOKUP(E3763,dicionario!$A$1:$C4162,2,0)</f>
        <v>Alysicarpus vaginalis</v>
      </c>
      <c r="H3763" s="6" t="str">
        <f>VLOOKUP(E3763,dicionario!$A$1:$C4162,3,0)</f>
        <v/>
      </c>
    </row>
    <row r="3764">
      <c r="A3764" s="3">
        <v>45638.0</v>
      </c>
      <c r="B3764" s="4">
        <v>0.33055555555555555</v>
      </c>
      <c r="C3764" s="5" t="s">
        <v>40</v>
      </c>
      <c r="D3764" s="5" t="s">
        <v>971</v>
      </c>
      <c r="E3764" s="6" t="s">
        <v>271</v>
      </c>
      <c r="F3764" s="7" t="s">
        <v>272</v>
      </c>
      <c r="G3764" s="6" t="str">
        <f>VLOOKUP(E3764,dicionario!$A$1:$C4163,2,0)</f>
        <v>Cyanthillium cinereum</v>
      </c>
      <c r="H3764" s="6" t="str">
        <f>VLOOKUP(E3764,dicionario!$A$1:$C4163,3,0)</f>
        <v>emília</v>
      </c>
    </row>
    <row r="3765">
      <c r="A3765" s="3">
        <v>45638.0</v>
      </c>
      <c r="B3765" s="4">
        <v>0.33055555555555555</v>
      </c>
      <c r="C3765" s="5" t="s">
        <v>40</v>
      </c>
      <c r="D3765" s="5" t="s">
        <v>971</v>
      </c>
      <c r="E3765" s="6" t="s">
        <v>467</v>
      </c>
      <c r="F3765" s="5" t="s">
        <v>468</v>
      </c>
      <c r="G3765" s="6" t="str">
        <f>VLOOKUP(E3765,dicionario!$A$1:$C4164,2,0)</f>
        <v>Eleusine indica</v>
      </c>
      <c r="H3765" s="6" t="str">
        <f>VLOOKUP(E3765,dicionario!$A$1:$C4164,3,0)</f>
        <v>capim-pé-de-galinha</v>
      </c>
    </row>
    <row r="3766">
      <c r="A3766" s="3">
        <v>45638.0</v>
      </c>
      <c r="B3766" s="4">
        <v>0.33125</v>
      </c>
      <c r="C3766" s="5" t="s">
        <v>40</v>
      </c>
      <c r="D3766" s="5" t="s">
        <v>971</v>
      </c>
      <c r="E3766" s="8" t="s">
        <v>993</v>
      </c>
      <c r="F3766" s="5" t="s">
        <v>984</v>
      </c>
      <c r="G3766" s="6" t="str">
        <f>VLOOKUP(E3766,dicionario!$A$1:$C4165,2,0)</f>
        <v>#N/A</v>
      </c>
      <c r="H3766" s="6" t="str">
        <f>VLOOKUP(E3766,dicionario!$A$1:$C4165,3,0)</f>
        <v>#N/A</v>
      </c>
    </row>
    <row r="3767">
      <c r="A3767" s="3">
        <v>45638.0</v>
      </c>
      <c r="B3767" s="4">
        <v>0.3326388888888889</v>
      </c>
      <c r="C3767" s="5" t="s">
        <v>40</v>
      </c>
      <c r="D3767" s="5" t="s">
        <v>971</v>
      </c>
      <c r="E3767" s="6" t="s">
        <v>613</v>
      </c>
      <c r="F3767" s="5" t="s">
        <v>614</v>
      </c>
      <c r="G3767" s="6" t="str">
        <f>VLOOKUP(E3767,dicionario!$A$1:$C4166,2,0)</f>
        <v>Euphorbia hyssopifolia</v>
      </c>
      <c r="H3767" s="6" t="str">
        <f>VLOOKUP(E3767,dicionario!$A$1:$C4166,3,0)</f>
        <v>maria-leite</v>
      </c>
    </row>
    <row r="3768">
      <c r="A3768" s="3">
        <v>45638.0</v>
      </c>
      <c r="B3768" s="4">
        <v>0.3333333333333333</v>
      </c>
      <c r="C3768" s="5" t="s">
        <v>40</v>
      </c>
      <c r="D3768" s="5" t="s">
        <v>971</v>
      </c>
      <c r="E3768" s="6" t="s">
        <v>20</v>
      </c>
      <c r="F3768" s="7" t="s">
        <v>21</v>
      </c>
      <c r="G3768" s="6" t="str">
        <f>VLOOKUP(E3768,dicionario!$A$1:$C4167,2,0)</f>
        <v>Sicalis flaveola</v>
      </c>
      <c r="H3768" s="6" t="str">
        <f>VLOOKUP(E3768,dicionario!$A$1:$C4167,3,0)</f>
        <v>canário-da-terra</v>
      </c>
    </row>
    <row r="3769">
      <c r="A3769" s="3">
        <v>45638.0</v>
      </c>
      <c r="B3769" s="4">
        <v>0.3333333333333333</v>
      </c>
      <c r="C3769" s="5" t="s">
        <v>40</v>
      </c>
      <c r="D3769" s="5" t="s">
        <v>971</v>
      </c>
      <c r="E3769" s="6" t="s">
        <v>483</v>
      </c>
      <c r="F3769" s="5" t="s">
        <v>484</v>
      </c>
      <c r="G3769" s="6" t="str">
        <f>VLOOKUP(E3769,dicionario!$A$1:$C4168,2,0)</f>
        <v>Euphorbia prostrata</v>
      </c>
      <c r="H3769" s="6" t="str">
        <f>VLOOKUP(E3769,dicionario!$A$1:$C4168,3,0)</f>
        <v>quebra-pedra-rasteira</v>
      </c>
    </row>
    <row r="3770">
      <c r="A3770" s="3">
        <v>45638.0</v>
      </c>
      <c r="B3770" s="4">
        <v>0.33611111111111114</v>
      </c>
      <c r="C3770" s="5" t="s">
        <v>40</v>
      </c>
      <c r="D3770" s="5" t="s">
        <v>971</v>
      </c>
      <c r="E3770" s="8" t="s">
        <v>886</v>
      </c>
      <c r="F3770" s="5" t="s">
        <v>887</v>
      </c>
      <c r="G3770" s="6" t="str">
        <f>VLOOKUP(E3770,dicionario!$A$1:$C4169,2,0)</f>
        <v>Oldenlandia corymbosa</v>
      </c>
      <c r="H3770" s="6" t="str">
        <f>VLOOKUP(E3770,dicionario!$A$1:$C4169,3,0)</f>
        <v>erva-diamante</v>
      </c>
    </row>
    <row r="3771">
      <c r="A3771" s="3">
        <v>45638.0</v>
      </c>
      <c r="B3771" s="4">
        <v>0.33611111111111114</v>
      </c>
      <c r="C3771" s="5" t="s">
        <v>40</v>
      </c>
      <c r="D3771" s="5" t="s">
        <v>971</v>
      </c>
      <c r="E3771" s="6" t="s">
        <v>401</v>
      </c>
      <c r="F3771" s="5" t="s">
        <v>464</v>
      </c>
      <c r="G3771" s="6" t="str">
        <f>VLOOKUP(E3771,dicionario!$A$1:$C4170,2,0)</f>
        <v>Cissus verticillata</v>
      </c>
      <c r="H3771" s="6" t="str">
        <f>VLOOKUP(E3771,dicionario!$A$1:$C4170,3,0)</f>
        <v>uva-do-mato</v>
      </c>
    </row>
    <row r="3772">
      <c r="A3772" s="3">
        <v>45638.0</v>
      </c>
      <c r="B3772" s="4">
        <v>0.33611111111111114</v>
      </c>
      <c r="C3772" s="5" t="s">
        <v>40</v>
      </c>
      <c r="D3772" s="5" t="s">
        <v>971</v>
      </c>
      <c r="E3772" s="8" t="s">
        <v>195</v>
      </c>
      <c r="F3772" s="5" t="s">
        <v>196</v>
      </c>
      <c r="G3772" s="6" t="str">
        <f>VLOOKUP(E3772,dicionario!$A$1:$C4171,2,0)</f>
        <v>Priva lappulacea</v>
      </c>
      <c r="H3772" s="6" t="str">
        <f>VLOOKUP(E3772,dicionario!$A$1:$C4171,3,0)</f>
        <v>carrapicho</v>
      </c>
    </row>
    <row r="3773">
      <c r="A3773" s="3">
        <v>45638.0</v>
      </c>
      <c r="B3773" s="4">
        <v>0.33611111111111114</v>
      </c>
      <c r="C3773" s="5" t="s">
        <v>40</v>
      </c>
      <c r="D3773" s="5" t="s">
        <v>971</v>
      </c>
      <c r="E3773" s="29" t="s">
        <v>566</v>
      </c>
      <c r="F3773" s="5" t="s">
        <v>567</v>
      </c>
      <c r="G3773" s="6" t="str">
        <f>VLOOKUP(E3773,dicionario!$A$1:$C4172,2,0)</f>
        <v>Baccharis dracunculifolia</v>
      </c>
      <c r="H3773" s="6" t="str">
        <f>VLOOKUP(E3773,dicionario!$A$1:$C4172,3,0)</f>
        <v>vassoura</v>
      </c>
    </row>
    <row r="3774">
      <c r="A3774" s="3">
        <v>45638.0</v>
      </c>
      <c r="B3774" s="4">
        <v>0.33611111111111114</v>
      </c>
      <c r="C3774" s="5" t="s">
        <v>40</v>
      </c>
      <c r="D3774" s="5" t="s">
        <v>971</v>
      </c>
      <c r="E3774" s="8" t="s">
        <v>465</v>
      </c>
      <c r="F3774" s="5" t="s">
        <v>994</v>
      </c>
      <c r="G3774" s="6" t="str">
        <f>VLOOKUP(E3774,dicionario!$A$1:$C4173,2,0)</f>
        <v>Solanum diphyllum</v>
      </c>
      <c r="H3774" s="6" t="str">
        <f>VLOOKUP(E3774,dicionario!$A$1:$C4173,3,0)</f>
        <v>tomatinho-amarelo</v>
      </c>
    </row>
    <row r="3775">
      <c r="A3775" s="3">
        <v>45638.0</v>
      </c>
      <c r="B3775" s="4">
        <v>0.33611111111111114</v>
      </c>
      <c r="C3775" s="5" t="s">
        <v>40</v>
      </c>
      <c r="D3775" s="5" t="s">
        <v>971</v>
      </c>
      <c r="E3775" s="6" t="s">
        <v>113</v>
      </c>
      <c r="F3775" s="5" t="s">
        <v>114</v>
      </c>
      <c r="G3775" s="6" t="str">
        <f>VLOOKUP(E3775,dicionario!$A$1:$C4174,2,0)</f>
        <v>Columbina talpacoti</v>
      </c>
      <c r="H3775" s="6" t="str">
        <f>VLOOKUP(E3775,dicionario!$A$1:$C4174,3,0)</f>
        <v>rolinha-roxa</v>
      </c>
    </row>
    <row r="3776">
      <c r="A3776" s="3">
        <v>45638.0</v>
      </c>
      <c r="B3776" s="4">
        <v>0.33611111111111114</v>
      </c>
      <c r="C3776" s="5" t="s">
        <v>40</v>
      </c>
      <c r="D3776" s="5" t="s">
        <v>971</v>
      </c>
      <c r="E3776" s="8" t="s">
        <v>38</v>
      </c>
      <c r="F3776" s="5" t="s">
        <v>39</v>
      </c>
      <c r="G3776" s="6" t="str">
        <f>VLOOKUP(E3776,dicionario!$A$1:$C4175,2,0)</f>
        <v>Troglodytes musculus</v>
      </c>
      <c r="H3776" s="6" t="str">
        <f>VLOOKUP(E3776,dicionario!$A$1:$C4175,3,0)</f>
        <v>curruíra</v>
      </c>
    </row>
    <row r="3777">
      <c r="A3777" s="3">
        <v>45638.0</v>
      </c>
      <c r="B3777" s="4">
        <v>0.33611111111111114</v>
      </c>
      <c r="C3777" s="5" t="s">
        <v>40</v>
      </c>
      <c r="D3777" s="5" t="s">
        <v>971</v>
      </c>
      <c r="E3777" s="6" t="s">
        <v>86</v>
      </c>
      <c r="F3777" s="5" t="s">
        <v>502</v>
      </c>
      <c r="G3777" s="6" t="str">
        <f>VLOOKUP(E3777,dicionario!$A$1:$C4176,2,0)</f>
        <v>Coereba flaveola</v>
      </c>
      <c r="H3777" s="6" t="str">
        <f>VLOOKUP(E3777,dicionario!$A$1:$C4176,3,0)</f>
        <v>cambacica</v>
      </c>
    </row>
    <row r="3778">
      <c r="A3778" s="3">
        <v>45638.0</v>
      </c>
      <c r="B3778" s="4">
        <v>0.3368055555555556</v>
      </c>
      <c r="C3778" s="5" t="s">
        <v>40</v>
      </c>
      <c r="D3778" s="5" t="s">
        <v>971</v>
      </c>
      <c r="E3778" s="6" t="s">
        <v>109</v>
      </c>
      <c r="F3778" s="5" t="s">
        <v>110</v>
      </c>
      <c r="G3778" s="6" t="str">
        <f>VLOOKUP(E3778,dicionario!$A$1:$C4177,2,0)</f>
        <v>Tillandsia stricta</v>
      </c>
      <c r="H3778" s="6" t="str">
        <f>VLOOKUP(E3778,dicionario!$A$1:$C4177,3,0)</f>
        <v>cravo-do-mato</v>
      </c>
    </row>
    <row r="3779">
      <c r="A3779" s="3">
        <v>45638.0</v>
      </c>
      <c r="B3779" s="4">
        <v>0.3368055555555556</v>
      </c>
      <c r="C3779" s="5" t="s">
        <v>40</v>
      </c>
      <c r="D3779" s="5" t="s">
        <v>971</v>
      </c>
      <c r="E3779" s="6" t="s">
        <v>135</v>
      </c>
      <c r="F3779" s="5" t="s">
        <v>136</v>
      </c>
      <c r="G3779" s="6" t="str">
        <f>VLOOKUP(E3779,dicionario!$A$1:$C4178,2,0)</f>
        <v>Tridax procumbens</v>
      </c>
      <c r="H3779" s="6" t="str">
        <f>VLOOKUP(E3779,dicionario!$A$1:$C4178,3,0)</f>
        <v>erva-de-touro</v>
      </c>
    </row>
    <row r="3780">
      <c r="A3780" s="3">
        <v>45638.0</v>
      </c>
      <c r="B3780" s="4">
        <v>0.3368055555555556</v>
      </c>
      <c r="C3780" s="5" t="s">
        <v>40</v>
      </c>
      <c r="D3780" s="5" t="s">
        <v>971</v>
      </c>
      <c r="E3780" s="6" t="s">
        <v>162</v>
      </c>
      <c r="F3780" s="7" t="s">
        <v>42</v>
      </c>
      <c r="G3780" s="6" t="str">
        <f>VLOOKUP(E3780,dicionario!$A$1:$C4179,2,0)</f>
        <v>Fluvicola nengeta</v>
      </c>
      <c r="H3780" s="6" t="str">
        <f>VLOOKUP(E3780,dicionario!$A$1:$C4179,3,0)</f>
        <v>lavadeira-mascarada</v>
      </c>
    </row>
    <row r="3781">
      <c r="A3781" s="3">
        <v>45638.0</v>
      </c>
      <c r="B3781" s="4">
        <v>0.3375</v>
      </c>
      <c r="C3781" s="5" t="s">
        <v>40</v>
      </c>
      <c r="D3781" s="5" t="s">
        <v>971</v>
      </c>
      <c r="E3781" s="6" t="s">
        <v>286</v>
      </c>
      <c r="F3781" s="5" t="s">
        <v>287</v>
      </c>
      <c r="G3781" s="6" t="str">
        <f>VLOOKUP(E3781,dicionario!$A$1:$C4180,2,0)</f>
        <v>Setaria parviflora</v>
      </c>
      <c r="H3781" s="6" t="str">
        <f>VLOOKUP(E3781,dicionario!$A$1:$C4180,3,0)</f>
        <v>capim-rabo-de-raposa</v>
      </c>
    </row>
    <row r="3782">
      <c r="A3782" s="3">
        <v>45638.0</v>
      </c>
      <c r="B3782" s="4">
        <v>0.3375</v>
      </c>
      <c r="C3782" s="5" t="s">
        <v>40</v>
      </c>
      <c r="D3782" s="5" t="s">
        <v>971</v>
      </c>
      <c r="E3782" s="6" t="s">
        <v>355</v>
      </c>
      <c r="F3782" s="5" t="s">
        <v>356</v>
      </c>
      <c r="G3782" s="6" t="str">
        <f>VLOOKUP(E3782,dicionario!$A$1:$C4181,2,0)</f>
        <v>Boerhavia diffusa</v>
      </c>
      <c r="H3782" s="6" t="str">
        <f>VLOOKUP(E3782,dicionario!$A$1:$C4181,3,0)</f>
        <v>erva-tostão</v>
      </c>
    </row>
    <row r="3783">
      <c r="A3783" s="3">
        <v>45638.0</v>
      </c>
      <c r="B3783" s="4">
        <v>0.3375</v>
      </c>
      <c r="C3783" s="5" t="s">
        <v>40</v>
      </c>
      <c r="D3783" s="5" t="s">
        <v>971</v>
      </c>
      <c r="E3783" s="8" t="s">
        <v>262</v>
      </c>
      <c r="F3783" s="7" t="s">
        <v>263</v>
      </c>
      <c r="G3783" s="6" t="str">
        <f>VLOOKUP(E3783,dicionario!$A$1:$C4182,2,0)</f>
        <v>Portulaca oleracea</v>
      </c>
      <c r="H3783" s="6" t="str">
        <f>VLOOKUP(E3783,dicionario!$A$1:$C4182,3,0)</f>
        <v>beldroega</v>
      </c>
    </row>
    <row r="3784">
      <c r="A3784" s="3">
        <v>45638.0</v>
      </c>
      <c r="B3784" s="4">
        <v>0.3375</v>
      </c>
      <c r="C3784" s="5" t="s">
        <v>40</v>
      </c>
      <c r="D3784" s="5" t="s">
        <v>971</v>
      </c>
      <c r="E3784" s="6" t="s">
        <v>247</v>
      </c>
      <c r="F3784" s="5" t="s">
        <v>387</v>
      </c>
      <c r="G3784" s="6" t="str">
        <f>VLOOKUP(E3784,dicionario!$A$1:$C4183,2,0)</f>
        <v>Emilia sonchifolia</v>
      </c>
      <c r="H3784" s="6" t="str">
        <f>VLOOKUP(E3784,dicionario!$A$1:$C4183,3,0)</f>
        <v>serralinha</v>
      </c>
    </row>
    <row r="3785">
      <c r="A3785" s="3">
        <v>45638.0</v>
      </c>
      <c r="B3785" s="4">
        <v>0.3375</v>
      </c>
      <c r="C3785" s="5" t="s">
        <v>40</v>
      </c>
      <c r="D3785" s="5" t="s">
        <v>971</v>
      </c>
      <c r="E3785" s="6" t="s">
        <v>111</v>
      </c>
      <c r="F3785" s="7" t="s">
        <v>112</v>
      </c>
      <c r="G3785" s="6" t="str">
        <f>VLOOKUP(E3785,dicionario!$A$1:$C4184,2,0)</f>
        <v>Trigona spinipes</v>
      </c>
      <c r="H3785" s="6" t="str">
        <f>VLOOKUP(E3785,dicionario!$A$1:$C4184,3,0)</f>
        <v>abelha-cachorro</v>
      </c>
    </row>
    <row r="3786">
      <c r="A3786" s="3">
        <v>45638.0</v>
      </c>
      <c r="B3786" s="4">
        <v>0.3375</v>
      </c>
      <c r="C3786" s="5" t="s">
        <v>40</v>
      </c>
      <c r="D3786" s="5" t="s">
        <v>971</v>
      </c>
      <c r="E3786" s="6" t="s">
        <v>296</v>
      </c>
      <c r="F3786" s="5" t="s">
        <v>297</v>
      </c>
      <c r="G3786" s="6" t="str">
        <f>VLOOKUP(E3786,dicionario!$A$1:$C4185,2,0)</f>
        <v>Richardia brasiliensis</v>
      </c>
      <c r="H3786" s="6" t="str">
        <f>VLOOKUP(E3786,dicionario!$A$1:$C4185,3,0)</f>
        <v>poaia-branca</v>
      </c>
    </row>
    <row r="3787">
      <c r="A3787" s="3">
        <v>45638.0</v>
      </c>
      <c r="B3787" s="4">
        <v>0.3375</v>
      </c>
      <c r="C3787" s="5" t="s">
        <v>40</v>
      </c>
      <c r="D3787" s="5" t="s">
        <v>971</v>
      </c>
      <c r="E3787" s="6" t="s">
        <v>53</v>
      </c>
      <c r="F3787" s="7" t="s">
        <v>54</v>
      </c>
      <c r="G3787" s="6" t="str">
        <f>VLOOKUP(E3787,dicionario!$A$1:$C4186,2,0)</f>
        <v>Turnera subulata</v>
      </c>
      <c r="H3787" s="6" t="str">
        <f>VLOOKUP(E3787,dicionario!$A$1:$C4186,3,0)</f>
        <v>xanana</v>
      </c>
    </row>
    <row r="3788">
      <c r="A3788" s="3">
        <v>45638.0</v>
      </c>
      <c r="B3788" s="4">
        <v>0.3375</v>
      </c>
      <c r="C3788" s="5" t="s">
        <v>40</v>
      </c>
      <c r="D3788" s="5" t="s">
        <v>971</v>
      </c>
      <c r="E3788" s="8" t="s">
        <v>977</v>
      </c>
      <c r="F3788" s="5" t="s">
        <v>978</v>
      </c>
      <c r="G3788" s="6" t="str">
        <f>VLOOKUP(E3788,dicionario!$A$1:$C4187,2,0)</f>
        <v>Odontomachus</v>
      </c>
      <c r="H3788" s="6" t="str">
        <f>VLOOKUP(E3788,dicionario!$A$1:$C4187,3,0)</f>
        <v>formiga-de-estalo</v>
      </c>
    </row>
    <row r="3789">
      <c r="A3789" s="3">
        <v>45638.0</v>
      </c>
      <c r="B3789" s="4">
        <v>0.3375</v>
      </c>
      <c r="C3789" s="5" t="s">
        <v>40</v>
      </c>
      <c r="D3789" s="5" t="s">
        <v>971</v>
      </c>
      <c r="E3789" s="6" t="s">
        <v>381</v>
      </c>
      <c r="F3789" s="5" t="s">
        <v>382</v>
      </c>
      <c r="G3789" s="6" t="str">
        <f>VLOOKUP(E3789,dicionario!$A$1:$C4188,2,0)</f>
        <v>Pseudomyrmex</v>
      </c>
      <c r="H3789" s="6" t="str">
        <f>VLOOKUP(E3789,dicionario!$A$1:$C4188,3,0)</f>
        <v>maria-magra</v>
      </c>
    </row>
    <row r="3790">
      <c r="A3790" s="3">
        <v>45638.0</v>
      </c>
      <c r="B3790" s="4">
        <v>0.33819444444444446</v>
      </c>
      <c r="C3790" s="5" t="s">
        <v>33</v>
      </c>
      <c r="D3790" s="5" t="s">
        <v>971</v>
      </c>
      <c r="E3790" s="6" t="s">
        <v>65</v>
      </c>
      <c r="F3790" s="5" t="s">
        <v>66</v>
      </c>
      <c r="G3790" s="6" t="str">
        <f>VLOOKUP(E3790,dicionario!$A$1:$C4189,2,0)</f>
        <v>Pitangus sulphutarus</v>
      </c>
      <c r="H3790" s="6" t="str">
        <f>VLOOKUP(E3790,dicionario!$A$1:$C4189,3,0)</f>
        <v>bem-te-vi</v>
      </c>
    </row>
    <row r="3791">
      <c r="A3791" s="3">
        <v>45638.0</v>
      </c>
      <c r="B3791" s="4">
        <v>0.33819444444444446</v>
      </c>
      <c r="C3791" s="5" t="s">
        <v>33</v>
      </c>
      <c r="D3791" s="5" t="s">
        <v>971</v>
      </c>
      <c r="E3791" s="8" t="s">
        <v>38</v>
      </c>
      <c r="F3791" s="5" t="s">
        <v>39</v>
      </c>
      <c r="G3791" s="6" t="str">
        <f>VLOOKUP(E3791,dicionario!$A$1:$C4190,2,0)</f>
        <v>Troglodytes musculus</v>
      </c>
      <c r="H3791" s="6" t="str">
        <f>VLOOKUP(E3791,dicionario!$A$1:$C4190,3,0)</f>
        <v>curruíra</v>
      </c>
    </row>
    <row r="3792">
      <c r="A3792" s="3">
        <v>45638.0</v>
      </c>
      <c r="B3792" s="4">
        <v>0.33819444444444446</v>
      </c>
      <c r="C3792" s="5" t="s">
        <v>33</v>
      </c>
      <c r="D3792" s="5" t="s">
        <v>971</v>
      </c>
      <c r="E3792" s="8" t="s">
        <v>41</v>
      </c>
      <c r="F3792" s="5" t="s">
        <v>45</v>
      </c>
      <c r="G3792" s="6" t="str">
        <f>VLOOKUP(E3792,dicionario!$A$1:$C4191,2,0)</f>
        <v>Mimosa pudica</v>
      </c>
      <c r="H3792" s="6" t="str">
        <f>VLOOKUP(E3792,dicionario!$A$1:$C4191,3,0)</f>
        <v>dormideira</v>
      </c>
    </row>
    <row r="3793">
      <c r="A3793" s="3">
        <v>45638.0</v>
      </c>
      <c r="B3793" s="4">
        <v>0.33819444444444446</v>
      </c>
      <c r="C3793" s="5" t="s">
        <v>33</v>
      </c>
      <c r="D3793" s="5" t="s">
        <v>971</v>
      </c>
      <c r="E3793" s="20" t="s">
        <v>631</v>
      </c>
      <c r="F3793" s="5" t="s">
        <v>632</v>
      </c>
      <c r="G3793" s="6" t="str">
        <f>VLOOKUP(E3793,dicionario!$A$1:$C4192,2,0)</f>
        <v>Chamaecrista nictitans</v>
      </c>
      <c r="H3793" s="6" t="str">
        <f>VLOOKUP(E3793,dicionario!$A$1:$C4192,3,0)</f>
        <v>falsa-dormideira</v>
      </c>
    </row>
    <row r="3794">
      <c r="A3794" s="3">
        <v>45638.0</v>
      </c>
      <c r="B3794" s="4">
        <v>0.33819444444444446</v>
      </c>
      <c r="C3794" s="5" t="s">
        <v>33</v>
      </c>
      <c r="D3794" s="5" t="s">
        <v>971</v>
      </c>
      <c r="E3794" s="6" t="s">
        <v>53</v>
      </c>
      <c r="F3794" s="7" t="s">
        <v>54</v>
      </c>
      <c r="G3794" s="6" t="str">
        <f>VLOOKUP(E3794,dicionario!$A$1:$C4193,2,0)</f>
        <v>Turnera subulata</v>
      </c>
      <c r="H3794" s="6" t="str">
        <f>VLOOKUP(E3794,dicionario!$A$1:$C4193,3,0)</f>
        <v>xanana</v>
      </c>
    </row>
    <row r="3795">
      <c r="A3795" s="3">
        <v>45638.0</v>
      </c>
      <c r="B3795" s="4">
        <v>0.33819444444444446</v>
      </c>
      <c r="C3795" s="5" t="s">
        <v>33</v>
      </c>
      <c r="D3795" s="5" t="s">
        <v>971</v>
      </c>
      <c r="E3795" s="6" t="s">
        <v>399</v>
      </c>
      <c r="F3795" s="5" t="s">
        <v>400</v>
      </c>
      <c r="G3795" s="6" t="str">
        <f>VLOOKUP(E3795,dicionario!$A$1:$C4194,2,0)</f>
        <v>Varronia curassavica</v>
      </c>
      <c r="H3795" s="6" t="str">
        <f>VLOOKUP(E3795,dicionario!$A$1:$C4194,3,0)</f>
        <v>erva-baleeira</v>
      </c>
    </row>
    <row r="3796">
      <c r="A3796" s="3">
        <v>45638.0</v>
      </c>
      <c r="B3796" s="4">
        <v>0.33819444444444446</v>
      </c>
      <c r="C3796" s="5" t="s">
        <v>33</v>
      </c>
      <c r="D3796" s="5" t="s">
        <v>971</v>
      </c>
      <c r="E3796" s="6" t="s">
        <v>498</v>
      </c>
      <c r="F3796" s="5" t="s">
        <v>499</v>
      </c>
      <c r="G3796" s="6" t="str">
        <f>VLOOKUP(E3796,dicionario!$A$1:$C4195,2,0)</f>
        <v>Brachiaria decumbens</v>
      </c>
      <c r="H3796" s="6" t="str">
        <f>VLOOKUP(E3796,dicionario!$A$1:$C4195,3,0)</f>
        <v>capim-braquiária</v>
      </c>
    </row>
    <row r="3797">
      <c r="A3797" s="3">
        <v>45638.0</v>
      </c>
      <c r="B3797" s="4">
        <v>0.33819444444444446</v>
      </c>
      <c r="C3797" s="5" t="s">
        <v>33</v>
      </c>
      <c r="D3797" s="5" t="s">
        <v>971</v>
      </c>
      <c r="E3797" s="6" t="s">
        <v>169</v>
      </c>
      <c r="F3797" s="5" t="s">
        <v>170</v>
      </c>
      <c r="G3797" s="6" t="str">
        <f>VLOOKUP(E3797,dicionario!$A$1:$C4196,2,0)</f>
        <v>Camponotus cruentatus</v>
      </c>
      <c r="H3797" s="6" t="str">
        <f>VLOOKUP(E3797,dicionario!$A$1:$C4196,3,0)</f>
        <v>formiga-carpinteira</v>
      </c>
    </row>
    <row r="3798">
      <c r="A3798" s="3">
        <v>45638.0</v>
      </c>
      <c r="B3798" s="4">
        <v>0.33819444444444446</v>
      </c>
      <c r="C3798" s="5" t="s">
        <v>33</v>
      </c>
      <c r="D3798" s="5" t="s">
        <v>971</v>
      </c>
      <c r="E3798" s="6" t="s">
        <v>154</v>
      </c>
      <c r="F3798" s="5" t="s">
        <v>155</v>
      </c>
      <c r="G3798" s="6" t="str">
        <f>VLOOKUP(E3798,dicionario!$A$1:$C4197,2,0)</f>
        <v>Cyperus rotundus</v>
      </c>
      <c r="H3798" s="6" t="str">
        <f>VLOOKUP(E3798,dicionario!$A$1:$C4197,3,0)</f>
        <v>tiririca</v>
      </c>
    </row>
    <row r="3799">
      <c r="A3799" s="3">
        <v>45638.0</v>
      </c>
      <c r="B3799" s="4">
        <v>0.33819444444444446</v>
      </c>
      <c r="C3799" s="5" t="s">
        <v>33</v>
      </c>
      <c r="D3799" s="5" t="s">
        <v>971</v>
      </c>
      <c r="E3799" s="6" t="s">
        <v>109</v>
      </c>
      <c r="F3799" s="5" t="s">
        <v>110</v>
      </c>
      <c r="G3799" s="6" t="str">
        <f>VLOOKUP(E3799,dicionario!$A$1:$C4198,2,0)</f>
        <v>Tillandsia stricta</v>
      </c>
      <c r="H3799" s="6" t="str">
        <f>VLOOKUP(E3799,dicionario!$A$1:$C4198,3,0)</f>
        <v>cravo-do-mato</v>
      </c>
    </row>
    <row r="3800">
      <c r="A3800" s="3">
        <v>45638.0</v>
      </c>
      <c r="B3800" s="4">
        <v>0.33819444444444446</v>
      </c>
      <c r="C3800" s="5" t="s">
        <v>33</v>
      </c>
      <c r="D3800" s="5" t="s">
        <v>971</v>
      </c>
      <c r="E3800" s="8" t="s">
        <v>223</v>
      </c>
      <c r="F3800" s="5" t="s">
        <v>224</v>
      </c>
      <c r="G3800" s="6" t="str">
        <f>VLOOKUP(E3800,dicionario!$A$1:$C4199,2,0)</f>
        <v>Rhipsalis lindbergiana</v>
      </c>
      <c r="H3800" s="6" t="str">
        <f>VLOOKUP(E3800,dicionario!$A$1:$C4199,3,0)</f>
        <v>cacto-macarrão</v>
      </c>
    </row>
    <row r="3801">
      <c r="A3801" s="3">
        <v>45638.0</v>
      </c>
      <c r="B3801" s="4">
        <v>0.33819444444444446</v>
      </c>
      <c r="C3801" s="5" t="s">
        <v>33</v>
      </c>
      <c r="D3801" s="5" t="s">
        <v>971</v>
      </c>
      <c r="E3801" s="9" t="s">
        <v>105</v>
      </c>
      <c r="F3801" s="5" t="s">
        <v>106</v>
      </c>
      <c r="G3801" s="6" t="str">
        <f>VLOOKUP(E3801,dicionario!$A$1:$C4200,2,0)</f>
        <v>Progne tapera</v>
      </c>
      <c r="H3801" s="6" t="str">
        <f>VLOOKUP(E3801,dicionario!$A$1:$C4200,3,0)</f>
        <v>andorinha-do-campo</v>
      </c>
    </row>
    <row r="3802">
      <c r="A3802" s="3">
        <v>45638.0</v>
      </c>
      <c r="B3802" s="4">
        <v>0.33819444444444446</v>
      </c>
      <c r="C3802" s="5" t="s">
        <v>33</v>
      </c>
      <c r="D3802" s="5" t="s">
        <v>971</v>
      </c>
      <c r="E3802" s="29" t="s">
        <v>566</v>
      </c>
      <c r="F3802" s="5" t="s">
        <v>567</v>
      </c>
      <c r="G3802" s="6" t="str">
        <f>VLOOKUP(E3802,dicionario!$A$1:$C4201,2,0)</f>
        <v>Baccharis dracunculifolia</v>
      </c>
      <c r="H3802" s="6" t="str">
        <f>VLOOKUP(E3802,dicionario!$A$1:$C4201,3,0)</f>
        <v>vassoura</v>
      </c>
    </row>
    <row r="3803">
      <c r="A3803" s="3">
        <v>45638.0</v>
      </c>
      <c r="B3803" s="4">
        <v>0.33819444444444446</v>
      </c>
      <c r="C3803" s="5" t="s">
        <v>33</v>
      </c>
      <c r="D3803" s="5" t="s">
        <v>971</v>
      </c>
      <c r="E3803" s="6" t="s">
        <v>122</v>
      </c>
      <c r="F3803" s="7" t="s">
        <v>123</v>
      </c>
      <c r="G3803" s="6" t="str">
        <f>VLOOKUP(E3803,dicionario!$A$1:$C4202,2,0)</f>
        <v>Todirostrum cinereum</v>
      </c>
      <c r="H3803" s="6" t="str">
        <f>VLOOKUP(E3803,dicionario!$A$1:$C4202,3,0)</f>
        <v>ferreirinho-relógio</v>
      </c>
    </row>
    <row r="3804">
      <c r="A3804" s="3">
        <v>45638.0</v>
      </c>
      <c r="B3804" s="4">
        <v>0.33819444444444446</v>
      </c>
      <c r="C3804" s="5" t="s">
        <v>33</v>
      </c>
      <c r="D3804" s="5" t="s">
        <v>971</v>
      </c>
      <c r="E3804" s="6" t="s">
        <v>191</v>
      </c>
      <c r="F3804" s="5" t="s">
        <v>192</v>
      </c>
      <c r="G3804" s="6" t="str">
        <f>VLOOKUP(E3804,dicionario!$A$1:$C4203,2,0)</f>
        <v>Patagioenas picazuro</v>
      </c>
      <c r="H3804" s="6" t="str">
        <f>VLOOKUP(E3804,dicionario!$A$1:$C4203,3,0)</f>
        <v>asa-branca; pomba-asa-branca; pocaçu</v>
      </c>
    </row>
    <row r="3805">
      <c r="A3805" s="3">
        <v>45638.0</v>
      </c>
      <c r="B3805" s="4">
        <v>0.33819444444444446</v>
      </c>
      <c r="C3805" s="5" t="s">
        <v>33</v>
      </c>
      <c r="D3805" s="5" t="s">
        <v>971</v>
      </c>
      <c r="E3805" s="6" t="s">
        <v>113</v>
      </c>
      <c r="F3805" s="5" t="s">
        <v>114</v>
      </c>
      <c r="G3805" s="6" t="str">
        <f>VLOOKUP(E3805,dicionario!$A$1:$C4204,2,0)</f>
        <v>Columbina talpacoti</v>
      </c>
      <c r="H3805" s="6" t="str">
        <f>VLOOKUP(E3805,dicionario!$A$1:$C4204,3,0)</f>
        <v>rolinha-roxa</v>
      </c>
    </row>
    <row r="3806">
      <c r="A3806" s="3">
        <v>45638.0</v>
      </c>
      <c r="B3806" s="4">
        <v>0.33819444444444446</v>
      </c>
      <c r="C3806" s="5" t="s">
        <v>33</v>
      </c>
      <c r="D3806" s="5" t="s">
        <v>971</v>
      </c>
      <c r="E3806" s="6" t="s">
        <v>20</v>
      </c>
      <c r="F3806" s="7" t="s">
        <v>21</v>
      </c>
      <c r="G3806" s="6" t="str">
        <f>VLOOKUP(E3806,dicionario!$A$1:$C4205,2,0)</f>
        <v>Sicalis flaveola</v>
      </c>
      <c r="H3806" s="6" t="str">
        <f>VLOOKUP(E3806,dicionario!$A$1:$C4205,3,0)</f>
        <v>canário-da-terra</v>
      </c>
    </row>
    <row r="3807">
      <c r="A3807" s="3">
        <v>45638.0</v>
      </c>
      <c r="B3807" s="4">
        <v>0.33819444444444446</v>
      </c>
      <c r="C3807" s="5" t="s">
        <v>33</v>
      </c>
      <c r="D3807" s="5" t="s">
        <v>971</v>
      </c>
      <c r="E3807" s="6" t="s">
        <v>286</v>
      </c>
      <c r="F3807" s="5" t="s">
        <v>287</v>
      </c>
      <c r="G3807" s="6" t="str">
        <f>VLOOKUP(E3807,dicionario!$A$1:$C4206,2,0)</f>
        <v>Setaria parviflora</v>
      </c>
      <c r="H3807" s="6" t="str">
        <f>VLOOKUP(E3807,dicionario!$A$1:$C4206,3,0)</f>
        <v>capim-rabo-de-raposa</v>
      </c>
    </row>
    <row r="3808">
      <c r="A3808" s="3">
        <v>45638.0</v>
      </c>
      <c r="B3808" s="4">
        <v>0.3388888888888889</v>
      </c>
      <c r="C3808" s="5" t="s">
        <v>33</v>
      </c>
      <c r="D3808" s="5" t="s">
        <v>971</v>
      </c>
      <c r="E3808" s="6" t="s">
        <v>88</v>
      </c>
      <c r="F3808" s="5" t="s">
        <v>89</v>
      </c>
      <c r="G3808" s="6" t="str">
        <f>VLOOKUP(E3808,dicionario!$A$1:$C4207,2,0)</f>
        <v>Tyrannus melancolichus</v>
      </c>
      <c r="H3808" s="6" t="str">
        <f>VLOOKUP(E3808,dicionario!$A$1:$C4207,3,0)</f>
        <v>suiriri</v>
      </c>
    </row>
    <row r="3809">
      <c r="A3809" s="3">
        <v>45638.0</v>
      </c>
      <c r="B3809" s="4">
        <v>0.3388888888888889</v>
      </c>
      <c r="C3809" s="5" t="s">
        <v>33</v>
      </c>
      <c r="D3809" s="5" t="s">
        <v>971</v>
      </c>
      <c r="E3809" s="6" t="s">
        <v>271</v>
      </c>
      <c r="F3809" s="7" t="s">
        <v>272</v>
      </c>
      <c r="G3809" s="6" t="str">
        <f>VLOOKUP(E3809,dicionario!$A$1:$C4208,2,0)</f>
        <v>Cyanthillium cinereum</v>
      </c>
      <c r="H3809" s="6" t="str">
        <f>VLOOKUP(E3809,dicionario!$A$1:$C4208,3,0)</f>
        <v>emília</v>
      </c>
    </row>
    <row r="3810">
      <c r="A3810" s="3">
        <v>45638.0</v>
      </c>
      <c r="B3810" s="4">
        <v>0.33958333333333335</v>
      </c>
      <c r="C3810" s="5" t="s">
        <v>33</v>
      </c>
      <c r="D3810" s="5" t="s">
        <v>971</v>
      </c>
      <c r="E3810" s="8" t="s">
        <v>995</v>
      </c>
      <c r="F3810" s="5" t="s">
        <v>996</v>
      </c>
      <c r="G3810" s="6" t="str">
        <f>VLOOKUP(E3810,dicionario!$A$1:$C4209,2,0)</f>
        <v>#N/A</v>
      </c>
      <c r="H3810" s="6" t="str">
        <f>VLOOKUP(E3810,dicionario!$A$1:$C4209,3,0)</f>
        <v>#N/A</v>
      </c>
    </row>
    <row r="3811">
      <c r="A3811" s="3">
        <v>45638.0</v>
      </c>
      <c r="B3811" s="4">
        <v>0.3402777777777778</v>
      </c>
      <c r="C3811" s="5" t="s">
        <v>33</v>
      </c>
      <c r="D3811" s="5" t="s">
        <v>971</v>
      </c>
      <c r="E3811" s="8" t="s">
        <v>46</v>
      </c>
      <c r="F3811" s="5" t="s">
        <v>47</v>
      </c>
      <c r="G3811" s="6" t="str">
        <f>VLOOKUP(E3811,dicionario!$A$1:$C4210,2,0)</f>
        <v>Chionomesa fimbriata</v>
      </c>
      <c r="H3811" s="6" t="str">
        <f>VLOOKUP(E3811,dicionario!$A$1:$C4210,3,0)</f>
        <v>beija-flor-de-garganta-verde</v>
      </c>
    </row>
    <row r="3812">
      <c r="A3812" s="3">
        <v>45638.0</v>
      </c>
      <c r="B3812" s="4">
        <v>0.3402777777777778</v>
      </c>
      <c r="C3812" s="5" t="s">
        <v>33</v>
      </c>
      <c r="D3812" s="5" t="s">
        <v>971</v>
      </c>
      <c r="E3812" s="8" t="s">
        <v>167</v>
      </c>
      <c r="F3812" s="5" t="s">
        <v>997</v>
      </c>
      <c r="G3812" s="6" t="str">
        <f>VLOOKUP(E3812,dicionario!$A$1:$C4211,2,0)</f>
        <v>Hemidactylus mabouia</v>
      </c>
      <c r="H3812" s="6" t="str">
        <f>VLOOKUP(E3812,dicionario!$A$1:$C4211,3,0)</f>
        <v>lagartixa-doméstica-tropical</v>
      </c>
    </row>
    <row r="3813">
      <c r="A3813" s="3">
        <v>45638.0</v>
      </c>
      <c r="B3813" s="4">
        <v>0.3423611111111111</v>
      </c>
      <c r="C3813" s="5" t="s">
        <v>33</v>
      </c>
      <c r="D3813" s="5" t="s">
        <v>971</v>
      </c>
      <c r="E3813" s="8" t="s">
        <v>976</v>
      </c>
      <c r="F3813" s="5" t="s">
        <v>35</v>
      </c>
      <c r="G3813" s="6" t="str">
        <f>VLOOKUP(E3813,dicionario!$A$1:$C4212,2,0)</f>
        <v>#N/A</v>
      </c>
      <c r="H3813" s="6" t="str">
        <f>VLOOKUP(E3813,dicionario!$A$1:$C4212,3,0)</f>
        <v>#N/A</v>
      </c>
    </row>
    <row r="3814">
      <c r="A3814" s="3">
        <v>45638.0</v>
      </c>
      <c r="B3814" s="4">
        <v>0.3423611111111111</v>
      </c>
      <c r="C3814" s="5" t="s">
        <v>33</v>
      </c>
      <c r="D3814" s="5" t="s">
        <v>971</v>
      </c>
      <c r="E3814" s="6" t="s">
        <v>86</v>
      </c>
      <c r="F3814" s="5" t="s">
        <v>502</v>
      </c>
      <c r="G3814" s="6" t="str">
        <f>VLOOKUP(E3814,dicionario!$A$1:$C4213,2,0)</f>
        <v>Coereba flaveola</v>
      </c>
      <c r="H3814" s="6" t="str">
        <f>VLOOKUP(E3814,dicionario!$A$1:$C4213,3,0)</f>
        <v>cambacica</v>
      </c>
    </row>
    <row r="3815">
      <c r="A3815" s="3">
        <v>45638.0</v>
      </c>
      <c r="B3815" s="4">
        <v>0.34305555555555556</v>
      </c>
      <c r="C3815" s="5" t="s">
        <v>33</v>
      </c>
      <c r="D3815" s="5" t="s">
        <v>971</v>
      </c>
      <c r="E3815" s="8" t="s">
        <v>517</v>
      </c>
      <c r="F3815" s="5" t="s">
        <v>984</v>
      </c>
      <c r="G3815" s="6" t="str">
        <f>VLOOKUP(E3815,dicionario!$A$1:$C4214,2,0)</f>
        <v>Evolvulus nummularius</v>
      </c>
      <c r="H3815" s="6" t="str">
        <f>VLOOKUP(E3815,dicionario!$A$1:$C4214,3,0)</f>
        <v/>
      </c>
    </row>
    <row r="3816">
      <c r="A3816" s="3">
        <v>45638.0</v>
      </c>
      <c r="B3816" s="4">
        <v>0.34375</v>
      </c>
      <c r="C3816" s="5" t="s">
        <v>33</v>
      </c>
      <c r="D3816" s="5" t="s">
        <v>971</v>
      </c>
      <c r="E3816" s="6" t="s">
        <v>702</v>
      </c>
      <c r="F3816" s="5" t="s">
        <v>703</v>
      </c>
      <c r="G3816" s="6" t="str">
        <f>VLOOKUP(E3816,dicionario!$A$1:$C4215,2,0)</f>
        <v>Acacia mangium</v>
      </c>
      <c r="H3816" s="6" t="str">
        <f>VLOOKUP(E3816,dicionario!$A$1:$C4215,3,0)</f>
        <v>acácia</v>
      </c>
    </row>
    <row r="3817">
      <c r="A3817" s="3">
        <v>45638.0</v>
      </c>
      <c r="B3817" s="4">
        <v>0.34375</v>
      </c>
      <c r="C3817" s="5" t="s">
        <v>33</v>
      </c>
      <c r="D3817" s="5" t="s">
        <v>971</v>
      </c>
      <c r="E3817" s="8" t="s">
        <v>723</v>
      </c>
      <c r="F3817" s="5" t="s">
        <v>998</v>
      </c>
      <c r="G3817" s="6" t="str">
        <f>VLOOKUP(E3817,dicionario!$A$1:$C4216,2,0)</f>
        <v>Asemeia violacea</v>
      </c>
      <c r="H3817" s="6" t="str">
        <f>VLOOKUP(E3817,dicionario!$A$1:$C4216,3,0)</f>
        <v/>
      </c>
    </row>
    <row r="3818">
      <c r="A3818" s="3">
        <v>45638.0</v>
      </c>
      <c r="B3818" s="4">
        <v>0.34375</v>
      </c>
      <c r="C3818" s="5" t="s">
        <v>33</v>
      </c>
      <c r="D3818" s="5" t="s">
        <v>971</v>
      </c>
      <c r="E3818" s="8" t="s">
        <v>999</v>
      </c>
      <c r="F3818" s="5" t="s">
        <v>1000</v>
      </c>
      <c r="G3818" s="6" t="str">
        <f>VLOOKUP(E3818,dicionario!$A$1:$C4217,2,0)</f>
        <v>#N/A</v>
      </c>
      <c r="H3818" s="6" t="str">
        <f>VLOOKUP(E3818,dicionario!$A$1:$C4217,3,0)</f>
        <v>#N/A</v>
      </c>
    </row>
    <row r="3819">
      <c r="A3819" s="3">
        <v>45638.0</v>
      </c>
      <c r="B3819" s="4">
        <v>0.34444444444444444</v>
      </c>
      <c r="C3819" s="5" t="s">
        <v>26</v>
      </c>
      <c r="D3819" s="5" t="s">
        <v>971</v>
      </c>
      <c r="E3819" s="6" t="s">
        <v>113</v>
      </c>
      <c r="F3819" s="5" t="s">
        <v>114</v>
      </c>
      <c r="G3819" s="6" t="str">
        <f>VLOOKUP(E3819,dicionario!$A$1:$C4218,2,0)</f>
        <v>Columbina talpacoti</v>
      </c>
      <c r="H3819" s="6" t="str">
        <f>VLOOKUP(E3819,dicionario!$A$1:$C4218,3,0)</f>
        <v>rolinha-roxa</v>
      </c>
    </row>
    <row r="3820">
      <c r="A3820" s="3">
        <v>45638.0</v>
      </c>
      <c r="B3820" s="4">
        <v>0.34444444444444444</v>
      </c>
      <c r="C3820" s="5" t="s">
        <v>26</v>
      </c>
      <c r="D3820" s="5" t="s">
        <v>971</v>
      </c>
      <c r="E3820" s="6" t="s">
        <v>109</v>
      </c>
      <c r="F3820" s="5" t="s">
        <v>110</v>
      </c>
      <c r="G3820" s="6" t="str">
        <f>VLOOKUP(E3820,dicionario!$A$1:$C4219,2,0)</f>
        <v>Tillandsia stricta</v>
      </c>
      <c r="H3820" s="6" t="str">
        <f>VLOOKUP(E3820,dicionario!$A$1:$C4219,3,0)</f>
        <v>cravo-do-mato</v>
      </c>
    </row>
    <row r="3821">
      <c r="A3821" s="3">
        <v>45638.0</v>
      </c>
      <c r="B3821" s="4">
        <v>0.34444444444444444</v>
      </c>
      <c r="C3821" s="5" t="s">
        <v>26</v>
      </c>
      <c r="D3821" s="5" t="s">
        <v>971</v>
      </c>
      <c r="E3821" s="6" t="s">
        <v>20</v>
      </c>
      <c r="F3821" s="7" t="s">
        <v>21</v>
      </c>
      <c r="G3821" s="6" t="str">
        <f>VLOOKUP(E3821,dicionario!$A$1:$C4220,2,0)</f>
        <v>Sicalis flaveola</v>
      </c>
      <c r="H3821" s="6" t="str">
        <f>VLOOKUP(E3821,dicionario!$A$1:$C4220,3,0)</f>
        <v>canário-da-terra</v>
      </c>
    </row>
    <row r="3822">
      <c r="A3822" s="3">
        <v>45638.0</v>
      </c>
      <c r="B3822" s="4">
        <v>0.34444444444444444</v>
      </c>
      <c r="C3822" s="5" t="s">
        <v>26</v>
      </c>
      <c r="D3822" s="5" t="s">
        <v>971</v>
      </c>
      <c r="E3822" s="8" t="s">
        <v>915</v>
      </c>
      <c r="F3822" s="5" t="s">
        <v>916</v>
      </c>
      <c r="G3822" s="6" t="str">
        <f>VLOOKUP(E3822,dicionario!$A$1:$C4221,2,0)</f>
        <v>Tachycineta albiventer</v>
      </c>
      <c r="H3822" s="6" t="str">
        <f>VLOOKUP(E3822,dicionario!$A$1:$C4221,3,0)</f>
        <v>andorinha-de-rio</v>
      </c>
    </row>
    <row r="3823">
      <c r="A3823" s="3">
        <v>45638.0</v>
      </c>
      <c r="B3823" s="4">
        <v>0.34444444444444444</v>
      </c>
      <c r="C3823" s="5" t="s">
        <v>26</v>
      </c>
      <c r="D3823" s="5" t="s">
        <v>971</v>
      </c>
      <c r="E3823" s="6" t="s">
        <v>215</v>
      </c>
      <c r="F3823" s="7" t="s">
        <v>216</v>
      </c>
      <c r="G3823" s="6" t="str">
        <f>VLOOKUP(E3823,dicionario!$A$1:$C4222,2,0)</f>
        <v>Pygochelidon cyanoleuca</v>
      </c>
      <c r="H3823" s="6" t="str">
        <f>VLOOKUP(E3823,dicionario!$A$1:$C4222,3,0)</f>
        <v>andorinha-pequena-de-casa</v>
      </c>
    </row>
    <row r="3824">
      <c r="A3824" s="3">
        <v>45638.0</v>
      </c>
      <c r="B3824" s="4">
        <v>0.34444444444444444</v>
      </c>
      <c r="C3824" s="5" t="s">
        <v>26</v>
      </c>
      <c r="D3824" s="5" t="s">
        <v>971</v>
      </c>
      <c r="E3824" s="6" t="s">
        <v>498</v>
      </c>
      <c r="F3824" s="5" t="s">
        <v>499</v>
      </c>
      <c r="G3824" s="6" t="str">
        <f>VLOOKUP(E3824,dicionario!$A$1:$C4223,2,0)</f>
        <v>Brachiaria decumbens</v>
      </c>
      <c r="H3824" s="6" t="str">
        <f>VLOOKUP(E3824,dicionario!$A$1:$C4223,3,0)</f>
        <v>capim-braquiária</v>
      </c>
    </row>
    <row r="3825">
      <c r="A3825" s="3">
        <v>45638.0</v>
      </c>
      <c r="B3825" s="4">
        <v>0.3451388888888889</v>
      </c>
      <c r="C3825" s="5" t="s">
        <v>26</v>
      </c>
      <c r="D3825" s="5" t="s">
        <v>971</v>
      </c>
      <c r="E3825" s="6" t="s">
        <v>88</v>
      </c>
      <c r="F3825" s="5" t="s">
        <v>89</v>
      </c>
      <c r="G3825" s="6" t="str">
        <f>VLOOKUP(E3825,dicionario!$A$1:$C4224,2,0)</f>
        <v>Tyrannus melancolichus</v>
      </c>
      <c r="H3825" s="6" t="str">
        <f>VLOOKUP(E3825,dicionario!$A$1:$C4224,3,0)</f>
        <v>suiriri</v>
      </c>
    </row>
    <row r="3826">
      <c r="A3826" s="3">
        <v>45638.0</v>
      </c>
      <c r="B3826" s="4">
        <v>0.3451388888888889</v>
      </c>
      <c r="C3826" s="5" t="s">
        <v>26</v>
      </c>
      <c r="D3826" s="5" t="s">
        <v>971</v>
      </c>
      <c r="E3826" s="6" t="s">
        <v>72</v>
      </c>
      <c r="F3826" s="5" t="s">
        <v>73</v>
      </c>
      <c r="G3826" s="6" t="str">
        <f>VLOOKUP(E3826,dicionario!$A$1:$C4225,2,0)</f>
        <v>Thraupis palmarum</v>
      </c>
      <c r="H3826" s="6" t="str">
        <f>VLOOKUP(E3826,dicionario!$A$1:$C4225,3,0)</f>
        <v>sanhaço-do-coqueiro</v>
      </c>
    </row>
    <row r="3827">
      <c r="A3827" s="3">
        <v>45638.0</v>
      </c>
      <c r="B3827" s="4">
        <v>0.3458333333333333</v>
      </c>
      <c r="C3827" s="5" t="s">
        <v>26</v>
      </c>
      <c r="D3827" s="5" t="s">
        <v>971</v>
      </c>
      <c r="E3827" s="8" t="s">
        <v>38</v>
      </c>
      <c r="F3827" s="5" t="s">
        <v>39</v>
      </c>
      <c r="G3827" s="6" t="str">
        <f>VLOOKUP(E3827,dicionario!$A$1:$C4226,2,0)</f>
        <v>Troglodytes musculus</v>
      </c>
      <c r="H3827" s="6" t="str">
        <f>VLOOKUP(E3827,dicionario!$A$1:$C4226,3,0)</f>
        <v>curruíra</v>
      </c>
    </row>
    <row r="3828">
      <c r="A3828" s="3">
        <v>45638.0</v>
      </c>
      <c r="B3828" s="4">
        <v>0.3458333333333333</v>
      </c>
      <c r="C3828" s="5" t="s">
        <v>26</v>
      </c>
      <c r="D3828" s="5" t="s">
        <v>971</v>
      </c>
      <c r="E3828" s="8" t="s">
        <v>1001</v>
      </c>
      <c r="F3828" s="5" t="s">
        <v>921</v>
      </c>
      <c r="G3828" s="6" t="str">
        <f>VLOOKUP(E3828,dicionario!$A$1:$C4227,2,0)</f>
        <v>#N/A</v>
      </c>
      <c r="H3828" s="6" t="str">
        <f>VLOOKUP(E3828,dicionario!$A$1:$C4227,3,0)</f>
        <v>#N/A</v>
      </c>
    </row>
    <row r="3829">
      <c r="A3829" s="3">
        <v>45638.0</v>
      </c>
      <c r="B3829" s="4">
        <v>0.3458333333333333</v>
      </c>
      <c r="C3829" s="5" t="s">
        <v>26</v>
      </c>
      <c r="D3829" s="5" t="s">
        <v>971</v>
      </c>
      <c r="E3829" s="6" t="s">
        <v>169</v>
      </c>
      <c r="F3829" s="5" t="s">
        <v>170</v>
      </c>
      <c r="G3829" s="6" t="str">
        <f>VLOOKUP(E3829,dicionario!$A$1:$C4228,2,0)</f>
        <v>Camponotus cruentatus</v>
      </c>
      <c r="H3829" s="6" t="str">
        <f>VLOOKUP(E3829,dicionario!$A$1:$C4228,3,0)</f>
        <v>formiga-carpinteira</v>
      </c>
    </row>
    <row r="3830">
      <c r="A3830" s="3">
        <v>45638.0</v>
      </c>
      <c r="B3830" s="4">
        <v>0.3458333333333333</v>
      </c>
      <c r="C3830" s="5" t="s">
        <v>26</v>
      </c>
      <c r="D3830" s="5" t="s">
        <v>971</v>
      </c>
      <c r="E3830" s="6" t="s">
        <v>245</v>
      </c>
      <c r="F3830" s="7" t="s">
        <v>246</v>
      </c>
      <c r="G3830" s="6" t="str">
        <f>VLOOKUP(E3830,dicionario!$A$1:$C4229,2,0)</f>
        <v>Hemiargus hanno</v>
      </c>
      <c r="H3830" s="6" t="str">
        <f>VLOOKUP(E3830,dicionario!$A$1:$C4229,3,0)</f>
        <v>borboleta-azulzinha-do-trevo</v>
      </c>
    </row>
    <row r="3831">
      <c r="A3831" s="3">
        <v>45638.0</v>
      </c>
      <c r="B3831" s="4">
        <v>0.3458333333333333</v>
      </c>
      <c r="C3831" s="5" t="s">
        <v>26</v>
      </c>
      <c r="D3831" s="5" t="s">
        <v>971</v>
      </c>
      <c r="E3831" s="8" t="s">
        <v>935</v>
      </c>
      <c r="F3831" s="5" t="s">
        <v>936</v>
      </c>
      <c r="G3831" s="6" t="str">
        <f>VLOOKUP(E3831,dicionario!$A$1:$C4230,2,0)</f>
        <v>#N/A</v>
      </c>
      <c r="H3831" s="6" t="str">
        <f>VLOOKUP(E3831,dicionario!$A$1:$C4230,3,0)</f>
        <v>#N/A</v>
      </c>
    </row>
    <row r="3832">
      <c r="A3832" s="3">
        <v>45638.0</v>
      </c>
      <c r="B3832" s="4">
        <v>0.34652777777777777</v>
      </c>
      <c r="C3832" s="5" t="s">
        <v>26</v>
      </c>
      <c r="D3832" s="5" t="s">
        <v>971</v>
      </c>
      <c r="E3832" s="6" t="s">
        <v>217</v>
      </c>
      <c r="F3832" s="5" t="s">
        <v>218</v>
      </c>
      <c r="G3832" s="6" t="str">
        <f>VLOOKUP(E3832,dicionario!$A$1:$C4231,2,0)</f>
        <v>Athene cunicularia</v>
      </c>
      <c r="H3832" s="6" t="str">
        <f>VLOOKUP(E3832,dicionario!$A$1:$C4231,3,0)</f>
        <v>coruja-buraqueira</v>
      </c>
    </row>
    <row r="3833">
      <c r="A3833" s="3">
        <v>45638.0</v>
      </c>
      <c r="B3833" s="4">
        <v>0.34652777777777777</v>
      </c>
      <c r="C3833" s="5" t="s">
        <v>26</v>
      </c>
      <c r="D3833" s="5" t="s">
        <v>971</v>
      </c>
      <c r="E3833" s="6" t="s">
        <v>225</v>
      </c>
      <c r="F3833" s="5" t="s">
        <v>226</v>
      </c>
      <c r="G3833" s="6" t="str">
        <f>VLOOKUP(E3833,dicionario!$A$1:$C4232,2,0)</f>
        <v>Passer domesticus</v>
      </c>
      <c r="H3833" s="6" t="str">
        <f>VLOOKUP(E3833,dicionario!$A$1:$C4232,3,0)</f>
        <v>pardal</v>
      </c>
    </row>
    <row r="3834">
      <c r="A3834" s="3">
        <v>45638.0</v>
      </c>
      <c r="B3834" s="4">
        <v>0.34652777777777777</v>
      </c>
      <c r="C3834" s="5" t="s">
        <v>26</v>
      </c>
      <c r="D3834" s="5" t="s">
        <v>971</v>
      </c>
      <c r="E3834" s="8" t="s">
        <v>976</v>
      </c>
      <c r="F3834" s="5" t="s">
        <v>35</v>
      </c>
      <c r="G3834" s="6" t="str">
        <f>VLOOKUP(E3834,dicionario!$A$1:$C4233,2,0)</f>
        <v>#N/A</v>
      </c>
      <c r="H3834" s="6" t="str">
        <f>VLOOKUP(E3834,dicionario!$A$1:$C4233,3,0)</f>
        <v>#N/A</v>
      </c>
    </row>
    <row r="3835">
      <c r="A3835" s="3">
        <v>45638.0</v>
      </c>
      <c r="B3835" s="4">
        <v>0.3472222222222222</v>
      </c>
      <c r="C3835" s="5" t="s">
        <v>26</v>
      </c>
      <c r="D3835" s="5" t="s">
        <v>971</v>
      </c>
      <c r="E3835" s="6" t="s">
        <v>353</v>
      </c>
      <c r="F3835" s="5" t="s">
        <v>354</v>
      </c>
      <c r="G3835" s="6" t="str">
        <f>VLOOKUP(E3835,dicionario!$A$1:$C4234,2,0)</f>
        <v>Desmodium incanum</v>
      </c>
      <c r="H3835" s="6" t="str">
        <f>VLOOKUP(E3835,dicionario!$A$1:$C4234,3,0)</f>
        <v>pega-pega</v>
      </c>
    </row>
    <row r="3836">
      <c r="A3836" s="3">
        <v>45638.0</v>
      </c>
      <c r="B3836" s="4">
        <v>0.3472222222222222</v>
      </c>
      <c r="C3836" s="5" t="s">
        <v>26</v>
      </c>
      <c r="D3836" s="5" t="s">
        <v>971</v>
      </c>
      <c r="E3836" s="6" t="s">
        <v>65</v>
      </c>
      <c r="F3836" s="5" t="s">
        <v>66</v>
      </c>
      <c r="G3836" s="6" t="str">
        <f>VLOOKUP(E3836,dicionario!$A$1:$C4235,2,0)</f>
        <v>Pitangus sulphutarus</v>
      </c>
      <c r="H3836" s="6" t="str">
        <f>VLOOKUP(E3836,dicionario!$A$1:$C4235,3,0)</f>
        <v>bem-te-vi</v>
      </c>
    </row>
    <row r="3837">
      <c r="A3837" s="3">
        <v>45638.0</v>
      </c>
      <c r="B3837" s="4">
        <v>0.3472222222222222</v>
      </c>
      <c r="C3837" s="5" t="s">
        <v>26</v>
      </c>
      <c r="D3837" s="5" t="s">
        <v>971</v>
      </c>
      <c r="E3837" s="6" t="s">
        <v>381</v>
      </c>
      <c r="F3837" s="5" t="s">
        <v>382</v>
      </c>
      <c r="G3837" s="6" t="str">
        <f>VLOOKUP(E3837,dicionario!$A$1:$C4236,2,0)</f>
        <v>Pseudomyrmex</v>
      </c>
      <c r="H3837" s="6" t="str">
        <f>VLOOKUP(E3837,dicionario!$A$1:$C4236,3,0)</f>
        <v>maria-magra</v>
      </c>
    </row>
    <row r="3838">
      <c r="A3838" s="3">
        <v>45638.0</v>
      </c>
      <c r="B3838" s="4">
        <v>0.3472222222222222</v>
      </c>
      <c r="C3838" s="5" t="s">
        <v>26</v>
      </c>
      <c r="D3838" s="5" t="s">
        <v>971</v>
      </c>
      <c r="E3838" s="6" t="s">
        <v>471</v>
      </c>
      <c r="F3838" s="5" t="s">
        <v>472</v>
      </c>
      <c r="G3838" s="6" t="str">
        <f>VLOOKUP(E3838,dicionario!$A$1:$C4237,2,0)</f>
        <v>Sida acuta</v>
      </c>
      <c r="H3838" s="6" t="str">
        <f>VLOOKUP(E3838,dicionario!$A$1:$C4237,3,0)</f>
        <v>reloginho</v>
      </c>
    </row>
    <row r="3839">
      <c r="A3839" s="3">
        <v>45638.0</v>
      </c>
      <c r="B3839" s="4">
        <v>0.3472222222222222</v>
      </c>
      <c r="C3839" s="5" t="s">
        <v>26</v>
      </c>
      <c r="D3839" s="5" t="s">
        <v>971</v>
      </c>
      <c r="E3839" s="6" t="s">
        <v>319</v>
      </c>
      <c r="F3839" s="5" t="s">
        <v>320</v>
      </c>
      <c r="G3839" s="6" t="str">
        <f>VLOOKUP(E3839,dicionario!$A$1:$C4238,2,0)</f>
        <v>Schinus terebinthifolia</v>
      </c>
      <c r="H3839" s="6" t="str">
        <f>VLOOKUP(E3839,dicionario!$A$1:$C4238,3,0)</f>
        <v>aroeira</v>
      </c>
    </row>
    <row r="3840">
      <c r="A3840" s="3">
        <v>45638.0</v>
      </c>
      <c r="B3840" s="4">
        <v>0.3472222222222222</v>
      </c>
      <c r="C3840" s="5" t="s">
        <v>26</v>
      </c>
      <c r="D3840" s="5" t="s">
        <v>971</v>
      </c>
      <c r="E3840" s="8" t="s">
        <v>1002</v>
      </c>
      <c r="F3840" s="5" t="s">
        <v>1003</v>
      </c>
      <c r="G3840" s="6" t="str">
        <f>VLOOKUP(E3840,dicionario!$A$1:$C4239,2,0)</f>
        <v>#N/A</v>
      </c>
      <c r="H3840" s="6" t="str">
        <f>VLOOKUP(E3840,dicionario!$A$1:$C4239,3,0)</f>
        <v>#N/A</v>
      </c>
    </row>
    <row r="3841">
      <c r="A3841" s="3">
        <v>45638.0</v>
      </c>
      <c r="B3841" s="4">
        <v>0.34791666666666665</v>
      </c>
      <c r="C3841" s="5" t="s">
        <v>26</v>
      </c>
      <c r="D3841" s="5" t="s">
        <v>971</v>
      </c>
      <c r="E3841" s="53" t="s">
        <v>991</v>
      </c>
      <c r="F3841" s="5" t="s">
        <v>28</v>
      </c>
      <c r="G3841" s="6" t="str">
        <f>VLOOKUP(E3841,dicionario!$A$1:$C4240,2,0)</f>
        <v>#N/A</v>
      </c>
      <c r="H3841" s="6" t="str">
        <f>VLOOKUP(E3841,dicionario!$A$1:$C4240,3,0)</f>
        <v>#N/A</v>
      </c>
    </row>
    <row r="3842">
      <c r="A3842" s="3">
        <v>45638.0</v>
      </c>
      <c r="B3842" s="4">
        <v>0.34791666666666665</v>
      </c>
      <c r="C3842" s="5" t="s">
        <v>26</v>
      </c>
      <c r="D3842" s="5" t="s">
        <v>971</v>
      </c>
      <c r="E3842" s="6" t="s">
        <v>699</v>
      </c>
      <c r="F3842" s="5" t="s">
        <v>458</v>
      </c>
      <c r="G3842" s="6" t="str">
        <f>VLOOKUP(E3842,dicionario!$A$1:$C4241,2,0)</f>
        <v>#N/A</v>
      </c>
      <c r="H3842" s="6" t="str">
        <f>VLOOKUP(E3842,dicionario!$A$1:$C4241,3,0)</f>
        <v>#N/A</v>
      </c>
    </row>
    <row r="3843">
      <c r="A3843" s="3">
        <v>45638.0</v>
      </c>
      <c r="B3843" s="4">
        <v>0.3486111111111111</v>
      </c>
      <c r="C3843" s="5" t="s">
        <v>26</v>
      </c>
      <c r="D3843" s="5" t="s">
        <v>971</v>
      </c>
      <c r="E3843" s="8" t="s">
        <v>41</v>
      </c>
      <c r="F3843" s="5" t="s">
        <v>45</v>
      </c>
      <c r="G3843" s="6" t="str">
        <f>VLOOKUP(E3843,dicionario!$A$1:$C4242,2,0)</f>
        <v>Mimosa pudica</v>
      </c>
      <c r="H3843" s="6" t="str">
        <f>VLOOKUP(E3843,dicionario!$A$1:$C4242,3,0)</f>
        <v>dormideira</v>
      </c>
    </row>
    <row r="3844">
      <c r="A3844" s="3">
        <v>45638.0</v>
      </c>
      <c r="B3844" s="4">
        <v>0.3486111111111111</v>
      </c>
      <c r="C3844" s="5" t="s">
        <v>26</v>
      </c>
      <c r="D3844" s="5" t="s">
        <v>971</v>
      </c>
      <c r="E3844" s="6" t="s">
        <v>111</v>
      </c>
      <c r="F3844" s="7" t="s">
        <v>112</v>
      </c>
      <c r="G3844" s="6" t="str">
        <f>VLOOKUP(E3844,dicionario!$A$1:$C4243,2,0)</f>
        <v>Trigona spinipes</v>
      </c>
      <c r="H3844" s="6" t="str">
        <f>VLOOKUP(E3844,dicionario!$A$1:$C4243,3,0)</f>
        <v>abelha-cachorro</v>
      </c>
    </row>
    <row r="3845">
      <c r="A3845" s="3">
        <v>45638.0</v>
      </c>
      <c r="B3845" s="4">
        <v>0.35</v>
      </c>
      <c r="C3845" s="5" t="s">
        <v>26</v>
      </c>
      <c r="D3845" s="5" t="s">
        <v>971</v>
      </c>
      <c r="E3845" s="20" t="s">
        <v>676</v>
      </c>
      <c r="F3845" s="7" t="s">
        <v>677</v>
      </c>
      <c r="G3845" s="6" t="str">
        <f>VLOOKUP(E3845,dicionario!$A$1:$C4244,2,0)</f>
        <v>Zornia latifolia</v>
      </c>
      <c r="H3845" s="6" t="str">
        <f>VLOOKUP(E3845,dicionario!$A$1:$C4244,3,0)</f>
        <v>arrozinho-do-campo</v>
      </c>
    </row>
    <row r="3846">
      <c r="A3846" s="3">
        <v>45638.0</v>
      </c>
      <c r="B3846" s="4">
        <v>0.35</v>
      </c>
      <c r="C3846" s="5" t="s">
        <v>26</v>
      </c>
      <c r="D3846" s="5" t="s">
        <v>971</v>
      </c>
      <c r="E3846" s="8" t="s">
        <v>360</v>
      </c>
      <c r="F3846" s="7" t="s">
        <v>361</v>
      </c>
      <c r="G3846" s="6" t="str">
        <f>VLOOKUP(E3846,dicionario!$A$1:$C4245,2,0)</f>
        <v>Chamaecrista rotundifolia</v>
      </c>
      <c r="H3846" s="6" t="str">
        <f>VLOOKUP(E3846,dicionario!$A$1:$C4245,3,0)</f>
        <v>alfafa-nativa</v>
      </c>
    </row>
    <row r="3847">
      <c r="A3847" s="13">
        <v>45638.0</v>
      </c>
      <c r="B3847" s="4">
        <v>0.3506944444444444</v>
      </c>
      <c r="C3847" s="5" t="s">
        <v>8</v>
      </c>
      <c r="D3847" s="5" t="s">
        <v>971</v>
      </c>
      <c r="E3847" s="8" t="s">
        <v>107</v>
      </c>
      <c r="F3847" s="5" t="s">
        <v>108</v>
      </c>
      <c r="G3847" s="6" t="str">
        <f>VLOOKUP(E3847,dicionario!$A$1:$C4246,2,0)</f>
        <v>Ramalina complanata</v>
      </c>
      <c r="H3847" s="6" t="str">
        <f>VLOOKUP(E3847,dicionario!$A$1:$C4246,3,0)</f>
        <v>ramalina</v>
      </c>
    </row>
    <row r="3848">
      <c r="A3848" s="13">
        <v>45638.0</v>
      </c>
      <c r="B3848" s="4">
        <v>0.35138888888888886</v>
      </c>
      <c r="C3848" s="5" t="s">
        <v>8</v>
      </c>
      <c r="D3848" s="5" t="s">
        <v>971</v>
      </c>
      <c r="E3848" s="8" t="s">
        <v>719</v>
      </c>
      <c r="F3848" s="5" t="s">
        <v>975</v>
      </c>
      <c r="G3848" s="6" t="str">
        <f>VLOOKUP(E3848,dicionario!$A$1:$C4247,2,0)</f>
        <v>Dirinaria</v>
      </c>
      <c r="H3848" s="6" t="str">
        <f>VLOOKUP(E3848,dicionario!$A$1:$C4247,3,0)</f>
        <v>líquen-crostoso</v>
      </c>
    </row>
    <row r="3849">
      <c r="A3849" s="13">
        <v>45638.0</v>
      </c>
      <c r="B3849" s="4">
        <v>0.35138888888888886</v>
      </c>
      <c r="C3849" s="5" t="s">
        <v>8</v>
      </c>
      <c r="D3849" s="5" t="s">
        <v>971</v>
      </c>
      <c r="E3849" s="8" t="s">
        <v>712</v>
      </c>
      <c r="F3849" s="5" t="s">
        <v>974</v>
      </c>
      <c r="G3849" s="6" t="str">
        <f>VLOOKUP(E3849,dicionario!$A$1:$C4248,2,0)</f>
        <v>Flavopunctelia soredica</v>
      </c>
      <c r="H3849" s="6" t="str">
        <f>VLOOKUP(E3849,dicionario!$A$1:$C4248,3,0)</f>
        <v>líquen-folioso</v>
      </c>
    </row>
    <row r="3850">
      <c r="A3850" s="13">
        <v>45638.0</v>
      </c>
      <c r="B3850" s="4">
        <v>0.35138888888888886</v>
      </c>
      <c r="C3850" s="5" t="s">
        <v>8</v>
      </c>
      <c r="D3850" s="5" t="s">
        <v>971</v>
      </c>
      <c r="E3850" s="6" t="s">
        <v>353</v>
      </c>
      <c r="F3850" s="5" t="s">
        <v>354</v>
      </c>
      <c r="G3850" s="6" t="str">
        <f>VLOOKUP(E3850,dicionario!$A$1:$C4249,2,0)</f>
        <v>Desmodium incanum</v>
      </c>
      <c r="H3850" s="6" t="str">
        <f>VLOOKUP(E3850,dicionario!$A$1:$C4249,3,0)</f>
        <v>pega-pega</v>
      </c>
    </row>
    <row r="3851">
      <c r="A3851" s="13">
        <v>45638.0</v>
      </c>
      <c r="B3851" s="4">
        <v>0.35138888888888886</v>
      </c>
      <c r="C3851" s="5" t="s">
        <v>8</v>
      </c>
      <c r="D3851" s="5" t="s">
        <v>971</v>
      </c>
      <c r="E3851" s="6" t="s">
        <v>88</v>
      </c>
      <c r="F3851" s="5" t="s">
        <v>89</v>
      </c>
      <c r="G3851" s="6" t="str">
        <f>VLOOKUP(E3851,dicionario!$A$1:$C4250,2,0)</f>
        <v>Tyrannus melancolichus</v>
      </c>
      <c r="H3851" s="6" t="str">
        <f>VLOOKUP(E3851,dicionario!$A$1:$C4250,3,0)</f>
        <v>suiriri</v>
      </c>
    </row>
    <row r="3852">
      <c r="A3852" s="13">
        <v>45638.0</v>
      </c>
      <c r="B3852" s="4">
        <v>0.35138888888888886</v>
      </c>
      <c r="C3852" s="5" t="s">
        <v>8</v>
      </c>
      <c r="D3852" s="5" t="s">
        <v>971</v>
      </c>
      <c r="E3852" s="8" t="s">
        <v>38</v>
      </c>
      <c r="F3852" s="5" t="s">
        <v>39</v>
      </c>
      <c r="G3852" s="6" t="str">
        <f>VLOOKUP(E3852,dicionario!$A$1:$C4251,2,0)</f>
        <v>Troglodytes musculus</v>
      </c>
      <c r="H3852" s="6" t="str">
        <f>VLOOKUP(E3852,dicionario!$A$1:$C4251,3,0)</f>
        <v>curruíra</v>
      </c>
    </row>
    <row r="3853">
      <c r="A3853" s="13">
        <v>45638.0</v>
      </c>
      <c r="B3853" s="4">
        <v>0.35138888888888886</v>
      </c>
      <c r="C3853" s="5" t="s">
        <v>8</v>
      </c>
      <c r="D3853" s="5" t="s">
        <v>971</v>
      </c>
      <c r="E3853" s="6" t="s">
        <v>65</v>
      </c>
      <c r="F3853" s="5" t="s">
        <v>66</v>
      </c>
      <c r="G3853" s="6" t="str">
        <f>VLOOKUP(E3853,dicionario!$A$1:$C4252,2,0)</f>
        <v>Pitangus sulphutarus</v>
      </c>
      <c r="H3853" s="6" t="str">
        <f>VLOOKUP(E3853,dicionario!$A$1:$C4252,3,0)</f>
        <v>bem-te-vi</v>
      </c>
    </row>
    <row r="3854">
      <c r="A3854" s="13">
        <v>45638.0</v>
      </c>
      <c r="B3854" s="4">
        <v>0.35208333333333336</v>
      </c>
      <c r="C3854" s="5" t="s">
        <v>8</v>
      </c>
      <c r="D3854" s="5" t="s">
        <v>971</v>
      </c>
      <c r="E3854" s="6" t="s">
        <v>20</v>
      </c>
      <c r="F3854" s="7" t="s">
        <v>21</v>
      </c>
      <c r="G3854" s="6" t="str">
        <f>VLOOKUP(E3854,dicionario!$A$1:$C4253,2,0)</f>
        <v>Sicalis flaveola</v>
      </c>
      <c r="H3854" s="6" t="str">
        <f>VLOOKUP(E3854,dicionario!$A$1:$C4253,3,0)</f>
        <v>canário-da-terra</v>
      </c>
    </row>
    <row r="3855">
      <c r="A3855" s="13">
        <v>45638.0</v>
      </c>
      <c r="B3855" s="4">
        <v>0.35208333333333336</v>
      </c>
      <c r="C3855" s="5" t="s">
        <v>8</v>
      </c>
      <c r="D3855" s="5" t="s">
        <v>971</v>
      </c>
      <c r="E3855" s="8" t="s">
        <v>298</v>
      </c>
      <c r="F3855" s="5" t="s">
        <v>739</v>
      </c>
      <c r="G3855" s="6" t="str">
        <f>VLOOKUP(E3855,dicionario!$A$1:$C4254,2,0)</f>
        <v>Alysicarpus vaginalis</v>
      </c>
      <c r="H3855" s="6" t="str">
        <f>VLOOKUP(E3855,dicionario!$A$1:$C4254,3,0)</f>
        <v/>
      </c>
    </row>
    <row r="3856">
      <c r="A3856" s="13">
        <v>45638.0</v>
      </c>
      <c r="B3856" s="4">
        <v>0.35208333333333336</v>
      </c>
      <c r="C3856" s="5" t="s">
        <v>8</v>
      </c>
      <c r="D3856" s="5" t="s">
        <v>971</v>
      </c>
      <c r="E3856" s="6" t="s">
        <v>225</v>
      </c>
      <c r="F3856" s="5" t="s">
        <v>226</v>
      </c>
      <c r="G3856" s="6" t="str">
        <f>VLOOKUP(E3856,dicionario!$A$1:$C4255,2,0)</f>
        <v>Passer domesticus</v>
      </c>
      <c r="H3856" s="6" t="str">
        <f>VLOOKUP(E3856,dicionario!$A$1:$C4255,3,0)</f>
        <v>pardal</v>
      </c>
    </row>
    <row r="3857">
      <c r="A3857" s="13">
        <v>45638.0</v>
      </c>
      <c r="B3857" s="4">
        <v>0.35208333333333336</v>
      </c>
      <c r="C3857" s="5" t="s">
        <v>8</v>
      </c>
      <c r="D3857" s="5" t="s">
        <v>971</v>
      </c>
      <c r="E3857" s="6" t="s">
        <v>72</v>
      </c>
      <c r="F3857" s="5" t="s">
        <v>73</v>
      </c>
      <c r="G3857" s="6" t="str">
        <f>VLOOKUP(E3857,dicionario!$A$1:$C4256,2,0)</f>
        <v>Thraupis palmarum</v>
      </c>
      <c r="H3857" s="6" t="str">
        <f>VLOOKUP(E3857,dicionario!$A$1:$C4256,3,0)</f>
        <v>sanhaço-do-coqueiro</v>
      </c>
    </row>
    <row r="3858">
      <c r="A3858" s="13">
        <v>45638.0</v>
      </c>
      <c r="B3858" s="4">
        <v>0.3527777777777778</v>
      </c>
      <c r="C3858" s="5" t="s">
        <v>8</v>
      </c>
      <c r="D3858" s="5" t="s">
        <v>971</v>
      </c>
      <c r="E3858" s="6" t="s">
        <v>245</v>
      </c>
      <c r="F3858" s="7" t="s">
        <v>246</v>
      </c>
      <c r="G3858" s="6" t="str">
        <f>VLOOKUP(E3858,dicionario!$A$1:$C4257,2,0)</f>
        <v>Hemiargus hanno</v>
      </c>
      <c r="H3858" s="6" t="str">
        <f>VLOOKUP(E3858,dicionario!$A$1:$C4257,3,0)</f>
        <v>borboleta-azulzinha-do-trevo</v>
      </c>
    </row>
    <row r="3859">
      <c r="A3859" s="13">
        <v>45638.0</v>
      </c>
      <c r="B3859" s="4">
        <v>0.3527777777777778</v>
      </c>
      <c r="C3859" s="5" t="s">
        <v>8</v>
      </c>
      <c r="D3859" s="5" t="s">
        <v>971</v>
      </c>
      <c r="E3859" s="6" t="s">
        <v>227</v>
      </c>
      <c r="F3859" s="5" t="s">
        <v>228</v>
      </c>
      <c r="G3859" s="6" t="str">
        <f>VLOOKUP(E3859,dicionario!$A$1:$C4258,2,0)</f>
        <v>Indigofera hirsuta</v>
      </c>
      <c r="H3859" s="6" t="str">
        <f>VLOOKUP(E3859,dicionario!$A$1:$C4258,3,0)</f>
        <v>anileira</v>
      </c>
    </row>
    <row r="3860">
      <c r="A3860" s="13">
        <v>45638.0</v>
      </c>
      <c r="B3860" s="4">
        <v>0.3527777777777778</v>
      </c>
      <c r="C3860" s="5" t="s">
        <v>8</v>
      </c>
      <c r="D3860" s="5" t="s">
        <v>971</v>
      </c>
      <c r="E3860" s="8" t="s">
        <v>200</v>
      </c>
      <c r="F3860" s="5" t="s">
        <v>201</v>
      </c>
      <c r="G3860" s="6" t="str">
        <f>VLOOKUP(E3860,dicionario!$A$1:$C4259,2,0)</f>
        <v>Columbina picui </v>
      </c>
      <c r="H3860" s="6" t="str">
        <f>VLOOKUP(E3860,dicionario!$A$1:$C4259,3,0)</f>
        <v>rolinha-picuí</v>
      </c>
    </row>
    <row r="3861">
      <c r="A3861" s="13">
        <v>45638.0</v>
      </c>
      <c r="B3861" s="4">
        <v>0.3527777777777778</v>
      </c>
      <c r="C3861" s="5" t="s">
        <v>8</v>
      </c>
      <c r="D3861" s="5" t="s">
        <v>971</v>
      </c>
      <c r="E3861" s="6" t="s">
        <v>163</v>
      </c>
      <c r="F3861" s="5" t="s">
        <v>164</v>
      </c>
      <c r="G3861" s="6" t="str">
        <f>VLOOKUP(E3861,dicionario!$A$1:$C4260,2,0)</f>
        <v>Coragyps atratus</v>
      </c>
      <c r="H3861" s="6" t="str">
        <f>VLOOKUP(E3861,dicionario!$A$1:$C4260,3,0)</f>
        <v>urubu-de-cabeça-preta</v>
      </c>
    </row>
    <row r="3862">
      <c r="A3862" s="13">
        <v>45638.0</v>
      </c>
      <c r="B3862" s="4">
        <v>0.35347222222222224</v>
      </c>
      <c r="C3862" s="5" t="s">
        <v>8</v>
      </c>
      <c r="D3862" s="5" t="s">
        <v>971</v>
      </c>
      <c r="E3862" s="8" t="s">
        <v>223</v>
      </c>
      <c r="F3862" s="5" t="s">
        <v>224</v>
      </c>
      <c r="G3862" s="6" t="str">
        <f>VLOOKUP(E3862,dicionario!$A$1:$C4261,2,0)</f>
        <v>Rhipsalis lindbergiana</v>
      </c>
      <c r="H3862" s="6" t="str">
        <f>VLOOKUP(E3862,dicionario!$A$1:$C4261,3,0)</f>
        <v>cacto-macarrão</v>
      </c>
    </row>
    <row r="3863">
      <c r="A3863" s="13">
        <v>45638.0</v>
      </c>
      <c r="B3863" s="4">
        <v>0.35347222222222224</v>
      </c>
      <c r="C3863" s="5" t="s">
        <v>8</v>
      </c>
      <c r="D3863" s="5" t="s">
        <v>971</v>
      </c>
      <c r="E3863" s="6" t="s">
        <v>109</v>
      </c>
      <c r="F3863" s="5" t="s">
        <v>110</v>
      </c>
      <c r="G3863" s="6" t="str">
        <f>VLOOKUP(E3863,dicionario!$A$1:$C4262,2,0)</f>
        <v>Tillandsia stricta</v>
      </c>
      <c r="H3863" s="6" t="str">
        <f>VLOOKUP(E3863,dicionario!$A$1:$C4262,3,0)</f>
        <v>cravo-do-mato</v>
      </c>
    </row>
    <row r="3864">
      <c r="A3864" s="13">
        <v>45638.0</v>
      </c>
      <c r="B3864" s="4">
        <v>0.35347222222222224</v>
      </c>
      <c r="C3864" s="5" t="s">
        <v>8</v>
      </c>
      <c r="D3864" s="5" t="s">
        <v>971</v>
      </c>
      <c r="E3864" s="6" t="s">
        <v>215</v>
      </c>
      <c r="F3864" s="7" t="s">
        <v>216</v>
      </c>
      <c r="G3864" s="6" t="str">
        <f>VLOOKUP(E3864,dicionario!$A$1:$C4263,2,0)</f>
        <v>Pygochelidon cyanoleuca</v>
      </c>
      <c r="H3864" s="6" t="str">
        <f>VLOOKUP(E3864,dicionario!$A$1:$C4263,3,0)</f>
        <v>andorinha-pequena-de-casa</v>
      </c>
    </row>
    <row r="3865">
      <c r="A3865" s="13">
        <v>45638.0</v>
      </c>
      <c r="B3865" s="4">
        <v>0.35347222222222224</v>
      </c>
      <c r="C3865" s="5" t="s">
        <v>8</v>
      </c>
      <c r="D3865" s="5" t="s">
        <v>971</v>
      </c>
      <c r="E3865" s="6" t="s">
        <v>18</v>
      </c>
      <c r="F3865" s="5" t="s">
        <v>219</v>
      </c>
      <c r="G3865" s="6" t="str">
        <f>VLOOKUP(E3865,dicionario!$A$1:$C4264,2,0)</f>
        <v>Xylocopa frontalis</v>
      </c>
      <c r="H3865" s="6" t="str">
        <f>VLOOKUP(E3865,dicionario!$A$1:$C4264,3,0)</f>
        <v>Mamangava; mangangá; abelha-carpinteira</v>
      </c>
    </row>
    <row r="3866">
      <c r="A3866" s="13">
        <v>45638.0</v>
      </c>
      <c r="B3866" s="4">
        <v>0.3548611111111111</v>
      </c>
      <c r="C3866" s="5" t="s">
        <v>8</v>
      </c>
      <c r="D3866" s="5" t="s">
        <v>971</v>
      </c>
      <c r="E3866" s="8" t="s">
        <v>909</v>
      </c>
      <c r="F3866" s="5" t="s">
        <v>910</v>
      </c>
      <c r="G3866" s="6" t="str">
        <f>VLOOKUP(E3866,dicionario!$A$1:$C4265,2,0)</f>
        <v>Chordeiles acutipennis</v>
      </c>
      <c r="H3866" s="6" t="str">
        <f>VLOOKUP(E3866,dicionario!$A$1:$C4265,3,0)</f>
        <v>bacurau-de-asa-fina</v>
      </c>
    </row>
    <row r="3867">
      <c r="A3867" s="13">
        <v>45638.0</v>
      </c>
      <c r="B3867" s="4">
        <v>0.35833333333333334</v>
      </c>
      <c r="C3867" s="5" t="s">
        <v>8</v>
      </c>
      <c r="D3867" s="5" t="s">
        <v>971</v>
      </c>
      <c r="E3867" s="6" t="s">
        <v>111</v>
      </c>
      <c r="F3867" s="7" t="s">
        <v>112</v>
      </c>
      <c r="G3867" s="6" t="str">
        <f>VLOOKUP(E3867,dicionario!$A$1:$C4266,2,0)</f>
        <v>Trigona spinipes</v>
      </c>
      <c r="H3867" s="6" t="str">
        <f>VLOOKUP(E3867,dicionario!$A$1:$C4266,3,0)</f>
        <v>abelha-cachorro</v>
      </c>
    </row>
    <row r="3868">
      <c r="A3868" s="13">
        <v>45638.0</v>
      </c>
      <c r="B3868" s="4">
        <v>0.35833333333333334</v>
      </c>
      <c r="C3868" s="5" t="s">
        <v>8</v>
      </c>
      <c r="D3868" s="5" t="s">
        <v>971</v>
      </c>
      <c r="E3868" s="8" t="s">
        <v>46</v>
      </c>
      <c r="F3868" s="5" t="s">
        <v>47</v>
      </c>
      <c r="G3868" s="6" t="str">
        <f>VLOOKUP(E3868,dicionario!$A$1:$C4267,2,0)</f>
        <v>Chionomesa fimbriata</v>
      </c>
      <c r="H3868" s="6" t="str">
        <f>VLOOKUP(E3868,dicionario!$A$1:$C4267,3,0)</f>
        <v>beija-flor-de-garganta-verde</v>
      </c>
    </row>
    <row r="3869">
      <c r="A3869" s="3">
        <v>45645.0</v>
      </c>
      <c r="B3869" s="4">
        <v>0.25416666666666665</v>
      </c>
      <c r="C3869" s="5" t="s">
        <v>906</v>
      </c>
      <c r="D3869" s="5" t="s">
        <v>1004</v>
      </c>
      <c r="E3869" s="6" t="s">
        <v>103</v>
      </c>
      <c r="F3869" s="5" t="s">
        <v>104</v>
      </c>
      <c r="G3869" s="6" t="str">
        <f>VLOOKUP(E3869,dicionario!$A$1:$C4268,2,0)</f>
        <v>Caracara plancus</v>
      </c>
      <c r="H3869" s="6" t="str">
        <f>VLOOKUP(E3869,dicionario!$A$1:$C4268,3,0)</f>
        <v>carcará </v>
      </c>
    </row>
    <row r="3870">
      <c r="A3870" s="3">
        <v>45645.0</v>
      </c>
      <c r="B3870" s="4">
        <v>0.25416666666666665</v>
      </c>
      <c r="C3870" s="5" t="s">
        <v>906</v>
      </c>
      <c r="D3870" s="5" t="s">
        <v>1004</v>
      </c>
      <c r="E3870" s="6" t="s">
        <v>88</v>
      </c>
      <c r="F3870" s="5" t="s">
        <v>89</v>
      </c>
      <c r="G3870" s="6" t="str">
        <f>VLOOKUP(E3870,dicionario!$A$1:$C4269,2,0)</f>
        <v>Tyrannus melancolichus</v>
      </c>
      <c r="H3870" s="6" t="str">
        <f>VLOOKUP(E3870,dicionario!$A$1:$C4269,3,0)</f>
        <v>suiriri</v>
      </c>
    </row>
    <row r="3871">
      <c r="A3871" s="3">
        <v>45645.0</v>
      </c>
      <c r="B3871" s="4">
        <v>0.25416666666666665</v>
      </c>
      <c r="C3871" s="5" t="s">
        <v>906</v>
      </c>
      <c r="D3871" s="5" t="s">
        <v>1004</v>
      </c>
      <c r="E3871" s="6" t="s">
        <v>200</v>
      </c>
      <c r="F3871" s="5" t="s">
        <v>201</v>
      </c>
      <c r="G3871" s="6" t="str">
        <f>VLOOKUP(E3871,dicionario!$A$1:$C4270,2,0)</f>
        <v>Columbina picui </v>
      </c>
      <c r="H3871" s="6" t="str">
        <f>VLOOKUP(E3871,dicionario!$A$1:$C4270,3,0)</f>
        <v>rolinha-picuí</v>
      </c>
    </row>
    <row r="3872">
      <c r="A3872" s="3">
        <v>45645.0</v>
      </c>
      <c r="B3872" s="4">
        <v>0.2548611111111111</v>
      </c>
      <c r="C3872" s="5" t="s">
        <v>906</v>
      </c>
      <c r="D3872" s="5" t="s">
        <v>1004</v>
      </c>
      <c r="E3872" s="6" t="s">
        <v>215</v>
      </c>
      <c r="F3872" s="7" t="s">
        <v>216</v>
      </c>
      <c r="G3872" s="6" t="str">
        <f>VLOOKUP(E3872,dicionario!$A$1:$C4271,2,0)</f>
        <v>Pygochelidon cyanoleuca</v>
      </c>
      <c r="H3872" s="6" t="str">
        <f>VLOOKUP(E3872,dicionario!$A$1:$C4271,3,0)</f>
        <v>andorinha-pequena-de-casa</v>
      </c>
    </row>
    <row r="3873">
      <c r="A3873" s="3">
        <v>45645.0</v>
      </c>
      <c r="B3873" s="4">
        <v>0.2548611111111111</v>
      </c>
      <c r="C3873" s="5" t="s">
        <v>906</v>
      </c>
      <c r="D3873" s="5" t="s">
        <v>1004</v>
      </c>
      <c r="E3873" s="6" t="s">
        <v>177</v>
      </c>
      <c r="F3873" s="5" t="s">
        <v>178</v>
      </c>
      <c r="G3873" s="6" t="str">
        <f>VLOOKUP(E3873,dicionario!$A$1:$C4272,2,0)</f>
        <v>Elaenia flavogaster</v>
      </c>
      <c r="H3873" s="6" t="str">
        <f>VLOOKUP(E3873,dicionario!$A$1:$C4272,3,0)</f>
        <v>guaracava-de-barriga-amarela</v>
      </c>
    </row>
    <row r="3874">
      <c r="A3874" s="3">
        <v>45645.0</v>
      </c>
      <c r="B3874" s="4">
        <v>0.2548611111111111</v>
      </c>
      <c r="C3874" s="5" t="s">
        <v>906</v>
      </c>
      <c r="D3874" s="5" t="s">
        <v>1004</v>
      </c>
      <c r="E3874" s="6" t="s">
        <v>109</v>
      </c>
      <c r="F3874" s="5" t="s">
        <v>110</v>
      </c>
      <c r="G3874" s="6" t="str">
        <f>VLOOKUP(E3874,dicionario!$A$1:$C4273,2,0)</f>
        <v>Tillandsia stricta</v>
      </c>
      <c r="H3874" s="6" t="str">
        <f>VLOOKUP(E3874,dicionario!$A$1:$C4273,3,0)</f>
        <v>cravo-do-mato</v>
      </c>
    </row>
    <row r="3875">
      <c r="A3875" s="3">
        <v>45645.0</v>
      </c>
      <c r="B3875" s="4">
        <v>0.2548611111111111</v>
      </c>
      <c r="C3875" s="5" t="s">
        <v>906</v>
      </c>
      <c r="D3875" s="5" t="s">
        <v>1004</v>
      </c>
      <c r="E3875" s="8" t="s">
        <v>719</v>
      </c>
      <c r="F3875" s="5" t="s">
        <v>1005</v>
      </c>
      <c r="G3875" s="6" t="str">
        <f>VLOOKUP(E3875,dicionario!$A$1:$C4274,2,0)</f>
        <v>Dirinaria</v>
      </c>
      <c r="H3875" s="6" t="str">
        <f>VLOOKUP(E3875,dicionario!$A$1:$C4274,3,0)</f>
        <v>líquen-crostoso</v>
      </c>
    </row>
    <row r="3876">
      <c r="A3876" s="3">
        <v>45645.0</v>
      </c>
      <c r="B3876" s="4">
        <v>0.2548611111111111</v>
      </c>
      <c r="C3876" s="5" t="s">
        <v>906</v>
      </c>
      <c r="D3876" s="5" t="s">
        <v>1004</v>
      </c>
      <c r="E3876" s="8" t="s">
        <v>712</v>
      </c>
      <c r="F3876" s="5" t="s">
        <v>1006</v>
      </c>
      <c r="G3876" s="6" t="str">
        <f>VLOOKUP(E3876,dicionario!$A$1:$C4275,2,0)</f>
        <v>Flavopunctelia soredica</v>
      </c>
      <c r="H3876" s="6" t="str">
        <f>VLOOKUP(E3876,dicionario!$A$1:$C4275,3,0)</f>
        <v>líquen-folioso</v>
      </c>
    </row>
    <row r="3877">
      <c r="A3877" s="3">
        <v>45645.0</v>
      </c>
      <c r="B3877" s="4">
        <v>0.2548611111111111</v>
      </c>
      <c r="C3877" s="5" t="s">
        <v>906</v>
      </c>
      <c r="D3877" s="5" t="s">
        <v>1004</v>
      </c>
      <c r="E3877" s="8" t="s">
        <v>107</v>
      </c>
      <c r="F3877" s="5" t="s">
        <v>108</v>
      </c>
      <c r="G3877" s="6" t="str">
        <f>VLOOKUP(E3877,dicionario!$A$1:$C4276,2,0)</f>
        <v>Ramalina complanata</v>
      </c>
      <c r="H3877" s="6" t="str">
        <f>VLOOKUP(E3877,dicionario!$A$1:$C4276,3,0)</f>
        <v>ramalina</v>
      </c>
    </row>
    <row r="3878">
      <c r="A3878" s="3">
        <v>45645.0</v>
      </c>
      <c r="B3878" s="4">
        <v>0.25555555555555554</v>
      </c>
      <c r="C3878" s="5" t="s">
        <v>906</v>
      </c>
      <c r="D3878" s="5" t="s">
        <v>1004</v>
      </c>
      <c r="E3878" s="8" t="s">
        <v>41</v>
      </c>
      <c r="F3878" s="5" t="s">
        <v>45</v>
      </c>
      <c r="G3878" s="6" t="str">
        <f>VLOOKUP(E3878,dicionario!$A$1:$C4277,2,0)</f>
        <v>Mimosa pudica</v>
      </c>
      <c r="H3878" s="6" t="str">
        <f>VLOOKUP(E3878,dicionario!$A$1:$C4277,3,0)</f>
        <v>dormideira</v>
      </c>
    </row>
    <row r="3879">
      <c r="A3879" s="3">
        <v>45645.0</v>
      </c>
      <c r="B3879" s="4">
        <v>0.25555555555555554</v>
      </c>
      <c r="C3879" s="5" t="s">
        <v>906</v>
      </c>
      <c r="D3879" s="5" t="s">
        <v>1004</v>
      </c>
      <c r="E3879" s="6" t="s">
        <v>498</v>
      </c>
      <c r="F3879" s="5" t="s">
        <v>499</v>
      </c>
      <c r="G3879" s="6" t="str">
        <f>VLOOKUP(E3879,dicionario!$A$1:$C4278,2,0)</f>
        <v>Brachiaria decumbens</v>
      </c>
      <c r="H3879" s="6" t="str">
        <f>VLOOKUP(E3879,dicionario!$A$1:$C4278,3,0)</f>
        <v>capim-braquiária</v>
      </c>
    </row>
    <row r="3880">
      <c r="A3880" s="3">
        <v>45645.0</v>
      </c>
      <c r="B3880" s="4">
        <v>0.25555555555555554</v>
      </c>
      <c r="C3880" s="5" t="s">
        <v>906</v>
      </c>
      <c r="D3880" s="5" t="s">
        <v>1004</v>
      </c>
      <c r="E3880" s="6" t="s">
        <v>286</v>
      </c>
      <c r="F3880" s="5" t="s">
        <v>287</v>
      </c>
      <c r="G3880" s="6" t="str">
        <f>VLOOKUP(E3880,dicionario!$A$1:$C4279,2,0)</f>
        <v>Setaria parviflora</v>
      </c>
      <c r="H3880" s="6" t="str">
        <f>VLOOKUP(E3880,dicionario!$A$1:$C4279,3,0)</f>
        <v>capim-rabo-de-raposa</v>
      </c>
    </row>
    <row r="3881">
      <c r="A3881" s="3">
        <v>45645.0</v>
      </c>
      <c r="B3881" s="4">
        <v>0.25555555555555554</v>
      </c>
      <c r="C3881" s="5" t="s">
        <v>906</v>
      </c>
      <c r="D3881" s="5" t="s">
        <v>1004</v>
      </c>
      <c r="E3881" s="8" t="s">
        <v>504</v>
      </c>
      <c r="F3881" s="5" t="s">
        <v>534</v>
      </c>
      <c r="G3881" s="6" t="str">
        <f>VLOOKUP(E3881,dicionario!$A$1:$C4280,2,0)</f>
        <v>Cleome aculeata</v>
      </c>
      <c r="H3881" s="6" t="str">
        <f>VLOOKUP(E3881,dicionario!$A$1:$C4280,3,0)</f>
        <v>cleome</v>
      </c>
    </row>
    <row r="3882">
      <c r="A3882" s="3">
        <v>45645.0</v>
      </c>
      <c r="B3882" s="4">
        <v>0.25555555555555554</v>
      </c>
      <c r="C3882" s="5" t="s">
        <v>906</v>
      </c>
      <c r="D3882" s="5" t="s">
        <v>1004</v>
      </c>
      <c r="E3882" s="6" t="s">
        <v>135</v>
      </c>
      <c r="F3882" s="5" t="s">
        <v>136</v>
      </c>
      <c r="G3882" s="6" t="str">
        <f>VLOOKUP(E3882,dicionario!$A$1:$C4281,2,0)</f>
        <v>Tridax procumbens</v>
      </c>
      <c r="H3882" s="6" t="str">
        <f>VLOOKUP(E3882,dicionario!$A$1:$C4281,3,0)</f>
        <v>erva-de-touro</v>
      </c>
    </row>
    <row r="3883">
      <c r="A3883" s="3">
        <v>45645.0</v>
      </c>
      <c r="B3883" s="4">
        <v>0.25625</v>
      </c>
      <c r="C3883" s="5" t="s">
        <v>906</v>
      </c>
      <c r="D3883" s="5" t="s">
        <v>1004</v>
      </c>
      <c r="E3883" s="8" t="s">
        <v>223</v>
      </c>
      <c r="F3883" s="5" t="s">
        <v>224</v>
      </c>
      <c r="G3883" s="6" t="str">
        <f>VLOOKUP(E3883,dicionario!$A$1:$C4282,2,0)</f>
        <v>Rhipsalis lindbergiana</v>
      </c>
      <c r="H3883" s="6" t="str">
        <f>VLOOKUP(E3883,dicionario!$A$1:$C4282,3,0)</f>
        <v>cacto-macarrão</v>
      </c>
    </row>
    <row r="3884">
      <c r="A3884" s="3">
        <v>45645.0</v>
      </c>
      <c r="B3884" s="4">
        <v>0.25625</v>
      </c>
      <c r="C3884" s="5" t="s">
        <v>906</v>
      </c>
      <c r="D3884" s="5" t="s">
        <v>1004</v>
      </c>
      <c r="E3884" s="8" t="s">
        <v>927</v>
      </c>
      <c r="F3884" s="5" t="s">
        <v>1007</v>
      </c>
      <c r="G3884" s="6" t="str">
        <f>VLOOKUP(E3884,dicionario!$A$1:$C4283,2,0)</f>
        <v>#N/A</v>
      </c>
      <c r="H3884" s="6" t="str">
        <f>VLOOKUP(E3884,dicionario!$A$1:$C4283,3,0)</f>
        <v>#N/A</v>
      </c>
    </row>
    <row r="3885">
      <c r="A3885" s="3">
        <v>45645.0</v>
      </c>
      <c r="B3885" s="4">
        <v>0.25625</v>
      </c>
      <c r="C3885" s="5" t="s">
        <v>906</v>
      </c>
      <c r="D3885" s="5" t="s">
        <v>1004</v>
      </c>
      <c r="E3885" s="8" t="s">
        <v>909</v>
      </c>
      <c r="F3885" s="5" t="s">
        <v>910</v>
      </c>
      <c r="G3885" s="6" t="str">
        <f>VLOOKUP(E3885,dicionario!$A$1:$C4284,2,0)</f>
        <v>Chordeiles acutipennis</v>
      </c>
      <c r="H3885" s="6" t="str">
        <f>VLOOKUP(E3885,dicionario!$A$1:$C4284,3,0)</f>
        <v>bacurau-de-asa-fina</v>
      </c>
    </row>
    <row r="3886">
      <c r="A3886" s="3">
        <v>45645.0</v>
      </c>
      <c r="B3886" s="4">
        <v>0.2569444444444444</v>
      </c>
      <c r="C3886" s="5" t="s">
        <v>906</v>
      </c>
      <c r="D3886" s="5" t="s">
        <v>1004</v>
      </c>
      <c r="E3886" s="6" t="s">
        <v>20</v>
      </c>
      <c r="F3886" s="7" t="s">
        <v>21</v>
      </c>
      <c r="G3886" s="6" t="str">
        <f>VLOOKUP(E3886,dicionario!$A$1:$C4285,2,0)</f>
        <v>Sicalis flaveola</v>
      </c>
      <c r="H3886" s="6" t="str">
        <f>VLOOKUP(E3886,dicionario!$A$1:$C4285,3,0)</f>
        <v>canário-da-terra</v>
      </c>
    </row>
    <row r="3887">
      <c r="A3887" s="3">
        <v>45645.0</v>
      </c>
      <c r="B3887" s="4">
        <v>0.2569444444444444</v>
      </c>
      <c r="C3887" s="5" t="s">
        <v>906</v>
      </c>
      <c r="D3887" s="5" t="s">
        <v>1004</v>
      </c>
      <c r="E3887" s="6" t="s">
        <v>162</v>
      </c>
      <c r="F3887" s="7" t="s">
        <v>42</v>
      </c>
      <c r="G3887" s="6" t="str">
        <f>VLOOKUP(E3887,dicionario!$A$1:$C4286,2,0)</f>
        <v>Fluvicola nengeta</v>
      </c>
      <c r="H3887" s="6" t="str">
        <f>VLOOKUP(E3887,dicionario!$A$1:$C4286,3,0)</f>
        <v>lavadeira-mascarada</v>
      </c>
    </row>
    <row r="3888">
      <c r="A3888" s="3">
        <v>45645.0</v>
      </c>
      <c r="B3888" s="4">
        <v>0.2569444444444444</v>
      </c>
      <c r="C3888" s="5" t="s">
        <v>906</v>
      </c>
      <c r="D3888" s="5" t="s">
        <v>1004</v>
      </c>
      <c r="E3888" s="6" t="s">
        <v>72</v>
      </c>
      <c r="F3888" s="5" t="s">
        <v>73</v>
      </c>
      <c r="G3888" s="6" t="str">
        <f>VLOOKUP(E3888,dicionario!$A$1:$C4287,2,0)</f>
        <v>Thraupis palmarum</v>
      </c>
      <c r="H3888" s="6" t="str">
        <f>VLOOKUP(E3888,dicionario!$A$1:$C4287,3,0)</f>
        <v>sanhaço-do-coqueiro</v>
      </c>
    </row>
    <row r="3889">
      <c r="A3889" s="3">
        <v>45645.0</v>
      </c>
      <c r="B3889" s="4">
        <v>0.2569444444444444</v>
      </c>
      <c r="C3889" s="5" t="s">
        <v>906</v>
      </c>
      <c r="D3889" s="5" t="s">
        <v>1004</v>
      </c>
      <c r="E3889" s="9" t="s">
        <v>22</v>
      </c>
      <c r="F3889" s="5" t="s">
        <v>97</v>
      </c>
      <c r="G3889" s="6" t="str">
        <f>VLOOKUP(E3889,dicionario!$A$1:$C4288,2,0)</f>
        <v>Zenaida auriculata</v>
      </c>
      <c r="H3889" s="6" t="str">
        <f>VLOOKUP(E3889,dicionario!$A$1:$C4288,3,0)</f>
        <v>pomba-de-bando; avoante</v>
      </c>
    </row>
    <row r="3890">
      <c r="A3890" s="3">
        <v>45645.0</v>
      </c>
      <c r="B3890" s="4">
        <v>0.25763888888888886</v>
      </c>
      <c r="C3890" s="5" t="s">
        <v>906</v>
      </c>
      <c r="D3890" s="5" t="s">
        <v>1004</v>
      </c>
      <c r="E3890" s="6" t="s">
        <v>191</v>
      </c>
      <c r="F3890" s="5" t="s">
        <v>192</v>
      </c>
      <c r="G3890" s="6" t="str">
        <f>VLOOKUP(E3890,dicionario!$A$1:$C4289,2,0)</f>
        <v>Patagioenas picazuro</v>
      </c>
      <c r="H3890" s="6" t="str">
        <f>VLOOKUP(E3890,dicionario!$A$1:$C4289,3,0)</f>
        <v>asa-branca; pomba-asa-branca; pocaçu</v>
      </c>
    </row>
    <row r="3891">
      <c r="A3891" s="3">
        <v>45645.0</v>
      </c>
      <c r="B3891" s="4">
        <v>0.2590277777777778</v>
      </c>
      <c r="C3891" s="5" t="s">
        <v>906</v>
      </c>
      <c r="D3891" s="5" t="s">
        <v>1004</v>
      </c>
      <c r="E3891" s="6" t="s">
        <v>225</v>
      </c>
      <c r="F3891" s="5" t="s">
        <v>226</v>
      </c>
      <c r="G3891" s="6" t="str">
        <f>VLOOKUP(E3891,dicionario!$A$1:$C4290,2,0)</f>
        <v>Passer domesticus</v>
      </c>
      <c r="H3891" s="6" t="str">
        <f>VLOOKUP(E3891,dicionario!$A$1:$C4290,3,0)</f>
        <v>pardal</v>
      </c>
    </row>
    <row r="3892">
      <c r="A3892" s="3">
        <v>45645.0</v>
      </c>
      <c r="B3892" s="4">
        <v>0.2590277777777778</v>
      </c>
      <c r="C3892" s="5" t="s">
        <v>906</v>
      </c>
      <c r="D3892" s="5" t="s">
        <v>1004</v>
      </c>
      <c r="E3892" s="6" t="s">
        <v>65</v>
      </c>
      <c r="F3892" s="5" t="s">
        <v>66</v>
      </c>
      <c r="G3892" s="6" t="str">
        <f>VLOOKUP(E3892,dicionario!$A$1:$C4291,2,0)</f>
        <v>Pitangus sulphutarus</v>
      </c>
      <c r="H3892" s="6" t="str">
        <f>VLOOKUP(E3892,dicionario!$A$1:$C4291,3,0)</f>
        <v>bem-te-vi</v>
      </c>
    </row>
    <row r="3893">
      <c r="A3893" s="3">
        <v>45645.0</v>
      </c>
      <c r="B3893" s="4">
        <v>0.26180555555555557</v>
      </c>
      <c r="C3893" s="5" t="s">
        <v>906</v>
      </c>
      <c r="D3893" s="5" t="s">
        <v>1004</v>
      </c>
      <c r="E3893" s="8" t="s">
        <v>934</v>
      </c>
      <c r="F3893" s="5" t="s">
        <v>414</v>
      </c>
      <c r="G3893" s="6" t="str">
        <f>VLOOKUP(E3893,dicionario!$A$1:$C4292,2,0)</f>
        <v>#N/A</v>
      </c>
      <c r="H3893" s="6" t="str">
        <f>VLOOKUP(E3893,dicionario!$A$1:$C4292,3,0)</f>
        <v>#N/A</v>
      </c>
    </row>
    <row r="3894">
      <c r="A3894" s="3">
        <v>45645.0</v>
      </c>
      <c r="B3894" s="4">
        <v>0.26319444444444445</v>
      </c>
      <c r="C3894" s="5" t="s">
        <v>906</v>
      </c>
      <c r="D3894" s="5" t="s">
        <v>1004</v>
      </c>
      <c r="E3894" s="8" t="s">
        <v>704</v>
      </c>
      <c r="F3894" s="5" t="s">
        <v>705</v>
      </c>
      <c r="G3894" s="6" t="str">
        <f>VLOOKUP(E3894,dicionario!$A$1:$C4293,2,0)</f>
        <v>Brachygastra lecheguana</v>
      </c>
      <c r="H3894" s="6" t="str">
        <f>VLOOKUP(E3894,dicionario!$A$1:$C4293,3,0)</f>
        <v>enxu-verdadeiro</v>
      </c>
    </row>
    <row r="3895">
      <c r="A3895" s="3">
        <v>45645.0</v>
      </c>
      <c r="B3895" s="4">
        <v>0.2652777777777778</v>
      </c>
      <c r="C3895" s="5" t="s">
        <v>906</v>
      </c>
      <c r="D3895" s="5" t="s">
        <v>1004</v>
      </c>
      <c r="E3895" s="6" t="s">
        <v>93</v>
      </c>
      <c r="F3895" s="5" t="s">
        <v>570</v>
      </c>
      <c r="G3895" s="6" t="str">
        <f>VLOOKUP(E3895,dicionario!$A$1:$C4294,2,0)</f>
        <v>Thraupis sayaca</v>
      </c>
      <c r="H3895" s="6" t="str">
        <f>VLOOKUP(E3895,dicionario!$A$1:$C4294,3,0)</f>
        <v>sanhaçu-cinzento</v>
      </c>
    </row>
    <row r="3896">
      <c r="A3896" s="3">
        <v>45645.0</v>
      </c>
      <c r="B3896" s="4">
        <v>0.2652777777777778</v>
      </c>
      <c r="C3896" s="5" t="s">
        <v>906</v>
      </c>
      <c r="D3896" s="5" t="s">
        <v>1004</v>
      </c>
      <c r="E3896" s="8" t="s">
        <v>1008</v>
      </c>
      <c r="F3896" s="5" t="s">
        <v>1009</v>
      </c>
      <c r="G3896" s="6" t="str">
        <f>VLOOKUP(E3896,dicionario!$A$1:$C4295,2,0)</f>
        <v>Syntermes molestus</v>
      </c>
      <c r="H3896" s="6" t="str">
        <f>VLOOKUP(E3896,dicionario!$A$1:$C4295,3,0)</f>
        <v>cupim-bate-cabeça</v>
      </c>
    </row>
    <row r="3897">
      <c r="A3897" s="3">
        <v>45645.0</v>
      </c>
      <c r="B3897" s="4">
        <v>0.2659722222222222</v>
      </c>
      <c r="C3897" s="5" t="s">
        <v>26</v>
      </c>
      <c r="D3897" s="5" t="s">
        <v>1004</v>
      </c>
      <c r="E3897" s="6" t="s">
        <v>217</v>
      </c>
      <c r="F3897" s="5" t="s">
        <v>218</v>
      </c>
      <c r="G3897" s="6" t="str">
        <f>VLOOKUP(E3897,dicionario!$A$1:$C4296,2,0)</f>
        <v>Athene cunicularia</v>
      </c>
      <c r="H3897" s="6" t="str">
        <f>VLOOKUP(E3897,dicionario!$A$1:$C4296,3,0)</f>
        <v>coruja-buraqueira</v>
      </c>
    </row>
    <row r="3898">
      <c r="A3898" s="3">
        <v>45645.0</v>
      </c>
      <c r="B3898" s="4">
        <v>0.2673611111111111</v>
      </c>
      <c r="C3898" s="5" t="s">
        <v>26</v>
      </c>
      <c r="D3898" s="5" t="s">
        <v>1004</v>
      </c>
      <c r="E3898" s="6" t="s">
        <v>353</v>
      </c>
      <c r="F3898" s="5" t="s">
        <v>354</v>
      </c>
      <c r="G3898" s="6" t="str">
        <f>VLOOKUP(E3898,dicionario!$A$1:$C4297,2,0)</f>
        <v>Desmodium incanum</v>
      </c>
      <c r="H3898" s="6" t="str">
        <f>VLOOKUP(E3898,dicionario!$A$1:$C4297,3,0)</f>
        <v>pega-pega</v>
      </c>
    </row>
    <row r="3899">
      <c r="A3899" s="3">
        <v>45645.0</v>
      </c>
      <c r="B3899" s="4">
        <v>0.2673611111111111</v>
      </c>
      <c r="C3899" s="5" t="s">
        <v>26</v>
      </c>
      <c r="D3899" s="5" t="s">
        <v>1004</v>
      </c>
      <c r="E3899" s="6" t="s">
        <v>296</v>
      </c>
      <c r="F3899" s="5" t="s">
        <v>297</v>
      </c>
      <c r="G3899" s="6" t="str">
        <f>VLOOKUP(E3899,dicionario!$A$1:$C4298,2,0)</f>
        <v>Richardia brasiliensis</v>
      </c>
      <c r="H3899" s="6" t="str">
        <f>VLOOKUP(E3899,dicionario!$A$1:$C4298,3,0)</f>
        <v>poaia-branca</v>
      </c>
    </row>
    <row r="3900">
      <c r="A3900" s="3">
        <v>45645.0</v>
      </c>
      <c r="B3900" s="4">
        <v>0.2673611111111111</v>
      </c>
      <c r="C3900" s="5" t="s">
        <v>26</v>
      </c>
      <c r="D3900" s="5" t="s">
        <v>1004</v>
      </c>
      <c r="E3900" s="8" t="s">
        <v>41</v>
      </c>
      <c r="F3900" s="5" t="s">
        <v>45</v>
      </c>
      <c r="G3900" s="6" t="str">
        <f>VLOOKUP(E3900,dicionario!$A$1:$C4299,2,0)</f>
        <v>Mimosa pudica</v>
      </c>
      <c r="H3900" s="6" t="str">
        <f>VLOOKUP(E3900,dicionario!$A$1:$C4299,3,0)</f>
        <v>dormideira</v>
      </c>
    </row>
    <row r="3901">
      <c r="A3901" s="3">
        <v>45645.0</v>
      </c>
      <c r="B3901" s="4">
        <v>0.2673611111111111</v>
      </c>
      <c r="C3901" s="5" t="s">
        <v>26</v>
      </c>
      <c r="D3901" s="5" t="s">
        <v>1004</v>
      </c>
      <c r="E3901" s="6" t="s">
        <v>146</v>
      </c>
      <c r="F3901" s="5" t="s">
        <v>147</v>
      </c>
      <c r="G3901" s="6" t="str">
        <f>VLOOKUP(E3901,dicionario!$A$1:$C4300,2,0)</f>
        <v>Euphorbia hirta</v>
      </c>
      <c r="H3901" s="6" t="str">
        <f>VLOOKUP(E3901,dicionario!$A$1:$C4300,3,0)</f>
        <v>erva-de-santa-luzia</v>
      </c>
    </row>
    <row r="3902">
      <c r="A3902" s="3">
        <v>45645.0</v>
      </c>
      <c r="B3902" s="4">
        <v>0.2673611111111111</v>
      </c>
      <c r="C3902" s="5" t="s">
        <v>26</v>
      </c>
      <c r="D3902" s="5" t="s">
        <v>1004</v>
      </c>
      <c r="E3902" s="20" t="s">
        <v>676</v>
      </c>
      <c r="F3902" s="7" t="s">
        <v>677</v>
      </c>
      <c r="G3902" s="6" t="str">
        <f>VLOOKUP(E3902,dicionario!$A$1:$C4301,2,0)</f>
        <v>Zornia latifolia</v>
      </c>
      <c r="H3902" s="6" t="str">
        <f>VLOOKUP(E3902,dicionario!$A$1:$C4301,3,0)</f>
        <v>arrozinho-do-campo</v>
      </c>
    </row>
    <row r="3903">
      <c r="A3903" s="3">
        <v>45645.0</v>
      </c>
      <c r="B3903" s="4">
        <v>0.2673611111111111</v>
      </c>
      <c r="C3903" s="5" t="s">
        <v>26</v>
      </c>
      <c r="D3903" s="5" t="s">
        <v>1004</v>
      </c>
      <c r="E3903" s="6" t="s">
        <v>471</v>
      </c>
      <c r="F3903" s="5" t="s">
        <v>472</v>
      </c>
      <c r="G3903" s="6" t="str">
        <f>VLOOKUP(E3903,dicionario!$A$1:$C4302,2,0)</f>
        <v>Sida acuta</v>
      </c>
      <c r="H3903" s="6" t="str">
        <f>VLOOKUP(E3903,dicionario!$A$1:$C4302,3,0)</f>
        <v>reloginho</v>
      </c>
    </row>
    <row r="3904">
      <c r="A3904" s="3">
        <v>45645.0</v>
      </c>
      <c r="B3904" s="4">
        <v>0.26805555555555555</v>
      </c>
      <c r="C3904" s="5" t="s">
        <v>26</v>
      </c>
      <c r="D3904" s="5" t="s">
        <v>1004</v>
      </c>
      <c r="E3904" s="6" t="s">
        <v>86</v>
      </c>
      <c r="F3904" s="5" t="s">
        <v>502</v>
      </c>
      <c r="G3904" s="6" t="str">
        <f>VLOOKUP(E3904,dicionario!$A$1:$C4303,2,0)</f>
        <v>Coereba flaveola</v>
      </c>
      <c r="H3904" s="6" t="str">
        <f>VLOOKUP(E3904,dicionario!$A$1:$C4303,3,0)</f>
        <v>cambacica</v>
      </c>
    </row>
    <row r="3905">
      <c r="A3905" s="3">
        <v>45645.0</v>
      </c>
      <c r="B3905" s="4">
        <v>0.26805555555555555</v>
      </c>
      <c r="C3905" s="5" t="s">
        <v>26</v>
      </c>
      <c r="D3905" s="5" t="s">
        <v>1004</v>
      </c>
      <c r="E3905" s="6" t="s">
        <v>20</v>
      </c>
      <c r="F3905" s="7" t="s">
        <v>21</v>
      </c>
      <c r="G3905" s="6" t="str">
        <f>VLOOKUP(E3905,dicionario!$A$1:$C4304,2,0)</f>
        <v>Sicalis flaveola</v>
      </c>
      <c r="H3905" s="6" t="str">
        <f>VLOOKUP(E3905,dicionario!$A$1:$C4304,3,0)</f>
        <v>canário-da-terra</v>
      </c>
    </row>
    <row r="3906">
      <c r="A3906" s="3">
        <v>45645.0</v>
      </c>
      <c r="B3906" s="4">
        <v>0.26805555555555555</v>
      </c>
      <c r="C3906" s="5" t="s">
        <v>26</v>
      </c>
      <c r="D3906" s="5" t="s">
        <v>1004</v>
      </c>
      <c r="E3906" s="6" t="s">
        <v>229</v>
      </c>
      <c r="F3906" s="5" t="s">
        <v>230</v>
      </c>
      <c r="G3906" s="6" t="str">
        <f>VLOOKUP(E3906,dicionario!$A$1:$C4305,2,0)</f>
        <v>Apis mellifera</v>
      </c>
      <c r="H3906" s="6" t="str">
        <f>VLOOKUP(E3906,dicionario!$A$1:$C4305,3,0)</f>
        <v>abelha-do-mel</v>
      </c>
    </row>
    <row r="3907">
      <c r="A3907" s="3">
        <v>45645.0</v>
      </c>
      <c r="B3907" s="4">
        <v>0.26805555555555555</v>
      </c>
      <c r="C3907" s="5" t="s">
        <v>26</v>
      </c>
      <c r="D3907" s="5" t="s">
        <v>1004</v>
      </c>
      <c r="E3907" s="6" t="s">
        <v>498</v>
      </c>
      <c r="F3907" s="5" t="s">
        <v>499</v>
      </c>
      <c r="G3907" s="6" t="str">
        <f>VLOOKUP(E3907,dicionario!$A$1:$C4306,2,0)</f>
        <v>Brachiaria decumbens</v>
      </c>
      <c r="H3907" s="6" t="str">
        <f>VLOOKUP(E3907,dicionario!$A$1:$C4306,3,0)</f>
        <v>capim-braquiária</v>
      </c>
    </row>
    <row r="3908">
      <c r="A3908" s="3">
        <v>45645.0</v>
      </c>
      <c r="B3908" s="4">
        <v>0.26875</v>
      </c>
      <c r="C3908" s="5" t="s">
        <v>26</v>
      </c>
      <c r="D3908" s="5" t="s">
        <v>1004</v>
      </c>
      <c r="E3908" s="6" t="s">
        <v>215</v>
      </c>
      <c r="F3908" s="7" t="s">
        <v>216</v>
      </c>
      <c r="G3908" s="6" t="str">
        <f>VLOOKUP(E3908,dicionario!$A$1:$C4307,2,0)</f>
        <v>Pygochelidon cyanoleuca</v>
      </c>
      <c r="H3908" s="6" t="str">
        <f>VLOOKUP(E3908,dicionario!$A$1:$C4307,3,0)</f>
        <v>andorinha-pequena-de-casa</v>
      </c>
    </row>
    <row r="3909">
      <c r="A3909" s="3">
        <v>45645.0</v>
      </c>
      <c r="B3909" s="4">
        <v>0.26875</v>
      </c>
      <c r="C3909" s="5" t="s">
        <v>26</v>
      </c>
      <c r="D3909" s="5" t="s">
        <v>1004</v>
      </c>
      <c r="E3909" s="6" t="s">
        <v>113</v>
      </c>
      <c r="F3909" s="5" t="s">
        <v>114</v>
      </c>
      <c r="G3909" s="6" t="str">
        <f>VLOOKUP(E3909,dicionario!$A$1:$C4308,2,0)</f>
        <v>Columbina talpacoti</v>
      </c>
      <c r="H3909" s="6" t="str">
        <f>VLOOKUP(E3909,dicionario!$A$1:$C4308,3,0)</f>
        <v>rolinha-roxa</v>
      </c>
    </row>
    <row r="3910">
      <c r="A3910" s="3">
        <v>45645.0</v>
      </c>
      <c r="B3910" s="4">
        <v>0.26875</v>
      </c>
      <c r="C3910" s="5" t="s">
        <v>26</v>
      </c>
      <c r="D3910" s="5" t="s">
        <v>1004</v>
      </c>
      <c r="E3910" s="8" t="s">
        <v>360</v>
      </c>
      <c r="F3910" s="7" t="s">
        <v>361</v>
      </c>
      <c r="G3910" s="6" t="str">
        <f>VLOOKUP(E3910,dicionario!$A$1:$C4309,2,0)</f>
        <v>Chamaecrista rotundifolia</v>
      </c>
      <c r="H3910" s="6" t="str">
        <f>VLOOKUP(E3910,dicionario!$A$1:$C4309,3,0)</f>
        <v>alfafa-nativa</v>
      </c>
    </row>
    <row r="3911">
      <c r="A3911" s="3">
        <v>45645.0</v>
      </c>
      <c r="B3911" s="4">
        <v>0.26875</v>
      </c>
      <c r="C3911" s="5" t="s">
        <v>26</v>
      </c>
      <c r="D3911" s="5" t="s">
        <v>1004</v>
      </c>
      <c r="E3911" s="8" t="s">
        <v>298</v>
      </c>
      <c r="F3911" s="5" t="s">
        <v>739</v>
      </c>
      <c r="G3911" s="6" t="str">
        <f>VLOOKUP(E3911,dicionario!$A$1:$C4310,2,0)</f>
        <v>Alysicarpus vaginalis</v>
      </c>
      <c r="H3911" s="6" t="str">
        <f>VLOOKUP(E3911,dicionario!$A$1:$C4310,3,0)</f>
        <v/>
      </c>
    </row>
    <row r="3912">
      <c r="A3912" s="3">
        <v>45645.0</v>
      </c>
      <c r="B3912" s="4">
        <v>0.26944444444444443</v>
      </c>
      <c r="C3912" s="5" t="s">
        <v>26</v>
      </c>
      <c r="D3912" s="5" t="s">
        <v>1004</v>
      </c>
      <c r="E3912" s="6" t="s">
        <v>162</v>
      </c>
      <c r="F3912" s="7" t="s">
        <v>42</v>
      </c>
      <c r="G3912" s="6" t="str">
        <f>VLOOKUP(E3912,dicionario!$A$1:$C4311,2,0)</f>
        <v>Fluvicola nengeta</v>
      </c>
      <c r="H3912" s="6" t="str">
        <f>VLOOKUP(E3912,dicionario!$A$1:$C4311,3,0)</f>
        <v>lavadeira-mascarada</v>
      </c>
    </row>
    <row r="3913">
      <c r="A3913" s="3">
        <v>45645.0</v>
      </c>
      <c r="B3913" s="4">
        <v>0.2701388888888889</v>
      </c>
      <c r="C3913" s="5" t="s">
        <v>26</v>
      </c>
      <c r="D3913" s="5" t="s">
        <v>1004</v>
      </c>
      <c r="E3913" s="8" t="s">
        <v>934</v>
      </c>
      <c r="F3913" s="5" t="s">
        <v>414</v>
      </c>
      <c r="G3913" s="6" t="str">
        <f>VLOOKUP(E3913,dicionario!$A$1:$C4312,2,0)</f>
        <v>#N/A</v>
      </c>
      <c r="H3913" s="6" t="str">
        <f>VLOOKUP(E3913,dicionario!$A$1:$C4312,3,0)</f>
        <v>#N/A</v>
      </c>
    </row>
    <row r="3914">
      <c r="A3914" s="3">
        <v>45645.0</v>
      </c>
      <c r="B3914" s="4">
        <v>0.2701388888888889</v>
      </c>
      <c r="C3914" s="5" t="s">
        <v>26</v>
      </c>
      <c r="D3914" s="5" t="s">
        <v>1004</v>
      </c>
      <c r="E3914" s="6" t="s">
        <v>302</v>
      </c>
      <c r="F3914" s="5" t="s">
        <v>303</v>
      </c>
      <c r="G3914" s="6" t="str">
        <f>VLOOKUP(E3914,dicionario!$A$1:$C4313,2,0)</f>
        <v>Machetornis rixosa</v>
      </c>
      <c r="H3914" s="6" t="str">
        <f>VLOOKUP(E3914,dicionario!$A$1:$C4313,3,0)</f>
        <v>suiriri-cavaleiro</v>
      </c>
    </row>
    <row r="3915">
      <c r="A3915" s="3">
        <v>45645.0</v>
      </c>
      <c r="B3915" s="4">
        <v>0.27152777777777776</v>
      </c>
      <c r="C3915" s="5" t="s">
        <v>26</v>
      </c>
      <c r="D3915" s="5" t="s">
        <v>1004</v>
      </c>
      <c r="E3915" s="6" t="s">
        <v>18</v>
      </c>
      <c r="F3915" s="5" t="s">
        <v>219</v>
      </c>
      <c r="G3915" s="6" t="str">
        <f>VLOOKUP(E3915,dicionario!$A$1:$C4314,2,0)</f>
        <v>Xylocopa frontalis</v>
      </c>
      <c r="H3915" s="6" t="str">
        <f>VLOOKUP(E3915,dicionario!$A$1:$C4314,3,0)</f>
        <v>Mamangava; mangangá; abelha-carpinteira</v>
      </c>
    </row>
    <row r="3916">
      <c r="A3916" s="3">
        <v>45645.0</v>
      </c>
      <c r="B3916" s="4">
        <v>0.27152777777777776</v>
      </c>
      <c r="C3916" s="5" t="s">
        <v>26</v>
      </c>
      <c r="D3916" s="5" t="s">
        <v>1004</v>
      </c>
      <c r="E3916" s="6" t="s">
        <v>519</v>
      </c>
      <c r="F3916" s="5" t="s">
        <v>925</v>
      </c>
      <c r="G3916" s="6" t="str">
        <f>VLOOKUP(E3916,dicionario!$A$1:$C4315,2,0)</f>
        <v>Drosophila melanogaster</v>
      </c>
      <c r="H3916" s="6" t="str">
        <f>VLOOKUP(E3916,dicionario!$A$1:$C4315,3,0)</f>
        <v>mitinga/mosca-da-fruta</v>
      </c>
    </row>
    <row r="3917">
      <c r="A3917" s="3">
        <v>45645.0</v>
      </c>
      <c r="B3917" s="4">
        <v>0.27152777777777776</v>
      </c>
      <c r="C3917" s="5" t="s">
        <v>26</v>
      </c>
      <c r="D3917" s="5" t="s">
        <v>1004</v>
      </c>
      <c r="E3917" s="8" t="s">
        <v>915</v>
      </c>
      <c r="F3917" s="5" t="s">
        <v>916</v>
      </c>
      <c r="G3917" s="6" t="str">
        <f>VLOOKUP(E3917,dicionario!$A$1:$C4316,2,0)</f>
        <v>Tachycineta albiventer</v>
      </c>
      <c r="H3917" s="6" t="str">
        <f>VLOOKUP(E3917,dicionario!$A$1:$C4316,3,0)</f>
        <v>andorinha-de-rio</v>
      </c>
    </row>
    <row r="3918">
      <c r="A3918" s="3">
        <v>45645.0</v>
      </c>
      <c r="B3918" s="4">
        <v>0.2722222222222222</v>
      </c>
      <c r="C3918" s="5" t="s">
        <v>26</v>
      </c>
      <c r="D3918" s="5" t="s">
        <v>1004</v>
      </c>
      <c r="E3918" s="8" t="s">
        <v>12</v>
      </c>
      <c r="F3918" s="7" t="s">
        <v>13</v>
      </c>
      <c r="G3918" s="6" t="str">
        <f>VLOOKUP(E3918,dicionario!$A$1:$C4317,2,0)</f>
        <v>Eulaema nigrita</v>
      </c>
      <c r="H3918" s="6" t="str">
        <f>VLOOKUP(E3918,dicionario!$A$1:$C4317,3,0)</f>
        <v>abelha-de-orquídea</v>
      </c>
    </row>
    <row r="3919">
      <c r="A3919" s="3">
        <v>45645.0</v>
      </c>
      <c r="B3919" s="4">
        <v>0.2722222222222222</v>
      </c>
      <c r="C3919" s="5" t="s">
        <v>26</v>
      </c>
      <c r="D3919" s="5" t="s">
        <v>1004</v>
      </c>
      <c r="E3919" s="9" t="s">
        <v>22</v>
      </c>
      <c r="F3919" s="5" t="s">
        <v>902</v>
      </c>
      <c r="G3919" s="6" t="str">
        <f>VLOOKUP(E3919,dicionario!$A$1:$C4318,2,0)</f>
        <v>Zenaida auriculata</v>
      </c>
      <c r="H3919" s="6" t="str">
        <f>VLOOKUP(E3919,dicionario!$A$1:$C4318,3,0)</f>
        <v>pomba-de-bando; avoante</v>
      </c>
    </row>
    <row r="3920">
      <c r="A3920" s="3">
        <v>45645.0</v>
      </c>
      <c r="B3920" s="4">
        <v>0.2722222222222222</v>
      </c>
      <c r="C3920" s="5" t="s">
        <v>26</v>
      </c>
      <c r="D3920" s="5" t="s">
        <v>1004</v>
      </c>
      <c r="E3920" s="6" t="s">
        <v>53</v>
      </c>
      <c r="F3920" s="7" t="s">
        <v>54</v>
      </c>
      <c r="G3920" s="6" t="str">
        <f>VLOOKUP(E3920,dicionario!$A$1:$C4319,2,0)</f>
        <v>Turnera subulata</v>
      </c>
      <c r="H3920" s="6" t="str">
        <f>VLOOKUP(E3920,dicionario!$A$1:$C4319,3,0)</f>
        <v>xanana</v>
      </c>
    </row>
    <row r="3921">
      <c r="A3921" s="3">
        <v>45645.0</v>
      </c>
      <c r="B3921" s="4">
        <v>0.27291666666666664</v>
      </c>
      <c r="C3921" s="5" t="s">
        <v>26</v>
      </c>
      <c r="D3921" s="5" t="s">
        <v>1004</v>
      </c>
      <c r="E3921" s="8" t="s">
        <v>1010</v>
      </c>
      <c r="F3921" s="5" t="s">
        <v>1011</v>
      </c>
      <c r="G3921" s="6" t="str">
        <f>VLOOKUP(E3921,dicionario!$A$1:$C4320,2,0)</f>
        <v>#N/A</v>
      </c>
      <c r="H3921" s="6" t="str">
        <f>VLOOKUP(E3921,dicionario!$A$1:$C4320,3,0)</f>
        <v>#N/A</v>
      </c>
    </row>
    <row r="3922">
      <c r="A3922" s="3">
        <v>45645.0</v>
      </c>
      <c r="B3922" s="4">
        <v>0.27291666666666664</v>
      </c>
      <c r="C3922" s="5" t="s">
        <v>26</v>
      </c>
      <c r="D3922" s="5" t="s">
        <v>1004</v>
      </c>
      <c r="E3922" s="8" t="s">
        <v>1002</v>
      </c>
      <c r="F3922" s="5" t="s">
        <v>1003</v>
      </c>
      <c r="G3922" s="6" t="str">
        <f>VLOOKUP(E3922,dicionario!$A$1:$C4321,2,0)</f>
        <v>#N/A</v>
      </c>
      <c r="H3922" s="6" t="str">
        <f>VLOOKUP(E3922,dicionario!$A$1:$C4321,3,0)</f>
        <v>#N/A</v>
      </c>
    </row>
    <row r="3923">
      <c r="A3923" s="3">
        <v>45645.0</v>
      </c>
      <c r="B3923" s="4">
        <v>0.27361111111111114</v>
      </c>
      <c r="C3923" s="5" t="s">
        <v>26</v>
      </c>
      <c r="D3923" s="5" t="s">
        <v>1004</v>
      </c>
      <c r="E3923" s="6" t="s">
        <v>69</v>
      </c>
      <c r="F3923" s="7" t="s">
        <v>71</v>
      </c>
      <c r="G3923" s="6" t="str">
        <f>VLOOKUP(E3923,dicionario!$A$1:$C4322,2,0)</f>
        <v>Talinum fruticosum</v>
      </c>
      <c r="H3923" s="6" t="str">
        <f>VLOOKUP(E3923,dicionario!$A$1:$C4322,3,0)</f>
        <v>beldroega-grande</v>
      </c>
    </row>
    <row r="3924">
      <c r="A3924" s="3">
        <v>45645.0</v>
      </c>
      <c r="B3924" s="4">
        <v>0.27361111111111114</v>
      </c>
      <c r="C3924" s="5" t="s">
        <v>26</v>
      </c>
      <c r="D3924" s="5" t="s">
        <v>1004</v>
      </c>
      <c r="E3924" s="6" t="s">
        <v>471</v>
      </c>
      <c r="F3924" s="5" t="s">
        <v>472</v>
      </c>
      <c r="G3924" s="6" t="str">
        <f>VLOOKUP(E3924,dicionario!$A$1:$C4323,2,0)</f>
        <v>Sida acuta</v>
      </c>
      <c r="H3924" s="6" t="str">
        <f>VLOOKUP(E3924,dicionario!$A$1:$C4323,3,0)</f>
        <v>reloginho</v>
      </c>
    </row>
    <row r="3925">
      <c r="A3925" s="3">
        <v>45645.0</v>
      </c>
      <c r="B3925" s="4">
        <v>0.27361111111111114</v>
      </c>
      <c r="C3925" s="5" t="s">
        <v>26</v>
      </c>
      <c r="D3925" s="5" t="s">
        <v>1004</v>
      </c>
      <c r="E3925" s="8" t="s">
        <v>517</v>
      </c>
      <c r="F3925" s="7" t="s">
        <v>518</v>
      </c>
      <c r="G3925" s="6" t="str">
        <f>VLOOKUP(E3925,dicionario!$A$1:$C4324,2,0)</f>
        <v>Evolvulus nummularius</v>
      </c>
      <c r="H3925" s="6" t="str">
        <f>VLOOKUP(E3925,dicionario!$A$1:$C4324,3,0)</f>
        <v/>
      </c>
    </row>
    <row r="3926">
      <c r="A3926" s="3">
        <v>45645.0</v>
      </c>
      <c r="B3926" s="4">
        <v>0.2743055555555556</v>
      </c>
      <c r="C3926" s="5" t="s">
        <v>26</v>
      </c>
      <c r="D3926" s="5" t="s">
        <v>1004</v>
      </c>
      <c r="E3926" s="6" t="s">
        <v>171</v>
      </c>
      <c r="F3926" s="5" t="s">
        <v>172</v>
      </c>
      <c r="G3926" s="6" t="str">
        <f>VLOOKUP(E3926,dicionario!$A$1:$C4325,2,0)</f>
        <v>Oxalis corniculata</v>
      </c>
      <c r="H3926" s="6" t="str">
        <f>VLOOKUP(E3926,dicionario!$A$1:$C4325,3,0)</f>
        <v>trevo-azedinho</v>
      </c>
    </row>
    <row r="3927">
      <c r="A3927" s="3">
        <v>45645.0</v>
      </c>
      <c r="B3927" s="4">
        <v>0.27569444444444446</v>
      </c>
      <c r="C3927" s="5" t="s">
        <v>26</v>
      </c>
      <c r="D3927" s="5" t="s">
        <v>1004</v>
      </c>
      <c r="E3927" s="6" t="s">
        <v>243</v>
      </c>
      <c r="F3927" s="5" t="s">
        <v>244</v>
      </c>
      <c r="G3927" s="6" t="str">
        <f>VLOOKUP(E3927,dicionario!$A$1:$C4326,2,0)</f>
        <v>Macroptilium atropurpureum</v>
      </c>
      <c r="H3927" s="6" t="str">
        <f>VLOOKUP(E3927,dicionario!$A$1:$C4326,3,0)</f>
        <v>feijão-de-pombo</v>
      </c>
    </row>
    <row r="3928">
      <c r="A3928" s="3">
        <v>45645.0</v>
      </c>
      <c r="B3928" s="4">
        <v>0.27569444444444446</v>
      </c>
      <c r="C3928" s="5" t="s">
        <v>26</v>
      </c>
      <c r="D3928" s="5" t="s">
        <v>1004</v>
      </c>
      <c r="E3928" s="6" t="s">
        <v>251</v>
      </c>
      <c r="F3928" s="5" t="s">
        <v>252</v>
      </c>
      <c r="G3928" s="6" t="str">
        <f>VLOOKUP(E3928,dicionario!$A$1:$C4327,2,0)</f>
        <v>Struthanthus flexicaulis</v>
      </c>
      <c r="H3928" s="6" t="str">
        <f>VLOOKUP(E3928,dicionario!$A$1:$C4327,3,0)</f>
        <v>erva-de-passarinho</v>
      </c>
    </row>
    <row r="3929">
      <c r="A3929" s="3">
        <v>45645.0</v>
      </c>
      <c r="B3929" s="4">
        <v>0.27569444444444446</v>
      </c>
      <c r="C3929" s="5" t="s">
        <v>26</v>
      </c>
      <c r="D3929" s="5" t="s">
        <v>1004</v>
      </c>
      <c r="E3929" s="6" t="s">
        <v>450</v>
      </c>
      <c r="F3929" s="5" t="s">
        <v>921</v>
      </c>
      <c r="G3929" s="6" t="str">
        <f>VLOOKUP(E3929,dicionario!$A$1:$C4328,2,0)</f>
        <v>#N/A</v>
      </c>
      <c r="H3929" s="6" t="str">
        <f>VLOOKUP(E3929,dicionario!$A$1:$C4328,3,0)</f>
        <v>#N/A</v>
      </c>
    </row>
    <row r="3930">
      <c r="A3930" s="3">
        <v>45645.0</v>
      </c>
      <c r="B3930" s="4">
        <v>0.27569444444444446</v>
      </c>
      <c r="C3930" s="5" t="s">
        <v>26</v>
      </c>
      <c r="D3930" s="5" t="s">
        <v>1004</v>
      </c>
      <c r="E3930" s="8" t="s">
        <v>118</v>
      </c>
      <c r="F3930" s="5" t="s">
        <v>119</v>
      </c>
      <c r="G3930" s="6" t="str">
        <f>VLOOKUP(E3930,dicionario!$A$1:$C4329,2,0)</f>
        <v>Agaricus</v>
      </c>
      <c r="H3930" s="6" t="str">
        <f>VLOOKUP(E3930,dicionario!$A$1:$C4329,3,0)</f>
        <v>cogumelo</v>
      </c>
    </row>
    <row r="3931">
      <c r="A3931" s="3">
        <v>45645.0</v>
      </c>
      <c r="B3931" s="4">
        <v>0.2763888888888889</v>
      </c>
      <c r="C3931" s="5" t="s">
        <v>26</v>
      </c>
      <c r="D3931" s="5" t="s">
        <v>1004</v>
      </c>
      <c r="E3931" s="6" t="s">
        <v>253</v>
      </c>
      <c r="F3931" s="5" t="s">
        <v>254</v>
      </c>
      <c r="G3931" s="6" t="str">
        <f>VLOOKUP(E3931,dicionario!$A$1:$C4330,2,0)</f>
        <v>Panicum maximum</v>
      </c>
      <c r="H3931" s="6" t="str">
        <f>VLOOKUP(E3931,dicionario!$A$1:$C4330,3,0)</f>
        <v>capim-colonião</v>
      </c>
    </row>
    <row r="3932">
      <c r="A3932" s="3">
        <v>45645.0</v>
      </c>
      <c r="B3932" s="4">
        <v>0.2763888888888889</v>
      </c>
      <c r="C3932" s="5" t="s">
        <v>26</v>
      </c>
      <c r="D3932" s="5" t="s">
        <v>1004</v>
      </c>
      <c r="E3932" s="6" t="s">
        <v>109</v>
      </c>
      <c r="F3932" s="5" t="s">
        <v>110</v>
      </c>
      <c r="G3932" s="6" t="str">
        <f>VLOOKUP(E3932,dicionario!$A$1:$C4331,2,0)</f>
        <v>Tillandsia stricta</v>
      </c>
      <c r="H3932" s="6" t="str">
        <f>VLOOKUP(E3932,dicionario!$A$1:$C4331,3,0)</f>
        <v>cravo-do-mato</v>
      </c>
    </row>
    <row r="3933">
      <c r="A3933" s="3">
        <v>45645.0</v>
      </c>
      <c r="B3933" s="4">
        <v>0.2763888888888889</v>
      </c>
      <c r="C3933" s="5" t="s">
        <v>26</v>
      </c>
      <c r="D3933" s="5" t="s">
        <v>1004</v>
      </c>
      <c r="E3933" s="8" t="s">
        <v>712</v>
      </c>
      <c r="F3933" s="5" t="s">
        <v>1006</v>
      </c>
      <c r="G3933" s="6" t="str">
        <f>VLOOKUP(E3933,dicionario!$A$1:$C4332,2,0)</f>
        <v>Flavopunctelia soredica</v>
      </c>
      <c r="H3933" s="6" t="str">
        <f>VLOOKUP(E3933,dicionario!$A$1:$C4332,3,0)</f>
        <v>líquen-folioso</v>
      </c>
    </row>
    <row r="3934">
      <c r="A3934" s="3">
        <v>45645.0</v>
      </c>
      <c r="B3934" s="4">
        <v>0.27708333333333335</v>
      </c>
      <c r="C3934" s="5" t="s">
        <v>33</v>
      </c>
      <c r="D3934" s="5" t="s">
        <v>1004</v>
      </c>
      <c r="E3934" s="6" t="s">
        <v>353</v>
      </c>
      <c r="F3934" s="5" t="s">
        <v>354</v>
      </c>
      <c r="G3934" s="6" t="str">
        <f>VLOOKUP(E3934,dicionario!$A$1:$C4333,2,0)</f>
        <v>Desmodium incanum</v>
      </c>
      <c r="H3934" s="6" t="str">
        <f>VLOOKUP(E3934,dicionario!$A$1:$C4333,3,0)</f>
        <v>pega-pega</v>
      </c>
    </row>
    <row r="3935">
      <c r="A3935" s="3">
        <v>45645.0</v>
      </c>
      <c r="B3935" s="4">
        <v>0.27708333333333335</v>
      </c>
      <c r="C3935" s="5" t="s">
        <v>33</v>
      </c>
      <c r="D3935" s="5" t="s">
        <v>1004</v>
      </c>
      <c r="E3935" s="6" t="s">
        <v>191</v>
      </c>
      <c r="F3935" s="5" t="s">
        <v>192</v>
      </c>
      <c r="G3935" s="6" t="str">
        <f>VLOOKUP(E3935,dicionario!$A$1:$C4334,2,0)</f>
        <v>Patagioenas picazuro</v>
      </c>
      <c r="H3935" s="6" t="str">
        <f>VLOOKUP(E3935,dicionario!$A$1:$C4334,3,0)</f>
        <v>asa-branca; pomba-asa-branca; pocaçu</v>
      </c>
    </row>
    <row r="3936">
      <c r="A3936" s="3">
        <v>45645.0</v>
      </c>
      <c r="B3936" s="4">
        <v>0.27708333333333335</v>
      </c>
      <c r="C3936" s="5" t="s">
        <v>33</v>
      </c>
      <c r="D3936" s="5" t="s">
        <v>1004</v>
      </c>
      <c r="E3936" s="6" t="s">
        <v>162</v>
      </c>
      <c r="F3936" s="7" t="s">
        <v>42</v>
      </c>
      <c r="G3936" s="6" t="str">
        <f>VLOOKUP(E3936,dicionario!$A$1:$C4335,2,0)</f>
        <v>Fluvicola nengeta</v>
      </c>
      <c r="H3936" s="6" t="str">
        <f>VLOOKUP(E3936,dicionario!$A$1:$C4335,3,0)</f>
        <v>lavadeira-mascarada</v>
      </c>
    </row>
    <row r="3937">
      <c r="A3937" s="3">
        <v>45645.0</v>
      </c>
      <c r="B3937" s="4">
        <v>0.2777777777777778</v>
      </c>
      <c r="C3937" s="5" t="s">
        <v>33</v>
      </c>
      <c r="D3937" s="5" t="s">
        <v>1004</v>
      </c>
      <c r="E3937" s="6" t="s">
        <v>296</v>
      </c>
      <c r="F3937" s="5" t="s">
        <v>297</v>
      </c>
      <c r="G3937" s="6" t="str">
        <f>VLOOKUP(E3937,dicionario!$A$1:$C4336,2,0)</f>
        <v>Richardia brasiliensis</v>
      </c>
      <c r="H3937" s="6" t="str">
        <f>VLOOKUP(E3937,dicionario!$A$1:$C4336,3,0)</f>
        <v>poaia-branca</v>
      </c>
    </row>
    <row r="3938">
      <c r="A3938" s="3">
        <v>45645.0</v>
      </c>
      <c r="B3938" s="4">
        <v>0.2777777777777778</v>
      </c>
      <c r="C3938" s="5" t="s">
        <v>33</v>
      </c>
      <c r="D3938" s="5" t="s">
        <v>1004</v>
      </c>
      <c r="E3938" s="8" t="s">
        <v>31</v>
      </c>
      <c r="F3938" s="5" t="s">
        <v>32</v>
      </c>
      <c r="G3938" s="6" t="str">
        <f>VLOOKUP(E3938,dicionario!$A$1:$C4337,2,0)</f>
        <v>Furnarius rufus</v>
      </c>
      <c r="H3938" s="6" t="str">
        <f>VLOOKUP(E3938,dicionario!$A$1:$C4337,3,0)</f>
        <v>joão-de-barro</v>
      </c>
    </row>
    <row r="3939">
      <c r="A3939" s="3">
        <v>45645.0</v>
      </c>
      <c r="B3939" s="4">
        <v>0.2777777777777778</v>
      </c>
      <c r="C3939" s="5" t="s">
        <v>33</v>
      </c>
      <c r="D3939" s="5" t="s">
        <v>1004</v>
      </c>
      <c r="E3939" s="8" t="s">
        <v>258</v>
      </c>
      <c r="F3939" s="5" t="s">
        <v>259</v>
      </c>
      <c r="G3939" s="6" t="str">
        <f>VLOOKUP(E3939,dicionario!$A$1:$C4338,2,0)</f>
        <v>Lantana camara</v>
      </c>
      <c r="H3939" s="6" t="str">
        <f>VLOOKUP(E3939,dicionario!$A$1:$C4338,3,0)</f>
        <v>lantana</v>
      </c>
    </row>
    <row r="3940">
      <c r="A3940" s="3">
        <v>45645.0</v>
      </c>
      <c r="B3940" s="4">
        <v>0.2777777777777778</v>
      </c>
      <c r="C3940" s="5" t="s">
        <v>33</v>
      </c>
      <c r="D3940" s="5" t="s">
        <v>1004</v>
      </c>
      <c r="E3940" s="6" t="s">
        <v>109</v>
      </c>
      <c r="F3940" s="5" t="s">
        <v>110</v>
      </c>
      <c r="G3940" s="6" t="str">
        <f>VLOOKUP(E3940,dicionario!$A$1:$C4339,2,0)</f>
        <v>Tillandsia stricta</v>
      </c>
      <c r="H3940" s="6" t="str">
        <f>VLOOKUP(E3940,dicionario!$A$1:$C4339,3,0)</f>
        <v>cravo-do-mato</v>
      </c>
    </row>
    <row r="3941">
      <c r="A3941" s="3">
        <v>45645.0</v>
      </c>
      <c r="B3941" s="4">
        <v>0.2791666666666667</v>
      </c>
      <c r="C3941" s="5" t="s">
        <v>33</v>
      </c>
      <c r="D3941" s="5" t="s">
        <v>1004</v>
      </c>
      <c r="E3941" s="8" t="s">
        <v>1012</v>
      </c>
      <c r="F3941" s="5" t="s">
        <v>494</v>
      </c>
      <c r="G3941" s="6" t="str">
        <f>VLOOKUP(E3941,dicionario!$A$1:$C4340,2,0)</f>
        <v>#N/A</v>
      </c>
      <c r="H3941" s="6" t="str">
        <f>VLOOKUP(E3941,dicionario!$A$1:$C4340,3,0)</f>
        <v>#N/A</v>
      </c>
    </row>
    <row r="3942">
      <c r="A3942" s="3">
        <v>45645.0</v>
      </c>
      <c r="B3942" s="4">
        <v>0.2791666666666667</v>
      </c>
      <c r="C3942" s="5" t="s">
        <v>33</v>
      </c>
      <c r="D3942" s="5" t="s">
        <v>1004</v>
      </c>
      <c r="E3942" s="8" t="s">
        <v>701</v>
      </c>
      <c r="F3942" s="5" t="s">
        <v>586</v>
      </c>
      <c r="G3942" s="6" t="str">
        <f>VLOOKUP(E3942,dicionario!$A$1:$C4341,2,0)</f>
        <v>#N/A</v>
      </c>
      <c r="H3942" s="6" t="str">
        <f>VLOOKUP(E3942,dicionario!$A$1:$C4341,3,0)</f>
        <v>#N/A</v>
      </c>
    </row>
    <row r="3943">
      <c r="A3943" s="3">
        <v>45645.0</v>
      </c>
      <c r="B3943" s="4">
        <v>0.2791666666666667</v>
      </c>
      <c r="C3943" s="5" t="s">
        <v>33</v>
      </c>
      <c r="D3943" s="5" t="s">
        <v>1004</v>
      </c>
      <c r="E3943" s="8" t="s">
        <v>235</v>
      </c>
      <c r="F3943" s="5" t="s">
        <v>890</v>
      </c>
      <c r="G3943" s="6" t="str">
        <f>VLOOKUP(E3943,dicionario!$A$1:$C4342,2,0)</f>
        <v>Leucaena leucocephala</v>
      </c>
      <c r="H3943" s="6" t="str">
        <f>VLOOKUP(E3943,dicionario!$A$1:$C4342,3,0)</f>
        <v>leucena</v>
      </c>
    </row>
    <row r="3944">
      <c r="A3944" s="3">
        <v>45645.0</v>
      </c>
      <c r="B3944" s="4">
        <v>0.28125</v>
      </c>
      <c r="C3944" s="5" t="s">
        <v>33</v>
      </c>
      <c r="D3944" s="5" t="s">
        <v>1004</v>
      </c>
      <c r="E3944" s="6" t="s">
        <v>225</v>
      </c>
      <c r="F3944" s="5" t="s">
        <v>226</v>
      </c>
      <c r="G3944" s="6" t="str">
        <f>VLOOKUP(E3944,dicionario!$A$1:$C4343,2,0)</f>
        <v>Passer domesticus</v>
      </c>
      <c r="H3944" s="6" t="str">
        <f>VLOOKUP(E3944,dicionario!$A$1:$C4343,3,0)</f>
        <v>pardal</v>
      </c>
    </row>
    <row r="3945">
      <c r="A3945" s="3">
        <v>45645.0</v>
      </c>
      <c r="B3945" s="4">
        <v>0.28125</v>
      </c>
      <c r="C3945" s="5" t="s">
        <v>33</v>
      </c>
      <c r="D3945" s="5" t="s">
        <v>1004</v>
      </c>
      <c r="E3945" s="20" t="s">
        <v>676</v>
      </c>
      <c r="F3945" s="7" t="s">
        <v>677</v>
      </c>
      <c r="G3945" s="6" t="str">
        <f>VLOOKUP(E3945,dicionario!$A$1:$C4344,2,0)</f>
        <v>Zornia latifolia</v>
      </c>
      <c r="H3945" s="6" t="str">
        <f>VLOOKUP(E3945,dicionario!$A$1:$C4344,3,0)</f>
        <v>arrozinho-do-campo</v>
      </c>
    </row>
    <row r="3946">
      <c r="A3946" s="3">
        <v>45645.0</v>
      </c>
      <c r="B3946" s="4">
        <v>0.28125</v>
      </c>
      <c r="C3946" s="5" t="s">
        <v>33</v>
      </c>
      <c r="D3946" s="5" t="s">
        <v>1004</v>
      </c>
      <c r="E3946" s="6" t="s">
        <v>286</v>
      </c>
      <c r="F3946" s="5" t="s">
        <v>287</v>
      </c>
      <c r="G3946" s="6" t="str">
        <f>VLOOKUP(E3946,dicionario!$A$1:$C4345,2,0)</f>
        <v>Setaria parviflora</v>
      </c>
      <c r="H3946" s="6" t="str">
        <f>VLOOKUP(E3946,dicionario!$A$1:$C4345,3,0)</f>
        <v>capim-rabo-de-raposa</v>
      </c>
    </row>
    <row r="3947">
      <c r="A3947" s="3">
        <v>45645.0</v>
      </c>
      <c r="B3947" s="4">
        <v>0.28125</v>
      </c>
      <c r="C3947" s="5" t="s">
        <v>33</v>
      </c>
      <c r="D3947" s="5" t="s">
        <v>1004</v>
      </c>
      <c r="E3947" s="6" t="s">
        <v>177</v>
      </c>
      <c r="F3947" s="5" t="s">
        <v>178</v>
      </c>
      <c r="G3947" s="6" t="str">
        <f>VLOOKUP(E3947,dicionario!$A$1:$C4346,2,0)</f>
        <v>Elaenia flavogaster</v>
      </c>
      <c r="H3947" s="6" t="str">
        <f>VLOOKUP(E3947,dicionario!$A$1:$C4346,3,0)</f>
        <v>guaracava-de-barriga-amarela</v>
      </c>
    </row>
    <row r="3948">
      <c r="A3948" s="3">
        <v>45645.0</v>
      </c>
      <c r="B3948" s="4">
        <v>0.28194444444444444</v>
      </c>
      <c r="C3948" s="5" t="s">
        <v>33</v>
      </c>
      <c r="D3948" s="5" t="s">
        <v>1004</v>
      </c>
      <c r="E3948" s="6" t="s">
        <v>122</v>
      </c>
      <c r="F3948" s="7" t="s">
        <v>123</v>
      </c>
      <c r="G3948" s="6" t="str">
        <f>VLOOKUP(E3948,dicionario!$A$1:$C4347,2,0)</f>
        <v>Todirostrum cinereum</v>
      </c>
      <c r="H3948" s="6" t="str">
        <f>VLOOKUP(E3948,dicionario!$A$1:$C4347,3,0)</f>
        <v>ferreirinho-relógio</v>
      </c>
    </row>
    <row r="3949">
      <c r="A3949" s="3">
        <v>45645.0</v>
      </c>
      <c r="B3949" s="4">
        <v>0.28194444444444444</v>
      </c>
      <c r="C3949" s="5" t="s">
        <v>33</v>
      </c>
      <c r="D3949" s="5" t="s">
        <v>1004</v>
      </c>
      <c r="E3949" s="6" t="s">
        <v>65</v>
      </c>
      <c r="F3949" s="5" t="s">
        <v>66</v>
      </c>
      <c r="G3949" s="6" t="str">
        <f>VLOOKUP(E3949,dicionario!$A$1:$C4348,2,0)</f>
        <v>Pitangus sulphutarus</v>
      </c>
      <c r="H3949" s="6" t="str">
        <f>VLOOKUP(E3949,dicionario!$A$1:$C4348,3,0)</f>
        <v>bem-te-vi</v>
      </c>
    </row>
    <row r="3950">
      <c r="A3950" s="3">
        <v>45645.0</v>
      </c>
      <c r="B3950" s="4">
        <v>0.2826388888888889</v>
      </c>
      <c r="C3950" s="5" t="s">
        <v>33</v>
      </c>
      <c r="D3950" s="5" t="s">
        <v>1004</v>
      </c>
      <c r="E3950" s="6" t="s">
        <v>288</v>
      </c>
      <c r="F3950" s="5" t="s">
        <v>289</v>
      </c>
      <c r="G3950" s="6" t="str">
        <f>VLOOKUP(E3950,dicionario!$A$1:$C4349,2,0)</f>
        <v>Phyllanthus tenellus</v>
      </c>
      <c r="H3950" s="6" t="str">
        <f>VLOOKUP(E3950,dicionario!$A$1:$C4349,3,0)</f>
        <v>quebra-pedra</v>
      </c>
    </row>
    <row r="3951">
      <c r="A3951" s="3">
        <v>45645.0</v>
      </c>
      <c r="B3951" s="4">
        <v>0.2826388888888889</v>
      </c>
      <c r="C3951" s="5" t="s">
        <v>33</v>
      </c>
      <c r="D3951" s="5" t="s">
        <v>1004</v>
      </c>
      <c r="E3951" s="8" t="s">
        <v>46</v>
      </c>
      <c r="F3951" s="5" t="s">
        <v>47</v>
      </c>
      <c r="G3951" s="6" t="str">
        <f>VLOOKUP(E3951,dicionario!$A$1:$C4350,2,0)</f>
        <v>Chionomesa fimbriata</v>
      </c>
      <c r="H3951" s="6" t="str">
        <f>VLOOKUP(E3951,dicionario!$A$1:$C4350,3,0)</f>
        <v>beija-flor-de-garganta-verde</v>
      </c>
    </row>
    <row r="3952">
      <c r="A3952" s="3">
        <v>45645.0</v>
      </c>
      <c r="B3952" s="4">
        <v>0.2826388888888889</v>
      </c>
      <c r="C3952" s="5" t="s">
        <v>33</v>
      </c>
      <c r="D3952" s="5" t="s">
        <v>1004</v>
      </c>
      <c r="E3952" s="6" t="s">
        <v>401</v>
      </c>
      <c r="F3952" s="5" t="s">
        <v>464</v>
      </c>
      <c r="G3952" s="6" t="str">
        <f>VLOOKUP(E3952,dicionario!$A$1:$C4351,2,0)</f>
        <v>Cissus verticillata</v>
      </c>
      <c r="H3952" s="6" t="str">
        <f>VLOOKUP(E3952,dicionario!$A$1:$C4351,3,0)</f>
        <v>uva-do-mato</v>
      </c>
    </row>
    <row r="3953">
      <c r="A3953" s="3">
        <v>45645.0</v>
      </c>
      <c r="B3953" s="4">
        <v>0.28402777777777777</v>
      </c>
      <c r="C3953" s="5" t="s">
        <v>33</v>
      </c>
      <c r="D3953" s="5" t="s">
        <v>1004</v>
      </c>
      <c r="E3953" s="8" t="s">
        <v>38</v>
      </c>
      <c r="F3953" s="5" t="s">
        <v>39</v>
      </c>
      <c r="G3953" s="6" t="str">
        <f>VLOOKUP(E3953,dicionario!$A$1:$C4352,2,0)</f>
        <v>Troglodytes musculus</v>
      </c>
      <c r="H3953" s="6" t="str">
        <f>VLOOKUP(E3953,dicionario!$A$1:$C4352,3,0)</f>
        <v>curruíra</v>
      </c>
    </row>
    <row r="3954">
      <c r="A3954" s="3">
        <v>45645.0</v>
      </c>
      <c r="B3954" s="4">
        <v>0.28402777777777777</v>
      </c>
      <c r="C3954" s="5" t="s">
        <v>33</v>
      </c>
      <c r="D3954" s="5" t="s">
        <v>1004</v>
      </c>
      <c r="E3954" s="6" t="s">
        <v>193</v>
      </c>
      <c r="F3954" s="5" t="s">
        <v>194</v>
      </c>
      <c r="G3954" s="6" t="str">
        <f>VLOOKUP(E3954,dicionario!$A$1:$C4353,2,0)</f>
        <v>Conirostrum speciosum</v>
      </c>
      <c r="H3954" s="6" t="str">
        <f>VLOOKUP(E3954,dicionario!$A$1:$C4353,3,0)</f>
        <v>figuinha-de-rabo-castanho</v>
      </c>
    </row>
    <row r="3955">
      <c r="A3955" s="3">
        <v>45645.0</v>
      </c>
      <c r="B3955" s="4">
        <v>0.2847222222222222</v>
      </c>
      <c r="C3955" s="5" t="s">
        <v>33</v>
      </c>
      <c r="D3955" s="5" t="s">
        <v>1004</v>
      </c>
      <c r="E3955" s="6" t="s">
        <v>86</v>
      </c>
      <c r="F3955" s="5" t="s">
        <v>502</v>
      </c>
      <c r="G3955" s="6" t="str">
        <f>VLOOKUP(E3955,dicionario!$A$1:$C4354,2,0)</f>
        <v>Coereba flaveola</v>
      </c>
      <c r="H3955" s="6" t="str">
        <f>VLOOKUP(E3955,dicionario!$A$1:$C4354,3,0)</f>
        <v>cambacica</v>
      </c>
    </row>
    <row r="3956">
      <c r="A3956" s="3">
        <v>45645.0</v>
      </c>
      <c r="B3956" s="4">
        <v>0.2847222222222222</v>
      </c>
      <c r="C3956" s="5" t="s">
        <v>33</v>
      </c>
      <c r="D3956" s="5" t="s">
        <v>1004</v>
      </c>
      <c r="E3956" s="6" t="s">
        <v>53</v>
      </c>
      <c r="F3956" s="7" t="s">
        <v>54</v>
      </c>
      <c r="G3956" s="6" t="str">
        <f>VLOOKUP(E3956,dicionario!$A$1:$C4355,2,0)</f>
        <v>Turnera subulata</v>
      </c>
      <c r="H3956" s="6" t="str">
        <f>VLOOKUP(E3956,dicionario!$A$1:$C4355,3,0)</f>
        <v>xanana</v>
      </c>
    </row>
    <row r="3957">
      <c r="A3957" s="3">
        <v>45645.0</v>
      </c>
      <c r="B3957" s="4">
        <v>0.2847222222222222</v>
      </c>
      <c r="C3957" s="5" t="s">
        <v>33</v>
      </c>
      <c r="D3957" s="5" t="s">
        <v>1004</v>
      </c>
      <c r="E3957" s="6" t="s">
        <v>471</v>
      </c>
      <c r="F3957" s="5" t="s">
        <v>472</v>
      </c>
      <c r="G3957" s="6" t="str">
        <f>VLOOKUP(E3957,dicionario!$A$1:$C4356,2,0)</f>
        <v>Sida acuta</v>
      </c>
      <c r="H3957" s="6" t="str">
        <f>VLOOKUP(E3957,dicionario!$A$1:$C4356,3,0)</f>
        <v>reloginho</v>
      </c>
    </row>
    <row r="3958">
      <c r="A3958" s="3">
        <v>45645.0</v>
      </c>
      <c r="B3958" s="4">
        <v>0.28541666666666665</v>
      </c>
      <c r="C3958" s="5" t="s">
        <v>33</v>
      </c>
      <c r="D3958" s="5" t="s">
        <v>1004</v>
      </c>
      <c r="E3958" s="8" t="s">
        <v>688</v>
      </c>
      <c r="F3958" s="5" t="s">
        <v>121</v>
      </c>
      <c r="G3958" s="6" t="str">
        <f>VLOOKUP(E3958,dicionario!$A$1:$C4357,2,0)</f>
        <v>Fidicina</v>
      </c>
      <c r="H3958" s="6" t="str">
        <f>VLOOKUP(E3958,dicionario!$A$1:$C4357,3,0)</f>
        <v>cigarra</v>
      </c>
    </row>
    <row r="3959">
      <c r="A3959" s="3">
        <v>45645.0</v>
      </c>
      <c r="B3959" s="4">
        <v>0.28541666666666665</v>
      </c>
      <c r="C3959" s="5" t="s">
        <v>33</v>
      </c>
      <c r="D3959" s="5" t="s">
        <v>1004</v>
      </c>
      <c r="E3959" s="6" t="s">
        <v>154</v>
      </c>
      <c r="F3959" s="5" t="s">
        <v>155</v>
      </c>
      <c r="G3959" s="6" t="str">
        <f>VLOOKUP(E3959,dicionario!$A$1:$C4358,2,0)</f>
        <v>Cyperus rotundus</v>
      </c>
      <c r="H3959" s="6" t="str">
        <f>VLOOKUP(E3959,dicionario!$A$1:$C4358,3,0)</f>
        <v>tiririca</v>
      </c>
    </row>
    <row r="3960">
      <c r="A3960" s="3">
        <v>45645.0</v>
      </c>
      <c r="B3960" s="4">
        <v>0.28680555555555554</v>
      </c>
      <c r="C3960" s="5" t="s">
        <v>33</v>
      </c>
      <c r="D3960" s="5" t="s">
        <v>1004</v>
      </c>
      <c r="E3960" s="8" t="s">
        <v>223</v>
      </c>
      <c r="F3960" s="5" t="s">
        <v>224</v>
      </c>
      <c r="G3960" s="6" t="str">
        <f>VLOOKUP(E3960,dicionario!$A$1:$C4359,2,0)</f>
        <v>Rhipsalis lindbergiana</v>
      </c>
      <c r="H3960" s="6" t="str">
        <f>VLOOKUP(E3960,dicionario!$A$1:$C4359,3,0)</f>
        <v>cacto-macarrão</v>
      </c>
    </row>
    <row r="3961">
      <c r="A3961" s="3">
        <v>45645.0</v>
      </c>
      <c r="B3961" s="4">
        <v>0.28680555555555554</v>
      </c>
      <c r="C3961" s="5" t="s">
        <v>33</v>
      </c>
      <c r="D3961" s="5" t="s">
        <v>1004</v>
      </c>
      <c r="E3961" s="6" t="s">
        <v>271</v>
      </c>
      <c r="F3961" s="7" t="s">
        <v>272</v>
      </c>
      <c r="G3961" s="6" t="str">
        <f>VLOOKUP(E3961,dicionario!$A$1:$C4360,2,0)</f>
        <v>Cyanthillium cinereum</v>
      </c>
      <c r="H3961" s="6" t="str">
        <f>VLOOKUP(E3961,dicionario!$A$1:$C4360,3,0)</f>
        <v>emília</v>
      </c>
    </row>
    <row r="3962">
      <c r="A3962" s="3">
        <v>45645.0</v>
      </c>
      <c r="B3962" s="4">
        <v>0.28680555555555554</v>
      </c>
      <c r="C3962" s="5" t="s">
        <v>33</v>
      </c>
      <c r="D3962" s="5" t="s">
        <v>1004</v>
      </c>
      <c r="E3962" s="6" t="s">
        <v>113</v>
      </c>
      <c r="F3962" s="5" t="s">
        <v>114</v>
      </c>
      <c r="G3962" s="6" t="str">
        <f>VLOOKUP(E3962,dicionario!$A$1:$C4361,2,0)</f>
        <v>Columbina talpacoti</v>
      </c>
      <c r="H3962" s="6" t="str">
        <f>VLOOKUP(E3962,dicionario!$A$1:$C4361,3,0)</f>
        <v>rolinha-roxa</v>
      </c>
    </row>
    <row r="3963">
      <c r="A3963" s="3">
        <v>45645.0</v>
      </c>
      <c r="B3963" s="4">
        <v>0.28888888888888886</v>
      </c>
      <c r="C3963" s="5" t="s">
        <v>40</v>
      </c>
      <c r="D3963" s="5" t="s">
        <v>1004</v>
      </c>
      <c r="E3963" s="6" t="s">
        <v>53</v>
      </c>
      <c r="F3963" s="7" t="s">
        <v>54</v>
      </c>
      <c r="G3963" s="6" t="str">
        <f>VLOOKUP(E3963,dicionario!$A$1:$C4362,2,0)</f>
        <v>Turnera subulata</v>
      </c>
      <c r="H3963" s="6" t="str">
        <f>VLOOKUP(E3963,dicionario!$A$1:$C4362,3,0)</f>
        <v>xanana</v>
      </c>
    </row>
    <row r="3964">
      <c r="A3964" s="3">
        <v>45645.0</v>
      </c>
      <c r="B3964" s="4">
        <v>0.28888888888888886</v>
      </c>
      <c r="C3964" s="5" t="s">
        <v>40</v>
      </c>
      <c r="D3964" s="5" t="s">
        <v>1004</v>
      </c>
      <c r="E3964" s="6" t="s">
        <v>271</v>
      </c>
      <c r="F3964" s="7" t="s">
        <v>272</v>
      </c>
      <c r="G3964" s="6" t="str">
        <f>VLOOKUP(E3964,dicionario!$A$1:$C4363,2,0)</f>
        <v>Cyanthillium cinereum</v>
      </c>
      <c r="H3964" s="6" t="str">
        <f>VLOOKUP(E3964,dicionario!$A$1:$C4363,3,0)</f>
        <v>emília</v>
      </c>
    </row>
    <row r="3965">
      <c r="A3965" s="3">
        <v>45645.0</v>
      </c>
      <c r="B3965" s="4">
        <v>0.28888888888888886</v>
      </c>
      <c r="C3965" s="5" t="s">
        <v>40</v>
      </c>
      <c r="D3965" s="5" t="s">
        <v>1004</v>
      </c>
      <c r="E3965" s="6" t="s">
        <v>247</v>
      </c>
      <c r="F3965" s="5" t="s">
        <v>387</v>
      </c>
      <c r="G3965" s="6" t="str">
        <f>VLOOKUP(E3965,dicionario!$A$1:$C4364,2,0)</f>
        <v>Emilia sonchifolia</v>
      </c>
      <c r="H3965" s="6" t="str">
        <f>VLOOKUP(E3965,dicionario!$A$1:$C4364,3,0)</f>
        <v>serralinha</v>
      </c>
    </row>
    <row r="3966">
      <c r="A3966" s="3">
        <v>45645.0</v>
      </c>
      <c r="B3966" s="4">
        <v>0.28888888888888886</v>
      </c>
      <c r="C3966" s="5" t="s">
        <v>40</v>
      </c>
      <c r="D3966" s="5" t="s">
        <v>1004</v>
      </c>
      <c r="E3966" s="6" t="s">
        <v>296</v>
      </c>
      <c r="F3966" s="5" t="s">
        <v>297</v>
      </c>
      <c r="G3966" s="6" t="str">
        <f>VLOOKUP(E3966,dicionario!$A$1:$C4365,2,0)</f>
        <v>Richardia brasiliensis</v>
      </c>
      <c r="H3966" s="6" t="str">
        <f>VLOOKUP(E3966,dicionario!$A$1:$C4365,3,0)</f>
        <v>poaia-branca</v>
      </c>
    </row>
    <row r="3967">
      <c r="A3967" s="3">
        <v>45645.0</v>
      </c>
      <c r="B3967" s="4">
        <v>0.28888888888888886</v>
      </c>
      <c r="C3967" s="5" t="s">
        <v>40</v>
      </c>
      <c r="D3967" s="5" t="s">
        <v>1004</v>
      </c>
      <c r="E3967" s="6" t="s">
        <v>239</v>
      </c>
      <c r="F3967" s="5" t="s">
        <v>240</v>
      </c>
      <c r="G3967" s="6" t="str">
        <f>VLOOKUP(E3967,dicionario!$A$1:$C4366,2,0)</f>
        <v>Gomphrena celosioides</v>
      </c>
      <c r="H3967" s="6" t="str">
        <f>VLOOKUP(E3967,dicionario!$A$1:$C4366,3,0)</f>
        <v>perpétua-branca</v>
      </c>
    </row>
    <row r="3968">
      <c r="A3968" s="3">
        <v>45645.0</v>
      </c>
      <c r="B3968" s="4">
        <v>0.28888888888888886</v>
      </c>
      <c r="C3968" s="5" t="s">
        <v>40</v>
      </c>
      <c r="D3968" s="5" t="s">
        <v>1004</v>
      </c>
      <c r="E3968" s="6" t="s">
        <v>286</v>
      </c>
      <c r="F3968" s="5" t="s">
        <v>287</v>
      </c>
      <c r="G3968" s="6" t="str">
        <f>VLOOKUP(E3968,dicionario!$A$1:$C4367,2,0)</f>
        <v>Setaria parviflora</v>
      </c>
      <c r="H3968" s="6" t="str">
        <f>VLOOKUP(E3968,dicionario!$A$1:$C4367,3,0)</f>
        <v>capim-rabo-de-raposa</v>
      </c>
    </row>
    <row r="3969">
      <c r="A3969" s="3">
        <v>45645.0</v>
      </c>
      <c r="B3969" s="4">
        <v>0.28888888888888886</v>
      </c>
      <c r="C3969" s="5" t="s">
        <v>40</v>
      </c>
      <c r="D3969" s="5" t="s">
        <v>1004</v>
      </c>
      <c r="E3969" s="6" t="s">
        <v>498</v>
      </c>
      <c r="F3969" s="5" t="s">
        <v>499</v>
      </c>
      <c r="G3969" s="6" t="str">
        <f>VLOOKUP(E3969,dicionario!$A$1:$C4368,2,0)</f>
        <v>Brachiaria decumbens</v>
      </c>
      <c r="H3969" s="6" t="str">
        <f>VLOOKUP(E3969,dicionario!$A$1:$C4368,3,0)</f>
        <v>capim-braquiária</v>
      </c>
    </row>
    <row r="3970">
      <c r="A3970" s="3">
        <v>45645.0</v>
      </c>
      <c r="B3970" s="4">
        <v>0.28888888888888886</v>
      </c>
      <c r="C3970" s="5" t="s">
        <v>40</v>
      </c>
      <c r="D3970" s="5" t="s">
        <v>1004</v>
      </c>
      <c r="E3970" s="8" t="s">
        <v>489</v>
      </c>
      <c r="F3970" s="5" t="s">
        <v>521</v>
      </c>
      <c r="G3970" s="6" t="str">
        <f>VLOOKUP(E3970,dicionario!$A$1:$C4369,2,0)</f>
        <v>Cenchrus echinatus</v>
      </c>
      <c r="H3970" s="6" t="str">
        <f>VLOOKUP(E3970,dicionario!$A$1:$C4369,3,0)</f>
        <v>capim-carrapicho</v>
      </c>
    </row>
    <row r="3971">
      <c r="A3971" s="3">
        <v>45645.0</v>
      </c>
      <c r="B3971" s="4">
        <v>0.28888888888888886</v>
      </c>
      <c r="C3971" s="5" t="s">
        <v>40</v>
      </c>
      <c r="D3971" s="5" t="s">
        <v>1004</v>
      </c>
      <c r="E3971" s="6" t="s">
        <v>613</v>
      </c>
      <c r="F3971" s="5" t="s">
        <v>614</v>
      </c>
      <c r="G3971" s="6" t="str">
        <f>VLOOKUP(E3971,dicionario!$A$1:$C4370,2,0)</f>
        <v>Euphorbia hyssopifolia</v>
      </c>
      <c r="H3971" s="6" t="str">
        <f>VLOOKUP(E3971,dicionario!$A$1:$C4370,3,0)</f>
        <v>maria-leite</v>
      </c>
    </row>
    <row r="3972">
      <c r="A3972" s="3">
        <v>45645.0</v>
      </c>
      <c r="B3972" s="4">
        <v>0.28888888888888886</v>
      </c>
      <c r="C3972" s="5" t="s">
        <v>40</v>
      </c>
      <c r="D3972" s="5" t="s">
        <v>1004</v>
      </c>
      <c r="E3972" s="6" t="s">
        <v>355</v>
      </c>
      <c r="F3972" s="5" t="s">
        <v>356</v>
      </c>
      <c r="G3972" s="6" t="str">
        <f>VLOOKUP(E3972,dicionario!$A$1:$C4371,2,0)</f>
        <v>Boerhavia diffusa</v>
      </c>
      <c r="H3972" s="6" t="str">
        <f>VLOOKUP(E3972,dicionario!$A$1:$C4371,3,0)</f>
        <v>erva-tostão</v>
      </c>
    </row>
    <row r="3973">
      <c r="A3973" s="3">
        <v>45645.0</v>
      </c>
      <c r="B3973" s="4">
        <v>0.28958333333333336</v>
      </c>
      <c r="C3973" s="5" t="s">
        <v>40</v>
      </c>
      <c r="D3973" s="5" t="s">
        <v>1004</v>
      </c>
      <c r="E3973" s="6" t="s">
        <v>146</v>
      </c>
      <c r="F3973" s="5" t="s">
        <v>147</v>
      </c>
      <c r="G3973" s="6" t="str">
        <f>VLOOKUP(E3973,dicionario!$A$1:$C4372,2,0)</f>
        <v>Euphorbia hirta</v>
      </c>
      <c r="H3973" s="6" t="str">
        <f>VLOOKUP(E3973,dicionario!$A$1:$C4372,3,0)</f>
        <v>erva-de-santa-luzia</v>
      </c>
    </row>
    <row r="3974">
      <c r="A3974" s="3">
        <v>45645.0</v>
      </c>
      <c r="B3974" s="4">
        <v>0.28958333333333336</v>
      </c>
      <c r="C3974" s="5" t="s">
        <v>40</v>
      </c>
      <c r="D3974" s="5" t="s">
        <v>1004</v>
      </c>
      <c r="E3974" s="6" t="s">
        <v>227</v>
      </c>
      <c r="F3974" s="5" t="s">
        <v>228</v>
      </c>
      <c r="G3974" s="6" t="str">
        <f>VLOOKUP(E3974,dicionario!$A$1:$C4373,2,0)</f>
        <v>Indigofera hirsuta</v>
      </c>
      <c r="H3974" s="6" t="str">
        <f>VLOOKUP(E3974,dicionario!$A$1:$C4373,3,0)</f>
        <v>anileira</v>
      </c>
    </row>
    <row r="3975">
      <c r="A3975" s="3">
        <v>45645.0</v>
      </c>
      <c r="B3975" s="4">
        <v>0.28958333333333336</v>
      </c>
      <c r="C3975" s="5" t="s">
        <v>40</v>
      </c>
      <c r="D3975" s="5" t="s">
        <v>1004</v>
      </c>
      <c r="E3975" s="8" t="s">
        <v>143</v>
      </c>
      <c r="F3975" s="5" t="s">
        <v>63</v>
      </c>
      <c r="G3975" s="6" t="str">
        <f>VLOOKUP(E3975,dicionario!$A$1:$C4374,2,0)</f>
        <v>Polybia</v>
      </c>
      <c r="H3975" s="6" t="str">
        <f>VLOOKUP(E3975,dicionario!$A$1:$C4374,3,0)</f>
        <v>vespa</v>
      </c>
    </row>
    <row r="3976">
      <c r="A3976" s="3">
        <v>45645.0</v>
      </c>
      <c r="B3976" s="4">
        <v>0.28958333333333336</v>
      </c>
      <c r="C3976" s="5" t="s">
        <v>40</v>
      </c>
      <c r="D3976" s="5" t="s">
        <v>1004</v>
      </c>
      <c r="E3976" s="6" t="s">
        <v>135</v>
      </c>
      <c r="F3976" s="5" t="s">
        <v>136</v>
      </c>
      <c r="G3976" s="6" t="str">
        <f>VLOOKUP(E3976,dicionario!$A$1:$C4375,2,0)</f>
        <v>Tridax procumbens</v>
      </c>
      <c r="H3976" s="6" t="str">
        <f>VLOOKUP(E3976,dicionario!$A$1:$C4375,3,0)</f>
        <v>erva-de-touro</v>
      </c>
    </row>
    <row r="3977">
      <c r="A3977" s="3">
        <v>45645.0</v>
      </c>
      <c r="B3977" s="4">
        <v>0.28958333333333336</v>
      </c>
      <c r="C3977" s="5" t="s">
        <v>40</v>
      </c>
      <c r="D3977" s="5" t="s">
        <v>1004</v>
      </c>
      <c r="E3977" s="6" t="s">
        <v>111</v>
      </c>
      <c r="F3977" s="7" t="s">
        <v>112</v>
      </c>
      <c r="G3977" s="6" t="str">
        <f>VLOOKUP(E3977,dicionario!$A$1:$C4376,2,0)</f>
        <v>Trigona spinipes</v>
      </c>
      <c r="H3977" s="6" t="str">
        <f>VLOOKUP(E3977,dicionario!$A$1:$C4376,3,0)</f>
        <v>abelha-cachorro</v>
      </c>
    </row>
    <row r="3978">
      <c r="A3978" s="3">
        <v>45645.0</v>
      </c>
      <c r="B3978" s="4">
        <v>0.2902777777777778</v>
      </c>
      <c r="C3978" s="5" t="s">
        <v>40</v>
      </c>
      <c r="D3978" s="5" t="s">
        <v>1004</v>
      </c>
      <c r="E3978" s="6" t="s">
        <v>150</v>
      </c>
      <c r="F3978" s="5" t="s">
        <v>151</v>
      </c>
      <c r="G3978" s="6" t="str">
        <f>VLOOKUP(E3978,dicionario!$A$1:$C4377,2,0)</f>
        <v>Amaranthus viridis</v>
      </c>
      <c r="H3978" s="6" t="str">
        <f>VLOOKUP(E3978,dicionario!$A$1:$C4377,3,0)</f>
        <v>caruru-de-mancha</v>
      </c>
    </row>
    <row r="3979">
      <c r="A3979" s="3">
        <v>45645.0</v>
      </c>
      <c r="B3979" s="4">
        <v>0.2902777777777778</v>
      </c>
      <c r="C3979" s="5" t="s">
        <v>40</v>
      </c>
      <c r="D3979" s="5" t="s">
        <v>1004</v>
      </c>
      <c r="E3979" s="8" t="s">
        <v>262</v>
      </c>
      <c r="F3979" s="7" t="s">
        <v>263</v>
      </c>
      <c r="G3979" s="6" t="str">
        <f>VLOOKUP(E3979,dicionario!$A$1:$C4378,2,0)</f>
        <v>Portulaca oleracea</v>
      </c>
      <c r="H3979" s="6" t="str">
        <f>VLOOKUP(E3979,dicionario!$A$1:$C4378,3,0)</f>
        <v>beldroega</v>
      </c>
    </row>
    <row r="3980">
      <c r="A3980" s="3">
        <v>45645.0</v>
      </c>
      <c r="B3980" s="4">
        <v>0.2902777777777778</v>
      </c>
      <c r="C3980" s="5" t="s">
        <v>40</v>
      </c>
      <c r="D3980" s="5" t="s">
        <v>1004</v>
      </c>
      <c r="E3980" s="20" t="s">
        <v>676</v>
      </c>
      <c r="F3980" s="7" t="s">
        <v>677</v>
      </c>
      <c r="G3980" s="6" t="str">
        <f>VLOOKUP(E3980,dicionario!$A$1:$C4379,2,0)</f>
        <v>Zornia latifolia</v>
      </c>
      <c r="H3980" s="6" t="str">
        <f>VLOOKUP(E3980,dicionario!$A$1:$C4379,3,0)</f>
        <v>arrozinho-do-campo</v>
      </c>
    </row>
    <row r="3981">
      <c r="A3981" s="3">
        <v>45645.0</v>
      </c>
      <c r="B3981" s="4">
        <v>0.2902777777777778</v>
      </c>
      <c r="C3981" s="5" t="s">
        <v>40</v>
      </c>
      <c r="D3981" s="5" t="s">
        <v>1004</v>
      </c>
      <c r="E3981" s="30" t="s">
        <v>979</v>
      </c>
      <c r="F3981" s="31"/>
      <c r="G3981" s="6" t="str">
        <f>VLOOKUP(E3981,dicionario!$A$1:$C4380,2,0)</f>
        <v>#N/A</v>
      </c>
      <c r="H3981" s="6" t="str">
        <f>VLOOKUP(E3981,dicionario!$A$1:$C4380,3,0)</f>
        <v>#N/A</v>
      </c>
    </row>
    <row r="3982">
      <c r="A3982" s="3">
        <v>45645.0</v>
      </c>
      <c r="B3982" s="4">
        <v>0.29097222222222224</v>
      </c>
      <c r="C3982" s="5" t="s">
        <v>40</v>
      </c>
      <c r="D3982" s="5" t="s">
        <v>1004</v>
      </c>
      <c r="E3982" s="8" t="s">
        <v>1008</v>
      </c>
      <c r="F3982" s="5" t="s">
        <v>1013</v>
      </c>
      <c r="G3982" s="6" t="str">
        <f>VLOOKUP(E3982,dicionario!$A$1:$C4381,2,0)</f>
        <v>Syntermes molestus</v>
      </c>
      <c r="H3982" s="6" t="str">
        <f>VLOOKUP(E3982,dicionario!$A$1:$C4381,3,0)</f>
        <v>cupim-bate-cabeça</v>
      </c>
    </row>
    <row r="3983">
      <c r="A3983" s="3">
        <v>45645.0</v>
      </c>
      <c r="B3983" s="4">
        <v>0.29097222222222224</v>
      </c>
      <c r="C3983" s="5" t="s">
        <v>40</v>
      </c>
      <c r="D3983" s="5" t="s">
        <v>1004</v>
      </c>
      <c r="E3983" s="8" t="s">
        <v>105</v>
      </c>
      <c r="F3983" s="5" t="s">
        <v>106</v>
      </c>
      <c r="G3983" s="6" t="str">
        <f>VLOOKUP(E3983,dicionario!$A$1:$C4382,2,0)</f>
        <v>Progne tapera</v>
      </c>
      <c r="H3983" s="6" t="str">
        <f>VLOOKUP(E3983,dicionario!$A$1:$C4382,3,0)</f>
        <v>andorinha-do-campo</v>
      </c>
    </row>
    <row r="3984">
      <c r="A3984" s="3">
        <v>45645.0</v>
      </c>
      <c r="B3984" s="4">
        <v>0.29097222222222224</v>
      </c>
      <c r="C3984" s="5" t="s">
        <v>40</v>
      </c>
      <c r="D3984" s="5" t="s">
        <v>1004</v>
      </c>
      <c r="E3984" s="6" t="s">
        <v>215</v>
      </c>
      <c r="F3984" s="7" t="s">
        <v>216</v>
      </c>
      <c r="G3984" s="6" t="str">
        <f>VLOOKUP(E3984,dicionario!$A$1:$C4383,2,0)</f>
        <v>Pygochelidon cyanoleuca</v>
      </c>
      <c r="H3984" s="6" t="str">
        <f>VLOOKUP(E3984,dicionario!$A$1:$C4383,3,0)</f>
        <v>andorinha-pequena-de-casa</v>
      </c>
    </row>
    <row r="3985">
      <c r="A3985" s="3">
        <v>45645.0</v>
      </c>
      <c r="B3985" s="4">
        <v>0.29097222222222224</v>
      </c>
      <c r="C3985" s="5" t="s">
        <v>40</v>
      </c>
      <c r="D3985" s="5" t="s">
        <v>1004</v>
      </c>
      <c r="E3985" s="6" t="s">
        <v>381</v>
      </c>
      <c r="F3985" s="5" t="s">
        <v>382</v>
      </c>
      <c r="G3985" s="6" t="str">
        <f>VLOOKUP(E3985,dicionario!$A$1:$C4384,2,0)</f>
        <v>Pseudomyrmex</v>
      </c>
      <c r="H3985" s="6" t="str">
        <f>VLOOKUP(E3985,dicionario!$A$1:$C4384,3,0)</f>
        <v>maria-magra</v>
      </c>
    </row>
    <row r="3986">
      <c r="A3986" s="3">
        <v>45645.0</v>
      </c>
      <c r="B3986" s="4">
        <v>0.29097222222222224</v>
      </c>
      <c r="C3986" s="5" t="s">
        <v>40</v>
      </c>
      <c r="D3986" s="5" t="s">
        <v>1004</v>
      </c>
      <c r="E3986" s="6" t="s">
        <v>14</v>
      </c>
      <c r="F3986" s="5" t="s">
        <v>15</v>
      </c>
      <c r="G3986" s="6" t="str">
        <f>VLOOKUP(E3986,dicionario!$A$1:$C4385,2,0)</f>
        <v>Spermacoce verticillata</v>
      </c>
      <c r="H3986" s="6" t="str">
        <f>VLOOKUP(E3986,dicionario!$A$1:$C4385,3,0)</f>
        <v>vassourinha-de-botão</v>
      </c>
    </row>
    <row r="3987">
      <c r="A3987" s="3">
        <v>45645.0</v>
      </c>
      <c r="B3987" s="4">
        <v>0.2916666666666667</v>
      </c>
      <c r="C3987" s="5" t="s">
        <v>40</v>
      </c>
      <c r="D3987" s="5" t="s">
        <v>1004</v>
      </c>
      <c r="E3987" s="6" t="s">
        <v>324</v>
      </c>
      <c r="F3987" s="5" t="s">
        <v>325</v>
      </c>
      <c r="G3987" s="6" t="str">
        <f>VLOOKUP(E3987,dicionario!$A$1:$C4386,2,0)</f>
        <v>#N/A</v>
      </c>
      <c r="H3987" s="6" t="str">
        <f>VLOOKUP(E3987,dicionario!$A$1:$C4386,3,0)</f>
        <v>#N/A</v>
      </c>
    </row>
    <row r="3988">
      <c r="A3988" s="3">
        <v>45645.0</v>
      </c>
      <c r="B3988" s="4">
        <v>0.2916666666666667</v>
      </c>
      <c r="C3988" s="5" t="s">
        <v>40</v>
      </c>
      <c r="D3988" s="5" t="s">
        <v>1004</v>
      </c>
      <c r="E3988" s="8" t="s">
        <v>41</v>
      </c>
      <c r="F3988" s="5" t="s">
        <v>45</v>
      </c>
      <c r="G3988" s="6" t="str">
        <f>VLOOKUP(E3988,dicionario!$A$1:$C4387,2,0)</f>
        <v>Mimosa pudica</v>
      </c>
      <c r="H3988" s="6" t="str">
        <f>VLOOKUP(E3988,dicionario!$A$1:$C4387,3,0)</f>
        <v>dormideira</v>
      </c>
    </row>
    <row r="3989">
      <c r="A3989" s="3">
        <v>45645.0</v>
      </c>
      <c r="B3989" s="4">
        <v>0.2916666666666667</v>
      </c>
      <c r="C3989" s="5" t="s">
        <v>40</v>
      </c>
      <c r="D3989" s="5" t="s">
        <v>1004</v>
      </c>
      <c r="E3989" s="6" t="s">
        <v>229</v>
      </c>
      <c r="F3989" s="5" t="s">
        <v>230</v>
      </c>
      <c r="G3989" s="6" t="str">
        <f>VLOOKUP(E3989,dicionario!$A$1:$C4388,2,0)</f>
        <v>Apis mellifera</v>
      </c>
      <c r="H3989" s="6" t="str">
        <f>VLOOKUP(E3989,dicionario!$A$1:$C4388,3,0)</f>
        <v>abelha-do-mel</v>
      </c>
    </row>
    <row r="3990">
      <c r="A3990" s="3">
        <v>45645.0</v>
      </c>
      <c r="B3990" s="4">
        <v>0.2923611111111111</v>
      </c>
      <c r="C3990" s="5" t="s">
        <v>40</v>
      </c>
      <c r="D3990" s="5" t="s">
        <v>1004</v>
      </c>
      <c r="E3990" s="6" t="s">
        <v>113</v>
      </c>
      <c r="F3990" s="5" t="s">
        <v>820</v>
      </c>
      <c r="G3990" s="6" t="str">
        <f>VLOOKUP(E3990,dicionario!$A$1:$C4389,2,0)</f>
        <v>Columbina talpacoti</v>
      </c>
      <c r="H3990" s="6" t="str">
        <f>VLOOKUP(E3990,dicionario!$A$1:$C4389,3,0)</f>
        <v>rolinha-roxa</v>
      </c>
    </row>
    <row r="3991">
      <c r="A3991" s="3">
        <v>45645.0</v>
      </c>
      <c r="B3991" s="4">
        <v>0.2923611111111111</v>
      </c>
      <c r="C3991" s="5" t="s">
        <v>40</v>
      </c>
      <c r="D3991" s="5" t="s">
        <v>1004</v>
      </c>
      <c r="E3991" s="8" t="s">
        <v>46</v>
      </c>
      <c r="F3991" s="5" t="s">
        <v>47</v>
      </c>
      <c r="G3991" s="6" t="str">
        <f>VLOOKUP(E3991,dicionario!$A$1:$C4390,2,0)</f>
        <v>Chionomesa fimbriata</v>
      </c>
      <c r="H3991" s="6" t="str">
        <f>VLOOKUP(E3991,dicionario!$A$1:$C4390,3,0)</f>
        <v>beija-flor-de-garganta-verde</v>
      </c>
    </row>
    <row r="3992">
      <c r="A3992" s="3">
        <v>45645.0</v>
      </c>
      <c r="B3992" s="4">
        <v>0.2923611111111111</v>
      </c>
      <c r="C3992" s="5" t="s">
        <v>40</v>
      </c>
      <c r="D3992" s="5" t="s">
        <v>1004</v>
      </c>
      <c r="E3992" s="8" t="s">
        <v>504</v>
      </c>
      <c r="F3992" s="5" t="s">
        <v>534</v>
      </c>
      <c r="G3992" s="6" t="str">
        <f>VLOOKUP(E3992,dicionario!$A$1:$C4391,2,0)</f>
        <v>Cleome aculeata</v>
      </c>
      <c r="H3992" s="6" t="str">
        <f>VLOOKUP(E3992,dicionario!$A$1:$C4391,3,0)</f>
        <v>cleome</v>
      </c>
    </row>
    <row r="3993">
      <c r="A3993" s="3">
        <v>45645.0</v>
      </c>
      <c r="B3993" s="4">
        <v>0.29305555555555557</v>
      </c>
      <c r="C3993" s="5" t="s">
        <v>40</v>
      </c>
      <c r="D3993" s="5" t="s">
        <v>1004</v>
      </c>
      <c r="E3993" s="8" t="s">
        <v>262</v>
      </c>
      <c r="F3993" s="7" t="s">
        <v>263</v>
      </c>
      <c r="G3993" s="6" t="str">
        <f>VLOOKUP(E3993,dicionario!$A$1:$C4392,2,0)</f>
        <v>Portulaca oleracea</v>
      </c>
      <c r="H3993" s="6" t="str">
        <f>VLOOKUP(E3993,dicionario!$A$1:$C4392,3,0)</f>
        <v>beldroega</v>
      </c>
    </row>
    <row r="3994">
      <c r="A3994" s="3">
        <v>45645.0</v>
      </c>
      <c r="B3994" s="4">
        <v>0.29305555555555557</v>
      </c>
      <c r="C3994" s="5" t="s">
        <v>40</v>
      </c>
      <c r="D3994" s="5" t="s">
        <v>1004</v>
      </c>
      <c r="E3994" s="6" t="s">
        <v>200</v>
      </c>
      <c r="F3994" s="5" t="s">
        <v>201</v>
      </c>
      <c r="G3994" s="6" t="str">
        <f>VLOOKUP(E3994,dicionario!$A$1:$C4393,2,0)</f>
        <v>Columbina picui </v>
      </c>
      <c r="H3994" s="6" t="str">
        <f>VLOOKUP(E3994,dicionario!$A$1:$C4393,3,0)</f>
        <v>rolinha-picuí</v>
      </c>
    </row>
    <row r="3995">
      <c r="A3995" s="3">
        <v>45645.0</v>
      </c>
      <c r="B3995" s="4">
        <v>0.29305555555555557</v>
      </c>
      <c r="C3995" s="5" t="s">
        <v>40</v>
      </c>
      <c r="D3995" s="5" t="s">
        <v>1004</v>
      </c>
      <c r="E3995" s="8" t="s">
        <v>792</v>
      </c>
      <c r="F3995" s="5" t="s">
        <v>1014</v>
      </c>
      <c r="G3995" s="6" t="str">
        <f>VLOOKUP(E3995,dicionario!$A$1:$C4394,2,0)</f>
        <v>Musca domestica</v>
      </c>
      <c r="H3995" s="6" t="str">
        <f>VLOOKUP(E3995,dicionario!$A$1:$C4394,3,0)</f>
        <v>mosca-doméstica</v>
      </c>
    </row>
    <row r="3996">
      <c r="A3996" s="3">
        <v>45645.0</v>
      </c>
      <c r="B3996" s="4">
        <v>0.29375</v>
      </c>
      <c r="C3996" s="5" t="s">
        <v>40</v>
      </c>
      <c r="D3996" s="5" t="s">
        <v>1004</v>
      </c>
      <c r="E3996" s="8" t="s">
        <v>517</v>
      </c>
      <c r="F3996" s="7" t="s">
        <v>518</v>
      </c>
      <c r="G3996" s="6" t="str">
        <f>VLOOKUP(E3996,dicionario!$A$1:$C4395,2,0)</f>
        <v>Evolvulus nummularius</v>
      </c>
      <c r="H3996" s="6" t="str">
        <f>VLOOKUP(E3996,dicionario!$A$1:$C4395,3,0)</f>
        <v/>
      </c>
    </row>
    <row r="3997">
      <c r="A3997" s="3">
        <v>45645.0</v>
      </c>
      <c r="B3997" s="4">
        <v>0.29375</v>
      </c>
      <c r="C3997" s="5" t="s">
        <v>40</v>
      </c>
      <c r="D3997" s="5" t="s">
        <v>1004</v>
      </c>
      <c r="E3997" s="6" t="s">
        <v>191</v>
      </c>
      <c r="F3997" s="5" t="s">
        <v>192</v>
      </c>
      <c r="G3997" s="6" t="str">
        <f>VLOOKUP(E3997,dicionario!$A$1:$C4396,2,0)</f>
        <v>Patagioenas picazuro</v>
      </c>
      <c r="H3997" s="6" t="str">
        <f>VLOOKUP(E3997,dicionario!$A$1:$C4396,3,0)</f>
        <v>asa-branca; pomba-asa-branca; pocaçu</v>
      </c>
    </row>
    <row r="3998">
      <c r="A3998" s="3">
        <v>45645.0</v>
      </c>
      <c r="B3998" s="4">
        <v>0.29375</v>
      </c>
      <c r="C3998" s="5" t="s">
        <v>40</v>
      </c>
      <c r="D3998" s="5" t="s">
        <v>1004</v>
      </c>
      <c r="E3998" s="6" t="s">
        <v>271</v>
      </c>
      <c r="F3998" s="7" t="s">
        <v>272</v>
      </c>
      <c r="G3998" s="6" t="str">
        <f>VLOOKUP(E3998,dicionario!$A$1:$C4397,2,0)</f>
        <v>Cyanthillium cinereum</v>
      </c>
      <c r="H3998" s="6" t="str">
        <f>VLOOKUP(E3998,dicionario!$A$1:$C4397,3,0)</f>
        <v>emília</v>
      </c>
    </row>
    <row r="3999">
      <c r="A3999" s="3">
        <v>45645.0</v>
      </c>
      <c r="B3999" s="4">
        <v>0.29375</v>
      </c>
      <c r="C3999" s="5" t="s">
        <v>40</v>
      </c>
      <c r="D3999" s="5" t="s">
        <v>1004</v>
      </c>
      <c r="E3999" s="54" t="s">
        <v>566</v>
      </c>
      <c r="F3999" s="5" t="s">
        <v>567</v>
      </c>
      <c r="G3999" s="6" t="str">
        <f>VLOOKUP(E3999,dicionario!$A$1:$C4398,2,0)</f>
        <v>Baccharis dracunculifolia</v>
      </c>
      <c r="H3999" s="6" t="str">
        <f>VLOOKUP(E3999,dicionario!$A$1:$C4398,3,0)</f>
        <v>vassoura</v>
      </c>
    </row>
    <row r="4000">
      <c r="A4000" s="3">
        <v>45645.0</v>
      </c>
      <c r="B4000" s="4">
        <v>0.29444444444444445</v>
      </c>
      <c r="C4000" s="5" t="s">
        <v>40</v>
      </c>
      <c r="D4000" s="5" t="s">
        <v>1004</v>
      </c>
      <c r="E4000" s="6" t="s">
        <v>65</v>
      </c>
      <c r="F4000" s="5" t="s">
        <v>66</v>
      </c>
      <c r="G4000" s="6" t="str">
        <f>VLOOKUP(E4000,dicionario!$A$1:$C4399,2,0)</f>
        <v>Pitangus sulphutarus</v>
      </c>
      <c r="H4000" s="6" t="str">
        <f>VLOOKUP(E4000,dicionario!$A$1:$C4399,3,0)</f>
        <v>bem-te-vi</v>
      </c>
    </row>
    <row r="4001">
      <c r="A4001" s="3">
        <v>45645.0</v>
      </c>
      <c r="B4001" s="4">
        <v>0.29444444444444445</v>
      </c>
      <c r="C4001" s="5" t="s">
        <v>40</v>
      </c>
      <c r="D4001" s="5" t="s">
        <v>1004</v>
      </c>
      <c r="E4001" s="6" t="s">
        <v>425</v>
      </c>
      <c r="F4001" s="5" t="s">
        <v>426</v>
      </c>
      <c r="G4001" s="6" t="str">
        <f>VLOOKUP(E4001,dicionario!$A$1:$C4400,2,0)</f>
        <v>Digitaria insularis</v>
      </c>
      <c r="H4001" s="6" t="str">
        <f>VLOOKUP(E4001,dicionario!$A$1:$C4400,3,0)</f>
        <v>capim-amargoso</v>
      </c>
    </row>
    <row r="4002">
      <c r="A4002" s="3">
        <v>45645.0</v>
      </c>
      <c r="B4002" s="4">
        <v>0.29444444444444445</v>
      </c>
      <c r="C4002" s="5" t="s">
        <v>40</v>
      </c>
      <c r="D4002" s="5" t="s">
        <v>1004</v>
      </c>
      <c r="E4002" s="6" t="s">
        <v>467</v>
      </c>
      <c r="F4002" s="5" t="s">
        <v>468</v>
      </c>
      <c r="G4002" s="6" t="str">
        <f>VLOOKUP(E4002,dicionario!$A$1:$C4401,2,0)</f>
        <v>Eleusine indica</v>
      </c>
      <c r="H4002" s="6" t="str">
        <f>VLOOKUP(E4002,dicionario!$A$1:$C4401,3,0)</f>
        <v>capim-pé-de-galinha</v>
      </c>
    </row>
    <row r="4003">
      <c r="A4003" s="3">
        <v>45645.0</v>
      </c>
      <c r="B4003" s="4">
        <v>0.29444444444444445</v>
      </c>
      <c r="C4003" s="5" t="s">
        <v>40</v>
      </c>
      <c r="D4003" s="5" t="s">
        <v>1004</v>
      </c>
      <c r="E4003" s="6" t="s">
        <v>69</v>
      </c>
      <c r="F4003" s="7" t="s">
        <v>71</v>
      </c>
      <c r="G4003" s="6" t="str">
        <f>VLOOKUP(E4003,dicionario!$A$1:$C4402,2,0)</f>
        <v>Talinum fruticosum</v>
      </c>
      <c r="H4003" s="6" t="str">
        <f>VLOOKUP(E4003,dicionario!$A$1:$C4402,3,0)</f>
        <v>beldroega-grande</v>
      </c>
    </row>
    <row r="4004">
      <c r="A4004" s="3">
        <v>45645.0</v>
      </c>
      <c r="B4004" s="4">
        <v>0.29444444444444445</v>
      </c>
      <c r="C4004" s="5" t="s">
        <v>40</v>
      </c>
      <c r="D4004" s="5" t="s">
        <v>1004</v>
      </c>
      <c r="E4004" s="20" t="s">
        <v>631</v>
      </c>
      <c r="F4004" s="5" t="s">
        <v>632</v>
      </c>
      <c r="G4004" s="6" t="str">
        <f>VLOOKUP(E4004,dicionario!$A$1:$C4403,2,0)</f>
        <v>Chamaecrista nictitans</v>
      </c>
      <c r="H4004" s="6" t="str">
        <f>VLOOKUP(E4004,dicionario!$A$1:$C4403,3,0)</f>
        <v>falsa-dormideira</v>
      </c>
    </row>
    <row r="4005">
      <c r="A4005" s="3">
        <v>45645.0</v>
      </c>
      <c r="B4005" s="4">
        <v>0.29444444444444445</v>
      </c>
      <c r="C4005" s="5" t="s">
        <v>40</v>
      </c>
      <c r="D4005" s="5" t="s">
        <v>1004</v>
      </c>
      <c r="E4005" s="8" t="s">
        <v>886</v>
      </c>
      <c r="F4005" s="5" t="s">
        <v>887</v>
      </c>
      <c r="G4005" s="6" t="str">
        <f>VLOOKUP(E4005,dicionario!$A$1:$C4404,2,0)</f>
        <v>Oldenlandia corymbosa</v>
      </c>
      <c r="H4005" s="6" t="str">
        <f>VLOOKUP(E4005,dicionario!$A$1:$C4404,3,0)</f>
        <v>erva-diamante</v>
      </c>
    </row>
    <row r="4006">
      <c r="A4006" s="3">
        <v>45645.0</v>
      </c>
      <c r="B4006" s="4">
        <v>0.2951388888888889</v>
      </c>
      <c r="C4006" s="5" t="s">
        <v>40</v>
      </c>
      <c r="D4006" s="5" t="s">
        <v>1004</v>
      </c>
      <c r="E4006" s="6" t="s">
        <v>288</v>
      </c>
      <c r="F4006" s="5" t="s">
        <v>289</v>
      </c>
      <c r="G4006" s="6" t="str">
        <f>VLOOKUP(E4006,dicionario!$A$1:$C4405,2,0)</f>
        <v>Phyllanthus tenellus</v>
      </c>
      <c r="H4006" s="6" t="str">
        <f>VLOOKUP(E4006,dicionario!$A$1:$C4405,3,0)</f>
        <v>quebra-pedra</v>
      </c>
    </row>
    <row r="4007">
      <c r="A4007" s="3">
        <v>45645.0</v>
      </c>
      <c r="B4007" s="4">
        <v>0.2965277777777778</v>
      </c>
      <c r="C4007" s="5" t="s">
        <v>40</v>
      </c>
      <c r="D4007" s="5" t="s">
        <v>1004</v>
      </c>
      <c r="E4007" s="8" t="s">
        <v>489</v>
      </c>
      <c r="F4007" s="5" t="s">
        <v>196</v>
      </c>
      <c r="G4007" s="6" t="str">
        <f>VLOOKUP(E4007,dicionario!$A$1:$C4406,2,0)</f>
        <v>Cenchrus echinatus</v>
      </c>
      <c r="H4007" s="6" t="str">
        <f>VLOOKUP(E4007,dicionario!$A$1:$C4406,3,0)</f>
        <v>capim-carrapicho</v>
      </c>
    </row>
    <row r="4008">
      <c r="A4008" s="3">
        <v>45645.0</v>
      </c>
      <c r="B4008" s="4">
        <v>0.2965277777777778</v>
      </c>
      <c r="C4008" s="5" t="s">
        <v>40</v>
      </c>
      <c r="D4008" s="5" t="s">
        <v>1004</v>
      </c>
      <c r="E4008" s="6" t="s">
        <v>471</v>
      </c>
      <c r="F4008" s="5" t="s">
        <v>472</v>
      </c>
      <c r="G4008" s="6" t="str">
        <f>VLOOKUP(E4008,dicionario!$A$1:$C4407,2,0)</f>
        <v>Sida acuta</v>
      </c>
      <c r="H4008" s="6" t="str">
        <f>VLOOKUP(E4008,dicionario!$A$1:$C4407,3,0)</f>
        <v>reloginho</v>
      </c>
    </row>
    <row r="4009">
      <c r="A4009" s="3">
        <v>45645.0</v>
      </c>
      <c r="B4009" s="4">
        <v>0.2965277777777778</v>
      </c>
      <c r="C4009" s="5" t="s">
        <v>40</v>
      </c>
      <c r="D4009" s="5" t="s">
        <v>1004</v>
      </c>
      <c r="E4009" s="6" t="s">
        <v>148</v>
      </c>
      <c r="F4009" s="5" t="s">
        <v>149</v>
      </c>
      <c r="G4009" s="6" t="str">
        <f>VLOOKUP(E4009,dicionario!$A$1:$C4408,2,0)</f>
        <v>Parthenium hysterophorus</v>
      </c>
      <c r="H4009" s="6" t="str">
        <f>VLOOKUP(E4009,dicionario!$A$1:$C4408,3,0)</f>
        <v>losna-branca</v>
      </c>
    </row>
    <row r="4010">
      <c r="A4010" s="3">
        <v>45645.0</v>
      </c>
      <c r="B4010" s="4">
        <v>0.2965277777777778</v>
      </c>
      <c r="C4010" s="5" t="s">
        <v>40</v>
      </c>
      <c r="D4010" s="5" t="s">
        <v>1004</v>
      </c>
      <c r="E4010" s="6" t="s">
        <v>141</v>
      </c>
      <c r="F4010" s="5" t="s">
        <v>142</v>
      </c>
      <c r="G4010" s="6" t="str">
        <f>VLOOKUP(E4010,dicionario!$A$1:$C4409,2,0)</f>
        <v>Ruellia blechum</v>
      </c>
      <c r="H4010" s="6" t="str">
        <f>VLOOKUP(E4010,dicionario!$A$1:$C4409,3,0)</f>
        <v>camarão-verde</v>
      </c>
    </row>
    <row r="4011">
      <c r="A4011" s="3">
        <v>45645.0</v>
      </c>
      <c r="B4011" s="4">
        <v>0.2972222222222222</v>
      </c>
      <c r="C4011" s="5" t="s">
        <v>40</v>
      </c>
      <c r="D4011" s="5" t="s">
        <v>1004</v>
      </c>
      <c r="E4011" s="6" t="s">
        <v>483</v>
      </c>
      <c r="F4011" s="5" t="s">
        <v>484</v>
      </c>
      <c r="G4011" s="6" t="str">
        <f>VLOOKUP(E4011,dicionario!$A$1:$C4410,2,0)</f>
        <v>Euphorbia prostrata</v>
      </c>
      <c r="H4011" s="6" t="str">
        <f>VLOOKUP(E4011,dicionario!$A$1:$C4410,3,0)</f>
        <v>quebra-pedra-rasteira</v>
      </c>
    </row>
    <row r="4012">
      <c r="A4012" s="3">
        <v>45645.0</v>
      </c>
      <c r="B4012" s="4">
        <v>0.2972222222222222</v>
      </c>
      <c r="C4012" s="5" t="s">
        <v>40</v>
      </c>
      <c r="D4012" s="5" t="s">
        <v>1004</v>
      </c>
      <c r="E4012" s="6" t="s">
        <v>267</v>
      </c>
      <c r="F4012" s="5" t="s">
        <v>553</v>
      </c>
      <c r="G4012" s="6" t="str">
        <f>VLOOKUP(E4012,dicionario!$A$1:$C4411,2,0)</f>
        <v>Solanum americanum</v>
      </c>
      <c r="H4012" s="6" t="str">
        <f>VLOOKUP(E4012,dicionario!$A$1:$C4411,3,0)</f>
        <v>maria-pretinha</v>
      </c>
    </row>
    <row r="4013">
      <c r="A4013" s="3">
        <v>45645.0</v>
      </c>
      <c r="B4013" s="4">
        <v>0.2972222222222222</v>
      </c>
      <c r="C4013" s="5" t="s">
        <v>40</v>
      </c>
      <c r="D4013" s="5" t="s">
        <v>1004</v>
      </c>
      <c r="E4013" s="8" t="s">
        <v>338</v>
      </c>
      <c r="F4013" s="5" t="s">
        <v>1015</v>
      </c>
      <c r="G4013" s="6" t="str">
        <f>VLOOKUP(E4013,dicionario!$A$1:$C4412,2,0)</f>
        <v>Atta</v>
      </c>
      <c r="H4013" s="6" t="str">
        <f>VLOOKUP(E4013,dicionario!$A$1:$C4412,3,0)</f>
        <v>saúva</v>
      </c>
    </row>
    <row r="4014">
      <c r="A4014" s="3">
        <v>45645.0</v>
      </c>
      <c r="B4014" s="4">
        <v>0.2972222222222222</v>
      </c>
      <c r="C4014" s="5" t="s">
        <v>40</v>
      </c>
      <c r="D4014" s="5" t="s">
        <v>1004</v>
      </c>
      <c r="E4014" s="8" t="s">
        <v>51</v>
      </c>
      <c r="F4014" s="5" t="s">
        <v>77</v>
      </c>
      <c r="G4014" s="6" t="str">
        <f>VLOOKUP(E4014,dicionario!$A$1:$C4413,2,0)</f>
        <v>Solenopsis</v>
      </c>
      <c r="H4014" s="6" t="str">
        <f>VLOOKUP(E4014,dicionario!$A$1:$C4413,3,0)</f>
        <v>formiga-quente; formiga-lava-pés; formiga-de-fogo</v>
      </c>
    </row>
    <row r="4015">
      <c r="A4015" s="3">
        <v>45645.0</v>
      </c>
      <c r="B4015" s="4">
        <v>0.2972222222222222</v>
      </c>
      <c r="C4015" s="5" t="s">
        <v>40</v>
      </c>
      <c r="D4015" s="5" t="s">
        <v>1004</v>
      </c>
      <c r="E4015" s="6" t="s">
        <v>401</v>
      </c>
      <c r="F4015" s="5" t="s">
        <v>464</v>
      </c>
      <c r="G4015" s="6" t="str">
        <f>VLOOKUP(E4015,dicionario!$A$1:$C4414,2,0)</f>
        <v>Cissus verticillata</v>
      </c>
      <c r="H4015" s="6" t="str">
        <f>VLOOKUP(E4015,dicionario!$A$1:$C4414,3,0)</f>
        <v>uva-do-mato</v>
      </c>
    </row>
    <row r="4016">
      <c r="A4016" s="3">
        <v>45645.0</v>
      </c>
      <c r="B4016" s="4">
        <v>0.29791666666666666</v>
      </c>
      <c r="C4016" s="5" t="s">
        <v>40</v>
      </c>
      <c r="D4016" s="5" t="s">
        <v>1004</v>
      </c>
      <c r="E4016" s="8" t="s">
        <v>38</v>
      </c>
      <c r="F4016" s="5" t="s">
        <v>39</v>
      </c>
      <c r="G4016" s="6" t="str">
        <f>VLOOKUP(E4016,dicionario!$A$1:$C4415,2,0)</f>
        <v>Troglodytes musculus</v>
      </c>
      <c r="H4016" s="6" t="str">
        <f>VLOOKUP(E4016,dicionario!$A$1:$C4415,3,0)</f>
        <v>curruíra</v>
      </c>
    </row>
    <row r="4017">
      <c r="A4017" s="3">
        <v>45645.0</v>
      </c>
      <c r="B4017" s="4">
        <v>0.29791666666666666</v>
      </c>
      <c r="C4017" s="5" t="s">
        <v>40</v>
      </c>
      <c r="D4017" s="5" t="s">
        <v>1004</v>
      </c>
      <c r="E4017" s="6" t="s">
        <v>20</v>
      </c>
      <c r="F4017" s="7" t="s">
        <v>21</v>
      </c>
      <c r="G4017" s="6" t="str">
        <f>VLOOKUP(E4017,dicionario!$A$1:$C4416,2,0)</f>
        <v>Sicalis flaveola</v>
      </c>
      <c r="H4017" s="6" t="str">
        <f>VLOOKUP(E4017,dicionario!$A$1:$C4416,3,0)</f>
        <v>canário-da-terra</v>
      </c>
    </row>
    <row r="4018">
      <c r="A4018" s="3">
        <v>45645.0</v>
      </c>
      <c r="B4018" s="4">
        <v>0.29791666666666666</v>
      </c>
      <c r="C4018" s="5" t="s">
        <v>40</v>
      </c>
      <c r="D4018" s="5" t="s">
        <v>1004</v>
      </c>
      <c r="E4018" s="6" t="s">
        <v>366</v>
      </c>
      <c r="F4018" s="5" t="s">
        <v>367</v>
      </c>
      <c r="G4018" s="6" t="str">
        <f>VLOOKUP(E4018,dicionario!$A$1:$C4417,2,0)</f>
        <v>Alternanthera ficoidea</v>
      </c>
      <c r="H4018" s="6" t="str">
        <f>VLOOKUP(E4018,dicionario!$A$1:$C4417,3,0)</f>
        <v>quebra-panela</v>
      </c>
    </row>
    <row r="4019">
      <c r="A4019" s="3">
        <v>45645.0</v>
      </c>
      <c r="B4019" s="4">
        <v>0.29791666666666666</v>
      </c>
      <c r="C4019" s="5" t="s">
        <v>40</v>
      </c>
      <c r="D4019" s="5" t="s">
        <v>1004</v>
      </c>
      <c r="E4019" s="18" t="s">
        <v>611</v>
      </c>
      <c r="F4019" s="5" t="s">
        <v>612</v>
      </c>
      <c r="G4019" s="6" t="str">
        <f>VLOOKUP(E4019,dicionario!$A$1:$C4418,2,0)</f>
        <v>Boehmeria cylindrica</v>
      </c>
      <c r="H4019" s="6" t="str">
        <f>VLOOKUP(E4019,dicionario!$A$1:$C4418,3,0)</f>
        <v>falsa-urtiga</v>
      </c>
    </row>
    <row r="4020">
      <c r="A4020" s="3">
        <v>45645.0</v>
      </c>
      <c r="B4020" s="4">
        <v>0.2986111111111111</v>
      </c>
      <c r="C4020" s="5" t="s">
        <v>40</v>
      </c>
      <c r="D4020" s="5" t="s">
        <v>1004</v>
      </c>
      <c r="E4020" s="26"/>
      <c r="F4020" s="52" t="s">
        <v>1016</v>
      </c>
      <c r="G4020" s="6" t="str">
        <f>VLOOKUP(E4020,dicionario!$A$1:$C4419,2,0)</f>
        <v>#N/A</v>
      </c>
      <c r="H4020" s="6" t="str">
        <f>VLOOKUP(E4020,dicionario!$A$1:$C4419,3,0)</f>
        <v>#N/A</v>
      </c>
    </row>
    <row r="4021">
      <c r="A4021" s="3">
        <v>45645.0</v>
      </c>
      <c r="B4021" s="4">
        <v>0.2986111111111111</v>
      </c>
      <c r="C4021" s="5" t="s">
        <v>40</v>
      </c>
      <c r="D4021" s="5" t="s">
        <v>1004</v>
      </c>
      <c r="E4021" s="6" t="s">
        <v>702</v>
      </c>
      <c r="F4021" s="5" t="s">
        <v>703</v>
      </c>
      <c r="G4021" s="6" t="str">
        <f>VLOOKUP(E4021,dicionario!$A$1:$C4420,2,0)</f>
        <v>Acacia mangium</v>
      </c>
      <c r="H4021" s="6" t="str">
        <f>VLOOKUP(E4021,dicionario!$A$1:$C4420,3,0)</f>
        <v>acácia</v>
      </c>
    </row>
    <row r="4022">
      <c r="A4022" s="3">
        <v>45645.0</v>
      </c>
      <c r="B4022" s="4">
        <v>0.2986111111111111</v>
      </c>
      <c r="C4022" s="5" t="s">
        <v>40</v>
      </c>
      <c r="D4022" s="5" t="s">
        <v>1004</v>
      </c>
      <c r="E4022" s="8" t="s">
        <v>12</v>
      </c>
      <c r="F4022" s="7" t="s">
        <v>13</v>
      </c>
      <c r="G4022" s="6" t="str">
        <f>VLOOKUP(E4022,dicionario!$A$1:$C4421,2,0)</f>
        <v>Eulaema nigrita</v>
      </c>
      <c r="H4022" s="6" t="str">
        <f>VLOOKUP(E4022,dicionario!$A$1:$C4421,3,0)</f>
        <v>abelha-de-orquídea</v>
      </c>
    </row>
    <row r="4023">
      <c r="A4023" s="3">
        <v>45645.0</v>
      </c>
      <c r="B4023" s="4">
        <v>0.29930555555555555</v>
      </c>
      <c r="C4023" s="5" t="s">
        <v>40</v>
      </c>
      <c r="D4023" s="5" t="s">
        <v>1004</v>
      </c>
      <c r="E4023" s="8" t="s">
        <v>143</v>
      </c>
      <c r="F4023" s="5" t="s">
        <v>63</v>
      </c>
      <c r="G4023" s="6" t="str">
        <f>VLOOKUP(E4023,dicionario!$A$1:$C4422,2,0)</f>
        <v>Polybia</v>
      </c>
      <c r="H4023" s="6" t="str">
        <f>VLOOKUP(E4023,dicionario!$A$1:$C4422,3,0)</f>
        <v>vespa</v>
      </c>
    </row>
    <row r="4024">
      <c r="A4024" s="3">
        <v>45645.0</v>
      </c>
      <c r="B4024" s="4">
        <v>0.29930555555555555</v>
      </c>
      <c r="C4024" s="5" t="s">
        <v>40</v>
      </c>
      <c r="D4024" s="5" t="s">
        <v>1004</v>
      </c>
      <c r="E4024" s="8" t="s">
        <v>258</v>
      </c>
      <c r="F4024" s="5" t="s">
        <v>259</v>
      </c>
      <c r="G4024" s="6" t="str">
        <f>VLOOKUP(E4024,dicionario!$A$1:$C4423,2,0)</f>
        <v>Lantana camara</v>
      </c>
      <c r="H4024" s="6" t="str">
        <f>VLOOKUP(E4024,dicionario!$A$1:$C4423,3,0)</f>
        <v>lantana</v>
      </c>
    </row>
    <row r="4025">
      <c r="A4025" s="3">
        <v>45645.0</v>
      </c>
      <c r="B4025" s="4">
        <v>0.3034722222222222</v>
      </c>
      <c r="C4025" s="5" t="s">
        <v>50</v>
      </c>
      <c r="D4025" s="5" t="s">
        <v>1004</v>
      </c>
      <c r="E4025" s="9" t="s">
        <v>22</v>
      </c>
      <c r="F4025" s="5" t="s">
        <v>902</v>
      </c>
      <c r="G4025" s="6" t="str">
        <f>VLOOKUP(E4025,dicionario!$A$1:$C4424,2,0)</f>
        <v>Zenaida auriculata</v>
      </c>
      <c r="H4025" s="6" t="str">
        <f>VLOOKUP(E4025,dicionario!$A$1:$C4424,3,0)</f>
        <v>pomba-de-bando; avoante</v>
      </c>
    </row>
    <row r="4026">
      <c r="A4026" s="3">
        <v>45645.0</v>
      </c>
      <c r="B4026" s="4">
        <v>0.3034722222222222</v>
      </c>
      <c r="C4026" s="5" t="s">
        <v>50</v>
      </c>
      <c r="D4026" s="5" t="s">
        <v>1004</v>
      </c>
      <c r="E4026" s="8" t="s">
        <v>46</v>
      </c>
      <c r="F4026" s="5" t="s">
        <v>47</v>
      </c>
      <c r="G4026" s="6" t="str">
        <f>VLOOKUP(E4026,dicionario!$A$1:$C4425,2,0)</f>
        <v>Chionomesa fimbriata</v>
      </c>
      <c r="H4026" s="6" t="str">
        <f>VLOOKUP(E4026,dicionario!$A$1:$C4425,3,0)</f>
        <v>beija-flor-de-garganta-verde</v>
      </c>
    </row>
    <row r="4027">
      <c r="A4027" s="3">
        <v>45645.0</v>
      </c>
      <c r="B4027" s="4">
        <v>0.3034722222222222</v>
      </c>
      <c r="C4027" s="5" t="s">
        <v>50</v>
      </c>
      <c r="D4027" s="5" t="s">
        <v>1004</v>
      </c>
      <c r="E4027" s="8" t="s">
        <v>489</v>
      </c>
      <c r="F4027" s="5" t="s">
        <v>196</v>
      </c>
      <c r="G4027" s="6" t="str">
        <f>VLOOKUP(E4027,dicionario!$A$1:$C4426,2,0)</f>
        <v>Cenchrus echinatus</v>
      </c>
      <c r="H4027" s="6" t="str">
        <f>VLOOKUP(E4027,dicionario!$A$1:$C4426,3,0)</f>
        <v>capim-carrapicho</v>
      </c>
    </row>
    <row r="4028">
      <c r="A4028" s="3">
        <v>45645.0</v>
      </c>
      <c r="B4028" s="4">
        <v>0.3034722222222222</v>
      </c>
      <c r="C4028" s="5" t="s">
        <v>50</v>
      </c>
      <c r="D4028" s="5" t="s">
        <v>1004</v>
      </c>
      <c r="E4028" s="6" t="s">
        <v>181</v>
      </c>
      <c r="F4028" s="5" t="s">
        <v>182</v>
      </c>
      <c r="G4028" s="6" t="str">
        <f>VLOOKUP(E4028,dicionario!$A$1:$C4427,2,0)</f>
        <v>#N/A</v>
      </c>
      <c r="H4028" s="6" t="str">
        <f>VLOOKUP(E4028,dicionario!$A$1:$C4427,3,0)</f>
        <v>#N/A</v>
      </c>
    </row>
    <row r="4029">
      <c r="A4029" s="3">
        <v>45645.0</v>
      </c>
      <c r="B4029" s="4">
        <v>0.30416666666666664</v>
      </c>
      <c r="C4029" s="5" t="s">
        <v>50</v>
      </c>
      <c r="D4029" s="5" t="s">
        <v>1004</v>
      </c>
      <c r="E4029" s="6" t="s">
        <v>86</v>
      </c>
      <c r="F4029" s="5" t="s">
        <v>502</v>
      </c>
      <c r="G4029" s="6" t="str">
        <f>VLOOKUP(E4029,dicionario!$A$1:$C4428,2,0)</f>
        <v>Coereba flaveola</v>
      </c>
      <c r="H4029" s="6" t="str">
        <f>VLOOKUP(E4029,dicionario!$A$1:$C4428,3,0)</f>
        <v>cambacica</v>
      </c>
    </row>
    <row r="4030">
      <c r="A4030" s="3">
        <v>45645.0</v>
      </c>
      <c r="B4030" s="4">
        <v>0.30416666666666664</v>
      </c>
      <c r="C4030" s="5" t="s">
        <v>50</v>
      </c>
      <c r="D4030" s="5" t="s">
        <v>1004</v>
      </c>
      <c r="E4030" s="6" t="s">
        <v>113</v>
      </c>
      <c r="F4030" s="5" t="s">
        <v>114</v>
      </c>
      <c r="G4030" s="6" t="str">
        <f>VLOOKUP(E4030,dicionario!$A$1:$C4429,2,0)</f>
        <v>Columbina talpacoti</v>
      </c>
      <c r="H4030" s="6" t="str">
        <f>VLOOKUP(E4030,dicionario!$A$1:$C4429,3,0)</f>
        <v>rolinha-roxa</v>
      </c>
    </row>
    <row r="4031">
      <c r="A4031" s="3">
        <v>45645.0</v>
      </c>
      <c r="B4031" s="4">
        <v>0.30416666666666664</v>
      </c>
      <c r="C4031" s="5" t="s">
        <v>50</v>
      </c>
      <c r="D4031" s="5" t="s">
        <v>1004</v>
      </c>
      <c r="E4031" s="6" t="s">
        <v>109</v>
      </c>
      <c r="F4031" s="5" t="s">
        <v>110</v>
      </c>
      <c r="G4031" s="6" t="str">
        <f>VLOOKUP(E4031,dicionario!$A$1:$C4430,2,0)</f>
        <v>Tillandsia stricta</v>
      </c>
      <c r="H4031" s="6" t="str">
        <f>VLOOKUP(E4031,dicionario!$A$1:$C4430,3,0)</f>
        <v>cravo-do-mato</v>
      </c>
    </row>
    <row r="4032">
      <c r="A4032" s="3">
        <v>45645.0</v>
      </c>
      <c r="B4032" s="4">
        <v>0.30416666666666664</v>
      </c>
      <c r="C4032" s="5" t="s">
        <v>50</v>
      </c>
      <c r="D4032" s="5" t="s">
        <v>1004</v>
      </c>
      <c r="E4032" s="6" t="s">
        <v>88</v>
      </c>
      <c r="F4032" s="5" t="s">
        <v>89</v>
      </c>
      <c r="G4032" s="6" t="str">
        <f>VLOOKUP(E4032,dicionario!$A$1:$C4431,2,0)</f>
        <v>Tyrannus melancolichus</v>
      </c>
      <c r="H4032" s="6" t="str">
        <f>VLOOKUP(E4032,dicionario!$A$1:$C4431,3,0)</f>
        <v>suiriri</v>
      </c>
    </row>
    <row r="4033">
      <c r="A4033" s="3">
        <v>45645.0</v>
      </c>
      <c r="B4033" s="4">
        <v>0.30416666666666664</v>
      </c>
      <c r="C4033" s="5" t="s">
        <v>50</v>
      </c>
      <c r="D4033" s="5" t="s">
        <v>1004</v>
      </c>
      <c r="E4033" s="8" t="s">
        <v>688</v>
      </c>
      <c r="F4033" s="5" t="s">
        <v>121</v>
      </c>
      <c r="G4033" s="6" t="str">
        <f>VLOOKUP(E4033,dicionario!$A$1:$C4432,2,0)</f>
        <v>Fidicina</v>
      </c>
      <c r="H4033" s="6" t="str">
        <f>VLOOKUP(E4033,dicionario!$A$1:$C4432,3,0)</f>
        <v>cigarra</v>
      </c>
    </row>
    <row r="4034">
      <c r="A4034" s="3">
        <v>45645.0</v>
      </c>
      <c r="B4034" s="4">
        <v>0.30416666666666664</v>
      </c>
      <c r="C4034" s="5" t="s">
        <v>50</v>
      </c>
      <c r="D4034" s="5" t="s">
        <v>1004</v>
      </c>
      <c r="E4034" s="8" t="s">
        <v>235</v>
      </c>
      <c r="F4034" s="5" t="s">
        <v>941</v>
      </c>
      <c r="G4034" s="6" t="str">
        <f>VLOOKUP(E4034,dicionario!$A$1:$C4433,2,0)</f>
        <v>Leucaena leucocephala</v>
      </c>
      <c r="H4034" s="6" t="str">
        <f>VLOOKUP(E4034,dicionario!$A$1:$C4433,3,0)</f>
        <v>leucena</v>
      </c>
    </row>
    <row r="4035">
      <c r="A4035" s="3">
        <v>45645.0</v>
      </c>
      <c r="B4035" s="4">
        <v>0.30416666666666664</v>
      </c>
      <c r="C4035" s="5" t="s">
        <v>50</v>
      </c>
      <c r="D4035" s="5" t="s">
        <v>1004</v>
      </c>
      <c r="E4035" s="6" t="s">
        <v>251</v>
      </c>
      <c r="F4035" s="5" t="s">
        <v>252</v>
      </c>
      <c r="G4035" s="6" t="str">
        <f>VLOOKUP(E4035,dicionario!$A$1:$C4434,2,0)</f>
        <v>Struthanthus flexicaulis</v>
      </c>
      <c r="H4035" s="6" t="str">
        <f>VLOOKUP(E4035,dicionario!$A$1:$C4434,3,0)</f>
        <v>erva-de-passarinho</v>
      </c>
    </row>
    <row r="4036">
      <c r="A4036" s="3">
        <v>45645.0</v>
      </c>
      <c r="B4036" s="4">
        <v>0.30486111111111114</v>
      </c>
      <c r="C4036" s="5" t="s">
        <v>50</v>
      </c>
      <c r="D4036" s="5" t="s">
        <v>1004</v>
      </c>
      <c r="E4036" s="6" t="s">
        <v>225</v>
      </c>
      <c r="F4036" s="5" t="s">
        <v>226</v>
      </c>
      <c r="G4036" s="6" t="str">
        <f>VLOOKUP(E4036,dicionario!$A$1:$C4435,2,0)</f>
        <v>Passer domesticus</v>
      </c>
      <c r="H4036" s="6" t="str">
        <f>VLOOKUP(E4036,dicionario!$A$1:$C4435,3,0)</f>
        <v>pardal</v>
      </c>
    </row>
    <row r="4037">
      <c r="A4037" s="3">
        <v>45645.0</v>
      </c>
      <c r="B4037" s="4">
        <v>0.30486111111111114</v>
      </c>
      <c r="C4037" s="5" t="s">
        <v>50</v>
      </c>
      <c r="D4037" s="5" t="s">
        <v>1004</v>
      </c>
      <c r="E4037" s="6" t="s">
        <v>177</v>
      </c>
      <c r="F4037" s="5" t="s">
        <v>178</v>
      </c>
      <c r="G4037" s="6" t="str">
        <f>VLOOKUP(E4037,dicionario!$A$1:$C4436,2,0)</f>
        <v>Elaenia flavogaster</v>
      </c>
      <c r="H4037" s="6" t="str">
        <f>VLOOKUP(E4037,dicionario!$A$1:$C4436,3,0)</f>
        <v>guaracava-de-barriga-amarela</v>
      </c>
    </row>
    <row r="4038">
      <c r="A4038" s="3">
        <v>45645.0</v>
      </c>
      <c r="B4038" s="4">
        <v>0.30625</v>
      </c>
      <c r="C4038" s="5" t="s">
        <v>50</v>
      </c>
      <c r="D4038" s="5" t="s">
        <v>1004</v>
      </c>
      <c r="E4038" s="6" t="s">
        <v>91</v>
      </c>
      <c r="F4038" s="5" t="s">
        <v>92</v>
      </c>
      <c r="G4038" s="6" t="str">
        <f>VLOOKUP(E4038,dicionario!$A$1:$C4437,2,0)</f>
        <v>Picumnus cirratus</v>
      </c>
      <c r="H4038" s="6" t="str">
        <f>VLOOKUP(E4038,dicionario!$A$1:$C4437,3,0)</f>
        <v>picapauzinho-barrado</v>
      </c>
    </row>
    <row r="4039">
      <c r="A4039" s="3">
        <v>45645.0</v>
      </c>
      <c r="B4039" s="4">
        <v>0.3076388888888889</v>
      </c>
      <c r="C4039" s="5" t="s">
        <v>50</v>
      </c>
      <c r="D4039" s="5" t="s">
        <v>1004</v>
      </c>
      <c r="E4039" s="6" t="s">
        <v>296</v>
      </c>
      <c r="F4039" s="5" t="s">
        <v>297</v>
      </c>
      <c r="G4039" s="6" t="str">
        <f>VLOOKUP(E4039,dicionario!$A$1:$C4438,2,0)</f>
        <v>Richardia brasiliensis</v>
      </c>
      <c r="H4039" s="6" t="str">
        <f>VLOOKUP(E4039,dicionario!$A$1:$C4438,3,0)</f>
        <v>poaia-branca</v>
      </c>
    </row>
    <row r="4040">
      <c r="A4040" s="3">
        <v>45645.0</v>
      </c>
      <c r="B4040" s="4">
        <v>0.3076388888888889</v>
      </c>
      <c r="C4040" s="5" t="s">
        <v>50</v>
      </c>
      <c r="D4040" s="5" t="s">
        <v>1004</v>
      </c>
      <c r="E4040" s="8" t="s">
        <v>990</v>
      </c>
      <c r="F4040" s="5" t="s">
        <v>580</v>
      </c>
      <c r="G4040" s="6" t="str">
        <f>VLOOKUP(E4040,dicionario!$A$1:$C4439,2,0)</f>
        <v>#N/A</v>
      </c>
      <c r="H4040" s="6" t="str">
        <f>VLOOKUP(E4040,dicionario!$A$1:$C4439,3,0)</f>
        <v>#N/A</v>
      </c>
    </row>
    <row r="4041">
      <c r="A4041" s="3">
        <v>45645.0</v>
      </c>
      <c r="B4041" s="4">
        <v>0.3076388888888889</v>
      </c>
      <c r="C4041" s="5" t="s">
        <v>50</v>
      </c>
      <c r="D4041" s="5" t="s">
        <v>1004</v>
      </c>
      <c r="E4041" s="6" t="s">
        <v>267</v>
      </c>
      <c r="F4041" s="5" t="s">
        <v>553</v>
      </c>
      <c r="G4041" s="6" t="str">
        <f>VLOOKUP(E4041,dicionario!$A$1:$C4440,2,0)</f>
        <v>Solanum americanum</v>
      </c>
      <c r="H4041" s="6" t="str">
        <f>VLOOKUP(E4041,dicionario!$A$1:$C4440,3,0)</f>
        <v>maria-pretinha</v>
      </c>
    </row>
    <row r="4042">
      <c r="A4042" s="3">
        <v>45645.0</v>
      </c>
      <c r="B4042" s="4">
        <v>0.3076388888888889</v>
      </c>
      <c r="C4042" s="5" t="s">
        <v>50</v>
      </c>
      <c r="D4042" s="5" t="s">
        <v>1004</v>
      </c>
      <c r="E4042" s="6" t="s">
        <v>271</v>
      </c>
      <c r="F4042" s="7" t="s">
        <v>272</v>
      </c>
      <c r="G4042" s="6" t="str">
        <f>VLOOKUP(E4042,dicionario!$A$1:$C4441,2,0)</f>
        <v>Cyanthillium cinereum</v>
      </c>
      <c r="H4042" s="6" t="str">
        <f>VLOOKUP(E4042,dicionario!$A$1:$C4441,3,0)</f>
        <v>emília</v>
      </c>
    </row>
    <row r="4043">
      <c r="A4043" s="3">
        <v>45645.0</v>
      </c>
      <c r="B4043" s="4">
        <v>0.3076388888888889</v>
      </c>
      <c r="C4043" s="5" t="s">
        <v>50</v>
      </c>
      <c r="D4043" s="5" t="s">
        <v>1004</v>
      </c>
      <c r="E4043" s="8" t="s">
        <v>338</v>
      </c>
      <c r="F4043" s="5" t="s">
        <v>238</v>
      </c>
      <c r="G4043" s="6" t="str">
        <f>VLOOKUP(E4043,dicionario!$A$1:$C4442,2,0)</f>
        <v>Atta</v>
      </c>
      <c r="H4043" s="6" t="str">
        <f>VLOOKUP(E4043,dicionario!$A$1:$C4442,3,0)</f>
        <v>saúva</v>
      </c>
    </row>
    <row r="4044">
      <c r="A4044" s="3">
        <v>45645.0</v>
      </c>
      <c r="B4044" s="4">
        <v>0.3076388888888889</v>
      </c>
      <c r="C4044" s="5" t="s">
        <v>50</v>
      </c>
      <c r="D4044" s="5" t="s">
        <v>1004</v>
      </c>
      <c r="E4044" s="8" t="s">
        <v>886</v>
      </c>
      <c r="F4044" s="5" t="s">
        <v>887</v>
      </c>
      <c r="G4044" s="6" t="str">
        <f>VLOOKUP(E4044,dicionario!$A$1:$C4443,2,0)</f>
        <v>Oldenlandia corymbosa</v>
      </c>
      <c r="H4044" s="6" t="str">
        <f>VLOOKUP(E4044,dicionario!$A$1:$C4443,3,0)</f>
        <v>erva-diamante</v>
      </c>
    </row>
    <row r="4045">
      <c r="A4045" s="3">
        <v>45645.0</v>
      </c>
      <c r="B4045" s="4">
        <v>0.3076388888888889</v>
      </c>
      <c r="C4045" s="5" t="s">
        <v>50</v>
      </c>
      <c r="D4045" s="5" t="s">
        <v>1004</v>
      </c>
      <c r="E4045" s="6" t="s">
        <v>69</v>
      </c>
      <c r="F4045" s="7" t="s">
        <v>71</v>
      </c>
      <c r="G4045" s="6" t="str">
        <f>VLOOKUP(E4045,dicionario!$A$1:$C4444,2,0)</f>
        <v>Talinum fruticosum</v>
      </c>
      <c r="H4045" s="6" t="str">
        <f>VLOOKUP(E4045,dicionario!$A$1:$C4444,3,0)</f>
        <v>beldroega-grande</v>
      </c>
    </row>
    <row r="4046">
      <c r="A4046" s="3">
        <v>45645.0</v>
      </c>
      <c r="B4046" s="4">
        <v>0.3076388888888889</v>
      </c>
      <c r="C4046" s="5" t="s">
        <v>50</v>
      </c>
      <c r="D4046" s="5" t="s">
        <v>1004</v>
      </c>
      <c r="E4046" s="6" t="s">
        <v>471</v>
      </c>
      <c r="F4046" s="5" t="s">
        <v>472</v>
      </c>
      <c r="G4046" s="6" t="str">
        <f>VLOOKUP(E4046,dicionario!$A$1:$C4445,2,0)</f>
        <v>Sida acuta</v>
      </c>
      <c r="H4046" s="6" t="str">
        <f>VLOOKUP(E4046,dicionario!$A$1:$C4445,3,0)</f>
        <v>reloginho</v>
      </c>
    </row>
    <row r="4047">
      <c r="A4047" s="3">
        <v>45645.0</v>
      </c>
      <c r="B4047" s="4">
        <v>0.3090277777777778</v>
      </c>
      <c r="C4047" s="5" t="s">
        <v>50</v>
      </c>
      <c r="D4047" s="5" t="s">
        <v>1004</v>
      </c>
      <c r="E4047" s="6" t="s">
        <v>200</v>
      </c>
      <c r="F4047" s="5" t="s">
        <v>201</v>
      </c>
      <c r="G4047" s="6" t="str">
        <f>VLOOKUP(E4047,dicionario!$A$1:$C4446,2,0)</f>
        <v>Columbina picui </v>
      </c>
      <c r="H4047" s="6" t="str">
        <f>VLOOKUP(E4047,dicionario!$A$1:$C4446,3,0)</f>
        <v>rolinha-picuí</v>
      </c>
    </row>
    <row r="4048">
      <c r="A4048" s="3">
        <v>45645.0</v>
      </c>
      <c r="B4048" s="4">
        <v>0.30972222222222223</v>
      </c>
      <c r="C4048" s="5" t="s">
        <v>50</v>
      </c>
      <c r="D4048" s="5" t="s">
        <v>1004</v>
      </c>
      <c r="E4048" s="6" t="s">
        <v>467</v>
      </c>
      <c r="F4048" s="5" t="s">
        <v>468</v>
      </c>
      <c r="G4048" s="6" t="str">
        <f>VLOOKUP(E4048,dicionario!$A$1:$C4447,2,0)</f>
        <v>Eleusine indica</v>
      </c>
      <c r="H4048" s="6" t="str">
        <f>VLOOKUP(E4048,dicionario!$A$1:$C4447,3,0)</f>
        <v>capim-pé-de-galinha</v>
      </c>
    </row>
    <row r="4049">
      <c r="A4049" s="3">
        <v>45645.0</v>
      </c>
      <c r="B4049" s="4">
        <v>0.3104166666666667</v>
      </c>
      <c r="C4049" s="5" t="s">
        <v>50</v>
      </c>
      <c r="D4049" s="5" t="s">
        <v>1004</v>
      </c>
      <c r="E4049" s="6" t="s">
        <v>122</v>
      </c>
      <c r="F4049" s="7" t="s">
        <v>123</v>
      </c>
      <c r="G4049" s="6" t="str">
        <f>VLOOKUP(E4049,dicionario!$A$1:$C4448,2,0)</f>
        <v>Todirostrum cinereum</v>
      </c>
      <c r="H4049" s="6" t="str">
        <f>VLOOKUP(E4049,dicionario!$A$1:$C4448,3,0)</f>
        <v>ferreirinho-relógio</v>
      </c>
    </row>
    <row r="4050">
      <c r="A4050" s="3">
        <v>45645.0</v>
      </c>
      <c r="B4050" s="4">
        <v>0.3104166666666667</v>
      </c>
      <c r="C4050" s="5" t="s">
        <v>50</v>
      </c>
      <c r="D4050" s="5" t="s">
        <v>1004</v>
      </c>
      <c r="E4050" s="8" t="s">
        <v>38</v>
      </c>
      <c r="F4050" s="5" t="s">
        <v>39</v>
      </c>
      <c r="G4050" s="6" t="str">
        <f>VLOOKUP(E4050,dicionario!$A$1:$C4449,2,0)</f>
        <v>Troglodytes musculus</v>
      </c>
      <c r="H4050" s="6" t="str">
        <f>VLOOKUP(E4050,dicionario!$A$1:$C4449,3,0)</f>
        <v>curruíra</v>
      </c>
    </row>
    <row r="4051">
      <c r="A4051" s="3">
        <v>45645.0</v>
      </c>
      <c r="B4051" s="4">
        <v>0.3104166666666667</v>
      </c>
      <c r="C4051" s="5" t="s">
        <v>50</v>
      </c>
      <c r="D4051" s="5" t="s">
        <v>1004</v>
      </c>
      <c r="E4051" s="6" t="s">
        <v>150</v>
      </c>
      <c r="F4051" s="5" t="s">
        <v>151</v>
      </c>
      <c r="G4051" s="6" t="str">
        <f>VLOOKUP(E4051,dicionario!$A$1:$C4450,2,0)</f>
        <v>Amaranthus viridis</v>
      </c>
      <c r="H4051" s="6" t="str">
        <f>VLOOKUP(E4051,dicionario!$A$1:$C4450,3,0)</f>
        <v>caruru-de-mancha</v>
      </c>
    </row>
    <row r="4052">
      <c r="A4052" s="3">
        <v>45645.0</v>
      </c>
      <c r="B4052" s="4">
        <v>0.31180555555555556</v>
      </c>
      <c r="C4052" s="5" t="s">
        <v>50</v>
      </c>
      <c r="D4052" s="5" t="s">
        <v>1004</v>
      </c>
      <c r="E4052" s="6" t="s">
        <v>146</v>
      </c>
      <c r="F4052" s="5" t="s">
        <v>147</v>
      </c>
      <c r="G4052" s="6" t="str">
        <f>VLOOKUP(E4052,dicionario!$A$1:$C4451,2,0)</f>
        <v>Euphorbia hirta</v>
      </c>
      <c r="H4052" s="6" t="str">
        <f>VLOOKUP(E4052,dicionario!$A$1:$C4451,3,0)</f>
        <v>erva-de-santa-luzia</v>
      </c>
    </row>
    <row r="4053">
      <c r="A4053" s="3">
        <v>45645.0</v>
      </c>
      <c r="B4053" s="4">
        <v>0.31180555555555556</v>
      </c>
      <c r="C4053" s="5" t="s">
        <v>50</v>
      </c>
      <c r="D4053" s="5" t="s">
        <v>1004</v>
      </c>
      <c r="E4053" s="6" t="s">
        <v>55</v>
      </c>
      <c r="F4053" s="5" t="s">
        <v>56</v>
      </c>
      <c r="G4053" s="6" t="str">
        <f>VLOOKUP(E4053,dicionario!$A$1:$C4452,2,0)</f>
        <v>Cubaris murina</v>
      </c>
      <c r="H4053" s="6" t="str">
        <f>VLOOKUP(E4053,dicionario!$A$1:$C4452,3,0)</f>
        <v>tatuzinho-de-jardim</v>
      </c>
    </row>
    <row r="4054">
      <c r="A4054" s="3">
        <v>45645.0</v>
      </c>
      <c r="B4054" s="4">
        <v>0.31180555555555556</v>
      </c>
      <c r="C4054" s="5" t="s">
        <v>50</v>
      </c>
      <c r="D4054" s="5" t="s">
        <v>1004</v>
      </c>
      <c r="E4054" s="6" t="s">
        <v>366</v>
      </c>
      <c r="F4054" s="5" t="s">
        <v>367</v>
      </c>
      <c r="G4054" s="6" t="str">
        <f>VLOOKUP(E4054,dicionario!$A$1:$C4453,2,0)</f>
        <v>Alternanthera ficoidea</v>
      </c>
      <c r="H4054" s="6" t="str">
        <f>VLOOKUP(E4054,dicionario!$A$1:$C4453,3,0)</f>
        <v>quebra-panela</v>
      </c>
    </row>
    <row r="4055">
      <c r="A4055" s="3">
        <v>45645.0</v>
      </c>
      <c r="B4055" s="4">
        <v>0.31180555555555556</v>
      </c>
      <c r="C4055" s="5" t="s">
        <v>50</v>
      </c>
      <c r="D4055" s="5" t="s">
        <v>1004</v>
      </c>
      <c r="E4055" s="6" t="s">
        <v>227</v>
      </c>
      <c r="F4055" s="5" t="s">
        <v>228</v>
      </c>
      <c r="G4055" s="6" t="str">
        <f>VLOOKUP(E4055,dicionario!$A$1:$C4454,2,0)</f>
        <v>Indigofera hirsuta</v>
      </c>
      <c r="H4055" s="6" t="str">
        <f>VLOOKUP(E4055,dicionario!$A$1:$C4454,3,0)</f>
        <v>anileira</v>
      </c>
    </row>
    <row r="4056">
      <c r="A4056" s="3">
        <v>45645.0</v>
      </c>
      <c r="B4056" s="4">
        <v>0.3125</v>
      </c>
      <c r="C4056" s="5" t="s">
        <v>50</v>
      </c>
      <c r="D4056" s="5" t="s">
        <v>1004</v>
      </c>
      <c r="E4056" s="6" t="s">
        <v>111</v>
      </c>
      <c r="F4056" s="7" t="s">
        <v>112</v>
      </c>
      <c r="G4056" s="6" t="str">
        <f>VLOOKUP(E4056,dicionario!$A$1:$C4455,2,0)</f>
        <v>Trigona spinipes</v>
      </c>
      <c r="H4056" s="6" t="str">
        <f>VLOOKUP(E4056,dicionario!$A$1:$C4455,3,0)</f>
        <v>abelha-cachorro</v>
      </c>
    </row>
    <row r="4057">
      <c r="A4057" s="3">
        <v>45645.0</v>
      </c>
      <c r="B4057" s="4">
        <v>0.3125</v>
      </c>
      <c r="C4057" s="5" t="s">
        <v>50</v>
      </c>
      <c r="D4057" s="5" t="s">
        <v>1004</v>
      </c>
      <c r="E4057" s="6" t="s">
        <v>229</v>
      </c>
      <c r="F4057" s="5" t="s">
        <v>230</v>
      </c>
      <c r="G4057" s="6" t="str">
        <f>VLOOKUP(E4057,dicionario!$A$1:$C4456,2,0)</f>
        <v>Apis mellifera</v>
      </c>
      <c r="H4057" s="6" t="str">
        <f>VLOOKUP(E4057,dicionario!$A$1:$C4456,3,0)</f>
        <v>abelha-do-mel</v>
      </c>
    </row>
    <row r="4058">
      <c r="A4058" s="3">
        <v>45645.0</v>
      </c>
      <c r="B4058" s="4">
        <v>0.3125</v>
      </c>
      <c r="C4058" s="5" t="s">
        <v>50</v>
      </c>
      <c r="D4058" s="5" t="s">
        <v>1004</v>
      </c>
      <c r="E4058" s="8" t="s">
        <v>57</v>
      </c>
      <c r="F4058" s="5" t="s">
        <v>1017</v>
      </c>
      <c r="G4058" s="6" t="str">
        <f>VLOOKUP(E4058,dicionario!$A$1:$C4457,2,0)</f>
        <v>Juliformia</v>
      </c>
      <c r="H4058" s="6" t="str">
        <f>VLOOKUP(E4058,dicionario!$A$1:$C4457,3,0)</f>
        <v>gongolo; maria-café</v>
      </c>
    </row>
    <row r="4059">
      <c r="A4059" s="3">
        <v>45645.0</v>
      </c>
      <c r="B4059" s="4">
        <v>0.31319444444444444</v>
      </c>
      <c r="C4059" s="5" t="s">
        <v>50</v>
      </c>
      <c r="D4059" s="5" t="s">
        <v>1004</v>
      </c>
      <c r="E4059" s="8" t="s">
        <v>1018</v>
      </c>
      <c r="F4059" s="5" t="s">
        <v>414</v>
      </c>
      <c r="G4059" s="6" t="str">
        <f>VLOOKUP(E4059,dicionario!$A$1:$C4458,2,0)</f>
        <v>#N/A</v>
      </c>
      <c r="H4059" s="6" t="str">
        <f>VLOOKUP(E4059,dicionario!$A$1:$C4458,3,0)</f>
        <v>#N/A</v>
      </c>
    </row>
    <row r="4060">
      <c r="A4060" s="3">
        <v>45645.0</v>
      </c>
      <c r="B4060" s="4">
        <v>0.31319444444444444</v>
      </c>
      <c r="C4060" s="5" t="s">
        <v>50</v>
      </c>
      <c r="D4060" s="5" t="s">
        <v>1004</v>
      </c>
      <c r="E4060" s="6" t="s">
        <v>288</v>
      </c>
      <c r="F4060" s="5" t="s">
        <v>289</v>
      </c>
      <c r="G4060" s="6" t="str">
        <f>VLOOKUP(E4060,dicionario!$A$1:$C4459,2,0)</f>
        <v>Phyllanthus tenellus</v>
      </c>
      <c r="H4060" s="6" t="str">
        <f>VLOOKUP(E4060,dicionario!$A$1:$C4459,3,0)</f>
        <v>quebra-pedra</v>
      </c>
    </row>
    <row r="4061">
      <c r="A4061" s="3">
        <v>45645.0</v>
      </c>
      <c r="B4061" s="4">
        <v>0.31319444444444444</v>
      </c>
      <c r="C4061" s="5" t="s">
        <v>50</v>
      </c>
      <c r="D4061" s="5" t="s">
        <v>1004</v>
      </c>
      <c r="E4061" s="8" t="s">
        <v>730</v>
      </c>
      <c r="F4061" s="5" t="s">
        <v>731</v>
      </c>
      <c r="G4061" s="6" t="str">
        <f>VLOOKUP(E4061,dicionario!$A$1:$C4460,2,0)</f>
        <v>#N/A</v>
      </c>
      <c r="H4061" s="6" t="str">
        <f>VLOOKUP(E4061,dicionario!$A$1:$C4460,3,0)</f>
        <v>#N/A</v>
      </c>
    </row>
    <row r="4062">
      <c r="A4062" s="3">
        <v>45645.0</v>
      </c>
      <c r="B4062" s="4">
        <v>0.31319444444444444</v>
      </c>
      <c r="C4062" s="5" t="s">
        <v>50</v>
      </c>
      <c r="D4062" s="5" t="s">
        <v>1004</v>
      </c>
      <c r="E4062" s="8" t="s">
        <v>555</v>
      </c>
      <c r="F4062" s="7" t="s">
        <v>556</v>
      </c>
      <c r="G4062" s="6" t="str">
        <f>VLOOKUP(E4062,dicionario!$A$1:$C4461,2,0)</f>
        <v>Talinum paniculatum</v>
      </c>
      <c r="H4062" s="6" t="str">
        <f>VLOOKUP(E4062,dicionario!$A$1:$C4461,3,0)</f>
        <v>beldroegão</v>
      </c>
    </row>
    <row r="4063">
      <c r="A4063" s="3">
        <v>45645.0</v>
      </c>
      <c r="B4063" s="4">
        <v>0.31805555555555554</v>
      </c>
      <c r="C4063" s="5" t="s">
        <v>59</v>
      </c>
      <c r="D4063" s="5" t="s">
        <v>1004</v>
      </c>
      <c r="E4063" s="6" t="s">
        <v>467</v>
      </c>
      <c r="F4063" s="5" t="s">
        <v>468</v>
      </c>
      <c r="G4063" s="6" t="str">
        <f>VLOOKUP(E4063,dicionario!$A$1:$C4462,2,0)</f>
        <v>Eleusine indica</v>
      </c>
      <c r="H4063" s="6" t="str">
        <f>VLOOKUP(E4063,dicionario!$A$1:$C4462,3,0)</f>
        <v>capim-pé-de-galinha</v>
      </c>
    </row>
    <row r="4064">
      <c r="A4064" s="3">
        <v>45645.0</v>
      </c>
      <c r="B4064" s="4">
        <v>0.31805555555555554</v>
      </c>
      <c r="C4064" s="5" t="s">
        <v>59</v>
      </c>
      <c r="D4064" s="5" t="s">
        <v>1004</v>
      </c>
      <c r="E4064" s="6" t="s">
        <v>83</v>
      </c>
      <c r="F4064" s="5" t="s">
        <v>84</v>
      </c>
      <c r="G4064" s="6" t="str">
        <f>VLOOKUP(E4064,dicionario!$A$1:$C4463,2,0)</f>
        <v>Anartia jatrophae</v>
      </c>
      <c r="H4064" s="6" t="str">
        <f>VLOOKUP(E4064,dicionario!$A$1:$C4463,3,0)</f>
        <v>borboleta-pavão-branco</v>
      </c>
    </row>
    <row r="4065">
      <c r="A4065" s="3">
        <v>45645.0</v>
      </c>
      <c r="B4065" s="4">
        <v>0.31805555555555554</v>
      </c>
      <c r="C4065" s="5" t="s">
        <v>59</v>
      </c>
      <c r="D4065" s="5" t="s">
        <v>1004</v>
      </c>
      <c r="E4065" s="6" t="s">
        <v>146</v>
      </c>
      <c r="F4065" s="5" t="s">
        <v>147</v>
      </c>
      <c r="G4065" s="6" t="str">
        <f>VLOOKUP(E4065,dicionario!$A$1:$C4464,2,0)</f>
        <v>Euphorbia hirta</v>
      </c>
      <c r="H4065" s="6" t="str">
        <f>VLOOKUP(E4065,dicionario!$A$1:$C4464,3,0)</f>
        <v>erva-de-santa-luzia</v>
      </c>
    </row>
    <row r="4066">
      <c r="A4066" s="3">
        <v>45645.0</v>
      </c>
      <c r="B4066" s="4">
        <v>0.31805555555555554</v>
      </c>
      <c r="C4066" s="5" t="s">
        <v>59</v>
      </c>
      <c r="D4066" s="5" t="s">
        <v>1004</v>
      </c>
      <c r="E4066" s="6" t="s">
        <v>296</v>
      </c>
      <c r="F4066" s="5" t="s">
        <v>297</v>
      </c>
      <c r="G4066" s="6" t="str">
        <f>VLOOKUP(E4066,dicionario!$A$1:$C4465,2,0)</f>
        <v>Richardia brasiliensis</v>
      </c>
      <c r="H4066" s="6" t="str">
        <f>VLOOKUP(E4066,dicionario!$A$1:$C4465,3,0)</f>
        <v>poaia-branca</v>
      </c>
    </row>
    <row r="4067">
      <c r="A4067" s="3">
        <v>45645.0</v>
      </c>
      <c r="B4067" s="4">
        <v>0.31875</v>
      </c>
      <c r="C4067" s="5" t="s">
        <v>59</v>
      </c>
      <c r="D4067" s="5" t="s">
        <v>1004</v>
      </c>
      <c r="E4067" s="6" t="s">
        <v>292</v>
      </c>
      <c r="F4067" s="5" t="s">
        <v>293</v>
      </c>
      <c r="G4067" s="6" t="str">
        <f>VLOOKUP(E4067,dicionario!$A$1:$C4466,2,0)</f>
        <v>Ascia monuste</v>
      </c>
      <c r="H4067" s="6" t="str">
        <f>VLOOKUP(E4067,dicionario!$A$1:$C4466,3,0)</f>
        <v>borboleta-da-couve</v>
      </c>
    </row>
    <row r="4068">
      <c r="A4068" s="3">
        <v>45645.0</v>
      </c>
      <c r="B4068" s="4">
        <v>0.31875</v>
      </c>
      <c r="C4068" s="5" t="s">
        <v>59</v>
      </c>
      <c r="D4068" s="5" t="s">
        <v>1004</v>
      </c>
      <c r="E4068" s="6" t="s">
        <v>471</v>
      </c>
      <c r="F4068" s="5" t="s">
        <v>472</v>
      </c>
      <c r="G4068" s="6" t="str">
        <f>VLOOKUP(E4068,dicionario!$A$1:$C4467,2,0)</f>
        <v>Sida acuta</v>
      </c>
      <c r="H4068" s="6" t="str">
        <f>VLOOKUP(E4068,dicionario!$A$1:$C4467,3,0)</f>
        <v>reloginho</v>
      </c>
    </row>
    <row r="4069">
      <c r="A4069" s="3">
        <v>45645.0</v>
      </c>
      <c r="B4069" s="4">
        <v>0.31875</v>
      </c>
      <c r="C4069" s="5" t="s">
        <v>59</v>
      </c>
      <c r="D4069" s="5" t="s">
        <v>1004</v>
      </c>
      <c r="E4069" s="8" t="s">
        <v>849</v>
      </c>
      <c r="F4069" s="5" t="s">
        <v>849</v>
      </c>
      <c r="G4069" s="6" t="str">
        <f>VLOOKUP(E4069,dicionario!$A$1:$C4468,2,0)</f>
        <v>#N/A</v>
      </c>
      <c r="H4069" s="6" t="str">
        <f>VLOOKUP(E4069,dicionario!$A$1:$C4468,3,0)</f>
        <v>#N/A</v>
      </c>
    </row>
    <row r="4070">
      <c r="A4070" s="3">
        <v>45645.0</v>
      </c>
      <c r="B4070" s="4">
        <v>0.31875</v>
      </c>
      <c r="C4070" s="5" t="s">
        <v>59</v>
      </c>
      <c r="D4070" s="5" t="s">
        <v>1004</v>
      </c>
      <c r="E4070" s="6" t="s">
        <v>353</v>
      </c>
      <c r="F4070" s="5" t="s">
        <v>354</v>
      </c>
      <c r="G4070" s="6" t="str">
        <f>VLOOKUP(E4070,dicionario!$A$1:$C4469,2,0)</f>
        <v>Desmodium incanum</v>
      </c>
      <c r="H4070" s="6" t="str">
        <f>VLOOKUP(E4070,dicionario!$A$1:$C4469,3,0)</f>
        <v>pega-pega</v>
      </c>
    </row>
    <row r="4071">
      <c r="A4071" s="3">
        <v>45645.0</v>
      </c>
      <c r="B4071" s="4">
        <v>0.31875</v>
      </c>
      <c r="C4071" s="5" t="s">
        <v>59</v>
      </c>
      <c r="D4071" s="5" t="s">
        <v>1004</v>
      </c>
      <c r="E4071" s="8" t="s">
        <v>732</v>
      </c>
      <c r="F4071" s="5" t="s">
        <v>739</v>
      </c>
      <c r="G4071" s="6" t="str">
        <f>VLOOKUP(E4071,dicionario!$A$1:$C4470,2,0)</f>
        <v>#N/A</v>
      </c>
      <c r="H4071" s="6" t="str">
        <f>VLOOKUP(E4071,dicionario!$A$1:$C4470,3,0)</f>
        <v>#N/A</v>
      </c>
    </row>
    <row r="4072">
      <c r="A4072" s="3">
        <v>45645.0</v>
      </c>
      <c r="B4072" s="4">
        <v>0.31875</v>
      </c>
      <c r="C4072" s="5" t="s">
        <v>59</v>
      </c>
      <c r="D4072" s="5" t="s">
        <v>1004</v>
      </c>
      <c r="E4072" s="8" t="s">
        <v>738</v>
      </c>
      <c r="F4072" s="5" t="s">
        <v>1019</v>
      </c>
      <c r="G4072" s="6" t="str">
        <f>VLOOKUP(E4072,dicionario!$A$1:$C4471,2,0)</f>
        <v>Portulaca</v>
      </c>
      <c r="H4072" s="6" t="str">
        <f>VLOOKUP(E4072,dicionario!$A$1:$C4471,3,0)</f>
        <v/>
      </c>
    </row>
    <row r="4073">
      <c r="A4073" s="3">
        <v>45645.0</v>
      </c>
      <c r="B4073" s="4">
        <v>0.31875</v>
      </c>
      <c r="C4073" s="5" t="s">
        <v>59</v>
      </c>
      <c r="D4073" s="5" t="s">
        <v>1004</v>
      </c>
      <c r="E4073" s="8" t="s">
        <v>934</v>
      </c>
      <c r="F4073" s="5" t="s">
        <v>414</v>
      </c>
      <c r="G4073" s="6" t="str">
        <f>VLOOKUP(E4073,dicionario!$A$1:$C4472,2,0)</f>
        <v>#N/A</v>
      </c>
      <c r="H4073" s="6" t="str">
        <f>VLOOKUP(E4073,dicionario!$A$1:$C4472,3,0)</f>
        <v>#N/A</v>
      </c>
    </row>
    <row r="4074">
      <c r="A4074" s="3">
        <v>45645.0</v>
      </c>
      <c r="B4074" s="4">
        <v>0.31875</v>
      </c>
      <c r="C4074" s="5" t="s">
        <v>59</v>
      </c>
      <c r="D4074" s="5" t="s">
        <v>1004</v>
      </c>
      <c r="E4074" s="6" t="s">
        <v>135</v>
      </c>
      <c r="F4074" s="5" t="s">
        <v>136</v>
      </c>
      <c r="G4074" s="6" t="str">
        <f>VLOOKUP(E4074,dicionario!$A$1:$C4473,2,0)</f>
        <v>Tridax procumbens</v>
      </c>
      <c r="H4074" s="6" t="str">
        <f>VLOOKUP(E4074,dicionario!$A$1:$C4473,3,0)</f>
        <v>erva-de-touro</v>
      </c>
    </row>
    <row r="4075">
      <c r="A4075" s="3">
        <v>45645.0</v>
      </c>
      <c r="B4075" s="4">
        <v>0.3194444444444444</v>
      </c>
      <c r="C4075" s="5" t="s">
        <v>59</v>
      </c>
      <c r="D4075" s="5" t="s">
        <v>1004</v>
      </c>
      <c r="E4075" s="6" t="s">
        <v>53</v>
      </c>
      <c r="F4075" s="7" t="s">
        <v>54</v>
      </c>
      <c r="G4075" s="6" t="str">
        <f>VLOOKUP(E4075,dicionario!$A$1:$C4474,2,0)</f>
        <v>Turnera subulata</v>
      </c>
      <c r="H4075" s="6" t="str">
        <f>VLOOKUP(E4075,dicionario!$A$1:$C4474,3,0)</f>
        <v>xanana</v>
      </c>
    </row>
    <row r="4076">
      <c r="A4076" s="3">
        <v>45645.0</v>
      </c>
      <c r="B4076" s="4">
        <v>0.3194444444444444</v>
      </c>
      <c r="C4076" s="5" t="s">
        <v>59</v>
      </c>
      <c r="D4076" s="5" t="s">
        <v>1004</v>
      </c>
      <c r="E4076" s="6" t="s">
        <v>366</v>
      </c>
      <c r="F4076" s="5" t="s">
        <v>367</v>
      </c>
      <c r="G4076" s="6" t="str">
        <f>VLOOKUP(E4076,dicionario!$A$1:$C4475,2,0)</f>
        <v>Alternanthera ficoidea</v>
      </c>
      <c r="H4076" s="6" t="str">
        <f>VLOOKUP(E4076,dicionario!$A$1:$C4475,3,0)</f>
        <v>quebra-panela</v>
      </c>
    </row>
    <row r="4077">
      <c r="A4077" s="3">
        <v>45645.0</v>
      </c>
      <c r="B4077" s="4">
        <v>0.3194444444444444</v>
      </c>
      <c r="C4077" s="5" t="s">
        <v>59</v>
      </c>
      <c r="D4077" s="5" t="s">
        <v>1004</v>
      </c>
      <c r="E4077" s="8" t="s">
        <v>1020</v>
      </c>
      <c r="F4077" s="5" t="s">
        <v>1021</v>
      </c>
      <c r="G4077" s="6" t="str">
        <f>VLOOKUP(E4077,dicionario!$A$1:$C4476,2,0)</f>
        <v>#N/A</v>
      </c>
      <c r="H4077" s="6" t="str">
        <f>VLOOKUP(E4077,dicionario!$A$1:$C4476,3,0)</f>
        <v>#N/A</v>
      </c>
    </row>
    <row r="4078">
      <c r="A4078" s="3">
        <v>45645.0</v>
      </c>
      <c r="B4078" s="4">
        <v>0.3194444444444444</v>
      </c>
      <c r="C4078" s="5" t="s">
        <v>59</v>
      </c>
      <c r="D4078" s="5" t="s">
        <v>1004</v>
      </c>
      <c r="E4078" s="6" t="s">
        <v>177</v>
      </c>
      <c r="F4078" s="5" t="s">
        <v>178</v>
      </c>
      <c r="G4078" s="6" t="str">
        <f>VLOOKUP(E4078,dicionario!$A$1:$C4477,2,0)</f>
        <v>Elaenia flavogaster</v>
      </c>
      <c r="H4078" s="6" t="str">
        <f>VLOOKUP(E4078,dicionario!$A$1:$C4477,3,0)</f>
        <v>guaracava-de-barriga-amarela</v>
      </c>
    </row>
    <row r="4079">
      <c r="A4079" s="3">
        <v>45645.0</v>
      </c>
      <c r="B4079" s="4">
        <v>0.3194444444444444</v>
      </c>
      <c r="C4079" s="5" t="s">
        <v>59</v>
      </c>
      <c r="D4079" s="5" t="s">
        <v>1004</v>
      </c>
      <c r="E4079" s="6" t="s">
        <v>20</v>
      </c>
      <c r="F4079" s="7" t="s">
        <v>21</v>
      </c>
      <c r="G4079" s="6" t="str">
        <f>VLOOKUP(E4079,dicionario!$A$1:$C4478,2,0)</f>
        <v>Sicalis flaveola</v>
      </c>
      <c r="H4079" s="6" t="str">
        <f>VLOOKUP(E4079,dicionario!$A$1:$C4478,3,0)</f>
        <v>canário-da-terra</v>
      </c>
    </row>
    <row r="4080">
      <c r="A4080" s="3">
        <v>45645.0</v>
      </c>
      <c r="B4080" s="4">
        <v>0.3194444444444444</v>
      </c>
      <c r="C4080" s="5" t="s">
        <v>59</v>
      </c>
      <c r="D4080" s="5" t="s">
        <v>1004</v>
      </c>
      <c r="E4080" s="9" t="s">
        <v>22</v>
      </c>
      <c r="F4080" s="5" t="s">
        <v>97</v>
      </c>
      <c r="G4080" s="6" t="str">
        <f>VLOOKUP(E4080,dicionario!$A$1:$C4479,2,0)</f>
        <v>Zenaida auriculata</v>
      </c>
      <c r="H4080" s="6" t="str">
        <f>VLOOKUP(E4080,dicionario!$A$1:$C4479,3,0)</f>
        <v>pomba-de-bando; avoante</v>
      </c>
    </row>
    <row r="4081">
      <c r="A4081" s="3">
        <v>45645.0</v>
      </c>
      <c r="B4081" s="4">
        <v>0.3194444444444444</v>
      </c>
      <c r="C4081" s="5" t="s">
        <v>59</v>
      </c>
      <c r="D4081" s="5" t="s">
        <v>1004</v>
      </c>
      <c r="E4081" s="6" t="s">
        <v>113</v>
      </c>
      <c r="F4081" s="5" t="s">
        <v>114</v>
      </c>
      <c r="G4081" s="6" t="str">
        <f>VLOOKUP(E4081,dicionario!$A$1:$C4480,2,0)</f>
        <v>Columbina talpacoti</v>
      </c>
      <c r="H4081" s="6" t="str">
        <f>VLOOKUP(E4081,dicionario!$A$1:$C4480,3,0)</f>
        <v>rolinha-roxa</v>
      </c>
    </row>
    <row r="4082">
      <c r="A4082" s="3">
        <v>45645.0</v>
      </c>
      <c r="B4082" s="4">
        <v>0.32013888888888886</v>
      </c>
      <c r="C4082" s="5" t="s">
        <v>59</v>
      </c>
      <c r="D4082" s="5" t="s">
        <v>1004</v>
      </c>
      <c r="E4082" s="6" t="s">
        <v>158</v>
      </c>
      <c r="F4082" s="5" t="s">
        <v>159</v>
      </c>
      <c r="G4082" s="6" t="str">
        <f>VLOOKUP(E4082,dicionario!$A$1:$C4481,2,0)</f>
        <v>Nephilingis cruentata</v>
      </c>
      <c r="H4082" s="6" t="str">
        <f>VLOOKUP(E4082,dicionario!$A$1:$C4481,3,0)</f>
        <v>maria-bola</v>
      </c>
    </row>
    <row r="4083">
      <c r="A4083" s="3">
        <v>45645.0</v>
      </c>
      <c r="B4083" s="4">
        <v>0.32013888888888886</v>
      </c>
      <c r="C4083" s="5" t="s">
        <v>59</v>
      </c>
      <c r="D4083" s="5" t="s">
        <v>1004</v>
      </c>
      <c r="E4083" s="6" t="s">
        <v>148</v>
      </c>
      <c r="F4083" s="5" t="s">
        <v>149</v>
      </c>
      <c r="G4083" s="6" t="str">
        <f>VLOOKUP(E4083,dicionario!$A$1:$C4482,2,0)</f>
        <v>Parthenium hysterophorus</v>
      </c>
      <c r="H4083" s="6" t="str">
        <f>VLOOKUP(E4083,dicionario!$A$1:$C4482,3,0)</f>
        <v>losna-branca</v>
      </c>
    </row>
    <row r="4084">
      <c r="A4084" s="3">
        <v>45645.0</v>
      </c>
      <c r="B4084" s="4">
        <v>0.32013888888888886</v>
      </c>
      <c r="C4084" s="5" t="s">
        <v>59</v>
      </c>
      <c r="D4084" s="5" t="s">
        <v>1004</v>
      </c>
      <c r="E4084" s="29" t="s">
        <v>566</v>
      </c>
      <c r="F4084" s="5" t="s">
        <v>567</v>
      </c>
      <c r="G4084" s="6" t="str">
        <f>VLOOKUP(E4084,dicionario!$A$1:$C4483,2,0)</f>
        <v>Baccharis dracunculifolia</v>
      </c>
      <c r="H4084" s="6" t="str">
        <f>VLOOKUP(E4084,dicionario!$A$1:$C4483,3,0)</f>
        <v>vassoura</v>
      </c>
    </row>
    <row r="4085">
      <c r="A4085" s="3">
        <v>45645.0</v>
      </c>
      <c r="B4085" s="4">
        <v>0.32013888888888886</v>
      </c>
      <c r="C4085" s="5" t="s">
        <v>59</v>
      </c>
      <c r="D4085" s="5" t="s">
        <v>1004</v>
      </c>
      <c r="E4085" s="6" t="s">
        <v>239</v>
      </c>
      <c r="F4085" s="5" t="s">
        <v>240</v>
      </c>
      <c r="G4085" s="6" t="str">
        <f>VLOOKUP(E4085,dicionario!$A$1:$C4484,2,0)</f>
        <v>Gomphrena celosioides</v>
      </c>
      <c r="H4085" s="6" t="str">
        <f>VLOOKUP(E4085,dicionario!$A$1:$C4484,3,0)</f>
        <v>perpétua-branca</v>
      </c>
    </row>
    <row r="4086">
      <c r="A4086" s="3">
        <v>45645.0</v>
      </c>
      <c r="B4086" s="4">
        <v>0.32013888888888886</v>
      </c>
      <c r="C4086" s="5" t="s">
        <v>59</v>
      </c>
      <c r="D4086" s="5" t="s">
        <v>1004</v>
      </c>
      <c r="E4086" s="6" t="s">
        <v>243</v>
      </c>
      <c r="F4086" s="5" t="s">
        <v>244</v>
      </c>
      <c r="G4086" s="6" t="str">
        <f>VLOOKUP(E4086,dicionario!$A$1:$C4485,2,0)</f>
        <v>Macroptilium atropurpureum</v>
      </c>
      <c r="H4086" s="6" t="str">
        <f>VLOOKUP(E4086,dicionario!$A$1:$C4485,3,0)</f>
        <v>feijão-de-pombo</v>
      </c>
    </row>
    <row r="4087">
      <c r="A4087" s="3">
        <v>45645.0</v>
      </c>
      <c r="B4087" s="4">
        <v>0.32013888888888886</v>
      </c>
      <c r="C4087" s="5" t="s">
        <v>59</v>
      </c>
      <c r="D4087" s="5" t="s">
        <v>1004</v>
      </c>
      <c r="E4087" s="8" t="s">
        <v>688</v>
      </c>
      <c r="F4087" s="5" t="s">
        <v>121</v>
      </c>
      <c r="G4087" s="6" t="str">
        <f>VLOOKUP(E4087,dicionario!$A$1:$C4486,2,0)</f>
        <v>Fidicina</v>
      </c>
      <c r="H4087" s="6" t="str">
        <f>VLOOKUP(E4087,dicionario!$A$1:$C4486,3,0)</f>
        <v>cigarra</v>
      </c>
    </row>
    <row r="4088">
      <c r="A4088" s="3">
        <v>45645.0</v>
      </c>
      <c r="B4088" s="4">
        <v>0.32083333333333336</v>
      </c>
      <c r="C4088" s="5" t="s">
        <v>59</v>
      </c>
      <c r="D4088" s="5" t="s">
        <v>1004</v>
      </c>
      <c r="E4088" s="8" t="s">
        <v>1022</v>
      </c>
      <c r="F4088" s="5" t="s">
        <v>1023</v>
      </c>
      <c r="G4088" s="6" t="str">
        <f>VLOOKUP(E4088,dicionario!$A$1:$C4487,2,0)</f>
        <v>#N/A</v>
      </c>
      <c r="H4088" s="6" t="str">
        <f>VLOOKUP(E4088,dicionario!$A$1:$C4487,3,0)</f>
        <v>#N/A</v>
      </c>
    </row>
    <row r="4089">
      <c r="A4089" s="3">
        <v>45645.0</v>
      </c>
      <c r="B4089" s="4">
        <v>0.32083333333333336</v>
      </c>
      <c r="C4089" s="5" t="s">
        <v>59</v>
      </c>
      <c r="D4089" s="5" t="s">
        <v>1004</v>
      </c>
      <c r="E4089" s="20" t="s">
        <v>676</v>
      </c>
      <c r="F4089" s="7" t="s">
        <v>677</v>
      </c>
      <c r="G4089" s="6" t="str">
        <f>VLOOKUP(E4089,dicionario!$A$1:$C4488,2,0)</f>
        <v>Zornia latifolia</v>
      </c>
      <c r="H4089" s="6" t="str">
        <f>VLOOKUP(E4089,dicionario!$A$1:$C4488,3,0)</f>
        <v>arrozinho-do-campo</v>
      </c>
    </row>
    <row r="4090">
      <c r="A4090" s="3">
        <v>45645.0</v>
      </c>
      <c r="B4090" s="4">
        <v>0.32083333333333336</v>
      </c>
      <c r="C4090" s="5" t="s">
        <v>59</v>
      </c>
      <c r="D4090" s="5" t="s">
        <v>1004</v>
      </c>
      <c r="E4090" s="6" t="s">
        <v>286</v>
      </c>
      <c r="F4090" s="5" t="s">
        <v>287</v>
      </c>
      <c r="G4090" s="6" t="str">
        <f>VLOOKUP(E4090,dicionario!$A$1:$C4489,2,0)</f>
        <v>Setaria parviflora</v>
      </c>
      <c r="H4090" s="6" t="str">
        <f>VLOOKUP(E4090,dicionario!$A$1:$C4489,3,0)</f>
        <v>capim-rabo-de-raposa</v>
      </c>
    </row>
    <row r="4091">
      <c r="A4091" s="3">
        <v>45645.0</v>
      </c>
      <c r="B4091" s="4">
        <v>0.32083333333333336</v>
      </c>
      <c r="C4091" s="5" t="s">
        <v>59</v>
      </c>
      <c r="D4091" s="5" t="s">
        <v>1004</v>
      </c>
      <c r="E4091" s="6" t="s">
        <v>14</v>
      </c>
      <c r="F4091" s="5" t="s">
        <v>15</v>
      </c>
      <c r="G4091" s="6" t="str">
        <f>VLOOKUP(E4091,dicionario!$A$1:$C4490,2,0)</f>
        <v>Spermacoce verticillata</v>
      </c>
      <c r="H4091" s="6" t="str">
        <f>VLOOKUP(E4091,dicionario!$A$1:$C4490,3,0)</f>
        <v>vassourinha-de-botão</v>
      </c>
    </row>
    <row r="4092">
      <c r="A4092" s="3">
        <v>45645.0</v>
      </c>
      <c r="B4092" s="4">
        <v>0.3215277777777778</v>
      </c>
      <c r="C4092" s="5" t="s">
        <v>59</v>
      </c>
      <c r="D4092" s="5" t="s">
        <v>1004</v>
      </c>
      <c r="E4092" s="6" t="s">
        <v>191</v>
      </c>
      <c r="F4092" s="5" t="s">
        <v>192</v>
      </c>
      <c r="G4092" s="6" t="str">
        <f>VLOOKUP(E4092,dicionario!$A$1:$C4491,2,0)</f>
        <v>Patagioenas picazuro</v>
      </c>
      <c r="H4092" s="6" t="str">
        <f>VLOOKUP(E4092,dicionario!$A$1:$C4491,3,0)</f>
        <v>asa-branca; pomba-asa-branca; pocaçu</v>
      </c>
    </row>
    <row r="4093">
      <c r="A4093" s="3">
        <v>45645.0</v>
      </c>
      <c r="B4093" s="4">
        <v>0.3215277777777778</v>
      </c>
      <c r="C4093" s="5" t="s">
        <v>59</v>
      </c>
      <c r="D4093" s="5" t="s">
        <v>1004</v>
      </c>
      <c r="E4093" s="6" t="s">
        <v>163</v>
      </c>
      <c r="F4093" s="5" t="s">
        <v>164</v>
      </c>
      <c r="G4093" s="6" t="str">
        <f>VLOOKUP(E4093,dicionario!$A$1:$C4492,2,0)</f>
        <v>Coragyps atratus</v>
      </c>
      <c r="H4093" s="6" t="str">
        <f>VLOOKUP(E4093,dicionario!$A$1:$C4492,3,0)</f>
        <v>urubu-de-cabeça-preta</v>
      </c>
    </row>
    <row r="4094">
      <c r="A4094" s="3">
        <v>45645.0</v>
      </c>
      <c r="B4094" s="4">
        <v>0.3215277777777778</v>
      </c>
      <c r="C4094" s="5" t="s">
        <v>59</v>
      </c>
      <c r="D4094" s="5" t="s">
        <v>1004</v>
      </c>
      <c r="E4094" s="6" t="s">
        <v>88</v>
      </c>
      <c r="F4094" s="5" t="s">
        <v>89</v>
      </c>
      <c r="G4094" s="6" t="str">
        <f>VLOOKUP(E4094,dicionario!$A$1:$C4493,2,0)</f>
        <v>Tyrannus melancolichus</v>
      </c>
      <c r="H4094" s="6" t="str">
        <f>VLOOKUP(E4094,dicionario!$A$1:$C4493,3,0)</f>
        <v>suiriri</v>
      </c>
    </row>
    <row r="4095">
      <c r="A4095" s="3">
        <v>45645.0</v>
      </c>
      <c r="B4095" s="4">
        <v>0.3229166666666667</v>
      </c>
      <c r="C4095" s="5" t="s">
        <v>59</v>
      </c>
      <c r="D4095" s="5" t="s">
        <v>1004</v>
      </c>
      <c r="E4095" s="26" t="s">
        <v>535</v>
      </c>
      <c r="F4095" s="55" t="s">
        <v>900</v>
      </c>
      <c r="G4095" s="6" t="str">
        <f>VLOOKUP(E4095,dicionario!$A$1:$C4494,2,0)</f>
        <v>Odonata</v>
      </c>
      <c r="H4095" s="6" t="str">
        <f>VLOOKUP(E4095,dicionario!$A$1:$C4494,3,0)</f>
        <v>libélula</v>
      </c>
    </row>
    <row r="4096">
      <c r="A4096" s="3">
        <v>45645.0</v>
      </c>
      <c r="B4096" s="4">
        <v>0.3229166666666667</v>
      </c>
      <c r="C4096" s="5" t="s">
        <v>59</v>
      </c>
      <c r="D4096" s="5" t="s">
        <v>1004</v>
      </c>
      <c r="E4096" s="6" t="s">
        <v>448</v>
      </c>
      <c r="F4096" s="5" t="s">
        <v>462</v>
      </c>
      <c r="G4096" s="6" t="str">
        <f>VLOOKUP(E4096,dicionario!$A$1:$C4495,2,0)</f>
        <v>Mechanitis polymnia</v>
      </c>
      <c r="H4096" s="6" t="str">
        <f>VLOOKUP(E4096,dicionario!$A$1:$C4495,3,0)</f>
        <v>maria-boba</v>
      </c>
    </row>
    <row r="4097">
      <c r="A4097" s="3">
        <v>45645.0</v>
      </c>
      <c r="B4097" s="4">
        <v>0.3229166666666667</v>
      </c>
      <c r="C4097" s="5" t="s">
        <v>59</v>
      </c>
      <c r="D4097" s="5" t="s">
        <v>1004</v>
      </c>
      <c r="E4097" s="6" t="s">
        <v>122</v>
      </c>
      <c r="F4097" s="7" t="s">
        <v>123</v>
      </c>
      <c r="G4097" s="6" t="str">
        <f>VLOOKUP(E4097,dicionario!$A$1:$C4496,2,0)</f>
        <v>Todirostrum cinereum</v>
      </c>
      <c r="H4097" s="6" t="str">
        <f>VLOOKUP(E4097,dicionario!$A$1:$C4496,3,0)</f>
        <v>ferreirinho-relógio</v>
      </c>
    </row>
    <row r="4098">
      <c r="A4098" s="3">
        <v>45645.0</v>
      </c>
      <c r="B4098" s="4">
        <v>0.3236111111111111</v>
      </c>
      <c r="C4098" s="5" t="s">
        <v>59</v>
      </c>
      <c r="D4098" s="5" t="s">
        <v>1004</v>
      </c>
      <c r="E4098" s="6" t="s">
        <v>519</v>
      </c>
      <c r="F4098" s="5" t="s">
        <v>925</v>
      </c>
      <c r="G4098" s="6" t="str">
        <f>VLOOKUP(E4098,dicionario!$A$1:$C4497,2,0)</f>
        <v>Drosophila melanogaster</v>
      </c>
      <c r="H4098" s="6" t="str">
        <f>VLOOKUP(E4098,dicionario!$A$1:$C4497,3,0)</f>
        <v>mitinga/mosca-da-fruta</v>
      </c>
    </row>
    <row r="4099">
      <c r="A4099" s="3">
        <v>45645.0</v>
      </c>
      <c r="B4099" s="4">
        <v>0.3236111111111111</v>
      </c>
      <c r="C4099" s="5" t="s">
        <v>59</v>
      </c>
      <c r="D4099" s="5" t="s">
        <v>1004</v>
      </c>
      <c r="E4099" s="6" t="s">
        <v>99</v>
      </c>
      <c r="F4099" s="5" t="s">
        <v>508</v>
      </c>
      <c r="G4099" s="6" t="str">
        <f>VLOOKUP(E4099,dicionario!$A$1:$C4498,2,0)</f>
        <v>Molothrus bonariensis</v>
      </c>
      <c r="H4099" s="6" t="str">
        <f>VLOOKUP(E4099,dicionario!$A$1:$C4498,3,0)</f>
        <v>chupim</v>
      </c>
    </row>
    <row r="4100">
      <c r="A4100" s="3">
        <v>45645.0</v>
      </c>
      <c r="B4100" s="4">
        <v>0.3236111111111111</v>
      </c>
      <c r="C4100" s="5" t="s">
        <v>59</v>
      </c>
      <c r="D4100" s="5" t="s">
        <v>1004</v>
      </c>
      <c r="E4100" s="8" t="s">
        <v>1024</v>
      </c>
      <c r="F4100" s="5" t="s">
        <v>753</v>
      </c>
      <c r="G4100" s="6" t="str">
        <f>VLOOKUP(E4100,dicionario!$A$1:$C4499,2,0)</f>
        <v>Usnea barbata</v>
      </c>
      <c r="H4100" s="6" t="str">
        <f>VLOOKUP(E4100,dicionario!$A$1:$C4499,3,0)</f>
        <v>barba-de-velho</v>
      </c>
    </row>
    <row r="4101">
      <c r="A4101" s="3">
        <v>45645.0</v>
      </c>
      <c r="B4101" s="4">
        <v>0.3236111111111111</v>
      </c>
      <c r="C4101" s="5" t="s">
        <v>59</v>
      </c>
      <c r="D4101" s="5" t="s">
        <v>1004</v>
      </c>
      <c r="E4101" s="8" t="s">
        <v>107</v>
      </c>
      <c r="F4101" s="5" t="s">
        <v>108</v>
      </c>
      <c r="G4101" s="6" t="str">
        <f>VLOOKUP(E4101,dicionario!$A$1:$C4500,2,0)</f>
        <v>Ramalina complanata</v>
      </c>
      <c r="H4101" s="6" t="str">
        <f>VLOOKUP(E4101,dicionario!$A$1:$C4500,3,0)</f>
        <v>ramalina</v>
      </c>
    </row>
    <row r="4102">
      <c r="A4102" s="3">
        <v>45645.0</v>
      </c>
      <c r="B4102" s="4">
        <v>0.3236111111111111</v>
      </c>
      <c r="C4102" s="5" t="s">
        <v>59</v>
      </c>
      <c r="D4102" s="5" t="s">
        <v>1004</v>
      </c>
      <c r="E4102" s="8" t="s">
        <v>719</v>
      </c>
      <c r="F4102" s="5" t="s">
        <v>720</v>
      </c>
      <c r="G4102" s="6" t="str">
        <f>VLOOKUP(E4102,dicionario!$A$1:$C4501,2,0)</f>
        <v>Dirinaria</v>
      </c>
      <c r="H4102" s="6" t="str">
        <f>VLOOKUP(E4102,dicionario!$A$1:$C4501,3,0)</f>
        <v>líquen-crostoso</v>
      </c>
    </row>
    <row r="4103">
      <c r="A4103" s="3">
        <v>45645.0</v>
      </c>
      <c r="B4103" s="4">
        <v>0.3236111111111111</v>
      </c>
      <c r="C4103" s="5" t="s">
        <v>59</v>
      </c>
      <c r="D4103" s="5" t="s">
        <v>1004</v>
      </c>
      <c r="E4103" s="8" t="s">
        <v>712</v>
      </c>
      <c r="F4103" s="5" t="s">
        <v>1025</v>
      </c>
      <c r="G4103" s="6" t="str">
        <f>VLOOKUP(E4103,dicionario!$A$1:$C4502,2,0)</f>
        <v>Flavopunctelia soredica</v>
      </c>
      <c r="H4103" s="6" t="str">
        <f>VLOOKUP(E4103,dicionario!$A$1:$C4502,3,0)</f>
        <v>líquen-folioso</v>
      </c>
    </row>
    <row r="4104">
      <c r="A4104" s="3">
        <v>45645.0</v>
      </c>
      <c r="B4104" s="4">
        <v>0.32430555555555557</v>
      </c>
      <c r="C4104" s="5" t="s">
        <v>59</v>
      </c>
      <c r="D4104" s="5" t="s">
        <v>1004</v>
      </c>
      <c r="E4104" s="8" t="s">
        <v>1026</v>
      </c>
      <c r="F4104" s="5" t="s">
        <v>545</v>
      </c>
      <c r="G4104" s="6" t="str">
        <f>VLOOKUP(E4104,dicionario!$A$1:$C4503,2,0)</f>
        <v>Heliconius erato</v>
      </c>
      <c r="H4104" s="6" t="str">
        <f>VLOOKUP(E4104,dicionario!$A$1:$C4503,3,0)</f>
        <v>borboleta-castanha-vemelha</v>
      </c>
    </row>
    <row r="4105">
      <c r="A4105" s="3">
        <v>45645.0</v>
      </c>
      <c r="B4105" s="4">
        <v>0.32430555555555557</v>
      </c>
      <c r="C4105" s="5" t="s">
        <v>59</v>
      </c>
      <c r="D4105" s="5" t="s">
        <v>1004</v>
      </c>
      <c r="E4105" s="8" t="s">
        <v>572</v>
      </c>
      <c r="F4105" s="5" t="s">
        <v>1027</v>
      </c>
      <c r="G4105" s="6" t="str">
        <f>VLOOKUP(E4105,dicionario!$A$1:$C4504,2,0)</f>
        <v>#N/A</v>
      </c>
      <c r="H4105" s="6" t="str">
        <f>VLOOKUP(E4105,dicionario!$A$1:$C4504,3,0)</f>
        <v>#N/A</v>
      </c>
    </row>
    <row r="4106">
      <c r="A4106" s="3">
        <v>45645.0</v>
      </c>
      <c r="B4106" s="4">
        <v>0.32569444444444445</v>
      </c>
      <c r="C4106" s="5" t="s">
        <v>59</v>
      </c>
      <c r="D4106" s="5" t="s">
        <v>1004</v>
      </c>
      <c r="E4106" s="6" t="s">
        <v>65</v>
      </c>
      <c r="F4106" s="5" t="s">
        <v>1028</v>
      </c>
      <c r="G4106" s="6" t="str">
        <f>VLOOKUP(E4106,dicionario!$A$1:$C4505,2,0)</f>
        <v>Pitangus sulphutarus</v>
      </c>
      <c r="H4106" s="6" t="str">
        <f>VLOOKUP(E4106,dicionario!$A$1:$C4505,3,0)</f>
        <v>bem-te-vi</v>
      </c>
    </row>
    <row r="4107">
      <c r="A4107" s="3">
        <v>45645.0</v>
      </c>
      <c r="B4107" s="4">
        <v>0.32569444444444445</v>
      </c>
      <c r="C4107" s="5" t="s">
        <v>59</v>
      </c>
      <c r="D4107" s="5" t="s">
        <v>1004</v>
      </c>
      <c r="E4107" s="8" t="s">
        <v>143</v>
      </c>
      <c r="F4107" s="5" t="s">
        <v>63</v>
      </c>
      <c r="G4107" s="6" t="str">
        <f>VLOOKUP(E4107,dicionario!$A$1:$C4506,2,0)</f>
        <v>Polybia</v>
      </c>
      <c r="H4107" s="6" t="str">
        <f>VLOOKUP(E4107,dicionario!$A$1:$C4506,3,0)</f>
        <v>vespa</v>
      </c>
    </row>
    <row r="4108">
      <c r="A4108" s="3">
        <v>45645.0</v>
      </c>
      <c r="B4108" s="4">
        <v>0.32569444444444445</v>
      </c>
      <c r="C4108" s="5" t="s">
        <v>59</v>
      </c>
      <c r="D4108" s="5" t="s">
        <v>1004</v>
      </c>
      <c r="E4108" s="6" t="s">
        <v>498</v>
      </c>
      <c r="F4108" s="5" t="s">
        <v>499</v>
      </c>
      <c r="G4108" s="6" t="str">
        <f>VLOOKUP(E4108,dicionario!$A$1:$C4507,2,0)</f>
        <v>Brachiaria decumbens</v>
      </c>
      <c r="H4108" s="6" t="str">
        <f>VLOOKUP(E4108,dicionario!$A$1:$C4507,3,0)</f>
        <v>capim-braquiária</v>
      </c>
    </row>
    <row r="4109">
      <c r="A4109" s="3">
        <v>45645.0</v>
      </c>
      <c r="B4109" s="4">
        <v>0.32569444444444445</v>
      </c>
      <c r="C4109" s="5" t="s">
        <v>59</v>
      </c>
      <c r="D4109" s="5" t="s">
        <v>1004</v>
      </c>
      <c r="E4109" s="8" t="s">
        <v>928</v>
      </c>
      <c r="F4109" s="7" t="s">
        <v>170</v>
      </c>
      <c r="G4109" s="6" t="str">
        <f>VLOOKUP(E4109,dicionario!$A$1:$C4508,2,0)</f>
        <v>Camponotus</v>
      </c>
      <c r="H4109" s="6" t="str">
        <f>VLOOKUP(E4109,dicionario!$A$1:$C4508,3,0)</f>
        <v>formiga-preta</v>
      </c>
    </row>
    <row r="4110">
      <c r="A4110" s="3">
        <v>45645.0</v>
      </c>
      <c r="B4110" s="4">
        <v>0.32569444444444445</v>
      </c>
      <c r="C4110" s="5" t="s">
        <v>59</v>
      </c>
      <c r="D4110" s="5" t="s">
        <v>1004</v>
      </c>
      <c r="E4110" s="8" t="s">
        <v>107</v>
      </c>
      <c r="F4110" s="5" t="s">
        <v>108</v>
      </c>
      <c r="G4110" s="6" t="str">
        <f>VLOOKUP(E4110,dicionario!$A$1:$C4509,2,0)</f>
        <v>Ramalina complanata</v>
      </c>
      <c r="H4110" s="6" t="str">
        <f>VLOOKUP(E4110,dicionario!$A$1:$C4509,3,0)</f>
        <v>ramalina</v>
      </c>
    </row>
    <row r="4111">
      <c r="A4111" s="3">
        <v>45645.0</v>
      </c>
      <c r="B4111" s="4">
        <v>0.32916666666666666</v>
      </c>
      <c r="C4111" s="5" t="s">
        <v>948</v>
      </c>
      <c r="D4111" s="5" t="s">
        <v>1004</v>
      </c>
      <c r="E4111" s="8" t="s">
        <v>139</v>
      </c>
      <c r="F4111" s="5" t="s">
        <v>862</v>
      </c>
      <c r="G4111" s="6" t="str">
        <f>VLOOKUP(E4111,dicionario!$A$1:$C4510,2,0)</f>
        <v>Tropidurus torquatus</v>
      </c>
      <c r="H4111" s="6" t="str">
        <f>VLOOKUP(E4111,dicionario!$A$1:$C4510,3,0)</f>
        <v>calango; tropiduro-comum</v>
      </c>
    </row>
    <row r="4112">
      <c r="A4112" s="3">
        <v>45645.0</v>
      </c>
      <c r="B4112" s="4">
        <v>0.32916666666666666</v>
      </c>
      <c r="C4112" s="5" t="s">
        <v>948</v>
      </c>
      <c r="D4112" s="5" t="s">
        <v>1004</v>
      </c>
      <c r="E4112" s="6" t="s">
        <v>48</v>
      </c>
      <c r="F4112" s="5" t="s">
        <v>49</v>
      </c>
      <c r="G4112" s="6" t="str">
        <f>VLOOKUP(E4112,dicionario!$A$1:$C4511,2,0)</f>
        <v>Commelina erecta</v>
      </c>
      <c r="H4112" s="6" t="str">
        <f>VLOOKUP(E4112,dicionario!$A$1:$C4511,3,0)</f>
        <v>trapoeraba</v>
      </c>
    </row>
    <row r="4113">
      <c r="A4113" s="3">
        <v>45645.0</v>
      </c>
      <c r="B4113" s="4">
        <v>0.32916666666666666</v>
      </c>
      <c r="C4113" s="5" t="s">
        <v>948</v>
      </c>
      <c r="D4113" s="5" t="s">
        <v>1004</v>
      </c>
      <c r="E4113" s="6" t="s">
        <v>150</v>
      </c>
      <c r="F4113" s="5" t="s">
        <v>151</v>
      </c>
      <c r="G4113" s="6" t="str">
        <f>VLOOKUP(E4113,dicionario!$A$1:$C4512,2,0)</f>
        <v>Amaranthus viridis</v>
      </c>
      <c r="H4113" s="6" t="str">
        <f>VLOOKUP(E4113,dicionario!$A$1:$C4512,3,0)</f>
        <v>caruru-de-mancha</v>
      </c>
    </row>
    <row r="4114">
      <c r="A4114" s="3">
        <v>45645.0</v>
      </c>
      <c r="B4114" s="4">
        <v>0.32916666666666666</v>
      </c>
      <c r="C4114" s="5" t="s">
        <v>948</v>
      </c>
      <c r="D4114" s="5" t="s">
        <v>1004</v>
      </c>
      <c r="E4114" s="8" t="s">
        <v>427</v>
      </c>
      <c r="F4114" s="5" t="s">
        <v>428</v>
      </c>
      <c r="G4114" s="6" t="str">
        <f>VLOOKUP(E4114,dicionario!$A$1:$C4513,2,0)</f>
        <v>Condylostylus longicornis</v>
      </c>
      <c r="H4114" s="6" t="str">
        <f>VLOOKUP(E4114,dicionario!$A$1:$C4513,3,0)</f>
        <v>mosca-de-pernas-longas</v>
      </c>
    </row>
    <row r="4115">
      <c r="A4115" s="3">
        <v>45645.0</v>
      </c>
      <c r="B4115" s="4">
        <v>0.32916666666666666</v>
      </c>
      <c r="C4115" s="5" t="s">
        <v>948</v>
      </c>
      <c r="D4115" s="5" t="s">
        <v>1004</v>
      </c>
      <c r="E4115" s="6" t="s">
        <v>467</v>
      </c>
      <c r="F4115" s="5" t="s">
        <v>468</v>
      </c>
      <c r="G4115" s="6" t="str">
        <f>VLOOKUP(E4115,dicionario!$A$1:$C4514,2,0)</f>
        <v>Eleusine indica</v>
      </c>
      <c r="H4115" s="6" t="str">
        <f>VLOOKUP(E4115,dicionario!$A$1:$C4514,3,0)</f>
        <v>capim-pé-de-galinha</v>
      </c>
    </row>
    <row r="4116">
      <c r="A4116" s="3">
        <v>45645.0</v>
      </c>
      <c r="B4116" s="4">
        <v>0.3298611111111111</v>
      </c>
      <c r="C4116" s="5" t="s">
        <v>948</v>
      </c>
      <c r="D4116" s="5" t="s">
        <v>1004</v>
      </c>
      <c r="E4116" s="8" t="s">
        <v>489</v>
      </c>
      <c r="F4116" s="5" t="s">
        <v>196</v>
      </c>
      <c r="G4116" s="6" t="str">
        <f>VLOOKUP(E4116,dicionario!$A$1:$C4515,2,0)</f>
        <v>Cenchrus echinatus</v>
      </c>
      <c r="H4116" s="6" t="str">
        <f>VLOOKUP(E4116,dicionario!$A$1:$C4515,3,0)</f>
        <v>capim-carrapicho</v>
      </c>
    </row>
    <row r="4117">
      <c r="A4117" s="3">
        <v>45645.0</v>
      </c>
      <c r="B4117" s="4">
        <v>0.3298611111111111</v>
      </c>
      <c r="C4117" s="5" t="s">
        <v>948</v>
      </c>
      <c r="D4117" s="5" t="s">
        <v>1004</v>
      </c>
      <c r="E4117" s="6" t="s">
        <v>141</v>
      </c>
      <c r="F4117" s="5" t="s">
        <v>142</v>
      </c>
      <c r="G4117" s="6" t="str">
        <f>VLOOKUP(E4117,dicionario!$A$1:$C4516,2,0)</f>
        <v>Ruellia blechum</v>
      </c>
      <c r="H4117" s="6" t="str">
        <f>VLOOKUP(E4117,dicionario!$A$1:$C4516,3,0)</f>
        <v>camarão-verde</v>
      </c>
    </row>
    <row r="4118">
      <c r="A4118" s="3">
        <v>45645.0</v>
      </c>
      <c r="B4118" s="4">
        <v>0.3298611111111111</v>
      </c>
      <c r="C4118" s="5" t="s">
        <v>948</v>
      </c>
      <c r="D4118" s="5" t="s">
        <v>1004</v>
      </c>
      <c r="E4118" s="6" t="s">
        <v>69</v>
      </c>
      <c r="F4118" s="7" t="s">
        <v>71</v>
      </c>
      <c r="G4118" s="6" t="str">
        <f>VLOOKUP(E4118,dicionario!$A$1:$C4517,2,0)</f>
        <v>Talinum fruticosum</v>
      </c>
      <c r="H4118" s="6" t="str">
        <f>VLOOKUP(E4118,dicionario!$A$1:$C4517,3,0)</f>
        <v>beldroega-grande</v>
      </c>
    </row>
    <row r="4119">
      <c r="A4119" s="3">
        <v>45645.0</v>
      </c>
      <c r="B4119" s="4">
        <v>0.3298611111111111</v>
      </c>
      <c r="C4119" s="5" t="s">
        <v>948</v>
      </c>
      <c r="D4119" s="5" t="s">
        <v>1004</v>
      </c>
      <c r="E4119" s="6" t="s">
        <v>65</v>
      </c>
      <c r="F4119" s="5" t="s">
        <v>66</v>
      </c>
      <c r="G4119" s="6" t="str">
        <f>VLOOKUP(E4119,dicionario!$A$1:$C4518,2,0)</f>
        <v>Pitangus sulphutarus</v>
      </c>
      <c r="H4119" s="6" t="str">
        <f>VLOOKUP(E4119,dicionario!$A$1:$C4518,3,0)</f>
        <v>bem-te-vi</v>
      </c>
    </row>
    <row r="4120">
      <c r="A4120" s="3">
        <v>45645.0</v>
      </c>
      <c r="B4120" s="4">
        <v>0.3298611111111111</v>
      </c>
      <c r="C4120" s="5" t="s">
        <v>948</v>
      </c>
      <c r="D4120" s="5" t="s">
        <v>1004</v>
      </c>
      <c r="E4120" s="6" t="s">
        <v>113</v>
      </c>
      <c r="F4120" s="5" t="s">
        <v>114</v>
      </c>
      <c r="G4120" s="6" t="str">
        <f>VLOOKUP(E4120,dicionario!$A$1:$C4519,2,0)</f>
        <v>Columbina talpacoti</v>
      </c>
      <c r="H4120" s="6" t="str">
        <f>VLOOKUP(E4120,dicionario!$A$1:$C4519,3,0)</f>
        <v>rolinha-roxa</v>
      </c>
    </row>
    <row r="4121">
      <c r="A4121" s="3">
        <v>45645.0</v>
      </c>
      <c r="B4121" s="4">
        <v>0.3298611111111111</v>
      </c>
      <c r="C4121" s="5" t="s">
        <v>948</v>
      </c>
      <c r="D4121" s="5" t="s">
        <v>1004</v>
      </c>
      <c r="E4121" s="6" t="s">
        <v>154</v>
      </c>
      <c r="F4121" s="5" t="s">
        <v>155</v>
      </c>
      <c r="G4121" s="6" t="str">
        <f>VLOOKUP(E4121,dicionario!$A$1:$C4520,2,0)</f>
        <v>Cyperus rotundus</v>
      </c>
      <c r="H4121" s="6" t="str">
        <f>VLOOKUP(E4121,dicionario!$A$1:$C4520,3,0)</f>
        <v>tiririca</v>
      </c>
    </row>
    <row r="4122">
      <c r="A4122" s="3">
        <v>45645.0</v>
      </c>
      <c r="B4122" s="4">
        <v>0.3298611111111111</v>
      </c>
      <c r="C4122" s="5" t="s">
        <v>948</v>
      </c>
      <c r="D4122" s="5" t="s">
        <v>1004</v>
      </c>
      <c r="E4122" s="6" t="s">
        <v>271</v>
      </c>
      <c r="F4122" s="7" t="s">
        <v>272</v>
      </c>
      <c r="G4122" s="6" t="str">
        <f>VLOOKUP(E4122,dicionario!$A$1:$C4521,2,0)</f>
        <v>Cyanthillium cinereum</v>
      </c>
      <c r="H4122" s="6" t="str">
        <f>VLOOKUP(E4122,dicionario!$A$1:$C4521,3,0)</f>
        <v>emília</v>
      </c>
    </row>
    <row r="4123">
      <c r="A4123" s="3">
        <v>45645.0</v>
      </c>
      <c r="B4123" s="4">
        <v>0.33055555555555555</v>
      </c>
      <c r="C4123" s="5" t="s">
        <v>948</v>
      </c>
      <c r="D4123" s="5" t="s">
        <v>1004</v>
      </c>
      <c r="E4123" s="6" t="s">
        <v>171</v>
      </c>
      <c r="F4123" s="5" t="s">
        <v>172</v>
      </c>
      <c r="G4123" s="6" t="str">
        <f>VLOOKUP(E4123,dicionario!$A$1:$C4522,2,0)</f>
        <v>Oxalis corniculata</v>
      </c>
      <c r="H4123" s="6" t="str">
        <f>VLOOKUP(E4123,dicionario!$A$1:$C4522,3,0)</f>
        <v>trevo-azedinho</v>
      </c>
    </row>
    <row r="4124">
      <c r="A4124" s="3">
        <v>45645.0</v>
      </c>
      <c r="B4124" s="4">
        <v>0.33055555555555555</v>
      </c>
      <c r="C4124" s="5" t="s">
        <v>948</v>
      </c>
      <c r="D4124" s="5" t="s">
        <v>1004</v>
      </c>
      <c r="E4124" s="6" t="s">
        <v>181</v>
      </c>
      <c r="F4124" s="5" t="s">
        <v>182</v>
      </c>
      <c r="G4124" s="6" t="str">
        <f>VLOOKUP(E4124,dicionario!$A$1:$C4523,2,0)</f>
        <v>#N/A</v>
      </c>
      <c r="H4124" s="6" t="str">
        <f>VLOOKUP(E4124,dicionario!$A$1:$C4523,3,0)</f>
        <v>#N/A</v>
      </c>
    </row>
    <row r="4125">
      <c r="A4125" s="3">
        <v>45645.0</v>
      </c>
      <c r="B4125" s="4">
        <v>0.33055555555555555</v>
      </c>
      <c r="C4125" s="5" t="s">
        <v>948</v>
      </c>
      <c r="D4125" s="5" t="s">
        <v>1004</v>
      </c>
      <c r="E4125" s="6" t="s">
        <v>286</v>
      </c>
      <c r="F4125" s="5" t="s">
        <v>287</v>
      </c>
      <c r="G4125" s="6" t="str">
        <f>VLOOKUP(E4125,dicionario!$A$1:$C4524,2,0)</f>
        <v>Setaria parviflora</v>
      </c>
      <c r="H4125" s="6" t="str">
        <f>VLOOKUP(E4125,dicionario!$A$1:$C4524,3,0)</f>
        <v>capim-rabo-de-raposa</v>
      </c>
    </row>
    <row r="4126">
      <c r="A4126" s="3">
        <v>45645.0</v>
      </c>
      <c r="B4126" s="4">
        <v>0.33055555555555555</v>
      </c>
      <c r="C4126" s="5" t="s">
        <v>948</v>
      </c>
      <c r="D4126" s="5" t="s">
        <v>1004</v>
      </c>
      <c r="E4126" s="8" t="s">
        <v>173</v>
      </c>
      <c r="F4126" s="5" t="s">
        <v>336</v>
      </c>
      <c r="G4126" s="6" t="str">
        <f>VLOOKUP(E4126,dicionario!$A$1:$C4525,2,0)</f>
        <v>Junonia evarete</v>
      </c>
      <c r="H4126" s="6" t="str">
        <f>VLOOKUP(E4126,dicionario!$A$1:$C4525,3,0)</f>
        <v>borboleta-olho-de-pavão-diúrno</v>
      </c>
    </row>
    <row r="4127">
      <c r="A4127" s="3">
        <v>45645.0</v>
      </c>
      <c r="B4127" s="4">
        <v>0.33125</v>
      </c>
      <c r="C4127" s="5" t="s">
        <v>948</v>
      </c>
      <c r="D4127" s="5" t="s">
        <v>1004</v>
      </c>
      <c r="E4127" s="6" t="s">
        <v>251</v>
      </c>
      <c r="F4127" s="5" t="s">
        <v>252</v>
      </c>
      <c r="G4127" s="6" t="str">
        <f>VLOOKUP(E4127,dicionario!$A$1:$C4526,2,0)</f>
        <v>Struthanthus flexicaulis</v>
      </c>
      <c r="H4127" s="6" t="str">
        <f>VLOOKUP(E4127,dicionario!$A$1:$C4526,3,0)</f>
        <v>erva-de-passarinho</v>
      </c>
    </row>
    <row r="4128">
      <c r="A4128" s="3">
        <v>45645.0</v>
      </c>
      <c r="B4128" s="4">
        <v>0.33125</v>
      </c>
      <c r="C4128" s="5" t="s">
        <v>948</v>
      </c>
      <c r="D4128" s="5" t="s">
        <v>1004</v>
      </c>
      <c r="E4128" s="6" t="s">
        <v>606</v>
      </c>
      <c r="F4128" s="5" t="s">
        <v>607</v>
      </c>
      <c r="G4128" s="6" t="str">
        <f>VLOOKUP(E4128,dicionario!$A$1:$C4527,2,0)</f>
        <v>Elaenia spectabilis</v>
      </c>
      <c r="H4128" s="6" t="str">
        <f>VLOOKUP(E4128,dicionario!$A$1:$C4527,3,0)</f>
        <v>guaracava-grande</v>
      </c>
    </row>
    <row r="4129">
      <c r="A4129" s="3">
        <v>45645.0</v>
      </c>
      <c r="B4129" s="4">
        <v>0.33125</v>
      </c>
      <c r="C4129" s="5" t="s">
        <v>948</v>
      </c>
      <c r="D4129" s="5" t="s">
        <v>1004</v>
      </c>
      <c r="E4129" s="8" t="s">
        <v>579</v>
      </c>
      <c r="F4129" s="5" t="s">
        <v>580</v>
      </c>
      <c r="G4129" s="6" t="str">
        <f>VLOOKUP(E4129,dicionario!$A$1:$C4528,2,0)</f>
        <v>Piper tuberculatum</v>
      </c>
      <c r="H4129" s="6" t="str">
        <f>VLOOKUP(E4129,dicionario!$A$1:$C4528,3,0)</f>
        <v/>
      </c>
    </row>
    <row r="4130">
      <c r="A4130" s="3">
        <v>45645.0</v>
      </c>
      <c r="B4130" s="4">
        <v>0.33125</v>
      </c>
      <c r="C4130" s="5" t="s">
        <v>948</v>
      </c>
      <c r="D4130" s="5" t="s">
        <v>1004</v>
      </c>
      <c r="E4130" s="8" t="s">
        <v>1029</v>
      </c>
      <c r="F4130" s="5" t="s">
        <v>1030</v>
      </c>
      <c r="G4130" s="6" t="str">
        <f>VLOOKUP(E4130,dicionario!$A$1:$C4529,2,0)</f>
        <v>#N/A</v>
      </c>
      <c r="H4130" s="6" t="str">
        <f>VLOOKUP(E4130,dicionario!$A$1:$C4529,3,0)</f>
        <v>#N/A</v>
      </c>
    </row>
    <row r="4131">
      <c r="A4131" s="3">
        <v>45645.0</v>
      </c>
      <c r="B4131" s="4">
        <v>0.33194444444444443</v>
      </c>
      <c r="C4131" s="5" t="s">
        <v>948</v>
      </c>
      <c r="D4131" s="5" t="s">
        <v>1004</v>
      </c>
      <c r="E4131" s="8" t="s">
        <v>688</v>
      </c>
      <c r="F4131" s="5" t="s">
        <v>121</v>
      </c>
      <c r="G4131" s="6" t="str">
        <f>VLOOKUP(E4131,dicionario!$A$1:$C4530,2,0)</f>
        <v>Fidicina</v>
      </c>
      <c r="H4131" s="6" t="str">
        <f>VLOOKUP(E4131,dicionario!$A$1:$C4530,3,0)</f>
        <v>cigarra</v>
      </c>
    </row>
    <row r="4132">
      <c r="A4132" s="3">
        <v>45645.0</v>
      </c>
      <c r="B4132" s="4">
        <v>0.33194444444444443</v>
      </c>
      <c r="C4132" s="5" t="s">
        <v>948</v>
      </c>
      <c r="D4132" s="5" t="s">
        <v>1004</v>
      </c>
      <c r="E4132" s="32" t="s">
        <v>588</v>
      </c>
      <c r="F4132" s="5" t="s">
        <v>589</v>
      </c>
      <c r="G4132" s="6" t="str">
        <f>VLOOKUP(E4132,dicionario!$A$1:$C4531,2,0)</f>
        <v>#N/A</v>
      </c>
      <c r="H4132" s="6" t="str">
        <f>VLOOKUP(E4132,dicionario!$A$1:$C4531,3,0)</f>
        <v>#N/A</v>
      </c>
    </row>
    <row r="4133">
      <c r="A4133" s="3">
        <v>45645.0</v>
      </c>
      <c r="B4133" s="4">
        <v>0.33194444444444443</v>
      </c>
      <c r="C4133" s="5" t="s">
        <v>948</v>
      </c>
      <c r="D4133" s="5" t="s">
        <v>1004</v>
      </c>
      <c r="E4133" s="8" t="s">
        <v>478</v>
      </c>
      <c r="F4133" s="5" t="s">
        <v>479</v>
      </c>
      <c r="G4133" s="6" t="str">
        <f>VLOOKUP(E4133,dicionario!$A$1:$C4532,2,0)</f>
        <v>Cathartes burrovianus</v>
      </c>
      <c r="H4133" s="6" t="str">
        <f>VLOOKUP(E4133,dicionario!$A$1:$C4532,3,0)</f>
        <v>urubu-de-cabeça-amarela</v>
      </c>
    </row>
    <row r="4134">
      <c r="A4134" s="3">
        <v>45645.0</v>
      </c>
      <c r="B4134" s="4">
        <v>0.33194444444444443</v>
      </c>
      <c r="C4134" s="5" t="s">
        <v>948</v>
      </c>
      <c r="D4134" s="5" t="s">
        <v>1004</v>
      </c>
      <c r="E4134" s="6" t="s">
        <v>200</v>
      </c>
      <c r="F4134" s="5" t="s">
        <v>201</v>
      </c>
      <c r="G4134" s="6" t="str">
        <f>VLOOKUP(E4134,dicionario!$A$1:$C4533,2,0)</f>
        <v>Columbina picui </v>
      </c>
      <c r="H4134" s="6" t="str">
        <f>VLOOKUP(E4134,dicionario!$A$1:$C4533,3,0)</f>
        <v>rolinha-picuí</v>
      </c>
    </row>
    <row r="4135">
      <c r="A4135" s="3">
        <v>45645.0</v>
      </c>
      <c r="B4135" s="4">
        <v>0.33194444444444443</v>
      </c>
      <c r="C4135" s="5" t="s">
        <v>948</v>
      </c>
      <c r="D4135" s="5" t="s">
        <v>1004</v>
      </c>
      <c r="E4135" s="6" t="s">
        <v>381</v>
      </c>
      <c r="F4135" s="5" t="s">
        <v>382</v>
      </c>
      <c r="G4135" s="6" t="str">
        <f>VLOOKUP(E4135,dicionario!$A$1:$C4534,2,0)</f>
        <v>Pseudomyrmex</v>
      </c>
      <c r="H4135" s="6" t="str">
        <f>VLOOKUP(E4135,dicionario!$A$1:$C4534,3,0)</f>
        <v>maria-magra</v>
      </c>
    </row>
    <row r="4136">
      <c r="A4136" s="3">
        <v>45645.0</v>
      </c>
      <c r="B4136" s="4">
        <v>0.33194444444444443</v>
      </c>
      <c r="C4136" s="5" t="s">
        <v>948</v>
      </c>
      <c r="D4136" s="5" t="s">
        <v>1004</v>
      </c>
      <c r="E4136" s="6" t="s">
        <v>682</v>
      </c>
      <c r="F4136" s="5" t="s">
        <v>683</v>
      </c>
      <c r="G4136" s="6" t="str">
        <f>VLOOKUP(E4136,dicionario!$A$1:$C4535,2,0)</f>
        <v>Lagria villosa</v>
      </c>
      <c r="H4136" s="6" t="str">
        <f>VLOOKUP(E4136,dicionario!$A$1:$C4535,3,0)</f>
        <v>bicho-capixaba</v>
      </c>
    </row>
    <row r="4137">
      <c r="A4137" s="3">
        <v>45645.0</v>
      </c>
      <c r="B4137" s="4">
        <v>0.3326388888888889</v>
      </c>
      <c r="C4137" s="5" t="s">
        <v>948</v>
      </c>
      <c r="D4137" s="5" t="s">
        <v>1004</v>
      </c>
      <c r="E4137" s="8" t="s">
        <v>934</v>
      </c>
      <c r="F4137" s="5" t="s">
        <v>414</v>
      </c>
      <c r="G4137" s="6" t="str">
        <f>VLOOKUP(E4137,dicionario!$A$1:$C4536,2,0)</f>
        <v>#N/A</v>
      </c>
      <c r="H4137" s="6" t="str">
        <f>VLOOKUP(E4137,dicionario!$A$1:$C4536,3,0)</f>
        <v>#N/A</v>
      </c>
    </row>
    <row r="4138">
      <c r="A4138" s="3">
        <v>45645.0</v>
      </c>
      <c r="B4138" s="4">
        <v>0.3326388888888889</v>
      </c>
      <c r="C4138" s="5" t="s">
        <v>948</v>
      </c>
      <c r="D4138" s="5" t="s">
        <v>1004</v>
      </c>
      <c r="E4138" s="8" t="s">
        <v>51</v>
      </c>
      <c r="F4138" s="5" t="s">
        <v>77</v>
      </c>
      <c r="G4138" s="6" t="str">
        <f>VLOOKUP(E4138,dicionario!$A$1:$C4537,2,0)</f>
        <v>Solenopsis</v>
      </c>
      <c r="H4138" s="6" t="str">
        <f>VLOOKUP(E4138,dicionario!$A$1:$C4537,3,0)</f>
        <v>formiga-quente; formiga-lava-pés; formiga-de-fogo</v>
      </c>
    </row>
    <row r="4139">
      <c r="A4139" s="3">
        <v>45645.0</v>
      </c>
      <c r="B4139" s="4">
        <v>0.3326388888888889</v>
      </c>
      <c r="C4139" s="5" t="s">
        <v>948</v>
      </c>
      <c r="D4139" s="5" t="s">
        <v>1004</v>
      </c>
      <c r="E4139" s="8" t="s">
        <v>189</v>
      </c>
      <c r="F4139" s="5" t="s">
        <v>190</v>
      </c>
      <c r="G4139" s="6" t="str">
        <f>VLOOKUP(E4139,dicionario!$A$1:$C4538,2,0)</f>
        <v>Solanum paniculatum</v>
      </c>
      <c r="H4139" s="6" t="str">
        <f>VLOOKUP(E4139,dicionario!$A$1:$C4538,3,0)</f>
        <v>jurubeba</v>
      </c>
    </row>
    <row r="4140">
      <c r="A4140" s="3">
        <v>45645.0</v>
      </c>
      <c r="B4140" s="4">
        <v>0.3326388888888889</v>
      </c>
      <c r="C4140" s="5" t="s">
        <v>948</v>
      </c>
      <c r="D4140" s="5" t="s">
        <v>1004</v>
      </c>
      <c r="E4140" s="8" t="s">
        <v>956</v>
      </c>
      <c r="F4140" s="5" t="s">
        <v>957</v>
      </c>
      <c r="G4140" s="6" t="str">
        <f>VLOOKUP(E4140,dicionario!$A$1:$C4539,2,0)</f>
        <v>Pepsini</v>
      </c>
      <c r="H4140" s="6" t="str">
        <f>VLOOKUP(E4140,dicionario!$A$1:$C4539,3,0)</f>
        <v>vespa-caçadora</v>
      </c>
    </row>
    <row r="4141">
      <c r="A4141" s="3">
        <v>45645.0</v>
      </c>
      <c r="B4141" s="4">
        <v>0.3326388888888889</v>
      </c>
      <c r="C4141" s="5" t="s">
        <v>948</v>
      </c>
      <c r="D4141" s="5" t="s">
        <v>1004</v>
      </c>
      <c r="E4141" s="6" t="s">
        <v>290</v>
      </c>
      <c r="F4141" s="5" t="s">
        <v>291</v>
      </c>
      <c r="G4141" s="6" t="str">
        <f>VLOOKUP(E4141,dicionario!$A$1:$C4540,2,0)</f>
        <v>Drymaria cordata</v>
      </c>
      <c r="H4141" s="6" t="str">
        <f>VLOOKUP(E4141,dicionario!$A$1:$C4540,3,0)</f>
        <v>orelha-de-rato</v>
      </c>
    </row>
    <row r="4142">
      <c r="A4142" s="3">
        <v>45645.0</v>
      </c>
      <c r="B4142" s="4">
        <v>0.3326388888888889</v>
      </c>
      <c r="C4142" s="5" t="s">
        <v>948</v>
      </c>
      <c r="D4142" s="5" t="s">
        <v>1004</v>
      </c>
      <c r="E4142" s="8" t="s">
        <v>202</v>
      </c>
      <c r="F4142" s="5" t="s">
        <v>203</v>
      </c>
      <c r="G4142" s="6" t="str">
        <f>VLOOKUP(E4142,dicionario!$A$1:$C4541,2,0)</f>
        <v>Dysdercus</v>
      </c>
      <c r="H4142" s="6" t="str">
        <f>VLOOKUP(E4142,dicionario!$A$1:$C4541,3,0)</f>
        <v>percevejo-manchador</v>
      </c>
    </row>
    <row r="4143">
      <c r="A4143" s="3">
        <v>45645.0</v>
      </c>
      <c r="B4143" s="4">
        <v>0.3326388888888889</v>
      </c>
      <c r="C4143" s="5" t="s">
        <v>948</v>
      </c>
      <c r="D4143" s="5" t="s">
        <v>1004</v>
      </c>
      <c r="E4143" s="8" t="s">
        <v>269</v>
      </c>
      <c r="F4143" s="5" t="s">
        <v>270</v>
      </c>
      <c r="G4143" s="6" t="str">
        <f>VLOOKUP(E4143,dicionario!$A$1:$C4542,2,0)</f>
        <v>#N/A</v>
      </c>
      <c r="H4143" s="6" t="str">
        <f>VLOOKUP(E4143,dicionario!$A$1:$C4542,3,0)</f>
        <v>#N/A</v>
      </c>
    </row>
    <row r="4144">
      <c r="A4144" s="3">
        <v>45645.0</v>
      </c>
      <c r="B4144" s="4">
        <v>0.3333333333333333</v>
      </c>
      <c r="C4144" s="5" t="s">
        <v>948</v>
      </c>
      <c r="D4144" s="5" t="s">
        <v>1004</v>
      </c>
      <c r="E4144" s="6" t="s">
        <v>294</v>
      </c>
      <c r="F4144" s="7" t="s">
        <v>295</v>
      </c>
      <c r="G4144" s="6" t="str">
        <f>VLOOKUP(E4144,dicionario!$A$1:$C4543,2,0)</f>
        <v>Cycloneda sanguinea</v>
      </c>
      <c r="H4144" s="6" t="str">
        <f>VLOOKUP(E4144,dicionario!$A$1:$C4543,3,0)</f>
        <v>joaninha-sem-pintas</v>
      </c>
    </row>
    <row r="4145">
      <c r="A4145" s="3">
        <v>45645.0</v>
      </c>
      <c r="B4145" s="4">
        <v>0.3333333333333333</v>
      </c>
      <c r="C4145" s="5" t="s">
        <v>948</v>
      </c>
      <c r="D4145" s="5" t="s">
        <v>1004</v>
      </c>
      <c r="E4145" s="8" t="s">
        <v>792</v>
      </c>
      <c r="F4145" s="5" t="s">
        <v>1014</v>
      </c>
      <c r="G4145" s="6" t="str">
        <f>VLOOKUP(E4145,dicionario!$A$1:$C4544,2,0)</f>
        <v>Musca domestica</v>
      </c>
      <c r="H4145" s="6" t="str">
        <f>VLOOKUP(E4145,dicionario!$A$1:$C4544,3,0)</f>
        <v>mosca-doméstica</v>
      </c>
    </row>
    <row r="4146">
      <c r="A4146" s="3">
        <v>45645.0</v>
      </c>
      <c r="B4146" s="4">
        <v>0.3333333333333333</v>
      </c>
      <c r="C4146" s="5" t="s">
        <v>948</v>
      </c>
      <c r="D4146" s="5" t="s">
        <v>1004</v>
      </c>
      <c r="E4146" s="8" t="s">
        <v>504</v>
      </c>
      <c r="F4146" s="5" t="s">
        <v>534</v>
      </c>
      <c r="G4146" s="6" t="str">
        <f>VLOOKUP(E4146,dicionario!$A$1:$C4545,2,0)</f>
        <v>Cleome aculeata</v>
      </c>
      <c r="H4146" s="6" t="str">
        <f>VLOOKUP(E4146,dicionario!$A$1:$C4545,3,0)</f>
        <v>cleome</v>
      </c>
    </row>
    <row r="4147">
      <c r="A4147" s="3">
        <v>45645.0</v>
      </c>
      <c r="B4147" s="4">
        <v>0.33402777777777776</v>
      </c>
      <c r="C4147" s="5" t="s">
        <v>948</v>
      </c>
      <c r="D4147" s="5" t="s">
        <v>1004</v>
      </c>
      <c r="E4147" s="18" t="s">
        <v>611</v>
      </c>
      <c r="F4147" s="5" t="s">
        <v>612</v>
      </c>
      <c r="G4147" s="6" t="str">
        <f>VLOOKUP(E4147,dicionario!$A$1:$C4546,2,0)</f>
        <v>Boehmeria cylindrica</v>
      </c>
      <c r="H4147" s="6" t="str">
        <f>VLOOKUP(E4147,dicionario!$A$1:$C4546,3,0)</f>
        <v>falsa-urtiga</v>
      </c>
    </row>
    <row r="4148">
      <c r="A4148" s="3">
        <v>45645.0</v>
      </c>
      <c r="B4148" s="4">
        <v>0.33402777777777776</v>
      </c>
      <c r="C4148" s="5" t="s">
        <v>948</v>
      </c>
      <c r="D4148" s="5" t="s">
        <v>1004</v>
      </c>
      <c r="E4148" s="6" t="s">
        <v>296</v>
      </c>
      <c r="F4148" s="5" t="s">
        <v>297</v>
      </c>
      <c r="G4148" s="6" t="str">
        <f>VLOOKUP(E4148,dicionario!$A$1:$C4547,2,0)</f>
        <v>Richardia brasiliensis</v>
      </c>
      <c r="H4148" s="6" t="str">
        <f>VLOOKUP(E4148,dicionario!$A$1:$C4547,3,0)</f>
        <v>poaia-branca</v>
      </c>
    </row>
    <row r="4149">
      <c r="A4149" s="3">
        <v>45645.0</v>
      </c>
      <c r="B4149" s="4">
        <v>0.33402777777777776</v>
      </c>
      <c r="C4149" s="5" t="s">
        <v>948</v>
      </c>
      <c r="D4149" s="5" t="s">
        <v>1004</v>
      </c>
      <c r="E4149" s="6" t="s">
        <v>148</v>
      </c>
      <c r="F4149" s="5" t="s">
        <v>149</v>
      </c>
      <c r="G4149" s="6" t="str">
        <f>VLOOKUP(E4149,dicionario!$A$1:$C4548,2,0)</f>
        <v>Parthenium hysterophorus</v>
      </c>
      <c r="H4149" s="6" t="str">
        <f>VLOOKUP(E4149,dicionario!$A$1:$C4548,3,0)</f>
        <v>losna-branca</v>
      </c>
    </row>
    <row r="4150">
      <c r="A4150" s="3">
        <v>45645.0</v>
      </c>
      <c r="B4150" s="4">
        <v>0.33402777777777776</v>
      </c>
      <c r="C4150" s="5" t="s">
        <v>948</v>
      </c>
      <c r="D4150" s="5" t="s">
        <v>1004</v>
      </c>
      <c r="E4150" s="8" t="s">
        <v>457</v>
      </c>
      <c r="F4150" s="5" t="s">
        <v>458</v>
      </c>
      <c r="G4150" s="6" t="str">
        <f>VLOOKUP(E4150,dicionario!$A$1:$C4549,2,0)</f>
        <v>Alternanthera philoxeroides</v>
      </c>
      <c r="H4150" s="6" t="str">
        <f>VLOOKUP(E4150,dicionario!$A$1:$C4549,3,0)</f>
        <v>erva-jacaré </v>
      </c>
    </row>
    <row r="4151">
      <c r="A4151" s="3">
        <v>45645.0</v>
      </c>
      <c r="B4151" s="4">
        <v>0.33402777777777776</v>
      </c>
      <c r="C4151" s="5" t="s">
        <v>948</v>
      </c>
      <c r="D4151" s="5" t="s">
        <v>1004</v>
      </c>
      <c r="E4151" s="8" t="s">
        <v>704</v>
      </c>
      <c r="F4151" s="5" t="s">
        <v>705</v>
      </c>
      <c r="G4151" s="6" t="str">
        <f>VLOOKUP(E4151,dicionario!$A$1:$C4550,2,0)</f>
        <v>Brachygastra lecheguana</v>
      </c>
      <c r="H4151" s="6" t="str">
        <f>VLOOKUP(E4151,dicionario!$A$1:$C4550,3,0)</f>
        <v>enxu-verdadeiro</v>
      </c>
    </row>
    <row r="4152">
      <c r="A4152" s="3">
        <v>45645.0</v>
      </c>
      <c r="B4152" s="4">
        <v>0.33402777777777776</v>
      </c>
      <c r="C4152" s="5" t="s">
        <v>948</v>
      </c>
      <c r="D4152" s="5" t="s">
        <v>1004</v>
      </c>
      <c r="E4152" s="6" t="s">
        <v>86</v>
      </c>
      <c r="F4152" s="5" t="s">
        <v>502</v>
      </c>
      <c r="G4152" s="6" t="str">
        <f>VLOOKUP(E4152,dicionario!$A$1:$C4551,2,0)</f>
        <v>Coereba flaveola</v>
      </c>
      <c r="H4152" s="6" t="str">
        <f>VLOOKUP(E4152,dicionario!$A$1:$C4551,3,0)</f>
        <v>cambacica</v>
      </c>
    </row>
    <row r="4153">
      <c r="A4153" s="3">
        <v>45645.0</v>
      </c>
      <c r="B4153" s="4">
        <v>0.33402777777777776</v>
      </c>
      <c r="C4153" s="5" t="s">
        <v>948</v>
      </c>
      <c r="D4153" s="5" t="s">
        <v>1004</v>
      </c>
      <c r="E4153" s="6" t="s">
        <v>366</v>
      </c>
      <c r="F4153" s="5" t="s">
        <v>367</v>
      </c>
      <c r="G4153" s="6" t="str">
        <f>VLOOKUP(E4153,dicionario!$A$1:$C4552,2,0)</f>
        <v>Alternanthera ficoidea</v>
      </c>
      <c r="H4153" s="6" t="str">
        <f>VLOOKUP(E4153,dicionario!$A$1:$C4552,3,0)</f>
        <v>quebra-panela</v>
      </c>
    </row>
    <row r="4154">
      <c r="A4154" s="3">
        <v>45645.0</v>
      </c>
      <c r="B4154" s="4">
        <v>0.3347222222222222</v>
      </c>
      <c r="C4154" s="5" t="s">
        <v>948</v>
      </c>
      <c r="D4154" s="5" t="s">
        <v>1004</v>
      </c>
      <c r="E4154" s="8" t="s">
        <v>193</v>
      </c>
      <c r="F4154" s="5" t="s">
        <v>194</v>
      </c>
      <c r="G4154" s="6" t="str">
        <f>VLOOKUP(E4154,dicionario!$A$1:$C4553,2,0)</f>
        <v>Conirostrum speciosum</v>
      </c>
      <c r="H4154" s="6" t="str">
        <f>VLOOKUP(E4154,dicionario!$A$1:$C4553,3,0)</f>
        <v>figuinha-de-rabo-castanho</v>
      </c>
    </row>
    <row r="4155">
      <c r="A4155" s="3">
        <v>45645.0</v>
      </c>
      <c r="B4155" s="4">
        <v>0.33611111111111114</v>
      </c>
      <c r="C4155" s="5" t="s">
        <v>948</v>
      </c>
      <c r="D4155" s="5" t="s">
        <v>1004</v>
      </c>
      <c r="E4155" s="6" t="s">
        <v>158</v>
      </c>
      <c r="F4155" s="5" t="s">
        <v>159</v>
      </c>
      <c r="G4155" s="6" t="str">
        <f>VLOOKUP(E4155,dicionario!$A$1:$C4554,2,0)</f>
        <v>Nephilingis cruentata</v>
      </c>
      <c r="H4155" s="6" t="str">
        <f>VLOOKUP(E4155,dicionario!$A$1:$C4554,3,0)</f>
        <v>maria-bola</v>
      </c>
    </row>
    <row r="4156">
      <c r="A4156" s="3">
        <v>45645.0</v>
      </c>
      <c r="B4156" s="4">
        <v>0.33611111111111114</v>
      </c>
      <c r="C4156" s="5" t="s">
        <v>948</v>
      </c>
      <c r="D4156" s="5" t="s">
        <v>1004</v>
      </c>
      <c r="E4156" s="8" t="s">
        <v>838</v>
      </c>
      <c r="F4156" s="5" t="s">
        <v>839</v>
      </c>
      <c r="G4156" s="6" t="str">
        <f>VLOOKUP(E4156,dicionario!$A$1:$C4555,2,0)</f>
        <v>Plexippus paykulli</v>
      </c>
      <c r="H4156" s="6" t="str">
        <f>VLOOKUP(E4156,dicionario!$A$1:$C4555,3,0)</f>
        <v>aranha-saltadora-pantropical</v>
      </c>
    </row>
    <row r="4157">
      <c r="A4157" s="3">
        <v>45645.0</v>
      </c>
      <c r="B4157" s="4">
        <v>0.33611111111111114</v>
      </c>
      <c r="C4157" s="5" t="s">
        <v>948</v>
      </c>
      <c r="D4157" s="5" t="s">
        <v>1004</v>
      </c>
      <c r="E4157" s="8" t="s">
        <v>548</v>
      </c>
      <c r="F4157" s="5" t="s">
        <v>549</v>
      </c>
      <c r="G4157" s="6" t="str">
        <f>VLOOKUP(E4157,dicionario!$A$1:$C4556,2,0)</f>
        <v>Ricinus communis</v>
      </c>
      <c r="H4157" s="6" t="str">
        <f>VLOOKUP(E4157,dicionario!$A$1:$C4556,3,0)</f>
        <v>mamona</v>
      </c>
    </row>
    <row r="4158">
      <c r="A4158" s="3">
        <v>45645.0</v>
      </c>
      <c r="B4158" s="4">
        <v>0.33611111111111114</v>
      </c>
      <c r="C4158" s="5" t="s">
        <v>948</v>
      </c>
      <c r="D4158" s="5" t="s">
        <v>1004</v>
      </c>
      <c r="E4158" s="6" t="s">
        <v>43</v>
      </c>
      <c r="F4158" s="5" t="s">
        <v>949</v>
      </c>
      <c r="G4158" s="6" t="str">
        <f>VLOOKUP(E4158,dicionario!$A$1:$C4557,2,0)</f>
        <v>Columba livia</v>
      </c>
      <c r="H4158" s="6" t="str">
        <f>VLOOKUP(E4158,dicionario!$A$1:$C4557,3,0)</f>
        <v>pombo-doméstico</v>
      </c>
    </row>
    <row r="4159">
      <c r="A4159" s="3">
        <v>45645.0</v>
      </c>
      <c r="B4159" s="4">
        <v>0.33611111111111114</v>
      </c>
      <c r="C4159" s="5" t="s">
        <v>948</v>
      </c>
      <c r="D4159" s="5" t="s">
        <v>1004</v>
      </c>
      <c r="E4159" s="8" t="s">
        <v>308</v>
      </c>
      <c r="F4159" s="5" t="s">
        <v>309</v>
      </c>
      <c r="G4159" s="6" t="str">
        <f>VLOOKUP(E4159,dicionario!$A$1:$C4558,2,0)</f>
        <v>#N/A</v>
      </c>
      <c r="H4159" s="6" t="str">
        <f>VLOOKUP(E4159,dicionario!$A$1:$C4558,3,0)</f>
        <v>#N/A</v>
      </c>
    </row>
    <row r="4160">
      <c r="A4160" s="3">
        <v>45645.0</v>
      </c>
      <c r="B4160" s="4">
        <v>0.33958333333333335</v>
      </c>
      <c r="C4160" s="5" t="s">
        <v>948</v>
      </c>
      <c r="D4160" s="5" t="s">
        <v>1004</v>
      </c>
      <c r="E4160" s="6" t="s">
        <v>57</v>
      </c>
      <c r="F4160" s="5" t="s">
        <v>559</v>
      </c>
      <c r="G4160" s="6" t="str">
        <f>VLOOKUP(E4160,dicionario!$A$1:$C4559,2,0)</f>
        <v>Juliformia</v>
      </c>
      <c r="H4160" s="6" t="str">
        <f>VLOOKUP(E4160,dicionario!$A$1:$C4559,3,0)</f>
        <v>gongolo; maria-café</v>
      </c>
    </row>
    <row r="4161">
      <c r="A4161" s="3">
        <v>45645.0</v>
      </c>
      <c r="B4161" s="4">
        <v>0.33958333333333335</v>
      </c>
      <c r="C4161" s="5" t="s">
        <v>948</v>
      </c>
      <c r="D4161" s="5" t="s">
        <v>1004</v>
      </c>
      <c r="E4161" s="8" t="s">
        <v>146</v>
      </c>
      <c r="F4161" s="5" t="s">
        <v>147</v>
      </c>
      <c r="G4161" s="6" t="str">
        <f>VLOOKUP(E4161,dicionario!$A$1:$C4560,2,0)</f>
        <v>Euphorbia hirta</v>
      </c>
      <c r="H4161" s="6" t="str">
        <f>VLOOKUP(E4161,dicionario!$A$1:$C4560,3,0)</f>
        <v>erva-de-santa-luzia</v>
      </c>
    </row>
    <row r="4162">
      <c r="A4162" s="3">
        <v>45645.0</v>
      </c>
      <c r="B4162" s="4">
        <v>0.33958333333333335</v>
      </c>
      <c r="C4162" s="5" t="s">
        <v>948</v>
      </c>
      <c r="D4162" s="5" t="s">
        <v>1004</v>
      </c>
      <c r="E4162" s="6" t="s">
        <v>177</v>
      </c>
      <c r="F4162" s="5" t="s">
        <v>178</v>
      </c>
      <c r="G4162" s="6" t="str">
        <f>VLOOKUP(E4162,dicionario!$A$1:$C4561,2,0)</f>
        <v>Elaenia flavogaster</v>
      </c>
      <c r="H4162" s="6" t="str">
        <f>VLOOKUP(E4162,dicionario!$A$1:$C4561,3,0)</f>
        <v>guaracava-de-barriga-amarela</v>
      </c>
    </row>
    <row r="4163">
      <c r="A4163" s="3">
        <v>45645.0</v>
      </c>
      <c r="B4163" s="4">
        <v>0.33958333333333335</v>
      </c>
      <c r="C4163" s="5" t="s">
        <v>948</v>
      </c>
      <c r="D4163" s="5" t="s">
        <v>1004</v>
      </c>
      <c r="E4163" s="6" t="s">
        <v>267</v>
      </c>
      <c r="F4163" s="5" t="s">
        <v>268</v>
      </c>
      <c r="G4163" s="6" t="str">
        <f>VLOOKUP(E4163,dicionario!$A$1:$C4562,2,0)</f>
        <v>Solanum americanum</v>
      </c>
      <c r="H4163" s="6" t="str">
        <f>VLOOKUP(E4163,dicionario!$A$1:$C4562,3,0)</f>
        <v>maria-pretinha</v>
      </c>
    </row>
    <row r="4164">
      <c r="A4164" s="3">
        <v>45645.0</v>
      </c>
      <c r="B4164" s="4">
        <v>0.33958333333333335</v>
      </c>
      <c r="C4164" s="5" t="s">
        <v>948</v>
      </c>
      <c r="D4164" s="5" t="s">
        <v>1004</v>
      </c>
      <c r="E4164" s="8" t="s">
        <v>405</v>
      </c>
      <c r="F4164" s="5" t="s">
        <v>852</v>
      </c>
      <c r="G4164" s="6" t="str">
        <f>VLOOKUP(E4164,dicionario!$A$1:$C4563,2,0)</f>
        <v>Ectatomma</v>
      </c>
      <c r="H4164" s="6" t="str">
        <f>VLOOKUP(E4164,dicionario!$A$1:$C4563,3,0)</f>
        <v>formiga-preta</v>
      </c>
    </row>
    <row r="4165">
      <c r="A4165" s="3">
        <v>45645.0</v>
      </c>
      <c r="B4165" s="4">
        <v>0.34097222222222223</v>
      </c>
      <c r="C4165" s="5" t="s">
        <v>948</v>
      </c>
      <c r="D4165" s="5" t="s">
        <v>1004</v>
      </c>
      <c r="E4165" s="6" t="s">
        <v>256</v>
      </c>
      <c r="F4165" s="5" t="s">
        <v>257</v>
      </c>
      <c r="G4165" s="6" t="str">
        <f>VLOOKUP(E4165,dicionario!$A$1:$C4564,2,0)</f>
        <v>Youngia japonica</v>
      </c>
      <c r="H4165" s="6" t="str">
        <f>VLOOKUP(E4165,dicionario!$A$1:$C4564,3,0)</f>
        <v>barba-de-falcão</v>
      </c>
    </row>
    <row r="4166">
      <c r="A4166" s="3">
        <v>45645.0</v>
      </c>
      <c r="B4166" s="4">
        <v>0.34097222222222223</v>
      </c>
      <c r="C4166" s="5" t="s">
        <v>948</v>
      </c>
      <c r="D4166" s="5" t="s">
        <v>1004</v>
      </c>
      <c r="E4166" s="6" t="s">
        <v>253</v>
      </c>
      <c r="F4166" s="5" t="s">
        <v>254</v>
      </c>
      <c r="G4166" s="6" t="str">
        <f>VLOOKUP(E4166,dicionario!$A$1:$C4565,2,0)</f>
        <v>Panicum maximum</v>
      </c>
      <c r="H4166" s="6" t="str">
        <f>VLOOKUP(E4166,dicionario!$A$1:$C4565,3,0)</f>
        <v>capim-colonião</v>
      </c>
    </row>
    <row r="4167">
      <c r="A4167" s="3">
        <v>45645.0</v>
      </c>
      <c r="B4167" s="4">
        <v>0.34097222222222223</v>
      </c>
      <c r="C4167" s="5" t="s">
        <v>948</v>
      </c>
      <c r="D4167" s="5" t="s">
        <v>1004</v>
      </c>
      <c r="E4167" s="6" t="s">
        <v>69</v>
      </c>
      <c r="F4167" s="7" t="s">
        <v>71</v>
      </c>
      <c r="G4167" s="6" t="str">
        <f>VLOOKUP(E4167,dicionario!$A$1:$C4566,2,0)</f>
        <v>Talinum fruticosum</v>
      </c>
      <c r="H4167" s="6" t="str">
        <f>VLOOKUP(E4167,dicionario!$A$1:$C4566,3,0)</f>
        <v>beldroega-grande</v>
      </c>
    </row>
    <row r="4168">
      <c r="A4168" s="3">
        <v>45645.0</v>
      </c>
      <c r="B4168" s="4">
        <v>0.34305555555555556</v>
      </c>
      <c r="C4168" s="5" t="s">
        <v>948</v>
      </c>
      <c r="D4168" s="5" t="s">
        <v>1004</v>
      </c>
      <c r="E4168" s="6" t="s">
        <v>682</v>
      </c>
      <c r="F4168" s="5" t="s">
        <v>683</v>
      </c>
      <c r="G4168" s="6" t="str">
        <f>VLOOKUP(E4168,dicionario!$A$1:$C4567,2,0)</f>
        <v>Lagria villosa</v>
      </c>
      <c r="H4168" s="6" t="str">
        <f>VLOOKUP(E4168,dicionario!$A$1:$C4567,3,0)</f>
        <v>bicho-capixaba</v>
      </c>
    </row>
    <row r="4169">
      <c r="A4169" s="3">
        <v>45645.0</v>
      </c>
      <c r="B4169" s="4">
        <v>0.34305555555555556</v>
      </c>
      <c r="C4169" s="5" t="s">
        <v>948</v>
      </c>
      <c r="D4169" s="5" t="s">
        <v>1004</v>
      </c>
      <c r="E4169" s="8" t="s">
        <v>688</v>
      </c>
      <c r="F4169" s="5" t="s">
        <v>121</v>
      </c>
      <c r="G4169" s="6" t="str">
        <f>VLOOKUP(E4169,dicionario!$A$1:$C4568,2,0)</f>
        <v>Fidicina</v>
      </c>
      <c r="H4169" s="6" t="str">
        <f>VLOOKUP(E4169,dicionario!$A$1:$C4568,3,0)</f>
        <v>cigarra</v>
      </c>
    </row>
    <row r="4170">
      <c r="A4170" s="3">
        <v>45645.0</v>
      </c>
      <c r="B4170" s="4">
        <v>0.34305555555555556</v>
      </c>
      <c r="C4170" s="5" t="s">
        <v>948</v>
      </c>
      <c r="D4170" s="5" t="s">
        <v>1004</v>
      </c>
      <c r="E4170" s="6" t="s">
        <v>146</v>
      </c>
      <c r="F4170" s="5" t="s">
        <v>147</v>
      </c>
      <c r="G4170" s="6" t="str">
        <f>VLOOKUP(E4170,dicionario!$A$1:$C4569,2,0)</f>
        <v>Euphorbia hirta</v>
      </c>
      <c r="H4170" s="6" t="str">
        <f>VLOOKUP(E4170,dicionario!$A$1:$C4569,3,0)</f>
        <v>erva-de-santa-luzia</v>
      </c>
    </row>
    <row r="4171">
      <c r="A4171" s="3">
        <v>45645.0</v>
      </c>
      <c r="B4171" s="4">
        <v>0.34305555555555556</v>
      </c>
      <c r="C4171" s="5" t="s">
        <v>948</v>
      </c>
      <c r="D4171" s="5" t="s">
        <v>1004</v>
      </c>
      <c r="E4171" s="6" t="s">
        <v>401</v>
      </c>
      <c r="F4171" s="5" t="s">
        <v>464</v>
      </c>
      <c r="G4171" s="6" t="str">
        <f>VLOOKUP(E4171,dicionario!$A$1:$C4570,2,0)</f>
        <v>Cissus verticillata</v>
      </c>
      <c r="H4171" s="6" t="str">
        <f>VLOOKUP(E4171,dicionario!$A$1:$C4570,3,0)</f>
        <v>uva-do-mato</v>
      </c>
    </row>
    <row r="4172">
      <c r="A4172" s="3">
        <v>45645.0</v>
      </c>
      <c r="B4172" s="4">
        <v>0.34305555555555556</v>
      </c>
      <c r="C4172" s="5" t="s">
        <v>948</v>
      </c>
      <c r="D4172" s="5" t="s">
        <v>1004</v>
      </c>
      <c r="E4172" s="6" t="s">
        <v>148</v>
      </c>
      <c r="F4172" s="5" t="s">
        <v>149</v>
      </c>
      <c r="G4172" s="6" t="str">
        <f>VLOOKUP(E4172,dicionario!$A$1:$C4571,2,0)</f>
        <v>Parthenium hysterophorus</v>
      </c>
      <c r="H4172" s="6" t="str">
        <f>VLOOKUP(E4172,dicionario!$A$1:$C4571,3,0)</f>
        <v>losna-branca</v>
      </c>
    </row>
    <row r="4173">
      <c r="A4173" s="3">
        <v>45645.0</v>
      </c>
      <c r="B4173" s="4">
        <v>0.34305555555555556</v>
      </c>
      <c r="C4173" s="5" t="s">
        <v>948</v>
      </c>
      <c r="D4173" s="5" t="s">
        <v>1004</v>
      </c>
      <c r="E4173" s="18" t="s">
        <v>611</v>
      </c>
      <c r="F4173" s="5" t="s">
        <v>612</v>
      </c>
      <c r="G4173" s="6" t="str">
        <f>VLOOKUP(E4173,dicionario!$A$1:$C4572,2,0)</f>
        <v>Boehmeria cylindrica</v>
      </c>
      <c r="H4173" s="6" t="str">
        <f>VLOOKUP(E4173,dicionario!$A$1:$C4572,3,0)</f>
        <v>falsa-urtiga</v>
      </c>
    </row>
    <row r="4174">
      <c r="A4174" s="3">
        <v>45645.0</v>
      </c>
      <c r="B4174" s="4">
        <v>0.34305555555555556</v>
      </c>
      <c r="C4174" s="5" t="s">
        <v>948</v>
      </c>
      <c r="D4174" s="5" t="s">
        <v>1004</v>
      </c>
      <c r="E4174" s="8" t="s">
        <v>38</v>
      </c>
      <c r="F4174" s="5" t="s">
        <v>39</v>
      </c>
      <c r="G4174" s="6" t="str">
        <f>VLOOKUP(E4174,dicionario!$A$1:$C4573,2,0)</f>
        <v>Troglodytes musculus</v>
      </c>
      <c r="H4174" s="6" t="str">
        <f>VLOOKUP(E4174,dicionario!$A$1:$C4573,3,0)</f>
        <v>curruíra</v>
      </c>
    </row>
    <row r="4175">
      <c r="A4175" s="3">
        <v>45645.0</v>
      </c>
      <c r="B4175" s="4">
        <v>0.34375</v>
      </c>
      <c r="C4175" s="5" t="s">
        <v>948</v>
      </c>
      <c r="D4175" s="5" t="s">
        <v>1004</v>
      </c>
      <c r="E4175" s="8" t="s">
        <v>786</v>
      </c>
      <c r="F4175" s="5" t="s">
        <v>787</v>
      </c>
      <c r="G4175" s="6" t="str">
        <f>VLOOKUP(E4175,dicionario!$A$1:$C4574,2,0)</f>
        <v>Lycianthes asarifolia</v>
      </c>
      <c r="H4175" s="6" t="str">
        <f>VLOOKUP(E4175,dicionario!$A$1:$C4574,3,0)</f>
        <v>joá-rasteiro</v>
      </c>
    </row>
    <row r="4176">
      <c r="A4176" s="3">
        <v>45645.0</v>
      </c>
      <c r="B4176" s="4">
        <v>0.34375</v>
      </c>
      <c r="C4176" s="5" t="s">
        <v>948</v>
      </c>
      <c r="D4176" s="5" t="s">
        <v>1004</v>
      </c>
      <c r="E4176" s="8" t="s">
        <v>67</v>
      </c>
      <c r="F4176" s="5" t="s">
        <v>1031</v>
      </c>
      <c r="G4176" s="6" t="str">
        <f>VLOOKUP(E4176,dicionario!$A$1:$C4575,2,0)</f>
        <v>Siproeta stelenes</v>
      </c>
      <c r="H4176" s="6" t="str">
        <f>VLOOKUP(E4176,dicionario!$A$1:$C4575,3,0)</f>
        <v>borboleta-malaquita</v>
      </c>
    </row>
    <row r="4177">
      <c r="A4177" s="3">
        <v>45645.0</v>
      </c>
      <c r="B4177" s="4">
        <v>0.34375</v>
      </c>
      <c r="C4177" s="5" t="s">
        <v>948</v>
      </c>
      <c r="D4177" s="5" t="s">
        <v>1004</v>
      </c>
      <c r="E4177" s="8" t="s">
        <v>78</v>
      </c>
      <c r="F4177" s="5" t="s">
        <v>331</v>
      </c>
      <c r="G4177" s="6" t="str">
        <f>VLOOKUP(E4177,dicionario!$A$1:$C4576,2,0)</f>
        <v>#N/A</v>
      </c>
      <c r="H4177" s="6" t="str">
        <f>VLOOKUP(E4177,dicionario!$A$1:$C4576,3,0)</f>
        <v>#N/A</v>
      </c>
    </row>
    <row r="4178">
      <c r="A4178" s="3">
        <v>45645.0</v>
      </c>
      <c r="B4178" s="4">
        <v>0.34444444444444444</v>
      </c>
      <c r="C4178" s="5" t="s">
        <v>948</v>
      </c>
      <c r="D4178" s="5" t="s">
        <v>1004</v>
      </c>
      <c r="E4178" s="6" t="s">
        <v>328</v>
      </c>
      <c r="F4178" s="5" t="s">
        <v>329</v>
      </c>
      <c r="G4178" s="6" t="str">
        <f>VLOOKUP(E4178,dicionario!$A$1:$C4577,2,0)</f>
        <v>Rivina humilis</v>
      </c>
      <c r="H4178" s="6" t="str">
        <f>VLOOKUP(E4178,dicionario!$A$1:$C4577,3,0)</f>
        <v>baga-de-sangue</v>
      </c>
    </row>
    <row r="4179">
      <c r="A4179" s="3">
        <v>45645.0</v>
      </c>
      <c r="B4179" s="4">
        <v>0.34444444444444444</v>
      </c>
      <c r="C4179" s="5" t="s">
        <v>948</v>
      </c>
      <c r="D4179" s="5" t="s">
        <v>1004</v>
      </c>
      <c r="E4179" s="6" t="s">
        <v>286</v>
      </c>
      <c r="F4179" s="5" t="s">
        <v>287</v>
      </c>
      <c r="G4179" s="6" t="str">
        <f>VLOOKUP(E4179,dicionario!$A$1:$C4578,2,0)</f>
        <v>Setaria parviflora</v>
      </c>
      <c r="H4179" s="6" t="str">
        <f>VLOOKUP(E4179,dicionario!$A$1:$C4578,3,0)</f>
        <v>capim-rabo-de-raposa</v>
      </c>
    </row>
    <row r="4180">
      <c r="A4180" s="3">
        <v>45645.0</v>
      </c>
      <c r="B4180" s="4">
        <v>0.34444444444444444</v>
      </c>
      <c r="C4180" s="5" t="s">
        <v>948</v>
      </c>
      <c r="D4180" s="5" t="s">
        <v>1004</v>
      </c>
      <c r="E4180" s="8" t="s">
        <v>489</v>
      </c>
      <c r="F4180" s="5" t="s">
        <v>196</v>
      </c>
      <c r="G4180" s="6" t="str">
        <f>VLOOKUP(E4180,dicionario!$A$1:$C4579,2,0)</f>
        <v>Cenchrus echinatus</v>
      </c>
      <c r="H4180" s="6" t="str">
        <f>VLOOKUP(E4180,dicionario!$A$1:$C4579,3,0)</f>
        <v>capim-carrapicho</v>
      </c>
    </row>
    <row r="4181">
      <c r="A4181" s="3">
        <v>45645.0</v>
      </c>
      <c r="B4181" s="4">
        <v>0.34444444444444444</v>
      </c>
      <c r="C4181" s="5" t="s">
        <v>948</v>
      </c>
      <c r="D4181" s="5" t="s">
        <v>1004</v>
      </c>
      <c r="E4181" s="6" t="s">
        <v>271</v>
      </c>
      <c r="F4181" s="7" t="s">
        <v>272</v>
      </c>
      <c r="G4181" s="6" t="str">
        <f>VLOOKUP(E4181,dicionario!$A$1:$C4580,2,0)</f>
        <v>Cyanthillium cinereum</v>
      </c>
      <c r="H4181" s="6" t="str">
        <f>VLOOKUP(E4181,dicionario!$A$1:$C4580,3,0)</f>
        <v>emília</v>
      </c>
    </row>
    <row r="4182">
      <c r="A4182" s="3">
        <v>45645.0</v>
      </c>
      <c r="B4182" s="4">
        <v>0.3451388888888889</v>
      </c>
      <c r="C4182" s="5" t="s">
        <v>76</v>
      </c>
      <c r="D4182" s="5" t="s">
        <v>1004</v>
      </c>
      <c r="E4182" s="8" t="s">
        <v>1032</v>
      </c>
      <c r="F4182" s="5" t="s">
        <v>1033</v>
      </c>
      <c r="G4182" s="6" t="str">
        <f>VLOOKUP(E4182,dicionario!$A$1:$C4581,2,0)</f>
        <v>#N/A</v>
      </c>
      <c r="H4182" s="6" t="str">
        <f>VLOOKUP(E4182,dicionario!$A$1:$C4581,3,0)</f>
        <v>#N/A</v>
      </c>
    </row>
    <row r="4183">
      <c r="A4183" s="3">
        <v>45645.0</v>
      </c>
      <c r="B4183" s="4">
        <v>0.3451388888888889</v>
      </c>
      <c r="C4183" s="5" t="s">
        <v>76</v>
      </c>
      <c r="D4183" s="5" t="s">
        <v>1004</v>
      </c>
      <c r="E4183" s="8" t="s">
        <v>111</v>
      </c>
      <c r="F4183" s="7" t="s">
        <v>112</v>
      </c>
      <c r="G4183" s="6" t="str">
        <f>VLOOKUP(E4183,dicionario!$A$1:$C4582,2,0)</f>
        <v>Trigona spinipes</v>
      </c>
      <c r="H4183" s="6" t="str">
        <f>VLOOKUP(E4183,dicionario!$A$1:$C4582,3,0)</f>
        <v>abelha-cachorro</v>
      </c>
    </row>
    <row r="4184">
      <c r="A4184" s="3">
        <v>45645.0</v>
      </c>
      <c r="B4184" s="4">
        <v>0.3451388888888889</v>
      </c>
      <c r="C4184" s="5" t="s">
        <v>76</v>
      </c>
      <c r="D4184" s="5" t="s">
        <v>1004</v>
      </c>
      <c r="E4184" s="12" t="s">
        <v>152</v>
      </c>
      <c r="F4184" s="5" t="s">
        <v>153</v>
      </c>
      <c r="G4184" s="6" t="str">
        <f>VLOOKUP(E4184,dicionario!$A$1:$C4583,2,0)</f>
        <v>Cynodon dactylon</v>
      </c>
      <c r="H4184" s="6" t="str">
        <f>VLOOKUP(E4184,dicionario!$A$1:$C4583,3,0)</f>
        <v>grama-bermuda</v>
      </c>
    </row>
    <row r="4185">
      <c r="A4185" s="3">
        <v>45645.0</v>
      </c>
      <c r="B4185" s="4">
        <v>0.3451388888888889</v>
      </c>
      <c r="C4185" s="5" t="s">
        <v>76</v>
      </c>
      <c r="D4185" s="5" t="s">
        <v>1004</v>
      </c>
      <c r="E4185" s="6" t="s">
        <v>162</v>
      </c>
      <c r="F4185" s="7" t="s">
        <v>42</v>
      </c>
      <c r="G4185" s="6" t="str">
        <f>VLOOKUP(E4185,dicionario!$A$1:$C4584,2,0)</f>
        <v>Fluvicola nengeta</v>
      </c>
      <c r="H4185" s="6" t="str">
        <f>VLOOKUP(E4185,dicionario!$A$1:$C4584,3,0)</f>
        <v>lavadeira-mascarada</v>
      </c>
    </row>
    <row r="4186">
      <c r="A4186" s="3">
        <v>45645.0</v>
      </c>
      <c r="B4186" s="4">
        <v>0.3451388888888889</v>
      </c>
      <c r="C4186" s="5" t="s">
        <v>76</v>
      </c>
      <c r="D4186" s="5" t="s">
        <v>1004</v>
      </c>
      <c r="E4186" s="8" t="s">
        <v>489</v>
      </c>
      <c r="F4186" s="5" t="s">
        <v>521</v>
      </c>
      <c r="G4186" s="6" t="str">
        <f>VLOOKUP(E4186,dicionario!$A$1:$C4585,2,0)</f>
        <v>Cenchrus echinatus</v>
      </c>
      <c r="H4186" s="6" t="str">
        <f>VLOOKUP(E4186,dicionario!$A$1:$C4585,3,0)</f>
        <v>capim-carrapicho</v>
      </c>
    </row>
    <row r="4187">
      <c r="A4187" s="3">
        <v>45645.0</v>
      </c>
      <c r="B4187" s="4">
        <v>0.3451388888888889</v>
      </c>
      <c r="C4187" s="5" t="s">
        <v>76</v>
      </c>
      <c r="D4187" s="5" t="s">
        <v>1004</v>
      </c>
      <c r="E4187" s="6" t="s">
        <v>519</v>
      </c>
      <c r="F4187" s="5" t="s">
        <v>925</v>
      </c>
      <c r="G4187" s="6" t="str">
        <f>VLOOKUP(E4187,dicionario!$A$1:$C4586,2,0)</f>
        <v>Drosophila melanogaster</v>
      </c>
      <c r="H4187" s="6" t="str">
        <f>VLOOKUP(E4187,dicionario!$A$1:$C4586,3,0)</f>
        <v>mitinga/mosca-da-fruta</v>
      </c>
    </row>
    <row r="4188">
      <c r="A4188" s="3">
        <v>45645.0</v>
      </c>
      <c r="B4188" s="4">
        <v>0.3451388888888889</v>
      </c>
      <c r="C4188" s="5" t="s">
        <v>76</v>
      </c>
      <c r="D4188" s="5" t="s">
        <v>1004</v>
      </c>
      <c r="E4188" s="8" t="s">
        <v>934</v>
      </c>
      <c r="F4188" s="5" t="s">
        <v>414</v>
      </c>
      <c r="G4188" s="6" t="str">
        <f>VLOOKUP(E4188,dicionario!$A$1:$C4587,2,0)</f>
        <v>#N/A</v>
      </c>
      <c r="H4188" s="6" t="str">
        <f>VLOOKUP(E4188,dicionario!$A$1:$C4587,3,0)</f>
        <v>#N/A</v>
      </c>
    </row>
    <row r="4189">
      <c r="A4189" s="3">
        <v>45645.0</v>
      </c>
      <c r="B4189" s="4">
        <v>0.3451388888888889</v>
      </c>
      <c r="C4189" s="5" t="s">
        <v>76</v>
      </c>
      <c r="D4189" s="5" t="s">
        <v>1004</v>
      </c>
      <c r="E4189" s="6" t="s">
        <v>483</v>
      </c>
      <c r="F4189" s="5" t="s">
        <v>484</v>
      </c>
      <c r="G4189" s="6" t="str">
        <f>VLOOKUP(E4189,dicionario!$A$1:$C4588,2,0)</f>
        <v>Euphorbia prostrata</v>
      </c>
      <c r="H4189" s="6" t="str">
        <f>VLOOKUP(E4189,dicionario!$A$1:$C4588,3,0)</f>
        <v>quebra-pedra-rasteira</v>
      </c>
    </row>
    <row r="4190">
      <c r="A4190" s="3">
        <v>45645.0</v>
      </c>
      <c r="B4190" s="4">
        <v>0.3451388888888889</v>
      </c>
      <c r="C4190" s="5" t="s">
        <v>76</v>
      </c>
      <c r="D4190" s="5" t="s">
        <v>1004</v>
      </c>
      <c r="E4190" s="6" t="s">
        <v>154</v>
      </c>
      <c r="F4190" s="5" t="s">
        <v>155</v>
      </c>
      <c r="G4190" s="6" t="str">
        <f>VLOOKUP(E4190,dicionario!$A$1:$C4589,2,0)</f>
        <v>Cyperus rotundus</v>
      </c>
      <c r="H4190" s="6" t="str">
        <f>VLOOKUP(E4190,dicionario!$A$1:$C4589,3,0)</f>
        <v>tiririca</v>
      </c>
    </row>
    <row r="4191">
      <c r="A4191" s="3">
        <v>45645.0</v>
      </c>
      <c r="B4191" s="4">
        <v>0.3472222222222222</v>
      </c>
      <c r="C4191" s="5" t="s">
        <v>76</v>
      </c>
      <c r="D4191" s="5" t="s">
        <v>1004</v>
      </c>
      <c r="E4191" s="8" t="s">
        <v>173</v>
      </c>
      <c r="F4191" s="5" t="s">
        <v>336</v>
      </c>
      <c r="G4191" s="6" t="str">
        <f>VLOOKUP(E4191,dicionario!$A$1:$C4590,2,0)</f>
        <v>Junonia evarete</v>
      </c>
      <c r="H4191" s="6" t="str">
        <f>VLOOKUP(E4191,dicionario!$A$1:$C4590,3,0)</f>
        <v>borboleta-olho-de-pavão-diúrno</v>
      </c>
    </row>
    <row r="4192">
      <c r="A4192" s="3">
        <v>45645.0</v>
      </c>
      <c r="B4192" s="4">
        <v>0.3472222222222222</v>
      </c>
      <c r="C4192" s="5" t="s">
        <v>76</v>
      </c>
      <c r="D4192" s="5" t="s">
        <v>1004</v>
      </c>
      <c r="E4192" s="6" t="s">
        <v>425</v>
      </c>
      <c r="F4192" s="5" t="s">
        <v>426</v>
      </c>
      <c r="G4192" s="6" t="str">
        <f>VLOOKUP(E4192,dicionario!$A$1:$C4591,2,0)</f>
        <v>Digitaria insularis</v>
      </c>
      <c r="H4192" s="6" t="str">
        <f>VLOOKUP(E4192,dicionario!$A$1:$C4591,3,0)</f>
        <v>capim-amargoso</v>
      </c>
    </row>
    <row r="4193">
      <c r="A4193" s="3">
        <v>45645.0</v>
      </c>
      <c r="B4193" s="4">
        <v>0.3472222222222222</v>
      </c>
      <c r="C4193" s="5" t="s">
        <v>76</v>
      </c>
      <c r="D4193" s="5" t="s">
        <v>1004</v>
      </c>
      <c r="E4193" s="8" t="s">
        <v>961</v>
      </c>
      <c r="F4193" s="5" t="s">
        <v>962</v>
      </c>
      <c r="G4193" s="6" t="str">
        <f>VLOOKUP(E4193,dicionario!$A$1:$C4592,2,0)</f>
        <v>#N/A</v>
      </c>
      <c r="H4193" s="6" t="str">
        <f>VLOOKUP(E4193,dicionario!$A$1:$C4592,3,0)</f>
        <v>#N/A</v>
      </c>
    </row>
    <row r="4194">
      <c r="A4194" s="3">
        <v>45645.0</v>
      </c>
      <c r="B4194" s="4">
        <v>0.3486111111111111</v>
      </c>
      <c r="C4194" s="5" t="s">
        <v>76</v>
      </c>
      <c r="D4194" s="5" t="s">
        <v>1004</v>
      </c>
      <c r="E4194" s="8" t="s">
        <v>517</v>
      </c>
      <c r="F4194" s="7" t="s">
        <v>518</v>
      </c>
      <c r="G4194" s="6" t="str">
        <f>VLOOKUP(E4194,dicionario!$A$1:$C4593,2,0)</f>
        <v>Evolvulus nummularius</v>
      </c>
      <c r="H4194" s="6" t="str">
        <f>VLOOKUP(E4194,dicionario!$A$1:$C4593,3,0)</f>
        <v/>
      </c>
    </row>
    <row r="4195">
      <c r="A4195" s="3">
        <v>45645.0</v>
      </c>
      <c r="B4195" s="4">
        <v>0.3486111111111111</v>
      </c>
      <c r="C4195" s="5" t="s">
        <v>76</v>
      </c>
      <c r="D4195" s="5" t="s">
        <v>1004</v>
      </c>
      <c r="E4195" s="30" t="s">
        <v>979</v>
      </c>
      <c r="F4195" s="31"/>
      <c r="G4195" s="6" t="str">
        <f>VLOOKUP(E4195,dicionario!$A$1:$C4594,2,0)</f>
        <v>#N/A</v>
      </c>
      <c r="H4195" s="6" t="str">
        <f>VLOOKUP(E4195,dicionario!$A$1:$C4594,3,0)</f>
        <v>#N/A</v>
      </c>
    </row>
    <row r="4196">
      <c r="A4196" s="3">
        <v>45645.0</v>
      </c>
      <c r="B4196" s="4">
        <v>0.3486111111111111</v>
      </c>
      <c r="C4196" s="5" t="s">
        <v>76</v>
      </c>
      <c r="D4196" s="5" t="s">
        <v>1004</v>
      </c>
      <c r="E4196" s="6" t="s">
        <v>288</v>
      </c>
      <c r="F4196" s="5" t="s">
        <v>289</v>
      </c>
      <c r="G4196" s="6" t="str">
        <f>VLOOKUP(E4196,dicionario!$A$1:$C4595,2,0)</f>
        <v>Phyllanthus tenellus</v>
      </c>
      <c r="H4196" s="6" t="str">
        <f>VLOOKUP(E4196,dicionario!$A$1:$C4595,3,0)</f>
        <v>quebra-pedra</v>
      </c>
    </row>
    <row r="4197">
      <c r="A4197" s="3">
        <v>45645.0</v>
      </c>
      <c r="B4197" s="4">
        <v>0.3486111111111111</v>
      </c>
      <c r="C4197" s="5" t="s">
        <v>76</v>
      </c>
      <c r="D4197" s="5" t="s">
        <v>1004</v>
      </c>
      <c r="E4197" s="6" t="s">
        <v>247</v>
      </c>
      <c r="F4197" s="5" t="s">
        <v>387</v>
      </c>
      <c r="G4197" s="6" t="str">
        <f>VLOOKUP(E4197,dicionario!$A$1:$C4596,2,0)</f>
        <v>Emilia sonchifolia</v>
      </c>
      <c r="H4197" s="6" t="str">
        <f>VLOOKUP(E4197,dicionario!$A$1:$C4596,3,0)</f>
        <v>serralinha</v>
      </c>
    </row>
    <row r="4198">
      <c r="A4198" s="3">
        <v>45645.0</v>
      </c>
      <c r="B4198" s="4">
        <v>0.3486111111111111</v>
      </c>
      <c r="C4198" s="5" t="s">
        <v>76</v>
      </c>
      <c r="D4198" s="5" t="s">
        <v>1004</v>
      </c>
      <c r="E4198" s="8" t="s">
        <v>504</v>
      </c>
      <c r="F4198" s="5" t="s">
        <v>534</v>
      </c>
      <c r="G4198" s="6" t="str">
        <f>VLOOKUP(E4198,dicionario!$A$1:$C4597,2,0)</f>
        <v>Cleome aculeata</v>
      </c>
      <c r="H4198" s="6" t="str">
        <f>VLOOKUP(E4198,dicionario!$A$1:$C4597,3,0)</f>
        <v>cleome</v>
      </c>
    </row>
    <row r="4199">
      <c r="A4199" s="3">
        <v>45645.0</v>
      </c>
      <c r="B4199" s="4">
        <v>0.34930555555555554</v>
      </c>
      <c r="C4199" s="5" t="s">
        <v>76</v>
      </c>
      <c r="D4199" s="5" t="s">
        <v>1004</v>
      </c>
      <c r="E4199" s="8" t="s">
        <v>886</v>
      </c>
      <c r="F4199" s="5" t="s">
        <v>887</v>
      </c>
      <c r="G4199" s="6" t="str">
        <f>VLOOKUP(E4199,dicionario!$A$1:$C4598,2,0)</f>
        <v>Oldenlandia corymbosa</v>
      </c>
      <c r="H4199" s="6" t="str">
        <f>VLOOKUP(E4199,dicionario!$A$1:$C4598,3,0)</f>
        <v>erva-diamante</v>
      </c>
    </row>
    <row r="4200">
      <c r="A4200" s="3">
        <v>45645.0</v>
      </c>
      <c r="B4200" s="4">
        <v>0.34930555555555554</v>
      </c>
      <c r="C4200" s="5" t="s">
        <v>76</v>
      </c>
      <c r="D4200" s="5" t="s">
        <v>1004</v>
      </c>
      <c r="E4200" s="6" t="s">
        <v>292</v>
      </c>
      <c r="F4200" s="5" t="s">
        <v>293</v>
      </c>
      <c r="G4200" s="6" t="str">
        <f>VLOOKUP(E4200,dicionario!$A$1:$C4599,2,0)</f>
        <v>Ascia monuste</v>
      </c>
      <c r="H4200" s="6" t="str">
        <f>VLOOKUP(E4200,dicionario!$A$1:$C4599,3,0)</f>
        <v>borboleta-da-couve</v>
      </c>
    </row>
    <row r="4201">
      <c r="A4201" s="3">
        <v>45645.0</v>
      </c>
      <c r="B4201" s="4">
        <v>0.35</v>
      </c>
      <c r="C4201" s="5" t="s">
        <v>76</v>
      </c>
      <c r="D4201" s="5" t="s">
        <v>1004</v>
      </c>
      <c r="E4201" s="8" t="s">
        <v>143</v>
      </c>
      <c r="F4201" s="5" t="s">
        <v>63</v>
      </c>
      <c r="G4201" s="6" t="str">
        <f>VLOOKUP(E4201,dicionario!$A$1:$C4600,2,0)</f>
        <v>Polybia</v>
      </c>
      <c r="H4201" s="6" t="str">
        <f>VLOOKUP(E4201,dicionario!$A$1:$C4600,3,0)</f>
        <v>vespa</v>
      </c>
    </row>
    <row r="4202">
      <c r="A4202" s="3">
        <v>45645.0</v>
      </c>
      <c r="B4202" s="4">
        <v>0.35</v>
      </c>
      <c r="C4202" s="5" t="s">
        <v>76</v>
      </c>
      <c r="D4202" s="5" t="s">
        <v>1004</v>
      </c>
      <c r="E4202" s="6" t="s">
        <v>229</v>
      </c>
      <c r="F4202" s="5" t="s">
        <v>230</v>
      </c>
      <c r="G4202" s="6" t="str">
        <f>VLOOKUP(E4202,dicionario!$A$1:$C4601,2,0)</f>
        <v>Apis mellifera</v>
      </c>
      <c r="H4202" s="6" t="str">
        <f>VLOOKUP(E4202,dicionario!$A$1:$C4601,3,0)</f>
        <v>abelha-do-mel</v>
      </c>
    </row>
    <row r="4203">
      <c r="A4203" s="3">
        <v>45645.0</v>
      </c>
      <c r="B4203" s="4">
        <v>0.35138888888888886</v>
      </c>
      <c r="C4203" s="5" t="s">
        <v>76</v>
      </c>
      <c r="D4203" s="5" t="s">
        <v>1004</v>
      </c>
      <c r="E4203" s="6" t="s">
        <v>355</v>
      </c>
      <c r="F4203" s="5" t="s">
        <v>356</v>
      </c>
      <c r="G4203" s="6" t="str">
        <f>VLOOKUP(E4203,dicionario!$A$1:$C4602,2,0)</f>
        <v>Boerhavia diffusa</v>
      </c>
      <c r="H4203" s="6" t="str">
        <f>VLOOKUP(E4203,dicionario!$A$1:$C4602,3,0)</f>
        <v>erva-tostão</v>
      </c>
    </row>
    <row r="4204">
      <c r="A4204" s="3">
        <v>45645.0</v>
      </c>
      <c r="B4204" s="4">
        <v>0.35138888888888886</v>
      </c>
      <c r="C4204" s="5" t="s">
        <v>76</v>
      </c>
      <c r="D4204" s="5" t="s">
        <v>1004</v>
      </c>
      <c r="E4204" s="6" t="s">
        <v>239</v>
      </c>
      <c r="F4204" s="5" t="s">
        <v>240</v>
      </c>
      <c r="G4204" s="6" t="str">
        <f>VLOOKUP(E4204,dicionario!$A$1:$C4603,2,0)</f>
        <v>Gomphrena celosioides</v>
      </c>
      <c r="H4204" s="6" t="str">
        <f>VLOOKUP(E4204,dicionario!$A$1:$C4603,3,0)</f>
        <v>perpétua-branca</v>
      </c>
    </row>
    <row r="4205">
      <c r="A4205" s="3">
        <v>45645.0</v>
      </c>
      <c r="B4205" s="4">
        <v>0.35138888888888886</v>
      </c>
      <c r="C4205" s="5" t="s">
        <v>76</v>
      </c>
      <c r="D4205" s="5" t="s">
        <v>1004</v>
      </c>
      <c r="E4205" s="6" t="s">
        <v>294</v>
      </c>
      <c r="F4205" s="5" t="s">
        <v>295</v>
      </c>
      <c r="G4205" s="6" t="str">
        <f>VLOOKUP(E4205,dicionario!$A$1:$C4604,2,0)</f>
        <v>Cycloneda sanguinea</v>
      </c>
      <c r="H4205" s="6" t="str">
        <f>VLOOKUP(E4205,dicionario!$A$1:$C4604,3,0)</f>
        <v>joaninha-sem-pintas</v>
      </c>
    </row>
    <row r="4206">
      <c r="A4206" s="3">
        <v>45645.0</v>
      </c>
      <c r="B4206" s="4">
        <v>0.35138888888888886</v>
      </c>
      <c r="C4206" s="5" t="s">
        <v>76</v>
      </c>
      <c r="D4206" s="5" t="s">
        <v>1004</v>
      </c>
      <c r="E4206" s="6" t="s">
        <v>65</v>
      </c>
      <c r="F4206" s="5" t="s">
        <v>66</v>
      </c>
      <c r="G4206" s="6" t="str">
        <f>VLOOKUP(E4206,dicionario!$A$1:$C4605,2,0)</f>
        <v>Pitangus sulphutarus</v>
      </c>
      <c r="H4206" s="6" t="str">
        <f>VLOOKUP(E4206,dicionario!$A$1:$C4605,3,0)</f>
        <v>bem-te-vi</v>
      </c>
    </row>
    <row r="4207">
      <c r="A4207" s="3">
        <v>45645.0</v>
      </c>
      <c r="B4207" s="4">
        <v>0.35138888888888886</v>
      </c>
      <c r="C4207" s="5" t="s">
        <v>76</v>
      </c>
      <c r="D4207" s="5" t="s">
        <v>1004</v>
      </c>
      <c r="E4207" s="6" t="s">
        <v>225</v>
      </c>
      <c r="F4207" s="5" t="s">
        <v>226</v>
      </c>
      <c r="G4207" s="6" t="str">
        <f>VLOOKUP(E4207,dicionario!$A$1:$C4606,2,0)</f>
        <v>Passer domesticus</v>
      </c>
      <c r="H4207" s="6" t="str">
        <f>VLOOKUP(E4207,dicionario!$A$1:$C4606,3,0)</f>
        <v>pardal</v>
      </c>
    </row>
    <row r="4208">
      <c r="A4208" s="3">
        <v>45645.0</v>
      </c>
      <c r="B4208" s="4">
        <v>0.3527777777777778</v>
      </c>
      <c r="C4208" s="5" t="s">
        <v>76</v>
      </c>
      <c r="D4208" s="5" t="s">
        <v>1004</v>
      </c>
      <c r="E4208" s="6" t="s">
        <v>16</v>
      </c>
      <c r="F4208" s="5" t="s">
        <v>17</v>
      </c>
      <c r="G4208" s="6" t="str">
        <f>VLOOKUP(E4208,dicionario!$A$1:$C4607,2,0)</f>
        <v>Eupetomena macroura</v>
      </c>
      <c r="H4208" s="6" t="str">
        <f>VLOOKUP(E4208,dicionario!$A$1:$C4607,3,0)</f>
        <v>beija-flor-tesoura</v>
      </c>
    </row>
    <row r="4209">
      <c r="A4209" s="3">
        <v>45645.0</v>
      </c>
      <c r="B4209" s="4">
        <v>0.3527777777777778</v>
      </c>
      <c r="C4209" s="5" t="s">
        <v>76</v>
      </c>
      <c r="D4209" s="5" t="s">
        <v>1004</v>
      </c>
      <c r="E4209" s="8" t="s">
        <v>139</v>
      </c>
      <c r="F4209" s="5" t="s">
        <v>862</v>
      </c>
      <c r="G4209" s="6" t="str">
        <f>VLOOKUP(E4209,dicionario!$A$1:$C4608,2,0)</f>
        <v>Tropidurus torquatus</v>
      </c>
      <c r="H4209" s="6" t="str">
        <f>VLOOKUP(E4209,dicionario!$A$1:$C4608,3,0)</f>
        <v>calango; tropiduro-comum</v>
      </c>
    </row>
    <row r="4210">
      <c r="A4210" s="3">
        <v>45645.0</v>
      </c>
      <c r="B4210" s="4">
        <v>0.3527777777777778</v>
      </c>
      <c r="C4210" s="5" t="s">
        <v>76</v>
      </c>
      <c r="D4210" s="5" t="s">
        <v>1004</v>
      </c>
      <c r="E4210" s="8" t="s">
        <v>805</v>
      </c>
      <c r="F4210" s="5" t="s">
        <v>186</v>
      </c>
      <c r="G4210" s="6" t="str">
        <f>VLOOKUP(E4210,dicionario!$A$1:$C4609,2,0)</f>
        <v>#N/A</v>
      </c>
      <c r="H4210" s="6" t="str">
        <f>VLOOKUP(E4210,dicionario!$A$1:$C4609,3,0)</f>
        <v>#N/A</v>
      </c>
    </row>
    <row r="4211">
      <c r="A4211" s="3">
        <v>45645.0</v>
      </c>
      <c r="B4211" s="4">
        <v>0.3527777777777778</v>
      </c>
      <c r="C4211" s="5" t="s">
        <v>76</v>
      </c>
      <c r="D4211" s="5" t="s">
        <v>1004</v>
      </c>
      <c r="E4211" s="6" t="s">
        <v>109</v>
      </c>
      <c r="F4211" s="5" t="s">
        <v>110</v>
      </c>
      <c r="G4211" s="6" t="str">
        <f>VLOOKUP(E4211,dicionario!$A$1:$C4610,2,0)</f>
        <v>Tillandsia stricta</v>
      </c>
      <c r="H4211" s="6" t="str">
        <f>VLOOKUP(E4211,dicionario!$A$1:$C4610,3,0)</f>
        <v>cravo-do-mato</v>
      </c>
    </row>
    <row r="4212">
      <c r="A4212" s="3">
        <v>45645.0</v>
      </c>
      <c r="B4212" s="4">
        <v>0.3527777777777778</v>
      </c>
      <c r="C4212" s="5" t="s">
        <v>76</v>
      </c>
      <c r="D4212" s="5" t="s">
        <v>1004</v>
      </c>
      <c r="E4212" s="6" t="s">
        <v>319</v>
      </c>
      <c r="F4212" s="5" t="s">
        <v>320</v>
      </c>
      <c r="G4212" s="6" t="str">
        <f>VLOOKUP(E4212,dicionario!$A$1:$C4611,2,0)</f>
        <v>Schinus terebinthifolia</v>
      </c>
      <c r="H4212" s="6" t="str">
        <f>VLOOKUP(E4212,dicionario!$A$1:$C4611,3,0)</f>
        <v>aroeira</v>
      </c>
    </row>
    <row r="4213">
      <c r="A4213" s="3">
        <v>45645.0</v>
      </c>
      <c r="B4213" s="4">
        <v>0.35347222222222224</v>
      </c>
      <c r="C4213" s="5" t="s">
        <v>76</v>
      </c>
      <c r="D4213" s="5" t="s">
        <v>1004</v>
      </c>
      <c r="E4213" s="6" t="s">
        <v>267</v>
      </c>
      <c r="F4213" s="5" t="s">
        <v>553</v>
      </c>
      <c r="G4213" s="6" t="str">
        <f>VLOOKUP(E4213,dicionario!$A$1:$C4612,2,0)</f>
        <v>Solanum americanum</v>
      </c>
      <c r="H4213" s="6" t="str">
        <f>VLOOKUP(E4213,dicionario!$A$1:$C4612,3,0)</f>
        <v>maria-pretinha</v>
      </c>
    </row>
    <row r="4214">
      <c r="A4214" s="3">
        <v>45645.0</v>
      </c>
      <c r="B4214" s="4">
        <v>0.35347222222222224</v>
      </c>
      <c r="C4214" s="5" t="s">
        <v>76</v>
      </c>
      <c r="D4214" s="5" t="s">
        <v>1004</v>
      </c>
      <c r="E4214" s="6" t="s">
        <v>265</v>
      </c>
      <c r="F4214" s="5" t="s">
        <v>266</v>
      </c>
      <c r="G4214" s="6" t="str">
        <f>VLOOKUP(E4214,dicionario!$A$1:$C4613,2,0)</f>
        <v>Sonchus oleraceus</v>
      </c>
      <c r="H4214" s="6" t="str">
        <f>VLOOKUP(E4214,dicionario!$A$1:$C4613,3,0)</f>
        <v>seralha</v>
      </c>
    </row>
    <row r="4215">
      <c r="A4215" s="3">
        <v>45645.0</v>
      </c>
      <c r="B4215" s="4">
        <v>0.35347222222222224</v>
      </c>
      <c r="C4215" s="5" t="s">
        <v>76</v>
      </c>
      <c r="D4215" s="5" t="s">
        <v>1004</v>
      </c>
      <c r="E4215" s="8" t="s">
        <v>262</v>
      </c>
      <c r="F4215" s="7" t="s">
        <v>263</v>
      </c>
      <c r="G4215" s="6" t="str">
        <f>VLOOKUP(E4215,dicionario!$A$1:$C4614,2,0)</f>
        <v>Portulaca oleracea</v>
      </c>
      <c r="H4215" s="6" t="str">
        <f>VLOOKUP(E4215,dicionario!$A$1:$C4614,3,0)</f>
        <v>beldroega</v>
      </c>
    </row>
    <row r="4216">
      <c r="A4216" s="3">
        <v>45645.0</v>
      </c>
      <c r="B4216" s="4">
        <v>0.35347222222222224</v>
      </c>
      <c r="C4216" s="5" t="s">
        <v>76</v>
      </c>
      <c r="D4216" s="5" t="s">
        <v>1004</v>
      </c>
      <c r="E4216" s="8" t="s">
        <v>548</v>
      </c>
      <c r="F4216" s="5" t="s">
        <v>549</v>
      </c>
      <c r="G4216" s="6" t="str">
        <f>VLOOKUP(E4216,dicionario!$A$1:$C4615,2,0)</f>
        <v>Ricinus communis</v>
      </c>
      <c r="H4216" s="6" t="str">
        <f>VLOOKUP(E4216,dicionario!$A$1:$C4615,3,0)</f>
        <v>mamona</v>
      </c>
    </row>
    <row r="4217">
      <c r="A4217" s="3">
        <v>45645.0</v>
      </c>
      <c r="B4217" s="4">
        <v>0.3576388888888889</v>
      </c>
      <c r="C4217" s="5" t="s">
        <v>1034</v>
      </c>
      <c r="D4217" s="5" t="s">
        <v>1004</v>
      </c>
      <c r="E4217" s="6" t="s">
        <v>162</v>
      </c>
      <c r="F4217" s="7" t="s">
        <v>42</v>
      </c>
      <c r="G4217" s="6" t="str">
        <f>VLOOKUP(E4217,dicionario!$A$1:$C4616,2,0)</f>
        <v>Fluvicola nengeta</v>
      </c>
      <c r="H4217" s="6" t="str">
        <f>VLOOKUP(E4217,dicionario!$A$1:$C4616,3,0)</f>
        <v>lavadeira-mascarada</v>
      </c>
    </row>
    <row r="4218">
      <c r="A4218" s="3">
        <v>45645.0</v>
      </c>
      <c r="B4218" s="4">
        <v>0.3576388888888889</v>
      </c>
      <c r="C4218" s="5" t="s">
        <v>1034</v>
      </c>
      <c r="D4218" s="5" t="s">
        <v>1004</v>
      </c>
      <c r="E4218" s="20" t="s">
        <v>676</v>
      </c>
      <c r="F4218" s="7" t="s">
        <v>677</v>
      </c>
      <c r="G4218" s="6" t="str">
        <f>VLOOKUP(E4218,dicionario!$A$1:$C4617,2,0)</f>
        <v>Zornia latifolia</v>
      </c>
      <c r="H4218" s="6" t="str">
        <f>VLOOKUP(E4218,dicionario!$A$1:$C4617,3,0)</f>
        <v>arrozinho-do-campo</v>
      </c>
    </row>
    <row r="4219">
      <c r="A4219" s="3">
        <v>45645.0</v>
      </c>
      <c r="B4219" s="4">
        <v>0.3576388888888889</v>
      </c>
      <c r="C4219" s="5" t="s">
        <v>1034</v>
      </c>
      <c r="D4219" s="5" t="s">
        <v>1004</v>
      </c>
      <c r="E4219" s="8" t="s">
        <v>688</v>
      </c>
      <c r="F4219" s="5" t="s">
        <v>121</v>
      </c>
      <c r="G4219" s="6" t="str">
        <f>VLOOKUP(E4219,dicionario!$A$1:$C4618,2,0)</f>
        <v>Fidicina</v>
      </c>
      <c r="H4219" s="6" t="str">
        <f>VLOOKUP(E4219,dicionario!$A$1:$C4618,3,0)</f>
        <v>cigarra</v>
      </c>
    </row>
    <row r="4220">
      <c r="A4220" s="3">
        <v>45645.0</v>
      </c>
      <c r="B4220" s="4">
        <v>0.3576388888888889</v>
      </c>
      <c r="C4220" s="5" t="s">
        <v>1034</v>
      </c>
      <c r="D4220" s="5" t="s">
        <v>1004</v>
      </c>
      <c r="E4220" s="6" t="s">
        <v>146</v>
      </c>
      <c r="F4220" s="5" t="s">
        <v>147</v>
      </c>
      <c r="G4220" s="6" t="str">
        <f>VLOOKUP(E4220,dicionario!$A$1:$C4619,2,0)</f>
        <v>Euphorbia hirta</v>
      </c>
      <c r="H4220" s="6" t="str">
        <f>VLOOKUP(E4220,dicionario!$A$1:$C4619,3,0)</f>
        <v>erva-de-santa-luzia</v>
      </c>
    </row>
    <row r="4221">
      <c r="A4221" s="3">
        <v>45645.0</v>
      </c>
      <c r="B4221" s="4">
        <v>0.3576388888888889</v>
      </c>
      <c r="C4221" s="5" t="s">
        <v>1034</v>
      </c>
      <c r="D4221" s="5" t="s">
        <v>1004</v>
      </c>
      <c r="E4221" s="6" t="s">
        <v>109</v>
      </c>
      <c r="F4221" s="5" t="s">
        <v>110</v>
      </c>
      <c r="G4221" s="6" t="str">
        <f>VLOOKUP(E4221,dicionario!$A$1:$C4620,2,0)</f>
        <v>Tillandsia stricta</v>
      </c>
      <c r="H4221" s="6" t="str">
        <f>VLOOKUP(E4221,dicionario!$A$1:$C4620,3,0)</f>
        <v>cravo-do-mato</v>
      </c>
    </row>
    <row r="4222">
      <c r="A4222" s="3">
        <v>45645.0</v>
      </c>
      <c r="B4222" s="4">
        <v>0.3576388888888889</v>
      </c>
      <c r="C4222" s="5" t="s">
        <v>1034</v>
      </c>
      <c r="D4222" s="5" t="s">
        <v>1004</v>
      </c>
      <c r="E4222" s="8" t="s">
        <v>298</v>
      </c>
      <c r="F4222" s="5" t="s">
        <v>739</v>
      </c>
      <c r="G4222" s="6" t="str">
        <f>VLOOKUP(E4222,dicionario!$A$1:$C4621,2,0)</f>
        <v>Alysicarpus vaginalis</v>
      </c>
      <c r="H4222" s="6" t="str">
        <f>VLOOKUP(E4222,dicionario!$A$1:$C4621,3,0)</f>
        <v/>
      </c>
    </row>
    <row r="4223">
      <c r="A4223" s="3">
        <v>45645.0</v>
      </c>
      <c r="B4223" s="4">
        <v>0.3576388888888889</v>
      </c>
      <c r="C4223" s="5" t="s">
        <v>1034</v>
      </c>
      <c r="D4223" s="5" t="s">
        <v>1004</v>
      </c>
      <c r="E4223" s="6" t="s">
        <v>213</v>
      </c>
      <c r="F4223" s="7" t="s">
        <v>214</v>
      </c>
      <c r="G4223" s="6" t="str">
        <f>VLOOKUP(E4223,dicionario!$A$1:$C4622,2,0)</f>
        <v>Myiozetetes similis</v>
      </c>
      <c r="H4223" s="6" t="str">
        <f>VLOOKUP(E4223,dicionario!$A$1:$C4622,3,0)</f>
        <v>bentevizinho-de-penacho-vermelho</v>
      </c>
    </row>
    <row r="4224">
      <c r="A4224" s="3">
        <v>45645.0</v>
      </c>
      <c r="B4224" s="4">
        <v>0.35833333333333334</v>
      </c>
      <c r="C4224" s="5" t="s">
        <v>1034</v>
      </c>
      <c r="D4224" s="5" t="s">
        <v>1004</v>
      </c>
      <c r="E4224" s="6" t="s">
        <v>163</v>
      </c>
      <c r="F4224" s="5" t="s">
        <v>164</v>
      </c>
      <c r="G4224" s="6" t="str">
        <f>VLOOKUP(E4224,dicionario!$A$1:$C4623,2,0)</f>
        <v>Coragyps atratus</v>
      </c>
      <c r="H4224" s="6" t="str">
        <f>VLOOKUP(E4224,dicionario!$A$1:$C4623,3,0)</f>
        <v>urubu-de-cabeça-preta</v>
      </c>
    </row>
    <row r="4225">
      <c r="A4225" s="3">
        <v>45645.0</v>
      </c>
      <c r="B4225" s="4">
        <v>0.35833333333333334</v>
      </c>
      <c r="C4225" s="5" t="s">
        <v>1034</v>
      </c>
      <c r="D4225" s="5" t="s">
        <v>1004</v>
      </c>
      <c r="E4225" s="6" t="s">
        <v>200</v>
      </c>
      <c r="F4225" s="5" t="s">
        <v>201</v>
      </c>
      <c r="G4225" s="6" t="str">
        <f>VLOOKUP(E4225,dicionario!$A$1:$C4624,2,0)</f>
        <v>Columbina picui </v>
      </c>
      <c r="H4225" s="6" t="str">
        <f>VLOOKUP(E4225,dicionario!$A$1:$C4624,3,0)</f>
        <v>rolinha-picuí</v>
      </c>
    </row>
    <row r="4226">
      <c r="A4226" s="3">
        <v>45645.0</v>
      </c>
      <c r="B4226" s="4">
        <v>0.35833333333333334</v>
      </c>
      <c r="C4226" s="5" t="s">
        <v>1034</v>
      </c>
      <c r="D4226" s="5" t="s">
        <v>1004</v>
      </c>
      <c r="E4226" s="6" t="s">
        <v>353</v>
      </c>
      <c r="F4226" s="5" t="s">
        <v>354</v>
      </c>
      <c r="G4226" s="6" t="str">
        <f>VLOOKUP(E4226,dicionario!$A$1:$C4625,2,0)</f>
        <v>Desmodium incanum</v>
      </c>
      <c r="H4226" s="6" t="str">
        <f>VLOOKUP(E4226,dicionario!$A$1:$C4625,3,0)</f>
        <v>pega-pega</v>
      </c>
    </row>
    <row r="4227">
      <c r="A4227" s="3">
        <v>45645.0</v>
      </c>
      <c r="B4227" s="4">
        <v>0.35833333333333334</v>
      </c>
      <c r="C4227" s="5" t="s">
        <v>1034</v>
      </c>
      <c r="D4227" s="5" t="s">
        <v>1004</v>
      </c>
      <c r="E4227" s="8" t="s">
        <v>405</v>
      </c>
      <c r="F4227" s="5" t="s">
        <v>852</v>
      </c>
      <c r="G4227" s="6" t="str">
        <f>VLOOKUP(E4227,dicionario!$A$1:$C4626,2,0)</f>
        <v>Ectatomma</v>
      </c>
      <c r="H4227" s="6" t="str">
        <f>VLOOKUP(E4227,dicionario!$A$1:$C4626,3,0)</f>
        <v>formiga-preta</v>
      </c>
    </row>
    <row r="4228">
      <c r="A4228" s="3">
        <v>45645.0</v>
      </c>
      <c r="B4228" s="4">
        <v>0.3590277777777778</v>
      </c>
      <c r="C4228" s="5" t="s">
        <v>1034</v>
      </c>
      <c r="D4228" s="5" t="s">
        <v>1004</v>
      </c>
      <c r="E4228" s="8" t="s">
        <v>712</v>
      </c>
      <c r="F4228" s="5" t="s">
        <v>718</v>
      </c>
      <c r="G4228" s="6" t="str">
        <f>VLOOKUP(E4228,dicionario!$A$1:$C4627,2,0)</f>
        <v>Flavopunctelia soredica</v>
      </c>
      <c r="H4228" s="6" t="str">
        <f>VLOOKUP(E4228,dicionario!$A$1:$C4627,3,0)</f>
        <v>líquen-folioso</v>
      </c>
    </row>
    <row r="4229">
      <c r="A4229" s="3">
        <v>45645.0</v>
      </c>
      <c r="B4229" s="4">
        <v>0.3597222222222222</v>
      </c>
      <c r="C4229" s="5" t="s">
        <v>1034</v>
      </c>
      <c r="D4229" s="5" t="s">
        <v>1004</v>
      </c>
      <c r="E4229" s="6" t="s">
        <v>271</v>
      </c>
      <c r="F4229" s="7" t="s">
        <v>272</v>
      </c>
      <c r="G4229" s="6" t="str">
        <f>VLOOKUP(E4229,dicionario!$A$1:$C4628,2,0)</f>
        <v>Cyanthillium cinereum</v>
      </c>
      <c r="H4229" s="6" t="str">
        <f>VLOOKUP(E4229,dicionario!$A$1:$C4628,3,0)</f>
        <v>emília</v>
      </c>
    </row>
    <row r="4230">
      <c r="A4230" s="3">
        <v>45645.0</v>
      </c>
      <c r="B4230" s="4">
        <v>0.3597222222222222</v>
      </c>
      <c r="C4230" s="5" t="s">
        <v>1034</v>
      </c>
      <c r="D4230" s="5" t="s">
        <v>1004</v>
      </c>
      <c r="E4230" s="8" t="s">
        <v>399</v>
      </c>
      <c r="F4230" s="5" t="s">
        <v>1035</v>
      </c>
      <c r="G4230" s="6" t="str">
        <f>VLOOKUP(E4230,dicionario!$A$1:$C4629,2,0)</f>
        <v>Varronia curassavica</v>
      </c>
      <c r="H4230" s="6" t="str">
        <f>VLOOKUP(E4230,dicionario!$A$1:$C4629,3,0)</f>
        <v>erva-baleeira</v>
      </c>
    </row>
    <row r="4231">
      <c r="A4231" s="3">
        <v>45645.0</v>
      </c>
      <c r="B4231" s="4">
        <v>0.3597222222222222</v>
      </c>
      <c r="C4231" s="5" t="s">
        <v>1034</v>
      </c>
      <c r="D4231" s="5" t="s">
        <v>1004</v>
      </c>
      <c r="E4231" s="6" t="s">
        <v>53</v>
      </c>
      <c r="F4231" s="7" t="s">
        <v>54</v>
      </c>
      <c r="G4231" s="6" t="str">
        <f>VLOOKUP(E4231,dicionario!$A$1:$C4630,2,0)</f>
        <v>Turnera subulata</v>
      </c>
      <c r="H4231" s="6" t="str">
        <f>VLOOKUP(E4231,dicionario!$A$1:$C4630,3,0)</f>
        <v>xanana</v>
      </c>
    </row>
    <row r="4232">
      <c r="A4232" s="3">
        <v>45645.0</v>
      </c>
      <c r="B4232" s="4">
        <v>0.3597222222222222</v>
      </c>
      <c r="C4232" s="5" t="s">
        <v>1034</v>
      </c>
      <c r="D4232" s="5" t="s">
        <v>1004</v>
      </c>
      <c r="E4232" s="6" t="s">
        <v>247</v>
      </c>
      <c r="F4232" s="5" t="s">
        <v>387</v>
      </c>
      <c r="G4232" s="6" t="str">
        <f>VLOOKUP(E4232,dicionario!$A$1:$C4631,2,0)</f>
        <v>Emilia sonchifolia</v>
      </c>
      <c r="H4232" s="6" t="str">
        <f>VLOOKUP(E4232,dicionario!$A$1:$C4631,3,0)</f>
        <v>serralinha</v>
      </c>
    </row>
    <row r="4233">
      <c r="A4233" s="3">
        <v>45645.0</v>
      </c>
      <c r="B4233" s="4">
        <v>0.3611111111111111</v>
      </c>
      <c r="C4233" s="5" t="s">
        <v>1034</v>
      </c>
      <c r="D4233" s="5" t="s">
        <v>1004</v>
      </c>
      <c r="E4233" s="8" t="s">
        <v>838</v>
      </c>
      <c r="F4233" s="5" t="s">
        <v>839</v>
      </c>
      <c r="G4233" s="6" t="str">
        <f>VLOOKUP(E4233,dicionario!$A$1:$C4632,2,0)</f>
        <v>Plexippus paykulli</v>
      </c>
      <c r="H4233" s="6" t="str">
        <f>VLOOKUP(E4233,dicionario!$A$1:$C4632,3,0)</f>
        <v>aranha-saltadora-pantropical</v>
      </c>
    </row>
    <row r="4234">
      <c r="A4234" s="3">
        <v>45645.0</v>
      </c>
      <c r="B4234" s="4">
        <v>0.3611111111111111</v>
      </c>
      <c r="C4234" s="5" t="s">
        <v>1034</v>
      </c>
      <c r="D4234" s="5" t="s">
        <v>1004</v>
      </c>
      <c r="E4234" s="6" t="s">
        <v>14</v>
      </c>
      <c r="F4234" s="5" t="s">
        <v>15</v>
      </c>
      <c r="G4234" s="6" t="str">
        <f>VLOOKUP(E4234,dicionario!$A$1:$C4633,2,0)</f>
        <v>Spermacoce verticillata</v>
      </c>
      <c r="H4234" s="6" t="str">
        <f>VLOOKUP(E4234,dicionario!$A$1:$C4633,3,0)</f>
        <v>vassourinha-de-botão</v>
      </c>
    </row>
    <row r="4235">
      <c r="A4235" s="3">
        <v>45645.0</v>
      </c>
      <c r="B4235" s="4">
        <v>0.3611111111111111</v>
      </c>
      <c r="C4235" s="5" t="s">
        <v>1034</v>
      </c>
      <c r="D4235" s="5" t="s">
        <v>1004</v>
      </c>
      <c r="E4235" s="8" t="s">
        <v>606</v>
      </c>
      <c r="F4235" s="5" t="s">
        <v>607</v>
      </c>
      <c r="G4235" s="6" t="str">
        <f>VLOOKUP(E4235,dicionario!$A$1:$C4634,2,0)</f>
        <v>Elaenia spectabilis</v>
      </c>
      <c r="H4235" s="6" t="str">
        <f>VLOOKUP(E4235,dicionario!$A$1:$C4634,3,0)</f>
        <v>guaracava-grande</v>
      </c>
    </row>
    <row r="4236">
      <c r="A4236" s="3">
        <v>45645.0</v>
      </c>
      <c r="B4236" s="4">
        <v>0.3611111111111111</v>
      </c>
      <c r="C4236" s="5" t="s">
        <v>1034</v>
      </c>
      <c r="D4236" s="5" t="s">
        <v>1004</v>
      </c>
      <c r="E4236" s="8" t="s">
        <v>375</v>
      </c>
      <c r="F4236" s="5" t="s">
        <v>35</v>
      </c>
      <c r="G4236" s="6" t="str">
        <f>VLOOKUP(E4236,dicionario!$A$1:$C4635,2,0)</f>
        <v>Neoponera foetida</v>
      </c>
      <c r="H4236" s="6" t="str">
        <f>VLOOKUP(E4236,dicionario!$A$1:$C4635,3,0)</f>
        <v/>
      </c>
    </row>
    <row r="4237">
      <c r="A4237" s="3">
        <v>45645.0</v>
      </c>
      <c r="B4237" s="4">
        <v>0.3611111111111111</v>
      </c>
      <c r="C4237" s="5" t="s">
        <v>1034</v>
      </c>
      <c r="D4237" s="5" t="s">
        <v>1004</v>
      </c>
      <c r="E4237" s="6" t="s">
        <v>88</v>
      </c>
      <c r="F4237" s="5" t="s">
        <v>89</v>
      </c>
      <c r="G4237" s="6" t="str">
        <f>VLOOKUP(E4237,dicionario!$A$1:$C4636,2,0)</f>
        <v>Tyrannus melancolichus</v>
      </c>
      <c r="H4237" s="6" t="str">
        <f>VLOOKUP(E4237,dicionario!$A$1:$C4636,3,0)</f>
        <v>suiriri</v>
      </c>
    </row>
    <row r="4238">
      <c r="A4238" s="3">
        <v>45645.0</v>
      </c>
      <c r="B4238" s="4">
        <v>0.3611111111111111</v>
      </c>
      <c r="C4238" s="5" t="s">
        <v>1034</v>
      </c>
      <c r="D4238" s="5" t="s">
        <v>1004</v>
      </c>
      <c r="E4238" s="6" t="s">
        <v>83</v>
      </c>
      <c r="F4238" s="5" t="s">
        <v>84</v>
      </c>
      <c r="G4238" s="6" t="str">
        <f>VLOOKUP(E4238,dicionario!$A$1:$C4637,2,0)</f>
        <v>Anartia jatrophae</v>
      </c>
      <c r="H4238" s="6" t="str">
        <f>VLOOKUP(E4238,dicionario!$A$1:$C4637,3,0)</f>
        <v>borboleta-pavão-branco</v>
      </c>
    </row>
    <row r="4239">
      <c r="A4239" s="3">
        <v>45645.0</v>
      </c>
      <c r="B4239" s="4">
        <v>0.3611111111111111</v>
      </c>
      <c r="C4239" s="5" t="s">
        <v>1034</v>
      </c>
      <c r="D4239" s="5" t="s">
        <v>1004</v>
      </c>
      <c r="E4239" s="8" t="s">
        <v>152</v>
      </c>
      <c r="F4239" s="5" t="s">
        <v>153</v>
      </c>
      <c r="G4239" s="6" t="str">
        <f>VLOOKUP(E4239,dicionario!$A$1:$C4638,2,0)</f>
        <v>Cynodon dactylon</v>
      </c>
      <c r="H4239" s="6" t="str">
        <f>VLOOKUP(E4239,dicionario!$A$1:$C4638,3,0)</f>
        <v>grama-bermuda</v>
      </c>
    </row>
    <row r="4240">
      <c r="A4240" s="3">
        <v>45645.0</v>
      </c>
      <c r="B4240" s="4">
        <v>0.3611111111111111</v>
      </c>
      <c r="C4240" s="5" t="s">
        <v>1034</v>
      </c>
      <c r="D4240" s="5" t="s">
        <v>1004</v>
      </c>
      <c r="E4240" s="8" t="s">
        <v>928</v>
      </c>
      <c r="F4240" s="7" t="s">
        <v>170</v>
      </c>
      <c r="G4240" s="6" t="str">
        <f>VLOOKUP(E4240,dicionario!$A$1:$C4639,2,0)</f>
        <v>Camponotus</v>
      </c>
      <c r="H4240" s="6" t="str">
        <f>VLOOKUP(E4240,dicionario!$A$1:$C4639,3,0)</f>
        <v>formiga-preta</v>
      </c>
    </row>
    <row r="4241">
      <c r="A4241" s="3">
        <v>45645.0</v>
      </c>
      <c r="B4241" s="4">
        <v>0.3611111111111111</v>
      </c>
      <c r="C4241" s="5" t="s">
        <v>1034</v>
      </c>
      <c r="D4241" s="5" t="s">
        <v>1004</v>
      </c>
      <c r="E4241" s="8" t="s">
        <v>1036</v>
      </c>
      <c r="F4241" s="5" t="s">
        <v>1037</v>
      </c>
      <c r="G4241" s="6" t="str">
        <f>VLOOKUP(E4241,dicionario!$A$1:$C4640,2,0)</f>
        <v>#N/A</v>
      </c>
      <c r="H4241" s="6" t="str">
        <f>VLOOKUP(E4241,dicionario!$A$1:$C4640,3,0)</f>
        <v>#N/A</v>
      </c>
    </row>
    <row r="4242">
      <c r="A4242" s="3">
        <v>45645.0</v>
      </c>
      <c r="B4242" s="4">
        <v>0.3611111111111111</v>
      </c>
      <c r="C4242" s="5" t="s">
        <v>1034</v>
      </c>
      <c r="D4242" s="5" t="s">
        <v>1004</v>
      </c>
      <c r="E4242" s="6" t="s">
        <v>111</v>
      </c>
      <c r="F4242" s="7" t="s">
        <v>112</v>
      </c>
      <c r="G4242" s="6" t="str">
        <f>VLOOKUP(E4242,dicionario!$A$1:$C4641,2,0)</f>
        <v>Trigona spinipes</v>
      </c>
      <c r="H4242" s="6" t="str">
        <f>VLOOKUP(E4242,dicionario!$A$1:$C4641,3,0)</f>
        <v>abelha-cachorro</v>
      </c>
    </row>
    <row r="4243">
      <c r="A4243" s="3">
        <v>45645.0</v>
      </c>
      <c r="B4243" s="4">
        <v>0.3611111111111111</v>
      </c>
      <c r="C4243" s="5" t="s">
        <v>1034</v>
      </c>
      <c r="D4243" s="5" t="s">
        <v>1004</v>
      </c>
      <c r="E4243" s="6" t="s">
        <v>20</v>
      </c>
      <c r="F4243" s="7" t="s">
        <v>21</v>
      </c>
      <c r="G4243" s="6" t="str">
        <f>VLOOKUP(E4243,dicionario!$A$1:$C4642,2,0)</f>
        <v>Sicalis flaveola</v>
      </c>
      <c r="H4243" s="6" t="str">
        <f>VLOOKUP(E4243,dicionario!$A$1:$C4642,3,0)</f>
        <v>canário-da-terra</v>
      </c>
    </row>
    <row r="4244">
      <c r="A4244" s="3">
        <v>45645.0</v>
      </c>
      <c r="B4244" s="4">
        <v>0.36527777777777776</v>
      </c>
      <c r="C4244" s="5" t="s">
        <v>1034</v>
      </c>
      <c r="D4244" s="5" t="s">
        <v>1004</v>
      </c>
      <c r="E4244" s="8" t="s">
        <v>258</v>
      </c>
      <c r="F4244" s="5" t="s">
        <v>259</v>
      </c>
      <c r="G4244" s="6" t="str">
        <f>VLOOKUP(E4244,dicionario!$A$1:$C4643,2,0)</f>
        <v>Lantana camara</v>
      </c>
      <c r="H4244" s="6" t="str">
        <f>VLOOKUP(E4244,dicionario!$A$1:$C4643,3,0)</f>
        <v>lantana</v>
      </c>
    </row>
    <row r="4245">
      <c r="A4245" s="3">
        <v>45645.0</v>
      </c>
      <c r="B4245" s="4">
        <v>0.36527777777777776</v>
      </c>
      <c r="C4245" s="5" t="s">
        <v>1034</v>
      </c>
      <c r="D4245" s="5" t="s">
        <v>1004</v>
      </c>
      <c r="E4245" s="6" t="s">
        <v>401</v>
      </c>
      <c r="F4245" s="5" t="s">
        <v>464</v>
      </c>
      <c r="G4245" s="6" t="str">
        <f>VLOOKUP(E4245,dicionario!$A$1:$C4644,2,0)</f>
        <v>Cissus verticillata</v>
      </c>
      <c r="H4245" s="6" t="str">
        <f>VLOOKUP(E4245,dicionario!$A$1:$C4644,3,0)</f>
        <v>uva-do-mato</v>
      </c>
    </row>
    <row r="4246">
      <c r="A4246" s="3">
        <v>45645.0</v>
      </c>
      <c r="B4246" s="4">
        <v>0.36666666666666664</v>
      </c>
      <c r="C4246" s="5" t="s">
        <v>1034</v>
      </c>
      <c r="D4246" s="5" t="s">
        <v>1004</v>
      </c>
      <c r="E4246" s="8" t="s">
        <v>247</v>
      </c>
      <c r="F4246" s="5" t="s">
        <v>387</v>
      </c>
      <c r="G4246" s="6" t="str">
        <f>VLOOKUP(E4246,dicionario!$A$1:$C4645,2,0)</f>
        <v>Emilia sonchifolia</v>
      </c>
      <c r="H4246" s="6" t="str">
        <f>VLOOKUP(E4246,dicionario!$A$1:$C4645,3,0)</f>
        <v>serralinha</v>
      </c>
    </row>
    <row r="4247">
      <c r="A4247" s="3">
        <v>45645.0</v>
      </c>
      <c r="B4247" s="4">
        <v>0.36666666666666664</v>
      </c>
      <c r="C4247" s="5" t="s">
        <v>1034</v>
      </c>
      <c r="D4247" s="5" t="s">
        <v>1004</v>
      </c>
      <c r="E4247" s="8" t="s">
        <v>51</v>
      </c>
      <c r="F4247" s="5" t="s">
        <v>77</v>
      </c>
      <c r="G4247" s="6" t="str">
        <f>VLOOKUP(E4247,dicionario!$A$1:$C4646,2,0)</f>
        <v>Solenopsis</v>
      </c>
      <c r="H4247" s="6" t="str">
        <f>VLOOKUP(E4247,dicionario!$A$1:$C4646,3,0)</f>
        <v>formiga-quente; formiga-lava-pés; formiga-de-fogo</v>
      </c>
    </row>
    <row r="4248">
      <c r="A4248" s="3">
        <v>45645.0</v>
      </c>
      <c r="B4248" s="4">
        <v>0.36666666666666664</v>
      </c>
      <c r="C4248" s="5" t="s">
        <v>1034</v>
      </c>
      <c r="D4248" s="5" t="s">
        <v>1004</v>
      </c>
      <c r="E4248" s="8" t="s">
        <v>118</v>
      </c>
      <c r="F4248" s="5" t="s">
        <v>119</v>
      </c>
      <c r="G4248" s="6" t="str">
        <f>VLOOKUP(E4248,dicionario!$A$1:$C4647,2,0)</f>
        <v>Agaricus</v>
      </c>
      <c r="H4248" s="6" t="str">
        <f>VLOOKUP(E4248,dicionario!$A$1:$C4647,3,0)</f>
        <v>cogumelo</v>
      </c>
    </row>
    <row r="4249">
      <c r="A4249" s="3">
        <v>45645.0</v>
      </c>
      <c r="B4249" s="4">
        <v>0.36666666666666664</v>
      </c>
      <c r="C4249" s="5" t="s">
        <v>1034</v>
      </c>
      <c r="D4249" s="5" t="s">
        <v>1004</v>
      </c>
      <c r="E4249" s="6" t="s">
        <v>53</v>
      </c>
      <c r="F4249" s="7" t="s">
        <v>54</v>
      </c>
      <c r="G4249" s="6" t="str">
        <f>VLOOKUP(E4249,dicionario!$A$1:$C4648,2,0)</f>
        <v>Turnera subulata</v>
      </c>
      <c r="H4249" s="6" t="str">
        <f>VLOOKUP(E4249,dicionario!$A$1:$C4648,3,0)</f>
        <v>xanana</v>
      </c>
    </row>
    <row r="4250">
      <c r="A4250" s="3">
        <v>45645.0</v>
      </c>
      <c r="B4250" s="4">
        <v>0.36944444444444446</v>
      </c>
      <c r="C4250" s="5" t="s">
        <v>90</v>
      </c>
      <c r="D4250" s="5" t="s">
        <v>1004</v>
      </c>
      <c r="E4250" s="6" t="s">
        <v>65</v>
      </c>
      <c r="F4250" s="5" t="s">
        <v>66</v>
      </c>
      <c r="G4250" s="6" t="str">
        <f>VLOOKUP(E4250,dicionario!$A$1:$C4649,2,0)</f>
        <v>Pitangus sulphutarus</v>
      </c>
      <c r="H4250" s="6" t="str">
        <f>VLOOKUP(E4250,dicionario!$A$1:$C4649,3,0)</f>
        <v>bem-te-vi</v>
      </c>
    </row>
    <row r="4251">
      <c r="A4251" s="3">
        <v>45645.0</v>
      </c>
      <c r="B4251" s="4">
        <v>0.36944444444444446</v>
      </c>
      <c r="C4251" s="5" t="s">
        <v>90</v>
      </c>
      <c r="D4251" s="5" t="s">
        <v>1004</v>
      </c>
      <c r="E4251" s="8" t="s">
        <v>1038</v>
      </c>
      <c r="F4251" s="5" t="s">
        <v>1039</v>
      </c>
      <c r="G4251" s="6" t="str">
        <f>VLOOKUP(E4251,dicionario!$A$1:$C4650,2,0)</f>
        <v>#N/A</v>
      </c>
      <c r="H4251" s="6" t="str">
        <f>VLOOKUP(E4251,dicionario!$A$1:$C4650,3,0)</f>
        <v>#N/A</v>
      </c>
    </row>
    <row r="4252">
      <c r="A4252" s="3">
        <v>45645.0</v>
      </c>
      <c r="B4252" s="4">
        <v>0.36944444444444446</v>
      </c>
      <c r="C4252" s="5" t="s">
        <v>90</v>
      </c>
      <c r="D4252" s="5" t="s">
        <v>1004</v>
      </c>
      <c r="E4252" s="8" t="s">
        <v>795</v>
      </c>
      <c r="F4252" s="5" t="s">
        <v>45</v>
      </c>
      <c r="G4252" s="6" t="str">
        <f>VLOOKUP(E4252,dicionario!$A$1:$C4651,2,0)</f>
        <v>#N/A</v>
      </c>
      <c r="H4252" s="6" t="str">
        <f>VLOOKUP(E4252,dicionario!$A$1:$C4651,3,0)</f>
        <v>#N/A</v>
      </c>
    </row>
    <row r="4253">
      <c r="A4253" s="3">
        <v>45645.0</v>
      </c>
      <c r="B4253" s="4">
        <v>0.36944444444444446</v>
      </c>
      <c r="C4253" s="5" t="s">
        <v>90</v>
      </c>
      <c r="D4253" s="5" t="s">
        <v>1004</v>
      </c>
      <c r="E4253" s="6" t="s">
        <v>227</v>
      </c>
      <c r="F4253" s="5" t="s">
        <v>228</v>
      </c>
      <c r="G4253" s="6" t="str">
        <f>VLOOKUP(E4253,dicionario!$A$1:$C4652,2,0)</f>
        <v>Indigofera hirsuta</v>
      </c>
      <c r="H4253" s="6" t="str">
        <f>VLOOKUP(E4253,dicionario!$A$1:$C4652,3,0)</f>
        <v>anileira</v>
      </c>
    </row>
    <row r="4254">
      <c r="A4254" s="3">
        <v>45645.0</v>
      </c>
      <c r="B4254" s="4">
        <v>0.36944444444444446</v>
      </c>
      <c r="C4254" s="5" t="s">
        <v>90</v>
      </c>
      <c r="D4254" s="5" t="s">
        <v>1004</v>
      </c>
      <c r="E4254" s="6" t="s">
        <v>353</v>
      </c>
      <c r="F4254" s="5" t="s">
        <v>354</v>
      </c>
      <c r="G4254" s="6" t="str">
        <f>VLOOKUP(E4254,dicionario!$A$1:$C4653,2,0)</f>
        <v>Desmodium incanum</v>
      </c>
      <c r="H4254" s="6" t="str">
        <f>VLOOKUP(E4254,dicionario!$A$1:$C4653,3,0)</f>
        <v>pega-pega</v>
      </c>
    </row>
    <row r="4255">
      <c r="A4255" s="3">
        <v>45645.0</v>
      </c>
      <c r="B4255" s="4">
        <v>0.36944444444444446</v>
      </c>
      <c r="C4255" s="5" t="s">
        <v>90</v>
      </c>
      <c r="D4255" s="5" t="s">
        <v>1004</v>
      </c>
      <c r="E4255" s="20" t="s">
        <v>676</v>
      </c>
      <c r="F4255" s="7" t="s">
        <v>677</v>
      </c>
      <c r="G4255" s="6" t="str">
        <f>VLOOKUP(E4255,dicionario!$A$1:$C4654,2,0)</f>
        <v>Zornia latifolia</v>
      </c>
      <c r="H4255" s="6" t="str">
        <f>VLOOKUP(E4255,dicionario!$A$1:$C4654,3,0)</f>
        <v>arrozinho-do-campo</v>
      </c>
    </row>
    <row r="4256">
      <c r="A4256" s="3">
        <v>45645.0</v>
      </c>
      <c r="B4256" s="4">
        <v>0.36944444444444446</v>
      </c>
      <c r="C4256" s="5" t="s">
        <v>90</v>
      </c>
      <c r="D4256" s="5" t="s">
        <v>1004</v>
      </c>
      <c r="E4256" s="8" t="s">
        <v>298</v>
      </c>
      <c r="F4256" s="5" t="s">
        <v>739</v>
      </c>
      <c r="G4256" s="6" t="str">
        <f>VLOOKUP(E4256,dicionario!$A$1:$C4655,2,0)</f>
        <v>Alysicarpus vaginalis</v>
      </c>
      <c r="H4256" s="6" t="str">
        <f>VLOOKUP(E4256,dicionario!$A$1:$C4655,3,0)</f>
        <v/>
      </c>
    </row>
    <row r="4257">
      <c r="A4257" s="3">
        <v>45645.0</v>
      </c>
      <c r="B4257" s="4">
        <v>0.36944444444444446</v>
      </c>
      <c r="C4257" s="5" t="s">
        <v>90</v>
      </c>
      <c r="D4257" s="5" t="s">
        <v>1004</v>
      </c>
      <c r="E4257" s="8" t="s">
        <v>688</v>
      </c>
      <c r="F4257" s="5" t="s">
        <v>121</v>
      </c>
      <c r="G4257" s="6" t="str">
        <f>VLOOKUP(E4257,dicionario!$A$1:$C4656,2,0)</f>
        <v>Fidicina</v>
      </c>
      <c r="H4257" s="6" t="str">
        <f>VLOOKUP(E4257,dicionario!$A$1:$C4656,3,0)</f>
        <v>cigarra</v>
      </c>
    </row>
    <row r="4258">
      <c r="A4258" s="3">
        <v>45645.0</v>
      </c>
      <c r="B4258" s="4">
        <v>0.36944444444444446</v>
      </c>
      <c r="C4258" s="5" t="s">
        <v>90</v>
      </c>
      <c r="D4258" s="5" t="s">
        <v>1004</v>
      </c>
      <c r="E4258" s="6" t="s">
        <v>239</v>
      </c>
      <c r="F4258" s="5" t="s">
        <v>240</v>
      </c>
      <c r="G4258" s="6" t="str">
        <f>VLOOKUP(E4258,dicionario!$A$1:$C4657,2,0)</f>
        <v>Gomphrena celosioides</v>
      </c>
      <c r="H4258" s="6" t="str">
        <f>VLOOKUP(E4258,dicionario!$A$1:$C4657,3,0)</f>
        <v>perpétua-branca</v>
      </c>
    </row>
    <row r="4259">
      <c r="A4259" s="3">
        <v>45645.0</v>
      </c>
      <c r="B4259" s="4">
        <v>0.36944444444444446</v>
      </c>
      <c r="C4259" s="5" t="s">
        <v>90</v>
      </c>
      <c r="D4259" s="5" t="s">
        <v>1004</v>
      </c>
      <c r="E4259" s="8" t="s">
        <v>405</v>
      </c>
      <c r="F4259" s="5" t="s">
        <v>852</v>
      </c>
      <c r="G4259" s="6" t="str">
        <f>VLOOKUP(E4259,dicionario!$A$1:$C4658,2,0)</f>
        <v>Ectatomma</v>
      </c>
      <c r="H4259" s="6" t="str">
        <f>VLOOKUP(E4259,dicionario!$A$1:$C4658,3,0)</f>
        <v>formiga-preta</v>
      </c>
    </row>
    <row r="4260">
      <c r="A4260" s="3">
        <v>45645.0</v>
      </c>
      <c r="B4260" s="4">
        <v>0.36944444444444446</v>
      </c>
      <c r="C4260" s="5" t="s">
        <v>90</v>
      </c>
      <c r="D4260" s="5" t="s">
        <v>1004</v>
      </c>
      <c r="E4260" s="8" t="s">
        <v>271</v>
      </c>
      <c r="F4260" s="7" t="s">
        <v>272</v>
      </c>
      <c r="G4260" s="6" t="str">
        <f>VLOOKUP(E4260,dicionario!$A$1:$C4659,2,0)</f>
        <v>Cyanthillium cinereum</v>
      </c>
      <c r="H4260" s="6" t="str">
        <f>VLOOKUP(E4260,dicionario!$A$1:$C4659,3,0)</f>
        <v>emília</v>
      </c>
    </row>
    <row r="4261">
      <c r="A4261" s="3">
        <v>45645.0</v>
      </c>
      <c r="B4261" s="4">
        <v>0.36944444444444446</v>
      </c>
      <c r="C4261" s="5" t="s">
        <v>90</v>
      </c>
      <c r="D4261" s="5" t="s">
        <v>1004</v>
      </c>
      <c r="E4261" s="8" t="s">
        <v>934</v>
      </c>
      <c r="F4261" s="5" t="s">
        <v>414</v>
      </c>
      <c r="G4261" s="6" t="str">
        <f>VLOOKUP(E4261,dicionario!$A$1:$C4660,2,0)</f>
        <v>#N/A</v>
      </c>
      <c r="H4261" s="6" t="str">
        <f>VLOOKUP(E4261,dicionario!$A$1:$C4660,3,0)</f>
        <v>#N/A</v>
      </c>
    </row>
    <row r="4262">
      <c r="A4262" s="3">
        <v>45645.0</v>
      </c>
      <c r="B4262" s="4">
        <v>0.36944444444444446</v>
      </c>
      <c r="C4262" s="5" t="s">
        <v>90</v>
      </c>
      <c r="D4262" s="5" t="s">
        <v>1004</v>
      </c>
      <c r="E4262" s="6" t="s">
        <v>111</v>
      </c>
      <c r="F4262" s="7" t="s">
        <v>112</v>
      </c>
      <c r="G4262" s="6" t="str">
        <f>VLOOKUP(E4262,dicionario!$A$1:$C4661,2,0)</f>
        <v>Trigona spinipes</v>
      </c>
      <c r="H4262" s="6" t="str">
        <f>VLOOKUP(E4262,dicionario!$A$1:$C4661,3,0)</f>
        <v>abelha-cachorro</v>
      </c>
    </row>
    <row r="4263">
      <c r="A4263" s="3">
        <v>45645.0</v>
      </c>
      <c r="B4263" s="4">
        <v>0.36944444444444446</v>
      </c>
      <c r="C4263" s="5" t="s">
        <v>90</v>
      </c>
      <c r="D4263" s="5" t="s">
        <v>1004</v>
      </c>
      <c r="E4263" s="6" t="s">
        <v>14</v>
      </c>
      <c r="F4263" s="5" t="s">
        <v>15</v>
      </c>
      <c r="G4263" s="6" t="str">
        <f>VLOOKUP(E4263,dicionario!$A$1:$C4662,2,0)</f>
        <v>Spermacoce verticillata</v>
      </c>
      <c r="H4263" s="6" t="str">
        <f>VLOOKUP(E4263,dicionario!$A$1:$C4662,3,0)</f>
        <v>vassourinha-de-botão</v>
      </c>
    </row>
    <row r="4264">
      <c r="A4264" s="3">
        <v>45645.0</v>
      </c>
      <c r="B4264" s="4">
        <v>0.37083333333333335</v>
      </c>
      <c r="C4264" s="5" t="s">
        <v>90</v>
      </c>
      <c r="D4264" s="5" t="s">
        <v>1004</v>
      </c>
      <c r="E4264" s="8" t="s">
        <v>712</v>
      </c>
      <c r="F4264" s="5" t="s">
        <v>718</v>
      </c>
      <c r="G4264" s="6" t="str">
        <f>VLOOKUP(E4264,dicionario!$A$1:$C4663,2,0)</f>
        <v>Flavopunctelia soredica</v>
      </c>
      <c r="H4264" s="6" t="str">
        <f>VLOOKUP(E4264,dicionario!$A$1:$C4663,3,0)</f>
        <v>líquen-folioso</v>
      </c>
    </row>
    <row r="4265">
      <c r="A4265" s="3">
        <v>45645.0</v>
      </c>
      <c r="B4265" s="4">
        <v>0.37083333333333335</v>
      </c>
      <c r="C4265" s="5" t="s">
        <v>90</v>
      </c>
      <c r="D4265" s="5" t="s">
        <v>1004</v>
      </c>
      <c r="E4265" s="8" t="s">
        <v>719</v>
      </c>
      <c r="F4265" s="5" t="s">
        <v>720</v>
      </c>
      <c r="G4265" s="6" t="str">
        <f>VLOOKUP(E4265,dicionario!$A$1:$C4664,2,0)</f>
        <v>Dirinaria</v>
      </c>
      <c r="H4265" s="6" t="str">
        <f>VLOOKUP(E4265,dicionario!$A$1:$C4664,3,0)</f>
        <v>líquen-crostoso</v>
      </c>
    </row>
    <row r="4266">
      <c r="A4266" s="3">
        <v>45645.0</v>
      </c>
      <c r="B4266" s="4">
        <v>0.37083333333333335</v>
      </c>
      <c r="C4266" s="5" t="s">
        <v>90</v>
      </c>
      <c r="D4266" s="5" t="s">
        <v>1004</v>
      </c>
      <c r="E4266" s="8" t="s">
        <v>107</v>
      </c>
      <c r="F4266" s="5" t="s">
        <v>108</v>
      </c>
      <c r="G4266" s="6" t="str">
        <f>VLOOKUP(E4266,dicionario!$A$1:$C4665,2,0)</f>
        <v>Ramalina complanata</v>
      </c>
      <c r="H4266" s="6" t="str">
        <f>VLOOKUP(E4266,dicionario!$A$1:$C4665,3,0)</f>
        <v>ramalina</v>
      </c>
    </row>
    <row r="4267">
      <c r="A4267" s="3">
        <v>45645.0</v>
      </c>
      <c r="B4267" s="4">
        <v>0.3715277777777778</v>
      </c>
      <c r="C4267" s="5" t="s">
        <v>90</v>
      </c>
      <c r="D4267" s="5" t="s">
        <v>1004</v>
      </c>
      <c r="E4267" s="8" t="s">
        <v>572</v>
      </c>
      <c r="F4267" s="5" t="s">
        <v>573</v>
      </c>
      <c r="G4267" s="6" t="str">
        <f>VLOOKUP(E4267,dicionario!$A$1:$C4666,2,0)</f>
        <v>#N/A</v>
      </c>
      <c r="H4267" s="6" t="str">
        <f>VLOOKUP(E4267,dicionario!$A$1:$C4666,3,0)</f>
        <v>#N/A</v>
      </c>
    </row>
    <row r="4268">
      <c r="A4268" s="3">
        <v>45645.0</v>
      </c>
      <c r="B4268" s="4">
        <v>0.3715277777777778</v>
      </c>
      <c r="C4268" s="5" t="s">
        <v>90</v>
      </c>
      <c r="D4268" s="5" t="s">
        <v>1004</v>
      </c>
      <c r="E4268" s="6" t="s">
        <v>113</v>
      </c>
      <c r="F4268" s="5" t="s">
        <v>114</v>
      </c>
      <c r="G4268" s="6" t="str">
        <f>VLOOKUP(E4268,dicionario!$A$1:$C4667,2,0)</f>
        <v>Columbina talpacoti</v>
      </c>
      <c r="H4268" s="6" t="str">
        <f>VLOOKUP(E4268,dicionario!$A$1:$C4667,3,0)</f>
        <v>rolinha-roxa</v>
      </c>
    </row>
    <row r="4269">
      <c r="A4269" s="3">
        <v>45645.0</v>
      </c>
      <c r="B4269" s="4">
        <v>0.3715277777777778</v>
      </c>
      <c r="C4269" s="5" t="s">
        <v>90</v>
      </c>
      <c r="D4269" s="5" t="s">
        <v>1004</v>
      </c>
      <c r="E4269" s="8" t="s">
        <v>38</v>
      </c>
      <c r="F4269" s="5" t="s">
        <v>39</v>
      </c>
      <c r="G4269" s="6" t="str">
        <f>VLOOKUP(E4269,dicionario!$A$1:$C4668,2,0)</f>
        <v>Troglodytes musculus</v>
      </c>
      <c r="H4269" s="6" t="str">
        <f>VLOOKUP(E4269,dicionario!$A$1:$C4668,3,0)</f>
        <v>curruíra</v>
      </c>
    </row>
    <row r="4270">
      <c r="A4270" s="3">
        <v>45645.0</v>
      </c>
      <c r="B4270" s="4">
        <v>0.3715277777777778</v>
      </c>
      <c r="C4270" s="5" t="s">
        <v>90</v>
      </c>
      <c r="D4270" s="5" t="s">
        <v>1004</v>
      </c>
      <c r="E4270" s="6" t="s">
        <v>471</v>
      </c>
      <c r="F4270" s="5" t="s">
        <v>472</v>
      </c>
      <c r="G4270" s="6" t="str">
        <f>VLOOKUP(E4270,dicionario!$A$1:$C4669,2,0)</f>
        <v>Sida acuta</v>
      </c>
      <c r="H4270" s="6" t="str">
        <f>VLOOKUP(E4270,dicionario!$A$1:$C4669,3,0)</f>
        <v>reloginho</v>
      </c>
    </row>
    <row r="4271">
      <c r="A4271" s="3">
        <v>45645.0</v>
      </c>
      <c r="B4271" s="4">
        <v>0.3715277777777778</v>
      </c>
      <c r="C4271" s="5" t="s">
        <v>90</v>
      </c>
      <c r="D4271" s="5" t="s">
        <v>1004</v>
      </c>
      <c r="E4271" s="8" t="s">
        <v>639</v>
      </c>
      <c r="F4271" s="5" t="s">
        <v>640</v>
      </c>
      <c r="G4271" s="6" t="str">
        <f>VLOOKUP(E4271,dicionario!$A$1:$C4670,2,0)</f>
        <v>Egretta thula</v>
      </c>
      <c r="H4271" s="6" t="str">
        <f>VLOOKUP(E4271,dicionario!$A$1:$C4670,3,0)</f>
        <v>garça-branca-pequena</v>
      </c>
    </row>
    <row r="4272">
      <c r="A4272" s="3">
        <v>45645.0</v>
      </c>
      <c r="B4272" s="4">
        <v>0.3715277777777778</v>
      </c>
      <c r="C4272" s="5" t="s">
        <v>90</v>
      </c>
      <c r="D4272" s="5" t="s">
        <v>1004</v>
      </c>
      <c r="E4272" s="6" t="s">
        <v>43</v>
      </c>
      <c r="F4272" s="5" t="s">
        <v>1040</v>
      </c>
      <c r="G4272" s="6" t="str">
        <f>VLOOKUP(E4272,dicionario!$A$1:$C4671,2,0)</f>
        <v>Columba livia</v>
      </c>
      <c r="H4272" s="6" t="str">
        <f>VLOOKUP(E4272,dicionario!$A$1:$C4671,3,0)</f>
        <v>pombo-doméstico</v>
      </c>
    </row>
    <row r="4273">
      <c r="A4273" s="3">
        <v>45645.0</v>
      </c>
      <c r="B4273" s="4">
        <v>0.37222222222222223</v>
      </c>
      <c r="C4273" s="5" t="s">
        <v>90</v>
      </c>
      <c r="D4273" s="5" t="s">
        <v>1004</v>
      </c>
      <c r="E4273" s="6" t="s">
        <v>381</v>
      </c>
      <c r="F4273" s="5" t="s">
        <v>382</v>
      </c>
      <c r="G4273" s="6" t="str">
        <f>VLOOKUP(E4273,dicionario!$A$1:$C4672,2,0)</f>
        <v>Pseudomyrmex</v>
      </c>
      <c r="H4273" s="6" t="str">
        <f>VLOOKUP(E4273,dicionario!$A$1:$C4672,3,0)</f>
        <v>maria-magra</v>
      </c>
    </row>
    <row r="4274">
      <c r="A4274" s="3">
        <v>45645.0</v>
      </c>
      <c r="B4274" s="4">
        <v>0.37222222222222223</v>
      </c>
      <c r="C4274" s="5" t="s">
        <v>90</v>
      </c>
      <c r="D4274" s="5" t="s">
        <v>1004</v>
      </c>
      <c r="E4274" s="6" t="s">
        <v>83</v>
      </c>
      <c r="F4274" s="5" t="s">
        <v>84</v>
      </c>
      <c r="G4274" s="6" t="str">
        <f>VLOOKUP(E4274,dicionario!$A$1:$C4673,2,0)</f>
        <v>Anartia jatrophae</v>
      </c>
      <c r="H4274" s="6" t="str">
        <f>VLOOKUP(E4274,dicionario!$A$1:$C4673,3,0)</f>
        <v>borboleta-pavão-branco</v>
      </c>
    </row>
    <row r="4275">
      <c r="A4275" s="3">
        <v>45645.0</v>
      </c>
      <c r="B4275" s="4">
        <v>0.37222222222222223</v>
      </c>
      <c r="C4275" s="5" t="s">
        <v>90</v>
      </c>
      <c r="D4275" s="5" t="s">
        <v>1004</v>
      </c>
      <c r="E4275" s="6" t="s">
        <v>215</v>
      </c>
      <c r="F4275" s="7" t="s">
        <v>216</v>
      </c>
      <c r="G4275" s="6" t="str">
        <f>VLOOKUP(E4275,dicionario!$A$1:$C4674,2,0)</f>
        <v>Pygochelidon cyanoleuca</v>
      </c>
      <c r="H4275" s="6" t="str">
        <f>VLOOKUP(E4275,dicionario!$A$1:$C4674,3,0)</f>
        <v>andorinha-pequena-de-casa</v>
      </c>
    </row>
    <row r="4276">
      <c r="A4276" s="3">
        <v>45645.0</v>
      </c>
      <c r="B4276" s="4">
        <v>0.3729166666666667</v>
      </c>
      <c r="C4276" s="5" t="s">
        <v>90</v>
      </c>
      <c r="D4276" s="5" t="s">
        <v>1004</v>
      </c>
      <c r="E4276" s="6" t="s">
        <v>225</v>
      </c>
      <c r="F4276" s="5" t="s">
        <v>226</v>
      </c>
      <c r="G4276" s="6" t="str">
        <f>VLOOKUP(E4276,dicionario!$A$1:$C4675,2,0)</f>
        <v>Passer domesticus</v>
      </c>
      <c r="H4276" s="6" t="str">
        <f>VLOOKUP(E4276,dicionario!$A$1:$C4675,3,0)</f>
        <v>pardal</v>
      </c>
    </row>
    <row r="4277">
      <c r="A4277" s="3">
        <v>45645.0</v>
      </c>
      <c r="B4277" s="4">
        <v>0.3729166666666667</v>
      </c>
      <c r="C4277" s="5" t="s">
        <v>90</v>
      </c>
      <c r="D4277" s="5" t="s">
        <v>1004</v>
      </c>
      <c r="E4277" s="6" t="s">
        <v>20</v>
      </c>
      <c r="F4277" s="7" t="s">
        <v>21</v>
      </c>
      <c r="G4277" s="6" t="str">
        <f>VLOOKUP(E4277,dicionario!$A$1:$C4676,2,0)</f>
        <v>Sicalis flaveola</v>
      </c>
      <c r="H4277" s="6" t="str">
        <f>VLOOKUP(E4277,dicionario!$A$1:$C4676,3,0)</f>
        <v>canário-da-terra</v>
      </c>
    </row>
    <row r="4278">
      <c r="A4278" s="3">
        <v>45645.0</v>
      </c>
      <c r="B4278" s="4">
        <v>0.3729166666666667</v>
      </c>
      <c r="C4278" s="5" t="s">
        <v>90</v>
      </c>
      <c r="D4278" s="5" t="s">
        <v>1004</v>
      </c>
      <c r="E4278" s="6" t="s">
        <v>109</v>
      </c>
      <c r="F4278" s="5" t="s">
        <v>110</v>
      </c>
      <c r="G4278" s="6" t="str">
        <f>VLOOKUP(E4278,dicionario!$A$1:$C4677,2,0)</f>
        <v>Tillandsia stricta</v>
      </c>
      <c r="H4278" s="6" t="str">
        <f>VLOOKUP(E4278,dicionario!$A$1:$C4677,3,0)</f>
        <v>cravo-do-mato</v>
      </c>
    </row>
    <row r="4279">
      <c r="A4279" s="3">
        <v>45645.0</v>
      </c>
      <c r="B4279" s="4">
        <v>0.3729166666666667</v>
      </c>
      <c r="C4279" s="5" t="s">
        <v>90</v>
      </c>
      <c r="D4279" s="5" t="s">
        <v>1004</v>
      </c>
      <c r="E4279" s="8" t="s">
        <v>1041</v>
      </c>
      <c r="F4279" s="5" t="s">
        <v>1042</v>
      </c>
      <c r="G4279" s="6" t="str">
        <f>VLOOKUP(E4279,dicionario!$A$1:$C4678,2,0)</f>
        <v>#N/A</v>
      </c>
      <c r="H4279" s="6" t="str">
        <f>VLOOKUP(E4279,dicionario!$A$1:$C4678,3,0)</f>
        <v>#N/A</v>
      </c>
    </row>
    <row r="4280">
      <c r="A4280" s="3">
        <v>45645.0</v>
      </c>
      <c r="B4280" s="4">
        <v>0.3729166666666667</v>
      </c>
      <c r="C4280" s="5" t="s">
        <v>90</v>
      </c>
      <c r="D4280" s="5" t="s">
        <v>1004</v>
      </c>
      <c r="E4280" s="8" t="s">
        <v>1036</v>
      </c>
      <c r="F4280" s="5" t="s">
        <v>1037</v>
      </c>
      <c r="G4280" s="6" t="str">
        <f>VLOOKUP(E4280,dicionario!$A$1:$C4679,2,0)</f>
        <v>#N/A</v>
      </c>
      <c r="H4280" s="6" t="str">
        <f>VLOOKUP(E4280,dicionario!$A$1:$C4679,3,0)</f>
        <v>#N/A</v>
      </c>
    </row>
    <row r="4281">
      <c r="A4281" s="3">
        <v>45645.0</v>
      </c>
      <c r="B4281" s="4">
        <v>0.3729166666666667</v>
      </c>
      <c r="C4281" s="5" t="s">
        <v>90</v>
      </c>
      <c r="D4281" s="5" t="s">
        <v>1004</v>
      </c>
      <c r="E4281" s="8" t="s">
        <v>348</v>
      </c>
      <c r="F4281" s="5" t="s">
        <v>955</v>
      </c>
      <c r="G4281" s="6" t="str">
        <f>VLOOKUP(E4281,dicionario!$A$1:$C4680,2,0)</f>
        <v>#N/A</v>
      </c>
      <c r="H4281" s="6" t="str">
        <f>VLOOKUP(E4281,dicionario!$A$1:$C4680,3,0)</f>
        <v>#N/A</v>
      </c>
    </row>
    <row r="4282">
      <c r="A4282" s="3">
        <v>45645.0</v>
      </c>
      <c r="B4282" s="4">
        <v>0.3736111111111111</v>
      </c>
      <c r="C4282" s="5" t="s">
        <v>90</v>
      </c>
      <c r="D4282" s="5" t="s">
        <v>1004</v>
      </c>
      <c r="E4282" s="9" t="s">
        <v>22</v>
      </c>
      <c r="F4282" s="5" t="s">
        <v>97</v>
      </c>
      <c r="G4282" s="6" t="str">
        <f>VLOOKUP(E4282,dicionario!$A$1:$C4681,2,0)</f>
        <v>Zenaida auriculata</v>
      </c>
      <c r="H4282" s="6" t="str">
        <f>VLOOKUP(E4282,dicionario!$A$1:$C4681,3,0)</f>
        <v>pomba-de-bando; avoante</v>
      </c>
    </row>
    <row r="4283">
      <c r="A4283" s="3">
        <v>45645.0</v>
      </c>
      <c r="B4283" s="4">
        <v>0.3729166666666667</v>
      </c>
      <c r="C4283" s="5" t="s">
        <v>90</v>
      </c>
      <c r="D4283" s="5" t="s">
        <v>1004</v>
      </c>
      <c r="E4283" s="8" t="s">
        <v>838</v>
      </c>
      <c r="F4283" s="5" t="s">
        <v>839</v>
      </c>
      <c r="G4283" s="6" t="str">
        <f>VLOOKUP(E4283,dicionario!$A$1:$C4682,2,0)</f>
        <v>Plexippus paykulli</v>
      </c>
      <c r="H4283" s="6" t="str">
        <f>VLOOKUP(E4283,dicionario!$A$1:$C4682,3,0)</f>
        <v>aranha-saltadora-pantropical</v>
      </c>
    </row>
    <row r="4284">
      <c r="A4284" s="3">
        <v>45645.0</v>
      </c>
      <c r="B4284" s="4">
        <v>0.3729166666666667</v>
      </c>
      <c r="C4284" s="5" t="s">
        <v>90</v>
      </c>
      <c r="D4284" s="5" t="s">
        <v>1004</v>
      </c>
      <c r="E4284" s="6" t="s">
        <v>682</v>
      </c>
      <c r="F4284" s="5" t="s">
        <v>683</v>
      </c>
      <c r="G4284" s="6" t="str">
        <f>VLOOKUP(E4284,dicionario!$A$1:$C4683,2,0)</f>
        <v>Lagria villosa</v>
      </c>
      <c r="H4284" s="6" t="str">
        <f>VLOOKUP(E4284,dicionario!$A$1:$C4683,3,0)</f>
        <v>bicho-capixaba</v>
      </c>
    </row>
    <row r="4285">
      <c r="A4285" s="3">
        <v>45645.0</v>
      </c>
      <c r="B4285" s="4">
        <v>0.37430555555555556</v>
      </c>
      <c r="C4285" s="5" t="s">
        <v>90</v>
      </c>
      <c r="D4285" s="5" t="s">
        <v>1004</v>
      </c>
      <c r="E4285" s="6" t="s">
        <v>72</v>
      </c>
      <c r="F4285" s="5" t="s">
        <v>1043</v>
      </c>
      <c r="G4285" s="6" t="str">
        <f>VLOOKUP(E4285,dicionario!$A$1:$C4684,2,0)</f>
        <v>Thraupis palmarum</v>
      </c>
      <c r="H4285" s="6" t="str">
        <f>VLOOKUP(E4285,dicionario!$A$1:$C4684,3,0)</f>
        <v>sanhaço-do-coqueiro</v>
      </c>
    </row>
    <row r="4286">
      <c r="A4286" s="3">
        <v>45645.0</v>
      </c>
      <c r="B4286" s="4">
        <v>0.37430555555555556</v>
      </c>
      <c r="C4286" s="5" t="s">
        <v>90</v>
      </c>
      <c r="D4286" s="5" t="s">
        <v>1004</v>
      </c>
      <c r="E4286" s="6" t="s">
        <v>86</v>
      </c>
      <c r="F4286" s="5" t="s">
        <v>502</v>
      </c>
      <c r="G4286" s="6" t="str">
        <f>VLOOKUP(E4286,dicionario!$A$1:$C4685,2,0)</f>
        <v>Coereba flaveola</v>
      </c>
      <c r="H4286" s="6" t="str">
        <f>VLOOKUP(E4286,dicionario!$A$1:$C4685,3,0)</f>
        <v>cambacica</v>
      </c>
    </row>
    <row r="4287">
      <c r="A4287" s="3">
        <v>45645.0</v>
      </c>
      <c r="B4287" s="4">
        <v>0.375</v>
      </c>
      <c r="C4287" s="5" t="s">
        <v>90</v>
      </c>
      <c r="D4287" s="5" t="s">
        <v>1004</v>
      </c>
      <c r="E4287" s="6" t="s">
        <v>148</v>
      </c>
      <c r="F4287" s="5" t="s">
        <v>149</v>
      </c>
      <c r="G4287" s="6" t="str">
        <f>VLOOKUP(E4287,dicionario!$A$1:$C4686,2,0)</f>
        <v>Parthenium hysterophorus</v>
      </c>
      <c r="H4287" s="6" t="str">
        <f>VLOOKUP(E4287,dicionario!$A$1:$C4686,3,0)</f>
        <v>losna-branca</v>
      </c>
    </row>
    <row r="4288">
      <c r="A4288" s="3">
        <v>45645.0</v>
      </c>
      <c r="B4288" s="4">
        <v>0.375</v>
      </c>
      <c r="C4288" s="5" t="s">
        <v>90</v>
      </c>
      <c r="D4288" s="5" t="s">
        <v>1004</v>
      </c>
      <c r="E4288" s="6" t="s">
        <v>286</v>
      </c>
      <c r="F4288" s="5" t="s">
        <v>287</v>
      </c>
      <c r="G4288" s="6" t="str">
        <f>VLOOKUP(E4288,dicionario!$A$1:$C4687,2,0)</f>
        <v>Setaria parviflora</v>
      </c>
      <c r="H4288" s="6" t="str">
        <f>VLOOKUP(E4288,dicionario!$A$1:$C4687,3,0)</f>
        <v>capim-rabo-de-raposa</v>
      </c>
    </row>
    <row r="4289">
      <c r="A4289" s="3">
        <v>45645.0</v>
      </c>
      <c r="B4289" s="4">
        <v>0.375</v>
      </c>
      <c r="C4289" s="5" t="s">
        <v>90</v>
      </c>
      <c r="D4289" s="5" t="s">
        <v>1004</v>
      </c>
      <c r="E4289" s="6" t="s">
        <v>162</v>
      </c>
      <c r="F4289" s="7" t="s">
        <v>42</v>
      </c>
      <c r="G4289" s="6" t="str">
        <f>VLOOKUP(E4289,dicionario!$A$1:$C4688,2,0)</f>
        <v>Fluvicola nengeta</v>
      </c>
      <c r="H4289" s="6" t="str">
        <f>VLOOKUP(E4289,dicionario!$A$1:$C4688,3,0)</f>
        <v>lavadeira-mascarada</v>
      </c>
    </row>
    <row r="4290">
      <c r="A4290" s="3">
        <v>45645.0</v>
      </c>
      <c r="B4290" s="4">
        <v>0.37569444444444444</v>
      </c>
      <c r="C4290" s="5" t="s">
        <v>90</v>
      </c>
      <c r="D4290" s="5" t="s">
        <v>1004</v>
      </c>
      <c r="E4290" s="6" t="s">
        <v>171</v>
      </c>
      <c r="F4290" s="5" t="s">
        <v>172</v>
      </c>
      <c r="G4290" s="6" t="str">
        <f>VLOOKUP(E4290,dicionario!$A$1:$C4689,2,0)</f>
        <v>Oxalis corniculata</v>
      </c>
      <c r="H4290" s="6" t="str">
        <f>VLOOKUP(E4290,dicionario!$A$1:$C4689,3,0)</f>
        <v>trevo-azedinho</v>
      </c>
    </row>
    <row r="4291">
      <c r="A4291" s="3">
        <v>45645.0</v>
      </c>
      <c r="B4291" s="4">
        <v>0.3763888888888889</v>
      </c>
      <c r="C4291" s="5" t="s">
        <v>90</v>
      </c>
      <c r="D4291" s="5" t="s">
        <v>1004</v>
      </c>
      <c r="E4291" s="6" t="s">
        <v>48</v>
      </c>
      <c r="F4291" s="5" t="s">
        <v>49</v>
      </c>
      <c r="G4291" s="6" t="str">
        <f>VLOOKUP(E4291,dicionario!$A$1:$C4690,2,0)</f>
        <v>Commelina erecta</v>
      </c>
      <c r="H4291" s="6" t="str">
        <f>VLOOKUP(E4291,dicionario!$A$1:$C4690,3,0)</f>
        <v>trapoeraba</v>
      </c>
    </row>
    <row r="4292">
      <c r="A4292" s="3">
        <v>45645.0</v>
      </c>
      <c r="B4292" s="4">
        <v>0.3763888888888889</v>
      </c>
      <c r="C4292" s="5" t="s">
        <v>90</v>
      </c>
      <c r="D4292" s="5" t="s">
        <v>1004</v>
      </c>
      <c r="E4292" s="6" t="s">
        <v>401</v>
      </c>
      <c r="F4292" s="5" t="s">
        <v>464</v>
      </c>
      <c r="G4292" s="6" t="str">
        <f>VLOOKUP(E4292,dicionario!$A$1:$C4691,2,0)</f>
        <v>Cissus verticillata</v>
      </c>
      <c r="H4292" s="6" t="str">
        <f>VLOOKUP(E4292,dicionario!$A$1:$C4691,3,0)</f>
        <v>uva-do-mato</v>
      </c>
    </row>
    <row r="4293">
      <c r="A4293" s="3">
        <v>45666.0</v>
      </c>
      <c r="B4293" s="4">
        <v>0.2548611111111111</v>
      </c>
      <c r="C4293" s="5" t="s">
        <v>90</v>
      </c>
      <c r="D4293" s="5" t="s">
        <v>1044</v>
      </c>
      <c r="E4293" s="8" t="s">
        <v>258</v>
      </c>
      <c r="F4293" s="5" t="s">
        <v>259</v>
      </c>
      <c r="G4293" s="6" t="str">
        <f>VLOOKUP(E4293,dicionario!$A$1:$C4692,2,0)</f>
        <v>Lantana camara</v>
      </c>
      <c r="H4293" s="6" t="str">
        <f>VLOOKUP(E4293,dicionario!$A$1:$C4692,3,0)</f>
        <v>lantana</v>
      </c>
    </row>
    <row r="4294">
      <c r="A4294" s="3">
        <v>45666.0</v>
      </c>
      <c r="B4294" s="4">
        <v>0.2548611111111111</v>
      </c>
      <c r="C4294" s="5" t="s">
        <v>90</v>
      </c>
      <c r="D4294" s="5" t="s">
        <v>1044</v>
      </c>
      <c r="E4294" s="8" t="s">
        <v>498</v>
      </c>
      <c r="F4294" s="5" t="s">
        <v>899</v>
      </c>
      <c r="G4294" s="6" t="str">
        <f>VLOOKUP(E4294,dicionario!$A$1:$C4693,2,0)</f>
        <v>Brachiaria decumbens</v>
      </c>
      <c r="H4294" s="6" t="str">
        <f>VLOOKUP(E4294,dicionario!$A$1:$C4693,3,0)</f>
        <v>capim-braquiária</v>
      </c>
    </row>
    <row r="4295">
      <c r="A4295" s="3">
        <v>45666.0</v>
      </c>
      <c r="B4295" s="4">
        <v>0.2548611111111111</v>
      </c>
      <c r="C4295" s="5" t="s">
        <v>90</v>
      </c>
      <c r="D4295" s="5" t="s">
        <v>1044</v>
      </c>
      <c r="E4295" s="8" t="s">
        <v>353</v>
      </c>
      <c r="F4295" s="5" t="s">
        <v>354</v>
      </c>
      <c r="G4295" s="6" t="str">
        <f>VLOOKUP(E4295,dicionario!$A$1:$C4694,2,0)</f>
        <v>Desmodium incanum</v>
      </c>
      <c r="H4295" s="6" t="str">
        <f>VLOOKUP(E4295,dicionario!$A$1:$C4694,3,0)</f>
        <v>pega-pega</v>
      </c>
    </row>
    <row r="4296">
      <c r="A4296" s="3">
        <v>45666.0</v>
      </c>
      <c r="B4296" s="4">
        <v>0.2548611111111111</v>
      </c>
      <c r="C4296" s="5" t="s">
        <v>90</v>
      </c>
      <c r="D4296" s="5" t="s">
        <v>1044</v>
      </c>
      <c r="E4296" s="8" t="s">
        <v>86</v>
      </c>
      <c r="F4296" s="5" t="s">
        <v>502</v>
      </c>
      <c r="G4296" s="6" t="str">
        <f>VLOOKUP(E4296,dicionario!$A$1:$C4695,2,0)</f>
        <v>Coereba flaveola</v>
      </c>
      <c r="H4296" s="6" t="str">
        <f>VLOOKUP(E4296,dicionario!$A$1:$C4695,3,0)</f>
        <v>cambacica</v>
      </c>
    </row>
    <row r="4297">
      <c r="A4297" s="3">
        <v>45666.0</v>
      </c>
      <c r="B4297" s="4">
        <v>0.2548611111111111</v>
      </c>
      <c r="C4297" s="5" t="s">
        <v>90</v>
      </c>
      <c r="D4297" s="5" t="s">
        <v>1044</v>
      </c>
      <c r="E4297" s="8" t="s">
        <v>378</v>
      </c>
      <c r="F4297" s="5" t="s">
        <v>205</v>
      </c>
      <c r="G4297" s="6" t="str">
        <f>VLOOKUP(E4297,dicionario!$A$1:$C4696,2,0)</f>
        <v>Polistes</v>
      </c>
      <c r="H4297" s="6" t="str">
        <f>VLOOKUP(E4297,dicionario!$A$1:$C4696,3,0)</f>
        <v>marimbondo</v>
      </c>
    </row>
    <row r="4298">
      <c r="A4298" s="3">
        <v>45666.0</v>
      </c>
      <c r="B4298" s="4">
        <v>0.2548611111111111</v>
      </c>
      <c r="C4298" s="5" t="s">
        <v>90</v>
      </c>
      <c r="D4298" s="5" t="s">
        <v>1044</v>
      </c>
      <c r="E4298" s="8" t="s">
        <v>113</v>
      </c>
      <c r="F4298" s="5" t="s">
        <v>114</v>
      </c>
      <c r="G4298" s="6" t="str">
        <f>VLOOKUP(E4298,dicionario!$A$1:$C4697,2,0)</f>
        <v>Columbina talpacoti</v>
      </c>
      <c r="H4298" s="6" t="str">
        <f>VLOOKUP(E4298,dicionario!$A$1:$C4697,3,0)</f>
        <v>rolinha-roxa</v>
      </c>
    </row>
    <row r="4299">
      <c r="A4299" s="3">
        <v>45666.0</v>
      </c>
      <c r="B4299" s="4">
        <v>0.25555555555555554</v>
      </c>
      <c r="C4299" s="5" t="s">
        <v>90</v>
      </c>
      <c r="D4299" s="5" t="s">
        <v>1044</v>
      </c>
      <c r="E4299" s="8" t="s">
        <v>338</v>
      </c>
      <c r="F4299" s="5" t="s">
        <v>238</v>
      </c>
      <c r="G4299" s="6" t="str">
        <f>VLOOKUP(E4299,dicionario!$A$1:$C4698,2,0)</f>
        <v>Atta</v>
      </c>
      <c r="H4299" s="6" t="str">
        <f>VLOOKUP(E4299,dicionario!$A$1:$C4698,3,0)</f>
        <v>saúva</v>
      </c>
    </row>
    <row r="4300">
      <c r="A4300" s="3">
        <v>45666.0</v>
      </c>
      <c r="B4300" s="4">
        <v>0.25555555555555554</v>
      </c>
      <c r="C4300" s="5" t="s">
        <v>90</v>
      </c>
      <c r="D4300" s="5" t="s">
        <v>1044</v>
      </c>
      <c r="E4300" s="8" t="s">
        <v>286</v>
      </c>
      <c r="F4300" s="5" t="s">
        <v>287</v>
      </c>
      <c r="G4300" s="6" t="str">
        <f>VLOOKUP(E4300,dicionario!$A$1:$C4699,2,0)</f>
        <v>Setaria parviflora</v>
      </c>
      <c r="H4300" s="6" t="str">
        <f>VLOOKUP(E4300,dicionario!$A$1:$C4699,3,0)</f>
        <v>capim-rabo-de-raposa</v>
      </c>
    </row>
    <row r="4301">
      <c r="A4301" s="3">
        <v>45666.0</v>
      </c>
      <c r="B4301" s="4">
        <v>0.25555555555555554</v>
      </c>
      <c r="C4301" s="5" t="s">
        <v>90</v>
      </c>
      <c r="D4301" s="5" t="s">
        <v>1044</v>
      </c>
      <c r="E4301" s="8" t="s">
        <v>1045</v>
      </c>
      <c r="F4301" s="5" t="s">
        <v>1045</v>
      </c>
      <c r="G4301" s="6" t="str">
        <f>VLOOKUP(E4301,dicionario!$A$1:$C4700,2,0)</f>
        <v>#N/A</v>
      </c>
      <c r="H4301" s="6" t="str">
        <f>VLOOKUP(E4301,dicionario!$A$1:$C4700,3,0)</f>
        <v>#N/A</v>
      </c>
    </row>
    <row r="4302">
      <c r="A4302" s="3">
        <v>45666.0</v>
      </c>
      <c r="B4302" s="4">
        <v>0.25555555555555554</v>
      </c>
      <c r="C4302" s="5" t="s">
        <v>90</v>
      </c>
      <c r="D4302" s="5" t="s">
        <v>1044</v>
      </c>
      <c r="E4302" s="8" t="s">
        <v>171</v>
      </c>
      <c r="F4302" s="5" t="s">
        <v>172</v>
      </c>
      <c r="G4302" s="6" t="str">
        <f>VLOOKUP(E4302,dicionario!$A$1:$C4701,2,0)</f>
        <v>Oxalis corniculata</v>
      </c>
      <c r="H4302" s="6" t="str">
        <f>VLOOKUP(E4302,dicionario!$A$1:$C4701,3,0)</f>
        <v>trevo-azedinho</v>
      </c>
    </row>
    <row r="4303">
      <c r="A4303" s="3">
        <v>45666.0</v>
      </c>
      <c r="B4303" s="4">
        <v>0.25555555555555554</v>
      </c>
      <c r="C4303" s="5" t="s">
        <v>90</v>
      </c>
      <c r="D4303" s="5" t="s">
        <v>1044</v>
      </c>
      <c r="E4303" s="20" t="s">
        <v>676</v>
      </c>
      <c r="F4303" s="7" t="s">
        <v>677</v>
      </c>
      <c r="G4303" s="6" t="str">
        <f>VLOOKUP(E4303,dicionario!$A$1:$C4702,2,0)</f>
        <v>Zornia latifolia</v>
      </c>
      <c r="H4303" s="6" t="str">
        <f>VLOOKUP(E4303,dicionario!$A$1:$C4702,3,0)</f>
        <v>arrozinho-do-campo</v>
      </c>
    </row>
    <row r="4304">
      <c r="A4304" s="3">
        <v>45666.0</v>
      </c>
      <c r="B4304" s="4">
        <v>0.25555555555555554</v>
      </c>
      <c r="C4304" s="5" t="s">
        <v>90</v>
      </c>
      <c r="D4304" s="5" t="s">
        <v>1044</v>
      </c>
      <c r="E4304" s="8" t="s">
        <v>135</v>
      </c>
      <c r="F4304" s="5" t="s">
        <v>136</v>
      </c>
      <c r="G4304" s="6" t="str">
        <f>VLOOKUP(E4304,dicionario!$A$1:$C4703,2,0)</f>
        <v>Tridax procumbens</v>
      </c>
      <c r="H4304" s="6" t="str">
        <f>VLOOKUP(E4304,dicionario!$A$1:$C4703,3,0)</f>
        <v>erva-de-touro</v>
      </c>
    </row>
    <row r="4305">
      <c r="A4305" s="3">
        <v>45666.0</v>
      </c>
      <c r="B4305" s="4">
        <v>0.25625</v>
      </c>
      <c r="C4305" s="5" t="s">
        <v>90</v>
      </c>
      <c r="D4305" s="5" t="s">
        <v>1044</v>
      </c>
      <c r="E4305" s="30" t="s">
        <v>932</v>
      </c>
      <c r="F4305" s="31"/>
      <c r="G4305" s="6" t="str">
        <f>VLOOKUP(E4305,dicionario!$A$1:$C4704,2,0)</f>
        <v>#N/A</v>
      </c>
      <c r="H4305" s="6" t="str">
        <f>VLOOKUP(E4305,dicionario!$A$1:$C4704,3,0)</f>
        <v>#N/A</v>
      </c>
    </row>
    <row r="4306">
      <c r="A4306" s="3">
        <v>45666.0</v>
      </c>
      <c r="B4306" s="4">
        <v>0.25625</v>
      </c>
      <c r="C4306" s="5" t="s">
        <v>90</v>
      </c>
      <c r="D4306" s="5" t="s">
        <v>1044</v>
      </c>
      <c r="E4306" s="8" t="s">
        <v>118</v>
      </c>
      <c r="F4306" s="5" t="s">
        <v>119</v>
      </c>
      <c r="G4306" s="6" t="str">
        <f>VLOOKUP(E4306,dicionario!$A$1:$C4705,2,0)</f>
        <v>Agaricus</v>
      </c>
      <c r="H4306" s="6" t="str">
        <f>VLOOKUP(E4306,dicionario!$A$1:$C4705,3,0)</f>
        <v>cogumelo</v>
      </c>
    </row>
    <row r="4307">
      <c r="A4307" s="3">
        <v>45666.0</v>
      </c>
      <c r="B4307" s="4">
        <v>0.25625</v>
      </c>
      <c r="C4307" s="5" t="s">
        <v>90</v>
      </c>
      <c r="D4307" s="5" t="s">
        <v>1044</v>
      </c>
      <c r="E4307" s="8" t="s">
        <v>111</v>
      </c>
      <c r="F4307" s="7" t="s">
        <v>112</v>
      </c>
      <c r="G4307" s="6" t="str">
        <f>VLOOKUP(E4307,dicionario!$A$1:$C4706,2,0)</f>
        <v>Trigona spinipes</v>
      </c>
      <c r="H4307" s="6" t="str">
        <f>VLOOKUP(E4307,dicionario!$A$1:$C4706,3,0)</f>
        <v>abelha-cachorro</v>
      </c>
    </row>
    <row r="4308">
      <c r="A4308" s="3">
        <v>45666.0</v>
      </c>
      <c r="B4308" s="4">
        <v>0.25625</v>
      </c>
      <c r="C4308" s="5" t="s">
        <v>90</v>
      </c>
      <c r="D4308" s="5" t="s">
        <v>1044</v>
      </c>
      <c r="E4308" s="8" t="s">
        <v>229</v>
      </c>
      <c r="F4308" s="5" t="s">
        <v>230</v>
      </c>
      <c r="G4308" s="6" t="str">
        <f>VLOOKUP(E4308,dicionario!$A$1:$C4707,2,0)</f>
        <v>Apis mellifera</v>
      </c>
      <c r="H4308" s="6" t="str">
        <f>VLOOKUP(E4308,dicionario!$A$1:$C4707,3,0)</f>
        <v>abelha-do-mel</v>
      </c>
    </row>
    <row r="4309">
      <c r="A4309" s="3">
        <v>45666.0</v>
      </c>
      <c r="B4309" s="4">
        <v>0.2569444444444444</v>
      </c>
      <c r="C4309" s="5" t="s">
        <v>90</v>
      </c>
      <c r="D4309" s="5" t="s">
        <v>1044</v>
      </c>
      <c r="E4309" s="8" t="s">
        <v>14</v>
      </c>
      <c r="F4309" s="5" t="s">
        <v>15</v>
      </c>
      <c r="G4309" s="6" t="str">
        <f>VLOOKUP(E4309,dicionario!$A$1:$C4708,2,0)</f>
        <v>Spermacoce verticillata</v>
      </c>
      <c r="H4309" s="6" t="str">
        <f>VLOOKUP(E4309,dicionario!$A$1:$C4708,3,0)</f>
        <v>vassourinha-de-botão</v>
      </c>
    </row>
    <row r="4310">
      <c r="A4310" s="3">
        <v>45666.0</v>
      </c>
      <c r="B4310" s="4">
        <v>0.2569444444444444</v>
      </c>
      <c r="C4310" s="5" t="s">
        <v>90</v>
      </c>
      <c r="D4310" s="5" t="s">
        <v>1044</v>
      </c>
      <c r="E4310" s="8" t="s">
        <v>154</v>
      </c>
      <c r="F4310" s="5" t="s">
        <v>155</v>
      </c>
      <c r="G4310" s="6" t="str">
        <f>VLOOKUP(E4310,dicionario!$A$1:$C4709,2,0)</f>
        <v>Cyperus rotundus</v>
      </c>
      <c r="H4310" s="6" t="str">
        <f>VLOOKUP(E4310,dicionario!$A$1:$C4709,3,0)</f>
        <v>tiririca</v>
      </c>
    </row>
    <row r="4311">
      <c r="A4311" s="3">
        <v>45666.0</v>
      </c>
      <c r="B4311" s="4">
        <v>0.2569444444444444</v>
      </c>
      <c r="C4311" s="5" t="s">
        <v>90</v>
      </c>
      <c r="D4311" s="5" t="s">
        <v>1044</v>
      </c>
      <c r="E4311" s="8" t="s">
        <v>631</v>
      </c>
      <c r="F4311" s="5" t="s">
        <v>632</v>
      </c>
      <c r="G4311" s="6" t="str">
        <f>VLOOKUP(E4311,dicionario!$A$1:$C4710,2,0)</f>
        <v>Chamaecrista nictitans</v>
      </c>
      <c r="H4311" s="6" t="str">
        <f>VLOOKUP(E4311,dicionario!$A$1:$C4710,3,0)</f>
        <v>falsa-dormideira</v>
      </c>
    </row>
    <row r="4312">
      <c r="A4312" s="3">
        <v>45666.0</v>
      </c>
      <c r="B4312" s="4">
        <v>0.2569444444444444</v>
      </c>
      <c r="C4312" s="5" t="s">
        <v>90</v>
      </c>
      <c r="D4312" s="5" t="s">
        <v>1044</v>
      </c>
      <c r="E4312" s="8" t="s">
        <v>239</v>
      </c>
      <c r="F4312" s="5" t="s">
        <v>240</v>
      </c>
      <c r="G4312" s="6" t="str">
        <f>VLOOKUP(E4312,dicionario!$A$1:$C4711,2,0)</f>
        <v>Gomphrena celosioides</v>
      </c>
      <c r="H4312" s="6" t="str">
        <f>VLOOKUP(E4312,dicionario!$A$1:$C4711,3,0)</f>
        <v>perpétua-branca</v>
      </c>
    </row>
    <row r="4313">
      <c r="A4313" s="3">
        <v>45666.0</v>
      </c>
      <c r="B4313" s="4">
        <v>0.2569444444444444</v>
      </c>
      <c r="C4313" s="5" t="s">
        <v>90</v>
      </c>
      <c r="D4313" s="5" t="s">
        <v>1044</v>
      </c>
      <c r="E4313" s="8" t="s">
        <v>298</v>
      </c>
      <c r="F4313" s="5" t="s">
        <v>739</v>
      </c>
      <c r="G4313" s="6" t="str">
        <f>VLOOKUP(E4313,dicionario!$A$1:$C4712,2,0)</f>
        <v>Alysicarpus vaginalis</v>
      </c>
      <c r="H4313" s="6" t="str">
        <f>VLOOKUP(E4313,dicionario!$A$1:$C4712,3,0)</f>
        <v/>
      </c>
    </row>
    <row r="4314">
      <c r="A4314" s="3">
        <v>45666.0</v>
      </c>
      <c r="B4314" s="4">
        <v>0.2569444444444444</v>
      </c>
      <c r="C4314" s="5" t="s">
        <v>90</v>
      </c>
      <c r="D4314" s="5" t="s">
        <v>1044</v>
      </c>
      <c r="E4314" s="8" t="s">
        <v>227</v>
      </c>
      <c r="F4314" s="5" t="s">
        <v>733</v>
      </c>
      <c r="G4314" s="6" t="str">
        <f>VLOOKUP(E4314,dicionario!$A$1:$C4713,2,0)</f>
        <v>Indigofera hirsuta</v>
      </c>
      <c r="H4314" s="6" t="str">
        <f>VLOOKUP(E4314,dicionario!$A$1:$C4713,3,0)</f>
        <v>anileira</v>
      </c>
    </row>
    <row r="4315">
      <c r="A4315" s="3">
        <v>45666.0</v>
      </c>
      <c r="B4315" s="4">
        <v>0.2569444444444444</v>
      </c>
      <c r="C4315" s="5" t="s">
        <v>90</v>
      </c>
      <c r="D4315" s="5" t="s">
        <v>1044</v>
      </c>
      <c r="E4315" s="6" t="s">
        <v>646</v>
      </c>
      <c r="F4315" s="5" t="s">
        <v>647</v>
      </c>
      <c r="G4315" s="6" t="str">
        <f>VLOOKUP(E4315,dicionario!$A$1:$C4714,2,0)</f>
        <v>Palpada mexicana</v>
      </c>
      <c r="H4315" s="6" t="str">
        <f>VLOOKUP(E4315,dicionario!$A$1:$C4714,3,0)</f>
        <v>mosca-das-flores</v>
      </c>
    </row>
    <row r="4316">
      <c r="A4316" s="3">
        <v>45666.0</v>
      </c>
      <c r="B4316" s="4">
        <v>0.2569444444444444</v>
      </c>
      <c r="C4316" s="5" t="s">
        <v>90</v>
      </c>
      <c r="D4316" s="5" t="s">
        <v>1044</v>
      </c>
      <c r="E4316" s="8" t="s">
        <v>53</v>
      </c>
      <c r="F4316" s="7" t="s">
        <v>54</v>
      </c>
      <c r="G4316" s="6" t="str">
        <f>VLOOKUP(E4316,dicionario!$A$1:$C4715,2,0)</f>
        <v>Turnera subulata</v>
      </c>
      <c r="H4316" s="6" t="str">
        <f>VLOOKUP(E4316,dicionario!$A$1:$C4715,3,0)</f>
        <v>xanana</v>
      </c>
    </row>
    <row r="4317">
      <c r="A4317" s="3">
        <v>45666.0</v>
      </c>
      <c r="B4317" s="4">
        <v>0.25763888888888886</v>
      </c>
      <c r="C4317" s="5" t="s">
        <v>90</v>
      </c>
      <c r="D4317" s="5" t="s">
        <v>1044</v>
      </c>
      <c r="E4317" s="8" t="s">
        <v>360</v>
      </c>
      <c r="F4317" s="7" t="s">
        <v>361</v>
      </c>
      <c r="G4317" s="6" t="str">
        <f>VLOOKUP(E4317,dicionario!$A$1:$C4716,2,0)</f>
        <v>Chamaecrista rotundifolia</v>
      </c>
      <c r="H4317" s="6" t="str">
        <f>VLOOKUP(E4317,dicionario!$A$1:$C4716,3,0)</f>
        <v>alfafa-nativa</v>
      </c>
    </row>
    <row r="4318">
      <c r="A4318" s="3">
        <v>45666.0</v>
      </c>
      <c r="B4318" s="4">
        <v>0.25763888888888886</v>
      </c>
      <c r="C4318" s="5" t="s">
        <v>90</v>
      </c>
      <c r="D4318" s="5" t="s">
        <v>1044</v>
      </c>
      <c r="E4318" s="6" t="s">
        <v>245</v>
      </c>
      <c r="F4318" s="7" t="s">
        <v>246</v>
      </c>
      <c r="G4318" s="6" t="str">
        <f>VLOOKUP(E4318,dicionario!$A$1:$C4717,2,0)</f>
        <v>Hemiargus hanno</v>
      </c>
      <c r="H4318" s="6" t="str">
        <f>VLOOKUP(E4318,dicionario!$A$1:$C4717,3,0)</f>
        <v>borboleta-azulzinha-do-trevo</v>
      </c>
    </row>
    <row r="4319">
      <c r="A4319" s="3">
        <v>45666.0</v>
      </c>
      <c r="B4319" s="4">
        <v>0.25763888888888886</v>
      </c>
      <c r="C4319" s="5" t="s">
        <v>90</v>
      </c>
      <c r="D4319" s="5" t="s">
        <v>1044</v>
      </c>
      <c r="E4319" s="8" t="s">
        <v>109</v>
      </c>
      <c r="F4319" s="5" t="s">
        <v>110</v>
      </c>
      <c r="G4319" s="6" t="str">
        <f>VLOOKUP(E4319,dicionario!$A$1:$C4718,2,0)</f>
        <v>Tillandsia stricta</v>
      </c>
      <c r="H4319" s="6" t="str">
        <f>VLOOKUP(E4319,dicionario!$A$1:$C4718,3,0)</f>
        <v>cravo-do-mato</v>
      </c>
    </row>
    <row r="4320">
      <c r="A4320" s="3">
        <v>45666.0</v>
      </c>
      <c r="B4320" s="4">
        <v>0.25833333333333336</v>
      </c>
      <c r="C4320" s="5" t="s">
        <v>90</v>
      </c>
      <c r="D4320" s="5" t="s">
        <v>1044</v>
      </c>
      <c r="E4320" s="8" t="s">
        <v>712</v>
      </c>
      <c r="F4320" s="5" t="s">
        <v>1006</v>
      </c>
      <c r="G4320" s="6" t="str">
        <f>VLOOKUP(E4320,dicionario!$A$1:$C4719,2,0)</f>
        <v>Flavopunctelia soredica</v>
      </c>
      <c r="H4320" s="6" t="str">
        <f>VLOOKUP(E4320,dicionario!$A$1:$C4719,3,0)</f>
        <v>líquen-folioso</v>
      </c>
    </row>
    <row r="4321">
      <c r="A4321" s="3">
        <v>45666.0</v>
      </c>
      <c r="B4321" s="4">
        <v>0.25833333333333336</v>
      </c>
      <c r="C4321" s="5" t="s">
        <v>90</v>
      </c>
      <c r="D4321" s="5" t="s">
        <v>1044</v>
      </c>
      <c r="E4321" s="8" t="s">
        <v>719</v>
      </c>
      <c r="F4321" s="5" t="s">
        <v>1005</v>
      </c>
      <c r="G4321" s="6" t="str">
        <f>VLOOKUP(E4321,dicionario!$A$1:$C4720,2,0)</f>
        <v>Dirinaria</v>
      </c>
      <c r="H4321" s="6" t="str">
        <f>VLOOKUP(E4321,dicionario!$A$1:$C4720,3,0)</f>
        <v>líquen-crostoso</v>
      </c>
    </row>
    <row r="4322">
      <c r="A4322" s="3">
        <v>45666.0</v>
      </c>
      <c r="B4322" s="4">
        <v>0.25833333333333336</v>
      </c>
      <c r="C4322" s="5" t="s">
        <v>90</v>
      </c>
      <c r="D4322" s="5" t="s">
        <v>1044</v>
      </c>
      <c r="E4322" s="8" t="s">
        <v>107</v>
      </c>
      <c r="F4322" s="5" t="s">
        <v>107</v>
      </c>
      <c r="G4322" s="6" t="str">
        <f>VLOOKUP(E4322,dicionario!$A$1:$C4721,2,0)</f>
        <v>Ramalina complanata</v>
      </c>
      <c r="H4322" s="6" t="str">
        <f>VLOOKUP(E4322,dicionario!$A$1:$C4721,3,0)</f>
        <v>ramalina</v>
      </c>
    </row>
    <row r="4323">
      <c r="A4323" s="3">
        <v>45666.0</v>
      </c>
      <c r="B4323" s="4">
        <v>0.25833333333333336</v>
      </c>
      <c r="C4323" s="5" t="s">
        <v>90</v>
      </c>
      <c r="D4323" s="5" t="s">
        <v>1044</v>
      </c>
      <c r="E4323" s="8" t="s">
        <v>175</v>
      </c>
      <c r="F4323" s="5" t="s">
        <v>176</v>
      </c>
      <c r="G4323" s="6" t="str">
        <f>VLOOKUP(E4323,dicionario!$A$1:$C4722,2,0)</f>
        <v>Turdus leucomelas</v>
      </c>
      <c r="H4323" s="6" t="str">
        <f>VLOOKUP(E4323,dicionario!$A$1:$C4722,3,0)</f>
        <v>sabiá-barranco</v>
      </c>
    </row>
    <row r="4324">
      <c r="A4324" s="3">
        <v>45666.0</v>
      </c>
      <c r="B4324" s="4">
        <v>0.25833333333333336</v>
      </c>
      <c r="C4324" s="5" t="s">
        <v>90</v>
      </c>
      <c r="D4324" s="5" t="s">
        <v>1044</v>
      </c>
      <c r="E4324" s="8" t="s">
        <v>935</v>
      </c>
      <c r="F4324" s="5" t="s">
        <v>936</v>
      </c>
      <c r="G4324" s="6" t="str">
        <f>VLOOKUP(E4324,dicionario!$A$1:$C4723,2,0)</f>
        <v>#N/A</v>
      </c>
      <c r="H4324" s="6" t="str">
        <f>VLOOKUP(E4324,dicionario!$A$1:$C4723,3,0)</f>
        <v>#N/A</v>
      </c>
    </row>
    <row r="4325">
      <c r="A4325" s="3">
        <v>45666.0</v>
      </c>
      <c r="B4325" s="4">
        <v>0.25833333333333336</v>
      </c>
      <c r="C4325" s="5" t="s">
        <v>90</v>
      </c>
      <c r="D4325" s="5" t="s">
        <v>1044</v>
      </c>
      <c r="E4325" s="8" t="s">
        <v>682</v>
      </c>
      <c r="F4325" s="5" t="s">
        <v>683</v>
      </c>
      <c r="G4325" s="6" t="str">
        <f>VLOOKUP(E4325,dicionario!$A$1:$C4724,2,0)</f>
        <v>Lagria villosa</v>
      </c>
      <c r="H4325" s="6" t="str">
        <f>VLOOKUP(E4325,dicionario!$A$1:$C4724,3,0)</f>
        <v>bicho-capixaba</v>
      </c>
    </row>
    <row r="4326">
      <c r="A4326" s="3">
        <v>45666.0</v>
      </c>
      <c r="B4326" s="4">
        <v>0.2590277777777778</v>
      </c>
      <c r="C4326" s="5" t="s">
        <v>90</v>
      </c>
      <c r="D4326" s="5" t="s">
        <v>1044</v>
      </c>
      <c r="E4326" s="8" t="s">
        <v>405</v>
      </c>
      <c r="F4326" s="5" t="s">
        <v>852</v>
      </c>
      <c r="G4326" s="6" t="str">
        <f>VLOOKUP(E4326,dicionario!$A$1:$C4725,2,0)</f>
        <v>Ectatomma</v>
      </c>
      <c r="H4326" s="6" t="str">
        <f>VLOOKUP(E4326,dicionario!$A$1:$C4725,3,0)</f>
        <v>formiga-preta</v>
      </c>
    </row>
    <row r="4327">
      <c r="A4327" s="3">
        <v>45666.0</v>
      </c>
      <c r="B4327" s="4">
        <v>0.2590277777777778</v>
      </c>
      <c r="C4327" s="5" t="s">
        <v>90</v>
      </c>
      <c r="D4327" s="5" t="s">
        <v>1044</v>
      </c>
      <c r="E4327" s="8" t="s">
        <v>517</v>
      </c>
      <c r="F4327" s="7" t="s">
        <v>518</v>
      </c>
      <c r="G4327" s="6" t="str">
        <f>VLOOKUP(E4327,dicionario!$A$1:$C4726,2,0)</f>
        <v>Evolvulus nummularius</v>
      </c>
      <c r="H4327" s="6" t="str">
        <f>VLOOKUP(E4327,dicionario!$A$1:$C4726,3,0)</f>
        <v/>
      </c>
    </row>
    <row r="4328">
      <c r="A4328" s="3">
        <v>45666.0</v>
      </c>
      <c r="B4328" s="4">
        <v>0.2590277777777778</v>
      </c>
      <c r="C4328" s="5" t="s">
        <v>90</v>
      </c>
      <c r="D4328" s="5" t="s">
        <v>1044</v>
      </c>
      <c r="E4328" s="8" t="s">
        <v>91</v>
      </c>
      <c r="F4328" s="5" t="s">
        <v>92</v>
      </c>
      <c r="G4328" s="6" t="str">
        <f>VLOOKUP(E4328,dicionario!$A$1:$C4727,2,0)</f>
        <v>Picumnus cirratus</v>
      </c>
      <c r="H4328" s="6" t="str">
        <f>VLOOKUP(E4328,dicionario!$A$1:$C4727,3,0)</f>
        <v>picapauzinho-barrado</v>
      </c>
    </row>
    <row r="4329">
      <c r="A4329" s="3">
        <v>45666.0</v>
      </c>
      <c r="B4329" s="4">
        <v>0.2590277777777778</v>
      </c>
      <c r="C4329" s="5" t="s">
        <v>90</v>
      </c>
      <c r="D4329" s="5" t="s">
        <v>1044</v>
      </c>
      <c r="E4329" s="6" t="s">
        <v>51</v>
      </c>
      <c r="F4329" s="5" t="s">
        <v>77</v>
      </c>
      <c r="G4329" s="6" t="str">
        <f>VLOOKUP(E4329,dicionario!$A$1:$C4728,2,0)</f>
        <v>Solenopsis</v>
      </c>
      <c r="H4329" s="6" t="str">
        <f>VLOOKUP(E4329,dicionario!$A$1:$C4728,3,0)</f>
        <v>formiga-quente; formiga-lava-pés; formiga-de-fogo</v>
      </c>
    </row>
    <row r="4330">
      <c r="A4330" s="3">
        <v>45666.0</v>
      </c>
      <c r="B4330" s="4">
        <v>0.2590277777777778</v>
      </c>
      <c r="C4330" s="5" t="s">
        <v>90</v>
      </c>
      <c r="D4330" s="5" t="s">
        <v>1044</v>
      </c>
      <c r="E4330" s="8" t="s">
        <v>934</v>
      </c>
      <c r="F4330" s="5" t="s">
        <v>414</v>
      </c>
      <c r="G4330" s="6" t="str">
        <f>VLOOKUP(E4330,dicionario!$A$1:$C4729,2,0)</f>
        <v>#N/A</v>
      </c>
      <c r="H4330" s="6" t="str">
        <f>VLOOKUP(E4330,dicionario!$A$1:$C4729,3,0)</f>
        <v>#N/A</v>
      </c>
    </row>
    <row r="4331">
      <c r="A4331" s="3">
        <v>45666.0</v>
      </c>
      <c r="B4331" s="4">
        <v>0.2604166666666667</v>
      </c>
      <c r="C4331" s="5" t="s">
        <v>90</v>
      </c>
      <c r="D4331" s="5" t="s">
        <v>1044</v>
      </c>
      <c r="E4331" s="8" t="s">
        <v>1046</v>
      </c>
      <c r="F4331" s="5" t="s">
        <v>1047</v>
      </c>
      <c r="G4331" s="6" t="str">
        <f>VLOOKUP(E4331,dicionario!$A$1:$C4730,2,0)</f>
        <v>#N/A</v>
      </c>
      <c r="H4331" s="6" t="str">
        <f>VLOOKUP(E4331,dicionario!$A$1:$C4730,3,0)</f>
        <v>#N/A</v>
      </c>
    </row>
    <row r="4332">
      <c r="A4332" s="3">
        <v>45666.0</v>
      </c>
      <c r="B4332" s="4">
        <v>0.2611111111111111</v>
      </c>
      <c r="C4332" s="5" t="s">
        <v>90</v>
      </c>
      <c r="D4332" s="5" t="s">
        <v>1044</v>
      </c>
      <c r="E4332" s="8" t="s">
        <v>209</v>
      </c>
      <c r="F4332" s="5" t="s">
        <v>722</v>
      </c>
      <c r="G4332" s="6" t="str">
        <f>VLOOKUP(E4332,dicionario!$A$1:$C4731,2,0)</f>
        <v>Furnarius figulus</v>
      </c>
      <c r="H4332" s="6" t="str">
        <f>VLOOKUP(E4332,dicionario!$A$1:$C4731,3,0)</f>
        <v>casaca-de-couro-da-lama</v>
      </c>
    </row>
    <row r="4333">
      <c r="A4333" s="3">
        <v>45666.0</v>
      </c>
      <c r="B4333" s="4">
        <v>0.2611111111111111</v>
      </c>
      <c r="C4333" s="5" t="s">
        <v>90</v>
      </c>
      <c r="D4333" s="5" t="s">
        <v>1044</v>
      </c>
      <c r="E4333" s="8" t="s">
        <v>688</v>
      </c>
      <c r="F4333" s="5" t="s">
        <v>121</v>
      </c>
      <c r="G4333" s="6" t="str">
        <f>VLOOKUP(E4333,dicionario!$A$1:$C4732,2,0)</f>
        <v>Fidicina</v>
      </c>
      <c r="H4333" s="6" t="str">
        <f>VLOOKUP(E4333,dicionario!$A$1:$C4732,3,0)</f>
        <v>cigarra</v>
      </c>
    </row>
    <row r="4334">
      <c r="A4334" s="3">
        <v>45666.0</v>
      </c>
      <c r="B4334" s="4">
        <v>0.2611111111111111</v>
      </c>
      <c r="C4334" s="5" t="s">
        <v>90</v>
      </c>
      <c r="D4334" s="5" t="s">
        <v>1044</v>
      </c>
      <c r="E4334" s="8" t="s">
        <v>18</v>
      </c>
      <c r="F4334" s="5" t="s">
        <v>219</v>
      </c>
      <c r="G4334" s="6" t="str">
        <f>VLOOKUP(E4334,dicionario!$A$1:$C4733,2,0)</f>
        <v>Xylocopa frontalis</v>
      </c>
      <c r="H4334" s="6" t="str">
        <f>VLOOKUP(E4334,dicionario!$A$1:$C4733,3,0)</f>
        <v>Mamangava; mangangá; abelha-carpinteira</v>
      </c>
    </row>
    <row r="4335">
      <c r="A4335" s="3">
        <v>45666.0</v>
      </c>
      <c r="B4335" s="4">
        <v>0.2611111111111111</v>
      </c>
      <c r="C4335" s="5" t="s">
        <v>90</v>
      </c>
      <c r="D4335" s="5" t="s">
        <v>1044</v>
      </c>
      <c r="E4335" s="8" t="s">
        <v>1048</v>
      </c>
      <c r="F4335" s="5" t="s">
        <v>1049</v>
      </c>
      <c r="G4335" s="6" t="str">
        <f>VLOOKUP(E4335,dicionario!$A$1:$C4734,2,0)</f>
        <v>#N/A</v>
      </c>
      <c r="H4335" s="6" t="str">
        <f>VLOOKUP(E4335,dicionario!$A$1:$C4734,3,0)</f>
        <v>#N/A</v>
      </c>
    </row>
    <row r="4336">
      <c r="A4336" s="3">
        <v>45666.0</v>
      </c>
      <c r="B4336" s="4">
        <v>0.26180555555555557</v>
      </c>
      <c r="C4336" s="5" t="s">
        <v>90</v>
      </c>
      <c r="D4336" s="5" t="s">
        <v>1044</v>
      </c>
      <c r="E4336" s="8" t="s">
        <v>308</v>
      </c>
      <c r="F4336" s="5" t="s">
        <v>309</v>
      </c>
      <c r="G4336" s="6" t="str">
        <f>VLOOKUP(E4336,dicionario!$A$1:$C4735,2,0)</f>
        <v>#N/A</v>
      </c>
      <c r="H4336" s="6" t="str">
        <f>VLOOKUP(E4336,dicionario!$A$1:$C4735,3,0)</f>
        <v>#N/A</v>
      </c>
    </row>
    <row r="4337">
      <c r="A4337" s="3">
        <v>45666.0</v>
      </c>
      <c r="B4337" s="4">
        <v>0.26180555555555557</v>
      </c>
      <c r="C4337" s="5" t="s">
        <v>90</v>
      </c>
      <c r="D4337" s="5" t="s">
        <v>1044</v>
      </c>
      <c r="E4337" s="8" t="s">
        <v>723</v>
      </c>
      <c r="F4337" s="5" t="s">
        <v>958</v>
      </c>
      <c r="G4337" s="6" t="str">
        <f>VLOOKUP(E4337,dicionario!$A$1:$C4736,2,0)</f>
        <v>Asemeia violacea</v>
      </c>
      <c r="H4337" s="6" t="str">
        <f>VLOOKUP(E4337,dicionario!$A$1:$C4736,3,0)</f>
        <v/>
      </c>
    </row>
    <row r="4338">
      <c r="A4338" s="3">
        <v>45666.0</v>
      </c>
      <c r="B4338" s="4">
        <v>0.2625</v>
      </c>
      <c r="C4338" s="5" t="s">
        <v>90</v>
      </c>
      <c r="D4338" s="5" t="s">
        <v>1044</v>
      </c>
      <c r="E4338" s="8" t="s">
        <v>355</v>
      </c>
      <c r="F4338" s="5" t="s">
        <v>356</v>
      </c>
      <c r="G4338" s="6" t="str">
        <f>VLOOKUP(E4338,dicionario!$A$1:$C4737,2,0)</f>
        <v>Boerhavia diffusa</v>
      </c>
      <c r="H4338" s="6" t="str">
        <f>VLOOKUP(E4338,dicionario!$A$1:$C4737,3,0)</f>
        <v>erva-tostão</v>
      </c>
    </row>
    <row r="4339">
      <c r="A4339" s="3">
        <v>45666.0</v>
      </c>
      <c r="B4339" s="4">
        <v>0.2625</v>
      </c>
      <c r="C4339" s="5" t="s">
        <v>90</v>
      </c>
      <c r="D4339" s="5" t="s">
        <v>1044</v>
      </c>
      <c r="E4339" s="8" t="s">
        <v>195</v>
      </c>
      <c r="F4339" s="5" t="s">
        <v>196</v>
      </c>
      <c r="G4339" s="6" t="str">
        <f>VLOOKUP(E4339,dicionario!$A$1:$C4738,2,0)</f>
        <v>Priva lappulacea</v>
      </c>
      <c r="H4339" s="6" t="str">
        <f>VLOOKUP(E4339,dicionario!$A$1:$C4738,3,0)</f>
        <v>carrapicho</v>
      </c>
    </row>
    <row r="4340">
      <c r="A4340" s="3">
        <v>45666.0</v>
      </c>
      <c r="B4340" s="4">
        <v>0.2625</v>
      </c>
      <c r="C4340" s="5" t="s">
        <v>90</v>
      </c>
      <c r="D4340" s="5" t="s">
        <v>1044</v>
      </c>
      <c r="E4340" s="8" t="s">
        <v>471</v>
      </c>
      <c r="F4340" s="5" t="s">
        <v>472</v>
      </c>
      <c r="G4340" s="6" t="str">
        <f>VLOOKUP(E4340,dicionario!$A$1:$C4739,2,0)</f>
        <v>Sida acuta</v>
      </c>
      <c r="H4340" s="6" t="str">
        <f>VLOOKUP(E4340,dicionario!$A$1:$C4739,3,0)</f>
        <v>reloginho</v>
      </c>
    </row>
    <row r="4341">
      <c r="A4341" s="3">
        <v>45666.0</v>
      </c>
      <c r="B4341" s="4">
        <v>0.2625</v>
      </c>
      <c r="C4341" s="5" t="s">
        <v>90</v>
      </c>
      <c r="D4341" s="5" t="s">
        <v>1044</v>
      </c>
      <c r="E4341" s="8" t="s">
        <v>150</v>
      </c>
      <c r="F4341" s="5" t="s">
        <v>151</v>
      </c>
      <c r="G4341" s="6" t="str">
        <f>VLOOKUP(E4341,dicionario!$A$1:$C4740,2,0)</f>
        <v>Amaranthus viridis</v>
      </c>
      <c r="H4341" s="6" t="str">
        <f>VLOOKUP(E4341,dicionario!$A$1:$C4740,3,0)</f>
        <v>caruru-de-mancha</v>
      </c>
    </row>
    <row r="4342">
      <c r="A4342" s="3">
        <v>45666.0</v>
      </c>
      <c r="B4342" s="4">
        <v>0.2625</v>
      </c>
      <c r="C4342" s="5" t="s">
        <v>90</v>
      </c>
      <c r="D4342" s="5" t="s">
        <v>1044</v>
      </c>
      <c r="E4342" s="8" t="s">
        <v>267</v>
      </c>
      <c r="F4342" s="5" t="s">
        <v>553</v>
      </c>
      <c r="G4342" s="6" t="str">
        <f>VLOOKUP(E4342,dicionario!$A$1:$C4741,2,0)</f>
        <v>Solanum americanum</v>
      </c>
      <c r="H4342" s="6" t="str">
        <f>VLOOKUP(E4342,dicionario!$A$1:$C4741,3,0)</f>
        <v>maria-pretinha</v>
      </c>
    </row>
    <row r="4343">
      <c r="A4343" s="3">
        <v>45666.0</v>
      </c>
      <c r="B4343" s="4">
        <v>0.2625</v>
      </c>
      <c r="C4343" s="5" t="s">
        <v>90</v>
      </c>
      <c r="D4343" s="5" t="s">
        <v>1044</v>
      </c>
      <c r="E4343" s="8" t="s">
        <v>271</v>
      </c>
      <c r="F4343" s="7" t="s">
        <v>272</v>
      </c>
      <c r="G4343" s="6" t="str">
        <f>VLOOKUP(E4343,dicionario!$A$1:$C4742,2,0)</f>
        <v>Cyanthillium cinereum</v>
      </c>
      <c r="H4343" s="6" t="str">
        <f>VLOOKUP(E4343,dicionario!$A$1:$C4742,3,0)</f>
        <v>emília</v>
      </c>
    </row>
    <row r="4344">
      <c r="A4344" s="3">
        <v>45666.0</v>
      </c>
      <c r="B4344" s="4">
        <v>0.2625</v>
      </c>
      <c r="C4344" s="5" t="s">
        <v>90</v>
      </c>
      <c r="D4344" s="5" t="s">
        <v>1044</v>
      </c>
      <c r="E4344" s="8" t="s">
        <v>162</v>
      </c>
      <c r="F4344" s="7" t="s">
        <v>42</v>
      </c>
      <c r="G4344" s="6" t="str">
        <f>VLOOKUP(E4344,dicionario!$A$1:$C4743,2,0)</f>
        <v>Fluvicola nengeta</v>
      </c>
      <c r="H4344" s="6" t="str">
        <f>VLOOKUP(E4344,dicionario!$A$1:$C4743,3,0)</f>
        <v>lavadeira-mascarada</v>
      </c>
    </row>
    <row r="4345">
      <c r="A4345" s="3">
        <v>45666.0</v>
      </c>
      <c r="B4345" s="4">
        <v>0.2625</v>
      </c>
      <c r="C4345" s="5" t="s">
        <v>90</v>
      </c>
      <c r="D4345" s="5" t="s">
        <v>1044</v>
      </c>
      <c r="E4345" s="8" t="s">
        <v>465</v>
      </c>
      <c r="F4345" s="5" t="s">
        <v>1050</v>
      </c>
      <c r="G4345" s="6" t="str">
        <f>VLOOKUP(E4345,dicionario!$A$1:$C4744,2,0)</f>
        <v>Solanum diphyllum</v>
      </c>
      <c r="H4345" s="6" t="str">
        <f>VLOOKUP(E4345,dicionario!$A$1:$C4744,3,0)</f>
        <v>tomatinho-amarelo</v>
      </c>
    </row>
    <row r="4346">
      <c r="A4346" s="3">
        <v>45666.0</v>
      </c>
      <c r="B4346" s="4">
        <v>0.2625</v>
      </c>
      <c r="C4346" s="5" t="s">
        <v>90</v>
      </c>
      <c r="D4346" s="5" t="s">
        <v>1044</v>
      </c>
      <c r="E4346" s="8" t="s">
        <v>616</v>
      </c>
      <c r="F4346" s="5" t="s">
        <v>617</v>
      </c>
      <c r="G4346" s="6" t="str">
        <f>VLOOKUP(E4346,dicionario!$A$1:$C4745,2,0)</f>
        <v>#N/A</v>
      </c>
      <c r="H4346" s="6" t="str">
        <f>VLOOKUP(E4346,dicionario!$A$1:$C4745,3,0)</f>
        <v>#N/A</v>
      </c>
    </row>
    <row r="4347">
      <c r="A4347" s="3">
        <v>45666.0</v>
      </c>
      <c r="B4347" s="4">
        <v>0.2625</v>
      </c>
      <c r="C4347" s="5" t="s">
        <v>90</v>
      </c>
      <c r="D4347" s="5" t="s">
        <v>1044</v>
      </c>
      <c r="E4347" s="8" t="s">
        <v>319</v>
      </c>
      <c r="F4347" s="5" t="s">
        <v>320</v>
      </c>
      <c r="G4347" s="6" t="str">
        <f>VLOOKUP(E4347,dicionario!$A$1:$C4746,2,0)</f>
        <v>Schinus terebinthifolia</v>
      </c>
      <c r="H4347" s="6" t="str">
        <f>VLOOKUP(E4347,dicionario!$A$1:$C4746,3,0)</f>
        <v>aroeira</v>
      </c>
    </row>
    <row r="4348">
      <c r="A4348" s="3">
        <v>45666.0</v>
      </c>
      <c r="B4348" s="4">
        <v>0.2625</v>
      </c>
      <c r="C4348" s="5" t="s">
        <v>90</v>
      </c>
      <c r="D4348" s="5" t="s">
        <v>1044</v>
      </c>
      <c r="E4348" s="8" t="s">
        <v>401</v>
      </c>
      <c r="F4348" s="5" t="s">
        <v>464</v>
      </c>
      <c r="G4348" s="6" t="str">
        <f>VLOOKUP(E4348,dicionario!$A$1:$C4747,2,0)</f>
        <v>Cissus verticillata</v>
      </c>
      <c r="H4348" s="6" t="str">
        <f>VLOOKUP(E4348,dicionario!$A$1:$C4747,3,0)</f>
        <v>uva-do-mato</v>
      </c>
    </row>
    <row r="4349">
      <c r="A4349" s="3">
        <v>45666.0</v>
      </c>
      <c r="B4349" s="4">
        <v>0.26319444444444445</v>
      </c>
      <c r="C4349" s="5" t="s">
        <v>90</v>
      </c>
      <c r="D4349" s="5" t="s">
        <v>1044</v>
      </c>
      <c r="E4349" s="8" t="s">
        <v>858</v>
      </c>
      <c r="F4349" s="5" t="s">
        <v>1051</v>
      </c>
      <c r="G4349" s="6" t="str">
        <f>VLOOKUP(E4349,dicionario!$A$1:$C4748,2,0)</f>
        <v>Rumex obtusifolius</v>
      </c>
      <c r="H4349" s="6" t="str">
        <f>VLOOKUP(E4349,dicionario!$A$1:$C4748,3,0)</f>
        <v>lingua-de-vaca</v>
      </c>
    </row>
    <row r="4350">
      <c r="A4350" s="3">
        <v>45666.0</v>
      </c>
      <c r="B4350" s="4">
        <v>0.26319444444444445</v>
      </c>
      <c r="C4350" s="5" t="s">
        <v>90</v>
      </c>
      <c r="D4350" s="5" t="s">
        <v>1044</v>
      </c>
      <c r="E4350" s="8" t="s">
        <v>328</v>
      </c>
      <c r="F4350" s="5" t="s">
        <v>329</v>
      </c>
      <c r="G4350" s="6" t="str">
        <f>VLOOKUP(E4350,dicionario!$A$1:$C4749,2,0)</f>
        <v>Rivina humilis</v>
      </c>
      <c r="H4350" s="6" t="str">
        <f>VLOOKUP(E4350,dicionario!$A$1:$C4749,3,0)</f>
        <v>baga-de-sangue</v>
      </c>
    </row>
    <row r="4351">
      <c r="A4351" s="3">
        <v>45666.0</v>
      </c>
      <c r="B4351" s="4">
        <v>0.26319444444444445</v>
      </c>
      <c r="C4351" s="5" t="s">
        <v>90</v>
      </c>
      <c r="D4351" s="5" t="s">
        <v>1044</v>
      </c>
      <c r="E4351" s="8" t="s">
        <v>821</v>
      </c>
      <c r="F4351" s="5" t="s">
        <v>876</v>
      </c>
      <c r="G4351" s="6" t="str">
        <f>VLOOKUP(E4351,dicionario!$A$1:$C4750,2,0)</f>
        <v>Schefflera actinophylla</v>
      </c>
      <c r="H4351" s="6" t="str">
        <f>VLOOKUP(E4351,dicionario!$A$1:$C4750,3,0)</f>
        <v>árvore-guarda-chuva</v>
      </c>
    </row>
    <row r="4352">
      <c r="A4352" s="3">
        <v>45666.0</v>
      </c>
      <c r="B4352" s="4">
        <v>0.2638888888888889</v>
      </c>
      <c r="C4352" s="5" t="s">
        <v>90</v>
      </c>
      <c r="D4352" s="5" t="s">
        <v>1044</v>
      </c>
      <c r="E4352" s="8" t="s">
        <v>579</v>
      </c>
      <c r="F4352" s="5" t="s">
        <v>580</v>
      </c>
      <c r="G4352" s="6" t="str">
        <f>VLOOKUP(E4352,dicionario!$A$1:$C4751,2,0)</f>
        <v>Piper tuberculatum</v>
      </c>
      <c r="H4352" s="6" t="str">
        <f>VLOOKUP(E4352,dicionario!$A$1:$C4751,3,0)</f>
        <v/>
      </c>
    </row>
    <row r="4353">
      <c r="A4353" s="3">
        <v>45666.0</v>
      </c>
      <c r="B4353" s="4">
        <v>0.2638888888888889</v>
      </c>
      <c r="C4353" s="5" t="s">
        <v>90</v>
      </c>
      <c r="D4353" s="5" t="s">
        <v>1044</v>
      </c>
      <c r="E4353" s="8" t="s">
        <v>288</v>
      </c>
      <c r="F4353" s="5" t="s">
        <v>289</v>
      </c>
      <c r="G4353" s="6" t="str">
        <f>VLOOKUP(E4353,dicionario!$A$1:$C4752,2,0)</f>
        <v>Phyllanthus tenellus</v>
      </c>
      <c r="H4353" s="6" t="str">
        <f>VLOOKUP(E4353,dicionario!$A$1:$C4752,3,0)</f>
        <v>quebra-pedra</v>
      </c>
    </row>
    <row r="4354">
      <c r="A4354" s="3">
        <v>45666.0</v>
      </c>
      <c r="B4354" s="4">
        <v>0.2638888888888889</v>
      </c>
      <c r="C4354" s="5" t="s">
        <v>90</v>
      </c>
      <c r="D4354" s="5" t="s">
        <v>1044</v>
      </c>
      <c r="E4354" s="8" t="s">
        <v>483</v>
      </c>
      <c r="F4354" s="5" t="s">
        <v>484</v>
      </c>
      <c r="G4354" s="6" t="str">
        <f>VLOOKUP(E4354,dicionario!$A$1:$C4753,2,0)</f>
        <v>Euphorbia prostrata</v>
      </c>
      <c r="H4354" s="6" t="str">
        <f>VLOOKUP(E4354,dicionario!$A$1:$C4753,3,0)</f>
        <v>quebra-pedra-rasteira</v>
      </c>
    </row>
    <row r="4355">
      <c r="A4355" s="3">
        <v>45666.0</v>
      </c>
      <c r="B4355" s="4">
        <v>0.26458333333333334</v>
      </c>
      <c r="C4355" s="5" t="s">
        <v>90</v>
      </c>
      <c r="D4355" s="5" t="s">
        <v>1044</v>
      </c>
      <c r="E4355" s="8" t="s">
        <v>146</v>
      </c>
      <c r="F4355" s="5" t="s">
        <v>147</v>
      </c>
      <c r="G4355" s="6" t="str">
        <f>VLOOKUP(E4355,dicionario!$A$1:$C4754,2,0)</f>
        <v>Euphorbia hirta</v>
      </c>
      <c r="H4355" s="6" t="str">
        <f>VLOOKUP(E4355,dicionario!$A$1:$C4754,3,0)</f>
        <v>erva-de-santa-luzia</v>
      </c>
    </row>
    <row r="4356">
      <c r="A4356" s="3">
        <v>45666.0</v>
      </c>
      <c r="B4356" s="4">
        <v>0.26458333333333334</v>
      </c>
      <c r="C4356" s="5" t="s">
        <v>90</v>
      </c>
      <c r="D4356" s="5" t="s">
        <v>1044</v>
      </c>
      <c r="E4356" s="8" t="s">
        <v>243</v>
      </c>
      <c r="F4356" s="5" t="s">
        <v>244</v>
      </c>
      <c r="G4356" s="6" t="str">
        <f>VLOOKUP(E4356,dicionario!$A$1:$C4755,2,0)</f>
        <v>Macroptilium atropurpureum</v>
      </c>
      <c r="H4356" s="6" t="str">
        <f>VLOOKUP(E4356,dicionario!$A$1:$C4755,3,0)</f>
        <v>feijão-de-pombo</v>
      </c>
    </row>
    <row r="4357">
      <c r="A4357" s="3">
        <v>45666.0</v>
      </c>
      <c r="B4357" s="4">
        <v>0.26458333333333334</v>
      </c>
      <c r="C4357" s="5" t="s">
        <v>90</v>
      </c>
      <c r="D4357" s="5" t="s">
        <v>1044</v>
      </c>
      <c r="E4357" s="8" t="s">
        <v>144</v>
      </c>
      <c r="F4357" s="5" t="s">
        <v>538</v>
      </c>
      <c r="G4357" s="6" t="str">
        <f>VLOOKUP(E4357,dicionario!$A$1:$C4756,2,0)</f>
        <v>Gomphrena globosa</v>
      </c>
      <c r="H4357" s="6" t="str">
        <f>VLOOKUP(E4357,dicionario!$A$1:$C4756,3,0)</f>
        <v>perpétua-rosa</v>
      </c>
    </row>
    <row r="4358">
      <c r="A4358" s="3">
        <v>45666.0</v>
      </c>
      <c r="B4358" s="4">
        <v>0.26458333333333334</v>
      </c>
      <c r="C4358" s="5" t="s">
        <v>90</v>
      </c>
      <c r="D4358" s="5" t="s">
        <v>1044</v>
      </c>
      <c r="E4358" s="8" t="s">
        <v>116</v>
      </c>
      <c r="F4358" s="5" t="s">
        <v>117</v>
      </c>
      <c r="G4358" s="6" t="str">
        <f>VLOOKUP(E4358,dicionario!$A$1:$C4757,2,0)</f>
        <v>Argiope argentata</v>
      </c>
      <c r="H4358" s="6" t="str">
        <f>VLOOKUP(E4358,dicionario!$A$1:$C4757,3,0)</f>
        <v>aranha-de-prata</v>
      </c>
    </row>
    <row r="4359">
      <c r="A4359" s="3">
        <v>45666.0</v>
      </c>
      <c r="B4359" s="4">
        <v>0.26458333333333334</v>
      </c>
      <c r="C4359" s="5" t="s">
        <v>90</v>
      </c>
      <c r="D4359" s="5" t="s">
        <v>1044</v>
      </c>
      <c r="E4359" s="8" t="s">
        <v>611</v>
      </c>
      <c r="F4359" s="5" t="s">
        <v>612</v>
      </c>
      <c r="G4359" s="6" t="str">
        <f>VLOOKUP(E4359,dicionario!$A$1:$C4758,2,0)</f>
        <v>Boehmeria cylindrica</v>
      </c>
      <c r="H4359" s="6" t="str">
        <f>VLOOKUP(E4359,dicionario!$A$1:$C4758,3,0)</f>
        <v>falsa-urtiga</v>
      </c>
    </row>
    <row r="4360">
      <c r="A4360" s="3">
        <v>45666.0</v>
      </c>
      <c r="B4360" s="4">
        <v>0.2652777777777778</v>
      </c>
      <c r="C4360" s="5" t="s">
        <v>90</v>
      </c>
      <c r="D4360" s="5" t="s">
        <v>1044</v>
      </c>
      <c r="E4360" s="8" t="s">
        <v>38</v>
      </c>
      <c r="F4360" s="5" t="s">
        <v>39</v>
      </c>
      <c r="G4360" s="6" t="str">
        <f>VLOOKUP(E4360,dicionario!$A$1:$C4759,2,0)</f>
        <v>Troglodytes musculus</v>
      </c>
      <c r="H4360" s="6" t="str">
        <f>VLOOKUP(E4360,dicionario!$A$1:$C4759,3,0)</f>
        <v>curruíra</v>
      </c>
    </row>
    <row r="4361">
      <c r="A4361" s="3">
        <v>45666.0</v>
      </c>
      <c r="B4361" s="4">
        <v>0.2673611111111111</v>
      </c>
      <c r="C4361" s="5" t="s">
        <v>85</v>
      </c>
      <c r="D4361" s="5" t="s">
        <v>1044</v>
      </c>
      <c r="E4361" s="8" t="s">
        <v>53</v>
      </c>
      <c r="F4361" s="7" t="s">
        <v>54</v>
      </c>
      <c r="G4361" s="6" t="str">
        <f>VLOOKUP(E4361,dicionario!$A$1:$C4760,2,0)</f>
        <v>Turnera subulata</v>
      </c>
      <c r="H4361" s="6" t="str">
        <f>VLOOKUP(E4361,dicionario!$A$1:$C4760,3,0)</f>
        <v>xanana</v>
      </c>
    </row>
    <row r="4362">
      <c r="A4362" s="3">
        <v>45666.0</v>
      </c>
      <c r="B4362" s="4">
        <v>0.2673611111111111</v>
      </c>
      <c r="C4362" s="5" t="s">
        <v>85</v>
      </c>
      <c r="D4362" s="5" t="s">
        <v>1044</v>
      </c>
      <c r="E4362" s="8" t="s">
        <v>111</v>
      </c>
      <c r="F4362" s="7" t="s">
        <v>112</v>
      </c>
      <c r="G4362" s="6" t="str">
        <f>VLOOKUP(E4362,dicionario!$A$1:$C4761,2,0)</f>
        <v>Trigona spinipes</v>
      </c>
      <c r="H4362" s="6" t="str">
        <f>VLOOKUP(E4362,dicionario!$A$1:$C4761,3,0)</f>
        <v>abelha-cachorro</v>
      </c>
    </row>
    <row r="4363">
      <c r="A4363" s="3">
        <v>45666.0</v>
      </c>
      <c r="B4363" s="4">
        <v>0.2673611111111111</v>
      </c>
      <c r="C4363" s="5" t="s">
        <v>85</v>
      </c>
      <c r="D4363" s="5" t="s">
        <v>1044</v>
      </c>
      <c r="E4363" s="8" t="s">
        <v>288</v>
      </c>
      <c r="F4363" s="5" t="s">
        <v>289</v>
      </c>
      <c r="G4363" s="6" t="str">
        <f>VLOOKUP(E4363,dicionario!$A$1:$C4762,2,0)</f>
        <v>Phyllanthus tenellus</v>
      </c>
      <c r="H4363" s="6" t="str">
        <f>VLOOKUP(E4363,dicionario!$A$1:$C4762,3,0)</f>
        <v>quebra-pedra</v>
      </c>
    </row>
    <row r="4364">
      <c r="A4364" s="3">
        <v>45666.0</v>
      </c>
      <c r="B4364" s="4">
        <v>0.26805555555555555</v>
      </c>
      <c r="C4364" s="5" t="s">
        <v>85</v>
      </c>
      <c r="D4364" s="5" t="s">
        <v>1044</v>
      </c>
      <c r="E4364" s="8" t="s">
        <v>113</v>
      </c>
      <c r="F4364" s="5" t="s">
        <v>114</v>
      </c>
      <c r="G4364" s="6" t="str">
        <f>VLOOKUP(E4364,dicionario!$A$1:$C4763,2,0)</f>
        <v>Columbina talpacoti</v>
      </c>
      <c r="H4364" s="6" t="str">
        <f>VLOOKUP(E4364,dicionario!$A$1:$C4763,3,0)</f>
        <v>rolinha-roxa</v>
      </c>
    </row>
    <row r="4365">
      <c r="A4365" s="3">
        <v>45666.0</v>
      </c>
      <c r="B4365" s="4">
        <v>0.26805555555555555</v>
      </c>
      <c r="C4365" s="5" t="s">
        <v>85</v>
      </c>
      <c r="D4365" s="5" t="s">
        <v>1044</v>
      </c>
      <c r="E4365" s="8" t="s">
        <v>22</v>
      </c>
      <c r="F4365" s="5" t="s">
        <v>97</v>
      </c>
      <c r="G4365" s="6" t="str">
        <f>VLOOKUP(E4365,dicionario!$A$1:$C4764,2,0)</f>
        <v>Zenaida auriculata</v>
      </c>
      <c r="H4365" s="6" t="str">
        <f>VLOOKUP(E4365,dicionario!$A$1:$C4764,3,0)</f>
        <v>pomba-de-bando; avoante</v>
      </c>
    </row>
    <row r="4366">
      <c r="A4366" s="3">
        <v>45666.0</v>
      </c>
      <c r="B4366" s="4">
        <v>0.26805555555555555</v>
      </c>
      <c r="C4366" s="5" t="s">
        <v>85</v>
      </c>
      <c r="D4366" s="5" t="s">
        <v>1044</v>
      </c>
      <c r="E4366" s="8" t="s">
        <v>162</v>
      </c>
      <c r="F4366" s="7" t="s">
        <v>42</v>
      </c>
      <c r="G4366" s="6" t="str">
        <f>VLOOKUP(E4366,dicionario!$A$1:$C4765,2,0)</f>
        <v>Fluvicola nengeta</v>
      </c>
      <c r="H4366" s="6" t="str">
        <f>VLOOKUP(E4366,dicionario!$A$1:$C4765,3,0)</f>
        <v>lavadeira-mascarada</v>
      </c>
    </row>
    <row r="4367">
      <c r="A4367" s="3">
        <v>45666.0</v>
      </c>
      <c r="B4367" s="4">
        <v>0.26805555555555555</v>
      </c>
      <c r="C4367" s="5" t="s">
        <v>85</v>
      </c>
      <c r="D4367" s="5" t="s">
        <v>1044</v>
      </c>
      <c r="E4367" s="8" t="s">
        <v>298</v>
      </c>
      <c r="F4367" s="5" t="s">
        <v>739</v>
      </c>
      <c r="G4367" s="6" t="str">
        <f>VLOOKUP(E4367,dicionario!$A$1:$C4766,2,0)</f>
        <v>Alysicarpus vaginalis</v>
      </c>
      <c r="H4367" s="6" t="str">
        <f>VLOOKUP(E4367,dicionario!$A$1:$C4766,3,0)</f>
        <v/>
      </c>
    </row>
    <row r="4368">
      <c r="A4368" s="3">
        <v>45666.0</v>
      </c>
      <c r="B4368" s="4">
        <v>0.26805555555555555</v>
      </c>
      <c r="C4368" s="5" t="s">
        <v>85</v>
      </c>
      <c r="D4368" s="5" t="s">
        <v>1044</v>
      </c>
      <c r="E4368" s="8" t="s">
        <v>154</v>
      </c>
      <c r="F4368" s="5" t="s">
        <v>155</v>
      </c>
      <c r="G4368" s="6" t="str">
        <f>VLOOKUP(E4368,dicionario!$A$1:$C4767,2,0)</f>
        <v>Cyperus rotundus</v>
      </c>
      <c r="H4368" s="6" t="str">
        <f>VLOOKUP(E4368,dicionario!$A$1:$C4767,3,0)</f>
        <v>tiririca</v>
      </c>
    </row>
    <row r="4369">
      <c r="A4369" s="3">
        <v>45666.0</v>
      </c>
      <c r="B4369" s="4">
        <v>0.26805555555555555</v>
      </c>
      <c r="C4369" s="5" t="s">
        <v>85</v>
      </c>
      <c r="D4369" s="5" t="s">
        <v>1044</v>
      </c>
      <c r="E4369" s="8" t="s">
        <v>613</v>
      </c>
      <c r="F4369" s="5" t="s">
        <v>614</v>
      </c>
      <c r="G4369" s="6" t="str">
        <f>VLOOKUP(E4369,dicionario!$A$1:$C4768,2,0)</f>
        <v>Euphorbia hyssopifolia</v>
      </c>
      <c r="H4369" s="6" t="str">
        <f>VLOOKUP(E4369,dicionario!$A$1:$C4768,3,0)</f>
        <v>maria-leite</v>
      </c>
    </row>
    <row r="4370">
      <c r="A4370" s="3">
        <v>45666.0</v>
      </c>
      <c r="B4370" s="4">
        <v>0.26805555555555555</v>
      </c>
      <c r="C4370" s="5" t="s">
        <v>85</v>
      </c>
      <c r="D4370" s="5" t="s">
        <v>1044</v>
      </c>
      <c r="E4370" s="8" t="s">
        <v>146</v>
      </c>
      <c r="F4370" s="5" t="s">
        <v>147</v>
      </c>
      <c r="G4370" s="6" t="str">
        <f>VLOOKUP(E4370,dicionario!$A$1:$C4769,2,0)</f>
        <v>Euphorbia hirta</v>
      </c>
      <c r="H4370" s="6" t="str">
        <f>VLOOKUP(E4370,dicionario!$A$1:$C4769,3,0)</f>
        <v>erva-de-santa-luzia</v>
      </c>
    </row>
    <row r="4371">
      <c r="A4371" s="3">
        <v>45666.0</v>
      </c>
      <c r="B4371" s="4">
        <v>0.26805555555555555</v>
      </c>
      <c r="C4371" s="5" t="s">
        <v>85</v>
      </c>
      <c r="D4371" s="5" t="s">
        <v>1044</v>
      </c>
      <c r="E4371" s="8" t="s">
        <v>132</v>
      </c>
      <c r="F4371" s="5" t="s">
        <v>133</v>
      </c>
      <c r="G4371" s="6" t="str">
        <f>VLOOKUP(E4371,dicionario!$A$1:$C4770,2,0)</f>
        <v>Euphonia chlorotica</v>
      </c>
      <c r="H4371" s="6" t="str">
        <f>VLOOKUP(E4371,dicionario!$A$1:$C4770,3,0)</f>
        <v>fim-fim</v>
      </c>
    </row>
    <row r="4372">
      <c r="A4372" s="3">
        <v>45666.0</v>
      </c>
      <c r="B4372" s="4">
        <v>0.26875</v>
      </c>
      <c r="C4372" s="5" t="s">
        <v>85</v>
      </c>
      <c r="D4372" s="5" t="s">
        <v>1044</v>
      </c>
      <c r="E4372" s="8" t="s">
        <v>489</v>
      </c>
      <c r="F4372" s="5" t="s">
        <v>521</v>
      </c>
      <c r="G4372" s="6" t="str">
        <f>VLOOKUP(E4372,dicionario!$A$1:$C4771,2,0)</f>
        <v>Cenchrus echinatus</v>
      </c>
      <c r="H4372" s="6" t="str">
        <f>VLOOKUP(E4372,dicionario!$A$1:$C4771,3,0)</f>
        <v>capim-carrapicho</v>
      </c>
    </row>
    <row r="4373">
      <c r="A4373" s="3">
        <v>45666.0</v>
      </c>
      <c r="B4373" s="4">
        <v>0.26875</v>
      </c>
      <c r="C4373" s="5" t="s">
        <v>85</v>
      </c>
      <c r="D4373" s="5" t="s">
        <v>1044</v>
      </c>
      <c r="E4373" s="8" t="s">
        <v>606</v>
      </c>
      <c r="F4373" s="5" t="s">
        <v>607</v>
      </c>
      <c r="G4373" s="6" t="str">
        <f>VLOOKUP(E4373,dicionario!$A$1:$C4772,2,0)</f>
        <v>Elaenia spectabilis</v>
      </c>
      <c r="H4373" s="6" t="str">
        <f>VLOOKUP(E4373,dicionario!$A$1:$C4772,3,0)</f>
        <v>guaracava-grande</v>
      </c>
    </row>
    <row r="4374">
      <c r="A4374" s="3">
        <v>45666.0</v>
      </c>
      <c r="B4374" s="4">
        <v>0.26875</v>
      </c>
      <c r="C4374" s="5" t="s">
        <v>85</v>
      </c>
      <c r="D4374" s="5" t="s">
        <v>1044</v>
      </c>
      <c r="E4374" s="8" t="s">
        <v>122</v>
      </c>
      <c r="F4374" s="7" t="s">
        <v>123</v>
      </c>
      <c r="G4374" s="6" t="str">
        <f>VLOOKUP(E4374,dicionario!$A$1:$C4773,2,0)</f>
        <v>Todirostrum cinereum</v>
      </c>
      <c r="H4374" s="6" t="str">
        <f>VLOOKUP(E4374,dicionario!$A$1:$C4773,3,0)</f>
        <v>ferreirinho-relógio</v>
      </c>
    </row>
    <row r="4375">
      <c r="A4375" s="3">
        <v>45666.0</v>
      </c>
      <c r="B4375" s="4">
        <v>0.26875</v>
      </c>
      <c r="C4375" s="5" t="s">
        <v>85</v>
      </c>
      <c r="D4375" s="5" t="s">
        <v>1044</v>
      </c>
      <c r="E4375" s="8" t="s">
        <v>135</v>
      </c>
      <c r="F4375" s="5" t="s">
        <v>136</v>
      </c>
      <c r="G4375" s="6" t="str">
        <f>VLOOKUP(E4375,dicionario!$A$1:$C4774,2,0)</f>
        <v>Tridax procumbens</v>
      </c>
      <c r="H4375" s="6" t="str">
        <f>VLOOKUP(E4375,dicionario!$A$1:$C4774,3,0)</f>
        <v>erva-de-touro</v>
      </c>
    </row>
    <row r="4376">
      <c r="A4376" s="3">
        <v>45666.0</v>
      </c>
      <c r="B4376" s="4">
        <v>0.26875</v>
      </c>
      <c r="C4376" s="5" t="s">
        <v>85</v>
      </c>
      <c r="D4376" s="5" t="s">
        <v>1044</v>
      </c>
      <c r="E4376" s="8" t="s">
        <v>338</v>
      </c>
      <c r="F4376" s="5" t="s">
        <v>238</v>
      </c>
      <c r="G4376" s="6" t="str">
        <f>VLOOKUP(E4376,dicionario!$A$1:$C4775,2,0)</f>
        <v>Atta</v>
      </c>
      <c r="H4376" s="6" t="str">
        <f>VLOOKUP(E4376,dicionario!$A$1:$C4775,3,0)</f>
        <v>saúva</v>
      </c>
    </row>
    <row r="4377">
      <c r="A4377" s="3">
        <v>45666.0</v>
      </c>
      <c r="B4377" s="4">
        <v>0.26944444444444443</v>
      </c>
      <c r="C4377" s="5" t="s">
        <v>85</v>
      </c>
      <c r="D4377" s="5" t="s">
        <v>1044</v>
      </c>
      <c r="E4377" s="8" t="s">
        <v>191</v>
      </c>
      <c r="F4377" s="5" t="s">
        <v>192</v>
      </c>
      <c r="G4377" s="6" t="str">
        <f>VLOOKUP(E4377,dicionario!$A$1:$C4776,2,0)</f>
        <v>Patagioenas picazuro</v>
      </c>
      <c r="H4377" s="6" t="str">
        <f>VLOOKUP(E4377,dicionario!$A$1:$C4776,3,0)</f>
        <v>asa-branca; pomba-asa-branca; pocaçu</v>
      </c>
    </row>
    <row r="4378">
      <c r="A4378" s="3">
        <v>45666.0</v>
      </c>
      <c r="B4378" s="4">
        <v>0.26944444444444443</v>
      </c>
      <c r="C4378" s="5" t="s">
        <v>85</v>
      </c>
      <c r="D4378" s="5" t="s">
        <v>1044</v>
      </c>
      <c r="E4378" s="8" t="s">
        <v>38</v>
      </c>
      <c r="F4378" s="5" t="s">
        <v>39</v>
      </c>
      <c r="G4378" s="6" t="str">
        <f>VLOOKUP(E4378,dicionario!$A$1:$C4777,2,0)</f>
        <v>Troglodytes musculus</v>
      </c>
      <c r="H4378" s="6" t="str">
        <f>VLOOKUP(E4378,dicionario!$A$1:$C4777,3,0)</f>
        <v>curruíra</v>
      </c>
    </row>
    <row r="4379">
      <c r="A4379" s="3">
        <v>45666.0</v>
      </c>
      <c r="B4379" s="4">
        <v>0.26944444444444443</v>
      </c>
      <c r="C4379" s="5" t="s">
        <v>85</v>
      </c>
      <c r="D4379" s="5" t="s">
        <v>1044</v>
      </c>
      <c r="E4379" s="8" t="s">
        <v>481</v>
      </c>
      <c r="F4379" s="5" t="s">
        <v>482</v>
      </c>
      <c r="G4379" s="6" t="str">
        <f>VLOOKUP(E4379,dicionario!$A$1:$C4778,2,0)</f>
        <v>Camptostoma obsoletum</v>
      </c>
      <c r="H4379" s="6" t="str">
        <f>VLOOKUP(E4379,dicionario!$A$1:$C4778,3,0)</f>
        <v>risadinha</v>
      </c>
    </row>
    <row r="4380">
      <c r="A4380" s="3">
        <v>45666.0</v>
      </c>
      <c r="B4380" s="4">
        <v>0.26944444444444443</v>
      </c>
      <c r="C4380" s="5" t="s">
        <v>85</v>
      </c>
      <c r="D4380" s="5" t="s">
        <v>1044</v>
      </c>
      <c r="E4380" s="8" t="s">
        <v>177</v>
      </c>
      <c r="F4380" s="5" t="s">
        <v>178</v>
      </c>
      <c r="G4380" s="6" t="str">
        <f>VLOOKUP(E4380,dicionario!$A$1:$C4779,2,0)</f>
        <v>Elaenia flavogaster</v>
      </c>
      <c r="H4380" s="6" t="str">
        <f>VLOOKUP(E4380,dicionario!$A$1:$C4779,3,0)</f>
        <v>guaracava-de-barriga-amarela</v>
      </c>
    </row>
    <row r="4381">
      <c r="A4381" s="3">
        <v>45666.0</v>
      </c>
      <c r="B4381" s="4">
        <v>0.26944444444444443</v>
      </c>
      <c r="C4381" s="5" t="s">
        <v>85</v>
      </c>
      <c r="D4381" s="5" t="s">
        <v>1044</v>
      </c>
      <c r="E4381" s="8" t="s">
        <v>229</v>
      </c>
      <c r="F4381" s="5" t="s">
        <v>230</v>
      </c>
      <c r="G4381" s="6" t="str">
        <f>VLOOKUP(E4381,dicionario!$A$1:$C4780,2,0)</f>
        <v>Apis mellifera</v>
      </c>
      <c r="H4381" s="6" t="str">
        <f>VLOOKUP(E4381,dicionario!$A$1:$C4780,3,0)</f>
        <v>abelha-do-mel</v>
      </c>
    </row>
    <row r="4382">
      <c r="A4382" s="3">
        <v>45666.0</v>
      </c>
      <c r="B4382" s="4">
        <v>0.2701388888888889</v>
      </c>
      <c r="C4382" s="5" t="s">
        <v>85</v>
      </c>
      <c r="D4382" s="5" t="s">
        <v>1044</v>
      </c>
      <c r="E4382" s="8" t="s">
        <v>631</v>
      </c>
      <c r="F4382" s="5" t="s">
        <v>632</v>
      </c>
      <c r="G4382" s="6" t="str">
        <f>VLOOKUP(E4382,dicionario!$A$1:$C4781,2,0)</f>
        <v>Chamaecrista nictitans</v>
      </c>
      <c r="H4382" s="6" t="str">
        <f>VLOOKUP(E4382,dicionario!$A$1:$C4781,3,0)</f>
        <v>falsa-dormideira</v>
      </c>
    </row>
    <row r="4383">
      <c r="A4383" s="3">
        <v>45666.0</v>
      </c>
      <c r="B4383" s="4">
        <v>0.2701388888888889</v>
      </c>
      <c r="C4383" s="5" t="s">
        <v>85</v>
      </c>
      <c r="D4383" s="5" t="s">
        <v>1044</v>
      </c>
      <c r="E4383" s="8" t="s">
        <v>498</v>
      </c>
      <c r="F4383" s="5" t="s">
        <v>499</v>
      </c>
      <c r="G4383" s="6" t="str">
        <f>VLOOKUP(E4383,dicionario!$A$1:$C4782,2,0)</f>
        <v>Brachiaria decumbens</v>
      </c>
      <c r="H4383" s="6" t="str">
        <f>VLOOKUP(E4383,dicionario!$A$1:$C4782,3,0)</f>
        <v>capim-braquiária</v>
      </c>
    </row>
    <row r="4384">
      <c r="A4384" s="3">
        <v>45666.0</v>
      </c>
      <c r="B4384" s="4">
        <v>0.2701388888888889</v>
      </c>
      <c r="C4384" s="5" t="s">
        <v>85</v>
      </c>
      <c r="D4384" s="5" t="s">
        <v>1044</v>
      </c>
      <c r="E4384" s="8" t="s">
        <v>41</v>
      </c>
      <c r="F4384" s="5" t="s">
        <v>45</v>
      </c>
      <c r="G4384" s="6" t="str">
        <f>VLOOKUP(E4384,dicionario!$A$1:$C4783,2,0)</f>
        <v>Mimosa pudica</v>
      </c>
      <c r="H4384" s="6" t="str">
        <f>VLOOKUP(E4384,dicionario!$A$1:$C4783,3,0)</f>
        <v>dormideira</v>
      </c>
    </row>
    <row r="4385">
      <c r="A4385" s="3">
        <v>45666.0</v>
      </c>
      <c r="B4385" s="4">
        <v>0.2701388888888889</v>
      </c>
      <c r="C4385" s="5" t="s">
        <v>85</v>
      </c>
      <c r="D4385" s="5" t="s">
        <v>1044</v>
      </c>
      <c r="E4385" s="8" t="s">
        <v>1052</v>
      </c>
      <c r="F4385" s="5" t="s">
        <v>1053</v>
      </c>
      <c r="G4385" s="6" t="str">
        <f>VLOOKUP(E4385,dicionario!$A$1:$C4784,2,0)</f>
        <v>#N/A</v>
      </c>
      <c r="H4385" s="6" t="str">
        <f>VLOOKUP(E4385,dicionario!$A$1:$C4784,3,0)</f>
        <v>#N/A</v>
      </c>
    </row>
    <row r="4386">
      <c r="A4386" s="3">
        <v>45666.0</v>
      </c>
      <c r="B4386" s="4">
        <v>0.2708333333333333</v>
      </c>
      <c r="C4386" s="5" t="s">
        <v>85</v>
      </c>
      <c r="D4386" s="5" t="s">
        <v>1044</v>
      </c>
      <c r="E4386" s="8" t="s">
        <v>91</v>
      </c>
      <c r="F4386" s="5" t="s">
        <v>92</v>
      </c>
      <c r="G4386" s="6" t="str">
        <f>VLOOKUP(E4386,dicionario!$A$1:$C4785,2,0)</f>
        <v>Picumnus cirratus</v>
      </c>
      <c r="H4386" s="6" t="str">
        <f>VLOOKUP(E4386,dicionario!$A$1:$C4785,3,0)</f>
        <v>picapauzinho-barrado</v>
      </c>
    </row>
    <row r="4387">
      <c r="A4387" s="3">
        <v>45666.0</v>
      </c>
      <c r="B4387" s="4">
        <v>0.2708333333333333</v>
      </c>
      <c r="C4387" s="5" t="s">
        <v>85</v>
      </c>
      <c r="D4387" s="5" t="s">
        <v>1044</v>
      </c>
      <c r="E4387" s="8" t="s">
        <v>296</v>
      </c>
      <c r="F4387" s="5" t="s">
        <v>297</v>
      </c>
      <c r="G4387" s="6" t="str">
        <f>VLOOKUP(E4387,dicionario!$A$1:$C4786,2,0)</f>
        <v>Richardia brasiliensis</v>
      </c>
      <c r="H4387" s="6" t="str">
        <f>VLOOKUP(E4387,dicionario!$A$1:$C4786,3,0)</f>
        <v>poaia-branca</v>
      </c>
    </row>
    <row r="4388">
      <c r="A4388" s="3">
        <v>45666.0</v>
      </c>
      <c r="B4388" s="4">
        <v>0.2708333333333333</v>
      </c>
      <c r="C4388" s="5" t="s">
        <v>85</v>
      </c>
      <c r="D4388" s="5" t="s">
        <v>1044</v>
      </c>
      <c r="E4388" s="8" t="s">
        <v>225</v>
      </c>
      <c r="F4388" s="5" t="s">
        <v>226</v>
      </c>
      <c r="G4388" s="6" t="str">
        <f>VLOOKUP(E4388,dicionario!$A$1:$C4787,2,0)</f>
        <v>Passer domesticus</v>
      </c>
      <c r="H4388" s="6" t="str">
        <f>VLOOKUP(E4388,dicionario!$A$1:$C4787,3,0)</f>
        <v>pardal</v>
      </c>
    </row>
    <row r="4389">
      <c r="A4389" s="3">
        <v>45666.0</v>
      </c>
      <c r="B4389" s="4">
        <v>0.27152777777777776</v>
      </c>
      <c r="C4389" s="5" t="s">
        <v>85</v>
      </c>
      <c r="D4389" s="5" t="s">
        <v>1044</v>
      </c>
      <c r="E4389" s="8" t="s">
        <v>109</v>
      </c>
      <c r="F4389" s="5" t="s">
        <v>110</v>
      </c>
      <c r="G4389" s="6" t="str">
        <f>VLOOKUP(E4389,dicionario!$A$1:$C4788,2,0)</f>
        <v>Tillandsia stricta</v>
      </c>
      <c r="H4389" s="6" t="str">
        <f>VLOOKUP(E4389,dicionario!$A$1:$C4788,3,0)</f>
        <v>cravo-do-mato</v>
      </c>
    </row>
    <row r="4390">
      <c r="A4390" s="3">
        <v>45666.0</v>
      </c>
      <c r="B4390" s="4">
        <v>0.27152777777777776</v>
      </c>
      <c r="C4390" s="5" t="s">
        <v>85</v>
      </c>
      <c r="D4390" s="5" t="s">
        <v>1044</v>
      </c>
      <c r="E4390" s="8" t="s">
        <v>712</v>
      </c>
      <c r="F4390" s="5" t="s">
        <v>1006</v>
      </c>
      <c r="G4390" s="6" t="str">
        <f>VLOOKUP(E4390,dicionario!$A$1:$C4789,2,0)</f>
        <v>Flavopunctelia soredica</v>
      </c>
      <c r="H4390" s="6" t="str">
        <f>VLOOKUP(E4390,dicionario!$A$1:$C4789,3,0)</f>
        <v>líquen-folioso</v>
      </c>
    </row>
    <row r="4391">
      <c r="A4391" s="3">
        <v>45666.0</v>
      </c>
      <c r="B4391" s="4">
        <v>0.27152777777777776</v>
      </c>
      <c r="C4391" s="5" t="s">
        <v>85</v>
      </c>
      <c r="D4391" s="5" t="s">
        <v>1044</v>
      </c>
      <c r="E4391" s="8" t="s">
        <v>517</v>
      </c>
      <c r="F4391" s="7" t="s">
        <v>518</v>
      </c>
      <c r="G4391" s="6" t="str">
        <f>VLOOKUP(E4391,dicionario!$A$1:$C4790,2,0)</f>
        <v>Evolvulus nummularius</v>
      </c>
      <c r="H4391" s="6" t="str">
        <f>VLOOKUP(E4391,dicionario!$A$1:$C4790,3,0)</f>
        <v/>
      </c>
    </row>
    <row r="4392">
      <c r="A4392" s="3">
        <v>45666.0</v>
      </c>
      <c r="B4392" s="4">
        <v>0.27152777777777776</v>
      </c>
      <c r="C4392" s="5" t="s">
        <v>85</v>
      </c>
      <c r="D4392" s="5" t="s">
        <v>1044</v>
      </c>
      <c r="E4392" s="8" t="s">
        <v>286</v>
      </c>
      <c r="F4392" s="5" t="s">
        <v>287</v>
      </c>
      <c r="G4392" s="6" t="str">
        <f>VLOOKUP(E4392,dicionario!$A$1:$C4791,2,0)</f>
        <v>Setaria parviflora</v>
      </c>
      <c r="H4392" s="6" t="str">
        <f>VLOOKUP(E4392,dicionario!$A$1:$C4791,3,0)</f>
        <v>capim-rabo-de-raposa</v>
      </c>
    </row>
    <row r="4393">
      <c r="A4393" s="3">
        <v>45666.0</v>
      </c>
      <c r="B4393" s="4">
        <v>0.27152777777777776</v>
      </c>
      <c r="C4393" s="5" t="s">
        <v>85</v>
      </c>
      <c r="D4393" s="5" t="s">
        <v>1044</v>
      </c>
      <c r="E4393" s="8" t="s">
        <v>20</v>
      </c>
      <c r="F4393" s="7" t="s">
        <v>21</v>
      </c>
      <c r="G4393" s="6" t="str">
        <f>VLOOKUP(E4393,dicionario!$A$1:$C4792,2,0)</f>
        <v>Sicalis flaveola</v>
      </c>
      <c r="H4393" s="6" t="str">
        <f>VLOOKUP(E4393,dicionario!$A$1:$C4792,3,0)</f>
        <v>canário-da-terra</v>
      </c>
    </row>
    <row r="4394">
      <c r="A4394" s="3">
        <v>45666.0</v>
      </c>
      <c r="B4394" s="4">
        <v>0.27152777777777776</v>
      </c>
      <c r="C4394" s="5" t="s">
        <v>85</v>
      </c>
      <c r="D4394" s="5" t="s">
        <v>1044</v>
      </c>
      <c r="E4394" s="8" t="s">
        <v>88</v>
      </c>
      <c r="F4394" s="5" t="s">
        <v>924</v>
      </c>
      <c r="G4394" s="6" t="str">
        <f>VLOOKUP(E4394,dicionario!$A$1:$C4793,2,0)</f>
        <v>Tyrannus melancolichus</v>
      </c>
      <c r="H4394" s="6" t="str">
        <f>VLOOKUP(E4394,dicionario!$A$1:$C4793,3,0)</f>
        <v>suiriri</v>
      </c>
    </row>
    <row r="4395">
      <c r="A4395" s="3">
        <v>45666.0</v>
      </c>
      <c r="B4395" s="4">
        <v>0.27152777777777776</v>
      </c>
      <c r="C4395" s="5" t="s">
        <v>85</v>
      </c>
      <c r="D4395" s="5" t="s">
        <v>1044</v>
      </c>
      <c r="E4395" s="8" t="s">
        <v>399</v>
      </c>
      <c r="F4395" s="5" t="s">
        <v>400</v>
      </c>
      <c r="G4395" s="6" t="str">
        <f>VLOOKUP(E4395,dicionario!$A$1:$C4794,2,0)</f>
        <v>Varronia curassavica</v>
      </c>
      <c r="H4395" s="6" t="str">
        <f>VLOOKUP(E4395,dicionario!$A$1:$C4794,3,0)</f>
        <v>erva-baleeira</v>
      </c>
    </row>
    <row r="4396">
      <c r="A4396" s="3">
        <v>45666.0</v>
      </c>
      <c r="B4396" s="4">
        <v>0.27152777777777776</v>
      </c>
      <c r="C4396" s="5" t="s">
        <v>85</v>
      </c>
      <c r="D4396" s="5" t="s">
        <v>1044</v>
      </c>
      <c r="E4396" s="8" t="s">
        <v>209</v>
      </c>
      <c r="F4396" s="5" t="s">
        <v>210</v>
      </c>
      <c r="G4396" s="6" t="str">
        <f>VLOOKUP(E4396,dicionario!$A$1:$C4795,2,0)</f>
        <v>Furnarius figulus</v>
      </c>
      <c r="H4396" s="6" t="str">
        <f>VLOOKUP(E4396,dicionario!$A$1:$C4795,3,0)</f>
        <v>casaca-de-couro-da-lama</v>
      </c>
    </row>
    <row r="4397">
      <c r="A4397" s="3">
        <v>45666.0</v>
      </c>
      <c r="B4397" s="4">
        <v>0.27152777777777776</v>
      </c>
      <c r="C4397" s="5" t="s">
        <v>85</v>
      </c>
      <c r="D4397" s="5" t="s">
        <v>1044</v>
      </c>
      <c r="E4397" s="8" t="s">
        <v>55</v>
      </c>
      <c r="F4397" s="5" t="s">
        <v>56</v>
      </c>
      <c r="G4397" s="6" t="str">
        <f>VLOOKUP(E4397,dicionario!$A$1:$C4796,2,0)</f>
        <v>Cubaris murina</v>
      </c>
      <c r="H4397" s="6" t="str">
        <f>VLOOKUP(E4397,dicionario!$A$1:$C4796,3,0)</f>
        <v>tatuzinho-de-jardim</v>
      </c>
    </row>
    <row r="4398">
      <c r="A4398" s="3">
        <v>45666.0</v>
      </c>
      <c r="B4398" s="4">
        <v>0.2722222222222222</v>
      </c>
      <c r="C4398" s="5" t="s">
        <v>85</v>
      </c>
      <c r="D4398" s="5" t="s">
        <v>1044</v>
      </c>
      <c r="E4398" s="8" t="s">
        <v>247</v>
      </c>
      <c r="F4398" s="5" t="s">
        <v>1054</v>
      </c>
      <c r="G4398" s="6" t="str">
        <f>VLOOKUP(E4398,dicionario!$A$1:$C4797,2,0)</f>
        <v>Emilia sonchifolia</v>
      </c>
      <c r="H4398" s="6" t="str">
        <f>VLOOKUP(E4398,dicionario!$A$1:$C4797,3,0)</f>
        <v>serralinha</v>
      </c>
    </row>
    <row r="4399">
      <c r="A4399" s="3">
        <v>45666.0</v>
      </c>
      <c r="B4399" s="4">
        <v>0.2722222222222222</v>
      </c>
      <c r="C4399" s="5" t="s">
        <v>85</v>
      </c>
      <c r="D4399" s="5" t="s">
        <v>1044</v>
      </c>
      <c r="E4399" s="8" t="s">
        <v>46</v>
      </c>
      <c r="F4399" s="5" t="s">
        <v>47</v>
      </c>
      <c r="G4399" s="6" t="str">
        <f>VLOOKUP(E4399,dicionario!$A$1:$C4798,2,0)</f>
        <v>Chionomesa fimbriata</v>
      </c>
      <c r="H4399" s="6" t="str">
        <f>VLOOKUP(E4399,dicionario!$A$1:$C4798,3,0)</f>
        <v>beija-flor-de-garganta-verde</v>
      </c>
    </row>
    <row r="4400">
      <c r="A4400" s="3">
        <v>45666.0</v>
      </c>
      <c r="B4400" s="4">
        <v>0.2722222222222222</v>
      </c>
      <c r="C4400" s="5" t="s">
        <v>85</v>
      </c>
      <c r="D4400" s="5" t="s">
        <v>1044</v>
      </c>
      <c r="E4400" s="8" t="s">
        <v>65</v>
      </c>
      <c r="F4400" s="5" t="s">
        <v>66</v>
      </c>
      <c r="G4400" s="6" t="str">
        <f>VLOOKUP(E4400,dicionario!$A$1:$C4799,2,0)</f>
        <v>Pitangus sulphutarus</v>
      </c>
      <c r="H4400" s="6" t="str">
        <f>VLOOKUP(E4400,dicionario!$A$1:$C4799,3,0)</f>
        <v>bem-te-vi</v>
      </c>
    </row>
    <row r="4401">
      <c r="A4401" s="3">
        <v>45666.0</v>
      </c>
      <c r="B4401" s="4">
        <v>0.2722222222222222</v>
      </c>
      <c r="C4401" s="5" t="s">
        <v>85</v>
      </c>
      <c r="D4401" s="5" t="s">
        <v>1044</v>
      </c>
      <c r="E4401" s="8" t="s">
        <v>821</v>
      </c>
      <c r="F4401" s="5" t="s">
        <v>876</v>
      </c>
      <c r="G4401" s="6" t="str">
        <f>VLOOKUP(E4401,dicionario!$A$1:$C4800,2,0)</f>
        <v>Schefflera actinophylla</v>
      </c>
      <c r="H4401" s="6" t="str">
        <f>VLOOKUP(E4401,dicionario!$A$1:$C4800,3,0)</f>
        <v>árvore-guarda-chuva</v>
      </c>
    </row>
    <row r="4402">
      <c r="A4402" s="3">
        <v>45666.0</v>
      </c>
      <c r="B4402" s="4">
        <v>0.27291666666666664</v>
      </c>
      <c r="C4402" s="5" t="s">
        <v>85</v>
      </c>
      <c r="D4402" s="5" t="s">
        <v>1044</v>
      </c>
      <c r="E4402" s="8" t="s">
        <v>171</v>
      </c>
      <c r="F4402" s="5" t="s">
        <v>172</v>
      </c>
      <c r="G4402" s="6" t="str">
        <f>VLOOKUP(E4402,dicionario!$A$1:$C4801,2,0)</f>
        <v>Oxalis corniculata</v>
      </c>
      <c r="H4402" s="6" t="str">
        <f>VLOOKUP(E4402,dicionario!$A$1:$C4801,3,0)</f>
        <v>trevo-azedinho</v>
      </c>
    </row>
    <row r="4403">
      <c r="A4403" s="3">
        <v>45666.0</v>
      </c>
      <c r="B4403" s="4">
        <v>0.27291666666666664</v>
      </c>
      <c r="C4403" s="5" t="s">
        <v>85</v>
      </c>
      <c r="D4403" s="5" t="s">
        <v>1044</v>
      </c>
      <c r="E4403" s="8" t="s">
        <v>271</v>
      </c>
      <c r="F4403" s="7" t="s">
        <v>272</v>
      </c>
      <c r="G4403" s="6" t="str">
        <f>VLOOKUP(E4403,dicionario!$A$1:$C4802,2,0)</f>
        <v>Cyanthillium cinereum</v>
      </c>
      <c r="H4403" s="6" t="str">
        <f>VLOOKUP(E4403,dicionario!$A$1:$C4802,3,0)</f>
        <v>emília</v>
      </c>
    </row>
    <row r="4404">
      <c r="A4404" s="3">
        <v>45666.0</v>
      </c>
      <c r="B4404" s="4">
        <v>0.27361111111111114</v>
      </c>
      <c r="C4404" s="5" t="s">
        <v>85</v>
      </c>
      <c r="D4404" s="5" t="s">
        <v>1044</v>
      </c>
      <c r="E4404" s="8" t="s">
        <v>966</v>
      </c>
      <c r="F4404" s="5" t="s">
        <v>967</v>
      </c>
      <c r="G4404" s="6" t="str">
        <f>VLOOKUP(E4404,dicionario!$A$1:$C4803,2,0)</f>
        <v>Portulaca halimoides</v>
      </c>
      <c r="H4404" s="6" t="str">
        <f>VLOOKUP(E4404,dicionario!$A$1:$C4803,3,0)</f>
        <v>beldroega-de-seda</v>
      </c>
    </row>
    <row r="4405">
      <c r="A4405" s="3">
        <v>45666.0</v>
      </c>
      <c r="B4405" s="4">
        <v>0.27361111111111114</v>
      </c>
      <c r="C4405" s="5" t="s">
        <v>85</v>
      </c>
      <c r="D4405" s="5" t="s">
        <v>1044</v>
      </c>
      <c r="E4405" s="8" t="s">
        <v>51</v>
      </c>
      <c r="F4405" s="5" t="s">
        <v>77</v>
      </c>
      <c r="G4405" s="6" t="str">
        <f>VLOOKUP(E4405,dicionario!$A$1:$C4804,2,0)</f>
        <v>Solenopsis</v>
      </c>
      <c r="H4405" s="6" t="str">
        <f>VLOOKUP(E4405,dicionario!$A$1:$C4804,3,0)</f>
        <v>formiga-quente; formiga-lava-pés; formiga-de-fogo</v>
      </c>
    </row>
    <row r="4406">
      <c r="A4406" s="3">
        <v>45666.0</v>
      </c>
      <c r="B4406" s="4">
        <v>0.27361111111111114</v>
      </c>
      <c r="C4406" s="5" t="s">
        <v>85</v>
      </c>
      <c r="D4406" s="5" t="s">
        <v>1044</v>
      </c>
      <c r="E4406" s="8" t="s">
        <v>227</v>
      </c>
      <c r="F4406" s="5" t="s">
        <v>733</v>
      </c>
      <c r="G4406" s="6" t="str">
        <f>VLOOKUP(E4406,dicionario!$A$1:$C4805,2,0)</f>
        <v>Indigofera hirsuta</v>
      </c>
      <c r="H4406" s="6" t="str">
        <f>VLOOKUP(E4406,dicionario!$A$1:$C4805,3,0)</f>
        <v>anileira</v>
      </c>
    </row>
    <row r="4407">
      <c r="A4407" s="3">
        <v>45666.0</v>
      </c>
      <c r="B4407" s="4">
        <v>0.2743055555555556</v>
      </c>
      <c r="C4407" s="5" t="s">
        <v>85</v>
      </c>
      <c r="D4407" s="5" t="s">
        <v>1044</v>
      </c>
      <c r="E4407" s="8" t="s">
        <v>555</v>
      </c>
      <c r="F4407" s="7" t="s">
        <v>556</v>
      </c>
      <c r="G4407" s="6" t="str">
        <f>VLOOKUP(E4407,dicionario!$A$1:$C4806,2,0)</f>
        <v>Talinum paniculatum</v>
      </c>
      <c r="H4407" s="6" t="str">
        <f>VLOOKUP(E4407,dicionario!$A$1:$C4806,3,0)</f>
        <v>beldroegão</v>
      </c>
    </row>
    <row r="4408">
      <c r="A4408" s="3">
        <v>45666.0</v>
      </c>
      <c r="B4408" s="4">
        <v>0.2743055555555556</v>
      </c>
      <c r="C4408" s="5" t="s">
        <v>85</v>
      </c>
      <c r="D4408" s="5" t="s">
        <v>1044</v>
      </c>
      <c r="E4408" s="8" t="s">
        <v>1055</v>
      </c>
      <c r="F4408" s="5" t="s">
        <v>35</v>
      </c>
      <c r="G4408" s="6" t="str">
        <f>VLOOKUP(E4408,dicionario!$A$1:$C4807,2,0)</f>
        <v>#N/A</v>
      </c>
      <c r="H4408" s="6" t="str">
        <f>VLOOKUP(E4408,dicionario!$A$1:$C4807,3,0)</f>
        <v>#N/A</v>
      </c>
    </row>
    <row r="4409">
      <c r="A4409" s="3">
        <v>45666.0</v>
      </c>
      <c r="B4409" s="4">
        <v>0.2743055555555556</v>
      </c>
      <c r="C4409" s="5" t="s">
        <v>85</v>
      </c>
      <c r="D4409" s="5" t="s">
        <v>1044</v>
      </c>
      <c r="E4409" s="6" t="s">
        <v>448</v>
      </c>
      <c r="F4409" s="5" t="s">
        <v>462</v>
      </c>
      <c r="G4409" s="6" t="str">
        <f>VLOOKUP(E4409,dicionario!$A$1:$C4808,2,0)</f>
        <v>Mechanitis polymnia</v>
      </c>
      <c r="H4409" s="6" t="str">
        <f>VLOOKUP(E4409,dicionario!$A$1:$C4808,3,0)</f>
        <v>maria-boba</v>
      </c>
    </row>
    <row r="4410">
      <c r="A4410" s="3">
        <v>45666.0</v>
      </c>
      <c r="B4410" s="4">
        <v>0.275</v>
      </c>
      <c r="C4410" s="5" t="s">
        <v>85</v>
      </c>
      <c r="D4410" s="5" t="s">
        <v>1044</v>
      </c>
      <c r="E4410" s="8" t="s">
        <v>41</v>
      </c>
      <c r="F4410" s="5" t="s">
        <v>45</v>
      </c>
      <c r="G4410" s="6" t="str">
        <f>VLOOKUP(E4410,dicionario!$A$1:$C4809,2,0)</f>
        <v>Mimosa pudica</v>
      </c>
      <c r="H4410" s="6" t="str">
        <f>VLOOKUP(E4410,dicionario!$A$1:$C4809,3,0)</f>
        <v>dormideira</v>
      </c>
    </row>
    <row r="4411">
      <c r="A4411" s="3">
        <v>45666.0</v>
      </c>
      <c r="B4411" s="4">
        <v>0.27569444444444446</v>
      </c>
      <c r="C4411" s="5" t="s">
        <v>85</v>
      </c>
      <c r="D4411" s="5" t="s">
        <v>1044</v>
      </c>
      <c r="E4411" s="8" t="s">
        <v>286</v>
      </c>
      <c r="F4411" s="5" t="s">
        <v>287</v>
      </c>
      <c r="G4411" s="6" t="str">
        <f>VLOOKUP(E4411,dicionario!$A$1:$C4810,2,0)</f>
        <v>Setaria parviflora</v>
      </c>
      <c r="H4411" s="6" t="str">
        <f>VLOOKUP(E4411,dicionario!$A$1:$C4810,3,0)</f>
        <v>capim-rabo-de-raposa</v>
      </c>
    </row>
    <row r="4412">
      <c r="A4412" s="3">
        <v>45666.0</v>
      </c>
      <c r="B4412" s="4">
        <v>0.2763888888888889</v>
      </c>
      <c r="C4412" s="5" t="s">
        <v>85</v>
      </c>
      <c r="D4412" s="5" t="s">
        <v>1044</v>
      </c>
      <c r="E4412" s="8" t="s">
        <v>319</v>
      </c>
      <c r="F4412" s="5" t="s">
        <v>320</v>
      </c>
      <c r="G4412" s="6" t="str">
        <f>VLOOKUP(E4412,dicionario!$A$1:$C4811,2,0)</f>
        <v>Schinus terebinthifolia</v>
      </c>
      <c r="H4412" s="6" t="str">
        <f>VLOOKUP(E4412,dicionario!$A$1:$C4811,3,0)</f>
        <v>aroeira</v>
      </c>
    </row>
    <row r="4413">
      <c r="A4413" s="3">
        <v>45666.0</v>
      </c>
      <c r="B4413" s="4">
        <v>0.2763888888888889</v>
      </c>
      <c r="C4413" s="5" t="s">
        <v>85</v>
      </c>
      <c r="D4413" s="5" t="s">
        <v>1044</v>
      </c>
      <c r="E4413" s="8" t="s">
        <v>858</v>
      </c>
      <c r="F4413" s="5" t="s">
        <v>1051</v>
      </c>
      <c r="G4413" s="6" t="str">
        <f>VLOOKUP(E4413,dicionario!$A$1:$C4812,2,0)</f>
        <v>Rumex obtusifolius</v>
      </c>
      <c r="H4413" s="6" t="str">
        <f>VLOOKUP(E4413,dicionario!$A$1:$C4812,3,0)</f>
        <v>lingua-de-vaca</v>
      </c>
    </row>
    <row r="4414">
      <c r="A4414" s="3">
        <v>45666.0</v>
      </c>
      <c r="B4414" s="4">
        <v>0.2763888888888889</v>
      </c>
      <c r="C4414" s="5" t="s">
        <v>85</v>
      </c>
      <c r="D4414" s="5" t="s">
        <v>1044</v>
      </c>
      <c r="E4414" s="20" t="s">
        <v>676</v>
      </c>
      <c r="F4414" s="7" t="s">
        <v>677</v>
      </c>
      <c r="G4414" s="6" t="str">
        <f>VLOOKUP(E4414,dicionario!$A$1:$C4813,2,0)</f>
        <v>Zornia latifolia</v>
      </c>
      <c r="H4414" s="6" t="str">
        <f>VLOOKUP(E4414,dicionario!$A$1:$C4813,3,0)</f>
        <v>arrozinho-do-campo</v>
      </c>
    </row>
    <row r="4415">
      <c r="A4415" s="3">
        <v>45666.0</v>
      </c>
      <c r="B4415" s="4">
        <v>0.2791666666666667</v>
      </c>
      <c r="C4415" s="5" t="s">
        <v>76</v>
      </c>
      <c r="D4415" s="5" t="s">
        <v>1044</v>
      </c>
      <c r="E4415" s="8" t="s">
        <v>353</v>
      </c>
      <c r="F4415" s="5" t="s">
        <v>354</v>
      </c>
      <c r="G4415" s="6" t="str">
        <f>VLOOKUP(E4415,dicionario!$A$1:$C4814,2,0)</f>
        <v>Desmodium incanum</v>
      </c>
      <c r="H4415" s="6" t="str">
        <f>VLOOKUP(E4415,dicionario!$A$1:$C4814,3,0)</f>
        <v>pega-pega</v>
      </c>
    </row>
    <row r="4416">
      <c r="A4416" s="3">
        <v>45666.0</v>
      </c>
      <c r="B4416" s="4">
        <v>0.2791666666666667</v>
      </c>
      <c r="C4416" s="5" t="s">
        <v>76</v>
      </c>
      <c r="D4416" s="5" t="s">
        <v>1044</v>
      </c>
      <c r="E4416" s="8" t="s">
        <v>560</v>
      </c>
      <c r="F4416" s="5" t="s">
        <v>561</v>
      </c>
      <c r="G4416" s="6" t="str">
        <f>VLOOKUP(E4416,dicionario!$A$1:$C4815,2,0)</f>
        <v>Megarynchus pitangua</v>
      </c>
      <c r="H4416" s="6" t="str">
        <f>VLOOKUP(E4416,dicionario!$A$1:$C4815,3,0)</f>
        <v>neinei</v>
      </c>
    </row>
    <row r="4417">
      <c r="A4417" s="3">
        <v>45666.0</v>
      </c>
      <c r="B4417" s="4">
        <v>0.2791666666666667</v>
      </c>
      <c r="C4417" s="5" t="s">
        <v>76</v>
      </c>
      <c r="D4417" s="5" t="s">
        <v>1044</v>
      </c>
      <c r="E4417" s="8" t="s">
        <v>535</v>
      </c>
      <c r="F4417" s="5" t="s">
        <v>901</v>
      </c>
      <c r="G4417" s="6" t="str">
        <f>VLOOKUP(E4417,dicionario!$A$1:$C4816,2,0)</f>
        <v>Odonata</v>
      </c>
      <c r="H4417" s="6" t="str">
        <f>VLOOKUP(E4417,dicionario!$A$1:$C4816,3,0)</f>
        <v>libélula</v>
      </c>
    </row>
    <row r="4418">
      <c r="A4418" s="3">
        <v>45666.0</v>
      </c>
      <c r="B4418" s="4">
        <v>0.2791666666666667</v>
      </c>
      <c r="C4418" s="5" t="s">
        <v>76</v>
      </c>
      <c r="D4418" s="5" t="s">
        <v>1044</v>
      </c>
      <c r="E4418" s="8" t="s">
        <v>74</v>
      </c>
      <c r="F4418" s="5" t="s">
        <v>75</v>
      </c>
      <c r="G4418" s="6" t="str">
        <f>VLOOKUP(E4418,dicionario!$A$1:$C4817,2,0)</f>
        <v>Crotophaga ani</v>
      </c>
      <c r="H4418" s="6" t="str">
        <f>VLOOKUP(E4418,dicionario!$A$1:$C4817,3,0)</f>
        <v>anu-preto</v>
      </c>
    </row>
    <row r="4419">
      <c r="A4419" s="3">
        <v>45666.0</v>
      </c>
      <c r="B4419" s="4">
        <v>0.2791666666666667</v>
      </c>
      <c r="C4419" s="5" t="s">
        <v>76</v>
      </c>
      <c r="D4419" s="5" t="s">
        <v>1044</v>
      </c>
      <c r="E4419" s="8" t="s">
        <v>88</v>
      </c>
      <c r="F4419" s="5" t="s">
        <v>89</v>
      </c>
      <c r="G4419" s="6" t="str">
        <f>VLOOKUP(E4419,dicionario!$A$1:$C4818,2,0)</f>
        <v>Tyrannus melancolichus</v>
      </c>
      <c r="H4419" s="6" t="str">
        <f>VLOOKUP(E4419,dicionario!$A$1:$C4818,3,0)</f>
        <v>suiriri</v>
      </c>
    </row>
    <row r="4420">
      <c r="A4420" s="3">
        <v>45666.0</v>
      </c>
      <c r="B4420" s="4">
        <v>0.2791666666666667</v>
      </c>
      <c r="C4420" s="5" t="s">
        <v>76</v>
      </c>
      <c r="D4420" s="5" t="s">
        <v>1044</v>
      </c>
      <c r="E4420" s="8" t="s">
        <v>135</v>
      </c>
      <c r="F4420" s="5" t="s">
        <v>136</v>
      </c>
      <c r="G4420" s="6" t="str">
        <f>VLOOKUP(E4420,dicionario!$A$1:$C4819,2,0)</f>
        <v>Tridax procumbens</v>
      </c>
      <c r="H4420" s="6" t="str">
        <f>VLOOKUP(E4420,dicionario!$A$1:$C4819,3,0)</f>
        <v>erva-de-touro</v>
      </c>
    </row>
    <row r="4421">
      <c r="A4421" s="3">
        <v>45666.0</v>
      </c>
      <c r="B4421" s="4">
        <v>0.2791666666666667</v>
      </c>
      <c r="C4421" s="5" t="s">
        <v>76</v>
      </c>
      <c r="D4421" s="5" t="s">
        <v>1044</v>
      </c>
      <c r="E4421" s="8" t="s">
        <v>355</v>
      </c>
      <c r="F4421" s="5" t="s">
        <v>356</v>
      </c>
      <c r="G4421" s="6" t="str">
        <f>VLOOKUP(E4421,dicionario!$A$1:$C4820,2,0)</f>
        <v>Boerhavia diffusa</v>
      </c>
      <c r="H4421" s="6" t="str">
        <f>VLOOKUP(E4421,dicionario!$A$1:$C4820,3,0)</f>
        <v>erva-tostão</v>
      </c>
    </row>
    <row r="4422">
      <c r="A4422" s="3">
        <v>45666.0</v>
      </c>
      <c r="B4422" s="4">
        <v>0.2791666666666667</v>
      </c>
      <c r="C4422" s="5" t="s">
        <v>76</v>
      </c>
      <c r="D4422" s="5" t="s">
        <v>1044</v>
      </c>
      <c r="E4422" s="8" t="s">
        <v>366</v>
      </c>
      <c r="F4422" s="5" t="s">
        <v>367</v>
      </c>
      <c r="G4422" s="6" t="str">
        <f>VLOOKUP(E4422,dicionario!$A$1:$C4821,2,0)</f>
        <v>Alternanthera ficoidea</v>
      </c>
      <c r="H4422" s="6" t="str">
        <f>VLOOKUP(E4422,dicionario!$A$1:$C4821,3,0)</f>
        <v>quebra-panela</v>
      </c>
    </row>
    <row r="4423">
      <c r="A4423" s="3">
        <v>45666.0</v>
      </c>
      <c r="B4423" s="4">
        <v>0.2798611111111111</v>
      </c>
      <c r="C4423" s="5" t="s">
        <v>76</v>
      </c>
      <c r="D4423" s="5" t="s">
        <v>1044</v>
      </c>
      <c r="E4423" s="8" t="s">
        <v>148</v>
      </c>
      <c r="F4423" s="5" t="s">
        <v>149</v>
      </c>
      <c r="G4423" s="6" t="str">
        <f>VLOOKUP(E4423,dicionario!$A$1:$C4822,2,0)</f>
        <v>Parthenium hysterophorus</v>
      </c>
      <c r="H4423" s="6" t="str">
        <f>VLOOKUP(E4423,dicionario!$A$1:$C4822,3,0)</f>
        <v>losna-branca</v>
      </c>
    </row>
    <row r="4424">
      <c r="A4424" s="3">
        <v>45666.0</v>
      </c>
      <c r="B4424" s="4">
        <v>0.2798611111111111</v>
      </c>
      <c r="C4424" s="5" t="s">
        <v>76</v>
      </c>
      <c r="D4424" s="5" t="s">
        <v>1044</v>
      </c>
      <c r="E4424" s="8" t="s">
        <v>296</v>
      </c>
      <c r="F4424" s="5" t="s">
        <v>297</v>
      </c>
      <c r="G4424" s="6" t="str">
        <f>VLOOKUP(E4424,dicionario!$A$1:$C4823,2,0)</f>
        <v>Richardia brasiliensis</v>
      </c>
      <c r="H4424" s="6" t="str">
        <f>VLOOKUP(E4424,dicionario!$A$1:$C4823,3,0)</f>
        <v>poaia-branca</v>
      </c>
    </row>
    <row r="4425">
      <c r="A4425" s="3">
        <v>45666.0</v>
      </c>
      <c r="B4425" s="4">
        <v>0.2798611111111111</v>
      </c>
      <c r="C4425" s="5" t="s">
        <v>76</v>
      </c>
      <c r="D4425" s="5" t="s">
        <v>1044</v>
      </c>
      <c r="E4425" s="8" t="s">
        <v>146</v>
      </c>
      <c r="F4425" s="5" t="s">
        <v>147</v>
      </c>
      <c r="G4425" s="6" t="str">
        <f>VLOOKUP(E4425,dicionario!$A$1:$C4824,2,0)</f>
        <v>Euphorbia hirta</v>
      </c>
      <c r="H4425" s="6" t="str">
        <f>VLOOKUP(E4425,dicionario!$A$1:$C4824,3,0)</f>
        <v>erva-de-santa-luzia</v>
      </c>
    </row>
    <row r="4426">
      <c r="A4426" s="3">
        <v>45666.0</v>
      </c>
      <c r="B4426" s="4">
        <v>0.2798611111111111</v>
      </c>
      <c r="C4426" s="5" t="s">
        <v>76</v>
      </c>
      <c r="D4426" s="5" t="s">
        <v>1044</v>
      </c>
      <c r="E4426" s="8" t="s">
        <v>154</v>
      </c>
      <c r="F4426" s="5" t="s">
        <v>155</v>
      </c>
      <c r="G4426" s="6" t="str">
        <f>VLOOKUP(E4426,dicionario!$A$1:$C4825,2,0)</f>
        <v>Cyperus rotundus</v>
      </c>
      <c r="H4426" s="6" t="str">
        <f>VLOOKUP(E4426,dicionario!$A$1:$C4825,3,0)</f>
        <v>tiririca</v>
      </c>
    </row>
    <row r="4427">
      <c r="A4427" s="3">
        <v>45666.0</v>
      </c>
      <c r="B4427" s="4">
        <v>0.2798611111111111</v>
      </c>
      <c r="C4427" s="5" t="s">
        <v>76</v>
      </c>
      <c r="D4427" s="5" t="s">
        <v>1044</v>
      </c>
      <c r="E4427" s="8" t="s">
        <v>239</v>
      </c>
      <c r="F4427" s="5" t="s">
        <v>240</v>
      </c>
      <c r="G4427" s="6" t="str">
        <f>VLOOKUP(E4427,dicionario!$A$1:$C4826,2,0)</f>
        <v>Gomphrena celosioides</v>
      </c>
      <c r="H4427" s="6" t="str">
        <f>VLOOKUP(E4427,dicionario!$A$1:$C4826,3,0)</f>
        <v>perpétua-branca</v>
      </c>
    </row>
    <row r="4428">
      <c r="A4428" s="3">
        <v>45666.0</v>
      </c>
      <c r="B4428" s="4">
        <v>0.2798611111111111</v>
      </c>
      <c r="C4428" s="5" t="s">
        <v>76</v>
      </c>
      <c r="D4428" s="5" t="s">
        <v>1044</v>
      </c>
      <c r="E4428" s="8" t="s">
        <v>247</v>
      </c>
      <c r="F4428" s="5" t="s">
        <v>387</v>
      </c>
      <c r="G4428" s="6" t="str">
        <f>VLOOKUP(E4428,dicionario!$A$1:$C4827,2,0)</f>
        <v>Emilia sonchifolia</v>
      </c>
      <c r="H4428" s="6" t="str">
        <f>VLOOKUP(E4428,dicionario!$A$1:$C4827,3,0)</f>
        <v>serralinha</v>
      </c>
    </row>
    <row r="4429">
      <c r="A4429" s="3">
        <v>45666.0</v>
      </c>
      <c r="B4429" s="4">
        <v>0.2798611111111111</v>
      </c>
      <c r="C4429" s="5" t="s">
        <v>76</v>
      </c>
      <c r="D4429" s="5" t="s">
        <v>1044</v>
      </c>
      <c r="E4429" s="8" t="s">
        <v>611</v>
      </c>
      <c r="F4429" s="5" t="s">
        <v>612</v>
      </c>
      <c r="G4429" s="6" t="str">
        <f>VLOOKUP(E4429,dicionario!$A$1:$C4828,2,0)</f>
        <v>Boehmeria cylindrica</v>
      </c>
      <c r="H4429" s="6" t="str">
        <f>VLOOKUP(E4429,dicionario!$A$1:$C4828,3,0)</f>
        <v>falsa-urtiga</v>
      </c>
    </row>
    <row r="4430">
      <c r="A4430" s="3">
        <v>45666.0</v>
      </c>
      <c r="B4430" s="4">
        <v>0.2798611111111111</v>
      </c>
      <c r="C4430" s="5" t="s">
        <v>76</v>
      </c>
      <c r="D4430" s="5" t="s">
        <v>1044</v>
      </c>
      <c r="E4430" s="8" t="s">
        <v>139</v>
      </c>
      <c r="F4430" s="5" t="s">
        <v>862</v>
      </c>
      <c r="G4430" s="6" t="str">
        <f>VLOOKUP(E4430,dicionario!$A$1:$C4829,2,0)</f>
        <v>Tropidurus torquatus</v>
      </c>
      <c r="H4430" s="6" t="str">
        <f>VLOOKUP(E4430,dicionario!$A$1:$C4829,3,0)</f>
        <v>calango; tropiduro-comum</v>
      </c>
    </row>
    <row r="4431">
      <c r="A4431" s="3">
        <v>45666.0</v>
      </c>
      <c r="B4431" s="4">
        <v>0.2798611111111111</v>
      </c>
      <c r="C4431" s="5" t="s">
        <v>76</v>
      </c>
      <c r="D4431" s="5" t="s">
        <v>1044</v>
      </c>
      <c r="E4431" s="8" t="s">
        <v>48</v>
      </c>
      <c r="F4431" s="5" t="s">
        <v>49</v>
      </c>
      <c r="G4431" s="6" t="str">
        <f>VLOOKUP(E4431,dicionario!$A$1:$C4830,2,0)</f>
        <v>Commelina erecta</v>
      </c>
      <c r="H4431" s="6" t="str">
        <f>VLOOKUP(E4431,dicionario!$A$1:$C4830,3,0)</f>
        <v>trapoeraba</v>
      </c>
    </row>
    <row r="4432">
      <c r="A4432" s="3">
        <v>45666.0</v>
      </c>
      <c r="B4432" s="4">
        <v>0.28055555555555556</v>
      </c>
      <c r="C4432" s="5" t="s">
        <v>76</v>
      </c>
      <c r="D4432" s="5" t="s">
        <v>1044</v>
      </c>
      <c r="E4432" s="8" t="s">
        <v>69</v>
      </c>
      <c r="F4432" s="7" t="s">
        <v>71</v>
      </c>
      <c r="G4432" s="6" t="str">
        <f>VLOOKUP(E4432,dicionario!$A$1:$C4831,2,0)</f>
        <v>Talinum fruticosum</v>
      </c>
      <c r="H4432" s="6" t="str">
        <f>VLOOKUP(E4432,dicionario!$A$1:$C4831,3,0)</f>
        <v>beldroega-grande</v>
      </c>
    </row>
    <row r="4433">
      <c r="A4433" s="3">
        <v>45666.0</v>
      </c>
      <c r="B4433" s="4">
        <v>0.28055555555555556</v>
      </c>
      <c r="C4433" s="5" t="s">
        <v>76</v>
      </c>
      <c r="D4433" s="5" t="s">
        <v>1044</v>
      </c>
      <c r="E4433" s="8" t="s">
        <v>171</v>
      </c>
      <c r="F4433" s="5" t="s">
        <v>172</v>
      </c>
      <c r="G4433" s="6" t="str">
        <f>VLOOKUP(E4433,dicionario!$A$1:$C4832,2,0)</f>
        <v>Oxalis corniculata</v>
      </c>
      <c r="H4433" s="6" t="str">
        <f>VLOOKUP(E4433,dicionario!$A$1:$C4832,3,0)</f>
        <v>trevo-azedinho</v>
      </c>
    </row>
    <row r="4434">
      <c r="A4434" s="3">
        <v>45666.0</v>
      </c>
      <c r="B4434" s="4">
        <v>0.28055555555555556</v>
      </c>
      <c r="C4434" s="5" t="s">
        <v>76</v>
      </c>
      <c r="D4434" s="5" t="s">
        <v>1044</v>
      </c>
      <c r="E4434" s="8" t="s">
        <v>181</v>
      </c>
      <c r="F4434" s="5" t="s">
        <v>182</v>
      </c>
      <c r="G4434" s="6" t="str">
        <f>VLOOKUP(E4434,dicionario!$A$1:$C4833,2,0)</f>
        <v>#N/A</v>
      </c>
      <c r="H4434" s="6" t="str">
        <f>VLOOKUP(E4434,dicionario!$A$1:$C4833,3,0)</f>
        <v>#N/A</v>
      </c>
    </row>
    <row r="4435">
      <c r="A4435" s="3">
        <v>45666.0</v>
      </c>
      <c r="B4435" s="4">
        <v>0.28055555555555556</v>
      </c>
      <c r="C4435" s="5" t="s">
        <v>76</v>
      </c>
      <c r="D4435" s="5" t="s">
        <v>1044</v>
      </c>
      <c r="E4435" s="8" t="s">
        <v>858</v>
      </c>
      <c r="F4435" s="5" t="s">
        <v>1051</v>
      </c>
      <c r="G4435" s="6" t="str">
        <f>VLOOKUP(E4435,dicionario!$A$1:$C4834,2,0)</f>
        <v>Rumex obtusifolius</v>
      </c>
      <c r="H4435" s="6" t="str">
        <f>VLOOKUP(E4435,dicionario!$A$1:$C4834,3,0)</f>
        <v>lingua-de-vaca</v>
      </c>
    </row>
    <row r="4436">
      <c r="A4436" s="3">
        <v>45666.0</v>
      </c>
      <c r="B4436" s="4">
        <v>0.28055555555555556</v>
      </c>
      <c r="C4436" s="5" t="s">
        <v>76</v>
      </c>
      <c r="D4436" s="5" t="s">
        <v>1044</v>
      </c>
      <c r="E4436" s="8" t="s">
        <v>86</v>
      </c>
      <c r="F4436" s="5" t="s">
        <v>502</v>
      </c>
      <c r="G4436" s="6" t="str">
        <f>VLOOKUP(E4436,dicionario!$A$1:$C4835,2,0)</f>
        <v>Coereba flaveola</v>
      </c>
      <c r="H4436" s="6" t="str">
        <f>VLOOKUP(E4436,dicionario!$A$1:$C4835,3,0)</f>
        <v>cambacica</v>
      </c>
    </row>
    <row r="4437">
      <c r="A4437" s="3">
        <v>45666.0</v>
      </c>
      <c r="B4437" s="4">
        <v>0.28055555555555556</v>
      </c>
      <c r="C4437" s="5" t="s">
        <v>76</v>
      </c>
      <c r="D4437" s="5" t="s">
        <v>1044</v>
      </c>
      <c r="E4437" s="8" t="s">
        <v>631</v>
      </c>
      <c r="F4437" s="5" t="s">
        <v>632</v>
      </c>
      <c r="G4437" s="6" t="str">
        <f>VLOOKUP(E4437,dicionario!$A$1:$C4836,2,0)</f>
        <v>Chamaecrista nictitans</v>
      </c>
      <c r="H4437" s="6" t="str">
        <f>VLOOKUP(E4437,dicionario!$A$1:$C4836,3,0)</f>
        <v>falsa-dormideira</v>
      </c>
    </row>
    <row r="4438">
      <c r="A4438" s="3">
        <v>45666.0</v>
      </c>
      <c r="B4438" s="4">
        <v>0.2826388888888889</v>
      </c>
      <c r="C4438" s="5" t="s">
        <v>76</v>
      </c>
      <c r="D4438" s="5" t="s">
        <v>1044</v>
      </c>
      <c r="E4438" s="8" t="s">
        <v>111</v>
      </c>
      <c r="F4438" s="7" t="s">
        <v>112</v>
      </c>
      <c r="G4438" s="6" t="str">
        <f>VLOOKUP(E4438,dicionario!$A$1:$C4837,2,0)</f>
        <v>Trigona spinipes</v>
      </c>
      <c r="H4438" s="6" t="str">
        <f>VLOOKUP(E4438,dicionario!$A$1:$C4837,3,0)</f>
        <v>abelha-cachorro</v>
      </c>
    </row>
    <row r="4439">
      <c r="A4439" s="3">
        <v>45666.0</v>
      </c>
      <c r="B4439" s="4">
        <v>0.2826388888888889</v>
      </c>
      <c r="C4439" s="5" t="s">
        <v>76</v>
      </c>
      <c r="D4439" s="5" t="s">
        <v>1044</v>
      </c>
      <c r="E4439" s="8" t="s">
        <v>286</v>
      </c>
      <c r="F4439" s="5" t="s">
        <v>287</v>
      </c>
      <c r="G4439" s="6" t="str">
        <f>VLOOKUP(E4439,dicionario!$A$1:$C4838,2,0)</f>
        <v>Setaria parviflora</v>
      </c>
      <c r="H4439" s="6" t="str">
        <f>VLOOKUP(E4439,dicionario!$A$1:$C4838,3,0)</f>
        <v>capim-rabo-de-raposa</v>
      </c>
    </row>
    <row r="4440">
      <c r="A4440" s="3">
        <v>45666.0</v>
      </c>
      <c r="B4440" s="4">
        <v>0.2826388888888889</v>
      </c>
      <c r="C4440" s="5" t="s">
        <v>76</v>
      </c>
      <c r="D4440" s="5" t="s">
        <v>1044</v>
      </c>
      <c r="E4440" s="8" t="s">
        <v>144</v>
      </c>
      <c r="F4440" s="5" t="s">
        <v>145</v>
      </c>
      <c r="G4440" s="6" t="str">
        <f>VLOOKUP(E4440,dicionario!$A$1:$C4839,2,0)</f>
        <v>Gomphrena globosa</v>
      </c>
      <c r="H4440" s="6" t="str">
        <f>VLOOKUP(E4440,dicionario!$A$1:$C4839,3,0)</f>
        <v>perpétua-rosa</v>
      </c>
    </row>
    <row r="4441">
      <c r="A4441" s="3">
        <v>45666.0</v>
      </c>
      <c r="B4441" s="4">
        <v>0.2833333333333333</v>
      </c>
      <c r="C4441" s="5" t="s">
        <v>76</v>
      </c>
      <c r="D4441" s="5" t="s">
        <v>1044</v>
      </c>
      <c r="E4441" s="8" t="s">
        <v>177</v>
      </c>
      <c r="F4441" s="5" t="s">
        <v>607</v>
      </c>
      <c r="G4441" s="6" t="str">
        <f>VLOOKUP(E4441,dicionario!$A$1:$C4840,2,0)</f>
        <v>Elaenia flavogaster</v>
      </c>
      <c r="H4441" s="6" t="str">
        <f>VLOOKUP(E4441,dicionario!$A$1:$C4840,3,0)</f>
        <v>guaracava-de-barriga-amarela</v>
      </c>
    </row>
    <row r="4442">
      <c r="A4442" s="3">
        <v>45666.0</v>
      </c>
      <c r="B4442" s="4">
        <v>0.2833333333333333</v>
      </c>
      <c r="C4442" s="5" t="s">
        <v>76</v>
      </c>
      <c r="D4442" s="5" t="s">
        <v>1044</v>
      </c>
      <c r="E4442" s="8" t="s">
        <v>83</v>
      </c>
      <c r="F4442" s="5" t="s">
        <v>84</v>
      </c>
      <c r="G4442" s="6" t="str">
        <f>VLOOKUP(E4442,dicionario!$A$1:$C4841,2,0)</f>
        <v>Anartia jatrophae</v>
      </c>
      <c r="H4442" s="6" t="str">
        <f>VLOOKUP(E4442,dicionario!$A$1:$C4841,3,0)</f>
        <v>borboleta-pavão-branco</v>
      </c>
    </row>
    <row r="4443">
      <c r="A4443" s="3">
        <v>45666.0</v>
      </c>
      <c r="B4443" s="4">
        <v>0.2833333333333333</v>
      </c>
      <c r="C4443" s="5" t="s">
        <v>76</v>
      </c>
      <c r="D4443" s="5" t="s">
        <v>1044</v>
      </c>
      <c r="E4443" s="8" t="s">
        <v>253</v>
      </c>
      <c r="F4443" s="5" t="s">
        <v>254</v>
      </c>
      <c r="G4443" s="6" t="str">
        <f>VLOOKUP(E4443,dicionario!$A$1:$C4842,2,0)</f>
        <v>Panicum maximum</v>
      </c>
      <c r="H4443" s="6" t="str">
        <f>VLOOKUP(E4443,dicionario!$A$1:$C4842,3,0)</f>
        <v>capim-colonião</v>
      </c>
    </row>
    <row r="4444">
      <c r="A4444" s="3">
        <v>45666.0</v>
      </c>
      <c r="B4444" s="4">
        <v>0.28402777777777777</v>
      </c>
      <c r="C4444" s="5" t="s">
        <v>76</v>
      </c>
      <c r="D4444" s="5" t="s">
        <v>1044</v>
      </c>
      <c r="E4444" s="8" t="s">
        <v>326</v>
      </c>
      <c r="F4444" s="5" t="s">
        <v>963</v>
      </c>
      <c r="G4444" s="6" t="str">
        <f>VLOOKUP(E4444,dicionario!$A$1:$C4843,2,0)</f>
        <v>Amaranthus spinosus</v>
      </c>
      <c r="H4444" s="6" t="str">
        <f>VLOOKUP(E4444,dicionario!$A$1:$C4843,3,0)</f>
        <v>caruru-de-espinho</v>
      </c>
    </row>
    <row r="4445">
      <c r="A4445" s="3">
        <v>45666.0</v>
      </c>
      <c r="B4445" s="4">
        <v>0.28402777777777777</v>
      </c>
      <c r="C4445" s="5" t="s">
        <v>76</v>
      </c>
      <c r="D4445" s="5" t="s">
        <v>1044</v>
      </c>
      <c r="E4445" s="8" t="s">
        <v>792</v>
      </c>
      <c r="F4445" s="5" t="s">
        <v>1014</v>
      </c>
      <c r="G4445" s="6" t="str">
        <f>VLOOKUP(E4445,dicionario!$A$1:$C4844,2,0)</f>
        <v>Musca domestica</v>
      </c>
      <c r="H4445" s="6" t="str">
        <f>VLOOKUP(E4445,dicionario!$A$1:$C4844,3,0)</f>
        <v>mosca-doméstica</v>
      </c>
    </row>
    <row r="4446">
      <c r="A4446" s="3">
        <v>45666.0</v>
      </c>
      <c r="B4446" s="4">
        <v>0.28402777777777777</v>
      </c>
      <c r="C4446" s="5" t="s">
        <v>76</v>
      </c>
      <c r="D4446" s="5" t="s">
        <v>1044</v>
      </c>
      <c r="E4446" s="8" t="s">
        <v>20</v>
      </c>
      <c r="F4446" s="7" t="s">
        <v>21</v>
      </c>
      <c r="G4446" s="6" t="str">
        <f>VLOOKUP(E4446,dicionario!$A$1:$C4845,2,0)</f>
        <v>Sicalis flaveola</v>
      </c>
      <c r="H4446" s="6" t="str">
        <f>VLOOKUP(E4446,dicionario!$A$1:$C4845,3,0)</f>
        <v>canário-da-terra</v>
      </c>
    </row>
    <row r="4447">
      <c r="A4447" s="3">
        <v>45666.0</v>
      </c>
      <c r="B4447" s="4">
        <v>0.2847222222222222</v>
      </c>
      <c r="C4447" s="5" t="s">
        <v>76</v>
      </c>
      <c r="D4447" s="5" t="s">
        <v>1044</v>
      </c>
      <c r="E4447" s="8" t="s">
        <v>504</v>
      </c>
      <c r="F4447" s="5" t="s">
        <v>534</v>
      </c>
      <c r="G4447" s="6" t="str">
        <f>VLOOKUP(E4447,dicionario!$A$1:$C4846,2,0)</f>
        <v>Cleome aculeata</v>
      </c>
      <c r="H4447" s="6" t="str">
        <f>VLOOKUP(E4447,dicionario!$A$1:$C4846,3,0)</f>
        <v>cleome</v>
      </c>
    </row>
    <row r="4448">
      <c r="A4448" s="3">
        <v>45666.0</v>
      </c>
      <c r="B4448" s="4">
        <v>0.2847222222222222</v>
      </c>
      <c r="C4448" s="5" t="s">
        <v>76</v>
      </c>
      <c r="D4448" s="5" t="s">
        <v>1044</v>
      </c>
      <c r="E4448" s="8" t="s">
        <v>113</v>
      </c>
      <c r="F4448" s="5" t="s">
        <v>114</v>
      </c>
      <c r="G4448" s="6" t="str">
        <f>VLOOKUP(E4448,dicionario!$A$1:$C4847,2,0)</f>
        <v>Columbina talpacoti</v>
      </c>
      <c r="H4448" s="6" t="str">
        <f>VLOOKUP(E4448,dicionario!$A$1:$C4847,3,0)</f>
        <v>rolinha-roxa</v>
      </c>
    </row>
    <row r="4449">
      <c r="A4449" s="3">
        <v>45666.0</v>
      </c>
      <c r="B4449" s="4">
        <v>0.2847222222222222</v>
      </c>
      <c r="C4449" s="5" t="s">
        <v>76</v>
      </c>
      <c r="D4449" s="5" t="s">
        <v>1044</v>
      </c>
      <c r="E4449" s="8" t="s">
        <v>225</v>
      </c>
      <c r="F4449" s="5" t="s">
        <v>226</v>
      </c>
      <c r="G4449" s="6" t="str">
        <f>VLOOKUP(E4449,dicionario!$A$1:$C4848,2,0)</f>
        <v>Passer domesticus</v>
      </c>
      <c r="H4449" s="6" t="str">
        <f>VLOOKUP(E4449,dicionario!$A$1:$C4848,3,0)</f>
        <v>pardal</v>
      </c>
    </row>
    <row r="4450">
      <c r="A4450" s="3">
        <v>45666.0</v>
      </c>
      <c r="B4450" s="4">
        <v>0.2847222222222222</v>
      </c>
      <c r="C4450" s="5" t="s">
        <v>76</v>
      </c>
      <c r="D4450" s="5" t="s">
        <v>1044</v>
      </c>
      <c r="E4450" s="8" t="s">
        <v>489</v>
      </c>
      <c r="F4450" s="5" t="s">
        <v>196</v>
      </c>
      <c r="G4450" s="6" t="str">
        <f>VLOOKUP(E4450,dicionario!$A$1:$C4849,2,0)</f>
        <v>Cenchrus echinatus</v>
      </c>
      <c r="H4450" s="6" t="str">
        <f>VLOOKUP(E4450,dicionario!$A$1:$C4849,3,0)</f>
        <v>capim-carrapicho</v>
      </c>
    </row>
    <row r="4451">
      <c r="A4451" s="3">
        <v>45666.0</v>
      </c>
      <c r="B4451" s="4">
        <v>0.2847222222222222</v>
      </c>
      <c r="C4451" s="5" t="s">
        <v>76</v>
      </c>
      <c r="D4451" s="5" t="s">
        <v>1044</v>
      </c>
      <c r="E4451" s="8" t="s">
        <v>388</v>
      </c>
      <c r="F4451" s="5" t="s">
        <v>389</v>
      </c>
      <c r="G4451" s="6" t="str">
        <f>VLOOKUP(E4451,dicionario!$A$1:$C4850,2,0)</f>
        <v>Bulimulus tenuissimus</v>
      </c>
      <c r="H4451" s="6" t="str">
        <f>VLOOKUP(E4451,dicionario!$A$1:$C4850,3,0)</f>
        <v>caracol-fantasma</v>
      </c>
    </row>
    <row r="4452">
      <c r="A4452" s="3">
        <v>45666.0</v>
      </c>
      <c r="B4452" s="4">
        <v>0.2847222222222222</v>
      </c>
      <c r="C4452" s="5" t="s">
        <v>76</v>
      </c>
      <c r="D4452" s="5" t="s">
        <v>1044</v>
      </c>
      <c r="E4452" s="8" t="s">
        <v>150</v>
      </c>
      <c r="F4452" s="5" t="s">
        <v>151</v>
      </c>
      <c r="G4452" s="6" t="str">
        <f>VLOOKUP(E4452,dicionario!$A$1:$C4851,2,0)</f>
        <v>Amaranthus viridis</v>
      </c>
      <c r="H4452" s="6" t="str">
        <f>VLOOKUP(E4452,dicionario!$A$1:$C4851,3,0)</f>
        <v>caruru-de-mancha</v>
      </c>
    </row>
    <row r="4453">
      <c r="A4453" s="3">
        <v>45666.0</v>
      </c>
      <c r="B4453" s="4">
        <v>0.28541666666666665</v>
      </c>
      <c r="C4453" s="5" t="s">
        <v>76</v>
      </c>
      <c r="D4453" s="5" t="s">
        <v>1044</v>
      </c>
      <c r="E4453" s="8" t="s">
        <v>173</v>
      </c>
      <c r="F4453" s="5" t="s">
        <v>336</v>
      </c>
      <c r="G4453" s="6" t="str">
        <f>VLOOKUP(E4453,dicionario!$A$1:$C4852,2,0)</f>
        <v>Junonia evarete</v>
      </c>
      <c r="H4453" s="6" t="str">
        <f>VLOOKUP(E4453,dicionario!$A$1:$C4852,3,0)</f>
        <v>borboleta-olho-de-pavão-diúrno</v>
      </c>
    </row>
    <row r="4454">
      <c r="A4454" s="3">
        <v>45666.0</v>
      </c>
      <c r="B4454" s="4">
        <v>0.28541666666666665</v>
      </c>
      <c r="C4454" s="5" t="s">
        <v>76</v>
      </c>
      <c r="D4454" s="5" t="s">
        <v>1044</v>
      </c>
      <c r="E4454" s="8" t="s">
        <v>355</v>
      </c>
      <c r="F4454" s="5" t="s">
        <v>356</v>
      </c>
      <c r="G4454" s="6" t="str">
        <f>VLOOKUP(E4454,dicionario!$A$1:$C4853,2,0)</f>
        <v>Boerhavia diffusa</v>
      </c>
      <c r="H4454" s="6" t="str">
        <f>VLOOKUP(E4454,dicionario!$A$1:$C4853,3,0)</f>
        <v>erva-tostão</v>
      </c>
    </row>
    <row r="4455">
      <c r="A4455" s="3">
        <v>45666.0</v>
      </c>
      <c r="B4455" s="4">
        <v>0.28541666666666665</v>
      </c>
      <c r="C4455" s="5" t="s">
        <v>76</v>
      </c>
      <c r="D4455" s="5" t="s">
        <v>1044</v>
      </c>
      <c r="E4455" s="8" t="s">
        <v>271</v>
      </c>
      <c r="F4455" s="7" t="s">
        <v>272</v>
      </c>
      <c r="G4455" s="6" t="str">
        <f>VLOOKUP(E4455,dicionario!$A$1:$C4854,2,0)</f>
        <v>Cyanthillium cinereum</v>
      </c>
      <c r="H4455" s="6" t="str">
        <f>VLOOKUP(E4455,dicionario!$A$1:$C4854,3,0)</f>
        <v>emília</v>
      </c>
    </row>
    <row r="4456">
      <c r="A4456" s="3">
        <v>45666.0</v>
      </c>
      <c r="B4456" s="4">
        <v>0.2861111111111111</v>
      </c>
      <c r="C4456" s="5" t="s">
        <v>76</v>
      </c>
      <c r="D4456" s="5" t="s">
        <v>1044</v>
      </c>
      <c r="E4456" s="8" t="s">
        <v>961</v>
      </c>
      <c r="F4456" s="5" t="s">
        <v>962</v>
      </c>
      <c r="G4456" s="6" t="str">
        <f>VLOOKUP(E4456,dicionario!$A$1:$C4855,2,0)</f>
        <v>#N/A</v>
      </c>
      <c r="H4456" s="6" t="str">
        <f>VLOOKUP(E4456,dicionario!$A$1:$C4855,3,0)</f>
        <v>#N/A</v>
      </c>
    </row>
    <row r="4457">
      <c r="A4457" s="3">
        <v>45666.0</v>
      </c>
      <c r="B4457" s="4">
        <v>0.2861111111111111</v>
      </c>
      <c r="C4457" s="5" t="s">
        <v>76</v>
      </c>
      <c r="D4457" s="5" t="s">
        <v>1044</v>
      </c>
      <c r="E4457" s="8" t="s">
        <v>514</v>
      </c>
      <c r="F4457" s="7" t="s">
        <v>515</v>
      </c>
      <c r="G4457" s="6" t="str">
        <f>VLOOKUP(E4457,dicionario!$A$1:$C4856,2,0)</f>
        <v>Aedes aegypti</v>
      </c>
      <c r="H4457" s="6" t="str">
        <f>VLOOKUP(E4457,dicionario!$A$1:$C4856,3,0)</f>
        <v>mosquito-da-dengue</v>
      </c>
    </row>
    <row r="4458">
      <c r="A4458" s="3">
        <v>45666.0</v>
      </c>
      <c r="B4458" s="4">
        <v>0.2861111111111111</v>
      </c>
      <c r="C4458" s="5" t="s">
        <v>76</v>
      </c>
      <c r="D4458" s="5" t="s">
        <v>1044</v>
      </c>
      <c r="E4458" s="8" t="s">
        <v>116</v>
      </c>
      <c r="F4458" s="5" t="s">
        <v>117</v>
      </c>
      <c r="G4458" s="6" t="str">
        <f>VLOOKUP(E4458,dicionario!$A$1:$C4857,2,0)</f>
        <v>Argiope argentata</v>
      </c>
      <c r="H4458" s="6" t="str">
        <f>VLOOKUP(E4458,dicionario!$A$1:$C4857,3,0)</f>
        <v>aranha-de-prata</v>
      </c>
    </row>
    <row r="4459">
      <c r="A4459" s="3">
        <v>45666.0</v>
      </c>
      <c r="B4459" s="4">
        <v>0.2861111111111111</v>
      </c>
      <c r="C4459" s="5" t="s">
        <v>76</v>
      </c>
      <c r="D4459" s="5" t="s">
        <v>1044</v>
      </c>
      <c r="E4459" s="8" t="s">
        <v>227</v>
      </c>
      <c r="F4459" s="5" t="s">
        <v>228</v>
      </c>
      <c r="G4459" s="6" t="str">
        <f>VLOOKUP(E4459,dicionario!$A$1:$C4858,2,0)</f>
        <v>Indigofera hirsuta</v>
      </c>
      <c r="H4459" s="6" t="str">
        <f>VLOOKUP(E4459,dicionario!$A$1:$C4858,3,0)</f>
        <v>anileira</v>
      </c>
    </row>
    <row r="4460">
      <c r="A4460" s="3">
        <v>45666.0</v>
      </c>
      <c r="B4460" s="4">
        <v>0.28680555555555554</v>
      </c>
      <c r="C4460" s="5" t="s">
        <v>76</v>
      </c>
      <c r="D4460" s="5" t="s">
        <v>1044</v>
      </c>
      <c r="E4460" s="8" t="s">
        <v>304</v>
      </c>
      <c r="F4460" s="5" t="s">
        <v>305</v>
      </c>
      <c r="G4460" s="6" t="str">
        <f>VLOOKUP(E4460,dicionario!$A$1:$C4859,2,0)</f>
        <v>Sarcophaga</v>
      </c>
      <c r="H4460" s="6" t="str">
        <f>VLOOKUP(E4460,dicionario!$A$1:$C4859,3,0)</f>
        <v>mosca-varejeira</v>
      </c>
    </row>
    <row r="4461">
      <c r="A4461" s="3">
        <v>45666.0</v>
      </c>
      <c r="B4461" s="4">
        <v>0.28680555555555554</v>
      </c>
      <c r="C4461" s="5" t="s">
        <v>76</v>
      </c>
      <c r="D4461" s="5" t="s">
        <v>1044</v>
      </c>
      <c r="E4461" s="8" t="s">
        <v>786</v>
      </c>
      <c r="F4461" s="5" t="s">
        <v>787</v>
      </c>
      <c r="G4461" s="6" t="str">
        <f>VLOOKUP(E4461,dicionario!$A$1:$C4860,2,0)</f>
        <v>Lycianthes asarifolia</v>
      </c>
      <c r="H4461" s="6" t="str">
        <f>VLOOKUP(E4461,dicionario!$A$1:$C4860,3,0)</f>
        <v>joá-rasteiro</v>
      </c>
    </row>
    <row r="4462">
      <c r="A4462" s="3">
        <v>45666.0</v>
      </c>
      <c r="B4462" s="4">
        <v>0.28680555555555554</v>
      </c>
      <c r="C4462" s="5" t="s">
        <v>76</v>
      </c>
      <c r="D4462" s="5" t="s">
        <v>1044</v>
      </c>
      <c r="E4462" s="8" t="s">
        <v>152</v>
      </c>
      <c r="F4462" s="5" t="s">
        <v>153</v>
      </c>
      <c r="G4462" s="6" t="str">
        <f>VLOOKUP(E4462,dicionario!$A$1:$C4861,2,0)</f>
        <v>Cynodon dactylon</v>
      </c>
      <c r="H4462" s="6" t="str">
        <f>VLOOKUP(E4462,dicionario!$A$1:$C4861,3,0)</f>
        <v>grama-bermuda</v>
      </c>
    </row>
    <row r="4463">
      <c r="A4463" s="3">
        <v>45666.0</v>
      </c>
      <c r="B4463" s="4">
        <v>0.2881944444444444</v>
      </c>
      <c r="C4463" s="5" t="s">
        <v>76</v>
      </c>
      <c r="D4463" s="5" t="s">
        <v>1044</v>
      </c>
      <c r="E4463" s="8" t="s">
        <v>183</v>
      </c>
      <c r="F4463" s="5" t="s">
        <v>277</v>
      </c>
      <c r="G4463" s="6" t="str">
        <f>VLOOKUP(E4463,dicionario!$A$1:$C4862,2,0)</f>
        <v>Thunbergia alata</v>
      </c>
      <c r="H4463" s="6" t="str">
        <f>VLOOKUP(E4463,dicionario!$A$1:$C4862,3,0)</f>
        <v>susana-dos-olhos-negros</v>
      </c>
    </row>
    <row r="4464">
      <c r="A4464" s="3">
        <v>45666.0</v>
      </c>
      <c r="B4464" s="4">
        <v>0.2881944444444444</v>
      </c>
      <c r="C4464" s="5" t="s">
        <v>76</v>
      </c>
      <c r="D4464" s="5" t="s">
        <v>1044</v>
      </c>
      <c r="E4464" s="6" t="s">
        <v>448</v>
      </c>
      <c r="F4464" s="5" t="s">
        <v>462</v>
      </c>
      <c r="G4464" s="6" t="str">
        <f>VLOOKUP(E4464,dicionario!$A$1:$C4863,2,0)</f>
        <v>Mechanitis polymnia</v>
      </c>
      <c r="H4464" s="6" t="str">
        <f>VLOOKUP(E4464,dicionario!$A$1:$C4863,3,0)</f>
        <v>maria-boba</v>
      </c>
    </row>
    <row r="4465">
      <c r="A4465" s="3">
        <v>45666.0</v>
      </c>
      <c r="B4465" s="4">
        <v>0.28888888888888886</v>
      </c>
      <c r="C4465" s="5" t="s">
        <v>76</v>
      </c>
      <c r="D4465" s="5" t="s">
        <v>1044</v>
      </c>
      <c r="E4465" s="8" t="s">
        <v>1056</v>
      </c>
      <c r="F4465" s="5" t="s">
        <v>1057</v>
      </c>
      <c r="G4465" s="6" t="str">
        <f>VLOOKUP(E4465,dicionario!$A$1:$C4864,2,0)</f>
        <v>#N/A</v>
      </c>
      <c r="H4465" s="6" t="str">
        <f>VLOOKUP(E4465,dicionario!$A$1:$C4864,3,0)</f>
        <v>#N/A</v>
      </c>
    </row>
    <row r="4466">
      <c r="A4466" s="3">
        <v>45666.0</v>
      </c>
      <c r="B4466" s="4">
        <v>0.28888888888888886</v>
      </c>
      <c r="C4466" s="5" t="s">
        <v>76</v>
      </c>
      <c r="D4466" s="5" t="s">
        <v>1044</v>
      </c>
      <c r="E4466" s="8" t="s">
        <v>1058</v>
      </c>
      <c r="F4466" s="5" t="s">
        <v>1059</v>
      </c>
      <c r="G4466" s="6" t="str">
        <f>VLOOKUP(E4466,dicionario!$A$1:$C4865,2,0)</f>
        <v>Trachelopachys</v>
      </c>
      <c r="H4466" s="6" t="str">
        <f>VLOOKUP(E4466,dicionario!$A$1:$C4865,3,0)</f>
        <v>aranha-flamenguista </v>
      </c>
    </row>
    <row r="4467">
      <c r="A4467" s="3">
        <v>45666.0</v>
      </c>
      <c r="B4467" s="4">
        <v>0.28958333333333336</v>
      </c>
      <c r="C4467" s="5" t="s">
        <v>76</v>
      </c>
      <c r="D4467" s="5" t="s">
        <v>1044</v>
      </c>
      <c r="E4467" s="8" t="s">
        <v>401</v>
      </c>
      <c r="F4467" s="5" t="s">
        <v>464</v>
      </c>
      <c r="G4467" s="6" t="str">
        <f>VLOOKUP(E4467,dicionario!$A$1:$C4866,2,0)</f>
        <v>Cissus verticillata</v>
      </c>
      <c r="H4467" s="6" t="str">
        <f>VLOOKUP(E4467,dicionario!$A$1:$C4866,3,0)</f>
        <v>uva-do-mato</v>
      </c>
    </row>
    <row r="4468">
      <c r="A4468" s="3">
        <v>45666.0</v>
      </c>
      <c r="B4468" s="4">
        <v>0.28958333333333336</v>
      </c>
      <c r="C4468" s="5" t="s">
        <v>76</v>
      </c>
      <c r="D4468" s="5" t="s">
        <v>1044</v>
      </c>
      <c r="E4468" s="8" t="s">
        <v>290</v>
      </c>
      <c r="F4468" s="5" t="s">
        <v>291</v>
      </c>
      <c r="G4468" s="6" t="str">
        <f>VLOOKUP(E4468,dicionario!$A$1:$C4867,2,0)</f>
        <v>Drymaria cordata</v>
      </c>
      <c r="H4468" s="6" t="str">
        <f>VLOOKUP(E4468,dicionario!$A$1:$C4867,3,0)</f>
        <v>orelha-de-rato</v>
      </c>
    </row>
    <row r="4469">
      <c r="A4469" s="3">
        <v>45666.0</v>
      </c>
      <c r="B4469" s="4">
        <v>0.28958333333333336</v>
      </c>
      <c r="C4469" s="5" t="s">
        <v>76</v>
      </c>
      <c r="D4469" s="5" t="s">
        <v>1044</v>
      </c>
      <c r="E4469" s="8" t="s">
        <v>566</v>
      </c>
      <c r="F4469" s="5" t="s">
        <v>567</v>
      </c>
      <c r="G4469" s="6" t="str">
        <f>VLOOKUP(E4469,dicionario!$A$1:$C4868,2,0)</f>
        <v>Baccharis dracunculifolia</v>
      </c>
      <c r="H4469" s="6" t="str">
        <f>VLOOKUP(E4469,dicionario!$A$1:$C4868,3,0)</f>
        <v>vassoura</v>
      </c>
    </row>
    <row r="4470">
      <c r="A4470" s="3">
        <v>45666.0</v>
      </c>
      <c r="B4470" s="4">
        <v>0.28958333333333336</v>
      </c>
      <c r="C4470" s="5" t="s">
        <v>76</v>
      </c>
      <c r="D4470" s="5" t="s">
        <v>1044</v>
      </c>
      <c r="E4470" s="8" t="s">
        <v>328</v>
      </c>
      <c r="F4470" s="5" t="s">
        <v>329</v>
      </c>
      <c r="G4470" s="6" t="str">
        <f>VLOOKUP(E4470,dicionario!$A$1:$C4869,2,0)</f>
        <v>Rivina humilis</v>
      </c>
      <c r="H4470" s="6" t="str">
        <f>VLOOKUP(E4470,dicionario!$A$1:$C4869,3,0)</f>
        <v>baga-de-sangue</v>
      </c>
    </row>
    <row r="4471">
      <c r="A4471" s="3">
        <v>45666.0</v>
      </c>
      <c r="B4471" s="4">
        <v>0.28958333333333336</v>
      </c>
      <c r="C4471" s="5" t="s">
        <v>76</v>
      </c>
      <c r="D4471" s="5" t="s">
        <v>1044</v>
      </c>
      <c r="E4471" s="18" t="s">
        <v>611</v>
      </c>
      <c r="F4471" s="5" t="s">
        <v>612</v>
      </c>
      <c r="G4471" s="6" t="str">
        <f>VLOOKUP(E4471,dicionario!$A$1:$C4870,2,0)</f>
        <v>Boehmeria cylindrica</v>
      </c>
      <c r="H4471" s="6" t="str">
        <f>VLOOKUP(E4471,dicionario!$A$1:$C4870,3,0)</f>
        <v>falsa-urtiga</v>
      </c>
    </row>
    <row r="4472">
      <c r="A4472" s="3">
        <v>45666.0</v>
      </c>
      <c r="B4472" s="4">
        <v>0.28958333333333336</v>
      </c>
      <c r="C4472" s="5" t="s">
        <v>76</v>
      </c>
      <c r="D4472" s="5" t="s">
        <v>1044</v>
      </c>
      <c r="E4472" s="8" t="s">
        <v>471</v>
      </c>
      <c r="F4472" s="5" t="s">
        <v>472</v>
      </c>
      <c r="G4472" s="6" t="str">
        <f>VLOOKUP(E4472,dicionario!$A$1:$C4871,2,0)</f>
        <v>Sida acuta</v>
      </c>
      <c r="H4472" s="6" t="str">
        <f>VLOOKUP(E4472,dicionario!$A$1:$C4871,3,0)</f>
        <v>reloginho</v>
      </c>
    </row>
    <row r="4473">
      <c r="A4473" s="3">
        <v>45666.0</v>
      </c>
      <c r="B4473" s="4">
        <v>0.29444444444444445</v>
      </c>
      <c r="C4473" s="5" t="s">
        <v>64</v>
      </c>
      <c r="D4473" s="5" t="s">
        <v>1044</v>
      </c>
      <c r="E4473" s="8" t="s">
        <v>20</v>
      </c>
      <c r="F4473" s="7" t="s">
        <v>21</v>
      </c>
      <c r="G4473" s="6" t="str">
        <f>VLOOKUP(E4473,dicionario!$A$1:$C4872,2,0)</f>
        <v>Sicalis flaveola</v>
      </c>
      <c r="H4473" s="6" t="str">
        <f>VLOOKUP(E4473,dicionario!$A$1:$C4872,3,0)</f>
        <v>canário-da-terra</v>
      </c>
    </row>
    <row r="4474">
      <c r="A4474" s="3">
        <v>45666.0</v>
      </c>
      <c r="B4474" s="4">
        <v>0.29444444444444445</v>
      </c>
      <c r="C4474" s="5" t="s">
        <v>64</v>
      </c>
      <c r="D4474" s="5" t="s">
        <v>1044</v>
      </c>
      <c r="E4474" s="8" t="s">
        <v>489</v>
      </c>
      <c r="F4474" s="5" t="s">
        <v>196</v>
      </c>
      <c r="G4474" s="6" t="str">
        <f>VLOOKUP(E4474,dicionario!$A$1:$C4873,2,0)</f>
        <v>Cenchrus echinatus</v>
      </c>
      <c r="H4474" s="6" t="str">
        <f>VLOOKUP(E4474,dicionario!$A$1:$C4873,3,0)</f>
        <v>capim-carrapicho</v>
      </c>
    </row>
    <row r="4475">
      <c r="A4475" s="3">
        <v>45666.0</v>
      </c>
      <c r="B4475" s="4">
        <v>0.29444444444444445</v>
      </c>
      <c r="C4475" s="5" t="s">
        <v>64</v>
      </c>
      <c r="D4475" s="5" t="s">
        <v>1044</v>
      </c>
      <c r="E4475" s="8" t="s">
        <v>631</v>
      </c>
      <c r="F4475" s="5" t="s">
        <v>632</v>
      </c>
      <c r="G4475" s="6" t="str">
        <f>VLOOKUP(E4475,dicionario!$A$1:$C4874,2,0)</f>
        <v>Chamaecrista nictitans</v>
      </c>
      <c r="H4475" s="6" t="str">
        <f>VLOOKUP(E4475,dicionario!$A$1:$C4874,3,0)</f>
        <v>falsa-dormideira</v>
      </c>
    </row>
    <row r="4476">
      <c r="A4476" s="3">
        <v>45666.0</v>
      </c>
      <c r="B4476" s="4">
        <v>0.29444444444444445</v>
      </c>
      <c r="C4476" s="5" t="s">
        <v>64</v>
      </c>
      <c r="D4476" s="5" t="s">
        <v>1044</v>
      </c>
      <c r="E4476" s="8" t="s">
        <v>296</v>
      </c>
      <c r="F4476" s="5" t="s">
        <v>297</v>
      </c>
      <c r="G4476" s="6" t="str">
        <f>VLOOKUP(E4476,dicionario!$A$1:$C4875,2,0)</f>
        <v>Richardia brasiliensis</v>
      </c>
      <c r="H4476" s="6" t="str">
        <f>VLOOKUP(E4476,dicionario!$A$1:$C4875,3,0)</f>
        <v>poaia-branca</v>
      </c>
    </row>
    <row r="4477">
      <c r="A4477" s="3">
        <v>45666.0</v>
      </c>
      <c r="B4477" s="4">
        <v>0.29444444444444445</v>
      </c>
      <c r="C4477" s="5" t="s">
        <v>64</v>
      </c>
      <c r="D4477" s="5" t="s">
        <v>1044</v>
      </c>
      <c r="E4477" s="8" t="s">
        <v>53</v>
      </c>
      <c r="F4477" s="7" t="s">
        <v>54</v>
      </c>
      <c r="G4477" s="6" t="str">
        <f>VLOOKUP(E4477,dicionario!$A$1:$C4876,2,0)</f>
        <v>Turnera subulata</v>
      </c>
      <c r="H4477" s="6" t="str">
        <f>VLOOKUP(E4477,dicionario!$A$1:$C4876,3,0)</f>
        <v>xanana</v>
      </c>
    </row>
    <row r="4478">
      <c r="A4478" s="3">
        <v>45666.0</v>
      </c>
      <c r="B4478" s="4">
        <v>0.29444444444444445</v>
      </c>
      <c r="C4478" s="5" t="s">
        <v>64</v>
      </c>
      <c r="D4478" s="5" t="s">
        <v>1044</v>
      </c>
      <c r="E4478" s="8" t="s">
        <v>498</v>
      </c>
      <c r="F4478" s="5" t="s">
        <v>899</v>
      </c>
      <c r="G4478" s="6" t="str">
        <f>VLOOKUP(E4478,dicionario!$A$1:$C4877,2,0)</f>
        <v>Brachiaria decumbens</v>
      </c>
      <c r="H4478" s="6" t="str">
        <f>VLOOKUP(E4478,dicionario!$A$1:$C4877,3,0)</f>
        <v>capim-braquiária</v>
      </c>
    </row>
    <row r="4479">
      <c r="A4479" s="3">
        <v>45666.0</v>
      </c>
      <c r="B4479" s="4">
        <v>0.2951388888888889</v>
      </c>
      <c r="C4479" s="5" t="s">
        <v>64</v>
      </c>
      <c r="D4479" s="5" t="s">
        <v>1044</v>
      </c>
      <c r="E4479" s="8" t="s">
        <v>154</v>
      </c>
      <c r="F4479" s="5" t="s">
        <v>155</v>
      </c>
      <c r="G4479" s="6" t="str">
        <f>VLOOKUP(E4479,dicionario!$A$1:$C4878,2,0)</f>
        <v>Cyperus rotundus</v>
      </c>
      <c r="H4479" s="6" t="str">
        <f>VLOOKUP(E4479,dicionario!$A$1:$C4878,3,0)</f>
        <v>tiririca</v>
      </c>
    </row>
    <row r="4480">
      <c r="A4480" s="3">
        <v>45666.0</v>
      </c>
      <c r="B4480" s="4">
        <v>0.2951388888888889</v>
      </c>
      <c r="C4480" s="5" t="s">
        <v>64</v>
      </c>
      <c r="D4480" s="5" t="s">
        <v>1044</v>
      </c>
      <c r="E4480" s="8" t="s">
        <v>288</v>
      </c>
      <c r="F4480" s="5" t="s">
        <v>289</v>
      </c>
      <c r="G4480" s="6" t="str">
        <f>VLOOKUP(E4480,dicionario!$A$1:$C4879,2,0)</f>
        <v>Phyllanthus tenellus</v>
      </c>
      <c r="H4480" s="6" t="str">
        <f>VLOOKUP(E4480,dicionario!$A$1:$C4879,3,0)</f>
        <v>quebra-pedra</v>
      </c>
    </row>
    <row r="4481">
      <c r="A4481" s="3">
        <v>45666.0</v>
      </c>
      <c r="B4481" s="4">
        <v>0.2951388888888889</v>
      </c>
      <c r="C4481" s="5" t="s">
        <v>64</v>
      </c>
      <c r="D4481" s="5" t="s">
        <v>1044</v>
      </c>
      <c r="E4481" s="8" t="s">
        <v>135</v>
      </c>
      <c r="F4481" s="5" t="s">
        <v>136</v>
      </c>
      <c r="G4481" s="6" t="str">
        <f>VLOOKUP(E4481,dicionario!$A$1:$C4880,2,0)</f>
        <v>Tridax procumbens</v>
      </c>
      <c r="H4481" s="6" t="str">
        <f>VLOOKUP(E4481,dicionario!$A$1:$C4880,3,0)</f>
        <v>erva-de-touro</v>
      </c>
    </row>
    <row r="4482">
      <c r="A4482" s="3">
        <v>45666.0</v>
      </c>
      <c r="B4482" s="4">
        <v>0.2951388888888889</v>
      </c>
      <c r="C4482" s="5" t="s">
        <v>64</v>
      </c>
      <c r="D4482" s="5" t="s">
        <v>1044</v>
      </c>
      <c r="E4482" s="8" t="s">
        <v>682</v>
      </c>
      <c r="F4482" s="5" t="s">
        <v>683</v>
      </c>
      <c r="G4482" s="6" t="str">
        <f>VLOOKUP(E4482,dicionario!$A$1:$C4881,2,0)</f>
        <v>Lagria villosa</v>
      </c>
      <c r="H4482" s="6" t="str">
        <f>VLOOKUP(E4482,dicionario!$A$1:$C4881,3,0)</f>
        <v>bicho-capixaba</v>
      </c>
    </row>
    <row r="4483">
      <c r="A4483" s="3">
        <v>45666.0</v>
      </c>
      <c r="B4483" s="4">
        <v>0.2951388888888889</v>
      </c>
      <c r="C4483" s="5" t="s">
        <v>64</v>
      </c>
      <c r="D4483" s="5" t="s">
        <v>1044</v>
      </c>
      <c r="E4483" s="8" t="s">
        <v>471</v>
      </c>
      <c r="F4483" s="5" t="s">
        <v>472</v>
      </c>
      <c r="G4483" s="6" t="str">
        <f>VLOOKUP(E4483,dicionario!$A$1:$C4882,2,0)</f>
        <v>Sida acuta</v>
      </c>
      <c r="H4483" s="6" t="str">
        <f>VLOOKUP(E4483,dicionario!$A$1:$C4882,3,0)</f>
        <v>reloginho</v>
      </c>
    </row>
    <row r="4484">
      <c r="A4484" s="3">
        <v>45666.0</v>
      </c>
      <c r="B4484" s="4">
        <v>0.2951388888888889</v>
      </c>
      <c r="C4484" s="5" t="s">
        <v>64</v>
      </c>
      <c r="D4484" s="5" t="s">
        <v>1044</v>
      </c>
      <c r="E4484" s="8" t="s">
        <v>271</v>
      </c>
      <c r="F4484" s="7" t="s">
        <v>272</v>
      </c>
      <c r="G4484" s="6" t="str">
        <f>VLOOKUP(E4484,dicionario!$A$1:$C4883,2,0)</f>
        <v>Cyanthillium cinereum</v>
      </c>
      <c r="H4484" s="6" t="str">
        <f>VLOOKUP(E4484,dicionario!$A$1:$C4883,3,0)</f>
        <v>emília</v>
      </c>
    </row>
    <row r="4485">
      <c r="A4485" s="3">
        <v>45666.0</v>
      </c>
      <c r="B4485" s="4">
        <v>0.2951388888888889</v>
      </c>
      <c r="C4485" s="5" t="s">
        <v>64</v>
      </c>
      <c r="D4485" s="5" t="s">
        <v>1044</v>
      </c>
      <c r="E4485" s="8" t="s">
        <v>69</v>
      </c>
      <c r="F4485" s="7" t="s">
        <v>71</v>
      </c>
      <c r="G4485" s="6" t="str">
        <f>VLOOKUP(E4485,dicionario!$A$1:$C4884,2,0)</f>
        <v>Talinum fruticosum</v>
      </c>
      <c r="H4485" s="6" t="str">
        <f>VLOOKUP(E4485,dicionario!$A$1:$C4884,3,0)</f>
        <v>beldroega-grande</v>
      </c>
    </row>
    <row r="4486">
      <c r="A4486" s="3">
        <v>45666.0</v>
      </c>
      <c r="B4486" s="4">
        <v>0.2951388888888889</v>
      </c>
      <c r="C4486" s="5" t="s">
        <v>64</v>
      </c>
      <c r="D4486" s="5" t="s">
        <v>1044</v>
      </c>
      <c r="E4486" s="8" t="s">
        <v>611</v>
      </c>
      <c r="F4486" s="5" t="s">
        <v>612</v>
      </c>
      <c r="G4486" s="6" t="str">
        <f>VLOOKUP(E4486,dicionario!$A$1:$C4885,2,0)</f>
        <v>Boehmeria cylindrica</v>
      </c>
      <c r="H4486" s="6" t="str">
        <f>VLOOKUP(E4486,dicionario!$A$1:$C4885,3,0)</f>
        <v>falsa-urtiga</v>
      </c>
    </row>
    <row r="4487">
      <c r="A4487" s="3">
        <v>45666.0</v>
      </c>
      <c r="B4487" s="4">
        <v>0.2951388888888889</v>
      </c>
      <c r="C4487" s="5" t="s">
        <v>64</v>
      </c>
      <c r="D4487" s="5" t="s">
        <v>1044</v>
      </c>
      <c r="E4487" s="8" t="s">
        <v>247</v>
      </c>
      <c r="F4487" s="5" t="s">
        <v>387</v>
      </c>
      <c r="G4487" s="6" t="str">
        <f>VLOOKUP(E4487,dicionario!$A$1:$C4886,2,0)</f>
        <v>Emilia sonchifolia</v>
      </c>
      <c r="H4487" s="6" t="str">
        <f>VLOOKUP(E4487,dicionario!$A$1:$C4886,3,0)</f>
        <v>serralinha</v>
      </c>
    </row>
    <row r="4488">
      <c r="A4488" s="3">
        <v>45666.0</v>
      </c>
      <c r="B4488" s="4">
        <v>0.2951388888888889</v>
      </c>
      <c r="C4488" s="5" t="s">
        <v>64</v>
      </c>
      <c r="D4488" s="5" t="s">
        <v>1044</v>
      </c>
      <c r="E4488" s="8" t="s">
        <v>298</v>
      </c>
      <c r="F4488" s="5" t="s">
        <v>739</v>
      </c>
      <c r="G4488" s="6" t="str">
        <f>VLOOKUP(E4488,dicionario!$A$1:$C4887,2,0)</f>
        <v>Alysicarpus vaginalis</v>
      </c>
      <c r="H4488" s="6" t="str">
        <f>VLOOKUP(E4488,dicionario!$A$1:$C4887,3,0)</f>
        <v/>
      </c>
    </row>
    <row r="4489">
      <c r="A4489" s="3">
        <v>45666.0</v>
      </c>
      <c r="B4489" s="4">
        <v>0.29583333333333334</v>
      </c>
      <c r="C4489" s="5" t="s">
        <v>64</v>
      </c>
      <c r="D4489" s="5" t="s">
        <v>1044</v>
      </c>
      <c r="E4489" s="8" t="s">
        <v>146</v>
      </c>
      <c r="F4489" s="5" t="s">
        <v>147</v>
      </c>
      <c r="G4489" s="6" t="str">
        <f>VLOOKUP(E4489,dicionario!$A$1:$C4888,2,0)</f>
        <v>Euphorbia hirta</v>
      </c>
      <c r="H4489" s="6" t="str">
        <f>VLOOKUP(E4489,dicionario!$A$1:$C4888,3,0)</f>
        <v>erva-de-santa-luzia</v>
      </c>
    </row>
    <row r="4490">
      <c r="A4490" s="3">
        <v>45666.0</v>
      </c>
      <c r="B4490" s="4">
        <v>0.29583333333333334</v>
      </c>
      <c r="C4490" s="5" t="s">
        <v>64</v>
      </c>
      <c r="D4490" s="5" t="s">
        <v>1044</v>
      </c>
      <c r="E4490" s="8" t="s">
        <v>245</v>
      </c>
      <c r="F4490" s="5" t="s">
        <v>908</v>
      </c>
      <c r="G4490" s="6" t="str">
        <f>VLOOKUP(E4490,dicionario!$A$1:$C4889,2,0)</f>
        <v>Hemiargus hanno</v>
      </c>
      <c r="H4490" s="6" t="str">
        <f>VLOOKUP(E4490,dicionario!$A$1:$C4889,3,0)</f>
        <v>borboleta-azulzinha-do-trevo</v>
      </c>
    </row>
    <row r="4491">
      <c r="A4491" s="3">
        <v>45666.0</v>
      </c>
      <c r="B4491" s="4">
        <v>0.29583333333333334</v>
      </c>
      <c r="C4491" s="5" t="s">
        <v>64</v>
      </c>
      <c r="D4491" s="5" t="s">
        <v>1044</v>
      </c>
      <c r="E4491" s="8" t="s">
        <v>148</v>
      </c>
      <c r="F4491" s="5" t="s">
        <v>149</v>
      </c>
      <c r="G4491" s="6" t="str">
        <f>VLOOKUP(E4491,dicionario!$A$1:$C4890,2,0)</f>
        <v>Parthenium hysterophorus</v>
      </c>
      <c r="H4491" s="6" t="str">
        <f>VLOOKUP(E4491,dicionario!$A$1:$C4890,3,0)</f>
        <v>losna-branca</v>
      </c>
    </row>
    <row r="4492">
      <c r="A4492" s="3">
        <v>45666.0</v>
      </c>
      <c r="B4492" s="4">
        <v>0.29583333333333334</v>
      </c>
      <c r="C4492" s="5" t="s">
        <v>64</v>
      </c>
      <c r="D4492" s="5" t="s">
        <v>1044</v>
      </c>
      <c r="E4492" s="8" t="s">
        <v>648</v>
      </c>
      <c r="F4492" s="5" t="s">
        <v>649</v>
      </c>
      <c r="G4492" s="6" t="str">
        <f>VLOOKUP(E4492,dicionario!$A$1:$C4891,2,0)</f>
        <v>Burnsius orcus</v>
      </c>
      <c r="H4492" s="6" t="str">
        <f>VLOOKUP(E4492,dicionario!$A$1:$C4891,3,0)</f>
        <v/>
      </c>
    </row>
    <row r="4493">
      <c r="A4493" s="3">
        <v>45666.0</v>
      </c>
      <c r="B4493" s="4">
        <v>0.29583333333333334</v>
      </c>
      <c r="C4493" s="5" t="s">
        <v>64</v>
      </c>
      <c r="D4493" s="5" t="s">
        <v>1044</v>
      </c>
      <c r="E4493" s="8" t="s">
        <v>163</v>
      </c>
      <c r="F4493" s="5" t="s">
        <v>164</v>
      </c>
      <c r="G4493" s="6" t="str">
        <f>VLOOKUP(E4493,dicionario!$A$1:$C4892,2,0)</f>
        <v>Coragyps atratus</v>
      </c>
      <c r="H4493" s="6" t="str">
        <f>VLOOKUP(E4493,dicionario!$A$1:$C4892,3,0)</f>
        <v>urubu-de-cabeça-preta</v>
      </c>
    </row>
    <row r="4494">
      <c r="A4494" s="3">
        <v>45666.0</v>
      </c>
      <c r="B4494" s="4">
        <v>0.2965277777777778</v>
      </c>
      <c r="C4494" s="5" t="s">
        <v>64</v>
      </c>
      <c r="D4494" s="5" t="s">
        <v>1044</v>
      </c>
      <c r="E4494" s="8" t="s">
        <v>1060</v>
      </c>
      <c r="F4494" s="5" t="s">
        <v>1061</v>
      </c>
      <c r="G4494" s="6" t="str">
        <f>VLOOKUP(E4494,dicionario!$A$1:$C4893,2,0)</f>
        <v>#N/A</v>
      </c>
      <c r="H4494" s="6" t="str">
        <f>VLOOKUP(E4494,dicionario!$A$1:$C4893,3,0)</f>
        <v>#N/A</v>
      </c>
    </row>
    <row r="4495">
      <c r="A4495" s="3">
        <v>45666.0</v>
      </c>
      <c r="B4495" s="4">
        <v>0.2972222222222222</v>
      </c>
      <c r="C4495" s="5" t="s">
        <v>64</v>
      </c>
      <c r="D4495" s="5" t="s">
        <v>1044</v>
      </c>
      <c r="E4495" s="8" t="s">
        <v>353</v>
      </c>
      <c r="F4495" s="5" t="s">
        <v>354</v>
      </c>
      <c r="G4495" s="6" t="str">
        <f>VLOOKUP(E4495,dicionario!$A$1:$C4894,2,0)</f>
        <v>Desmodium incanum</v>
      </c>
      <c r="H4495" s="6" t="str">
        <f>VLOOKUP(E4495,dicionario!$A$1:$C4894,3,0)</f>
        <v>pega-pega</v>
      </c>
    </row>
    <row r="4496">
      <c r="A4496" s="3">
        <v>45666.0</v>
      </c>
      <c r="B4496" s="4">
        <v>0.2972222222222222</v>
      </c>
      <c r="C4496" s="5" t="s">
        <v>64</v>
      </c>
      <c r="D4496" s="5" t="s">
        <v>1044</v>
      </c>
      <c r="E4496" s="8" t="s">
        <v>290</v>
      </c>
      <c r="F4496" s="5" t="s">
        <v>291</v>
      </c>
      <c r="G4496" s="6" t="str">
        <f>VLOOKUP(E4496,dicionario!$A$1:$C4895,2,0)</f>
        <v>Drymaria cordata</v>
      </c>
      <c r="H4496" s="6" t="str">
        <f>VLOOKUP(E4496,dicionario!$A$1:$C4895,3,0)</f>
        <v>orelha-de-rato</v>
      </c>
    </row>
    <row r="4497">
      <c r="A4497" s="3">
        <v>45666.0</v>
      </c>
      <c r="B4497" s="4">
        <v>0.2972222222222222</v>
      </c>
      <c r="C4497" s="5" t="s">
        <v>64</v>
      </c>
      <c r="D4497" s="5" t="s">
        <v>1044</v>
      </c>
      <c r="E4497" s="8" t="s">
        <v>177</v>
      </c>
      <c r="F4497" s="5" t="s">
        <v>607</v>
      </c>
      <c r="G4497" s="6" t="str">
        <f>VLOOKUP(E4497,dicionario!$A$1:$C4896,2,0)</f>
        <v>Elaenia flavogaster</v>
      </c>
      <c r="H4497" s="6" t="str">
        <f>VLOOKUP(E4497,dicionario!$A$1:$C4896,3,0)</f>
        <v>guaracava-de-barriga-amarela</v>
      </c>
    </row>
    <row r="4498">
      <c r="A4498" s="3">
        <v>45666.0</v>
      </c>
      <c r="B4498" s="4">
        <v>0.29791666666666666</v>
      </c>
      <c r="C4498" s="5" t="s">
        <v>64</v>
      </c>
      <c r="D4498" s="5" t="s">
        <v>1044</v>
      </c>
      <c r="E4498" s="8" t="s">
        <v>88</v>
      </c>
      <c r="F4498" s="5" t="s">
        <v>89</v>
      </c>
      <c r="G4498" s="6" t="str">
        <f>VLOOKUP(E4498,dicionario!$A$1:$C4897,2,0)</f>
        <v>Tyrannus melancolichus</v>
      </c>
      <c r="H4498" s="6" t="str">
        <f>VLOOKUP(E4498,dicionario!$A$1:$C4897,3,0)</f>
        <v>suiriri</v>
      </c>
    </row>
    <row r="4499">
      <c r="A4499" s="3">
        <v>45666.0</v>
      </c>
      <c r="B4499" s="4">
        <v>0.29791666666666666</v>
      </c>
      <c r="C4499" s="5" t="s">
        <v>64</v>
      </c>
      <c r="D4499" s="5" t="s">
        <v>1044</v>
      </c>
      <c r="E4499" s="8" t="s">
        <v>65</v>
      </c>
      <c r="F4499" s="5" t="s">
        <v>66</v>
      </c>
      <c r="G4499" s="6" t="str">
        <f>VLOOKUP(E4499,dicionario!$A$1:$C4898,2,0)</f>
        <v>Pitangus sulphutarus</v>
      </c>
      <c r="H4499" s="6" t="str">
        <f>VLOOKUP(E4499,dicionario!$A$1:$C4898,3,0)</f>
        <v>bem-te-vi</v>
      </c>
    </row>
    <row r="4500">
      <c r="A4500" s="3">
        <v>45666.0</v>
      </c>
      <c r="B4500" s="4">
        <v>0.29791666666666666</v>
      </c>
      <c r="C4500" s="5" t="s">
        <v>64</v>
      </c>
      <c r="D4500" s="5" t="s">
        <v>1044</v>
      </c>
      <c r="E4500" s="8" t="s">
        <v>83</v>
      </c>
      <c r="F4500" s="5" t="s">
        <v>84</v>
      </c>
      <c r="G4500" s="6" t="str">
        <f>VLOOKUP(E4500,dicionario!$A$1:$C4899,2,0)</f>
        <v>Anartia jatrophae</v>
      </c>
      <c r="H4500" s="6" t="str">
        <f>VLOOKUP(E4500,dicionario!$A$1:$C4899,3,0)</f>
        <v>borboleta-pavão-branco</v>
      </c>
    </row>
    <row r="4501">
      <c r="A4501" s="3">
        <v>45666.0</v>
      </c>
      <c r="B4501" s="4">
        <v>0.29791666666666666</v>
      </c>
      <c r="C4501" s="5" t="s">
        <v>64</v>
      </c>
      <c r="D4501" s="5" t="s">
        <v>1044</v>
      </c>
      <c r="E4501" s="8" t="s">
        <v>251</v>
      </c>
      <c r="F4501" s="5" t="s">
        <v>252</v>
      </c>
      <c r="G4501" s="6" t="str">
        <f>VLOOKUP(E4501,dicionario!$A$1:$C4900,2,0)</f>
        <v>Struthanthus flexicaulis</v>
      </c>
      <c r="H4501" s="6" t="str">
        <f>VLOOKUP(E4501,dicionario!$A$1:$C4900,3,0)</f>
        <v>erva-de-passarinho</v>
      </c>
    </row>
    <row r="4502">
      <c r="A4502" s="3">
        <v>45666.0</v>
      </c>
      <c r="B4502" s="4">
        <v>0.29791666666666666</v>
      </c>
      <c r="C4502" s="5" t="s">
        <v>64</v>
      </c>
      <c r="D4502" s="5" t="s">
        <v>1044</v>
      </c>
      <c r="E4502" s="8" t="s">
        <v>113</v>
      </c>
      <c r="F4502" s="5" t="s">
        <v>114</v>
      </c>
      <c r="G4502" s="6" t="str">
        <f>VLOOKUP(E4502,dicionario!$A$1:$C4901,2,0)</f>
        <v>Columbina talpacoti</v>
      </c>
      <c r="H4502" s="6" t="str">
        <f>VLOOKUP(E4502,dicionario!$A$1:$C4901,3,0)</f>
        <v>rolinha-roxa</v>
      </c>
    </row>
    <row r="4503">
      <c r="A4503" s="3">
        <v>45666.0</v>
      </c>
      <c r="B4503" s="4">
        <v>0.29791666666666666</v>
      </c>
      <c r="C4503" s="5" t="s">
        <v>64</v>
      </c>
      <c r="D4503" s="5" t="s">
        <v>1044</v>
      </c>
      <c r="E4503" s="8" t="s">
        <v>171</v>
      </c>
      <c r="F4503" s="5" t="s">
        <v>172</v>
      </c>
      <c r="G4503" s="6" t="str">
        <f>VLOOKUP(E4503,dicionario!$A$1:$C4902,2,0)</f>
        <v>Oxalis corniculata</v>
      </c>
      <c r="H4503" s="6" t="str">
        <f>VLOOKUP(E4503,dicionario!$A$1:$C4902,3,0)</f>
        <v>trevo-azedinho</v>
      </c>
    </row>
    <row r="4504">
      <c r="A4504" s="3">
        <v>45666.0</v>
      </c>
      <c r="B4504" s="4">
        <v>0.29791666666666666</v>
      </c>
      <c r="C4504" s="5" t="s">
        <v>64</v>
      </c>
      <c r="D4504" s="5" t="s">
        <v>1044</v>
      </c>
      <c r="E4504" s="8" t="s">
        <v>122</v>
      </c>
      <c r="F4504" s="7" t="s">
        <v>123</v>
      </c>
      <c r="G4504" s="6" t="str">
        <f>VLOOKUP(E4504,dicionario!$A$1:$C4903,2,0)</f>
        <v>Todirostrum cinereum</v>
      </c>
      <c r="H4504" s="6" t="str">
        <f>VLOOKUP(E4504,dicionario!$A$1:$C4903,3,0)</f>
        <v>ferreirinho-relógio</v>
      </c>
    </row>
    <row r="4505">
      <c r="A4505" s="3">
        <v>45666.0</v>
      </c>
      <c r="B4505" s="4">
        <v>0.29791666666666666</v>
      </c>
      <c r="C4505" s="5" t="s">
        <v>64</v>
      </c>
      <c r="D4505" s="5" t="s">
        <v>1044</v>
      </c>
      <c r="E4505" s="6" t="s">
        <v>245</v>
      </c>
      <c r="F4505" s="7" t="s">
        <v>246</v>
      </c>
      <c r="G4505" s="6" t="str">
        <f>VLOOKUP(E4505,dicionario!$A$1:$C4904,2,0)</f>
        <v>Hemiargus hanno</v>
      </c>
      <c r="H4505" s="6" t="str">
        <f>VLOOKUP(E4505,dicionario!$A$1:$C4904,3,0)</f>
        <v>borboleta-azulzinha-do-trevo</v>
      </c>
    </row>
    <row r="4506">
      <c r="A4506" s="3">
        <v>45666.0</v>
      </c>
      <c r="B4506" s="4">
        <v>0.2986111111111111</v>
      </c>
      <c r="C4506" s="5" t="s">
        <v>64</v>
      </c>
      <c r="D4506" s="5" t="s">
        <v>1044</v>
      </c>
      <c r="E4506" s="8" t="s">
        <v>253</v>
      </c>
      <c r="F4506" s="5" t="s">
        <v>254</v>
      </c>
      <c r="G4506" s="6" t="str">
        <f>VLOOKUP(E4506,dicionario!$A$1:$C4905,2,0)</f>
        <v>Panicum maximum</v>
      </c>
      <c r="H4506" s="6" t="str">
        <f>VLOOKUP(E4506,dicionario!$A$1:$C4905,3,0)</f>
        <v>capim-colonião</v>
      </c>
    </row>
    <row r="4507">
      <c r="A4507" s="3">
        <v>45666.0</v>
      </c>
      <c r="B4507" s="4">
        <v>0.29930555555555555</v>
      </c>
      <c r="C4507" s="5" t="s">
        <v>64</v>
      </c>
      <c r="D4507" s="5" t="s">
        <v>1044</v>
      </c>
      <c r="E4507" s="8" t="s">
        <v>109</v>
      </c>
      <c r="F4507" s="5" t="s">
        <v>110</v>
      </c>
      <c r="G4507" s="6" t="str">
        <f>VLOOKUP(E4507,dicionario!$A$1:$C4906,2,0)</f>
        <v>Tillandsia stricta</v>
      </c>
      <c r="H4507" s="6" t="str">
        <f>VLOOKUP(E4507,dicionario!$A$1:$C4906,3,0)</f>
        <v>cravo-do-mato</v>
      </c>
    </row>
    <row r="4508">
      <c r="A4508" s="3">
        <v>45666.0</v>
      </c>
      <c r="B4508" s="4">
        <v>0.29930555555555555</v>
      </c>
      <c r="C4508" s="5" t="s">
        <v>64</v>
      </c>
      <c r="D4508" s="5" t="s">
        <v>1044</v>
      </c>
      <c r="E4508" s="8" t="s">
        <v>181</v>
      </c>
      <c r="F4508" s="5" t="s">
        <v>182</v>
      </c>
      <c r="G4508" s="6" t="str">
        <f>VLOOKUP(E4508,dicionario!$A$1:$C4907,2,0)</f>
        <v>#N/A</v>
      </c>
      <c r="H4508" s="6" t="str">
        <f>VLOOKUP(E4508,dicionario!$A$1:$C4907,3,0)</f>
        <v>#N/A</v>
      </c>
    </row>
    <row r="4509">
      <c r="A4509" s="3">
        <v>45666.0</v>
      </c>
      <c r="B4509" s="4">
        <v>0.29930555555555555</v>
      </c>
      <c r="C4509" s="5" t="s">
        <v>64</v>
      </c>
      <c r="D4509" s="5" t="s">
        <v>1044</v>
      </c>
      <c r="E4509" s="8" t="s">
        <v>247</v>
      </c>
      <c r="F4509" s="5" t="s">
        <v>387</v>
      </c>
      <c r="G4509" s="6" t="str">
        <f>VLOOKUP(E4509,dicionario!$A$1:$C4908,2,0)</f>
        <v>Emilia sonchifolia</v>
      </c>
      <c r="H4509" s="6" t="str">
        <f>VLOOKUP(E4509,dicionario!$A$1:$C4908,3,0)</f>
        <v>serralinha</v>
      </c>
    </row>
    <row r="4510">
      <c r="A4510" s="3">
        <v>45666.0</v>
      </c>
      <c r="B4510" s="4">
        <v>0.29930555555555555</v>
      </c>
      <c r="C4510" s="5" t="s">
        <v>64</v>
      </c>
      <c r="D4510" s="5" t="s">
        <v>1044</v>
      </c>
      <c r="E4510" s="8" t="s">
        <v>514</v>
      </c>
      <c r="F4510" s="7" t="s">
        <v>515</v>
      </c>
      <c r="G4510" s="6" t="str">
        <f>VLOOKUP(E4510,dicionario!$A$1:$C4909,2,0)</f>
        <v>Aedes aegypti</v>
      </c>
      <c r="H4510" s="6" t="str">
        <f>VLOOKUP(E4510,dicionario!$A$1:$C4909,3,0)</f>
        <v>mosquito-da-dengue</v>
      </c>
    </row>
    <row r="4511">
      <c r="A4511" s="3">
        <v>45666.0</v>
      </c>
      <c r="B4511" s="4">
        <v>0.3</v>
      </c>
      <c r="C4511" s="5" t="s">
        <v>64</v>
      </c>
      <c r="D4511" s="5" t="s">
        <v>1044</v>
      </c>
      <c r="E4511" s="8" t="s">
        <v>613</v>
      </c>
      <c r="F4511" s="5" t="s">
        <v>614</v>
      </c>
      <c r="G4511" s="6" t="str">
        <f>VLOOKUP(E4511,dicionario!$A$1:$C4910,2,0)</f>
        <v>Euphorbia hyssopifolia</v>
      </c>
      <c r="H4511" s="6" t="str">
        <f>VLOOKUP(E4511,dicionario!$A$1:$C4910,3,0)</f>
        <v>maria-leite</v>
      </c>
    </row>
    <row r="4512">
      <c r="A4512" s="3">
        <v>45666.0</v>
      </c>
      <c r="B4512" s="4">
        <v>0.3</v>
      </c>
      <c r="C4512" s="5" t="s">
        <v>64</v>
      </c>
      <c r="D4512" s="5" t="s">
        <v>1044</v>
      </c>
      <c r="E4512" s="56" t="s">
        <v>1062</v>
      </c>
      <c r="F4512" s="57" t="s">
        <v>1063</v>
      </c>
      <c r="G4512" s="6" t="str">
        <f>VLOOKUP(E4512,dicionario!$A$1:$C4911,2,0)</f>
        <v>#N/A</v>
      </c>
      <c r="H4512" s="6" t="str">
        <f>VLOOKUP(E4512,dicionario!$A$1:$C4911,3,0)</f>
        <v>#N/A</v>
      </c>
    </row>
    <row r="4513">
      <c r="A4513" s="3">
        <v>45666.0</v>
      </c>
      <c r="B4513" s="4">
        <v>0.3</v>
      </c>
      <c r="C4513" s="5" t="s">
        <v>64</v>
      </c>
      <c r="D4513" s="5" t="s">
        <v>1044</v>
      </c>
      <c r="E4513" s="8" t="s">
        <v>111</v>
      </c>
      <c r="F4513" s="7" t="s">
        <v>112</v>
      </c>
      <c r="G4513" s="6" t="str">
        <f>VLOOKUP(E4513,dicionario!$A$1:$C4912,2,0)</f>
        <v>Trigona spinipes</v>
      </c>
      <c r="H4513" s="6" t="str">
        <f>VLOOKUP(E4513,dicionario!$A$1:$C4912,3,0)</f>
        <v>abelha-cachorro</v>
      </c>
    </row>
    <row r="4514">
      <c r="A4514" s="3">
        <v>45666.0</v>
      </c>
      <c r="B4514" s="4">
        <v>0.3</v>
      </c>
      <c r="C4514" s="5" t="s">
        <v>64</v>
      </c>
      <c r="D4514" s="5" t="s">
        <v>1044</v>
      </c>
      <c r="E4514" s="8" t="s">
        <v>699</v>
      </c>
      <c r="F4514" s="5" t="s">
        <v>458</v>
      </c>
      <c r="G4514" s="6" t="str">
        <f>VLOOKUP(E4514,dicionario!$A$1:$C4913,2,0)</f>
        <v>#N/A</v>
      </c>
      <c r="H4514" s="6" t="str">
        <f>VLOOKUP(E4514,dicionario!$A$1:$C4913,3,0)</f>
        <v>#N/A</v>
      </c>
    </row>
    <row r="4515">
      <c r="A4515" s="3">
        <v>45666.0</v>
      </c>
      <c r="B4515" s="4">
        <v>0.3</v>
      </c>
      <c r="C4515" s="5" t="s">
        <v>64</v>
      </c>
      <c r="D4515" s="5" t="s">
        <v>1044</v>
      </c>
      <c r="E4515" s="8" t="s">
        <v>152</v>
      </c>
      <c r="F4515" s="5" t="s">
        <v>153</v>
      </c>
      <c r="G4515" s="6" t="str">
        <f>VLOOKUP(E4515,dicionario!$A$1:$C4914,2,0)</f>
        <v>Cynodon dactylon</v>
      </c>
      <c r="H4515" s="6" t="str">
        <f>VLOOKUP(E4515,dicionario!$A$1:$C4914,3,0)</f>
        <v>grama-bermuda</v>
      </c>
    </row>
    <row r="4516">
      <c r="A4516" s="3">
        <v>45666.0</v>
      </c>
      <c r="B4516" s="4">
        <v>0.30416666666666664</v>
      </c>
      <c r="C4516" s="5" t="s">
        <v>59</v>
      </c>
      <c r="D4516" s="5" t="s">
        <v>1044</v>
      </c>
      <c r="E4516" s="8" t="s">
        <v>684</v>
      </c>
      <c r="F4516" s="5" t="s">
        <v>685</v>
      </c>
      <c r="G4516" s="6" t="str">
        <f>VLOOKUP(E4516,dicionario!$A$1:$C4915,2,0)</f>
        <v>Columbina squammata</v>
      </c>
      <c r="H4516" s="6" t="str">
        <f>VLOOKUP(E4516,dicionario!$A$1:$C4915,3,0)</f>
        <v>rolinha-fogo-apagou</v>
      </c>
    </row>
    <row r="4517">
      <c r="A4517" s="3">
        <v>45666.0</v>
      </c>
      <c r="B4517" s="4">
        <v>0.30416666666666664</v>
      </c>
      <c r="C4517" s="5" t="s">
        <v>59</v>
      </c>
      <c r="D4517" s="5" t="s">
        <v>1044</v>
      </c>
      <c r="E4517" s="8" t="s">
        <v>613</v>
      </c>
      <c r="F4517" s="5" t="s">
        <v>614</v>
      </c>
      <c r="G4517" s="6" t="str">
        <f>VLOOKUP(E4517,dicionario!$A$1:$C4916,2,0)</f>
        <v>Euphorbia hyssopifolia</v>
      </c>
      <c r="H4517" s="6" t="str">
        <f>VLOOKUP(E4517,dicionario!$A$1:$C4916,3,0)</f>
        <v>maria-leite</v>
      </c>
    </row>
    <row r="4518">
      <c r="A4518" s="3">
        <v>45666.0</v>
      </c>
      <c r="B4518" s="4">
        <v>0.30416666666666664</v>
      </c>
      <c r="C4518" s="5" t="s">
        <v>59</v>
      </c>
      <c r="D4518" s="5" t="s">
        <v>1044</v>
      </c>
      <c r="E4518" s="8" t="s">
        <v>162</v>
      </c>
      <c r="F4518" s="7" t="s">
        <v>42</v>
      </c>
      <c r="G4518" s="6" t="str">
        <f>VLOOKUP(E4518,dicionario!$A$1:$C4917,2,0)</f>
        <v>Fluvicola nengeta</v>
      </c>
      <c r="H4518" s="6" t="str">
        <f>VLOOKUP(E4518,dicionario!$A$1:$C4917,3,0)</f>
        <v>lavadeira-mascarada</v>
      </c>
    </row>
    <row r="4519">
      <c r="A4519" s="3">
        <v>45666.0</v>
      </c>
      <c r="B4519" s="4">
        <v>0.30416666666666664</v>
      </c>
      <c r="C4519" s="5" t="s">
        <v>59</v>
      </c>
      <c r="D4519" s="5" t="s">
        <v>1044</v>
      </c>
      <c r="E4519" s="8" t="s">
        <v>267</v>
      </c>
      <c r="F4519" s="5" t="s">
        <v>553</v>
      </c>
      <c r="G4519" s="6" t="str">
        <f>VLOOKUP(E4519,dicionario!$A$1:$C4918,2,0)</f>
        <v>Solanum americanum</v>
      </c>
      <c r="H4519" s="6" t="str">
        <f>VLOOKUP(E4519,dicionario!$A$1:$C4918,3,0)</f>
        <v>maria-pretinha</v>
      </c>
    </row>
    <row r="4520">
      <c r="A4520" s="3">
        <v>45666.0</v>
      </c>
      <c r="B4520" s="4">
        <v>0.30416666666666664</v>
      </c>
      <c r="C4520" s="5" t="s">
        <v>59</v>
      </c>
      <c r="D4520" s="5" t="s">
        <v>1044</v>
      </c>
      <c r="E4520" s="8" t="s">
        <v>53</v>
      </c>
      <c r="F4520" s="7" t="s">
        <v>54</v>
      </c>
      <c r="G4520" s="6" t="str">
        <f>VLOOKUP(E4520,dicionario!$A$1:$C4919,2,0)</f>
        <v>Turnera subulata</v>
      </c>
      <c r="H4520" s="6" t="str">
        <f>VLOOKUP(E4520,dicionario!$A$1:$C4919,3,0)</f>
        <v>xanana</v>
      </c>
    </row>
    <row r="4521">
      <c r="A4521" s="3">
        <v>45666.0</v>
      </c>
      <c r="B4521" s="4">
        <v>0.30416666666666664</v>
      </c>
      <c r="C4521" s="5" t="s">
        <v>59</v>
      </c>
      <c r="D4521" s="5" t="s">
        <v>1044</v>
      </c>
      <c r="E4521" s="8" t="s">
        <v>253</v>
      </c>
      <c r="F4521" s="5" t="s">
        <v>254</v>
      </c>
      <c r="G4521" s="6" t="str">
        <f>VLOOKUP(E4521,dicionario!$A$1:$C4920,2,0)</f>
        <v>Panicum maximum</v>
      </c>
      <c r="H4521" s="6" t="str">
        <f>VLOOKUP(E4521,dicionario!$A$1:$C4920,3,0)</f>
        <v>capim-colonião</v>
      </c>
    </row>
    <row r="4522">
      <c r="A4522" s="3">
        <v>45666.0</v>
      </c>
      <c r="B4522" s="4">
        <v>0.30416666666666664</v>
      </c>
      <c r="C4522" s="5" t="s">
        <v>59</v>
      </c>
      <c r="D4522" s="5" t="s">
        <v>1044</v>
      </c>
      <c r="E4522" s="8" t="s">
        <v>286</v>
      </c>
      <c r="F4522" s="5" t="s">
        <v>287</v>
      </c>
      <c r="G4522" s="6" t="str">
        <f>VLOOKUP(E4522,dicionario!$A$1:$C4921,2,0)</f>
        <v>Setaria parviflora</v>
      </c>
      <c r="H4522" s="6" t="str">
        <f>VLOOKUP(E4522,dicionario!$A$1:$C4921,3,0)</f>
        <v>capim-rabo-de-raposa</v>
      </c>
    </row>
    <row r="4523">
      <c r="A4523" s="3">
        <v>45666.0</v>
      </c>
      <c r="B4523" s="4">
        <v>0.30416666666666664</v>
      </c>
      <c r="C4523" s="5" t="s">
        <v>59</v>
      </c>
      <c r="D4523" s="5" t="s">
        <v>1044</v>
      </c>
      <c r="E4523" s="8" t="s">
        <v>150</v>
      </c>
      <c r="F4523" s="5" t="s">
        <v>151</v>
      </c>
      <c r="G4523" s="6" t="str">
        <f>VLOOKUP(E4523,dicionario!$A$1:$C4922,2,0)</f>
        <v>Amaranthus viridis</v>
      </c>
      <c r="H4523" s="6" t="str">
        <f>VLOOKUP(E4523,dicionario!$A$1:$C4922,3,0)</f>
        <v>caruru-de-mancha</v>
      </c>
    </row>
    <row r="4524">
      <c r="A4524" s="3">
        <v>45666.0</v>
      </c>
      <c r="B4524" s="4">
        <v>0.30416666666666664</v>
      </c>
      <c r="C4524" s="5" t="s">
        <v>59</v>
      </c>
      <c r="D4524" s="5" t="s">
        <v>1044</v>
      </c>
      <c r="E4524" s="8" t="s">
        <v>22</v>
      </c>
      <c r="F4524" s="5" t="s">
        <v>97</v>
      </c>
      <c r="G4524" s="6" t="str">
        <f>VLOOKUP(E4524,dicionario!$A$1:$C4923,2,0)</f>
        <v>Zenaida auriculata</v>
      </c>
      <c r="H4524" s="6" t="str">
        <f>VLOOKUP(E4524,dicionario!$A$1:$C4923,3,0)</f>
        <v>pomba-de-bando; avoante</v>
      </c>
    </row>
    <row r="4525">
      <c r="A4525" s="3">
        <v>45666.0</v>
      </c>
      <c r="B4525" s="4">
        <v>0.30486111111111114</v>
      </c>
      <c r="C4525" s="5" t="s">
        <v>59</v>
      </c>
      <c r="D4525" s="5" t="s">
        <v>1044</v>
      </c>
      <c r="E4525" s="8" t="s">
        <v>113</v>
      </c>
      <c r="F4525" s="5" t="s">
        <v>114</v>
      </c>
      <c r="G4525" s="6" t="str">
        <f>VLOOKUP(E4525,dicionario!$A$1:$C4924,2,0)</f>
        <v>Columbina talpacoti</v>
      </c>
      <c r="H4525" s="6" t="str">
        <f>VLOOKUP(E4525,dicionario!$A$1:$C4924,3,0)</f>
        <v>rolinha-roxa</v>
      </c>
    </row>
    <row r="4526">
      <c r="A4526" s="3">
        <v>45666.0</v>
      </c>
      <c r="B4526" s="4">
        <v>0.30486111111111114</v>
      </c>
      <c r="C4526" s="5" t="s">
        <v>59</v>
      </c>
      <c r="D4526" s="5" t="s">
        <v>1044</v>
      </c>
      <c r="E4526" s="8" t="s">
        <v>934</v>
      </c>
      <c r="F4526" s="5" t="s">
        <v>414</v>
      </c>
      <c r="G4526" s="6" t="str">
        <f>VLOOKUP(E4526,dicionario!$A$1:$C4925,2,0)</f>
        <v>#N/A</v>
      </c>
      <c r="H4526" s="6" t="str">
        <f>VLOOKUP(E4526,dicionario!$A$1:$C4925,3,0)</f>
        <v>#N/A</v>
      </c>
    </row>
    <row r="4527">
      <c r="A4527" s="3">
        <v>45666.0</v>
      </c>
      <c r="B4527" s="4">
        <v>0.3055555555555556</v>
      </c>
      <c r="C4527" s="5" t="s">
        <v>59</v>
      </c>
      <c r="D4527" s="5" t="s">
        <v>1044</v>
      </c>
      <c r="E4527" s="8" t="s">
        <v>682</v>
      </c>
      <c r="F4527" s="5" t="s">
        <v>683</v>
      </c>
      <c r="G4527" s="6" t="str">
        <f>VLOOKUP(E4527,dicionario!$A$1:$C4926,2,0)</f>
        <v>Lagria villosa</v>
      </c>
      <c r="H4527" s="6" t="str">
        <f>VLOOKUP(E4527,dicionario!$A$1:$C4926,3,0)</f>
        <v>bicho-capixaba</v>
      </c>
    </row>
    <row r="4528">
      <c r="A4528" s="3">
        <v>45666.0</v>
      </c>
      <c r="B4528" s="4">
        <v>0.3055555555555556</v>
      </c>
      <c r="C4528" s="5" t="s">
        <v>59</v>
      </c>
      <c r="D4528" s="5" t="s">
        <v>1044</v>
      </c>
      <c r="E4528" s="8" t="s">
        <v>213</v>
      </c>
      <c r="F4528" s="7" t="s">
        <v>214</v>
      </c>
      <c r="G4528" s="6" t="str">
        <f>VLOOKUP(E4528,dicionario!$A$1:$C4927,2,0)</f>
        <v>Myiozetetes similis</v>
      </c>
      <c r="H4528" s="6" t="str">
        <f>VLOOKUP(E4528,dicionario!$A$1:$C4927,3,0)</f>
        <v>bentevizinho-de-penacho-vermelho</v>
      </c>
    </row>
    <row r="4529">
      <c r="A4529" s="3">
        <v>45666.0</v>
      </c>
      <c r="B4529" s="4">
        <v>0.3055555555555556</v>
      </c>
      <c r="C4529" s="5" t="s">
        <v>59</v>
      </c>
      <c r="D4529" s="5" t="s">
        <v>1044</v>
      </c>
      <c r="E4529" s="8" t="s">
        <v>177</v>
      </c>
      <c r="F4529" s="5" t="s">
        <v>178</v>
      </c>
      <c r="G4529" s="6" t="str">
        <f>VLOOKUP(E4529,dicionario!$A$1:$C4928,2,0)</f>
        <v>Elaenia flavogaster</v>
      </c>
      <c r="H4529" s="6" t="str">
        <f>VLOOKUP(E4529,dicionario!$A$1:$C4928,3,0)</f>
        <v>guaracava-de-barriga-amarela</v>
      </c>
    </row>
    <row r="4530">
      <c r="A4530" s="3">
        <v>45666.0</v>
      </c>
      <c r="B4530" s="4">
        <v>0.30625</v>
      </c>
      <c r="C4530" s="5" t="s">
        <v>59</v>
      </c>
      <c r="D4530" s="5" t="s">
        <v>1044</v>
      </c>
      <c r="E4530" s="8" t="s">
        <v>471</v>
      </c>
      <c r="F4530" s="5" t="s">
        <v>472</v>
      </c>
      <c r="G4530" s="6" t="str">
        <f>VLOOKUP(E4530,dicionario!$A$1:$C4929,2,0)</f>
        <v>Sida acuta</v>
      </c>
      <c r="H4530" s="6" t="str">
        <f>VLOOKUP(E4530,dicionario!$A$1:$C4929,3,0)</f>
        <v>reloginho</v>
      </c>
    </row>
    <row r="4531">
      <c r="A4531" s="3">
        <v>45666.0</v>
      </c>
      <c r="B4531" s="4">
        <v>0.30625</v>
      </c>
      <c r="C4531" s="5" t="s">
        <v>59</v>
      </c>
      <c r="D4531" s="5" t="s">
        <v>1044</v>
      </c>
      <c r="E4531" s="8" t="s">
        <v>611</v>
      </c>
      <c r="F4531" s="5" t="s">
        <v>612</v>
      </c>
      <c r="G4531" s="6" t="str">
        <f>VLOOKUP(E4531,dicionario!$A$1:$C4930,2,0)</f>
        <v>Boehmeria cylindrica</v>
      </c>
      <c r="H4531" s="6" t="str">
        <f>VLOOKUP(E4531,dicionario!$A$1:$C4930,3,0)</f>
        <v>falsa-urtiga</v>
      </c>
    </row>
    <row r="4532">
      <c r="A4532" s="3">
        <v>45666.0</v>
      </c>
      <c r="B4532" s="4">
        <v>0.30625</v>
      </c>
      <c r="C4532" s="5" t="s">
        <v>59</v>
      </c>
      <c r="D4532" s="5" t="s">
        <v>1044</v>
      </c>
      <c r="E4532" s="8" t="s">
        <v>498</v>
      </c>
      <c r="F4532" s="5" t="s">
        <v>499</v>
      </c>
      <c r="G4532" s="6" t="str">
        <f>VLOOKUP(E4532,dicionario!$A$1:$C4931,2,0)</f>
        <v>Brachiaria decumbens</v>
      </c>
      <c r="H4532" s="6" t="str">
        <f>VLOOKUP(E4532,dicionario!$A$1:$C4931,3,0)</f>
        <v>capim-braquiária</v>
      </c>
    </row>
    <row r="4533">
      <c r="A4533" s="3">
        <v>45666.0</v>
      </c>
      <c r="B4533" s="4">
        <v>0.30625</v>
      </c>
      <c r="C4533" s="5" t="s">
        <v>59</v>
      </c>
      <c r="D4533" s="5" t="s">
        <v>1044</v>
      </c>
      <c r="E4533" s="8" t="s">
        <v>86</v>
      </c>
      <c r="F4533" s="5" t="s">
        <v>502</v>
      </c>
      <c r="G4533" s="6" t="str">
        <f>VLOOKUP(E4533,dicionario!$A$1:$C4932,2,0)</f>
        <v>Coereba flaveola</v>
      </c>
      <c r="H4533" s="6" t="str">
        <f>VLOOKUP(E4533,dicionario!$A$1:$C4932,3,0)</f>
        <v>cambacica</v>
      </c>
    </row>
    <row r="4534">
      <c r="A4534" s="3">
        <v>45666.0</v>
      </c>
      <c r="B4534" s="4">
        <v>0.30625</v>
      </c>
      <c r="C4534" s="5" t="s">
        <v>59</v>
      </c>
      <c r="D4534" s="5" t="s">
        <v>1044</v>
      </c>
      <c r="E4534" s="8" t="s">
        <v>38</v>
      </c>
      <c r="F4534" s="5" t="s">
        <v>39</v>
      </c>
      <c r="G4534" s="6" t="str">
        <f>VLOOKUP(E4534,dicionario!$A$1:$C4933,2,0)</f>
        <v>Troglodytes musculus</v>
      </c>
      <c r="H4534" s="6" t="str">
        <f>VLOOKUP(E4534,dicionario!$A$1:$C4933,3,0)</f>
        <v>curruíra</v>
      </c>
    </row>
    <row r="4535">
      <c r="A4535" s="3">
        <v>45666.0</v>
      </c>
      <c r="B4535" s="4">
        <v>0.30625</v>
      </c>
      <c r="C4535" s="5" t="s">
        <v>59</v>
      </c>
      <c r="D4535" s="5" t="s">
        <v>1044</v>
      </c>
      <c r="E4535" s="8" t="s">
        <v>719</v>
      </c>
      <c r="F4535" s="5" t="s">
        <v>1005</v>
      </c>
      <c r="G4535" s="6" t="str">
        <f>VLOOKUP(E4535,dicionario!$A$1:$C4934,2,0)</f>
        <v>Dirinaria</v>
      </c>
      <c r="H4535" s="6" t="str">
        <f>VLOOKUP(E4535,dicionario!$A$1:$C4934,3,0)</f>
        <v>líquen-crostoso</v>
      </c>
    </row>
    <row r="4536">
      <c r="A4536" s="3">
        <v>45666.0</v>
      </c>
      <c r="B4536" s="4">
        <v>0.30625</v>
      </c>
      <c r="C4536" s="5" t="s">
        <v>59</v>
      </c>
      <c r="D4536" s="5" t="s">
        <v>1044</v>
      </c>
      <c r="E4536" s="8" t="s">
        <v>712</v>
      </c>
      <c r="F4536" s="5" t="s">
        <v>1006</v>
      </c>
      <c r="G4536" s="6" t="str">
        <f>VLOOKUP(E4536,dicionario!$A$1:$C4935,2,0)</f>
        <v>Flavopunctelia soredica</v>
      </c>
      <c r="H4536" s="6" t="str">
        <f>VLOOKUP(E4536,dicionario!$A$1:$C4935,3,0)</f>
        <v>líquen-folioso</v>
      </c>
    </row>
    <row r="4537">
      <c r="A4537" s="3">
        <v>45666.0</v>
      </c>
      <c r="B4537" s="4">
        <v>0.30625</v>
      </c>
      <c r="C4537" s="5" t="s">
        <v>59</v>
      </c>
      <c r="D4537" s="5" t="s">
        <v>1044</v>
      </c>
      <c r="E4537" s="8" t="s">
        <v>107</v>
      </c>
      <c r="F4537" s="5" t="s">
        <v>107</v>
      </c>
      <c r="G4537" s="6" t="str">
        <f>VLOOKUP(E4537,dicionario!$A$1:$C4936,2,0)</f>
        <v>Ramalina complanata</v>
      </c>
      <c r="H4537" s="6" t="str">
        <f>VLOOKUP(E4537,dicionario!$A$1:$C4936,3,0)</f>
        <v>ramalina</v>
      </c>
    </row>
    <row r="4538">
      <c r="A4538" s="3">
        <v>45666.0</v>
      </c>
      <c r="B4538" s="4">
        <v>0.30625</v>
      </c>
      <c r="C4538" s="5" t="s">
        <v>59</v>
      </c>
      <c r="D4538" s="5" t="s">
        <v>1044</v>
      </c>
      <c r="E4538" s="8" t="s">
        <v>381</v>
      </c>
      <c r="F4538" s="5" t="s">
        <v>382</v>
      </c>
      <c r="G4538" s="6" t="str">
        <f>VLOOKUP(E4538,dicionario!$A$1:$C4937,2,0)</f>
        <v>Pseudomyrmex</v>
      </c>
      <c r="H4538" s="6" t="str">
        <f>VLOOKUP(E4538,dicionario!$A$1:$C4937,3,0)</f>
        <v>maria-magra</v>
      </c>
    </row>
    <row r="4539">
      <c r="A4539" s="3">
        <v>45666.0</v>
      </c>
      <c r="B4539" s="4">
        <v>0.30694444444444446</v>
      </c>
      <c r="C4539" s="5" t="s">
        <v>59</v>
      </c>
      <c r="D4539" s="5" t="s">
        <v>1044</v>
      </c>
      <c r="E4539" s="8" t="s">
        <v>1064</v>
      </c>
      <c r="F4539" s="5" t="s">
        <v>603</v>
      </c>
      <c r="G4539" s="6" t="str">
        <f>VLOOKUP(E4539,dicionario!$A$1:$C4938,2,0)</f>
        <v>#N/A</v>
      </c>
      <c r="H4539" s="6" t="str">
        <f>VLOOKUP(E4539,dicionario!$A$1:$C4938,3,0)</f>
        <v>#N/A</v>
      </c>
    </row>
    <row r="4540">
      <c r="A4540" s="3">
        <v>45666.0</v>
      </c>
      <c r="B4540" s="4">
        <v>0.30694444444444446</v>
      </c>
      <c r="C4540" s="5" t="s">
        <v>59</v>
      </c>
      <c r="D4540" s="5" t="s">
        <v>1044</v>
      </c>
      <c r="E4540" s="8" t="s">
        <v>22</v>
      </c>
      <c r="F4540" s="5" t="s">
        <v>902</v>
      </c>
      <c r="G4540" s="6" t="str">
        <f>VLOOKUP(E4540,dicionario!$A$1:$C4939,2,0)</f>
        <v>Zenaida auriculata</v>
      </c>
      <c r="H4540" s="6" t="str">
        <f>VLOOKUP(E4540,dicionario!$A$1:$C4939,3,0)</f>
        <v>pomba-de-bando; avoante</v>
      </c>
    </row>
    <row r="4541">
      <c r="A4541" s="3">
        <v>45666.0</v>
      </c>
      <c r="B4541" s="4">
        <v>0.30694444444444446</v>
      </c>
      <c r="C4541" s="5" t="s">
        <v>59</v>
      </c>
      <c r="D4541" s="5" t="s">
        <v>1044</v>
      </c>
      <c r="E4541" s="8" t="s">
        <v>46</v>
      </c>
      <c r="F4541" s="5" t="s">
        <v>47</v>
      </c>
      <c r="G4541" s="6" t="str">
        <f>VLOOKUP(E4541,dicionario!$A$1:$C4940,2,0)</f>
        <v>Chionomesa fimbriata</v>
      </c>
      <c r="H4541" s="6" t="str">
        <f>VLOOKUP(E4541,dicionario!$A$1:$C4940,3,0)</f>
        <v>beija-flor-de-garganta-verde</v>
      </c>
    </row>
    <row r="4542">
      <c r="A4542" s="3">
        <v>45666.0</v>
      </c>
      <c r="B4542" s="4">
        <v>0.30694444444444446</v>
      </c>
      <c r="C4542" s="5" t="s">
        <v>59</v>
      </c>
      <c r="D4542" s="5" t="s">
        <v>1044</v>
      </c>
      <c r="E4542" s="8" t="s">
        <v>353</v>
      </c>
      <c r="F4542" s="5" t="s">
        <v>354</v>
      </c>
      <c r="G4542" s="6" t="str">
        <f>VLOOKUP(E4542,dicionario!$A$1:$C4941,2,0)</f>
        <v>Desmodium incanum</v>
      </c>
      <c r="H4542" s="6" t="str">
        <f>VLOOKUP(E4542,dicionario!$A$1:$C4941,3,0)</f>
        <v>pega-pega</v>
      </c>
    </row>
    <row r="4543">
      <c r="A4543" s="3">
        <v>45666.0</v>
      </c>
      <c r="B4543" s="4">
        <v>0.3076388888888889</v>
      </c>
      <c r="C4543" s="5" t="s">
        <v>59</v>
      </c>
      <c r="D4543" s="5" t="s">
        <v>1044</v>
      </c>
      <c r="E4543" s="8" t="s">
        <v>298</v>
      </c>
      <c r="F4543" s="5" t="s">
        <v>739</v>
      </c>
      <c r="G4543" s="6" t="str">
        <f>VLOOKUP(E4543,dicionario!$A$1:$C4942,2,0)</f>
        <v>Alysicarpus vaginalis</v>
      </c>
      <c r="H4543" s="6" t="str">
        <f>VLOOKUP(E4543,dicionario!$A$1:$C4942,3,0)</f>
        <v/>
      </c>
    </row>
    <row r="4544">
      <c r="A4544" s="3">
        <v>45666.0</v>
      </c>
      <c r="B4544" s="4">
        <v>0.30833333333333335</v>
      </c>
      <c r="C4544" s="5" t="s">
        <v>59</v>
      </c>
      <c r="D4544" s="5" t="s">
        <v>1044</v>
      </c>
      <c r="E4544" s="8" t="s">
        <v>109</v>
      </c>
      <c r="F4544" s="5" t="s">
        <v>110</v>
      </c>
      <c r="G4544" s="6" t="str">
        <f>VLOOKUP(E4544,dicionario!$A$1:$C4943,2,0)</f>
        <v>Tillandsia stricta</v>
      </c>
      <c r="H4544" s="6" t="str">
        <f>VLOOKUP(E4544,dicionario!$A$1:$C4943,3,0)</f>
        <v>cravo-do-mato</v>
      </c>
    </row>
    <row r="4545">
      <c r="A4545" s="3">
        <v>45666.0</v>
      </c>
      <c r="B4545" s="4">
        <v>0.30833333333333335</v>
      </c>
      <c r="C4545" s="5" t="s">
        <v>59</v>
      </c>
      <c r="D4545" s="5" t="s">
        <v>1044</v>
      </c>
      <c r="E4545" s="8" t="s">
        <v>243</v>
      </c>
      <c r="F4545" s="5" t="s">
        <v>244</v>
      </c>
      <c r="G4545" s="6" t="str">
        <f>VLOOKUP(E4545,dicionario!$A$1:$C4944,2,0)</f>
        <v>Macroptilium atropurpureum</v>
      </c>
      <c r="H4545" s="6" t="str">
        <f>VLOOKUP(E4545,dicionario!$A$1:$C4944,3,0)</f>
        <v>feijão-de-pombo</v>
      </c>
    </row>
    <row r="4546">
      <c r="A4546" s="3">
        <v>45666.0</v>
      </c>
      <c r="B4546" s="4">
        <v>0.30833333333333335</v>
      </c>
      <c r="C4546" s="5" t="s">
        <v>59</v>
      </c>
      <c r="D4546" s="5" t="s">
        <v>1044</v>
      </c>
      <c r="E4546" s="8" t="s">
        <v>18</v>
      </c>
      <c r="F4546" s="5" t="s">
        <v>1065</v>
      </c>
      <c r="G4546" s="6" t="str">
        <f>VLOOKUP(E4546,dicionario!$A$1:$C4945,2,0)</f>
        <v>Xylocopa frontalis</v>
      </c>
      <c r="H4546" s="6" t="str">
        <f>VLOOKUP(E4546,dicionario!$A$1:$C4945,3,0)</f>
        <v>Mamangava; mangangá; abelha-carpinteira</v>
      </c>
    </row>
    <row r="4547">
      <c r="A4547" s="3">
        <v>45666.0</v>
      </c>
      <c r="B4547" s="4">
        <v>0.30833333333333335</v>
      </c>
      <c r="C4547" s="5" t="s">
        <v>59</v>
      </c>
      <c r="D4547" s="5" t="s">
        <v>1044</v>
      </c>
      <c r="E4547" s="8" t="s">
        <v>162</v>
      </c>
      <c r="F4547" s="7" t="s">
        <v>42</v>
      </c>
      <c r="G4547" s="6" t="str">
        <f>VLOOKUP(E4547,dicionario!$A$1:$C4946,2,0)</f>
        <v>Fluvicola nengeta</v>
      </c>
      <c r="H4547" s="6" t="str">
        <f>VLOOKUP(E4547,dicionario!$A$1:$C4946,3,0)</f>
        <v>lavadeira-mascarada</v>
      </c>
    </row>
    <row r="4548">
      <c r="A4548" s="3">
        <v>45666.0</v>
      </c>
      <c r="B4548" s="4">
        <v>0.30833333333333335</v>
      </c>
      <c r="C4548" s="5" t="s">
        <v>59</v>
      </c>
      <c r="D4548" s="5" t="s">
        <v>1044</v>
      </c>
      <c r="E4548" s="8" t="s">
        <v>1066</v>
      </c>
      <c r="F4548" s="5" t="s">
        <v>582</v>
      </c>
      <c r="G4548" s="6" t="str">
        <f>VLOOKUP(E4548,dicionario!$A$1:$C4947,2,0)</f>
        <v>#N/A</v>
      </c>
      <c r="H4548" s="6" t="str">
        <f>VLOOKUP(E4548,dicionario!$A$1:$C4947,3,0)</f>
        <v>#N/A</v>
      </c>
    </row>
    <row r="4549">
      <c r="A4549" s="3">
        <v>45666.0</v>
      </c>
      <c r="B4549" s="4">
        <v>0.30972222222222223</v>
      </c>
      <c r="C4549" s="5" t="s">
        <v>59</v>
      </c>
      <c r="D4549" s="5" t="s">
        <v>1044</v>
      </c>
      <c r="E4549" s="8" t="s">
        <v>613</v>
      </c>
      <c r="F4549" s="5" t="s">
        <v>614</v>
      </c>
      <c r="G4549" s="6" t="str">
        <f>VLOOKUP(E4549,dicionario!$A$1:$C4948,2,0)</f>
        <v>Euphorbia hyssopifolia</v>
      </c>
      <c r="H4549" s="6" t="str">
        <f>VLOOKUP(E4549,dicionario!$A$1:$C4948,3,0)</f>
        <v>maria-leite</v>
      </c>
    </row>
    <row r="4550">
      <c r="A4550" s="3">
        <v>45666.0</v>
      </c>
      <c r="B4550" s="4">
        <v>0.30972222222222223</v>
      </c>
      <c r="C4550" s="5" t="s">
        <v>59</v>
      </c>
      <c r="D4550" s="5" t="s">
        <v>1044</v>
      </c>
      <c r="E4550" s="8" t="s">
        <v>271</v>
      </c>
      <c r="F4550" s="7" t="s">
        <v>272</v>
      </c>
      <c r="G4550" s="6" t="str">
        <f>VLOOKUP(E4550,dicionario!$A$1:$C4949,2,0)</f>
        <v>Cyanthillium cinereum</v>
      </c>
      <c r="H4550" s="6" t="str">
        <f>VLOOKUP(E4550,dicionario!$A$1:$C4949,3,0)</f>
        <v>emília</v>
      </c>
    </row>
    <row r="4551">
      <c r="A4551" s="3">
        <v>45666.0</v>
      </c>
      <c r="B4551" s="4">
        <v>0.30972222222222223</v>
      </c>
      <c r="C4551" s="5" t="s">
        <v>59</v>
      </c>
      <c r="D4551" s="5" t="s">
        <v>1044</v>
      </c>
      <c r="E4551" s="58" t="s">
        <v>1067</v>
      </c>
      <c r="F4551" s="59" t="s">
        <v>1068</v>
      </c>
      <c r="G4551" s="6" t="str">
        <f>VLOOKUP(E4551,dicionario!$A$1:$C4950,2,0)</f>
        <v>Burnsius orcynoides</v>
      </c>
      <c r="H4551" s="6" t="str">
        <f>VLOOKUP(E4551,dicionario!$A$1:$C4950,3,0)</f>
        <v/>
      </c>
    </row>
    <row r="4552">
      <c r="A4552" s="3">
        <v>45666.0</v>
      </c>
      <c r="B4552" s="4">
        <v>0.30972222222222223</v>
      </c>
      <c r="C4552" s="5" t="s">
        <v>59</v>
      </c>
      <c r="D4552" s="5" t="s">
        <v>1044</v>
      </c>
      <c r="E4552" s="8" t="s">
        <v>80</v>
      </c>
      <c r="F4552" s="5" t="s">
        <v>81</v>
      </c>
      <c r="G4552" s="6" t="str">
        <f>VLOOKUP(E4552,dicionario!$A$1:$C4951,2,0)</f>
        <v>Pentatomidae</v>
      </c>
      <c r="H4552" s="6" t="str">
        <f>VLOOKUP(E4552,dicionario!$A$1:$C4951,3,0)</f>
        <v>maria-fedida</v>
      </c>
    </row>
    <row r="4553">
      <c r="A4553" s="3">
        <v>45666.0</v>
      </c>
      <c r="B4553" s="4">
        <v>0.3104166666666667</v>
      </c>
      <c r="C4553" s="5" t="s">
        <v>59</v>
      </c>
      <c r="D4553" s="5" t="s">
        <v>1044</v>
      </c>
      <c r="E4553" s="8" t="s">
        <v>55</v>
      </c>
      <c r="F4553" s="5" t="s">
        <v>56</v>
      </c>
      <c r="G4553" s="6" t="str">
        <f>VLOOKUP(E4553,dicionario!$A$1:$C4952,2,0)</f>
        <v>Cubaris murina</v>
      </c>
      <c r="H4553" s="6" t="str">
        <f>VLOOKUP(E4553,dicionario!$A$1:$C4952,3,0)</f>
        <v>tatuzinho-de-jardim</v>
      </c>
    </row>
    <row r="4554">
      <c r="A4554" s="3">
        <v>45666.0</v>
      </c>
      <c r="B4554" s="4">
        <v>0.3104166666666667</v>
      </c>
      <c r="C4554" s="5" t="s">
        <v>59</v>
      </c>
      <c r="D4554" s="5" t="s">
        <v>1044</v>
      </c>
      <c r="E4554" s="8" t="s">
        <v>167</v>
      </c>
      <c r="F4554" s="5" t="s">
        <v>168</v>
      </c>
      <c r="G4554" s="6" t="str">
        <f>VLOOKUP(E4554,dicionario!$A$1:$C4953,2,0)</f>
        <v>Hemidactylus mabouia</v>
      </c>
      <c r="H4554" s="6" t="str">
        <f>VLOOKUP(E4554,dicionario!$A$1:$C4953,3,0)</f>
        <v>lagartixa-doméstica-tropical</v>
      </c>
    </row>
    <row r="4555">
      <c r="A4555" s="3">
        <v>45666.0</v>
      </c>
      <c r="B4555" s="4">
        <v>0.3111111111111111</v>
      </c>
      <c r="C4555" s="5" t="s">
        <v>59</v>
      </c>
      <c r="D4555" s="5" t="s">
        <v>1044</v>
      </c>
      <c r="E4555" s="8" t="s">
        <v>245</v>
      </c>
      <c r="F4555" s="5" t="s">
        <v>1069</v>
      </c>
      <c r="G4555" s="6" t="str">
        <f>VLOOKUP(E4555,dicionario!$A$1:$C4954,2,0)</f>
        <v>Hemiargus hanno</v>
      </c>
      <c r="H4555" s="6" t="str">
        <f>VLOOKUP(E4555,dicionario!$A$1:$C4954,3,0)</f>
        <v>borboleta-azulzinha-do-trevo</v>
      </c>
    </row>
    <row r="4556">
      <c r="A4556" s="3">
        <v>45666.0</v>
      </c>
      <c r="B4556" s="4">
        <v>0.31180555555555556</v>
      </c>
      <c r="C4556" s="5" t="s">
        <v>50</v>
      </c>
      <c r="D4556" s="5" t="s">
        <v>1044</v>
      </c>
      <c r="E4556" s="15" t="s">
        <v>1070</v>
      </c>
      <c r="F4556" s="5" t="s">
        <v>1071</v>
      </c>
      <c r="G4556" s="6" t="str">
        <f>VLOOKUP(E4556,dicionario!$A$1:$C4955,2,0)</f>
        <v>#N/A</v>
      </c>
      <c r="H4556" s="6" t="str">
        <f>VLOOKUP(E4556,dicionario!$A$1:$C4955,3,0)</f>
        <v>#N/A</v>
      </c>
    </row>
    <row r="4557">
      <c r="A4557" s="3">
        <v>45666.0</v>
      </c>
      <c r="B4557" s="4">
        <v>0.31180555555555556</v>
      </c>
      <c r="C4557" s="5" t="s">
        <v>50</v>
      </c>
      <c r="D4557" s="5" t="s">
        <v>1044</v>
      </c>
      <c r="E4557" s="8" t="s">
        <v>113</v>
      </c>
      <c r="F4557" s="5" t="s">
        <v>114</v>
      </c>
      <c r="G4557" s="6" t="str">
        <f>VLOOKUP(E4557,dicionario!$A$1:$C4956,2,0)</f>
        <v>Columbina talpacoti</v>
      </c>
      <c r="H4557" s="6" t="str">
        <f>VLOOKUP(E4557,dicionario!$A$1:$C4956,3,0)</f>
        <v>rolinha-roxa</v>
      </c>
    </row>
    <row r="4558">
      <c r="A4558" s="3">
        <v>45666.0</v>
      </c>
      <c r="B4558" s="4">
        <v>0.3125</v>
      </c>
      <c r="C4558" s="5" t="s">
        <v>50</v>
      </c>
      <c r="D4558" s="5" t="s">
        <v>1044</v>
      </c>
      <c r="E4558" s="8" t="s">
        <v>111</v>
      </c>
      <c r="F4558" s="7" t="s">
        <v>112</v>
      </c>
      <c r="G4558" s="6" t="str">
        <f>VLOOKUP(E4558,dicionario!$A$1:$C4957,2,0)</f>
        <v>Trigona spinipes</v>
      </c>
      <c r="H4558" s="6" t="str">
        <f>VLOOKUP(E4558,dicionario!$A$1:$C4957,3,0)</f>
        <v>abelha-cachorro</v>
      </c>
    </row>
    <row r="4559">
      <c r="A4559" s="3">
        <v>45666.0</v>
      </c>
      <c r="B4559" s="4">
        <v>0.3125</v>
      </c>
      <c r="C4559" s="5" t="s">
        <v>50</v>
      </c>
      <c r="D4559" s="5" t="s">
        <v>1044</v>
      </c>
      <c r="E4559" s="8" t="s">
        <v>88</v>
      </c>
      <c r="F4559" s="5" t="s">
        <v>89</v>
      </c>
      <c r="G4559" s="6" t="str">
        <f>VLOOKUP(E4559,dicionario!$A$1:$C4958,2,0)</f>
        <v>Tyrannus melancolichus</v>
      </c>
      <c r="H4559" s="6" t="str">
        <f>VLOOKUP(E4559,dicionario!$A$1:$C4958,3,0)</f>
        <v>suiriri</v>
      </c>
    </row>
    <row r="4560">
      <c r="A4560" s="3">
        <v>45666.0</v>
      </c>
      <c r="B4560" s="4">
        <v>0.3125</v>
      </c>
      <c r="C4560" s="5" t="s">
        <v>50</v>
      </c>
      <c r="D4560" s="5" t="s">
        <v>1044</v>
      </c>
      <c r="E4560" s="8" t="s">
        <v>65</v>
      </c>
      <c r="F4560" s="5" t="s">
        <v>66</v>
      </c>
      <c r="G4560" s="6" t="str">
        <f>VLOOKUP(E4560,dicionario!$A$1:$C4959,2,0)</f>
        <v>Pitangus sulphutarus</v>
      </c>
      <c r="H4560" s="6" t="str">
        <f>VLOOKUP(E4560,dicionario!$A$1:$C4959,3,0)</f>
        <v>bem-te-vi</v>
      </c>
    </row>
    <row r="4561">
      <c r="A4561" s="3">
        <v>45666.0</v>
      </c>
      <c r="B4561" s="4">
        <v>0.3125</v>
      </c>
      <c r="C4561" s="5" t="s">
        <v>50</v>
      </c>
      <c r="D4561" s="5" t="s">
        <v>1044</v>
      </c>
      <c r="E4561" s="8" t="s">
        <v>229</v>
      </c>
      <c r="F4561" s="5" t="s">
        <v>230</v>
      </c>
      <c r="G4561" s="6" t="str">
        <f>VLOOKUP(E4561,dicionario!$A$1:$C4960,2,0)</f>
        <v>Apis mellifera</v>
      </c>
      <c r="H4561" s="6" t="str">
        <f>VLOOKUP(E4561,dicionario!$A$1:$C4960,3,0)</f>
        <v>abelha-do-mel</v>
      </c>
    </row>
    <row r="4562">
      <c r="A4562" s="3">
        <v>45666.0</v>
      </c>
      <c r="B4562" s="4">
        <v>0.3125</v>
      </c>
      <c r="C4562" s="5" t="s">
        <v>50</v>
      </c>
      <c r="D4562" s="5" t="s">
        <v>1044</v>
      </c>
      <c r="E4562" s="8" t="s">
        <v>200</v>
      </c>
      <c r="F4562" s="5" t="s">
        <v>1072</v>
      </c>
      <c r="G4562" s="6" t="str">
        <f>VLOOKUP(E4562,dicionario!$A$1:$C4961,2,0)</f>
        <v>Columbina picui </v>
      </c>
      <c r="H4562" s="6" t="str">
        <f>VLOOKUP(E4562,dicionario!$A$1:$C4961,3,0)</f>
        <v>rolinha-picuí</v>
      </c>
    </row>
    <row r="4563">
      <c r="A4563" s="3">
        <v>45666.0</v>
      </c>
      <c r="B4563" s="4">
        <v>0.31319444444444444</v>
      </c>
      <c r="C4563" s="5" t="s">
        <v>50</v>
      </c>
      <c r="D4563" s="5" t="s">
        <v>1044</v>
      </c>
      <c r="E4563" s="8" t="s">
        <v>16</v>
      </c>
      <c r="F4563" s="5" t="s">
        <v>17</v>
      </c>
      <c r="G4563" s="6" t="str">
        <f>VLOOKUP(E4563,dicionario!$A$1:$C4962,2,0)</f>
        <v>Eupetomena macroura</v>
      </c>
      <c r="H4563" s="6" t="str">
        <f>VLOOKUP(E4563,dicionario!$A$1:$C4962,3,0)</f>
        <v>beija-flor-tesoura</v>
      </c>
    </row>
    <row r="4564">
      <c r="A4564" s="3">
        <v>45666.0</v>
      </c>
      <c r="B4564" s="4">
        <v>0.31319444444444444</v>
      </c>
      <c r="C4564" s="5" t="s">
        <v>50</v>
      </c>
      <c r="D4564" s="5" t="s">
        <v>1044</v>
      </c>
      <c r="E4564" s="8" t="s">
        <v>69</v>
      </c>
      <c r="F4564" s="7" t="s">
        <v>71</v>
      </c>
      <c r="G4564" s="6" t="str">
        <f>VLOOKUP(E4564,dicionario!$A$1:$C4963,2,0)</f>
        <v>Talinum fruticosum</v>
      </c>
      <c r="H4564" s="6" t="str">
        <f>VLOOKUP(E4564,dicionario!$A$1:$C4963,3,0)</f>
        <v>beldroega-grande</v>
      </c>
    </row>
    <row r="4565">
      <c r="A4565" s="3">
        <v>45666.0</v>
      </c>
      <c r="B4565" s="4">
        <v>0.31319444444444444</v>
      </c>
      <c r="C4565" s="5" t="s">
        <v>50</v>
      </c>
      <c r="D4565" s="5" t="s">
        <v>1044</v>
      </c>
      <c r="E4565" s="8" t="s">
        <v>399</v>
      </c>
      <c r="F4565" s="5" t="s">
        <v>400</v>
      </c>
      <c r="G4565" s="6" t="str">
        <f>VLOOKUP(E4565,dicionario!$A$1:$C4964,2,0)</f>
        <v>Varronia curassavica</v>
      </c>
      <c r="H4565" s="6" t="str">
        <f>VLOOKUP(E4565,dicionario!$A$1:$C4964,3,0)</f>
        <v>erva-baleeira</v>
      </c>
    </row>
    <row r="4566">
      <c r="A4566" s="3">
        <v>45666.0</v>
      </c>
      <c r="B4566" s="4">
        <v>0.3138888888888889</v>
      </c>
      <c r="C4566" s="5" t="s">
        <v>50</v>
      </c>
      <c r="D4566" s="5" t="s">
        <v>1044</v>
      </c>
      <c r="E4566" s="8" t="s">
        <v>267</v>
      </c>
      <c r="F4566" s="5" t="s">
        <v>553</v>
      </c>
      <c r="G4566" s="6" t="str">
        <f>VLOOKUP(E4566,dicionario!$A$1:$C4965,2,0)</f>
        <v>Solanum americanum</v>
      </c>
      <c r="H4566" s="6" t="str">
        <f>VLOOKUP(E4566,dicionario!$A$1:$C4965,3,0)</f>
        <v>maria-pretinha</v>
      </c>
    </row>
    <row r="4567">
      <c r="A4567" s="3">
        <v>45666.0</v>
      </c>
      <c r="B4567" s="4">
        <v>0.3138888888888889</v>
      </c>
      <c r="C4567" s="5" t="s">
        <v>50</v>
      </c>
      <c r="D4567" s="5" t="s">
        <v>1044</v>
      </c>
      <c r="E4567" s="8" t="s">
        <v>471</v>
      </c>
      <c r="F4567" s="5" t="s">
        <v>472</v>
      </c>
      <c r="G4567" s="6" t="str">
        <f>VLOOKUP(E4567,dicionario!$A$1:$C4966,2,0)</f>
        <v>Sida acuta</v>
      </c>
      <c r="H4567" s="6" t="str">
        <f>VLOOKUP(E4567,dicionario!$A$1:$C4966,3,0)</f>
        <v>reloginho</v>
      </c>
    </row>
    <row r="4568">
      <c r="A4568" s="3">
        <v>45666.0</v>
      </c>
      <c r="B4568" s="4">
        <v>0.3138888888888889</v>
      </c>
      <c r="C4568" s="5" t="s">
        <v>50</v>
      </c>
      <c r="D4568" s="5" t="s">
        <v>1044</v>
      </c>
      <c r="E4568" s="8" t="s">
        <v>53</v>
      </c>
      <c r="F4568" s="7" t="s">
        <v>54</v>
      </c>
      <c r="G4568" s="6" t="str">
        <f>VLOOKUP(E4568,dicionario!$A$1:$C4967,2,0)</f>
        <v>Turnera subulata</v>
      </c>
      <c r="H4568" s="6" t="str">
        <f>VLOOKUP(E4568,dicionario!$A$1:$C4967,3,0)</f>
        <v>xanana</v>
      </c>
    </row>
    <row r="4569">
      <c r="A4569" s="3">
        <v>45666.0</v>
      </c>
      <c r="B4569" s="4">
        <v>0.3138888888888889</v>
      </c>
      <c r="C4569" s="5" t="s">
        <v>50</v>
      </c>
      <c r="D4569" s="5" t="s">
        <v>1044</v>
      </c>
      <c r="E4569" s="8" t="s">
        <v>566</v>
      </c>
      <c r="F4569" s="5" t="s">
        <v>567</v>
      </c>
      <c r="G4569" s="6" t="str">
        <f>VLOOKUP(E4569,dicionario!$A$1:$C4968,2,0)</f>
        <v>Baccharis dracunculifolia</v>
      </c>
      <c r="H4569" s="6" t="str">
        <f>VLOOKUP(E4569,dicionario!$A$1:$C4968,3,0)</f>
        <v>vassoura</v>
      </c>
    </row>
    <row r="4570">
      <c r="A4570" s="3">
        <v>45666.0</v>
      </c>
      <c r="B4570" s="4">
        <v>0.3145833333333333</v>
      </c>
      <c r="C4570" s="5" t="s">
        <v>50</v>
      </c>
      <c r="D4570" s="5" t="s">
        <v>1044</v>
      </c>
      <c r="E4570" s="8" t="s">
        <v>150</v>
      </c>
      <c r="F4570" s="5" t="s">
        <v>151</v>
      </c>
      <c r="G4570" s="6" t="str">
        <f>VLOOKUP(E4570,dicionario!$A$1:$C4969,2,0)</f>
        <v>Amaranthus viridis</v>
      </c>
      <c r="H4570" s="6" t="str">
        <f>VLOOKUP(E4570,dicionario!$A$1:$C4969,3,0)</f>
        <v>caruru-de-mancha</v>
      </c>
    </row>
    <row r="4571">
      <c r="A4571" s="3">
        <v>45666.0</v>
      </c>
      <c r="B4571" s="4">
        <v>0.3145833333333333</v>
      </c>
      <c r="C4571" s="5" t="s">
        <v>50</v>
      </c>
      <c r="D4571" s="5" t="s">
        <v>1044</v>
      </c>
      <c r="E4571" s="8" t="s">
        <v>148</v>
      </c>
      <c r="F4571" s="5" t="s">
        <v>149</v>
      </c>
      <c r="G4571" s="6" t="str">
        <f>VLOOKUP(E4571,dicionario!$A$1:$C4970,2,0)</f>
        <v>Parthenium hysterophorus</v>
      </c>
      <c r="H4571" s="6" t="str">
        <f>VLOOKUP(E4571,dicionario!$A$1:$C4970,3,0)</f>
        <v>losna-branca</v>
      </c>
    </row>
    <row r="4572">
      <c r="A4572" s="3">
        <v>45666.0</v>
      </c>
      <c r="B4572" s="4">
        <v>0.3145833333333333</v>
      </c>
      <c r="C4572" s="5" t="s">
        <v>50</v>
      </c>
      <c r="D4572" s="5" t="s">
        <v>1044</v>
      </c>
      <c r="E4572" s="8" t="s">
        <v>296</v>
      </c>
      <c r="F4572" s="5" t="s">
        <v>297</v>
      </c>
      <c r="G4572" s="6" t="str">
        <f>VLOOKUP(E4572,dicionario!$A$1:$C4971,2,0)</f>
        <v>Richardia brasiliensis</v>
      </c>
      <c r="H4572" s="6" t="str">
        <f>VLOOKUP(E4572,dicionario!$A$1:$C4971,3,0)</f>
        <v>poaia-branca</v>
      </c>
    </row>
    <row r="4573">
      <c r="A4573" s="3">
        <v>45666.0</v>
      </c>
      <c r="B4573" s="4">
        <v>0.3145833333333333</v>
      </c>
      <c r="C4573" s="5" t="s">
        <v>50</v>
      </c>
      <c r="D4573" s="5" t="s">
        <v>1044</v>
      </c>
      <c r="E4573" s="8" t="s">
        <v>355</v>
      </c>
      <c r="F4573" s="5" t="s">
        <v>356</v>
      </c>
      <c r="G4573" s="6" t="str">
        <f>VLOOKUP(E4573,dicionario!$A$1:$C4972,2,0)</f>
        <v>Boerhavia diffusa</v>
      </c>
      <c r="H4573" s="6" t="str">
        <f>VLOOKUP(E4573,dicionario!$A$1:$C4972,3,0)</f>
        <v>erva-tostão</v>
      </c>
    </row>
    <row r="4574">
      <c r="A4574" s="3">
        <v>45666.0</v>
      </c>
      <c r="B4574" s="4">
        <v>0.31527777777777777</v>
      </c>
      <c r="C4574" s="5" t="s">
        <v>50</v>
      </c>
      <c r="D4574" s="5" t="s">
        <v>1044</v>
      </c>
      <c r="E4574" s="8" t="s">
        <v>227</v>
      </c>
      <c r="F4574" s="5" t="s">
        <v>228</v>
      </c>
      <c r="G4574" s="6" t="str">
        <f>VLOOKUP(E4574,dicionario!$A$1:$C4973,2,0)</f>
        <v>Indigofera hirsuta</v>
      </c>
      <c r="H4574" s="6" t="str">
        <f>VLOOKUP(E4574,dicionario!$A$1:$C4973,3,0)</f>
        <v>anileira</v>
      </c>
    </row>
    <row r="4575">
      <c r="A4575" s="3">
        <v>45666.0</v>
      </c>
      <c r="B4575" s="4">
        <v>0.31527777777777777</v>
      </c>
      <c r="C4575" s="5" t="s">
        <v>50</v>
      </c>
      <c r="D4575" s="5" t="s">
        <v>1044</v>
      </c>
      <c r="E4575" s="20" t="s">
        <v>676</v>
      </c>
      <c r="F4575" s="7" t="s">
        <v>677</v>
      </c>
      <c r="G4575" s="6" t="str">
        <f>VLOOKUP(E4575,dicionario!$A$1:$C4974,2,0)</f>
        <v>Zornia latifolia</v>
      </c>
      <c r="H4575" s="6" t="str">
        <f>VLOOKUP(E4575,dicionario!$A$1:$C4974,3,0)</f>
        <v>arrozinho-do-campo</v>
      </c>
    </row>
    <row r="4576">
      <c r="A4576" s="3">
        <v>45666.0</v>
      </c>
      <c r="B4576" s="4">
        <v>0.31527777777777777</v>
      </c>
      <c r="C4576" s="5" t="s">
        <v>50</v>
      </c>
      <c r="D4576" s="5" t="s">
        <v>1044</v>
      </c>
      <c r="E4576" s="8" t="s">
        <v>132</v>
      </c>
      <c r="F4576" s="5" t="s">
        <v>133</v>
      </c>
      <c r="G4576" s="6" t="str">
        <f>VLOOKUP(E4576,dicionario!$A$1:$C4975,2,0)</f>
        <v>Euphonia chlorotica</v>
      </c>
      <c r="H4576" s="6" t="str">
        <f>VLOOKUP(E4576,dicionario!$A$1:$C4975,3,0)</f>
        <v>fim-fim</v>
      </c>
    </row>
    <row r="4577">
      <c r="A4577" s="3">
        <v>45666.0</v>
      </c>
      <c r="B4577" s="4">
        <v>0.31527777777777777</v>
      </c>
      <c r="C4577" s="5" t="s">
        <v>50</v>
      </c>
      <c r="D4577" s="5" t="s">
        <v>1044</v>
      </c>
      <c r="E4577" s="8" t="s">
        <v>421</v>
      </c>
      <c r="F4577" s="5" t="s">
        <v>422</v>
      </c>
      <c r="G4577" s="6" t="str">
        <f>VLOOKUP(E4577,dicionario!$A$1:$C4976,2,0)</f>
        <v>Subulina octona</v>
      </c>
      <c r="H4577" s="6" t="str">
        <f>VLOOKUP(E4577,dicionario!$A$1:$C4976,3,0)</f>
        <v>caracol-de-jardim</v>
      </c>
    </row>
    <row r="4578">
      <c r="A4578" s="3">
        <v>45666.0</v>
      </c>
      <c r="B4578" s="4">
        <v>0.31527777777777777</v>
      </c>
      <c r="C4578" s="5" t="s">
        <v>50</v>
      </c>
      <c r="D4578" s="5" t="s">
        <v>1044</v>
      </c>
      <c r="E4578" s="8" t="s">
        <v>195</v>
      </c>
      <c r="F4578" s="5" t="s">
        <v>196</v>
      </c>
      <c r="G4578" s="6" t="str">
        <f>VLOOKUP(E4578,dicionario!$A$1:$C4977,2,0)</f>
        <v>Priva lappulacea</v>
      </c>
      <c r="H4578" s="6" t="str">
        <f>VLOOKUP(E4578,dicionario!$A$1:$C4977,3,0)</f>
        <v>carrapicho</v>
      </c>
    </row>
    <row r="4579">
      <c r="A4579" s="3">
        <v>45666.0</v>
      </c>
      <c r="B4579" s="4">
        <v>0.31527777777777777</v>
      </c>
      <c r="C4579" s="5" t="s">
        <v>50</v>
      </c>
      <c r="D4579" s="5" t="s">
        <v>1044</v>
      </c>
      <c r="E4579" s="8" t="s">
        <v>122</v>
      </c>
      <c r="F4579" s="7" t="s">
        <v>123</v>
      </c>
      <c r="G4579" s="6" t="str">
        <f>VLOOKUP(E4579,dicionario!$A$1:$C4978,2,0)</f>
        <v>Todirostrum cinereum</v>
      </c>
      <c r="H4579" s="6" t="str">
        <f>VLOOKUP(E4579,dicionario!$A$1:$C4978,3,0)</f>
        <v>ferreirinho-relógio</v>
      </c>
    </row>
    <row r="4580">
      <c r="A4580" s="3">
        <v>45666.0</v>
      </c>
      <c r="B4580" s="4">
        <v>0.3159722222222222</v>
      </c>
      <c r="C4580" s="5" t="s">
        <v>50</v>
      </c>
      <c r="D4580" s="5" t="s">
        <v>1044</v>
      </c>
      <c r="E4580" s="8" t="s">
        <v>55</v>
      </c>
      <c r="F4580" s="5" t="s">
        <v>56</v>
      </c>
      <c r="G4580" s="6" t="str">
        <f>VLOOKUP(E4580,dicionario!$A$1:$C4979,2,0)</f>
        <v>Cubaris murina</v>
      </c>
      <c r="H4580" s="6" t="str">
        <f>VLOOKUP(E4580,dicionario!$A$1:$C4979,3,0)</f>
        <v>tatuzinho-de-jardim</v>
      </c>
    </row>
    <row r="4581">
      <c r="A4581" s="3">
        <v>45666.0</v>
      </c>
      <c r="B4581" s="4">
        <v>0.3159722222222222</v>
      </c>
      <c r="C4581" s="5" t="s">
        <v>50</v>
      </c>
      <c r="D4581" s="5" t="s">
        <v>1044</v>
      </c>
      <c r="E4581" s="8" t="s">
        <v>57</v>
      </c>
      <c r="F4581" s="5" t="s">
        <v>58</v>
      </c>
      <c r="G4581" s="6" t="str">
        <f>VLOOKUP(E4581,dicionario!$A$1:$C4980,2,0)</f>
        <v>Juliformia</v>
      </c>
      <c r="H4581" s="6" t="str">
        <f>VLOOKUP(E4581,dicionario!$A$1:$C4980,3,0)</f>
        <v>gongolo; maria-café</v>
      </c>
    </row>
    <row r="4582">
      <c r="A4582" s="3">
        <v>45666.0</v>
      </c>
      <c r="B4582" s="4">
        <v>0.3159722222222222</v>
      </c>
      <c r="C4582" s="5" t="s">
        <v>50</v>
      </c>
      <c r="D4582" s="5" t="s">
        <v>1044</v>
      </c>
      <c r="E4582" s="8" t="s">
        <v>388</v>
      </c>
      <c r="F4582" s="5" t="s">
        <v>389</v>
      </c>
      <c r="G4582" s="6" t="str">
        <f>VLOOKUP(E4582,dicionario!$A$1:$C4981,2,0)</f>
        <v>Bulimulus tenuissimus</v>
      </c>
      <c r="H4582" s="6" t="str">
        <f>VLOOKUP(E4582,dicionario!$A$1:$C4981,3,0)</f>
        <v>caracol-fantasma</v>
      </c>
    </row>
    <row r="4583">
      <c r="A4583" s="3">
        <v>45666.0</v>
      </c>
      <c r="B4583" s="4">
        <v>0.3159722222222222</v>
      </c>
      <c r="C4583" s="5" t="s">
        <v>50</v>
      </c>
      <c r="D4583" s="5" t="s">
        <v>1044</v>
      </c>
      <c r="E4583" s="8" t="s">
        <v>51</v>
      </c>
      <c r="F4583" s="5" t="s">
        <v>77</v>
      </c>
      <c r="G4583" s="6" t="str">
        <f>VLOOKUP(E4583,dicionario!$A$1:$C4982,2,0)</f>
        <v>Solenopsis</v>
      </c>
      <c r="H4583" s="6" t="str">
        <f>VLOOKUP(E4583,dicionario!$A$1:$C4982,3,0)</f>
        <v>formiga-quente; formiga-lava-pés; formiga-de-fogo</v>
      </c>
    </row>
    <row r="4584">
      <c r="A4584" s="3">
        <v>45666.0</v>
      </c>
      <c r="B4584" s="4">
        <v>0.3159722222222222</v>
      </c>
      <c r="C4584" s="5" t="s">
        <v>50</v>
      </c>
      <c r="D4584" s="5" t="s">
        <v>1044</v>
      </c>
      <c r="E4584" s="8" t="s">
        <v>1067</v>
      </c>
      <c r="F4584" s="59" t="s">
        <v>1068</v>
      </c>
      <c r="G4584" s="6" t="str">
        <f>VLOOKUP(E4584,dicionario!$A$1:$C4983,2,0)</f>
        <v>Burnsius orcynoides</v>
      </c>
      <c r="H4584" s="6" t="str">
        <f>VLOOKUP(E4584,dicionario!$A$1:$C4983,3,0)</f>
        <v/>
      </c>
    </row>
    <row r="4585">
      <c r="A4585" s="3">
        <v>45666.0</v>
      </c>
      <c r="B4585" s="4">
        <v>0.3159722222222222</v>
      </c>
      <c r="C4585" s="5" t="s">
        <v>50</v>
      </c>
      <c r="D4585" s="5" t="s">
        <v>1044</v>
      </c>
      <c r="E4585" s="8" t="s">
        <v>467</v>
      </c>
      <c r="F4585" s="5" t="s">
        <v>468</v>
      </c>
      <c r="G4585" s="6" t="str">
        <f>VLOOKUP(E4585,dicionario!$A$1:$C4984,2,0)</f>
        <v>Eleusine indica</v>
      </c>
      <c r="H4585" s="6" t="str">
        <f>VLOOKUP(E4585,dicionario!$A$1:$C4984,3,0)</f>
        <v>capim-pé-de-galinha</v>
      </c>
    </row>
    <row r="4586">
      <c r="A4586" s="3">
        <v>45666.0</v>
      </c>
      <c r="B4586" s="4">
        <v>0.3159722222222222</v>
      </c>
      <c r="C4586" s="5" t="s">
        <v>50</v>
      </c>
      <c r="D4586" s="5" t="s">
        <v>1044</v>
      </c>
      <c r="E4586" s="8" t="s">
        <v>163</v>
      </c>
      <c r="F4586" s="5" t="s">
        <v>164</v>
      </c>
      <c r="G4586" s="6" t="str">
        <f>VLOOKUP(E4586,dicionario!$A$1:$C4985,2,0)</f>
        <v>Coragyps atratus</v>
      </c>
      <c r="H4586" s="6" t="str">
        <f>VLOOKUP(E4586,dicionario!$A$1:$C4985,3,0)</f>
        <v>urubu-de-cabeça-preta</v>
      </c>
    </row>
    <row r="4587">
      <c r="A4587" s="3">
        <v>45666.0</v>
      </c>
      <c r="B4587" s="4">
        <v>0.32222222222222224</v>
      </c>
      <c r="C4587" s="5" t="s">
        <v>40</v>
      </c>
      <c r="D4587" s="5" t="s">
        <v>1044</v>
      </c>
      <c r="E4587" s="8" t="s">
        <v>298</v>
      </c>
      <c r="F4587" s="5" t="s">
        <v>739</v>
      </c>
      <c r="G4587" s="6" t="str">
        <f>VLOOKUP(E4587,dicionario!$A$1:$C4986,2,0)</f>
        <v>Alysicarpus vaginalis</v>
      </c>
      <c r="H4587" s="6" t="str">
        <f>VLOOKUP(E4587,dicionario!$A$1:$C4986,3,0)</f>
        <v/>
      </c>
    </row>
    <row r="4588">
      <c r="A4588" s="3">
        <v>45666.0</v>
      </c>
      <c r="B4588" s="4">
        <v>0.32222222222222224</v>
      </c>
      <c r="C4588" s="5" t="s">
        <v>40</v>
      </c>
      <c r="D4588" s="5" t="s">
        <v>1044</v>
      </c>
      <c r="E4588" s="8" t="s">
        <v>154</v>
      </c>
      <c r="F4588" s="5" t="s">
        <v>155</v>
      </c>
      <c r="G4588" s="6" t="str">
        <f>VLOOKUP(E4588,dicionario!$A$1:$C4987,2,0)</f>
        <v>Cyperus rotundus</v>
      </c>
      <c r="H4588" s="6" t="str">
        <f>VLOOKUP(E4588,dicionario!$A$1:$C4987,3,0)</f>
        <v>tiririca</v>
      </c>
    </row>
    <row r="4589">
      <c r="A4589" s="3">
        <v>45666.0</v>
      </c>
      <c r="B4589" s="4">
        <v>0.32222222222222224</v>
      </c>
      <c r="C4589" s="5" t="s">
        <v>40</v>
      </c>
      <c r="D4589" s="5" t="s">
        <v>1044</v>
      </c>
      <c r="E4589" s="8" t="s">
        <v>150</v>
      </c>
      <c r="F4589" s="5" t="s">
        <v>151</v>
      </c>
      <c r="G4589" s="6" t="str">
        <f>VLOOKUP(E4589,dicionario!$A$1:$C4988,2,0)</f>
        <v>Amaranthus viridis</v>
      </c>
      <c r="H4589" s="6" t="str">
        <f>VLOOKUP(E4589,dicionario!$A$1:$C4988,3,0)</f>
        <v>caruru-de-mancha</v>
      </c>
    </row>
    <row r="4590">
      <c r="A4590" s="3">
        <v>45666.0</v>
      </c>
      <c r="B4590" s="4">
        <v>0.32222222222222224</v>
      </c>
      <c r="C4590" s="5" t="s">
        <v>40</v>
      </c>
      <c r="D4590" s="5" t="s">
        <v>1044</v>
      </c>
      <c r="E4590" s="8" t="s">
        <v>1073</v>
      </c>
      <c r="F4590" s="5" t="s">
        <v>1074</v>
      </c>
      <c r="G4590" s="6" t="str">
        <f>VLOOKUP(E4590,dicionario!$A$1:$C4989,2,0)</f>
        <v>#N/A</v>
      </c>
      <c r="H4590" s="6" t="str">
        <f>VLOOKUP(E4590,dicionario!$A$1:$C4989,3,0)</f>
        <v>#N/A</v>
      </c>
    </row>
    <row r="4591">
      <c r="A4591" s="3">
        <v>45666.0</v>
      </c>
      <c r="B4591" s="4">
        <v>0.3229166666666667</v>
      </c>
      <c r="C4591" s="5" t="s">
        <v>40</v>
      </c>
      <c r="D4591" s="5" t="s">
        <v>1044</v>
      </c>
      <c r="E4591" s="8" t="s">
        <v>288</v>
      </c>
      <c r="F4591" s="5" t="s">
        <v>289</v>
      </c>
      <c r="G4591" s="6" t="str">
        <f>VLOOKUP(E4591,dicionario!$A$1:$C4990,2,0)</f>
        <v>Phyllanthus tenellus</v>
      </c>
      <c r="H4591" s="6" t="str">
        <f>VLOOKUP(E4591,dicionario!$A$1:$C4990,3,0)</f>
        <v>quebra-pedra</v>
      </c>
    </row>
    <row r="4592">
      <c r="A4592" s="3">
        <v>45666.0</v>
      </c>
      <c r="B4592" s="4">
        <v>0.3229166666666667</v>
      </c>
      <c r="C4592" s="5" t="s">
        <v>40</v>
      </c>
      <c r="D4592" s="5" t="s">
        <v>1044</v>
      </c>
      <c r="E4592" s="8" t="s">
        <v>886</v>
      </c>
      <c r="F4592" s="5" t="s">
        <v>887</v>
      </c>
      <c r="G4592" s="6" t="str">
        <f>VLOOKUP(E4592,dicionario!$A$1:$C4991,2,0)</f>
        <v>Oldenlandia corymbosa</v>
      </c>
      <c r="H4592" s="6" t="str">
        <f>VLOOKUP(E4592,dicionario!$A$1:$C4991,3,0)</f>
        <v>erva-diamante</v>
      </c>
    </row>
    <row r="4593">
      <c r="A4593" s="3">
        <v>45666.0</v>
      </c>
      <c r="B4593" s="4">
        <v>0.3229166666666667</v>
      </c>
      <c r="C4593" s="5" t="s">
        <v>40</v>
      </c>
      <c r="D4593" s="5" t="s">
        <v>1044</v>
      </c>
      <c r="E4593" s="8" t="s">
        <v>113</v>
      </c>
      <c r="F4593" s="5" t="s">
        <v>114</v>
      </c>
      <c r="G4593" s="6" t="str">
        <f>VLOOKUP(E4593,dicionario!$A$1:$C4992,2,0)</f>
        <v>Columbina talpacoti</v>
      </c>
      <c r="H4593" s="6" t="str">
        <f>VLOOKUP(E4593,dicionario!$A$1:$C4992,3,0)</f>
        <v>rolinha-roxa</v>
      </c>
    </row>
    <row r="4594">
      <c r="A4594" s="3">
        <v>45666.0</v>
      </c>
      <c r="B4594" s="4">
        <v>0.3236111111111111</v>
      </c>
      <c r="C4594" s="5" t="s">
        <v>40</v>
      </c>
      <c r="D4594" s="5" t="s">
        <v>1044</v>
      </c>
      <c r="E4594" s="8" t="s">
        <v>271</v>
      </c>
      <c r="F4594" s="7" t="s">
        <v>272</v>
      </c>
      <c r="G4594" s="6" t="str">
        <f>VLOOKUP(E4594,dicionario!$A$1:$C4993,2,0)</f>
        <v>Cyanthillium cinereum</v>
      </c>
      <c r="H4594" s="6" t="str">
        <f>VLOOKUP(E4594,dicionario!$A$1:$C4993,3,0)</f>
        <v>emília</v>
      </c>
    </row>
    <row r="4595">
      <c r="A4595" s="3">
        <v>45666.0</v>
      </c>
      <c r="B4595" s="4">
        <v>0.3236111111111111</v>
      </c>
      <c r="C4595" s="5" t="s">
        <v>40</v>
      </c>
      <c r="D4595" s="5" t="s">
        <v>1044</v>
      </c>
      <c r="E4595" s="8" t="s">
        <v>53</v>
      </c>
      <c r="F4595" s="7" t="s">
        <v>54</v>
      </c>
      <c r="G4595" s="6" t="str">
        <f>VLOOKUP(E4595,dicionario!$A$1:$C4994,2,0)</f>
        <v>Turnera subulata</v>
      </c>
      <c r="H4595" s="6" t="str">
        <f>VLOOKUP(E4595,dicionario!$A$1:$C4994,3,0)</f>
        <v>xanana</v>
      </c>
    </row>
    <row r="4596">
      <c r="A4596" s="3">
        <v>45666.0</v>
      </c>
      <c r="B4596" s="4">
        <v>0.32430555555555557</v>
      </c>
      <c r="C4596" s="5" t="s">
        <v>40</v>
      </c>
      <c r="D4596" s="5" t="s">
        <v>1044</v>
      </c>
      <c r="E4596" s="8" t="s">
        <v>1075</v>
      </c>
      <c r="F4596" s="5" t="s">
        <v>1076</v>
      </c>
      <c r="G4596" s="6" t="str">
        <f>VLOOKUP(E4596,dicionario!$A$1:$C4995,2,0)</f>
        <v>#N/A</v>
      </c>
      <c r="H4596" s="6" t="str">
        <f>VLOOKUP(E4596,dicionario!$A$1:$C4995,3,0)</f>
        <v>#N/A</v>
      </c>
    </row>
    <row r="4597">
      <c r="A4597" s="3">
        <v>45666.0</v>
      </c>
      <c r="B4597" s="4">
        <v>0.32430555555555557</v>
      </c>
      <c r="C4597" s="5" t="s">
        <v>40</v>
      </c>
      <c r="D4597" s="5" t="s">
        <v>1044</v>
      </c>
      <c r="E4597" s="8" t="s">
        <v>483</v>
      </c>
      <c r="F4597" s="5" t="s">
        <v>484</v>
      </c>
      <c r="G4597" s="6" t="str">
        <f>VLOOKUP(E4597,dicionario!$A$1:$C4996,2,0)</f>
        <v>Euphorbia prostrata</v>
      </c>
      <c r="H4597" s="6" t="str">
        <f>VLOOKUP(E4597,dicionario!$A$1:$C4996,3,0)</f>
        <v>quebra-pedra-rasteira</v>
      </c>
    </row>
    <row r="4598">
      <c r="A4598" s="3">
        <v>45666.0</v>
      </c>
      <c r="B4598" s="4">
        <v>0.32430555555555557</v>
      </c>
      <c r="C4598" s="5" t="s">
        <v>40</v>
      </c>
      <c r="D4598" s="5" t="s">
        <v>1044</v>
      </c>
      <c r="E4598" s="8" t="s">
        <v>158</v>
      </c>
      <c r="F4598" s="5" t="s">
        <v>159</v>
      </c>
      <c r="G4598" s="6" t="str">
        <f>VLOOKUP(E4598,dicionario!$A$1:$C4997,2,0)</f>
        <v>Nephilingis cruentata</v>
      </c>
      <c r="H4598" s="6" t="str">
        <f>VLOOKUP(E4598,dicionario!$A$1:$C4997,3,0)</f>
        <v>maria-bola</v>
      </c>
    </row>
    <row r="4599">
      <c r="A4599" s="3">
        <v>45666.0</v>
      </c>
      <c r="B4599" s="4">
        <v>0.325</v>
      </c>
      <c r="C4599" s="5" t="s">
        <v>40</v>
      </c>
      <c r="D4599" s="5" t="s">
        <v>1044</v>
      </c>
      <c r="E4599" s="8" t="s">
        <v>611</v>
      </c>
      <c r="F4599" s="5" t="s">
        <v>612</v>
      </c>
      <c r="G4599" s="6" t="str">
        <f>VLOOKUP(E4599,dicionario!$A$1:$C4998,2,0)</f>
        <v>Boehmeria cylindrica</v>
      </c>
      <c r="H4599" s="6" t="str">
        <f>VLOOKUP(E4599,dicionario!$A$1:$C4998,3,0)</f>
        <v>falsa-urtiga</v>
      </c>
    </row>
    <row r="4600">
      <c r="A4600" s="3">
        <v>45666.0</v>
      </c>
      <c r="B4600" s="4">
        <v>0.325</v>
      </c>
      <c r="C4600" s="5" t="s">
        <v>40</v>
      </c>
      <c r="D4600" s="5" t="s">
        <v>1044</v>
      </c>
      <c r="E4600" s="8" t="s">
        <v>113</v>
      </c>
      <c r="F4600" s="5" t="s">
        <v>114</v>
      </c>
      <c r="G4600" s="6" t="str">
        <f>VLOOKUP(E4600,dicionario!$A$1:$C4999,2,0)</f>
        <v>Columbina talpacoti</v>
      </c>
      <c r="H4600" s="6" t="str">
        <f>VLOOKUP(E4600,dicionario!$A$1:$C4999,3,0)</f>
        <v>rolinha-roxa</v>
      </c>
    </row>
    <row r="4601">
      <c r="A4601" s="3">
        <v>45666.0</v>
      </c>
      <c r="B4601" s="4">
        <v>0.32569444444444445</v>
      </c>
      <c r="C4601" s="5" t="s">
        <v>40</v>
      </c>
      <c r="D4601" s="5" t="s">
        <v>1044</v>
      </c>
      <c r="E4601" s="8" t="s">
        <v>267</v>
      </c>
      <c r="F4601" s="5" t="s">
        <v>553</v>
      </c>
      <c r="G4601" s="6" t="str">
        <f>VLOOKUP(E4601,dicionario!$A$1:$C5000,2,0)</f>
        <v>Solanum americanum</v>
      </c>
      <c r="H4601" s="6" t="str">
        <f>VLOOKUP(E4601,dicionario!$A$1:$C5000,3,0)</f>
        <v>maria-pretinha</v>
      </c>
    </row>
    <row r="4602">
      <c r="A4602" s="3">
        <v>45666.0</v>
      </c>
      <c r="B4602" s="4">
        <v>0.32569444444444445</v>
      </c>
      <c r="C4602" s="5" t="s">
        <v>40</v>
      </c>
      <c r="D4602" s="5" t="s">
        <v>1044</v>
      </c>
      <c r="E4602" s="8" t="s">
        <v>390</v>
      </c>
      <c r="F4602" s="5" t="s">
        <v>391</v>
      </c>
      <c r="G4602" s="6" t="str">
        <f>VLOOKUP(E4602,dicionario!$A$1:$C5001,2,0)</f>
        <v>Oxalis barrelieri</v>
      </c>
      <c r="H4602" s="6" t="str">
        <f>VLOOKUP(E4602,dicionario!$A$1:$C5001,3,0)</f>
        <v>erva-azeda; azedinha </v>
      </c>
    </row>
    <row r="4603">
      <c r="A4603" s="3">
        <v>45666.0</v>
      </c>
      <c r="B4603" s="4">
        <v>0.32569444444444445</v>
      </c>
      <c r="C4603" s="5" t="s">
        <v>40</v>
      </c>
      <c r="D4603" s="5" t="s">
        <v>1044</v>
      </c>
      <c r="E4603" s="8" t="s">
        <v>191</v>
      </c>
      <c r="F4603" s="5" t="s">
        <v>192</v>
      </c>
      <c r="G4603" s="6" t="str">
        <f>VLOOKUP(E4603,dicionario!$A$1:$C5002,2,0)</f>
        <v>Patagioenas picazuro</v>
      </c>
      <c r="H4603" s="6" t="str">
        <f>VLOOKUP(E4603,dicionario!$A$1:$C5002,3,0)</f>
        <v>asa-branca; pomba-asa-branca; pocaçu</v>
      </c>
    </row>
    <row r="4604">
      <c r="A4604" s="3">
        <v>45666.0</v>
      </c>
      <c r="B4604" s="4">
        <v>0.32569444444444445</v>
      </c>
      <c r="C4604" s="5" t="s">
        <v>40</v>
      </c>
      <c r="D4604" s="5" t="s">
        <v>1044</v>
      </c>
      <c r="E4604" s="8" t="s">
        <v>504</v>
      </c>
      <c r="F4604" s="5" t="s">
        <v>534</v>
      </c>
      <c r="G4604" s="6" t="str">
        <f>VLOOKUP(E4604,dicionario!$A$1:$C5003,2,0)</f>
        <v>Cleome aculeata</v>
      </c>
      <c r="H4604" s="6" t="str">
        <f>VLOOKUP(E4604,dicionario!$A$1:$C5003,3,0)</f>
        <v>cleome</v>
      </c>
    </row>
    <row r="4605">
      <c r="A4605" s="3">
        <v>45666.0</v>
      </c>
      <c r="B4605" s="4">
        <v>0.32569444444444445</v>
      </c>
      <c r="C4605" s="5" t="s">
        <v>40</v>
      </c>
      <c r="D4605" s="5" t="s">
        <v>1044</v>
      </c>
      <c r="E4605" s="8" t="s">
        <v>326</v>
      </c>
      <c r="F4605" s="5" t="s">
        <v>963</v>
      </c>
      <c r="G4605" s="6" t="str">
        <f>VLOOKUP(E4605,dicionario!$A$1:$C5004,2,0)</f>
        <v>Amaranthus spinosus</v>
      </c>
      <c r="H4605" s="6" t="str">
        <f>VLOOKUP(E4605,dicionario!$A$1:$C5004,3,0)</f>
        <v>caruru-de-espinho</v>
      </c>
    </row>
    <row r="4606">
      <c r="A4606" s="3">
        <v>45666.0</v>
      </c>
      <c r="B4606" s="4">
        <v>0.3263888888888889</v>
      </c>
      <c r="C4606" s="5" t="s">
        <v>40</v>
      </c>
      <c r="D4606" s="5" t="s">
        <v>1044</v>
      </c>
      <c r="E4606" s="8" t="s">
        <v>736</v>
      </c>
      <c r="F4606" s="59" t="s">
        <v>737</v>
      </c>
      <c r="G4606" s="6" t="str">
        <f>VLOOKUP(E4606,dicionario!$A$1:$C5005,2,0)</f>
        <v>Chloris virgata</v>
      </c>
      <c r="H4606" s="6" t="str">
        <f>VLOOKUP(E4606,dicionario!$A$1:$C5005,3,0)</f>
        <v>capim-pavão</v>
      </c>
    </row>
    <row r="4607">
      <c r="A4607" s="3">
        <v>45666.0</v>
      </c>
      <c r="B4607" s="4">
        <v>0.3263888888888889</v>
      </c>
      <c r="C4607" s="5" t="s">
        <v>40</v>
      </c>
      <c r="D4607" s="5" t="s">
        <v>1044</v>
      </c>
      <c r="E4607" s="8" t="s">
        <v>682</v>
      </c>
      <c r="F4607" s="5" t="s">
        <v>683</v>
      </c>
      <c r="G4607" s="6" t="str">
        <f>VLOOKUP(E4607,dicionario!$A$1:$C5006,2,0)</f>
        <v>Lagria villosa</v>
      </c>
      <c r="H4607" s="6" t="str">
        <f>VLOOKUP(E4607,dicionario!$A$1:$C5006,3,0)</f>
        <v>bicho-capixaba</v>
      </c>
    </row>
    <row r="4608">
      <c r="A4608" s="3">
        <v>45666.0</v>
      </c>
      <c r="B4608" s="4">
        <v>0.3263888888888889</v>
      </c>
      <c r="C4608" s="5" t="s">
        <v>40</v>
      </c>
      <c r="D4608" s="5" t="s">
        <v>1044</v>
      </c>
      <c r="E4608" s="8" t="s">
        <v>20</v>
      </c>
      <c r="F4608" s="7" t="s">
        <v>21</v>
      </c>
      <c r="G4608" s="6" t="str">
        <f>VLOOKUP(E4608,dicionario!$A$1:$C5007,2,0)</f>
        <v>Sicalis flaveola</v>
      </c>
      <c r="H4608" s="6" t="str">
        <f>VLOOKUP(E4608,dicionario!$A$1:$C5007,3,0)</f>
        <v>canário-da-terra</v>
      </c>
    </row>
    <row r="4609">
      <c r="A4609" s="3">
        <v>45666.0</v>
      </c>
      <c r="B4609" s="4">
        <v>0.3263888888888889</v>
      </c>
      <c r="C4609" s="5" t="s">
        <v>40</v>
      </c>
      <c r="D4609" s="5" t="s">
        <v>1044</v>
      </c>
      <c r="E4609" s="8" t="s">
        <v>471</v>
      </c>
      <c r="F4609" s="5" t="s">
        <v>472</v>
      </c>
      <c r="G4609" s="6" t="str">
        <f>VLOOKUP(E4609,dicionario!$A$1:$C5008,2,0)</f>
        <v>Sida acuta</v>
      </c>
      <c r="H4609" s="6" t="str">
        <f>VLOOKUP(E4609,dicionario!$A$1:$C5008,3,0)</f>
        <v>reloginho</v>
      </c>
    </row>
    <row r="4610">
      <c r="A4610" s="3">
        <v>45666.0</v>
      </c>
      <c r="B4610" s="4">
        <v>0.3263888888888889</v>
      </c>
      <c r="C4610" s="5" t="s">
        <v>40</v>
      </c>
      <c r="D4610" s="5" t="s">
        <v>1044</v>
      </c>
      <c r="E4610" s="8" t="s">
        <v>401</v>
      </c>
      <c r="F4610" s="5" t="s">
        <v>464</v>
      </c>
      <c r="G4610" s="6" t="str">
        <f>VLOOKUP(E4610,dicionario!$A$1:$C5009,2,0)</f>
        <v>Cissus verticillata</v>
      </c>
      <c r="H4610" s="6" t="str">
        <f>VLOOKUP(E4610,dicionario!$A$1:$C5009,3,0)</f>
        <v>uva-do-mato</v>
      </c>
    </row>
    <row r="4611">
      <c r="A4611" s="3">
        <v>45666.0</v>
      </c>
      <c r="B4611" s="4">
        <v>0.3263888888888889</v>
      </c>
      <c r="C4611" s="5" t="s">
        <v>40</v>
      </c>
      <c r="D4611" s="5" t="s">
        <v>1044</v>
      </c>
      <c r="E4611" s="8" t="s">
        <v>60</v>
      </c>
      <c r="F4611" s="5" t="s">
        <v>61</v>
      </c>
      <c r="G4611" s="6" t="str">
        <f>VLOOKUP(E4611,dicionario!$A$1:$C5010,2,0)</f>
        <v>Vanellus chilensis</v>
      </c>
      <c r="H4611" s="6" t="str">
        <f>VLOOKUP(E4611,dicionario!$A$1:$C5010,3,0)</f>
        <v>quero-quero</v>
      </c>
    </row>
    <row r="4612">
      <c r="A4612" s="3">
        <v>45666.0</v>
      </c>
      <c r="B4612" s="4">
        <v>0.32708333333333334</v>
      </c>
      <c r="C4612" s="5" t="s">
        <v>40</v>
      </c>
      <c r="D4612" s="5" t="s">
        <v>1044</v>
      </c>
      <c r="E4612" s="8" t="s">
        <v>141</v>
      </c>
      <c r="F4612" s="5" t="s">
        <v>142</v>
      </c>
      <c r="G4612" s="6" t="str">
        <f>VLOOKUP(E4612,dicionario!$A$1:$C5011,2,0)</f>
        <v>Ruellia blechum</v>
      </c>
      <c r="H4612" s="6" t="str">
        <f>VLOOKUP(E4612,dicionario!$A$1:$C5011,3,0)</f>
        <v>camarão-verde</v>
      </c>
    </row>
    <row r="4613">
      <c r="A4613" s="3">
        <v>45666.0</v>
      </c>
      <c r="B4613" s="4">
        <v>0.32708333333333334</v>
      </c>
      <c r="C4613" s="5" t="s">
        <v>40</v>
      </c>
      <c r="D4613" s="5" t="s">
        <v>1044</v>
      </c>
      <c r="E4613" s="8" t="s">
        <v>465</v>
      </c>
      <c r="F4613" s="5" t="s">
        <v>1050</v>
      </c>
      <c r="G4613" s="6" t="str">
        <f>VLOOKUP(E4613,dicionario!$A$1:$C5012,2,0)</f>
        <v>Solanum diphyllum</v>
      </c>
      <c r="H4613" s="6" t="str">
        <f>VLOOKUP(E4613,dicionario!$A$1:$C5012,3,0)</f>
        <v>tomatinho-amarelo</v>
      </c>
    </row>
    <row r="4614">
      <c r="A4614" s="3">
        <v>45666.0</v>
      </c>
      <c r="B4614" s="4">
        <v>0.32708333333333334</v>
      </c>
      <c r="C4614" s="5" t="s">
        <v>40</v>
      </c>
      <c r="D4614" s="5" t="s">
        <v>1044</v>
      </c>
      <c r="E4614" s="8" t="s">
        <v>469</v>
      </c>
      <c r="F4614" s="5" t="s">
        <v>470</v>
      </c>
      <c r="G4614" s="6" t="str">
        <f>VLOOKUP(E4614,dicionario!$A$1:$C5013,2,0)</f>
        <v>#N/A</v>
      </c>
      <c r="H4614" s="6" t="str">
        <f>VLOOKUP(E4614,dicionario!$A$1:$C5013,3,0)</f>
        <v>#N/A</v>
      </c>
    </row>
    <row r="4615">
      <c r="A4615" s="3">
        <v>45666.0</v>
      </c>
      <c r="B4615" s="4">
        <v>0.32708333333333334</v>
      </c>
      <c r="C4615" s="5" t="s">
        <v>40</v>
      </c>
      <c r="D4615" s="5" t="s">
        <v>1044</v>
      </c>
      <c r="E4615" s="8" t="s">
        <v>247</v>
      </c>
      <c r="F4615" s="5" t="s">
        <v>387</v>
      </c>
      <c r="G4615" s="6" t="str">
        <f>VLOOKUP(E4615,dicionario!$A$1:$C5014,2,0)</f>
        <v>Emilia sonchifolia</v>
      </c>
      <c r="H4615" s="6" t="str">
        <f>VLOOKUP(E4615,dicionario!$A$1:$C5014,3,0)</f>
        <v>serralinha</v>
      </c>
    </row>
    <row r="4616">
      <c r="A4616" s="3">
        <v>45666.0</v>
      </c>
      <c r="B4616" s="4">
        <v>0.3277777777777778</v>
      </c>
      <c r="C4616" s="5" t="s">
        <v>40</v>
      </c>
      <c r="D4616" s="5" t="s">
        <v>1044</v>
      </c>
      <c r="E4616" s="8" t="s">
        <v>1077</v>
      </c>
      <c r="F4616" s="5" t="s">
        <v>1078</v>
      </c>
      <c r="G4616" s="6" t="str">
        <f>VLOOKUP(E4616,dicionario!$A$1:$C5015,2,0)</f>
        <v>Sonchus asper</v>
      </c>
      <c r="H4616" s="6" t="str">
        <f>VLOOKUP(E4616,dicionario!$A$1:$C5015,3,0)</f>
        <v>serralha-crespa</v>
      </c>
    </row>
    <row r="4617">
      <c r="A4617" s="3">
        <v>45666.0</v>
      </c>
      <c r="B4617" s="4">
        <v>0.3277777777777778</v>
      </c>
      <c r="C4617" s="5" t="s">
        <v>40</v>
      </c>
      <c r="D4617" s="5" t="s">
        <v>1044</v>
      </c>
      <c r="E4617" s="8" t="s">
        <v>154</v>
      </c>
      <c r="F4617" s="5" t="s">
        <v>155</v>
      </c>
      <c r="G4617" s="6" t="str">
        <f>VLOOKUP(E4617,dicionario!$A$1:$C5016,2,0)</f>
        <v>Cyperus rotundus</v>
      </c>
      <c r="H4617" s="6" t="str">
        <f>VLOOKUP(E4617,dicionario!$A$1:$C5016,3,0)</f>
        <v>tiririca</v>
      </c>
    </row>
    <row r="4618">
      <c r="A4618" s="3">
        <v>45666.0</v>
      </c>
      <c r="B4618" s="4">
        <v>0.3277777777777778</v>
      </c>
      <c r="C4618" s="5" t="s">
        <v>40</v>
      </c>
      <c r="D4618" s="5" t="s">
        <v>1044</v>
      </c>
      <c r="E4618" s="8" t="s">
        <v>286</v>
      </c>
      <c r="F4618" s="5" t="s">
        <v>287</v>
      </c>
      <c r="G4618" s="6" t="str">
        <f>VLOOKUP(E4618,dicionario!$A$1:$C5017,2,0)</f>
        <v>Setaria parviflora</v>
      </c>
      <c r="H4618" s="6" t="str">
        <f>VLOOKUP(E4618,dicionario!$A$1:$C5017,3,0)</f>
        <v>capim-rabo-de-raposa</v>
      </c>
    </row>
    <row r="4619">
      <c r="A4619" s="3">
        <v>45666.0</v>
      </c>
      <c r="B4619" s="4">
        <v>0.3284722222222222</v>
      </c>
      <c r="C4619" s="5" t="s">
        <v>40</v>
      </c>
      <c r="D4619" s="5" t="s">
        <v>1044</v>
      </c>
      <c r="E4619" s="8" t="s">
        <v>111</v>
      </c>
      <c r="F4619" s="7" t="s">
        <v>112</v>
      </c>
      <c r="G4619" s="6" t="str">
        <f>VLOOKUP(E4619,dicionario!$A$1:$C5018,2,0)</f>
        <v>Trigona spinipes</v>
      </c>
      <c r="H4619" s="6" t="str">
        <f>VLOOKUP(E4619,dicionario!$A$1:$C5018,3,0)</f>
        <v>abelha-cachorro</v>
      </c>
    </row>
    <row r="4620">
      <c r="A4620" s="3">
        <v>45666.0</v>
      </c>
      <c r="B4620" s="4">
        <v>0.33125</v>
      </c>
      <c r="C4620" s="5" t="s">
        <v>33</v>
      </c>
      <c r="D4620" s="5" t="s">
        <v>1044</v>
      </c>
      <c r="E4620" s="8" t="s">
        <v>20</v>
      </c>
      <c r="F4620" s="7" t="s">
        <v>21</v>
      </c>
      <c r="G4620" s="6" t="str">
        <f>VLOOKUP(E4620,dicionario!$A$1:$C5019,2,0)</f>
        <v>Sicalis flaveola</v>
      </c>
      <c r="H4620" s="6" t="str">
        <f>VLOOKUP(E4620,dicionario!$A$1:$C5019,3,0)</f>
        <v>canário-da-terra</v>
      </c>
    </row>
    <row r="4621">
      <c r="A4621" s="3">
        <v>45666.0</v>
      </c>
      <c r="B4621" s="4">
        <v>0.33125</v>
      </c>
      <c r="C4621" s="5" t="s">
        <v>33</v>
      </c>
      <c r="D4621" s="5" t="s">
        <v>1044</v>
      </c>
      <c r="E4621" s="8" t="s">
        <v>113</v>
      </c>
      <c r="F4621" s="5" t="s">
        <v>114</v>
      </c>
      <c r="G4621" s="6" t="str">
        <f>VLOOKUP(E4621,dicionario!$A$1:$C5020,2,0)</f>
        <v>Columbina talpacoti</v>
      </c>
      <c r="H4621" s="6" t="str">
        <f>VLOOKUP(E4621,dicionario!$A$1:$C5020,3,0)</f>
        <v>rolinha-roxa</v>
      </c>
    </row>
    <row r="4622">
      <c r="A4622" s="3">
        <v>45666.0</v>
      </c>
      <c r="B4622" s="4">
        <v>0.33125</v>
      </c>
      <c r="C4622" s="5" t="s">
        <v>33</v>
      </c>
      <c r="D4622" s="5" t="s">
        <v>1044</v>
      </c>
      <c r="E4622" s="8" t="s">
        <v>65</v>
      </c>
      <c r="F4622" s="5" t="s">
        <v>66</v>
      </c>
      <c r="G4622" s="6" t="str">
        <f>VLOOKUP(E4622,dicionario!$A$1:$C5021,2,0)</f>
        <v>Pitangus sulphutarus</v>
      </c>
      <c r="H4622" s="6" t="str">
        <f>VLOOKUP(E4622,dicionario!$A$1:$C5021,3,0)</f>
        <v>bem-te-vi</v>
      </c>
    </row>
    <row r="4623">
      <c r="A4623" s="3">
        <v>45666.0</v>
      </c>
      <c r="B4623" s="4">
        <v>0.33125</v>
      </c>
      <c r="C4623" s="5" t="s">
        <v>33</v>
      </c>
      <c r="D4623" s="5" t="s">
        <v>1044</v>
      </c>
      <c r="E4623" s="8" t="s">
        <v>53</v>
      </c>
      <c r="F4623" s="7" t="s">
        <v>54</v>
      </c>
      <c r="G4623" s="6" t="str">
        <f>VLOOKUP(E4623,dicionario!$A$1:$C5022,2,0)</f>
        <v>Turnera subulata</v>
      </c>
      <c r="H4623" s="6" t="str">
        <f>VLOOKUP(E4623,dicionario!$A$1:$C5022,3,0)</f>
        <v>xanana</v>
      </c>
    </row>
    <row r="4624">
      <c r="A4624" s="3">
        <v>45666.0</v>
      </c>
      <c r="B4624" s="4">
        <v>0.33125</v>
      </c>
      <c r="C4624" s="5" t="s">
        <v>33</v>
      </c>
      <c r="D4624" s="5" t="s">
        <v>1044</v>
      </c>
      <c r="E4624" s="20" t="s">
        <v>676</v>
      </c>
      <c r="F4624" s="7" t="s">
        <v>677</v>
      </c>
      <c r="G4624" s="6" t="str">
        <f>VLOOKUP(E4624,dicionario!$A$1:$C5023,2,0)</f>
        <v>Zornia latifolia</v>
      </c>
      <c r="H4624" s="6" t="str">
        <f>VLOOKUP(E4624,dicionario!$A$1:$C5023,3,0)</f>
        <v>arrozinho-do-campo</v>
      </c>
    </row>
    <row r="4625">
      <c r="A4625" s="3">
        <v>45666.0</v>
      </c>
      <c r="B4625" s="4">
        <v>0.33125</v>
      </c>
      <c r="C4625" s="5" t="s">
        <v>33</v>
      </c>
      <c r="D4625" s="5" t="s">
        <v>1044</v>
      </c>
      <c r="E4625" s="8" t="s">
        <v>298</v>
      </c>
      <c r="F4625" s="5" t="s">
        <v>739</v>
      </c>
      <c r="G4625" s="6" t="str">
        <f>VLOOKUP(E4625,dicionario!$A$1:$C5024,2,0)</f>
        <v>Alysicarpus vaginalis</v>
      </c>
      <c r="H4625" s="6" t="str">
        <f>VLOOKUP(E4625,dicionario!$A$1:$C5024,3,0)</f>
        <v/>
      </c>
    </row>
    <row r="4626">
      <c r="A4626" s="3">
        <v>45666.0</v>
      </c>
      <c r="B4626" s="4">
        <v>0.33125</v>
      </c>
      <c r="C4626" s="5" t="s">
        <v>33</v>
      </c>
      <c r="D4626" s="5" t="s">
        <v>1044</v>
      </c>
      <c r="E4626" s="8" t="s">
        <v>109</v>
      </c>
      <c r="F4626" s="5" t="s">
        <v>110</v>
      </c>
      <c r="G4626" s="6" t="str">
        <f>VLOOKUP(E4626,dicionario!$A$1:$C5025,2,0)</f>
        <v>Tillandsia stricta</v>
      </c>
      <c r="H4626" s="6" t="str">
        <f>VLOOKUP(E4626,dicionario!$A$1:$C5025,3,0)</f>
        <v>cravo-do-mato</v>
      </c>
    </row>
    <row r="4627">
      <c r="A4627" s="3">
        <v>45666.0</v>
      </c>
      <c r="B4627" s="4">
        <v>0.3333333333333333</v>
      </c>
      <c r="C4627" s="5" t="s">
        <v>33</v>
      </c>
      <c r="D4627" s="5" t="s">
        <v>1044</v>
      </c>
      <c r="E4627" s="8" t="s">
        <v>38</v>
      </c>
      <c r="F4627" s="5" t="s">
        <v>39</v>
      </c>
      <c r="G4627" s="6" t="str">
        <f>VLOOKUP(E4627,dicionario!$A$1:$C5026,2,0)</f>
        <v>Troglodytes musculus</v>
      </c>
      <c r="H4627" s="6" t="str">
        <f>VLOOKUP(E4627,dicionario!$A$1:$C5026,3,0)</f>
        <v>curruíra</v>
      </c>
    </row>
    <row r="4628">
      <c r="A4628" s="3">
        <v>45666.0</v>
      </c>
      <c r="B4628" s="4">
        <v>0.3333333333333333</v>
      </c>
      <c r="C4628" s="5" t="s">
        <v>33</v>
      </c>
      <c r="D4628" s="5" t="s">
        <v>1044</v>
      </c>
      <c r="E4628" s="8" t="s">
        <v>471</v>
      </c>
      <c r="F4628" s="5" t="s">
        <v>472</v>
      </c>
      <c r="G4628" s="6" t="str">
        <f>VLOOKUP(E4628,dicionario!$A$1:$C5027,2,0)</f>
        <v>Sida acuta</v>
      </c>
      <c r="H4628" s="6" t="str">
        <f>VLOOKUP(E4628,dicionario!$A$1:$C5027,3,0)</f>
        <v>reloginho</v>
      </c>
    </row>
    <row r="4629">
      <c r="A4629" s="3">
        <v>45666.0</v>
      </c>
      <c r="B4629" s="4">
        <v>0.3333333333333333</v>
      </c>
      <c r="C4629" s="5" t="s">
        <v>33</v>
      </c>
      <c r="D4629" s="5" t="s">
        <v>1044</v>
      </c>
      <c r="E4629" s="8" t="s">
        <v>566</v>
      </c>
      <c r="F4629" s="5" t="s">
        <v>567</v>
      </c>
      <c r="G4629" s="6" t="str">
        <f>VLOOKUP(E4629,dicionario!$A$1:$C5028,2,0)</f>
        <v>Baccharis dracunculifolia</v>
      </c>
      <c r="H4629" s="6" t="str">
        <f>VLOOKUP(E4629,dicionario!$A$1:$C5028,3,0)</f>
        <v>vassoura</v>
      </c>
    </row>
    <row r="4630">
      <c r="A4630" s="3">
        <v>45666.0</v>
      </c>
      <c r="B4630" s="4">
        <v>0.33402777777777776</v>
      </c>
      <c r="C4630" s="5" t="s">
        <v>33</v>
      </c>
      <c r="D4630" s="5" t="s">
        <v>1044</v>
      </c>
      <c r="E4630" s="8" t="s">
        <v>483</v>
      </c>
      <c r="F4630" s="5" t="s">
        <v>289</v>
      </c>
      <c r="G4630" s="6" t="str">
        <f>VLOOKUP(E4630,dicionario!$A$1:$C5029,2,0)</f>
        <v>Euphorbia prostrata</v>
      </c>
      <c r="H4630" s="6" t="str">
        <f>VLOOKUP(E4630,dicionario!$A$1:$C5029,3,0)</f>
        <v>quebra-pedra-rasteira</v>
      </c>
    </row>
    <row r="4631">
      <c r="A4631" s="3">
        <v>45666.0</v>
      </c>
      <c r="B4631" s="4">
        <v>0.33402777777777776</v>
      </c>
      <c r="C4631" s="5" t="s">
        <v>33</v>
      </c>
      <c r="D4631" s="5" t="s">
        <v>1044</v>
      </c>
      <c r="E4631" s="8" t="s">
        <v>381</v>
      </c>
      <c r="F4631" s="5" t="s">
        <v>382</v>
      </c>
      <c r="G4631" s="6" t="str">
        <f>VLOOKUP(E4631,dicionario!$A$1:$C5030,2,0)</f>
        <v>Pseudomyrmex</v>
      </c>
      <c r="H4631" s="6" t="str">
        <f>VLOOKUP(E4631,dicionario!$A$1:$C5030,3,0)</f>
        <v>maria-magra</v>
      </c>
    </row>
    <row r="4632">
      <c r="A4632" s="3">
        <v>45666.0</v>
      </c>
      <c r="B4632" s="4">
        <v>0.33402777777777776</v>
      </c>
      <c r="C4632" s="5" t="s">
        <v>33</v>
      </c>
      <c r="D4632" s="5" t="s">
        <v>1044</v>
      </c>
      <c r="E4632" s="8" t="s">
        <v>14</v>
      </c>
      <c r="F4632" s="5" t="s">
        <v>15</v>
      </c>
      <c r="G4632" s="6" t="str">
        <f>VLOOKUP(E4632,dicionario!$A$1:$C5031,2,0)</f>
        <v>Spermacoce verticillata</v>
      </c>
      <c r="H4632" s="6" t="str">
        <f>VLOOKUP(E4632,dicionario!$A$1:$C5031,3,0)</f>
        <v>vassourinha-de-botão</v>
      </c>
    </row>
    <row r="4633">
      <c r="A4633" s="3">
        <v>45666.0</v>
      </c>
      <c r="B4633" s="4">
        <v>0.33402777777777776</v>
      </c>
      <c r="C4633" s="5" t="s">
        <v>33</v>
      </c>
      <c r="D4633" s="5" t="s">
        <v>1044</v>
      </c>
      <c r="E4633" s="8" t="s">
        <v>258</v>
      </c>
      <c r="F4633" s="5" t="s">
        <v>259</v>
      </c>
      <c r="G4633" s="6" t="str">
        <f>VLOOKUP(E4633,dicionario!$A$1:$C5032,2,0)</f>
        <v>Lantana camara</v>
      </c>
      <c r="H4633" s="6" t="str">
        <f>VLOOKUP(E4633,dicionario!$A$1:$C5032,3,0)</f>
        <v>lantana</v>
      </c>
    </row>
    <row r="4634">
      <c r="A4634" s="3">
        <v>45666.0</v>
      </c>
      <c r="B4634" s="4">
        <v>0.33611111111111114</v>
      </c>
      <c r="C4634" s="5" t="s">
        <v>33</v>
      </c>
      <c r="D4634" s="5" t="s">
        <v>1044</v>
      </c>
      <c r="E4634" s="6" t="s">
        <v>519</v>
      </c>
      <c r="F4634" s="5" t="s">
        <v>925</v>
      </c>
      <c r="G4634" s="6" t="str">
        <f>VLOOKUP(E4634,dicionario!$A$1:$C5033,2,0)</f>
        <v>Drosophila melanogaster</v>
      </c>
      <c r="H4634" s="6" t="str">
        <f>VLOOKUP(E4634,dicionario!$A$1:$C5033,3,0)</f>
        <v>mitinga/mosca-da-fruta</v>
      </c>
    </row>
    <row r="4635">
      <c r="A4635" s="3">
        <v>45666.0</v>
      </c>
      <c r="B4635" s="4">
        <v>0.3368055555555556</v>
      </c>
      <c r="C4635" s="5" t="s">
        <v>33</v>
      </c>
      <c r="D4635" s="5" t="s">
        <v>1044</v>
      </c>
      <c r="E4635" s="8" t="s">
        <v>223</v>
      </c>
      <c r="F4635" s="5" t="s">
        <v>224</v>
      </c>
      <c r="G4635" s="6" t="str">
        <f>VLOOKUP(E4635,dicionario!$A$1:$C5034,2,0)</f>
        <v>Rhipsalis lindbergiana</v>
      </c>
      <c r="H4635" s="6" t="str">
        <f>VLOOKUP(E4635,dicionario!$A$1:$C5034,3,0)</f>
        <v>cacto-macarrão</v>
      </c>
    </row>
    <row r="4636">
      <c r="A4636" s="3">
        <v>45666.0</v>
      </c>
      <c r="B4636" s="4">
        <v>0.3368055555555556</v>
      </c>
      <c r="C4636" s="5" t="s">
        <v>33</v>
      </c>
      <c r="D4636" s="5" t="s">
        <v>1044</v>
      </c>
      <c r="E4636" s="8" t="s">
        <v>162</v>
      </c>
      <c r="F4636" s="7" t="s">
        <v>42</v>
      </c>
      <c r="G4636" s="6" t="str">
        <f>VLOOKUP(E4636,dicionario!$A$1:$C5035,2,0)</f>
        <v>Fluvicola nengeta</v>
      </c>
      <c r="H4636" s="6" t="str">
        <f>VLOOKUP(E4636,dicionario!$A$1:$C5035,3,0)</f>
        <v>lavadeira-mascarada</v>
      </c>
    </row>
    <row r="4637">
      <c r="A4637" s="3">
        <v>45666.0</v>
      </c>
      <c r="B4637" s="4">
        <v>0.3368055555555556</v>
      </c>
      <c r="C4637" s="5" t="s">
        <v>33</v>
      </c>
      <c r="D4637" s="5" t="s">
        <v>1044</v>
      </c>
      <c r="E4637" s="8" t="s">
        <v>91</v>
      </c>
      <c r="F4637" s="5" t="s">
        <v>92</v>
      </c>
      <c r="G4637" s="6" t="str">
        <f>VLOOKUP(E4637,dicionario!$A$1:$C5036,2,0)</f>
        <v>Picumnus cirratus</v>
      </c>
      <c r="H4637" s="6" t="str">
        <f>VLOOKUP(E4637,dicionario!$A$1:$C5036,3,0)</f>
        <v>picapauzinho-barrado</v>
      </c>
    </row>
    <row r="4638">
      <c r="A4638" s="3">
        <v>45666.0</v>
      </c>
      <c r="B4638" s="4">
        <v>0.3368055555555556</v>
      </c>
      <c r="C4638" s="5" t="s">
        <v>33</v>
      </c>
      <c r="D4638" s="5" t="s">
        <v>1044</v>
      </c>
      <c r="E4638" s="8" t="s">
        <v>181</v>
      </c>
      <c r="F4638" s="5" t="s">
        <v>182</v>
      </c>
      <c r="G4638" s="6" t="str">
        <f>VLOOKUP(E4638,dicionario!$A$1:$C5037,2,0)</f>
        <v>#N/A</v>
      </c>
      <c r="H4638" s="6" t="str">
        <f>VLOOKUP(E4638,dicionario!$A$1:$C5037,3,0)</f>
        <v>#N/A</v>
      </c>
    </row>
    <row r="4639">
      <c r="A4639" s="3">
        <v>45666.0</v>
      </c>
      <c r="B4639" s="4">
        <v>0.3375</v>
      </c>
      <c r="C4639" s="5" t="s">
        <v>33</v>
      </c>
      <c r="D4639" s="5" t="s">
        <v>1044</v>
      </c>
      <c r="E4639" s="8" t="s">
        <v>608</v>
      </c>
      <c r="F4639" s="7" t="s">
        <v>609</v>
      </c>
      <c r="G4639" s="6" t="str">
        <f>VLOOKUP(E4639,dicionario!$A$1:$C5038,2,0)</f>
        <v>#N/A</v>
      </c>
      <c r="H4639" s="6" t="str">
        <f>VLOOKUP(E4639,dicionario!$A$1:$C5038,3,0)</f>
        <v>#N/A</v>
      </c>
    </row>
    <row r="4640">
      <c r="A4640" s="3">
        <v>45666.0</v>
      </c>
      <c r="B4640" s="4">
        <v>0.3375</v>
      </c>
      <c r="C4640" s="5" t="s">
        <v>33</v>
      </c>
      <c r="D4640" s="5" t="s">
        <v>1044</v>
      </c>
      <c r="E4640" s="8" t="s">
        <v>375</v>
      </c>
      <c r="F4640" s="5" t="s">
        <v>35</v>
      </c>
      <c r="G4640" s="6" t="str">
        <f>VLOOKUP(E4640,dicionario!$A$1:$C5039,2,0)</f>
        <v>Neoponera foetida</v>
      </c>
      <c r="H4640" s="6" t="str">
        <f>VLOOKUP(E4640,dicionario!$A$1:$C5039,3,0)</f>
        <v/>
      </c>
    </row>
    <row r="4641">
      <c r="A4641" s="3">
        <v>45666.0</v>
      </c>
      <c r="B4641" s="4">
        <v>0.3375</v>
      </c>
      <c r="C4641" s="5" t="s">
        <v>33</v>
      </c>
      <c r="D4641" s="5" t="s">
        <v>1044</v>
      </c>
      <c r="E4641" s="8" t="s">
        <v>14</v>
      </c>
      <c r="F4641" s="5" t="s">
        <v>15</v>
      </c>
      <c r="G4641" s="6" t="str">
        <f>VLOOKUP(E4641,dicionario!$A$1:$C5040,2,0)</f>
        <v>Spermacoce verticillata</v>
      </c>
      <c r="H4641" s="6" t="str">
        <f>VLOOKUP(E4641,dicionario!$A$1:$C5040,3,0)</f>
        <v>vassourinha-de-botão</v>
      </c>
    </row>
    <row r="4642">
      <c r="A4642" s="3">
        <v>45666.0</v>
      </c>
      <c r="B4642" s="4">
        <v>0.3375</v>
      </c>
      <c r="C4642" s="5" t="s">
        <v>33</v>
      </c>
      <c r="D4642" s="5" t="s">
        <v>1044</v>
      </c>
      <c r="E4642" s="8" t="s">
        <v>267</v>
      </c>
      <c r="F4642" s="5" t="s">
        <v>553</v>
      </c>
      <c r="G4642" s="6" t="str">
        <f>VLOOKUP(E4642,dicionario!$A$1:$C5041,2,0)</f>
        <v>Solanum americanum</v>
      </c>
      <c r="H4642" s="6" t="str">
        <f>VLOOKUP(E4642,dicionario!$A$1:$C5041,3,0)</f>
        <v>maria-pretinha</v>
      </c>
    </row>
    <row r="4643">
      <c r="A4643" s="3">
        <v>45666.0</v>
      </c>
      <c r="B4643" s="4">
        <v>0.33819444444444446</v>
      </c>
      <c r="C4643" s="5" t="s">
        <v>33</v>
      </c>
      <c r="D4643" s="5" t="s">
        <v>1044</v>
      </c>
      <c r="E4643" s="8" t="s">
        <v>267</v>
      </c>
      <c r="F4643" s="5" t="s">
        <v>553</v>
      </c>
      <c r="G4643" s="6" t="str">
        <f>VLOOKUP(E4643,dicionario!$A$1:$C5042,2,0)</f>
        <v>Solanum americanum</v>
      </c>
      <c r="H4643" s="6" t="str">
        <f>VLOOKUP(E4643,dicionario!$A$1:$C5042,3,0)</f>
        <v>maria-pretinha</v>
      </c>
    </row>
    <row r="4644">
      <c r="A4644" s="3">
        <v>45666.0</v>
      </c>
      <c r="B4644" s="4">
        <v>0.3402777777777778</v>
      </c>
      <c r="C4644" s="5" t="s">
        <v>26</v>
      </c>
      <c r="D4644" s="5" t="s">
        <v>1044</v>
      </c>
      <c r="E4644" s="8" t="s">
        <v>1079</v>
      </c>
      <c r="F4644" s="5" t="s">
        <v>1080</v>
      </c>
      <c r="G4644" s="6" t="str">
        <f>VLOOKUP(E4644,dicionario!$A$1:$C5043,2,0)</f>
        <v>#N/A</v>
      </c>
      <c r="H4644" s="6" t="str">
        <f>VLOOKUP(E4644,dicionario!$A$1:$C5043,3,0)</f>
        <v>#N/A</v>
      </c>
    </row>
    <row r="4645">
      <c r="A4645" s="3">
        <v>45666.0</v>
      </c>
      <c r="B4645" s="4">
        <v>0.3402777777777778</v>
      </c>
      <c r="C4645" s="5" t="s">
        <v>26</v>
      </c>
      <c r="D4645" s="5" t="s">
        <v>1044</v>
      </c>
      <c r="E4645" s="8" t="s">
        <v>12</v>
      </c>
      <c r="F4645" s="7" t="s">
        <v>13</v>
      </c>
      <c r="G4645" s="6" t="str">
        <f>VLOOKUP(E4645,dicionario!$A$1:$C5044,2,0)</f>
        <v>Eulaema nigrita</v>
      </c>
      <c r="H4645" s="6" t="str">
        <f>VLOOKUP(E4645,dicionario!$A$1:$C5044,3,0)</f>
        <v>abelha-de-orquídea</v>
      </c>
    </row>
    <row r="4646">
      <c r="A4646" s="3">
        <v>45666.0</v>
      </c>
      <c r="B4646" s="4">
        <v>0.3402777777777778</v>
      </c>
      <c r="C4646" s="5" t="s">
        <v>26</v>
      </c>
      <c r="D4646" s="5" t="s">
        <v>1044</v>
      </c>
      <c r="E4646" s="8" t="s">
        <v>109</v>
      </c>
      <c r="F4646" s="5" t="s">
        <v>110</v>
      </c>
      <c r="G4646" s="6" t="str">
        <f>VLOOKUP(E4646,dicionario!$A$1:$C5045,2,0)</f>
        <v>Tillandsia stricta</v>
      </c>
      <c r="H4646" s="6" t="str">
        <f>VLOOKUP(E4646,dicionario!$A$1:$C5045,3,0)</f>
        <v>cravo-do-mato</v>
      </c>
    </row>
    <row r="4647">
      <c r="A4647" s="3">
        <v>45666.0</v>
      </c>
      <c r="B4647" s="4">
        <v>0.34097222222222223</v>
      </c>
      <c r="C4647" s="5" t="s">
        <v>26</v>
      </c>
      <c r="D4647" s="5" t="s">
        <v>1044</v>
      </c>
      <c r="E4647" s="8" t="s">
        <v>286</v>
      </c>
      <c r="F4647" s="5" t="s">
        <v>287</v>
      </c>
      <c r="G4647" s="6" t="str">
        <f>VLOOKUP(E4647,dicionario!$A$1:$C5046,2,0)</f>
        <v>Setaria parviflora</v>
      </c>
      <c r="H4647" s="6" t="str">
        <f>VLOOKUP(E4647,dicionario!$A$1:$C5046,3,0)</f>
        <v>capim-rabo-de-raposa</v>
      </c>
    </row>
    <row r="4648">
      <c r="A4648" s="3">
        <v>45666.0</v>
      </c>
      <c r="B4648" s="4">
        <v>0.34097222222222223</v>
      </c>
      <c r="C4648" s="5" t="s">
        <v>26</v>
      </c>
      <c r="D4648" s="5" t="s">
        <v>1044</v>
      </c>
      <c r="E4648" s="8" t="s">
        <v>251</v>
      </c>
      <c r="F4648" s="5" t="s">
        <v>252</v>
      </c>
      <c r="G4648" s="6" t="str">
        <f>VLOOKUP(E4648,dicionario!$A$1:$C5047,2,0)</f>
        <v>Struthanthus flexicaulis</v>
      </c>
      <c r="H4648" s="6" t="str">
        <f>VLOOKUP(E4648,dicionario!$A$1:$C5047,3,0)</f>
        <v>erva-de-passarinho</v>
      </c>
    </row>
    <row r="4649">
      <c r="A4649" s="3">
        <v>45666.0</v>
      </c>
      <c r="B4649" s="4">
        <v>0.34097222222222223</v>
      </c>
      <c r="C4649" s="5" t="s">
        <v>26</v>
      </c>
      <c r="D4649" s="5" t="s">
        <v>1044</v>
      </c>
      <c r="E4649" s="8" t="s">
        <v>243</v>
      </c>
      <c r="F4649" s="5" t="s">
        <v>244</v>
      </c>
      <c r="G4649" s="6" t="str">
        <f>VLOOKUP(E4649,dicionario!$A$1:$C5048,2,0)</f>
        <v>Macroptilium atropurpureum</v>
      </c>
      <c r="H4649" s="6" t="str">
        <f>VLOOKUP(E4649,dicionario!$A$1:$C5048,3,0)</f>
        <v>feijão-de-pombo</v>
      </c>
    </row>
    <row r="4650">
      <c r="A4650" s="3">
        <v>45666.0</v>
      </c>
      <c r="B4650" s="4">
        <v>0.3416666666666667</v>
      </c>
      <c r="C4650" s="5" t="s">
        <v>26</v>
      </c>
      <c r="D4650" s="5" t="s">
        <v>1044</v>
      </c>
      <c r="E4650" s="8" t="s">
        <v>99</v>
      </c>
      <c r="F4650" s="5" t="s">
        <v>508</v>
      </c>
      <c r="G4650" s="6" t="str">
        <f>VLOOKUP(E4650,dicionario!$A$1:$C5049,2,0)</f>
        <v>Molothrus bonariensis</v>
      </c>
      <c r="H4650" s="6" t="str">
        <f>VLOOKUP(E4650,dicionario!$A$1:$C5049,3,0)</f>
        <v>chupim</v>
      </c>
    </row>
    <row r="4651">
      <c r="A4651" s="3">
        <v>45666.0</v>
      </c>
      <c r="B4651" s="4">
        <v>0.3416666666666667</v>
      </c>
      <c r="C4651" s="5" t="s">
        <v>26</v>
      </c>
      <c r="D4651" s="5" t="s">
        <v>1044</v>
      </c>
      <c r="E4651" s="8" t="s">
        <v>20</v>
      </c>
      <c r="F4651" s="7" t="s">
        <v>21</v>
      </c>
      <c r="G4651" s="6" t="str">
        <f>VLOOKUP(E4651,dicionario!$A$1:$C5050,2,0)</f>
        <v>Sicalis flaveola</v>
      </c>
      <c r="H4651" s="6" t="str">
        <f>VLOOKUP(E4651,dicionario!$A$1:$C5050,3,0)</f>
        <v>canário-da-terra</v>
      </c>
    </row>
    <row r="4652">
      <c r="A4652" s="3">
        <v>45666.0</v>
      </c>
      <c r="B4652" s="4">
        <v>0.3416666666666667</v>
      </c>
      <c r="C4652" s="5" t="s">
        <v>905</v>
      </c>
      <c r="D4652" s="5" t="s">
        <v>1044</v>
      </c>
      <c r="E4652" s="8" t="s">
        <v>450</v>
      </c>
      <c r="F4652" s="5" t="s">
        <v>451</v>
      </c>
      <c r="G4652" s="6" t="str">
        <f>VLOOKUP(E4652,dicionario!$A$1:$C5051,2,0)</f>
        <v>#N/A</v>
      </c>
      <c r="H4652" s="6" t="str">
        <f>VLOOKUP(E4652,dicionario!$A$1:$C5051,3,0)</f>
        <v>#N/A</v>
      </c>
    </row>
    <row r="4653">
      <c r="A4653" s="3">
        <v>45666.0</v>
      </c>
      <c r="B4653" s="4">
        <v>0.3416666666666667</v>
      </c>
      <c r="C4653" s="5" t="s">
        <v>905</v>
      </c>
      <c r="D4653" s="5" t="s">
        <v>1044</v>
      </c>
      <c r="E4653" s="8" t="s">
        <v>60</v>
      </c>
      <c r="F4653" s="5" t="s">
        <v>61</v>
      </c>
      <c r="G4653" s="6" t="str">
        <f>VLOOKUP(E4653,dicionario!$A$1:$C5052,2,0)</f>
        <v>Vanellus chilensis</v>
      </c>
      <c r="H4653" s="6" t="str">
        <f>VLOOKUP(E4653,dicionario!$A$1:$C5052,3,0)</f>
        <v>quero-quero</v>
      </c>
    </row>
    <row r="4654">
      <c r="A4654" s="3">
        <v>45666.0</v>
      </c>
      <c r="B4654" s="4">
        <v>0.3423611111111111</v>
      </c>
      <c r="C4654" s="5" t="s">
        <v>905</v>
      </c>
      <c r="D4654" s="5" t="s">
        <v>1044</v>
      </c>
      <c r="E4654" s="8" t="s">
        <v>225</v>
      </c>
      <c r="F4654" s="5" t="s">
        <v>226</v>
      </c>
      <c r="G4654" s="6" t="str">
        <f>VLOOKUP(E4654,dicionario!$A$1:$C5053,2,0)</f>
        <v>Passer domesticus</v>
      </c>
      <c r="H4654" s="6" t="str">
        <f>VLOOKUP(E4654,dicionario!$A$1:$C5053,3,0)</f>
        <v>pardal</v>
      </c>
    </row>
    <row r="4655">
      <c r="A4655" s="3">
        <v>45666.0</v>
      </c>
      <c r="B4655" s="4">
        <v>0.3423611111111111</v>
      </c>
      <c r="C4655" s="5" t="s">
        <v>905</v>
      </c>
      <c r="D4655" s="5" t="s">
        <v>1044</v>
      </c>
      <c r="E4655" s="8" t="s">
        <v>88</v>
      </c>
      <c r="F4655" s="5" t="s">
        <v>89</v>
      </c>
      <c r="G4655" s="6" t="str">
        <f>VLOOKUP(E4655,dicionario!$A$1:$C5054,2,0)</f>
        <v>Tyrannus melancolichus</v>
      </c>
      <c r="H4655" s="6" t="str">
        <f>VLOOKUP(E4655,dicionario!$A$1:$C5054,3,0)</f>
        <v>suiriri</v>
      </c>
    </row>
    <row r="4656">
      <c r="A4656" s="3">
        <v>45666.0</v>
      </c>
      <c r="B4656" s="4">
        <v>0.3423611111111111</v>
      </c>
      <c r="C4656" s="5" t="s">
        <v>905</v>
      </c>
      <c r="D4656" s="5" t="s">
        <v>1044</v>
      </c>
      <c r="E4656" s="8" t="s">
        <v>535</v>
      </c>
      <c r="F4656" s="5" t="s">
        <v>395</v>
      </c>
      <c r="G4656" s="6" t="str">
        <f>VLOOKUP(E4656,dicionario!$A$1:$C5055,2,0)</f>
        <v>Odonata</v>
      </c>
      <c r="H4656" s="6" t="str">
        <f>VLOOKUP(E4656,dicionario!$A$1:$C5055,3,0)</f>
        <v>libélula</v>
      </c>
    </row>
    <row r="4657">
      <c r="A4657" s="3">
        <v>45666.0</v>
      </c>
      <c r="B4657" s="4">
        <v>0.3423611111111111</v>
      </c>
      <c r="C4657" s="5" t="s">
        <v>905</v>
      </c>
      <c r="D4657" s="5" t="s">
        <v>1044</v>
      </c>
      <c r="E4657" s="8" t="s">
        <v>105</v>
      </c>
      <c r="F4657" s="5" t="s">
        <v>106</v>
      </c>
      <c r="G4657" s="6" t="str">
        <f>VLOOKUP(E4657,dicionario!$A$1:$C5056,2,0)</f>
        <v>Progne tapera</v>
      </c>
      <c r="H4657" s="6" t="str">
        <f>VLOOKUP(E4657,dicionario!$A$1:$C5056,3,0)</f>
        <v>andorinha-do-campo</v>
      </c>
    </row>
    <row r="4658">
      <c r="A4658" s="3">
        <v>45666.0</v>
      </c>
      <c r="B4658" s="4">
        <v>0.3423611111111111</v>
      </c>
      <c r="C4658" s="5" t="s">
        <v>905</v>
      </c>
      <c r="D4658" s="5" t="s">
        <v>1044</v>
      </c>
      <c r="E4658" s="8" t="s">
        <v>353</v>
      </c>
      <c r="F4658" s="5" t="s">
        <v>354</v>
      </c>
      <c r="G4658" s="6" t="str">
        <f>VLOOKUP(E4658,dicionario!$A$1:$C5057,2,0)</f>
        <v>Desmodium incanum</v>
      </c>
      <c r="H4658" s="6" t="str">
        <f>VLOOKUP(E4658,dicionario!$A$1:$C5057,3,0)</f>
        <v>pega-pega</v>
      </c>
    </row>
    <row r="4659">
      <c r="A4659" s="3">
        <v>45666.0</v>
      </c>
      <c r="B4659" s="4">
        <v>0.34375</v>
      </c>
      <c r="C4659" s="5" t="s">
        <v>905</v>
      </c>
      <c r="D4659" s="5" t="s">
        <v>1044</v>
      </c>
      <c r="E4659" s="8" t="s">
        <v>253</v>
      </c>
      <c r="F4659" s="5" t="s">
        <v>254</v>
      </c>
      <c r="G4659" s="6" t="str">
        <f>VLOOKUP(E4659,dicionario!$A$1:$C5058,2,0)</f>
        <v>Panicum maximum</v>
      </c>
      <c r="H4659" s="6" t="str">
        <f>VLOOKUP(E4659,dicionario!$A$1:$C5058,3,0)</f>
        <v>capim-colonião</v>
      </c>
    </row>
    <row r="4660">
      <c r="A4660" s="3">
        <v>45666.0</v>
      </c>
      <c r="B4660" s="4">
        <v>0.34375</v>
      </c>
      <c r="C4660" s="5" t="s">
        <v>905</v>
      </c>
      <c r="D4660" s="5" t="s">
        <v>1044</v>
      </c>
      <c r="E4660" s="8" t="s">
        <v>251</v>
      </c>
      <c r="F4660" s="5" t="s">
        <v>252</v>
      </c>
      <c r="G4660" s="6" t="str">
        <f>VLOOKUP(E4660,dicionario!$A$1:$C5059,2,0)</f>
        <v>Struthanthus flexicaulis</v>
      </c>
      <c r="H4660" s="6" t="str">
        <f>VLOOKUP(E4660,dicionario!$A$1:$C5059,3,0)</f>
        <v>erva-de-passarinho</v>
      </c>
    </row>
    <row r="4661">
      <c r="A4661" s="3">
        <v>45666.0</v>
      </c>
      <c r="B4661" s="4">
        <v>0.34375</v>
      </c>
      <c r="C4661" s="5" t="s">
        <v>905</v>
      </c>
      <c r="D4661" s="5" t="s">
        <v>1044</v>
      </c>
      <c r="E4661" s="8" t="s">
        <v>915</v>
      </c>
      <c r="F4661" s="5" t="s">
        <v>916</v>
      </c>
      <c r="G4661" s="6" t="str">
        <f>VLOOKUP(E4661,dicionario!$A$1:$C5060,2,0)</f>
        <v>Tachycineta albiventer</v>
      </c>
      <c r="H4661" s="6" t="str">
        <f>VLOOKUP(E4661,dicionario!$A$1:$C5060,3,0)</f>
        <v>andorinha-de-rio</v>
      </c>
    </row>
    <row r="4662">
      <c r="A4662" s="3">
        <v>45666.0</v>
      </c>
      <c r="B4662" s="4">
        <v>0.34444444444444444</v>
      </c>
      <c r="C4662" s="5" t="s">
        <v>905</v>
      </c>
      <c r="D4662" s="5" t="s">
        <v>1044</v>
      </c>
      <c r="E4662" s="8" t="s">
        <v>292</v>
      </c>
      <c r="F4662" s="5" t="s">
        <v>293</v>
      </c>
      <c r="G4662" s="6" t="str">
        <f>VLOOKUP(E4662,dicionario!$A$1:$C5061,2,0)</f>
        <v>Ascia monuste</v>
      </c>
      <c r="H4662" s="6" t="str">
        <f>VLOOKUP(E4662,dicionario!$A$1:$C5061,3,0)</f>
        <v>borboleta-da-couve</v>
      </c>
    </row>
    <row r="4663">
      <c r="A4663" s="3">
        <v>45666.0</v>
      </c>
      <c r="B4663" s="4">
        <v>0.3451388888888889</v>
      </c>
      <c r="C4663" s="5" t="s">
        <v>905</v>
      </c>
      <c r="D4663" s="5" t="s">
        <v>1044</v>
      </c>
      <c r="E4663" s="8" t="s">
        <v>366</v>
      </c>
      <c r="F4663" s="5" t="s">
        <v>367</v>
      </c>
      <c r="G4663" s="6" t="str">
        <f>VLOOKUP(E4663,dicionario!$A$1:$C5062,2,0)</f>
        <v>Alternanthera ficoidea</v>
      </c>
      <c r="H4663" s="6" t="str">
        <f>VLOOKUP(E4663,dicionario!$A$1:$C5062,3,0)</f>
        <v>quebra-panela</v>
      </c>
    </row>
    <row r="4664">
      <c r="A4664" s="3">
        <v>45666.0</v>
      </c>
      <c r="B4664" s="4">
        <v>0.3458333333333333</v>
      </c>
      <c r="C4664" s="5" t="s">
        <v>905</v>
      </c>
      <c r="D4664" s="5" t="s">
        <v>1044</v>
      </c>
      <c r="E4664" s="8" t="s">
        <v>86</v>
      </c>
      <c r="F4664" s="5" t="s">
        <v>502</v>
      </c>
      <c r="G4664" s="6" t="str">
        <f>VLOOKUP(E4664,dicionario!$A$1:$C5063,2,0)</f>
        <v>Coereba flaveola</v>
      </c>
      <c r="H4664" s="6" t="str">
        <f>VLOOKUP(E4664,dicionario!$A$1:$C5063,3,0)</f>
        <v>cambacica</v>
      </c>
    </row>
    <row r="4665">
      <c r="A4665" s="3">
        <v>45666.0</v>
      </c>
      <c r="B4665" s="4">
        <v>0.3458333333333333</v>
      </c>
      <c r="C4665" s="5" t="s">
        <v>905</v>
      </c>
      <c r="D4665" s="5" t="s">
        <v>1044</v>
      </c>
      <c r="E4665" s="8" t="s">
        <v>304</v>
      </c>
      <c r="F4665" s="5" t="s">
        <v>305</v>
      </c>
      <c r="G4665" s="6" t="str">
        <f>VLOOKUP(E4665,dicionario!$A$1:$C5064,2,0)</f>
        <v>Sarcophaga</v>
      </c>
      <c r="H4665" s="6" t="str">
        <f>VLOOKUP(E4665,dicionario!$A$1:$C5064,3,0)</f>
        <v>mosca-varejeira</v>
      </c>
    </row>
    <row r="4666">
      <c r="A4666" s="3">
        <v>45666.0</v>
      </c>
      <c r="B4666" s="4">
        <v>0.34652777777777777</v>
      </c>
      <c r="C4666" s="5" t="s">
        <v>905</v>
      </c>
      <c r="D4666" s="5" t="s">
        <v>1044</v>
      </c>
      <c r="E4666" s="8" t="s">
        <v>69</v>
      </c>
      <c r="F4666" s="7" t="s">
        <v>71</v>
      </c>
      <c r="G4666" s="6" t="str">
        <f>VLOOKUP(E4666,dicionario!$A$1:$C5065,2,0)</f>
        <v>Talinum fruticosum</v>
      </c>
      <c r="H4666" s="6" t="str">
        <f>VLOOKUP(E4666,dicionario!$A$1:$C5065,3,0)</f>
        <v>beldroega-grande</v>
      </c>
    </row>
    <row r="4667">
      <c r="A4667" s="3">
        <v>45666.0</v>
      </c>
      <c r="B4667" s="4">
        <v>0.3472222222222222</v>
      </c>
      <c r="C4667" s="5" t="s">
        <v>905</v>
      </c>
      <c r="D4667" s="5" t="s">
        <v>1044</v>
      </c>
      <c r="E4667" s="8" t="s">
        <v>217</v>
      </c>
      <c r="F4667" s="5" t="s">
        <v>218</v>
      </c>
      <c r="G4667" s="6" t="str">
        <f>VLOOKUP(E4667,dicionario!$A$1:$C5066,2,0)</f>
        <v>Athene cunicularia</v>
      </c>
      <c r="H4667" s="6" t="str">
        <f>VLOOKUP(E4667,dicionario!$A$1:$C5066,3,0)</f>
        <v>coruja-buraqueira</v>
      </c>
    </row>
    <row r="4668">
      <c r="A4668" s="3">
        <v>45666.0</v>
      </c>
      <c r="B4668" s="4">
        <v>0.3472222222222222</v>
      </c>
      <c r="C4668" s="5" t="s">
        <v>905</v>
      </c>
      <c r="D4668" s="5" t="s">
        <v>1044</v>
      </c>
      <c r="E4668" s="8" t="s">
        <v>191</v>
      </c>
      <c r="F4668" s="5" t="s">
        <v>192</v>
      </c>
      <c r="G4668" s="6" t="str">
        <f>VLOOKUP(E4668,dicionario!$A$1:$C5067,2,0)</f>
        <v>Patagioenas picazuro</v>
      </c>
      <c r="H4668" s="6" t="str">
        <f>VLOOKUP(E4668,dicionario!$A$1:$C5067,3,0)</f>
        <v>asa-branca; pomba-asa-branca; pocaçu</v>
      </c>
    </row>
    <row r="4669">
      <c r="A4669" s="3">
        <v>45666.0</v>
      </c>
      <c r="B4669" s="4">
        <v>0.3472222222222222</v>
      </c>
      <c r="C4669" s="5" t="s">
        <v>905</v>
      </c>
      <c r="D4669" s="5" t="s">
        <v>1044</v>
      </c>
      <c r="E4669" s="8" t="s">
        <v>498</v>
      </c>
      <c r="F4669" s="5" t="s">
        <v>499</v>
      </c>
      <c r="G4669" s="6" t="str">
        <f>VLOOKUP(E4669,dicionario!$A$1:$C5068,2,0)</f>
        <v>Brachiaria decumbens</v>
      </c>
      <c r="H4669" s="6" t="str">
        <f>VLOOKUP(E4669,dicionario!$A$1:$C5068,3,0)</f>
        <v>capim-braquiária</v>
      </c>
    </row>
    <row r="4670">
      <c r="A4670" s="3">
        <v>45666.0</v>
      </c>
      <c r="B4670" s="4">
        <v>0.3472222222222222</v>
      </c>
      <c r="C4670" s="5" t="s">
        <v>905</v>
      </c>
      <c r="D4670" s="5" t="s">
        <v>1044</v>
      </c>
      <c r="E4670" s="8" t="s">
        <v>298</v>
      </c>
      <c r="F4670" s="5" t="s">
        <v>739</v>
      </c>
      <c r="G4670" s="6" t="str">
        <f>VLOOKUP(E4670,dicionario!$A$1:$C5069,2,0)</f>
        <v>Alysicarpus vaginalis</v>
      </c>
      <c r="H4670" s="6" t="str">
        <f>VLOOKUP(E4670,dicionario!$A$1:$C5069,3,0)</f>
        <v/>
      </c>
    </row>
    <row r="4671">
      <c r="A4671" s="3">
        <v>45666.0</v>
      </c>
      <c r="B4671" s="4">
        <v>0.34791666666666665</v>
      </c>
      <c r="C4671" s="5" t="s">
        <v>905</v>
      </c>
      <c r="D4671" s="5" t="s">
        <v>1044</v>
      </c>
      <c r="E4671" s="8" t="s">
        <v>360</v>
      </c>
      <c r="F4671" s="7" t="s">
        <v>361</v>
      </c>
      <c r="G4671" s="6" t="str">
        <f>VLOOKUP(E4671,dicionario!$A$1:$C5070,2,0)</f>
        <v>Chamaecrista rotundifolia</v>
      </c>
      <c r="H4671" s="6" t="str">
        <f>VLOOKUP(E4671,dicionario!$A$1:$C5070,3,0)</f>
        <v>alfafa-nativa</v>
      </c>
    </row>
    <row r="4672">
      <c r="A4672" s="3">
        <v>45666.0</v>
      </c>
      <c r="B4672" s="4">
        <v>0.34791666666666665</v>
      </c>
      <c r="C4672" s="5" t="s">
        <v>905</v>
      </c>
      <c r="D4672" s="5" t="s">
        <v>1044</v>
      </c>
      <c r="E4672" s="8" t="s">
        <v>113</v>
      </c>
      <c r="F4672" s="5" t="s">
        <v>114</v>
      </c>
      <c r="G4672" s="6" t="str">
        <f>VLOOKUP(E4672,dicionario!$A$1:$C5071,2,0)</f>
        <v>Columbina talpacoti</v>
      </c>
      <c r="H4672" s="6" t="str">
        <f>VLOOKUP(E4672,dicionario!$A$1:$C5071,3,0)</f>
        <v>rolinha-roxa</v>
      </c>
    </row>
    <row r="4673">
      <c r="A4673" s="3">
        <v>45666.0</v>
      </c>
      <c r="B4673" s="4">
        <v>0.34791666666666665</v>
      </c>
      <c r="C4673" s="5" t="s">
        <v>905</v>
      </c>
      <c r="D4673" s="5" t="s">
        <v>1044</v>
      </c>
      <c r="E4673" s="8" t="s">
        <v>370</v>
      </c>
      <c r="F4673" s="5" t="s">
        <v>371</v>
      </c>
      <c r="G4673" s="6" t="str">
        <f>VLOOKUP(E4673,dicionario!$A$1:$C5072,2,0)</f>
        <v>Mimus saturninus</v>
      </c>
      <c r="H4673" s="6" t="str">
        <f>VLOOKUP(E4673,dicionario!$A$1:$C5072,3,0)</f>
        <v>sabiá-do-campo</v>
      </c>
    </row>
    <row r="4674">
      <c r="A4674" s="3">
        <v>45666.0</v>
      </c>
      <c r="B4674" s="4">
        <v>0.3486111111111111</v>
      </c>
      <c r="C4674" s="5" t="s">
        <v>905</v>
      </c>
      <c r="D4674" s="5" t="s">
        <v>1044</v>
      </c>
      <c r="E4674" s="8" t="s">
        <v>111</v>
      </c>
      <c r="F4674" s="7" t="s">
        <v>112</v>
      </c>
      <c r="G4674" s="6" t="str">
        <f>VLOOKUP(E4674,dicionario!$A$1:$C5073,2,0)</f>
        <v>Trigona spinipes</v>
      </c>
      <c r="H4674" s="6" t="str">
        <f>VLOOKUP(E4674,dicionario!$A$1:$C5073,3,0)</f>
        <v>abelha-cachorro</v>
      </c>
    </row>
    <row r="4675">
      <c r="A4675" s="3">
        <v>45666.0</v>
      </c>
      <c r="B4675" s="4">
        <v>0.34930555555555554</v>
      </c>
      <c r="C4675" s="5" t="s">
        <v>905</v>
      </c>
      <c r="D4675" s="5" t="s">
        <v>1044</v>
      </c>
      <c r="E4675" s="8" t="s">
        <v>966</v>
      </c>
      <c r="F4675" s="5" t="s">
        <v>967</v>
      </c>
      <c r="G4675" s="6" t="str">
        <f>VLOOKUP(E4675,dicionario!$A$1:$C5074,2,0)</f>
        <v>Portulaca halimoides</v>
      </c>
      <c r="H4675" s="6" t="str">
        <f>VLOOKUP(E4675,dicionario!$A$1:$C5074,3,0)</f>
        <v>beldroega-de-seda</v>
      </c>
    </row>
    <row r="4676">
      <c r="A4676" s="3">
        <v>45666.0</v>
      </c>
      <c r="B4676" s="4">
        <v>0.34930555555555554</v>
      </c>
      <c r="C4676" s="5" t="s">
        <v>905</v>
      </c>
      <c r="D4676" s="5" t="s">
        <v>1044</v>
      </c>
      <c r="E4676" s="8" t="s">
        <v>296</v>
      </c>
      <c r="F4676" s="5" t="s">
        <v>297</v>
      </c>
      <c r="G4676" s="6" t="str">
        <f>VLOOKUP(E4676,dicionario!$A$1:$C5075,2,0)</f>
        <v>Richardia brasiliensis</v>
      </c>
      <c r="H4676" s="6" t="str">
        <f>VLOOKUP(E4676,dicionario!$A$1:$C5075,3,0)</f>
        <v>poaia-branca</v>
      </c>
    </row>
    <row r="4677">
      <c r="A4677" s="3">
        <v>45666.0</v>
      </c>
      <c r="B4677" s="4">
        <v>0.34930555555555554</v>
      </c>
      <c r="C4677" s="5" t="s">
        <v>905</v>
      </c>
      <c r="D4677" s="5" t="s">
        <v>1044</v>
      </c>
      <c r="E4677" s="8" t="s">
        <v>154</v>
      </c>
      <c r="F4677" s="5" t="s">
        <v>155</v>
      </c>
      <c r="G4677" s="6" t="str">
        <f>VLOOKUP(E4677,dicionario!$A$1:$C5076,2,0)</f>
        <v>Cyperus rotundus</v>
      </c>
      <c r="H4677" s="6" t="str">
        <f>VLOOKUP(E4677,dicionario!$A$1:$C5076,3,0)</f>
        <v>tiririca</v>
      </c>
    </row>
    <row r="4678">
      <c r="A4678" s="3">
        <v>45666.0</v>
      </c>
      <c r="B4678" s="4">
        <v>0.35</v>
      </c>
      <c r="C4678" s="5" t="s">
        <v>8</v>
      </c>
      <c r="D4678" s="5" t="s">
        <v>1044</v>
      </c>
      <c r="E4678" s="8" t="s">
        <v>370</v>
      </c>
      <c r="F4678" s="5" t="s">
        <v>371</v>
      </c>
      <c r="G4678" s="6" t="str">
        <f>VLOOKUP(E4678,dicionario!$A$1:$C5077,2,0)</f>
        <v>Mimus saturninus</v>
      </c>
      <c r="H4678" s="6" t="str">
        <f>VLOOKUP(E4678,dicionario!$A$1:$C5077,3,0)</f>
        <v>sabiá-do-campo</v>
      </c>
    </row>
    <row r="4679">
      <c r="A4679" s="3">
        <v>45666.0</v>
      </c>
      <c r="B4679" s="4">
        <v>0.35</v>
      </c>
      <c r="C4679" s="5" t="s">
        <v>8</v>
      </c>
      <c r="D4679" s="5" t="s">
        <v>1044</v>
      </c>
      <c r="E4679" s="8" t="s">
        <v>31</v>
      </c>
      <c r="F4679" s="5" t="s">
        <v>32</v>
      </c>
      <c r="G4679" s="6" t="str">
        <f>VLOOKUP(E4679,dicionario!$A$1:$C5078,2,0)</f>
        <v>Furnarius rufus</v>
      </c>
      <c r="H4679" s="6" t="str">
        <f>VLOOKUP(E4679,dicionario!$A$1:$C5078,3,0)</f>
        <v>joão-de-barro</v>
      </c>
    </row>
    <row r="4680">
      <c r="A4680" s="3">
        <v>45666.0</v>
      </c>
      <c r="B4680" s="4">
        <v>0.35</v>
      </c>
      <c r="C4680" s="5" t="s">
        <v>8</v>
      </c>
      <c r="D4680" s="5" t="s">
        <v>1044</v>
      </c>
      <c r="E4680" s="8" t="s">
        <v>353</v>
      </c>
      <c r="F4680" s="5" t="s">
        <v>354</v>
      </c>
      <c r="G4680" s="6" t="str">
        <f>VLOOKUP(E4680,dicionario!$A$1:$C5079,2,0)</f>
        <v>Desmodium incanum</v>
      </c>
      <c r="H4680" s="6" t="str">
        <f>VLOOKUP(E4680,dicionario!$A$1:$C5079,3,0)</f>
        <v>pega-pega</v>
      </c>
    </row>
    <row r="4681">
      <c r="A4681" s="3">
        <v>45666.0</v>
      </c>
      <c r="B4681" s="4">
        <v>0.35</v>
      </c>
      <c r="C4681" s="5" t="s">
        <v>8</v>
      </c>
      <c r="D4681" s="5" t="s">
        <v>1044</v>
      </c>
      <c r="E4681" s="8" t="s">
        <v>135</v>
      </c>
      <c r="F4681" s="5" t="s">
        <v>136</v>
      </c>
      <c r="G4681" s="6" t="str">
        <f>VLOOKUP(E4681,dicionario!$A$1:$C5080,2,0)</f>
        <v>Tridax procumbens</v>
      </c>
      <c r="H4681" s="6" t="str">
        <f>VLOOKUP(E4681,dicionario!$A$1:$C5080,3,0)</f>
        <v>erva-de-touro</v>
      </c>
    </row>
    <row r="4682">
      <c r="A4682" s="3">
        <v>45666.0</v>
      </c>
      <c r="B4682" s="4">
        <v>0.35</v>
      </c>
      <c r="C4682" s="5" t="s">
        <v>8</v>
      </c>
      <c r="D4682" s="5" t="s">
        <v>1044</v>
      </c>
      <c r="E4682" s="8" t="s">
        <v>41</v>
      </c>
      <c r="F4682" s="5" t="s">
        <v>45</v>
      </c>
      <c r="G4682" s="6" t="str">
        <f>VLOOKUP(E4682,dicionario!$A$1:$C5081,2,0)</f>
        <v>Mimosa pudica</v>
      </c>
      <c r="H4682" s="6" t="str">
        <f>VLOOKUP(E4682,dicionario!$A$1:$C5081,3,0)</f>
        <v>dormideira</v>
      </c>
    </row>
    <row r="4683">
      <c r="A4683" s="3">
        <v>45666.0</v>
      </c>
      <c r="B4683" s="4">
        <v>0.35</v>
      </c>
      <c r="C4683" s="5" t="s">
        <v>8</v>
      </c>
      <c r="D4683" s="5" t="s">
        <v>1044</v>
      </c>
      <c r="E4683" s="8" t="s">
        <v>489</v>
      </c>
      <c r="F4683" s="5" t="s">
        <v>521</v>
      </c>
      <c r="G4683" s="6" t="str">
        <f>VLOOKUP(E4683,dicionario!$A$1:$C5082,2,0)</f>
        <v>Cenchrus echinatus</v>
      </c>
      <c r="H4683" s="6" t="str">
        <f>VLOOKUP(E4683,dicionario!$A$1:$C5082,3,0)</f>
        <v>capim-carrapicho</v>
      </c>
    </row>
    <row r="4684">
      <c r="A4684" s="3">
        <v>45666.0</v>
      </c>
      <c r="B4684" s="4">
        <v>0.35</v>
      </c>
      <c r="C4684" s="5" t="s">
        <v>8</v>
      </c>
      <c r="D4684" s="5" t="s">
        <v>1044</v>
      </c>
      <c r="E4684" s="8" t="s">
        <v>286</v>
      </c>
      <c r="F4684" s="5" t="s">
        <v>287</v>
      </c>
      <c r="G4684" s="6" t="str">
        <f>VLOOKUP(E4684,dicionario!$A$1:$C5083,2,0)</f>
        <v>Setaria parviflora</v>
      </c>
      <c r="H4684" s="6" t="str">
        <f>VLOOKUP(E4684,dicionario!$A$1:$C5083,3,0)</f>
        <v>capim-rabo-de-raposa</v>
      </c>
    </row>
    <row r="4685">
      <c r="A4685" s="3">
        <v>45666.0</v>
      </c>
      <c r="B4685" s="4">
        <v>0.3506944444444444</v>
      </c>
      <c r="C4685" s="5" t="s">
        <v>8</v>
      </c>
      <c r="D4685" s="5" t="s">
        <v>1044</v>
      </c>
      <c r="E4685" s="8" t="s">
        <v>111</v>
      </c>
      <c r="F4685" s="7" t="s">
        <v>112</v>
      </c>
      <c r="G4685" s="6" t="str">
        <f>VLOOKUP(E4685,dicionario!$A$1:$C5084,2,0)</f>
        <v>Trigona spinipes</v>
      </c>
      <c r="H4685" s="6" t="str">
        <f>VLOOKUP(E4685,dicionario!$A$1:$C5084,3,0)</f>
        <v>abelha-cachorro</v>
      </c>
    </row>
    <row r="4686">
      <c r="A4686" s="3">
        <v>45666.0</v>
      </c>
      <c r="B4686" s="4">
        <v>0.3506944444444444</v>
      </c>
      <c r="C4686" s="5" t="s">
        <v>8</v>
      </c>
      <c r="D4686" s="5" t="s">
        <v>1044</v>
      </c>
      <c r="E4686" s="8" t="s">
        <v>146</v>
      </c>
      <c r="F4686" s="5" t="s">
        <v>147</v>
      </c>
      <c r="G4686" s="6" t="str">
        <f>VLOOKUP(E4686,dicionario!$A$1:$C5085,2,0)</f>
        <v>Euphorbia hirta</v>
      </c>
      <c r="H4686" s="6" t="str">
        <f>VLOOKUP(E4686,dicionario!$A$1:$C5085,3,0)</f>
        <v>erva-de-santa-luzia</v>
      </c>
    </row>
    <row r="4687">
      <c r="A4687" s="3">
        <v>45666.0</v>
      </c>
      <c r="B4687" s="4">
        <v>0.3506944444444444</v>
      </c>
      <c r="C4687" s="5" t="s">
        <v>8</v>
      </c>
      <c r="D4687" s="5" t="s">
        <v>1044</v>
      </c>
      <c r="E4687" s="20" t="s">
        <v>676</v>
      </c>
      <c r="F4687" s="7" t="s">
        <v>677</v>
      </c>
      <c r="G4687" s="6" t="str">
        <f>VLOOKUP(E4687,dicionario!$A$1:$C5086,2,0)</f>
        <v>Zornia latifolia</v>
      </c>
      <c r="H4687" s="6" t="str">
        <f>VLOOKUP(E4687,dicionario!$A$1:$C5086,3,0)</f>
        <v>arrozinho-do-campo</v>
      </c>
    </row>
    <row r="4688">
      <c r="A4688" s="3">
        <v>45666.0</v>
      </c>
      <c r="B4688" s="4">
        <v>0.3506944444444444</v>
      </c>
      <c r="C4688" s="5" t="s">
        <v>8</v>
      </c>
      <c r="D4688" s="5" t="s">
        <v>1044</v>
      </c>
      <c r="E4688" s="8" t="s">
        <v>20</v>
      </c>
      <c r="F4688" s="7" t="s">
        <v>21</v>
      </c>
      <c r="G4688" s="6" t="str">
        <f>VLOOKUP(E4688,dicionario!$A$1:$C5087,2,0)</f>
        <v>Sicalis flaveola</v>
      </c>
      <c r="H4688" s="6" t="str">
        <f>VLOOKUP(E4688,dicionario!$A$1:$C5087,3,0)</f>
        <v>canário-da-terra</v>
      </c>
    </row>
    <row r="4689">
      <c r="A4689" s="3">
        <v>45666.0</v>
      </c>
      <c r="B4689" s="4">
        <v>0.3506944444444444</v>
      </c>
      <c r="C4689" s="5" t="s">
        <v>8</v>
      </c>
      <c r="D4689" s="5" t="s">
        <v>1044</v>
      </c>
      <c r="E4689" s="8" t="s">
        <v>1041</v>
      </c>
      <c r="F4689" s="5" t="s">
        <v>1042</v>
      </c>
      <c r="G4689" s="6" t="str">
        <f>VLOOKUP(E4689,dicionario!$A$1:$C5088,2,0)</f>
        <v>#N/A</v>
      </c>
      <c r="H4689" s="6" t="str">
        <f>VLOOKUP(E4689,dicionario!$A$1:$C5088,3,0)</f>
        <v>#N/A</v>
      </c>
    </row>
    <row r="4690">
      <c r="A4690" s="3">
        <v>45666.0</v>
      </c>
      <c r="B4690" s="4">
        <v>0.35138888888888886</v>
      </c>
      <c r="C4690" s="5" t="s">
        <v>8</v>
      </c>
      <c r="D4690" s="5" t="s">
        <v>1044</v>
      </c>
      <c r="E4690" s="8" t="s">
        <v>99</v>
      </c>
      <c r="F4690" s="5" t="s">
        <v>508</v>
      </c>
      <c r="G4690" s="6" t="str">
        <f>VLOOKUP(E4690,dicionario!$A$1:$C5089,2,0)</f>
        <v>Molothrus bonariensis</v>
      </c>
      <c r="H4690" s="6" t="str">
        <f>VLOOKUP(E4690,dicionario!$A$1:$C5089,3,0)</f>
        <v>chupim</v>
      </c>
    </row>
    <row r="4691">
      <c r="A4691" s="3">
        <v>45666.0</v>
      </c>
      <c r="B4691" s="4">
        <v>0.35138888888888886</v>
      </c>
      <c r="C4691" s="5" t="s">
        <v>8</v>
      </c>
      <c r="D4691" s="5" t="s">
        <v>1044</v>
      </c>
      <c r="E4691" s="8" t="s">
        <v>14</v>
      </c>
      <c r="F4691" s="5" t="s">
        <v>15</v>
      </c>
      <c r="G4691" s="6" t="str">
        <f>VLOOKUP(E4691,dicionario!$A$1:$C5090,2,0)</f>
        <v>Spermacoce verticillata</v>
      </c>
      <c r="H4691" s="6" t="str">
        <f>VLOOKUP(E4691,dicionario!$A$1:$C5090,3,0)</f>
        <v>vassourinha-de-botão</v>
      </c>
    </row>
    <row r="4692">
      <c r="A4692" s="3">
        <v>45666.0</v>
      </c>
      <c r="B4692" s="4">
        <v>0.35138888888888886</v>
      </c>
      <c r="C4692" s="5" t="s">
        <v>8</v>
      </c>
      <c r="D4692" s="5" t="s">
        <v>1044</v>
      </c>
      <c r="E4692" s="8" t="s">
        <v>109</v>
      </c>
      <c r="F4692" s="5" t="s">
        <v>110</v>
      </c>
      <c r="G4692" s="6" t="str">
        <f>VLOOKUP(E4692,dicionario!$A$1:$C5091,2,0)</f>
        <v>Tillandsia stricta</v>
      </c>
      <c r="H4692" s="6" t="str">
        <f>VLOOKUP(E4692,dicionario!$A$1:$C5091,3,0)</f>
        <v>cravo-do-mato</v>
      </c>
    </row>
    <row r="4693">
      <c r="A4693" s="3">
        <v>45666.0</v>
      </c>
      <c r="B4693" s="4">
        <v>0.35138888888888886</v>
      </c>
      <c r="C4693" s="5" t="s">
        <v>8</v>
      </c>
      <c r="D4693" s="5" t="s">
        <v>1044</v>
      </c>
      <c r="E4693" s="8" t="s">
        <v>712</v>
      </c>
      <c r="F4693" s="5" t="s">
        <v>1006</v>
      </c>
      <c r="G4693" s="6" t="str">
        <f>VLOOKUP(E4693,dicionario!$A$1:$C5092,2,0)</f>
        <v>Flavopunctelia soredica</v>
      </c>
      <c r="H4693" s="6" t="str">
        <f>VLOOKUP(E4693,dicionario!$A$1:$C5092,3,0)</f>
        <v>líquen-folioso</v>
      </c>
    </row>
    <row r="4694">
      <c r="A4694" s="3">
        <v>45666.0</v>
      </c>
      <c r="B4694" s="4">
        <v>0.35138888888888886</v>
      </c>
      <c r="C4694" s="5" t="s">
        <v>8</v>
      </c>
      <c r="D4694" s="5" t="s">
        <v>1044</v>
      </c>
      <c r="E4694" s="8" t="s">
        <v>719</v>
      </c>
      <c r="F4694" s="5" t="s">
        <v>1005</v>
      </c>
      <c r="G4694" s="6" t="str">
        <f>VLOOKUP(E4694,dicionario!$A$1:$C5093,2,0)</f>
        <v>Dirinaria</v>
      </c>
      <c r="H4694" s="6" t="str">
        <f>VLOOKUP(E4694,dicionario!$A$1:$C5093,3,0)</f>
        <v>líquen-crostoso</v>
      </c>
    </row>
    <row r="4695">
      <c r="A4695" s="3">
        <v>45666.0</v>
      </c>
      <c r="B4695" s="4">
        <v>0.35208333333333336</v>
      </c>
      <c r="C4695" s="5" t="s">
        <v>8</v>
      </c>
      <c r="D4695" s="5" t="s">
        <v>1044</v>
      </c>
      <c r="E4695" s="8" t="s">
        <v>909</v>
      </c>
      <c r="F4695" s="5" t="s">
        <v>910</v>
      </c>
      <c r="G4695" s="6" t="str">
        <f>VLOOKUP(E4695,dicionario!$A$1:$C5094,2,0)</f>
        <v>Chordeiles acutipennis</v>
      </c>
      <c r="H4695" s="6" t="str">
        <f>VLOOKUP(E4695,dicionario!$A$1:$C5094,3,0)</f>
        <v>bacurau-de-asa-fina</v>
      </c>
    </row>
    <row r="4696">
      <c r="A4696" s="3">
        <v>45666.0</v>
      </c>
      <c r="B4696" s="4">
        <v>0.35208333333333336</v>
      </c>
      <c r="C4696" s="5" t="s">
        <v>8</v>
      </c>
      <c r="D4696" s="5" t="s">
        <v>1044</v>
      </c>
      <c r="E4696" s="8" t="s">
        <v>223</v>
      </c>
      <c r="F4696" s="5" t="s">
        <v>224</v>
      </c>
      <c r="G4696" s="6" t="str">
        <f>VLOOKUP(E4696,dicionario!$A$1:$C5095,2,0)</f>
        <v>Rhipsalis lindbergiana</v>
      </c>
      <c r="H4696" s="6" t="str">
        <f>VLOOKUP(E4696,dicionario!$A$1:$C5095,3,0)</f>
        <v>cacto-macarrão</v>
      </c>
    </row>
    <row r="4697">
      <c r="A4697" s="3">
        <v>45666.0</v>
      </c>
      <c r="B4697" s="4">
        <v>0.3541666666666667</v>
      </c>
      <c r="C4697" s="5" t="s">
        <v>8</v>
      </c>
      <c r="D4697" s="5" t="s">
        <v>1044</v>
      </c>
      <c r="E4697" s="8" t="s">
        <v>163</v>
      </c>
      <c r="F4697" s="5" t="s">
        <v>164</v>
      </c>
      <c r="G4697" s="6" t="str">
        <f>VLOOKUP(E4697,dicionario!$A$1:$C5096,2,0)</f>
        <v>Coragyps atratus</v>
      </c>
      <c r="H4697" s="6" t="str">
        <f>VLOOKUP(E4697,dicionario!$A$1:$C5096,3,0)</f>
        <v>urubu-de-cabeça-preta</v>
      </c>
    </row>
    <row r="4698">
      <c r="A4698" s="3">
        <v>45666.0</v>
      </c>
      <c r="B4698" s="4">
        <v>0.3541666666666667</v>
      </c>
      <c r="C4698" s="5" t="s">
        <v>8</v>
      </c>
      <c r="D4698" s="5" t="s">
        <v>1044</v>
      </c>
      <c r="E4698" s="8" t="s">
        <v>22</v>
      </c>
      <c r="F4698" s="5" t="s">
        <v>97</v>
      </c>
      <c r="G4698" s="6" t="str">
        <f>VLOOKUP(E4698,dicionario!$A$1:$C5097,2,0)</f>
        <v>Zenaida auriculata</v>
      </c>
      <c r="H4698" s="6" t="str">
        <f>VLOOKUP(E4698,dicionario!$A$1:$C5097,3,0)</f>
        <v>pomba-de-bando; avoante</v>
      </c>
    </row>
    <row r="4699">
      <c r="A4699" s="3">
        <v>45666.0</v>
      </c>
      <c r="B4699" s="4">
        <v>0.3541666666666667</v>
      </c>
      <c r="C4699" s="5" t="s">
        <v>8</v>
      </c>
      <c r="D4699" s="5" t="s">
        <v>1044</v>
      </c>
      <c r="E4699" s="8" t="s">
        <v>938</v>
      </c>
      <c r="F4699" s="5" t="s">
        <v>737</v>
      </c>
      <c r="G4699" s="6" t="str">
        <f>VLOOKUP(E4699,dicionario!$A$1:$C5098,2,0)</f>
        <v>Chloris barbata</v>
      </c>
      <c r="H4699" s="6" t="str">
        <f>VLOOKUP(E4699,dicionario!$A$1:$C5098,3,0)</f>
        <v/>
      </c>
    </row>
    <row r="4700">
      <c r="A4700" s="3">
        <v>45666.0</v>
      </c>
      <c r="B4700" s="4">
        <v>0.3541666666666667</v>
      </c>
      <c r="C4700" s="5" t="s">
        <v>8</v>
      </c>
      <c r="D4700" s="5" t="s">
        <v>1044</v>
      </c>
      <c r="E4700" s="8" t="s">
        <v>704</v>
      </c>
      <c r="F4700" s="5" t="s">
        <v>1081</v>
      </c>
      <c r="G4700" s="6" t="str">
        <f>VLOOKUP(E4700,dicionario!$A$1:$C5099,2,0)</f>
        <v>Brachygastra lecheguana</v>
      </c>
      <c r="H4700" s="6" t="str">
        <f>VLOOKUP(E4700,dicionario!$A$1:$C5099,3,0)</f>
        <v>enxu-verdadeiro</v>
      </c>
    </row>
    <row r="4701">
      <c r="A4701" s="3">
        <v>45666.0</v>
      </c>
      <c r="B4701" s="4">
        <v>0.3541666666666667</v>
      </c>
      <c r="C4701" s="5" t="s">
        <v>8</v>
      </c>
      <c r="D4701" s="5" t="s">
        <v>1044</v>
      </c>
      <c r="E4701" s="8" t="s">
        <v>88</v>
      </c>
      <c r="F4701" s="5" t="s">
        <v>89</v>
      </c>
      <c r="G4701" s="6" t="str">
        <f>VLOOKUP(E4701,dicionario!$A$1:$C5100,2,0)</f>
        <v>Tyrannus melancolichus</v>
      </c>
      <c r="H4701" s="6" t="str">
        <f>VLOOKUP(E4701,dicionario!$A$1:$C5100,3,0)</f>
        <v>suiriri</v>
      </c>
    </row>
    <row r="4702">
      <c r="A4702" s="3">
        <v>45666.0</v>
      </c>
      <c r="B4702" s="4">
        <v>0.3541666666666667</v>
      </c>
      <c r="C4702" s="5" t="s">
        <v>8</v>
      </c>
      <c r="D4702" s="5" t="s">
        <v>1044</v>
      </c>
      <c r="E4702" s="8" t="s">
        <v>65</v>
      </c>
      <c r="F4702" s="5" t="s">
        <v>66</v>
      </c>
      <c r="G4702" s="6" t="str">
        <f>VLOOKUP(E4702,dicionario!$A$1:$C5101,2,0)</f>
        <v>Pitangus sulphutarus</v>
      </c>
      <c r="H4702" s="6" t="str">
        <f>VLOOKUP(E4702,dicionario!$A$1:$C5101,3,0)</f>
        <v>bem-te-vi</v>
      </c>
    </row>
    <row r="4703">
      <c r="A4703" s="3">
        <v>45673.0</v>
      </c>
      <c r="B4703" s="4">
        <v>0.2569444444444444</v>
      </c>
      <c r="C4703" s="5" t="s">
        <v>8</v>
      </c>
      <c r="D4703" s="5" t="s">
        <v>1082</v>
      </c>
      <c r="E4703" s="8" t="s">
        <v>200</v>
      </c>
      <c r="F4703" s="5" t="s">
        <v>201</v>
      </c>
      <c r="G4703" s="6" t="str">
        <f>VLOOKUP(E4703,dicionario!$A$1:$C5102,2,0)</f>
        <v>Columbina picui </v>
      </c>
      <c r="H4703" s="6" t="str">
        <f>VLOOKUP(E4703,dicionario!$A$1:$C5102,3,0)</f>
        <v>rolinha-picuí</v>
      </c>
    </row>
    <row r="4704">
      <c r="A4704" s="3">
        <v>45673.0</v>
      </c>
      <c r="B4704" s="4">
        <v>0.2569444444444444</v>
      </c>
      <c r="C4704" s="5" t="s">
        <v>8</v>
      </c>
      <c r="D4704" s="5" t="s">
        <v>1082</v>
      </c>
      <c r="E4704" s="8" t="s">
        <v>20</v>
      </c>
      <c r="F4704" s="7" t="s">
        <v>21</v>
      </c>
      <c r="G4704" s="6" t="str">
        <f>VLOOKUP(E4704,dicionario!$A$1:$C5103,2,0)</f>
        <v>Sicalis flaveola</v>
      </c>
      <c r="H4704" s="6" t="str">
        <f>VLOOKUP(E4704,dicionario!$A$1:$C5103,3,0)</f>
        <v>canário-da-terra</v>
      </c>
    </row>
    <row r="4705">
      <c r="A4705" s="3">
        <v>45673.0</v>
      </c>
      <c r="B4705" s="4">
        <v>0.25763888888888886</v>
      </c>
      <c r="C4705" s="5" t="s">
        <v>8</v>
      </c>
      <c r="D4705" s="5" t="s">
        <v>1082</v>
      </c>
      <c r="E4705" s="8" t="s">
        <v>150</v>
      </c>
      <c r="F4705" s="5" t="s">
        <v>151</v>
      </c>
      <c r="G4705" s="6" t="str">
        <f>VLOOKUP(E4705,dicionario!$A$1:$C5104,2,0)</f>
        <v>Amaranthus viridis</v>
      </c>
      <c r="H4705" s="6" t="str">
        <f>VLOOKUP(E4705,dicionario!$A$1:$C5104,3,0)</f>
        <v>caruru-de-mancha</v>
      </c>
    </row>
    <row r="4706">
      <c r="A4706" s="3">
        <v>45673.0</v>
      </c>
      <c r="B4706" s="4">
        <v>0.25763888888888886</v>
      </c>
      <c r="C4706" s="5" t="s">
        <v>8</v>
      </c>
      <c r="D4706" s="5" t="s">
        <v>1082</v>
      </c>
      <c r="E4706" s="8" t="s">
        <v>467</v>
      </c>
      <c r="F4706" s="5" t="s">
        <v>468</v>
      </c>
      <c r="G4706" s="6" t="str">
        <f>VLOOKUP(E4706,dicionario!$A$1:$C5105,2,0)</f>
        <v>Eleusine indica</v>
      </c>
      <c r="H4706" s="6" t="str">
        <f>VLOOKUP(E4706,dicionario!$A$1:$C5105,3,0)</f>
        <v>capim-pé-de-galinha</v>
      </c>
    </row>
    <row r="4707">
      <c r="A4707" s="3">
        <v>45673.0</v>
      </c>
      <c r="B4707" s="4">
        <v>0.25763888888888886</v>
      </c>
      <c r="C4707" s="5" t="s">
        <v>8</v>
      </c>
      <c r="D4707" s="5" t="s">
        <v>1082</v>
      </c>
      <c r="E4707" s="8" t="s">
        <v>146</v>
      </c>
      <c r="F4707" s="5" t="s">
        <v>147</v>
      </c>
      <c r="G4707" s="6" t="str">
        <f>VLOOKUP(E4707,dicionario!$A$1:$C5106,2,0)</f>
        <v>Euphorbia hirta</v>
      </c>
      <c r="H4707" s="6" t="str">
        <f>VLOOKUP(E4707,dicionario!$A$1:$C5106,3,0)</f>
        <v>erva-de-santa-luzia</v>
      </c>
    </row>
    <row r="4708">
      <c r="A4708" s="3">
        <v>45673.0</v>
      </c>
      <c r="B4708" s="4">
        <v>0.25763888888888886</v>
      </c>
      <c r="C4708" s="5" t="s">
        <v>8</v>
      </c>
      <c r="D4708" s="5" t="s">
        <v>1082</v>
      </c>
      <c r="E4708" s="8" t="s">
        <v>51</v>
      </c>
      <c r="F4708" s="5" t="s">
        <v>77</v>
      </c>
      <c r="G4708" s="6" t="str">
        <f>VLOOKUP(E4708,dicionario!$A$1:$C5107,2,0)</f>
        <v>Solenopsis</v>
      </c>
      <c r="H4708" s="6" t="str">
        <f>VLOOKUP(E4708,dicionario!$A$1:$C5107,3,0)</f>
        <v>formiga-quente; formiga-lava-pés; formiga-de-fogo</v>
      </c>
    </row>
    <row r="4709">
      <c r="A4709" s="3">
        <v>45673.0</v>
      </c>
      <c r="B4709" s="4">
        <v>0.25833333333333336</v>
      </c>
      <c r="C4709" s="5" t="s">
        <v>8</v>
      </c>
      <c r="D4709" s="5" t="s">
        <v>1082</v>
      </c>
      <c r="E4709" s="8" t="s">
        <v>227</v>
      </c>
      <c r="F4709" s="5" t="s">
        <v>228</v>
      </c>
      <c r="G4709" s="6" t="str">
        <f>VLOOKUP(E4709,dicionario!$A$1:$C5108,2,0)</f>
        <v>Indigofera hirsuta</v>
      </c>
      <c r="H4709" s="6" t="str">
        <f>VLOOKUP(E4709,dicionario!$A$1:$C5108,3,0)</f>
        <v>anileira</v>
      </c>
    </row>
    <row r="4710">
      <c r="A4710" s="3">
        <v>45673.0</v>
      </c>
      <c r="B4710" s="4">
        <v>0.25833333333333336</v>
      </c>
      <c r="C4710" s="5" t="s">
        <v>8</v>
      </c>
      <c r="D4710" s="5" t="s">
        <v>1082</v>
      </c>
      <c r="E4710" s="8" t="s">
        <v>732</v>
      </c>
      <c r="F4710" s="5" t="s">
        <v>739</v>
      </c>
      <c r="G4710" s="6" t="str">
        <f>VLOOKUP(E4710,dicionario!$A$1:$C5109,2,0)</f>
        <v>#N/A</v>
      </c>
      <c r="H4710" s="6" t="str">
        <f>VLOOKUP(E4710,dicionario!$A$1:$C5109,3,0)</f>
        <v>#N/A</v>
      </c>
    </row>
    <row r="4711">
      <c r="A4711" s="3">
        <v>45673.0</v>
      </c>
      <c r="B4711" s="4">
        <v>0.25833333333333336</v>
      </c>
      <c r="C4711" s="5" t="s">
        <v>8</v>
      </c>
      <c r="D4711" s="5" t="s">
        <v>1082</v>
      </c>
      <c r="E4711" s="8" t="s">
        <v>353</v>
      </c>
      <c r="F4711" s="5" t="s">
        <v>354</v>
      </c>
      <c r="G4711" s="6" t="str">
        <f>VLOOKUP(E4711,dicionario!$A$1:$C5110,2,0)</f>
        <v>Desmodium incanum</v>
      </c>
      <c r="H4711" s="6" t="str">
        <f>VLOOKUP(E4711,dicionario!$A$1:$C5110,3,0)</f>
        <v>pega-pega</v>
      </c>
    </row>
    <row r="4712">
      <c r="A4712" s="3">
        <v>45673.0</v>
      </c>
      <c r="B4712" s="4">
        <v>0.2590277777777778</v>
      </c>
      <c r="C4712" s="5" t="s">
        <v>8</v>
      </c>
      <c r="D4712" s="5" t="s">
        <v>1082</v>
      </c>
      <c r="E4712" s="8" t="s">
        <v>1052</v>
      </c>
      <c r="F4712" s="5" t="s">
        <v>1083</v>
      </c>
      <c r="G4712" s="6" t="str">
        <f>VLOOKUP(E4712,dicionario!$A$1:$C5111,2,0)</f>
        <v>#N/A</v>
      </c>
      <c r="H4712" s="6" t="str">
        <f>VLOOKUP(E4712,dicionario!$A$1:$C5111,3,0)</f>
        <v>#N/A</v>
      </c>
    </row>
    <row r="4713">
      <c r="A4713" s="3">
        <v>45673.0</v>
      </c>
      <c r="B4713" s="4">
        <v>0.2590277777777778</v>
      </c>
      <c r="C4713" s="5" t="s">
        <v>8</v>
      </c>
      <c r="D4713" s="5" t="s">
        <v>1082</v>
      </c>
      <c r="E4713" s="8" t="s">
        <v>158</v>
      </c>
      <c r="F4713" s="5" t="s">
        <v>159</v>
      </c>
      <c r="G4713" s="6" t="str">
        <f>VLOOKUP(E4713,dicionario!$A$1:$C5112,2,0)</f>
        <v>Nephilingis cruentata</v>
      </c>
      <c r="H4713" s="6" t="str">
        <f>VLOOKUP(E4713,dicionario!$A$1:$C5112,3,0)</f>
        <v>maria-bola</v>
      </c>
    </row>
    <row r="4714">
      <c r="A4714" s="3">
        <v>45673.0</v>
      </c>
      <c r="B4714" s="4">
        <v>0.2590277777777778</v>
      </c>
      <c r="C4714" s="5" t="s">
        <v>8</v>
      </c>
      <c r="D4714" s="5" t="s">
        <v>1082</v>
      </c>
      <c r="E4714" s="8" t="s">
        <v>378</v>
      </c>
      <c r="F4714" s="5" t="s">
        <v>205</v>
      </c>
      <c r="G4714" s="6" t="str">
        <f>VLOOKUP(E4714,dicionario!$A$1:$C5113,2,0)</f>
        <v>Polistes</v>
      </c>
      <c r="H4714" s="6" t="str">
        <f>VLOOKUP(E4714,dicionario!$A$1:$C5113,3,0)</f>
        <v>marimbondo</v>
      </c>
    </row>
    <row r="4715">
      <c r="A4715" s="3">
        <v>45673.0</v>
      </c>
      <c r="B4715" s="4">
        <v>0.2590277777777778</v>
      </c>
      <c r="C4715" s="5" t="s">
        <v>8</v>
      </c>
      <c r="D4715" s="5" t="s">
        <v>1082</v>
      </c>
      <c r="E4715" s="8" t="s">
        <v>215</v>
      </c>
      <c r="F4715" s="7" t="s">
        <v>216</v>
      </c>
      <c r="G4715" s="6" t="str">
        <f>VLOOKUP(E4715,dicionario!$A$1:$C5114,2,0)</f>
        <v>Pygochelidon cyanoleuca</v>
      </c>
      <c r="H4715" s="6" t="str">
        <f>VLOOKUP(E4715,dicionario!$A$1:$C5114,3,0)</f>
        <v>andorinha-pequena-de-casa</v>
      </c>
    </row>
    <row r="4716">
      <c r="A4716" s="3">
        <v>45673.0</v>
      </c>
      <c r="B4716" s="4">
        <v>0.25972222222222224</v>
      </c>
      <c r="C4716" s="5" t="s">
        <v>8</v>
      </c>
      <c r="D4716" s="5" t="s">
        <v>1082</v>
      </c>
      <c r="E4716" s="8" t="s">
        <v>639</v>
      </c>
      <c r="F4716" s="5" t="s">
        <v>640</v>
      </c>
      <c r="G4716" s="6" t="str">
        <f>VLOOKUP(E4716,dicionario!$A$1:$C5115,2,0)</f>
        <v>Egretta thula</v>
      </c>
      <c r="H4716" s="6" t="str">
        <f>VLOOKUP(E4716,dicionario!$A$1:$C5115,3,0)</f>
        <v>garça-branca-pequena</v>
      </c>
    </row>
    <row r="4717">
      <c r="A4717" s="3">
        <v>45673.0</v>
      </c>
      <c r="B4717" s="4">
        <v>0.25972222222222224</v>
      </c>
      <c r="C4717" s="5" t="s">
        <v>8</v>
      </c>
      <c r="D4717" s="5" t="s">
        <v>1082</v>
      </c>
      <c r="E4717" s="8" t="s">
        <v>213</v>
      </c>
      <c r="F4717" s="7" t="s">
        <v>214</v>
      </c>
      <c r="G4717" s="6" t="str">
        <f>VLOOKUP(E4717,dicionario!$A$1:$C5116,2,0)</f>
        <v>Myiozetetes similis</v>
      </c>
      <c r="H4717" s="6" t="str">
        <f>VLOOKUP(E4717,dicionario!$A$1:$C5116,3,0)</f>
        <v>bentevizinho-de-penacho-vermelho</v>
      </c>
    </row>
    <row r="4718">
      <c r="A4718" s="3">
        <v>45673.0</v>
      </c>
      <c r="B4718" s="4">
        <v>0.2604166666666667</v>
      </c>
      <c r="C4718" s="5" t="s">
        <v>8</v>
      </c>
      <c r="D4718" s="5" t="s">
        <v>1082</v>
      </c>
      <c r="E4718" s="8" t="s">
        <v>191</v>
      </c>
      <c r="F4718" s="5" t="s">
        <v>192</v>
      </c>
      <c r="G4718" s="6" t="str">
        <f>VLOOKUP(E4718,dicionario!$A$1:$C5117,2,0)</f>
        <v>Patagioenas picazuro</v>
      </c>
      <c r="H4718" s="6" t="str">
        <f>VLOOKUP(E4718,dicionario!$A$1:$C5117,3,0)</f>
        <v>asa-branca; pomba-asa-branca; pocaçu</v>
      </c>
    </row>
    <row r="4719">
      <c r="A4719" s="3">
        <v>45673.0</v>
      </c>
      <c r="B4719" s="4">
        <v>0.26180555555555557</v>
      </c>
      <c r="C4719" s="5" t="s">
        <v>8</v>
      </c>
      <c r="D4719" s="5" t="s">
        <v>1082</v>
      </c>
      <c r="E4719" s="8" t="s">
        <v>99</v>
      </c>
      <c r="F4719" s="5" t="s">
        <v>508</v>
      </c>
      <c r="G4719" s="6" t="str">
        <f>VLOOKUP(E4719,dicionario!$A$1:$C5118,2,0)</f>
        <v>Molothrus bonariensis</v>
      </c>
      <c r="H4719" s="6" t="str">
        <f>VLOOKUP(E4719,dicionario!$A$1:$C5118,3,0)</f>
        <v>chupim</v>
      </c>
    </row>
    <row r="4720">
      <c r="A4720" s="3">
        <v>45673.0</v>
      </c>
      <c r="B4720" s="4">
        <v>0.26180555555555557</v>
      </c>
      <c r="C4720" s="5" t="s">
        <v>8</v>
      </c>
      <c r="D4720" s="5" t="s">
        <v>1082</v>
      </c>
      <c r="E4720" s="8" t="s">
        <v>132</v>
      </c>
      <c r="F4720" s="5" t="s">
        <v>133</v>
      </c>
      <c r="G4720" s="6" t="str">
        <f>VLOOKUP(E4720,dicionario!$A$1:$C5119,2,0)</f>
        <v>Euphonia chlorotica</v>
      </c>
      <c r="H4720" s="6" t="str">
        <f>VLOOKUP(E4720,dicionario!$A$1:$C5119,3,0)</f>
        <v>fim-fim</v>
      </c>
    </row>
    <row r="4721">
      <c r="A4721" s="3">
        <v>45673.0</v>
      </c>
      <c r="B4721" s="4">
        <v>0.2625</v>
      </c>
      <c r="C4721" s="5" t="s">
        <v>8</v>
      </c>
      <c r="D4721" s="5" t="s">
        <v>1082</v>
      </c>
      <c r="E4721" s="8" t="s">
        <v>481</v>
      </c>
      <c r="F4721" s="5" t="s">
        <v>482</v>
      </c>
      <c r="G4721" s="6" t="str">
        <f>VLOOKUP(E4721,dicionario!$A$1:$C5120,2,0)</f>
        <v>Camptostoma obsoletum</v>
      </c>
      <c r="H4721" s="6" t="str">
        <f>VLOOKUP(E4721,dicionario!$A$1:$C5120,3,0)</f>
        <v>risadinha</v>
      </c>
    </row>
    <row r="4722">
      <c r="A4722" s="3">
        <v>45673.0</v>
      </c>
      <c r="B4722" s="4">
        <v>0.2625</v>
      </c>
      <c r="C4722" s="5" t="s">
        <v>8</v>
      </c>
      <c r="D4722" s="5" t="s">
        <v>1082</v>
      </c>
      <c r="E4722" s="8" t="s">
        <v>109</v>
      </c>
      <c r="F4722" s="5" t="s">
        <v>110</v>
      </c>
      <c r="G4722" s="6" t="str">
        <f>VLOOKUP(E4722,dicionario!$A$1:$C5121,2,0)</f>
        <v>Tillandsia stricta</v>
      </c>
      <c r="H4722" s="6" t="str">
        <f>VLOOKUP(E4722,dicionario!$A$1:$C5121,3,0)</f>
        <v>cravo-do-mato</v>
      </c>
    </row>
    <row r="4723">
      <c r="A4723" s="3">
        <v>45673.0</v>
      </c>
      <c r="B4723" s="4">
        <v>0.26319444444444445</v>
      </c>
      <c r="C4723" s="5" t="s">
        <v>8</v>
      </c>
      <c r="D4723" s="5" t="s">
        <v>1082</v>
      </c>
      <c r="E4723" s="8" t="s">
        <v>1084</v>
      </c>
      <c r="F4723" s="5" t="s">
        <v>1084</v>
      </c>
      <c r="G4723" s="6" t="str">
        <f>VLOOKUP(E4723,dicionario!$A$1:$C5122,2,0)</f>
        <v>#N/A</v>
      </c>
      <c r="H4723" s="6" t="str">
        <f>VLOOKUP(E4723,dicionario!$A$1:$C5122,3,0)</f>
        <v>#N/A</v>
      </c>
    </row>
    <row r="4724">
      <c r="A4724" s="3">
        <v>45673.0</v>
      </c>
      <c r="B4724" s="4">
        <v>0.26319444444444445</v>
      </c>
      <c r="C4724" s="5" t="s">
        <v>8</v>
      </c>
      <c r="D4724" s="5" t="s">
        <v>1082</v>
      </c>
      <c r="E4724" s="8" t="s">
        <v>909</v>
      </c>
      <c r="F4724" s="5" t="s">
        <v>910</v>
      </c>
      <c r="G4724" s="6" t="str">
        <f>VLOOKUP(E4724,dicionario!$A$1:$C5123,2,0)</f>
        <v>Chordeiles acutipennis</v>
      </c>
      <c r="H4724" s="6" t="str">
        <f>VLOOKUP(E4724,dicionario!$A$1:$C5123,3,0)</f>
        <v>bacurau-de-asa-fina</v>
      </c>
    </row>
    <row r="4725">
      <c r="A4725" s="3">
        <v>45673.0</v>
      </c>
      <c r="B4725" s="4">
        <v>0.26319444444444445</v>
      </c>
      <c r="C4725" s="5" t="s">
        <v>8</v>
      </c>
      <c r="D4725" s="5" t="s">
        <v>1082</v>
      </c>
      <c r="E4725" s="8" t="s">
        <v>712</v>
      </c>
      <c r="F4725" s="5" t="s">
        <v>718</v>
      </c>
      <c r="G4725" s="6" t="str">
        <f>VLOOKUP(E4725,dicionario!$A$1:$C5124,2,0)</f>
        <v>Flavopunctelia soredica</v>
      </c>
      <c r="H4725" s="6" t="str">
        <f>VLOOKUP(E4725,dicionario!$A$1:$C5124,3,0)</f>
        <v>líquen-folioso</v>
      </c>
    </row>
    <row r="4726">
      <c r="A4726" s="3">
        <v>45673.0</v>
      </c>
      <c r="B4726" s="4">
        <v>0.26319444444444445</v>
      </c>
      <c r="C4726" s="5" t="s">
        <v>8</v>
      </c>
      <c r="D4726" s="5" t="s">
        <v>1082</v>
      </c>
      <c r="E4726" s="8" t="s">
        <v>719</v>
      </c>
      <c r="F4726" s="5" t="s">
        <v>720</v>
      </c>
      <c r="G4726" s="6" t="str">
        <f>VLOOKUP(E4726,dicionario!$A$1:$C5125,2,0)</f>
        <v>Dirinaria</v>
      </c>
      <c r="H4726" s="6" t="str">
        <f>VLOOKUP(E4726,dicionario!$A$1:$C5125,3,0)</f>
        <v>líquen-crostoso</v>
      </c>
    </row>
    <row r="4727">
      <c r="A4727" s="3">
        <v>45673.0</v>
      </c>
      <c r="B4727" s="4">
        <v>0.2638888888888889</v>
      </c>
      <c r="C4727" s="5" t="s">
        <v>8</v>
      </c>
      <c r="D4727" s="5" t="s">
        <v>1082</v>
      </c>
      <c r="E4727" s="8" t="s">
        <v>65</v>
      </c>
      <c r="F4727" s="5" t="s">
        <v>66</v>
      </c>
      <c r="G4727" s="6" t="str">
        <f>VLOOKUP(E4727,dicionario!$A$1:$C5126,2,0)</f>
        <v>Pitangus sulphutarus</v>
      </c>
      <c r="H4727" s="6" t="str">
        <f>VLOOKUP(E4727,dicionario!$A$1:$C5126,3,0)</f>
        <v>bem-te-vi</v>
      </c>
    </row>
    <row r="4728">
      <c r="A4728" s="3">
        <v>45673.0</v>
      </c>
      <c r="B4728" s="4">
        <v>0.2638888888888889</v>
      </c>
      <c r="C4728" s="5" t="s">
        <v>8</v>
      </c>
      <c r="D4728" s="5" t="s">
        <v>1082</v>
      </c>
      <c r="E4728" s="8" t="s">
        <v>177</v>
      </c>
      <c r="F4728" s="5" t="s">
        <v>178</v>
      </c>
      <c r="G4728" s="6" t="str">
        <f>VLOOKUP(E4728,dicionario!$A$1:$C5127,2,0)</f>
        <v>Elaenia flavogaster</v>
      </c>
      <c r="H4728" s="6" t="str">
        <f>VLOOKUP(E4728,dicionario!$A$1:$C5127,3,0)</f>
        <v>guaracava-de-barriga-amarela</v>
      </c>
    </row>
    <row r="4729">
      <c r="A4729" s="3">
        <v>45673.0</v>
      </c>
      <c r="B4729" s="4">
        <v>0.26458333333333334</v>
      </c>
      <c r="C4729" s="5" t="s">
        <v>8</v>
      </c>
      <c r="D4729" s="5" t="s">
        <v>1082</v>
      </c>
      <c r="E4729" s="8" t="s">
        <v>86</v>
      </c>
      <c r="F4729" s="5" t="s">
        <v>502</v>
      </c>
      <c r="G4729" s="6" t="str">
        <f>VLOOKUP(E4729,dicionario!$A$1:$C5128,2,0)</f>
        <v>Coereba flaveola</v>
      </c>
      <c r="H4729" s="6" t="str">
        <f>VLOOKUP(E4729,dicionario!$A$1:$C5128,3,0)</f>
        <v>cambacica</v>
      </c>
    </row>
    <row r="4730">
      <c r="A4730" s="3">
        <v>45673.0</v>
      </c>
      <c r="B4730" s="4">
        <v>0.26666666666666666</v>
      </c>
      <c r="C4730" s="5" t="s">
        <v>26</v>
      </c>
      <c r="D4730" s="5" t="s">
        <v>1082</v>
      </c>
      <c r="E4730" s="8" t="s">
        <v>217</v>
      </c>
      <c r="F4730" s="5" t="s">
        <v>218</v>
      </c>
      <c r="G4730" s="6" t="str">
        <f>VLOOKUP(E4730,dicionario!$A$1:$C5129,2,0)</f>
        <v>Athene cunicularia</v>
      </c>
      <c r="H4730" s="6" t="str">
        <f>VLOOKUP(E4730,dicionario!$A$1:$C5129,3,0)</f>
        <v>coruja-buraqueira</v>
      </c>
    </row>
    <row r="4731">
      <c r="A4731" s="3">
        <v>45673.0</v>
      </c>
      <c r="B4731" s="4">
        <v>0.2673611111111111</v>
      </c>
      <c r="C4731" s="5" t="s">
        <v>26</v>
      </c>
      <c r="D4731" s="5" t="s">
        <v>1082</v>
      </c>
      <c r="E4731" s="8" t="s">
        <v>358</v>
      </c>
      <c r="F4731" s="5" t="s">
        <v>472</v>
      </c>
      <c r="G4731" s="6" t="str">
        <f>VLOOKUP(E4731,dicionario!$A$1:$C5130,2,0)</f>
        <v>Sida</v>
      </c>
      <c r="H4731" s="6" t="str">
        <f>VLOOKUP(E4731,dicionario!$A$1:$C5130,3,0)</f>
        <v/>
      </c>
    </row>
    <row r="4732">
      <c r="A4732" s="3">
        <v>45673.0</v>
      </c>
      <c r="B4732" s="4">
        <v>0.2673611111111111</v>
      </c>
      <c r="C4732" s="5" t="s">
        <v>26</v>
      </c>
      <c r="D4732" s="5" t="s">
        <v>1082</v>
      </c>
      <c r="E4732" s="8" t="s">
        <v>215</v>
      </c>
      <c r="F4732" s="7" t="s">
        <v>216</v>
      </c>
      <c r="G4732" s="6" t="str">
        <f>VLOOKUP(E4732,dicionario!$A$1:$C5131,2,0)</f>
        <v>Pygochelidon cyanoleuca</v>
      </c>
      <c r="H4732" s="6" t="str">
        <f>VLOOKUP(E4732,dicionario!$A$1:$C5131,3,0)</f>
        <v>andorinha-pequena-de-casa</v>
      </c>
    </row>
    <row r="4733">
      <c r="A4733" s="3">
        <v>45673.0</v>
      </c>
      <c r="B4733" s="4">
        <v>0.26805555555555555</v>
      </c>
      <c r="C4733" s="5" t="s">
        <v>26</v>
      </c>
      <c r="D4733" s="5" t="s">
        <v>1082</v>
      </c>
      <c r="E4733" s="8" t="s">
        <v>20</v>
      </c>
      <c r="F4733" s="7" t="s">
        <v>21</v>
      </c>
      <c r="G4733" s="6" t="str">
        <f>VLOOKUP(E4733,dicionario!$A$1:$C5132,2,0)</f>
        <v>Sicalis flaveola</v>
      </c>
      <c r="H4733" s="6" t="str">
        <f>VLOOKUP(E4733,dicionario!$A$1:$C5132,3,0)</f>
        <v>canário-da-terra</v>
      </c>
    </row>
    <row r="4734">
      <c r="A4734" s="3">
        <v>45673.0</v>
      </c>
      <c r="B4734" s="4">
        <v>0.26805555555555555</v>
      </c>
      <c r="C4734" s="5" t="s">
        <v>26</v>
      </c>
      <c r="D4734" s="5" t="s">
        <v>1082</v>
      </c>
      <c r="E4734" s="8" t="s">
        <v>31</v>
      </c>
      <c r="F4734" s="5" t="s">
        <v>32</v>
      </c>
      <c r="G4734" s="6" t="str">
        <f>VLOOKUP(E4734,dicionario!$A$1:$C5133,2,0)</f>
        <v>Furnarius rufus</v>
      </c>
      <c r="H4734" s="6" t="str">
        <f>VLOOKUP(E4734,dicionario!$A$1:$C5133,3,0)</f>
        <v>joão-de-barro</v>
      </c>
    </row>
    <row r="4735">
      <c r="A4735" s="3">
        <v>45673.0</v>
      </c>
      <c r="B4735" s="4">
        <v>0.26805555555555555</v>
      </c>
      <c r="C4735" s="5" t="s">
        <v>26</v>
      </c>
      <c r="D4735" s="5" t="s">
        <v>1082</v>
      </c>
      <c r="E4735" s="20" t="s">
        <v>676</v>
      </c>
      <c r="F4735" s="7" t="s">
        <v>677</v>
      </c>
      <c r="G4735" s="6" t="str">
        <f>VLOOKUP(E4735,dicionario!$A$1:$C5134,2,0)</f>
        <v>Zornia latifolia</v>
      </c>
      <c r="H4735" s="6" t="str">
        <f>VLOOKUP(E4735,dicionario!$A$1:$C5134,3,0)</f>
        <v>arrozinho-do-campo</v>
      </c>
    </row>
    <row r="4736">
      <c r="A4736" s="3">
        <v>45673.0</v>
      </c>
      <c r="B4736" s="4">
        <v>0.26875</v>
      </c>
      <c r="C4736" s="5" t="s">
        <v>26</v>
      </c>
      <c r="D4736" s="5" t="s">
        <v>1082</v>
      </c>
      <c r="E4736" s="26"/>
      <c r="F4736" s="52" t="s">
        <v>1085</v>
      </c>
      <c r="G4736" s="6" t="str">
        <f>VLOOKUP(E4736,dicionario!$A$1:$C5135,2,0)</f>
        <v>#N/A</v>
      </c>
      <c r="H4736" s="6" t="str">
        <f>VLOOKUP(E4736,dicionario!$A$1:$C5135,3,0)</f>
        <v>#N/A</v>
      </c>
    </row>
    <row r="4737">
      <c r="A4737" s="3">
        <v>45673.0</v>
      </c>
      <c r="B4737" s="4">
        <v>0.26944444444444443</v>
      </c>
      <c r="C4737" s="5" t="s">
        <v>26</v>
      </c>
      <c r="D4737" s="5" t="s">
        <v>1082</v>
      </c>
      <c r="E4737" s="8" t="s">
        <v>229</v>
      </c>
      <c r="F4737" s="5" t="s">
        <v>230</v>
      </c>
      <c r="G4737" s="6" t="str">
        <f>VLOOKUP(E4737,dicionario!$A$1:$C5136,2,0)</f>
        <v>Apis mellifera</v>
      </c>
      <c r="H4737" s="6" t="str">
        <f>VLOOKUP(E4737,dicionario!$A$1:$C5136,3,0)</f>
        <v>abelha-do-mel</v>
      </c>
    </row>
    <row r="4738">
      <c r="A4738" s="3">
        <v>45673.0</v>
      </c>
      <c r="B4738" s="4">
        <v>0.26944444444444443</v>
      </c>
      <c r="C4738" s="5" t="s">
        <v>26</v>
      </c>
      <c r="D4738" s="5" t="s">
        <v>1082</v>
      </c>
      <c r="E4738" s="8" t="s">
        <v>111</v>
      </c>
      <c r="F4738" s="7" t="s">
        <v>112</v>
      </c>
      <c r="G4738" s="6" t="str">
        <f>VLOOKUP(E4738,dicionario!$A$1:$C5137,2,0)</f>
        <v>Trigona spinipes</v>
      </c>
      <c r="H4738" s="6" t="str">
        <f>VLOOKUP(E4738,dicionario!$A$1:$C5137,3,0)</f>
        <v>abelha-cachorro</v>
      </c>
    </row>
    <row r="4739">
      <c r="A4739" s="3">
        <v>45673.0</v>
      </c>
      <c r="B4739" s="4">
        <v>0.2701388888888889</v>
      </c>
      <c r="C4739" s="5" t="s">
        <v>26</v>
      </c>
      <c r="D4739" s="5" t="s">
        <v>1082</v>
      </c>
      <c r="E4739" s="8" t="s">
        <v>43</v>
      </c>
      <c r="F4739" s="5" t="s">
        <v>949</v>
      </c>
      <c r="G4739" s="6" t="str">
        <f>VLOOKUP(E4739,dicionario!$A$1:$C5138,2,0)</f>
        <v>Columba livia</v>
      </c>
      <c r="H4739" s="6" t="str">
        <f>VLOOKUP(E4739,dicionario!$A$1:$C5138,3,0)</f>
        <v>pombo-doméstico</v>
      </c>
    </row>
    <row r="4740">
      <c r="A4740" s="3">
        <v>45673.0</v>
      </c>
      <c r="B4740" s="4">
        <v>0.2722222222222222</v>
      </c>
      <c r="C4740" s="5" t="s">
        <v>26</v>
      </c>
      <c r="D4740" s="5" t="s">
        <v>1082</v>
      </c>
      <c r="E4740" s="8" t="s">
        <v>14</v>
      </c>
      <c r="F4740" s="5" t="s">
        <v>15</v>
      </c>
      <c r="G4740" s="6" t="str">
        <f>VLOOKUP(E4740,dicionario!$A$1:$C5139,2,0)</f>
        <v>Spermacoce verticillata</v>
      </c>
      <c r="H4740" s="6" t="str">
        <f>VLOOKUP(E4740,dicionario!$A$1:$C5139,3,0)</f>
        <v>vassourinha-de-botão</v>
      </c>
    </row>
    <row r="4741">
      <c r="A4741" s="3">
        <v>45673.0</v>
      </c>
      <c r="B4741" s="4">
        <v>0.2722222222222222</v>
      </c>
      <c r="C4741" s="5" t="s">
        <v>26</v>
      </c>
      <c r="D4741" s="5" t="s">
        <v>1082</v>
      </c>
      <c r="E4741" s="8" t="s">
        <v>60</v>
      </c>
      <c r="F4741" s="5" t="s">
        <v>61</v>
      </c>
      <c r="G4741" s="6" t="str">
        <f>VLOOKUP(E4741,dicionario!$A$1:$C5140,2,0)</f>
        <v>Vanellus chilensis</v>
      </c>
      <c r="H4741" s="6" t="str">
        <f>VLOOKUP(E4741,dicionario!$A$1:$C5140,3,0)</f>
        <v>quero-quero</v>
      </c>
    </row>
    <row r="4742">
      <c r="A4742" s="3">
        <v>45673.0</v>
      </c>
      <c r="B4742" s="4">
        <v>0.2722222222222222</v>
      </c>
      <c r="C4742" s="5" t="s">
        <v>26</v>
      </c>
      <c r="D4742" s="5" t="s">
        <v>1082</v>
      </c>
      <c r="E4742" s="8" t="s">
        <v>302</v>
      </c>
      <c r="F4742" s="5" t="s">
        <v>303</v>
      </c>
      <c r="G4742" s="6" t="str">
        <f>VLOOKUP(E4742,dicionario!$A$1:$C5141,2,0)</f>
        <v>Machetornis rixosa</v>
      </c>
      <c r="H4742" s="6" t="str">
        <f>VLOOKUP(E4742,dicionario!$A$1:$C5141,3,0)</f>
        <v>suiriri-cavaleiro</v>
      </c>
    </row>
    <row r="4743">
      <c r="A4743" s="3">
        <v>45673.0</v>
      </c>
      <c r="B4743" s="4">
        <v>0.27291666666666664</v>
      </c>
      <c r="C4743" s="5" t="s">
        <v>26</v>
      </c>
      <c r="D4743" s="5" t="s">
        <v>1082</v>
      </c>
      <c r="E4743" s="8" t="s">
        <v>41</v>
      </c>
      <c r="F4743" s="5" t="s">
        <v>45</v>
      </c>
      <c r="G4743" s="6" t="str">
        <f>VLOOKUP(E4743,dicionario!$A$1:$C5142,2,0)</f>
        <v>Mimosa pudica</v>
      </c>
      <c r="H4743" s="6" t="str">
        <f>VLOOKUP(E4743,dicionario!$A$1:$C5142,3,0)</f>
        <v>dormideira</v>
      </c>
    </row>
    <row r="4744">
      <c r="A4744" s="3">
        <v>45673.0</v>
      </c>
      <c r="B4744" s="4">
        <v>0.27291666666666664</v>
      </c>
      <c r="C4744" s="5" t="s">
        <v>26</v>
      </c>
      <c r="D4744" s="5" t="s">
        <v>1082</v>
      </c>
      <c r="E4744" s="8" t="s">
        <v>163</v>
      </c>
      <c r="F4744" s="5" t="s">
        <v>164</v>
      </c>
      <c r="G4744" s="6" t="str">
        <f>VLOOKUP(E4744,dicionario!$A$1:$C5143,2,0)</f>
        <v>Coragyps atratus</v>
      </c>
      <c r="H4744" s="6" t="str">
        <f>VLOOKUP(E4744,dicionario!$A$1:$C5143,3,0)</f>
        <v>urubu-de-cabeça-preta</v>
      </c>
    </row>
    <row r="4745">
      <c r="A4745" s="3">
        <v>45673.0</v>
      </c>
      <c r="B4745" s="4">
        <v>0.27361111111111114</v>
      </c>
      <c r="C4745" s="5" t="s">
        <v>26</v>
      </c>
      <c r="D4745" s="5" t="s">
        <v>1082</v>
      </c>
      <c r="E4745" s="8" t="s">
        <v>362</v>
      </c>
      <c r="F4745" s="5" t="s">
        <v>363</v>
      </c>
      <c r="G4745" s="6" t="str">
        <f>VLOOKUP(E4745,dicionario!$A$1:$C5144,2,0)</f>
        <v>#N/A</v>
      </c>
      <c r="H4745" s="6" t="str">
        <f>VLOOKUP(E4745,dicionario!$A$1:$C5144,3,0)</f>
        <v>#N/A</v>
      </c>
    </row>
    <row r="4746">
      <c r="A4746" s="3">
        <v>45673.0</v>
      </c>
      <c r="B4746" s="4">
        <v>0.27361111111111114</v>
      </c>
      <c r="C4746" s="5" t="s">
        <v>26</v>
      </c>
      <c r="D4746" s="5" t="s">
        <v>1082</v>
      </c>
      <c r="E4746" s="8" t="s">
        <v>118</v>
      </c>
      <c r="F4746" s="5" t="s">
        <v>119</v>
      </c>
      <c r="G4746" s="6" t="str">
        <f>VLOOKUP(E4746,dicionario!$A$1:$C5145,2,0)</f>
        <v>Agaricus</v>
      </c>
      <c r="H4746" s="6" t="str">
        <f>VLOOKUP(E4746,dicionario!$A$1:$C5145,3,0)</f>
        <v>cogumelo</v>
      </c>
    </row>
    <row r="4747">
      <c r="A4747" s="3">
        <v>45673.0</v>
      </c>
      <c r="B4747" s="4">
        <v>0.2743055555555556</v>
      </c>
      <c r="C4747" s="5" t="s">
        <v>26</v>
      </c>
      <c r="D4747" s="5" t="s">
        <v>1082</v>
      </c>
      <c r="E4747" s="8" t="s">
        <v>109</v>
      </c>
      <c r="F4747" s="5" t="s">
        <v>110</v>
      </c>
      <c r="G4747" s="6" t="str">
        <f>VLOOKUP(E4747,dicionario!$A$1:$C5146,2,0)</f>
        <v>Tillandsia stricta</v>
      </c>
      <c r="H4747" s="6" t="str">
        <f>VLOOKUP(E4747,dicionario!$A$1:$C5146,3,0)</f>
        <v>cravo-do-mato</v>
      </c>
    </row>
    <row r="4748">
      <c r="A4748" s="3">
        <v>45673.0</v>
      </c>
      <c r="B4748" s="4">
        <v>0.275</v>
      </c>
      <c r="C4748" s="5" t="s">
        <v>33</v>
      </c>
      <c r="D4748" s="5" t="s">
        <v>1082</v>
      </c>
      <c r="E4748" s="8" t="s">
        <v>99</v>
      </c>
      <c r="F4748" s="5" t="s">
        <v>508</v>
      </c>
      <c r="G4748" s="6" t="str">
        <f>VLOOKUP(E4748,dicionario!$A$1:$C5147,2,0)</f>
        <v>Molothrus bonariensis</v>
      </c>
      <c r="H4748" s="6" t="str">
        <f>VLOOKUP(E4748,dicionario!$A$1:$C5147,3,0)</f>
        <v>chupim</v>
      </c>
    </row>
    <row r="4749">
      <c r="A4749" s="3">
        <v>45673.0</v>
      </c>
      <c r="B4749" s="4">
        <v>0.275</v>
      </c>
      <c r="C4749" s="5" t="s">
        <v>33</v>
      </c>
      <c r="D4749" s="5" t="s">
        <v>1082</v>
      </c>
      <c r="E4749" s="8" t="s">
        <v>849</v>
      </c>
      <c r="F4749" s="5" t="s">
        <v>849</v>
      </c>
      <c r="G4749" s="6" t="str">
        <f>VLOOKUP(E4749,dicionario!$A$1:$C5148,2,0)</f>
        <v>#N/A</v>
      </c>
      <c r="H4749" s="6" t="str">
        <f>VLOOKUP(E4749,dicionario!$A$1:$C5148,3,0)</f>
        <v>#N/A</v>
      </c>
    </row>
    <row r="4750">
      <c r="A4750" s="3">
        <v>45673.0</v>
      </c>
      <c r="B4750" s="4">
        <v>0.275</v>
      </c>
      <c r="C4750" s="5" t="s">
        <v>33</v>
      </c>
      <c r="D4750" s="5" t="s">
        <v>1082</v>
      </c>
      <c r="E4750" s="8" t="s">
        <v>122</v>
      </c>
      <c r="F4750" s="7" t="s">
        <v>123</v>
      </c>
      <c r="G4750" s="6" t="str">
        <f>VLOOKUP(E4750,dicionario!$A$1:$C5149,2,0)</f>
        <v>Todirostrum cinereum</v>
      </c>
      <c r="H4750" s="6" t="str">
        <f>VLOOKUP(E4750,dicionario!$A$1:$C5149,3,0)</f>
        <v>ferreirinho-relógio</v>
      </c>
    </row>
    <row r="4751">
      <c r="A4751" s="3">
        <v>45673.0</v>
      </c>
      <c r="B4751" s="4">
        <v>0.275</v>
      </c>
      <c r="C4751" s="5" t="s">
        <v>33</v>
      </c>
      <c r="D4751" s="5" t="s">
        <v>1082</v>
      </c>
      <c r="E4751" s="8" t="s">
        <v>302</v>
      </c>
      <c r="F4751" s="5" t="s">
        <v>89</v>
      </c>
      <c r="G4751" s="6" t="str">
        <f>VLOOKUP(E4751,dicionario!$A$1:$C5150,2,0)</f>
        <v>Machetornis rixosa</v>
      </c>
      <c r="H4751" s="6" t="str">
        <f>VLOOKUP(E4751,dicionario!$A$1:$C5150,3,0)</f>
        <v>suiriri-cavaleiro</v>
      </c>
    </row>
    <row r="4752">
      <c r="A4752" s="3">
        <v>45673.0</v>
      </c>
      <c r="B4752" s="4">
        <v>0.27569444444444446</v>
      </c>
      <c r="C4752" s="5" t="s">
        <v>33</v>
      </c>
      <c r="D4752" s="5" t="s">
        <v>1082</v>
      </c>
      <c r="E4752" s="8" t="s">
        <v>113</v>
      </c>
      <c r="F4752" s="5" t="s">
        <v>114</v>
      </c>
      <c r="G4752" s="6" t="str">
        <f>VLOOKUP(E4752,dicionario!$A$1:$C5151,2,0)</f>
        <v>Columbina talpacoti</v>
      </c>
      <c r="H4752" s="6" t="str">
        <f>VLOOKUP(E4752,dicionario!$A$1:$C5151,3,0)</f>
        <v>rolinha-roxa</v>
      </c>
    </row>
    <row r="4753">
      <c r="A4753" s="3">
        <v>45673.0</v>
      </c>
      <c r="B4753" s="4">
        <v>0.27569444444444446</v>
      </c>
      <c r="C4753" s="5" t="s">
        <v>33</v>
      </c>
      <c r="D4753" s="5" t="s">
        <v>1082</v>
      </c>
      <c r="E4753" s="8" t="s">
        <v>970</v>
      </c>
      <c r="F4753" s="5" t="s">
        <v>1086</v>
      </c>
      <c r="G4753" s="6" t="str">
        <f>VLOOKUP(E4753,dicionario!$A$1:$C5152,2,0)</f>
        <v>#N/A</v>
      </c>
      <c r="H4753" s="6" t="str">
        <f>VLOOKUP(E4753,dicionario!$A$1:$C5152,3,0)</f>
        <v>#N/A</v>
      </c>
    </row>
    <row r="4754">
      <c r="A4754" s="3">
        <v>45673.0</v>
      </c>
      <c r="B4754" s="4">
        <v>0.27569444444444446</v>
      </c>
      <c r="C4754" s="5" t="s">
        <v>33</v>
      </c>
      <c r="D4754" s="5" t="s">
        <v>1082</v>
      </c>
      <c r="E4754" s="8" t="s">
        <v>109</v>
      </c>
      <c r="F4754" s="5" t="s">
        <v>110</v>
      </c>
      <c r="G4754" s="6" t="str">
        <f>VLOOKUP(E4754,dicionario!$A$1:$C5153,2,0)</f>
        <v>Tillandsia stricta</v>
      </c>
      <c r="H4754" s="6" t="str">
        <f>VLOOKUP(E4754,dicionario!$A$1:$C5153,3,0)</f>
        <v>cravo-do-mato</v>
      </c>
    </row>
    <row r="4755">
      <c r="A4755" s="3">
        <v>45673.0</v>
      </c>
      <c r="B4755" s="4">
        <v>0.2763888888888889</v>
      </c>
      <c r="C4755" s="5" t="s">
        <v>33</v>
      </c>
      <c r="D4755" s="5" t="s">
        <v>1082</v>
      </c>
      <c r="E4755" s="8" t="s">
        <v>719</v>
      </c>
      <c r="F4755" s="5" t="s">
        <v>1005</v>
      </c>
      <c r="G4755" s="6" t="str">
        <f>VLOOKUP(E4755,dicionario!$A$1:$C5154,2,0)</f>
        <v>Dirinaria</v>
      </c>
      <c r="H4755" s="6" t="str">
        <f>VLOOKUP(E4755,dicionario!$A$1:$C5154,3,0)</f>
        <v>líquen-crostoso</v>
      </c>
    </row>
    <row r="4756">
      <c r="A4756" s="3">
        <v>45673.0</v>
      </c>
      <c r="B4756" s="4">
        <v>0.2763888888888889</v>
      </c>
      <c r="C4756" s="5" t="s">
        <v>33</v>
      </c>
      <c r="D4756" s="5" t="s">
        <v>1082</v>
      </c>
      <c r="E4756" s="8" t="s">
        <v>286</v>
      </c>
      <c r="F4756" s="5" t="s">
        <v>287</v>
      </c>
      <c r="G4756" s="6" t="str">
        <f>VLOOKUP(E4756,dicionario!$A$1:$C5155,2,0)</f>
        <v>Setaria parviflora</v>
      </c>
      <c r="H4756" s="6" t="str">
        <f>VLOOKUP(E4756,dicionario!$A$1:$C5155,3,0)</f>
        <v>capim-rabo-de-raposa</v>
      </c>
    </row>
    <row r="4757">
      <c r="A4757" s="3">
        <v>45673.0</v>
      </c>
      <c r="B4757" s="4">
        <v>0.2763888888888889</v>
      </c>
      <c r="C4757" s="5" t="s">
        <v>33</v>
      </c>
      <c r="D4757" s="5" t="s">
        <v>1082</v>
      </c>
      <c r="E4757" s="8" t="s">
        <v>247</v>
      </c>
      <c r="F4757" s="7" t="s">
        <v>272</v>
      </c>
      <c r="G4757" s="6" t="str">
        <f>VLOOKUP(E4757,dicionario!$A$1:$C5156,2,0)</f>
        <v>Emilia sonchifolia</v>
      </c>
      <c r="H4757" s="6" t="str">
        <f>VLOOKUP(E4757,dicionario!$A$1:$C5156,3,0)</f>
        <v>serralinha</v>
      </c>
    </row>
    <row r="4758">
      <c r="A4758" s="3">
        <v>45673.0</v>
      </c>
      <c r="B4758" s="4">
        <v>0.2763888888888889</v>
      </c>
      <c r="C4758" s="5" t="s">
        <v>33</v>
      </c>
      <c r="D4758" s="5" t="s">
        <v>1082</v>
      </c>
      <c r="E4758" s="8" t="s">
        <v>14</v>
      </c>
      <c r="F4758" s="5" t="s">
        <v>15</v>
      </c>
      <c r="G4758" s="6" t="str">
        <f>VLOOKUP(E4758,dicionario!$A$1:$C5157,2,0)</f>
        <v>Spermacoce verticillata</v>
      </c>
      <c r="H4758" s="6" t="str">
        <f>VLOOKUP(E4758,dicionario!$A$1:$C5157,3,0)</f>
        <v>vassourinha-de-botão</v>
      </c>
    </row>
    <row r="4759">
      <c r="A4759" s="3">
        <v>45673.0</v>
      </c>
      <c r="B4759" s="4">
        <v>0.2763888888888889</v>
      </c>
      <c r="C4759" s="5" t="s">
        <v>33</v>
      </c>
      <c r="D4759" s="5" t="s">
        <v>1082</v>
      </c>
      <c r="E4759" s="8" t="s">
        <v>366</v>
      </c>
      <c r="F4759" s="5" t="s">
        <v>367</v>
      </c>
      <c r="G4759" s="6" t="str">
        <f>VLOOKUP(E4759,dicionario!$A$1:$C5158,2,0)</f>
        <v>Alternanthera ficoidea</v>
      </c>
      <c r="H4759" s="6" t="str">
        <f>VLOOKUP(E4759,dicionario!$A$1:$C5158,3,0)</f>
        <v>quebra-panela</v>
      </c>
    </row>
    <row r="4760">
      <c r="A4760" s="3">
        <v>45673.0</v>
      </c>
      <c r="B4760" s="4">
        <v>0.27708333333333335</v>
      </c>
      <c r="C4760" s="5" t="s">
        <v>33</v>
      </c>
      <c r="D4760" s="5" t="s">
        <v>1082</v>
      </c>
      <c r="E4760" s="8" t="s">
        <v>154</v>
      </c>
      <c r="F4760" s="5" t="s">
        <v>155</v>
      </c>
      <c r="G4760" s="6" t="str">
        <f>VLOOKUP(E4760,dicionario!$A$1:$C5159,2,0)</f>
        <v>Cyperus rotundus</v>
      </c>
      <c r="H4760" s="6" t="str">
        <f>VLOOKUP(E4760,dicionario!$A$1:$C5159,3,0)</f>
        <v>tiririca</v>
      </c>
    </row>
    <row r="4761">
      <c r="A4761" s="3">
        <v>45673.0</v>
      </c>
      <c r="B4761" s="4">
        <v>0.27708333333333335</v>
      </c>
      <c r="C4761" s="5" t="s">
        <v>33</v>
      </c>
      <c r="D4761" s="5" t="s">
        <v>1082</v>
      </c>
      <c r="E4761" s="8" t="s">
        <v>611</v>
      </c>
      <c r="F4761" s="5" t="s">
        <v>612</v>
      </c>
      <c r="G4761" s="6" t="str">
        <f>VLOOKUP(E4761,dicionario!$A$1:$C5160,2,0)</f>
        <v>Boehmeria cylindrica</v>
      </c>
      <c r="H4761" s="6" t="str">
        <f>VLOOKUP(E4761,dicionario!$A$1:$C5160,3,0)</f>
        <v>falsa-urtiga</v>
      </c>
    </row>
    <row r="4762">
      <c r="A4762" s="3">
        <v>45673.0</v>
      </c>
      <c r="B4762" s="4">
        <v>0.27708333333333335</v>
      </c>
      <c r="C4762" s="5" t="s">
        <v>33</v>
      </c>
      <c r="D4762" s="5" t="s">
        <v>1082</v>
      </c>
      <c r="E4762" s="8" t="s">
        <v>209</v>
      </c>
      <c r="F4762" s="5" t="s">
        <v>210</v>
      </c>
      <c r="G4762" s="6" t="str">
        <f>VLOOKUP(E4762,dicionario!$A$1:$C5161,2,0)</f>
        <v>Furnarius figulus</v>
      </c>
      <c r="H4762" s="6" t="str">
        <f>VLOOKUP(E4762,dicionario!$A$1:$C5161,3,0)</f>
        <v>casaca-de-couro-da-lama</v>
      </c>
    </row>
    <row r="4763">
      <c r="A4763" s="3">
        <v>45673.0</v>
      </c>
      <c r="B4763" s="4">
        <v>0.27708333333333335</v>
      </c>
      <c r="C4763" s="5" t="s">
        <v>33</v>
      </c>
      <c r="D4763" s="5" t="s">
        <v>1082</v>
      </c>
      <c r="E4763" s="8" t="s">
        <v>175</v>
      </c>
      <c r="F4763" s="5" t="s">
        <v>176</v>
      </c>
      <c r="G4763" s="6" t="str">
        <f>VLOOKUP(E4763,dicionario!$A$1:$C5162,2,0)</f>
        <v>Turdus leucomelas</v>
      </c>
      <c r="H4763" s="6" t="str">
        <f>VLOOKUP(E4763,dicionario!$A$1:$C5162,3,0)</f>
        <v>sabiá-barranco</v>
      </c>
    </row>
    <row r="4764">
      <c r="A4764" s="3">
        <v>45673.0</v>
      </c>
      <c r="B4764" s="4">
        <v>0.2777777777777778</v>
      </c>
      <c r="C4764" s="5" t="s">
        <v>33</v>
      </c>
      <c r="D4764" s="5" t="s">
        <v>1082</v>
      </c>
      <c r="E4764" s="8" t="s">
        <v>1084</v>
      </c>
      <c r="F4764" s="5" t="s">
        <v>1084</v>
      </c>
      <c r="G4764" s="6" t="str">
        <f>VLOOKUP(E4764,dicionario!$A$1:$C5163,2,0)</f>
        <v>#N/A</v>
      </c>
      <c r="H4764" s="6" t="str">
        <f>VLOOKUP(E4764,dicionario!$A$1:$C5163,3,0)</f>
        <v>#N/A</v>
      </c>
    </row>
    <row r="4765">
      <c r="A4765" s="3">
        <v>45673.0</v>
      </c>
      <c r="B4765" s="4">
        <v>0.2777777777777778</v>
      </c>
      <c r="C4765" s="5" t="s">
        <v>33</v>
      </c>
      <c r="D4765" s="5" t="s">
        <v>1082</v>
      </c>
      <c r="E4765" s="8" t="s">
        <v>378</v>
      </c>
      <c r="F4765" s="5" t="s">
        <v>205</v>
      </c>
      <c r="G4765" s="6" t="str">
        <f>VLOOKUP(E4765,dicionario!$A$1:$C5164,2,0)</f>
        <v>Polistes</v>
      </c>
      <c r="H4765" s="6" t="str">
        <f>VLOOKUP(E4765,dicionario!$A$1:$C5164,3,0)</f>
        <v>marimbondo</v>
      </c>
    </row>
    <row r="4766">
      <c r="A4766" s="3">
        <v>45673.0</v>
      </c>
      <c r="B4766" s="4">
        <v>0.2777777777777778</v>
      </c>
      <c r="C4766" s="5" t="s">
        <v>33</v>
      </c>
      <c r="D4766" s="5" t="s">
        <v>1082</v>
      </c>
      <c r="E4766" s="8" t="s">
        <v>251</v>
      </c>
      <c r="F4766" s="5" t="s">
        <v>252</v>
      </c>
      <c r="G4766" s="6" t="str">
        <f>VLOOKUP(E4766,dicionario!$A$1:$C5165,2,0)</f>
        <v>Struthanthus flexicaulis</v>
      </c>
      <c r="H4766" s="6" t="str">
        <f>VLOOKUP(E4766,dicionario!$A$1:$C5165,3,0)</f>
        <v>erva-de-passarinho</v>
      </c>
    </row>
    <row r="4767">
      <c r="A4767" s="3">
        <v>45673.0</v>
      </c>
      <c r="B4767" s="4">
        <v>0.27847222222222223</v>
      </c>
      <c r="C4767" s="5" t="s">
        <v>33</v>
      </c>
      <c r="D4767" s="5" t="s">
        <v>1082</v>
      </c>
      <c r="E4767" s="8" t="s">
        <v>191</v>
      </c>
      <c r="F4767" s="5" t="s">
        <v>192</v>
      </c>
      <c r="G4767" s="6" t="str">
        <f>VLOOKUP(E4767,dicionario!$A$1:$C5166,2,0)</f>
        <v>Patagioenas picazuro</v>
      </c>
      <c r="H4767" s="6" t="str">
        <f>VLOOKUP(E4767,dicionario!$A$1:$C5166,3,0)</f>
        <v>asa-branca; pomba-asa-branca; pocaçu</v>
      </c>
    </row>
    <row r="4768">
      <c r="A4768" s="3">
        <v>45673.0</v>
      </c>
      <c r="B4768" s="4">
        <v>0.27847222222222223</v>
      </c>
      <c r="C4768" s="5" t="s">
        <v>33</v>
      </c>
      <c r="D4768" s="5" t="s">
        <v>1082</v>
      </c>
      <c r="E4768" s="8" t="s">
        <v>193</v>
      </c>
      <c r="F4768" s="5" t="s">
        <v>194</v>
      </c>
      <c r="G4768" s="6" t="str">
        <f>VLOOKUP(E4768,dicionario!$A$1:$C5167,2,0)</f>
        <v>Conirostrum speciosum</v>
      </c>
      <c r="H4768" s="6" t="str">
        <f>VLOOKUP(E4768,dicionario!$A$1:$C5167,3,0)</f>
        <v>figuinha-de-rabo-castanho</v>
      </c>
    </row>
    <row r="4769">
      <c r="A4769" s="3">
        <v>45673.0</v>
      </c>
      <c r="B4769" s="4">
        <v>0.2791666666666667</v>
      </c>
      <c r="C4769" s="5" t="s">
        <v>33</v>
      </c>
      <c r="D4769" s="5" t="s">
        <v>1082</v>
      </c>
      <c r="E4769" s="8" t="s">
        <v>225</v>
      </c>
      <c r="F4769" s="5" t="s">
        <v>226</v>
      </c>
      <c r="G4769" s="6" t="str">
        <f>VLOOKUP(E4769,dicionario!$A$1:$C5168,2,0)</f>
        <v>Passer domesticus</v>
      </c>
      <c r="H4769" s="6" t="str">
        <f>VLOOKUP(E4769,dicionario!$A$1:$C5168,3,0)</f>
        <v>pardal</v>
      </c>
    </row>
    <row r="4770">
      <c r="A4770" s="3">
        <v>45673.0</v>
      </c>
      <c r="B4770" s="4">
        <v>0.2791666666666667</v>
      </c>
      <c r="C4770" s="5" t="s">
        <v>33</v>
      </c>
      <c r="D4770" s="5" t="s">
        <v>1082</v>
      </c>
      <c r="E4770" s="8" t="s">
        <v>302</v>
      </c>
      <c r="F4770" s="5" t="s">
        <v>89</v>
      </c>
      <c r="G4770" s="6" t="str">
        <f>VLOOKUP(E4770,dicionario!$A$1:$C5169,2,0)</f>
        <v>Machetornis rixosa</v>
      </c>
      <c r="H4770" s="6" t="str">
        <f>VLOOKUP(E4770,dicionario!$A$1:$C5169,3,0)</f>
        <v>suiriri-cavaleiro</v>
      </c>
    </row>
    <row r="4771">
      <c r="A4771" s="3">
        <v>45673.0</v>
      </c>
      <c r="B4771" s="4">
        <v>0.2798611111111111</v>
      </c>
      <c r="C4771" s="5" t="s">
        <v>33</v>
      </c>
      <c r="D4771" s="5" t="s">
        <v>1082</v>
      </c>
      <c r="E4771" s="8" t="s">
        <v>200</v>
      </c>
      <c r="F4771" s="5" t="s">
        <v>201</v>
      </c>
      <c r="G4771" s="6" t="str">
        <f>VLOOKUP(E4771,dicionario!$A$1:$C5170,2,0)</f>
        <v>Columbina picui </v>
      </c>
      <c r="H4771" s="6" t="str">
        <f>VLOOKUP(E4771,dicionario!$A$1:$C5170,3,0)</f>
        <v>rolinha-picuí</v>
      </c>
    </row>
    <row r="4772">
      <c r="A4772" s="3">
        <v>45673.0</v>
      </c>
      <c r="B4772" s="4">
        <v>0.28055555555555556</v>
      </c>
      <c r="C4772" s="5" t="s">
        <v>33</v>
      </c>
      <c r="D4772" s="5" t="s">
        <v>1082</v>
      </c>
      <c r="E4772" s="8" t="s">
        <v>86</v>
      </c>
      <c r="F4772" s="5" t="s">
        <v>502</v>
      </c>
      <c r="G4772" s="6" t="str">
        <f>VLOOKUP(E4772,dicionario!$A$1:$C5171,2,0)</f>
        <v>Coereba flaveola</v>
      </c>
      <c r="H4772" s="6" t="str">
        <f>VLOOKUP(E4772,dicionario!$A$1:$C5171,3,0)</f>
        <v>cambacica</v>
      </c>
    </row>
    <row r="4773">
      <c r="A4773" s="3">
        <v>45673.0</v>
      </c>
      <c r="B4773" s="4">
        <v>0.28125</v>
      </c>
      <c r="C4773" s="5" t="s">
        <v>33</v>
      </c>
      <c r="D4773" s="5" t="s">
        <v>1082</v>
      </c>
      <c r="E4773" s="8" t="s">
        <v>91</v>
      </c>
      <c r="F4773" s="5" t="s">
        <v>92</v>
      </c>
      <c r="G4773" s="6" t="str">
        <f>VLOOKUP(E4773,dicionario!$A$1:$C5172,2,0)</f>
        <v>Picumnus cirratus</v>
      </c>
      <c r="H4773" s="6" t="str">
        <f>VLOOKUP(E4773,dicionario!$A$1:$C5172,3,0)</f>
        <v>picapauzinho-barrado</v>
      </c>
    </row>
    <row r="4774">
      <c r="A4774" s="3">
        <v>45673.0</v>
      </c>
      <c r="B4774" s="4">
        <v>0.28194444444444444</v>
      </c>
      <c r="C4774" s="5" t="s">
        <v>33</v>
      </c>
      <c r="D4774" s="5" t="s">
        <v>1082</v>
      </c>
      <c r="E4774" s="8" t="s">
        <v>608</v>
      </c>
      <c r="F4774" s="7" t="s">
        <v>609</v>
      </c>
      <c r="G4774" s="6" t="str">
        <f>VLOOKUP(E4774,dicionario!$A$1:$C5173,2,0)</f>
        <v>#N/A</v>
      </c>
      <c r="H4774" s="6" t="str">
        <f>VLOOKUP(E4774,dicionario!$A$1:$C5173,3,0)</f>
        <v>#N/A</v>
      </c>
    </row>
    <row r="4775">
      <c r="A4775" s="3">
        <v>45673.0</v>
      </c>
      <c r="B4775" s="4">
        <v>0.2826388888888889</v>
      </c>
      <c r="C4775" s="5" t="s">
        <v>40</v>
      </c>
      <c r="D4775" s="5" t="s">
        <v>1082</v>
      </c>
      <c r="E4775" s="8" t="s">
        <v>53</v>
      </c>
      <c r="F4775" s="7" t="s">
        <v>54</v>
      </c>
      <c r="G4775" s="6" t="str">
        <f>VLOOKUP(E4775,dicionario!$A$1:$C5174,2,0)</f>
        <v>Turnera subulata</v>
      </c>
      <c r="H4775" s="6" t="str">
        <f>VLOOKUP(E4775,dicionario!$A$1:$C5174,3,0)</f>
        <v>xanana</v>
      </c>
    </row>
    <row r="4776">
      <c r="A4776" s="3">
        <v>45673.0</v>
      </c>
      <c r="B4776" s="4">
        <v>0.2826388888888889</v>
      </c>
      <c r="C4776" s="5" t="s">
        <v>40</v>
      </c>
      <c r="D4776" s="5" t="s">
        <v>1082</v>
      </c>
      <c r="E4776" s="8" t="s">
        <v>154</v>
      </c>
      <c r="F4776" s="5" t="s">
        <v>155</v>
      </c>
      <c r="G4776" s="6" t="str">
        <f>VLOOKUP(E4776,dicionario!$A$1:$C5175,2,0)</f>
        <v>Cyperus rotundus</v>
      </c>
      <c r="H4776" s="6" t="str">
        <f>VLOOKUP(E4776,dicionario!$A$1:$C5175,3,0)</f>
        <v>tiririca</v>
      </c>
    </row>
    <row r="4777">
      <c r="A4777" s="3">
        <v>45673.0</v>
      </c>
      <c r="B4777" s="4">
        <v>0.2833333333333333</v>
      </c>
      <c r="C4777" s="5" t="s">
        <v>40</v>
      </c>
      <c r="D4777" s="5" t="s">
        <v>1082</v>
      </c>
      <c r="E4777" s="8" t="s">
        <v>611</v>
      </c>
      <c r="F4777" s="5" t="s">
        <v>612</v>
      </c>
      <c r="G4777" s="6" t="str">
        <f>VLOOKUP(E4777,dicionario!$A$1:$C5176,2,0)</f>
        <v>Boehmeria cylindrica</v>
      </c>
      <c r="H4777" s="6" t="str">
        <f>VLOOKUP(E4777,dicionario!$A$1:$C5176,3,0)</f>
        <v>falsa-urtiga</v>
      </c>
    </row>
    <row r="4778">
      <c r="A4778" s="3">
        <v>45673.0</v>
      </c>
      <c r="B4778" s="4">
        <v>0.2833333333333333</v>
      </c>
      <c r="C4778" s="5" t="s">
        <v>40</v>
      </c>
      <c r="D4778" s="5" t="s">
        <v>1082</v>
      </c>
      <c r="E4778" s="8" t="s">
        <v>215</v>
      </c>
      <c r="F4778" s="7" t="s">
        <v>216</v>
      </c>
      <c r="G4778" s="6" t="str">
        <f>VLOOKUP(E4778,dicionario!$A$1:$C5177,2,0)</f>
        <v>Pygochelidon cyanoleuca</v>
      </c>
      <c r="H4778" s="6" t="str">
        <f>VLOOKUP(E4778,dicionario!$A$1:$C5177,3,0)</f>
        <v>andorinha-pequena-de-casa</v>
      </c>
    </row>
    <row r="4779">
      <c r="A4779" s="3">
        <v>45673.0</v>
      </c>
      <c r="B4779" s="4">
        <v>0.28402777777777777</v>
      </c>
      <c r="C4779" s="5" t="s">
        <v>40</v>
      </c>
      <c r="D4779" s="5" t="s">
        <v>1082</v>
      </c>
      <c r="E4779" s="8" t="s">
        <v>227</v>
      </c>
      <c r="F4779" s="5" t="s">
        <v>228</v>
      </c>
      <c r="G4779" s="6" t="str">
        <f>VLOOKUP(E4779,dicionario!$A$1:$C5178,2,0)</f>
        <v>Indigofera hirsuta</v>
      </c>
      <c r="H4779" s="6" t="str">
        <f>VLOOKUP(E4779,dicionario!$A$1:$C5178,3,0)</f>
        <v>anileira</v>
      </c>
    </row>
    <row r="4780">
      <c r="A4780" s="3">
        <v>45673.0</v>
      </c>
      <c r="B4780" s="4">
        <v>0.28402777777777777</v>
      </c>
      <c r="C4780" s="5" t="s">
        <v>40</v>
      </c>
      <c r="D4780" s="5" t="s">
        <v>1082</v>
      </c>
      <c r="E4780" s="8" t="s">
        <v>20</v>
      </c>
      <c r="F4780" s="7" t="s">
        <v>21</v>
      </c>
      <c r="G4780" s="6" t="str">
        <f>VLOOKUP(E4780,dicionario!$A$1:$C5179,2,0)</f>
        <v>Sicalis flaveola</v>
      </c>
      <c r="H4780" s="6" t="str">
        <f>VLOOKUP(E4780,dicionario!$A$1:$C5179,3,0)</f>
        <v>canário-da-terra</v>
      </c>
    </row>
    <row r="4781">
      <c r="A4781" s="3">
        <v>45673.0</v>
      </c>
      <c r="B4781" s="4">
        <v>0.28402777777777777</v>
      </c>
      <c r="C4781" s="5" t="s">
        <v>40</v>
      </c>
      <c r="D4781" s="5" t="s">
        <v>1082</v>
      </c>
      <c r="E4781" s="8" t="s">
        <v>135</v>
      </c>
      <c r="F4781" s="5" t="s">
        <v>136</v>
      </c>
      <c r="G4781" s="6" t="str">
        <f>VLOOKUP(E4781,dicionario!$A$1:$C5180,2,0)</f>
        <v>Tridax procumbens</v>
      </c>
      <c r="H4781" s="6" t="str">
        <f>VLOOKUP(E4781,dicionario!$A$1:$C5180,3,0)</f>
        <v>erva-de-touro</v>
      </c>
    </row>
    <row r="4782">
      <c r="A4782" s="3">
        <v>45673.0</v>
      </c>
      <c r="B4782" s="4">
        <v>0.28402777777777777</v>
      </c>
      <c r="C4782" s="5" t="s">
        <v>40</v>
      </c>
      <c r="D4782" s="5" t="s">
        <v>1082</v>
      </c>
      <c r="E4782" s="8" t="s">
        <v>286</v>
      </c>
      <c r="F4782" s="5" t="s">
        <v>287</v>
      </c>
      <c r="G4782" s="6" t="str">
        <f>VLOOKUP(E4782,dicionario!$A$1:$C5181,2,0)</f>
        <v>Setaria parviflora</v>
      </c>
      <c r="H4782" s="6" t="str">
        <f>VLOOKUP(E4782,dicionario!$A$1:$C5181,3,0)</f>
        <v>capim-rabo-de-raposa</v>
      </c>
    </row>
    <row r="4783">
      <c r="A4783" s="3">
        <v>45673.0</v>
      </c>
      <c r="B4783" s="4">
        <v>0.2847222222222222</v>
      </c>
      <c r="C4783" s="5" t="s">
        <v>40</v>
      </c>
      <c r="D4783" s="5" t="s">
        <v>1082</v>
      </c>
      <c r="E4783" s="8" t="s">
        <v>489</v>
      </c>
      <c r="F4783" s="5" t="s">
        <v>521</v>
      </c>
      <c r="G4783" s="6" t="str">
        <f>VLOOKUP(E4783,dicionario!$A$1:$C5182,2,0)</f>
        <v>Cenchrus echinatus</v>
      </c>
      <c r="H4783" s="6" t="str">
        <f>VLOOKUP(E4783,dicionario!$A$1:$C5182,3,0)</f>
        <v>capim-carrapicho</v>
      </c>
    </row>
    <row r="4784">
      <c r="A4784" s="3">
        <v>45673.0</v>
      </c>
      <c r="B4784" s="4">
        <v>0.2847222222222222</v>
      </c>
      <c r="C4784" s="5" t="s">
        <v>40</v>
      </c>
      <c r="D4784" s="5" t="s">
        <v>1082</v>
      </c>
      <c r="E4784" s="8" t="s">
        <v>247</v>
      </c>
      <c r="F4784" s="5" t="s">
        <v>387</v>
      </c>
      <c r="G4784" s="6" t="str">
        <f>VLOOKUP(E4784,dicionario!$A$1:$C5183,2,0)</f>
        <v>Emilia sonchifolia</v>
      </c>
      <c r="H4784" s="6" t="str">
        <f>VLOOKUP(E4784,dicionario!$A$1:$C5183,3,0)</f>
        <v>serralinha</v>
      </c>
    </row>
    <row r="4785">
      <c r="A4785" s="3">
        <v>45673.0</v>
      </c>
      <c r="B4785" s="4">
        <v>0.2847222222222222</v>
      </c>
      <c r="C4785" s="5" t="s">
        <v>40</v>
      </c>
      <c r="D4785" s="5" t="s">
        <v>1082</v>
      </c>
      <c r="E4785" s="8" t="s">
        <v>72</v>
      </c>
      <c r="F4785" s="5" t="s">
        <v>73</v>
      </c>
      <c r="G4785" s="6" t="str">
        <f>VLOOKUP(E4785,dicionario!$A$1:$C5184,2,0)</f>
        <v>Thraupis palmarum</v>
      </c>
      <c r="H4785" s="6" t="str">
        <f>VLOOKUP(E4785,dicionario!$A$1:$C5184,3,0)</f>
        <v>sanhaço-do-coqueiro</v>
      </c>
    </row>
    <row r="4786">
      <c r="A4786" s="3">
        <v>45673.0</v>
      </c>
      <c r="B4786" s="4">
        <v>0.2847222222222222</v>
      </c>
      <c r="C4786" s="5" t="s">
        <v>40</v>
      </c>
      <c r="D4786" s="5" t="s">
        <v>1082</v>
      </c>
      <c r="E4786" s="20" t="s">
        <v>676</v>
      </c>
      <c r="F4786" s="7" t="s">
        <v>677</v>
      </c>
      <c r="G4786" s="6" t="str">
        <f>VLOOKUP(E4786,dicionario!$A$1:$C5185,2,0)</f>
        <v>Zornia latifolia</v>
      </c>
      <c r="H4786" s="6" t="str">
        <f>VLOOKUP(E4786,dicionario!$A$1:$C5185,3,0)</f>
        <v>arrozinho-do-campo</v>
      </c>
    </row>
    <row r="4787">
      <c r="A4787" s="3">
        <v>45673.0</v>
      </c>
      <c r="B4787" s="4">
        <v>0.2847222222222222</v>
      </c>
      <c r="C4787" s="5" t="s">
        <v>40</v>
      </c>
      <c r="D4787" s="5" t="s">
        <v>1082</v>
      </c>
      <c r="E4787" s="8" t="s">
        <v>239</v>
      </c>
      <c r="F4787" s="5" t="s">
        <v>240</v>
      </c>
      <c r="G4787" s="6" t="str">
        <f>VLOOKUP(E4787,dicionario!$A$1:$C5186,2,0)</f>
        <v>Gomphrena celosioides</v>
      </c>
      <c r="H4787" s="6" t="str">
        <f>VLOOKUP(E4787,dicionario!$A$1:$C5186,3,0)</f>
        <v>perpétua-branca</v>
      </c>
    </row>
    <row r="4788">
      <c r="A4788" s="3">
        <v>45673.0</v>
      </c>
      <c r="B4788" s="4">
        <v>0.2847222222222222</v>
      </c>
      <c r="C4788" s="5" t="s">
        <v>40</v>
      </c>
      <c r="D4788" s="5" t="s">
        <v>1082</v>
      </c>
      <c r="E4788" s="8" t="s">
        <v>146</v>
      </c>
      <c r="F4788" s="5" t="s">
        <v>147</v>
      </c>
      <c r="G4788" s="6" t="str">
        <f>VLOOKUP(E4788,dicionario!$A$1:$C5187,2,0)</f>
        <v>Euphorbia hirta</v>
      </c>
      <c r="H4788" s="6" t="str">
        <f>VLOOKUP(E4788,dicionario!$A$1:$C5187,3,0)</f>
        <v>erva-de-santa-luzia</v>
      </c>
    </row>
    <row r="4789">
      <c r="A4789" s="3">
        <v>45673.0</v>
      </c>
      <c r="B4789" s="4">
        <v>0.2847222222222222</v>
      </c>
      <c r="C4789" s="5" t="s">
        <v>40</v>
      </c>
      <c r="D4789" s="5" t="s">
        <v>1082</v>
      </c>
      <c r="E4789" s="8" t="s">
        <v>14</v>
      </c>
      <c r="F4789" s="5" t="s">
        <v>15</v>
      </c>
      <c r="G4789" s="6" t="str">
        <f>VLOOKUP(E4789,dicionario!$A$1:$C5188,2,0)</f>
        <v>Spermacoce verticillata</v>
      </c>
      <c r="H4789" s="6" t="str">
        <f>VLOOKUP(E4789,dicionario!$A$1:$C5188,3,0)</f>
        <v>vassourinha-de-botão</v>
      </c>
    </row>
    <row r="4790">
      <c r="A4790" s="3">
        <v>45673.0</v>
      </c>
      <c r="B4790" s="4">
        <v>0.28541666666666665</v>
      </c>
      <c r="C4790" s="5" t="s">
        <v>40</v>
      </c>
      <c r="D4790" s="5" t="s">
        <v>1082</v>
      </c>
      <c r="E4790" s="8" t="s">
        <v>46</v>
      </c>
      <c r="F4790" s="5" t="s">
        <v>47</v>
      </c>
      <c r="G4790" s="6" t="str">
        <f>VLOOKUP(E4790,dicionario!$A$1:$C5189,2,0)</f>
        <v>Chionomesa fimbriata</v>
      </c>
      <c r="H4790" s="6" t="str">
        <f>VLOOKUP(E4790,dicionario!$A$1:$C5189,3,0)</f>
        <v>beija-flor-de-garganta-verde</v>
      </c>
    </row>
    <row r="4791">
      <c r="A4791" s="3">
        <v>45673.0</v>
      </c>
      <c r="B4791" s="4">
        <v>0.28541666666666665</v>
      </c>
      <c r="C4791" s="5" t="s">
        <v>40</v>
      </c>
      <c r="D4791" s="5" t="s">
        <v>1082</v>
      </c>
      <c r="E4791" s="8" t="s">
        <v>144</v>
      </c>
      <c r="F4791" s="5" t="s">
        <v>145</v>
      </c>
      <c r="G4791" s="6" t="str">
        <f>VLOOKUP(E4791,dicionario!$A$1:$C5190,2,0)</f>
        <v>Gomphrena globosa</v>
      </c>
      <c r="H4791" s="6" t="str">
        <f>VLOOKUP(E4791,dicionario!$A$1:$C5190,3,0)</f>
        <v>perpétua-rosa</v>
      </c>
    </row>
    <row r="4792">
      <c r="A4792" s="3">
        <v>45673.0</v>
      </c>
      <c r="B4792" s="4">
        <v>0.28541666666666665</v>
      </c>
      <c r="C4792" s="5" t="s">
        <v>40</v>
      </c>
      <c r="D4792" s="5" t="s">
        <v>1082</v>
      </c>
      <c r="E4792" s="8" t="s">
        <v>200</v>
      </c>
      <c r="F4792" s="5" t="s">
        <v>201</v>
      </c>
      <c r="G4792" s="6" t="str">
        <f>VLOOKUP(E4792,dicionario!$A$1:$C5191,2,0)</f>
        <v>Columbina picui </v>
      </c>
      <c r="H4792" s="6" t="str">
        <f>VLOOKUP(E4792,dicionario!$A$1:$C5191,3,0)</f>
        <v>rolinha-picuí</v>
      </c>
    </row>
    <row r="4793">
      <c r="A4793" s="3">
        <v>45673.0</v>
      </c>
      <c r="B4793" s="4">
        <v>0.28541666666666665</v>
      </c>
      <c r="C4793" s="5" t="s">
        <v>40</v>
      </c>
      <c r="D4793" s="5" t="s">
        <v>1082</v>
      </c>
      <c r="E4793" s="8" t="s">
        <v>113</v>
      </c>
      <c r="F4793" s="5" t="s">
        <v>114</v>
      </c>
      <c r="G4793" s="6" t="str">
        <f>VLOOKUP(E4793,dicionario!$A$1:$C5192,2,0)</f>
        <v>Columbina talpacoti</v>
      </c>
      <c r="H4793" s="6" t="str">
        <f>VLOOKUP(E4793,dicionario!$A$1:$C5192,3,0)</f>
        <v>rolinha-roxa</v>
      </c>
    </row>
    <row r="4794">
      <c r="A4794" s="3">
        <v>45673.0</v>
      </c>
      <c r="B4794" s="4">
        <v>0.28541666666666665</v>
      </c>
      <c r="C4794" s="5" t="s">
        <v>40</v>
      </c>
      <c r="D4794" s="5" t="s">
        <v>1082</v>
      </c>
      <c r="E4794" s="8" t="s">
        <v>22</v>
      </c>
      <c r="F4794" s="5" t="s">
        <v>97</v>
      </c>
      <c r="G4794" s="6" t="str">
        <f>VLOOKUP(E4794,dicionario!$A$1:$C5193,2,0)</f>
        <v>Zenaida auriculata</v>
      </c>
      <c r="H4794" s="6" t="str">
        <f>VLOOKUP(E4794,dicionario!$A$1:$C5193,3,0)</f>
        <v>pomba-de-bando; avoante</v>
      </c>
    </row>
    <row r="4795">
      <c r="A4795" s="3">
        <v>45673.0</v>
      </c>
      <c r="B4795" s="4">
        <v>0.2861111111111111</v>
      </c>
      <c r="C4795" s="5" t="s">
        <v>40</v>
      </c>
      <c r="D4795" s="5" t="s">
        <v>1082</v>
      </c>
      <c r="E4795" s="8" t="s">
        <v>152</v>
      </c>
      <c r="F4795" s="5" t="s">
        <v>153</v>
      </c>
      <c r="G4795" s="6" t="str">
        <f>VLOOKUP(E4795,dicionario!$A$1:$C5194,2,0)</f>
        <v>Cynodon dactylon</v>
      </c>
      <c r="H4795" s="6" t="str">
        <f>VLOOKUP(E4795,dicionario!$A$1:$C5194,3,0)</f>
        <v>grama-bermuda</v>
      </c>
    </row>
    <row r="4796">
      <c r="A4796" s="3">
        <v>45673.0</v>
      </c>
      <c r="B4796" s="4">
        <v>0.2861111111111111</v>
      </c>
      <c r="C4796" s="5" t="s">
        <v>40</v>
      </c>
      <c r="D4796" s="5" t="s">
        <v>1082</v>
      </c>
      <c r="E4796" s="8" t="s">
        <v>229</v>
      </c>
      <c r="F4796" s="5" t="s">
        <v>230</v>
      </c>
      <c r="G4796" s="6" t="str">
        <f>VLOOKUP(E4796,dicionario!$A$1:$C5195,2,0)</f>
        <v>Apis mellifera</v>
      </c>
      <c r="H4796" s="6" t="str">
        <f>VLOOKUP(E4796,dicionario!$A$1:$C5195,3,0)</f>
        <v>abelha-do-mel</v>
      </c>
    </row>
    <row r="4797">
      <c r="A4797" s="3">
        <v>45673.0</v>
      </c>
      <c r="B4797" s="4">
        <v>0.2861111111111111</v>
      </c>
      <c r="C4797" s="5" t="s">
        <v>40</v>
      </c>
      <c r="D4797" s="5" t="s">
        <v>1082</v>
      </c>
      <c r="E4797" s="8" t="s">
        <v>566</v>
      </c>
      <c r="F4797" s="5" t="s">
        <v>567</v>
      </c>
      <c r="G4797" s="6" t="str">
        <f>VLOOKUP(E4797,dicionario!$A$1:$C5196,2,0)</f>
        <v>Baccharis dracunculifolia</v>
      </c>
      <c r="H4797" s="6" t="str">
        <f>VLOOKUP(E4797,dicionario!$A$1:$C5196,3,0)</f>
        <v>vassoura</v>
      </c>
    </row>
    <row r="4798">
      <c r="A4798" s="3">
        <v>45673.0</v>
      </c>
      <c r="B4798" s="4">
        <v>0.2861111111111111</v>
      </c>
      <c r="C4798" s="5" t="s">
        <v>40</v>
      </c>
      <c r="D4798" s="5" t="s">
        <v>1082</v>
      </c>
      <c r="E4798" s="8" t="s">
        <v>483</v>
      </c>
      <c r="F4798" s="5" t="s">
        <v>484</v>
      </c>
      <c r="G4798" s="6" t="str">
        <f>VLOOKUP(E4798,dicionario!$A$1:$C5197,2,0)</f>
        <v>Euphorbia prostrata</v>
      </c>
      <c r="H4798" s="6" t="str">
        <f>VLOOKUP(E4798,dicionario!$A$1:$C5197,3,0)</f>
        <v>quebra-pedra-rasteira</v>
      </c>
    </row>
    <row r="4799">
      <c r="A4799" s="3">
        <v>45673.0</v>
      </c>
      <c r="B4799" s="4">
        <v>0.2861111111111111</v>
      </c>
      <c r="C4799" s="5" t="s">
        <v>40</v>
      </c>
      <c r="D4799" s="5" t="s">
        <v>1082</v>
      </c>
      <c r="E4799" s="8" t="s">
        <v>849</v>
      </c>
      <c r="F4799" s="5" t="s">
        <v>849</v>
      </c>
      <c r="G4799" s="6" t="str">
        <f>VLOOKUP(E4799,dicionario!$A$1:$C5198,2,0)</f>
        <v>#N/A</v>
      </c>
      <c r="H4799" s="6" t="str">
        <f>VLOOKUP(E4799,dicionario!$A$1:$C5198,3,0)</f>
        <v>#N/A</v>
      </c>
    </row>
    <row r="4800">
      <c r="A4800" s="3">
        <v>45673.0</v>
      </c>
      <c r="B4800" s="4">
        <v>0.28680555555555554</v>
      </c>
      <c r="C4800" s="5" t="s">
        <v>40</v>
      </c>
      <c r="D4800" s="5" t="s">
        <v>1082</v>
      </c>
      <c r="E4800" s="8" t="s">
        <v>247</v>
      </c>
      <c r="F4800" s="7" t="s">
        <v>272</v>
      </c>
      <c r="G4800" s="6" t="str">
        <f>VLOOKUP(E4800,dicionario!$A$1:$C5199,2,0)</f>
        <v>Emilia sonchifolia</v>
      </c>
      <c r="H4800" s="6" t="str">
        <f>VLOOKUP(E4800,dicionario!$A$1:$C5199,3,0)</f>
        <v>serralinha</v>
      </c>
    </row>
    <row r="4801">
      <c r="A4801" s="3">
        <v>45673.0</v>
      </c>
      <c r="B4801" s="4">
        <v>0.28680555555555554</v>
      </c>
      <c r="C4801" s="5" t="s">
        <v>40</v>
      </c>
      <c r="D4801" s="5" t="s">
        <v>1082</v>
      </c>
      <c r="E4801" s="8" t="s">
        <v>483</v>
      </c>
      <c r="F4801" s="5" t="s">
        <v>289</v>
      </c>
      <c r="G4801" s="6" t="str">
        <f>VLOOKUP(E4801,dicionario!$A$1:$C5200,2,0)</f>
        <v>Euphorbia prostrata</v>
      </c>
      <c r="H4801" s="6" t="str">
        <f>VLOOKUP(E4801,dicionario!$A$1:$C5200,3,0)</f>
        <v>quebra-pedra-rasteira</v>
      </c>
    </row>
    <row r="4802">
      <c r="A4802" s="3">
        <v>45673.0</v>
      </c>
      <c r="B4802" s="4">
        <v>0.28680555555555554</v>
      </c>
      <c r="C4802" s="5" t="s">
        <v>40</v>
      </c>
      <c r="D4802" s="5" t="s">
        <v>1082</v>
      </c>
      <c r="E4802" s="8" t="s">
        <v>69</v>
      </c>
      <c r="F4802" s="7" t="s">
        <v>71</v>
      </c>
      <c r="G4802" s="6" t="str">
        <f>VLOOKUP(E4802,dicionario!$A$1:$C5201,2,0)</f>
        <v>Talinum fruticosum</v>
      </c>
      <c r="H4802" s="6" t="str">
        <f>VLOOKUP(E4802,dicionario!$A$1:$C5201,3,0)</f>
        <v>beldroega-grande</v>
      </c>
    </row>
    <row r="4803">
      <c r="A4803" s="3">
        <v>45673.0</v>
      </c>
      <c r="B4803" s="4">
        <v>0.28680555555555554</v>
      </c>
      <c r="C4803" s="5" t="s">
        <v>40</v>
      </c>
      <c r="D4803" s="5" t="s">
        <v>1082</v>
      </c>
      <c r="E4803" s="8" t="s">
        <v>191</v>
      </c>
      <c r="F4803" s="5" t="s">
        <v>192</v>
      </c>
      <c r="G4803" s="6" t="str">
        <f>VLOOKUP(E4803,dicionario!$A$1:$C5202,2,0)</f>
        <v>Patagioenas picazuro</v>
      </c>
      <c r="H4803" s="6" t="str">
        <f>VLOOKUP(E4803,dicionario!$A$1:$C5202,3,0)</f>
        <v>asa-branca; pomba-asa-branca; pocaçu</v>
      </c>
    </row>
    <row r="4804">
      <c r="A4804" s="3">
        <v>45673.0</v>
      </c>
      <c r="B4804" s="4">
        <v>0.28680555555555554</v>
      </c>
      <c r="C4804" s="5" t="s">
        <v>40</v>
      </c>
      <c r="D4804" s="5" t="s">
        <v>1082</v>
      </c>
      <c r="E4804" s="8" t="s">
        <v>977</v>
      </c>
      <c r="F4804" s="5" t="s">
        <v>978</v>
      </c>
      <c r="G4804" s="6" t="str">
        <f>VLOOKUP(E4804,dicionario!$A$1:$C5203,2,0)</f>
        <v>Odontomachus</v>
      </c>
      <c r="H4804" s="6" t="str">
        <f>VLOOKUP(E4804,dicionario!$A$1:$C5203,3,0)</f>
        <v>formiga-de-estalo</v>
      </c>
    </row>
    <row r="4805">
      <c r="A4805" s="3">
        <v>45673.0</v>
      </c>
      <c r="B4805" s="4">
        <v>0.28680555555555554</v>
      </c>
      <c r="C4805" s="5" t="s">
        <v>40</v>
      </c>
      <c r="D4805" s="5" t="s">
        <v>1082</v>
      </c>
      <c r="E4805" s="8" t="s">
        <v>514</v>
      </c>
      <c r="F4805" s="7" t="s">
        <v>515</v>
      </c>
      <c r="G4805" s="6" t="str">
        <f>VLOOKUP(E4805,dicionario!$A$1:$C5204,2,0)</f>
        <v>Aedes aegypti</v>
      </c>
      <c r="H4805" s="6" t="str">
        <f>VLOOKUP(E4805,dicionario!$A$1:$C5204,3,0)</f>
        <v>mosquito-da-dengue</v>
      </c>
    </row>
    <row r="4806">
      <c r="A4806" s="3">
        <v>45673.0</v>
      </c>
      <c r="B4806" s="4">
        <v>0.2875</v>
      </c>
      <c r="C4806" s="5" t="s">
        <v>40</v>
      </c>
      <c r="D4806" s="5" t="s">
        <v>1082</v>
      </c>
      <c r="E4806" s="8" t="s">
        <v>353</v>
      </c>
      <c r="F4806" s="5" t="s">
        <v>354</v>
      </c>
      <c r="G4806" s="6" t="str">
        <f>VLOOKUP(E4806,dicionario!$A$1:$C5205,2,0)</f>
        <v>Desmodium incanum</v>
      </c>
      <c r="H4806" s="6" t="str">
        <f>VLOOKUP(E4806,dicionario!$A$1:$C5205,3,0)</f>
        <v>pega-pega</v>
      </c>
    </row>
    <row r="4807">
      <c r="A4807" s="3">
        <v>45673.0</v>
      </c>
      <c r="B4807" s="4">
        <v>0.2875</v>
      </c>
      <c r="C4807" s="5" t="s">
        <v>40</v>
      </c>
      <c r="D4807" s="5" t="s">
        <v>1082</v>
      </c>
      <c r="E4807" s="8" t="s">
        <v>177</v>
      </c>
      <c r="F4807" s="5" t="s">
        <v>178</v>
      </c>
      <c r="G4807" s="6" t="str">
        <f>VLOOKUP(E4807,dicionario!$A$1:$C5206,2,0)</f>
        <v>Elaenia flavogaster</v>
      </c>
      <c r="H4807" s="6" t="str">
        <f>VLOOKUP(E4807,dicionario!$A$1:$C5206,3,0)</f>
        <v>guaracava-de-barriga-amarela</v>
      </c>
    </row>
    <row r="4808">
      <c r="A4808" s="3">
        <v>45673.0</v>
      </c>
      <c r="B4808" s="4">
        <v>0.2875</v>
      </c>
      <c r="C4808" s="5" t="s">
        <v>40</v>
      </c>
      <c r="D4808" s="5" t="s">
        <v>1082</v>
      </c>
      <c r="E4808" s="8" t="s">
        <v>38</v>
      </c>
      <c r="F4808" s="5" t="s">
        <v>39</v>
      </c>
      <c r="G4808" s="6" t="str">
        <f>VLOOKUP(E4808,dicionario!$A$1:$C5207,2,0)</f>
        <v>Troglodytes musculus</v>
      </c>
      <c r="H4808" s="6" t="str">
        <f>VLOOKUP(E4808,dicionario!$A$1:$C5207,3,0)</f>
        <v>curruíra</v>
      </c>
    </row>
    <row r="4809">
      <c r="A4809" s="3">
        <v>45673.0</v>
      </c>
      <c r="B4809" s="4">
        <v>0.2881944444444444</v>
      </c>
      <c r="C4809" s="5" t="s">
        <v>40</v>
      </c>
      <c r="D4809" s="5" t="s">
        <v>1082</v>
      </c>
      <c r="E4809" s="8" t="s">
        <v>1064</v>
      </c>
      <c r="F4809" s="5" t="s">
        <v>603</v>
      </c>
      <c r="G4809" s="6" t="str">
        <f>VLOOKUP(E4809,dicionario!$A$1:$C5208,2,0)</f>
        <v>#N/A</v>
      </c>
      <c r="H4809" s="6" t="str">
        <f>VLOOKUP(E4809,dicionario!$A$1:$C5208,3,0)</f>
        <v>#N/A</v>
      </c>
    </row>
    <row r="4810">
      <c r="A4810" s="3">
        <v>45673.0</v>
      </c>
      <c r="B4810" s="4">
        <v>0.28888888888888886</v>
      </c>
      <c r="C4810" s="5" t="s">
        <v>40</v>
      </c>
      <c r="D4810" s="5" t="s">
        <v>1082</v>
      </c>
      <c r="E4810" s="8" t="s">
        <v>1087</v>
      </c>
      <c r="F4810" s="5" t="s">
        <v>1088</v>
      </c>
      <c r="G4810" s="6" t="str">
        <f>VLOOKUP(E4810,dicionario!$A$1:$C5209,2,0)</f>
        <v>Desmodium triflorum</v>
      </c>
      <c r="H4810" s="6" t="str">
        <f>VLOOKUP(E4810,dicionario!$A$1:$C5209,3,0)</f>
        <v/>
      </c>
    </row>
    <row r="4811">
      <c r="A4811" s="3">
        <v>45673.0</v>
      </c>
      <c r="B4811" s="4">
        <v>0.28958333333333336</v>
      </c>
      <c r="C4811" s="5" t="s">
        <v>40</v>
      </c>
      <c r="D4811" s="5" t="s">
        <v>1082</v>
      </c>
      <c r="E4811" s="8" t="s">
        <v>471</v>
      </c>
      <c r="F4811" s="5" t="s">
        <v>472</v>
      </c>
      <c r="G4811" s="6" t="str">
        <f>VLOOKUP(E4811,dicionario!$A$1:$C5210,2,0)</f>
        <v>Sida acuta</v>
      </c>
      <c r="H4811" s="6" t="str">
        <f>VLOOKUP(E4811,dicionario!$A$1:$C5210,3,0)</f>
        <v>reloginho</v>
      </c>
    </row>
    <row r="4812">
      <c r="A4812" s="3">
        <v>45673.0</v>
      </c>
      <c r="B4812" s="4">
        <v>0.28958333333333336</v>
      </c>
      <c r="C4812" s="5" t="s">
        <v>40</v>
      </c>
      <c r="D4812" s="5" t="s">
        <v>1082</v>
      </c>
      <c r="E4812" s="8" t="s">
        <v>111</v>
      </c>
      <c r="F4812" s="7" t="s">
        <v>112</v>
      </c>
      <c r="G4812" s="6" t="str">
        <f>VLOOKUP(E4812,dicionario!$A$1:$C5211,2,0)</f>
        <v>Trigona spinipes</v>
      </c>
      <c r="H4812" s="6" t="str">
        <f>VLOOKUP(E4812,dicionario!$A$1:$C5211,3,0)</f>
        <v>abelha-cachorro</v>
      </c>
    </row>
    <row r="4813">
      <c r="A4813" s="3">
        <v>45673.0</v>
      </c>
      <c r="B4813" s="4">
        <v>0.2902777777777778</v>
      </c>
      <c r="C4813" s="5" t="s">
        <v>40</v>
      </c>
      <c r="D4813" s="5" t="s">
        <v>1082</v>
      </c>
      <c r="E4813" s="8" t="s">
        <v>366</v>
      </c>
      <c r="F4813" s="5" t="s">
        <v>367</v>
      </c>
      <c r="G4813" s="6" t="str">
        <f>VLOOKUP(E4813,dicionario!$A$1:$C5212,2,0)</f>
        <v>Alternanthera ficoidea</v>
      </c>
      <c r="H4813" s="6" t="str">
        <f>VLOOKUP(E4813,dicionario!$A$1:$C5212,3,0)</f>
        <v>quebra-panela</v>
      </c>
    </row>
    <row r="4814">
      <c r="A4814" s="3">
        <v>45673.0</v>
      </c>
      <c r="B4814" s="4">
        <v>0.29097222222222224</v>
      </c>
      <c r="C4814" s="5" t="s">
        <v>40</v>
      </c>
      <c r="D4814" s="5" t="s">
        <v>1082</v>
      </c>
      <c r="E4814" s="8" t="s">
        <v>886</v>
      </c>
      <c r="F4814" s="5" t="s">
        <v>887</v>
      </c>
      <c r="G4814" s="6" t="str">
        <f>VLOOKUP(E4814,dicionario!$A$1:$C5213,2,0)</f>
        <v>Oldenlandia corymbosa</v>
      </c>
      <c r="H4814" s="6" t="str">
        <f>VLOOKUP(E4814,dicionario!$A$1:$C5213,3,0)</f>
        <v>erva-diamante</v>
      </c>
    </row>
    <row r="4815">
      <c r="A4815" s="3">
        <v>45673.0</v>
      </c>
      <c r="B4815" s="4">
        <v>0.2777777777777778</v>
      </c>
      <c r="C4815" s="5" t="s">
        <v>40</v>
      </c>
      <c r="D4815" s="5" t="s">
        <v>1082</v>
      </c>
      <c r="E4815" s="8" t="s">
        <v>682</v>
      </c>
      <c r="F4815" s="5" t="s">
        <v>683</v>
      </c>
      <c r="G4815" s="6" t="str">
        <f>VLOOKUP(E4815,dicionario!$A$1:$C5214,2,0)</f>
        <v>Lagria villosa</v>
      </c>
      <c r="H4815" s="6" t="str">
        <f>VLOOKUP(E4815,dicionario!$A$1:$C5214,3,0)</f>
        <v>bicho-capixaba</v>
      </c>
    </row>
    <row r="4816">
      <c r="A4816" s="3">
        <v>45673.0</v>
      </c>
      <c r="B4816" s="4">
        <v>0.2923611111111111</v>
      </c>
      <c r="C4816" s="5" t="s">
        <v>40</v>
      </c>
      <c r="D4816" s="5" t="s">
        <v>1082</v>
      </c>
      <c r="E4816" s="8" t="s">
        <v>158</v>
      </c>
      <c r="F4816" s="5" t="s">
        <v>159</v>
      </c>
      <c r="G4816" s="6" t="str">
        <f>VLOOKUP(E4816,dicionario!$A$1:$C5215,2,0)</f>
        <v>Nephilingis cruentata</v>
      </c>
      <c r="H4816" s="6" t="str">
        <f>VLOOKUP(E4816,dicionario!$A$1:$C5215,3,0)</f>
        <v>maria-bola</v>
      </c>
    </row>
    <row r="4817">
      <c r="A4817" s="3">
        <v>45673.0</v>
      </c>
      <c r="B4817" s="4">
        <v>0.29583333333333334</v>
      </c>
      <c r="C4817" s="5" t="s">
        <v>50</v>
      </c>
      <c r="D4817" s="5" t="s">
        <v>1082</v>
      </c>
      <c r="E4817" s="8" t="s">
        <v>60</v>
      </c>
      <c r="F4817" s="5" t="s">
        <v>61</v>
      </c>
      <c r="G4817" s="6" t="str">
        <f>VLOOKUP(E4817,dicionario!$A$1:$C5216,2,0)</f>
        <v>Vanellus chilensis</v>
      </c>
      <c r="H4817" s="6" t="str">
        <f>VLOOKUP(E4817,dicionario!$A$1:$C5216,3,0)</f>
        <v>quero-quero</v>
      </c>
    </row>
    <row r="4818">
      <c r="A4818" s="3">
        <v>45673.0</v>
      </c>
      <c r="B4818" s="4">
        <v>0.2972222222222222</v>
      </c>
      <c r="C4818" s="5" t="s">
        <v>50</v>
      </c>
      <c r="D4818" s="5" t="s">
        <v>1082</v>
      </c>
      <c r="E4818" s="8" t="s">
        <v>175</v>
      </c>
      <c r="F4818" s="5" t="s">
        <v>176</v>
      </c>
      <c r="G4818" s="6" t="str">
        <f>VLOOKUP(E4818,dicionario!$A$1:$C5217,2,0)</f>
        <v>Turdus leucomelas</v>
      </c>
      <c r="H4818" s="6" t="str">
        <f>VLOOKUP(E4818,dicionario!$A$1:$C5217,3,0)</f>
        <v>sabiá-barranco</v>
      </c>
    </row>
    <row r="4819">
      <c r="A4819" s="3">
        <v>45673.0</v>
      </c>
      <c r="B4819" s="4">
        <v>0.2972222222222222</v>
      </c>
      <c r="C4819" s="5" t="s">
        <v>50</v>
      </c>
      <c r="D4819" s="5" t="s">
        <v>1082</v>
      </c>
      <c r="E4819" s="8" t="s">
        <v>483</v>
      </c>
      <c r="F4819" s="5" t="s">
        <v>289</v>
      </c>
      <c r="G4819" s="6" t="str">
        <f>VLOOKUP(E4819,dicionario!$A$1:$C5218,2,0)</f>
        <v>Euphorbia prostrata</v>
      </c>
      <c r="H4819" s="6" t="str">
        <f>VLOOKUP(E4819,dicionario!$A$1:$C5218,3,0)</f>
        <v>quebra-pedra-rasteira</v>
      </c>
    </row>
    <row r="4820">
      <c r="A4820" s="3">
        <v>45673.0</v>
      </c>
      <c r="B4820" s="4">
        <v>0.2972222222222222</v>
      </c>
      <c r="C4820" s="5" t="s">
        <v>50</v>
      </c>
      <c r="D4820" s="5" t="s">
        <v>1082</v>
      </c>
      <c r="E4820" s="8" t="s">
        <v>366</v>
      </c>
      <c r="F4820" s="5" t="s">
        <v>367</v>
      </c>
      <c r="G4820" s="6" t="str">
        <f>VLOOKUP(E4820,dicionario!$A$1:$C5219,2,0)</f>
        <v>Alternanthera ficoidea</v>
      </c>
      <c r="H4820" s="6" t="str">
        <f>VLOOKUP(E4820,dicionario!$A$1:$C5219,3,0)</f>
        <v>quebra-panela</v>
      </c>
    </row>
    <row r="4821">
      <c r="A4821" s="3">
        <v>45673.0</v>
      </c>
      <c r="B4821" s="4">
        <v>0.29791666666666666</v>
      </c>
      <c r="C4821" s="5" t="s">
        <v>50</v>
      </c>
      <c r="D4821" s="5" t="s">
        <v>1082</v>
      </c>
      <c r="E4821" s="8" t="s">
        <v>296</v>
      </c>
      <c r="F4821" s="5" t="s">
        <v>297</v>
      </c>
      <c r="G4821" s="6" t="str">
        <f>VLOOKUP(E4821,dicionario!$A$1:$C5220,2,0)</f>
        <v>Richardia brasiliensis</v>
      </c>
      <c r="H4821" s="6" t="str">
        <f>VLOOKUP(E4821,dicionario!$A$1:$C5220,3,0)</f>
        <v>poaia-branca</v>
      </c>
    </row>
    <row r="4822">
      <c r="A4822" s="3">
        <v>45673.0</v>
      </c>
      <c r="B4822" s="4">
        <v>0.29791666666666666</v>
      </c>
      <c r="C4822" s="5" t="s">
        <v>50</v>
      </c>
      <c r="D4822" s="5" t="s">
        <v>1082</v>
      </c>
      <c r="E4822" s="8" t="s">
        <v>471</v>
      </c>
      <c r="F4822" s="5" t="s">
        <v>472</v>
      </c>
      <c r="G4822" s="6" t="str">
        <f>VLOOKUP(E4822,dicionario!$A$1:$C5221,2,0)</f>
        <v>Sida acuta</v>
      </c>
      <c r="H4822" s="6" t="str">
        <f>VLOOKUP(E4822,dicionario!$A$1:$C5221,3,0)</f>
        <v>reloginho</v>
      </c>
    </row>
    <row r="4823">
      <c r="A4823" s="3">
        <v>45673.0</v>
      </c>
      <c r="B4823" s="4">
        <v>0.29791666666666666</v>
      </c>
      <c r="C4823" s="5" t="s">
        <v>50</v>
      </c>
      <c r="D4823" s="5" t="s">
        <v>1082</v>
      </c>
      <c r="E4823" s="8" t="s">
        <v>267</v>
      </c>
      <c r="F4823" s="5" t="s">
        <v>553</v>
      </c>
      <c r="G4823" s="6" t="str">
        <f>VLOOKUP(E4823,dicionario!$A$1:$C5222,2,0)</f>
        <v>Solanum americanum</v>
      </c>
      <c r="H4823" s="6" t="str">
        <f>VLOOKUP(E4823,dicionario!$A$1:$C5222,3,0)</f>
        <v>maria-pretinha</v>
      </c>
    </row>
    <row r="4824">
      <c r="A4824" s="3">
        <v>45673.0</v>
      </c>
      <c r="B4824" s="4">
        <v>0.2986111111111111</v>
      </c>
      <c r="C4824" s="5" t="s">
        <v>50</v>
      </c>
      <c r="D4824" s="5" t="s">
        <v>1082</v>
      </c>
      <c r="E4824" s="8" t="s">
        <v>10</v>
      </c>
      <c r="F4824" s="5" t="s">
        <v>11</v>
      </c>
      <c r="G4824" s="6" t="str">
        <f>VLOOKUP(E4824,dicionario!$A$1:$C5223,2,0)</f>
        <v>Guira guira</v>
      </c>
      <c r="H4824" s="6" t="str">
        <f>VLOOKUP(E4824,dicionario!$A$1:$C5223,3,0)</f>
        <v>anu-branco</v>
      </c>
    </row>
    <row r="4825">
      <c r="A4825" s="3">
        <v>45673.0</v>
      </c>
      <c r="B4825" s="4">
        <v>0.2986111111111111</v>
      </c>
      <c r="C4825" s="5" t="s">
        <v>50</v>
      </c>
      <c r="D4825" s="5" t="s">
        <v>1082</v>
      </c>
      <c r="E4825" s="8" t="s">
        <v>425</v>
      </c>
      <c r="F4825" s="5" t="s">
        <v>426</v>
      </c>
      <c r="G4825" s="6" t="str">
        <f>VLOOKUP(E4825,dicionario!$A$1:$C5224,2,0)</f>
        <v>Digitaria insularis</v>
      </c>
      <c r="H4825" s="6" t="str">
        <f>VLOOKUP(E4825,dicionario!$A$1:$C5224,3,0)</f>
        <v>capim-amargoso</v>
      </c>
    </row>
    <row r="4826">
      <c r="A4826" s="3">
        <v>45673.0</v>
      </c>
      <c r="B4826" s="4">
        <v>0.2986111111111111</v>
      </c>
      <c r="C4826" s="5" t="s">
        <v>50</v>
      </c>
      <c r="D4826" s="5" t="s">
        <v>1082</v>
      </c>
      <c r="E4826" s="8" t="s">
        <v>253</v>
      </c>
      <c r="F4826" s="5" t="s">
        <v>254</v>
      </c>
      <c r="G4826" s="6" t="str">
        <f>VLOOKUP(E4826,dicionario!$A$1:$C5225,2,0)</f>
        <v>Panicum maximum</v>
      </c>
      <c r="H4826" s="6" t="str">
        <f>VLOOKUP(E4826,dicionario!$A$1:$C5225,3,0)</f>
        <v>capim-colonião</v>
      </c>
    </row>
    <row r="4827">
      <c r="A4827" s="3">
        <v>45673.0</v>
      </c>
      <c r="B4827" s="4">
        <v>0.29930555555555555</v>
      </c>
      <c r="C4827" s="5" t="s">
        <v>50</v>
      </c>
      <c r="D4827" s="5" t="s">
        <v>1082</v>
      </c>
      <c r="E4827" s="8" t="s">
        <v>177</v>
      </c>
      <c r="F4827" s="5" t="s">
        <v>178</v>
      </c>
      <c r="G4827" s="6" t="str">
        <f>VLOOKUP(E4827,dicionario!$A$1:$C5226,2,0)</f>
        <v>Elaenia flavogaster</v>
      </c>
      <c r="H4827" s="6" t="str">
        <f>VLOOKUP(E4827,dicionario!$A$1:$C5226,3,0)</f>
        <v>guaracava-de-barriga-amarela</v>
      </c>
    </row>
    <row r="4828">
      <c r="A4828" s="3">
        <v>45673.0</v>
      </c>
      <c r="B4828" s="4">
        <v>0.29930555555555555</v>
      </c>
      <c r="C4828" s="5" t="s">
        <v>50</v>
      </c>
      <c r="D4828" s="5" t="s">
        <v>1082</v>
      </c>
      <c r="E4828" s="8" t="s">
        <v>74</v>
      </c>
      <c r="F4828" s="5" t="s">
        <v>75</v>
      </c>
      <c r="G4828" s="6" t="str">
        <f>VLOOKUP(E4828,dicionario!$A$1:$C5227,2,0)</f>
        <v>Crotophaga ani</v>
      </c>
      <c r="H4828" s="6" t="str">
        <f>VLOOKUP(E4828,dicionario!$A$1:$C5227,3,0)</f>
        <v>anu-preto</v>
      </c>
    </row>
    <row r="4829">
      <c r="A4829" s="3">
        <v>45673.0</v>
      </c>
      <c r="B4829" s="4">
        <v>0.29930555555555555</v>
      </c>
      <c r="C4829" s="5" t="s">
        <v>50</v>
      </c>
      <c r="D4829" s="5" t="s">
        <v>1082</v>
      </c>
      <c r="E4829" s="8" t="s">
        <v>401</v>
      </c>
      <c r="F4829" s="5" t="s">
        <v>464</v>
      </c>
      <c r="G4829" s="6" t="str">
        <f>VLOOKUP(E4829,dicionario!$A$1:$C5228,2,0)</f>
        <v>Cissus verticillata</v>
      </c>
      <c r="H4829" s="6" t="str">
        <f>VLOOKUP(E4829,dicionario!$A$1:$C5228,3,0)</f>
        <v>uva-do-mato</v>
      </c>
    </row>
    <row r="4830">
      <c r="A4830" s="3">
        <v>45673.0</v>
      </c>
      <c r="B4830" s="4">
        <v>0.29930555555555555</v>
      </c>
      <c r="C4830" s="5" t="s">
        <v>50</v>
      </c>
      <c r="D4830" s="5" t="s">
        <v>1082</v>
      </c>
      <c r="E4830" s="8" t="s">
        <v>20</v>
      </c>
      <c r="F4830" s="7" t="s">
        <v>21</v>
      </c>
      <c r="G4830" s="6" t="str">
        <f>VLOOKUP(E4830,dicionario!$A$1:$C5229,2,0)</f>
        <v>Sicalis flaveola</v>
      </c>
      <c r="H4830" s="6" t="str">
        <f>VLOOKUP(E4830,dicionario!$A$1:$C5229,3,0)</f>
        <v>canário-da-terra</v>
      </c>
    </row>
    <row r="4831">
      <c r="A4831" s="3">
        <v>45673.0</v>
      </c>
      <c r="B4831" s="4">
        <v>0.29930555555555555</v>
      </c>
      <c r="C4831" s="5" t="s">
        <v>50</v>
      </c>
      <c r="D4831" s="5" t="s">
        <v>1082</v>
      </c>
      <c r="E4831" s="8" t="s">
        <v>467</v>
      </c>
      <c r="F4831" s="5" t="s">
        <v>468</v>
      </c>
      <c r="G4831" s="6" t="str">
        <f>VLOOKUP(E4831,dicionario!$A$1:$C5230,2,0)</f>
        <v>Eleusine indica</v>
      </c>
      <c r="H4831" s="6" t="str">
        <f>VLOOKUP(E4831,dicionario!$A$1:$C5230,3,0)</f>
        <v>capim-pé-de-galinha</v>
      </c>
    </row>
    <row r="4832">
      <c r="A4832" s="3">
        <v>45673.0</v>
      </c>
      <c r="B4832" s="4">
        <v>0.29930555555555555</v>
      </c>
      <c r="C4832" s="5" t="s">
        <v>50</v>
      </c>
      <c r="D4832" s="5" t="s">
        <v>1082</v>
      </c>
      <c r="E4832" s="8" t="s">
        <v>139</v>
      </c>
      <c r="F4832" s="5" t="s">
        <v>862</v>
      </c>
      <c r="G4832" s="6" t="str">
        <f>VLOOKUP(E4832,dicionario!$A$1:$C5231,2,0)</f>
        <v>Tropidurus torquatus</v>
      </c>
      <c r="H4832" s="6" t="str">
        <f>VLOOKUP(E4832,dicionario!$A$1:$C5231,3,0)</f>
        <v>calango; tropiduro-comum</v>
      </c>
    </row>
    <row r="4833">
      <c r="A4833" s="3">
        <v>45673.0</v>
      </c>
      <c r="B4833" s="4">
        <v>0.3</v>
      </c>
      <c r="C4833" s="5" t="s">
        <v>50</v>
      </c>
      <c r="D4833" s="5" t="s">
        <v>1082</v>
      </c>
      <c r="E4833" s="8" t="s">
        <v>579</v>
      </c>
      <c r="F4833" s="5" t="s">
        <v>580</v>
      </c>
      <c r="G4833" s="6" t="str">
        <f>VLOOKUP(E4833,dicionario!$A$1:$C5232,2,0)</f>
        <v>Piper tuberculatum</v>
      </c>
      <c r="H4833" s="6" t="str">
        <f>VLOOKUP(E4833,dicionario!$A$1:$C5232,3,0)</f>
        <v/>
      </c>
    </row>
    <row r="4834">
      <c r="A4834" s="3">
        <v>45673.0</v>
      </c>
      <c r="B4834" s="4">
        <v>0.30069444444444443</v>
      </c>
      <c r="C4834" s="5" t="s">
        <v>50</v>
      </c>
      <c r="D4834" s="5" t="s">
        <v>1082</v>
      </c>
      <c r="E4834" s="20" t="s">
        <v>676</v>
      </c>
      <c r="F4834" s="7" t="s">
        <v>677</v>
      </c>
      <c r="G4834" s="6" t="str">
        <f>VLOOKUP(E4834,dicionario!$A$1:$C5233,2,0)</f>
        <v>Zornia latifolia</v>
      </c>
      <c r="H4834" s="6" t="str">
        <f>VLOOKUP(E4834,dicionario!$A$1:$C5233,3,0)</f>
        <v>arrozinho-do-campo</v>
      </c>
    </row>
    <row r="4835">
      <c r="A4835" s="3">
        <v>45673.0</v>
      </c>
      <c r="B4835" s="4">
        <v>0.30069444444444443</v>
      </c>
      <c r="C4835" s="5" t="s">
        <v>50</v>
      </c>
      <c r="D4835" s="5" t="s">
        <v>1082</v>
      </c>
      <c r="E4835" s="8" t="s">
        <v>338</v>
      </c>
      <c r="F4835" s="5" t="s">
        <v>238</v>
      </c>
      <c r="G4835" s="6" t="str">
        <f>VLOOKUP(E4835,dicionario!$A$1:$C5234,2,0)</f>
        <v>Atta</v>
      </c>
      <c r="H4835" s="6" t="str">
        <f>VLOOKUP(E4835,dicionario!$A$1:$C5234,3,0)</f>
        <v>saúva</v>
      </c>
    </row>
    <row r="4836">
      <c r="A4836" s="3">
        <v>45673.0</v>
      </c>
      <c r="B4836" s="4">
        <v>0.30069444444444443</v>
      </c>
      <c r="C4836" s="5" t="s">
        <v>50</v>
      </c>
      <c r="D4836" s="5" t="s">
        <v>1082</v>
      </c>
      <c r="E4836" s="8" t="s">
        <v>353</v>
      </c>
      <c r="F4836" s="5" t="s">
        <v>354</v>
      </c>
      <c r="G4836" s="6" t="str">
        <f>VLOOKUP(E4836,dicionario!$A$1:$C5235,2,0)</f>
        <v>Desmodium incanum</v>
      </c>
      <c r="H4836" s="6" t="str">
        <f>VLOOKUP(E4836,dicionario!$A$1:$C5235,3,0)</f>
        <v>pega-pega</v>
      </c>
    </row>
    <row r="4837">
      <c r="A4837" s="3">
        <v>45673.0</v>
      </c>
      <c r="B4837" s="4">
        <v>0.30069444444444443</v>
      </c>
      <c r="C4837" s="5" t="s">
        <v>50</v>
      </c>
      <c r="D4837" s="5" t="s">
        <v>1082</v>
      </c>
      <c r="E4837" s="8" t="s">
        <v>489</v>
      </c>
      <c r="F4837" s="5" t="s">
        <v>521</v>
      </c>
      <c r="G4837" s="6" t="str">
        <f>VLOOKUP(E4837,dicionario!$A$1:$C5236,2,0)</f>
        <v>Cenchrus echinatus</v>
      </c>
      <c r="H4837" s="6" t="str">
        <f>VLOOKUP(E4837,dicionario!$A$1:$C5236,3,0)</f>
        <v>capim-carrapicho</v>
      </c>
    </row>
    <row r="4838">
      <c r="A4838" s="3">
        <v>45673.0</v>
      </c>
      <c r="B4838" s="4">
        <v>0.30069444444444443</v>
      </c>
      <c r="C4838" s="5" t="s">
        <v>50</v>
      </c>
      <c r="D4838" s="5" t="s">
        <v>1082</v>
      </c>
      <c r="E4838" s="8" t="s">
        <v>471</v>
      </c>
      <c r="F4838" s="5" t="s">
        <v>472</v>
      </c>
      <c r="G4838" s="6" t="str">
        <f>VLOOKUP(E4838,dicionario!$A$1:$C5237,2,0)</f>
        <v>Sida acuta</v>
      </c>
      <c r="H4838" s="6" t="str">
        <f>VLOOKUP(E4838,dicionario!$A$1:$C5237,3,0)</f>
        <v>reloginho</v>
      </c>
    </row>
    <row r="4839">
      <c r="A4839" s="3">
        <v>45673.0</v>
      </c>
      <c r="B4839" s="4">
        <v>0.3013888888888889</v>
      </c>
      <c r="C4839" s="5" t="s">
        <v>50</v>
      </c>
      <c r="D4839" s="5" t="s">
        <v>1082</v>
      </c>
      <c r="E4839" s="8" t="s">
        <v>113</v>
      </c>
      <c r="F4839" s="5" t="s">
        <v>114</v>
      </c>
      <c r="G4839" s="6" t="str">
        <f>VLOOKUP(E4839,dicionario!$A$1:$C5238,2,0)</f>
        <v>Columbina talpacoti</v>
      </c>
      <c r="H4839" s="6" t="str">
        <f>VLOOKUP(E4839,dicionario!$A$1:$C5238,3,0)</f>
        <v>rolinha-roxa</v>
      </c>
    </row>
    <row r="4840">
      <c r="A4840" s="3">
        <v>45673.0</v>
      </c>
      <c r="B4840" s="4">
        <v>0.3013888888888889</v>
      </c>
      <c r="C4840" s="5" t="s">
        <v>50</v>
      </c>
      <c r="D4840" s="5" t="s">
        <v>1082</v>
      </c>
      <c r="E4840" s="8" t="s">
        <v>292</v>
      </c>
      <c r="F4840" s="5" t="s">
        <v>293</v>
      </c>
      <c r="G4840" s="6" t="str">
        <f>VLOOKUP(E4840,dicionario!$A$1:$C5239,2,0)</f>
        <v>Ascia monuste</v>
      </c>
      <c r="H4840" s="6" t="str">
        <f>VLOOKUP(E4840,dicionario!$A$1:$C5239,3,0)</f>
        <v>borboleta-da-couve</v>
      </c>
    </row>
    <row r="4841">
      <c r="A4841" s="3">
        <v>45673.0</v>
      </c>
      <c r="B4841" s="4">
        <v>0.3020833333333333</v>
      </c>
      <c r="C4841" s="5" t="s">
        <v>50</v>
      </c>
      <c r="D4841" s="5" t="s">
        <v>1082</v>
      </c>
      <c r="E4841" s="8" t="s">
        <v>324</v>
      </c>
      <c r="F4841" s="5" t="s">
        <v>325</v>
      </c>
      <c r="G4841" s="6" t="str">
        <f>VLOOKUP(E4841,dicionario!$A$1:$C5240,2,0)</f>
        <v>#N/A</v>
      </c>
      <c r="H4841" s="6" t="str">
        <f>VLOOKUP(E4841,dicionario!$A$1:$C5240,3,0)</f>
        <v>#N/A</v>
      </c>
    </row>
    <row r="4842">
      <c r="A4842" s="3">
        <v>45673.0</v>
      </c>
      <c r="B4842" s="4">
        <v>0.3020833333333333</v>
      </c>
      <c r="C4842" s="5" t="s">
        <v>50</v>
      </c>
      <c r="D4842" s="5" t="s">
        <v>1082</v>
      </c>
      <c r="E4842" s="8" t="s">
        <v>122</v>
      </c>
      <c r="F4842" s="7" t="s">
        <v>123</v>
      </c>
      <c r="G4842" s="6" t="str">
        <f>VLOOKUP(E4842,dicionario!$A$1:$C5241,2,0)</f>
        <v>Todirostrum cinereum</v>
      </c>
      <c r="H4842" s="6" t="str">
        <f>VLOOKUP(E4842,dicionario!$A$1:$C5241,3,0)</f>
        <v>ferreirinho-relógio</v>
      </c>
    </row>
    <row r="4843">
      <c r="A4843" s="3">
        <v>45673.0</v>
      </c>
      <c r="B4843" s="4">
        <v>0.3034722222222222</v>
      </c>
      <c r="C4843" s="5" t="s">
        <v>50</v>
      </c>
      <c r="D4843" s="5" t="s">
        <v>1082</v>
      </c>
      <c r="E4843" s="8" t="s">
        <v>111</v>
      </c>
      <c r="F4843" s="7" t="s">
        <v>112</v>
      </c>
      <c r="G4843" s="6" t="str">
        <f>VLOOKUP(E4843,dicionario!$A$1:$C5242,2,0)</f>
        <v>Trigona spinipes</v>
      </c>
      <c r="H4843" s="6" t="str">
        <f>VLOOKUP(E4843,dicionario!$A$1:$C5242,3,0)</f>
        <v>abelha-cachorro</v>
      </c>
    </row>
    <row r="4844">
      <c r="A4844" s="3">
        <v>45673.0</v>
      </c>
      <c r="B4844" s="4">
        <v>0.30625</v>
      </c>
      <c r="C4844" s="5" t="s">
        <v>50</v>
      </c>
      <c r="D4844" s="5" t="s">
        <v>1082</v>
      </c>
      <c r="E4844" s="26" t="s">
        <v>870</v>
      </c>
      <c r="F4844" s="5" t="s">
        <v>1089</v>
      </c>
      <c r="G4844" s="6" t="str">
        <f>VLOOKUP(E4844,dicionario!$A$1:$C5243,2,0)</f>
        <v>#N/A</v>
      </c>
      <c r="H4844" s="6" t="str">
        <f>VLOOKUP(E4844,dicionario!$A$1:$C5243,3,0)</f>
        <v>#N/A</v>
      </c>
    </row>
    <row r="4845">
      <c r="A4845" s="3">
        <v>45673.0</v>
      </c>
      <c r="B4845" s="4">
        <v>0.30694444444444446</v>
      </c>
      <c r="C4845" s="5" t="s">
        <v>50</v>
      </c>
      <c r="D4845" s="5" t="s">
        <v>1082</v>
      </c>
      <c r="E4845" s="8" t="s">
        <v>269</v>
      </c>
      <c r="F4845" s="5" t="s">
        <v>270</v>
      </c>
      <c r="G4845" s="6" t="str">
        <f>VLOOKUP(E4845,dicionario!$A$1:$C5244,2,0)</f>
        <v>#N/A</v>
      </c>
      <c r="H4845" s="6" t="str">
        <f>VLOOKUP(E4845,dicionario!$A$1:$C5244,3,0)</f>
        <v>#N/A</v>
      </c>
    </row>
    <row r="4846">
      <c r="A4846" s="3">
        <v>45673.0</v>
      </c>
      <c r="B4846" s="4">
        <v>0.3076388888888889</v>
      </c>
      <c r="C4846" s="5" t="s">
        <v>59</v>
      </c>
      <c r="D4846" s="5" t="s">
        <v>1082</v>
      </c>
      <c r="E4846" s="8" t="s">
        <v>886</v>
      </c>
      <c r="F4846" s="5" t="s">
        <v>887</v>
      </c>
      <c r="G4846" s="6" t="str">
        <f>VLOOKUP(E4846,dicionario!$A$1:$C5245,2,0)</f>
        <v>Oldenlandia corymbosa</v>
      </c>
      <c r="H4846" s="6" t="str">
        <f>VLOOKUP(E4846,dicionario!$A$1:$C5245,3,0)</f>
        <v>erva-diamante</v>
      </c>
    </row>
    <row r="4847">
      <c r="A4847" s="3">
        <v>45673.0</v>
      </c>
      <c r="B4847" s="4">
        <v>0.30833333333333335</v>
      </c>
      <c r="C4847" s="5" t="s">
        <v>59</v>
      </c>
      <c r="D4847" s="5" t="s">
        <v>1082</v>
      </c>
      <c r="E4847" s="8" t="s">
        <v>53</v>
      </c>
      <c r="F4847" s="7" t="s">
        <v>54</v>
      </c>
      <c r="G4847" s="6" t="str">
        <f>VLOOKUP(E4847,dicionario!$A$1:$C5246,2,0)</f>
        <v>Turnera subulata</v>
      </c>
      <c r="H4847" s="6" t="str">
        <f>VLOOKUP(E4847,dicionario!$A$1:$C5246,3,0)</f>
        <v>xanana</v>
      </c>
    </row>
    <row r="4848">
      <c r="A4848" s="3">
        <v>45673.0</v>
      </c>
      <c r="B4848" s="4">
        <v>0.30833333333333335</v>
      </c>
      <c r="C4848" s="5" t="s">
        <v>59</v>
      </c>
      <c r="D4848" s="5" t="s">
        <v>1082</v>
      </c>
      <c r="E4848" s="8" t="s">
        <v>489</v>
      </c>
      <c r="F4848" s="5" t="s">
        <v>521</v>
      </c>
      <c r="G4848" s="6" t="str">
        <f>VLOOKUP(E4848,dicionario!$A$1:$C5247,2,0)</f>
        <v>Cenchrus echinatus</v>
      </c>
      <c r="H4848" s="6" t="str">
        <f>VLOOKUP(E4848,dicionario!$A$1:$C5247,3,0)</f>
        <v>capim-carrapicho</v>
      </c>
    </row>
    <row r="4849">
      <c r="A4849" s="3">
        <v>45673.0</v>
      </c>
      <c r="B4849" s="4">
        <v>0.30833333333333335</v>
      </c>
      <c r="C4849" s="5" t="s">
        <v>59</v>
      </c>
      <c r="D4849" s="5" t="s">
        <v>1082</v>
      </c>
      <c r="E4849" s="8" t="s">
        <v>48</v>
      </c>
      <c r="F4849" s="5" t="s">
        <v>49</v>
      </c>
      <c r="G4849" s="6" t="str">
        <f>VLOOKUP(E4849,dicionario!$A$1:$C5248,2,0)</f>
        <v>Commelina erecta</v>
      </c>
      <c r="H4849" s="6" t="str">
        <f>VLOOKUP(E4849,dicionario!$A$1:$C5248,3,0)</f>
        <v>trapoeraba</v>
      </c>
    </row>
    <row r="4850">
      <c r="A4850" s="3">
        <v>45673.0</v>
      </c>
      <c r="B4850" s="4">
        <v>0.30833333333333335</v>
      </c>
      <c r="C4850" s="5" t="s">
        <v>59</v>
      </c>
      <c r="D4850" s="5" t="s">
        <v>1082</v>
      </c>
      <c r="E4850" s="8" t="s">
        <v>148</v>
      </c>
      <c r="F4850" s="5" t="s">
        <v>149</v>
      </c>
      <c r="G4850" s="6" t="str">
        <f>VLOOKUP(E4850,dicionario!$A$1:$C5249,2,0)</f>
        <v>Parthenium hysterophorus</v>
      </c>
      <c r="H4850" s="6" t="str">
        <f>VLOOKUP(E4850,dicionario!$A$1:$C5249,3,0)</f>
        <v>losna-branca</v>
      </c>
    </row>
    <row r="4851">
      <c r="A4851" s="3">
        <v>45673.0</v>
      </c>
      <c r="B4851" s="4">
        <v>0.30833333333333335</v>
      </c>
      <c r="C4851" s="5" t="s">
        <v>59</v>
      </c>
      <c r="D4851" s="5" t="s">
        <v>1082</v>
      </c>
      <c r="E4851" s="8" t="s">
        <v>154</v>
      </c>
      <c r="F4851" s="5" t="s">
        <v>155</v>
      </c>
      <c r="G4851" s="6" t="str">
        <f>VLOOKUP(E4851,dicionario!$A$1:$C5250,2,0)</f>
        <v>Cyperus rotundus</v>
      </c>
      <c r="H4851" s="6" t="str">
        <f>VLOOKUP(E4851,dicionario!$A$1:$C5250,3,0)</f>
        <v>tiririca</v>
      </c>
    </row>
    <row r="4852">
      <c r="A4852" s="3">
        <v>45673.0</v>
      </c>
      <c r="B4852" s="4">
        <v>0.30833333333333335</v>
      </c>
      <c r="C4852" s="5" t="s">
        <v>59</v>
      </c>
      <c r="D4852" s="5" t="s">
        <v>1082</v>
      </c>
      <c r="E4852" s="8" t="s">
        <v>1090</v>
      </c>
      <c r="F4852" s="5" t="s">
        <v>121</v>
      </c>
      <c r="G4852" s="6" t="str">
        <f>VLOOKUP(E4852,dicionario!$A$1:$C5251,2,0)</f>
        <v>#N/A</v>
      </c>
      <c r="H4852" s="6" t="str">
        <f>VLOOKUP(E4852,dicionario!$A$1:$C5251,3,0)</f>
        <v>#N/A</v>
      </c>
    </row>
    <row r="4853">
      <c r="A4853" s="3">
        <v>45673.0</v>
      </c>
      <c r="B4853" s="4">
        <v>0.30833333333333335</v>
      </c>
      <c r="C4853" s="5" t="s">
        <v>59</v>
      </c>
      <c r="D4853" s="5" t="s">
        <v>1082</v>
      </c>
      <c r="E4853" s="8" t="s">
        <v>195</v>
      </c>
      <c r="F4853" s="5" t="s">
        <v>196</v>
      </c>
      <c r="G4853" s="6" t="str">
        <f>VLOOKUP(E4853,dicionario!$A$1:$C5252,2,0)</f>
        <v>Priva lappulacea</v>
      </c>
      <c r="H4853" s="6" t="str">
        <f>VLOOKUP(E4853,dicionario!$A$1:$C5252,3,0)</f>
        <v>carrapicho</v>
      </c>
    </row>
    <row r="4854">
      <c r="A4854" s="3">
        <v>45673.0</v>
      </c>
      <c r="B4854" s="4">
        <v>0.30833333333333335</v>
      </c>
      <c r="C4854" s="5" t="s">
        <v>59</v>
      </c>
      <c r="D4854" s="5" t="s">
        <v>1082</v>
      </c>
      <c r="E4854" s="8" t="s">
        <v>296</v>
      </c>
      <c r="F4854" s="5" t="s">
        <v>297</v>
      </c>
      <c r="G4854" s="6" t="str">
        <f>VLOOKUP(E4854,dicionario!$A$1:$C5253,2,0)</f>
        <v>Richardia brasiliensis</v>
      </c>
      <c r="H4854" s="6" t="str">
        <f>VLOOKUP(E4854,dicionario!$A$1:$C5253,3,0)</f>
        <v>poaia-branca</v>
      </c>
    </row>
    <row r="4855">
      <c r="A4855" s="3">
        <v>45673.0</v>
      </c>
      <c r="B4855" s="4">
        <v>0.30833333333333335</v>
      </c>
      <c r="C4855" s="5" t="s">
        <v>59</v>
      </c>
      <c r="D4855" s="5" t="s">
        <v>1082</v>
      </c>
      <c r="E4855" s="8" t="s">
        <v>146</v>
      </c>
      <c r="F4855" s="5" t="s">
        <v>147</v>
      </c>
      <c r="G4855" s="6" t="str">
        <f>VLOOKUP(E4855,dicionario!$A$1:$C5254,2,0)</f>
        <v>Euphorbia hirta</v>
      </c>
      <c r="H4855" s="6" t="str">
        <f>VLOOKUP(E4855,dicionario!$A$1:$C5254,3,0)</f>
        <v>erva-de-santa-luzia</v>
      </c>
    </row>
    <row r="4856">
      <c r="A4856" s="3">
        <v>45673.0</v>
      </c>
      <c r="B4856" s="4">
        <v>0.30833333333333335</v>
      </c>
      <c r="C4856" s="5" t="s">
        <v>59</v>
      </c>
      <c r="D4856" s="5" t="s">
        <v>1082</v>
      </c>
      <c r="E4856" s="8" t="s">
        <v>267</v>
      </c>
      <c r="F4856" s="5" t="s">
        <v>553</v>
      </c>
      <c r="G4856" s="6" t="str">
        <f>VLOOKUP(E4856,dicionario!$A$1:$C5255,2,0)</f>
        <v>Solanum americanum</v>
      </c>
      <c r="H4856" s="6" t="str">
        <f>VLOOKUP(E4856,dicionario!$A$1:$C5255,3,0)</f>
        <v>maria-pretinha</v>
      </c>
    </row>
    <row r="4857">
      <c r="A4857" s="3">
        <v>45673.0</v>
      </c>
      <c r="B4857" s="4">
        <v>0.3090277777777778</v>
      </c>
      <c r="C4857" s="5" t="s">
        <v>59</v>
      </c>
      <c r="D4857" s="5" t="s">
        <v>1082</v>
      </c>
      <c r="E4857" s="8" t="s">
        <v>355</v>
      </c>
      <c r="F4857" s="5" t="s">
        <v>356</v>
      </c>
      <c r="G4857" s="6" t="str">
        <f>VLOOKUP(E4857,dicionario!$A$1:$C5256,2,0)</f>
        <v>Boerhavia diffusa</v>
      </c>
      <c r="H4857" s="6" t="str">
        <f>VLOOKUP(E4857,dicionario!$A$1:$C5256,3,0)</f>
        <v>erva-tostão</v>
      </c>
    </row>
    <row r="4858">
      <c r="A4858" s="3">
        <v>45673.0</v>
      </c>
      <c r="B4858" s="4">
        <v>0.3090277777777778</v>
      </c>
      <c r="C4858" s="5" t="s">
        <v>59</v>
      </c>
      <c r="D4858" s="5" t="s">
        <v>1082</v>
      </c>
      <c r="E4858" s="8" t="s">
        <v>467</v>
      </c>
      <c r="F4858" s="5" t="s">
        <v>468</v>
      </c>
      <c r="G4858" s="6" t="str">
        <f>VLOOKUP(E4858,dicionario!$A$1:$C5257,2,0)</f>
        <v>Eleusine indica</v>
      </c>
      <c r="H4858" s="6" t="str">
        <f>VLOOKUP(E4858,dicionario!$A$1:$C5257,3,0)</f>
        <v>capim-pé-de-galinha</v>
      </c>
    </row>
    <row r="4859">
      <c r="A4859" s="3">
        <v>45673.0</v>
      </c>
      <c r="B4859" s="4">
        <v>0.3090277777777778</v>
      </c>
      <c r="C4859" s="5" t="s">
        <v>59</v>
      </c>
      <c r="D4859" s="5" t="s">
        <v>1082</v>
      </c>
      <c r="E4859" s="8" t="s">
        <v>483</v>
      </c>
      <c r="F4859" s="5" t="s">
        <v>484</v>
      </c>
      <c r="G4859" s="6" t="str">
        <f>VLOOKUP(E4859,dicionario!$A$1:$C5258,2,0)</f>
        <v>Euphorbia prostrata</v>
      </c>
      <c r="H4859" s="6" t="str">
        <f>VLOOKUP(E4859,dicionario!$A$1:$C5258,3,0)</f>
        <v>quebra-pedra-rasteira</v>
      </c>
    </row>
    <row r="4860">
      <c r="A4860" s="3">
        <v>45673.0</v>
      </c>
      <c r="B4860" s="4">
        <v>0.3090277777777778</v>
      </c>
      <c r="C4860" s="5" t="s">
        <v>59</v>
      </c>
      <c r="D4860" s="5" t="s">
        <v>1082</v>
      </c>
      <c r="E4860" s="8" t="s">
        <v>239</v>
      </c>
      <c r="F4860" s="5" t="s">
        <v>240</v>
      </c>
      <c r="G4860" s="6" t="str">
        <f>VLOOKUP(E4860,dicionario!$A$1:$C5259,2,0)</f>
        <v>Gomphrena celosioides</v>
      </c>
      <c r="H4860" s="6" t="str">
        <f>VLOOKUP(E4860,dicionario!$A$1:$C5259,3,0)</f>
        <v>perpétua-branca</v>
      </c>
    </row>
    <row r="4861">
      <c r="A4861" s="3">
        <v>45673.0</v>
      </c>
      <c r="B4861" s="4">
        <v>0.3090277777777778</v>
      </c>
      <c r="C4861" s="5" t="s">
        <v>59</v>
      </c>
      <c r="D4861" s="5" t="s">
        <v>1082</v>
      </c>
      <c r="E4861" s="6" t="s">
        <v>298</v>
      </c>
      <c r="F4861" s="5" t="s">
        <v>739</v>
      </c>
      <c r="G4861" s="6" t="str">
        <f>VLOOKUP(E4861,dicionario!$A$1:$C5260,2,0)</f>
        <v>Alysicarpus vaginalis</v>
      </c>
      <c r="H4861" s="6" t="str">
        <f>VLOOKUP(E4861,dicionario!$A$1:$C5260,3,0)</f>
        <v/>
      </c>
    </row>
    <row r="4862">
      <c r="A4862" s="3">
        <v>45673.0</v>
      </c>
      <c r="B4862" s="4">
        <v>0.3090277777777778</v>
      </c>
      <c r="C4862" s="5" t="s">
        <v>59</v>
      </c>
      <c r="D4862" s="5" t="s">
        <v>1082</v>
      </c>
      <c r="E4862" s="8" t="s">
        <v>682</v>
      </c>
      <c r="F4862" s="5" t="s">
        <v>683</v>
      </c>
      <c r="G4862" s="6" t="str">
        <f>VLOOKUP(E4862,dicionario!$A$1:$C5261,2,0)</f>
        <v>Lagria villosa</v>
      </c>
      <c r="H4862" s="6" t="str">
        <f>VLOOKUP(E4862,dicionario!$A$1:$C5261,3,0)</f>
        <v>bicho-capixaba</v>
      </c>
    </row>
    <row r="4863">
      <c r="A4863" s="3">
        <v>45673.0</v>
      </c>
      <c r="B4863" s="4">
        <v>0.3090277777777778</v>
      </c>
      <c r="C4863" s="5" t="s">
        <v>59</v>
      </c>
      <c r="D4863" s="5" t="s">
        <v>1082</v>
      </c>
      <c r="E4863" s="8" t="s">
        <v>48</v>
      </c>
      <c r="F4863" s="5" t="s">
        <v>49</v>
      </c>
      <c r="G4863" s="6" t="str">
        <f>VLOOKUP(E4863,dicionario!$A$1:$C5262,2,0)</f>
        <v>Commelina erecta</v>
      </c>
      <c r="H4863" s="6" t="str">
        <f>VLOOKUP(E4863,dicionario!$A$1:$C5262,3,0)</f>
        <v>trapoeraba</v>
      </c>
    </row>
    <row r="4864">
      <c r="A4864" s="3">
        <v>45673.0</v>
      </c>
      <c r="B4864" s="4">
        <v>0.30972222222222223</v>
      </c>
      <c r="C4864" s="5" t="s">
        <v>59</v>
      </c>
      <c r="D4864" s="5" t="s">
        <v>1082</v>
      </c>
      <c r="E4864" s="8" t="s">
        <v>849</v>
      </c>
      <c r="F4864" s="5" t="s">
        <v>849</v>
      </c>
      <c r="G4864" s="6" t="str">
        <f>VLOOKUP(E4864,dicionario!$A$1:$C5263,2,0)</f>
        <v>#N/A</v>
      </c>
      <c r="H4864" s="6" t="str">
        <f>VLOOKUP(E4864,dicionario!$A$1:$C5263,3,0)</f>
        <v>#N/A</v>
      </c>
    </row>
    <row r="4865">
      <c r="A4865" s="3">
        <v>45673.0</v>
      </c>
      <c r="B4865" s="4">
        <v>0.30972222222222223</v>
      </c>
      <c r="C4865" s="5" t="s">
        <v>59</v>
      </c>
      <c r="D4865" s="5" t="s">
        <v>1082</v>
      </c>
      <c r="E4865" s="8" t="s">
        <v>286</v>
      </c>
      <c r="F4865" s="5" t="s">
        <v>287</v>
      </c>
      <c r="G4865" s="6" t="str">
        <f>VLOOKUP(E4865,dicionario!$A$1:$C5264,2,0)</f>
        <v>Setaria parviflora</v>
      </c>
      <c r="H4865" s="6" t="str">
        <f>VLOOKUP(E4865,dicionario!$A$1:$C5264,3,0)</f>
        <v>capim-rabo-de-raposa</v>
      </c>
    </row>
    <row r="4866">
      <c r="A4866" s="3">
        <v>45673.0</v>
      </c>
      <c r="B4866" s="4">
        <v>0.30972222222222223</v>
      </c>
      <c r="C4866" s="5" t="s">
        <v>59</v>
      </c>
      <c r="D4866" s="5" t="s">
        <v>1082</v>
      </c>
      <c r="E4866" s="8" t="s">
        <v>150</v>
      </c>
      <c r="F4866" s="5" t="s">
        <v>151</v>
      </c>
      <c r="G4866" s="6" t="str">
        <f>VLOOKUP(E4866,dicionario!$A$1:$C5265,2,0)</f>
        <v>Amaranthus viridis</v>
      </c>
      <c r="H4866" s="6" t="str">
        <f>VLOOKUP(E4866,dicionario!$A$1:$C5265,3,0)</f>
        <v>caruru-de-mancha</v>
      </c>
    </row>
    <row r="4867">
      <c r="A4867" s="3">
        <v>45673.0</v>
      </c>
      <c r="B4867" s="4">
        <v>0.3104166666666667</v>
      </c>
      <c r="C4867" s="5" t="s">
        <v>59</v>
      </c>
      <c r="D4867" s="5" t="s">
        <v>1082</v>
      </c>
      <c r="E4867" s="8" t="s">
        <v>471</v>
      </c>
      <c r="F4867" s="5" t="s">
        <v>472</v>
      </c>
      <c r="G4867" s="6" t="str">
        <f>VLOOKUP(E4867,dicionario!$A$1:$C5266,2,0)</f>
        <v>Sida acuta</v>
      </c>
      <c r="H4867" s="6" t="str">
        <f>VLOOKUP(E4867,dicionario!$A$1:$C5266,3,0)</f>
        <v>reloginho</v>
      </c>
    </row>
    <row r="4868">
      <c r="A4868" s="3">
        <v>45673.0</v>
      </c>
      <c r="B4868" s="4">
        <v>0.3104166666666667</v>
      </c>
      <c r="C4868" s="5" t="s">
        <v>59</v>
      </c>
      <c r="D4868" s="5" t="s">
        <v>1082</v>
      </c>
      <c r="E4868" s="8" t="s">
        <v>566</v>
      </c>
      <c r="F4868" s="5" t="s">
        <v>567</v>
      </c>
      <c r="G4868" s="6" t="str">
        <f>VLOOKUP(E4868,dicionario!$A$1:$C5267,2,0)</f>
        <v>Baccharis dracunculifolia</v>
      </c>
      <c r="H4868" s="6" t="str">
        <f>VLOOKUP(E4868,dicionario!$A$1:$C5267,3,0)</f>
        <v>vassoura</v>
      </c>
    </row>
    <row r="4869">
      <c r="A4869" s="3">
        <v>45673.0</v>
      </c>
      <c r="B4869" s="4">
        <v>0.3104166666666667</v>
      </c>
      <c r="C4869" s="5" t="s">
        <v>59</v>
      </c>
      <c r="D4869" s="5" t="s">
        <v>1082</v>
      </c>
      <c r="E4869" s="8" t="s">
        <v>262</v>
      </c>
      <c r="F4869" s="7" t="s">
        <v>263</v>
      </c>
      <c r="G4869" s="6" t="str">
        <f>VLOOKUP(E4869,dicionario!$A$1:$C5268,2,0)</f>
        <v>Portulaca oleracea</v>
      </c>
      <c r="H4869" s="6" t="str">
        <f>VLOOKUP(E4869,dicionario!$A$1:$C5268,3,0)</f>
        <v>beldroega</v>
      </c>
    </row>
    <row r="4870">
      <c r="A4870" s="3">
        <v>45673.0</v>
      </c>
      <c r="B4870" s="4">
        <v>0.3104166666666667</v>
      </c>
      <c r="C4870" s="5" t="s">
        <v>59</v>
      </c>
      <c r="D4870" s="5" t="s">
        <v>1082</v>
      </c>
      <c r="E4870" s="8" t="s">
        <v>41</v>
      </c>
      <c r="F4870" s="5" t="s">
        <v>45</v>
      </c>
      <c r="G4870" s="6" t="str">
        <f>VLOOKUP(E4870,dicionario!$A$1:$C5269,2,0)</f>
        <v>Mimosa pudica</v>
      </c>
      <c r="H4870" s="6" t="str">
        <f>VLOOKUP(E4870,dicionario!$A$1:$C5269,3,0)</f>
        <v>dormideira</v>
      </c>
    </row>
    <row r="4871">
      <c r="A4871" s="3">
        <v>45673.0</v>
      </c>
      <c r="B4871" s="4">
        <v>0.3104166666666667</v>
      </c>
      <c r="C4871" s="5" t="s">
        <v>59</v>
      </c>
      <c r="D4871" s="5" t="s">
        <v>1082</v>
      </c>
      <c r="E4871" s="6" t="s">
        <v>532</v>
      </c>
      <c r="F4871" s="7" t="s">
        <v>533</v>
      </c>
      <c r="G4871" s="6" t="str">
        <f>VLOOKUP(E4871,dicionario!$A$1:$C5270,2,0)</f>
        <v>Euphorbia heterophylla</v>
      </c>
      <c r="H4871" s="6" t="str">
        <f>VLOOKUP(E4871,dicionario!$A$1:$C5270,3,0)</f>
        <v>amendoim-bravo</v>
      </c>
    </row>
    <row r="4872">
      <c r="A4872" s="3">
        <v>45673.0</v>
      </c>
      <c r="B4872" s="4">
        <v>0.3104166666666667</v>
      </c>
      <c r="C4872" s="5" t="s">
        <v>59</v>
      </c>
      <c r="D4872" s="5" t="s">
        <v>1082</v>
      </c>
      <c r="E4872" s="8" t="s">
        <v>946</v>
      </c>
      <c r="F4872" s="5" t="s">
        <v>1091</v>
      </c>
      <c r="G4872" s="6" t="str">
        <f>VLOOKUP(E4872,dicionario!$A$1:$C5271,2,0)</f>
        <v>Thorybes dorantes</v>
      </c>
      <c r="H4872" s="6" t="str">
        <f>VLOOKUP(E4872,dicionario!$A$1:$C5271,3,0)</f>
        <v>mariposa-de-cauda-lilás</v>
      </c>
    </row>
    <row r="4873">
      <c r="A4873" s="3">
        <v>45673.0</v>
      </c>
      <c r="B4873" s="4">
        <v>0.3111111111111111</v>
      </c>
      <c r="C4873" s="5" t="s">
        <v>59</v>
      </c>
      <c r="D4873" s="5" t="s">
        <v>1082</v>
      </c>
      <c r="E4873" s="8" t="s">
        <v>177</v>
      </c>
      <c r="F4873" s="5" t="s">
        <v>178</v>
      </c>
      <c r="G4873" s="6" t="str">
        <f>VLOOKUP(E4873,dicionario!$A$1:$C5272,2,0)</f>
        <v>Elaenia flavogaster</v>
      </c>
      <c r="H4873" s="6" t="str">
        <f>VLOOKUP(E4873,dicionario!$A$1:$C5272,3,0)</f>
        <v>guaracava-de-barriga-amarela</v>
      </c>
    </row>
    <row r="4874">
      <c r="A4874" s="3">
        <v>45673.0</v>
      </c>
      <c r="B4874" s="4">
        <v>0.3111111111111111</v>
      </c>
      <c r="C4874" s="5" t="s">
        <v>59</v>
      </c>
      <c r="D4874" s="5" t="s">
        <v>1082</v>
      </c>
      <c r="E4874" s="8" t="s">
        <v>613</v>
      </c>
      <c r="F4874" s="5" t="s">
        <v>614</v>
      </c>
      <c r="G4874" s="6" t="str">
        <f>VLOOKUP(E4874,dicionario!$A$1:$C5273,2,0)</f>
        <v>Euphorbia hyssopifolia</v>
      </c>
      <c r="H4874" s="6" t="str">
        <f>VLOOKUP(E4874,dicionario!$A$1:$C5273,3,0)</f>
        <v>maria-leite</v>
      </c>
    </row>
    <row r="4875">
      <c r="A4875" s="3">
        <v>45673.0</v>
      </c>
      <c r="B4875" s="4">
        <v>0.3111111111111111</v>
      </c>
      <c r="C4875" s="5" t="s">
        <v>59</v>
      </c>
      <c r="D4875" s="5" t="s">
        <v>1082</v>
      </c>
      <c r="E4875" s="8" t="s">
        <v>353</v>
      </c>
      <c r="F4875" s="5" t="s">
        <v>354</v>
      </c>
      <c r="G4875" s="6" t="str">
        <f>VLOOKUP(E4875,dicionario!$A$1:$C5274,2,0)</f>
        <v>Desmodium incanum</v>
      </c>
      <c r="H4875" s="6" t="str">
        <f>VLOOKUP(E4875,dicionario!$A$1:$C5274,3,0)</f>
        <v>pega-pega</v>
      </c>
    </row>
    <row r="4876">
      <c r="A4876" s="3">
        <v>45673.0</v>
      </c>
      <c r="B4876" s="4">
        <v>0.3111111111111111</v>
      </c>
      <c r="C4876" s="5" t="s">
        <v>59</v>
      </c>
      <c r="D4876" s="5" t="s">
        <v>1082</v>
      </c>
      <c r="E4876" s="8" t="s">
        <v>938</v>
      </c>
      <c r="F4876" s="5" t="s">
        <v>737</v>
      </c>
      <c r="G4876" s="6" t="str">
        <f>VLOOKUP(E4876,dicionario!$A$1:$C5275,2,0)</f>
        <v>Chloris barbata</v>
      </c>
      <c r="H4876" s="6" t="str">
        <f>VLOOKUP(E4876,dicionario!$A$1:$C5275,3,0)</f>
        <v/>
      </c>
    </row>
    <row r="4877">
      <c r="A4877" s="3">
        <v>45673.0</v>
      </c>
      <c r="B4877" s="4">
        <v>0.3111111111111111</v>
      </c>
      <c r="C4877" s="5" t="s">
        <v>59</v>
      </c>
      <c r="D4877" s="5" t="s">
        <v>1082</v>
      </c>
      <c r="E4877" s="8" t="s">
        <v>135</v>
      </c>
      <c r="F4877" s="5" t="s">
        <v>136</v>
      </c>
      <c r="G4877" s="6" t="str">
        <f>VLOOKUP(E4877,dicionario!$A$1:$C5276,2,0)</f>
        <v>Tridax procumbens</v>
      </c>
      <c r="H4877" s="6" t="str">
        <f>VLOOKUP(E4877,dicionario!$A$1:$C5276,3,0)</f>
        <v>erva-de-touro</v>
      </c>
    </row>
    <row r="4878">
      <c r="A4878" s="3">
        <v>45673.0</v>
      </c>
      <c r="B4878" s="4">
        <v>0.3111111111111111</v>
      </c>
      <c r="C4878" s="5" t="s">
        <v>59</v>
      </c>
      <c r="D4878" s="5" t="s">
        <v>1082</v>
      </c>
      <c r="E4878" s="8" t="s">
        <v>18</v>
      </c>
      <c r="F4878" s="5" t="s">
        <v>219</v>
      </c>
      <c r="G4878" s="6" t="str">
        <f>VLOOKUP(E4878,dicionario!$A$1:$C5277,2,0)</f>
        <v>Xylocopa frontalis</v>
      </c>
      <c r="H4878" s="6" t="str">
        <f>VLOOKUP(E4878,dicionario!$A$1:$C5277,3,0)</f>
        <v>Mamangava; mangangá; abelha-carpinteira</v>
      </c>
    </row>
    <row r="4879">
      <c r="A4879" s="3">
        <v>45673.0</v>
      </c>
      <c r="B4879" s="4">
        <v>0.3111111111111111</v>
      </c>
      <c r="C4879" s="5" t="s">
        <v>59</v>
      </c>
      <c r="D4879" s="5" t="s">
        <v>1082</v>
      </c>
      <c r="E4879" s="8" t="s">
        <v>111</v>
      </c>
      <c r="F4879" s="7" t="s">
        <v>112</v>
      </c>
      <c r="G4879" s="6" t="str">
        <f>VLOOKUP(E4879,dicionario!$A$1:$C5278,2,0)</f>
        <v>Trigona spinipes</v>
      </c>
      <c r="H4879" s="6" t="str">
        <f>VLOOKUP(E4879,dicionario!$A$1:$C5278,3,0)</f>
        <v>abelha-cachorro</v>
      </c>
    </row>
    <row r="4880">
      <c r="A4880" s="3">
        <v>45673.0</v>
      </c>
      <c r="B4880" s="4">
        <v>0.3111111111111111</v>
      </c>
      <c r="C4880" s="5" t="s">
        <v>59</v>
      </c>
      <c r="D4880" s="5" t="s">
        <v>1082</v>
      </c>
      <c r="E4880" s="8" t="s">
        <v>36</v>
      </c>
      <c r="F4880" s="5" t="s">
        <v>305</v>
      </c>
      <c r="G4880" s="6" t="str">
        <f>VLOOKUP(E4880,dicionario!$A$1:$C5279,2,0)</f>
        <v>Lucilia sericata</v>
      </c>
      <c r="H4880" s="6" t="str">
        <f>VLOOKUP(E4880,dicionario!$A$1:$C5279,3,0)</f>
        <v>mosca-verde</v>
      </c>
    </row>
    <row r="4881">
      <c r="A4881" s="3">
        <v>45673.0</v>
      </c>
      <c r="B4881" s="4">
        <v>0.31180555555555556</v>
      </c>
      <c r="C4881" s="5" t="s">
        <v>59</v>
      </c>
      <c r="D4881" s="5" t="s">
        <v>1082</v>
      </c>
      <c r="E4881" s="8" t="s">
        <v>684</v>
      </c>
      <c r="F4881" s="5" t="s">
        <v>685</v>
      </c>
      <c r="G4881" s="6" t="str">
        <f>VLOOKUP(E4881,dicionario!$A$1:$C5280,2,0)</f>
        <v>Columbina squammata</v>
      </c>
      <c r="H4881" s="6" t="str">
        <f>VLOOKUP(E4881,dicionario!$A$1:$C5280,3,0)</f>
        <v>rolinha-fogo-apagou</v>
      </c>
    </row>
    <row r="4882">
      <c r="A4882" s="3">
        <v>45673.0</v>
      </c>
      <c r="B4882" s="4">
        <v>0.31180555555555556</v>
      </c>
      <c r="C4882" s="5" t="s">
        <v>59</v>
      </c>
      <c r="D4882" s="5" t="s">
        <v>1082</v>
      </c>
      <c r="E4882" s="8" t="s">
        <v>366</v>
      </c>
      <c r="F4882" s="5" t="s">
        <v>367</v>
      </c>
      <c r="G4882" s="6" t="str">
        <f>VLOOKUP(E4882,dicionario!$A$1:$C5281,2,0)</f>
        <v>Alternanthera ficoidea</v>
      </c>
      <c r="H4882" s="6" t="str">
        <f>VLOOKUP(E4882,dicionario!$A$1:$C5281,3,0)</f>
        <v>quebra-panela</v>
      </c>
    </row>
    <row r="4883">
      <c r="A4883" s="3">
        <v>45673.0</v>
      </c>
      <c r="B4883" s="4">
        <v>0.31180555555555556</v>
      </c>
      <c r="C4883" s="5" t="s">
        <v>59</v>
      </c>
      <c r="D4883" s="5" t="s">
        <v>1082</v>
      </c>
      <c r="E4883" s="8" t="s">
        <v>740</v>
      </c>
      <c r="F4883" s="5" t="s">
        <v>741</v>
      </c>
      <c r="G4883" s="6" t="str">
        <f>VLOOKUP(E4883,dicionario!$A$1:$C5282,2,0)</f>
        <v>Melothria cucumis</v>
      </c>
      <c r="H4883" s="6" t="str">
        <f>VLOOKUP(E4883,dicionario!$A$1:$C5282,3,0)</f>
        <v>pepino-do-mato</v>
      </c>
    </row>
    <row r="4884">
      <c r="A4884" s="3">
        <v>45673.0</v>
      </c>
      <c r="B4884" s="4">
        <v>0.3125</v>
      </c>
      <c r="C4884" s="5" t="s">
        <v>59</v>
      </c>
      <c r="D4884" s="5" t="s">
        <v>1082</v>
      </c>
      <c r="E4884" s="8" t="s">
        <v>65</v>
      </c>
      <c r="F4884" s="5" t="s">
        <v>66</v>
      </c>
      <c r="G4884" s="6" t="str">
        <f>VLOOKUP(E4884,dicionario!$A$1:$C5283,2,0)</f>
        <v>Pitangus sulphutarus</v>
      </c>
      <c r="H4884" s="6" t="str">
        <f>VLOOKUP(E4884,dicionario!$A$1:$C5283,3,0)</f>
        <v>bem-te-vi</v>
      </c>
    </row>
    <row r="4885">
      <c r="A4885" s="3">
        <v>45673.0</v>
      </c>
      <c r="B4885" s="4">
        <v>0.3125</v>
      </c>
      <c r="C4885" s="5" t="s">
        <v>59</v>
      </c>
      <c r="D4885" s="5" t="s">
        <v>1082</v>
      </c>
      <c r="E4885" s="8" t="s">
        <v>109</v>
      </c>
      <c r="F4885" s="5" t="s">
        <v>110</v>
      </c>
      <c r="G4885" s="6" t="str">
        <f>VLOOKUP(E4885,dicionario!$A$1:$C5284,2,0)</f>
        <v>Tillandsia stricta</v>
      </c>
      <c r="H4885" s="6" t="str">
        <f>VLOOKUP(E4885,dicionario!$A$1:$C5284,3,0)</f>
        <v>cravo-do-mato</v>
      </c>
    </row>
    <row r="4886">
      <c r="A4886" s="3">
        <v>45673.0</v>
      </c>
      <c r="B4886" s="4">
        <v>0.3125</v>
      </c>
      <c r="C4886" s="5" t="s">
        <v>59</v>
      </c>
      <c r="D4886" s="5" t="s">
        <v>1082</v>
      </c>
      <c r="E4886" s="8" t="s">
        <v>152</v>
      </c>
      <c r="F4886" s="5" t="s">
        <v>153</v>
      </c>
      <c r="G4886" s="6" t="str">
        <f>VLOOKUP(E4886,dicionario!$A$1:$C5285,2,0)</f>
        <v>Cynodon dactylon</v>
      </c>
      <c r="H4886" s="6" t="str">
        <f>VLOOKUP(E4886,dicionario!$A$1:$C5285,3,0)</f>
        <v>grama-bermuda</v>
      </c>
    </row>
    <row r="4887">
      <c r="A4887" s="3">
        <v>45673.0</v>
      </c>
      <c r="B4887" s="4">
        <v>0.3125</v>
      </c>
      <c r="C4887" s="5" t="s">
        <v>59</v>
      </c>
      <c r="D4887" s="5" t="s">
        <v>1082</v>
      </c>
      <c r="E4887" s="8" t="s">
        <v>253</v>
      </c>
      <c r="F4887" s="5" t="s">
        <v>254</v>
      </c>
      <c r="G4887" s="6" t="str">
        <f>VLOOKUP(E4887,dicionario!$A$1:$C5286,2,0)</f>
        <v>Panicum maximum</v>
      </c>
      <c r="H4887" s="6" t="str">
        <f>VLOOKUP(E4887,dicionario!$A$1:$C5286,3,0)</f>
        <v>capim-colonião</v>
      </c>
    </row>
    <row r="4888">
      <c r="A4888" s="3">
        <v>45673.0</v>
      </c>
      <c r="B4888" s="4">
        <v>0.3125</v>
      </c>
      <c r="C4888" s="5" t="s">
        <v>59</v>
      </c>
      <c r="D4888" s="5" t="s">
        <v>1082</v>
      </c>
      <c r="E4888" s="20" t="s">
        <v>676</v>
      </c>
      <c r="F4888" s="7" t="s">
        <v>677</v>
      </c>
      <c r="G4888" s="6" t="str">
        <f>VLOOKUP(E4888,dicionario!$A$1:$C5287,2,0)</f>
        <v>Zornia latifolia</v>
      </c>
      <c r="H4888" s="6" t="str">
        <f>VLOOKUP(E4888,dicionario!$A$1:$C5287,3,0)</f>
        <v>arrozinho-do-campo</v>
      </c>
    </row>
    <row r="4889">
      <c r="A4889" s="3">
        <v>45673.0</v>
      </c>
      <c r="B4889" s="4">
        <v>0.3125</v>
      </c>
      <c r="C4889" s="5" t="s">
        <v>59</v>
      </c>
      <c r="D4889" s="5" t="s">
        <v>1082</v>
      </c>
      <c r="E4889" s="8" t="s">
        <v>144</v>
      </c>
      <c r="F4889" s="5" t="s">
        <v>145</v>
      </c>
      <c r="G4889" s="6" t="str">
        <f>VLOOKUP(E4889,dicionario!$A$1:$C5288,2,0)</f>
        <v>Gomphrena globosa</v>
      </c>
      <c r="H4889" s="6" t="str">
        <f>VLOOKUP(E4889,dicionario!$A$1:$C5288,3,0)</f>
        <v>perpétua-rosa</v>
      </c>
    </row>
    <row r="4890">
      <c r="A4890" s="3">
        <v>45673.0</v>
      </c>
      <c r="B4890" s="4">
        <v>0.31319444444444444</v>
      </c>
      <c r="C4890" s="5" t="s">
        <v>59</v>
      </c>
      <c r="D4890" s="5" t="s">
        <v>1082</v>
      </c>
      <c r="E4890" s="8" t="s">
        <v>14</v>
      </c>
      <c r="F4890" s="5" t="s">
        <v>15</v>
      </c>
      <c r="G4890" s="6" t="str">
        <f>VLOOKUP(E4890,dicionario!$A$1:$C5289,2,0)</f>
        <v>Spermacoce verticillata</v>
      </c>
      <c r="H4890" s="6" t="str">
        <f>VLOOKUP(E4890,dicionario!$A$1:$C5289,3,0)</f>
        <v>vassourinha-de-botão</v>
      </c>
    </row>
    <row r="4891">
      <c r="A4891" s="3">
        <v>45673.0</v>
      </c>
      <c r="B4891" s="4">
        <v>0.31319444444444444</v>
      </c>
      <c r="C4891" s="5" t="s">
        <v>59</v>
      </c>
      <c r="D4891" s="5" t="s">
        <v>1082</v>
      </c>
      <c r="E4891" s="8" t="s">
        <v>200</v>
      </c>
      <c r="F4891" s="5" t="s">
        <v>201</v>
      </c>
      <c r="G4891" s="6" t="str">
        <f>VLOOKUP(E4891,dicionario!$A$1:$C5290,2,0)</f>
        <v>Columbina picui </v>
      </c>
      <c r="H4891" s="6" t="str">
        <f>VLOOKUP(E4891,dicionario!$A$1:$C5290,3,0)</f>
        <v>rolinha-picuí</v>
      </c>
    </row>
    <row r="4892">
      <c r="A4892" s="3">
        <v>45673.0</v>
      </c>
      <c r="B4892" s="4">
        <v>0.31319444444444444</v>
      </c>
      <c r="C4892" s="5" t="s">
        <v>59</v>
      </c>
      <c r="D4892" s="5" t="s">
        <v>1082</v>
      </c>
      <c r="E4892" s="6" t="s">
        <v>245</v>
      </c>
      <c r="F4892" s="7" t="s">
        <v>246</v>
      </c>
      <c r="G4892" s="6" t="str">
        <f>VLOOKUP(E4892,dicionario!$A$1:$C5291,2,0)</f>
        <v>Hemiargus hanno</v>
      </c>
      <c r="H4892" s="6" t="str">
        <f>VLOOKUP(E4892,dicionario!$A$1:$C5291,3,0)</f>
        <v>borboleta-azulzinha-do-trevo</v>
      </c>
    </row>
    <row r="4893">
      <c r="A4893" s="3">
        <v>45673.0</v>
      </c>
      <c r="B4893" s="4">
        <v>0.31319444444444444</v>
      </c>
      <c r="C4893" s="5" t="s">
        <v>59</v>
      </c>
      <c r="D4893" s="5" t="s">
        <v>1082</v>
      </c>
      <c r="E4893" s="8" t="s">
        <v>46</v>
      </c>
      <c r="F4893" s="5" t="s">
        <v>47</v>
      </c>
      <c r="G4893" s="6" t="str">
        <f>VLOOKUP(E4893,dicionario!$A$1:$C5292,2,0)</f>
        <v>Chionomesa fimbriata</v>
      </c>
      <c r="H4893" s="6" t="str">
        <f>VLOOKUP(E4893,dicionario!$A$1:$C5292,3,0)</f>
        <v>beija-flor-de-garganta-verde</v>
      </c>
    </row>
    <row r="4894">
      <c r="A4894" s="3">
        <v>45673.0</v>
      </c>
      <c r="B4894" s="4">
        <v>0.3138888888888889</v>
      </c>
      <c r="C4894" s="5" t="s">
        <v>59</v>
      </c>
      <c r="D4894" s="5" t="s">
        <v>1082</v>
      </c>
      <c r="E4894" s="8" t="s">
        <v>209</v>
      </c>
      <c r="F4894" s="5" t="s">
        <v>210</v>
      </c>
      <c r="G4894" s="6" t="str">
        <f>VLOOKUP(E4894,dicionario!$A$1:$C5293,2,0)</f>
        <v>Furnarius figulus</v>
      </c>
      <c r="H4894" s="6" t="str">
        <f>VLOOKUP(E4894,dicionario!$A$1:$C5293,3,0)</f>
        <v>casaca-de-couro-da-lama</v>
      </c>
    </row>
    <row r="4895">
      <c r="A4895" s="3">
        <v>45673.0</v>
      </c>
      <c r="B4895" s="4">
        <v>0.3138888888888889</v>
      </c>
      <c r="C4895" s="5" t="s">
        <v>59</v>
      </c>
      <c r="D4895" s="5" t="s">
        <v>1082</v>
      </c>
      <c r="E4895" s="8" t="s">
        <v>935</v>
      </c>
      <c r="F4895" s="5" t="s">
        <v>936</v>
      </c>
      <c r="G4895" s="6" t="str">
        <f>VLOOKUP(E4895,dicionario!$A$1:$C5294,2,0)</f>
        <v>#N/A</v>
      </c>
      <c r="H4895" s="6" t="str">
        <f>VLOOKUP(E4895,dicionario!$A$1:$C5294,3,0)</f>
        <v>#N/A</v>
      </c>
    </row>
    <row r="4896">
      <c r="A4896" s="3">
        <v>45673.0</v>
      </c>
      <c r="B4896" s="4">
        <v>0.3145833333333333</v>
      </c>
      <c r="C4896" s="5" t="s">
        <v>59</v>
      </c>
      <c r="D4896" s="5" t="s">
        <v>1082</v>
      </c>
      <c r="E4896" s="8" t="s">
        <v>427</v>
      </c>
      <c r="F4896" s="5" t="s">
        <v>428</v>
      </c>
      <c r="G4896" s="6" t="str">
        <f>VLOOKUP(E4896,dicionario!$A$1:$C5295,2,0)</f>
        <v>Condylostylus longicornis</v>
      </c>
      <c r="H4896" s="6" t="str">
        <f>VLOOKUP(E4896,dicionario!$A$1:$C5295,3,0)</f>
        <v>mosca-de-pernas-longas</v>
      </c>
    </row>
    <row r="4897">
      <c r="A4897" s="3">
        <v>45673.0</v>
      </c>
      <c r="B4897" s="4">
        <v>0.31527777777777777</v>
      </c>
      <c r="C4897" s="5" t="s">
        <v>59</v>
      </c>
      <c r="D4897" s="5" t="s">
        <v>1082</v>
      </c>
      <c r="E4897" s="8" t="s">
        <v>648</v>
      </c>
      <c r="F4897" s="5" t="s">
        <v>649</v>
      </c>
      <c r="G4897" s="6" t="str">
        <f>VLOOKUP(E4897,dicionario!$A$1:$C5296,2,0)</f>
        <v>Burnsius orcus</v>
      </c>
      <c r="H4897" s="6" t="str">
        <f>VLOOKUP(E4897,dicionario!$A$1:$C5296,3,0)</f>
        <v/>
      </c>
    </row>
    <row r="4898">
      <c r="A4898" s="3">
        <v>45673.0</v>
      </c>
      <c r="B4898" s="4">
        <v>0.31527777777777777</v>
      </c>
      <c r="C4898" s="5" t="s">
        <v>59</v>
      </c>
      <c r="D4898" s="5" t="s">
        <v>1082</v>
      </c>
      <c r="E4898" s="8" t="s">
        <v>302</v>
      </c>
      <c r="F4898" s="5" t="s">
        <v>89</v>
      </c>
      <c r="G4898" s="6" t="str">
        <f>VLOOKUP(E4898,dicionario!$A$1:$C5297,2,0)</f>
        <v>Machetornis rixosa</v>
      </c>
      <c r="H4898" s="6" t="str">
        <f>VLOOKUP(E4898,dicionario!$A$1:$C5297,3,0)</f>
        <v>suiriri-cavaleiro</v>
      </c>
    </row>
    <row r="4899">
      <c r="A4899" s="3">
        <v>45673.0</v>
      </c>
      <c r="B4899" s="4">
        <v>0.31527777777777777</v>
      </c>
      <c r="C4899" s="5" t="s">
        <v>59</v>
      </c>
      <c r="D4899" s="5" t="s">
        <v>1082</v>
      </c>
      <c r="E4899" s="8" t="s">
        <v>243</v>
      </c>
      <c r="F4899" s="5" t="s">
        <v>244</v>
      </c>
      <c r="G4899" s="6" t="str">
        <f>VLOOKUP(E4899,dicionario!$A$1:$C5298,2,0)</f>
        <v>Macroptilium atropurpureum</v>
      </c>
      <c r="H4899" s="6" t="str">
        <f>VLOOKUP(E4899,dicionario!$A$1:$C5298,3,0)</f>
        <v>feijão-de-pombo</v>
      </c>
    </row>
    <row r="4900">
      <c r="A4900" s="3">
        <v>45673.0</v>
      </c>
      <c r="B4900" s="4">
        <v>0.3159722222222222</v>
      </c>
      <c r="C4900" s="5" t="s">
        <v>59</v>
      </c>
      <c r="D4900" s="5" t="s">
        <v>1082</v>
      </c>
      <c r="E4900" s="8" t="s">
        <v>118</v>
      </c>
      <c r="F4900" s="5" t="s">
        <v>119</v>
      </c>
      <c r="G4900" s="6" t="str">
        <f>VLOOKUP(E4900,dicionario!$A$1:$C5299,2,0)</f>
        <v>Agaricus</v>
      </c>
      <c r="H4900" s="6" t="str">
        <f>VLOOKUP(E4900,dicionario!$A$1:$C5299,3,0)</f>
        <v>cogumelo</v>
      </c>
    </row>
    <row r="4901">
      <c r="A4901" s="3">
        <v>45673.0</v>
      </c>
      <c r="B4901" s="4">
        <v>0.3159722222222222</v>
      </c>
      <c r="C4901" s="5" t="s">
        <v>59</v>
      </c>
      <c r="D4901" s="5" t="s">
        <v>1082</v>
      </c>
      <c r="E4901" s="8" t="s">
        <v>86</v>
      </c>
      <c r="F4901" s="5" t="s">
        <v>502</v>
      </c>
      <c r="G4901" s="6" t="str">
        <f>VLOOKUP(E4901,dicionario!$A$1:$C5300,2,0)</f>
        <v>Coereba flaveola</v>
      </c>
      <c r="H4901" s="6" t="str">
        <f>VLOOKUP(E4901,dicionario!$A$1:$C5300,3,0)</f>
        <v>cambacica</v>
      </c>
    </row>
    <row r="4902">
      <c r="A4902" s="3">
        <v>45673.0</v>
      </c>
      <c r="B4902" s="4">
        <v>0.31666666666666665</v>
      </c>
      <c r="C4902" s="5" t="s">
        <v>59</v>
      </c>
      <c r="D4902" s="5" t="s">
        <v>1082</v>
      </c>
      <c r="E4902" s="8" t="s">
        <v>38</v>
      </c>
      <c r="F4902" s="5" t="s">
        <v>39</v>
      </c>
      <c r="G4902" s="6" t="str">
        <f>VLOOKUP(E4902,dicionario!$A$1:$C5301,2,0)</f>
        <v>Troglodytes musculus</v>
      </c>
      <c r="H4902" s="6" t="str">
        <f>VLOOKUP(E4902,dicionario!$A$1:$C5301,3,0)</f>
        <v>curruíra</v>
      </c>
    </row>
    <row r="4903">
      <c r="A4903" s="3">
        <v>45673.0</v>
      </c>
      <c r="B4903" s="4">
        <v>0.31666666666666665</v>
      </c>
      <c r="C4903" s="5" t="s">
        <v>59</v>
      </c>
      <c r="D4903" s="5" t="s">
        <v>1082</v>
      </c>
      <c r="E4903" s="8" t="s">
        <v>83</v>
      </c>
      <c r="F4903" s="5" t="s">
        <v>84</v>
      </c>
      <c r="G4903" s="6" t="str">
        <f>VLOOKUP(E4903,dicionario!$A$1:$C5302,2,0)</f>
        <v>Anartia jatrophae</v>
      </c>
      <c r="H4903" s="6" t="str">
        <f>VLOOKUP(E4903,dicionario!$A$1:$C5302,3,0)</f>
        <v>borboleta-pavão-branco</v>
      </c>
    </row>
    <row r="4904">
      <c r="A4904" s="3">
        <v>45673.0</v>
      </c>
      <c r="B4904" s="4">
        <v>0.31666666666666665</v>
      </c>
      <c r="C4904" s="5" t="s">
        <v>59</v>
      </c>
      <c r="D4904" s="5" t="s">
        <v>1082</v>
      </c>
      <c r="E4904" s="8" t="s">
        <v>227</v>
      </c>
      <c r="F4904" s="5" t="s">
        <v>228</v>
      </c>
      <c r="G4904" s="6" t="str">
        <f>VLOOKUP(E4904,dicionario!$A$1:$C5303,2,0)</f>
        <v>Indigofera hirsuta</v>
      </c>
      <c r="H4904" s="6" t="str">
        <f>VLOOKUP(E4904,dicionario!$A$1:$C5303,3,0)</f>
        <v>anileira</v>
      </c>
    </row>
    <row r="4905">
      <c r="A4905" s="3">
        <v>45673.0</v>
      </c>
      <c r="B4905" s="4">
        <v>0.3173611111111111</v>
      </c>
      <c r="C4905" s="5" t="s">
        <v>59</v>
      </c>
      <c r="D4905" s="5" t="s">
        <v>1082</v>
      </c>
      <c r="E4905" s="8" t="s">
        <v>22</v>
      </c>
      <c r="F4905" s="5" t="s">
        <v>902</v>
      </c>
      <c r="G4905" s="6" t="str">
        <f>VLOOKUP(E4905,dicionario!$A$1:$C5304,2,0)</f>
        <v>Zenaida auriculata</v>
      </c>
      <c r="H4905" s="6" t="str">
        <f>VLOOKUP(E4905,dicionario!$A$1:$C5304,3,0)</f>
        <v>pomba-de-bando; avoante</v>
      </c>
    </row>
    <row r="4906">
      <c r="A4906" s="3">
        <v>45673.0</v>
      </c>
      <c r="B4906" s="4">
        <v>0.3173611111111111</v>
      </c>
      <c r="C4906" s="5" t="s">
        <v>59</v>
      </c>
      <c r="D4906" s="5" t="s">
        <v>1082</v>
      </c>
      <c r="E4906" s="8" t="s">
        <v>247</v>
      </c>
      <c r="F4906" s="7" t="s">
        <v>272</v>
      </c>
      <c r="G4906" s="6" t="str">
        <f>VLOOKUP(E4906,dicionario!$A$1:$C5305,2,0)</f>
        <v>Emilia sonchifolia</v>
      </c>
      <c r="H4906" s="6" t="str">
        <f>VLOOKUP(E4906,dicionario!$A$1:$C5305,3,0)</f>
        <v>serralinha</v>
      </c>
    </row>
    <row r="4907">
      <c r="A4907" s="3">
        <v>45673.0</v>
      </c>
      <c r="B4907" s="4">
        <v>0.32222222222222224</v>
      </c>
      <c r="C4907" s="5" t="s">
        <v>59</v>
      </c>
      <c r="D4907" s="5" t="s">
        <v>1082</v>
      </c>
      <c r="E4907" s="8" t="s">
        <v>195</v>
      </c>
      <c r="F4907" s="5" t="s">
        <v>196</v>
      </c>
      <c r="G4907" s="6" t="str">
        <f>VLOOKUP(E4907,dicionario!$A$1:$C5306,2,0)</f>
        <v>Priva lappulacea</v>
      </c>
      <c r="H4907" s="6" t="str">
        <f>VLOOKUP(E4907,dicionario!$A$1:$C5306,3,0)</f>
        <v>carrapicho</v>
      </c>
    </row>
    <row r="4908">
      <c r="A4908" s="3">
        <v>45673.0</v>
      </c>
      <c r="B4908" s="4">
        <v>0.32222222222222224</v>
      </c>
      <c r="C4908" s="5" t="s">
        <v>59</v>
      </c>
      <c r="D4908" s="5" t="s">
        <v>1082</v>
      </c>
      <c r="E4908" s="8" t="s">
        <v>48</v>
      </c>
      <c r="F4908" s="5" t="s">
        <v>49</v>
      </c>
      <c r="G4908" s="6" t="str">
        <f>VLOOKUP(E4908,dicionario!$A$1:$C5307,2,0)</f>
        <v>Commelina erecta</v>
      </c>
      <c r="H4908" s="6" t="str">
        <f>VLOOKUP(E4908,dicionario!$A$1:$C5307,3,0)</f>
        <v>trapoeraba</v>
      </c>
    </row>
    <row r="4909">
      <c r="A4909" s="3">
        <v>45673.0</v>
      </c>
      <c r="B4909" s="4">
        <v>0.32222222222222224</v>
      </c>
      <c r="C4909" s="5" t="s">
        <v>59</v>
      </c>
      <c r="D4909" s="5" t="s">
        <v>1082</v>
      </c>
      <c r="E4909" s="8" t="s">
        <v>467</v>
      </c>
      <c r="F4909" s="5" t="s">
        <v>468</v>
      </c>
      <c r="G4909" s="6" t="str">
        <f>VLOOKUP(E4909,dicionario!$A$1:$C5308,2,0)</f>
        <v>Eleusine indica</v>
      </c>
      <c r="H4909" s="6" t="str">
        <f>VLOOKUP(E4909,dicionario!$A$1:$C5308,3,0)</f>
        <v>capim-pé-de-galinha</v>
      </c>
    </row>
    <row r="4910">
      <c r="A4910" s="3">
        <v>45673.0</v>
      </c>
      <c r="B4910" s="4">
        <v>0.3229166666666667</v>
      </c>
      <c r="C4910" s="5" t="s">
        <v>59</v>
      </c>
      <c r="D4910" s="5" t="s">
        <v>1082</v>
      </c>
      <c r="E4910" s="8" t="s">
        <v>83</v>
      </c>
      <c r="F4910" s="5" t="s">
        <v>84</v>
      </c>
      <c r="G4910" s="6" t="str">
        <f>VLOOKUP(E4910,dicionario!$A$1:$C5309,2,0)</f>
        <v>Anartia jatrophae</v>
      </c>
      <c r="H4910" s="6" t="str">
        <f>VLOOKUP(E4910,dicionario!$A$1:$C5309,3,0)</f>
        <v>borboleta-pavão-branco</v>
      </c>
    </row>
    <row r="4911">
      <c r="A4911" s="3">
        <v>45673.0</v>
      </c>
      <c r="B4911" s="4">
        <v>0.3229166666666667</v>
      </c>
      <c r="C4911" s="5" t="s">
        <v>59</v>
      </c>
      <c r="D4911" s="5" t="s">
        <v>1082</v>
      </c>
      <c r="E4911" s="8" t="s">
        <v>286</v>
      </c>
      <c r="F4911" s="5" t="s">
        <v>287</v>
      </c>
      <c r="G4911" s="6" t="str">
        <f>VLOOKUP(E4911,dicionario!$A$1:$C5310,2,0)</f>
        <v>Setaria parviflora</v>
      </c>
      <c r="H4911" s="6" t="str">
        <f>VLOOKUP(E4911,dicionario!$A$1:$C5310,3,0)</f>
        <v>capim-rabo-de-raposa</v>
      </c>
    </row>
    <row r="4912">
      <c r="A4912" s="3">
        <v>45673.0</v>
      </c>
      <c r="B4912" s="4">
        <v>0.3229166666666667</v>
      </c>
      <c r="C4912" s="5" t="s">
        <v>59</v>
      </c>
      <c r="D4912" s="5" t="s">
        <v>1082</v>
      </c>
      <c r="E4912" s="8" t="s">
        <v>113</v>
      </c>
      <c r="F4912" s="5" t="s">
        <v>114</v>
      </c>
      <c r="G4912" s="6" t="str">
        <f>VLOOKUP(E4912,dicionario!$A$1:$C5311,2,0)</f>
        <v>Columbina talpacoti</v>
      </c>
      <c r="H4912" s="6" t="str">
        <f>VLOOKUP(E4912,dicionario!$A$1:$C5311,3,0)</f>
        <v>rolinha-roxa</v>
      </c>
    </row>
    <row r="4913">
      <c r="A4913" s="3">
        <v>45673.0</v>
      </c>
      <c r="B4913" s="4">
        <v>0.32430555555555557</v>
      </c>
      <c r="C4913" s="5" t="s">
        <v>59</v>
      </c>
      <c r="D4913" s="5" t="s">
        <v>1082</v>
      </c>
      <c r="E4913" s="8" t="s">
        <v>10</v>
      </c>
      <c r="F4913" s="5" t="s">
        <v>11</v>
      </c>
      <c r="G4913" s="6" t="str">
        <f>VLOOKUP(E4913,dicionario!$A$1:$C5312,2,0)</f>
        <v>Guira guira</v>
      </c>
      <c r="H4913" s="6" t="str">
        <f>VLOOKUP(E4913,dicionario!$A$1:$C5312,3,0)</f>
        <v>anu-branco</v>
      </c>
    </row>
    <row r="4914">
      <c r="A4914" s="3">
        <v>45673.0</v>
      </c>
      <c r="B4914" s="4">
        <v>0.32430555555555557</v>
      </c>
      <c r="C4914" s="5" t="s">
        <v>59</v>
      </c>
      <c r="D4914" s="5" t="s">
        <v>1082</v>
      </c>
      <c r="E4914" s="8" t="s">
        <v>150</v>
      </c>
      <c r="F4914" s="5" t="s">
        <v>151</v>
      </c>
      <c r="G4914" s="6" t="str">
        <f>VLOOKUP(E4914,dicionario!$A$1:$C5313,2,0)</f>
        <v>Amaranthus viridis</v>
      </c>
      <c r="H4914" s="6" t="str">
        <f>VLOOKUP(E4914,dicionario!$A$1:$C5313,3,0)</f>
        <v>caruru-de-mancha</v>
      </c>
    </row>
    <row r="4915">
      <c r="A4915" s="3">
        <v>45673.0</v>
      </c>
      <c r="B4915" s="4">
        <v>0.32430555555555557</v>
      </c>
      <c r="C4915" s="5" t="s">
        <v>59</v>
      </c>
      <c r="D4915" s="5" t="s">
        <v>1082</v>
      </c>
      <c r="E4915" s="8" t="s">
        <v>69</v>
      </c>
      <c r="F4915" s="7" t="s">
        <v>71</v>
      </c>
      <c r="G4915" s="6" t="str">
        <f>VLOOKUP(E4915,dicionario!$A$1:$C5314,2,0)</f>
        <v>Talinum fruticosum</v>
      </c>
      <c r="H4915" s="6" t="str">
        <f>VLOOKUP(E4915,dicionario!$A$1:$C5314,3,0)</f>
        <v>beldroega-grande</v>
      </c>
    </row>
    <row r="4916">
      <c r="A4916" s="3">
        <v>45673.0</v>
      </c>
      <c r="B4916" s="4">
        <v>0.32430555555555557</v>
      </c>
      <c r="C4916" s="5" t="s">
        <v>59</v>
      </c>
      <c r="D4916" s="5" t="s">
        <v>1082</v>
      </c>
      <c r="E4916" s="6" t="s">
        <v>512</v>
      </c>
      <c r="F4916" s="5" t="s">
        <v>513</v>
      </c>
      <c r="G4916" s="6" t="str">
        <f>VLOOKUP(E4916,dicionario!$A$1:$C5315,2,0)</f>
        <v>#N/A</v>
      </c>
      <c r="H4916" s="6" t="str">
        <f>VLOOKUP(E4916,dicionario!$A$1:$C5315,3,0)</f>
        <v>#N/A</v>
      </c>
    </row>
    <row r="4917">
      <c r="A4917" s="3">
        <v>45673.0</v>
      </c>
      <c r="B4917" s="4">
        <v>0.325</v>
      </c>
      <c r="C4917" s="5" t="s">
        <v>59</v>
      </c>
      <c r="D4917" s="5" t="s">
        <v>1082</v>
      </c>
      <c r="E4917" s="8" t="s">
        <v>152</v>
      </c>
      <c r="F4917" s="5" t="s">
        <v>153</v>
      </c>
      <c r="G4917" s="6" t="str">
        <f>VLOOKUP(E4917,dicionario!$A$1:$C5316,2,0)</f>
        <v>Cynodon dactylon</v>
      </c>
      <c r="H4917" s="6" t="str">
        <f>VLOOKUP(E4917,dicionario!$A$1:$C5316,3,0)</f>
        <v>grama-bermuda</v>
      </c>
    </row>
    <row r="4918">
      <c r="A4918" s="3">
        <v>45673.0</v>
      </c>
      <c r="B4918" s="4">
        <v>0.325</v>
      </c>
      <c r="C4918" s="5" t="s">
        <v>59</v>
      </c>
      <c r="D4918" s="5" t="s">
        <v>1082</v>
      </c>
      <c r="E4918" s="8" t="s">
        <v>65</v>
      </c>
      <c r="F4918" s="5" t="s">
        <v>66</v>
      </c>
      <c r="G4918" s="6" t="str">
        <f>VLOOKUP(E4918,dicionario!$A$1:$C5317,2,0)</f>
        <v>Pitangus sulphutarus</v>
      </c>
      <c r="H4918" s="6" t="str">
        <f>VLOOKUP(E4918,dicionario!$A$1:$C5317,3,0)</f>
        <v>bem-te-vi</v>
      </c>
    </row>
    <row r="4919">
      <c r="A4919" s="3">
        <v>45673.0</v>
      </c>
      <c r="B4919" s="4">
        <v>0.325</v>
      </c>
      <c r="C4919" s="5" t="s">
        <v>59</v>
      </c>
      <c r="D4919" s="5" t="s">
        <v>1082</v>
      </c>
      <c r="E4919" s="8" t="s">
        <v>1066</v>
      </c>
      <c r="F4919" s="5" t="s">
        <v>582</v>
      </c>
      <c r="G4919" s="6" t="str">
        <f>VLOOKUP(E4919,dicionario!$A$1:$C5318,2,0)</f>
        <v>#N/A</v>
      </c>
      <c r="H4919" s="6" t="str">
        <f>VLOOKUP(E4919,dicionario!$A$1:$C5318,3,0)</f>
        <v>#N/A</v>
      </c>
    </row>
    <row r="4920">
      <c r="A4920" s="3">
        <v>45673.0</v>
      </c>
      <c r="B4920" s="4">
        <v>0.325</v>
      </c>
      <c r="C4920" s="5" t="s">
        <v>59</v>
      </c>
      <c r="D4920" s="5" t="s">
        <v>1082</v>
      </c>
      <c r="E4920" s="8" t="s">
        <v>253</v>
      </c>
      <c r="F4920" s="5" t="s">
        <v>254</v>
      </c>
      <c r="G4920" s="6" t="str">
        <f>VLOOKUP(E4920,dicionario!$A$1:$C5319,2,0)</f>
        <v>Panicum maximum</v>
      </c>
      <c r="H4920" s="6" t="str">
        <f>VLOOKUP(E4920,dicionario!$A$1:$C5319,3,0)</f>
        <v>capim-colonião</v>
      </c>
    </row>
    <row r="4921">
      <c r="A4921" s="3">
        <v>45673.0</v>
      </c>
      <c r="B4921" s="4">
        <v>0.32569444444444445</v>
      </c>
      <c r="C4921" s="5" t="s">
        <v>59</v>
      </c>
      <c r="D4921" s="5" t="s">
        <v>1082</v>
      </c>
      <c r="E4921" s="8" t="s">
        <v>171</v>
      </c>
      <c r="F4921" s="5" t="s">
        <v>172</v>
      </c>
      <c r="G4921" s="6" t="str">
        <f>VLOOKUP(E4921,dicionario!$A$1:$C5320,2,0)</f>
        <v>Oxalis corniculata</v>
      </c>
      <c r="H4921" s="6" t="str">
        <f>VLOOKUP(E4921,dicionario!$A$1:$C5320,3,0)</f>
        <v>trevo-azedinho</v>
      </c>
    </row>
    <row r="4922">
      <c r="A4922" s="3">
        <v>45673.0</v>
      </c>
      <c r="B4922" s="4">
        <v>0.32569444444444445</v>
      </c>
      <c r="C4922" s="5" t="s">
        <v>59</v>
      </c>
      <c r="D4922" s="5" t="s">
        <v>1082</v>
      </c>
      <c r="E4922" s="8" t="s">
        <v>141</v>
      </c>
      <c r="F4922" s="5" t="s">
        <v>142</v>
      </c>
      <c r="G4922" s="6" t="str">
        <f>VLOOKUP(E4922,dicionario!$A$1:$C5321,2,0)</f>
        <v>Ruellia blechum</v>
      </c>
      <c r="H4922" s="6" t="str">
        <f>VLOOKUP(E4922,dicionario!$A$1:$C5321,3,0)</f>
        <v>camarão-verde</v>
      </c>
    </row>
    <row r="4923">
      <c r="A4923" s="3">
        <v>45673.0</v>
      </c>
      <c r="B4923" s="4">
        <v>0.32569444444444445</v>
      </c>
      <c r="C4923" s="5" t="s">
        <v>59</v>
      </c>
      <c r="D4923" s="5" t="s">
        <v>1082</v>
      </c>
      <c r="E4923" s="8" t="s">
        <v>648</v>
      </c>
      <c r="F4923" s="5" t="s">
        <v>649</v>
      </c>
      <c r="G4923" s="6" t="str">
        <f>VLOOKUP(E4923,dicionario!$A$1:$C5322,2,0)</f>
        <v>Burnsius orcus</v>
      </c>
      <c r="H4923" s="6" t="str">
        <f>VLOOKUP(E4923,dicionario!$A$1:$C5322,3,0)</f>
        <v/>
      </c>
    </row>
    <row r="4924">
      <c r="A4924" s="3">
        <v>45673.0</v>
      </c>
      <c r="B4924" s="4">
        <v>0.32569444444444445</v>
      </c>
      <c r="C4924" s="5" t="s">
        <v>59</v>
      </c>
      <c r="D4924" s="5" t="s">
        <v>1082</v>
      </c>
      <c r="E4924" s="8" t="s">
        <v>514</v>
      </c>
      <c r="F4924" s="7" t="s">
        <v>515</v>
      </c>
      <c r="G4924" s="6" t="str">
        <f>VLOOKUP(E4924,dicionario!$A$1:$C5323,2,0)</f>
        <v>Aedes aegypti</v>
      </c>
      <c r="H4924" s="6" t="str">
        <f>VLOOKUP(E4924,dicionario!$A$1:$C5323,3,0)</f>
        <v>mosquito-da-dengue</v>
      </c>
    </row>
    <row r="4925">
      <c r="A4925" s="3">
        <v>45673.0</v>
      </c>
      <c r="B4925" s="4">
        <v>0.32569444444444445</v>
      </c>
      <c r="C4925" s="5" t="s">
        <v>59</v>
      </c>
      <c r="D4925" s="5" t="s">
        <v>1082</v>
      </c>
      <c r="E4925" s="8" t="s">
        <v>55</v>
      </c>
      <c r="F4925" s="5" t="s">
        <v>56</v>
      </c>
      <c r="G4925" s="6" t="str">
        <f>VLOOKUP(E4925,dicionario!$A$1:$C5324,2,0)</f>
        <v>Cubaris murina</v>
      </c>
      <c r="H4925" s="6" t="str">
        <f>VLOOKUP(E4925,dicionario!$A$1:$C5324,3,0)</f>
        <v>tatuzinho-de-jardim</v>
      </c>
    </row>
    <row r="4926">
      <c r="A4926" s="3">
        <v>45673.0</v>
      </c>
      <c r="B4926" s="4">
        <v>0.3263888888888889</v>
      </c>
      <c r="C4926" s="5" t="s">
        <v>59</v>
      </c>
      <c r="D4926" s="5" t="s">
        <v>1082</v>
      </c>
      <c r="E4926" s="8" t="s">
        <v>143</v>
      </c>
      <c r="F4926" s="5" t="s">
        <v>63</v>
      </c>
      <c r="G4926" s="6" t="str">
        <f>VLOOKUP(E4926,dicionario!$A$1:$C5325,2,0)</f>
        <v>Polybia</v>
      </c>
      <c r="H4926" s="6" t="str">
        <f>VLOOKUP(E4926,dicionario!$A$1:$C5325,3,0)</f>
        <v>vespa</v>
      </c>
    </row>
    <row r="4927">
      <c r="A4927" s="3">
        <v>45673.0</v>
      </c>
      <c r="B4927" s="4">
        <v>0.3263888888888889</v>
      </c>
      <c r="C4927" s="5" t="s">
        <v>59</v>
      </c>
      <c r="D4927" s="5" t="s">
        <v>1082</v>
      </c>
      <c r="E4927" s="8" t="s">
        <v>251</v>
      </c>
      <c r="F4927" s="5" t="s">
        <v>252</v>
      </c>
      <c r="G4927" s="6" t="str">
        <f>VLOOKUP(E4927,dicionario!$A$1:$C5326,2,0)</f>
        <v>Struthanthus flexicaulis</v>
      </c>
      <c r="H4927" s="6" t="str">
        <f>VLOOKUP(E4927,dicionario!$A$1:$C5326,3,0)</f>
        <v>erva-de-passarinho</v>
      </c>
    </row>
    <row r="4928">
      <c r="A4928" s="3">
        <v>45673.0</v>
      </c>
      <c r="B4928" s="4">
        <v>0.3263888888888889</v>
      </c>
      <c r="C4928" s="5" t="s">
        <v>59</v>
      </c>
      <c r="D4928" s="5" t="s">
        <v>1082</v>
      </c>
      <c r="E4928" s="8" t="s">
        <v>122</v>
      </c>
      <c r="F4928" s="7" t="s">
        <v>123</v>
      </c>
      <c r="G4928" s="6" t="str">
        <f>VLOOKUP(E4928,dicionario!$A$1:$C5327,2,0)</f>
        <v>Todirostrum cinereum</v>
      </c>
      <c r="H4928" s="6" t="str">
        <f>VLOOKUP(E4928,dicionario!$A$1:$C5327,3,0)</f>
        <v>ferreirinho-relógio</v>
      </c>
    </row>
    <row r="4929">
      <c r="A4929" s="3">
        <v>45673.0</v>
      </c>
      <c r="B4929" s="4">
        <v>0.32708333333333334</v>
      </c>
      <c r="C4929" s="5" t="s">
        <v>59</v>
      </c>
      <c r="D4929" s="5" t="s">
        <v>1082</v>
      </c>
      <c r="E4929" s="8" t="s">
        <v>154</v>
      </c>
      <c r="F4929" s="5" t="s">
        <v>155</v>
      </c>
      <c r="G4929" s="6" t="str">
        <f>VLOOKUP(E4929,dicionario!$A$1:$C5328,2,0)</f>
        <v>Cyperus rotundus</v>
      </c>
      <c r="H4929" s="6" t="str">
        <f>VLOOKUP(E4929,dicionario!$A$1:$C5328,3,0)</f>
        <v>tiririca</v>
      </c>
    </row>
    <row r="4930">
      <c r="A4930" s="3">
        <v>45673.0</v>
      </c>
      <c r="B4930" s="4">
        <v>0.32708333333333334</v>
      </c>
      <c r="C4930" s="5" t="s">
        <v>59</v>
      </c>
      <c r="D4930" s="5" t="s">
        <v>1082</v>
      </c>
      <c r="E4930" s="8" t="s">
        <v>682</v>
      </c>
      <c r="F4930" s="5" t="s">
        <v>683</v>
      </c>
      <c r="G4930" s="6" t="str">
        <f>VLOOKUP(E4930,dicionario!$A$1:$C5329,2,0)</f>
        <v>Lagria villosa</v>
      </c>
      <c r="H4930" s="6" t="str">
        <f>VLOOKUP(E4930,dicionario!$A$1:$C5329,3,0)</f>
        <v>bicho-capixaba</v>
      </c>
    </row>
    <row r="4931">
      <c r="A4931" s="3">
        <v>45673.0</v>
      </c>
      <c r="B4931" s="4">
        <v>0.32708333333333334</v>
      </c>
      <c r="C4931" s="5" t="s">
        <v>59</v>
      </c>
      <c r="D4931" s="5" t="s">
        <v>1082</v>
      </c>
      <c r="E4931" s="8" t="s">
        <v>560</v>
      </c>
      <c r="F4931" s="5" t="s">
        <v>561</v>
      </c>
      <c r="G4931" s="6" t="str">
        <f>VLOOKUP(E4931,dicionario!$A$1:$C5330,2,0)</f>
        <v>Megarynchus pitangua</v>
      </c>
      <c r="H4931" s="6" t="str">
        <f>VLOOKUP(E4931,dicionario!$A$1:$C5330,3,0)</f>
        <v>neinei</v>
      </c>
    </row>
    <row r="4932">
      <c r="A4932" s="3">
        <v>45673.0</v>
      </c>
      <c r="B4932" s="4">
        <v>0.32708333333333334</v>
      </c>
      <c r="C4932" s="5" t="s">
        <v>59</v>
      </c>
      <c r="D4932" s="5" t="s">
        <v>1082</v>
      </c>
      <c r="E4932" s="8" t="s">
        <v>132</v>
      </c>
      <c r="F4932" s="5" t="s">
        <v>133</v>
      </c>
      <c r="G4932" s="6" t="str">
        <f>VLOOKUP(E4932,dicionario!$A$1:$C5331,2,0)</f>
        <v>Euphonia chlorotica</v>
      </c>
      <c r="H4932" s="6" t="str">
        <f>VLOOKUP(E4932,dicionario!$A$1:$C5331,3,0)</f>
        <v>fim-fim</v>
      </c>
    </row>
    <row r="4933">
      <c r="A4933" s="3">
        <v>45673.0</v>
      </c>
      <c r="B4933" s="4">
        <v>0.3277777777777778</v>
      </c>
      <c r="C4933" s="5" t="s">
        <v>59</v>
      </c>
      <c r="D4933" s="5" t="s">
        <v>1082</v>
      </c>
      <c r="E4933" s="8" t="s">
        <v>740</v>
      </c>
      <c r="F4933" s="5" t="s">
        <v>741</v>
      </c>
      <c r="G4933" s="6" t="str">
        <f>VLOOKUP(E4933,dicionario!$A$1:$C5332,2,0)</f>
        <v>Melothria cucumis</v>
      </c>
      <c r="H4933" s="6" t="str">
        <f>VLOOKUP(E4933,dicionario!$A$1:$C5332,3,0)</f>
        <v>pepino-do-mato</v>
      </c>
    </row>
    <row r="4934">
      <c r="A4934" s="3">
        <v>45673.0</v>
      </c>
      <c r="B4934" s="4">
        <v>0.3277777777777778</v>
      </c>
      <c r="C4934" s="5" t="s">
        <v>59</v>
      </c>
      <c r="D4934" s="5" t="s">
        <v>1082</v>
      </c>
      <c r="E4934" s="8" t="s">
        <v>247</v>
      </c>
      <c r="F4934" s="5" t="s">
        <v>387</v>
      </c>
      <c r="G4934" s="6" t="str">
        <f>VLOOKUP(E4934,dicionario!$A$1:$C5333,2,0)</f>
        <v>Emilia sonchifolia</v>
      </c>
      <c r="H4934" s="6" t="str">
        <f>VLOOKUP(E4934,dicionario!$A$1:$C5333,3,0)</f>
        <v>serralinha</v>
      </c>
    </row>
    <row r="4935">
      <c r="A4935" s="3">
        <v>45673.0</v>
      </c>
      <c r="B4935" s="4">
        <v>0.3277777777777778</v>
      </c>
      <c r="C4935" s="5" t="s">
        <v>59</v>
      </c>
      <c r="D4935" s="5" t="s">
        <v>1082</v>
      </c>
      <c r="E4935" s="8" t="s">
        <v>290</v>
      </c>
      <c r="F4935" s="5" t="s">
        <v>291</v>
      </c>
      <c r="G4935" s="6" t="str">
        <f>VLOOKUP(E4935,dicionario!$A$1:$C5334,2,0)</f>
        <v>Drymaria cordata</v>
      </c>
      <c r="H4935" s="6" t="str">
        <f>VLOOKUP(E4935,dicionario!$A$1:$C5334,3,0)</f>
        <v>orelha-de-rato</v>
      </c>
    </row>
    <row r="4936">
      <c r="A4936" s="3">
        <v>45673.0</v>
      </c>
      <c r="B4936" s="4">
        <v>0.3277777777777778</v>
      </c>
      <c r="C4936" s="5" t="s">
        <v>59</v>
      </c>
      <c r="D4936" s="5" t="s">
        <v>1082</v>
      </c>
      <c r="E4936" s="8" t="s">
        <v>483</v>
      </c>
      <c r="F4936" s="5" t="s">
        <v>289</v>
      </c>
      <c r="G4936" s="6" t="str">
        <f>VLOOKUP(E4936,dicionario!$A$1:$C5335,2,0)</f>
        <v>Euphorbia prostrata</v>
      </c>
      <c r="H4936" s="6" t="str">
        <f>VLOOKUP(E4936,dicionario!$A$1:$C5335,3,0)</f>
        <v>quebra-pedra-rasteira</v>
      </c>
    </row>
    <row r="4937">
      <c r="A4937" s="3">
        <v>45673.0</v>
      </c>
      <c r="B4937" s="4">
        <v>0.3277777777777778</v>
      </c>
      <c r="C4937" s="5" t="s">
        <v>59</v>
      </c>
      <c r="D4937" s="5" t="s">
        <v>1082</v>
      </c>
      <c r="E4937" s="8" t="s">
        <v>53</v>
      </c>
      <c r="F4937" s="7" t="s">
        <v>54</v>
      </c>
      <c r="G4937" s="6" t="str">
        <f>VLOOKUP(E4937,dicionario!$A$1:$C5336,2,0)</f>
        <v>Turnera subulata</v>
      </c>
      <c r="H4937" s="6" t="str">
        <f>VLOOKUP(E4937,dicionario!$A$1:$C5336,3,0)</f>
        <v>xanana</v>
      </c>
    </row>
    <row r="4938">
      <c r="A4938" s="3">
        <v>45673.0</v>
      </c>
      <c r="B4938" s="4">
        <v>0.3277777777777778</v>
      </c>
      <c r="C4938" s="5" t="s">
        <v>59</v>
      </c>
      <c r="D4938" s="5" t="s">
        <v>1082</v>
      </c>
      <c r="E4938" s="8" t="s">
        <v>135</v>
      </c>
      <c r="F4938" s="5" t="s">
        <v>136</v>
      </c>
      <c r="G4938" s="6" t="str">
        <f>VLOOKUP(E4938,dicionario!$A$1:$C5337,2,0)</f>
        <v>Tridax procumbens</v>
      </c>
      <c r="H4938" s="6" t="str">
        <f>VLOOKUP(E4938,dicionario!$A$1:$C5337,3,0)</f>
        <v>erva-de-touro</v>
      </c>
    </row>
    <row r="4939">
      <c r="A4939" s="3">
        <v>45673.0</v>
      </c>
      <c r="B4939" s="4">
        <v>0.3284722222222222</v>
      </c>
      <c r="C4939" s="5" t="s">
        <v>59</v>
      </c>
      <c r="D4939" s="5" t="s">
        <v>1082</v>
      </c>
      <c r="E4939" s="8" t="s">
        <v>401</v>
      </c>
      <c r="F4939" s="5" t="s">
        <v>464</v>
      </c>
      <c r="G4939" s="6" t="str">
        <f>VLOOKUP(E4939,dicionario!$A$1:$C5338,2,0)</f>
        <v>Cissus verticillata</v>
      </c>
      <c r="H4939" s="6" t="str">
        <f>VLOOKUP(E4939,dicionario!$A$1:$C5338,3,0)</f>
        <v>uva-do-mato</v>
      </c>
    </row>
    <row r="4940">
      <c r="A4940" s="3">
        <v>45673.0</v>
      </c>
      <c r="B4940" s="4">
        <v>0.3284722222222222</v>
      </c>
      <c r="C4940" s="5" t="s">
        <v>59</v>
      </c>
      <c r="D4940" s="5" t="s">
        <v>1082</v>
      </c>
      <c r="E4940" s="8" t="s">
        <v>148</v>
      </c>
      <c r="F4940" s="5" t="s">
        <v>149</v>
      </c>
      <c r="G4940" s="6" t="str">
        <f>VLOOKUP(E4940,dicionario!$A$1:$C5339,2,0)</f>
        <v>Parthenium hysterophorus</v>
      </c>
      <c r="H4940" s="6" t="str">
        <f>VLOOKUP(E4940,dicionario!$A$1:$C5339,3,0)</f>
        <v>losna-branca</v>
      </c>
    </row>
    <row r="4941">
      <c r="A4941" s="3">
        <v>45673.0</v>
      </c>
      <c r="B4941" s="4">
        <v>0.3284722222222222</v>
      </c>
      <c r="C4941" s="5" t="s">
        <v>59</v>
      </c>
      <c r="D4941" s="5" t="s">
        <v>1082</v>
      </c>
      <c r="E4941" s="8" t="s">
        <v>247</v>
      </c>
      <c r="F4941" s="7" t="s">
        <v>272</v>
      </c>
      <c r="G4941" s="6" t="str">
        <f>VLOOKUP(E4941,dicionario!$A$1:$C5340,2,0)</f>
        <v>Emilia sonchifolia</v>
      </c>
      <c r="H4941" s="6" t="str">
        <f>VLOOKUP(E4941,dicionario!$A$1:$C5340,3,0)</f>
        <v>serralinha</v>
      </c>
    </row>
    <row r="4942">
      <c r="A4942" s="3">
        <v>45673.0</v>
      </c>
      <c r="B4942" s="4">
        <v>0.32916666666666666</v>
      </c>
      <c r="C4942" s="5" t="s">
        <v>59</v>
      </c>
      <c r="D4942" s="5" t="s">
        <v>1082</v>
      </c>
      <c r="E4942" s="8" t="s">
        <v>296</v>
      </c>
      <c r="F4942" s="5" t="s">
        <v>297</v>
      </c>
      <c r="G4942" s="6" t="str">
        <f>VLOOKUP(E4942,dicionario!$A$1:$C5341,2,0)</f>
        <v>Richardia brasiliensis</v>
      </c>
      <c r="H4942" s="6" t="str">
        <f>VLOOKUP(E4942,dicionario!$A$1:$C5341,3,0)</f>
        <v>poaia-branca</v>
      </c>
    </row>
    <row r="4943">
      <c r="A4943" s="3">
        <v>45673.0</v>
      </c>
      <c r="B4943" s="4">
        <v>0.3298611111111111</v>
      </c>
      <c r="C4943" s="5" t="s">
        <v>59</v>
      </c>
      <c r="D4943" s="5" t="s">
        <v>1082</v>
      </c>
      <c r="E4943" s="8" t="s">
        <v>483</v>
      </c>
      <c r="F4943" s="5" t="s">
        <v>484</v>
      </c>
      <c r="G4943" s="6" t="str">
        <f>VLOOKUP(E4943,dicionario!$A$1:$C5342,2,0)</f>
        <v>Euphorbia prostrata</v>
      </c>
      <c r="H4943" s="6" t="str">
        <f>VLOOKUP(E4943,dicionario!$A$1:$C5342,3,0)</f>
        <v>quebra-pedra-rasteira</v>
      </c>
    </row>
    <row r="4944">
      <c r="A4944" s="3">
        <v>45673.0</v>
      </c>
      <c r="B4944" s="4">
        <v>0.3298611111111111</v>
      </c>
      <c r="C4944" s="5" t="s">
        <v>59</v>
      </c>
      <c r="D4944" s="5" t="s">
        <v>1082</v>
      </c>
      <c r="E4944" s="8" t="s">
        <v>146</v>
      </c>
      <c r="F4944" s="5" t="s">
        <v>147</v>
      </c>
      <c r="G4944" s="6" t="str">
        <f>VLOOKUP(E4944,dicionario!$A$1:$C5343,2,0)</f>
        <v>Euphorbia hirta</v>
      </c>
      <c r="H4944" s="6" t="str">
        <f>VLOOKUP(E4944,dicionario!$A$1:$C5343,3,0)</f>
        <v>erva-de-santa-luzia</v>
      </c>
    </row>
    <row r="4945">
      <c r="A4945" s="3">
        <v>45673.0</v>
      </c>
      <c r="B4945" s="4">
        <v>0.33055555555555555</v>
      </c>
      <c r="C4945" s="5" t="s">
        <v>59</v>
      </c>
      <c r="D4945" s="5" t="s">
        <v>1082</v>
      </c>
      <c r="E4945" s="41" t="s">
        <v>707</v>
      </c>
      <c r="F4945" s="5" t="s">
        <v>708</v>
      </c>
      <c r="G4945" s="6" t="str">
        <f>VLOOKUP(E4945,dicionario!$A$1:$C5344,2,0)</f>
        <v>#N/A</v>
      </c>
      <c r="H4945" s="6" t="str">
        <f>VLOOKUP(E4945,dicionario!$A$1:$C5344,3,0)</f>
        <v>#N/A</v>
      </c>
    </row>
    <row r="4946">
      <c r="A4946" s="3">
        <v>45673.0</v>
      </c>
      <c r="B4946" s="4">
        <v>0.33125</v>
      </c>
      <c r="C4946" s="5" t="s">
        <v>59</v>
      </c>
      <c r="D4946" s="5" t="s">
        <v>1082</v>
      </c>
      <c r="E4946" s="8" t="s">
        <v>225</v>
      </c>
      <c r="F4946" s="5" t="s">
        <v>226</v>
      </c>
      <c r="G4946" s="6" t="str">
        <f>VLOOKUP(E4946,dicionario!$A$1:$C5345,2,0)</f>
        <v>Passer domesticus</v>
      </c>
      <c r="H4946" s="6" t="str">
        <f>VLOOKUP(E4946,dicionario!$A$1:$C5345,3,0)</f>
        <v>pardal</v>
      </c>
    </row>
    <row r="4947">
      <c r="A4947" s="3">
        <v>45673.0</v>
      </c>
      <c r="B4947" s="4">
        <v>0.33125</v>
      </c>
      <c r="C4947" s="5" t="s">
        <v>59</v>
      </c>
      <c r="D4947" s="5" t="s">
        <v>1082</v>
      </c>
      <c r="E4947" s="8" t="s">
        <v>173</v>
      </c>
      <c r="F4947" s="5" t="s">
        <v>1092</v>
      </c>
      <c r="G4947" s="6" t="str">
        <f>VLOOKUP(E4947,dicionario!$A$1:$C5346,2,0)</f>
        <v>Junonia evarete</v>
      </c>
      <c r="H4947" s="6" t="str">
        <f>VLOOKUP(E4947,dicionario!$A$1:$C5346,3,0)</f>
        <v>borboleta-olho-de-pavão-diúrno</v>
      </c>
    </row>
    <row r="4948">
      <c r="A4948" s="3">
        <v>45673.0</v>
      </c>
      <c r="B4948" s="4">
        <v>0.3347222222222222</v>
      </c>
      <c r="C4948" s="5" t="s">
        <v>76</v>
      </c>
      <c r="D4948" s="5" t="s">
        <v>1082</v>
      </c>
      <c r="E4948" s="8" t="s">
        <v>401</v>
      </c>
      <c r="F4948" s="5" t="s">
        <v>464</v>
      </c>
      <c r="G4948" s="6" t="str">
        <f>VLOOKUP(E4948,dicionario!$A$1:$C5347,2,0)</f>
        <v>Cissus verticillata</v>
      </c>
      <c r="H4948" s="6" t="str">
        <f>VLOOKUP(E4948,dicionario!$A$1:$C5347,3,0)</f>
        <v>uva-do-mato</v>
      </c>
    </row>
    <row r="4949">
      <c r="A4949" s="3">
        <v>45673.0</v>
      </c>
      <c r="B4949" s="4">
        <v>0.3347222222222222</v>
      </c>
      <c r="C4949" s="5" t="s">
        <v>76</v>
      </c>
      <c r="D4949" s="5" t="s">
        <v>1082</v>
      </c>
      <c r="E4949" s="8" t="s">
        <v>381</v>
      </c>
      <c r="F4949" s="5" t="s">
        <v>382</v>
      </c>
      <c r="G4949" s="6" t="str">
        <f>VLOOKUP(E4949,dicionario!$A$1:$C5348,2,0)</f>
        <v>Pseudomyrmex</v>
      </c>
      <c r="H4949" s="6" t="str">
        <f>VLOOKUP(E4949,dicionario!$A$1:$C5348,3,0)</f>
        <v>maria-magra</v>
      </c>
    </row>
    <row r="4950">
      <c r="A4950" s="3">
        <v>45673.0</v>
      </c>
      <c r="B4950" s="4">
        <v>0.33541666666666664</v>
      </c>
      <c r="C4950" s="5" t="s">
        <v>76</v>
      </c>
      <c r="D4950" s="5" t="s">
        <v>1082</v>
      </c>
      <c r="E4950" s="8" t="s">
        <v>934</v>
      </c>
      <c r="F4950" s="5" t="s">
        <v>414</v>
      </c>
      <c r="G4950" s="6" t="str">
        <f>VLOOKUP(E4950,dicionario!$A$1:$C5349,2,0)</f>
        <v>#N/A</v>
      </c>
      <c r="H4950" s="6" t="str">
        <f>VLOOKUP(E4950,dicionario!$A$1:$C5349,3,0)</f>
        <v>#N/A</v>
      </c>
    </row>
    <row r="4951">
      <c r="A4951" s="3">
        <v>45673.0</v>
      </c>
      <c r="B4951" s="4">
        <v>0.33541666666666664</v>
      </c>
      <c r="C4951" s="5" t="s">
        <v>76</v>
      </c>
      <c r="D4951" s="5" t="s">
        <v>1082</v>
      </c>
      <c r="E4951" s="8" t="s">
        <v>290</v>
      </c>
      <c r="F4951" s="5" t="s">
        <v>291</v>
      </c>
      <c r="G4951" s="6" t="str">
        <f>VLOOKUP(E4951,dicionario!$A$1:$C5350,2,0)</f>
        <v>Drymaria cordata</v>
      </c>
      <c r="H4951" s="6" t="str">
        <f>VLOOKUP(E4951,dicionario!$A$1:$C5350,3,0)</f>
        <v>orelha-de-rato</v>
      </c>
    </row>
    <row r="4952">
      <c r="A4952" s="3">
        <v>45673.0</v>
      </c>
      <c r="B4952" s="4">
        <v>0.33541666666666664</v>
      </c>
      <c r="C4952" s="5" t="s">
        <v>76</v>
      </c>
      <c r="D4952" s="5" t="s">
        <v>1082</v>
      </c>
      <c r="E4952" s="8" t="s">
        <v>195</v>
      </c>
      <c r="F4952" s="5" t="s">
        <v>196</v>
      </c>
      <c r="G4952" s="6" t="str">
        <f>VLOOKUP(E4952,dicionario!$A$1:$C5351,2,0)</f>
        <v>Priva lappulacea</v>
      </c>
      <c r="H4952" s="6" t="str">
        <f>VLOOKUP(E4952,dicionario!$A$1:$C5351,3,0)</f>
        <v>carrapicho</v>
      </c>
    </row>
    <row r="4953">
      <c r="A4953" s="3">
        <v>45673.0</v>
      </c>
      <c r="B4953" s="4">
        <v>0.33541666666666664</v>
      </c>
      <c r="C4953" s="5" t="s">
        <v>76</v>
      </c>
      <c r="D4953" s="5" t="s">
        <v>1082</v>
      </c>
      <c r="E4953" s="8" t="s">
        <v>253</v>
      </c>
      <c r="F4953" s="5" t="s">
        <v>254</v>
      </c>
      <c r="G4953" s="6" t="str">
        <f>VLOOKUP(E4953,dicionario!$A$1:$C5352,2,0)</f>
        <v>Panicum maximum</v>
      </c>
      <c r="H4953" s="6" t="str">
        <f>VLOOKUP(E4953,dicionario!$A$1:$C5352,3,0)</f>
        <v>capim-colonião</v>
      </c>
    </row>
    <row r="4954">
      <c r="A4954" s="3">
        <v>45673.0</v>
      </c>
      <c r="B4954" s="4">
        <v>0.33541666666666664</v>
      </c>
      <c r="C4954" s="5" t="s">
        <v>76</v>
      </c>
      <c r="D4954" s="5" t="s">
        <v>1082</v>
      </c>
      <c r="E4954" s="8" t="s">
        <v>286</v>
      </c>
      <c r="F4954" s="5" t="s">
        <v>287</v>
      </c>
      <c r="G4954" s="6" t="str">
        <f>VLOOKUP(E4954,dicionario!$A$1:$C5353,2,0)</f>
        <v>Setaria parviflora</v>
      </c>
      <c r="H4954" s="6" t="str">
        <f>VLOOKUP(E4954,dicionario!$A$1:$C5353,3,0)</f>
        <v>capim-rabo-de-raposa</v>
      </c>
    </row>
    <row r="4955">
      <c r="A4955" s="3">
        <v>45673.0</v>
      </c>
      <c r="B4955" s="4">
        <v>0.33541666666666664</v>
      </c>
      <c r="C4955" s="5" t="s">
        <v>76</v>
      </c>
      <c r="D4955" s="5" t="s">
        <v>1082</v>
      </c>
      <c r="E4955" s="8" t="s">
        <v>154</v>
      </c>
      <c r="F4955" s="5" t="s">
        <v>155</v>
      </c>
      <c r="G4955" s="6" t="str">
        <f>VLOOKUP(E4955,dicionario!$A$1:$C5354,2,0)</f>
        <v>Cyperus rotundus</v>
      </c>
      <c r="H4955" s="6" t="str">
        <f>VLOOKUP(E4955,dicionario!$A$1:$C5354,3,0)</f>
        <v>tiririca</v>
      </c>
    </row>
    <row r="4956">
      <c r="A4956" s="3">
        <v>45673.0</v>
      </c>
      <c r="B4956" s="4">
        <v>0.33541666666666664</v>
      </c>
      <c r="C4956" s="5" t="s">
        <v>76</v>
      </c>
      <c r="D4956" s="5" t="s">
        <v>1082</v>
      </c>
      <c r="E4956" s="8" t="s">
        <v>144</v>
      </c>
      <c r="F4956" s="5" t="s">
        <v>145</v>
      </c>
      <c r="G4956" s="6" t="str">
        <f>VLOOKUP(E4956,dicionario!$A$1:$C5355,2,0)</f>
        <v>Gomphrena globosa</v>
      </c>
      <c r="H4956" s="6" t="str">
        <f>VLOOKUP(E4956,dicionario!$A$1:$C5355,3,0)</f>
        <v>perpétua-rosa</v>
      </c>
    </row>
    <row r="4957">
      <c r="A4957" s="3">
        <v>45673.0</v>
      </c>
      <c r="B4957" s="4">
        <v>0.33611111111111114</v>
      </c>
      <c r="C4957" s="5" t="s">
        <v>76</v>
      </c>
      <c r="D4957" s="5" t="s">
        <v>1082</v>
      </c>
      <c r="E4957" s="8" t="s">
        <v>467</v>
      </c>
      <c r="F4957" s="5" t="s">
        <v>468</v>
      </c>
      <c r="G4957" s="6" t="str">
        <f>VLOOKUP(E4957,dicionario!$A$1:$C5356,2,0)</f>
        <v>Eleusine indica</v>
      </c>
      <c r="H4957" s="6" t="str">
        <f>VLOOKUP(E4957,dicionario!$A$1:$C5356,3,0)</f>
        <v>capim-pé-de-galinha</v>
      </c>
    </row>
    <row r="4958">
      <c r="A4958" s="3">
        <v>45673.0</v>
      </c>
      <c r="B4958" s="4">
        <v>0.33611111111111114</v>
      </c>
      <c r="C4958" s="5" t="s">
        <v>76</v>
      </c>
      <c r="D4958" s="5" t="s">
        <v>1082</v>
      </c>
      <c r="E4958" s="8" t="s">
        <v>146</v>
      </c>
      <c r="F4958" s="5" t="s">
        <v>147</v>
      </c>
      <c r="G4958" s="6" t="str">
        <f>VLOOKUP(E4958,dicionario!$A$1:$C5357,2,0)</f>
        <v>Euphorbia hirta</v>
      </c>
      <c r="H4958" s="6" t="str">
        <f>VLOOKUP(E4958,dicionario!$A$1:$C5357,3,0)</f>
        <v>erva-de-santa-luzia</v>
      </c>
    </row>
    <row r="4959">
      <c r="A4959" s="3">
        <v>45673.0</v>
      </c>
      <c r="B4959" s="4">
        <v>0.33611111111111114</v>
      </c>
      <c r="C4959" s="5" t="s">
        <v>76</v>
      </c>
      <c r="D4959" s="5" t="s">
        <v>1082</v>
      </c>
      <c r="E4959" s="41" t="s">
        <v>707</v>
      </c>
      <c r="F4959" s="5" t="s">
        <v>708</v>
      </c>
      <c r="G4959" s="6" t="str">
        <f>VLOOKUP(E4959,dicionario!$A$1:$C5358,2,0)</f>
        <v>#N/A</v>
      </c>
      <c r="H4959" s="6" t="str">
        <f>VLOOKUP(E4959,dicionario!$A$1:$C5358,3,0)</f>
        <v>#N/A</v>
      </c>
    </row>
    <row r="4960">
      <c r="A4960" s="3">
        <v>45673.0</v>
      </c>
      <c r="B4960" s="4">
        <v>0.33611111111111114</v>
      </c>
      <c r="C4960" s="5" t="s">
        <v>76</v>
      </c>
      <c r="D4960" s="5" t="s">
        <v>1082</v>
      </c>
      <c r="E4960" s="8" t="s">
        <v>262</v>
      </c>
      <c r="F4960" s="7" t="s">
        <v>263</v>
      </c>
      <c r="G4960" s="6" t="str">
        <f>VLOOKUP(E4960,dicionario!$A$1:$C5359,2,0)</f>
        <v>Portulaca oleracea</v>
      </c>
      <c r="H4960" s="6" t="str">
        <f>VLOOKUP(E4960,dicionario!$A$1:$C5359,3,0)</f>
        <v>beldroega</v>
      </c>
    </row>
    <row r="4961">
      <c r="A4961" s="3">
        <v>45673.0</v>
      </c>
      <c r="B4961" s="4">
        <v>0.3368055555555556</v>
      </c>
      <c r="C4961" s="5" t="s">
        <v>76</v>
      </c>
      <c r="D4961" s="5" t="s">
        <v>1082</v>
      </c>
      <c r="E4961" s="6" t="s">
        <v>177</v>
      </c>
      <c r="F4961" s="5" t="s">
        <v>178</v>
      </c>
      <c r="G4961" s="6" t="str">
        <f>VLOOKUP(E4961,dicionario!$A$1:$C5360,2,0)</f>
        <v>Elaenia flavogaster</v>
      </c>
      <c r="H4961" s="6" t="str">
        <f>VLOOKUP(E4961,dicionario!$A$1:$C5360,3,0)</f>
        <v>guaracava-de-barriga-amarela</v>
      </c>
    </row>
    <row r="4962">
      <c r="A4962" s="3">
        <v>45673.0</v>
      </c>
      <c r="B4962" s="4">
        <v>0.3368055555555556</v>
      </c>
      <c r="C4962" s="5" t="s">
        <v>76</v>
      </c>
      <c r="D4962" s="5" t="s">
        <v>1082</v>
      </c>
      <c r="E4962" s="8" t="s">
        <v>111</v>
      </c>
      <c r="F4962" s="7" t="s">
        <v>112</v>
      </c>
      <c r="G4962" s="6" t="str">
        <f>VLOOKUP(E4962,dicionario!$A$1:$C5361,2,0)</f>
        <v>Trigona spinipes</v>
      </c>
      <c r="H4962" s="6" t="str">
        <f>VLOOKUP(E4962,dicionario!$A$1:$C5361,3,0)</f>
        <v>abelha-cachorro</v>
      </c>
    </row>
    <row r="4963">
      <c r="A4963" s="3">
        <v>45673.0</v>
      </c>
      <c r="B4963" s="4">
        <v>0.3368055555555556</v>
      </c>
      <c r="C4963" s="5" t="s">
        <v>76</v>
      </c>
      <c r="D4963" s="5" t="s">
        <v>1082</v>
      </c>
      <c r="E4963" s="8" t="s">
        <v>471</v>
      </c>
      <c r="F4963" s="5" t="s">
        <v>472</v>
      </c>
      <c r="G4963" s="6" t="str">
        <f>VLOOKUP(E4963,dicionario!$A$1:$C5362,2,0)</f>
        <v>Sida acuta</v>
      </c>
      <c r="H4963" s="6" t="str">
        <f>VLOOKUP(E4963,dicionario!$A$1:$C5362,3,0)</f>
        <v>reloginho</v>
      </c>
    </row>
    <row r="4964">
      <c r="A4964" s="3">
        <v>45673.0</v>
      </c>
      <c r="B4964" s="4">
        <v>0.3368055555555556</v>
      </c>
      <c r="C4964" s="5" t="s">
        <v>76</v>
      </c>
      <c r="D4964" s="5" t="s">
        <v>1082</v>
      </c>
      <c r="E4964" s="8" t="s">
        <v>758</v>
      </c>
      <c r="F4964" s="5" t="s">
        <v>759</v>
      </c>
      <c r="G4964" s="6" t="str">
        <f>VLOOKUP(E4964,dicionario!$A$1:$C5363,2,0)</f>
        <v>Cyperus esculentus</v>
      </c>
      <c r="H4964" s="6" t="str">
        <f>VLOOKUP(E4964,dicionario!$A$1:$C5363,3,0)</f>
        <v>tiriricão</v>
      </c>
    </row>
    <row r="4965">
      <c r="A4965" s="3">
        <v>45673.0</v>
      </c>
      <c r="B4965" s="4">
        <v>0.3368055555555556</v>
      </c>
      <c r="C4965" s="5" t="s">
        <v>76</v>
      </c>
      <c r="D4965" s="5" t="s">
        <v>1082</v>
      </c>
      <c r="E4965" s="8" t="s">
        <v>141</v>
      </c>
      <c r="F4965" s="5" t="s">
        <v>142</v>
      </c>
      <c r="G4965" s="6" t="str">
        <f>VLOOKUP(E4965,dicionario!$A$1:$C5364,2,0)</f>
        <v>Ruellia blechum</v>
      </c>
      <c r="H4965" s="6" t="str">
        <f>VLOOKUP(E4965,dicionario!$A$1:$C5364,3,0)</f>
        <v>camarão-verde</v>
      </c>
    </row>
    <row r="4966">
      <c r="A4966" s="3">
        <v>45673.0</v>
      </c>
      <c r="B4966" s="4">
        <v>0.3368055555555556</v>
      </c>
      <c r="C4966" s="5" t="s">
        <v>76</v>
      </c>
      <c r="D4966" s="5" t="s">
        <v>1082</v>
      </c>
      <c r="E4966" s="8" t="s">
        <v>886</v>
      </c>
      <c r="F4966" s="5" t="s">
        <v>887</v>
      </c>
      <c r="G4966" s="6" t="str">
        <f>VLOOKUP(E4966,dicionario!$A$1:$C5365,2,0)</f>
        <v>Oldenlandia corymbosa</v>
      </c>
      <c r="H4966" s="6" t="str">
        <f>VLOOKUP(E4966,dicionario!$A$1:$C5365,3,0)</f>
        <v>erva-diamante</v>
      </c>
    </row>
    <row r="4967">
      <c r="A4967" s="3">
        <v>45673.0</v>
      </c>
      <c r="B4967" s="4">
        <v>0.3375</v>
      </c>
      <c r="C4967" s="5" t="s">
        <v>76</v>
      </c>
      <c r="D4967" s="5" t="s">
        <v>1082</v>
      </c>
      <c r="E4967" s="8" t="s">
        <v>1087</v>
      </c>
      <c r="F4967" s="5" t="s">
        <v>1088</v>
      </c>
      <c r="G4967" s="6" t="str">
        <f>VLOOKUP(E4967,dicionario!$A$1:$C5366,2,0)</f>
        <v>Desmodium triflorum</v>
      </c>
      <c r="H4967" s="6" t="str">
        <f>VLOOKUP(E4967,dicionario!$A$1:$C5366,3,0)</f>
        <v/>
      </c>
    </row>
    <row r="4968">
      <c r="A4968" s="3">
        <v>45673.0</v>
      </c>
      <c r="B4968" s="4">
        <v>0.3375</v>
      </c>
      <c r="C4968" s="5" t="s">
        <v>76</v>
      </c>
      <c r="D4968" s="5" t="s">
        <v>1082</v>
      </c>
      <c r="E4968" s="8" t="s">
        <v>292</v>
      </c>
      <c r="F4968" s="5" t="s">
        <v>293</v>
      </c>
      <c r="G4968" s="6" t="str">
        <f>VLOOKUP(E4968,dicionario!$A$1:$C5367,2,0)</f>
        <v>Ascia monuste</v>
      </c>
      <c r="H4968" s="6" t="str">
        <f>VLOOKUP(E4968,dicionario!$A$1:$C5367,3,0)</f>
        <v>borboleta-da-couve</v>
      </c>
    </row>
    <row r="4969">
      <c r="A4969" s="3">
        <v>45673.0</v>
      </c>
      <c r="B4969" s="4">
        <v>0.3375</v>
      </c>
      <c r="C4969" s="5" t="s">
        <v>76</v>
      </c>
      <c r="D4969" s="5" t="s">
        <v>1082</v>
      </c>
      <c r="E4969" s="8" t="s">
        <v>139</v>
      </c>
      <c r="F4969" s="5" t="s">
        <v>862</v>
      </c>
      <c r="G4969" s="6" t="str">
        <f>VLOOKUP(E4969,dicionario!$A$1:$C5368,2,0)</f>
        <v>Tropidurus torquatus</v>
      </c>
      <c r="H4969" s="6" t="str">
        <f>VLOOKUP(E4969,dicionario!$A$1:$C5368,3,0)</f>
        <v>calango; tropiduro-comum</v>
      </c>
    </row>
    <row r="4970">
      <c r="A4970" s="3">
        <v>45673.0</v>
      </c>
      <c r="B4970" s="4">
        <v>0.33819444444444446</v>
      </c>
      <c r="C4970" s="5" t="s">
        <v>76</v>
      </c>
      <c r="D4970" s="5" t="s">
        <v>1082</v>
      </c>
      <c r="E4970" s="8" t="s">
        <v>173</v>
      </c>
      <c r="F4970" s="5" t="s">
        <v>336</v>
      </c>
      <c r="G4970" s="6" t="str">
        <f>VLOOKUP(E4970,dicionario!$A$1:$C5369,2,0)</f>
        <v>Junonia evarete</v>
      </c>
      <c r="H4970" s="6" t="str">
        <f>VLOOKUP(E4970,dicionario!$A$1:$C5369,3,0)</f>
        <v>borboleta-olho-de-pavão-diúrno</v>
      </c>
    </row>
    <row r="4971">
      <c r="A4971" s="3">
        <v>45673.0</v>
      </c>
      <c r="B4971" s="4">
        <v>0.33819444444444446</v>
      </c>
      <c r="C4971" s="5" t="s">
        <v>76</v>
      </c>
      <c r="D4971" s="5" t="s">
        <v>1082</v>
      </c>
      <c r="E4971" s="8" t="s">
        <v>972</v>
      </c>
      <c r="F4971" s="5" t="s">
        <v>973</v>
      </c>
      <c r="G4971" s="6" t="str">
        <f>VLOOKUP(E4971,dicionario!$A$1:$C5370,2,0)</f>
        <v>Colaptes campestris</v>
      </c>
      <c r="H4971" s="6" t="str">
        <f>VLOOKUP(E4971,dicionario!$A$1:$C5370,3,0)</f>
        <v>pica-pau-do-campo</v>
      </c>
    </row>
    <row r="4972">
      <c r="A4972" s="3">
        <v>45673.0</v>
      </c>
      <c r="B4972" s="4">
        <v>0.33819444444444446</v>
      </c>
      <c r="C4972" s="5" t="s">
        <v>76</v>
      </c>
      <c r="D4972" s="5" t="s">
        <v>1082</v>
      </c>
      <c r="E4972" s="6" t="s">
        <v>116</v>
      </c>
      <c r="F4972" s="5" t="s">
        <v>117</v>
      </c>
      <c r="G4972" s="6" t="str">
        <f>VLOOKUP(E4972,dicionario!$A$1:$C5371,2,0)</f>
        <v>Argiope argentata</v>
      </c>
      <c r="H4972" s="6" t="str">
        <f>VLOOKUP(E4972,dicionario!$A$1:$C5371,3,0)</f>
        <v>aranha-de-prata</v>
      </c>
    </row>
    <row r="4973">
      <c r="A4973" s="3">
        <v>45673.0</v>
      </c>
      <c r="B4973" s="4">
        <v>0.3388888888888889</v>
      </c>
      <c r="C4973" s="5" t="s">
        <v>76</v>
      </c>
      <c r="D4973" s="5" t="s">
        <v>1082</v>
      </c>
      <c r="E4973" s="8" t="s">
        <v>489</v>
      </c>
      <c r="F4973" s="5" t="s">
        <v>521</v>
      </c>
      <c r="G4973" s="6" t="str">
        <f>VLOOKUP(E4973,dicionario!$A$1:$C5372,2,0)</f>
        <v>Cenchrus echinatus</v>
      </c>
      <c r="H4973" s="6" t="str">
        <f>VLOOKUP(E4973,dicionario!$A$1:$C5372,3,0)</f>
        <v>capim-carrapicho</v>
      </c>
    </row>
    <row r="4974">
      <c r="A4974" s="3">
        <v>45673.0</v>
      </c>
      <c r="B4974" s="4">
        <v>0.3388888888888889</v>
      </c>
      <c r="C4974" s="5" t="s">
        <v>76</v>
      </c>
      <c r="D4974" s="5" t="s">
        <v>1082</v>
      </c>
      <c r="E4974" s="8" t="s">
        <v>152</v>
      </c>
      <c r="F4974" s="5" t="s">
        <v>153</v>
      </c>
      <c r="G4974" s="6" t="str">
        <f>VLOOKUP(E4974,dicionario!$A$1:$C5373,2,0)</f>
        <v>Cynodon dactylon</v>
      </c>
      <c r="H4974" s="6" t="str">
        <f>VLOOKUP(E4974,dicionario!$A$1:$C5373,3,0)</f>
        <v>grama-bermuda</v>
      </c>
    </row>
    <row r="4975">
      <c r="A4975" s="3">
        <v>45673.0</v>
      </c>
      <c r="B4975" s="4">
        <v>0.33958333333333335</v>
      </c>
      <c r="C4975" s="5" t="s">
        <v>76</v>
      </c>
      <c r="D4975" s="5" t="s">
        <v>1082</v>
      </c>
      <c r="E4975" s="8" t="s">
        <v>613</v>
      </c>
      <c r="F4975" s="5" t="s">
        <v>614</v>
      </c>
      <c r="G4975" s="6" t="str">
        <f>VLOOKUP(E4975,dicionario!$A$1:$C5374,2,0)</f>
        <v>Euphorbia hyssopifolia</v>
      </c>
      <c r="H4975" s="6" t="str">
        <f>VLOOKUP(E4975,dicionario!$A$1:$C5374,3,0)</f>
        <v>maria-leite</v>
      </c>
    </row>
    <row r="4976">
      <c r="A4976" s="3">
        <v>45673.0</v>
      </c>
      <c r="B4976" s="4">
        <v>0.33958333333333335</v>
      </c>
      <c r="C4976" s="5" t="s">
        <v>76</v>
      </c>
      <c r="D4976" s="5" t="s">
        <v>1082</v>
      </c>
      <c r="E4976" s="8" t="s">
        <v>150</v>
      </c>
      <c r="F4976" s="5" t="s">
        <v>151</v>
      </c>
      <c r="G4976" s="6" t="str">
        <f>VLOOKUP(E4976,dicionario!$A$1:$C5375,2,0)</f>
        <v>Amaranthus viridis</v>
      </c>
      <c r="H4976" s="6" t="str">
        <f>VLOOKUP(E4976,dicionario!$A$1:$C5375,3,0)</f>
        <v>caruru-de-mancha</v>
      </c>
    </row>
    <row r="4977">
      <c r="A4977" s="3">
        <v>45673.0</v>
      </c>
      <c r="B4977" s="4">
        <v>0.33958333333333335</v>
      </c>
      <c r="C4977" s="5" t="s">
        <v>76</v>
      </c>
      <c r="D4977" s="5" t="s">
        <v>1082</v>
      </c>
      <c r="E4977" s="8" t="s">
        <v>262</v>
      </c>
      <c r="F4977" s="7" t="s">
        <v>263</v>
      </c>
      <c r="G4977" s="6" t="str">
        <f>VLOOKUP(E4977,dicionario!$A$1:$C5376,2,0)</f>
        <v>Portulaca oleracea</v>
      </c>
      <c r="H4977" s="6" t="str">
        <f>VLOOKUP(E4977,dicionario!$A$1:$C5376,3,0)</f>
        <v>beldroega</v>
      </c>
    </row>
    <row r="4978">
      <c r="A4978" s="3">
        <v>45673.0</v>
      </c>
      <c r="B4978" s="4">
        <v>0.33958333333333335</v>
      </c>
      <c r="C4978" s="5" t="s">
        <v>76</v>
      </c>
      <c r="D4978" s="5" t="s">
        <v>1082</v>
      </c>
      <c r="E4978" s="8" t="s">
        <v>48</v>
      </c>
      <c r="F4978" s="5" t="s">
        <v>49</v>
      </c>
      <c r="G4978" s="6" t="str">
        <f>VLOOKUP(E4978,dicionario!$A$1:$C5377,2,0)</f>
        <v>Commelina erecta</v>
      </c>
      <c r="H4978" s="6" t="str">
        <f>VLOOKUP(E4978,dicionario!$A$1:$C5377,3,0)</f>
        <v>trapoeraba</v>
      </c>
    </row>
    <row r="4979">
      <c r="A4979" s="3">
        <v>45673.0</v>
      </c>
      <c r="B4979" s="4">
        <v>0.3402777777777778</v>
      </c>
      <c r="C4979" s="5" t="s">
        <v>76</v>
      </c>
      <c r="D4979" s="5" t="s">
        <v>1082</v>
      </c>
      <c r="E4979" s="6" t="s">
        <v>512</v>
      </c>
      <c r="F4979" s="5" t="s">
        <v>513</v>
      </c>
      <c r="G4979" s="6" t="str">
        <f>VLOOKUP(E4979,dicionario!$A$1:$C5378,2,0)</f>
        <v>#N/A</v>
      </c>
      <c r="H4979" s="6" t="str">
        <f>VLOOKUP(E4979,dicionario!$A$1:$C5378,3,0)</f>
        <v>#N/A</v>
      </c>
    </row>
    <row r="4980">
      <c r="A4980" s="3">
        <v>45673.0</v>
      </c>
      <c r="B4980" s="4">
        <v>0.3402777777777778</v>
      </c>
      <c r="C4980" s="5" t="s">
        <v>76</v>
      </c>
      <c r="D4980" s="5" t="s">
        <v>1082</v>
      </c>
      <c r="E4980" s="8" t="s">
        <v>631</v>
      </c>
      <c r="F4980" s="5" t="s">
        <v>632</v>
      </c>
      <c r="G4980" s="6" t="str">
        <f>VLOOKUP(E4980,dicionario!$A$1:$C5379,2,0)</f>
        <v>Chamaecrista nictitans</v>
      </c>
      <c r="H4980" s="6" t="str">
        <f>VLOOKUP(E4980,dicionario!$A$1:$C5379,3,0)</f>
        <v>falsa-dormideira</v>
      </c>
    </row>
    <row r="4981">
      <c r="A4981" s="3">
        <v>45673.0</v>
      </c>
      <c r="B4981" s="4">
        <v>0.3402777777777778</v>
      </c>
      <c r="C4981" s="5" t="s">
        <v>76</v>
      </c>
      <c r="D4981" s="5" t="s">
        <v>1082</v>
      </c>
      <c r="E4981" s="6" t="s">
        <v>682</v>
      </c>
      <c r="F4981" s="5" t="s">
        <v>683</v>
      </c>
      <c r="G4981" s="6" t="str">
        <f>VLOOKUP(E4981,dicionario!$A$1:$C5380,2,0)</f>
        <v>Lagria villosa</v>
      </c>
      <c r="H4981" s="6" t="str">
        <f>VLOOKUP(E4981,dicionario!$A$1:$C5380,3,0)</f>
        <v>bicho-capixaba</v>
      </c>
    </row>
    <row r="4982">
      <c r="A4982" s="3">
        <v>45673.0</v>
      </c>
      <c r="B4982" s="4">
        <v>0.3402777777777778</v>
      </c>
      <c r="C4982" s="5" t="s">
        <v>76</v>
      </c>
      <c r="D4982" s="5" t="s">
        <v>1082</v>
      </c>
      <c r="E4982" s="8" t="s">
        <v>648</v>
      </c>
      <c r="F4982" s="5" t="s">
        <v>649</v>
      </c>
      <c r="G4982" s="6" t="str">
        <f>VLOOKUP(E4982,dicionario!$A$1:$C5381,2,0)</f>
        <v>Burnsius orcus</v>
      </c>
      <c r="H4982" s="6" t="str">
        <f>VLOOKUP(E4982,dicionario!$A$1:$C5381,3,0)</f>
        <v/>
      </c>
    </row>
    <row r="4983">
      <c r="A4983" s="3">
        <v>45673.0</v>
      </c>
      <c r="B4983" s="4">
        <v>0.34097222222222223</v>
      </c>
      <c r="C4983" s="5" t="s">
        <v>76</v>
      </c>
      <c r="D4983" s="5" t="s">
        <v>1082</v>
      </c>
      <c r="E4983" s="8" t="s">
        <v>181</v>
      </c>
      <c r="F4983" s="5" t="s">
        <v>182</v>
      </c>
      <c r="G4983" s="6" t="str">
        <f>VLOOKUP(E4983,dicionario!$A$1:$C5382,2,0)</f>
        <v>#N/A</v>
      </c>
      <c r="H4983" s="6" t="str">
        <f>VLOOKUP(E4983,dicionario!$A$1:$C5382,3,0)</f>
        <v>#N/A</v>
      </c>
    </row>
    <row r="4984">
      <c r="A4984" s="3">
        <v>45673.0</v>
      </c>
      <c r="B4984" s="4">
        <v>0.34097222222222223</v>
      </c>
      <c r="C4984" s="5" t="s">
        <v>76</v>
      </c>
      <c r="D4984" s="5" t="s">
        <v>1082</v>
      </c>
      <c r="E4984" s="8" t="s">
        <v>471</v>
      </c>
      <c r="F4984" s="5" t="s">
        <v>472</v>
      </c>
      <c r="G4984" s="6" t="str">
        <f>VLOOKUP(E4984,dicionario!$A$1:$C5383,2,0)</f>
        <v>Sida acuta</v>
      </c>
      <c r="H4984" s="6" t="str">
        <f>VLOOKUP(E4984,dicionario!$A$1:$C5383,3,0)</f>
        <v>reloginho</v>
      </c>
    </row>
    <row r="4985">
      <c r="A4985" s="3">
        <v>45673.0</v>
      </c>
      <c r="B4985" s="4">
        <v>0.34097222222222223</v>
      </c>
      <c r="C4985" s="5" t="s">
        <v>76</v>
      </c>
      <c r="D4985" s="5" t="s">
        <v>1082</v>
      </c>
      <c r="E4985" s="6" t="s">
        <v>328</v>
      </c>
      <c r="F4985" s="5" t="s">
        <v>329</v>
      </c>
      <c r="G4985" s="6" t="str">
        <f>VLOOKUP(E4985,dicionario!$A$1:$C5384,2,0)</f>
        <v>Rivina humilis</v>
      </c>
      <c r="H4985" s="6" t="str">
        <f>VLOOKUP(E4985,dicionario!$A$1:$C5384,3,0)</f>
        <v>baga-de-sangue</v>
      </c>
    </row>
    <row r="4986">
      <c r="A4986" s="3">
        <v>45673.0</v>
      </c>
      <c r="B4986" s="4">
        <v>0.34097222222222223</v>
      </c>
      <c r="C4986" s="5" t="s">
        <v>76</v>
      </c>
      <c r="D4986" s="5" t="s">
        <v>1082</v>
      </c>
      <c r="E4986" s="8" t="s">
        <v>786</v>
      </c>
      <c r="F4986" s="5" t="s">
        <v>787</v>
      </c>
      <c r="G4986" s="6" t="str">
        <f>VLOOKUP(E4986,dicionario!$A$1:$C5385,2,0)</f>
        <v>Lycianthes asarifolia</v>
      </c>
      <c r="H4986" s="6" t="str">
        <f>VLOOKUP(E4986,dicionario!$A$1:$C5385,3,0)</f>
        <v>joá-rasteiro</v>
      </c>
    </row>
    <row r="4987">
      <c r="A4987" s="3">
        <v>45673.0</v>
      </c>
      <c r="B4987" s="4">
        <v>0.34097222222222223</v>
      </c>
      <c r="C4987" s="5" t="s">
        <v>76</v>
      </c>
      <c r="D4987" s="5" t="s">
        <v>1082</v>
      </c>
      <c r="E4987" s="8" t="s">
        <v>109</v>
      </c>
      <c r="F4987" s="5" t="s">
        <v>110</v>
      </c>
      <c r="G4987" s="6" t="str">
        <f>VLOOKUP(E4987,dicionario!$A$1:$C5386,2,0)</f>
        <v>Tillandsia stricta</v>
      </c>
      <c r="H4987" s="6" t="str">
        <f>VLOOKUP(E4987,dicionario!$A$1:$C5386,3,0)</f>
        <v>cravo-do-mato</v>
      </c>
    </row>
    <row r="4988">
      <c r="A4988" s="3">
        <v>45673.0</v>
      </c>
      <c r="B4988" s="4">
        <v>0.34097222222222223</v>
      </c>
      <c r="C4988" s="5" t="s">
        <v>76</v>
      </c>
      <c r="D4988" s="5" t="s">
        <v>1082</v>
      </c>
      <c r="E4988" s="8" t="s">
        <v>355</v>
      </c>
      <c r="F4988" s="5" t="s">
        <v>356</v>
      </c>
      <c r="G4988" s="6" t="str">
        <f>VLOOKUP(E4988,dicionario!$A$1:$C5387,2,0)</f>
        <v>Boerhavia diffusa</v>
      </c>
      <c r="H4988" s="6" t="str">
        <f>VLOOKUP(E4988,dicionario!$A$1:$C5387,3,0)</f>
        <v>erva-tostão</v>
      </c>
    </row>
    <row r="4989">
      <c r="A4989" s="3">
        <v>45673.0</v>
      </c>
      <c r="B4989" s="4">
        <v>0.34097222222222223</v>
      </c>
      <c r="C4989" s="5" t="s">
        <v>76</v>
      </c>
      <c r="D4989" s="5" t="s">
        <v>1082</v>
      </c>
      <c r="E4989" s="8" t="s">
        <v>298</v>
      </c>
      <c r="F4989" s="5" t="s">
        <v>739</v>
      </c>
      <c r="G4989" s="6" t="str">
        <f>VLOOKUP(E4989,dicionario!$A$1:$C5388,2,0)</f>
        <v>Alysicarpus vaginalis</v>
      </c>
      <c r="H4989" s="6" t="str">
        <f>VLOOKUP(E4989,dicionario!$A$1:$C5388,3,0)</f>
        <v/>
      </c>
    </row>
    <row r="4990">
      <c r="A4990" s="3">
        <v>45673.0</v>
      </c>
      <c r="B4990" s="4">
        <v>0.3416666666666667</v>
      </c>
      <c r="C4990" s="5" t="s">
        <v>76</v>
      </c>
      <c r="D4990" s="5" t="s">
        <v>1082</v>
      </c>
      <c r="E4990" s="8" t="s">
        <v>514</v>
      </c>
      <c r="F4990" s="7" t="s">
        <v>515</v>
      </c>
      <c r="G4990" s="6" t="str">
        <f>VLOOKUP(E4990,dicionario!$A$1:$C5389,2,0)</f>
        <v>Aedes aegypti</v>
      </c>
      <c r="H4990" s="6" t="str">
        <f>VLOOKUP(E4990,dicionario!$A$1:$C5389,3,0)</f>
        <v>mosquito-da-dengue</v>
      </c>
    </row>
    <row r="4991">
      <c r="A4991" s="3">
        <v>45673.0</v>
      </c>
      <c r="B4991" s="4">
        <v>0.3416666666666667</v>
      </c>
      <c r="C4991" s="5" t="s">
        <v>76</v>
      </c>
      <c r="D4991" s="5" t="s">
        <v>1082</v>
      </c>
      <c r="E4991" s="8" t="s">
        <v>144</v>
      </c>
      <c r="F4991" s="5" t="s">
        <v>145</v>
      </c>
      <c r="G4991" s="6" t="str">
        <f>VLOOKUP(E4991,dicionario!$A$1:$C5390,2,0)</f>
        <v>Gomphrena globosa</v>
      </c>
      <c r="H4991" s="6" t="str">
        <f>VLOOKUP(E4991,dicionario!$A$1:$C5390,3,0)</f>
        <v>perpétua-rosa</v>
      </c>
    </row>
    <row r="4992">
      <c r="A4992" s="3">
        <v>45673.0</v>
      </c>
      <c r="B4992" s="4">
        <v>0.3416666666666667</v>
      </c>
      <c r="C4992" s="5" t="s">
        <v>76</v>
      </c>
      <c r="D4992" s="5" t="s">
        <v>1082</v>
      </c>
      <c r="E4992" s="8" t="s">
        <v>83</v>
      </c>
      <c r="F4992" s="5" t="s">
        <v>84</v>
      </c>
      <c r="G4992" s="6" t="str">
        <f>VLOOKUP(E4992,dicionario!$A$1:$C5391,2,0)</f>
        <v>Anartia jatrophae</v>
      </c>
      <c r="H4992" s="6" t="str">
        <f>VLOOKUP(E4992,dicionario!$A$1:$C5391,3,0)</f>
        <v>borboleta-pavão-branco</v>
      </c>
    </row>
    <row r="4993">
      <c r="A4993" s="3">
        <v>45673.0</v>
      </c>
      <c r="B4993" s="4">
        <v>0.3416666666666667</v>
      </c>
      <c r="C4993" s="5" t="s">
        <v>76</v>
      </c>
      <c r="D4993" s="5" t="s">
        <v>1082</v>
      </c>
      <c r="E4993" s="8" t="s">
        <v>229</v>
      </c>
      <c r="F4993" s="5" t="s">
        <v>230</v>
      </c>
      <c r="G4993" s="6" t="str">
        <f>VLOOKUP(E4993,dicionario!$A$1:$C5392,2,0)</f>
        <v>Apis mellifera</v>
      </c>
      <c r="H4993" s="6" t="str">
        <f>VLOOKUP(E4993,dicionario!$A$1:$C5392,3,0)</f>
        <v>abelha-do-mel</v>
      </c>
    </row>
    <row r="4994">
      <c r="A4994" s="3">
        <v>45673.0</v>
      </c>
      <c r="B4994" s="4">
        <v>0.3416666666666667</v>
      </c>
      <c r="C4994" s="5" t="s">
        <v>76</v>
      </c>
      <c r="D4994" s="5" t="s">
        <v>1082</v>
      </c>
      <c r="E4994" s="32" t="s">
        <v>588</v>
      </c>
      <c r="F4994" s="5" t="s">
        <v>589</v>
      </c>
      <c r="G4994" s="6" t="str">
        <f>VLOOKUP(E4994,dicionario!$A$1:$C5393,2,0)</f>
        <v>#N/A</v>
      </c>
      <c r="H4994" s="6" t="str">
        <f>VLOOKUP(E4994,dicionario!$A$1:$C5393,3,0)</f>
        <v>#N/A</v>
      </c>
    </row>
    <row r="4995">
      <c r="A4995" s="3">
        <v>45673.0</v>
      </c>
      <c r="B4995" s="4">
        <v>0.3423611111111111</v>
      </c>
      <c r="C4995" s="5" t="s">
        <v>76</v>
      </c>
      <c r="D4995" s="5" t="s">
        <v>1082</v>
      </c>
      <c r="E4995" s="8" t="s">
        <v>185</v>
      </c>
      <c r="F4995" s="5" t="s">
        <v>186</v>
      </c>
      <c r="G4995" s="6" t="str">
        <f>VLOOKUP(E4995,dicionario!$A$1:$C5394,2,0)</f>
        <v>Ipomoea</v>
      </c>
      <c r="H4995" s="6" t="str">
        <f>VLOOKUP(E4995,dicionario!$A$1:$C5394,3,0)</f>
        <v>ipoméia</v>
      </c>
    </row>
    <row r="4996">
      <c r="A4996" s="3">
        <v>45673.0</v>
      </c>
      <c r="B4996" s="4">
        <v>0.3423611111111111</v>
      </c>
      <c r="C4996" s="5" t="s">
        <v>76</v>
      </c>
      <c r="D4996" s="5" t="s">
        <v>1082</v>
      </c>
      <c r="E4996" s="8" t="s">
        <v>425</v>
      </c>
      <c r="F4996" s="5" t="s">
        <v>426</v>
      </c>
      <c r="G4996" s="6" t="str">
        <f>VLOOKUP(E4996,dicionario!$A$1:$C5395,2,0)</f>
        <v>Digitaria insularis</v>
      </c>
      <c r="H4996" s="6" t="str">
        <f>VLOOKUP(E4996,dicionario!$A$1:$C5395,3,0)</f>
        <v>capim-amargoso</v>
      </c>
    </row>
    <row r="4997">
      <c r="A4997" s="3">
        <v>45673.0</v>
      </c>
      <c r="B4997" s="4">
        <v>0.3423611111111111</v>
      </c>
      <c r="C4997" s="5" t="s">
        <v>76</v>
      </c>
      <c r="D4997" s="5" t="s">
        <v>1082</v>
      </c>
      <c r="E4997" s="8" t="s">
        <v>173</v>
      </c>
      <c r="F4997" s="5" t="s">
        <v>336</v>
      </c>
      <c r="G4997" s="6" t="str">
        <f>VLOOKUP(E4997,dicionario!$A$1:$C5396,2,0)</f>
        <v>Junonia evarete</v>
      </c>
      <c r="H4997" s="6" t="str">
        <f>VLOOKUP(E4997,dicionario!$A$1:$C5396,3,0)</f>
        <v>borboleta-olho-de-pavão-diúrno</v>
      </c>
    </row>
    <row r="4998">
      <c r="A4998" s="3">
        <v>45673.0</v>
      </c>
      <c r="B4998" s="4">
        <v>0.3423611111111111</v>
      </c>
      <c r="C4998" s="5" t="s">
        <v>76</v>
      </c>
      <c r="D4998" s="5" t="s">
        <v>1082</v>
      </c>
      <c r="E4998" s="8" t="s">
        <v>227</v>
      </c>
      <c r="F4998" s="5" t="s">
        <v>228</v>
      </c>
      <c r="G4998" s="6" t="str">
        <f>VLOOKUP(E4998,dicionario!$A$1:$C5397,2,0)</f>
        <v>Indigofera hirsuta</v>
      </c>
      <c r="H4998" s="6" t="str">
        <f>VLOOKUP(E4998,dicionario!$A$1:$C5397,3,0)</f>
        <v>anileira</v>
      </c>
    </row>
    <row r="4999">
      <c r="A4999" s="3">
        <v>45673.0</v>
      </c>
      <c r="B4999" s="4">
        <v>0.34305555555555556</v>
      </c>
      <c r="C4999" s="5" t="s">
        <v>76</v>
      </c>
      <c r="D4999" s="5" t="s">
        <v>1082</v>
      </c>
      <c r="E4999" s="6" t="s">
        <v>326</v>
      </c>
      <c r="F4999" s="5" t="s">
        <v>963</v>
      </c>
      <c r="G4999" s="6" t="str">
        <f>VLOOKUP(E4999,dicionario!$A$1:$C5398,2,0)</f>
        <v>Amaranthus spinosus</v>
      </c>
      <c r="H4999" s="6" t="str">
        <f>VLOOKUP(E4999,dicionario!$A$1:$C5398,3,0)</f>
        <v>caruru-de-espinho</v>
      </c>
    </row>
    <row r="5000">
      <c r="A5000" s="3">
        <v>45673.0</v>
      </c>
      <c r="B5000" s="4">
        <v>0.34375</v>
      </c>
      <c r="C5000" s="5" t="s">
        <v>76</v>
      </c>
      <c r="D5000" s="5" t="s">
        <v>1082</v>
      </c>
      <c r="E5000" s="8" t="s">
        <v>1093</v>
      </c>
      <c r="F5000" s="5" t="s">
        <v>25</v>
      </c>
      <c r="G5000" s="6" t="str">
        <f>VLOOKUP(E5000,dicionario!$A$1:$C5399,2,0)</f>
        <v>#N/A</v>
      </c>
      <c r="H5000" s="6" t="str">
        <f>VLOOKUP(E5000,dicionario!$A$1:$C5399,3,0)</f>
        <v>#N/A</v>
      </c>
    </row>
    <row r="5001">
      <c r="A5001" s="3">
        <v>45673.0</v>
      </c>
      <c r="B5001" s="4">
        <v>0.34375</v>
      </c>
      <c r="C5001" s="5" t="s">
        <v>76</v>
      </c>
      <c r="D5001" s="5" t="s">
        <v>1082</v>
      </c>
      <c r="E5001" s="8" t="s">
        <v>69</v>
      </c>
      <c r="F5001" s="7" t="s">
        <v>71</v>
      </c>
      <c r="G5001" s="6" t="str">
        <f>VLOOKUP(E5001,dicionario!$A$1:$C5400,2,0)</f>
        <v>Talinum fruticosum</v>
      </c>
      <c r="H5001" s="6" t="str">
        <f>VLOOKUP(E5001,dicionario!$A$1:$C5400,3,0)</f>
        <v>beldroega-grande</v>
      </c>
    </row>
    <row r="5002">
      <c r="A5002" s="3">
        <v>45673.0</v>
      </c>
      <c r="B5002" s="4">
        <v>0.34375</v>
      </c>
      <c r="C5002" s="5" t="s">
        <v>76</v>
      </c>
      <c r="D5002" s="5" t="s">
        <v>1082</v>
      </c>
      <c r="E5002" s="8" t="s">
        <v>247</v>
      </c>
      <c r="F5002" s="5" t="s">
        <v>387</v>
      </c>
      <c r="G5002" s="6" t="str">
        <f>VLOOKUP(E5002,dicionario!$A$1:$C5401,2,0)</f>
        <v>Emilia sonchifolia</v>
      </c>
      <c r="H5002" s="6" t="str">
        <f>VLOOKUP(E5002,dicionario!$A$1:$C5401,3,0)</f>
        <v>serralinha</v>
      </c>
    </row>
    <row r="5003">
      <c r="A5003" s="3">
        <v>45673.0</v>
      </c>
      <c r="B5003" s="4">
        <v>0.34375</v>
      </c>
      <c r="C5003" s="5" t="s">
        <v>76</v>
      </c>
      <c r="D5003" s="5" t="s">
        <v>1082</v>
      </c>
      <c r="E5003" s="8" t="s">
        <v>91</v>
      </c>
      <c r="F5003" s="5" t="s">
        <v>92</v>
      </c>
      <c r="G5003" s="6" t="str">
        <f>VLOOKUP(E5003,dicionario!$A$1:$C5402,2,0)</f>
        <v>Picumnus cirratus</v>
      </c>
      <c r="H5003" s="6" t="str">
        <f>VLOOKUP(E5003,dicionario!$A$1:$C5402,3,0)</f>
        <v>picapauzinho-barrado</v>
      </c>
    </row>
    <row r="5004">
      <c r="A5004" s="3">
        <v>45673.0</v>
      </c>
      <c r="B5004" s="4">
        <v>0.34444444444444444</v>
      </c>
      <c r="C5004" s="5" t="s">
        <v>76</v>
      </c>
      <c r="D5004" s="5" t="s">
        <v>1082</v>
      </c>
      <c r="E5004" s="8" t="s">
        <v>1094</v>
      </c>
      <c r="F5004" s="5" t="s">
        <v>1095</v>
      </c>
      <c r="G5004" s="6" t="str">
        <f>VLOOKUP(E5004,dicionario!$A$1:$C5403,2,0)</f>
        <v>#N/A</v>
      </c>
      <c r="H5004" s="6" t="str">
        <f>VLOOKUP(E5004,dicionario!$A$1:$C5403,3,0)</f>
        <v>#N/A</v>
      </c>
    </row>
    <row r="5005">
      <c r="A5005" s="3">
        <v>45673.0</v>
      </c>
      <c r="B5005" s="4">
        <v>0.34444444444444444</v>
      </c>
      <c r="C5005" s="5" t="s">
        <v>76</v>
      </c>
      <c r="D5005" s="5" t="s">
        <v>1082</v>
      </c>
      <c r="E5005" s="8" t="s">
        <v>1096</v>
      </c>
      <c r="F5005" s="5" t="s">
        <v>1097</v>
      </c>
      <c r="G5005" s="6" t="str">
        <f>VLOOKUP(E5005,dicionario!$A$1:$C5404,2,0)</f>
        <v>Cicadellidae</v>
      </c>
      <c r="H5005" s="6" t="str">
        <f>VLOOKUP(E5005,dicionario!$A$1:$C5404,3,0)</f>
        <v>cigarrinha</v>
      </c>
    </row>
    <row r="5006">
      <c r="A5006" s="3">
        <v>45673.0</v>
      </c>
      <c r="B5006" s="4">
        <v>0.3451388888888889</v>
      </c>
      <c r="C5006" s="5" t="s">
        <v>76</v>
      </c>
      <c r="D5006" s="5" t="s">
        <v>1082</v>
      </c>
      <c r="E5006" s="8" t="s">
        <v>86</v>
      </c>
      <c r="F5006" s="5" t="s">
        <v>502</v>
      </c>
      <c r="G5006" s="6" t="str">
        <f>VLOOKUP(E5006,dicionario!$A$1:$C5405,2,0)</f>
        <v>Coereba flaveola</v>
      </c>
      <c r="H5006" s="6" t="str">
        <f>VLOOKUP(E5006,dicionario!$A$1:$C5405,3,0)</f>
        <v>cambacica</v>
      </c>
    </row>
    <row r="5007">
      <c r="A5007" s="3">
        <v>45673.0</v>
      </c>
      <c r="B5007" s="4">
        <v>0.3451388888888889</v>
      </c>
      <c r="C5007" s="5" t="s">
        <v>76</v>
      </c>
      <c r="D5007" s="5" t="s">
        <v>1082</v>
      </c>
      <c r="E5007" s="8" t="s">
        <v>167</v>
      </c>
      <c r="F5007" s="5" t="s">
        <v>168</v>
      </c>
      <c r="G5007" s="6" t="str">
        <f>VLOOKUP(E5007,dicionario!$A$1:$C5406,2,0)</f>
        <v>Hemidactylus mabouia</v>
      </c>
      <c r="H5007" s="6" t="str">
        <f>VLOOKUP(E5007,dicionario!$A$1:$C5406,3,0)</f>
        <v>lagartixa-doméstica-tropical</v>
      </c>
    </row>
    <row r="5008">
      <c r="A5008" s="3">
        <v>45673.0</v>
      </c>
      <c r="B5008" s="4">
        <v>0.34930555555555554</v>
      </c>
      <c r="C5008" s="5" t="s">
        <v>85</v>
      </c>
      <c r="D5008" s="5" t="s">
        <v>1082</v>
      </c>
      <c r="E5008" s="8" t="s">
        <v>723</v>
      </c>
      <c r="F5008" s="5" t="s">
        <v>924</v>
      </c>
      <c r="G5008" s="6" t="str">
        <f>VLOOKUP(E5008,dicionario!$A$1:$C5407,2,0)</f>
        <v>Asemeia violacea</v>
      </c>
      <c r="H5008" s="6" t="str">
        <f>VLOOKUP(E5008,dicionario!$A$1:$C5407,3,0)</f>
        <v/>
      </c>
    </row>
    <row r="5009">
      <c r="A5009" s="3">
        <v>45673.0</v>
      </c>
      <c r="B5009" s="4">
        <v>0.35</v>
      </c>
      <c r="C5009" s="5" t="s">
        <v>85</v>
      </c>
      <c r="D5009" s="5" t="s">
        <v>1082</v>
      </c>
      <c r="E5009" s="8" t="s">
        <v>177</v>
      </c>
      <c r="F5009" s="5" t="s">
        <v>607</v>
      </c>
      <c r="G5009" s="6" t="str">
        <f>VLOOKUP(E5009,dicionario!$A$1:$C5408,2,0)</f>
        <v>Elaenia flavogaster</v>
      </c>
      <c r="H5009" s="6" t="str">
        <f>VLOOKUP(E5009,dicionario!$A$1:$C5408,3,0)</f>
        <v>guaracava-de-barriga-amarela</v>
      </c>
    </row>
    <row r="5010">
      <c r="A5010" s="3">
        <v>45673.0</v>
      </c>
      <c r="B5010" s="4">
        <v>0.35</v>
      </c>
      <c r="C5010" s="5" t="s">
        <v>85</v>
      </c>
      <c r="D5010" s="5" t="s">
        <v>1082</v>
      </c>
      <c r="E5010" s="8" t="s">
        <v>247</v>
      </c>
      <c r="F5010" s="7" t="s">
        <v>272</v>
      </c>
      <c r="G5010" s="6" t="str">
        <f>VLOOKUP(E5010,dicionario!$A$1:$C5409,2,0)</f>
        <v>Emilia sonchifolia</v>
      </c>
      <c r="H5010" s="6" t="str">
        <f>VLOOKUP(E5010,dicionario!$A$1:$C5409,3,0)</f>
        <v>serralinha</v>
      </c>
    </row>
    <row r="5011">
      <c r="A5011" s="3">
        <v>45673.0</v>
      </c>
      <c r="B5011" s="4">
        <v>0.35</v>
      </c>
      <c r="C5011" s="5" t="s">
        <v>85</v>
      </c>
      <c r="D5011" s="5" t="s">
        <v>1082</v>
      </c>
      <c r="E5011" s="8" t="s">
        <v>152</v>
      </c>
      <c r="F5011" s="5" t="s">
        <v>153</v>
      </c>
      <c r="G5011" s="6" t="str">
        <f>VLOOKUP(E5011,dicionario!$A$1:$C5410,2,0)</f>
        <v>Cynodon dactylon</v>
      </c>
      <c r="H5011" s="6" t="str">
        <f>VLOOKUP(E5011,dicionario!$A$1:$C5410,3,0)</f>
        <v>grama-bermuda</v>
      </c>
    </row>
    <row r="5012">
      <c r="A5012" s="3">
        <v>45673.0</v>
      </c>
      <c r="B5012" s="4">
        <v>0.35</v>
      </c>
      <c r="C5012" s="5" t="s">
        <v>85</v>
      </c>
      <c r="D5012" s="5" t="s">
        <v>1082</v>
      </c>
      <c r="E5012" s="8" t="s">
        <v>489</v>
      </c>
      <c r="F5012" s="5" t="s">
        <v>521</v>
      </c>
      <c r="G5012" s="6" t="str">
        <f>VLOOKUP(E5012,dicionario!$A$1:$C5411,2,0)</f>
        <v>Cenchrus echinatus</v>
      </c>
      <c r="H5012" s="6" t="str">
        <f>VLOOKUP(E5012,dicionario!$A$1:$C5411,3,0)</f>
        <v>capim-carrapicho</v>
      </c>
    </row>
    <row r="5013">
      <c r="A5013" s="3">
        <v>45673.0</v>
      </c>
      <c r="B5013" s="4">
        <v>0.3506944444444444</v>
      </c>
      <c r="C5013" s="5" t="s">
        <v>85</v>
      </c>
      <c r="D5013" s="5" t="s">
        <v>1082</v>
      </c>
      <c r="E5013" s="8" t="s">
        <v>122</v>
      </c>
      <c r="F5013" s="7" t="s">
        <v>123</v>
      </c>
      <c r="G5013" s="6" t="str">
        <f>VLOOKUP(E5013,dicionario!$A$1:$C5412,2,0)</f>
        <v>Todirostrum cinereum</v>
      </c>
      <c r="H5013" s="6" t="str">
        <f>VLOOKUP(E5013,dicionario!$A$1:$C5412,3,0)</f>
        <v>ferreirinho-relógio</v>
      </c>
    </row>
    <row r="5014">
      <c r="A5014" s="3">
        <v>45673.0</v>
      </c>
      <c r="B5014" s="4">
        <v>0.3506944444444444</v>
      </c>
      <c r="C5014" s="5" t="s">
        <v>85</v>
      </c>
      <c r="D5014" s="5" t="s">
        <v>1082</v>
      </c>
      <c r="E5014" s="8" t="s">
        <v>378</v>
      </c>
      <c r="F5014" s="5" t="s">
        <v>205</v>
      </c>
      <c r="G5014" s="6" t="str">
        <f>VLOOKUP(E5014,dicionario!$A$1:$C5413,2,0)</f>
        <v>Polistes</v>
      </c>
      <c r="H5014" s="6" t="str">
        <f>VLOOKUP(E5014,dicionario!$A$1:$C5413,3,0)</f>
        <v>marimbondo</v>
      </c>
    </row>
    <row r="5015">
      <c r="A5015" s="3">
        <v>45673.0</v>
      </c>
      <c r="B5015" s="4">
        <v>0.3506944444444444</v>
      </c>
      <c r="C5015" s="5" t="s">
        <v>85</v>
      </c>
      <c r="D5015" s="5" t="s">
        <v>1082</v>
      </c>
      <c r="E5015" s="20" t="s">
        <v>676</v>
      </c>
      <c r="F5015" s="7" t="s">
        <v>677</v>
      </c>
      <c r="G5015" s="6" t="str">
        <f>VLOOKUP(E5015,dicionario!$A$1:$C5414,2,0)</f>
        <v>Zornia latifolia</v>
      </c>
      <c r="H5015" s="6" t="str">
        <f>VLOOKUP(E5015,dicionario!$A$1:$C5414,3,0)</f>
        <v>arrozinho-do-campo</v>
      </c>
    </row>
    <row r="5016">
      <c r="A5016" s="3">
        <v>45673.0</v>
      </c>
      <c r="B5016" s="4">
        <v>0.3506944444444444</v>
      </c>
      <c r="C5016" s="5" t="s">
        <v>85</v>
      </c>
      <c r="D5016" s="5" t="s">
        <v>1082</v>
      </c>
      <c r="E5016" s="8" t="s">
        <v>154</v>
      </c>
      <c r="F5016" s="5" t="s">
        <v>155</v>
      </c>
      <c r="G5016" s="6" t="str">
        <f>VLOOKUP(E5016,dicionario!$A$1:$C5415,2,0)</f>
        <v>Cyperus rotundus</v>
      </c>
      <c r="H5016" s="6" t="str">
        <f>VLOOKUP(E5016,dicionario!$A$1:$C5415,3,0)</f>
        <v>tiririca</v>
      </c>
    </row>
    <row r="5017">
      <c r="A5017" s="3">
        <v>45673.0</v>
      </c>
      <c r="B5017" s="4">
        <v>0.35138888888888886</v>
      </c>
      <c r="C5017" s="5" t="s">
        <v>85</v>
      </c>
      <c r="D5017" s="5" t="s">
        <v>1082</v>
      </c>
      <c r="E5017" s="8" t="s">
        <v>298</v>
      </c>
      <c r="F5017" s="5" t="s">
        <v>739</v>
      </c>
      <c r="G5017" s="6" t="str">
        <f>VLOOKUP(E5017,dicionario!$A$1:$C5416,2,0)</f>
        <v>Alysicarpus vaginalis</v>
      </c>
      <c r="H5017" s="6" t="str">
        <f>VLOOKUP(E5017,dicionario!$A$1:$C5416,3,0)</f>
        <v/>
      </c>
    </row>
    <row r="5018">
      <c r="A5018" s="3">
        <v>45673.0</v>
      </c>
      <c r="B5018" s="4">
        <v>0.35138888888888886</v>
      </c>
      <c r="C5018" s="5" t="s">
        <v>85</v>
      </c>
      <c r="D5018" s="5" t="s">
        <v>1082</v>
      </c>
      <c r="E5018" s="8" t="s">
        <v>146</v>
      </c>
      <c r="F5018" s="5" t="s">
        <v>147</v>
      </c>
      <c r="G5018" s="6" t="str">
        <f>VLOOKUP(E5018,dicionario!$A$1:$C5417,2,0)</f>
        <v>Euphorbia hirta</v>
      </c>
      <c r="H5018" s="6" t="str">
        <f>VLOOKUP(E5018,dicionario!$A$1:$C5417,3,0)</f>
        <v>erva-de-santa-luzia</v>
      </c>
    </row>
    <row r="5019">
      <c r="A5019" s="3">
        <v>45673.0</v>
      </c>
      <c r="B5019" s="4">
        <v>0.35138888888888886</v>
      </c>
      <c r="C5019" s="5" t="s">
        <v>85</v>
      </c>
      <c r="D5019" s="5" t="s">
        <v>1082</v>
      </c>
      <c r="E5019" s="8" t="s">
        <v>135</v>
      </c>
      <c r="F5019" s="5" t="s">
        <v>136</v>
      </c>
      <c r="G5019" s="6" t="str">
        <f>VLOOKUP(E5019,dicionario!$A$1:$C5418,2,0)</f>
        <v>Tridax procumbens</v>
      </c>
      <c r="H5019" s="6" t="str">
        <f>VLOOKUP(E5019,dicionario!$A$1:$C5418,3,0)</f>
        <v>erva-de-touro</v>
      </c>
    </row>
    <row r="5020">
      <c r="A5020" s="3">
        <v>45673.0</v>
      </c>
      <c r="B5020" s="4">
        <v>0.35138888888888886</v>
      </c>
      <c r="C5020" s="5" t="s">
        <v>85</v>
      </c>
      <c r="D5020" s="5" t="s">
        <v>1082</v>
      </c>
      <c r="E5020" s="8" t="s">
        <v>483</v>
      </c>
      <c r="F5020" s="5" t="s">
        <v>289</v>
      </c>
      <c r="G5020" s="6" t="str">
        <f>VLOOKUP(E5020,dicionario!$A$1:$C5419,2,0)</f>
        <v>Euphorbia prostrata</v>
      </c>
      <c r="H5020" s="6" t="str">
        <f>VLOOKUP(E5020,dicionario!$A$1:$C5419,3,0)</f>
        <v>quebra-pedra-rasteira</v>
      </c>
    </row>
    <row r="5021">
      <c r="A5021" s="3">
        <v>45673.0</v>
      </c>
      <c r="B5021" s="4">
        <v>0.35138888888888886</v>
      </c>
      <c r="C5021" s="5" t="s">
        <v>85</v>
      </c>
      <c r="D5021" s="5" t="s">
        <v>1082</v>
      </c>
      <c r="E5021" s="8" t="s">
        <v>286</v>
      </c>
      <c r="F5021" s="5" t="s">
        <v>287</v>
      </c>
      <c r="G5021" s="6" t="str">
        <f>VLOOKUP(E5021,dicionario!$A$1:$C5420,2,0)</f>
        <v>Setaria parviflora</v>
      </c>
      <c r="H5021" s="6" t="str">
        <f>VLOOKUP(E5021,dicionario!$A$1:$C5420,3,0)</f>
        <v>capim-rabo-de-raposa</v>
      </c>
    </row>
    <row r="5022">
      <c r="A5022" s="3">
        <v>45673.0</v>
      </c>
      <c r="B5022" s="4">
        <v>0.35208333333333336</v>
      </c>
      <c r="C5022" s="5" t="s">
        <v>85</v>
      </c>
      <c r="D5022" s="5" t="s">
        <v>1082</v>
      </c>
      <c r="E5022" s="8" t="s">
        <v>109</v>
      </c>
      <c r="F5022" s="5" t="s">
        <v>110</v>
      </c>
      <c r="G5022" s="6" t="str">
        <f>VLOOKUP(E5022,dicionario!$A$1:$C5421,2,0)</f>
        <v>Tillandsia stricta</v>
      </c>
      <c r="H5022" s="6" t="str">
        <f>VLOOKUP(E5022,dicionario!$A$1:$C5421,3,0)</f>
        <v>cravo-do-mato</v>
      </c>
    </row>
    <row r="5023">
      <c r="A5023" s="3">
        <v>45673.0</v>
      </c>
      <c r="B5023" s="4">
        <v>0.35208333333333336</v>
      </c>
      <c r="C5023" s="5" t="s">
        <v>85</v>
      </c>
      <c r="D5023" s="5" t="s">
        <v>1082</v>
      </c>
      <c r="E5023" s="8" t="s">
        <v>517</v>
      </c>
      <c r="F5023" s="7" t="s">
        <v>518</v>
      </c>
      <c r="G5023" s="6" t="str">
        <f>VLOOKUP(E5023,dicionario!$A$1:$C5422,2,0)</f>
        <v>Evolvulus nummularius</v>
      </c>
      <c r="H5023" s="6" t="str">
        <f>VLOOKUP(E5023,dicionario!$A$1:$C5422,3,0)</f>
        <v/>
      </c>
    </row>
    <row r="5024">
      <c r="A5024" s="3">
        <v>45673.0</v>
      </c>
      <c r="B5024" s="4">
        <v>0.35208333333333336</v>
      </c>
      <c r="C5024" s="5" t="s">
        <v>85</v>
      </c>
      <c r="D5024" s="5" t="s">
        <v>1082</v>
      </c>
      <c r="E5024" s="8" t="s">
        <v>353</v>
      </c>
      <c r="F5024" s="5" t="s">
        <v>354</v>
      </c>
      <c r="G5024" s="6" t="str">
        <f>VLOOKUP(E5024,dicionario!$A$1:$C5423,2,0)</f>
        <v>Desmodium incanum</v>
      </c>
      <c r="H5024" s="6" t="str">
        <f>VLOOKUP(E5024,dicionario!$A$1:$C5423,3,0)</f>
        <v>pega-pega</v>
      </c>
    </row>
    <row r="5025">
      <c r="A5025" s="3">
        <v>45673.0</v>
      </c>
      <c r="B5025" s="4">
        <v>0.35208333333333336</v>
      </c>
      <c r="C5025" s="5" t="s">
        <v>85</v>
      </c>
      <c r="D5025" s="5" t="s">
        <v>1082</v>
      </c>
      <c r="E5025" s="8" t="s">
        <v>611</v>
      </c>
      <c r="F5025" s="5" t="s">
        <v>612</v>
      </c>
      <c r="G5025" s="6" t="str">
        <f>VLOOKUP(E5025,dicionario!$A$1:$C5424,2,0)</f>
        <v>Boehmeria cylindrica</v>
      </c>
      <c r="H5025" s="6" t="str">
        <f>VLOOKUP(E5025,dicionario!$A$1:$C5424,3,0)</f>
        <v>falsa-urtiga</v>
      </c>
    </row>
    <row r="5026">
      <c r="A5026" s="3">
        <v>45673.0</v>
      </c>
      <c r="B5026" s="4">
        <v>0.3527777777777778</v>
      </c>
      <c r="C5026" s="5" t="s">
        <v>85</v>
      </c>
      <c r="D5026" s="5" t="s">
        <v>1082</v>
      </c>
      <c r="E5026" s="8" t="s">
        <v>265</v>
      </c>
      <c r="F5026" s="5" t="s">
        <v>600</v>
      </c>
      <c r="G5026" s="6" t="str">
        <f>VLOOKUP(E5026,dicionario!$A$1:$C5425,2,0)</f>
        <v>Sonchus oleraceus</v>
      </c>
      <c r="H5026" s="6" t="str">
        <f>VLOOKUP(E5026,dicionario!$A$1:$C5425,3,0)</f>
        <v>seralha</v>
      </c>
    </row>
    <row r="5027">
      <c r="A5027" s="3">
        <v>45673.0</v>
      </c>
      <c r="B5027" s="4">
        <v>0.3527777777777778</v>
      </c>
      <c r="C5027" s="5" t="s">
        <v>85</v>
      </c>
      <c r="D5027" s="5" t="s">
        <v>1082</v>
      </c>
      <c r="E5027" s="8" t="s">
        <v>1087</v>
      </c>
      <c r="F5027" s="5" t="s">
        <v>1088</v>
      </c>
      <c r="G5027" s="6" t="str">
        <f>VLOOKUP(E5027,dicionario!$A$1:$C5426,2,0)</f>
        <v>Desmodium triflorum</v>
      </c>
      <c r="H5027" s="6" t="str">
        <f>VLOOKUP(E5027,dicionario!$A$1:$C5426,3,0)</f>
        <v/>
      </c>
    </row>
    <row r="5028">
      <c r="A5028" s="3">
        <v>45673.0</v>
      </c>
      <c r="B5028" s="4">
        <v>0.3527777777777778</v>
      </c>
      <c r="C5028" s="5" t="s">
        <v>85</v>
      </c>
      <c r="D5028" s="5" t="s">
        <v>1082</v>
      </c>
      <c r="E5028" s="8" t="s">
        <v>258</v>
      </c>
      <c r="F5028" s="5" t="s">
        <v>259</v>
      </c>
      <c r="G5028" s="6" t="str">
        <f>VLOOKUP(E5028,dicionario!$A$1:$C5427,2,0)</f>
        <v>Lantana camara</v>
      </c>
      <c r="H5028" s="6" t="str">
        <f>VLOOKUP(E5028,dicionario!$A$1:$C5427,3,0)</f>
        <v>lantana</v>
      </c>
    </row>
    <row r="5029">
      <c r="A5029" s="3">
        <v>45673.0</v>
      </c>
      <c r="B5029" s="4">
        <v>0.3527777777777778</v>
      </c>
      <c r="C5029" s="5" t="s">
        <v>85</v>
      </c>
      <c r="D5029" s="5" t="s">
        <v>1082</v>
      </c>
      <c r="E5029" s="8" t="s">
        <v>375</v>
      </c>
      <c r="F5029" s="5" t="s">
        <v>35</v>
      </c>
      <c r="G5029" s="6" t="str">
        <f>VLOOKUP(E5029,dicionario!$A$1:$C5428,2,0)</f>
        <v>Neoponera foetida</v>
      </c>
      <c r="H5029" s="6" t="str">
        <f>VLOOKUP(E5029,dicionario!$A$1:$C5428,3,0)</f>
        <v/>
      </c>
    </row>
    <row r="5030">
      <c r="A5030" s="3">
        <v>45673.0</v>
      </c>
      <c r="B5030" s="4">
        <v>0.35347222222222224</v>
      </c>
      <c r="C5030" s="5" t="s">
        <v>85</v>
      </c>
      <c r="D5030" s="5" t="s">
        <v>1082</v>
      </c>
      <c r="E5030" s="8" t="s">
        <v>46</v>
      </c>
      <c r="F5030" s="5" t="s">
        <v>47</v>
      </c>
      <c r="G5030" s="6" t="str">
        <f>VLOOKUP(E5030,dicionario!$A$1:$C5429,2,0)</f>
        <v>Chionomesa fimbriata</v>
      </c>
      <c r="H5030" s="6" t="str">
        <f>VLOOKUP(E5030,dicionario!$A$1:$C5429,3,0)</f>
        <v>beija-flor-de-garganta-verde</v>
      </c>
    </row>
    <row r="5031">
      <c r="A5031" s="3">
        <v>45673.0</v>
      </c>
      <c r="B5031" s="4">
        <v>0.35347222222222224</v>
      </c>
      <c r="C5031" s="5" t="s">
        <v>85</v>
      </c>
      <c r="D5031" s="5" t="s">
        <v>1082</v>
      </c>
      <c r="E5031" s="8" t="s">
        <v>20</v>
      </c>
      <c r="F5031" s="7" t="s">
        <v>21</v>
      </c>
      <c r="G5031" s="6" t="str">
        <f>VLOOKUP(E5031,dicionario!$A$1:$C5430,2,0)</f>
        <v>Sicalis flaveola</v>
      </c>
      <c r="H5031" s="6" t="str">
        <f>VLOOKUP(E5031,dicionario!$A$1:$C5430,3,0)</f>
        <v>canário-da-terra</v>
      </c>
    </row>
    <row r="5032">
      <c r="A5032" s="3">
        <v>45673.0</v>
      </c>
      <c r="B5032" s="4">
        <v>0.35347222222222224</v>
      </c>
      <c r="C5032" s="5" t="s">
        <v>85</v>
      </c>
      <c r="D5032" s="5" t="s">
        <v>1082</v>
      </c>
      <c r="E5032" s="8" t="s">
        <v>467</v>
      </c>
      <c r="F5032" s="5" t="s">
        <v>468</v>
      </c>
      <c r="G5032" s="6" t="str">
        <f>VLOOKUP(E5032,dicionario!$A$1:$C5431,2,0)</f>
        <v>Eleusine indica</v>
      </c>
      <c r="H5032" s="6" t="str">
        <f>VLOOKUP(E5032,dicionario!$A$1:$C5431,3,0)</f>
        <v>capim-pé-de-galinha</v>
      </c>
    </row>
    <row r="5033">
      <c r="A5033" s="3">
        <v>45673.0</v>
      </c>
      <c r="B5033" s="4">
        <v>0.3548611111111111</v>
      </c>
      <c r="C5033" s="5" t="s">
        <v>85</v>
      </c>
      <c r="D5033" s="5" t="s">
        <v>1082</v>
      </c>
      <c r="E5033" s="8" t="s">
        <v>1066</v>
      </c>
      <c r="F5033" s="5" t="s">
        <v>582</v>
      </c>
      <c r="G5033" s="6" t="str">
        <f>VLOOKUP(E5033,dicionario!$A$1:$C5432,2,0)</f>
        <v>#N/A</v>
      </c>
      <c r="H5033" s="6" t="str">
        <f>VLOOKUP(E5033,dicionario!$A$1:$C5432,3,0)</f>
        <v>#N/A</v>
      </c>
    </row>
    <row r="5034">
      <c r="A5034" s="3">
        <v>45673.0</v>
      </c>
      <c r="B5034" s="4">
        <v>0.3548611111111111</v>
      </c>
      <c r="C5034" s="5" t="s">
        <v>85</v>
      </c>
      <c r="D5034" s="5" t="s">
        <v>1082</v>
      </c>
      <c r="E5034" s="8" t="s">
        <v>163</v>
      </c>
      <c r="F5034" s="5" t="s">
        <v>164</v>
      </c>
      <c r="G5034" s="6" t="str">
        <f>VLOOKUP(E5034,dicionario!$A$1:$C5433,2,0)</f>
        <v>Coragyps atratus</v>
      </c>
      <c r="H5034" s="6" t="str">
        <f>VLOOKUP(E5034,dicionario!$A$1:$C5433,3,0)</f>
        <v>urubu-de-cabeça-preta</v>
      </c>
    </row>
    <row r="5035">
      <c r="A5035" s="3">
        <v>45673.0</v>
      </c>
      <c r="B5035" s="4">
        <v>0.3548611111111111</v>
      </c>
      <c r="C5035" s="5" t="s">
        <v>85</v>
      </c>
      <c r="D5035" s="5" t="s">
        <v>1082</v>
      </c>
      <c r="E5035" s="8" t="s">
        <v>72</v>
      </c>
      <c r="F5035" s="5" t="s">
        <v>73</v>
      </c>
      <c r="G5035" s="6" t="str">
        <f>VLOOKUP(E5035,dicionario!$A$1:$C5434,2,0)</f>
        <v>Thraupis palmarum</v>
      </c>
      <c r="H5035" s="6" t="str">
        <f>VLOOKUP(E5035,dicionario!$A$1:$C5434,3,0)</f>
        <v>sanhaço-do-coqueiro</v>
      </c>
    </row>
    <row r="5036">
      <c r="A5036" s="3">
        <v>45673.0</v>
      </c>
      <c r="B5036" s="4">
        <v>0.3548611111111111</v>
      </c>
      <c r="C5036" s="5" t="s">
        <v>85</v>
      </c>
      <c r="D5036" s="5" t="s">
        <v>1082</v>
      </c>
      <c r="E5036" s="8" t="s">
        <v>514</v>
      </c>
      <c r="F5036" s="7" t="s">
        <v>515</v>
      </c>
      <c r="G5036" s="6" t="str">
        <f>VLOOKUP(E5036,dicionario!$A$1:$C5435,2,0)</f>
        <v>Aedes aegypti</v>
      </c>
      <c r="H5036" s="6" t="str">
        <f>VLOOKUP(E5036,dicionario!$A$1:$C5435,3,0)</f>
        <v>mosquito-da-dengue</v>
      </c>
    </row>
    <row r="5037">
      <c r="A5037" s="3">
        <v>45673.0</v>
      </c>
      <c r="B5037" s="4">
        <v>0.3548611111111111</v>
      </c>
      <c r="C5037" s="5" t="s">
        <v>85</v>
      </c>
      <c r="D5037" s="5" t="s">
        <v>1082</v>
      </c>
      <c r="E5037" s="8" t="s">
        <v>10</v>
      </c>
      <c r="F5037" s="5" t="s">
        <v>11</v>
      </c>
      <c r="G5037" s="6" t="str">
        <f>VLOOKUP(E5037,dicionario!$A$1:$C5436,2,0)</f>
        <v>Guira guira</v>
      </c>
      <c r="H5037" s="6" t="str">
        <f>VLOOKUP(E5037,dicionario!$A$1:$C5436,3,0)</f>
        <v>anu-branco</v>
      </c>
    </row>
    <row r="5038">
      <c r="A5038" s="3">
        <v>45673.0</v>
      </c>
      <c r="B5038" s="4">
        <v>0.35555555555555557</v>
      </c>
      <c r="C5038" s="5" t="s">
        <v>85</v>
      </c>
      <c r="D5038" s="5" t="s">
        <v>1082</v>
      </c>
      <c r="E5038" s="8" t="s">
        <v>113</v>
      </c>
      <c r="F5038" s="5" t="s">
        <v>114</v>
      </c>
      <c r="G5038" s="6" t="str">
        <f>VLOOKUP(E5038,dicionario!$A$1:$C5437,2,0)</f>
        <v>Columbina talpacoti</v>
      </c>
      <c r="H5038" s="6" t="str">
        <f>VLOOKUP(E5038,dicionario!$A$1:$C5437,3,0)</f>
        <v>rolinha-roxa</v>
      </c>
    </row>
    <row r="5039">
      <c r="A5039" s="3">
        <v>45673.0</v>
      </c>
      <c r="B5039" s="4">
        <v>0.35555555555555557</v>
      </c>
      <c r="C5039" s="5" t="s">
        <v>85</v>
      </c>
      <c r="D5039" s="5" t="s">
        <v>1082</v>
      </c>
      <c r="E5039" s="8" t="s">
        <v>302</v>
      </c>
      <c r="F5039" s="5" t="s">
        <v>89</v>
      </c>
      <c r="G5039" s="6" t="str">
        <f>VLOOKUP(E5039,dicionario!$A$1:$C5438,2,0)</f>
        <v>Machetornis rixosa</v>
      </c>
      <c r="H5039" s="6" t="str">
        <f>VLOOKUP(E5039,dicionario!$A$1:$C5438,3,0)</f>
        <v>suiriri-cavaleiro</v>
      </c>
    </row>
    <row r="5040">
      <c r="A5040" s="3">
        <v>45673.0</v>
      </c>
      <c r="B5040" s="4">
        <v>0.35555555555555557</v>
      </c>
      <c r="C5040" s="5" t="s">
        <v>85</v>
      </c>
      <c r="D5040" s="5" t="s">
        <v>1082</v>
      </c>
      <c r="E5040" s="8" t="s">
        <v>319</v>
      </c>
      <c r="F5040" s="5" t="s">
        <v>320</v>
      </c>
      <c r="G5040" s="6" t="str">
        <f>VLOOKUP(E5040,dicionario!$A$1:$C5439,2,0)</f>
        <v>Schinus terebinthifolia</v>
      </c>
      <c r="H5040" s="6" t="str">
        <f>VLOOKUP(E5040,dicionario!$A$1:$C5439,3,0)</f>
        <v>aroeira</v>
      </c>
    </row>
    <row r="5041">
      <c r="A5041" s="3">
        <v>45673.0</v>
      </c>
      <c r="B5041" s="4">
        <v>0.35555555555555557</v>
      </c>
      <c r="C5041" s="5" t="s">
        <v>85</v>
      </c>
      <c r="D5041" s="5" t="s">
        <v>1082</v>
      </c>
      <c r="E5041" s="20" t="s">
        <v>676</v>
      </c>
      <c r="F5041" s="7" t="s">
        <v>677</v>
      </c>
      <c r="G5041" s="6" t="str">
        <f>VLOOKUP(E5041,dicionario!$A$1:$C5440,2,0)</f>
        <v>Zornia latifolia</v>
      </c>
      <c r="H5041" s="6" t="str">
        <f>VLOOKUP(E5041,dicionario!$A$1:$C5440,3,0)</f>
        <v>arrozinho-do-campo</v>
      </c>
    </row>
    <row r="5042">
      <c r="A5042" s="3">
        <v>45673.0</v>
      </c>
      <c r="B5042" s="4">
        <v>0.35625</v>
      </c>
      <c r="C5042" s="5" t="s">
        <v>85</v>
      </c>
      <c r="D5042" s="5" t="s">
        <v>1082</v>
      </c>
      <c r="E5042" s="8" t="s">
        <v>338</v>
      </c>
      <c r="F5042" s="5" t="s">
        <v>238</v>
      </c>
      <c r="G5042" s="6" t="str">
        <f>VLOOKUP(E5042,dicionario!$A$1:$C5441,2,0)</f>
        <v>Atta</v>
      </c>
      <c r="H5042" s="6" t="str">
        <f>VLOOKUP(E5042,dicionario!$A$1:$C5441,3,0)</f>
        <v>saúva</v>
      </c>
    </row>
    <row r="5043">
      <c r="A5043" s="3">
        <v>45673.0</v>
      </c>
      <c r="B5043" s="4">
        <v>0.35625</v>
      </c>
      <c r="C5043" s="5" t="s">
        <v>85</v>
      </c>
      <c r="D5043" s="5" t="s">
        <v>1082</v>
      </c>
      <c r="E5043" s="8" t="s">
        <v>38</v>
      </c>
      <c r="F5043" s="5" t="s">
        <v>39</v>
      </c>
      <c r="G5043" s="6" t="str">
        <f>VLOOKUP(E5043,dicionario!$A$1:$C5442,2,0)</f>
        <v>Troglodytes musculus</v>
      </c>
      <c r="H5043" s="6" t="str">
        <f>VLOOKUP(E5043,dicionario!$A$1:$C5442,3,0)</f>
        <v>curruíra</v>
      </c>
    </row>
    <row r="5044">
      <c r="A5044" s="3">
        <v>45673.0</v>
      </c>
      <c r="B5044" s="4">
        <v>0.35625</v>
      </c>
      <c r="C5044" s="5" t="s">
        <v>85</v>
      </c>
      <c r="D5044" s="5" t="s">
        <v>1082</v>
      </c>
      <c r="E5044" s="8" t="s">
        <v>348</v>
      </c>
      <c r="F5044" s="5" t="s">
        <v>955</v>
      </c>
      <c r="G5044" s="6" t="str">
        <f>VLOOKUP(E5044,dicionario!$A$1:$C5443,2,0)</f>
        <v>#N/A</v>
      </c>
      <c r="H5044" s="6" t="str">
        <f>VLOOKUP(E5044,dicionario!$A$1:$C5443,3,0)</f>
        <v>#N/A</v>
      </c>
    </row>
    <row r="5045">
      <c r="A5045" s="3">
        <v>45673.0</v>
      </c>
      <c r="B5045" s="4">
        <v>0.35625</v>
      </c>
      <c r="C5045" s="5" t="s">
        <v>85</v>
      </c>
      <c r="D5045" s="5" t="s">
        <v>1082</v>
      </c>
      <c r="E5045" s="8" t="s">
        <v>162</v>
      </c>
      <c r="F5045" s="7" t="s">
        <v>42</v>
      </c>
      <c r="G5045" s="6" t="str">
        <f>VLOOKUP(E5045,dicionario!$A$1:$C5444,2,0)</f>
        <v>Fluvicola nengeta</v>
      </c>
      <c r="H5045" s="6" t="str">
        <f>VLOOKUP(E5045,dicionario!$A$1:$C5444,3,0)</f>
        <v>lavadeira-mascarada</v>
      </c>
    </row>
    <row r="5046">
      <c r="A5046" s="3">
        <v>45673.0</v>
      </c>
      <c r="B5046" s="4">
        <v>0.35694444444444445</v>
      </c>
      <c r="C5046" s="5" t="s">
        <v>85</v>
      </c>
      <c r="D5046" s="5" t="s">
        <v>1082</v>
      </c>
      <c r="E5046" s="8" t="s">
        <v>200</v>
      </c>
      <c r="F5046" s="5" t="s">
        <v>201</v>
      </c>
      <c r="G5046" s="6" t="str">
        <f>VLOOKUP(E5046,dicionario!$A$1:$C5445,2,0)</f>
        <v>Columbina picui </v>
      </c>
      <c r="H5046" s="6" t="str">
        <f>VLOOKUP(E5046,dicionario!$A$1:$C5445,3,0)</f>
        <v>rolinha-picuí</v>
      </c>
    </row>
    <row r="5047">
      <c r="A5047" s="3">
        <v>45673.0</v>
      </c>
      <c r="B5047" s="4">
        <v>0.35694444444444445</v>
      </c>
      <c r="C5047" s="5" t="s">
        <v>85</v>
      </c>
      <c r="D5047" s="5" t="s">
        <v>1082</v>
      </c>
      <c r="E5047" s="8" t="s">
        <v>399</v>
      </c>
      <c r="F5047" s="5" t="s">
        <v>400</v>
      </c>
      <c r="G5047" s="6" t="str">
        <f>VLOOKUP(E5047,dicionario!$A$1:$C5446,2,0)</f>
        <v>Varronia curassavica</v>
      </c>
      <c r="H5047" s="6" t="str">
        <f>VLOOKUP(E5047,dicionario!$A$1:$C5446,3,0)</f>
        <v>erva-baleeira</v>
      </c>
    </row>
    <row r="5048">
      <c r="A5048" s="3">
        <v>45673.0</v>
      </c>
      <c r="B5048" s="4">
        <v>0.35833333333333334</v>
      </c>
      <c r="C5048" s="5" t="s">
        <v>85</v>
      </c>
      <c r="D5048" s="5" t="s">
        <v>1082</v>
      </c>
      <c r="E5048" s="8" t="s">
        <v>53</v>
      </c>
      <c r="F5048" s="7" t="s">
        <v>54</v>
      </c>
      <c r="G5048" s="6" t="str">
        <f>VLOOKUP(E5048,dicionario!$A$1:$C5447,2,0)</f>
        <v>Turnera subulata</v>
      </c>
      <c r="H5048" s="6" t="str">
        <f>VLOOKUP(E5048,dicionario!$A$1:$C5447,3,0)</f>
        <v>xanana</v>
      </c>
    </row>
    <row r="5049">
      <c r="A5049" s="3">
        <v>45673.0</v>
      </c>
      <c r="B5049" s="4">
        <v>0.3590277777777778</v>
      </c>
      <c r="C5049" s="5" t="s">
        <v>85</v>
      </c>
      <c r="D5049" s="5" t="s">
        <v>1082</v>
      </c>
      <c r="E5049" s="8" t="s">
        <v>296</v>
      </c>
      <c r="F5049" s="5" t="s">
        <v>297</v>
      </c>
      <c r="G5049" s="6" t="str">
        <f>VLOOKUP(E5049,dicionario!$A$1:$C5448,2,0)</f>
        <v>Richardia brasiliensis</v>
      </c>
      <c r="H5049" s="6" t="str">
        <f>VLOOKUP(E5049,dicionario!$A$1:$C5448,3,0)</f>
        <v>poaia-branca</v>
      </c>
    </row>
    <row r="5050">
      <c r="A5050" s="3">
        <v>45673.0</v>
      </c>
      <c r="B5050" s="4">
        <v>0.3590277777777778</v>
      </c>
      <c r="C5050" s="5" t="s">
        <v>85</v>
      </c>
      <c r="D5050" s="5" t="s">
        <v>1082</v>
      </c>
      <c r="E5050" s="8" t="s">
        <v>41</v>
      </c>
      <c r="F5050" s="5" t="s">
        <v>45</v>
      </c>
      <c r="G5050" s="6" t="str">
        <f>VLOOKUP(E5050,dicionario!$A$1:$C5449,2,0)</f>
        <v>Mimosa pudica</v>
      </c>
      <c r="H5050" s="6" t="str">
        <f>VLOOKUP(E5050,dicionario!$A$1:$C5449,3,0)</f>
        <v>dormideira</v>
      </c>
    </row>
    <row r="5051">
      <c r="A5051" s="3">
        <v>45673.0</v>
      </c>
      <c r="B5051" s="4">
        <v>0.3625</v>
      </c>
      <c r="C5051" s="5" t="s">
        <v>90</v>
      </c>
      <c r="D5051" s="5" t="s">
        <v>1082</v>
      </c>
      <c r="E5051" s="8" t="s">
        <v>53</v>
      </c>
      <c r="F5051" s="7" t="s">
        <v>54</v>
      </c>
      <c r="G5051" s="6" t="str">
        <f>VLOOKUP(E5051,dicionario!$A$1:$C5450,2,0)</f>
        <v>Turnera subulata</v>
      </c>
      <c r="H5051" s="6" t="str">
        <f>VLOOKUP(E5051,dicionario!$A$1:$C5450,3,0)</f>
        <v>xanana</v>
      </c>
    </row>
    <row r="5052">
      <c r="A5052" s="3">
        <v>45673.0</v>
      </c>
      <c r="B5052" s="4">
        <v>0.3625</v>
      </c>
      <c r="C5052" s="5" t="s">
        <v>90</v>
      </c>
      <c r="D5052" s="5" t="s">
        <v>1082</v>
      </c>
      <c r="E5052" s="8" t="s">
        <v>83</v>
      </c>
      <c r="F5052" s="5" t="s">
        <v>84</v>
      </c>
      <c r="G5052" s="6" t="str">
        <f>VLOOKUP(E5052,dicionario!$A$1:$C5451,2,0)</f>
        <v>Anartia jatrophae</v>
      </c>
      <c r="H5052" s="6" t="str">
        <f>VLOOKUP(E5052,dicionario!$A$1:$C5451,3,0)</f>
        <v>borboleta-pavão-branco</v>
      </c>
    </row>
    <row r="5053">
      <c r="A5053" s="3">
        <v>45673.0</v>
      </c>
      <c r="B5053" s="4">
        <v>0.3625</v>
      </c>
      <c r="C5053" s="5" t="s">
        <v>90</v>
      </c>
      <c r="D5053" s="5" t="s">
        <v>1082</v>
      </c>
      <c r="E5053" s="8" t="s">
        <v>41</v>
      </c>
      <c r="F5053" s="5" t="s">
        <v>45</v>
      </c>
      <c r="G5053" s="6" t="str">
        <f>VLOOKUP(E5053,dicionario!$A$1:$C5452,2,0)</f>
        <v>Mimosa pudica</v>
      </c>
      <c r="H5053" s="6" t="str">
        <f>VLOOKUP(E5053,dicionario!$A$1:$C5452,3,0)</f>
        <v>dormideira</v>
      </c>
    </row>
    <row r="5054">
      <c r="A5054" s="3">
        <v>45673.0</v>
      </c>
      <c r="B5054" s="4">
        <v>0.36319444444444443</v>
      </c>
      <c r="C5054" s="5" t="s">
        <v>90</v>
      </c>
      <c r="D5054" s="5" t="s">
        <v>1082</v>
      </c>
      <c r="E5054" s="8" t="s">
        <v>229</v>
      </c>
      <c r="F5054" s="5" t="s">
        <v>230</v>
      </c>
      <c r="G5054" s="6" t="str">
        <f>VLOOKUP(E5054,dicionario!$A$1:$C5453,2,0)</f>
        <v>Apis mellifera</v>
      </c>
      <c r="H5054" s="6" t="str">
        <f>VLOOKUP(E5054,dicionario!$A$1:$C5453,3,0)</f>
        <v>abelha-do-mel</v>
      </c>
    </row>
    <row r="5055">
      <c r="A5055" s="3">
        <v>45673.0</v>
      </c>
      <c r="B5055" s="4">
        <v>0.36319444444444443</v>
      </c>
      <c r="C5055" s="5" t="s">
        <v>90</v>
      </c>
      <c r="D5055" s="5" t="s">
        <v>1082</v>
      </c>
      <c r="E5055" s="8" t="s">
        <v>144</v>
      </c>
      <c r="F5055" s="5" t="s">
        <v>145</v>
      </c>
      <c r="G5055" s="6" t="str">
        <f>VLOOKUP(E5055,dicionario!$A$1:$C5454,2,0)</f>
        <v>Gomphrena globosa</v>
      </c>
      <c r="H5055" s="6" t="str">
        <f>VLOOKUP(E5055,dicionario!$A$1:$C5454,3,0)</f>
        <v>perpétua-rosa</v>
      </c>
    </row>
    <row r="5056">
      <c r="A5056" s="3">
        <v>45673.0</v>
      </c>
      <c r="B5056" s="4">
        <v>0.36319444444444443</v>
      </c>
      <c r="C5056" s="5" t="s">
        <v>90</v>
      </c>
      <c r="D5056" s="5" t="s">
        <v>1082</v>
      </c>
      <c r="E5056" s="8" t="s">
        <v>177</v>
      </c>
      <c r="F5056" s="5" t="s">
        <v>178</v>
      </c>
      <c r="G5056" s="6" t="str">
        <f>VLOOKUP(E5056,dicionario!$A$1:$C5455,2,0)</f>
        <v>Elaenia flavogaster</v>
      </c>
      <c r="H5056" s="6" t="str">
        <f>VLOOKUP(E5056,dicionario!$A$1:$C5455,3,0)</f>
        <v>guaracava-de-barriga-amarela</v>
      </c>
    </row>
    <row r="5057">
      <c r="A5057" s="3">
        <v>45673.0</v>
      </c>
      <c r="B5057" s="4">
        <v>0.36319444444444443</v>
      </c>
      <c r="C5057" s="5" t="s">
        <v>90</v>
      </c>
      <c r="D5057" s="5" t="s">
        <v>1082</v>
      </c>
      <c r="E5057" s="8" t="s">
        <v>65</v>
      </c>
      <c r="F5057" s="5" t="s">
        <v>66</v>
      </c>
      <c r="G5057" s="6" t="str">
        <f>VLOOKUP(E5057,dicionario!$A$1:$C5456,2,0)</f>
        <v>Pitangus sulphutarus</v>
      </c>
      <c r="H5057" s="6" t="str">
        <f>VLOOKUP(E5057,dicionario!$A$1:$C5456,3,0)</f>
        <v>bem-te-vi</v>
      </c>
    </row>
    <row r="5058">
      <c r="A5058" s="3">
        <v>45673.0</v>
      </c>
      <c r="B5058" s="4">
        <v>0.3638888888888889</v>
      </c>
      <c r="C5058" s="5" t="s">
        <v>90</v>
      </c>
      <c r="D5058" s="5" t="s">
        <v>1082</v>
      </c>
      <c r="E5058" s="8" t="s">
        <v>173</v>
      </c>
      <c r="F5058" s="5" t="s">
        <v>336</v>
      </c>
      <c r="G5058" s="6" t="str">
        <f>VLOOKUP(E5058,dicionario!$A$1:$C5457,2,0)</f>
        <v>Junonia evarete</v>
      </c>
      <c r="H5058" s="6" t="str">
        <f>VLOOKUP(E5058,dicionario!$A$1:$C5457,3,0)</f>
        <v>borboleta-olho-de-pavão-diúrno</v>
      </c>
    </row>
    <row r="5059">
      <c r="A5059" s="3">
        <v>45673.0</v>
      </c>
      <c r="B5059" s="4">
        <v>0.3638888888888889</v>
      </c>
      <c r="C5059" s="5" t="s">
        <v>90</v>
      </c>
      <c r="D5059" s="5" t="s">
        <v>1082</v>
      </c>
      <c r="E5059" s="8" t="s">
        <v>292</v>
      </c>
      <c r="F5059" s="5" t="s">
        <v>293</v>
      </c>
      <c r="G5059" s="6" t="str">
        <f>VLOOKUP(E5059,dicionario!$A$1:$C5458,2,0)</f>
        <v>Ascia monuste</v>
      </c>
      <c r="H5059" s="6" t="str">
        <f>VLOOKUP(E5059,dicionario!$A$1:$C5458,3,0)</f>
        <v>borboleta-da-couve</v>
      </c>
    </row>
    <row r="5060">
      <c r="A5060" s="3">
        <v>45673.0</v>
      </c>
      <c r="B5060" s="4">
        <v>0.3638888888888889</v>
      </c>
      <c r="C5060" s="5" t="s">
        <v>90</v>
      </c>
      <c r="D5060" s="5" t="s">
        <v>1082</v>
      </c>
      <c r="E5060" s="8" t="s">
        <v>1067</v>
      </c>
      <c r="F5060" s="5" t="s">
        <v>1068</v>
      </c>
      <c r="G5060" s="6" t="str">
        <f>VLOOKUP(E5060,dicionario!$A$1:$C5459,2,0)</f>
        <v>Burnsius orcynoides</v>
      </c>
      <c r="H5060" s="6" t="str">
        <f>VLOOKUP(E5060,dicionario!$A$1:$C5459,3,0)</f>
        <v/>
      </c>
    </row>
    <row r="5061">
      <c r="A5061" s="3">
        <v>45673.0</v>
      </c>
      <c r="B5061" s="4">
        <v>0.3645833333333333</v>
      </c>
      <c r="C5061" s="5" t="s">
        <v>90</v>
      </c>
      <c r="D5061" s="5" t="s">
        <v>1082</v>
      </c>
      <c r="E5061" s="8" t="s">
        <v>111</v>
      </c>
      <c r="F5061" s="7" t="s">
        <v>112</v>
      </c>
      <c r="G5061" s="6" t="str">
        <f>VLOOKUP(E5061,dicionario!$A$1:$C5460,2,0)</f>
        <v>Trigona spinipes</v>
      </c>
      <c r="H5061" s="6" t="str">
        <f>VLOOKUP(E5061,dicionario!$A$1:$C5460,3,0)</f>
        <v>abelha-cachorro</v>
      </c>
    </row>
    <row r="5062">
      <c r="A5062" s="3">
        <v>45673.0</v>
      </c>
      <c r="B5062" s="4">
        <v>0.3645833333333333</v>
      </c>
      <c r="C5062" s="5" t="s">
        <v>90</v>
      </c>
      <c r="D5062" s="5" t="s">
        <v>1082</v>
      </c>
      <c r="E5062" s="8" t="s">
        <v>286</v>
      </c>
      <c r="F5062" s="5" t="s">
        <v>287</v>
      </c>
      <c r="G5062" s="6" t="str">
        <f>VLOOKUP(E5062,dicionario!$A$1:$C5461,2,0)</f>
        <v>Setaria parviflora</v>
      </c>
      <c r="H5062" s="6" t="str">
        <f>VLOOKUP(E5062,dicionario!$A$1:$C5461,3,0)</f>
        <v>capim-rabo-de-raposa</v>
      </c>
    </row>
    <row r="5063">
      <c r="A5063" s="3">
        <v>45673.0</v>
      </c>
      <c r="B5063" s="4">
        <v>0.3645833333333333</v>
      </c>
      <c r="C5063" s="5" t="s">
        <v>90</v>
      </c>
      <c r="D5063" s="5" t="s">
        <v>1082</v>
      </c>
      <c r="E5063" s="8" t="s">
        <v>195</v>
      </c>
      <c r="F5063" s="5" t="s">
        <v>196</v>
      </c>
      <c r="G5063" s="6" t="str">
        <f>VLOOKUP(E5063,dicionario!$A$1:$C5462,2,0)</f>
        <v>Priva lappulacea</v>
      </c>
      <c r="H5063" s="6" t="str">
        <f>VLOOKUP(E5063,dicionario!$A$1:$C5462,3,0)</f>
        <v>carrapicho</v>
      </c>
    </row>
    <row r="5064">
      <c r="A5064" s="3">
        <v>45673.0</v>
      </c>
      <c r="B5064" s="4">
        <v>0.3659722222222222</v>
      </c>
      <c r="C5064" s="5" t="s">
        <v>90</v>
      </c>
      <c r="D5064" s="5" t="s">
        <v>1082</v>
      </c>
      <c r="E5064" s="8" t="s">
        <v>1098</v>
      </c>
      <c r="F5064" s="5" t="s">
        <v>739</v>
      </c>
      <c r="G5064" s="6" t="str">
        <f>VLOOKUP(E5064,dicionario!$A$1:$C5463,2,0)</f>
        <v>#N/A</v>
      </c>
      <c r="H5064" s="6" t="str">
        <f>VLOOKUP(E5064,dicionario!$A$1:$C5463,3,0)</f>
        <v>#N/A</v>
      </c>
    </row>
    <row r="5065">
      <c r="A5065" s="3">
        <v>45673.0</v>
      </c>
      <c r="B5065" s="4">
        <v>0.3659722222222222</v>
      </c>
      <c r="C5065" s="5" t="s">
        <v>90</v>
      </c>
      <c r="D5065" s="5" t="s">
        <v>1082</v>
      </c>
      <c r="E5065" s="8" t="s">
        <v>613</v>
      </c>
      <c r="F5065" s="5" t="s">
        <v>614</v>
      </c>
      <c r="G5065" s="6" t="str">
        <f>VLOOKUP(E5065,dicionario!$A$1:$C5464,2,0)</f>
        <v>Euphorbia hyssopifolia</v>
      </c>
      <c r="H5065" s="6" t="str">
        <f>VLOOKUP(E5065,dicionario!$A$1:$C5464,3,0)</f>
        <v>maria-leite</v>
      </c>
    </row>
    <row r="5066">
      <c r="A5066" s="3">
        <v>45673.0</v>
      </c>
      <c r="B5066" s="4">
        <v>0.3659722222222222</v>
      </c>
      <c r="C5066" s="5" t="s">
        <v>90</v>
      </c>
      <c r="D5066" s="5" t="s">
        <v>1082</v>
      </c>
      <c r="E5066" s="8" t="s">
        <v>425</v>
      </c>
      <c r="F5066" s="5" t="s">
        <v>426</v>
      </c>
      <c r="G5066" s="6" t="str">
        <f>VLOOKUP(E5066,dicionario!$A$1:$C5465,2,0)</f>
        <v>Digitaria insularis</v>
      </c>
      <c r="H5066" s="6" t="str">
        <f>VLOOKUP(E5066,dicionario!$A$1:$C5465,3,0)</f>
        <v>capim-amargoso</v>
      </c>
    </row>
    <row r="5067">
      <c r="A5067" s="3">
        <v>45673.0</v>
      </c>
      <c r="B5067" s="4">
        <v>0.3659722222222222</v>
      </c>
      <c r="C5067" s="5" t="s">
        <v>90</v>
      </c>
      <c r="D5067" s="5" t="s">
        <v>1082</v>
      </c>
      <c r="E5067" s="8" t="s">
        <v>227</v>
      </c>
      <c r="F5067" s="5" t="s">
        <v>228</v>
      </c>
      <c r="G5067" s="6" t="str">
        <f>VLOOKUP(E5067,dicionario!$A$1:$C5466,2,0)</f>
        <v>Indigofera hirsuta</v>
      </c>
      <c r="H5067" s="6" t="str">
        <f>VLOOKUP(E5067,dicionario!$A$1:$C5466,3,0)</f>
        <v>anileira</v>
      </c>
    </row>
    <row r="5068">
      <c r="A5068" s="3">
        <v>45673.0</v>
      </c>
      <c r="B5068" s="4">
        <v>0.3659722222222222</v>
      </c>
      <c r="C5068" s="5" t="s">
        <v>90</v>
      </c>
      <c r="D5068" s="5" t="s">
        <v>1082</v>
      </c>
      <c r="E5068" s="8" t="s">
        <v>353</v>
      </c>
      <c r="F5068" s="5" t="s">
        <v>354</v>
      </c>
      <c r="G5068" s="6" t="str">
        <f>VLOOKUP(E5068,dicionario!$A$1:$C5467,2,0)</f>
        <v>Desmodium incanum</v>
      </c>
      <c r="H5068" s="6" t="str">
        <f>VLOOKUP(E5068,dicionario!$A$1:$C5467,3,0)</f>
        <v>pega-pega</v>
      </c>
    </row>
    <row r="5069">
      <c r="A5069" s="3">
        <v>45673.0</v>
      </c>
      <c r="B5069" s="4">
        <v>0.36666666666666664</v>
      </c>
      <c r="C5069" s="5" t="s">
        <v>90</v>
      </c>
      <c r="D5069" s="5" t="s">
        <v>1082</v>
      </c>
      <c r="E5069" s="8" t="s">
        <v>253</v>
      </c>
      <c r="F5069" s="5" t="s">
        <v>254</v>
      </c>
      <c r="G5069" s="6" t="str">
        <f>VLOOKUP(E5069,dicionario!$A$1:$C5468,2,0)</f>
        <v>Panicum maximum</v>
      </c>
      <c r="H5069" s="6" t="str">
        <f>VLOOKUP(E5069,dicionario!$A$1:$C5468,3,0)</f>
        <v>capim-colonião</v>
      </c>
    </row>
    <row r="5070">
      <c r="A5070" s="3">
        <v>45673.0</v>
      </c>
      <c r="B5070" s="4">
        <v>0.36666666666666664</v>
      </c>
      <c r="C5070" s="5" t="s">
        <v>90</v>
      </c>
      <c r="D5070" s="5" t="s">
        <v>1082</v>
      </c>
      <c r="E5070" s="8" t="s">
        <v>360</v>
      </c>
      <c r="F5070" s="5" t="s">
        <v>361</v>
      </c>
      <c r="G5070" s="6" t="str">
        <f>VLOOKUP(E5070,dicionario!$A$1:$C5469,2,0)</f>
        <v>Chamaecrista rotundifolia</v>
      </c>
      <c r="H5070" s="6" t="str">
        <f>VLOOKUP(E5070,dicionario!$A$1:$C5469,3,0)</f>
        <v>alfafa-nativa</v>
      </c>
    </row>
    <row r="5071">
      <c r="A5071" s="3">
        <v>45673.0</v>
      </c>
      <c r="B5071" s="4">
        <v>0.36666666666666664</v>
      </c>
      <c r="C5071" s="5" t="s">
        <v>90</v>
      </c>
      <c r="D5071" s="5" t="s">
        <v>1082</v>
      </c>
      <c r="E5071" s="8" t="s">
        <v>467</v>
      </c>
      <c r="F5071" s="5" t="s">
        <v>468</v>
      </c>
      <c r="G5071" s="6" t="str">
        <f>VLOOKUP(E5071,dicionario!$A$1:$C5470,2,0)</f>
        <v>Eleusine indica</v>
      </c>
      <c r="H5071" s="6" t="str">
        <f>VLOOKUP(E5071,dicionario!$A$1:$C5470,3,0)</f>
        <v>capim-pé-de-galinha</v>
      </c>
    </row>
    <row r="5072">
      <c r="A5072" s="3">
        <v>45673.0</v>
      </c>
      <c r="B5072" s="4">
        <v>0.36666666666666664</v>
      </c>
      <c r="C5072" s="5" t="s">
        <v>90</v>
      </c>
      <c r="D5072" s="5" t="s">
        <v>1082</v>
      </c>
      <c r="E5072" s="8" t="s">
        <v>14</v>
      </c>
      <c r="F5072" s="5" t="s">
        <v>15</v>
      </c>
      <c r="G5072" s="6" t="str">
        <f>VLOOKUP(E5072,dicionario!$A$1:$C5471,2,0)</f>
        <v>Spermacoce verticillata</v>
      </c>
      <c r="H5072" s="6" t="str">
        <f>VLOOKUP(E5072,dicionario!$A$1:$C5471,3,0)</f>
        <v>vassourinha-de-botão</v>
      </c>
    </row>
    <row r="5073">
      <c r="A5073" s="3">
        <v>45673.0</v>
      </c>
      <c r="B5073" s="4">
        <v>0.36736111111111114</v>
      </c>
      <c r="C5073" s="5" t="s">
        <v>90</v>
      </c>
      <c r="D5073" s="5" t="s">
        <v>1082</v>
      </c>
      <c r="E5073" s="8" t="s">
        <v>1066</v>
      </c>
      <c r="F5073" s="5" t="s">
        <v>582</v>
      </c>
      <c r="G5073" s="6" t="str">
        <f>VLOOKUP(E5073,dicionario!$A$1:$C5472,2,0)</f>
        <v>#N/A</v>
      </c>
      <c r="H5073" s="6" t="str">
        <f>VLOOKUP(E5073,dicionario!$A$1:$C5472,3,0)</f>
        <v>#N/A</v>
      </c>
    </row>
    <row r="5074">
      <c r="A5074" s="3">
        <v>45673.0</v>
      </c>
      <c r="B5074" s="4">
        <v>0.36736111111111114</v>
      </c>
      <c r="C5074" s="5" t="s">
        <v>90</v>
      </c>
      <c r="D5074" s="5" t="s">
        <v>1082</v>
      </c>
      <c r="E5074" s="8" t="s">
        <v>631</v>
      </c>
      <c r="F5074" s="5" t="s">
        <v>632</v>
      </c>
      <c r="G5074" s="6" t="str">
        <f>VLOOKUP(E5074,dicionario!$A$1:$C5473,2,0)</f>
        <v>Chamaecrista nictitans</v>
      </c>
      <c r="H5074" s="6" t="str">
        <f>VLOOKUP(E5074,dicionario!$A$1:$C5473,3,0)</f>
        <v>falsa-dormideira</v>
      </c>
    </row>
    <row r="5075">
      <c r="A5075" s="3">
        <v>45673.0</v>
      </c>
      <c r="B5075" s="4">
        <v>0.36736111111111114</v>
      </c>
      <c r="C5075" s="5" t="s">
        <v>90</v>
      </c>
      <c r="D5075" s="5" t="s">
        <v>1082</v>
      </c>
      <c r="E5075" s="8" t="s">
        <v>215</v>
      </c>
      <c r="F5075" s="7" t="s">
        <v>216</v>
      </c>
      <c r="G5075" s="6" t="str">
        <f>VLOOKUP(E5075,dicionario!$A$1:$C5474,2,0)</f>
        <v>Pygochelidon cyanoleuca</v>
      </c>
      <c r="H5075" s="6" t="str">
        <f>VLOOKUP(E5075,dicionario!$A$1:$C5474,3,0)</f>
        <v>andorinha-pequena-de-casa</v>
      </c>
    </row>
    <row r="5076">
      <c r="A5076" s="3">
        <v>45673.0</v>
      </c>
      <c r="B5076" s="4">
        <v>0.36736111111111114</v>
      </c>
      <c r="C5076" s="5" t="s">
        <v>90</v>
      </c>
      <c r="D5076" s="5" t="s">
        <v>1082</v>
      </c>
      <c r="E5076" s="8" t="s">
        <v>498</v>
      </c>
      <c r="F5076" s="5" t="s">
        <v>499</v>
      </c>
      <c r="G5076" s="6" t="str">
        <f>VLOOKUP(E5076,dicionario!$A$1:$C5475,2,0)</f>
        <v>Brachiaria decumbens</v>
      </c>
      <c r="H5076" s="6" t="str">
        <f>VLOOKUP(E5076,dicionario!$A$1:$C5475,3,0)</f>
        <v>capim-braquiária</v>
      </c>
    </row>
    <row r="5077">
      <c r="A5077" s="3">
        <v>45673.0</v>
      </c>
      <c r="B5077" s="4">
        <v>0.3680555555555556</v>
      </c>
      <c r="C5077" s="5" t="s">
        <v>90</v>
      </c>
      <c r="D5077" s="5" t="s">
        <v>1082</v>
      </c>
      <c r="E5077" s="20" t="s">
        <v>676</v>
      </c>
      <c r="F5077" s="7" t="s">
        <v>677</v>
      </c>
      <c r="G5077" s="6" t="str">
        <f>VLOOKUP(E5077,dicionario!$A$1:$C5476,2,0)</f>
        <v>Zornia latifolia</v>
      </c>
      <c r="H5077" s="6" t="str">
        <f>VLOOKUP(E5077,dicionario!$A$1:$C5476,3,0)</f>
        <v>arrozinho-do-campo</v>
      </c>
    </row>
    <row r="5078">
      <c r="A5078" s="3">
        <v>45673.0</v>
      </c>
      <c r="B5078" s="4">
        <v>0.3680555555555556</v>
      </c>
      <c r="C5078" s="5" t="s">
        <v>90</v>
      </c>
      <c r="D5078" s="5" t="s">
        <v>1082</v>
      </c>
      <c r="E5078" s="8" t="s">
        <v>72</v>
      </c>
      <c r="F5078" s="5" t="s">
        <v>73</v>
      </c>
      <c r="G5078" s="6" t="str">
        <f>VLOOKUP(E5078,dicionario!$A$1:$C5477,2,0)</f>
        <v>Thraupis palmarum</v>
      </c>
      <c r="H5078" s="6" t="str">
        <f>VLOOKUP(E5078,dicionario!$A$1:$C5477,3,0)</f>
        <v>sanhaço-do-coqueiro</v>
      </c>
    </row>
    <row r="5079">
      <c r="A5079" s="3">
        <v>45673.0</v>
      </c>
      <c r="B5079" s="4">
        <v>0.3680555555555556</v>
      </c>
      <c r="C5079" s="5" t="s">
        <v>90</v>
      </c>
      <c r="D5079" s="5" t="s">
        <v>1082</v>
      </c>
      <c r="E5079" s="8" t="s">
        <v>1036</v>
      </c>
      <c r="F5079" s="5" t="s">
        <v>582</v>
      </c>
      <c r="G5079" s="6" t="str">
        <f>VLOOKUP(E5079,dicionario!$A$1:$C5478,2,0)</f>
        <v>#N/A</v>
      </c>
      <c r="H5079" s="6" t="str">
        <f>VLOOKUP(E5079,dicionario!$A$1:$C5478,3,0)</f>
        <v>#N/A</v>
      </c>
    </row>
    <row r="5080">
      <c r="A5080" s="3">
        <v>45673.0</v>
      </c>
      <c r="B5080" s="4">
        <v>0.3680555555555556</v>
      </c>
      <c r="C5080" s="5" t="s">
        <v>90</v>
      </c>
      <c r="D5080" s="5" t="s">
        <v>1082</v>
      </c>
      <c r="E5080" s="8" t="s">
        <v>1099</v>
      </c>
      <c r="F5080" s="5" t="s">
        <v>1100</v>
      </c>
      <c r="G5080" s="6" t="str">
        <f>VLOOKUP(E5080,dicionario!$A$1:$C5479,2,0)</f>
        <v>#N/A</v>
      </c>
      <c r="H5080" s="6" t="str">
        <f>VLOOKUP(E5080,dicionario!$A$1:$C5479,3,0)</f>
        <v>#N/A</v>
      </c>
    </row>
    <row r="5081">
      <c r="A5081" s="3">
        <v>45673.0</v>
      </c>
      <c r="B5081" s="4">
        <v>0.3680555555555556</v>
      </c>
      <c r="C5081" s="5" t="s">
        <v>90</v>
      </c>
      <c r="D5081" s="5" t="s">
        <v>1082</v>
      </c>
      <c r="E5081" s="8" t="s">
        <v>712</v>
      </c>
      <c r="F5081" s="5" t="s">
        <v>1006</v>
      </c>
      <c r="G5081" s="6" t="str">
        <f>VLOOKUP(E5081,dicionario!$A$1:$C5480,2,0)</f>
        <v>Flavopunctelia soredica</v>
      </c>
      <c r="H5081" s="6" t="str">
        <f>VLOOKUP(E5081,dicionario!$A$1:$C5480,3,0)</f>
        <v>líquen-folioso</v>
      </c>
    </row>
    <row r="5082">
      <c r="A5082" s="3">
        <v>45673.0</v>
      </c>
      <c r="B5082" s="4">
        <v>0.3680555555555556</v>
      </c>
      <c r="C5082" s="5" t="s">
        <v>90</v>
      </c>
      <c r="D5082" s="5" t="s">
        <v>1082</v>
      </c>
      <c r="E5082" s="8" t="s">
        <v>719</v>
      </c>
      <c r="F5082" s="5" t="s">
        <v>1005</v>
      </c>
      <c r="G5082" s="6" t="str">
        <f>VLOOKUP(E5082,dicionario!$A$1:$C5481,2,0)</f>
        <v>Dirinaria</v>
      </c>
      <c r="H5082" s="6" t="str">
        <f>VLOOKUP(E5082,dicionario!$A$1:$C5481,3,0)</f>
        <v>líquen-crostoso</v>
      </c>
    </row>
    <row r="5083">
      <c r="A5083" s="3">
        <v>45673.0</v>
      </c>
      <c r="B5083" s="4">
        <v>0.3680555555555556</v>
      </c>
      <c r="C5083" s="5" t="s">
        <v>90</v>
      </c>
      <c r="D5083" s="5" t="s">
        <v>1082</v>
      </c>
      <c r="E5083" s="8" t="s">
        <v>107</v>
      </c>
      <c r="F5083" s="5" t="s">
        <v>1101</v>
      </c>
      <c r="G5083" s="6" t="str">
        <f>VLOOKUP(E5083,dicionario!$A$1:$C5482,2,0)</f>
        <v>Ramalina complanata</v>
      </c>
      <c r="H5083" s="6" t="str">
        <f>VLOOKUP(E5083,dicionario!$A$1:$C5482,3,0)</f>
        <v>ramalina</v>
      </c>
    </row>
    <row r="5084">
      <c r="A5084" s="3">
        <v>45673.0</v>
      </c>
      <c r="B5084" s="4">
        <v>0.36875</v>
      </c>
      <c r="C5084" s="5" t="s">
        <v>90</v>
      </c>
      <c r="D5084" s="5" t="s">
        <v>1082</v>
      </c>
      <c r="E5084" s="8" t="s">
        <v>938</v>
      </c>
      <c r="F5084" s="5" t="s">
        <v>737</v>
      </c>
      <c r="G5084" s="6" t="str">
        <f>VLOOKUP(E5084,dicionario!$A$1:$C5483,2,0)</f>
        <v>Chloris barbata</v>
      </c>
      <c r="H5084" s="6" t="str">
        <f>VLOOKUP(E5084,dicionario!$A$1:$C5483,3,0)</f>
        <v/>
      </c>
    </row>
    <row r="5085">
      <c r="A5085" s="3">
        <v>45673.0</v>
      </c>
      <c r="B5085" s="4">
        <v>0.36875</v>
      </c>
      <c r="C5085" s="5" t="s">
        <v>90</v>
      </c>
      <c r="D5085" s="5" t="s">
        <v>1082</v>
      </c>
      <c r="E5085" s="6" t="s">
        <v>317</v>
      </c>
      <c r="F5085" s="5" t="s">
        <v>318</v>
      </c>
      <c r="G5085" s="6" t="str">
        <f>VLOOKUP(E5085,dicionario!$A$1:$C5484,2,0)</f>
        <v>Leucauge argyra</v>
      </c>
      <c r="H5085" s="6" t="str">
        <f>VLOOKUP(E5085,dicionario!$A$1:$C5484,3,0)</f>
        <v>aranha-de-mandibula-longa</v>
      </c>
    </row>
    <row r="5086">
      <c r="A5086" s="3">
        <v>45673.0</v>
      </c>
      <c r="B5086" s="4">
        <v>0.36875</v>
      </c>
      <c r="C5086" s="5" t="s">
        <v>90</v>
      </c>
      <c r="D5086" s="5" t="s">
        <v>1082</v>
      </c>
      <c r="E5086" s="8" t="s">
        <v>748</v>
      </c>
      <c r="F5086" s="7" t="s">
        <v>749</v>
      </c>
      <c r="G5086" s="6" t="str">
        <f>VLOOKUP(E5086,dicionario!$A$1:$C5485,2,0)</f>
        <v>#N/A</v>
      </c>
      <c r="H5086" s="6" t="str">
        <f>VLOOKUP(E5086,dicionario!$A$1:$C5485,3,0)</f>
        <v>#N/A</v>
      </c>
    </row>
    <row r="5087">
      <c r="A5087" s="3">
        <v>45673.0</v>
      </c>
      <c r="B5087" s="4">
        <v>0.36944444444444446</v>
      </c>
      <c r="C5087" s="5" t="s">
        <v>90</v>
      </c>
      <c r="D5087" s="5" t="s">
        <v>1082</v>
      </c>
      <c r="E5087" s="8" t="s">
        <v>1102</v>
      </c>
      <c r="F5087" s="5" t="s">
        <v>1103</v>
      </c>
      <c r="G5087" s="6" t="str">
        <f>VLOOKUP(E5087,dicionario!$A$1:$C5486,2,0)</f>
        <v>Bubulcus ibis</v>
      </c>
      <c r="H5087" s="6" t="str">
        <f>VLOOKUP(E5087,dicionario!$A$1:$C5486,3,0)</f>
        <v>garça-vaqueira</v>
      </c>
    </row>
    <row r="5088">
      <c r="A5088" s="3">
        <v>45673.0</v>
      </c>
      <c r="B5088" s="4">
        <v>0.36944444444444446</v>
      </c>
      <c r="C5088" s="5" t="s">
        <v>90</v>
      </c>
      <c r="D5088" s="5" t="s">
        <v>1082</v>
      </c>
      <c r="E5088" s="8" t="s">
        <v>43</v>
      </c>
      <c r="F5088" s="5" t="s">
        <v>44</v>
      </c>
      <c r="G5088" s="6" t="str">
        <f>VLOOKUP(E5088,dicionario!$A$1:$C5487,2,0)</f>
        <v>Columba livia</v>
      </c>
      <c r="H5088" s="6" t="str">
        <f>VLOOKUP(E5088,dicionario!$A$1:$C5487,3,0)</f>
        <v>pombo-doméstico</v>
      </c>
    </row>
    <row r="5089">
      <c r="A5089" s="3">
        <v>45680.0</v>
      </c>
      <c r="B5089" s="4">
        <v>0.25763888888888886</v>
      </c>
      <c r="C5089" s="5" t="s">
        <v>90</v>
      </c>
      <c r="D5089" s="5" t="s">
        <v>1082</v>
      </c>
      <c r="E5089" s="8" t="s">
        <v>302</v>
      </c>
      <c r="F5089" s="5" t="s">
        <v>89</v>
      </c>
      <c r="G5089" s="6" t="str">
        <f>VLOOKUP(E5089,dicionario!$A$1:$C5488,2,0)</f>
        <v>Machetornis rixosa</v>
      </c>
      <c r="H5089" s="6" t="str">
        <f>VLOOKUP(E5089,dicionario!$A$1:$C5488,3,0)</f>
        <v>suiriri-cavaleiro</v>
      </c>
    </row>
    <row r="5090">
      <c r="A5090" s="3">
        <v>45680.0</v>
      </c>
      <c r="B5090" s="4">
        <v>0.25763888888888886</v>
      </c>
      <c r="C5090" s="5" t="s">
        <v>90</v>
      </c>
      <c r="D5090" s="5" t="s">
        <v>1082</v>
      </c>
      <c r="E5090" s="8" t="s">
        <v>65</v>
      </c>
      <c r="F5090" s="5" t="s">
        <v>66</v>
      </c>
      <c r="G5090" s="6" t="str">
        <f>VLOOKUP(E5090,dicionario!$A$1:$C5489,2,0)</f>
        <v>Pitangus sulphutarus</v>
      </c>
      <c r="H5090" s="6" t="str">
        <f>VLOOKUP(E5090,dicionario!$A$1:$C5489,3,0)</f>
        <v>bem-te-vi</v>
      </c>
    </row>
    <row r="5091">
      <c r="A5091" s="3">
        <v>45680.0</v>
      </c>
      <c r="B5091" s="4">
        <v>0.25763888888888886</v>
      </c>
      <c r="C5091" s="5" t="s">
        <v>90</v>
      </c>
      <c r="D5091" s="5" t="s">
        <v>1082</v>
      </c>
      <c r="E5091" s="8" t="s">
        <v>91</v>
      </c>
      <c r="F5091" s="5" t="s">
        <v>92</v>
      </c>
      <c r="G5091" s="6" t="str">
        <f>VLOOKUP(E5091,dicionario!$A$1:$C5490,2,0)</f>
        <v>Picumnus cirratus</v>
      </c>
      <c r="H5091" s="6" t="str">
        <f>VLOOKUP(E5091,dicionario!$A$1:$C5490,3,0)</f>
        <v>picapauzinho-barrado</v>
      </c>
    </row>
    <row r="5092">
      <c r="A5092" s="3">
        <v>45680.0</v>
      </c>
      <c r="B5092" s="4">
        <v>0.25763888888888886</v>
      </c>
      <c r="C5092" s="5" t="s">
        <v>90</v>
      </c>
      <c r="D5092" s="5" t="s">
        <v>1082</v>
      </c>
      <c r="E5092" s="8" t="s">
        <v>111</v>
      </c>
      <c r="F5092" s="7" t="s">
        <v>112</v>
      </c>
      <c r="G5092" s="6" t="str">
        <f>VLOOKUP(E5092,dicionario!$A$1:$C5491,2,0)</f>
        <v>Trigona spinipes</v>
      </c>
      <c r="H5092" s="6" t="str">
        <f>VLOOKUP(E5092,dicionario!$A$1:$C5491,3,0)</f>
        <v>abelha-cachorro</v>
      </c>
    </row>
    <row r="5093">
      <c r="A5093" s="3">
        <v>45680.0</v>
      </c>
      <c r="B5093" s="4">
        <v>0.25763888888888886</v>
      </c>
      <c r="C5093" s="5" t="s">
        <v>90</v>
      </c>
      <c r="D5093" s="5" t="s">
        <v>1082</v>
      </c>
      <c r="E5093" s="8" t="s">
        <v>10</v>
      </c>
      <c r="F5093" s="5" t="s">
        <v>11</v>
      </c>
      <c r="G5093" s="6" t="str">
        <f>VLOOKUP(E5093,dicionario!$A$1:$C5492,2,0)</f>
        <v>Guira guira</v>
      </c>
      <c r="H5093" s="6" t="str">
        <f>VLOOKUP(E5093,dicionario!$A$1:$C5492,3,0)</f>
        <v>anu-branco</v>
      </c>
    </row>
    <row r="5094">
      <c r="A5094" s="3">
        <v>45680.0</v>
      </c>
      <c r="B5094" s="4">
        <v>0.25763888888888886</v>
      </c>
      <c r="C5094" s="5" t="s">
        <v>90</v>
      </c>
      <c r="D5094" s="5" t="s">
        <v>1082</v>
      </c>
      <c r="E5094" s="8" t="s">
        <v>53</v>
      </c>
      <c r="F5094" s="7" t="s">
        <v>54</v>
      </c>
      <c r="G5094" s="6" t="str">
        <f>VLOOKUP(E5094,dicionario!$A$1:$C5493,2,0)</f>
        <v>Turnera subulata</v>
      </c>
      <c r="H5094" s="6" t="str">
        <f>VLOOKUP(E5094,dicionario!$A$1:$C5493,3,0)</f>
        <v>xanana</v>
      </c>
    </row>
    <row r="5095">
      <c r="A5095" s="3">
        <v>45680.0</v>
      </c>
      <c r="B5095" s="4">
        <v>0.25763888888888886</v>
      </c>
      <c r="C5095" s="5" t="s">
        <v>90</v>
      </c>
      <c r="D5095" s="5" t="s">
        <v>1082</v>
      </c>
      <c r="E5095" s="8" t="s">
        <v>113</v>
      </c>
      <c r="F5095" s="5" t="s">
        <v>114</v>
      </c>
      <c r="G5095" s="6" t="str">
        <f>VLOOKUP(E5095,dicionario!$A$1:$C5494,2,0)</f>
        <v>Columbina talpacoti</v>
      </c>
      <c r="H5095" s="6" t="str">
        <f>VLOOKUP(E5095,dicionario!$A$1:$C5494,3,0)</f>
        <v>rolinha-roxa</v>
      </c>
    </row>
    <row r="5096">
      <c r="A5096" s="3">
        <v>45680.0</v>
      </c>
      <c r="B5096" s="4">
        <v>0.2590277777777778</v>
      </c>
      <c r="C5096" s="5" t="s">
        <v>90</v>
      </c>
      <c r="D5096" s="5" t="s">
        <v>1082</v>
      </c>
      <c r="E5096" s="8" t="s">
        <v>175</v>
      </c>
      <c r="F5096" s="5" t="s">
        <v>176</v>
      </c>
      <c r="G5096" s="6" t="str">
        <f>VLOOKUP(E5096,dicionario!$A$1:$C5495,2,0)</f>
        <v>Turdus leucomelas</v>
      </c>
      <c r="H5096" s="6" t="str">
        <f>VLOOKUP(E5096,dicionario!$A$1:$C5495,3,0)</f>
        <v>sabiá-barranco</v>
      </c>
    </row>
    <row r="5097">
      <c r="A5097" s="3">
        <v>45680.0</v>
      </c>
      <c r="B5097" s="4">
        <v>0.2590277777777778</v>
      </c>
      <c r="C5097" s="5" t="s">
        <v>90</v>
      </c>
      <c r="D5097" s="5" t="s">
        <v>1082</v>
      </c>
      <c r="E5097" s="8" t="s">
        <v>99</v>
      </c>
      <c r="F5097" s="5" t="s">
        <v>508</v>
      </c>
      <c r="G5097" s="6" t="str">
        <f>VLOOKUP(E5097,dicionario!$A$1:$C5496,2,0)</f>
        <v>Molothrus bonariensis</v>
      </c>
      <c r="H5097" s="6" t="str">
        <f>VLOOKUP(E5097,dicionario!$A$1:$C5496,3,0)</f>
        <v>chupim</v>
      </c>
    </row>
    <row r="5098">
      <c r="A5098" s="3">
        <v>45680.0</v>
      </c>
      <c r="B5098" s="4">
        <v>0.2590277777777778</v>
      </c>
      <c r="C5098" s="5" t="s">
        <v>90</v>
      </c>
      <c r="D5098" s="5" t="s">
        <v>1082</v>
      </c>
      <c r="E5098" s="8" t="s">
        <v>109</v>
      </c>
      <c r="F5098" s="5" t="s">
        <v>110</v>
      </c>
      <c r="G5098" s="6" t="str">
        <f>VLOOKUP(E5098,dicionario!$A$1:$C5497,2,0)</f>
        <v>Tillandsia stricta</v>
      </c>
      <c r="H5098" s="6" t="str">
        <f>VLOOKUP(E5098,dicionario!$A$1:$C5497,3,0)</f>
        <v>cravo-do-mato</v>
      </c>
    </row>
    <row r="5099">
      <c r="A5099" s="3">
        <v>45680.0</v>
      </c>
      <c r="B5099" s="4">
        <v>0.2590277777777778</v>
      </c>
      <c r="C5099" s="5" t="s">
        <v>90</v>
      </c>
      <c r="D5099" s="5" t="s">
        <v>1082</v>
      </c>
      <c r="E5099" s="8" t="s">
        <v>206</v>
      </c>
      <c r="F5099" s="5" t="s">
        <v>968</v>
      </c>
      <c r="G5099" s="6" t="str">
        <f>VLOOKUP(E5099,dicionario!$A$1:$C5498,2,0)</f>
        <v>Falco sparverius</v>
      </c>
      <c r="H5099" s="6" t="str">
        <f>VLOOKUP(E5099,dicionario!$A$1:$C5498,3,0)</f>
        <v>quiriquiri</v>
      </c>
    </row>
    <row r="5100">
      <c r="A5100" s="3">
        <v>45680.0</v>
      </c>
      <c r="B5100" s="4">
        <v>0.2590277777777778</v>
      </c>
      <c r="C5100" s="5" t="s">
        <v>90</v>
      </c>
      <c r="D5100" s="5" t="s">
        <v>1082</v>
      </c>
      <c r="E5100" s="8" t="s">
        <v>631</v>
      </c>
      <c r="F5100" s="5" t="s">
        <v>632</v>
      </c>
      <c r="G5100" s="6" t="str">
        <f>VLOOKUP(E5100,dicionario!$A$1:$C5499,2,0)</f>
        <v>Chamaecrista nictitans</v>
      </c>
      <c r="H5100" s="6" t="str">
        <f>VLOOKUP(E5100,dicionario!$A$1:$C5499,3,0)</f>
        <v>falsa-dormideira</v>
      </c>
    </row>
    <row r="5101">
      <c r="A5101" s="3">
        <v>45680.0</v>
      </c>
      <c r="B5101" s="4">
        <v>0.2590277777777778</v>
      </c>
      <c r="C5101" s="5" t="s">
        <v>90</v>
      </c>
      <c r="D5101" s="5" t="s">
        <v>1082</v>
      </c>
      <c r="E5101" s="8" t="s">
        <v>227</v>
      </c>
      <c r="F5101" s="5" t="s">
        <v>228</v>
      </c>
      <c r="G5101" s="6" t="str">
        <f>VLOOKUP(E5101,dicionario!$A$1:$C5500,2,0)</f>
        <v>Indigofera hirsuta</v>
      </c>
      <c r="H5101" s="6" t="str">
        <f>VLOOKUP(E5101,dicionario!$A$1:$C5500,3,0)</f>
        <v>anileira</v>
      </c>
    </row>
    <row r="5102">
      <c r="A5102" s="3">
        <v>45680.0</v>
      </c>
      <c r="B5102" s="4">
        <v>0.2590277777777778</v>
      </c>
      <c r="C5102" s="5" t="s">
        <v>90</v>
      </c>
      <c r="D5102" s="5" t="s">
        <v>1082</v>
      </c>
      <c r="E5102" s="8" t="s">
        <v>213</v>
      </c>
      <c r="F5102" s="7" t="s">
        <v>214</v>
      </c>
      <c r="G5102" s="6" t="str">
        <f>VLOOKUP(E5102,dicionario!$A$1:$C5501,2,0)</f>
        <v>Myiozetetes similis</v>
      </c>
      <c r="H5102" s="6" t="str">
        <f>VLOOKUP(E5102,dicionario!$A$1:$C5501,3,0)</f>
        <v>bentevizinho-de-penacho-vermelho</v>
      </c>
    </row>
    <row r="5103">
      <c r="A5103" s="3">
        <v>45680.0</v>
      </c>
      <c r="B5103" s="4">
        <v>0.2590277777777778</v>
      </c>
      <c r="C5103" s="5" t="s">
        <v>90</v>
      </c>
      <c r="D5103" s="5" t="s">
        <v>1082</v>
      </c>
      <c r="E5103" s="8" t="s">
        <v>503</v>
      </c>
      <c r="F5103" s="5" t="s">
        <v>414</v>
      </c>
      <c r="G5103" s="6" t="str">
        <f>VLOOKUP(E5103,dicionario!$A$1:$C5502,2,0)</f>
        <v>Orphulella punctata</v>
      </c>
      <c r="H5103" s="6" t="str">
        <f>VLOOKUP(E5103,dicionario!$A$1:$C5502,3,0)</f>
        <v>gafanhotinho</v>
      </c>
    </row>
    <row r="5104">
      <c r="A5104" s="3">
        <v>45680.0</v>
      </c>
      <c r="B5104" s="4">
        <v>0.2604166666666667</v>
      </c>
      <c r="C5104" s="5" t="s">
        <v>90</v>
      </c>
      <c r="D5104" s="5" t="s">
        <v>1082</v>
      </c>
      <c r="E5104" s="8" t="s">
        <v>43</v>
      </c>
      <c r="F5104" s="5" t="s">
        <v>44</v>
      </c>
      <c r="G5104" s="6" t="str">
        <f>VLOOKUP(E5104,dicionario!$A$1:$C5503,2,0)</f>
        <v>Columba livia</v>
      </c>
      <c r="H5104" s="6" t="str">
        <f>VLOOKUP(E5104,dicionario!$A$1:$C5503,3,0)</f>
        <v>pombo-doméstico</v>
      </c>
    </row>
    <row r="5105">
      <c r="A5105" s="3">
        <v>45680.0</v>
      </c>
      <c r="B5105" s="4">
        <v>0.2604166666666667</v>
      </c>
      <c r="C5105" s="5" t="s">
        <v>90</v>
      </c>
      <c r="D5105" s="5" t="s">
        <v>1082</v>
      </c>
      <c r="E5105" s="8" t="s">
        <v>135</v>
      </c>
      <c r="F5105" s="5" t="s">
        <v>136</v>
      </c>
      <c r="G5105" s="6" t="str">
        <f>VLOOKUP(E5105,dicionario!$A$1:$C5504,2,0)</f>
        <v>Tridax procumbens</v>
      </c>
      <c r="H5105" s="6" t="str">
        <f>VLOOKUP(E5105,dicionario!$A$1:$C5504,3,0)</f>
        <v>erva-de-touro</v>
      </c>
    </row>
    <row r="5106">
      <c r="A5106" s="3">
        <v>45680.0</v>
      </c>
      <c r="B5106" s="4">
        <v>0.2604166666666667</v>
      </c>
      <c r="C5106" s="5" t="s">
        <v>90</v>
      </c>
      <c r="D5106" s="5" t="s">
        <v>1082</v>
      </c>
      <c r="E5106" s="8" t="s">
        <v>1002</v>
      </c>
      <c r="F5106" s="5" t="s">
        <v>1003</v>
      </c>
      <c r="G5106" s="6" t="str">
        <f>VLOOKUP(E5106,dicionario!$A$1:$C5505,2,0)</f>
        <v>#N/A</v>
      </c>
      <c r="H5106" s="6" t="str">
        <f>VLOOKUP(E5106,dicionario!$A$1:$C5505,3,0)</f>
        <v>#N/A</v>
      </c>
    </row>
    <row r="5107">
      <c r="A5107" s="3">
        <v>45680.0</v>
      </c>
      <c r="B5107" s="4">
        <v>0.2604166666666667</v>
      </c>
      <c r="C5107" s="5" t="s">
        <v>90</v>
      </c>
      <c r="D5107" s="5" t="s">
        <v>1082</v>
      </c>
      <c r="E5107" s="8" t="s">
        <v>38</v>
      </c>
      <c r="F5107" s="5" t="s">
        <v>39</v>
      </c>
      <c r="G5107" s="6" t="str">
        <f>VLOOKUP(E5107,dicionario!$A$1:$C5506,2,0)</f>
        <v>Troglodytes musculus</v>
      </c>
      <c r="H5107" s="6" t="str">
        <f>VLOOKUP(E5107,dicionario!$A$1:$C5506,3,0)</f>
        <v>curruíra</v>
      </c>
    </row>
    <row r="5108">
      <c r="A5108" s="3">
        <v>45680.0</v>
      </c>
      <c r="B5108" s="4">
        <v>0.2604166666666667</v>
      </c>
      <c r="C5108" s="5" t="s">
        <v>90</v>
      </c>
      <c r="D5108" s="5" t="s">
        <v>1082</v>
      </c>
      <c r="E5108" s="8" t="s">
        <v>378</v>
      </c>
      <c r="F5108" s="5" t="s">
        <v>205</v>
      </c>
      <c r="G5108" s="6" t="str">
        <f>VLOOKUP(E5108,dicionario!$A$1:$C5507,2,0)</f>
        <v>Polistes</v>
      </c>
      <c r="H5108" s="6" t="str">
        <f>VLOOKUP(E5108,dicionario!$A$1:$C5507,3,0)</f>
        <v>marimbondo</v>
      </c>
    </row>
    <row r="5109">
      <c r="A5109" s="3">
        <v>45680.0</v>
      </c>
      <c r="B5109" s="4">
        <v>0.2611111111111111</v>
      </c>
      <c r="C5109" s="5" t="s">
        <v>90</v>
      </c>
      <c r="D5109" s="5" t="s">
        <v>1082</v>
      </c>
      <c r="E5109" s="8" t="s">
        <v>425</v>
      </c>
      <c r="F5109" s="5" t="s">
        <v>426</v>
      </c>
      <c r="G5109" s="6" t="str">
        <f>VLOOKUP(E5109,dicionario!$A$1:$C5508,2,0)</f>
        <v>Digitaria insularis</v>
      </c>
      <c r="H5109" s="6" t="str">
        <f>VLOOKUP(E5109,dicionario!$A$1:$C5508,3,0)</f>
        <v>capim-amargoso</v>
      </c>
    </row>
    <row r="5110">
      <c r="A5110" s="3">
        <v>45680.0</v>
      </c>
      <c r="B5110" s="4">
        <v>0.2611111111111111</v>
      </c>
      <c r="C5110" s="5" t="s">
        <v>90</v>
      </c>
      <c r="D5110" s="5" t="s">
        <v>1082</v>
      </c>
      <c r="E5110" s="8" t="s">
        <v>14</v>
      </c>
      <c r="F5110" s="5" t="s">
        <v>15</v>
      </c>
      <c r="G5110" s="6" t="str">
        <f>VLOOKUP(E5110,dicionario!$A$1:$C5509,2,0)</f>
        <v>Spermacoce verticillata</v>
      </c>
      <c r="H5110" s="6" t="str">
        <f>VLOOKUP(E5110,dicionario!$A$1:$C5509,3,0)</f>
        <v>vassourinha-de-botão</v>
      </c>
    </row>
    <row r="5111">
      <c r="A5111" s="3">
        <v>45680.0</v>
      </c>
      <c r="B5111" s="4">
        <v>0.2611111111111111</v>
      </c>
      <c r="C5111" s="5" t="s">
        <v>90</v>
      </c>
      <c r="D5111" s="5" t="s">
        <v>1082</v>
      </c>
      <c r="E5111" s="8" t="s">
        <v>253</v>
      </c>
      <c r="F5111" s="5" t="s">
        <v>254</v>
      </c>
      <c r="G5111" s="6" t="str">
        <f>VLOOKUP(E5111,dicionario!$A$1:$C5510,2,0)</f>
        <v>Panicum maximum</v>
      </c>
      <c r="H5111" s="6" t="str">
        <f>VLOOKUP(E5111,dicionario!$A$1:$C5510,3,0)</f>
        <v>capim-colonião</v>
      </c>
    </row>
    <row r="5112">
      <c r="A5112" s="3">
        <v>45680.0</v>
      </c>
      <c r="B5112" s="4">
        <v>0.26180555555555557</v>
      </c>
      <c r="C5112" s="5" t="s">
        <v>90</v>
      </c>
      <c r="D5112" s="5" t="s">
        <v>1082</v>
      </c>
      <c r="E5112" s="8" t="s">
        <v>10</v>
      </c>
      <c r="F5112" s="5" t="s">
        <v>11</v>
      </c>
      <c r="G5112" s="6" t="str">
        <f>VLOOKUP(E5112,dicionario!$A$1:$C5511,2,0)</f>
        <v>Guira guira</v>
      </c>
      <c r="H5112" s="6" t="str">
        <f>VLOOKUP(E5112,dicionario!$A$1:$C5511,3,0)</f>
        <v>anu-branco</v>
      </c>
    </row>
    <row r="5113">
      <c r="A5113" s="3">
        <v>45680.0</v>
      </c>
      <c r="B5113" s="4">
        <v>0.2625</v>
      </c>
      <c r="C5113" s="5" t="s">
        <v>90</v>
      </c>
      <c r="D5113" s="5" t="s">
        <v>1082</v>
      </c>
      <c r="E5113" s="8" t="s">
        <v>1104</v>
      </c>
      <c r="F5113" s="5" t="s">
        <v>1105</v>
      </c>
      <c r="G5113" s="6" t="str">
        <f>VLOOKUP(E5113,dicionario!$A$1:$C5512,2,0)</f>
        <v>Rhynchospora speciosa</v>
      </c>
      <c r="H5113" s="6" t="str">
        <f>VLOOKUP(E5113,dicionario!$A$1:$C5512,3,0)</f>
        <v>capim-estrela</v>
      </c>
    </row>
    <row r="5114">
      <c r="A5114" s="3">
        <v>45680.0</v>
      </c>
      <c r="B5114" s="4">
        <v>0.2625</v>
      </c>
      <c r="C5114" s="5" t="s">
        <v>90</v>
      </c>
      <c r="D5114" s="5" t="s">
        <v>1082</v>
      </c>
      <c r="E5114" s="20" t="s">
        <v>676</v>
      </c>
      <c r="F5114" s="7" t="s">
        <v>677</v>
      </c>
      <c r="G5114" s="6" t="str">
        <f>VLOOKUP(E5114,dicionario!$A$1:$C5513,2,0)</f>
        <v>Zornia latifolia</v>
      </c>
      <c r="H5114" s="6" t="str">
        <f>VLOOKUP(E5114,dicionario!$A$1:$C5513,3,0)</f>
        <v>arrozinho-do-campo</v>
      </c>
    </row>
    <row r="5115">
      <c r="A5115" s="3">
        <v>45680.0</v>
      </c>
      <c r="B5115" s="4">
        <v>0.2625</v>
      </c>
      <c r="C5115" s="5" t="s">
        <v>90</v>
      </c>
      <c r="D5115" s="5" t="s">
        <v>1082</v>
      </c>
      <c r="E5115" s="8" t="s">
        <v>758</v>
      </c>
      <c r="F5115" s="5" t="s">
        <v>759</v>
      </c>
      <c r="G5115" s="6" t="str">
        <f>VLOOKUP(E5115,dicionario!$A$1:$C5514,2,0)</f>
        <v>Cyperus esculentus</v>
      </c>
      <c r="H5115" s="6" t="str">
        <f>VLOOKUP(E5115,dicionario!$A$1:$C5514,3,0)</f>
        <v>tiriricão</v>
      </c>
    </row>
    <row r="5116">
      <c r="A5116" s="3">
        <v>45680.0</v>
      </c>
      <c r="B5116" s="4">
        <v>0.26319444444444445</v>
      </c>
      <c r="C5116" s="5" t="s">
        <v>90</v>
      </c>
      <c r="D5116" s="5" t="s">
        <v>1082</v>
      </c>
      <c r="E5116" s="8" t="s">
        <v>353</v>
      </c>
      <c r="F5116" s="5" t="s">
        <v>354</v>
      </c>
      <c r="G5116" s="6" t="str">
        <f>VLOOKUP(E5116,dicionario!$A$1:$C5515,2,0)</f>
        <v>Desmodium incanum</v>
      </c>
      <c r="H5116" s="6" t="str">
        <f>VLOOKUP(E5116,dicionario!$A$1:$C5515,3,0)</f>
        <v>pega-pega</v>
      </c>
    </row>
    <row r="5117">
      <c r="A5117" s="3">
        <v>45680.0</v>
      </c>
      <c r="B5117" s="4">
        <v>0.26319444444444445</v>
      </c>
      <c r="C5117" s="5" t="s">
        <v>90</v>
      </c>
      <c r="D5117" s="5" t="s">
        <v>1082</v>
      </c>
      <c r="E5117" s="8" t="s">
        <v>298</v>
      </c>
      <c r="F5117" s="5" t="s">
        <v>739</v>
      </c>
      <c r="G5117" s="6" t="str">
        <f>VLOOKUP(E5117,dicionario!$A$1:$C5516,2,0)</f>
        <v>Alysicarpus vaginalis</v>
      </c>
      <c r="H5117" s="6" t="str">
        <f>VLOOKUP(E5117,dicionario!$A$1:$C5516,3,0)</f>
        <v/>
      </c>
    </row>
    <row r="5118">
      <c r="A5118" s="3">
        <v>45680.0</v>
      </c>
      <c r="B5118" s="4">
        <v>0.26319444444444445</v>
      </c>
      <c r="C5118" s="5" t="s">
        <v>90</v>
      </c>
      <c r="D5118" s="5" t="s">
        <v>1082</v>
      </c>
      <c r="E5118" s="8" t="s">
        <v>243</v>
      </c>
      <c r="F5118" s="5" t="s">
        <v>244</v>
      </c>
      <c r="G5118" s="6" t="str">
        <f>VLOOKUP(E5118,dicionario!$A$1:$C5517,2,0)</f>
        <v>Macroptilium atropurpureum</v>
      </c>
      <c r="H5118" s="6" t="str">
        <f>VLOOKUP(E5118,dicionario!$A$1:$C5517,3,0)</f>
        <v>feijão-de-pombo</v>
      </c>
    </row>
    <row r="5119">
      <c r="A5119" s="3">
        <v>45680.0</v>
      </c>
      <c r="B5119" s="4">
        <v>0.2638888888888889</v>
      </c>
      <c r="C5119" s="5" t="s">
        <v>90</v>
      </c>
      <c r="D5119" s="5" t="s">
        <v>1082</v>
      </c>
      <c r="E5119" s="8" t="s">
        <v>712</v>
      </c>
      <c r="F5119" s="5" t="s">
        <v>1006</v>
      </c>
      <c r="G5119" s="6" t="str">
        <f>VLOOKUP(E5119,dicionario!$A$1:$C5518,2,0)</f>
        <v>Flavopunctelia soredica</v>
      </c>
      <c r="H5119" s="6" t="str">
        <f>VLOOKUP(E5119,dicionario!$A$1:$C5518,3,0)</f>
        <v>líquen-folioso</v>
      </c>
    </row>
    <row r="5120">
      <c r="A5120" s="3">
        <v>45680.0</v>
      </c>
      <c r="B5120" s="4">
        <v>0.2638888888888889</v>
      </c>
      <c r="C5120" s="5" t="s">
        <v>90</v>
      </c>
      <c r="D5120" s="5" t="s">
        <v>1082</v>
      </c>
      <c r="E5120" s="8" t="s">
        <v>719</v>
      </c>
      <c r="F5120" s="5" t="s">
        <v>1005</v>
      </c>
      <c r="G5120" s="6" t="str">
        <f>VLOOKUP(E5120,dicionario!$A$1:$C5519,2,0)</f>
        <v>Dirinaria</v>
      </c>
      <c r="H5120" s="6" t="str">
        <f>VLOOKUP(E5120,dicionario!$A$1:$C5519,3,0)</f>
        <v>líquen-crostoso</v>
      </c>
    </row>
    <row r="5121">
      <c r="A5121" s="3">
        <v>45680.0</v>
      </c>
      <c r="B5121" s="4">
        <v>0.2638888888888889</v>
      </c>
      <c r="C5121" s="5" t="s">
        <v>90</v>
      </c>
      <c r="D5121" s="5" t="s">
        <v>1082</v>
      </c>
      <c r="E5121" s="8" t="s">
        <v>107</v>
      </c>
      <c r="F5121" s="5" t="s">
        <v>1101</v>
      </c>
      <c r="G5121" s="6" t="str">
        <f>VLOOKUP(E5121,dicionario!$A$1:$C5520,2,0)</f>
        <v>Ramalina complanata</v>
      </c>
      <c r="H5121" s="6" t="str">
        <f>VLOOKUP(E5121,dicionario!$A$1:$C5520,3,0)</f>
        <v>ramalina</v>
      </c>
    </row>
    <row r="5122">
      <c r="A5122" s="3">
        <v>45680.0</v>
      </c>
      <c r="B5122" s="4">
        <v>0.2638888888888889</v>
      </c>
      <c r="C5122" s="5" t="s">
        <v>90</v>
      </c>
      <c r="D5122" s="5" t="s">
        <v>1082</v>
      </c>
      <c r="E5122" s="6" t="s">
        <v>317</v>
      </c>
      <c r="F5122" s="5" t="s">
        <v>318</v>
      </c>
      <c r="G5122" s="6" t="str">
        <f>VLOOKUP(E5122,dicionario!$A$1:$C5521,2,0)</f>
        <v>Leucauge argyra</v>
      </c>
      <c r="H5122" s="6" t="str">
        <f>VLOOKUP(E5122,dicionario!$A$1:$C5521,3,0)</f>
        <v>aranha-de-mandibula-longa</v>
      </c>
    </row>
    <row r="5123">
      <c r="A5123" s="3">
        <v>45680.0</v>
      </c>
      <c r="B5123" s="4">
        <v>0.2638888888888889</v>
      </c>
      <c r="C5123" s="5" t="s">
        <v>90</v>
      </c>
      <c r="D5123" s="5" t="s">
        <v>1082</v>
      </c>
      <c r="E5123" s="8" t="s">
        <v>200</v>
      </c>
      <c r="F5123" s="5" t="s">
        <v>201</v>
      </c>
      <c r="G5123" s="6" t="str">
        <f>VLOOKUP(E5123,dicionario!$A$1:$C5522,2,0)</f>
        <v>Columbina picui </v>
      </c>
      <c r="H5123" s="6" t="str">
        <f>VLOOKUP(E5123,dicionario!$A$1:$C5522,3,0)</f>
        <v>rolinha-picuí</v>
      </c>
    </row>
    <row r="5124">
      <c r="A5124" s="3">
        <v>45680.0</v>
      </c>
      <c r="B5124" s="4">
        <v>0.26458333333333334</v>
      </c>
      <c r="C5124" s="5" t="s">
        <v>90</v>
      </c>
      <c r="D5124" s="5" t="s">
        <v>1082</v>
      </c>
      <c r="E5124" s="6" t="s">
        <v>245</v>
      </c>
      <c r="F5124" s="5" t="s">
        <v>1106</v>
      </c>
      <c r="G5124" s="6" t="str">
        <f>VLOOKUP(E5124,dicionario!$A$1:$C5523,2,0)</f>
        <v>Hemiargus hanno</v>
      </c>
      <c r="H5124" s="6" t="str">
        <f>VLOOKUP(E5124,dicionario!$A$1:$C5523,3,0)</f>
        <v>borboleta-azulzinha-do-trevo</v>
      </c>
    </row>
    <row r="5125">
      <c r="A5125" s="3">
        <v>45680.0</v>
      </c>
      <c r="B5125" s="4">
        <v>0.26458333333333334</v>
      </c>
      <c r="C5125" s="5" t="s">
        <v>90</v>
      </c>
      <c r="D5125" s="5" t="s">
        <v>1082</v>
      </c>
      <c r="E5125" s="8" t="s">
        <v>72</v>
      </c>
      <c r="F5125" s="5" t="s">
        <v>73</v>
      </c>
      <c r="G5125" s="6" t="str">
        <f>VLOOKUP(E5125,dicionario!$A$1:$C5524,2,0)</f>
        <v>Thraupis palmarum</v>
      </c>
      <c r="H5125" s="6" t="str">
        <f>VLOOKUP(E5125,dicionario!$A$1:$C5524,3,0)</f>
        <v>sanhaço-do-coqueiro</v>
      </c>
    </row>
    <row r="5126">
      <c r="A5126" s="3">
        <v>45680.0</v>
      </c>
      <c r="B5126" s="4">
        <v>0.26458333333333334</v>
      </c>
      <c r="C5126" s="5" t="s">
        <v>90</v>
      </c>
      <c r="D5126" s="5" t="s">
        <v>1082</v>
      </c>
      <c r="E5126" s="8" t="s">
        <v>177</v>
      </c>
      <c r="F5126" s="5" t="s">
        <v>607</v>
      </c>
      <c r="G5126" s="6" t="str">
        <f>VLOOKUP(E5126,dicionario!$A$1:$C5525,2,0)</f>
        <v>Elaenia flavogaster</v>
      </c>
      <c r="H5126" s="6" t="str">
        <f>VLOOKUP(E5126,dicionario!$A$1:$C5525,3,0)</f>
        <v>guaracava-de-barriga-amarela</v>
      </c>
    </row>
    <row r="5127">
      <c r="A5127" s="3">
        <v>45680.0</v>
      </c>
      <c r="B5127" s="4">
        <v>0.2652777777777778</v>
      </c>
      <c r="C5127" s="5" t="s">
        <v>90</v>
      </c>
      <c r="D5127" s="5" t="s">
        <v>1082</v>
      </c>
      <c r="E5127" s="8" t="s">
        <v>229</v>
      </c>
      <c r="F5127" s="5" t="s">
        <v>230</v>
      </c>
      <c r="G5127" s="6" t="str">
        <f>VLOOKUP(E5127,dicionario!$A$1:$C5526,2,0)</f>
        <v>Apis mellifera</v>
      </c>
      <c r="H5127" s="6" t="str">
        <f>VLOOKUP(E5127,dicionario!$A$1:$C5526,3,0)</f>
        <v>abelha-do-mel</v>
      </c>
    </row>
    <row r="5128">
      <c r="A5128" s="3">
        <v>45680.0</v>
      </c>
      <c r="B5128" s="4">
        <v>0.2652777777777778</v>
      </c>
      <c r="C5128" s="5" t="s">
        <v>90</v>
      </c>
      <c r="D5128" s="5" t="s">
        <v>1082</v>
      </c>
      <c r="E5128" s="6" t="s">
        <v>116</v>
      </c>
      <c r="F5128" s="5" t="s">
        <v>117</v>
      </c>
      <c r="G5128" s="6" t="str">
        <f>VLOOKUP(E5128,dicionario!$A$1:$C5527,2,0)</f>
        <v>Argiope argentata</v>
      </c>
      <c r="H5128" s="6" t="str">
        <f>VLOOKUP(E5128,dicionario!$A$1:$C5527,3,0)</f>
        <v>aranha-de-prata</v>
      </c>
    </row>
    <row r="5129">
      <c r="A5129" s="3">
        <v>45680.0</v>
      </c>
      <c r="B5129" s="4">
        <v>0.2652777777777778</v>
      </c>
      <c r="C5129" s="5" t="s">
        <v>90</v>
      </c>
      <c r="D5129" s="5" t="s">
        <v>1082</v>
      </c>
      <c r="E5129" s="8" t="s">
        <v>405</v>
      </c>
      <c r="F5129" s="5" t="s">
        <v>852</v>
      </c>
      <c r="G5129" s="6" t="str">
        <f>VLOOKUP(E5129,dicionario!$A$1:$C5528,2,0)</f>
        <v>Ectatomma</v>
      </c>
      <c r="H5129" s="6" t="str">
        <f>VLOOKUP(E5129,dicionario!$A$1:$C5528,3,0)</f>
        <v>formiga-preta</v>
      </c>
    </row>
    <row r="5130">
      <c r="A5130" s="3">
        <v>45680.0</v>
      </c>
      <c r="B5130" s="4">
        <v>0.2652777777777778</v>
      </c>
      <c r="C5130" s="5" t="s">
        <v>90</v>
      </c>
      <c r="D5130" s="5" t="s">
        <v>1082</v>
      </c>
      <c r="E5130" s="8" t="s">
        <v>566</v>
      </c>
      <c r="F5130" s="5" t="s">
        <v>567</v>
      </c>
      <c r="G5130" s="6" t="str">
        <f>VLOOKUP(E5130,dicionario!$A$1:$C5529,2,0)</f>
        <v>Baccharis dracunculifolia</v>
      </c>
      <c r="H5130" s="6" t="str">
        <f>VLOOKUP(E5130,dicionario!$A$1:$C5529,3,0)</f>
        <v>vassoura</v>
      </c>
    </row>
    <row r="5131">
      <c r="A5131" s="3">
        <v>45680.0</v>
      </c>
      <c r="B5131" s="4">
        <v>0.2652777777777778</v>
      </c>
      <c r="C5131" s="5" t="s">
        <v>90</v>
      </c>
      <c r="D5131" s="5" t="s">
        <v>1082</v>
      </c>
      <c r="E5131" s="8" t="s">
        <v>48</v>
      </c>
      <c r="F5131" s="5" t="s">
        <v>49</v>
      </c>
      <c r="G5131" s="6" t="str">
        <f>VLOOKUP(E5131,dicionario!$A$1:$C5530,2,0)</f>
        <v>Commelina erecta</v>
      </c>
      <c r="H5131" s="6" t="str">
        <f>VLOOKUP(E5131,dicionario!$A$1:$C5530,3,0)</f>
        <v>trapoeraba</v>
      </c>
    </row>
    <row r="5132">
      <c r="A5132" s="3">
        <v>45680.0</v>
      </c>
      <c r="B5132" s="4">
        <v>0.2659722222222222</v>
      </c>
      <c r="C5132" s="5" t="s">
        <v>90</v>
      </c>
      <c r="D5132" s="5" t="s">
        <v>1082</v>
      </c>
      <c r="E5132" s="6" t="s">
        <v>646</v>
      </c>
      <c r="F5132" s="5" t="s">
        <v>647</v>
      </c>
      <c r="G5132" s="6" t="str">
        <f>VLOOKUP(E5132,dicionario!$A$1:$C5531,2,0)</f>
        <v>Palpada mexicana</v>
      </c>
      <c r="H5132" s="6" t="str">
        <f>VLOOKUP(E5132,dicionario!$A$1:$C5531,3,0)</f>
        <v>mosca-das-flores</v>
      </c>
    </row>
    <row r="5133">
      <c r="A5133" s="3">
        <v>45680.0</v>
      </c>
      <c r="B5133" s="4">
        <v>0.2659722222222222</v>
      </c>
      <c r="C5133" s="5" t="s">
        <v>90</v>
      </c>
      <c r="D5133" s="5" t="s">
        <v>1082</v>
      </c>
      <c r="E5133" s="8" t="s">
        <v>247</v>
      </c>
      <c r="F5133" s="7" t="s">
        <v>272</v>
      </c>
      <c r="G5133" s="6" t="str">
        <f>VLOOKUP(E5133,dicionario!$A$1:$C5532,2,0)</f>
        <v>Emilia sonchifolia</v>
      </c>
      <c r="H5133" s="6" t="str">
        <f>VLOOKUP(E5133,dicionario!$A$1:$C5532,3,0)</f>
        <v>serralinha</v>
      </c>
    </row>
    <row r="5134">
      <c r="A5134" s="3">
        <v>45680.0</v>
      </c>
      <c r="B5134" s="4">
        <v>0.2659722222222222</v>
      </c>
      <c r="C5134" s="5" t="s">
        <v>90</v>
      </c>
      <c r="D5134" s="5" t="s">
        <v>1082</v>
      </c>
      <c r="E5134" s="8" t="s">
        <v>239</v>
      </c>
      <c r="F5134" s="5" t="s">
        <v>240</v>
      </c>
      <c r="G5134" s="6" t="str">
        <f>VLOOKUP(E5134,dicionario!$A$1:$C5533,2,0)</f>
        <v>Gomphrena celosioides</v>
      </c>
      <c r="H5134" s="6" t="str">
        <f>VLOOKUP(E5134,dicionario!$A$1:$C5533,3,0)</f>
        <v>perpétua-branca</v>
      </c>
    </row>
    <row r="5135">
      <c r="A5135" s="3">
        <v>45680.0</v>
      </c>
      <c r="B5135" s="4">
        <v>0.26666666666666666</v>
      </c>
      <c r="C5135" s="5" t="s">
        <v>90</v>
      </c>
      <c r="D5135" s="5" t="s">
        <v>1082</v>
      </c>
      <c r="E5135" s="8" t="s">
        <v>20</v>
      </c>
      <c r="F5135" s="7" t="s">
        <v>21</v>
      </c>
      <c r="G5135" s="6" t="str">
        <f>VLOOKUP(E5135,dicionario!$A$1:$C5534,2,0)</f>
        <v>Sicalis flaveola</v>
      </c>
      <c r="H5135" s="6" t="str">
        <f>VLOOKUP(E5135,dicionario!$A$1:$C5534,3,0)</f>
        <v>canário-da-terra</v>
      </c>
    </row>
    <row r="5136">
      <c r="A5136" s="3">
        <v>45680.0</v>
      </c>
      <c r="B5136" s="4">
        <v>0.26666666666666666</v>
      </c>
      <c r="C5136" s="5" t="s">
        <v>90</v>
      </c>
      <c r="D5136" s="5" t="s">
        <v>1082</v>
      </c>
      <c r="E5136" s="8" t="s">
        <v>938</v>
      </c>
      <c r="F5136" s="5" t="s">
        <v>737</v>
      </c>
      <c r="G5136" s="6" t="str">
        <f>VLOOKUP(E5136,dicionario!$A$1:$C5535,2,0)</f>
        <v>Chloris barbata</v>
      </c>
      <c r="H5136" s="6" t="str">
        <f>VLOOKUP(E5136,dicionario!$A$1:$C5535,3,0)</f>
        <v/>
      </c>
    </row>
    <row r="5137">
      <c r="A5137" s="3">
        <v>45680.0</v>
      </c>
      <c r="B5137" s="4">
        <v>0.2673611111111111</v>
      </c>
      <c r="C5137" s="5" t="s">
        <v>90</v>
      </c>
      <c r="D5137" s="5" t="s">
        <v>1082</v>
      </c>
      <c r="E5137" s="8" t="s">
        <v>338</v>
      </c>
      <c r="F5137" s="5" t="s">
        <v>929</v>
      </c>
      <c r="G5137" s="6" t="str">
        <f>VLOOKUP(E5137,dicionario!$A$1:$C5536,2,0)</f>
        <v>Atta</v>
      </c>
      <c r="H5137" s="6" t="str">
        <f>VLOOKUP(E5137,dicionario!$A$1:$C5536,3,0)</f>
        <v>saúva</v>
      </c>
    </row>
    <row r="5138">
      <c r="A5138" s="3">
        <v>45680.0</v>
      </c>
      <c r="B5138" s="4">
        <v>0.2673611111111111</v>
      </c>
      <c r="C5138" s="5" t="s">
        <v>90</v>
      </c>
      <c r="D5138" s="5" t="s">
        <v>1082</v>
      </c>
      <c r="E5138" s="8" t="s">
        <v>1107</v>
      </c>
      <c r="F5138" s="5" t="s">
        <v>1108</v>
      </c>
      <c r="G5138" s="6" t="str">
        <f>VLOOKUP(E5138,dicionario!$A$1:$C5537,2,0)</f>
        <v>#N/A</v>
      </c>
      <c r="H5138" s="6" t="str">
        <f>VLOOKUP(E5138,dicionario!$A$1:$C5537,3,0)</f>
        <v>#N/A</v>
      </c>
    </row>
    <row r="5139">
      <c r="A5139" s="3">
        <v>45680.0</v>
      </c>
      <c r="B5139" s="4">
        <v>0.2673611111111111</v>
      </c>
      <c r="C5139" s="5" t="s">
        <v>90</v>
      </c>
      <c r="D5139" s="5" t="s">
        <v>1082</v>
      </c>
      <c r="E5139" s="8" t="s">
        <v>1109</v>
      </c>
      <c r="F5139" s="5" t="s">
        <v>1110</v>
      </c>
      <c r="G5139" s="6" t="str">
        <f>VLOOKUP(E5139,dicionario!$A$1:$C5538,2,0)</f>
        <v>#N/A</v>
      </c>
      <c r="H5139" s="6" t="str">
        <f>VLOOKUP(E5139,dicionario!$A$1:$C5538,3,0)</f>
        <v>#N/A</v>
      </c>
    </row>
    <row r="5140">
      <c r="A5140" s="3">
        <v>45680.0</v>
      </c>
      <c r="B5140" s="4">
        <v>0.26875</v>
      </c>
      <c r="C5140" s="5" t="s">
        <v>90</v>
      </c>
      <c r="D5140" s="5" t="s">
        <v>1082</v>
      </c>
      <c r="E5140" s="8" t="s">
        <v>613</v>
      </c>
      <c r="F5140" s="5" t="s">
        <v>614</v>
      </c>
      <c r="G5140" s="6" t="str">
        <f>VLOOKUP(E5140,dicionario!$A$1:$C5539,2,0)</f>
        <v>Euphorbia hyssopifolia</v>
      </c>
      <c r="H5140" s="6" t="str">
        <f>VLOOKUP(E5140,dicionario!$A$1:$C5539,3,0)</f>
        <v>maria-leite</v>
      </c>
    </row>
    <row r="5141">
      <c r="A5141" s="3">
        <v>45680.0</v>
      </c>
      <c r="B5141" s="4">
        <v>0.26875</v>
      </c>
      <c r="C5141" s="5" t="s">
        <v>90</v>
      </c>
      <c r="D5141" s="5" t="s">
        <v>1082</v>
      </c>
      <c r="E5141" s="8" t="s">
        <v>195</v>
      </c>
      <c r="F5141" s="5" t="s">
        <v>196</v>
      </c>
      <c r="G5141" s="6" t="str">
        <f>VLOOKUP(E5141,dicionario!$A$1:$C5540,2,0)</f>
        <v>Priva lappulacea</v>
      </c>
      <c r="H5141" s="6" t="str">
        <f>VLOOKUP(E5141,dicionario!$A$1:$C5540,3,0)</f>
        <v>carrapicho</v>
      </c>
    </row>
    <row r="5142">
      <c r="A5142" s="3">
        <v>45680.0</v>
      </c>
      <c r="B5142" s="4">
        <v>0.26875</v>
      </c>
      <c r="C5142" s="5" t="s">
        <v>90</v>
      </c>
      <c r="D5142" s="5" t="s">
        <v>1082</v>
      </c>
      <c r="E5142" s="8" t="s">
        <v>51</v>
      </c>
      <c r="F5142" s="5" t="s">
        <v>77</v>
      </c>
      <c r="G5142" s="6" t="str">
        <f>VLOOKUP(E5142,dicionario!$A$1:$C5541,2,0)</f>
        <v>Solenopsis</v>
      </c>
      <c r="H5142" s="6" t="str">
        <f>VLOOKUP(E5142,dicionario!$A$1:$C5541,3,0)</f>
        <v>formiga-quente; formiga-lava-pés; formiga-de-fogo</v>
      </c>
    </row>
    <row r="5143">
      <c r="A5143" s="3">
        <v>45680.0</v>
      </c>
      <c r="B5143" s="4">
        <v>0.26875</v>
      </c>
      <c r="C5143" s="5" t="s">
        <v>90</v>
      </c>
      <c r="D5143" s="5" t="s">
        <v>1082</v>
      </c>
      <c r="E5143" s="8" t="s">
        <v>966</v>
      </c>
      <c r="F5143" s="5" t="s">
        <v>967</v>
      </c>
      <c r="G5143" s="6" t="str">
        <f>VLOOKUP(E5143,dicionario!$A$1:$C5542,2,0)</f>
        <v>Portulaca halimoides</v>
      </c>
      <c r="H5143" s="6" t="str">
        <f>VLOOKUP(E5143,dicionario!$A$1:$C5542,3,0)</f>
        <v>beldroega-de-seda</v>
      </c>
    </row>
    <row r="5144">
      <c r="A5144" s="3">
        <v>45680.0</v>
      </c>
      <c r="B5144" s="4">
        <v>0.26875</v>
      </c>
      <c r="C5144" s="5" t="s">
        <v>90</v>
      </c>
      <c r="D5144" s="5" t="s">
        <v>1082</v>
      </c>
      <c r="E5144" s="8" t="s">
        <v>1087</v>
      </c>
      <c r="F5144" s="5" t="s">
        <v>1088</v>
      </c>
      <c r="G5144" s="6" t="str">
        <f>VLOOKUP(E5144,dicionario!$A$1:$C5543,2,0)</f>
        <v>Desmodium triflorum</v>
      </c>
      <c r="H5144" s="6" t="str">
        <f>VLOOKUP(E5144,dicionario!$A$1:$C5543,3,0)</f>
        <v/>
      </c>
    </row>
    <row r="5145">
      <c r="A5145" s="3">
        <v>45680.0</v>
      </c>
      <c r="B5145" s="4">
        <v>0.26875</v>
      </c>
      <c r="C5145" s="5" t="s">
        <v>90</v>
      </c>
      <c r="D5145" s="5" t="s">
        <v>1082</v>
      </c>
      <c r="E5145" s="8" t="s">
        <v>427</v>
      </c>
      <c r="F5145" s="5" t="s">
        <v>428</v>
      </c>
      <c r="G5145" s="6" t="str">
        <f>VLOOKUP(E5145,dicionario!$A$1:$C5544,2,0)</f>
        <v>Condylostylus longicornis</v>
      </c>
      <c r="H5145" s="6" t="str">
        <f>VLOOKUP(E5145,dicionario!$A$1:$C5544,3,0)</f>
        <v>mosca-de-pernas-longas</v>
      </c>
    </row>
    <row r="5146">
      <c r="A5146" s="3">
        <v>45680.0</v>
      </c>
      <c r="B5146" s="4">
        <v>0.2722222222222222</v>
      </c>
      <c r="C5146" s="5" t="s">
        <v>85</v>
      </c>
      <c r="D5146" s="5" t="s">
        <v>1082</v>
      </c>
      <c r="E5146" s="8" t="s">
        <v>298</v>
      </c>
      <c r="F5146" s="5" t="s">
        <v>739</v>
      </c>
      <c r="G5146" s="6" t="str">
        <f>VLOOKUP(E5146,dicionario!$A$1:$C5545,2,0)</f>
        <v>Alysicarpus vaginalis</v>
      </c>
      <c r="H5146" s="6" t="str">
        <f>VLOOKUP(E5146,dicionario!$A$1:$C5545,3,0)</f>
        <v/>
      </c>
    </row>
    <row r="5147">
      <c r="A5147" s="3">
        <v>45680.0</v>
      </c>
      <c r="B5147" s="4">
        <v>0.2722222222222222</v>
      </c>
      <c r="C5147" s="5" t="s">
        <v>85</v>
      </c>
      <c r="D5147" s="5" t="s">
        <v>1082</v>
      </c>
      <c r="E5147" s="8" t="s">
        <v>154</v>
      </c>
      <c r="F5147" s="5" t="s">
        <v>155</v>
      </c>
      <c r="G5147" s="6" t="str">
        <f>VLOOKUP(E5147,dicionario!$A$1:$C5546,2,0)</f>
        <v>Cyperus rotundus</v>
      </c>
      <c r="H5147" s="6" t="str">
        <f>VLOOKUP(E5147,dicionario!$A$1:$C5546,3,0)</f>
        <v>tiririca</v>
      </c>
    </row>
    <row r="5148">
      <c r="A5148" s="3">
        <v>45680.0</v>
      </c>
      <c r="B5148" s="4">
        <v>0.2722222222222222</v>
      </c>
      <c r="C5148" s="5" t="s">
        <v>85</v>
      </c>
      <c r="D5148" s="5" t="s">
        <v>1082</v>
      </c>
      <c r="E5148" s="8" t="s">
        <v>247</v>
      </c>
      <c r="F5148" s="7" t="s">
        <v>272</v>
      </c>
      <c r="G5148" s="6" t="str">
        <f>VLOOKUP(E5148,dicionario!$A$1:$C5547,2,0)</f>
        <v>Emilia sonchifolia</v>
      </c>
      <c r="H5148" s="6" t="str">
        <f>VLOOKUP(E5148,dicionario!$A$1:$C5547,3,0)</f>
        <v>serralinha</v>
      </c>
    </row>
    <row r="5149">
      <c r="A5149" s="3">
        <v>45680.0</v>
      </c>
      <c r="B5149" s="4">
        <v>0.2722222222222222</v>
      </c>
      <c r="C5149" s="5" t="s">
        <v>85</v>
      </c>
      <c r="D5149" s="5" t="s">
        <v>1082</v>
      </c>
      <c r="E5149" s="8" t="s">
        <v>122</v>
      </c>
      <c r="F5149" s="7" t="s">
        <v>123</v>
      </c>
      <c r="G5149" s="6" t="str">
        <f>VLOOKUP(E5149,dicionario!$A$1:$C5548,2,0)</f>
        <v>Todirostrum cinereum</v>
      </c>
      <c r="H5149" s="6" t="str">
        <f>VLOOKUP(E5149,dicionario!$A$1:$C5548,3,0)</f>
        <v>ferreirinho-relógio</v>
      </c>
    </row>
    <row r="5150">
      <c r="A5150" s="3">
        <v>45680.0</v>
      </c>
      <c r="B5150" s="4">
        <v>0.27291666666666664</v>
      </c>
      <c r="C5150" s="5" t="s">
        <v>85</v>
      </c>
      <c r="D5150" s="5" t="s">
        <v>1082</v>
      </c>
      <c r="E5150" s="8" t="s">
        <v>613</v>
      </c>
      <c r="F5150" s="5" t="s">
        <v>614</v>
      </c>
      <c r="G5150" s="6" t="str">
        <f>VLOOKUP(E5150,dicionario!$A$1:$C5549,2,0)</f>
        <v>Euphorbia hyssopifolia</v>
      </c>
      <c r="H5150" s="6" t="str">
        <f>VLOOKUP(E5150,dicionario!$A$1:$C5549,3,0)</f>
        <v>maria-leite</v>
      </c>
    </row>
    <row r="5151">
      <c r="A5151" s="3">
        <v>45680.0</v>
      </c>
      <c r="B5151" s="4">
        <v>0.27291666666666664</v>
      </c>
      <c r="C5151" s="5" t="s">
        <v>85</v>
      </c>
      <c r="D5151" s="5" t="s">
        <v>1082</v>
      </c>
      <c r="E5151" s="8" t="s">
        <v>489</v>
      </c>
      <c r="F5151" s="5" t="s">
        <v>521</v>
      </c>
      <c r="G5151" s="6" t="str">
        <f>VLOOKUP(E5151,dicionario!$A$1:$C5550,2,0)</f>
        <v>Cenchrus echinatus</v>
      </c>
      <c r="H5151" s="6" t="str">
        <f>VLOOKUP(E5151,dicionario!$A$1:$C5550,3,0)</f>
        <v>capim-carrapicho</v>
      </c>
    </row>
    <row r="5152">
      <c r="A5152" s="3">
        <v>45680.0</v>
      </c>
      <c r="B5152" s="4">
        <v>0.27291666666666664</v>
      </c>
      <c r="C5152" s="5" t="s">
        <v>85</v>
      </c>
      <c r="D5152" s="5" t="s">
        <v>1082</v>
      </c>
      <c r="E5152" s="8" t="s">
        <v>53</v>
      </c>
      <c r="F5152" s="7" t="s">
        <v>54</v>
      </c>
      <c r="G5152" s="6" t="str">
        <f>VLOOKUP(E5152,dicionario!$A$1:$C5551,2,0)</f>
        <v>Turnera subulata</v>
      </c>
      <c r="H5152" s="6" t="str">
        <f>VLOOKUP(E5152,dicionario!$A$1:$C5551,3,0)</f>
        <v>xanana</v>
      </c>
    </row>
    <row r="5153">
      <c r="A5153" s="3">
        <v>45680.0</v>
      </c>
      <c r="B5153" s="4">
        <v>0.27291666666666664</v>
      </c>
      <c r="C5153" s="5" t="s">
        <v>85</v>
      </c>
      <c r="D5153" s="5" t="s">
        <v>1082</v>
      </c>
      <c r="E5153" s="8" t="s">
        <v>146</v>
      </c>
      <c r="F5153" s="5" t="s">
        <v>147</v>
      </c>
      <c r="G5153" s="6" t="str">
        <f>VLOOKUP(E5153,dicionario!$A$1:$C5552,2,0)</f>
        <v>Euphorbia hirta</v>
      </c>
      <c r="H5153" s="6" t="str">
        <f>VLOOKUP(E5153,dicionario!$A$1:$C5552,3,0)</f>
        <v>erva-de-santa-luzia</v>
      </c>
    </row>
    <row r="5154">
      <c r="A5154" s="3">
        <v>45680.0</v>
      </c>
      <c r="B5154" s="4">
        <v>0.27361111111111114</v>
      </c>
      <c r="C5154" s="5" t="s">
        <v>85</v>
      </c>
      <c r="D5154" s="5" t="s">
        <v>1082</v>
      </c>
      <c r="E5154" s="8" t="s">
        <v>135</v>
      </c>
      <c r="F5154" s="5" t="s">
        <v>136</v>
      </c>
      <c r="G5154" s="6" t="str">
        <f>VLOOKUP(E5154,dicionario!$A$1:$C5553,2,0)</f>
        <v>Tridax procumbens</v>
      </c>
      <c r="H5154" s="6" t="str">
        <f>VLOOKUP(E5154,dicionario!$A$1:$C5553,3,0)</f>
        <v>erva-de-touro</v>
      </c>
    </row>
    <row r="5155">
      <c r="A5155" s="3">
        <v>45680.0</v>
      </c>
      <c r="B5155" s="4">
        <v>0.27361111111111114</v>
      </c>
      <c r="C5155" s="5" t="s">
        <v>85</v>
      </c>
      <c r="D5155" s="5" t="s">
        <v>1082</v>
      </c>
      <c r="E5155" s="8" t="s">
        <v>65</v>
      </c>
      <c r="F5155" s="5" t="s">
        <v>66</v>
      </c>
      <c r="G5155" s="6" t="str">
        <f>VLOOKUP(E5155,dicionario!$A$1:$C5554,2,0)</f>
        <v>Pitangus sulphutarus</v>
      </c>
      <c r="H5155" s="6" t="str">
        <f>VLOOKUP(E5155,dicionario!$A$1:$C5554,3,0)</f>
        <v>bem-te-vi</v>
      </c>
    </row>
    <row r="5156">
      <c r="A5156" s="3">
        <v>45680.0</v>
      </c>
      <c r="B5156" s="4">
        <v>0.27361111111111114</v>
      </c>
      <c r="C5156" s="5" t="s">
        <v>85</v>
      </c>
      <c r="D5156" s="5" t="s">
        <v>1082</v>
      </c>
      <c r="E5156" s="8" t="s">
        <v>109</v>
      </c>
      <c r="F5156" s="5" t="s">
        <v>110</v>
      </c>
      <c r="G5156" s="6" t="str">
        <f>VLOOKUP(E5156,dicionario!$A$1:$C5555,2,0)</f>
        <v>Tillandsia stricta</v>
      </c>
      <c r="H5156" s="6" t="str">
        <f>VLOOKUP(E5156,dicionario!$A$1:$C5555,3,0)</f>
        <v>cravo-do-mato</v>
      </c>
    </row>
    <row r="5157">
      <c r="A5157" s="3">
        <v>45680.0</v>
      </c>
      <c r="B5157" s="4">
        <v>0.27361111111111114</v>
      </c>
      <c r="C5157" s="5" t="s">
        <v>85</v>
      </c>
      <c r="D5157" s="5" t="s">
        <v>1082</v>
      </c>
      <c r="E5157" s="8" t="s">
        <v>177</v>
      </c>
      <c r="F5157" s="5" t="s">
        <v>607</v>
      </c>
      <c r="G5157" s="6" t="str">
        <f>VLOOKUP(E5157,dicionario!$A$1:$C5556,2,0)</f>
        <v>Elaenia flavogaster</v>
      </c>
      <c r="H5157" s="6" t="str">
        <f>VLOOKUP(E5157,dicionario!$A$1:$C5556,3,0)</f>
        <v>guaracava-de-barriga-amarela</v>
      </c>
    </row>
    <row r="5158">
      <c r="A5158" s="3">
        <v>45680.0</v>
      </c>
      <c r="B5158" s="4">
        <v>0.27361111111111114</v>
      </c>
      <c r="C5158" s="5" t="s">
        <v>85</v>
      </c>
      <c r="D5158" s="5" t="s">
        <v>1082</v>
      </c>
      <c r="E5158" s="8" t="s">
        <v>251</v>
      </c>
      <c r="F5158" s="5" t="s">
        <v>252</v>
      </c>
      <c r="G5158" s="6" t="str">
        <f>VLOOKUP(E5158,dicionario!$A$1:$C5557,2,0)</f>
        <v>Struthanthus flexicaulis</v>
      </c>
      <c r="H5158" s="6" t="str">
        <f>VLOOKUP(E5158,dicionario!$A$1:$C5557,3,0)</f>
        <v>erva-de-passarinho</v>
      </c>
    </row>
    <row r="5159">
      <c r="A5159" s="3">
        <v>45680.0</v>
      </c>
      <c r="B5159" s="4">
        <v>0.27361111111111114</v>
      </c>
      <c r="C5159" s="5" t="s">
        <v>85</v>
      </c>
      <c r="D5159" s="5" t="s">
        <v>1082</v>
      </c>
      <c r="E5159" s="8" t="s">
        <v>195</v>
      </c>
      <c r="F5159" s="5" t="s">
        <v>196</v>
      </c>
      <c r="G5159" s="6" t="str">
        <f>VLOOKUP(E5159,dicionario!$A$1:$C5558,2,0)</f>
        <v>Priva lappulacea</v>
      </c>
      <c r="H5159" s="6" t="str">
        <f>VLOOKUP(E5159,dicionario!$A$1:$C5558,3,0)</f>
        <v>carrapicho</v>
      </c>
    </row>
    <row r="5160">
      <c r="A5160" s="3">
        <v>45680.0</v>
      </c>
      <c r="B5160" s="4">
        <v>0.27361111111111114</v>
      </c>
      <c r="C5160" s="5" t="s">
        <v>85</v>
      </c>
      <c r="D5160" s="5" t="s">
        <v>1082</v>
      </c>
      <c r="E5160" s="8" t="s">
        <v>258</v>
      </c>
      <c r="F5160" s="5" t="s">
        <v>259</v>
      </c>
      <c r="G5160" s="6" t="str">
        <f>VLOOKUP(E5160,dicionario!$A$1:$C5559,2,0)</f>
        <v>Lantana camara</v>
      </c>
      <c r="H5160" s="6" t="str">
        <f>VLOOKUP(E5160,dicionario!$A$1:$C5559,3,0)</f>
        <v>lantana</v>
      </c>
    </row>
    <row r="5161">
      <c r="A5161" s="3">
        <v>45680.0</v>
      </c>
      <c r="B5161" s="4">
        <v>0.2743055555555556</v>
      </c>
      <c r="C5161" s="5" t="s">
        <v>85</v>
      </c>
      <c r="D5161" s="5" t="s">
        <v>1082</v>
      </c>
      <c r="E5161" s="8" t="s">
        <v>566</v>
      </c>
      <c r="F5161" s="5" t="s">
        <v>567</v>
      </c>
      <c r="G5161" s="6" t="str">
        <f>VLOOKUP(E5161,dicionario!$A$1:$C5560,2,0)</f>
        <v>Baccharis dracunculifolia</v>
      </c>
      <c r="H5161" s="6" t="str">
        <f>VLOOKUP(E5161,dicionario!$A$1:$C5560,3,0)</f>
        <v>vassoura</v>
      </c>
    </row>
    <row r="5162">
      <c r="A5162" s="3">
        <v>45680.0</v>
      </c>
      <c r="B5162" s="4">
        <v>0.2743055555555556</v>
      </c>
      <c r="C5162" s="5" t="s">
        <v>85</v>
      </c>
      <c r="D5162" s="5" t="s">
        <v>1082</v>
      </c>
      <c r="E5162" s="8" t="s">
        <v>265</v>
      </c>
      <c r="F5162" s="5" t="s">
        <v>600</v>
      </c>
      <c r="G5162" s="6" t="str">
        <f>VLOOKUP(E5162,dicionario!$A$1:$C5561,2,0)</f>
        <v>Sonchus oleraceus</v>
      </c>
      <c r="H5162" s="6" t="str">
        <f>VLOOKUP(E5162,dicionario!$A$1:$C5561,3,0)</f>
        <v>seralha</v>
      </c>
    </row>
    <row r="5163">
      <c r="A5163" s="3">
        <v>45680.0</v>
      </c>
      <c r="B5163" s="4">
        <v>0.2743055555555556</v>
      </c>
      <c r="C5163" s="5" t="s">
        <v>85</v>
      </c>
      <c r="D5163" s="5" t="s">
        <v>1082</v>
      </c>
      <c r="E5163" s="8" t="s">
        <v>14</v>
      </c>
      <c r="F5163" s="5" t="s">
        <v>15</v>
      </c>
      <c r="G5163" s="6" t="str">
        <f>VLOOKUP(E5163,dicionario!$A$1:$C5562,2,0)</f>
        <v>Spermacoce verticillata</v>
      </c>
      <c r="H5163" s="6" t="str">
        <f>VLOOKUP(E5163,dicionario!$A$1:$C5562,3,0)</f>
        <v>vassourinha-de-botão</v>
      </c>
    </row>
    <row r="5164">
      <c r="A5164" s="3">
        <v>45680.0</v>
      </c>
      <c r="B5164" s="4">
        <v>0.2743055555555556</v>
      </c>
      <c r="C5164" s="5" t="s">
        <v>85</v>
      </c>
      <c r="D5164" s="5" t="s">
        <v>1082</v>
      </c>
      <c r="E5164" s="8" t="s">
        <v>1087</v>
      </c>
      <c r="F5164" s="5" t="s">
        <v>1088</v>
      </c>
      <c r="G5164" s="6" t="str">
        <f>VLOOKUP(E5164,dicionario!$A$1:$C5563,2,0)</f>
        <v>Desmodium triflorum</v>
      </c>
      <c r="H5164" s="6" t="str">
        <f>VLOOKUP(E5164,dicionario!$A$1:$C5563,3,0)</f>
        <v/>
      </c>
    </row>
    <row r="5165">
      <c r="A5165" s="3">
        <v>45680.0</v>
      </c>
      <c r="B5165" s="4">
        <v>0.2743055555555556</v>
      </c>
      <c r="C5165" s="5" t="s">
        <v>85</v>
      </c>
      <c r="D5165" s="5" t="s">
        <v>1082</v>
      </c>
      <c r="E5165" s="8" t="s">
        <v>302</v>
      </c>
      <c r="F5165" s="5" t="s">
        <v>89</v>
      </c>
      <c r="G5165" s="6" t="str">
        <f>VLOOKUP(E5165,dicionario!$A$1:$C5564,2,0)</f>
        <v>Machetornis rixosa</v>
      </c>
      <c r="H5165" s="6" t="str">
        <f>VLOOKUP(E5165,dicionario!$A$1:$C5564,3,0)</f>
        <v>suiriri-cavaleiro</v>
      </c>
    </row>
    <row r="5166">
      <c r="A5166" s="3">
        <v>45680.0</v>
      </c>
      <c r="B5166" s="4">
        <v>0.2743055555555556</v>
      </c>
      <c r="C5166" s="5" t="s">
        <v>85</v>
      </c>
      <c r="D5166" s="5" t="s">
        <v>1082</v>
      </c>
      <c r="E5166" s="8" t="s">
        <v>483</v>
      </c>
      <c r="F5166" s="5" t="s">
        <v>484</v>
      </c>
      <c r="G5166" s="6" t="str">
        <f>VLOOKUP(E5166,dicionario!$A$1:$C5565,2,0)</f>
        <v>Euphorbia prostrata</v>
      </c>
      <c r="H5166" s="6" t="str">
        <f>VLOOKUP(E5166,dicionario!$A$1:$C5565,3,0)</f>
        <v>quebra-pedra-rasteira</v>
      </c>
    </row>
    <row r="5167">
      <c r="A5167" s="3">
        <v>45680.0</v>
      </c>
      <c r="B5167" s="4">
        <v>0.2743055555555556</v>
      </c>
      <c r="C5167" s="5" t="s">
        <v>85</v>
      </c>
      <c r="D5167" s="5" t="s">
        <v>1082</v>
      </c>
      <c r="E5167" s="8" t="s">
        <v>483</v>
      </c>
      <c r="F5167" s="5" t="s">
        <v>289</v>
      </c>
      <c r="G5167" s="6" t="str">
        <f>VLOOKUP(E5167,dicionario!$A$1:$C5566,2,0)</f>
        <v>Euphorbia prostrata</v>
      </c>
      <c r="H5167" s="6" t="str">
        <f>VLOOKUP(E5167,dicionario!$A$1:$C5566,3,0)</f>
        <v>quebra-pedra-rasteira</v>
      </c>
    </row>
    <row r="5168">
      <c r="A5168" s="3">
        <v>45680.0</v>
      </c>
      <c r="B5168" s="4">
        <v>0.2743055555555556</v>
      </c>
      <c r="C5168" s="5" t="s">
        <v>85</v>
      </c>
      <c r="D5168" s="5" t="s">
        <v>1082</v>
      </c>
      <c r="E5168" s="6" t="s">
        <v>532</v>
      </c>
      <c r="F5168" s="7" t="s">
        <v>533</v>
      </c>
      <c r="G5168" s="6" t="str">
        <f>VLOOKUP(E5168,dicionario!$A$1:$C5567,2,0)</f>
        <v>Euphorbia heterophylla</v>
      </c>
      <c r="H5168" s="6" t="str">
        <f>VLOOKUP(E5168,dicionario!$A$1:$C5567,3,0)</f>
        <v>amendoim-bravo</v>
      </c>
    </row>
    <row r="5169">
      <c r="A5169" s="3">
        <v>45680.0</v>
      </c>
      <c r="B5169" s="4">
        <v>0.2743055555555556</v>
      </c>
      <c r="C5169" s="5" t="s">
        <v>85</v>
      </c>
      <c r="D5169" s="5" t="s">
        <v>1082</v>
      </c>
      <c r="E5169" s="8" t="s">
        <v>401</v>
      </c>
      <c r="F5169" s="5" t="s">
        <v>1111</v>
      </c>
      <c r="G5169" s="6" t="str">
        <f>VLOOKUP(E5169,dicionario!$A$1:$C5568,2,0)</f>
        <v>Cissus verticillata</v>
      </c>
      <c r="H5169" s="6" t="str">
        <f>VLOOKUP(E5169,dicionario!$A$1:$C5568,3,0)</f>
        <v>uva-do-mato</v>
      </c>
    </row>
    <row r="5170">
      <c r="A5170" s="3">
        <v>45680.0</v>
      </c>
      <c r="B5170" s="4">
        <v>0.275</v>
      </c>
      <c r="C5170" s="5" t="s">
        <v>85</v>
      </c>
      <c r="D5170" s="5" t="s">
        <v>1082</v>
      </c>
      <c r="E5170" s="8" t="s">
        <v>171</v>
      </c>
      <c r="F5170" s="5" t="s">
        <v>172</v>
      </c>
      <c r="G5170" s="6" t="str">
        <f>VLOOKUP(E5170,dicionario!$A$1:$C5569,2,0)</f>
        <v>Oxalis corniculata</v>
      </c>
      <c r="H5170" s="6" t="str">
        <f>VLOOKUP(E5170,dicionario!$A$1:$C5569,3,0)</f>
        <v>trevo-azedinho</v>
      </c>
    </row>
    <row r="5171">
      <c r="A5171" s="3">
        <v>45680.0</v>
      </c>
      <c r="B5171" s="4">
        <v>0.275</v>
      </c>
      <c r="C5171" s="5" t="s">
        <v>85</v>
      </c>
      <c r="D5171" s="5" t="s">
        <v>1082</v>
      </c>
      <c r="E5171" s="8" t="s">
        <v>471</v>
      </c>
      <c r="F5171" s="5" t="s">
        <v>472</v>
      </c>
      <c r="G5171" s="6" t="str">
        <f>VLOOKUP(E5171,dicionario!$A$1:$C5570,2,0)</f>
        <v>Sida acuta</v>
      </c>
      <c r="H5171" s="6" t="str">
        <f>VLOOKUP(E5171,dicionario!$A$1:$C5570,3,0)</f>
        <v>reloginho</v>
      </c>
    </row>
    <row r="5172">
      <c r="A5172" s="3">
        <v>45680.0</v>
      </c>
      <c r="B5172" s="4">
        <v>0.275</v>
      </c>
      <c r="C5172" s="5" t="s">
        <v>85</v>
      </c>
      <c r="D5172" s="5" t="s">
        <v>1082</v>
      </c>
      <c r="E5172" s="8" t="s">
        <v>375</v>
      </c>
      <c r="F5172" s="5" t="s">
        <v>35</v>
      </c>
      <c r="G5172" s="6" t="str">
        <f>VLOOKUP(E5172,dicionario!$A$1:$C5571,2,0)</f>
        <v>Neoponera foetida</v>
      </c>
      <c r="H5172" s="6" t="str">
        <f>VLOOKUP(E5172,dicionario!$A$1:$C5571,3,0)</f>
        <v/>
      </c>
    </row>
    <row r="5173">
      <c r="A5173" s="3">
        <v>45680.0</v>
      </c>
      <c r="B5173" s="4">
        <v>0.275</v>
      </c>
      <c r="C5173" s="5" t="s">
        <v>85</v>
      </c>
      <c r="D5173" s="5" t="s">
        <v>1082</v>
      </c>
      <c r="E5173" s="8" t="s">
        <v>517</v>
      </c>
      <c r="F5173" s="7" t="s">
        <v>518</v>
      </c>
      <c r="G5173" s="6" t="str">
        <f>VLOOKUP(E5173,dicionario!$A$1:$C5572,2,0)</f>
        <v>Evolvulus nummularius</v>
      </c>
      <c r="H5173" s="6" t="str">
        <f>VLOOKUP(E5173,dicionario!$A$1:$C5572,3,0)</f>
        <v/>
      </c>
    </row>
    <row r="5174">
      <c r="A5174" s="3">
        <v>45680.0</v>
      </c>
      <c r="B5174" s="4">
        <v>0.27569444444444446</v>
      </c>
      <c r="C5174" s="5" t="s">
        <v>85</v>
      </c>
      <c r="D5174" s="5" t="s">
        <v>1082</v>
      </c>
      <c r="E5174" s="8" t="s">
        <v>286</v>
      </c>
      <c r="F5174" s="5" t="s">
        <v>287</v>
      </c>
      <c r="G5174" s="6" t="str">
        <f>VLOOKUP(E5174,dicionario!$A$1:$C5573,2,0)</f>
        <v>Setaria parviflora</v>
      </c>
      <c r="H5174" s="6" t="str">
        <f>VLOOKUP(E5174,dicionario!$A$1:$C5573,3,0)</f>
        <v>capim-rabo-de-raposa</v>
      </c>
    </row>
    <row r="5175">
      <c r="A5175" s="3">
        <v>45680.0</v>
      </c>
      <c r="B5175" s="4">
        <v>0.27569444444444446</v>
      </c>
      <c r="C5175" s="5" t="s">
        <v>85</v>
      </c>
      <c r="D5175" s="5" t="s">
        <v>1082</v>
      </c>
      <c r="E5175" s="8" t="s">
        <v>247</v>
      </c>
      <c r="F5175" s="5" t="s">
        <v>387</v>
      </c>
      <c r="G5175" s="6" t="str">
        <f>VLOOKUP(E5175,dicionario!$A$1:$C5574,2,0)</f>
        <v>Emilia sonchifolia</v>
      </c>
      <c r="H5175" s="6" t="str">
        <f>VLOOKUP(E5175,dicionario!$A$1:$C5574,3,0)</f>
        <v>serralinha</v>
      </c>
    </row>
    <row r="5176">
      <c r="A5176" s="3">
        <v>45680.0</v>
      </c>
      <c r="B5176" s="4">
        <v>0.27569444444444446</v>
      </c>
      <c r="C5176" s="5" t="s">
        <v>85</v>
      </c>
      <c r="D5176" s="5" t="s">
        <v>1082</v>
      </c>
      <c r="E5176" s="20" t="s">
        <v>676</v>
      </c>
      <c r="F5176" s="7" t="s">
        <v>677</v>
      </c>
      <c r="G5176" s="6" t="str">
        <f>VLOOKUP(E5176,dicionario!$A$1:$C5575,2,0)</f>
        <v>Zornia latifolia</v>
      </c>
      <c r="H5176" s="6" t="str">
        <f>VLOOKUP(E5176,dicionario!$A$1:$C5575,3,0)</f>
        <v>arrozinho-do-campo</v>
      </c>
    </row>
    <row r="5177">
      <c r="A5177" s="3">
        <v>45680.0</v>
      </c>
      <c r="B5177" s="4">
        <v>0.27569444444444446</v>
      </c>
      <c r="C5177" s="5" t="s">
        <v>85</v>
      </c>
      <c r="D5177" s="5" t="s">
        <v>1082</v>
      </c>
      <c r="E5177" s="8" t="s">
        <v>38</v>
      </c>
      <c r="F5177" s="5" t="s">
        <v>39</v>
      </c>
      <c r="G5177" s="6" t="str">
        <f>VLOOKUP(E5177,dicionario!$A$1:$C5576,2,0)</f>
        <v>Troglodytes musculus</v>
      </c>
      <c r="H5177" s="6" t="str">
        <f>VLOOKUP(E5177,dicionario!$A$1:$C5576,3,0)</f>
        <v>curruíra</v>
      </c>
    </row>
    <row r="5178">
      <c r="A5178" s="3">
        <v>45680.0</v>
      </c>
      <c r="B5178" s="4">
        <v>0.27569444444444446</v>
      </c>
      <c r="C5178" s="5" t="s">
        <v>85</v>
      </c>
      <c r="D5178" s="5" t="s">
        <v>1082</v>
      </c>
      <c r="E5178" s="8" t="s">
        <v>399</v>
      </c>
      <c r="F5178" s="5" t="s">
        <v>400</v>
      </c>
      <c r="G5178" s="6" t="str">
        <f>VLOOKUP(E5178,dicionario!$A$1:$C5577,2,0)</f>
        <v>Varronia curassavica</v>
      </c>
      <c r="H5178" s="6" t="str">
        <f>VLOOKUP(E5178,dicionario!$A$1:$C5577,3,0)</f>
        <v>erva-baleeira</v>
      </c>
    </row>
    <row r="5179">
      <c r="A5179" s="3">
        <v>45680.0</v>
      </c>
      <c r="B5179" s="4">
        <v>0.2763888888888889</v>
      </c>
      <c r="C5179" s="5" t="s">
        <v>85</v>
      </c>
      <c r="D5179" s="5" t="s">
        <v>1082</v>
      </c>
      <c r="E5179" s="8" t="s">
        <v>792</v>
      </c>
      <c r="F5179" s="5" t="s">
        <v>1014</v>
      </c>
      <c r="G5179" s="6" t="str">
        <f>VLOOKUP(E5179,dicionario!$A$1:$C5578,2,0)</f>
        <v>Musca domestica</v>
      </c>
      <c r="H5179" s="6" t="str">
        <f>VLOOKUP(E5179,dicionario!$A$1:$C5578,3,0)</f>
        <v>mosca-doméstica</v>
      </c>
    </row>
    <row r="5180">
      <c r="A5180" s="3">
        <v>45680.0</v>
      </c>
      <c r="B5180" s="4">
        <v>0.2763888888888889</v>
      </c>
      <c r="C5180" s="5" t="s">
        <v>85</v>
      </c>
      <c r="D5180" s="5" t="s">
        <v>1082</v>
      </c>
      <c r="E5180" s="8" t="s">
        <v>113</v>
      </c>
      <c r="F5180" s="5" t="s">
        <v>114</v>
      </c>
      <c r="G5180" s="6" t="str">
        <f>VLOOKUP(E5180,dicionario!$A$1:$C5579,2,0)</f>
        <v>Columbina talpacoti</v>
      </c>
      <c r="H5180" s="6" t="str">
        <f>VLOOKUP(E5180,dicionario!$A$1:$C5579,3,0)</f>
        <v>rolinha-roxa</v>
      </c>
    </row>
    <row r="5181">
      <c r="A5181" s="3">
        <v>45680.0</v>
      </c>
      <c r="B5181" s="4">
        <v>0.2763888888888889</v>
      </c>
      <c r="C5181" s="5" t="s">
        <v>85</v>
      </c>
      <c r="D5181" s="5" t="s">
        <v>1082</v>
      </c>
      <c r="E5181" s="8" t="s">
        <v>51</v>
      </c>
      <c r="F5181" s="5" t="s">
        <v>77</v>
      </c>
      <c r="G5181" s="6" t="str">
        <f>VLOOKUP(E5181,dicionario!$A$1:$C5580,2,0)</f>
        <v>Solenopsis</v>
      </c>
      <c r="H5181" s="6" t="str">
        <f>VLOOKUP(E5181,dicionario!$A$1:$C5580,3,0)</f>
        <v>formiga-quente; formiga-lava-pés; formiga-de-fogo</v>
      </c>
    </row>
    <row r="5182">
      <c r="A5182" s="3">
        <v>45680.0</v>
      </c>
      <c r="B5182" s="4">
        <v>0.2763888888888889</v>
      </c>
      <c r="C5182" s="5" t="s">
        <v>85</v>
      </c>
      <c r="D5182" s="5" t="s">
        <v>1082</v>
      </c>
      <c r="E5182" s="8" t="s">
        <v>225</v>
      </c>
      <c r="F5182" s="5" t="s">
        <v>226</v>
      </c>
      <c r="G5182" s="6" t="str">
        <f>VLOOKUP(E5182,dicionario!$A$1:$C5581,2,0)</f>
        <v>Passer domesticus</v>
      </c>
      <c r="H5182" s="6" t="str">
        <f>VLOOKUP(E5182,dicionario!$A$1:$C5581,3,0)</f>
        <v>pardal</v>
      </c>
    </row>
    <row r="5183">
      <c r="A5183" s="3">
        <v>45680.0</v>
      </c>
      <c r="B5183" s="4">
        <v>0.2777777777777778</v>
      </c>
      <c r="C5183" s="5" t="s">
        <v>85</v>
      </c>
      <c r="D5183" s="5" t="s">
        <v>1082</v>
      </c>
      <c r="E5183" s="8" t="s">
        <v>296</v>
      </c>
      <c r="F5183" s="5" t="s">
        <v>297</v>
      </c>
      <c r="G5183" s="6" t="str">
        <f>VLOOKUP(E5183,dicionario!$A$1:$C5582,2,0)</f>
        <v>Richardia brasiliensis</v>
      </c>
      <c r="H5183" s="6" t="str">
        <f>VLOOKUP(E5183,dicionario!$A$1:$C5582,3,0)</f>
        <v>poaia-branca</v>
      </c>
    </row>
    <row r="5184">
      <c r="A5184" s="3">
        <v>45680.0</v>
      </c>
      <c r="B5184" s="4">
        <v>0.2777777777777778</v>
      </c>
      <c r="C5184" s="5" t="s">
        <v>85</v>
      </c>
      <c r="D5184" s="5" t="s">
        <v>1082</v>
      </c>
      <c r="E5184" s="8" t="s">
        <v>821</v>
      </c>
      <c r="F5184" s="5" t="s">
        <v>876</v>
      </c>
      <c r="G5184" s="6" t="str">
        <f>VLOOKUP(E5184,dicionario!$A$1:$C5583,2,0)</f>
        <v>Schefflera actinophylla</v>
      </c>
      <c r="H5184" s="6" t="str">
        <f>VLOOKUP(E5184,dicionario!$A$1:$C5583,3,0)</f>
        <v>árvore-guarda-chuva</v>
      </c>
    </row>
    <row r="5185">
      <c r="A5185" s="3">
        <v>45680.0</v>
      </c>
      <c r="B5185" s="4">
        <v>0.2777777777777778</v>
      </c>
      <c r="C5185" s="5" t="s">
        <v>85</v>
      </c>
      <c r="D5185" s="5" t="s">
        <v>1082</v>
      </c>
      <c r="E5185" s="8" t="s">
        <v>227</v>
      </c>
      <c r="F5185" s="5" t="s">
        <v>228</v>
      </c>
      <c r="G5185" s="6" t="str">
        <f>VLOOKUP(E5185,dicionario!$A$1:$C5584,2,0)</f>
        <v>Indigofera hirsuta</v>
      </c>
      <c r="H5185" s="6" t="str">
        <f>VLOOKUP(E5185,dicionario!$A$1:$C5584,3,0)</f>
        <v>anileira</v>
      </c>
    </row>
    <row r="5186">
      <c r="A5186" s="3">
        <v>45680.0</v>
      </c>
      <c r="B5186" s="4">
        <v>0.28055555555555556</v>
      </c>
      <c r="C5186" s="5" t="s">
        <v>85</v>
      </c>
      <c r="D5186" s="5" t="s">
        <v>1082</v>
      </c>
      <c r="E5186" s="8" t="s">
        <v>682</v>
      </c>
      <c r="F5186" s="5" t="s">
        <v>683</v>
      </c>
      <c r="G5186" s="6" t="str">
        <f>VLOOKUP(E5186,dicionario!$A$1:$C5585,2,0)</f>
        <v>Lagria villosa</v>
      </c>
      <c r="H5186" s="6" t="str">
        <f>VLOOKUP(E5186,dicionario!$A$1:$C5585,3,0)</f>
        <v>bicho-capixaba</v>
      </c>
    </row>
    <row r="5187">
      <c r="A5187" s="3">
        <v>45680.0</v>
      </c>
      <c r="B5187" s="4">
        <v>0.28055555555555556</v>
      </c>
      <c r="C5187" s="5" t="s">
        <v>85</v>
      </c>
      <c r="D5187" s="5" t="s">
        <v>1082</v>
      </c>
      <c r="E5187" s="6" t="s">
        <v>383</v>
      </c>
      <c r="F5187" s="5" t="s">
        <v>384</v>
      </c>
      <c r="G5187" s="6" t="str">
        <f>VLOOKUP(E5187,dicionario!$A$1:$C5586,2,0)</f>
        <v>Setophaga pitiayumi</v>
      </c>
      <c r="H5187" s="6" t="str">
        <f>VLOOKUP(E5187,dicionario!$A$1:$C5586,3,0)</f>
        <v>mariquita</v>
      </c>
    </row>
    <row r="5188">
      <c r="A5188" s="3">
        <v>45680.0</v>
      </c>
      <c r="B5188" s="4">
        <v>0.28194444444444444</v>
      </c>
      <c r="C5188" s="5" t="s">
        <v>76</v>
      </c>
      <c r="D5188" s="5" t="s">
        <v>1082</v>
      </c>
      <c r="E5188" s="8" t="s">
        <v>10</v>
      </c>
      <c r="F5188" s="5" t="s">
        <v>11</v>
      </c>
      <c r="G5188" s="6" t="str">
        <f>VLOOKUP(E5188,dicionario!$A$1:$C5587,2,0)</f>
        <v>Guira guira</v>
      </c>
      <c r="H5188" s="6" t="str">
        <f>VLOOKUP(E5188,dicionario!$A$1:$C5587,3,0)</f>
        <v>anu-branco</v>
      </c>
    </row>
    <row r="5189">
      <c r="A5189" s="3">
        <v>45680.0</v>
      </c>
      <c r="B5189" s="4">
        <v>0.2826388888888889</v>
      </c>
      <c r="C5189" s="5" t="s">
        <v>76</v>
      </c>
      <c r="D5189" s="5" t="s">
        <v>1082</v>
      </c>
      <c r="E5189" s="8" t="s">
        <v>141</v>
      </c>
      <c r="F5189" s="5" t="s">
        <v>142</v>
      </c>
      <c r="G5189" s="6" t="str">
        <f>VLOOKUP(E5189,dicionario!$A$1:$C5588,2,0)</f>
        <v>Ruellia blechum</v>
      </c>
      <c r="H5189" s="6" t="str">
        <f>VLOOKUP(E5189,dicionario!$A$1:$C5588,3,0)</f>
        <v>camarão-verde</v>
      </c>
    </row>
    <row r="5190">
      <c r="A5190" s="3">
        <v>45680.0</v>
      </c>
      <c r="B5190" s="4">
        <v>0.2833333333333333</v>
      </c>
      <c r="C5190" s="5" t="s">
        <v>76</v>
      </c>
      <c r="D5190" s="5" t="s">
        <v>1082</v>
      </c>
      <c r="E5190" s="8" t="s">
        <v>146</v>
      </c>
      <c r="F5190" s="5" t="s">
        <v>147</v>
      </c>
      <c r="G5190" s="6" t="str">
        <f>VLOOKUP(E5190,dicionario!$A$1:$C5589,2,0)</f>
        <v>Euphorbia hirta</v>
      </c>
      <c r="H5190" s="6" t="str">
        <f>VLOOKUP(E5190,dicionario!$A$1:$C5589,3,0)</f>
        <v>erva-de-santa-luzia</v>
      </c>
    </row>
    <row r="5191">
      <c r="A5191" s="3">
        <v>45680.0</v>
      </c>
      <c r="B5191" s="4">
        <v>0.2833333333333333</v>
      </c>
      <c r="C5191" s="5" t="s">
        <v>76</v>
      </c>
      <c r="D5191" s="5" t="s">
        <v>1082</v>
      </c>
      <c r="E5191" s="8" t="s">
        <v>135</v>
      </c>
      <c r="F5191" s="5" t="s">
        <v>136</v>
      </c>
      <c r="G5191" s="6" t="str">
        <f>VLOOKUP(E5191,dicionario!$A$1:$C5590,2,0)</f>
        <v>Tridax procumbens</v>
      </c>
      <c r="H5191" s="6" t="str">
        <f>VLOOKUP(E5191,dicionario!$A$1:$C5590,3,0)</f>
        <v>erva-de-touro</v>
      </c>
    </row>
    <row r="5192">
      <c r="A5192" s="3">
        <v>45680.0</v>
      </c>
      <c r="B5192" s="4">
        <v>0.28402777777777777</v>
      </c>
      <c r="C5192" s="5" t="s">
        <v>76</v>
      </c>
      <c r="D5192" s="5" t="s">
        <v>1082</v>
      </c>
      <c r="E5192" s="8" t="s">
        <v>148</v>
      </c>
      <c r="F5192" s="5" t="s">
        <v>149</v>
      </c>
      <c r="G5192" s="6" t="str">
        <f>VLOOKUP(E5192,dicionario!$A$1:$C5591,2,0)</f>
        <v>Parthenium hysterophorus</v>
      </c>
      <c r="H5192" s="6" t="str">
        <f>VLOOKUP(E5192,dicionario!$A$1:$C5591,3,0)</f>
        <v>losna-branca</v>
      </c>
    </row>
    <row r="5193">
      <c r="A5193" s="3">
        <v>45680.0</v>
      </c>
      <c r="B5193" s="4">
        <v>0.28402777777777777</v>
      </c>
      <c r="C5193" s="5" t="s">
        <v>76</v>
      </c>
      <c r="D5193" s="5" t="s">
        <v>1082</v>
      </c>
      <c r="E5193" s="8" t="s">
        <v>296</v>
      </c>
      <c r="F5193" s="5" t="s">
        <v>297</v>
      </c>
      <c r="G5193" s="6" t="str">
        <f>VLOOKUP(E5193,dicionario!$A$1:$C5592,2,0)</f>
        <v>Richardia brasiliensis</v>
      </c>
      <c r="H5193" s="6" t="str">
        <f>VLOOKUP(E5193,dicionario!$A$1:$C5592,3,0)</f>
        <v>poaia-branca</v>
      </c>
    </row>
    <row r="5194">
      <c r="A5194" s="3">
        <v>45680.0</v>
      </c>
      <c r="B5194" s="4">
        <v>0.28402777777777777</v>
      </c>
      <c r="C5194" s="5" t="s">
        <v>76</v>
      </c>
      <c r="D5194" s="5" t="s">
        <v>1082</v>
      </c>
      <c r="E5194" s="8" t="s">
        <v>239</v>
      </c>
      <c r="F5194" s="5" t="s">
        <v>240</v>
      </c>
      <c r="G5194" s="6" t="str">
        <f>VLOOKUP(E5194,dicionario!$A$1:$C5593,2,0)</f>
        <v>Gomphrena celosioides</v>
      </c>
      <c r="H5194" s="6" t="str">
        <f>VLOOKUP(E5194,dicionario!$A$1:$C5593,3,0)</f>
        <v>perpétua-branca</v>
      </c>
    </row>
    <row r="5195">
      <c r="A5195" s="3">
        <v>45680.0</v>
      </c>
      <c r="B5195" s="4">
        <v>0.2847222222222222</v>
      </c>
      <c r="C5195" s="5" t="s">
        <v>76</v>
      </c>
      <c r="D5195" s="5" t="s">
        <v>1082</v>
      </c>
      <c r="E5195" s="8" t="s">
        <v>483</v>
      </c>
      <c r="F5195" s="5" t="s">
        <v>484</v>
      </c>
      <c r="G5195" s="6" t="str">
        <f>VLOOKUP(E5195,dicionario!$A$1:$C5594,2,0)</f>
        <v>Euphorbia prostrata</v>
      </c>
      <c r="H5195" s="6" t="str">
        <f>VLOOKUP(E5195,dicionario!$A$1:$C5594,3,0)</f>
        <v>quebra-pedra-rasteira</v>
      </c>
    </row>
    <row r="5196">
      <c r="A5196" s="3">
        <v>45680.0</v>
      </c>
      <c r="B5196" s="4">
        <v>0.2847222222222222</v>
      </c>
      <c r="C5196" s="5" t="s">
        <v>76</v>
      </c>
      <c r="D5196" s="5" t="s">
        <v>1082</v>
      </c>
      <c r="E5196" s="8" t="s">
        <v>247</v>
      </c>
      <c r="F5196" s="5" t="s">
        <v>387</v>
      </c>
      <c r="G5196" s="6" t="str">
        <f>VLOOKUP(E5196,dicionario!$A$1:$C5595,2,0)</f>
        <v>Emilia sonchifolia</v>
      </c>
      <c r="H5196" s="6" t="str">
        <f>VLOOKUP(E5196,dicionario!$A$1:$C5595,3,0)</f>
        <v>serralinha</v>
      </c>
    </row>
    <row r="5197">
      <c r="A5197" s="3">
        <v>45680.0</v>
      </c>
      <c r="B5197" s="4">
        <v>0.2847222222222222</v>
      </c>
      <c r="C5197" s="5" t="s">
        <v>76</v>
      </c>
      <c r="D5197" s="5" t="s">
        <v>1082</v>
      </c>
      <c r="E5197" s="8" t="s">
        <v>298</v>
      </c>
      <c r="F5197" s="5" t="s">
        <v>739</v>
      </c>
      <c r="G5197" s="6" t="str">
        <f>VLOOKUP(E5197,dicionario!$A$1:$C5596,2,0)</f>
        <v>Alysicarpus vaginalis</v>
      </c>
      <c r="H5197" s="6" t="str">
        <f>VLOOKUP(E5197,dicionario!$A$1:$C5596,3,0)</f>
        <v/>
      </c>
    </row>
    <row r="5198">
      <c r="A5198" s="3">
        <v>45680.0</v>
      </c>
      <c r="B5198" s="4">
        <v>0.2847222222222222</v>
      </c>
      <c r="C5198" s="5" t="s">
        <v>76</v>
      </c>
      <c r="D5198" s="5" t="s">
        <v>1082</v>
      </c>
      <c r="E5198" s="8" t="s">
        <v>177</v>
      </c>
      <c r="F5198" s="5" t="s">
        <v>178</v>
      </c>
      <c r="G5198" s="6" t="str">
        <f>VLOOKUP(E5198,dicionario!$A$1:$C5597,2,0)</f>
        <v>Elaenia flavogaster</v>
      </c>
      <c r="H5198" s="6" t="str">
        <f>VLOOKUP(E5198,dicionario!$A$1:$C5597,3,0)</f>
        <v>guaracava-de-barriga-amarela</v>
      </c>
    </row>
    <row r="5199">
      <c r="A5199" s="3">
        <v>45680.0</v>
      </c>
      <c r="B5199" s="4">
        <v>0.2847222222222222</v>
      </c>
      <c r="C5199" s="5" t="s">
        <v>76</v>
      </c>
      <c r="D5199" s="5" t="s">
        <v>1082</v>
      </c>
      <c r="E5199" s="8" t="s">
        <v>200</v>
      </c>
      <c r="F5199" s="5" t="s">
        <v>201</v>
      </c>
      <c r="G5199" s="6" t="str">
        <f>VLOOKUP(E5199,dicionario!$A$1:$C5598,2,0)</f>
        <v>Columbina picui </v>
      </c>
      <c r="H5199" s="6" t="str">
        <f>VLOOKUP(E5199,dicionario!$A$1:$C5598,3,0)</f>
        <v>rolinha-picuí</v>
      </c>
    </row>
    <row r="5200">
      <c r="A5200" s="3">
        <v>45680.0</v>
      </c>
      <c r="B5200" s="4">
        <v>0.2847222222222222</v>
      </c>
      <c r="C5200" s="5" t="s">
        <v>76</v>
      </c>
      <c r="D5200" s="5" t="s">
        <v>1082</v>
      </c>
      <c r="E5200" s="8" t="s">
        <v>113</v>
      </c>
      <c r="F5200" s="5" t="s">
        <v>114</v>
      </c>
      <c r="G5200" s="6" t="str">
        <f>VLOOKUP(E5200,dicionario!$A$1:$C5599,2,0)</f>
        <v>Columbina talpacoti</v>
      </c>
      <c r="H5200" s="6" t="str">
        <f>VLOOKUP(E5200,dicionario!$A$1:$C5599,3,0)</f>
        <v>rolinha-roxa</v>
      </c>
    </row>
    <row r="5201">
      <c r="A5201" s="3">
        <v>45680.0</v>
      </c>
      <c r="B5201" s="4">
        <v>0.2847222222222222</v>
      </c>
      <c r="C5201" s="5" t="s">
        <v>76</v>
      </c>
      <c r="D5201" s="5" t="s">
        <v>1082</v>
      </c>
      <c r="E5201" s="8" t="s">
        <v>154</v>
      </c>
      <c r="F5201" s="5" t="s">
        <v>155</v>
      </c>
      <c r="G5201" s="6" t="str">
        <f>VLOOKUP(E5201,dicionario!$A$1:$C5600,2,0)</f>
        <v>Cyperus rotundus</v>
      </c>
      <c r="H5201" s="6" t="str">
        <f>VLOOKUP(E5201,dicionario!$A$1:$C5600,3,0)</f>
        <v>tiririca</v>
      </c>
    </row>
    <row r="5202">
      <c r="A5202" s="3">
        <v>45680.0</v>
      </c>
      <c r="B5202" s="4">
        <v>0.2847222222222222</v>
      </c>
      <c r="C5202" s="5" t="s">
        <v>76</v>
      </c>
      <c r="D5202" s="5" t="s">
        <v>1082</v>
      </c>
      <c r="E5202" s="8" t="s">
        <v>504</v>
      </c>
      <c r="F5202" s="5" t="s">
        <v>534</v>
      </c>
      <c r="G5202" s="6" t="str">
        <f>VLOOKUP(E5202,dicionario!$A$1:$C5601,2,0)</f>
        <v>Cleome aculeata</v>
      </c>
      <c r="H5202" s="6" t="str">
        <f>VLOOKUP(E5202,dicionario!$A$1:$C5601,3,0)</f>
        <v>cleome</v>
      </c>
    </row>
    <row r="5203">
      <c r="A5203" s="3">
        <v>45680.0</v>
      </c>
      <c r="B5203" s="4">
        <v>0.2847222222222222</v>
      </c>
      <c r="C5203" s="5" t="s">
        <v>76</v>
      </c>
      <c r="D5203" s="5" t="s">
        <v>1082</v>
      </c>
      <c r="E5203" s="8" t="s">
        <v>611</v>
      </c>
      <c r="F5203" s="5" t="s">
        <v>612</v>
      </c>
      <c r="G5203" s="6" t="str">
        <f>VLOOKUP(E5203,dicionario!$A$1:$C5602,2,0)</f>
        <v>Boehmeria cylindrica</v>
      </c>
      <c r="H5203" s="6" t="str">
        <f>VLOOKUP(E5203,dicionario!$A$1:$C5602,3,0)</f>
        <v>falsa-urtiga</v>
      </c>
    </row>
    <row r="5204">
      <c r="A5204" s="3">
        <v>45680.0</v>
      </c>
      <c r="B5204" s="4">
        <v>0.28541666666666665</v>
      </c>
      <c r="C5204" s="5" t="s">
        <v>76</v>
      </c>
      <c r="D5204" s="5" t="s">
        <v>1082</v>
      </c>
      <c r="E5204" s="60" t="s">
        <v>1112</v>
      </c>
      <c r="F5204" s="5" t="s">
        <v>1113</v>
      </c>
      <c r="G5204" s="6" t="str">
        <f>VLOOKUP(E5204,dicionario!$A$1:$C5603,2,0)</f>
        <v>Hylophilus thoracicus</v>
      </c>
      <c r="H5204" s="6" t="str">
        <f>VLOOKUP(E5204,dicionario!$A$1:$C5603,3,0)</f>
        <v>vite-vite</v>
      </c>
    </row>
    <row r="5205">
      <c r="A5205" s="3">
        <v>45680.0</v>
      </c>
      <c r="B5205" s="4">
        <v>0.28541666666666665</v>
      </c>
      <c r="C5205" s="5" t="s">
        <v>76</v>
      </c>
      <c r="D5205" s="5" t="s">
        <v>1082</v>
      </c>
      <c r="E5205" s="8" t="s">
        <v>195</v>
      </c>
      <c r="F5205" s="5" t="s">
        <v>196</v>
      </c>
      <c r="G5205" s="6" t="str">
        <f>VLOOKUP(E5205,dicionario!$A$1:$C5604,2,0)</f>
        <v>Priva lappulacea</v>
      </c>
      <c r="H5205" s="6" t="str">
        <f>VLOOKUP(E5205,dicionario!$A$1:$C5604,3,0)</f>
        <v>carrapicho</v>
      </c>
    </row>
    <row r="5206">
      <c r="A5206" s="3">
        <v>45680.0</v>
      </c>
      <c r="B5206" s="4">
        <v>0.28541666666666665</v>
      </c>
      <c r="C5206" s="5" t="s">
        <v>76</v>
      </c>
      <c r="D5206" s="5" t="s">
        <v>1082</v>
      </c>
      <c r="E5206" s="8" t="s">
        <v>504</v>
      </c>
      <c r="F5206" s="5" t="s">
        <v>1114</v>
      </c>
      <c r="G5206" s="6" t="str">
        <f>VLOOKUP(E5206,dicionario!$A$1:$C5605,2,0)</f>
        <v>Cleome aculeata</v>
      </c>
      <c r="H5206" s="6" t="str">
        <f>VLOOKUP(E5206,dicionario!$A$1:$C5605,3,0)</f>
        <v>cleome</v>
      </c>
    </row>
    <row r="5207">
      <c r="A5207" s="3">
        <v>45680.0</v>
      </c>
      <c r="B5207" s="4">
        <v>0.28541666666666665</v>
      </c>
      <c r="C5207" s="5" t="s">
        <v>76</v>
      </c>
      <c r="D5207" s="5" t="s">
        <v>1082</v>
      </c>
      <c r="E5207" s="8" t="s">
        <v>267</v>
      </c>
      <c r="F5207" s="5" t="s">
        <v>553</v>
      </c>
      <c r="G5207" s="6" t="str">
        <f>VLOOKUP(E5207,dicionario!$A$1:$C5606,2,0)</f>
        <v>Solanum americanum</v>
      </c>
      <c r="H5207" s="6" t="str">
        <f>VLOOKUP(E5207,dicionario!$A$1:$C5606,3,0)</f>
        <v>maria-pretinha</v>
      </c>
    </row>
    <row r="5208">
      <c r="A5208" s="3">
        <v>45680.0</v>
      </c>
      <c r="B5208" s="4">
        <v>0.28541666666666665</v>
      </c>
      <c r="C5208" s="5" t="s">
        <v>76</v>
      </c>
      <c r="D5208" s="5" t="s">
        <v>1082</v>
      </c>
      <c r="E5208" s="8" t="s">
        <v>48</v>
      </c>
      <c r="F5208" s="5" t="s">
        <v>49</v>
      </c>
      <c r="G5208" s="6" t="str">
        <f>VLOOKUP(E5208,dicionario!$A$1:$C5607,2,0)</f>
        <v>Commelina erecta</v>
      </c>
      <c r="H5208" s="6" t="str">
        <f>VLOOKUP(E5208,dicionario!$A$1:$C5607,3,0)</f>
        <v>trapoeraba</v>
      </c>
    </row>
    <row r="5209">
      <c r="A5209" s="3">
        <v>45680.0</v>
      </c>
      <c r="B5209" s="4">
        <v>0.28541666666666665</v>
      </c>
      <c r="C5209" s="5" t="s">
        <v>76</v>
      </c>
      <c r="D5209" s="5" t="s">
        <v>1082</v>
      </c>
      <c r="E5209" s="8" t="s">
        <v>177</v>
      </c>
      <c r="F5209" s="5" t="s">
        <v>607</v>
      </c>
      <c r="G5209" s="6" t="str">
        <f>VLOOKUP(E5209,dicionario!$A$1:$C5608,2,0)</f>
        <v>Elaenia flavogaster</v>
      </c>
      <c r="H5209" s="6" t="str">
        <f>VLOOKUP(E5209,dicionario!$A$1:$C5608,3,0)</f>
        <v>guaracava-de-barriga-amarela</v>
      </c>
    </row>
    <row r="5210">
      <c r="A5210" s="3">
        <v>45680.0</v>
      </c>
      <c r="B5210" s="4">
        <v>0.28541666666666665</v>
      </c>
      <c r="C5210" s="5" t="s">
        <v>76</v>
      </c>
      <c r="D5210" s="5" t="s">
        <v>1082</v>
      </c>
      <c r="E5210" s="8" t="s">
        <v>18</v>
      </c>
      <c r="F5210" s="5" t="s">
        <v>219</v>
      </c>
      <c r="G5210" s="6" t="str">
        <f>VLOOKUP(E5210,dicionario!$A$1:$C5609,2,0)</f>
        <v>Xylocopa frontalis</v>
      </c>
      <c r="H5210" s="6" t="str">
        <f>VLOOKUP(E5210,dicionario!$A$1:$C5609,3,0)</f>
        <v>Mamangava; mangangá; abelha-carpinteira</v>
      </c>
    </row>
    <row r="5211">
      <c r="A5211" s="3">
        <v>45680.0</v>
      </c>
      <c r="B5211" s="4">
        <v>0.2861111111111111</v>
      </c>
      <c r="C5211" s="5" t="s">
        <v>76</v>
      </c>
      <c r="D5211" s="5" t="s">
        <v>1082</v>
      </c>
      <c r="E5211" s="8" t="s">
        <v>139</v>
      </c>
      <c r="F5211" s="5" t="s">
        <v>862</v>
      </c>
      <c r="G5211" s="6" t="str">
        <f>VLOOKUP(E5211,dicionario!$A$1:$C5610,2,0)</f>
        <v>Tropidurus torquatus</v>
      </c>
      <c r="H5211" s="6" t="str">
        <f>VLOOKUP(E5211,dicionario!$A$1:$C5610,3,0)</f>
        <v>calango; tropiduro-comum</v>
      </c>
    </row>
    <row r="5212">
      <c r="A5212" s="3">
        <v>45680.0</v>
      </c>
      <c r="B5212" s="4">
        <v>0.2861111111111111</v>
      </c>
      <c r="C5212" s="5" t="s">
        <v>76</v>
      </c>
      <c r="D5212" s="5" t="s">
        <v>1082</v>
      </c>
      <c r="E5212" s="8" t="s">
        <v>86</v>
      </c>
      <c r="F5212" s="5" t="s">
        <v>502</v>
      </c>
      <c r="G5212" s="6" t="str">
        <f>VLOOKUP(E5212,dicionario!$A$1:$C5611,2,0)</f>
        <v>Coereba flaveola</v>
      </c>
      <c r="H5212" s="6" t="str">
        <f>VLOOKUP(E5212,dicionario!$A$1:$C5611,3,0)</f>
        <v>cambacica</v>
      </c>
    </row>
    <row r="5213">
      <c r="A5213" s="3">
        <v>45680.0</v>
      </c>
      <c r="B5213" s="4">
        <v>0.2861111111111111</v>
      </c>
      <c r="C5213" s="5" t="s">
        <v>76</v>
      </c>
      <c r="D5213" s="5" t="s">
        <v>1082</v>
      </c>
      <c r="E5213" s="8" t="s">
        <v>225</v>
      </c>
      <c r="F5213" s="5" t="s">
        <v>226</v>
      </c>
      <c r="G5213" s="6" t="str">
        <f>VLOOKUP(E5213,dicionario!$A$1:$C5612,2,0)</f>
        <v>Passer domesticus</v>
      </c>
      <c r="H5213" s="6" t="str">
        <f>VLOOKUP(E5213,dicionario!$A$1:$C5612,3,0)</f>
        <v>pardal</v>
      </c>
    </row>
    <row r="5214">
      <c r="A5214" s="3">
        <v>45680.0</v>
      </c>
      <c r="B5214" s="4">
        <v>0.28680555555555554</v>
      </c>
      <c r="C5214" s="5" t="s">
        <v>76</v>
      </c>
      <c r="D5214" s="5" t="s">
        <v>1082</v>
      </c>
      <c r="E5214" s="6" t="s">
        <v>169</v>
      </c>
      <c r="F5214" s="5" t="s">
        <v>170</v>
      </c>
      <c r="G5214" s="6" t="str">
        <f>VLOOKUP(E5214,dicionario!$A$1:$C5613,2,0)</f>
        <v>Camponotus cruentatus</v>
      </c>
      <c r="H5214" s="6" t="str">
        <f>VLOOKUP(E5214,dicionario!$A$1:$C5613,3,0)</f>
        <v>formiga-carpinteira</v>
      </c>
    </row>
    <row r="5215">
      <c r="A5215" s="3">
        <v>45680.0</v>
      </c>
      <c r="B5215" s="4">
        <v>0.2881944444444444</v>
      </c>
      <c r="C5215" s="5" t="s">
        <v>76</v>
      </c>
      <c r="D5215" s="5" t="s">
        <v>1082</v>
      </c>
      <c r="E5215" s="8" t="s">
        <v>1115</v>
      </c>
      <c r="F5215" s="5" t="s">
        <v>1116</v>
      </c>
      <c r="G5215" s="6" t="str">
        <f>VLOOKUP(E5215,dicionario!$A$1:$C5614,2,0)</f>
        <v>#N/A</v>
      </c>
      <c r="H5215" s="6" t="str">
        <f>VLOOKUP(E5215,dicionario!$A$1:$C5614,3,0)</f>
        <v>#N/A</v>
      </c>
    </row>
    <row r="5216">
      <c r="A5216" s="3">
        <v>45680.0</v>
      </c>
      <c r="B5216" s="4">
        <v>0.2881944444444444</v>
      </c>
      <c r="C5216" s="5" t="s">
        <v>76</v>
      </c>
      <c r="D5216" s="5" t="s">
        <v>1082</v>
      </c>
      <c r="E5216" s="8" t="s">
        <v>946</v>
      </c>
      <c r="F5216" s="5" t="s">
        <v>1091</v>
      </c>
      <c r="G5216" s="6" t="str">
        <f>VLOOKUP(E5216,dicionario!$A$1:$C5615,2,0)</f>
        <v>Thorybes dorantes</v>
      </c>
      <c r="H5216" s="6" t="str">
        <f>VLOOKUP(E5216,dicionario!$A$1:$C5615,3,0)</f>
        <v>mariposa-de-cauda-lilás</v>
      </c>
    </row>
    <row r="5217">
      <c r="A5217" s="3">
        <v>45680.0</v>
      </c>
      <c r="B5217" s="4">
        <v>0.2881944444444444</v>
      </c>
      <c r="C5217" s="5" t="s">
        <v>76</v>
      </c>
      <c r="D5217" s="5" t="s">
        <v>1082</v>
      </c>
      <c r="E5217" s="8" t="s">
        <v>83</v>
      </c>
      <c r="F5217" s="5" t="s">
        <v>84</v>
      </c>
      <c r="G5217" s="6" t="str">
        <f>VLOOKUP(E5217,dicionario!$A$1:$C5616,2,0)</f>
        <v>Anartia jatrophae</v>
      </c>
      <c r="H5217" s="6" t="str">
        <f>VLOOKUP(E5217,dicionario!$A$1:$C5616,3,0)</f>
        <v>borboleta-pavão-branco</v>
      </c>
    </row>
    <row r="5218">
      <c r="A5218" s="3">
        <v>45680.0</v>
      </c>
      <c r="B5218" s="4">
        <v>0.2881944444444444</v>
      </c>
      <c r="C5218" s="5" t="s">
        <v>76</v>
      </c>
      <c r="D5218" s="5" t="s">
        <v>1082</v>
      </c>
      <c r="E5218" s="6" t="s">
        <v>539</v>
      </c>
      <c r="F5218" s="5" t="s">
        <v>540</v>
      </c>
      <c r="G5218" s="6" t="str">
        <f>VLOOKUP(E5218,dicionario!$A$1:$C5617,2,0)</f>
        <v>#N/A</v>
      </c>
      <c r="H5218" s="6" t="str">
        <f>VLOOKUP(E5218,dicionario!$A$1:$C5617,3,0)</f>
        <v>#N/A</v>
      </c>
    </row>
    <row r="5219">
      <c r="A5219" s="3">
        <v>45680.0</v>
      </c>
      <c r="B5219" s="4">
        <v>0.28888888888888886</v>
      </c>
      <c r="C5219" s="5" t="s">
        <v>76</v>
      </c>
      <c r="D5219" s="5" t="s">
        <v>1082</v>
      </c>
      <c r="E5219" s="8" t="s">
        <v>158</v>
      </c>
      <c r="F5219" s="5" t="s">
        <v>159</v>
      </c>
      <c r="G5219" s="6" t="str">
        <f>VLOOKUP(E5219,dicionario!$A$1:$C5618,2,0)</f>
        <v>Nephilingis cruentata</v>
      </c>
      <c r="H5219" s="6" t="str">
        <f>VLOOKUP(E5219,dicionario!$A$1:$C5618,3,0)</f>
        <v>maria-bola</v>
      </c>
    </row>
    <row r="5220">
      <c r="A5220" s="3">
        <v>45680.0</v>
      </c>
      <c r="B5220" s="4">
        <v>0.28888888888888886</v>
      </c>
      <c r="C5220" s="5" t="s">
        <v>76</v>
      </c>
      <c r="D5220" s="5" t="s">
        <v>1082</v>
      </c>
      <c r="E5220" s="8" t="s">
        <v>684</v>
      </c>
      <c r="F5220" s="5" t="s">
        <v>685</v>
      </c>
      <c r="G5220" s="6" t="str">
        <f>VLOOKUP(E5220,dicionario!$A$1:$C5619,2,0)</f>
        <v>Columbina squammata</v>
      </c>
      <c r="H5220" s="6" t="str">
        <f>VLOOKUP(E5220,dicionario!$A$1:$C5619,3,0)</f>
        <v>rolinha-fogo-apagou</v>
      </c>
    </row>
    <row r="5221">
      <c r="A5221" s="3">
        <v>45680.0</v>
      </c>
      <c r="B5221" s="4">
        <v>0.28888888888888886</v>
      </c>
      <c r="C5221" s="5" t="s">
        <v>76</v>
      </c>
      <c r="D5221" s="5" t="s">
        <v>1082</v>
      </c>
      <c r="E5221" s="8" t="s">
        <v>353</v>
      </c>
      <c r="F5221" s="5" t="s">
        <v>354</v>
      </c>
      <c r="G5221" s="6" t="str">
        <f>VLOOKUP(E5221,dicionario!$A$1:$C5620,2,0)</f>
        <v>Desmodium incanum</v>
      </c>
      <c r="H5221" s="6" t="str">
        <f>VLOOKUP(E5221,dicionario!$A$1:$C5620,3,0)</f>
        <v>pega-pega</v>
      </c>
    </row>
    <row r="5222">
      <c r="A5222" s="3">
        <v>45680.0</v>
      </c>
      <c r="B5222" s="4">
        <v>0.28888888888888886</v>
      </c>
      <c r="C5222" s="5" t="s">
        <v>76</v>
      </c>
      <c r="D5222" s="5" t="s">
        <v>1082</v>
      </c>
      <c r="E5222" s="8" t="s">
        <v>262</v>
      </c>
      <c r="F5222" s="7" t="s">
        <v>263</v>
      </c>
      <c r="G5222" s="6" t="str">
        <f>VLOOKUP(E5222,dicionario!$A$1:$C5621,2,0)</f>
        <v>Portulaca oleracea</v>
      </c>
      <c r="H5222" s="6" t="str">
        <f>VLOOKUP(E5222,dicionario!$A$1:$C5621,3,0)</f>
        <v>beldroega</v>
      </c>
    </row>
    <row r="5223">
      <c r="A5223" s="3">
        <v>45680.0</v>
      </c>
      <c r="B5223" s="4">
        <v>0.28888888888888886</v>
      </c>
      <c r="C5223" s="5" t="s">
        <v>76</v>
      </c>
      <c r="D5223" s="5" t="s">
        <v>1082</v>
      </c>
      <c r="E5223" s="8" t="s">
        <v>213</v>
      </c>
      <c r="F5223" s="5" t="s">
        <v>214</v>
      </c>
      <c r="G5223" s="6" t="str">
        <f>VLOOKUP(E5223,dicionario!$A$1:$C5622,2,0)</f>
        <v>Myiozetetes similis</v>
      </c>
      <c r="H5223" s="6" t="str">
        <f>VLOOKUP(E5223,dicionario!$A$1:$C5622,3,0)</f>
        <v>bentevizinho-de-penacho-vermelho</v>
      </c>
    </row>
    <row r="5224">
      <c r="A5224" s="3">
        <v>45680.0</v>
      </c>
      <c r="B5224" s="4">
        <v>0.28888888888888886</v>
      </c>
      <c r="C5224" s="5" t="s">
        <v>76</v>
      </c>
      <c r="D5224" s="5" t="s">
        <v>1082</v>
      </c>
      <c r="E5224" s="8" t="s">
        <v>355</v>
      </c>
      <c r="F5224" s="5" t="s">
        <v>356</v>
      </c>
      <c r="G5224" s="6" t="str">
        <f>VLOOKUP(E5224,dicionario!$A$1:$C5623,2,0)</f>
        <v>Boerhavia diffusa</v>
      </c>
      <c r="H5224" s="6" t="str">
        <f>VLOOKUP(E5224,dicionario!$A$1:$C5623,3,0)</f>
        <v>erva-tostão</v>
      </c>
    </row>
    <row r="5225">
      <c r="A5225" s="3">
        <v>45680.0</v>
      </c>
      <c r="B5225" s="4">
        <v>0.28888888888888886</v>
      </c>
      <c r="C5225" s="5" t="s">
        <v>76</v>
      </c>
      <c r="D5225" s="5" t="s">
        <v>1082</v>
      </c>
      <c r="E5225" s="8" t="s">
        <v>786</v>
      </c>
      <c r="F5225" s="5" t="s">
        <v>787</v>
      </c>
      <c r="G5225" s="6" t="str">
        <f>VLOOKUP(E5225,dicionario!$A$1:$C5624,2,0)</f>
        <v>Lycianthes asarifolia</v>
      </c>
      <c r="H5225" s="6" t="str">
        <f>VLOOKUP(E5225,dicionario!$A$1:$C5624,3,0)</f>
        <v>joá-rasteiro</v>
      </c>
    </row>
    <row r="5226">
      <c r="A5226" s="3">
        <v>45680.0</v>
      </c>
      <c r="B5226" s="4">
        <v>0.2902777777777778</v>
      </c>
      <c r="C5226" s="5" t="s">
        <v>76</v>
      </c>
      <c r="D5226" s="5" t="s">
        <v>1082</v>
      </c>
      <c r="E5226" s="8" t="s">
        <v>593</v>
      </c>
      <c r="F5226" s="5" t="s">
        <v>335</v>
      </c>
      <c r="G5226" s="6" t="str">
        <f>VLOOKUP(E5226,dicionario!$A$1:$C5625,2,0)</f>
        <v>#N/A</v>
      </c>
      <c r="H5226" s="6" t="str">
        <f>VLOOKUP(E5226,dicionario!$A$1:$C5625,3,0)</f>
        <v>#N/A</v>
      </c>
    </row>
    <row r="5227">
      <c r="A5227" s="3">
        <v>45680.0</v>
      </c>
      <c r="B5227" s="4">
        <v>0.2902777777777778</v>
      </c>
      <c r="C5227" s="5" t="s">
        <v>76</v>
      </c>
      <c r="D5227" s="5" t="s">
        <v>1082</v>
      </c>
      <c r="E5227" s="8" t="s">
        <v>401</v>
      </c>
      <c r="F5227" s="5" t="s">
        <v>464</v>
      </c>
      <c r="G5227" s="6" t="str">
        <f>VLOOKUP(E5227,dicionario!$A$1:$C5626,2,0)</f>
        <v>Cissus verticillata</v>
      </c>
      <c r="H5227" s="6" t="str">
        <f>VLOOKUP(E5227,dicionario!$A$1:$C5626,3,0)</f>
        <v>uva-do-mato</v>
      </c>
    </row>
    <row r="5228">
      <c r="A5228" s="3">
        <v>45680.0</v>
      </c>
      <c r="B5228" s="4">
        <v>0.29097222222222224</v>
      </c>
      <c r="C5228" s="5" t="s">
        <v>76</v>
      </c>
      <c r="D5228" s="5" t="s">
        <v>1082</v>
      </c>
      <c r="E5228" s="8" t="s">
        <v>483</v>
      </c>
      <c r="F5228" s="5" t="s">
        <v>289</v>
      </c>
      <c r="G5228" s="6" t="str">
        <f>VLOOKUP(E5228,dicionario!$A$1:$C5627,2,0)</f>
        <v>Euphorbia prostrata</v>
      </c>
      <c r="H5228" s="6" t="str">
        <f>VLOOKUP(E5228,dicionario!$A$1:$C5627,3,0)</f>
        <v>quebra-pedra-rasteira</v>
      </c>
    </row>
    <row r="5229">
      <c r="A5229" s="3">
        <v>45680.0</v>
      </c>
      <c r="B5229" s="4">
        <v>0.29097222222222224</v>
      </c>
      <c r="C5229" s="5" t="s">
        <v>76</v>
      </c>
      <c r="D5229" s="5" t="s">
        <v>1082</v>
      </c>
      <c r="E5229" s="8" t="s">
        <v>69</v>
      </c>
      <c r="F5229" s="7" t="s">
        <v>71</v>
      </c>
      <c r="G5229" s="6" t="str">
        <f>VLOOKUP(E5229,dicionario!$A$1:$C5628,2,0)</f>
        <v>Talinum fruticosum</v>
      </c>
      <c r="H5229" s="6" t="str">
        <f>VLOOKUP(E5229,dicionario!$A$1:$C5628,3,0)</f>
        <v>beldroega-grande</v>
      </c>
    </row>
    <row r="5230">
      <c r="A5230" s="3">
        <v>45680.0</v>
      </c>
      <c r="B5230" s="4">
        <v>0.29097222222222224</v>
      </c>
      <c r="C5230" s="5" t="s">
        <v>76</v>
      </c>
      <c r="D5230" s="5" t="s">
        <v>1082</v>
      </c>
      <c r="E5230" s="6" t="s">
        <v>256</v>
      </c>
      <c r="F5230" s="5" t="s">
        <v>257</v>
      </c>
      <c r="G5230" s="6" t="str">
        <f>VLOOKUP(E5230,dicionario!$A$1:$C5629,2,0)</f>
        <v>Youngia japonica</v>
      </c>
      <c r="H5230" s="6" t="str">
        <f>VLOOKUP(E5230,dicionario!$A$1:$C5629,3,0)</f>
        <v>barba-de-falcão</v>
      </c>
    </row>
    <row r="5231">
      <c r="A5231" s="3">
        <v>45680.0</v>
      </c>
      <c r="B5231" s="4">
        <v>0.29097222222222224</v>
      </c>
      <c r="C5231" s="5" t="s">
        <v>76</v>
      </c>
      <c r="D5231" s="5" t="s">
        <v>1082</v>
      </c>
      <c r="E5231" s="6" t="s">
        <v>328</v>
      </c>
      <c r="F5231" s="5" t="s">
        <v>329</v>
      </c>
      <c r="G5231" s="6" t="str">
        <f>VLOOKUP(E5231,dicionario!$A$1:$C5630,2,0)</f>
        <v>Rivina humilis</v>
      </c>
      <c r="H5231" s="6" t="str">
        <f>VLOOKUP(E5231,dicionario!$A$1:$C5630,3,0)</f>
        <v>baga-de-sangue</v>
      </c>
    </row>
    <row r="5232">
      <c r="A5232" s="3">
        <v>45680.0</v>
      </c>
      <c r="B5232" s="4">
        <v>0.2916666666666667</v>
      </c>
      <c r="C5232" s="5" t="s">
        <v>76</v>
      </c>
      <c r="D5232" s="5" t="s">
        <v>1082</v>
      </c>
      <c r="E5232" s="8" t="s">
        <v>251</v>
      </c>
      <c r="F5232" s="5" t="s">
        <v>252</v>
      </c>
      <c r="G5232" s="6" t="str">
        <f>VLOOKUP(E5232,dicionario!$A$1:$C5631,2,0)</f>
        <v>Struthanthus flexicaulis</v>
      </c>
      <c r="H5232" s="6" t="str">
        <f>VLOOKUP(E5232,dicionario!$A$1:$C5631,3,0)</f>
        <v>erva-de-passarinho</v>
      </c>
    </row>
    <row r="5233">
      <c r="A5233" s="3">
        <v>45680.0</v>
      </c>
      <c r="B5233" s="4">
        <v>0.29791666666666666</v>
      </c>
      <c r="C5233" s="5" t="s">
        <v>64</v>
      </c>
      <c r="D5233" s="5" t="s">
        <v>1082</v>
      </c>
      <c r="E5233" s="41" t="s">
        <v>707</v>
      </c>
      <c r="F5233" s="5" t="s">
        <v>708</v>
      </c>
      <c r="G5233" s="6" t="str">
        <f>VLOOKUP(E5233,dicionario!$A$1:$C5632,2,0)</f>
        <v>#N/A</v>
      </c>
      <c r="H5233" s="6" t="str">
        <f>VLOOKUP(E5233,dicionario!$A$1:$C5632,3,0)</f>
        <v>#N/A</v>
      </c>
    </row>
    <row r="5234">
      <c r="A5234" s="3">
        <v>45680.0</v>
      </c>
      <c r="B5234" s="4">
        <v>0.29791666666666666</v>
      </c>
      <c r="C5234" s="5" t="s">
        <v>64</v>
      </c>
      <c r="D5234" s="5" t="s">
        <v>1082</v>
      </c>
      <c r="E5234" s="8" t="s">
        <v>631</v>
      </c>
      <c r="F5234" s="5" t="s">
        <v>632</v>
      </c>
      <c r="G5234" s="6" t="str">
        <f>VLOOKUP(E5234,dicionario!$A$1:$C5633,2,0)</f>
        <v>Chamaecrista nictitans</v>
      </c>
      <c r="H5234" s="6" t="str">
        <f>VLOOKUP(E5234,dicionario!$A$1:$C5633,3,0)</f>
        <v>falsa-dormideira</v>
      </c>
    </row>
    <row r="5235">
      <c r="A5235" s="3">
        <v>45680.0</v>
      </c>
      <c r="B5235" s="4">
        <v>0.29791666666666666</v>
      </c>
      <c r="C5235" s="5" t="s">
        <v>64</v>
      </c>
      <c r="D5235" s="5" t="s">
        <v>1082</v>
      </c>
      <c r="E5235" s="8" t="s">
        <v>483</v>
      </c>
      <c r="F5235" s="5" t="s">
        <v>289</v>
      </c>
      <c r="G5235" s="6" t="str">
        <f>VLOOKUP(E5235,dicionario!$A$1:$C5634,2,0)</f>
        <v>Euphorbia prostrata</v>
      </c>
      <c r="H5235" s="6" t="str">
        <f>VLOOKUP(E5235,dicionario!$A$1:$C5634,3,0)</f>
        <v>quebra-pedra-rasteira</v>
      </c>
    </row>
    <row r="5236">
      <c r="A5236" s="3">
        <v>45680.0</v>
      </c>
      <c r="B5236" s="4">
        <v>0.29791666666666666</v>
      </c>
      <c r="C5236" s="5" t="s">
        <v>64</v>
      </c>
      <c r="D5236" s="5" t="s">
        <v>1082</v>
      </c>
      <c r="E5236" s="8" t="s">
        <v>296</v>
      </c>
      <c r="F5236" s="5" t="s">
        <v>297</v>
      </c>
      <c r="G5236" s="6" t="str">
        <f>VLOOKUP(E5236,dicionario!$A$1:$C5635,2,0)</f>
        <v>Richardia brasiliensis</v>
      </c>
      <c r="H5236" s="6" t="str">
        <f>VLOOKUP(E5236,dicionario!$A$1:$C5635,3,0)</f>
        <v>poaia-branca</v>
      </c>
    </row>
    <row r="5237">
      <c r="A5237" s="3">
        <v>45680.0</v>
      </c>
      <c r="B5237" s="4">
        <v>0.2986111111111111</v>
      </c>
      <c r="C5237" s="5" t="s">
        <v>64</v>
      </c>
      <c r="D5237" s="5" t="s">
        <v>1082</v>
      </c>
      <c r="E5237" s="8" t="s">
        <v>177</v>
      </c>
      <c r="F5237" s="5" t="s">
        <v>607</v>
      </c>
      <c r="G5237" s="6" t="str">
        <f>VLOOKUP(E5237,dicionario!$A$1:$C5636,2,0)</f>
        <v>Elaenia flavogaster</v>
      </c>
      <c r="H5237" s="6" t="str">
        <f>VLOOKUP(E5237,dicionario!$A$1:$C5636,3,0)</f>
        <v>guaracava-de-barriga-amarela</v>
      </c>
    </row>
    <row r="5238">
      <c r="A5238" s="3">
        <v>45680.0</v>
      </c>
      <c r="B5238" s="4">
        <v>0.2986111111111111</v>
      </c>
      <c r="C5238" s="5" t="s">
        <v>64</v>
      </c>
      <c r="D5238" s="5" t="s">
        <v>1082</v>
      </c>
      <c r="E5238" s="8" t="s">
        <v>709</v>
      </c>
      <c r="F5238" s="5" t="s">
        <v>598</v>
      </c>
      <c r="G5238" s="6" t="str">
        <f>VLOOKUP(E5238,dicionario!$A$1:$C5637,2,0)</f>
        <v>#N/A</v>
      </c>
      <c r="H5238" s="6" t="str">
        <f>VLOOKUP(E5238,dicionario!$A$1:$C5637,3,0)</f>
        <v>#N/A</v>
      </c>
    </row>
    <row r="5239">
      <c r="A5239" s="3">
        <v>45680.0</v>
      </c>
      <c r="B5239" s="4">
        <v>0.2986111111111111</v>
      </c>
      <c r="C5239" s="5" t="s">
        <v>64</v>
      </c>
      <c r="D5239" s="5" t="s">
        <v>1082</v>
      </c>
      <c r="E5239" s="6" t="s">
        <v>103</v>
      </c>
      <c r="F5239" s="5" t="s">
        <v>104</v>
      </c>
      <c r="G5239" s="6" t="str">
        <f>VLOOKUP(E5239,dicionario!$A$1:$C5638,2,0)</f>
        <v>Caracara plancus</v>
      </c>
      <c r="H5239" s="6" t="str">
        <f>VLOOKUP(E5239,dicionario!$A$1:$C5638,3,0)</f>
        <v>carcará </v>
      </c>
    </row>
    <row r="5240">
      <c r="A5240" s="3">
        <v>45680.0</v>
      </c>
      <c r="B5240" s="4">
        <v>0.2986111111111111</v>
      </c>
      <c r="C5240" s="5" t="s">
        <v>64</v>
      </c>
      <c r="D5240" s="5" t="s">
        <v>1082</v>
      </c>
      <c r="E5240" s="8" t="s">
        <v>298</v>
      </c>
      <c r="F5240" s="5" t="s">
        <v>739</v>
      </c>
      <c r="G5240" s="6" t="str">
        <f>VLOOKUP(E5240,dicionario!$A$1:$C5639,2,0)</f>
        <v>Alysicarpus vaginalis</v>
      </c>
      <c r="H5240" s="6" t="str">
        <f>VLOOKUP(E5240,dicionario!$A$1:$C5639,3,0)</f>
        <v/>
      </c>
    </row>
    <row r="5241">
      <c r="A5241" s="3">
        <v>45680.0</v>
      </c>
      <c r="B5241" s="4">
        <v>0.2986111111111111</v>
      </c>
      <c r="C5241" s="5" t="s">
        <v>64</v>
      </c>
      <c r="D5241" s="5" t="s">
        <v>1082</v>
      </c>
      <c r="E5241" s="8" t="s">
        <v>22</v>
      </c>
      <c r="F5241" s="5" t="s">
        <v>97</v>
      </c>
      <c r="G5241" s="6" t="str">
        <f>VLOOKUP(E5241,dicionario!$A$1:$C5640,2,0)</f>
        <v>Zenaida auriculata</v>
      </c>
      <c r="H5241" s="6" t="str">
        <f>VLOOKUP(E5241,dicionario!$A$1:$C5640,3,0)</f>
        <v>pomba-de-bando; avoante</v>
      </c>
    </row>
    <row r="5242">
      <c r="A5242" s="3">
        <v>45680.0</v>
      </c>
      <c r="B5242" s="4">
        <v>0.2986111111111111</v>
      </c>
      <c r="C5242" s="5" t="s">
        <v>64</v>
      </c>
      <c r="D5242" s="5" t="s">
        <v>1082</v>
      </c>
      <c r="E5242" s="8" t="s">
        <v>146</v>
      </c>
      <c r="F5242" s="5" t="s">
        <v>147</v>
      </c>
      <c r="G5242" s="6" t="str">
        <f>VLOOKUP(E5242,dicionario!$A$1:$C5641,2,0)</f>
        <v>Euphorbia hirta</v>
      </c>
      <c r="H5242" s="6" t="str">
        <f>VLOOKUP(E5242,dicionario!$A$1:$C5641,3,0)</f>
        <v>erva-de-santa-luzia</v>
      </c>
    </row>
    <row r="5243">
      <c r="A5243" s="3">
        <v>45680.0</v>
      </c>
      <c r="B5243" s="4">
        <v>0.29930555555555555</v>
      </c>
      <c r="C5243" s="5" t="s">
        <v>64</v>
      </c>
      <c r="D5243" s="5" t="s">
        <v>1082</v>
      </c>
      <c r="E5243" s="8" t="s">
        <v>195</v>
      </c>
      <c r="F5243" s="5" t="s">
        <v>196</v>
      </c>
      <c r="G5243" s="6" t="str">
        <f>VLOOKUP(E5243,dicionario!$A$1:$C5642,2,0)</f>
        <v>Priva lappulacea</v>
      </c>
      <c r="H5243" s="6" t="str">
        <f>VLOOKUP(E5243,dicionario!$A$1:$C5642,3,0)</f>
        <v>carrapicho</v>
      </c>
    </row>
    <row r="5244">
      <c r="A5244" s="3">
        <v>45680.0</v>
      </c>
      <c r="B5244" s="4">
        <v>0.29930555555555555</v>
      </c>
      <c r="C5244" s="5" t="s">
        <v>64</v>
      </c>
      <c r="D5244" s="5" t="s">
        <v>1082</v>
      </c>
      <c r="E5244" s="8" t="s">
        <v>253</v>
      </c>
      <c r="F5244" s="5" t="s">
        <v>254</v>
      </c>
      <c r="G5244" s="6" t="str">
        <f>VLOOKUP(E5244,dicionario!$A$1:$C5643,2,0)</f>
        <v>Panicum maximum</v>
      </c>
      <c r="H5244" s="6" t="str">
        <f>VLOOKUP(E5244,dicionario!$A$1:$C5643,3,0)</f>
        <v>capim-colonião</v>
      </c>
    </row>
    <row r="5245">
      <c r="A5245" s="3">
        <v>45680.0</v>
      </c>
      <c r="B5245" s="4">
        <v>0.29930555555555555</v>
      </c>
      <c r="C5245" s="5" t="s">
        <v>64</v>
      </c>
      <c r="D5245" s="5" t="s">
        <v>1082</v>
      </c>
      <c r="E5245" s="8" t="s">
        <v>135</v>
      </c>
      <c r="F5245" s="5" t="s">
        <v>136</v>
      </c>
      <c r="G5245" s="6" t="str">
        <f>VLOOKUP(E5245,dicionario!$A$1:$C5644,2,0)</f>
        <v>Tridax procumbens</v>
      </c>
      <c r="H5245" s="6" t="str">
        <f>VLOOKUP(E5245,dicionario!$A$1:$C5644,3,0)</f>
        <v>erva-de-touro</v>
      </c>
    </row>
    <row r="5246">
      <c r="A5246" s="3">
        <v>45680.0</v>
      </c>
      <c r="B5246" s="4">
        <v>0.29930555555555555</v>
      </c>
      <c r="C5246" s="5" t="s">
        <v>64</v>
      </c>
      <c r="D5246" s="5" t="s">
        <v>1082</v>
      </c>
      <c r="E5246" s="8" t="s">
        <v>122</v>
      </c>
      <c r="F5246" s="7" t="s">
        <v>123</v>
      </c>
      <c r="G5246" s="6" t="str">
        <f>VLOOKUP(E5246,dicionario!$A$1:$C5645,2,0)</f>
        <v>Todirostrum cinereum</v>
      </c>
      <c r="H5246" s="6" t="str">
        <f>VLOOKUP(E5246,dicionario!$A$1:$C5645,3,0)</f>
        <v>ferreirinho-relógio</v>
      </c>
    </row>
    <row r="5247">
      <c r="A5247" s="3">
        <v>45680.0</v>
      </c>
      <c r="B5247" s="4">
        <v>0.29930555555555555</v>
      </c>
      <c r="C5247" s="5" t="s">
        <v>64</v>
      </c>
      <c r="D5247" s="5" t="s">
        <v>1082</v>
      </c>
      <c r="E5247" s="8" t="s">
        <v>53</v>
      </c>
      <c r="F5247" s="7" t="s">
        <v>54</v>
      </c>
      <c r="G5247" s="6" t="str">
        <f>VLOOKUP(E5247,dicionario!$A$1:$C5646,2,0)</f>
        <v>Turnera subulata</v>
      </c>
      <c r="H5247" s="6" t="str">
        <f>VLOOKUP(E5247,dicionario!$A$1:$C5646,3,0)</f>
        <v>xanana</v>
      </c>
    </row>
    <row r="5248">
      <c r="A5248" s="3">
        <v>45680.0</v>
      </c>
      <c r="B5248" s="4">
        <v>0.29930555555555555</v>
      </c>
      <c r="C5248" s="5" t="s">
        <v>64</v>
      </c>
      <c r="D5248" s="5" t="s">
        <v>1082</v>
      </c>
      <c r="E5248" s="8" t="s">
        <v>247</v>
      </c>
      <c r="F5248" s="7" t="s">
        <v>272</v>
      </c>
      <c r="G5248" s="6" t="str">
        <f>VLOOKUP(E5248,dicionario!$A$1:$C5647,2,0)</f>
        <v>Emilia sonchifolia</v>
      </c>
      <c r="H5248" s="6" t="str">
        <f>VLOOKUP(E5248,dicionario!$A$1:$C5647,3,0)</f>
        <v>serralinha</v>
      </c>
    </row>
    <row r="5249">
      <c r="A5249" s="3">
        <v>45680.0</v>
      </c>
      <c r="B5249" s="4">
        <v>0.3</v>
      </c>
      <c r="C5249" s="5" t="s">
        <v>64</v>
      </c>
      <c r="D5249" s="5" t="s">
        <v>1082</v>
      </c>
      <c r="E5249" s="8" t="s">
        <v>611</v>
      </c>
      <c r="F5249" s="5" t="s">
        <v>612</v>
      </c>
      <c r="G5249" s="6" t="str">
        <f>VLOOKUP(E5249,dicionario!$A$1:$C5648,2,0)</f>
        <v>Boehmeria cylindrica</v>
      </c>
      <c r="H5249" s="6" t="str">
        <f>VLOOKUP(E5249,dicionario!$A$1:$C5648,3,0)</f>
        <v>falsa-urtiga</v>
      </c>
    </row>
    <row r="5250">
      <c r="A5250" s="3">
        <v>45680.0</v>
      </c>
      <c r="B5250" s="4">
        <v>0.3</v>
      </c>
      <c r="C5250" s="5" t="s">
        <v>64</v>
      </c>
      <c r="D5250" s="5" t="s">
        <v>1082</v>
      </c>
      <c r="E5250" s="20" t="s">
        <v>676</v>
      </c>
      <c r="F5250" s="7" t="s">
        <v>677</v>
      </c>
      <c r="G5250" s="6" t="str">
        <f>VLOOKUP(E5250,dicionario!$A$1:$C5649,2,0)</f>
        <v>Zornia latifolia</v>
      </c>
      <c r="H5250" s="6" t="str">
        <f>VLOOKUP(E5250,dicionario!$A$1:$C5649,3,0)</f>
        <v>arrozinho-do-campo</v>
      </c>
    </row>
    <row r="5251">
      <c r="A5251" s="3">
        <v>45680.0</v>
      </c>
      <c r="B5251" s="4">
        <v>0.3</v>
      </c>
      <c r="C5251" s="5" t="s">
        <v>64</v>
      </c>
      <c r="D5251" s="5" t="s">
        <v>1082</v>
      </c>
      <c r="E5251" s="8" t="s">
        <v>758</v>
      </c>
      <c r="F5251" s="5" t="s">
        <v>759</v>
      </c>
      <c r="G5251" s="6" t="str">
        <f>VLOOKUP(E5251,dicionario!$A$1:$C5650,2,0)</f>
        <v>Cyperus esculentus</v>
      </c>
      <c r="H5251" s="6" t="str">
        <f>VLOOKUP(E5251,dicionario!$A$1:$C5650,3,0)</f>
        <v>tiriricão</v>
      </c>
    </row>
    <row r="5252">
      <c r="A5252" s="3">
        <v>45680.0</v>
      </c>
      <c r="B5252" s="4">
        <v>0.3</v>
      </c>
      <c r="C5252" s="5" t="s">
        <v>64</v>
      </c>
      <c r="D5252" s="5" t="s">
        <v>1082</v>
      </c>
      <c r="E5252" s="8" t="s">
        <v>148</v>
      </c>
      <c r="F5252" s="5" t="s">
        <v>149</v>
      </c>
      <c r="G5252" s="6" t="str">
        <f>VLOOKUP(E5252,dicionario!$A$1:$C5651,2,0)</f>
        <v>Parthenium hysterophorus</v>
      </c>
      <c r="H5252" s="6" t="str">
        <f>VLOOKUP(E5252,dicionario!$A$1:$C5651,3,0)</f>
        <v>losna-branca</v>
      </c>
    </row>
    <row r="5253">
      <c r="A5253" s="3">
        <v>45680.0</v>
      </c>
      <c r="B5253" s="4">
        <v>0.3</v>
      </c>
      <c r="C5253" s="5" t="s">
        <v>64</v>
      </c>
      <c r="D5253" s="5" t="s">
        <v>1082</v>
      </c>
      <c r="E5253" s="8" t="s">
        <v>173</v>
      </c>
      <c r="F5253" s="5" t="s">
        <v>336</v>
      </c>
      <c r="G5253" s="6" t="str">
        <f>VLOOKUP(E5253,dicionario!$A$1:$C5652,2,0)</f>
        <v>Junonia evarete</v>
      </c>
      <c r="H5253" s="6" t="str">
        <f>VLOOKUP(E5253,dicionario!$A$1:$C5652,3,0)</f>
        <v>borboleta-olho-de-pavão-diúrno</v>
      </c>
    </row>
    <row r="5254">
      <c r="A5254" s="3">
        <v>45680.0</v>
      </c>
      <c r="B5254" s="4">
        <v>0.3</v>
      </c>
      <c r="C5254" s="5" t="s">
        <v>64</v>
      </c>
      <c r="D5254" s="5" t="s">
        <v>1082</v>
      </c>
      <c r="E5254" s="8" t="s">
        <v>48</v>
      </c>
      <c r="F5254" s="5" t="s">
        <v>49</v>
      </c>
      <c r="G5254" s="6" t="str">
        <f>VLOOKUP(E5254,dicionario!$A$1:$C5653,2,0)</f>
        <v>Commelina erecta</v>
      </c>
      <c r="H5254" s="6" t="str">
        <f>VLOOKUP(E5254,dicionario!$A$1:$C5653,3,0)</f>
        <v>trapoeraba</v>
      </c>
    </row>
    <row r="5255">
      <c r="A5255" s="3">
        <v>45680.0</v>
      </c>
      <c r="B5255" s="4">
        <v>0.30069444444444443</v>
      </c>
      <c r="C5255" s="5" t="s">
        <v>64</v>
      </c>
      <c r="D5255" s="5" t="s">
        <v>1082</v>
      </c>
      <c r="E5255" s="8" t="s">
        <v>83</v>
      </c>
      <c r="F5255" s="5" t="s">
        <v>84</v>
      </c>
      <c r="G5255" s="6" t="str">
        <f>VLOOKUP(E5255,dicionario!$A$1:$C5654,2,0)</f>
        <v>Anartia jatrophae</v>
      </c>
      <c r="H5255" s="6" t="str">
        <f>VLOOKUP(E5255,dicionario!$A$1:$C5654,3,0)</f>
        <v>borboleta-pavão-branco</v>
      </c>
    </row>
    <row r="5256">
      <c r="A5256" s="3">
        <v>45680.0</v>
      </c>
      <c r="B5256" s="4">
        <v>0.30069444444444443</v>
      </c>
      <c r="C5256" s="5" t="s">
        <v>64</v>
      </c>
      <c r="D5256" s="5" t="s">
        <v>1082</v>
      </c>
      <c r="E5256" s="8" t="s">
        <v>401</v>
      </c>
      <c r="F5256" s="5" t="s">
        <v>464</v>
      </c>
      <c r="G5256" s="6" t="str">
        <f>VLOOKUP(E5256,dicionario!$A$1:$C5655,2,0)</f>
        <v>Cissus verticillata</v>
      </c>
      <c r="H5256" s="6" t="str">
        <f>VLOOKUP(E5256,dicionario!$A$1:$C5655,3,0)</f>
        <v>uva-do-mato</v>
      </c>
    </row>
    <row r="5257">
      <c r="A5257" s="3">
        <v>45680.0</v>
      </c>
      <c r="B5257" s="4">
        <v>0.30069444444444443</v>
      </c>
      <c r="C5257" s="5" t="s">
        <v>64</v>
      </c>
      <c r="D5257" s="5" t="s">
        <v>1082</v>
      </c>
      <c r="E5257" s="8" t="s">
        <v>740</v>
      </c>
      <c r="F5257" s="5" t="s">
        <v>741</v>
      </c>
      <c r="G5257" s="6" t="str">
        <f>VLOOKUP(E5257,dicionario!$A$1:$C5656,2,0)</f>
        <v>Melothria cucumis</v>
      </c>
      <c r="H5257" s="6" t="str">
        <f>VLOOKUP(E5257,dicionario!$A$1:$C5656,3,0)</f>
        <v>pepino-do-mato</v>
      </c>
    </row>
    <row r="5258">
      <c r="A5258" s="3">
        <v>45680.0</v>
      </c>
      <c r="B5258" s="4">
        <v>0.30069444444444443</v>
      </c>
      <c r="C5258" s="5" t="s">
        <v>64</v>
      </c>
      <c r="D5258" s="5" t="s">
        <v>1082</v>
      </c>
      <c r="E5258" s="8" t="s">
        <v>286</v>
      </c>
      <c r="F5258" s="5" t="s">
        <v>287</v>
      </c>
      <c r="G5258" s="6" t="str">
        <f>VLOOKUP(E5258,dicionario!$A$1:$C5657,2,0)</f>
        <v>Setaria parviflora</v>
      </c>
      <c r="H5258" s="6" t="str">
        <f>VLOOKUP(E5258,dicionario!$A$1:$C5657,3,0)</f>
        <v>capim-rabo-de-raposa</v>
      </c>
    </row>
    <row r="5259">
      <c r="A5259" s="3">
        <v>45680.0</v>
      </c>
      <c r="B5259" s="4">
        <v>0.3013888888888889</v>
      </c>
      <c r="C5259" s="5" t="s">
        <v>64</v>
      </c>
      <c r="D5259" s="5" t="s">
        <v>1082</v>
      </c>
      <c r="E5259" s="8" t="s">
        <v>20</v>
      </c>
      <c r="F5259" s="7" t="s">
        <v>21</v>
      </c>
      <c r="G5259" s="6" t="str">
        <f>VLOOKUP(E5259,dicionario!$A$1:$C5658,2,0)</f>
        <v>Sicalis flaveola</v>
      </c>
      <c r="H5259" s="6" t="str">
        <f>VLOOKUP(E5259,dicionario!$A$1:$C5658,3,0)</f>
        <v>canário-da-terra</v>
      </c>
    </row>
    <row r="5260">
      <c r="A5260" s="3">
        <v>45680.0</v>
      </c>
      <c r="B5260" s="4">
        <v>0.3013888888888889</v>
      </c>
      <c r="C5260" s="5" t="s">
        <v>64</v>
      </c>
      <c r="D5260" s="5" t="s">
        <v>1082</v>
      </c>
      <c r="E5260" s="8" t="s">
        <v>748</v>
      </c>
      <c r="F5260" s="7" t="s">
        <v>749</v>
      </c>
      <c r="G5260" s="6" t="str">
        <f>VLOOKUP(E5260,dicionario!$A$1:$C5659,2,0)</f>
        <v>#N/A</v>
      </c>
      <c r="H5260" s="6" t="str">
        <f>VLOOKUP(E5260,dicionario!$A$1:$C5659,3,0)</f>
        <v>#N/A</v>
      </c>
    </row>
    <row r="5261">
      <c r="A5261" s="3">
        <v>45680.0</v>
      </c>
      <c r="B5261" s="4">
        <v>0.3013888888888889</v>
      </c>
      <c r="C5261" s="5" t="s">
        <v>64</v>
      </c>
      <c r="D5261" s="5" t="s">
        <v>1082</v>
      </c>
      <c r="E5261" s="8" t="s">
        <v>265</v>
      </c>
      <c r="F5261" s="5" t="s">
        <v>266</v>
      </c>
      <c r="G5261" s="6" t="str">
        <f>VLOOKUP(E5261,dicionario!$A$1:$C5660,2,0)</f>
        <v>Sonchus oleraceus</v>
      </c>
      <c r="H5261" s="6" t="str">
        <f>VLOOKUP(E5261,dicionario!$A$1:$C5660,3,0)</f>
        <v>seralha</v>
      </c>
    </row>
    <row r="5262">
      <c r="A5262" s="3">
        <v>45680.0</v>
      </c>
      <c r="B5262" s="4">
        <v>0.3013888888888889</v>
      </c>
      <c r="C5262" s="5" t="s">
        <v>64</v>
      </c>
      <c r="D5262" s="5" t="s">
        <v>1082</v>
      </c>
      <c r="E5262" s="8" t="s">
        <v>65</v>
      </c>
      <c r="F5262" s="5" t="s">
        <v>66</v>
      </c>
      <c r="G5262" s="6" t="str">
        <f>VLOOKUP(E5262,dicionario!$A$1:$C5661,2,0)</f>
        <v>Pitangus sulphutarus</v>
      </c>
      <c r="H5262" s="6" t="str">
        <f>VLOOKUP(E5262,dicionario!$A$1:$C5661,3,0)</f>
        <v>bem-te-vi</v>
      </c>
    </row>
    <row r="5263">
      <c r="A5263" s="3">
        <v>45680.0</v>
      </c>
      <c r="B5263" s="4">
        <v>0.3013888888888889</v>
      </c>
      <c r="C5263" s="5" t="s">
        <v>64</v>
      </c>
      <c r="D5263" s="5" t="s">
        <v>1082</v>
      </c>
      <c r="E5263" s="8" t="s">
        <v>290</v>
      </c>
      <c r="F5263" s="5" t="s">
        <v>291</v>
      </c>
      <c r="G5263" s="6" t="str">
        <f>VLOOKUP(E5263,dicionario!$A$1:$C5662,2,0)</f>
        <v>Drymaria cordata</v>
      </c>
      <c r="H5263" s="6" t="str">
        <f>VLOOKUP(E5263,dicionario!$A$1:$C5662,3,0)</f>
        <v>orelha-de-rato</v>
      </c>
    </row>
    <row r="5264">
      <c r="A5264" s="3">
        <v>45680.0</v>
      </c>
      <c r="B5264" s="4">
        <v>0.3013888888888889</v>
      </c>
      <c r="C5264" s="5" t="s">
        <v>64</v>
      </c>
      <c r="D5264" s="5" t="s">
        <v>1082</v>
      </c>
      <c r="E5264" s="8" t="s">
        <v>613</v>
      </c>
      <c r="F5264" s="5" t="s">
        <v>614</v>
      </c>
      <c r="G5264" s="6" t="str">
        <f>VLOOKUP(E5264,dicionario!$A$1:$C5663,2,0)</f>
        <v>Euphorbia hyssopifolia</v>
      </c>
      <c r="H5264" s="6" t="str">
        <f>VLOOKUP(E5264,dicionario!$A$1:$C5663,3,0)</f>
        <v>maria-leite</v>
      </c>
    </row>
    <row r="5265">
      <c r="A5265" s="3">
        <v>45680.0</v>
      </c>
      <c r="B5265" s="4">
        <v>0.3013888888888889</v>
      </c>
      <c r="C5265" s="5" t="s">
        <v>64</v>
      </c>
      <c r="D5265" s="5" t="s">
        <v>1082</v>
      </c>
      <c r="E5265" s="8" t="s">
        <v>171</v>
      </c>
      <c r="F5265" s="5" t="s">
        <v>172</v>
      </c>
      <c r="G5265" s="6" t="str">
        <f>VLOOKUP(E5265,dicionario!$A$1:$C5664,2,0)</f>
        <v>Oxalis corniculata</v>
      </c>
      <c r="H5265" s="6" t="str">
        <f>VLOOKUP(E5265,dicionario!$A$1:$C5664,3,0)</f>
        <v>trevo-azedinho</v>
      </c>
    </row>
    <row r="5266">
      <c r="A5266" s="3">
        <v>45680.0</v>
      </c>
      <c r="B5266" s="4">
        <v>0.3013888888888889</v>
      </c>
      <c r="C5266" s="5" t="s">
        <v>64</v>
      </c>
      <c r="D5266" s="5" t="s">
        <v>1082</v>
      </c>
      <c r="E5266" s="8" t="s">
        <v>258</v>
      </c>
      <c r="F5266" s="5" t="s">
        <v>259</v>
      </c>
      <c r="G5266" s="6" t="str">
        <f>VLOOKUP(E5266,dicionario!$A$1:$C5665,2,0)</f>
        <v>Lantana camara</v>
      </c>
      <c r="H5266" s="6" t="str">
        <f>VLOOKUP(E5266,dicionario!$A$1:$C5665,3,0)</f>
        <v>lantana</v>
      </c>
    </row>
    <row r="5267">
      <c r="A5267" s="3">
        <v>45680.0</v>
      </c>
      <c r="B5267" s="4">
        <v>0.3013888888888889</v>
      </c>
      <c r="C5267" s="5" t="s">
        <v>64</v>
      </c>
      <c r="D5267" s="5" t="s">
        <v>1082</v>
      </c>
      <c r="E5267" s="8" t="s">
        <v>141</v>
      </c>
      <c r="F5267" s="5" t="s">
        <v>142</v>
      </c>
      <c r="G5267" s="6" t="str">
        <f>VLOOKUP(E5267,dicionario!$A$1:$C5666,2,0)</f>
        <v>Ruellia blechum</v>
      </c>
      <c r="H5267" s="6" t="str">
        <f>VLOOKUP(E5267,dicionario!$A$1:$C5666,3,0)</f>
        <v>camarão-verde</v>
      </c>
    </row>
    <row r="5268">
      <c r="A5268" s="3">
        <v>45680.0</v>
      </c>
      <c r="B5268" s="4">
        <v>0.3020833333333333</v>
      </c>
      <c r="C5268" s="5" t="s">
        <v>64</v>
      </c>
      <c r="D5268" s="5" t="s">
        <v>1082</v>
      </c>
      <c r="E5268" s="8" t="s">
        <v>946</v>
      </c>
      <c r="F5268" s="5" t="s">
        <v>1091</v>
      </c>
      <c r="G5268" s="6" t="str">
        <f>VLOOKUP(E5268,dicionario!$A$1:$C5667,2,0)</f>
        <v>Thorybes dorantes</v>
      </c>
      <c r="H5268" s="6" t="str">
        <f>VLOOKUP(E5268,dicionario!$A$1:$C5667,3,0)</f>
        <v>mariposa-de-cauda-lilás</v>
      </c>
    </row>
    <row r="5269">
      <c r="A5269" s="3">
        <v>45680.0</v>
      </c>
      <c r="B5269" s="4">
        <v>0.3020833333333333</v>
      </c>
      <c r="C5269" s="5" t="s">
        <v>64</v>
      </c>
      <c r="D5269" s="5" t="s">
        <v>1082</v>
      </c>
      <c r="E5269" s="8" t="s">
        <v>830</v>
      </c>
      <c r="F5269" s="5" t="s">
        <v>1117</v>
      </c>
      <c r="G5269" s="6" t="str">
        <f>VLOOKUP(E5269,dicionario!$A$1:$C5668,2,0)</f>
        <v>#N/A</v>
      </c>
      <c r="H5269" s="6" t="str">
        <f>VLOOKUP(E5269,dicionario!$A$1:$C5668,3,0)</f>
        <v>#N/A</v>
      </c>
    </row>
    <row r="5270">
      <c r="A5270" s="3">
        <v>45680.0</v>
      </c>
      <c r="B5270" s="4">
        <v>0.3020833333333333</v>
      </c>
      <c r="C5270" s="5" t="s">
        <v>64</v>
      </c>
      <c r="D5270" s="5" t="s">
        <v>1082</v>
      </c>
      <c r="E5270" s="8" t="s">
        <v>682</v>
      </c>
      <c r="F5270" s="5" t="s">
        <v>683</v>
      </c>
      <c r="G5270" s="6" t="str">
        <f>VLOOKUP(E5270,dicionario!$A$1:$C5669,2,0)</f>
        <v>Lagria villosa</v>
      </c>
      <c r="H5270" s="6" t="str">
        <f>VLOOKUP(E5270,dicionario!$A$1:$C5669,3,0)</f>
        <v>bicho-capixaba</v>
      </c>
    </row>
    <row r="5271">
      <c r="A5271" s="3">
        <v>45680.0</v>
      </c>
      <c r="B5271" s="4">
        <v>0.3020833333333333</v>
      </c>
      <c r="C5271" s="5" t="s">
        <v>64</v>
      </c>
      <c r="D5271" s="5" t="s">
        <v>1082</v>
      </c>
      <c r="E5271" s="8" t="s">
        <v>247</v>
      </c>
      <c r="F5271" s="5" t="s">
        <v>387</v>
      </c>
      <c r="G5271" s="6" t="str">
        <f>VLOOKUP(E5271,dicionario!$A$1:$C5670,2,0)</f>
        <v>Emilia sonchifolia</v>
      </c>
      <c r="H5271" s="6" t="str">
        <f>VLOOKUP(E5271,dicionario!$A$1:$C5670,3,0)</f>
        <v>serralinha</v>
      </c>
    </row>
    <row r="5272">
      <c r="A5272" s="3">
        <v>45680.0</v>
      </c>
      <c r="B5272" s="4">
        <v>0.3020833333333333</v>
      </c>
      <c r="C5272" s="5" t="s">
        <v>64</v>
      </c>
      <c r="D5272" s="5" t="s">
        <v>1082</v>
      </c>
      <c r="E5272" s="8" t="s">
        <v>251</v>
      </c>
      <c r="F5272" s="5" t="s">
        <v>252</v>
      </c>
      <c r="G5272" s="6" t="str">
        <f>VLOOKUP(E5272,dicionario!$A$1:$C5671,2,0)</f>
        <v>Struthanthus flexicaulis</v>
      </c>
      <c r="H5272" s="6" t="str">
        <f>VLOOKUP(E5272,dicionario!$A$1:$C5671,3,0)</f>
        <v>erva-de-passarinho</v>
      </c>
    </row>
    <row r="5273">
      <c r="A5273" s="3">
        <v>45680.0</v>
      </c>
      <c r="B5273" s="4">
        <v>0.3020833333333333</v>
      </c>
      <c r="C5273" s="5" t="s">
        <v>64</v>
      </c>
      <c r="D5273" s="5" t="s">
        <v>1082</v>
      </c>
      <c r="E5273" s="8" t="s">
        <v>69</v>
      </c>
      <c r="F5273" s="7" t="s">
        <v>71</v>
      </c>
      <c r="G5273" s="6" t="str">
        <f>VLOOKUP(E5273,dicionario!$A$1:$C5672,2,0)</f>
        <v>Talinum fruticosum</v>
      </c>
      <c r="H5273" s="6" t="str">
        <f>VLOOKUP(E5273,dicionario!$A$1:$C5672,3,0)</f>
        <v>beldroega-grande</v>
      </c>
    </row>
    <row r="5274">
      <c r="A5274" s="3">
        <v>45680.0</v>
      </c>
      <c r="B5274" s="4">
        <v>0.30277777777777776</v>
      </c>
      <c r="C5274" s="5" t="s">
        <v>64</v>
      </c>
      <c r="D5274" s="5" t="s">
        <v>1082</v>
      </c>
      <c r="E5274" s="8" t="s">
        <v>171</v>
      </c>
      <c r="F5274" s="5" t="s">
        <v>172</v>
      </c>
      <c r="G5274" s="6" t="str">
        <f>VLOOKUP(E5274,dicionario!$A$1:$C5673,2,0)</f>
        <v>Oxalis corniculata</v>
      </c>
      <c r="H5274" s="6" t="str">
        <f>VLOOKUP(E5274,dicionario!$A$1:$C5673,3,0)</f>
        <v>trevo-azedinho</v>
      </c>
    </row>
    <row r="5275">
      <c r="A5275" s="3">
        <v>45680.0</v>
      </c>
      <c r="B5275" s="4">
        <v>0.30277777777777776</v>
      </c>
      <c r="C5275" s="5" t="s">
        <v>64</v>
      </c>
      <c r="D5275" s="5" t="s">
        <v>1082</v>
      </c>
      <c r="E5275" s="8" t="s">
        <v>150</v>
      </c>
      <c r="F5275" s="5" t="s">
        <v>151</v>
      </c>
      <c r="G5275" s="6" t="str">
        <f>VLOOKUP(E5275,dicionario!$A$1:$C5674,2,0)</f>
        <v>Amaranthus viridis</v>
      </c>
      <c r="H5275" s="6" t="str">
        <f>VLOOKUP(E5275,dicionario!$A$1:$C5674,3,0)</f>
        <v>caruru-de-mancha</v>
      </c>
    </row>
    <row r="5276">
      <c r="A5276" s="3">
        <v>45680.0</v>
      </c>
      <c r="B5276" s="4">
        <v>0.30277777777777776</v>
      </c>
      <c r="C5276" s="5" t="s">
        <v>64</v>
      </c>
      <c r="D5276" s="5" t="s">
        <v>1082</v>
      </c>
      <c r="E5276" s="8" t="s">
        <v>1112</v>
      </c>
      <c r="F5276" s="5" t="s">
        <v>1113</v>
      </c>
      <c r="G5276" s="6" t="str">
        <f>VLOOKUP(E5276,dicionario!$A$1:$C5675,2,0)</f>
        <v>Hylophilus thoracicus</v>
      </c>
      <c r="H5276" s="6" t="str">
        <f>VLOOKUP(E5276,dicionario!$A$1:$C5675,3,0)</f>
        <v>vite-vite</v>
      </c>
    </row>
    <row r="5277">
      <c r="A5277" s="3">
        <v>45680.0</v>
      </c>
      <c r="B5277" s="4">
        <v>0.30277777777777776</v>
      </c>
      <c r="C5277" s="5" t="s">
        <v>64</v>
      </c>
      <c r="D5277" s="5" t="s">
        <v>1082</v>
      </c>
      <c r="E5277" s="6" t="s">
        <v>469</v>
      </c>
      <c r="F5277" s="5" t="s">
        <v>470</v>
      </c>
      <c r="G5277" s="6" t="str">
        <f>VLOOKUP(E5277,dicionario!$A$1:$C5676,2,0)</f>
        <v>#N/A</v>
      </c>
      <c r="H5277" s="6" t="str">
        <f>VLOOKUP(E5277,dicionario!$A$1:$C5676,3,0)</f>
        <v>#N/A</v>
      </c>
    </row>
    <row r="5278">
      <c r="A5278" s="3">
        <v>45680.0</v>
      </c>
      <c r="B5278" s="4">
        <v>0.30486111111111114</v>
      </c>
      <c r="C5278" s="5" t="s">
        <v>64</v>
      </c>
      <c r="D5278" s="5" t="s">
        <v>1082</v>
      </c>
      <c r="E5278" s="8" t="s">
        <v>956</v>
      </c>
      <c r="F5278" s="5" t="s">
        <v>957</v>
      </c>
      <c r="G5278" s="6" t="str">
        <f>VLOOKUP(E5278,dicionario!$A$1:$C5677,2,0)</f>
        <v>Pepsini</v>
      </c>
      <c r="H5278" s="6" t="str">
        <f>VLOOKUP(E5278,dicionario!$A$1:$C5677,3,0)</f>
        <v>vespa-caçadora</v>
      </c>
    </row>
    <row r="5279">
      <c r="A5279" s="3">
        <v>45680.0</v>
      </c>
      <c r="B5279" s="4">
        <v>0.30486111111111114</v>
      </c>
      <c r="C5279" s="5" t="s">
        <v>64</v>
      </c>
      <c r="D5279" s="5" t="s">
        <v>1082</v>
      </c>
      <c r="E5279" s="8" t="s">
        <v>111</v>
      </c>
      <c r="F5279" s="7" t="s">
        <v>112</v>
      </c>
      <c r="G5279" s="6" t="str">
        <f>VLOOKUP(E5279,dicionario!$A$1:$C5678,2,0)</f>
        <v>Trigona spinipes</v>
      </c>
      <c r="H5279" s="6" t="str">
        <f>VLOOKUP(E5279,dicionario!$A$1:$C5678,3,0)</f>
        <v>abelha-cachorro</v>
      </c>
    </row>
    <row r="5280">
      <c r="A5280" s="3">
        <v>45680.0</v>
      </c>
      <c r="B5280" s="4">
        <v>0.30486111111111114</v>
      </c>
      <c r="C5280" s="5" t="s">
        <v>64</v>
      </c>
      <c r="D5280" s="5" t="s">
        <v>1082</v>
      </c>
      <c r="E5280" s="8" t="s">
        <v>72</v>
      </c>
      <c r="F5280" s="5" t="s">
        <v>73</v>
      </c>
      <c r="G5280" s="6" t="str">
        <f>VLOOKUP(E5280,dicionario!$A$1:$C5679,2,0)</f>
        <v>Thraupis palmarum</v>
      </c>
      <c r="H5280" s="6" t="str">
        <f>VLOOKUP(E5280,dicionario!$A$1:$C5679,3,0)</f>
        <v>sanhaço-do-coqueiro</v>
      </c>
    </row>
    <row r="5281">
      <c r="A5281" s="3">
        <v>45680.0</v>
      </c>
      <c r="B5281" s="4">
        <v>0.3055555555555556</v>
      </c>
      <c r="C5281" s="5" t="s">
        <v>64</v>
      </c>
      <c r="D5281" s="5" t="s">
        <v>1082</v>
      </c>
      <c r="E5281" s="6" t="s">
        <v>674</v>
      </c>
      <c r="F5281" s="7" t="s">
        <v>675</v>
      </c>
      <c r="G5281" s="6" t="str">
        <f>VLOOKUP(E5281,dicionario!$A$1:$C5680,2,0)</f>
        <v>#N/A</v>
      </c>
      <c r="H5281" s="6" t="str">
        <f>VLOOKUP(E5281,dicionario!$A$1:$C5680,3,0)</f>
        <v>#N/A</v>
      </c>
    </row>
    <row r="5282">
      <c r="A5282" s="3">
        <v>45680.0</v>
      </c>
      <c r="B5282" s="4">
        <v>0.30625</v>
      </c>
      <c r="C5282" s="5" t="s">
        <v>64</v>
      </c>
      <c r="D5282" s="5" t="s">
        <v>1082</v>
      </c>
      <c r="E5282" s="8" t="s">
        <v>378</v>
      </c>
      <c r="F5282" s="5" t="s">
        <v>205</v>
      </c>
      <c r="G5282" s="6" t="str">
        <f>VLOOKUP(E5282,dicionario!$A$1:$C5681,2,0)</f>
        <v>Polistes</v>
      </c>
      <c r="H5282" s="6" t="str">
        <f>VLOOKUP(E5282,dicionario!$A$1:$C5681,3,0)</f>
        <v>marimbondo</v>
      </c>
    </row>
    <row r="5283">
      <c r="A5283" s="3">
        <v>45680.0</v>
      </c>
      <c r="B5283" s="4">
        <v>0.30625</v>
      </c>
      <c r="C5283" s="5" t="s">
        <v>64</v>
      </c>
      <c r="D5283" s="5" t="s">
        <v>1082</v>
      </c>
      <c r="E5283" s="6" t="s">
        <v>646</v>
      </c>
      <c r="F5283" s="5" t="s">
        <v>647</v>
      </c>
      <c r="G5283" s="6" t="str">
        <f>VLOOKUP(E5283,dicionario!$A$1:$C5682,2,0)</f>
        <v>Palpada mexicana</v>
      </c>
      <c r="H5283" s="6" t="str">
        <f>VLOOKUP(E5283,dicionario!$A$1:$C5682,3,0)</f>
        <v>mosca-das-flores</v>
      </c>
    </row>
    <row r="5284">
      <c r="A5284" s="3">
        <v>45680.0</v>
      </c>
      <c r="B5284" s="4">
        <v>0.30625</v>
      </c>
      <c r="C5284" s="5" t="s">
        <v>64</v>
      </c>
      <c r="D5284" s="5" t="s">
        <v>1082</v>
      </c>
      <c r="E5284" s="8" t="s">
        <v>1118</v>
      </c>
      <c r="F5284" s="5" t="s">
        <v>1119</v>
      </c>
      <c r="G5284" s="6" t="str">
        <f>VLOOKUP(E5284,dicionario!$A$1:$C5683,2,0)</f>
        <v>#N/A</v>
      </c>
      <c r="H5284" s="6" t="str">
        <f>VLOOKUP(E5284,dicionario!$A$1:$C5683,3,0)</f>
        <v>#N/A</v>
      </c>
    </row>
    <row r="5285">
      <c r="A5285" s="3">
        <v>45680.0</v>
      </c>
      <c r="B5285" s="4">
        <v>0.30625</v>
      </c>
      <c r="C5285" s="5" t="s">
        <v>64</v>
      </c>
      <c r="D5285" s="5" t="s">
        <v>1082</v>
      </c>
      <c r="E5285" s="8" t="s">
        <v>132</v>
      </c>
      <c r="F5285" s="5" t="s">
        <v>133</v>
      </c>
      <c r="G5285" s="6" t="str">
        <f>VLOOKUP(E5285,dicionario!$A$1:$C5684,2,0)</f>
        <v>Euphonia chlorotica</v>
      </c>
      <c r="H5285" s="6" t="str">
        <f>VLOOKUP(E5285,dicionario!$A$1:$C5684,3,0)</f>
        <v>fim-fim</v>
      </c>
    </row>
    <row r="5286">
      <c r="A5286" s="3">
        <v>45680.0</v>
      </c>
      <c r="B5286" s="4">
        <v>0.3076388888888889</v>
      </c>
      <c r="C5286" s="5" t="s">
        <v>59</v>
      </c>
      <c r="D5286" s="5" t="s">
        <v>1082</v>
      </c>
      <c r="E5286" s="8" t="s">
        <v>53</v>
      </c>
      <c r="F5286" s="7" t="s">
        <v>54</v>
      </c>
      <c r="G5286" s="6" t="str">
        <f>VLOOKUP(E5286,dicionario!$A$1:$C5685,2,0)</f>
        <v>Turnera subulata</v>
      </c>
      <c r="H5286" s="6" t="str">
        <f>VLOOKUP(E5286,dicionario!$A$1:$C5685,3,0)</f>
        <v>xanana</v>
      </c>
    </row>
    <row r="5287">
      <c r="A5287" s="3">
        <v>45680.0</v>
      </c>
      <c r="B5287" s="4">
        <v>0.3076388888888889</v>
      </c>
      <c r="C5287" s="5" t="s">
        <v>59</v>
      </c>
      <c r="D5287" s="5" t="s">
        <v>1082</v>
      </c>
      <c r="E5287" s="8" t="s">
        <v>83</v>
      </c>
      <c r="F5287" s="5" t="s">
        <v>84</v>
      </c>
      <c r="G5287" s="6" t="str">
        <f>VLOOKUP(E5287,dicionario!$A$1:$C5686,2,0)</f>
        <v>Anartia jatrophae</v>
      </c>
      <c r="H5287" s="6" t="str">
        <f>VLOOKUP(E5287,dicionario!$A$1:$C5686,3,0)</f>
        <v>borboleta-pavão-branco</v>
      </c>
    </row>
    <row r="5288">
      <c r="A5288" s="3">
        <v>45680.0</v>
      </c>
      <c r="B5288" s="4">
        <v>0.3076388888888889</v>
      </c>
      <c r="C5288" s="5" t="s">
        <v>59</v>
      </c>
      <c r="D5288" s="5" t="s">
        <v>1082</v>
      </c>
      <c r="E5288" s="8" t="s">
        <v>135</v>
      </c>
      <c r="F5288" s="5" t="s">
        <v>136</v>
      </c>
      <c r="G5288" s="6" t="str">
        <f>VLOOKUP(E5288,dicionario!$A$1:$C5687,2,0)</f>
        <v>Tridax procumbens</v>
      </c>
      <c r="H5288" s="6" t="str">
        <f>VLOOKUP(E5288,dicionario!$A$1:$C5687,3,0)</f>
        <v>erva-de-touro</v>
      </c>
    </row>
    <row r="5289">
      <c r="A5289" s="3">
        <v>45680.0</v>
      </c>
      <c r="B5289" s="4">
        <v>0.3076388888888889</v>
      </c>
      <c r="C5289" s="5" t="s">
        <v>59</v>
      </c>
      <c r="D5289" s="5" t="s">
        <v>1082</v>
      </c>
      <c r="E5289" s="8" t="s">
        <v>830</v>
      </c>
      <c r="F5289" s="5" t="s">
        <v>1117</v>
      </c>
      <c r="G5289" s="6" t="str">
        <f>VLOOKUP(E5289,dicionario!$A$1:$C5688,2,0)</f>
        <v>#N/A</v>
      </c>
      <c r="H5289" s="6" t="str">
        <f>VLOOKUP(E5289,dicionario!$A$1:$C5688,3,0)</f>
        <v>#N/A</v>
      </c>
    </row>
    <row r="5290">
      <c r="A5290" s="3">
        <v>45680.0</v>
      </c>
      <c r="B5290" s="4">
        <v>0.3076388888888889</v>
      </c>
      <c r="C5290" s="5" t="s">
        <v>59</v>
      </c>
      <c r="D5290" s="5" t="s">
        <v>1082</v>
      </c>
      <c r="E5290" s="8" t="s">
        <v>177</v>
      </c>
      <c r="F5290" s="5" t="s">
        <v>607</v>
      </c>
      <c r="G5290" s="6" t="str">
        <f>VLOOKUP(E5290,dicionario!$A$1:$C5689,2,0)</f>
        <v>Elaenia flavogaster</v>
      </c>
      <c r="H5290" s="6" t="str">
        <f>VLOOKUP(E5290,dicionario!$A$1:$C5689,3,0)</f>
        <v>guaracava-de-barriga-amarela</v>
      </c>
    </row>
    <row r="5291">
      <c r="A5291" s="3">
        <v>45680.0</v>
      </c>
      <c r="B5291" s="4">
        <v>0.30833333333333335</v>
      </c>
      <c r="C5291" s="5" t="s">
        <v>59</v>
      </c>
      <c r="D5291" s="5" t="s">
        <v>1082</v>
      </c>
      <c r="E5291" s="8" t="s">
        <v>732</v>
      </c>
      <c r="F5291" s="5" t="s">
        <v>739</v>
      </c>
      <c r="G5291" s="6" t="str">
        <f>VLOOKUP(E5291,dicionario!$A$1:$C5690,2,0)</f>
        <v>#N/A</v>
      </c>
      <c r="H5291" s="6" t="str">
        <f>VLOOKUP(E5291,dicionario!$A$1:$C5690,3,0)</f>
        <v>#N/A</v>
      </c>
    </row>
    <row r="5292">
      <c r="A5292" s="3">
        <v>45680.0</v>
      </c>
      <c r="B5292" s="4">
        <v>0.30833333333333335</v>
      </c>
      <c r="C5292" s="5" t="s">
        <v>59</v>
      </c>
      <c r="D5292" s="5" t="s">
        <v>1082</v>
      </c>
      <c r="E5292" s="8" t="s">
        <v>154</v>
      </c>
      <c r="F5292" s="5" t="s">
        <v>155</v>
      </c>
      <c r="G5292" s="6" t="str">
        <f>VLOOKUP(E5292,dicionario!$A$1:$C5691,2,0)</f>
        <v>Cyperus rotundus</v>
      </c>
      <c r="H5292" s="6" t="str">
        <f>VLOOKUP(E5292,dicionario!$A$1:$C5691,3,0)</f>
        <v>tiririca</v>
      </c>
    </row>
    <row r="5293">
      <c r="A5293" s="3">
        <v>45680.0</v>
      </c>
      <c r="B5293" s="4">
        <v>0.30833333333333335</v>
      </c>
      <c r="C5293" s="5" t="s">
        <v>59</v>
      </c>
      <c r="D5293" s="5" t="s">
        <v>1082</v>
      </c>
      <c r="E5293" s="8" t="s">
        <v>684</v>
      </c>
      <c r="F5293" s="5" t="s">
        <v>685</v>
      </c>
      <c r="G5293" s="6" t="str">
        <f>VLOOKUP(E5293,dicionario!$A$1:$C5692,2,0)</f>
        <v>Columbina squammata</v>
      </c>
      <c r="H5293" s="6" t="str">
        <f>VLOOKUP(E5293,dicionario!$A$1:$C5692,3,0)</f>
        <v>rolinha-fogo-apagou</v>
      </c>
    </row>
    <row r="5294">
      <c r="A5294" s="3">
        <v>45680.0</v>
      </c>
      <c r="B5294" s="4">
        <v>0.3090277777777778</v>
      </c>
      <c r="C5294" s="5" t="s">
        <v>59</v>
      </c>
      <c r="D5294" s="5" t="s">
        <v>1082</v>
      </c>
      <c r="E5294" s="8" t="s">
        <v>366</v>
      </c>
      <c r="F5294" s="5" t="s">
        <v>367</v>
      </c>
      <c r="G5294" s="6" t="str">
        <f>VLOOKUP(E5294,dicionario!$A$1:$C5693,2,0)</f>
        <v>Alternanthera ficoidea</v>
      </c>
      <c r="H5294" s="6" t="str">
        <f>VLOOKUP(E5294,dicionario!$A$1:$C5693,3,0)</f>
        <v>quebra-panela</v>
      </c>
    </row>
    <row r="5295">
      <c r="A5295" s="3">
        <v>45680.0</v>
      </c>
      <c r="B5295" s="4">
        <v>0.3090277777777778</v>
      </c>
      <c r="C5295" s="5" t="s">
        <v>59</v>
      </c>
      <c r="D5295" s="5" t="s">
        <v>1082</v>
      </c>
      <c r="E5295" s="8" t="s">
        <v>286</v>
      </c>
      <c r="F5295" s="5" t="s">
        <v>287</v>
      </c>
      <c r="G5295" s="6" t="str">
        <f>VLOOKUP(E5295,dicionario!$A$1:$C5694,2,0)</f>
        <v>Setaria parviflora</v>
      </c>
      <c r="H5295" s="6" t="str">
        <f>VLOOKUP(E5295,dicionario!$A$1:$C5694,3,0)</f>
        <v>capim-rabo-de-raposa</v>
      </c>
    </row>
    <row r="5296">
      <c r="A5296" s="3">
        <v>45680.0</v>
      </c>
      <c r="B5296" s="4">
        <v>0.3090277777777778</v>
      </c>
      <c r="C5296" s="5" t="s">
        <v>59</v>
      </c>
      <c r="D5296" s="5" t="s">
        <v>1082</v>
      </c>
      <c r="E5296" s="8" t="s">
        <v>267</v>
      </c>
      <c r="F5296" s="5" t="s">
        <v>553</v>
      </c>
      <c r="G5296" s="6" t="str">
        <f>VLOOKUP(E5296,dicionario!$A$1:$C5695,2,0)</f>
        <v>Solanum americanum</v>
      </c>
      <c r="H5296" s="6" t="str">
        <f>VLOOKUP(E5296,dicionario!$A$1:$C5695,3,0)</f>
        <v>maria-pretinha</v>
      </c>
    </row>
    <row r="5297">
      <c r="A5297" s="3">
        <v>45680.0</v>
      </c>
      <c r="B5297" s="4">
        <v>0.3090277777777778</v>
      </c>
      <c r="C5297" s="5" t="s">
        <v>59</v>
      </c>
      <c r="D5297" s="5" t="s">
        <v>1082</v>
      </c>
      <c r="E5297" s="8" t="s">
        <v>99</v>
      </c>
      <c r="F5297" s="5" t="s">
        <v>508</v>
      </c>
      <c r="G5297" s="6" t="str">
        <f>VLOOKUP(E5297,dicionario!$A$1:$C5696,2,0)</f>
        <v>Molothrus bonariensis</v>
      </c>
      <c r="H5297" s="6" t="str">
        <f>VLOOKUP(E5297,dicionario!$A$1:$C5696,3,0)</f>
        <v>chupim</v>
      </c>
    </row>
    <row r="5298">
      <c r="A5298" s="3">
        <v>45680.0</v>
      </c>
      <c r="B5298" s="4">
        <v>0.3090277777777778</v>
      </c>
      <c r="C5298" s="5" t="s">
        <v>59</v>
      </c>
      <c r="D5298" s="5" t="s">
        <v>1082</v>
      </c>
      <c r="E5298" s="8" t="s">
        <v>18</v>
      </c>
      <c r="F5298" s="5" t="s">
        <v>219</v>
      </c>
      <c r="G5298" s="6" t="str">
        <f>VLOOKUP(E5298,dicionario!$A$1:$C5697,2,0)</f>
        <v>Xylocopa frontalis</v>
      </c>
      <c r="H5298" s="6" t="str">
        <f>VLOOKUP(E5298,dicionario!$A$1:$C5697,3,0)</f>
        <v>Mamangava; mangangá; abelha-carpinteira</v>
      </c>
    </row>
    <row r="5299">
      <c r="A5299" s="3">
        <v>45680.0</v>
      </c>
      <c r="B5299" s="4">
        <v>0.30972222222222223</v>
      </c>
      <c r="C5299" s="5" t="s">
        <v>59</v>
      </c>
      <c r="D5299" s="5" t="s">
        <v>1082</v>
      </c>
      <c r="E5299" s="8" t="s">
        <v>65</v>
      </c>
      <c r="F5299" s="5" t="s">
        <v>66</v>
      </c>
      <c r="G5299" s="6" t="str">
        <f>VLOOKUP(E5299,dicionario!$A$1:$C5698,2,0)</f>
        <v>Pitangus sulphutarus</v>
      </c>
      <c r="H5299" s="6" t="str">
        <f>VLOOKUP(E5299,dicionario!$A$1:$C5698,3,0)</f>
        <v>bem-te-vi</v>
      </c>
    </row>
    <row r="5300">
      <c r="A5300" s="3">
        <v>45680.0</v>
      </c>
      <c r="B5300" s="4">
        <v>0.3111111111111111</v>
      </c>
      <c r="C5300" s="5" t="s">
        <v>59</v>
      </c>
      <c r="D5300" s="5" t="s">
        <v>1082</v>
      </c>
      <c r="E5300" s="8" t="s">
        <v>253</v>
      </c>
      <c r="F5300" s="5" t="s">
        <v>254</v>
      </c>
      <c r="G5300" s="6" t="str">
        <f>VLOOKUP(E5300,dicionario!$A$1:$C5699,2,0)</f>
        <v>Panicum maximum</v>
      </c>
      <c r="H5300" s="6" t="str">
        <f>VLOOKUP(E5300,dicionario!$A$1:$C5699,3,0)</f>
        <v>capim-colonião</v>
      </c>
    </row>
    <row r="5301">
      <c r="A5301" s="3">
        <v>45680.0</v>
      </c>
      <c r="B5301" s="4">
        <v>0.3111111111111111</v>
      </c>
      <c r="C5301" s="5" t="s">
        <v>59</v>
      </c>
      <c r="D5301" s="5" t="s">
        <v>1082</v>
      </c>
      <c r="E5301" s="8" t="s">
        <v>353</v>
      </c>
      <c r="F5301" s="5" t="s">
        <v>354</v>
      </c>
      <c r="G5301" s="6" t="str">
        <f>VLOOKUP(E5301,dicionario!$A$1:$C5700,2,0)</f>
        <v>Desmodium incanum</v>
      </c>
      <c r="H5301" s="6" t="str">
        <f>VLOOKUP(E5301,dicionario!$A$1:$C5700,3,0)</f>
        <v>pega-pega</v>
      </c>
    </row>
    <row r="5302">
      <c r="A5302" s="3">
        <v>45680.0</v>
      </c>
      <c r="B5302" s="4">
        <v>0.3111111111111111</v>
      </c>
      <c r="C5302" s="5" t="s">
        <v>59</v>
      </c>
      <c r="D5302" s="5" t="s">
        <v>1082</v>
      </c>
      <c r="E5302" s="8" t="s">
        <v>16</v>
      </c>
      <c r="F5302" s="5" t="s">
        <v>17</v>
      </c>
      <c r="G5302" s="6" t="str">
        <f>VLOOKUP(E5302,dicionario!$A$1:$C5701,2,0)</f>
        <v>Eupetomena macroura</v>
      </c>
      <c r="H5302" s="6" t="str">
        <f>VLOOKUP(E5302,dicionario!$A$1:$C5701,3,0)</f>
        <v>beija-flor-tesoura</v>
      </c>
    </row>
    <row r="5303">
      <c r="A5303" s="3">
        <v>45680.0</v>
      </c>
      <c r="B5303" s="4">
        <v>0.3111111111111111</v>
      </c>
      <c r="C5303" s="5" t="s">
        <v>59</v>
      </c>
      <c r="D5303" s="5" t="s">
        <v>1082</v>
      </c>
      <c r="E5303" s="8" t="s">
        <v>296</v>
      </c>
      <c r="F5303" s="5" t="s">
        <v>297</v>
      </c>
      <c r="G5303" s="6" t="str">
        <f>VLOOKUP(E5303,dicionario!$A$1:$C5702,2,0)</f>
        <v>Richardia brasiliensis</v>
      </c>
      <c r="H5303" s="6" t="str">
        <f>VLOOKUP(E5303,dicionario!$A$1:$C5702,3,0)</f>
        <v>poaia-branca</v>
      </c>
    </row>
    <row r="5304">
      <c r="A5304" s="3">
        <v>45680.0</v>
      </c>
      <c r="B5304" s="4">
        <v>0.3111111111111111</v>
      </c>
      <c r="C5304" s="5" t="s">
        <v>59</v>
      </c>
      <c r="D5304" s="5" t="s">
        <v>1082</v>
      </c>
      <c r="E5304" s="8" t="s">
        <v>613</v>
      </c>
      <c r="F5304" s="5" t="s">
        <v>614</v>
      </c>
      <c r="G5304" s="6" t="str">
        <f>VLOOKUP(E5304,dicionario!$A$1:$C5703,2,0)</f>
        <v>Euphorbia hyssopifolia</v>
      </c>
      <c r="H5304" s="6" t="str">
        <f>VLOOKUP(E5304,dicionario!$A$1:$C5703,3,0)</f>
        <v>maria-leite</v>
      </c>
    </row>
    <row r="5305">
      <c r="A5305" s="3">
        <v>45680.0</v>
      </c>
      <c r="B5305" s="4">
        <v>0.3111111111111111</v>
      </c>
      <c r="C5305" s="5" t="s">
        <v>59</v>
      </c>
      <c r="D5305" s="5" t="s">
        <v>1082</v>
      </c>
      <c r="E5305" s="8" t="s">
        <v>1036</v>
      </c>
      <c r="F5305" s="5" t="s">
        <v>1037</v>
      </c>
      <c r="G5305" s="6" t="str">
        <f>VLOOKUP(E5305,dicionario!$A$1:$C5704,2,0)</f>
        <v>#N/A</v>
      </c>
      <c r="H5305" s="6" t="str">
        <f>VLOOKUP(E5305,dicionario!$A$1:$C5704,3,0)</f>
        <v>#N/A</v>
      </c>
    </row>
    <row r="5306">
      <c r="A5306" s="3">
        <v>45680.0</v>
      </c>
      <c r="B5306" s="4">
        <v>0.31180555555555556</v>
      </c>
      <c r="C5306" s="5" t="s">
        <v>59</v>
      </c>
      <c r="D5306" s="5" t="s">
        <v>1082</v>
      </c>
      <c r="E5306" s="8" t="s">
        <v>503</v>
      </c>
      <c r="F5306" s="5" t="s">
        <v>414</v>
      </c>
      <c r="G5306" s="6" t="str">
        <f>VLOOKUP(E5306,dicionario!$A$1:$C5705,2,0)</f>
        <v>Orphulella punctata</v>
      </c>
      <c r="H5306" s="6" t="str">
        <f>VLOOKUP(E5306,dicionario!$A$1:$C5705,3,0)</f>
        <v>gafanhotinho</v>
      </c>
    </row>
    <row r="5307">
      <c r="A5307" s="3">
        <v>45680.0</v>
      </c>
      <c r="B5307" s="4">
        <v>0.31180555555555556</v>
      </c>
      <c r="C5307" s="5" t="s">
        <v>59</v>
      </c>
      <c r="D5307" s="5" t="s">
        <v>1082</v>
      </c>
      <c r="E5307" s="8" t="s">
        <v>262</v>
      </c>
      <c r="F5307" s="7" t="s">
        <v>263</v>
      </c>
      <c r="G5307" s="6" t="str">
        <f>VLOOKUP(E5307,dicionario!$A$1:$C5706,2,0)</f>
        <v>Portulaca oleracea</v>
      </c>
      <c r="H5307" s="6" t="str">
        <f>VLOOKUP(E5307,dicionario!$A$1:$C5706,3,0)</f>
        <v>beldroega</v>
      </c>
    </row>
    <row r="5308">
      <c r="A5308" s="3">
        <v>45680.0</v>
      </c>
      <c r="B5308" s="4">
        <v>0.31180555555555556</v>
      </c>
      <c r="C5308" s="5" t="s">
        <v>59</v>
      </c>
      <c r="D5308" s="5" t="s">
        <v>1082</v>
      </c>
      <c r="E5308" s="8" t="s">
        <v>381</v>
      </c>
      <c r="F5308" s="5" t="s">
        <v>382</v>
      </c>
      <c r="G5308" s="6" t="str">
        <f>VLOOKUP(E5308,dicionario!$A$1:$C5707,2,0)</f>
        <v>Pseudomyrmex</v>
      </c>
      <c r="H5308" s="6" t="str">
        <f>VLOOKUP(E5308,dicionario!$A$1:$C5707,3,0)</f>
        <v>maria-magra</v>
      </c>
    </row>
    <row r="5309">
      <c r="A5309" s="3">
        <v>45680.0</v>
      </c>
      <c r="B5309" s="4">
        <v>0.31319444444444444</v>
      </c>
      <c r="C5309" s="5" t="s">
        <v>59</v>
      </c>
      <c r="D5309" s="5" t="s">
        <v>1082</v>
      </c>
      <c r="E5309" s="8" t="s">
        <v>302</v>
      </c>
      <c r="F5309" s="5" t="s">
        <v>89</v>
      </c>
      <c r="G5309" s="6" t="str">
        <f>VLOOKUP(E5309,dicionario!$A$1:$C5708,2,0)</f>
        <v>Machetornis rixosa</v>
      </c>
      <c r="H5309" s="6" t="str">
        <f>VLOOKUP(E5309,dicionario!$A$1:$C5708,3,0)</f>
        <v>suiriri-cavaleiro</v>
      </c>
    </row>
    <row r="5310">
      <c r="A5310" s="3">
        <v>45680.0</v>
      </c>
      <c r="B5310" s="4">
        <v>0.31319444444444444</v>
      </c>
      <c r="C5310" s="5" t="s">
        <v>59</v>
      </c>
      <c r="D5310" s="5" t="s">
        <v>1082</v>
      </c>
      <c r="E5310" s="8" t="s">
        <v>86</v>
      </c>
      <c r="F5310" s="5" t="s">
        <v>502</v>
      </c>
      <c r="G5310" s="6" t="str">
        <f>VLOOKUP(E5310,dicionario!$A$1:$C5709,2,0)</f>
        <v>Coereba flaveola</v>
      </c>
      <c r="H5310" s="6" t="str">
        <f>VLOOKUP(E5310,dicionario!$A$1:$C5709,3,0)</f>
        <v>cambacica</v>
      </c>
    </row>
    <row r="5311">
      <c r="A5311" s="3">
        <v>45680.0</v>
      </c>
      <c r="B5311" s="4">
        <v>0.31319444444444444</v>
      </c>
      <c r="C5311" s="5" t="s">
        <v>59</v>
      </c>
      <c r="D5311" s="5" t="s">
        <v>1082</v>
      </c>
      <c r="E5311" s="8" t="s">
        <v>378</v>
      </c>
      <c r="F5311" s="5" t="s">
        <v>205</v>
      </c>
      <c r="G5311" s="6" t="str">
        <f>VLOOKUP(E5311,dicionario!$A$1:$C5710,2,0)</f>
        <v>Polistes</v>
      </c>
      <c r="H5311" s="6" t="str">
        <f>VLOOKUP(E5311,dicionario!$A$1:$C5710,3,0)</f>
        <v>marimbondo</v>
      </c>
    </row>
    <row r="5312">
      <c r="A5312" s="3">
        <v>45680.0</v>
      </c>
      <c r="B5312" s="4">
        <v>0.31527777777777777</v>
      </c>
      <c r="C5312" s="5" t="s">
        <v>59</v>
      </c>
      <c r="D5312" s="5" t="s">
        <v>1082</v>
      </c>
      <c r="E5312" s="8" t="s">
        <v>267</v>
      </c>
      <c r="F5312" s="5" t="s">
        <v>553</v>
      </c>
      <c r="G5312" s="6" t="str">
        <f>VLOOKUP(E5312,dicionario!$A$1:$C5711,2,0)</f>
        <v>Solanum americanum</v>
      </c>
      <c r="H5312" s="6" t="str">
        <f>VLOOKUP(E5312,dicionario!$A$1:$C5711,3,0)</f>
        <v>maria-pretinha</v>
      </c>
    </row>
    <row r="5313">
      <c r="A5313" s="3">
        <v>45680.0</v>
      </c>
      <c r="B5313" s="4">
        <v>0.31527777777777777</v>
      </c>
      <c r="C5313" s="5" t="s">
        <v>59</v>
      </c>
      <c r="D5313" s="5" t="s">
        <v>1082</v>
      </c>
      <c r="E5313" s="8" t="s">
        <v>20</v>
      </c>
      <c r="F5313" s="7" t="s">
        <v>21</v>
      </c>
      <c r="G5313" s="6" t="str">
        <f>VLOOKUP(E5313,dicionario!$A$1:$C5712,2,0)</f>
        <v>Sicalis flaveola</v>
      </c>
      <c r="H5313" s="6" t="str">
        <f>VLOOKUP(E5313,dicionario!$A$1:$C5712,3,0)</f>
        <v>canário-da-terra</v>
      </c>
    </row>
    <row r="5314">
      <c r="A5314" s="3">
        <v>45680.0</v>
      </c>
      <c r="B5314" s="4">
        <v>0.31527777777777777</v>
      </c>
      <c r="C5314" s="5" t="s">
        <v>59</v>
      </c>
      <c r="D5314" s="5" t="s">
        <v>1082</v>
      </c>
      <c r="E5314" s="8" t="s">
        <v>109</v>
      </c>
      <c r="F5314" s="5" t="s">
        <v>110</v>
      </c>
      <c r="G5314" s="6" t="str">
        <f>VLOOKUP(E5314,dicionario!$A$1:$C5713,2,0)</f>
        <v>Tillandsia stricta</v>
      </c>
      <c r="H5314" s="6" t="str">
        <f>VLOOKUP(E5314,dicionario!$A$1:$C5713,3,0)</f>
        <v>cravo-do-mato</v>
      </c>
    </row>
    <row r="5315">
      <c r="A5315" s="3">
        <v>45680.0</v>
      </c>
      <c r="B5315" s="4">
        <v>0.31527777777777777</v>
      </c>
      <c r="C5315" s="5" t="s">
        <v>59</v>
      </c>
      <c r="D5315" s="5" t="s">
        <v>1082</v>
      </c>
      <c r="E5315" s="8" t="s">
        <v>1036</v>
      </c>
      <c r="F5315" s="5" t="s">
        <v>582</v>
      </c>
      <c r="G5315" s="6" t="str">
        <f>VLOOKUP(E5315,dicionario!$A$1:$C5714,2,0)</f>
        <v>#N/A</v>
      </c>
      <c r="H5315" s="6" t="str">
        <f>VLOOKUP(E5315,dicionario!$A$1:$C5714,3,0)</f>
        <v>#N/A</v>
      </c>
    </row>
    <row r="5316">
      <c r="A5316" s="3">
        <v>45680.0</v>
      </c>
      <c r="B5316" s="4">
        <v>0.3159722222222222</v>
      </c>
      <c r="C5316" s="5" t="s">
        <v>59</v>
      </c>
      <c r="D5316" s="5" t="s">
        <v>1082</v>
      </c>
      <c r="E5316" s="8" t="s">
        <v>966</v>
      </c>
      <c r="F5316" s="5" t="s">
        <v>967</v>
      </c>
      <c r="G5316" s="6" t="str">
        <f>VLOOKUP(E5316,dicionario!$A$1:$C5715,2,0)</f>
        <v>Portulaca halimoides</v>
      </c>
      <c r="H5316" s="6" t="str">
        <f>VLOOKUP(E5316,dicionario!$A$1:$C5715,3,0)</f>
        <v>beldroega-de-seda</v>
      </c>
    </row>
    <row r="5317">
      <c r="A5317" s="3">
        <v>45680.0</v>
      </c>
      <c r="B5317" s="4">
        <v>0.3159722222222222</v>
      </c>
      <c r="C5317" s="5" t="s">
        <v>59</v>
      </c>
      <c r="D5317" s="5" t="s">
        <v>1082</v>
      </c>
      <c r="E5317" s="8" t="s">
        <v>1087</v>
      </c>
      <c r="F5317" s="5" t="s">
        <v>1088</v>
      </c>
      <c r="G5317" s="6" t="str">
        <f>VLOOKUP(E5317,dicionario!$A$1:$C5716,2,0)</f>
        <v>Desmodium triflorum</v>
      </c>
      <c r="H5317" s="6" t="str">
        <f>VLOOKUP(E5317,dicionario!$A$1:$C5716,3,0)</f>
        <v/>
      </c>
    </row>
    <row r="5318">
      <c r="A5318" s="3">
        <v>45680.0</v>
      </c>
      <c r="B5318" s="4">
        <v>0.3159722222222222</v>
      </c>
      <c r="C5318" s="5" t="s">
        <v>59</v>
      </c>
      <c r="D5318" s="5" t="s">
        <v>1082</v>
      </c>
      <c r="E5318" s="8" t="s">
        <v>14</v>
      </c>
      <c r="F5318" s="5" t="s">
        <v>15</v>
      </c>
      <c r="G5318" s="6" t="str">
        <f>VLOOKUP(E5318,dicionario!$A$1:$C5717,2,0)</f>
        <v>Spermacoce verticillata</v>
      </c>
      <c r="H5318" s="6" t="str">
        <f>VLOOKUP(E5318,dicionario!$A$1:$C5717,3,0)</f>
        <v>vassourinha-de-botão</v>
      </c>
    </row>
    <row r="5319">
      <c r="A5319" s="3">
        <v>45680.0</v>
      </c>
      <c r="B5319" s="4">
        <v>0.3159722222222222</v>
      </c>
      <c r="C5319" s="5" t="s">
        <v>59</v>
      </c>
      <c r="D5319" s="5" t="s">
        <v>1082</v>
      </c>
      <c r="E5319" s="8" t="s">
        <v>191</v>
      </c>
      <c r="F5319" s="5" t="s">
        <v>192</v>
      </c>
      <c r="G5319" s="6" t="str">
        <f>VLOOKUP(E5319,dicionario!$A$1:$C5718,2,0)</f>
        <v>Patagioenas picazuro</v>
      </c>
      <c r="H5319" s="6" t="str">
        <f>VLOOKUP(E5319,dicionario!$A$1:$C5718,3,0)</f>
        <v>asa-branca; pomba-asa-branca; pocaçu</v>
      </c>
    </row>
    <row r="5320">
      <c r="A5320" s="3">
        <v>45680.0</v>
      </c>
      <c r="B5320" s="4">
        <v>0.31666666666666665</v>
      </c>
      <c r="C5320" s="5" t="s">
        <v>50</v>
      </c>
      <c r="D5320" s="5" t="s">
        <v>1082</v>
      </c>
      <c r="E5320" s="8" t="s">
        <v>53</v>
      </c>
      <c r="F5320" s="7" t="s">
        <v>54</v>
      </c>
      <c r="G5320" s="6" t="str">
        <f>VLOOKUP(E5320,dicionario!$A$1:$C5719,2,0)</f>
        <v>Turnera subulata</v>
      </c>
      <c r="H5320" s="6" t="str">
        <f>VLOOKUP(E5320,dicionario!$A$1:$C5719,3,0)</f>
        <v>xanana</v>
      </c>
    </row>
    <row r="5321">
      <c r="A5321" s="3">
        <v>45680.0</v>
      </c>
      <c r="B5321" s="4">
        <v>0.31666666666666665</v>
      </c>
      <c r="C5321" s="5" t="s">
        <v>50</v>
      </c>
      <c r="D5321" s="5" t="s">
        <v>1082</v>
      </c>
      <c r="E5321" s="8" t="s">
        <v>83</v>
      </c>
      <c r="F5321" s="5" t="s">
        <v>84</v>
      </c>
      <c r="G5321" s="6" t="str">
        <f>VLOOKUP(E5321,dicionario!$A$1:$C5720,2,0)</f>
        <v>Anartia jatrophae</v>
      </c>
      <c r="H5321" s="6" t="str">
        <f>VLOOKUP(E5321,dicionario!$A$1:$C5720,3,0)</f>
        <v>borboleta-pavão-branco</v>
      </c>
    </row>
    <row r="5322">
      <c r="A5322" s="3">
        <v>45680.0</v>
      </c>
      <c r="B5322" s="4">
        <v>0.31666666666666665</v>
      </c>
      <c r="C5322" s="5" t="s">
        <v>50</v>
      </c>
      <c r="D5322" s="5" t="s">
        <v>1082</v>
      </c>
      <c r="E5322" s="8" t="s">
        <v>173</v>
      </c>
      <c r="F5322" s="5" t="s">
        <v>336</v>
      </c>
      <c r="G5322" s="6" t="str">
        <f>VLOOKUP(E5322,dicionario!$A$1:$C5721,2,0)</f>
        <v>Junonia evarete</v>
      </c>
      <c r="H5322" s="6" t="str">
        <f>VLOOKUP(E5322,dicionario!$A$1:$C5721,3,0)</f>
        <v>borboleta-olho-de-pavão-diúrno</v>
      </c>
    </row>
    <row r="5323">
      <c r="A5323" s="3">
        <v>45680.0</v>
      </c>
      <c r="B5323" s="4">
        <v>0.31666666666666665</v>
      </c>
      <c r="C5323" s="5" t="s">
        <v>50</v>
      </c>
      <c r="D5323" s="5" t="s">
        <v>1082</v>
      </c>
      <c r="E5323" s="8" t="s">
        <v>148</v>
      </c>
      <c r="F5323" s="5" t="s">
        <v>149</v>
      </c>
      <c r="G5323" s="6" t="str">
        <f>VLOOKUP(E5323,dicionario!$A$1:$C5722,2,0)</f>
        <v>Parthenium hysterophorus</v>
      </c>
      <c r="H5323" s="6" t="str">
        <f>VLOOKUP(E5323,dicionario!$A$1:$C5722,3,0)</f>
        <v>losna-branca</v>
      </c>
    </row>
    <row r="5324">
      <c r="A5324" s="3">
        <v>45680.0</v>
      </c>
      <c r="B5324" s="4">
        <v>0.31666666666666665</v>
      </c>
      <c r="C5324" s="5" t="s">
        <v>50</v>
      </c>
      <c r="D5324" s="5" t="s">
        <v>1082</v>
      </c>
      <c r="E5324" s="8" t="s">
        <v>489</v>
      </c>
      <c r="F5324" s="5" t="s">
        <v>521</v>
      </c>
      <c r="G5324" s="6" t="str">
        <f>VLOOKUP(E5324,dicionario!$A$1:$C5723,2,0)</f>
        <v>Cenchrus echinatus</v>
      </c>
      <c r="H5324" s="6" t="str">
        <f>VLOOKUP(E5324,dicionario!$A$1:$C5723,3,0)</f>
        <v>capim-carrapicho</v>
      </c>
    </row>
    <row r="5325">
      <c r="A5325" s="3">
        <v>45680.0</v>
      </c>
      <c r="B5325" s="4">
        <v>0.31666666666666665</v>
      </c>
      <c r="C5325" s="5" t="s">
        <v>50</v>
      </c>
      <c r="D5325" s="5" t="s">
        <v>1082</v>
      </c>
      <c r="E5325" s="8" t="s">
        <v>109</v>
      </c>
      <c r="F5325" s="5" t="s">
        <v>110</v>
      </c>
      <c r="G5325" s="6" t="str">
        <f>VLOOKUP(E5325,dicionario!$A$1:$C5724,2,0)</f>
        <v>Tillandsia stricta</v>
      </c>
      <c r="H5325" s="6" t="str">
        <f>VLOOKUP(E5325,dicionario!$A$1:$C5724,3,0)</f>
        <v>cravo-do-mato</v>
      </c>
    </row>
    <row r="5326">
      <c r="A5326" s="3">
        <v>45680.0</v>
      </c>
      <c r="B5326" s="4">
        <v>0.31666666666666665</v>
      </c>
      <c r="C5326" s="5" t="s">
        <v>50</v>
      </c>
      <c r="D5326" s="5" t="s">
        <v>1082</v>
      </c>
      <c r="E5326" s="6" t="s">
        <v>646</v>
      </c>
      <c r="F5326" s="5" t="s">
        <v>647</v>
      </c>
      <c r="G5326" s="6" t="str">
        <f>VLOOKUP(E5326,dicionario!$A$1:$C5725,2,0)</f>
        <v>Palpada mexicana</v>
      </c>
      <c r="H5326" s="6" t="str">
        <f>VLOOKUP(E5326,dicionario!$A$1:$C5725,3,0)</f>
        <v>mosca-das-flores</v>
      </c>
    </row>
    <row r="5327">
      <c r="A5327" s="3">
        <v>45680.0</v>
      </c>
      <c r="B5327" s="4">
        <v>0.3173611111111111</v>
      </c>
      <c r="C5327" s="5" t="s">
        <v>50</v>
      </c>
      <c r="D5327" s="5" t="s">
        <v>1082</v>
      </c>
      <c r="E5327" s="8" t="s">
        <v>111</v>
      </c>
      <c r="F5327" s="7" t="s">
        <v>112</v>
      </c>
      <c r="G5327" s="6" t="str">
        <f>VLOOKUP(E5327,dicionario!$A$1:$C5726,2,0)</f>
        <v>Trigona spinipes</v>
      </c>
      <c r="H5327" s="6" t="str">
        <f>VLOOKUP(E5327,dicionario!$A$1:$C5726,3,0)</f>
        <v>abelha-cachorro</v>
      </c>
    </row>
    <row r="5328">
      <c r="A5328" s="3">
        <v>45680.0</v>
      </c>
      <c r="B5328" s="4">
        <v>0.3173611111111111</v>
      </c>
      <c r="C5328" s="5" t="s">
        <v>50</v>
      </c>
      <c r="D5328" s="5" t="s">
        <v>1082</v>
      </c>
      <c r="E5328" s="8" t="s">
        <v>229</v>
      </c>
      <c r="F5328" s="5" t="s">
        <v>230</v>
      </c>
      <c r="G5328" s="6" t="str">
        <f>VLOOKUP(E5328,dicionario!$A$1:$C5727,2,0)</f>
        <v>Apis mellifera</v>
      </c>
      <c r="H5328" s="6" t="str">
        <f>VLOOKUP(E5328,dicionario!$A$1:$C5727,3,0)</f>
        <v>abelha-do-mel</v>
      </c>
    </row>
    <row r="5329">
      <c r="A5329" s="3">
        <v>45680.0</v>
      </c>
      <c r="B5329" s="4">
        <v>0.3173611111111111</v>
      </c>
      <c r="C5329" s="5" t="s">
        <v>50</v>
      </c>
      <c r="D5329" s="5" t="s">
        <v>1082</v>
      </c>
      <c r="E5329" s="8" t="s">
        <v>355</v>
      </c>
      <c r="F5329" s="5" t="s">
        <v>356</v>
      </c>
      <c r="G5329" s="6" t="str">
        <f>VLOOKUP(E5329,dicionario!$A$1:$C5728,2,0)</f>
        <v>Boerhavia diffusa</v>
      </c>
      <c r="H5329" s="6" t="str">
        <f>VLOOKUP(E5329,dicionario!$A$1:$C5728,3,0)</f>
        <v>erva-tostão</v>
      </c>
    </row>
    <row r="5330">
      <c r="A5330" s="3">
        <v>45680.0</v>
      </c>
      <c r="B5330" s="4">
        <v>0.3173611111111111</v>
      </c>
      <c r="C5330" s="5" t="s">
        <v>50</v>
      </c>
      <c r="D5330" s="5" t="s">
        <v>1082</v>
      </c>
      <c r="E5330" s="8" t="s">
        <v>425</v>
      </c>
      <c r="F5330" s="5" t="s">
        <v>426</v>
      </c>
      <c r="G5330" s="6" t="str">
        <f>VLOOKUP(E5330,dicionario!$A$1:$C5729,2,0)</f>
        <v>Digitaria insularis</v>
      </c>
      <c r="H5330" s="6" t="str">
        <f>VLOOKUP(E5330,dicionario!$A$1:$C5729,3,0)</f>
        <v>capim-amargoso</v>
      </c>
    </row>
    <row r="5331">
      <c r="A5331" s="3">
        <v>45680.0</v>
      </c>
      <c r="B5331" s="4">
        <v>0.31805555555555554</v>
      </c>
      <c r="C5331" s="5" t="s">
        <v>50</v>
      </c>
      <c r="D5331" s="5" t="s">
        <v>1082</v>
      </c>
      <c r="E5331" s="8" t="s">
        <v>20</v>
      </c>
      <c r="F5331" s="7" t="s">
        <v>21</v>
      </c>
      <c r="G5331" s="6" t="str">
        <f>VLOOKUP(E5331,dicionario!$A$1:$C5730,2,0)</f>
        <v>Sicalis flaveola</v>
      </c>
      <c r="H5331" s="6" t="str">
        <f>VLOOKUP(E5331,dicionario!$A$1:$C5730,3,0)</f>
        <v>canário-da-terra</v>
      </c>
    </row>
    <row r="5332">
      <c r="A5332" s="3">
        <v>45680.0</v>
      </c>
      <c r="B5332" s="4">
        <v>0.31805555555555554</v>
      </c>
      <c r="C5332" s="5" t="s">
        <v>50</v>
      </c>
      <c r="D5332" s="5" t="s">
        <v>1082</v>
      </c>
      <c r="E5332" s="8" t="s">
        <v>93</v>
      </c>
      <c r="F5332" s="5" t="s">
        <v>570</v>
      </c>
      <c r="G5332" s="6" t="str">
        <f>VLOOKUP(E5332,dicionario!$A$1:$C5731,2,0)</f>
        <v>Thraupis sayaca</v>
      </c>
      <c r="H5332" s="6" t="str">
        <f>VLOOKUP(E5332,dicionario!$A$1:$C5731,3,0)</f>
        <v>sanhaçu-cinzento</v>
      </c>
    </row>
    <row r="5333">
      <c r="A5333" s="3">
        <v>45680.0</v>
      </c>
      <c r="B5333" s="4">
        <v>0.31805555555555554</v>
      </c>
      <c r="C5333" s="5" t="s">
        <v>50</v>
      </c>
      <c r="D5333" s="5" t="s">
        <v>1082</v>
      </c>
      <c r="E5333" s="8" t="s">
        <v>560</v>
      </c>
      <c r="F5333" s="5" t="s">
        <v>561</v>
      </c>
      <c r="G5333" s="6" t="str">
        <f>VLOOKUP(E5333,dicionario!$A$1:$C5732,2,0)</f>
        <v>Megarynchus pitangua</v>
      </c>
      <c r="H5333" s="6" t="str">
        <f>VLOOKUP(E5333,dicionario!$A$1:$C5732,3,0)</f>
        <v>neinei</v>
      </c>
    </row>
    <row r="5334">
      <c r="A5334" s="3">
        <v>45680.0</v>
      </c>
      <c r="B5334" s="4">
        <v>0.31805555555555554</v>
      </c>
      <c r="C5334" s="5" t="s">
        <v>50</v>
      </c>
      <c r="D5334" s="5" t="s">
        <v>1082</v>
      </c>
      <c r="E5334" s="8" t="s">
        <v>227</v>
      </c>
      <c r="F5334" s="5" t="s">
        <v>228</v>
      </c>
      <c r="G5334" s="6" t="str">
        <f>VLOOKUP(E5334,dicionario!$A$1:$C5733,2,0)</f>
        <v>Indigofera hirsuta</v>
      </c>
      <c r="H5334" s="6" t="str">
        <f>VLOOKUP(E5334,dicionario!$A$1:$C5733,3,0)</f>
        <v>anileira</v>
      </c>
    </row>
    <row r="5335">
      <c r="A5335" s="3">
        <v>45680.0</v>
      </c>
      <c r="B5335" s="4">
        <v>0.31875</v>
      </c>
      <c r="C5335" s="5" t="s">
        <v>50</v>
      </c>
      <c r="D5335" s="5" t="s">
        <v>1082</v>
      </c>
      <c r="E5335" s="8" t="s">
        <v>483</v>
      </c>
      <c r="F5335" s="5" t="s">
        <v>289</v>
      </c>
      <c r="G5335" s="6" t="str">
        <f>VLOOKUP(E5335,dicionario!$A$1:$C5734,2,0)</f>
        <v>Euphorbia prostrata</v>
      </c>
      <c r="H5335" s="6" t="str">
        <f>VLOOKUP(E5335,dicionario!$A$1:$C5734,3,0)</f>
        <v>quebra-pedra-rasteira</v>
      </c>
    </row>
    <row r="5336">
      <c r="A5336" s="3">
        <v>45680.0</v>
      </c>
      <c r="B5336" s="4">
        <v>0.31875</v>
      </c>
      <c r="C5336" s="5" t="s">
        <v>50</v>
      </c>
      <c r="D5336" s="5" t="s">
        <v>1082</v>
      </c>
      <c r="E5336" s="8" t="s">
        <v>195</v>
      </c>
      <c r="F5336" s="5" t="s">
        <v>196</v>
      </c>
      <c r="G5336" s="6" t="str">
        <f>VLOOKUP(E5336,dicionario!$A$1:$C5735,2,0)</f>
        <v>Priva lappulacea</v>
      </c>
      <c r="H5336" s="6" t="str">
        <f>VLOOKUP(E5336,dicionario!$A$1:$C5735,3,0)</f>
        <v>carrapicho</v>
      </c>
    </row>
    <row r="5337">
      <c r="A5337" s="3">
        <v>45680.0</v>
      </c>
      <c r="B5337" s="4">
        <v>0.31875</v>
      </c>
      <c r="C5337" s="5" t="s">
        <v>50</v>
      </c>
      <c r="D5337" s="5" t="s">
        <v>1082</v>
      </c>
      <c r="E5337" s="8" t="s">
        <v>411</v>
      </c>
      <c r="F5337" s="5" t="s">
        <v>1120</v>
      </c>
      <c r="G5337" s="6" t="str">
        <f>VLOOKUP(E5337,dicionario!$A$1:$C5736,2,0)</f>
        <v>Chilopoda</v>
      </c>
      <c r="H5337" s="6" t="str">
        <f>VLOOKUP(E5337,dicionario!$A$1:$C5736,3,0)</f>
        <v>lacraia</v>
      </c>
    </row>
    <row r="5338">
      <c r="A5338" s="3">
        <v>45680.0</v>
      </c>
      <c r="B5338" s="4">
        <v>0.31875</v>
      </c>
      <c r="C5338" s="5" t="s">
        <v>50</v>
      </c>
      <c r="D5338" s="5" t="s">
        <v>1082</v>
      </c>
      <c r="E5338" s="8" t="s">
        <v>55</v>
      </c>
      <c r="F5338" s="5" t="s">
        <v>56</v>
      </c>
      <c r="G5338" s="6" t="str">
        <f>VLOOKUP(E5338,dicionario!$A$1:$C5737,2,0)</f>
        <v>Cubaris murina</v>
      </c>
      <c r="H5338" s="6" t="str">
        <f>VLOOKUP(E5338,dicionario!$A$1:$C5737,3,0)</f>
        <v>tatuzinho-de-jardim</v>
      </c>
    </row>
    <row r="5339">
      <c r="A5339" s="3">
        <v>45680.0</v>
      </c>
      <c r="B5339" s="4">
        <v>0.31875</v>
      </c>
      <c r="C5339" s="5" t="s">
        <v>50</v>
      </c>
      <c r="D5339" s="5" t="s">
        <v>1082</v>
      </c>
      <c r="E5339" s="8" t="s">
        <v>57</v>
      </c>
      <c r="F5339" s="5" t="s">
        <v>559</v>
      </c>
      <c r="G5339" s="6" t="str">
        <f>VLOOKUP(E5339,dicionario!$A$1:$C5738,2,0)</f>
        <v>Juliformia</v>
      </c>
      <c r="H5339" s="6" t="str">
        <f>VLOOKUP(E5339,dicionario!$A$1:$C5738,3,0)</f>
        <v>gongolo; maria-café</v>
      </c>
    </row>
    <row r="5340">
      <c r="A5340" s="3">
        <v>45680.0</v>
      </c>
      <c r="B5340" s="4">
        <v>0.3194444444444444</v>
      </c>
      <c r="C5340" s="5" t="s">
        <v>50</v>
      </c>
      <c r="D5340" s="5" t="s">
        <v>1082</v>
      </c>
      <c r="E5340" s="8" t="s">
        <v>38</v>
      </c>
      <c r="F5340" s="5" t="s">
        <v>39</v>
      </c>
      <c r="G5340" s="6" t="str">
        <f>VLOOKUP(E5340,dicionario!$A$1:$C5739,2,0)</f>
        <v>Troglodytes musculus</v>
      </c>
      <c r="H5340" s="6" t="str">
        <f>VLOOKUP(E5340,dicionario!$A$1:$C5739,3,0)</f>
        <v>curruíra</v>
      </c>
    </row>
    <row r="5341">
      <c r="A5341" s="3">
        <v>45680.0</v>
      </c>
      <c r="B5341" s="4">
        <v>0.3194444444444444</v>
      </c>
      <c r="C5341" s="5" t="s">
        <v>50</v>
      </c>
      <c r="D5341" s="5" t="s">
        <v>1082</v>
      </c>
      <c r="E5341" s="8" t="s">
        <v>139</v>
      </c>
      <c r="F5341" s="5" t="s">
        <v>862</v>
      </c>
      <c r="G5341" s="6" t="str">
        <f>VLOOKUP(E5341,dicionario!$A$1:$C5740,2,0)</f>
        <v>Tropidurus torquatus</v>
      </c>
      <c r="H5341" s="6" t="str">
        <f>VLOOKUP(E5341,dicionario!$A$1:$C5740,3,0)</f>
        <v>calango; tropiduro-comum</v>
      </c>
    </row>
    <row r="5342">
      <c r="A5342" s="3">
        <v>45680.0</v>
      </c>
      <c r="B5342" s="4">
        <v>0.3194444444444444</v>
      </c>
      <c r="C5342" s="5" t="s">
        <v>50</v>
      </c>
      <c r="D5342" s="5" t="s">
        <v>1082</v>
      </c>
      <c r="E5342" s="8" t="s">
        <v>504</v>
      </c>
      <c r="F5342" s="5" t="s">
        <v>534</v>
      </c>
      <c r="G5342" s="6" t="str">
        <f>VLOOKUP(E5342,dicionario!$A$1:$C5741,2,0)</f>
        <v>Cleome aculeata</v>
      </c>
      <c r="H5342" s="6" t="str">
        <f>VLOOKUP(E5342,dicionario!$A$1:$C5741,3,0)</f>
        <v>cleome</v>
      </c>
    </row>
    <row r="5343">
      <c r="A5343" s="3">
        <v>45680.0</v>
      </c>
      <c r="B5343" s="4">
        <v>0.3194444444444444</v>
      </c>
      <c r="C5343" s="5" t="s">
        <v>50</v>
      </c>
      <c r="D5343" s="5" t="s">
        <v>1082</v>
      </c>
      <c r="E5343" s="8" t="s">
        <v>247</v>
      </c>
      <c r="F5343" s="7" t="s">
        <v>272</v>
      </c>
      <c r="G5343" s="6" t="str">
        <f>VLOOKUP(E5343,dicionario!$A$1:$C5742,2,0)</f>
        <v>Emilia sonchifolia</v>
      </c>
      <c r="H5343" s="6" t="str">
        <f>VLOOKUP(E5343,dicionario!$A$1:$C5742,3,0)</f>
        <v>serralinha</v>
      </c>
    </row>
    <row r="5344">
      <c r="A5344" s="3">
        <v>45680.0</v>
      </c>
      <c r="B5344" s="4">
        <v>0.3194444444444444</v>
      </c>
      <c r="C5344" s="5" t="s">
        <v>50</v>
      </c>
      <c r="D5344" s="5" t="s">
        <v>1082</v>
      </c>
      <c r="E5344" s="8" t="s">
        <v>579</v>
      </c>
      <c r="F5344" s="5" t="s">
        <v>580</v>
      </c>
      <c r="G5344" s="6" t="str">
        <f>VLOOKUP(E5344,dicionario!$A$1:$C5743,2,0)</f>
        <v>Piper tuberculatum</v>
      </c>
      <c r="H5344" s="6" t="str">
        <f>VLOOKUP(E5344,dicionario!$A$1:$C5743,3,0)</f>
        <v/>
      </c>
    </row>
    <row r="5345">
      <c r="A5345" s="3">
        <v>45680.0</v>
      </c>
      <c r="B5345" s="4">
        <v>0.32013888888888886</v>
      </c>
      <c r="C5345" s="5" t="s">
        <v>50</v>
      </c>
      <c r="D5345" s="5" t="s">
        <v>1082</v>
      </c>
      <c r="E5345" s="8" t="s">
        <v>821</v>
      </c>
      <c r="F5345" s="5" t="s">
        <v>876</v>
      </c>
      <c r="G5345" s="6" t="str">
        <f>VLOOKUP(E5345,dicionario!$A$1:$C5744,2,0)</f>
        <v>Schefflera actinophylla</v>
      </c>
      <c r="H5345" s="6" t="str">
        <f>VLOOKUP(E5345,dicionario!$A$1:$C5744,3,0)</f>
        <v>árvore-guarda-chuva</v>
      </c>
    </row>
    <row r="5346">
      <c r="A5346" s="3">
        <v>45680.0</v>
      </c>
      <c r="B5346" s="4">
        <v>0.32013888888888886</v>
      </c>
      <c r="C5346" s="5" t="s">
        <v>50</v>
      </c>
      <c r="D5346" s="5" t="s">
        <v>1082</v>
      </c>
      <c r="E5346" s="8" t="s">
        <v>247</v>
      </c>
      <c r="F5346" s="5" t="s">
        <v>387</v>
      </c>
      <c r="G5346" s="6" t="str">
        <f>VLOOKUP(E5346,dicionario!$A$1:$C5745,2,0)</f>
        <v>Emilia sonchifolia</v>
      </c>
      <c r="H5346" s="6" t="str">
        <f>VLOOKUP(E5346,dicionario!$A$1:$C5745,3,0)</f>
        <v>serralinha</v>
      </c>
    </row>
    <row r="5347">
      <c r="A5347" s="3">
        <v>45680.0</v>
      </c>
      <c r="B5347" s="4">
        <v>0.32013888888888886</v>
      </c>
      <c r="C5347" s="5" t="s">
        <v>50</v>
      </c>
      <c r="D5347" s="5" t="s">
        <v>1082</v>
      </c>
      <c r="E5347" s="8" t="s">
        <v>319</v>
      </c>
      <c r="F5347" s="5" t="s">
        <v>320</v>
      </c>
      <c r="G5347" s="6" t="str">
        <f>VLOOKUP(E5347,dicionario!$A$1:$C5746,2,0)</f>
        <v>Schinus terebinthifolia</v>
      </c>
      <c r="H5347" s="6" t="str">
        <f>VLOOKUP(E5347,dicionario!$A$1:$C5746,3,0)</f>
        <v>aroeira</v>
      </c>
    </row>
    <row r="5348">
      <c r="A5348" s="3">
        <v>45680.0</v>
      </c>
      <c r="B5348" s="4">
        <v>0.32013888888888886</v>
      </c>
      <c r="C5348" s="5" t="s">
        <v>50</v>
      </c>
      <c r="D5348" s="5" t="s">
        <v>1082</v>
      </c>
      <c r="E5348" s="8" t="s">
        <v>181</v>
      </c>
      <c r="F5348" s="5" t="s">
        <v>182</v>
      </c>
      <c r="G5348" s="6" t="str">
        <f>VLOOKUP(E5348,dicionario!$A$1:$C5747,2,0)</f>
        <v>#N/A</v>
      </c>
      <c r="H5348" s="6" t="str">
        <f>VLOOKUP(E5348,dicionario!$A$1:$C5747,3,0)</f>
        <v>#N/A</v>
      </c>
    </row>
    <row r="5349">
      <c r="A5349" s="3">
        <v>45680.0</v>
      </c>
      <c r="B5349" s="4">
        <v>0.32013888888888886</v>
      </c>
      <c r="C5349" s="5" t="s">
        <v>50</v>
      </c>
      <c r="D5349" s="5" t="s">
        <v>1082</v>
      </c>
      <c r="E5349" s="8" t="s">
        <v>467</v>
      </c>
      <c r="F5349" s="5" t="s">
        <v>468</v>
      </c>
      <c r="G5349" s="6" t="str">
        <f>VLOOKUP(E5349,dicionario!$A$1:$C5748,2,0)</f>
        <v>Eleusine indica</v>
      </c>
      <c r="H5349" s="6" t="str">
        <f>VLOOKUP(E5349,dicionario!$A$1:$C5748,3,0)</f>
        <v>capim-pé-de-galinha</v>
      </c>
    </row>
    <row r="5350">
      <c r="A5350" s="3">
        <v>45680.0</v>
      </c>
      <c r="B5350" s="4">
        <v>0.32083333333333336</v>
      </c>
      <c r="C5350" s="5" t="s">
        <v>50</v>
      </c>
      <c r="D5350" s="5" t="s">
        <v>1082</v>
      </c>
      <c r="E5350" s="8" t="s">
        <v>616</v>
      </c>
      <c r="F5350" s="5" t="s">
        <v>617</v>
      </c>
      <c r="G5350" s="6" t="str">
        <f>VLOOKUP(E5350,dicionario!$A$1:$C5749,2,0)</f>
        <v>#N/A</v>
      </c>
      <c r="H5350" s="6" t="str">
        <f>VLOOKUP(E5350,dicionario!$A$1:$C5749,3,0)</f>
        <v>#N/A</v>
      </c>
    </row>
    <row r="5351">
      <c r="A5351" s="3">
        <v>45680.0</v>
      </c>
      <c r="B5351" s="4">
        <v>0.32083333333333336</v>
      </c>
      <c r="C5351" s="5" t="s">
        <v>50</v>
      </c>
      <c r="D5351" s="5" t="s">
        <v>1082</v>
      </c>
      <c r="E5351" s="8" t="s">
        <v>122</v>
      </c>
      <c r="F5351" s="7" t="s">
        <v>123</v>
      </c>
      <c r="G5351" s="6" t="str">
        <f>VLOOKUP(E5351,dicionario!$A$1:$C5750,2,0)</f>
        <v>Todirostrum cinereum</v>
      </c>
      <c r="H5351" s="6" t="str">
        <f>VLOOKUP(E5351,dicionario!$A$1:$C5750,3,0)</f>
        <v>ferreirinho-relógio</v>
      </c>
    </row>
    <row r="5352">
      <c r="A5352" s="3">
        <v>45680.0</v>
      </c>
      <c r="B5352" s="4">
        <v>0.32083333333333336</v>
      </c>
      <c r="C5352" s="5" t="s">
        <v>50</v>
      </c>
      <c r="D5352" s="5" t="s">
        <v>1082</v>
      </c>
      <c r="E5352" s="8" t="s">
        <v>258</v>
      </c>
      <c r="F5352" s="5" t="s">
        <v>259</v>
      </c>
      <c r="G5352" s="6" t="str">
        <f>VLOOKUP(E5352,dicionario!$A$1:$C5751,2,0)</f>
        <v>Lantana camara</v>
      </c>
      <c r="H5352" s="6" t="str">
        <f>VLOOKUP(E5352,dicionario!$A$1:$C5751,3,0)</f>
        <v>lantana</v>
      </c>
    </row>
    <row r="5353">
      <c r="A5353" s="3">
        <v>45680.0</v>
      </c>
      <c r="B5353" s="4">
        <v>0.32083333333333336</v>
      </c>
      <c r="C5353" s="5" t="s">
        <v>50</v>
      </c>
      <c r="D5353" s="5" t="s">
        <v>1082</v>
      </c>
      <c r="E5353" s="8" t="s">
        <v>1121</v>
      </c>
      <c r="F5353" s="5" t="s">
        <v>1122</v>
      </c>
      <c r="G5353" s="6" t="str">
        <f>VLOOKUP(E5353,dicionario!$A$1:$C5752,2,0)</f>
        <v>#N/A</v>
      </c>
      <c r="H5353" s="6" t="str">
        <f>VLOOKUP(E5353,dicionario!$A$1:$C5752,3,0)</f>
        <v>#N/A</v>
      </c>
    </row>
    <row r="5354">
      <c r="A5354" s="3">
        <v>45680.0</v>
      </c>
      <c r="B5354" s="4">
        <v>0.32083333333333336</v>
      </c>
      <c r="C5354" s="5" t="s">
        <v>50</v>
      </c>
      <c r="D5354" s="5" t="s">
        <v>1082</v>
      </c>
      <c r="E5354" s="8" t="s">
        <v>302</v>
      </c>
      <c r="F5354" s="5" t="s">
        <v>303</v>
      </c>
      <c r="G5354" s="6" t="str">
        <f>VLOOKUP(E5354,dicionario!$A$1:$C5753,2,0)</f>
        <v>Machetornis rixosa</v>
      </c>
      <c r="H5354" s="6" t="str">
        <f>VLOOKUP(E5354,dicionario!$A$1:$C5753,3,0)</f>
        <v>suiriri-cavaleiro</v>
      </c>
    </row>
    <row r="5355">
      <c r="A5355" s="3">
        <v>45680.0</v>
      </c>
      <c r="B5355" s="4">
        <v>0.32569444444444445</v>
      </c>
      <c r="C5355" s="5" t="s">
        <v>50</v>
      </c>
      <c r="D5355" s="5" t="s">
        <v>1082</v>
      </c>
      <c r="E5355" s="8" t="s">
        <v>162</v>
      </c>
      <c r="F5355" s="7" t="s">
        <v>42</v>
      </c>
      <c r="G5355" s="6" t="str">
        <f>VLOOKUP(E5355,dicionario!$A$1:$C5754,2,0)</f>
        <v>Fluvicola nengeta</v>
      </c>
      <c r="H5355" s="6" t="str">
        <f>VLOOKUP(E5355,dicionario!$A$1:$C5754,3,0)</f>
        <v>lavadeira-mascarada</v>
      </c>
    </row>
    <row r="5356">
      <c r="A5356" s="3">
        <v>45680.0</v>
      </c>
      <c r="B5356" s="4">
        <v>0.32569444444444445</v>
      </c>
      <c r="C5356" s="5" t="s">
        <v>50</v>
      </c>
      <c r="D5356" s="5" t="s">
        <v>1082</v>
      </c>
      <c r="E5356" s="8" t="s">
        <v>267</v>
      </c>
      <c r="F5356" s="5" t="s">
        <v>553</v>
      </c>
      <c r="G5356" s="6" t="str">
        <f>VLOOKUP(E5356,dicionario!$A$1:$C5755,2,0)</f>
        <v>Solanum americanum</v>
      </c>
      <c r="H5356" s="6" t="str">
        <f>VLOOKUP(E5356,dicionario!$A$1:$C5755,3,0)</f>
        <v>maria-pretinha</v>
      </c>
    </row>
    <row r="5357">
      <c r="A5357" s="3">
        <v>45680.0</v>
      </c>
      <c r="B5357" s="4">
        <v>0.3263888888888889</v>
      </c>
      <c r="C5357" s="5" t="s">
        <v>50</v>
      </c>
      <c r="D5357" s="5" t="s">
        <v>1082</v>
      </c>
      <c r="E5357" s="8" t="s">
        <v>292</v>
      </c>
      <c r="F5357" s="5" t="s">
        <v>293</v>
      </c>
      <c r="G5357" s="6" t="str">
        <f>VLOOKUP(E5357,dicionario!$A$1:$C5756,2,0)</f>
        <v>Ascia monuste</v>
      </c>
      <c r="H5357" s="6" t="str">
        <f>VLOOKUP(E5357,dicionario!$A$1:$C5756,3,0)</f>
        <v>borboleta-da-couve</v>
      </c>
    </row>
    <row r="5358">
      <c r="A5358" s="3">
        <v>45680.0</v>
      </c>
      <c r="B5358" s="4">
        <v>0.32708333333333334</v>
      </c>
      <c r="C5358" s="5" t="s">
        <v>50</v>
      </c>
      <c r="D5358" s="5" t="s">
        <v>1082</v>
      </c>
      <c r="E5358" s="8" t="s">
        <v>792</v>
      </c>
      <c r="F5358" s="5" t="s">
        <v>1014</v>
      </c>
      <c r="G5358" s="6" t="str">
        <f>VLOOKUP(E5358,dicionario!$A$1:$C5757,2,0)</f>
        <v>Musca domestica</v>
      </c>
      <c r="H5358" s="6" t="str">
        <f>VLOOKUP(E5358,dicionario!$A$1:$C5757,3,0)</f>
        <v>mosca-doméstica</v>
      </c>
    </row>
    <row r="5359">
      <c r="A5359" s="3">
        <v>45680.0</v>
      </c>
      <c r="B5359" s="4">
        <v>0.3333333333333333</v>
      </c>
      <c r="C5359" s="5" t="s">
        <v>40</v>
      </c>
      <c r="D5359" s="5" t="s">
        <v>1082</v>
      </c>
      <c r="E5359" s="8" t="s">
        <v>298</v>
      </c>
      <c r="F5359" s="5" t="s">
        <v>739</v>
      </c>
      <c r="G5359" s="6" t="str">
        <f>VLOOKUP(E5359,dicionario!$A$1:$C5758,2,0)</f>
        <v>Alysicarpus vaginalis</v>
      </c>
      <c r="H5359" s="6" t="str">
        <f>VLOOKUP(E5359,dicionario!$A$1:$C5758,3,0)</f>
        <v/>
      </c>
    </row>
    <row r="5360">
      <c r="A5360" s="3">
        <v>45680.0</v>
      </c>
      <c r="B5360" s="4">
        <v>0.33402777777777776</v>
      </c>
      <c r="C5360" s="5" t="s">
        <v>40</v>
      </c>
      <c r="D5360" s="5" t="s">
        <v>1082</v>
      </c>
      <c r="E5360" s="8" t="s">
        <v>517</v>
      </c>
      <c r="F5360" s="7" t="s">
        <v>518</v>
      </c>
      <c r="G5360" s="6" t="str">
        <f>VLOOKUP(E5360,dicionario!$A$1:$C5759,2,0)</f>
        <v>Evolvulus nummularius</v>
      </c>
      <c r="H5360" s="6" t="str">
        <f>VLOOKUP(E5360,dicionario!$A$1:$C5759,3,0)</f>
        <v/>
      </c>
    </row>
    <row r="5361">
      <c r="A5361" s="3">
        <v>45680.0</v>
      </c>
      <c r="B5361" s="4">
        <v>0.33402777777777776</v>
      </c>
      <c r="C5361" s="5" t="s">
        <v>40</v>
      </c>
      <c r="D5361" s="5" t="s">
        <v>1082</v>
      </c>
      <c r="E5361" s="8" t="s">
        <v>247</v>
      </c>
      <c r="F5361" s="7" t="s">
        <v>272</v>
      </c>
      <c r="G5361" s="6" t="str">
        <f>VLOOKUP(E5361,dicionario!$A$1:$C5760,2,0)</f>
        <v>Emilia sonchifolia</v>
      </c>
      <c r="H5361" s="6" t="str">
        <f>VLOOKUP(E5361,dicionario!$A$1:$C5760,3,0)</f>
        <v>serralinha</v>
      </c>
    </row>
    <row r="5362">
      <c r="A5362" s="3">
        <v>45680.0</v>
      </c>
      <c r="B5362" s="4">
        <v>0.33402777777777776</v>
      </c>
      <c r="C5362" s="5" t="s">
        <v>40</v>
      </c>
      <c r="D5362" s="5" t="s">
        <v>1082</v>
      </c>
      <c r="E5362" s="8" t="s">
        <v>247</v>
      </c>
      <c r="F5362" s="5" t="s">
        <v>387</v>
      </c>
      <c r="G5362" s="6" t="str">
        <f>VLOOKUP(E5362,dicionario!$A$1:$C5761,2,0)</f>
        <v>Emilia sonchifolia</v>
      </c>
      <c r="H5362" s="6" t="str">
        <f>VLOOKUP(E5362,dicionario!$A$1:$C5761,3,0)</f>
        <v>serralinha</v>
      </c>
    </row>
    <row r="5363">
      <c r="A5363" s="3">
        <v>45680.0</v>
      </c>
      <c r="B5363" s="4">
        <v>0.33402777777777776</v>
      </c>
      <c r="C5363" s="5" t="s">
        <v>40</v>
      </c>
      <c r="D5363" s="5" t="s">
        <v>1082</v>
      </c>
      <c r="E5363" s="8" t="s">
        <v>20</v>
      </c>
      <c r="F5363" s="7" t="s">
        <v>21</v>
      </c>
      <c r="G5363" s="6" t="str">
        <f>VLOOKUP(E5363,dicionario!$A$1:$C5762,2,0)</f>
        <v>Sicalis flaveola</v>
      </c>
      <c r="H5363" s="6" t="str">
        <f>VLOOKUP(E5363,dicionario!$A$1:$C5762,3,0)</f>
        <v>canário-da-terra</v>
      </c>
    </row>
    <row r="5364">
      <c r="A5364" s="3">
        <v>45680.0</v>
      </c>
      <c r="B5364" s="4">
        <v>0.33402777777777776</v>
      </c>
      <c r="C5364" s="5" t="s">
        <v>40</v>
      </c>
      <c r="D5364" s="5" t="s">
        <v>1082</v>
      </c>
      <c r="E5364" s="8" t="s">
        <v>1036</v>
      </c>
      <c r="F5364" s="5" t="s">
        <v>582</v>
      </c>
      <c r="G5364" s="6" t="str">
        <f>VLOOKUP(E5364,dicionario!$A$1:$C5763,2,0)</f>
        <v>#N/A</v>
      </c>
      <c r="H5364" s="6" t="str">
        <f>VLOOKUP(E5364,dicionario!$A$1:$C5763,3,0)</f>
        <v>#N/A</v>
      </c>
    </row>
    <row r="5365">
      <c r="A5365" s="3">
        <v>45680.0</v>
      </c>
      <c r="B5365" s="4">
        <v>0.33402777777777776</v>
      </c>
      <c r="C5365" s="5" t="s">
        <v>40</v>
      </c>
      <c r="D5365" s="5" t="s">
        <v>1082</v>
      </c>
      <c r="E5365" s="8" t="s">
        <v>886</v>
      </c>
      <c r="F5365" s="5" t="s">
        <v>887</v>
      </c>
      <c r="G5365" s="6" t="str">
        <f>VLOOKUP(E5365,dicionario!$A$1:$C5764,2,0)</f>
        <v>Oldenlandia corymbosa</v>
      </c>
      <c r="H5365" s="6" t="str">
        <f>VLOOKUP(E5365,dicionario!$A$1:$C5764,3,0)</f>
        <v>erva-diamante</v>
      </c>
    </row>
    <row r="5366">
      <c r="A5366" s="3">
        <v>45680.0</v>
      </c>
      <c r="B5366" s="4">
        <v>0.3347222222222222</v>
      </c>
      <c r="C5366" s="5" t="s">
        <v>40</v>
      </c>
      <c r="D5366" s="5" t="s">
        <v>1082</v>
      </c>
      <c r="E5366" s="8" t="s">
        <v>366</v>
      </c>
      <c r="F5366" s="5" t="s">
        <v>367</v>
      </c>
      <c r="G5366" s="6" t="str">
        <f>VLOOKUP(E5366,dicionario!$A$1:$C5765,2,0)</f>
        <v>Alternanthera ficoidea</v>
      </c>
      <c r="H5366" s="6" t="str">
        <f>VLOOKUP(E5366,dicionario!$A$1:$C5765,3,0)</f>
        <v>quebra-panela</v>
      </c>
    </row>
    <row r="5367">
      <c r="A5367" s="3">
        <v>45680.0</v>
      </c>
      <c r="B5367" s="4">
        <v>0.33541666666666664</v>
      </c>
      <c r="C5367" s="5" t="s">
        <v>40</v>
      </c>
      <c r="D5367" s="5" t="s">
        <v>1082</v>
      </c>
      <c r="E5367" s="8" t="s">
        <v>483</v>
      </c>
      <c r="F5367" s="5" t="s">
        <v>289</v>
      </c>
      <c r="G5367" s="6" t="str">
        <f>VLOOKUP(E5367,dicionario!$A$1:$C5766,2,0)</f>
        <v>Euphorbia prostrata</v>
      </c>
      <c r="H5367" s="6" t="str">
        <f>VLOOKUP(E5367,dicionario!$A$1:$C5766,3,0)</f>
        <v>quebra-pedra-rasteira</v>
      </c>
    </row>
    <row r="5368">
      <c r="A5368" s="3">
        <v>45680.0</v>
      </c>
      <c r="B5368" s="4">
        <v>0.33541666666666664</v>
      </c>
      <c r="C5368" s="5" t="s">
        <v>40</v>
      </c>
      <c r="D5368" s="5" t="s">
        <v>1082</v>
      </c>
      <c r="E5368" s="8" t="s">
        <v>465</v>
      </c>
      <c r="F5368" s="5" t="s">
        <v>994</v>
      </c>
      <c r="G5368" s="6" t="str">
        <f>VLOOKUP(E5368,dicionario!$A$1:$C5767,2,0)</f>
        <v>Solanum diphyllum</v>
      </c>
      <c r="H5368" s="6" t="str">
        <f>VLOOKUP(E5368,dicionario!$A$1:$C5767,3,0)</f>
        <v>tomatinho-amarelo</v>
      </c>
    </row>
    <row r="5369">
      <c r="A5369" s="3">
        <v>45680.0</v>
      </c>
      <c r="B5369" s="4">
        <v>0.33541666666666664</v>
      </c>
      <c r="C5369" s="5" t="s">
        <v>40</v>
      </c>
      <c r="D5369" s="5" t="s">
        <v>1082</v>
      </c>
      <c r="E5369" s="8" t="s">
        <v>48</v>
      </c>
      <c r="F5369" s="5" t="s">
        <v>49</v>
      </c>
      <c r="G5369" s="6" t="str">
        <f>VLOOKUP(E5369,dicionario!$A$1:$C5768,2,0)</f>
        <v>Commelina erecta</v>
      </c>
      <c r="H5369" s="6" t="str">
        <f>VLOOKUP(E5369,dicionario!$A$1:$C5768,3,0)</f>
        <v>trapoeraba</v>
      </c>
    </row>
    <row r="5370">
      <c r="A5370" s="3">
        <v>45680.0</v>
      </c>
      <c r="B5370" s="4">
        <v>0.33541666666666664</v>
      </c>
      <c r="C5370" s="5" t="s">
        <v>40</v>
      </c>
      <c r="D5370" s="5" t="s">
        <v>1082</v>
      </c>
      <c r="E5370" s="8" t="s">
        <v>1087</v>
      </c>
      <c r="F5370" s="5" t="s">
        <v>1088</v>
      </c>
      <c r="G5370" s="6" t="str">
        <f>VLOOKUP(E5370,dicionario!$A$1:$C5769,2,0)</f>
        <v>Desmodium triflorum</v>
      </c>
      <c r="H5370" s="6" t="str">
        <f>VLOOKUP(E5370,dicionario!$A$1:$C5769,3,0)</f>
        <v/>
      </c>
    </row>
    <row r="5371">
      <c r="A5371" s="3">
        <v>45680.0</v>
      </c>
      <c r="B5371" s="4">
        <v>0.33541666666666664</v>
      </c>
      <c r="C5371" s="5" t="s">
        <v>40</v>
      </c>
      <c r="D5371" s="5" t="s">
        <v>1082</v>
      </c>
      <c r="E5371" s="8" t="s">
        <v>141</v>
      </c>
      <c r="F5371" s="5" t="s">
        <v>142</v>
      </c>
      <c r="G5371" s="6" t="str">
        <f>VLOOKUP(E5371,dicionario!$A$1:$C5770,2,0)</f>
        <v>Ruellia blechum</v>
      </c>
      <c r="H5371" s="6" t="str">
        <f>VLOOKUP(E5371,dicionario!$A$1:$C5770,3,0)</f>
        <v>camarão-verde</v>
      </c>
    </row>
    <row r="5372">
      <c r="A5372" s="3">
        <v>45680.0</v>
      </c>
      <c r="B5372" s="4">
        <v>0.33611111111111114</v>
      </c>
      <c r="C5372" s="5" t="s">
        <v>40</v>
      </c>
      <c r="D5372" s="5" t="s">
        <v>1082</v>
      </c>
      <c r="E5372" s="8" t="s">
        <v>298</v>
      </c>
      <c r="F5372" s="5" t="s">
        <v>739</v>
      </c>
      <c r="G5372" s="6" t="str">
        <f>VLOOKUP(E5372,dicionario!$A$1:$C5771,2,0)</f>
        <v>Alysicarpus vaginalis</v>
      </c>
      <c r="H5372" s="6" t="str">
        <f>VLOOKUP(E5372,dicionario!$A$1:$C5771,3,0)</f>
        <v/>
      </c>
    </row>
    <row r="5373">
      <c r="A5373" s="3">
        <v>45680.0</v>
      </c>
      <c r="B5373" s="4">
        <v>0.33611111111111114</v>
      </c>
      <c r="C5373" s="5" t="s">
        <v>40</v>
      </c>
      <c r="D5373" s="5" t="s">
        <v>1082</v>
      </c>
      <c r="E5373" s="8" t="s">
        <v>150</v>
      </c>
      <c r="F5373" s="5" t="s">
        <v>151</v>
      </c>
      <c r="G5373" s="6" t="str">
        <f>VLOOKUP(E5373,dicionario!$A$1:$C5772,2,0)</f>
        <v>Amaranthus viridis</v>
      </c>
      <c r="H5373" s="6" t="str">
        <f>VLOOKUP(E5373,dicionario!$A$1:$C5772,3,0)</f>
        <v>caruru-de-mancha</v>
      </c>
    </row>
    <row r="5374">
      <c r="A5374" s="3">
        <v>45680.0</v>
      </c>
      <c r="B5374" s="4">
        <v>0.33611111111111114</v>
      </c>
      <c r="C5374" s="5" t="s">
        <v>40</v>
      </c>
      <c r="D5374" s="5" t="s">
        <v>1082</v>
      </c>
      <c r="E5374" s="8" t="s">
        <v>471</v>
      </c>
      <c r="F5374" s="5" t="s">
        <v>472</v>
      </c>
      <c r="G5374" s="6" t="str">
        <f>VLOOKUP(E5374,dicionario!$A$1:$C5773,2,0)</f>
        <v>Sida acuta</v>
      </c>
      <c r="H5374" s="6" t="str">
        <f>VLOOKUP(E5374,dicionario!$A$1:$C5773,3,0)</f>
        <v>reloginho</v>
      </c>
    </row>
    <row r="5375">
      <c r="A5375" s="3">
        <v>45680.0</v>
      </c>
      <c r="B5375" s="4">
        <v>0.33611111111111114</v>
      </c>
      <c r="C5375" s="5" t="s">
        <v>40</v>
      </c>
      <c r="D5375" s="5" t="s">
        <v>1082</v>
      </c>
      <c r="E5375" s="8" t="s">
        <v>286</v>
      </c>
      <c r="F5375" s="5" t="s">
        <v>287</v>
      </c>
      <c r="G5375" s="6" t="str">
        <f>VLOOKUP(E5375,dicionario!$A$1:$C5774,2,0)</f>
        <v>Setaria parviflora</v>
      </c>
      <c r="H5375" s="6" t="str">
        <f>VLOOKUP(E5375,dicionario!$A$1:$C5774,3,0)</f>
        <v>capim-rabo-de-raposa</v>
      </c>
    </row>
    <row r="5376">
      <c r="A5376" s="3">
        <v>45680.0</v>
      </c>
      <c r="B5376" s="4">
        <v>0.33611111111111114</v>
      </c>
      <c r="C5376" s="5" t="s">
        <v>40</v>
      </c>
      <c r="D5376" s="5" t="s">
        <v>1082</v>
      </c>
      <c r="E5376" s="8" t="s">
        <v>225</v>
      </c>
      <c r="F5376" s="5" t="s">
        <v>226</v>
      </c>
      <c r="G5376" s="6" t="str">
        <f>VLOOKUP(E5376,dicionario!$A$1:$C5775,2,0)</f>
        <v>Passer domesticus</v>
      </c>
      <c r="H5376" s="6" t="str">
        <f>VLOOKUP(E5376,dicionario!$A$1:$C5775,3,0)</f>
        <v>pardal</v>
      </c>
    </row>
    <row r="5377">
      <c r="A5377" s="3">
        <v>45680.0</v>
      </c>
      <c r="B5377" s="4">
        <v>0.33611111111111114</v>
      </c>
      <c r="C5377" s="5" t="s">
        <v>40</v>
      </c>
      <c r="D5377" s="5" t="s">
        <v>1082</v>
      </c>
      <c r="E5377" s="8" t="s">
        <v>113</v>
      </c>
      <c r="F5377" s="5" t="s">
        <v>114</v>
      </c>
      <c r="G5377" s="6" t="str">
        <f>VLOOKUP(E5377,dicionario!$A$1:$C5776,2,0)</f>
        <v>Columbina talpacoti</v>
      </c>
      <c r="H5377" s="6" t="str">
        <f>VLOOKUP(E5377,dicionario!$A$1:$C5776,3,0)</f>
        <v>rolinha-roxa</v>
      </c>
    </row>
    <row r="5378">
      <c r="A5378" s="3">
        <v>45680.0</v>
      </c>
      <c r="B5378" s="4">
        <v>0.33611111111111114</v>
      </c>
      <c r="C5378" s="5" t="s">
        <v>40</v>
      </c>
      <c r="D5378" s="5" t="s">
        <v>1082</v>
      </c>
      <c r="E5378" s="8" t="s">
        <v>302</v>
      </c>
      <c r="F5378" s="5" t="s">
        <v>89</v>
      </c>
      <c r="G5378" s="6" t="str">
        <f>VLOOKUP(E5378,dicionario!$A$1:$C5777,2,0)</f>
        <v>Machetornis rixosa</v>
      </c>
      <c r="H5378" s="6" t="str">
        <f>VLOOKUP(E5378,dicionario!$A$1:$C5777,3,0)</f>
        <v>suiriri-cavaleiro</v>
      </c>
    </row>
    <row r="5379">
      <c r="A5379" s="3">
        <v>45680.0</v>
      </c>
      <c r="B5379" s="4">
        <v>0.33611111111111114</v>
      </c>
      <c r="C5379" s="5" t="s">
        <v>40</v>
      </c>
      <c r="D5379" s="5" t="s">
        <v>1082</v>
      </c>
      <c r="E5379" s="8" t="s">
        <v>566</v>
      </c>
      <c r="F5379" s="5" t="s">
        <v>567</v>
      </c>
      <c r="G5379" s="6" t="str">
        <f>VLOOKUP(E5379,dicionario!$A$1:$C5778,2,0)</f>
        <v>Baccharis dracunculifolia</v>
      </c>
      <c r="H5379" s="6" t="str">
        <f>VLOOKUP(E5379,dicionario!$A$1:$C5778,3,0)</f>
        <v>vassoura</v>
      </c>
    </row>
    <row r="5380">
      <c r="A5380" s="3">
        <v>45680.0</v>
      </c>
      <c r="B5380" s="4">
        <v>0.3368055555555556</v>
      </c>
      <c r="C5380" s="5" t="s">
        <v>40</v>
      </c>
      <c r="D5380" s="5" t="s">
        <v>1082</v>
      </c>
      <c r="E5380" s="8" t="s">
        <v>265</v>
      </c>
      <c r="F5380" s="5" t="s">
        <v>266</v>
      </c>
      <c r="G5380" s="6" t="str">
        <f>VLOOKUP(E5380,dicionario!$A$1:$C5779,2,0)</f>
        <v>Sonchus oleraceus</v>
      </c>
      <c r="H5380" s="6" t="str">
        <f>VLOOKUP(E5380,dicionario!$A$1:$C5779,3,0)</f>
        <v>seralha</v>
      </c>
    </row>
    <row r="5381">
      <c r="A5381" s="3">
        <v>45680.0</v>
      </c>
      <c r="B5381" s="4">
        <v>0.3368055555555556</v>
      </c>
      <c r="C5381" s="5" t="s">
        <v>40</v>
      </c>
      <c r="D5381" s="5" t="s">
        <v>1082</v>
      </c>
      <c r="E5381" s="8" t="s">
        <v>154</v>
      </c>
      <c r="F5381" s="5" t="s">
        <v>155</v>
      </c>
      <c r="G5381" s="6" t="str">
        <f>VLOOKUP(E5381,dicionario!$A$1:$C5780,2,0)</f>
        <v>Cyperus rotundus</v>
      </c>
      <c r="H5381" s="6" t="str">
        <f>VLOOKUP(E5381,dicionario!$A$1:$C5780,3,0)</f>
        <v>tiririca</v>
      </c>
    </row>
    <row r="5382">
      <c r="A5382" s="3">
        <v>45680.0</v>
      </c>
      <c r="B5382" s="4">
        <v>0.3375</v>
      </c>
      <c r="C5382" s="5" t="s">
        <v>40</v>
      </c>
      <c r="D5382" s="5" t="s">
        <v>1082</v>
      </c>
      <c r="E5382" s="6" t="s">
        <v>256</v>
      </c>
      <c r="F5382" s="5" t="s">
        <v>257</v>
      </c>
      <c r="G5382" s="6" t="str">
        <f>VLOOKUP(E5382,dicionario!$A$1:$C5781,2,0)</f>
        <v>Youngia japonica</v>
      </c>
      <c r="H5382" s="6" t="str">
        <f>VLOOKUP(E5382,dicionario!$A$1:$C5781,3,0)</f>
        <v>barba-de-falcão</v>
      </c>
    </row>
    <row r="5383">
      <c r="A5383" s="3">
        <v>45680.0</v>
      </c>
      <c r="B5383" s="4">
        <v>0.3375</v>
      </c>
      <c r="C5383" s="5" t="s">
        <v>40</v>
      </c>
      <c r="D5383" s="5" t="s">
        <v>1082</v>
      </c>
      <c r="E5383" s="8" t="s">
        <v>1123</v>
      </c>
      <c r="F5383" s="5" t="s">
        <v>737</v>
      </c>
      <c r="G5383" s="6" t="str">
        <f>VLOOKUP(E5383,dicionario!$A$1:$C5782,2,0)</f>
        <v>#N/A</v>
      </c>
      <c r="H5383" s="6" t="str">
        <f>VLOOKUP(E5383,dicionario!$A$1:$C5782,3,0)</f>
        <v>#N/A</v>
      </c>
    </row>
    <row r="5384">
      <c r="A5384" s="3">
        <v>45680.0</v>
      </c>
      <c r="B5384" s="4">
        <v>0.33819444444444446</v>
      </c>
      <c r="C5384" s="5" t="s">
        <v>33</v>
      </c>
      <c r="D5384" s="5" t="s">
        <v>1082</v>
      </c>
      <c r="E5384" s="8" t="s">
        <v>53</v>
      </c>
      <c r="F5384" s="7" t="s">
        <v>54</v>
      </c>
      <c r="G5384" s="6" t="str">
        <f>VLOOKUP(E5384,dicionario!$A$1:$C5783,2,0)</f>
        <v>Turnera subulata</v>
      </c>
      <c r="H5384" s="6" t="str">
        <f>VLOOKUP(E5384,dicionario!$A$1:$C5783,3,0)</f>
        <v>xanana</v>
      </c>
    </row>
    <row r="5385">
      <c r="A5385" s="3">
        <v>45680.0</v>
      </c>
      <c r="B5385" s="4">
        <v>0.33819444444444446</v>
      </c>
      <c r="C5385" s="5" t="s">
        <v>33</v>
      </c>
      <c r="D5385" s="5" t="s">
        <v>1082</v>
      </c>
      <c r="E5385" s="8" t="s">
        <v>154</v>
      </c>
      <c r="F5385" s="5" t="s">
        <v>155</v>
      </c>
      <c r="G5385" s="6" t="str">
        <f>VLOOKUP(E5385,dicionario!$A$1:$C5784,2,0)</f>
        <v>Cyperus rotundus</v>
      </c>
      <c r="H5385" s="6" t="str">
        <f>VLOOKUP(E5385,dicionario!$A$1:$C5784,3,0)</f>
        <v>tiririca</v>
      </c>
    </row>
    <row r="5386">
      <c r="A5386" s="3">
        <v>45680.0</v>
      </c>
      <c r="B5386" s="4">
        <v>0.3388888888888889</v>
      </c>
      <c r="C5386" s="5" t="s">
        <v>33</v>
      </c>
      <c r="D5386" s="5" t="s">
        <v>1082</v>
      </c>
      <c r="E5386" s="8" t="s">
        <v>298</v>
      </c>
      <c r="F5386" s="5" t="s">
        <v>739</v>
      </c>
      <c r="G5386" s="6" t="str">
        <f>VLOOKUP(E5386,dicionario!$A$1:$C5785,2,0)</f>
        <v>Alysicarpus vaginalis</v>
      </c>
      <c r="H5386" s="6" t="str">
        <f>VLOOKUP(E5386,dicionario!$A$1:$C5785,3,0)</f>
        <v/>
      </c>
    </row>
    <row r="5387">
      <c r="A5387" s="3">
        <v>45680.0</v>
      </c>
      <c r="B5387" s="4">
        <v>0.3388888888888889</v>
      </c>
      <c r="C5387" s="5" t="s">
        <v>33</v>
      </c>
      <c r="D5387" s="5" t="s">
        <v>1082</v>
      </c>
      <c r="E5387" s="20" t="s">
        <v>676</v>
      </c>
      <c r="F5387" s="5" t="s">
        <v>1124</v>
      </c>
      <c r="G5387" s="6" t="str">
        <f>VLOOKUP(E5387,dicionario!$A$1:$C5786,2,0)</f>
        <v>Zornia latifolia</v>
      </c>
      <c r="H5387" s="6" t="str">
        <f>VLOOKUP(E5387,dicionario!$A$1:$C5786,3,0)</f>
        <v>arrozinho-do-campo</v>
      </c>
    </row>
    <row r="5388">
      <c r="A5388" s="3">
        <v>45680.0</v>
      </c>
      <c r="B5388" s="4">
        <v>0.33958333333333335</v>
      </c>
      <c r="C5388" s="5" t="s">
        <v>33</v>
      </c>
      <c r="D5388" s="5" t="s">
        <v>1082</v>
      </c>
      <c r="E5388" s="8" t="s">
        <v>14</v>
      </c>
      <c r="F5388" s="5" t="s">
        <v>15</v>
      </c>
      <c r="G5388" s="6" t="str">
        <f>VLOOKUP(E5388,dicionario!$A$1:$C5787,2,0)</f>
        <v>Spermacoce verticillata</v>
      </c>
      <c r="H5388" s="6" t="str">
        <f>VLOOKUP(E5388,dicionario!$A$1:$C5787,3,0)</f>
        <v>vassourinha-de-botão</v>
      </c>
    </row>
    <row r="5389">
      <c r="A5389" s="3">
        <v>45680.0</v>
      </c>
      <c r="B5389" s="4">
        <v>0.33958333333333335</v>
      </c>
      <c r="C5389" s="5" t="s">
        <v>33</v>
      </c>
      <c r="D5389" s="5" t="s">
        <v>1082</v>
      </c>
      <c r="E5389" s="8" t="s">
        <v>258</v>
      </c>
      <c r="F5389" s="5" t="s">
        <v>259</v>
      </c>
      <c r="G5389" s="6" t="str">
        <f>VLOOKUP(E5389,dicionario!$A$1:$C5788,2,0)</f>
        <v>Lantana camara</v>
      </c>
      <c r="H5389" s="6" t="str">
        <f>VLOOKUP(E5389,dicionario!$A$1:$C5788,3,0)</f>
        <v>lantana</v>
      </c>
    </row>
    <row r="5390">
      <c r="A5390" s="3">
        <v>45680.0</v>
      </c>
      <c r="B5390" s="4">
        <v>0.33958333333333335</v>
      </c>
      <c r="C5390" s="5" t="s">
        <v>33</v>
      </c>
      <c r="D5390" s="5" t="s">
        <v>1082</v>
      </c>
      <c r="E5390" s="8" t="s">
        <v>471</v>
      </c>
      <c r="F5390" s="5" t="s">
        <v>472</v>
      </c>
      <c r="G5390" s="6" t="str">
        <f>VLOOKUP(E5390,dicionario!$A$1:$C5789,2,0)</f>
        <v>Sida acuta</v>
      </c>
      <c r="H5390" s="6" t="str">
        <f>VLOOKUP(E5390,dicionario!$A$1:$C5789,3,0)</f>
        <v>reloginho</v>
      </c>
    </row>
    <row r="5391">
      <c r="A5391" s="3">
        <v>45680.0</v>
      </c>
      <c r="B5391" s="4">
        <v>0.33958333333333335</v>
      </c>
      <c r="C5391" s="5" t="s">
        <v>33</v>
      </c>
      <c r="D5391" s="5" t="s">
        <v>1082</v>
      </c>
      <c r="E5391" s="8" t="s">
        <v>109</v>
      </c>
      <c r="F5391" s="5" t="s">
        <v>110</v>
      </c>
      <c r="G5391" s="6" t="str">
        <f>VLOOKUP(E5391,dicionario!$A$1:$C5790,2,0)</f>
        <v>Tillandsia stricta</v>
      </c>
      <c r="H5391" s="6" t="str">
        <f>VLOOKUP(E5391,dicionario!$A$1:$C5790,3,0)</f>
        <v>cravo-do-mato</v>
      </c>
    </row>
    <row r="5392">
      <c r="A5392" s="3">
        <v>45680.0</v>
      </c>
      <c r="B5392" s="4">
        <v>0.3402777777777778</v>
      </c>
      <c r="C5392" s="5" t="s">
        <v>33</v>
      </c>
      <c r="D5392" s="5" t="s">
        <v>1082</v>
      </c>
      <c r="E5392" s="8" t="s">
        <v>251</v>
      </c>
      <c r="F5392" s="5" t="s">
        <v>252</v>
      </c>
      <c r="G5392" s="6" t="str">
        <f>VLOOKUP(E5392,dicionario!$A$1:$C5791,2,0)</f>
        <v>Struthanthus flexicaulis</v>
      </c>
      <c r="H5392" s="6" t="str">
        <f>VLOOKUP(E5392,dicionario!$A$1:$C5791,3,0)</f>
        <v>erva-de-passarinho</v>
      </c>
    </row>
    <row r="5393">
      <c r="A5393" s="3">
        <v>45680.0</v>
      </c>
      <c r="B5393" s="4">
        <v>0.3402777777777778</v>
      </c>
      <c r="C5393" s="5" t="s">
        <v>33</v>
      </c>
      <c r="D5393" s="5" t="s">
        <v>1082</v>
      </c>
      <c r="E5393" s="8" t="s">
        <v>225</v>
      </c>
      <c r="F5393" s="5" t="s">
        <v>226</v>
      </c>
      <c r="G5393" s="6" t="str">
        <f>VLOOKUP(E5393,dicionario!$A$1:$C5792,2,0)</f>
        <v>Passer domesticus</v>
      </c>
      <c r="H5393" s="6" t="str">
        <f>VLOOKUP(E5393,dicionario!$A$1:$C5792,3,0)</f>
        <v>pardal</v>
      </c>
    </row>
    <row r="5394">
      <c r="A5394" s="3">
        <v>45680.0</v>
      </c>
      <c r="B5394" s="4">
        <v>0.3402777777777778</v>
      </c>
      <c r="C5394" s="5" t="s">
        <v>33</v>
      </c>
      <c r="D5394" s="5" t="s">
        <v>1082</v>
      </c>
      <c r="E5394" s="8" t="s">
        <v>20</v>
      </c>
      <c r="F5394" s="7" t="s">
        <v>21</v>
      </c>
      <c r="G5394" s="6" t="str">
        <f>VLOOKUP(E5394,dicionario!$A$1:$C5793,2,0)</f>
        <v>Sicalis flaveola</v>
      </c>
      <c r="H5394" s="6" t="str">
        <f>VLOOKUP(E5394,dicionario!$A$1:$C5793,3,0)</f>
        <v>canário-da-terra</v>
      </c>
    </row>
    <row r="5395">
      <c r="A5395" s="3">
        <v>45680.0</v>
      </c>
      <c r="B5395" s="4">
        <v>0.3402777777777778</v>
      </c>
      <c r="C5395" s="5" t="s">
        <v>33</v>
      </c>
      <c r="D5395" s="5" t="s">
        <v>1082</v>
      </c>
      <c r="E5395" s="8" t="s">
        <v>483</v>
      </c>
      <c r="F5395" s="5" t="s">
        <v>289</v>
      </c>
      <c r="G5395" s="6" t="str">
        <f>VLOOKUP(E5395,dicionario!$A$1:$C5794,2,0)</f>
        <v>Euphorbia prostrata</v>
      </c>
      <c r="H5395" s="6" t="str">
        <f>VLOOKUP(E5395,dicionario!$A$1:$C5794,3,0)</f>
        <v>quebra-pedra-rasteira</v>
      </c>
    </row>
    <row r="5396">
      <c r="A5396" s="3">
        <v>45680.0</v>
      </c>
      <c r="B5396" s="4">
        <v>0.3402777777777778</v>
      </c>
      <c r="C5396" s="5" t="s">
        <v>33</v>
      </c>
      <c r="D5396" s="5" t="s">
        <v>1082</v>
      </c>
      <c r="E5396" s="8" t="s">
        <v>65</v>
      </c>
      <c r="F5396" s="5" t="s">
        <v>66</v>
      </c>
      <c r="G5396" s="6" t="str">
        <f>VLOOKUP(E5396,dicionario!$A$1:$C5795,2,0)</f>
        <v>Pitangus sulphutarus</v>
      </c>
      <c r="H5396" s="6" t="str">
        <f>VLOOKUP(E5396,dicionario!$A$1:$C5795,3,0)</f>
        <v>bem-te-vi</v>
      </c>
    </row>
    <row r="5397">
      <c r="A5397" s="3">
        <v>45680.0</v>
      </c>
      <c r="B5397" s="4">
        <v>0.3402777777777778</v>
      </c>
      <c r="C5397" s="5" t="s">
        <v>33</v>
      </c>
      <c r="D5397" s="5" t="s">
        <v>1082</v>
      </c>
      <c r="E5397" s="8" t="s">
        <v>247</v>
      </c>
      <c r="F5397" s="7" t="s">
        <v>272</v>
      </c>
      <c r="G5397" s="6" t="str">
        <f>VLOOKUP(E5397,dicionario!$A$1:$C5796,2,0)</f>
        <v>Emilia sonchifolia</v>
      </c>
      <c r="H5397" s="6" t="str">
        <f>VLOOKUP(E5397,dicionario!$A$1:$C5796,3,0)</f>
        <v>serralinha</v>
      </c>
    </row>
    <row r="5398">
      <c r="A5398" s="3">
        <v>45680.0</v>
      </c>
      <c r="B5398" s="4">
        <v>0.34097222222222223</v>
      </c>
      <c r="C5398" s="5" t="s">
        <v>33</v>
      </c>
      <c r="D5398" s="5" t="s">
        <v>1082</v>
      </c>
      <c r="E5398" s="8" t="s">
        <v>566</v>
      </c>
      <c r="F5398" s="5" t="s">
        <v>567</v>
      </c>
      <c r="G5398" s="6" t="str">
        <f>VLOOKUP(E5398,dicionario!$A$1:$C5797,2,0)</f>
        <v>Baccharis dracunculifolia</v>
      </c>
      <c r="H5398" s="6" t="str">
        <f>VLOOKUP(E5398,dicionario!$A$1:$C5797,3,0)</f>
        <v>vassoura</v>
      </c>
    </row>
    <row r="5399">
      <c r="A5399" s="3">
        <v>45680.0</v>
      </c>
      <c r="B5399" s="4">
        <v>0.34097222222222223</v>
      </c>
      <c r="C5399" s="5" t="s">
        <v>33</v>
      </c>
      <c r="D5399" s="5" t="s">
        <v>1082</v>
      </c>
      <c r="E5399" s="8" t="s">
        <v>38</v>
      </c>
      <c r="F5399" s="5" t="s">
        <v>39</v>
      </c>
      <c r="G5399" s="6" t="str">
        <f>VLOOKUP(E5399,dicionario!$A$1:$C5798,2,0)</f>
        <v>Troglodytes musculus</v>
      </c>
      <c r="H5399" s="6" t="str">
        <f>VLOOKUP(E5399,dicionario!$A$1:$C5798,3,0)</f>
        <v>curruíra</v>
      </c>
    </row>
    <row r="5400">
      <c r="A5400" s="3">
        <v>45680.0</v>
      </c>
      <c r="B5400" s="4">
        <v>0.3416666666666667</v>
      </c>
      <c r="C5400" s="5" t="s">
        <v>33</v>
      </c>
      <c r="D5400" s="5" t="s">
        <v>1082</v>
      </c>
      <c r="E5400" s="8" t="s">
        <v>120</v>
      </c>
      <c r="F5400" s="5" t="s">
        <v>121</v>
      </c>
      <c r="G5400" s="6" t="str">
        <f>VLOOKUP(E5400,dicionario!$A$1:$C5799,2,0)</f>
        <v>#N/A</v>
      </c>
      <c r="H5400" s="6" t="str">
        <f>VLOOKUP(E5400,dicionario!$A$1:$C5799,3,0)</f>
        <v>#N/A</v>
      </c>
    </row>
    <row r="5401">
      <c r="A5401" s="3">
        <v>45680.0</v>
      </c>
      <c r="B5401" s="4">
        <v>0.3416666666666667</v>
      </c>
      <c r="C5401" s="5" t="s">
        <v>33</v>
      </c>
      <c r="D5401" s="5" t="s">
        <v>1082</v>
      </c>
      <c r="E5401" s="8" t="s">
        <v>401</v>
      </c>
      <c r="F5401" s="5" t="s">
        <v>464</v>
      </c>
      <c r="G5401" s="6" t="str">
        <f>VLOOKUP(E5401,dicionario!$A$1:$C5800,2,0)</f>
        <v>Cissus verticillata</v>
      </c>
      <c r="H5401" s="6" t="str">
        <f>VLOOKUP(E5401,dicionario!$A$1:$C5800,3,0)</f>
        <v>uva-do-mato</v>
      </c>
    </row>
    <row r="5402">
      <c r="A5402" s="3">
        <v>45680.0</v>
      </c>
      <c r="B5402" s="4">
        <v>0.3416666666666667</v>
      </c>
      <c r="C5402" s="5" t="s">
        <v>33</v>
      </c>
      <c r="D5402" s="5" t="s">
        <v>1082</v>
      </c>
      <c r="E5402" s="8" t="s">
        <v>517</v>
      </c>
      <c r="F5402" s="7" t="s">
        <v>518</v>
      </c>
      <c r="G5402" s="6" t="str">
        <f>VLOOKUP(E5402,dicionario!$A$1:$C5801,2,0)</f>
        <v>Evolvulus nummularius</v>
      </c>
      <c r="H5402" s="6" t="str">
        <f>VLOOKUP(E5402,dicionario!$A$1:$C5801,3,0)</f>
        <v/>
      </c>
    </row>
    <row r="5403">
      <c r="A5403" s="3">
        <v>45680.0</v>
      </c>
      <c r="B5403" s="4">
        <v>0.34305555555555556</v>
      </c>
      <c r="C5403" s="5" t="s">
        <v>33</v>
      </c>
      <c r="D5403" s="5" t="s">
        <v>1082</v>
      </c>
      <c r="E5403" s="8" t="s">
        <v>122</v>
      </c>
      <c r="F5403" s="7" t="s">
        <v>123</v>
      </c>
      <c r="G5403" s="6" t="str">
        <f>VLOOKUP(E5403,dicionario!$A$1:$C5802,2,0)</f>
        <v>Todirostrum cinereum</v>
      </c>
      <c r="H5403" s="6" t="str">
        <f>VLOOKUP(E5403,dicionario!$A$1:$C5802,3,0)</f>
        <v>ferreirinho-relógio</v>
      </c>
    </row>
    <row r="5404">
      <c r="A5404" s="3">
        <v>45680.0</v>
      </c>
      <c r="B5404" s="4">
        <v>0.34375</v>
      </c>
      <c r="C5404" s="5" t="s">
        <v>33</v>
      </c>
      <c r="D5404" s="5" t="s">
        <v>1082</v>
      </c>
      <c r="E5404" s="8" t="s">
        <v>51</v>
      </c>
      <c r="F5404" s="5" t="s">
        <v>77</v>
      </c>
      <c r="G5404" s="6" t="str">
        <f>VLOOKUP(E5404,dicionario!$A$1:$C5803,2,0)</f>
        <v>Solenopsis</v>
      </c>
      <c r="H5404" s="6" t="str">
        <f>VLOOKUP(E5404,dicionario!$A$1:$C5803,3,0)</f>
        <v>formiga-quente; formiga-lava-pés; formiga-de-fogo</v>
      </c>
    </row>
    <row r="5405">
      <c r="A5405" s="3">
        <v>45680.0</v>
      </c>
      <c r="B5405" s="4">
        <v>0.34444444444444444</v>
      </c>
      <c r="C5405" s="5" t="s">
        <v>33</v>
      </c>
      <c r="D5405" s="5" t="s">
        <v>1082</v>
      </c>
      <c r="E5405" s="8" t="s">
        <v>378</v>
      </c>
      <c r="F5405" s="5" t="s">
        <v>205</v>
      </c>
      <c r="G5405" s="6" t="str">
        <f>VLOOKUP(E5405,dicionario!$A$1:$C5804,2,0)</f>
        <v>Polistes</v>
      </c>
      <c r="H5405" s="6" t="str">
        <f>VLOOKUP(E5405,dicionario!$A$1:$C5804,3,0)</f>
        <v>marimbondo</v>
      </c>
    </row>
    <row r="5406">
      <c r="A5406" s="3">
        <v>45680.0</v>
      </c>
      <c r="B5406" s="4">
        <v>0.3451388888888889</v>
      </c>
      <c r="C5406" s="5" t="s">
        <v>26</v>
      </c>
      <c r="D5406" s="5" t="s">
        <v>1082</v>
      </c>
      <c r="E5406" s="8" t="s">
        <v>60</v>
      </c>
      <c r="F5406" s="5" t="s">
        <v>61</v>
      </c>
      <c r="G5406" s="6" t="str">
        <f>VLOOKUP(E5406,dicionario!$A$1:$C5805,2,0)</f>
        <v>Vanellus chilensis</v>
      </c>
      <c r="H5406" s="6" t="str">
        <f>VLOOKUP(E5406,dicionario!$A$1:$C5805,3,0)</f>
        <v>quero-quero</v>
      </c>
    </row>
    <row r="5407">
      <c r="A5407" s="3">
        <v>45680.0</v>
      </c>
      <c r="B5407" s="4">
        <v>0.3451388888888889</v>
      </c>
      <c r="C5407" s="5" t="s">
        <v>26</v>
      </c>
      <c r="D5407" s="5" t="s">
        <v>1082</v>
      </c>
      <c r="E5407" s="8" t="s">
        <v>38</v>
      </c>
      <c r="F5407" s="5" t="s">
        <v>39</v>
      </c>
      <c r="G5407" s="6" t="str">
        <f>VLOOKUP(E5407,dicionario!$A$1:$C5806,2,0)</f>
        <v>Troglodytes musculus</v>
      </c>
      <c r="H5407" s="6" t="str">
        <f>VLOOKUP(E5407,dicionario!$A$1:$C5806,3,0)</f>
        <v>curruíra</v>
      </c>
    </row>
    <row r="5408">
      <c r="A5408" s="3">
        <v>45680.0</v>
      </c>
      <c r="B5408" s="4">
        <v>0.3451388888888889</v>
      </c>
      <c r="C5408" s="5" t="s">
        <v>26</v>
      </c>
      <c r="D5408" s="5" t="s">
        <v>1082</v>
      </c>
      <c r="E5408" s="8" t="s">
        <v>109</v>
      </c>
      <c r="F5408" s="5" t="s">
        <v>110</v>
      </c>
      <c r="G5408" s="6" t="str">
        <f>VLOOKUP(E5408,dicionario!$A$1:$C5807,2,0)</f>
        <v>Tillandsia stricta</v>
      </c>
      <c r="H5408" s="6" t="str">
        <f>VLOOKUP(E5408,dicionario!$A$1:$C5807,3,0)</f>
        <v>cravo-do-mato</v>
      </c>
    </row>
    <row r="5409">
      <c r="A5409" s="3">
        <v>45680.0</v>
      </c>
      <c r="B5409" s="4">
        <v>0.3451388888888889</v>
      </c>
      <c r="C5409" s="5" t="s">
        <v>26</v>
      </c>
      <c r="D5409" s="5" t="s">
        <v>1082</v>
      </c>
      <c r="E5409" s="8" t="s">
        <v>111</v>
      </c>
      <c r="F5409" s="7" t="s">
        <v>112</v>
      </c>
      <c r="G5409" s="6" t="str">
        <f>VLOOKUP(E5409,dicionario!$A$1:$C5808,2,0)</f>
        <v>Trigona spinipes</v>
      </c>
      <c r="H5409" s="6" t="str">
        <f>VLOOKUP(E5409,dicionario!$A$1:$C5808,3,0)</f>
        <v>abelha-cachorro</v>
      </c>
    </row>
    <row r="5410">
      <c r="A5410" s="3">
        <v>45680.0</v>
      </c>
      <c r="B5410" s="4">
        <v>0.3458333333333333</v>
      </c>
      <c r="C5410" s="5" t="s">
        <v>26</v>
      </c>
      <c r="D5410" s="5" t="s">
        <v>1082</v>
      </c>
      <c r="E5410" s="8" t="s">
        <v>217</v>
      </c>
      <c r="F5410" s="5" t="s">
        <v>218</v>
      </c>
      <c r="G5410" s="6" t="str">
        <f>VLOOKUP(E5410,dicionario!$A$1:$C5809,2,0)</f>
        <v>Athene cunicularia</v>
      </c>
      <c r="H5410" s="6" t="str">
        <f>VLOOKUP(E5410,dicionario!$A$1:$C5809,3,0)</f>
        <v>coruja-buraqueira</v>
      </c>
    </row>
    <row r="5411">
      <c r="A5411" s="3">
        <v>45680.0</v>
      </c>
      <c r="B5411" s="4">
        <v>0.3458333333333333</v>
      </c>
      <c r="C5411" s="5" t="s">
        <v>26</v>
      </c>
      <c r="D5411" s="5" t="s">
        <v>1082</v>
      </c>
      <c r="E5411" s="20" t="s">
        <v>676</v>
      </c>
      <c r="F5411" s="7" t="s">
        <v>677</v>
      </c>
      <c r="G5411" s="6" t="str">
        <f>VLOOKUP(E5411,dicionario!$A$1:$C5810,2,0)</f>
        <v>Zornia latifolia</v>
      </c>
      <c r="H5411" s="6" t="str">
        <f>VLOOKUP(E5411,dicionario!$A$1:$C5810,3,0)</f>
        <v>arrozinho-do-campo</v>
      </c>
    </row>
    <row r="5412">
      <c r="A5412" s="3">
        <v>45680.0</v>
      </c>
      <c r="B5412" s="4">
        <v>0.3458333333333333</v>
      </c>
      <c r="C5412" s="5" t="s">
        <v>26</v>
      </c>
      <c r="D5412" s="5" t="s">
        <v>1082</v>
      </c>
      <c r="E5412" s="8" t="s">
        <v>360</v>
      </c>
      <c r="F5412" s="7" t="s">
        <v>361</v>
      </c>
      <c r="G5412" s="6" t="str">
        <f>VLOOKUP(E5412,dicionario!$A$1:$C5811,2,0)</f>
        <v>Chamaecrista rotundifolia</v>
      </c>
      <c r="H5412" s="6" t="str">
        <f>VLOOKUP(E5412,dicionario!$A$1:$C5811,3,0)</f>
        <v>alfafa-nativa</v>
      </c>
    </row>
    <row r="5413">
      <c r="A5413" s="3">
        <v>45680.0</v>
      </c>
      <c r="B5413" s="4">
        <v>0.34652777777777777</v>
      </c>
      <c r="C5413" s="5" t="s">
        <v>26</v>
      </c>
      <c r="D5413" s="5" t="s">
        <v>1082</v>
      </c>
      <c r="E5413" s="8" t="s">
        <v>20</v>
      </c>
      <c r="F5413" s="7" t="s">
        <v>21</v>
      </c>
      <c r="G5413" s="6" t="str">
        <f>VLOOKUP(E5413,dicionario!$A$1:$C5812,2,0)</f>
        <v>Sicalis flaveola</v>
      </c>
      <c r="H5413" s="6" t="str">
        <f>VLOOKUP(E5413,dicionario!$A$1:$C5812,3,0)</f>
        <v>canário-da-terra</v>
      </c>
    </row>
    <row r="5414">
      <c r="A5414" s="3">
        <v>45680.0</v>
      </c>
      <c r="B5414" s="4">
        <v>0.34652777777777777</v>
      </c>
      <c r="C5414" s="5" t="s">
        <v>26</v>
      </c>
      <c r="D5414" s="5" t="s">
        <v>1082</v>
      </c>
      <c r="E5414" s="8" t="s">
        <v>227</v>
      </c>
      <c r="F5414" s="5" t="s">
        <v>228</v>
      </c>
      <c r="G5414" s="6" t="str">
        <f>VLOOKUP(E5414,dicionario!$A$1:$C5813,2,0)</f>
        <v>Indigofera hirsuta</v>
      </c>
      <c r="H5414" s="6" t="str">
        <f>VLOOKUP(E5414,dicionario!$A$1:$C5813,3,0)</f>
        <v>anileira</v>
      </c>
    </row>
    <row r="5415">
      <c r="A5415" s="3">
        <v>45680.0</v>
      </c>
      <c r="B5415" s="4">
        <v>0.3472222222222222</v>
      </c>
      <c r="C5415" s="5" t="s">
        <v>26</v>
      </c>
      <c r="D5415" s="5" t="s">
        <v>1082</v>
      </c>
      <c r="E5415" s="8" t="s">
        <v>298</v>
      </c>
      <c r="F5415" s="5" t="s">
        <v>739</v>
      </c>
      <c r="G5415" s="6" t="str">
        <f>VLOOKUP(E5415,dicionario!$A$1:$C5814,2,0)</f>
        <v>Alysicarpus vaginalis</v>
      </c>
      <c r="H5415" s="6" t="str">
        <f>VLOOKUP(E5415,dicionario!$A$1:$C5814,3,0)</f>
        <v/>
      </c>
    </row>
    <row r="5416">
      <c r="A5416" s="3">
        <v>45680.0</v>
      </c>
      <c r="B5416" s="4">
        <v>0.3472222222222222</v>
      </c>
      <c r="C5416" s="5" t="s">
        <v>26</v>
      </c>
      <c r="D5416" s="5" t="s">
        <v>1082</v>
      </c>
      <c r="E5416" s="8" t="s">
        <v>723</v>
      </c>
      <c r="F5416" s="5" t="s">
        <v>924</v>
      </c>
      <c r="G5416" s="6" t="str">
        <f>VLOOKUP(E5416,dicionario!$A$1:$C5815,2,0)</f>
        <v>Asemeia violacea</v>
      </c>
      <c r="H5416" s="6" t="str">
        <f>VLOOKUP(E5416,dicionario!$A$1:$C5815,3,0)</f>
        <v/>
      </c>
    </row>
    <row r="5417">
      <c r="A5417" s="3">
        <v>45680.0</v>
      </c>
      <c r="B5417" s="4">
        <v>0.3472222222222222</v>
      </c>
      <c r="C5417" s="5" t="s">
        <v>26</v>
      </c>
      <c r="D5417" s="5" t="s">
        <v>1082</v>
      </c>
      <c r="E5417" s="8" t="s">
        <v>173</v>
      </c>
      <c r="F5417" s="5" t="s">
        <v>336</v>
      </c>
      <c r="G5417" s="6" t="str">
        <f>VLOOKUP(E5417,dicionario!$A$1:$C5816,2,0)</f>
        <v>Junonia evarete</v>
      </c>
      <c r="H5417" s="6" t="str">
        <f>VLOOKUP(E5417,dicionario!$A$1:$C5816,3,0)</f>
        <v>borboleta-olho-de-pavão-diúrno</v>
      </c>
    </row>
    <row r="5418">
      <c r="A5418" s="3">
        <v>45680.0</v>
      </c>
      <c r="B5418" s="4">
        <v>0.3472222222222222</v>
      </c>
      <c r="C5418" s="5" t="s">
        <v>26</v>
      </c>
      <c r="D5418" s="5" t="s">
        <v>1082</v>
      </c>
      <c r="E5418" s="8" t="s">
        <v>72</v>
      </c>
      <c r="F5418" s="5" t="s">
        <v>73</v>
      </c>
      <c r="G5418" s="6" t="str">
        <f>VLOOKUP(E5418,dicionario!$A$1:$C5817,2,0)</f>
        <v>Thraupis palmarum</v>
      </c>
      <c r="H5418" s="6" t="str">
        <f>VLOOKUP(E5418,dicionario!$A$1:$C5817,3,0)</f>
        <v>sanhaço-do-coqueiro</v>
      </c>
    </row>
    <row r="5419">
      <c r="A5419" s="3">
        <v>45680.0</v>
      </c>
      <c r="B5419" s="4">
        <v>0.3472222222222222</v>
      </c>
      <c r="C5419" s="5" t="s">
        <v>26</v>
      </c>
      <c r="D5419" s="5" t="s">
        <v>1082</v>
      </c>
      <c r="E5419" s="8" t="s">
        <v>18</v>
      </c>
      <c r="F5419" s="5" t="s">
        <v>219</v>
      </c>
      <c r="G5419" s="6" t="str">
        <f>VLOOKUP(E5419,dicionario!$A$1:$C5818,2,0)</f>
        <v>Xylocopa frontalis</v>
      </c>
      <c r="H5419" s="6" t="str">
        <f>VLOOKUP(E5419,dicionario!$A$1:$C5818,3,0)</f>
        <v>Mamangava; mangangá; abelha-carpinteira</v>
      </c>
    </row>
    <row r="5420">
      <c r="A5420" s="3">
        <v>45680.0</v>
      </c>
      <c r="B5420" s="4">
        <v>0.34791666666666665</v>
      </c>
      <c r="C5420" s="5" t="s">
        <v>26</v>
      </c>
      <c r="D5420" s="5" t="s">
        <v>1082</v>
      </c>
      <c r="E5420" s="8" t="s">
        <v>253</v>
      </c>
      <c r="F5420" s="5" t="s">
        <v>254</v>
      </c>
      <c r="G5420" s="6" t="str">
        <f>VLOOKUP(E5420,dicionario!$A$1:$C5819,2,0)</f>
        <v>Panicum maximum</v>
      </c>
      <c r="H5420" s="6" t="str">
        <f>VLOOKUP(E5420,dicionario!$A$1:$C5819,3,0)</f>
        <v>capim-colonião</v>
      </c>
    </row>
    <row r="5421">
      <c r="A5421" s="3">
        <v>45680.0</v>
      </c>
      <c r="B5421" s="4">
        <v>0.3486111111111111</v>
      </c>
      <c r="C5421" s="5" t="s">
        <v>26</v>
      </c>
      <c r="D5421" s="5" t="s">
        <v>1082</v>
      </c>
      <c r="E5421" s="6" t="s">
        <v>103</v>
      </c>
      <c r="F5421" s="5" t="s">
        <v>104</v>
      </c>
      <c r="G5421" s="6" t="str">
        <f>VLOOKUP(E5421,dicionario!$A$1:$C5820,2,0)</f>
        <v>Caracara plancus</v>
      </c>
      <c r="H5421" s="6" t="str">
        <f>VLOOKUP(E5421,dicionario!$A$1:$C5820,3,0)</f>
        <v>carcará </v>
      </c>
    </row>
    <row r="5422">
      <c r="A5422" s="3">
        <v>45680.0</v>
      </c>
      <c r="B5422" s="4">
        <v>0.3486111111111111</v>
      </c>
      <c r="C5422" s="5" t="s">
        <v>26</v>
      </c>
      <c r="D5422" s="5" t="s">
        <v>1082</v>
      </c>
      <c r="E5422" s="8" t="s">
        <v>946</v>
      </c>
      <c r="F5422" s="5" t="s">
        <v>1091</v>
      </c>
      <c r="G5422" s="6" t="str">
        <f>VLOOKUP(E5422,dicionario!$A$1:$C5821,2,0)</f>
        <v>Thorybes dorantes</v>
      </c>
      <c r="H5422" s="6" t="str">
        <f>VLOOKUP(E5422,dicionario!$A$1:$C5821,3,0)</f>
        <v>mariposa-de-cauda-lilás</v>
      </c>
    </row>
    <row r="5423">
      <c r="A5423" s="3">
        <v>45680.0</v>
      </c>
      <c r="B5423" s="4">
        <v>0.34930555555555554</v>
      </c>
      <c r="C5423" s="5" t="s">
        <v>26</v>
      </c>
      <c r="D5423" s="5" t="s">
        <v>1082</v>
      </c>
      <c r="E5423" s="6" t="s">
        <v>245</v>
      </c>
      <c r="F5423" s="7" t="s">
        <v>246</v>
      </c>
      <c r="G5423" s="6" t="str">
        <f>VLOOKUP(E5423,dicionario!$A$1:$C5822,2,0)</f>
        <v>Hemiargus hanno</v>
      </c>
      <c r="H5423" s="6" t="str">
        <f>VLOOKUP(E5423,dicionario!$A$1:$C5822,3,0)</f>
        <v>borboleta-azulzinha-do-trevo</v>
      </c>
    </row>
    <row r="5424">
      <c r="A5424" s="3">
        <v>45680.0</v>
      </c>
      <c r="B5424" s="4">
        <v>0.35</v>
      </c>
      <c r="C5424" s="5" t="s">
        <v>8</v>
      </c>
      <c r="D5424" s="5" t="s">
        <v>1082</v>
      </c>
      <c r="E5424" s="8" t="s">
        <v>381</v>
      </c>
      <c r="F5424" s="5" t="s">
        <v>382</v>
      </c>
      <c r="G5424" s="6" t="str">
        <f>VLOOKUP(E5424,dicionario!$A$1:$C5823,2,0)</f>
        <v>Pseudomyrmex</v>
      </c>
      <c r="H5424" s="6" t="str">
        <f>VLOOKUP(E5424,dicionario!$A$1:$C5823,3,0)</f>
        <v>maria-magra</v>
      </c>
    </row>
    <row r="5425">
      <c r="A5425" s="3">
        <v>45680.0</v>
      </c>
      <c r="B5425" s="4">
        <v>0.35</v>
      </c>
      <c r="C5425" s="5" t="s">
        <v>8</v>
      </c>
      <c r="D5425" s="5" t="s">
        <v>1082</v>
      </c>
      <c r="E5425" s="8" t="s">
        <v>135</v>
      </c>
      <c r="F5425" s="5" t="s">
        <v>136</v>
      </c>
      <c r="G5425" s="6" t="str">
        <f>VLOOKUP(E5425,dicionario!$A$1:$C5824,2,0)</f>
        <v>Tridax procumbens</v>
      </c>
      <c r="H5425" s="6" t="str">
        <f>VLOOKUP(E5425,dicionario!$A$1:$C5824,3,0)</f>
        <v>erva-de-touro</v>
      </c>
    </row>
    <row r="5426">
      <c r="A5426" s="3">
        <v>45680.0</v>
      </c>
      <c r="B5426" s="4">
        <v>0.35</v>
      </c>
      <c r="C5426" s="5" t="s">
        <v>8</v>
      </c>
      <c r="D5426" s="5" t="s">
        <v>1082</v>
      </c>
      <c r="E5426" s="8" t="s">
        <v>163</v>
      </c>
      <c r="F5426" s="5" t="s">
        <v>164</v>
      </c>
      <c r="G5426" s="6" t="str">
        <f>VLOOKUP(E5426,dicionario!$A$1:$C5825,2,0)</f>
        <v>Coragyps atratus</v>
      </c>
      <c r="H5426" s="6" t="str">
        <f>VLOOKUP(E5426,dicionario!$A$1:$C5825,3,0)</f>
        <v>urubu-de-cabeça-preta</v>
      </c>
    </row>
    <row r="5427">
      <c r="A5427" s="3">
        <v>45680.0</v>
      </c>
      <c r="B5427" s="4">
        <v>0.35208333333333336</v>
      </c>
      <c r="C5427" s="5" t="s">
        <v>8</v>
      </c>
      <c r="D5427" s="5" t="s">
        <v>1082</v>
      </c>
      <c r="E5427" s="8" t="s">
        <v>353</v>
      </c>
      <c r="F5427" s="5" t="s">
        <v>354</v>
      </c>
      <c r="G5427" s="6" t="str">
        <f>VLOOKUP(E5427,dicionario!$A$1:$C5826,2,0)</f>
        <v>Desmodium incanum</v>
      </c>
      <c r="H5427" s="6" t="str">
        <f>VLOOKUP(E5427,dicionario!$A$1:$C5826,3,0)</f>
        <v>pega-pega</v>
      </c>
    </row>
    <row r="5428">
      <c r="A5428" s="3">
        <v>45680.0</v>
      </c>
      <c r="B5428" s="4">
        <v>0.35208333333333336</v>
      </c>
      <c r="C5428" s="5" t="s">
        <v>8</v>
      </c>
      <c r="D5428" s="5" t="s">
        <v>1082</v>
      </c>
      <c r="E5428" s="8" t="s">
        <v>298</v>
      </c>
      <c r="F5428" s="5" t="s">
        <v>739</v>
      </c>
      <c r="G5428" s="6" t="str">
        <f>VLOOKUP(E5428,dicionario!$A$1:$C5827,2,0)</f>
        <v>Alysicarpus vaginalis</v>
      </c>
      <c r="H5428" s="6" t="str">
        <f>VLOOKUP(E5428,dicionario!$A$1:$C5827,3,0)</f>
        <v/>
      </c>
    </row>
    <row r="5429">
      <c r="A5429" s="3">
        <v>45680.0</v>
      </c>
      <c r="B5429" s="4">
        <v>0.35208333333333336</v>
      </c>
      <c r="C5429" s="5" t="s">
        <v>8</v>
      </c>
      <c r="D5429" s="5" t="s">
        <v>1082</v>
      </c>
      <c r="E5429" s="8" t="s">
        <v>292</v>
      </c>
      <c r="F5429" s="5" t="s">
        <v>293</v>
      </c>
      <c r="G5429" s="6" t="str">
        <f>VLOOKUP(E5429,dicionario!$A$1:$C5828,2,0)</f>
        <v>Ascia monuste</v>
      </c>
      <c r="H5429" s="6" t="str">
        <f>VLOOKUP(E5429,dicionario!$A$1:$C5828,3,0)</f>
        <v>borboleta-da-couve</v>
      </c>
    </row>
    <row r="5430">
      <c r="A5430" s="3">
        <v>45680.0</v>
      </c>
      <c r="B5430" s="4">
        <v>0.35208333333333336</v>
      </c>
      <c r="C5430" s="5" t="s">
        <v>8</v>
      </c>
      <c r="D5430" s="5" t="s">
        <v>1082</v>
      </c>
      <c r="E5430" s="8" t="s">
        <v>1041</v>
      </c>
      <c r="F5430" s="5" t="s">
        <v>1042</v>
      </c>
      <c r="G5430" s="6" t="str">
        <f>VLOOKUP(E5430,dicionario!$A$1:$C5829,2,0)</f>
        <v>#N/A</v>
      </c>
      <c r="H5430" s="6" t="str">
        <f>VLOOKUP(E5430,dicionario!$A$1:$C5829,3,0)</f>
        <v>#N/A</v>
      </c>
    </row>
    <row r="5431">
      <c r="A5431" s="3">
        <v>45680.0</v>
      </c>
      <c r="B5431" s="4">
        <v>0.3527777777777778</v>
      </c>
      <c r="C5431" s="5" t="s">
        <v>8</v>
      </c>
      <c r="D5431" s="5" t="s">
        <v>1082</v>
      </c>
      <c r="E5431" s="8" t="s">
        <v>109</v>
      </c>
      <c r="F5431" s="5" t="s">
        <v>110</v>
      </c>
      <c r="G5431" s="6" t="str">
        <f>VLOOKUP(E5431,dicionario!$A$1:$C5830,2,0)</f>
        <v>Tillandsia stricta</v>
      </c>
      <c r="H5431" s="6" t="str">
        <f>VLOOKUP(E5431,dicionario!$A$1:$C5830,3,0)</f>
        <v>cravo-do-mato</v>
      </c>
    </row>
    <row r="5432">
      <c r="A5432" s="3">
        <v>45680.0</v>
      </c>
      <c r="B5432" s="4">
        <v>0.3527777777777778</v>
      </c>
      <c r="C5432" s="5" t="s">
        <v>8</v>
      </c>
      <c r="D5432" s="5" t="s">
        <v>1082</v>
      </c>
      <c r="E5432" s="8" t="s">
        <v>712</v>
      </c>
      <c r="F5432" s="5" t="s">
        <v>1006</v>
      </c>
      <c r="G5432" s="6" t="str">
        <f>VLOOKUP(E5432,dicionario!$A$1:$C5831,2,0)</f>
        <v>Flavopunctelia soredica</v>
      </c>
      <c r="H5432" s="6" t="str">
        <f>VLOOKUP(E5432,dicionario!$A$1:$C5831,3,0)</f>
        <v>líquen-folioso</v>
      </c>
    </row>
    <row r="5433">
      <c r="A5433" s="3">
        <v>45680.0</v>
      </c>
      <c r="B5433" s="4">
        <v>0.3527777777777778</v>
      </c>
      <c r="C5433" s="5" t="s">
        <v>8</v>
      </c>
      <c r="D5433" s="5" t="s">
        <v>1082</v>
      </c>
      <c r="E5433" s="8" t="s">
        <v>719</v>
      </c>
      <c r="F5433" s="5" t="s">
        <v>1005</v>
      </c>
      <c r="G5433" s="6" t="str">
        <f>VLOOKUP(E5433,dicionario!$A$1:$C5832,2,0)</f>
        <v>Dirinaria</v>
      </c>
      <c r="H5433" s="6" t="str">
        <f>VLOOKUP(E5433,dicionario!$A$1:$C5832,3,0)</f>
        <v>líquen-crostoso</v>
      </c>
    </row>
    <row r="5434">
      <c r="A5434" s="3">
        <v>45680.0</v>
      </c>
      <c r="B5434" s="4">
        <v>0.3527777777777778</v>
      </c>
      <c r="C5434" s="5" t="s">
        <v>8</v>
      </c>
      <c r="D5434" s="5" t="s">
        <v>1082</v>
      </c>
      <c r="E5434" s="8" t="s">
        <v>20</v>
      </c>
      <c r="F5434" s="7" t="s">
        <v>21</v>
      </c>
      <c r="G5434" s="6" t="str">
        <f>VLOOKUP(E5434,dicionario!$A$1:$C5833,2,0)</f>
        <v>Sicalis flaveola</v>
      </c>
      <c r="H5434" s="6" t="str">
        <f>VLOOKUP(E5434,dicionario!$A$1:$C5833,3,0)</f>
        <v>canário-da-terra</v>
      </c>
    </row>
    <row r="5435">
      <c r="A5435" s="3">
        <v>45680.0</v>
      </c>
      <c r="B5435" s="4">
        <v>0.3527777777777778</v>
      </c>
      <c r="C5435" s="5" t="s">
        <v>8</v>
      </c>
      <c r="D5435" s="5" t="s">
        <v>1082</v>
      </c>
      <c r="E5435" s="8" t="s">
        <v>478</v>
      </c>
      <c r="F5435" s="5" t="s">
        <v>479</v>
      </c>
      <c r="G5435" s="6" t="str">
        <f>VLOOKUP(E5435,dicionario!$A$1:$C5834,2,0)</f>
        <v>Cathartes burrovianus</v>
      </c>
      <c r="H5435" s="6" t="str">
        <f>VLOOKUP(E5435,dicionario!$A$1:$C5834,3,0)</f>
        <v>urubu-de-cabeça-amarela</v>
      </c>
    </row>
    <row r="5436">
      <c r="A5436" s="3">
        <v>45680.0</v>
      </c>
      <c r="B5436" s="4">
        <v>0.3527777777777778</v>
      </c>
      <c r="C5436" s="5" t="s">
        <v>8</v>
      </c>
      <c r="D5436" s="5" t="s">
        <v>1082</v>
      </c>
      <c r="E5436" s="8" t="s">
        <v>302</v>
      </c>
      <c r="F5436" s="5" t="s">
        <v>89</v>
      </c>
      <c r="G5436" s="6" t="str">
        <f>VLOOKUP(E5436,dicionario!$A$1:$C5835,2,0)</f>
        <v>Machetornis rixosa</v>
      </c>
      <c r="H5436" s="6" t="str">
        <f>VLOOKUP(E5436,dicionario!$A$1:$C5835,3,0)</f>
        <v>suiriri-cavaleiro</v>
      </c>
    </row>
    <row r="5437">
      <c r="A5437" s="3">
        <v>45680.0</v>
      </c>
      <c r="B5437" s="4">
        <v>0.35347222222222224</v>
      </c>
      <c r="C5437" s="5" t="s">
        <v>8</v>
      </c>
      <c r="D5437" s="5" t="s">
        <v>1082</v>
      </c>
      <c r="E5437" s="8" t="s">
        <v>22</v>
      </c>
      <c r="F5437" s="5" t="s">
        <v>97</v>
      </c>
      <c r="G5437" s="6" t="str">
        <f>VLOOKUP(E5437,dicionario!$A$1:$C5836,2,0)</f>
        <v>Zenaida auriculata</v>
      </c>
      <c r="H5437" s="6" t="str">
        <f>VLOOKUP(E5437,dicionario!$A$1:$C5836,3,0)</f>
        <v>pomba-de-bando; avoante</v>
      </c>
    </row>
    <row r="5438">
      <c r="A5438" s="3">
        <v>45680.0</v>
      </c>
      <c r="B5438" s="4">
        <v>0.35347222222222224</v>
      </c>
      <c r="C5438" s="5" t="s">
        <v>8</v>
      </c>
      <c r="D5438" s="5" t="s">
        <v>1082</v>
      </c>
      <c r="E5438" s="8" t="s">
        <v>483</v>
      </c>
      <c r="F5438" s="5" t="s">
        <v>289</v>
      </c>
      <c r="G5438" s="6" t="str">
        <f>VLOOKUP(E5438,dicionario!$A$1:$C5837,2,0)</f>
        <v>Euphorbia prostrata</v>
      </c>
      <c r="H5438" s="6" t="str">
        <f>VLOOKUP(E5438,dicionario!$A$1:$C5837,3,0)</f>
        <v>quebra-pedra-rasteira</v>
      </c>
    </row>
    <row r="5439">
      <c r="A5439" s="3">
        <v>45680.0</v>
      </c>
      <c r="B5439" s="4">
        <v>0.35347222222222224</v>
      </c>
      <c r="C5439" s="5" t="s">
        <v>8</v>
      </c>
      <c r="D5439" s="5" t="s">
        <v>1082</v>
      </c>
      <c r="E5439" s="8" t="s">
        <v>247</v>
      </c>
      <c r="F5439" s="5" t="s">
        <v>387</v>
      </c>
      <c r="G5439" s="6" t="str">
        <f>VLOOKUP(E5439,dicionario!$A$1:$C5838,2,0)</f>
        <v>Emilia sonchifolia</v>
      </c>
      <c r="H5439" s="6" t="str">
        <f>VLOOKUP(E5439,dicionario!$A$1:$C5838,3,0)</f>
        <v>serralinha</v>
      </c>
    </row>
    <row r="5440">
      <c r="A5440" s="3">
        <v>45680.0</v>
      </c>
      <c r="B5440" s="4">
        <v>0.3541666666666667</v>
      </c>
      <c r="C5440" s="5" t="s">
        <v>8</v>
      </c>
      <c r="D5440" s="5" t="s">
        <v>1082</v>
      </c>
      <c r="E5440" s="8" t="s">
        <v>360</v>
      </c>
      <c r="F5440" s="7" t="s">
        <v>361</v>
      </c>
      <c r="G5440" s="6" t="str">
        <f>VLOOKUP(E5440,dicionario!$A$1:$C5839,2,0)</f>
        <v>Chamaecrista rotundifolia</v>
      </c>
      <c r="H5440" s="6" t="str">
        <f>VLOOKUP(E5440,dicionario!$A$1:$C5839,3,0)</f>
        <v>alfafa-nativa</v>
      </c>
    </row>
    <row r="5441">
      <c r="A5441" s="3">
        <v>45680.0</v>
      </c>
      <c r="B5441" s="4">
        <v>0.3541666666666667</v>
      </c>
      <c r="C5441" s="5" t="s">
        <v>8</v>
      </c>
      <c r="D5441" s="5" t="s">
        <v>1082</v>
      </c>
      <c r="E5441" s="8" t="s">
        <v>909</v>
      </c>
      <c r="F5441" s="5" t="s">
        <v>910</v>
      </c>
      <c r="G5441" s="6" t="str">
        <f>VLOOKUP(E5441,dicionario!$A$1:$C5840,2,0)</f>
        <v>Chordeiles acutipennis</v>
      </c>
      <c r="H5441" s="6" t="str">
        <f>VLOOKUP(E5441,dicionario!$A$1:$C5840,3,0)</f>
        <v>bacurau-de-asa-fina</v>
      </c>
    </row>
    <row r="5442">
      <c r="A5442" s="3">
        <v>45680.0</v>
      </c>
      <c r="B5442" s="4">
        <v>0.3541666666666667</v>
      </c>
      <c r="C5442" s="5" t="s">
        <v>8</v>
      </c>
      <c r="D5442" s="5" t="s">
        <v>1082</v>
      </c>
      <c r="E5442" s="8" t="s">
        <v>1008</v>
      </c>
      <c r="F5442" s="5" t="s">
        <v>1013</v>
      </c>
      <c r="G5442" s="6" t="str">
        <f>VLOOKUP(E5442,dicionario!$A$1:$C5841,2,0)</f>
        <v>Syntermes molestus</v>
      </c>
      <c r="H5442" s="6" t="str">
        <f>VLOOKUP(E5442,dicionario!$A$1:$C5841,3,0)</f>
        <v>cupim-bate-cabeça</v>
      </c>
    </row>
    <row r="5443">
      <c r="A5443" s="3">
        <v>45680.0</v>
      </c>
      <c r="B5443" s="4">
        <v>0.3548611111111111</v>
      </c>
      <c r="C5443" s="5" t="s">
        <v>8</v>
      </c>
      <c r="D5443" s="5" t="s">
        <v>1082</v>
      </c>
      <c r="E5443" s="8" t="s">
        <v>946</v>
      </c>
      <c r="F5443" s="5" t="s">
        <v>1091</v>
      </c>
      <c r="G5443" s="6" t="str">
        <f>VLOOKUP(E5443,dicionario!$A$1:$C5842,2,0)</f>
        <v>Thorybes dorantes</v>
      </c>
      <c r="H5443" s="6" t="str">
        <f>VLOOKUP(E5443,dicionario!$A$1:$C5842,3,0)</f>
        <v>mariposa-de-cauda-lilás</v>
      </c>
    </row>
    <row r="5444">
      <c r="A5444" s="3">
        <v>45680.0</v>
      </c>
      <c r="B5444" s="4">
        <v>0.3548611111111111</v>
      </c>
      <c r="C5444" s="5" t="s">
        <v>8</v>
      </c>
      <c r="D5444" s="5" t="s">
        <v>1082</v>
      </c>
      <c r="E5444" s="8" t="s">
        <v>200</v>
      </c>
      <c r="F5444" s="5" t="s">
        <v>201</v>
      </c>
      <c r="G5444" s="6" t="str">
        <f>VLOOKUP(E5444,dicionario!$A$1:$C5843,2,0)</f>
        <v>Columbina picui </v>
      </c>
      <c r="H5444" s="6" t="str">
        <f>VLOOKUP(E5444,dicionario!$A$1:$C5843,3,0)</f>
        <v>rolinha-picuí</v>
      </c>
    </row>
    <row r="5445">
      <c r="A5445" s="3">
        <v>45680.0</v>
      </c>
      <c r="B5445" s="4">
        <v>0.35555555555555557</v>
      </c>
      <c r="C5445" s="5" t="s">
        <v>8</v>
      </c>
      <c r="D5445" s="5" t="s">
        <v>1082</v>
      </c>
      <c r="E5445" s="8" t="s">
        <v>227</v>
      </c>
      <c r="F5445" s="5" t="s">
        <v>228</v>
      </c>
      <c r="G5445" s="6" t="str">
        <f>VLOOKUP(E5445,dicionario!$A$1:$C5844,2,0)</f>
        <v>Indigofera hirsuta</v>
      </c>
      <c r="H5445" s="6" t="str">
        <f>VLOOKUP(E5445,dicionario!$A$1:$C5844,3,0)</f>
        <v>anileira</v>
      </c>
    </row>
    <row r="5446">
      <c r="A5446" s="3">
        <v>45680.0</v>
      </c>
      <c r="B5446" s="4">
        <v>0.35625</v>
      </c>
      <c r="C5446" s="5" t="s">
        <v>8</v>
      </c>
      <c r="D5446" s="5" t="s">
        <v>1082</v>
      </c>
      <c r="E5446" s="8" t="s">
        <v>86</v>
      </c>
      <c r="F5446" s="5" t="s">
        <v>502</v>
      </c>
      <c r="G5446" s="6" t="str">
        <f>VLOOKUP(E5446,dicionario!$A$1:$C5845,2,0)</f>
        <v>Coereba flaveola</v>
      </c>
      <c r="H5446" s="6" t="str">
        <f>VLOOKUP(E5446,dicionario!$A$1:$C5845,3,0)</f>
        <v>cambacica</v>
      </c>
    </row>
    <row r="5447">
      <c r="A5447" s="3">
        <v>45680.0</v>
      </c>
      <c r="B5447" s="4">
        <v>0.35625</v>
      </c>
      <c r="C5447" s="5" t="s">
        <v>8</v>
      </c>
      <c r="D5447" s="5" t="s">
        <v>1082</v>
      </c>
      <c r="E5447" s="8" t="s">
        <v>225</v>
      </c>
      <c r="F5447" s="5" t="s">
        <v>226</v>
      </c>
      <c r="G5447" s="6" t="str">
        <f>VLOOKUP(E5447,dicionario!$A$1:$C5846,2,0)</f>
        <v>Passer domesticus</v>
      </c>
      <c r="H5447" s="6" t="str">
        <f>VLOOKUP(E5447,dicionario!$A$1:$C5846,3,0)</f>
        <v>pardal</v>
      </c>
    </row>
    <row r="5448">
      <c r="A5448" s="3">
        <v>45680.0</v>
      </c>
      <c r="B5448" s="4">
        <v>0.35625</v>
      </c>
      <c r="C5448" s="5" t="s">
        <v>8</v>
      </c>
      <c r="D5448" s="5" t="s">
        <v>1082</v>
      </c>
      <c r="E5448" s="8" t="s">
        <v>72</v>
      </c>
      <c r="F5448" s="5" t="s">
        <v>73</v>
      </c>
      <c r="G5448" s="6" t="str">
        <f>VLOOKUP(E5448,dicionario!$A$1:$C5847,2,0)</f>
        <v>Thraupis palmarum</v>
      </c>
      <c r="H5448" s="6" t="str">
        <f>VLOOKUP(E5448,dicionario!$A$1:$C5847,3,0)</f>
        <v>sanhaço-do-coqueiro</v>
      </c>
    </row>
    <row r="5449">
      <c r="A5449" s="3">
        <v>45680.0</v>
      </c>
      <c r="B5449" s="4">
        <v>0.35694444444444445</v>
      </c>
      <c r="C5449" s="5" t="s">
        <v>8</v>
      </c>
      <c r="D5449" s="5" t="s">
        <v>1082</v>
      </c>
      <c r="E5449" s="6" t="s">
        <v>103</v>
      </c>
      <c r="F5449" s="5" t="s">
        <v>104</v>
      </c>
      <c r="G5449" s="6" t="str">
        <f>VLOOKUP(E5449,dicionario!$A$1:$C5848,2,0)</f>
        <v>Caracara plancus</v>
      </c>
      <c r="H5449" s="6" t="str">
        <f>VLOOKUP(E5449,dicionario!$A$1:$C5848,3,0)</f>
        <v>carcará </v>
      </c>
    </row>
    <row r="5450">
      <c r="A5450" s="3">
        <v>45680.0</v>
      </c>
      <c r="B5450" s="4">
        <v>0.3576388888888889</v>
      </c>
      <c r="C5450" s="5" t="s">
        <v>8</v>
      </c>
      <c r="D5450" s="5" t="s">
        <v>1082</v>
      </c>
      <c r="E5450" s="8" t="s">
        <v>83</v>
      </c>
      <c r="F5450" s="5" t="s">
        <v>84</v>
      </c>
      <c r="G5450" s="6" t="str">
        <f>VLOOKUP(E5450,dicionario!$A$1:$C5849,2,0)</f>
        <v>Anartia jatrophae</v>
      </c>
      <c r="H5450" s="6" t="str">
        <f>VLOOKUP(E5450,dicionario!$A$1:$C5849,3,0)</f>
        <v>borboleta-pavão-branco</v>
      </c>
    </row>
    <row r="5451">
      <c r="A5451" s="3">
        <v>45687.0</v>
      </c>
      <c r="B5451" s="4">
        <v>0.25416666666666665</v>
      </c>
      <c r="C5451" s="5" t="s">
        <v>8</v>
      </c>
      <c r="D5451" s="5" t="s">
        <v>1082</v>
      </c>
      <c r="E5451" s="8" t="s">
        <v>154</v>
      </c>
      <c r="F5451" s="5" t="s">
        <v>155</v>
      </c>
      <c r="G5451" s="6" t="str">
        <f>VLOOKUP(E5451,dicionario!$A$1:$C5850,2,0)</f>
        <v>Cyperus rotundus</v>
      </c>
      <c r="H5451" s="6" t="str">
        <f>VLOOKUP(E5451,dicionario!$A$1:$C5850,3,0)</f>
        <v>tiririca</v>
      </c>
    </row>
    <row r="5452">
      <c r="A5452" s="3">
        <v>45687.0</v>
      </c>
      <c r="B5452" s="4">
        <v>0.25416666666666665</v>
      </c>
      <c r="C5452" s="5" t="s">
        <v>8</v>
      </c>
      <c r="D5452" s="5" t="s">
        <v>1082</v>
      </c>
      <c r="E5452" s="8" t="s">
        <v>247</v>
      </c>
      <c r="F5452" s="5" t="s">
        <v>387</v>
      </c>
      <c r="G5452" s="6" t="str">
        <f>VLOOKUP(E5452,dicionario!$A$1:$C5851,2,0)</f>
        <v>Emilia sonchifolia</v>
      </c>
      <c r="H5452" s="6" t="str">
        <f>VLOOKUP(E5452,dicionario!$A$1:$C5851,3,0)</f>
        <v>serralinha</v>
      </c>
    </row>
    <row r="5453">
      <c r="A5453" s="3">
        <v>45687.0</v>
      </c>
      <c r="B5453" s="4">
        <v>0.25416666666666665</v>
      </c>
      <c r="C5453" s="5" t="s">
        <v>8</v>
      </c>
      <c r="D5453" s="5" t="s">
        <v>1082</v>
      </c>
      <c r="E5453" s="8" t="s">
        <v>150</v>
      </c>
      <c r="F5453" s="5" t="s">
        <v>151</v>
      </c>
      <c r="G5453" s="6" t="str">
        <f>VLOOKUP(E5453,dicionario!$A$1:$C5852,2,0)</f>
        <v>Amaranthus viridis</v>
      </c>
      <c r="H5453" s="6" t="str">
        <f>VLOOKUP(E5453,dicionario!$A$1:$C5852,3,0)</f>
        <v>caruru-de-mancha</v>
      </c>
    </row>
    <row r="5454">
      <c r="A5454" s="3">
        <v>45687.0</v>
      </c>
      <c r="B5454" s="4">
        <v>0.2548611111111111</v>
      </c>
      <c r="C5454" s="5" t="s">
        <v>8</v>
      </c>
      <c r="D5454" s="5" t="s">
        <v>1082</v>
      </c>
      <c r="E5454" s="8" t="s">
        <v>20</v>
      </c>
      <c r="F5454" s="7" t="s">
        <v>21</v>
      </c>
      <c r="G5454" s="6" t="str">
        <f>VLOOKUP(E5454,dicionario!$A$1:$C5853,2,0)</f>
        <v>Sicalis flaveola</v>
      </c>
      <c r="H5454" s="6" t="str">
        <f>VLOOKUP(E5454,dicionario!$A$1:$C5853,3,0)</f>
        <v>canário-da-terra</v>
      </c>
    </row>
    <row r="5455">
      <c r="A5455" s="3">
        <v>45687.0</v>
      </c>
      <c r="B5455" s="4">
        <v>0.2548611111111111</v>
      </c>
      <c r="C5455" s="5" t="s">
        <v>8</v>
      </c>
      <c r="D5455" s="5" t="s">
        <v>1082</v>
      </c>
      <c r="E5455" s="8" t="s">
        <v>109</v>
      </c>
      <c r="F5455" s="5" t="s">
        <v>110</v>
      </c>
      <c r="G5455" s="6" t="str">
        <f>VLOOKUP(E5455,dicionario!$A$1:$C5854,2,0)</f>
        <v>Tillandsia stricta</v>
      </c>
      <c r="H5455" s="6" t="str">
        <f>VLOOKUP(E5455,dicionario!$A$1:$C5854,3,0)</f>
        <v>cravo-do-mato</v>
      </c>
    </row>
    <row r="5456">
      <c r="A5456" s="3">
        <v>45687.0</v>
      </c>
      <c r="B5456" s="4">
        <v>0.25555555555555554</v>
      </c>
      <c r="C5456" s="5" t="s">
        <v>8</v>
      </c>
      <c r="D5456" s="5" t="s">
        <v>1082</v>
      </c>
      <c r="E5456" s="8" t="s">
        <v>163</v>
      </c>
      <c r="F5456" s="5" t="s">
        <v>164</v>
      </c>
      <c r="G5456" s="6" t="str">
        <f>VLOOKUP(E5456,dicionario!$A$1:$C5855,2,0)</f>
        <v>Coragyps atratus</v>
      </c>
      <c r="H5456" s="6" t="str">
        <f>VLOOKUP(E5456,dicionario!$A$1:$C5855,3,0)</f>
        <v>urubu-de-cabeça-preta</v>
      </c>
    </row>
    <row r="5457">
      <c r="A5457" s="3">
        <v>45687.0</v>
      </c>
      <c r="B5457" s="4">
        <v>0.25555555555555554</v>
      </c>
      <c r="C5457" s="5" t="s">
        <v>8</v>
      </c>
      <c r="D5457" s="5" t="s">
        <v>1082</v>
      </c>
      <c r="E5457" s="8" t="s">
        <v>146</v>
      </c>
      <c r="F5457" s="5" t="s">
        <v>147</v>
      </c>
      <c r="G5457" s="6" t="str">
        <f>VLOOKUP(E5457,dicionario!$A$1:$C5856,2,0)</f>
        <v>Euphorbia hirta</v>
      </c>
      <c r="H5457" s="6" t="str">
        <f>VLOOKUP(E5457,dicionario!$A$1:$C5856,3,0)</f>
        <v>erva-de-santa-luzia</v>
      </c>
    </row>
    <row r="5458">
      <c r="A5458" s="3">
        <v>45687.0</v>
      </c>
      <c r="B5458" s="4">
        <v>0.25625</v>
      </c>
      <c r="C5458" s="5" t="s">
        <v>8</v>
      </c>
      <c r="D5458" s="5" t="s">
        <v>1082</v>
      </c>
      <c r="E5458" s="8" t="s">
        <v>1125</v>
      </c>
      <c r="F5458" s="5" t="s">
        <v>1126</v>
      </c>
      <c r="G5458" s="6" t="str">
        <f>VLOOKUP(E5458,dicionario!$A$1:$C5857,2,0)</f>
        <v>#N/A</v>
      </c>
      <c r="H5458" s="6" t="str">
        <f>VLOOKUP(E5458,dicionario!$A$1:$C5857,3,0)</f>
        <v>#N/A</v>
      </c>
    </row>
    <row r="5459">
      <c r="A5459" s="3">
        <v>45687.0</v>
      </c>
      <c r="B5459" s="4">
        <v>0.25625</v>
      </c>
      <c r="C5459" s="5" t="s">
        <v>8</v>
      </c>
      <c r="D5459" s="5" t="s">
        <v>1082</v>
      </c>
      <c r="E5459" s="8" t="s">
        <v>86</v>
      </c>
      <c r="F5459" s="5" t="s">
        <v>502</v>
      </c>
      <c r="G5459" s="6" t="str">
        <f>VLOOKUP(E5459,dicionario!$A$1:$C5858,2,0)</f>
        <v>Coereba flaveola</v>
      </c>
      <c r="H5459" s="6" t="str">
        <f>VLOOKUP(E5459,dicionario!$A$1:$C5858,3,0)</f>
        <v>cambacica</v>
      </c>
    </row>
    <row r="5460">
      <c r="A5460" s="3">
        <v>45687.0</v>
      </c>
      <c r="B5460" s="4">
        <v>0.25625</v>
      </c>
      <c r="C5460" s="5" t="s">
        <v>8</v>
      </c>
      <c r="D5460" s="5" t="s">
        <v>1082</v>
      </c>
      <c r="E5460" s="8" t="s">
        <v>467</v>
      </c>
      <c r="F5460" s="5" t="s">
        <v>468</v>
      </c>
      <c r="G5460" s="6" t="str">
        <f>VLOOKUP(E5460,dicionario!$A$1:$C5859,2,0)</f>
        <v>Eleusine indica</v>
      </c>
      <c r="H5460" s="6" t="str">
        <f>VLOOKUP(E5460,dicionario!$A$1:$C5859,3,0)</f>
        <v>capim-pé-de-galinha</v>
      </c>
    </row>
    <row r="5461">
      <c r="A5461" s="3">
        <v>45687.0</v>
      </c>
      <c r="B5461" s="4">
        <v>0.2569444444444444</v>
      </c>
      <c r="C5461" s="5" t="s">
        <v>8</v>
      </c>
      <c r="D5461" s="5" t="s">
        <v>1082</v>
      </c>
      <c r="E5461" s="8" t="s">
        <v>229</v>
      </c>
      <c r="F5461" s="5" t="s">
        <v>230</v>
      </c>
      <c r="G5461" s="6" t="str">
        <f>VLOOKUP(E5461,dicionario!$A$1:$C5860,2,0)</f>
        <v>Apis mellifera</v>
      </c>
      <c r="H5461" s="6" t="str">
        <f>VLOOKUP(E5461,dicionario!$A$1:$C5860,3,0)</f>
        <v>abelha-do-mel</v>
      </c>
    </row>
    <row r="5462">
      <c r="A5462" s="3">
        <v>45687.0</v>
      </c>
      <c r="B5462" s="4">
        <v>0.2569444444444444</v>
      </c>
      <c r="C5462" s="5" t="s">
        <v>8</v>
      </c>
      <c r="D5462" s="5" t="s">
        <v>1082</v>
      </c>
      <c r="E5462" s="8" t="s">
        <v>227</v>
      </c>
      <c r="F5462" s="5" t="s">
        <v>228</v>
      </c>
      <c r="G5462" s="6" t="str">
        <f>VLOOKUP(E5462,dicionario!$A$1:$C5861,2,0)</f>
        <v>Indigofera hirsuta</v>
      </c>
      <c r="H5462" s="6" t="str">
        <f>VLOOKUP(E5462,dicionario!$A$1:$C5861,3,0)</f>
        <v>anileira</v>
      </c>
    </row>
    <row r="5463">
      <c r="A5463" s="3">
        <v>45687.0</v>
      </c>
      <c r="B5463" s="4">
        <v>0.2569444444444444</v>
      </c>
      <c r="C5463" s="5" t="s">
        <v>8</v>
      </c>
      <c r="D5463" s="5" t="s">
        <v>1082</v>
      </c>
      <c r="E5463" s="8" t="s">
        <v>267</v>
      </c>
      <c r="F5463" s="5" t="s">
        <v>553</v>
      </c>
      <c r="G5463" s="6" t="str">
        <f>VLOOKUP(E5463,dicionario!$A$1:$C5862,2,0)</f>
        <v>Solanum americanum</v>
      </c>
      <c r="H5463" s="6" t="str">
        <f>VLOOKUP(E5463,dicionario!$A$1:$C5862,3,0)</f>
        <v>maria-pretinha</v>
      </c>
    </row>
    <row r="5464">
      <c r="A5464" s="3">
        <v>45687.0</v>
      </c>
      <c r="B5464" s="4">
        <v>0.2569444444444444</v>
      </c>
      <c r="C5464" s="5" t="s">
        <v>8</v>
      </c>
      <c r="D5464" s="5" t="s">
        <v>1082</v>
      </c>
      <c r="E5464" s="8" t="s">
        <v>613</v>
      </c>
      <c r="F5464" s="5" t="s">
        <v>614</v>
      </c>
      <c r="G5464" s="6" t="str">
        <f>VLOOKUP(E5464,dicionario!$A$1:$C5863,2,0)</f>
        <v>Euphorbia hyssopifolia</v>
      </c>
      <c r="H5464" s="6" t="str">
        <f>VLOOKUP(E5464,dicionario!$A$1:$C5863,3,0)</f>
        <v>maria-leite</v>
      </c>
    </row>
    <row r="5465">
      <c r="A5465" s="3">
        <v>45687.0</v>
      </c>
      <c r="B5465" s="4">
        <v>0.2569444444444444</v>
      </c>
      <c r="C5465" s="5" t="s">
        <v>8</v>
      </c>
      <c r="D5465" s="5" t="s">
        <v>1082</v>
      </c>
      <c r="E5465" s="8" t="s">
        <v>909</v>
      </c>
      <c r="F5465" s="5" t="s">
        <v>910</v>
      </c>
      <c r="G5465" s="6" t="str">
        <f>VLOOKUP(E5465,dicionario!$A$1:$C5864,2,0)</f>
        <v>Chordeiles acutipennis</v>
      </c>
      <c r="H5465" s="6" t="str">
        <f>VLOOKUP(E5465,dicionario!$A$1:$C5864,3,0)</f>
        <v>bacurau-de-asa-fina</v>
      </c>
    </row>
    <row r="5466">
      <c r="A5466" s="3">
        <v>45687.0</v>
      </c>
      <c r="B5466" s="4">
        <v>0.25763888888888886</v>
      </c>
      <c r="C5466" s="5" t="s">
        <v>8</v>
      </c>
      <c r="D5466" s="5" t="s">
        <v>1082</v>
      </c>
      <c r="E5466" s="8" t="s">
        <v>296</v>
      </c>
      <c r="F5466" s="5" t="s">
        <v>297</v>
      </c>
      <c r="G5466" s="6" t="str">
        <f>VLOOKUP(E5466,dicionario!$A$1:$C5865,2,0)</f>
        <v>Richardia brasiliensis</v>
      </c>
      <c r="H5466" s="6" t="str">
        <f>VLOOKUP(E5466,dicionario!$A$1:$C5865,3,0)</f>
        <v>poaia-branca</v>
      </c>
    </row>
    <row r="5467">
      <c r="A5467" s="3">
        <v>45687.0</v>
      </c>
      <c r="B5467" s="4">
        <v>0.25763888888888886</v>
      </c>
      <c r="C5467" s="5" t="s">
        <v>8</v>
      </c>
      <c r="D5467" s="5" t="s">
        <v>1082</v>
      </c>
      <c r="E5467" s="8" t="s">
        <v>191</v>
      </c>
      <c r="F5467" s="5" t="s">
        <v>192</v>
      </c>
      <c r="G5467" s="6" t="str">
        <f>VLOOKUP(E5467,dicionario!$A$1:$C5866,2,0)</f>
        <v>Patagioenas picazuro</v>
      </c>
      <c r="H5467" s="6" t="str">
        <f>VLOOKUP(E5467,dicionario!$A$1:$C5866,3,0)</f>
        <v>asa-branca; pomba-asa-branca; pocaçu</v>
      </c>
    </row>
    <row r="5468">
      <c r="A5468" s="3">
        <v>45687.0</v>
      </c>
      <c r="B5468" s="4">
        <v>0.25763888888888886</v>
      </c>
      <c r="C5468" s="5" t="s">
        <v>8</v>
      </c>
      <c r="D5468" s="5" t="s">
        <v>1082</v>
      </c>
      <c r="E5468" s="8" t="s">
        <v>353</v>
      </c>
      <c r="F5468" s="5" t="s">
        <v>354</v>
      </c>
      <c r="G5468" s="6" t="str">
        <f>VLOOKUP(E5468,dicionario!$A$1:$C5867,2,0)</f>
        <v>Desmodium incanum</v>
      </c>
      <c r="H5468" s="6" t="str">
        <f>VLOOKUP(E5468,dicionario!$A$1:$C5867,3,0)</f>
        <v>pega-pega</v>
      </c>
    </row>
    <row r="5469">
      <c r="A5469" s="3">
        <v>45687.0</v>
      </c>
      <c r="B5469" s="4">
        <v>0.25833333333333336</v>
      </c>
      <c r="C5469" s="5" t="s">
        <v>8</v>
      </c>
      <c r="D5469" s="5" t="s">
        <v>1082</v>
      </c>
      <c r="E5469" s="8" t="s">
        <v>732</v>
      </c>
      <c r="F5469" s="5" t="s">
        <v>739</v>
      </c>
      <c r="G5469" s="6" t="str">
        <f>VLOOKUP(E5469,dicionario!$A$1:$C5868,2,0)</f>
        <v>#N/A</v>
      </c>
      <c r="H5469" s="6" t="str">
        <f>VLOOKUP(E5469,dicionario!$A$1:$C5868,3,0)</f>
        <v>#N/A</v>
      </c>
    </row>
    <row r="5470">
      <c r="A5470" s="3">
        <v>45687.0</v>
      </c>
      <c r="B5470" s="4">
        <v>0.25833333333333336</v>
      </c>
      <c r="C5470" s="5" t="s">
        <v>8</v>
      </c>
      <c r="D5470" s="5" t="s">
        <v>1082</v>
      </c>
      <c r="E5470" s="8" t="s">
        <v>712</v>
      </c>
      <c r="F5470" s="5" t="s">
        <v>1006</v>
      </c>
      <c r="G5470" s="6" t="str">
        <f>VLOOKUP(E5470,dicionario!$A$1:$C5869,2,0)</f>
        <v>Flavopunctelia soredica</v>
      </c>
      <c r="H5470" s="6" t="str">
        <f>VLOOKUP(E5470,dicionario!$A$1:$C5869,3,0)</f>
        <v>líquen-folioso</v>
      </c>
    </row>
    <row r="5471">
      <c r="A5471" s="3">
        <v>45687.0</v>
      </c>
      <c r="B5471" s="4">
        <v>0.25833333333333336</v>
      </c>
      <c r="C5471" s="5" t="s">
        <v>8</v>
      </c>
      <c r="D5471" s="5" t="s">
        <v>1082</v>
      </c>
      <c r="E5471" s="8" t="s">
        <v>719</v>
      </c>
      <c r="F5471" s="5" t="s">
        <v>1005</v>
      </c>
      <c r="G5471" s="6" t="str">
        <f>VLOOKUP(E5471,dicionario!$A$1:$C5870,2,0)</f>
        <v>Dirinaria</v>
      </c>
      <c r="H5471" s="6" t="str">
        <f>VLOOKUP(E5471,dicionario!$A$1:$C5870,3,0)</f>
        <v>líquen-crostoso</v>
      </c>
    </row>
    <row r="5472">
      <c r="A5472" s="3">
        <v>45687.0</v>
      </c>
      <c r="B5472" s="4">
        <v>0.2590277777777778</v>
      </c>
      <c r="C5472" s="5" t="s">
        <v>8</v>
      </c>
      <c r="D5472" s="5" t="s">
        <v>1082</v>
      </c>
      <c r="E5472" s="8" t="s">
        <v>107</v>
      </c>
      <c r="F5472" s="5" t="s">
        <v>108</v>
      </c>
      <c r="G5472" s="6" t="str">
        <f>VLOOKUP(E5472,dicionario!$A$1:$C5871,2,0)</f>
        <v>Ramalina complanata</v>
      </c>
      <c r="H5472" s="6" t="str">
        <f>VLOOKUP(E5472,dicionario!$A$1:$C5871,3,0)</f>
        <v>ramalina</v>
      </c>
    </row>
    <row r="5473">
      <c r="A5473" s="3">
        <v>45687.0</v>
      </c>
      <c r="B5473" s="4">
        <v>0.2590277777777778</v>
      </c>
      <c r="C5473" s="5" t="s">
        <v>8</v>
      </c>
      <c r="D5473" s="5" t="s">
        <v>1082</v>
      </c>
      <c r="E5473" s="8" t="s">
        <v>223</v>
      </c>
      <c r="F5473" s="5" t="s">
        <v>1084</v>
      </c>
      <c r="G5473" s="6" t="str">
        <f>VLOOKUP(E5473,dicionario!$A$1:$C5872,2,0)</f>
        <v>Rhipsalis lindbergiana</v>
      </c>
      <c r="H5473" s="6" t="str">
        <f>VLOOKUP(E5473,dicionario!$A$1:$C5872,3,0)</f>
        <v>cacto-macarrão</v>
      </c>
    </row>
    <row r="5474">
      <c r="A5474" s="3">
        <v>45687.0</v>
      </c>
      <c r="B5474" s="4">
        <v>0.25972222222222224</v>
      </c>
      <c r="C5474" s="5" t="s">
        <v>8</v>
      </c>
      <c r="D5474" s="5" t="s">
        <v>1082</v>
      </c>
      <c r="E5474" s="8" t="s">
        <v>378</v>
      </c>
      <c r="F5474" s="5" t="s">
        <v>205</v>
      </c>
      <c r="G5474" s="6" t="str">
        <f>VLOOKUP(E5474,dicionario!$A$1:$C5873,2,0)</f>
        <v>Polistes</v>
      </c>
      <c r="H5474" s="6" t="str">
        <f>VLOOKUP(E5474,dicionario!$A$1:$C5873,3,0)</f>
        <v>marimbondo</v>
      </c>
    </row>
    <row r="5475">
      <c r="A5475" s="3">
        <v>45687.0</v>
      </c>
      <c r="B5475" s="4">
        <v>0.2604166666666667</v>
      </c>
      <c r="C5475" s="5" t="s">
        <v>8</v>
      </c>
      <c r="D5475" s="5" t="s">
        <v>1082</v>
      </c>
      <c r="E5475" s="8" t="s">
        <v>302</v>
      </c>
      <c r="F5475" s="5" t="s">
        <v>89</v>
      </c>
      <c r="G5475" s="6" t="str">
        <f>VLOOKUP(E5475,dicionario!$A$1:$C5874,2,0)</f>
        <v>Machetornis rixosa</v>
      </c>
      <c r="H5475" s="6" t="str">
        <f>VLOOKUP(E5475,dicionario!$A$1:$C5874,3,0)</f>
        <v>suiriri-cavaleiro</v>
      </c>
    </row>
    <row r="5476">
      <c r="A5476" s="3">
        <v>45687.0</v>
      </c>
      <c r="B5476" s="4">
        <v>0.2604166666666667</v>
      </c>
      <c r="C5476" s="5" t="s">
        <v>8</v>
      </c>
      <c r="D5476" s="5" t="s">
        <v>1082</v>
      </c>
      <c r="E5476" s="8" t="s">
        <v>372</v>
      </c>
      <c r="F5476" s="5" t="s">
        <v>373</v>
      </c>
      <c r="G5476" s="6" t="str">
        <f>VLOOKUP(E5476,dicionario!$A$1:$C5875,2,0)</f>
        <v>Rupornis magnirostris</v>
      </c>
      <c r="H5476" s="6" t="str">
        <f>VLOOKUP(E5476,dicionario!$A$1:$C5875,3,0)</f>
        <v>gavião-carijó</v>
      </c>
    </row>
    <row r="5477">
      <c r="A5477" s="3">
        <v>45687.0</v>
      </c>
      <c r="B5477" s="4">
        <v>0.2611111111111111</v>
      </c>
      <c r="C5477" s="5" t="s">
        <v>8</v>
      </c>
      <c r="D5477" s="5" t="s">
        <v>1082</v>
      </c>
      <c r="E5477" s="8" t="s">
        <v>22</v>
      </c>
      <c r="F5477" s="5" t="s">
        <v>97</v>
      </c>
      <c r="G5477" s="6" t="str">
        <f>VLOOKUP(E5477,dicionario!$A$1:$C5876,2,0)</f>
        <v>Zenaida auriculata</v>
      </c>
      <c r="H5477" s="6" t="str">
        <f>VLOOKUP(E5477,dicionario!$A$1:$C5876,3,0)</f>
        <v>pomba-de-bando; avoante</v>
      </c>
    </row>
    <row r="5478">
      <c r="A5478" s="3">
        <v>45687.0</v>
      </c>
      <c r="B5478" s="4">
        <v>0.2611111111111111</v>
      </c>
      <c r="C5478" s="5" t="s">
        <v>8</v>
      </c>
      <c r="D5478" s="5" t="s">
        <v>1082</v>
      </c>
      <c r="E5478" s="8" t="s">
        <v>503</v>
      </c>
      <c r="F5478" s="5" t="s">
        <v>414</v>
      </c>
      <c r="G5478" s="6" t="str">
        <f>VLOOKUP(E5478,dicionario!$A$1:$C5877,2,0)</f>
        <v>Orphulella punctata</v>
      </c>
      <c r="H5478" s="6" t="str">
        <f>VLOOKUP(E5478,dicionario!$A$1:$C5877,3,0)</f>
        <v>gafanhotinho</v>
      </c>
    </row>
    <row r="5479">
      <c r="A5479" s="3">
        <v>45687.0</v>
      </c>
      <c r="B5479" s="4">
        <v>0.2611111111111111</v>
      </c>
      <c r="C5479" s="5" t="s">
        <v>8</v>
      </c>
      <c r="D5479" s="5" t="s">
        <v>1082</v>
      </c>
      <c r="E5479" s="8" t="s">
        <v>1008</v>
      </c>
      <c r="F5479" s="5" t="s">
        <v>1013</v>
      </c>
      <c r="G5479" s="6" t="str">
        <f>VLOOKUP(E5479,dicionario!$A$1:$C5878,2,0)</f>
        <v>Syntermes molestus</v>
      </c>
      <c r="H5479" s="6" t="str">
        <f>VLOOKUP(E5479,dicionario!$A$1:$C5878,3,0)</f>
        <v>cupim-bate-cabeça</v>
      </c>
    </row>
    <row r="5480">
      <c r="A5480" s="3">
        <v>45687.0</v>
      </c>
      <c r="B5480" s="4">
        <v>0.26180555555555557</v>
      </c>
      <c r="C5480" s="5" t="s">
        <v>8</v>
      </c>
      <c r="D5480" s="5" t="s">
        <v>1082</v>
      </c>
      <c r="E5480" s="8" t="s">
        <v>99</v>
      </c>
      <c r="F5480" s="5" t="s">
        <v>508</v>
      </c>
      <c r="G5480" s="6" t="str">
        <f>VLOOKUP(E5480,dicionario!$A$1:$C5879,2,0)</f>
        <v>Molothrus bonariensis</v>
      </c>
      <c r="H5480" s="6" t="str">
        <f>VLOOKUP(E5480,dicionario!$A$1:$C5879,3,0)</f>
        <v>chupim</v>
      </c>
    </row>
    <row r="5481">
      <c r="A5481" s="3">
        <v>45687.0</v>
      </c>
      <c r="B5481" s="4">
        <v>0.26180555555555557</v>
      </c>
      <c r="C5481" s="5" t="s">
        <v>8</v>
      </c>
      <c r="D5481" s="5" t="s">
        <v>1082</v>
      </c>
      <c r="E5481" s="8" t="s">
        <v>200</v>
      </c>
      <c r="F5481" s="5" t="s">
        <v>201</v>
      </c>
      <c r="G5481" s="6" t="str">
        <f>VLOOKUP(E5481,dicionario!$A$1:$C5880,2,0)</f>
        <v>Columbina picui </v>
      </c>
      <c r="H5481" s="6" t="str">
        <f>VLOOKUP(E5481,dicionario!$A$1:$C5880,3,0)</f>
        <v>rolinha-picuí</v>
      </c>
    </row>
    <row r="5482">
      <c r="A5482" s="3">
        <v>45687.0</v>
      </c>
      <c r="B5482" s="4">
        <v>0.26180555555555557</v>
      </c>
      <c r="C5482" s="5" t="s">
        <v>8</v>
      </c>
      <c r="D5482" s="5" t="s">
        <v>1082</v>
      </c>
      <c r="E5482" s="8" t="s">
        <v>113</v>
      </c>
      <c r="F5482" s="5" t="s">
        <v>114</v>
      </c>
      <c r="G5482" s="6" t="str">
        <f>VLOOKUP(E5482,dicionario!$A$1:$C5881,2,0)</f>
        <v>Columbina talpacoti</v>
      </c>
      <c r="H5482" s="6" t="str">
        <f>VLOOKUP(E5482,dicionario!$A$1:$C5881,3,0)</f>
        <v>rolinha-roxa</v>
      </c>
    </row>
    <row r="5483">
      <c r="A5483" s="3">
        <v>45687.0</v>
      </c>
      <c r="B5483" s="4">
        <v>0.26180555555555557</v>
      </c>
      <c r="C5483" s="5" t="s">
        <v>8</v>
      </c>
      <c r="D5483" s="5" t="s">
        <v>1082</v>
      </c>
      <c r="E5483" s="8" t="s">
        <v>65</v>
      </c>
      <c r="F5483" s="5" t="s">
        <v>66</v>
      </c>
      <c r="G5483" s="6" t="str">
        <f>VLOOKUP(E5483,dicionario!$A$1:$C5882,2,0)</f>
        <v>Pitangus sulphutarus</v>
      </c>
      <c r="H5483" s="6" t="str">
        <f>VLOOKUP(E5483,dicionario!$A$1:$C5882,3,0)</f>
        <v>bem-te-vi</v>
      </c>
    </row>
    <row r="5484">
      <c r="A5484" s="3">
        <v>45687.0</v>
      </c>
      <c r="B5484" s="4">
        <v>0.2625</v>
      </c>
      <c r="C5484" s="5" t="s">
        <v>8</v>
      </c>
      <c r="D5484" s="5" t="s">
        <v>1082</v>
      </c>
      <c r="E5484" s="8" t="s">
        <v>225</v>
      </c>
      <c r="F5484" s="5" t="s">
        <v>226</v>
      </c>
      <c r="G5484" s="6" t="str">
        <f>VLOOKUP(E5484,dicionario!$A$1:$C5883,2,0)</f>
        <v>Passer domesticus</v>
      </c>
      <c r="H5484" s="6" t="str">
        <f>VLOOKUP(E5484,dicionario!$A$1:$C5883,3,0)</f>
        <v>pardal</v>
      </c>
    </row>
    <row r="5485">
      <c r="A5485" s="3">
        <v>45687.0</v>
      </c>
      <c r="B5485" s="4">
        <v>0.2625</v>
      </c>
      <c r="C5485" s="5" t="s">
        <v>8</v>
      </c>
      <c r="D5485" s="5" t="s">
        <v>1082</v>
      </c>
      <c r="E5485" s="8" t="s">
        <v>792</v>
      </c>
      <c r="F5485" s="5" t="s">
        <v>1014</v>
      </c>
      <c r="G5485" s="6" t="str">
        <f>VLOOKUP(E5485,dicionario!$A$1:$C5884,2,0)</f>
        <v>Musca domestica</v>
      </c>
      <c r="H5485" s="6" t="str">
        <f>VLOOKUP(E5485,dicionario!$A$1:$C5884,3,0)</f>
        <v>mosca-doméstica</v>
      </c>
    </row>
    <row r="5486">
      <c r="A5486" s="3">
        <v>45687.0</v>
      </c>
      <c r="B5486" s="4">
        <v>0.26319444444444445</v>
      </c>
      <c r="C5486" s="5" t="s">
        <v>905</v>
      </c>
      <c r="D5486" s="5" t="s">
        <v>1082</v>
      </c>
      <c r="E5486" s="8" t="s">
        <v>302</v>
      </c>
      <c r="F5486" s="5" t="s">
        <v>89</v>
      </c>
      <c r="G5486" s="6" t="str">
        <f>VLOOKUP(E5486,dicionario!$A$1:$C5885,2,0)</f>
        <v>Machetornis rixosa</v>
      </c>
      <c r="H5486" s="6" t="str">
        <f>VLOOKUP(E5486,dicionario!$A$1:$C5885,3,0)</f>
        <v>suiriri-cavaleiro</v>
      </c>
    </row>
    <row r="5487">
      <c r="A5487" s="3">
        <v>45687.0</v>
      </c>
      <c r="B5487" s="4">
        <v>0.26319444444444445</v>
      </c>
      <c r="C5487" s="5" t="s">
        <v>905</v>
      </c>
      <c r="D5487" s="5" t="s">
        <v>1082</v>
      </c>
      <c r="E5487" s="8" t="s">
        <v>217</v>
      </c>
      <c r="F5487" s="5" t="s">
        <v>218</v>
      </c>
      <c r="G5487" s="6" t="str">
        <f>VLOOKUP(E5487,dicionario!$A$1:$C5886,2,0)</f>
        <v>Athene cunicularia</v>
      </c>
      <c r="H5487" s="6" t="str">
        <f>VLOOKUP(E5487,dicionario!$A$1:$C5886,3,0)</f>
        <v>coruja-buraqueira</v>
      </c>
    </row>
    <row r="5488">
      <c r="A5488" s="3">
        <v>45687.0</v>
      </c>
      <c r="B5488" s="4">
        <v>0.26319444444444445</v>
      </c>
      <c r="C5488" s="5" t="s">
        <v>905</v>
      </c>
      <c r="D5488" s="5" t="s">
        <v>1082</v>
      </c>
      <c r="E5488" s="8" t="s">
        <v>298</v>
      </c>
      <c r="F5488" s="5" t="s">
        <v>739</v>
      </c>
      <c r="G5488" s="6" t="str">
        <f>VLOOKUP(E5488,dicionario!$A$1:$C5887,2,0)</f>
        <v>Alysicarpus vaginalis</v>
      </c>
      <c r="H5488" s="6" t="str">
        <f>VLOOKUP(E5488,dicionario!$A$1:$C5887,3,0)</f>
        <v/>
      </c>
    </row>
    <row r="5489">
      <c r="A5489" s="3">
        <v>45687.0</v>
      </c>
      <c r="B5489" s="4">
        <v>0.2638888888888889</v>
      </c>
      <c r="C5489" s="5" t="s">
        <v>905</v>
      </c>
      <c r="D5489" s="5" t="s">
        <v>1082</v>
      </c>
      <c r="E5489" s="8" t="s">
        <v>135</v>
      </c>
      <c r="F5489" s="5" t="s">
        <v>136</v>
      </c>
      <c r="G5489" s="6" t="str">
        <f>VLOOKUP(E5489,dicionario!$A$1:$C5888,2,0)</f>
        <v>Tridax procumbens</v>
      </c>
      <c r="H5489" s="6" t="str">
        <f>VLOOKUP(E5489,dicionario!$A$1:$C5888,3,0)</f>
        <v>erva-de-touro</v>
      </c>
    </row>
    <row r="5490">
      <c r="A5490" s="3">
        <v>45687.0</v>
      </c>
      <c r="B5490" s="4">
        <v>0.2638888888888889</v>
      </c>
      <c r="C5490" s="5" t="s">
        <v>905</v>
      </c>
      <c r="D5490" s="5" t="s">
        <v>1082</v>
      </c>
      <c r="E5490" s="20" t="s">
        <v>676</v>
      </c>
      <c r="F5490" s="7" t="s">
        <v>677</v>
      </c>
      <c r="G5490" s="6" t="str">
        <f>VLOOKUP(E5490,dicionario!$A$1:$C5889,2,0)</f>
        <v>Zornia latifolia</v>
      </c>
      <c r="H5490" s="6" t="str">
        <f>VLOOKUP(E5490,dicionario!$A$1:$C5889,3,0)</f>
        <v>arrozinho-do-campo</v>
      </c>
    </row>
    <row r="5491">
      <c r="A5491" s="3">
        <v>45687.0</v>
      </c>
      <c r="B5491" s="4">
        <v>0.2638888888888889</v>
      </c>
      <c r="C5491" s="5" t="s">
        <v>905</v>
      </c>
      <c r="D5491" s="5" t="s">
        <v>1082</v>
      </c>
      <c r="E5491" s="8" t="s">
        <v>338</v>
      </c>
      <c r="F5491" s="5" t="s">
        <v>929</v>
      </c>
      <c r="G5491" s="6" t="str">
        <f>VLOOKUP(E5491,dicionario!$A$1:$C5890,2,0)</f>
        <v>Atta</v>
      </c>
      <c r="H5491" s="6" t="str">
        <f>VLOOKUP(E5491,dicionario!$A$1:$C5890,3,0)</f>
        <v>saúva</v>
      </c>
    </row>
    <row r="5492">
      <c r="A5492" s="3">
        <v>45687.0</v>
      </c>
      <c r="B5492" s="4">
        <v>0.2638888888888889</v>
      </c>
      <c r="C5492" s="5" t="s">
        <v>905</v>
      </c>
      <c r="D5492" s="5" t="s">
        <v>1082</v>
      </c>
      <c r="E5492" s="8" t="s">
        <v>613</v>
      </c>
      <c r="F5492" s="5" t="s">
        <v>614</v>
      </c>
      <c r="G5492" s="6" t="str">
        <f>VLOOKUP(E5492,dicionario!$A$1:$C5891,2,0)</f>
        <v>Euphorbia hyssopifolia</v>
      </c>
      <c r="H5492" s="6" t="str">
        <f>VLOOKUP(E5492,dicionario!$A$1:$C5891,3,0)</f>
        <v>maria-leite</v>
      </c>
    </row>
    <row r="5493">
      <c r="A5493" s="3">
        <v>45687.0</v>
      </c>
      <c r="B5493" s="4">
        <v>0.2638888888888889</v>
      </c>
      <c r="C5493" s="5" t="s">
        <v>905</v>
      </c>
      <c r="D5493" s="5" t="s">
        <v>1082</v>
      </c>
      <c r="E5493" s="8" t="s">
        <v>229</v>
      </c>
      <c r="F5493" s="5" t="s">
        <v>230</v>
      </c>
      <c r="G5493" s="6" t="str">
        <f>VLOOKUP(E5493,dicionario!$A$1:$C5892,2,0)</f>
        <v>Apis mellifera</v>
      </c>
      <c r="H5493" s="6" t="str">
        <f>VLOOKUP(E5493,dicionario!$A$1:$C5892,3,0)</f>
        <v>abelha-do-mel</v>
      </c>
    </row>
    <row r="5494">
      <c r="A5494" s="3">
        <v>45687.0</v>
      </c>
      <c r="B5494" s="4">
        <v>0.26458333333333334</v>
      </c>
      <c r="C5494" s="5" t="s">
        <v>905</v>
      </c>
      <c r="D5494" s="5" t="s">
        <v>1082</v>
      </c>
      <c r="E5494" s="8" t="s">
        <v>483</v>
      </c>
      <c r="F5494" s="5" t="s">
        <v>484</v>
      </c>
      <c r="G5494" s="6" t="str">
        <f>VLOOKUP(E5494,dicionario!$A$1:$C5893,2,0)</f>
        <v>Euphorbia prostrata</v>
      </c>
      <c r="H5494" s="6" t="str">
        <f>VLOOKUP(E5494,dicionario!$A$1:$C5893,3,0)</f>
        <v>quebra-pedra-rasteira</v>
      </c>
    </row>
    <row r="5495">
      <c r="A5495" s="3">
        <v>45687.0</v>
      </c>
      <c r="B5495" s="4">
        <v>0.26458333333333334</v>
      </c>
      <c r="C5495" s="5" t="s">
        <v>905</v>
      </c>
      <c r="D5495" s="5" t="s">
        <v>1082</v>
      </c>
      <c r="E5495" s="8" t="s">
        <v>353</v>
      </c>
      <c r="F5495" s="5" t="s">
        <v>354</v>
      </c>
      <c r="G5495" s="6" t="str">
        <f>VLOOKUP(E5495,dicionario!$A$1:$C5894,2,0)</f>
        <v>Desmodium incanum</v>
      </c>
      <c r="H5495" s="6" t="str">
        <f>VLOOKUP(E5495,dicionario!$A$1:$C5894,3,0)</f>
        <v>pega-pega</v>
      </c>
    </row>
    <row r="5496">
      <c r="A5496" s="3">
        <v>45687.0</v>
      </c>
      <c r="B5496" s="4">
        <v>0.26458333333333334</v>
      </c>
      <c r="C5496" s="5" t="s">
        <v>905</v>
      </c>
      <c r="D5496" s="5" t="s">
        <v>1082</v>
      </c>
      <c r="E5496" s="8" t="s">
        <v>60</v>
      </c>
      <c r="F5496" s="5" t="s">
        <v>61</v>
      </c>
      <c r="G5496" s="6" t="str">
        <f>VLOOKUP(E5496,dicionario!$A$1:$C5895,2,0)</f>
        <v>Vanellus chilensis</v>
      </c>
      <c r="H5496" s="6" t="str">
        <f>VLOOKUP(E5496,dicionario!$A$1:$C5895,3,0)</f>
        <v>quero-quero</v>
      </c>
    </row>
    <row r="5497">
      <c r="A5497" s="3">
        <v>45687.0</v>
      </c>
      <c r="B5497" s="4">
        <v>0.26458333333333334</v>
      </c>
      <c r="C5497" s="5" t="s">
        <v>905</v>
      </c>
      <c r="D5497" s="5" t="s">
        <v>1082</v>
      </c>
      <c r="E5497" s="8" t="s">
        <v>358</v>
      </c>
      <c r="F5497" s="5" t="s">
        <v>472</v>
      </c>
      <c r="G5497" s="6" t="str">
        <f>VLOOKUP(E5497,dicionario!$A$1:$C5896,2,0)</f>
        <v>Sida</v>
      </c>
      <c r="H5497" s="6" t="str">
        <f>VLOOKUP(E5497,dicionario!$A$1:$C5896,3,0)</f>
        <v/>
      </c>
    </row>
    <row r="5498">
      <c r="A5498" s="3">
        <v>45687.0</v>
      </c>
      <c r="B5498" s="4">
        <v>0.2652777777777778</v>
      </c>
      <c r="C5498" s="5" t="s">
        <v>905</v>
      </c>
      <c r="D5498" s="5" t="s">
        <v>1082</v>
      </c>
      <c r="E5498" s="8" t="s">
        <v>111</v>
      </c>
      <c r="F5498" s="7" t="s">
        <v>112</v>
      </c>
      <c r="G5498" s="6" t="str">
        <f>VLOOKUP(E5498,dicionario!$A$1:$C5897,2,0)</f>
        <v>Trigona spinipes</v>
      </c>
      <c r="H5498" s="6" t="str">
        <f>VLOOKUP(E5498,dicionario!$A$1:$C5897,3,0)</f>
        <v>abelha-cachorro</v>
      </c>
    </row>
    <row r="5499">
      <c r="A5499" s="3">
        <v>45687.0</v>
      </c>
      <c r="B5499" s="4">
        <v>0.2652777777777778</v>
      </c>
      <c r="C5499" s="5" t="s">
        <v>905</v>
      </c>
      <c r="D5499" s="5" t="s">
        <v>1082</v>
      </c>
      <c r="E5499" s="8" t="s">
        <v>41</v>
      </c>
      <c r="F5499" s="5" t="s">
        <v>45</v>
      </c>
      <c r="G5499" s="6" t="str">
        <f>VLOOKUP(E5499,dicionario!$A$1:$C5898,2,0)</f>
        <v>Mimosa pudica</v>
      </c>
      <c r="H5499" s="6" t="str">
        <f>VLOOKUP(E5499,dicionario!$A$1:$C5898,3,0)</f>
        <v>dormideira</v>
      </c>
    </row>
    <row r="5500">
      <c r="A5500" s="3">
        <v>45687.0</v>
      </c>
      <c r="B5500" s="4">
        <v>0.2659722222222222</v>
      </c>
      <c r="C5500" s="5" t="s">
        <v>905</v>
      </c>
      <c r="D5500" s="5" t="s">
        <v>1082</v>
      </c>
      <c r="E5500" s="8" t="s">
        <v>99</v>
      </c>
      <c r="F5500" s="5" t="s">
        <v>508</v>
      </c>
      <c r="G5500" s="6" t="str">
        <f>VLOOKUP(E5500,dicionario!$A$1:$C5899,2,0)</f>
        <v>Molothrus bonariensis</v>
      </c>
      <c r="H5500" s="6" t="str">
        <f>VLOOKUP(E5500,dicionario!$A$1:$C5899,3,0)</f>
        <v>chupim</v>
      </c>
    </row>
    <row r="5501">
      <c r="A5501" s="3">
        <v>45687.0</v>
      </c>
      <c r="B5501" s="4">
        <v>0.2659722222222222</v>
      </c>
      <c r="C5501" s="5" t="s">
        <v>905</v>
      </c>
      <c r="D5501" s="5" t="s">
        <v>1082</v>
      </c>
      <c r="E5501" s="8" t="s">
        <v>1127</v>
      </c>
      <c r="F5501" s="5" t="s">
        <v>1128</v>
      </c>
      <c r="G5501" s="6" t="str">
        <f>VLOOKUP(E5501,dicionario!$A$1:$C5900,2,0)</f>
        <v>Albizia lebbeck</v>
      </c>
      <c r="H5501" s="6" t="str">
        <f>VLOOKUP(E5501,dicionario!$A$1:$C5900,3,0)</f>
        <v>albízia</v>
      </c>
    </row>
    <row r="5502">
      <c r="A5502" s="3">
        <v>45687.0</v>
      </c>
      <c r="B5502" s="4">
        <v>0.2659722222222222</v>
      </c>
      <c r="C5502" s="5" t="s">
        <v>905</v>
      </c>
      <c r="D5502" s="5" t="s">
        <v>1082</v>
      </c>
      <c r="E5502" s="8" t="s">
        <v>360</v>
      </c>
      <c r="F5502" s="7" t="s">
        <v>361</v>
      </c>
      <c r="G5502" s="6" t="str">
        <f>VLOOKUP(E5502,dicionario!$A$1:$C5901,2,0)</f>
        <v>Chamaecrista rotundifolia</v>
      </c>
      <c r="H5502" s="6" t="str">
        <f>VLOOKUP(E5502,dicionario!$A$1:$C5901,3,0)</f>
        <v>alfafa-nativa</v>
      </c>
    </row>
    <row r="5503">
      <c r="A5503" s="3">
        <v>45687.0</v>
      </c>
      <c r="B5503" s="4">
        <v>0.2659722222222222</v>
      </c>
      <c r="C5503" s="5" t="s">
        <v>905</v>
      </c>
      <c r="D5503" s="5" t="s">
        <v>1082</v>
      </c>
      <c r="E5503" s="8" t="s">
        <v>239</v>
      </c>
      <c r="F5503" s="5" t="s">
        <v>240</v>
      </c>
      <c r="G5503" s="6" t="str">
        <f>VLOOKUP(E5503,dicionario!$A$1:$C5902,2,0)</f>
        <v>Gomphrena celosioides</v>
      </c>
      <c r="H5503" s="6" t="str">
        <f>VLOOKUP(E5503,dicionario!$A$1:$C5902,3,0)</f>
        <v>perpétua-branca</v>
      </c>
    </row>
    <row r="5504">
      <c r="A5504" s="3">
        <v>45687.0</v>
      </c>
      <c r="B5504" s="4">
        <v>0.2659722222222222</v>
      </c>
      <c r="C5504" s="5" t="s">
        <v>905</v>
      </c>
      <c r="D5504" s="5" t="s">
        <v>1082</v>
      </c>
      <c r="E5504" s="8" t="s">
        <v>20</v>
      </c>
      <c r="F5504" s="7" t="s">
        <v>21</v>
      </c>
      <c r="G5504" s="6" t="str">
        <f>VLOOKUP(E5504,dicionario!$A$1:$C5903,2,0)</f>
        <v>Sicalis flaveola</v>
      </c>
      <c r="H5504" s="6" t="str">
        <f>VLOOKUP(E5504,dicionario!$A$1:$C5903,3,0)</f>
        <v>canário-da-terra</v>
      </c>
    </row>
    <row r="5505">
      <c r="A5505" s="3">
        <v>45687.0</v>
      </c>
      <c r="B5505" s="4">
        <v>0.2659722222222222</v>
      </c>
      <c r="C5505" s="5" t="s">
        <v>905</v>
      </c>
      <c r="D5505" s="5" t="s">
        <v>1082</v>
      </c>
      <c r="E5505" s="6" t="s">
        <v>237</v>
      </c>
      <c r="F5505" s="7" t="s">
        <v>238</v>
      </c>
      <c r="G5505" s="6" t="str">
        <f>VLOOKUP(E5505,dicionario!$A$1:$C5904,2,0)</f>
        <v>Acromyrmex</v>
      </c>
      <c r="H5505" s="6" t="str">
        <f>VLOOKUP(E5505,dicionario!$A$1:$C5904,3,0)</f>
        <v>quenquén</v>
      </c>
    </row>
    <row r="5506">
      <c r="A5506" s="3">
        <v>45687.0</v>
      </c>
      <c r="B5506" s="4">
        <v>0.26666666666666666</v>
      </c>
      <c r="C5506" s="5" t="s">
        <v>905</v>
      </c>
      <c r="D5506" s="5" t="s">
        <v>1082</v>
      </c>
      <c r="E5506" s="6" t="s">
        <v>245</v>
      </c>
      <c r="F5506" s="7" t="s">
        <v>246</v>
      </c>
      <c r="G5506" s="6" t="str">
        <f>VLOOKUP(E5506,dicionario!$A$1:$C5905,2,0)</f>
        <v>Hemiargus hanno</v>
      </c>
      <c r="H5506" s="6" t="str">
        <f>VLOOKUP(E5506,dicionario!$A$1:$C5905,3,0)</f>
        <v>borboleta-azulzinha-do-trevo</v>
      </c>
    </row>
    <row r="5507">
      <c r="A5507" s="3">
        <v>45687.0</v>
      </c>
      <c r="B5507" s="4">
        <v>0.26666666666666666</v>
      </c>
      <c r="C5507" s="5" t="s">
        <v>905</v>
      </c>
      <c r="D5507" s="5" t="s">
        <v>1082</v>
      </c>
      <c r="E5507" s="8" t="s">
        <v>503</v>
      </c>
      <c r="F5507" s="5" t="s">
        <v>414</v>
      </c>
      <c r="G5507" s="6" t="str">
        <f>VLOOKUP(E5507,dicionario!$A$1:$C5906,2,0)</f>
        <v>Orphulella punctata</v>
      </c>
      <c r="H5507" s="6" t="str">
        <f>VLOOKUP(E5507,dicionario!$A$1:$C5906,3,0)</f>
        <v>gafanhotinho</v>
      </c>
    </row>
    <row r="5508">
      <c r="A5508" s="3">
        <v>45687.0</v>
      </c>
      <c r="B5508" s="4">
        <v>0.26666666666666666</v>
      </c>
      <c r="C5508" s="5" t="s">
        <v>905</v>
      </c>
      <c r="D5508" s="5" t="s">
        <v>1082</v>
      </c>
      <c r="E5508" s="8" t="s">
        <v>163</v>
      </c>
      <c r="F5508" s="5" t="s">
        <v>164</v>
      </c>
      <c r="G5508" s="6" t="str">
        <f>VLOOKUP(E5508,dicionario!$A$1:$C5907,2,0)</f>
        <v>Coragyps atratus</v>
      </c>
      <c r="H5508" s="6" t="str">
        <f>VLOOKUP(E5508,dicionario!$A$1:$C5907,3,0)</f>
        <v>urubu-de-cabeça-preta</v>
      </c>
    </row>
    <row r="5509">
      <c r="A5509" s="3">
        <v>45687.0</v>
      </c>
      <c r="B5509" s="4">
        <v>0.2673611111111111</v>
      </c>
      <c r="C5509" s="5" t="s">
        <v>905</v>
      </c>
      <c r="D5509" s="5" t="s">
        <v>1082</v>
      </c>
      <c r="E5509" s="8" t="s">
        <v>915</v>
      </c>
      <c r="F5509" s="5" t="s">
        <v>916</v>
      </c>
      <c r="G5509" s="6" t="str">
        <f>VLOOKUP(E5509,dicionario!$A$1:$C5908,2,0)</f>
        <v>Tachycineta albiventer</v>
      </c>
      <c r="H5509" s="6" t="str">
        <f>VLOOKUP(E5509,dicionario!$A$1:$C5908,3,0)</f>
        <v>andorinha-de-rio</v>
      </c>
    </row>
    <row r="5510">
      <c r="A5510" s="3">
        <v>45687.0</v>
      </c>
      <c r="B5510" s="4">
        <v>0.2673611111111111</v>
      </c>
      <c r="C5510" s="5" t="s">
        <v>905</v>
      </c>
      <c r="D5510" s="5" t="s">
        <v>1082</v>
      </c>
      <c r="E5510" s="8" t="s">
        <v>225</v>
      </c>
      <c r="F5510" s="5" t="s">
        <v>226</v>
      </c>
      <c r="G5510" s="6" t="str">
        <f>VLOOKUP(E5510,dicionario!$A$1:$C5909,2,0)</f>
        <v>Passer domesticus</v>
      </c>
      <c r="H5510" s="6" t="str">
        <f>VLOOKUP(E5510,dicionario!$A$1:$C5909,3,0)</f>
        <v>pardal</v>
      </c>
    </row>
    <row r="5511">
      <c r="A5511" s="3">
        <v>45687.0</v>
      </c>
      <c r="B5511" s="4">
        <v>0.2673611111111111</v>
      </c>
      <c r="C5511" s="5" t="s">
        <v>905</v>
      </c>
      <c r="D5511" s="5" t="s">
        <v>1082</v>
      </c>
      <c r="E5511" s="8" t="s">
        <v>366</v>
      </c>
      <c r="F5511" s="5" t="s">
        <v>367</v>
      </c>
      <c r="G5511" s="6" t="str">
        <f>VLOOKUP(E5511,dicionario!$A$1:$C5910,2,0)</f>
        <v>Alternanthera ficoidea</v>
      </c>
      <c r="H5511" s="6" t="str">
        <f>VLOOKUP(E5511,dicionario!$A$1:$C5910,3,0)</f>
        <v>quebra-panela</v>
      </c>
    </row>
    <row r="5512">
      <c r="A5512" s="3">
        <v>45687.0</v>
      </c>
      <c r="B5512" s="4">
        <v>0.26875</v>
      </c>
      <c r="C5512" s="5" t="s">
        <v>905</v>
      </c>
      <c r="D5512" s="5" t="s">
        <v>1082</v>
      </c>
      <c r="E5512" s="8" t="s">
        <v>286</v>
      </c>
      <c r="F5512" s="5" t="s">
        <v>287</v>
      </c>
      <c r="G5512" s="6" t="str">
        <f>VLOOKUP(E5512,dicionario!$A$1:$C5911,2,0)</f>
        <v>Setaria parviflora</v>
      </c>
      <c r="H5512" s="6" t="str">
        <f>VLOOKUP(E5512,dicionario!$A$1:$C5911,3,0)</f>
        <v>capim-rabo-de-raposa</v>
      </c>
    </row>
    <row r="5513">
      <c r="A5513" s="3">
        <v>45687.0</v>
      </c>
      <c r="B5513" s="4">
        <v>0.26875</v>
      </c>
      <c r="C5513" s="5" t="s">
        <v>905</v>
      </c>
      <c r="D5513" s="5" t="s">
        <v>1082</v>
      </c>
      <c r="E5513" s="8" t="s">
        <v>253</v>
      </c>
      <c r="F5513" s="5" t="s">
        <v>254</v>
      </c>
      <c r="G5513" s="6" t="str">
        <f>VLOOKUP(E5513,dicionario!$A$1:$C5912,2,0)</f>
        <v>Panicum maximum</v>
      </c>
      <c r="H5513" s="6" t="str">
        <f>VLOOKUP(E5513,dicionario!$A$1:$C5912,3,0)</f>
        <v>capim-colonião</v>
      </c>
    </row>
    <row r="5514">
      <c r="A5514" s="3">
        <v>45687.0</v>
      </c>
      <c r="B5514" s="4">
        <v>0.26875</v>
      </c>
      <c r="C5514" s="5" t="s">
        <v>905</v>
      </c>
      <c r="D5514" s="5" t="s">
        <v>1082</v>
      </c>
      <c r="E5514" s="8" t="s">
        <v>1129</v>
      </c>
      <c r="F5514" s="5" t="s">
        <v>1130</v>
      </c>
      <c r="G5514" s="6" t="str">
        <f>VLOOKUP(E5514,dicionario!$A$1:$C5913,2,0)</f>
        <v>#N/A</v>
      </c>
      <c r="H5514" s="6" t="str">
        <f>VLOOKUP(E5514,dicionario!$A$1:$C5913,3,0)</f>
        <v>#N/A</v>
      </c>
    </row>
    <row r="5515">
      <c r="A5515" s="3">
        <v>45687.0</v>
      </c>
      <c r="B5515" s="4">
        <v>0.26875</v>
      </c>
      <c r="C5515" s="5" t="s">
        <v>905</v>
      </c>
      <c r="D5515" s="5" t="s">
        <v>1082</v>
      </c>
      <c r="E5515" s="8" t="s">
        <v>69</v>
      </c>
      <c r="F5515" s="7" t="s">
        <v>71</v>
      </c>
      <c r="G5515" s="6" t="str">
        <f>VLOOKUP(E5515,dicionario!$A$1:$C5914,2,0)</f>
        <v>Talinum fruticosum</v>
      </c>
      <c r="H5515" s="6" t="str">
        <f>VLOOKUP(E5515,dicionario!$A$1:$C5914,3,0)</f>
        <v>beldroega-grande</v>
      </c>
    </row>
    <row r="5516">
      <c r="A5516" s="3">
        <v>45687.0</v>
      </c>
      <c r="B5516" s="4">
        <v>0.26944444444444443</v>
      </c>
      <c r="C5516" s="5" t="s">
        <v>905</v>
      </c>
      <c r="D5516" s="5" t="s">
        <v>1082</v>
      </c>
      <c r="E5516" s="8" t="s">
        <v>53</v>
      </c>
      <c r="F5516" s="7" t="s">
        <v>54</v>
      </c>
      <c r="G5516" s="6" t="str">
        <f>VLOOKUP(E5516,dicionario!$A$1:$C5915,2,0)</f>
        <v>Turnera subulata</v>
      </c>
      <c r="H5516" s="6" t="str">
        <f>VLOOKUP(E5516,dicionario!$A$1:$C5915,3,0)</f>
        <v>xanana</v>
      </c>
    </row>
    <row r="5517">
      <c r="A5517" s="3">
        <v>45687.0</v>
      </c>
      <c r="B5517" s="4">
        <v>0.26944444444444443</v>
      </c>
      <c r="C5517" s="5" t="s">
        <v>905</v>
      </c>
      <c r="D5517" s="5" t="s">
        <v>1082</v>
      </c>
      <c r="E5517" s="8" t="s">
        <v>1131</v>
      </c>
      <c r="F5517" s="5" t="s">
        <v>1132</v>
      </c>
      <c r="G5517" s="6" t="str">
        <f>VLOOKUP(E5517,dicionario!$A$1:$C5916,2,0)</f>
        <v>#N/A</v>
      </c>
      <c r="H5517" s="6" t="str">
        <f>VLOOKUP(E5517,dicionario!$A$1:$C5916,3,0)</f>
        <v>#N/A</v>
      </c>
    </row>
    <row r="5518">
      <c r="A5518" s="3">
        <v>45687.0</v>
      </c>
      <c r="B5518" s="4">
        <v>0.2701388888888889</v>
      </c>
      <c r="C5518" s="5" t="s">
        <v>905</v>
      </c>
      <c r="D5518" s="5" t="s">
        <v>1082</v>
      </c>
      <c r="E5518" s="8" t="s">
        <v>150</v>
      </c>
      <c r="F5518" s="5" t="s">
        <v>151</v>
      </c>
      <c r="G5518" s="6" t="str">
        <f>VLOOKUP(E5518,dicionario!$A$1:$C5917,2,0)</f>
        <v>Amaranthus viridis</v>
      </c>
      <c r="H5518" s="6" t="str">
        <f>VLOOKUP(E5518,dicionario!$A$1:$C5917,3,0)</f>
        <v>caruru-de-mancha</v>
      </c>
    </row>
    <row r="5519">
      <c r="A5519" s="3">
        <v>45687.0</v>
      </c>
      <c r="B5519" s="4">
        <v>0.2708333333333333</v>
      </c>
      <c r="C5519" s="5" t="s">
        <v>905</v>
      </c>
      <c r="D5519" s="5" t="s">
        <v>1082</v>
      </c>
      <c r="E5519" s="8" t="s">
        <v>935</v>
      </c>
      <c r="F5519" s="5" t="s">
        <v>936</v>
      </c>
      <c r="G5519" s="6" t="str">
        <f>VLOOKUP(E5519,dicionario!$A$1:$C5918,2,0)</f>
        <v>#N/A</v>
      </c>
      <c r="H5519" s="6" t="str">
        <f>VLOOKUP(E5519,dicionario!$A$1:$C5918,3,0)</f>
        <v>#N/A</v>
      </c>
    </row>
    <row r="5520">
      <c r="A5520" s="3">
        <v>45687.0</v>
      </c>
      <c r="B5520" s="4">
        <v>0.27152777777777776</v>
      </c>
      <c r="C5520" s="5" t="s">
        <v>905</v>
      </c>
      <c r="D5520" s="5" t="s">
        <v>1082</v>
      </c>
      <c r="E5520" s="8" t="s">
        <v>719</v>
      </c>
      <c r="F5520" s="5" t="s">
        <v>1005</v>
      </c>
      <c r="G5520" s="6" t="str">
        <f>VLOOKUP(E5520,dicionario!$A$1:$C5919,2,0)</f>
        <v>Dirinaria</v>
      </c>
      <c r="H5520" s="6" t="str">
        <f>VLOOKUP(E5520,dicionario!$A$1:$C5919,3,0)</f>
        <v>líquen-crostoso</v>
      </c>
    </row>
    <row r="5521">
      <c r="A5521" s="3">
        <v>45687.0</v>
      </c>
      <c r="B5521" s="4">
        <v>0.2722222222222222</v>
      </c>
      <c r="C5521" s="5" t="s">
        <v>905</v>
      </c>
      <c r="D5521" s="5" t="s">
        <v>1082</v>
      </c>
      <c r="E5521" s="8" t="s">
        <v>109</v>
      </c>
      <c r="F5521" s="5" t="s">
        <v>110</v>
      </c>
      <c r="G5521" s="6" t="str">
        <f>VLOOKUP(E5521,dicionario!$A$1:$C5920,2,0)</f>
        <v>Tillandsia stricta</v>
      </c>
      <c r="H5521" s="6" t="str">
        <f>VLOOKUP(E5521,dicionario!$A$1:$C5920,3,0)</f>
        <v>cravo-do-mato</v>
      </c>
    </row>
    <row r="5522">
      <c r="A5522" s="3">
        <v>45687.0</v>
      </c>
      <c r="B5522" s="4">
        <v>0.2722222222222222</v>
      </c>
      <c r="C5522" s="5" t="s">
        <v>905</v>
      </c>
      <c r="D5522" s="5" t="s">
        <v>1082</v>
      </c>
      <c r="E5522" s="8" t="s">
        <v>251</v>
      </c>
      <c r="F5522" s="5" t="s">
        <v>252</v>
      </c>
      <c r="G5522" s="6" t="str">
        <f>VLOOKUP(E5522,dicionario!$A$1:$C5921,2,0)</f>
        <v>Struthanthus flexicaulis</v>
      </c>
      <c r="H5522" s="6" t="str">
        <f>VLOOKUP(E5522,dicionario!$A$1:$C5921,3,0)</f>
        <v>erva-de-passarinho</v>
      </c>
    </row>
    <row r="5523">
      <c r="A5523" s="3">
        <v>45687.0</v>
      </c>
      <c r="B5523" s="4">
        <v>0.27291666666666664</v>
      </c>
      <c r="C5523" s="5" t="s">
        <v>33</v>
      </c>
      <c r="D5523" s="5" t="s">
        <v>1082</v>
      </c>
      <c r="E5523" s="8" t="s">
        <v>1112</v>
      </c>
      <c r="F5523" s="5" t="s">
        <v>1113</v>
      </c>
      <c r="G5523" s="6" t="str">
        <f>VLOOKUP(E5523,dicionario!$A$1:$C5922,2,0)</f>
        <v>Hylophilus thoracicus</v>
      </c>
      <c r="H5523" s="6" t="str">
        <f>VLOOKUP(E5523,dicionario!$A$1:$C5922,3,0)</f>
        <v>vite-vite</v>
      </c>
    </row>
    <row r="5524">
      <c r="A5524" s="3">
        <v>45687.0</v>
      </c>
      <c r="B5524" s="4">
        <v>0.27291666666666664</v>
      </c>
      <c r="C5524" s="5" t="s">
        <v>33</v>
      </c>
      <c r="D5524" s="5" t="s">
        <v>1082</v>
      </c>
      <c r="E5524" s="8" t="s">
        <v>109</v>
      </c>
      <c r="F5524" s="5" t="s">
        <v>110</v>
      </c>
      <c r="G5524" s="6" t="str">
        <f>VLOOKUP(E5524,dicionario!$A$1:$C5923,2,0)</f>
        <v>Tillandsia stricta</v>
      </c>
      <c r="H5524" s="6" t="str">
        <f>VLOOKUP(E5524,dicionario!$A$1:$C5923,3,0)</f>
        <v>cravo-do-mato</v>
      </c>
    </row>
    <row r="5525">
      <c r="A5525" s="3">
        <v>45687.0</v>
      </c>
      <c r="B5525" s="4">
        <v>0.27291666666666664</v>
      </c>
      <c r="C5525" s="5" t="s">
        <v>33</v>
      </c>
      <c r="D5525" s="5" t="s">
        <v>1082</v>
      </c>
      <c r="E5525" s="8" t="s">
        <v>113</v>
      </c>
      <c r="F5525" s="5" t="s">
        <v>114</v>
      </c>
      <c r="G5525" s="6" t="str">
        <f>VLOOKUP(E5525,dicionario!$A$1:$C5924,2,0)</f>
        <v>Columbina talpacoti</v>
      </c>
      <c r="H5525" s="6" t="str">
        <f>VLOOKUP(E5525,dicionario!$A$1:$C5924,3,0)</f>
        <v>rolinha-roxa</v>
      </c>
    </row>
    <row r="5526">
      <c r="A5526" s="3">
        <v>45687.0</v>
      </c>
      <c r="B5526" s="4">
        <v>0.27291666666666664</v>
      </c>
      <c r="C5526" s="5" t="s">
        <v>33</v>
      </c>
      <c r="D5526" s="5" t="s">
        <v>1082</v>
      </c>
      <c r="E5526" s="8" t="s">
        <v>296</v>
      </c>
      <c r="F5526" s="5" t="s">
        <v>297</v>
      </c>
      <c r="G5526" s="6" t="str">
        <f>VLOOKUP(E5526,dicionario!$A$1:$C5925,2,0)</f>
        <v>Richardia brasiliensis</v>
      </c>
      <c r="H5526" s="6" t="str">
        <f>VLOOKUP(E5526,dicionario!$A$1:$C5925,3,0)</f>
        <v>poaia-branca</v>
      </c>
    </row>
    <row r="5527">
      <c r="A5527" s="3">
        <v>45687.0</v>
      </c>
      <c r="B5527" s="4">
        <v>0.27291666666666664</v>
      </c>
      <c r="C5527" s="5" t="s">
        <v>33</v>
      </c>
      <c r="D5527" s="5" t="s">
        <v>1082</v>
      </c>
      <c r="E5527" s="8" t="s">
        <v>353</v>
      </c>
      <c r="F5527" s="5" t="s">
        <v>354</v>
      </c>
      <c r="G5527" s="6" t="str">
        <f>VLOOKUP(E5527,dicionario!$A$1:$C5926,2,0)</f>
        <v>Desmodium incanum</v>
      </c>
      <c r="H5527" s="6" t="str">
        <f>VLOOKUP(E5527,dicionario!$A$1:$C5926,3,0)</f>
        <v>pega-pega</v>
      </c>
    </row>
    <row r="5528">
      <c r="A5528" s="3">
        <v>45687.0</v>
      </c>
      <c r="B5528" s="4">
        <v>0.27291666666666664</v>
      </c>
      <c r="C5528" s="5" t="s">
        <v>33</v>
      </c>
      <c r="D5528" s="5" t="s">
        <v>1082</v>
      </c>
      <c r="E5528" s="8" t="s">
        <v>171</v>
      </c>
      <c r="F5528" s="5" t="s">
        <v>172</v>
      </c>
      <c r="G5528" s="6" t="str">
        <f>VLOOKUP(E5528,dicionario!$A$1:$C5927,2,0)</f>
        <v>Oxalis corniculata</v>
      </c>
      <c r="H5528" s="6" t="str">
        <f>VLOOKUP(E5528,dicionario!$A$1:$C5927,3,0)</f>
        <v>trevo-azedinho</v>
      </c>
    </row>
    <row r="5529">
      <c r="A5529" s="3">
        <v>45687.0</v>
      </c>
      <c r="B5529" s="4">
        <v>0.27361111111111114</v>
      </c>
      <c r="C5529" s="5" t="s">
        <v>33</v>
      </c>
      <c r="D5529" s="5" t="s">
        <v>1082</v>
      </c>
      <c r="E5529" s="8" t="s">
        <v>191</v>
      </c>
      <c r="F5529" s="5" t="s">
        <v>192</v>
      </c>
      <c r="G5529" s="6" t="str">
        <f>VLOOKUP(E5529,dicionario!$A$1:$C5928,2,0)</f>
        <v>Patagioenas picazuro</v>
      </c>
      <c r="H5529" s="6" t="str">
        <f>VLOOKUP(E5529,dicionario!$A$1:$C5928,3,0)</f>
        <v>asa-branca; pomba-asa-branca; pocaçu</v>
      </c>
    </row>
    <row r="5530">
      <c r="A5530" s="3">
        <v>45687.0</v>
      </c>
      <c r="B5530" s="4">
        <v>0.27361111111111114</v>
      </c>
      <c r="C5530" s="5" t="s">
        <v>33</v>
      </c>
      <c r="D5530" s="5" t="s">
        <v>1082</v>
      </c>
      <c r="E5530" s="8" t="s">
        <v>258</v>
      </c>
      <c r="F5530" s="5" t="s">
        <v>259</v>
      </c>
      <c r="G5530" s="6" t="str">
        <f>VLOOKUP(E5530,dicionario!$A$1:$C5929,2,0)</f>
        <v>Lantana camara</v>
      </c>
      <c r="H5530" s="6" t="str">
        <f>VLOOKUP(E5530,dicionario!$A$1:$C5929,3,0)</f>
        <v>lantana</v>
      </c>
    </row>
    <row r="5531">
      <c r="A5531" s="3">
        <v>45687.0</v>
      </c>
      <c r="B5531" s="4">
        <v>0.27361111111111114</v>
      </c>
      <c r="C5531" s="5" t="s">
        <v>33</v>
      </c>
      <c r="D5531" s="5" t="s">
        <v>1082</v>
      </c>
      <c r="E5531" s="8" t="s">
        <v>613</v>
      </c>
      <c r="F5531" s="5" t="s">
        <v>614</v>
      </c>
      <c r="G5531" s="6" t="str">
        <f>VLOOKUP(E5531,dicionario!$A$1:$C5930,2,0)</f>
        <v>Euphorbia hyssopifolia</v>
      </c>
      <c r="H5531" s="6" t="str">
        <f>VLOOKUP(E5531,dicionario!$A$1:$C5930,3,0)</f>
        <v>maria-leite</v>
      </c>
    </row>
    <row r="5532">
      <c r="A5532" s="3">
        <v>45687.0</v>
      </c>
      <c r="B5532" s="4">
        <v>0.27361111111111114</v>
      </c>
      <c r="C5532" s="5" t="s">
        <v>33</v>
      </c>
      <c r="D5532" s="5" t="s">
        <v>1082</v>
      </c>
      <c r="E5532" s="8" t="s">
        <v>298</v>
      </c>
      <c r="F5532" s="5" t="s">
        <v>739</v>
      </c>
      <c r="G5532" s="6" t="str">
        <f>VLOOKUP(E5532,dicionario!$A$1:$C5931,2,0)</f>
        <v>Alysicarpus vaginalis</v>
      </c>
      <c r="H5532" s="6" t="str">
        <f>VLOOKUP(E5532,dicionario!$A$1:$C5931,3,0)</f>
        <v/>
      </c>
    </row>
    <row r="5533">
      <c r="A5533" s="3">
        <v>45687.0</v>
      </c>
      <c r="B5533" s="4">
        <v>0.27361111111111114</v>
      </c>
      <c r="C5533" s="5" t="s">
        <v>33</v>
      </c>
      <c r="D5533" s="5" t="s">
        <v>1082</v>
      </c>
      <c r="E5533" s="8" t="s">
        <v>286</v>
      </c>
      <c r="F5533" s="5" t="s">
        <v>287</v>
      </c>
      <c r="G5533" s="6" t="str">
        <f>VLOOKUP(E5533,dicionario!$A$1:$C5932,2,0)</f>
        <v>Setaria parviflora</v>
      </c>
      <c r="H5533" s="6" t="str">
        <f>VLOOKUP(E5533,dicionario!$A$1:$C5932,3,0)</f>
        <v>capim-rabo-de-raposa</v>
      </c>
    </row>
    <row r="5534">
      <c r="A5534" s="3">
        <v>45687.0</v>
      </c>
      <c r="B5534" s="4">
        <v>0.27361111111111114</v>
      </c>
      <c r="C5534" s="5" t="s">
        <v>33</v>
      </c>
      <c r="D5534" s="5" t="s">
        <v>1082</v>
      </c>
      <c r="E5534" s="8" t="s">
        <v>53</v>
      </c>
      <c r="F5534" s="7" t="s">
        <v>54</v>
      </c>
      <c r="G5534" s="6" t="str">
        <f>VLOOKUP(E5534,dicionario!$A$1:$C5933,2,0)</f>
        <v>Turnera subulata</v>
      </c>
      <c r="H5534" s="6" t="str">
        <f>VLOOKUP(E5534,dicionario!$A$1:$C5933,3,0)</f>
        <v>xanana</v>
      </c>
    </row>
    <row r="5535">
      <c r="A5535" s="3">
        <v>45687.0</v>
      </c>
      <c r="B5535" s="4">
        <v>0.2743055555555556</v>
      </c>
      <c r="C5535" s="5" t="s">
        <v>33</v>
      </c>
      <c r="D5535" s="5" t="s">
        <v>1082</v>
      </c>
      <c r="E5535" s="8" t="s">
        <v>65</v>
      </c>
      <c r="F5535" s="5" t="s">
        <v>66</v>
      </c>
      <c r="G5535" s="6" t="str">
        <f>VLOOKUP(E5535,dicionario!$A$1:$C5934,2,0)</f>
        <v>Pitangus sulphutarus</v>
      </c>
      <c r="H5535" s="6" t="str">
        <f>VLOOKUP(E5535,dicionario!$A$1:$C5934,3,0)</f>
        <v>bem-te-vi</v>
      </c>
    </row>
    <row r="5536">
      <c r="A5536" s="3">
        <v>45687.0</v>
      </c>
      <c r="B5536" s="4">
        <v>0.2743055555555556</v>
      </c>
      <c r="C5536" s="5" t="s">
        <v>33</v>
      </c>
      <c r="D5536" s="5" t="s">
        <v>1082</v>
      </c>
      <c r="E5536" s="8" t="s">
        <v>1064</v>
      </c>
      <c r="F5536" s="5" t="s">
        <v>603</v>
      </c>
      <c r="G5536" s="6" t="str">
        <f>VLOOKUP(E5536,dicionario!$A$1:$C5935,2,0)</f>
        <v>#N/A</v>
      </c>
      <c r="H5536" s="6" t="str">
        <f>VLOOKUP(E5536,dicionario!$A$1:$C5935,3,0)</f>
        <v>#N/A</v>
      </c>
    </row>
    <row r="5537">
      <c r="A5537" s="3">
        <v>45687.0</v>
      </c>
      <c r="B5537" s="4">
        <v>0.2743055555555556</v>
      </c>
      <c r="C5537" s="5" t="s">
        <v>33</v>
      </c>
      <c r="D5537" s="5" t="s">
        <v>1082</v>
      </c>
      <c r="E5537" s="8" t="s">
        <v>86</v>
      </c>
      <c r="F5537" s="5" t="s">
        <v>502</v>
      </c>
      <c r="G5537" s="6" t="str">
        <f>VLOOKUP(E5537,dicionario!$A$1:$C5936,2,0)</f>
        <v>Coereba flaveola</v>
      </c>
      <c r="H5537" s="6" t="str">
        <f>VLOOKUP(E5537,dicionario!$A$1:$C5936,3,0)</f>
        <v>cambacica</v>
      </c>
    </row>
    <row r="5538">
      <c r="A5538" s="3">
        <v>45687.0</v>
      </c>
      <c r="B5538" s="4">
        <v>0.2743055555555556</v>
      </c>
      <c r="C5538" s="5" t="s">
        <v>33</v>
      </c>
      <c r="D5538" s="5" t="s">
        <v>1082</v>
      </c>
      <c r="E5538" s="8" t="s">
        <v>247</v>
      </c>
      <c r="F5538" s="7" t="s">
        <v>272</v>
      </c>
      <c r="G5538" s="6" t="str">
        <f>VLOOKUP(E5538,dicionario!$A$1:$C5937,2,0)</f>
        <v>Emilia sonchifolia</v>
      </c>
      <c r="H5538" s="6" t="str">
        <f>VLOOKUP(E5538,dicionario!$A$1:$C5937,3,0)</f>
        <v>serralinha</v>
      </c>
    </row>
    <row r="5539">
      <c r="A5539" s="3">
        <v>45687.0</v>
      </c>
      <c r="B5539" s="4">
        <v>0.2743055555555556</v>
      </c>
      <c r="C5539" s="5" t="s">
        <v>33</v>
      </c>
      <c r="D5539" s="5" t="s">
        <v>1082</v>
      </c>
      <c r="E5539" s="8" t="s">
        <v>517</v>
      </c>
      <c r="F5539" s="7" t="s">
        <v>518</v>
      </c>
      <c r="G5539" s="6" t="str">
        <f>VLOOKUP(E5539,dicionario!$A$1:$C5938,2,0)</f>
        <v>Evolvulus nummularius</v>
      </c>
      <c r="H5539" s="6" t="str">
        <f>VLOOKUP(E5539,dicionario!$A$1:$C5938,3,0)</f>
        <v/>
      </c>
    </row>
    <row r="5540">
      <c r="A5540" s="3">
        <v>45687.0</v>
      </c>
      <c r="B5540" s="4">
        <v>0.2743055555555556</v>
      </c>
      <c r="C5540" s="5" t="s">
        <v>33</v>
      </c>
      <c r="D5540" s="5" t="s">
        <v>1082</v>
      </c>
      <c r="E5540" s="8" t="s">
        <v>483</v>
      </c>
      <c r="F5540" s="5" t="s">
        <v>289</v>
      </c>
      <c r="G5540" s="6" t="str">
        <f>VLOOKUP(E5540,dicionario!$A$1:$C5939,2,0)</f>
        <v>Euphorbia prostrata</v>
      </c>
      <c r="H5540" s="6" t="str">
        <f>VLOOKUP(E5540,dicionario!$A$1:$C5939,3,0)</f>
        <v>quebra-pedra-rasteira</v>
      </c>
    </row>
    <row r="5541">
      <c r="A5541" s="3">
        <v>45687.0</v>
      </c>
      <c r="B5541" s="4">
        <v>0.275</v>
      </c>
      <c r="C5541" s="5" t="s">
        <v>33</v>
      </c>
      <c r="D5541" s="5" t="s">
        <v>1082</v>
      </c>
      <c r="E5541" s="8" t="s">
        <v>48</v>
      </c>
      <c r="F5541" s="5" t="s">
        <v>49</v>
      </c>
      <c r="G5541" s="6" t="str">
        <f>VLOOKUP(E5541,dicionario!$A$1:$C5940,2,0)</f>
        <v>Commelina erecta</v>
      </c>
      <c r="H5541" s="6" t="str">
        <f>VLOOKUP(E5541,dicionario!$A$1:$C5940,3,0)</f>
        <v>trapoeraba</v>
      </c>
    </row>
    <row r="5542">
      <c r="A5542" s="3">
        <v>45687.0</v>
      </c>
      <c r="B5542" s="4">
        <v>0.275</v>
      </c>
      <c r="C5542" s="5" t="s">
        <v>33</v>
      </c>
      <c r="D5542" s="5" t="s">
        <v>1082</v>
      </c>
      <c r="E5542" s="8" t="s">
        <v>1133</v>
      </c>
      <c r="F5542" s="5" t="s">
        <v>1134</v>
      </c>
      <c r="G5542" s="6" t="str">
        <f>VLOOKUP(E5542,dicionario!$A$1:$C5941,2,0)</f>
        <v>Dactyloctenium aegyptium</v>
      </c>
      <c r="H5542" s="6" t="str">
        <f>VLOOKUP(E5542,dicionario!$A$1:$C5941,3,0)</f>
        <v/>
      </c>
    </row>
    <row r="5543">
      <c r="A5543" s="3">
        <v>45687.0</v>
      </c>
      <c r="B5543" s="4">
        <v>0.27569444444444446</v>
      </c>
      <c r="C5543" s="5" t="s">
        <v>33</v>
      </c>
      <c r="D5543" s="5" t="s">
        <v>1082</v>
      </c>
      <c r="E5543" s="8" t="s">
        <v>14</v>
      </c>
      <c r="F5543" s="5" t="s">
        <v>15</v>
      </c>
      <c r="G5543" s="6" t="str">
        <f>VLOOKUP(E5543,dicionario!$A$1:$C5942,2,0)</f>
        <v>Spermacoce verticillata</v>
      </c>
      <c r="H5543" s="6" t="str">
        <f>VLOOKUP(E5543,dicionario!$A$1:$C5942,3,0)</f>
        <v>vassourinha-de-botão</v>
      </c>
    </row>
    <row r="5544">
      <c r="A5544" s="3">
        <v>45687.0</v>
      </c>
      <c r="B5544" s="4">
        <v>0.27569444444444446</v>
      </c>
      <c r="C5544" s="5" t="s">
        <v>33</v>
      </c>
      <c r="D5544" s="5" t="s">
        <v>1082</v>
      </c>
      <c r="E5544" s="8" t="s">
        <v>154</v>
      </c>
      <c r="F5544" s="5" t="s">
        <v>155</v>
      </c>
      <c r="G5544" s="6" t="str">
        <f>VLOOKUP(E5544,dicionario!$A$1:$C5943,2,0)</f>
        <v>Cyperus rotundus</v>
      </c>
      <c r="H5544" s="6" t="str">
        <f>VLOOKUP(E5544,dicionario!$A$1:$C5943,3,0)</f>
        <v>tiririca</v>
      </c>
    </row>
    <row r="5545">
      <c r="A5545" s="3">
        <v>45687.0</v>
      </c>
      <c r="B5545" s="4">
        <v>0.27569444444444446</v>
      </c>
      <c r="C5545" s="5" t="s">
        <v>33</v>
      </c>
      <c r="D5545" s="5" t="s">
        <v>1082</v>
      </c>
      <c r="E5545" s="8" t="s">
        <v>200</v>
      </c>
      <c r="F5545" s="5" t="s">
        <v>201</v>
      </c>
      <c r="G5545" s="6" t="str">
        <f>VLOOKUP(E5545,dicionario!$A$1:$C5944,2,0)</f>
        <v>Columbina picui </v>
      </c>
      <c r="H5545" s="6" t="str">
        <f>VLOOKUP(E5545,dicionario!$A$1:$C5944,3,0)</f>
        <v>rolinha-picuí</v>
      </c>
    </row>
    <row r="5546">
      <c r="A5546" s="3">
        <v>45687.0</v>
      </c>
      <c r="B5546" s="4">
        <v>0.2763888888888889</v>
      </c>
      <c r="C5546" s="5" t="s">
        <v>33</v>
      </c>
      <c r="D5546" s="5" t="s">
        <v>1082</v>
      </c>
      <c r="E5546" s="8" t="s">
        <v>122</v>
      </c>
      <c r="F5546" s="7" t="s">
        <v>123</v>
      </c>
      <c r="G5546" s="6" t="str">
        <f>VLOOKUP(E5546,dicionario!$A$1:$C5945,2,0)</f>
        <v>Todirostrum cinereum</v>
      </c>
      <c r="H5546" s="6" t="str">
        <f>VLOOKUP(E5546,dicionario!$A$1:$C5945,3,0)</f>
        <v>ferreirinho-relógio</v>
      </c>
    </row>
    <row r="5547">
      <c r="A5547" s="3">
        <v>45687.0</v>
      </c>
      <c r="B5547" s="4">
        <v>0.2763888888888889</v>
      </c>
      <c r="C5547" s="5" t="s">
        <v>33</v>
      </c>
      <c r="D5547" s="5" t="s">
        <v>1082</v>
      </c>
      <c r="E5547" s="8" t="s">
        <v>38</v>
      </c>
      <c r="F5547" s="5" t="s">
        <v>39</v>
      </c>
      <c r="G5547" s="6" t="str">
        <f>VLOOKUP(E5547,dicionario!$A$1:$C5946,2,0)</f>
        <v>Troglodytes musculus</v>
      </c>
      <c r="H5547" s="6" t="str">
        <f>VLOOKUP(E5547,dicionario!$A$1:$C5946,3,0)</f>
        <v>curruíra</v>
      </c>
    </row>
    <row r="5548">
      <c r="A5548" s="3">
        <v>45687.0</v>
      </c>
      <c r="B5548" s="4">
        <v>0.2763888888888889</v>
      </c>
      <c r="C5548" s="5" t="s">
        <v>33</v>
      </c>
      <c r="D5548" s="5" t="s">
        <v>1082</v>
      </c>
      <c r="E5548" s="8" t="s">
        <v>223</v>
      </c>
      <c r="F5548" s="5" t="s">
        <v>224</v>
      </c>
      <c r="G5548" s="6" t="str">
        <f>VLOOKUP(E5548,dicionario!$A$1:$C5947,2,0)</f>
        <v>Rhipsalis lindbergiana</v>
      </c>
      <c r="H5548" s="6" t="str">
        <f>VLOOKUP(E5548,dicionario!$A$1:$C5947,3,0)</f>
        <v>cacto-macarrão</v>
      </c>
    </row>
    <row r="5549">
      <c r="A5549" s="3">
        <v>45687.0</v>
      </c>
      <c r="B5549" s="4">
        <v>0.2763888888888889</v>
      </c>
      <c r="C5549" s="5" t="s">
        <v>33</v>
      </c>
      <c r="D5549" s="5" t="s">
        <v>1082</v>
      </c>
      <c r="E5549" s="8" t="s">
        <v>247</v>
      </c>
      <c r="F5549" s="5" t="s">
        <v>387</v>
      </c>
      <c r="G5549" s="6" t="str">
        <f>VLOOKUP(E5549,dicionario!$A$1:$C5948,2,0)</f>
        <v>Emilia sonchifolia</v>
      </c>
      <c r="H5549" s="6" t="str">
        <f>VLOOKUP(E5549,dicionario!$A$1:$C5948,3,0)</f>
        <v>serralinha</v>
      </c>
    </row>
    <row r="5550">
      <c r="A5550" s="3">
        <v>45687.0</v>
      </c>
      <c r="B5550" s="4">
        <v>0.2763888888888889</v>
      </c>
      <c r="C5550" s="5" t="s">
        <v>33</v>
      </c>
      <c r="D5550" s="5" t="s">
        <v>1082</v>
      </c>
      <c r="E5550" s="8" t="s">
        <v>566</v>
      </c>
      <c r="F5550" s="5" t="s">
        <v>567</v>
      </c>
      <c r="G5550" s="6" t="str">
        <f>VLOOKUP(E5550,dicionario!$A$1:$C5949,2,0)</f>
        <v>Baccharis dracunculifolia</v>
      </c>
      <c r="H5550" s="6" t="str">
        <f>VLOOKUP(E5550,dicionario!$A$1:$C5949,3,0)</f>
        <v>vassoura</v>
      </c>
    </row>
    <row r="5551">
      <c r="A5551" s="3">
        <v>45687.0</v>
      </c>
      <c r="B5551" s="4">
        <v>0.2763888888888889</v>
      </c>
      <c r="C5551" s="5" t="s">
        <v>33</v>
      </c>
      <c r="D5551" s="5" t="s">
        <v>1082</v>
      </c>
      <c r="E5551" s="8" t="s">
        <v>723</v>
      </c>
      <c r="F5551" s="5" t="s">
        <v>924</v>
      </c>
      <c r="G5551" s="6" t="str">
        <f>VLOOKUP(E5551,dicionario!$A$1:$C5950,2,0)</f>
        <v>Asemeia violacea</v>
      </c>
      <c r="H5551" s="6" t="str">
        <f>VLOOKUP(E5551,dicionario!$A$1:$C5950,3,0)</f>
        <v/>
      </c>
    </row>
    <row r="5552">
      <c r="A5552" s="3">
        <v>45687.0</v>
      </c>
      <c r="B5552" s="4">
        <v>0.27708333333333335</v>
      </c>
      <c r="C5552" s="5" t="s">
        <v>33</v>
      </c>
      <c r="D5552" s="5" t="s">
        <v>1082</v>
      </c>
      <c r="E5552" s="8" t="s">
        <v>267</v>
      </c>
      <c r="F5552" s="5" t="s">
        <v>553</v>
      </c>
      <c r="G5552" s="6" t="str">
        <f>VLOOKUP(E5552,dicionario!$A$1:$C5951,2,0)</f>
        <v>Solanum americanum</v>
      </c>
      <c r="H5552" s="6" t="str">
        <f>VLOOKUP(E5552,dicionario!$A$1:$C5951,3,0)</f>
        <v>maria-pretinha</v>
      </c>
    </row>
    <row r="5553">
      <c r="A5553" s="3">
        <v>45687.0</v>
      </c>
      <c r="B5553" s="4">
        <v>0.27708333333333335</v>
      </c>
      <c r="C5553" s="5" t="s">
        <v>33</v>
      </c>
      <c r="D5553" s="5" t="s">
        <v>1082</v>
      </c>
      <c r="E5553" s="8" t="s">
        <v>177</v>
      </c>
      <c r="F5553" s="5" t="s">
        <v>178</v>
      </c>
      <c r="G5553" s="6" t="str">
        <f>VLOOKUP(E5553,dicionario!$A$1:$C5952,2,0)</f>
        <v>Elaenia flavogaster</v>
      </c>
      <c r="H5553" s="6" t="str">
        <f>VLOOKUP(E5553,dicionario!$A$1:$C5952,3,0)</f>
        <v>guaracava-de-barriga-amarela</v>
      </c>
    </row>
    <row r="5554">
      <c r="A5554" s="3">
        <v>45687.0</v>
      </c>
      <c r="B5554" s="4">
        <v>0.2777777777777778</v>
      </c>
      <c r="C5554" s="5" t="s">
        <v>33</v>
      </c>
      <c r="D5554" s="5" t="s">
        <v>1082</v>
      </c>
      <c r="E5554" s="8" t="s">
        <v>46</v>
      </c>
      <c r="F5554" s="5" t="s">
        <v>47</v>
      </c>
      <c r="G5554" s="6" t="str">
        <f>VLOOKUP(E5554,dicionario!$A$1:$C5953,2,0)</f>
        <v>Chionomesa fimbriata</v>
      </c>
      <c r="H5554" s="6" t="str">
        <f>VLOOKUP(E5554,dicionario!$A$1:$C5953,3,0)</f>
        <v>beija-flor-de-garganta-verde</v>
      </c>
    </row>
    <row r="5555">
      <c r="A5555" s="3">
        <v>45687.0</v>
      </c>
      <c r="B5555" s="4">
        <v>0.2777777777777778</v>
      </c>
      <c r="C5555" s="5" t="s">
        <v>33</v>
      </c>
      <c r="D5555" s="5" t="s">
        <v>1082</v>
      </c>
      <c r="E5555" s="8" t="s">
        <v>375</v>
      </c>
      <c r="F5555" s="5" t="s">
        <v>35</v>
      </c>
      <c r="G5555" s="6" t="str">
        <f>VLOOKUP(E5555,dicionario!$A$1:$C5954,2,0)</f>
        <v>Neoponera foetida</v>
      </c>
      <c r="H5555" s="6" t="str">
        <f>VLOOKUP(E5555,dicionario!$A$1:$C5954,3,0)</f>
        <v/>
      </c>
    </row>
    <row r="5556">
      <c r="A5556" s="3">
        <v>45687.0</v>
      </c>
      <c r="B5556" s="4">
        <v>0.27847222222222223</v>
      </c>
      <c r="C5556" s="5" t="s">
        <v>33</v>
      </c>
      <c r="D5556" s="5" t="s">
        <v>1082</v>
      </c>
      <c r="E5556" s="8" t="s">
        <v>427</v>
      </c>
      <c r="F5556" s="5" t="s">
        <v>1135</v>
      </c>
      <c r="G5556" s="6" t="str">
        <f>VLOOKUP(E5556,dicionario!$A$1:$C5955,2,0)</f>
        <v>Condylostylus longicornis</v>
      </c>
      <c r="H5556" s="6" t="str">
        <f>VLOOKUP(E5556,dicionario!$A$1:$C5955,3,0)</f>
        <v>mosca-de-pernas-longas</v>
      </c>
    </row>
    <row r="5557">
      <c r="A5557" s="3">
        <v>45687.0</v>
      </c>
      <c r="B5557" s="4">
        <v>0.27847222222222223</v>
      </c>
      <c r="C5557" s="5" t="s">
        <v>33</v>
      </c>
      <c r="D5557" s="5" t="s">
        <v>1082</v>
      </c>
      <c r="E5557" s="8" t="s">
        <v>251</v>
      </c>
      <c r="F5557" s="5" t="s">
        <v>252</v>
      </c>
      <c r="G5557" s="6" t="str">
        <f>VLOOKUP(E5557,dicionario!$A$1:$C5956,2,0)</f>
        <v>Struthanthus flexicaulis</v>
      </c>
      <c r="H5557" s="6" t="str">
        <f>VLOOKUP(E5557,dicionario!$A$1:$C5956,3,0)</f>
        <v>erva-de-passarinho</v>
      </c>
    </row>
    <row r="5558">
      <c r="A5558" s="3">
        <v>45687.0</v>
      </c>
      <c r="B5558" s="4">
        <v>0.2791666666666667</v>
      </c>
      <c r="C5558" s="5" t="s">
        <v>33</v>
      </c>
      <c r="D5558" s="5" t="s">
        <v>1082</v>
      </c>
      <c r="E5558" s="8" t="s">
        <v>378</v>
      </c>
      <c r="F5558" s="5" t="s">
        <v>205</v>
      </c>
      <c r="G5558" s="6" t="str">
        <f>VLOOKUP(E5558,dicionario!$A$1:$C5957,2,0)</f>
        <v>Polistes</v>
      </c>
      <c r="H5558" s="6" t="str">
        <f>VLOOKUP(E5558,dicionario!$A$1:$C5957,3,0)</f>
        <v>marimbondo</v>
      </c>
    </row>
    <row r="5559">
      <c r="A5559" s="3">
        <v>45687.0</v>
      </c>
      <c r="B5559" s="4">
        <v>0.32430555555555557</v>
      </c>
      <c r="C5559" s="5" t="s">
        <v>40</v>
      </c>
      <c r="D5559" s="5" t="s">
        <v>1082</v>
      </c>
      <c r="E5559" s="8" t="s">
        <v>489</v>
      </c>
      <c r="F5559" s="5" t="s">
        <v>521</v>
      </c>
      <c r="G5559" s="6" t="str">
        <f>VLOOKUP(E5559,dicionario!$A$1:$C5958,2,0)</f>
        <v>Cenchrus echinatus</v>
      </c>
      <c r="H5559" s="6" t="str">
        <f>VLOOKUP(E5559,dicionario!$A$1:$C5958,3,0)</f>
        <v>capim-carrapicho</v>
      </c>
    </row>
    <row r="5560">
      <c r="A5560" s="3">
        <v>45687.0</v>
      </c>
      <c r="B5560" s="4">
        <v>0.32430555555555557</v>
      </c>
      <c r="C5560" s="5" t="s">
        <v>40</v>
      </c>
      <c r="D5560" s="5" t="s">
        <v>1082</v>
      </c>
      <c r="E5560" s="8" t="s">
        <v>613</v>
      </c>
      <c r="F5560" s="5" t="s">
        <v>614</v>
      </c>
      <c r="G5560" s="6" t="str">
        <f>VLOOKUP(E5560,dicionario!$A$1:$C5959,2,0)</f>
        <v>Euphorbia hyssopifolia</v>
      </c>
      <c r="H5560" s="6" t="str">
        <f>VLOOKUP(E5560,dicionario!$A$1:$C5959,3,0)</f>
        <v>maria-leite</v>
      </c>
    </row>
    <row r="5561">
      <c r="A5561" s="3">
        <v>45687.0</v>
      </c>
      <c r="B5561" s="4">
        <v>0.32430555555555557</v>
      </c>
      <c r="C5561" s="5" t="s">
        <v>40</v>
      </c>
      <c r="D5561" s="5" t="s">
        <v>1082</v>
      </c>
      <c r="E5561" s="8" t="s">
        <v>53</v>
      </c>
      <c r="F5561" s="7" t="s">
        <v>54</v>
      </c>
      <c r="G5561" s="6" t="str">
        <f>VLOOKUP(E5561,dicionario!$A$1:$C5960,2,0)</f>
        <v>Turnera subulata</v>
      </c>
      <c r="H5561" s="6" t="str">
        <f>VLOOKUP(E5561,dicionario!$A$1:$C5960,3,0)</f>
        <v>xanana</v>
      </c>
    </row>
    <row r="5562">
      <c r="A5562" s="3">
        <v>45687.0</v>
      </c>
      <c r="B5562" s="4">
        <v>0.32430555555555557</v>
      </c>
      <c r="C5562" s="5" t="s">
        <v>40</v>
      </c>
      <c r="D5562" s="5" t="s">
        <v>1082</v>
      </c>
      <c r="E5562" s="8" t="s">
        <v>298</v>
      </c>
      <c r="F5562" s="5" t="s">
        <v>739</v>
      </c>
      <c r="G5562" s="6" t="str">
        <f>VLOOKUP(E5562,dicionario!$A$1:$C5961,2,0)</f>
        <v>Alysicarpus vaginalis</v>
      </c>
      <c r="H5562" s="6" t="str">
        <f>VLOOKUP(E5562,dicionario!$A$1:$C5961,3,0)</f>
        <v/>
      </c>
    </row>
    <row r="5563">
      <c r="A5563" s="3">
        <v>45687.0</v>
      </c>
      <c r="B5563" s="4">
        <v>0.32430555555555557</v>
      </c>
      <c r="C5563" s="5" t="s">
        <v>40</v>
      </c>
      <c r="D5563" s="5" t="s">
        <v>1082</v>
      </c>
      <c r="E5563" s="8" t="s">
        <v>935</v>
      </c>
      <c r="F5563" s="5" t="s">
        <v>936</v>
      </c>
      <c r="G5563" s="6" t="str">
        <f>VLOOKUP(E5563,dicionario!$A$1:$C5962,2,0)</f>
        <v>#N/A</v>
      </c>
      <c r="H5563" s="6" t="str">
        <f>VLOOKUP(E5563,dicionario!$A$1:$C5962,3,0)</f>
        <v>#N/A</v>
      </c>
    </row>
    <row r="5564">
      <c r="A5564" s="3">
        <v>45687.0</v>
      </c>
      <c r="B5564" s="4">
        <v>0.2833333333333333</v>
      </c>
      <c r="C5564" s="5" t="s">
        <v>40</v>
      </c>
      <c r="D5564" s="5" t="s">
        <v>1082</v>
      </c>
      <c r="E5564" s="8" t="s">
        <v>227</v>
      </c>
      <c r="F5564" s="5" t="s">
        <v>228</v>
      </c>
      <c r="G5564" s="6" t="str">
        <f>VLOOKUP(E5564,dicionario!$A$1:$C5963,2,0)</f>
        <v>Indigofera hirsuta</v>
      </c>
      <c r="H5564" s="6" t="str">
        <f>VLOOKUP(E5564,dicionario!$A$1:$C5963,3,0)</f>
        <v>anileira</v>
      </c>
    </row>
    <row r="5565">
      <c r="A5565" s="3">
        <v>45687.0</v>
      </c>
      <c r="B5565" s="4">
        <v>0.2833333333333333</v>
      </c>
      <c r="C5565" s="5" t="s">
        <v>40</v>
      </c>
      <c r="D5565" s="5" t="s">
        <v>1082</v>
      </c>
      <c r="E5565" s="8" t="s">
        <v>296</v>
      </c>
      <c r="F5565" s="5" t="s">
        <v>297</v>
      </c>
      <c r="G5565" s="6" t="str">
        <f>VLOOKUP(E5565,dicionario!$A$1:$C5964,2,0)</f>
        <v>Richardia brasiliensis</v>
      </c>
      <c r="H5565" s="6" t="str">
        <f>VLOOKUP(E5565,dicionario!$A$1:$C5964,3,0)</f>
        <v>poaia-branca</v>
      </c>
    </row>
    <row r="5566">
      <c r="A5566" s="3">
        <v>45687.0</v>
      </c>
      <c r="B5566" s="4">
        <v>0.2833333333333333</v>
      </c>
      <c r="C5566" s="5" t="s">
        <v>40</v>
      </c>
      <c r="D5566" s="5" t="s">
        <v>1082</v>
      </c>
      <c r="E5566" s="8" t="s">
        <v>355</v>
      </c>
      <c r="F5566" s="5" t="s">
        <v>356</v>
      </c>
      <c r="G5566" s="6" t="str">
        <f>VLOOKUP(E5566,dicionario!$A$1:$C5965,2,0)</f>
        <v>Boerhavia diffusa</v>
      </c>
      <c r="H5566" s="6" t="str">
        <f>VLOOKUP(E5566,dicionario!$A$1:$C5965,3,0)</f>
        <v>erva-tostão</v>
      </c>
    </row>
    <row r="5567">
      <c r="A5567" s="3">
        <v>45687.0</v>
      </c>
      <c r="B5567" s="4">
        <v>0.2833333333333333</v>
      </c>
      <c r="C5567" s="5" t="s">
        <v>40</v>
      </c>
      <c r="D5567" s="5" t="s">
        <v>1082</v>
      </c>
      <c r="E5567" s="8" t="s">
        <v>229</v>
      </c>
      <c r="F5567" s="5" t="s">
        <v>230</v>
      </c>
      <c r="G5567" s="6" t="str">
        <f>VLOOKUP(E5567,dicionario!$A$1:$C5966,2,0)</f>
        <v>Apis mellifera</v>
      </c>
      <c r="H5567" s="6" t="str">
        <f>VLOOKUP(E5567,dicionario!$A$1:$C5966,3,0)</f>
        <v>abelha-do-mel</v>
      </c>
    </row>
    <row r="5568">
      <c r="A5568" s="3">
        <v>45687.0</v>
      </c>
      <c r="B5568" s="4">
        <v>0.2833333333333333</v>
      </c>
      <c r="C5568" s="5" t="s">
        <v>40</v>
      </c>
      <c r="D5568" s="5" t="s">
        <v>1082</v>
      </c>
      <c r="E5568" s="8" t="s">
        <v>146</v>
      </c>
      <c r="F5568" s="5" t="s">
        <v>147</v>
      </c>
      <c r="G5568" s="6" t="str">
        <f>VLOOKUP(E5568,dicionario!$A$1:$C5967,2,0)</f>
        <v>Euphorbia hirta</v>
      </c>
      <c r="H5568" s="6" t="str">
        <f>VLOOKUP(E5568,dicionario!$A$1:$C5967,3,0)</f>
        <v>erva-de-santa-luzia</v>
      </c>
    </row>
    <row r="5569">
      <c r="A5569" s="3">
        <v>45687.0</v>
      </c>
      <c r="B5569" s="4">
        <v>0.2833333333333333</v>
      </c>
      <c r="C5569" s="5" t="s">
        <v>40</v>
      </c>
      <c r="D5569" s="5" t="s">
        <v>1082</v>
      </c>
      <c r="E5569" s="8" t="s">
        <v>239</v>
      </c>
      <c r="F5569" s="5" t="s">
        <v>240</v>
      </c>
      <c r="G5569" s="6" t="str">
        <f>VLOOKUP(E5569,dicionario!$A$1:$C5968,2,0)</f>
        <v>Gomphrena celosioides</v>
      </c>
      <c r="H5569" s="6" t="str">
        <f>VLOOKUP(E5569,dicionario!$A$1:$C5968,3,0)</f>
        <v>perpétua-branca</v>
      </c>
    </row>
    <row r="5570">
      <c r="A5570" s="3">
        <v>45687.0</v>
      </c>
      <c r="B5570" s="4">
        <v>0.2833333333333333</v>
      </c>
      <c r="C5570" s="5" t="s">
        <v>40</v>
      </c>
      <c r="D5570" s="5" t="s">
        <v>1082</v>
      </c>
      <c r="E5570" s="8" t="s">
        <v>247</v>
      </c>
      <c r="F5570" s="5" t="s">
        <v>387</v>
      </c>
      <c r="G5570" s="6" t="str">
        <f>VLOOKUP(E5570,dicionario!$A$1:$C5969,2,0)</f>
        <v>Emilia sonchifolia</v>
      </c>
      <c r="H5570" s="6" t="str">
        <f>VLOOKUP(E5570,dicionario!$A$1:$C5969,3,0)</f>
        <v>serralinha</v>
      </c>
    </row>
    <row r="5571">
      <c r="A5571" s="3">
        <v>45687.0</v>
      </c>
      <c r="B5571" s="4">
        <v>0.2833333333333333</v>
      </c>
      <c r="C5571" s="5" t="s">
        <v>40</v>
      </c>
      <c r="D5571" s="5" t="s">
        <v>1082</v>
      </c>
      <c r="E5571" s="8" t="s">
        <v>247</v>
      </c>
      <c r="F5571" s="7" t="s">
        <v>272</v>
      </c>
      <c r="G5571" s="6" t="str">
        <f>VLOOKUP(E5571,dicionario!$A$1:$C5970,2,0)</f>
        <v>Emilia sonchifolia</v>
      </c>
      <c r="H5571" s="6" t="str">
        <f>VLOOKUP(E5571,dicionario!$A$1:$C5970,3,0)</f>
        <v>serralinha</v>
      </c>
    </row>
    <row r="5572">
      <c r="A5572" s="3">
        <v>45687.0</v>
      </c>
      <c r="B5572" s="4">
        <v>0.28402777777777777</v>
      </c>
      <c r="C5572" s="5" t="s">
        <v>40</v>
      </c>
      <c r="D5572" s="5" t="s">
        <v>1082</v>
      </c>
      <c r="E5572" s="8" t="s">
        <v>483</v>
      </c>
      <c r="F5572" s="5" t="s">
        <v>289</v>
      </c>
      <c r="G5572" s="6" t="str">
        <f>VLOOKUP(E5572,dicionario!$A$1:$C5971,2,0)</f>
        <v>Euphorbia prostrata</v>
      </c>
      <c r="H5572" s="6" t="str">
        <f>VLOOKUP(E5572,dicionario!$A$1:$C5971,3,0)</f>
        <v>quebra-pedra-rasteira</v>
      </c>
    </row>
    <row r="5573">
      <c r="A5573" s="3">
        <v>45687.0</v>
      </c>
      <c r="B5573" s="4">
        <v>0.28402777777777777</v>
      </c>
      <c r="C5573" s="5" t="s">
        <v>40</v>
      </c>
      <c r="D5573" s="5" t="s">
        <v>1082</v>
      </c>
      <c r="E5573" s="6" t="s">
        <v>532</v>
      </c>
      <c r="F5573" s="7" t="s">
        <v>533</v>
      </c>
      <c r="G5573" s="6" t="str">
        <f>VLOOKUP(E5573,dicionario!$A$1:$C5972,2,0)</f>
        <v>Euphorbia heterophylla</v>
      </c>
      <c r="H5573" s="6" t="str">
        <f>VLOOKUP(E5573,dicionario!$A$1:$C5972,3,0)</f>
        <v>amendoim-bravo</v>
      </c>
    </row>
    <row r="5574">
      <c r="A5574" s="3">
        <v>45687.0</v>
      </c>
      <c r="B5574" s="4">
        <v>0.28402777777777777</v>
      </c>
      <c r="C5574" s="5" t="s">
        <v>40</v>
      </c>
      <c r="D5574" s="5" t="s">
        <v>1082</v>
      </c>
      <c r="E5574" s="8" t="s">
        <v>265</v>
      </c>
      <c r="F5574" s="5" t="s">
        <v>266</v>
      </c>
      <c r="G5574" s="6" t="str">
        <f>VLOOKUP(E5574,dicionario!$A$1:$C5973,2,0)</f>
        <v>Sonchus oleraceus</v>
      </c>
      <c r="H5574" s="6" t="str">
        <f>VLOOKUP(E5574,dicionario!$A$1:$C5973,3,0)</f>
        <v>seralha</v>
      </c>
    </row>
    <row r="5575">
      <c r="A5575" s="3">
        <v>45687.0</v>
      </c>
      <c r="B5575" s="4">
        <v>0.28402777777777777</v>
      </c>
      <c r="C5575" s="5" t="s">
        <v>40</v>
      </c>
      <c r="D5575" s="5" t="s">
        <v>1082</v>
      </c>
      <c r="E5575" s="8" t="s">
        <v>286</v>
      </c>
      <c r="F5575" s="5" t="s">
        <v>287</v>
      </c>
      <c r="G5575" s="6" t="str">
        <f>VLOOKUP(E5575,dicionario!$A$1:$C5974,2,0)</f>
        <v>Setaria parviflora</v>
      </c>
      <c r="H5575" s="6" t="str">
        <f>VLOOKUP(E5575,dicionario!$A$1:$C5974,3,0)</f>
        <v>capim-rabo-de-raposa</v>
      </c>
    </row>
    <row r="5576">
      <c r="A5576" s="3">
        <v>45687.0</v>
      </c>
      <c r="B5576" s="4">
        <v>0.28402777777777777</v>
      </c>
      <c r="C5576" s="5" t="s">
        <v>40</v>
      </c>
      <c r="D5576" s="5" t="s">
        <v>1082</v>
      </c>
      <c r="E5576" s="8" t="s">
        <v>111</v>
      </c>
      <c r="F5576" s="7" t="s">
        <v>112</v>
      </c>
      <c r="G5576" s="6" t="str">
        <f>VLOOKUP(E5576,dicionario!$A$1:$C5975,2,0)</f>
        <v>Trigona spinipes</v>
      </c>
      <c r="H5576" s="6" t="str">
        <f>VLOOKUP(E5576,dicionario!$A$1:$C5975,3,0)</f>
        <v>abelha-cachorro</v>
      </c>
    </row>
    <row r="5577">
      <c r="A5577" s="3">
        <v>45687.0</v>
      </c>
      <c r="B5577" s="4">
        <v>0.2847222222222222</v>
      </c>
      <c r="C5577" s="5" t="s">
        <v>40</v>
      </c>
      <c r="D5577" s="5" t="s">
        <v>1082</v>
      </c>
      <c r="E5577" s="8" t="s">
        <v>135</v>
      </c>
      <c r="F5577" s="5" t="s">
        <v>136</v>
      </c>
      <c r="G5577" s="6" t="str">
        <f>VLOOKUP(E5577,dicionario!$A$1:$C5976,2,0)</f>
        <v>Tridax procumbens</v>
      </c>
      <c r="H5577" s="6" t="str">
        <f>VLOOKUP(E5577,dicionario!$A$1:$C5976,3,0)</f>
        <v>erva-de-touro</v>
      </c>
    </row>
    <row r="5578">
      <c r="A5578" s="3">
        <v>45687.0</v>
      </c>
      <c r="B5578" s="4">
        <v>0.2847222222222222</v>
      </c>
      <c r="C5578" s="5" t="s">
        <v>40</v>
      </c>
      <c r="D5578" s="5" t="s">
        <v>1082</v>
      </c>
      <c r="E5578" s="8" t="s">
        <v>154</v>
      </c>
      <c r="F5578" s="5" t="s">
        <v>155</v>
      </c>
      <c r="G5578" s="6" t="str">
        <f>VLOOKUP(E5578,dicionario!$A$1:$C5977,2,0)</f>
        <v>Cyperus rotundus</v>
      </c>
      <c r="H5578" s="6" t="str">
        <f>VLOOKUP(E5578,dicionario!$A$1:$C5977,3,0)</f>
        <v>tiririca</v>
      </c>
    </row>
    <row r="5579">
      <c r="A5579" s="3">
        <v>45687.0</v>
      </c>
      <c r="B5579" s="4">
        <v>0.2847222222222222</v>
      </c>
      <c r="C5579" s="5" t="s">
        <v>40</v>
      </c>
      <c r="D5579" s="5" t="s">
        <v>1082</v>
      </c>
      <c r="E5579" s="8" t="s">
        <v>150</v>
      </c>
      <c r="F5579" s="5" t="s">
        <v>151</v>
      </c>
      <c r="G5579" s="6" t="str">
        <f>VLOOKUP(E5579,dicionario!$A$1:$C5978,2,0)</f>
        <v>Amaranthus viridis</v>
      </c>
      <c r="H5579" s="6" t="str">
        <f>VLOOKUP(E5579,dicionario!$A$1:$C5978,3,0)</f>
        <v>caruru-de-mancha</v>
      </c>
    </row>
    <row r="5580">
      <c r="A5580" s="3">
        <v>45687.0</v>
      </c>
      <c r="B5580" s="4">
        <v>0.2847222222222222</v>
      </c>
      <c r="C5580" s="5" t="s">
        <v>40</v>
      </c>
      <c r="D5580" s="5" t="s">
        <v>1082</v>
      </c>
      <c r="E5580" s="30" t="s">
        <v>979</v>
      </c>
      <c r="F5580" s="31"/>
      <c r="G5580" s="6" t="str">
        <f>VLOOKUP(E5580,dicionario!$A$1:$C5979,2,0)</f>
        <v>#N/A</v>
      </c>
      <c r="H5580" s="6" t="str">
        <f>VLOOKUP(E5580,dicionario!$A$1:$C5979,3,0)</f>
        <v>#N/A</v>
      </c>
    </row>
    <row r="5581">
      <c r="A5581" s="3">
        <v>45687.0</v>
      </c>
      <c r="B5581" s="4">
        <v>0.28541666666666665</v>
      </c>
      <c r="C5581" s="5" t="s">
        <v>40</v>
      </c>
      <c r="D5581" s="5" t="s">
        <v>1082</v>
      </c>
      <c r="E5581" s="8" t="s">
        <v>215</v>
      </c>
      <c r="F5581" s="7" t="s">
        <v>216</v>
      </c>
      <c r="G5581" s="6" t="str">
        <f>VLOOKUP(E5581,dicionario!$A$1:$C5980,2,0)</f>
        <v>Pygochelidon cyanoleuca</v>
      </c>
      <c r="H5581" s="6" t="str">
        <f>VLOOKUP(E5581,dicionario!$A$1:$C5980,3,0)</f>
        <v>andorinha-pequena-de-casa</v>
      </c>
    </row>
    <row r="5582">
      <c r="A5582" s="3">
        <v>45687.0</v>
      </c>
      <c r="B5582" s="4">
        <v>0.28541666666666665</v>
      </c>
      <c r="C5582" s="5" t="s">
        <v>40</v>
      </c>
      <c r="D5582" s="5" t="s">
        <v>1082</v>
      </c>
      <c r="E5582" s="8" t="s">
        <v>213</v>
      </c>
      <c r="F5582" s="7" t="s">
        <v>214</v>
      </c>
      <c r="G5582" s="6" t="str">
        <f>VLOOKUP(E5582,dicionario!$A$1:$C5981,2,0)</f>
        <v>Myiozetetes similis</v>
      </c>
      <c r="H5582" s="6" t="str">
        <f>VLOOKUP(E5582,dicionario!$A$1:$C5981,3,0)</f>
        <v>bentevizinho-de-penacho-vermelho</v>
      </c>
    </row>
    <row r="5583">
      <c r="A5583" s="3">
        <v>45687.0</v>
      </c>
      <c r="B5583" s="4">
        <v>0.28541666666666665</v>
      </c>
      <c r="C5583" s="5" t="s">
        <v>40</v>
      </c>
      <c r="D5583" s="5" t="s">
        <v>1082</v>
      </c>
      <c r="E5583" s="8" t="s">
        <v>517</v>
      </c>
      <c r="F5583" s="7" t="s">
        <v>518</v>
      </c>
      <c r="G5583" s="6" t="str">
        <f>VLOOKUP(E5583,dicionario!$A$1:$C5982,2,0)</f>
        <v>Evolvulus nummularius</v>
      </c>
      <c r="H5583" s="6" t="str">
        <f>VLOOKUP(E5583,dicionario!$A$1:$C5982,3,0)</f>
        <v/>
      </c>
    </row>
    <row r="5584">
      <c r="A5584" s="3">
        <v>45687.0</v>
      </c>
      <c r="B5584" s="4">
        <v>0.28541666666666665</v>
      </c>
      <c r="C5584" s="5" t="s">
        <v>40</v>
      </c>
      <c r="D5584" s="5" t="s">
        <v>1082</v>
      </c>
      <c r="E5584" s="8" t="s">
        <v>206</v>
      </c>
      <c r="F5584" s="5" t="s">
        <v>968</v>
      </c>
      <c r="G5584" s="6" t="str">
        <f>VLOOKUP(E5584,dicionario!$A$1:$C5983,2,0)</f>
        <v>Falco sparverius</v>
      </c>
      <c r="H5584" s="6" t="str">
        <f>VLOOKUP(E5584,dicionario!$A$1:$C5983,3,0)</f>
        <v>quiriquiri</v>
      </c>
    </row>
    <row r="5585">
      <c r="A5585" s="3">
        <v>45687.0</v>
      </c>
      <c r="B5585" s="4">
        <v>0.2861111111111111</v>
      </c>
      <c r="C5585" s="5" t="s">
        <v>40</v>
      </c>
      <c r="D5585" s="5" t="s">
        <v>1082</v>
      </c>
      <c r="E5585" s="8" t="s">
        <v>72</v>
      </c>
      <c r="F5585" s="5" t="s">
        <v>73</v>
      </c>
      <c r="G5585" s="6" t="str">
        <f>VLOOKUP(E5585,dicionario!$A$1:$C5984,2,0)</f>
        <v>Thraupis palmarum</v>
      </c>
      <c r="H5585" s="6" t="str">
        <f>VLOOKUP(E5585,dicionario!$A$1:$C5984,3,0)</f>
        <v>sanhaço-do-coqueiro</v>
      </c>
    </row>
    <row r="5586">
      <c r="A5586" s="3">
        <v>45687.0</v>
      </c>
      <c r="B5586" s="4">
        <v>0.2861111111111111</v>
      </c>
      <c r="C5586" s="5" t="s">
        <v>40</v>
      </c>
      <c r="D5586" s="5" t="s">
        <v>1082</v>
      </c>
      <c r="E5586" s="8" t="s">
        <v>1087</v>
      </c>
      <c r="F5586" s="5" t="s">
        <v>1088</v>
      </c>
      <c r="G5586" s="6" t="str">
        <f>VLOOKUP(E5586,dicionario!$A$1:$C5985,2,0)</f>
        <v>Desmodium triflorum</v>
      </c>
      <c r="H5586" s="6" t="str">
        <f>VLOOKUP(E5586,dicionario!$A$1:$C5985,3,0)</f>
        <v/>
      </c>
    </row>
    <row r="5587">
      <c r="A5587" s="3">
        <v>45687.0</v>
      </c>
      <c r="B5587" s="4">
        <v>0.28680555555555554</v>
      </c>
      <c r="C5587" s="5" t="s">
        <v>40</v>
      </c>
      <c r="D5587" s="5" t="s">
        <v>1082</v>
      </c>
      <c r="E5587" s="8" t="s">
        <v>12</v>
      </c>
      <c r="F5587" s="7" t="s">
        <v>13</v>
      </c>
      <c r="G5587" s="6" t="str">
        <f>VLOOKUP(E5587,dicionario!$A$1:$C5986,2,0)</f>
        <v>Eulaema nigrita</v>
      </c>
      <c r="H5587" s="6" t="str">
        <f>VLOOKUP(E5587,dicionario!$A$1:$C5986,3,0)</f>
        <v>abelha-de-orquídea</v>
      </c>
    </row>
    <row r="5588">
      <c r="A5588" s="3">
        <v>45687.0</v>
      </c>
      <c r="B5588" s="4">
        <v>0.28680555555555554</v>
      </c>
      <c r="C5588" s="5" t="s">
        <v>40</v>
      </c>
      <c r="D5588" s="5" t="s">
        <v>1082</v>
      </c>
      <c r="E5588" s="8" t="s">
        <v>113</v>
      </c>
      <c r="F5588" s="5" t="s">
        <v>114</v>
      </c>
      <c r="G5588" s="6" t="str">
        <f>VLOOKUP(E5588,dicionario!$A$1:$C5987,2,0)</f>
        <v>Columbina talpacoti</v>
      </c>
      <c r="H5588" s="6" t="str">
        <f>VLOOKUP(E5588,dicionario!$A$1:$C5987,3,0)</f>
        <v>rolinha-roxa</v>
      </c>
    </row>
    <row r="5589">
      <c r="A5589" s="3">
        <v>45687.0</v>
      </c>
      <c r="B5589" s="4">
        <v>0.28680555555555554</v>
      </c>
      <c r="C5589" s="5" t="s">
        <v>40</v>
      </c>
      <c r="D5589" s="5" t="s">
        <v>1082</v>
      </c>
      <c r="E5589" s="8" t="s">
        <v>471</v>
      </c>
      <c r="F5589" s="5" t="s">
        <v>472</v>
      </c>
      <c r="G5589" s="6" t="str">
        <f>VLOOKUP(E5589,dicionario!$A$1:$C5988,2,0)</f>
        <v>Sida acuta</v>
      </c>
      <c r="H5589" s="6" t="str">
        <f>VLOOKUP(E5589,dicionario!$A$1:$C5988,3,0)</f>
        <v>reloginho</v>
      </c>
    </row>
    <row r="5590">
      <c r="A5590" s="3">
        <v>45687.0</v>
      </c>
      <c r="B5590" s="4">
        <v>0.28680555555555554</v>
      </c>
      <c r="C5590" s="5" t="s">
        <v>40</v>
      </c>
      <c r="D5590" s="5" t="s">
        <v>1082</v>
      </c>
      <c r="E5590" s="8" t="s">
        <v>353</v>
      </c>
      <c r="F5590" s="5" t="s">
        <v>354</v>
      </c>
      <c r="G5590" s="6" t="str">
        <f>VLOOKUP(E5590,dicionario!$A$1:$C5989,2,0)</f>
        <v>Desmodium incanum</v>
      </c>
      <c r="H5590" s="6" t="str">
        <f>VLOOKUP(E5590,dicionario!$A$1:$C5989,3,0)</f>
        <v>pega-pega</v>
      </c>
    </row>
    <row r="5591">
      <c r="A5591" s="3">
        <v>45687.0</v>
      </c>
      <c r="B5591" s="4">
        <v>0.2875</v>
      </c>
      <c r="C5591" s="5" t="s">
        <v>40</v>
      </c>
      <c r="D5591" s="5" t="s">
        <v>1082</v>
      </c>
      <c r="E5591" s="8" t="s">
        <v>465</v>
      </c>
      <c r="F5591" s="5" t="s">
        <v>994</v>
      </c>
      <c r="G5591" s="6" t="str">
        <f>VLOOKUP(E5591,dicionario!$A$1:$C5990,2,0)</f>
        <v>Solanum diphyllum</v>
      </c>
      <c r="H5591" s="6" t="str">
        <f>VLOOKUP(E5591,dicionario!$A$1:$C5990,3,0)</f>
        <v>tomatinho-amarelo</v>
      </c>
    </row>
    <row r="5592">
      <c r="A5592" s="3">
        <v>45687.0</v>
      </c>
      <c r="B5592" s="4">
        <v>0.2875</v>
      </c>
      <c r="C5592" s="5" t="s">
        <v>40</v>
      </c>
      <c r="D5592" s="5" t="s">
        <v>1082</v>
      </c>
      <c r="E5592" s="8" t="s">
        <v>46</v>
      </c>
      <c r="F5592" s="5" t="s">
        <v>47</v>
      </c>
      <c r="G5592" s="6" t="str">
        <f>VLOOKUP(E5592,dicionario!$A$1:$C5991,2,0)</f>
        <v>Chionomesa fimbriata</v>
      </c>
      <c r="H5592" s="6" t="str">
        <f>VLOOKUP(E5592,dicionario!$A$1:$C5991,3,0)</f>
        <v>beija-flor-de-garganta-verde</v>
      </c>
    </row>
    <row r="5593">
      <c r="A5593" s="3">
        <v>45687.0</v>
      </c>
      <c r="B5593" s="4">
        <v>0.2881944444444444</v>
      </c>
      <c r="C5593" s="5" t="s">
        <v>40</v>
      </c>
      <c r="D5593" s="5" t="s">
        <v>1082</v>
      </c>
      <c r="E5593" s="8" t="s">
        <v>20</v>
      </c>
      <c r="F5593" s="7" t="s">
        <v>21</v>
      </c>
      <c r="G5593" s="6" t="str">
        <f>VLOOKUP(E5593,dicionario!$A$1:$C5992,2,0)</f>
        <v>Sicalis flaveola</v>
      </c>
      <c r="H5593" s="6" t="str">
        <f>VLOOKUP(E5593,dicionario!$A$1:$C5992,3,0)</f>
        <v>canário-da-terra</v>
      </c>
    </row>
    <row r="5594">
      <c r="A5594" s="3">
        <v>45687.0</v>
      </c>
      <c r="B5594" s="4">
        <v>0.2881944444444444</v>
      </c>
      <c r="C5594" s="5" t="s">
        <v>40</v>
      </c>
      <c r="D5594" s="5" t="s">
        <v>1082</v>
      </c>
      <c r="E5594" s="8" t="s">
        <v>65</v>
      </c>
      <c r="F5594" s="5" t="s">
        <v>66</v>
      </c>
      <c r="G5594" s="6" t="str">
        <f>VLOOKUP(E5594,dicionario!$A$1:$C5993,2,0)</f>
        <v>Pitangus sulphutarus</v>
      </c>
      <c r="H5594" s="6" t="str">
        <f>VLOOKUP(E5594,dicionario!$A$1:$C5993,3,0)</f>
        <v>bem-te-vi</v>
      </c>
    </row>
    <row r="5595">
      <c r="A5595" s="3">
        <v>45687.0</v>
      </c>
      <c r="B5595" s="4">
        <v>0.2881944444444444</v>
      </c>
      <c r="C5595" s="5" t="s">
        <v>40</v>
      </c>
      <c r="D5595" s="5" t="s">
        <v>1082</v>
      </c>
      <c r="E5595" s="8" t="s">
        <v>18</v>
      </c>
      <c r="F5595" s="5" t="s">
        <v>219</v>
      </c>
      <c r="G5595" s="6" t="str">
        <f>VLOOKUP(E5595,dicionario!$A$1:$C5994,2,0)</f>
        <v>Xylocopa frontalis</v>
      </c>
      <c r="H5595" s="6" t="str">
        <f>VLOOKUP(E5595,dicionario!$A$1:$C5994,3,0)</f>
        <v>Mamangava; mangangá; abelha-carpinteira</v>
      </c>
    </row>
    <row r="5596">
      <c r="A5596" s="3">
        <v>45687.0</v>
      </c>
      <c r="B5596" s="4">
        <v>0.28888888888888886</v>
      </c>
      <c r="C5596" s="5" t="s">
        <v>40</v>
      </c>
      <c r="D5596" s="5" t="s">
        <v>1082</v>
      </c>
      <c r="E5596" s="8" t="s">
        <v>1136</v>
      </c>
      <c r="F5596" s="5" t="s">
        <v>881</v>
      </c>
      <c r="G5596" s="6" t="str">
        <f>VLOOKUP(E5596,dicionario!$A$1:$C5995,2,0)</f>
        <v>#N/A</v>
      </c>
      <c r="H5596" s="6" t="str">
        <f>VLOOKUP(E5596,dicionario!$A$1:$C5995,3,0)</f>
        <v>#N/A</v>
      </c>
    </row>
    <row r="5597">
      <c r="A5597" s="3">
        <v>45687.0</v>
      </c>
      <c r="B5597" s="4">
        <v>0.28888888888888886</v>
      </c>
      <c r="C5597" s="5" t="s">
        <v>40</v>
      </c>
      <c r="D5597" s="5" t="s">
        <v>1082</v>
      </c>
      <c r="E5597" s="8" t="s">
        <v>401</v>
      </c>
      <c r="F5597" s="5" t="s">
        <v>464</v>
      </c>
      <c r="G5597" s="6" t="str">
        <f>VLOOKUP(E5597,dicionario!$A$1:$C5996,2,0)</f>
        <v>Cissus verticillata</v>
      </c>
      <c r="H5597" s="6" t="str">
        <f>VLOOKUP(E5597,dicionario!$A$1:$C5996,3,0)</f>
        <v>uva-do-mato</v>
      </c>
    </row>
    <row r="5598">
      <c r="A5598" s="3">
        <v>45687.0</v>
      </c>
      <c r="B5598" s="4">
        <v>0.28958333333333336</v>
      </c>
      <c r="C5598" s="5" t="s">
        <v>40</v>
      </c>
      <c r="D5598" s="5" t="s">
        <v>1082</v>
      </c>
      <c r="E5598" s="8" t="s">
        <v>977</v>
      </c>
      <c r="F5598" s="5" t="s">
        <v>978</v>
      </c>
      <c r="G5598" s="6" t="str">
        <f>VLOOKUP(E5598,dicionario!$A$1:$C5997,2,0)</f>
        <v>Odontomachus</v>
      </c>
      <c r="H5598" s="6" t="str">
        <f>VLOOKUP(E5598,dicionario!$A$1:$C5997,3,0)</f>
        <v>formiga-de-estalo</v>
      </c>
    </row>
    <row r="5599">
      <c r="A5599" s="3">
        <v>45687.0</v>
      </c>
      <c r="B5599" s="4">
        <v>0.2902777777777778</v>
      </c>
      <c r="C5599" s="5" t="s">
        <v>40</v>
      </c>
      <c r="D5599" s="5" t="s">
        <v>1082</v>
      </c>
      <c r="E5599" s="8" t="s">
        <v>366</v>
      </c>
      <c r="F5599" s="5" t="s">
        <v>367</v>
      </c>
      <c r="G5599" s="6" t="str">
        <f>VLOOKUP(E5599,dicionario!$A$1:$C5998,2,0)</f>
        <v>Alternanthera ficoidea</v>
      </c>
      <c r="H5599" s="6" t="str">
        <f>VLOOKUP(E5599,dicionario!$A$1:$C5998,3,0)</f>
        <v>quebra-panela</v>
      </c>
    </row>
    <row r="5600">
      <c r="A5600" s="3">
        <v>45687.0</v>
      </c>
      <c r="B5600" s="4">
        <v>0.29097222222222224</v>
      </c>
      <c r="C5600" s="5" t="s">
        <v>40</v>
      </c>
      <c r="D5600" s="5" t="s">
        <v>1082</v>
      </c>
      <c r="E5600" s="8" t="s">
        <v>18</v>
      </c>
      <c r="F5600" s="5" t="s">
        <v>1137</v>
      </c>
      <c r="G5600" s="6" t="str">
        <f>VLOOKUP(E5600,dicionario!$A$1:$C5999,2,0)</f>
        <v>Xylocopa frontalis</v>
      </c>
      <c r="H5600" s="6" t="str">
        <f>VLOOKUP(E5600,dicionario!$A$1:$C5999,3,0)</f>
        <v>Mamangava; mangangá; abelha-carpinteira</v>
      </c>
    </row>
    <row r="5601">
      <c r="A5601" s="3">
        <v>45687.0</v>
      </c>
      <c r="B5601" s="4">
        <v>0.2923611111111111</v>
      </c>
      <c r="C5601" s="5" t="s">
        <v>40</v>
      </c>
      <c r="D5601" s="5" t="s">
        <v>1082</v>
      </c>
      <c r="E5601" s="8" t="s">
        <v>467</v>
      </c>
      <c r="F5601" s="5" t="s">
        <v>468</v>
      </c>
      <c r="G5601" s="6" t="str">
        <f>VLOOKUP(E5601,dicionario!$A$1:$C6000,2,0)</f>
        <v>Eleusine indica</v>
      </c>
      <c r="H5601" s="6" t="str">
        <f>VLOOKUP(E5601,dicionario!$A$1:$C6000,3,0)</f>
        <v>capim-pé-de-galinha</v>
      </c>
    </row>
    <row r="5602">
      <c r="A5602" s="3">
        <v>45687.0</v>
      </c>
      <c r="B5602" s="4">
        <v>0.29305555555555557</v>
      </c>
      <c r="C5602" s="5" t="s">
        <v>40</v>
      </c>
      <c r="D5602" s="5" t="s">
        <v>1082</v>
      </c>
      <c r="E5602" s="8" t="s">
        <v>830</v>
      </c>
      <c r="F5602" s="5" t="s">
        <v>1117</v>
      </c>
      <c r="G5602" s="6" t="str">
        <f>VLOOKUP(E5602,dicionario!$A$1:$C6001,2,0)</f>
        <v>#N/A</v>
      </c>
      <c r="H5602" s="6" t="str">
        <f>VLOOKUP(E5602,dicionario!$A$1:$C6001,3,0)</f>
        <v>#N/A</v>
      </c>
    </row>
    <row r="5603">
      <c r="A5603" s="3">
        <v>45687.0</v>
      </c>
      <c r="B5603" s="4">
        <v>0.2965277777777778</v>
      </c>
      <c r="C5603" s="5" t="s">
        <v>50</v>
      </c>
      <c r="D5603" s="5" t="s">
        <v>1082</v>
      </c>
      <c r="E5603" s="8" t="s">
        <v>215</v>
      </c>
      <c r="F5603" s="7" t="s">
        <v>216</v>
      </c>
      <c r="G5603" s="6" t="str">
        <f>VLOOKUP(E5603,dicionario!$A$1:$C6002,2,0)</f>
        <v>Pygochelidon cyanoleuca</v>
      </c>
      <c r="H5603" s="6" t="str">
        <f>VLOOKUP(E5603,dicionario!$A$1:$C6002,3,0)</f>
        <v>andorinha-pequena-de-casa</v>
      </c>
    </row>
    <row r="5604">
      <c r="A5604" s="3">
        <v>45687.0</v>
      </c>
      <c r="B5604" s="4">
        <v>0.2965277777777778</v>
      </c>
      <c r="C5604" s="5" t="s">
        <v>50</v>
      </c>
      <c r="D5604" s="5" t="s">
        <v>1082</v>
      </c>
      <c r="E5604" s="8" t="s">
        <v>503</v>
      </c>
      <c r="F5604" s="5" t="s">
        <v>414</v>
      </c>
      <c r="G5604" s="6" t="str">
        <f>VLOOKUP(E5604,dicionario!$A$1:$C6003,2,0)</f>
        <v>Orphulella punctata</v>
      </c>
      <c r="H5604" s="6" t="str">
        <f>VLOOKUP(E5604,dicionario!$A$1:$C6003,3,0)</f>
        <v>gafanhotinho</v>
      </c>
    </row>
    <row r="5605">
      <c r="A5605" s="3">
        <v>45687.0</v>
      </c>
      <c r="B5605" s="4">
        <v>0.2965277777777778</v>
      </c>
      <c r="C5605" s="5" t="s">
        <v>50</v>
      </c>
      <c r="D5605" s="5" t="s">
        <v>1082</v>
      </c>
      <c r="E5605" s="8" t="s">
        <v>471</v>
      </c>
      <c r="F5605" s="5" t="s">
        <v>472</v>
      </c>
      <c r="G5605" s="6" t="str">
        <f>VLOOKUP(E5605,dicionario!$A$1:$C6004,2,0)</f>
        <v>Sida acuta</v>
      </c>
      <c r="H5605" s="6" t="str">
        <f>VLOOKUP(E5605,dicionario!$A$1:$C6004,3,0)</f>
        <v>reloginho</v>
      </c>
    </row>
    <row r="5606">
      <c r="A5606" s="3">
        <v>45687.0</v>
      </c>
      <c r="B5606" s="4">
        <v>0.2972222222222222</v>
      </c>
      <c r="C5606" s="5" t="s">
        <v>50</v>
      </c>
      <c r="D5606" s="5" t="s">
        <v>1082</v>
      </c>
      <c r="E5606" s="8" t="s">
        <v>177</v>
      </c>
      <c r="F5606" s="5" t="s">
        <v>178</v>
      </c>
      <c r="G5606" s="6" t="str">
        <f>VLOOKUP(E5606,dicionario!$A$1:$C6005,2,0)</f>
        <v>Elaenia flavogaster</v>
      </c>
      <c r="H5606" s="6" t="str">
        <f>VLOOKUP(E5606,dicionario!$A$1:$C6005,3,0)</f>
        <v>guaracava-de-barriga-amarela</v>
      </c>
    </row>
    <row r="5607">
      <c r="A5607" s="3">
        <v>45687.0</v>
      </c>
      <c r="B5607" s="4">
        <v>0.2972222222222222</v>
      </c>
      <c r="C5607" s="5" t="s">
        <v>50</v>
      </c>
      <c r="D5607" s="5" t="s">
        <v>1082</v>
      </c>
      <c r="E5607" s="8" t="s">
        <v>253</v>
      </c>
      <c r="F5607" s="5" t="s">
        <v>254</v>
      </c>
      <c r="G5607" s="6" t="str">
        <f>VLOOKUP(E5607,dicionario!$A$1:$C6006,2,0)</f>
        <v>Panicum maximum</v>
      </c>
      <c r="H5607" s="6" t="str">
        <f>VLOOKUP(E5607,dicionario!$A$1:$C6006,3,0)</f>
        <v>capim-colonião</v>
      </c>
    </row>
    <row r="5608">
      <c r="A5608" s="3">
        <v>45687.0</v>
      </c>
      <c r="B5608" s="4">
        <v>0.2972222222222222</v>
      </c>
      <c r="C5608" s="5" t="s">
        <v>50</v>
      </c>
      <c r="D5608" s="5" t="s">
        <v>1082</v>
      </c>
      <c r="E5608" s="8" t="s">
        <v>1084</v>
      </c>
      <c r="F5608" s="5" t="s">
        <v>1084</v>
      </c>
      <c r="G5608" s="6" t="str">
        <f>VLOOKUP(E5608,dicionario!$A$1:$C6007,2,0)</f>
        <v>#N/A</v>
      </c>
      <c r="H5608" s="6" t="str">
        <f>VLOOKUP(E5608,dicionario!$A$1:$C6007,3,0)</f>
        <v>#N/A</v>
      </c>
    </row>
    <row r="5609">
      <c r="A5609" s="3">
        <v>45687.0</v>
      </c>
      <c r="B5609" s="4">
        <v>0.29791666666666666</v>
      </c>
      <c r="C5609" s="5" t="s">
        <v>50</v>
      </c>
      <c r="D5609" s="5" t="s">
        <v>1082</v>
      </c>
      <c r="E5609" s="8" t="s">
        <v>1138</v>
      </c>
      <c r="F5609" s="5" t="s">
        <v>1139</v>
      </c>
      <c r="G5609" s="6" t="str">
        <f>VLOOKUP(E5609,dicionario!$A$1:$C6008,2,0)</f>
        <v>#N/A</v>
      </c>
      <c r="H5609" s="6" t="str">
        <f>VLOOKUP(E5609,dicionario!$A$1:$C6008,3,0)</f>
        <v>#N/A</v>
      </c>
    </row>
    <row r="5610">
      <c r="A5610" s="3">
        <v>45687.0</v>
      </c>
      <c r="B5610" s="4">
        <v>0.29791666666666666</v>
      </c>
      <c r="C5610" s="5" t="s">
        <v>50</v>
      </c>
      <c r="D5610" s="5" t="s">
        <v>1082</v>
      </c>
      <c r="E5610" s="8" t="s">
        <v>36</v>
      </c>
      <c r="F5610" s="7" t="s">
        <v>37</v>
      </c>
      <c r="G5610" s="6" t="str">
        <f>VLOOKUP(E5610,dicionario!$A$1:$C6009,2,0)</f>
        <v>Lucilia sericata</v>
      </c>
      <c r="H5610" s="6" t="str">
        <f>VLOOKUP(E5610,dicionario!$A$1:$C6009,3,0)</f>
        <v>mosca-verde</v>
      </c>
    </row>
    <row r="5611">
      <c r="A5611" s="3">
        <v>45687.0</v>
      </c>
      <c r="B5611" s="4">
        <v>0.29791666666666666</v>
      </c>
      <c r="C5611" s="5" t="s">
        <v>50</v>
      </c>
      <c r="D5611" s="5" t="s">
        <v>1082</v>
      </c>
      <c r="E5611" s="8" t="s">
        <v>31</v>
      </c>
      <c r="F5611" s="5" t="s">
        <v>32</v>
      </c>
      <c r="G5611" s="6" t="str">
        <f>VLOOKUP(E5611,dicionario!$A$1:$C6010,2,0)</f>
        <v>Furnarius rufus</v>
      </c>
      <c r="H5611" s="6" t="str">
        <f>VLOOKUP(E5611,dicionario!$A$1:$C6010,3,0)</f>
        <v>joão-de-barro</v>
      </c>
    </row>
    <row r="5612">
      <c r="A5612" s="3">
        <v>45687.0</v>
      </c>
      <c r="B5612" s="4">
        <v>0.29791666666666666</v>
      </c>
      <c r="C5612" s="5" t="s">
        <v>50</v>
      </c>
      <c r="D5612" s="5" t="s">
        <v>1082</v>
      </c>
      <c r="E5612" s="8" t="s">
        <v>46</v>
      </c>
      <c r="F5612" s="5" t="s">
        <v>47</v>
      </c>
      <c r="G5612" s="6" t="str">
        <f>VLOOKUP(E5612,dicionario!$A$1:$C6011,2,0)</f>
        <v>Chionomesa fimbriata</v>
      </c>
      <c r="H5612" s="6" t="str">
        <f>VLOOKUP(E5612,dicionario!$A$1:$C6011,3,0)</f>
        <v>beija-flor-de-garganta-verde</v>
      </c>
    </row>
    <row r="5613">
      <c r="A5613" s="3">
        <v>45687.0</v>
      </c>
      <c r="B5613" s="4">
        <v>0.2986111111111111</v>
      </c>
      <c r="C5613" s="5" t="s">
        <v>50</v>
      </c>
      <c r="D5613" s="5" t="s">
        <v>1082</v>
      </c>
      <c r="E5613" s="8" t="s">
        <v>946</v>
      </c>
      <c r="F5613" s="5" t="s">
        <v>1091</v>
      </c>
      <c r="G5613" s="6" t="str">
        <f>VLOOKUP(E5613,dicionario!$A$1:$C6012,2,0)</f>
        <v>Thorybes dorantes</v>
      </c>
      <c r="H5613" s="6" t="str">
        <f>VLOOKUP(E5613,dicionario!$A$1:$C6012,3,0)</f>
        <v>mariposa-de-cauda-lilás</v>
      </c>
    </row>
    <row r="5614">
      <c r="A5614" s="3">
        <v>45687.0</v>
      </c>
      <c r="B5614" s="4">
        <v>0.2986111111111111</v>
      </c>
      <c r="C5614" s="5" t="s">
        <v>50</v>
      </c>
      <c r="D5614" s="5" t="s">
        <v>1082</v>
      </c>
      <c r="E5614" s="8" t="s">
        <v>514</v>
      </c>
      <c r="F5614" s="7" t="s">
        <v>515</v>
      </c>
      <c r="G5614" s="6" t="str">
        <f>VLOOKUP(E5614,dicionario!$A$1:$C6013,2,0)</f>
        <v>Aedes aegypti</v>
      </c>
      <c r="H5614" s="6" t="str">
        <f>VLOOKUP(E5614,dicionario!$A$1:$C6013,3,0)</f>
        <v>mosquito-da-dengue</v>
      </c>
    </row>
    <row r="5615">
      <c r="A5615" s="3">
        <v>45687.0</v>
      </c>
      <c r="B5615" s="4">
        <v>0.2986111111111111</v>
      </c>
      <c r="C5615" s="5" t="s">
        <v>50</v>
      </c>
      <c r="D5615" s="5" t="s">
        <v>1082</v>
      </c>
      <c r="E5615" s="8" t="s">
        <v>247</v>
      </c>
      <c r="F5615" s="7" t="s">
        <v>272</v>
      </c>
      <c r="G5615" s="6" t="str">
        <f>VLOOKUP(E5615,dicionario!$A$1:$C6014,2,0)</f>
        <v>Emilia sonchifolia</v>
      </c>
      <c r="H5615" s="6" t="str">
        <f>VLOOKUP(E5615,dicionario!$A$1:$C6014,3,0)</f>
        <v>serralinha</v>
      </c>
    </row>
    <row r="5616">
      <c r="A5616" s="3">
        <v>45687.0</v>
      </c>
      <c r="B5616" s="4">
        <v>0.2986111111111111</v>
      </c>
      <c r="C5616" s="5" t="s">
        <v>50</v>
      </c>
      <c r="D5616" s="5" t="s">
        <v>1082</v>
      </c>
      <c r="E5616" s="8" t="s">
        <v>258</v>
      </c>
      <c r="F5616" s="5" t="s">
        <v>259</v>
      </c>
      <c r="G5616" s="6" t="str">
        <f>VLOOKUP(E5616,dicionario!$A$1:$C6015,2,0)</f>
        <v>Lantana camara</v>
      </c>
      <c r="H5616" s="6" t="str">
        <f>VLOOKUP(E5616,dicionario!$A$1:$C6015,3,0)</f>
        <v>lantana</v>
      </c>
    </row>
    <row r="5617">
      <c r="A5617" s="3">
        <v>45687.0</v>
      </c>
      <c r="B5617" s="4">
        <v>0.29930555555555555</v>
      </c>
      <c r="C5617" s="5" t="s">
        <v>50</v>
      </c>
      <c r="D5617" s="5" t="s">
        <v>1082</v>
      </c>
      <c r="E5617" s="8" t="s">
        <v>302</v>
      </c>
      <c r="F5617" s="5" t="s">
        <v>89</v>
      </c>
      <c r="G5617" s="6" t="str">
        <f>VLOOKUP(E5617,dicionario!$A$1:$C6016,2,0)</f>
        <v>Machetornis rixosa</v>
      </c>
      <c r="H5617" s="6" t="str">
        <f>VLOOKUP(E5617,dicionario!$A$1:$C6016,3,0)</f>
        <v>suiriri-cavaleiro</v>
      </c>
    </row>
    <row r="5618">
      <c r="A5618" s="3">
        <v>45687.0</v>
      </c>
      <c r="B5618" s="4">
        <v>0.29930555555555555</v>
      </c>
      <c r="C5618" s="5" t="s">
        <v>50</v>
      </c>
      <c r="D5618" s="5" t="s">
        <v>1082</v>
      </c>
      <c r="E5618" s="8" t="s">
        <v>366</v>
      </c>
      <c r="F5618" s="5" t="s">
        <v>367</v>
      </c>
      <c r="G5618" s="6" t="str">
        <f>VLOOKUP(E5618,dicionario!$A$1:$C6017,2,0)</f>
        <v>Alternanthera ficoidea</v>
      </c>
      <c r="H5618" s="6" t="str">
        <f>VLOOKUP(E5618,dicionario!$A$1:$C6017,3,0)</f>
        <v>quebra-panela</v>
      </c>
    </row>
    <row r="5619">
      <c r="A5619" s="3">
        <v>45687.0</v>
      </c>
      <c r="B5619" s="4">
        <v>0.29930555555555555</v>
      </c>
      <c r="C5619" s="5" t="s">
        <v>50</v>
      </c>
      <c r="D5619" s="5" t="s">
        <v>1082</v>
      </c>
      <c r="E5619" s="8" t="s">
        <v>353</v>
      </c>
      <c r="F5619" s="5" t="s">
        <v>354</v>
      </c>
      <c r="G5619" s="6" t="str">
        <f>VLOOKUP(E5619,dicionario!$A$1:$C6018,2,0)</f>
        <v>Desmodium incanum</v>
      </c>
      <c r="H5619" s="6" t="str">
        <f>VLOOKUP(E5619,dicionario!$A$1:$C6018,3,0)</f>
        <v>pega-pega</v>
      </c>
    </row>
    <row r="5620">
      <c r="A5620" s="3">
        <v>45687.0</v>
      </c>
      <c r="B5620" s="4">
        <v>0.29930555555555555</v>
      </c>
      <c r="C5620" s="5" t="s">
        <v>50</v>
      </c>
      <c r="D5620" s="5" t="s">
        <v>1082</v>
      </c>
      <c r="E5620" s="8" t="s">
        <v>1087</v>
      </c>
      <c r="F5620" s="5" t="s">
        <v>1088</v>
      </c>
      <c r="G5620" s="6" t="str">
        <f>VLOOKUP(E5620,dicionario!$A$1:$C6019,2,0)</f>
        <v>Desmodium triflorum</v>
      </c>
      <c r="H5620" s="6" t="str">
        <f>VLOOKUP(E5620,dicionario!$A$1:$C6019,3,0)</f>
        <v/>
      </c>
    </row>
    <row r="5621">
      <c r="A5621" s="3">
        <v>45687.0</v>
      </c>
      <c r="B5621" s="4">
        <v>0.29930555555555555</v>
      </c>
      <c r="C5621" s="5" t="s">
        <v>50</v>
      </c>
      <c r="D5621" s="5" t="s">
        <v>1082</v>
      </c>
      <c r="E5621" s="8" t="s">
        <v>467</v>
      </c>
      <c r="F5621" s="5" t="s">
        <v>468</v>
      </c>
      <c r="G5621" s="6" t="str">
        <f>VLOOKUP(E5621,dicionario!$A$1:$C6020,2,0)</f>
        <v>Eleusine indica</v>
      </c>
      <c r="H5621" s="6" t="str">
        <f>VLOOKUP(E5621,dicionario!$A$1:$C6020,3,0)</f>
        <v>capim-pé-de-galinha</v>
      </c>
    </row>
    <row r="5622">
      <c r="A5622" s="3">
        <v>45687.0</v>
      </c>
      <c r="B5622" s="4">
        <v>0.3</v>
      </c>
      <c r="C5622" s="5" t="s">
        <v>50</v>
      </c>
      <c r="D5622" s="5" t="s">
        <v>1082</v>
      </c>
      <c r="E5622" s="8" t="s">
        <v>20</v>
      </c>
      <c r="F5622" s="7" t="s">
        <v>21</v>
      </c>
      <c r="G5622" s="6" t="str">
        <f>VLOOKUP(E5622,dicionario!$A$1:$C6021,2,0)</f>
        <v>Sicalis flaveola</v>
      </c>
      <c r="H5622" s="6" t="str">
        <f>VLOOKUP(E5622,dicionario!$A$1:$C6021,3,0)</f>
        <v>canário-da-terra</v>
      </c>
    </row>
    <row r="5623">
      <c r="A5623" s="3">
        <v>45687.0</v>
      </c>
      <c r="B5623" s="4">
        <v>0.30069444444444443</v>
      </c>
      <c r="C5623" s="5" t="s">
        <v>50</v>
      </c>
      <c r="D5623" s="5" t="s">
        <v>1082</v>
      </c>
      <c r="E5623" s="8" t="s">
        <v>173</v>
      </c>
      <c r="F5623" s="5" t="s">
        <v>336</v>
      </c>
      <c r="G5623" s="6" t="str">
        <f>VLOOKUP(E5623,dicionario!$A$1:$C6022,2,0)</f>
        <v>Junonia evarete</v>
      </c>
      <c r="H5623" s="6" t="str">
        <f>VLOOKUP(E5623,dicionario!$A$1:$C6022,3,0)</f>
        <v>borboleta-olho-de-pavão-diúrno</v>
      </c>
    </row>
    <row r="5624">
      <c r="A5624" s="3">
        <v>45687.0</v>
      </c>
      <c r="B5624" s="4">
        <v>0.30069444444444443</v>
      </c>
      <c r="C5624" s="5" t="s">
        <v>50</v>
      </c>
      <c r="D5624" s="5" t="s">
        <v>1082</v>
      </c>
      <c r="E5624" s="8" t="s">
        <v>1140</v>
      </c>
      <c r="F5624" s="5" t="s">
        <v>1141</v>
      </c>
      <c r="G5624" s="6" t="str">
        <f>VLOOKUP(E5624,dicionario!$A$1:$C6023,2,0)</f>
        <v>#N/A</v>
      </c>
      <c r="H5624" s="6" t="str">
        <f>VLOOKUP(E5624,dicionario!$A$1:$C6023,3,0)</f>
        <v>#N/A</v>
      </c>
    </row>
    <row r="5625">
      <c r="A5625" s="3">
        <v>45687.0</v>
      </c>
      <c r="B5625" s="4">
        <v>0.30069444444444443</v>
      </c>
      <c r="C5625" s="5" t="s">
        <v>50</v>
      </c>
      <c r="D5625" s="5" t="s">
        <v>1082</v>
      </c>
      <c r="E5625" s="8" t="s">
        <v>1142</v>
      </c>
      <c r="F5625" s="5" t="s">
        <v>1143</v>
      </c>
      <c r="G5625" s="6" t="str">
        <f>VLOOKUP(E5625,dicionario!$A$1:$C6024,2,0)</f>
        <v>#N/A</v>
      </c>
      <c r="H5625" s="6" t="str">
        <f>VLOOKUP(E5625,dicionario!$A$1:$C6024,3,0)</f>
        <v>#N/A</v>
      </c>
    </row>
    <row r="5626">
      <c r="A5626" s="3">
        <v>45687.0</v>
      </c>
      <c r="B5626" s="4">
        <v>0.3013888888888889</v>
      </c>
      <c r="C5626" s="5" t="s">
        <v>50</v>
      </c>
      <c r="D5626" s="5" t="s">
        <v>1082</v>
      </c>
      <c r="E5626" s="8" t="s">
        <v>99</v>
      </c>
      <c r="F5626" s="5" t="s">
        <v>508</v>
      </c>
      <c r="G5626" s="6" t="str">
        <f>VLOOKUP(E5626,dicionario!$A$1:$C6025,2,0)</f>
        <v>Molothrus bonariensis</v>
      </c>
      <c r="H5626" s="6" t="str">
        <f>VLOOKUP(E5626,dicionario!$A$1:$C6025,3,0)</f>
        <v>chupim</v>
      </c>
    </row>
    <row r="5627">
      <c r="A5627" s="3">
        <v>45687.0</v>
      </c>
      <c r="B5627" s="4">
        <v>0.3013888888888889</v>
      </c>
      <c r="C5627" s="5" t="s">
        <v>50</v>
      </c>
      <c r="D5627" s="5" t="s">
        <v>1082</v>
      </c>
      <c r="E5627" s="8" t="s">
        <v>483</v>
      </c>
      <c r="F5627" s="5" t="s">
        <v>289</v>
      </c>
      <c r="G5627" s="6" t="str">
        <f>VLOOKUP(E5627,dicionario!$A$1:$C6026,2,0)</f>
        <v>Euphorbia prostrata</v>
      </c>
      <c r="H5627" s="6" t="str">
        <f>VLOOKUP(E5627,dicionario!$A$1:$C6026,3,0)</f>
        <v>quebra-pedra-rasteira</v>
      </c>
    </row>
    <row r="5628">
      <c r="A5628" s="3">
        <v>45687.0</v>
      </c>
      <c r="B5628" s="4">
        <v>0.3013888888888889</v>
      </c>
      <c r="C5628" s="5" t="s">
        <v>50</v>
      </c>
      <c r="D5628" s="5" t="s">
        <v>1082</v>
      </c>
      <c r="E5628" s="8" t="s">
        <v>425</v>
      </c>
      <c r="F5628" s="5" t="s">
        <v>426</v>
      </c>
      <c r="G5628" s="6" t="str">
        <f>VLOOKUP(E5628,dicionario!$A$1:$C6027,2,0)</f>
        <v>Digitaria insularis</v>
      </c>
      <c r="H5628" s="6" t="str">
        <f>VLOOKUP(E5628,dicionario!$A$1:$C6027,3,0)</f>
        <v>capim-amargoso</v>
      </c>
    </row>
    <row r="5629">
      <c r="A5629" s="3">
        <v>45687.0</v>
      </c>
      <c r="B5629" s="4">
        <v>0.3020833333333333</v>
      </c>
      <c r="C5629" s="5" t="s">
        <v>50</v>
      </c>
      <c r="D5629" s="5" t="s">
        <v>1082</v>
      </c>
      <c r="E5629" s="8" t="s">
        <v>489</v>
      </c>
      <c r="F5629" s="5" t="s">
        <v>521</v>
      </c>
      <c r="G5629" s="6" t="str">
        <f>VLOOKUP(E5629,dicionario!$A$1:$C6028,2,0)</f>
        <v>Cenchrus echinatus</v>
      </c>
      <c r="H5629" s="6" t="str">
        <f>VLOOKUP(E5629,dicionario!$A$1:$C6028,3,0)</f>
        <v>capim-carrapicho</v>
      </c>
    </row>
    <row r="5630">
      <c r="A5630" s="3">
        <v>45687.0</v>
      </c>
      <c r="B5630" s="4">
        <v>0.3020833333333333</v>
      </c>
      <c r="C5630" s="5" t="s">
        <v>50</v>
      </c>
      <c r="D5630" s="5" t="s">
        <v>1082</v>
      </c>
      <c r="E5630" s="8" t="s">
        <v>1144</v>
      </c>
      <c r="F5630" s="5" t="s">
        <v>1145</v>
      </c>
      <c r="G5630" s="6" t="str">
        <f>VLOOKUP(E5630,dicionario!$A$1:$C6029,2,0)</f>
        <v>#N/A</v>
      </c>
      <c r="H5630" s="6" t="str">
        <f>VLOOKUP(E5630,dicionario!$A$1:$C6029,3,0)</f>
        <v>#N/A</v>
      </c>
    </row>
    <row r="5631">
      <c r="A5631" s="3">
        <v>45687.0</v>
      </c>
      <c r="B5631" s="4">
        <v>0.3020833333333333</v>
      </c>
      <c r="C5631" s="5" t="s">
        <v>50</v>
      </c>
      <c r="D5631" s="5" t="s">
        <v>1082</v>
      </c>
      <c r="E5631" s="8" t="s">
        <v>163</v>
      </c>
      <c r="F5631" s="5" t="s">
        <v>164</v>
      </c>
      <c r="G5631" s="6" t="str">
        <f>VLOOKUP(E5631,dicionario!$A$1:$C6030,2,0)</f>
        <v>Coragyps atratus</v>
      </c>
      <c r="H5631" s="6" t="str">
        <f>VLOOKUP(E5631,dicionario!$A$1:$C6030,3,0)</f>
        <v>urubu-de-cabeça-preta</v>
      </c>
    </row>
    <row r="5632">
      <c r="A5632" s="3">
        <v>45687.0</v>
      </c>
      <c r="B5632" s="4">
        <v>0.30277777777777776</v>
      </c>
      <c r="C5632" s="5" t="s">
        <v>50</v>
      </c>
      <c r="D5632" s="5" t="s">
        <v>1082</v>
      </c>
      <c r="E5632" s="8" t="s">
        <v>122</v>
      </c>
      <c r="F5632" s="7" t="s">
        <v>123</v>
      </c>
      <c r="G5632" s="6" t="str">
        <f>VLOOKUP(E5632,dicionario!$A$1:$C6031,2,0)</f>
        <v>Todirostrum cinereum</v>
      </c>
      <c r="H5632" s="6" t="str">
        <f>VLOOKUP(E5632,dicionario!$A$1:$C6031,3,0)</f>
        <v>ferreirinho-relógio</v>
      </c>
    </row>
    <row r="5633">
      <c r="A5633" s="3">
        <v>45687.0</v>
      </c>
      <c r="B5633" s="4">
        <v>0.3034722222222222</v>
      </c>
      <c r="C5633" s="5" t="s">
        <v>50</v>
      </c>
      <c r="D5633" s="5" t="s">
        <v>1082</v>
      </c>
      <c r="E5633" s="8" t="s">
        <v>324</v>
      </c>
      <c r="F5633" s="5" t="s">
        <v>325</v>
      </c>
      <c r="G5633" s="6" t="str">
        <f>VLOOKUP(E5633,dicionario!$A$1:$C6032,2,0)</f>
        <v>#N/A</v>
      </c>
      <c r="H5633" s="6" t="str">
        <f>VLOOKUP(E5633,dicionario!$A$1:$C6032,3,0)</f>
        <v>#N/A</v>
      </c>
    </row>
    <row r="5634">
      <c r="A5634" s="3">
        <v>45687.0</v>
      </c>
      <c r="B5634" s="4">
        <v>0.3034722222222222</v>
      </c>
      <c r="C5634" s="5" t="s">
        <v>50</v>
      </c>
      <c r="D5634" s="5" t="s">
        <v>1082</v>
      </c>
      <c r="E5634" s="8" t="s">
        <v>83</v>
      </c>
      <c r="F5634" s="5" t="s">
        <v>84</v>
      </c>
      <c r="G5634" s="6" t="str">
        <f>VLOOKUP(E5634,dicionario!$A$1:$C6033,2,0)</f>
        <v>Anartia jatrophae</v>
      </c>
      <c r="H5634" s="6" t="str">
        <f>VLOOKUP(E5634,dicionario!$A$1:$C6033,3,0)</f>
        <v>borboleta-pavão-branco</v>
      </c>
    </row>
    <row r="5635">
      <c r="A5635" s="3">
        <v>45687.0</v>
      </c>
      <c r="B5635" s="4">
        <v>0.3034722222222222</v>
      </c>
      <c r="C5635" s="5" t="s">
        <v>50</v>
      </c>
      <c r="D5635" s="5" t="s">
        <v>1082</v>
      </c>
      <c r="E5635" s="8" t="s">
        <v>109</v>
      </c>
      <c r="F5635" s="5" t="s">
        <v>110</v>
      </c>
      <c r="G5635" s="6" t="str">
        <f>VLOOKUP(E5635,dicionario!$A$1:$C6034,2,0)</f>
        <v>Tillandsia stricta</v>
      </c>
      <c r="H5635" s="6" t="str">
        <f>VLOOKUP(E5635,dicionario!$A$1:$C6034,3,0)</f>
        <v>cravo-do-mato</v>
      </c>
    </row>
    <row r="5636">
      <c r="A5636" s="3">
        <v>45687.0</v>
      </c>
      <c r="B5636" s="4">
        <v>0.30416666666666664</v>
      </c>
      <c r="C5636" s="5" t="s">
        <v>50</v>
      </c>
      <c r="D5636" s="5" t="s">
        <v>1082</v>
      </c>
      <c r="E5636" s="8" t="s">
        <v>251</v>
      </c>
      <c r="F5636" s="5" t="s">
        <v>252</v>
      </c>
      <c r="G5636" s="6" t="str">
        <f>VLOOKUP(E5636,dicionario!$A$1:$C6035,2,0)</f>
        <v>Struthanthus flexicaulis</v>
      </c>
      <c r="H5636" s="6" t="str">
        <f>VLOOKUP(E5636,dicionario!$A$1:$C6035,3,0)</f>
        <v>erva-de-passarinho</v>
      </c>
    </row>
    <row r="5637">
      <c r="A5637" s="3">
        <v>45687.0</v>
      </c>
      <c r="B5637" s="4">
        <v>0.30416666666666664</v>
      </c>
      <c r="C5637" s="5" t="s">
        <v>50</v>
      </c>
      <c r="D5637" s="5" t="s">
        <v>1082</v>
      </c>
      <c r="E5637" s="20" t="s">
        <v>676</v>
      </c>
      <c r="F5637" s="7" t="s">
        <v>677</v>
      </c>
      <c r="G5637" s="6" t="str">
        <f>VLOOKUP(E5637,dicionario!$A$1:$C6036,2,0)</f>
        <v>Zornia latifolia</v>
      </c>
      <c r="H5637" s="6" t="str">
        <f>VLOOKUP(E5637,dicionario!$A$1:$C6036,3,0)</f>
        <v>arrozinho-do-campo</v>
      </c>
    </row>
    <row r="5638">
      <c r="A5638" s="3">
        <v>45687.0</v>
      </c>
      <c r="B5638" s="4">
        <v>0.30486111111111114</v>
      </c>
      <c r="C5638" s="5" t="s">
        <v>50</v>
      </c>
      <c r="D5638" s="5" t="s">
        <v>1082</v>
      </c>
      <c r="E5638" s="8" t="s">
        <v>401</v>
      </c>
      <c r="F5638" s="5" t="s">
        <v>464</v>
      </c>
      <c r="G5638" s="6" t="str">
        <f>VLOOKUP(E5638,dicionario!$A$1:$C6037,2,0)</f>
        <v>Cissus verticillata</v>
      </c>
      <c r="H5638" s="6" t="str">
        <f>VLOOKUP(E5638,dicionario!$A$1:$C6037,3,0)</f>
        <v>uva-do-mato</v>
      </c>
    </row>
    <row r="5639">
      <c r="A5639" s="3">
        <v>45687.0</v>
      </c>
      <c r="B5639" s="4">
        <v>0.30486111111111114</v>
      </c>
      <c r="C5639" s="5" t="s">
        <v>50</v>
      </c>
      <c r="D5639" s="5" t="s">
        <v>1082</v>
      </c>
      <c r="E5639" s="8" t="s">
        <v>579</v>
      </c>
      <c r="F5639" s="5" t="s">
        <v>580</v>
      </c>
      <c r="G5639" s="6" t="str">
        <f>VLOOKUP(E5639,dicionario!$A$1:$C6038,2,0)</f>
        <v>Piper tuberculatum</v>
      </c>
      <c r="H5639" s="6" t="str">
        <f>VLOOKUP(E5639,dicionario!$A$1:$C6038,3,0)</f>
        <v/>
      </c>
    </row>
    <row r="5640">
      <c r="A5640" s="3">
        <v>45687.0</v>
      </c>
      <c r="B5640" s="4">
        <v>0.30833333333333335</v>
      </c>
      <c r="C5640" s="5" t="s">
        <v>59</v>
      </c>
      <c r="D5640" s="5" t="s">
        <v>1082</v>
      </c>
      <c r="E5640" s="30" t="s">
        <v>979</v>
      </c>
      <c r="F5640" s="31"/>
      <c r="G5640" s="6" t="str">
        <f>VLOOKUP(E5640,dicionario!$A$1:$C6039,2,0)</f>
        <v>#N/A</v>
      </c>
      <c r="H5640" s="6" t="str">
        <f>VLOOKUP(E5640,dicionario!$A$1:$C6039,3,0)</f>
        <v>#N/A</v>
      </c>
    </row>
    <row r="5641">
      <c r="A5641" s="3">
        <v>45687.0</v>
      </c>
      <c r="B5641" s="4">
        <v>0.30833333333333335</v>
      </c>
      <c r="C5641" s="5" t="s">
        <v>59</v>
      </c>
      <c r="D5641" s="5" t="s">
        <v>1082</v>
      </c>
      <c r="E5641" s="8" t="s">
        <v>581</v>
      </c>
      <c r="F5641" s="5" t="s">
        <v>582</v>
      </c>
      <c r="G5641" s="6" t="str">
        <f>VLOOKUP(E5641,dicionario!$A$1:$C6040,2,0)</f>
        <v>Phoebis marcellina</v>
      </c>
      <c r="H5641" s="6" t="str">
        <f>VLOOKUP(E5641,dicionario!$A$1:$C6040,3,0)</f>
        <v>borboleta-gema</v>
      </c>
    </row>
    <row r="5642">
      <c r="A5642" s="3">
        <v>45687.0</v>
      </c>
      <c r="B5642" s="4">
        <v>0.30833333333333335</v>
      </c>
      <c r="C5642" s="5" t="s">
        <v>59</v>
      </c>
      <c r="D5642" s="5" t="s">
        <v>1082</v>
      </c>
      <c r="E5642" s="8" t="s">
        <v>46</v>
      </c>
      <c r="F5642" s="5" t="s">
        <v>47</v>
      </c>
      <c r="G5642" s="6" t="str">
        <f>VLOOKUP(E5642,dicionario!$A$1:$C6041,2,0)</f>
        <v>Chionomesa fimbriata</v>
      </c>
      <c r="H5642" s="6" t="str">
        <f>VLOOKUP(E5642,dicionario!$A$1:$C6041,3,0)</f>
        <v>beija-flor-de-garganta-verde</v>
      </c>
    </row>
    <row r="5643">
      <c r="A5643" s="3">
        <v>45687.0</v>
      </c>
      <c r="B5643" s="4">
        <v>0.30833333333333335</v>
      </c>
      <c r="C5643" s="5" t="s">
        <v>59</v>
      </c>
      <c r="D5643" s="5" t="s">
        <v>1082</v>
      </c>
      <c r="E5643" s="8" t="s">
        <v>109</v>
      </c>
      <c r="F5643" s="5" t="s">
        <v>110</v>
      </c>
      <c r="G5643" s="6" t="str">
        <f>VLOOKUP(E5643,dicionario!$A$1:$C6042,2,0)</f>
        <v>Tillandsia stricta</v>
      </c>
      <c r="H5643" s="6" t="str">
        <f>VLOOKUP(E5643,dicionario!$A$1:$C6042,3,0)</f>
        <v>cravo-do-mato</v>
      </c>
    </row>
    <row r="5644">
      <c r="A5644" s="3">
        <v>45687.0</v>
      </c>
      <c r="B5644" s="4">
        <v>0.30972222222222223</v>
      </c>
      <c r="C5644" s="5" t="s">
        <v>59</v>
      </c>
      <c r="D5644" s="5" t="s">
        <v>1082</v>
      </c>
      <c r="E5644" s="8" t="s">
        <v>16</v>
      </c>
      <c r="F5644" s="5" t="s">
        <v>17</v>
      </c>
      <c r="G5644" s="6" t="str">
        <f>VLOOKUP(E5644,dicionario!$A$1:$C6043,2,0)</f>
        <v>Eupetomena macroura</v>
      </c>
      <c r="H5644" s="6" t="str">
        <f>VLOOKUP(E5644,dicionario!$A$1:$C6043,3,0)</f>
        <v>beija-flor-tesoura</v>
      </c>
    </row>
    <row r="5645">
      <c r="A5645" s="3">
        <v>45687.0</v>
      </c>
      <c r="B5645" s="4">
        <v>0.30972222222222223</v>
      </c>
      <c r="C5645" s="5" t="s">
        <v>59</v>
      </c>
      <c r="D5645" s="5" t="s">
        <v>1082</v>
      </c>
      <c r="E5645" s="8" t="s">
        <v>298</v>
      </c>
      <c r="F5645" s="5" t="s">
        <v>739</v>
      </c>
      <c r="G5645" s="6" t="str">
        <f>VLOOKUP(E5645,dicionario!$A$1:$C6044,2,0)</f>
        <v>Alysicarpus vaginalis</v>
      </c>
      <c r="H5645" s="6" t="str">
        <f>VLOOKUP(E5645,dicionario!$A$1:$C6044,3,0)</f>
        <v/>
      </c>
    </row>
    <row r="5646">
      <c r="A5646" s="3">
        <v>45687.0</v>
      </c>
      <c r="B5646" s="4">
        <v>0.30972222222222223</v>
      </c>
      <c r="C5646" s="5" t="s">
        <v>59</v>
      </c>
      <c r="D5646" s="5" t="s">
        <v>1082</v>
      </c>
      <c r="E5646" s="8" t="s">
        <v>200</v>
      </c>
      <c r="F5646" s="5" t="s">
        <v>201</v>
      </c>
      <c r="G5646" s="6" t="str">
        <f>VLOOKUP(E5646,dicionario!$A$1:$C6045,2,0)</f>
        <v>Columbina picui </v>
      </c>
      <c r="H5646" s="6" t="str">
        <f>VLOOKUP(E5646,dicionario!$A$1:$C6045,3,0)</f>
        <v>rolinha-picuí</v>
      </c>
    </row>
    <row r="5647">
      <c r="A5647" s="3">
        <v>45687.0</v>
      </c>
      <c r="B5647" s="4">
        <v>0.3111111111111111</v>
      </c>
      <c r="C5647" s="5" t="s">
        <v>59</v>
      </c>
      <c r="D5647" s="5" t="s">
        <v>1082</v>
      </c>
      <c r="E5647" s="8" t="s">
        <v>20</v>
      </c>
      <c r="F5647" s="7" t="s">
        <v>21</v>
      </c>
      <c r="G5647" s="6" t="str">
        <f>VLOOKUP(E5647,dicionario!$A$1:$C6046,2,0)</f>
        <v>Sicalis flaveola</v>
      </c>
      <c r="H5647" s="6" t="str">
        <f>VLOOKUP(E5647,dicionario!$A$1:$C6046,3,0)</f>
        <v>canário-da-terra</v>
      </c>
    </row>
    <row r="5648">
      <c r="A5648" s="3">
        <v>45687.0</v>
      </c>
      <c r="B5648" s="4">
        <v>0.3111111111111111</v>
      </c>
      <c r="C5648" s="5" t="s">
        <v>59</v>
      </c>
      <c r="D5648" s="5" t="s">
        <v>1082</v>
      </c>
      <c r="E5648" s="8" t="s">
        <v>38</v>
      </c>
      <c r="F5648" s="5" t="s">
        <v>39</v>
      </c>
      <c r="G5648" s="6" t="str">
        <f>VLOOKUP(E5648,dicionario!$A$1:$C6047,2,0)</f>
        <v>Troglodytes musculus</v>
      </c>
      <c r="H5648" s="6" t="str">
        <f>VLOOKUP(E5648,dicionario!$A$1:$C6047,3,0)</f>
        <v>curruíra</v>
      </c>
    </row>
    <row r="5649">
      <c r="A5649" s="3">
        <v>45687.0</v>
      </c>
      <c r="B5649" s="4">
        <v>0.3111111111111111</v>
      </c>
      <c r="C5649" s="5" t="s">
        <v>59</v>
      </c>
      <c r="D5649" s="5" t="s">
        <v>1082</v>
      </c>
      <c r="E5649" s="8" t="s">
        <v>177</v>
      </c>
      <c r="F5649" s="5" t="s">
        <v>178</v>
      </c>
      <c r="G5649" s="6" t="str">
        <f>VLOOKUP(E5649,dicionario!$A$1:$C6048,2,0)</f>
        <v>Elaenia flavogaster</v>
      </c>
      <c r="H5649" s="6" t="str">
        <f>VLOOKUP(E5649,dicionario!$A$1:$C6048,3,0)</f>
        <v>guaracava-de-barriga-amarela</v>
      </c>
    </row>
    <row r="5650">
      <c r="A5650" s="3">
        <v>45687.0</v>
      </c>
      <c r="B5650" s="4">
        <v>0.3111111111111111</v>
      </c>
      <c r="C5650" s="5" t="s">
        <v>59</v>
      </c>
      <c r="D5650" s="5" t="s">
        <v>1082</v>
      </c>
      <c r="E5650" s="8" t="s">
        <v>65</v>
      </c>
      <c r="F5650" s="5" t="s">
        <v>66</v>
      </c>
      <c r="G5650" s="6" t="str">
        <f>VLOOKUP(E5650,dicionario!$A$1:$C6049,2,0)</f>
        <v>Pitangus sulphutarus</v>
      </c>
      <c r="H5650" s="6" t="str">
        <f>VLOOKUP(E5650,dicionario!$A$1:$C6049,3,0)</f>
        <v>bem-te-vi</v>
      </c>
    </row>
    <row r="5651">
      <c r="A5651" s="3">
        <v>45687.0</v>
      </c>
      <c r="B5651" s="4">
        <v>0.31180555555555556</v>
      </c>
      <c r="C5651" s="5" t="s">
        <v>59</v>
      </c>
      <c r="D5651" s="5" t="s">
        <v>1082</v>
      </c>
      <c r="E5651" s="8" t="s">
        <v>302</v>
      </c>
      <c r="F5651" s="5" t="s">
        <v>89</v>
      </c>
      <c r="G5651" s="6" t="str">
        <f>VLOOKUP(E5651,dicionario!$A$1:$C6050,2,0)</f>
        <v>Machetornis rixosa</v>
      </c>
      <c r="H5651" s="6" t="str">
        <f>VLOOKUP(E5651,dicionario!$A$1:$C6050,3,0)</f>
        <v>suiriri-cavaleiro</v>
      </c>
    </row>
    <row r="5652">
      <c r="A5652" s="3">
        <v>45687.0</v>
      </c>
      <c r="B5652" s="4">
        <v>0.31180555555555556</v>
      </c>
      <c r="C5652" s="5" t="s">
        <v>59</v>
      </c>
      <c r="D5652" s="5" t="s">
        <v>1082</v>
      </c>
      <c r="E5652" s="8" t="s">
        <v>191</v>
      </c>
      <c r="F5652" s="5" t="s">
        <v>192</v>
      </c>
      <c r="G5652" s="6" t="str">
        <f>VLOOKUP(E5652,dicionario!$A$1:$C6051,2,0)</f>
        <v>Patagioenas picazuro</v>
      </c>
      <c r="H5652" s="6" t="str">
        <f>VLOOKUP(E5652,dicionario!$A$1:$C6051,3,0)</f>
        <v>asa-branca; pomba-asa-branca; pocaçu</v>
      </c>
    </row>
    <row r="5653">
      <c r="A5653" s="3">
        <v>45687.0</v>
      </c>
      <c r="B5653" s="4">
        <v>0.31180555555555556</v>
      </c>
      <c r="C5653" s="5" t="s">
        <v>59</v>
      </c>
      <c r="D5653" s="5" t="s">
        <v>1082</v>
      </c>
      <c r="E5653" s="8" t="s">
        <v>712</v>
      </c>
      <c r="F5653" s="5" t="s">
        <v>1025</v>
      </c>
      <c r="G5653" s="6" t="str">
        <f>VLOOKUP(E5653,dicionario!$A$1:$C6052,2,0)</f>
        <v>Flavopunctelia soredica</v>
      </c>
      <c r="H5653" s="6" t="str">
        <f>VLOOKUP(E5653,dicionario!$A$1:$C6052,3,0)</f>
        <v>líquen-folioso</v>
      </c>
    </row>
    <row r="5654">
      <c r="A5654" s="3">
        <v>45687.0</v>
      </c>
      <c r="B5654" s="4">
        <v>0.3125</v>
      </c>
      <c r="C5654" s="5" t="s">
        <v>59</v>
      </c>
      <c r="D5654" s="5" t="s">
        <v>1082</v>
      </c>
      <c r="E5654" s="8" t="s">
        <v>719</v>
      </c>
      <c r="F5654" s="5" t="s">
        <v>720</v>
      </c>
      <c r="G5654" s="6" t="str">
        <f>VLOOKUP(E5654,dicionario!$A$1:$C6053,2,0)</f>
        <v>Dirinaria</v>
      </c>
      <c r="H5654" s="6" t="str">
        <f>VLOOKUP(E5654,dicionario!$A$1:$C6053,3,0)</f>
        <v>líquen-crostoso</v>
      </c>
    </row>
    <row r="5655">
      <c r="A5655" s="3">
        <v>45687.0</v>
      </c>
      <c r="B5655" s="4">
        <v>0.3125</v>
      </c>
      <c r="C5655" s="5" t="s">
        <v>59</v>
      </c>
      <c r="D5655" s="5" t="s">
        <v>1082</v>
      </c>
      <c r="E5655" s="8" t="s">
        <v>982</v>
      </c>
      <c r="F5655" s="5" t="s">
        <v>983</v>
      </c>
      <c r="G5655" s="6" t="str">
        <f>VLOOKUP(E5655,dicionario!$A$1:$C6054,2,0)</f>
        <v>#N/A</v>
      </c>
      <c r="H5655" s="6" t="str">
        <f>VLOOKUP(E5655,dicionario!$A$1:$C6054,3,0)</f>
        <v>#N/A</v>
      </c>
    </row>
    <row r="5656">
      <c r="A5656" s="3">
        <v>45687.0</v>
      </c>
      <c r="B5656" s="4">
        <v>0.3125</v>
      </c>
      <c r="C5656" s="5" t="s">
        <v>59</v>
      </c>
      <c r="D5656" s="5" t="s">
        <v>1082</v>
      </c>
      <c r="E5656" s="8" t="s">
        <v>355</v>
      </c>
      <c r="F5656" s="5" t="s">
        <v>356</v>
      </c>
      <c r="G5656" s="6" t="str">
        <f>VLOOKUP(E5656,dicionario!$A$1:$C6055,2,0)</f>
        <v>Boerhavia diffusa</v>
      </c>
      <c r="H5656" s="6" t="str">
        <f>VLOOKUP(E5656,dicionario!$A$1:$C6055,3,0)</f>
        <v>erva-tostão</v>
      </c>
    </row>
    <row r="5657">
      <c r="A5657" s="3">
        <v>45687.0</v>
      </c>
      <c r="B5657" s="4">
        <v>0.3125</v>
      </c>
      <c r="C5657" s="5" t="s">
        <v>59</v>
      </c>
      <c r="D5657" s="5" t="s">
        <v>1082</v>
      </c>
      <c r="E5657" s="8" t="s">
        <v>247</v>
      </c>
      <c r="F5657" s="5" t="s">
        <v>387</v>
      </c>
      <c r="G5657" s="6" t="str">
        <f>VLOOKUP(E5657,dicionario!$A$1:$C6056,2,0)</f>
        <v>Emilia sonchifolia</v>
      </c>
      <c r="H5657" s="6" t="str">
        <f>VLOOKUP(E5657,dicionario!$A$1:$C6056,3,0)</f>
        <v>serralinha</v>
      </c>
    </row>
    <row r="5658">
      <c r="A5658" s="3">
        <v>45687.0</v>
      </c>
      <c r="B5658" s="4">
        <v>0.3125</v>
      </c>
      <c r="C5658" s="5" t="s">
        <v>59</v>
      </c>
      <c r="D5658" s="5" t="s">
        <v>1082</v>
      </c>
      <c r="E5658" s="8" t="s">
        <v>977</v>
      </c>
      <c r="F5658" s="5" t="s">
        <v>978</v>
      </c>
      <c r="G5658" s="6" t="str">
        <f>VLOOKUP(E5658,dicionario!$A$1:$C6057,2,0)</f>
        <v>Odontomachus</v>
      </c>
      <c r="H5658" s="6" t="str">
        <f>VLOOKUP(E5658,dicionario!$A$1:$C6057,3,0)</f>
        <v>formiga-de-estalo</v>
      </c>
    </row>
    <row r="5659">
      <c r="A5659" s="3">
        <v>45687.0</v>
      </c>
      <c r="B5659" s="4">
        <v>0.31319444444444444</v>
      </c>
      <c r="C5659" s="5" t="s">
        <v>59</v>
      </c>
      <c r="D5659" s="5" t="s">
        <v>1082</v>
      </c>
      <c r="E5659" s="8" t="s">
        <v>239</v>
      </c>
      <c r="F5659" s="5" t="s">
        <v>240</v>
      </c>
      <c r="G5659" s="6" t="str">
        <f>VLOOKUP(E5659,dicionario!$A$1:$C6058,2,0)</f>
        <v>Gomphrena celosioides</v>
      </c>
      <c r="H5659" s="6" t="str">
        <f>VLOOKUP(E5659,dicionario!$A$1:$C6058,3,0)</f>
        <v>perpétua-branca</v>
      </c>
    </row>
    <row r="5660">
      <c r="A5660" s="3">
        <v>45687.0</v>
      </c>
      <c r="B5660" s="4">
        <v>0.31319444444444444</v>
      </c>
      <c r="C5660" s="5" t="s">
        <v>59</v>
      </c>
      <c r="D5660" s="5" t="s">
        <v>1082</v>
      </c>
      <c r="E5660" s="8" t="s">
        <v>107</v>
      </c>
      <c r="F5660" s="5" t="s">
        <v>1101</v>
      </c>
      <c r="G5660" s="6" t="str">
        <f>VLOOKUP(E5660,dicionario!$A$1:$C6059,2,0)</f>
        <v>Ramalina complanata</v>
      </c>
      <c r="H5660" s="6" t="str">
        <f>VLOOKUP(E5660,dicionario!$A$1:$C6059,3,0)</f>
        <v>ramalina</v>
      </c>
    </row>
    <row r="5661">
      <c r="A5661" s="3">
        <v>45687.0</v>
      </c>
      <c r="B5661" s="4">
        <v>0.3138888888888889</v>
      </c>
      <c r="C5661" s="5" t="s">
        <v>59</v>
      </c>
      <c r="D5661" s="5" t="s">
        <v>1082</v>
      </c>
      <c r="E5661" s="8" t="s">
        <v>18</v>
      </c>
      <c r="F5661" s="5" t="s">
        <v>219</v>
      </c>
      <c r="G5661" s="6" t="str">
        <f>VLOOKUP(E5661,dicionario!$A$1:$C6060,2,0)</f>
        <v>Xylocopa frontalis</v>
      </c>
      <c r="H5661" s="6" t="str">
        <f>VLOOKUP(E5661,dicionario!$A$1:$C6060,3,0)</f>
        <v>Mamangava; mangangá; abelha-carpinteira</v>
      </c>
    </row>
    <row r="5662">
      <c r="A5662" s="3">
        <v>45687.0</v>
      </c>
      <c r="B5662" s="4">
        <v>0.3145833333333333</v>
      </c>
      <c r="C5662" s="5" t="s">
        <v>59</v>
      </c>
      <c r="D5662" s="5" t="s">
        <v>1082</v>
      </c>
      <c r="E5662" s="8" t="s">
        <v>72</v>
      </c>
      <c r="F5662" s="5" t="s">
        <v>73</v>
      </c>
      <c r="G5662" s="6" t="str">
        <f>VLOOKUP(E5662,dicionario!$A$1:$C6061,2,0)</f>
        <v>Thraupis palmarum</v>
      </c>
      <c r="H5662" s="6" t="str">
        <f>VLOOKUP(E5662,dicionario!$A$1:$C6061,3,0)</f>
        <v>sanhaço-do-coqueiro</v>
      </c>
    </row>
    <row r="5663">
      <c r="A5663" s="3">
        <v>45687.0</v>
      </c>
      <c r="B5663" s="4">
        <v>0.3145833333333333</v>
      </c>
      <c r="C5663" s="5" t="s">
        <v>59</v>
      </c>
      <c r="D5663" s="5" t="s">
        <v>1082</v>
      </c>
      <c r="E5663" s="8" t="s">
        <v>173</v>
      </c>
      <c r="F5663" s="5" t="s">
        <v>336</v>
      </c>
      <c r="G5663" s="6" t="str">
        <f>VLOOKUP(E5663,dicionario!$A$1:$C6062,2,0)</f>
        <v>Junonia evarete</v>
      </c>
      <c r="H5663" s="6" t="str">
        <f>VLOOKUP(E5663,dicionario!$A$1:$C6062,3,0)</f>
        <v>borboleta-olho-de-pavão-diúrno</v>
      </c>
    </row>
    <row r="5664">
      <c r="A5664" s="3">
        <v>45687.0</v>
      </c>
      <c r="B5664" s="4">
        <v>0.31527777777777777</v>
      </c>
      <c r="C5664" s="5" t="s">
        <v>59</v>
      </c>
      <c r="D5664" s="5" t="s">
        <v>1082</v>
      </c>
      <c r="E5664" s="8" t="s">
        <v>378</v>
      </c>
      <c r="F5664" s="5" t="s">
        <v>205</v>
      </c>
      <c r="G5664" s="6" t="str">
        <f>VLOOKUP(E5664,dicionario!$A$1:$C6063,2,0)</f>
        <v>Polistes</v>
      </c>
      <c r="H5664" s="6" t="str">
        <f>VLOOKUP(E5664,dicionario!$A$1:$C6063,3,0)</f>
        <v>marimbondo</v>
      </c>
    </row>
    <row r="5665">
      <c r="A5665" s="3">
        <v>45687.0</v>
      </c>
      <c r="B5665" s="4">
        <v>0.31527777777777777</v>
      </c>
      <c r="C5665" s="5" t="s">
        <v>59</v>
      </c>
      <c r="D5665" s="5" t="s">
        <v>1082</v>
      </c>
      <c r="E5665" s="8" t="s">
        <v>517</v>
      </c>
      <c r="F5665" s="7" t="s">
        <v>518</v>
      </c>
      <c r="G5665" s="6" t="str">
        <f>VLOOKUP(E5665,dicionario!$A$1:$C6064,2,0)</f>
        <v>Evolvulus nummularius</v>
      </c>
      <c r="H5665" s="6" t="str">
        <f>VLOOKUP(E5665,dicionario!$A$1:$C6064,3,0)</f>
        <v/>
      </c>
    </row>
    <row r="5666">
      <c r="A5666" s="3">
        <v>45687.0</v>
      </c>
      <c r="B5666" s="4">
        <v>0.3159722222222222</v>
      </c>
      <c r="C5666" s="5" t="s">
        <v>59</v>
      </c>
      <c r="D5666" s="5" t="s">
        <v>1082</v>
      </c>
      <c r="E5666" s="8" t="s">
        <v>674</v>
      </c>
      <c r="F5666" s="7" t="s">
        <v>675</v>
      </c>
      <c r="G5666" s="6" t="str">
        <f>VLOOKUP(E5666,dicionario!$A$1:$C6065,2,0)</f>
        <v>#N/A</v>
      </c>
      <c r="H5666" s="6" t="str">
        <f>VLOOKUP(E5666,dicionario!$A$1:$C6065,3,0)</f>
        <v>#N/A</v>
      </c>
    </row>
    <row r="5667">
      <c r="A5667" s="3">
        <v>45687.0</v>
      </c>
      <c r="B5667" s="4">
        <v>0.31666666666666665</v>
      </c>
      <c r="C5667" s="5" t="s">
        <v>59</v>
      </c>
      <c r="D5667" s="5" t="s">
        <v>1082</v>
      </c>
      <c r="E5667" s="8" t="s">
        <v>560</v>
      </c>
      <c r="F5667" s="5" t="s">
        <v>561</v>
      </c>
      <c r="G5667" s="6" t="str">
        <f>VLOOKUP(E5667,dicionario!$A$1:$C6066,2,0)</f>
        <v>Megarynchus pitangua</v>
      </c>
      <c r="H5667" s="6" t="str">
        <f>VLOOKUP(E5667,dicionario!$A$1:$C6066,3,0)</f>
        <v>neinei</v>
      </c>
    </row>
    <row r="5668">
      <c r="A5668" s="3">
        <v>45687.0</v>
      </c>
      <c r="B5668" s="4">
        <v>0.31666666666666665</v>
      </c>
      <c r="C5668" s="5" t="s">
        <v>59</v>
      </c>
      <c r="D5668" s="5" t="s">
        <v>1082</v>
      </c>
      <c r="E5668" s="8" t="s">
        <v>99</v>
      </c>
      <c r="F5668" s="5" t="s">
        <v>508</v>
      </c>
      <c r="G5668" s="6" t="str">
        <f>VLOOKUP(E5668,dicionario!$A$1:$C6067,2,0)</f>
        <v>Molothrus bonariensis</v>
      </c>
      <c r="H5668" s="6" t="str">
        <f>VLOOKUP(E5668,dicionario!$A$1:$C6067,3,0)</f>
        <v>chupim</v>
      </c>
    </row>
    <row r="5669">
      <c r="A5669" s="3">
        <v>45687.0</v>
      </c>
      <c r="B5669" s="4">
        <v>0.3229166666666667</v>
      </c>
      <c r="C5669" s="5" t="s">
        <v>64</v>
      </c>
      <c r="D5669" s="5" t="s">
        <v>1082</v>
      </c>
      <c r="E5669" s="8" t="s">
        <v>229</v>
      </c>
      <c r="F5669" s="5" t="s">
        <v>230</v>
      </c>
      <c r="G5669" s="6" t="str">
        <f>VLOOKUP(E5669,dicionario!$A$1:$C6068,2,0)</f>
        <v>Apis mellifera</v>
      </c>
      <c r="H5669" s="6" t="str">
        <f>VLOOKUP(E5669,dicionario!$A$1:$C6068,3,0)</f>
        <v>abelha-do-mel</v>
      </c>
    </row>
    <row r="5670">
      <c r="A5670" s="3">
        <v>45687.0</v>
      </c>
      <c r="B5670" s="4">
        <v>0.3229166666666667</v>
      </c>
      <c r="C5670" s="5" t="s">
        <v>64</v>
      </c>
      <c r="D5670" s="5" t="s">
        <v>1082</v>
      </c>
      <c r="E5670" s="8" t="s">
        <v>195</v>
      </c>
      <c r="F5670" s="5" t="s">
        <v>196</v>
      </c>
      <c r="G5670" s="6" t="str">
        <f>VLOOKUP(E5670,dicionario!$A$1:$C6069,2,0)</f>
        <v>Priva lappulacea</v>
      </c>
      <c r="H5670" s="6" t="str">
        <f>VLOOKUP(E5670,dicionario!$A$1:$C6069,3,0)</f>
        <v>carrapicho</v>
      </c>
    </row>
    <row r="5671">
      <c r="A5671" s="3">
        <v>45687.0</v>
      </c>
      <c r="B5671" s="4">
        <v>0.3236111111111111</v>
      </c>
      <c r="C5671" s="5" t="s">
        <v>64</v>
      </c>
      <c r="D5671" s="5" t="s">
        <v>1082</v>
      </c>
      <c r="E5671" s="8" t="s">
        <v>146</v>
      </c>
      <c r="F5671" s="5" t="s">
        <v>147</v>
      </c>
      <c r="G5671" s="6" t="str">
        <f>VLOOKUP(E5671,dicionario!$A$1:$C6070,2,0)</f>
        <v>Euphorbia hirta</v>
      </c>
      <c r="H5671" s="6" t="str">
        <f>VLOOKUP(E5671,dicionario!$A$1:$C6070,3,0)</f>
        <v>erva-de-santa-luzia</v>
      </c>
    </row>
    <row r="5672">
      <c r="A5672" s="3">
        <v>45687.0</v>
      </c>
      <c r="B5672" s="4">
        <v>0.3236111111111111</v>
      </c>
      <c r="C5672" s="5" t="s">
        <v>64</v>
      </c>
      <c r="D5672" s="5" t="s">
        <v>1082</v>
      </c>
      <c r="E5672" s="8" t="s">
        <v>355</v>
      </c>
      <c r="F5672" s="5" t="s">
        <v>356</v>
      </c>
      <c r="G5672" s="6" t="str">
        <f>VLOOKUP(E5672,dicionario!$A$1:$C6071,2,0)</f>
        <v>Boerhavia diffusa</v>
      </c>
      <c r="H5672" s="6" t="str">
        <f>VLOOKUP(E5672,dicionario!$A$1:$C6071,3,0)</f>
        <v>erva-tostão</v>
      </c>
    </row>
    <row r="5673">
      <c r="A5673" s="3">
        <v>45687.0</v>
      </c>
      <c r="B5673" s="4">
        <v>0.3236111111111111</v>
      </c>
      <c r="C5673" s="5" t="s">
        <v>64</v>
      </c>
      <c r="D5673" s="5" t="s">
        <v>1082</v>
      </c>
      <c r="E5673" s="8" t="s">
        <v>69</v>
      </c>
      <c r="F5673" s="7" t="s">
        <v>71</v>
      </c>
      <c r="G5673" s="6" t="str">
        <f>VLOOKUP(E5673,dicionario!$A$1:$C6072,2,0)</f>
        <v>Talinum fruticosum</v>
      </c>
      <c r="H5673" s="6" t="str">
        <f>VLOOKUP(E5673,dicionario!$A$1:$C6072,3,0)</f>
        <v>beldroega-grande</v>
      </c>
    </row>
    <row r="5674">
      <c r="A5674" s="3">
        <v>45687.0</v>
      </c>
      <c r="B5674" s="4">
        <v>0.32430555555555557</v>
      </c>
      <c r="C5674" s="5" t="s">
        <v>64</v>
      </c>
      <c r="D5674" s="5" t="s">
        <v>1082</v>
      </c>
      <c r="E5674" s="8" t="s">
        <v>699</v>
      </c>
      <c r="F5674" s="5" t="s">
        <v>458</v>
      </c>
      <c r="G5674" s="6" t="str">
        <f>VLOOKUP(E5674,dicionario!$A$1:$C6073,2,0)</f>
        <v>#N/A</v>
      </c>
      <c r="H5674" s="6" t="str">
        <f>VLOOKUP(E5674,dicionario!$A$1:$C6073,3,0)</f>
        <v>#N/A</v>
      </c>
    </row>
    <row r="5675">
      <c r="A5675" s="3">
        <v>45687.0</v>
      </c>
      <c r="B5675" s="4">
        <v>0.32430555555555557</v>
      </c>
      <c r="C5675" s="5" t="s">
        <v>64</v>
      </c>
      <c r="D5675" s="5" t="s">
        <v>1082</v>
      </c>
      <c r="E5675" s="8" t="s">
        <v>83</v>
      </c>
      <c r="F5675" s="5" t="s">
        <v>84</v>
      </c>
      <c r="G5675" s="6" t="str">
        <f>VLOOKUP(E5675,dicionario!$A$1:$C6074,2,0)</f>
        <v>Anartia jatrophae</v>
      </c>
      <c r="H5675" s="6" t="str">
        <f>VLOOKUP(E5675,dicionario!$A$1:$C6074,3,0)</f>
        <v>borboleta-pavão-branco</v>
      </c>
    </row>
    <row r="5676">
      <c r="A5676" s="3">
        <v>45687.0</v>
      </c>
      <c r="B5676" s="4">
        <v>0.32430555555555557</v>
      </c>
      <c r="C5676" s="5" t="s">
        <v>64</v>
      </c>
      <c r="D5676" s="5" t="s">
        <v>1082</v>
      </c>
      <c r="E5676" s="8" t="s">
        <v>467</v>
      </c>
      <c r="F5676" s="5" t="s">
        <v>468</v>
      </c>
      <c r="G5676" s="6" t="str">
        <f>VLOOKUP(E5676,dicionario!$A$1:$C6075,2,0)</f>
        <v>Eleusine indica</v>
      </c>
      <c r="H5676" s="6" t="str">
        <f>VLOOKUP(E5676,dicionario!$A$1:$C6075,3,0)</f>
        <v>capim-pé-de-galinha</v>
      </c>
    </row>
    <row r="5677">
      <c r="A5677" s="3">
        <v>45687.0</v>
      </c>
      <c r="B5677" s="4">
        <v>0.32430555555555557</v>
      </c>
      <c r="C5677" s="5" t="s">
        <v>64</v>
      </c>
      <c r="D5677" s="5" t="s">
        <v>1082</v>
      </c>
      <c r="E5677" s="8" t="s">
        <v>251</v>
      </c>
      <c r="F5677" s="5" t="s">
        <v>252</v>
      </c>
      <c r="G5677" s="6" t="str">
        <f>VLOOKUP(E5677,dicionario!$A$1:$C6076,2,0)</f>
        <v>Struthanthus flexicaulis</v>
      </c>
      <c r="H5677" s="6" t="str">
        <f>VLOOKUP(E5677,dicionario!$A$1:$C6076,3,0)</f>
        <v>erva-de-passarinho</v>
      </c>
    </row>
    <row r="5678">
      <c r="A5678" s="3">
        <v>45687.0</v>
      </c>
      <c r="B5678" s="4">
        <v>0.32430555555555557</v>
      </c>
      <c r="C5678" s="5" t="s">
        <v>64</v>
      </c>
      <c r="D5678" s="5" t="s">
        <v>1082</v>
      </c>
      <c r="E5678" s="8" t="s">
        <v>253</v>
      </c>
      <c r="F5678" s="5" t="s">
        <v>254</v>
      </c>
      <c r="G5678" s="6" t="str">
        <f>VLOOKUP(E5678,dicionario!$A$1:$C6077,2,0)</f>
        <v>Panicum maximum</v>
      </c>
      <c r="H5678" s="6" t="str">
        <f>VLOOKUP(E5678,dicionario!$A$1:$C6077,3,0)</f>
        <v>capim-colonião</v>
      </c>
    </row>
    <row r="5679">
      <c r="A5679" s="3">
        <v>45687.0</v>
      </c>
      <c r="B5679" s="4">
        <v>0.32430555555555557</v>
      </c>
      <c r="C5679" s="5" t="s">
        <v>64</v>
      </c>
      <c r="D5679" s="5" t="s">
        <v>1082</v>
      </c>
      <c r="E5679" s="8" t="s">
        <v>177</v>
      </c>
      <c r="F5679" s="5" t="s">
        <v>607</v>
      </c>
      <c r="G5679" s="6" t="str">
        <f>VLOOKUP(E5679,dicionario!$A$1:$C6078,2,0)</f>
        <v>Elaenia flavogaster</v>
      </c>
      <c r="H5679" s="6" t="str">
        <f>VLOOKUP(E5679,dicionario!$A$1:$C6078,3,0)</f>
        <v>guaracava-de-barriga-amarela</v>
      </c>
    </row>
    <row r="5680">
      <c r="A5680" s="3">
        <v>45687.0</v>
      </c>
      <c r="B5680" s="4">
        <v>0.325</v>
      </c>
      <c r="C5680" s="5" t="s">
        <v>64</v>
      </c>
      <c r="D5680" s="5" t="s">
        <v>1082</v>
      </c>
      <c r="E5680" s="8" t="s">
        <v>113</v>
      </c>
      <c r="F5680" s="5" t="s">
        <v>114</v>
      </c>
      <c r="G5680" s="6" t="str">
        <f>VLOOKUP(E5680,dicionario!$A$1:$C6079,2,0)</f>
        <v>Columbina talpacoti</v>
      </c>
      <c r="H5680" s="6" t="str">
        <f>VLOOKUP(E5680,dicionario!$A$1:$C6079,3,0)</f>
        <v>rolinha-roxa</v>
      </c>
    </row>
    <row r="5681">
      <c r="A5681" s="3">
        <v>45687.0</v>
      </c>
      <c r="B5681" s="4">
        <v>0.325</v>
      </c>
      <c r="C5681" s="5" t="s">
        <v>64</v>
      </c>
      <c r="D5681" s="5" t="s">
        <v>1082</v>
      </c>
      <c r="E5681" s="8" t="s">
        <v>302</v>
      </c>
      <c r="F5681" s="5" t="s">
        <v>89</v>
      </c>
      <c r="G5681" s="6" t="str">
        <f>VLOOKUP(E5681,dicionario!$A$1:$C6080,2,0)</f>
        <v>Machetornis rixosa</v>
      </c>
      <c r="H5681" s="6" t="str">
        <f>VLOOKUP(E5681,dicionario!$A$1:$C6080,3,0)</f>
        <v>suiriri-cavaleiro</v>
      </c>
    </row>
    <row r="5682">
      <c r="A5682" s="3">
        <v>45687.0</v>
      </c>
      <c r="B5682" s="4">
        <v>0.325</v>
      </c>
      <c r="C5682" s="5" t="s">
        <v>64</v>
      </c>
      <c r="D5682" s="5" t="s">
        <v>1082</v>
      </c>
      <c r="E5682" s="8" t="s">
        <v>109</v>
      </c>
      <c r="F5682" s="5" t="s">
        <v>777</v>
      </c>
      <c r="G5682" s="6" t="str">
        <f>VLOOKUP(E5682,dicionario!$A$1:$C6081,2,0)</f>
        <v>Tillandsia stricta</v>
      </c>
      <c r="H5682" s="6" t="str">
        <f>VLOOKUP(E5682,dicionario!$A$1:$C6081,3,0)</f>
        <v>cravo-do-mato</v>
      </c>
    </row>
    <row r="5683">
      <c r="A5683" s="3">
        <v>45687.0</v>
      </c>
      <c r="B5683" s="4">
        <v>0.325</v>
      </c>
      <c r="C5683" s="5" t="s">
        <v>64</v>
      </c>
      <c r="D5683" s="5" t="s">
        <v>1082</v>
      </c>
      <c r="E5683" s="8" t="s">
        <v>141</v>
      </c>
      <c r="F5683" s="5" t="s">
        <v>142</v>
      </c>
      <c r="G5683" s="6" t="str">
        <f>VLOOKUP(E5683,dicionario!$A$1:$C6082,2,0)</f>
        <v>Ruellia blechum</v>
      </c>
      <c r="H5683" s="6" t="str">
        <f>VLOOKUP(E5683,dicionario!$A$1:$C6082,3,0)</f>
        <v>camarão-verde</v>
      </c>
    </row>
    <row r="5684">
      <c r="A5684" s="3">
        <v>45687.0</v>
      </c>
      <c r="B5684" s="4">
        <v>0.325</v>
      </c>
      <c r="C5684" s="5" t="s">
        <v>64</v>
      </c>
      <c r="D5684" s="5" t="s">
        <v>1082</v>
      </c>
      <c r="E5684" s="8" t="s">
        <v>150</v>
      </c>
      <c r="F5684" s="5" t="s">
        <v>151</v>
      </c>
      <c r="G5684" s="6" t="str">
        <f>VLOOKUP(E5684,dicionario!$A$1:$C6083,2,0)</f>
        <v>Amaranthus viridis</v>
      </c>
      <c r="H5684" s="6" t="str">
        <f>VLOOKUP(E5684,dicionario!$A$1:$C6083,3,0)</f>
        <v>caruru-de-mancha</v>
      </c>
    </row>
    <row r="5685">
      <c r="A5685" s="3">
        <v>45687.0</v>
      </c>
      <c r="B5685" s="4">
        <v>0.3263888888888889</v>
      </c>
      <c r="C5685" s="5" t="s">
        <v>64</v>
      </c>
      <c r="D5685" s="5" t="s">
        <v>1082</v>
      </c>
      <c r="E5685" s="8" t="s">
        <v>375</v>
      </c>
      <c r="F5685" s="5" t="s">
        <v>35</v>
      </c>
      <c r="G5685" s="6" t="str">
        <f>VLOOKUP(E5685,dicionario!$A$1:$C6084,2,0)</f>
        <v>Neoponera foetida</v>
      </c>
      <c r="H5685" s="6" t="str">
        <f>VLOOKUP(E5685,dicionario!$A$1:$C6084,3,0)</f>
        <v/>
      </c>
    </row>
    <row r="5686">
      <c r="A5686" s="3">
        <v>45687.0</v>
      </c>
      <c r="B5686" s="4">
        <v>0.3263888888888889</v>
      </c>
      <c r="C5686" s="5" t="s">
        <v>64</v>
      </c>
      <c r="D5686" s="5" t="s">
        <v>1082</v>
      </c>
      <c r="E5686" s="8" t="s">
        <v>86</v>
      </c>
      <c r="F5686" s="5" t="s">
        <v>502</v>
      </c>
      <c r="G5686" s="6" t="str">
        <f>VLOOKUP(E5686,dicionario!$A$1:$C6085,2,0)</f>
        <v>Coereba flaveola</v>
      </c>
      <c r="H5686" s="6" t="str">
        <f>VLOOKUP(E5686,dicionario!$A$1:$C6085,3,0)</f>
        <v>cambacica</v>
      </c>
    </row>
    <row r="5687">
      <c r="A5687" s="3">
        <v>45687.0</v>
      </c>
      <c r="B5687" s="4">
        <v>0.3263888888888889</v>
      </c>
      <c r="C5687" s="5" t="s">
        <v>64</v>
      </c>
      <c r="D5687" s="5" t="s">
        <v>1082</v>
      </c>
      <c r="E5687" s="8" t="s">
        <v>1146</v>
      </c>
      <c r="F5687" s="5" t="s">
        <v>1147</v>
      </c>
      <c r="G5687" s="6" t="str">
        <f>VLOOKUP(E5687,dicionario!$A$1:$C6086,2,0)</f>
        <v>#N/A</v>
      </c>
      <c r="H5687" s="6" t="str">
        <f>VLOOKUP(E5687,dicionario!$A$1:$C6086,3,0)</f>
        <v>#N/A</v>
      </c>
    </row>
    <row r="5688">
      <c r="A5688" s="3">
        <v>45687.0</v>
      </c>
      <c r="B5688" s="4">
        <v>0.32708333333333334</v>
      </c>
      <c r="C5688" s="5" t="s">
        <v>64</v>
      </c>
      <c r="D5688" s="5" t="s">
        <v>1082</v>
      </c>
      <c r="E5688" s="8" t="s">
        <v>18</v>
      </c>
      <c r="F5688" s="5" t="s">
        <v>219</v>
      </c>
      <c r="G5688" s="6" t="str">
        <f>VLOOKUP(E5688,dicionario!$A$1:$C6087,2,0)</f>
        <v>Xylocopa frontalis</v>
      </c>
      <c r="H5688" s="6" t="str">
        <f>VLOOKUP(E5688,dicionario!$A$1:$C6087,3,0)</f>
        <v>Mamangava; mangangá; abelha-carpinteira</v>
      </c>
    </row>
    <row r="5689">
      <c r="A5689" s="3">
        <v>45687.0</v>
      </c>
      <c r="B5689" s="4">
        <v>0.32708333333333334</v>
      </c>
      <c r="C5689" s="5" t="s">
        <v>64</v>
      </c>
      <c r="D5689" s="5" t="s">
        <v>1082</v>
      </c>
      <c r="E5689" s="8" t="s">
        <v>143</v>
      </c>
      <c r="F5689" s="5" t="s">
        <v>63</v>
      </c>
      <c r="G5689" s="6" t="str">
        <f>VLOOKUP(E5689,dicionario!$A$1:$C6088,2,0)</f>
        <v>Polybia</v>
      </c>
      <c r="H5689" s="6" t="str">
        <f>VLOOKUP(E5689,dicionario!$A$1:$C6088,3,0)</f>
        <v>vespa</v>
      </c>
    </row>
    <row r="5690">
      <c r="A5690" s="3">
        <v>45687.0</v>
      </c>
      <c r="B5690" s="4">
        <v>0.32708333333333334</v>
      </c>
      <c r="C5690" s="5" t="s">
        <v>64</v>
      </c>
      <c r="D5690" s="5" t="s">
        <v>1082</v>
      </c>
      <c r="E5690" s="8" t="s">
        <v>247</v>
      </c>
      <c r="F5690" s="7" t="s">
        <v>272</v>
      </c>
      <c r="G5690" s="6" t="str">
        <f>VLOOKUP(E5690,dicionario!$A$1:$C6089,2,0)</f>
        <v>Emilia sonchifolia</v>
      </c>
      <c r="H5690" s="6" t="str">
        <f>VLOOKUP(E5690,dicionario!$A$1:$C6089,3,0)</f>
        <v>serralinha</v>
      </c>
    </row>
    <row r="5691">
      <c r="A5691" s="3">
        <v>45687.0</v>
      </c>
      <c r="B5691" s="4">
        <v>0.3284722222222222</v>
      </c>
      <c r="C5691" s="5" t="s">
        <v>64</v>
      </c>
      <c r="D5691" s="5" t="s">
        <v>1082</v>
      </c>
      <c r="E5691" s="8" t="s">
        <v>740</v>
      </c>
      <c r="F5691" s="5" t="s">
        <v>741</v>
      </c>
      <c r="G5691" s="6" t="str">
        <f>VLOOKUP(E5691,dicionario!$A$1:$C6090,2,0)</f>
        <v>Melothria cucumis</v>
      </c>
      <c r="H5691" s="6" t="str">
        <f>VLOOKUP(E5691,dicionario!$A$1:$C6090,3,0)</f>
        <v>pepino-do-mato</v>
      </c>
    </row>
    <row r="5692">
      <c r="A5692" s="3">
        <v>45687.0</v>
      </c>
      <c r="B5692" s="4">
        <v>0.32916666666666666</v>
      </c>
      <c r="C5692" s="5" t="s">
        <v>64</v>
      </c>
      <c r="D5692" s="5" t="s">
        <v>1082</v>
      </c>
      <c r="E5692" s="8" t="s">
        <v>177</v>
      </c>
      <c r="F5692" s="5" t="s">
        <v>178</v>
      </c>
      <c r="G5692" s="6" t="str">
        <f>VLOOKUP(E5692,dicionario!$A$1:$C6091,2,0)</f>
        <v>Elaenia flavogaster</v>
      </c>
      <c r="H5692" s="6" t="str">
        <f>VLOOKUP(E5692,dicionario!$A$1:$C6091,3,0)</f>
        <v>guaracava-de-barriga-amarela</v>
      </c>
    </row>
    <row r="5693">
      <c r="A5693" s="3">
        <v>45687.0</v>
      </c>
      <c r="B5693" s="4">
        <v>0.32916666666666666</v>
      </c>
      <c r="C5693" s="5" t="s">
        <v>64</v>
      </c>
      <c r="D5693" s="5" t="s">
        <v>1082</v>
      </c>
      <c r="E5693" s="8" t="s">
        <v>483</v>
      </c>
      <c r="F5693" s="5" t="s">
        <v>289</v>
      </c>
      <c r="G5693" s="6" t="str">
        <f>VLOOKUP(E5693,dicionario!$A$1:$C6092,2,0)</f>
        <v>Euphorbia prostrata</v>
      </c>
      <c r="H5693" s="6" t="str">
        <f>VLOOKUP(E5693,dicionario!$A$1:$C6092,3,0)</f>
        <v>quebra-pedra-rasteira</v>
      </c>
    </row>
    <row r="5694">
      <c r="A5694" s="3">
        <v>45687.0</v>
      </c>
      <c r="B5694" s="4">
        <v>0.3298611111111111</v>
      </c>
      <c r="C5694" s="5" t="s">
        <v>64</v>
      </c>
      <c r="D5694" s="5" t="s">
        <v>1082</v>
      </c>
      <c r="E5694" s="8" t="s">
        <v>758</v>
      </c>
      <c r="F5694" s="5" t="s">
        <v>759</v>
      </c>
      <c r="G5694" s="6" t="str">
        <f>VLOOKUP(E5694,dicionario!$A$1:$C6093,2,0)</f>
        <v>Cyperus esculentus</v>
      </c>
      <c r="H5694" s="6" t="str">
        <f>VLOOKUP(E5694,dicionario!$A$1:$C6093,3,0)</f>
        <v>tiriricão</v>
      </c>
    </row>
    <row r="5695">
      <c r="A5695" s="3">
        <v>45687.0</v>
      </c>
      <c r="B5695" s="4">
        <v>0.3298611111111111</v>
      </c>
      <c r="C5695" s="5" t="s">
        <v>64</v>
      </c>
      <c r="D5695" s="5" t="s">
        <v>1082</v>
      </c>
      <c r="E5695" s="8" t="s">
        <v>181</v>
      </c>
      <c r="F5695" s="5" t="s">
        <v>182</v>
      </c>
      <c r="G5695" s="6" t="str">
        <f>VLOOKUP(E5695,dicionario!$A$1:$C6094,2,0)</f>
        <v>#N/A</v>
      </c>
      <c r="H5695" s="6" t="str">
        <f>VLOOKUP(E5695,dicionario!$A$1:$C6094,3,0)</f>
        <v>#N/A</v>
      </c>
    </row>
    <row r="5696">
      <c r="A5696" s="3">
        <v>45687.0</v>
      </c>
      <c r="B5696" s="4">
        <v>0.33055555555555555</v>
      </c>
      <c r="C5696" s="5" t="s">
        <v>64</v>
      </c>
      <c r="D5696" s="5" t="s">
        <v>1082</v>
      </c>
      <c r="E5696" s="8" t="s">
        <v>401</v>
      </c>
      <c r="F5696" s="5" t="s">
        <v>464</v>
      </c>
      <c r="G5696" s="6" t="str">
        <f>VLOOKUP(E5696,dicionario!$A$1:$C6095,2,0)</f>
        <v>Cissus verticillata</v>
      </c>
      <c r="H5696" s="6" t="str">
        <f>VLOOKUP(E5696,dicionario!$A$1:$C6095,3,0)</f>
        <v>uva-do-mato</v>
      </c>
    </row>
    <row r="5697">
      <c r="A5697" s="3">
        <v>45687.0</v>
      </c>
      <c r="B5697" s="4">
        <v>0.33055555555555555</v>
      </c>
      <c r="C5697" s="5" t="s">
        <v>64</v>
      </c>
      <c r="D5697" s="5" t="s">
        <v>1082</v>
      </c>
      <c r="E5697" s="8" t="s">
        <v>247</v>
      </c>
      <c r="F5697" s="5" t="s">
        <v>387</v>
      </c>
      <c r="G5697" s="6" t="str">
        <f>VLOOKUP(E5697,dicionario!$A$1:$C6096,2,0)</f>
        <v>Emilia sonchifolia</v>
      </c>
      <c r="H5697" s="6" t="str">
        <f>VLOOKUP(E5697,dicionario!$A$1:$C6096,3,0)</f>
        <v>serralinha</v>
      </c>
    </row>
    <row r="5698">
      <c r="A5698" s="3">
        <v>45687.0</v>
      </c>
      <c r="B5698" s="4">
        <v>0.33055555555555555</v>
      </c>
      <c r="C5698" s="5" t="s">
        <v>64</v>
      </c>
      <c r="D5698" s="5" t="s">
        <v>1082</v>
      </c>
      <c r="E5698" s="8" t="s">
        <v>173</v>
      </c>
      <c r="F5698" s="5" t="s">
        <v>336</v>
      </c>
      <c r="G5698" s="6" t="str">
        <f>VLOOKUP(E5698,dicionario!$A$1:$C6097,2,0)</f>
        <v>Junonia evarete</v>
      </c>
      <c r="H5698" s="6" t="str">
        <f>VLOOKUP(E5698,dicionario!$A$1:$C6097,3,0)</f>
        <v>borboleta-olho-de-pavão-diúrno</v>
      </c>
    </row>
    <row r="5699">
      <c r="A5699" s="3">
        <v>45687.0</v>
      </c>
      <c r="B5699" s="4">
        <v>0.33055555555555555</v>
      </c>
      <c r="C5699" s="5" t="s">
        <v>64</v>
      </c>
      <c r="D5699" s="5" t="s">
        <v>1082</v>
      </c>
      <c r="E5699" s="8" t="s">
        <v>674</v>
      </c>
      <c r="F5699" s="5" t="s">
        <v>675</v>
      </c>
      <c r="G5699" s="6" t="str">
        <f>VLOOKUP(E5699,dicionario!$A$1:$C6098,2,0)</f>
        <v>#N/A</v>
      </c>
      <c r="H5699" s="6" t="str">
        <f>VLOOKUP(E5699,dicionario!$A$1:$C6098,3,0)</f>
        <v>#N/A</v>
      </c>
    </row>
    <row r="5700">
      <c r="A5700" s="3">
        <v>45687.0</v>
      </c>
      <c r="B5700" s="4">
        <v>0.33055555555555555</v>
      </c>
      <c r="C5700" s="5" t="s">
        <v>64</v>
      </c>
      <c r="D5700" s="5" t="s">
        <v>1082</v>
      </c>
      <c r="E5700" s="8" t="s">
        <v>132</v>
      </c>
      <c r="F5700" s="5" t="s">
        <v>133</v>
      </c>
      <c r="G5700" s="6" t="str">
        <f>VLOOKUP(E5700,dicionario!$A$1:$C6099,2,0)</f>
        <v>Euphonia chlorotica</v>
      </c>
      <c r="H5700" s="6" t="str">
        <f>VLOOKUP(E5700,dicionario!$A$1:$C6099,3,0)</f>
        <v>fim-fim</v>
      </c>
    </row>
    <row r="5701">
      <c r="A5701" s="3">
        <v>45687.0</v>
      </c>
      <c r="B5701" s="4">
        <v>0.33125</v>
      </c>
      <c r="C5701" s="5" t="s">
        <v>64</v>
      </c>
      <c r="D5701" s="5" t="s">
        <v>1082</v>
      </c>
      <c r="E5701" s="8" t="s">
        <v>72</v>
      </c>
      <c r="F5701" s="5" t="s">
        <v>73</v>
      </c>
      <c r="G5701" s="6" t="str">
        <f>VLOOKUP(E5701,dicionario!$A$1:$C6100,2,0)</f>
        <v>Thraupis palmarum</v>
      </c>
      <c r="H5701" s="6" t="str">
        <f>VLOOKUP(E5701,dicionario!$A$1:$C6100,3,0)</f>
        <v>sanhaço-do-coqueiro</v>
      </c>
    </row>
    <row r="5702">
      <c r="A5702" s="3">
        <v>45687.0</v>
      </c>
      <c r="B5702" s="4">
        <v>0.33125</v>
      </c>
      <c r="C5702" s="5" t="s">
        <v>64</v>
      </c>
      <c r="D5702" s="5" t="s">
        <v>1082</v>
      </c>
      <c r="E5702" s="8" t="s">
        <v>682</v>
      </c>
      <c r="F5702" s="5" t="s">
        <v>683</v>
      </c>
      <c r="G5702" s="6" t="str">
        <f>VLOOKUP(E5702,dicionario!$A$1:$C6101,2,0)</f>
        <v>Lagria villosa</v>
      </c>
      <c r="H5702" s="6" t="str">
        <f>VLOOKUP(E5702,dicionario!$A$1:$C6101,3,0)</f>
        <v>bicho-capixaba</v>
      </c>
    </row>
    <row r="5703">
      <c r="A5703" s="3">
        <v>45687.0</v>
      </c>
      <c r="B5703" s="4">
        <v>0.33125</v>
      </c>
      <c r="C5703" s="5" t="s">
        <v>64</v>
      </c>
      <c r="D5703" s="5" t="s">
        <v>1082</v>
      </c>
      <c r="E5703" s="8" t="s">
        <v>292</v>
      </c>
      <c r="F5703" s="5" t="s">
        <v>293</v>
      </c>
      <c r="G5703" s="6" t="str">
        <f>VLOOKUP(E5703,dicionario!$A$1:$C6102,2,0)</f>
        <v>Ascia monuste</v>
      </c>
      <c r="H5703" s="6" t="str">
        <f>VLOOKUP(E5703,dicionario!$A$1:$C6102,3,0)</f>
        <v>borboleta-da-couve</v>
      </c>
    </row>
    <row r="5704">
      <c r="A5704" s="3">
        <v>45687.0</v>
      </c>
      <c r="B5704" s="4">
        <v>0.33125</v>
      </c>
      <c r="C5704" s="5" t="s">
        <v>64</v>
      </c>
      <c r="D5704" s="5" t="s">
        <v>1082</v>
      </c>
      <c r="E5704" s="8" t="s">
        <v>946</v>
      </c>
      <c r="F5704" s="5" t="s">
        <v>1091</v>
      </c>
      <c r="G5704" s="6" t="str">
        <f>VLOOKUP(E5704,dicionario!$A$1:$C6103,2,0)</f>
        <v>Thorybes dorantes</v>
      </c>
      <c r="H5704" s="6" t="str">
        <f>VLOOKUP(E5704,dicionario!$A$1:$C6103,3,0)</f>
        <v>mariposa-de-cauda-lilás</v>
      </c>
    </row>
    <row r="5705">
      <c r="A5705" s="3">
        <v>45687.0</v>
      </c>
      <c r="B5705" s="4">
        <v>0.33194444444444443</v>
      </c>
      <c r="C5705" s="5" t="s">
        <v>64</v>
      </c>
      <c r="D5705" s="5" t="s">
        <v>1082</v>
      </c>
      <c r="E5705" s="8" t="s">
        <v>611</v>
      </c>
      <c r="F5705" s="5" t="s">
        <v>612</v>
      </c>
      <c r="G5705" s="6" t="str">
        <f>VLOOKUP(E5705,dicionario!$A$1:$C6104,2,0)</f>
        <v>Boehmeria cylindrica</v>
      </c>
      <c r="H5705" s="6" t="str">
        <f>VLOOKUP(E5705,dicionario!$A$1:$C6104,3,0)</f>
        <v>falsa-urtiga</v>
      </c>
    </row>
    <row r="5706">
      <c r="A5706" s="3">
        <v>45687.0</v>
      </c>
      <c r="B5706" s="4">
        <v>0.33194444444444443</v>
      </c>
      <c r="C5706" s="5" t="s">
        <v>64</v>
      </c>
      <c r="D5706" s="5" t="s">
        <v>1082</v>
      </c>
      <c r="E5706" s="8" t="s">
        <v>457</v>
      </c>
      <c r="F5706" s="5" t="s">
        <v>458</v>
      </c>
      <c r="G5706" s="6" t="str">
        <f>VLOOKUP(E5706,dicionario!$A$1:$C6105,2,0)</f>
        <v>Alternanthera philoxeroides</v>
      </c>
      <c r="H5706" s="6" t="str">
        <f>VLOOKUP(E5706,dicionario!$A$1:$C6105,3,0)</f>
        <v>erva-jacaré </v>
      </c>
    </row>
    <row r="5707">
      <c r="A5707" s="3">
        <v>45687.0</v>
      </c>
      <c r="B5707" s="4">
        <v>0.33194444444444443</v>
      </c>
      <c r="C5707" s="5" t="s">
        <v>64</v>
      </c>
      <c r="D5707" s="5" t="s">
        <v>1082</v>
      </c>
      <c r="E5707" s="8" t="s">
        <v>175</v>
      </c>
      <c r="F5707" s="5" t="s">
        <v>176</v>
      </c>
      <c r="G5707" s="6" t="str">
        <f>VLOOKUP(E5707,dicionario!$A$1:$C6106,2,0)</f>
        <v>Turdus leucomelas</v>
      </c>
      <c r="H5707" s="6" t="str">
        <f>VLOOKUP(E5707,dicionario!$A$1:$C6106,3,0)</f>
        <v>sabiá-barranco</v>
      </c>
    </row>
    <row r="5708">
      <c r="A5708" s="3">
        <v>45687.0</v>
      </c>
      <c r="B5708" s="4">
        <v>0.33194444444444443</v>
      </c>
      <c r="C5708" s="5" t="s">
        <v>64</v>
      </c>
      <c r="D5708" s="5" t="s">
        <v>1082</v>
      </c>
      <c r="E5708" s="8" t="s">
        <v>86</v>
      </c>
      <c r="F5708" s="5" t="s">
        <v>502</v>
      </c>
      <c r="G5708" s="6" t="str">
        <f>VLOOKUP(E5708,dicionario!$A$1:$C6107,2,0)</f>
        <v>Coereba flaveola</v>
      </c>
      <c r="H5708" s="6" t="str">
        <f>VLOOKUP(E5708,dicionario!$A$1:$C6107,3,0)</f>
        <v>cambacica</v>
      </c>
    </row>
    <row r="5709">
      <c r="A5709" s="3">
        <v>45687.0</v>
      </c>
      <c r="B5709" s="4">
        <v>0.33194444444444443</v>
      </c>
      <c r="C5709" s="5" t="s">
        <v>64</v>
      </c>
      <c r="D5709" s="5" t="s">
        <v>1082</v>
      </c>
      <c r="E5709" s="8" t="s">
        <v>581</v>
      </c>
      <c r="F5709" s="5" t="s">
        <v>582</v>
      </c>
      <c r="G5709" s="6" t="str">
        <f>VLOOKUP(E5709,dicionario!$A$1:$C6108,2,0)</f>
        <v>Phoebis marcellina</v>
      </c>
      <c r="H5709" s="6" t="str">
        <f>VLOOKUP(E5709,dicionario!$A$1:$C6108,3,0)</f>
        <v>borboleta-gema</v>
      </c>
    </row>
    <row r="5710">
      <c r="A5710" s="3">
        <v>45687.0</v>
      </c>
      <c r="B5710" s="4">
        <v>0.3326388888888889</v>
      </c>
      <c r="C5710" s="5" t="s">
        <v>64</v>
      </c>
      <c r="D5710" s="5" t="s">
        <v>1082</v>
      </c>
      <c r="E5710" s="8" t="s">
        <v>503</v>
      </c>
      <c r="F5710" s="5" t="s">
        <v>414</v>
      </c>
      <c r="G5710" s="6" t="str">
        <f>VLOOKUP(E5710,dicionario!$A$1:$C6109,2,0)</f>
        <v>Orphulella punctata</v>
      </c>
      <c r="H5710" s="6" t="str">
        <f>VLOOKUP(E5710,dicionario!$A$1:$C6109,3,0)</f>
        <v>gafanhotinho</v>
      </c>
    </row>
    <row r="5711">
      <c r="A5711" s="3">
        <v>45687.0</v>
      </c>
      <c r="B5711" s="4">
        <v>0.3326388888888889</v>
      </c>
      <c r="C5711" s="5" t="s">
        <v>64</v>
      </c>
      <c r="D5711" s="5" t="s">
        <v>1082</v>
      </c>
      <c r="E5711" s="8" t="s">
        <v>353</v>
      </c>
      <c r="F5711" s="5" t="s">
        <v>354</v>
      </c>
      <c r="G5711" s="6" t="str">
        <f>VLOOKUP(E5711,dicionario!$A$1:$C6110,2,0)</f>
        <v>Desmodium incanum</v>
      </c>
      <c r="H5711" s="6" t="str">
        <f>VLOOKUP(E5711,dicionario!$A$1:$C6110,3,0)</f>
        <v>pega-pega</v>
      </c>
    </row>
    <row r="5712">
      <c r="A5712" s="3">
        <v>45687.0</v>
      </c>
      <c r="B5712" s="4">
        <v>0.3326388888888889</v>
      </c>
      <c r="C5712" s="5" t="s">
        <v>64</v>
      </c>
      <c r="D5712" s="5" t="s">
        <v>1082</v>
      </c>
      <c r="E5712" s="8" t="s">
        <v>262</v>
      </c>
      <c r="F5712" s="7" t="s">
        <v>263</v>
      </c>
      <c r="G5712" s="6" t="str">
        <f>VLOOKUP(E5712,dicionario!$A$1:$C6111,2,0)</f>
        <v>Portulaca oleracea</v>
      </c>
      <c r="H5712" s="6" t="str">
        <f>VLOOKUP(E5712,dicionario!$A$1:$C6111,3,0)</f>
        <v>beldroega</v>
      </c>
    </row>
    <row r="5713">
      <c r="A5713" s="3">
        <v>45687.0</v>
      </c>
      <c r="B5713" s="4">
        <v>0.3326388888888889</v>
      </c>
      <c r="C5713" s="5" t="s">
        <v>64</v>
      </c>
      <c r="D5713" s="5" t="s">
        <v>1082</v>
      </c>
      <c r="E5713" s="8" t="s">
        <v>148</v>
      </c>
      <c r="F5713" s="5" t="s">
        <v>149</v>
      </c>
      <c r="G5713" s="6" t="str">
        <f>VLOOKUP(E5713,dicionario!$A$1:$C6112,2,0)</f>
        <v>Parthenium hysterophorus</v>
      </c>
      <c r="H5713" s="6" t="str">
        <f>VLOOKUP(E5713,dicionario!$A$1:$C6112,3,0)</f>
        <v>losna-branca</v>
      </c>
    </row>
    <row r="5714">
      <c r="A5714" s="3">
        <v>45687.0</v>
      </c>
      <c r="B5714" s="4">
        <v>0.3326388888888889</v>
      </c>
      <c r="C5714" s="5" t="s">
        <v>64</v>
      </c>
      <c r="D5714" s="5" t="s">
        <v>1082</v>
      </c>
      <c r="E5714" s="8" t="s">
        <v>53</v>
      </c>
      <c r="F5714" s="7" t="s">
        <v>54</v>
      </c>
      <c r="G5714" s="6" t="str">
        <f>VLOOKUP(E5714,dicionario!$A$1:$C6113,2,0)</f>
        <v>Turnera subulata</v>
      </c>
      <c r="H5714" s="6" t="str">
        <f>VLOOKUP(E5714,dicionario!$A$1:$C6113,3,0)</f>
        <v>xanana</v>
      </c>
    </row>
    <row r="5715">
      <c r="A5715" s="3">
        <v>45687.0</v>
      </c>
      <c r="B5715" s="4">
        <v>0.3326388888888889</v>
      </c>
      <c r="C5715" s="5" t="s">
        <v>64</v>
      </c>
      <c r="D5715" s="5" t="s">
        <v>1082</v>
      </c>
      <c r="E5715" s="8" t="s">
        <v>48</v>
      </c>
      <c r="F5715" s="5" t="s">
        <v>49</v>
      </c>
      <c r="G5715" s="6" t="str">
        <f>VLOOKUP(E5715,dicionario!$A$1:$C6114,2,0)</f>
        <v>Commelina erecta</v>
      </c>
      <c r="H5715" s="6" t="str">
        <f>VLOOKUP(E5715,dicionario!$A$1:$C6114,3,0)</f>
        <v>trapoeraba</v>
      </c>
    </row>
    <row r="5716">
      <c r="A5716" s="3">
        <v>45687.0</v>
      </c>
      <c r="B5716" s="4">
        <v>0.3194444444444444</v>
      </c>
      <c r="C5716" s="5" t="s">
        <v>76</v>
      </c>
      <c r="D5716" s="5" t="s">
        <v>1082</v>
      </c>
      <c r="E5716" s="8" t="s">
        <v>786</v>
      </c>
      <c r="F5716" s="5" t="s">
        <v>787</v>
      </c>
      <c r="G5716" s="6" t="str">
        <f>VLOOKUP(E5716,dicionario!$A$1:$C6115,2,0)</f>
        <v>Lycianthes asarifolia</v>
      </c>
      <c r="H5716" s="6" t="str">
        <f>VLOOKUP(E5716,dicionario!$A$1:$C6115,3,0)</f>
        <v>joá-rasteiro</v>
      </c>
    </row>
    <row r="5717">
      <c r="A5717" s="3">
        <v>45687.0</v>
      </c>
      <c r="B5717" s="4">
        <v>0.3194444444444444</v>
      </c>
      <c r="C5717" s="5" t="s">
        <v>76</v>
      </c>
      <c r="D5717" s="5" t="s">
        <v>1082</v>
      </c>
      <c r="E5717" s="8" t="s">
        <v>275</v>
      </c>
      <c r="F5717" s="5" t="s">
        <v>276</v>
      </c>
      <c r="G5717" s="6" t="str">
        <f>VLOOKUP(E5717,dicionario!$A$1:$C6116,2,0)</f>
        <v>Bidens pilosa</v>
      </c>
      <c r="H5717" s="6" t="str">
        <f>VLOOKUP(E5717,dicionario!$A$1:$C6116,3,0)</f>
        <v>picão-preto</v>
      </c>
    </row>
    <row r="5718">
      <c r="A5718" s="3">
        <v>45687.0</v>
      </c>
      <c r="B5718" s="4">
        <v>0.3194444444444444</v>
      </c>
      <c r="C5718" s="5" t="s">
        <v>76</v>
      </c>
      <c r="D5718" s="5" t="s">
        <v>1082</v>
      </c>
      <c r="E5718" s="8" t="s">
        <v>144</v>
      </c>
      <c r="F5718" s="5" t="s">
        <v>145</v>
      </c>
      <c r="G5718" s="6" t="str">
        <f>VLOOKUP(E5718,dicionario!$A$1:$C6117,2,0)</f>
        <v>Gomphrena globosa</v>
      </c>
      <c r="H5718" s="6" t="str">
        <f>VLOOKUP(E5718,dicionario!$A$1:$C6117,3,0)</f>
        <v>perpétua-rosa</v>
      </c>
    </row>
    <row r="5719">
      <c r="A5719" s="3">
        <v>45687.0</v>
      </c>
      <c r="B5719" s="4">
        <v>0.3194444444444444</v>
      </c>
      <c r="C5719" s="5" t="s">
        <v>76</v>
      </c>
      <c r="D5719" s="5" t="s">
        <v>1082</v>
      </c>
      <c r="E5719" s="8" t="s">
        <v>247</v>
      </c>
      <c r="F5719" s="7" t="s">
        <v>272</v>
      </c>
      <c r="G5719" s="6" t="str">
        <f>VLOOKUP(E5719,dicionario!$A$1:$C6118,2,0)</f>
        <v>Emilia sonchifolia</v>
      </c>
      <c r="H5719" s="6" t="str">
        <f>VLOOKUP(E5719,dicionario!$A$1:$C6118,3,0)</f>
        <v>serralinha</v>
      </c>
    </row>
    <row r="5720">
      <c r="A5720" s="3">
        <v>45687.0</v>
      </c>
      <c r="B5720" s="4">
        <v>0.3194444444444444</v>
      </c>
      <c r="C5720" s="5" t="s">
        <v>76</v>
      </c>
      <c r="D5720" s="5" t="s">
        <v>1082</v>
      </c>
      <c r="E5720" s="8" t="s">
        <v>195</v>
      </c>
      <c r="F5720" s="5" t="s">
        <v>196</v>
      </c>
      <c r="G5720" s="6" t="str">
        <f>VLOOKUP(E5720,dicionario!$A$1:$C6119,2,0)</f>
        <v>Priva lappulacea</v>
      </c>
      <c r="H5720" s="6" t="str">
        <f>VLOOKUP(E5720,dicionario!$A$1:$C6119,3,0)</f>
        <v>carrapicho</v>
      </c>
    </row>
    <row r="5721">
      <c r="A5721" s="3">
        <v>45687.0</v>
      </c>
      <c r="B5721" s="4">
        <v>0.3194444444444444</v>
      </c>
      <c r="C5721" s="5" t="s">
        <v>76</v>
      </c>
      <c r="D5721" s="5" t="s">
        <v>1082</v>
      </c>
      <c r="E5721" s="8" t="s">
        <v>146</v>
      </c>
      <c r="F5721" s="5" t="s">
        <v>147</v>
      </c>
      <c r="G5721" s="6" t="str">
        <f>VLOOKUP(E5721,dicionario!$A$1:$C6120,2,0)</f>
        <v>Euphorbia hirta</v>
      </c>
      <c r="H5721" s="6" t="str">
        <f>VLOOKUP(E5721,dicionario!$A$1:$C6120,3,0)</f>
        <v>erva-de-santa-luzia</v>
      </c>
    </row>
    <row r="5722">
      <c r="A5722" s="3">
        <v>45687.0</v>
      </c>
      <c r="B5722" s="4">
        <v>0.36180555555555555</v>
      </c>
      <c r="C5722" s="5" t="s">
        <v>76</v>
      </c>
      <c r="D5722" s="5" t="s">
        <v>1082</v>
      </c>
      <c r="E5722" s="8" t="s">
        <v>292</v>
      </c>
      <c r="F5722" s="5" t="s">
        <v>293</v>
      </c>
      <c r="G5722" s="6" t="str">
        <f>VLOOKUP(E5722,dicionario!$A$1:$C6121,2,0)</f>
        <v>Ascia monuste</v>
      </c>
      <c r="H5722" s="6" t="str">
        <f>VLOOKUP(E5722,dicionario!$A$1:$C6121,3,0)</f>
        <v>borboleta-da-couve</v>
      </c>
    </row>
    <row r="5723">
      <c r="A5723" s="3">
        <v>45687.0</v>
      </c>
      <c r="B5723" s="4">
        <v>0.3194444444444444</v>
      </c>
      <c r="C5723" s="5" t="s">
        <v>76</v>
      </c>
      <c r="D5723" s="5" t="s">
        <v>1082</v>
      </c>
      <c r="E5723" s="8" t="s">
        <v>1087</v>
      </c>
      <c r="F5723" s="5" t="s">
        <v>1088</v>
      </c>
      <c r="G5723" s="6" t="str">
        <f>VLOOKUP(E5723,dicionario!$A$1:$C6122,2,0)</f>
        <v>Desmodium triflorum</v>
      </c>
      <c r="H5723" s="6" t="str">
        <f>VLOOKUP(E5723,dicionario!$A$1:$C6122,3,0)</f>
        <v/>
      </c>
    </row>
    <row r="5724">
      <c r="A5724" s="3">
        <v>45687.0</v>
      </c>
      <c r="B5724" s="4">
        <v>0.3194444444444444</v>
      </c>
      <c r="C5724" s="5" t="s">
        <v>76</v>
      </c>
      <c r="D5724" s="5" t="s">
        <v>1082</v>
      </c>
      <c r="E5724" s="8" t="s">
        <v>65</v>
      </c>
      <c r="F5724" s="5" t="s">
        <v>66</v>
      </c>
      <c r="G5724" s="6" t="str">
        <f>VLOOKUP(E5724,dicionario!$A$1:$C6123,2,0)</f>
        <v>Pitangus sulphutarus</v>
      </c>
      <c r="H5724" s="6" t="str">
        <f>VLOOKUP(E5724,dicionario!$A$1:$C6123,3,0)</f>
        <v>bem-te-vi</v>
      </c>
    </row>
    <row r="5725">
      <c r="A5725" s="3">
        <v>45687.0</v>
      </c>
      <c r="B5725" s="4">
        <v>0.3194444444444444</v>
      </c>
      <c r="C5725" s="5" t="s">
        <v>76</v>
      </c>
      <c r="D5725" s="5" t="s">
        <v>1082</v>
      </c>
      <c r="E5725" s="8" t="s">
        <v>1112</v>
      </c>
      <c r="F5725" s="5" t="s">
        <v>1113</v>
      </c>
      <c r="G5725" s="6" t="str">
        <f>VLOOKUP(E5725,dicionario!$A$1:$C6124,2,0)</f>
        <v>Hylophilus thoracicus</v>
      </c>
      <c r="H5725" s="6" t="str">
        <f>VLOOKUP(E5725,dicionario!$A$1:$C6124,3,0)</f>
        <v>vite-vite</v>
      </c>
    </row>
    <row r="5726">
      <c r="A5726" s="3">
        <v>45687.0</v>
      </c>
      <c r="B5726" s="4">
        <v>0.3194444444444444</v>
      </c>
      <c r="C5726" s="5" t="s">
        <v>76</v>
      </c>
      <c r="D5726" s="5" t="s">
        <v>1082</v>
      </c>
      <c r="E5726" s="8" t="s">
        <v>141</v>
      </c>
      <c r="F5726" s="5" t="s">
        <v>142</v>
      </c>
      <c r="G5726" s="6" t="str">
        <f>VLOOKUP(E5726,dicionario!$A$1:$C6125,2,0)</f>
        <v>Ruellia blechum</v>
      </c>
      <c r="H5726" s="6" t="str">
        <f>VLOOKUP(E5726,dicionario!$A$1:$C6125,3,0)</f>
        <v>camarão-verde</v>
      </c>
    </row>
    <row r="5727">
      <c r="A5727" s="3">
        <v>45687.0</v>
      </c>
      <c r="B5727" s="4">
        <v>0.3625</v>
      </c>
      <c r="C5727" s="5" t="s">
        <v>76</v>
      </c>
      <c r="D5727" s="5" t="s">
        <v>1082</v>
      </c>
      <c r="E5727" s="8" t="s">
        <v>286</v>
      </c>
      <c r="F5727" s="5" t="s">
        <v>287</v>
      </c>
      <c r="G5727" s="6" t="str">
        <f>VLOOKUP(E5727,dicionario!$A$1:$C6126,2,0)</f>
        <v>Setaria parviflora</v>
      </c>
      <c r="H5727" s="6" t="str">
        <f>VLOOKUP(E5727,dicionario!$A$1:$C6126,3,0)</f>
        <v>capim-rabo-de-raposa</v>
      </c>
    </row>
    <row r="5728">
      <c r="A5728" s="3">
        <v>45687.0</v>
      </c>
      <c r="B5728" s="4">
        <v>0.3625</v>
      </c>
      <c r="C5728" s="5" t="s">
        <v>76</v>
      </c>
      <c r="D5728" s="5" t="s">
        <v>1082</v>
      </c>
      <c r="E5728" s="8" t="s">
        <v>247</v>
      </c>
      <c r="F5728" s="5" t="s">
        <v>387</v>
      </c>
      <c r="G5728" s="6" t="str">
        <f>VLOOKUP(E5728,dicionario!$A$1:$C6127,2,0)</f>
        <v>Emilia sonchifolia</v>
      </c>
      <c r="H5728" s="6" t="str">
        <f>VLOOKUP(E5728,dicionario!$A$1:$C6127,3,0)</f>
        <v>serralinha</v>
      </c>
    </row>
    <row r="5729">
      <c r="A5729" s="3">
        <v>45687.0</v>
      </c>
      <c r="B5729" s="4">
        <v>0.3625</v>
      </c>
      <c r="C5729" s="5" t="s">
        <v>76</v>
      </c>
      <c r="D5729" s="5" t="s">
        <v>1082</v>
      </c>
      <c r="E5729" s="8" t="s">
        <v>489</v>
      </c>
      <c r="F5729" s="5" t="s">
        <v>521</v>
      </c>
      <c r="G5729" s="6" t="str">
        <f>VLOOKUP(E5729,dicionario!$A$1:$C6128,2,0)</f>
        <v>Cenchrus echinatus</v>
      </c>
      <c r="H5729" s="6" t="str">
        <f>VLOOKUP(E5729,dicionario!$A$1:$C6128,3,0)</f>
        <v>capim-carrapicho</v>
      </c>
    </row>
    <row r="5730">
      <c r="A5730" s="3">
        <v>45687.0</v>
      </c>
      <c r="B5730" s="4">
        <v>0.3625</v>
      </c>
      <c r="C5730" s="5" t="s">
        <v>76</v>
      </c>
      <c r="D5730" s="5" t="s">
        <v>1082</v>
      </c>
      <c r="E5730" s="8" t="s">
        <v>152</v>
      </c>
      <c r="F5730" s="5" t="s">
        <v>153</v>
      </c>
      <c r="G5730" s="6" t="str">
        <f>VLOOKUP(E5730,dicionario!$A$1:$C6129,2,0)</f>
        <v>Cynodon dactylon</v>
      </c>
      <c r="H5730" s="6" t="str">
        <f>VLOOKUP(E5730,dicionario!$A$1:$C6129,3,0)</f>
        <v>grama-bermuda</v>
      </c>
    </row>
    <row r="5731">
      <c r="A5731" s="3">
        <v>45687.0</v>
      </c>
      <c r="B5731" s="4">
        <v>0.3625</v>
      </c>
      <c r="C5731" s="5" t="s">
        <v>76</v>
      </c>
      <c r="D5731" s="5" t="s">
        <v>1082</v>
      </c>
      <c r="E5731" s="8" t="s">
        <v>613</v>
      </c>
      <c r="F5731" s="5" t="s">
        <v>614</v>
      </c>
      <c r="G5731" s="6" t="str">
        <f>VLOOKUP(E5731,dicionario!$A$1:$C6130,2,0)</f>
        <v>Euphorbia hyssopifolia</v>
      </c>
      <c r="H5731" s="6" t="str">
        <f>VLOOKUP(E5731,dicionario!$A$1:$C6130,3,0)</f>
        <v>maria-leite</v>
      </c>
    </row>
    <row r="5732">
      <c r="A5732" s="3">
        <v>45687.0</v>
      </c>
      <c r="B5732" s="4">
        <v>0.3625</v>
      </c>
      <c r="C5732" s="5" t="s">
        <v>76</v>
      </c>
      <c r="D5732" s="5" t="s">
        <v>1082</v>
      </c>
      <c r="E5732" s="8" t="s">
        <v>355</v>
      </c>
      <c r="F5732" s="5" t="s">
        <v>356</v>
      </c>
      <c r="G5732" s="6" t="str">
        <f>VLOOKUP(E5732,dicionario!$A$1:$C6131,2,0)</f>
        <v>Boerhavia diffusa</v>
      </c>
      <c r="H5732" s="6" t="str">
        <f>VLOOKUP(E5732,dicionario!$A$1:$C6131,3,0)</f>
        <v>erva-tostão</v>
      </c>
    </row>
    <row r="5733">
      <c r="A5733" s="3">
        <v>45687.0</v>
      </c>
      <c r="B5733" s="4">
        <v>0.3625</v>
      </c>
      <c r="C5733" s="5" t="s">
        <v>76</v>
      </c>
      <c r="D5733" s="5" t="s">
        <v>1082</v>
      </c>
      <c r="E5733" s="8" t="s">
        <v>83</v>
      </c>
      <c r="F5733" s="5" t="s">
        <v>84</v>
      </c>
      <c r="G5733" s="6" t="str">
        <f>VLOOKUP(E5733,dicionario!$A$1:$C6132,2,0)</f>
        <v>Anartia jatrophae</v>
      </c>
      <c r="H5733" s="6" t="str">
        <f>VLOOKUP(E5733,dicionario!$A$1:$C6132,3,0)</f>
        <v>borboleta-pavão-branco</v>
      </c>
    </row>
    <row r="5734">
      <c r="A5734" s="3">
        <v>45687.0</v>
      </c>
      <c r="B5734" s="4">
        <v>0.3625</v>
      </c>
      <c r="C5734" s="5" t="s">
        <v>76</v>
      </c>
      <c r="D5734" s="5" t="s">
        <v>1082</v>
      </c>
      <c r="E5734" s="8" t="s">
        <v>185</v>
      </c>
      <c r="F5734" s="5" t="s">
        <v>186</v>
      </c>
      <c r="G5734" s="6" t="str">
        <f>VLOOKUP(E5734,dicionario!$A$1:$C6133,2,0)</f>
        <v>Ipomoea</v>
      </c>
      <c r="H5734" s="6" t="str">
        <f>VLOOKUP(E5734,dicionario!$A$1:$C6133,3,0)</f>
        <v>ipoméia</v>
      </c>
    </row>
    <row r="5735">
      <c r="A5735" s="3">
        <v>45687.0</v>
      </c>
      <c r="B5735" s="4">
        <v>0.36319444444444443</v>
      </c>
      <c r="C5735" s="5" t="s">
        <v>76</v>
      </c>
      <c r="D5735" s="5" t="s">
        <v>1082</v>
      </c>
      <c r="E5735" s="8" t="s">
        <v>1148</v>
      </c>
      <c r="F5735" s="5" t="s">
        <v>1149</v>
      </c>
      <c r="G5735" s="6" t="str">
        <f>VLOOKUP(E5735,dicionario!$A$1:$C6134,2,0)</f>
        <v>#N/A</v>
      </c>
      <c r="H5735" s="6" t="str">
        <f>VLOOKUP(E5735,dicionario!$A$1:$C6134,3,0)</f>
        <v>#N/A</v>
      </c>
    </row>
    <row r="5736">
      <c r="A5736" s="3">
        <v>45687.0</v>
      </c>
      <c r="B5736" s="4">
        <v>0.36319444444444443</v>
      </c>
      <c r="C5736" s="5" t="s">
        <v>76</v>
      </c>
      <c r="D5736" s="5" t="s">
        <v>1082</v>
      </c>
      <c r="E5736" s="8" t="s">
        <v>581</v>
      </c>
      <c r="F5736" s="5" t="s">
        <v>582</v>
      </c>
      <c r="G5736" s="6" t="str">
        <f>VLOOKUP(E5736,dicionario!$A$1:$C6135,2,0)</f>
        <v>Phoebis marcellina</v>
      </c>
      <c r="H5736" s="6" t="str">
        <f>VLOOKUP(E5736,dicionario!$A$1:$C6135,3,0)</f>
        <v>borboleta-gema</v>
      </c>
    </row>
    <row r="5737">
      <c r="A5737" s="3">
        <v>45687.0</v>
      </c>
      <c r="B5737" s="4">
        <v>0.36319444444444443</v>
      </c>
      <c r="C5737" s="5" t="s">
        <v>76</v>
      </c>
      <c r="D5737" s="5" t="s">
        <v>1082</v>
      </c>
      <c r="E5737" s="8" t="s">
        <v>517</v>
      </c>
      <c r="F5737" s="7" t="s">
        <v>518</v>
      </c>
      <c r="G5737" s="6" t="str">
        <f>VLOOKUP(E5737,dicionario!$A$1:$C6136,2,0)</f>
        <v>Evolvulus nummularius</v>
      </c>
      <c r="H5737" s="6" t="str">
        <f>VLOOKUP(E5737,dicionario!$A$1:$C6136,3,0)</f>
        <v/>
      </c>
    </row>
    <row r="5738">
      <c r="A5738" s="3">
        <v>45687.0</v>
      </c>
      <c r="B5738" s="4">
        <v>0.36319444444444443</v>
      </c>
      <c r="C5738" s="5" t="s">
        <v>76</v>
      </c>
      <c r="D5738" s="5" t="s">
        <v>1082</v>
      </c>
      <c r="E5738" s="8" t="s">
        <v>135</v>
      </c>
      <c r="F5738" s="5" t="s">
        <v>136</v>
      </c>
      <c r="G5738" s="6" t="str">
        <f>VLOOKUP(E5738,dicionario!$A$1:$C6137,2,0)</f>
        <v>Tridax procumbens</v>
      </c>
      <c r="H5738" s="6" t="str">
        <f>VLOOKUP(E5738,dicionario!$A$1:$C6137,3,0)</f>
        <v>erva-de-touro</v>
      </c>
    </row>
    <row r="5739">
      <c r="A5739" s="3">
        <v>45687.0</v>
      </c>
      <c r="B5739" s="4">
        <v>0.36319444444444443</v>
      </c>
      <c r="C5739" s="5" t="s">
        <v>76</v>
      </c>
      <c r="D5739" s="5" t="s">
        <v>1082</v>
      </c>
      <c r="E5739" s="8" t="s">
        <v>253</v>
      </c>
      <c r="F5739" s="5" t="s">
        <v>254</v>
      </c>
      <c r="G5739" s="6" t="str">
        <f>VLOOKUP(E5739,dicionario!$A$1:$C6138,2,0)</f>
        <v>Panicum maximum</v>
      </c>
      <c r="H5739" s="6" t="str">
        <f>VLOOKUP(E5739,dicionario!$A$1:$C6138,3,0)</f>
        <v>capim-colonião</v>
      </c>
    </row>
    <row r="5740">
      <c r="A5740" s="3">
        <v>45687.0</v>
      </c>
      <c r="B5740" s="4">
        <v>0.36319444444444443</v>
      </c>
      <c r="C5740" s="5" t="s">
        <v>76</v>
      </c>
      <c r="D5740" s="5" t="s">
        <v>1082</v>
      </c>
      <c r="E5740" s="8" t="s">
        <v>227</v>
      </c>
      <c r="F5740" s="5" t="s">
        <v>228</v>
      </c>
      <c r="G5740" s="6" t="str">
        <f>VLOOKUP(E5740,dicionario!$A$1:$C6139,2,0)</f>
        <v>Indigofera hirsuta</v>
      </c>
      <c r="H5740" s="6" t="str">
        <f>VLOOKUP(E5740,dicionario!$A$1:$C6139,3,0)</f>
        <v>anileira</v>
      </c>
    </row>
    <row r="5741">
      <c r="A5741" s="3">
        <v>45687.0</v>
      </c>
      <c r="B5741" s="4">
        <v>0.3638888888888889</v>
      </c>
      <c r="C5741" s="5" t="s">
        <v>76</v>
      </c>
      <c r="D5741" s="5" t="s">
        <v>1082</v>
      </c>
      <c r="E5741" s="8" t="s">
        <v>504</v>
      </c>
      <c r="F5741" s="5" t="s">
        <v>534</v>
      </c>
      <c r="G5741" s="6" t="str">
        <f>VLOOKUP(E5741,dicionario!$A$1:$C6140,2,0)</f>
        <v>Cleome aculeata</v>
      </c>
      <c r="H5741" s="6" t="str">
        <f>VLOOKUP(E5741,dicionario!$A$1:$C6140,3,0)</f>
        <v>cleome</v>
      </c>
    </row>
    <row r="5742">
      <c r="A5742" s="3">
        <v>45687.0</v>
      </c>
      <c r="B5742" s="4">
        <v>0.3638888888888889</v>
      </c>
      <c r="C5742" s="5" t="s">
        <v>76</v>
      </c>
      <c r="D5742" s="5" t="s">
        <v>1082</v>
      </c>
      <c r="E5742" s="8" t="s">
        <v>886</v>
      </c>
      <c r="F5742" s="5" t="s">
        <v>887</v>
      </c>
      <c r="G5742" s="6" t="str">
        <f>VLOOKUP(E5742,dicionario!$A$1:$C6141,2,0)</f>
        <v>Oldenlandia corymbosa</v>
      </c>
      <c r="H5742" s="6" t="str">
        <f>VLOOKUP(E5742,dicionario!$A$1:$C6141,3,0)</f>
        <v>erva-diamante</v>
      </c>
    </row>
    <row r="5743">
      <c r="A5743" s="3">
        <v>45687.0</v>
      </c>
      <c r="B5743" s="4">
        <v>0.3638888888888889</v>
      </c>
      <c r="C5743" s="5" t="s">
        <v>76</v>
      </c>
      <c r="D5743" s="5" t="s">
        <v>1082</v>
      </c>
      <c r="E5743" s="8" t="s">
        <v>48</v>
      </c>
      <c r="F5743" s="5" t="s">
        <v>49</v>
      </c>
      <c r="G5743" s="6" t="str">
        <f>VLOOKUP(E5743,dicionario!$A$1:$C6142,2,0)</f>
        <v>Commelina erecta</v>
      </c>
      <c r="H5743" s="6" t="str">
        <f>VLOOKUP(E5743,dicionario!$A$1:$C6142,3,0)</f>
        <v>trapoeraba</v>
      </c>
    </row>
    <row r="5744">
      <c r="A5744" s="3">
        <v>45687.0</v>
      </c>
      <c r="B5744" s="4">
        <v>0.3638888888888889</v>
      </c>
      <c r="C5744" s="5" t="s">
        <v>76</v>
      </c>
      <c r="D5744" s="5" t="s">
        <v>1082</v>
      </c>
      <c r="E5744" s="8" t="s">
        <v>427</v>
      </c>
      <c r="F5744" s="5" t="s">
        <v>428</v>
      </c>
      <c r="G5744" s="6" t="str">
        <f>VLOOKUP(E5744,dicionario!$A$1:$C6143,2,0)</f>
        <v>Condylostylus longicornis</v>
      </c>
      <c r="H5744" s="6" t="str">
        <f>VLOOKUP(E5744,dicionario!$A$1:$C6143,3,0)</f>
        <v>mosca-de-pernas-longas</v>
      </c>
    </row>
    <row r="5745">
      <c r="A5745" s="3">
        <v>45687.0</v>
      </c>
      <c r="B5745" s="4">
        <v>0.3638888888888889</v>
      </c>
      <c r="C5745" s="5" t="s">
        <v>76</v>
      </c>
      <c r="D5745" s="5" t="s">
        <v>1082</v>
      </c>
      <c r="E5745" s="8" t="s">
        <v>148</v>
      </c>
      <c r="F5745" s="5" t="s">
        <v>149</v>
      </c>
      <c r="G5745" s="6" t="str">
        <f>VLOOKUP(E5745,dicionario!$A$1:$C6144,2,0)</f>
        <v>Parthenium hysterophorus</v>
      </c>
      <c r="H5745" s="6" t="str">
        <f>VLOOKUP(E5745,dicionario!$A$1:$C6144,3,0)</f>
        <v>losna-branca</v>
      </c>
    </row>
    <row r="5746">
      <c r="A5746" s="3">
        <v>45687.0</v>
      </c>
      <c r="B5746" s="4">
        <v>0.3638888888888889</v>
      </c>
      <c r="C5746" s="5" t="s">
        <v>76</v>
      </c>
      <c r="D5746" s="5" t="s">
        <v>1082</v>
      </c>
      <c r="E5746" s="8" t="s">
        <v>239</v>
      </c>
      <c r="F5746" s="5" t="s">
        <v>240</v>
      </c>
      <c r="G5746" s="6" t="str">
        <f>VLOOKUP(E5746,dicionario!$A$1:$C6145,2,0)</f>
        <v>Gomphrena celosioides</v>
      </c>
      <c r="H5746" s="6" t="str">
        <f>VLOOKUP(E5746,dicionario!$A$1:$C6145,3,0)</f>
        <v>perpétua-branca</v>
      </c>
    </row>
    <row r="5747">
      <c r="A5747" s="3">
        <v>45687.0</v>
      </c>
      <c r="B5747" s="4">
        <v>0.3645833333333333</v>
      </c>
      <c r="C5747" s="5" t="s">
        <v>76</v>
      </c>
      <c r="D5747" s="5" t="s">
        <v>1082</v>
      </c>
      <c r="E5747" s="8" t="s">
        <v>41</v>
      </c>
      <c r="F5747" s="5" t="s">
        <v>45</v>
      </c>
      <c r="G5747" s="6" t="str">
        <f>VLOOKUP(E5747,dicionario!$A$1:$C6146,2,0)</f>
        <v>Mimosa pudica</v>
      </c>
      <c r="H5747" s="6" t="str">
        <f>VLOOKUP(E5747,dicionario!$A$1:$C6146,3,0)</f>
        <v>dormideira</v>
      </c>
    </row>
    <row r="5748">
      <c r="A5748" s="3">
        <v>45687.0</v>
      </c>
      <c r="B5748" s="4">
        <v>0.3645833333333333</v>
      </c>
      <c r="C5748" s="5" t="s">
        <v>76</v>
      </c>
      <c r="D5748" s="5" t="s">
        <v>1082</v>
      </c>
      <c r="E5748" s="8" t="s">
        <v>298</v>
      </c>
      <c r="F5748" s="5" t="s">
        <v>739</v>
      </c>
      <c r="G5748" s="6" t="str">
        <f>VLOOKUP(E5748,dicionario!$A$1:$C6147,2,0)</f>
        <v>Alysicarpus vaginalis</v>
      </c>
      <c r="H5748" s="6" t="str">
        <f>VLOOKUP(E5748,dicionario!$A$1:$C6147,3,0)</f>
        <v/>
      </c>
    </row>
    <row r="5749">
      <c r="A5749" s="3">
        <v>45687.0</v>
      </c>
      <c r="B5749" s="4">
        <v>0.3645833333333333</v>
      </c>
      <c r="C5749" s="5" t="s">
        <v>76</v>
      </c>
      <c r="D5749" s="5" t="s">
        <v>1082</v>
      </c>
      <c r="E5749" s="8" t="s">
        <v>150</v>
      </c>
      <c r="F5749" s="5" t="s">
        <v>151</v>
      </c>
      <c r="G5749" s="6" t="str">
        <f>VLOOKUP(E5749,dicionario!$A$1:$C6148,2,0)</f>
        <v>Amaranthus viridis</v>
      </c>
      <c r="H5749" s="6" t="str">
        <f>VLOOKUP(E5749,dicionario!$A$1:$C6148,3,0)</f>
        <v>caruru-de-mancha</v>
      </c>
    </row>
    <row r="5750">
      <c r="A5750" s="3">
        <v>45687.0</v>
      </c>
      <c r="B5750" s="4">
        <v>0.3645833333333333</v>
      </c>
      <c r="C5750" s="5" t="s">
        <v>76</v>
      </c>
      <c r="D5750" s="5" t="s">
        <v>1082</v>
      </c>
      <c r="E5750" s="8" t="s">
        <v>139</v>
      </c>
      <c r="F5750" s="5" t="s">
        <v>862</v>
      </c>
      <c r="G5750" s="6" t="str">
        <f>VLOOKUP(E5750,dicionario!$A$1:$C6149,2,0)</f>
        <v>Tropidurus torquatus</v>
      </c>
      <c r="H5750" s="6" t="str">
        <f>VLOOKUP(E5750,dicionario!$A$1:$C6149,3,0)</f>
        <v>calango; tropiduro-comum</v>
      </c>
    </row>
    <row r="5751">
      <c r="A5751" s="3">
        <v>45687.0</v>
      </c>
      <c r="B5751" s="4">
        <v>0.36736111111111114</v>
      </c>
      <c r="C5751" s="5" t="s">
        <v>76</v>
      </c>
      <c r="D5751" s="5" t="s">
        <v>1082</v>
      </c>
      <c r="E5751" s="8" t="s">
        <v>1066</v>
      </c>
      <c r="F5751" s="5" t="s">
        <v>582</v>
      </c>
      <c r="G5751" s="6" t="str">
        <f>VLOOKUP(E5751,dicionario!$A$1:$C6150,2,0)</f>
        <v>#N/A</v>
      </c>
      <c r="H5751" s="6" t="str">
        <f>VLOOKUP(E5751,dicionario!$A$1:$C6150,3,0)</f>
        <v>#N/A</v>
      </c>
    </row>
    <row r="5752">
      <c r="A5752" s="3">
        <v>45687.0</v>
      </c>
      <c r="B5752" s="4">
        <v>0.36736111111111114</v>
      </c>
      <c r="C5752" s="5" t="s">
        <v>76</v>
      </c>
      <c r="D5752" s="5" t="s">
        <v>1082</v>
      </c>
      <c r="E5752" s="20" t="s">
        <v>676</v>
      </c>
      <c r="F5752" s="7" t="s">
        <v>677</v>
      </c>
      <c r="G5752" s="6" t="str">
        <f>VLOOKUP(E5752,dicionario!$A$1:$C6151,2,0)</f>
        <v>Zornia latifolia</v>
      </c>
      <c r="H5752" s="6" t="str">
        <f>VLOOKUP(E5752,dicionario!$A$1:$C6151,3,0)</f>
        <v>arrozinho-do-campo</v>
      </c>
    </row>
    <row r="5753">
      <c r="A5753" s="3">
        <v>45687.0</v>
      </c>
      <c r="B5753" s="4">
        <v>0.3798611111111111</v>
      </c>
      <c r="C5753" s="5" t="s">
        <v>85</v>
      </c>
      <c r="D5753" s="5" t="s">
        <v>1082</v>
      </c>
      <c r="E5753" s="8" t="s">
        <v>200</v>
      </c>
      <c r="F5753" s="5" t="s">
        <v>201</v>
      </c>
      <c r="G5753" s="6" t="str">
        <f>VLOOKUP(E5753,dicionario!$A$1:$C6152,2,0)</f>
        <v>Columbina picui </v>
      </c>
      <c r="H5753" s="6" t="str">
        <f>VLOOKUP(E5753,dicionario!$A$1:$C6152,3,0)</f>
        <v>rolinha-picuí</v>
      </c>
    </row>
    <row r="5754">
      <c r="A5754" s="3">
        <v>45687.0</v>
      </c>
      <c r="B5754" s="4">
        <v>0.3798611111111111</v>
      </c>
      <c r="C5754" s="5" t="s">
        <v>85</v>
      </c>
      <c r="D5754" s="5" t="s">
        <v>1082</v>
      </c>
      <c r="E5754" s="8" t="s">
        <v>146</v>
      </c>
      <c r="F5754" s="5" t="s">
        <v>147</v>
      </c>
      <c r="G5754" s="6" t="str">
        <f>VLOOKUP(E5754,dicionario!$A$1:$C6153,2,0)</f>
        <v>Euphorbia hirta</v>
      </c>
      <c r="H5754" s="6" t="str">
        <f>VLOOKUP(E5754,dicionario!$A$1:$C6153,3,0)</f>
        <v>erva-de-santa-luzia</v>
      </c>
    </row>
    <row r="5755">
      <c r="A5755" s="3">
        <v>45687.0</v>
      </c>
      <c r="B5755" s="4">
        <v>0.3798611111111111</v>
      </c>
      <c r="C5755" s="5" t="s">
        <v>85</v>
      </c>
      <c r="D5755" s="5" t="s">
        <v>1082</v>
      </c>
      <c r="E5755" s="8" t="s">
        <v>229</v>
      </c>
      <c r="F5755" s="5" t="s">
        <v>230</v>
      </c>
      <c r="G5755" s="6" t="str">
        <f>VLOOKUP(E5755,dicionario!$A$1:$C6154,2,0)</f>
        <v>Apis mellifera</v>
      </c>
      <c r="H5755" s="6" t="str">
        <f>VLOOKUP(E5755,dicionario!$A$1:$C6154,3,0)</f>
        <v>abelha-do-mel</v>
      </c>
    </row>
    <row r="5756">
      <c r="A5756" s="3">
        <v>45687.0</v>
      </c>
      <c r="B5756" s="4">
        <v>0.3798611111111111</v>
      </c>
      <c r="C5756" s="5" t="s">
        <v>85</v>
      </c>
      <c r="D5756" s="5" t="s">
        <v>1082</v>
      </c>
      <c r="E5756" s="8" t="s">
        <v>227</v>
      </c>
      <c r="F5756" s="5" t="s">
        <v>228</v>
      </c>
      <c r="G5756" s="6" t="str">
        <f>VLOOKUP(E5756,dicionario!$A$1:$C6155,2,0)</f>
        <v>Indigofera hirsuta</v>
      </c>
      <c r="H5756" s="6" t="str">
        <f>VLOOKUP(E5756,dicionario!$A$1:$C6155,3,0)</f>
        <v>anileira</v>
      </c>
    </row>
    <row r="5757">
      <c r="A5757" s="3">
        <v>45687.0</v>
      </c>
      <c r="B5757" s="4">
        <v>0.3798611111111111</v>
      </c>
      <c r="C5757" s="5" t="s">
        <v>85</v>
      </c>
      <c r="D5757" s="5" t="s">
        <v>1082</v>
      </c>
      <c r="E5757" s="8" t="s">
        <v>144</v>
      </c>
      <c r="F5757" s="5" t="s">
        <v>145</v>
      </c>
      <c r="G5757" s="6" t="str">
        <f>VLOOKUP(E5757,dicionario!$A$1:$C6156,2,0)</f>
        <v>Gomphrena globosa</v>
      </c>
      <c r="H5757" s="6" t="str">
        <f>VLOOKUP(E5757,dicionario!$A$1:$C6156,3,0)</f>
        <v>perpétua-rosa</v>
      </c>
    </row>
    <row r="5758">
      <c r="A5758" s="3">
        <v>45687.0</v>
      </c>
      <c r="B5758" s="4">
        <v>0.3798611111111111</v>
      </c>
      <c r="C5758" s="5" t="s">
        <v>85</v>
      </c>
      <c r="D5758" s="5" t="s">
        <v>1082</v>
      </c>
      <c r="E5758" s="8" t="s">
        <v>247</v>
      </c>
      <c r="F5758" s="7" t="s">
        <v>272</v>
      </c>
      <c r="G5758" s="6" t="str">
        <f>VLOOKUP(E5758,dicionario!$A$1:$C6157,2,0)</f>
        <v>Emilia sonchifolia</v>
      </c>
      <c r="H5758" s="6" t="str">
        <f>VLOOKUP(E5758,dicionario!$A$1:$C6157,3,0)</f>
        <v>serralinha</v>
      </c>
    </row>
    <row r="5759">
      <c r="A5759" s="3">
        <v>45687.0</v>
      </c>
      <c r="B5759" s="4">
        <v>0.3798611111111111</v>
      </c>
      <c r="C5759" s="5" t="s">
        <v>85</v>
      </c>
      <c r="D5759" s="5" t="s">
        <v>1082</v>
      </c>
      <c r="E5759" s="8" t="s">
        <v>298</v>
      </c>
      <c r="F5759" s="5" t="s">
        <v>739</v>
      </c>
      <c r="G5759" s="6" t="str">
        <f>VLOOKUP(E5759,dicionario!$A$1:$C6158,2,0)</f>
        <v>Alysicarpus vaginalis</v>
      </c>
      <c r="H5759" s="6" t="str">
        <f>VLOOKUP(E5759,dicionario!$A$1:$C6158,3,0)</f>
        <v/>
      </c>
    </row>
    <row r="5760">
      <c r="A5760" s="3">
        <v>45687.0</v>
      </c>
      <c r="B5760" s="4">
        <v>0.3798611111111111</v>
      </c>
      <c r="C5760" s="5" t="s">
        <v>85</v>
      </c>
      <c r="D5760" s="5" t="s">
        <v>1082</v>
      </c>
      <c r="E5760" s="8" t="s">
        <v>483</v>
      </c>
      <c r="F5760" s="5" t="s">
        <v>289</v>
      </c>
      <c r="G5760" s="6" t="str">
        <f>VLOOKUP(E5760,dicionario!$A$1:$C6159,2,0)</f>
        <v>Euphorbia prostrata</v>
      </c>
      <c r="H5760" s="6" t="str">
        <f>VLOOKUP(E5760,dicionario!$A$1:$C6159,3,0)</f>
        <v>quebra-pedra-rasteira</v>
      </c>
    </row>
    <row r="5761">
      <c r="A5761" s="3">
        <v>45687.0</v>
      </c>
      <c r="B5761" s="4">
        <v>0.38055555555555554</v>
      </c>
      <c r="C5761" s="5" t="s">
        <v>85</v>
      </c>
      <c r="D5761" s="5" t="s">
        <v>1082</v>
      </c>
      <c r="E5761" s="8" t="s">
        <v>177</v>
      </c>
      <c r="F5761" s="5" t="s">
        <v>607</v>
      </c>
      <c r="G5761" s="6" t="str">
        <f>VLOOKUP(E5761,dicionario!$A$1:$C6160,2,0)</f>
        <v>Elaenia flavogaster</v>
      </c>
      <c r="H5761" s="6" t="str">
        <f>VLOOKUP(E5761,dicionario!$A$1:$C6160,3,0)</f>
        <v>guaracava-de-barriga-amarela</v>
      </c>
    </row>
    <row r="5762">
      <c r="A5762" s="3">
        <v>45687.0</v>
      </c>
      <c r="B5762" s="4">
        <v>0.38055555555555554</v>
      </c>
      <c r="C5762" s="5" t="s">
        <v>85</v>
      </c>
      <c r="D5762" s="5" t="s">
        <v>1082</v>
      </c>
      <c r="E5762" s="8" t="s">
        <v>296</v>
      </c>
      <c r="F5762" s="5" t="s">
        <v>297</v>
      </c>
      <c r="G5762" s="6" t="str">
        <f>VLOOKUP(E5762,dicionario!$A$1:$C6161,2,0)</f>
        <v>Richardia brasiliensis</v>
      </c>
      <c r="H5762" s="6" t="str">
        <f>VLOOKUP(E5762,dicionario!$A$1:$C6161,3,0)</f>
        <v>poaia-branca</v>
      </c>
    </row>
    <row r="5763">
      <c r="A5763" s="3">
        <v>45687.0</v>
      </c>
      <c r="B5763" s="4">
        <v>0.38055555555555554</v>
      </c>
      <c r="C5763" s="5" t="s">
        <v>85</v>
      </c>
      <c r="D5763" s="5" t="s">
        <v>1082</v>
      </c>
      <c r="E5763" s="6" t="s">
        <v>237</v>
      </c>
      <c r="F5763" s="7" t="s">
        <v>238</v>
      </c>
      <c r="G5763" s="6" t="str">
        <f>VLOOKUP(E5763,dicionario!$A$1:$C6162,2,0)</f>
        <v>Acromyrmex</v>
      </c>
      <c r="H5763" s="6" t="str">
        <f>VLOOKUP(E5763,dicionario!$A$1:$C6162,3,0)</f>
        <v>quenquén</v>
      </c>
    </row>
    <row r="5764">
      <c r="A5764" s="3">
        <v>45687.0</v>
      </c>
      <c r="B5764" s="4">
        <v>0.38055555555555554</v>
      </c>
      <c r="C5764" s="5" t="s">
        <v>85</v>
      </c>
      <c r="D5764" s="5" t="s">
        <v>1082</v>
      </c>
      <c r="E5764" s="8" t="s">
        <v>489</v>
      </c>
      <c r="F5764" s="5" t="s">
        <v>521</v>
      </c>
      <c r="G5764" s="6" t="str">
        <f>VLOOKUP(E5764,dicionario!$A$1:$C6163,2,0)</f>
        <v>Cenchrus echinatus</v>
      </c>
      <c r="H5764" s="6" t="str">
        <f>VLOOKUP(E5764,dicionario!$A$1:$C6163,3,0)</f>
        <v>capim-carrapicho</v>
      </c>
    </row>
    <row r="5765">
      <c r="A5765" s="3">
        <v>45687.0</v>
      </c>
      <c r="B5765" s="4">
        <v>0.38125</v>
      </c>
      <c r="C5765" s="5" t="s">
        <v>85</v>
      </c>
      <c r="D5765" s="5" t="s">
        <v>1082</v>
      </c>
      <c r="E5765" s="8" t="s">
        <v>286</v>
      </c>
      <c r="F5765" s="5" t="s">
        <v>287</v>
      </c>
      <c r="G5765" s="6" t="str">
        <f>VLOOKUP(E5765,dicionario!$A$1:$C6164,2,0)</f>
        <v>Setaria parviflora</v>
      </c>
      <c r="H5765" s="6" t="str">
        <f>VLOOKUP(E5765,dicionario!$A$1:$C6164,3,0)</f>
        <v>capim-rabo-de-raposa</v>
      </c>
    </row>
    <row r="5766">
      <c r="A5766" s="3">
        <v>45687.0</v>
      </c>
      <c r="B5766" s="4">
        <v>0.38125</v>
      </c>
      <c r="C5766" s="5" t="s">
        <v>85</v>
      </c>
      <c r="D5766" s="5" t="s">
        <v>1082</v>
      </c>
      <c r="E5766" s="8" t="s">
        <v>723</v>
      </c>
      <c r="F5766" s="5" t="s">
        <v>924</v>
      </c>
      <c r="G5766" s="6" t="str">
        <f>VLOOKUP(E5766,dicionario!$A$1:$C6165,2,0)</f>
        <v>Asemeia violacea</v>
      </c>
      <c r="H5766" s="6" t="str">
        <f>VLOOKUP(E5766,dicionario!$A$1:$C6165,3,0)</f>
        <v/>
      </c>
    </row>
    <row r="5767">
      <c r="A5767" s="3">
        <v>45687.0</v>
      </c>
      <c r="B5767" s="4">
        <v>0.3819444444444444</v>
      </c>
      <c r="C5767" s="5" t="s">
        <v>85</v>
      </c>
      <c r="D5767" s="5" t="s">
        <v>1082</v>
      </c>
      <c r="E5767" s="8" t="s">
        <v>154</v>
      </c>
      <c r="F5767" s="5" t="s">
        <v>155</v>
      </c>
      <c r="G5767" s="6" t="str">
        <f>VLOOKUP(E5767,dicionario!$A$1:$C6166,2,0)</f>
        <v>Cyperus rotundus</v>
      </c>
      <c r="H5767" s="6" t="str">
        <f>VLOOKUP(E5767,dicionario!$A$1:$C6166,3,0)</f>
        <v>tiririca</v>
      </c>
    </row>
    <row r="5768">
      <c r="A5768" s="3">
        <v>45687.0</v>
      </c>
      <c r="B5768" s="4">
        <v>0.3819444444444444</v>
      </c>
      <c r="C5768" s="5" t="s">
        <v>85</v>
      </c>
      <c r="D5768" s="5" t="s">
        <v>1082</v>
      </c>
      <c r="E5768" s="8" t="s">
        <v>581</v>
      </c>
      <c r="F5768" s="5" t="s">
        <v>582</v>
      </c>
      <c r="G5768" s="6" t="str">
        <f>VLOOKUP(E5768,dicionario!$A$1:$C6167,2,0)</f>
        <v>Phoebis marcellina</v>
      </c>
      <c r="H5768" s="6" t="str">
        <f>VLOOKUP(E5768,dicionario!$A$1:$C6167,3,0)</f>
        <v>borboleta-gema</v>
      </c>
    </row>
    <row r="5769">
      <c r="A5769" s="3">
        <v>45687.0</v>
      </c>
      <c r="B5769" s="4">
        <v>0.3819444444444444</v>
      </c>
      <c r="C5769" s="5" t="s">
        <v>85</v>
      </c>
      <c r="D5769" s="5" t="s">
        <v>1082</v>
      </c>
      <c r="E5769" s="8" t="s">
        <v>302</v>
      </c>
      <c r="F5769" s="5" t="s">
        <v>89</v>
      </c>
      <c r="G5769" s="6" t="str">
        <f>VLOOKUP(E5769,dicionario!$A$1:$C6168,2,0)</f>
        <v>Machetornis rixosa</v>
      </c>
      <c r="H5769" s="6" t="str">
        <f>VLOOKUP(E5769,dicionario!$A$1:$C6168,3,0)</f>
        <v>suiriri-cavaleiro</v>
      </c>
    </row>
    <row r="5770">
      <c r="A5770" s="3">
        <v>45687.0</v>
      </c>
      <c r="B5770" s="4">
        <v>0.3819444444444444</v>
      </c>
      <c r="C5770" s="5" t="s">
        <v>85</v>
      </c>
      <c r="D5770" s="5" t="s">
        <v>1082</v>
      </c>
      <c r="E5770" s="8" t="s">
        <v>22</v>
      </c>
      <c r="F5770" s="5" t="s">
        <v>97</v>
      </c>
      <c r="G5770" s="6" t="str">
        <f>VLOOKUP(E5770,dicionario!$A$1:$C6169,2,0)</f>
        <v>Zenaida auriculata</v>
      </c>
      <c r="H5770" s="6" t="str">
        <f>VLOOKUP(E5770,dicionario!$A$1:$C6169,3,0)</f>
        <v>pomba-de-bando; avoante</v>
      </c>
    </row>
    <row r="5771">
      <c r="A5771" s="3">
        <v>45687.0</v>
      </c>
      <c r="B5771" s="4">
        <v>0.38263888888888886</v>
      </c>
      <c r="C5771" s="5" t="s">
        <v>85</v>
      </c>
      <c r="D5771" s="5" t="s">
        <v>1082</v>
      </c>
      <c r="E5771" s="8" t="s">
        <v>109</v>
      </c>
      <c r="F5771" s="5" t="s">
        <v>110</v>
      </c>
      <c r="G5771" s="6" t="str">
        <f>VLOOKUP(E5771,dicionario!$A$1:$C6170,2,0)</f>
        <v>Tillandsia stricta</v>
      </c>
      <c r="H5771" s="6" t="str">
        <f>VLOOKUP(E5771,dicionario!$A$1:$C6170,3,0)</f>
        <v>cravo-do-mato</v>
      </c>
    </row>
    <row r="5772">
      <c r="A5772" s="3">
        <v>45687.0</v>
      </c>
      <c r="B5772" s="4">
        <v>0.38263888888888886</v>
      </c>
      <c r="C5772" s="5" t="s">
        <v>85</v>
      </c>
      <c r="D5772" s="5" t="s">
        <v>1082</v>
      </c>
      <c r="E5772" s="8" t="s">
        <v>38</v>
      </c>
      <c r="F5772" s="5" t="s">
        <v>39</v>
      </c>
      <c r="G5772" s="6" t="str">
        <f>VLOOKUP(E5772,dicionario!$A$1:$C6171,2,0)</f>
        <v>Troglodytes musculus</v>
      </c>
      <c r="H5772" s="6" t="str">
        <f>VLOOKUP(E5772,dicionario!$A$1:$C6171,3,0)</f>
        <v>curruíra</v>
      </c>
    </row>
    <row r="5773">
      <c r="A5773" s="3">
        <v>45687.0</v>
      </c>
      <c r="B5773" s="4">
        <v>0.38263888888888886</v>
      </c>
      <c r="C5773" s="5" t="s">
        <v>85</v>
      </c>
      <c r="D5773" s="5" t="s">
        <v>1082</v>
      </c>
      <c r="E5773" s="8" t="s">
        <v>292</v>
      </c>
      <c r="F5773" s="5" t="s">
        <v>293</v>
      </c>
      <c r="G5773" s="6" t="str">
        <f>VLOOKUP(E5773,dicionario!$A$1:$C6172,2,0)</f>
        <v>Ascia monuste</v>
      </c>
      <c r="H5773" s="6" t="str">
        <f>VLOOKUP(E5773,dicionario!$A$1:$C6172,3,0)</f>
        <v>borboleta-da-couve</v>
      </c>
    </row>
    <row r="5774">
      <c r="A5774" s="3">
        <v>45687.0</v>
      </c>
      <c r="B5774" s="4">
        <v>0.38263888888888886</v>
      </c>
      <c r="C5774" s="5" t="s">
        <v>85</v>
      </c>
      <c r="D5774" s="5" t="s">
        <v>1082</v>
      </c>
      <c r="E5774" s="8" t="s">
        <v>1048</v>
      </c>
      <c r="F5774" s="5" t="s">
        <v>1049</v>
      </c>
      <c r="G5774" s="6" t="str">
        <f>VLOOKUP(E5774,dicionario!$A$1:$C6173,2,0)</f>
        <v>#N/A</v>
      </c>
      <c r="H5774" s="6" t="str">
        <f>VLOOKUP(E5774,dicionario!$A$1:$C6173,3,0)</f>
        <v>#N/A</v>
      </c>
    </row>
    <row r="5775">
      <c r="A5775" s="3">
        <v>45687.0</v>
      </c>
      <c r="B5775" s="4">
        <v>0.38333333333333336</v>
      </c>
      <c r="C5775" s="5" t="s">
        <v>85</v>
      </c>
      <c r="D5775" s="5" t="s">
        <v>1082</v>
      </c>
      <c r="E5775" s="8" t="s">
        <v>20</v>
      </c>
      <c r="F5775" s="7" t="s">
        <v>21</v>
      </c>
      <c r="G5775" s="6" t="str">
        <f>VLOOKUP(E5775,dicionario!$A$1:$C6174,2,0)</f>
        <v>Sicalis flaveola</v>
      </c>
      <c r="H5775" s="6" t="str">
        <f>VLOOKUP(E5775,dicionario!$A$1:$C6174,3,0)</f>
        <v>canário-da-terra</v>
      </c>
    </row>
    <row r="5776">
      <c r="A5776" s="3">
        <v>45687.0</v>
      </c>
      <c r="B5776" s="4">
        <v>0.38333333333333336</v>
      </c>
      <c r="C5776" s="5" t="s">
        <v>85</v>
      </c>
      <c r="D5776" s="5" t="s">
        <v>1082</v>
      </c>
      <c r="E5776" s="8" t="s">
        <v>1008</v>
      </c>
      <c r="F5776" s="5" t="s">
        <v>1013</v>
      </c>
      <c r="G5776" s="6" t="str">
        <f>VLOOKUP(E5776,dicionario!$A$1:$C6175,2,0)</f>
        <v>Syntermes molestus</v>
      </c>
      <c r="H5776" s="6" t="str">
        <f>VLOOKUP(E5776,dicionario!$A$1:$C6175,3,0)</f>
        <v>cupim-bate-cabeça</v>
      </c>
    </row>
    <row r="5777">
      <c r="A5777" s="3">
        <v>45687.0</v>
      </c>
      <c r="B5777" s="4">
        <v>0.38333333333333336</v>
      </c>
      <c r="C5777" s="5" t="s">
        <v>85</v>
      </c>
      <c r="D5777" s="5" t="s">
        <v>1082</v>
      </c>
      <c r="E5777" s="8" t="s">
        <v>471</v>
      </c>
      <c r="F5777" s="5" t="s">
        <v>472</v>
      </c>
      <c r="G5777" s="6" t="str">
        <f>VLOOKUP(E5777,dicionario!$A$1:$C6176,2,0)</f>
        <v>Sida acuta</v>
      </c>
      <c r="H5777" s="6" t="str">
        <f>VLOOKUP(E5777,dicionario!$A$1:$C6176,3,0)</f>
        <v>reloginho</v>
      </c>
    </row>
    <row r="5778">
      <c r="A5778" s="3">
        <v>45687.0</v>
      </c>
      <c r="B5778" s="4">
        <v>0.3840277777777778</v>
      </c>
      <c r="C5778" s="5" t="s">
        <v>85</v>
      </c>
      <c r="D5778" s="5" t="s">
        <v>1082</v>
      </c>
      <c r="E5778" s="8" t="s">
        <v>1150</v>
      </c>
      <c r="F5778" s="5" t="s">
        <v>1151</v>
      </c>
      <c r="G5778" s="6" t="str">
        <f>VLOOKUP(E5778,dicionario!$A$1:$C6177,2,0)</f>
        <v>#N/A</v>
      </c>
      <c r="H5778" s="6" t="str">
        <f>VLOOKUP(E5778,dicionario!$A$1:$C6177,3,0)</f>
        <v>#N/A</v>
      </c>
    </row>
    <row r="5779">
      <c r="A5779" s="3">
        <v>45687.0</v>
      </c>
      <c r="B5779" s="4">
        <v>0.38472222222222224</v>
      </c>
      <c r="C5779" s="5" t="s">
        <v>85</v>
      </c>
      <c r="D5779" s="5" t="s">
        <v>1082</v>
      </c>
      <c r="E5779" s="8" t="s">
        <v>247</v>
      </c>
      <c r="F5779" s="5" t="s">
        <v>387</v>
      </c>
      <c r="G5779" s="6" t="str">
        <f>VLOOKUP(E5779,dicionario!$A$1:$C6178,2,0)</f>
        <v>Emilia sonchifolia</v>
      </c>
      <c r="H5779" s="6" t="str">
        <f>VLOOKUP(E5779,dicionario!$A$1:$C6178,3,0)</f>
        <v>serralinha</v>
      </c>
    </row>
    <row r="5780">
      <c r="A5780" s="3">
        <v>45687.0</v>
      </c>
      <c r="B5780" s="4">
        <v>0.3854166666666667</v>
      </c>
      <c r="C5780" s="5" t="s">
        <v>85</v>
      </c>
      <c r="D5780" s="5" t="s">
        <v>1082</v>
      </c>
      <c r="E5780" s="8" t="s">
        <v>467</v>
      </c>
      <c r="F5780" s="5" t="s">
        <v>468</v>
      </c>
      <c r="G5780" s="6" t="str">
        <f>VLOOKUP(E5780,dicionario!$A$1:$C6179,2,0)</f>
        <v>Eleusine indica</v>
      </c>
      <c r="H5780" s="6" t="str">
        <f>VLOOKUP(E5780,dicionario!$A$1:$C6179,3,0)</f>
        <v>capim-pé-de-galinha</v>
      </c>
    </row>
    <row r="5781">
      <c r="A5781" s="3">
        <v>45687.0</v>
      </c>
      <c r="B5781" s="4">
        <v>0.3854166666666667</v>
      </c>
      <c r="C5781" s="5" t="s">
        <v>85</v>
      </c>
      <c r="D5781" s="5" t="s">
        <v>1082</v>
      </c>
      <c r="E5781" s="8" t="s">
        <v>113</v>
      </c>
      <c r="F5781" s="5" t="s">
        <v>114</v>
      </c>
      <c r="G5781" s="6" t="str">
        <f>VLOOKUP(E5781,dicionario!$A$1:$C6180,2,0)</f>
        <v>Columbina talpacoti</v>
      </c>
      <c r="H5781" s="6" t="str">
        <f>VLOOKUP(E5781,dicionario!$A$1:$C6180,3,0)</f>
        <v>rolinha-roxa</v>
      </c>
    </row>
    <row r="5782">
      <c r="A5782" s="3">
        <v>45687.0</v>
      </c>
      <c r="B5782" s="4">
        <v>0.3861111111111111</v>
      </c>
      <c r="C5782" s="5" t="s">
        <v>85</v>
      </c>
      <c r="D5782" s="5" t="s">
        <v>1082</v>
      </c>
      <c r="E5782" s="8" t="s">
        <v>122</v>
      </c>
      <c r="F5782" s="7" t="s">
        <v>123</v>
      </c>
      <c r="G5782" s="6" t="str">
        <f>VLOOKUP(E5782,dicionario!$A$1:$C6181,2,0)</f>
        <v>Todirostrum cinereum</v>
      </c>
      <c r="H5782" s="6" t="str">
        <f>VLOOKUP(E5782,dicionario!$A$1:$C6181,3,0)</f>
        <v>ferreirinho-relógio</v>
      </c>
    </row>
    <row r="5783">
      <c r="A5783" s="3">
        <v>45687.0</v>
      </c>
      <c r="B5783" s="4">
        <v>0.3861111111111111</v>
      </c>
      <c r="C5783" s="5" t="s">
        <v>85</v>
      </c>
      <c r="D5783" s="5" t="s">
        <v>1082</v>
      </c>
      <c r="E5783" s="8" t="s">
        <v>14</v>
      </c>
      <c r="F5783" s="5" t="s">
        <v>15</v>
      </c>
      <c r="G5783" s="6" t="str">
        <f>VLOOKUP(E5783,dicionario!$A$1:$C6182,2,0)</f>
        <v>Spermacoce verticillata</v>
      </c>
      <c r="H5783" s="6" t="str">
        <f>VLOOKUP(E5783,dicionario!$A$1:$C6182,3,0)</f>
        <v>vassourinha-de-botão</v>
      </c>
    </row>
    <row r="5784">
      <c r="A5784" s="3">
        <v>45687.0</v>
      </c>
      <c r="B5784" s="4">
        <v>0.3861111111111111</v>
      </c>
      <c r="C5784" s="5" t="s">
        <v>85</v>
      </c>
      <c r="D5784" s="5" t="s">
        <v>1082</v>
      </c>
      <c r="E5784" s="8" t="s">
        <v>1087</v>
      </c>
      <c r="F5784" s="5" t="s">
        <v>1088</v>
      </c>
      <c r="G5784" s="6" t="str">
        <f>VLOOKUP(E5784,dicionario!$A$1:$C6183,2,0)</f>
        <v>Desmodium triflorum</v>
      </c>
      <c r="H5784" s="6" t="str">
        <f>VLOOKUP(E5784,dicionario!$A$1:$C6183,3,0)</f>
        <v/>
      </c>
    </row>
    <row r="5785">
      <c r="A5785" s="3">
        <v>45687.0</v>
      </c>
      <c r="B5785" s="4">
        <v>0.38680555555555557</v>
      </c>
      <c r="C5785" s="5" t="s">
        <v>85</v>
      </c>
      <c r="D5785" s="5" t="s">
        <v>1082</v>
      </c>
      <c r="E5785" s="8" t="s">
        <v>319</v>
      </c>
      <c r="F5785" s="5" t="s">
        <v>320</v>
      </c>
      <c r="G5785" s="6" t="str">
        <f>VLOOKUP(E5785,dicionario!$A$1:$C6184,2,0)</f>
        <v>Schinus terebinthifolia</v>
      </c>
      <c r="H5785" s="6" t="str">
        <f>VLOOKUP(E5785,dicionario!$A$1:$C6184,3,0)</f>
        <v>aroeira</v>
      </c>
    </row>
    <row r="5786">
      <c r="A5786" s="3">
        <v>45687.0</v>
      </c>
      <c r="B5786" s="4">
        <v>0.38680555555555557</v>
      </c>
      <c r="C5786" s="5" t="s">
        <v>85</v>
      </c>
      <c r="D5786" s="5" t="s">
        <v>1082</v>
      </c>
      <c r="E5786" s="8" t="s">
        <v>385</v>
      </c>
      <c r="F5786" s="5" t="s">
        <v>386</v>
      </c>
      <c r="G5786" s="6" t="str">
        <f>VLOOKUP(E5786,dicionario!$A$1:$C6185,2,0)</f>
        <v>Psidium guajava</v>
      </c>
      <c r="H5786" s="6" t="str">
        <f>VLOOKUP(E5786,dicionario!$A$1:$C6185,3,0)</f>
        <v>goiaba</v>
      </c>
    </row>
    <row r="5787">
      <c r="A5787" s="3">
        <v>45687.0</v>
      </c>
      <c r="B5787" s="4">
        <v>0.38680555555555557</v>
      </c>
      <c r="C5787" s="5" t="s">
        <v>85</v>
      </c>
      <c r="D5787" s="5" t="s">
        <v>1082</v>
      </c>
      <c r="E5787" s="8" t="s">
        <v>132</v>
      </c>
      <c r="F5787" s="5" t="s">
        <v>133</v>
      </c>
      <c r="G5787" s="6" t="str">
        <f>VLOOKUP(E5787,dicionario!$A$1:$C6186,2,0)</f>
        <v>Euphonia chlorotica</v>
      </c>
      <c r="H5787" s="6" t="str">
        <f>VLOOKUP(E5787,dicionario!$A$1:$C6186,3,0)</f>
        <v>fim-fim</v>
      </c>
    </row>
    <row r="5788">
      <c r="A5788" s="3">
        <v>45687.0</v>
      </c>
      <c r="B5788" s="4">
        <v>0.38680555555555557</v>
      </c>
      <c r="C5788" s="5" t="s">
        <v>85</v>
      </c>
      <c r="D5788" s="5" t="s">
        <v>1082</v>
      </c>
      <c r="E5788" s="8" t="s">
        <v>41</v>
      </c>
      <c r="F5788" s="5" t="s">
        <v>45</v>
      </c>
      <c r="G5788" s="6" t="str">
        <f>VLOOKUP(E5788,dicionario!$A$1:$C6187,2,0)</f>
        <v>Mimosa pudica</v>
      </c>
      <c r="H5788" s="6" t="str">
        <f>VLOOKUP(E5788,dicionario!$A$1:$C6187,3,0)</f>
        <v>dormideira</v>
      </c>
    </row>
    <row r="5789">
      <c r="A5789" s="3">
        <v>45687.0</v>
      </c>
      <c r="B5789" s="4">
        <v>0.3875</v>
      </c>
      <c r="C5789" s="5" t="s">
        <v>85</v>
      </c>
      <c r="D5789" s="5" t="s">
        <v>1082</v>
      </c>
      <c r="E5789" s="8" t="s">
        <v>517</v>
      </c>
      <c r="F5789" s="7" t="s">
        <v>518</v>
      </c>
      <c r="G5789" s="6" t="str">
        <f>VLOOKUP(E5789,dicionario!$A$1:$C6188,2,0)</f>
        <v>Evolvulus nummularius</v>
      </c>
      <c r="H5789" s="6" t="str">
        <f>VLOOKUP(E5789,dicionario!$A$1:$C6188,3,0)</f>
        <v/>
      </c>
    </row>
    <row r="5790">
      <c r="A5790" s="3">
        <v>45687.0</v>
      </c>
      <c r="B5790" s="4">
        <v>0.3875</v>
      </c>
      <c r="C5790" s="5" t="s">
        <v>85</v>
      </c>
      <c r="D5790" s="5" t="s">
        <v>1082</v>
      </c>
      <c r="E5790" s="8" t="s">
        <v>399</v>
      </c>
      <c r="F5790" s="5" t="s">
        <v>400</v>
      </c>
      <c r="G5790" s="6" t="str">
        <f>VLOOKUP(E5790,dicionario!$A$1:$C6189,2,0)</f>
        <v>Varronia curassavica</v>
      </c>
      <c r="H5790" s="6" t="str">
        <f>VLOOKUP(E5790,dicionario!$A$1:$C6189,3,0)</f>
        <v>erva-baleeira</v>
      </c>
    </row>
    <row r="5791">
      <c r="A5791" s="3">
        <v>45687.0</v>
      </c>
      <c r="B5791" s="4">
        <v>0.3875</v>
      </c>
      <c r="C5791" s="5" t="s">
        <v>85</v>
      </c>
      <c r="D5791" s="5" t="s">
        <v>1082</v>
      </c>
      <c r="E5791" s="8" t="s">
        <v>425</v>
      </c>
      <c r="F5791" s="5" t="s">
        <v>426</v>
      </c>
      <c r="G5791" s="6" t="str">
        <f>VLOOKUP(E5791,dicionario!$A$1:$C6190,2,0)</f>
        <v>Digitaria insularis</v>
      </c>
      <c r="H5791" s="6" t="str">
        <f>VLOOKUP(E5791,dicionario!$A$1:$C6190,3,0)</f>
        <v>capim-amargoso</v>
      </c>
    </row>
    <row r="5792">
      <c r="A5792" s="3">
        <v>45687.0</v>
      </c>
      <c r="B5792" s="4">
        <v>0.3875</v>
      </c>
      <c r="C5792" s="5" t="s">
        <v>85</v>
      </c>
      <c r="D5792" s="5" t="s">
        <v>1082</v>
      </c>
      <c r="E5792" s="8" t="s">
        <v>253</v>
      </c>
      <c r="F5792" s="5" t="s">
        <v>254</v>
      </c>
      <c r="G5792" s="6" t="str">
        <f>VLOOKUP(E5792,dicionario!$A$1:$C6191,2,0)</f>
        <v>Panicum maximum</v>
      </c>
      <c r="H5792" s="6" t="str">
        <f>VLOOKUP(E5792,dicionario!$A$1:$C6191,3,0)</f>
        <v>capim-colonião</v>
      </c>
    </row>
    <row r="5793">
      <c r="A5793" s="3">
        <v>45687.0</v>
      </c>
      <c r="B5793" s="4">
        <v>0.38819444444444445</v>
      </c>
      <c r="C5793" s="5" t="s">
        <v>85</v>
      </c>
      <c r="D5793" s="5" t="s">
        <v>1082</v>
      </c>
      <c r="E5793" s="8" t="s">
        <v>243</v>
      </c>
      <c r="F5793" s="5" t="s">
        <v>244</v>
      </c>
      <c r="G5793" s="6" t="str">
        <f>VLOOKUP(E5793,dicionario!$A$1:$C6192,2,0)</f>
        <v>Macroptilium atropurpureum</v>
      </c>
      <c r="H5793" s="6" t="str">
        <f>VLOOKUP(E5793,dicionario!$A$1:$C6192,3,0)</f>
        <v>feijão-de-pombo</v>
      </c>
    </row>
    <row r="5794">
      <c r="A5794" s="3">
        <v>45687.0</v>
      </c>
      <c r="B5794" s="4">
        <v>0.38819444444444445</v>
      </c>
      <c r="C5794" s="5" t="s">
        <v>85</v>
      </c>
      <c r="D5794" s="5" t="s">
        <v>1082</v>
      </c>
      <c r="E5794" s="8" t="s">
        <v>53</v>
      </c>
      <c r="F5794" s="7" t="s">
        <v>54</v>
      </c>
      <c r="G5794" s="6" t="str">
        <f>VLOOKUP(E5794,dicionario!$A$1:$C6193,2,0)</f>
        <v>Turnera subulata</v>
      </c>
      <c r="H5794" s="6" t="str">
        <f>VLOOKUP(E5794,dicionario!$A$1:$C6193,3,0)</f>
        <v>xanana</v>
      </c>
    </row>
    <row r="5795">
      <c r="A5795" s="3">
        <v>45687.0</v>
      </c>
      <c r="B5795" s="4">
        <v>0.38819444444444445</v>
      </c>
      <c r="C5795" s="5" t="s">
        <v>85</v>
      </c>
      <c r="D5795" s="5" t="s">
        <v>1082</v>
      </c>
      <c r="E5795" s="8" t="s">
        <v>483</v>
      </c>
      <c r="F5795" s="5" t="s">
        <v>484</v>
      </c>
      <c r="G5795" s="6" t="str">
        <f>VLOOKUP(E5795,dicionario!$A$1:$C6194,2,0)</f>
        <v>Euphorbia prostrata</v>
      </c>
      <c r="H5795" s="6" t="str">
        <f>VLOOKUP(E5795,dicionario!$A$1:$C6194,3,0)</f>
        <v>quebra-pedra-rasteira</v>
      </c>
    </row>
    <row r="5796">
      <c r="A5796" s="3">
        <v>45687.0</v>
      </c>
      <c r="B5796" s="4">
        <v>0.38819444444444445</v>
      </c>
      <c r="C5796" s="5" t="s">
        <v>85</v>
      </c>
      <c r="D5796" s="5" t="s">
        <v>1082</v>
      </c>
      <c r="E5796" s="8" t="s">
        <v>611</v>
      </c>
      <c r="F5796" s="5" t="s">
        <v>612</v>
      </c>
      <c r="G5796" s="6" t="str">
        <f>VLOOKUP(E5796,dicionario!$A$1:$C6195,2,0)</f>
        <v>Boehmeria cylindrica</v>
      </c>
      <c r="H5796" s="6" t="str">
        <f>VLOOKUP(E5796,dicionario!$A$1:$C6195,3,0)</f>
        <v>falsa-urtiga</v>
      </c>
    </row>
    <row r="5797">
      <c r="A5797" s="3">
        <v>45687.0</v>
      </c>
      <c r="B5797" s="4">
        <v>0.3888888888888889</v>
      </c>
      <c r="C5797" s="5" t="s">
        <v>85</v>
      </c>
      <c r="D5797" s="5" t="s">
        <v>1082</v>
      </c>
      <c r="E5797" s="8" t="s">
        <v>258</v>
      </c>
      <c r="F5797" s="5" t="s">
        <v>259</v>
      </c>
      <c r="G5797" s="6" t="str">
        <f>VLOOKUP(E5797,dicionario!$A$1:$C6196,2,0)</f>
        <v>Lantana camara</v>
      </c>
      <c r="H5797" s="6" t="str">
        <f>VLOOKUP(E5797,dicionario!$A$1:$C6196,3,0)</f>
        <v>lantana</v>
      </c>
    </row>
    <row r="5798">
      <c r="A5798" s="3">
        <v>45687.0</v>
      </c>
      <c r="B5798" s="4">
        <v>0.3902777777777778</v>
      </c>
      <c r="C5798" s="5" t="s">
        <v>90</v>
      </c>
      <c r="D5798" s="5" t="s">
        <v>1082</v>
      </c>
      <c r="E5798" s="8" t="s">
        <v>83</v>
      </c>
      <c r="F5798" s="5" t="s">
        <v>84</v>
      </c>
      <c r="G5798" s="6" t="str">
        <f>VLOOKUP(E5798,dicionario!$A$1:$C6197,2,0)</f>
        <v>Anartia jatrophae</v>
      </c>
      <c r="H5798" s="6" t="str">
        <f>VLOOKUP(E5798,dicionario!$A$1:$C6197,3,0)</f>
        <v>borboleta-pavão-branco</v>
      </c>
    </row>
    <row r="5799">
      <c r="A5799" s="3">
        <v>45687.0</v>
      </c>
      <c r="B5799" s="4">
        <v>0.3902777777777778</v>
      </c>
      <c r="C5799" s="5" t="s">
        <v>90</v>
      </c>
      <c r="D5799" s="5" t="s">
        <v>1082</v>
      </c>
      <c r="E5799" s="8" t="s">
        <v>53</v>
      </c>
      <c r="F5799" s="7" t="s">
        <v>54</v>
      </c>
      <c r="G5799" s="6" t="str">
        <f>VLOOKUP(E5799,dicionario!$A$1:$C6198,2,0)</f>
        <v>Turnera subulata</v>
      </c>
      <c r="H5799" s="6" t="str">
        <f>VLOOKUP(E5799,dicionario!$A$1:$C6198,3,0)</f>
        <v>xanana</v>
      </c>
    </row>
    <row r="5800">
      <c r="A5800" s="3">
        <v>45687.0</v>
      </c>
      <c r="B5800" s="4">
        <v>0.3909722222222222</v>
      </c>
      <c r="C5800" s="5" t="s">
        <v>90</v>
      </c>
      <c r="D5800" s="5" t="s">
        <v>1082</v>
      </c>
      <c r="E5800" s="8" t="s">
        <v>581</v>
      </c>
      <c r="F5800" s="5" t="s">
        <v>582</v>
      </c>
      <c r="G5800" s="6" t="str">
        <f>VLOOKUP(E5800,dicionario!$A$1:$C6199,2,0)</f>
        <v>Phoebis marcellina</v>
      </c>
      <c r="H5800" s="6" t="str">
        <f>VLOOKUP(E5800,dicionario!$A$1:$C6199,3,0)</f>
        <v>borboleta-gema</v>
      </c>
    </row>
    <row r="5801">
      <c r="A5801" s="3">
        <v>45687.0</v>
      </c>
      <c r="B5801" s="4">
        <v>0.3909722222222222</v>
      </c>
      <c r="C5801" s="5" t="s">
        <v>90</v>
      </c>
      <c r="D5801" s="5" t="s">
        <v>1082</v>
      </c>
      <c r="E5801" s="8" t="s">
        <v>99</v>
      </c>
      <c r="F5801" s="5" t="s">
        <v>508</v>
      </c>
      <c r="G5801" s="6" t="str">
        <f>VLOOKUP(E5801,dicionario!$A$1:$C6200,2,0)</f>
        <v>Molothrus bonariensis</v>
      </c>
      <c r="H5801" s="6" t="str">
        <f>VLOOKUP(E5801,dicionario!$A$1:$C6200,3,0)</f>
        <v>chupim</v>
      </c>
    </row>
    <row r="5802">
      <c r="A5802" s="3">
        <v>45687.0</v>
      </c>
      <c r="B5802" s="4">
        <v>0.3909722222222222</v>
      </c>
      <c r="C5802" s="5" t="s">
        <v>90</v>
      </c>
      <c r="D5802" s="5" t="s">
        <v>1082</v>
      </c>
      <c r="E5802" s="8" t="s">
        <v>109</v>
      </c>
      <c r="F5802" s="5" t="s">
        <v>110</v>
      </c>
      <c r="G5802" s="6" t="str">
        <f>VLOOKUP(E5802,dicionario!$A$1:$C6201,2,0)</f>
        <v>Tillandsia stricta</v>
      </c>
      <c r="H5802" s="6" t="str">
        <f>VLOOKUP(E5802,dicionario!$A$1:$C6201,3,0)</f>
        <v>cravo-do-mato</v>
      </c>
    </row>
    <row r="5803">
      <c r="A5803" s="3">
        <v>45687.0</v>
      </c>
      <c r="B5803" s="4">
        <v>0.39166666666666666</v>
      </c>
      <c r="C5803" s="5" t="s">
        <v>90</v>
      </c>
      <c r="D5803" s="5" t="s">
        <v>1082</v>
      </c>
      <c r="E5803" s="8" t="s">
        <v>302</v>
      </c>
      <c r="F5803" s="5" t="s">
        <v>89</v>
      </c>
      <c r="G5803" s="6" t="str">
        <f>VLOOKUP(E5803,dicionario!$A$1:$C6202,2,0)</f>
        <v>Machetornis rixosa</v>
      </c>
      <c r="H5803" s="6" t="str">
        <f>VLOOKUP(E5803,dicionario!$A$1:$C6202,3,0)</f>
        <v>suiriri-cavaleiro</v>
      </c>
    </row>
    <row r="5804">
      <c r="A5804" s="3">
        <v>45687.0</v>
      </c>
      <c r="B5804" s="4">
        <v>0.39166666666666666</v>
      </c>
      <c r="C5804" s="5" t="s">
        <v>90</v>
      </c>
      <c r="D5804" s="5" t="s">
        <v>1082</v>
      </c>
      <c r="E5804" s="8" t="s">
        <v>20</v>
      </c>
      <c r="F5804" s="7" t="s">
        <v>21</v>
      </c>
      <c r="G5804" s="6" t="str">
        <f>VLOOKUP(E5804,dicionario!$A$1:$C6203,2,0)</f>
        <v>Sicalis flaveola</v>
      </c>
      <c r="H5804" s="6" t="str">
        <f>VLOOKUP(E5804,dicionario!$A$1:$C6203,3,0)</f>
        <v>canário-da-terra</v>
      </c>
    </row>
    <row r="5805">
      <c r="A5805" s="3">
        <v>45687.0</v>
      </c>
      <c r="B5805" s="4">
        <v>0.39166666666666666</v>
      </c>
      <c r="C5805" s="5" t="s">
        <v>90</v>
      </c>
      <c r="D5805" s="5" t="s">
        <v>1082</v>
      </c>
      <c r="E5805" s="8" t="s">
        <v>1152</v>
      </c>
      <c r="F5805" s="5" t="s">
        <v>1153</v>
      </c>
      <c r="G5805" s="6" t="str">
        <f>VLOOKUP(E5805,dicionario!$A$1:$C6204,2,0)</f>
        <v>#N/A</v>
      </c>
      <c r="H5805" s="6" t="str">
        <f>VLOOKUP(E5805,dicionario!$A$1:$C6204,3,0)</f>
        <v>#N/A</v>
      </c>
    </row>
    <row r="5806">
      <c r="A5806" s="3">
        <v>45687.0</v>
      </c>
      <c r="B5806" s="4">
        <v>0.39305555555555555</v>
      </c>
      <c r="C5806" s="5" t="s">
        <v>90</v>
      </c>
      <c r="D5806" s="5" t="s">
        <v>1082</v>
      </c>
      <c r="E5806" s="8" t="s">
        <v>173</v>
      </c>
      <c r="F5806" s="5" t="s">
        <v>336</v>
      </c>
      <c r="G5806" s="6" t="str">
        <f>VLOOKUP(E5806,dicionario!$A$1:$C6205,2,0)</f>
        <v>Junonia evarete</v>
      </c>
      <c r="H5806" s="6" t="str">
        <f>VLOOKUP(E5806,dicionario!$A$1:$C6205,3,0)</f>
        <v>borboleta-olho-de-pavão-diúrno</v>
      </c>
    </row>
    <row r="5807">
      <c r="A5807" s="3">
        <v>45687.0</v>
      </c>
      <c r="B5807" s="4">
        <v>0.39375</v>
      </c>
      <c r="C5807" s="5" t="s">
        <v>90</v>
      </c>
      <c r="D5807" s="5" t="s">
        <v>1082</v>
      </c>
      <c r="E5807" s="8" t="s">
        <v>65</v>
      </c>
      <c r="F5807" s="5" t="s">
        <v>66</v>
      </c>
      <c r="G5807" s="6" t="str">
        <f>VLOOKUP(E5807,dicionario!$A$1:$C6206,2,0)</f>
        <v>Pitangus sulphutarus</v>
      </c>
      <c r="H5807" s="6" t="str">
        <f>VLOOKUP(E5807,dicionario!$A$1:$C6206,3,0)</f>
        <v>bem-te-vi</v>
      </c>
    </row>
    <row r="5808">
      <c r="A5808" s="3">
        <v>45687.0</v>
      </c>
      <c r="B5808" s="4">
        <v>0.39444444444444443</v>
      </c>
      <c r="C5808" s="5" t="s">
        <v>90</v>
      </c>
      <c r="D5808" s="5" t="s">
        <v>1082</v>
      </c>
      <c r="E5808" s="8" t="s">
        <v>163</v>
      </c>
      <c r="F5808" s="5" t="s">
        <v>164</v>
      </c>
      <c r="G5808" s="6" t="str">
        <f>VLOOKUP(E5808,dicionario!$A$1:$C6207,2,0)</f>
        <v>Coragyps atratus</v>
      </c>
      <c r="H5808" s="6" t="str">
        <f>VLOOKUP(E5808,dicionario!$A$1:$C6207,3,0)</f>
        <v>urubu-de-cabeça-preta</v>
      </c>
    </row>
    <row r="5809">
      <c r="A5809" s="3">
        <v>45687.0</v>
      </c>
      <c r="B5809" s="4">
        <v>0.39652777777777776</v>
      </c>
      <c r="C5809" s="5" t="s">
        <v>90</v>
      </c>
      <c r="D5809" s="5" t="s">
        <v>1082</v>
      </c>
      <c r="E5809" s="8" t="s">
        <v>378</v>
      </c>
      <c r="F5809" s="5" t="s">
        <v>205</v>
      </c>
      <c r="G5809" s="6" t="str">
        <f>VLOOKUP(E5809,dicionario!$A$1:$C6208,2,0)</f>
        <v>Polistes</v>
      </c>
      <c r="H5809" s="6" t="str">
        <f>VLOOKUP(E5809,dicionario!$A$1:$C6208,3,0)</f>
        <v>marimbondo</v>
      </c>
    </row>
    <row r="5810">
      <c r="A5810" s="3">
        <v>45687.0</v>
      </c>
      <c r="B5810" s="4">
        <v>0.39861111111111114</v>
      </c>
      <c r="C5810" s="5" t="s">
        <v>90</v>
      </c>
      <c r="D5810" s="5" t="s">
        <v>1082</v>
      </c>
      <c r="E5810" s="8" t="s">
        <v>372</v>
      </c>
      <c r="F5810" s="5" t="s">
        <v>373</v>
      </c>
      <c r="G5810" s="6" t="str">
        <f>VLOOKUP(E5810,dicionario!$A$1:$C6209,2,0)</f>
        <v>Rupornis magnirostris</v>
      </c>
      <c r="H5810" s="6" t="str">
        <f>VLOOKUP(E5810,dicionario!$A$1:$C6209,3,0)</f>
        <v>gavião-carijó</v>
      </c>
    </row>
    <row r="5811">
      <c r="A5811" s="3">
        <v>45687.0</v>
      </c>
      <c r="B5811" s="4">
        <v>0.3993055555555556</v>
      </c>
      <c r="C5811" s="5" t="s">
        <v>90</v>
      </c>
      <c r="D5811" s="5" t="s">
        <v>1082</v>
      </c>
      <c r="E5811" s="8" t="s">
        <v>113</v>
      </c>
      <c r="F5811" s="5" t="s">
        <v>114</v>
      </c>
      <c r="G5811" s="6" t="str">
        <f>VLOOKUP(E5811,dicionario!$A$1:$C6210,2,0)</f>
        <v>Columbina talpacoti</v>
      </c>
      <c r="H5811" s="6" t="str">
        <f>VLOOKUP(E5811,dicionario!$A$1:$C6210,3,0)</f>
        <v>rolinha-roxa</v>
      </c>
    </row>
    <row r="5812">
      <c r="A5812" s="3">
        <v>45687.0</v>
      </c>
      <c r="B5812" s="4">
        <v>0.3993055555555556</v>
      </c>
      <c r="C5812" s="5" t="s">
        <v>90</v>
      </c>
      <c r="D5812" s="5" t="s">
        <v>1082</v>
      </c>
      <c r="E5812" s="8" t="s">
        <v>215</v>
      </c>
      <c r="F5812" s="7" t="s">
        <v>216</v>
      </c>
      <c r="G5812" s="6" t="str">
        <f>VLOOKUP(E5812,dicionario!$A$1:$C6211,2,0)</f>
        <v>Pygochelidon cyanoleuca</v>
      </c>
      <c r="H5812" s="6" t="str">
        <f>VLOOKUP(E5812,dicionario!$A$1:$C6211,3,0)</f>
        <v>andorinha-pequena-de-casa</v>
      </c>
    </row>
    <row r="5813">
      <c r="A5813" s="3">
        <v>45687.0</v>
      </c>
      <c r="B5813" s="4">
        <v>0.4</v>
      </c>
      <c r="C5813" s="5" t="s">
        <v>90</v>
      </c>
      <c r="D5813" s="5" t="s">
        <v>1082</v>
      </c>
      <c r="E5813" s="8" t="s">
        <v>206</v>
      </c>
      <c r="F5813" s="5" t="s">
        <v>968</v>
      </c>
      <c r="G5813" s="6" t="str">
        <f>VLOOKUP(E5813,dicionario!$A$1:$C6212,2,0)</f>
        <v>Falco sparverius</v>
      </c>
      <c r="H5813" s="6" t="str">
        <f>VLOOKUP(E5813,dicionario!$A$1:$C6212,3,0)</f>
        <v>quiriquiri</v>
      </c>
    </row>
    <row r="5814">
      <c r="A5814" s="3">
        <v>45687.0</v>
      </c>
      <c r="B5814" s="4">
        <v>0.4</v>
      </c>
      <c r="C5814" s="5" t="s">
        <v>90</v>
      </c>
      <c r="D5814" s="5" t="s">
        <v>1082</v>
      </c>
      <c r="E5814" s="8" t="s">
        <v>132</v>
      </c>
      <c r="F5814" s="5" t="s">
        <v>133</v>
      </c>
      <c r="G5814" s="6" t="str">
        <f>VLOOKUP(E5814,dicionario!$A$1:$C6213,2,0)</f>
        <v>Euphonia chlorotica</v>
      </c>
      <c r="H5814" s="6" t="str">
        <f>VLOOKUP(E5814,dicionario!$A$1:$C6213,3,0)</f>
        <v>fim-fim</v>
      </c>
    </row>
    <row r="5815">
      <c r="A5815" s="3">
        <v>45694.0</v>
      </c>
      <c r="B5815" s="4">
        <v>0.2569444444444444</v>
      </c>
      <c r="C5815" s="5" t="s">
        <v>90</v>
      </c>
      <c r="D5815" s="5" t="s">
        <v>1082</v>
      </c>
      <c r="E5815" s="8" t="s">
        <v>175</v>
      </c>
      <c r="F5815" s="5" t="s">
        <v>176</v>
      </c>
      <c r="G5815" s="6" t="str">
        <f>VLOOKUP(E5815,dicionario!$A$1:$C6214,2,0)</f>
        <v>Turdus leucomelas</v>
      </c>
      <c r="H5815" s="6" t="str">
        <f>VLOOKUP(E5815,dicionario!$A$1:$C6214,3,0)</f>
        <v>sabiá-barranco</v>
      </c>
    </row>
    <row r="5816">
      <c r="A5816" s="3">
        <v>45694.0</v>
      </c>
      <c r="B5816" s="4">
        <v>0.2569444444444444</v>
      </c>
      <c r="C5816" s="5" t="s">
        <v>90</v>
      </c>
      <c r="D5816" s="5" t="s">
        <v>1082</v>
      </c>
      <c r="E5816" s="8" t="s">
        <v>16</v>
      </c>
      <c r="F5816" s="5" t="s">
        <v>17</v>
      </c>
      <c r="G5816" s="6" t="str">
        <f>VLOOKUP(E5816,dicionario!$A$1:$C6215,2,0)</f>
        <v>Eupetomena macroura</v>
      </c>
      <c r="H5816" s="6" t="str">
        <f>VLOOKUP(E5816,dicionario!$A$1:$C6215,3,0)</f>
        <v>beija-flor-tesoura</v>
      </c>
    </row>
    <row r="5817">
      <c r="A5817" s="3">
        <v>45694.0</v>
      </c>
      <c r="B5817" s="4">
        <v>0.2569444444444444</v>
      </c>
      <c r="C5817" s="5" t="s">
        <v>90</v>
      </c>
      <c r="D5817" s="5" t="s">
        <v>1082</v>
      </c>
      <c r="E5817" s="8" t="s">
        <v>20</v>
      </c>
      <c r="F5817" s="7" t="s">
        <v>21</v>
      </c>
      <c r="G5817" s="6" t="str">
        <f>VLOOKUP(E5817,dicionario!$A$1:$C6216,2,0)</f>
        <v>Sicalis flaveola</v>
      </c>
      <c r="H5817" s="6" t="str">
        <f>VLOOKUP(E5817,dicionario!$A$1:$C6216,3,0)</f>
        <v>canário-da-terra</v>
      </c>
    </row>
    <row r="5818">
      <c r="A5818" s="3">
        <v>45694.0</v>
      </c>
      <c r="B5818" s="4">
        <v>0.25763888888888886</v>
      </c>
      <c r="C5818" s="5" t="s">
        <v>90</v>
      </c>
      <c r="D5818" s="5" t="s">
        <v>1082</v>
      </c>
      <c r="E5818" s="8" t="s">
        <v>177</v>
      </c>
      <c r="F5818" s="5" t="s">
        <v>607</v>
      </c>
      <c r="G5818" s="6" t="str">
        <f>VLOOKUP(E5818,dicionario!$A$1:$C6217,2,0)</f>
        <v>Elaenia flavogaster</v>
      </c>
      <c r="H5818" s="6" t="str">
        <f>VLOOKUP(E5818,dicionario!$A$1:$C6217,3,0)</f>
        <v>guaracava-de-barriga-amarela</v>
      </c>
    </row>
    <row r="5819">
      <c r="A5819" s="3">
        <v>45694.0</v>
      </c>
      <c r="B5819" s="4">
        <v>0.25763888888888886</v>
      </c>
      <c r="C5819" s="5" t="s">
        <v>90</v>
      </c>
      <c r="D5819" s="5" t="s">
        <v>1082</v>
      </c>
      <c r="E5819" s="8" t="s">
        <v>65</v>
      </c>
      <c r="F5819" s="5" t="s">
        <v>66</v>
      </c>
      <c r="G5819" s="6" t="str">
        <f>VLOOKUP(E5819,dicionario!$A$1:$C6218,2,0)</f>
        <v>Pitangus sulphutarus</v>
      </c>
      <c r="H5819" s="6" t="str">
        <f>VLOOKUP(E5819,dicionario!$A$1:$C6218,3,0)</f>
        <v>bem-te-vi</v>
      </c>
    </row>
    <row r="5820">
      <c r="A5820" s="3">
        <v>45694.0</v>
      </c>
      <c r="B5820" s="4">
        <v>0.25763888888888886</v>
      </c>
      <c r="C5820" s="5" t="s">
        <v>90</v>
      </c>
      <c r="D5820" s="5" t="s">
        <v>1082</v>
      </c>
      <c r="E5820" s="8" t="s">
        <v>302</v>
      </c>
      <c r="F5820" s="5" t="s">
        <v>89</v>
      </c>
      <c r="G5820" s="6" t="str">
        <f>VLOOKUP(E5820,dicionario!$A$1:$C6219,2,0)</f>
        <v>Machetornis rixosa</v>
      </c>
      <c r="H5820" s="6" t="str">
        <f>VLOOKUP(E5820,dicionario!$A$1:$C6219,3,0)</f>
        <v>suiriri-cavaleiro</v>
      </c>
    </row>
    <row r="5821">
      <c r="A5821" s="3">
        <v>45694.0</v>
      </c>
      <c r="B5821" s="4">
        <v>0.25833333333333336</v>
      </c>
      <c r="C5821" s="5" t="s">
        <v>90</v>
      </c>
      <c r="D5821" s="5" t="s">
        <v>1082</v>
      </c>
      <c r="E5821" s="8" t="s">
        <v>113</v>
      </c>
      <c r="F5821" s="5" t="s">
        <v>114</v>
      </c>
      <c r="G5821" s="6" t="str">
        <f>VLOOKUP(E5821,dicionario!$A$1:$C6220,2,0)</f>
        <v>Columbina talpacoti</v>
      </c>
      <c r="H5821" s="6" t="str">
        <f>VLOOKUP(E5821,dicionario!$A$1:$C6220,3,0)</f>
        <v>rolinha-roxa</v>
      </c>
    </row>
    <row r="5822">
      <c r="A5822" s="3">
        <v>45694.0</v>
      </c>
      <c r="B5822" s="4">
        <v>0.25833333333333336</v>
      </c>
      <c r="C5822" s="5" t="s">
        <v>90</v>
      </c>
      <c r="D5822" s="5" t="s">
        <v>1082</v>
      </c>
      <c r="E5822" s="8" t="s">
        <v>467</v>
      </c>
      <c r="F5822" s="5" t="s">
        <v>468</v>
      </c>
      <c r="G5822" s="6" t="str">
        <f>VLOOKUP(E5822,dicionario!$A$1:$C6221,2,0)</f>
        <v>Eleusine indica</v>
      </c>
      <c r="H5822" s="6" t="str">
        <f>VLOOKUP(E5822,dicionario!$A$1:$C6221,3,0)</f>
        <v>capim-pé-de-galinha</v>
      </c>
    </row>
    <row r="5823">
      <c r="A5823" s="3">
        <v>45694.0</v>
      </c>
      <c r="B5823" s="4">
        <v>0.25833333333333336</v>
      </c>
      <c r="C5823" s="5" t="s">
        <v>90</v>
      </c>
      <c r="D5823" s="5" t="s">
        <v>1082</v>
      </c>
      <c r="E5823" s="8" t="s">
        <v>41</v>
      </c>
      <c r="F5823" s="5" t="s">
        <v>45</v>
      </c>
      <c r="G5823" s="6" t="str">
        <f>VLOOKUP(E5823,dicionario!$A$1:$C6222,2,0)</f>
        <v>Mimosa pudica</v>
      </c>
      <c r="H5823" s="6" t="str">
        <f>VLOOKUP(E5823,dicionario!$A$1:$C6222,3,0)</f>
        <v>dormideira</v>
      </c>
    </row>
    <row r="5824">
      <c r="A5824" s="3">
        <v>45694.0</v>
      </c>
      <c r="B5824" s="4">
        <v>0.25833333333333336</v>
      </c>
      <c r="C5824" s="5" t="s">
        <v>90</v>
      </c>
      <c r="D5824" s="5" t="s">
        <v>1082</v>
      </c>
      <c r="E5824" s="20" t="s">
        <v>676</v>
      </c>
      <c r="F5824" s="7" t="s">
        <v>677</v>
      </c>
      <c r="G5824" s="6" t="str">
        <f>VLOOKUP(E5824,dicionario!$A$1:$C6223,2,0)</f>
        <v>Zornia latifolia</v>
      </c>
      <c r="H5824" s="6" t="str">
        <f>VLOOKUP(E5824,dicionario!$A$1:$C6223,3,0)</f>
        <v>arrozinho-do-campo</v>
      </c>
    </row>
    <row r="5825">
      <c r="A5825" s="3">
        <v>45694.0</v>
      </c>
      <c r="B5825" s="4">
        <v>0.2590277777777778</v>
      </c>
      <c r="C5825" s="5" t="s">
        <v>90</v>
      </c>
      <c r="D5825" s="5" t="s">
        <v>1082</v>
      </c>
      <c r="E5825" s="8" t="s">
        <v>253</v>
      </c>
      <c r="F5825" s="5" t="s">
        <v>254</v>
      </c>
      <c r="G5825" s="6" t="str">
        <f>VLOOKUP(E5825,dicionario!$A$1:$C6224,2,0)</f>
        <v>Panicum maximum</v>
      </c>
      <c r="H5825" s="6" t="str">
        <f>VLOOKUP(E5825,dicionario!$A$1:$C6224,3,0)</f>
        <v>capim-colonião</v>
      </c>
    </row>
    <row r="5826">
      <c r="A5826" s="3">
        <v>45694.0</v>
      </c>
      <c r="B5826" s="4">
        <v>0.2590277777777778</v>
      </c>
      <c r="C5826" s="5" t="s">
        <v>90</v>
      </c>
      <c r="D5826" s="5" t="s">
        <v>1082</v>
      </c>
      <c r="E5826" s="8" t="s">
        <v>290</v>
      </c>
      <c r="F5826" s="5" t="s">
        <v>291</v>
      </c>
      <c r="G5826" s="6" t="str">
        <f>VLOOKUP(E5826,dicionario!$A$1:$C6225,2,0)</f>
        <v>Drymaria cordata</v>
      </c>
      <c r="H5826" s="6" t="str">
        <f>VLOOKUP(E5826,dicionario!$A$1:$C6225,3,0)</f>
        <v>orelha-de-rato</v>
      </c>
    </row>
    <row r="5827">
      <c r="A5827" s="3">
        <v>45694.0</v>
      </c>
      <c r="B5827" s="4">
        <v>0.2590277777777778</v>
      </c>
      <c r="C5827" s="5" t="s">
        <v>90</v>
      </c>
      <c r="D5827" s="5" t="s">
        <v>1082</v>
      </c>
      <c r="E5827" s="8" t="s">
        <v>46</v>
      </c>
      <c r="F5827" s="5" t="s">
        <v>47</v>
      </c>
      <c r="G5827" s="6" t="str">
        <f>VLOOKUP(E5827,dicionario!$A$1:$C6226,2,0)</f>
        <v>Chionomesa fimbriata</v>
      </c>
      <c r="H5827" s="6" t="str">
        <f>VLOOKUP(E5827,dicionario!$A$1:$C6226,3,0)</f>
        <v>beija-flor-de-garganta-verde</v>
      </c>
    </row>
    <row r="5828">
      <c r="A5828" s="3">
        <v>45694.0</v>
      </c>
      <c r="B5828" s="4">
        <v>0.25972222222222224</v>
      </c>
      <c r="C5828" s="5" t="s">
        <v>90</v>
      </c>
      <c r="D5828" s="5" t="s">
        <v>1082</v>
      </c>
      <c r="E5828" s="8" t="s">
        <v>111</v>
      </c>
      <c r="F5828" s="7" t="s">
        <v>112</v>
      </c>
      <c r="G5828" s="6" t="str">
        <f>VLOOKUP(E5828,dicionario!$A$1:$C6227,2,0)</f>
        <v>Trigona spinipes</v>
      </c>
      <c r="H5828" s="6" t="str">
        <f>VLOOKUP(E5828,dicionario!$A$1:$C6227,3,0)</f>
        <v>abelha-cachorro</v>
      </c>
    </row>
    <row r="5829">
      <c r="A5829" s="3">
        <v>45694.0</v>
      </c>
      <c r="B5829" s="4">
        <v>0.25972222222222224</v>
      </c>
      <c r="C5829" s="5" t="s">
        <v>90</v>
      </c>
      <c r="D5829" s="5" t="s">
        <v>1082</v>
      </c>
      <c r="E5829" s="8" t="s">
        <v>200</v>
      </c>
      <c r="F5829" s="5" t="s">
        <v>201</v>
      </c>
      <c r="G5829" s="6" t="str">
        <f>VLOOKUP(E5829,dicionario!$A$1:$C6228,2,0)</f>
        <v>Columbina picui </v>
      </c>
      <c r="H5829" s="6" t="str">
        <f>VLOOKUP(E5829,dicionario!$A$1:$C6228,3,0)</f>
        <v>rolinha-picuí</v>
      </c>
    </row>
    <row r="5830">
      <c r="A5830" s="3">
        <v>45694.0</v>
      </c>
      <c r="B5830" s="4">
        <v>0.25972222222222224</v>
      </c>
      <c r="C5830" s="5" t="s">
        <v>90</v>
      </c>
      <c r="D5830" s="5" t="s">
        <v>1082</v>
      </c>
      <c r="E5830" s="8" t="s">
        <v>338</v>
      </c>
      <c r="F5830" s="5" t="s">
        <v>238</v>
      </c>
      <c r="G5830" s="6" t="str">
        <f>VLOOKUP(E5830,dicionario!$A$1:$C6229,2,0)</f>
        <v>Atta</v>
      </c>
      <c r="H5830" s="6" t="str">
        <f>VLOOKUP(E5830,dicionario!$A$1:$C6229,3,0)</f>
        <v>saúva</v>
      </c>
    </row>
    <row r="5831">
      <c r="A5831" s="3">
        <v>45694.0</v>
      </c>
      <c r="B5831" s="4">
        <v>0.2604166666666667</v>
      </c>
      <c r="C5831" s="5" t="s">
        <v>90</v>
      </c>
      <c r="D5831" s="5" t="s">
        <v>1082</v>
      </c>
      <c r="E5831" s="8" t="s">
        <v>74</v>
      </c>
      <c r="F5831" s="5" t="s">
        <v>75</v>
      </c>
      <c r="G5831" s="6" t="str">
        <f>VLOOKUP(E5831,dicionario!$A$1:$C6230,2,0)</f>
        <v>Crotophaga ani</v>
      </c>
      <c r="H5831" s="6" t="str">
        <f>VLOOKUP(E5831,dicionario!$A$1:$C6230,3,0)</f>
        <v>anu-preto</v>
      </c>
    </row>
    <row r="5832">
      <c r="A5832" s="3">
        <v>45694.0</v>
      </c>
      <c r="B5832" s="4">
        <v>0.2604166666666667</v>
      </c>
      <c r="C5832" s="5" t="s">
        <v>90</v>
      </c>
      <c r="D5832" s="5" t="s">
        <v>1082</v>
      </c>
      <c r="E5832" s="8" t="s">
        <v>163</v>
      </c>
      <c r="F5832" s="5" t="s">
        <v>164</v>
      </c>
      <c r="G5832" s="6" t="str">
        <f>VLOOKUP(E5832,dicionario!$A$1:$C6231,2,0)</f>
        <v>Coragyps atratus</v>
      </c>
      <c r="H5832" s="6" t="str">
        <f>VLOOKUP(E5832,dicionario!$A$1:$C6231,3,0)</f>
        <v>urubu-de-cabeça-preta</v>
      </c>
    </row>
    <row r="5833">
      <c r="A5833" s="3">
        <v>45694.0</v>
      </c>
      <c r="B5833" s="4">
        <v>0.2611111111111111</v>
      </c>
      <c r="C5833" s="5" t="s">
        <v>90</v>
      </c>
      <c r="D5833" s="5" t="s">
        <v>1082</v>
      </c>
      <c r="E5833" s="8" t="s">
        <v>43</v>
      </c>
      <c r="F5833" s="5" t="s">
        <v>949</v>
      </c>
      <c r="G5833" s="6" t="str">
        <f>VLOOKUP(E5833,dicionario!$A$1:$C6232,2,0)</f>
        <v>Columba livia</v>
      </c>
      <c r="H5833" s="6" t="str">
        <f>VLOOKUP(E5833,dicionario!$A$1:$C6232,3,0)</f>
        <v>pombo-doméstico</v>
      </c>
    </row>
    <row r="5834">
      <c r="A5834" s="3">
        <v>45694.0</v>
      </c>
      <c r="B5834" s="4">
        <v>0.26180555555555557</v>
      </c>
      <c r="C5834" s="5" t="s">
        <v>90</v>
      </c>
      <c r="D5834" s="5" t="s">
        <v>1082</v>
      </c>
      <c r="E5834" s="8" t="s">
        <v>719</v>
      </c>
      <c r="F5834" s="5" t="s">
        <v>1005</v>
      </c>
      <c r="G5834" s="6" t="str">
        <f>VLOOKUP(E5834,dicionario!$A$1:$C6233,2,0)</f>
        <v>Dirinaria</v>
      </c>
      <c r="H5834" s="6" t="str">
        <f>VLOOKUP(E5834,dicionario!$A$1:$C6233,3,0)</f>
        <v>líquen-crostoso</v>
      </c>
    </row>
    <row r="5835">
      <c r="A5835" s="3">
        <v>45694.0</v>
      </c>
      <c r="B5835" s="4">
        <v>0.26180555555555557</v>
      </c>
      <c r="C5835" s="5" t="s">
        <v>90</v>
      </c>
      <c r="D5835" s="5" t="s">
        <v>1082</v>
      </c>
      <c r="E5835" s="8" t="s">
        <v>712</v>
      </c>
      <c r="F5835" s="5" t="s">
        <v>1006</v>
      </c>
      <c r="G5835" s="6" t="str">
        <f>VLOOKUP(E5835,dicionario!$A$1:$C6234,2,0)</f>
        <v>Flavopunctelia soredica</v>
      </c>
      <c r="H5835" s="6" t="str">
        <f>VLOOKUP(E5835,dicionario!$A$1:$C6234,3,0)</f>
        <v>líquen-folioso</v>
      </c>
    </row>
    <row r="5836">
      <c r="A5836" s="3">
        <v>45694.0</v>
      </c>
      <c r="B5836" s="4">
        <v>0.2625</v>
      </c>
      <c r="C5836" s="5" t="s">
        <v>90</v>
      </c>
      <c r="D5836" s="5" t="s">
        <v>1082</v>
      </c>
      <c r="E5836" s="8" t="s">
        <v>107</v>
      </c>
      <c r="F5836" s="5" t="s">
        <v>1154</v>
      </c>
      <c r="G5836" s="6" t="str">
        <f>VLOOKUP(E5836,dicionario!$A$1:$C6235,2,0)</f>
        <v>Ramalina complanata</v>
      </c>
      <c r="H5836" s="6" t="str">
        <f>VLOOKUP(E5836,dicionario!$A$1:$C6235,3,0)</f>
        <v>ramalina</v>
      </c>
    </row>
    <row r="5837">
      <c r="A5837" s="3">
        <v>45694.0</v>
      </c>
      <c r="B5837" s="4">
        <v>0.2625</v>
      </c>
      <c r="C5837" s="5" t="s">
        <v>90</v>
      </c>
      <c r="D5837" s="5" t="s">
        <v>1082</v>
      </c>
      <c r="E5837" s="8" t="s">
        <v>378</v>
      </c>
      <c r="F5837" s="5" t="s">
        <v>205</v>
      </c>
      <c r="G5837" s="6" t="str">
        <f>VLOOKUP(E5837,dicionario!$A$1:$C6236,2,0)</f>
        <v>Polistes</v>
      </c>
      <c r="H5837" s="6" t="str">
        <f>VLOOKUP(E5837,dicionario!$A$1:$C6236,3,0)</f>
        <v>marimbondo</v>
      </c>
    </row>
    <row r="5838">
      <c r="A5838" s="3">
        <v>45694.0</v>
      </c>
      <c r="B5838" s="4">
        <v>0.2625</v>
      </c>
      <c r="C5838" s="5" t="s">
        <v>90</v>
      </c>
      <c r="D5838" s="5" t="s">
        <v>1082</v>
      </c>
      <c r="E5838" s="8" t="s">
        <v>38</v>
      </c>
      <c r="F5838" s="5" t="s">
        <v>39</v>
      </c>
      <c r="G5838" s="6" t="str">
        <f>VLOOKUP(E5838,dicionario!$A$1:$C6237,2,0)</f>
        <v>Troglodytes musculus</v>
      </c>
      <c r="H5838" s="6" t="str">
        <f>VLOOKUP(E5838,dicionario!$A$1:$C6237,3,0)</f>
        <v>curruíra</v>
      </c>
    </row>
    <row r="5839">
      <c r="A5839" s="3">
        <v>45694.0</v>
      </c>
      <c r="B5839" s="4">
        <v>0.2625</v>
      </c>
      <c r="C5839" s="5" t="s">
        <v>90</v>
      </c>
      <c r="D5839" s="5" t="s">
        <v>1082</v>
      </c>
      <c r="E5839" s="8" t="s">
        <v>1024</v>
      </c>
      <c r="F5839" s="5" t="s">
        <v>969</v>
      </c>
      <c r="G5839" s="6" t="str">
        <f>VLOOKUP(E5839,dicionario!$A$1:$C6238,2,0)</f>
        <v>Usnea barbata</v>
      </c>
      <c r="H5839" s="6" t="str">
        <f>VLOOKUP(E5839,dicionario!$A$1:$C6238,3,0)</f>
        <v>barba-de-velho</v>
      </c>
    </row>
    <row r="5840">
      <c r="A5840" s="3">
        <v>45694.0</v>
      </c>
      <c r="B5840" s="4">
        <v>0.2625</v>
      </c>
      <c r="C5840" s="5" t="s">
        <v>90</v>
      </c>
      <c r="D5840" s="5" t="s">
        <v>1082</v>
      </c>
      <c r="E5840" s="8" t="s">
        <v>122</v>
      </c>
      <c r="F5840" s="7" t="s">
        <v>123</v>
      </c>
      <c r="G5840" s="6" t="str">
        <f>VLOOKUP(E5840,dicionario!$A$1:$C6239,2,0)</f>
        <v>Todirostrum cinereum</v>
      </c>
      <c r="H5840" s="6" t="str">
        <f>VLOOKUP(E5840,dicionario!$A$1:$C6239,3,0)</f>
        <v>ferreirinho-relógio</v>
      </c>
    </row>
    <row r="5841">
      <c r="A5841" s="3">
        <v>45694.0</v>
      </c>
      <c r="B5841" s="4">
        <v>0.26319444444444445</v>
      </c>
      <c r="C5841" s="5" t="s">
        <v>90</v>
      </c>
      <c r="D5841" s="5" t="s">
        <v>1082</v>
      </c>
      <c r="E5841" s="8" t="s">
        <v>308</v>
      </c>
      <c r="F5841" s="5" t="s">
        <v>309</v>
      </c>
      <c r="G5841" s="6" t="str">
        <f>VLOOKUP(E5841,dicionario!$A$1:$C6240,2,0)</f>
        <v>#N/A</v>
      </c>
      <c r="H5841" s="6" t="str">
        <f>VLOOKUP(E5841,dicionario!$A$1:$C6240,3,0)</f>
        <v>#N/A</v>
      </c>
    </row>
    <row r="5842">
      <c r="A5842" s="3">
        <v>45694.0</v>
      </c>
      <c r="B5842" s="4">
        <v>0.26319444444444445</v>
      </c>
      <c r="C5842" s="5" t="s">
        <v>90</v>
      </c>
      <c r="D5842" s="5" t="s">
        <v>1082</v>
      </c>
      <c r="E5842" s="6" t="s">
        <v>29</v>
      </c>
      <c r="F5842" s="7" t="s">
        <v>30</v>
      </c>
      <c r="G5842" s="6" t="str">
        <f>VLOOKUP(E5842,dicionario!$A$1:$C6241,2,0)</f>
        <v>Pycnoscelus surinamensis</v>
      </c>
      <c r="H5842" s="6" t="str">
        <f>VLOOKUP(E5842,dicionario!$A$1:$C6241,3,0)</f>
        <v>Barata-de-jardim</v>
      </c>
    </row>
    <row r="5843">
      <c r="A5843" s="3">
        <v>45694.0</v>
      </c>
      <c r="B5843" s="4">
        <v>0.2638888888888889</v>
      </c>
      <c r="C5843" s="5" t="s">
        <v>90</v>
      </c>
      <c r="D5843" s="5" t="s">
        <v>1082</v>
      </c>
      <c r="E5843" s="8" t="s">
        <v>405</v>
      </c>
      <c r="F5843" s="5" t="s">
        <v>852</v>
      </c>
      <c r="G5843" s="6" t="str">
        <f>VLOOKUP(E5843,dicionario!$A$1:$C6242,2,0)</f>
        <v>Ectatomma</v>
      </c>
      <c r="H5843" s="6" t="str">
        <f>VLOOKUP(E5843,dicionario!$A$1:$C6242,3,0)</f>
        <v>formiga-preta</v>
      </c>
    </row>
    <row r="5844">
      <c r="A5844" s="3">
        <v>45694.0</v>
      </c>
      <c r="B5844" s="4">
        <v>0.2638888888888889</v>
      </c>
      <c r="C5844" s="5" t="s">
        <v>90</v>
      </c>
      <c r="D5844" s="5" t="s">
        <v>1082</v>
      </c>
      <c r="E5844" s="8" t="s">
        <v>86</v>
      </c>
      <c r="F5844" s="5" t="s">
        <v>502</v>
      </c>
      <c r="G5844" s="6" t="str">
        <f>VLOOKUP(E5844,dicionario!$A$1:$C6243,2,0)</f>
        <v>Coereba flaveola</v>
      </c>
      <c r="H5844" s="6" t="str">
        <f>VLOOKUP(E5844,dicionario!$A$1:$C6243,3,0)</f>
        <v>cambacica</v>
      </c>
    </row>
    <row r="5845">
      <c r="A5845" s="3">
        <v>45694.0</v>
      </c>
      <c r="B5845" s="4">
        <v>0.2638888888888889</v>
      </c>
      <c r="C5845" s="5" t="s">
        <v>90</v>
      </c>
      <c r="D5845" s="5" t="s">
        <v>1082</v>
      </c>
      <c r="E5845" s="8" t="s">
        <v>109</v>
      </c>
      <c r="F5845" s="5" t="s">
        <v>110</v>
      </c>
      <c r="G5845" s="6" t="str">
        <f>VLOOKUP(E5845,dicionario!$A$1:$C6244,2,0)</f>
        <v>Tillandsia stricta</v>
      </c>
      <c r="H5845" s="6" t="str">
        <f>VLOOKUP(E5845,dicionario!$A$1:$C6244,3,0)</f>
        <v>cravo-do-mato</v>
      </c>
    </row>
    <row r="5846">
      <c r="A5846" s="3">
        <v>45694.0</v>
      </c>
      <c r="B5846" s="4">
        <v>0.2652777777777778</v>
      </c>
      <c r="C5846" s="5" t="s">
        <v>90</v>
      </c>
      <c r="D5846" s="5" t="s">
        <v>1082</v>
      </c>
      <c r="E5846" s="8" t="s">
        <v>503</v>
      </c>
      <c r="F5846" s="5" t="s">
        <v>414</v>
      </c>
      <c r="G5846" s="6" t="str">
        <f>VLOOKUP(E5846,dicionario!$A$1:$C6245,2,0)</f>
        <v>Orphulella punctata</v>
      </c>
      <c r="H5846" s="6" t="str">
        <f>VLOOKUP(E5846,dicionario!$A$1:$C6245,3,0)</f>
        <v>gafanhotinho</v>
      </c>
    </row>
    <row r="5847">
      <c r="A5847" s="3">
        <v>45694.0</v>
      </c>
      <c r="B5847" s="4">
        <v>0.2652777777777778</v>
      </c>
      <c r="C5847" s="5" t="s">
        <v>90</v>
      </c>
      <c r="D5847" s="5" t="s">
        <v>1082</v>
      </c>
      <c r="E5847" s="8" t="s">
        <v>60</v>
      </c>
      <c r="F5847" s="5" t="s">
        <v>61</v>
      </c>
      <c r="G5847" s="6" t="str">
        <f>VLOOKUP(E5847,dicionario!$A$1:$C6246,2,0)</f>
        <v>Vanellus chilensis</v>
      </c>
      <c r="H5847" s="6" t="str">
        <f>VLOOKUP(E5847,dicionario!$A$1:$C6246,3,0)</f>
        <v>quero-quero</v>
      </c>
    </row>
    <row r="5848">
      <c r="A5848" s="3">
        <v>45694.0</v>
      </c>
      <c r="B5848" s="4">
        <v>0.2659722222222222</v>
      </c>
      <c r="C5848" s="5" t="s">
        <v>90</v>
      </c>
      <c r="D5848" s="5" t="s">
        <v>1082</v>
      </c>
      <c r="E5848" s="8" t="s">
        <v>53</v>
      </c>
      <c r="F5848" s="7" t="s">
        <v>54</v>
      </c>
      <c r="G5848" s="6" t="str">
        <f>VLOOKUP(E5848,dicionario!$A$1:$C6247,2,0)</f>
        <v>Turnera subulata</v>
      </c>
      <c r="H5848" s="6" t="str">
        <f>VLOOKUP(E5848,dicionario!$A$1:$C6247,3,0)</f>
        <v>xanana</v>
      </c>
    </row>
    <row r="5849">
      <c r="A5849" s="3">
        <v>45694.0</v>
      </c>
      <c r="B5849" s="4">
        <v>0.26666666666666666</v>
      </c>
      <c r="C5849" s="5" t="s">
        <v>90</v>
      </c>
      <c r="D5849" s="5" t="s">
        <v>1082</v>
      </c>
      <c r="E5849" s="8" t="s">
        <v>72</v>
      </c>
      <c r="F5849" s="5" t="s">
        <v>73</v>
      </c>
      <c r="G5849" s="6" t="str">
        <f>VLOOKUP(E5849,dicionario!$A$1:$C6248,2,0)</f>
        <v>Thraupis palmarum</v>
      </c>
      <c r="H5849" s="6" t="str">
        <f>VLOOKUP(E5849,dicionario!$A$1:$C6248,3,0)</f>
        <v>sanhaço-do-coqueiro</v>
      </c>
    </row>
    <row r="5850">
      <c r="A5850" s="3">
        <v>45694.0</v>
      </c>
      <c r="B5850" s="4">
        <v>0.26666666666666666</v>
      </c>
      <c r="C5850" s="5" t="s">
        <v>90</v>
      </c>
      <c r="D5850" s="5" t="s">
        <v>1082</v>
      </c>
      <c r="E5850" s="8" t="s">
        <v>360</v>
      </c>
      <c r="F5850" s="7" t="s">
        <v>361</v>
      </c>
      <c r="G5850" s="6" t="str">
        <f>VLOOKUP(E5850,dicionario!$A$1:$C6249,2,0)</f>
        <v>Chamaecrista rotundifolia</v>
      </c>
      <c r="H5850" s="6" t="str">
        <f>VLOOKUP(E5850,dicionario!$A$1:$C6249,3,0)</f>
        <v>alfafa-nativa</v>
      </c>
    </row>
    <row r="5851">
      <c r="A5851" s="3">
        <v>45694.0</v>
      </c>
      <c r="B5851" s="4">
        <v>0.26875</v>
      </c>
      <c r="C5851" s="5" t="s">
        <v>85</v>
      </c>
      <c r="D5851" s="5" t="s">
        <v>1082</v>
      </c>
      <c r="E5851" s="8" t="s">
        <v>135</v>
      </c>
      <c r="F5851" s="5" t="s">
        <v>136</v>
      </c>
      <c r="G5851" s="6" t="str">
        <f>VLOOKUP(E5851,dicionario!$A$1:$C6250,2,0)</f>
        <v>Tridax procumbens</v>
      </c>
      <c r="H5851" s="6" t="str">
        <f>VLOOKUP(E5851,dicionario!$A$1:$C6250,3,0)</f>
        <v>erva-de-touro</v>
      </c>
    </row>
    <row r="5852">
      <c r="A5852" s="3">
        <v>45694.0</v>
      </c>
      <c r="B5852" s="4">
        <v>0.26875</v>
      </c>
      <c r="C5852" s="5" t="s">
        <v>85</v>
      </c>
      <c r="D5852" s="5" t="s">
        <v>1082</v>
      </c>
      <c r="E5852" s="8" t="s">
        <v>146</v>
      </c>
      <c r="F5852" s="5" t="s">
        <v>147</v>
      </c>
      <c r="G5852" s="6" t="str">
        <f>VLOOKUP(E5852,dicionario!$A$1:$C6251,2,0)</f>
        <v>Euphorbia hirta</v>
      </c>
      <c r="H5852" s="6" t="str">
        <f>VLOOKUP(E5852,dicionario!$A$1:$C6251,3,0)</f>
        <v>erva-de-santa-luzia</v>
      </c>
    </row>
    <row r="5853">
      <c r="A5853" s="3">
        <v>45694.0</v>
      </c>
      <c r="B5853" s="4">
        <v>0.26875</v>
      </c>
      <c r="C5853" s="5" t="s">
        <v>85</v>
      </c>
      <c r="D5853" s="5" t="s">
        <v>1082</v>
      </c>
      <c r="E5853" s="8" t="s">
        <v>489</v>
      </c>
      <c r="F5853" s="5" t="s">
        <v>521</v>
      </c>
      <c r="G5853" s="6" t="str">
        <f>VLOOKUP(E5853,dicionario!$A$1:$C6252,2,0)</f>
        <v>Cenchrus echinatus</v>
      </c>
      <c r="H5853" s="6" t="str">
        <f>VLOOKUP(E5853,dicionario!$A$1:$C6252,3,0)</f>
        <v>capim-carrapicho</v>
      </c>
    </row>
    <row r="5854">
      <c r="A5854" s="3">
        <v>45694.0</v>
      </c>
      <c r="B5854" s="4">
        <v>0.26944444444444443</v>
      </c>
      <c r="C5854" s="5" t="s">
        <v>85</v>
      </c>
      <c r="D5854" s="5" t="s">
        <v>1082</v>
      </c>
      <c r="E5854" s="8" t="s">
        <v>53</v>
      </c>
      <c r="F5854" s="7" t="s">
        <v>54</v>
      </c>
      <c r="G5854" s="6" t="str">
        <f>VLOOKUP(E5854,dicionario!$A$1:$C6253,2,0)</f>
        <v>Turnera subulata</v>
      </c>
      <c r="H5854" s="6" t="str">
        <f>VLOOKUP(E5854,dicionario!$A$1:$C6253,3,0)</f>
        <v>xanana</v>
      </c>
    </row>
    <row r="5855">
      <c r="A5855" s="3">
        <v>45694.0</v>
      </c>
      <c r="B5855" s="4">
        <v>0.26944444444444443</v>
      </c>
      <c r="C5855" s="5" t="s">
        <v>85</v>
      </c>
      <c r="D5855" s="5" t="s">
        <v>1082</v>
      </c>
      <c r="E5855" s="8" t="s">
        <v>296</v>
      </c>
      <c r="F5855" s="5" t="s">
        <v>297</v>
      </c>
      <c r="G5855" s="6" t="str">
        <f>VLOOKUP(E5855,dicionario!$A$1:$C6254,2,0)</f>
        <v>Richardia brasiliensis</v>
      </c>
      <c r="H5855" s="6" t="str">
        <f>VLOOKUP(E5855,dicionario!$A$1:$C6254,3,0)</f>
        <v>poaia-branca</v>
      </c>
    </row>
    <row r="5856">
      <c r="A5856" s="3">
        <v>45694.0</v>
      </c>
      <c r="B5856" s="4">
        <v>0.2701388888888889</v>
      </c>
      <c r="C5856" s="5" t="s">
        <v>85</v>
      </c>
      <c r="D5856" s="5" t="s">
        <v>1082</v>
      </c>
      <c r="E5856" s="8" t="s">
        <v>1155</v>
      </c>
      <c r="F5856" s="5" t="s">
        <v>1156</v>
      </c>
      <c r="G5856" s="6" t="str">
        <f>VLOOKUP(E5856,dicionario!$A$1:$C6255,2,0)</f>
        <v>#N/A</v>
      </c>
      <c r="H5856" s="6" t="str">
        <f>VLOOKUP(E5856,dicionario!$A$1:$C6255,3,0)</f>
        <v>#N/A</v>
      </c>
    </row>
    <row r="5857">
      <c r="A5857" s="3">
        <v>45694.0</v>
      </c>
      <c r="B5857" s="4">
        <v>0.2701388888888889</v>
      </c>
      <c r="C5857" s="5" t="s">
        <v>85</v>
      </c>
      <c r="D5857" s="5" t="s">
        <v>1082</v>
      </c>
      <c r="E5857" s="8" t="s">
        <v>177</v>
      </c>
      <c r="F5857" s="5" t="s">
        <v>607</v>
      </c>
      <c r="G5857" s="6" t="str">
        <f>VLOOKUP(E5857,dicionario!$A$1:$C6256,2,0)</f>
        <v>Elaenia flavogaster</v>
      </c>
      <c r="H5857" s="6" t="str">
        <f>VLOOKUP(E5857,dicionario!$A$1:$C6256,3,0)</f>
        <v>guaracava-de-barriga-amarela</v>
      </c>
    </row>
    <row r="5858">
      <c r="A5858" s="3">
        <v>45694.0</v>
      </c>
      <c r="B5858" s="4">
        <v>0.2701388888888889</v>
      </c>
      <c r="C5858" s="5" t="s">
        <v>85</v>
      </c>
      <c r="D5858" s="5" t="s">
        <v>1082</v>
      </c>
      <c r="E5858" s="8" t="s">
        <v>14</v>
      </c>
      <c r="F5858" s="5" t="s">
        <v>15</v>
      </c>
      <c r="G5858" s="6" t="str">
        <f>VLOOKUP(E5858,dicionario!$A$1:$C6257,2,0)</f>
        <v>Spermacoce verticillata</v>
      </c>
      <c r="H5858" s="6" t="str">
        <f>VLOOKUP(E5858,dicionario!$A$1:$C6257,3,0)</f>
        <v>vassourinha-de-botão</v>
      </c>
    </row>
    <row r="5859">
      <c r="A5859" s="3">
        <v>45694.0</v>
      </c>
      <c r="B5859" s="4">
        <v>0.2708333333333333</v>
      </c>
      <c r="C5859" s="5" t="s">
        <v>85</v>
      </c>
      <c r="D5859" s="5" t="s">
        <v>1082</v>
      </c>
      <c r="E5859" s="8" t="s">
        <v>286</v>
      </c>
      <c r="F5859" s="5" t="s">
        <v>287</v>
      </c>
      <c r="G5859" s="6" t="str">
        <f>VLOOKUP(E5859,dicionario!$A$1:$C6258,2,0)</f>
        <v>Setaria parviflora</v>
      </c>
      <c r="H5859" s="6" t="str">
        <f>VLOOKUP(E5859,dicionario!$A$1:$C6258,3,0)</f>
        <v>capim-rabo-de-raposa</v>
      </c>
    </row>
    <row r="5860">
      <c r="A5860" s="3">
        <v>45694.0</v>
      </c>
      <c r="B5860" s="4">
        <v>0.27152777777777776</v>
      </c>
      <c r="C5860" s="5" t="s">
        <v>85</v>
      </c>
      <c r="D5860" s="5" t="s">
        <v>1082</v>
      </c>
      <c r="E5860" s="6" t="s">
        <v>171</v>
      </c>
      <c r="F5860" s="5" t="s">
        <v>172</v>
      </c>
      <c r="G5860" s="6" t="str">
        <f>VLOOKUP(E5860,dicionario!$A$1:$C6259,2,0)</f>
        <v>Oxalis corniculata</v>
      </c>
      <c r="H5860" s="6" t="str">
        <f>VLOOKUP(E5860,dicionario!$A$1:$C6259,3,0)</f>
        <v>trevo-azedinho</v>
      </c>
    </row>
    <row r="5861">
      <c r="A5861" s="3">
        <v>45694.0</v>
      </c>
      <c r="B5861" s="4">
        <v>0.27152777777777776</v>
      </c>
      <c r="C5861" s="5" t="s">
        <v>85</v>
      </c>
      <c r="D5861" s="5" t="s">
        <v>1082</v>
      </c>
      <c r="E5861" s="8" t="s">
        <v>353</v>
      </c>
      <c r="F5861" s="5" t="s">
        <v>354</v>
      </c>
      <c r="G5861" s="6" t="str">
        <f>VLOOKUP(E5861,dicionario!$A$1:$C6260,2,0)</f>
        <v>Desmodium incanum</v>
      </c>
      <c r="H5861" s="6" t="str">
        <f>VLOOKUP(E5861,dicionario!$A$1:$C6260,3,0)</f>
        <v>pega-pega</v>
      </c>
    </row>
    <row r="5862">
      <c r="A5862" s="3">
        <v>45694.0</v>
      </c>
      <c r="B5862" s="4">
        <v>0.27152777777777776</v>
      </c>
      <c r="C5862" s="5" t="s">
        <v>85</v>
      </c>
      <c r="D5862" s="5" t="s">
        <v>1082</v>
      </c>
      <c r="E5862" s="8" t="s">
        <v>631</v>
      </c>
      <c r="F5862" s="5" t="s">
        <v>632</v>
      </c>
      <c r="G5862" s="6" t="str">
        <f>VLOOKUP(E5862,dicionario!$A$1:$C6261,2,0)</f>
        <v>Chamaecrista nictitans</v>
      </c>
      <c r="H5862" s="6" t="str">
        <f>VLOOKUP(E5862,dicionario!$A$1:$C6261,3,0)</f>
        <v>falsa-dormideira</v>
      </c>
    </row>
    <row r="5863">
      <c r="A5863" s="3">
        <v>45694.0</v>
      </c>
      <c r="B5863" s="4">
        <v>0.27152777777777776</v>
      </c>
      <c r="C5863" s="5" t="s">
        <v>85</v>
      </c>
      <c r="D5863" s="5" t="s">
        <v>1082</v>
      </c>
      <c r="E5863" s="8" t="s">
        <v>1157</v>
      </c>
      <c r="F5863" s="5" t="s">
        <v>1105</v>
      </c>
      <c r="G5863" s="6" t="str">
        <f>VLOOKUP(E5863,dicionario!$A$1:$C6262,2,0)</f>
        <v>#N/A</v>
      </c>
      <c r="H5863" s="6" t="str">
        <f>VLOOKUP(E5863,dicionario!$A$1:$C6262,3,0)</f>
        <v>#N/A</v>
      </c>
    </row>
    <row r="5864">
      <c r="A5864" s="3">
        <v>45694.0</v>
      </c>
      <c r="B5864" s="4">
        <v>0.2722222222222222</v>
      </c>
      <c r="C5864" s="5" t="s">
        <v>85</v>
      </c>
      <c r="D5864" s="5" t="s">
        <v>1082</v>
      </c>
      <c r="E5864" s="8" t="s">
        <v>38</v>
      </c>
      <c r="F5864" s="5" t="s">
        <v>39</v>
      </c>
      <c r="G5864" s="6" t="str">
        <f>VLOOKUP(E5864,dicionario!$A$1:$C6263,2,0)</f>
        <v>Troglodytes musculus</v>
      </c>
      <c r="H5864" s="6" t="str">
        <f>VLOOKUP(E5864,dicionario!$A$1:$C6263,3,0)</f>
        <v>curruíra</v>
      </c>
    </row>
    <row r="5865">
      <c r="A5865" s="3">
        <v>45694.0</v>
      </c>
      <c r="B5865" s="4">
        <v>0.2722222222222222</v>
      </c>
      <c r="C5865" s="5" t="s">
        <v>85</v>
      </c>
      <c r="D5865" s="5" t="s">
        <v>1082</v>
      </c>
      <c r="E5865" s="8" t="s">
        <v>65</v>
      </c>
      <c r="F5865" s="5" t="s">
        <v>66</v>
      </c>
      <c r="G5865" s="6" t="str">
        <f>VLOOKUP(E5865,dicionario!$A$1:$C6264,2,0)</f>
        <v>Pitangus sulphutarus</v>
      </c>
      <c r="H5865" s="6" t="str">
        <f>VLOOKUP(E5865,dicionario!$A$1:$C6264,3,0)</f>
        <v>bem-te-vi</v>
      </c>
    </row>
    <row r="5866">
      <c r="A5866" s="3">
        <v>45694.0</v>
      </c>
      <c r="B5866" s="4">
        <v>0.2722222222222222</v>
      </c>
      <c r="C5866" s="5" t="s">
        <v>85</v>
      </c>
      <c r="D5866" s="5" t="s">
        <v>1082</v>
      </c>
      <c r="E5866" s="8" t="s">
        <v>338</v>
      </c>
      <c r="F5866" s="5" t="s">
        <v>238</v>
      </c>
      <c r="G5866" s="6" t="str">
        <f>VLOOKUP(E5866,dicionario!$A$1:$C6265,2,0)</f>
        <v>Atta</v>
      </c>
      <c r="H5866" s="6" t="str">
        <f>VLOOKUP(E5866,dicionario!$A$1:$C6265,3,0)</f>
        <v>saúva</v>
      </c>
    </row>
    <row r="5867">
      <c r="A5867" s="3">
        <v>45694.0</v>
      </c>
      <c r="B5867" s="4">
        <v>0.2722222222222222</v>
      </c>
      <c r="C5867" s="5" t="s">
        <v>85</v>
      </c>
      <c r="D5867" s="5" t="s">
        <v>1082</v>
      </c>
      <c r="E5867" s="6" t="s">
        <v>532</v>
      </c>
      <c r="F5867" s="7" t="s">
        <v>533</v>
      </c>
      <c r="G5867" s="6" t="str">
        <f>VLOOKUP(E5867,dicionario!$A$1:$C6266,2,0)</f>
        <v>Euphorbia heterophylla</v>
      </c>
      <c r="H5867" s="6" t="str">
        <f>VLOOKUP(E5867,dicionario!$A$1:$C6266,3,0)</f>
        <v>amendoim-bravo</v>
      </c>
    </row>
    <row r="5868">
      <c r="A5868" s="3">
        <v>45694.0</v>
      </c>
      <c r="B5868" s="4">
        <v>0.27291666666666664</v>
      </c>
      <c r="C5868" s="5" t="s">
        <v>85</v>
      </c>
      <c r="D5868" s="5" t="s">
        <v>1082</v>
      </c>
      <c r="E5868" s="8" t="s">
        <v>247</v>
      </c>
      <c r="F5868" s="7" t="s">
        <v>272</v>
      </c>
      <c r="G5868" s="6" t="str">
        <f>VLOOKUP(E5868,dicionario!$A$1:$C6267,2,0)</f>
        <v>Emilia sonchifolia</v>
      </c>
      <c r="H5868" s="6" t="str">
        <f>VLOOKUP(E5868,dicionario!$A$1:$C6267,3,0)</f>
        <v>serralinha</v>
      </c>
    </row>
    <row r="5869">
      <c r="A5869" s="3">
        <v>45694.0</v>
      </c>
      <c r="B5869" s="4">
        <v>0.27291666666666664</v>
      </c>
      <c r="C5869" s="5" t="s">
        <v>85</v>
      </c>
      <c r="D5869" s="5" t="s">
        <v>1082</v>
      </c>
      <c r="E5869" s="8" t="s">
        <v>109</v>
      </c>
      <c r="F5869" s="5" t="s">
        <v>110</v>
      </c>
      <c r="G5869" s="6" t="str">
        <f>VLOOKUP(E5869,dicionario!$A$1:$C6268,2,0)</f>
        <v>Tillandsia stricta</v>
      </c>
      <c r="H5869" s="6" t="str">
        <f>VLOOKUP(E5869,dicionario!$A$1:$C6268,3,0)</f>
        <v>cravo-do-mato</v>
      </c>
    </row>
    <row r="5870">
      <c r="A5870" s="3">
        <v>45694.0</v>
      </c>
      <c r="B5870" s="4">
        <v>0.27291666666666664</v>
      </c>
      <c r="C5870" s="5" t="s">
        <v>85</v>
      </c>
      <c r="D5870" s="5" t="s">
        <v>1082</v>
      </c>
      <c r="E5870" s="8" t="s">
        <v>483</v>
      </c>
      <c r="F5870" s="5" t="s">
        <v>289</v>
      </c>
      <c r="G5870" s="6" t="str">
        <f>VLOOKUP(E5870,dicionario!$A$1:$C6269,2,0)</f>
        <v>Euphorbia prostrata</v>
      </c>
      <c r="H5870" s="6" t="str">
        <f>VLOOKUP(E5870,dicionario!$A$1:$C6269,3,0)</f>
        <v>quebra-pedra-rasteira</v>
      </c>
    </row>
    <row r="5871">
      <c r="A5871" s="3">
        <v>45694.0</v>
      </c>
      <c r="B5871" s="4">
        <v>0.27361111111111114</v>
      </c>
      <c r="C5871" s="5" t="s">
        <v>85</v>
      </c>
      <c r="D5871" s="5" t="s">
        <v>1082</v>
      </c>
      <c r="E5871" s="8" t="s">
        <v>954</v>
      </c>
      <c r="F5871" s="5" t="s">
        <v>1158</v>
      </c>
      <c r="G5871" s="6" t="str">
        <f>VLOOKUP(E5871,dicionario!$A$1:$C6270,2,0)</f>
        <v>Euphorbia</v>
      </c>
      <c r="H5871" s="6" t="str">
        <f>VLOOKUP(E5871,dicionario!$A$1:$C6270,3,0)</f>
        <v/>
      </c>
    </row>
    <row r="5872">
      <c r="A5872" s="3">
        <v>45694.0</v>
      </c>
      <c r="B5872" s="4">
        <v>0.27361111111111114</v>
      </c>
      <c r="C5872" s="5" t="s">
        <v>85</v>
      </c>
      <c r="D5872" s="5" t="s">
        <v>1082</v>
      </c>
      <c r="E5872" s="8" t="s">
        <v>401</v>
      </c>
      <c r="F5872" s="5" t="s">
        <v>464</v>
      </c>
      <c r="G5872" s="6" t="str">
        <f>VLOOKUP(E5872,dicionario!$A$1:$C6271,2,0)</f>
        <v>Cissus verticillata</v>
      </c>
      <c r="H5872" s="6" t="str">
        <f>VLOOKUP(E5872,dicionario!$A$1:$C6271,3,0)</f>
        <v>uva-do-mato</v>
      </c>
    </row>
    <row r="5873">
      <c r="A5873" s="3">
        <v>45694.0</v>
      </c>
      <c r="B5873" s="4">
        <v>0.27361111111111114</v>
      </c>
      <c r="C5873" s="5" t="s">
        <v>85</v>
      </c>
      <c r="D5873" s="5" t="s">
        <v>1082</v>
      </c>
      <c r="E5873" s="8" t="s">
        <v>517</v>
      </c>
      <c r="F5873" s="7" t="s">
        <v>518</v>
      </c>
      <c r="G5873" s="6" t="str">
        <f>VLOOKUP(E5873,dicionario!$A$1:$C6272,2,0)</f>
        <v>Evolvulus nummularius</v>
      </c>
      <c r="H5873" s="6" t="str">
        <f>VLOOKUP(E5873,dicionario!$A$1:$C6272,3,0)</f>
        <v/>
      </c>
    </row>
    <row r="5874">
      <c r="A5874" s="3">
        <v>45694.0</v>
      </c>
      <c r="B5874" s="4">
        <v>0.27361111111111114</v>
      </c>
      <c r="C5874" s="5" t="s">
        <v>85</v>
      </c>
      <c r="D5874" s="5" t="s">
        <v>1082</v>
      </c>
      <c r="E5874" s="8" t="s">
        <v>141</v>
      </c>
      <c r="F5874" s="5" t="s">
        <v>142</v>
      </c>
      <c r="G5874" s="6" t="str">
        <f>VLOOKUP(E5874,dicionario!$A$1:$C6273,2,0)</f>
        <v>Ruellia blechum</v>
      </c>
      <c r="H5874" s="6" t="str">
        <f>VLOOKUP(E5874,dicionario!$A$1:$C6273,3,0)</f>
        <v>camarão-verde</v>
      </c>
    </row>
    <row r="5875">
      <c r="A5875" s="3">
        <v>45694.0</v>
      </c>
      <c r="B5875" s="4">
        <v>0.27361111111111114</v>
      </c>
      <c r="C5875" s="5" t="s">
        <v>85</v>
      </c>
      <c r="D5875" s="5" t="s">
        <v>1082</v>
      </c>
      <c r="E5875" s="8" t="s">
        <v>86</v>
      </c>
      <c r="F5875" s="5" t="s">
        <v>502</v>
      </c>
      <c r="G5875" s="6" t="str">
        <f>VLOOKUP(E5875,dicionario!$A$1:$C6274,2,0)</f>
        <v>Coereba flaveola</v>
      </c>
      <c r="H5875" s="6" t="str">
        <f>VLOOKUP(E5875,dicionario!$A$1:$C6274,3,0)</f>
        <v>cambacica</v>
      </c>
    </row>
    <row r="5876">
      <c r="A5876" s="3">
        <v>45694.0</v>
      </c>
      <c r="B5876" s="4">
        <v>0.27361111111111114</v>
      </c>
      <c r="C5876" s="5" t="s">
        <v>85</v>
      </c>
      <c r="D5876" s="5" t="s">
        <v>1082</v>
      </c>
      <c r="E5876" s="8" t="s">
        <v>122</v>
      </c>
      <c r="F5876" s="7" t="s">
        <v>123</v>
      </c>
      <c r="G5876" s="6" t="str">
        <f>VLOOKUP(E5876,dicionario!$A$1:$C6275,2,0)</f>
        <v>Todirostrum cinereum</v>
      </c>
      <c r="H5876" s="6" t="str">
        <f>VLOOKUP(E5876,dicionario!$A$1:$C6275,3,0)</f>
        <v>ferreirinho-relógio</v>
      </c>
    </row>
    <row r="5877">
      <c r="A5877" s="3">
        <v>45694.0</v>
      </c>
      <c r="B5877" s="4">
        <v>0.2743055555555556</v>
      </c>
      <c r="C5877" s="5" t="s">
        <v>85</v>
      </c>
      <c r="D5877" s="5" t="s">
        <v>1082</v>
      </c>
      <c r="E5877" s="8" t="s">
        <v>471</v>
      </c>
      <c r="F5877" s="5" t="s">
        <v>472</v>
      </c>
      <c r="G5877" s="6" t="str">
        <f>VLOOKUP(E5877,dicionario!$A$1:$C6276,2,0)</f>
        <v>Sida acuta</v>
      </c>
      <c r="H5877" s="6" t="str">
        <f>VLOOKUP(E5877,dicionario!$A$1:$C6276,3,0)</f>
        <v>reloginho</v>
      </c>
    </row>
    <row r="5878">
      <c r="A5878" s="3">
        <v>45694.0</v>
      </c>
      <c r="B5878" s="4">
        <v>0.2743055555555556</v>
      </c>
      <c r="C5878" s="5" t="s">
        <v>85</v>
      </c>
      <c r="D5878" s="5" t="s">
        <v>1082</v>
      </c>
      <c r="E5878" s="8" t="s">
        <v>247</v>
      </c>
      <c r="F5878" s="5" t="s">
        <v>387</v>
      </c>
      <c r="G5878" s="6" t="str">
        <f>VLOOKUP(E5878,dicionario!$A$1:$C6277,2,0)</f>
        <v>Emilia sonchifolia</v>
      </c>
      <c r="H5878" s="6" t="str">
        <f>VLOOKUP(E5878,dicionario!$A$1:$C6277,3,0)</f>
        <v>serralinha</v>
      </c>
    </row>
    <row r="5879">
      <c r="A5879" s="3">
        <v>45694.0</v>
      </c>
      <c r="B5879" s="4">
        <v>0.2743055555555556</v>
      </c>
      <c r="C5879" s="5" t="s">
        <v>85</v>
      </c>
      <c r="D5879" s="5" t="s">
        <v>1082</v>
      </c>
      <c r="E5879" s="8" t="s">
        <v>723</v>
      </c>
      <c r="F5879" s="5" t="s">
        <v>924</v>
      </c>
      <c r="G5879" s="6" t="str">
        <f>VLOOKUP(E5879,dicionario!$A$1:$C6278,2,0)</f>
        <v>Asemeia violacea</v>
      </c>
      <c r="H5879" s="6" t="str">
        <f>VLOOKUP(E5879,dicionario!$A$1:$C6278,3,0)</f>
        <v/>
      </c>
    </row>
    <row r="5880">
      <c r="A5880" s="3">
        <v>45694.0</v>
      </c>
      <c r="B5880" s="4">
        <v>0.2743055555555556</v>
      </c>
      <c r="C5880" s="5" t="s">
        <v>85</v>
      </c>
      <c r="D5880" s="5" t="s">
        <v>1082</v>
      </c>
      <c r="E5880" s="8" t="s">
        <v>120</v>
      </c>
      <c r="F5880" s="5" t="s">
        <v>121</v>
      </c>
      <c r="G5880" s="6" t="str">
        <f>VLOOKUP(E5880,dicionario!$A$1:$C6279,2,0)</f>
        <v>#N/A</v>
      </c>
      <c r="H5880" s="6" t="str">
        <f>VLOOKUP(E5880,dicionario!$A$1:$C6279,3,0)</f>
        <v>#N/A</v>
      </c>
    </row>
    <row r="5881">
      <c r="A5881" s="3">
        <v>45694.0</v>
      </c>
      <c r="B5881" s="4">
        <v>0.2743055555555556</v>
      </c>
      <c r="C5881" s="5" t="s">
        <v>85</v>
      </c>
      <c r="D5881" s="5" t="s">
        <v>1082</v>
      </c>
      <c r="E5881" s="8" t="s">
        <v>399</v>
      </c>
      <c r="F5881" s="5" t="s">
        <v>400</v>
      </c>
      <c r="G5881" s="6" t="str">
        <f>VLOOKUP(E5881,dicionario!$A$1:$C6280,2,0)</f>
        <v>Varronia curassavica</v>
      </c>
      <c r="H5881" s="6" t="str">
        <f>VLOOKUP(E5881,dicionario!$A$1:$C6280,3,0)</f>
        <v>erva-baleeira</v>
      </c>
    </row>
    <row r="5882">
      <c r="A5882" s="3">
        <v>45694.0</v>
      </c>
      <c r="B5882" s="4">
        <v>0.275</v>
      </c>
      <c r="C5882" s="5" t="s">
        <v>85</v>
      </c>
      <c r="D5882" s="5" t="s">
        <v>1082</v>
      </c>
      <c r="E5882" s="8" t="s">
        <v>113</v>
      </c>
      <c r="F5882" s="5" t="s">
        <v>114</v>
      </c>
      <c r="G5882" s="6" t="str">
        <f>VLOOKUP(E5882,dicionario!$A$1:$C6281,2,0)</f>
        <v>Columbina talpacoti</v>
      </c>
      <c r="H5882" s="6" t="str">
        <f>VLOOKUP(E5882,dicionario!$A$1:$C6281,3,0)</f>
        <v>rolinha-roxa</v>
      </c>
    </row>
    <row r="5883">
      <c r="A5883" s="3">
        <v>45694.0</v>
      </c>
      <c r="B5883" s="4">
        <v>0.275</v>
      </c>
      <c r="C5883" s="5" t="s">
        <v>85</v>
      </c>
      <c r="D5883" s="5" t="s">
        <v>1082</v>
      </c>
      <c r="E5883" s="8" t="s">
        <v>425</v>
      </c>
      <c r="F5883" s="5" t="s">
        <v>426</v>
      </c>
      <c r="G5883" s="6" t="str">
        <f>VLOOKUP(E5883,dicionario!$A$1:$C6282,2,0)</f>
        <v>Digitaria insularis</v>
      </c>
      <c r="H5883" s="6" t="str">
        <f>VLOOKUP(E5883,dicionario!$A$1:$C6282,3,0)</f>
        <v>capim-amargoso</v>
      </c>
    </row>
    <row r="5884">
      <c r="A5884" s="3">
        <v>45694.0</v>
      </c>
      <c r="B5884" s="4">
        <v>0.275</v>
      </c>
      <c r="C5884" s="5" t="s">
        <v>85</v>
      </c>
      <c r="D5884" s="5" t="s">
        <v>1082</v>
      </c>
      <c r="E5884" s="8" t="s">
        <v>51</v>
      </c>
      <c r="F5884" s="5" t="s">
        <v>77</v>
      </c>
      <c r="G5884" s="6" t="str">
        <f>VLOOKUP(E5884,dicionario!$A$1:$C6283,2,0)</f>
        <v>Solenopsis</v>
      </c>
      <c r="H5884" s="6" t="str">
        <f>VLOOKUP(E5884,dicionario!$A$1:$C6283,3,0)</f>
        <v>formiga-quente; formiga-lava-pés; formiga-de-fogo</v>
      </c>
    </row>
    <row r="5885">
      <c r="A5885" s="3">
        <v>45694.0</v>
      </c>
      <c r="B5885" s="4">
        <v>0.27569444444444446</v>
      </c>
      <c r="C5885" s="5" t="s">
        <v>85</v>
      </c>
      <c r="D5885" s="5" t="s">
        <v>1082</v>
      </c>
      <c r="E5885" s="8" t="s">
        <v>821</v>
      </c>
      <c r="F5885" s="5" t="s">
        <v>876</v>
      </c>
      <c r="G5885" s="6" t="str">
        <f>VLOOKUP(E5885,dicionario!$A$1:$C6284,2,0)</f>
        <v>Schefflera actinophylla</v>
      </c>
      <c r="H5885" s="6" t="str">
        <f>VLOOKUP(E5885,dicionario!$A$1:$C6284,3,0)</f>
        <v>árvore-guarda-chuva</v>
      </c>
    </row>
    <row r="5886">
      <c r="A5886" s="3">
        <v>45694.0</v>
      </c>
      <c r="B5886" s="4">
        <v>0.27569444444444446</v>
      </c>
      <c r="C5886" s="5" t="s">
        <v>85</v>
      </c>
      <c r="D5886" s="5" t="s">
        <v>1082</v>
      </c>
      <c r="E5886" s="8" t="s">
        <v>43</v>
      </c>
      <c r="F5886" s="5" t="s">
        <v>949</v>
      </c>
      <c r="G5886" s="6" t="str">
        <f>VLOOKUP(E5886,dicionario!$A$1:$C6285,2,0)</f>
        <v>Columba livia</v>
      </c>
      <c r="H5886" s="6" t="str">
        <f>VLOOKUP(E5886,dicionario!$A$1:$C6285,3,0)</f>
        <v>pombo-doméstico</v>
      </c>
    </row>
    <row r="5887">
      <c r="A5887" s="3">
        <v>45694.0</v>
      </c>
      <c r="B5887" s="4">
        <v>0.27569444444444446</v>
      </c>
      <c r="C5887" s="5" t="s">
        <v>85</v>
      </c>
      <c r="D5887" s="5" t="s">
        <v>1082</v>
      </c>
      <c r="E5887" s="8" t="s">
        <v>514</v>
      </c>
      <c r="F5887" s="7" t="s">
        <v>515</v>
      </c>
      <c r="G5887" s="6" t="str">
        <f>VLOOKUP(E5887,dicionario!$A$1:$C6286,2,0)</f>
        <v>Aedes aegypti</v>
      </c>
      <c r="H5887" s="6" t="str">
        <f>VLOOKUP(E5887,dicionario!$A$1:$C6286,3,0)</f>
        <v>mosquito-da-dengue</v>
      </c>
    </row>
    <row r="5888">
      <c r="A5888" s="3">
        <v>45694.0</v>
      </c>
      <c r="B5888" s="4">
        <v>0.2763888888888889</v>
      </c>
      <c r="C5888" s="5" t="s">
        <v>85</v>
      </c>
      <c r="D5888" s="5" t="s">
        <v>1082</v>
      </c>
      <c r="E5888" s="8" t="s">
        <v>375</v>
      </c>
      <c r="F5888" s="5" t="s">
        <v>35</v>
      </c>
      <c r="G5888" s="6" t="str">
        <f>VLOOKUP(E5888,dicionario!$A$1:$C6287,2,0)</f>
        <v>Neoponera foetida</v>
      </c>
      <c r="H5888" s="6" t="str">
        <f>VLOOKUP(E5888,dicionario!$A$1:$C6287,3,0)</f>
        <v/>
      </c>
    </row>
    <row r="5889">
      <c r="A5889" s="3">
        <v>45694.0</v>
      </c>
      <c r="B5889" s="4">
        <v>0.27708333333333335</v>
      </c>
      <c r="C5889" s="5" t="s">
        <v>85</v>
      </c>
      <c r="D5889" s="5" t="s">
        <v>1082</v>
      </c>
      <c r="E5889" s="8" t="s">
        <v>1159</v>
      </c>
      <c r="F5889" s="5" t="s">
        <v>1160</v>
      </c>
      <c r="G5889" s="6" t="str">
        <f>VLOOKUP(E5889,dicionario!$A$1:$C6288,2,0)</f>
        <v>#N/A</v>
      </c>
      <c r="H5889" s="6" t="str">
        <f>VLOOKUP(E5889,dicionario!$A$1:$C6288,3,0)</f>
        <v>#N/A</v>
      </c>
    </row>
    <row r="5890">
      <c r="A5890" s="3">
        <v>45694.0</v>
      </c>
      <c r="B5890" s="4">
        <v>0.2777777777777778</v>
      </c>
      <c r="C5890" s="5" t="s">
        <v>85</v>
      </c>
      <c r="D5890" s="5" t="s">
        <v>1082</v>
      </c>
      <c r="E5890" s="8" t="s">
        <v>227</v>
      </c>
      <c r="F5890" s="5" t="s">
        <v>228</v>
      </c>
      <c r="G5890" s="6" t="str">
        <f>VLOOKUP(E5890,dicionario!$A$1:$C6289,2,0)</f>
        <v>Indigofera hirsuta</v>
      </c>
      <c r="H5890" s="6" t="str">
        <f>VLOOKUP(E5890,dicionario!$A$1:$C6289,3,0)</f>
        <v>anileira</v>
      </c>
    </row>
    <row r="5891">
      <c r="A5891" s="3">
        <v>45694.0</v>
      </c>
      <c r="B5891" s="4">
        <v>0.2777777777777778</v>
      </c>
      <c r="C5891" s="5" t="s">
        <v>85</v>
      </c>
      <c r="D5891" s="5" t="s">
        <v>1082</v>
      </c>
      <c r="E5891" s="6" t="s">
        <v>383</v>
      </c>
      <c r="F5891" s="5" t="s">
        <v>384</v>
      </c>
      <c r="G5891" s="6" t="str">
        <f>VLOOKUP(E5891,dicionario!$A$1:$C6290,2,0)</f>
        <v>Setophaga pitiayumi</v>
      </c>
      <c r="H5891" s="6" t="str">
        <f>VLOOKUP(E5891,dicionario!$A$1:$C6290,3,0)</f>
        <v>mariquita</v>
      </c>
    </row>
    <row r="5892">
      <c r="A5892" s="3">
        <v>45694.0</v>
      </c>
      <c r="B5892" s="4">
        <v>0.27847222222222223</v>
      </c>
      <c r="C5892" s="5" t="s">
        <v>85</v>
      </c>
      <c r="D5892" s="5" t="s">
        <v>1082</v>
      </c>
      <c r="E5892" s="8" t="s">
        <v>966</v>
      </c>
      <c r="F5892" s="5" t="s">
        <v>967</v>
      </c>
      <c r="G5892" s="6" t="str">
        <f>VLOOKUP(E5892,dicionario!$A$1:$C6291,2,0)</f>
        <v>Portulaca halimoides</v>
      </c>
      <c r="H5892" s="6" t="str">
        <f>VLOOKUP(E5892,dicionario!$A$1:$C6291,3,0)</f>
        <v>beldroega-de-seda</v>
      </c>
    </row>
    <row r="5893">
      <c r="A5893" s="3">
        <v>45694.0</v>
      </c>
      <c r="B5893" s="4">
        <v>0.28125</v>
      </c>
      <c r="C5893" s="5" t="s">
        <v>76</v>
      </c>
      <c r="D5893" s="5" t="s">
        <v>1082</v>
      </c>
      <c r="E5893" s="8" t="s">
        <v>177</v>
      </c>
      <c r="F5893" s="5" t="s">
        <v>607</v>
      </c>
      <c r="G5893" s="6" t="str">
        <f>VLOOKUP(E5893,dicionario!$A$1:$C6292,2,0)</f>
        <v>Elaenia flavogaster</v>
      </c>
      <c r="H5893" s="6" t="str">
        <f>VLOOKUP(E5893,dicionario!$A$1:$C6292,3,0)</f>
        <v>guaracava-de-barriga-amarela</v>
      </c>
    </row>
    <row r="5894">
      <c r="A5894" s="3">
        <v>45694.0</v>
      </c>
      <c r="B5894" s="4">
        <v>0.28125</v>
      </c>
      <c r="C5894" s="5" t="s">
        <v>76</v>
      </c>
      <c r="D5894" s="5" t="s">
        <v>1082</v>
      </c>
      <c r="E5894" s="8" t="s">
        <v>162</v>
      </c>
      <c r="F5894" s="7" t="s">
        <v>42</v>
      </c>
      <c r="G5894" s="6" t="str">
        <f>VLOOKUP(E5894,dicionario!$A$1:$C6293,2,0)</f>
        <v>Fluvicola nengeta</v>
      </c>
      <c r="H5894" s="6" t="str">
        <f>VLOOKUP(E5894,dicionario!$A$1:$C6293,3,0)</f>
        <v>lavadeira-mascarada</v>
      </c>
    </row>
    <row r="5895">
      <c r="A5895" s="3">
        <v>45694.0</v>
      </c>
      <c r="B5895" s="4">
        <v>0.28125</v>
      </c>
      <c r="C5895" s="5" t="s">
        <v>76</v>
      </c>
      <c r="D5895" s="5" t="s">
        <v>1082</v>
      </c>
      <c r="E5895" s="8" t="s">
        <v>302</v>
      </c>
      <c r="F5895" s="5" t="s">
        <v>89</v>
      </c>
      <c r="G5895" s="6" t="str">
        <f>VLOOKUP(E5895,dicionario!$A$1:$C6294,2,0)</f>
        <v>Machetornis rixosa</v>
      </c>
      <c r="H5895" s="6" t="str">
        <f>VLOOKUP(E5895,dicionario!$A$1:$C6294,3,0)</f>
        <v>suiriri-cavaleiro</v>
      </c>
    </row>
    <row r="5896">
      <c r="A5896" s="3">
        <v>45694.0</v>
      </c>
      <c r="B5896" s="4">
        <v>0.28125</v>
      </c>
      <c r="C5896" s="5" t="s">
        <v>76</v>
      </c>
      <c r="D5896" s="5" t="s">
        <v>1082</v>
      </c>
      <c r="E5896" s="8" t="s">
        <v>177</v>
      </c>
      <c r="F5896" s="5" t="s">
        <v>178</v>
      </c>
      <c r="G5896" s="6" t="str">
        <f>VLOOKUP(E5896,dicionario!$A$1:$C6295,2,0)</f>
        <v>Elaenia flavogaster</v>
      </c>
      <c r="H5896" s="6" t="str">
        <f>VLOOKUP(E5896,dicionario!$A$1:$C6295,3,0)</f>
        <v>guaracava-de-barriga-amarela</v>
      </c>
    </row>
    <row r="5897">
      <c r="A5897" s="3">
        <v>45694.0</v>
      </c>
      <c r="B5897" s="4">
        <v>0.28194444444444444</v>
      </c>
      <c r="C5897" s="5" t="s">
        <v>76</v>
      </c>
      <c r="D5897" s="5" t="s">
        <v>1082</v>
      </c>
      <c r="E5897" s="8" t="s">
        <v>18</v>
      </c>
      <c r="F5897" s="5" t="s">
        <v>219</v>
      </c>
      <c r="G5897" s="6" t="str">
        <f>VLOOKUP(E5897,dicionario!$A$1:$C6296,2,0)</f>
        <v>Xylocopa frontalis</v>
      </c>
      <c r="H5897" s="6" t="str">
        <f>VLOOKUP(E5897,dicionario!$A$1:$C6296,3,0)</f>
        <v>Mamangava; mangangá; abelha-carpinteira</v>
      </c>
    </row>
    <row r="5898">
      <c r="A5898" s="3">
        <v>45694.0</v>
      </c>
      <c r="B5898" s="4">
        <v>0.28194444444444444</v>
      </c>
      <c r="C5898" s="5" t="s">
        <v>76</v>
      </c>
      <c r="D5898" s="5" t="s">
        <v>1082</v>
      </c>
      <c r="E5898" s="8" t="s">
        <v>12</v>
      </c>
      <c r="F5898" s="7" t="s">
        <v>13</v>
      </c>
      <c r="G5898" s="6" t="str">
        <f>VLOOKUP(E5898,dicionario!$A$1:$C6297,2,0)</f>
        <v>Eulaema nigrita</v>
      </c>
      <c r="H5898" s="6" t="str">
        <f>VLOOKUP(E5898,dicionario!$A$1:$C6297,3,0)</f>
        <v>abelha-de-orquídea</v>
      </c>
    </row>
    <row r="5899">
      <c r="A5899" s="3">
        <v>45694.0</v>
      </c>
      <c r="B5899" s="4">
        <v>0.28194444444444444</v>
      </c>
      <c r="C5899" s="5" t="s">
        <v>76</v>
      </c>
      <c r="D5899" s="5" t="s">
        <v>1082</v>
      </c>
      <c r="E5899" s="8" t="s">
        <v>135</v>
      </c>
      <c r="F5899" s="5" t="s">
        <v>136</v>
      </c>
      <c r="G5899" s="6" t="str">
        <f>VLOOKUP(E5899,dicionario!$A$1:$C6298,2,0)</f>
        <v>Tridax procumbens</v>
      </c>
      <c r="H5899" s="6" t="str">
        <f>VLOOKUP(E5899,dicionario!$A$1:$C6298,3,0)</f>
        <v>erva-de-touro</v>
      </c>
    </row>
    <row r="5900">
      <c r="A5900" s="3">
        <v>45694.0</v>
      </c>
      <c r="B5900" s="4">
        <v>0.28194444444444444</v>
      </c>
      <c r="C5900" s="5" t="s">
        <v>76</v>
      </c>
      <c r="D5900" s="5" t="s">
        <v>1082</v>
      </c>
      <c r="E5900" s="8" t="s">
        <v>1161</v>
      </c>
      <c r="F5900" s="7" t="s">
        <v>272</v>
      </c>
      <c r="G5900" s="6" t="str">
        <f>VLOOKUP(E5900,dicionario!$A$1:$C6299,2,0)</f>
        <v>#N/A</v>
      </c>
      <c r="H5900" s="6" t="str">
        <f>VLOOKUP(E5900,dicionario!$A$1:$C6299,3,0)</f>
        <v>#N/A</v>
      </c>
    </row>
    <row r="5901">
      <c r="A5901" s="3">
        <v>45694.0</v>
      </c>
      <c r="B5901" s="4">
        <v>0.28194444444444444</v>
      </c>
      <c r="C5901" s="5" t="s">
        <v>76</v>
      </c>
      <c r="D5901" s="5" t="s">
        <v>1082</v>
      </c>
      <c r="E5901" s="8" t="s">
        <v>146</v>
      </c>
      <c r="F5901" s="5" t="s">
        <v>147</v>
      </c>
      <c r="G5901" s="6" t="str">
        <f>VLOOKUP(E5901,dicionario!$A$1:$C6300,2,0)</f>
        <v>Euphorbia hirta</v>
      </c>
      <c r="H5901" s="6" t="str">
        <f>VLOOKUP(E5901,dicionario!$A$1:$C6300,3,0)</f>
        <v>erva-de-santa-luzia</v>
      </c>
    </row>
    <row r="5902">
      <c r="A5902" s="3">
        <v>45694.0</v>
      </c>
      <c r="B5902" s="4">
        <v>0.2826388888888889</v>
      </c>
      <c r="C5902" s="5" t="s">
        <v>76</v>
      </c>
      <c r="D5902" s="5" t="s">
        <v>1082</v>
      </c>
      <c r="E5902" s="8" t="s">
        <v>286</v>
      </c>
      <c r="F5902" s="5" t="s">
        <v>287</v>
      </c>
      <c r="G5902" s="6" t="str">
        <f>VLOOKUP(E5902,dicionario!$A$1:$C6301,2,0)</f>
        <v>Setaria parviflora</v>
      </c>
      <c r="H5902" s="6" t="str">
        <f>VLOOKUP(E5902,dicionario!$A$1:$C6301,3,0)</f>
        <v>capim-rabo-de-raposa</v>
      </c>
    </row>
    <row r="5903">
      <c r="A5903" s="3">
        <v>45694.0</v>
      </c>
      <c r="B5903" s="4">
        <v>0.2826388888888889</v>
      </c>
      <c r="C5903" s="5" t="s">
        <v>76</v>
      </c>
      <c r="D5903" s="5" t="s">
        <v>1082</v>
      </c>
      <c r="E5903" s="8" t="s">
        <v>489</v>
      </c>
      <c r="F5903" s="5" t="s">
        <v>521</v>
      </c>
      <c r="G5903" s="6" t="str">
        <f>VLOOKUP(E5903,dicionario!$A$1:$C6302,2,0)</f>
        <v>Cenchrus echinatus</v>
      </c>
      <c r="H5903" s="6" t="str">
        <f>VLOOKUP(E5903,dicionario!$A$1:$C6302,3,0)</f>
        <v>capim-carrapicho</v>
      </c>
    </row>
    <row r="5904">
      <c r="A5904" s="3">
        <v>45694.0</v>
      </c>
      <c r="B5904" s="4">
        <v>0.2826388888888889</v>
      </c>
      <c r="C5904" s="5" t="s">
        <v>76</v>
      </c>
      <c r="D5904" s="5" t="s">
        <v>1082</v>
      </c>
      <c r="E5904" s="8" t="s">
        <v>296</v>
      </c>
      <c r="F5904" s="5" t="s">
        <v>297</v>
      </c>
      <c r="G5904" s="6" t="str">
        <f>VLOOKUP(E5904,dicionario!$A$1:$C6303,2,0)</f>
        <v>Richardia brasiliensis</v>
      </c>
      <c r="H5904" s="6" t="str">
        <f>VLOOKUP(E5904,dicionario!$A$1:$C6303,3,0)</f>
        <v>poaia-branca</v>
      </c>
    </row>
    <row r="5905">
      <c r="A5905" s="3">
        <v>45694.0</v>
      </c>
      <c r="B5905" s="4">
        <v>0.2826388888888889</v>
      </c>
      <c r="C5905" s="5" t="s">
        <v>76</v>
      </c>
      <c r="D5905" s="5" t="s">
        <v>1082</v>
      </c>
      <c r="E5905" s="8" t="s">
        <v>148</v>
      </c>
      <c r="F5905" s="5" t="s">
        <v>149</v>
      </c>
      <c r="G5905" s="6" t="str">
        <f>VLOOKUP(E5905,dicionario!$A$1:$C6304,2,0)</f>
        <v>Parthenium hysterophorus</v>
      </c>
      <c r="H5905" s="6" t="str">
        <f>VLOOKUP(E5905,dicionario!$A$1:$C6304,3,0)</f>
        <v>losna-branca</v>
      </c>
    </row>
    <row r="5906">
      <c r="A5906" s="3">
        <v>45694.0</v>
      </c>
      <c r="B5906" s="4">
        <v>0.2826388888888889</v>
      </c>
      <c r="C5906" s="5" t="s">
        <v>76</v>
      </c>
      <c r="D5906" s="5" t="s">
        <v>1082</v>
      </c>
      <c r="E5906" s="8" t="s">
        <v>247</v>
      </c>
      <c r="F5906" s="5" t="s">
        <v>387</v>
      </c>
      <c r="G5906" s="6" t="str">
        <f>VLOOKUP(E5906,dicionario!$A$1:$C6305,2,0)</f>
        <v>Emilia sonchifolia</v>
      </c>
      <c r="H5906" s="6" t="str">
        <f>VLOOKUP(E5906,dicionario!$A$1:$C6305,3,0)</f>
        <v>serralinha</v>
      </c>
    </row>
    <row r="5907">
      <c r="A5907" s="3">
        <v>45694.0</v>
      </c>
      <c r="B5907" s="4">
        <v>0.2826388888888889</v>
      </c>
      <c r="C5907" s="5" t="s">
        <v>76</v>
      </c>
      <c r="D5907" s="5" t="s">
        <v>1082</v>
      </c>
      <c r="E5907" s="8" t="s">
        <v>504</v>
      </c>
      <c r="F5907" s="5" t="s">
        <v>534</v>
      </c>
      <c r="G5907" s="6" t="str">
        <f>VLOOKUP(E5907,dicionario!$A$1:$C6306,2,0)</f>
        <v>Cleome aculeata</v>
      </c>
      <c r="H5907" s="6" t="str">
        <f>VLOOKUP(E5907,dicionario!$A$1:$C6306,3,0)</f>
        <v>cleome</v>
      </c>
    </row>
    <row r="5908">
      <c r="A5908" s="3">
        <v>45694.0</v>
      </c>
      <c r="B5908" s="4">
        <v>0.2826388888888889</v>
      </c>
      <c r="C5908" s="5" t="s">
        <v>76</v>
      </c>
      <c r="D5908" s="5" t="s">
        <v>1082</v>
      </c>
      <c r="E5908" s="8" t="s">
        <v>141</v>
      </c>
      <c r="F5908" s="5" t="s">
        <v>142</v>
      </c>
      <c r="G5908" s="6" t="str">
        <f>VLOOKUP(E5908,dicionario!$A$1:$C6307,2,0)</f>
        <v>Ruellia blechum</v>
      </c>
      <c r="H5908" s="6" t="str">
        <f>VLOOKUP(E5908,dicionario!$A$1:$C6307,3,0)</f>
        <v>camarão-verde</v>
      </c>
    </row>
    <row r="5909">
      <c r="A5909" s="3">
        <v>45694.0</v>
      </c>
      <c r="B5909" s="4">
        <v>0.2833333333333333</v>
      </c>
      <c r="C5909" s="5" t="s">
        <v>76</v>
      </c>
      <c r="D5909" s="5" t="s">
        <v>1082</v>
      </c>
      <c r="E5909" s="8" t="s">
        <v>355</v>
      </c>
      <c r="F5909" s="5" t="s">
        <v>940</v>
      </c>
      <c r="G5909" s="6" t="str">
        <f>VLOOKUP(E5909,dicionario!$A$1:$C6308,2,0)</f>
        <v>Boerhavia diffusa</v>
      </c>
      <c r="H5909" s="6" t="str">
        <f>VLOOKUP(E5909,dicionario!$A$1:$C6308,3,0)</f>
        <v>erva-tostão</v>
      </c>
    </row>
    <row r="5910">
      <c r="A5910" s="3">
        <v>45694.0</v>
      </c>
      <c r="B5910" s="4">
        <v>0.2833333333333333</v>
      </c>
      <c r="C5910" s="5" t="s">
        <v>76</v>
      </c>
      <c r="D5910" s="5" t="s">
        <v>1082</v>
      </c>
      <c r="E5910" s="8" t="s">
        <v>65</v>
      </c>
      <c r="F5910" s="5" t="s">
        <v>66</v>
      </c>
      <c r="G5910" s="6" t="str">
        <f>VLOOKUP(E5910,dicionario!$A$1:$C6309,2,0)</f>
        <v>Pitangus sulphutarus</v>
      </c>
      <c r="H5910" s="6" t="str">
        <f>VLOOKUP(E5910,dicionario!$A$1:$C6309,3,0)</f>
        <v>bem-te-vi</v>
      </c>
    </row>
    <row r="5911">
      <c r="A5911" s="3">
        <v>45694.0</v>
      </c>
      <c r="B5911" s="4">
        <v>0.2833333333333333</v>
      </c>
      <c r="C5911" s="5" t="s">
        <v>76</v>
      </c>
      <c r="D5911" s="5" t="s">
        <v>1082</v>
      </c>
      <c r="E5911" s="8" t="s">
        <v>355</v>
      </c>
      <c r="F5911" s="5" t="s">
        <v>356</v>
      </c>
      <c r="G5911" s="6" t="str">
        <f>VLOOKUP(E5911,dicionario!$A$1:$C6310,2,0)</f>
        <v>Boerhavia diffusa</v>
      </c>
      <c r="H5911" s="6" t="str">
        <f>VLOOKUP(E5911,dicionario!$A$1:$C6310,3,0)</f>
        <v>erva-tostão</v>
      </c>
    </row>
    <row r="5912">
      <c r="A5912" s="3">
        <v>45694.0</v>
      </c>
      <c r="B5912" s="4">
        <v>0.2833333333333333</v>
      </c>
      <c r="C5912" s="5" t="s">
        <v>76</v>
      </c>
      <c r="D5912" s="5" t="s">
        <v>1082</v>
      </c>
      <c r="E5912" s="8" t="s">
        <v>613</v>
      </c>
      <c r="F5912" s="5" t="s">
        <v>614</v>
      </c>
      <c r="G5912" s="6" t="str">
        <f>VLOOKUP(E5912,dicionario!$A$1:$C6311,2,0)</f>
        <v>Euphorbia hyssopifolia</v>
      </c>
      <c r="H5912" s="6" t="str">
        <f>VLOOKUP(E5912,dicionario!$A$1:$C6311,3,0)</f>
        <v>maria-leite</v>
      </c>
    </row>
    <row r="5913">
      <c r="A5913" s="3">
        <v>45694.0</v>
      </c>
      <c r="B5913" s="4">
        <v>0.28402777777777777</v>
      </c>
      <c r="C5913" s="5" t="s">
        <v>76</v>
      </c>
      <c r="D5913" s="5" t="s">
        <v>1082</v>
      </c>
      <c r="E5913" s="8" t="s">
        <v>48</v>
      </c>
      <c r="F5913" s="5" t="s">
        <v>49</v>
      </c>
      <c r="G5913" s="6" t="str">
        <f>VLOOKUP(E5913,dicionario!$A$1:$C6312,2,0)</f>
        <v>Commelina erecta</v>
      </c>
      <c r="H5913" s="6" t="str">
        <f>VLOOKUP(E5913,dicionario!$A$1:$C6312,3,0)</f>
        <v>trapoeraba</v>
      </c>
    </row>
    <row r="5914">
      <c r="A5914" s="3">
        <v>45694.0</v>
      </c>
      <c r="B5914" s="4">
        <v>0.28402777777777777</v>
      </c>
      <c r="C5914" s="5" t="s">
        <v>76</v>
      </c>
      <c r="D5914" s="5" t="s">
        <v>1082</v>
      </c>
      <c r="E5914" s="6" t="s">
        <v>481</v>
      </c>
      <c r="F5914" s="5" t="s">
        <v>482</v>
      </c>
      <c r="G5914" s="6" t="str">
        <f>VLOOKUP(E5914,dicionario!$A$1:$C6313,2,0)</f>
        <v>Camptostoma obsoletum</v>
      </c>
      <c r="H5914" s="6" t="str">
        <f>VLOOKUP(E5914,dicionario!$A$1:$C6313,3,0)</f>
        <v>risadinha</v>
      </c>
    </row>
    <row r="5915">
      <c r="A5915" s="3">
        <v>45694.0</v>
      </c>
      <c r="B5915" s="4">
        <v>0.28402777777777777</v>
      </c>
      <c r="C5915" s="5" t="s">
        <v>76</v>
      </c>
      <c r="D5915" s="5" t="s">
        <v>1082</v>
      </c>
      <c r="E5915" s="8" t="s">
        <v>113</v>
      </c>
      <c r="F5915" s="5" t="s">
        <v>114</v>
      </c>
      <c r="G5915" s="6" t="str">
        <f>VLOOKUP(E5915,dicionario!$A$1:$C6314,2,0)</f>
        <v>Columbina talpacoti</v>
      </c>
      <c r="H5915" s="6" t="str">
        <f>VLOOKUP(E5915,dicionario!$A$1:$C6314,3,0)</f>
        <v>rolinha-roxa</v>
      </c>
    </row>
    <row r="5916">
      <c r="A5916" s="3">
        <v>45694.0</v>
      </c>
      <c r="B5916" s="4">
        <v>0.28402777777777777</v>
      </c>
      <c r="C5916" s="5" t="s">
        <v>76</v>
      </c>
      <c r="D5916" s="5" t="s">
        <v>1082</v>
      </c>
      <c r="E5916" s="8" t="s">
        <v>154</v>
      </c>
      <c r="F5916" s="5" t="s">
        <v>155</v>
      </c>
      <c r="G5916" s="6" t="str">
        <f>VLOOKUP(E5916,dicionario!$A$1:$C6315,2,0)</f>
        <v>Cyperus rotundus</v>
      </c>
      <c r="H5916" s="6" t="str">
        <f>VLOOKUP(E5916,dicionario!$A$1:$C6315,3,0)</f>
        <v>tiririca</v>
      </c>
    </row>
    <row r="5917">
      <c r="A5917" s="3">
        <v>45694.0</v>
      </c>
      <c r="B5917" s="4">
        <v>0.28402777777777777</v>
      </c>
      <c r="C5917" s="5" t="s">
        <v>76</v>
      </c>
      <c r="D5917" s="5" t="s">
        <v>1082</v>
      </c>
      <c r="E5917" s="8" t="s">
        <v>191</v>
      </c>
      <c r="F5917" s="5" t="s">
        <v>192</v>
      </c>
      <c r="G5917" s="6" t="str">
        <f>VLOOKUP(E5917,dicionario!$A$1:$C6316,2,0)</f>
        <v>Patagioenas picazuro</v>
      </c>
      <c r="H5917" s="6" t="str">
        <f>VLOOKUP(E5917,dicionario!$A$1:$C6316,3,0)</f>
        <v>asa-branca; pomba-asa-branca; pocaçu</v>
      </c>
    </row>
    <row r="5918">
      <c r="A5918" s="3">
        <v>45694.0</v>
      </c>
      <c r="B5918" s="4">
        <v>0.28402777777777777</v>
      </c>
      <c r="C5918" s="5" t="s">
        <v>76</v>
      </c>
      <c r="D5918" s="5" t="s">
        <v>1082</v>
      </c>
      <c r="E5918" s="8" t="s">
        <v>946</v>
      </c>
      <c r="F5918" s="5" t="s">
        <v>1091</v>
      </c>
      <c r="G5918" s="6" t="str">
        <f>VLOOKUP(E5918,dicionario!$A$1:$C6317,2,0)</f>
        <v>Thorybes dorantes</v>
      </c>
      <c r="H5918" s="6" t="str">
        <f>VLOOKUP(E5918,dicionario!$A$1:$C6317,3,0)</f>
        <v>mariposa-de-cauda-lilás</v>
      </c>
    </row>
    <row r="5919">
      <c r="A5919" s="3">
        <v>45694.0</v>
      </c>
      <c r="B5919" s="4">
        <v>0.2847222222222222</v>
      </c>
      <c r="C5919" s="5" t="s">
        <v>76</v>
      </c>
      <c r="D5919" s="5" t="s">
        <v>1082</v>
      </c>
      <c r="E5919" s="8" t="s">
        <v>150</v>
      </c>
      <c r="F5919" s="5" t="s">
        <v>151</v>
      </c>
      <c r="G5919" s="6" t="str">
        <f>VLOOKUP(E5919,dicionario!$A$1:$C6318,2,0)</f>
        <v>Amaranthus viridis</v>
      </c>
      <c r="H5919" s="6" t="str">
        <f>VLOOKUP(E5919,dicionario!$A$1:$C6318,3,0)</f>
        <v>caruru-de-mancha</v>
      </c>
    </row>
    <row r="5920">
      <c r="A5920" s="3">
        <v>45694.0</v>
      </c>
      <c r="B5920" s="4">
        <v>0.2847222222222222</v>
      </c>
      <c r="C5920" s="5" t="s">
        <v>76</v>
      </c>
      <c r="D5920" s="5" t="s">
        <v>1082</v>
      </c>
      <c r="E5920" s="8" t="s">
        <v>1115</v>
      </c>
      <c r="F5920" s="5" t="s">
        <v>1116</v>
      </c>
      <c r="G5920" s="6" t="str">
        <f>VLOOKUP(E5920,dicionario!$A$1:$C6319,2,0)</f>
        <v>#N/A</v>
      </c>
      <c r="H5920" s="6" t="str">
        <f>VLOOKUP(E5920,dicionario!$A$1:$C6319,3,0)</f>
        <v>#N/A</v>
      </c>
    </row>
    <row r="5921">
      <c r="A5921" s="3">
        <v>45694.0</v>
      </c>
      <c r="B5921" s="4">
        <v>0.2847222222222222</v>
      </c>
      <c r="C5921" s="5" t="s">
        <v>76</v>
      </c>
      <c r="D5921" s="5" t="s">
        <v>1082</v>
      </c>
      <c r="E5921" s="8" t="s">
        <v>253</v>
      </c>
      <c r="F5921" s="5" t="s">
        <v>254</v>
      </c>
      <c r="G5921" s="6" t="str">
        <f>VLOOKUP(E5921,dicionario!$A$1:$C6320,2,0)</f>
        <v>Panicum maximum</v>
      </c>
      <c r="H5921" s="6" t="str">
        <f>VLOOKUP(E5921,dicionario!$A$1:$C6320,3,0)</f>
        <v>capim-colonião</v>
      </c>
    </row>
    <row r="5922">
      <c r="A5922" s="3">
        <v>45694.0</v>
      </c>
      <c r="B5922" s="4">
        <v>0.28541666666666665</v>
      </c>
      <c r="C5922" s="5" t="s">
        <v>76</v>
      </c>
      <c r="D5922" s="5" t="s">
        <v>1082</v>
      </c>
      <c r="E5922" s="6" t="s">
        <v>539</v>
      </c>
      <c r="F5922" s="5" t="s">
        <v>540</v>
      </c>
      <c r="G5922" s="6" t="str">
        <f>VLOOKUP(E5922,dicionario!$A$1:$C6321,2,0)</f>
        <v>#N/A</v>
      </c>
      <c r="H5922" s="6" t="str">
        <f>VLOOKUP(E5922,dicionario!$A$1:$C6321,3,0)</f>
        <v>#N/A</v>
      </c>
    </row>
    <row r="5923">
      <c r="A5923" s="3">
        <v>45694.0</v>
      </c>
      <c r="B5923" s="4">
        <v>0.28541666666666665</v>
      </c>
      <c r="C5923" s="5" t="s">
        <v>76</v>
      </c>
      <c r="D5923" s="5" t="s">
        <v>1082</v>
      </c>
      <c r="E5923" s="8" t="s">
        <v>693</v>
      </c>
      <c r="F5923" s="5" t="s">
        <v>1162</v>
      </c>
      <c r="G5923" s="6" t="str">
        <f>VLOOKUP(E5923,dicionario!$A$1:$C6322,2,0)</f>
        <v>Sarasinula plebeia</v>
      </c>
      <c r="H5923" s="6" t="str">
        <f>VLOOKUP(E5923,dicionario!$A$1:$C6322,3,0)</f>
        <v>lesma-feijão</v>
      </c>
    </row>
    <row r="5924">
      <c r="A5924" s="3">
        <v>45694.0</v>
      </c>
      <c r="B5924" s="4">
        <v>0.28541666666666665</v>
      </c>
      <c r="C5924" s="5" t="s">
        <v>76</v>
      </c>
      <c r="D5924" s="5" t="s">
        <v>1082</v>
      </c>
      <c r="E5924" s="6" t="s">
        <v>326</v>
      </c>
      <c r="F5924" s="5" t="s">
        <v>963</v>
      </c>
      <c r="G5924" s="6" t="str">
        <f>VLOOKUP(E5924,dicionario!$A$1:$C6323,2,0)</f>
        <v>Amaranthus spinosus</v>
      </c>
      <c r="H5924" s="6" t="str">
        <f>VLOOKUP(E5924,dicionario!$A$1:$C6323,3,0)</f>
        <v>caruru-de-espinho</v>
      </c>
    </row>
    <row r="5925">
      <c r="A5925" s="3">
        <v>45694.0</v>
      </c>
      <c r="B5925" s="4">
        <v>0.28541666666666665</v>
      </c>
      <c r="C5925" s="5" t="s">
        <v>76</v>
      </c>
      <c r="D5925" s="5" t="s">
        <v>1082</v>
      </c>
      <c r="E5925" s="8" t="s">
        <v>467</v>
      </c>
      <c r="F5925" s="5" t="s">
        <v>468</v>
      </c>
      <c r="G5925" s="6" t="str">
        <f>VLOOKUP(E5925,dicionario!$A$1:$C6324,2,0)</f>
        <v>Eleusine indica</v>
      </c>
      <c r="H5925" s="6" t="str">
        <f>VLOOKUP(E5925,dicionario!$A$1:$C6324,3,0)</f>
        <v>capim-pé-de-galinha</v>
      </c>
    </row>
    <row r="5926">
      <c r="A5926" s="3">
        <v>45694.0</v>
      </c>
      <c r="B5926" s="4">
        <v>0.2861111111111111</v>
      </c>
      <c r="C5926" s="5" t="s">
        <v>76</v>
      </c>
      <c r="D5926" s="5" t="s">
        <v>1082</v>
      </c>
      <c r="E5926" s="8" t="s">
        <v>891</v>
      </c>
      <c r="F5926" s="5" t="s">
        <v>1163</v>
      </c>
      <c r="G5926" s="6" t="str">
        <f>VLOOKUP(E5926,dicionario!$A$1:$C6325,2,0)</f>
        <v>Cymaenes tripunctus</v>
      </c>
      <c r="H5926" s="6" t="str">
        <f>VLOOKUP(E5926,dicionario!$A$1:$C6325,3,0)</f>
        <v>borboleta-de-três-pintas</v>
      </c>
    </row>
    <row r="5927">
      <c r="A5927" s="3">
        <v>45694.0</v>
      </c>
      <c r="B5927" s="4">
        <v>0.2861111111111111</v>
      </c>
      <c r="C5927" s="5" t="s">
        <v>76</v>
      </c>
      <c r="D5927" s="5" t="s">
        <v>1082</v>
      </c>
      <c r="E5927" s="8" t="s">
        <v>139</v>
      </c>
      <c r="F5927" s="5" t="s">
        <v>862</v>
      </c>
      <c r="G5927" s="6" t="str">
        <f>VLOOKUP(E5927,dicionario!$A$1:$C6326,2,0)</f>
        <v>Tropidurus torquatus</v>
      </c>
      <c r="H5927" s="6" t="str">
        <f>VLOOKUP(E5927,dicionario!$A$1:$C6326,3,0)</f>
        <v>calango; tropiduro-comum</v>
      </c>
    </row>
    <row r="5928">
      <c r="A5928" s="3">
        <v>45694.0</v>
      </c>
      <c r="B5928" s="4">
        <v>0.28680555555555554</v>
      </c>
      <c r="C5928" s="5" t="s">
        <v>76</v>
      </c>
      <c r="D5928" s="5" t="s">
        <v>1082</v>
      </c>
      <c r="E5928" s="8" t="s">
        <v>938</v>
      </c>
      <c r="F5928" s="5" t="s">
        <v>737</v>
      </c>
      <c r="G5928" s="6" t="str">
        <f>VLOOKUP(E5928,dicionario!$A$1:$C6327,2,0)</f>
        <v>Chloris barbata</v>
      </c>
      <c r="H5928" s="6" t="str">
        <f>VLOOKUP(E5928,dicionario!$A$1:$C6327,3,0)</f>
        <v/>
      </c>
    </row>
    <row r="5929">
      <c r="A5929" s="3">
        <v>45694.0</v>
      </c>
      <c r="B5929" s="4">
        <v>0.28680555555555554</v>
      </c>
      <c r="C5929" s="5" t="s">
        <v>76</v>
      </c>
      <c r="D5929" s="5" t="s">
        <v>1082</v>
      </c>
      <c r="E5929" s="8" t="s">
        <v>144</v>
      </c>
      <c r="F5929" s="5" t="s">
        <v>145</v>
      </c>
      <c r="G5929" s="6" t="str">
        <f>VLOOKUP(E5929,dicionario!$A$1:$C6328,2,0)</f>
        <v>Gomphrena globosa</v>
      </c>
      <c r="H5929" s="6" t="str">
        <f>VLOOKUP(E5929,dicionario!$A$1:$C6328,3,0)</f>
        <v>perpétua-rosa</v>
      </c>
    </row>
    <row r="5930">
      <c r="A5930" s="3">
        <v>45694.0</v>
      </c>
      <c r="B5930" s="4">
        <v>0.2875</v>
      </c>
      <c r="C5930" s="5" t="s">
        <v>76</v>
      </c>
      <c r="D5930" s="5" t="s">
        <v>1082</v>
      </c>
      <c r="E5930" s="8" t="s">
        <v>574</v>
      </c>
      <c r="F5930" s="5" t="s">
        <v>1164</v>
      </c>
      <c r="G5930" s="6" t="str">
        <f>VLOOKUP(E5930,dicionario!$A$1:$C6329,2,0)</f>
        <v>#N/A</v>
      </c>
      <c r="H5930" s="6" t="str">
        <f>VLOOKUP(E5930,dicionario!$A$1:$C6329,3,0)</f>
        <v>#N/A</v>
      </c>
    </row>
    <row r="5931">
      <c r="A5931" s="3">
        <v>45694.0</v>
      </c>
      <c r="B5931" s="4">
        <v>0.2881944444444444</v>
      </c>
      <c r="C5931" s="5" t="s">
        <v>76</v>
      </c>
      <c r="D5931" s="5" t="s">
        <v>1082</v>
      </c>
      <c r="E5931" s="8" t="s">
        <v>483</v>
      </c>
      <c r="F5931" s="5" t="s">
        <v>289</v>
      </c>
      <c r="G5931" s="6" t="str">
        <f>VLOOKUP(E5931,dicionario!$A$1:$C6330,2,0)</f>
        <v>Euphorbia prostrata</v>
      </c>
      <c r="H5931" s="6" t="str">
        <f>VLOOKUP(E5931,dicionario!$A$1:$C6330,3,0)</f>
        <v>quebra-pedra-rasteira</v>
      </c>
    </row>
    <row r="5932">
      <c r="A5932" s="3">
        <v>45694.0</v>
      </c>
      <c r="B5932" s="4">
        <v>0.2881944444444444</v>
      </c>
      <c r="C5932" s="5" t="s">
        <v>76</v>
      </c>
      <c r="D5932" s="5" t="s">
        <v>1082</v>
      </c>
      <c r="E5932" s="8" t="s">
        <v>748</v>
      </c>
      <c r="F5932" s="7" t="s">
        <v>749</v>
      </c>
      <c r="G5932" s="6" t="str">
        <f>VLOOKUP(E5932,dicionario!$A$1:$C6331,2,0)</f>
        <v>#N/A</v>
      </c>
      <c r="H5932" s="6" t="str">
        <f>VLOOKUP(E5932,dicionario!$A$1:$C6331,3,0)</f>
        <v>#N/A</v>
      </c>
    </row>
    <row r="5933">
      <c r="A5933" s="3">
        <v>45694.0</v>
      </c>
      <c r="B5933" s="4">
        <v>0.2881944444444444</v>
      </c>
      <c r="C5933" s="5" t="s">
        <v>76</v>
      </c>
      <c r="D5933" s="5" t="s">
        <v>1082</v>
      </c>
      <c r="E5933" s="8" t="s">
        <v>20</v>
      </c>
      <c r="F5933" s="7" t="s">
        <v>21</v>
      </c>
      <c r="G5933" s="6" t="str">
        <f>VLOOKUP(E5933,dicionario!$A$1:$C6332,2,0)</f>
        <v>Sicalis flaveola</v>
      </c>
      <c r="H5933" s="6" t="str">
        <f>VLOOKUP(E5933,dicionario!$A$1:$C6332,3,0)</f>
        <v>canário-da-terra</v>
      </c>
    </row>
    <row r="5934">
      <c r="A5934" s="3">
        <v>45694.0</v>
      </c>
      <c r="B5934" s="4">
        <v>0.28888888888888886</v>
      </c>
      <c r="C5934" s="5" t="s">
        <v>76</v>
      </c>
      <c r="D5934" s="5" t="s">
        <v>1082</v>
      </c>
      <c r="E5934" s="8" t="s">
        <v>366</v>
      </c>
      <c r="F5934" s="5" t="s">
        <v>367</v>
      </c>
      <c r="G5934" s="6" t="str">
        <f>VLOOKUP(E5934,dicionario!$A$1:$C6333,2,0)</f>
        <v>Alternanthera ficoidea</v>
      </c>
      <c r="H5934" s="6" t="str">
        <f>VLOOKUP(E5934,dicionario!$A$1:$C6333,3,0)</f>
        <v>quebra-panela</v>
      </c>
    </row>
    <row r="5935">
      <c r="A5935" s="3">
        <v>45694.0</v>
      </c>
      <c r="B5935" s="4">
        <v>0.28888888888888886</v>
      </c>
      <c r="C5935" s="5" t="s">
        <v>76</v>
      </c>
      <c r="D5935" s="5" t="s">
        <v>1082</v>
      </c>
      <c r="E5935" s="8" t="s">
        <v>83</v>
      </c>
      <c r="F5935" s="5" t="s">
        <v>84</v>
      </c>
      <c r="G5935" s="6" t="str">
        <f>VLOOKUP(E5935,dicionario!$A$1:$C6334,2,0)</f>
        <v>Anartia jatrophae</v>
      </c>
      <c r="H5935" s="6" t="str">
        <f>VLOOKUP(E5935,dicionario!$A$1:$C6334,3,0)</f>
        <v>borboleta-pavão-branco</v>
      </c>
    </row>
    <row r="5936">
      <c r="A5936" s="3">
        <v>45694.0</v>
      </c>
      <c r="B5936" s="4">
        <v>0.28888888888888886</v>
      </c>
      <c r="C5936" s="5" t="s">
        <v>76</v>
      </c>
      <c r="D5936" s="5" t="s">
        <v>1082</v>
      </c>
      <c r="E5936" s="8" t="s">
        <v>227</v>
      </c>
      <c r="F5936" s="5" t="s">
        <v>228</v>
      </c>
      <c r="G5936" s="6" t="str">
        <f>VLOOKUP(E5936,dicionario!$A$1:$C6335,2,0)</f>
        <v>Indigofera hirsuta</v>
      </c>
      <c r="H5936" s="6" t="str">
        <f>VLOOKUP(E5936,dicionario!$A$1:$C6335,3,0)</f>
        <v>anileira</v>
      </c>
    </row>
    <row r="5937">
      <c r="A5937" s="3">
        <v>45694.0</v>
      </c>
      <c r="B5937" s="4">
        <v>0.28888888888888886</v>
      </c>
      <c r="C5937" s="5" t="s">
        <v>76</v>
      </c>
      <c r="D5937" s="5" t="s">
        <v>1082</v>
      </c>
      <c r="E5937" s="8" t="s">
        <v>239</v>
      </c>
      <c r="F5937" s="5" t="s">
        <v>240</v>
      </c>
      <c r="G5937" s="6" t="str">
        <f>VLOOKUP(E5937,dicionario!$A$1:$C6336,2,0)</f>
        <v>Gomphrena celosioides</v>
      </c>
      <c r="H5937" s="6" t="str">
        <f>VLOOKUP(E5937,dicionario!$A$1:$C6336,3,0)</f>
        <v>perpétua-branca</v>
      </c>
    </row>
    <row r="5938">
      <c r="A5938" s="3">
        <v>45694.0</v>
      </c>
      <c r="B5938" s="4">
        <v>0.28958333333333336</v>
      </c>
      <c r="C5938" s="5" t="s">
        <v>76</v>
      </c>
      <c r="D5938" s="5" t="s">
        <v>1082</v>
      </c>
      <c r="E5938" s="8" t="s">
        <v>292</v>
      </c>
      <c r="F5938" s="5" t="s">
        <v>293</v>
      </c>
      <c r="G5938" s="6" t="str">
        <f>VLOOKUP(E5938,dicionario!$A$1:$C6337,2,0)</f>
        <v>Ascia monuste</v>
      </c>
      <c r="H5938" s="6" t="str">
        <f>VLOOKUP(E5938,dicionario!$A$1:$C6337,3,0)</f>
        <v>borboleta-da-couve</v>
      </c>
    </row>
    <row r="5939">
      <c r="A5939" s="3">
        <v>45694.0</v>
      </c>
      <c r="B5939" s="4">
        <v>0.28958333333333336</v>
      </c>
      <c r="C5939" s="5" t="s">
        <v>76</v>
      </c>
      <c r="D5939" s="5" t="s">
        <v>1082</v>
      </c>
      <c r="E5939" s="6" t="s">
        <v>648</v>
      </c>
      <c r="F5939" s="5" t="s">
        <v>649</v>
      </c>
      <c r="G5939" s="6" t="str">
        <f>VLOOKUP(E5939,dicionario!$A$1:$C6338,2,0)</f>
        <v>Burnsius orcus</v>
      </c>
      <c r="H5939" s="6" t="str">
        <f>VLOOKUP(E5939,dicionario!$A$1:$C6338,3,0)</f>
        <v/>
      </c>
    </row>
    <row r="5940">
      <c r="A5940" s="3">
        <v>45694.0</v>
      </c>
      <c r="B5940" s="4">
        <v>0.28958333333333336</v>
      </c>
      <c r="C5940" s="5" t="s">
        <v>76</v>
      </c>
      <c r="D5940" s="5" t="s">
        <v>1082</v>
      </c>
      <c r="E5940" s="8" t="s">
        <v>290</v>
      </c>
      <c r="F5940" s="5" t="s">
        <v>291</v>
      </c>
      <c r="G5940" s="6" t="str">
        <f>VLOOKUP(E5940,dicionario!$A$1:$C6339,2,0)</f>
        <v>Drymaria cordata</v>
      </c>
      <c r="H5940" s="6" t="str">
        <f>VLOOKUP(E5940,dicionario!$A$1:$C6339,3,0)</f>
        <v>orelha-de-rato</v>
      </c>
    </row>
    <row r="5941">
      <c r="A5941" s="3">
        <v>45694.0</v>
      </c>
      <c r="B5941" s="4">
        <v>0.2902777777777778</v>
      </c>
      <c r="C5941" s="5" t="s">
        <v>76</v>
      </c>
      <c r="D5941" s="5" t="s">
        <v>1082</v>
      </c>
      <c r="E5941" s="8" t="s">
        <v>69</v>
      </c>
      <c r="F5941" s="7" t="s">
        <v>71</v>
      </c>
      <c r="G5941" s="6" t="str">
        <f>VLOOKUP(E5941,dicionario!$A$1:$C6340,2,0)</f>
        <v>Talinum fruticosum</v>
      </c>
      <c r="H5941" s="6" t="str">
        <f>VLOOKUP(E5941,dicionario!$A$1:$C6340,3,0)</f>
        <v>beldroega-grande</v>
      </c>
    </row>
    <row r="5942">
      <c r="A5942" s="3">
        <v>45694.0</v>
      </c>
      <c r="B5942" s="4">
        <v>0.2902777777777778</v>
      </c>
      <c r="C5942" s="5" t="s">
        <v>76</v>
      </c>
      <c r="D5942" s="5" t="s">
        <v>1082</v>
      </c>
      <c r="E5942" s="8" t="s">
        <v>10</v>
      </c>
      <c r="F5942" s="5" t="s">
        <v>11</v>
      </c>
      <c r="G5942" s="6" t="str">
        <f>VLOOKUP(E5942,dicionario!$A$1:$C6341,2,0)</f>
        <v>Guira guira</v>
      </c>
      <c r="H5942" s="6" t="str">
        <f>VLOOKUP(E5942,dicionario!$A$1:$C6341,3,0)</f>
        <v>anu-branco</v>
      </c>
    </row>
    <row r="5943">
      <c r="A5943" s="3">
        <v>45694.0</v>
      </c>
      <c r="B5943" s="4">
        <v>0.2902777777777778</v>
      </c>
      <c r="C5943" s="5" t="s">
        <v>76</v>
      </c>
      <c r="D5943" s="5" t="s">
        <v>1082</v>
      </c>
      <c r="E5943" s="8" t="s">
        <v>886</v>
      </c>
      <c r="F5943" s="5" t="s">
        <v>887</v>
      </c>
      <c r="G5943" s="6" t="str">
        <f>VLOOKUP(E5943,dicionario!$A$1:$C6342,2,0)</f>
        <v>Oldenlandia corymbosa</v>
      </c>
      <c r="H5943" s="6" t="str">
        <f>VLOOKUP(E5943,dicionario!$A$1:$C6342,3,0)</f>
        <v>erva-diamante</v>
      </c>
    </row>
    <row r="5944">
      <c r="A5944" s="3">
        <v>45694.0</v>
      </c>
      <c r="B5944" s="4">
        <v>0.29097222222222224</v>
      </c>
      <c r="C5944" s="5" t="s">
        <v>76</v>
      </c>
      <c r="D5944" s="5" t="s">
        <v>1082</v>
      </c>
      <c r="E5944" s="8" t="s">
        <v>471</v>
      </c>
      <c r="F5944" s="5" t="s">
        <v>472</v>
      </c>
      <c r="G5944" s="6" t="str">
        <f>VLOOKUP(E5944,dicionario!$A$1:$C6343,2,0)</f>
        <v>Sida acuta</v>
      </c>
      <c r="H5944" s="6" t="str">
        <f>VLOOKUP(E5944,dicionario!$A$1:$C6343,3,0)</f>
        <v>reloginho</v>
      </c>
    </row>
    <row r="5945">
      <c r="A5945" s="3">
        <v>45694.0</v>
      </c>
      <c r="B5945" s="4">
        <v>0.29097222222222224</v>
      </c>
      <c r="C5945" s="5" t="s">
        <v>76</v>
      </c>
      <c r="D5945" s="5" t="s">
        <v>1082</v>
      </c>
      <c r="E5945" s="8" t="s">
        <v>566</v>
      </c>
      <c r="F5945" s="5" t="s">
        <v>567</v>
      </c>
      <c r="G5945" s="6" t="str">
        <f>VLOOKUP(E5945,dicionario!$A$1:$C6344,2,0)</f>
        <v>Baccharis dracunculifolia</v>
      </c>
      <c r="H5945" s="6" t="str">
        <f>VLOOKUP(E5945,dicionario!$A$1:$C6344,3,0)</f>
        <v>vassoura</v>
      </c>
    </row>
    <row r="5946">
      <c r="A5946" s="3">
        <v>45694.0</v>
      </c>
      <c r="B5946" s="4">
        <v>0.29097222222222224</v>
      </c>
      <c r="C5946" s="5" t="s">
        <v>76</v>
      </c>
      <c r="D5946" s="5" t="s">
        <v>1082</v>
      </c>
      <c r="E5946" s="8" t="s">
        <v>267</v>
      </c>
      <c r="F5946" s="5" t="s">
        <v>553</v>
      </c>
      <c r="G5946" s="6" t="str">
        <f>VLOOKUP(E5946,dicionario!$A$1:$C6345,2,0)</f>
        <v>Solanum americanum</v>
      </c>
      <c r="H5946" s="6" t="str">
        <f>VLOOKUP(E5946,dicionario!$A$1:$C6345,3,0)</f>
        <v>maria-pretinha</v>
      </c>
    </row>
    <row r="5947">
      <c r="A5947" s="3">
        <v>45694.0</v>
      </c>
      <c r="B5947" s="4">
        <v>0.2916666666666667</v>
      </c>
      <c r="C5947" s="5" t="s">
        <v>76</v>
      </c>
      <c r="D5947" s="5" t="s">
        <v>1082</v>
      </c>
      <c r="E5947" s="8" t="s">
        <v>1138</v>
      </c>
      <c r="F5947" s="5" t="s">
        <v>1165</v>
      </c>
      <c r="G5947" s="6" t="str">
        <f>VLOOKUP(E5947,dicionario!$A$1:$C6346,2,0)</f>
        <v>#N/A</v>
      </c>
      <c r="H5947" s="6" t="str">
        <f>VLOOKUP(E5947,dicionario!$A$1:$C6346,3,0)</f>
        <v>#N/A</v>
      </c>
    </row>
    <row r="5948">
      <c r="A5948" s="3">
        <v>45694.0</v>
      </c>
      <c r="B5948" s="4">
        <v>0.29583333333333334</v>
      </c>
      <c r="C5948" s="5" t="s">
        <v>948</v>
      </c>
      <c r="D5948" s="5" t="s">
        <v>1082</v>
      </c>
      <c r="E5948" s="8" t="s">
        <v>20</v>
      </c>
      <c r="F5948" s="7" t="s">
        <v>21</v>
      </c>
      <c r="G5948" s="6" t="str">
        <f>VLOOKUP(E5948,dicionario!$A$1:$C6347,2,0)</f>
        <v>Sicalis flaveola</v>
      </c>
      <c r="H5948" s="6" t="str">
        <f>VLOOKUP(E5948,dicionario!$A$1:$C6347,3,0)</f>
        <v>canário-da-terra</v>
      </c>
    </row>
    <row r="5949">
      <c r="A5949" s="3">
        <v>45694.0</v>
      </c>
      <c r="B5949" s="4">
        <v>0.29583333333333334</v>
      </c>
      <c r="C5949" s="5" t="s">
        <v>948</v>
      </c>
      <c r="D5949" s="5" t="s">
        <v>1082</v>
      </c>
      <c r="E5949" s="8" t="s">
        <v>177</v>
      </c>
      <c r="F5949" s="5" t="s">
        <v>607</v>
      </c>
      <c r="G5949" s="6" t="str">
        <f>VLOOKUP(E5949,dicionario!$A$1:$C6348,2,0)</f>
        <v>Elaenia flavogaster</v>
      </c>
      <c r="H5949" s="6" t="str">
        <f>VLOOKUP(E5949,dicionario!$A$1:$C6348,3,0)</f>
        <v>guaracava-de-barriga-amarela</v>
      </c>
    </row>
    <row r="5950">
      <c r="A5950" s="3">
        <v>45694.0</v>
      </c>
      <c r="B5950" s="4">
        <v>0.2965277777777778</v>
      </c>
      <c r="C5950" s="5" t="s">
        <v>948</v>
      </c>
      <c r="D5950" s="5" t="s">
        <v>1082</v>
      </c>
      <c r="E5950" s="8" t="s">
        <v>72</v>
      </c>
      <c r="F5950" s="5" t="s">
        <v>73</v>
      </c>
      <c r="G5950" s="6" t="str">
        <f>VLOOKUP(E5950,dicionario!$A$1:$C6349,2,0)</f>
        <v>Thraupis palmarum</v>
      </c>
      <c r="H5950" s="6" t="str">
        <f>VLOOKUP(E5950,dicionario!$A$1:$C6349,3,0)</f>
        <v>sanhaço-do-coqueiro</v>
      </c>
    </row>
    <row r="5951">
      <c r="A5951" s="3">
        <v>45694.0</v>
      </c>
      <c r="B5951" s="4">
        <v>0.2965277777777778</v>
      </c>
      <c r="C5951" s="5" t="s">
        <v>948</v>
      </c>
      <c r="D5951" s="5" t="s">
        <v>1082</v>
      </c>
      <c r="E5951" s="8" t="s">
        <v>86</v>
      </c>
      <c r="F5951" s="5" t="s">
        <v>502</v>
      </c>
      <c r="G5951" s="6" t="str">
        <f>VLOOKUP(E5951,dicionario!$A$1:$C6350,2,0)</f>
        <v>Coereba flaveola</v>
      </c>
      <c r="H5951" s="6" t="str">
        <f>VLOOKUP(E5951,dicionario!$A$1:$C6350,3,0)</f>
        <v>cambacica</v>
      </c>
    </row>
    <row r="5952">
      <c r="A5952" s="3">
        <v>45694.0</v>
      </c>
      <c r="B5952" s="4">
        <v>0.2972222222222222</v>
      </c>
      <c r="C5952" s="5" t="s">
        <v>948</v>
      </c>
      <c r="D5952" s="5" t="s">
        <v>1082</v>
      </c>
      <c r="E5952" s="8" t="s">
        <v>378</v>
      </c>
      <c r="F5952" s="5" t="s">
        <v>205</v>
      </c>
      <c r="G5952" s="6" t="str">
        <f>VLOOKUP(E5952,dicionario!$A$1:$C6351,2,0)</f>
        <v>Polistes</v>
      </c>
      <c r="H5952" s="6" t="str">
        <f>VLOOKUP(E5952,dicionario!$A$1:$C6351,3,0)</f>
        <v>marimbondo</v>
      </c>
    </row>
    <row r="5953">
      <c r="A5953" s="3">
        <v>45694.0</v>
      </c>
      <c r="B5953" s="4">
        <v>0.2972222222222222</v>
      </c>
      <c r="C5953" s="5" t="s">
        <v>948</v>
      </c>
      <c r="D5953" s="5" t="s">
        <v>1082</v>
      </c>
      <c r="E5953" s="8" t="s">
        <v>113</v>
      </c>
      <c r="F5953" s="5" t="s">
        <v>114</v>
      </c>
      <c r="G5953" s="6" t="str">
        <f>VLOOKUP(E5953,dicionario!$A$1:$C6352,2,0)</f>
        <v>Columbina talpacoti</v>
      </c>
      <c r="H5953" s="6" t="str">
        <f>VLOOKUP(E5953,dicionario!$A$1:$C6352,3,0)</f>
        <v>rolinha-roxa</v>
      </c>
    </row>
    <row r="5954">
      <c r="A5954" s="3">
        <v>45694.0</v>
      </c>
      <c r="B5954" s="4">
        <v>0.29791666666666666</v>
      </c>
      <c r="C5954" s="5" t="s">
        <v>948</v>
      </c>
      <c r="D5954" s="5" t="s">
        <v>1082</v>
      </c>
      <c r="E5954" s="8" t="s">
        <v>65</v>
      </c>
      <c r="F5954" s="5" t="s">
        <v>66</v>
      </c>
      <c r="G5954" s="6" t="str">
        <f>VLOOKUP(E5954,dicionario!$A$1:$C6353,2,0)</f>
        <v>Pitangus sulphutarus</v>
      </c>
      <c r="H5954" s="6" t="str">
        <f>VLOOKUP(E5954,dicionario!$A$1:$C6353,3,0)</f>
        <v>bem-te-vi</v>
      </c>
    </row>
    <row r="5955">
      <c r="A5955" s="3">
        <v>45694.0</v>
      </c>
      <c r="B5955" s="4">
        <v>0.2986111111111111</v>
      </c>
      <c r="C5955" s="5" t="s">
        <v>948</v>
      </c>
      <c r="D5955" s="5" t="s">
        <v>1082</v>
      </c>
      <c r="E5955" s="6" t="s">
        <v>481</v>
      </c>
      <c r="F5955" s="5" t="s">
        <v>482</v>
      </c>
      <c r="G5955" s="6" t="str">
        <f>VLOOKUP(E5955,dicionario!$A$1:$C6354,2,0)</f>
        <v>Camptostoma obsoletum</v>
      </c>
      <c r="H5955" s="6" t="str">
        <f>VLOOKUP(E5955,dicionario!$A$1:$C6354,3,0)</f>
        <v>risadinha</v>
      </c>
    </row>
    <row r="5956">
      <c r="A5956" s="3">
        <v>45694.0</v>
      </c>
      <c r="B5956" s="4">
        <v>0.2986111111111111</v>
      </c>
      <c r="C5956" s="5" t="s">
        <v>948</v>
      </c>
      <c r="D5956" s="5" t="s">
        <v>1082</v>
      </c>
      <c r="E5956" s="8" t="s">
        <v>1112</v>
      </c>
      <c r="F5956" s="5" t="s">
        <v>1113</v>
      </c>
      <c r="G5956" s="6" t="str">
        <f>VLOOKUP(E5956,dicionario!$A$1:$C6355,2,0)</f>
        <v>Hylophilus thoracicus</v>
      </c>
      <c r="H5956" s="6" t="str">
        <f>VLOOKUP(E5956,dicionario!$A$1:$C6355,3,0)</f>
        <v>vite-vite</v>
      </c>
    </row>
    <row r="5957">
      <c r="A5957" s="3">
        <v>45694.0</v>
      </c>
      <c r="B5957" s="4">
        <v>0.2986111111111111</v>
      </c>
      <c r="C5957" s="5" t="s">
        <v>948</v>
      </c>
      <c r="D5957" s="5" t="s">
        <v>1082</v>
      </c>
      <c r="E5957" s="8" t="s">
        <v>253</v>
      </c>
      <c r="F5957" s="5" t="s">
        <v>254</v>
      </c>
      <c r="G5957" s="6" t="str">
        <f>VLOOKUP(E5957,dicionario!$A$1:$C6356,2,0)</f>
        <v>Panicum maximum</v>
      </c>
      <c r="H5957" s="6" t="str">
        <f>VLOOKUP(E5957,dicionario!$A$1:$C6356,3,0)</f>
        <v>capim-colonião</v>
      </c>
    </row>
    <row r="5958">
      <c r="A5958" s="3">
        <v>45694.0</v>
      </c>
      <c r="B5958" s="4">
        <v>0.29930555555555555</v>
      </c>
      <c r="C5958" s="5" t="s">
        <v>948</v>
      </c>
      <c r="D5958" s="5" t="s">
        <v>1082</v>
      </c>
      <c r="E5958" s="8" t="s">
        <v>141</v>
      </c>
      <c r="F5958" s="5" t="s">
        <v>142</v>
      </c>
      <c r="G5958" s="6" t="str">
        <f>VLOOKUP(E5958,dicionario!$A$1:$C6357,2,0)</f>
        <v>Ruellia blechum</v>
      </c>
      <c r="H5958" s="6" t="str">
        <f>VLOOKUP(E5958,dicionario!$A$1:$C6357,3,0)</f>
        <v>camarão-verde</v>
      </c>
    </row>
    <row r="5959">
      <c r="A5959" s="3">
        <v>45694.0</v>
      </c>
      <c r="B5959" s="4">
        <v>0.29930555555555555</v>
      </c>
      <c r="C5959" s="5" t="s">
        <v>948</v>
      </c>
      <c r="D5959" s="5" t="s">
        <v>1082</v>
      </c>
      <c r="E5959" s="8" t="s">
        <v>195</v>
      </c>
      <c r="F5959" s="5" t="s">
        <v>196</v>
      </c>
      <c r="G5959" s="6" t="str">
        <f>VLOOKUP(E5959,dicionario!$A$1:$C6358,2,0)</f>
        <v>Priva lappulacea</v>
      </c>
      <c r="H5959" s="6" t="str">
        <f>VLOOKUP(E5959,dicionario!$A$1:$C6358,3,0)</f>
        <v>carrapicho</v>
      </c>
    </row>
    <row r="5960">
      <c r="A5960" s="3">
        <v>45694.0</v>
      </c>
      <c r="B5960" s="4">
        <v>0.29930555555555555</v>
      </c>
      <c r="C5960" s="5" t="s">
        <v>948</v>
      </c>
      <c r="D5960" s="5" t="s">
        <v>1082</v>
      </c>
      <c r="E5960" s="8" t="s">
        <v>302</v>
      </c>
      <c r="F5960" s="5" t="s">
        <v>89</v>
      </c>
      <c r="G5960" s="6" t="str">
        <f>VLOOKUP(E5960,dicionario!$A$1:$C6359,2,0)</f>
        <v>Machetornis rixosa</v>
      </c>
      <c r="H5960" s="6" t="str">
        <f>VLOOKUP(E5960,dicionario!$A$1:$C6359,3,0)</f>
        <v>suiriri-cavaleiro</v>
      </c>
    </row>
    <row r="5961">
      <c r="A5961" s="3">
        <v>45694.0</v>
      </c>
      <c r="B5961" s="4">
        <v>0.3</v>
      </c>
      <c r="C5961" s="5" t="s">
        <v>948</v>
      </c>
      <c r="D5961" s="5" t="s">
        <v>1082</v>
      </c>
      <c r="E5961" s="8" t="s">
        <v>109</v>
      </c>
      <c r="F5961" s="5" t="s">
        <v>110</v>
      </c>
      <c r="G5961" s="6" t="str">
        <f>VLOOKUP(E5961,dicionario!$A$1:$C6360,2,0)</f>
        <v>Tillandsia stricta</v>
      </c>
      <c r="H5961" s="6" t="str">
        <f>VLOOKUP(E5961,dicionario!$A$1:$C6360,3,0)</f>
        <v>cravo-do-mato</v>
      </c>
    </row>
    <row r="5962">
      <c r="A5962" s="3">
        <v>45694.0</v>
      </c>
      <c r="B5962" s="4">
        <v>0.30069444444444443</v>
      </c>
      <c r="C5962" s="5" t="s">
        <v>948</v>
      </c>
      <c r="D5962" s="5" t="s">
        <v>1082</v>
      </c>
      <c r="E5962" s="8" t="s">
        <v>1166</v>
      </c>
      <c r="F5962" s="5" t="s">
        <v>25</v>
      </c>
      <c r="G5962" s="6" t="str">
        <f>VLOOKUP(E5962,dicionario!$A$1:$C6361,2,0)</f>
        <v>#N/A</v>
      </c>
      <c r="H5962" s="6" t="str">
        <f>VLOOKUP(E5962,dicionario!$A$1:$C6361,3,0)</f>
        <v>#N/A</v>
      </c>
    </row>
    <row r="5963">
      <c r="A5963" s="3">
        <v>45694.0</v>
      </c>
      <c r="B5963" s="4">
        <v>0.3013888888888889</v>
      </c>
      <c r="C5963" s="5" t="s">
        <v>948</v>
      </c>
      <c r="D5963" s="5" t="s">
        <v>1082</v>
      </c>
      <c r="E5963" s="8" t="s">
        <v>48</v>
      </c>
      <c r="F5963" s="5" t="s">
        <v>49</v>
      </c>
      <c r="G5963" s="6" t="str">
        <f>VLOOKUP(E5963,dicionario!$A$1:$C6362,2,0)</f>
        <v>Commelina erecta</v>
      </c>
      <c r="H5963" s="6" t="str">
        <f>VLOOKUP(E5963,dicionario!$A$1:$C6362,3,0)</f>
        <v>trapoeraba</v>
      </c>
    </row>
    <row r="5964">
      <c r="A5964" s="3">
        <v>45694.0</v>
      </c>
      <c r="B5964" s="4">
        <v>0.3020833333333333</v>
      </c>
      <c r="C5964" s="5" t="s">
        <v>948</v>
      </c>
      <c r="D5964" s="5" t="s">
        <v>1082</v>
      </c>
      <c r="E5964" s="8" t="s">
        <v>38</v>
      </c>
      <c r="F5964" s="5" t="s">
        <v>39</v>
      </c>
      <c r="G5964" s="6" t="str">
        <f>VLOOKUP(E5964,dicionario!$A$1:$C6363,2,0)</f>
        <v>Troglodytes musculus</v>
      </c>
      <c r="H5964" s="6" t="str">
        <f>VLOOKUP(E5964,dicionario!$A$1:$C6363,3,0)</f>
        <v>curruíra</v>
      </c>
    </row>
    <row r="5965">
      <c r="A5965" s="3">
        <v>45694.0</v>
      </c>
      <c r="B5965" s="4">
        <v>0.3020833333333333</v>
      </c>
      <c r="C5965" s="5" t="s">
        <v>948</v>
      </c>
      <c r="D5965" s="5" t="s">
        <v>1082</v>
      </c>
      <c r="E5965" s="8" t="s">
        <v>158</v>
      </c>
      <c r="F5965" s="5" t="s">
        <v>159</v>
      </c>
      <c r="G5965" s="6" t="str">
        <f>VLOOKUP(E5965,dicionario!$A$1:$C6364,2,0)</f>
        <v>Nephilingis cruentata</v>
      </c>
      <c r="H5965" s="6" t="str">
        <f>VLOOKUP(E5965,dicionario!$A$1:$C6364,3,0)</f>
        <v>maria-bola</v>
      </c>
    </row>
    <row r="5966">
      <c r="A5966" s="3">
        <v>45694.0</v>
      </c>
      <c r="B5966" s="4">
        <v>0.30277777777777776</v>
      </c>
      <c r="C5966" s="5" t="s">
        <v>948</v>
      </c>
      <c r="D5966" s="5" t="s">
        <v>1082</v>
      </c>
      <c r="E5966" s="8" t="s">
        <v>378</v>
      </c>
      <c r="F5966" s="5" t="s">
        <v>205</v>
      </c>
      <c r="G5966" s="6" t="str">
        <f>VLOOKUP(E5966,dicionario!$A$1:$C6365,2,0)</f>
        <v>Polistes</v>
      </c>
      <c r="H5966" s="6" t="str">
        <f>VLOOKUP(E5966,dicionario!$A$1:$C6365,3,0)</f>
        <v>marimbondo</v>
      </c>
    </row>
    <row r="5967">
      <c r="A5967" s="3">
        <v>45694.0</v>
      </c>
      <c r="B5967" s="4">
        <v>0.3034722222222222</v>
      </c>
      <c r="C5967" s="5" t="s">
        <v>948</v>
      </c>
      <c r="D5967" s="5" t="s">
        <v>1082</v>
      </c>
      <c r="E5967" s="8" t="s">
        <v>139</v>
      </c>
      <c r="F5967" s="5" t="s">
        <v>862</v>
      </c>
      <c r="G5967" s="6" t="str">
        <f>VLOOKUP(E5967,dicionario!$A$1:$C6366,2,0)</f>
        <v>Tropidurus torquatus</v>
      </c>
      <c r="H5967" s="6" t="str">
        <f>VLOOKUP(E5967,dicionario!$A$1:$C6366,3,0)</f>
        <v>calango; tropiduro-comum</v>
      </c>
    </row>
    <row r="5968">
      <c r="A5968" s="3">
        <v>45694.0</v>
      </c>
      <c r="B5968" s="4">
        <v>0.30486111111111114</v>
      </c>
      <c r="C5968" s="5" t="s">
        <v>59</v>
      </c>
      <c r="D5968" s="5" t="s">
        <v>1082</v>
      </c>
      <c r="E5968" s="8" t="s">
        <v>298</v>
      </c>
      <c r="F5968" s="5" t="s">
        <v>739</v>
      </c>
      <c r="G5968" s="6" t="str">
        <f>VLOOKUP(E5968,dicionario!$A$1:$C6367,2,0)</f>
        <v>Alysicarpus vaginalis</v>
      </c>
      <c r="H5968" s="6" t="str">
        <f>VLOOKUP(E5968,dicionario!$A$1:$C6367,3,0)</f>
        <v/>
      </c>
    </row>
    <row r="5969">
      <c r="A5969" s="3">
        <v>45694.0</v>
      </c>
      <c r="B5969" s="4">
        <v>0.30486111111111114</v>
      </c>
      <c r="C5969" s="5" t="s">
        <v>59</v>
      </c>
      <c r="D5969" s="5" t="s">
        <v>1082</v>
      </c>
      <c r="E5969" s="8" t="s">
        <v>353</v>
      </c>
      <c r="F5969" s="5" t="s">
        <v>354</v>
      </c>
      <c r="G5969" s="6" t="str">
        <f>VLOOKUP(E5969,dicionario!$A$1:$C6368,2,0)</f>
        <v>Desmodium incanum</v>
      </c>
      <c r="H5969" s="6" t="str">
        <f>VLOOKUP(E5969,dicionario!$A$1:$C6368,3,0)</f>
        <v>pega-pega</v>
      </c>
    </row>
    <row r="5970">
      <c r="A5970" s="3">
        <v>45694.0</v>
      </c>
      <c r="B5970" s="4">
        <v>0.3055555555555556</v>
      </c>
      <c r="C5970" s="5" t="s">
        <v>59</v>
      </c>
      <c r="D5970" s="5" t="s">
        <v>1082</v>
      </c>
      <c r="E5970" s="8" t="s">
        <v>1167</v>
      </c>
      <c r="F5970" s="5" t="s">
        <v>1168</v>
      </c>
      <c r="G5970" s="6" t="str">
        <f>VLOOKUP(E5970,dicionario!$A$1:$C6369,2,0)</f>
        <v>Tillandsia recurvata</v>
      </c>
      <c r="H5970" s="6" t="str">
        <f>VLOOKUP(E5970,dicionario!$A$1:$C6369,3,0)</f>
        <v>cravo-do-mato sp2</v>
      </c>
    </row>
    <row r="5971">
      <c r="A5971" s="3">
        <v>45694.0</v>
      </c>
      <c r="B5971" s="4">
        <v>0.3055555555555556</v>
      </c>
      <c r="C5971" s="5" t="s">
        <v>59</v>
      </c>
      <c r="D5971" s="5" t="s">
        <v>1082</v>
      </c>
      <c r="E5971" s="8" t="s">
        <v>109</v>
      </c>
      <c r="F5971" s="5" t="s">
        <v>110</v>
      </c>
      <c r="G5971" s="6" t="str">
        <f>VLOOKUP(E5971,dicionario!$A$1:$C6370,2,0)</f>
        <v>Tillandsia stricta</v>
      </c>
      <c r="H5971" s="6" t="str">
        <f>VLOOKUP(E5971,dicionario!$A$1:$C6370,3,0)</f>
        <v>cravo-do-mato</v>
      </c>
    </row>
    <row r="5972">
      <c r="A5972" s="3">
        <v>45694.0</v>
      </c>
      <c r="B5972" s="4">
        <v>0.3055555555555556</v>
      </c>
      <c r="C5972" s="5" t="s">
        <v>59</v>
      </c>
      <c r="D5972" s="5" t="s">
        <v>1082</v>
      </c>
      <c r="E5972" s="8" t="s">
        <v>200</v>
      </c>
      <c r="F5972" s="5" t="s">
        <v>201</v>
      </c>
      <c r="G5972" s="6" t="str">
        <f>VLOOKUP(E5972,dicionario!$A$1:$C6371,2,0)</f>
        <v>Columbina picui </v>
      </c>
      <c r="H5972" s="6" t="str">
        <f>VLOOKUP(E5972,dicionario!$A$1:$C6371,3,0)</f>
        <v>rolinha-picuí</v>
      </c>
    </row>
    <row r="5973">
      <c r="A5973" s="3">
        <v>45694.0</v>
      </c>
      <c r="B5973" s="4">
        <v>0.30625</v>
      </c>
      <c r="C5973" s="5" t="s">
        <v>59</v>
      </c>
      <c r="D5973" s="5" t="s">
        <v>1082</v>
      </c>
      <c r="E5973" s="8" t="s">
        <v>132</v>
      </c>
      <c r="F5973" s="5" t="s">
        <v>133</v>
      </c>
      <c r="G5973" s="6" t="str">
        <f>VLOOKUP(E5973,dicionario!$A$1:$C6372,2,0)</f>
        <v>Euphonia chlorotica</v>
      </c>
      <c r="H5973" s="6" t="str">
        <f>VLOOKUP(E5973,dicionario!$A$1:$C6372,3,0)</f>
        <v>fim-fim</v>
      </c>
    </row>
    <row r="5974">
      <c r="A5974" s="3">
        <v>45694.0</v>
      </c>
      <c r="B5974" s="4">
        <v>0.30625</v>
      </c>
      <c r="C5974" s="5" t="s">
        <v>59</v>
      </c>
      <c r="D5974" s="5" t="s">
        <v>1082</v>
      </c>
      <c r="E5974" s="6" t="s">
        <v>324</v>
      </c>
      <c r="F5974" s="5" t="s">
        <v>325</v>
      </c>
      <c r="G5974" s="6" t="str">
        <f>VLOOKUP(E5974,dicionario!$A$1:$C6373,2,0)</f>
        <v>#N/A</v>
      </c>
      <c r="H5974" s="6" t="str">
        <f>VLOOKUP(E5974,dicionario!$A$1:$C6373,3,0)</f>
        <v>#N/A</v>
      </c>
    </row>
    <row r="5975">
      <c r="A5975" s="3">
        <v>45694.0</v>
      </c>
      <c r="B5975" s="4">
        <v>0.30625</v>
      </c>
      <c r="C5975" s="5" t="s">
        <v>59</v>
      </c>
      <c r="D5975" s="5" t="s">
        <v>1082</v>
      </c>
      <c r="E5975" s="8" t="s">
        <v>72</v>
      </c>
      <c r="F5975" s="5" t="s">
        <v>73</v>
      </c>
      <c r="G5975" s="6" t="str">
        <f>VLOOKUP(E5975,dicionario!$A$1:$C6374,2,0)</f>
        <v>Thraupis palmarum</v>
      </c>
      <c r="H5975" s="6" t="str">
        <f>VLOOKUP(E5975,dicionario!$A$1:$C6374,3,0)</f>
        <v>sanhaço-do-coqueiro</v>
      </c>
    </row>
    <row r="5976">
      <c r="A5976" s="3">
        <v>45694.0</v>
      </c>
      <c r="B5976" s="4">
        <v>0.30694444444444446</v>
      </c>
      <c r="C5976" s="5" t="s">
        <v>59</v>
      </c>
      <c r="D5976" s="5" t="s">
        <v>1082</v>
      </c>
      <c r="E5976" s="8" t="s">
        <v>46</v>
      </c>
      <c r="F5976" s="5" t="s">
        <v>47</v>
      </c>
      <c r="G5976" s="6" t="str">
        <f>VLOOKUP(E5976,dicionario!$A$1:$C6375,2,0)</f>
        <v>Chionomesa fimbriata</v>
      </c>
      <c r="H5976" s="6" t="str">
        <f>VLOOKUP(E5976,dicionario!$A$1:$C6375,3,0)</f>
        <v>beija-flor-de-garganta-verde</v>
      </c>
    </row>
    <row r="5977">
      <c r="A5977" s="3">
        <v>45694.0</v>
      </c>
      <c r="B5977" s="4">
        <v>0.30694444444444446</v>
      </c>
      <c r="C5977" s="5" t="s">
        <v>59</v>
      </c>
      <c r="D5977" s="5" t="s">
        <v>1082</v>
      </c>
      <c r="E5977" s="8" t="s">
        <v>162</v>
      </c>
      <c r="F5977" s="7" t="s">
        <v>42</v>
      </c>
      <c r="G5977" s="6" t="str">
        <f>VLOOKUP(E5977,dicionario!$A$1:$C6376,2,0)</f>
        <v>Fluvicola nengeta</v>
      </c>
      <c r="H5977" s="6" t="str">
        <f>VLOOKUP(E5977,dicionario!$A$1:$C6376,3,0)</f>
        <v>lavadeira-mascarada</v>
      </c>
    </row>
    <row r="5978">
      <c r="A5978" s="3">
        <v>45694.0</v>
      </c>
      <c r="B5978" s="4">
        <v>0.30694444444444446</v>
      </c>
      <c r="C5978" s="5" t="s">
        <v>59</v>
      </c>
      <c r="D5978" s="5" t="s">
        <v>1082</v>
      </c>
      <c r="E5978" s="8" t="s">
        <v>286</v>
      </c>
      <c r="F5978" s="5" t="s">
        <v>287</v>
      </c>
      <c r="G5978" s="6" t="str">
        <f>VLOOKUP(E5978,dicionario!$A$1:$C6377,2,0)</f>
        <v>Setaria parviflora</v>
      </c>
      <c r="H5978" s="6" t="str">
        <f>VLOOKUP(E5978,dicionario!$A$1:$C6377,3,0)</f>
        <v>capim-rabo-de-raposa</v>
      </c>
    </row>
    <row r="5979">
      <c r="A5979" s="3">
        <v>45694.0</v>
      </c>
      <c r="B5979" s="4">
        <v>0.30694444444444446</v>
      </c>
      <c r="C5979" s="5" t="s">
        <v>59</v>
      </c>
      <c r="D5979" s="5" t="s">
        <v>1082</v>
      </c>
      <c r="E5979" s="8" t="s">
        <v>319</v>
      </c>
      <c r="F5979" s="5" t="s">
        <v>320</v>
      </c>
      <c r="G5979" s="6" t="str">
        <f>VLOOKUP(E5979,dicionario!$A$1:$C6378,2,0)</f>
        <v>Schinus terebinthifolia</v>
      </c>
      <c r="H5979" s="6" t="str">
        <f>VLOOKUP(E5979,dicionario!$A$1:$C6378,3,0)</f>
        <v>aroeira</v>
      </c>
    </row>
    <row r="5980">
      <c r="A5980" s="3">
        <v>45694.0</v>
      </c>
      <c r="B5980" s="4">
        <v>0.30694444444444446</v>
      </c>
      <c r="C5980" s="5" t="s">
        <v>59</v>
      </c>
      <c r="D5980" s="5" t="s">
        <v>1082</v>
      </c>
      <c r="E5980" s="8" t="s">
        <v>16</v>
      </c>
      <c r="F5980" s="5" t="s">
        <v>17</v>
      </c>
      <c r="G5980" s="6" t="str">
        <f>VLOOKUP(E5980,dicionario!$A$1:$C6379,2,0)</f>
        <v>Eupetomena macroura</v>
      </c>
      <c r="H5980" s="6" t="str">
        <f>VLOOKUP(E5980,dicionario!$A$1:$C6379,3,0)</f>
        <v>beija-flor-tesoura</v>
      </c>
    </row>
    <row r="5981">
      <c r="A5981" s="3">
        <v>45694.0</v>
      </c>
      <c r="B5981" s="4">
        <v>0.3076388888888889</v>
      </c>
      <c r="C5981" s="5" t="s">
        <v>59</v>
      </c>
      <c r="D5981" s="5" t="s">
        <v>1082</v>
      </c>
      <c r="E5981" s="8" t="s">
        <v>163</v>
      </c>
      <c r="F5981" s="5" t="s">
        <v>164</v>
      </c>
      <c r="G5981" s="6" t="str">
        <f>VLOOKUP(E5981,dicionario!$A$1:$C6380,2,0)</f>
        <v>Coragyps atratus</v>
      </c>
      <c r="H5981" s="6" t="str">
        <f>VLOOKUP(E5981,dicionario!$A$1:$C6380,3,0)</f>
        <v>urubu-de-cabeça-preta</v>
      </c>
    </row>
    <row r="5982">
      <c r="A5982" s="3">
        <v>45694.0</v>
      </c>
      <c r="B5982" s="4">
        <v>0.3076388888888889</v>
      </c>
      <c r="C5982" s="5" t="s">
        <v>59</v>
      </c>
      <c r="D5982" s="5" t="s">
        <v>1082</v>
      </c>
      <c r="E5982" s="8" t="s">
        <v>20</v>
      </c>
      <c r="F5982" s="7" t="s">
        <v>21</v>
      </c>
      <c r="G5982" s="6" t="str">
        <f>VLOOKUP(E5982,dicionario!$A$1:$C6381,2,0)</f>
        <v>Sicalis flaveola</v>
      </c>
      <c r="H5982" s="6" t="str">
        <f>VLOOKUP(E5982,dicionario!$A$1:$C6381,3,0)</f>
        <v>canário-da-terra</v>
      </c>
    </row>
    <row r="5983">
      <c r="A5983" s="3">
        <v>45694.0</v>
      </c>
      <c r="B5983" s="4">
        <v>0.3076388888888889</v>
      </c>
      <c r="C5983" s="5" t="s">
        <v>59</v>
      </c>
      <c r="D5983" s="5" t="s">
        <v>1082</v>
      </c>
      <c r="E5983" s="8" t="s">
        <v>223</v>
      </c>
      <c r="F5983" s="5" t="s">
        <v>224</v>
      </c>
      <c r="G5983" s="6" t="str">
        <f>VLOOKUP(E5983,dicionario!$A$1:$C6382,2,0)</f>
        <v>Rhipsalis lindbergiana</v>
      </c>
      <c r="H5983" s="6" t="str">
        <f>VLOOKUP(E5983,dicionario!$A$1:$C6382,3,0)</f>
        <v>cacto-macarrão</v>
      </c>
    </row>
    <row r="5984">
      <c r="A5984" s="3">
        <v>45694.0</v>
      </c>
      <c r="B5984" s="4">
        <v>0.30833333333333335</v>
      </c>
      <c r="C5984" s="5" t="s">
        <v>59</v>
      </c>
      <c r="D5984" s="5" t="s">
        <v>1082</v>
      </c>
      <c r="E5984" s="8" t="s">
        <v>209</v>
      </c>
      <c r="F5984" s="5" t="s">
        <v>210</v>
      </c>
      <c r="G5984" s="6" t="str">
        <f>VLOOKUP(E5984,dicionario!$A$1:$C6383,2,0)</f>
        <v>Furnarius figulus</v>
      </c>
      <c r="H5984" s="6" t="str">
        <f>VLOOKUP(E5984,dicionario!$A$1:$C6383,3,0)</f>
        <v>casaca-de-couro-da-lama</v>
      </c>
    </row>
    <row r="5985">
      <c r="A5985" s="3">
        <v>45694.0</v>
      </c>
      <c r="B5985" s="4">
        <v>0.30833333333333335</v>
      </c>
      <c r="C5985" s="5" t="s">
        <v>59</v>
      </c>
      <c r="D5985" s="5" t="s">
        <v>1082</v>
      </c>
      <c r="E5985" s="8" t="s">
        <v>113</v>
      </c>
      <c r="F5985" s="5" t="s">
        <v>114</v>
      </c>
      <c r="G5985" s="6" t="str">
        <f>VLOOKUP(E5985,dicionario!$A$1:$C6384,2,0)</f>
        <v>Columbina talpacoti</v>
      </c>
      <c r="H5985" s="6" t="str">
        <f>VLOOKUP(E5985,dicionario!$A$1:$C6384,3,0)</f>
        <v>rolinha-roxa</v>
      </c>
    </row>
    <row r="5986">
      <c r="A5986" s="3">
        <v>45694.0</v>
      </c>
      <c r="B5986" s="4">
        <v>0.30833333333333335</v>
      </c>
      <c r="C5986" s="5" t="s">
        <v>59</v>
      </c>
      <c r="D5986" s="5" t="s">
        <v>1082</v>
      </c>
      <c r="E5986" s="8" t="s">
        <v>719</v>
      </c>
      <c r="F5986" s="5" t="s">
        <v>1005</v>
      </c>
      <c r="G5986" s="6" t="str">
        <f>VLOOKUP(E5986,dicionario!$A$1:$C6385,2,0)</f>
        <v>Dirinaria</v>
      </c>
      <c r="H5986" s="6" t="str">
        <f>VLOOKUP(E5986,dicionario!$A$1:$C6385,3,0)</f>
        <v>líquen-crostoso</v>
      </c>
    </row>
    <row r="5987">
      <c r="A5987" s="3">
        <v>45694.0</v>
      </c>
      <c r="B5987" s="4">
        <v>0.30833333333333335</v>
      </c>
      <c r="C5987" s="5" t="s">
        <v>59</v>
      </c>
      <c r="D5987" s="5" t="s">
        <v>1082</v>
      </c>
      <c r="E5987" s="8" t="s">
        <v>712</v>
      </c>
      <c r="F5987" s="5" t="s">
        <v>1006</v>
      </c>
      <c r="G5987" s="6" t="str">
        <f>VLOOKUP(E5987,dicionario!$A$1:$C6386,2,0)</f>
        <v>Flavopunctelia soredica</v>
      </c>
      <c r="H5987" s="6" t="str">
        <f>VLOOKUP(E5987,dicionario!$A$1:$C6386,3,0)</f>
        <v>líquen-folioso</v>
      </c>
    </row>
    <row r="5988">
      <c r="A5988" s="3">
        <v>45694.0</v>
      </c>
      <c r="B5988" s="4">
        <v>0.30833333333333335</v>
      </c>
      <c r="C5988" s="5" t="s">
        <v>59</v>
      </c>
      <c r="D5988" s="5" t="s">
        <v>1082</v>
      </c>
      <c r="E5988" s="8" t="s">
        <v>107</v>
      </c>
      <c r="F5988" s="5" t="s">
        <v>1101</v>
      </c>
      <c r="G5988" s="6" t="str">
        <f>VLOOKUP(E5988,dicionario!$A$1:$C6387,2,0)</f>
        <v>Ramalina complanata</v>
      </c>
      <c r="H5988" s="6" t="str">
        <f>VLOOKUP(E5988,dicionario!$A$1:$C6387,3,0)</f>
        <v>ramalina</v>
      </c>
    </row>
    <row r="5989">
      <c r="A5989" s="3">
        <v>45694.0</v>
      </c>
      <c r="B5989" s="4">
        <v>0.3090277777777778</v>
      </c>
      <c r="C5989" s="5" t="s">
        <v>59</v>
      </c>
      <c r="D5989" s="5" t="s">
        <v>1082</v>
      </c>
      <c r="E5989" s="8" t="s">
        <v>122</v>
      </c>
      <c r="F5989" s="7" t="s">
        <v>123</v>
      </c>
      <c r="G5989" s="6" t="str">
        <f>VLOOKUP(E5989,dicionario!$A$1:$C6388,2,0)</f>
        <v>Todirostrum cinereum</v>
      </c>
      <c r="H5989" s="6" t="str">
        <f>VLOOKUP(E5989,dicionario!$A$1:$C6388,3,0)</f>
        <v>ferreirinho-relógio</v>
      </c>
    </row>
    <row r="5990">
      <c r="A5990" s="3">
        <v>45694.0</v>
      </c>
      <c r="B5990" s="4">
        <v>0.3090277777777778</v>
      </c>
      <c r="C5990" s="5" t="s">
        <v>59</v>
      </c>
      <c r="D5990" s="5" t="s">
        <v>1082</v>
      </c>
      <c r="E5990" s="8" t="s">
        <v>213</v>
      </c>
      <c r="F5990" s="7" t="s">
        <v>214</v>
      </c>
      <c r="G5990" s="6" t="str">
        <f>VLOOKUP(E5990,dicionario!$A$1:$C6389,2,0)</f>
        <v>Myiozetetes similis</v>
      </c>
      <c r="H5990" s="6" t="str">
        <f>VLOOKUP(E5990,dicionario!$A$1:$C6389,3,0)</f>
        <v>bentevizinho-de-penacho-vermelho</v>
      </c>
    </row>
    <row r="5991">
      <c r="A5991" s="3">
        <v>45694.0</v>
      </c>
      <c r="B5991" s="4">
        <v>0.30972222222222223</v>
      </c>
      <c r="C5991" s="5" t="s">
        <v>59</v>
      </c>
      <c r="D5991" s="5" t="s">
        <v>1082</v>
      </c>
      <c r="E5991" s="8" t="s">
        <v>215</v>
      </c>
      <c r="F5991" s="7" t="s">
        <v>216</v>
      </c>
      <c r="G5991" s="6" t="str">
        <f>VLOOKUP(E5991,dicionario!$A$1:$C6390,2,0)</f>
        <v>Pygochelidon cyanoleuca</v>
      </c>
      <c r="H5991" s="6" t="str">
        <f>VLOOKUP(E5991,dicionario!$A$1:$C6390,3,0)</f>
        <v>andorinha-pequena-de-casa</v>
      </c>
    </row>
    <row r="5992">
      <c r="A5992" s="3">
        <v>45694.0</v>
      </c>
      <c r="B5992" s="4">
        <v>0.30972222222222223</v>
      </c>
      <c r="C5992" s="5" t="s">
        <v>59</v>
      </c>
      <c r="D5992" s="5" t="s">
        <v>1082</v>
      </c>
      <c r="E5992" s="8" t="s">
        <v>143</v>
      </c>
      <c r="F5992" s="5" t="s">
        <v>63</v>
      </c>
      <c r="G5992" s="6" t="str">
        <f>VLOOKUP(E5992,dicionario!$A$1:$C6391,2,0)</f>
        <v>Polybia</v>
      </c>
      <c r="H5992" s="6" t="str">
        <f>VLOOKUP(E5992,dicionario!$A$1:$C6391,3,0)</f>
        <v>vespa</v>
      </c>
    </row>
    <row r="5993">
      <c r="A5993" s="3">
        <v>45694.0</v>
      </c>
      <c r="B5993" s="4">
        <v>0.30972222222222223</v>
      </c>
      <c r="C5993" s="5" t="s">
        <v>59</v>
      </c>
      <c r="D5993" s="5" t="s">
        <v>1082</v>
      </c>
      <c r="E5993" s="8" t="s">
        <v>120</v>
      </c>
      <c r="F5993" s="5" t="s">
        <v>121</v>
      </c>
      <c r="G5993" s="6" t="str">
        <f>VLOOKUP(E5993,dicionario!$A$1:$C6392,2,0)</f>
        <v>#N/A</v>
      </c>
      <c r="H5993" s="6" t="str">
        <f>VLOOKUP(E5993,dicionario!$A$1:$C6392,3,0)</f>
        <v>#N/A</v>
      </c>
    </row>
    <row r="5994">
      <c r="A5994" s="3">
        <v>45694.0</v>
      </c>
      <c r="B5994" s="4">
        <v>0.3104166666666667</v>
      </c>
      <c r="C5994" s="5" t="s">
        <v>59</v>
      </c>
      <c r="D5994" s="5" t="s">
        <v>1082</v>
      </c>
      <c r="E5994" s="8" t="s">
        <v>353</v>
      </c>
      <c r="F5994" s="5" t="s">
        <v>354</v>
      </c>
      <c r="G5994" s="6" t="str">
        <f>VLOOKUP(E5994,dicionario!$A$1:$C6393,2,0)</f>
        <v>Desmodium incanum</v>
      </c>
      <c r="H5994" s="6" t="str">
        <f>VLOOKUP(E5994,dicionario!$A$1:$C6393,3,0)</f>
        <v>pega-pega</v>
      </c>
    </row>
    <row r="5995">
      <c r="A5995" s="3">
        <v>45694.0</v>
      </c>
      <c r="B5995" s="4">
        <v>0.3104166666666667</v>
      </c>
      <c r="C5995" s="5" t="s">
        <v>59</v>
      </c>
      <c r="D5995" s="5" t="s">
        <v>1082</v>
      </c>
      <c r="E5995" s="8" t="s">
        <v>53</v>
      </c>
      <c r="F5995" s="7" t="s">
        <v>54</v>
      </c>
      <c r="G5995" s="6" t="str">
        <f>VLOOKUP(E5995,dicionario!$A$1:$C6394,2,0)</f>
        <v>Turnera subulata</v>
      </c>
      <c r="H5995" s="6" t="str">
        <f>VLOOKUP(E5995,dicionario!$A$1:$C6394,3,0)</f>
        <v>xanana</v>
      </c>
    </row>
    <row r="5996">
      <c r="A5996" s="3">
        <v>45694.0</v>
      </c>
      <c r="B5996" s="4">
        <v>0.3104166666666667</v>
      </c>
      <c r="C5996" s="5" t="s">
        <v>59</v>
      </c>
      <c r="D5996" s="5" t="s">
        <v>1082</v>
      </c>
      <c r="E5996" s="8" t="s">
        <v>1155</v>
      </c>
      <c r="F5996" s="5" t="s">
        <v>1156</v>
      </c>
      <c r="G5996" s="6" t="str">
        <f>VLOOKUP(E5996,dicionario!$A$1:$C6395,2,0)</f>
        <v>#N/A</v>
      </c>
      <c r="H5996" s="6" t="str">
        <f>VLOOKUP(E5996,dicionario!$A$1:$C6395,3,0)</f>
        <v>#N/A</v>
      </c>
    </row>
    <row r="5997">
      <c r="A5997" s="3">
        <v>45694.0</v>
      </c>
      <c r="B5997" s="4">
        <v>0.3111111111111111</v>
      </c>
      <c r="C5997" s="5" t="s">
        <v>59</v>
      </c>
      <c r="D5997" s="5" t="s">
        <v>1082</v>
      </c>
      <c r="E5997" s="8" t="s">
        <v>191</v>
      </c>
      <c r="F5997" s="5" t="s">
        <v>192</v>
      </c>
      <c r="G5997" s="6" t="str">
        <f>VLOOKUP(E5997,dicionario!$A$1:$C6396,2,0)</f>
        <v>Patagioenas picazuro</v>
      </c>
      <c r="H5997" s="6" t="str">
        <f>VLOOKUP(E5997,dicionario!$A$1:$C6396,3,0)</f>
        <v>asa-branca; pomba-asa-branca; pocaçu</v>
      </c>
    </row>
    <row r="5998">
      <c r="A5998" s="3">
        <v>45694.0</v>
      </c>
      <c r="B5998" s="4">
        <v>0.3111111111111111</v>
      </c>
      <c r="C5998" s="5" t="s">
        <v>59</v>
      </c>
      <c r="D5998" s="5" t="s">
        <v>1082</v>
      </c>
      <c r="E5998" s="8" t="s">
        <v>38</v>
      </c>
      <c r="F5998" s="5" t="s">
        <v>39</v>
      </c>
      <c r="G5998" s="6" t="str">
        <f>VLOOKUP(E5998,dicionario!$A$1:$C6397,2,0)</f>
        <v>Troglodytes musculus</v>
      </c>
      <c r="H5998" s="6" t="str">
        <f>VLOOKUP(E5998,dicionario!$A$1:$C6397,3,0)</f>
        <v>curruíra</v>
      </c>
    </row>
    <row r="5999">
      <c r="A5999" s="3">
        <v>45694.0</v>
      </c>
      <c r="B5999" s="4">
        <v>0.31180555555555556</v>
      </c>
      <c r="C5999" s="5" t="s">
        <v>59</v>
      </c>
      <c r="D5999" s="5" t="s">
        <v>1082</v>
      </c>
      <c r="E5999" s="8" t="s">
        <v>99</v>
      </c>
      <c r="F5999" s="5" t="s">
        <v>508</v>
      </c>
      <c r="G5999" s="6" t="str">
        <f>VLOOKUP(E5999,dicionario!$A$1:$C6398,2,0)</f>
        <v>Molothrus bonariensis</v>
      </c>
      <c r="H5999" s="6" t="str">
        <f>VLOOKUP(E5999,dicionario!$A$1:$C6398,3,0)</f>
        <v>chupim</v>
      </c>
    </row>
    <row r="6000">
      <c r="A6000" s="3">
        <v>45694.0</v>
      </c>
      <c r="B6000" s="4">
        <v>0.3125</v>
      </c>
      <c r="C6000" s="5" t="s">
        <v>50</v>
      </c>
      <c r="D6000" s="5" t="s">
        <v>1082</v>
      </c>
      <c r="E6000" s="8" t="s">
        <v>191</v>
      </c>
      <c r="F6000" s="5" t="s">
        <v>192</v>
      </c>
      <c r="G6000" s="6" t="str">
        <f>VLOOKUP(E6000,dicionario!$A$1:$C6399,2,0)</f>
        <v>Patagioenas picazuro</v>
      </c>
      <c r="H6000" s="6" t="str">
        <f>VLOOKUP(E6000,dicionario!$A$1:$C6399,3,0)</f>
        <v>asa-branca; pomba-asa-branca; pocaçu</v>
      </c>
    </row>
    <row r="6001">
      <c r="A6001" s="3">
        <v>45694.0</v>
      </c>
      <c r="B6001" s="4">
        <v>0.3125</v>
      </c>
      <c r="C6001" s="5" t="s">
        <v>50</v>
      </c>
      <c r="D6001" s="5" t="s">
        <v>1082</v>
      </c>
      <c r="E6001" s="8" t="s">
        <v>113</v>
      </c>
      <c r="F6001" s="5" t="s">
        <v>114</v>
      </c>
      <c r="G6001" s="6" t="str">
        <f>VLOOKUP(E6001,dicionario!$A$1:$C6400,2,0)</f>
        <v>Columbina talpacoti</v>
      </c>
      <c r="H6001" s="6" t="str">
        <f>VLOOKUP(E6001,dicionario!$A$1:$C6400,3,0)</f>
        <v>rolinha-roxa</v>
      </c>
    </row>
    <row r="6002">
      <c r="A6002" s="3">
        <v>45694.0</v>
      </c>
      <c r="B6002" s="4">
        <v>0.3125</v>
      </c>
      <c r="C6002" s="5" t="s">
        <v>50</v>
      </c>
      <c r="D6002" s="5" t="s">
        <v>1082</v>
      </c>
      <c r="E6002" s="8" t="s">
        <v>20</v>
      </c>
      <c r="F6002" s="7" t="s">
        <v>21</v>
      </c>
      <c r="G6002" s="6" t="str">
        <f>VLOOKUP(E6002,dicionario!$A$1:$C6401,2,0)</f>
        <v>Sicalis flaveola</v>
      </c>
      <c r="H6002" s="6" t="str">
        <f>VLOOKUP(E6002,dicionario!$A$1:$C6401,3,0)</f>
        <v>canário-da-terra</v>
      </c>
    </row>
    <row r="6003">
      <c r="A6003" s="3">
        <v>45694.0</v>
      </c>
      <c r="B6003" s="4">
        <v>0.31319444444444444</v>
      </c>
      <c r="C6003" s="5" t="s">
        <v>50</v>
      </c>
      <c r="D6003" s="5" t="s">
        <v>1082</v>
      </c>
      <c r="E6003" s="8" t="s">
        <v>163</v>
      </c>
      <c r="F6003" s="5" t="s">
        <v>164</v>
      </c>
      <c r="G6003" s="6" t="str">
        <f>VLOOKUP(E6003,dicionario!$A$1:$C6402,2,0)</f>
        <v>Coragyps atratus</v>
      </c>
      <c r="H6003" s="6" t="str">
        <f>VLOOKUP(E6003,dicionario!$A$1:$C6402,3,0)</f>
        <v>urubu-de-cabeça-preta</v>
      </c>
    </row>
    <row r="6004">
      <c r="A6004" s="3">
        <v>45694.0</v>
      </c>
      <c r="B6004" s="4">
        <v>0.31319444444444444</v>
      </c>
      <c r="C6004" s="5" t="s">
        <v>50</v>
      </c>
      <c r="D6004" s="5" t="s">
        <v>1082</v>
      </c>
      <c r="E6004" s="6" t="s">
        <v>43</v>
      </c>
      <c r="F6004" s="5" t="s">
        <v>664</v>
      </c>
      <c r="G6004" s="6" t="str">
        <f>VLOOKUP(E6004,dicionario!$A$1:$C6403,2,0)</f>
        <v>Columba livia</v>
      </c>
      <c r="H6004" s="6" t="str">
        <f>VLOOKUP(E6004,dicionario!$A$1:$C6403,3,0)</f>
        <v>pombo-doméstico</v>
      </c>
    </row>
    <row r="6005">
      <c r="A6005" s="3">
        <v>45694.0</v>
      </c>
      <c r="B6005" s="4">
        <v>0.31319444444444444</v>
      </c>
      <c r="C6005" s="5" t="s">
        <v>50</v>
      </c>
      <c r="D6005" s="5" t="s">
        <v>1082</v>
      </c>
      <c r="E6005" s="8" t="s">
        <v>195</v>
      </c>
      <c r="F6005" s="5" t="s">
        <v>196</v>
      </c>
      <c r="G6005" s="6" t="str">
        <f>VLOOKUP(E6005,dicionario!$A$1:$C6404,2,0)</f>
        <v>Priva lappulacea</v>
      </c>
      <c r="H6005" s="6" t="str">
        <f>VLOOKUP(E6005,dicionario!$A$1:$C6404,3,0)</f>
        <v>carrapicho</v>
      </c>
    </row>
    <row r="6006">
      <c r="A6006" s="3">
        <v>45694.0</v>
      </c>
      <c r="B6006" s="4">
        <v>0.31319444444444444</v>
      </c>
      <c r="C6006" s="5" t="s">
        <v>50</v>
      </c>
      <c r="D6006" s="5" t="s">
        <v>1082</v>
      </c>
      <c r="E6006" s="8" t="s">
        <v>22</v>
      </c>
      <c r="F6006" s="5" t="s">
        <v>97</v>
      </c>
      <c r="G6006" s="6" t="str">
        <f>VLOOKUP(E6006,dicionario!$A$1:$C6405,2,0)</f>
        <v>Zenaida auriculata</v>
      </c>
      <c r="H6006" s="6" t="str">
        <f>VLOOKUP(E6006,dicionario!$A$1:$C6405,3,0)</f>
        <v>pomba-de-bando; avoante</v>
      </c>
    </row>
    <row r="6007">
      <c r="A6007" s="3">
        <v>45694.0</v>
      </c>
      <c r="B6007" s="4">
        <v>0.3138888888888889</v>
      </c>
      <c r="C6007" s="5" t="s">
        <v>50</v>
      </c>
      <c r="D6007" s="5" t="s">
        <v>1082</v>
      </c>
      <c r="E6007" s="8" t="s">
        <v>177</v>
      </c>
      <c r="F6007" s="5" t="s">
        <v>607</v>
      </c>
      <c r="G6007" s="6" t="str">
        <f>VLOOKUP(E6007,dicionario!$A$1:$C6406,2,0)</f>
        <v>Elaenia flavogaster</v>
      </c>
      <c r="H6007" s="6" t="str">
        <f>VLOOKUP(E6007,dicionario!$A$1:$C6406,3,0)</f>
        <v>guaracava-de-barriga-amarela</v>
      </c>
    </row>
    <row r="6008">
      <c r="A6008" s="3">
        <v>45694.0</v>
      </c>
      <c r="B6008" s="4">
        <v>0.3138888888888889</v>
      </c>
      <c r="C6008" s="5" t="s">
        <v>50</v>
      </c>
      <c r="D6008" s="5" t="s">
        <v>1082</v>
      </c>
      <c r="E6008" s="8" t="s">
        <v>55</v>
      </c>
      <c r="F6008" s="5" t="s">
        <v>56</v>
      </c>
      <c r="G6008" s="6" t="str">
        <f>VLOOKUP(E6008,dicionario!$A$1:$C6407,2,0)</f>
        <v>Cubaris murina</v>
      </c>
      <c r="H6008" s="6" t="str">
        <f>VLOOKUP(E6008,dicionario!$A$1:$C6407,3,0)</f>
        <v>tatuzinho-de-jardim</v>
      </c>
    </row>
    <row r="6009">
      <c r="A6009" s="3">
        <v>45694.0</v>
      </c>
      <c r="B6009" s="4">
        <v>0.3138888888888889</v>
      </c>
      <c r="C6009" s="5" t="s">
        <v>50</v>
      </c>
      <c r="D6009" s="5" t="s">
        <v>1082</v>
      </c>
      <c r="E6009" s="6" t="s">
        <v>29</v>
      </c>
      <c r="F6009" s="7" t="s">
        <v>30</v>
      </c>
      <c r="G6009" s="6" t="str">
        <f>VLOOKUP(E6009,dicionario!$A$1:$C6408,2,0)</f>
        <v>Pycnoscelus surinamensis</v>
      </c>
      <c r="H6009" s="6" t="str">
        <f>VLOOKUP(E6009,dicionario!$A$1:$C6408,3,0)</f>
        <v>Barata-de-jardim</v>
      </c>
    </row>
    <row r="6010">
      <c r="A6010" s="3">
        <v>45694.0</v>
      </c>
      <c r="B6010" s="4">
        <v>0.3138888888888889</v>
      </c>
      <c r="C6010" s="5" t="s">
        <v>50</v>
      </c>
      <c r="D6010" s="5" t="s">
        <v>1082</v>
      </c>
      <c r="E6010" s="8" t="s">
        <v>57</v>
      </c>
      <c r="F6010" s="5" t="s">
        <v>559</v>
      </c>
      <c r="G6010" s="6" t="str">
        <f>VLOOKUP(E6010,dicionario!$A$1:$C6409,2,0)</f>
        <v>Juliformia</v>
      </c>
      <c r="H6010" s="6" t="str">
        <f>VLOOKUP(E6010,dicionario!$A$1:$C6409,3,0)</f>
        <v>gongolo; maria-café</v>
      </c>
    </row>
    <row r="6011">
      <c r="A6011" s="3">
        <v>45694.0</v>
      </c>
      <c r="B6011" s="4">
        <v>0.3138888888888889</v>
      </c>
      <c r="C6011" s="5" t="s">
        <v>50</v>
      </c>
      <c r="D6011" s="5" t="s">
        <v>1082</v>
      </c>
      <c r="E6011" s="6" t="s">
        <v>324</v>
      </c>
      <c r="F6011" s="5" t="s">
        <v>325</v>
      </c>
      <c r="G6011" s="6" t="str">
        <f>VLOOKUP(E6011,dicionario!$A$1:$C6410,2,0)</f>
        <v>#N/A</v>
      </c>
      <c r="H6011" s="6" t="str">
        <f>VLOOKUP(E6011,dicionario!$A$1:$C6410,3,0)</f>
        <v>#N/A</v>
      </c>
    </row>
    <row r="6012">
      <c r="A6012" s="3">
        <v>45694.0</v>
      </c>
      <c r="B6012" s="4">
        <v>0.3138888888888889</v>
      </c>
      <c r="C6012" s="5" t="s">
        <v>50</v>
      </c>
      <c r="D6012" s="5" t="s">
        <v>1082</v>
      </c>
      <c r="E6012" s="8" t="s">
        <v>308</v>
      </c>
      <c r="F6012" s="5" t="s">
        <v>309</v>
      </c>
      <c r="G6012" s="6" t="str">
        <f>VLOOKUP(E6012,dicionario!$A$1:$C6411,2,0)</f>
        <v>#N/A</v>
      </c>
      <c r="H6012" s="6" t="str">
        <f>VLOOKUP(E6012,dicionario!$A$1:$C6411,3,0)</f>
        <v>#N/A</v>
      </c>
    </row>
    <row r="6013">
      <c r="A6013" s="3">
        <v>45694.0</v>
      </c>
      <c r="B6013" s="4">
        <v>0.3145833333333333</v>
      </c>
      <c r="C6013" s="5" t="s">
        <v>50</v>
      </c>
      <c r="D6013" s="5" t="s">
        <v>1082</v>
      </c>
      <c r="E6013" s="8" t="s">
        <v>109</v>
      </c>
      <c r="F6013" s="5" t="s">
        <v>110</v>
      </c>
      <c r="G6013" s="6" t="str">
        <f>VLOOKUP(E6013,dicionario!$A$1:$C6412,2,0)</f>
        <v>Tillandsia stricta</v>
      </c>
      <c r="H6013" s="6" t="str">
        <f>VLOOKUP(E6013,dicionario!$A$1:$C6412,3,0)</f>
        <v>cravo-do-mato</v>
      </c>
    </row>
    <row r="6014">
      <c r="A6014" s="3">
        <v>45694.0</v>
      </c>
      <c r="B6014" s="4">
        <v>0.3145833333333333</v>
      </c>
      <c r="C6014" s="5" t="s">
        <v>50</v>
      </c>
      <c r="D6014" s="5" t="s">
        <v>1082</v>
      </c>
      <c r="E6014" s="6" t="s">
        <v>171</v>
      </c>
      <c r="F6014" s="5" t="s">
        <v>172</v>
      </c>
      <c r="G6014" s="6" t="str">
        <f>VLOOKUP(E6014,dicionario!$A$1:$C6413,2,0)</f>
        <v>Oxalis corniculata</v>
      </c>
      <c r="H6014" s="6" t="str">
        <f>VLOOKUP(E6014,dicionario!$A$1:$C6413,3,0)</f>
        <v>trevo-azedinho</v>
      </c>
    </row>
    <row r="6015">
      <c r="A6015" s="3">
        <v>45694.0</v>
      </c>
      <c r="B6015" s="4">
        <v>0.3145833333333333</v>
      </c>
      <c r="C6015" s="5" t="s">
        <v>50</v>
      </c>
      <c r="D6015" s="5" t="s">
        <v>1082</v>
      </c>
      <c r="E6015" s="8" t="s">
        <v>338</v>
      </c>
      <c r="F6015" s="5" t="s">
        <v>238</v>
      </c>
      <c r="G6015" s="6" t="str">
        <f>VLOOKUP(E6015,dicionario!$A$1:$C6414,2,0)</f>
        <v>Atta</v>
      </c>
      <c r="H6015" s="6" t="str">
        <f>VLOOKUP(E6015,dicionario!$A$1:$C6414,3,0)</f>
        <v>saúva</v>
      </c>
    </row>
    <row r="6016">
      <c r="A6016" s="3">
        <v>45694.0</v>
      </c>
      <c r="B6016" s="4">
        <v>0.31527777777777777</v>
      </c>
      <c r="C6016" s="5" t="s">
        <v>50</v>
      </c>
      <c r="D6016" s="5" t="s">
        <v>1082</v>
      </c>
      <c r="E6016" s="8" t="s">
        <v>69</v>
      </c>
      <c r="F6016" s="7" t="s">
        <v>71</v>
      </c>
      <c r="G6016" s="6" t="str">
        <f>VLOOKUP(E6016,dicionario!$A$1:$C6415,2,0)</f>
        <v>Talinum fruticosum</v>
      </c>
      <c r="H6016" s="6" t="str">
        <f>VLOOKUP(E6016,dicionario!$A$1:$C6415,3,0)</f>
        <v>beldroega-grande</v>
      </c>
    </row>
    <row r="6017">
      <c r="A6017" s="3">
        <v>45694.0</v>
      </c>
      <c r="B6017" s="4">
        <v>0.3159722222222222</v>
      </c>
      <c r="C6017" s="5" t="s">
        <v>50</v>
      </c>
      <c r="D6017" s="5" t="s">
        <v>1082</v>
      </c>
      <c r="E6017" s="8" t="s">
        <v>251</v>
      </c>
      <c r="F6017" s="5" t="s">
        <v>252</v>
      </c>
      <c r="G6017" s="6" t="str">
        <f>VLOOKUP(E6017,dicionario!$A$1:$C6416,2,0)</f>
        <v>Struthanthus flexicaulis</v>
      </c>
      <c r="H6017" s="6" t="str">
        <f>VLOOKUP(E6017,dicionario!$A$1:$C6416,3,0)</f>
        <v>erva-de-passarinho</v>
      </c>
    </row>
    <row r="6018">
      <c r="A6018" s="3">
        <v>45694.0</v>
      </c>
      <c r="B6018" s="4">
        <v>0.3159722222222222</v>
      </c>
      <c r="C6018" s="5" t="s">
        <v>50</v>
      </c>
      <c r="D6018" s="5" t="s">
        <v>1082</v>
      </c>
      <c r="E6018" s="8" t="s">
        <v>72</v>
      </c>
      <c r="F6018" s="5" t="s">
        <v>73</v>
      </c>
      <c r="G6018" s="6" t="str">
        <f>VLOOKUP(E6018,dicionario!$A$1:$C6417,2,0)</f>
        <v>Thraupis palmarum</v>
      </c>
      <c r="H6018" s="6" t="str">
        <f>VLOOKUP(E6018,dicionario!$A$1:$C6417,3,0)</f>
        <v>sanhaço-do-coqueiro</v>
      </c>
    </row>
    <row r="6019">
      <c r="A6019" s="3">
        <v>45694.0</v>
      </c>
      <c r="B6019" s="4">
        <v>0.31666666666666665</v>
      </c>
      <c r="C6019" s="5" t="s">
        <v>50</v>
      </c>
      <c r="D6019" s="5" t="s">
        <v>1082</v>
      </c>
      <c r="E6019" s="8" t="s">
        <v>46</v>
      </c>
      <c r="F6019" s="5" t="s">
        <v>47</v>
      </c>
      <c r="G6019" s="6" t="str">
        <f>VLOOKUP(E6019,dicionario!$A$1:$C6418,2,0)</f>
        <v>Chionomesa fimbriata</v>
      </c>
      <c r="H6019" s="6" t="str">
        <f>VLOOKUP(E6019,dicionario!$A$1:$C6418,3,0)</f>
        <v>beija-flor-de-garganta-verde</v>
      </c>
    </row>
    <row r="6020">
      <c r="A6020" s="3">
        <v>45694.0</v>
      </c>
      <c r="B6020" s="4">
        <v>0.3173611111111111</v>
      </c>
      <c r="C6020" s="5" t="s">
        <v>50</v>
      </c>
      <c r="D6020" s="5" t="s">
        <v>1082</v>
      </c>
      <c r="E6020" s="8" t="s">
        <v>105</v>
      </c>
      <c r="F6020" s="5" t="s">
        <v>106</v>
      </c>
      <c r="G6020" s="6" t="str">
        <f>VLOOKUP(E6020,dicionario!$A$1:$C6419,2,0)</f>
        <v>Progne tapera</v>
      </c>
      <c r="H6020" s="6" t="str">
        <f>VLOOKUP(E6020,dicionario!$A$1:$C6419,3,0)</f>
        <v>andorinha-do-campo</v>
      </c>
    </row>
    <row r="6021">
      <c r="A6021" s="3">
        <v>45694.0</v>
      </c>
      <c r="B6021" s="4">
        <v>0.32083333333333336</v>
      </c>
      <c r="C6021" s="5" t="s">
        <v>40</v>
      </c>
      <c r="D6021" s="5" t="s">
        <v>1082</v>
      </c>
      <c r="E6021" s="8" t="s">
        <v>113</v>
      </c>
      <c r="F6021" s="5" t="s">
        <v>114</v>
      </c>
      <c r="G6021" s="6" t="str">
        <f>VLOOKUP(E6021,dicionario!$A$1:$C6420,2,0)</f>
        <v>Columbina talpacoti</v>
      </c>
      <c r="H6021" s="6" t="str">
        <f>VLOOKUP(E6021,dicionario!$A$1:$C6420,3,0)</f>
        <v>rolinha-roxa</v>
      </c>
    </row>
    <row r="6022">
      <c r="A6022" s="3">
        <v>45694.0</v>
      </c>
      <c r="B6022" s="4">
        <v>0.32083333333333336</v>
      </c>
      <c r="C6022" s="5" t="s">
        <v>40</v>
      </c>
      <c r="D6022" s="5" t="s">
        <v>1082</v>
      </c>
      <c r="E6022" s="8" t="s">
        <v>298</v>
      </c>
      <c r="F6022" s="5" t="s">
        <v>739</v>
      </c>
      <c r="G6022" s="6" t="str">
        <f>VLOOKUP(E6022,dicionario!$A$1:$C6421,2,0)</f>
        <v>Alysicarpus vaginalis</v>
      </c>
      <c r="H6022" s="6" t="str">
        <f>VLOOKUP(E6022,dicionario!$A$1:$C6421,3,0)</f>
        <v/>
      </c>
    </row>
    <row r="6023">
      <c r="A6023" s="3">
        <v>45694.0</v>
      </c>
      <c r="B6023" s="4">
        <v>0.3215277777777778</v>
      </c>
      <c r="C6023" s="5" t="s">
        <v>40</v>
      </c>
      <c r="D6023" s="5" t="s">
        <v>1082</v>
      </c>
      <c r="E6023" s="8" t="s">
        <v>1155</v>
      </c>
      <c r="F6023" s="5" t="s">
        <v>1156</v>
      </c>
      <c r="G6023" s="6" t="str">
        <f>VLOOKUP(E6023,dicionario!$A$1:$C6422,2,0)</f>
        <v>#N/A</v>
      </c>
      <c r="H6023" s="6" t="str">
        <f>VLOOKUP(E6023,dicionario!$A$1:$C6422,3,0)</f>
        <v>#N/A</v>
      </c>
    </row>
    <row r="6024">
      <c r="A6024" s="3">
        <v>45694.0</v>
      </c>
      <c r="B6024" s="4">
        <v>0.3215277777777778</v>
      </c>
      <c r="C6024" s="5" t="s">
        <v>40</v>
      </c>
      <c r="D6024" s="5" t="s">
        <v>1082</v>
      </c>
      <c r="E6024" s="8" t="s">
        <v>517</v>
      </c>
      <c r="F6024" s="7" t="s">
        <v>518</v>
      </c>
      <c r="G6024" s="6" t="str">
        <f>VLOOKUP(E6024,dicionario!$A$1:$C6423,2,0)</f>
        <v>Evolvulus nummularius</v>
      </c>
      <c r="H6024" s="6" t="str">
        <f>VLOOKUP(E6024,dicionario!$A$1:$C6423,3,0)</f>
        <v/>
      </c>
    </row>
    <row r="6025">
      <c r="A6025" s="3">
        <v>45694.0</v>
      </c>
      <c r="B6025" s="4">
        <v>0.3215277777777778</v>
      </c>
      <c r="C6025" s="5" t="s">
        <v>40</v>
      </c>
      <c r="D6025" s="5" t="s">
        <v>1082</v>
      </c>
      <c r="E6025" s="8" t="s">
        <v>65</v>
      </c>
      <c r="F6025" s="5" t="s">
        <v>66</v>
      </c>
      <c r="G6025" s="6" t="str">
        <f>VLOOKUP(E6025,dicionario!$A$1:$C6424,2,0)</f>
        <v>Pitangus sulphutarus</v>
      </c>
      <c r="H6025" s="6" t="str">
        <f>VLOOKUP(E6025,dicionario!$A$1:$C6424,3,0)</f>
        <v>bem-te-vi</v>
      </c>
    </row>
    <row r="6026">
      <c r="A6026" s="3">
        <v>45694.0</v>
      </c>
      <c r="B6026" s="4">
        <v>0.32222222222222224</v>
      </c>
      <c r="C6026" s="5" t="s">
        <v>40</v>
      </c>
      <c r="D6026" s="5" t="s">
        <v>1082</v>
      </c>
      <c r="E6026" s="8" t="s">
        <v>213</v>
      </c>
      <c r="F6026" s="7" t="s">
        <v>214</v>
      </c>
      <c r="G6026" s="6" t="str">
        <f>VLOOKUP(E6026,dicionario!$A$1:$C6425,2,0)</f>
        <v>Myiozetetes similis</v>
      </c>
      <c r="H6026" s="6" t="str">
        <f>VLOOKUP(E6026,dicionario!$A$1:$C6425,3,0)</f>
        <v>bentevizinho-de-penacho-vermelho</v>
      </c>
    </row>
    <row r="6027">
      <c r="A6027" s="3">
        <v>45694.0</v>
      </c>
      <c r="B6027" s="4">
        <v>0.32222222222222224</v>
      </c>
      <c r="C6027" s="5" t="s">
        <v>40</v>
      </c>
      <c r="D6027" s="5" t="s">
        <v>1082</v>
      </c>
      <c r="E6027" s="8" t="s">
        <v>302</v>
      </c>
      <c r="F6027" s="5" t="s">
        <v>89</v>
      </c>
      <c r="G6027" s="6" t="str">
        <f>VLOOKUP(E6027,dicionario!$A$1:$C6426,2,0)</f>
        <v>Machetornis rixosa</v>
      </c>
      <c r="H6027" s="6" t="str">
        <f>VLOOKUP(E6027,dicionario!$A$1:$C6426,3,0)</f>
        <v>suiriri-cavaleiro</v>
      </c>
    </row>
    <row r="6028">
      <c r="A6028" s="3">
        <v>45694.0</v>
      </c>
      <c r="B6028" s="4">
        <v>0.32222222222222224</v>
      </c>
      <c r="C6028" s="5" t="s">
        <v>40</v>
      </c>
      <c r="D6028" s="5" t="s">
        <v>1082</v>
      </c>
      <c r="E6028" s="8" t="s">
        <v>483</v>
      </c>
      <c r="F6028" s="5" t="s">
        <v>484</v>
      </c>
      <c r="G6028" s="6" t="str">
        <f>VLOOKUP(E6028,dicionario!$A$1:$C6427,2,0)</f>
        <v>Euphorbia prostrata</v>
      </c>
      <c r="H6028" s="6" t="str">
        <f>VLOOKUP(E6028,dicionario!$A$1:$C6427,3,0)</f>
        <v>quebra-pedra-rasteira</v>
      </c>
    </row>
    <row r="6029">
      <c r="A6029" s="3">
        <v>45694.0</v>
      </c>
      <c r="B6029" s="4">
        <v>0.32222222222222224</v>
      </c>
      <c r="C6029" s="5" t="s">
        <v>40</v>
      </c>
      <c r="D6029" s="5" t="s">
        <v>1082</v>
      </c>
      <c r="E6029" s="8" t="s">
        <v>225</v>
      </c>
      <c r="F6029" s="5" t="s">
        <v>226</v>
      </c>
      <c r="G6029" s="6" t="str">
        <f>VLOOKUP(E6029,dicionario!$A$1:$C6428,2,0)</f>
        <v>Passer domesticus</v>
      </c>
      <c r="H6029" s="6" t="str">
        <f>VLOOKUP(E6029,dicionario!$A$1:$C6428,3,0)</f>
        <v>pardal</v>
      </c>
    </row>
    <row r="6030">
      <c r="A6030" s="3">
        <v>45694.0</v>
      </c>
      <c r="B6030" s="4">
        <v>0.3229166666666667</v>
      </c>
      <c r="C6030" s="5" t="s">
        <v>40</v>
      </c>
      <c r="D6030" s="5" t="s">
        <v>1082</v>
      </c>
      <c r="E6030" s="6" t="s">
        <v>539</v>
      </c>
      <c r="F6030" s="5" t="s">
        <v>540</v>
      </c>
      <c r="G6030" s="6" t="str">
        <f>VLOOKUP(E6030,dicionario!$A$1:$C6429,2,0)</f>
        <v>#N/A</v>
      </c>
      <c r="H6030" s="6" t="str">
        <f>VLOOKUP(E6030,dicionario!$A$1:$C6429,3,0)</f>
        <v>#N/A</v>
      </c>
    </row>
    <row r="6031">
      <c r="A6031" s="3">
        <v>45694.0</v>
      </c>
      <c r="B6031" s="4">
        <v>0.3229166666666667</v>
      </c>
      <c r="C6031" s="5" t="s">
        <v>40</v>
      </c>
      <c r="D6031" s="5" t="s">
        <v>1082</v>
      </c>
      <c r="E6031" s="8" t="s">
        <v>154</v>
      </c>
      <c r="F6031" s="5" t="s">
        <v>155</v>
      </c>
      <c r="G6031" s="6" t="str">
        <f>VLOOKUP(E6031,dicionario!$A$1:$C6430,2,0)</f>
        <v>Cyperus rotundus</v>
      </c>
      <c r="H6031" s="6" t="str">
        <f>VLOOKUP(E6031,dicionario!$A$1:$C6430,3,0)</f>
        <v>tiririca</v>
      </c>
    </row>
    <row r="6032">
      <c r="A6032" s="3">
        <v>45694.0</v>
      </c>
      <c r="B6032" s="4">
        <v>0.3229166666666667</v>
      </c>
      <c r="C6032" s="5" t="s">
        <v>40</v>
      </c>
      <c r="D6032" s="5" t="s">
        <v>1082</v>
      </c>
      <c r="E6032" s="8" t="s">
        <v>353</v>
      </c>
      <c r="F6032" s="5" t="s">
        <v>354</v>
      </c>
      <c r="G6032" s="6" t="str">
        <f>VLOOKUP(E6032,dicionario!$A$1:$C6431,2,0)</f>
        <v>Desmodium incanum</v>
      </c>
      <c r="H6032" s="6" t="str">
        <f>VLOOKUP(E6032,dicionario!$A$1:$C6431,3,0)</f>
        <v>pega-pega</v>
      </c>
    </row>
    <row r="6033">
      <c r="A6033" s="3">
        <v>45694.0</v>
      </c>
      <c r="B6033" s="4">
        <v>0.3229166666666667</v>
      </c>
      <c r="C6033" s="5" t="s">
        <v>40</v>
      </c>
      <c r="D6033" s="5" t="s">
        <v>1082</v>
      </c>
      <c r="E6033" s="8" t="s">
        <v>366</v>
      </c>
      <c r="F6033" s="5" t="s">
        <v>367</v>
      </c>
      <c r="G6033" s="6" t="str">
        <f>VLOOKUP(E6033,dicionario!$A$1:$C6432,2,0)</f>
        <v>Alternanthera ficoidea</v>
      </c>
      <c r="H6033" s="6" t="str">
        <f>VLOOKUP(E6033,dicionario!$A$1:$C6432,3,0)</f>
        <v>quebra-panela</v>
      </c>
    </row>
    <row r="6034">
      <c r="A6034" s="3">
        <v>45694.0</v>
      </c>
      <c r="B6034" s="4">
        <v>0.3236111111111111</v>
      </c>
      <c r="C6034" s="5" t="s">
        <v>40</v>
      </c>
      <c r="D6034" s="5" t="s">
        <v>1082</v>
      </c>
      <c r="E6034" s="8" t="s">
        <v>111</v>
      </c>
      <c r="F6034" s="7" t="s">
        <v>112</v>
      </c>
      <c r="G6034" s="6" t="str">
        <f>VLOOKUP(E6034,dicionario!$A$1:$C6433,2,0)</f>
        <v>Trigona spinipes</v>
      </c>
      <c r="H6034" s="6" t="str">
        <f>VLOOKUP(E6034,dicionario!$A$1:$C6433,3,0)</f>
        <v>abelha-cachorro</v>
      </c>
    </row>
    <row r="6035">
      <c r="A6035" s="3">
        <v>45694.0</v>
      </c>
      <c r="B6035" s="4">
        <v>0.3236111111111111</v>
      </c>
      <c r="C6035" s="5" t="s">
        <v>40</v>
      </c>
      <c r="D6035" s="5" t="s">
        <v>1082</v>
      </c>
      <c r="E6035" s="8" t="s">
        <v>46</v>
      </c>
      <c r="F6035" s="5" t="s">
        <v>47</v>
      </c>
      <c r="G6035" s="6" t="str">
        <f>VLOOKUP(E6035,dicionario!$A$1:$C6434,2,0)</f>
        <v>Chionomesa fimbriata</v>
      </c>
      <c r="H6035" s="6" t="str">
        <f>VLOOKUP(E6035,dicionario!$A$1:$C6434,3,0)</f>
        <v>beija-flor-de-garganta-verde</v>
      </c>
    </row>
    <row r="6036">
      <c r="A6036" s="3">
        <v>45694.0</v>
      </c>
      <c r="B6036" s="4">
        <v>0.3236111111111111</v>
      </c>
      <c r="C6036" s="5" t="s">
        <v>40</v>
      </c>
      <c r="D6036" s="5" t="s">
        <v>1082</v>
      </c>
      <c r="E6036" s="8" t="s">
        <v>105</v>
      </c>
      <c r="F6036" s="5" t="s">
        <v>106</v>
      </c>
      <c r="G6036" s="6" t="str">
        <f>VLOOKUP(E6036,dicionario!$A$1:$C6435,2,0)</f>
        <v>Progne tapera</v>
      </c>
      <c r="H6036" s="6" t="str">
        <f>VLOOKUP(E6036,dicionario!$A$1:$C6435,3,0)</f>
        <v>andorinha-do-campo</v>
      </c>
    </row>
    <row r="6037">
      <c r="A6037" s="3">
        <v>45694.0</v>
      </c>
      <c r="B6037" s="4">
        <v>0.32430555555555557</v>
      </c>
      <c r="C6037" s="5" t="s">
        <v>40</v>
      </c>
      <c r="D6037" s="5" t="s">
        <v>1082</v>
      </c>
      <c r="E6037" s="8" t="s">
        <v>560</v>
      </c>
      <c r="F6037" s="5" t="s">
        <v>561</v>
      </c>
      <c r="G6037" s="6" t="str">
        <f>VLOOKUP(E6037,dicionario!$A$1:$C6436,2,0)</f>
        <v>Megarynchus pitangua</v>
      </c>
      <c r="H6037" s="6" t="str">
        <f>VLOOKUP(E6037,dicionario!$A$1:$C6436,3,0)</f>
        <v>neinei</v>
      </c>
    </row>
    <row r="6038">
      <c r="A6038" s="3">
        <v>45694.0</v>
      </c>
      <c r="B6038" s="4">
        <v>0.32430555555555557</v>
      </c>
      <c r="C6038" s="5" t="s">
        <v>40</v>
      </c>
      <c r="D6038" s="5" t="s">
        <v>1082</v>
      </c>
      <c r="E6038" s="8" t="s">
        <v>53</v>
      </c>
      <c r="F6038" s="7" t="s">
        <v>54</v>
      </c>
      <c r="G6038" s="6" t="str">
        <f>VLOOKUP(E6038,dicionario!$A$1:$C6437,2,0)</f>
        <v>Turnera subulata</v>
      </c>
      <c r="H6038" s="6" t="str">
        <f>VLOOKUP(E6038,dicionario!$A$1:$C6437,3,0)</f>
        <v>xanana</v>
      </c>
    </row>
    <row r="6039">
      <c r="A6039" s="3">
        <v>45694.0</v>
      </c>
      <c r="B6039" s="4">
        <v>0.32430555555555557</v>
      </c>
      <c r="C6039" s="5" t="s">
        <v>40</v>
      </c>
      <c r="D6039" s="5" t="s">
        <v>1082</v>
      </c>
      <c r="E6039" s="8" t="s">
        <v>566</v>
      </c>
      <c r="F6039" s="5" t="s">
        <v>567</v>
      </c>
      <c r="G6039" s="6" t="str">
        <f>VLOOKUP(E6039,dicionario!$A$1:$C6438,2,0)</f>
        <v>Baccharis dracunculifolia</v>
      </c>
      <c r="H6039" s="6" t="str">
        <f>VLOOKUP(E6039,dicionario!$A$1:$C6438,3,0)</f>
        <v>vassoura</v>
      </c>
    </row>
    <row r="6040">
      <c r="A6040" s="3">
        <v>45694.0</v>
      </c>
      <c r="B6040" s="4">
        <v>0.325</v>
      </c>
      <c r="C6040" s="5" t="s">
        <v>40</v>
      </c>
      <c r="D6040" s="5" t="s">
        <v>1082</v>
      </c>
      <c r="E6040" s="8" t="s">
        <v>109</v>
      </c>
      <c r="F6040" s="5" t="s">
        <v>110</v>
      </c>
      <c r="G6040" s="6" t="str">
        <f>VLOOKUP(E6040,dicionario!$A$1:$C6439,2,0)</f>
        <v>Tillandsia stricta</v>
      </c>
      <c r="H6040" s="6" t="str">
        <f>VLOOKUP(E6040,dicionario!$A$1:$C6439,3,0)</f>
        <v>cravo-do-mato</v>
      </c>
    </row>
    <row r="6041">
      <c r="A6041" s="3">
        <v>45694.0</v>
      </c>
      <c r="B6041" s="4">
        <v>0.325</v>
      </c>
      <c r="C6041" s="5" t="s">
        <v>40</v>
      </c>
      <c r="D6041" s="5" t="s">
        <v>1082</v>
      </c>
      <c r="E6041" s="6" t="s">
        <v>265</v>
      </c>
      <c r="F6041" s="5" t="s">
        <v>266</v>
      </c>
      <c r="G6041" s="6" t="str">
        <f>VLOOKUP(E6041,dicionario!$A$1:$C6440,2,0)</f>
        <v>Sonchus oleraceus</v>
      </c>
      <c r="H6041" s="6" t="str">
        <f>VLOOKUP(E6041,dicionario!$A$1:$C6440,3,0)</f>
        <v>seralha</v>
      </c>
    </row>
    <row r="6042">
      <c r="A6042" s="3">
        <v>45694.0</v>
      </c>
      <c r="B6042" s="4">
        <v>0.3263888888888889</v>
      </c>
      <c r="C6042" s="5" t="s">
        <v>40</v>
      </c>
      <c r="D6042" s="5" t="s">
        <v>1082</v>
      </c>
      <c r="E6042" s="8" t="s">
        <v>1064</v>
      </c>
      <c r="F6042" s="5" t="s">
        <v>603</v>
      </c>
      <c r="G6042" s="6" t="str">
        <f>VLOOKUP(E6042,dicionario!$A$1:$C6441,2,0)</f>
        <v>#N/A</v>
      </c>
      <c r="H6042" s="6" t="str">
        <f>VLOOKUP(E6042,dicionario!$A$1:$C6441,3,0)</f>
        <v>#N/A</v>
      </c>
    </row>
    <row r="6043">
      <c r="A6043" s="3">
        <v>45694.0</v>
      </c>
      <c r="B6043" s="4">
        <v>0.3263888888888889</v>
      </c>
      <c r="C6043" s="5" t="s">
        <v>40</v>
      </c>
      <c r="D6043" s="5" t="s">
        <v>1082</v>
      </c>
      <c r="E6043" s="8" t="s">
        <v>253</v>
      </c>
      <c r="F6043" s="5" t="s">
        <v>254</v>
      </c>
      <c r="G6043" s="6" t="str">
        <f>VLOOKUP(E6043,dicionario!$A$1:$C6442,2,0)</f>
        <v>Panicum maximum</v>
      </c>
      <c r="H6043" s="6" t="str">
        <f>VLOOKUP(E6043,dicionario!$A$1:$C6442,3,0)</f>
        <v>capim-colonião</v>
      </c>
    </row>
    <row r="6044">
      <c r="A6044" s="3">
        <v>45694.0</v>
      </c>
      <c r="B6044" s="4">
        <v>0.3263888888888889</v>
      </c>
      <c r="C6044" s="5" t="s">
        <v>40</v>
      </c>
      <c r="D6044" s="5" t="s">
        <v>1082</v>
      </c>
      <c r="E6044" s="8" t="s">
        <v>290</v>
      </c>
      <c r="F6044" s="5" t="s">
        <v>291</v>
      </c>
      <c r="G6044" s="6" t="str">
        <f>VLOOKUP(E6044,dicionario!$A$1:$C6443,2,0)</f>
        <v>Drymaria cordata</v>
      </c>
      <c r="H6044" s="6" t="str">
        <f>VLOOKUP(E6044,dicionario!$A$1:$C6443,3,0)</f>
        <v>orelha-de-rato</v>
      </c>
    </row>
    <row r="6045">
      <c r="A6045" s="3">
        <v>45694.0</v>
      </c>
      <c r="B6045" s="4">
        <v>0.32708333333333334</v>
      </c>
      <c r="C6045" s="5" t="s">
        <v>40</v>
      </c>
      <c r="D6045" s="5" t="s">
        <v>1082</v>
      </c>
      <c r="E6045" s="8" t="s">
        <v>150</v>
      </c>
      <c r="F6045" s="5" t="s">
        <v>151</v>
      </c>
      <c r="G6045" s="6" t="str">
        <f>VLOOKUP(E6045,dicionario!$A$1:$C6444,2,0)</f>
        <v>Amaranthus viridis</v>
      </c>
      <c r="H6045" s="6" t="str">
        <f>VLOOKUP(E6045,dicionario!$A$1:$C6444,3,0)</f>
        <v>caruru-de-mancha</v>
      </c>
    </row>
    <row r="6046">
      <c r="A6046" s="3">
        <v>45694.0</v>
      </c>
      <c r="B6046" s="4">
        <v>0.32708333333333334</v>
      </c>
      <c r="C6046" s="5" t="s">
        <v>40</v>
      </c>
      <c r="D6046" s="5" t="s">
        <v>1082</v>
      </c>
      <c r="E6046" s="8" t="s">
        <v>135</v>
      </c>
      <c r="F6046" s="5" t="s">
        <v>136</v>
      </c>
      <c r="G6046" s="6" t="str">
        <f>VLOOKUP(E6046,dicionario!$A$1:$C6445,2,0)</f>
        <v>Tridax procumbens</v>
      </c>
      <c r="H6046" s="6" t="str">
        <f>VLOOKUP(E6046,dicionario!$A$1:$C6445,3,0)</f>
        <v>erva-de-touro</v>
      </c>
    </row>
    <row r="6047">
      <c r="A6047" s="3">
        <v>45694.0</v>
      </c>
      <c r="B6047" s="4">
        <v>0.3277777777777778</v>
      </c>
      <c r="C6047" s="5" t="s">
        <v>40</v>
      </c>
      <c r="D6047" s="5" t="s">
        <v>1082</v>
      </c>
      <c r="E6047" s="8" t="s">
        <v>353</v>
      </c>
      <c r="F6047" s="5" t="s">
        <v>354</v>
      </c>
      <c r="G6047" s="6" t="str">
        <f>VLOOKUP(E6047,dicionario!$A$1:$C6446,2,0)</f>
        <v>Desmodium incanum</v>
      </c>
      <c r="H6047" s="6" t="str">
        <f>VLOOKUP(E6047,dicionario!$A$1:$C6446,3,0)</f>
        <v>pega-pega</v>
      </c>
    </row>
    <row r="6048">
      <c r="A6048" s="3">
        <v>45694.0</v>
      </c>
      <c r="B6048" s="4">
        <v>0.3277777777777778</v>
      </c>
      <c r="C6048" s="5" t="s">
        <v>40</v>
      </c>
      <c r="D6048" s="5" t="s">
        <v>1082</v>
      </c>
      <c r="E6048" s="8" t="s">
        <v>355</v>
      </c>
      <c r="F6048" s="5" t="s">
        <v>356</v>
      </c>
      <c r="G6048" s="6" t="str">
        <f>VLOOKUP(E6048,dicionario!$A$1:$C6447,2,0)</f>
        <v>Boerhavia diffusa</v>
      </c>
      <c r="H6048" s="6" t="str">
        <f>VLOOKUP(E6048,dicionario!$A$1:$C6447,3,0)</f>
        <v>erva-tostão</v>
      </c>
    </row>
    <row r="6049">
      <c r="A6049" s="3">
        <v>45694.0</v>
      </c>
      <c r="B6049" s="4">
        <v>0.3284722222222222</v>
      </c>
      <c r="C6049" s="5" t="s">
        <v>40</v>
      </c>
      <c r="D6049" s="5" t="s">
        <v>1082</v>
      </c>
      <c r="E6049" s="8" t="s">
        <v>286</v>
      </c>
      <c r="F6049" s="5" t="s">
        <v>287</v>
      </c>
      <c r="G6049" s="6" t="str">
        <f>VLOOKUP(E6049,dicionario!$A$1:$C6448,2,0)</f>
        <v>Setaria parviflora</v>
      </c>
      <c r="H6049" s="6" t="str">
        <f>VLOOKUP(E6049,dicionario!$A$1:$C6448,3,0)</f>
        <v>capim-rabo-de-raposa</v>
      </c>
    </row>
    <row r="6050">
      <c r="A6050" s="3">
        <v>45694.0</v>
      </c>
      <c r="B6050" s="4">
        <v>0.32916666666666666</v>
      </c>
      <c r="C6050" s="5" t="s">
        <v>40</v>
      </c>
      <c r="D6050" s="5" t="s">
        <v>1082</v>
      </c>
      <c r="E6050" s="8" t="s">
        <v>154</v>
      </c>
      <c r="F6050" s="5" t="s">
        <v>155</v>
      </c>
      <c r="G6050" s="6" t="str">
        <f>VLOOKUP(E6050,dicionario!$A$1:$C6449,2,0)</f>
        <v>Cyperus rotundus</v>
      </c>
      <c r="H6050" s="6" t="str">
        <f>VLOOKUP(E6050,dicionario!$A$1:$C6449,3,0)</f>
        <v>tiririca</v>
      </c>
    </row>
    <row r="6051">
      <c r="A6051" s="3">
        <v>45694.0</v>
      </c>
      <c r="B6051" s="4">
        <v>0.32916666666666666</v>
      </c>
      <c r="C6051" s="5" t="s">
        <v>40</v>
      </c>
      <c r="D6051" s="5" t="s">
        <v>1082</v>
      </c>
      <c r="E6051" s="8" t="s">
        <v>792</v>
      </c>
      <c r="F6051" s="5" t="s">
        <v>793</v>
      </c>
      <c r="G6051" s="6" t="str">
        <f>VLOOKUP(E6051,dicionario!$A$1:$C6450,2,0)</f>
        <v>Musca domestica</v>
      </c>
      <c r="H6051" s="6" t="str">
        <f>VLOOKUP(E6051,dicionario!$A$1:$C6450,3,0)</f>
        <v>mosca-doméstica</v>
      </c>
    </row>
    <row r="6052">
      <c r="A6052" s="3">
        <v>45694.0</v>
      </c>
      <c r="B6052" s="4">
        <v>0.32916666666666666</v>
      </c>
      <c r="C6052" s="5" t="s">
        <v>40</v>
      </c>
      <c r="D6052" s="5" t="s">
        <v>1082</v>
      </c>
      <c r="E6052" s="8" t="s">
        <v>247</v>
      </c>
      <c r="F6052" s="5" t="s">
        <v>387</v>
      </c>
      <c r="G6052" s="6" t="str">
        <f>VLOOKUP(E6052,dicionario!$A$1:$C6451,2,0)</f>
        <v>Emilia sonchifolia</v>
      </c>
      <c r="H6052" s="6" t="str">
        <f>VLOOKUP(E6052,dicionario!$A$1:$C6451,3,0)</f>
        <v>serralinha</v>
      </c>
    </row>
    <row r="6053">
      <c r="A6053" s="3">
        <v>45694.0</v>
      </c>
      <c r="B6053" s="4">
        <v>0.3298611111111111</v>
      </c>
      <c r="C6053" s="5" t="s">
        <v>40</v>
      </c>
      <c r="D6053" s="5" t="s">
        <v>1082</v>
      </c>
      <c r="E6053" s="8" t="s">
        <v>405</v>
      </c>
      <c r="F6053" s="5" t="s">
        <v>852</v>
      </c>
      <c r="G6053" s="6" t="str">
        <f>VLOOKUP(E6053,dicionario!$A$1:$C6452,2,0)</f>
        <v>Ectatomma</v>
      </c>
      <c r="H6053" s="6" t="str">
        <f>VLOOKUP(E6053,dicionario!$A$1:$C6452,3,0)</f>
        <v>formiga-preta</v>
      </c>
    </row>
    <row r="6054">
      <c r="A6054" s="3">
        <v>45694.0</v>
      </c>
      <c r="B6054" s="4">
        <v>0.3298611111111111</v>
      </c>
      <c r="C6054" s="5" t="s">
        <v>40</v>
      </c>
      <c r="D6054" s="5" t="s">
        <v>1082</v>
      </c>
      <c r="E6054" s="8" t="s">
        <v>489</v>
      </c>
      <c r="F6054" s="5" t="s">
        <v>521</v>
      </c>
      <c r="G6054" s="6" t="str">
        <f>VLOOKUP(E6054,dicionario!$A$1:$C6453,2,0)</f>
        <v>Cenchrus echinatus</v>
      </c>
      <c r="H6054" s="6" t="str">
        <f>VLOOKUP(E6054,dicionario!$A$1:$C6453,3,0)</f>
        <v>capim-carrapicho</v>
      </c>
    </row>
    <row r="6055">
      <c r="A6055" s="3">
        <v>45694.0</v>
      </c>
      <c r="B6055" s="4">
        <v>0.3298611111111111</v>
      </c>
      <c r="C6055" s="5" t="s">
        <v>40</v>
      </c>
      <c r="D6055" s="5" t="s">
        <v>1082</v>
      </c>
      <c r="E6055" s="8" t="s">
        <v>613</v>
      </c>
      <c r="F6055" s="5" t="s">
        <v>614</v>
      </c>
      <c r="G6055" s="6" t="str">
        <f>VLOOKUP(E6055,dicionario!$A$1:$C6454,2,0)</f>
        <v>Euphorbia hyssopifolia</v>
      </c>
      <c r="H6055" s="6" t="str">
        <f>VLOOKUP(E6055,dicionario!$A$1:$C6454,3,0)</f>
        <v>maria-leite</v>
      </c>
    </row>
    <row r="6056">
      <c r="A6056" s="3">
        <v>45694.0</v>
      </c>
      <c r="B6056" s="4">
        <v>0.33125</v>
      </c>
      <c r="C6056" s="5" t="s">
        <v>33</v>
      </c>
      <c r="D6056" s="5" t="s">
        <v>1082</v>
      </c>
      <c r="E6056" s="8" t="s">
        <v>53</v>
      </c>
      <c r="F6056" s="7" t="s">
        <v>54</v>
      </c>
      <c r="G6056" s="6" t="str">
        <f>VLOOKUP(E6056,dicionario!$A$1:$C6455,2,0)</f>
        <v>Turnera subulata</v>
      </c>
      <c r="H6056" s="6" t="str">
        <f>VLOOKUP(E6056,dicionario!$A$1:$C6455,3,0)</f>
        <v>xanana</v>
      </c>
    </row>
    <row r="6057">
      <c r="A6057" s="3">
        <v>45694.0</v>
      </c>
      <c r="B6057" s="4">
        <v>0.33125</v>
      </c>
      <c r="C6057" s="5" t="s">
        <v>33</v>
      </c>
      <c r="D6057" s="5" t="s">
        <v>1082</v>
      </c>
      <c r="E6057" s="8" t="s">
        <v>1155</v>
      </c>
      <c r="F6057" s="5" t="s">
        <v>1156</v>
      </c>
      <c r="G6057" s="6" t="str">
        <f>VLOOKUP(E6057,dicionario!$A$1:$C6456,2,0)</f>
        <v>#N/A</v>
      </c>
      <c r="H6057" s="6" t="str">
        <f>VLOOKUP(E6057,dicionario!$A$1:$C6456,3,0)</f>
        <v>#N/A</v>
      </c>
    </row>
    <row r="6058">
      <c r="A6058" s="3">
        <v>45694.0</v>
      </c>
      <c r="B6058" s="4">
        <v>0.33125</v>
      </c>
      <c r="C6058" s="5" t="s">
        <v>33</v>
      </c>
      <c r="D6058" s="5" t="s">
        <v>1082</v>
      </c>
      <c r="E6058" s="8" t="s">
        <v>566</v>
      </c>
      <c r="F6058" s="5" t="s">
        <v>567</v>
      </c>
      <c r="G6058" s="6" t="str">
        <f>VLOOKUP(E6058,dicionario!$A$1:$C6457,2,0)</f>
        <v>Baccharis dracunculifolia</v>
      </c>
      <c r="H6058" s="6" t="str">
        <f>VLOOKUP(E6058,dicionario!$A$1:$C6457,3,0)</f>
        <v>vassoura</v>
      </c>
    </row>
    <row r="6059">
      <c r="A6059" s="3">
        <v>45694.0</v>
      </c>
      <c r="B6059" s="4">
        <v>0.33194444444444443</v>
      </c>
      <c r="C6059" s="5" t="s">
        <v>33</v>
      </c>
      <c r="D6059" s="5" t="s">
        <v>1082</v>
      </c>
      <c r="E6059" s="8" t="s">
        <v>258</v>
      </c>
      <c r="F6059" s="5" t="s">
        <v>259</v>
      </c>
      <c r="G6059" s="6" t="str">
        <f>VLOOKUP(E6059,dicionario!$A$1:$C6458,2,0)</f>
        <v>Lantana camara</v>
      </c>
      <c r="H6059" s="6" t="str">
        <f>VLOOKUP(E6059,dicionario!$A$1:$C6458,3,0)</f>
        <v>lantana</v>
      </c>
    </row>
    <row r="6060">
      <c r="A6060" s="3">
        <v>45694.0</v>
      </c>
      <c r="B6060" s="4">
        <v>0.33194444444444443</v>
      </c>
      <c r="C6060" s="5" t="s">
        <v>33</v>
      </c>
      <c r="D6060" s="5" t="s">
        <v>1082</v>
      </c>
      <c r="E6060" s="8" t="s">
        <v>14</v>
      </c>
      <c r="F6060" s="5" t="s">
        <v>15</v>
      </c>
      <c r="G6060" s="6" t="str">
        <f>VLOOKUP(E6060,dicionario!$A$1:$C6459,2,0)</f>
        <v>Spermacoce verticillata</v>
      </c>
      <c r="H6060" s="6" t="str">
        <f>VLOOKUP(E6060,dicionario!$A$1:$C6459,3,0)</f>
        <v>vassourinha-de-botão</v>
      </c>
    </row>
    <row r="6061">
      <c r="A6061" s="3">
        <v>45694.0</v>
      </c>
      <c r="B6061" s="4">
        <v>0.33194444444444443</v>
      </c>
      <c r="C6061" s="5" t="s">
        <v>33</v>
      </c>
      <c r="D6061" s="5" t="s">
        <v>1082</v>
      </c>
      <c r="E6061" s="8" t="s">
        <v>483</v>
      </c>
      <c r="F6061" s="5" t="s">
        <v>289</v>
      </c>
      <c r="G6061" s="6" t="str">
        <f>VLOOKUP(E6061,dicionario!$A$1:$C6460,2,0)</f>
        <v>Euphorbia prostrata</v>
      </c>
      <c r="H6061" s="6" t="str">
        <f>VLOOKUP(E6061,dicionario!$A$1:$C6460,3,0)</f>
        <v>quebra-pedra-rasteira</v>
      </c>
    </row>
    <row r="6062">
      <c r="A6062" s="3">
        <v>45694.0</v>
      </c>
      <c r="B6062" s="4">
        <v>0.33194444444444443</v>
      </c>
      <c r="C6062" s="5" t="s">
        <v>33</v>
      </c>
      <c r="D6062" s="5" t="s">
        <v>1082</v>
      </c>
      <c r="E6062" s="8" t="s">
        <v>38</v>
      </c>
      <c r="F6062" s="5" t="s">
        <v>39</v>
      </c>
      <c r="G6062" s="6" t="str">
        <f>VLOOKUP(E6062,dicionario!$A$1:$C6461,2,0)</f>
        <v>Troglodytes musculus</v>
      </c>
      <c r="H6062" s="6" t="str">
        <f>VLOOKUP(E6062,dicionario!$A$1:$C6461,3,0)</f>
        <v>curruíra</v>
      </c>
    </row>
    <row r="6063">
      <c r="A6063" s="3">
        <v>45694.0</v>
      </c>
      <c r="B6063" s="4">
        <v>0.3326388888888889</v>
      </c>
      <c r="C6063" s="5" t="s">
        <v>33</v>
      </c>
      <c r="D6063" s="5" t="s">
        <v>1082</v>
      </c>
      <c r="E6063" s="8" t="s">
        <v>109</v>
      </c>
      <c r="F6063" s="5" t="s">
        <v>110</v>
      </c>
      <c r="G6063" s="6" t="str">
        <f>VLOOKUP(E6063,dicionario!$A$1:$C6462,2,0)</f>
        <v>Tillandsia stricta</v>
      </c>
      <c r="H6063" s="6" t="str">
        <f>VLOOKUP(E6063,dicionario!$A$1:$C6462,3,0)</f>
        <v>cravo-do-mato</v>
      </c>
    </row>
    <row r="6064">
      <c r="A6064" s="3">
        <v>45694.0</v>
      </c>
      <c r="B6064" s="4">
        <v>0.3326388888888889</v>
      </c>
      <c r="C6064" s="5" t="s">
        <v>33</v>
      </c>
      <c r="D6064" s="5" t="s">
        <v>1082</v>
      </c>
      <c r="E6064" s="8" t="s">
        <v>113</v>
      </c>
      <c r="F6064" s="5" t="s">
        <v>114</v>
      </c>
      <c r="G6064" s="6" t="str">
        <f>VLOOKUP(E6064,dicionario!$A$1:$C6463,2,0)</f>
        <v>Columbina talpacoti</v>
      </c>
      <c r="H6064" s="6" t="str">
        <f>VLOOKUP(E6064,dicionario!$A$1:$C6463,3,0)</f>
        <v>rolinha-roxa</v>
      </c>
    </row>
    <row r="6065">
      <c r="A6065" s="3">
        <v>45694.0</v>
      </c>
      <c r="B6065" s="4">
        <v>0.3326388888888889</v>
      </c>
      <c r="C6065" s="5" t="s">
        <v>33</v>
      </c>
      <c r="D6065" s="5" t="s">
        <v>1082</v>
      </c>
      <c r="E6065" s="8" t="s">
        <v>72</v>
      </c>
      <c r="F6065" s="5" t="s">
        <v>73</v>
      </c>
      <c r="G6065" s="6" t="str">
        <f>VLOOKUP(E6065,dicionario!$A$1:$C6464,2,0)</f>
        <v>Thraupis palmarum</v>
      </c>
      <c r="H6065" s="6" t="str">
        <f>VLOOKUP(E6065,dicionario!$A$1:$C6464,3,0)</f>
        <v>sanhaço-do-coqueiro</v>
      </c>
    </row>
    <row r="6066">
      <c r="A6066" s="3">
        <v>45694.0</v>
      </c>
      <c r="B6066" s="4">
        <v>0.3326388888888889</v>
      </c>
      <c r="C6066" s="5" t="s">
        <v>33</v>
      </c>
      <c r="D6066" s="5" t="s">
        <v>1082</v>
      </c>
      <c r="E6066" s="8" t="s">
        <v>122</v>
      </c>
      <c r="F6066" s="7" t="s">
        <v>123</v>
      </c>
      <c r="G6066" s="6" t="str">
        <f>VLOOKUP(E6066,dicionario!$A$1:$C6465,2,0)</f>
        <v>Todirostrum cinereum</v>
      </c>
      <c r="H6066" s="6" t="str">
        <f>VLOOKUP(E6066,dicionario!$A$1:$C6465,3,0)</f>
        <v>ferreirinho-relógio</v>
      </c>
    </row>
    <row r="6067">
      <c r="A6067" s="3">
        <v>45694.0</v>
      </c>
      <c r="B6067" s="4">
        <v>0.3333333333333333</v>
      </c>
      <c r="C6067" s="5" t="s">
        <v>33</v>
      </c>
      <c r="D6067" s="5" t="s">
        <v>1082</v>
      </c>
      <c r="E6067" s="6" t="s">
        <v>91</v>
      </c>
      <c r="F6067" s="5" t="s">
        <v>92</v>
      </c>
      <c r="G6067" s="6" t="str">
        <f>VLOOKUP(E6067,dicionario!$A$1:$C6466,2,0)</f>
        <v>Picumnus cirratus</v>
      </c>
      <c r="H6067" s="6" t="str">
        <f>VLOOKUP(E6067,dicionario!$A$1:$C6466,3,0)</f>
        <v>picapauzinho-barrado</v>
      </c>
    </row>
    <row r="6068">
      <c r="A6068" s="3">
        <v>45694.0</v>
      </c>
      <c r="B6068" s="4">
        <v>0.3333333333333333</v>
      </c>
      <c r="C6068" s="5" t="s">
        <v>33</v>
      </c>
      <c r="D6068" s="5" t="s">
        <v>1082</v>
      </c>
      <c r="E6068" s="8" t="s">
        <v>271</v>
      </c>
      <c r="F6068" s="5" t="s">
        <v>1169</v>
      </c>
      <c r="G6068" s="6" t="str">
        <f>VLOOKUP(E6068,dicionario!$A$1:$C6467,2,0)</f>
        <v>Cyanthillium cinereum</v>
      </c>
      <c r="H6068" s="6" t="str">
        <f>VLOOKUP(E6068,dicionario!$A$1:$C6467,3,0)</f>
        <v>emília</v>
      </c>
    </row>
    <row r="6069">
      <c r="A6069" s="3">
        <v>45694.0</v>
      </c>
      <c r="B6069" s="4">
        <v>0.3333333333333333</v>
      </c>
      <c r="C6069" s="5" t="s">
        <v>33</v>
      </c>
      <c r="D6069" s="5" t="s">
        <v>1082</v>
      </c>
      <c r="E6069" s="8" t="s">
        <v>977</v>
      </c>
      <c r="F6069" s="5" t="s">
        <v>978</v>
      </c>
      <c r="G6069" s="6" t="str">
        <f>VLOOKUP(E6069,dicionario!$A$1:$C6468,2,0)</f>
        <v>Odontomachus</v>
      </c>
      <c r="H6069" s="6" t="str">
        <f>VLOOKUP(E6069,dicionario!$A$1:$C6468,3,0)</f>
        <v>formiga-de-estalo</v>
      </c>
    </row>
    <row r="6070">
      <c r="A6070" s="3">
        <v>45694.0</v>
      </c>
      <c r="B6070" s="4">
        <v>0.33402777777777776</v>
      </c>
      <c r="C6070" s="5" t="s">
        <v>33</v>
      </c>
      <c r="D6070" s="5" t="s">
        <v>1082</v>
      </c>
      <c r="E6070" s="8" t="s">
        <v>375</v>
      </c>
      <c r="F6070" s="5" t="s">
        <v>35</v>
      </c>
      <c r="G6070" s="6" t="str">
        <f>VLOOKUP(E6070,dicionario!$A$1:$C6469,2,0)</f>
        <v>Neoponera foetida</v>
      </c>
      <c r="H6070" s="6" t="str">
        <f>VLOOKUP(E6070,dicionario!$A$1:$C6469,3,0)</f>
        <v/>
      </c>
    </row>
    <row r="6071">
      <c r="A6071" s="3">
        <v>45694.0</v>
      </c>
      <c r="B6071" s="4">
        <v>0.33402777777777776</v>
      </c>
      <c r="C6071" s="5" t="s">
        <v>33</v>
      </c>
      <c r="D6071" s="5" t="s">
        <v>1082</v>
      </c>
      <c r="E6071" s="8" t="s">
        <v>223</v>
      </c>
      <c r="F6071" s="5" t="s">
        <v>224</v>
      </c>
      <c r="G6071" s="6" t="str">
        <f>VLOOKUP(E6071,dicionario!$A$1:$C6470,2,0)</f>
        <v>Rhipsalis lindbergiana</v>
      </c>
      <c r="H6071" s="6" t="str">
        <f>VLOOKUP(E6071,dicionario!$A$1:$C6470,3,0)</f>
        <v>cacto-macarrão</v>
      </c>
    </row>
    <row r="6072">
      <c r="A6072" s="3">
        <v>45694.0</v>
      </c>
      <c r="B6072" s="4">
        <v>0.33611111111111114</v>
      </c>
      <c r="C6072" s="5" t="s">
        <v>33</v>
      </c>
      <c r="D6072" s="5" t="s">
        <v>1082</v>
      </c>
      <c r="E6072" s="8" t="s">
        <v>286</v>
      </c>
      <c r="F6072" s="5" t="s">
        <v>287</v>
      </c>
      <c r="G6072" s="6" t="str">
        <f>VLOOKUP(E6072,dicionario!$A$1:$C6471,2,0)</f>
        <v>Setaria parviflora</v>
      </c>
      <c r="H6072" s="6" t="str">
        <f>VLOOKUP(E6072,dicionario!$A$1:$C6471,3,0)</f>
        <v>capim-rabo-de-raposa</v>
      </c>
    </row>
    <row r="6073">
      <c r="A6073" s="3">
        <v>45694.0</v>
      </c>
      <c r="B6073" s="4">
        <v>0.33611111111111114</v>
      </c>
      <c r="C6073" s="5" t="s">
        <v>33</v>
      </c>
      <c r="D6073" s="5" t="s">
        <v>1082</v>
      </c>
      <c r="E6073" s="8" t="s">
        <v>296</v>
      </c>
      <c r="F6073" s="5" t="s">
        <v>297</v>
      </c>
      <c r="G6073" s="6" t="str">
        <f>VLOOKUP(E6073,dicionario!$A$1:$C6472,2,0)</f>
        <v>Richardia brasiliensis</v>
      </c>
      <c r="H6073" s="6" t="str">
        <f>VLOOKUP(E6073,dicionario!$A$1:$C6472,3,0)</f>
        <v>poaia-branca</v>
      </c>
    </row>
    <row r="6074">
      <c r="A6074" s="3">
        <v>45694.0</v>
      </c>
      <c r="B6074" s="4">
        <v>0.33611111111111114</v>
      </c>
      <c r="C6074" s="5" t="s">
        <v>33</v>
      </c>
      <c r="D6074" s="5" t="s">
        <v>1082</v>
      </c>
      <c r="E6074" s="8" t="s">
        <v>517</v>
      </c>
      <c r="F6074" s="7" t="s">
        <v>518</v>
      </c>
      <c r="G6074" s="6" t="str">
        <f>VLOOKUP(E6074,dicionario!$A$1:$C6473,2,0)</f>
        <v>Evolvulus nummularius</v>
      </c>
      <c r="H6074" s="6" t="str">
        <f>VLOOKUP(E6074,dicionario!$A$1:$C6473,3,0)</f>
        <v/>
      </c>
    </row>
    <row r="6075">
      <c r="A6075" s="3">
        <v>45694.0</v>
      </c>
      <c r="B6075" s="4">
        <v>0.3368055555555556</v>
      </c>
      <c r="C6075" s="5" t="s">
        <v>33</v>
      </c>
      <c r="D6075" s="5" t="s">
        <v>1082</v>
      </c>
      <c r="E6075" s="8" t="s">
        <v>366</v>
      </c>
      <c r="F6075" s="5" t="s">
        <v>367</v>
      </c>
      <c r="G6075" s="6" t="str">
        <f>VLOOKUP(E6075,dicionario!$A$1:$C6474,2,0)</f>
        <v>Alternanthera ficoidea</v>
      </c>
      <c r="H6075" s="6" t="str">
        <f>VLOOKUP(E6075,dicionario!$A$1:$C6474,3,0)</f>
        <v>quebra-panela</v>
      </c>
    </row>
    <row r="6076">
      <c r="A6076" s="3">
        <v>45694.0</v>
      </c>
      <c r="B6076" s="4">
        <v>0.3375</v>
      </c>
      <c r="C6076" s="5" t="s">
        <v>33</v>
      </c>
      <c r="D6076" s="5" t="s">
        <v>1082</v>
      </c>
      <c r="E6076" s="8" t="s">
        <v>535</v>
      </c>
      <c r="F6076" s="5" t="s">
        <v>395</v>
      </c>
      <c r="G6076" s="6" t="str">
        <f>VLOOKUP(E6076,dicionario!$A$1:$C6475,2,0)</f>
        <v>Odonata</v>
      </c>
      <c r="H6076" s="6" t="str">
        <f>VLOOKUP(E6076,dicionario!$A$1:$C6475,3,0)</f>
        <v>libélula</v>
      </c>
    </row>
    <row r="6077">
      <c r="A6077" s="3">
        <v>45694.0</v>
      </c>
      <c r="B6077" s="4">
        <v>0.33819444444444446</v>
      </c>
      <c r="C6077" s="5" t="s">
        <v>26</v>
      </c>
      <c r="D6077" s="5" t="s">
        <v>1082</v>
      </c>
      <c r="E6077" s="8" t="s">
        <v>109</v>
      </c>
      <c r="F6077" s="5" t="s">
        <v>110</v>
      </c>
      <c r="G6077" s="6" t="str">
        <f>VLOOKUP(E6077,dicionario!$A$1:$C6476,2,0)</f>
        <v>Tillandsia stricta</v>
      </c>
      <c r="H6077" s="6" t="str">
        <f>VLOOKUP(E6077,dicionario!$A$1:$C6476,3,0)</f>
        <v>cravo-do-mato</v>
      </c>
    </row>
    <row r="6078">
      <c r="A6078" s="3">
        <v>45694.0</v>
      </c>
      <c r="B6078" s="4">
        <v>0.33819444444444446</v>
      </c>
      <c r="C6078" s="5" t="s">
        <v>26</v>
      </c>
      <c r="D6078" s="5" t="s">
        <v>1082</v>
      </c>
      <c r="E6078" s="8" t="s">
        <v>1155</v>
      </c>
      <c r="F6078" s="5" t="s">
        <v>1156</v>
      </c>
      <c r="G6078" s="6" t="str">
        <f>VLOOKUP(E6078,dicionario!$A$1:$C6477,2,0)</f>
        <v>#N/A</v>
      </c>
      <c r="H6078" s="6" t="str">
        <f>VLOOKUP(E6078,dicionario!$A$1:$C6477,3,0)</f>
        <v>#N/A</v>
      </c>
    </row>
    <row r="6079">
      <c r="A6079" s="3">
        <v>45694.0</v>
      </c>
      <c r="B6079" s="4">
        <v>0.33819444444444446</v>
      </c>
      <c r="C6079" s="5" t="s">
        <v>26</v>
      </c>
      <c r="D6079" s="5" t="s">
        <v>1082</v>
      </c>
      <c r="E6079" s="20" t="s">
        <v>676</v>
      </c>
      <c r="F6079" s="7" t="s">
        <v>677</v>
      </c>
      <c r="G6079" s="6" t="str">
        <f>VLOOKUP(E6079,dicionario!$A$1:$C6478,2,0)</f>
        <v>Zornia latifolia</v>
      </c>
      <c r="H6079" s="6" t="str">
        <f>VLOOKUP(E6079,dicionario!$A$1:$C6478,3,0)</f>
        <v>arrozinho-do-campo</v>
      </c>
    </row>
    <row r="6080">
      <c r="A6080" s="3">
        <v>45694.0</v>
      </c>
      <c r="B6080" s="4">
        <v>0.3388888888888889</v>
      </c>
      <c r="C6080" s="5" t="s">
        <v>26</v>
      </c>
      <c r="D6080" s="5" t="s">
        <v>1082</v>
      </c>
      <c r="E6080" s="8" t="s">
        <v>298</v>
      </c>
      <c r="F6080" s="5" t="s">
        <v>739</v>
      </c>
      <c r="G6080" s="6" t="str">
        <f>VLOOKUP(E6080,dicionario!$A$1:$C6479,2,0)</f>
        <v>Alysicarpus vaginalis</v>
      </c>
      <c r="H6080" s="6" t="str">
        <f>VLOOKUP(E6080,dicionario!$A$1:$C6479,3,0)</f>
        <v/>
      </c>
    </row>
    <row r="6081">
      <c r="A6081" s="3">
        <v>45694.0</v>
      </c>
      <c r="B6081" s="4">
        <v>0.3388888888888889</v>
      </c>
      <c r="C6081" s="5" t="s">
        <v>26</v>
      </c>
      <c r="D6081" s="5" t="s">
        <v>1082</v>
      </c>
      <c r="E6081" s="8" t="s">
        <v>503</v>
      </c>
      <c r="F6081" s="5" t="s">
        <v>414</v>
      </c>
      <c r="G6081" s="6" t="str">
        <f>VLOOKUP(E6081,dicionario!$A$1:$C6480,2,0)</f>
        <v>Orphulella punctata</v>
      </c>
      <c r="H6081" s="6" t="str">
        <f>VLOOKUP(E6081,dicionario!$A$1:$C6480,3,0)</f>
        <v>gafanhotinho</v>
      </c>
    </row>
    <row r="6082">
      <c r="A6082" s="3">
        <v>45694.0</v>
      </c>
      <c r="B6082" s="4">
        <v>0.3388888888888889</v>
      </c>
      <c r="C6082" s="5" t="s">
        <v>26</v>
      </c>
      <c r="D6082" s="5" t="s">
        <v>1082</v>
      </c>
      <c r="E6082" s="8" t="s">
        <v>353</v>
      </c>
      <c r="F6082" s="5" t="s">
        <v>354</v>
      </c>
      <c r="G6082" s="6" t="str">
        <f>VLOOKUP(E6082,dicionario!$A$1:$C6481,2,0)</f>
        <v>Desmodium incanum</v>
      </c>
      <c r="H6082" s="6" t="str">
        <f>VLOOKUP(E6082,dicionario!$A$1:$C6481,3,0)</f>
        <v>pega-pega</v>
      </c>
    </row>
    <row r="6083">
      <c r="A6083" s="3">
        <v>45694.0</v>
      </c>
      <c r="B6083" s="4">
        <v>0.3388888888888889</v>
      </c>
      <c r="C6083" s="5" t="s">
        <v>26</v>
      </c>
      <c r="D6083" s="5" t="s">
        <v>1082</v>
      </c>
      <c r="E6083" s="8" t="s">
        <v>227</v>
      </c>
      <c r="F6083" s="5" t="s">
        <v>228</v>
      </c>
      <c r="G6083" s="6" t="str">
        <f>VLOOKUP(E6083,dicionario!$A$1:$C6482,2,0)</f>
        <v>Indigofera hirsuta</v>
      </c>
      <c r="H6083" s="6" t="str">
        <f>VLOOKUP(E6083,dicionario!$A$1:$C6482,3,0)</f>
        <v>anileira</v>
      </c>
    </row>
    <row r="6084">
      <c r="A6084" s="3">
        <v>45694.0</v>
      </c>
      <c r="B6084" s="4">
        <v>0.33958333333333335</v>
      </c>
      <c r="C6084" s="5" t="s">
        <v>26</v>
      </c>
      <c r="D6084" s="5" t="s">
        <v>1082</v>
      </c>
      <c r="E6084" s="8" t="s">
        <v>1104</v>
      </c>
      <c r="F6084" s="5" t="s">
        <v>1105</v>
      </c>
      <c r="G6084" s="6" t="str">
        <f>VLOOKUP(E6084,dicionario!$A$1:$C6483,2,0)</f>
        <v>Rhynchospora speciosa</v>
      </c>
      <c r="H6084" s="6" t="str">
        <f>VLOOKUP(E6084,dicionario!$A$1:$C6483,3,0)</f>
        <v>capim-estrela</v>
      </c>
    </row>
    <row r="6085">
      <c r="A6085" s="3">
        <v>45694.0</v>
      </c>
      <c r="B6085" s="4">
        <v>0.33958333333333335</v>
      </c>
      <c r="C6085" s="5" t="s">
        <v>26</v>
      </c>
      <c r="D6085" s="5" t="s">
        <v>1082</v>
      </c>
      <c r="E6085" s="8" t="s">
        <v>243</v>
      </c>
      <c r="F6085" s="5" t="s">
        <v>244</v>
      </c>
      <c r="G6085" s="6" t="str">
        <f>VLOOKUP(E6085,dicionario!$A$1:$C6484,2,0)</f>
        <v>Macroptilium atropurpureum</v>
      </c>
      <c r="H6085" s="6" t="str">
        <f>VLOOKUP(E6085,dicionario!$A$1:$C6484,3,0)</f>
        <v>feijão-de-pombo</v>
      </c>
    </row>
    <row r="6086">
      <c r="A6086" s="3">
        <v>45694.0</v>
      </c>
      <c r="B6086" s="4">
        <v>0.33958333333333335</v>
      </c>
      <c r="C6086" s="5" t="s">
        <v>26</v>
      </c>
      <c r="D6086" s="5" t="s">
        <v>1082</v>
      </c>
      <c r="E6086" s="8" t="s">
        <v>41</v>
      </c>
      <c r="F6086" s="5" t="s">
        <v>45</v>
      </c>
      <c r="G6086" s="6" t="str">
        <f>VLOOKUP(E6086,dicionario!$A$1:$C6485,2,0)</f>
        <v>Mimosa pudica</v>
      </c>
      <c r="H6086" s="6" t="str">
        <f>VLOOKUP(E6086,dicionario!$A$1:$C6485,3,0)</f>
        <v>dormideira</v>
      </c>
    </row>
    <row r="6087">
      <c r="A6087" s="3">
        <v>45694.0</v>
      </c>
      <c r="B6087" s="4">
        <v>0.33958333333333335</v>
      </c>
      <c r="C6087" s="5" t="s">
        <v>26</v>
      </c>
      <c r="D6087" s="5" t="s">
        <v>1082</v>
      </c>
      <c r="E6087" s="8" t="s">
        <v>20</v>
      </c>
      <c r="F6087" s="7" t="s">
        <v>21</v>
      </c>
      <c r="G6087" s="6" t="str">
        <f>VLOOKUP(E6087,dicionario!$A$1:$C6486,2,0)</f>
        <v>Sicalis flaveola</v>
      </c>
      <c r="H6087" s="6" t="str">
        <f>VLOOKUP(E6087,dicionario!$A$1:$C6486,3,0)</f>
        <v>canário-da-terra</v>
      </c>
    </row>
    <row r="6088">
      <c r="A6088" s="3">
        <v>45694.0</v>
      </c>
      <c r="B6088" s="4">
        <v>0.33958333333333335</v>
      </c>
      <c r="C6088" s="5" t="s">
        <v>26</v>
      </c>
      <c r="D6088" s="5" t="s">
        <v>1082</v>
      </c>
      <c r="E6088" s="8" t="s">
        <v>99</v>
      </c>
      <c r="F6088" s="5" t="s">
        <v>508</v>
      </c>
      <c r="G6088" s="6" t="str">
        <f>VLOOKUP(E6088,dicionario!$A$1:$C6487,2,0)</f>
        <v>Molothrus bonariensis</v>
      </c>
      <c r="H6088" s="6" t="str">
        <f>VLOOKUP(E6088,dicionario!$A$1:$C6487,3,0)</f>
        <v>chupim</v>
      </c>
    </row>
    <row r="6089">
      <c r="A6089" s="3">
        <v>45694.0</v>
      </c>
      <c r="B6089" s="4">
        <v>0.3402777777777778</v>
      </c>
      <c r="C6089" s="5" t="s">
        <v>26</v>
      </c>
      <c r="D6089" s="5" t="s">
        <v>1082</v>
      </c>
      <c r="E6089" s="8" t="s">
        <v>253</v>
      </c>
      <c r="F6089" s="5" t="s">
        <v>254</v>
      </c>
      <c r="G6089" s="6" t="str">
        <f>VLOOKUP(E6089,dicionario!$A$1:$C6488,2,0)</f>
        <v>Panicum maximum</v>
      </c>
      <c r="H6089" s="6" t="str">
        <f>VLOOKUP(E6089,dicionario!$A$1:$C6488,3,0)</f>
        <v>capim-colonião</v>
      </c>
    </row>
    <row r="6090">
      <c r="A6090" s="3">
        <v>45694.0</v>
      </c>
      <c r="B6090" s="4">
        <v>0.3402777777777778</v>
      </c>
      <c r="C6090" s="5" t="s">
        <v>26</v>
      </c>
      <c r="D6090" s="5" t="s">
        <v>1082</v>
      </c>
      <c r="E6090" s="8" t="s">
        <v>498</v>
      </c>
      <c r="F6090" s="5" t="s">
        <v>499</v>
      </c>
      <c r="G6090" s="6" t="str">
        <f>VLOOKUP(E6090,dicionario!$A$1:$C6489,2,0)</f>
        <v>Brachiaria decumbens</v>
      </c>
      <c r="H6090" s="6" t="str">
        <f>VLOOKUP(E6090,dicionario!$A$1:$C6489,3,0)</f>
        <v>capim-braquiária</v>
      </c>
    </row>
    <row r="6091">
      <c r="A6091" s="3">
        <v>45694.0</v>
      </c>
      <c r="B6091" s="4">
        <v>0.3402777777777778</v>
      </c>
      <c r="C6091" s="5" t="s">
        <v>26</v>
      </c>
      <c r="D6091" s="5" t="s">
        <v>1082</v>
      </c>
      <c r="E6091" s="8" t="s">
        <v>366</v>
      </c>
      <c r="F6091" s="5" t="s">
        <v>367</v>
      </c>
      <c r="G6091" s="6" t="str">
        <f>VLOOKUP(E6091,dicionario!$A$1:$C6490,2,0)</f>
        <v>Alternanthera ficoidea</v>
      </c>
      <c r="H6091" s="6" t="str">
        <f>VLOOKUP(E6091,dicionario!$A$1:$C6490,3,0)</f>
        <v>quebra-panela</v>
      </c>
    </row>
    <row r="6092">
      <c r="A6092" s="3">
        <v>45694.0</v>
      </c>
      <c r="B6092" s="4">
        <v>0.34097222222222223</v>
      </c>
      <c r="C6092" s="5" t="s">
        <v>26</v>
      </c>
      <c r="D6092" s="5" t="s">
        <v>1082</v>
      </c>
      <c r="E6092" s="8" t="s">
        <v>566</v>
      </c>
      <c r="F6092" s="5" t="s">
        <v>567</v>
      </c>
      <c r="G6092" s="6" t="str">
        <f>VLOOKUP(E6092,dicionario!$A$1:$C6491,2,0)</f>
        <v>Baccharis dracunculifolia</v>
      </c>
      <c r="H6092" s="6" t="str">
        <f>VLOOKUP(E6092,dicionario!$A$1:$C6491,3,0)</f>
        <v>vassoura</v>
      </c>
    </row>
    <row r="6093">
      <c r="A6093" s="3">
        <v>45694.0</v>
      </c>
      <c r="B6093" s="4">
        <v>0.34097222222222223</v>
      </c>
      <c r="C6093" s="5" t="s">
        <v>26</v>
      </c>
      <c r="D6093" s="5" t="s">
        <v>1082</v>
      </c>
      <c r="E6093" s="8" t="s">
        <v>247</v>
      </c>
      <c r="F6093" s="5" t="s">
        <v>387</v>
      </c>
      <c r="G6093" s="6" t="str">
        <f>VLOOKUP(E6093,dicionario!$A$1:$C6492,2,0)</f>
        <v>Emilia sonchifolia</v>
      </c>
      <c r="H6093" s="6" t="str">
        <f>VLOOKUP(E6093,dicionario!$A$1:$C6492,3,0)</f>
        <v>serralinha</v>
      </c>
    </row>
    <row r="6094">
      <c r="A6094" s="3">
        <v>45694.0</v>
      </c>
      <c r="B6094" s="4">
        <v>0.3416666666666667</v>
      </c>
      <c r="C6094" s="5" t="s">
        <v>26</v>
      </c>
      <c r="D6094" s="5" t="s">
        <v>1082</v>
      </c>
      <c r="E6094" s="8" t="s">
        <v>69</v>
      </c>
      <c r="F6094" s="7" t="s">
        <v>71</v>
      </c>
      <c r="G6094" s="6" t="str">
        <f>VLOOKUP(E6094,dicionario!$A$1:$C6493,2,0)</f>
        <v>Talinum fruticosum</v>
      </c>
      <c r="H6094" s="6" t="str">
        <f>VLOOKUP(E6094,dicionario!$A$1:$C6493,3,0)</f>
        <v>beldroega-grande</v>
      </c>
    </row>
    <row r="6095">
      <c r="A6095" s="3">
        <v>45694.0</v>
      </c>
      <c r="B6095" s="4">
        <v>0.3416666666666667</v>
      </c>
      <c r="C6095" s="5" t="s">
        <v>26</v>
      </c>
      <c r="D6095" s="5" t="s">
        <v>1082</v>
      </c>
      <c r="E6095" s="8" t="s">
        <v>215</v>
      </c>
      <c r="F6095" s="7" t="s">
        <v>216</v>
      </c>
      <c r="G6095" s="6" t="str">
        <f>VLOOKUP(E6095,dicionario!$A$1:$C6494,2,0)</f>
        <v>Pygochelidon cyanoleuca</v>
      </c>
      <c r="H6095" s="6" t="str">
        <f>VLOOKUP(E6095,dicionario!$A$1:$C6494,3,0)</f>
        <v>andorinha-pequena-de-casa</v>
      </c>
    </row>
    <row r="6096">
      <c r="A6096" s="3">
        <v>45694.0</v>
      </c>
      <c r="B6096" s="4">
        <v>0.3416666666666667</v>
      </c>
      <c r="C6096" s="5" t="s">
        <v>26</v>
      </c>
      <c r="D6096" s="5" t="s">
        <v>1082</v>
      </c>
      <c r="E6096" s="8" t="s">
        <v>915</v>
      </c>
      <c r="F6096" s="5" t="s">
        <v>916</v>
      </c>
      <c r="G6096" s="6" t="str">
        <f>VLOOKUP(E6096,dicionario!$A$1:$C6495,2,0)</f>
        <v>Tachycineta albiventer</v>
      </c>
      <c r="H6096" s="6" t="str">
        <f>VLOOKUP(E6096,dicionario!$A$1:$C6495,3,0)</f>
        <v>andorinha-de-rio</v>
      </c>
    </row>
    <row r="6097">
      <c r="A6097" s="3">
        <v>45694.0</v>
      </c>
      <c r="B6097" s="4">
        <v>0.3423611111111111</v>
      </c>
      <c r="C6097" s="5" t="s">
        <v>26</v>
      </c>
      <c r="D6097" s="5" t="s">
        <v>1082</v>
      </c>
      <c r="E6097" s="8" t="s">
        <v>18</v>
      </c>
      <c r="F6097" s="5" t="s">
        <v>219</v>
      </c>
      <c r="G6097" s="6" t="str">
        <f>VLOOKUP(E6097,dicionario!$A$1:$C6496,2,0)</f>
        <v>Xylocopa frontalis</v>
      </c>
      <c r="H6097" s="6" t="str">
        <f>VLOOKUP(E6097,dicionario!$A$1:$C6496,3,0)</f>
        <v>Mamangava; mangangá; abelha-carpinteira</v>
      </c>
    </row>
    <row r="6098">
      <c r="A6098" s="3">
        <v>45694.0</v>
      </c>
      <c r="B6098" s="4">
        <v>0.3423611111111111</v>
      </c>
      <c r="C6098" s="5" t="s">
        <v>26</v>
      </c>
      <c r="D6098" s="5" t="s">
        <v>1082</v>
      </c>
      <c r="E6098" s="8" t="s">
        <v>706</v>
      </c>
      <c r="F6098" s="5" t="s">
        <v>1039</v>
      </c>
      <c r="G6098" s="6" t="str">
        <f>VLOOKUP(E6098,dicionario!$A$1:$C6497,2,0)</f>
        <v>#N/A</v>
      </c>
      <c r="H6098" s="6" t="str">
        <f>VLOOKUP(E6098,dicionario!$A$1:$C6497,3,0)</f>
        <v>#N/A</v>
      </c>
    </row>
    <row r="6099">
      <c r="A6099" s="3">
        <v>45694.0</v>
      </c>
      <c r="B6099" s="4">
        <v>0.34305555555555556</v>
      </c>
      <c r="C6099" s="5" t="s">
        <v>26</v>
      </c>
      <c r="D6099" s="5" t="s">
        <v>1082</v>
      </c>
      <c r="E6099" s="8" t="s">
        <v>139</v>
      </c>
      <c r="F6099" s="5" t="s">
        <v>862</v>
      </c>
      <c r="G6099" s="6" t="str">
        <f>VLOOKUP(E6099,dicionario!$A$1:$C6498,2,0)</f>
        <v>Tropidurus torquatus</v>
      </c>
      <c r="H6099" s="6" t="str">
        <f>VLOOKUP(E6099,dicionario!$A$1:$C6498,3,0)</f>
        <v>calango; tropiduro-comum</v>
      </c>
    </row>
    <row r="6100">
      <c r="A6100" s="3">
        <v>45694.0</v>
      </c>
      <c r="B6100" s="4">
        <v>0.34305555555555556</v>
      </c>
      <c r="C6100" s="5" t="s">
        <v>26</v>
      </c>
      <c r="D6100" s="5" t="s">
        <v>1082</v>
      </c>
      <c r="E6100" s="20" t="s">
        <v>676</v>
      </c>
      <c r="F6100" s="7" t="s">
        <v>677</v>
      </c>
      <c r="G6100" s="6" t="str">
        <f>VLOOKUP(E6100,dicionario!$A$1:$C6499,2,0)</f>
        <v>Zornia latifolia</v>
      </c>
      <c r="H6100" s="6" t="str">
        <f>VLOOKUP(E6100,dicionario!$A$1:$C6499,3,0)</f>
        <v>arrozinho-do-campo</v>
      </c>
    </row>
    <row r="6101">
      <c r="A6101" s="3">
        <v>45694.0</v>
      </c>
      <c r="B6101" s="4">
        <v>0.34305555555555556</v>
      </c>
      <c r="C6101" s="5" t="s">
        <v>26</v>
      </c>
      <c r="D6101" s="5" t="s">
        <v>1082</v>
      </c>
      <c r="E6101" s="6" t="s">
        <v>532</v>
      </c>
      <c r="F6101" s="7" t="s">
        <v>533</v>
      </c>
      <c r="G6101" s="6" t="str">
        <f>VLOOKUP(E6101,dicionario!$A$1:$C6500,2,0)</f>
        <v>Euphorbia heterophylla</v>
      </c>
      <c r="H6101" s="6" t="str">
        <f>VLOOKUP(E6101,dicionario!$A$1:$C6500,3,0)</f>
        <v>amendoim-bravo</v>
      </c>
    </row>
    <row r="6102">
      <c r="A6102" s="3">
        <v>45694.0</v>
      </c>
      <c r="B6102" s="4">
        <v>0.34305555555555556</v>
      </c>
      <c r="C6102" s="5" t="s">
        <v>26</v>
      </c>
      <c r="D6102" s="5" t="s">
        <v>1082</v>
      </c>
      <c r="E6102" s="8" t="s">
        <v>14</v>
      </c>
      <c r="F6102" s="5" t="s">
        <v>15</v>
      </c>
      <c r="G6102" s="6" t="str">
        <f>VLOOKUP(E6102,dicionario!$A$1:$C6501,2,0)</f>
        <v>Spermacoce verticillata</v>
      </c>
      <c r="H6102" s="6" t="str">
        <f>VLOOKUP(E6102,dicionario!$A$1:$C6501,3,0)</f>
        <v>vassourinha-de-botão</v>
      </c>
    </row>
    <row r="6103">
      <c r="A6103" s="3">
        <v>45694.0</v>
      </c>
      <c r="B6103" s="4">
        <v>0.34375</v>
      </c>
      <c r="C6103" s="5" t="s">
        <v>26</v>
      </c>
      <c r="D6103" s="5" t="s">
        <v>1082</v>
      </c>
      <c r="E6103" s="8" t="s">
        <v>146</v>
      </c>
      <c r="F6103" s="5" t="s">
        <v>147</v>
      </c>
      <c r="G6103" s="6" t="str">
        <f>VLOOKUP(E6103,dicionario!$A$1:$C6502,2,0)</f>
        <v>Euphorbia hirta</v>
      </c>
      <c r="H6103" s="6" t="str">
        <f>VLOOKUP(E6103,dicionario!$A$1:$C6502,3,0)</f>
        <v>erva-de-santa-luzia</v>
      </c>
    </row>
    <row r="6104">
      <c r="A6104" s="3">
        <v>45694.0</v>
      </c>
      <c r="B6104" s="4">
        <v>0.34375</v>
      </c>
      <c r="C6104" s="5" t="s">
        <v>26</v>
      </c>
      <c r="D6104" s="5" t="s">
        <v>1082</v>
      </c>
      <c r="E6104" s="8" t="s">
        <v>135</v>
      </c>
      <c r="F6104" s="5" t="s">
        <v>136</v>
      </c>
      <c r="G6104" s="6" t="str">
        <f>VLOOKUP(E6104,dicionario!$A$1:$C6503,2,0)</f>
        <v>Tridax procumbens</v>
      </c>
      <c r="H6104" s="6" t="str">
        <f>VLOOKUP(E6104,dicionario!$A$1:$C6503,3,0)</f>
        <v>erva-de-touro</v>
      </c>
    </row>
    <row r="6105">
      <c r="A6105" s="3">
        <v>45694.0</v>
      </c>
      <c r="B6105" s="4">
        <v>0.34375</v>
      </c>
      <c r="C6105" s="5" t="s">
        <v>26</v>
      </c>
      <c r="D6105" s="5" t="s">
        <v>1082</v>
      </c>
      <c r="E6105" s="8" t="s">
        <v>154</v>
      </c>
      <c r="F6105" s="5" t="s">
        <v>155</v>
      </c>
      <c r="G6105" s="6" t="str">
        <f>VLOOKUP(E6105,dicionario!$A$1:$C6504,2,0)</f>
        <v>Cyperus rotundus</v>
      </c>
      <c r="H6105" s="6" t="str">
        <f>VLOOKUP(E6105,dicionario!$A$1:$C6504,3,0)</f>
        <v>tiririca</v>
      </c>
    </row>
    <row r="6106">
      <c r="A6106" s="3">
        <v>45694.0</v>
      </c>
      <c r="B6106" s="4">
        <v>0.3458333333333333</v>
      </c>
      <c r="C6106" s="5" t="s">
        <v>8</v>
      </c>
      <c r="D6106" s="5" t="s">
        <v>1082</v>
      </c>
      <c r="E6106" s="8" t="s">
        <v>20</v>
      </c>
      <c r="F6106" s="7" t="s">
        <v>21</v>
      </c>
      <c r="G6106" s="6" t="str">
        <f>VLOOKUP(E6106,dicionario!$A$1:$C6505,2,0)</f>
        <v>Sicalis flaveola</v>
      </c>
      <c r="H6106" s="6" t="str">
        <f>VLOOKUP(E6106,dicionario!$A$1:$C6505,3,0)</f>
        <v>canário-da-terra</v>
      </c>
    </row>
    <row r="6107">
      <c r="A6107" s="3">
        <v>45694.0</v>
      </c>
      <c r="B6107" s="4">
        <v>0.3458333333333333</v>
      </c>
      <c r="C6107" s="5" t="s">
        <v>8</v>
      </c>
      <c r="D6107" s="5" t="s">
        <v>1082</v>
      </c>
      <c r="E6107" s="8" t="s">
        <v>65</v>
      </c>
      <c r="F6107" s="5" t="s">
        <v>66</v>
      </c>
      <c r="G6107" s="6" t="str">
        <f>VLOOKUP(E6107,dicionario!$A$1:$C6506,2,0)</f>
        <v>Pitangus sulphutarus</v>
      </c>
      <c r="H6107" s="6" t="str">
        <f>VLOOKUP(E6107,dicionario!$A$1:$C6506,3,0)</f>
        <v>bem-te-vi</v>
      </c>
    </row>
    <row r="6108">
      <c r="A6108" s="3">
        <v>45694.0</v>
      </c>
      <c r="B6108" s="4">
        <v>0.3458333333333333</v>
      </c>
      <c r="C6108" s="5" t="s">
        <v>8</v>
      </c>
      <c r="D6108" s="5" t="s">
        <v>1082</v>
      </c>
      <c r="E6108" s="8" t="s">
        <v>489</v>
      </c>
      <c r="F6108" s="5" t="s">
        <v>521</v>
      </c>
      <c r="G6108" s="6" t="str">
        <f>VLOOKUP(E6108,dicionario!$A$1:$C6507,2,0)</f>
        <v>Cenchrus echinatus</v>
      </c>
      <c r="H6108" s="6" t="str">
        <f>VLOOKUP(E6108,dicionario!$A$1:$C6507,3,0)</f>
        <v>capim-carrapicho</v>
      </c>
    </row>
    <row r="6109">
      <c r="A6109" s="3">
        <v>45694.0</v>
      </c>
      <c r="B6109" s="4">
        <v>0.3458333333333333</v>
      </c>
      <c r="C6109" s="5" t="s">
        <v>8</v>
      </c>
      <c r="D6109" s="5" t="s">
        <v>1082</v>
      </c>
      <c r="E6109" s="8" t="s">
        <v>1155</v>
      </c>
      <c r="F6109" s="5" t="s">
        <v>1156</v>
      </c>
      <c r="G6109" s="6" t="str">
        <f>VLOOKUP(E6109,dicionario!$A$1:$C6508,2,0)</f>
        <v>#N/A</v>
      </c>
      <c r="H6109" s="6" t="str">
        <f>VLOOKUP(E6109,dicionario!$A$1:$C6508,3,0)</f>
        <v>#N/A</v>
      </c>
    </row>
    <row r="6110">
      <c r="A6110" s="3">
        <v>45694.0</v>
      </c>
      <c r="B6110" s="4">
        <v>0.34652777777777777</v>
      </c>
      <c r="C6110" s="5" t="s">
        <v>8</v>
      </c>
      <c r="D6110" s="5" t="s">
        <v>1082</v>
      </c>
      <c r="E6110" s="8" t="s">
        <v>353</v>
      </c>
      <c r="F6110" s="5" t="s">
        <v>354</v>
      </c>
      <c r="G6110" s="6" t="str">
        <f>VLOOKUP(E6110,dicionario!$A$1:$C6509,2,0)</f>
        <v>Desmodium incanum</v>
      </c>
      <c r="H6110" s="6" t="str">
        <f>VLOOKUP(E6110,dicionario!$A$1:$C6509,3,0)</f>
        <v>pega-pega</v>
      </c>
    </row>
    <row r="6111">
      <c r="A6111" s="3">
        <v>45694.0</v>
      </c>
      <c r="B6111" s="4">
        <v>0.34652777777777777</v>
      </c>
      <c r="C6111" s="5" t="s">
        <v>8</v>
      </c>
      <c r="D6111" s="5" t="s">
        <v>1082</v>
      </c>
      <c r="E6111" s="8" t="s">
        <v>712</v>
      </c>
      <c r="F6111" s="5" t="s">
        <v>1006</v>
      </c>
      <c r="G6111" s="6" t="str">
        <f>VLOOKUP(E6111,dicionario!$A$1:$C6510,2,0)</f>
        <v>Flavopunctelia soredica</v>
      </c>
      <c r="H6111" s="6" t="str">
        <f>VLOOKUP(E6111,dicionario!$A$1:$C6510,3,0)</f>
        <v>líquen-folioso</v>
      </c>
    </row>
    <row r="6112">
      <c r="A6112" s="3">
        <v>45694.0</v>
      </c>
      <c r="B6112" s="4">
        <v>0.34652777777777777</v>
      </c>
      <c r="C6112" s="5" t="s">
        <v>8</v>
      </c>
      <c r="D6112" s="5" t="s">
        <v>1082</v>
      </c>
      <c r="E6112" s="8" t="s">
        <v>109</v>
      </c>
      <c r="F6112" s="5" t="s">
        <v>110</v>
      </c>
      <c r="G6112" s="6" t="str">
        <f>VLOOKUP(E6112,dicionario!$A$1:$C6511,2,0)</f>
        <v>Tillandsia stricta</v>
      </c>
      <c r="H6112" s="6" t="str">
        <f>VLOOKUP(E6112,dicionario!$A$1:$C6511,3,0)</f>
        <v>cravo-do-mato</v>
      </c>
    </row>
    <row r="6113">
      <c r="A6113" s="3">
        <v>45694.0</v>
      </c>
      <c r="B6113" s="4">
        <v>0.34652777777777777</v>
      </c>
      <c r="C6113" s="5" t="s">
        <v>8</v>
      </c>
      <c r="D6113" s="5" t="s">
        <v>1082</v>
      </c>
      <c r="E6113" s="8" t="s">
        <v>1084</v>
      </c>
      <c r="F6113" s="5" t="s">
        <v>224</v>
      </c>
      <c r="G6113" s="6" t="str">
        <f>VLOOKUP(E6113,dicionario!$A$1:$C6512,2,0)</f>
        <v>#N/A</v>
      </c>
      <c r="H6113" s="6" t="str">
        <f>VLOOKUP(E6113,dicionario!$A$1:$C6512,3,0)</f>
        <v>#N/A</v>
      </c>
    </row>
    <row r="6114">
      <c r="A6114" s="3">
        <v>45694.0</v>
      </c>
      <c r="B6114" s="4">
        <v>0.3472222222222222</v>
      </c>
      <c r="C6114" s="5" t="s">
        <v>8</v>
      </c>
      <c r="D6114" s="5" t="s">
        <v>1082</v>
      </c>
      <c r="E6114" s="8" t="s">
        <v>113</v>
      </c>
      <c r="F6114" s="5" t="s">
        <v>114</v>
      </c>
      <c r="G6114" s="6" t="str">
        <f>VLOOKUP(E6114,dicionario!$A$1:$C6513,2,0)</f>
        <v>Columbina talpacoti</v>
      </c>
      <c r="H6114" s="6" t="str">
        <f>VLOOKUP(E6114,dicionario!$A$1:$C6513,3,0)</f>
        <v>rolinha-roxa</v>
      </c>
    </row>
    <row r="6115">
      <c r="A6115" s="3">
        <v>45694.0</v>
      </c>
      <c r="B6115" s="4">
        <v>0.3472222222222222</v>
      </c>
      <c r="C6115" s="5" t="s">
        <v>8</v>
      </c>
      <c r="D6115" s="5" t="s">
        <v>1082</v>
      </c>
      <c r="E6115" s="8" t="s">
        <v>107</v>
      </c>
      <c r="F6115" s="5" t="s">
        <v>108</v>
      </c>
      <c r="G6115" s="6" t="str">
        <f>VLOOKUP(E6115,dicionario!$A$1:$C6514,2,0)</f>
        <v>Ramalina complanata</v>
      </c>
      <c r="H6115" s="6" t="str">
        <f>VLOOKUP(E6115,dicionario!$A$1:$C6514,3,0)</f>
        <v>ramalina</v>
      </c>
    </row>
    <row r="6116">
      <c r="A6116" s="3">
        <v>45694.0</v>
      </c>
      <c r="B6116" s="4">
        <v>0.3472222222222222</v>
      </c>
      <c r="C6116" s="5" t="s">
        <v>8</v>
      </c>
      <c r="D6116" s="5" t="s">
        <v>1082</v>
      </c>
      <c r="E6116" s="8" t="s">
        <v>719</v>
      </c>
      <c r="F6116" s="5" t="s">
        <v>720</v>
      </c>
      <c r="G6116" s="6" t="str">
        <f>VLOOKUP(E6116,dicionario!$A$1:$C6515,2,0)</f>
        <v>Dirinaria</v>
      </c>
      <c r="H6116" s="6" t="str">
        <f>VLOOKUP(E6116,dicionario!$A$1:$C6515,3,0)</f>
        <v>líquen-crostoso</v>
      </c>
    </row>
    <row r="6117">
      <c r="A6117" s="3">
        <v>45694.0</v>
      </c>
      <c r="B6117" s="4">
        <v>0.3472222222222222</v>
      </c>
      <c r="C6117" s="5" t="s">
        <v>8</v>
      </c>
      <c r="D6117" s="5" t="s">
        <v>1082</v>
      </c>
      <c r="E6117" s="8" t="s">
        <v>83</v>
      </c>
      <c r="F6117" s="5" t="s">
        <v>84</v>
      </c>
      <c r="G6117" s="6" t="str">
        <f>VLOOKUP(E6117,dicionario!$A$1:$C6516,2,0)</f>
        <v>Anartia jatrophae</v>
      </c>
      <c r="H6117" s="6" t="str">
        <f>VLOOKUP(E6117,dicionario!$A$1:$C6516,3,0)</f>
        <v>borboleta-pavão-branco</v>
      </c>
    </row>
    <row r="6118">
      <c r="A6118" s="3">
        <v>45694.0</v>
      </c>
      <c r="B6118" s="4">
        <v>0.3472222222222222</v>
      </c>
      <c r="C6118" s="5" t="s">
        <v>8</v>
      </c>
      <c r="D6118" s="5" t="s">
        <v>1082</v>
      </c>
      <c r="E6118" s="8" t="s">
        <v>891</v>
      </c>
      <c r="F6118" s="5" t="s">
        <v>1163</v>
      </c>
      <c r="G6118" s="6" t="str">
        <f>VLOOKUP(E6118,dicionario!$A$1:$C6517,2,0)</f>
        <v>Cymaenes tripunctus</v>
      </c>
      <c r="H6118" s="6" t="str">
        <f>VLOOKUP(E6118,dicionario!$A$1:$C6517,3,0)</f>
        <v>borboleta-de-três-pintas</v>
      </c>
    </row>
    <row r="6119">
      <c r="A6119" s="3">
        <v>45694.0</v>
      </c>
      <c r="B6119" s="4">
        <v>0.34791666666666665</v>
      </c>
      <c r="C6119" s="5" t="s">
        <v>8</v>
      </c>
      <c r="D6119" s="5" t="s">
        <v>1082</v>
      </c>
      <c r="E6119" s="6" t="s">
        <v>103</v>
      </c>
      <c r="F6119" s="5" t="s">
        <v>104</v>
      </c>
      <c r="G6119" s="6" t="str">
        <f>VLOOKUP(E6119,dicionario!$A$1:$C6518,2,0)</f>
        <v>Caracara plancus</v>
      </c>
      <c r="H6119" s="6" t="str">
        <f>VLOOKUP(E6119,dicionario!$A$1:$C6518,3,0)</f>
        <v>carcará </v>
      </c>
    </row>
    <row r="6120">
      <c r="A6120" s="3">
        <v>45694.0</v>
      </c>
      <c r="B6120" s="4">
        <v>0.34791666666666665</v>
      </c>
      <c r="C6120" s="5" t="s">
        <v>8</v>
      </c>
      <c r="D6120" s="5" t="s">
        <v>1082</v>
      </c>
      <c r="E6120" s="8" t="s">
        <v>298</v>
      </c>
      <c r="F6120" s="7"/>
      <c r="G6120" s="6" t="str">
        <f>VLOOKUP(E6120,dicionario!$A$1:$C6519,2,0)</f>
        <v>Alysicarpus vaginalis</v>
      </c>
      <c r="H6120" s="6" t="str">
        <f>VLOOKUP(E6120,dicionario!$A$1:$C6519,3,0)</f>
        <v/>
      </c>
    </row>
    <row r="6121">
      <c r="A6121" s="3">
        <v>45694.0</v>
      </c>
      <c r="B6121" s="4">
        <v>0.34791666666666665</v>
      </c>
      <c r="C6121" s="5" t="s">
        <v>8</v>
      </c>
      <c r="D6121" s="5" t="s">
        <v>1082</v>
      </c>
      <c r="E6121" s="8" t="s">
        <v>286</v>
      </c>
      <c r="F6121" s="5" t="s">
        <v>287</v>
      </c>
      <c r="G6121" s="6" t="str">
        <f>VLOOKUP(E6121,dicionario!$A$1:$C6520,2,0)</f>
        <v>Setaria parviflora</v>
      </c>
      <c r="H6121" s="6" t="str">
        <f>VLOOKUP(E6121,dicionario!$A$1:$C6520,3,0)</f>
        <v>capim-rabo-de-raposa</v>
      </c>
    </row>
    <row r="6122">
      <c r="A6122" s="3">
        <v>45694.0</v>
      </c>
      <c r="B6122" s="4">
        <v>0.34791666666666665</v>
      </c>
      <c r="C6122" s="5" t="s">
        <v>8</v>
      </c>
      <c r="D6122" s="5" t="s">
        <v>1082</v>
      </c>
      <c r="E6122" s="20" t="s">
        <v>676</v>
      </c>
      <c r="F6122" s="7" t="s">
        <v>677</v>
      </c>
      <c r="G6122" s="6" t="str">
        <f>VLOOKUP(E6122,dicionario!$A$1:$C6521,2,0)</f>
        <v>Zornia latifolia</v>
      </c>
      <c r="H6122" s="6" t="str">
        <f>VLOOKUP(E6122,dicionario!$A$1:$C6521,3,0)</f>
        <v>arrozinho-do-campo</v>
      </c>
    </row>
    <row r="6123">
      <c r="A6123" s="3">
        <v>45694.0</v>
      </c>
      <c r="B6123" s="4">
        <v>0.34791666666666665</v>
      </c>
      <c r="C6123" s="5" t="s">
        <v>8</v>
      </c>
      <c r="D6123" s="5" t="s">
        <v>1082</v>
      </c>
      <c r="E6123" s="8" t="s">
        <v>378</v>
      </c>
      <c r="F6123" s="5" t="s">
        <v>205</v>
      </c>
      <c r="G6123" s="6" t="str">
        <f>VLOOKUP(E6123,dicionario!$A$1:$C6522,2,0)</f>
        <v>Polistes</v>
      </c>
      <c r="H6123" s="6" t="str">
        <f>VLOOKUP(E6123,dicionario!$A$1:$C6522,3,0)</f>
        <v>marimbondo</v>
      </c>
    </row>
    <row r="6124">
      <c r="A6124" s="3">
        <v>45694.0</v>
      </c>
      <c r="B6124" s="4">
        <v>0.34791666666666665</v>
      </c>
      <c r="C6124" s="5" t="s">
        <v>8</v>
      </c>
      <c r="D6124" s="5" t="s">
        <v>1082</v>
      </c>
      <c r="E6124" s="8" t="s">
        <v>239</v>
      </c>
      <c r="F6124" s="5" t="s">
        <v>240</v>
      </c>
      <c r="G6124" s="6" t="str">
        <f>VLOOKUP(E6124,dicionario!$A$1:$C6523,2,0)</f>
        <v>Gomphrena celosioides</v>
      </c>
      <c r="H6124" s="6" t="str">
        <f>VLOOKUP(E6124,dicionario!$A$1:$C6523,3,0)</f>
        <v>perpétua-branca</v>
      </c>
    </row>
    <row r="6125">
      <c r="A6125" s="3">
        <v>45694.0</v>
      </c>
      <c r="B6125" s="4">
        <v>0.3486111111111111</v>
      </c>
      <c r="C6125" s="5" t="s">
        <v>8</v>
      </c>
      <c r="D6125" s="5" t="s">
        <v>1082</v>
      </c>
      <c r="E6125" s="8" t="s">
        <v>113</v>
      </c>
      <c r="F6125" s="5" t="s">
        <v>114</v>
      </c>
      <c r="G6125" s="6" t="str">
        <f>VLOOKUP(E6125,dicionario!$A$1:$C6524,2,0)</f>
        <v>Columbina talpacoti</v>
      </c>
      <c r="H6125" s="6" t="str">
        <f>VLOOKUP(E6125,dicionario!$A$1:$C6524,3,0)</f>
        <v>rolinha-roxa</v>
      </c>
    </row>
    <row r="6126">
      <c r="A6126" s="3">
        <v>45694.0</v>
      </c>
      <c r="B6126" s="4">
        <v>0.3486111111111111</v>
      </c>
      <c r="C6126" s="5" t="s">
        <v>8</v>
      </c>
      <c r="D6126" s="5" t="s">
        <v>1082</v>
      </c>
      <c r="E6126" s="8" t="s">
        <v>22</v>
      </c>
      <c r="F6126" s="5" t="s">
        <v>97</v>
      </c>
      <c r="G6126" s="6" t="str">
        <f>VLOOKUP(E6126,dicionario!$A$1:$C6525,2,0)</f>
        <v>Zenaida auriculata</v>
      </c>
      <c r="H6126" s="6" t="str">
        <f>VLOOKUP(E6126,dicionario!$A$1:$C6525,3,0)</f>
        <v>pomba-de-bando; avoante</v>
      </c>
    </row>
    <row r="6127">
      <c r="A6127" s="3">
        <v>45694.0</v>
      </c>
      <c r="B6127" s="4">
        <v>0.3486111111111111</v>
      </c>
      <c r="C6127" s="5" t="s">
        <v>8</v>
      </c>
      <c r="D6127" s="5" t="s">
        <v>1082</v>
      </c>
      <c r="E6127" s="8" t="s">
        <v>909</v>
      </c>
      <c r="F6127" s="5" t="s">
        <v>910</v>
      </c>
      <c r="G6127" s="6" t="str">
        <f>VLOOKUP(E6127,dicionario!$A$1:$C6526,2,0)</f>
        <v>Chordeiles acutipennis</v>
      </c>
      <c r="H6127" s="6" t="str">
        <f>VLOOKUP(E6127,dicionario!$A$1:$C6526,3,0)</f>
        <v>bacurau-de-asa-fina</v>
      </c>
    </row>
    <row r="6128">
      <c r="A6128" s="3">
        <v>45694.0</v>
      </c>
      <c r="B6128" s="4">
        <v>0.34930555555555554</v>
      </c>
      <c r="C6128" s="5" t="s">
        <v>8</v>
      </c>
      <c r="D6128" s="5" t="s">
        <v>1082</v>
      </c>
      <c r="E6128" s="8" t="s">
        <v>14</v>
      </c>
      <c r="F6128" s="5" t="s">
        <v>15</v>
      </c>
      <c r="G6128" s="6" t="str">
        <f>VLOOKUP(E6128,dicionario!$A$1:$C6527,2,0)</f>
        <v>Spermacoce verticillata</v>
      </c>
      <c r="H6128" s="6" t="str">
        <f>VLOOKUP(E6128,dicionario!$A$1:$C6527,3,0)</f>
        <v>vassourinha-de-botão</v>
      </c>
    </row>
    <row r="6129">
      <c r="A6129" s="3">
        <v>45694.0</v>
      </c>
      <c r="B6129" s="4">
        <v>0.34930555555555554</v>
      </c>
      <c r="C6129" s="5" t="s">
        <v>8</v>
      </c>
      <c r="D6129" s="5" t="s">
        <v>1082</v>
      </c>
      <c r="E6129" s="8" t="s">
        <v>1008</v>
      </c>
      <c r="F6129" s="5" t="s">
        <v>1013</v>
      </c>
      <c r="G6129" s="6" t="str">
        <f>VLOOKUP(E6129,dicionario!$A$1:$C6528,2,0)</f>
        <v>Syntermes molestus</v>
      </c>
      <c r="H6129" s="6" t="str">
        <f>VLOOKUP(E6129,dicionario!$A$1:$C6528,3,0)</f>
        <v>cupim-bate-cabeça</v>
      </c>
    </row>
    <row r="6130">
      <c r="A6130" s="3">
        <v>45694.0</v>
      </c>
      <c r="B6130" s="4">
        <v>0.35</v>
      </c>
      <c r="C6130" s="5" t="s">
        <v>8</v>
      </c>
      <c r="D6130" s="5" t="s">
        <v>1082</v>
      </c>
      <c r="E6130" s="8" t="s">
        <v>227</v>
      </c>
      <c r="F6130" s="5" t="s">
        <v>228</v>
      </c>
      <c r="G6130" s="6" t="str">
        <f>VLOOKUP(E6130,dicionario!$A$1:$C6529,2,0)</f>
        <v>Indigofera hirsuta</v>
      </c>
      <c r="H6130" s="6" t="str">
        <f>VLOOKUP(E6130,dicionario!$A$1:$C6529,3,0)</f>
        <v>anileira</v>
      </c>
    </row>
    <row r="6131">
      <c r="A6131" s="3">
        <v>45694.0</v>
      </c>
      <c r="B6131" s="4">
        <v>0.35</v>
      </c>
      <c r="C6131" s="5" t="s">
        <v>8</v>
      </c>
      <c r="D6131" s="5" t="s">
        <v>1082</v>
      </c>
      <c r="E6131" s="8" t="s">
        <v>225</v>
      </c>
      <c r="F6131" s="5" t="s">
        <v>226</v>
      </c>
      <c r="G6131" s="6" t="str">
        <f>VLOOKUP(E6131,dicionario!$A$1:$C6530,2,0)</f>
        <v>Passer domesticus</v>
      </c>
      <c r="H6131" s="6" t="str">
        <f>VLOOKUP(E6131,dicionario!$A$1:$C6530,3,0)</f>
        <v>pardal</v>
      </c>
    </row>
    <row r="6132">
      <c r="A6132" s="3">
        <v>45694.0</v>
      </c>
      <c r="B6132" s="4">
        <v>0.35</v>
      </c>
      <c r="C6132" s="5" t="s">
        <v>8</v>
      </c>
      <c r="D6132" s="5" t="s">
        <v>1082</v>
      </c>
      <c r="E6132" s="8" t="s">
        <v>425</v>
      </c>
      <c r="F6132" s="5" t="s">
        <v>426</v>
      </c>
      <c r="G6132" s="6" t="str">
        <f>VLOOKUP(E6132,dicionario!$A$1:$C6531,2,0)</f>
        <v>Digitaria insularis</v>
      </c>
      <c r="H6132" s="6" t="str">
        <f>VLOOKUP(E6132,dicionario!$A$1:$C6531,3,0)</f>
        <v>capim-amargoso</v>
      </c>
    </row>
    <row r="6133">
      <c r="A6133" s="3">
        <v>45701.0</v>
      </c>
      <c r="B6133" s="4">
        <v>0.2611111111111111</v>
      </c>
      <c r="C6133" s="5" t="s">
        <v>906</v>
      </c>
      <c r="D6133" s="5" t="s">
        <v>1170</v>
      </c>
      <c r="E6133" s="8" t="s">
        <v>99</v>
      </c>
      <c r="F6133" s="5" t="s">
        <v>508</v>
      </c>
      <c r="G6133" s="6" t="str">
        <f>VLOOKUP(E6133,dicionario!$A$1:$C6532,2,0)</f>
        <v>Molothrus bonariensis</v>
      </c>
      <c r="H6133" s="6" t="str">
        <f>VLOOKUP(E6133,dicionario!$A$1:$C6532,3,0)</f>
        <v>chupim</v>
      </c>
    </row>
    <row r="6134">
      <c r="A6134" s="3">
        <v>45701.0</v>
      </c>
      <c r="B6134" s="4">
        <v>0.2611111111111111</v>
      </c>
      <c r="C6134" s="5" t="s">
        <v>906</v>
      </c>
      <c r="D6134" s="5" t="s">
        <v>1170</v>
      </c>
      <c r="E6134" s="8" t="s">
        <v>467</v>
      </c>
      <c r="F6134" s="5" t="s">
        <v>468</v>
      </c>
      <c r="G6134" s="6" t="str">
        <f>VLOOKUP(E6134,dicionario!$A$1:$C6533,2,0)</f>
        <v>Eleusine indica</v>
      </c>
      <c r="H6134" s="6" t="str">
        <f>VLOOKUP(E6134,dicionario!$A$1:$C6533,3,0)</f>
        <v>capim-pé-de-galinha</v>
      </c>
    </row>
    <row r="6135">
      <c r="A6135" s="3">
        <v>45701.0</v>
      </c>
      <c r="B6135" s="4">
        <v>0.2611111111111111</v>
      </c>
      <c r="C6135" s="5" t="s">
        <v>906</v>
      </c>
      <c r="D6135" s="5" t="s">
        <v>1170</v>
      </c>
      <c r="E6135" s="8" t="s">
        <v>613</v>
      </c>
      <c r="F6135" s="5" t="s">
        <v>614</v>
      </c>
      <c r="G6135" s="6" t="str">
        <f>VLOOKUP(E6135,dicionario!$A$1:$C6534,2,0)</f>
        <v>Euphorbia hyssopifolia</v>
      </c>
      <c r="H6135" s="6" t="str">
        <f>VLOOKUP(E6135,dicionario!$A$1:$C6534,3,0)</f>
        <v>maria-leite</v>
      </c>
    </row>
    <row r="6136">
      <c r="A6136" s="3">
        <v>45701.0</v>
      </c>
      <c r="B6136" s="4">
        <v>0.2611111111111111</v>
      </c>
      <c r="C6136" s="5" t="s">
        <v>906</v>
      </c>
      <c r="D6136" s="5" t="s">
        <v>1170</v>
      </c>
      <c r="E6136" s="8" t="s">
        <v>146</v>
      </c>
      <c r="F6136" s="5" t="s">
        <v>147</v>
      </c>
      <c r="G6136" s="6" t="str">
        <f>VLOOKUP(E6136,dicionario!$A$1:$C6535,2,0)</f>
        <v>Euphorbia hirta</v>
      </c>
      <c r="H6136" s="6" t="str">
        <f>VLOOKUP(E6136,dicionario!$A$1:$C6535,3,0)</f>
        <v>erva-de-santa-luzia</v>
      </c>
    </row>
    <row r="6137">
      <c r="A6137" s="3">
        <v>45701.0</v>
      </c>
      <c r="B6137" s="4">
        <v>0.2611111111111111</v>
      </c>
      <c r="C6137" s="5" t="s">
        <v>906</v>
      </c>
      <c r="D6137" s="5" t="s">
        <v>1170</v>
      </c>
      <c r="E6137" s="8" t="s">
        <v>286</v>
      </c>
      <c r="F6137" s="5" t="s">
        <v>287</v>
      </c>
      <c r="G6137" s="6" t="str">
        <f>VLOOKUP(E6137,dicionario!$A$1:$C6536,2,0)</f>
        <v>Setaria parviflora</v>
      </c>
      <c r="H6137" s="6" t="str">
        <f>VLOOKUP(E6137,dicionario!$A$1:$C6536,3,0)</f>
        <v>capim-rabo-de-raposa</v>
      </c>
    </row>
    <row r="6138">
      <c r="A6138" s="3">
        <v>45701.0</v>
      </c>
      <c r="B6138" s="4">
        <v>0.26180555555555557</v>
      </c>
      <c r="C6138" s="5" t="s">
        <v>906</v>
      </c>
      <c r="D6138" s="5" t="s">
        <v>1170</v>
      </c>
      <c r="E6138" s="8" t="s">
        <v>154</v>
      </c>
      <c r="F6138" s="5" t="s">
        <v>155</v>
      </c>
      <c r="G6138" s="6" t="str">
        <f>VLOOKUP(E6138,dicionario!$A$1:$C6537,2,0)</f>
        <v>Cyperus rotundus</v>
      </c>
      <c r="H6138" s="6" t="str">
        <f>VLOOKUP(E6138,dicionario!$A$1:$C6537,3,0)</f>
        <v>tiririca</v>
      </c>
    </row>
    <row r="6139">
      <c r="A6139" s="3">
        <v>45701.0</v>
      </c>
      <c r="B6139" s="4">
        <v>0.26180555555555557</v>
      </c>
      <c r="C6139" s="5" t="s">
        <v>906</v>
      </c>
      <c r="D6139" s="5" t="s">
        <v>1170</v>
      </c>
      <c r="E6139" s="8" t="s">
        <v>353</v>
      </c>
      <c r="F6139" s="5" t="s">
        <v>354</v>
      </c>
      <c r="G6139" s="6" t="str">
        <f>VLOOKUP(E6139,dicionario!$A$1:$C6538,2,0)</f>
        <v>Desmodium incanum</v>
      </c>
      <c r="H6139" s="6" t="str">
        <f>VLOOKUP(E6139,dicionario!$A$1:$C6538,3,0)</f>
        <v>pega-pega</v>
      </c>
    </row>
    <row r="6140">
      <c r="A6140" s="3">
        <v>45701.0</v>
      </c>
      <c r="B6140" s="4">
        <v>0.26180555555555557</v>
      </c>
      <c r="C6140" s="5" t="s">
        <v>906</v>
      </c>
      <c r="D6140" s="5" t="s">
        <v>1170</v>
      </c>
      <c r="E6140" s="8" t="s">
        <v>189</v>
      </c>
      <c r="F6140" s="5" t="s">
        <v>190</v>
      </c>
      <c r="G6140" s="6" t="str">
        <f>VLOOKUP(E6140,dicionario!$A$1:$C6539,2,0)</f>
        <v>Solanum paniculatum</v>
      </c>
      <c r="H6140" s="6" t="str">
        <f>VLOOKUP(E6140,dicionario!$A$1:$C6539,3,0)</f>
        <v>jurubeba</v>
      </c>
    </row>
    <row r="6141">
      <c r="A6141" s="3">
        <v>45701.0</v>
      </c>
      <c r="B6141" s="4">
        <v>0.26180555555555557</v>
      </c>
      <c r="C6141" s="5" t="s">
        <v>906</v>
      </c>
      <c r="D6141" s="5" t="s">
        <v>1170</v>
      </c>
      <c r="E6141" s="8" t="s">
        <v>247</v>
      </c>
      <c r="F6141" s="5" t="s">
        <v>387</v>
      </c>
      <c r="G6141" s="6" t="str">
        <f>VLOOKUP(E6141,dicionario!$A$1:$C6540,2,0)</f>
        <v>Emilia sonchifolia</v>
      </c>
      <c r="H6141" s="6" t="str">
        <f>VLOOKUP(E6141,dicionario!$A$1:$C6540,3,0)</f>
        <v>serralinha</v>
      </c>
    </row>
    <row r="6142">
      <c r="A6142" s="3">
        <v>45701.0</v>
      </c>
      <c r="B6142" s="4">
        <v>0.2625</v>
      </c>
      <c r="C6142" s="5" t="s">
        <v>906</v>
      </c>
      <c r="D6142" s="5" t="s">
        <v>1170</v>
      </c>
      <c r="E6142" s="8" t="s">
        <v>712</v>
      </c>
      <c r="F6142" s="5" t="s">
        <v>718</v>
      </c>
      <c r="G6142" s="6" t="str">
        <f>VLOOKUP(E6142,dicionario!$A$1:$C6541,2,0)</f>
        <v>Flavopunctelia soredica</v>
      </c>
      <c r="H6142" s="6" t="str">
        <f>VLOOKUP(E6142,dicionario!$A$1:$C6541,3,0)</f>
        <v>líquen-folioso</v>
      </c>
    </row>
    <row r="6143">
      <c r="A6143" s="3">
        <v>45701.0</v>
      </c>
      <c r="B6143" s="4">
        <v>0.2625</v>
      </c>
      <c r="C6143" s="5" t="s">
        <v>906</v>
      </c>
      <c r="D6143" s="5" t="s">
        <v>1170</v>
      </c>
      <c r="E6143" s="8" t="s">
        <v>719</v>
      </c>
      <c r="F6143" s="5" t="s">
        <v>720</v>
      </c>
      <c r="G6143" s="6" t="str">
        <f>VLOOKUP(E6143,dicionario!$A$1:$C6542,2,0)</f>
        <v>Dirinaria</v>
      </c>
      <c r="H6143" s="6" t="str">
        <f>VLOOKUP(E6143,dicionario!$A$1:$C6542,3,0)</f>
        <v>líquen-crostoso</v>
      </c>
    </row>
    <row r="6144">
      <c r="A6144" s="3">
        <v>45701.0</v>
      </c>
      <c r="B6144" s="4">
        <v>0.2625</v>
      </c>
      <c r="C6144" s="5" t="s">
        <v>906</v>
      </c>
      <c r="D6144" s="5" t="s">
        <v>1170</v>
      </c>
      <c r="E6144" s="8" t="s">
        <v>1084</v>
      </c>
      <c r="F6144" s="5" t="s">
        <v>224</v>
      </c>
      <c r="G6144" s="6" t="str">
        <f>VLOOKUP(E6144,dicionario!$A$1:$C6543,2,0)</f>
        <v>#N/A</v>
      </c>
      <c r="H6144" s="6" t="str">
        <f>VLOOKUP(E6144,dicionario!$A$1:$C6543,3,0)</f>
        <v>#N/A</v>
      </c>
    </row>
    <row r="6145">
      <c r="A6145" s="3">
        <v>45701.0</v>
      </c>
      <c r="B6145" s="4">
        <v>0.2625</v>
      </c>
      <c r="C6145" s="5" t="s">
        <v>906</v>
      </c>
      <c r="D6145" s="5" t="s">
        <v>1170</v>
      </c>
      <c r="E6145" s="6" t="s">
        <v>448</v>
      </c>
      <c r="F6145" s="5" t="s">
        <v>462</v>
      </c>
      <c r="G6145" s="6" t="str">
        <f>VLOOKUP(E6145,dicionario!$A$1:$C6544,2,0)</f>
        <v>Mechanitis polymnia</v>
      </c>
      <c r="H6145" s="6" t="str">
        <f>VLOOKUP(E6145,dicionario!$A$1:$C6544,3,0)</f>
        <v>maria-boba</v>
      </c>
    </row>
    <row r="6146">
      <c r="A6146" s="3">
        <v>45701.0</v>
      </c>
      <c r="B6146" s="4">
        <v>0.2625</v>
      </c>
      <c r="C6146" s="5" t="s">
        <v>906</v>
      </c>
      <c r="D6146" s="5" t="s">
        <v>1170</v>
      </c>
      <c r="E6146" s="8" t="s">
        <v>109</v>
      </c>
      <c r="F6146" s="5" t="s">
        <v>110</v>
      </c>
      <c r="G6146" s="6" t="str">
        <f>VLOOKUP(E6146,dicionario!$A$1:$C6545,2,0)</f>
        <v>Tillandsia stricta</v>
      </c>
      <c r="H6146" s="6" t="str">
        <f>VLOOKUP(E6146,dicionario!$A$1:$C6545,3,0)</f>
        <v>cravo-do-mato</v>
      </c>
    </row>
    <row r="6147">
      <c r="A6147" s="3">
        <v>45701.0</v>
      </c>
      <c r="B6147" s="4">
        <v>0.2625</v>
      </c>
      <c r="C6147" s="5" t="s">
        <v>906</v>
      </c>
      <c r="D6147" s="5" t="s">
        <v>1170</v>
      </c>
      <c r="E6147" s="8" t="s">
        <v>483</v>
      </c>
      <c r="F6147" s="5" t="s">
        <v>484</v>
      </c>
      <c r="G6147" s="6" t="str">
        <f>VLOOKUP(E6147,dicionario!$A$1:$C6546,2,0)</f>
        <v>Euphorbia prostrata</v>
      </c>
      <c r="H6147" s="6" t="str">
        <f>VLOOKUP(E6147,dicionario!$A$1:$C6546,3,0)</f>
        <v>quebra-pedra-rasteira</v>
      </c>
    </row>
    <row r="6148">
      <c r="A6148" s="3">
        <v>45701.0</v>
      </c>
      <c r="B6148" s="4">
        <v>0.2625</v>
      </c>
      <c r="C6148" s="5" t="s">
        <v>906</v>
      </c>
      <c r="D6148" s="5" t="s">
        <v>1170</v>
      </c>
      <c r="E6148" s="8" t="s">
        <v>732</v>
      </c>
      <c r="F6148" s="5" t="s">
        <v>739</v>
      </c>
      <c r="G6148" s="6" t="str">
        <f>VLOOKUP(E6148,dicionario!$A$1:$C6547,2,0)</f>
        <v>#N/A</v>
      </c>
      <c r="H6148" s="6" t="str">
        <f>VLOOKUP(E6148,dicionario!$A$1:$C6547,3,0)</f>
        <v>#N/A</v>
      </c>
    </row>
    <row r="6149">
      <c r="A6149" s="3">
        <v>45701.0</v>
      </c>
      <c r="B6149" s="4">
        <v>0.2625</v>
      </c>
      <c r="C6149" s="5" t="s">
        <v>906</v>
      </c>
      <c r="D6149" s="5" t="s">
        <v>1170</v>
      </c>
      <c r="E6149" s="8" t="s">
        <v>150</v>
      </c>
      <c r="F6149" s="5" t="s">
        <v>151</v>
      </c>
      <c r="G6149" s="6" t="str">
        <f>VLOOKUP(E6149,dicionario!$A$1:$C6548,2,0)</f>
        <v>Amaranthus viridis</v>
      </c>
      <c r="H6149" s="6" t="str">
        <f>VLOOKUP(E6149,dicionario!$A$1:$C6548,3,0)</f>
        <v>caruru-de-mancha</v>
      </c>
    </row>
    <row r="6150">
      <c r="A6150" s="3">
        <v>45701.0</v>
      </c>
      <c r="B6150" s="4">
        <v>0.2625</v>
      </c>
      <c r="C6150" s="5" t="s">
        <v>906</v>
      </c>
      <c r="D6150" s="5" t="s">
        <v>1170</v>
      </c>
      <c r="E6150" s="8" t="s">
        <v>378</v>
      </c>
      <c r="F6150" s="5" t="s">
        <v>205</v>
      </c>
      <c r="G6150" s="6" t="str">
        <f>VLOOKUP(E6150,dicionario!$A$1:$C6549,2,0)</f>
        <v>Polistes</v>
      </c>
      <c r="H6150" s="6" t="str">
        <f>VLOOKUP(E6150,dicionario!$A$1:$C6549,3,0)</f>
        <v>marimbondo</v>
      </c>
    </row>
    <row r="6151">
      <c r="A6151" s="3">
        <v>45701.0</v>
      </c>
      <c r="B6151" s="4">
        <v>0.26319444444444445</v>
      </c>
      <c r="C6151" s="5" t="s">
        <v>906</v>
      </c>
      <c r="D6151" s="5" t="s">
        <v>1170</v>
      </c>
      <c r="E6151" s="8" t="s">
        <v>60</v>
      </c>
      <c r="F6151" s="5" t="s">
        <v>61</v>
      </c>
      <c r="G6151" s="6" t="str">
        <f>VLOOKUP(E6151,dicionario!$A$1:$C6550,2,0)</f>
        <v>Vanellus chilensis</v>
      </c>
      <c r="H6151" s="6" t="str">
        <f>VLOOKUP(E6151,dicionario!$A$1:$C6550,3,0)</f>
        <v>quero-quero</v>
      </c>
    </row>
    <row r="6152">
      <c r="A6152" s="3">
        <v>45701.0</v>
      </c>
      <c r="B6152" s="4">
        <v>0.26319444444444445</v>
      </c>
      <c r="C6152" s="5" t="s">
        <v>906</v>
      </c>
      <c r="D6152" s="5" t="s">
        <v>1170</v>
      </c>
      <c r="E6152" s="8" t="s">
        <v>200</v>
      </c>
      <c r="F6152" s="5" t="s">
        <v>201</v>
      </c>
      <c r="G6152" s="6" t="str">
        <f>VLOOKUP(E6152,dicionario!$A$1:$C6551,2,0)</f>
        <v>Columbina picui </v>
      </c>
      <c r="H6152" s="6" t="str">
        <f>VLOOKUP(E6152,dicionario!$A$1:$C6551,3,0)</f>
        <v>rolinha-picuí</v>
      </c>
    </row>
    <row r="6153">
      <c r="A6153" s="3">
        <v>45701.0</v>
      </c>
      <c r="B6153" s="4">
        <v>0.26319444444444445</v>
      </c>
      <c r="C6153" s="5" t="s">
        <v>906</v>
      </c>
      <c r="D6153" s="5" t="s">
        <v>1170</v>
      </c>
      <c r="E6153" s="8" t="s">
        <v>267</v>
      </c>
      <c r="F6153" s="5" t="s">
        <v>553</v>
      </c>
      <c r="G6153" s="6" t="str">
        <f>VLOOKUP(E6153,dicionario!$A$1:$C6552,2,0)</f>
        <v>Solanum americanum</v>
      </c>
      <c r="H6153" s="6" t="str">
        <f>VLOOKUP(E6153,dicionario!$A$1:$C6552,3,0)</f>
        <v>maria-pretinha</v>
      </c>
    </row>
    <row r="6154">
      <c r="A6154" s="3">
        <v>45701.0</v>
      </c>
      <c r="B6154" s="4">
        <v>0.26319444444444445</v>
      </c>
      <c r="C6154" s="5" t="s">
        <v>906</v>
      </c>
      <c r="D6154" s="5" t="s">
        <v>1170</v>
      </c>
      <c r="E6154" s="8" t="s">
        <v>113</v>
      </c>
      <c r="F6154" s="5" t="s">
        <v>114</v>
      </c>
      <c r="G6154" s="6" t="str">
        <f>VLOOKUP(E6154,dicionario!$A$1:$C6553,2,0)</f>
        <v>Columbina talpacoti</v>
      </c>
      <c r="H6154" s="6" t="str">
        <f>VLOOKUP(E6154,dicionario!$A$1:$C6553,3,0)</f>
        <v>rolinha-roxa</v>
      </c>
    </row>
    <row r="6155">
      <c r="A6155" s="3">
        <v>45701.0</v>
      </c>
      <c r="B6155" s="4">
        <v>0.26319444444444445</v>
      </c>
      <c r="C6155" s="5" t="s">
        <v>906</v>
      </c>
      <c r="D6155" s="5" t="s">
        <v>1170</v>
      </c>
      <c r="E6155" s="8" t="s">
        <v>296</v>
      </c>
      <c r="F6155" s="5" t="s">
        <v>297</v>
      </c>
      <c r="G6155" s="6" t="str">
        <f>VLOOKUP(E6155,dicionario!$A$1:$C6554,2,0)</f>
        <v>Richardia brasiliensis</v>
      </c>
      <c r="H6155" s="6" t="str">
        <f>VLOOKUP(E6155,dicionario!$A$1:$C6554,3,0)</f>
        <v>poaia-branca</v>
      </c>
    </row>
    <row r="6156">
      <c r="A6156" s="3">
        <v>45701.0</v>
      </c>
      <c r="B6156" s="4">
        <v>0.2638888888888889</v>
      </c>
      <c r="C6156" s="5" t="s">
        <v>906</v>
      </c>
      <c r="D6156" s="5" t="s">
        <v>1170</v>
      </c>
      <c r="E6156" s="8" t="s">
        <v>938</v>
      </c>
      <c r="F6156" s="5" t="s">
        <v>737</v>
      </c>
      <c r="G6156" s="6" t="str">
        <f>VLOOKUP(E6156,dicionario!$A$1:$C6555,2,0)</f>
        <v>Chloris barbata</v>
      </c>
      <c r="H6156" s="6" t="str">
        <f>VLOOKUP(E6156,dicionario!$A$1:$C6555,3,0)</f>
        <v/>
      </c>
    </row>
    <row r="6157">
      <c r="A6157" s="3">
        <v>45701.0</v>
      </c>
      <c r="B6157" s="4">
        <v>0.2638888888888889</v>
      </c>
      <c r="C6157" s="5" t="s">
        <v>906</v>
      </c>
      <c r="D6157" s="5" t="s">
        <v>1170</v>
      </c>
      <c r="E6157" s="8" t="s">
        <v>20</v>
      </c>
      <c r="F6157" s="7" t="s">
        <v>21</v>
      </c>
      <c r="G6157" s="6" t="str">
        <f>VLOOKUP(E6157,dicionario!$A$1:$C6556,2,0)</f>
        <v>Sicalis flaveola</v>
      </c>
      <c r="H6157" s="6" t="str">
        <f>VLOOKUP(E6157,dicionario!$A$1:$C6556,3,0)</f>
        <v>canário-da-terra</v>
      </c>
    </row>
    <row r="6158">
      <c r="A6158" s="3">
        <v>45701.0</v>
      </c>
      <c r="B6158" s="4">
        <v>0.2638888888888889</v>
      </c>
      <c r="C6158" s="5" t="s">
        <v>906</v>
      </c>
      <c r="D6158" s="5" t="s">
        <v>1170</v>
      </c>
      <c r="E6158" s="8" t="s">
        <v>909</v>
      </c>
      <c r="F6158" s="5" t="s">
        <v>910</v>
      </c>
      <c r="G6158" s="6" t="str">
        <f>VLOOKUP(E6158,dicionario!$A$1:$C6557,2,0)</f>
        <v>Chordeiles acutipennis</v>
      </c>
      <c r="H6158" s="6" t="str">
        <f>VLOOKUP(E6158,dicionario!$A$1:$C6557,3,0)</f>
        <v>bacurau-de-asa-fina</v>
      </c>
    </row>
    <row r="6159">
      <c r="A6159" s="3">
        <v>45701.0</v>
      </c>
      <c r="B6159" s="4">
        <v>0.2638888888888889</v>
      </c>
      <c r="C6159" s="5" t="s">
        <v>906</v>
      </c>
      <c r="D6159" s="5" t="s">
        <v>1170</v>
      </c>
      <c r="E6159" s="8" t="s">
        <v>72</v>
      </c>
      <c r="F6159" s="5" t="s">
        <v>73</v>
      </c>
      <c r="G6159" s="6" t="str">
        <f>VLOOKUP(E6159,dicionario!$A$1:$C6558,2,0)</f>
        <v>Thraupis palmarum</v>
      </c>
      <c r="H6159" s="6" t="str">
        <f>VLOOKUP(E6159,dicionario!$A$1:$C6558,3,0)</f>
        <v>sanhaço-do-coqueiro</v>
      </c>
    </row>
    <row r="6160">
      <c r="A6160" s="3">
        <v>45701.0</v>
      </c>
      <c r="B6160" s="4">
        <v>0.2638888888888889</v>
      </c>
      <c r="C6160" s="5" t="s">
        <v>906</v>
      </c>
      <c r="D6160" s="5" t="s">
        <v>1170</v>
      </c>
      <c r="E6160" s="8" t="s">
        <v>302</v>
      </c>
      <c r="F6160" s="5" t="s">
        <v>89</v>
      </c>
      <c r="G6160" s="6" t="str">
        <f>VLOOKUP(E6160,dicionario!$A$1:$C6559,2,0)</f>
        <v>Machetornis rixosa</v>
      </c>
      <c r="H6160" s="6" t="str">
        <f>VLOOKUP(E6160,dicionario!$A$1:$C6559,3,0)</f>
        <v>suiriri-cavaleiro</v>
      </c>
    </row>
    <row r="6161">
      <c r="A6161" s="3">
        <v>45701.0</v>
      </c>
      <c r="B6161" s="4">
        <v>0.2638888888888889</v>
      </c>
      <c r="C6161" s="5" t="s">
        <v>906</v>
      </c>
      <c r="D6161" s="5" t="s">
        <v>1170</v>
      </c>
      <c r="E6161" s="8" t="s">
        <v>132</v>
      </c>
      <c r="F6161" s="5" t="s">
        <v>133</v>
      </c>
      <c r="G6161" s="6" t="str">
        <f>VLOOKUP(E6161,dicionario!$A$1:$C6560,2,0)</f>
        <v>Euphonia chlorotica</v>
      </c>
      <c r="H6161" s="6" t="str">
        <f>VLOOKUP(E6161,dicionario!$A$1:$C6560,3,0)</f>
        <v>fim-fim</v>
      </c>
    </row>
    <row r="6162">
      <c r="A6162" s="3">
        <v>45701.0</v>
      </c>
      <c r="B6162" s="4">
        <v>0.26458333333333334</v>
      </c>
      <c r="C6162" s="5" t="s">
        <v>906</v>
      </c>
      <c r="D6162" s="5" t="s">
        <v>1170</v>
      </c>
      <c r="E6162" s="8" t="s">
        <v>46</v>
      </c>
      <c r="F6162" s="5" t="s">
        <v>47</v>
      </c>
      <c r="G6162" s="6" t="str">
        <f>VLOOKUP(E6162,dicionario!$A$1:$C6561,2,0)</f>
        <v>Chionomesa fimbriata</v>
      </c>
      <c r="H6162" s="6" t="str">
        <f>VLOOKUP(E6162,dicionario!$A$1:$C6561,3,0)</f>
        <v>beija-flor-de-garganta-verde</v>
      </c>
    </row>
    <row r="6163">
      <c r="A6163" s="3">
        <v>45701.0</v>
      </c>
      <c r="B6163" s="4">
        <v>0.26458333333333334</v>
      </c>
      <c r="C6163" s="5" t="s">
        <v>906</v>
      </c>
      <c r="D6163" s="5" t="s">
        <v>1170</v>
      </c>
      <c r="E6163" s="8" t="s">
        <v>93</v>
      </c>
      <c r="F6163" s="5" t="s">
        <v>570</v>
      </c>
      <c r="G6163" s="6" t="str">
        <f>VLOOKUP(E6163,dicionario!$A$1:$C6562,2,0)</f>
        <v>Thraupis sayaca</v>
      </c>
      <c r="H6163" s="6" t="str">
        <f>VLOOKUP(E6163,dicionario!$A$1:$C6562,3,0)</f>
        <v>sanhaçu-cinzento</v>
      </c>
    </row>
    <row r="6164">
      <c r="A6164" s="3">
        <v>45701.0</v>
      </c>
      <c r="B6164" s="4">
        <v>0.26458333333333334</v>
      </c>
      <c r="C6164" s="5" t="s">
        <v>906</v>
      </c>
      <c r="D6164" s="5" t="s">
        <v>1170</v>
      </c>
      <c r="E6164" s="8" t="s">
        <v>1171</v>
      </c>
      <c r="F6164" s="5" t="s">
        <v>1172</v>
      </c>
      <c r="G6164" s="6" t="str">
        <f>VLOOKUP(E6164,dicionario!$A$1:$C6563,2,0)</f>
        <v>#N/A</v>
      </c>
      <c r="H6164" s="6" t="str">
        <f>VLOOKUP(E6164,dicionario!$A$1:$C6563,3,0)</f>
        <v>#N/A</v>
      </c>
    </row>
    <row r="6165">
      <c r="A6165" s="3">
        <v>45701.0</v>
      </c>
      <c r="B6165" s="4">
        <v>0.2652777777777778</v>
      </c>
      <c r="C6165" s="5" t="s">
        <v>906</v>
      </c>
      <c r="D6165" s="5" t="s">
        <v>1170</v>
      </c>
      <c r="E6165" s="8" t="s">
        <v>235</v>
      </c>
      <c r="F6165" s="5" t="s">
        <v>941</v>
      </c>
      <c r="G6165" s="6" t="str">
        <f>VLOOKUP(E6165,dicionario!$A$1:$C6564,2,0)</f>
        <v>Leucaena leucocephala</v>
      </c>
      <c r="H6165" s="6" t="str">
        <f>VLOOKUP(E6165,dicionario!$A$1:$C6564,3,0)</f>
        <v>leucena</v>
      </c>
    </row>
    <row r="6166">
      <c r="A6166" s="3">
        <v>45701.0</v>
      </c>
      <c r="B6166" s="4">
        <v>0.2652777777777778</v>
      </c>
      <c r="C6166" s="5" t="s">
        <v>906</v>
      </c>
      <c r="D6166" s="5" t="s">
        <v>1170</v>
      </c>
      <c r="E6166" s="8" t="s">
        <v>934</v>
      </c>
      <c r="F6166" s="5" t="s">
        <v>414</v>
      </c>
      <c r="G6166" s="6" t="str">
        <f>VLOOKUP(E6166,dicionario!$A$1:$C6565,2,0)</f>
        <v>#N/A</v>
      </c>
      <c r="H6166" s="6" t="str">
        <f>VLOOKUP(E6166,dicionario!$A$1:$C6565,3,0)</f>
        <v>#N/A</v>
      </c>
    </row>
    <row r="6167">
      <c r="A6167" s="3">
        <v>45701.0</v>
      </c>
      <c r="B6167" s="4">
        <v>0.2652777777777778</v>
      </c>
      <c r="C6167" s="5" t="s">
        <v>906</v>
      </c>
      <c r="D6167" s="5" t="s">
        <v>1170</v>
      </c>
      <c r="E6167" s="8" t="s">
        <v>972</v>
      </c>
      <c r="F6167" s="5" t="s">
        <v>973</v>
      </c>
      <c r="G6167" s="6" t="str">
        <f>VLOOKUP(E6167,dicionario!$A$1:$C6566,2,0)</f>
        <v>Colaptes campestris</v>
      </c>
      <c r="H6167" s="6" t="str">
        <f>VLOOKUP(E6167,dicionario!$A$1:$C6566,3,0)</f>
        <v>pica-pau-do-campo</v>
      </c>
    </row>
    <row r="6168">
      <c r="A6168" s="3">
        <v>45701.0</v>
      </c>
      <c r="B6168" s="4">
        <v>0.2652777777777778</v>
      </c>
      <c r="C6168" s="5" t="s">
        <v>906</v>
      </c>
      <c r="D6168" s="5" t="s">
        <v>1170</v>
      </c>
      <c r="E6168" s="8" t="s">
        <v>225</v>
      </c>
      <c r="F6168" s="5" t="s">
        <v>226</v>
      </c>
      <c r="G6168" s="6" t="str">
        <f>VLOOKUP(E6168,dicionario!$A$1:$C6567,2,0)</f>
        <v>Passer domesticus</v>
      </c>
      <c r="H6168" s="6" t="str">
        <f>VLOOKUP(E6168,dicionario!$A$1:$C6567,3,0)</f>
        <v>pardal</v>
      </c>
    </row>
    <row r="6169">
      <c r="A6169" s="3">
        <v>45701.0</v>
      </c>
      <c r="B6169" s="4">
        <v>0.2652777777777778</v>
      </c>
      <c r="C6169" s="5" t="s">
        <v>906</v>
      </c>
      <c r="D6169" s="5" t="s">
        <v>1170</v>
      </c>
      <c r="E6169" s="8" t="s">
        <v>704</v>
      </c>
      <c r="F6169" s="5" t="s">
        <v>705</v>
      </c>
      <c r="G6169" s="6" t="str">
        <f>VLOOKUP(E6169,dicionario!$A$1:$C6568,2,0)</f>
        <v>Brachygastra lecheguana</v>
      </c>
      <c r="H6169" s="6" t="str">
        <f>VLOOKUP(E6169,dicionario!$A$1:$C6568,3,0)</f>
        <v>enxu-verdadeiro</v>
      </c>
    </row>
    <row r="6170">
      <c r="A6170" s="3">
        <v>45701.0</v>
      </c>
      <c r="B6170" s="4">
        <v>0.2659722222222222</v>
      </c>
      <c r="C6170" s="5" t="s">
        <v>906</v>
      </c>
      <c r="D6170" s="5" t="s">
        <v>1170</v>
      </c>
      <c r="E6170" s="8" t="s">
        <v>14</v>
      </c>
      <c r="F6170" s="5" t="s">
        <v>15</v>
      </c>
      <c r="G6170" s="6" t="str">
        <f>VLOOKUP(E6170,dicionario!$A$1:$C6569,2,0)</f>
        <v>Spermacoce verticillata</v>
      </c>
      <c r="H6170" s="6" t="str">
        <f>VLOOKUP(E6170,dicionario!$A$1:$C6569,3,0)</f>
        <v>vassourinha-de-botão</v>
      </c>
    </row>
    <row r="6171">
      <c r="A6171" s="3">
        <v>45701.0</v>
      </c>
      <c r="B6171" s="4">
        <v>0.2659722222222222</v>
      </c>
      <c r="C6171" s="5" t="s">
        <v>906</v>
      </c>
      <c r="D6171" s="5" t="s">
        <v>1170</v>
      </c>
      <c r="E6171" s="8" t="s">
        <v>215</v>
      </c>
      <c r="F6171" s="7" t="s">
        <v>216</v>
      </c>
      <c r="G6171" s="6" t="str">
        <f>VLOOKUP(E6171,dicionario!$A$1:$C6570,2,0)</f>
        <v>Pygochelidon cyanoleuca</v>
      </c>
      <c r="H6171" s="6" t="str">
        <f>VLOOKUP(E6171,dicionario!$A$1:$C6570,3,0)</f>
        <v>andorinha-pequena-de-casa</v>
      </c>
    </row>
    <row r="6172">
      <c r="A6172" s="3">
        <v>45701.0</v>
      </c>
      <c r="B6172" s="4">
        <v>0.2659722222222222</v>
      </c>
      <c r="C6172" s="5" t="s">
        <v>906</v>
      </c>
      <c r="D6172" s="5" t="s">
        <v>1170</v>
      </c>
      <c r="E6172" s="8" t="s">
        <v>65</v>
      </c>
      <c r="F6172" s="5" t="s">
        <v>66</v>
      </c>
      <c r="G6172" s="6" t="str">
        <f>VLOOKUP(E6172,dicionario!$A$1:$C6571,2,0)</f>
        <v>Pitangus sulphutarus</v>
      </c>
      <c r="H6172" s="6" t="str">
        <f>VLOOKUP(E6172,dicionario!$A$1:$C6571,3,0)</f>
        <v>bem-te-vi</v>
      </c>
    </row>
    <row r="6173">
      <c r="A6173" s="3">
        <v>45701.0</v>
      </c>
      <c r="B6173" s="4">
        <v>0.26666666666666666</v>
      </c>
      <c r="C6173" s="5" t="s">
        <v>906</v>
      </c>
      <c r="D6173" s="5" t="s">
        <v>1170</v>
      </c>
      <c r="E6173" s="8" t="s">
        <v>135</v>
      </c>
      <c r="F6173" s="5" t="s">
        <v>136</v>
      </c>
      <c r="G6173" s="6" t="str">
        <f>VLOOKUP(E6173,dicionario!$A$1:$C6572,2,0)</f>
        <v>Tridax procumbens</v>
      </c>
      <c r="H6173" s="6" t="str">
        <f>VLOOKUP(E6173,dicionario!$A$1:$C6572,3,0)</f>
        <v>erva-de-touro</v>
      </c>
    </row>
    <row r="6174">
      <c r="A6174" s="3">
        <v>45701.0</v>
      </c>
      <c r="B6174" s="4">
        <v>0.2673611111111111</v>
      </c>
      <c r="C6174" s="5" t="s">
        <v>906</v>
      </c>
      <c r="D6174" s="5" t="s">
        <v>1170</v>
      </c>
      <c r="E6174" s="8" t="s">
        <v>355</v>
      </c>
      <c r="F6174" s="5" t="s">
        <v>356</v>
      </c>
      <c r="G6174" s="6" t="str">
        <f>VLOOKUP(E6174,dicionario!$A$1:$C6573,2,0)</f>
        <v>Boerhavia diffusa</v>
      </c>
      <c r="H6174" s="6" t="str">
        <f>VLOOKUP(E6174,dicionario!$A$1:$C6573,3,0)</f>
        <v>erva-tostão</v>
      </c>
    </row>
    <row r="6175">
      <c r="A6175" s="3">
        <v>45701.0</v>
      </c>
      <c r="B6175" s="4">
        <v>0.2673611111111111</v>
      </c>
      <c r="C6175" s="5" t="s">
        <v>906</v>
      </c>
      <c r="D6175" s="5" t="s">
        <v>1170</v>
      </c>
      <c r="E6175" s="8" t="s">
        <v>360</v>
      </c>
      <c r="F6175" s="7" t="s">
        <v>361</v>
      </c>
      <c r="G6175" s="6" t="str">
        <f>VLOOKUP(E6175,dicionario!$A$1:$C6574,2,0)</f>
        <v>Chamaecrista rotundifolia</v>
      </c>
      <c r="H6175" s="6" t="str">
        <f>VLOOKUP(E6175,dicionario!$A$1:$C6574,3,0)</f>
        <v>alfafa-nativa</v>
      </c>
    </row>
    <row r="6176">
      <c r="A6176" s="3">
        <v>45701.0</v>
      </c>
      <c r="B6176" s="4">
        <v>0.26805555555555555</v>
      </c>
      <c r="C6176" s="5" t="s">
        <v>906</v>
      </c>
      <c r="D6176" s="5" t="s">
        <v>1170</v>
      </c>
      <c r="E6176" s="8" t="s">
        <v>191</v>
      </c>
      <c r="F6176" s="5" t="s">
        <v>192</v>
      </c>
      <c r="G6176" s="6" t="str">
        <f>VLOOKUP(E6176,dicionario!$A$1:$C6575,2,0)</f>
        <v>Patagioenas picazuro</v>
      </c>
      <c r="H6176" s="6" t="str">
        <f>VLOOKUP(E6176,dicionario!$A$1:$C6575,3,0)</f>
        <v>asa-branca; pomba-asa-branca; pocaçu</v>
      </c>
    </row>
    <row r="6177">
      <c r="A6177" s="3">
        <v>45701.0</v>
      </c>
      <c r="B6177" s="4">
        <v>0.2701388888888889</v>
      </c>
      <c r="C6177" s="5" t="s">
        <v>26</v>
      </c>
      <c r="D6177" s="5" t="s">
        <v>1170</v>
      </c>
      <c r="E6177" s="8" t="s">
        <v>217</v>
      </c>
      <c r="F6177" s="5" t="s">
        <v>218</v>
      </c>
      <c r="G6177" s="6" t="str">
        <f>VLOOKUP(E6177,dicionario!$A$1:$C6576,2,0)</f>
        <v>Athene cunicularia</v>
      </c>
      <c r="H6177" s="6" t="str">
        <f>VLOOKUP(E6177,dicionario!$A$1:$C6576,3,0)</f>
        <v>coruja-buraqueira</v>
      </c>
    </row>
    <row r="6178">
      <c r="A6178" s="3">
        <v>45701.0</v>
      </c>
      <c r="B6178" s="4">
        <v>0.2701388888888889</v>
      </c>
      <c r="C6178" s="5" t="s">
        <v>26</v>
      </c>
      <c r="D6178" s="5" t="s">
        <v>1170</v>
      </c>
      <c r="E6178" s="8" t="s">
        <v>41</v>
      </c>
      <c r="F6178" s="5" t="s">
        <v>45</v>
      </c>
      <c r="G6178" s="6" t="str">
        <f>VLOOKUP(E6178,dicionario!$A$1:$C6577,2,0)</f>
        <v>Mimosa pudica</v>
      </c>
      <c r="H6178" s="6" t="str">
        <f>VLOOKUP(E6178,dicionario!$A$1:$C6577,3,0)</f>
        <v>dormideira</v>
      </c>
    </row>
    <row r="6179">
      <c r="A6179" s="3">
        <v>45701.0</v>
      </c>
      <c r="B6179" s="4">
        <v>0.2701388888888889</v>
      </c>
      <c r="C6179" s="5" t="s">
        <v>26</v>
      </c>
      <c r="D6179" s="5" t="s">
        <v>1170</v>
      </c>
      <c r="E6179" s="8" t="s">
        <v>498</v>
      </c>
      <c r="F6179" s="5" t="s">
        <v>899</v>
      </c>
      <c r="G6179" s="6" t="str">
        <f>VLOOKUP(E6179,dicionario!$A$1:$C6578,2,0)</f>
        <v>Brachiaria decumbens</v>
      </c>
      <c r="H6179" s="6" t="str">
        <f>VLOOKUP(E6179,dicionario!$A$1:$C6578,3,0)</f>
        <v>capim-braquiária</v>
      </c>
    </row>
    <row r="6180">
      <c r="A6180" s="3">
        <v>45701.0</v>
      </c>
      <c r="B6180" s="4">
        <v>0.2701388888888889</v>
      </c>
      <c r="C6180" s="5" t="s">
        <v>26</v>
      </c>
      <c r="D6180" s="5" t="s">
        <v>1170</v>
      </c>
      <c r="E6180" s="8" t="s">
        <v>425</v>
      </c>
      <c r="F6180" s="5" t="s">
        <v>426</v>
      </c>
      <c r="G6180" s="6" t="str">
        <f>VLOOKUP(E6180,dicionario!$A$1:$C6579,2,0)</f>
        <v>Digitaria insularis</v>
      </c>
      <c r="H6180" s="6" t="str">
        <f>VLOOKUP(E6180,dicionario!$A$1:$C6579,3,0)</f>
        <v>capim-amargoso</v>
      </c>
    </row>
    <row r="6181">
      <c r="A6181" s="3">
        <v>45701.0</v>
      </c>
      <c r="B6181" s="4">
        <v>0.2701388888888889</v>
      </c>
      <c r="C6181" s="5" t="s">
        <v>26</v>
      </c>
      <c r="D6181" s="5" t="s">
        <v>1170</v>
      </c>
      <c r="E6181" s="8" t="s">
        <v>353</v>
      </c>
      <c r="F6181" s="5" t="s">
        <v>354</v>
      </c>
      <c r="G6181" s="6" t="str">
        <f>VLOOKUP(E6181,dicionario!$A$1:$C6580,2,0)</f>
        <v>Desmodium incanum</v>
      </c>
      <c r="H6181" s="6" t="str">
        <f>VLOOKUP(E6181,dicionario!$A$1:$C6580,3,0)</f>
        <v>pega-pega</v>
      </c>
    </row>
    <row r="6182">
      <c r="A6182" s="3">
        <v>45701.0</v>
      </c>
      <c r="B6182" s="4">
        <v>0.2701388888888889</v>
      </c>
      <c r="C6182" s="5" t="s">
        <v>26</v>
      </c>
      <c r="D6182" s="5" t="s">
        <v>1170</v>
      </c>
      <c r="E6182" s="8" t="s">
        <v>14</v>
      </c>
      <c r="F6182" s="5" t="s">
        <v>15</v>
      </c>
      <c r="G6182" s="6" t="str">
        <f>VLOOKUP(E6182,dicionario!$A$1:$C6581,2,0)</f>
        <v>Spermacoce verticillata</v>
      </c>
      <c r="H6182" s="6" t="str">
        <f>VLOOKUP(E6182,dicionario!$A$1:$C6581,3,0)</f>
        <v>vassourinha-de-botão</v>
      </c>
    </row>
    <row r="6183">
      <c r="A6183" s="3">
        <v>45701.0</v>
      </c>
      <c r="B6183" s="4">
        <v>0.27152777777777776</v>
      </c>
      <c r="C6183" s="5" t="s">
        <v>26</v>
      </c>
      <c r="D6183" s="5" t="s">
        <v>1170</v>
      </c>
      <c r="E6183" s="8" t="s">
        <v>162</v>
      </c>
      <c r="F6183" s="7" t="s">
        <v>42</v>
      </c>
      <c r="G6183" s="6" t="str">
        <f>VLOOKUP(E6183,dicionario!$A$1:$C6582,2,0)</f>
        <v>Fluvicola nengeta</v>
      </c>
      <c r="H6183" s="6" t="str">
        <f>VLOOKUP(E6183,dicionario!$A$1:$C6582,3,0)</f>
        <v>lavadeira-mascarada</v>
      </c>
    </row>
    <row r="6184">
      <c r="A6184" s="3">
        <v>45701.0</v>
      </c>
      <c r="B6184" s="4">
        <v>0.27152777777777776</v>
      </c>
      <c r="C6184" s="5" t="s">
        <v>26</v>
      </c>
      <c r="D6184" s="5" t="s">
        <v>1170</v>
      </c>
      <c r="E6184" s="8" t="s">
        <v>243</v>
      </c>
      <c r="F6184" s="5" t="s">
        <v>244</v>
      </c>
      <c r="G6184" s="6" t="str">
        <f>VLOOKUP(E6184,dicionario!$A$1:$C6583,2,0)</f>
        <v>Macroptilium atropurpureum</v>
      </c>
      <c r="H6184" s="6" t="str">
        <f>VLOOKUP(E6184,dicionario!$A$1:$C6583,3,0)</f>
        <v>feijão-de-pombo</v>
      </c>
    </row>
    <row r="6185">
      <c r="A6185" s="3">
        <v>45701.0</v>
      </c>
      <c r="B6185" s="4">
        <v>0.27152777777777776</v>
      </c>
      <c r="C6185" s="5" t="s">
        <v>26</v>
      </c>
      <c r="D6185" s="5" t="s">
        <v>1170</v>
      </c>
      <c r="E6185" s="20" t="s">
        <v>676</v>
      </c>
      <c r="F6185" s="7" t="s">
        <v>677</v>
      </c>
      <c r="G6185" s="6" t="str">
        <f>VLOOKUP(E6185,dicionario!$A$1:$C6584,2,0)</f>
        <v>Zornia latifolia</v>
      </c>
      <c r="H6185" s="6" t="str">
        <f>VLOOKUP(E6185,dicionario!$A$1:$C6584,3,0)</f>
        <v>arrozinho-do-campo</v>
      </c>
    </row>
    <row r="6186">
      <c r="A6186" s="3">
        <v>45701.0</v>
      </c>
      <c r="B6186" s="4">
        <v>0.2722222222222222</v>
      </c>
      <c r="C6186" s="5" t="s">
        <v>26</v>
      </c>
      <c r="D6186" s="5" t="s">
        <v>1170</v>
      </c>
      <c r="E6186" s="8" t="s">
        <v>915</v>
      </c>
      <c r="F6186" s="5" t="s">
        <v>916</v>
      </c>
      <c r="G6186" s="6" t="str">
        <f>VLOOKUP(E6186,dicionario!$A$1:$C6585,2,0)</f>
        <v>Tachycineta albiventer</v>
      </c>
      <c r="H6186" s="6" t="str">
        <f>VLOOKUP(E6186,dicionario!$A$1:$C6585,3,0)</f>
        <v>andorinha-de-rio</v>
      </c>
    </row>
    <row r="6187">
      <c r="A6187" s="3">
        <v>45701.0</v>
      </c>
      <c r="B6187" s="4">
        <v>0.27291666666666664</v>
      </c>
      <c r="C6187" s="5" t="s">
        <v>26</v>
      </c>
      <c r="D6187" s="5" t="s">
        <v>1170</v>
      </c>
      <c r="E6187" s="8" t="s">
        <v>72</v>
      </c>
      <c r="F6187" s="5" t="s">
        <v>73</v>
      </c>
      <c r="G6187" s="6" t="str">
        <f>VLOOKUP(E6187,dicionario!$A$1:$C6586,2,0)</f>
        <v>Thraupis palmarum</v>
      </c>
      <c r="H6187" s="6" t="str">
        <f>VLOOKUP(E6187,dicionario!$A$1:$C6586,3,0)</f>
        <v>sanhaço-do-coqueiro</v>
      </c>
    </row>
    <row r="6188">
      <c r="A6188" s="3">
        <v>45701.0</v>
      </c>
      <c r="B6188" s="4">
        <v>0.27291666666666664</v>
      </c>
      <c r="C6188" s="5" t="s">
        <v>26</v>
      </c>
      <c r="D6188" s="5" t="s">
        <v>1170</v>
      </c>
      <c r="E6188" s="8" t="s">
        <v>20</v>
      </c>
      <c r="F6188" s="7" t="s">
        <v>21</v>
      </c>
      <c r="G6188" s="6" t="str">
        <f>VLOOKUP(E6188,dicionario!$A$1:$C6587,2,0)</f>
        <v>Sicalis flaveola</v>
      </c>
      <c r="H6188" s="6" t="str">
        <f>VLOOKUP(E6188,dicionario!$A$1:$C6587,3,0)</f>
        <v>canário-da-terra</v>
      </c>
    </row>
    <row r="6189">
      <c r="A6189" s="3">
        <v>45701.0</v>
      </c>
      <c r="B6189" s="4">
        <v>0.27291666666666664</v>
      </c>
      <c r="C6189" s="5" t="s">
        <v>26</v>
      </c>
      <c r="D6189" s="5" t="s">
        <v>1170</v>
      </c>
      <c r="E6189" s="8" t="s">
        <v>99</v>
      </c>
      <c r="F6189" s="5" t="s">
        <v>508</v>
      </c>
      <c r="G6189" s="6" t="str">
        <f>VLOOKUP(E6189,dicionario!$A$1:$C6588,2,0)</f>
        <v>Molothrus bonariensis</v>
      </c>
      <c r="H6189" s="6" t="str">
        <f>VLOOKUP(E6189,dicionario!$A$1:$C6588,3,0)</f>
        <v>chupim</v>
      </c>
    </row>
    <row r="6190">
      <c r="A6190" s="3">
        <v>45701.0</v>
      </c>
      <c r="B6190" s="4">
        <v>0.27291666666666664</v>
      </c>
      <c r="C6190" s="5" t="s">
        <v>26</v>
      </c>
      <c r="D6190" s="5" t="s">
        <v>1170</v>
      </c>
      <c r="E6190" s="8" t="s">
        <v>934</v>
      </c>
      <c r="F6190" s="5" t="s">
        <v>414</v>
      </c>
      <c r="G6190" s="6" t="str">
        <f>VLOOKUP(E6190,dicionario!$A$1:$C6589,2,0)</f>
        <v>#N/A</v>
      </c>
      <c r="H6190" s="6" t="str">
        <f>VLOOKUP(E6190,dicionario!$A$1:$C6589,3,0)</f>
        <v>#N/A</v>
      </c>
    </row>
    <row r="6191">
      <c r="A6191" s="3">
        <v>45701.0</v>
      </c>
      <c r="B6191" s="4">
        <v>0.27291666666666664</v>
      </c>
      <c r="C6191" s="5" t="s">
        <v>26</v>
      </c>
      <c r="D6191" s="5" t="s">
        <v>1170</v>
      </c>
      <c r="E6191" s="8" t="s">
        <v>191</v>
      </c>
      <c r="F6191" s="5" t="s">
        <v>192</v>
      </c>
      <c r="G6191" s="6" t="str">
        <f>VLOOKUP(E6191,dicionario!$A$1:$C6590,2,0)</f>
        <v>Patagioenas picazuro</v>
      </c>
      <c r="H6191" s="6" t="str">
        <f>VLOOKUP(E6191,dicionario!$A$1:$C6590,3,0)</f>
        <v>asa-branca; pomba-asa-branca; pocaçu</v>
      </c>
    </row>
    <row r="6192">
      <c r="A6192" s="3">
        <v>45701.0</v>
      </c>
      <c r="B6192" s="4">
        <v>0.2743055555555556</v>
      </c>
      <c r="C6192" s="5" t="s">
        <v>26</v>
      </c>
      <c r="D6192" s="5" t="s">
        <v>1170</v>
      </c>
      <c r="E6192" s="8" t="s">
        <v>227</v>
      </c>
      <c r="F6192" s="5" t="s">
        <v>228</v>
      </c>
      <c r="G6192" s="6" t="str">
        <f>VLOOKUP(E6192,dicionario!$A$1:$C6591,2,0)</f>
        <v>Indigofera hirsuta</v>
      </c>
      <c r="H6192" s="6" t="str">
        <f>VLOOKUP(E6192,dicionario!$A$1:$C6591,3,0)</f>
        <v>anileira</v>
      </c>
    </row>
    <row r="6193">
      <c r="A6193" s="3">
        <v>45701.0</v>
      </c>
      <c r="B6193" s="4">
        <v>0.27569444444444446</v>
      </c>
      <c r="C6193" s="5" t="s">
        <v>26</v>
      </c>
      <c r="D6193" s="5" t="s">
        <v>1170</v>
      </c>
      <c r="E6193" s="8" t="s">
        <v>338</v>
      </c>
      <c r="F6193" s="5" t="s">
        <v>238</v>
      </c>
      <c r="G6193" s="6" t="str">
        <f>VLOOKUP(E6193,dicionario!$A$1:$C6592,2,0)</f>
        <v>Atta</v>
      </c>
      <c r="H6193" s="6" t="str">
        <f>VLOOKUP(E6193,dicionario!$A$1:$C6592,3,0)</f>
        <v>saúva</v>
      </c>
    </row>
    <row r="6194">
      <c r="A6194" s="3">
        <v>45701.0</v>
      </c>
      <c r="B6194" s="4">
        <v>0.27569444444444446</v>
      </c>
      <c r="C6194" s="5" t="s">
        <v>26</v>
      </c>
      <c r="D6194" s="5" t="s">
        <v>1170</v>
      </c>
      <c r="E6194" s="8" t="s">
        <v>65</v>
      </c>
      <c r="F6194" s="5" t="s">
        <v>66</v>
      </c>
      <c r="G6194" s="6" t="str">
        <f>VLOOKUP(E6194,dicionario!$A$1:$C6593,2,0)</f>
        <v>Pitangus sulphutarus</v>
      </c>
      <c r="H6194" s="6" t="str">
        <f>VLOOKUP(E6194,dicionario!$A$1:$C6593,3,0)</f>
        <v>bem-te-vi</v>
      </c>
    </row>
    <row r="6195">
      <c r="A6195" s="3">
        <v>45701.0</v>
      </c>
      <c r="B6195" s="4">
        <v>0.27569444444444446</v>
      </c>
      <c r="C6195" s="5" t="s">
        <v>26</v>
      </c>
      <c r="D6195" s="5" t="s">
        <v>1170</v>
      </c>
      <c r="E6195" s="8" t="s">
        <v>378</v>
      </c>
      <c r="F6195" s="5" t="s">
        <v>205</v>
      </c>
      <c r="G6195" s="6" t="str">
        <f>VLOOKUP(E6195,dicionario!$A$1:$C6594,2,0)</f>
        <v>Polistes</v>
      </c>
      <c r="H6195" s="6" t="str">
        <f>VLOOKUP(E6195,dicionario!$A$1:$C6594,3,0)</f>
        <v>marimbondo</v>
      </c>
    </row>
    <row r="6196">
      <c r="A6196" s="3">
        <v>45701.0</v>
      </c>
      <c r="B6196" s="4">
        <v>0.27569444444444446</v>
      </c>
      <c r="C6196" s="5" t="s">
        <v>26</v>
      </c>
      <c r="D6196" s="5" t="s">
        <v>1170</v>
      </c>
      <c r="E6196" s="8" t="s">
        <v>935</v>
      </c>
      <c r="F6196" s="5" t="s">
        <v>936</v>
      </c>
      <c r="G6196" s="6" t="str">
        <f>VLOOKUP(E6196,dicionario!$A$1:$C6595,2,0)</f>
        <v>#N/A</v>
      </c>
      <c r="H6196" s="6" t="str">
        <f>VLOOKUP(E6196,dicionario!$A$1:$C6595,3,0)</f>
        <v>#N/A</v>
      </c>
    </row>
    <row r="6197">
      <c r="A6197" s="3">
        <v>45701.0</v>
      </c>
      <c r="B6197" s="4">
        <v>0.2763888888888889</v>
      </c>
      <c r="C6197" s="5" t="s">
        <v>26</v>
      </c>
      <c r="D6197" s="5" t="s">
        <v>1170</v>
      </c>
      <c r="E6197" s="8" t="s">
        <v>253</v>
      </c>
      <c r="F6197" s="5" t="s">
        <v>254</v>
      </c>
      <c r="G6197" s="6" t="str">
        <f>VLOOKUP(E6197,dicionario!$A$1:$C6596,2,0)</f>
        <v>Panicum maximum</v>
      </c>
      <c r="H6197" s="6" t="str">
        <f>VLOOKUP(E6197,dicionario!$A$1:$C6596,3,0)</f>
        <v>capim-colonião</v>
      </c>
    </row>
    <row r="6198">
      <c r="A6198" s="3">
        <v>45701.0</v>
      </c>
      <c r="B6198" s="4">
        <v>0.2763888888888889</v>
      </c>
      <c r="C6198" s="5" t="s">
        <v>26</v>
      </c>
      <c r="D6198" s="5" t="s">
        <v>1170</v>
      </c>
      <c r="E6198" s="8" t="s">
        <v>366</v>
      </c>
      <c r="F6198" s="5" t="s">
        <v>367</v>
      </c>
      <c r="G6198" s="6" t="str">
        <f>VLOOKUP(E6198,dicionario!$A$1:$C6597,2,0)</f>
        <v>Alternanthera ficoidea</v>
      </c>
      <c r="H6198" s="6" t="str">
        <f>VLOOKUP(E6198,dicionario!$A$1:$C6597,3,0)</f>
        <v>quebra-panela</v>
      </c>
    </row>
    <row r="6199">
      <c r="A6199" s="3">
        <v>45701.0</v>
      </c>
      <c r="B6199" s="4">
        <v>0.2763888888888889</v>
      </c>
      <c r="C6199" s="5" t="s">
        <v>26</v>
      </c>
      <c r="D6199" s="5" t="s">
        <v>1170</v>
      </c>
      <c r="E6199" s="6" t="s">
        <v>450</v>
      </c>
      <c r="F6199" s="5" t="s">
        <v>921</v>
      </c>
      <c r="G6199" s="6" t="str">
        <f>VLOOKUP(E6199,dicionario!$A$1:$C6598,2,0)</f>
        <v>#N/A</v>
      </c>
      <c r="H6199" s="6" t="str">
        <f>VLOOKUP(E6199,dicionario!$A$1:$C6598,3,0)</f>
        <v>#N/A</v>
      </c>
    </row>
    <row r="6200">
      <c r="A6200" s="3">
        <v>45701.0</v>
      </c>
      <c r="B6200" s="4">
        <v>0.27708333333333335</v>
      </c>
      <c r="C6200" s="5" t="s">
        <v>26</v>
      </c>
      <c r="D6200" s="5" t="s">
        <v>1170</v>
      </c>
      <c r="E6200" s="8" t="s">
        <v>319</v>
      </c>
      <c r="F6200" s="5" t="s">
        <v>320</v>
      </c>
      <c r="G6200" s="6" t="str">
        <f>VLOOKUP(E6200,dicionario!$A$1:$C6599,2,0)</f>
        <v>Schinus terebinthifolia</v>
      </c>
      <c r="H6200" s="6" t="str">
        <f>VLOOKUP(E6200,dicionario!$A$1:$C6599,3,0)</f>
        <v>aroeira</v>
      </c>
    </row>
    <row r="6201">
      <c r="A6201" s="3">
        <v>45701.0</v>
      </c>
      <c r="B6201" s="4">
        <v>0.2777777777777778</v>
      </c>
      <c r="C6201" s="5" t="s">
        <v>26</v>
      </c>
      <c r="D6201" s="5" t="s">
        <v>1170</v>
      </c>
      <c r="E6201" s="8" t="s">
        <v>1131</v>
      </c>
      <c r="F6201" s="5" t="s">
        <v>1132</v>
      </c>
      <c r="G6201" s="6" t="str">
        <f>VLOOKUP(E6201,dicionario!$A$1:$C6600,2,0)</f>
        <v>#N/A</v>
      </c>
      <c r="H6201" s="6" t="str">
        <f>VLOOKUP(E6201,dicionario!$A$1:$C6600,3,0)</f>
        <v>#N/A</v>
      </c>
    </row>
    <row r="6202">
      <c r="A6202" s="3">
        <v>45701.0</v>
      </c>
      <c r="B6202" s="4">
        <v>0.2777777777777778</v>
      </c>
      <c r="C6202" s="5" t="s">
        <v>26</v>
      </c>
      <c r="D6202" s="5" t="s">
        <v>1170</v>
      </c>
      <c r="E6202" s="8" t="s">
        <v>109</v>
      </c>
      <c r="F6202" s="5" t="s">
        <v>110</v>
      </c>
      <c r="G6202" s="6" t="str">
        <f>VLOOKUP(E6202,dicionario!$A$1:$C6601,2,0)</f>
        <v>Tillandsia stricta</v>
      </c>
      <c r="H6202" s="6" t="str">
        <f>VLOOKUP(E6202,dicionario!$A$1:$C6601,3,0)</f>
        <v>cravo-do-mato</v>
      </c>
    </row>
    <row r="6203">
      <c r="A6203" s="3">
        <v>45701.0</v>
      </c>
      <c r="B6203" s="4">
        <v>0.2777777777777778</v>
      </c>
      <c r="C6203" s="5" t="s">
        <v>26</v>
      </c>
      <c r="D6203" s="5" t="s">
        <v>1170</v>
      </c>
      <c r="E6203" s="8" t="s">
        <v>225</v>
      </c>
      <c r="F6203" s="5" t="s">
        <v>226</v>
      </c>
      <c r="G6203" s="6" t="str">
        <f>VLOOKUP(E6203,dicionario!$A$1:$C6602,2,0)</f>
        <v>Passer domesticus</v>
      </c>
      <c r="H6203" s="6" t="str">
        <f>VLOOKUP(E6203,dicionario!$A$1:$C6602,3,0)</f>
        <v>pardal</v>
      </c>
    </row>
    <row r="6204">
      <c r="A6204" s="3">
        <v>45701.0</v>
      </c>
      <c r="B6204" s="4">
        <v>0.2791666666666667</v>
      </c>
      <c r="C6204" s="5" t="s">
        <v>26</v>
      </c>
      <c r="D6204" s="5" t="s">
        <v>1170</v>
      </c>
      <c r="E6204" s="8" t="s">
        <v>368</v>
      </c>
      <c r="F6204" s="5" t="s">
        <v>35</v>
      </c>
      <c r="G6204" s="6" t="str">
        <f>VLOOKUP(E6204,dicionario!$A$1:$C6603,2,0)</f>
        <v>#N/A</v>
      </c>
      <c r="H6204" s="6" t="str">
        <f>VLOOKUP(E6204,dicionario!$A$1:$C6603,3,0)</f>
        <v>#N/A</v>
      </c>
    </row>
    <row r="6205">
      <c r="A6205" s="3">
        <v>45701.0</v>
      </c>
      <c r="B6205" s="4">
        <v>0.2791666666666667</v>
      </c>
      <c r="C6205" s="5" t="s">
        <v>26</v>
      </c>
      <c r="D6205" s="5" t="s">
        <v>1170</v>
      </c>
      <c r="E6205" s="6" t="s">
        <v>616</v>
      </c>
      <c r="F6205" s="5" t="s">
        <v>617</v>
      </c>
      <c r="G6205" s="6" t="str">
        <f>VLOOKUP(E6205,dicionario!$A$1:$C6604,2,0)</f>
        <v>#N/A</v>
      </c>
      <c r="H6205" s="6" t="str">
        <f>VLOOKUP(E6205,dicionario!$A$1:$C6604,3,0)</f>
        <v>#N/A</v>
      </c>
    </row>
    <row r="6206">
      <c r="A6206" s="3">
        <v>45701.0</v>
      </c>
      <c r="B6206" s="4">
        <v>0.2791666666666667</v>
      </c>
      <c r="C6206" s="5" t="s">
        <v>26</v>
      </c>
      <c r="D6206" s="5" t="s">
        <v>1170</v>
      </c>
      <c r="E6206" s="8" t="s">
        <v>243</v>
      </c>
      <c r="F6206" s="5" t="s">
        <v>244</v>
      </c>
      <c r="G6206" s="6" t="str">
        <f>VLOOKUP(E6206,dicionario!$A$1:$C6605,2,0)</f>
        <v>Macroptilium atropurpureum</v>
      </c>
      <c r="H6206" s="6" t="str">
        <f>VLOOKUP(E6206,dicionario!$A$1:$C6605,3,0)</f>
        <v>feijão-de-pombo</v>
      </c>
    </row>
    <row r="6207">
      <c r="A6207" s="3">
        <v>45701.0</v>
      </c>
      <c r="B6207" s="4">
        <v>0.2791666666666667</v>
      </c>
      <c r="C6207" s="5" t="s">
        <v>26</v>
      </c>
      <c r="D6207" s="5" t="s">
        <v>1170</v>
      </c>
      <c r="E6207" s="6" t="s">
        <v>245</v>
      </c>
      <c r="F6207" s="5" t="s">
        <v>246</v>
      </c>
      <c r="G6207" s="6" t="str">
        <f>VLOOKUP(E6207,dicionario!$A$1:$C6606,2,0)</f>
        <v>Hemiargus hanno</v>
      </c>
      <c r="H6207" s="6" t="str">
        <f>VLOOKUP(E6207,dicionario!$A$1:$C6606,3,0)</f>
        <v>borboleta-azulzinha-do-trevo</v>
      </c>
    </row>
    <row r="6208">
      <c r="A6208" s="3">
        <v>45701.0</v>
      </c>
      <c r="B6208" s="4">
        <v>0.2791666666666667</v>
      </c>
      <c r="C6208" s="5" t="s">
        <v>26</v>
      </c>
      <c r="D6208" s="5" t="s">
        <v>1170</v>
      </c>
      <c r="E6208" s="8" t="s">
        <v>247</v>
      </c>
      <c r="F6208" s="5" t="s">
        <v>387</v>
      </c>
      <c r="G6208" s="6" t="str">
        <f>VLOOKUP(E6208,dicionario!$A$1:$C6607,2,0)</f>
        <v>Emilia sonchifolia</v>
      </c>
      <c r="H6208" s="6" t="str">
        <f>VLOOKUP(E6208,dicionario!$A$1:$C6607,3,0)</f>
        <v>serralinha</v>
      </c>
    </row>
    <row r="6209">
      <c r="A6209" s="3">
        <v>45701.0</v>
      </c>
      <c r="B6209" s="4">
        <v>0.2791666666666667</v>
      </c>
      <c r="C6209" s="5" t="s">
        <v>26</v>
      </c>
      <c r="D6209" s="5" t="s">
        <v>1170</v>
      </c>
      <c r="E6209" s="8" t="s">
        <v>135</v>
      </c>
      <c r="F6209" s="5" t="s">
        <v>136</v>
      </c>
      <c r="G6209" s="6" t="str">
        <f>VLOOKUP(E6209,dicionario!$A$1:$C6608,2,0)</f>
        <v>Tridax procumbens</v>
      </c>
      <c r="H6209" s="6" t="str">
        <f>VLOOKUP(E6209,dicionario!$A$1:$C6608,3,0)</f>
        <v>erva-de-touro</v>
      </c>
    </row>
    <row r="6210">
      <c r="A6210" s="3">
        <v>45701.0</v>
      </c>
      <c r="B6210" s="4">
        <v>0.2791666666666667</v>
      </c>
      <c r="C6210" s="5" t="s">
        <v>26</v>
      </c>
      <c r="D6210" s="5" t="s">
        <v>1170</v>
      </c>
      <c r="E6210" s="8" t="s">
        <v>144</v>
      </c>
      <c r="F6210" s="5" t="s">
        <v>145</v>
      </c>
      <c r="G6210" s="6" t="str">
        <f>VLOOKUP(E6210,dicionario!$A$1:$C6609,2,0)</f>
        <v>Gomphrena globosa</v>
      </c>
      <c r="H6210" s="6" t="str">
        <f>VLOOKUP(E6210,dicionario!$A$1:$C6609,3,0)</f>
        <v>perpétua-rosa</v>
      </c>
    </row>
    <row r="6211">
      <c r="A6211" s="3">
        <v>45701.0</v>
      </c>
      <c r="B6211" s="4">
        <v>0.2826388888888889</v>
      </c>
      <c r="C6211" s="5" t="s">
        <v>33</v>
      </c>
      <c r="D6211" s="5" t="s">
        <v>1170</v>
      </c>
      <c r="E6211" s="8" t="s">
        <v>251</v>
      </c>
      <c r="F6211" s="5" t="s">
        <v>252</v>
      </c>
      <c r="G6211" s="6" t="str">
        <f>VLOOKUP(E6211,dicionario!$A$1:$C6610,2,0)</f>
        <v>Struthanthus flexicaulis</v>
      </c>
      <c r="H6211" s="6" t="str">
        <f>VLOOKUP(E6211,dicionario!$A$1:$C6610,3,0)</f>
        <v>erva-de-passarinho</v>
      </c>
    </row>
    <row r="6212">
      <c r="A6212" s="3">
        <v>45701.0</v>
      </c>
      <c r="B6212" s="4">
        <v>0.2826388888888889</v>
      </c>
      <c r="C6212" s="5" t="s">
        <v>33</v>
      </c>
      <c r="D6212" s="5" t="s">
        <v>1170</v>
      </c>
      <c r="E6212" s="8" t="s">
        <v>247</v>
      </c>
      <c r="F6212" s="7" t="s">
        <v>272</v>
      </c>
      <c r="G6212" s="6" t="str">
        <f>VLOOKUP(E6212,dicionario!$A$1:$C6611,2,0)</f>
        <v>Emilia sonchifolia</v>
      </c>
      <c r="H6212" s="6" t="str">
        <f>VLOOKUP(E6212,dicionario!$A$1:$C6611,3,0)</f>
        <v>serralinha</v>
      </c>
    </row>
    <row r="6213">
      <c r="A6213" s="3">
        <v>45701.0</v>
      </c>
      <c r="B6213" s="4">
        <v>0.2826388888888889</v>
      </c>
      <c r="C6213" s="5" t="s">
        <v>33</v>
      </c>
      <c r="D6213" s="5" t="s">
        <v>1170</v>
      </c>
      <c r="E6213" s="8" t="s">
        <v>109</v>
      </c>
      <c r="F6213" s="5" t="s">
        <v>110</v>
      </c>
      <c r="G6213" s="6" t="str">
        <f>VLOOKUP(E6213,dicionario!$A$1:$C6612,2,0)</f>
        <v>Tillandsia stricta</v>
      </c>
      <c r="H6213" s="6" t="str">
        <f>VLOOKUP(E6213,dicionario!$A$1:$C6612,3,0)</f>
        <v>cravo-do-mato</v>
      </c>
    </row>
    <row r="6214">
      <c r="A6214" s="3">
        <v>45701.0</v>
      </c>
      <c r="B6214" s="4">
        <v>0.2826388888888889</v>
      </c>
      <c r="C6214" s="5" t="s">
        <v>33</v>
      </c>
      <c r="D6214" s="5" t="s">
        <v>1170</v>
      </c>
      <c r="E6214" s="8" t="s">
        <v>1173</v>
      </c>
      <c r="F6214" s="5" t="s">
        <v>1174</v>
      </c>
      <c r="G6214" s="6" t="str">
        <f>VLOOKUP(E6214,dicionario!$A$1:$C6613,2,0)</f>
        <v>#N/A</v>
      </c>
      <c r="H6214" s="6" t="str">
        <f>VLOOKUP(E6214,dicionario!$A$1:$C6613,3,0)</f>
        <v>#N/A</v>
      </c>
    </row>
    <row r="6215">
      <c r="A6215" s="3">
        <v>45701.0</v>
      </c>
      <c r="B6215" s="4">
        <v>0.2826388888888889</v>
      </c>
      <c r="C6215" s="5" t="s">
        <v>33</v>
      </c>
      <c r="D6215" s="5" t="s">
        <v>1170</v>
      </c>
      <c r="E6215" s="8" t="s">
        <v>20</v>
      </c>
      <c r="F6215" s="7" t="s">
        <v>21</v>
      </c>
      <c r="G6215" s="6" t="str">
        <f>VLOOKUP(E6215,dicionario!$A$1:$C6614,2,0)</f>
        <v>Sicalis flaveola</v>
      </c>
      <c r="H6215" s="6" t="str">
        <f>VLOOKUP(E6215,dicionario!$A$1:$C6614,3,0)</f>
        <v>canário-da-terra</v>
      </c>
    </row>
    <row r="6216">
      <c r="A6216" s="3">
        <v>45701.0</v>
      </c>
      <c r="B6216" s="4">
        <v>0.2833333333333333</v>
      </c>
      <c r="C6216" s="5" t="s">
        <v>33</v>
      </c>
      <c r="D6216" s="5" t="s">
        <v>1170</v>
      </c>
      <c r="E6216" s="20" t="s">
        <v>676</v>
      </c>
      <c r="F6216" s="7" t="s">
        <v>677</v>
      </c>
      <c r="G6216" s="6" t="str">
        <f>VLOOKUP(E6216,dicionario!$A$1:$C6615,2,0)</f>
        <v>Zornia latifolia</v>
      </c>
      <c r="H6216" s="6" t="str">
        <f>VLOOKUP(E6216,dicionario!$A$1:$C6615,3,0)</f>
        <v>arrozinho-do-campo</v>
      </c>
    </row>
    <row r="6217">
      <c r="A6217" s="3">
        <v>45701.0</v>
      </c>
      <c r="B6217" s="4">
        <v>0.2833333333333333</v>
      </c>
      <c r="C6217" s="5" t="s">
        <v>33</v>
      </c>
      <c r="D6217" s="5" t="s">
        <v>1170</v>
      </c>
      <c r="E6217" s="8" t="s">
        <v>366</v>
      </c>
      <c r="F6217" s="5" t="s">
        <v>367</v>
      </c>
      <c r="G6217" s="6" t="str">
        <f>VLOOKUP(E6217,dicionario!$A$1:$C6616,2,0)</f>
        <v>Alternanthera ficoidea</v>
      </c>
      <c r="H6217" s="6" t="str">
        <f>VLOOKUP(E6217,dicionario!$A$1:$C6616,3,0)</f>
        <v>quebra-panela</v>
      </c>
    </row>
    <row r="6218">
      <c r="A6218" s="3">
        <v>45701.0</v>
      </c>
      <c r="B6218" s="4">
        <v>0.2833333333333333</v>
      </c>
      <c r="C6218" s="5" t="s">
        <v>33</v>
      </c>
      <c r="D6218" s="5" t="s">
        <v>1170</v>
      </c>
      <c r="E6218" s="8" t="s">
        <v>191</v>
      </c>
      <c r="F6218" s="5" t="s">
        <v>192</v>
      </c>
      <c r="G6218" s="6" t="str">
        <f>VLOOKUP(E6218,dicionario!$A$1:$C6617,2,0)</f>
        <v>Patagioenas picazuro</v>
      </c>
      <c r="H6218" s="6" t="str">
        <f>VLOOKUP(E6218,dicionario!$A$1:$C6617,3,0)</f>
        <v>asa-branca; pomba-asa-branca; pocaçu</v>
      </c>
    </row>
    <row r="6219">
      <c r="A6219" s="3">
        <v>45701.0</v>
      </c>
      <c r="B6219" s="4">
        <v>0.2833333333333333</v>
      </c>
      <c r="C6219" s="5" t="s">
        <v>33</v>
      </c>
      <c r="D6219" s="5" t="s">
        <v>1170</v>
      </c>
      <c r="E6219" s="8" t="s">
        <v>286</v>
      </c>
      <c r="F6219" s="5" t="s">
        <v>287</v>
      </c>
      <c r="G6219" s="6" t="str">
        <f>VLOOKUP(E6219,dicionario!$A$1:$C6618,2,0)</f>
        <v>Setaria parviflora</v>
      </c>
      <c r="H6219" s="6" t="str">
        <f>VLOOKUP(E6219,dicionario!$A$1:$C6618,3,0)</f>
        <v>capim-rabo-de-raposa</v>
      </c>
    </row>
    <row r="6220">
      <c r="A6220" s="3">
        <v>45701.0</v>
      </c>
      <c r="B6220" s="4">
        <v>0.2833333333333333</v>
      </c>
      <c r="C6220" s="5" t="s">
        <v>33</v>
      </c>
      <c r="D6220" s="5" t="s">
        <v>1170</v>
      </c>
      <c r="E6220" s="8" t="s">
        <v>14</v>
      </c>
      <c r="F6220" s="5" t="s">
        <v>15</v>
      </c>
      <c r="G6220" s="6" t="str">
        <f>VLOOKUP(E6220,dicionario!$A$1:$C6619,2,0)</f>
        <v>Spermacoce verticillata</v>
      </c>
      <c r="H6220" s="6" t="str">
        <f>VLOOKUP(E6220,dicionario!$A$1:$C6619,3,0)</f>
        <v>vassourinha-de-botão</v>
      </c>
    </row>
    <row r="6221">
      <c r="A6221" s="3">
        <v>45701.0</v>
      </c>
      <c r="B6221" s="4">
        <v>0.2833333333333333</v>
      </c>
      <c r="C6221" s="5" t="s">
        <v>33</v>
      </c>
      <c r="D6221" s="5" t="s">
        <v>1170</v>
      </c>
      <c r="E6221" s="8" t="s">
        <v>886</v>
      </c>
      <c r="F6221" s="5" t="s">
        <v>887</v>
      </c>
      <c r="G6221" s="6" t="str">
        <f>VLOOKUP(E6221,dicionario!$A$1:$C6620,2,0)</f>
        <v>Oldenlandia corymbosa</v>
      </c>
      <c r="H6221" s="6" t="str">
        <f>VLOOKUP(E6221,dicionario!$A$1:$C6620,3,0)</f>
        <v>erva-diamante</v>
      </c>
    </row>
    <row r="6222">
      <c r="A6222" s="3">
        <v>45701.0</v>
      </c>
      <c r="B6222" s="4">
        <v>0.2833333333333333</v>
      </c>
      <c r="C6222" s="5" t="s">
        <v>33</v>
      </c>
      <c r="D6222" s="5" t="s">
        <v>1170</v>
      </c>
      <c r="E6222" s="8" t="s">
        <v>258</v>
      </c>
      <c r="F6222" s="5" t="s">
        <v>259</v>
      </c>
      <c r="G6222" s="6" t="str">
        <f>VLOOKUP(E6222,dicionario!$A$1:$C6621,2,0)</f>
        <v>Lantana camara</v>
      </c>
      <c r="H6222" s="6" t="str">
        <f>VLOOKUP(E6222,dicionario!$A$1:$C6621,3,0)</f>
        <v>lantana</v>
      </c>
    </row>
    <row r="6223">
      <c r="A6223" s="3">
        <v>45701.0</v>
      </c>
      <c r="B6223" s="4">
        <v>0.28402777777777777</v>
      </c>
      <c r="C6223" s="5" t="s">
        <v>33</v>
      </c>
      <c r="D6223" s="5" t="s">
        <v>1170</v>
      </c>
      <c r="E6223" s="8" t="s">
        <v>247</v>
      </c>
      <c r="F6223" s="5" t="s">
        <v>387</v>
      </c>
      <c r="G6223" s="6" t="str">
        <f>VLOOKUP(E6223,dicionario!$A$1:$C6622,2,0)</f>
        <v>Emilia sonchifolia</v>
      </c>
      <c r="H6223" s="6" t="str">
        <f>VLOOKUP(E6223,dicionario!$A$1:$C6622,3,0)</f>
        <v>serralinha</v>
      </c>
    </row>
    <row r="6224">
      <c r="A6224" s="3">
        <v>45701.0</v>
      </c>
      <c r="B6224" s="4">
        <v>0.28402777777777777</v>
      </c>
      <c r="C6224" s="5" t="s">
        <v>33</v>
      </c>
      <c r="D6224" s="5" t="s">
        <v>1170</v>
      </c>
      <c r="E6224" s="6" t="s">
        <v>122</v>
      </c>
      <c r="F6224" s="7" t="s">
        <v>123</v>
      </c>
      <c r="G6224" s="6" t="str">
        <f>VLOOKUP(E6224,dicionario!$A$1:$C6623,2,0)</f>
        <v>Todirostrum cinereum</v>
      </c>
      <c r="H6224" s="6" t="str">
        <f>VLOOKUP(E6224,dicionario!$A$1:$C6623,3,0)</f>
        <v>ferreirinho-relógio</v>
      </c>
    </row>
    <row r="6225">
      <c r="A6225" s="3">
        <v>45701.0</v>
      </c>
      <c r="B6225" s="4">
        <v>0.28402777777777777</v>
      </c>
      <c r="C6225" s="5" t="s">
        <v>33</v>
      </c>
      <c r="D6225" s="5" t="s">
        <v>1170</v>
      </c>
      <c r="E6225" s="8" t="s">
        <v>378</v>
      </c>
      <c r="F6225" s="5" t="s">
        <v>205</v>
      </c>
      <c r="G6225" s="6" t="str">
        <f>VLOOKUP(E6225,dicionario!$A$1:$C6624,2,0)</f>
        <v>Polistes</v>
      </c>
      <c r="H6225" s="6" t="str">
        <f>VLOOKUP(E6225,dicionario!$A$1:$C6624,3,0)</f>
        <v>marimbondo</v>
      </c>
    </row>
    <row r="6226">
      <c r="A6226" s="3">
        <v>45701.0</v>
      </c>
      <c r="B6226" s="4">
        <v>0.28402777777777777</v>
      </c>
      <c r="C6226" s="5" t="s">
        <v>33</v>
      </c>
      <c r="D6226" s="5" t="s">
        <v>1170</v>
      </c>
      <c r="E6226" s="8" t="s">
        <v>483</v>
      </c>
      <c r="F6226" s="5" t="s">
        <v>289</v>
      </c>
      <c r="G6226" s="6" t="str">
        <f>VLOOKUP(E6226,dicionario!$A$1:$C6625,2,0)</f>
        <v>Euphorbia prostrata</v>
      </c>
      <c r="H6226" s="6" t="str">
        <f>VLOOKUP(E6226,dicionario!$A$1:$C6625,3,0)</f>
        <v>quebra-pedra-rasteira</v>
      </c>
    </row>
    <row r="6227">
      <c r="A6227" s="3">
        <v>45701.0</v>
      </c>
      <c r="B6227" s="4">
        <v>0.2847222222222222</v>
      </c>
      <c r="C6227" s="5" t="s">
        <v>33</v>
      </c>
      <c r="D6227" s="5" t="s">
        <v>1170</v>
      </c>
      <c r="E6227" s="8" t="s">
        <v>227</v>
      </c>
      <c r="F6227" s="5" t="s">
        <v>228</v>
      </c>
      <c r="G6227" s="6" t="str">
        <f>VLOOKUP(E6227,dicionario!$A$1:$C6626,2,0)</f>
        <v>Indigofera hirsuta</v>
      </c>
      <c r="H6227" s="6" t="str">
        <f>VLOOKUP(E6227,dicionario!$A$1:$C6626,3,0)</f>
        <v>anileira</v>
      </c>
    </row>
    <row r="6228">
      <c r="A6228" s="3">
        <v>45701.0</v>
      </c>
      <c r="B6228" s="4">
        <v>0.2847222222222222</v>
      </c>
      <c r="C6228" s="5" t="s">
        <v>33</v>
      </c>
      <c r="D6228" s="5" t="s">
        <v>1170</v>
      </c>
      <c r="E6228" s="8" t="s">
        <v>1064</v>
      </c>
      <c r="F6228" s="5" t="s">
        <v>603</v>
      </c>
      <c r="G6228" s="6" t="str">
        <f>VLOOKUP(E6228,dicionario!$A$1:$C6627,2,0)</f>
        <v>#N/A</v>
      </c>
      <c r="H6228" s="6" t="str">
        <f>VLOOKUP(E6228,dicionario!$A$1:$C6627,3,0)</f>
        <v>#N/A</v>
      </c>
    </row>
    <row r="6229">
      <c r="A6229" s="3">
        <v>45701.0</v>
      </c>
      <c r="B6229" s="4">
        <v>0.2847222222222222</v>
      </c>
      <c r="C6229" s="5" t="s">
        <v>33</v>
      </c>
      <c r="D6229" s="5" t="s">
        <v>1170</v>
      </c>
      <c r="E6229" s="8" t="s">
        <v>368</v>
      </c>
      <c r="F6229" s="5" t="s">
        <v>35</v>
      </c>
      <c r="G6229" s="6" t="str">
        <f>VLOOKUP(E6229,dicionario!$A$1:$C6628,2,0)</f>
        <v>#N/A</v>
      </c>
      <c r="H6229" s="6" t="str">
        <f>VLOOKUP(E6229,dicionario!$A$1:$C6628,3,0)</f>
        <v>#N/A</v>
      </c>
    </row>
    <row r="6230">
      <c r="A6230" s="3">
        <v>45701.0</v>
      </c>
      <c r="B6230" s="4">
        <v>0.28541666666666665</v>
      </c>
      <c r="C6230" s="5" t="s">
        <v>33</v>
      </c>
      <c r="D6230" s="5" t="s">
        <v>1170</v>
      </c>
      <c r="E6230" s="8" t="s">
        <v>405</v>
      </c>
      <c r="F6230" s="5" t="s">
        <v>852</v>
      </c>
      <c r="G6230" s="6" t="str">
        <f>VLOOKUP(E6230,dicionario!$A$1:$C6629,2,0)</f>
        <v>Ectatomma</v>
      </c>
      <c r="H6230" s="6" t="str">
        <f>VLOOKUP(E6230,dicionario!$A$1:$C6629,3,0)</f>
        <v>formiga-preta</v>
      </c>
    </row>
    <row r="6231">
      <c r="A6231" s="3">
        <v>45701.0</v>
      </c>
      <c r="B6231" s="4">
        <v>0.28541666666666665</v>
      </c>
      <c r="C6231" s="5" t="s">
        <v>33</v>
      </c>
      <c r="D6231" s="5" t="s">
        <v>1170</v>
      </c>
      <c r="E6231" s="8" t="s">
        <v>175</v>
      </c>
      <c r="F6231" s="5" t="s">
        <v>176</v>
      </c>
      <c r="G6231" s="6" t="str">
        <f>VLOOKUP(E6231,dicionario!$A$1:$C6630,2,0)</f>
        <v>Turdus leucomelas</v>
      </c>
      <c r="H6231" s="6" t="str">
        <f>VLOOKUP(E6231,dicionario!$A$1:$C6630,3,0)</f>
        <v>sabiá-barranco</v>
      </c>
    </row>
    <row r="6232">
      <c r="A6232" s="3">
        <v>45701.0</v>
      </c>
      <c r="B6232" s="4">
        <v>0.28541666666666665</v>
      </c>
      <c r="C6232" s="5" t="s">
        <v>33</v>
      </c>
      <c r="D6232" s="5" t="s">
        <v>1170</v>
      </c>
      <c r="E6232" s="8" t="s">
        <v>113</v>
      </c>
      <c r="F6232" s="5" t="s">
        <v>114</v>
      </c>
      <c r="G6232" s="6" t="str">
        <f>VLOOKUP(E6232,dicionario!$A$1:$C6631,2,0)</f>
        <v>Columbina talpacoti</v>
      </c>
      <c r="H6232" s="6" t="str">
        <f>VLOOKUP(E6232,dicionario!$A$1:$C6631,3,0)</f>
        <v>rolinha-roxa</v>
      </c>
    </row>
    <row r="6233">
      <c r="A6233" s="3">
        <v>45701.0</v>
      </c>
      <c r="B6233" s="4">
        <v>0.28541666666666665</v>
      </c>
      <c r="C6233" s="5" t="s">
        <v>33</v>
      </c>
      <c r="D6233" s="5" t="s">
        <v>1170</v>
      </c>
      <c r="E6233" s="8" t="s">
        <v>1084</v>
      </c>
      <c r="F6233" s="5" t="s">
        <v>224</v>
      </c>
      <c r="G6233" s="6" t="str">
        <f>VLOOKUP(E6233,dicionario!$A$1:$C6632,2,0)</f>
        <v>#N/A</v>
      </c>
      <c r="H6233" s="6" t="str">
        <f>VLOOKUP(E6233,dicionario!$A$1:$C6632,3,0)</f>
        <v>#N/A</v>
      </c>
    </row>
    <row r="6234">
      <c r="A6234" s="3">
        <v>45701.0</v>
      </c>
      <c r="B6234" s="4">
        <v>0.28541666666666665</v>
      </c>
      <c r="C6234" s="5" t="s">
        <v>33</v>
      </c>
      <c r="D6234" s="5" t="s">
        <v>1170</v>
      </c>
      <c r="E6234" s="8" t="s">
        <v>46</v>
      </c>
      <c r="F6234" s="5" t="s">
        <v>47</v>
      </c>
      <c r="G6234" s="6" t="str">
        <f>VLOOKUP(E6234,dicionario!$A$1:$C6633,2,0)</f>
        <v>Chionomesa fimbriata</v>
      </c>
      <c r="H6234" s="6" t="str">
        <f>VLOOKUP(E6234,dicionario!$A$1:$C6633,3,0)</f>
        <v>beija-flor-de-garganta-verde</v>
      </c>
    </row>
    <row r="6235">
      <c r="A6235" s="3">
        <v>45701.0</v>
      </c>
      <c r="B6235" s="4">
        <v>0.28541666666666665</v>
      </c>
      <c r="C6235" s="5" t="s">
        <v>33</v>
      </c>
      <c r="D6235" s="5" t="s">
        <v>1170</v>
      </c>
      <c r="E6235" s="8" t="s">
        <v>471</v>
      </c>
      <c r="F6235" s="5" t="s">
        <v>472</v>
      </c>
      <c r="G6235" s="6" t="str">
        <f>VLOOKUP(E6235,dicionario!$A$1:$C6634,2,0)</f>
        <v>Sida acuta</v>
      </c>
      <c r="H6235" s="6" t="str">
        <f>VLOOKUP(E6235,dicionario!$A$1:$C6634,3,0)</f>
        <v>reloginho</v>
      </c>
    </row>
    <row r="6236">
      <c r="A6236" s="3">
        <v>45701.0</v>
      </c>
      <c r="B6236" s="4">
        <v>0.28680555555555554</v>
      </c>
      <c r="C6236" s="5" t="s">
        <v>33</v>
      </c>
      <c r="D6236" s="5" t="s">
        <v>1170</v>
      </c>
      <c r="E6236" s="8" t="s">
        <v>86</v>
      </c>
      <c r="F6236" s="5" t="s">
        <v>502</v>
      </c>
      <c r="G6236" s="6" t="str">
        <f>VLOOKUP(E6236,dicionario!$A$1:$C6635,2,0)</f>
        <v>Coereba flaveola</v>
      </c>
      <c r="H6236" s="6" t="str">
        <f>VLOOKUP(E6236,dicionario!$A$1:$C6635,3,0)</f>
        <v>cambacica</v>
      </c>
    </row>
    <row r="6237">
      <c r="A6237" s="3">
        <v>45701.0</v>
      </c>
      <c r="B6237" s="4">
        <v>0.28680555555555554</v>
      </c>
      <c r="C6237" s="5" t="s">
        <v>33</v>
      </c>
      <c r="D6237" s="5" t="s">
        <v>1170</v>
      </c>
      <c r="E6237" s="8" t="s">
        <v>251</v>
      </c>
      <c r="F6237" s="5" t="s">
        <v>252</v>
      </c>
      <c r="G6237" s="6" t="str">
        <f>VLOOKUP(E6237,dicionario!$A$1:$C6636,2,0)</f>
        <v>Struthanthus flexicaulis</v>
      </c>
      <c r="H6237" s="6" t="str">
        <f>VLOOKUP(E6237,dicionario!$A$1:$C6636,3,0)</f>
        <v>erva-de-passarinho</v>
      </c>
    </row>
    <row r="6238">
      <c r="A6238" s="3">
        <v>45701.0</v>
      </c>
      <c r="B6238" s="4">
        <v>0.2875</v>
      </c>
      <c r="C6238" s="5" t="s">
        <v>33</v>
      </c>
      <c r="D6238" s="5" t="s">
        <v>1170</v>
      </c>
      <c r="E6238" s="8" t="s">
        <v>53</v>
      </c>
      <c r="F6238" s="7" t="s">
        <v>54</v>
      </c>
      <c r="G6238" s="6" t="str">
        <f>VLOOKUP(E6238,dicionario!$A$1:$C6637,2,0)</f>
        <v>Turnera subulata</v>
      </c>
      <c r="H6238" s="6" t="str">
        <f>VLOOKUP(E6238,dicionario!$A$1:$C6637,3,0)</f>
        <v>xanana</v>
      </c>
    </row>
    <row r="6239">
      <c r="A6239" s="3">
        <v>45701.0</v>
      </c>
      <c r="B6239" s="4">
        <v>0.2875</v>
      </c>
      <c r="C6239" s="5" t="s">
        <v>33</v>
      </c>
      <c r="D6239" s="5" t="s">
        <v>1170</v>
      </c>
      <c r="E6239" s="8" t="s">
        <v>51</v>
      </c>
      <c r="F6239" s="5" t="s">
        <v>77</v>
      </c>
      <c r="G6239" s="6" t="str">
        <f>VLOOKUP(E6239,dicionario!$A$1:$C6638,2,0)</f>
        <v>Solenopsis</v>
      </c>
      <c r="H6239" s="6" t="str">
        <f>VLOOKUP(E6239,dicionario!$A$1:$C6638,3,0)</f>
        <v>formiga-quente; formiga-lava-pés; formiga-de-fogo</v>
      </c>
    </row>
    <row r="6240">
      <c r="A6240" s="3">
        <v>45701.0</v>
      </c>
      <c r="B6240" s="4">
        <v>0.2875</v>
      </c>
      <c r="C6240" s="5" t="s">
        <v>33</v>
      </c>
      <c r="D6240" s="5" t="s">
        <v>1170</v>
      </c>
      <c r="E6240" s="8" t="s">
        <v>38</v>
      </c>
      <c r="F6240" s="5" t="s">
        <v>39</v>
      </c>
      <c r="G6240" s="6" t="str">
        <f>VLOOKUP(E6240,dicionario!$A$1:$C6639,2,0)</f>
        <v>Troglodytes musculus</v>
      </c>
      <c r="H6240" s="6" t="str">
        <f>VLOOKUP(E6240,dicionario!$A$1:$C6639,3,0)</f>
        <v>curruíra</v>
      </c>
    </row>
    <row r="6241">
      <c r="A6241" s="3">
        <v>45701.0</v>
      </c>
      <c r="B6241" s="4">
        <v>0.2881944444444444</v>
      </c>
      <c r="C6241" s="5" t="s">
        <v>33</v>
      </c>
      <c r="D6241" s="5" t="s">
        <v>1170</v>
      </c>
      <c r="E6241" s="8" t="s">
        <v>498</v>
      </c>
      <c r="F6241" s="5" t="s">
        <v>899</v>
      </c>
      <c r="G6241" s="6" t="str">
        <f>VLOOKUP(E6241,dicionario!$A$1:$C6640,2,0)</f>
        <v>Brachiaria decumbens</v>
      </c>
      <c r="H6241" s="6" t="str">
        <f>VLOOKUP(E6241,dicionario!$A$1:$C6640,3,0)</f>
        <v>capim-braquiária</v>
      </c>
    </row>
    <row r="6242">
      <c r="A6242" s="3">
        <v>45701.0</v>
      </c>
      <c r="B6242" s="4">
        <v>0.2881944444444444</v>
      </c>
      <c r="C6242" s="5" t="s">
        <v>33</v>
      </c>
      <c r="D6242" s="5" t="s">
        <v>1170</v>
      </c>
      <c r="E6242" s="8" t="s">
        <v>296</v>
      </c>
      <c r="F6242" s="5" t="s">
        <v>297</v>
      </c>
      <c r="G6242" s="6" t="str">
        <f>VLOOKUP(E6242,dicionario!$A$1:$C6641,2,0)</f>
        <v>Richardia brasiliensis</v>
      </c>
      <c r="H6242" s="6" t="str">
        <f>VLOOKUP(E6242,dicionario!$A$1:$C6641,3,0)</f>
        <v>poaia-branca</v>
      </c>
    </row>
    <row r="6243">
      <c r="A6243" s="3">
        <v>45701.0</v>
      </c>
      <c r="B6243" s="4">
        <v>0.2881944444444444</v>
      </c>
      <c r="C6243" s="5" t="s">
        <v>33</v>
      </c>
      <c r="D6243" s="5" t="s">
        <v>1170</v>
      </c>
      <c r="E6243" s="8" t="s">
        <v>355</v>
      </c>
      <c r="F6243" s="5" t="s">
        <v>356</v>
      </c>
      <c r="G6243" s="6" t="str">
        <f>VLOOKUP(E6243,dicionario!$A$1:$C6642,2,0)</f>
        <v>Boerhavia diffusa</v>
      </c>
      <c r="H6243" s="6" t="str">
        <f>VLOOKUP(E6243,dicionario!$A$1:$C6642,3,0)</f>
        <v>erva-tostão</v>
      </c>
    </row>
    <row r="6244">
      <c r="A6244" s="3">
        <v>45701.0</v>
      </c>
      <c r="B6244" s="4">
        <v>0.28888888888888886</v>
      </c>
      <c r="C6244" s="5" t="s">
        <v>40</v>
      </c>
      <c r="D6244" s="5" t="s">
        <v>1170</v>
      </c>
      <c r="E6244" s="8" t="s">
        <v>338</v>
      </c>
      <c r="F6244" s="5" t="s">
        <v>238</v>
      </c>
      <c r="G6244" s="6" t="str">
        <f>VLOOKUP(E6244,dicionario!$A$1:$C6643,2,0)</f>
        <v>Atta</v>
      </c>
      <c r="H6244" s="6" t="str">
        <f>VLOOKUP(E6244,dicionario!$A$1:$C6643,3,0)</f>
        <v>saúva</v>
      </c>
    </row>
    <row r="6245">
      <c r="A6245" s="3">
        <v>45701.0</v>
      </c>
      <c r="B6245" s="4">
        <v>0.28888888888888886</v>
      </c>
      <c r="C6245" s="5" t="s">
        <v>40</v>
      </c>
      <c r="D6245" s="5" t="s">
        <v>1170</v>
      </c>
      <c r="E6245" s="8" t="s">
        <v>247</v>
      </c>
      <c r="F6245" s="5" t="s">
        <v>387</v>
      </c>
      <c r="G6245" s="6" t="str">
        <f>VLOOKUP(E6245,dicionario!$A$1:$C6644,2,0)</f>
        <v>Emilia sonchifolia</v>
      </c>
      <c r="H6245" s="6" t="str">
        <f>VLOOKUP(E6245,dicionario!$A$1:$C6644,3,0)</f>
        <v>serralinha</v>
      </c>
    </row>
    <row r="6246">
      <c r="A6246" s="3">
        <v>45701.0</v>
      </c>
      <c r="B6246" s="4">
        <v>0.28888888888888886</v>
      </c>
      <c r="C6246" s="5" t="s">
        <v>40</v>
      </c>
      <c r="D6246" s="5" t="s">
        <v>1170</v>
      </c>
      <c r="E6246" s="8" t="s">
        <v>489</v>
      </c>
      <c r="F6246" s="5" t="s">
        <v>521</v>
      </c>
      <c r="G6246" s="6" t="str">
        <f>VLOOKUP(E6246,dicionario!$A$1:$C6645,2,0)</f>
        <v>Cenchrus echinatus</v>
      </c>
      <c r="H6246" s="6" t="str">
        <f>VLOOKUP(E6246,dicionario!$A$1:$C6645,3,0)</f>
        <v>capim-carrapicho</v>
      </c>
    </row>
    <row r="6247">
      <c r="A6247" s="3">
        <v>45701.0</v>
      </c>
      <c r="B6247" s="4">
        <v>0.28958333333333336</v>
      </c>
      <c r="C6247" s="5" t="s">
        <v>40</v>
      </c>
      <c r="D6247" s="5" t="s">
        <v>1170</v>
      </c>
      <c r="E6247" s="8" t="s">
        <v>53</v>
      </c>
      <c r="F6247" s="7" t="s">
        <v>54</v>
      </c>
      <c r="G6247" s="6" t="str">
        <f>VLOOKUP(E6247,dicionario!$A$1:$C6646,2,0)</f>
        <v>Turnera subulata</v>
      </c>
      <c r="H6247" s="6" t="str">
        <f>VLOOKUP(E6247,dicionario!$A$1:$C6646,3,0)</f>
        <v>xanana</v>
      </c>
    </row>
    <row r="6248">
      <c r="A6248" s="3">
        <v>45701.0</v>
      </c>
      <c r="B6248" s="4">
        <v>0.28958333333333336</v>
      </c>
      <c r="C6248" s="5" t="s">
        <v>40</v>
      </c>
      <c r="D6248" s="5" t="s">
        <v>1170</v>
      </c>
      <c r="E6248" s="8" t="s">
        <v>135</v>
      </c>
      <c r="F6248" s="5" t="s">
        <v>136</v>
      </c>
      <c r="G6248" s="6" t="str">
        <f>VLOOKUP(E6248,dicionario!$A$1:$C6647,2,0)</f>
        <v>Tridax procumbens</v>
      </c>
      <c r="H6248" s="6" t="str">
        <f>VLOOKUP(E6248,dicionario!$A$1:$C6647,3,0)</f>
        <v>erva-de-touro</v>
      </c>
    </row>
    <row r="6249">
      <c r="A6249" s="3">
        <v>45701.0</v>
      </c>
      <c r="B6249" s="4">
        <v>0.28958333333333336</v>
      </c>
      <c r="C6249" s="5" t="s">
        <v>40</v>
      </c>
      <c r="D6249" s="5" t="s">
        <v>1170</v>
      </c>
      <c r="E6249" s="8" t="s">
        <v>298</v>
      </c>
      <c r="F6249" s="5" t="s">
        <v>299</v>
      </c>
      <c r="G6249" s="6" t="str">
        <f>VLOOKUP(E6249,dicionario!$A$1:$C6648,2,0)</f>
        <v>Alysicarpus vaginalis</v>
      </c>
      <c r="H6249" s="6" t="str">
        <f>VLOOKUP(E6249,dicionario!$A$1:$C6648,3,0)</f>
        <v/>
      </c>
    </row>
    <row r="6250">
      <c r="A6250" s="3">
        <v>45701.0</v>
      </c>
      <c r="B6250" s="4">
        <v>0.28958333333333336</v>
      </c>
      <c r="C6250" s="5" t="s">
        <v>40</v>
      </c>
      <c r="D6250" s="5" t="s">
        <v>1170</v>
      </c>
      <c r="E6250" s="8" t="s">
        <v>227</v>
      </c>
      <c r="F6250" s="5" t="s">
        <v>228</v>
      </c>
      <c r="G6250" s="6" t="str">
        <f>VLOOKUP(E6250,dicionario!$A$1:$C6649,2,0)</f>
        <v>Indigofera hirsuta</v>
      </c>
      <c r="H6250" s="6" t="str">
        <f>VLOOKUP(E6250,dicionario!$A$1:$C6649,3,0)</f>
        <v>anileira</v>
      </c>
    </row>
    <row r="6251">
      <c r="A6251" s="3">
        <v>45701.0</v>
      </c>
      <c r="B6251" s="4">
        <v>0.28958333333333336</v>
      </c>
      <c r="C6251" s="5" t="s">
        <v>40</v>
      </c>
      <c r="D6251" s="5" t="s">
        <v>1170</v>
      </c>
      <c r="E6251" s="8" t="s">
        <v>296</v>
      </c>
      <c r="F6251" s="5" t="s">
        <v>297</v>
      </c>
      <c r="G6251" s="6" t="str">
        <f>VLOOKUP(E6251,dicionario!$A$1:$C6650,2,0)</f>
        <v>Richardia brasiliensis</v>
      </c>
      <c r="H6251" s="6" t="str">
        <f>VLOOKUP(E6251,dicionario!$A$1:$C6650,3,0)</f>
        <v>poaia-branca</v>
      </c>
    </row>
    <row r="6252">
      <c r="A6252" s="3">
        <v>45701.0</v>
      </c>
      <c r="B6252" s="4">
        <v>0.28958333333333336</v>
      </c>
      <c r="C6252" s="5" t="s">
        <v>40</v>
      </c>
      <c r="D6252" s="5" t="s">
        <v>1170</v>
      </c>
      <c r="E6252" s="8" t="s">
        <v>355</v>
      </c>
      <c r="F6252" s="5" t="s">
        <v>356</v>
      </c>
      <c r="G6252" s="6" t="str">
        <f>VLOOKUP(E6252,dicionario!$A$1:$C6651,2,0)</f>
        <v>Boerhavia diffusa</v>
      </c>
      <c r="H6252" s="6" t="str">
        <f>VLOOKUP(E6252,dicionario!$A$1:$C6651,3,0)</f>
        <v>erva-tostão</v>
      </c>
    </row>
    <row r="6253">
      <c r="A6253" s="3">
        <v>45701.0</v>
      </c>
      <c r="B6253" s="4">
        <v>0.2902777777777778</v>
      </c>
      <c r="C6253" s="5" t="s">
        <v>40</v>
      </c>
      <c r="D6253" s="5" t="s">
        <v>1170</v>
      </c>
      <c r="E6253" s="8" t="s">
        <v>613</v>
      </c>
      <c r="F6253" s="5" t="s">
        <v>614</v>
      </c>
      <c r="G6253" s="6" t="str">
        <f>VLOOKUP(E6253,dicionario!$A$1:$C6652,2,0)</f>
        <v>Euphorbia hyssopifolia</v>
      </c>
      <c r="H6253" s="6" t="str">
        <f>VLOOKUP(E6253,dicionario!$A$1:$C6652,3,0)</f>
        <v>maria-leite</v>
      </c>
    </row>
    <row r="6254">
      <c r="A6254" s="3">
        <v>45701.0</v>
      </c>
      <c r="B6254" s="4">
        <v>0.2902777777777778</v>
      </c>
      <c r="C6254" s="5" t="s">
        <v>40</v>
      </c>
      <c r="D6254" s="5" t="s">
        <v>1170</v>
      </c>
      <c r="E6254" s="8" t="s">
        <v>247</v>
      </c>
      <c r="F6254" s="7" t="s">
        <v>272</v>
      </c>
      <c r="G6254" s="6" t="str">
        <f>VLOOKUP(E6254,dicionario!$A$1:$C6653,2,0)</f>
        <v>Emilia sonchifolia</v>
      </c>
      <c r="H6254" s="6" t="str">
        <f>VLOOKUP(E6254,dicionario!$A$1:$C6653,3,0)</f>
        <v>serralinha</v>
      </c>
    </row>
    <row r="6255">
      <c r="A6255" s="3">
        <v>45701.0</v>
      </c>
      <c r="B6255" s="4">
        <v>0.2902777777777778</v>
      </c>
      <c r="C6255" s="5" t="s">
        <v>40</v>
      </c>
      <c r="D6255" s="5" t="s">
        <v>1170</v>
      </c>
      <c r="E6255" s="8" t="s">
        <v>498</v>
      </c>
      <c r="F6255" s="5" t="s">
        <v>499</v>
      </c>
      <c r="G6255" s="6" t="str">
        <f>VLOOKUP(E6255,dicionario!$A$1:$C6654,2,0)</f>
        <v>Brachiaria decumbens</v>
      </c>
      <c r="H6255" s="6" t="str">
        <f>VLOOKUP(E6255,dicionario!$A$1:$C6654,3,0)</f>
        <v>capim-braquiária</v>
      </c>
    </row>
    <row r="6256">
      <c r="A6256" s="3">
        <v>45701.0</v>
      </c>
      <c r="B6256" s="4">
        <v>0.29097222222222224</v>
      </c>
      <c r="C6256" s="5" t="s">
        <v>40</v>
      </c>
      <c r="D6256" s="5" t="s">
        <v>1170</v>
      </c>
      <c r="E6256" s="8" t="s">
        <v>682</v>
      </c>
      <c r="F6256" s="5" t="s">
        <v>683</v>
      </c>
      <c r="G6256" s="6" t="str">
        <f>VLOOKUP(E6256,dicionario!$A$1:$C6655,2,0)</f>
        <v>Lagria villosa</v>
      </c>
      <c r="H6256" s="6" t="str">
        <f>VLOOKUP(E6256,dicionario!$A$1:$C6655,3,0)</f>
        <v>bicho-capixaba</v>
      </c>
    </row>
    <row r="6257">
      <c r="A6257" s="3">
        <v>45701.0</v>
      </c>
      <c r="B6257" s="4">
        <v>0.29097222222222224</v>
      </c>
      <c r="C6257" s="5" t="s">
        <v>40</v>
      </c>
      <c r="D6257" s="5" t="s">
        <v>1170</v>
      </c>
      <c r="E6257" s="8" t="s">
        <v>65</v>
      </c>
      <c r="F6257" s="5" t="s">
        <v>66</v>
      </c>
      <c r="G6257" s="6" t="str">
        <f>VLOOKUP(E6257,dicionario!$A$1:$C6656,2,0)</f>
        <v>Pitangus sulphutarus</v>
      </c>
      <c r="H6257" s="6" t="str">
        <f>VLOOKUP(E6257,dicionario!$A$1:$C6656,3,0)</f>
        <v>bem-te-vi</v>
      </c>
    </row>
    <row r="6258">
      <c r="A6258" s="3">
        <v>45701.0</v>
      </c>
      <c r="B6258" s="4">
        <v>0.29097222222222224</v>
      </c>
      <c r="C6258" s="5" t="s">
        <v>40</v>
      </c>
      <c r="D6258" s="5" t="s">
        <v>1170</v>
      </c>
      <c r="E6258" s="8" t="s">
        <v>239</v>
      </c>
      <c r="F6258" s="5" t="s">
        <v>240</v>
      </c>
      <c r="G6258" s="6" t="str">
        <f>VLOOKUP(E6258,dicionario!$A$1:$C6657,2,0)</f>
        <v>Gomphrena celosioides</v>
      </c>
      <c r="H6258" s="6" t="str">
        <f>VLOOKUP(E6258,dicionario!$A$1:$C6657,3,0)</f>
        <v>perpétua-branca</v>
      </c>
    </row>
    <row r="6259">
      <c r="A6259" s="3">
        <v>45701.0</v>
      </c>
      <c r="B6259" s="4">
        <v>0.29097222222222224</v>
      </c>
      <c r="C6259" s="5" t="s">
        <v>40</v>
      </c>
      <c r="D6259" s="5" t="s">
        <v>1170</v>
      </c>
      <c r="E6259" s="8" t="s">
        <v>20</v>
      </c>
      <c r="F6259" s="7" t="s">
        <v>21</v>
      </c>
      <c r="G6259" s="6" t="str">
        <f>VLOOKUP(E6259,dicionario!$A$1:$C6658,2,0)</f>
        <v>Sicalis flaveola</v>
      </c>
      <c r="H6259" s="6" t="str">
        <f>VLOOKUP(E6259,dicionario!$A$1:$C6658,3,0)</f>
        <v>canário-da-terra</v>
      </c>
    </row>
    <row r="6260">
      <c r="A6260" s="3">
        <v>45701.0</v>
      </c>
      <c r="B6260" s="4">
        <v>0.2923611111111111</v>
      </c>
      <c r="C6260" s="5" t="s">
        <v>40</v>
      </c>
      <c r="D6260" s="5" t="s">
        <v>1170</v>
      </c>
      <c r="E6260" s="8" t="s">
        <v>225</v>
      </c>
      <c r="F6260" s="5" t="s">
        <v>226</v>
      </c>
      <c r="G6260" s="6" t="str">
        <f>VLOOKUP(E6260,dicionario!$A$1:$C6659,2,0)</f>
        <v>Passer domesticus</v>
      </c>
      <c r="H6260" s="6" t="str">
        <f>VLOOKUP(E6260,dicionario!$A$1:$C6659,3,0)</f>
        <v>pardal</v>
      </c>
    </row>
    <row r="6261">
      <c r="A6261" s="3">
        <v>45701.0</v>
      </c>
      <c r="B6261" s="4">
        <v>0.2923611111111111</v>
      </c>
      <c r="C6261" s="5" t="s">
        <v>40</v>
      </c>
      <c r="D6261" s="5" t="s">
        <v>1170</v>
      </c>
      <c r="E6261" s="8" t="s">
        <v>849</v>
      </c>
      <c r="F6261" s="5" t="s">
        <v>518</v>
      </c>
      <c r="G6261" s="6" t="str">
        <f>VLOOKUP(E6261,dicionario!$A$1:$C6660,2,0)</f>
        <v>#N/A</v>
      </c>
      <c r="H6261" s="6" t="str">
        <f>VLOOKUP(E6261,dicionario!$A$1:$C6660,3,0)</f>
        <v>#N/A</v>
      </c>
    </row>
    <row r="6262">
      <c r="A6262" s="3">
        <v>45701.0</v>
      </c>
      <c r="B6262" s="4">
        <v>0.29305555555555557</v>
      </c>
      <c r="C6262" s="5" t="s">
        <v>40</v>
      </c>
      <c r="D6262" s="5" t="s">
        <v>1170</v>
      </c>
      <c r="E6262" s="8" t="s">
        <v>191</v>
      </c>
      <c r="F6262" s="5" t="s">
        <v>192</v>
      </c>
      <c r="G6262" s="6" t="str">
        <f>VLOOKUP(E6262,dicionario!$A$1:$C6661,2,0)</f>
        <v>Patagioenas picazuro</v>
      </c>
      <c r="H6262" s="6" t="str">
        <f>VLOOKUP(E6262,dicionario!$A$1:$C6661,3,0)</f>
        <v>asa-branca; pomba-asa-branca; pocaçu</v>
      </c>
    </row>
    <row r="6263">
      <c r="A6263" s="3">
        <v>45701.0</v>
      </c>
      <c r="B6263" s="4">
        <v>0.29375</v>
      </c>
      <c r="C6263" s="5" t="s">
        <v>40</v>
      </c>
      <c r="D6263" s="5" t="s">
        <v>1170</v>
      </c>
      <c r="E6263" s="8" t="s">
        <v>113</v>
      </c>
      <c r="F6263" s="5" t="s">
        <v>114</v>
      </c>
      <c r="G6263" s="6" t="str">
        <f>VLOOKUP(E6263,dicionario!$A$1:$C6662,2,0)</f>
        <v>Columbina talpacoti</v>
      </c>
      <c r="H6263" s="6" t="str">
        <f>VLOOKUP(E6263,dicionario!$A$1:$C6662,3,0)</f>
        <v>rolinha-roxa</v>
      </c>
    </row>
    <row r="6264">
      <c r="A6264" s="3">
        <v>45701.0</v>
      </c>
      <c r="B6264" s="4">
        <v>0.2951388888888889</v>
      </c>
      <c r="C6264" s="5" t="s">
        <v>40</v>
      </c>
      <c r="D6264" s="5" t="s">
        <v>1170</v>
      </c>
      <c r="E6264" s="8" t="s">
        <v>154</v>
      </c>
      <c r="F6264" s="5" t="s">
        <v>155</v>
      </c>
      <c r="G6264" s="6" t="str">
        <f>VLOOKUP(E6264,dicionario!$A$1:$C6663,2,0)</f>
        <v>Cyperus rotundus</v>
      </c>
      <c r="H6264" s="6" t="str">
        <f>VLOOKUP(E6264,dicionario!$A$1:$C6663,3,0)</f>
        <v>tiririca</v>
      </c>
    </row>
    <row r="6265">
      <c r="A6265" s="3">
        <v>45701.0</v>
      </c>
      <c r="B6265" s="4">
        <v>0.2951388888888889</v>
      </c>
      <c r="C6265" s="5" t="s">
        <v>40</v>
      </c>
      <c r="D6265" s="5" t="s">
        <v>1170</v>
      </c>
      <c r="E6265" s="8" t="s">
        <v>465</v>
      </c>
      <c r="F6265" s="5" t="s">
        <v>994</v>
      </c>
      <c r="G6265" s="6" t="str">
        <f>VLOOKUP(E6265,dicionario!$A$1:$C6664,2,0)</f>
        <v>Solanum diphyllum</v>
      </c>
      <c r="H6265" s="6" t="str">
        <f>VLOOKUP(E6265,dicionario!$A$1:$C6664,3,0)</f>
        <v>tomatinho-amarelo</v>
      </c>
    </row>
    <row r="6266">
      <c r="A6266" s="3">
        <v>45701.0</v>
      </c>
      <c r="B6266" s="4">
        <v>0.3</v>
      </c>
      <c r="C6266" s="5" t="s">
        <v>50</v>
      </c>
      <c r="D6266" s="5" t="s">
        <v>1170</v>
      </c>
      <c r="E6266" s="8" t="s">
        <v>253</v>
      </c>
      <c r="F6266" s="5" t="s">
        <v>254</v>
      </c>
      <c r="G6266" s="6" t="str">
        <f>VLOOKUP(E6266,dicionario!$A$1:$C6665,2,0)</f>
        <v>Panicum maximum</v>
      </c>
      <c r="H6266" s="6" t="str">
        <f>VLOOKUP(E6266,dicionario!$A$1:$C6665,3,0)</f>
        <v>capim-colonião</v>
      </c>
    </row>
    <row r="6267">
      <c r="A6267" s="3">
        <v>45701.0</v>
      </c>
      <c r="B6267" s="4">
        <v>0.3</v>
      </c>
      <c r="C6267" s="5" t="s">
        <v>50</v>
      </c>
      <c r="D6267" s="5" t="s">
        <v>1170</v>
      </c>
      <c r="E6267" s="8" t="s">
        <v>132</v>
      </c>
      <c r="F6267" s="5" t="s">
        <v>133</v>
      </c>
      <c r="G6267" s="6" t="str">
        <f>VLOOKUP(E6267,dicionario!$A$1:$C6666,2,0)</f>
        <v>Euphonia chlorotica</v>
      </c>
      <c r="H6267" s="6" t="str">
        <f>VLOOKUP(E6267,dicionario!$A$1:$C6666,3,0)</f>
        <v>fim-fim</v>
      </c>
    </row>
    <row r="6268">
      <c r="A6268" s="3">
        <v>45701.0</v>
      </c>
      <c r="B6268" s="4">
        <v>0.3</v>
      </c>
      <c r="C6268" s="5" t="s">
        <v>50</v>
      </c>
      <c r="D6268" s="5" t="s">
        <v>1170</v>
      </c>
      <c r="E6268" s="8" t="s">
        <v>139</v>
      </c>
      <c r="F6268" s="5" t="s">
        <v>862</v>
      </c>
      <c r="G6268" s="6" t="str">
        <f>VLOOKUP(E6268,dicionario!$A$1:$C6667,2,0)</f>
        <v>Tropidurus torquatus</v>
      </c>
      <c r="H6268" s="6" t="str">
        <f>VLOOKUP(E6268,dicionario!$A$1:$C6667,3,0)</f>
        <v>calango; tropiduro-comum</v>
      </c>
    </row>
    <row r="6269">
      <c r="A6269" s="3">
        <v>45701.0</v>
      </c>
      <c r="B6269" s="4">
        <v>0.3</v>
      </c>
      <c r="C6269" s="5" t="s">
        <v>50</v>
      </c>
      <c r="D6269" s="5" t="s">
        <v>1170</v>
      </c>
      <c r="E6269" s="8" t="s">
        <v>38</v>
      </c>
      <c r="F6269" s="5" t="s">
        <v>39</v>
      </c>
      <c r="G6269" s="6" t="str">
        <f>VLOOKUP(E6269,dicionario!$A$1:$C6668,2,0)</f>
        <v>Troglodytes musculus</v>
      </c>
      <c r="H6269" s="6" t="str">
        <f>VLOOKUP(E6269,dicionario!$A$1:$C6668,3,0)</f>
        <v>curruíra</v>
      </c>
    </row>
    <row r="6270">
      <c r="A6270" s="3">
        <v>45701.0</v>
      </c>
      <c r="B6270" s="4">
        <v>0.3</v>
      </c>
      <c r="C6270" s="5" t="s">
        <v>50</v>
      </c>
      <c r="D6270" s="5" t="s">
        <v>1170</v>
      </c>
      <c r="E6270" s="8" t="s">
        <v>579</v>
      </c>
      <c r="F6270" s="5" t="s">
        <v>580</v>
      </c>
      <c r="G6270" s="6" t="str">
        <f>VLOOKUP(E6270,dicionario!$A$1:$C6669,2,0)</f>
        <v>Piper tuberculatum</v>
      </c>
      <c r="H6270" s="6" t="str">
        <f>VLOOKUP(E6270,dicionario!$A$1:$C6669,3,0)</f>
        <v/>
      </c>
    </row>
    <row r="6271">
      <c r="A6271" s="3">
        <v>45701.0</v>
      </c>
      <c r="B6271" s="4">
        <v>0.3</v>
      </c>
      <c r="C6271" s="5" t="s">
        <v>50</v>
      </c>
      <c r="D6271" s="5" t="s">
        <v>1170</v>
      </c>
      <c r="E6271" s="8" t="s">
        <v>223</v>
      </c>
      <c r="F6271" s="5" t="s">
        <v>224</v>
      </c>
      <c r="G6271" s="6" t="str">
        <f>VLOOKUP(E6271,dicionario!$A$1:$C6670,2,0)</f>
        <v>Rhipsalis lindbergiana</v>
      </c>
      <c r="H6271" s="6" t="str">
        <f>VLOOKUP(E6271,dicionario!$A$1:$C6670,3,0)</f>
        <v>cacto-macarrão</v>
      </c>
    </row>
    <row r="6272">
      <c r="A6272" s="3">
        <v>45701.0</v>
      </c>
      <c r="B6272" s="4">
        <v>0.3</v>
      </c>
      <c r="C6272" s="5" t="s">
        <v>50</v>
      </c>
      <c r="D6272" s="5" t="s">
        <v>1170</v>
      </c>
      <c r="E6272" s="8" t="s">
        <v>1175</v>
      </c>
      <c r="F6272" s="5" t="s">
        <v>1176</v>
      </c>
      <c r="G6272" s="6" t="str">
        <f>VLOOKUP(E6272,dicionario!$A$1:$C6671,2,0)</f>
        <v>Danaus erippus</v>
      </c>
      <c r="H6272" s="6" t="str">
        <f>VLOOKUP(E6272,dicionario!$A$1:$C6671,3,0)</f>
        <v>borboleta-monarca-do-sul</v>
      </c>
    </row>
    <row r="6273">
      <c r="A6273" s="3">
        <v>45701.0</v>
      </c>
      <c r="B6273" s="4">
        <v>0.30069444444444443</v>
      </c>
      <c r="C6273" s="5" t="s">
        <v>50</v>
      </c>
      <c r="D6273" s="5" t="s">
        <v>1170</v>
      </c>
      <c r="E6273" s="8" t="s">
        <v>821</v>
      </c>
      <c r="F6273" s="5" t="s">
        <v>876</v>
      </c>
      <c r="G6273" s="6" t="str">
        <f>VLOOKUP(E6273,dicionario!$A$1:$C6672,2,0)</f>
        <v>Schefflera actinophylla</v>
      </c>
      <c r="H6273" s="6" t="str">
        <f>VLOOKUP(E6273,dicionario!$A$1:$C6672,3,0)</f>
        <v>árvore-guarda-chuva</v>
      </c>
    </row>
    <row r="6274">
      <c r="A6274" s="3">
        <v>45701.0</v>
      </c>
      <c r="B6274" s="4">
        <v>0.3020833333333333</v>
      </c>
      <c r="C6274" s="5" t="s">
        <v>50</v>
      </c>
      <c r="D6274" s="5" t="s">
        <v>1170</v>
      </c>
      <c r="E6274" s="6" t="s">
        <v>448</v>
      </c>
      <c r="F6274" s="5" t="s">
        <v>462</v>
      </c>
      <c r="G6274" s="6" t="str">
        <f>VLOOKUP(E6274,dicionario!$A$1:$C6673,2,0)</f>
        <v>Mechanitis polymnia</v>
      </c>
      <c r="H6274" s="6" t="str">
        <f>VLOOKUP(E6274,dicionario!$A$1:$C6673,3,0)</f>
        <v>maria-boba</v>
      </c>
    </row>
    <row r="6275">
      <c r="A6275" s="3">
        <v>45701.0</v>
      </c>
      <c r="B6275" s="4">
        <v>0.3020833333333333</v>
      </c>
      <c r="C6275" s="5" t="s">
        <v>50</v>
      </c>
      <c r="D6275" s="5" t="s">
        <v>1170</v>
      </c>
      <c r="E6275" s="8" t="s">
        <v>251</v>
      </c>
      <c r="F6275" s="5" t="s">
        <v>252</v>
      </c>
      <c r="G6275" s="6" t="str">
        <f>VLOOKUP(E6275,dicionario!$A$1:$C6674,2,0)</f>
        <v>Struthanthus flexicaulis</v>
      </c>
      <c r="H6275" s="6" t="str">
        <f>VLOOKUP(E6275,dicionario!$A$1:$C6674,3,0)</f>
        <v>erva-de-passarinho</v>
      </c>
    </row>
    <row r="6276">
      <c r="A6276" s="3">
        <v>45701.0</v>
      </c>
      <c r="B6276" s="4">
        <v>0.30277777777777776</v>
      </c>
      <c r="C6276" s="5" t="s">
        <v>50</v>
      </c>
      <c r="D6276" s="5" t="s">
        <v>1170</v>
      </c>
      <c r="E6276" s="8" t="s">
        <v>247</v>
      </c>
      <c r="F6276" s="5" t="s">
        <v>387</v>
      </c>
      <c r="G6276" s="6" t="str">
        <f>VLOOKUP(E6276,dicionario!$A$1:$C6675,2,0)</f>
        <v>Emilia sonchifolia</v>
      </c>
      <c r="H6276" s="6" t="str">
        <f>VLOOKUP(E6276,dicionario!$A$1:$C6675,3,0)</f>
        <v>serralinha</v>
      </c>
    </row>
    <row r="6277">
      <c r="A6277" s="3">
        <v>45701.0</v>
      </c>
      <c r="B6277" s="4">
        <v>0.2611111111111111</v>
      </c>
      <c r="C6277" s="5" t="s">
        <v>50</v>
      </c>
      <c r="D6277" s="5" t="s">
        <v>1170</v>
      </c>
      <c r="E6277" s="8" t="s">
        <v>22</v>
      </c>
      <c r="F6277" s="5" t="s">
        <v>97</v>
      </c>
      <c r="G6277" s="6" t="str">
        <f>VLOOKUP(E6277,dicionario!$A$1:$C6676,2,0)</f>
        <v>Zenaida auriculata</v>
      </c>
      <c r="H6277" s="6" t="str">
        <f>VLOOKUP(E6277,dicionario!$A$1:$C6676,3,0)</f>
        <v>pomba-de-bando; avoante</v>
      </c>
    </row>
    <row r="6278">
      <c r="A6278" s="3">
        <v>45701.0</v>
      </c>
      <c r="B6278" s="4">
        <v>0.30277777777777776</v>
      </c>
      <c r="C6278" s="5" t="s">
        <v>50</v>
      </c>
      <c r="D6278" s="5" t="s">
        <v>1170</v>
      </c>
      <c r="E6278" s="8" t="s">
        <v>177</v>
      </c>
      <c r="F6278" s="5" t="s">
        <v>178</v>
      </c>
      <c r="G6278" s="6" t="str">
        <f>VLOOKUP(E6278,dicionario!$A$1:$C6677,2,0)</f>
        <v>Elaenia flavogaster</v>
      </c>
      <c r="H6278" s="6" t="str">
        <f>VLOOKUP(E6278,dicionario!$A$1:$C6677,3,0)</f>
        <v>guaracava-de-barriga-amarela</v>
      </c>
    </row>
    <row r="6279">
      <c r="A6279" s="3">
        <v>45701.0</v>
      </c>
      <c r="B6279" s="4">
        <v>0.3034722222222222</v>
      </c>
      <c r="C6279" s="5" t="s">
        <v>50</v>
      </c>
      <c r="D6279" s="5" t="s">
        <v>1170</v>
      </c>
      <c r="E6279" s="8" t="s">
        <v>65</v>
      </c>
      <c r="F6279" s="5" t="s">
        <v>66</v>
      </c>
      <c r="G6279" s="6" t="str">
        <f>VLOOKUP(E6279,dicionario!$A$1:$C6678,2,0)</f>
        <v>Pitangus sulphutarus</v>
      </c>
      <c r="H6279" s="6" t="str">
        <f>VLOOKUP(E6279,dicionario!$A$1:$C6678,3,0)</f>
        <v>bem-te-vi</v>
      </c>
    </row>
    <row r="6280">
      <c r="A6280" s="3">
        <v>45701.0</v>
      </c>
      <c r="B6280" s="4">
        <v>0.3034722222222222</v>
      </c>
      <c r="C6280" s="5" t="s">
        <v>50</v>
      </c>
      <c r="D6280" s="5" t="s">
        <v>1170</v>
      </c>
      <c r="E6280" s="8" t="s">
        <v>175</v>
      </c>
      <c r="F6280" s="5" t="s">
        <v>176</v>
      </c>
      <c r="G6280" s="6" t="str">
        <f>VLOOKUP(E6280,dicionario!$A$1:$C6679,2,0)</f>
        <v>Turdus leucomelas</v>
      </c>
      <c r="H6280" s="6" t="str">
        <f>VLOOKUP(E6280,dicionario!$A$1:$C6679,3,0)</f>
        <v>sabiá-barranco</v>
      </c>
    </row>
    <row r="6281">
      <c r="A6281" s="3">
        <v>45701.0</v>
      </c>
      <c r="B6281" s="4">
        <v>0.30486111111111114</v>
      </c>
      <c r="C6281" s="5" t="s">
        <v>50</v>
      </c>
      <c r="D6281" s="5" t="s">
        <v>1170</v>
      </c>
      <c r="E6281" s="8" t="s">
        <v>46</v>
      </c>
      <c r="F6281" s="5" t="s">
        <v>47</v>
      </c>
      <c r="G6281" s="6" t="str">
        <f>VLOOKUP(E6281,dicionario!$A$1:$C6680,2,0)</f>
        <v>Chionomesa fimbriata</v>
      </c>
      <c r="H6281" s="6" t="str">
        <f>VLOOKUP(E6281,dicionario!$A$1:$C6680,3,0)</f>
        <v>beija-flor-de-garganta-verde</v>
      </c>
    </row>
    <row r="6282">
      <c r="A6282" s="3">
        <v>45701.0</v>
      </c>
      <c r="B6282" s="4">
        <v>0.30486111111111114</v>
      </c>
      <c r="C6282" s="5" t="s">
        <v>50</v>
      </c>
      <c r="D6282" s="5" t="s">
        <v>1170</v>
      </c>
      <c r="E6282" s="8" t="s">
        <v>215</v>
      </c>
      <c r="F6282" s="7" t="s">
        <v>216</v>
      </c>
      <c r="G6282" s="6" t="str">
        <f>VLOOKUP(E6282,dicionario!$A$1:$C6681,2,0)</f>
        <v>Pygochelidon cyanoleuca</v>
      </c>
      <c r="H6282" s="6" t="str">
        <f>VLOOKUP(E6282,dicionario!$A$1:$C6681,3,0)</f>
        <v>andorinha-pequena-de-casa</v>
      </c>
    </row>
    <row r="6283">
      <c r="A6283" s="3">
        <v>45701.0</v>
      </c>
      <c r="B6283" s="4">
        <v>0.30625</v>
      </c>
      <c r="C6283" s="5" t="s">
        <v>50</v>
      </c>
      <c r="D6283" s="5" t="s">
        <v>1170</v>
      </c>
      <c r="E6283" s="8" t="s">
        <v>86</v>
      </c>
      <c r="F6283" s="5" t="s">
        <v>502</v>
      </c>
      <c r="G6283" s="6" t="str">
        <f>VLOOKUP(E6283,dicionario!$A$1:$C6682,2,0)</f>
        <v>Coereba flaveola</v>
      </c>
      <c r="H6283" s="6" t="str">
        <f>VLOOKUP(E6283,dicionario!$A$1:$C6682,3,0)</f>
        <v>cambacica</v>
      </c>
    </row>
    <row r="6284">
      <c r="A6284" s="3">
        <v>45701.0</v>
      </c>
      <c r="B6284" s="4">
        <v>0.30833333333333335</v>
      </c>
      <c r="C6284" s="5" t="s">
        <v>50</v>
      </c>
      <c r="D6284" s="5" t="s">
        <v>1170</v>
      </c>
      <c r="E6284" s="8" t="s">
        <v>20</v>
      </c>
      <c r="F6284" s="7" t="s">
        <v>21</v>
      </c>
      <c r="G6284" s="6" t="str">
        <f>VLOOKUP(E6284,dicionario!$A$1:$C6683,2,0)</f>
        <v>Sicalis flaveola</v>
      </c>
      <c r="H6284" s="6" t="str">
        <f>VLOOKUP(E6284,dicionario!$A$1:$C6683,3,0)</f>
        <v>canário-da-terra</v>
      </c>
    </row>
    <row r="6285">
      <c r="A6285" s="3">
        <v>45701.0</v>
      </c>
      <c r="B6285" s="4">
        <v>0.30972222222222223</v>
      </c>
      <c r="C6285" s="5" t="s">
        <v>59</v>
      </c>
      <c r="D6285" s="5" t="s">
        <v>1170</v>
      </c>
      <c r="E6285" s="8" t="s">
        <v>148</v>
      </c>
      <c r="F6285" s="5" t="s">
        <v>149</v>
      </c>
      <c r="G6285" s="6" t="str">
        <f>VLOOKUP(E6285,dicionario!$A$1:$C6684,2,0)</f>
        <v>Parthenium hysterophorus</v>
      </c>
      <c r="H6285" s="6" t="str">
        <f>VLOOKUP(E6285,dicionario!$A$1:$C6684,3,0)</f>
        <v>losna-branca</v>
      </c>
    </row>
    <row r="6286">
      <c r="A6286" s="3">
        <v>45701.0</v>
      </c>
      <c r="B6286" s="4">
        <v>0.30972222222222223</v>
      </c>
      <c r="C6286" s="5" t="s">
        <v>59</v>
      </c>
      <c r="D6286" s="5" t="s">
        <v>1170</v>
      </c>
      <c r="E6286" s="8" t="s">
        <v>46</v>
      </c>
      <c r="F6286" s="5" t="s">
        <v>47</v>
      </c>
      <c r="G6286" s="6" t="str">
        <f>VLOOKUP(E6286,dicionario!$A$1:$C6685,2,0)</f>
        <v>Chionomesa fimbriata</v>
      </c>
      <c r="H6286" s="6" t="str">
        <f>VLOOKUP(E6286,dicionario!$A$1:$C6685,3,0)</f>
        <v>beija-flor-de-garganta-verde</v>
      </c>
    </row>
    <row r="6287">
      <c r="A6287" s="3">
        <v>45701.0</v>
      </c>
      <c r="B6287" s="4">
        <v>0.30972222222222223</v>
      </c>
      <c r="C6287" s="5" t="s">
        <v>59</v>
      </c>
      <c r="D6287" s="5" t="s">
        <v>1170</v>
      </c>
      <c r="E6287" s="8" t="s">
        <v>22</v>
      </c>
      <c r="F6287" s="5" t="s">
        <v>97</v>
      </c>
      <c r="G6287" s="6" t="str">
        <f>VLOOKUP(E6287,dicionario!$A$1:$C6686,2,0)</f>
        <v>Zenaida auriculata</v>
      </c>
      <c r="H6287" s="6" t="str">
        <f>VLOOKUP(E6287,dicionario!$A$1:$C6686,3,0)</f>
        <v>pomba-de-bando; avoante</v>
      </c>
    </row>
    <row r="6288">
      <c r="A6288" s="3">
        <v>45701.0</v>
      </c>
      <c r="B6288" s="4">
        <v>0.30972222222222223</v>
      </c>
      <c r="C6288" s="5" t="s">
        <v>59</v>
      </c>
      <c r="D6288" s="5" t="s">
        <v>1170</v>
      </c>
      <c r="E6288" s="8" t="s">
        <v>109</v>
      </c>
      <c r="F6288" s="5" t="s">
        <v>110</v>
      </c>
      <c r="G6288" s="6" t="str">
        <f>VLOOKUP(E6288,dicionario!$A$1:$C6687,2,0)</f>
        <v>Tillandsia stricta</v>
      </c>
      <c r="H6288" s="6" t="str">
        <f>VLOOKUP(E6288,dicionario!$A$1:$C6687,3,0)</f>
        <v>cravo-do-mato</v>
      </c>
    </row>
    <row r="6289">
      <c r="A6289" s="3">
        <v>45701.0</v>
      </c>
      <c r="B6289" s="4">
        <v>0.30972222222222223</v>
      </c>
      <c r="C6289" s="5" t="s">
        <v>59</v>
      </c>
      <c r="D6289" s="5" t="s">
        <v>1170</v>
      </c>
      <c r="E6289" s="8" t="s">
        <v>471</v>
      </c>
      <c r="F6289" s="5" t="s">
        <v>472</v>
      </c>
      <c r="G6289" s="6" t="str">
        <f>VLOOKUP(E6289,dicionario!$A$1:$C6688,2,0)</f>
        <v>Sida acuta</v>
      </c>
      <c r="H6289" s="6" t="str">
        <f>VLOOKUP(E6289,dicionario!$A$1:$C6688,3,0)</f>
        <v>reloginho</v>
      </c>
    </row>
    <row r="6290">
      <c r="A6290" s="3">
        <v>45701.0</v>
      </c>
      <c r="B6290" s="4">
        <v>0.3104166666666667</v>
      </c>
      <c r="C6290" s="5" t="s">
        <v>59</v>
      </c>
      <c r="D6290" s="5" t="s">
        <v>1170</v>
      </c>
      <c r="E6290" s="8" t="s">
        <v>113</v>
      </c>
      <c r="F6290" s="5" t="s">
        <v>114</v>
      </c>
      <c r="G6290" s="6" t="str">
        <f>VLOOKUP(E6290,dicionario!$A$1:$C6689,2,0)</f>
        <v>Columbina talpacoti</v>
      </c>
      <c r="H6290" s="6" t="str">
        <f>VLOOKUP(E6290,dicionario!$A$1:$C6689,3,0)</f>
        <v>rolinha-roxa</v>
      </c>
    </row>
    <row r="6291">
      <c r="A6291" s="3">
        <v>45701.0</v>
      </c>
      <c r="B6291" s="4">
        <v>0.3104166666666667</v>
      </c>
      <c r="C6291" s="5" t="s">
        <v>59</v>
      </c>
      <c r="D6291" s="5" t="s">
        <v>1170</v>
      </c>
      <c r="E6291" s="8" t="s">
        <v>366</v>
      </c>
      <c r="F6291" s="5" t="s">
        <v>367</v>
      </c>
      <c r="G6291" s="6" t="str">
        <f>VLOOKUP(E6291,dicionario!$A$1:$C6690,2,0)</f>
        <v>Alternanthera ficoidea</v>
      </c>
      <c r="H6291" s="6" t="str">
        <f>VLOOKUP(E6291,dicionario!$A$1:$C6690,3,0)</f>
        <v>quebra-panela</v>
      </c>
    </row>
    <row r="6292">
      <c r="A6292" s="3">
        <v>45701.0</v>
      </c>
      <c r="B6292" s="4">
        <v>0.3104166666666667</v>
      </c>
      <c r="C6292" s="5" t="s">
        <v>59</v>
      </c>
      <c r="D6292" s="5" t="s">
        <v>1170</v>
      </c>
      <c r="E6292" s="8" t="s">
        <v>53</v>
      </c>
      <c r="F6292" s="7" t="s">
        <v>54</v>
      </c>
      <c r="G6292" s="6" t="str">
        <f>VLOOKUP(E6292,dicionario!$A$1:$C6691,2,0)</f>
        <v>Turnera subulata</v>
      </c>
      <c r="H6292" s="6" t="str">
        <f>VLOOKUP(E6292,dicionario!$A$1:$C6691,3,0)</f>
        <v>xanana</v>
      </c>
    </row>
    <row r="6293">
      <c r="A6293" s="3">
        <v>45701.0</v>
      </c>
      <c r="B6293" s="4">
        <v>0.3104166666666667</v>
      </c>
      <c r="C6293" s="5" t="s">
        <v>59</v>
      </c>
      <c r="D6293" s="5" t="s">
        <v>1170</v>
      </c>
      <c r="E6293" s="8" t="s">
        <v>503</v>
      </c>
      <c r="F6293" s="5" t="s">
        <v>414</v>
      </c>
      <c r="G6293" s="6" t="str">
        <f>VLOOKUP(E6293,dicionario!$A$1:$C6692,2,0)</f>
        <v>Orphulella punctata</v>
      </c>
      <c r="H6293" s="6" t="str">
        <f>VLOOKUP(E6293,dicionario!$A$1:$C6692,3,0)</f>
        <v>gafanhotinho</v>
      </c>
    </row>
    <row r="6294">
      <c r="A6294" s="3">
        <v>45701.0</v>
      </c>
      <c r="B6294" s="4">
        <v>0.3104166666666667</v>
      </c>
      <c r="C6294" s="5" t="s">
        <v>59</v>
      </c>
      <c r="D6294" s="5" t="s">
        <v>1170</v>
      </c>
      <c r="E6294" s="8" t="s">
        <v>353</v>
      </c>
      <c r="F6294" s="5" t="s">
        <v>354</v>
      </c>
      <c r="G6294" s="6" t="str">
        <f>VLOOKUP(E6294,dicionario!$A$1:$C6693,2,0)</f>
        <v>Desmodium incanum</v>
      </c>
      <c r="H6294" s="6" t="str">
        <f>VLOOKUP(E6294,dicionario!$A$1:$C6693,3,0)</f>
        <v>pega-pega</v>
      </c>
    </row>
    <row r="6295">
      <c r="A6295" s="3">
        <v>45701.0</v>
      </c>
      <c r="B6295" s="4">
        <v>0.3104166666666667</v>
      </c>
      <c r="C6295" s="5" t="s">
        <v>59</v>
      </c>
      <c r="D6295" s="5" t="s">
        <v>1170</v>
      </c>
      <c r="E6295" s="8" t="s">
        <v>239</v>
      </c>
      <c r="F6295" s="5" t="s">
        <v>240</v>
      </c>
      <c r="G6295" s="6" t="str">
        <f>VLOOKUP(E6295,dicionario!$A$1:$C6694,2,0)</f>
        <v>Gomphrena celosioides</v>
      </c>
      <c r="H6295" s="6" t="str">
        <f>VLOOKUP(E6295,dicionario!$A$1:$C6694,3,0)</f>
        <v>perpétua-branca</v>
      </c>
    </row>
    <row r="6296">
      <c r="A6296" s="3">
        <v>45701.0</v>
      </c>
      <c r="B6296" s="4">
        <v>0.3104166666666667</v>
      </c>
      <c r="C6296" s="5" t="s">
        <v>59</v>
      </c>
      <c r="D6296" s="5" t="s">
        <v>1170</v>
      </c>
      <c r="E6296" s="8" t="s">
        <v>298</v>
      </c>
      <c r="F6296" s="5" t="s">
        <v>299</v>
      </c>
      <c r="G6296" s="6" t="str">
        <f>VLOOKUP(E6296,dicionario!$A$1:$C6695,2,0)</f>
        <v>Alysicarpus vaginalis</v>
      </c>
      <c r="H6296" s="6" t="str">
        <f>VLOOKUP(E6296,dicionario!$A$1:$C6695,3,0)</f>
        <v/>
      </c>
    </row>
    <row r="6297">
      <c r="A6297" s="3">
        <v>45701.0</v>
      </c>
      <c r="B6297" s="4">
        <v>0.3111111111111111</v>
      </c>
      <c r="C6297" s="5" t="s">
        <v>59</v>
      </c>
      <c r="D6297" s="5" t="s">
        <v>1170</v>
      </c>
      <c r="E6297" s="8" t="s">
        <v>227</v>
      </c>
      <c r="F6297" s="5" t="s">
        <v>228</v>
      </c>
      <c r="G6297" s="6" t="str">
        <f>VLOOKUP(E6297,dicionario!$A$1:$C6696,2,0)</f>
        <v>Indigofera hirsuta</v>
      </c>
      <c r="H6297" s="6" t="str">
        <f>VLOOKUP(E6297,dicionario!$A$1:$C6696,3,0)</f>
        <v>anileira</v>
      </c>
    </row>
    <row r="6298">
      <c r="A6298" s="3">
        <v>45701.0</v>
      </c>
      <c r="B6298" s="4">
        <v>0.3111111111111111</v>
      </c>
      <c r="C6298" s="5" t="s">
        <v>59</v>
      </c>
      <c r="D6298" s="5" t="s">
        <v>1170</v>
      </c>
      <c r="E6298" s="8" t="s">
        <v>935</v>
      </c>
      <c r="F6298" s="5" t="s">
        <v>936</v>
      </c>
      <c r="G6298" s="6" t="str">
        <f>VLOOKUP(E6298,dicionario!$A$1:$C6697,2,0)</f>
        <v>#N/A</v>
      </c>
      <c r="H6298" s="6" t="str">
        <f>VLOOKUP(E6298,dicionario!$A$1:$C6697,3,0)</f>
        <v>#N/A</v>
      </c>
    </row>
    <row r="6299">
      <c r="A6299" s="3">
        <v>45701.0</v>
      </c>
      <c r="B6299" s="4">
        <v>0.3111111111111111</v>
      </c>
      <c r="C6299" s="5" t="s">
        <v>59</v>
      </c>
      <c r="D6299" s="5" t="s">
        <v>1170</v>
      </c>
      <c r="E6299" s="8" t="s">
        <v>18</v>
      </c>
      <c r="F6299" s="5" t="s">
        <v>219</v>
      </c>
      <c r="G6299" s="6" t="str">
        <f>VLOOKUP(E6299,dicionario!$A$1:$C6698,2,0)</f>
        <v>Xylocopa frontalis</v>
      </c>
      <c r="H6299" s="6" t="str">
        <f>VLOOKUP(E6299,dicionario!$A$1:$C6698,3,0)</f>
        <v>Mamangava; mangangá; abelha-carpinteira</v>
      </c>
    </row>
    <row r="6300">
      <c r="A6300" s="3">
        <v>45701.0</v>
      </c>
      <c r="B6300" s="4">
        <v>0.3125</v>
      </c>
      <c r="C6300" s="5" t="s">
        <v>59</v>
      </c>
      <c r="D6300" s="5" t="s">
        <v>1170</v>
      </c>
      <c r="E6300" s="8" t="s">
        <v>14</v>
      </c>
      <c r="F6300" s="5" t="s">
        <v>15</v>
      </c>
      <c r="G6300" s="6" t="str">
        <f>VLOOKUP(E6300,dicionario!$A$1:$C6699,2,0)</f>
        <v>Spermacoce verticillata</v>
      </c>
      <c r="H6300" s="6" t="str">
        <f>VLOOKUP(E6300,dicionario!$A$1:$C6699,3,0)</f>
        <v>vassourinha-de-botão</v>
      </c>
    </row>
    <row r="6301">
      <c r="A6301" s="3">
        <v>45701.0</v>
      </c>
      <c r="B6301" s="4">
        <v>0.3125</v>
      </c>
      <c r="C6301" s="5" t="s">
        <v>59</v>
      </c>
      <c r="D6301" s="5" t="s">
        <v>1170</v>
      </c>
      <c r="E6301" s="8" t="s">
        <v>60</v>
      </c>
      <c r="F6301" s="5" t="s">
        <v>61</v>
      </c>
      <c r="G6301" s="6" t="str">
        <f>VLOOKUP(E6301,dicionario!$A$1:$C6700,2,0)</f>
        <v>Vanellus chilensis</v>
      </c>
      <c r="H6301" s="6" t="str">
        <f>VLOOKUP(E6301,dicionario!$A$1:$C6700,3,0)</f>
        <v>quero-quero</v>
      </c>
    </row>
    <row r="6302">
      <c r="A6302" s="3">
        <v>45701.0</v>
      </c>
      <c r="B6302" s="4">
        <v>0.3125</v>
      </c>
      <c r="C6302" s="5" t="s">
        <v>59</v>
      </c>
      <c r="D6302" s="5" t="s">
        <v>1170</v>
      </c>
      <c r="E6302" s="8" t="s">
        <v>752</v>
      </c>
      <c r="F6302" s="5" t="s">
        <v>753</v>
      </c>
      <c r="G6302" s="6" t="str">
        <f>VLOOKUP(E6302,dicionario!$A$1:$C6701,2,0)</f>
        <v>#N/A</v>
      </c>
      <c r="H6302" s="6" t="str">
        <f>VLOOKUP(E6302,dicionario!$A$1:$C6701,3,0)</f>
        <v>#N/A</v>
      </c>
    </row>
    <row r="6303">
      <c r="A6303" s="3">
        <v>45701.0</v>
      </c>
      <c r="B6303" s="4">
        <v>0.3125</v>
      </c>
      <c r="C6303" s="5" t="s">
        <v>59</v>
      </c>
      <c r="D6303" s="5" t="s">
        <v>1170</v>
      </c>
      <c r="E6303" s="8" t="s">
        <v>719</v>
      </c>
      <c r="F6303" s="5" t="s">
        <v>1005</v>
      </c>
      <c r="G6303" s="6" t="str">
        <f>VLOOKUP(E6303,dicionario!$A$1:$C6702,2,0)</f>
        <v>Dirinaria</v>
      </c>
      <c r="H6303" s="6" t="str">
        <f>VLOOKUP(E6303,dicionario!$A$1:$C6702,3,0)</f>
        <v>líquen-crostoso</v>
      </c>
    </row>
    <row r="6304">
      <c r="A6304" s="3">
        <v>45701.0</v>
      </c>
      <c r="B6304" s="4">
        <v>0.3125</v>
      </c>
      <c r="C6304" s="5" t="s">
        <v>59</v>
      </c>
      <c r="D6304" s="5" t="s">
        <v>1170</v>
      </c>
      <c r="E6304" s="8" t="s">
        <v>712</v>
      </c>
      <c r="F6304" s="5" t="s">
        <v>718</v>
      </c>
      <c r="G6304" s="6" t="str">
        <f>VLOOKUP(E6304,dicionario!$A$1:$C6703,2,0)</f>
        <v>Flavopunctelia soredica</v>
      </c>
      <c r="H6304" s="6" t="str">
        <f>VLOOKUP(E6304,dicionario!$A$1:$C6703,3,0)</f>
        <v>líquen-folioso</v>
      </c>
    </row>
    <row r="6305">
      <c r="A6305" s="3">
        <v>45701.0</v>
      </c>
      <c r="B6305" s="4">
        <v>0.3125</v>
      </c>
      <c r="C6305" s="5" t="s">
        <v>59</v>
      </c>
      <c r="D6305" s="5" t="s">
        <v>1170</v>
      </c>
      <c r="E6305" s="8" t="s">
        <v>107</v>
      </c>
      <c r="F6305" s="5" t="s">
        <v>1101</v>
      </c>
      <c r="G6305" s="6" t="str">
        <f>VLOOKUP(E6305,dicionario!$A$1:$C6704,2,0)</f>
        <v>Ramalina complanata</v>
      </c>
      <c r="H6305" s="6" t="str">
        <f>VLOOKUP(E6305,dicionario!$A$1:$C6704,3,0)</f>
        <v>ramalina</v>
      </c>
    </row>
    <row r="6306">
      <c r="A6306" s="3">
        <v>45701.0</v>
      </c>
      <c r="B6306" s="4">
        <v>0.3125</v>
      </c>
      <c r="C6306" s="5" t="s">
        <v>59</v>
      </c>
      <c r="D6306" s="5" t="s">
        <v>1170</v>
      </c>
      <c r="E6306" s="8" t="s">
        <v>348</v>
      </c>
      <c r="F6306" s="5" t="s">
        <v>955</v>
      </c>
      <c r="G6306" s="6" t="str">
        <f>VLOOKUP(E6306,dicionario!$A$1:$C6705,2,0)</f>
        <v>#N/A</v>
      </c>
      <c r="H6306" s="6" t="str">
        <f>VLOOKUP(E6306,dicionario!$A$1:$C6705,3,0)</f>
        <v>#N/A</v>
      </c>
    </row>
    <row r="6307">
      <c r="A6307" s="3">
        <v>45701.0</v>
      </c>
      <c r="B6307" s="4">
        <v>0.3125</v>
      </c>
      <c r="C6307" s="5" t="s">
        <v>59</v>
      </c>
      <c r="D6307" s="5" t="s">
        <v>1170</v>
      </c>
      <c r="E6307" s="8" t="s">
        <v>401</v>
      </c>
      <c r="F6307" s="5" t="s">
        <v>464</v>
      </c>
      <c r="G6307" s="6" t="str">
        <f>VLOOKUP(E6307,dicionario!$A$1:$C6706,2,0)</f>
        <v>Cissus verticillata</v>
      </c>
      <c r="H6307" s="6" t="str">
        <f>VLOOKUP(E6307,dicionario!$A$1:$C6706,3,0)</f>
        <v>uva-do-mato</v>
      </c>
    </row>
    <row r="6308">
      <c r="A6308" s="3">
        <v>45701.0</v>
      </c>
      <c r="B6308" s="4">
        <v>0.31319444444444444</v>
      </c>
      <c r="C6308" s="5" t="s">
        <v>59</v>
      </c>
      <c r="D6308" s="5" t="s">
        <v>1170</v>
      </c>
      <c r="E6308" s="8" t="s">
        <v>838</v>
      </c>
      <c r="F6308" s="5" t="s">
        <v>839</v>
      </c>
      <c r="G6308" s="6" t="str">
        <f>VLOOKUP(E6308,dicionario!$A$1:$C6707,2,0)</f>
        <v>Plexippus paykulli</v>
      </c>
      <c r="H6308" s="6" t="str">
        <f>VLOOKUP(E6308,dicionario!$A$1:$C6707,3,0)</f>
        <v>aranha-saltadora-pantropical</v>
      </c>
    </row>
    <row r="6309">
      <c r="A6309" s="3">
        <v>45701.0</v>
      </c>
      <c r="B6309" s="4">
        <v>0.31319444444444444</v>
      </c>
      <c r="C6309" s="5" t="s">
        <v>59</v>
      </c>
      <c r="D6309" s="5" t="s">
        <v>1170</v>
      </c>
      <c r="E6309" s="8" t="s">
        <v>302</v>
      </c>
      <c r="F6309" s="5" t="s">
        <v>89</v>
      </c>
      <c r="G6309" s="6" t="str">
        <f>VLOOKUP(E6309,dicionario!$A$1:$C6708,2,0)</f>
        <v>Machetornis rixosa</v>
      </c>
      <c r="H6309" s="6" t="str">
        <f>VLOOKUP(E6309,dicionario!$A$1:$C6708,3,0)</f>
        <v>suiriri-cavaleiro</v>
      </c>
    </row>
    <row r="6310">
      <c r="A6310" s="3">
        <v>45701.0</v>
      </c>
      <c r="B6310" s="4">
        <v>0.31319444444444444</v>
      </c>
      <c r="C6310" s="5" t="s">
        <v>59</v>
      </c>
      <c r="D6310" s="5" t="s">
        <v>1170</v>
      </c>
      <c r="E6310" s="8" t="s">
        <v>1167</v>
      </c>
      <c r="F6310" s="5" t="s">
        <v>1168</v>
      </c>
      <c r="G6310" s="6" t="str">
        <f>VLOOKUP(E6310,dicionario!$A$1:$C6709,2,0)</f>
        <v>Tillandsia recurvata</v>
      </c>
      <c r="H6310" s="6" t="str">
        <f>VLOOKUP(E6310,dicionario!$A$1:$C6709,3,0)</f>
        <v>cravo-do-mato sp2</v>
      </c>
    </row>
    <row r="6311">
      <c r="A6311" s="3">
        <v>45701.0</v>
      </c>
      <c r="B6311" s="4">
        <v>0.31319444444444444</v>
      </c>
      <c r="C6311" s="5" t="s">
        <v>59</v>
      </c>
      <c r="D6311" s="5" t="s">
        <v>1170</v>
      </c>
      <c r="E6311" s="8" t="s">
        <v>16</v>
      </c>
      <c r="F6311" s="5" t="s">
        <v>17</v>
      </c>
      <c r="G6311" s="6" t="str">
        <f>VLOOKUP(E6311,dicionario!$A$1:$C6710,2,0)</f>
        <v>Eupetomena macroura</v>
      </c>
      <c r="H6311" s="6" t="str">
        <f>VLOOKUP(E6311,dicionario!$A$1:$C6710,3,0)</f>
        <v>beija-flor-tesoura</v>
      </c>
    </row>
    <row r="6312">
      <c r="A6312" s="3">
        <v>45701.0</v>
      </c>
      <c r="B6312" s="4">
        <v>0.3145833333333333</v>
      </c>
      <c r="C6312" s="5" t="s">
        <v>59</v>
      </c>
      <c r="D6312" s="5" t="s">
        <v>1170</v>
      </c>
      <c r="E6312" s="8" t="s">
        <v>909</v>
      </c>
      <c r="F6312" s="5" t="s">
        <v>910</v>
      </c>
      <c r="G6312" s="6" t="str">
        <f>VLOOKUP(E6312,dicionario!$A$1:$C6711,2,0)</f>
        <v>Chordeiles acutipennis</v>
      </c>
      <c r="H6312" s="6" t="str">
        <f>VLOOKUP(E6312,dicionario!$A$1:$C6711,3,0)</f>
        <v>bacurau-de-asa-fina</v>
      </c>
    </row>
    <row r="6313">
      <c r="A6313" s="3">
        <v>45701.0</v>
      </c>
      <c r="B6313" s="4">
        <v>0.3145833333333333</v>
      </c>
      <c r="C6313" s="5" t="s">
        <v>59</v>
      </c>
      <c r="D6313" s="5" t="s">
        <v>1170</v>
      </c>
      <c r="E6313" s="8" t="s">
        <v>99</v>
      </c>
      <c r="F6313" s="5" t="s">
        <v>508</v>
      </c>
      <c r="G6313" s="6" t="str">
        <f>VLOOKUP(E6313,dicionario!$A$1:$C6712,2,0)</f>
        <v>Molothrus bonariensis</v>
      </c>
      <c r="H6313" s="6" t="str">
        <f>VLOOKUP(E6313,dicionario!$A$1:$C6712,3,0)</f>
        <v>chupim</v>
      </c>
    </row>
    <row r="6314">
      <c r="A6314" s="3">
        <v>45701.0</v>
      </c>
      <c r="B6314" s="4">
        <v>0.31527777777777777</v>
      </c>
      <c r="C6314" s="5" t="s">
        <v>59</v>
      </c>
      <c r="D6314" s="5" t="s">
        <v>1170</v>
      </c>
      <c r="E6314" s="8" t="s">
        <v>132</v>
      </c>
      <c r="F6314" s="5" t="s">
        <v>133</v>
      </c>
      <c r="G6314" s="6" t="str">
        <f>VLOOKUP(E6314,dicionario!$A$1:$C6713,2,0)</f>
        <v>Euphonia chlorotica</v>
      </c>
      <c r="H6314" s="6" t="str">
        <f>VLOOKUP(E6314,dicionario!$A$1:$C6713,3,0)</f>
        <v>fim-fim</v>
      </c>
    </row>
    <row r="6315">
      <c r="A6315" s="3">
        <v>45701.0</v>
      </c>
      <c r="B6315" s="4">
        <v>0.3159722222222222</v>
      </c>
      <c r="C6315" s="5" t="s">
        <v>59</v>
      </c>
      <c r="D6315" s="5" t="s">
        <v>1170</v>
      </c>
      <c r="E6315" s="8" t="s">
        <v>38</v>
      </c>
      <c r="F6315" s="5" t="s">
        <v>39</v>
      </c>
      <c r="G6315" s="6" t="str">
        <f>VLOOKUP(E6315,dicionario!$A$1:$C6714,2,0)</f>
        <v>Troglodytes musculus</v>
      </c>
      <c r="H6315" s="6" t="str">
        <f>VLOOKUP(E6315,dicionario!$A$1:$C6714,3,0)</f>
        <v>curruíra</v>
      </c>
    </row>
    <row r="6316">
      <c r="A6316" s="3">
        <v>45701.0</v>
      </c>
      <c r="B6316" s="4">
        <v>0.31875</v>
      </c>
      <c r="C6316" s="5" t="s">
        <v>64</v>
      </c>
      <c r="D6316" s="5" t="s">
        <v>1170</v>
      </c>
      <c r="E6316" s="8" t="s">
        <v>86</v>
      </c>
      <c r="F6316" s="5" t="s">
        <v>502</v>
      </c>
      <c r="G6316" s="6" t="str">
        <f>VLOOKUP(E6316,dicionario!$A$1:$C6715,2,0)</f>
        <v>Coereba flaveola</v>
      </c>
      <c r="H6316" s="6" t="str">
        <f>VLOOKUP(E6316,dicionario!$A$1:$C6715,3,0)</f>
        <v>cambacica</v>
      </c>
    </row>
    <row r="6317">
      <c r="A6317" s="3">
        <v>45701.0</v>
      </c>
      <c r="B6317" s="4">
        <v>0.31875</v>
      </c>
      <c r="C6317" s="5" t="s">
        <v>64</v>
      </c>
      <c r="D6317" s="5" t="s">
        <v>1170</v>
      </c>
      <c r="E6317" s="8" t="s">
        <v>72</v>
      </c>
      <c r="F6317" s="5" t="s">
        <v>73</v>
      </c>
      <c r="G6317" s="6" t="str">
        <f>VLOOKUP(E6317,dicionario!$A$1:$C6716,2,0)</f>
        <v>Thraupis palmarum</v>
      </c>
      <c r="H6317" s="6" t="str">
        <f>VLOOKUP(E6317,dicionario!$A$1:$C6716,3,0)</f>
        <v>sanhaço-do-coqueiro</v>
      </c>
    </row>
    <row r="6318">
      <c r="A6318" s="3">
        <v>45701.0</v>
      </c>
      <c r="B6318" s="4">
        <v>0.31875</v>
      </c>
      <c r="C6318" s="5" t="s">
        <v>64</v>
      </c>
      <c r="D6318" s="5" t="s">
        <v>1170</v>
      </c>
      <c r="E6318" s="8" t="s">
        <v>48</v>
      </c>
      <c r="F6318" s="5" t="s">
        <v>49</v>
      </c>
      <c r="G6318" s="6" t="str">
        <f>VLOOKUP(E6318,dicionario!$A$1:$C6717,2,0)</f>
        <v>Commelina erecta</v>
      </c>
      <c r="H6318" s="6" t="str">
        <f>VLOOKUP(E6318,dicionario!$A$1:$C6717,3,0)</f>
        <v>trapoeraba</v>
      </c>
    </row>
    <row r="6319">
      <c r="A6319" s="3">
        <v>45701.0</v>
      </c>
      <c r="B6319" s="4">
        <v>0.31875</v>
      </c>
      <c r="C6319" s="5" t="s">
        <v>64</v>
      </c>
      <c r="D6319" s="5" t="s">
        <v>1170</v>
      </c>
      <c r="E6319" s="8" t="s">
        <v>225</v>
      </c>
      <c r="F6319" s="5" t="s">
        <v>226</v>
      </c>
      <c r="G6319" s="6" t="str">
        <f>VLOOKUP(E6319,dicionario!$A$1:$C6718,2,0)</f>
        <v>Passer domesticus</v>
      </c>
      <c r="H6319" s="6" t="str">
        <f>VLOOKUP(E6319,dicionario!$A$1:$C6718,3,0)</f>
        <v>pardal</v>
      </c>
    </row>
    <row r="6320">
      <c r="A6320" s="3">
        <v>45701.0</v>
      </c>
      <c r="B6320" s="4">
        <v>0.31875</v>
      </c>
      <c r="C6320" s="5" t="s">
        <v>64</v>
      </c>
      <c r="D6320" s="5" t="s">
        <v>1170</v>
      </c>
      <c r="E6320" s="8" t="s">
        <v>251</v>
      </c>
      <c r="F6320" s="5" t="s">
        <v>252</v>
      </c>
      <c r="G6320" s="6" t="str">
        <f>VLOOKUP(E6320,dicionario!$A$1:$C6719,2,0)</f>
        <v>Struthanthus flexicaulis</v>
      </c>
      <c r="H6320" s="6" t="str">
        <f>VLOOKUP(E6320,dicionario!$A$1:$C6719,3,0)</f>
        <v>erva-de-passarinho</v>
      </c>
    </row>
    <row r="6321">
      <c r="A6321" s="3">
        <v>45701.0</v>
      </c>
      <c r="B6321" s="4">
        <v>0.31875</v>
      </c>
      <c r="C6321" s="5" t="s">
        <v>64</v>
      </c>
      <c r="D6321" s="5" t="s">
        <v>1170</v>
      </c>
      <c r="E6321" s="8" t="s">
        <v>1177</v>
      </c>
      <c r="F6321" s="5" t="s">
        <v>159</v>
      </c>
      <c r="G6321" s="6" t="str">
        <f>VLOOKUP(E6321,dicionario!$A$1:$C6720,2,0)</f>
        <v>#N/A</v>
      </c>
      <c r="H6321" s="6" t="str">
        <f>VLOOKUP(E6321,dicionario!$A$1:$C6720,3,0)</f>
        <v>#N/A</v>
      </c>
    </row>
    <row r="6322">
      <c r="A6322" s="3">
        <v>45701.0</v>
      </c>
      <c r="B6322" s="4">
        <v>0.31875</v>
      </c>
      <c r="C6322" s="5" t="s">
        <v>64</v>
      </c>
      <c r="D6322" s="5" t="s">
        <v>1170</v>
      </c>
      <c r="E6322" s="8" t="s">
        <v>200</v>
      </c>
      <c r="F6322" s="5" t="s">
        <v>201</v>
      </c>
      <c r="G6322" s="6" t="str">
        <f>VLOOKUP(E6322,dicionario!$A$1:$C6721,2,0)</f>
        <v>Columbina picui </v>
      </c>
      <c r="H6322" s="6" t="str">
        <f>VLOOKUP(E6322,dicionario!$A$1:$C6721,3,0)</f>
        <v>rolinha-picuí</v>
      </c>
    </row>
    <row r="6323">
      <c r="A6323" s="3">
        <v>45701.0</v>
      </c>
      <c r="B6323" s="4">
        <v>0.3194444444444444</v>
      </c>
      <c r="C6323" s="5" t="s">
        <v>64</v>
      </c>
      <c r="D6323" s="5" t="s">
        <v>1170</v>
      </c>
      <c r="E6323" s="8" t="s">
        <v>38</v>
      </c>
      <c r="F6323" s="5" t="s">
        <v>39</v>
      </c>
      <c r="G6323" s="6" t="str">
        <f>VLOOKUP(E6323,dicionario!$A$1:$C6722,2,0)</f>
        <v>Troglodytes musculus</v>
      </c>
      <c r="H6323" s="6" t="str">
        <f>VLOOKUP(E6323,dicionario!$A$1:$C6722,3,0)</f>
        <v>curruíra</v>
      </c>
    </row>
    <row r="6324">
      <c r="A6324" s="3">
        <v>45701.0</v>
      </c>
      <c r="B6324" s="4">
        <v>0.3194444444444444</v>
      </c>
      <c r="C6324" s="5" t="s">
        <v>64</v>
      </c>
      <c r="D6324" s="5" t="s">
        <v>1170</v>
      </c>
      <c r="E6324" s="8" t="s">
        <v>467</v>
      </c>
      <c r="F6324" s="5" t="s">
        <v>468</v>
      </c>
      <c r="G6324" s="6" t="str">
        <f>VLOOKUP(E6324,dicionario!$A$1:$C6723,2,0)</f>
        <v>Eleusine indica</v>
      </c>
      <c r="H6324" s="6" t="str">
        <f>VLOOKUP(E6324,dicionario!$A$1:$C6723,3,0)</f>
        <v>capim-pé-de-galinha</v>
      </c>
    </row>
    <row r="6325">
      <c r="A6325" s="3">
        <v>45701.0</v>
      </c>
      <c r="B6325" s="4">
        <v>0.3194444444444444</v>
      </c>
      <c r="C6325" s="5" t="s">
        <v>64</v>
      </c>
      <c r="D6325" s="5" t="s">
        <v>1170</v>
      </c>
      <c r="E6325" s="8" t="s">
        <v>141</v>
      </c>
      <c r="F6325" s="5" t="s">
        <v>142</v>
      </c>
      <c r="G6325" s="6" t="str">
        <f>VLOOKUP(E6325,dicionario!$A$1:$C6724,2,0)</f>
        <v>Ruellia blechum</v>
      </c>
      <c r="H6325" s="6" t="str">
        <f>VLOOKUP(E6325,dicionario!$A$1:$C6724,3,0)</f>
        <v>camarão-verde</v>
      </c>
    </row>
    <row r="6326">
      <c r="A6326" s="3">
        <v>45701.0</v>
      </c>
      <c r="B6326" s="4">
        <v>0.3194444444444444</v>
      </c>
      <c r="C6326" s="5" t="s">
        <v>64</v>
      </c>
      <c r="D6326" s="5" t="s">
        <v>1170</v>
      </c>
      <c r="E6326" s="8" t="s">
        <v>46</v>
      </c>
      <c r="F6326" s="5" t="s">
        <v>47</v>
      </c>
      <c r="G6326" s="6" t="str">
        <f>VLOOKUP(E6326,dicionario!$A$1:$C6725,2,0)</f>
        <v>Chionomesa fimbriata</v>
      </c>
      <c r="H6326" s="6" t="str">
        <f>VLOOKUP(E6326,dicionario!$A$1:$C6725,3,0)</f>
        <v>beija-flor-de-garganta-verde</v>
      </c>
    </row>
    <row r="6327">
      <c r="A6327" s="3">
        <v>45701.0</v>
      </c>
      <c r="B6327" s="4">
        <v>0.3194444444444444</v>
      </c>
      <c r="C6327" s="5" t="s">
        <v>64</v>
      </c>
      <c r="D6327" s="5" t="s">
        <v>1170</v>
      </c>
      <c r="E6327" s="8" t="s">
        <v>109</v>
      </c>
      <c r="F6327" s="5" t="s">
        <v>110</v>
      </c>
      <c r="G6327" s="6" t="str">
        <f>VLOOKUP(E6327,dicionario!$A$1:$C6726,2,0)</f>
        <v>Tillandsia stricta</v>
      </c>
      <c r="H6327" s="6" t="str">
        <f>VLOOKUP(E6327,dicionario!$A$1:$C6726,3,0)</f>
        <v>cravo-do-mato</v>
      </c>
    </row>
    <row r="6328">
      <c r="A6328" s="3">
        <v>45701.0</v>
      </c>
      <c r="B6328" s="4">
        <v>0.3194444444444444</v>
      </c>
      <c r="C6328" s="5" t="s">
        <v>64</v>
      </c>
      <c r="D6328" s="5" t="s">
        <v>1170</v>
      </c>
      <c r="E6328" s="8" t="s">
        <v>163</v>
      </c>
      <c r="F6328" s="5" t="s">
        <v>164</v>
      </c>
      <c r="G6328" s="6" t="str">
        <f>VLOOKUP(E6328,dicionario!$A$1:$C6727,2,0)</f>
        <v>Coragyps atratus</v>
      </c>
      <c r="H6328" s="6" t="str">
        <f>VLOOKUP(E6328,dicionario!$A$1:$C6727,3,0)</f>
        <v>urubu-de-cabeça-preta</v>
      </c>
    </row>
    <row r="6329">
      <c r="A6329" s="3">
        <v>45701.0</v>
      </c>
      <c r="B6329" s="4">
        <v>0.3229166666666667</v>
      </c>
      <c r="C6329" s="5" t="s">
        <v>64</v>
      </c>
      <c r="D6329" s="5" t="s">
        <v>1170</v>
      </c>
      <c r="E6329" s="8" t="s">
        <v>62</v>
      </c>
      <c r="F6329" s="5" t="s">
        <v>63</v>
      </c>
      <c r="G6329" s="6" t="str">
        <f>VLOOKUP(E6329,dicionario!$A$1:$C6728,2,0)</f>
        <v>Hymenoptera</v>
      </c>
      <c r="H6329" s="6" t="str">
        <f>VLOOKUP(E6329,dicionario!$A$1:$C6728,3,0)</f>
        <v>vespa</v>
      </c>
    </row>
    <row r="6330">
      <c r="A6330" s="3">
        <v>45701.0</v>
      </c>
      <c r="B6330" s="4">
        <v>0.3229166666666667</v>
      </c>
      <c r="C6330" s="5" t="s">
        <v>64</v>
      </c>
      <c r="D6330" s="5" t="s">
        <v>1170</v>
      </c>
      <c r="E6330" s="8" t="s">
        <v>1178</v>
      </c>
      <c r="F6330" s="5" t="s">
        <v>125</v>
      </c>
      <c r="G6330" s="6" t="str">
        <f>VLOOKUP(E6330,dicionario!$A$1:$C6729,2,0)</f>
        <v>#N/A</v>
      </c>
      <c r="H6330" s="6" t="str">
        <f>VLOOKUP(E6330,dicionario!$A$1:$C6729,3,0)</f>
        <v>#N/A</v>
      </c>
    </row>
    <row r="6331">
      <c r="A6331" s="3">
        <v>45701.0</v>
      </c>
      <c r="B6331" s="4">
        <v>0.3229166666666667</v>
      </c>
      <c r="C6331" s="5" t="s">
        <v>64</v>
      </c>
      <c r="D6331" s="5" t="s">
        <v>1170</v>
      </c>
      <c r="E6331" s="8" t="s">
        <v>253</v>
      </c>
      <c r="F6331" s="5" t="s">
        <v>254</v>
      </c>
      <c r="G6331" s="6" t="str">
        <f>VLOOKUP(E6331,dicionario!$A$1:$C6730,2,0)</f>
        <v>Panicum maximum</v>
      </c>
      <c r="H6331" s="6" t="str">
        <f>VLOOKUP(E6331,dicionario!$A$1:$C6730,3,0)</f>
        <v>capim-colonião</v>
      </c>
    </row>
    <row r="6332">
      <c r="A6332" s="3">
        <v>45701.0</v>
      </c>
      <c r="B6332" s="4">
        <v>0.3229166666666667</v>
      </c>
      <c r="C6332" s="5" t="s">
        <v>64</v>
      </c>
      <c r="D6332" s="5" t="s">
        <v>1170</v>
      </c>
      <c r="E6332" s="8" t="s">
        <v>83</v>
      </c>
      <c r="F6332" s="5" t="s">
        <v>84</v>
      </c>
      <c r="G6332" s="6" t="str">
        <f>VLOOKUP(E6332,dicionario!$A$1:$C6731,2,0)</f>
        <v>Anartia jatrophae</v>
      </c>
      <c r="H6332" s="6" t="str">
        <f>VLOOKUP(E6332,dicionario!$A$1:$C6731,3,0)</f>
        <v>borboleta-pavão-branco</v>
      </c>
    </row>
    <row r="6333">
      <c r="A6333" s="3">
        <v>45701.0</v>
      </c>
      <c r="B6333" s="4">
        <v>0.3229166666666667</v>
      </c>
      <c r="C6333" s="5" t="s">
        <v>64</v>
      </c>
      <c r="D6333" s="5" t="s">
        <v>1170</v>
      </c>
      <c r="E6333" s="8" t="s">
        <v>72</v>
      </c>
      <c r="F6333" s="5" t="s">
        <v>73</v>
      </c>
      <c r="G6333" s="6" t="str">
        <f>VLOOKUP(E6333,dicionario!$A$1:$C6732,2,0)</f>
        <v>Thraupis palmarum</v>
      </c>
      <c r="H6333" s="6" t="str">
        <f>VLOOKUP(E6333,dicionario!$A$1:$C6732,3,0)</f>
        <v>sanhaço-do-coqueiro</v>
      </c>
    </row>
    <row r="6334">
      <c r="A6334" s="3">
        <v>45701.0</v>
      </c>
      <c r="B6334" s="4">
        <v>0.3229166666666667</v>
      </c>
      <c r="C6334" s="5" t="s">
        <v>64</v>
      </c>
      <c r="D6334" s="5" t="s">
        <v>1170</v>
      </c>
      <c r="E6334" s="8" t="s">
        <v>1002</v>
      </c>
      <c r="F6334" s="5" t="s">
        <v>1003</v>
      </c>
      <c r="G6334" s="6" t="str">
        <f>VLOOKUP(E6334,dicionario!$A$1:$C6733,2,0)</f>
        <v>#N/A</v>
      </c>
      <c r="H6334" s="6" t="str">
        <f>VLOOKUP(E6334,dicionario!$A$1:$C6733,3,0)</f>
        <v>#N/A</v>
      </c>
    </row>
    <row r="6335">
      <c r="A6335" s="3">
        <v>45701.0</v>
      </c>
      <c r="B6335" s="4">
        <v>0.32430555555555557</v>
      </c>
      <c r="C6335" s="5" t="s">
        <v>64</v>
      </c>
      <c r="D6335" s="5" t="s">
        <v>1170</v>
      </c>
      <c r="E6335" s="8" t="s">
        <v>247</v>
      </c>
      <c r="F6335" s="5" t="s">
        <v>387</v>
      </c>
      <c r="G6335" s="6" t="str">
        <f>VLOOKUP(E6335,dicionario!$A$1:$C6734,2,0)</f>
        <v>Emilia sonchifolia</v>
      </c>
      <c r="H6335" s="6" t="str">
        <f>VLOOKUP(E6335,dicionario!$A$1:$C6734,3,0)</f>
        <v>serralinha</v>
      </c>
    </row>
    <row r="6336">
      <c r="A6336" s="3">
        <v>45701.0</v>
      </c>
      <c r="B6336" s="4">
        <v>0.32430555555555557</v>
      </c>
      <c r="C6336" s="5" t="s">
        <v>64</v>
      </c>
      <c r="D6336" s="5" t="s">
        <v>1170</v>
      </c>
      <c r="E6336" s="8" t="s">
        <v>181</v>
      </c>
      <c r="F6336" s="5" t="s">
        <v>182</v>
      </c>
      <c r="G6336" s="6" t="str">
        <f>VLOOKUP(E6336,dicionario!$A$1:$C6735,2,0)</f>
        <v>#N/A</v>
      </c>
      <c r="H6336" s="6" t="str">
        <f>VLOOKUP(E6336,dicionario!$A$1:$C6735,3,0)</f>
        <v>#N/A</v>
      </c>
    </row>
    <row r="6337">
      <c r="A6337" s="3">
        <v>45701.0</v>
      </c>
      <c r="B6337" s="4">
        <v>0.32430555555555557</v>
      </c>
      <c r="C6337" s="5" t="s">
        <v>64</v>
      </c>
      <c r="D6337" s="5" t="s">
        <v>1170</v>
      </c>
      <c r="E6337" s="8" t="s">
        <v>740</v>
      </c>
      <c r="F6337" s="5" t="s">
        <v>741</v>
      </c>
      <c r="G6337" s="6" t="str">
        <f>VLOOKUP(E6337,dicionario!$A$1:$C6736,2,0)</f>
        <v>Melothria cucumis</v>
      </c>
      <c r="H6337" s="6" t="str">
        <f>VLOOKUP(E6337,dicionario!$A$1:$C6736,3,0)</f>
        <v>pepino-do-mato</v>
      </c>
    </row>
    <row r="6338">
      <c r="A6338" s="3">
        <v>45701.0</v>
      </c>
      <c r="B6338" s="4">
        <v>0.32430555555555557</v>
      </c>
      <c r="C6338" s="5" t="s">
        <v>64</v>
      </c>
      <c r="D6338" s="5" t="s">
        <v>1170</v>
      </c>
      <c r="E6338" s="8" t="s">
        <v>46</v>
      </c>
      <c r="F6338" s="5" t="s">
        <v>47</v>
      </c>
      <c r="G6338" s="6" t="str">
        <f>VLOOKUP(E6338,dicionario!$A$1:$C6737,2,0)</f>
        <v>Chionomesa fimbriata</v>
      </c>
      <c r="H6338" s="6" t="str">
        <f>VLOOKUP(E6338,dicionario!$A$1:$C6737,3,0)</f>
        <v>beija-flor-de-garganta-verde</v>
      </c>
    </row>
    <row r="6339">
      <c r="A6339" s="3">
        <v>45701.0</v>
      </c>
      <c r="B6339" s="4">
        <v>0.3402777777777778</v>
      </c>
      <c r="C6339" s="5" t="s">
        <v>76</v>
      </c>
      <c r="D6339" s="5" t="s">
        <v>1170</v>
      </c>
      <c r="E6339" s="8" t="s">
        <v>560</v>
      </c>
      <c r="F6339" s="5" t="s">
        <v>561</v>
      </c>
      <c r="G6339" s="6" t="str">
        <f>VLOOKUP(E6339,dicionario!$A$1:$C6738,2,0)</f>
        <v>Megarynchus pitangua</v>
      </c>
      <c r="H6339" s="6" t="str">
        <f>VLOOKUP(E6339,dicionario!$A$1:$C6738,3,0)</f>
        <v>neinei</v>
      </c>
    </row>
    <row r="6340">
      <c r="A6340" s="3">
        <v>45701.0</v>
      </c>
      <c r="B6340" s="4">
        <v>0.3402777777777778</v>
      </c>
      <c r="C6340" s="5" t="s">
        <v>76</v>
      </c>
      <c r="D6340" s="5" t="s">
        <v>1170</v>
      </c>
      <c r="E6340" s="8" t="s">
        <v>1171</v>
      </c>
      <c r="F6340" s="5" t="s">
        <v>1179</v>
      </c>
      <c r="G6340" s="6" t="str">
        <f>VLOOKUP(E6340,dicionario!$A$1:$C6739,2,0)</f>
        <v>#N/A</v>
      </c>
      <c r="H6340" s="6" t="str">
        <f>VLOOKUP(E6340,dicionario!$A$1:$C6739,3,0)</f>
        <v>#N/A</v>
      </c>
    </row>
    <row r="6341">
      <c r="A6341" s="3">
        <v>45701.0</v>
      </c>
      <c r="B6341" s="4">
        <v>0.34305555555555556</v>
      </c>
      <c r="C6341" s="5" t="s">
        <v>76</v>
      </c>
      <c r="D6341" s="5" t="s">
        <v>1170</v>
      </c>
      <c r="E6341" s="8" t="s">
        <v>247</v>
      </c>
      <c r="F6341" s="7" t="s">
        <v>272</v>
      </c>
      <c r="G6341" s="6" t="str">
        <f>VLOOKUP(E6341,dicionario!$A$1:$C6740,2,0)</f>
        <v>Emilia sonchifolia</v>
      </c>
      <c r="H6341" s="6" t="str">
        <f>VLOOKUP(E6341,dicionario!$A$1:$C6740,3,0)</f>
        <v>serralinha</v>
      </c>
    </row>
    <row r="6342">
      <c r="A6342" s="3">
        <v>45701.0</v>
      </c>
      <c r="B6342" s="4">
        <v>0.34305555555555556</v>
      </c>
      <c r="C6342" s="5" t="s">
        <v>76</v>
      </c>
      <c r="D6342" s="5" t="s">
        <v>1170</v>
      </c>
      <c r="E6342" s="8" t="s">
        <v>355</v>
      </c>
      <c r="F6342" s="5" t="s">
        <v>356</v>
      </c>
      <c r="G6342" s="6" t="str">
        <f>VLOOKUP(E6342,dicionario!$A$1:$C6741,2,0)</f>
        <v>Boerhavia diffusa</v>
      </c>
      <c r="H6342" s="6" t="str">
        <f>VLOOKUP(E6342,dicionario!$A$1:$C6741,3,0)</f>
        <v>erva-tostão</v>
      </c>
    </row>
    <row r="6343">
      <c r="A6343" s="3">
        <v>45701.0</v>
      </c>
      <c r="B6343" s="4">
        <v>0.34305555555555556</v>
      </c>
      <c r="C6343" s="5" t="s">
        <v>76</v>
      </c>
      <c r="D6343" s="5" t="s">
        <v>1170</v>
      </c>
      <c r="E6343" s="8" t="s">
        <v>146</v>
      </c>
      <c r="F6343" s="5" t="s">
        <v>147</v>
      </c>
      <c r="G6343" s="6" t="str">
        <f>VLOOKUP(E6343,dicionario!$A$1:$C6742,2,0)</f>
        <v>Euphorbia hirta</v>
      </c>
      <c r="H6343" s="6" t="str">
        <f>VLOOKUP(E6343,dicionario!$A$1:$C6742,3,0)</f>
        <v>erva-de-santa-luzia</v>
      </c>
    </row>
    <row r="6344">
      <c r="A6344" s="3">
        <v>45701.0</v>
      </c>
      <c r="B6344" s="4">
        <v>0.34305555555555556</v>
      </c>
      <c r="C6344" s="5" t="s">
        <v>76</v>
      </c>
      <c r="D6344" s="5" t="s">
        <v>1170</v>
      </c>
      <c r="E6344" s="8" t="s">
        <v>83</v>
      </c>
      <c r="F6344" s="5" t="s">
        <v>84</v>
      </c>
      <c r="G6344" s="6" t="str">
        <f>VLOOKUP(E6344,dicionario!$A$1:$C6743,2,0)</f>
        <v>Anartia jatrophae</v>
      </c>
      <c r="H6344" s="6" t="str">
        <f>VLOOKUP(E6344,dicionario!$A$1:$C6743,3,0)</f>
        <v>borboleta-pavão-branco</v>
      </c>
    </row>
    <row r="6345">
      <c r="A6345" s="3">
        <v>45701.0</v>
      </c>
      <c r="B6345" s="4">
        <v>0.34305555555555556</v>
      </c>
      <c r="C6345" s="5" t="s">
        <v>76</v>
      </c>
      <c r="D6345" s="5" t="s">
        <v>1170</v>
      </c>
      <c r="E6345" s="8" t="s">
        <v>20</v>
      </c>
      <c r="F6345" s="7" t="s">
        <v>21</v>
      </c>
      <c r="G6345" s="6" t="str">
        <f>VLOOKUP(E6345,dicionario!$A$1:$C6744,2,0)</f>
        <v>Sicalis flaveola</v>
      </c>
      <c r="H6345" s="6" t="str">
        <f>VLOOKUP(E6345,dicionario!$A$1:$C6744,3,0)</f>
        <v>canário-da-terra</v>
      </c>
    </row>
    <row r="6346">
      <c r="A6346" s="3">
        <v>45701.0</v>
      </c>
      <c r="B6346" s="4">
        <v>0.34305555555555556</v>
      </c>
      <c r="C6346" s="5" t="s">
        <v>76</v>
      </c>
      <c r="D6346" s="5" t="s">
        <v>1170</v>
      </c>
      <c r="E6346" s="8" t="s">
        <v>225</v>
      </c>
      <c r="F6346" s="5" t="s">
        <v>226</v>
      </c>
      <c r="G6346" s="6" t="str">
        <f>VLOOKUP(E6346,dicionario!$A$1:$C6745,2,0)</f>
        <v>Passer domesticus</v>
      </c>
      <c r="H6346" s="6" t="str">
        <f>VLOOKUP(E6346,dicionario!$A$1:$C6745,3,0)</f>
        <v>pardal</v>
      </c>
    </row>
    <row r="6347">
      <c r="A6347" s="3">
        <v>45701.0</v>
      </c>
      <c r="B6347" s="4">
        <v>0.34305555555555556</v>
      </c>
      <c r="C6347" s="5" t="s">
        <v>76</v>
      </c>
      <c r="D6347" s="5" t="s">
        <v>1170</v>
      </c>
      <c r="E6347" s="8" t="s">
        <v>378</v>
      </c>
      <c r="F6347" s="5" t="s">
        <v>205</v>
      </c>
      <c r="G6347" s="6" t="str">
        <f>VLOOKUP(E6347,dicionario!$A$1:$C6746,2,0)</f>
        <v>Polistes</v>
      </c>
      <c r="H6347" s="6" t="str">
        <f>VLOOKUP(E6347,dicionario!$A$1:$C6746,3,0)</f>
        <v>marimbondo</v>
      </c>
    </row>
    <row r="6348">
      <c r="A6348" s="3">
        <v>45701.0</v>
      </c>
      <c r="B6348" s="4">
        <v>0.34375</v>
      </c>
      <c r="C6348" s="5" t="s">
        <v>76</v>
      </c>
      <c r="D6348" s="5" t="s">
        <v>1170</v>
      </c>
      <c r="E6348" s="8" t="s">
        <v>195</v>
      </c>
      <c r="F6348" s="5" t="s">
        <v>196</v>
      </c>
      <c r="G6348" s="6" t="str">
        <f>VLOOKUP(E6348,dicionario!$A$1:$C6747,2,0)</f>
        <v>Priva lappulacea</v>
      </c>
      <c r="H6348" s="6" t="str">
        <f>VLOOKUP(E6348,dicionario!$A$1:$C6747,3,0)</f>
        <v>carrapicho</v>
      </c>
    </row>
    <row r="6349">
      <c r="A6349" s="3">
        <v>45701.0</v>
      </c>
      <c r="B6349" s="4">
        <v>0.34375</v>
      </c>
      <c r="C6349" s="5" t="s">
        <v>76</v>
      </c>
      <c r="D6349" s="5" t="s">
        <v>1170</v>
      </c>
      <c r="E6349" s="8" t="s">
        <v>141</v>
      </c>
      <c r="F6349" s="5" t="s">
        <v>142</v>
      </c>
      <c r="G6349" s="6" t="str">
        <f>VLOOKUP(E6349,dicionario!$A$1:$C6748,2,0)</f>
        <v>Ruellia blechum</v>
      </c>
      <c r="H6349" s="6" t="str">
        <f>VLOOKUP(E6349,dicionario!$A$1:$C6748,3,0)</f>
        <v>camarão-verde</v>
      </c>
    </row>
    <row r="6350">
      <c r="A6350" s="3">
        <v>45701.0</v>
      </c>
      <c r="B6350" s="4">
        <v>0.34375</v>
      </c>
      <c r="C6350" s="5" t="s">
        <v>76</v>
      </c>
      <c r="D6350" s="5" t="s">
        <v>1170</v>
      </c>
      <c r="E6350" s="6" t="s">
        <v>539</v>
      </c>
      <c r="F6350" s="5" t="s">
        <v>540</v>
      </c>
      <c r="G6350" s="6" t="str">
        <f>VLOOKUP(E6350,dicionario!$A$1:$C6749,2,0)</f>
        <v>#N/A</v>
      </c>
      <c r="H6350" s="6" t="str">
        <f>VLOOKUP(E6350,dicionario!$A$1:$C6749,3,0)</f>
        <v>#N/A</v>
      </c>
    </row>
    <row r="6351">
      <c r="A6351" s="3">
        <v>45701.0</v>
      </c>
      <c r="B6351" s="4">
        <v>0.34375</v>
      </c>
      <c r="C6351" s="5" t="s">
        <v>76</v>
      </c>
      <c r="D6351" s="5" t="s">
        <v>1170</v>
      </c>
      <c r="E6351" s="8" t="s">
        <v>483</v>
      </c>
      <c r="F6351" s="5" t="s">
        <v>289</v>
      </c>
      <c r="G6351" s="6" t="str">
        <f>VLOOKUP(E6351,dicionario!$A$1:$C6750,2,0)</f>
        <v>Euphorbia prostrata</v>
      </c>
      <c r="H6351" s="6" t="str">
        <f>VLOOKUP(E6351,dicionario!$A$1:$C6750,3,0)</f>
        <v>quebra-pedra-rasteira</v>
      </c>
    </row>
    <row r="6352">
      <c r="A6352" s="3">
        <v>45701.0</v>
      </c>
      <c r="B6352" s="4">
        <v>0.34375</v>
      </c>
      <c r="C6352" s="5" t="s">
        <v>76</v>
      </c>
      <c r="D6352" s="5" t="s">
        <v>1170</v>
      </c>
      <c r="E6352" s="8" t="s">
        <v>290</v>
      </c>
      <c r="F6352" s="5" t="s">
        <v>291</v>
      </c>
      <c r="G6352" s="6" t="str">
        <f>VLOOKUP(E6352,dicionario!$A$1:$C6751,2,0)</f>
        <v>Drymaria cordata</v>
      </c>
      <c r="H6352" s="6" t="str">
        <f>VLOOKUP(E6352,dicionario!$A$1:$C6751,3,0)</f>
        <v>orelha-de-rato</v>
      </c>
    </row>
    <row r="6353">
      <c r="A6353" s="3">
        <v>45701.0</v>
      </c>
      <c r="B6353" s="4">
        <v>0.34375</v>
      </c>
      <c r="C6353" s="5" t="s">
        <v>76</v>
      </c>
      <c r="D6353" s="5" t="s">
        <v>1170</v>
      </c>
      <c r="E6353" s="8" t="s">
        <v>253</v>
      </c>
      <c r="F6353" s="5" t="s">
        <v>254</v>
      </c>
      <c r="G6353" s="6" t="str">
        <f>VLOOKUP(E6353,dicionario!$A$1:$C6752,2,0)</f>
        <v>Panicum maximum</v>
      </c>
      <c r="H6353" s="6" t="str">
        <f>VLOOKUP(E6353,dicionario!$A$1:$C6752,3,0)</f>
        <v>capim-colonião</v>
      </c>
    </row>
    <row r="6354">
      <c r="A6354" s="3">
        <v>45701.0</v>
      </c>
      <c r="B6354" s="4">
        <v>0.34375</v>
      </c>
      <c r="C6354" s="5" t="s">
        <v>76</v>
      </c>
      <c r="D6354" s="5" t="s">
        <v>1170</v>
      </c>
      <c r="E6354" s="8" t="s">
        <v>1066</v>
      </c>
      <c r="F6354" s="5" t="s">
        <v>582</v>
      </c>
      <c r="G6354" s="6" t="str">
        <f>VLOOKUP(E6354,dicionario!$A$1:$C6753,2,0)</f>
        <v>#N/A</v>
      </c>
      <c r="H6354" s="6" t="str">
        <f>VLOOKUP(E6354,dicionario!$A$1:$C6753,3,0)</f>
        <v>#N/A</v>
      </c>
    </row>
    <row r="6355">
      <c r="A6355" s="3">
        <v>45701.0</v>
      </c>
      <c r="B6355" s="4">
        <v>0.34375</v>
      </c>
      <c r="C6355" s="5" t="s">
        <v>76</v>
      </c>
      <c r="D6355" s="5" t="s">
        <v>1170</v>
      </c>
      <c r="E6355" s="8" t="s">
        <v>150</v>
      </c>
      <c r="F6355" s="5" t="s">
        <v>151</v>
      </c>
      <c r="G6355" s="6" t="str">
        <f>VLOOKUP(E6355,dicionario!$A$1:$C6754,2,0)</f>
        <v>Amaranthus viridis</v>
      </c>
      <c r="H6355" s="6" t="str">
        <f>VLOOKUP(E6355,dicionario!$A$1:$C6754,3,0)</f>
        <v>caruru-de-mancha</v>
      </c>
    </row>
    <row r="6356">
      <c r="A6356" s="3">
        <v>45701.0</v>
      </c>
      <c r="B6356" s="4">
        <v>0.34375</v>
      </c>
      <c r="C6356" s="5" t="s">
        <v>76</v>
      </c>
      <c r="D6356" s="5" t="s">
        <v>1170</v>
      </c>
      <c r="E6356" s="8" t="s">
        <v>504</v>
      </c>
      <c r="F6356" s="5" t="s">
        <v>1180</v>
      </c>
      <c r="G6356" s="6" t="str">
        <f>VLOOKUP(E6356,dicionario!$A$1:$C6755,2,0)</f>
        <v>Cleome aculeata</v>
      </c>
      <c r="H6356" s="6" t="str">
        <f>VLOOKUP(E6356,dicionario!$A$1:$C6755,3,0)</f>
        <v>cleome</v>
      </c>
    </row>
    <row r="6357">
      <c r="A6357" s="3">
        <v>45701.0</v>
      </c>
      <c r="B6357" s="4">
        <v>0.2611111111111111</v>
      </c>
      <c r="C6357" s="5" t="s">
        <v>76</v>
      </c>
      <c r="D6357" s="5" t="s">
        <v>1170</v>
      </c>
      <c r="E6357" s="8" t="s">
        <v>38</v>
      </c>
      <c r="F6357" s="5" t="s">
        <v>39</v>
      </c>
      <c r="G6357" s="6" t="str">
        <f>VLOOKUP(E6357,dicionario!$A$1:$C6756,2,0)</f>
        <v>Troglodytes musculus</v>
      </c>
      <c r="H6357" s="6" t="str">
        <f>VLOOKUP(E6357,dicionario!$A$1:$C6756,3,0)</f>
        <v>curruíra</v>
      </c>
    </row>
    <row r="6358">
      <c r="A6358" s="3">
        <v>45701.0</v>
      </c>
      <c r="B6358" s="4">
        <v>0.2611111111111111</v>
      </c>
      <c r="C6358" s="5" t="s">
        <v>76</v>
      </c>
      <c r="D6358" s="5" t="s">
        <v>1170</v>
      </c>
      <c r="E6358" s="8" t="s">
        <v>613</v>
      </c>
      <c r="F6358" s="5" t="s">
        <v>614</v>
      </c>
      <c r="G6358" s="6" t="str">
        <f>VLOOKUP(E6358,dicionario!$A$1:$C6757,2,0)</f>
        <v>Euphorbia hyssopifolia</v>
      </c>
      <c r="H6358" s="6" t="str">
        <f>VLOOKUP(E6358,dicionario!$A$1:$C6757,3,0)</f>
        <v>maria-leite</v>
      </c>
    </row>
    <row r="6359">
      <c r="A6359" s="3">
        <v>45701.0</v>
      </c>
      <c r="B6359" s="4">
        <v>0.2611111111111111</v>
      </c>
      <c r="C6359" s="5" t="s">
        <v>76</v>
      </c>
      <c r="D6359" s="5" t="s">
        <v>1170</v>
      </c>
      <c r="E6359" s="8" t="s">
        <v>1087</v>
      </c>
      <c r="F6359" s="5" t="s">
        <v>1088</v>
      </c>
      <c r="G6359" s="6" t="str">
        <f>VLOOKUP(E6359,dicionario!$A$1:$C6758,2,0)</f>
        <v>Desmodium triflorum</v>
      </c>
      <c r="H6359" s="6" t="str">
        <f>VLOOKUP(E6359,dicionario!$A$1:$C6758,3,0)</f>
        <v/>
      </c>
    </row>
    <row r="6360">
      <c r="A6360" s="3">
        <v>45701.0</v>
      </c>
      <c r="B6360" s="4">
        <v>0.2611111111111111</v>
      </c>
      <c r="C6360" s="5" t="s">
        <v>76</v>
      </c>
      <c r="D6360" s="5" t="s">
        <v>1170</v>
      </c>
      <c r="E6360" s="8" t="s">
        <v>489</v>
      </c>
      <c r="F6360" s="5" t="s">
        <v>521</v>
      </c>
      <c r="G6360" s="6" t="str">
        <f>VLOOKUP(E6360,dicionario!$A$1:$C6759,2,0)</f>
        <v>Cenchrus echinatus</v>
      </c>
      <c r="H6360" s="6" t="str">
        <f>VLOOKUP(E6360,dicionario!$A$1:$C6759,3,0)</f>
        <v>capim-carrapicho</v>
      </c>
    </row>
    <row r="6361">
      <c r="A6361" s="3">
        <v>45701.0</v>
      </c>
      <c r="B6361" s="4">
        <v>0.2611111111111111</v>
      </c>
      <c r="C6361" s="5" t="s">
        <v>76</v>
      </c>
      <c r="D6361" s="5" t="s">
        <v>1170</v>
      </c>
      <c r="E6361" s="8" t="s">
        <v>152</v>
      </c>
      <c r="F6361" s="5" t="s">
        <v>153</v>
      </c>
      <c r="G6361" s="6" t="str">
        <f>VLOOKUP(E6361,dicionario!$A$1:$C6760,2,0)</f>
        <v>Cynodon dactylon</v>
      </c>
      <c r="H6361" s="6" t="str">
        <f>VLOOKUP(E6361,dicionario!$A$1:$C6760,3,0)</f>
        <v>grama-bermuda</v>
      </c>
    </row>
    <row r="6362">
      <c r="A6362" s="3">
        <v>45701.0</v>
      </c>
      <c r="B6362" s="4">
        <v>0.2611111111111111</v>
      </c>
      <c r="C6362" s="5" t="s">
        <v>76</v>
      </c>
      <c r="D6362" s="5" t="s">
        <v>1170</v>
      </c>
      <c r="E6362" s="8" t="s">
        <v>298</v>
      </c>
      <c r="F6362" s="5" t="s">
        <v>299</v>
      </c>
      <c r="G6362" s="6" t="str">
        <f>VLOOKUP(E6362,dicionario!$A$1:$C6761,2,0)</f>
        <v>Alysicarpus vaginalis</v>
      </c>
      <c r="H6362" s="6" t="str">
        <f>VLOOKUP(E6362,dicionario!$A$1:$C6761,3,0)</f>
        <v/>
      </c>
    </row>
    <row r="6363">
      <c r="A6363" s="3">
        <v>45701.0</v>
      </c>
      <c r="B6363" s="4">
        <v>0.2611111111111111</v>
      </c>
      <c r="C6363" s="5" t="s">
        <v>76</v>
      </c>
      <c r="D6363" s="5" t="s">
        <v>1170</v>
      </c>
      <c r="E6363" s="8" t="s">
        <v>247</v>
      </c>
      <c r="F6363" s="5" t="s">
        <v>387</v>
      </c>
      <c r="G6363" s="6" t="str">
        <f>VLOOKUP(E6363,dicionario!$A$1:$C6762,2,0)</f>
        <v>Emilia sonchifolia</v>
      </c>
      <c r="H6363" s="6" t="str">
        <f>VLOOKUP(E6363,dicionario!$A$1:$C6762,3,0)</f>
        <v>serralinha</v>
      </c>
    </row>
    <row r="6364">
      <c r="A6364" s="3">
        <v>45701.0</v>
      </c>
      <c r="B6364" s="4">
        <v>0.3451388888888889</v>
      </c>
      <c r="C6364" s="5" t="s">
        <v>76</v>
      </c>
      <c r="D6364" s="5" t="s">
        <v>1170</v>
      </c>
      <c r="E6364" s="8" t="s">
        <v>135</v>
      </c>
      <c r="F6364" s="5" t="s">
        <v>136</v>
      </c>
      <c r="G6364" s="6" t="str">
        <f>VLOOKUP(E6364,dicionario!$A$1:$C6763,2,0)</f>
        <v>Tridax procumbens</v>
      </c>
      <c r="H6364" s="6" t="str">
        <f>VLOOKUP(E6364,dicionario!$A$1:$C6763,3,0)</f>
        <v>erva-de-touro</v>
      </c>
    </row>
    <row r="6365">
      <c r="A6365" s="3">
        <v>45701.0</v>
      </c>
      <c r="B6365" s="4">
        <v>0.3451388888888889</v>
      </c>
      <c r="C6365" s="5" t="s">
        <v>76</v>
      </c>
      <c r="D6365" s="5" t="s">
        <v>1170</v>
      </c>
      <c r="E6365" s="8" t="s">
        <v>319</v>
      </c>
      <c r="F6365" s="5" t="s">
        <v>320</v>
      </c>
      <c r="G6365" s="6" t="str">
        <f>VLOOKUP(E6365,dicionario!$A$1:$C6764,2,0)</f>
        <v>Schinus terebinthifolia</v>
      </c>
      <c r="H6365" s="6" t="str">
        <f>VLOOKUP(E6365,dicionario!$A$1:$C6764,3,0)</f>
        <v>aroeira</v>
      </c>
    </row>
    <row r="6366">
      <c r="A6366" s="3">
        <v>45701.0</v>
      </c>
      <c r="B6366" s="4">
        <v>0.3451388888888889</v>
      </c>
      <c r="C6366" s="5" t="s">
        <v>76</v>
      </c>
      <c r="D6366" s="5" t="s">
        <v>1170</v>
      </c>
      <c r="E6366" s="8" t="s">
        <v>736</v>
      </c>
      <c r="F6366" s="5" t="s">
        <v>737</v>
      </c>
      <c r="G6366" s="6" t="str">
        <f>VLOOKUP(E6366,dicionario!$A$1:$C6765,2,0)</f>
        <v>Chloris virgata</v>
      </c>
      <c r="H6366" s="6" t="str">
        <f>VLOOKUP(E6366,dicionario!$A$1:$C6765,3,0)</f>
        <v>capim-pavão</v>
      </c>
    </row>
    <row r="6367">
      <c r="A6367" s="3">
        <v>45701.0</v>
      </c>
      <c r="B6367" s="4">
        <v>0.3451388888888889</v>
      </c>
      <c r="C6367" s="5" t="s">
        <v>76</v>
      </c>
      <c r="D6367" s="5" t="s">
        <v>1170</v>
      </c>
      <c r="E6367" s="8" t="s">
        <v>143</v>
      </c>
      <c r="F6367" s="5" t="s">
        <v>63</v>
      </c>
      <c r="G6367" s="6" t="str">
        <f>VLOOKUP(E6367,dicionario!$A$1:$C6766,2,0)</f>
        <v>Polybia</v>
      </c>
      <c r="H6367" s="6" t="str">
        <f>VLOOKUP(E6367,dicionario!$A$1:$C6766,3,0)</f>
        <v>vespa</v>
      </c>
    </row>
    <row r="6368">
      <c r="A6368" s="3">
        <v>45701.0</v>
      </c>
      <c r="B6368" s="4">
        <v>0.3451388888888889</v>
      </c>
      <c r="C6368" s="5" t="s">
        <v>76</v>
      </c>
      <c r="D6368" s="5" t="s">
        <v>1170</v>
      </c>
      <c r="E6368" s="8" t="s">
        <v>148</v>
      </c>
      <c r="F6368" s="5" t="s">
        <v>149</v>
      </c>
      <c r="G6368" s="6" t="str">
        <f>VLOOKUP(E6368,dicionario!$A$1:$C6767,2,0)</f>
        <v>Parthenium hysterophorus</v>
      </c>
      <c r="H6368" s="6" t="str">
        <f>VLOOKUP(E6368,dicionario!$A$1:$C6767,3,0)</f>
        <v>losna-branca</v>
      </c>
    </row>
    <row r="6369">
      <c r="A6369" s="3">
        <v>45701.0</v>
      </c>
      <c r="B6369" s="4">
        <v>0.3451388888888889</v>
      </c>
      <c r="C6369" s="5" t="s">
        <v>76</v>
      </c>
      <c r="D6369" s="5" t="s">
        <v>1170</v>
      </c>
      <c r="E6369" s="8" t="s">
        <v>163</v>
      </c>
      <c r="F6369" s="5" t="s">
        <v>164</v>
      </c>
      <c r="G6369" s="6" t="str">
        <f>VLOOKUP(E6369,dicionario!$A$1:$C6768,2,0)</f>
        <v>Coragyps atratus</v>
      </c>
      <c r="H6369" s="6" t="str">
        <f>VLOOKUP(E6369,dicionario!$A$1:$C6768,3,0)</f>
        <v>urubu-de-cabeça-preta</v>
      </c>
    </row>
    <row r="6370">
      <c r="A6370" s="3">
        <v>45701.0</v>
      </c>
      <c r="B6370" s="4">
        <v>0.3451388888888889</v>
      </c>
      <c r="C6370" s="5" t="s">
        <v>76</v>
      </c>
      <c r="D6370" s="5" t="s">
        <v>1170</v>
      </c>
      <c r="E6370" s="8" t="s">
        <v>69</v>
      </c>
      <c r="F6370" s="7" t="s">
        <v>71</v>
      </c>
      <c r="G6370" s="6" t="str">
        <f>VLOOKUP(E6370,dicionario!$A$1:$C6769,2,0)</f>
        <v>Talinum fruticosum</v>
      </c>
      <c r="H6370" s="6" t="str">
        <f>VLOOKUP(E6370,dicionario!$A$1:$C6769,3,0)</f>
        <v>beldroega-grande</v>
      </c>
    </row>
    <row r="6371">
      <c r="A6371" s="3">
        <v>45701.0</v>
      </c>
      <c r="B6371" s="4">
        <v>0.3451388888888889</v>
      </c>
      <c r="C6371" s="5" t="s">
        <v>76</v>
      </c>
      <c r="D6371" s="5" t="s">
        <v>1170</v>
      </c>
      <c r="E6371" s="8" t="s">
        <v>401</v>
      </c>
      <c r="F6371" s="5" t="s">
        <v>464</v>
      </c>
      <c r="G6371" s="6" t="str">
        <f>VLOOKUP(E6371,dicionario!$A$1:$C6770,2,0)</f>
        <v>Cissus verticillata</v>
      </c>
      <c r="H6371" s="6" t="str">
        <f>VLOOKUP(E6371,dicionario!$A$1:$C6770,3,0)</f>
        <v>uva-do-mato</v>
      </c>
    </row>
    <row r="6372">
      <c r="A6372" s="3">
        <v>45701.0</v>
      </c>
      <c r="B6372" s="4">
        <v>0.3458333333333333</v>
      </c>
      <c r="C6372" s="5" t="s">
        <v>76</v>
      </c>
      <c r="D6372" s="5" t="s">
        <v>1170</v>
      </c>
      <c r="E6372" s="8" t="s">
        <v>286</v>
      </c>
      <c r="F6372" s="5" t="s">
        <v>287</v>
      </c>
      <c r="G6372" s="6" t="str">
        <f>VLOOKUP(E6372,dicionario!$A$1:$C6771,2,0)</f>
        <v>Setaria parviflora</v>
      </c>
      <c r="H6372" s="6" t="str">
        <f>VLOOKUP(E6372,dicionario!$A$1:$C6771,3,0)</f>
        <v>capim-rabo-de-raposa</v>
      </c>
    </row>
    <row r="6373">
      <c r="A6373" s="3">
        <v>45701.0</v>
      </c>
      <c r="B6373" s="4">
        <v>0.3458333333333333</v>
      </c>
      <c r="C6373" s="5" t="s">
        <v>76</v>
      </c>
      <c r="D6373" s="5" t="s">
        <v>1170</v>
      </c>
      <c r="E6373" s="8" t="s">
        <v>1181</v>
      </c>
      <c r="F6373" s="5" t="s">
        <v>63</v>
      </c>
      <c r="G6373" s="6" t="str">
        <f>VLOOKUP(E6373,dicionario!$A$1:$C6772,2,0)</f>
        <v>#N/A</v>
      </c>
      <c r="H6373" s="6" t="str">
        <f>VLOOKUP(E6373,dicionario!$A$1:$C6772,3,0)</f>
        <v>#N/A</v>
      </c>
    </row>
    <row r="6374">
      <c r="A6374" s="3">
        <v>45701.0</v>
      </c>
      <c r="B6374" s="4">
        <v>0.3458333333333333</v>
      </c>
      <c r="C6374" s="5" t="s">
        <v>76</v>
      </c>
      <c r="D6374" s="5" t="s">
        <v>1170</v>
      </c>
      <c r="E6374" s="8" t="s">
        <v>206</v>
      </c>
      <c r="F6374" s="5" t="s">
        <v>968</v>
      </c>
      <c r="G6374" s="6" t="str">
        <f>VLOOKUP(E6374,dicionario!$A$1:$C6773,2,0)</f>
        <v>Falco sparverius</v>
      </c>
      <c r="H6374" s="6" t="str">
        <f>VLOOKUP(E6374,dicionario!$A$1:$C6773,3,0)</f>
        <v>quiriquiri</v>
      </c>
    </row>
    <row r="6375">
      <c r="A6375" s="3">
        <v>45701.0</v>
      </c>
      <c r="B6375" s="4">
        <v>0.34652777777777777</v>
      </c>
      <c r="C6375" s="5" t="s">
        <v>76</v>
      </c>
      <c r="D6375" s="5" t="s">
        <v>1170</v>
      </c>
      <c r="E6375" s="8" t="s">
        <v>173</v>
      </c>
      <c r="F6375" s="5" t="s">
        <v>336</v>
      </c>
      <c r="G6375" s="6" t="str">
        <f>VLOOKUP(E6375,dicionario!$A$1:$C6774,2,0)</f>
        <v>Junonia evarete</v>
      </c>
      <c r="H6375" s="6" t="str">
        <f>VLOOKUP(E6375,dicionario!$A$1:$C6774,3,0)</f>
        <v>borboleta-olho-de-pavão-diúrno</v>
      </c>
    </row>
    <row r="6376">
      <c r="A6376" s="3">
        <v>45701.0</v>
      </c>
      <c r="B6376" s="4">
        <v>0.34652777777777777</v>
      </c>
      <c r="C6376" s="5" t="s">
        <v>76</v>
      </c>
      <c r="D6376" s="5" t="s">
        <v>1170</v>
      </c>
      <c r="E6376" s="30" t="s">
        <v>504</v>
      </c>
      <c r="F6376" s="61"/>
      <c r="G6376" s="6" t="str">
        <f>VLOOKUP(E6376,dicionario!$A$1:$C6775,2,0)</f>
        <v>Cleome aculeata</v>
      </c>
      <c r="H6376" s="6" t="str">
        <f>VLOOKUP(E6376,dicionario!$A$1:$C6775,3,0)</f>
        <v>cleome</v>
      </c>
    </row>
    <row r="6377">
      <c r="A6377" s="3">
        <v>45701.0</v>
      </c>
      <c r="B6377" s="4">
        <v>0.34652777777777777</v>
      </c>
      <c r="C6377" s="5" t="s">
        <v>76</v>
      </c>
      <c r="D6377" s="5" t="s">
        <v>1170</v>
      </c>
      <c r="E6377" s="8" t="s">
        <v>227</v>
      </c>
      <c r="F6377" s="5" t="s">
        <v>228</v>
      </c>
      <c r="G6377" s="6" t="str">
        <f>VLOOKUP(E6377,dicionario!$A$1:$C6776,2,0)</f>
        <v>Indigofera hirsuta</v>
      </c>
      <c r="H6377" s="6" t="str">
        <f>VLOOKUP(E6377,dicionario!$A$1:$C6776,3,0)</f>
        <v>anileira</v>
      </c>
    </row>
    <row r="6378">
      <c r="A6378" s="3">
        <v>45701.0</v>
      </c>
      <c r="B6378" s="62"/>
      <c r="C6378" s="35" t="s">
        <v>1034</v>
      </c>
      <c r="D6378" s="35" t="s">
        <v>1182</v>
      </c>
      <c r="E6378" s="23"/>
      <c r="F6378" s="39"/>
      <c r="G6378" s="6" t="str">
        <f>VLOOKUP(E6378,dicionario!$A$1:$C6777,2,0)</f>
        <v>#N/A</v>
      </c>
      <c r="H6378" s="6" t="str">
        <f>VLOOKUP(E6378,dicionario!$A$1:$C6777,3,0)</f>
        <v>#N/A</v>
      </c>
      <c r="I6378" s="34"/>
    </row>
    <row r="6379">
      <c r="A6379" s="3">
        <v>45701.0</v>
      </c>
      <c r="B6379" s="4">
        <v>0.35694444444444445</v>
      </c>
      <c r="C6379" s="5" t="s">
        <v>90</v>
      </c>
      <c r="D6379" s="5" t="s">
        <v>1170</v>
      </c>
      <c r="E6379" s="8" t="s">
        <v>107</v>
      </c>
      <c r="F6379" s="5" t="s">
        <v>108</v>
      </c>
      <c r="G6379" s="6" t="str">
        <f>VLOOKUP(E6379,dicionario!$A$1:$C6778,2,0)</f>
        <v>Ramalina complanata</v>
      </c>
      <c r="H6379" s="6" t="str">
        <f>VLOOKUP(E6379,dicionario!$A$1:$C6778,3,0)</f>
        <v>ramalina</v>
      </c>
    </row>
    <row r="6380">
      <c r="A6380" s="3">
        <v>45701.0</v>
      </c>
      <c r="B6380" s="4">
        <v>0.35694444444444445</v>
      </c>
      <c r="C6380" s="5" t="s">
        <v>90</v>
      </c>
      <c r="D6380" s="5" t="s">
        <v>1170</v>
      </c>
      <c r="E6380" s="8" t="s">
        <v>712</v>
      </c>
      <c r="F6380" s="5" t="s">
        <v>1006</v>
      </c>
      <c r="G6380" s="6" t="str">
        <f>VLOOKUP(E6380,dicionario!$A$1:$C6779,2,0)</f>
        <v>Flavopunctelia soredica</v>
      </c>
      <c r="H6380" s="6" t="str">
        <f>VLOOKUP(E6380,dicionario!$A$1:$C6779,3,0)</f>
        <v>líquen-folioso</v>
      </c>
    </row>
    <row r="6381">
      <c r="A6381" s="3">
        <v>45701.0</v>
      </c>
      <c r="B6381" s="4">
        <v>0.35694444444444445</v>
      </c>
      <c r="C6381" s="5" t="s">
        <v>90</v>
      </c>
      <c r="D6381" s="5" t="s">
        <v>1170</v>
      </c>
      <c r="E6381" s="8" t="s">
        <v>719</v>
      </c>
      <c r="F6381" s="5" t="s">
        <v>1005</v>
      </c>
      <c r="G6381" s="6" t="str">
        <f>VLOOKUP(E6381,dicionario!$A$1:$C6780,2,0)</f>
        <v>Dirinaria</v>
      </c>
      <c r="H6381" s="6" t="str">
        <f>VLOOKUP(E6381,dicionario!$A$1:$C6780,3,0)</f>
        <v>líquen-crostoso</v>
      </c>
    </row>
    <row r="6382">
      <c r="A6382" s="3">
        <v>45701.0</v>
      </c>
      <c r="B6382" s="4">
        <v>0.35694444444444445</v>
      </c>
      <c r="C6382" s="5" t="s">
        <v>90</v>
      </c>
      <c r="D6382" s="5" t="s">
        <v>1170</v>
      </c>
      <c r="E6382" s="8" t="s">
        <v>158</v>
      </c>
      <c r="F6382" s="5" t="s">
        <v>159</v>
      </c>
      <c r="G6382" s="6" t="str">
        <f>VLOOKUP(E6382,dicionario!$A$1:$C6781,2,0)</f>
        <v>Nephilingis cruentata</v>
      </c>
      <c r="H6382" s="6" t="str">
        <f>VLOOKUP(E6382,dicionario!$A$1:$C6781,3,0)</f>
        <v>maria-bola</v>
      </c>
    </row>
    <row r="6383">
      <c r="A6383" s="3">
        <v>45701.0</v>
      </c>
      <c r="B6383" s="4">
        <v>0.35694444444444445</v>
      </c>
      <c r="C6383" s="5" t="s">
        <v>90</v>
      </c>
      <c r="D6383" s="5" t="s">
        <v>1170</v>
      </c>
      <c r="E6383" s="8" t="s">
        <v>43</v>
      </c>
      <c r="F6383" s="5" t="s">
        <v>44</v>
      </c>
      <c r="G6383" s="6" t="str">
        <f>VLOOKUP(E6383,dicionario!$A$1:$C6782,2,0)</f>
        <v>Columba livia</v>
      </c>
      <c r="H6383" s="6" t="str">
        <f>VLOOKUP(E6383,dicionario!$A$1:$C6782,3,0)</f>
        <v>pombo-doméstico</v>
      </c>
    </row>
    <row r="6384">
      <c r="A6384" s="3">
        <v>45701.0</v>
      </c>
      <c r="B6384" s="4">
        <v>0.3576388888888889</v>
      </c>
      <c r="C6384" s="5" t="s">
        <v>90</v>
      </c>
      <c r="D6384" s="5" t="s">
        <v>1170</v>
      </c>
      <c r="E6384" s="8" t="s">
        <v>353</v>
      </c>
      <c r="F6384" s="5" t="s">
        <v>354</v>
      </c>
      <c r="G6384" s="6" t="str">
        <f>VLOOKUP(E6384,dicionario!$A$1:$C6783,2,0)</f>
        <v>Desmodium incanum</v>
      </c>
      <c r="H6384" s="6" t="str">
        <f>VLOOKUP(E6384,dicionario!$A$1:$C6783,3,0)</f>
        <v>pega-pega</v>
      </c>
    </row>
    <row r="6385">
      <c r="A6385" s="3">
        <v>45701.0</v>
      </c>
      <c r="B6385" s="4">
        <v>0.3576388888888889</v>
      </c>
      <c r="C6385" s="5" t="s">
        <v>90</v>
      </c>
      <c r="D6385" s="5" t="s">
        <v>1170</v>
      </c>
      <c r="E6385" s="8" t="s">
        <v>41</v>
      </c>
      <c r="F6385" s="5" t="s">
        <v>45</v>
      </c>
      <c r="G6385" s="6" t="str">
        <f>VLOOKUP(E6385,dicionario!$A$1:$C6784,2,0)</f>
        <v>Mimosa pudica</v>
      </c>
      <c r="H6385" s="6" t="str">
        <f>VLOOKUP(E6385,dicionario!$A$1:$C6784,3,0)</f>
        <v>dormideira</v>
      </c>
    </row>
    <row r="6386">
      <c r="A6386" s="3">
        <v>45701.0</v>
      </c>
      <c r="B6386" s="4">
        <v>0.3576388888888889</v>
      </c>
      <c r="C6386" s="5" t="s">
        <v>90</v>
      </c>
      <c r="D6386" s="5" t="s">
        <v>1170</v>
      </c>
      <c r="E6386" s="8" t="s">
        <v>135</v>
      </c>
      <c r="F6386" s="5" t="s">
        <v>136</v>
      </c>
      <c r="G6386" s="6" t="str">
        <f>VLOOKUP(E6386,dicionario!$A$1:$C6785,2,0)</f>
        <v>Tridax procumbens</v>
      </c>
      <c r="H6386" s="6" t="str">
        <f>VLOOKUP(E6386,dicionario!$A$1:$C6785,3,0)</f>
        <v>erva-de-touro</v>
      </c>
    </row>
    <row r="6387">
      <c r="A6387" s="3">
        <v>45701.0</v>
      </c>
      <c r="B6387" s="4">
        <v>0.3576388888888889</v>
      </c>
      <c r="C6387" s="5" t="s">
        <v>90</v>
      </c>
      <c r="D6387" s="5" t="s">
        <v>1170</v>
      </c>
      <c r="E6387" s="8" t="s">
        <v>752</v>
      </c>
      <c r="F6387" s="5" t="s">
        <v>753</v>
      </c>
      <c r="G6387" s="6" t="str">
        <f>VLOOKUP(E6387,dicionario!$A$1:$C6786,2,0)</f>
        <v>#N/A</v>
      </c>
      <c r="H6387" s="6" t="str">
        <f>VLOOKUP(E6387,dicionario!$A$1:$C6786,3,0)</f>
        <v>#N/A</v>
      </c>
    </row>
    <row r="6388">
      <c r="A6388" s="3">
        <v>45701.0</v>
      </c>
      <c r="B6388" s="4">
        <v>0.35833333333333334</v>
      </c>
      <c r="C6388" s="5" t="s">
        <v>90</v>
      </c>
      <c r="D6388" s="5" t="s">
        <v>1170</v>
      </c>
      <c r="E6388" s="6" t="s">
        <v>245</v>
      </c>
      <c r="F6388" s="5" t="s">
        <v>246</v>
      </c>
      <c r="G6388" s="6" t="str">
        <f>VLOOKUP(E6388,dicionario!$A$1:$C6787,2,0)</f>
        <v>Hemiargus hanno</v>
      </c>
      <c r="H6388" s="6" t="str">
        <f>VLOOKUP(E6388,dicionario!$A$1:$C6787,3,0)</f>
        <v>borboleta-azulzinha-do-trevo</v>
      </c>
    </row>
    <row r="6389">
      <c r="A6389" s="3">
        <v>45701.0</v>
      </c>
      <c r="B6389" s="4">
        <v>0.35833333333333334</v>
      </c>
      <c r="C6389" s="5" t="s">
        <v>90</v>
      </c>
      <c r="D6389" s="5" t="s">
        <v>1170</v>
      </c>
      <c r="E6389" s="8" t="s">
        <v>381</v>
      </c>
      <c r="F6389" s="5" t="s">
        <v>382</v>
      </c>
      <c r="G6389" s="6" t="str">
        <f>VLOOKUP(E6389,dicionario!$A$1:$C6788,2,0)</f>
        <v>Pseudomyrmex</v>
      </c>
      <c r="H6389" s="6" t="str">
        <f>VLOOKUP(E6389,dicionario!$A$1:$C6788,3,0)</f>
        <v>maria-magra</v>
      </c>
    </row>
    <row r="6390">
      <c r="A6390" s="3">
        <v>45701.0</v>
      </c>
      <c r="B6390" s="4">
        <v>0.35833333333333334</v>
      </c>
      <c r="C6390" s="5" t="s">
        <v>90</v>
      </c>
      <c r="D6390" s="5" t="s">
        <v>1170</v>
      </c>
      <c r="E6390" s="8" t="s">
        <v>615</v>
      </c>
      <c r="F6390" s="5" t="s">
        <v>238</v>
      </c>
      <c r="G6390" s="6" t="str">
        <f>VLOOKUP(E6390,dicionario!$A$1:$C6789,2,0)</f>
        <v>#N/A</v>
      </c>
      <c r="H6390" s="6" t="str">
        <f>VLOOKUP(E6390,dicionario!$A$1:$C6789,3,0)</f>
        <v>#N/A</v>
      </c>
    </row>
    <row r="6391">
      <c r="A6391" s="3">
        <v>45701.0</v>
      </c>
      <c r="B6391" s="4">
        <v>0.35833333333333334</v>
      </c>
      <c r="C6391" s="5" t="s">
        <v>90</v>
      </c>
      <c r="D6391" s="5" t="s">
        <v>1170</v>
      </c>
      <c r="E6391" s="8" t="s">
        <v>53</v>
      </c>
      <c r="F6391" s="7" t="s">
        <v>54</v>
      </c>
      <c r="G6391" s="6" t="str">
        <f>VLOOKUP(E6391,dicionario!$A$1:$C6790,2,0)</f>
        <v>Turnera subulata</v>
      </c>
      <c r="H6391" s="6" t="str">
        <f>VLOOKUP(E6391,dicionario!$A$1:$C6790,3,0)</f>
        <v>xanana</v>
      </c>
    </row>
    <row r="6392">
      <c r="A6392" s="3">
        <v>45701.0</v>
      </c>
      <c r="B6392" s="4">
        <v>0.3590277777777778</v>
      </c>
      <c r="C6392" s="5" t="s">
        <v>90</v>
      </c>
      <c r="D6392" s="5" t="s">
        <v>1170</v>
      </c>
      <c r="E6392" s="8" t="s">
        <v>298</v>
      </c>
      <c r="F6392" s="5" t="s">
        <v>299</v>
      </c>
      <c r="G6392" s="6" t="str">
        <f>VLOOKUP(E6392,dicionario!$A$1:$C6791,2,0)</f>
        <v>Alysicarpus vaginalis</v>
      </c>
      <c r="H6392" s="6" t="str">
        <f>VLOOKUP(E6392,dicionario!$A$1:$C6791,3,0)</f>
        <v/>
      </c>
    </row>
    <row r="6393">
      <c r="A6393" s="3">
        <v>45701.0</v>
      </c>
      <c r="B6393" s="4">
        <v>0.3590277777777778</v>
      </c>
      <c r="C6393" s="5" t="s">
        <v>90</v>
      </c>
      <c r="D6393" s="5" t="s">
        <v>1170</v>
      </c>
      <c r="E6393" s="8" t="s">
        <v>1066</v>
      </c>
      <c r="F6393" s="5" t="s">
        <v>582</v>
      </c>
      <c r="G6393" s="6" t="str">
        <f>VLOOKUP(E6393,dicionario!$A$1:$C6792,2,0)</f>
        <v>#N/A</v>
      </c>
      <c r="H6393" s="6" t="str">
        <f>VLOOKUP(E6393,dicionario!$A$1:$C6792,3,0)</f>
        <v>#N/A</v>
      </c>
    </row>
    <row r="6394">
      <c r="A6394" s="3">
        <v>45701.0</v>
      </c>
      <c r="B6394" s="4">
        <v>0.3590277777777778</v>
      </c>
      <c r="C6394" s="5" t="s">
        <v>90</v>
      </c>
      <c r="D6394" s="5" t="s">
        <v>1170</v>
      </c>
      <c r="E6394" s="8" t="s">
        <v>942</v>
      </c>
      <c r="F6394" s="5" t="s">
        <v>943</v>
      </c>
      <c r="G6394" s="6" t="str">
        <f>VLOOKUP(E6394,dicionario!$A$1:$C6793,2,0)</f>
        <v>#N/A</v>
      </c>
      <c r="H6394" s="6" t="str">
        <f>VLOOKUP(E6394,dicionario!$A$1:$C6793,3,0)</f>
        <v>#N/A</v>
      </c>
    </row>
    <row r="6395">
      <c r="A6395" s="3">
        <v>45701.0</v>
      </c>
      <c r="B6395" s="4">
        <v>0.3590277777777778</v>
      </c>
      <c r="C6395" s="5" t="s">
        <v>90</v>
      </c>
      <c r="D6395" s="5" t="s">
        <v>1170</v>
      </c>
      <c r="E6395" s="8" t="s">
        <v>378</v>
      </c>
      <c r="F6395" s="5" t="s">
        <v>205</v>
      </c>
      <c r="G6395" s="6" t="str">
        <f>VLOOKUP(E6395,dicionario!$A$1:$C6794,2,0)</f>
        <v>Polistes</v>
      </c>
      <c r="H6395" s="6" t="str">
        <f>VLOOKUP(E6395,dicionario!$A$1:$C6794,3,0)</f>
        <v>marimbondo</v>
      </c>
    </row>
    <row r="6396">
      <c r="A6396" s="3">
        <v>45701.0</v>
      </c>
      <c r="B6396" s="4">
        <v>0.3597222222222222</v>
      </c>
      <c r="C6396" s="5" t="s">
        <v>90</v>
      </c>
      <c r="D6396" s="5" t="s">
        <v>1170</v>
      </c>
      <c r="E6396" s="8" t="s">
        <v>200</v>
      </c>
      <c r="F6396" s="5" t="s">
        <v>201</v>
      </c>
      <c r="G6396" s="6" t="str">
        <f>VLOOKUP(E6396,dicionario!$A$1:$C6795,2,0)</f>
        <v>Columbina picui </v>
      </c>
      <c r="H6396" s="6" t="str">
        <f>VLOOKUP(E6396,dicionario!$A$1:$C6795,3,0)</f>
        <v>rolinha-picuí</v>
      </c>
    </row>
    <row r="6397">
      <c r="A6397" s="3">
        <v>45701.0</v>
      </c>
      <c r="B6397" s="4">
        <v>0.3597222222222222</v>
      </c>
      <c r="C6397" s="5" t="s">
        <v>90</v>
      </c>
      <c r="D6397" s="5" t="s">
        <v>1170</v>
      </c>
      <c r="E6397" s="8" t="s">
        <v>302</v>
      </c>
      <c r="F6397" s="5" t="s">
        <v>89</v>
      </c>
      <c r="G6397" s="6" t="str">
        <f>VLOOKUP(E6397,dicionario!$A$1:$C6796,2,0)</f>
        <v>Machetornis rixosa</v>
      </c>
      <c r="H6397" s="6" t="str">
        <f>VLOOKUP(E6397,dicionario!$A$1:$C6796,3,0)</f>
        <v>suiriri-cavaleiro</v>
      </c>
    </row>
    <row r="6398">
      <c r="A6398" s="3">
        <v>45701.0</v>
      </c>
      <c r="B6398" s="4">
        <v>0.3611111111111111</v>
      </c>
      <c r="C6398" s="5" t="s">
        <v>90</v>
      </c>
      <c r="D6398" s="5" t="s">
        <v>1170</v>
      </c>
      <c r="E6398" s="8" t="s">
        <v>113</v>
      </c>
      <c r="F6398" s="5" t="s">
        <v>114</v>
      </c>
      <c r="G6398" s="6" t="str">
        <f>VLOOKUP(E6398,dicionario!$A$1:$C6797,2,0)</f>
        <v>Columbina talpacoti</v>
      </c>
      <c r="H6398" s="6" t="str">
        <f>VLOOKUP(E6398,dicionario!$A$1:$C6797,3,0)</f>
        <v>rolinha-roxa</v>
      </c>
    </row>
    <row r="6399">
      <c r="A6399" s="3">
        <v>45701.0</v>
      </c>
      <c r="B6399" s="4">
        <v>0.3611111111111111</v>
      </c>
      <c r="C6399" s="5" t="s">
        <v>90</v>
      </c>
      <c r="D6399" s="5" t="s">
        <v>1170</v>
      </c>
      <c r="E6399" s="8" t="s">
        <v>163</v>
      </c>
      <c r="F6399" s="5" t="s">
        <v>164</v>
      </c>
      <c r="G6399" s="6" t="str">
        <f>VLOOKUP(E6399,dicionario!$A$1:$C6798,2,0)</f>
        <v>Coragyps atratus</v>
      </c>
      <c r="H6399" s="6" t="str">
        <f>VLOOKUP(E6399,dicionario!$A$1:$C6798,3,0)</f>
        <v>urubu-de-cabeça-preta</v>
      </c>
    </row>
    <row r="6400">
      <c r="A6400" s="3">
        <v>45701.0</v>
      </c>
      <c r="B6400" s="4">
        <v>0.36180555555555555</v>
      </c>
      <c r="C6400" s="5" t="s">
        <v>90</v>
      </c>
      <c r="D6400" s="5" t="s">
        <v>1170</v>
      </c>
      <c r="E6400" s="8" t="s">
        <v>946</v>
      </c>
      <c r="F6400" s="5" t="s">
        <v>1091</v>
      </c>
      <c r="G6400" s="6" t="str">
        <f>VLOOKUP(E6400,dicionario!$A$1:$C6799,2,0)</f>
        <v>Thorybes dorantes</v>
      </c>
      <c r="H6400" s="6" t="str">
        <f>VLOOKUP(E6400,dicionario!$A$1:$C6799,3,0)</f>
        <v>mariposa-de-cauda-lilás</v>
      </c>
    </row>
    <row r="6401">
      <c r="A6401" s="3">
        <v>45701.0</v>
      </c>
      <c r="B6401" s="4">
        <v>0.36180555555555555</v>
      </c>
      <c r="C6401" s="5" t="s">
        <v>90</v>
      </c>
      <c r="D6401" s="5" t="s">
        <v>1170</v>
      </c>
      <c r="E6401" s="8" t="s">
        <v>22</v>
      </c>
      <c r="F6401" s="5" t="s">
        <v>97</v>
      </c>
      <c r="G6401" s="6" t="str">
        <f>VLOOKUP(E6401,dicionario!$A$1:$C6800,2,0)</f>
        <v>Zenaida auriculata</v>
      </c>
      <c r="H6401" s="6" t="str">
        <f>VLOOKUP(E6401,dicionario!$A$1:$C6800,3,0)</f>
        <v>pomba-de-bando; avoante</v>
      </c>
    </row>
    <row r="6402">
      <c r="A6402" s="3">
        <v>45701.0</v>
      </c>
      <c r="B6402" s="4">
        <v>0.3625</v>
      </c>
      <c r="C6402" s="5" t="s">
        <v>90</v>
      </c>
      <c r="D6402" s="5" t="s">
        <v>1170</v>
      </c>
      <c r="E6402" s="8" t="s">
        <v>109</v>
      </c>
      <c r="F6402" s="5" t="s">
        <v>110</v>
      </c>
      <c r="G6402" s="6" t="str">
        <f>VLOOKUP(E6402,dicionario!$A$1:$C6801,2,0)</f>
        <v>Tillandsia stricta</v>
      </c>
      <c r="H6402" s="6" t="str">
        <f>VLOOKUP(E6402,dicionario!$A$1:$C6801,3,0)</f>
        <v>cravo-do-mato</v>
      </c>
    </row>
    <row r="6403">
      <c r="A6403" s="3">
        <v>45708.0</v>
      </c>
      <c r="B6403" s="4">
        <v>0.2590277777777778</v>
      </c>
      <c r="C6403" s="5" t="s">
        <v>90</v>
      </c>
      <c r="D6403" s="5" t="s">
        <v>1183</v>
      </c>
      <c r="E6403" s="8" t="s">
        <v>213</v>
      </c>
      <c r="F6403" s="7" t="s">
        <v>214</v>
      </c>
      <c r="G6403" s="6" t="str">
        <f>VLOOKUP(E6403,dicionario!$A$1:$C6802,2,0)</f>
        <v>Myiozetetes similis</v>
      </c>
      <c r="H6403" s="6" t="str">
        <f>VLOOKUP(E6403,dicionario!$A$1:$C6802,3,0)</f>
        <v>bentevizinho-de-penacho-vermelho</v>
      </c>
    </row>
    <row r="6404">
      <c r="A6404" s="3">
        <v>45708.0</v>
      </c>
      <c r="B6404" s="4">
        <v>0.2590277777777778</v>
      </c>
      <c r="C6404" s="5" t="s">
        <v>90</v>
      </c>
      <c r="D6404" s="5" t="s">
        <v>1183</v>
      </c>
      <c r="E6404" s="8" t="s">
        <v>20</v>
      </c>
      <c r="F6404" s="7" t="s">
        <v>21</v>
      </c>
      <c r="G6404" s="6" t="str">
        <f>VLOOKUP(E6404,dicionario!$A$1:$C6803,2,0)</f>
        <v>Sicalis flaveola</v>
      </c>
      <c r="H6404" s="6" t="str">
        <f>VLOOKUP(E6404,dicionario!$A$1:$C6803,3,0)</f>
        <v>canário-da-terra</v>
      </c>
    </row>
    <row r="6405">
      <c r="A6405" s="3">
        <v>45708.0</v>
      </c>
      <c r="B6405" s="4">
        <v>0.2590277777777778</v>
      </c>
      <c r="C6405" s="5" t="s">
        <v>90</v>
      </c>
      <c r="D6405" s="5" t="s">
        <v>1183</v>
      </c>
      <c r="E6405" s="6" t="s">
        <v>187</v>
      </c>
      <c r="F6405" s="5" t="s">
        <v>70</v>
      </c>
      <c r="G6405" s="6" t="str">
        <f>VLOOKUP(E6405,dicionario!$A$1:$C6804,2,0)</f>
        <v>Tangara cayana</v>
      </c>
      <c r="H6405" s="6" t="str">
        <f>VLOOKUP(E6405,dicionario!$A$1:$C6804,3,0)</f>
        <v>saíra-amarela</v>
      </c>
    </row>
    <row r="6406">
      <c r="A6406" s="3">
        <v>45708.0</v>
      </c>
      <c r="B6406" s="4">
        <v>0.25972222222222224</v>
      </c>
      <c r="C6406" s="5" t="s">
        <v>90</v>
      </c>
      <c r="D6406" s="5" t="s">
        <v>1183</v>
      </c>
      <c r="E6406" s="8" t="s">
        <v>113</v>
      </c>
      <c r="F6406" s="5" t="s">
        <v>114</v>
      </c>
      <c r="G6406" s="6" t="str">
        <f>VLOOKUP(E6406,dicionario!$A$1:$C6805,2,0)</f>
        <v>Columbina talpacoti</v>
      </c>
      <c r="H6406" s="6" t="str">
        <f>VLOOKUP(E6406,dicionario!$A$1:$C6805,3,0)</f>
        <v>rolinha-roxa</v>
      </c>
    </row>
    <row r="6407">
      <c r="A6407" s="3">
        <v>45708.0</v>
      </c>
      <c r="B6407" s="4">
        <v>0.25972222222222224</v>
      </c>
      <c r="C6407" s="5" t="s">
        <v>90</v>
      </c>
      <c r="D6407" s="5" t="s">
        <v>1183</v>
      </c>
      <c r="E6407" s="8" t="s">
        <v>302</v>
      </c>
      <c r="F6407" s="5" t="s">
        <v>89</v>
      </c>
      <c r="G6407" s="6" t="str">
        <f>VLOOKUP(E6407,dicionario!$A$1:$C6806,2,0)</f>
        <v>Machetornis rixosa</v>
      </c>
      <c r="H6407" s="6" t="str">
        <f>VLOOKUP(E6407,dicionario!$A$1:$C6806,3,0)</f>
        <v>suiriri-cavaleiro</v>
      </c>
    </row>
    <row r="6408">
      <c r="A6408" s="3">
        <v>45708.0</v>
      </c>
      <c r="B6408" s="4">
        <v>0.25972222222222224</v>
      </c>
      <c r="C6408" s="5" t="s">
        <v>90</v>
      </c>
      <c r="D6408" s="5" t="s">
        <v>1183</v>
      </c>
      <c r="E6408" s="8" t="s">
        <v>53</v>
      </c>
      <c r="F6408" s="7" t="s">
        <v>54</v>
      </c>
      <c r="G6408" s="6" t="str">
        <f>VLOOKUP(E6408,dicionario!$A$1:$C6807,2,0)</f>
        <v>Turnera subulata</v>
      </c>
      <c r="H6408" s="6" t="str">
        <f>VLOOKUP(E6408,dicionario!$A$1:$C6807,3,0)</f>
        <v>xanana</v>
      </c>
    </row>
    <row r="6409">
      <c r="A6409" s="3">
        <v>45708.0</v>
      </c>
      <c r="B6409" s="4">
        <v>0.2604166666666667</v>
      </c>
      <c r="C6409" s="5" t="s">
        <v>90</v>
      </c>
      <c r="D6409" s="5" t="s">
        <v>1183</v>
      </c>
      <c r="E6409" s="8" t="s">
        <v>378</v>
      </c>
      <c r="F6409" s="5" t="s">
        <v>205</v>
      </c>
      <c r="G6409" s="6" t="str">
        <f>VLOOKUP(E6409,dicionario!$A$1:$C6808,2,0)</f>
        <v>Polistes</v>
      </c>
      <c r="H6409" s="6" t="str">
        <f>VLOOKUP(E6409,dicionario!$A$1:$C6808,3,0)</f>
        <v>marimbondo</v>
      </c>
    </row>
    <row r="6410">
      <c r="A6410" s="3">
        <v>45708.0</v>
      </c>
      <c r="B6410" s="4">
        <v>0.2604166666666667</v>
      </c>
      <c r="C6410" s="5" t="s">
        <v>90</v>
      </c>
      <c r="D6410" s="5" t="s">
        <v>1183</v>
      </c>
      <c r="E6410" s="8" t="s">
        <v>239</v>
      </c>
      <c r="F6410" s="5" t="s">
        <v>240</v>
      </c>
      <c r="G6410" s="6" t="str">
        <f>VLOOKUP(E6410,dicionario!$A$1:$C6809,2,0)</f>
        <v>Gomphrena celosioides</v>
      </c>
      <c r="H6410" s="6" t="str">
        <f>VLOOKUP(E6410,dicionario!$A$1:$C6809,3,0)</f>
        <v>perpétua-branca</v>
      </c>
    </row>
    <row r="6411">
      <c r="A6411" s="3">
        <v>45708.0</v>
      </c>
      <c r="B6411" s="4">
        <v>0.2604166666666667</v>
      </c>
      <c r="C6411" s="5" t="s">
        <v>90</v>
      </c>
      <c r="D6411" s="5" t="s">
        <v>1183</v>
      </c>
      <c r="E6411" s="8" t="s">
        <v>16</v>
      </c>
      <c r="F6411" s="5" t="s">
        <v>17</v>
      </c>
      <c r="G6411" s="6" t="str">
        <f>VLOOKUP(E6411,dicionario!$A$1:$C6810,2,0)</f>
        <v>Eupetomena macroura</v>
      </c>
      <c r="H6411" s="6" t="str">
        <f>VLOOKUP(E6411,dicionario!$A$1:$C6810,3,0)</f>
        <v>beija-flor-tesoura</v>
      </c>
    </row>
    <row r="6412">
      <c r="A6412" s="3">
        <v>45708.0</v>
      </c>
      <c r="B6412" s="4">
        <v>0.2604166666666667</v>
      </c>
      <c r="C6412" s="5" t="s">
        <v>90</v>
      </c>
      <c r="D6412" s="5" t="s">
        <v>1183</v>
      </c>
      <c r="E6412" s="8" t="s">
        <v>109</v>
      </c>
      <c r="F6412" s="5" t="s">
        <v>110</v>
      </c>
      <c r="G6412" s="6" t="str">
        <f>VLOOKUP(E6412,dicionario!$A$1:$C6811,2,0)</f>
        <v>Tillandsia stricta</v>
      </c>
      <c r="H6412" s="6" t="str">
        <f>VLOOKUP(E6412,dicionario!$A$1:$C6811,3,0)</f>
        <v>cravo-do-mato</v>
      </c>
    </row>
    <row r="6413">
      <c r="A6413" s="3">
        <v>45708.0</v>
      </c>
      <c r="B6413" s="4">
        <v>0.2611111111111111</v>
      </c>
      <c r="C6413" s="5" t="s">
        <v>90</v>
      </c>
      <c r="D6413" s="5" t="s">
        <v>1183</v>
      </c>
      <c r="E6413" s="8" t="s">
        <v>175</v>
      </c>
      <c r="F6413" s="5" t="s">
        <v>176</v>
      </c>
      <c r="G6413" s="6" t="str">
        <f>VLOOKUP(E6413,dicionario!$A$1:$C6812,2,0)</f>
        <v>Turdus leucomelas</v>
      </c>
      <c r="H6413" s="6" t="str">
        <f>VLOOKUP(E6413,dicionario!$A$1:$C6812,3,0)</f>
        <v>sabiá-barranco</v>
      </c>
    </row>
    <row r="6414">
      <c r="A6414" s="3">
        <v>45708.0</v>
      </c>
      <c r="B6414" s="4">
        <v>0.2611111111111111</v>
      </c>
      <c r="C6414" s="5" t="s">
        <v>90</v>
      </c>
      <c r="D6414" s="5" t="s">
        <v>1183</v>
      </c>
      <c r="E6414" s="8" t="s">
        <v>712</v>
      </c>
      <c r="F6414" s="5" t="s">
        <v>1006</v>
      </c>
      <c r="G6414" s="6" t="str">
        <f>VLOOKUP(E6414,dicionario!$A$1:$C6813,2,0)</f>
        <v>Flavopunctelia soredica</v>
      </c>
      <c r="H6414" s="6" t="str">
        <f>VLOOKUP(E6414,dicionario!$A$1:$C6813,3,0)</f>
        <v>líquen-folioso</v>
      </c>
    </row>
    <row r="6415">
      <c r="A6415" s="3">
        <v>45708.0</v>
      </c>
      <c r="B6415" s="4">
        <v>0.2611111111111111</v>
      </c>
      <c r="C6415" s="5" t="s">
        <v>90</v>
      </c>
      <c r="D6415" s="5" t="s">
        <v>1183</v>
      </c>
      <c r="E6415" s="8" t="s">
        <v>719</v>
      </c>
      <c r="F6415" s="5" t="s">
        <v>1005</v>
      </c>
      <c r="G6415" s="6" t="str">
        <f>VLOOKUP(E6415,dicionario!$A$1:$C6814,2,0)</f>
        <v>Dirinaria</v>
      </c>
      <c r="H6415" s="6" t="str">
        <f>VLOOKUP(E6415,dicionario!$A$1:$C6814,3,0)</f>
        <v>líquen-crostoso</v>
      </c>
    </row>
    <row r="6416">
      <c r="A6416" s="3">
        <v>45708.0</v>
      </c>
      <c r="B6416" s="4">
        <v>0.2611111111111111</v>
      </c>
      <c r="C6416" s="5" t="s">
        <v>90</v>
      </c>
      <c r="D6416" s="5" t="s">
        <v>1183</v>
      </c>
      <c r="E6416" s="8" t="s">
        <v>107</v>
      </c>
      <c r="F6416" s="5" t="s">
        <v>1101</v>
      </c>
      <c r="G6416" s="6" t="str">
        <f>VLOOKUP(E6416,dicionario!$A$1:$C6815,2,0)</f>
        <v>Ramalina complanata</v>
      </c>
      <c r="H6416" s="6" t="str">
        <f>VLOOKUP(E6416,dicionario!$A$1:$C6815,3,0)</f>
        <v>ramalina</v>
      </c>
    </row>
    <row r="6417">
      <c r="A6417" s="3">
        <v>45708.0</v>
      </c>
      <c r="B6417" s="4">
        <v>0.2611111111111111</v>
      </c>
      <c r="C6417" s="5" t="s">
        <v>90</v>
      </c>
      <c r="D6417" s="5" t="s">
        <v>1183</v>
      </c>
      <c r="E6417" s="8" t="s">
        <v>1184</v>
      </c>
      <c r="F6417" s="5" t="s">
        <v>1185</v>
      </c>
      <c r="G6417" s="6" t="str">
        <f>VLOOKUP(E6417,dicionario!$A$1:$C6816,2,0)</f>
        <v>#N/A</v>
      </c>
      <c r="H6417" s="6" t="str">
        <f>VLOOKUP(E6417,dicionario!$A$1:$C6816,3,0)</f>
        <v>#N/A</v>
      </c>
    </row>
    <row r="6418">
      <c r="A6418" s="3">
        <v>45708.0</v>
      </c>
      <c r="B6418" s="4">
        <v>0.2611111111111111</v>
      </c>
      <c r="C6418" s="5" t="s">
        <v>90</v>
      </c>
      <c r="D6418" s="5" t="s">
        <v>1183</v>
      </c>
      <c r="E6418" s="8" t="s">
        <v>162</v>
      </c>
      <c r="F6418" s="7" t="s">
        <v>42</v>
      </c>
      <c r="G6418" s="6" t="str">
        <f>VLOOKUP(E6418,dicionario!$A$1:$C6817,2,0)</f>
        <v>Fluvicola nengeta</v>
      </c>
      <c r="H6418" s="6" t="str">
        <f>VLOOKUP(E6418,dicionario!$A$1:$C6817,3,0)</f>
        <v>lavadeira-mascarada</v>
      </c>
    </row>
    <row r="6419">
      <c r="A6419" s="3">
        <v>45708.0</v>
      </c>
      <c r="B6419" s="4">
        <v>0.26180555555555557</v>
      </c>
      <c r="C6419" s="5" t="s">
        <v>90</v>
      </c>
      <c r="D6419" s="5" t="s">
        <v>1183</v>
      </c>
      <c r="E6419" s="6" t="s">
        <v>103</v>
      </c>
      <c r="F6419" s="5" t="s">
        <v>104</v>
      </c>
      <c r="G6419" s="6" t="str">
        <f>VLOOKUP(E6419,dicionario!$A$1:$C6818,2,0)</f>
        <v>Caracara plancus</v>
      </c>
      <c r="H6419" s="6" t="str">
        <f>VLOOKUP(E6419,dicionario!$A$1:$C6818,3,0)</f>
        <v>carcará </v>
      </c>
    </row>
    <row r="6420">
      <c r="A6420" s="3">
        <v>45708.0</v>
      </c>
      <c r="B6420" s="4">
        <v>0.26180555555555557</v>
      </c>
      <c r="C6420" s="5" t="s">
        <v>90</v>
      </c>
      <c r="D6420" s="5" t="s">
        <v>1183</v>
      </c>
      <c r="E6420" s="8" t="s">
        <v>38</v>
      </c>
      <c r="F6420" s="5" t="s">
        <v>39</v>
      </c>
      <c r="G6420" s="6" t="str">
        <f>VLOOKUP(E6420,dicionario!$A$1:$C6819,2,0)</f>
        <v>Troglodytes musculus</v>
      </c>
      <c r="H6420" s="6" t="str">
        <f>VLOOKUP(E6420,dicionario!$A$1:$C6819,3,0)</f>
        <v>curruíra</v>
      </c>
    </row>
    <row r="6421">
      <c r="A6421" s="3">
        <v>45708.0</v>
      </c>
      <c r="B6421" s="4">
        <v>0.26180555555555557</v>
      </c>
      <c r="C6421" s="5" t="s">
        <v>90</v>
      </c>
      <c r="D6421" s="5" t="s">
        <v>1183</v>
      </c>
      <c r="E6421" s="8" t="s">
        <v>86</v>
      </c>
      <c r="F6421" s="5" t="s">
        <v>502</v>
      </c>
      <c r="G6421" s="6" t="str">
        <f>VLOOKUP(E6421,dicionario!$A$1:$C6820,2,0)</f>
        <v>Coereba flaveola</v>
      </c>
      <c r="H6421" s="6" t="str">
        <f>VLOOKUP(E6421,dicionario!$A$1:$C6820,3,0)</f>
        <v>cambacica</v>
      </c>
    </row>
    <row r="6422">
      <c r="A6422" s="3">
        <v>45708.0</v>
      </c>
      <c r="B6422" s="4">
        <v>0.2625</v>
      </c>
      <c r="C6422" s="5" t="s">
        <v>90</v>
      </c>
      <c r="D6422" s="5" t="s">
        <v>1183</v>
      </c>
      <c r="E6422" s="8" t="s">
        <v>195</v>
      </c>
      <c r="F6422" s="5" t="s">
        <v>196</v>
      </c>
      <c r="G6422" s="6" t="str">
        <f>VLOOKUP(E6422,dicionario!$A$1:$C6821,2,0)</f>
        <v>Priva lappulacea</v>
      </c>
      <c r="H6422" s="6" t="str">
        <f>VLOOKUP(E6422,dicionario!$A$1:$C6821,3,0)</f>
        <v>carrapicho</v>
      </c>
    </row>
    <row r="6423">
      <c r="A6423" s="3">
        <v>45708.0</v>
      </c>
      <c r="B6423" s="4">
        <v>0.2625</v>
      </c>
      <c r="C6423" s="5" t="s">
        <v>90</v>
      </c>
      <c r="D6423" s="5" t="s">
        <v>1183</v>
      </c>
      <c r="E6423" s="8" t="s">
        <v>752</v>
      </c>
      <c r="F6423" s="5" t="s">
        <v>753</v>
      </c>
      <c r="G6423" s="6" t="str">
        <f>VLOOKUP(E6423,dicionario!$A$1:$C6822,2,0)</f>
        <v>#N/A</v>
      </c>
      <c r="H6423" s="6" t="str">
        <f>VLOOKUP(E6423,dicionario!$A$1:$C6822,3,0)</f>
        <v>#N/A</v>
      </c>
    </row>
    <row r="6424">
      <c r="A6424" s="3">
        <v>45708.0</v>
      </c>
      <c r="B6424" s="4">
        <v>0.26319444444444445</v>
      </c>
      <c r="C6424" s="5" t="s">
        <v>90</v>
      </c>
      <c r="D6424" s="5" t="s">
        <v>1183</v>
      </c>
      <c r="E6424" s="8" t="s">
        <v>227</v>
      </c>
      <c r="F6424" s="5" t="s">
        <v>228</v>
      </c>
      <c r="G6424" s="6" t="str">
        <f>VLOOKUP(E6424,dicionario!$A$1:$C6823,2,0)</f>
        <v>Indigofera hirsuta</v>
      </c>
      <c r="H6424" s="6" t="str">
        <f>VLOOKUP(E6424,dicionario!$A$1:$C6823,3,0)</f>
        <v>anileira</v>
      </c>
    </row>
    <row r="6425">
      <c r="A6425" s="3">
        <v>45708.0</v>
      </c>
      <c r="B6425" s="4">
        <v>0.26319444444444445</v>
      </c>
      <c r="C6425" s="5" t="s">
        <v>90</v>
      </c>
      <c r="D6425" s="5" t="s">
        <v>1183</v>
      </c>
      <c r="E6425" s="8" t="s">
        <v>135</v>
      </c>
      <c r="F6425" s="5" t="s">
        <v>136</v>
      </c>
      <c r="G6425" s="6" t="str">
        <f>VLOOKUP(E6425,dicionario!$A$1:$C6824,2,0)</f>
        <v>Tridax procumbens</v>
      </c>
      <c r="H6425" s="6" t="str">
        <f>VLOOKUP(E6425,dicionario!$A$1:$C6824,3,0)</f>
        <v>erva-de-touro</v>
      </c>
    </row>
    <row r="6426">
      <c r="A6426" s="3">
        <v>45708.0</v>
      </c>
      <c r="B6426" s="4">
        <v>0.26319444444444445</v>
      </c>
      <c r="C6426" s="5" t="s">
        <v>90</v>
      </c>
      <c r="D6426" s="5" t="s">
        <v>1183</v>
      </c>
      <c r="E6426" s="8" t="s">
        <v>503</v>
      </c>
      <c r="F6426" s="5" t="s">
        <v>414</v>
      </c>
      <c r="G6426" s="6" t="str">
        <f>VLOOKUP(E6426,dicionario!$A$1:$C6825,2,0)</f>
        <v>Orphulella punctata</v>
      </c>
      <c r="H6426" s="6" t="str">
        <f>VLOOKUP(E6426,dicionario!$A$1:$C6825,3,0)</f>
        <v>gafanhotinho</v>
      </c>
    </row>
    <row r="6427">
      <c r="A6427" s="3">
        <v>45708.0</v>
      </c>
      <c r="B6427" s="4">
        <v>0.2638888888888889</v>
      </c>
      <c r="C6427" s="5" t="s">
        <v>90</v>
      </c>
      <c r="D6427" s="5" t="s">
        <v>1183</v>
      </c>
      <c r="E6427" s="8" t="s">
        <v>163</v>
      </c>
      <c r="F6427" s="5" t="s">
        <v>164</v>
      </c>
      <c r="G6427" s="6" t="str">
        <f>VLOOKUP(E6427,dicionario!$A$1:$C6826,2,0)</f>
        <v>Coragyps atratus</v>
      </c>
      <c r="H6427" s="6" t="str">
        <f>VLOOKUP(E6427,dicionario!$A$1:$C6826,3,0)</f>
        <v>urubu-de-cabeça-preta</v>
      </c>
    </row>
    <row r="6428">
      <c r="A6428" s="3">
        <v>45708.0</v>
      </c>
      <c r="B6428" s="4">
        <v>0.2638888888888889</v>
      </c>
      <c r="C6428" s="5" t="s">
        <v>90</v>
      </c>
      <c r="D6428" s="5" t="s">
        <v>1183</v>
      </c>
      <c r="E6428" s="8" t="s">
        <v>65</v>
      </c>
      <c r="F6428" s="5" t="s">
        <v>66</v>
      </c>
      <c r="G6428" s="6" t="str">
        <f>VLOOKUP(E6428,dicionario!$A$1:$C6827,2,0)</f>
        <v>Pitangus sulphutarus</v>
      </c>
      <c r="H6428" s="6" t="str">
        <f>VLOOKUP(E6428,dicionario!$A$1:$C6827,3,0)</f>
        <v>bem-te-vi</v>
      </c>
    </row>
    <row r="6429">
      <c r="A6429" s="3">
        <v>45708.0</v>
      </c>
      <c r="B6429" s="4">
        <v>0.26458333333333334</v>
      </c>
      <c r="C6429" s="5" t="s">
        <v>90</v>
      </c>
      <c r="D6429" s="5" t="s">
        <v>1183</v>
      </c>
      <c r="E6429" s="8" t="s">
        <v>1186</v>
      </c>
      <c r="F6429" s="5" t="s">
        <v>1187</v>
      </c>
      <c r="G6429" s="6" t="str">
        <f>VLOOKUP(E6429,dicionario!$A$1:$C6828,2,0)</f>
        <v>Dione vanillae</v>
      </c>
      <c r="H6429" s="6" t="str">
        <f>VLOOKUP(E6429,dicionario!$A$1:$C6828,3,0)</f>
        <v>borboleta-paixão</v>
      </c>
    </row>
    <row r="6430">
      <c r="A6430" s="3">
        <v>45708.0</v>
      </c>
      <c r="B6430" s="4">
        <v>0.26458333333333334</v>
      </c>
      <c r="C6430" s="5" t="s">
        <v>90</v>
      </c>
      <c r="D6430" s="5" t="s">
        <v>1183</v>
      </c>
      <c r="E6430" s="8" t="s">
        <v>566</v>
      </c>
      <c r="F6430" s="5" t="s">
        <v>567</v>
      </c>
      <c r="G6430" s="6" t="str">
        <f>VLOOKUP(E6430,dicionario!$A$1:$C6829,2,0)</f>
        <v>Baccharis dracunculifolia</v>
      </c>
      <c r="H6430" s="6" t="str">
        <f>VLOOKUP(E6430,dicionario!$A$1:$C6829,3,0)</f>
        <v>vassoura</v>
      </c>
    </row>
    <row r="6431">
      <c r="A6431" s="3">
        <v>45708.0</v>
      </c>
      <c r="B6431" s="4">
        <v>0.26458333333333334</v>
      </c>
      <c r="C6431" s="5" t="s">
        <v>90</v>
      </c>
      <c r="D6431" s="5" t="s">
        <v>1183</v>
      </c>
      <c r="E6431" s="8" t="s">
        <v>611</v>
      </c>
      <c r="F6431" s="5" t="s">
        <v>612</v>
      </c>
      <c r="G6431" s="6" t="str">
        <f>VLOOKUP(E6431,dicionario!$A$1:$C6830,2,0)</f>
        <v>Boehmeria cylindrica</v>
      </c>
      <c r="H6431" s="6" t="str">
        <f>VLOOKUP(E6431,dicionario!$A$1:$C6830,3,0)</f>
        <v>falsa-urtiga</v>
      </c>
    </row>
    <row r="6432">
      <c r="A6432" s="3">
        <v>45708.0</v>
      </c>
      <c r="B6432" s="4">
        <v>0.2652777777777778</v>
      </c>
      <c r="C6432" s="5" t="s">
        <v>90</v>
      </c>
      <c r="D6432" s="5" t="s">
        <v>1183</v>
      </c>
      <c r="E6432" s="8" t="s">
        <v>141</v>
      </c>
      <c r="F6432" s="5" t="s">
        <v>142</v>
      </c>
      <c r="G6432" s="6" t="str">
        <f>VLOOKUP(E6432,dicionario!$A$1:$C6831,2,0)</f>
        <v>Ruellia blechum</v>
      </c>
      <c r="H6432" s="6" t="str">
        <f>VLOOKUP(E6432,dicionario!$A$1:$C6831,3,0)</f>
        <v>camarão-verde</v>
      </c>
    </row>
    <row r="6433">
      <c r="A6433" s="3">
        <v>45708.0</v>
      </c>
      <c r="B6433" s="4">
        <v>0.2652777777777778</v>
      </c>
      <c r="C6433" s="5" t="s">
        <v>90</v>
      </c>
      <c r="D6433" s="5" t="s">
        <v>1183</v>
      </c>
      <c r="E6433" s="8" t="s">
        <v>152</v>
      </c>
      <c r="F6433" s="5" t="s">
        <v>153</v>
      </c>
      <c r="G6433" s="6" t="str">
        <f>VLOOKUP(E6433,dicionario!$A$1:$C6832,2,0)</f>
        <v>Cynodon dactylon</v>
      </c>
      <c r="H6433" s="6" t="str">
        <f>VLOOKUP(E6433,dicionario!$A$1:$C6832,3,0)</f>
        <v>grama-bermuda</v>
      </c>
    </row>
    <row r="6434">
      <c r="A6434" s="3">
        <v>45708.0</v>
      </c>
      <c r="B6434" s="4">
        <v>0.2673611111111111</v>
      </c>
      <c r="C6434" s="5" t="s">
        <v>85</v>
      </c>
      <c r="D6434" s="5" t="s">
        <v>1183</v>
      </c>
      <c r="E6434" s="8" t="s">
        <v>298</v>
      </c>
      <c r="F6434" s="5" t="s">
        <v>299</v>
      </c>
      <c r="G6434" s="6" t="str">
        <f>VLOOKUP(E6434,dicionario!$A$1:$C6833,2,0)</f>
        <v>Alysicarpus vaginalis</v>
      </c>
      <c r="H6434" s="6" t="str">
        <f>VLOOKUP(E6434,dicionario!$A$1:$C6833,3,0)</f>
        <v/>
      </c>
    </row>
    <row r="6435">
      <c r="A6435" s="3">
        <v>45708.0</v>
      </c>
      <c r="B6435" s="4">
        <v>0.2673611111111111</v>
      </c>
      <c r="C6435" s="5" t="s">
        <v>85</v>
      </c>
      <c r="D6435" s="5" t="s">
        <v>1183</v>
      </c>
      <c r="E6435" s="8" t="s">
        <v>353</v>
      </c>
      <c r="F6435" s="5" t="s">
        <v>354</v>
      </c>
      <c r="G6435" s="6" t="str">
        <f>VLOOKUP(E6435,dicionario!$A$1:$C6834,2,0)</f>
        <v>Desmodium incanum</v>
      </c>
      <c r="H6435" s="6" t="str">
        <f>VLOOKUP(E6435,dicionario!$A$1:$C6834,3,0)</f>
        <v>pega-pega</v>
      </c>
    </row>
    <row r="6436">
      <c r="A6436" s="3">
        <v>45708.0</v>
      </c>
      <c r="B6436" s="4">
        <v>0.2673611111111111</v>
      </c>
      <c r="C6436" s="5" t="s">
        <v>85</v>
      </c>
      <c r="D6436" s="5" t="s">
        <v>1183</v>
      </c>
      <c r="E6436" s="8" t="s">
        <v>122</v>
      </c>
      <c r="F6436" s="7" t="s">
        <v>123</v>
      </c>
      <c r="G6436" s="6" t="str">
        <f>VLOOKUP(E6436,dicionario!$A$1:$C6835,2,0)</f>
        <v>Todirostrum cinereum</v>
      </c>
      <c r="H6436" s="6" t="str">
        <f>VLOOKUP(E6436,dicionario!$A$1:$C6835,3,0)</f>
        <v>ferreirinho-relógio</v>
      </c>
    </row>
    <row r="6437">
      <c r="A6437" s="3">
        <v>45708.0</v>
      </c>
      <c r="B6437" s="4">
        <v>0.26805555555555555</v>
      </c>
      <c r="C6437" s="5" t="s">
        <v>85</v>
      </c>
      <c r="D6437" s="5" t="s">
        <v>1183</v>
      </c>
      <c r="E6437" s="8" t="s">
        <v>14</v>
      </c>
      <c r="F6437" s="5" t="s">
        <v>15</v>
      </c>
      <c r="G6437" s="6" t="str">
        <f>VLOOKUP(E6437,dicionario!$A$1:$C6836,2,0)</f>
        <v>Spermacoce verticillata</v>
      </c>
      <c r="H6437" s="6" t="str">
        <f>VLOOKUP(E6437,dicionario!$A$1:$C6836,3,0)</f>
        <v>vassourinha-de-botão</v>
      </c>
    </row>
    <row r="6438">
      <c r="A6438" s="3">
        <v>45708.0</v>
      </c>
      <c r="B6438" s="4">
        <v>0.26805555555555555</v>
      </c>
      <c r="C6438" s="5" t="s">
        <v>85</v>
      </c>
      <c r="D6438" s="5" t="s">
        <v>1183</v>
      </c>
      <c r="E6438" s="6" t="s">
        <v>171</v>
      </c>
      <c r="F6438" s="5" t="s">
        <v>172</v>
      </c>
      <c r="G6438" s="6" t="str">
        <f>VLOOKUP(E6438,dicionario!$A$1:$C6837,2,0)</f>
        <v>Oxalis corniculata</v>
      </c>
      <c r="H6438" s="6" t="str">
        <f>VLOOKUP(E6438,dicionario!$A$1:$C6837,3,0)</f>
        <v>trevo-azedinho</v>
      </c>
    </row>
    <row r="6439">
      <c r="A6439" s="3">
        <v>45708.0</v>
      </c>
      <c r="B6439" s="4">
        <v>0.26805555555555555</v>
      </c>
      <c r="C6439" s="5" t="s">
        <v>85</v>
      </c>
      <c r="D6439" s="5" t="s">
        <v>1183</v>
      </c>
      <c r="E6439" s="8" t="s">
        <v>109</v>
      </c>
      <c r="F6439" s="5" t="s">
        <v>110</v>
      </c>
      <c r="G6439" s="6" t="str">
        <f>VLOOKUP(E6439,dicionario!$A$1:$C6838,2,0)</f>
        <v>Tillandsia stricta</v>
      </c>
      <c r="H6439" s="6" t="str">
        <f>VLOOKUP(E6439,dicionario!$A$1:$C6838,3,0)</f>
        <v>cravo-do-mato</v>
      </c>
    </row>
    <row r="6440">
      <c r="A6440" s="3">
        <v>45708.0</v>
      </c>
      <c r="B6440" s="4">
        <v>0.26875</v>
      </c>
      <c r="C6440" s="5" t="s">
        <v>85</v>
      </c>
      <c r="D6440" s="5" t="s">
        <v>1183</v>
      </c>
      <c r="E6440" s="8" t="s">
        <v>46</v>
      </c>
      <c r="F6440" s="5" t="s">
        <v>47</v>
      </c>
      <c r="G6440" s="6" t="str">
        <f>VLOOKUP(E6440,dicionario!$A$1:$C6839,2,0)</f>
        <v>Chionomesa fimbriata</v>
      </c>
      <c r="H6440" s="6" t="str">
        <f>VLOOKUP(E6440,dicionario!$A$1:$C6839,3,0)</f>
        <v>beija-flor-de-garganta-verde</v>
      </c>
    </row>
    <row r="6441">
      <c r="A6441" s="3">
        <v>45708.0</v>
      </c>
      <c r="B6441" s="4">
        <v>0.26944444444444443</v>
      </c>
      <c r="C6441" s="5" t="s">
        <v>85</v>
      </c>
      <c r="D6441" s="5" t="s">
        <v>1183</v>
      </c>
      <c r="E6441" s="8" t="s">
        <v>401</v>
      </c>
      <c r="F6441" s="5" t="s">
        <v>464</v>
      </c>
      <c r="G6441" s="6" t="str">
        <f>VLOOKUP(E6441,dicionario!$A$1:$C6840,2,0)</f>
        <v>Cissus verticillata</v>
      </c>
      <c r="H6441" s="6" t="str">
        <f>VLOOKUP(E6441,dicionario!$A$1:$C6840,3,0)</f>
        <v>uva-do-mato</v>
      </c>
    </row>
    <row r="6442">
      <c r="A6442" s="3">
        <v>45708.0</v>
      </c>
      <c r="B6442" s="4">
        <v>0.26944444444444443</v>
      </c>
      <c r="C6442" s="5" t="s">
        <v>85</v>
      </c>
      <c r="D6442" s="5" t="s">
        <v>1183</v>
      </c>
      <c r="E6442" s="8" t="s">
        <v>141</v>
      </c>
      <c r="F6442" s="5" t="s">
        <v>142</v>
      </c>
      <c r="G6442" s="6" t="str">
        <f>VLOOKUP(E6442,dicionario!$A$1:$C6841,2,0)</f>
        <v>Ruellia blechum</v>
      </c>
      <c r="H6442" s="6" t="str">
        <f>VLOOKUP(E6442,dicionario!$A$1:$C6841,3,0)</f>
        <v>camarão-verde</v>
      </c>
    </row>
    <row r="6443">
      <c r="A6443" s="3">
        <v>45708.0</v>
      </c>
      <c r="B6443" s="4">
        <v>0.2701388888888889</v>
      </c>
      <c r="C6443" s="5" t="s">
        <v>85</v>
      </c>
      <c r="D6443" s="5" t="s">
        <v>1183</v>
      </c>
      <c r="E6443" s="8" t="s">
        <v>135</v>
      </c>
      <c r="F6443" s="5" t="s">
        <v>136</v>
      </c>
      <c r="G6443" s="6" t="str">
        <f>VLOOKUP(E6443,dicionario!$A$1:$C6842,2,0)</f>
        <v>Tridax procumbens</v>
      </c>
      <c r="H6443" s="6" t="str">
        <f>VLOOKUP(E6443,dicionario!$A$1:$C6842,3,0)</f>
        <v>erva-de-touro</v>
      </c>
    </row>
    <row r="6444">
      <c r="A6444" s="3">
        <v>45708.0</v>
      </c>
      <c r="B6444" s="4">
        <v>0.2701388888888889</v>
      </c>
      <c r="C6444" s="5" t="s">
        <v>85</v>
      </c>
      <c r="D6444" s="5" t="s">
        <v>1183</v>
      </c>
      <c r="E6444" s="6" t="s">
        <v>91</v>
      </c>
      <c r="F6444" s="5" t="s">
        <v>92</v>
      </c>
      <c r="G6444" s="6" t="str">
        <f>VLOOKUP(E6444,dicionario!$A$1:$C6843,2,0)</f>
        <v>Picumnus cirratus</v>
      </c>
      <c r="H6444" s="6" t="str">
        <f>VLOOKUP(E6444,dicionario!$A$1:$C6843,3,0)</f>
        <v>picapauzinho-barrado</v>
      </c>
    </row>
    <row r="6445">
      <c r="A6445" s="3">
        <v>45708.0</v>
      </c>
      <c r="B6445" s="4">
        <v>0.2701388888888889</v>
      </c>
      <c r="C6445" s="5" t="s">
        <v>85</v>
      </c>
      <c r="D6445" s="5" t="s">
        <v>1183</v>
      </c>
      <c r="E6445" s="8" t="s">
        <v>158</v>
      </c>
      <c r="F6445" s="5" t="s">
        <v>159</v>
      </c>
      <c r="G6445" s="6" t="str">
        <f>VLOOKUP(E6445,dicionario!$A$1:$C6844,2,0)</f>
        <v>Nephilingis cruentata</v>
      </c>
      <c r="H6445" s="6" t="str">
        <f>VLOOKUP(E6445,dicionario!$A$1:$C6844,3,0)</f>
        <v>maria-bola</v>
      </c>
    </row>
    <row r="6446">
      <c r="A6446" s="3">
        <v>45708.0</v>
      </c>
      <c r="B6446" s="4">
        <v>0.2708333333333333</v>
      </c>
      <c r="C6446" s="5" t="s">
        <v>85</v>
      </c>
      <c r="D6446" s="5" t="s">
        <v>1183</v>
      </c>
      <c r="E6446" s="8" t="s">
        <v>1188</v>
      </c>
      <c r="F6446" s="5" t="s">
        <v>238</v>
      </c>
      <c r="G6446" s="6" t="str">
        <f>VLOOKUP(E6446,dicionario!$A$1:$C6845,2,0)</f>
        <v>#N/A</v>
      </c>
      <c r="H6446" s="6" t="str">
        <f>VLOOKUP(E6446,dicionario!$A$1:$C6845,3,0)</f>
        <v>#N/A</v>
      </c>
    </row>
    <row r="6447">
      <c r="A6447" s="3">
        <v>45708.0</v>
      </c>
      <c r="B6447" s="4">
        <v>0.2708333333333333</v>
      </c>
      <c r="C6447" s="5" t="s">
        <v>85</v>
      </c>
      <c r="D6447" s="5" t="s">
        <v>1183</v>
      </c>
      <c r="E6447" s="8" t="s">
        <v>86</v>
      </c>
      <c r="F6447" s="5" t="s">
        <v>502</v>
      </c>
      <c r="G6447" s="6" t="str">
        <f>VLOOKUP(E6447,dicionario!$A$1:$C6846,2,0)</f>
        <v>Coereba flaveola</v>
      </c>
      <c r="H6447" s="6" t="str">
        <f>VLOOKUP(E6447,dicionario!$A$1:$C6846,3,0)</f>
        <v>cambacica</v>
      </c>
    </row>
    <row r="6448">
      <c r="A6448" s="3">
        <v>45708.0</v>
      </c>
      <c r="B6448" s="4">
        <v>0.2708333333333333</v>
      </c>
      <c r="C6448" s="5" t="s">
        <v>85</v>
      </c>
      <c r="D6448" s="5" t="s">
        <v>1183</v>
      </c>
      <c r="E6448" s="8" t="s">
        <v>152</v>
      </c>
      <c r="F6448" s="5" t="s">
        <v>153</v>
      </c>
      <c r="G6448" s="6" t="str">
        <f>VLOOKUP(E6448,dicionario!$A$1:$C6847,2,0)</f>
        <v>Cynodon dactylon</v>
      </c>
      <c r="H6448" s="6" t="str">
        <f>VLOOKUP(E6448,dicionario!$A$1:$C6847,3,0)</f>
        <v>grama-bermuda</v>
      </c>
    </row>
    <row r="6449">
      <c r="A6449" s="3">
        <v>45708.0</v>
      </c>
      <c r="B6449" s="4">
        <v>0.2708333333333333</v>
      </c>
      <c r="C6449" s="5" t="s">
        <v>85</v>
      </c>
      <c r="D6449" s="5" t="s">
        <v>1183</v>
      </c>
      <c r="E6449" s="8" t="s">
        <v>851</v>
      </c>
      <c r="F6449" s="5" t="s">
        <v>418</v>
      </c>
      <c r="G6449" s="6" t="str">
        <f>VLOOKUP(E6449,dicionario!$A$1:$C6848,2,0)</f>
        <v>#N/A</v>
      </c>
      <c r="H6449" s="6" t="str">
        <f>VLOOKUP(E6449,dicionario!$A$1:$C6848,3,0)</f>
        <v>#N/A</v>
      </c>
    </row>
    <row r="6450">
      <c r="A6450" s="3">
        <v>45708.0</v>
      </c>
      <c r="B6450" s="4">
        <v>0.27152777777777776</v>
      </c>
      <c r="C6450" s="5" t="s">
        <v>85</v>
      </c>
      <c r="D6450" s="5" t="s">
        <v>1183</v>
      </c>
      <c r="E6450" s="8" t="s">
        <v>72</v>
      </c>
      <c r="F6450" s="5" t="s">
        <v>73</v>
      </c>
      <c r="G6450" s="6" t="str">
        <f>VLOOKUP(E6450,dicionario!$A$1:$C6849,2,0)</f>
        <v>Thraupis palmarum</v>
      </c>
      <c r="H6450" s="6" t="str">
        <f>VLOOKUP(E6450,dicionario!$A$1:$C6849,3,0)</f>
        <v>sanhaço-do-coqueiro</v>
      </c>
    </row>
    <row r="6451">
      <c r="A6451" s="3">
        <v>45708.0</v>
      </c>
      <c r="B6451" s="4">
        <v>0.27152777777777776</v>
      </c>
      <c r="C6451" s="5" t="s">
        <v>85</v>
      </c>
      <c r="D6451" s="5" t="s">
        <v>1183</v>
      </c>
      <c r="E6451" s="8" t="s">
        <v>177</v>
      </c>
      <c r="F6451" s="5" t="s">
        <v>607</v>
      </c>
      <c r="G6451" s="6" t="str">
        <f>VLOOKUP(E6451,dicionario!$A$1:$C6850,2,0)</f>
        <v>Elaenia flavogaster</v>
      </c>
      <c r="H6451" s="6" t="str">
        <f>VLOOKUP(E6451,dicionario!$A$1:$C6850,3,0)</f>
        <v>guaracava-de-barriga-amarela</v>
      </c>
    </row>
    <row r="6452">
      <c r="A6452" s="3">
        <v>45708.0</v>
      </c>
      <c r="B6452" s="4">
        <v>0.27152777777777776</v>
      </c>
      <c r="C6452" s="5" t="s">
        <v>85</v>
      </c>
      <c r="D6452" s="5" t="s">
        <v>1183</v>
      </c>
      <c r="E6452" s="8" t="s">
        <v>970</v>
      </c>
      <c r="F6452" s="59" t="s">
        <v>603</v>
      </c>
      <c r="G6452" s="6" t="str">
        <f>VLOOKUP(E6452,dicionario!$A$1:$C6851,2,0)</f>
        <v>#N/A</v>
      </c>
      <c r="H6452" s="6" t="str">
        <f>VLOOKUP(E6452,dicionario!$A$1:$C6851,3,0)</f>
        <v>#N/A</v>
      </c>
    </row>
    <row r="6453">
      <c r="A6453" s="3">
        <v>45708.0</v>
      </c>
      <c r="B6453" s="4">
        <v>0.2722222222222222</v>
      </c>
      <c r="C6453" s="5" t="s">
        <v>85</v>
      </c>
      <c r="D6453" s="5" t="s">
        <v>1183</v>
      </c>
      <c r="E6453" s="8" t="s">
        <v>65</v>
      </c>
      <c r="F6453" s="5" t="s">
        <v>66</v>
      </c>
      <c r="G6453" s="6" t="str">
        <f>VLOOKUP(E6453,dicionario!$A$1:$C6852,2,0)</f>
        <v>Pitangus sulphutarus</v>
      </c>
      <c r="H6453" s="6" t="str">
        <f>VLOOKUP(E6453,dicionario!$A$1:$C6852,3,0)</f>
        <v>bem-te-vi</v>
      </c>
    </row>
    <row r="6454">
      <c r="A6454" s="3">
        <v>45708.0</v>
      </c>
      <c r="B6454" s="4">
        <v>0.2722222222222222</v>
      </c>
      <c r="C6454" s="5" t="s">
        <v>85</v>
      </c>
      <c r="D6454" s="5" t="s">
        <v>1183</v>
      </c>
      <c r="E6454" s="8" t="s">
        <v>1189</v>
      </c>
      <c r="F6454" s="5" t="s">
        <v>121</v>
      </c>
      <c r="G6454" s="6" t="str">
        <f>VLOOKUP(E6454,dicionario!$A$1:$C6853,2,0)</f>
        <v>#N/A</v>
      </c>
      <c r="H6454" s="6" t="str">
        <f>VLOOKUP(E6454,dicionario!$A$1:$C6853,3,0)</f>
        <v>#N/A</v>
      </c>
    </row>
    <row r="6455">
      <c r="A6455" s="3">
        <v>45708.0</v>
      </c>
      <c r="B6455" s="4">
        <v>0.27291666666666664</v>
      </c>
      <c r="C6455" s="5" t="s">
        <v>85</v>
      </c>
      <c r="D6455" s="5" t="s">
        <v>1183</v>
      </c>
      <c r="E6455" s="8" t="s">
        <v>113</v>
      </c>
      <c r="F6455" s="5" t="s">
        <v>114</v>
      </c>
      <c r="G6455" s="6" t="str">
        <f>VLOOKUP(E6455,dicionario!$A$1:$C6854,2,0)</f>
        <v>Columbina talpacoti</v>
      </c>
      <c r="H6455" s="6" t="str">
        <f>VLOOKUP(E6455,dicionario!$A$1:$C6854,3,0)</f>
        <v>rolinha-roxa</v>
      </c>
    </row>
    <row r="6456">
      <c r="A6456" s="3">
        <v>45708.0</v>
      </c>
      <c r="B6456" s="4">
        <v>0.2743055555555556</v>
      </c>
      <c r="C6456" s="5" t="s">
        <v>85</v>
      </c>
      <c r="D6456" s="5" t="s">
        <v>1183</v>
      </c>
      <c r="E6456" s="8" t="s">
        <v>229</v>
      </c>
      <c r="F6456" s="5" t="s">
        <v>230</v>
      </c>
      <c r="G6456" s="6" t="str">
        <f>VLOOKUP(E6456,dicionario!$A$1:$C6855,2,0)</f>
        <v>Apis mellifera</v>
      </c>
      <c r="H6456" s="6" t="str">
        <f>VLOOKUP(E6456,dicionario!$A$1:$C6855,3,0)</f>
        <v>abelha-do-mel</v>
      </c>
    </row>
    <row r="6457">
      <c r="A6457" s="3">
        <v>45708.0</v>
      </c>
      <c r="B6457" s="4">
        <v>0.27569444444444446</v>
      </c>
      <c r="C6457" s="5" t="s">
        <v>76</v>
      </c>
      <c r="D6457" s="5" t="s">
        <v>1183</v>
      </c>
      <c r="E6457" s="8" t="s">
        <v>122</v>
      </c>
      <c r="F6457" s="7" t="s">
        <v>123</v>
      </c>
      <c r="G6457" s="6" t="str">
        <f>VLOOKUP(E6457,dicionario!$A$1:$C6856,2,0)</f>
        <v>Todirostrum cinereum</v>
      </c>
      <c r="H6457" s="6" t="str">
        <f>VLOOKUP(E6457,dicionario!$A$1:$C6856,3,0)</f>
        <v>ferreirinho-relógio</v>
      </c>
    </row>
    <row r="6458">
      <c r="A6458" s="3">
        <v>45708.0</v>
      </c>
      <c r="B6458" s="4">
        <v>0.27569444444444446</v>
      </c>
      <c r="C6458" s="5" t="s">
        <v>76</v>
      </c>
      <c r="D6458" s="5" t="s">
        <v>1183</v>
      </c>
      <c r="E6458" s="8" t="s">
        <v>38</v>
      </c>
      <c r="F6458" s="5" t="s">
        <v>39</v>
      </c>
      <c r="G6458" s="6" t="str">
        <f>VLOOKUP(E6458,dicionario!$A$1:$C6857,2,0)</f>
        <v>Troglodytes musculus</v>
      </c>
      <c r="H6458" s="6" t="str">
        <f>VLOOKUP(E6458,dicionario!$A$1:$C6857,3,0)</f>
        <v>curruíra</v>
      </c>
    </row>
    <row r="6459">
      <c r="A6459" s="3">
        <v>45708.0</v>
      </c>
      <c r="B6459" s="4">
        <v>0.2763888888888889</v>
      </c>
      <c r="C6459" s="5" t="s">
        <v>76</v>
      </c>
      <c r="D6459" s="5" t="s">
        <v>1183</v>
      </c>
      <c r="E6459" s="8" t="s">
        <v>135</v>
      </c>
      <c r="F6459" s="5" t="s">
        <v>136</v>
      </c>
      <c r="G6459" s="6" t="str">
        <f>VLOOKUP(E6459,dicionario!$A$1:$C6858,2,0)</f>
        <v>Tridax procumbens</v>
      </c>
      <c r="H6459" s="6" t="str">
        <f>VLOOKUP(E6459,dicionario!$A$1:$C6858,3,0)</f>
        <v>erva-de-touro</v>
      </c>
    </row>
    <row r="6460">
      <c r="A6460" s="3">
        <v>45708.0</v>
      </c>
      <c r="B6460" s="4">
        <v>0.27708333333333335</v>
      </c>
      <c r="C6460" s="5" t="s">
        <v>76</v>
      </c>
      <c r="D6460" s="5" t="s">
        <v>1183</v>
      </c>
      <c r="E6460" s="8" t="s">
        <v>143</v>
      </c>
      <c r="F6460" s="5" t="s">
        <v>63</v>
      </c>
      <c r="G6460" s="6" t="str">
        <f>VLOOKUP(E6460,dicionario!$A$1:$C6859,2,0)</f>
        <v>Polybia</v>
      </c>
      <c r="H6460" s="6" t="str">
        <f>VLOOKUP(E6460,dicionario!$A$1:$C6859,3,0)</f>
        <v>vespa</v>
      </c>
    </row>
    <row r="6461">
      <c r="A6461" s="3">
        <v>45708.0</v>
      </c>
      <c r="B6461" s="4">
        <v>0.27708333333333335</v>
      </c>
      <c r="C6461" s="5" t="s">
        <v>76</v>
      </c>
      <c r="D6461" s="5" t="s">
        <v>1183</v>
      </c>
      <c r="E6461" s="8" t="s">
        <v>504</v>
      </c>
      <c r="F6461" s="5" t="s">
        <v>1190</v>
      </c>
      <c r="G6461" s="6" t="str">
        <f>VLOOKUP(E6461,dicionario!$A$1:$C6860,2,0)</f>
        <v>Cleome aculeata</v>
      </c>
      <c r="H6461" s="6" t="str">
        <f>VLOOKUP(E6461,dicionario!$A$1:$C6860,3,0)</f>
        <v>cleome</v>
      </c>
    </row>
    <row r="6462">
      <c r="A6462" s="3">
        <v>45708.0</v>
      </c>
      <c r="B6462" s="4">
        <v>0.27708333333333335</v>
      </c>
      <c r="C6462" s="5" t="s">
        <v>76</v>
      </c>
      <c r="D6462" s="5" t="s">
        <v>1183</v>
      </c>
      <c r="E6462" s="8" t="s">
        <v>46</v>
      </c>
      <c r="F6462" s="5" t="s">
        <v>47</v>
      </c>
      <c r="G6462" s="6" t="str">
        <f>VLOOKUP(E6462,dicionario!$A$1:$C6861,2,0)</f>
        <v>Chionomesa fimbriata</v>
      </c>
      <c r="H6462" s="6" t="str">
        <f>VLOOKUP(E6462,dicionario!$A$1:$C6861,3,0)</f>
        <v>beija-flor-de-garganta-verde</v>
      </c>
    </row>
    <row r="6463">
      <c r="A6463" s="3">
        <v>45708.0</v>
      </c>
      <c r="B6463" s="4">
        <v>0.27708333333333335</v>
      </c>
      <c r="C6463" s="5" t="s">
        <v>76</v>
      </c>
      <c r="D6463" s="5" t="s">
        <v>1183</v>
      </c>
      <c r="E6463" s="8" t="s">
        <v>298</v>
      </c>
      <c r="F6463" s="5" t="s">
        <v>299</v>
      </c>
      <c r="G6463" s="6" t="str">
        <f>VLOOKUP(E6463,dicionario!$A$1:$C6862,2,0)</f>
        <v>Alysicarpus vaginalis</v>
      </c>
      <c r="H6463" s="6" t="str">
        <f>VLOOKUP(E6463,dicionario!$A$1:$C6862,3,0)</f>
        <v/>
      </c>
    </row>
    <row r="6464">
      <c r="A6464" s="3">
        <v>45708.0</v>
      </c>
      <c r="B6464" s="4">
        <v>0.27708333333333335</v>
      </c>
      <c r="C6464" s="5" t="s">
        <v>76</v>
      </c>
      <c r="D6464" s="5" t="s">
        <v>1183</v>
      </c>
      <c r="E6464" s="8" t="s">
        <v>148</v>
      </c>
      <c r="F6464" s="5" t="s">
        <v>149</v>
      </c>
      <c r="G6464" s="6" t="str">
        <f>VLOOKUP(E6464,dicionario!$A$1:$C6863,2,0)</f>
        <v>Parthenium hysterophorus</v>
      </c>
      <c r="H6464" s="6" t="str">
        <f>VLOOKUP(E6464,dicionario!$A$1:$C6863,3,0)</f>
        <v>losna-branca</v>
      </c>
    </row>
    <row r="6465">
      <c r="A6465" s="3">
        <v>45708.0</v>
      </c>
      <c r="B6465" s="4">
        <v>0.2777777777777778</v>
      </c>
      <c r="C6465" s="5" t="s">
        <v>76</v>
      </c>
      <c r="D6465" s="5" t="s">
        <v>1183</v>
      </c>
      <c r="E6465" s="8" t="s">
        <v>247</v>
      </c>
      <c r="F6465" s="7" t="s">
        <v>272</v>
      </c>
      <c r="G6465" s="6" t="str">
        <f>VLOOKUP(E6465,dicionario!$A$1:$C6864,2,0)</f>
        <v>Emilia sonchifolia</v>
      </c>
      <c r="H6465" s="6" t="str">
        <f>VLOOKUP(E6465,dicionario!$A$1:$C6864,3,0)</f>
        <v>serralinha</v>
      </c>
    </row>
    <row r="6466">
      <c r="A6466" s="3">
        <v>45708.0</v>
      </c>
      <c r="B6466" s="4">
        <v>0.2777777777777778</v>
      </c>
      <c r="C6466" s="5" t="s">
        <v>76</v>
      </c>
      <c r="D6466" s="5" t="s">
        <v>1183</v>
      </c>
      <c r="E6466" s="8" t="s">
        <v>253</v>
      </c>
      <c r="F6466" s="5" t="s">
        <v>254</v>
      </c>
      <c r="G6466" s="6" t="str">
        <f>VLOOKUP(E6466,dicionario!$A$1:$C6865,2,0)</f>
        <v>Panicum maximum</v>
      </c>
      <c r="H6466" s="6" t="str">
        <f>VLOOKUP(E6466,dicionario!$A$1:$C6865,3,0)</f>
        <v>capim-colonião</v>
      </c>
    </row>
    <row r="6467">
      <c r="A6467" s="3">
        <v>45708.0</v>
      </c>
      <c r="B6467" s="4">
        <v>0.2777777777777778</v>
      </c>
      <c r="C6467" s="5" t="s">
        <v>76</v>
      </c>
      <c r="D6467" s="5" t="s">
        <v>1183</v>
      </c>
      <c r="E6467" s="8" t="s">
        <v>227</v>
      </c>
      <c r="F6467" s="5" t="s">
        <v>228</v>
      </c>
      <c r="G6467" s="6" t="str">
        <f>VLOOKUP(E6467,dicionario!$A$1:$C6866,2,0)</f>
        <v>Indigofera hirsuta</v>
      </c>
      <c r="H6467" s="6" t="str">
        <f>VLOOKUP(E6467,dicionario!$A$1:$C6866,3,0)</f>
        <v>anileira</v>
      </c>
    </row>
    <row r="6468">
      <c r="A6468" s="3">
        <v>45708.0</v>
      </c>
      <c r="B6468" s="4">
        <v>0.2777777777777778</v>
      </c>
      <c r="C6468" s="5" t="s">
        <v>76</v>
      </c>
      <c r="D6468" s="5" t="s">
        <v>1183</v>
      </c>
      <c r="E6468" s="8" t="s">
        <v>247</v>
      </c>
      <c r="F6468" s="5" t="s">
        <v>387</v>
      </c>
      <c r="G6468" s="6" t="str">
        <f>VLOOKUP(E6468,dicionario!$A$1:$C6867,2,0)</f>
        <v>Emilia sonchifolia</v>
      </c>
      <c r="H6468" s="6" t="str">
        <f>VLOOKUP(E6468,dicionario!$A$1:$C6867,3,0)</f>
        <v>serralinha</v>
      </c>
    </row>
    <row r="6469">
      <c r="A6469" s="3">
        <v>45708.0</v>
      </c>
      <c r="B6469" s="4">
        <v>0.2777777777777778</v>
      </c>
      <c r="C6469" s="5" t="s">
        <v>76</v>
      </c>
      <c r="D6469" s="5" t="s">
        <v>1183</v>
      </c>
      <c r="E6469" s="8" t="s">
        <v>296</v>
      </c>
      <c r="F6469" s="5" t="s">
        <v>297</v>
      </c>
      <c r="G6469" s="6" t="str">
        <f>VLOOKUP(E6469,dicionario!$A$1:$C6868,2,0)</f>
        <v>Richardia brasiliensis</v>
      </c>
      <c r="H6469" s="6" t="str">
        <f>VLOOKUP(E6469,dicionario!$A$1:$C6868,3,0)</f>
        <v>poaia-branca</v>
      </c>
    </row>
    <row r="6470">
      <c r="A6470" s="3">
        <v>45708.0</v>
      </c>
      <c r="B6470" s="4">
        <v>0.2777777777777778</v>
      </c>
      <c r="C6470" s="5" t="s">
        <v>76</v>
      </c>
      <c r="D6470" s="5" t="s">
        <v>1183</v>
      </c>
      <c r="E6470" s="8" t="s">
        <v>489</v>
      </c>
      <c r="F6470" s="5" t="s">
        <v>521</v>
      </c>
      <c r="G6470" s="6" t="str">
        <f>VLOOKUP(E6470,dicionario!$A$1:$C6869,2,0)</f>
        <v>Cenchrus echinatus</v>
      </c>
      <c r="H6470" s="6" t="str">
        <f>VLOOKUP(E6470,dicionario!$A$1:$C6869,3,0)</f>
        <v>capim-carrapicho</v>
      </c>
    </row>
    <row r="6471">
      <c r="A6471" s="3">
        <v>45708.0</v>
      </c>
      <c r="B6471" s="4">
        <v>0.2777777777777778</v>
      </c>
      <c r="C6471" s="5" t="s">
        <v>76</v>
      </c>
      <c r="D6471" s="5" t="s">
        <v>1183</v>
      </c>
      <c r="E6471" s="8" t="s">
        <v>566</v>
      </c>
      <c r="F6471" s="5" t="s">
        <v>567</v>
      </c>
      <c r="G6471" s="6" t="str">
        <f>VLOOKUP(E6471,dicionario!$A$1:$C6870,2,0)</f>
        <v>Baccharis dracunculifolia</v>
      </c>
      <c r="H6471" s="6" t="str">
        <f>VLOOKUP(E6471,dicionario!$A$1:$C6870,3,0)</f>
        <v>vassoura</v>
      </c>
    </row>
    <row r="6472">
      <c r="A6472" s="3">
        <v>45708.0</v>
      </c>
      <c r="B6472" s="4">
        <v>0.27847222222222223</v>
      </c>
      <c r="C6472" s="5" t="s">
        <v>76</v>
      </c>
      <c r="D6472" s="5" t="s">
        <v>1183</v>
      </c>
      <c r="E6472" s="8" t="s">
        <v>1087</v>
      </c>
      <c r="F6472" s="5" t="s">
        <v>1088</v>
      </c>
      <c r="G6472" s="6" t="str">
        <f>VLOOKUP(E6472,dicionario!$A$1:$C6871,2,0)</f>
        <v>Desmodium triflorum</v>
      </c>
      <c r="H6472" s="6" t="str">
        <f>VLOOKUP(E6472,dicionario!$A$1:$C6871,3,0)</f>
        <v/>
      </c>
    </row>
    <row r="6473">
      <c r="A6473" s="3">
        <v>45708.0</v>
      </c>
      <c r="B6473" s="4">
        <v>0.27847222222222223</v>
      </c>
      <c r="C6473" s="5" t="s">
        <v>76</v>
      </c>
      <c r="D6473" s="5" t="s">
        <v>1183</v>
      </c>
      <c r="E6473" s="8" t="s">
        <v>239</v>
      </c>
      <c r="F6473" s="5" t="s">
        <v>240</v>
      </c>
      <c r="G6473" s="6" t="str">
        <f>VLOOKUP(E6473,dicionario!$A$1:$C6872,2,0)</f>
        <v>Gomphrena celosioides</v>
      </c>
      <c r="H6473" s="6" t="str">
        <f>VLOOKUP(E6473,dicionario!$A$1:$C6872,3,0)</f>
        <v>perpétua-branca</v>
      </c>
    </row>
    <row r="6474">
      <c r="A6474" s="3">
        <v>45708.0</v>
      </c>
      <c r="B6474" s="4">
        <v>0.27847222222222223</v>
      </c>
      <c r="C6474" s="5" t="s">
        <v>76</v>
      </c>
      <c r="D6474" s="5" t="s">
        <v>1183</v>
      </c>
      <c r="E6474" s="8" t="s">
        <v>152</v>
      </c>
      <c r="F6474" s="5" t="s">
        <v>153</v>
      </c>
      <c r="G6474" s="6" t="str">
        <f>VLOOKUP(E6474,dicionario!$A$1:$C6873,2,0)</f>
        <v>Cynodon dactylon</v>
      </c>
      <c r="H6474" s="6" t="str">
        <f>VLOOKUP(E6474,dicionario!$A$1:$C6873,3,0)</f>
        <v>grama-bermuda</v>
      </c>
    </row>
    <row r="6475">
      <c r="A6475" s="3">
        <v>45708.0</v>
      </c>
      <c r="B6475" s="4">
        <v>0.27847222222222223</v>
      </c>
      <c r="C6475" s="5" t="s">
        <v>76</v>
      </c>
      <c r="D6475" s="5" t="s">
        <v>1183</v>
      </c>
      <c r="E6475" s="8" t="s">
        <v>355</v>
      </c>
      <c r="F6475" s="5" t="s">
        <v>356</v>
      </c>
      <c r="G6475" s="6" t="str">
        <f>VLOOKUP(E6475,dicionario!$A$1:$C6874,2,0)</f>
        <v>Boerhavia diffusa</v>
      </c>
      <c r="H6475" s="6" t="str">
        <f>VLOOKUP(E6475,dicionario!$A$1:$C6874,3,0)</f>
        <v>erva-tostão</v>
      </c>
    </row>
    <row r="6476">
      <c r="A6476" s="3">
        <v>45708.0</v>
      </c>
      <c r="B6476" s="4">
        <v>0.27847222222222223</v>
      </c>
      <c r="C6476" s="5" t="s">
        <v>76</v>
      </c>
      <c r="D6476" s="5" t="s">
        <v>1183</v>
      </c>
      <c r="E6476" s="8" t="s">
        <v>146</v>
      </c>
      <c r="F6476" s="5" t="s">
        <v>147</v>
      </c>
      <c r="G6476" s="6" t="str">
        <f>VLOOKUP(E6476,dicionario!$A$1:$C6875,2,0)</f>
        <v>Euphorbia hirta</v>
      </c>
      <c r="H6476" s="6" t="str">
        <f>VLOOKUP(E6476,dicionario!$A$1:$C6875,3,0)</f>
        <v>erva-de-santa-luzia</v>
      </c>
    </row>
    <row r="6477">
      <c r="A6477" s="3">
        <v>45708.0</v>
      </c>
      <c r="B6477" s="4">
        <v>0.27847222222222223</v>
      </c>
      <c r="C6477" s="5" t="s">
        <v>76</v>
      </c>
      <c r="D6477" s="5" t="s">
        <v>1183</v>
      </c>
      <c r="E6477" s="8" t="s">
        <v>483</v>
      </c>
      <c r="F6477" s="5" t="s">
        <v>289</v>
      </c>
      <c r="G6477" s="6" t="str">
        <f>VLOOKUP(E6477,dicionario!$A$1:$C6876,2,0)</f>
        <v>Euphorbia prostrata</v>
      </c>
      <c r="H6477" s="6" t="str">
        <f>VLOOKUP(E6477,dicionario!$A$1:$C6876,3,0)</f>
        <v>quebra-pedra-rasteira</v>
      </c>
    </row>
    <row r="6478">
      <c r="A6478" s="3">
        <v>45708.0</v>
      </c>
      <c r="B6478" s="4">
        <v>0.2791666666666667</v>
      </c>
      <c r="C6478" s="5" t="s">
        <v>76</v>
      </c>
      <c r="D6478" s="5" t="s">
        <v>1183</v>
      </c>
      <c r="E6478" s="8" t="s">
        <v>48</v>
      </c>
      <c r="F6478" s="5" t="s">
        <v>49</v>
      </c>
      <c r="G6478" s="6" t="str">
        <f>VLOOKUP(E6478,dicionario!$A$1:$C6877,2,0)</f>
        <v>Commelina erecta</v>
      </c>
      <c r="H6478" s="6" t="str">
        <f>VLOOKUP(E6478,dicionario!$A$1:$C6877,3,0)</f>
        <v>trapoeraba</v>
      </c>
    </row>
    <row r="6479">
      <c r="A6479" s="3">
        <v>45708.0</v>
      </c>
      <c r="B6479" s="4">
        <v>0.2791666666666667</v>
      </c>
      <c r="C6479" s="5" t="s">
        <v>76</v>
      </c>
      <c r="D6479" s="5" t="s">
        <v>1183</v>
      </c>
      <c r="E6479" s="8" t="s">
        <v>286</v>
      </c>
      <c r="F6479" s="5" t="s">
        <v>287</v>
      </c>
      <c r="G6479" s="6" t="str">
        <f>VLOOKUP(E6479,dicionario!$A$1:$C6878,2,0)</f>
        <v>Setaria parviflora</v>
      </c>
      <c r="H6479" s="6" t="str">
        <f>VLOOKUP(E6479,dicionario!$A$1:$C6878,3,0)</f>
        <v>capim-rabo-de-raposa</v>
      </c>
    </row>
    <row r="6480">
      <c r="A6480" s="3">
        <v>45708.0</v>
      </c>
      <c r="B6480" s="4">
        <v>0.2791666666666667</v>
      </c>
      <c r="C6480" s="5" t="s">
        <v>76</v>
      </c>
      <c r="D6480" s="5" t="s">
        <v>1183</v>
      </c>
      <c r="E6480" s="8" t="s">
        <v>20</v>
      </c>
      <c r="F6480" s="7" t="s">
        <v>21</v>
      </c>
      <c r="G6480" s="6" t="str">
        <f>VLOOKUP(E6480,dicionario!$A$1:$C6879,2,0)</f>
        <v>Sicalis flaveola</v>
      </c>
      <c r="H6480" s="6" t="str">
        <f>VLOOKUP(E6480,dicionario!$A$1:$C6879,3,0)</f>
        <v>canário-da-terra</v>
      </c>
    </row>
    <row r="6481">
      <c r="A6481" s="3">
        <v>45708.0</v>
      </c>
      <c r="B6481" s="4">
        <v>0.2791666666666667</v>
      </c>
      <c r="C6481" s="5" t="s">
        <v>76</v>
      </c>
      <c r="D6481" s="5" t="s">
        <v>1183</v>
      </c>
      <c r="E6481" s="8" t="s">
        <v>181</v>
      </c>
      <c r="F6481" s="5" t="s">
        <v>182</v>
      </c>
      <c r="G6481" s="6" t="str">
        <f>VLOOKUP(E6481,dicionario!$A$1:$C6880,2,0)</f>
        <v>#N/A</v>
      </c>
      <c r="H6481" s="6" t="str">
        <f>VLOOKUP(E6481,dicionario!$A$1:$C6880,3,0)</f>
        <v>#N/A</v>
      </c>
    </row>
    <row r="6482">
      <c r="A6482" s="3">
        <v>45708.0</v>
      </c>
      <c r="B6482" s="4">
        <v>0.2791666666666667</v>
      </c>
      <c r="C6482" s="5" t="s">
        <v>76</v>
      </c>
      <c r="D6482" s="5" t="s">
        <v>1183</v>
      </c>
      <c r="E6482" s="8" t="s">
        <v>69</v>
      </c>
      <c r="F6482" s="7" t="s">
        <v>71</v>
      </c>
      <c r="G6482" s="6" t="str">
        <f>VLOOKUP(E6482,dicionario!$A$1:$C6881,2,0)</f>
        <v>Talinum fruticosum</v>
      </c>
      <c r="H6482" s="6" t="str">
        <f>VLOOKUP(E6482,dicionario!$A$1:$C6881,3,0)</f>
        <v>beldroega-grande</v>
      </c>
    </row>
    <row r="6483">
      <c r="A6483" s="3">
        <v>45708.0</v>
      </c>
      <c r="B6483" s="4">
        <v>0.2798611111111111</v>
      </c>
      <c r="C6483" s="5" t="s">
        <v>76</v>
      </c>
      <c r="D6483" s="5" t="s">
        <v>1183</v>
      </c>
      <c r="E6483" s="8" t="s">
        <v>213</v>
      </c>
      <c r="F6483" s="7" t="s">
        <v>214</v>
      </c>
      <c r="G6483" s="6" t="str">
        <f>VLOOKUP(E6483,dicionario!$A$1:$C6882,2,0)</f>
        <v>Myiozetetes similis</v>
      </c>
      <c r="H6483" s="6" t="str">
        <f>VLOOKUP(E6483,dicionario!$A$1:$C6882,3,0)</f>
        <v>bentevizinho-de-penacho-vermelho</v>
      </c>
    </row>
    <row r="6484">
      <c r="A6484" s="3">
        <v>45708.0</v>
      </c>
      <c r="B6484" s="4">
        <v>0.2798611111111111</v>
      </c>
      <c r="C6484" s="5" t="s">
        <v>76</v>
      </c>
      <c r="D6484" s="5" t="s">
        <v>1183</v>
      </c>
      <c r="E6484" s="8" t="s">
        <v>113</v>
      </c>
      <c r="F6484" s="5" t="s">
        <v>114</v>
      </c>
      <c r="G6484" s="6" t="str">
        <f>VLOOKUP(E6484,dicionario!$A$1:$C6883,2,0)</f>
        <v>Columbina talpacoti</v>
      </c>
      <c r="H6484" s="6" t="str">
        <f>VLOOKUP(E6484,dicionario!$A$1:$C6883,3,0)</f>
        <v>rolinha-roxa</v>
      </c>
    </row>
    <row r="6485">
      <c r="A6485" s="3">
        <v>45708.0</v>
      </c>
      <c r="B6485" s="4">
        <v>0.2798611111111111</v>
      </c>
      <c r="C6485" s="5" t="s">
        <v>76</v>
      </c>
      <c r="D6485" s="5" t="s">
        <v>1183</v>
      </c>
      <c r="E6485" s="8" t="s">
        <v>195</v>
      </c>
      <c r="F6485" s="5" t="s">
        <v>196</v>
      </c>
      <c r="G6485" s="6" t="str">
        <f>VLOOKUP(E6485,dicionario!$A$1:$C6884,2,0)</f>
        <v>Priva lappulacea</v>
      </c>
      <c r="H6485" s="6" t="str">
        <f>VLOOKUP(E6485,dicionario!$A$1:$C6884,3,0)</f>
        <v>carrapicho</v>
      </c>
    </row>
    <row r="6486">
      <c r="A6486" s="3">
        <v>45708.0</v>
      </c>
      <c r="B6486" s="4">
        <v>0.2798611111111111</v>
      </c>
      <c r="C6486" s="5" t="s">
        <v>76</v>
      </c>
      <c r="D6486" s="5" t="s">
        <v>1183</v>
      </c>
      <c r="E6486" s="8" t="s">
        <v>338</v>
      </c>
      <c r="F6486" s="5" t="s">
        <v>238</v>
      </c>
      <c r="G6486" s="6" t="str">
        <f>VLOOKUP(E6486,dicionario!$A$1:$C6885,2,0)</f>
        <v>Atta</v>
      </c>
      <c r="H6486" s="6" t="str">
        <f>VLOOKUP(E6486,dicionario!$A$1:$C6885,3,0)</f>
        <v>saúva</v>
      </c>
    </row>
    <row r="6487">
      <c r="A6487" s="3">
        <v>45708.0</v>
      </c>
      <c r="B6487" s="4">
        <v>0.28125</v>
      </c>
      <c r="C6487" s="5" t="s">
        <v>76</v>
      </c>
      <c r="D6487" s="5" t="s">
        <v>1183</v>
      </c>
      <c r="E6487" s="8" t="s">
        <v>684</v>
      </c>
      <c r="F6487" s="5" t="s">
        <v>1191</v>
      </c>
      <c r="G6487" s="6" t="str">
        <f>VLOOKUP(E6487,dicionario!$A$1:$C6886,2,0)</f>
        <v>Columbina squammata</v>
      </c>
      <c r="H6487" s="6" t="str">
        <f>VLOOKUP(E6487,dicionario!$A$1:$C6886,3,0)</f>
        <v>rolinha-fogo-apagou</v>
      </c>
    </row>
    <row r="6488">
      <c r="A6488" s="3">
        <v>45708.0</v>
      </c>
      <c r="B6488" s="4">
        <v>0.2833333333333333</v>
      </c>
      <c r="C6488" s="5" t="s">
        <v>76</v>
      </c>
      <c r="D6488" s="5" t="s">
        <v>1183</v>
      </c>
      <c r="E6488" s="8" t="s">
        <v>150</v>
      </c>
      <c r="F6488" s="5" t="s">
        <v>151</v>
      </c>
      <c r="G6488" s="6" t="str">
        <f>VLOOKUP(E6488,dicionario!$A$1:$C6887,2,0)</f>
        <v>Amaranthus viridis</v>
      </c>
      <c r="H6488" s="6" t="str">
        <f>VLOOKUP(E6488,dicionario!$A$1:$C6887,3,0)</f>
        <v>caruru-de-mancha</v>
      </c>
    </row>
    <row r="6489">
      <c r="A6489" s="3">
        <v>45708.0</v>
      </c>
      <c r="B6489" s="4">
        <v>0.2833333333333333</v>
      </c>
      <c r="C6489" s="5" t="s">
        <v>76</v>
      </c>
      <c r="D6489" s="5" t="s">
        <v>1183</v>
      </c>
      <c r="E6489" s="8" t="s">
        <v>267</v>
      </c>
      <c r="F6489" s="5" t="s">
        <v>553</v>
      </c>
      <c r="G6489" s="6" t="str">
        <f>VLOOKUP(E6489,dicionario!$A$1:$C6888,2,0)</f>
        <v>Solanum americanum</v>
      </c>
      <c r="H6489" s="6" t="str">
        <f>VLOOKUP(E6489,dicionario!$A$1:$C6888,3,0)</f>
        <v>maria-pretinha</v>
      </c>
    </row>
    <row r="6490">
      <c r="A6490" s="3">
        <v>45708.0</v>
      </c>
      <c r="B6490" s="4">
        <v>0.28402777777777777</v>
      </c>
      <c r="C6490" s="5" t="s">
        <v>76</v>
      </c>
      <c r="D6490" s="5" t="s">
        <v>1183</v>
      </c>
      <c r="E6490" s="8" t="s">
        <v>141</v>
      </c>
      <c r="F6490" s="5" t="s">
        <v>142</v>
      </c>
      <c r="G6490" s="6" t="str">
        <f>VLOOKUP(E6490,dicionario!$A$1:$C6889,2,0)</f>
        <v>Ruellia blechum</v>
      </c>
      <c r="H6490" s="6" t="str">
        <f>VLOOKUP(E6490,dicionario!$A$1:$C6889,3,0)</f>
        <v>camarão-verde</v>
      </c>
    </row>
    <row r="6491">
      <c r="A6491" s="3">
        <v>45708.0</v>
      </c>
      <c r="B6491" s="4">
        <v>0.28402777777777777</v>
      </c>
      <c r="C6491" s="5" t="s">
        <v>76</v>
      </c>
      <c r="D6491" s="5" t="s">
        <v>1183</v>
      </c>
      <c r="E6491" s="8" t="s">
        <v>471</v>
      </c>
      <c r="F6491" s="5" t="s">
        <v>472</v>
      </c>
      <c r="G6491" s="6" t="str">
        <f>VLOOKUP(E6491,dicionario!$A$1:$C6890,2,0)</f>
        <v>Sida acuta</v>
      </c>
      <c r="H6491" s="6" t="str">
        <f>VLOOKUP(E6491,dicionario!$A$1:$C6890,3,0)</f>
        <v>reloginho</v>
      </c>
    </row>
    <row r="6492">
      <c r="A6492" s="3">
        <v>45708.0</v>
      </c>
      <c r="B6492" s="4">
        <v>0.28402777777777777</v>
      </c>
      <c r="C6492" s="5" t="s">
        <v>76</v>
      </c>
      <c r="D6492" s="5" t="s">
        <v>1183</v>
      </c>
      <c r="E6492" s="8" t="s">
        <v>401</v>
      </c>
      <c r="F6492" s="5" t="s">
        <v>464</v>
      </c>
      <c r="G6492" s="6" t="str">
        <f>VLOOKUP(E6492,dicionario!$A$1:$C6891,2,0)</f>
        <v>Cissus verticillata</v>
      </c>
      <c r="H6492" s="6" t="str">
        <f>VLOOKUP(E6492,dicionario!$A$1:$C6891,3,0)</f>
        <v>uva-do-mato</v>
      </c>
    </row>
    <row r="6493">
      <c r="A6493" s="3">
        <v>45708.0</v>
      </c>
      <c r="B6493" s="4">
        <v>0.2847222222222222</v>
      </c>
      <c r="C6493" s="5" t="s">
        <v>76</v>
      </c>
      <c r="D6493" s="5" t="s">
        <v>1183</v>
      </c>
      <c r="E6493" s="8" t="s">
        <v>319</v>
      </c>
      <c r="F6493" s="5" t="s">
        <v>320</v>
      </c>
      <c r="G6493" s="6" t="str">
        <f>VLOOKUP(E6493,dicionario!$A$1:$C6892,2,0)</f>
        <v>Schinus terebinthifolia</v>
      </c>
      <c r="H6493" s="6" t="str">
        <f>VLOOKUP(E6493,dicionario!$A$1:$C6892,3,0)</f>
        <v>aroeira</v>
      </c>
    </row>
    <row r="6494">
      <c r="A6494" s="3">
        <v>45708.0</v>
      </c>
      <c r="B6494" s="4">
        <v>0.2847222222222222</v>
      </c>
      <c r="C6494" s="5" t="s">
        <v>76</v>
      </c>
      <c r="D6494" s="5" t="s">
        <v>1183</v>
      </c>
      <c r="E6494" s="8" t="s">
        <v>786</v>
      </c>
      <c r="F6494" s="5" t="s">
        <v>787</v>
      </c>
      <c r="G6494" s="6" t="str">
        <f>VLOOKUP(E6494,dicionario!$A$1:$C6893,2,0)</f>
        <v>Lycianthes asarifolia</v>
      </c>
      <c r="H6494" s="6" t="str">
        <f>VLOOKUP(E6494,dicionario!$A$1:$C6893,3,0)</f>
        <v>joá-rasteiro</v>
      </c>
    </row>
    <row r="6495">
      <c r="A6495" s="3">
        <v>45708.0</v>
      </c>
      <c r="B6495" s="4">
        <v>0.2847222222222222</v>
      </c>
      <c r="C6495" s="5" t="s">
        <v>76</v>
      </c>
      <c r="D6495" s="5" t="s">
        <v>1183</v>
      </c>
      <c r="E6495" s="6" t="s">
        <v>328</v>
      </c>
      <c r="F6495" s="5" t="s">
        <v>329</v>
      </c>
      <c r="G6495" s="6" t="str">
        <f>VLOOKUP(E6495,dicionario!$A$1:$C6894,2,0)</f>
        <v>Rivina humilis</v>
      </c>
      <c r="H6495" s="6" t="str">
        <f>VLOOKUP(E6495,dicionario!$A$1:$C6894,3,0)</f>
        <v>baga-de-sangue</v>
      </c>
    </row>
    <row r="6496">
      <c r="A6496" s="3">
        <v>45708.0</v>
      </c>
      <c r="B6496" s="4">
        <v>0.28680555555555554</v>
      </c>
      <c r="C6496" s="5" t="s">
        <v>64</v>
      </c>
      <c r="D6496" s="5" t="s">
        <v>1183</v>
      </c>
      <c r="E6496" s="8" t="s">
        <v>109</v>
      </c>
      <c r="F6496" s="5" t="s">
        <v>110</v>
      </c>
      <c r="G6496" s="6" t="str">
        <f>VLOOKUP(E6496,dicionario!$A$1:$C6895,2,0)</f>
        <v>Tillandsia stricta</v>
      </c>
      <c r="H6496" s="6" t="str">
        <f>VLOOKUP(E6496,dicionario!$A$1:$C6895,3,0)</f>
        <v>cravo-do-mato</v>
      </c>
    </row>
    <row r="6497">
      <c r="A6497" s="3">
        <v>45708.0</v>
      </c>
      <c r="B6497" s="4">
        <v>0.28680555555555554</v>
      </c>
      <c r="C6497" s="5" t="s">
        <v>64</v>
      </c>
      <c r="D6497" s="5" t="s">
        <v>1183</v>
      </c>
      <c r="E6497" s="8" t="s">
        <v>113</v>
      </c>
      <c r="F6497" s="5" t="s">
        <v>114</v>
      </c>
      <c r="G6497" s="6" t="str">
        <f>VLOOKUP(E6497,dicionario!$A$1:$C6896,2,0)</f>
        <v>Columbina talpacoti</v>
      </c>
      <c r="H6497" s="6" t="str">
        <f>VLOOKUP(E6497,dicionario!$A$1:$C6896,3,0)</f>
        <v>rolinha-roxa</v>
      </c>
    </row>
    <row r="6498">
      <c r="A6498" s="3">
        <v>45708.0</v>
      </c>
      <c r="B6498" s="4">
        <v>0.2875</v>
      </c>
      <c r="C6498" s="5" t="s">
        <v>64</v>
      </c>
      <c r="D6498" s="5" t="s">
        <v>1183</v>
      </c>
      <c r="E6498" s="8" t="s">
        <v>38</v>
      </c>
      <c r="F6498" s="5" t="s">
        <v>39</v>
      </c>
      <c r="G6498" s="6" t="str">
        <f>VLOOKUP(E6498,dicionario!$A$1:$C6897,2,0)</f>
        <v>Troglodytes musculus</v>
      </c>
      <c r="H6498" s="6" t="str">
        <f>VLOOKUP(E6498,dicionario!$A$1:$C6897,3,0)</f>
        <v>curruíra</v>
      </c>
    </row>
    <row r="6499">
      <c r="A6499" s="3">
        <v>45708.0</v>
      </c>
      <c r="B6499" s="4">
        <v>0.2875</v>
      </c>
      <c r="C6499" s="5" t="s">
        <v>64</v>
      </c>
      <c r="D6499" s="5" t="s">
        <v>1183</v>
      </c>
      <c r="E6499" s="8" t="s">
        <v>251</v>
      </c>
      <c r="F6499" s="5" t="s">
        <v>252</v>
      </c>
      <c r="G6499" s="6" t="str">
        <f>VLOOKUP(E6499,dicionario!$A$1:$C6898,2,0)</f>
        <v>Struthanthus flexicaulis</v>
      </c>
      <c r="H6499" s="6" t="str">
        <f>VLOOKUP(E6499,dicionario!$A$1:$C6898,3,0)</f>
        <v>erva-de-passarinho</v>
      </c>
    </row>
    <row r="6500">
      <c r="A6500" s="3">
        <v>45708.0</v>
      </c>
      <c r="B6500" s="4">
        <v>0.2881944444444444</v>
      </c>
      <c r="C6500" s="5" t="s">
        <v>64</v>
      </c>
      <c r="D6500" s="5" t="s">
        <v>1183</v>
      </c>
      <c r="E6500" s="8" t="s">
        <v>132</v>
      </c>
      <c r="F6500" s="5" t="s">
        <v>133</v>
      </c>
      <c r="G6500" s="6" t="str">
        <f>VLOOKUP(E6500,dicionario!$A$1:$C6899,2,0)</f>
        <v>Euphonia chlorotica</v>
      </c>
      <c r="H6500" s="6" t="str">
        <f>VLOOKUP(E6500,dicionario!$A$1:$C6899,3,0)</f>
        <v>fim-fim</v>
      </c>
    </row>
    <row r="6501">
      <c r="A6501" s="3">
        <v>45708.0</v>
      </c>
      <c r="B6501" s="4">
        <v>0.2881944444444444</v>
      </c>
      <c r="C6501" s="5" t="s">
        <v>64</v>
      </c>
      <c r="D6501" s="5" t="s">
        <v>1183</v>
      </c>
      <c r="E6501" s="8" t="s">
        <v>65</v>
      </c>
      <c r="F6501" s="5" t="s">
        <v>66</v>
      </c>
      <c r="G6501" s="6" t="str">
        <f>VLOOKUP(E6501,dicionario!$A$1:$C6900,2,0)</f>
        <v>Pitangus sulphutarus</v>
      </c>
      <c r="H6501" s="6" t="str">
        <f>VLOOKUP(E6501,dicionario!$A$1:$C6900,3,0)</f>
        <v>bem-te-vi</v>
      </c>
    </row>
    <row r="6502">
      <c r="A6502" s="3">
        <v>45708.0</v>
      </c>
      <c r="B6502" s="4">
        <v>0.2881944444444444</v>
      </c>
      <c r="C6502" s="5" t="s">
        <v>64</v>
      </c>
      <c r="D6502" s="5" t="s">
        <v>1183</v>
      </c>
      <c r="E6502" s="6" t="s">
        <v>237</v>
      </c>
      <c r="F6502" s="7" t="s">
        <v>238</v>
      </c>
      <c r="G6502" s="6" t="str">
        <f>VLOOKUP(E6502,dicionario!$A$1:$C6901,2,0)</f>
        <v>Acromyrmex</v>
      </c>
      <c r="H6502" s="6" t="str">
        <f>VLOOKUP(E6502,dicionario!$A$1:$C6901,3,0)</f>
        <v>quenquén</v>
      </c>
    </row>
    <row r="6503">
      <c r="A6503" s="3">
        <v>45708.0</v>
      </c>
      <c r="B6503" s="4">
        <v>0.2881944444444444</v>
      </c>
      <c r="C6503" s="5" t="s">
        <v>64</v>
      </c>
      <c r="D6503" s="5" t="s">
        <v>1183</v>
      </c>
      <c r="E6503" s="8" t="s">
        <v>615</v>
      </c>
      <c r="F6503" s="5" t="s">
        <v>238</v>
      </c>
      <c r="G6503" s="6" t="str">
        <f>VLOOKUP(E6503,dicionario!$A$1:$C6902,2,0)</f>
        <v>#N/A</v>
      </c>
      <c r="H6503" s="6" t="str">
        <f>VLOOKUP(E6503,dicionario!$A$1:$C6902,3,0)</f>
        <v>#N/A</v>
      </c>
    </row>
    <row r="6504">
      <c r="A6504" s="3">
        <v>45708.0</v>
      </c>
      <c r="B6504" s="4">
        <v>0.2881944444444444</v>
      </c>
      <c r="C6504" s="5" t="s">
        <v>64</v>
      </c>
      <c r="D6504" s="5" t="s">
        <v>1183</v>
      </c>
      <c r="E6504" s="8" t="s">
        <v>296</v>
      </c>
      <c r="F6504" s="5" t="s">
        <v>297</v>
      </c>
      <c r="G6504" s="6" t="str">
        <f>VLOOKUP(E6504,dicionario!$A$1:$C6903,2,0)</f>
        <v>Richardia brasiliensis</v>
      </c>
      <c r="H6504" s="6" t="str">
        <f>VLOOKUP(E6504,dicionario!$A$1:$C6903,3,0)</f>
        <v>poaia-branca</v>
      </c>
    </row>
    <row r="6505">
      <c r="A6505" s="3">
        <v>45708.0</v>
      </c>
      <c r="B6505" s="4">
        <v>0.2881944444444444</v>
      </c>
      <c r="C6505" s="5" t="s">
        <v>64</v>
      </c>
      <c r="D6505" s="5" t="s">
        <v>1183</v>
      </c>
      <c r="E6505" s="8" t="s">
        <v>355</v>
      </c>
      <c r="F6505" s="5" t="s">
        <v>356</v>
      </c>
      <c r="G6505" s="6" t="str">
        <f>VLOOKUP(E6505,dicionario!$A$1:$C6904,2,0)</f>
        <v>Boerhavia diffusa</v>
      </c>
      <c r="H6505" s="6" t="str">
        <f>VLOOKUP(E6505,dicionario!$A$1:$C6904,3,0)</f>
        <v>erva-tostão</v>
      </c>
    </row>
    <row r="6506">
      <c r="A6506" s="3">
        <v>45708.0</v>
      </c>
      <c r="B6506" s="4">
        <v>0.28888888888888886</v>
      </c>
      <c r="C6506" s="5" t="s">
        <v>64</v>
      </c>
      <c r="D6506" s="5" t="s">
        <v>1183</v>
      </c>
      <c r="E6506" s="8" t="s">
        <v>227</v>
      </c>
      <c r="F6506" s="5" t="s">
        <v>228</v>
      </c>
      <c r="G6506" s="6" t="str">
        <f>VLOOKUP(E6506,dicionario!$A$1:$C6905,2,0)</f>
        <v>Indigofera hirsuta</v>
      </c>
      <c r="H6506" s="6" t="str">
        <f>VLOOKUP(E6506,dicionario!$A$1:$C6905,3,0)</f>
        <v>anileira</v>
      </c>
    </row>
    <row r="6507">
      <c r="A6507" s="3">
        <v>45708.0</v>
      </c>
      <c r="B6507" s="4">
        <v>0.28888888888888886</v>
      </c>
      <c r="C6507" s="5" t="s">
        <v>64</v>
      </c>
      <c r="D6507" s="5" t="s">
        <v>1183</v>
      </c>
      <c r="E6507" s="8" t="s">
        <v>146</v>
      </c>
      <c r="F6507" s="5" t="s">
        <v>147</v>
      </c>
      <c r="G6507" s="6" t="str">
        <f>VLOOKUP(E6507,dicionario!$A$1:$C6906,2,0)</f>
        <v>Euphorbia hirta</v>
      </c>
      <c r="H6507" s="6" t="str">
        <f>VLOOKUP(E6507,dicionario!$A$1:$C6906,3,0)</f>
        <v>erva-de-santa-luzia</v>
      </c>
    </row>
    <row r="6508">
      <c r="A6508" s="3">
        <v>45708.0</v>
      </c>
      <c r="B6508" s="4">
        <v>0.28888888888888886</v>
      </c>
      <c r="C6508" s="5" t="s">
        <v>64</v>
      </c>
      <c r="D6508" s="5" t="s">
        <v>1183</v>
      </c>
      <c r="E6508" s="8" t="s">
        <v>69</v>
      </c>
      <c r="F6508" s="7" t="s">
        <v>71</v>
      </c>
      <c r="G6508" s="6" t="str">
        <f>VLOOKUP(E6508,dicionario!$A$1:$C6907,2,0)</f>
        <v>Talinum fruticosum</v>
      </c>
      <c r="H6508" s="6" t="str">
        <f>VLOOKUP(E6508,dicionario!$A$1:$C6907,3,0)</f>
        <v>beldroega-grande</v>
      </c>
    </row>
    <row r="6509">
      <c r="A6509" s="3">
        <v>45708.0</v>
      </c>
      <c r="B6509" s="4">
        <v>0.28888888888888886</v>
      </c>
      <c r="C6509" s="5" t="s">
        <v>64</v>
      </c>
      <c r="D6509" s="5" t="s">
        <v>1183</v>
      </c>
      <c r="E6509" s="8" t="s">
        <v>467</v>
      </c>
      <c r="F6509" s="5" t="s">
        <v>468</v>
      </c>
      <c r="G6509" s="6" t="str">
        <f>VLOOKUP(E6509,dicionario!$A$1:$C6908,2,0)</f>
        <v>Eleusine indica</v>
      </c>
      <c r="H6509" s="6" t="str">
        <f>VLOOKUP(E6509,dicionario!$A$1:$C6908,3,0)</f>
        <v>capim-pé-de-galinha</v>
      </c>
    </row>
    <row r="6510">
      <c r="A6510" s="3">
        <v>45708.0</v>
      </c>
      <c r="B6510" s="4">
        <v>0.28888888888888886</v>
      </c>
      <c r="C6510" s="5" t="s">
        <v>64</v>
      </c>
      <c r="D6510" s="5" t="s">
        <v>1183</v>
      </c>
      <c r="E6510" s="8" t="s">
        <v>247</v>
      </c>
      <c r="F6510" s="5" t="s">
        <v>387</v>
      </c>
      <c r="G6510" s="6" t="str">
        <f>VLOOKUP(E6510,dicionario!$A$1:$C6909,2,0)</f>
        <v>Emilia sonchifolia</v>
      </c>
      <c r="H6510" s="6" t="str">
        <f>VLOOKUP(E6510,dicionario!$A$1:$C6909,3,0)</f>
        <v>serralinha</v>
      </c>
    </row>
    <row r="6511">
      <c r="A6511" s="3">
        <v>45708.0</v>
      </c>
      <c r="B6511" s="4">
        <v>0.28888888888888886</v>
      </c>
      <c r="C6511" s="5" t="s">
        <v>64</v>
      </c>
      <c r="D6511" s="5" t="s">
        <v>1183</v>
      </c>
      <c r="E6511" s="8" t="s">
        <v>304</v>
      </c>
      <c r="F6511" s="5" t="s">
        <v>305</v>
      </c>
      <c r="G6511" s="6" t="str">
        <f>VLOOKUP(E6511,dicionario!$A$1:$C6910,2,0)</f>
        <v>Sarcophaga</v>
      </c>
      <c r="H6511" s="6" t="str">
        <f>VLOOKUP(E6511,dicionario!$A$1:$C6910,3,0)</f>
        <v>mosca-varejeira</v>
      </c>
    </row>
    <row r="6512">
      <c r="A6512" s="3">
        <v>45708.0</v>
      </c>
      <c r="B6512" s="4">
        <v>0.28958333333333336</v>
      </c>
      <c r="C6512" s="5" t="s">
        <v>64</v>
      </c>
      <c r="D6512" s="5" t="s">
        <v>1183</v>
      </c>
      <c r="E6512" s="8" t="s">
        <v>141</v>
      </c>
      <c r="F6512" s="5" t="s">
        <v>142</v>
      </c>
      <c r="G6512" s="6" t="str">
        <f>VLOOKUP(E6512,dicionario!$A$1:$C6911,2,0)</f>
        <v>Ruellia blechum</v>
      </c>
      <c r="H6512" s="6" t="str">
        <f>VLOOKUP(E6512,dicionario!$A$1:$C6911,3,0)</f>
        <v>camarão-verde</v>
      </c>
    </row>
    <row r="6513">
      <c r="A6513" s="3">
        <v>45708.0</v>
      </c>
      <c r="B6513" s="4">
        <v>0.28958333333333336</v>
      </c>
      <c r="C6513" s="5" t="s">
        <v>64</v>
      </c>
      <c r="D6513" s="5" t="s">
        <v>1183</v>
      </c>
      <c r="E6513" s="8" t="s">
        <v>195</v>
      </c>
      <c r="F6513" s="5" t="s">
        <v>196</v>
      </c>
      <c r="G6513" s="6" t="str">
        <f>VLOOKUP(E6513,dicionario!$A$1:$C6912,2,0)</f>
        <v>Priva lappulacea</v>
      </c>
      <c r="H6513" s="6" t="str">
        <f>VLOOKUP(E6513,dicionario!$A$1:$C6912,3,0)</f>
        <v>carrapicho</v>
      </c>
    </row>
    <row r="6514">
      <c r="A6514" s="3">
        <v>45708.0</v>
      </c>
      <c r="B6514" s="4">
        <v>0.28958333333333336</v>
      </c>
      <c r="C6514" s="5" t="s">
        <v>64</v>
      </c>
      <c r="D6514" s="5" t="s">
        <v>1183</v>
      </c>
      <c r="E6514" s="11" t="s">
        <v>740</v>
      </c>
      <c r="F6514" s="5" t="s">
        <v>741</v>
      </c>
      <c r="G6514" s="6" t="str">
        <f>VLOOKUP(E6514,dicionario!$A$1:$C6913,2,0)</f>
        <v>Melothria cucumis</v>
      </c>
      <c r="H6514" s="6" t="str">
        <f>VLOOKUP(E6514,dicionario!$A$1:$C6913,3,0)</f>
        <v>pepino-do-mato</v>
      </c>
    </row>
    <row r="6515">
      <c r="A6515" s="3">
        <v>45708.0</v>
      </c>
      <c r="B6515" s="4">
        <v>0.28958333333333336</v>
      </c>
      <c r="C6515" s="5" t="s">
        <v>64</v>
      </c>
      <c r="D6515" s="5" t="s">
        <v>1183</v>
      </c>
      <c r="E6515" s="8" t="s">
        <v>483</v>
      </c>
      <c r="F6515" s="5" t="s">
        <v>289</v>
      </c>
      <c r="G6515" s="6" t="str">
        <f>VLOOKUP(E6515,dicionario!$A$1:$C6914,2,0)</f>
        <v>Euphorbia prostrata</v>
      </c>
      <c r="H6515" s="6" t="str">
        <f>VLOOKUP(E6515,dicionario!$A$1:$C6914,3,0)</f>
        <v>quebra-pedra-rasteira</v>
      </c>
    </row>
    <row r="6516">
      <c r="A6516" s="3">
        <v>45708.0</v>
      </c>
      <c r="B6516" s="4">
        <v>0.28958333333333336</v>
      </c>
      <c r="C6516" s="5" t="s">
        <v>64</v>
      </c>
      <c r="D6516" s="5" t="s">
        <v>1183</v>
      </c>
      <c r="E6516" s="8" t="s">
        <v>253</v>
      </c>
      <c r="F6516" s="5" t="s">
        <v>254</v>
      </c>
      <c r="G6516" s="6" t="str">
        <f>VLOOKUP(E6516,dicionario!$A$1:$C6915,2,0)</f>
        <v>Panicum maximum</v>
      </c>
      <c r="H6516" s="6" t="str">
        <f>VLOOKUP(E6516,dicionario!$A$1:$C6915,3,0)</f>
        <v>capim-colonião</v>
      </c>
    </row>
    <row r="6517">
      <c r="A6517" s="3">
        <v>45708.0</v>
      </c>
      <c r="B6517" s="4">
        <v>0.28958333333333336</v>
      </c>
      <c r="C6517" s="5" t="s">
        <v>64</v>
      </c>
      <c r="D6517" s="5" t="s">
        <v>1183</v>
      </c>
      <c r="E6517" s="8" t="s">
        <v>86</v>
      </c>
      <c r="F6517" s="5" t="s">
        <v>502</v>
      </c>
      <c r="G6517" s="6" t="str">
        <f>VLOOKUP(E6517,dicionario!$A$1:$C6916,2,0)</f>
        <v>Coereba flaveola</v>
      </c>
      <c r="H6517" s="6" t="str">
        <f>VLOOKUP(E6517,dicionario!$A$1:$C6916,3,0)</f>
        <v>cambacica</v>
      </c>
    </row>
    <row r="6518">
      <c r="A6518" s="3">
        <v>45708.0</v>
      </c>
      <c r="B6518" s="4">
        <v>0.2902777777777778</v>
      </c>
      <c r="C6518" s="5" t="s">
        <v>64</v>
      </c>
      <c r="D6518" s="5" t="s">
        <v>1183</v>
      </c>
      <c r="E6518" s="8" t="s">
        <v>162</v>
      </c>
      <c r="F6518" s="7" t="s">
        <v>42</v>
      </c>
      <c r="G6518" s="6" t="str">
        <f>VLOOKUP(E6518,dicionario!$A$1:$C6917,2,0)</f>
        <v>Fluvicola nengeta</v>
      </c>
      <c r="H6518" s="6" t="str">
        <f>VLOOKUP(E6518,dicionario!$A$1:$C6917,3,0)</f>
        <v>lavadeira-mascarada</v>
      </c>
    </row>
    <row r="6519">
      <c r="A6519" s="3">
        <v>45708.0</v>
      </c>
      <c r="B6519" s="4">
        <v>0.2902777777777778</v>
      </c>
      <c r="C6519" s="5" t="s">
        <v>64</v>
      </c>
      <c r="D6519" s="5" t="s">
        <v>1183</v>
      </c>
      <c r="E6519" s="8" t="s">
        <v>858</v>
      </c>
      <c r="F6519" s="5" t="s">
        <v>1051</v>
      </c>
      <c r="G6519" s="6" t="str">
        <f>VLOOKUP(E6519,dicionario!$A$1:$C6918,2,0)</f>
        <v>Rumex obtusifolius</v>
      </c>
      <c r="H6519" s="6" t="str">
        <f>VLOOKUP(E6519,dicionario!$A$1:$C6918,3,0)</f>
        <v>lingua-de-vaca</v>
      </c>
    </row>
    <row r="6520">
      <c r="A6520" s="3">
        <v>45708.0</v>
      </c>
      <c r="B6520" s="4">
        <v>0.2902777777777778</v>
      </c>
      <c r="C6520" s="5" t="s">
        <v>64</v>
      </c>
      <c r="D6520" s="5" t="s">
        <v>1183</v>
      </c>
      <c r="E6520" s="8" t="s">
        <v>122</v>
      </c>
      <c r="F6520" s="7" t="s">
        <v>123</v>
      </c>
      <c r="G6520" s="6" t="str">
        <f>VLOOKUP(E6520,dicionario!$A$1:$C6919,2,0)</f>
        <v>Todirostrum cinereum</v>
      </c>
      <c r="H6520" s="6" t="str">
        <f>VLOOKUP(E6520,dicionario!$A$1:$C6919,3,0)</f>
        <v>ferreirinho-relógio</v>
      </c>
    </row>
    <row r="6521">
      <c r="A6521" s="3">
        <v>45708.0</v>
      </c>
      <c r="B6521" s="4">
        <v>0.2923611111111111</v>
      </c>
      <c r="C6521" s="5" t="s">
        <v>64</v>
      </c>
      <c r="D6521" s="5" t="s">
        <v>1183</v>
      </c>
      <c r="E6521" s="8" t="s">
        <v>177</v>
      </c>
      <c r="F6521" s="5" t="s">
        <v>178</v>
      </c>
      <c r="G6521" s="6" t="str">
        <f>VLOOKUP(E6521,dicionario!$A$1:$C6920,2,0)</f>
        <v>Elaenia flavogaster</v>
      </c>
      <c r="H6521" s="6" t="str">
        <f>VLOOKUP(E6521,dicionario!$A$1:$C6920,3,0)</f>
        <v>guaracava-de-barriga-amarela</v>
      </c>
    </row>
    <row r="6522">
      <c r="A6522" s="3">
        <v>45708.0</v>
      </c>
      <c r="B6522" s="4">
        <v>0.2923611111111111</v>
      </c>
      <c r="C6522" s="5" t="s">
        <v>64</v>
      </c>
      <c r="D6522" s="5" t="s">
        <v>1183</v>
      </c>
      <c r="E6522" s="8" t="s">
        <v>851</v>
      </c>
      <c r="F6522" s="5" t="s">
        <v>418</v>
      </c>
      <c r="G6522" s="6" t="str">
        <f>VLOOKUP(E6522,dicionario!$A$1:$C6921,2,0)</f>
        <v>#N/A</v>
      </c>
      <c r="H6522" s="6" t="str">
        <f>VLOOKUP(E6522,dicionario!$A$1:$C6921,3,0)</f>
        <v>#N/A</v>
      </c>
    </row>
    <row r="6523">
      <c r="A6523" s="3">
        <v>45708.0</v>
      </c>
      <c r="B6523" s="4">
        <v>0.29305555555555557</v>
      </c>
      <c r="C6523" s="5" t="s">
        <v>64</v>
      </c>
      <c r="D6523" s="5" t="s">
        <v>1183</v>
      </c>
      <c r="E6523" s="8" t="s">
        <v>158</v>
      </c>
      <c r="F6523" s="5" t="s">
        <v>159</v>
      </c>
      <c r="G6523" s="6" t="str">
        <f>VLOOKUP(E6523,dicionario!$A$1:$C6922,2,0)</f>
        <v>Nephilingis cruentata</v>
      </c>
      <c r="H6523" s="6" t="str">
        <f>VLOOKUP(E6523,dicionario!$A$1:$C6922,3,0)</f>
        <v>maria-bola</v>
      </c>
    </row>
    <row r="6524">
      <c r="A6524" s="3">
        <v>45708.0</v>
      </c>
      <c r="B6524" s="4">
        <v>0.29375</v>
      </c>
      <c r="C6524" s="5" t="s">
        <v>64</v>
      </c>
      <c r="D6524" s="5" t="s">
        <v>1183</v>
      </c>
      <c r="E6524" s="8" t="s">
        <v>1002</v>
      </c>
      <c r="F6524" s="5" t="s">
        <v>1003</v>
      </c>
      <c r="G6524" s="6" t="str">
        <f>VLOOKUP(E6524,dicionario!$A$1:$C6923,2,0)</f>
        <v>#N/A</v>
      </c>
      <c r="H6524" s="6" t="str">
        <f>VLOOKUP(E6524,dicionario!$A$1:$C6923,3,0)</f>
        <v>#N/A</v>
      </c>
    </row>
    <row r="6525">
      <c r="A6525" s="3">
        <v>45708.0</v>
      </c>
      <c r="B6525" s="4">
        <v>0.29444444444444445</v>
      </c>
      <c r="C6525" s="5" t="s">
        <v>64</v>
      </c>
      <c r="D6525" s="5" t="s">
        <v>1183</v>
      </c>
      <c r="E6525" s="8" t="s">
        <v>48</v>
      </c>
      <c r="F6525" s="5" t="s">
        <v>49</v>
      </c>
      <c r="G6525" s="6" t="str">
        <f>VLOOKUP(E6525,dicionario!$A$1:$C6924,2,0)</f>
        <v>Commelina erecta</v>
      </c>
      <c r="H6525" s="6" t="str">
        <f>VLOOKUP(E6525,dicionario!$A$1:$C6924,3,0)</f>
        <v>trapoeraba</v>
      </c>
    </row>
    <row r="6526">
      <c r="A6526" s="3">
        <v>45708.0</v>
      </c>
      <c r="B6526" s="4">
        <v>0.29444444444444445</v>
      </c>
      <c r="C6526" s="5" t="s">
        <v>64</v>
      </c>
      <c r="D6526" s="5" t="s">
        <v>1183</v>
      </c>
      <c r="E6526" s="8" t="s">
        <v>69</v>
      </c>
      <c r="F6526" s="7" t="s">
        <v>71</v>
      </c>
      <c r="G6526" s="6" t="str">
        <f>VLOOKUP(E6526,dicionario!$A$1:$C6925,2,0)</f>
        <v>Talinum fruticosum</v>
      </c>
      <c r="H6526" s="6" t="str">
        <f>VLOOKUP(E6526,dicionario!$A$1:$C6925,3,0)</f>
        <v>beldroega-grande</v>
      </c>
    </row>
    <row r="6527">
      <c r="A6527" s="3">
        <v>45708.0</v>
      </c>
      <c r="B6527" s="4">
        <v>0.29444444444444445</v>
      </c>
      <c r="C6527" s="5" t="s">
        <v>64</v>
      </c>
      <c r="D6527" s="5" t="s">
        <v>1183</v>
      </c>
      <c r="E6527" s="8" t="s">
        <v>298</v>
      </c>
      <c r="F6527" s="5" t="s">
        <v>299</v>
      </c>
      <c r="G6527" s="6" t="str">
        <f>VLOOKUP(E6527,dicionario!$A$1:$C6926,2,0)</f>
        <v>Alysicarpus vaginalis</v>
      </c>
      <c r="H6527" s="6" t="str">
        <f>VLOOKUP(E6527,dicionario!$A$1:$C6926,3,0)</f>
        <v/>
      </c>
    </row>
    <row r="6528">
      <c r="A6528" s="3">
        <v>45708.0</v>
      </c>
      <c r="B6528" s="4">
        <v>0.29583333333333334</v>
      </c>
      <c r="C6528" s="5" t="s">
        <v>59</v>
      </c>
      <c r="D6528" s="5" t="s">
        <v>1183</v>
      </c>
      <c r="E6528" s="8" t="s">
        <v>113</v>
      </c>
      <c r="F6528" s="5" t="s">
        <v>114</v>
      </c>
      <c r="G6528" s="6" t="str">
        <f>VLOOKUP(E6528,dicionario!$A$1:$C6927,2,0)</f>
        <v>Columbina talpacoti</v>
      </c>
      <c r="H6528" s="6" t="str">
        <f>VLOOKUP(E6528,dicionario!$A$1:$C6927,3,0)</f>
        <v>rolinha-roxa</v>
      </c>
    </row>
    <row r="6529">
      <c r="A6529" s="3">
        <v>45708.0</v>
      </c>
      <c r="B6529" s="4">
        <v>0.29583333333333334</v>
      </c>
      <c r="C6529" s="5" t="s">
        <v>59</v>
      </c>
      <c r="D6529" s="5" t="s">
        <v>1183</v>
      </c>
      <c r="E6529" s="8" t="s">
        <v>109</v>
      </c>
      <c r="F6529" s="5" t="s">
        <v>110</v>
      </c>
      <c r="G6529" s="6" t="str">
        <f>VLOOKUP(E6529,dicionario!$A$1:$C6928,2,0)</f>
        <v>Tillandsia stricta</v>
      </c>
      <c r="H6529" s="6" t="str">
        <f>VLOOKUP(E6529,dicionario!$A$1:$C6928,3,0)</f>
        <v>cravo-do-mato</v>
      </c>
    </row>
    <row r="6530">
      <c r="A6530" s="3">
        <v>45708.0</v>
      </c>
      <c r="B6530" s="4">
        <v>0.29583333333333334</v>
      </c>
      <c r="C6530" s="5" t="s">
        <v>59</v>
      </c>
      <c r="D6530" s="5" t="s">
        <v>1183</v>
      </c>
      <c r="E6530" s="8" t="s">
        <v>982</v>
      </c>
      <c r="F6530" s="5" t="s">
        <v>983</v>
      </c>
      <c r="G6530" s="6" t="str">
        <f>VLOOKUP(E6530,dicionario!$A$1:$C6929,2,0)</f>
        <v>#N/A</v>
      </c>
      <c r="H6530" s="6" t="str">
        <f>VLOOKUP(E6530,dicionario!$A$1:$C6929,3,0)</f>
        <v>#N/A</v>
      </c>
    </row>
    <row r="6531">
      <c r="A6531" s="3">
        <v>45708.0</v>
      </c>
      <c r="B6531" s="4">
        <v>0.2965277777777778</v>
      </c>
      <c r="C6531" s="5" t="s">
        <v>59</v>
      </c>
      <c r="D6531" s="5" t="s">
        <v>1183</v>
      </c>
      <c r="E6531" s="8" t="s">
        <v>53</v>
      </c>
      <c r="F6531" s="7" t="s">
        <v>54</v>
      </c>
      <c r="G6531" s="6" t="str">
        <f>VLOOKUP(E6531,dicionario!$A$1:$C6930,2,0)</f>
        <v>Turnera subulata</v>
      </c>
      <c r="H6531" s="6" t="str">
        <f>VLOOKUP(E6531,dicionario!$A$1:$C6930,3,0)</f>
        <v>xanana</v>
      </c>
    </row>
    <row r="6532">
      <c r="A6532" s="3">
        <v>45708.0</v>
      </c>
      <c r="B6532" s="4">
        <v>0.2965277777777778</v>
      </c>
      <c r="C6532" s="5" t="s">
        <v>59</v>
      </c>
      <c r="D6532" s="5" t="s">
        <v>1183</v>
      </c>
      <c r="E6532" s="8" t="s">
        <v>20</v>
      </c>
      <c r="F6532" s="7" t="s">
        <v>21</v>
      </c>
      <c r="G6532" s="6" t="str">
        <f>VLOOKUP(E6532,dicionario!$A$1:$C6931,2,0)</f>
        <v>Sicalis flaveola</v>
      </c>
      <c r="H6532" s="6" t="str">
        <f>VLOOKUP(E6532,dicionario!$A$1:$C6931,3,0)</f>
        <v>canário-da-terra</v>
      </c>
    </row>
    <row r="6533">
      <c r="A6533" s="3">
        <v>45708.0</v>
      </c>
      <c r="B6533" s="4">
        <v>0.2965277777777778</v>
      </c>
      <c r="C6533" s="5" t="s">
        <v>59</v>
      </c>
      <c r="D6533" s="5" t="s">
        <v>1183</v>
      </c>
      <c r="E6533" s="8" t="s">
        <v>298</v>
      </c>
      <c r="F6533" s="5" t="s">
        <v>299</v>
      </c>
      <c r="G6533" s="6" t="str">
        <f>VLOOKUP(E6533,dicionario!$A$1:$C6932,2,0)</f>
        <v>Alysicarpus vaginalis</v>
      </c>
      <c r="H6533" s="6" t="str">
        <f>VLOOKUP(E6533,dicionario!$A$1:$C6932,3,0)</f>
        <v/>
      </c>
    </row>
    <row r="6534">
      <c r="A6534" s="3">
        <v>45708.0</v>
      </c>
      <c r="B6534" s="4">
        <v>0.2972222222222222</v>
      </c>
      <c r="C6534" s="5" t="s">
        <v>59</v>
      </c>
      <c r="D6534" s="5" t="s">
        <v>1183</v>
      </c>
      <c r="E6534" s="8" t="s">
        <v>1155</v>
      </c>
      <c r="F6534" s="5" t="s">
        <v>1156</v>
      </c>
      <c r="G6534" s="6" t="str">
        <f>VLOOKUP(E6534,dicionario!$A$1:$C6933,2,0)</f>
        <v>#N/A</v>
      </c>
      <c r="H6534" s="6" t="str">
        <f>VLOOKUP(E6534,dicionario!$A$1:$C6933,3,0)</f>
        <v>#N/A</v>
      </c>
    </row>
    <row r="6535">
      <c r="A6535" s="3">
        <v>45708.0</v>
      </c>
      <c r="B6535" s="4">
        <v>0.2972222222222222</v>
      </c>
      <c r="C6535" s="5" t="s">
        <v>59</v>
      </c>
      <c r="D6535" s="5" t="s">
        <v>1183</v>
      </c>
      <c r="E6535" s="8" t="s">
        <v>72</v>
      </c>
      <c r="F6535" s="5" t="s">
        <v>73</v>
      </c>
      <c r="G6535" s="6" t="str">
        <f>VLOOKUP(E6535,dicionario!$A$1:$C6934,2,0)</f>
        <v>Thraupis palmarum</v>
      </c>
      <c r="H6535" s="6" t="str">
        <f>VLOOKUP(E6535,dicionario!$A$1:$C6934,3,0)</f>
        <v>sanhaço-do-coqueiro</v>
      </c>
    </row>
    <row r="6536">
      <c r="A6536" s="3">
        <v>45708.0</v>
      </c>
      <c r="B6536" s="4">
        <v>0.29791666666666666</v>
      </c>
      <c r="C6536" s="5" t="s">
        <v>59</v>
      </c>
      <c r="D6536" s="5" t="s">
        <v>1183</v>
      </c>
      <c r="E6536" s="8" t="s">
        <v>16</v>
      </c>
      <c r="F6536" s="5" t="s">
        <v>17</v>
      </c>
      <c r="G6536" s="6" t="str">
        <f>VLOOKUP(E6536,dicionario!$A$1:$C6935,2,0)</f>
        <v>Eupetomena macroura</v>
      </c>
      <c r="H6536" s="6" t="str">
        <f>VLOOKUP(E6536,dicionario!$A$1:$C6935,3,0)</f>
        <v>beija-flor-tesoura</v>
      </c>
    </row>
    <row r="6537">
      <c r="A6537" s="3">
        <v>45708.0</v>
      </c>
      <c r="B6537" s="4">
        <v>0.29791666666666666</v>
      </c>
      <c r="C6537" s="5" t="s">
        <v>59</v>
      </c>
      <c r="D6537" s="5" t="s">
        <v>1183</v>
      </c>
      <c r="E6537" s="8" t="s">
        <v>38</v>
      </c>
      <c r="F6537" s="5" t="s">
        <v>39</v>
      </c>
      <c r="G6537" s="6" t="str">
        <f>VLOOKUP(E6537,dicionario!$A$1:$C6936,2,0)</f>
        <v>Troglodytes musculus</v>
      </c>
      <c r="H6537" s="6" t="str">
        <f>VLOOKUP(E6537,dicionario!$A$1:$C6936,3,0)</f>
        <v>curruíra</v>
      </c>
    </row>
    <row r="6538">
      <c r="A6538" s="3">
        <v>45708.0</v>
      </c>
      <c r="B6538" s="4">
        <v>0.3</v>
      </c>
      <c r="C6538" s="5" t="s">
        <v>59</v>
      </c>
      <c r="D6538" s="5" t="s">
        <v>1183</v>
      </c>
      <c r="E6538" s="8" t="s">
        <v>1175</v>
      </c>
      <c r="F6538" s="5" t="s">
        <v>1176</v>
      </c>
      <c r="G6538" s="6" t="str">
        <f>VLOOKUP(E6538,dicionario!$A$1:$C6937,2,0)</f>
        <v>Danaus erippus</v>
      </c>
      <c r="H6538" s="6" t="str">
        <f>VLOOKUP(E6538,dicionario!$A$1:$C6937,3,0)</f>
        <v>borboleta-monarca-do-sul</v>
      </c>
    </row>
    <row r="6539">
      <c r="A6539" s="3">
        <v>45708.0</v>
      </c>
      <c r="B6539" s="4">
        <v>0.3013888888888889</v>
      </c>
      <c r="C6539" s="5" t="s">
        <v>59</v>
      </c>
      <c r="D6539" s="5" t="s">
        <v>1183</v>
      </c>
      <c r="E6539" s="8" t="s">
        <v>684</v>
      </c>
      <c r="F6539" s="5" t="s">
        <v>685</v>
      </c>
      <c r="G6539" s="6" t="str">
        <f>VLOOKUP(E6539,dicionario!$A$1:$C6938,2,0)</f>
        <v>Columbina squammata</v>
      </c>
      <c r="H6539" s="6" t="str">
        <f>VLOOKUP(E6539,dicionario!$A$1:$C6938,3,0)</f>
        <v>rolinha-fogo-apagou</v>
      </c>
    </row>
    <row r="6540">
      <c r="A6540" s="3">
        <v>45708.0</v>
      </c>
      <c r="B6540" s="4">
        <v>0.3020833333333333</v>
      </c>
      <c r="C6540" s="5" t="s">
        <v>59</v>
      </c>
      <c r="D6540" s="5" t="s">
        <v>1183</v>
      </c>
      <c r="E6540" s="8" t="s">
        <v>18</v>
      </c>
      <c r="F6540" s="5" t="s">
        <v>219</v>
      </c>
      <c r="G6540" s="6" t="str">
        <f>VLOOKUP(E6540,dicionario!$A$1:$C6939,2,0)</f>
        <v>Xylocopa frontalis</v>
      </c>
      <c r="H6540" s="6" t="str">
        <f>VLOOKUP(E6540,dicionario!$A$1:$C6939,3,0)</f>
        <v>Mamangava; mangangá; abelha-carpinteira</v>
      </c>
    </row>
    <row r="6541">
      <c r="A6541" s="3">
        <v>45708.0</v>
      </c>
      <c r="B6541" s="4">
        <v>0.3020833333333333</v>
      </c>
      <c r="C6541" s="5" t="s">
        <v>59</v>
      </c>
      <c r="D6541" s="5" t="s">
        <v>1183</v>
      </c>
      <c r="E6541" s="8" t="s">
        <v>65</v>
      </c>
      <c r="F6541" s="5" t="s">
        <v>66</v>
      </c>
      <c r="G6541" s="6" t="str">
        <f>VLOOKUP(E6541,dicionario!$A$1:$C6940,2,0)</f>
        <v>Pitangus sulphutarus</v>
      </c>
      <c r="H6541" s="6" t="str">
        <f>VLOOKUP(E6541,dicionario!$A$1:$C6940,3,0)</f>
        <v>bem-te-vi</v>
      </c>
    </row>
    <row r="6542">
      <c r="A6542" s="3">
        <v>45708.0</v>
      </c>
      <c r="B6542" s="4">
        <v>0.30277777777777776</v>
      </c>
      <c r="C6542" s="5" t="s">
        <v>59</v>
      </c>
      <c r="D6542" s="5" t="s">
        <v>1183</v>
      </c>
      <c r="E6542" s="8" t="s">
        <v>712</v>
      </c>
      <c r="F6542" s="5" t="s">
        <v>1006</v>
      </c>
      <c r="G6542" s="6" t="str">
        <f>VLOOKUP(E6542,dicionario!$A$1:$C6941,2,0)</f>
        <v>Flavopunctelia soredica</v>
      </c>
      <c r="H6542" s="6" t="str">
        <f>VLOOKUP(E6542,dicionario!$A$1:$C6941,3,0)</f>
        <v>líquen-folioso</v>
      </c>
    </row>
    <row r="6543">
      <c r="A6543" s="3">
        <v>45708.0</v>
      </c>
      <c r="B6543" s="4">
        <v>0.30277777777777776</v>
      </c>
      <c r="C6543" s="5" t="s">
        <v>59</v>
      </c>
      <c r="D6543" s="5" t="s">
        <v>1183</v>
      </c>
      <c r="E6543" s="8" t="s">
        <v>719</v>
      </c>
      <c r="F6543" s="5" t="s">
        <v>1005</v>
      </c>
      <c r="G6543" s="6" t="str">
        <f>VLOOKUP(E6543,dicionario!$A$1:$C6942,2,0)</f>
        <v>Dirinaria</v>
      </c>
      <c r="H6543" s="6" t="str">
        <f>VLOOKUP(E6543,dicionario!$A$1:$C6942,3,0)</f>
        <v>líquen-crostoso</v>
      </c>
    </row>
    <row r="6544">
      <c r="A6544" s="3">
        <v>45708.0</v>
      </c>
      <c r="B6544" s="4">
        <v>0.30277777777777776</v>
      </c>
      <c r="C6544" s="5" t="s">
        <v>59</v>
      </c>
      <c r="D6544" s="5" t="s">
        <v>1183</v>
      </c>
      <c r="E6544" s="8" t="s">
        <v>107</v>
      </c>
      <c r="F6544" s="5" t="s">
        <v>1101</v>
      </c>
      <c r="G6544" s="6" t="str">
        <f>VLOOKUP(E6544,dicionario!$A$1:$C6943,2,0)</f>
        <v>Ramalina complanata</v>
      </c>
      <c r="H6544" s="6" t="str">
        <f>VLOOKUP(E6544,dicionario!$A$1:$C6943,3,0)</f>
        <v>ramalina</v>
      </c>
    </row>
    <row r="6545">
      <c r="A6545" s="3">
        <v>45708.0</v>
      </c>
      <c r="B6545" s="4">
        <v>0.30277777777777776</v>
      </c>
      <c r="C6545" s="5" t="s">
        <v>59</v>
      </c>
      <c r="D6545" s="5" t="s">
        <v>1183</v>
      </c>
      <c r="E6545" s="8" t="s">
        <v>752</v>
      </c>
      <c r="F6545" s="5" t="s">
        <v>753</v>
      </c>
      <c r="G6545" s="6" t="str">
        <f>VLOOKUP(E6545,dicionario!$A$1:$C6944,2,0)</f>
        <v>#N/A</v>
      </c>
      <c r="H6545" s="6" t="str">
        <f>VLOOKUP(E6545,dicionario!$A$1:$C6944,3,0)</f>
        <v>#N/A</v>
      </c>
    </row>
    <row r="6546">
      <c r="A6546" s="3">
        <v>45708.0</v>
      </c>
      <c r="B6546" s="4">
        <v>0.3034722222222222</v>
      </c>
      <c r="C6546" s="5" t="s">
        <v>59</v>
      </c>
      <c r="D6546" s="5" t="s">
        <v>1183</v>
      </c>
      <c r="E6546" s="8" t="s">
        <v>191</v>
      </c>
      <c r="F6546" s="5" t="s">
        <v>192</v>
      </c>
      <c r="G6546" s="6" t="str">
        <f>VLOOKUP(E6546,dicionario!$A$1:$C6945,2,0)</f>
        <v>Patagioenas picazuro</v>
      </c>
      <c r="H6546" s="6" t="str">
        <f>VLOOKUP(E6546,dicionario!$A$1:$C6945,3,0)</f>
        <v>asa-branca; pomba-asa-branca; pocaçu</v>
      </c>
    </row>
    <row r="6547">
      <c r="A6547" s="3">
        <v>45708.0</v>
      </c>
      <c r="B6547" s="4">
        <v>0.3034722222222222</v>
      </c>
      <c r="C6547" s="5" t="s">
        <v>59</v>
      </c>
      <c r="D6547" s="5" t="s">
        <v>1183</v>
      </c>
      <c r="E6547" s="8" t="s">
        <v>135</v>
      </c>
      <c r="F6547" s="5" t="s">
        <v>136</v>
      </c>
      <c r="G6547" s="6" t="str">
        <f>VLOOKUP(E6547,dicionario!$A$1:$C6946,2,0)</f>
        <v>Tridax procumbens</v>
      </c>
      <c r="H6547" s="6" t="str">
        <f>VLOOKUP(E6547,dicionario!$A$1:$C6946,3,0)</f>
        <v>erva-de-touro</v>
      </c>
    </row>
    <row r="6548">
      <c r="A6548" s="3">
        <v>45708.0</v>
      </c>
      <c r="B6548" s="4">
        <v>0.30416666666666664</v>
      </c>
      <c r="C6548" s="5" t="s">
        <v>59</v>
      </c>
      <c r="D6548" s="5" t="s">
        <v>1183</v>
      </c>
      <c r="E6548" s="8" t="s">
        <v>1123</v>
      </c>
      <c r="F6548" s="5" t="s">
        <v>737</v>
      </c>
      <c r="G6548" s="6" t="str">
        <f>VLOOKUP(E6548,dicionario!$A$1:$C6947,2,0)</f>
        <v>#N/A</v>
      </c>
      <c r="H6548" s="6" t="str">
        <f>VLOOKUP(E6548,dicionario!$A$1:$C6947,3,0)</f>
        <v>#N/A</v>
      </c>
    </row>
    <row r="6549">
      <c r="A6549" s="3">
        <v>45708.0</v>
      </c>
      <c r="B6549" s="4">
        <v>0.30416666666666664</v>
      </c>
      <c r="C6549" s="5" t="s">
        <v>59</v>
      </c>
      <c r="D6549" s="5" t="s">
        <v>1183</v>
      </c>
      <c r="E6549" s="8" t="s">
        <v>319</v>
      </c>
      <c r="F6549" s="5" t="s">
        <v>320</v>
      </c>
      <c r="G6549" s="6" t="str">
        <f>VLOOKUP(E6549,dicionario!$A$1:$C6948,2,0)</f>
        <v>Schinus terebinthifolia</v>
      </c>
      <c r="H6549" s="6" t="str">
        <f>VLOOKUP(E6549,dicionario!$A$1:$C6948,3,0)</f>
        <v>aroeira</v>
      </c>
    </row>
    <row r="6550">
      <c r="A6550" s="3">
        <v>45708.0</v>
      </c>
      <c r="B6550" s="4">
        <v>0.30416666666666664</v>
      </c>
      <c r="C6550" s="5" t="s">
        <v>59</v>
      </c>
      <c r="D6550" s="5" t="s">
        <v>1183</v>
      </c>
      <c r="E6550" s="8" t="s">
        <v>177</v>
      </c>
      <c r="F6550" s="5" t="s">
        <v>178</v>
      </c>
      <c r="G6550" s="6" t="str">
        <f>VLOOKUP(E6550,dicionario!$A$1:$C6949,2,0)</f>
        <v>Elaenia flavogaster</v>
      </c>
      <c r="H6550" s="6" t="str">
        <f>VLOOKUP(E6550,dicionario!$A$1:$C6949,3,0)</f>
        <v>guaracava-de-barriga-amarela</v>
      </c>
    </row>
    <row r="6551">
      <c r="A6551" s="3">
        <v>45708.0</v>
      </c>
      <c r="B6551" s="4">
        <v>0.30416666666666664</v>
      </c>
      <c r="C6551" s="5" t="s">
        <v>59</v>
      </c>
      <c r="D6551" s="5" t="s">
        <v>1183</v>
      </c>
      <c r="E6551" s="8" t="s">
        <v>132</v>
      </c>
      <c r="F6551" s="5" t="s">
        <v>133</v>
      </c>
      <c r="G6551" s="6" t="str">
        <f>VLOOKUP(E6551,dicionario!$A$1:$C6950,2,0)</f>
        <v>Euphonia chlorotica</v>
      </c>
      <c r="H6551" s="6" t="str">
        <f>VLOOKUP(E6551,dicionario!$A$1:$C6950,3,0)</f>
        <v>fim-fim</v>
      </c>
    </row>
    <row r="6552">
      <c r="A6552" s="3">
        <v>45708.0</v>
      </c>
      <c r="B6552" s="4">
        <v>0.30416666666666664</v>
      </c>
      <c r="C6552" s="5" t="s">
        <v>59</v>
      </c>
      <c r="D6552" s="5" t="s">
        <v>1183</v>
      </c>
      <c r="E6552" s="8" t="s">
        <v>286</v>
      </c>
      <c r="F6552" s="5" t="s">
        <v>287</v>
      </c>
      <c r="G6552" s="6" t="str">
        <f>VLOOKUP(E6552,dicionario!$A$1:$C6951,2,0)</f>
        <v>Setaria parviflora</v>
      </c>
      <c r="H6552" s="6" t="str">
        <f>VLOOKUP(E6552,dicionario!$A$1:$C6951,3,0)</f>
        <v>capim-rabo-de-raposa</v>
      </c>
    </row>
    <row r="6553">
      <c r="A6553" s="3">
        <v>45708.0</v>
      </c>
      <c r="B6553" s="4">
        <v>0.30416666666666664</v>
      </c>
      <c r="C6553" s="5" t="s">
        <v>59</v>
      </c>
      <c r="D6553" s="5" t="s">
        <v>1183</v>
      </c>
      <c r="E6553" s="8" t="s">
        <v>206</v>
      </c>
      <c r="F6553" s="5" t="s">
        <v>968</v>
      </c>
      <c r="G6553" s="6" t="str">
        <f>VLOOKUP(E6553,dicionario!$A$1:$C6952,2,0)</f>
        <v>Falco sparverius</v>
      </c>
      <c r="H6553" s="6" t="str">
        <f>VLOOKUP(E6553,dicionario!$A$1:$C6952,3,0)</f>
        <v>quiriquiri</v>
      </c>
    </row>
    <row r="6554">
      <c r="A6554" s="3">
        <v>45708.0</v>
      </c>
      <c r="B6554" s="4">
        <v>0.30486111111111114</v>
      </c>
      <c r="C6554" s="5" t="s">
        <v>50</v>
      </c>
      <c r="D6554" s="5" t="s">
        <v>1183</v>
      </c>
      <c r="E6554" s="8" t="s">
        <v>53</v>
      </c>
      <c r="F6554" s="7" t="s">
        <v>54</v>
      </c>
      <c r="G6554" s="6" t="str">
        <f>VLOOKUP(E6554,dicionario!$A$1:$C6953,2,0)</f>
        <v>Turnera subulata</v>
      </c>
      <c r="H6554" s="6" t="str">
        <f>VLOOKUP(E6554,dicionario!$A$1:$C6953,3,0)</f>
        <v>xanana</v>
      </c>
    </row>
    <row r="6555">
      <c r="A6555" s="3">
        <v>45708.0</v>
      </c>
      <c r="B6555" s="4">
        <v>0.30486111111111114</v>
      </c>
      <c r="C6555" s="5" t="s">
        <v>50</v>
      </c>
      <c r="D6555" s="5" t="s">
        <v>1183</v>
      </c>
      <c r="E6555" s="8" t="s">
        <v>615</v>
      </c>
      <c r="F6555" s="5" t="s">
        <v>238</v>
      </c>
      <c r="G6555" s="6" t="str">
        <f>VLOOKUP(E6555,dicionario!$A$1:$C6954,2,0)</f>
        <v>#N/A</v>
      </c>
      <c r="H6555" s="6" t="str">
        <f>VLOOKUP(E6555,dicionario!$A$1:$C6954,3,0)</f>
        <v>#N/A</v>
      </c>
    </row>
    <row r="6556">
      <c r="A6556" s="3">
        <v>45708.0</v>
      </c>
      <c r="B6556" s="4">
        <v>0.30486111111111114</v>
      </c>
      <c r="C6556" s="5" t="s">
        <v>50</v>
      </c>
      <c r="D6556" s="5" t="s">
        <v>1183</v>
      </c>
      <c r="E6556" s="8" t="s">
        <v>353</v>
      </c>
      <c r="F6556" s="5" t="s">
        <v>354</v>
      </c>
      <c r="G6556" s="6" t="str">
        <f>VLOOKUP(E6556,dicionario!$A$1:$C6955,2,0)</f>
        <v>Desmodium incanum</v>
      </c>
      <c r="H6556" s="6" t="str">
        <f>VLOOKUP(E6556,dicionario!$A$1:$C6955,3,0)</f>
        <v>pega-pega</v>
      </c>
    </row>
    <row r="6557">
      <c r="A6557" s="3">
        <v>45708.0</v>
      </c>
      <c r="B6557" s="4">
        <v>0.3055555555555556</v>
      </c>
      <c r="C6557" s="5" t="s">
        <v>50</v>
      </c>
      <c r="D6557" s="5" t="s">
        <v>1183</v>
      </c>
      <c r="E6557" s="8" t="s">
        <v>150</v>
      </c>
      <c r="F6557" s="5" t="s">
        <v>151</v>
      </c>
      <c r="G6557" s="6" t="str">
        <f>VLOOKUP(E6557,dicionario!$A$1:$C6956,2,0)</f>
        <v>Amaranthus viridis</v>
      </c>
      <c r="H6557" s="6" t="str">
        <f>VLOOKUP(E6557,dicionario!$A$1:$C6956,3,0)</f>
        <v>caruru-de-mancha</v>
      </c>
    </row>
    <row r="6558">
      <c r="A6558" s="3">
        <v>45708.0</v>
      </c>
      <c r="B6558" s="4">
        <v>0.3055555555555556</v>
      </c>
      <c r="C6558" s="5" t="s">
        <v>50</v>
      </c>
      <c r="D6558" s="5" t="s">
        <v>1183</v>
      </c>
      <c r="E6558" s="8" t="s">
        <v>227</v>
      </c>
      <c r="F6558" s="5" t="s">
        <v>228</v>
      </c>
      <c r="G6558" s="6" t="str">
        <f>VLOOKUP(E6558,dicionario!$A$1:$C6957,2,0)</f>
        <v>Indigofera hirsuta</v>
      </c>
      <c r="H6558" s="6" t="str">
        <f>VLOOKUP(E6558,dicionario!$A$1:$C6957,3,0)</f>
        <v>anileira</v>
      </c>
    </row>
    <row r="6559">
      <c r="A6559" s="3">
        <v>45708.0</v>
      </c>
      <c r="B6559" s="4">
        <v>0.3055555555555556</v>
      </c>
      <c r="C6559" s="5" t="s">
        <v>50</v>
      </c>
      <c r="D6559" s="5" t="s">
        <v>1183</v>
      </c>
      <c r="E6559" s="8" t="s">
        <v>298</v>
      </c>
      <c r="F6559" s="5" t="s">
        <v>299</v>
      </c>
      <c r="G6559" s="6" t="str">
        <f>VLOOKUP(E6559,dicionario!$A$1:$C6958,2,0)</f>
        <v>Alysicarpus vaginalis</v>
      </c>
      <c r="H6559" s="6" t="str">
        <f>VLOOKUP(E6559,dicionario!$A$1:$C6958,3,0)</f>
        <v/>
      </c>
    </row>
    <row r="6560">
      <c r="A6560" s="3">
        <v>45708.0</v>
      </c>
      <c r="B6560" s="4">
        <v>0.30625</v>
      </c>
      <c r="C6560" s="5" t="s">
        <v>50</v>
      </c>
      <c r="D6560" s="5" t="s">
        <v>1183</v>
      </c>
      <c r="E6560" s="8" t="s">
        <v>195</v>
      </c>
      <c r="F6560" s="5" t="s">
        <v>196</v>
      </c>
      <c r="G6560" s="6" t="str">
        <f>VLOOKUP(E6560,dicionario!$A$1:$C6959,2,0)</f>
        <v>Priva lappulacea</v>
      </c>
      <c r="H6560" s="6" t="str">
        <f>VLOOKUP(E6560,dicionario!$A$1:$C6959,3,0)</f>
        <v>carrapicho</v>
      </c>
    </row>
    <row r="6561">
      <c r="A6561" s="3">
        <v>45708.0</v>
      </c>
      <c r="B6561" s="4">
        <v>0.30625</v>
      </c>
      <c r="C6561" s="5" t="s">
        <v>50</v>
      </c>
      <c r="D6561" s="5" t="s">
        <v>1183</v>
      </c>
      <c r="E6561" s="8" t="s">
        <v>592</v>
      </c>
      <c r="F6561" s="5" t="s">
        <v>28</v>
      </c>
      <c r="G6561" s="6" t="str">
        <f>VLOOKUP(E6561,dicionario!$A$1:$C6960,2,0)</f>
        <v>#N/A</v>
      </c>
      <c r="H6561" s="6" t="str">
        <f>VLOOKUP(E6561,dicionario!$A$1:$C6960,3,0)</f>
        <v>#N/A</v>
      </c>
    </row>
    <row r="6562">
      <c r="A6562" s="3">
        <v>45708.0</v>
      </c>
      <c r="B6562" s="4">
        <v>0.30625</v>
      </c>
      <c r="C6562" s="5" t="s">
        <v>50</v>
      </c>
      <c r="D6562" s="5" t="s">
        <v>1183</v>
      </c>
      <c r="E6562" s="8" t="s">
        <v>579</v>
      </c>
      <c r="F6562" s="5" t="s">
        <v>580</v>
      </c>
      <c r="G6562" s="6" t="str">
        <f>VLOOKUP(E6562,dicionario!$A$1:$C6961,2,0)</f>
        <v>Piper tuberculatum</v>
      </c>
      <c r="H6562" s="6" t="str">
        <f>VLOOKUP(E6562,dicionario!$A$1:$C6961,3,0)</f>
        <v/>
      </c>
    </row>
    <row r="6563">
      <c r="A6563" s="3">
        <v>45708.0</v>
      </c>
      <c r="B6563" s="4">
        <v>0.30625</v>
      </c>
      <c r="C6563" s="5" t="s">
        <v>50</v>
      </c>
      <c r="D6563" s="5" t="s">
        <v>1183</v>
      </c>
      <c r="E6563" s="8" t="s">
        <v>821</v>
      </c>
      <c r="F6563" s="5" t="s">
        <v>876</v>
      </c>
      <c r="G6563" s="6" t="str">
        <f>VLOOKUP(E6563,dicionario!$A$1:$C6962,2,0)</f>
        <v>Schefflera actinophylla</v>
      </c>
      <c r="H6563" s="6" t="str">
        <f>VLOOKUP(E6563,dicionario!$A$1:$C6962,3,0)</f>
        <v>árvore-guarda-chuva</v>
      </c>
    </row>
    <row r="6564">
      <c r="A6564" s="3">
        <v>45708.0</v>
      </c>
      <c r="B6564" s="4">
        <v>0.30625</v>
      </c>
      <c r="C6564" s="5" t="s">
        <v>50</v>
      </c>
      <c r="D6564" s="5" t="s">
        <v>1183</v>
      </c>
      <c r="E6564" s="8" t="s">
        <v>253</v>
      </c>
      <c r="F6564" s="5" t="s">
        <v>254</v>
      </c>
      <c r="G6564" s="6" t="str">
        <f>VLOOKUP(E6564,dicionario!$A$1:$C6963,2,0)</f>
        <v>Panicum maximum</v>
      </c>
      <c r="H6564" s="6" t="str">
        <f>VLOOKUP(E6564,dicionario!$A$1:$C6963,3,0)</f>
        <v>capim-colonião</v>
      </c>
    </row>
    <row r="6565">
      <c r="A6565" s="3">
        <v>45708.0</v>
      </c>
      <c r="B6565" s="4">
        <v>0.30625</v>
      </c>
      <c r="C6565" s="5" t="s">
        <v>50</v>
      </c>
      <c r="D6565" s="5" t="s">
        <v>1183</v>
      </c>
      <c r="E6565" s="8" t="s">
        <v>247</v>
      </c>
      <c r="F6565" s="5" t="s">
        <v>387</v>
      </c>
      <c r="G6565" s="6" t="str">
        <f>VLOOKUP(E6565,dicionario!$A$1:$C6964,2,0)</f>
        <v>Emilia sonchifolia</v>
      </c>
      <c r="H6565" s="6" t="str">
        <f>VLOOKUP(E6565,dicionario!$A$1:$C6964,3,0)</f>
        <v>serralinha</v>
      </c>
    </row>
    <row r="6566">
      <c r="A6566" s="3">
        <v>45708.0</v>
      </c>
      <c r="B6566" s="4">
        <v>0.30625</v>
      </c>
      <c r="C6566" s="5" t="s">
        <v>50</v>
      </c>
      <c r="D6566" s="5" t="s">
        <v>1183</v>
      </c>
      <c r="E6566" s="8" t="s">
        <v>163</v>
      </c>
      <c r="F6566" s="5" t="s">
        <v>164</v>
      </c>
      <c r="G6566" s="6" t="str">
        <f>VLOOKUP(E6566,dicionario!$A$1:$C6965,2,0)</f>
        <v>Coragyps atratus</v>
      </c>
      <c r="H6566" s="6" t="str">
        <f>VLOOKUP(E6566,dicionario!$A$1:$C6965,3,0)</f>
        <v>urubu-de-cabeça-preta</v>
      </c>
    </row>
    <row r="6567">
      <c r="A6567" s="3">
        <v>45708.0</v>
      </c>
      <c r="B6567" s="4">
        <v>0.30694444444444446</v>
      </c>
      <c r="C6567" s="5" t="s">
        <v>50</v>
      </c>
      <c r="D6567" s="5" t="s">
        <v>1183</v>
      </c>
      <c r="E6567" s="8" t="s">
        <v>181</v>
      </c>
      <c r="F6567" s="5" t="s">
        <v>182</v>
      </c>
      <c r="G6567" s="6" t="str">
        <f>VLOOKUP(E6567,dicionario!$A$1:$C6966,2,0)</f>
        <v>#N/A</v>
      </c>
      <c r="H6567" s="6" t="str">
        <f>VLOOKUP(E6567,dicionario!$A$1:$C6966,3,0)</f>
        <v>#N/A</v>
      </c>
    </row>
    <row r="6568">
      <c r="A6568" s="3">
        <v>45708.0</v>
      </c>
      <c r="B6568" s="4">
        <v>0.30694444444444446</v>
      </c>
      <c r="C6568" s="5" t="s">
        <v>50</v>
      </c>
      <c r="D6568" s="5" t="s">
        <v>1183</v>
      </c>
      <c r="E6568" s="8" t="s">
        <v>109</v>
      </c>
      <c r="F6568" s="5" t="s">
        <v>110</v>
      </c>
      <c r="G6568" s="6" t="str">
        <f>VLOOKUP(E6568,dicionario!$A$1:$C6967,2,0)</f>
        <v>Tillandsia stricta</v>
      </c>
      <c r="H6568" s="6" t="str">
        <f>VLOOKUP(E6568,dicionario!$A$1:$C6967,3,0)</f>
        <v>cravo-do-mato</v>
      </c>
    </row>
    <row r="6569">
      <c r="A6569" s="3">
        <v>45708.0</v>
      </c>
      <c r="B6569" s="4">
        <v>0.30694444444444446</v>
      </c>
      <c r="C6569" s="5" t="s">
        <v>50</v>
      </c>
      <c r="D6569" s="5" t="s">
        <v>1183</v>
      </c>
      <c r="E6569" s="8" t="s">
        <v>1175</v>
      </c>
      <c r="F6569" s="5" t="s">
        <v>1176</v>
      </c>
      <c r="G6569" s="6" t="str">
        <f>VLOOKUP(E6569,dicionario!$A$1:$C6968,2,0)</f>
        <v>Danaus erippus</v>
      </c>
      <c r="H6569" s="6" t="str">
        <f>VLOOKUP(E6569,dicionario!$A$1:$C6968,3,0)</f>
        <v>borboleta-monarca-do-sul</v>
      </c>
    </row>
    <row r="6570">
      <c r="A6570" s="3">
        <v>45708.0</v>
      </c>
      <c r="B6570" s="4">
        <v>0.30833333333333335</v>
      </c>
      <c r="C6570" s="5" t="s">
        <v>50</v>
      </c>
      <c r="D6570" s="5" t="s">
        <v>1183</v>
      </c>
      <c r="E6570" s="8" t="s">
        <v>1192</v>
      </c>
      <c r="F6570" s="5" t="s">
        <v>92</v>
      </c>
      <c r="G6570" s="6" t="str">
        <f>VLOOKUP(E6570,dicionario!$A$1:$C6969,2,0)</f>
        <v>#N/A</v>
      </c>
      <c r="H6570" s="6" t="str">
        <f>VLOOKUP(E6570,dicionario!$A$1:$C6969,3,0)</f>
        <v>#N/A</v>
      </c>
    </row>
    <row r="6571">
      <c r="A6571" s="3">
        <v>45708.0</v>
      </c>
      <c r="B6571" s="4">
        <v>0.31666666666666665</v>
      </c>
      <c r="C6571" s="5" t="s">
        <v>40</v>
      </c>
      <c r="D6571" s="5" t="s">
        <v>1183</v>
      </c>
      <c r="E6571" s="8" t="s">
        <v>60</v>
      </c>
      <c r="F6571" s="5" t="s">
        <v>61</v>
      </c>
      <c r="G6571" s="6" t="str">
        <f>VLOOKUP(E6571,dicionario!$A$1:$C6970,2,0)</f>
        <v>Vanellus chilensis</v>
      </c>
      <c r="H6571" s="6" t="str">
        <f>VLOOKUP(E6571,dicionario!$A$1:$C6970,3,0)</f>
        <v>quero-quero</v>
      </c>
    </row>
    <row r="6572">
      <c r="A6572" s="3">
        <v>45708.0</v>
      </c>
      <c r="B6572" s="4">
        <v>0.31666666666666665</v>
      </c>
      <c r="C6572" s="5" t="s">
        <v>40</v>
      </c>
      <c r="D6572" s="5" t="s">
        <v>1183</v>
      </c>
      <c r="E6572" s="8" t="s">
        <v>1193</v>
      </c>
      <c r="F6572" s="5" t="s">
        <v>1194</v>
      </c>
      <c r="G6572" s="6" t="str">
        <f>VLOOKUP(E6572,dicionario!$A$1:$C6971,2,0)</f>
        <v>Milvago chimachima</v>
      </c>
      <c r="H6572" s="6" t="str">
        <f>VLOOKUP(E6572,dicionario!$A$1:$C6971,3,0)</f>
        <v>gavião-carrapateiro</v>
      </c>
    </row>
    <row r="6573">
      <c r="A6573" s="3">
        <v>45708.0</v>
      </c>
      <c r="B6573" s="4">
        <v>0.3173611111111111</v>
      </c>
      <c r="C6573" s="5" t="s">
        <v>40</v>
      </c>
      <c r="D6573" s="5" t="s">
        <v>1183</v>
      </c>
      <c r="E6573" s="8" t="s">
        <v>483</v>
      </c>
      <c r="F6573" s="5" t="s">
        <v>289</v>
      </c>
      <c r="G6573" s="6" t="str">
        <f>VLOOKUP(E6573,dicionario!$A$1:$C6972,2,0)</f>
        <v>Euphorbia prostrata</v>
      </c>
      <c r="H6573" s="6" t="str">
        <f>VLOOKUP(E6573,dicionario!$A$1:$C6972,3,0)</f>
        <v>quebra-pedra-rasteira</v>
      </c>
    </row>
    <row r="6574">
      <c r="A6574" s="3">
        <v>45708.0</v>
      </c>
      <c r="B6574" s="4">
        <v>0.31875</v>
      </c>
      <c r="C6574" s="5" t="s">
        <v>40</v>
      </c>
      <c r="D6574" s="5" t="s">
        <v>1183</v>
      </c>
      <c r="E6574" s="8" t="s">
        <v>53</v>
      </c>
      <c r="F6574" s="7" t="s">
        <v>54</v>
      </c>
      <c r="G6574" s="6" t="str">
        <f>VLOOKUP(E6574,dicionario!$A$1:$C6973,2,0)</f>
        <v>Turnera subulata</v>
      </c>
      <c r="H6574" s="6" t="str">
        <f>VLOOKUP(E6574,dicionario!$A$1:$C6973,3,0)</f>
        <v>xanana</v>
      </c>
    </row>
    <row r="6575">
      <c r="A6575" s="3">
        <v>45708.0</v>
      </c>
      <c r="B6575" s="4">
        <v>0.31875</v>
      </c>
      <c r="C6575" s="5" t="s">
        <v>40</v>
      </c>
      <c r="D6575" s="5" t="s">
        <v>1183</v>
      </c>
      <c r="E6575" s="8" t="s">
        <v>65</v>
      </c>
      <c r="F6575" s="5" t="s">
        <v>66</v>
      </c>
      <c r="G6575" s="6" t="str">
        <f>VLOOKUP(E6575,dicionario!$A$1:$C6974,2,0)</f>
        <v>Pitangus sulphutarus</v>
      </c>
      <c r="H6575" s="6" t="str">
        <f>VLOOKUP(E6575,dicionario!$A$1:$C6974,3,0)</f>
        <v>bem-te-vi</v>
      </c>
    </row>
    <row r="6576">
      <c r="A6576" s="3">
        <v>45708.0</v>
      </c>
      <c r="B6576" s="4">
        <v>0.31875</v>
      </c>
      <c r="C6576" s="5" t="s">
        <v>40</v>
      </c>
      <c r="D6576" s="5" t="s">
        <v>1183</v>
      </c>
      <c r="E6576" s="8" t="s">
        <v>290</v>
      </c>
      <c r="F6576" s="5" t="s">
        <v>291</v>
      </c>
      <c r="G6576" s="6" t="str">
        <f>VLOOKUP(E6576,dicionario!$A$1:$C6975,2,0)</f>
        <v>Drymaria cordata</v>
      </c>
      <c r="H6576" s="6" t="str">
        <f>VLOOKUP(E6576,dicionario!$A$1:$C6975,3,0)</f>
        <v>orelha-de-rato</v>
      </c>
    </row>
    <row r="6577">
      <c r="A6577" s="3">
        <v>45708.0</v>
      </c>
      <c r="B6577" s="4">
        <v>0.3194444444444444</v>
      </c>
      <c r="C6577" s="5" t="s">
        <v>40</v>
      </c>
      <c r="D6577" s="5" t="s">
        <v>1183</v>
      </c>
      <c r="E6577" s="8" t="s">
        <v>302</v>
      </c>
      <c r="F6577" s="5" t="s">
        <v>89</v>
      </c>
      <c r="G6577" s="6" t="str">
        <f>VLOOKUP(E6577,dicionario!$A$1:$C6976,2,0)</f>
        <v>Machetornis rixosa</v>
      </c>
      <c r="H6577" s="6" t="str">
        <f>VLOOKUP(E6577,dicionario!$A$1:$C6976,3,0)</f>
        <v>suiriri-cavaleiro</v>
      </c>
    </row>
    <row r="6578">
      <c r="A6578" s="3">
        <v>45708.0</v>
      </c>
      <c r="B6578" s="4">
        <v>0.32013888888888886</v>
      </c>
      <c r="C6578" s="5" t="s">
        <v>40</v>
      </c>
      <c r="D6578" s="5" t="s">
        <v>1183</v>
      </c>
      <c r="E6578" s="8" t="s">
        <v>113</v>
      </c>
      <c r="F6578" s="5" t="s">
        <v>114</v>
      </c>
      <c r="G6578" s="6" t="str">
        <f>VLOOKUP(E6578,dicionario!$A$1:$C6977,2,0)</f>
        <v>Columbina talpacoti</v>
      </c>
      <c r="H6578" s="6" t="str">
        <f>VLOOKUP(E6578,dicionario!$A$1:$C6977,3,0)</f>
        <v>rolinha-roxa</v>
      </c>
    </row>
    <row r="6579">
      <c r="A6579" s="3">
        <v>45708.0</v>
      </c>
      <c r="B6579" s="4">
        <v>0.32083333333333336</v>
      </c>
      <c r="C6579" s="5" t="s">
        <v>40</v>
      </c>
      <c r="D6579" s="5" t="s">
        <v>1183</v>
      </c>
      <c r="E6579" s="8" t="s">
        <v>20</v>
      </c>
      <c r="F6579" s="7" t="s">
        <v>21</v>
      </c>
      <c r="G6579" s="6" t="str">
        <f>VLOOKUP(E6579,dicionario!$A$1:$C6978,2,0)</f>
        <v>Sicalis flaveola</v>
      </c>
      <c r="H6579" s="6" t="str">
        <f>VLOOKUP(E6579,dicionario!$A$1:$C6978,3,0)</f>
        <v>canário-da-terra</v>
      </c>
    </row>
    <row r="6580">
      <c r="A6580" s="3">
        <v>45708.0</v>
      </c>
      <c r="B6580" s="4">
        <v>0.3215277777777778</v>
      </c>
      <c r="C6580" s="5" t="s">
        <v>40</v>
      </c>
      <c r="D6580" s="5" t="s">
        <v>1183</v>
      </c>
      <c r="E6580" s="8" t="s">
        <v>16</v>
      </c>
      <c r="F6580" s="5" t="s">
        <v>17</v>
      </c>
      <c r="G6580" s="6" t="str">
        <f>VLOOKUP(E6580,dicionario!$A$1:$C6979,2,0)</f>
        <v>Eupetomena macroura</v>
      </c>
      <c r="H6580" s="6" t="str">
        <f>VLOOKUP(E6580,dicionario!$A$1:$C6979,3,0)</f>
        <v>beija-flor-tesoura</v>
      </c>
    </row>
    <row r="6581">
      <c r="A6581" s="3">
        <v>45708.0</v>
      </c>
      <c r="B6581" s="4">
        <v>0.3215277777777778</v>
      </c>
      <c r="C6581" s="5" t="s">
        <v>40</v>
      </c>
      <c r="D6581" s="5" t="s">
        <v>1183</v>
      </c>
      <c r="E6581" s="8" t="s">
        <v>86</v>
      </c>
      <c r="F6581" s="5" t="s">
        <v>502</v>
      </c>
      <c r="G6581" s="6" t="str">
        <f>VLOOKUP(E6581,dicionario!$A$1:$C6980,2,0)</f>
        <v>Coereba flaveola</v>
      </c>
      <c r="H6581" s="6" t="str">
        <f>VLOOKUP(E6581,dicionario!$A$1:$C6980,3,0)</f>
        <v>cambacica</v>
      </c>
    </row>
    <row r="6582">
      <c r="A6582" s="3">
        <v>45708.0</v>
      </c>
      <c r="B6582" s="4">
        <v>0.32222222222222224</v>
      </c>
      <c r="C6582" s="5" t="s">
        <v>40</v>
      </c>
      <c r="D6582" s="5" t="s">
        <v>1183</v>
      </c>
      <c r="E6582" s="8" t="s">
        <v>1195</v>
      </c>
      <c r="F6582" s="5" t="s">
        <v>1196</v>
      </c>
      <c r="G6582" s="6" t="str">
        <f>VLOOKUP(E6582,dicionario!$A$1:$C6981,2,0)</f>
        <v>#N/A</v>
      </c>
      <c r="H6582" s="6" t="str">
        <f>VLOOKUP(E6582,dicionario!$A$1:$C6981,3,0)</f>
        <v>#N/A</v>
      </c>
    </row>
    <row r="6583">
      <c r="A6583" s="3">
        <v>45708.0</v>
      </c>
      <c r="B6583" s="4">
        <v>0.3236111111111111</v>
      </c>
      <c r="C6583" s="5" t="s">
        <v>40</v>
      </c>
      <c r="D6583" s="5" t="s">
        <v>1183</v>
      </c>
      <c r="E6583" s="8" t="s">
        <v>163</v>
      </c>
      <c r="F6583" s="5" t="s">
        <v>164</v>
      </c>
      <c r="G6583" s="6" t="str">
        <f>VLOOKUP(E6583,dicionario!$A$1:$C6982,2,0)</f>
        <v>Coragyps atratus</v>
      </c>
      <c r="H6583" s="6" t="str">
        <f>VLOOKUP(E6583,dicionario!$A$1:$C6982,3,0)</f>
        <v>urubu-de-cabeça-preta</v>
      </c>
    </row>
    <row r="6584">
      <c r="A6584" s="3">
        <v>45708.0</v>
      </c>
      <c r="B6584" s="4">
        <v>0.3236111111111111</v>
      </c>
      <c r="C6584" s="5" t="s">
        <v>40</v>
      </c>
      <c r="D6584" s="5" t="s">
        <v>1183</v>
      </c>
      <c r="E6584" s="8" t="s">
        <v>1155</v>
      </c>
      <c r="F6584" s="5" t="s">
        <v>1156</v>
      </c>
      <c r="G6584" s="6" t="str">
        <f>VLOOKUP(E6584,dicionario!$A$1:$C6983,2,0)</f>
        <v>#N/A</v>
      </c>
      <c r="H6584" s="6" t="str">
        <f>VLOOKUP(E6584,dicionario!$A$1:$C6983,3,0)</f>
        <v>#N/A</v>
      </c>
    </row>
    <row r="6585">
      <c r="A6585" s="3">
        <v>45708.0</v>
      </c>
      <c r="B6585" s="4">
        <v>0.32430555555555557</v>
      </c>
      <c r="C6585" s="5" t="s">
        <v>40</v>
      </c>
      <c r="D6585" s="5" t="s">
        <v>1183</v>
      </c>
      <c r="E6585" s="6" t="s">
        <v>326</v>
      </c>
      <c r="F6585" s="5" t="s">
        <v>327</v>
      </c>
      <c r="G6585" s="6" t="str">
        <f>VLOOKUP(E6585,dicionario!$A$1:$C6984,2,0)</f>
        <v>Amaranthus spinosus</v>
      </c>
      <c r="H6585" s="6" t="str">
        <f>VLOOKUP(E6585,dicionario!$A$1:$C6984,3,0)</f>
        <v>caruru-de-espinho</v>
      </c>
    </row>
    <row r="6586">
      <c r="A6586" s="3">
        <v>45708.0</v>
      </c>
      <c r="B6586" s="4">
        <v>0.32430555555555557</v>
      </c>
      <c r="C6586" s="5" t="s">
        <v>40</v>
      </c>
      <c r="D6586" s="5" t="s">
        <v>1183</v>
      </c>
      <c r="E6586" s="8" t="s">
        <v>135</v>
      </c>
      <c r="F6586" s="5" t="s">
        <v>136</v>
      </c>
      <c r="G6586" s="6" t="str">
        <f>VLOOKUP(E6586,dicionario!$A$1:$C6985,2,0)</f>
        <v>Tridax procumbens</v>
      </c>
      <c r="H6586" s="6" t="str">
        <f>VLOOKUP(E6586,dicionario!$A$1:$C6985,3,0)</f>
        <v>erva-de-touro</v>
      </c>
    </row>
    <row r="6587">
      <c r="A6587" s="3">
        <v>45708.0</v>
      </c>
      <c r="B6587" s="4">
        <v>0.325</v>
      </c>
      <c r="C6587" s="5" t="s">
        <v>40</v>
      </c>
      <c r="D6587" s="5" t="s">
        <v>1183</v>
      </c>
      <c r="E6587" s="8" t="s">
        <v>146</v>
      </c>
      <c r="F6587" s="5" t="s">
        <v>147</v>
      </c>
      <c r="G6587" s="6" t="str">
        <f>VLOOKUP(E6587,dicionario!$A$1:$C6986,2,0)</f>
        <v>Euphorbia hirta</v>
      </c>
      <c r="H6587" s="6" t="str">
        <f>VLOOKUP(E6587,dicionario!$A$1:$C6986,3,0)</f>
        <v>erva-de-santa-luzia</v>
      </c>
    </row>
    <row r="6588">
      <c r="A6588" s="3">
        <v>45708.0</v>
      </c>
      <c r="B6588" s="4">
        <v>0.325</v>
      </c>
      <c r="C6588" s="5" t="s">
        <v>40</v>
      </c>
      <c r="D6588" s="5" t="s">
        <v>1183</v>
      </c>
      <c r="E6588" s="8" t="s">
        <v>195</v>
      </c>
      <c r="F6588" s="5" t="s">
        <v>196</v>
      </c>
      <c r="G6588" s="6" t="str">
        <f>VLOOKUP(E6588,dicionario!$A$1:$C6987,2,0)</f>
        <v>Priva lappulacea</v>
      </c>
      <c r="H6588" s="6" t="str">
        <f>VLOOKUP(E6588,dicionario!$A$1:$C6987,3,0)</f>
        <v>carrapicho</v>
      </c>
    </row>
    <row r="6589">
      <c r="A6589" s="3">
        <v>45708.0</v>
      </c>
      <c r="B6589" s="4">
        <v>0.325</v>
      </c>
      <c r="C6589" s="5" t="s">
        <v>40</v>
      </c>
      <c r="D6589" s="5" t="s">
        <v>1183</v>
      </c>
      <c r="E6589" s="8" t="s">
        <v>46</v>
      </c>
      <c r="F6589" s="5" t="s">
        <v>47</v>
      </c>
      <c r="G6589" s="6" t="str">
        <f>VLOOKUP(E6589,dicionario!$A$1:$C6988,2,0)</f>
        <v>Chionomesa fimbriata</v>
      </c>
      <c r="H6589" s="6" t="str">
        <f>VLOOKUP(E6589,dicionario!$A$1:$C6988,3,0)</f>
        <v>beija-flor-de-garganta-verde</v>
      </c>
    </row>
    <row r="6590">
      <c r="A6590" s="3">
        <v>45708.0</v>
      </c>
      <c r="B6590" s="4">
        <v>0.32569444444444445</v>
      </c>
      <c r="C6590" s="5" t="s">
        <v>33</v>
      </c>
      <c r="D6590" s="5" t="s">
        <v>1183</v>
      </c>
      <c r="E6590" s="8" t="s">
        <v>122</v>
      </c>
      <c r="F6590" s="7" t="s">
        <v>123</v>
      </c>
      <c r="G6590" s="6" t="str">
        <f>VLOOKUP(E6590,dicionario!$A$1:$C6989,2,0)</f>
        <v>Todirostrum cinereum</v>
      </c>
      <c r="H6590" s="6" t="str">
        <f>VLOOKUP(E6590,dicionario!$A$1:$C6989,3,0)</f>
        <v>ferreirinho-relógio</v>
      </c>
    </row>
    <row r="6591">
      <c r="A6591" s="3">
        <v>45708.0</v>
      </c>
      <c r="B6591" s="4">
        <v>0.32569444444444445</v>
      </c>
      <c r="C6591" s="5" t="s">
        <v>33</v>
      </c>
      <c r="D6591" s="5" t="s">
        <v>1183</v>
      </c>
      <c r="E6591" s="8" t="s">
        <v>53</v>
      </c>
      <c r="F6591" s="7" t="s">
        <v>54</v>
      </c>
      <c r="G6591" s="6" t="str">
        <f>VLOOKUP(E6591,dicionario!$A$1:$C6990,2,0)</f>
        <v>Turnera subulata</v>
      </c>
      <c r="H6591" s="6" t="str">
        <f>VLOOKUP(E6591,dicionario!$A$1:$C6990,3,0)</f>
        <v>xanana</v>
      </c>
    </row>
    <row r="6592">
      <c r="A6592" s="3">
        <v>45708.0</v>
      </c>
      <c r="B6592" s="4">
        <v>0.3263888888888889</v>
      </c>
      <c r="C6592" s="5" t="s">
        <v>33</v>
      </c>
      <c r="D6592" s="5" t="s">
        <v>1183</v>
      </c>
      <c r="E6592" s="8" t="s">
        <v>109</v>
      </c>
      <c r="F6592" s="5" t="s">
        <v>110</v>
      </c>
      <c r="G6592" s="6" t="str">
        <f>VLOOKUP(E6592,dicionario!$A$1:$C6991,2,0)</f>
        <v>Tillandsia stricta</v>
      </c>
      <c r="H6592" s="6" t="str">
        <f>VLOOKUP(E6592,dicionario!$A$1:$C6991,3,0)</f>
        <v>cravo-do-mato</v>
      </c>
    </row>
    <row r="6593">
      <c r="A6593" s="3">
        <v>45708.0</v>
      </c>
      <c r="B6593" s="4">
        <v>0.3263888888888889</v>
      </c>
      <c r="C6593" s="5" t="s">
        <v>33</v>
      </c>
      <c r="D6593" s="5" t="s">
        <v>1183</v>
      </c>
      <c r="E6593" s="8" t="s">
        <v>191</v>
      </c>
      <c r="F6593" s="5" t="s">
        <v>192</v>
      </c>
      <c r="G6593" s="6" t="str">
        <f>VLOOKUP(E6593,dicionario!$A$1:$C6992,2,0)</f>
        <v>Patagioenas picazuro</v>
      </c>
      <c r="H6593" s="6" t="str">
        <f>VLOOKUP(E6593,dicionario!$A$1:$C6992,3,0)</f>
        <v>asa-branca; pomba-asa-branca; pocaçu</v>
      </c>
    </row>
    <row r="6594">
      <c r="A6594" s="3">
        <v>45708.0</v>
      </c>
      <c r="B6594" s="4">
        <v>0.32708333333333334</v>
      </c>
      <c r="C6594" s="5" t="s">
        <v>33</v>
      </c>
      <c r="D6594" s="5" t="s">
        <v>1183</v>
      </c>
      <c r="E6594" s="8" t="s">
        <v>225</v>
      </c>
      <c r="F6594" s="5" t="s">
        <v>226</v>
      </c>
      <c r="G6594" s="6" t="str">
        <f>VLOOKUP(E6594,dicionario!$A$1:$C6993,2,0)</f>
        <v>Passer domesticus</v>
      </c>
      <c r="H6594" s="6" t="str">
        <f>VLOOKUP(E6594,dicionario!$A$1:$C6993,3,0)</f>
        <v>pardal</v>
      </c>
    </row>
    <row r="6595">
      <c r="A6595" s="3">
        <v>45708.0</v>
      </c>
      <c r="B6595" s="4">
        <v>0.32708333333333334</v>
      </c>
      <c r="C6595" s="5" t="s">
        <v>33</v>
      </c>
      <c r="D6595" s="5" t="s">
        <v>1183</v>
      </c>
      <c r="E6595" s="8" t="s">
        <v>1112</v>
      </c>
      <c r="F6595" s="5" t="s">
        <v>1113</v>
      </c>
      <c r="G6595" s="6" t="str">
        <f>VLOOKUP(E6595,dicionario!$A$1:$C6994,2,0)</f>
        <v>Hylophilus thoracicus</v>
      </c>
      <c r="H6595" s="6" t="str">
        <f>VLOOKUP(E6595,dicionario!$A$1:$C6994,3,0)</f>
        <v>vite-vite</v>
      </c>
    </row>
    <row r="6596">
      <c r="A6596" s="3">
        <v>45708.0</v>
      </c>
      <c r="B6596" s="4">
        <v>0.3277777777777778</v>
      </c>
      <c r="C6596" s="5" t="s">
        <v>33</v>
      </c>
      <c r="D6596" s="5" t="s">
        <v>1183</v>
      </c>
      <c r="E6596" s="8" t="s">
        <v>46</v>
      </c>
      <c r="F6596" s="5" t="s">
        <v>47</v>
      </c>
      <c r="G6596" s="6" t="str">
        <f>VLOOKUP(E6596,dicionario!$A$1:$C6995,2,0)</f>
        <v>Chionomesa fimbriata</v>
      </c>
      <c r="H6596" s="6" t="str">
        <f>VLOOKUP(E6596,dicionario!$A$1:$C6995,3,0)</f>
        <v>beija-flor-de-garganta-verde</v>
      </c>
    </row>
    <row r="6597">
      <c r="A6597" s="3">
        <v>45708.0</v>
      </c>
      <c r="B6597" s="4">
        <v>0.3277777777777778</v>
      </c>
      <c r="C6597" s="5" t="s">
        <v>33</v>
      </c>
      <c r="D6597" s="5" t="s">
        <v>1183</v>
      </c>
      <c r="E6597" s="8" t="s">
        <v>162</v>
      </c>
      <c r="F6597" s="7" t="s">
        <v>42</v>
      </c>
      <c r="G6597" s="6" t="str">
        <f>VLOOKUP(E6597,dicionario!$A$1:$C6996,2,0)</f>
        <v>Fluvicola nengeta</v>
      </c>
      <c r="H6597" s="6" t="str">
        <f>VLOOKUP(E6597,dicionario!$A$1:$C6996,3,0)</f>
        <v>lavadeira-mascarada</v>
      </c>
    </row>
    <row r="6598">
      <c r="A6598" s="3">
        <v>45708.0</v>
      </c>
      <c r="B6598" s="4">
        <v>0.32916666666666666</v>
      </c>
      <c r="C6598" s="5" t="s">
        <v>33</v>
      </c>
      <c r="D6598" s="5" t="s">
        <v>1183</v>
      </c>
      <c r="E6598" s="8" t="s">
        <v>65</v>
      </c>
      <c r="F6598" s="5" t="s">
        <v>66</v>
      </c>
      <c r="G6598" s="6" t="str">
        <f>VLOOKUP(E6598,dicionario!$A$1:$C6997,2,0)</f>
        <v>Pitangus sulphutarus</v>
      </c>
      <c r="H6598" s="6" t="str">
        <f>VLOOKUP(E6598,dicionario!$A$1:$C6997,3,0)</f>
        <v>bem-te-vi</v>
      </c>
    </row>
    <row r="6599">
      <c r="A6599" s="3">
        <v>45708.0</v>
      </c>
      <c r="B6599" s="4">
        <v>0.32916666666666666</v>
      </c>
      <c r="C6599" s="5" t="s">
        <v>33</v>
      </c>
      <c r="D6599" s="5" t="s">
        <v>1183</v>
      </c>
      <c r="E6599" s="8" t="s">
        <v>821</v>
      </c>
      <c r="F6599" s="5" t="s">
        <v>876</v>
      </c>
      <c r="G6599" s="6" t="str">
        <f>VLOOKUP(E6599,dicionario!$A$1:$C6998,2,0)</f>
        <v>Schefflera actinophylla</v>
      </c>
      <c r="H6599" s="6" t="str">
        <f>VLOOKUP(E6599,dicionario!$A$1:$C6998,3,0)</f>
        <v>árvore-guarda-chuva</v>
      </c>
    </row>
    <row r="6600">
      <c r="A6600" s="3">
        <v>45708.0</v>
      </c>
      <c r="B6600" s="4">
        <v>0.33194444444444443</v>
      </c>
      <c r="C6600" s="5" t="s">
        <v>33</v>
      </c>
      <c r="D6600" s="5" t="s">
        <v>1183</v>
      </c>
      <c r="E6600" s="8" t="s">
        <v>20</v>
      </c>
      <c r="F6600" s="7" t="s">
        <v>21</v>
      </c>
      <c r="G6600" s="6" t="str">
        <f>VLOOKUP(E6600,dicionario!$A$1:$C6999,2,0)</f>
        <v>Sicalis flaveola</v>
      </c>
      <c r="H6600" s="6" t="str">
        <f>VLOOKUP(E6600,dicionario!$A$1:$C6999,3,0)</f>
        <v>canário-da-terra</v>
      </c>
    </row>
    <row r="6601">
      <c r="A6601" s="3">
        <v>45708.0</v>
      </c>
      <c r="B6601" s="4">
        <v>0.3333333333333333</v>
      </c>
      <c r="C6601" s="5" t="s">
        <v>26</v>
      </c>
      <c r="D6601" s="5" t="s">
        <v>1183</v>
      </c>
      <c r="E6601" s="8" t="s">
        <v>1155</v>
      </c>
      <c r="F6601" s="5" t="s">
        <v>1156</v>
      </c>
      <c r="G6601" s="6" t="str">
        <f>VLOOKUP(E6601,dicionario!$A$1:$C7000,2,0)</f>
        <v>#N/A</v>
      </c>
      <c r="H6601" s="6" t="str">
        <f>VLOOKUP(E6601,dicionario!$A$1:$C7000,3,0)</f>
        <v>#N/A</v>
      </c>
    </row>
    <row r="6602">
      <c r="A6602" s="3">
        <v>45708.0</v>
      </c>
      <c r="B6602" s="4">
        <v>0.33402777777777776</v>
      </c>
      <c r="C6602" s="5" t="s">
        <v>26</v>
      </c>
      <c r="D6602" s="5" t="s">
        <v>1183</v>
      </c>
      <c r="E6602" s="8" t="s">
        <v>243</v>
      </c>
      <c r="F6602" s="5" t="s">
        <v>244</v>
      </c>
      <c r="G6602" s="6" t="str">
        <f>VLOOKUP(E6602,dicionario!$A$1:$C7001,2,0)</f>
        <v>Macroptilium atropurpureum</v>
      </c>
      <c r="H6602" s="6" t="str">
        <f>VLOOKUP(E6602,dicionario!$A$1:$C7001,3,0)</f>
        <v>feijão-de-pombo</v>
      </c>
    </row>
    <row r="6603">
      <c r="A6603" s="3">
        <v>45708.0</v>
      </c>
      <c r="B6603" s="4">
        <v>0.33402777777777776</v>
      </c>
      <c r="C6603" s="5" t="s">
        <v>26</v>
      </c>
      <c r="D6603" s="5" t="s">
        <v>1183</v>
      </c>
      <c r="E6603" s="8" t="s">
        <v>227</v>
      </c>
      <c r="F6603" s="5" t="s">
        <v>228</v>
      </c>
      <c r="G6603" s="6" t="str">
        <f>VLOOKUP(E6603,dicionario!$A$1:$C7002,2,0)</f>
        <v>Indigofera hirsuta</v>
      </c>
      <c r="H6603" s="6" t="str">
        <f>VLOOKUP(E6603,dicionario!$A$1:$C7002,3,0)</f>
        <v>anileira</v>
      </c>
    </row>
    <row r="6604">
      <c r="A6604" s="3">
        <v>45708.0</v>
      </c>
      <c r="B6604" s="4">
        <v>0.33402777777777776</v>
      </c>
      <c r="C6604" s="5" t="s">
        <v>26</v>
      </c>
      <c r="D6604" s="5" t="s">
        <v>1183</v>
      </c>
      <c r="E6604" s="8" t="s">
        <v>581</v>
      </c>
      <c r="F6604" s="5" t="s">
        <v>582</v>
      </c>
      <c r="G6604" s="6" t="str">
        <f>VLOOKUP(E6604,dicionario!$A$1:$C7003,2,0)</f>
        <v>Phoebis marcellina</v>
      </c>
      <c r="H6604" s="6" t="str">
        <f>VLOOKUP(E6604,dicionario!$A$1:$C7003,3,0)</f>
        <v>borboleta-gema</v>
      </c>
    </row>
    <row r="6605">
      <c r="A6605" s="3">
        <v>45708.0</v>
      </c>
      <c r="B6605" s="4">
        <v>0.33402777777777776</v>
      </c>
      <c r="C6605" s="5" t="s">
        <v>26</v>
      </c>
      <c r="D6605" s="5" t="s">
        <v>1183</v>
      </c>
      <c r="E6605" s="8" t="s">
        <v>41</v>
      </c>
      <c r="F6605" s="5" t="s">
        <v>45</v>
      </c>
      <c r="G6605" s="6" t="str">
        <f>VLOOKUP(E6605,dicionario!$A$1:$C7004,2,0)</f>
        <v>Mimosa pudica</v>
      </c>
      <c r="H6605" s="6" t="str">
        <f>VLOOKUP(E6605,dicionario!$A$1:$C7004,3,0)</f>
        <v>dormideira</v>
      </c>
    </row>
    <row r="6606">
      <c r="A6606" s="3">
        <v>45708.0</v>
      </c>
      <c r="B6606" s="4">
        <v>0.3347222222222222</v>
      </c>
      <c r="C6606" s="5" t="s">
        <v>26</v>
      </c>
      <c r="D6606" s="5" t="s">
        <v>1183</v>
      </c>
      <c r="E6606" s="8" t="s">
        <v>150</v>
      </c>
      <c r="F6606" s="5" t="s">
        <v>151</v>
      </c>
      <c r="G6606" s="6" t="str">
        <f>VLOOKUP(E6606,dicionario!$A$1:$C7005,2,0)</f>
        <v>Amaranthus viridis</v>
      </c>
      <c r="H6606" s="6" t="str">
        <f>VLOOKUP(E6606,dicionario!$A$1:$C7005,3,0)</f>
        <v>caruru-de-mancha</v>
      </c>
    </row>
    <row r="6607">
      <c r="A6607" s="3">
        <v>45708.0</v>
      </c>
      <c r="B6607" s="4">
        <v>0.3347222222222222</v>
      </c>
      <c r="C6607" s="5" t="s">
        <v>26</v>
      </c>
      <c r="D6607" s="5" t="s">
        <v>1183</v>
      </c>
      <c r="E6607" s="8" t="s">
        <v>631</v>
      </c>
      <c r="F6607" s="5" t="s">
        <v>632</v>
      </c>
      <c r="G6607" s="6" t="str">
        <f>VLOOKUP(E6607,dicionario!$A$1:$C7006,2,0)</f>
        <v>Chamaecrista nictitans</v>
      </c>
      <c r="H6607" s="6" t="str">
        <f>VLOOKUP(E6607,dicionario!$A$1:$C7006,3,0)</f>
        <v>falsa-dormideira</v>
      </c>
    </row>
    <row r="6608">
      <c r="A6608" s="3">
        <v>45708.0</v>
      </c>
      <c r="B6608" s="4">
        <v>0.33541666666666664</v>
      </c>
      <c r="C6608" s="5" t="s">
        <v>26</v>
      </c>
      <c r="D6608" s="5" t="s">
        <v>1183</v>
      </c>
      <c r="E6608" s="8" t="s">
        <v>286</v>
      </c>
      <c r="F6608" s="5" t="s">
        <v>287</v>
      </c>
      <c r="G6608" s="6" t="str">
        <f>VLOOKUP(E6608,dicionario!$A$1:$C7007,2,0)</f>
        <v>Setaria parviflora</v>
      </c>
      <c r="H6608" s="6" t="str">
        <f>VLOOKUP(E6608,dicionario!$A$1:$C7007,3,0)</f>
        <v>capim-rabo-de-raposa</v>
      </c>
    </row>
    <row r="6609">
      <c r="A6609" s="3">
        <v>45708.0</v>
      </c>
      <c r="B6609" s="4">
        <v>0.33541666666666664</v>
      </c>
      <c r="C6609" s="5" t="s">
        <v>26</v>
      </c>
      <c r="D6609" s="5" t="s">
        <v>1183</v>
      </c>
      <c r="E6609" s="8" t="s">
        <v>378</v>
      </c>
      <c r="F6609" s="5" t="s">
        <v>205</v>
      </c>
      <c r="G6609" s="6" t="str">
        <f>VLOOKUP(E6609,dicionario!$A$1:$C7008,2,0)</f>
        <v>Polistes</v>
      </c>
      <c r="H6609" s="6" t="str">
        <f>VLOOKUP(E6609,dicionario!$A$1:$C7008,3,0)</f>
        <v>marimbondo</v>
      </c>
    </row>
    <row r="6610">
      <c r="A6610" s="3">
        <v>45708.0</v>
      </c>
      <c r="B6610" s="4">
        <v>0.3368055555555556</v>
      </c>
      <c r="C6610" s="5" t="s">
        <v>26</v>
      </c>
      <c r="D6610" s="5" t="s">
        <v>1183</v>
      </c>
      <c r="E6610" s="8" t="s">
        <v>206</v>
      </c>
      <c r="F6610" s="5" t="s">
        <v>968</v>
      </c>
      <c r="G6610" s="6" t="str">
        <f>VLOOKUP(E6610,dicionario!$A$1:$C7009,2,0)</f>
        <v>Falco sparverius</v>
      </c>
      <c r="H6610" s="6" t="str">
        <f>VLOOKUP(E6610,dicionario!$A$1:$C7009,3,0)</f>
        <v>quiriquiri</v>
      </c>
    </row>
    <row r="6611">
      <c r="A6611" s="3">
        <v>45708.0</v>
      </c>
      <c r="B6611" s="4">
        <v>0.3368055555555556</v>
      </c>
      <c r="C6611" s="5" t="s">
        <v>26</v>
      </c>
      <c r="D6611" s="5" t="s">
        <v>1183</v>
      </c>
      <c r="E6611" s="8" t="s">
        <v>163</v>
      </c>
      <c r="F6611" s="5" t="s">
        <v>164</v>
      </c>
      <c r="G6611" s="6" t="str">
        <f>VLOOKUP(E6611,dicionario!$A$1:$C7010,2,0)</f>
        <v>Coragyps atratus</v>
      </c>
      <c r="H6611" s="6" t="str">
        <f>VLOOKUP(E6611,dicionario!$A$1:$C7010,3,0)</f>
        <v>urubu-de-cabeça-preta</v>
      </c>
    </row>
    <row r="6612">
      <c r="A6612" s="3">
        <v>45708.0</v>
      </c>
      <c r="B6612" s="4">
        <v>0.3375</v>
      </c>
      <c r="C6612" s="5" t="s">
        <v>26</v>
      </c>
      <c r="D6612" s="5" t="s">
        <v>1183</v>
      </c>
      <c r="E6612" s="8" t="s">
        <v>65</v>
      </c>
      <c r="F6612" s="5" t="s">
        <v>66</v>
      </c>
      <c r="G6612" s="6" t="str">
        <f>VLOOKUP(E6612,dicionario!$A$1:$C7011,2,0)</f>
        <v>Pitangus sulphutarus</v>
      </c>
      <c r="H6612" s="6" t="str">
        <f>VLOOKUP(E6612,dicionario!$A$1:$C7011,3,0)</f>
        <v>bem-te-vi</v>
      </c>
    </row>
    <row r="6613">
      <c r="A6613" s="3">
        <v>45708.0</v>
      </c>
      <c r="B6613" s="4">
        <v>0.3388888888888889</v>
      </c>
      <c r="C6613" s="5" t="s">
        <v>26</v>
      </c>
      <c r="D6613" s="5" t="s">
        <v>1183</v>
      </c>
      <c r="E6613" s="20" t="s">
        <v>676</v>
      </c>
      <c r="F6613" s="7" t="s">
        <v>677</v>
      </c>
      <c r="G6613" s="6" t="str">
        <f>VLOOKUP(E6613,dicionario!$A$1:$C7012,2,0)</f>
        <v>Zornia latifolia</v>
      </c>
      <c r="H6613" s="6" t="str">
        <f>VLOOKUP(E6613,dicionario!$A$1:$C7012,3,0)</f>
        <v>arrozinho-do-campo</v>
      </c>
    </row>
    <row r="6614">
      <c r="A6614" s="3">
        <v>45708.0</v>
      </c>
      <c r="B6614" s="4">
        <v>0.3388888888888889</v>
      </c>
      <c r="C6614" s="5" t="s">
        <v>26</v>
      </c>
      <c r="D6614" s="5" t="s">
        <v>1183</v>
      </c>
      <c r="E6614" s="8" t="s">
        <v>217</v>
      </c>
      <c r="F6614" s="5" t="s">
        <v>218</v>
      </c>
      <c r="G6614" s="6" t="str">
        <f>VLOOKUP(E6614,dicionario!$A$1:$C7013,2,0)</f>
        <v>Athene cunicularia</v>
      </c>
      <c r="H6614" s="6" t="str">
        <f>VLOOKUP(E6614,dicionario!$A$1:$C7013,3,0)</f>
        <v>coruja-buraqueira</v>
      </c>
    </row>
    <row r="6615">
      <c r="A6615" s="3">
        <v>45708.0</v>
      </c>
      <c r="B6615" s="4">
        <v>0.34097222222222223</v>
      </c>
      <c r="C6615" s="5" t="s">
        <v>8</v>
      </c>
      <c r="D6615" s="5" t="s">
        <v>1183</v>
      </c>
      <c r="E6615" s="8" t="s">
        <v>109</v>
      </c>
      <c r="F6615" s="5" t="s">
        <v>110</v>
      </c>
      <c r="G6615" s="6" t="str">
        <f>VLOOKUP(E6615,dicionario!$A$1:$C7014,2,0)</f>
        <v>Tillandsia stricta</v>
      </c>
      <c r="H6615" s="6" t="str">
        <f>VLOOKUP(E6615,dicionario!$A$1:$C7014,3,0)</f>
        <v>cravo-do-mato</v>
      </c>
    </row>
    <row r="6616">
      <c r="A6616" s="3">
        <v>45708.0</v>
      </c>
      <c r="B6616" s="4">
        <v>0.3416666666666667</v>
      </c>
      <c r="C6616" s="5" t="s">
        <v>8</v>
      </c>
      <c r="D6616" s="5" t="s">
        <v>1183</v>
      </c>
      <c r="E6616" s="8" t="s">
        <v>719</v>
      </c>
      <c r="F6616" s="5" t="s">
        <v>1005</v>
      </c>
      <c r="G6616" s="6" t="str">
        <f>VLOOKUP(E6616,dicionario!$A$1:$C7015,2,0)</f>
        <v>Dirinaria</v>
      </c>
      <c r="H6616" s="6" t="str">
        <f>VLOOKUP(E6616,dicionario!$A$1:$C7015,3,0)</f>
        <v>líquen-crostoso</v>
      </c>
    </row>
    <row r="6617">
      <c r="A6617" s="3">
        <v>45708.0</v>
      </c>
      <c r="B6617" s="4">
        <v>0.3416666666666667</v>
      </c>
      <c r="C6617" s="5" t="s">
        <v>8</v>
      </c>
      <c r="D6617" s="5" t="s">
        <v>1183</v>
      </c>
      <c r="E6617" s="8" t="s">
        <v>712</v>
      </c>
      <c r="F6617" s="5" t="s">
        <v>1006</v>
      </c>
      <c r="G6617" s="6" t="str">
        <f>VLOOKUP(E6617,dicionario!$A$1:$C7016,2,0)</f>
        <v>Flavopunctelia soredica</v>
      </c>
      <c r="H6617" s="6" t="str">
        <f>VLOOKUP(E6617,dicionario!$A$1:$C7016,3,0)</f>
        <v>líquen-folioso</v>
      </c>
    </row>
    <row r="6618">
      <c r="A6618" s="3">
        <v>45708.0</v>
      </c>
      <c r="B6618" s="4">
        <v>0.3416666666666667</v>
      </c>
      <c r="C6618" s="5" t="s">
        <v>8</v>
      </c>
      <c r="D6618" s="5" t="s">
        <v>1183</v>
      </c>
      <c r="E6618" s="8" t="s">
        <v>107</v>
      </c>
      <c r="F6618" s="5" t="s">
        <v>1101</v>
      </c>
      <c r="G6618" s="6" t="str">
        <f>VLOOKUP(E6618,dicionario!$A$1:$C7017,2,0)</f>
        <v>Ramalina complanata</v>
      </c>
      <c r="H6618" s="6" t="str">
        <f>VLOOKUP(E6618,dicionario!$A$1:$C7017,3,0)</f>
        <v>ramalina</v>
      </c>
    </row>
    <row r="6619">
      <c r="A6619" s="3">
        <v>45708.0</v>
      </c>
      <c r="B6619" s="4">
        <v>0.3423611111111111</v>
      </c>
      <c r="C6619" s="5" t="s">
        <v>8</v>
      </c>
      <c r="D6619" s="5" t="s">
        <v>1183</v>
      </c>
      <c r="E6619" s="8" t="s">
        <v>1155</v>
      </c>
      <c r="F6619" s="5" t="s">
        <v>1156</v>
      </c>
      <c r="G6619" s="6" t="str">
        <f>VLOOKUP(E6619,dicionario!$A$1:$C7018,2,0)</f>
        <v>#N/A</v>
      </c>
      <c r="H6619" s="6" t="str">
        <f>VLOOKUP(E6619,dicionario!$A$1:$C7018,3,0)</f>
        <v>#N/A</v>
      </c>
    </row>
    <row r="6620">
      <c r="A6620" s="3">
        <v>45708.0</v>
      </c>
      <c r="B6620" s="4">
        <v>0.34305555555555556</v>
      </c>
      <c r="C6620" s="5" t="s">
        <v>8</v>
      </c>
      <c r="D6620" s="5" t="s">
        <v>1183</v>
      </c>
      <c r="E6620" s="8" t="s">
        <v>353</v>
      </c>
      <c r="F6620" s="5" t="s">
        <v>354</v>
      </c>
      <c r="G6620" s="6" t="str">
        <f>VLOOKUP(E6620,dicionario!$A$1:$C7019,2,0)</f>
        <v>Desmodium incanum</v>
      </c>
      <c r="H6620" s="6" t="str">
        <f>VLOOKUP(E6620,dicionario!$A$1:$C7019,3,0)</f>
        <v>pega-pega</v>
      </c>
    </row>
    <row r="6621">
      <c r="A6621" s="3">
        <v>45708.0</v>
      </c>
      <c r="B6621" s="4">
        <v>0.34305555555555556</v>
      </c>
      <c r="C6621" s="5" t="s">
        <v>8</v>
      </c>
      <c r="D6621" s="5" t="s">
        <v>1183</v>
      </c>
      <c r="E6621" s="8" t="s">
        <v>191</v>
      </c>
      <c r="F6621" s="5" t="s">
        <v>192</v>
      </c>
      <c r="G6621" s="6" t="str">
        <f>VLOOKUP(E6621,dicionario!$A$1:$C7020,2,0)</f>
        <v>Patagioenas picazuro</v>
      </c>
      <c r="H6621" s="6" t="str">
        <f>VLOOKUP(E6621,dicionario!$A$1:$C7020,3,0)</f>
        <v>asa-branca; pomba-asa-branca; pocaçu</v>
      </c>
    </row>
    <row r="6622">
      <c r="A6622" s="3">
        <v>45708.0</v>
      </c>
      <c r="B6622" s="4">
        <v>0.34305555555555556</v>
      </c>
      <c r="C6622" s="5" t="s">
        <v>8</v>
      </c>
      <c r="D6622" s="5" t="s">
        <v>1183</v>
      </c>
      <c r="E6622" s="8" t="s">
        <v>163</v>
      </c>
      <c r="F6622" s="5" t="s">
        <v>164</v>
      </c>
      <c r="G6622" s="6" t="str">
        <f>VLOOKUP(E6622,dicionario!$A$1:$C7021,2,0)</f>
        <v>Coragyps atratus</v>
      </c>
      <c r="H6622" s="6" t="str">
        <f>VLOOKUP(E6622,dicionario!$A$1:$C7021,3,0)</f>
        <v>urubu-de-cabeça-preta</v>
      </c>
    </row>
    <row r="6623">
      <c r="A6623" s="3">
        <v>45708.0</v>
      </c>
      <c r="B6623" s="4">
        <v>0.34375</v>
      </c>
      <c r="C6623" s="5" t="s">
        <v>8</v>
      </c>
      <c r="D6623" s="5" t="s">
        <v>1183</v>
      </c>
      <c r="E6623" s="8" t="s">
        <v>60</v>
      </c>
      <c r="F6623" s="5" t="s">
        <v>61</v>
      </c>
      <c r="G6623" s="6" t="str">
        <f>VLOOKUP(E6623,dicionario!$A$1:$C7022,2,0)</f>
        <v>Vanellus chilensis</v>
      </c>
      <c r="H6623" s="6" t="str">
        <f>VLOOKUP(E6623,dicionario!$A$1:$C7022,3,0)</f>
        <v>quero-quero</v>
      </c>
    </row>
    <row r="6624">
      <c r="A6624" s="3">
        <v>45708.0</v>
      </c>
      <c r="B6624" s="4">
        <v>0.34375</v>
      </c>
      <c r="C6624" s="5" t="s">
        <v>8</v>
      </c>
      <c r="D6624" s="5" t="s">
        <v>1183</v>
      </c>
      <c r="E6624" s="8" t="s">
        <v>122</v>
      </c>
      <c r="F6624" s="7" t="s">
        <v>123</v>
      </c>
      <c r="G6624" s="6" t="str">
        <f>VLOOKUP(E6624,dicionario!$A$1:$C7023,2,0)</f>
        <v>Todirostrum cinereum</v>
      </c>
      <c r="H6624" s="6" t="str">
        <f>VLOOKUP(E6624,dicionario!$A$1:$C7023,3,0)</f>
        <v>ferreirinho-relógio</v>
      </c>
    </row>
    <row r="6625">
      <c r="A6625" s="3">
        <v>45708.0</v>
      </c>
      <c r="B6625" s="4">
        <v>0.34375</v>
      </c>
      <c r="C6625" s="5" t="s">
        <v>8</v>
      </c>
      <c r="D6625" s="5" t="s">
        <v>1183</v>
      </c>
      <c r="E6625" s="8" t="s">
        <v>65</v>
      </c>
      <c r="F6625" s="5" t="s">
        <v>66</v>
      </c>
      <c r="G6625" s="6" t="str">
        <f>VLOOKUP(E6625,dicionario!$A$1:$C7024,2,0)</f>
        <v>Pitangus sulphutarus</v>
      </c>
      <c r="H6625" s="6" t="str">
        <f>VLOOKUP(E6625,dicionario!$A$1:$C7024,3,0)</f>
        <v>bem-te-vi</v>
      </c>
    </row>
    <row r="6626">
      <c r="A6626" s="3">
        <v>45708.0</v>
      </c>
      <c r="B6626" s="4">
        <v>0.3458333333333333</v>
      </c>
      <c r="C6626" s="5" t="s">
        <v>8</v>
      </c>
      <c r="D6626" s="5" t="s">
        <v>1183</v>
      </c>
      <c r="E6626" s="8" t="s">
        <v>290</v>
      </c>
      <c r="F6626" s="5" t="s">
        <v>291</v>
      </c>
      <c r="G6626" s="6" t="str">
        <f>VLOOKUP(E6626,dicionario!$A$1:$C7025,2,0)</f>
        <v>Drymaria cordata</v>
      </c>
      <c r="H6626" s="6" t="str">
        <f>VLOOKUP(E6626,dicionario!$A$1:$C7025,3,0)</f>
        <v>orelha-de-rato</v>
      </c>
    </row>
    <row r="6627">
      <c r="A6627" s="3">
        <v>45708.0</v>
      </c>
      <c r="B6627" s="4">
        <v>0.34652777777777777</v>
      </c>
      <c r="C6627" s="5" t="s">
        <v>8</v>
      </c>
      <c r="D6627" s="5" t="s">
        <v>1183</v>
      </c>
      <c r="E6627" s="8" t="s">
        <v>22</v>
      </c>
      <c r="F6627" s="5" t="s">
        <v>902</v>
      </c>
      <c r="G6627" s="6" t="str">
        <f>VLOOKUP(E6627,dicionario!$A$1:$C7026,2,0)</f>
        <v>Zenaida auriculata</v>
      </c>
      <c r="H6627" s="6" t="str">
        <f>VLOOKUP(E6627,dicionario!$A$1:$C7026,3,0)</f>
        <v>pomba-de-bando; avoante</v>
      </c>
    </row>
    <row r="6628">
      <c r="A6628" s="3">
        <v>45708.0</v>
      </c>
      <c r="B6628" s="4">
        <v>0.3472222222222222</v>
      </c>
      <c r="C6628" s="5" t="s">
        <v>8</v>
      </c>
      <c r="D6628" s="5" t="s">
        <v>1183</v>
      </c>
      <c r="E6628" s="8" t="s">
        <v>148</v>
      </c>
      <c r="F6628" s="5" t="s">
        <v>149</v>
      </c>
      <c r="G6628" s="6" t="str">
        <f>VLOOKUP(E6628,dicionario!$A$1:$C7027,2,0)</f>
        <v>Parthenium hysterophorus</v>
      </c>
      <c r="H6628" s="6" t="str">
        <f>VLOOKUP(E6628,dicionario!$A$1:$C7027,3,0)</f>
        <v>losna-branca</v>
      </c>
    </row>
    <row r="6629">
      <c r="A6629" s="3">
        <v>45708.0</v>
      </c>
      <c r="B6629" s="4">
        <v>0.3472222222222222</v>
      </c>
      <c r="C6629" s="5" t="s">
        <v>8</v>
      </c>
      <c r="D6629" s="5" t="s">
        <v>1183</v>
      </c>
      <c r="E6629" s="8" t="s">
        <v>144</v>
      </c>
      <c r="F6629" s="5" t="s">
        <v>145</v>
      </c>
      <c r="G6629" s="6" t="str">
        <f>VLOOKUP(E6629,dicionario!$A$1:$C7028,2,0)</f>
        <v>Gomphrena globosa</v>
      </c>
      <c r="H6629" s="6" t="str">
        <f>VLOOKUP(E6629,dicionario!$A$1:$C7028,3,0)</f>
        <v>perpétua-rosa</v>
      </c>
    </row>
    <row r="6630">
      <c r="A6630" s="3">
        <v>45708.0</v>
      </c>
      <c r="B6630" s="4">
        <v>0.3472222222222222</v>
      </c>
      <c r="C6630" s="5" t="s">
        <v>8</v>
      </c>
      <c r="D6630" s="5" t="s">
        <v>1183</v>
      </c>
      <c r="E6630" s="8" t="s">
        <v>239</v>
      </c>
      <c r="F6630" s="5" t="s">
        <v>240</v>
      </c>
      <c r="G6630" s="6" t="str">
        <f>VLOOKUP(E6630,dicionario!$A$1:$C7029,2,0)</f>
        <v>Gomphrena celosioides</v>
      </c>
      <c r="H6630" s="6" t="str">
        <f>VLOOKUP(E6630,dicionario!$A$1:$C7029,3,0)</f>
        <v>perpétua-branca</v>
      </c>
    </row>
    <row r="6631">
      <c r="A6631" s="3">
        <v>45708.0</v>
      </c>
      <c r="B6631" s="4">
        <v>0.34791666666666665</v>
      </c>
      <c r="C6631" s="5" t="s">
        <v>8</v>
      </c>
      <c r="D6631" s="5" t="s">
        <v>1183</v>
      </c>
      <c r="E6631" s="8" t="s">
        <v>72</v>
      </c>
      <c r="F6631" s="5" t="s">
        <v>73</v>
      </c>
      <c r="G6631" s="6" t="str">
        <f>VLOOKUP(E6631,dicionario!$A$1:$C7030,2,0)</f>
        <v>Thraupis palmarum</v>
      </c>
      <c r="H6631" s="6" t="str">
        <f>VLOOKUP(E6631,dicionario!$A$1:$C7030,3,0)</f>
        <v>sanhaço-do-coqueiro</v>
      </c>
    </row>
    <row r="6632">
      <c r="A6632" s="3">
        <v>45715.0</v>
      </c>
      <c r="B6632" s="4">
        <v>0.25555555555555554</v>
      </c>
      <c r="C6632" s="5" t="s">
        <v>8</v>
      </c>
      <c r="D6632" s="5" t="s">
        <v>1197</v>
      </c>
      <c r="E6632" s="8" t="s">
        <v>286</v>
      </c>
      <c r="F6632" s="5" t="s">
        <v>287</v>
      </c>
      <c r="G6632" s="6" t="str">
        <f>VLOOKUP(E6632,dicionario!$A$1:$C7031,2,0)</f>
        <v>Setaria parviflora</v>
      </c>
      <c r="H6632" s="6" t="str">
        <f>VLOOKUP(E6632,dicionario!$A$1:$C7031,3,0)</f>
        <v>capim-rabo-de-raposa</v>
      </c>
    </row>
    <row r="6633">
      <c r="A6633" s="3">
        <v>45715.0</v>
      </c>
      <c r="B6633" s="4">
        <v>0.25555555555555554</v>
      </c>
      <c r="C6633" s="5" t="s">
        <v>8</v>
      </c>
      <c r="D6633" s="5" t="s">
        <v>1197</v>
      </c>
      <c r="E6633" s="8" t="s">
        <v>20</v>
      </c>
      <c r="F6633" s="7" t="s">
        <v>21</v>
      </c>
      <c r="G6633" s="6" t="str">
        <f>VLOOKUP(E6633,dicionario!$A$1:$C7032,2,0)</f>
        <v>Sicalis flaveola</v>
      </c>
      <c r="H6633" s="6" t="str">
        <f>VLOOKUP(E6633,dicionario!$A$1:$C7032,3,0)</f>
        <v>canário-da-terra</v>
      </c>
    </row>
    <row r="6634">
      <c r="A6634" s="3">
        <v>45715.0</v>
      </c>
      <c r="B6634" s="4">
        <v>0.25555555555555554</v>
      </c>
      <c r="C6634" s="5" t="s">
        <v>8</v>
      </c>
      <c r="D6634" s="5" t="s">
        <v>1197</v>
      </c>
      <c r="E6634" s="6" t="s">
        <v>200</v>
      </c>
      <c r="F6634" s="5" t="s">
        <v>201</v>
      </c>
      <c r="G6634" s="6" t="str">
        <f>VLOOKUP(E6634,dicionario!$A$1:$C7033,2,0)</f>
        <v>Columbina picui </v>
      </c>
      <c r="H6634" s="6" t="str">
        <f>VLOOKUP(E6634,dicionario!$A$1:$C7033,3,0)</f>
        <v>rolinha-picuí</v>
      </c>
    </row>
    <row r="6635">
      <c r="A6635" s="3">
        <v>45715.0</v>
      </c>
      <c r="B6635" s="4">
        <v>0.25555555555555554</v>
      </c>
      <c r="C6635" s="5" t="s">
        <v>8</v>
      </c>
      <c r="D6635" s="5" t="s">
        <v>1197</v>
      </c>
      <c r="E6635" s="8" t="s">
        <v>1155</v>
      </c>
      <c r="F6635" s="5" t="s">
        <v>1156</v>
      </c>
      <c r="G6635" s="6" t="str">
        <f>VLOOKUP(E6635,dicionario!$A$1:$C7034,2,0)</f>
        <v>#N/A</v>
      </c>
      <c r="H6635" s="6" t="str">
        <f>VLOOKUP(E6635,dicionario!$A$1:$C7034,3,0)</f>
        <v>#N/A</v>
      </c>
    </row>
    <row r="6636">
      <c r="A6636" s="3">
        <v>45715.0</v>
      </c>
      <c r="B6636" s="4">
        <v>0.25625</v>
      </c>
      <c r="C6636" s="5" t="s">
        <v>8</v>
      </c>
      <c r="D6636" s="5" t="s">
        <v>1197</v>
      </c>
      <c r="E6636" s="8" t="s">
        <v>286</v>
      </c>
      <c r="F6636" s="5" t="s">
        <v>287</v>
      </c>
      <c r="G6636" s="6" t="str">
        <f>VLOOKUP(E6636,dicionario!$A$1:$C7035,2,0)</f>
        <v>Setaria parviflora</v>
      </c>
      <c r="H6636" s="6" t="str">
        <f>VLOOKUP(E6636,dicionario!$A$1:$C7035,3,0)</f>
        <v>capim-rabo-de-raposa</v>
      </c>
    </row>
    <row r="6637">
      <c r="A6637" s="3">
        <v>45715.0</v>
      </c>
      <c r="B6637" s="4">
        <v>0.25625</v>
      </c>
      <c r="C6637" s="5" t="s">
        <v>8</v>
      </c>
      <c r="D6637" s="5" t="s">
        <v>1197</v>
      </c>
      <c r="E6637" s="8" t="s">
        <v>298</v>
      </c>
      <c r="F6637" s="5" t="s">
        <v>299</v>
      </c>
      <c r="G6637" s="6" t="str">
        <f>VLOOKUP(E6637,dicionario!$A$1:$C7036,2,0)</f>
        <v>Alysicarpus vaginalis</v>
      </c>
      <c r="H6637" s="6" t="str">
        <f>VLOOKUP(E6637,dicionario!$A$1:$C7036,3,0)</f>
        <v/>
      </c>
    </row>
    <row r="6638">
      <c r="A6638" s="3">
        <v>45715.0</v>
      </c>
      <c r="B6638" s="4">
        <v>0.25625</v>
      </c>
      <c r="C6638" s="5" t="s">
        <v>8</v>
      </c>
      <c r="D6638" s="5" t="s">
        <v>1197</v>
      </c>
      <c r="E6638" s="8" t="s">
        <v>483</v>
      </c>
      <c r="F6638" s="5" t="s">
        <v>484</v>
      </c>
      <c r="G6638" s="6" t="str">
        <f>VLOOKUP(E6638,dicionario!$A$1:$C7037,2,0)</f>
        <v>Euphorbia prostrata</v>
      </c>
      <c r="H6638" s="6" t="str">
        <f>VLOOKUP(E6638,dicionario!$A$1:$C7037,3,0)</f>
        <v>quebra-pedra-rasteira</v>
      </c>
    </row>
    <row r="6639">
      <c r="A6639" s="3">
        <v>45715.0</v>
      </c>
      <c r="B6639" s="4">
        <v>0.25625</v>
      </c>
      <c r="C6639" s="5" t="s">
        <v>8</v>
      </c>
      <c r="D6639" s="5" t="s">
        <v>1197</v>
      </c>
      <c r="E6639" s="8" t="s">
        <v>935</v>
      </c>
      <c r="F6639" s="5" t="s">
        <v>936</v>
      </c>
      <c r="G6639" s="6" t="str">
        <f>VLOOKUP(E6639,dicionario!$A$1:$C7038,2,0)</f>
        <v>#N/A</v>
      </c>
      <c r="H6639" s="6" t="str">
        <f>VLOOKUP(E6639,dicionario!$A$1:$C7038,3,0)</f>
        <v>#N/A</v>
      </c>
    </row>
    <row r="6640">
      <c r="A6640" s="3">
        <v>45715.0</v>
      </c>
      <c r="B6640" s="4">
        <v>0.25625</v>
      </c>
      <c r="C6640" s="5" t="s">
        <v>8</v>
      </c>
      <c r="D6640" s="5" t="s">
        <v>1197</v>
      </c>
      <c r="E6640" s="8" t="s">
        <v>712</v>
      </c>
      <c r="F6640" s="5" t="s">
        <v>718</v>
      </c>
      <c r="G6640" s="6" t="str">
        <f>VLOOKUP(E6640,dicionario!$A$1:$C7039,2,0)</f>
        <v>Flavopunctelia soredica</v>
      </c>
      <c r="H6640" s="6" t="str">
        <f>VLOOKUP(E6640,dicionario!$A$1:$C7039,3,0)</f>
        <v>líquen-folioso</v>
      </c>
    </row>
    <row r="6641">
      <c r="A6641" s="3">
        <v>45715.0</v>
      </c>
      <c r="B6641" s="4">
        <v>0.25625</v>
      </c>
      <c r="C6641" s="5" t="s">
        <v>8</v>
      </c>
      <c r="D6641" s="5" t="s">
        <v>1197</v>
      </c>
      <c r="E6641" s="8" t="s">
        <v>719</v>
      </c>
      <c r="F6641" s="5" t="s">
        <v>720</v>
      </c>
      <c r="G6641" s="6" t="str">
        <f>VLOOKUP(E6641,dicionario!$A$1:$C7040,2,0)</f>
        <v>Dirinaria</v>
      </c>
      <c r="H6641" s="6" t="str">
        <f>VLOOKUP(E6641,dicionario!$A$1:$C7040,3,0)</f>
        <v>líquen-crostoso</v>
      </c>
    </row>
    <row r="6642">
      <c r="A6642" s="3">
        <v>45715.0</v>
      </c>
      <c r="B6642" s="4">
        <v>0.25625</v>
      </c>
      <c r="C6642" s="5" t="s">
        <v>8</v>
      </c>
      <c r="D6642" s="5" t="s">
        <v>1197</v>
      </c>
      <c r="E6642" s="8" t="s">
        <v>107</v>
      </c>
      <c r="F6642" s="5" t="s">
        <v>108</v>
      </c>
      <c r="G6642" s="6" t="str">
        <f>VLOOKUP(E6642,dicionario!$A$1:$C7041,2,0)</f>
        <v>Ramalina complanata</v>
      </c>
      <c r="H6642" s="6" t="str">
        <f>VLOOKUP(E6642,dicionario!$A$1:$C7041,3,0)</f>
        <v>ramalina</v>
      </c>
    </row>
    <row r="6643">
      <c r="A6643" s="3">
        <v>45715.0</v>
      </c>
      <c r="B6643" s="4">
        <v>0.2569444444444444</v>
      </c>
      <c r="C6643" s="5" t="s">
        <v>8</v>
      </c>
      <c r="D6643" s="5" t="s">
        <v>1197</v>
      </c>
      <c r="E6643" s="8" t="s">
        <v>247</v>
      </c>
      <c r="F6643" s="5" t="s">
        <v>387</v>
      </c>
      <c r="G6643" s="6" t="str">
        <f>VLOOKUP(E6643,dicionario!$A$1:$C7042,2,0)</f>
        <v>Emilia sonchifolia</v>
      </c>
      <c r="H6643" s="6" t="str">
        <f>VLOOKUP(E6643,dicionario!$A$1:$C7042,3,0)</f>
        <v>serralinha</v>
      </c>
    </row>
    <row r="6644">
      <c r="A6644" s="3">
        <v>45715.0</v>
      </c>
      <c r="B6644" s="4">
        <v>0.2569444444444444</v>
      </c>
      <c r="C6644" s="5" t="s">
        <v>8</v>
      </c>
      <c r="D6644" s="5" t="s">
        <v>1197</v>
      </c>
      <c r="E6644" s="8" t="s">
        <v>223</v>
      </c>
      <c r="F6644" s="5" t="s">
        <v>224</v>
      </c>
      <c r="G6644" s="6" t="str">
        <f>VLOOKUP(E6644,dicionario!$A$1:$C7043,2,0)</f>
        <v>Rhipsalis lindbergiana</v>
      </c>
      <c r="H6644" s="6" t="str">
        <f>VLOOKUP(E6644,dicionario!$A$1:$C7043,3,0)</f>
        <v>cacto-macarrão</v>
      </c>
    </row>
    <row r="6645">
      <c r="A6645" s="3">
        <v>45715.0</v>
      </c>
      <c r="B6645" s="4">
        <v>0.2569444444444444</v>
      </c>
      <c r="C6645" s="5" t="s">
        <v>8</v>
      </c>
      <c r="D6645" s="5" t="s">
        <v>1197</v>
      </c>
      <c r="E6645" s="8" t="s">
        <v>1198</v>
      </c>
      <c r="F6645" s="5" t="s">
        <v>1199</v>
      </c>
      <c r="G6645" s="6" t="str">
        <f>VLOOKUP(E6645,dicionario!$A$1:$C7044,2,0)</f>
        <v>#N/A</v>
      </c>
      <c r="H6645" s="6" t="str">
        <f>VLOOKUP(E6645,dicionario!$A$1:$C7044,3,0)</f>
        <v>#N/A</v>
      </c>
    </row>
    <row r="6646">
      <c r="A6646" s="3">
        <v>45715.0</v>
      </c>
      <c r="B6646" s="4">
        <v>0.2569444444444444</v>
      </c>
      <c r="C6646" s="5" t="s">
        <v>8</v>
      </c>
      <c r="D6646" s="5" t="s">
        <v>1197</v>
      </c>
      <c r="E6646" s="8" t="s">
        <v>109</v>
      </c>
      <c r="F6646" s="5" t="s">
        <v>110</v>
      </c>
      <c r="G6646" s="6" t="str">
        <f>VLOOKUP(E6646,dicionario!$A$1:$C7045,2,0)</f>
        <v>Tillandsia stricta</v>
      </c>
      <c r="H6646" s="6" t="str">
        <f>VLOOKUP(E6646,dicionario!$A$1:$C7045,3,0)</f>
        <v>cravo-do-mato</v>
      </c>
    </row>
    <row r="6647">
      <c r="A6647" s="3">
        <v>45715.0</v>
      </c>
      <c r="B6647" s="4">
        <v>0.2569444444444444</v>
      </c>
      <c r="C6647" s="5" t="s">
        <v>8</v>
      </c>
      <c r="D6647" s="5" t="s">
        <v>1197</v>
      </c>
      <c r="E6647" s="6" t="s">
        <v>253</v>
      </c>
      <c r="F6647" s="5" t="s">
        <v>254</v>
      </c>
      <c r="G6647" s="6" t="str">
        <f>VLOOKUP(E6647,dicionario!$A$1:$C7046,2,0)</f>
        <v>Panicum maximum</v>
      </c>
      <c r="H6647" s="6" t="str">
        <f>VLOOKUP(E6647,dicionario!$A$1:$C7046,3,0)</f>
        <v>capim-colonião</v>
      </c>
    </row>
    <row r="6648">
      <c r="A6648" s="3">
        <v>45715.0</v>
      </c>
      <c r="B6648" s="4">
        <v>0.25763888888888886</v>
      </c>
      <c r="C6648" s="5" t="s">
        <v>8</v>
      </c>
      <c r="D6648" s="5" t="s">
        <v>1197</v>
      </c>
      <c r="E6648" s="8" t="s">
        <v>302</v>
      </c>
      <c r="F6648" s="5" t="s">
        <v>89</v>
      </c>
      <c r="G6648" s="6" t="str">
        <f>VLOOKUP(E6648,dicionario!$A$1:$C7047,2,0)</f>
        <v>Machetornis rixosa</v>
      </c>
      <c r="H6648" s="6" t="str">
        <f>VLOOKUP(E6648,dicionario!$A$1:$C7047,3,0)</f>
        <v>suiriri-cavaleiro</v>
      </c>
    </row>
    <row r="6649">
      <c r="A6649" s="3">
        <v>45715.0</v>
      </c>
      <c r="B6649" s="4">
        <v>0.25763888888888886</v>
      </c>
      <c r="C6649" s="5" t="s">
        <v>8</v>
      </c>
      <c r="D6649" s="5" t="s">
        <v>1197</v>
      </c>
      <c r="E6649" s="6" t="s">
        <v>467</v>
      </c>
      <c r="F6649" s="5" t="s">
        <v>468</v>
      </c>
      <c r="G6649" s="6" t="str">
        <f>VLOOKUP(E6649,dicionario!$A$1:$C7048,2,0)</f>
        <v>Eleusine indica</v>
      </c>
      <c r="H6649" s="6" t="str">
        <f>VLOOKUP(E6649,dicionario!$A$1:$C7048,3,0)</f>
        <v>capim-pé-de-galinha</v>
      </c>
    </row>
    <row r="6650">
      <c r="A6650" s="3">
        <v>45715.0</v>
      </c>
      <c r="B6650" s="4">
        <v>0.25763888888888886</v>
      </c>
      <c r="C6650" s="5" t="s">
        <v>8</v>
      </c>
      <c r="D6650" s="5" t="s">
        <v>1197</v>
      </c>
      <c r="E6650" s="8" t="s">
        <v>353</v>
      </c>
      <c r="F6650" s="5" t="s">
        <v>354</v>
      </c>
      <c r="G6650" s="6" t="str">
        <f>VLOOKUP(E6650,dicionario!$A$1:$C7049,2,0)</f>
        <v>Desmodium incanum</v>
      </c>
      <c r="H6650" s="6" t="str">
        <f>VLOOKUP(E6650,dicionario!$A$1:$C7049,3,0)</f>
        <v>pega-pega</v>
      </c>
    </row>
    <row r="6651">
      <c r="A6651" s="3">
        <v>45715.0</v>
      </c>
      <c r="B6651" s="4">
        <v>0.25763888888888886</v>
      </c>
      <c r="C6651" s="5" t="s">
        <v>8</v>
      </c>
      <c r="D6651" s="5" t="s">
        <v>1197</v>
      </c>
      <c r="E6651" s="8" t="s">
        <v>934</v>
      </c>
      <c r="F6651" s="5" t="s">
        <v>414</v>
      </c>
      <c r="G6651" s="6" t="str">
        <f>VLOOKUP(E6651,dicionario!$A$1:$C7050,2,0)</f>
        <v>#N/A</v>
      </c>
      <c r="H6651" s="6" t="str">
        <f>VLOOKUP(E6651,dicionario!$A$1:$C7050,3,0)</f>
        <v>#N/A</v>
      </c>
    </row>
    <row r="6652">
      <c r="A6652" s="3">
        <v>45715.0</v>
      </c>
      <c r="B6652" s="4">
        <v>0.25833333333333336</v>
      </c>
      <c r="C6652" s="5" t="s">
        <v>8</v>
      </c>
      <c r="D6652" s="5" t="s">
        <v>1197</v>
      </c>
      <c r="E6652" s="8" t="s">
        <v>909</v>
      </c>
      <c r="F6652" s="5" t="s">
        <v>910</v>
      </c>
      <c r="G6652" s="6" t="str">
        <f>VLOOKUP(E6652,dicionario!$A$1:$C7051,2,0)</f>
        <v>Chordeiles acutipennis</v>
      </c>
      <c r="H6652" s="6" t="str">
        <f>VLOOKUP(E6652,dicionario!$A$1:$C7051,3,0)</f>
        <v>bacurau-de-asa-fina</v>
      </c>
    </row>
    <row r="6653">
      <c r="A6653" s="3">
        <v>45715.0</v>
      </c>
      <c r="B6653" s="4">
        <v>0.25833333333333336</v>
      </c>
      <c r="C6653" s="5" t="s">
        <v>8</v>
      </c>
      <c r="D6653" s="5" t="s">
        <v>1197</v>
      </c>
      <c r="E6653" s="8" t="s">
        <v>69</v>
      </c>
      <c r="F6653" s="7" t="s">
        <v>71</v>
      </c>
      <c r="G6653" s="6" t="str">
        <f>VLOOKUP(E6653,dicionario!$A$1:$C7052,2,0)</f>
        <v>Talinum fruticosum</v>
      </c>
      <c r="H6653" s="6" t="str">
        <f>VLOOKUP(E6653,dicionario!$A$1:$C7052,3,0)</f>
        <v>beldroega-grande</v>
      </c>
    </row>
    <row r="6654">
      <c r="A6654" s="3">
        <v>45715.0</v>
      </c>
      <c r="B6654" s="4">
        <v>0.2590277777777778</v>
      </c>
      <c r="C6654" s="5" t="s">
        <v>8</v>
      </c>
      <c r="D6654" s="5" t="s">
        <v>1197</v>
      </c>
      <c r="E6654" s="8" t="s">
        <v>738</v>
      </c>
      <c r="F6654" s="5" t="s">
        <v>1019</v>
      </c>
      <c r="G6654" s="6" t="str">
        <f>VLOOKUP(E6654,dicionario!$A$1:$C7053,2,0)</f>
        <v>Portulaca</v>
      </c>
      <c r="H6654" s="6" t="str">
        <f>VLOOKUP(E6654,dicionario!$A$1:$C7053,3,0)</f>
        <v/>
      </c>
    </row>
    <row r="6655">
      <c r="A6655" s="3">
        <v>45715.0</v>
      </c>
      <c r="B6655" s="4">
        <v>0.2590277777777778</v>
      </c>
      <c r="C6655" s="5" t="s">
        <v>8</v>
      </c>
      <c r="D6655" s="5" t="s">
        <v>1197</v>
      </c>
      <c r="E6655" s="8" t="s">
        <v>135</v>
      </c>
      <c r="F6655" s="5" t="s">
        <v>136</v>
      </c>
      <c r="G6655" s="6" t="str">
        <f>VLOOKUP(E6655,dicionario!$A$1:$C7054,2,0)</f>
        <v>Tridax procumbens</v>
      </c>
      <c r="H6655" s="6" t="str">
        <f>VLOOKUP(E6655,dicionario!$A$1:$C7054,3,0)</f>
        <v>erva-de-touro</v>
      </c>
    </row>
    <row r="6656">
      <c r="A6656" s="3">
        <v>45715.0</v>
      </c>
      <c r="B6656" s="4">
        <v>0.25972222222222224</v>
      </c>
      <c r="C6656" s="5" t="s">
        <v>8</v>
      </c>
      <c r="D6656" s="5" t="s">
        <v>1197</v>
      </c>
      <c r="E6656" s="8" t="s">
        <v>247</v>
      </c>
      <c r="F6656" s="7" t="s">
        <v>272</v>
      </c>
      <c r="G6656" s="6" t="str">
        <f>VLOOKUP(E6656,dicionario!$A$1:$C7055,2,0)</f>
        <v>Emilia sonchifolia</v>
      </c>
      <c r="H6656" s="6" t="str">
        <f>VLOOKUP(E6656,dicionario!$A$1:$C7055,3,0)</f>
        <v>serralinha</v>
      </c>
    </row>
    <row r="6657">
      <c r="A6657" s="3">
        <v>45715.0</v>
      </c>
      <c r="B6657" s="4">
        <v>0.2604166666666667</v>
      </c>
      <c r="C6657" s="5" t="s">
        <v>8</v>
      </c>
      <c r="D6657" s="5" t="s">
        <v>1197</v>
      </c>
      <c r="E6657" s="8" t="s">
        <v>227</v>
      </c>
      <c r="F6657" s="5" t="s">
        <v>228</v>
      </c>
      <c r="G6657" s="6" t="str">
        <f>VLOOKUP(E6657,dicionario!$A$1:$C7056,2,0)</f>
        <v>Indigofera hirsuta</v>
      </c>
      <c r="H6657" s="6" t="str">
        <f>VLOOKUP(E6657,dicionario!$A$1:$C7056,3,0)</f>
        <v>anileira</v>
      </c>
    </row>
    <row r="6658">
      <c r="A6658" s="3">
        <v>45715.0</v>
      </c>
      <c r="B6658" s="4">
        <v>0.2604166666666667</v>
      </c>
      <c r="C6658" s="5" t="s">
        <v>8</v>
      </c>
      <c r="D6658" s="5" t="s">
        <v>1197</v>
      </c>
      <c r="E6658" s="8" t="s">
        <v>53</v>
      </c>
      <c r="F6658" s="7" t="s">
        <v>54</v>
      </c>
      <c r="G6658" s="6" t="str">
        <f>VLOOKUP(E6658,dicionario!$A$1:$C7057,2,0)</f>
        <v>Turnera subulata</v>
      </c>
      <c r="H6658" s="6" t="str">
        <f>VLOOKUP(E6658,dicionario!$A$1:$C7057,3,0)</f>
        <v>xanana</v>
      </c>
    </row>
    <row r="6659">
      <c r="A6659" s="3">
        <v>45715.0</v>
      </c>
      <c r="B6659" s="4">
        <v>0.2611111111111111</v>
      </c>
      <c r="C6659" s="5" t="s">
        <v>8</v>
      </c>
      <c r="D6659" s="5" t="s">
        <v>1197</v>
      </c>
      <c r="E6659" s="8" t="s">
        <v>65</v>
      </c>
      <c r="F6659" s="5" t="s">
        <v>66</v>
      </c>
      <c r="G6659" s="6" t="str">
        <f>VLOOKUP(E6659,dicionario!$A$1:$C7058,2,0)</f>
        <v>Pitangus sulphutarus</v>
      </c>
      <c r="H6659" s="6" t="str">
        <f>VLOOKUP(E6659,dicionario!$A$1:$C7058,3,0)</f>
        <v>bem-te-vi</v>
      </c>
    </row>
    <row r="6660">
      <c r="A6660" s="3">
        <v>45715.0</v>
      </c>
      <c r="B6660" s="4">
        <v>0.2611111111111111</v>
      </c>
      <c r="C6660" s="5" t="s">
        <v>8</v>
      </c>
      <c r="D6660" s="5" t="s">
        <v>1197</v>
      </c>
      <c r="E6660" s="8" t="s">
        <v>489</v>
      </c>
      <c r="F6660" s="5" t="s">
        <v>521</v>
      </c>
      <c r="G6660" s="6" t="str">
        <f>VLOOKUP(E6660,dicionario!$A$1:$C7059,2,0)</f>
        <v>Cenchrus echinatus</v>
      </c>
      <c r="H6660" s="6" t="str">
        <f>VLOOKUP(E6660,dicionario!$A$1:$C7059,3,0)</f>
        <v>capim-carrapicho</v>
      </c>
    </row>
    <row r="6661">
      <c r="A6661" s="3">
        <v>45715.0</v>
      </c>
      <c r="B6661" s="4">
        <v>0.2611111111111111</v>
      </c>
      <c r="C6661" s="5" t="s">
        <v>8</v>
      </c>
      <c r="D6661" s="5" t="s">
        <v>1197</v>
      </c>
      <c r="E6661" s="6" t="s">
        <v>146</v>
      </c>
      <c r="F6661" s="5" t="s">
        <v>147</v>
      </c>
      <c r="G6661" s="6" t="str">
        <f>VLOOKUP(E6661,dicionario!$A$1:$C7060,2,0)</f>
        <v>Euphorbia hirta</v>
      </c>
      <c r="H6661" s="6" t="str">
        <f>VLOOKUP(E6661,dicionario!$A$1:$C7060,3,0)</f>
        <v>erva-de-santa-luzia</v>
      </c>
    </row>
    <row r="6662">
      <c r="A6662" s="3">
        <v>45715.0</v>
      </c>
      <c r="B6662" s="4">
        <v>0.26180555555555557</v>
      </c>
      <c r="C6662" s="5" t="s">
        <v>8</v>
      </c>
      <c r="D6662" s="5" t="s">
        <v>1197</v>
      </c>
      <c r="E6662" s="8" t="s">
        <v>225</v>
      </c>
      <c r="F6662" s="5" t="s">
        <v>226</v>
      </c>
      <c r="G6662" s="6" t="str">
        <f>VLOOKUP(E6662,dicionario!$A$1:$C7061,2,0)</f>
        <v>Passer domesticus</v>
      </c>
      <c r="H6662" s="6" t="str">
        <f>VLOOKUP(E6662,dicionario!$A$1:$C7061,3,0)</f>
        <v>pardal</v>
      </c>
    </row>
    <row r="6663">
      <c r="A6663" s="3">
        <v>45715.0</v>
      </c>
      <c r="B6663" s="4">
        <v>0.26180555555555557</v>
      </c>
      <c r="C6663" s="5" t="s">
        <v>8</v>
      </c>
      <c r="D6663" s="5" t="s">
        <v>1197</v>
      </c>
      <c r="E6663" s="6" t="s">
        <v>113</v>
      </c>
      <c r="F6663" s="5" t="s">
        <v>114</v>
      </c>
      <c r="G6663" s="6" t="str">
        <f>VLOOKUP(E6663,dicionario!$A$1:$C7062,2,0)</f>
        <v>Columbina talpacoti</v>
      </c>
      <c r="H6663" s="6" t="str">
        <f>VLOOKUP(E6663,dicionario!$A$1:$C7062,3,0)</f>
        <v>rolinha-roxa</v>
      </c>
    </row>
    <row r="6664">
      <c r="A6664" s="3">
        <v>45715.0</v>
      </c>
      <c r="B6664" s="4">
        <v>0.26180555555555557</v>
      </c>
      <c r="C6664" s="5" t="s">
        <v>8</v>
      </c>
      <c r="D6664" s="5" t="s">
        <v>1197</v>
      </c>
      <c r="E6664" s="8" t="s">
        <v>355</v>
      </c>
      <c r="F6664" s="5" t="s">
        <v>356</v>
      </c>
      <c r="G6664" s="6" t="str">
        <f>VLOOKUP(E6664,dicionario!$A$1:$C7063,2,0)</f>
        <v>Boerhavia diffusa</v>
      </c>
      <c r="H6664" s="6" t="str">
        <f>VLOOKUP(E6664,dicionario!$A$1:$C7063,3,0)</f>
        <v>erva-tostão</v>
      </c>
    </row>
    <row r="6665">
      <c r="A6665" s="3">
        <v>45715.0</v>
      </c>
      <c r="B6665" s="4">
        <v>0.26180555555555557</v>
      </c>
      <c r="C6665" s="5" t="s">
        <v>8</v>
      </c>
      <c r="D6665" s="5" t="s">
        <v>1197</v>
      </c>
      <c r="E6665" s="8" t="s">
        <v>1008</v>
      </c>
      <c r="F6665" s="5" t="s">
        <v>1013</v>
      </c>
      <c r="G6665" s="6" t="str">
        <f>VLOOKUP(E6665,dicionario!$A$1:$C7064,2,0)</f>
        <v>Syntermes molestus</v>
      </c>
      <c r="H6665" s="6" t="str">
        <f>VLOOKUP(E6665,dicionario!$A$1:$C7064,3,0)</f>
        <v>cupim-bate-cabeça</v>
      </c>
    </row>
    <row r="6666">
      <c r="A6666" s="3">
        <v>45715.0</v>
      </c>
      <c r="B6666" s="4">
        <v>0.26180555555555557</v>
      </c>
      <c r="C6666" s="5" t="s">
        <v>8</v>
      </c>
      <c r="D6666" s="5" t="s">
        <v>1197</v>
      </c>
      <c r="E6666" s="8" t="s">
        <v>14</v>
      </c>
      <c r="F6666" s="5" t="s">
        <v>15</v>
      </c>
      <c r="G6666" s="6" t="str">
        <f>VLOOKUP(E6666,dicionario!$A$1:$C7065,2,0)</f>
        <v>Spermacoce verticillata</v>
      </c>
      <c r="H6666" s="6" t="str">
        <f>VLOOKUP(E6666,dicionario!$A$1:$C7065,3,0)</f>
        <v>vassourinha-de-botão</v>
      </c>
    </row>
    <row r="6667">
      <c r="A6667" s="3">
        <v>45715.0</v>
      </c>
      <c r="B6667" s="4">
        <v>0.2625</v>
      </c>
      <c r="C6667" s="5" t="s">
        <v>8</v>
      </c>
      <c r="D6667" s="5" t="s">
        <v>1197</v>
      </c>
      <c r="E6667" s="8" t="s">
        <v>144</v>
      </c>
      <c r="F6667" s="5" t="s">
        <v>145</v>
      </c>
      <c r="G6667" s="6" t="str">
        <f>VLOOKUP(E6667,dicionario!$A$1:$C7066,2,0)</f>
        <v>Gomphrena globosa</v>
      </c>
      <c r="H6667" s="6" t="str">
        <f>VLOOKUP(E6667,dicionario!$A$1:$C7066,3,0)</f>
        <v>perpétua-rosa</v>
      </c>
    </row>
    <row r="6668">
      <c r="A6668" s="3">
        <v>45715.0</v>
      </c>
      <c r="B6668" s="4">
        <v>0.2625</v>
      </c>
      <c r="C6668" s="5" t="s">
        <v>8</v>
      </c>
      <c r="D6668" s="5" t="s">
        <v>1197</v>
      </c>
      <c r="E6668" s="8" t="s">
        <v>239</v>
      </c>
      <c r="F6668" s="5" t="s">
        <v>240</v>
      </c>
      <c r="G6668" s="6" t="str">
        <f>VLOOKUP(E6668,dicionario!$A$1:$C7067,2,0)</f>
        <v>Gomphrena celosioides</v>
      </c>
      <c r="H6668" s="6" t="str">
        <f>VLOOKUP(E6668,dicionario!$A$1:$C7067,3,0)</f>
        <v>perpétua-branca</v>
      </c>
    </row>
    <row r="6669">
      <c r="A6669" s="3">
        <v>45715.0</v>
      </c>
      <c r="B6669" s="4">
        <v>0.26319444444444445</v>
      </c>
      <c r="C6669" s="5" t="s">
        <v>8</v>
      </c>
      <c r="D6669" s="5" t="s">
        <v>1197</v>
      </c>
      <c r="E6669" s="8" t="s">
        <v>86</v>
      </c>
      <c r="F6669" s="5" t="s">
        <v>502</v>
      </c>
      <c r="G6669" s="6" t="str">
        <f>VLOOKUP(E6669,dicionario!$A$1:$C7068,2,0)</f>
        <v>Coereba flaveola</v>
      </c>
      <c r="H6669" s="6" t="str">
        <f>VLOOKUP(E6669,dicionario!$A$1:$C7068,3,0)</f>
        <v>cambacica</v>
      </c>
    </row>
    <row r="6670">
      <c r="A6670" s="3">
        <v>45715.0</v>
      </c>
      <c r="B6670" s="4">
        <v>0.2638888888888889</v>
      </c>
      <c r="C6670" s="5" t="s">
        <v>8</v>
      </c>
      <c r="D6670" s="5" t="s">
        <v>1197</v>
      </c>
      <c r="E6670" s="8" t="s">
        <v>191</v>
      </c>
      <c r="F6670" s="5" t="s">
        <v>192</v>
      </c>
      <c r="G6670" s="6" t="str">
        <f>VLOOKUP(E6670,dicionario!$A$1:$C7069,2,0)</f>
        <v>Patagioenas picazuro</v>
      </c>
      <c r="H6670" s="6" t="str">
        <f>VLOOKUP(E6670,dicionario!$A$1:$C7069,3,0)</f>
        <v>asa-branca; pomba-asa-branca; pocaçu</v>
      </c>
    </row>
    <row r="6671">
      <c r="A6671" s="3">
        <v>45715.0</v>
      </c>
      <c r="B6671" s="4">
        <v>0.2638888888888889</v>
      </c>
      <c r="C6671" s="5" t="s">
        <v>8</v>
      </c>
      <c r="D6671" s="5" t="s">
        <v>1197</v>
      </c>
      <c r="E6671" s="8" t="s">
        <v>360</v>
      </c>
      <c r="F6671" s="7" t="s">
        <v>361</v>
      </c>
      <c r="G6671" s="6" t="str">
        <f>VLOOKUP(E6671,dicionario!$A$1:$C7070,2,0)</f>
        <v>Chamaecrista rotundifolia</v>
      </c>
      <c r="H6671" s="6" t="str">
        <f>VLOOKUP(E6671,dicionario!$A$1:$C7070,3,0)</f>
        <v>alfafa-nativa</v>
      </c>
    </row>
    <row r="6672">
      <c r="A6672" s="3">
        <v>45715.0</v>
      </c>
      <c r="B6672" s="4">
        <v>0.2638888888888889</v>
      </c>
      <c r="C6672" s="5" t="s">
        <v>8</v>
      </c>
      <c r="D6672" s="5" t="s">
        <v>1197</v>
      </c>
      <c r="E6672" s="30" t="s">
        <v>979</v>
      </c>
      <c r="F6672" s="31"/>
      <c r="G6672" s="6" t="str">
        <f>VLOOKUP(E6672,dicionario!$A$1:$C7071,2,0)</f>
        <v>#N/A</v>
      </c>
      <c r="H6672" s="6" t="str">
        <f>VLOOKUP(E6672,dicionario!$A$1:$C7071,3,0)</f>
        <v>#N/A</v>
      </c>
    </row>
    <row r="6673">
      <c r="A6673" s="3">
        <v>45715.0</v>
      </c>
      <c r="B6673" s="4">
        <v>0.26458333333333334</v>
      </c>
      <c r="C6673" s="5" t="s">
        <v>26</v>
      </c>
      <c r="D6673" s="5" t="s">
        <v>1197</v>
      </c>
      <c r="E6673" s="8" t="s">
        <v>41</v>
      </c>
      <c r="F6673" s="5" t="s">
        <v>45</v>
      </c>
      <c r="G6673" s="6" t="str">
        <f>VLOOKUP(E6673,dicionario!$A$1:$C7072,2,0)</f>
        <v>Mimosa pudica</v>
      </c>
      <c r="H6673" s="6" t="str">
        <f>VLOOKUP(E6673,dicionario!$A$1:$C7072,3,0)</f>
        <v>dormideira</v>
      </c>
    </row>
    <row r="6674">
      <c r="A6674" s="3">
        <v>45715.0</v>
      </c>
      <c r="B6674" s="4">
        <v>0.26458333333333334</v>
      </c>
      <c r="C6674" s="5" t="s">
        <v>26</v>
      </c>
      <c r="D6674" s="5" t="s">
        <v>1197</v>
      </c>
      <c r="E6674" s="8" t="s">
        <v>239</v>
      </c>
      <c r="F6674" s="5" t="s">
        <v>240</v>
      </c>
      <c r="G6674" s="6" t="str">
        <f>VLOOKUP(E6674,dicionario!$A$1:$C7073,2,0)</f>
        <v>Gomphrena celosioides</v>
      </c>
      <c r="H6674" s="6" t="str">
        <f>VLOOKUP(E6674,dicionario!$A$1:$C7073,3,0)</f>
        <v>perpétua-branca</v>
      </c>
    </row>
    <row r="6675">
      <c r="A6675" s="3">
        <v>45715.0</v>
      </c>
      <c r="B6675" s="4">
        <v>0.2652777777777778</v>
      </c>
      <c r="C6675" s="5" t="s">
        <v>26</v>
      </c>
      <c r="D6675" s="5" t="s">
        <v>1197</v>
      </c>
      <c r="E6675" s="8" t="s">
        <v>135</v>
      </c>
      <c r="F6675" s="5" t="s">
        <v>136</v>
      </c>
      <c r="G6675" s="6" t="str">
        <f>VLOOKUP(E6675,dicionario!$A$1:$C7074,2,0)</f>
        <v>Tridax procumbens</v>
      </c>
      <c r="H6675" s="6" t="str">
        <f>VLOOKUP(E6675,dicionario!$A$1:$C7074,3,0)</f>
        <v>erva-de-touro</v>
      </c>
    </row>
    <row r="6676">
      <c r="A6676" s="3">
        <v>45715.0</v>
      </c>
      <c r="B6676" s="4">
        <v>0.2652777777777778</v>
      </c>
      <c r="C6676" s="5" t="s">
        <v>26</v>
      </c>
      <c r="D6676" s="5" t="s">
        <v>1197</v>
      </c>
      <c r="E6676" s="8" t="s">
        <v>302</v>
      </c>
      <c r="F6676" s="5" t="s">
        <v>89</v>
      </c>
      <c r="G6676" s="6" t="str">
        <f>VLOOKUP(E6676,dicionario!$A$1:$C7075,2,0)</f>
        <v>Machetornis rixosa</v>
      </c>
      <c r="H6676" s="6" t="str">
        <f>VLOOKUP(E6676,dicionario!$A$1:$C7075,3,0)</f>
        <v>suiriri-cavaleiro</v>
      </c>
    </row>
    <row r="6677">
      <c r="A6677" s="3">
        <v>45715.0</v>
      </c>
      <c r="B6677" s="4">
        <v>0.2652777777777778</v>
      </c>
      <c r="C6677" s="5" t="s">
        <v>26</v>
      </c>
      <c r="D6677" s="5" t="s">
        <v>1197</v>
      </c>
      <c r="E6677" s="6" t="s">
        <v>245</v>
      </c>
      <c r="F6677" s="5" t="s">
        <v>246</v>
      </c>
      <c r="G6677" s="6" t="str">
        <f>VLOOKUP(E6677,dicionario!$A$1:$C7076,2,0)</f>
        <v>Hemiargus hanno</v>
      </c>
      <c r="H6677" s="6" t="str">
        <f>VLOOKUP(E6677,dicionario!$A$1:$C7076,3,0)</f>
        <v>borboleta-azulzinha-do-trevo</v>
      </c>
    </row>
    <row r="6678">
      <c r="A6678" s="3">
        <v>45715.0</v>
      </c>
      <c r="B6678" s="4">
        <v>0.2652777777777778</v>
      </c>
      <c r="C6678" s="5" t="s">
        <v>26</v>
      </c>
      <c r="D6678" s="5" t="s">
        <v>1197</v>
      </c>
      <c r="E6678" s="8" t="s">
        <v>243</v>
      </c>
      <c r="F6678" s="5" t="s">
        <v>244</v>
      </c>
      <c r="G6678" s="6" t="str">
        <f>VLOOKUP(E6678,dicionario!$A$1:$C7077,2,0)</f>
        <v>Macroptilium atropurpureum</v>
      </c>
      <c r="H6678" s="6" t="str">
        <f>VLOOKUP(E6678,dicionario!$A$1:$C7077,3,0)</f>
        <v>feijão-de-pombo</v>
      </c>
    </row>
    <row r="6679">
      <c r="A6679" s="3">
        <v>45715.0</v>
      </c>
      <c r="B6679" s="4">
        <v>0.2652777777777778</v>
      </c>
      <c r="C6679" s="5" t="s">
        <v>26</v>
      </c>
      <c r="D6679" s="5" t="s">
        <v>1197</v>
      </c>
      <c r="E6679" s="8" t="s">
        <v>72</v>
      </c>
      <c r="F6679" s="5" t="s">
        <v>73</v>
      </c>
      <c r="G6679" s="6" t="str">
        <f>VLOOKUP(E6679,dicionario!$A$1:$C7078,2,0)</f>
        <v>Thraupis palmarum</v>
      </c>
      <c r="H6679" s="6" t="str">
        <f>VLOOKUP(E6679,dicionario!$A$1:$C7078,3,0)</f>
        <v>sanhaço-do-coqueiro</v>
      </c>
    </row>
    <row r="6680">
      <c r="A6680" s="3">
        <v>45715.0</v>
      </c>
      <c r="B6680" s="4">
        <v>0.2652777777777778</v>
      </c>
      <c r="C6680" s="5" t="s">
        <v>26</v>
      </c>
      <c r="D6680" s="5" t="s">
        <v>1197</v>
      </c>
      <c r="E6680" s="8" t="s">
        <v>20</v>
      </c>
      <c r="F6680" s="7" t="s">
        <v>21</v>
      </c>
      <c r="G6680" s="6" t="str">
        <f>VLOOKUP(E6680,dicionario!$A$1:$C7079,2,0)</f>
        <v>Sicalis flaveola</v>
      </c>
      <c r="H6680" s="6" t="str">
        <f>VLOOKUP(E6680,dicionario!$A$1:$C7079,3,0)</f>
        <v>canário-da-terra</v>
      </c>
    </row>
    <row r="6681">
      <c r="A6681" s="3">
        <v>45715.0</v>
      </c>
      <c r="B6681" s="4">
        <v>0.2652777777777778</v>
      </c>
      <c r="C6681" s="5" t="s">
        <v>26</v>
      </c>
      <c r="D6681" s="5" t="s">
        <v>1197</v>
      </c>
      <c r="E6681" s="6" t="s">
        <v>334</v>
      </c>
      <c r="F6681" s="5" t="s">
        <v>335</v>
      </c>
      <c r="G6681" s="6" t="str">
        <f>VLOOKUP(E6681,dicionario!$A$1:$C7080,2,0)</f>
        <v>Eupsittula aurea</v>
      </c>
      <c r="H6681" s="6" t="str">
        <f>VLOOKUP(E6681,dicionario!$A$1:$C7080,3,0)</f>
        <v>periquito-rei</v>
      </c>
    </row>
    <row r="6682">
      <c r="A6682" s="3">
        <v>45715.0</v>
      </c>
      <c r="B6682" s="4">
        <v>0.2652777777777778</v>
      </c>
      <c r="C6682" s="5" t="s">
        <v>26</v>
      </c>
      <c r="D6682" s="5" t="s">
        <v>1197</v>
      </c>
      <c r="E6682" s="8" t="s">
        <v>353</v>
      </c>
      <c r="F6682" s="5" t="s">
        <v>354</v>
      </c>
      <c r="G6682" s="6" t="str">
        <f>VLOOKUP(E6682,dicionario!$A$1:$C7081,2,0)</f>
        <v>Desmodium incanum</v>
      </c>
      <c r="H6682" s="6" t="str">
        <f>VLOOKUP(E6682,dicionario!$A$1:$C7081,3,0)</f>
        <v>pega-pega</v>
      </c>
    </row>
    <row r="6683">
      <c r="A6683" s="3">
        <v>45715.0</v>
      </c>
      <c r="B6683" s="4">
        <v>0.2652777777777778</v>
      </c>
      <c r="C6683" s="5" t="s">
        <v>26</v>
      </c>
      <c r="D6683" s="5" t="s">
        <v>1197</v>
      </c>
      <c r="E6683" s="8" t="s">
        <v>915</v>
      </c>
      <c r="F6683" s="5" t="s">
        <v>916</v>
      </c>
      <c r="G6683" s="6" t="str">
        <f>VLOOKUP(E6683,dicionario!$A$1:$C7082,2,0)</f>
        <v>Tachycineta albiventer</v>
      </c>
      <c r="H6683" s="6" t="str">
        <f>VLOOKUP(E6683,dicionario!$A$1:$C7082,3,0)</f>
        <v>andorinha-de-rio</v>
      </c>
    </row>
    <row r="6684">
      <c r="A6684" s="3">
        <v>45715.0</v>
      </c>
      <c r="B6684" s="4">
        <v>0.2659722222222222</v>
      </c>
      <c r="C6684" s="5" t="s">
        <v>26</v>
      </c>
      <c r="D6684" s="5" t="s">
        <v>1197</v>
      </c>
      <c r="E6684" s="8" t="s">
        <v>298</v>
      </c>
      <c r="F6684" s="5" t="s">
        <v>299</v>
      </c>
      <c r="G6684" s="6" t="str">
        <f>VLOOKUP(E6684,dicionario!$A$1:$C7083,2,0)</f>
        <v>Alysicarpus vaginalis</v>
      </c>
      <c r="H6684" s="6" t="str">
        <f>VLOOKUP(E6684,dicionario!$A$1:$C7083,3,0)</f>
        <v/>
      </c>
    </row>
    <row r="6685">
      <c r="A6685" s="3">
        <v>45715.0</v>
      </c>
      <c r="B6685" s="4">
        <v>0.26666666666666666</v>
      </c>
      <c r="C6685" s="5" t="s">
        <v>26</v>
      </c>
      <c r="D6685" s="5" t="s">
        <v>1197</v>
      </c>
      <c r="E6685" s="8" t="s">
        <v>1198</v>
      </c>
      <c r="F6685" s="5" t="s">
        <v>1199</v>
      </c>
      <c r="G6685" s="6" t="str">
        <f>VLOOKUP(E6685,dicionario!$A$1:$C7084,2,0)</f>
        <v>#N/A</v>
      </c>
      <c r="H6685" s="6" t="str">
        <f>VLOOKUP(E6685,dicionario!$A$1:$C7084,3,0)</f>
        <v>#N/A</v>
      </c>
    </row>
    <row r="6686">
      <c r="A6686" s="3">
        <v>45715.0</v>
      </c>
      <c r="B6686" s="4">
        <v>0.2673611111111111</v>
      </c>
      <c r="C6686" s="5" t="s">
        <v>26</v>
      </c>
      <c r="D6686" s="5" t="s">
        <v>1197</v>
      </c>
      <c r="E6686" s="8" t="s">
        <v>163</v>
      </c>
      <c r="F6686" s="5" t="s">
        <v>164</v>
      </c>
      <c r="G6686" s="6" t="str">
        <f>VLOOKUP(E6686,dicionario!$A$1:$C7085,2,0)</f>
        <v>Coragyps atratus</v>
      </c>
      <c r="H6686" s="6" t="str">
        <f>VLOOKUP(E6686,dicionario!$A$1:$C7085,3,0)</f>
        <v>urubu-de-cabeça-preta</v>
      </c>
    </row>
    <row r="6687">
      <c r="A6687" s="3">
        <v>45715.0</v>
      </c>
      <c r="B6687" s="4">
        <v>0.2673611111111111</v>
      </c>
      <c r="C6687" s="5" t="s">
        <v>26</v>
      </c>
      <c r="D6687" s="5" t="s">
        <v>1197</v>
      </c>
      <c r="E6687" s="8" t="s">
        <v>144</v>
      </c>
      <c r="F6687" s="5" t="s">
        <v>145</v>
      </c>
      <c r="G6687" s="6" t="str">
        <f>VLOOKUP(E6687,dicionario!$A$1:$C7086,2,0)</f>
        <v>Gomphrena globosa</v>
      </c>
      <c r="H6687" s="6" t="str">
        <f>VLOOKUP(E6687,dicionario!$A$1:$C7086,3,0)</f>
        <v>perpétua-rosa</v>
      </c>
    </row>
    <row r="6688">
      <c r="A6688" s="3">
        <v>45715.0</v>
      </c>
      <c r="B6688" s="4">
        <v>0.2673611111111111</v>
      </c>
      <c r="C6688" s="5" t="s">
        <v>26</v>
      </c>
      <c r="D6688" s="5" t="s">
        <v>1197</v>
      </c>
      <c r="E6688" s="8" t="s">
        <v>14</v>
      </c>
      <c r="F6688" s="5" t="s">
        <v>15</v>
      </c>
      <c r="G6688" s="6" t="str">
        <f>VLOOKUP(E6688,dicionario!$A$1:$C7087,2,0)</f>
        <v>Spermacoce verticillata</v>
      </c>
      <c r="H6688" s="6" t="str">
        <f>VLOOKUP(E6688,dicionario!$A$1:$C7087,3,0)</f>
        <v>vassourinha-de-botão</v>
      </c>
    </row>
    <row r="6689">
      <c r="A6689" s="3">
        <v>45715.0</v>
      </c>
      <c r="B6689" s="4">
        <v>0.2673611111111111</v>
      </c>
      <c r="C6689" s="5" t="s">
        <v>26</v>
      </c>
      <c r="D6689" s="5" t="s">
        <v>1197</v>
      </c>
      <c r="E6689" s="8" t="s">
        <v>503</v>
      </c>
      <c r="F6689" s="5" t="s">
        <v>414</v>
      </c>
      <c r="G6689" s="6" t="str">
        <f>VLOOKUP(E6689,dicionario!$A$1:$C7088,2,0)</f>
        <v>Orphulella punctata</v>
      </c>
      <c r="H6689" s="6" t="str">
        <f>VLOOKUP(E6689,dicionario!$A$1:$C7088,3,0)</f>
        <v>gafanhotinho</v>
      </c>
    </row>
    <row r="6690">
      <c r="A6690" s="3">
        <v>45715.0</v>
      </c>
      <c r="B6690" s="4">
        <v>0.26805555555555555</v>
      </c>
      <c r="C6690" s="5" t="s">
        <v>26</v>
      </c>
      <c r="D6690" s="5" t="s">
        <v>1197</v>
      </c>
      <c r="E6690" s="8" t="s">
        <v>498</v>
      </c>
      <c r="F6690" s="5" t="s">
        <v>499</v>
      </c>
      <c r="G6690" s="6" t="str">
        <f>VLOOKUP(E6690,dicionario!$A$1:$C7089,2,0)</f>
        <v>Brachiaria decumbens</v>
      </c>
      <c r="H6690" s="6" t="str">
        <f>VLOOKUP(E6690,dicionario!$A$1:$C7089,3,0)</f>
        <v>capim-braquiária</v>
      </c>
    </row>
    <row r="6691">
      <c r="A6691" s="3">
        <v>45715.0</v>
      </c>
      <c r="B6691" s="4">
        <v>0.26875</v>
      </c>
      <c r="C6691" s="5" t="s">
        <v>26</v>
      </c>
      <c r="D6691" s="5" t="s">
        <v>1197</v>
      </c>
      <c r="E6691" s="8" t="s">
        <v>217</v>
      </c>
      <c r="F6691" s="5" t="s">
        <v>218</v>
      </c>
      <c r="G6691" s="6" t="str">
        <f>VLOOKUP(E6691,dicionario!$A$1:$C7090,2,0)</f>
        <v>Athene cunicularia</v>
      </c>
      <c r="H6691" s="6" t="str">
        <f>VLOOKUP(E6691,dicionario!$A$1:$C7090,3,0)</f>
        <v>coruja-buraqueira</v>
      </c>
    </row>
    <row r="6692">
      <c r="A6692" s="3">
        <v>45715.0</v>
      </c>
      <c r="B6692" s="4">
        <v>0.26875</v>
      </c>
      <c r="C6692" s="5" t="s">
        <v>26</v>
      </c>
      <c r="D6692" s="5" t="s">
        <v>1197</v>
      </c>
      <c r="E6692" s="6" t="s">
        <v>253</v>
      </c>
      <c r="F6692" s="5" t="s">
        <v>254</v>
      </c>
      <c r="G6692" s="6" t="str">
        <f>VLOOKUP(E6692,dicionario!$A$1:$C7091,2,0)</f>
        <v>Panicum maximum</v>
      </c>
      <c r="H6692" s="6" t="str">
        <f>VLOOKUP(E6692,dicionario!$A$1:$C7091,3,0)</f>
        <v>capim-colonião</v>
      </c>
    </row>
    <row r="6693">
      <c r="A6693" s="3">
        <v>45715.0</v>
      </c>
      <c r="B6693" s="4">
        <v>0.26944444444444443</v>
      </c>
      <c r="C6693" s="5" t="s">
        <v>26</v>
      </c>
      <c r="D6693" s="5" t="s">
        <v>1197</v>
      </c>
      <c r="E6693" s="8" t="s">
        <v>109</v>
      </c>
      <c r="F6693" s="5" t="s">
        <v>110</v>
      </c>
      <c r="G6693" s="6" t="str">
        <f>VLOOKUP(E6693,dicionario!$A$1:$C7092,2,0)</f>
        <v>Tillandsia stricta</v>
      </c>
      <c r="H6693" s="6" t="str">
        <f>VLOOKUP(E6693,dicionario!$A$1:$C7092,3,0)</f>
        <v>cravo-do-mato</v>
      </c>
    </row>
    <row r="6694">
      <c r="A6694" s="3">
        <v>45715.0</v>
      </c>
      <c r="B6694" s="4">
        <v>0.26944444444444443</v>
      </c>
      <c r="C6694" s="5" t="s">
        <v>26</v>
      </c>
      <c r="D6694" s="5" t="s">
        <v>1197</v>
      </c>
      <c r="E6694" s="8" t="s">
        <v>353</v>
      </c>
      <c r="F6694" s="5" t="s">
        <v>354</v>
      </c>
      <c r="G6694" s="6" t="str">
        <f>VLOOKUP(E6694,dicionario!$A$1:$C7093,2,0)</f>
        <v>Desmodium incanum</v>
      </c>
      <c r="H6694" s="6" t="str">
        <f>VLOOKUP(E6694,dicionario!$A$1:$C7093,3,0)</f>
        <v>pega-pega</v>
      </c>
    </row>
    <row r="6695">
      <c r="A6695" s="3">
        <v>45715.0</v>
      </c>
      <c r="B6695" s="4">
        <v>0.26944444444444443</v>
      </c>
      <c r="C6695" s="5" t="s">
        <v>26</v>
      </c>
      <c r="D6695" s="5" t="s">
        <v>1197</v>
      </c>
      <c r="E6695" s="8" t="s">
        <v>366</v>
      </c>
      <c r="F6695" s="5" t="s">
        <v>367</v>
      </c>
      <c r="G6695" s="6" t="str">
        <f>VLOOKUP(E6695,dicionario!$A$1:$C7094,2,0)</f>
        <v>Alternanthera ficoidea</v>
      </c>
      <c r="H6695" s="6" t="str">
        <f>VLOOKUP(E6695,dicionario!$A$1:$C7094,3,0)</f>
        <v>quebra-panela</v>
      </c>
    </row>
    <row r="6696">
      <c r="A6696" s="3">
        <v>45715.0</v>
      </c>
      <c r="B6696" s="4">
        <v>0.26944444444444443</v>
      </c>
      <c r="C6696" s="5" t="s">
        <v>26</v>
      </c>
      <c r="D6696" s="5" t="s">
        <v>1197</v>
      </c>
      <c r="E6696" s="8" t="s">
        <v>247</v>
      </c>
      <c r="F6696" s="5" t="s">
        <v>387</v>
      </c>
      <c r="G6696" s="6" t="str">
        <f>VLOOKUP(E6696,dicionario!$A$1:$C7095,2,0)</f>
        <v>Emilia sonchifolia</v>
      </c>
      <c r="H6696" s="6" t="str">
        <f>VLOOKUP(E6696,dicionario!$A$1:$C7095,3,0)</f>
        <v>serralinha</v>
      </c>
    </row>
    <row r="6697">
      <c r="A6697" s="3">
        <v>45715.0</v>
      </c>
      <c r="B6697" s="4">
        <v>0.27152777777777776</v>
      </c>
      <c r="C6697" s="5" t="s">
        <v>26</v>
      </c>
      <c r="D6697" s="5" t="s">
        <v>1197</v>
      </c>
      <c r="E6697" s="8" t="s">
        <v>471</v>
      </c>
      <c r="F6697" s="5" t="s">
        <v>472</v>
      </c>
      <c r="G6697" s="6" t="str">
        <f>VLOOKUP(E6697,dicionario!$A$1:$C7096,2,0)</f>
        <v>Sida acuta</v>
      </c>
      <c r="H6697" s="6" t="str">
        <f>VLOOKUP(E6697,dicionario!$A$1:$C7096,3,0)</f>
        <v>reloginho</v>
      </c>
    </row>
    <row r="6698">
      <c r="A6698" s="3">
        <v>45715.0</v>
      </c>
      <c r="B6698" s="4">
        <v>0.27152777777777776</v>
      </c>
      <c r="C6698" s="5" t="s">
        <v>26</v>
      </c>
      <c r="D6698" s="5" t="s">
        <v>1197</v>
      </c>
      <c r="E6698" s="8" t="s">
        <v>53</v>
      </c>
      <c r="F6698" s="7" t="s">
        <v>54</v>
      </c>
      <c r="G6698" s="6" t="str">
        <f>VLOOKUP(E6698,dicionario!$A$1:$C7097,2,0)</f>
        <v>Turnera subulata</v>
      </c>
      <c r="H6698" s="6" t="str">
        <f>VLOOKUP(E6698,dicionario!$A$1:$C7097,3,0)</f>
        <v>xanana</v>
      </c>
    </row>
    <row r="6699">
      <c r="A6699" s="3">
        <v>45715.0</v>
      </c>
      <c r="B6699" s="4">
        <v>0.27152777777777776</v>
      </c>
      <c r="C6699" s="5" t="s">
        <v>26</v>
      </c>
      <c r="D6699" s="5" t="s">
        <v>1197</v>
      </c>
      <c r="E6699" s="8" t="s">
        <v>247</v>
      </c>
      <c r="F6699" s="7" t="s">
        <v>272</v>
      </c>
      <c r="G6699" s="6" t="str">
        <f>VLOOKUP(E6699,dicionario!$A$1:$C7098,2,0)</f>
        <v>Emilia sonchifolia</v>
      </c>
      <c r="H6699" s="6" t="str">
        <f>VLOOKUP(E6699,dicionario!$A$1:$C7098,3,0)</f>
        <v>serralinha</v>
      </c>
    </row>
    <row r="6700">
      <c r="A6700" s="3">
        <v>45715.0</v>
      </c>
      <c r="B6700" s="4">
        <v>0.27152777777777776</v>
      </c>
      <c r="C6700" s="5" t="s">
        <v>26</v>
      </c>
      <c r="D6700" s="5" t="s">
        <v>1197</v>
      </c>
      <c r="E6700" s="8" t="s">
        <v>41</v>
      </c>
      <c r="F6700" s="5" t="s">
        <v>45</v>
      </c>
      <c r="G6700" s="6" t="str">
        <f>VLOOKUP(E6700,dicionario!$A$1:$C7099,2,0)</f>
        <v>Mimosa pudica</v>
      </c>
      <c r="H6700" s="6" t="str">
        <f>VLOOKUP(E6700,dicionario!$A$1:$C7099,3,0)</f>
        <v>dormideira</v>
      </c>
    </row>
    <row r="6701">
      <c r="A6701" s="3">
        <v>45715.0</v>
      </c>
      <c r="B6701" s="4">
        <v>0.2722222222222222</v>
      </c>
      <c r="C6701" s="5" t="s">
        <v>26</v>
      </c>
      <c r="D6701" s="5" t="s">
        <v>1197</v>
      </c>
      <c r="E6701" s="8" t="s">
        <v>227</v>
      </c>
      <c r="F6701" s="5" t="s">
        <v>228</v>
      </c>
      <c r="G6701" s="6" t="str">
        <f>VLOOKUP(E6701,dicionario!$A$1:$C7100,2,0)</f>
        <v>Indigofera hirsuta</v>
      </c>
      <c r="H6701" s="6" t="str">
        <f>VLOOKUP(E6701,dicionario!$A$1:$C7100,3,0)</f>
        <v>anileira</v>
      </c>
    </row>
    <row r="6702">
      <c r="A6702" s="3">
        <v>45715.0</v>
      </c>
      <c r="B6702" s="4">
        <v>0.2722222222222222</v>
      </c>
      <c r="C6702" s="5" t="s">
        <v>26</v>
      </c>
      <c r="D6702" s="5" t="s">
        <v>1197</v>
      </c>
      <c r="E6702" s="6" t="s">
        <v>450</v>
      </c>
      <c r="F6702" s="5" t="s">
        <v>921</v>
      </c>
      <c r="G6702" s="6" t="str">
        <f>VLOOKUP(E6702,dicionario!$A$1:$C7101,2,0)</f>
        <v>#N/A</v>
      </c>
      <c r="H6702" s="6" t="str">
        <f>VLOOKUP(E6702,dicionario!$A$1:$C7101,3,0)</f>
        <v>#N/A</v>
      </c>
    </row>
    <row r="6703">
      <c r="A6703" s="3">
        <v>45715.0</v>
      </c>
      <c r="B6703" s="4">
        <v>0.27361111111111114</v>
      </c>
      <c r="C6703" s="5" t="s">
        <v>33</v>
      </c>
      <c r="D6703" s="5" t="s">
        <v>1197</v>
      </c>
      <c r="E6703" s="8" t="s">
        <v>296</v>
      </c>
      <c r="F6703" s="5" t="s">
        <v>297</v>
      </c>
      <c r="G6703" s="6" t="str">
        <f>VLOOKUP(E6703,dicionario!$A$1:$C7102,2,0)</f>
        <v>Richardia brasiliensis</v>
      </c>
      <c r="H6703" s="6" t="str">
        <f>VLOOKUP(E6703,dicionario!$A$1:$C7102,3,0)</f>
        <v>poaia-branca</v>
      </c>
    </row>
    <row r="6704">
      <c r="A6704" s="3">
        <v>45715.0</v>
      </c>
      <c r="B6704" s="4">
        <v>0.27361111111111114</v>
      </c>
      <c r="C6704" s="5" t="s">
        <v>33</v>
      </c>
      <c r="D6704" s="5" t="s">
        <v>1197</v>
      </c>
      <c r="E6704" s="8" t="s">
        <v>483</v>
      </c>
      <c r="F6704" s="5" t="s">
        <v>289</v>
      </c>
      <c r="G6704" s="6" t="str">
        <f>VLOOKUP(E6704,dicionario!$A$1:$C7103,2,0)</f>
        <v>Euphorbia prostrata</v>
      </c>
      <c r="H6704" s="6" t="str">
        <f>VLOOKUP(E6704,dicionario!$A$1:$C7103,3,0)</f>
        <v>quebra-pedra-rasteira</v>
      </c>
    </row>
    <row r="6705">
      <c r="A6705" s="3">
        <v>45715.0</v>
      </c>
      <c r="B6705" s="4">
        <v>0.27361111111111114</v>
      </c>
      <c r="C6705" s="5" t="s">
        <v>33</v>
      </c>
      <c r="D6705" s="5" t="s">
        <v>1197</v>
      </c>
      <c r="E6705" s="8" t="s">
        <v>247</v>
      </c>
      <c r="F6705" s="7" t="s">
        <v>272</v>
      </c>
      <c r="G6705" s="6" t="str">
        <f>VLOOKUP(E6705,dicionario!$A$1:$C7104,2,0)</f>
        <v>Emilia sonchifolia</v>
      </c>
      <c r="H6705" s="6" t="str">
        <f>VLOOKUP(E6705,dicionario!$A$1:$C7104,3,0)</f>
        <v>serralinha</v>
      </c>
    </row>
    <row r="6706">
      <c r="A6706" s="3">
        <v>45715.0</v>
      </c>
      <c r="B6706" s="4">
        <v>0.27361111111111114</v>
      </c>
      <c r="C6706" s="5" t="s">
        <v>33</v>
      </c>
      <c r="D6706" s="5" t="s">
        <v>1197</v>
      </c>
      <c r="E6706" s="8" t="s">
        <v>86</v>
      </c>
      <c r="F6706" s="5" t="s">
        <v>502</v>
      </c>
      <c r="G6706" s="6" t="str">
        <f>VLOOKUP(E6706,dicionario!$A$1:$C7105,2,0)</f>
        <v>Coereba flaveola</v>
      </c>
      <c r="H6706" s="6" t="str">
        <f>VLOOKUP(E6706,dicionario!$A$1:$C7105,3,0)</f>
        <v>cambacica</v>
      </c>
    </row>
    <row r="6707">
      <c r="A6707" s="3">
        <v>45715.0</v>
      </c>
      <c r="B6707" s="4">
        <v>0.27361111111111114</v>
      </c>
      <c r="C6707" s="5" t="s">
        <v>33</v>
      </c>
      <c r="D6707" s="5" t="s">
        <v>1197</v>
      </c>
      <c r="E6707" s="8" t="s">
        <v>72</v>
      </c>
      <c r="F6707" s="5" t="s">
        <v>73</v>
      </c>
      <c r="G6707" s="6" t="str">
        <f>VLOOKUP(E6707,dicionario!$A$1:$C7106,2,0)</f>
        <v>Thraupis palmarum</v>
      </c>
      <c r="H6707" s="6" t="str">
        <f>VLOOKUP(E6707,dicionario!$A$1:$C7106,3,0)</f>
        <v>sanhaço-do-coqueiro</v>
      </c>
    </row>
    <row r="6708">
      <c r="A6708" s="3">
        <v>45715.0</v>
      </c>
      <c r="B6708" s="4">
        <v>0.27361111111111114</v>
      </c>
      <c r="C6708" s="5" t="s">
        <v>33</v>
      </c>
      <c r="D6708" s="5" t="s">
        <v>1197</v>
      </c>
      <c r="E6708" s="8" t="s">
        <v>109</v>
      </c>
      <c r="F6708" s="5" t="s">
        <v>110</v>
      </c>
      <c r="G6708" s="6" t="str">
        <f>VLOOKUP(E6708,dicionario!$A$1:$C7107,2,0)</f>
        <v>Tillandsia stricta</v>
      </c>
      <c r="H6708" s="6" t="str">
        <f>VLOOKUP(E6708,dicionario!$A$1:$C7107,3,0)</f>
        <v>cravo-do-mato</v>
      </c>
    </row>
    <row r="6709">
      <c r="A6709" s="3">
        <v>45715.0</v>
      </c>
      <c r="B6709" s="4">
        <v>0.2743055555555556</v>
      </c>
      <c r="C6709" s="5" t="s">
        <v>33</v>
      </c>
      <c r="D6709" s="5" t="s">
        <v>1197</v>
      </c>
      <c r="E6709" s="8" t="s">
        <v>65</v>
      </c>
      <c r="F6709" s="5" t="s">
        <v>66</v>
      </c>
      <c r="G6709" s="6" t="str">
        <f>VLOOKUP(E6709,dicionario!$A$1:$C7108,2,0)</f>
        <v>Pitangus sulphutarus</v>
      </c>
      <c r="H6709" s="6" t="str">
        <f>VLOOKUP(E6709,dicionario!$A$1:$C7108,3,0)</f>
        <v>bem-te-vi</v>
      </c>
    </row>
    <row r="6710">
      <c r="A6710" s="3">
        <v>45715.0</v>
      </c>
      <c r="B6710" s="4">
        <v>0.2743055555555556</v>
      </c>
      <c r="C6710" s="5" t="s">
        <v>33</v>
      </c>
      <c r="D6710" s="5" t="s">
        <v>1197</v>
      </c>
      <c r="E6710" s="8" t="s">
        <v>560</v>
      </c>
      <c r="F6710" s="5" t="s">
        <v>561</v>
      </c>
      <c r="G6710" s="6" t="str">
        <f>VLOOKUP(E6710,dicionario!$A$1:$C7109,2,0)</f>
        <v>Megarynchus pitangua</v>
      </c>
      <c r="H6710" s="6" t="str">
        <f>VLOOKUP(E6710,dicionario!$A$1:$C7109,3,0)</f>
        <v>neinei</v>
      </c>
    </row>
    <row r="6711">
      <c r="A6711" s="3">
        <v>45715.0</v>
      </c>
      <c r="B6711" s="4">
        <v>0.2743055555555556</v>
      </c>
      <c r="C6711" s="5" t="s">
        <v>33</v>
      </c>
      <c r="D6711" s="5" t="s">
        <v>1197</v>
      </c>
      <c r="E6711" s="8" t="s">
        <v>258</v>
      </c>
      <c r="F6711" s="5" t="s">
        <v>259</v>
      </c>
      <c r="G6711" s="6" t="str">
        <f>VLOOKUP(E6711,dicionario!$A$1:$C7110,2,0)</f>
        <v>Lantana camara</v>
      </c>
      <c r="H6711" s="6" t="str">
        <f>VLOOKUP(E6711,dicionario!$A$1:$C7110,3,0)</f>
        <v>lantana</v>
      </c>
    </row>
    <row r="6712">
      <c r="A6712" s="3">
        <v>45715.0</v>
      </c>
      <c r="B6712" s="4">
        <v>0.2743055555555556</v>
      </c>
      <c r="C6712" s="5" t="s">
        <v>33</v>
      </c>
      <c r="D6712" s="5" t="s">
        <v>1197</v>
      </c>
      <c r="E6712" s="8" t="s">
        <v>286</v>
      </c>
      <c r="F6712" s="5" t="s">
        <v>287</v>
      </c>
      <c r="G6712" s="6" t="str">
        <f>VLOOKUP(E6712,dicionario!$A$1:$C7111,2,0)</f>
        <v>Setaria parviflora</v>
      </c>
      <c r="H6712" s="6" t="str">
        <f>VLOOKUP(E6712,dicionario!$A$1:$C7111,3,0)</f>
        <v>capim-rabo-de-raposa</v>
      </c>
    </row>
    <row r="6713">
      <c r="A6713" s="3">
        <v>45715.0</v>
      </c>
      <c r="B6713" s="4">
        <v>0.275</v>
      </c>
      <c r="C6713" s="5" t="s">
        <v>33</v>
      </c>
      <c r="D6713" s="5" t="s">
        <v>1197</v>
      </c>
      <c r="E6713" s="8" t="s">
        <v>298</v>
      </c>
      <c r="F6713" s="5" t="s">
        <v>299</v>
      </c>
      <c r="G6713" s="6" t="str">
        <f>VLOOKUP(E6713,dicionario!$A$1:$C7112,2,0)</f>
        <v>Alysicarpus vaginalis</v>
      </c>
      <c r="H6713" s="6" t="str">
        <f>VLOOKUP(E6713,dicionario!$A$1:$C7112,3,0)</f>
        <v/>
      </c>
    </row>
    <row r="6714">
      <c r="A6714" s="3">
        <v>45715.0</v>
      </c>
      <c r="B6714" s="4">
        <v>0.275</v>
      </c>
      <c r="C6714" s="5" t="s">
        <v>33</v>
      </c>
      <c r="D6714" s="5" t="s">
        <v>1197</v>
      </c>
      <c r="E6714" s="8" t="s">
        <v>483</v>
      </c>
      <c r="F6714" s="5" t="s">
        <v>289</v>
      </c>
      <c r="G6714" s="6" t="str">
        <f>VLOOKUP(E6714,dicionario!$A$1:$C7113,2,0)</f>
        <v>Euphorbia prostrata</v>
      </c>
      <c r="H6714" s="6" t="str">
        <f>VLOOKUP(E6714,dicionario!$A$1:$C7113,3,0)</f>
        <v>quebra-pedra-rasteira</v>
      </c>
    </row>
    <row r="6715">
      <c r="A6715" s="3">
        <v>45715.0</v>
      </c>
      <c r="B6715" s="4">
        <v>0.275</v>
      </c>
      <c r="C6715" s="5" t="s">
        <v>33</v>
      </c>
      <c r="D6715" s="5" t="s">
        <v>1197</v>
      </c>
      <c r="E6715" s="8" t="s">
        <v>122</v>
      </c>
      <c r="F6715" s="7" t="s">
        <v>123</v>
      </c>
      <c r="G6715" s="6" t="str">
        <f>VLOOKUP(E6715,dicionario!$A$1:$C7114,2,0)</f>
        <v>Todirostrum cinereum</v>
      </c>
      <c r="H6715" s="6" t="str">
        <f>VLOOKUP(E6715,dicionario!$A$1:$C7114,3,0)</f>
        <v>ferreirinho-relógio</v>
      </c>
    </row>
    <row r="6716">
      <c r="A6716" s="3">
        <v>45715.0</v>
      </c>
      <c r="B6716" s="4">
        <v>0.275</v>
      </c>
      <c r="C6716" s="5" t="s">
        <v>33</v>
      </c>
      <c r="D6716" s="5" t="s">
        <v>1197</v>
      </c>
      <c r="E6716" s="20" t="s">
        <v>676</v>
      </c>
      <c r="F6716" s="7" t="s">
        <v>677</v>
      </c>
      <c r="G6716" s="6" t="str">
        <f>VLOOKUP(E6716,dicionario!$A$1:$C7115,2,0)</f>
        <v>Zornia latifolia</v>
      </c>
      <c r="H6716" s="6" t="str">
        <f>VLOOKUP(E6716,dicionario!$A$1:$C7115,3,0)</f>
        <v>arrozinho-do-campo</v>
      </c>
    </row>
    <row r="6717">
      <c r="A6717" s="3">
        <v>45715.0</v>
      </c>
      <c r="B6717" s="4">
        <v>0.27569444444444446</v>
      </c>
      <c r="C6717" s="5" t="s">
        <v>33</v>
      </c>
      <c r="D6717" s="5" t="s">
        <v>1197</v>
      </c>
      <c r="E6717" s="8" t="s">
        <v>41</v>
      </c>
      <c r="F6717" s="5" t="s">
        <v>45</v>
      </c>
      <c r="G6717" s="6" t="str">
        <f>VLOOKUP(E6717,dicionario!$A$1:$C7116,2,0)</f>
        <v>Mimosa pudica</v>
      </c>
      <c r="H6717" s="6" t="str">
        <f>VLOOKUP(E6717,dicionario!$A$1:$C7116,3,0)</f>
        <v>dormideira</v>
      </c>
    </row>
    <row r="6718">
      <c r="A6718" s="3">
        <v>45715.0</v>
      </c>
      <c r="B6718" s="4">
        <v>0.27569444444444446</v>
      </c>
      <c r="C6718" s="5" t="s">
        <v>33</v>
      </c>
      <c r="D6718" s="5" t="s">
        <v>1197</v>
      </c>
      <c r="E6718" s="8" t="s">
        <v>517</v>
      </c>
      <c r="F6718" s="7" t="s">
        <v>518</v>
      </c>
      <c r="G6718" s="6" t="str">
        <f>VLOOKUP(E6718,dicionario!$A$1:$C7117,2,0)</f>
        <v>Evolvulus nummularius</v>
      </c>
      <c r="H6718" s="6" t="str">
        <f>VLOOKUP(E6718,dicionario!$A$1:$C7117,3,0)</f>
        <v/>
      </c>
    </row>
    <row r="6719">
      <c r="A6719" s="3">
        <v>45715.0</v>
      </c>
      <c r="B6719" s="4">
        <v>0.27569444444444446</v>
      </c>
      <c r="C6719" s="5" t="s">
        <v>33</v>
      </c>
      <c r="D6719" s="5" t="s">
        <v>1197</v>
      </c>
      <c r="E6719" s="8" t="s">
        <v>227</v>
      </c>
      <c r="F6719" s="5" t="s">
        <v>228</v>
      </c>
      <c r="G6719" s="6" t="str">
        <f>VLOOKUP(E6719,dicionario!$A$1:$C7118,2,0)</f>
        <v>Indigofera hirsuta</v>
      </c>
      <c r="H6719" s="6" t="str">
        <f>VLOOKUP(E6719,dicionario!$A$1:$C7118,3,0)</f>
        <v>anileira</v>
      </c>
    </row>
    <row r="6720">
      <c r="A6720" s="3">
        <v>45715.0</v>
      </c>
      <c r="B6720" s="4">
        <v>0.2763888888888889</v>
      </c>
      <c r="C6720" s="5" t="s">
        <v>33</v>
      </c>
      <c r="D6720" s="5" t="s">
        <v>1197</v>
      </c>
      <c r="E6720" s="8" t="s">
        <v>53</v>
      </c>
      <c r="F6720" s="7" t="s">
        <v>54</v>
      </c>
      <c r="G6720" s="6" t="str">
        <f>VLOOKUP(E6720,dicionario!$A$1:$C7119,2,0)</f>
        <v>Turnera subulata</v>
      </c>
      <c r="H6720" s="6" t="str">
        <f>VLOOKUP(E6720,dicionario!$A$1:$C7119,3,0)</f>
        <v>xanana</v>
      </c>
    </row>
    <row r="6721">
      <c r="A6721" s="3">
        <v>45715.0</v>
      </c>
      <c r="B6721" s="4">
        <v>0.2763888888888889</v>
      </c>
      <c r="C6721" s="5" t="s">
        <v>33</v>
      </c>
      <c r="D6721" s="5" t="s">
        <v>1197</v>
      </c>
      <c r="E6721" s="8" t="s">
        <v>247</v>
      </c>
      <c r="F6721" s="5" t="s">
        <v>387</v>
      </c>
      <c r="G6721" s="6" t="str">
        <f>VLOOKUP(E6721,dicionario!$A$1:$C7120,2,0)</f>
        <v>Emilia sonchifolia</v>
      </c>
      <c r="H6721" s="6" t="str">
        <f>VLOOKUP(E6721,dicionario!$A$1:$C7120,3,0)</f>
        <v>serralinha</v>
      </c>
    </row>
    <row r="6722">
      <c r="A6722" s="3">
        <v>45715.0</v>
      </c>
      <c r="B6722" s="4">
        <v>0.2763888888888889</v>
      </c>
      <c r="C6722" s="5" t="s">
        <v>33</v>
      </c>
      <c r="D6722" s="5" t="s">
        <v>1197</v>
      </c>
      <c r="E6722" s="8" t="s">
        <v>752</v>
      </c>
      <c r="F6722" s="5" t="s">
        <v>753</v>
      </c>
      <c r="G6722" s="6" t="str">
        <f>VLOOKUP(E6722,dicionario!$A$1:$C7121,2,0)</f>
        <v>#N/A</v>
      </c>
      <c r="H6722" s="6" t="str">
        <f>VLOOKUP(E6722,dicionario!$A$1:$C7121,3,0)</f>
        <v>#N/A</v>
      </c>
    </row>
    <row r="6723">
      <c r="A6723" s="3">
        <v>45715.0</v>
      </c>
      <c r="B6723" s="4">
        <v>0.2763888888888889</v>
      </c>
      <c r="C6723" s="5" t="s">
        <v>33</v>
      </c>
      <c r="D6723" s="5" t="s">
        <v>1197</v>
      </c>
      <c r="E6723" s="8" t="s">
        <v>20</v>
      </c>
      <c r="F6723" s="7" t="s">
        <v>21</v>
      </c>
      <c r="G6723" s="6" t="str">
        <f>VLOOKUP(E6723,dicionario!$A$1:$C7122,2,0)</f>
        <v>Sicalis flaveola</v>
      </c>
      <c r="H6723" s="6" t="str">
        <f>VLOOKUP(E6723,dicionario!$A$1:$C7122,3,0)</f>
        <v>canário-da-terra</v>
      </c>
    </row>
    <row r="6724">
      <c r="A6724" s="3">
        <v>45715.0</v>
      </c>
      <c r="B6724" s="4">
        <v>0.27708333333333335</v>
      </c>
      <c r="C6724" s="5" t="s">
        <v>33</v>
      </c>
      <c r="D6724" s="5" t="s">
        <v>1197</v>
      </c>
      <c r="E6724" s="8" t="s">
        <v>99</v>
      </c>
      <c r="F6724" s="5" t="s">
        <v>508</v>
      </c>
      <c r="G6724" s="6" t="str">
        <f>VLOOKUP(E6724,dicionario!$A$1:$C7123,2,0)</f>
        <v>Molothrus bonariensis</v>
      </c>
      <c r="H6724" s="6" t="str">
        <f>VLOOKUP(E6724,dicionario!$A$1:$C7123,3,0)</f>
        <v>chupim</v>
      </c>
    </row>
    <row r="6725">
      <c r="A6725" s="3">
        <v>45715.0</v>
      </c>
      <c r="B6725" s="4">
        <v>0.27708333333333335</v>
      </c>
      <c r="C6725" s="5" t="s">
        <v>33</v>
      </c>
      <c r="D6725" s="5" t="s">
        <v>1197</v>
      </c>
      <c r="E6725" s="8" t="s">
        <v>1127</v>
      </c>
      <c r="F6725" s="5" t="s">
        <v>1128</v>
      </c>
      <c r="G6725" s="6" t="str">
        <f>VLOOKUP(E6725,dicionario!$A$1:$C7124,2,0)</f>
        <v>Albizia lebbeck</v>
      </c>
      <c r="H6725" s="6" t="str">
        <f>VLOOKUP(E6725,dicionario!$A$1:$C7124,3,0)</f>
        <v>albízia</v>
      </c>
    </row>
    <row r="6726">
      <c r="A6726" s="3">
        <v>45715.0</v>
      </c>
      <c r="B6726" s="4">
        <v>0.2777777777777778</v>
      </c>
      <c r="C6726" s="5" t="s">
        <v>33</v>
      </c>
      <c r="D6726" s="5" t="s">
        <v>1197</v>
      </c>
      <c r="E6726" s="6" t="s">
        <v>169</v>
      </c>
      <c r="F6726" s="5" t="s">
        <v>170</v>
      </c>
      <c r="G6726" s="6" t="str">
        <f>VLOOKUP(E6726,dicionario!$A$1:$C7125,2,0)</f>
        <v>Camponotus cruentatus</v>
      </c>
      <c r="H6726" s="6" t="str">
        <f>VLOOKUP(E6726,dicionario!$A$1:$C7125,3,0)</f>
        <v>formiga-carpinteira</v>
      </c>
    </row>
    <row r="6727">
      <c r="A6727" s="3">
        <v>45715.0</v>
      </c>
      <c r="B6727" s="4">
        <v>0.2777777777777778</v>
      </c>
      <c r="C6727" s="5" t="s">
        <v>33</v>
      </c>
      <c r="D6727" s="5" t="s">
        <v>1197</v>
      </c>
      <c r="E6727" s="8" t="s">
        <v>251</v>
      </c>
      <c r="F6727" s="5" t="s">
        <v>252</v>
      </c>
      <c r="G6727" s="6" t="str">
        <f>VLOOKUP(E6727,dicionario!$A$1:$C7126,2,0)</f>
        <v>Struthanthus flexicaulis</v>
      </c>
      <c r="H6727" s="6" t="str">
        <f>VLOOKUP(E6727,dicionario!$A$1:$C7126,3,0)</f>
        <v>erva-de-passarinho</v>
      </c>
    </row>
    <row r="6728">
      <c r="A6728" s="3">
        <v>45715.0</v>
      </c>
      <c r="B6728" s="4">
        <v>0.2777777777777778</v>
      </c>
      <c r="C6728" s="5" t="s">
        <v>33</v>
      </c>
      <c r="D6728" s="5" t="s">
        <v>1197</v>
      </c>
      <c r="E6728" s="8" t="s">
        <v>225</v>
      </c>
      <c r="F6728" s="5" t="s">
        <v>226</v>
      </c>
      <c r="G6728" s="6" t="str">
        <f>VLOOKUP(E6728,dicionario!$A$1:$C7127,2,0)</f>
        <v>Passer domesticus</v>
      </c>
      <c r="H6728" s="6" t="str">
        <f>VLOOKUP(E6728,dicionario!$A$1:$C7127,3,0)</f>
        <v>pardal</v>
      </c>
    </row>
    <row r="6729">
      <c r="A6729" s="3">
        <v>45715.0</v>
      </c>
      <c r="B6729" s="4">
        <v>0.27847222222222223</v>
      </c>
      <c r="C6729" s="5" t="s">
        <v>33</v>
      </c>
      <c r="D6729" s="5" t="s">
        <v>1197</v>
      </c>
      <c r="E6729" s="8" t="s">
        <v>191</v>
      </c>
      <c r="F6729" s="5" t="s">
        <v>192</v>
      </c>
      <c r="G6729" s="6" t="str">
        <f>VLOOKUP(E6729,dicionario!$A$1:$C7128,2,0)</f>
        <v>Patagioenas picazuro</v>
      </c>
      <c r="H6729" s="6" t="str">
        <f>VLOOKUP(E6729,dicionario!$A$1:$C7128,3,0)</f>
        <v>asa-branca; pomba-asa-branca; pocaçu</v>
      </c>
    </row>
    <row r="6730">
      <c r="A6730" s="3">
        <v>45715.0</v>
      </c>
      <c r="B6730" s="4">
        <v>0.2791666666666667</v>
      </c>
      <c r="C6730" s="5" t="s">
        <v>33</v>
      </c>
      <c r="D6730" s="5" t="s">
        <v>1197</v>
      </c>
      <c r="E6730" s="8" t="s">
        <v>175</v>
      </c>
      <c r="F6730" s="5" t="s">
        <v>176</v>
      </c>
      <c r="G6730" s="6" t="str">
        <f>VLOOKUP(E6730,dicionario!$A$1:$C7129,2,0)</f>
        <v>Turdus leucomelas</v>
      </c>
      <c r="H6730" s="6" t="str">
        <f>VLOOKUP(E6730,dicionario!$A$1:$C7129,3,0)</f>
        <v>sabiá-barranco</v>
      </c>
    </row>
    <row r="6731">
      <c r="A6731" s="3">
        <v>45715.0</v>
      </c>
      <c r="B6731" s="4">
        <v>0.2791666666666667</v>
      </c>
      <c r="C6731" s="5" t="s">
        <v>33</v>
      </c>
      <c r="D6731" s="5" t="s">
        <v>1197</v>
      </c>
      <c r="E6731" s="8" t="s">
        <v>158</v>
      </c>
      <c r="F6731" s="5" t="s">
        <v>159</v>
      </c>
      <c r="G6731" s="6" t="str">
        <f>VLOOKUP(E6731,dicionario!$A$1:$C7130,2,0)</f>
        <v>Nephilingis cruentata</v>
      </c>
      <c r="H6731" s="6" t="str">
        <f>VLOOKUP(E6731,dicionario!$A$1:$C7130,3,0)</f>
        <v>maria-bola</v>
      </c>
    </row>
    <row r="6732">
      <c r="A6732" s="3">
        <v>45715.0</v>
      </c>
      <c r="B6732" s="4">
        <v>0.2791666666666667</v>
      </c>
      <c r="C6732" s="5" t="s">
        <v>33</v>
      </c>
      <c r="D6732" s="5" t="s">
        <v>1197</v>
      </c>
      <c r="E6732" s="8" t="s">
        <v>38</v>
      </c>
      <c r="F6732" s="5" t="s">
        <v>39</v>
      </c>
      <c r="G6732" s="6" t="str">
        <f>VLOOKUP(E6732,dicionario!$A$1:$C7131,2,0)</f>
        <v>Troglodytes musculus</v>
      </c>
      <c r="H6732" s="6" t="str">
        <f>VLOOKUP(E6732,dicionario!$A$1:$C7131,3,0)</f>
        <v>curruíra</v>
      </c>
    </row>
    <row r="6733">
      <c r="A6733" s="3">
        <v>45715.0</v>
      </c>
      <c r="B6733" s="4">
        <v>0.2798611111111111</v>
      </c>
      <c r="C6733" s="5" t="s">
        <v>33</v>
      </c>
      <c r="D6733" s="5" t="s">
        <v>1197</v>
      </c>
      <c r="E6733" s="8" t="s">
        <v>135</v>
      </c>
      <c r="F6733" s="5" t="s">
        <v>136</v>
      </c>
      <c r="G6733" s="6" t="str">
        <f>VLOOKUP(E6733,dicionario!$A$1:$C7132,2,0)</f>
        <v>Tridax procumbens</v>
      </c>
      <c r="H6733" s="6" t="str">
        <f>VLOOKUP(E6733,dicionario!$A$1:$C7132,3,0)</f>
        <v>erva-de-touro</v>
      </c>
    </row>
    <row r="6734">
      <c r="A6734" s="3">
        <v>45715.0</v>
      </c>
      <c r="B6734" s="4">
        <v>0.28125</v>
      </c>
      <c r="C6734" s="5" t="s">
        <v>40</v>
      </c>
      <c r="D6734" s="5" t="s">
        <v>1197</v>
      </c>
      <c r="E6734" s="8" t="s">
        <v>631</v>
      </c>
      <c r="F6734" s="5" t="s">
        <v>632</v>
      </c>
      <c r="G6734" s="6" t="str">
        <f>VLOOKUP(E6734,dicionario!$A$1:$C7133,2,0)</f>
        <v>Chamaecrista nictitans</v>
      </c>
      <c r="H6734" s="6" t="str">
        <f>VLOOKUP(E6734,dicionario!$A$1:$C7133,3,0)</f>
        <v>falsa-dormideira</v>
      </c>
    </row>
    <row r="6735">
      <c r="A6735" s="3">
        <v>45715.0</v>
      </c>
      <c r="B6735" s="4">
        <v>0.28125</v>
      </c>
      <c r="C6735" s="5" t="s">
        <v>40</v>
      </c>
      <c r="D6735" s="5" t="s">
        <v>1197</v>
      </c>
      <c r="E6735" s="8" t="s">
        <v>144</v>
      </c>
      <c r="F6735" s="5" t="s">
        <v>145</v>
      </c>
      <c r="G6735" s="6" t="str">
        <f>VLOOKUP(E6735,dicionario!$A$1:$C7134,2,0)</f>
        <v>Gomphrena globosa</v>
      </c>
      <c r="H6735" s="6" t="str">
        <f>VLOOKUP(E6735,dicionario!$A$1:$C7134,3,0)</f>
        <v>perpétua-rosa</v>
      </c>
    </row>
    <row r="6736">
      <c r="A6736" s="3">
        <v>45715.0</v>
      </c>
      <c r="B6736" s="4">
        <v>0.28125</v>
      </c>
      <c r="C6736" s="5" t="s">
        <v>40</v>
      </c>
      <c r="D6736" s="5" t="s">
        <v>1197</v>
      </c>
      <c r="E6736" s="6" t="s">
        <v>103</v>
      </c>
      <c r="F6736" s="5" t="s">
        <v>104</v>
      </c>
      <c r="G6736" s="6" t="str">
        <f>VLOOKUP(E6736,dicionario!$A$1:$C7135,2,0)</f>
        <v>Caracara plancus</v>
      </c>
      <c r="H6736" s="6" t="str">
        <f>VLOOKUP(E6736,dicionario!$A$1:$C7135,3,0)</f>
        <v>carcará </v>
      </c>
    </row>
    <row r="6737">
      <c r="A6737" s="3">
        <v>45715.0</v>
      </c>
      <c r="B6737" s="4">
        <v>0.28194444444444444</v>
      </c>
      <c r="C6737" s="5" t="s">
        <v>40</v>
      </c>
      <c r="D6737" s="5" t="s">
        <v>1197</v>
      </c>
      <c r="E6737" s="8" t="s">
        <v>489</v>
      </c>
      <c r="F6737" s="5" t="s">
        <v>521</v>
      </c>
      <c r="G6737" s="6" t="str">
        <f>VLOOKUP(E6737,dicionario!$A$1:$C7136,2,0)</f>
        <v>Cenchrus echinatus</v>
      </c>
      <c r="H6737" s="6" t="str">
        <f>VLOOKUP(E6737,dicionario!$A$1:$C7136,3,0)</f>
        <v>capim-carrapicho</v>
      </c>
    </row>
    <row r="6738">
      <c r="A6738" s="3">
        <v>45715.0</v>
      </c>
      <c r="B6738" s="4">
        <v>0.28125</v>
      </c>
      <c r="C6738" s="5" t="s">
        <v>40</v>
      </c>
      <c r="D6738" s="5" t="s">
        <v>1197</v>
      </c>
      <c r="E6738" s="8" t="s">
        <v>227</v>
      </c>
      <c r="F6738" s="5" t="s">
        <v>228</v>
      </c>
      <c r="G6738" s="6" t="str">
        <f>VLOOKUP(E6738,dicionario!$A$1:$C7137,2,0)</f>
        <v>Indigofera hirsuta</v>
      </c>
      <c r="H6738" s="6" t="str">
        <f>VLOOKUP(E6738,dicionario!$A$1:$C7137,3,0)</f>
        <v>anileira</v>
      </c>
    </row>
    <row r="6739">
      <c r="A6739" s="3">
        <v>45715.0</v>
      </c>
      <c r="B6739" s="4">
        <v>0.28125</v>
      </c>
      <c r="C6739" s="5" t="s">
        <v>40</v>
      </c>
      <c r="D6739" s="5" t="s">
        <v>1197</v>
      </c>
      <c r="E6739" s="8" t="s">
        <v>53</v>
      </c>
      <c r="F6739" s="7" t="s">
        <v>54</v>
      </c>
      <c r="G6739" s="6" t="str">
        <f>VLOOKUP(E6739,dicionario!$A$1:$C7138,2,0)</f>
        <v>Turnera subulata</v>
      </c>
      <c r="H6739" s="6" t="str">
        <f>VLOOKUP(E6739,dicionario!$A$1:$C7138,3,0)</f>
        <v>xanana</v>
      </c>
    </row>
    <row r="6740">
      <c r="A6740" s="3">
        <v>45715.0</v>
      </c>
      <c r="B6740" s="4">
        <v>0.28125</v>
      </c>
      <c r="C6740" s="5" t="s">
        <v>40</v>
      </c>
      <c r="D6740" s="5" t="s">
        <v>1197</v>
      </c>
      <c r="E6740" s="8" t="s">
        <v>296</v>
      </c>
      <c r="F6740" s="5" t="s">
        <v>297</v>
      </c>
      <c r="G6740" s="6" t="str">
        <f>VLOOKUP(E6740,dicionario!$A$1:$C7139,2,0)</f>
        <v>Richardia brasiliensis</v>
      </c>
      <c r="H6740" s="6" t="str">
        <f>VLOOKUP(E6740,dicionario!$A$1:$C7139,3,0)</f>
        <v>poaia-branca</v>
      </c>
    </row>
    <row r="6741">
      <c r="A6741" s="3">
        <v>45715.0</v>
      </c>
      <c r="B6741" s="4">
        <v>0.28125</v>
      </c>
      <c r="C6741" s="5" t="s">
        <v>40</v>
      </c>
      <c r="D6741" s="5" t="s">
        <v>1197</v>
      </c>
      <c r="E6741" s="8" t="s">
        <v>355</v>
      </c>
      <c r="F6741" s="5" t="s">
        <v>356</v>
      </c>
      <c r="G6741" s="6" t="str">
        <f>VLOOKUP(E6741,dicionario!$A$1:$C7140,2,0)</f>
        <v>Boerhavia diffusa</v>
      </c>
      <c r="H6741" s="6" t="str">
        <f>VLOOKUP(E6741,dicionario!$A$1:$C7140,3,0)</f>
        <v>erva-tostão</v>
      </c>
    </row>
    <row r="6742">
      <c r="A6742" s="3">
        <v>45715.0</v>
      </c>
      <c r="B6742" s="4">
        <v>0.28125</v>
      </c>
      <c r="C6742" s="5" t="s">
        <v>40</v>
      </c>
      <c r="D6742" s="5" t="s">
        <v>1197</v>
      </c>
      <c r="E6742" s="8" t="s">
        <v>298</v>
      </c>
      <c r="F6742" s="5" t="s">
        <v>299</v>
      </c>
      <c r="G6742" s="6" t="str">
        <f>VLOOKUP(E6742,dicionario!$A$1:$C7141,2,0)</f>
        <v>Alysicarpus vaginalis</v>
      </c>
      <c r="H6742" s="6" t="str">
        <f>VLOOKUP(E6742,dicionario!$A$1:$C7141,3,0)</f>
        <v/>
      </c>
    </row>
    <row r="6743">
      <c r="A6743" s="3">
        <v>45715.0</v>
      </c>
      <c r="B6743" s="4">
        <v>0.28125</v>
      </c>
      <c r="C6743" s="5" t="s">
        <v>40</v>
      </c>
      <c r="D6743" s="5" t="s">
        <v>1197</v>
      </c>
      <c r="E6743" s="8" t="s">
        <v>111</v>
      </c>
      <c r="F6743" s="7" t="s">
        <v>112</v>
      </c>
      <c r="G6743" s="6" t="str">
        <f>VLOOKUP(E6743,dicionario!$A$1:$C7142,2,0)</f>
        <v>Trigona spinipes</v>
      </c>
      <c r="H6743" s="6" t="str">
        <f>VLOOKUP(E6743,dicionario!$A$1:$C7142,3,0)</f>
        <v>abelha-cachorro</v>
      </c>
    </row>
    <row r="6744">
      <c r="A6744" s="3">
        <v>45715.0</v>
      </c>
      <c r="B6744" s="4">
        <v>0.2826388888888889</v>
      </c>
      <c r="C6744" s="5" t="s">
        <v>40</v>
      </c>
      <c r="D6744" s="5" t="s">
        <v>1197</v>
      </c>
      <c r="E6744" s="8" t="s">
        <v>239</v>
      </c>
      <c r="F6744" s="5" t="s">
        <v>240</v>
      </c>
      <c r="G6744" s="6" t="str">
        <f>VLOOKUP(E6744,dicionario!$A$1:$C7143,2,0)</f>
        <v>Gomphrena celosioides</v>
      </c>
      <c r="H6744" s="6" t="str">
        <f>VLOOKUP(E6744,dicionario!$A$1:$C7143,3,0)</f>
        <v>perpétua-branca</v>
      </c>
    </row>
    <row r="6745">
      <c r="A6745" s="3">
        <v>45715.0</v>
      </c>
      <c r="B6745" s="4">
        <v>0.2826388888888889</v>
      </c>
      <c r="C6745" s="5" t="s">
        <v>40</v>
      </c>
      <c r="D6745" s="5" t="s">
        <v>1197</v>
      </c>
      <c r="E6745" s="8" t="s">
        <v>247</v>
      </c>
      <c r="F6745" s="5" t="s">
        <v>387</v>
      </c>
      <c r="G6745" s="6" t="str">
        <f>VLOOKUP(E6745,dicionario!$A$1:$C7144,2,0)</f>
        <v>Emilia sonchifolia</v>
      </c>
      <c r="H6745" s="6" t="str">
        <f>VLOOKUP(E6745,dicionario!$A$1:$C7144,3,0)</f>
        <v>serralinha</v>
      </c>
    </row>
    <row r="6746">
      <c r="A6746" s="3">
        <v>45715.0</v>
      </c>
      <c r="B6746" s="4">
        <v>0.2826388888888889</v>
      </c>
      <c r="C6746" s="5" t="s">
        <v>40</v>
      </c>
      <c r="D6746" s="5" t="s">
        <v>1197</v>
      </c>
      <c r="E6746" s="8" t="s">
        <v>935</v>
      </c>
      <c r="F6746" s="5" t="s">
        <v>936</v>
      </c>
      <c r="G6746" s="6" t="str">
        <f>VLOOKUP(E6746,dicionario!$A$1:$C7145,2,0)</f>
        <v>#N/A</v>
      </c>
      <c r="H6746" s="6" t="str">
        <f>VLOOKUP(E6746,dicionario!$A$1:$C7145,3,0)</f>
        <v>#N/A</v>
      </c>
    </row>
    <row r="6747">
      <c r="A6747" s="3">
        <v>45715.0</v>
      </c>
      <c r="B6747" s="4">
        <v>0.2826388888888889</v>
      </c>
      <c r="C6747" s="5" t="s">
        <v>40</v>
      </c>
      <c r="D6747" s="5" t="s">
        <v>1197</v>
      </c>
      <c r="E6747" s="8" t="s">
        <v>613</v>
      </c>
      <c r="F6747" s="5" t="s">
        <v>614</v>
      </c>
      <c r="G6747" s="6" t="str">
        <f>VLOOKUP(E6747,dicionario!$A$1:$C7146,2,0)</f>
        <v>Euphorbia hyssopifolia</v>
      </c>
      <c r="H6747" s="6" t="str">
        <f>VLOOKUP(E6747,dicionario!$A$1:$C7146,3,0)</f>
        <v>maria-leite</v>
      </c>
    </row>
    <row r="6748">
      <c r="A6748" s="3">
        <v>45715.0</v>
      </c>
      <c r="B6748" s="4">
        <v>0.2826388888888889</v>
      </c>
      <c r="C6748" s="5" t="s">
        <v>40</v>
      </c>
      <c r="D6748" s="5" t="s">
        <v>1197</v>
      </c>
      <c r="E6748" s="8" t="s">
        <v>1127</v>
      </c>
      <c r="F6748" s="5" t="s">
        <v>1128</v>
      </c>
      <c r="G6748" s="6" t="str">
        <f>VLOOKUP(E6748,dicionario!$A$1:$C7147,2,0)</f>
        <v>Albizia lebbeck</v>
      </c>
      <c r="H6748" s="6" t="str">
        <f>VLOOKUP(E6748,dicionario!$A$1:$C7147,3,0)</f>
        <v>albízia</v>
      </c>
    </row>
    <row r="6749">
      <c r="A6749" s="3">
        <v>45715.0</v>
      </c>
      <c r="B6749" s="4">
        <v>0.2826388888888889</v>
      </c>
      <c r="C6749" s="5" t="s">
        <v>40</v>
      </c>
      <c r="D6749" s="5" t="s">
        <v>1197</v>
      </c>
      <c r="E6749" s="8" t="s">
        <v>286</v>
      </c>
      <c r="F6749" s="5" t="s">
        <v>287</v>
      </c>
      <c r="G6749" s="6" t="str">
        <f>VLOOKUP(E6749,dicionario!$A$1:$C7148,2,0)</f>
        <v>Setaria parviflora</v>
      </c>
      <c r="H6749" s="6" t="str">
        <f>VLOOKUP(E6749,dicionario!$A$1:$C7148,3,0)</f>
        <v>capim-rabo-de-raposa</v>
      </c>
    </row>
    <row r="6750">
      <c r="A6750" s="3">
        <v>45715.0</v>
      </c>
      <c r="B6750" s="4">
        <v>0.2833333333333333</v>
      </c>
      <c r="C6750" s="5" t="s">
        <v>40</v>
      </c>
      <c r="D6750" s="5" t="s">
        <v>1197</v>
      </c>
      <c r="E6750" s="8" t="s">
        <v>46</v>
      </c>
      <c r="F6750" s="5" t="s">
        <v>47</v>
      </c>
      <c r="G6750" s="6" t="str">
        <f>VLOOKUP(E6750,dicionario!$A$1:$C7149,2,0)</f>
        <v>Chionomesa fimbriata</v>
      </c>
      <c r="H6750" s="6" t="str">
        <f>VLOOKUP(E6750,dicionario!$A$1:$C7149,3,0)</f>
        <v>beija-flor-de-garganta-verde</v>
      </c>
    </row>
    <row r="6751">
      <c r="A6751" s="3">
        <v>45715.0</v>
      </c>
      <c r="B6751" s="4">
        <v>0.2833333333333333</v>
      </c>
      <c r="C6751" s="5" t="s">
        <v>40</v>
      </c>
      <c r="D6751" s="5" t="s">
        <v>1197</v>
      </c>
      <c r="E6751" s="8" t="s">
        <v>150</v>
      </c>
      <c r="F6751" s="5" t="s">
        <v>151</v>
      </c>
      <c r="G6751" s="6" t="str">
        <f>VLOOKUP(E6751,dicionario!$A$1:$C7150,2,0)</f>
        <v>Amaranthus viridis</v>
      </c>
      <c r="H6751" s="6" t="str">
        <f>VLOOKUP(E6751,dicionario!$A$1:$C7150,3,0)</f>
        <v>caruru-de-mancha</v>
      </c>
    </row>
    <row r="6752">
      <c r="A6752" s="3">
        <v>45715.0</v>
      </c>
      <c r="B6752" s="4">
        <v>0.2833333333333333</v>
      </c>
      <c r="C6752" s="5" t="s">
        <v>40</v>
      </c>
      <c r="D6752" s="5" t="s">
        <v>1197</v>
      </c>
      <c r="E6752" s="6" t="s">
        <v>146</v>
      </c>
      <c r="F6752" s="5" t="s">
        <v>147</v>
      </c>
      <c r="G6752" s="6" t="str">
        <f>VLOOKUP(E6752,dicionario!$A$1:$C7151,2,0)</f>
        <v>Euphorbia hirta</v>
      </c>
      <c r="H6752" s="6" t="str">
        <f>VLOOKUP(E6752,dicionario!$A$1:$C7151,3,0)</f>
        <v>erva-de-santa-luzia</v>
      </c>
    </row>
    <row r="6753">
      <c r="A6753" s="3">
        <v>45715.0</v>
      </c>
      <c r="B6753" s="4">
        <v>0.28402777777777777</v>
      </c>
      <c r="C6753" s="5" t="s">
        <v>40</v>
      </c>
      <c r="D6753" s="5" t="s">
        <v>1197</v>
      </c>
      <c r="E6753" s="6" t="s">
        <v>80</v>
      </c>
      <c r="F6753" s="5" t="s">
        <v>81</v>
      </c>
      <c r="G6753" s="6" t="str">
        <f>VLOOKUP(E6753,dicionario!$A$1:$C7152,2,0)</f>
        <v>Pentatomidae</v>
      </c>
      <c r="H6753" s="6" t="str">
        <f>VLOOKUP(E6753,dicionario!$A$1:$C7152,3,0)</f>
        <v>maria-fedida</v>
      </c>
    </row>
    <row r="6754">
      <c r="A6754" s="3">
        <v>45715.0</v>
      </c>
      <c r="B6754" s="4">
        <v>0.28402777777777777</v>
      </c>
      <c r="C6754" s="5" t="s">
        <v>40</v>
      </c>
      <c r="D6754" s="5" t="s">
        <v>1197</v>
      </c>
      <c r="E6754" s="8" t="s">
        <v>38</v>
      </c>
      <c r="F6754" s="5" t="s">
        <v>39</v>
      </c>
      <c r="G6754" s="6" t="str">
        <f>VLOOKUP(E6754,dicionario!$A$1:$C7153,2,0)</f>
        <v>Troglodytes musculus</v>
      </c>
      <c r="H6754" s="6" t="str">
        <f>VLOOKUP(E6754,dicionario!$A$1:$C7153,3,0)</f>
        <v>curruíra</v>
      </c>
    </row>
    <row r="6755">
      <c r="A6755" s="3">
        <v>45715.0</v>
      </c>
      <c r="B6755" s="4">
        <v>0.28402777777777777</v>
      </c>
      <c r="C6755" s="5" t="s">
        <v>40</v>
      </c>
      <c r="D6755" s="5" t="s">
        <v>1197</v>
      </c>
      <c r="E6755" s="8" t="s">
        <v>258</v>
      </c>
      <c r="F6755" s="5" t="s">
        <v>259</v>
      </c>
      <c r="G6755" s="6" t="str">
        <f>VLOOKUP(E6755,dicionario!$A$1:$C7154,2,0)</f>
        <v>Lantana camara</v>
      </c>
      <c r="H6755" s="6" t="str">
        <f>VLOOKUP(E6755,dicionario!$A$1:$C7154,3,0)</f>
        <v>lantana</v>
      </c>
    </row>
    <row r="6756">
      <c r="A6756" s="3">
        <v>45715.0</v>
      </c>
      <c r="B6756" s="4">
        <v>0.2847222222222222</v>
      </c>
      <c r="C6756" s="5" t="s">
        <v>40</v>
      </c>
      <c r="D6756" s="5" t="s">
        <v>1197</v>
      </c>
      <c r="E6756" s="30" t="s">
        <v>979</v>
      </c>
      <c r="F6756" s="31"/>
      <c r="G6756" s="6" t="str">
        <f>VLOOKUP(E6756,dicionario!$A$1:$C7155,2,0)</f>
        <v>#N/A</v>
      </c>
      <c r="H6756" s="6" t="str">
        <f>VLOOKUP(E6756,dicionario!$A$1:$C7155,3,0)</f>
        <v>#N/A</v>
      </c>
    </row>
    <row r="6757">
      <c r="A6757" s="3">
        <v>45715.0</v>
      </c>
      <c r="B6757" s="4">
        <v>0.2847222222222222</v>
      </c>
      <c r="C6757" s="5" t="s">
        <v>40</v>
      </c>
      <c r="D6757" s="5" t="s">
        <v>1197</v>
      </c>
      <c r="E6757" s="8" t="s">
        <v>152</v>
      </c>
      <c r="F6757" s="5" t="s">
        <v>153</v>
      </c>
      <c r="G6757" s="6" t="str">
        <f>VLOOKUP(E6757,dicionario!$A$1:$C7156,2,0)</f>
        <v>Cynodon dactylon</v>
      </c>
      <c r="H6757" s="6" t="str">
        <f>VLOOKUP(E6757,dicionario!$A$1:$C7156,3,0)</f>
        <v>grama-bermuda</v>
      </c>
    </row>
    <row r="6758">
      <c r="A6758" s="3">
        <v>45715.0</v>
      </c>
      <c r="B6758" s="4">
        <v>0.28541666666666665</v>
      </c>
      <c r="C6758" s="5" t="s">
        <v>40</v>
      </c>
      <c r="D6758" s="5" t="s">
        <v>1197</v>
      </c>
      <c r="E6758" s="6" t="s">
        <v>113</v>
      </c>
      <c r="F6758" s="5" t="s">
        <v>114</v>
      </c>
      <c r="G6758" s="6" t="str">
        <f>VLOOKUP(E6758,dicionario!$A$1:$C7157,2,0)</f>
        <v>Columbina talpacoti</v>
      </c>
      <c r="H6758" s="6" t="str">
        <f>VLOOKUP(E6758,dicionario!$A$1:$C7157,3,0)</f>
        <v>rolinha-roxa</v>
      </c>
    </row>
    <row r="6759">
      <c r="A6759" s="3">
        <v>45715.0</v>
      </c>
      <c r="B6759" s="4">
        <v>0.28541666666666665</v>
      </c>
      <c r="C6759" s="5" t="s">
        <v>40</v>
      </c>
      <c r="D6759" s="5" t="s">
        <v>1197</v>
      </c>
      <c r="E6759" s="6" t="s">
        <v>253</v>
      </c>
      <c r="F6759" s="5" t="s">
        <v>254</v>
      </c>
      <c r="G6759" s="6" t="str">
        <f>VLOOKUP(E6759,dicionario!$A$1:$C7158,2,0)</f>
        <v>Panicum maximum</v>
      </c>
      <c r="H6759" s="6" t="str">
        <f>VLOOKUP(E6759,dicionario!$A$1:$C7158,3,0)</f>
        <v>capim-colonião</v>
      </c>
    </row>
    <row r="6760">
      <c r="A6760" s="3">
        <v>45715.0</v>
      </c>
      <c r="B6760" s="4">
        <v>0.28541666666666665</v>
      </c>
      <c r="C6760" s="5" t="s">
        <v>40</v>
      </c>
      <c r="D6760" s="5" t="s">
        <v>1197</v>
      </c>
      <c r="E6760" s="8" t="s">
        <v>247</v>
      </c>
      <c r="F6760" s="7" t="s">
        <v>272</v>
      </c>
      <c r="G6760" s="6" t="str">
        <f>VLOOKUP(E6760,dicionario!$A$1:$C7159,2,0)</f>
        <v>Emilia sonchifolia</v>
      </c>
      <c r="H6760" s="6" t="str">
        <f>VLOOKUP(E6760,dicionario!$A$1:$C7159,3,0)</f>
        <v>serralinha</v>
      </c>
    </row>
    <row r="6761">
      <c r="A6761" s="3">
        <v>45715.0</v>
      </c>
      <c r="B6761" s="4">
        <v>0.2861111111111111</v>
      </c>
      <c r="C6761" s="5" t="s">
        <v>40</v>
      </c>
      <c r="D6761" s="5" t="s">
        <v>1197</v>
      </c>
      <c r="E6761" s="8" t="s">
        <v>191</v>
      </c>
      <c r="F6761" s="5" t="s">
        <v>192</v>
      </c>
      <c r="G6761" s="6" t="str">
        <f>VLOOKUP(E6761,dicionario!$A$1:$C7160,2,0)</f>
        <v>Patagioenas picazuro</v>
      </c>
      <c r="H6761" s="6" t="str">
        <f>VLOOKUP(E6761,dicionario!$A$1:$C7160,3,0)</f>
        <v>asa-branca; pomba-asa-branca; pocaçu</v>
      </c>
    </row>
    <row r="6762">
      <c r="A6762" s="3">
        <v>45715.0</v>
      </c>
      <c r="B6762" s="4">
        <v>0.2861111111111111</v>
      </c>
      <c r="C6762" s="5" t="s">
        <v>40</v>
      </c>
      <c r="D6762" s="5" t="s">
        <v>1197</v>
      </c>
      <c r="E6762" s="8" t="s">
        <v>213</v>
      </c>
      <c r="F6762" s="7" t="s">
        <v>214</v>
      </c>
      <c r="G6762" s="6" t="str">
        <f>VLOOKUP(E6762,dicionario!$A$1:$C7161,2,0)</f>
        <v>Myiozetetes similis</v>
      </c>
      <c r="H6762" s="6" t="str">
        <f>VLOOKUP(E6762,dicionario!$A$1:$C7161,3,0)</f>
        <v>bentevizinho-de-penacho-vermelho</v>
      </c>
    </row>
    <row r="6763">
      <c r="A6763" s="3">
        <v>45715.0</v>
      </c>
      <c r="B6763" s="4">
        <v>0.2861111111111111</v>
      </c>
      <c r="C6763" s="5" t="s">
        <v>40</v>
      </c>
      <c r="D6763" s="5" t="s">
        <v>1197</v>
      </c>
      <c r="E6763" s="8" t="s">
        <v>1064</v>
      </c>
      <c r="F6763" s="5" t="s">
        <v>603</v>
      </c>
      <c r="G6763" s="6" t="str">
        <f>VLOOKUP(E6763,dicionario!$A$1:$C7162,2,0)</f>
        <v>#N/A</v>
      </c>
      <c r="H6763" s="6" t="str">
        <f>VLOOKUP(E6763,dicionario!$A$1:$C7162,3,0)</f>
        <v>#N/A</v>
      </c>
    </row>
    <row r="6764">
      <c r="A6764" s="3">
        <v>45715.0</v>
      </c>
      <c r="B6764" s="4">
        <v>0.2861111111111111</v>
      </c>
      <c r="C6764" s="5" t="s">
        <v>40</v>
      </c>
      <c r="D6764" s="5" t="s">
        <v>1197</v>
      </c>
      <c r="E6764" s="8" t="s">
        <v>225</v>
      </c>
      <c r="F6764" s="5" t="s">
        <v>226</v>
      </c>
      <c r="G6764" s="6" t="str">
        <f>VLOOKUP(E6764,dicionario!$A$1:$C7163,2,0)</f>
        <v>Passer domesticus</v>
      </c>
      <c r="H6764" s="6" t="str">
        <f>VLOOKUP(E6764,dicionario!$A$1:$C7163,3,0)</f>
        <v>pardal</v>
      </c>
    </row>
    <row r="6765">
      <c r="A6765" s="3">
        <v>45715.0</v>
      </c>
      <c r="B6765" s="4">
        <v>0.28680555555555554</v>
      </c>
      <c r="C6765" s="5" t="s">
        <v>40</v>
      </c>
      <c r="D6765" s="5" t="s">
        <v>1197</v>
      </c>
      <c r="E6765" s="8" t="s">
        <v>517</v>
      </c>
      <c r="F6765" s="7" t="s">
        <v>518</v>
      </c>
      <c r="G6765" s="6" t="str">
        <f>VLOOKUP(E6765,dicionario!$A$1:$C7164,2,0)</f>
        <v>Evolvulus nummularius</v>
      </c>
      <c r="H6765" s="6" t="str">
        <f>VLOOKUP(E6765,dicionario!$A$1:$C7164,3,0)</f>
        <v/>
      </c>
    </row>
    <row r="6766">
      <c r="A6766" s="3">
        <v>45715.0</v>
      </c>
      <c r="B6766" s="4">
        <v>0.28680555555555554</v>
      </c>
      <c r="C6766" s="5" t="s">
        <v>40</v>
      </c>
      <c r="D6766" s="5" t="s">
        <v>1197</v>
      </c>
      <c r="E6766" s="8" t="s">
        <v>154</v>
      </c>
      <c r="F6766" s="5" t="s">
        <v>155</v>
      </c>
      <c r="G6766" s="6" t="str">
        <f>VLOOKUP(E6766,dicionario!$A$1:$C7165,2,0)</f>
        <v>Cyperus rotundus</v>
      </c>
      <c r="H6766" s="6" t="str">
        <f>VLOOKUP(E6766,dicionario!$A$1:$C7165,3,0)</f>
        <v>tiririca</v>
      </c>
    </row>
    <row r="6767">
      <c r="A6767" s="3">
        <v>45715.0</v>
      </c>
      <c r="B6767" s="4">
        <v>0.2881944444444444</v>
      </c>
      <c r="C6767" s="5" t="s">
        <v>40</v>
      </c>
      <c r="D6767" s="5" t="s">
        <v>1197</v>
      </c>
      <c r="E6767" s="8" t="s">
        <v>886</v>
      </c>
      <c r="F6767" s="5" t="s">
        <v>887</v>
      </c>
      <c r="G6767" s="6" t="str">
        <f>VLOOKUP(E6767,dicionario!$A$1:$C7166,2,0)</f>
        <v>Oldenlandia corymbosa</v>
      </c>
      <c r="H6767" s="6" t="str">
        <f>VLOOKUP(E6767,dicionario!$A$1:$C7166,3,0)</f>
        <v>erva-diamante</v>
      </c>
    </row>
    <row r="6768">
      <c r="A6768" s="3">
        <v>45715.0</v>
      </c>
      <c r="B6768" s="4">
        <v>0.2881944444444444</v>
      </c>
      <c r="C6768" s="5" t="s">
        <v>40</v>
      </c>
      <c r="D6768" s="5" t="s">
        <v>1197</v>
      </c>
      <c r="E6768" s="8" t="s">
        <v>158</v>
      </c>
      <c r="F6768" s="5" t="s">
        <v>159</v>
      </c>
      <c r="G6768" s="6" t="str">
        <f>VLOOKUP(E6768,dicionario!$A$1:$C7167,2,0)</f>
        <v>Nephilingis cruentata</v>
      </c>
      <c r="H6768" s="6" t="str">
        <f>VLOOKUP(E6768,dicionario!$A$1:$C7167,3,0)</f>
        <v>maria-bola</v>
      </c>
    </row>
    <row r="6769">
      <c r="A6769" s="3">
        <v>45715.0</v>
      </c>
      <c r="B6769" s="4">
        <v>0.28888888888888886</v>
      </c>
      <c r="C6769" s="5" t="s">
        <v>50</v>
      </c>
      <c r="D6769" s="5" t="s">
        <v>1197</v>
      </c>
      <c r="E6769" s="8" t="s">
        <v>353</v>
      </c>
      <c r="F6769" s="5" t="s">
        <v>354</v>
      </c>
      <c r="G6769" s="6" t="str">
        <f>VLOOKUP(E6769,dicionario!$A$1:$C7168,2,0)</f>
        <v>Desmodium incanum</v>
      </c>
      <c r="H6769" s="6" t="str">
        <f>VLOOKUP(E6769,dicionario!$A$1:$C7168,3,0)</f>
        <v>pega-pega</v>
      </c>
    </row>
    <row r="6770">
      <c r="A6770" s="3">
        <v>45715.0</v>
      </c>
      <c r="B6770" s="4">
        <v>0.29444444444444445</v>
      </c>
      <c r="C6770" s="5" t="s">
        <v>50</v>
      </c>
      <c r="D6770" s="5" t="s">
        <v>1197</v>
      </c>
      <c r="E6770" s="8" t="s">
        <v>247</v>
      </c>
      <c r="F6770" s="7" t="s">
        <v>272</v>
      </c>
      <c r="G6770" s="6" t="str">
        <f>VLOOKUP(E6770,dicionario!$A$1:$C7169,2,0)</f>
        <v>Emilia sonchifolia</v>
      </c>
      <c r="H6770" s="6" t="str">
        <f>VLOOKUP(E6770,dicionario!$A$1:$C7169,3,0)</f>
        <v>serralinha</v>
      </c>
    </row>
    <row r="6771">
      <c r="A6771" s="3">
        <v>45715.0</v>
      </c>
      <c r="B6771" s="4">
        <v>0.29444444444444445</v>
      </c>
      <c r="C6771" s="5" t="s">
        <v>50</v>
      </c>
      <c r="D6771" s="5" t="s">
        <v>1197</v>
      </c>
      <c r="E6771" s="8" t="s">
        <v>579</v>
      </c>
      <c r="F6771" s="5" t="s">
        <v>580</v>
      </c>
      <c r="G6771" s="6" t="str">
        <f>VLOOKUP(E6771,dicionario!$A$1:$C7170,2,0)</f>
        <v>Piper tuberculatum</v>
      </c>
      <c r="H6771" s="6" t="str">
        <f>VLOOKUP(E6771,dicionario!$A$1:$C7170,3,0)</f>
        <v/>
      </c>
    </row>
    <row r="6772">
      <c r="A6772" s="3">
        <v>45715.0</v>
      </c>
      <c r="B6772" s="4">
        <v>0.29444444444444445</v>
      </c>
      <c r="C6772" s="5" t="s">
        <v>50</v>
      </c>
      <c r="D6772" s="5" t="s">
        <v>1197</v>
      </c>
      <c r="E6772" s="8" t="s">
        <v>821</v>
      </c>
      <c r="F6772" s="5" t="s">
        <v>876</v>
      </c>
      <c r="G6772" s="6" t="str">
        <f>VLOOKUP(E6772,dicionario!$A$1:$C7171,2,0)</f>
        <v>Schefflera actinophylla</v>
      </c>
      <c r="H6772" s="6" t="str">
        <f>VLOOKUP(E6772,dicionario!$A$1:$C7171,3,0)</f>
        <v>árvore-guarda-chuva</v>
      </c>
    </row>
    <row r="6773">
      <c r="A6773" s="3">
        <v>45715.0</v>
      </c>
      <c r="B6773" s="4">
        <v>0.29444444444444445</v>
      </c>
      <c r="C6773" s="5" t="s">
        <v>50</v>
      </c>
      <c r="D6773" s="5" t="s">
        <v>1197</v>
      </c>
      <c r="E6773" s="8" t="s">
        <v>38</v>
      </c>
      <c r="F6773" s="5" t="s">
        <v>39</v>
      </c>
      <c r="G6773" s="6" t="str">
        <f>VLOOKUP(E6773,dicionario!$A$1:$C7172,2,0)</f>
        <v>Troglodytes musculus</v>
      </c>
      <c r="H6773" s="6" t="str">
        <f>VLOOKUP(E6773,dicionario!$A$1:$C7172,3,0)</f>
        <v>curruíra</v>
      </c>
    </row>
    <row r="6774">
      <c r="A6774" s="3">
        <v>45715.0</v>
      </c>
      <c r="B6774" s="4">
        <v>0.29444444444444445</v>
      </c>
      <c r="C6774" s="5" t="s">
        <v>50</v>
      </c>
      <c r="D6774" s="5" t="s">
        <v>1197</v>
      </c>
      <c r="E6774" s="8" t="s">
        <v>251</v>
      </c>
      <c r="F6774" s="5" t="s">
        <v>252</v>
      </c>
      <c r="G6774" s="6" t="str">
        <f>VLOOKUP(E6774,dicionario!$A$1:$C7173,2,0)</f>
        <v>Struthanthus flexicaulis</v>
      </c>
      <c r="H6774" s="6" t="str">
        <f>VLOOKUP(E6774,dicionario!$A$1:$C7173,3,0)</f>
        <v>erva-de-passarinho</v>
      </c>
    </row>
    <row r="6775">
      <c r="A6775" s="3">
        <v>45715.0</v>
      </c>
      <c r="B6775" s="4">
        <v>0.29444444444444445</v>
      </c>
      <c r="C6775" s="5" t="s">
        <v>50</v>
      </c>
      <c r="D6775" s="5" t="s">
        <v>1197</v>
      </c>
      <c r="E6775" s="8" t="s">
        <v>122</v>
      </c>
      <c r="F6775" s="7" t="s">
        <v>123</v>
      </c>
      <c r="G6775" s="6" t="str">
        <f>VLOOKUP(E6775,dicionario!$A$1:$C7174,2,0)</f>
        <v>Todirostrum cinereum</v>
      </c>
      <c r="H6775" s="6" t="str">
        <f>VLOOKUP(E6775,dicionario!$A$1:$C7174,3,0)</f>
        <v>ferreirinho-relógio</v>
      </c>
    </row>
    <row r="6776">
      <c r="A6776" s="3">
        <v>45715.0</v>
      </c>
      <c r="B6776" s="4">
        <v>0.29444444444444445</v>
      </c>
      <c r="C6776" s="5" t="s">
        <v>50</v>
      </c>
      <c r="D6776" s="5" t="s">
        <v>1197</v>
      </c>
      <c r="E6776" s="8" t="s">
        <v>109</v>
      </c>
      <c r="F6776" s="5" t="s">
        <v>110</v>
      </c>
      <c r="G6776" s="6" t="str">
        <f>VLOOKUP(E6776,dicionario!$A$1:$C7175,2,0)</f>
        <v>Tillandsia stricta</v>
      </c>
      <c r="H6776" s="6" t="str">
        <f>VLOOKUP(E6776,dicionario!$A$1:$C7175,3,0)</f>
        <v>cravo-do-mato</v>
      </c>
    </row>
    <row r="6777">
      <c r="A6777" s="3">
        <v>45715.0</v>
      </c>
      <c r="B6777" s="4">
        <v>0.29444444444444445</v>
      </c>
      <c r="C6777" s="5" t="s">
        <v>50</v>
      </c>
      <c r="D6777" s="5" t="s">
        <v>1197</v>
      </c>
      <c r="E6777" s="8" t="s">
        <v>223</v>
      </c>
      <c r="F6777" s="5" t="s">
        <v>224</v>
      </c>
      <c r="G6777" s="6" t="str">
        <f>VLOOKUP(E6777,dicionario!$A$1:$C7176,2,0)</f>
        <v>Rhipsalis lindbergiana</v>
      </c>
      <c r="H6777" s="6" t="str">
        <f>VLOOKUP(E6777,dicionario!$A$1:$C7176,3,0)</f>
        <v>cacto-macarrão</v>
      </c>
    </row>
    <row r="6778">
      <c r="A6778" s="3">
        <v>45715.0</v>
      </c>
      <c r="B6778" s="4">
        <v>0.29444444444444445</v>
      </c>
      <c r="C6778" s="5" t="s">
        <v>50</v>
      </c>
      <c r="D6778" s="5" t="s">
        <v>1197</v>
      </c>
      <c r="E6778" s="8" t="s">
        <v>247</v>
      </c>
      <c r="F6778" s="5" t="s">
        <v>387</v>
      </c>
      <c r="G6778" s="6" t="str">
        <f>VLOOKUP(E6778,dicionario!$A$1:$C7177,2,0)</f>
        <v>Emilia sonchifolia</v>
      </c>
      <c r="H6778" s="6" t="str">
        <f>VLOOKUP(E6778,dicionario!$A$1:$C7177,3,0)</f>
        <v>serralinha</v>
      </c>
    </row>
    <row r="6779">
      <c r="A6779" s="3">
        <v>45715.0</v>
      </c>
      <c r="B6779" s="4">
        <v>0.2951388888888889</v>
      </c>
      <c r="C6779" s="5" t="s">
        <v>50</v>
      </c>
      <c r="D6779" s="5" t="s">
        <v>1197</v>
      </c>
      <c r="E6779" s="6" t="s">
        <v>253</v>
      </c>
      <c r="F6779" s="5" t="s">
        <v>254</v>
      </c>
      <c r="G6779" s="6" t="str">
        <f>VLOOKUP(E6779,dicionario!$A$1:$C7178,2,0)</f>
        <v>Panicum maximum</v>
      </c>
      <c r="H6779" s="6" t="str">
        <f>VLOOKUP(E6779,dicionario!$A$1:$C7178,3,0)</f>
        <v>capim-colonião</v>
      </c>
    </row>
    <row r="6780">
      <c r="A6780" s="3">
        <v>45715.0</v>
      </c>
      <c r="B6780" s="4">
        <v>0.2951388888888889</v>
      </c>
      <c r="C6780" s="5" t="s">
        <v>50</v>
      </c>
      <c r="D6780" s="5" t="s">
        <v>1197</v>
      </c>
      <c r="E6780" s="6" t="s">
        <v>113</v>
      </c>
      <c r="F6780" s="5" t="s">
        <v>114</v>
      </c>
      <c r="G6780" s="6" t="str">
        <f>VLOOKUP(E6780,dicionario!$A$1:$C7179,2,0)</f>
        <v>Columbina talpacoti</v>
      </c>
      <c r="H6780" s="6" t="str">
        <f>VLOOKUP(E6780,dicionario!$A$1:$C7179,3,0)</f>
        <v>rolinha-roxa</v>
      </c>
    </row>
    <row r="6781">
      <c r="A6781" s="3">
        <v>45715.0</v>
      </c>
      <c r="B6781" s="4">
        <v>0.2951388888888889</v>
      </c>
      <c r="C6781" s="5" t="s">
        <v>50</v>
      </c>
      <c r="D6781" s="5" t="s">
        <v>1197</v>
      </c>
      <c r="E6781" s="8" t="s">
        <v>616</v>
      </c>
      <c r="F6781" s="5" t="s">
        <v>617</v>
      </c>
      <c r="G6781" s="6" t="str">
        <f>VLOOKUP(E6781,dicionario!$A$1:$C7180,2,0)</f>
        <v>#N/A</v>
      </c>
      <c r="H6781" s="6" t="str">
        <f>VLOOKUP(E6781,dicionario!$A$1:$C7180,3,0)</f>
        <v>#N/A</v>
      </c>
    </row>
    <row r="6782">
      <c r="A6782" s="3">
        <v>45715.0</v>
      </c>
      <c r="B6782" s="4">
        <v>0.25625</v>
      </c>
      <c r="C6782" s="5" t="s">
        <v>50</v>
      </c>
      <c r="D6782" s="5" t="s">
        <v>1197</v>
      </c>
      <c r="E6782" s="8" t="s">
        <v>38</v>
      </c>
      <c r="F6782" s="5" t="s">
        <v>39</v>
      </c>
      <c r="G6782" s="6" t="str">
        <f>VLOOKUP(E6782,dicionario!$A$1:$C7181,2,0)</f>
        <v>Troglodytes musculus</v>
      </c>
      <c r="H6782" s="6" t="str">
        <f>VLOOKUP(E6782,dicionario!$A$1:$C7181,3,0)</f>
        <v>curruíra</v>
      </c>
    </row>
    <row r="6783">
      <c r="A6783" s="3">
        <v>45715.0</v>
      </c>
      <c r="B6783" s="4">
        <v>0.25625</v>
      </c>
      <c r="C6783" s="5" t="s">
        <v>50</v>
      </c>
      <c r="D6783" s="5" t="s">
        <v>1197</v>
      </c>
      <c r="E6783" s="8" t="s">
        <v>191</v>
      </c>
      <c r="F6783" s="5" t="s">
        <v>192</v>
      </c>
      <c r="G6783" s="6" t="str">
        <f>VLOOKUP(E6783,dicionario!$A$1:$C7182,2,0)</f>
        <v>Patagioenas picazuro</v>
      </c>
      <c r="H6783" s="6" t="str">
        <f>VLOOKUP(E6783,dicionario!$A$1:$C7182,3,0)</f>
        <v>asa-branca; pomba-asa-branca; pocaçu</v>
      </c>
    </row>
    <row r="6784">
      <c r="A6784" s="3">
        <v>45715.0</v>
      </c>
      <c r="B6784" s="4">
        <v>0.25625</v>
      </c>
      <c r="C6784" s="5" t="s">
        <v>50</v>
      </c>
      <c r="D6784" s="5" t="s">
        <v>1197</v>
      </c>
      <c r="E6784" s="8" t="s">
        <v>338</v>
      </c>
      <c r="F6784" s="5" t="s">
        <v>238</v>
      </c>
      <c r="G6784" s="6" t="str">
        <f>VLOOKUP(E6784,dicionario!$A$1:$C7183,2,0)</f>
        <v>Atta</v>
      </c>
      <c r="H6784" s="6" t="str">
        <f>VLOOKUP(E6784,dicionario!$A$1:$C7183,3,0)</f>
        <v>saúva</v>
      </c>
    </row>
    <row r="6785">
      <c r="A6785" s="3">
        <v>45715.0</v>
      </c>
      <c r="B6785" s="4">
        <v>0.29930555555555555</v>
      </c>
      <c r="C6785" s="5" t="s">
        <v>50</v>
      </c>
      <c r="D6785" s="5" t="s">
        <v>1197</v>
      </c>
      <c r="E6785" s="8" t="s">
        <v>22</v>
      </c>
      <c r="F6785" s="5" t="s">
        <v>97</v>
      </c>
      <c r="G6785" s="6" t="str">
        <f>VLOOKUP(E6785,dicionario!$A$1:$C7184,2,0)</f>
        <v>Zenaida auriculata</v>
      </c>
      <c r="H6785" s="6" t="str">
        <f>VLOOKUP(E6785,dicionario!$A$1:$C7184,3,0)</f>
        <v>pomba-de-bando; avoante</v>
      </c>
    </row>
    <row r="6786">
      <c r="A6786" s="3">
        <v>45715.0</v>
      </c>
      <c r="B6786" s="4">
        <v>0.30069444444444443</v>
      </c>
      <c r="C6786" s="5" t="s">
        <v>50</v>
      </c>
      <c r="D6786" s="5" t="s">
        <v>1197</v>
      </c>
      <c r="E6786" s="8" t="s">
        <v>95</v>
      </c>
      <c r="F6786" s="5" t="s">
        <v>96</v>
      </c>
      <c r="G6786" s="6" t="str">
        <f>VLOOKUP(E6786,dicionario!$A$1:$C7185,2,0)</f>
        <v>Misumenops maculissparsus</v>
      </c>
      <c r="H6786" s="6" t="str">
        <f>VLOOKUP(E6786,dicionario!$A$1:$C7185,3,0)</f>
        <v>aranha-caranguejo</v>
      </c>
    </row>
    <row r="6787">
      <c r="A6787" s="3">
        <v>45715.0</v>
      </c>
      <c r="B6787" s="4">
        <v>0.3013888888888889</v>
      </c>
      <c r="C6787" s="5" t="s">
        <v>50</v>
      </c>
      <c r="D6787" s="5" t="s">
        <v>1197</v>
      </c>
      <c r="E6787" s="8" t="s">
        <v>251</v>
      </c>
      <c r="F6787" s="5" t="s">
        <v>252</v>
      </c>
      <c r="G6787" s="6" t="str">
        <f>VLOOKUP(E6787,dicionario!$A$1:$C7186,2,0)</f>
        <v>Struthanthus flexicaulis</v>
      </c>
      <c r="H6787" s="6" t="str">
        <f>VLOOKUP(E6787,dicionario!$A$1:$C7186,3,0)</f>
        <v>erva-de-passarinho</v>
      </c>
    </row>
    <row r="6788">
      <c r="A6788" s="3">
        <v>45715.0</v>
      </c>
      <c r="B6788" s="4">
        <v>0.3034722222222222</v>
      </c>
      <c r="C6788" s="5" t="s">
        <v>59</v>
      </c>
      <c r="D6788" s="5" t="s">
        <v>1197</v>
      </c>
      <c r="E6788" s="8" t="s">
        <v>1200</v>
      </c>
      <c r="F6788" s="5" t="s">
        <v>1201</v>
      </c>
      <c r="G6788" s="6" t="str">
        <f>VLOOKUP(E6788,dicionario!$A$1:$C7187,2,0)</f>
        <v>#N/A</v>
      </c>
      <c r="H6788" s="6" t="str">
        <f>VLOOKUP(E6788,dicionario!$A$1:$C7187,3,0)</f>
        <v>#N/A</v>
      </c>
    </row>
    <row r="6789">
      <c r="A6789" s="3">
        <v>45715.0</v>
      </c>
      <c r="B6789" s="4">
        <v>0.3034722222222222</v>
      </c>
      <c r="C6789" s="5" t="s">
        <v>59</v>
      </c>
      <c r="D6789" s="5" t="s">
        <v>1197</v>
      </c>
      <c r="E6789" s="8" t="s">
        <v>191</v>
      </c>
      <c r="F6789" s="5" t="s">
        <v>192</v>
      </c>
      <c r="G6789" s="6" t="str">
        <f>VLOOKUP(E6789,dicionario!$A$1:$C7188,2,0)</f>
        <v>Patagioenas picazuro</v>
      </c>
      <c r="H6789" s="6" t="str">
        <f>VLOOKUP(E6789,dicionario!$A$1:$C7188,3,0)</f>
        <v>asa-branca; pomba-asa-branca; pocaçu</v>
      </c>
    </row>
    <row r="6790">
      <c r="A6790" s="3">
        <v>45715.0</v>
      </c>
      <c r="B6790" s="4">
        <v>0.3034722222222222</v>
      </c>
      <c r="C6790" s="5" t="s">
        <v>59</v>
      </c>
      <c r="D6790" s="5" t="s">
        <v>1197</v>
      </c>
      <c r="E6790" s="8" t="s">
        <v>53</v>
      </c>
      <c r="F6790" s="7" t="s">
        <v>54</v>
      </c>
      <c r="G6790" s="6" t="str">
        <f>VLOOKUP(E6790,dicionario!$A$1:$C7189,2,0)</f>
        <v>Turnera subulata</v>
      </c>
      <c r="H6790" s="6" t="str">
        <f>VLOOKUP(E6790,dicionario!$A$1:$C7189,3,0)</f>
        <v>xanana</v>
      </c>
    </row>
    <row r="6791">
      <c r="A6791" s="3">
        <v>45715.0</v>
      </c>
      <c r="B6791" s="4">
        <v>0.3034722222222222</v>
      </c>
      <c r="C6791" s="5" t="s">
        <v>59</v>
      </c>
      <c r="D6791" s="5" t="s">
        <v>1197</v>
      </c>
      <c r="E6791" s="8" t="s">
        <v>46</v>
      </c>
      <c r="F6791" s="5" t="s">
        <v>47</v>
      </c>
      <c r="G6791" s="6" t="str">
        <f>VLOOKUP(E6791,dicionario!$A$1:$C7190,2,0)</f>
        <v>Chionomesa fimbriata</v>
      </c>
      <c r="H6791" s="6" t="str">
        <f>VLOOKUP(E6791,dicionario!$A$1:$C7190,3,0)</f>
        <v>beija-flor-de-garganta-verde</v>
      </c>
    </row>
    <row r="6792">
      <c r="A6792" s="3">
        <v>45715.0</v>
      </c>
      <c r="B6792" s="4">
        <v>0.3034722222222222</v>
      </c>
      <c r="C6792" s="5" t="s">
        <v>59</v>
      </c>
      <c r="D6792" s="5" t="s">
        <v>1197</v>
      </c>
      <c r="E6792" s="8" t="s">
        <v>20</v>
      </c>
      <c r="F6792" s="7" t="s">
        <v>21</v>
      </c>
      <c r="G6792" s="6" t="str">
        <f>VLOOKUP(E6792,dicionario!$A$1:$C7191,2,0)</f>
        <v>Sicalis flaveola</v>
      </c>
      <c r="H6792" s="6" t="str">
        <f>VLOOKUP(E6792,dicionario!$A$1:$C7191,3,0)</f>
        <v>canário-da-terra</v>
      </c>
    </row>
    <row r="6793">
      <c r="A6793" s="3">
        <v>45715.0</v>
      </c>
      <c r="B6793" s="4">
        <v>0.3034722222222222</v>
      </c>
      <c r="C6793" s="5" t="s">
        <v>59</v>
      </c>
      <c r="D6793" s="5" t="s">
        <v>1197</v>
      </c>
      <c r="E6793" s="8" t="s">
        <v>148</v>
      </c>
      <c r="F6793" s="5" t="s">
        <v>149</v>
      </c>
      <c r="G6793" s="6" t="str">
        <f>VLOOKUP(E6793,dicionario!$A$1:$C7192,2,0)</f>
        <v>Parthenium hysterophorus</v>
      </c>
      <c r="H6793" s="6" t="str">
        <f>VLOOKUP(E6793,dicionario!$A$1:$C7192,3,0)</f>
        <v>losna-branca</v>
      </c>
    </row>
    <row r="6794">
      <c r="A6794" s="3">
        <v>45715.0</v>
      </c>
      <c r="B6794" s="4">
        <v>0.3034722222222222</v>
      </c>
      <c r="C6794" s="5" t="s">
        <v>59</v>
      </c>
      <c r="D6794" s="5" t="s">
        <v>1197</v>
      </c>
      <c r="E6794" s="8" t="s">
        <v>99</v>
      </c>
      <c r="F6794" s="5" t="s">
        <v>508</v>
      </c>
      <c r="G6794" s="6" t="str">
        <f>VLOOKUP(E6794,dicionario!$A$1:$C7193,2,0)</f>
        <v>Molothrus bonariensis</v>
      </c>
      <c r="H6794" s="6" t="str">
        <f>VLOOKUP(E6794,dicionario!$A$1:$C7193,3,0)</f>
        <v>chupim</v>
      </c>
    </row>
    <row r="6795">
      <c r="A6795" s="3">
        <v>45715.0</v>
      </c>
      <c r="B6795" s="4">
        <v>0.30416666666666664</v>
      </c>
      <c r="C6795" s="5" t="s">
        <v>59</v>
      </c>
      <c r="D6795" s="5" t="s">
        <v>1197</v>
      </c>
      <c r="E6795" s="8" t="s">
        <v>296</v>
      </c>
      <c r="F6795" s="5" t="s">
        <v>297</v>
      </c>
      <c r="G6795" s="6" t="str">
        <f>VLOOKUP(E6795,dicionario!$A$1:$C7194,2,0)</f>
        <v>Richardia brasiliensis</v>
      </c>
      <c r="H6795" s="6" t="str">
        <f>VLOOKUP(E6795,dicionario!$A$1:$C7194,3,0)</f>
        <v>poaia-branca</v>
      </c>
    </row>
    <row r="6796">
      <c r="A6796" s="3">
        <v>45715.0</v>
      </c>
      <c r="B6796" s="4">
        <v>0.30486111111111114</v>
      </c>
      <c r="C6796" s="5" t="s">
        <v>59</v>
      </c>
      <c r="D6796" s="5" t="s">
        <v>1197</v>
      </c>
      <c r="E6796" s="8" t="s">
        <v>109</v>
      </c>
      <c r="F6796" s="5" t="s">
        <v>110</v>
      </c>
      <c r="G6796" s="6" t="str">
        <f>VLOOKUP(E6796,dicionario!$A$1:$C7195,2,0)</f>
        <v>Tillandsia stricta</v>
      </c>
      <c r="H6796" s="6" t="str">
        <f>VLOOKUP(E6796,dicionario!$A$1:$C7195,3,0)</f>
        <v>cravo-do-mato</v>
      </c>
    </row>
    <row r="6797">
      <c r="A6797" s="3">
        <v>45715.0</v>
      </c>
      <c r="B6797" s="4">
        <v>0.30486111111111114</v>
      </c>
      <c r="C6797" s="5" t="s">
        <v>59</v>
      </c>
      <c r="D6797" s="5" t="s">
        <v>1197</v>
      </c>
      <c r="E6797" s="8" t="s">
        <v>107</v>
      </c>
      <c r="F6797" s="5" t="s">
        <v>108</v>
      </c>
      <c r="G6797" s="6" t="str">
        <f>VLOOKUP(E6797,dicionario!$A$1:$C7196,2,0)</f>
        <v>Ramalina complanata</v>
      </c>
      <c r="H6797" s="6" t="str">
        <f>VLOOKUP(E6797,dicionario!$A$1:$C7196,3,0)</f>
        <v>ramalina</v>
      </c>
    </row>
    <row r="6798">
      <c r="A6798" s="3">
        <v>45715.0</v>
      </c>
      <c r="B6798" s="4">
        <v>0.30486111111111114</v>
      </c>
      <c r="C6798" s="5" t="s">
        <v>59</v>
      </c>
      <c r="D6798" s="5" t="s">
        <v>1197</v>
      </c>
      <c r="E6798" s="8" t="s">
        <v>712</v>
      </c>
      <c r="F6798" s="5" t="s">
        <v>718</v>
      </c>
      <c r="G6798" s="6" t="str">
        <f>VLOOKUP(E6798,dicionario!$A$1:$C7197,2,0)</f>
        <v>Flavopunctelia soredica</v>
      </c>
      <c r="H6798" s="6" t="str">
        <f>VLOOKUP(E6798,dicionario!$A$1:$C7197,3,0)</f>
        <v>líquen-folioso</v>
      </c>
    </row>
    <row r="6799">
      <c r="A6799" s="3">
        <v>45715.0</v>
      </c>
      <c r="B6799" s="4">
        <v>0.30486111111111114</v>
      </c>
      <c r="C6799" s="5" t="s">
        <v>59</v>
      </c>
      <c r="D6799" s="5" t="s">
        <v>1197</v>
      </c>
      <c r="E6799" s="6" t="s">
        <v>113</v>
      </c>
      <c r="F6799" s="5" t="s">
        <v>114</v>
      </c>
      <c r="G6799" s="6" t="str">
        <f>VLOOKUP(E6799,dicionario!$A$1:$C7198,2,0)</f>
        <v>Columbina talpacoti</v>
      </c>
      <c r="H6799" s="6" t="str">
        <f>VLOOKUP(E6799,dicionario!$A$1:$C7198,3,0)</f>
        <v>rolinha-roxa</v>
      </c>
    </row>
    <row r="6800">
      <c r="A6800" s="3">
        <v>45715.0</v>
      </c>
      <c r="B6800" s="4">
        <v>0.30486111111111114</v>
      </c>
      <c r="C6800" s="5" t="s">
        <v>59</v>
      </c>
      <c r="D6800" s="5" t="s">
        <v>1197</v>
      </c>
      <c r="E6800" s="8" t="s">
        <v>209</v>
      </c>
      <c r="F6800" s="5" t="s">
        <v>210</v>
      </c>
      <c r="G6800" s="6" t="str">
        <f>VLOOKUP(E6800,dicionario!$A$1:$C7199,2,0)</f>
        <v>Furnarius figulus</v>
      </c>
      <c r="H6800" s="6" t="str">
        <f>VLOOKUP(E6800,dicionario!$A$1:$C7199,3,0)</f>
        <v>casaca-de-couro-da-lama</v>
      </c>
    </row>
    <row r="6801">
      <c r="A6801" s="3">
        <v>45715.0</v>
      </c>
      <c r="B6801" s="4">
        <v>0.3055555555555556</v>
      </c>
      <c r="C6801" s="5" t="s">
        <v>59</v>
      </c>
      <c r="D6801" s="5" t="s">
        <v>1197</v>
      </c>
      <c r="E6801" s="8" t="s">
        <v>162</v>
      </c>
      <c r="F6801" s="7" t="s">
        <v>42</v>
      </c>
      <c r="G6801" s="6" t="str">
        <f>VLOOKUP(E6801,dicionario!$A$1:$C7200,2,0)</f>
        <v>Fluvicola nengeta</v>
      </c>
      <c r="H6801" s="6" t="str">
        <f>VLOOKUP(E6801,dicionario!$A$1:$C7200,3,0)</f>
        <v>lavadeira-mascarada</v>
      </c>
    </row>
    <row r="6802">
      <c r="A6802" s="3">
        <v>45715.0</v>
      </c>
      <c r="B6802" s="4">
        <v>0.3055555555555556</v>
      </c>
      <c r="C6802" s="5" t="s">
        <v>59</v>
      </c>
      <c r="D6802" s="5" t="s">
        <v>1197</v>
      </c>
      <c r="E6802" s="6" t="s">
        <v>146</v>
      </c>
      <c r="F6802" s="5" t="s">
        <v>147</v>
      </c>
      <c r="G6802" s="6" t="str">
        <f>VLOOKUP(E6802,dicionario!$A$1:$C7201,2,0)</f>
        <v>Euphorbia hirta</v>
      </c>
      <c r="H6802" s="6" t="str">
        <f>VLOOKUP(E6802,dicionario!$A$1:$C7201,3,0)</f>
        <v>erva-de-santa-luzia</v>
      </c>
    </row>
    <row r="6803">
      <c r="A6803" s="3">
        <v>45715.0</v>
      </c>
      <c r="B6803" s="4">
        <v>0.3055555555555556</v>
      </c>
      <c r="C6803" s="5" t="s">
        <v>59</v>
      </c>
      <c r="D6803" s="5" t="s">
        <v>1197</v>
      </c>
      <c r="E6803" s="8" t="s">
        <v>353</v>
      </c>
      <c r="F6803" s="5" t="s">
        <v>354</v>
      </c>
      <c r="G6803" s="6" t="str">
        <f>VLOOKUP(E6803,dicionario!$A$1:$C7202,2,0)</f>
        <v>Desmodium incanum</v>
      </c>
      <c r="H6803" s="6" t="str">
        <f>VLOOKUP(E6803,dicionario!$A$1:$C7202,3,0)</f>
        <v>pega-pega</v>
      </c>
    </row>
    <row r="6804">
      <c r="A6804" s="3">
        <v>45715.0</v>
      </c>
      <c r="B6804" s="4">
        <v>0.3055555555555556</v>
      </c>
      <c r="C6804" s="5" t="s">
        <v>59</v>
      </c>
      <c r="D6804" s="5" t="s">
        <v>1197</v>
      </c>
      <c r="E6804" s="8" t="s">
        <v>938</v>
      </c>
      <c r="F6804" s="5" t="s">
        <v>737</v>
      </c>
      <c r="G6804" s="6" t="str">
        <f>VLOOKUP(E6804,dicionario!$A$1:$C7203,2,0)</f>
        <v>Chloris barbata</v>
      </c>
      <c r="H6804" s="6" t="str">
        <f>VLOOKUP(E6804,dicionario!$A$1:$C7203,3,0)</f>
        <v/>
      </c>
    </row>
    <row r="6805">
      <c r="A6805" s="3">
        <v>45715.0</v>
      </c>
      <c r="B6805" s="4">
        <v>0.30625</v>
      </c>
      <c r="C6805" s="5" t="s">
        <v>59</v>
      </c>
      <c r="D6805" s="5" t="s">
        <v>1197</v>
      </c>
      <c r="E6805" s="8" t="s">
        <v>489</v>
      </c>
      <c r="F6805" s="5" t="s">
        <v>521</v>
      </c>
      <c r="G6805" s="6" t="str">
        <f>VLOOKUP(E6805,dicionario!$A$1:$C7204,2,0)</f>
        <v>Cenchrus echinatus</v>
      </c>
      <c r="H6805" s="6" t="str">
        <f>VLOOKUP(E6805,dicionario!$A$1:$C7204,3,0)</f>
        <v>capim-carrapicho</v>
      </c>
    </row>
    <row r="6806">
      <c r="A6806" s="3">
        <v>45715.0</v>
      </c>
      <c r="B6806" s="4">
        <v>0.30625</v>
      </c>
      <c r="C6806" s="5" t="s">
        <v>59</v>
      </c>
      <c r="D6806" s="5" t="s">
        <v>1197</v>
      </c>
      <c r="E6806" s="8" t="s">
        <v>135</v>
      </c>
      <c r="F6806" s="5" t="s">
        <v>136</v>
      </c>
      <c r="G6806" s="6" t="str">
        <f>VLOOKUP(E6806,dicionario!$A$1:$C7205,2,0)</f>
        <v>Tridax procumbens</v>
      </c>
      <c r="H6806" s="6" t="str">
        <f>VLOOKUP(E6806,dicionario!$A$1:$C7205,3,0)</f>
        <v>erva-de-touro</v>
      </c>
    </row>
    <row r="6807">
      <c r="A6807" s="3">
        <v>45715.0</v>
      </c>
      <c r="B6807" s="4">
        <v>0.30625</v>
      </c>
      <c r="C6807" s="5" t="s">
        <v>59</v>
      </c>
      <c r="D6807" s="5" t="s">
        <v>1197</v>
      </c>
      <c r="E6807" s="8" t="s">
        <v>298</v>
      </c>
      <c r="F6807" s="5" t="s">
        <v>299</v>
      </c>
      <c r="G6807" s="6" t="str">
        <f>VLOOKUP(E6807,dicionario!$A$1:$C7206,2,0)</f>
        <v>Alysicarpus vaginalis</v>
      </c>
      <c r="H6807" s="6" t="str">
        <f>VLOOKUP(E6807,dicionario!$A$1:$C7206,3,0)</f>
        <v/>
      </c>
    </row>
    <row r="6808">
      <c r="A6808" s="3">
        <v>45715.0</v>
      </c>
      <c r="B6808" s="4">
        <v>0.30625</v>
      </c>
      <c r="C6808" s="5" t="s">
        <v>59</v>
      </c>
      <c r="D6808" s="5" t="s">
        <v>1197</v>
      </c>
      <c r="E6808" s="8" t="s">
        <v>38</v>
      </c>
      <c r="F6808" s="5" t="s">
        <v>39</v>
      </c>
      <c r="G6808" s="6" t="str">
        <f>VLOOKUP(E6808,dicionario!$A$1:$C7207,2,0)</f>
        <v>Troglodytes musculus</v>
      </c>
      <c r="H6808" s="6" t="str">
        <f>VLOOKUP(E6808,dicionario!$A$1:$C7207,3,0)</f>
        <v>curruíra</v>
      </c>
    </row>
    <row r="6809">
      <c r="A6809" s="3">
        <v>45715.0</v>
      </c>
      <c r="B6809" s="4">
        <v>0.30625</v>
      </c>
      <c r="C6809" s="5" t="s">
        <v>59</v>
      </c>
      <c r="D6809" s="5" t="s">
        <v>1197</v>
      </c>
      <c r="E6809" s="8" t="s">
        <v>355</v>
      </c>
      <c r="F6809" s="5" t="s">
        <v>356</v>
      </c>
      <c r="G6809" s="6" t="str">
        <f>VLOOKUP(E6809,dicionario!$A$1:$C7208,2,0)</f>
        <v>Boerhavia diffusa</v>
      </c>
      <c r="H6809" s="6" t="str">
        <f>VLOOKUP(E6809,dicionario!$A$1:$C7208,3,0)</f>
        <v>erva-tostão</v>
      </c>
    </row>
    <row r="6810">
      <c r="A6810" s="3">
        <v>45715.0</v>
      </c>
      <c r="B6810" s="4">
        <v>0.30694444444444446</v>
      </c>
      <c r="C6810" s="5" t="s">
        <v>59</v>
      </c>
      <c r="D6810" s="5" t="s">
        <v>1197</v>
      </c>
      <c r="E6810" s="8" t="s">
        <v>14</v>
      </c>
      <c r="F6810" s="5" t="s">
        <v>15</v>
      </c>
      <c r="G6810" s="6" t="str">
        <f>VLOOKUP(E6810,dicionario!$A$1:$C7209,2,0)</f>
        <v>Spermacoce verticillata</v>
      </c>
      <c r="H6810" s="6" t="str">
        <f>VLOOKUP(E6810,dicionario!$A$1:$C7209,3,0)</f>
        <v>vassourinha-de-botão</v>
      </c>
    </row>
    <row r="6811">
      <c r="A6811" s="3">
        <v>45715.0</v>
      </c>
      <c r="B6811" s="4">
        <v>0.30694444444444446</v>
      </c>
      <c r="C6811" s="5" t="s">
        <v>59</v>
      </c>
      <c r="D6811" s="5" t="s">
        <v>1197</v>
      </c>
      <c r="E6811" s="8" t="s">
        <v>239</v>
      </c>
      <c r="F6811" s="5" t="s">
        <v>240</v>
      </c>
      <c r="G6811" s="6" t="str">
        <f>VLOOKUP(E6811,dicionario!$A$1:$C7210,2,0)</f>
        <v>Gomphrena celosioides</v>
      </c>
      <c r="H6811" s="6" t="str">
        <f>VLOOKUP(E6811,dicionario!$A$1:$C7210,3,0)</f>
        <v>perpétua-branca</v>
      </c>
    </row>
    <row r="6812">
      <c r="A6812" s="3">
        <v>45715.0</v>
      </c>
      <c r="B6812" s="4">
        <v>0.30694444444444446</v>
      </c>
      <c r="C6812" s="5" t="s">
        <v>59</v>
      </c>
      <c r="D6812" s="5" t="s">
        <v>1197</v>
      </c>
      <c r="E6812" s="8" t="s">
        <v>1127</v>
      </c>
      <c r="F6812" s="5" t="s">
        <v>1128</v>
      </c>
      <c r="G6812" s="6" t="str">
        <f>VLOOKUP(E6812,dicionario!$A$1:$C7211,2,0)</f>
        <v>Albizia lebbeck</v>
      </c>
      <c r="H6812" s="6" t="str">
        <f>VLOOKUP(E6812,dicionario!$A$1:$C7211,3,0)</f>
        <v>albízia</v>
      </c>
    </row>
    <row r="6813">
      <c r="A6813" s="3">
        <v>45715.0</v>
      </c>
      <c r="B6813" s="4">
        <v>0.30694444444444446</v>
      </c>
      <c r="C6813" s="5" t="s">
        <v>59</v>
      </c>
      <c r="D6813" s="5" t="s">
        <v>1197</v>
      </c>
      <c r="E6813" s="8" t="s">
        <v>167</v>
      </c>
      <c r="F6813" s="5" t="s">
        <v>1202</v>
      </c>
      <c r="G6813" s="6" t="str">
        <f>VLOOKUP(E6813,dicionario!$A$1:$C7212,2,0)</f>
        <v>Hemidactylus mabouia</v>
      </c>
      <c r="H6813" s="6" t="str">
        <f>VLOOKUP(E6813,dicionario!$A$1:$C7212,3,0)</f>
        <v>lagartixa-doméstica-tropical</v>
      </c>
    </row>
    <row r="6814">
      <c r="A6814" s="3">
        <v>45715.0</v>
      </c>
      <c r="B6814" s="4">
        <v>0.3076388888888889</v>
      </c>
      <c r="C6814" s="5" t="s">
        <v>59</v>
      </c>
      <c r="D6814" s="5" t="s">
        <v>1197</v>
      </c>
      <c r="E6814" s="8" t="s">
        <v>1167</v>
      </c>
      <c r="F6814" s="5" t="s">
        <v>1203</v>
      </c>
      <c r="G6814" s="6" t="str">
        <f>VLOOKUP(E6814,dicionario!$A$1:$C7213,2,0)</f>
        <v>Tillandsia recurvata</v>
      </c>
      <c r="H6814" s="6" t="str">
        <f>VLOOKUP(E6814,dicionario!$A$1:$C7213,3,0)</f>
        <v>cravo-do-mato sp2</v>
      </c>
    </row>
    <row r="6815">
      <c r="A6815" s="3">
        <v>45715.0</v>
      </c>
      <c r="B6815" s="4">
        <v>0.3076388888888889</v>
      </c>
      <c r="C6815" s="5" t="s">
        <v>59</v>
      </c>
      <c r="D6815" s="5" t="s">
        <v>1197</v>
      </c>
      <c r="E6815" s="8" t="s">
        <v>213</v>
      </c>
      <c r="F6815" s="7" t="s">
        <v>214</v>
      </c>
      <c r="G6815" s="6" t="str">
        <f>VLOOKUP(E6815,dicionario!$A$1:$C7214,2,0)</f>
        <v>Myiozetetes similis</v>
      </c>
      <c r="H6815" s="6" t="str">
        <f>VLOOKUP(E6815,dicionario!$A$1:$C7214,3,0)</f>
        <v>bentevizinho-de-penacho-vermelho</v>
      </c>
    </row>
    <row r="6816">
      <c r="A6816" s="3">
        <v>45715.0</v>
      </c>
      <c r="B6816" s="4">
        <v>0.3076388888888889</v>
      </c>
      <c r="C6816" s="5" t="s">
        <v>59</v>
      </c>
      <c r="D6816" s="5" t="s">
        <v>1197</v>
      </c>
      <c r="E6816" s="8" t="s">
        <v>72</v>
      </c>
      <c r="F6816" s="5" t="s">
        <v>73</v>
      </c>
      <c r="G6816" s="6" t="str">
        <f>VLOOKUP(E6816,dicionario!$A$1:$C7215,2,0)</f>
        <v>Thraupis palmarum</v>
      </c>
      <c r="H6816" s="6" t="str">
        <f>VLOOKUP(E6816,dicionario!$A$1:$C7215,3,0)</f>
        <v>sanhaço-do-coqueiro</v>
      </c>
    </row>
    <row r="6817">
      <c r="A6817" s="3">
        <v>45715.0</v>
      </c>
      <c r="B6817" s="4">
        <v>0.3090277777777778</v>
      </c>
      <c r="C6817" s="5" t="s">
        <v>59</v>
      </c>
      <c r="D6817" s="5" t="s">
        <v>1197</v>
      </c>
      <c r="E6817" s="8" t="s">
        <v>503</v>
      </c>
      <c r="F6817" s="5" t="s">
        <v>414</v>
      </c>
      <c r="G6817" s="6" t="str">
        <f>VLOOKUP(E6817,dicionario!$A$1:$C7216,2,0)</f>
        <v>Orphulella punctata</v>
      </c>
      <c r="H6817" s="6" t="str">
        <f>VLOOKUP(E6817,dicionario!$A$1:$C7216,3,0)</f>
        <v>gafanhotinho</v>
      </c>
    </row>
    <row r="6818">
      <c r="A6818" s="3">
        <v>45715.0</v>
      </c>
      <c r="B6818" s="4">
        <v>0.30972222222222223</v>
      </c>
      <c r="C6818" s="5" t="s">
        <v>59</v>
      </c>
      <c r="D6818" s="5" t="s">
        <v>1197</v>
      </c>
      <c r="E6818" s="6" t="s">
        <v>243</v>
      </c>
      <c r="F6818" s="5" t="s">
        <v>244</v>
      </c>
      <c r="G6818" s="6" t="str">
        <f>VLOOKUP(E6818,dicionario!$A$1:$C7217,2,0)</f>
        <v>Macroptilium atropurpureum</v>
      </c>
      <c r="H6818" s="6" t="str">
        <f>VLOOKUP(E6818,dicionario!$A$1:$C7217,3,0)</f>
        <v>feijão-de-pombo</v>
      </c>
    </row>
    <row r="6819">
      <c r="A6819" s="3">
        <v>45715.0</v>
      </c>
      <c r="B6819" s="4">
        <v>0.3111111111111111</v>
      </c>
      <c r="C6819" s="5" t="s">
        <v>59</v>
      </c>
      <c r="D6819" s="5" t="s">
        <v>1197</v>
      </c>
      <c r="E6819" s="8" t="s">
        <v>177</v>
      </c>
      <c r="F6819" s="5" t="s">
        <v>607</v>
      </c>
      <c r="G6819" s="6" t="str">
        <f>VLOOKUP(E6819,dicionario!$A$1:$C7218,2,0)</f>
        <v>Elaenia flavogaster</v>
      </c>
      <c r="H6819" s="6" t="str">
        <f>VLOOKUP(E6819,dicionario!$A$1:$C7218,3,0)</f>
        <v>guaracava-de-barriga-amarela</v>
      </c>
    </row>
    <row r="6820">
      <c r="A6820" s="3">
        <v>45715.0</v>
      </c>
      <c r="B6820" s="4">
        <v>0.3159722222222222</v>
      </c>
      <c r="C6820" s="5" t="s">
        <v>64</v>
      </c>
      <c r="D6820" s="5" t="s">
        <v>1197</v>
      </c>
      <c r="E6820" s="8" t="s">
        <v>132</v>
      </c>
      <c r="F6820" s="5" t="s">
        <v>133</v>
      </c>
      <c r="G6820" s="6" t="str">
        <f>VLOOKUP(E6820,dicionario!$A$1:$C7219,2,0)</f>
        <v>Euphonia chlorotica</v>
      </c>
      <c r="H6820" s="6" t="str">
        <f>VLOOKUP(E6820,dicionario!$A$1:$C7219,3,0)</f>
        <v>fim-fim</v>
      </c>
    </row>
    <row r="6821">
      <c r="A6821" s="3">
        <v>45715.0</v>
      </c>
      <c r="B6821" s="4">
        <v>0.3159722222222222</v>
      </c>
      <c r="C6821" s="5" t="s">
        <v>64</v>
      </c>
      <c r="D6821" s="5" t="s">
        <v>1197</v>
      </c>
      <c r="E6821" s="8" t="s">
        <v>69</v>
      </c>
      <c r="F6821" s="7" t="s">
        <v>71</v>
      </c>
      <c r="G6821" s="6" t="str">
        <f>VLOOKUP(E6821,dicionario!$A$1:$C7220,2,0)</f>
        <v>Talinum fruticosum</v>
      </c>
      <c r="H6821" s="6" t="str">
        <f>VLOOKUP(E6821,dicionario!$A$1:$C7220,3,0)</f>
        <v>beldroega-grande</v>
      </c>
    </row>
    <row r="6822">
      <c r="A6822" s="3">
        <v>45715.0</v>
      </c>
      <c r="B6822" s="4">
        <v>0.3159722222222222</v>
      </c>
      <c r="C6822" s="5" t="s">
        <v>64</v>
      </c>
      <c r="D6822" s="5" t="s">
        <v>1197</v>
      </c>
      <c r="E6822" s="8" t="s">
        <v>489</v>
      </c>
      <c r="F6822" s="5" t="s">
        <v>521</v>
      </c>
      <c r="G6822" s="6" t="str">
        <f>VLOOKUP(E6822,dicionario!$A$1:$C7221,2,0)</f>
        <v>Cenchrus echinatus</v>
      </c>
      <c r="H6822" s="6" t="str">
        <f>VLOOKUP(E6822,dicionario!$A$1:$C7221,3,0)</f>
        <v>capim-carrapicho</v>
      </c>
    </row>
    <row r="6823">
      <c r="A6823" s="3">
        <v>45715.0</v>
      </c>
      <c r="B6823" s="4">
        <v>0.3159722222222222</v>
      </c>
      <c r="C6823" s="5" t="s">
        <v>64</v>
      </c>
      <c r="D6823" s="5" t="s">
        <v>1197</v>
      </c>
      <c r="E6823" s="8" t="s">
        <v>355</v>
      </c>
      <c r="F6823" s="5" t="s">
        <v>356</v>
      </c>
      <c r="G6823" s="6" t="str">
        <f>VLOOKUP(E6823,dicionario!$A$1:$C7222,2,0)</f>
        <v>Boerhavia diffusa</v>
      </c>
      <c r="H6823" s="6" t="str">
        <f>VLOOKUP(E6823,dicionario!$A$1:$C7222,3,0)</f>
        <v>erva-tostão</v>
      </c>
    </row>
    <row r="6824">
      <c r="A6824" s="3">
        <v>45715.0</v>
      </c>
      <c r="B6824" s="4">
        <v>0.3159722222222222</v>
      </c>
      <c r="C6824" s="5" t="s">
        <v>64</v>
      </c>
      <c r="D6824" s="5" t="s">
        <v>1197</v>
      </c>
      <c r="E6824" s="8" t="s">
        <v>158</v>
      </c>
      <c r="F6824" s="5" t="s">
        <v>159</v>
      </c>
      <c r="G6824" s="6" t="str">
        <f>VLOOKUP(E6824,dicionario!$A$1:$C7223,2,0)</f>
        <v>Nephilingis cruentata</v>
      </c>
      <c r="H6824" s="6" t="str">
        <f>VLOOKUP(E6824,dicionario!$A$1:$C7223,3,0)</f>
        <v>maria-bola</v>
      </c>
    </row>
    <row r="6825">
      <c r="A6825" s="3">
        <v>45715.0</v>
      </c>
      <c r="B6825" s="4">
        <v>0.3159722222222222</v>
      </c>
      <c r="C6825" s="5" t="s">
        <v>64</v>
      </c>
      <c r="D6825" s="5" t="s">
        <v>1197</v>
      </c>
      <c r="E6825" s="8" t="s">
        <v>152</v>
      </c>
      <c r="F6825" s="5" t="s">
        <v>153</v>
      </c>
      <c r="G6825" s="6" t="str">
        <f>VLOOKUP(E6825,dicionario!$A$1:$C7224,2,0)</f>
        <v>Cynodon dactylon</v>
      </c>
      <c r="H6825" s="6" t="str">
        <f>VLOOKUP(E6825,dicionario!$A$1:$C7224,3,0)</f>
        <v>grama-bermuda</v>
      </c>
    </row>
    <row r="6826">
      <c r="A6826" s="3">
        <v>45715.0</v>
      </c>
      <c r="B6826" s="4">
        <v>0.3159722222222222</v>
      </c>
      <c r="C6826" s="5" t="s">
        <v>64</v>
      </c>
      <c r="D6826" s="5" t="s">
        <v>1197</v>
      </c>
      <c r="E6826" s="8" t="s">
        <v>195</v>
      </c>
      <c r="F6826" s="5" t="s">
        <v>196</v>
      </c>
      <c r="G6826" s="6" t="str">
        <f>VLOOKUP(E6826,dicionario!$A$1:$C7225,2,0)</f>
        <v>Priva lappulacea</v>
      </c>
      <c r="H6826" s="6" t="str">
        <f>VLOOKUP(E6826,dicionario!$A$1:$C7225,3,0)</f>
        <v>carrapicho</v>
      </c>
    </row>
    <row r="6827">
      <c r="A6827" s="3">
        <v>45715.0</v>
      </c>
      <c r="B6827" s="4">
        <v>0.3159722222222222</v>
      </c>
      <c r="C6827" s="5" t="s">
        <v>64</v>
      </c>
      <c r="D6827" s="5" t="s">
        <v>1197</v>
      </c>
      <c r="E6827" s="8" t="s">
        <v>298</v>
      </c>
      <c r="F6827" s="5" t="s">
        <v>299</v>
      </c>
      <c r="G6827" s="6" t="str">
        <f>VLOOKUP(E6827,dicionario!$A$1:$C7226,2,0)</f>
        <v>Alysicarpus vaginalis</v>
      </c>
      <c r="H6827" s="6" t="str">
        <f>VLOOKUP(E6827,dicionario!$A$1:$C7226,3,0)</f>
        <v/>
      </c>
    </row>
    <row r="6828">
      <c r="A6828" s="3">
        <v>45715.0</v>
      </c>
      <c r="B6828" s="4">
        <v>0.3159722222222222</v>
      </c>
      <c r="C6828" s="5" t="s">
        <v>64</v>
      </c>
      <c r="D6828" s="5" t="s">
        <v>1197</v>
      </c>
      <c r="E6828" s="8" t="s">
        <v>48</v>
      </c>
      <c r="F6828" s="5" t="s">
        <v>49</v>
      </c>
      <c r="G6828" s="6" t="str">
        <f>VLOOKUP(E6828,dicionario!$A$1:$C7227,2,0)</f>
        <v>Commelina erecta</v>
      </c>
      <c r="H6828" s="6" t="str">
        <f>VLOOKUP(E6828,dicionario!$A$1:$C7227,3,0)</f>
        <v>trapoeraba</v>
      </c>
    </row>
    <row r="6829">
      <c r="A6829" s="3">
        <v>45715.0</v>
      </c>
      <c r="B6829" s="4">
        <v>0.3159722222222222</v>
      </c>
      <c r="C6829" s="5" t="s">
        <v>64</v>
      </c>
      <c r="D6829" s="5" t="s">
        <v>1197</v>
      </c>
      <c r="E6829" s="8" t="s">
        <v>109</v>
      </c>
      <c r="F6829" s="5" t="s">
        <v>110</v>
      </c>
      <c r="G6829" s="6" t="str">
        <f>VLOOKUP(E6829,dicionario!$A$1:$C7228,2,0)</f>
        <v>Tillandsia stricta</v>
      </c>
      <c r="H6829" s="6" t="str">
        <f>VLOOKUP(E6829,dicionario!$A$1:$C7228,3,0)</f>
        <v>cravo-do-mato</v>
      </c>
    </row>
    <row r="6830">
      <c r="A6830" s="3">
        <v>45715.0</v>
      </c>
      <c r="B6830" s="4">
        <v>0.3159722222222222</v>
      </c>
      <c r="C6830" s="5" t="s">
        <v>64</v>
      </c>
      <c r="D6830" s="5" t="s">
        <v>1197</v>
      </c>
      <c r="E6830" s="8" t="s">
        <v>251</v>
      </c>
      <c r="F6830" s="5" t="s">
        <v>252</v>
      </c>
      <c r="G6830" s="6" t="str">
        <f>VLOOKUP(E6830,dicionario!$A$1:$C7229,2,0)</f>
        <v>Struthanthus flexicaulis</v>
      </c>
      <c r="H6830" s="6" t="str">
        <f>VLOOKUP(E6830,dicionario!$A$1:$C7229,3,0)</f>
        <v>erva-de-passarinho</v>
      </c>
    </row>
    <row r="6831">
      <c r="A6831" s="3">
        <v>45715.0</v>
      </c>
      <c r="B6831" s="4">
        <v>0.31666666666666665</v>
      </c>
      <c r="C6831" s="5" t="s">
        <v>64</v>
      </c>
      <c r="D6831" s="5" t="s">
        <v>1197</v>
      </c>
      <c r="E6831" s="8" t="s">
        <v>86</v>
      </c>
      <c r="F6831" s="5" t="s">
        <v>502</v>
      </c>
      <c r="G6831" s="6" t="str">
        <f>VLOOKUP(E6831,dicionario!$A$1:$C7230,2,0)</f>
        <v>Coereba flaveola</v>
      </c>
      <c r="H6831" s="6" t="str">
        <f>VLOOKUP(E6831,dicionario!$A$1:$C7230,3,0)</f>
        <v>cambacica</v>
      </c>
    </row>
    <row r="6832">
      <c r="A6832" s="3">
        <v>45715.0</v>
      </c>
      <c r="B6832" s="4">
        <v>0.31666666666666665</v>
      </c>
      <c r="C6832" s="5" t="s">
        <v>64</v>
      </c>
      <c r="D6832" s="5" t="s">
        <v>1197</v>
      </c>
      <c r="E6832" s="6" t="s">
        <v>253</v>
      </c>
      <c r="F6832" s="5" t="s">
        <v>254</v>
      </c>
      <c r="G6832" s="6" t="str">
        <f>VLOOKUP(E6832,dicionario!$A$1:$C7231,2,0)</f>
        <v>Panicum maximum</v>
      </c>
      <c r="H6832" s="6" t="str">
        <f>VLOOKUP(E6832,dicionario!$A$1:$C7231,3,0)</f>
        <v>capim-colonião</v>
      </c>
    </row>
    <row r="6833">
      <c r="A6833" s="3">
        <v>45715.0</v>
      </c>
      <c r="B6833" s="4">
        <v>0.31666666666666665</v>
      </c>
      <c r="C6833" s="5" t="s">
        <v>64</v>
      </c>
      <c r="D6833" s="5" t="s">
        <v>1197</v>
      </c>
      <c r="E6833" s="8" t="s">
        <v>163</v>
      </c>
      <c r="F6833" s="5" t="s">
        <v>164</v>
      </c>
      <c r="G6833" s="6" t="str">
        <f>VLOOKUP(E6833,dicionario!$A$1:$C7232,2,0)</f>
        <v>Coragyps atratus</v>
      </c>
      <c r="H6833" s="6" t="str">
        <f>VLOOKUP(E6833,dicionario!$A$1:$C7232,3,0)</f>
        <v>urubu-de-cabeça-preta</v>
      </c>
    </row>
    <row r="6834">
      <c r="A6834" s="3">
        <v>45715.0</v>
      </c>
      <c r="B6834" s="4">
        <v>0.31666666666666665</v>
      </c>
      <c r="C6834" s="5" t="s">
        <v>64</v>
      </c>
      <c r="D6834" s="5" t="s">
        <v>1197</v>
      </c>
      <c r="E6834" s="8" t="s">
        <v>65</v>
      </c>
      <c r="F6834" s="5" t="s">
        <v>66</v>
      </c>
      <c r="G6834" s="6" t="str">
        <f>VLOOKUP(E6834,dicionario!$A$1:$C7233,2,0)</f>
        <v>Pitangus sulphutarus</v>
      </c>
      <c r="H6834" s="6" t="str">
        <f>VLOOKUP(E6834,dicionario!$A$1:$C7233,3,0)</f>
        <v>bem-te-vi</v>
      </c>
    </row>
    <row r="6835">
      <c r="A6835" s="3">
        <v>45715.0</v>
      </c>
      <c r="B6835" s="4">
        <v>0.3173611111111111</v>
      </c>
      <c r="C6835" s="5" t="s">
        <v>64</v>
      </c>
      <c r="D6835" s="5" t="s">
        <v>1197</v>
      </c>
      <c r="E6835" s="6" t="s">
        <v>154</v>
      </c>
      <c r="F6835" s="5" t="s">
        <v>155</v>
      </c>
      <c r="G6835" s="6" t="str">
        <f>VLOOKUP(E6835,dicionario!$A$1:$C7234,2,0)</f>
        <v>Cyperus rotundus</v>
      </c>
      <c r="H6835" s="6" t="str">
        <f>VLOOKUP(E6835,dicionario!$A$1:$C7234,3,0)</f>
        <v>tiririca</v>
      </c>
    </row>
    <row r="6836">
      <c r="A6836" s="3">
        <v>45715.0</v>
      </c>
      <c r="B6836" s="4">
        <v>0.3173611111111111</v>
      </c>
      <c r="C6836" s="5" t="s">
        <v>64</v>
      </c>
      <c r="D6836" s="5" t="s">
        <v>1197</v>
      </c>
      <c r="E6836" s="6" t="s">
        <v>467</v>
      </c>
      <c r="F6836" s="5" t="s">
        <v>468</v>
      </c>
      <c r="G6836" s="6" t="str">
        <f>VLOOKUP(E6836,dicionario!$A$1:$C7235,2,0)</f>
        <v>Eleusine indica</v>
      </c>
      <c r="H6836" s="6" t="str">
        <f>VLOOKUP(E6836,dicionario!$A$1:$C7235,3,0)</f>
        <v>capim-pé-de-galinha</v>
      </c>
    </row>
    <row r="6837">
      <c r="A6837" s="3">
        <v>45715.0</v>
      </c>
      <c r="B6837" s="4">
        <v>0.3173611111111111</v>
      </c>
      <c r="C6837" s="5" t="s">
        <v>64</v>
      </c>
      <c r="D6837" s="5" t="s">
        <v>1197</v>
      </c>
      <c r="E6837" s="8" t="s">
        <v>72</v>
      </c>
      <c r="F6837" s="5" t="s">
        <v>73</v>
      </c>
      <c r="G6837" s="6" t="str">
        <f>VLOOKUP(E6837,dicionario!$A$1:$C7236,2,0)</f>
        <v>Thraupis palmarum</v>
      </c>
      <c r="H6837" s="6" t="str">
        <f>VLOOKUP(E6837,dicionario!$A$1:$C7236,3,0)</f>
        <v>sanhaço-do-coqueiro</v>
      </c>
    </row>
    <row r="6838">
      <c r="A6838" s="3">
        <v>45715.0</v>
      </c>
      <c r="B6838" s="4">
        <v>0.31805555555555554</v>
      </c>
      <c r="C6838" s="5" t="s">
        <v>64</v>
      </c>
      <c r="D6838" s="5" t="s">
        <v>1197</v>
      </c>
      <c r="E6838" s="6" t="s">
        <v>141</v>
      </c>
      <c r="F6838" s="5" t="s">
        <v>142</v>
      </c>
      <c r="G6838" s="6" t="str">
        <f>VLOOKUP(E6838,dicionario!$A$1:$C7237,2,0)</f>
        <v>Ruellia blechum</v>
      </c>
      <c r="H6838" s="6" t="str">
        <f>VLOOKUP(E6838,dicionario!$A$1:$C7237,3,0)</f>
        <v>camarão-verde</v>
      </c>
    </row>
    <row r="6839">
      <c r="A6839" s="3">
        <v>45715.0</v>
      </c>
      <c r="B6839" s="4">
        <v>0.31805555555555554</v>
      </c>
      <c r="C6839" s="5" t="s">
        <v>64</v>
      </c>
      <c r="D6839" s="5" t="s">
        <v>1197</v>
      </c>
      <c r="E6839" s="8" t="s">
        <v>38</v>
      </c>
      <c r="F6839" s="5" t="s">
        <v>39</v>
      </c>
      <c r="G6839" s="6" t="str">
        <f>VLOOKUP(E6839,dicionario!$A$1:$C7238,2,0)</f>
        <v>Troglodytes musculus</v>
      </c>
      <c r="H6839" s="6" t="str">
        <f>VLOOKUP(E6839,dicionario!$A$1:$C7238,3,0)</f>
        <v>curruíra</v>
      </c>
    </row>
    <row r="6840">
      <c r="A6840" s="3">
        <v>45715.0</v>
      </c>
      <c r="B6840" s="4">
        <v>0.31805555555555554</v>
      </c>
      <c r="C6840" s="5" t="s">
        <v>64</v>
      </c>
      <c r="D6840" s="5" t="s">
        <v>1197</v>
      </c>
      <c r="E6840" s="6" t="s">
        <v>113</v>
      </c>
      <c r="F6840" s="5" t="s">
        <v>114</v>
      </c>
      <c r="G6840" s="6" t="str">
        <f>VLOOKUP(E6840,dicionario!$A$1:$C7239,2,0)</f>
        <v>Columbina talpacoti</v>
      </c>
      <c r="H6840" s="6" t="str">
        <f>VLOOKUP(E6840,dicionario!$A$1:$C7239,3,0)</f>
        <v>rolinha-roxa</v>
      </c>
    </row>
    <row r="6841">
      <c r="A6841" s="3">
        <v>45715.0</v>
      </c>
      <c r="B6841" s="4">
        <v>0.31805555555555554</v>
      </c>
      <c r="C6841" s="5" t="s">
        <v>64</v>
      </c>
      <c r="D6841" s="5" t="s">
        <v>1197</v>
      </c>
      <c r="E6841" s="8" t="s">
        <v>175</v>
      </c>
      <c r="F6841" s="5" t="s">
        <v>176</v>
      </c>
      <c r="G6841" s="6" t="str">
        <f>VLOOKUP(E6841,dicionario!$A$1:$C7240,2,0)</f>
        <v>Turdus leucomelas</v>
      </c>
      <c r="H6841" s="6" t="str">
        <f>VLOOKUP(E6841,dicionario!$A$1:$C7240,3,0)</f>
        <v>sabiá-barranco</v>
      </c>
    </row>
    <row r="6842">
      <c r="A6842" s="3">
        <v>45715.0</v>
      </c>
      <c r="B6842" s="4">
        <v>0.31875</v>
      </c>
      <c r="C6842" s="5" t="s">
        <v>64</v>
      </c>
      <c r="D6842" s="5" t="s">
        <v>1197</v>
      </c>
      <c r="E6842" s="8" t="s">
        <v>247</v>
      </c>
      <c r="F6842" s="5" t="s">
        <v>387</v>
      </c>
      <c r="G6842" s="6" t="str">
        <f>VLOOKUP(E6842,dicionario!$A$1:$C7241,2,0)</f>
        <v>Emilia sonchifolia</v>
      </c>
      <c r="H6842" s="6" t="str">
        <f>VLOOKUP(E6842,dicionario!$A$1:$C7241,3,0)</f>
        <v>serralinha</v>
      </c>
    </row>
    <row r="6843">
      <c r="A6843" s="3">
        <v>45715.0</v>
      </c>
      <c r="B6843" s="4">
        <v>0.3194444444444444</v>
      </c>
      <c r="C6843" s="5" t="s">
        <v>64</v>
      </c>
      <c r="D6843" s="5" t="s">
        <v>1197</v>
      </c>
      <c r="E6843" s="8" t="s">
        <v>122</v>
      </c>
      <c r="F6843" s="7" t="s">
        <v>123</v>
      </c>
      <c r="G6843" s="6" t="str">
        <f>VLOOKUP(E6843,dicionario!$A$1:$C7242,2,0)</f>
        <v>Todirostrum cinereum</v>
      </c>
      <c r="H6843" s="6" t="str">
        <f>VLOOKUP(E6843,dicionario!$A$1:$C7242,3,0)</f>
        <v>ferreirinho-relógio</v>
      </c>
    </row>
    <row r="6844">
      <c r="A6844" s="3">
        <v>45715.0</v>
      </c>
      <c r="B6844" s="4">
        <v>0.32013888888888886</v>
      </c>
      <c r="C6844" s="5" t="s">
        <v>64</v>
      </c>
      <c r="D6844" s="5" t="s">
        <v>1197</v>
      </c>
      <c r="E6844" s="8" t="s">
        <v>483</v>
      </c>
      <c r="F6844" s="5" t="s">
        <v>289</v>
      </c>
      <c r="G6844" s="6" t="str">
        <f>VLOOKUP(E6844,dicionario!$A$1:$C7243,2,0)</f>
        <v>Euphorbia prostrata</v>
      </c>
      <c r="H6844" s="6" t="str">
        <f>VLOOKUP(E6844,dicionario!$A$1:$C7243,3,0)</f>
        <v>quebra-pedra-rasteira</v>
      </c>
    </row>
    <row r="6845">
      <c r="A6845" s="3">
        <v>45715.0</v>
      </c>
      <c r="B6845" s="4">
        <v>0.32083333333333336</v>
      </c>
      <c r="C6845" s="5" t="s">
        <v>64</v>
      </c>
      <c r="D6845" s="5" t="s">
        <v>1197</v>
      </c>
      <c r="E6845" s="8" t="s">
        <v>193</v>
      </c>
      <c r="F6845" s="5" t="s">
        <v>194</v>
      </c>
      <c r="G6845" s="6" t="str">
        <f>VLOOKUP(E6845,dicionario!$A$1:$C7244,2,0)</f>
        <v>Conirostrum speciosum</v>
      </c>
      <c r="H6845" s="6" t="str">
        <f>VLOOKUP(E6845,dicionario!$A$1:$C7244,3,0)</f>
        <v>figuinha-de-rabo-castanho</v>
      </c>
    </row>
    <row r="6846">
      <c r="A6846" s="3">
        <v>45715.0</v>
      </c>
      <c r="B6846" s="4">
        <v>0.3215277777777778</v>
      </c>
      <c r="C6846" s="5" t="s">
        <v>64</v>
      </c>
      <c r="D6846" s="5" t="s">
        <v>1197</v>
      </c>
      <c r="E6846" s="8" t="s">
        <v>16</v>
      </c>
      <c r="F6846" s="5" t="s">
        <v>17</v>
      </c>
      <c r="G6846" s="6" t="str">
        <f>VLOOKUP(E6846,dicionario!$A$1:$C7245,2,0)</f>
        <v>Eupetomena macroura</v>
      </c>
      <c r="H6846" s="6" t="str">
        <f>VLOOKUP(E6846,dicionario!$A$1:$C7245,3,0)</f>
        <v>beija-flor-tesoura</v>
      </c>
    </row>
    <row r="6847">
      <c r="A6847" s="3">
        <v>45715.0</v>
      </c>
      <c r="B6847" s="4">
        <v>0.32222222222222224</v>
      </c>
      <c r="C6847" s="5" t="s">
        <v>64</v>
      </c>
      <c r="D6847" s="5" t="s">
        <v>1197</v>
      </c>
      <c r="E6847" s="8" t="s">
        <v>18</v>
      </c>
      <c r="F6847" s="5" t="s">
        <v>219</v>
      </c>
      <c r="G6847" s="6" t="str">
        <f>VLOOKUP(E6847,dicionario!$A$1:$C7246,2,0)</f>
        <v>Xylocopa frontalis</v>
      </c>
      <c r="H6847" s="6" t="str">
        <f>VLOOKUP(E6847,dicionario!$A$1:$C7246,3,0)</f>
        <v>Mamangava; mangangá; abelha-carpinteira</v>
      </c>
    </row>
    <row r="6848">
      <c r="A6848" s="3">
        <v>45715.0</v>
      </c>
      <c r="B6848" s="4">
        <v>0.3229166666666667</v>
      </c>
      <c r="C6848" s="5" t="s">
        <v>64</v>
      </c>
      <c r="D6848" s="5" t="s">
        <v>1197</v>
      </c>
      <c r="E6848" s="8" t="s">
        <v>786</v>
      </c>
      <c r="F6848" s="5" t="s">
        <v>787</v>
      </c>
      <c r="G6848" s="6" t="str">
        <f>VLOOKUP(E6848,dicionario!$A$1:$C7247,2,0)</f>
        <v>Lycianthes asarifolia</v>
      </c>
      <c r="H6848" s="6" t="str">
        <f>VLOOKUP(E6848,dicionario!$A$1:$C7247,3,0)</f>
        <v>joá-rasteiro</v>
      </c>
    </row>
    <row r="6849">
      <c r="A6849" s="3">
        <v>45715.0</v>
      </c>
      <c r="B6849" s="4">
        <v>0.3236111111111111</v>
      </c>
      <c r="C6849" s="5" t="s">
        <v>64</v>
      </c>
      <c r="D6849" s="5" t="s">
        <v>1197</v>
      </c>
      <c r="E6849" s="6" t="s">
        <v>732</v>
      </c>
      <c r="F6849" s="5" t="s">
        <v>732</v>
      </c>
      <c r="G6849" s="6" t="str">
        <f>VLOOKUP(E6849,dicionario!$A$1:$C7248,2,0)</f>
        <v>#N/A</v>
      </c>
      <c r="H6849" s="6" t="str">
        <f>VLOOKUP(E6849,dicionario!$A$1:$C7248,3,0)</f>
        <v>#N/A</v>
      </c>
    </row>
    <row r="6850">
      <c r="A6850" s="3">
        <v>45715.0</v>
      </c>
      <c r="B6850" s="4">
        <v>0.33402777777777776</v>
      </c>
      <c r="C6850" s="5" t="s">
        <v>76</v>
      </c>
      <c r="D6850" s="5" t="s">
        <v>1197</v>
      </c>
      <c r="E6850" s="6" t="s">
        <v>253</v>
      </c>
      <c r="F6850" s="5" t="s">
        <v>254</v>
      </c>
      <c r="G6850" s="6" t="str">
        <f>VLOOKUP(E6850,dicionario!$A$1:$C7249,2,0)</f>
        <v>Panicum maximum</v>
      </c>
      <c r="H6850" s="6" t="str">
        <f>VLOOKUP(E6850,dicionario!$A$1:$C7249,3,0)</f>
        <v>capim-colonião</v>
      </c>
    </row>
    <row r="6851">
      <c r="A6851" s="3">
        <v>45715.0</v>
      </c>
      <c r="B6851" s="4">
        <v>0.33402777777777776</v>
      </c>
      <c r="C6851" s="5" t="s">
        <v>76</v>
      </c>
      <c r="D6851" s="5" t="s">
        <v>1197</v>
      </c>
      <c r="E6851" s="8" t="s">
        <v>38</v>
      </c>
      <c r="F6851" s="5" t="s">
        <v>39</v>
      </c>
      <c r="G6851" s="6" t="str">
        <f>VLOOKUP(E6851,dicionario!$A$1:$C7250,2,0)</f>
        <v>Troglodytes musculus</v>
      </c>
      <c r="H6851" s="6" t="str">
        <f>VLOOKUP(E6851,dicionario!$A$1:$C7250,3,0)</f>
        <v>curruíra</v>
      </c>
    </row>
    <row r="6852">
      <c r="A6852" s="3">
        <v>45715.0</v>
      </c>
      <c r="B6852" s="4">
        <v>0.33402777777777776</v>
      </c>
      <c r="C6852" s="5" t="s">
        <v>76</v>
      </c>
      <c r="D6852" s="5" t="s">
        <v>1197</v>
      </c>
      <c r="E6852" s="8" t="s">
        <v>139</v>
      </c>
      <c r="F6852" s="5" t="s">
        <v>862</v>
      </c>
      <c r="G6852" s="6" t="str">
        <f>VLOOKUP(E6852,dicionario!$A$1:$C7251,2,0)</f>
        <v>Tropidurus torquatus</v>
      </c>
      <c r="H6852" s="6" t="str">
        <f>VLOOKUP(E6852,dicionario!$A$1:$C7251,3,0)</f>
        <v>calango; tropiduro-comum</v>
      </c>
    </row>
    <row r="6853">
      <c r="A6853" s="3">
        <v>45715.0</v>
      </c>
      <c r="B6853" s="4">
        <v>0.33402777777777776</v>
      </c>
      <c r="C6853" s="5" t="s">
        <v>76</v>
      </c>
      <c r="D6853" s="5" t="s">
        <v>1197</v>
      </c>
      <c r="E6853" s="8" t="s">
        <v>195</v>
      </c>
      <c r="F6853" s="5" t="s">
        <v>196</v>
      </c>
      <c r="G6853" s="6" t="str">
        <f>VLOOKUP(E6853,dicionario!$A$1:$C7252,2,0)</f>
        <v>Priva lappulacea</v>
      </c>
      <c r="H6853" s="6" t="str">
        <f>VLOOKUP(E6853,dicionario!$A$1:$C7252,3,0)</f>
        <v>carrapicho</v>
      </c>
    </row>
    <row r="6854">
      <c r="A6854" s="3">
        <v>45715.0</v>
      </c>
      <c r="B6854" s="4">
        <v>0.3347222222222222</v>
      </c>
      <c r="C6854" s="5" t="s">
        <v>76</v>
      </c>
      <c r="D6854" s="5" t="s">
        <v>1197</v>
      </c>
      <c r="E6854" s="6" t="s">
        <v>154</v>
      </c>
      <c r="F6854" s="5" t="s">
        <v>155</v>
      </c>
      <c r="G6854" s="6" t="str">
        <f>VLOOKUP(E6854,dicionario!$A$1:$C7253,2,0)</f>
        <v>Cyperus rotundus</v>
      </c>
      <c r="H6854" s="6" t="str">
        <f>VLOOKUP(E6854,dicionario!$A$1:$C7253,3,0)</f>
        <v>tiririca</v>
      </c>
    </row>
    <row r="6855">
      <c r="A6855" s="3">
        <v>45715.0</v>
      </c>
      <c r="B6855" s="4">
        <v>0.3347222222222222</v>
      </c>
      <c r="C6855" s="5" t="s">
        <v>76</v>
      </c>
      <c r="D6855" s="5" t="s">
        <v>1197</v>
      </c>
      <c r="E6855" s="8" t="s">
        <v>247</v>
      </c>
      <c r="F6855" s="7" t="s">
        <v>272</v>
      </c>
      <c r="G6855" s="6" t="str">
        <f>VLOOKUP(E6855,dicionario!$A$1:$C7254,2,0)</f>
        <v>Emilia sonchifolia</v>
      </c>
      <c r="H6855" s="6" t="str">
        <f>VLOOKUP(E6855,dicionario!$A$1:$C7254,3,0)</f>
        <v>serralinha</v>
      </c>
    </row>
    <row r="6856">
      <c r="A6856" s="3">
        <v>45715.0</v>
      </c>
      <c r="B6856" s="4">
        <v>0.3347222222222222</v>
      </c>
      <c r="C6856" s="5" t="s">
        <v>76</v>
      </c>
      <c r="D6856" s="5" t="s">
        <v>1197</v>
      </c>
      <c r="E6856" s="8" t="s">
        <v>362</v>
      </c>
      <c r="F6856" s="5" t="s">
        <v>363</v>
      </c>
      <c r="G6856" s="6" t="str">
        <f>VLOOKUP(E6856,dicionario!$A$1:$C7255,2,0)</f>
        <v>#N/A</v>
      </c>
      <c r="H6856" s="6" t="str">
        <f>VLOOKUP(E6856,dicionario!$A$1:$C7255,3,0)</f>
        <v>#N/A</v>
      </c>
    </row>
    <row r="6857">
      <c r="A6857" s="3">
        <v>45715.0</v>
      </c>
      <c r="B6857" s="4">
        <v>0.3347222222222222</v>
      </c>
      <c r="C6857" s="5" t="s">
        <v>76</v>
      </c>
      <c r="D6857" s="5" t="s">
        <v>1197</v>
      </c>
      <c r="E6857" s="8" t="s">
        <v>247</v>
      </c>
      <c r="F6857" s="5" t="s">
        <v>387</v>
      </c>
      <c r="G6857" s="6" t="str">
        <f>VLOOKUP(E6857,dicionario!$A$1:$C7256,2,0)</f>
        <v>Emilia sonchifolia</v>
      </c>
      <c r="H6857" s="6" t="str">
        <f>VLOOKUP(E6857,dicionario!$A$1:$C7256,3,0)</f>
        <v>serralinha</v>
      </c>
    </row>
    <row r="6858">
      <c r="A6858" s="3">
        <v>45715.0</v>
      </c>
      <c r="B6858" s="4">
        <v>0.3347222222222222</v>
      </c>
      <c r="C6858" s="5" t="s">
        <v>76</v>
      </c>
      <c r="D6858" s="5" t="s">
        <v>1197</v>
      </c>
      <c r="E6858" s="8" t="s">
        <v>286</v>
      </c>
      <c r="F6858" s="5" t="s">
        <v>287</v>
      </c>
      <c r="G6858" s="6" t="str">
        <f>VLOOKUP(E6858,dicionario!$A$1:$C7257,2,0)</f>
        <v>Setaria parviflora</v>
      </c>
      <c r="H6858" s="6" t="str">
        <f>VLOOKUP(E6858,dicionario!$A$1:$C7257,3,0)</f>
        <v>capim-rabo-de-raposa</v>
      </c>
    </row>
    <row r="6859">
      <c r="A6859" s="3">
        <v>45715.0</v>
      </c>
      <c r="B6859" s="4">
        <v>0.33541666666666664</v>
      </c>
      <c r="C6859" s="5" t="s">
        <v>76</v>
      </c>
      <c r="D6859" s="5" t="s">
        <v>1197</v>
      </c>
      <c r="E6859" s="6" t="s">
        <v>146</v>
      </c>
      <c r="F6859" s="5" t="s">
        <v>147</v>
      </c>
      <c r="G6859" s="6" t="str">
        <f>VLOOKUP(E6859,dicionario!$A$1:$C7258,2,0)</f>
        <v>Euphorbia hirta</v>
      </c>
      <c r="H6859" s="6" t="str">
        <f>VLOOKUP(E6859,dicionario!$A$1:$C7258,3,0)</f>
        <v>erva-de-santa-luzia</v>
      </c>
    </row>
    <row r="6860">
      <c r="A6860" s="3">
        <v>45715.0</v>
      </c>
      <c r="B6860" s="4">
        <v>0.33541666666666664</v>
      </c>
      <c r="C6860" s="5" t="s">
        <v>76</v>
      </c>
      <c r="D6860" s="5" t="s">
        <v>1197</v>
      </c>
      <c r="E6860" s="6" t="s">
        <v>200</v>
      </c>
      <c r="F6860" s="5" t="s">
        <v>201</v>
      </c>
      <c r="G6860" s="6" t="str">
        <f>VLOOKUP(E6860,dicionario!$A$1:$C7259,2,0)</f>
        <v>Columbina picui </v>
      </c>
      <c r="H6860" s="6" t="str">
        <f>VLOOKUP(E6860,dicionario!$A$1:$C7259,3,0)</f>
        <v>rolinha-picuí</v>
      </c>
    </row>
    <row r="6861">
      <c r="A6861" s="3">
        <v>45715.0</v>
      </c>
      <c r="B6861" s="4">
        <v>0.33541666666666664</v>
      </c>
      <c r="C6861" s="5" t="s">
        <v>76</v>
      </c>
      <c r="D6861" s="5" t="s">
        <v>1197</v>
      </c>
      <c r="E6861" s="8" t="s">
        <v>247</v>
      </c>
      <c r="F6861" s="7" t="s">
        <v>272</v>
      </c>
      <c r="G6861" s="6" t="str">
        <f>VLOOKUP(E6861,dicionario!$A$1:$C7260,2,0)</f>
        <v>Emilia sonchifolia</v>
      </c>
      <c r="H6861" s="6" t="str">
        <f>VLOOKUP(E6861,dicionario!$A$1:$C7260,3,0)</f>
        <v>serralinha</v>
      </c>
    </row>
    <row r="6862">
      <c r="A6862" s="3">
        <v>45715.0</v>
      </c>
      <c r="B6862" s="4">
        <v>0.33611111111111114</v>
      </c>
      <c r="C6862" s="5" t="s">
        <v>76</v>
      </c>
      <c r="D6862" s="5" t="s">
        <v>1197</v>
      </c>
      <c r="E6862" s="8" t="s">
        <v>390</v>
      </c>
      <c r="F6862" s="5" t="s">
        <v>391</v>
      </c>
      <c r="G6862" s="6" t="str">
        <f>VLOOKUP(E6862,dicionario!$A$1:$C7261,2,0)</f>
        <v>Oxalis barrelieri</v>
      </c>
      <c r="H6862" s="6" t="str">
        <f>VLOOKUP(E6862,dicionario!$A$1:$C7261,3,0)</f>
        <v>erva-azeda; azedinha </v>
      </c>
    </row>
    <row r="6863">
      <c r="A6863" s="3">
        <v>45715.0</v>
      </c>
      <c r="B6863" s="4">
        <v>0.3368055555555556</v>
      </c>
      <c r="C6863" s="5" t="s">
        <v>76</v>
      </c>
      <c r="D6863" s="5" t="s">
        <v>1197</v>
      </c>
      <c r="E6863" s="8" t="s">
        <v>148</v>
      </c>
      <c r="F6863" s="5" t="s">
        <v>149</v>
      </c>
      <c r="G6863" s="6" t="str">
        <f>VLOOKUP(E6863,dicionario!$A$1:$C7262,2,0)</f>
        <v>Parthenium hysterophorus</v>
      </c>
      <c r="H6863" s="6" t="str">
        <f>VLOOKUP(E6863,dicionario!$A$1:$C7262,3,0)</f>
        <v>losna-branca</v>
      </c>
    </row>
    <row r="6864">
      <c r="A6864" s="3">
        <v>45715.0</v>
      </c>
      <c r="B6864" s="4">
        <v>0.3368055555555556</v>
      </c>
      <c r="C6864" s="5" t="s">
        <v>76</v>
      </c>
      <c r="D6864" s="5" t="s">
        <v>1197</v>
      </c>
      <c r="E6864" s="8" t="s">
        <v>83</v>
      </c>
      <c r="F6864" s="5" t="s">
        <v>84</v>
      </c>
      <c r="G6864" s="6" t="str">
        <f>VLOOKUP(E6864,dicionario!$A$1:$C7263,2,0)</f>
        <v>Anartia jatrophae</v>
      </c>
      <c r="H6864" s="6" t="str">
        <f>VLOOKUP(E6864,dicionario!$A$1:$C7263,3,0)</f>
        <v>borboleta-pavão-branco</v>
      </c>
    </row>
    <row r="6865">
      <c r="A6865" s="3">
        <v>45715.0</v>
      </c>
      <c r="B6865" s="4">
        <v>0.3368055555555556</v>
      </c>
      <c r="C6865" s="5" t="s">
        <v>76</v>
      </c>
      <c r="D6865" s="5" t="s">
        <v>1197</v>
      </c>
      <c r="E6865" s="8" t="s">
        <v>275</v>
      </c>
      <c r="F6865" s="5" t="s">
        <v>276</v>
      </c>
      <c r="G6865" s="6" t="str">
        <f>VLOOKUP(E6865,dicionario!$A$1:$C7264,2,0)</f>
        <v>Bidens pilosa</v>
      </c>
      <c r="H6865" s="6" t="str">
        <f>VLOOKUP(E6865,dicionario!$A$1:$C7264,3,0)</f>
        <v>picão-preto</v>
      </c>
    </row>
    <row r="6866">
      <c r="A6866" s="3">
        <v>45715.0</v>
      </c>
      <c r="B6866" s="4">
        <v>0.3368055555555556</v>
      </c>
      <c r="C6866" s="5" t="s">
        <v>76</v>
      </c>
      <c r="D6866" s="5" t="s">
        <v>1197</v>
      </c>
      <c r="E6866" s="6" t="s">
        <v>467</v>
      </c>
      <c r="F6866" s="5" t="s">
        <v>468</v>
      </c>
      <c r="G6866" s="6" t="str">
        <f>VLOOKUP(E6866,dicionario!$A$1:$C7265,2,0)</f>
        <v>Eleusine indica</v>
      </c>
      <c r="H6866" s="6" t="str">
        <f>VLOOKUP(E6866,dicionario!$A$1:$C7265,3,0)</f>
        <v>capim-pé-de-galinha</v>
      </c>
    </row>
    <row r="6867">
      <c r="A6867" s="3">
        <v>45715.0</v>
      </c>
      <c r="B6867" s="4">
        <v>0.3375</v>
      </c>
      <c r="C6867" s="5" t="s">
        <v>76</v>
      </c>
      <c r="D6867" s="5" t="s">
        <v>1197</v>
      </c>
      <c r="E6867" s="8" t="s">
        <v>139</v>
      </c>
      <c r="F6867" s="5" t="s">
        <v>862</v>
      </c>
      <c r="G6867" s="6" t="str">
        <f>VLOOKUP(E6867,dicionario!$A$1:$C7266,2,0)</f>
        <v>Tropidurus torquatus</v>
      </c>
      <c r="H6867" s="6" t="str">
        <f>VLOOKUP(E6867,dicionario!$A$1:$C7266,3,0)</f>
        <v>calango; tropiduro-comum</v>
      </c>
    </row>
    <row r="6868">
      <c r="A6868" s="3">
        <v>45715.0</v>
      </c>
      <c r="B6868" s="4">
        <v>0.3375</v>
      </c>
      <c r="C6868" s="5" t="s">
        <v>76</v>
      </c>
      <c r="D6868" s="5" t="s">
        <v>1197</v>
      </c>
      <c r="E6868" s="6" t="s">
        <v>328</v>
      </c>
      <c r="F6868" s="5" t="s">
        <v>329</v>
      </c>
      <c r="G6868" s="6" t="str">
        <f>VLOOKUP(E6868,dicionario!$A$1:$C7267,2,0)</f>
        <v>Rivina humilis</v>
      </c>
      <c r="H6868" s="6" t="str">
        <f>VLOOKUP(E6868,dicionario!$A$1:$C7267,3,0)</f>
        <v>baga-de-sangue</v>
      </c>
    </row>
    <row r="6869">
      <c r="A6869" s="3">
        <v>45715.0</v>
      </c>
      <c r="B6869" s="4">
        <v>0.33819444444444446</v>
      </c>
      <c r="C6869" s="5" t="s">
        <v>76</v>
      </c>
      <c r="D6869" s="5" t="s">
        <v>1197</v>
      </c>
      <c r="E6869" s="8" t="s">
        <v>712</v>
      </c>
      <c r="F6869" s="5" t="s">
        <v>718</v>
      </c>
      <c r="G6869" s="6" t="str">
        <f>VLOOKUP(E6869,dicionario!$A$1:$C7268,2,0)</f>
        <v>Flavopunctelia soredica</v>
      </c>
      <c r="H6869" s="6" t="str">
        <f>VLOOKUP(E6869,dicionario!$A$1:$C7268,3,0)</f>
        <v>líquen-folioso</v>
      </c>
    </row>
    <row r="6870">
      <c r="A6870" s="3">
        <v>45715.0</v>
      </c>
      <c r="B6870" s="4">
        <v>0.3388888888888889</v>
      </c>
      <c r="C6870" s="5" t="s">
        <v>76</v>
      </c>
      <c r="D6870" s="5" t="s">
        <v>1197</v>
      </c>
      <c r="E6870" s="8" t="s">
        <v>235</v>
      </c>
      <c r="F6870" s="5" t="s">
        <v>236</v>
      </c>
      <c r="G6870" s="6" t="str">
        <f>VLOOKUP(E6870,dicionario!$A$1:$C7269,2,0)</f>
        <v>Leucaena leucocephala</v>
      </c>
      <c r="H6870" s="6" t="str">
        <f>VLOOKUP(E6870,dicionario!$A$1:$C7269,3,0)</f>
        <v>leucena</v>
      </c>
    </row>
    <row r="6871">
      <c r="A6871" s="3">
        <v>45715.0</v>
      </c>
      <c r="B6871" s="4">
        <v>0.3388888888888889</v>
      </c>
      <c r="C6871" s="5" t="s">
        <v>76</v>
      </c>
      <c r="D6871" s="5" t="s">
        <v>1197</v>
      </c>
      <c r="E6871" s="8" t="s">
        <v>308</v>
      </c>
      <c r="F6871" s="5" t="s">
        <v>309</v>
      </c>
      <c r="G6871" s="6" t="str">
        <f>VLOOKUP(E6871,dicionario!$A$1:$C7270,2,0)</f>
        <v>#N/A</v>
      </c>
      <c r="H6871" s="6" t="str">
        <f>VLOOKUP(E6871,dicionario!$A$1:$C7270,3,0)</f>
        <v>#N/A</v>
      </c>
    </row>
    <row r="6872">
      <c r="A6872" s="3">
        <v>45715.0</v>
      </c>
      <c r="B6872" s="4">
        <v>0.33958333333333335</v>
      </c>
      <c r="C6872" s="5" t="s">
        <v>76</v>
      </c>
      <c r="D6872" s="5" t="s">
        <v>1197</v>
      </c>
      <c r="E6872" s="8" t="s">
        <v>135</v>
      </c>
      <c r="F6872" s="5" t="s">
        <v>136</v>
      </c>
      <c r="G6872" s="6" t="str">
        <f>VLOOKUP(E6872,dicionario!$A$1:$C7271,2,0)</f>
        <v>Tridax procumbens</v>
      </c>
      <c r="H6872" s="6" t="str">
        <f>VLOOKUP(E6872,dicionario!$A$1:$C7271,3,0)</f>
        <v>erva-de-touro</v>
      </c>
    </row>
    <row r="6873">
      <c r="A6873" s="3">
        <v>45715.0</v>
      </c>
      <c r="B6873" s="4">
        <v>0.33958333333333335</v>
      </c>
      <c r="C6873" s="5" t="s">
        <v>76</v>
      </c>
      <c r="D6873" s="5" t="s">
        <v>1197</v>
      </c>
      <c r="E6873" s="8" t="s">
        <v>69</v>
      </c>
      <c r="F6873" s="7" t="s">
        <v>71</v>
      </c>
      <c r="G6873" s="6" t="str">
        <f>VLOOKUP(E6873,dicionario!$A$1:$C7272,2,0)</f>
        <v>Talinum fruticosum</v>
      </c>
      <c r="H6873" s="6" t="str">
        <f>VLOOKUP(E6873,dicionario!$A$1:$C7272,3,0)</f>
        <v>beldroega-grande</v>
      </c>
    </row>
    <row r="6874">
      <c r="A6874" s="3">
        <v>45715.0</v>
      </c>
      <c r="B6874" s="4">
        <v>0.33958333333333335</v>
      </c>
      <c r="C6874" s="5" t="s">
        <v>76</v>
      </c>
      <c r="D6874" s="5" t="s">
        <v>1197</v>
      </c>
      <c r="E6874" s="8" t="s">
        <v>355</v>
      </c>
      <c r="F6874" s="5" t="s">
        <v>356</v>
      </c>
      <c r="G6874" s="6" t="str">
        <f>VLOOKUP(E6874,dicionario!$A$1:$C7273,2,0)</f>
        <v>Boerhavia diffusa</v>
      </c>
      <c r="H6874" s="6" t="str">
        <f>VLOOKUP(E6874,dicionario!$A$1:$C7273,3,0)</f>
        <v>erva-tostão</v>
      </c>
    </row>
    <row r="6875">
      <c r="A6875" s="3">
        <v>45715.0</v>
      </c>
      <c r="B6875" s="4">
        <v>0.34305555555555556</v>
      </c>
      <c r="C6875" s="5" t="s">
        <v>76</v>
      </c>
      <c r="D6875" s="5" t="s">
        <v>1197</v>
      </c>
      <c r="E6875" s="8" t="s">
        <v>41</v>
      </c>
      <c r="F6875" s="5" t="s">
        <v>45</v>
      </c>
      <c r="G6875" s="6" t="str">
        <f>VLOOKUP(E6875,dicionario!$A$1:$C7274,2,0)</f>
        <v>Mimosa pudica</v>
      </c>
      <c r="H6875" s="6" t="str">
        <f>VLOOKUP(E6875,dicionario!$A$1:$C7274,3,0)</f>
        <v>dormideira</v>
      </c>
    </row>
    <row r="6876">
      <c r="A6876" s="3">
        <v>45715.0</v>
      </c>
      <c r="B6876" s="4">
        <v>0.34305555555555556</v>
      </c>
      <c r="C6876" s="5" t="s">
        <v>76</v>
      </c>
      <c r="D6876" s="5" t="s">
        <v>1197</v>
      </c>
      <c r="E6876" s="8" t="s">
        <v>239</v>
      </c>
      <c r="F6876" s="5" t="s">
        <v>240</v>
      </c>
      <c r="G6876" s="6" t="str">
        <f>VLOOKUP(E6876,dicionario!$A$1:$C7275,2,0)</f>
        <v>Gomphrena celosioides</v>
      </c>
      <c r="H6876" s="6" t="str">
        <f>VLOOKUP(E6876,dicionario!$A$1:$C7275,3,0)</f>
        <v>perpétua-branca</v>
      </c>
    </row>
    <row r="6877">
      <c r="A6877" s="3">
        <v>45715.0</v>
      </c>
      <c r="B6877" s="4">
        <v>0.34305555555555556</v>
      </c>
      <c r="C6877" s="5" t="s">
        <v>76</v>
      </c>
      <c r="D6877" s="5" t="s">
        <v>1197</v>
      </c>
      <c r="E6877" s="8" t="s">
        <v>144</v>
      </c>
      <c r="F6877" s="5" t="s">
        <v>145</v>
      </c>
      <c r="G6877" s="6" t="str">
        <f>VLOOKUP(E6877,dicionario!$A$1:$C7276,2,0)</f>
        <v>Gomphrena globosa</v>
      </c>
      <c r="H6877" s="6" t="str">
        <f>VLOOKUP(E6877,dicionario!$A$1:$C7276,3,0)</f>
        <v>perpétua-rosa</v>
      </c>
    </row>
    <row r="6878">
      <c r="A6878" s="3">
        <v>45715.0</v>
      </c>
      <c r="B6878" s="4">
        <v>0.34305555555555556</v>
      </c>
      <c r="C6878" s="5" t="s">
        <v>76</v>
      </c>
      <c r="D6878" s="5" t="s">
        <v>1197</v>
      </c>
      <c r="E6878" s="8" t="s">
        <v>504</v>
      </c>
      <c r="F6878" s="5" t="s">
        <v>534</v>
      </c>
      <c r="G6878" s="6" t="str">
        <f>VLOOKUP(E6878,dicionario!$A$1:$C7277,2,0)</f>
        <v>Cleome aculeata</v>
      </c>
      <c r="H6878" s="6" t="str">
        <f>VLOOKUP(E6878,dicionario!$A$1:$C7277,3,0)</f>
        <v>cleome</v>
      </c>
    </row>
    <row r="6879">
      <c r="A6879" s="3">
        <v>45715.0</v>
      </c>
      <c r="B6879" s="4">
        <v>0.34305555555555556</v>
      </c>
      <c r="C6879" s="5" t="s">
        <v>76</v>
      </c>
      <c r="D6879" s="5" t="s">
        <v>1197</v>
      </c>
      <c r="E6879" s="8" t="s">
        <v>20</v>
      </c>
      <c r="F6879" s="7" t="s">
        <v>21</v>
      </c>
      <c r="G6879" s="6" t="str">
        <f>VLOOKUP(E6879,dicionario!$A$1:$C7278,2,0)</f>
        <v>Sicalis flaveola</v>
      </c>
      <c r="H6879" s="6" t="str">
        <f>VLOOKUP(E6879,dicionario!$A$1:$C7278,3,0)</f>
        <v>canário-da-terra</v>
      </c>
    </row>
    <row r="6880">
      <c r="A6880" s="3">
        <v>45715.0</v>
      </c>
      <c r="B6880" s="4">
        <v>0.34305555555555556</v>
      </c>
      <c r="C6880" s="5" t="s">
        <v>76</v>
      </c>
      <c r="D6880" s="5" t="s">
        <v>1197</v>
      </c>
      <c r="E6880" s="8" t="s">
        <v>152</v>
      </c>
      <c r="F6880" s="5" t="s">
        <v>153</v>
      </c>
      <c r="G6880" s="6" t="str">
        <f>VLOOKUP(E6880,dicionario!$A$1:$C7279,2,0)</f>
        <v>Cynodon dactylon</v>
      </c>
      <c r="H6880" s="6" t="str">
        <f>VLOOKUP(E6880,dicionario!$A$1:$C7279,3,0)</f>
        <v>grama-bermuda</v>
      </c>
    </row>
    <row r="6881">
      <c r="A6881" s="3">
        <v>45715.0</v>
      </c>
      <c r="B6881" s="4">
        <v>0.34375</v>
      </c>
      <c r="C6881" s="5" t="s">
        <v>76</v>
      </c>
      <c r="D6881" s="5" t="s">
        <v>1197</v>
      </c>
      <c r="E6881" s="6" t="s">
        <v>539</v>
      </c>
      <c r="F6881" s="5" t="s">
        <v>540</v>
      </c>
      <c r="G6881" s="6" t="str">
        <f>VLOOKUP(E6881,dicionario!$A$1:$C7280,2,0)</f>
        <v>#N/A</v>
      </c>
      <c r="H6881" s="6" t="str">
        <f>VLOOKUP(E6881,dicionario!$A$1:$C7280,3,0)</f>
        <v>#N/A</v>
      </c>
    </row>
    <row r="6882">
      <c r="A6882" s="3">
        <v>45715.0</v>
      </c>
      <c r="B6882" s="4">
        <v>0.34444444444444444</v>
      </c>
      <c r="C6882" s="5" t="s">
        <v>76</v>
      </c>
      <c r="D6882" s="5" t="s">
        <v>1197</v>
      </c>
      <c r="E6882" s="8" t="s">
        <v>1204</v>
      </c>
      <c r="F6882" s="5" t="s">
        <v>1205</v>
      </c>
      <c r="G6882" s="6" t="str">
        <f>VLOOKUP(E6882,dicionario!$A$1:$C7281,2,0)</f>
        <v>Peperomia pellucida</v>
      </c>
      <c r="H6882" s="6" t="str">
        <f>VLOOKUP(E6882,dicionario!$A$1:$C7281,3,0)</f>
        <v>erva-jabuti</v>
      </c>
    </row>
    <row r="6883">
      <c r="A6883" s="3">
        <v>45715.0</v>
      </c>
      <c r="B6883" s="4">
        <v>0.34444444444444444</v>
      </c>
      <c r="C6883" s="5" t="s">
        <v>76</v>
      </c>
      <c r="D6883" s="5" t="s">
        <v>1197</v>
      </c>
      <c r="E6883" s="8" t="s">
        <v>1175</v>
      </c>
      <c r="F6883" s="5" t="s">
        <v>1176</v>
      </c>
      <c r="G6883" s="6" t="str">
        <f>VLOOKUP(E6883,dicionario!$A$1:$C7282,2,0)</f>
        <v>Danaus erippus</v>
      </c>
      <c r="H6883" s="6" t="str">
        <f>VLOOKUP(E6883,dicionario!$A$1:$C7282,3,0)</f>
        <v>borboleta-monarca-do-sul</v>
      </c>
    </row>
    <row r="6884">
      <c r="A6884" s="3">
        <v>45715.0</v>
      </c>
      <c r="B6884" s="4">
        <v>0.3458333333333333</v>
      </c>
      <c r="C6884" s="5" t="s">
        <v>76</v>
      </c>
      <c r="D6884" s="5" t="s">
        <v>1197</v>
      </c>
      <c r="E6884" s="8" t="s">
        <v>38</v>
      </c>
      <c r="F6884" s="5" t="s">
        <v>39</v>
      </c>
      <c r="G6884" s="6" t="str">
        <f>VLOOKUP(E6884,dicionario!$A$1:$C7283,2,0)</f>
        <v>Troglodytes musculus</v>
      </c>
      <c r="H6884" s="6" t="str">
        <f>VLOOKUP(E6884,dicionario!$A$1:$C7283,3,0)</f>
        <v>curruíra</v>
      </c>
    </row>
    <row r="6885">
      <c r="A6885" s="3">
        <v>45715.0</v>
      </c>
      <c r="B6885" s="4">
        <v>0.34791666666666665</v>
      </c>
      <c r="C6885" s="5" t="s">
        <v>85</v>
      </c>
      <c r="D6885" s="5" t="s">
        <v>1197</v>
      </c>
      <c r="E6885" s="8" t="s">
        <v>135</v>
      </c>
      <c r="F6885" s="5" t="s">
        <v>136</v>
      </c>
      <c r="G6885" s="6" t="str">
        <f>VLOOKUP(E6885,dicionario!$A$1:$C7284,2,0)</f>
        <v>Tridax procumbens</v>
      </c>
      <c r="H6885" s="6" t="str">
        <f>VLOOKUP(E6885,dicionario!$A$1:$C7284,3,0)</f>
        <v>erva-de-touro</v>
      </c>
    </row>
    <row r="6886">
      <c r="A6886" s="3">
        <v>45715.0</v>
      </c>
      <c r="B6886" s="4">
        <v>0.34791666666666665</v>
      </c>
      <c r="C6886" s="5" t="s">
        <v>85</v>
      </c>
      <c r="D6886" s="5" t="s">
        <v>1197</v>
      </c>
      <c r="E6886" s="8" t="s">
        <v>227</v>
      </c>
      <c r="F6886" s="5" t="s">
        <v>228</v>
      </c>
      <c r="G6886" s="6" t="str">
        <f>VLOOKUP(E6886,dicionario!$A$1:$C7285,2,0)</f>
        <v>Indigofera hirsuta</v>
      </c>
      <c r="H6886" s="6" t="str">
        <f>VLOOKUP(E6886,dicionario!$A$1:$C7285,3,0)</f>
        <v>anileira</v>
      </c>
    </row>
    <row r="6887">
      <c r="A6887" s="3">
        <v>45715.0</v>
      </c>
      <c r="B6887" s="4">
        <v>0.34791666666666665</v>
      </c>
      <c r="C6887" s="5" t="s">
        <v>85</v>
      </c>
      <c r="D6887" s="5" t="s">
        <v>1197</v>
      </c>
      <c r="E6887" s="6" t="s">
        <v>146</v>
      </c>
      <c r="F6887" s="5" t="s">
        <v>147</v>
      </c>
      <c r="G6887" s="6" t="str">
        <f>VLOOKUP(E6887,dicionario!$A$1:$C7286,2,0)</f>
        <v>Euphorbia hirta</v>
      </c>
      <c r="H6887" s="6" t="str">
        <f>VLOOKUP(E6887,dicionario!$A$1:$C7286,3,0)</f>
        <v>erva-de-santa-luzia</v>
      </c>
    </row>
    <row r="6888">
      <c r="A6888" s="3">
        <v>45715.0</v>
      </c>
      <c r="B6888" s="4">
        <v>0.34791666666666665</v>
      </c>
      <c r="C6888" s="5" t="s">
        <v>85</v>
      </c>
      <c r="D6888" s="5" t="s">
        <v>1197</v>
      </c>
      <c r="E6888" s="8" t="s">
        <v>732</v>
      </c>
      <c r="F6888" s="5" t="s">
        <v>299</v>
      </c>
      <c r="G6888" s="6" t="str">
        <f>VLOOKUP(E6888,dicionario!$A$1:$C7287,2,0)</f>
        <v>#N/A</v>
      </c>
      <c r="H6888" s="6" t="str">
        <f>VLOOKUP(E6888,dicionario!$A$1:$C7287,3,0)</f>
        <v>#N/A</v>
      </c>
    </row>
    <row r="6889">
      <c r="A6889" s="3">
        <v>45715.0</v>
      </c>
      <c r="B6889" s="4">
        <v>0.34791666666666665</v>
      </c>
      <c r="C6889" s="5" t="s">
        <v>85</v>
      </c>
      <c r="D6889" s="5" t="s">
        <v>1197</v>
      </c>
      <c r="E6889" s="6" t="s">
        <v>113</v>
      </c>
      <c r="F6889" s="5" t="s">
        <v>114</v>
      </c>
      <c r="G6889" s="6" t="str">
        <f>VLOOKUP(E6889,dicionario!$A$1:$C7288,2,0)</f>
        <v>Columbina talpacoti</v>
      </c>
      <c r="H6889" s="6" t="str">
        <f>VLOOKUP(E6889,dicionario!$A$1:$C7288,3,0)</f>
        <v>rolinha-roxa</v>
      </c>
    </row>
    <row r="6890">
      <c r="A6890" s="3">
        <v>45715.0</v>
      </c>
      <c r="B6890" s="4">
        <v>0.3486111111111111</v>
      </c>
      <c r="C6890" s="5" t="s">
        <v>85</v>
      </c>
      <c r="D6890" s="5" t="s">
        <v>1197</v>
      </c>
      <c r="E6890" s="8" t="s">
        <v>851</v>
      </c>
      <c r="F6890" s="5" t="s">
        <v>852</v>
      </c>
      <c r="G6890" s="6" t="str">
        <f>VLOOKUP(E6890,dicionario!$A$1:$C7289,2,0)</f>
        <v>#N/A</v>
      </c>
      <c r="H6890" s="6" t="str">
        <f>VLOOKUP(E6890,dicionario!$A$1:$C7289,3,0)</f>
        <v>#N/A</v>
      </c>
    </row>
    <row r="6891">
      <c r="A6891" s="3">
        <v>45715.0</v>
      </c>
      <c r="B6891" s="4">
        <v>0.3486111111111111</v>
      </c>
      <c r="C6891" s="5" t="s">
        <v>85</v>
      </c>
      <c r="D6891" s="5" t="s">
        <v>1197</v>
      </c>
      <c r="E6891" s="8" t="s">
        <v>120</v>
      </c>
      <c r="F6891" s="5" t="s">
        <v>121</v>
      </c>
      <c r="G6891" s="6" t="str">
        <f>VLOOKUP(E6891,dicionario!$A$1:$C7290,2,0)</f>
        <v>#N/A</v>
      </c>
      <c r="H6891" s="6" t="str">
        <f>VLOOKUP(E6891,dicionario!$A$1:$C7290,3,0)</f>
        <v>#N/A</v>
      </c>
    </row>
    <row r="6892">
      <c r="A6892" s="3">
        <v>45715.0</v>
      </c>
      <c r="B6892" s="4">
        <v>0.35</v>
      </c>
      <c r="C6892" s="5" t="s">
        <v>85</v>
      </c>
      <c r="D6892" s="5" t="s">
        <v>1197</v>
      </c>
      <c r="E6892" s="8" t="s">
        <v>375</v>
      </c>
      <c r="F6892" s="5" t="s">
        <v>35</v>
      </c>
      <c r="G6892" s="6" t="str">
        <f>VLOOKUP(E6892,dicionario!$A$1:$C7291,2,0)</f>
        <v>Neoponera foetida</v>
      </c>
      <c r="H6892" s="6" t="str">
        <f>VLOOKUP(E6892,dicionario!$A$1:$C7291,3,0)</f>
        <v/>
      </c>
    </row>
    <row r="6893">
      <c r="A6893" s="3">
        <v>45715.0</v>
      </c>
      <c r="B6893" s="4">
        <v>0.35</v>
      </c>
      <c r="C6893" s="5" t="s">
        <v>85</v>
      </c>
      <c r="D6893" s="5" t="s">
        <v>1197</v>
      </c>
      <c r="E6893" s="8" t="s">
        <v>46</v>
      </c>
      <c r="F6893" s="5" t="s">
        <v>47</v>
      </c>
      <c r="G6893" s="6" t="str">
        <f>VLOOKUP(E6893,dicionario!$A$1:$C7292,2,0)</f>
        <v>Chionomesa fimbriata</v>
      </c>
      <c r="H6893" s="6" t="str">
        <f>VLOOKUP(E6893,dicionario!$A$1:$C7292,3,0)</f>
        <v>beija-flor-de-garganta-verde</v>
      </c>
    </row>
    <row r="6894">
      <c r="A6894" s="3">
        <v>45715.0</v>
      </c>
      <c r="B6894" s="4">
        <v>0.35</v>
      </c>
      <c r="C6894" s="5" t="s">
        <v>85</v>
      </c>
      <c r="D6894" s="5" t="s">
        <v>1197</v>
      </c>
      <c r="E6894" s="8" t="s">
        <v>99</v>
      </c>
      <c r="F6894" s="5" t="s">
        <v>508</v>
      </c>
      <c r="G6894" s="6" t="str">
        <f>VLOOKUP(E6894,dicionario!$A$1:$C7293,2,0)</f>
        <v>Molothrus bonariensis</v>
      </c>
      <c r="H6894" s="6" t="str">
        <f>VLOOKUP(E6894,dicionario!$A$1:$C7293,3,0)</f>
        <v>chupim</v>
      </c>
    </row>
    <row r="6895">
      <c r="A6895" s="3">
        <v>45715.0</v>
      </c>
      <c r="B6895" s="4">
        <v>0.35</v>
      </c>
      <c r="C6895" s="5" t="s">
        <v>85</v>
      </c>
      <c r="D6895" s="5" t="s">
        <v>1197</v>
      </c>
      <c r="E6895" s="8" t="s">
        <v>378</v>
      </c>
      <c r="F6895" s="5" t="s">
        <v>205</v>
      </c>
      <c r="G6895" s="6" t="str">
        <f>VLOOKUP(E6895,dicionario!$A$1:$C7294,2,0)</f>
        <v>Polistes</v>
      </c>
      <c r="H6895" s="6" t="str">
        <f>VLOOKUP(E6895,dicionario!$A$1:$C7294,3,0)</f>
        <v>marimbondo</v>
      </c>
    </row>
    <row r="6896">
      <c r="A6896" s="3">
        <v>45715.0</v>
      </c>
      <c r="B6896" s="4">
        <v>0.3506944444444444</v>
      </c>
      <c r="C6896" s="5" t="s">
        <v>85</v>
      </c>
      <c r="D6896" s="5" t="s">
        <v>1197</v>
      </c>
      <c r="E6896" s="8" t="s">
        <v>193</v>
      </c>
      <c r="F6896" s="5" t="s">
        <v>194</v>
      </c>
      <c r="G6896" s="6" t="str">
        <f>VLOOKUP(E6896,dicionario!$A$1:$C7295,2,0)</f>
        <v>Conirostrum speciosum</v>
      </c>
      <c r="H6896" s="6" t="str">
        <f>VLOOKUP(E6896,dicionario!$A$1:$C7295,3,0)</f>
        <v>figuinha-de-rabo-castanho</v>
      </c>
    </row>
    <row r="6897">
      <c r="A6897" s="3">
        <v>45715.0</v>
      </c>
      <c r="B6897" s="4">
        <v>0.35138888888888886</v>
      </c>
      <c r="C6897" s="5" t="s">
        <v>85</v>
      </c>
      <c r="D6897" s="5" t="s">
        <v>1197</v>
      </c>
      <c r="E6897" s="8" t="s">
        <v>163</v>
      </c>
      <c r="F6897" s="5" t="s">
        <v>164</v>
      </c>
      <c r="G6897" s="6" t="str">
        <f>VLOOKUP(E6897,dicionario!$A$1:$C7296,2,0)</f>
        <v>Coragyps atratus</v>
      </c>
      <c r="H6897" s="6" t="str">
        <f>VLOOKUP(E6897,dicionario!$A$1:$C7296,3,0)</f>
        <v>urubu-de-cabeça-preta</v>
      </c>
    </row>
    <row r="6898">
      <c r="A6898" s="3">
        <v>45715.0</v>
      </c>
      <c r="B6898" s="4">
        <v>0.35208333333333336</v>
      </c>
      <c r="C6898" s="5" t="s">
        <v>85</v>
      </c>
      <c r="D6898" s="5" t="s">
        <v>1197</v>
      </c>
      <c r="E6898" s="8" t="s">
        <v>122</v>
      </c>
      <c r="F6898" s="7" t="s">
        <v>123</v>
      </c>
      <c r="G6898" s="6" t="str">
        <f>VLOOKUP(E6898,dicionario!$A$1:$C7297,2,0)</f>
        <v>Todirostrum cinereum</v>
      </c>
      <c r="H6898" s="6" t="str">
        <f>VLOOKUP(E6898,dicionario!$A$1:$C7297,3,0)</f>
        <v>ferreirinho-relógio</v>
      </c>
    </row>
    <row r="6899">
      <c r="A6899" s="3">
        <v>45715.0</v>
      </c>
      <c r="B6899" s="4">
        <v>0.35208333333333336</v>
      </c>
      <c r="C6899" s="5" t="s">
        <v>85</v>
      </c>
      <c r="D6899" s="5" t="s">
        <v>1197</v>
      </c>
      <c r="E6899" s="8" t="s">
        <v>229</v>
      </c>
      <c r="F6899" s="5" t="s">
        <v>230</v>
      </c>
      <c r="G6899" s="6" t="str">
        <f>VLOOKUP(E6899,dicionario!$A$1:$C7298,2,0)</f>
        <v>Apis mellifera</v>
      </c>
      <c r="H6899" s="6" t="str">
        <f>VLOOKUP(E6899,dicionario!$A$1:$C7298,3,0)</f>
        <v>abelha-do-mel</v>
      </c>
    </row>
    <row r="6900">
      <c r="A6900" s="3">
        <v>45715.0</v>
      </c>
      <c r="B6900" s="4">
        <v>0.35625</v>
      </c>
      <c r="C6900" s="5" t="s">
        <v>90</v>
      </c>
      <c r="D6900" s="5" t="s">
        <v>1197</v>
      </c>
      <c r="E6900" s="8" t="s">
        <v>489</v>
      </c>
      <c r="F6900" s="5" t="s">
        <v>521</v>
      </c>
      <c r="G6900" s="6" t="str">
        <f>VLOOKUP(E6900,dicionario!$A$1:$C7299,2,0)</f>
        <v>Cenchrus echinatus</v>
      </c>
      <c r="H6900" s="6" t="str">
        <f>VLOOKUP(E6900,dicionario!$A$1:$C7299,3,0)</f>
        <v>capim-carrapicho</v>
      </c>
    </row>
    <row r="6901">
      <c r="A6901" s="3">
        <v>45715.0</v>
      </c>
      <c r="B6901" s="4">
        <v>0.35625</v>
      </c>
      <c r="C6901" s="5" t="s">
        <v>90</v>
      </c>
      <c r="D6901" s="5" t="s">
        <v>1197</v>
      </c>
      <c r="E6901" s="8" t="s">
        <v>1155</v>
      </c>
      <c r="F6901" s="5" t="s">
        <v>1156</v>
      </c>
      <c r="G6901" s="6" t="str">
        <f>VLOOKUP(E6901,dicionario!$A$1:$C7300,2,0)</f>
        <v>#N/A</v>
      </c>
      <c r="H6901" s="6" t="str">
        <f>VLOOKUP(E6901,dicionario!$A$1:$C7300,3,0)</f>
        <v>#N/A</v>
      </c>
    </row>
    <row r="6902">
      <c r="A6902" s="3">
        <v>45715.0</v>
      </c>
      <c r="B6902" s="4">
        <v>0.35625</v>
      </c>
      <c r="C6902" s="5" t="s">
        <v>90</v>
      </c>
      <c r="D6902" s="5" t="s">
        <v>1197</v>
      </c>
      <c r="E6902" s="8" t="s">
        <v>239</v>
      </c>
      <c r="F6902" s="5" t="s">
        <v>240</v>
      </c>
      <c r="G6902" s="6" t="str">
        <f>VLOOKUP(E6902,dicionario!$A$1:$C7301,2,0)</f>
        <v>Gomphrena celosioides</v>
      </c>
      <c r="H6902" s="6" t="str">
        <f>VLOOKUP(E6902,dicionario!$A$1:$C7301,3,0)</f>
        <v>perpétua-branca</v>
      </c>
    </row>
    <row r="6903">
      <c r="A6903" s="3">
        <v>45715.0</v>
      </c>
      <c r="B6903" s="4">
        <v>0.35625</v>
      </c>
      <c r="C6903" s="5" t="s">
        <v>90</v>
      </c>
      <c r="D6903" s="5" t="s">
        <v>1197</v>
      </c>
      <c r="E6903" s="8" t="s">
        <v>736</v>
      </c>
      <c r="F6903" s="5" t="s">
        <v>737</v>
      </c>
      <c r="G6903" s="6" t="str">
        <f>VLOOKUP(E6903,dicionario!$A$1:$C7302,2,0)</f>
        <v>Chloris virgata</v>
      </c>
      <c r="H6903" s="6" t="str">
        <f>VLOOKUP(E6903,dicionario!$A$1:$C7302,3,0)</f>
        <v>capim-pavão</v>
      </c>
    </row>
    <row r="6904">
      <c r="A6904" s="3">
        <v>45715.0</v>
      </c>
      <c r="B6904" s="4">
        <v>0.35625</v>
      </c>
      <c r="C6904" s="5" t="s">
        <v>90</v>
      </c>
      <c r="D6904" s="5" t="s">
        <v>1197</v>
      </c>
      <c r="E6904" s="8" t="s">
        <v>53</v>
      </c>
      <c r="F6904" s="7" t="s">
        <v>54</v>
      </c>
      <c r="G6904" s="6" t="str">
        <f>VLOOKUP(E6904,dicionario!$A$1:$C7303,2,0)</f>
        <v>Turnera subulata</v>
      </c>
      <c r="H6904" s="6" t="str">
        <f>VLOOKUP(E6904,dicionario!$A$1:$C7303,3,0)</f>
        <v>xanana</v>
      </c>
    </row>
    <row r="6905">
      <c r="A6905" s="3">
        <v>45715.0</v>
      </c>
      <c r="B6905" s="4">
        <v>0.35625</v>
      </c>
      <c r="C6905" s="5" t="s">
        <v>90</v>
      </c>
      <c r="D6905" s="5" t="s">
        <v>1197</v>
      </c>
      <c r="E6905" s="8" t="s">
        <v>286</v>
      </c>
      <c r="F6905" s="5" t="s">
        <v>287</v>
      </c>
      <c r="G6905" s="6" t="str">
        <f>VLOOKUP(E6905,dicionario!$A$1:$C7304,2,0)</f>
        <v>Setaria parviflora</v>
      </c>
      <c r="H6905" s="6" t="str">
        <f>VLOOKUP(E6905,dicionario!$A$1:$C7304,3,0)</f>
        <v>capim-rabo-de-raposa</v>
      </c>
    </row>
    <row r="6906">
      <c r="A6906" s="3">
        <v>45715.0</v>
      </c>
      <c r="B6906" s="4">
        <v>0.35694444444444445</v>
      </c>
      <c r="C6906" s="5" t="s">
        <v>90</v>
      </c>
      <c r="D6906" s="5" t="s">
        <v>1197</v>
      </c>
      <c r="E6906" s="8" t="s">
        <v>154</v>
      </c>
      <c r="F6906" s="5" t="s">
        <v>155</v>
      </c>
      <c r="G6906" s="6" t="str">
        <f>VLOOKUP(E6906,dicionario!$A$1:$C7305,2,0)</f>
        <v>Cyperus rotundus</v>
      </c>
      <c r="H6906" s="6" t="str">
        <f>VLOOKUP(E6906,dicionario!$A$1:$C7305,3,0)</f>
        <v>tiririca</v>
      </c>
    </row>
    <row r="6907">
      <c r="A6907" s="3">
        <v>45715.0</v>
      </c>
      <c r="B6907" s="4">
        <v>0.35694444444444445</v>
      </c>
      <c r="C6907" s="5" t="s">
        <v>90</v>
      </c>
      <c r="D6907" s="5" t="s">
        <v>1197</v>
      </c>
      <c r="E6907" s="8" t="s">
        <v>247</v>
      </c>
      <c r="F6907" s="7" t="s">
        <v>272</v>
      </c>
      <c r="G6907" s="6" t="str">
        <f>VLOOKUP(E6907,dicionario!$A$1:$C7306,2,0)</f>
        <v>Emilia sonchifolia</v>
      </c>
      <c r="H6907" s="6" t="str">
        <f>VLOOKUP(E6907,dicionario!$A$1:$C7306,3,0)</f>
        <v>serralinha</v>
      </c>
    </row>
    <row r="6908">
      <c r="A6908" s="3">
        <v>45715.0</v>
      </c>
      <c r="B6908" s="4">
        <v>0.35694444444444445</v>
      </c>
      <c r="C6908" s="5" t="s">
        <v>90</v>
      </c>
      <c r="D6908" s="5" t="s">
        <v>1197</v>
      </c>
      <c r="E6908" s="8" t="s">
        <v>148</v>
      </c>
      <c r="F6908" s="5" t="s">
        <v>149</v>
      </c>
      <c r="G6908" s="6" t="str">
        <f>VLOOKUP(E6908,dicionario!$A$1:$C7307,2,0)</f>
        <v>Parthenium hysterophorus</v>
      </c>
      <c r="H6908" s="6" t="str">
        <f>VLOOKUP(E6908,dicionario!$A$1:$C7307,3,0)</f>
        <v>losna-branca</v>
      </c>
    </row>
    <row r="6909">
      <c r="A6909" s="3">
        <v>45715.0</v>
      </c>
      <c r="B6909" s="4">
        <v>0.35694444444444445</v>
      </c>
      <c r="C6909" s="5" t="s">
        <v>90</v>
      </c>
      <c r="D6909" s="5" t="s">
        <v>1197</v>
      </c>
      <c r="E6909" s="8" t="s">
        <v>298</v>
      </c>
      <c r="F6909" s="5" t="s">
        <v>299</v>
      </c>
      <c r="G6909" s="6" t="str">
        <f>VLOOKUP(E6909,dicionario!$A$1:$C7308,2,0)</f>
        <v>Alysicarpus vaginalis</v>
      </c>
      <c r="H6909" s="6" t="str">
        <f>VLOOKUP(E6909,dicionario!$A$1:$C7308,3,0)</f>
        <v/>
      </c>
    </row>
    <row r="6910">
      <c r="A6910" s="3">
        <v>45715.0</v>
      </c>
      <c r="B6910" s="4">
        <v>0.35694444444444445</v>
      </c>
      <c r="C6910" s="5" t="s">
        <v>90</v>
      </c>
      <c r="D6910" s="5" t="s">
        <v>1197</v>
      </c>
      <c r="E6910" s="8" t="s">
        <v>296</v>
      </c>
      <c r="F6910" s="5" t="s">
        <v>297</v>
      </c>
      <c r="G6910" s="6" t="str">
        <f>VLOOKUP(E6910,dicionario!$A$1:$C7309,2,0)</f>
        <v>Richardia brasiliensis</v>
      </c>
      <c r="H6910" s="6" t="str">
        <f>VLOOKUP(E6910,dicionario!$A$1:$C7309,3,0)</f>
        <v>poaia-branca</v>
      </c>
    </row>
    <row r="6911">
      <c r="A6911" s="3">
        <v>45715.0</v>
      </c>
      <c r="B6911" s="4">
        <v>0.35694444444444445</v>
      </c>
      <c r="C6911" s="5" t="s">
        <v>90</v>
      </c>
      <c r="D6911" s="5" t="s">
        <v>1197</v>
      </c>
      <c r="E6911" s="8" t="s">
        <v>135</v>
      </c>
      <c r="F6911" s="5" t="s">
        <v>136</v>
      </c>
      <c r="G6911" s="6" t="str">
        <f>VLOOKUP(E6911,dicionario!$A$1:$C7310,2,0)</f>
        <v>Tridax procumbens</v>
      </c>
      <c r="H6911" s="6" t="str">
        <f>VLOOKUP(E6911,dicionario!$A$1:$C7310,3,0)</f>
        <v>erva-de-touro</v>
      </c>
    </row>
    <row r="6912">
      <c r="A6912" s="3">
        <v>45715.0</v>
      </c>
      <c r="B6912" s="4">
        <v>0.35694444444444445</v>
      </c>
      <c r="C6912" s="5" t="s">
        <v>90</v>
      </c>
      <c r="D6912" s="5" t="s">
        <v>1197</v>
      </c>
      <c r="E6912" s="6" t="s">
        <v>467</v>
      </c>
      <c r="F6912" s="5" t="s">
        <v>468</v>
      </c>
      <c r="G6912" s="6" t="str">
        <f>VLOOKUP(E6912,dicionario!$A$1:$C7311,2,0)</f>
        <v>Eleusine indica</v>
      </c>
      <c r="H6912" s="6" t="str">
        <f>VLOOKUP(E6912,dicionario!$A$1:$C7311,3,0)</f>
        <v>capim-pé-de-galinha</v>
      </c>
    </row>
    <row r="6913">
      <c r="A6913" s="3">
        <v>45715.0</v>
      </c>
      <c r="B6913" s="4">
        <v>0.3576388888888889</v>
      </c>
      <c r="C6913" s="5" t="s">
        <v>90</v>
      </c>
      <c r="D6913" s="5" t="s">
        <v>1197</v>
      </c>
      <c r="E6913" s="6" t="s">
        <v>253</v>
      </c>
      <c r="F6913" s="5" t="s">
        <v>254</v>
      </c>
      <c r="G6913" s="6" t="str">
        <f>VLOOKUP(E6913,dicionario!$A$1:$C7312,2,0)</f>
        <v>Panicum maximum</v>
      </c>
      <c r="H6913" s="6" t="str">
        <f>VLOOKUP(E6913,dicionario!$A$1:$C7312,3,0)</f>
        <v>capim-colonião</v>
      </c>
    </row>
    <row r="6914">
      <c r="A6914" s="3">
        <v>45715.0</v>
      </c>
      <c r="B6914" s="4">
        <v>0.3576388888888889</v>
      </c>
      <c r="C6914" s="5" t="s">
        <v>90</v>
      </c>
      <c r="D6914" s="5" t="s">
        <v>1197</v>
      </c>
      <c r="E6914" s="8" t="s">
        <v>353</v>
      </c>
      <c r="F6914" s="5" t="s">
        <v>354</v>
      </c>
      <c r="G6914" s="6" t="str">
        <f>VLOOKUP(E6914,dicionario!$A$1:$C7313,2,0)</f>
        <v>Desmodium incanum</v>
      </c>
      <c r="H6914" s="6" t="str">
        <f>VLOOKUP(E6914,dicionario!$A$1:$C7313,3,0)</f>
        <v>pega-pega</v>
      </c>
    </row>
    <row r="6915">
      <c r="A6915" s="3">
        <v>45715.0</v>
      </c>
      <c r="B6915" s="4">
        <v>0.3576388888888889</v>
      </c>
      <c r="C6915" s="5" t="s">
        <v>90</v>
      </c>
      <c r="D6915" s="5" t="s">
        <v>1197</v>
      </c>
      <c r="E6915" s="8" t="s">
        <v>107</v>
      </c>
      <c r="F6915" s="5" t="s">
        <v>108</v>
      </c>
      <c r="G6915" s="6" t="str">
        <f>VLOOKUP(E6915,dicionario!$A$1:$C7314,2,0)</f>
        <v>Ramalina complanata</v>
      </c>
      <c r="H6915" s="6" t="str">
        <f>VLOOKUP(E6915,dicionario!$A$1:$C7314,3,0)</f>
        <v>ramalina</v>
      </c>
    </row>
    <row r="6916">
      <c r="A6916" s="3">
        <v>45715.0</v>
      </c>
      <c r="B6916" s="4">
        <v>0.3576388888888889</v>
      </c>
      <c r="C6916" s="5" t="s">
        <v>90</v>
      </c>
      <c r="D6916" s="5" t="s">
        <v>1197</v>
      </c>
      <c r="E6916" s="8" t="s">
        <v>752</v>
      </c>
      <c r="F6916" s="5" t="s">
        <v>753</v>
      </c>
      <c r="G6916" s="6" t="str">
        <f>VLOOKUP(E6916,dicionario!$A$1:$C7315,2,0)</f>
        <v>#N/A</v>
      </c>
      <c r="H6916" s="6" t="str">
        <f>VLOOKUP(E6916,dicionario!$A$1:$C7315,3,0)</f>
        <v>#N/A</v>
      </c>
    </row>
    <row r="6917">
      <c r="A6917" s="3">
        <v>45715.0</v>
      </c>
      <c r="B6917" s="4">
        <v>0.3576388888888889</v>
      </c>
      <c r="C6917" s="5" t="s">
        <v>90</v>
      </c>
      <c r="D6917" s="5" t="s">
        <v>1197</v>
      </c>
      <c r="E6917" s="8" t="s">
        <v>712</v>
      </c>
      <c r="F6917" s="5" t="s">
        <v>718</v>
      </c>
      <c r="G6917" s="6" t="str">
        <f>VLOOKUP(E6917,dicionario!$A$1:$C7316,2,0)</f>
        <v>Flavopunctelia soredica</v>
      </c>
      <c r="H6917" s="6" t="str">
        <f>VLOOKUP(E6917,dicionario!$A$1:$C7316,3,0)</f>
        <v>líquen-folioso</v>
      </c>
    </row>
    <row r="6918">
      <c r="A6918" s="3">
        <v>45715.0</v>
      </c>
      <c r="B6918" s="4">
        <v>0.3576388888888889</v>
      </c>
      <c r="C6918" s="5" t="s">
        <v>90</v>
      </c>
      <c r="D6918" s="5" t="s">
        <v>1197</v>
      </c>
      <c r="E6918" s="8" t="s">
        <v>719</v>
      </c>
      <c r="F6918" s="5" t="s">
        <v>720</v>
      </c>
      <c r="G6918" s="6" t="str">
        <f>VLOOKUP(E6918,dicionario!$A$1:$C7317,2,0)</f>
        <v>Dirinaria</v>
      </c>
      <c r="H6918" s="6" t="str">
        <f>VLOOKUP(E6918,dicionario!$A$1:$C7317,3,0)</f>
        <v>líquen-crostoso</v>
      </c>
    </row>
    <row r="6919">
      <c r="A6919" s="3">
        <v>45715.0</v>
      </c>
      <c r="B6919" s="4">
        <v>0.3576388888888889</v>
      </c>
      <c r="C6919" s="5" t="s">
        <v>90</v>
      </c>
      <c r="D6919" s="5" t="s">
        <v>1197</v>
      </c>
      <c r="E6919" s="8" t="s">
        <v>65</v>
      </c>
      <c r="F6919" s="5" t="s">
        <v>66</v>
      </c>
      <c r="G6919" s="6" t="str">
        <f>VLOOKUP(E6919,dicionario!$A$1:$C7318,2,0)</f>
        <v>Pitangus sulphutarus</v>
      </c>
      <c r="H6919" s="6" t="str">
        <f>VLOOKUP(E6919,dicionario!$A$1:$C7318,3,0)</f>
        <v>bem-te-vi</v>
      </c>
    </row>
    <row r="6920">
      <c r="A6920" s="3">
        <v>45715.0</v>
      </c>
      <c r="B6920" s="4">
        <v>0.35833333333333334</v>
      </c>
      <c r="C6920" s="5" t="s">
        <v>90</v>
      </c>
      <c r="D6920" s="5" t="s">
        <v>1197</v>
      </c>
      <c r="E6920" s="8" t="s">
        <v>72</v>
      </c>
      <c r="F6920" s="5" t="s">
        <v>73</v>
      </c>
      <c r="G6920" s="6" t="str">
        <f>VLOOKUP(E6920,dicionario!$A$1:$C7319,2,0)</f>
        <v>Thraupis palmarum</v>
      </c>
      <c r="H6920" s="6" t="str">
        <f>VLOOKUP(E6920,dicionario!$A$1:$C7319,3,0)</f>
        <v>sanhaço-do-coqueiro</v>
      </c>
    </row>
    <row r="6921">
      <c r="A6921" s="3">
        <v>45715.0</v>
      </c>
      <c r="B6921" s="4">
        <v>0.35833333333333334</v>
      </c>
      <c r="C6921" s="5" t="s">
        <v>90</v>
      </c>
      <c r="D6921" s="5" t="s">
        <v>1197</v>
      </c>
      <c r="E6921" s="8" t="s">
        <v>109</v>
      </c>
      <c r="F6921" s="5" t="s">
        <v>110</v>
      </c>
      <c r="G6921" s="6" t="str">
        <f>VLOOKUP(E6921,dicionario!$A$1:$C7320,2,0)</f>
        <v>Tillandsia stricta</v>
      </c>
      <c r="H6921" s="6" t="str">
        <f>VLOOKUP(E6921,dicionario!$A$1:$C7320,3,0)</f>
        <v>cravo-do-mato</v>
      </c>
    </row>
    <row r="6922">
      <c r="A6922" s="3">
        <v>45715.0</v>
      </c>
      <c r="B6922" s="4">
        <v>0.35833333333333334</v>
      </c>
      <c r="C6922" s="5" t="s">
        <v>90</v>
      </c>
      <c r="D6922" s="5" t="s">
        <v>1197</v>
      </c>
      <c r="E6922" s="8" t="s">
        <v>163</v>
      </c>
      <c r="F6922" s="5" t="s">
        <v>164</v>
      </c>
      <c r="G6922" s="6" t="str">
        <f>VLOOKUP(E6922,dicionario!$A$1:$C7321,2,0)</f>
        <v>Coragyps atratus</v>
      </c>
      <c r="H6922" s="6" t="str">
        <f>VLOOKUP(E6922,dicionario!$A$1:$C7321,3,0)</f>
        <v>urubu-de-cabeça-preta</v>
      </c>
    </row>
    <row r="6923">
      <c r="A6923" s="3">
        <v>45715.0</v>
      </c>
      <c r="B6923" s="4">
        <v>0.3590277777777778</v>
      </c>
      <c r="C6923" s="5" t="s">
        <v>90</v>
      </c>
      <c r="D6923" s="5" t="s">
        <v>1197</v>
      </c>
      <c r="E6923" s="8" t="s">
        <v>302</v>
      </c>
      <c r="F6923" s="5" t="s">
        <v>89</v>
      </c>
      <c r="G6923" s="6" t="str">
        <f>VLOOKUP(E6923,dicionario!$A$1:$C7322,2,0)</f>
        <v>Machetornis rixosa</v>
      </c>
      <c r="H6923" s="6" t="str">
        <f>VLOOKUP(E6923,dicionario!$A$1:$C7322,3,0)</f>
        <v>suiriri-cavaleiro</v>
      </c>
    </row>
    <row r="6924">
      <c r="A6924" s="3">
        <v>45715.0</v>
      </c>
      <c r="B6924" s="4">
        <v>0.3590277777777778</v>
      </c>
      <c r="C6924" s="5" t="s">
        <v>90</v>
      </c>
      <c r="D6924" s="5" t="s">
        <v>1197</v>
      </c>
      <c r="E6924" s="8" t="s">
        <v>1175</v>
      </c>
      <c r="F6924" s="5" t="s">
        <v>1176</v>
      </c>
      <c r="G6924" s="6" t="str">
        <f>VLOOKUP(E6924,dicionario!$A$1:$C7323,2,0)</f>
        <v>Danaus erippus</v>
      </c>
      <c r="H6924" s="6" t="str">
        <f>VLOOKUP(E6924,dicionario!$A$1:$C7323,3,0)</f>
        <v>borboleta-monarca-do-sul</v>
      </c>
    </row>
    <row r="6925">
      <c r="A6925" s="3">
        <v>45715.0</v>
      </c>
      <c r="B6925" s="4">
        <v>0.3611111111111111</v>
      </c>
      <c r="C6925" s="5" t="s">
        <v>90</v>
      </c>
      <c r="D6925" s="5" t="s">
        <v>1197</v>
      </c>
      <c r="E6925" s="8" t="s">
        <v>111</v>
      </c>
      <c r="F6925" s="7" t="s">
        <v>112</v>
      </c>
      <c r="G6925" s="6" t="str">
        <f>VLOOKUP(E6925,dicionario!$A$1:$C7324,2,0)</f>
        <v>Trigona spinipes</v>
      </c>
      <c r="H6925" s="6" t="str">
        <f>VLOOKUP(E6925,dicionario!$A$1:$C7324,3,0)</f>
        <v>abelha-cachorro</v>
      </c>
    </row>
    <row r="6926">
      <c r="A6926" s="3">
        <v>45715.0</v>
      </c>
      <c r="B6926" s="4">
        <v>0.3611111111111111</v>
      </c>
      <c r="C6926" s="5" t="s">
        <v>90</v>
      </c>
      <c r="D6926" s="5" t="s">
        <v>1197</v>
      </c>
      <c r="E6926" s="8" t="s">
        <v>12</v>
      </c>
      <c r="F6926" s="7" t="s">
        <v>13</v>
      </c>
      <c r="G6926" s="6" t="str">
        <f>VLOOKUP(E6926,dicionario!$A$1:$C7325,2,0)</f>
        <v>Eulaema nigrita</v>
      </c>
      <c r="H6926" s="6" t="str">
        <f>VLOOKUP(E6926,dicionario!$A$1:$C7325,3,0)</f>
        <v>abelha-de-orquídea</v>
      </c>
    </row>
    <row r="6927">
      <c r="A6927" s="3">
        <v>45723.0</v>
      </c>
      <c r="B6927" s="4">
        <v>0.25833333333333336</v>
      </c>
      <c r="C6927" s="5" t="s">
        <v>90</v>
      </c>
      <c r="D6927" s="5" t="s">
        <v>1206</v>
      </c>
      <c r="E6927" s="8" t="s">
        <v>65</v>
      </c>
      <c r="F6927" s="5" t="s">
        <v>66</v>
      </c>
      <c r="G6927" s="6" t="str">
        <f>VLOOKUP(E6927,dicionario!$A$1:$C7326,2,0)</f>
        <v>Pitangus sulphutarus</v>
      </c>
      <c r="H6927" s="6" t="str">
        <f>VLOOKUP(E6927,dicionario!$A$1:$C7326,3,0)</f>
        <v>bem-te-vi</v>
      </c>
    </row>
    <row r="6928">
      <c r="A6928" s="3">
        <v>45723.0</v>
      </c>
      <c r="B6928" s="4">
        <v>0.25833333333333336</v>
      </c>
      <c r="C6928" s="5" t="s">
        <v>90</v>
      </c>
      <c r="D6928" s="5" t="s">
        <v>1206</v>
      </c>
      <c r="E6928" s="6" t="s">
        <v>113</v>
      </c>
      <c r="F6928" s="5" t="s">
        <v>114</v>
      </c>
      <c r="G6928" s="6" t="str">
        <f>VLOOKUP(E6928,dicionario!$A$1:$C7327,2,0)</f>
        <v>Columbina talpacoti</v>
      </c>
      <c r="H6928" s="6" t="str">
        <f>VLOOKUP(E6928,dicionario!$A$1:$C7327,3,0)</f>
        <v>rolinha-roxa</v>
      </c>
    </row>
    <row r="6929">
      <c r="A6929" s="3">
        <v>45723.0</v>
      </c>
      <c r="B6929" s="4">
        <v>0.25833333333333336</v>
      </c>
      <c r="C6929" s="5" t="s">
        <v>90</v>
      </c>
      <c r="D6929" s="5" t="s">
        <v>1206</v>
      </c>
      <c r="E6929" s="8" t="s">
        <v>109</v>
      </c>
      <c r="F6929" s="5" t="s">
        <v>110</v>
      </c>
      <c r="G6929" s="6" t="str">
        <f>VLOOKUP(E6929,dicionario!$A$1:$C7328,2,0)</f>
        <v>Tillandsia stricta</v>
      </c>
      <c r="H6929" s="6" t="str">
        <f>VLOOKUP(E6929,dicionario!$A$1:$C7328,3,0)</f>
        <v>cravo-do-mato</v>
      </c>
    </row>
    <row r="6930">
      <c r="A6930" s="3">
        <v>45723.0</v>
      </c>
      <c r="B6930" s="4">
        <v>0.25833333333333336</v>
      </c>
      <c r="C6930" s="5" t="s">
        <v>90</v>
      </c>
      <c r="D6930" s="5" t="s">
        <v>1206</v>
      </c>
      <c r="E6930" s="8" t="s">
        <v>239</v>
      </c>
      <c r="F6930" s="5" t="s">
        <v>240</v>
      </c>
      <c r="G6930" s="6" t="str">
        <f>VLOOKUP(E6930,dicionario!$A$1:$C7329,2,0)</f>
        <v>Gomphrena celosioides</v>
      </c>
      <c r="H6930" s="6" t="str">
        <f>VLOOKUP(E6930,dicionario!$A$1:$C7329,3,0)</f>
        <v>perpétua-branca</v>
      </c>
    </row>
    <row r="6931">
      <c r="A6931" s="3">
        <v>45723.0</v>
      </c>
      <c r="B6931" s="4">
        <v>0.2590277777777778</v>
      </c>
      <c r="C6931" s="5" t="s">
        <v>90</v>
      </c>
      <c r="D6931" s="5" t="s">
        <v>1206</v>
      </c>
      <c r="E6931" s="8" t="s">
        <v>498</v>
      </c>
      <c r="F6931" s="5" t="s">
        <v>499</v>
      </c>
      <c r="G6931" s="6" t="str">
        <f>VLOOKUP(E6931,dicionario!$A$1:$C7330,2,0)</f>
        <v>Brachiaria decumbens</v>
      </c>
      <c r="H6931" s="6" t="str">
        <f>VLOOKUP(E6931,dicionario!$A$1:$C7330,3,0)</f>
        <v>capim-braquiária</v>
      </c>
    </row>
    <row r="6932">
      <c r="A6932" s="3">
        <v>45723.0</v>
      </c>
      <c r="B6932" s="4">
        <v>0.2590277777777778</v>
      </c>
      <c r="C6932" s="5" t="s">
        <v>90</v>
      </c>
      <c r="D6932" s="5" t="s">
        <v>1206</v>
      </c>
      <c r="E6932" s="8" t="s">
        <v>72</v>
      </c>
      <c r="F6932" s="5" t="s">
        <v>73</v>
      </c>
      <c r="G6932" s="6" t="str">
        <f>VLOOKUP(E6932,dicionario!$A$1:$C7331,2,0)</f>
        <v>Thraupis palmarum</v>
      </c>
      <c r="H6932" s="6" t="str">
        <f>VLOOKUP(E6932,dicionario!$A$1:$C7331,3,0)</f>
        <v>sanhaço-do-coqueiro</v>
      </c>
    </row>
    <row r="6933">
      <c r="A6933" s="3">
        <v>45723.0</v>
      </c>
      <c r="B6933" s="4">
        <v>0.2590277777777778</v>
      </c>
      <c r="C6933" s="5" t="s">
        <v>90</v>
      </c>
      <c r="D6933" s="5" t="s">
        <v>1206</v>
      </c>
      <c r="E6933" s="8" t="s">
        <v>286</v>
      </c>
      <c r="F6933" s="5" t="s">
        <v>287</v>
      </c>
      <c r="G6933" s="6" t="str">
        <f>VLOOKUP(E6933,dicionario!$A$1:$C7332,2,0)</f>
        <v>Setaria parviflora</v>
      </c>
      <c r="H6933" s="6" t="str">
        <f>VLOOKUP(E6933,dicionario!$A$1:$C7332,3,0)</f>
        <v>capim-rabo-de-raposa</v>
      </c>
    </row>
    <row r="6934">
      <c r="A6934" s="3">
        <v>45723.0</v>
      </c>
      <c r="B6934" s="4">
        <v>0.2590277777777778</v>
      </c>
      <c r="C6934" s="5" t="s">
        <v>90</v>
      </c>
      <c r="D6934" s="5" t="s">
        <v>1206</v>
      </c>
      <c r="E6934" s="8" t="s">
        <v>1155</v>
      </c>
      <c r="F6934" s="5" t="s">
        <v>1156</v>
      </c>
      <c r="G6934" s="6" t="str">
        <f>VLOOKUP(E6934,dicionario!$A$1:$C7333,2,0)</f>
        <v>#N/A</v>
      </c>
      <c r="H6934" s="6" t="str">
        <f>VLOOKUP(E6934,dicionario!$A$1:$C7333,3,0)</f>
        <v>#N/A</v>
      </c>
    </row>
    <row r="6935">
      <c r="A6935" s="3">
        <v>45723.0</v>
      </c>
      <c r="B6935" s="4">
        <v>0.2590277777777778</v>
      </c>
      <c r="C6935" s="5" t="s">
        <v>90</v>
      </c>
      <c r="D6935" s="5" t="s">
        <v>1206</v>
      </c>
      <c r="E6935" s="8" t="s">
        <v>247</v>
      </c>
      <c r="F6935" s="7" t="s">
        <v>272</v>
      </c>
      <c r="G6935" s="6" t="str">
        <f>VLOOKUP(E6935,dicionario!$A$1:$C7334,2,0)</f>
        <v>Emilia sonchifolia</v>
      </c>
      <c r="H6935" s="6" t="str">
        <f>VLOOKUP(E6935,dicionario!$A$1:$C7334,3,0)</f>
        <v>serralinha</v>
      </c>
    </row>
    <row r="6936">
      <c r="A6936" s="3">
        <v>45723.0</v>
      </c>
      <c r="B6936" s="4">
        <v>0.2590277777777778</v>
      </c>
      <c r="C6936" s="5" t="s">
        <v>90</v>
      </c>
      <c r="D6936" s="5" t="s">
        <v>1206</v>
      </c>
      <c r="E6936" s="8" t="s">
        <v>38</v>
      </c>
      <c r="F6936" s="5" t="s">
        <v>39</v>
      </c>
      <c r="G6936" s="6" t="str">
        <f>VLOOKUP(E6936,dicionario!$A$1:$C7335,2,0)</f>
        <v>Troglodytes musculus</v>
      </c>
      <c r="H6936" s="6" t="str">
        <f>VLOOKUP(E6936,dicionario!$A$1:$C7335,3,0)</f>
        <v>curruíra</v>
      </c>
    </row>
    <row r="6937">
      <c r="A6937" s="3">
        <v>45723.0</v>
      </c>
      <c r="B6937" s="4">
        <v>0.2590277777777778</v>
      </c>
      <c r="C6937" s="5" t="s">
        <v>90</v>
      </c>
      <c r="D6937" s="5" t="s">
        <v>1206</v>
      </c>
      <c r="E6937" s="8" t="s">
        <v>135</v>
      </c>
      <c r="F6937" s="5" t="s">
        <v>136</v>
      </c>
      <c r="G6937" s="6" t="str">
        <f>VLOOKUP(E6937,dicionario!$A$1:$C7336,2,0)</f>
        <v>Tridax procumbens</v>
      </c>
      <c r="H6937" s="6" t="str">
        <f>VLOOKUP(E6937,dicionario!$A$1:$C7336,3,0)</f>
        <v>erva-de-touro</v>
      </c>
    </row>
    <row r="6938">
      <c r="A6938" s="3">
        <v>45723.0</v>
      </c>
      <c r="B6938" s="4">
        <v>0.25972222222222224</v>
      </c>
      <c r="C6938" s="5" t="s">
        <v>90</v>
      </c>
      <c r="D6938" s="5" t="s">
        <v>1206</v>
      </c>
      <c r="E6938" s="8" t="s">
        <v>298</v>
      </c>
      <c r="F6938" s="5" t="s">
        <v>299</v>
      </c>
      <c r="G6938" s="6" t="str">
        <f>VLOOKUP(E6938,dicionario!$A$1:$C7337,2,0)</f>
        <v>Alysicarpus vaginalis</v>
      </c>
      <c r="H6938" s="6" t="str">
        <f>VLOOKUP(E6938,dicionario!$A$1:$C7337,3,0)</f>
        <v/>
      </c>
    </row>
    <row r="6939">
      <c r="A6939" s="3">
        <v>45723.0</v>
      </c>
      <c r="B6939" s="4">
        <v>0.25972222222222224</v>
      </c>
      <c r="C6939" s="5" t="s">
        <v>90</v>
      </c>
      <c r="D6939" s="5" t="s">
        <v>1206</v>
      </c>
      <c r="E6939" s="6" t="s">
        <v>146</v>
      </c>
      <c r="F6939" s="5" t="s">
        <v>147</v>
      </c>
      <c r="G6939" s="6" t="str">
        <f>VLOOKUP(E6939,dicionario!$A$1:$C7338,2,0)</f>
        <v>Euphorbia hirta</v>
      </c>
      <c r="H6939" s="6" t="str">
        <f>VLOOKUP(E6939,dicionario!$A$1:$C7338,3,0)</f>
        <v>erva-de-santa-luzia</v>
      </c>
    </row>
    <row r="6940">
      <c r="A6940" s="3">
        <v>45723.0</v>
      </c>
      <c r="B6940" s="4">
        <v>0.2604166666666667</v>
      </c>
      <c r="C6940" s="5" t="s">
        <v>90</v>
      </c>
      <c r="D6940" s="5" t="s">
        <v>1206</v>
      </c>
      <c r="E6940" s="8" t="s">
        <v>20</v>
      </c>
      <c r="F6940" s="7" t="s">
        <v>21</v>
      </c>
      <c r="G6940" s="6" t="str">
        <f>VLOOKUP(E6940,dicionario!$A$1:$C7339,2,0)</f>
        <v>Sicalis flaveola</v>
      </c>
      <c r="H6940" s="6" t="str">
        <f>VLOOKUP(E6940,dicionario!$A$1:$C7339,3,0)</f>
        <v>canário-da-terra</v>
      </c>
    </row>
    <row r="6941">
      <c r="A6941" s="3">
        <v>45723.0</v>
      </c>
      <c r="B6941" s="4">
        <v>0.2604166666666667</v>
      </c>
      <c r="C6941" s="5" t="s">
        <v>90</v>
      </c>
      <c r="D6941" s="5" t="s">
        <v>1206</v>
      </c>
      <c r="E6941" s="8" t="s">
        <v>213</v>
      </c>
      <c r="F6941" s="7" t="s">
        <v>214</v>
      </c>
      <c r="G6941" s="6" t="str">
        <f>VLOOKUP(E6941,dicionario!$A$1:$C7340,2,0)</f>
        <v>Myiozetetes similis</v>
      </c>
      <c r="H6941" s="6" t="str">
        <f>VLOOKUP(E6941,dicionario!$A$1:$C7340,3,0)</f>
        <v>bentevizinho-de-penacho-vermelho</v>
      </c>
    </row>
    <row r="6942">
      <c r="A6942" s="3">
        <v>45723.0</v>
      </c>
      <c r="B6942" s="4">
        <v>0.2611111111111111</v>
      </c>
      <c r="C6942" s="5" t="s">
        <v>90</v>
      </c>
      <c r="D6942" s="5" t="s">
        <v>1206</v>
      </c>
      <c r="E6942" s="8" t="s">
        <v>53</v>
      </c>
      <c r="F6942" s="7" t="s">
        <v>54</v>
      </c>
      <c r="G6942" s="6" t="str">
        <f>VLOOKUP(E6942,dicionario!$A$1:$C7341,2,0)</f>
        <v>Turnera subulata</v>
      </c>
      <c r="H6942" s="6" t="str">
        <f>VLOOKUP(E6942,dicionario!$A$1:$C7341,3,0)</f>
        <v>xanana</v>
      </c>
    </row>
    <row r="6943">
      <c r="A6943" s="3">
        <v>45723.0</v>
      </c>
      <c r="B6943" s="4">
        <v>0.2611111111111111</v>
      </c>
      <c r="C6943" s="5" t="s">
        <v>90</v>
      </c>
      <c r="D6943" s="5" t="s">
        <v>1206</v>
      </c>
      <c r="E6943" s="8" t="s">
        <v>191</v>
      </c>
      <c r="F6943" s="5" t="s">
        <v>1207</v>
      </c>
      <c r="G6943" s="6" t="str">
        <f>VLOOKUP(E6943,dicionario!$A$1:$C7342,2,0)</f>
        <v>Patagioenas picazuro</v>
      </c>
      <c r="H6943" s="6" t="str">
        <f>VLOOKUP(E6943,dicionario!$A$1:$C7342,3,0)</f>
        <v>asa-branca; pomba-asa-branca; pocaçu</v>
      </c>
    </row>
    <row r="6944">
      <c r="A6944" s="3">
        <v>45723.0</v>
      </c>
      <c r="B6944" s="21">
        <v>0.26180555555555557</v>
      </c>
      <c r="C6944" s="5" t="s">
        <v>90</v>
      </c>
      <c r="D6944" s="5" t="s">
        <v>1206</v>
      </c>
      <c r="E6944" s="8" t="s">
        <v>719</v>
      </c>
      <c r="F6944" s="5" t="s">
        <v>720</v>
      </c>
      <c r="G6944" s="6" t="str">
        <f>VLOOKUP(E6944,dicionario!$A$1:$C7343,2,0)</f>
        <v>Dirinaria</v>
      </c>
      <c r="H6944" s="6" t="str">
        <f>VLOOKUP(E6944,dicionario!$A$1:$C7343,3,0)</f>
        <v>líquen-crostoso</v>
      </c>
    </row>
    <row r="6945">
      <c r="A6945" s="3">
        <v>45723.0</v>
      </c>
      <c r="B6945" s="21">
        <v>0.26180555555555557</v>
      </c>
      <c r="C6945" s="5" t="s">
        <v>90</v>
      </c>
      <c r="D6945" s="5" t="s">
        <v>1206</v>
      </c>
      <c r="E6945" s="8" t="s">
        <v>712</v>
      </c>
      <c r="F6945" s="5" t="s">
        <v>718</v>
      </c>
      <c r="G6945" s="6" t="str">
        <f>VLOOKUP(E6945,dicionario!$A$1:$C7344,2,0)</f>
        <v>Flavopunctelia soredica</v>
      </c>
      <c r="H6945" s="6" t="str">
        <f>VLOOKUP(E6945,dicionario!$A$1:$C7344,3,0)</f>
        <v>líquen-folioso</v>
      </c>
    </row>
    <row r="6946">
      <c r="A6946" s="3">
        <v>45723.0</v>
      </c>
      <c r="B6946" s="21">
        <v>0.26180555555555557</v>
      </c>
      <c r="C6946" s="5" t="s">
        <v>90</v>
      </c>
      <c r="D6946" s="5" t="s">
        <v>1206</v>
      </c>
      <c r="E6946" s="8" t="s">
        <v>107</v>
      </c>
      <c r="F6946" s="5" t="s">
        <v>108</v>
      </c>
      <c r="G6946" s="6" t="str">
        <f>VLOOKUP(E6946,dicionario!$A$1:$C7345,2,0)</f>
        <v>Ramalina complanata</v>
      </c>
      <c r="H6946" s="6" t="str">
        <f>VLOOKUP(E6946,dicionario!$A$1:$C7345,3,0)</f>
        <v>ramalina</v>
      </c>
    </row>
    <row r="6947">
      <c r="A6947" s="3">
        <v>45723.0</v>
      </c>
      <c r="B6947" s="21">
        <v>0.26180555555555557</v>
      </c>
      <c r="C6947" s="5" t="s">
        <v>90</v>
      </c>
      <c r="D6947" s="5" t="s">
        <v>1206</v>
      </c>
      <c r="E6947" s="6" t="s">
        <v>258</v>
      </c>
      <c r="F6947" s="5" t="s">
        <v>259</v>
      </c>
      <c r="G6947" s="6" t="str">
        <f>VLOOKUP(E6947,dicionario!$A$1:$C7346,2,0)</f>
        <v>Lantana camara</v>
      </c>
      <c r="H6947" s="6" t="str">
        <f>VLOOKUP(E6947,dicionario!$A$1:$C7346,3,0)</f>
        <v>lantana</v>
      </c>
    </row>
    <row r="6948">
      <c r="A6948" s="3">
        <v>45723.0</v>
      </c>
      <c r="B6948" s="21">
        <v>0.26180555555555557</v>
      </c>
      <c r="C6948" s="5" t="s">
        <v>90</v>
      </c>
      <c r="D6948" s="5" t="s">
        <v>1206</v>
      </c>
      <c r="E6948" s="8" t="s">
        <v>752</v>
      </c>
      <c r="F6948" s="5" t="s">
        <v>753</v>
      </c>
      <c r="G6948" s="6" t="str">
        <f>VLOOKUP(E6948,dicionario!$A$1:$C7347,2,0)</f>
        <v>#N/A</v>
      </c>
      <c r="H6948" s="6" t="str">
        <f>VLOOKUP(E6948,dicionario!$A$1:$C7347,3,0)</f>
        <v>#N/A</v>
      </c>
    </row>
    <row r="6949">
      <c r="A6949" s="3">
        <v>45723.0</v>
      </c>
      <c r="B6949" s="63">
        <v>0.2625</v>
      </c>
      <c r="C6949" s="5" t="s">
        <v>90</v>
      </c>
      <c r="D6949" s="5" t="s">
        <v>1206</v>
      </c>
      <c r="E6949" s="8" t="s">
        <v>1157</v>
      </c>
      <c r="F6949" s="5" t="s">
        <v>1105</v>
      </c>
      <c r="G6949" s="6" t="str">
        <f>VLOOKUP(E6949,dicionario!$A$1:$C7348,2,0)</f>
        <v>#N/A</v>
      </c>
      <c r="H6949" s="6" t="str">
        <f>VLOOKUP(E6949,dicionario!$A$1:$C7348,3,0)</f>
        <v>#N/A</v>
      </c>
    </row>
    <row r="6950">
      <c r="A6950" s="3">
        <v>45723.0</v>
      </c>
      <c r="B6950" s="63">
        <v>0.2625</v>
      </c>
      <c r="C6950" s="5" t="s">
        <v>90</v>
      </c>
      <c r="D6950" s="5" t="s">
        <v>1206</v>
      </c>
      <c r="E6950" s="8" t="s">
        <v>195</v>
      </c>
      <c r="F6950" s="5" t="s">
        <v>196</v>
      </c>
      <c r="G6950" s="6" t="str">
        <f>VLOOKUP(E6950,dicionario!$A$1:$C7349,2,0)</f>
        <v>Priva lappulacea</v>
      </c>
      <c r="H6950" s="6" t="str">
        <f>VLOOKUP(E6950,dicionario!$A$1:$C7349,3,0)</f>
        <v>carrapicho</v>
      </c>
    </row>
    <row r="6951">
      <c r="A6951" s="3">
        <v>45723.0</v>
      </c>
      <c r="B6951" s="4">
        <v>0.26319444444444445</v>
      </c>
      <c r="C6951" s="5" t="s">
        <v>90</v>
      </c>
      <c r="D6951" s="5" t="s">
        <v>1206</v>
      </c>
      <c r="E6951" s="8" t="s">
        <v>353</v>
      </c>
      <c r="F6951" s="5" t="s">
        <v>354</v>
      </c>
      <c r="G6951" s="6" t="str">
        <f>VLOOKUP(E6951,dicionario!$A$1:$C7350,2,0)</f>
        <v>Desmodium incanum</v>
      </c>
      <c r="H6951" s="6" t="str">
        <f>VLOOKUP(E6951,dicionario!$A$1:$C7350,3,0)</f>
        <v>pega-pega</v>
      </c>
    </row>
    <row r="6952">
      <c r="A6952" s="3">
        <v>45723.0</v>
      </c>
      <c r="B6952" s="4">
        <v>0.26319444444444445</v>
      </c>
      <c r="C6952" s="5" t="s">
        <v>90</v>
      </c>
      <c r="D6952" s="5" t="s">
        <v>1206</v>
      </c>
      <c r="E6952" s="8" t="s">
        <v>154</v>
      </c>
      <c r="F6952" s="5" t="s">
        <v>155</v>
      </c>
      <c r="G6952" s="6" t="str">
        <f>VLOOKUP(E6952,dicionario!$A$1:$C7351,2,0)</f>
        <v>Cyperus rotundus</v>
      </c>
      <c r="H6952" s="6" t="str">
        <f>VLOOKUP(E6952,dicionario!$A$1:$C7351,3,0)</f>
        <v>tiririca</v>
      </c>
    </row>
    <row r="6953">
      <c r="A6953" s="3">
        <v>45723.0</v>
      </c>
      <c r="B6953" s="4">
        <v>0.26319444444444445</v>
      </c>
      <c r="C6953" s="5" t="s">
        <v>90</v>
      </c>
      <c r="D6953" s="5" t="s">
        <v>1206</v>
      </c>
      <c r="E6953" s="8" t="s">
        <v>1087</v>
      </c>
      <c r="F6953" s="5" t="s">
        <v>1088</v>
      </c>
      <c r="G6953" s="6" t="str">
        <f>VLOOKUP(E6953,dicionario!$A$1:$C7352,2,0)</f>
        <v>Desmodium triflorum</v>
      </c>
      <c r="H6953" s="6" t="str">
        <f>VLOOKUP(E6953,dicionario!$A$1:$C7352,3,0)</f>
        <v/>
      </c>
    </row>
    <row r="6954">
      <c r="A6954" s="3">
        <v>45723.0</v>
      </c>
      <c r="B6954" s="4">
        <v>0.26319444444444445</v>
      </c>
      <c r="C6954" s="5" t="s">
        <v>90</v>
      </c>
      <c r="D6954" s="5" t="s">
        <v>1206</v>
      </c>
      <c r="E6954" s="8" t="s">
        <v>966</v>
      </c>
      <c r="F6954" s="5" t="s">
        <v>967</v>
      </c>
      <c r="G6954" s="6" t="str">
        <f>VLOOKUP(E6954,dicionario!$A$1:$C7353,2,0)</f>
        <v>Portulaca halimoides</v>
      </c>
      <c r="H6954" s="6" t="str">
        <f>VLOOKUP(E6954,dicionario!$A$1:$C7353,3,0)</f>
        <v>beldroega-de-seda</v>
      </c>
    </row>
    <row r="6955">
      <c r="A6955" s="3">
        <v>45723.0</v>
      </c>
      <c r="B6955" s="4">
        <v>0.26319444444444445</v>
      </c>
      <c r="C6955" s="5" t="s">
        <v>90</v>
      </c>
      <c r="D6955" s="5" t="s">
        <v>1206</v>
      </c>
      <c r="E6955" s="8" t="s">
        <v>86</v>
      </c>
      <c r="F6955" s="5" t="s">
        <v>502</v>
      </c>
      <c r="G6955" s="6" t="str">
        <f>VLOOKUP(E6955,dicionario!$A$1:$C7354,2,0)</f>
        <v>Coereba flaveola</v>
      </c>
      <c r="H6955" s="6" t="str">
        <f>VLOOKUP(E6955,dicionario!$A$1:$C7354,3,0)</f>
        <v>cambacica</v>
      </c>
    </row>
    <row r="6956">
      <c r="A6956" s="3">
        <v>45723.0</v>
      </c>
      <c r="B6956" s="4">
        <v>0.26319444444444445</v>
      </c>
      <c r="C6956" s="5" t="s">
        <v>90</v>
      </c>
      <c r="D6956" s="5" t="s">
        <v>1206</v>
      </c>
      <c r="E6956" s="8" t="s">
        <v>302</v>
      </c>
      <c r="F6956" s="5" t="s">
        <v>89</v>
      </c>
      <c r="G6956" s="6" t="str">
        <f>VLOOKUP(E6956,dicionario!$A$1:$C7355,2,0)</f>
        <v>Machetornis rixosa</v>
      </c>
      <c r="H6956" s="6" t="str">
        <f>VLOOKUP(E6956,dicionario!$A$1:$C7355,3,0)</f>
        <v>suiriri-cavaleiro</v>
      </c>
    </row>
    <row r="6957">
      <c r="A6957" s="3">
        <v>45723.0</v>
      </c>
      <c r="B6957" s="4">
        <v>0.26319444444444445</v>
      </c>
      <c r="C6957" s="5" t="s">
        <v>90</v>
      </c>
      <c r="D6957" s="5" t="s">
        <v>1206</v>
      </c>
      <c r="E6957" s="6" t="s">
        <v>154</v>
      </c>
      <c r="F6957" s="5" t="s">
        <v>155</v>
      </c>
      <c r="G6957" s="6" t="str">
        <f>VLOOKUP(E6957,dicionario!$A$1:$C7356,2,0)</f>
        <v>Cyperus rotundus</v>
      </c>
      <c r="H6957" s="6" t="str">
        <f>VLOOKUP(E6957,dicionario!$A$1:$C7356,3,0)</f>
        <v>tiririca</v>
      </c>
    </row>
    <row r="6958">
      <c r="A6958" s="3">
        <v>45723.0</v>
      </c>
      <c r="B6958" s="4">
        <v>0.2638888888888889</v>
      </c>
      <c r="C6958" s="5" t="s">
        <v>90</v>
      </c>
      <c r="D6958" s="5" t="s">
        <v>1206</v>
      </c>
      <c r="E6958" s="8" t="s">
        <v>425</v>
      </c>
      <c r="F6958" s="5" t="s">
        <v>426</v>
      </c>
      <c r="G6958" s="6" t="str">
        <f>VLOOKUP(E6958,dicionario!$A$1:$C7357,2,0)</f>
        <v>Digitaria insularis</v>
      </c>
      <c r="H6958" s="6" t="str">
        <f>VLOOKUP(E6958,dicionario!$A$1:$C7357,3,0)</f>
        <v>capim-amargoso</v>
      </c>
    </row>
    <row r="6959">
      <c r="A6959" s="3">
        <v>45723.0</v>
      </c>
      <c r="B6959" s="4">
        <v>0.2638888888888889</v>
      </c>
      <c r="C6959" s="5" t="s">
        <v>90</v>
      </c>
      <c r="D6959" s="5" t="s">
        <v>1206</v>
      </c>
      <c r="E6959" s="18" t="s">
        <v>611</v>
      </c>
      <c r="F6959" s="5" t="s">
        <v>612</v>
      </c>
      <c r="G6959" s="6" t="str">
        <f>VLOOKUP(E6959,dicionario!$A$1:$C7358,2,0)</f>
        <v>Boehmeria cylindrica</v>
      </c>
      <c r="H6959" s="6" t="str">
        <f>VLOOKUP(E6959,dicionario!$A$1:$C7358,3,0)</f>
        <v>falsa-urtiga</v>
      </c>
    </row>
    <row r="6960">
      <c r="A6960" s="3">
        <v>45723.0</v>
      </c>
      <c r="B6960" s="4">
        <v>0.2638888888888889</v>
      </c>
      <c r="C6960" s="5" t="s">
        <v>90</v>
      </c>
      <c r="D6960" s="5" t="s">
        <v>1206</v>
      </c>
      <c r="E6960" s="8" t="s">
        <v>736</v>
      </c>
      <c r="F6960" s="5" t="s">
        <v>737</v>
      </c>
      <c r="G6960" s="6" t="str">
        <f>VLOOKUP(E6960,dicionario!$A$1:$C7359,2,0)</f>
        <v>Chloris virgata</v>
      </c>
      <c r="H6960" s="6" t="str">
        <f>VLOOKUP(E6960,dicionario!$A$1:$C7359,3,0)</f>
        <v>capim-pavão</v>
      </c>
    </row>
    <row r="6961">
      <c r="A6961" s="3">
        <v>45723.0</v>
      </c>
      <c r="B6961" s="4">
        <v>0.2638888888888889</v>
      </c>
      <c r="C6961" s="5" t="s">
        <v>90</v>
      </c>
      <c r="D6961" s="5" t="s">
        <v>1206</v>
      </c>
      <c r="E6961" s="6" t="s">
        <v>141</v>
      </c>
      <c r="F6961" s="5" t="s">
        <v>142</v>
      </c>
      <c r="G6961" s="6" t="str">
        <f>VLOOKUP(E6961,dicionario!$A$1:$C7360,2,0)</f>
        <v>Ruellia blechum</v>
      </c>
      <c r="H6961" s="6" t="str">
        <f>VLOOKUP(E6961,dicionario!$A$1:$C7360,3,0)</f>
        <v>camarão-verde</v>
      </c>
    </row>
    <row r="6962">
      <c r="A6962" s="3">
        <v>45723.0</v>
      </c>
      <c r="B6962" s="4">
        <v>0.2638888888888889</v>
      </c>
      <c r="C6962" s="5" t="s">
        <v>90</v>
      </c>
      <c r="D6962" s="5" t="s">
        <v>1206</v>
      </c>
      <c r="E6962" s="6" t="s">
        <v>243</v>
      </c>
      <c r="F6962" s="5" t="s">
        <v>244</v>
      </c>
      <c r="G6962" s="6" t="str">
        <f>VLOOKUP(E6962,dicionario!$A$1:$C7361,2,0)</f>
        <v>Macroptilium atropurpureum</v>
      </c>
      <c r="H6962" s="6" t="str">
        <f>VLOOKUP(E6962,dicionario!$A$1:$C7361,3,0)</f>
        <v>feijão-de-pombo</v>
      </c>
    </row>
    <row r="6963">
      <c r="A6963" s="3">
        <v>45723.0</v>
      </c>
      <c r="B6963" s="4">
        <v>0.26458333333333334</v>
      </c>
      <c r="C6963" s="5" t="s">
        <v>90</v>
      </c>
      <c r="D6963" s="5" t="s">
        <v>1206</v>
      </c>
      <c r="E6963" s="8" t="s">
        <v>163</v>
      </c>
      <c r="F6963" s="5" t="s">
        <v>164</v>
      </c>
      <c r="G6963" s="6" t="str">
        <f>VLOOKUP(E6963,dicionario!$A$1:$C7362,2,0)</f>
        <v>Coragyps atratus</v>
      </c>
      <c r="H6963" s="6" t="str">
        <f>VLOOKUP(E6963,dicionario!$A$1:$C7362,3,0)</f>
        <v>urubu-de-cabeça-preta</v>
      </c>
    </row>
    <row r="6964">
      <c r="A6964" s="3">
        <v>45723.0</v>
      </c>
      <c r="B6964" s="4">
        <v>0.26458333333333334</v>
      </c>
      <c r="C6964" s="5" t="s">
        <v>90</v>
      </c>
      <c r="D6964" s="5" t="s">
        <v>1206</v>
      </c>
      <c r="E6964" s="6" t="s">
        <v>22</v>
      </c>
      <c r="F6964" s="5" t="s">
        <v>97</v>
      </c>
      <c r="G6964" s="6" t="str">
        <f>VLOOKUP(E6964,dicionario!$A$1:$C7363,2,0)</f>
        <v>Zenaida auriculata</v>
      </c>
      <c r="H6964" s="6" t="str">
        <f>VLOOKUP(E6964,dicionario!$A$1:$C7363,3,0)</f>
        <v>pomba-de-bando; avoante</v>
      </c>
    </row>
    <row r="6965">
      <c r="A6965" s="3">
        <v>45723.0</v>
      </c>
      <c r="B6965" s="4">
        <v>0.26458333333333334</v>
      </c>
      <c r="C6965" s="5" t="s">
        <v>90</v>
      </c>
      <c r="D6965" s="5" t="s">
        <v>1206</v>
      </c>
      <c r="E6965" s="8" t="s">
        <v>175</v>
      </c>
      <c r="F6965" s="5" t="s">
        <v>176</v>
      </c>
      <c r="G6965" s="6" t="str">
        <f>VLOOKUP(E6965,dicionario!$A$1:$C7364,2,0)</f>
        <v>Turdus leucomelas</v>
      </c>
      <c r="H6965" s="6" t="str">
        <f>VLOOKUP(E6965,dicionario!$A$1:$C7364,3,0)</f>
        <v>sabiá-barranco</v>
      </c>
    </row>
    <row r="6966">
      <c r="A6966" s="3">
        <v>45723.0</v>
      </c>
      <c r="B6966" s="4">
        <v>0.2652777777777778</v>
      </c>
      <c r="C6966" s="5" t="s">
        <v>90</v>
      </c>
      <c r="D6966" s="5" t="s">
        <v>1206</v>
      </c>
      <c r="E6966" s="8" t="s">
        <v>858</v>
      </c>
      <c r="F6966" s="5" t="s">
        <v>859</v>
      </c>
      <c r="G6966" s="6" t="str">
        <f>VLOOKUP(E6966,dicionario!$A$1:$C7365,2,0)</f>
        <v>Rumex obtusifolius</v>
      </c>
      <c r="H6966" s="6" t="str">
        <f>VLOOKUP(E6966,dicionario!$A$1:$C7365,3,0)</f>
        <v>lingua-de-vaca</v>
      </c>
    </row>
    <row r="6967">
      <c r="A6967" s="3">
        <v>45723.0</v>
      </c>
      <c r="B6967" s="4">
        <v>0.2652777777777778</v>
      </c>
      <c r="C6967" s="5" t="s">
        <v>90</v>
      </c>
      <c r="D6967" s="5" t="s">
        <v>1206</v>
      </c>
      <c r="E6967" s="6" t="s">
        <v>319</v>
      </c>
      <c r="F6967" s="5" t="s">
        <v>320</v>
      </c>
      <c r="G6967" s="6" t="str">
        <f>VLOOKUP(E6967,dicionario!$A$1:$C7366,2,0)</f>
        <v>Schinus terebinthifolia</v>
      </c>
      <c r="H6967" s="6" t="str">
        <f>VLOOKUP(E6967,dicionario!$A$1:$C7366,3,0)</f>
        <v>aroeira</v>
      </c>
    </row>
    <row r="6968">
      <c r="A6968" s="3">
        <v>45723.0</v>
      </c>
      <c r="B6968" s="4">
        <v>0.2652777777777778</v>
      </c>
      <c r="C6968" s="5" t="s">
        <v>90</v>
      </c>
      <c r="D6968" s="5" t="s">
        <v>1206</v>
      </c>
      <c r="E6968" s="8" t="s">
        <v>375</v>
      </c>
      <c r="F6968" s="5" t="s">
        <v>35</v>
      </c>
      <c r="G6968" s="6" t="str">
        <f>VLOOKUP(E6968,dicionario!$A$1:$C7367,2,0)</f>
        <v>Neoponera foetida</v>
      </c>
      <c r="H6968" s="6" t="str">
        <f>VLOOKUP(E6968,dicionario!$A$1:$C7367,3,0)</f>
        <v/>
      </c>
    </row>
    <row r="6969">
      <c r="A6969" s="3">
        <v>45723.0</v>
      </c>
      <c r="B6969" s="4">
        <v>0.2659722222222222</v>
      </c>
      <c r="C6969" s="5" t="s">
        <v>90</v>
      </c>
      <c r="D6969" s="5" t="s">
        <v>1206</v>
      </c>
      <c r="E6969" s="8" t="s">
        <v>579</v>
      </c>
      <c r="F6969" s="5" t="s">
        <v>580</v>
      </c>
      <c r="G6969" s="6" t="str">
        <f>VLOOKUP(E6969,dicionario!$A$1:$C7368,2,0)</f>
        <v>Piper tuberculatum</v>
      </c>
      <c r="H6969" s="6" t="str">
        <f>VLOOKUP(E6969,dicionario!$A$1:$C7368,3,0)</f>
        <v/>
      </c>
    </row>
    <row r="6970">
      <c r="A6970" s="3">
        <v>45723.0</v>
      </c>
      <c r="B6970" s="4">
        <v>0.2659722222222222</v>
      </c>
      <c r="C6970" s="5" t="s">
        <v>90</v>
      </c>
      <c r="D6970" s="5" t="s">
        <v>1206</v>
      </c>
      <c r="E6970" s="8" t="s">
        <v>150</v>
      </c>
      <c r="F6970" s="5" t="s">
        <v>151</v>
      </c>
      <c r="G6970" s="6" t="str">
        <f>VLOOKUP(E6970,dicionario!$A$1:$C7369,2,0)</f>
        <v>Amaranthus viridis</v>
      </c>
      <c r="H6970" s="6" t="str">
        <f>VLOOKUP(E6970,dicionario!$A$1:$C7369,3,0)</f>
        <v>caruru-de-mancha</v>
      </c>
    </row>
    <row r="6971">
      <c r="A6971" s="3">
        <v>45723.0</v>
      </c>
      <c r="B6971" s="4">
        <v>0.2659722222222222</v>
      </c>
      <c r="C6971" s="5" t="s">
        <v>90</v>
      </c>
      <c r="D6971" s="5" t="s">
        <v>1206</v>
      </c>
      <c r="E6971" s="8" t="s">
        <v>483</v>
      </c>
      <c r="F6971" s="5" t="s">
        <v>484</v>
      </c>
      <c r="G6971" s="6" t="str">
        <f>VLOOKUP(E6971,dicionario!$A$1:$C7370,2,0)</f>
        <v>Euphorbia prostrata</v>
      </c>
      <c r="H6971" s="6" t="str">
        <f>VLOOKUP(E6971,dicionario!$A$1:$C7370,3,0)</f>
        <v>quebra-pedra-rasteira</v>
      </c>
    </row>
    <row r="6972">
      <c r="A6972" s="3">
        <v>45723.0</v>
      </c>
      <c r="B6972" s="4">
        <v>0.2659722222222222</v>
      </c>
      <c r="C6972" s="5" t="s">
        <v>90</v>
      </c>
      <c r="D6972" s="5" t="s">
        <v>1206</v>
      </c>
      <c r="E6972" s="8" t="s">
        <v>111</v>
      </c>
      <c r="F6972" s="7" t="s">
        <v>112</v>
      </c>
      <c r="G6972" s="6" t="str">
        <f>VLOOKUP(E6972,dicionario!$A$1:$C7371,2,0)</f>
        <v>Trigona spinipes</v>
      </c>
      <c r="H6972" s="6" t="str">
        <f>VLOOKUP(E6972,dicionario!$A$1:$C7371,3,0)</f>
        <v>abelha-cachorro</v>
      </c>
    </row>
    <row r="6973">
      <c r="A6973" s="3">
        <v>45723.0</v>
      </c>
      <c r="B6973" s="4">
        <v>0.2659722222222222</v>
      </c>
      <c r="C6973" s="5" t="s">
        <v>90</v>
      </c>
      <c r="D6973" s="5" t="s">
        <v>1206</v>
      </c>
      <c r="E6973" s="8" t="s">
        <v>46</v>
      </c>
      <c r="F6973" s="5" t="s">
        <v>47</v>
      </c>
      <c r="G6973" s="6" t="str">
        <f>VLOOKUP(E6973,dicionario!$A$1:$C7372,2,0)</f>
        <v>Chionomesa fimbriata</v>
      </c>
      <c r="H6973" s="6" t="str">
        <f>VLOOKUP(E6973,dicionario!$A$1:$C7372,3,0)</f>
        <v>beija-flor-de-garganta-verde</v>
      </c>
    </row>
    <row r="6974">
      <c r="A6974" s="3">
        <v>45723.0</v>
      </c>
      <c r="B6974" s="4">
        <v>0.26944444444444443</v>
      </c>
      <c r="C6974" s="5" t="s">
        <v>85</v>
      </c>
      <c r="D6974" s="5" t="s">
        <v>1206</v>
      </c>
      <c r="E6974" s="8" t="s">
        <v>46</v>
      </c>
      <c r="F6974" s="5" t="s">
        <v>47</v>
      </c>
      <c r="G6974" s="6" t="str">
        <f>VLOOKUP(E6974,dicionario!$A$1:$C7373,2,0)</f>
        <v>Chionomesa fimbriata</v>
      </c>
      <c r="H6974" s="6" t="str">
        <f>VLOOKUP(E6974,dicionario!$A$1:$C7373,3,0)</f>
        <v>beija-flor-de-garganta-verde</v>
      </c>
    </row>
    <row r="6975">
      <c r="A6975" s="3">
        <v>45723.0</v>
      </c>
      <c r="B6975" s="4">
        <v>0.26944444444444443</v>
      </c>
      <c r="C6975" s="5" t="s">
        <v>85</v>
      </c>
      <c r="D6975" s="5" t="s">
        <v>1206</v>
      </c>
      <c r="E6975" s="8" t="s">
        <v>298</v>
      </c>
      <c r="F6975" s="5" t="s">
        <v>299</v>
      </c>
      <c r="G6975" s="6" t="str">
        <f>VLOOKUP(E6975,dicionario!$A$1:$C7374,2,0)</f>
        <v>Alysicarpus vaginalis</v>
      </c>
      <c r="H6975" s="6" t="str">
        <f>VLOOKUP(E6975,dicionario!$A$1:$C7374,3,0)</f>
        <v/>
      </c>
    </row>
    <row r="6976">
      <c r="A6976" s="3">
        <v>45723.0</v>
      </c>
      <c r="B6976" s="4">
        <v>0.2701388888888889</v>
      </c>
      <c r="C6976" s="5" t="s">
        <v>85</v>
      </c>
      <c r="D6976" s="5" t="s">
        <v>1206</v>
      </c>
      <c r="E6976" s="8" t="s">
        <v>86</v>
      </c>
      <c r="F6976" s="5" t="s">
        <v>502</v>
      </c>
      <c r="G6976" s="6" t="str">
        <f>VLOOKUP(E6976,dicionario!$A$1:$C7375,2,0)</f>
        <v>Coereba flaveola</v>
      </c>
      <c r="H6976" s="6" t="str">
        <f>VLOOKUP(E6976,dicionario!$A$1:$C7375,3,0)</f>
        <v>cambacica</v>
      </c>
    </row>
    <row r="6977">
      <c r="A6977" s="3">
        <v>45723.0</v>
      </c>
      <c r="B6977" s="4">
        <v>0.2701388888888889</v>
      </c>
      <c r="C6977" s="5" t="s">
        <v>85</v>
      </c>
      <c r="D6977" s="5" t="s">
        <v>1206</v>
      </c>
      <c r="E6977" s="8" t="s">
        <v>111</v>
      </c>
      <c r="F6977" s="7" t="s">
        <v>112</v>
      </c>
      <c r="G6977" s="6" t="str">
        <f>VLOOKUP(E6977,dicionario!$A$1:$C7376,2,0)</f>
        <v>Trigona spinipes</v>
      </c>
      <c r="H6977" s="6" t="str">
        <f>VLOOKUP(E6977,dicionario!$A$1:$C7376,3,0)</f>
        <v>abelha-cachorro</v>
      </c>
    </row>
    <row r="6978">
      <c r="A6978" s="3">
        <v>45723.0</v>
      </c>
      <c r="B6978" s="4">
        <v>0.2701388888888889</v>
      </c>
      <c r="C6978" s="5" t="s">
        <v>85</v>
      </c>
      <c r="D6978" s="5" t="s">
        <v>1206</v>
      </c>
      <c r="E6978" s="8" t="s">
        <v>375</v>
      </c>
      <c r="F6978" s="5" t="s">
        <v>35</v>
      </c>
      <c r="G6978" s="6" t="str">
        <f>VLOOKUP(E6978,dicionario!$A$1:$C7377,2,0)</f>
        <v>Neoponera foetida</v>
      </c>
      <c r="H6978" s="6" t="str">
        <f>VLOOKUP(E6978,dicionario!$A$1:$C7377,3,0)</f>
        <v/>
      </c>
    </row>
    <row r="6979">
      <c r="A6979" s="3">
        <v>45723.0</v>
      </c>
      <c r="B6979" s="4">
        <v>0.2701388888888889</v>
      </c>
      <c r="C6979" s="5" t="s">
        <v>85</v>
      </c>
      <c r="D6979" s="5" t="s">
        <v>1206</v>
      </c>
      <c r="E6979" s="8" t="s">
        <v>65</v>
      </c>
      <c r="F6979" s="5" t="s">
        <v>66</v>
      </c>
      <c r="G6979" s="6" t="str">
        <f>VLOOKUP(E6979,dicionario!$A$1:$C7378,2,0)</f>
        <v>Pitangus sulphutarus</v>
      </c>
      <c r="H6979" s="6" t="str">
        <f>VLOOKUP(E6979,dicionario!$A$1:$C7378,3,0)</f>
        <v>bem-te-vi</v>
      </c>
    </row>
    <row r="6980">
      <c r="A6980" s="3">
        <v>45723.0</v>
      </c>
      <c r="B6980" s="4">
        <v>0.2701388888888889</v>
      </c>
      <c r="C6980" s="5" t="s">
        <v>85</v>
      </c>
      <c r="D6980" s="5" t="s">
        <v>1206</v>
      </c>
      <c r="E6980" s="8" t="s">
        <v>38</v>
      </c>
      <c r="F6980" s="5" t="s">
        <v>39</v>
      </c>
      <c r="G6980" s="6" t="str">
        <f>VLOOKUP(E6980,dicionario!$A$1:$C7379,2,0)</f>
        <v>Troglodytes musculus</v>
      </c>
      <c r="H6980" s="6" t="str">
        <f>VLOOKUP(E6980,dicionario!$A$1:$C7379,3,0)</f>
        <v>curruíra</v>
      </c>
    </row>
    <row r="6981">
      <c r="A6981" s="3">
        <v>45723.0</v>
      </c>
      <c r="B6981" s="4">
        <v>0.2701388888888889</v>
      </c>
      <c r="C6981" s="5" t="s">
        <v>85</v>
      </c>
      <c r="D6981" s="5" t="s">
        <v>1206</v>
      </c>
      <c r="E6981" s="8" t="s">
        <v>514</v>
      </c>
      <c r="F6981" s="7" t="s">
        <v>515</v>
      </c>
      <c r="G6981" s="6" t="str">
        <f>VLOOKUP(E6981,dicionario!$A$1:$C7380,2,0)</f>
        <v>Aedes aegypti</v>
      </c>
      <c r="H6981" s="6" t="str">
        <f>VLOOKUP(E6981,dicionario!$A$1:$C7380,3,0)</f>
        <v>mosquito-da-dengue</v>
      </c>
    </row>
    <row r="6982">
      <c r="A6982" s="3">
        <v>45723.0</v>
      </c>
      <c r="B6982" s="4">
        <v>0.2708333333333333</v>
      </c>
      <c r="C6982" s="5" t="s">
        <v>85</v>
      </c>
      <c r="D6982" s="5" t="s">
        <v>1206</v>
      </c>
      <c r="E6982" s="8" t="s">
        <v>615</v>
      </c>
      <c r="F6982" s="5" t="s">
        <v>238</v>
      </c>
      <c r="G6982" s="6" t="str">
        <f>VLOOKUP(E6982,dicionario!$A$1:$C7381,2,0)</f>
        <v>#N/A</v>
      </c>
      <c r="H6982" s="6" t="str">
        <f>VLOOKUP(E6982,dicionario!$A$1:$C7381,3,0)</f>
        <v>#N/A</v>
      </c>
    </row>
    <row r="6983">
      <c r="A6983" s="3">
        <v>45723.0</v>
      </c>
      <c r="B6983" s="4">
        <v>0.2708333333333333</v>
      </c>
      <c r="C6983" s="5" t="s">
        <v>85</v>
      </c>
      <c r="D6983" s="5" t="s">
        <v>1206</v>
      </c>
      <c r="E6983" s="8" t="s">
        <v>53</v>
      </c>
      <c r="F6983" s="7" t="s">
        <v>54</v>
      </c>
      <c r="G6983" s="6" t="str">
        <f>VLOOKUP(E6983,dicionario!$A$1:$C7382,2,0)</f>
        <v>Turnera subulata</v>
      </c>
      <c r="H6983" s="6" t="str">
        <f>VLOOKUP(E6983,dicionario!$A$1:$C7382,3,0)</f>
        <v>xanana</v>
      </c>
    </row>
    <row r="6984">
      <c r="A6984" s="3">
        <v>45723.0</v>
      </c>
      <c r="B6984" s="4">
        <v>0.2708333333333333</v>
      </c>
      <c r="C6984" s="5" t="s">
        <v>85</v>
      </c>
      <c r="D6984" s="5" t="s">
        <v>1206</v>
      </c>
      <c r="E6984" s="8" t="s">
        <v>109</v>
      </c>
      <c r="F6984" s="5" t="s">
        <v>110</v>
      </c>
      <c r="G6984" s="6" t="str">
        <f>VLOOKUP(E6984,dicionario!$A$1:$C7383,2,0)</f>
        <v>Tillandsia stricta</v>
      </c>
      <c r="H6984" s="6" t="str">
        <f>VLOOKUP(E6984,dicionario!$A$1:$C7383,3,0)</f>
        <v>cravo-do-mato</v>
      </c>
    </row>
    <row r="6985">
      <c r="A6985" s="3">
        <v>45723.0</v>
      </c>
      <c r="B6985" s="4">
        <v>0.2708333333333333</v>
      </c>
      <c r="C6985" s="5" t="s">
        <v>85</v>
      </c>
      <c r="D6985" s="5" t="s">
        <v>1206</v>
      </c>
      <c r="E6985" s="8" t="s">
        <v>886</v>
      </c>
      <c r="F6985" s="5" t="s">
        <v>887</v>
      </c>
      <c r="G6985" s="6" t="str">
        <f>VLOOKUP(E6985,dicionario!$A$1:$C7384,2,0)</f>
        <v>Oldenlandia corymbosa</v>
      </c>
      <c r="H6985" s="6" t="str">
        <f>VLOOKUP(E6985,dicionario!$A$1:$C7384,3,0)</f>
        <v>erva-diamante</v>
      </c>
    </row>
    <row r="6986">
      <c r="A6986" s="3">
        <v>45723.0</v>
      </c>
      <c r="B6986" s="4">
        <v>0.2708333333333333</v>
      </c>
      <c r="C6986" s="5" t="s">
        <v>85</v>
      </c>
      <c r="D6986" s="5" t="s">
        <v>1206</v>
      </c>
      <c r="E6986" s="8" t="s">
        <v>1087</v>
      </c>
      <c r="F6986" s="5" t="s">
        <v>1088</v>
      </c>
      <c r="G6986" s="6" t="str">
        <f>VLOOKUP(E6986,dicionario!$A$1:$C7385,2,0)</f>
        <v>Desmodium triflorum</v>
      </c>
      <c r="H6986" s="6" t="str">
        <f>VLOOKUP(E6986,dicionario!$A$1:$C7385,3,0)</f>
        <v/>
      </c>
    </row>
    <row r="6987">
      <c r="A6987" s="3">
        <v>45723.0</v>
      </c>
      <c r="B6987" s="4">
        <v>0.2722222222222222</v>
      </c>
      <c r="C6987" s="5" t="s">
        <v>85</v>
      </c>
      <c r="D6987" s="5" t="s">
        <v>1206</v>
      </c>
      <c r="E6987" s="8" t="s">
        <v>247</v>
      </c>
      <c r="F6987" s="7" t="s">
        <v>272</v>
      </c>
      <c r="G6987" s="6" t="str">
        <f>VLOOKUP(E6987,dicionario!$A$1:$C7386,2,0)</f>
        <v>Emilia sonchifolia</v>
      </c>
      <c r="H6987" s="6" t="str">
        <f>VLOOKUP(E6987,dicionario!$A$1:$C7386,3,0)</f>
        <v>serralinha</v>
      </c>
    </row>
    <row r="6988">
      <c r="A6988" s="3">
        <v>45723.0</v>
      </c>
      <c r="B6988" s="4">
        <v>0.2722222222222222</v>
      </c>
      <c r="C6988" s="5" t="s">
        <v>85</v>
      </c>
      <c r="D6988" s="5" t="s">
        <v>1206</v>
      </c>
      <c r="E6988" s="8" t="s">
        <v>191</v>
      </c>
      <c r="F6988" s="5" t="s">
        <v>1207</v>
      </c>
      <c r="G6988" s="6" t="str">
        <f>VLOOKUP(E6988,dicionario!$A$1:$C7387,2,0)</f>
        <v>Patagioenas picazuro</v>
      </c>
      <c r="H6988" s="6" t="str">
        <f>VLOOKUP(E6988,dicionario!$A$1:$C7387,3,0)</f>
        <v>asa-branca; pomba-asa-branca; pocaçu</v>
      </c>
    </row>
    <row r="6989">
      <c r="A6989" s="3">
        <v>45723.0</v>
      </c>
      <c r="B6989" s="4">
        <v>0.27291666666666664</v>
      </c>
      <c r="C6989" s="5" t="s">
        <v>85</v>
      </c>
      <c r="D6989" s="5" t="s">
        <v>1206</v>
      </c>
      <c r="E6989" s="8" t="s">
        <v>177</v>
      </c>
      <c r="F6989" s="5" t="s">
        <v>607</v>
      </c>
      <c r="G6989" s="6" t="str">
        <f>VLOOKUP(E6989,dicionario!$A$1:$C7388,2,0)</f>
        <v>Elaenia flavogaster</v>
      </c>
      <c r="H6989" s="6" t="str">
        <f>VLOOKUP(E6989,dicionario!$A$1:$C7388,3,0)</f>
        <v>guaracava-de-barriga-amarela</v>
      </c>
    </row>
    <row r="6990">
      <c r="A6990" s="3">
        <v>45723.0</v>
      </c>
      <c r="B6990" s="4">
        <v>0.27291666666666664</v>
      </c>
      <c r="C6990" s="5" t="s">
        <v>85</v>
      </c>
      <c r="D6990" s="5" t="s">
        <v>1206</v>
      </c>
      <c r="E6990" s="8" t="s">
        <v>982</v>
      </c>
      <c r="F6990" s="5" t="s">
        <v>983</v>
      </c>
      <c r="G6990" s="6" t="str">
        <f>VLOOKUP(E6990,dicionario!$A$1:$C7389,2,0)</f>
        <v>#N/A</v>
      </c>
      <c r="H6990" s="6" t="str">
        <f>VLOOKUP(E6990,dicionario!$A$1:$C7389,3,0)</f>
        <v>#N/A</v>
      </c>
    </row>
    <row r="6991">
      <c r="A6991" s="3">
        <v>45723.0</v>
      </c>
      <c r="B6991" s="4">
        <v>0.27291666666666664</v>
      </c>
      <c r="C6991" s="5" t="s">
        <v>85</v>
      </c>
      <c r="D6991" s="5" t="s">
        <v>1206</v>
      </c>
      <c r="E6991" s="8" t="s">
        <v>72</v>
      </c>
      <c r="F6991" s="5" t="s">
        <v>73</v>
      </c>
      <c r="G6991" s="6" t="str">
        <f>VLOOKUP(E6991,dicionario!$A$1:$C7390,2,0)</f>
        <v>Thraupis palmarum</v>
      </c>
      <c r="H6991" s="6" t="str">
        <f>VLOOKUP(E6991,dicionario!$A$1:$C7390,3,0)</f>
        <v>sanhaço-do-coqueiro</v>
      </c>
    </row>
    <row r="6992">
      <c r="A6992" s="3">
        <v>45723.0</v>
      </c>
      <c r="B6992" s="4">
        <v>0.27291666666666664</v>
      </c>
      <c r="C6992" s="5" t="s">
        <v>85</v>
      </c>
      <c r="D6992" s="5" t="s">
        <v>1206</v>
      </c>
      <c r="E6992" s="8" t="s">
        <v>302</v>
      </c>
      <c r="F6992" s="5" t="s">
        <v>89</v>
      </c>
      <c r="G6992" s="6" t="str">
        <f>VLOOKUP(E6992,dicionario!$A$1:$C7391,2,0)</f>
        <v>Machetornis rixosa</v>
      </c>
      <c r="H6992" s="6" t="str">
        <f>VLOOKUP(E6992,dicionario!$A$1:$C7391,3,0)</f>
        <v>suiriri-cavaleiro</v>
      </c>
    </row>
    <row r="6993">
      <c r="A6993" s="3">
        <v>45723.0</v>
      </c>
      <c r="B6993" s="4">
        <v>0.27361111111111114</v>
      </c>
      <c r="C6993" s="5" t="s">
        <v>85</v>
      </c>
      <c r="D6993" s="5" t="s">
        <v>1206</v>
      </c>
      <c r="E6993" s="8" t="s">
        <v>163</v>
      </c>
      <c r="F6993" s="5" t="s">
        <v>164</v>
      </c>
      <c r="G6993" s="6" t="str">
        <f>VLOOKUP(E6993,dicionario!$A$1:$C7392,2,0)</f>
        <v>Coragyps atratus</v>
      </c>
      <c r="H6993" s="6" t="str">
        <f>VLOOKUP(E6993,dicionario!$A$1:$C7392,3,0)</f>
        <v>urubu-de-cabeça-preta</v>
      </c>
    </row>
    <row r="6994">
      <c r="A6994" s="3">
        <v>45723.0</v>
      </c>
      <c r="B6994" s="4">
        <v>0.27361111111111114</v>
      </c>
      <c r="C6994" s="5" t="s">
        <v>85</v>
      </c>
      <c r="D6994" s="5" t="s">
        <v>1206</v>
      </c>
      <c r="E6994" s="8" t="s">
        <v>60</v>
      </c>
      <c r="F6994" s="5" t="s">
        <v>61</v>
      </c>
      <c r="G6994" s="6" t="str">
        <f>VLOOKUP(E6994,dicionario!$A$1:$C7393,2,0)</f>
        <v>Vanellus chilensis</v>
      </c>
      <c r="H6994" s="6" t="str">
        <f>VLOOKUP(E6994,dicionario!$A$1:$C7393,3,0)</f>
        <v>quero-quero</v>
      </c>
    </row>
    <row r="6995">
      <c r="A6995" s="3">
        <v>45723.0</v>
      </c>
      <c r="B6995" s="4">
        <v>0.27361111111111114</v>
      </c>
      <c r="C6995" s="5" t="s">
        <v>85</v>
      </c>
      <c r="D6995" s="5" t="s">
        <v>1206</v>
      </c>
      <c r="E6995" s="6" t="s">
        <v>113</v>
      </c>
      <c r="F6995" s="5" t="s">
        <v>114</v>
      </c>
      <c r="G6995" s="6" t="str">
        <f>VLOOKUP(E6995,dicionario!$A$1:$C7394,2,0)</f>
        <v>Columbina talpacoti</v>
      </c>
      <c r="H6995" s="6" t="str">
        <f>VLOOKUP(E6995,dicionario!$A$1:$C7394,3,0)</f>
        <v>rolinha-roxa</v>
      </c>
    </row>
    <row r="6996">
      <c r="A6996" s="3">
        <v>45723.0</v>
      </c>
      <c r="B6996" s="4">
        <v>0.2743055555555556</v>
      </c>
      <c r="C6996" s="5" t="s">
        <v>85</v>
      </c>
      <c r="D6996" s="5" t="s">
        <v>1206</v>
      </c>
      <c r="E6996" s="6" t="s">
        <v>200</v>
      </c>
      <c r="F6996" s="5" t="s">
        <v>201</v>
      </c>
      <c r="G6996" s="6" t="str">
        <f>VLOOKUP(E6996,dicionario!$A$1:$C7395,2,0)</f>
        <v>Columbina picui </v>
      </c>
      <c r="H6996" s="6" t="str">
        <f>VLOOKUP(E6996,dicionario!$A$1:$C7395,3,0)</f>
        <v>rolinha-picuí</v>
      </c>
    </row>
    <row r="6997">
      <c r="A6997" s="3">
        <v>45723.0</v>
      </c>
      <c r="B6997" s="4">
        <v>0.2743055555555556</v>
      </c>
      <c r="C6997" s="5" t="s">
        <v>85</v>
      </c>
      <c r="D6997" s="5" t="s">
        <v>1206</v>
      </c>
      <c r="E6997" s="6" t="s">
        <v>383</v>
      </c>
      <c r="F6997" s="5" t="s">
        <v>384</v>
      </c>
      <c r="G6997" s="6" t="str">
        <f>VLOOKUP(E6997,dicionario!$A$1:$C7396,2,0)</f>
        <v>Setophaga pitiayumi</v>
      </c>
      <c r="H6997" s="6" t="str">
        <f>VLOOKUP(E6997,dicionario!$A$1:$C7396,3,0)</f>
        <v>mariquita</v>
      </c>
    </row>
    <row r="6998">
      <c r="A6998" s="3">
        <v>45723.0</v>
      </c>
      <c r="B6998" s="4">
        <v>0.275</v>
      </c>
      <c r="C6998" s="5" t="s">
        <v>85</v>
      </c>
      <c r="D6998" s="5" t="s">
        <v>1206</v>
      </c>
      <c r="E6998" s="8" t="s">
        <v>353</v>
      </c>
      <c r="F6998" s="5" t="s">
        <v>354</v>
      </c>
      <c r="G6998" s="6" t="str">
        <f>VLOOKUP(E6998,dicionario!$A$1:$C7397,2,0)</f>
        <v>Desmodium incanum</v>
      </c>
      <c r="H6998" s="6" t="str">
        <f>VLOOKUP(E6998,dicionario!$A$1:$C7397,3,0)</f>
        <v>pega-pega</v>
      </c>
    </row>
    <row r="6999">
      <c r="A6999" s="3">
        <v>45723.0</v>
      </c>
      <c r="B6999" s="4">
        <v>0.275</v>
      </c>
      <c r="C6999" s="5" t="s">
        <v>85</v>
      </c>
      <c r="D6999" s="5" t="s">
        <v>1206</v>
      </c>
      <c r="E6999" s="6" t="s">
        <v>146</v>
      </c>
      <c r="F6999" s="5" t="s">
        <v>147</v>
      </c>
      <c r="G6999" s="6" t="str">
        <f>VLOOKUP(E6999,dicionario!$A$1:$C7398,2,0)</f>
        <v>Euphorbia hirta</v>
      </c>
      <c r="H6999" s="6" t="str">
        <f>VLOOKUP(E6999,dicionario!$A$1:$C7398,3,0)</f>
        <v>erva-de-santa-luzia</v>
      </c>
    </row>
    <row r="7000">
      <c r="A7000" s="3">
        <v>45723.0</v>
      </c>
      <c r="B7000" s="4">
        <v>0.275</v>
      </c>
      <c r="C7000" s="5" t="s">
        <v>85</v>
      </c>
      <c r="D7000" s="5" t="s">
        <v>1206</v>
      </c>
      <c r="E7000" s="8" t="s">
        <v>111</v>
      </c>
      <c r="F7000" s="7" t="s">
        <v>112</v>
      </c>
      <c r="G7000" s="6" t="str">
        <f>VLOOKUP(E7000,dicionario!$A$1:$C7399,2,0)</f>
        <v>Trigona spinipes</v>
      </c>
      <c r="H7000" s="6" t="str">
        <f>VLOOKUP(E7000,dicionario!$A$1:$C7399,3,0)</f>
        <v>abelha-cachorro</v>
      </c>
    </row>
    <row r="7001">
      <c r="A7001" s="3">
        <v>45723.0</v>
      </c>
      <c r="B7001" s="4">
        <v>0.275</v>
      </c>
      <c r="C7001" s="5" t="s">
        <v>85</v>
      </c>
      <c r="D7001" s="5" t="s">
        <v>1206</v>
      </c>
      <c r="E7001" s="8" t="s">
        <v>1208</v>
      </c>
      <c r="F7001" s="5" t="s">
        <v>1209</v>
      </c>
      <c r="G7001" s="6" t="str">
        <f>VLOOKUP(E7001,dicionario!$A$1:$C7400,2,0)</f>
        <v>#N/A</v>
      </c>
      <c r="H7001" s="6" t="str">
        <f>VLOOKUP(E7001,dicionario!$A$1:$C7400,3,0)</f>
        <v>#N/A</v>
      </c>
    </row>
    <row r="7002">
      <c r="A7002" s="3">
        <v>45723.0</v>
      </c>
      <c r="B7002" s="4">
        <v>0.275</v>
      </c>
      <c r="C7002" s="5" t="s">
        <v>85</v>
      </c>
      <c r="D7002" s="5" t="s">
        <v>1206</v>
      </c>
      <c r="E7002" s="8" t="s">
        <v>909</v>
      </c>
      <c r="F7002" s="5" t="s">
        <v>910</v>
      </c>
      <c r="G7002" s="6" t="str">
        <f>VLOOKUP(E7002,dicionario!$A$1:$C7401,2,0)</f>
        <v>Chordeiles acutipennis</v>
      </c>
      <c r="H7002" s="6" t="str">
        <f>VLOOKUP(E7002,dicionario!$A$1:$C7401,3,0)</f>
        <v>bacurau-de-asa-fina</v>
      </c>
    </row>
    <row r="7003">
      <c r="A7003" s="3">
        <v>45723.0</v>
      </c>
      <c r="B7003" s="4">
        <v>0.27708333333333335</v>
      </c>
      <c r="C7003" s="5" t="s">
        <v>85</v>
      </c>
      <c r="D7003" s="5" t="s">
        <v>1206</v>
      </c>
      <c r="E7003" s="8" t="s">
        <v>851</v>
      </c>
      <c r="F7003" s="5" t="s">
        <v>418</v>
      </c>
      <c r="G7003" s="6" t="str">
        <f>VLOOKUP(E7003,dicionario!$A$1:$C7402,2,0)</f>
        <v>#N/A</v>
      </c>
      <c r="H7003" s="6" t="str">
        <f>VLOOKUP(E7003,dicionario!$A$1:$C7402,3,0)</f>
        <v>#N/A</v>
      </c>
    </row>
    <row r="7004">
      <c r="A7004" s="3">
        <v>45723.0</v>
      </c>
      <c r="B7004" s="4">
        <v>0.2777777777777778</v>
      </c>
      <c r="C7004" s="5" t="s">
        <v>85</v>
      </c>
      <c r="D7004" s="5" t="s">
        <v>1206</v>
      </c>
      <c r="E7004" s="6" t="s">
        <v>399</v>
      </c>
      <c r="F7004" s="5" t="s">
        <v>400</v>
      </c>
      <c r="G7004" s="6" t="str">
        <f>VLOOKUP(E7004,dicionario!$A$1:$C7403,2,0)</f>
        <v>Varronia curassavica</v>
      </c>
      <c r="H7004" s="6" t="str">
        <f>VLOOKUP(E7004,dicionario!$A$1:$C7403,3,0)</f>
        <v>erva-baleeira</v>
      </c>
    </row>
    <row r="7005">
      <c r="A7005" s="3">
        <v>45723.0</v>
      </c>
      <c r="B7005" s="4">
        <v>0.2777777777777778</v>
      </c>
      <c r="C7005" s="5" t="s">
        <v>85</v>
      </c>
      <c r="D7005" s="5" t="s">
        <v>1206</v>
      </c>
      <c r="E7005" s="8" t="s">
        <v>135</v>
      </c>
      <c r="F7005" s="5" t="s">
        <v>136</v>
      </c>
      <c r="G7005" s="6" t="str">
        <f>VLOOKUP(E7005,dicionario!$A$1:$C7404,2,0)</f>
        <v>Tridax procumbens</v>
      </c>
      <c r="H7005" s="6" t="str">
        <f>VLOOKUP(E7005,dicionario!$A$1:$C7404,3,0)</f>
        <v>erva-de-touro</v>
      </c>
    </row>
    <row r="7006">
      <c r="A7006" s="3">
        <v>45723.0</v>
      </c>
      <c r="B7006" s="4">
        <v>0.2791666666666667</v>
      </c>
      <c r="C7006" s="5" t="s">
        <v>85</v>
      </c>
      <c r="D7006" s="5" t="s">
        <v>1206</v>
      </c>
      <c r="E7006" s="8" t="s">
        <v>193</v>
      </c>
      <c r="F7006" s="5" t="s">
        <v>194</v>
      </c>
      <c r="G7006" s="6" t="str">
        <f>VLOOKUP(E7006,dicionario!$A$1:$C7405,2,0)</f>
        <v>Conirostrum speciosum</v>
      </c>
      <c r="H7006" s="6" t="str">
        <f>VLOOKUP(E7006,dicionario!$A$1:$C7405,3,0)</f>
        <v>figuinha-de-rabo-castanho</v>
      </c>
    </row>
    <row r="7007">
      <c r="A7007" s="3">
        <v>45723.0</v>
      </c>
      <c r="B7007" s="4">
        <v>0.28055555555555556</v>
      </c>
      <c r="C7007" s="5" t="s">
        <v>85</v>
      </c>
      <c r="D7007" s="5" t="s">
        <v>1206</v>
      </c>
      <c r="E7007" s="8" t="s">
        <v>101</v>
      </c>
      <c r="F7007" s="5" t="s">
        <v>102</v>
      </c>
      <c r="G7007" s="6" t="str">
        <f>VLOOKUP(E7007,dicionario!$A$1:$C7406,2,0)</f>
        <v>Nemosia pileata</v>
      </c>
      <c r="H7007" s="6" t="str">
        <f>VLOOKUP(E7007,dicionario!$A$1:$C7406,3,0)</f>
        <v>saíra-de-chapéu-preto</v>
      </c>
    </row>
    <row r="7008">
      <c r="A7008" s="3">
        <v>45723.0</v>
      </c>
      <c r="B7008" s="4">
        <v>0.28125</v>
      </c>
      <c r="C7008" s="5" t="s">
        <v>85</v>
      </c>
      <c r="D7008" s="5" t="s">
        <v>1206</v>
      </c>
      <c r="E7008" s="8" t="s">
        <v>99</v>
      </c>
      <c r="F7008" s="5" t="s">
        <v>508</v>
      </c>
      <c r="G7008" s="6" t="str">
        <f>VLOOKUP(E7008,dicionario!$A$1:$C7407,2,0)</f>
        <v>Molothrus bonariensis</v>
      </c>
      <c r="H7008" s="6" t="str">
        <f>VLOOKUP(E7008,dicionario!$A$1:$C7407,3,0)</f>
        <v>chupim</v>
      </c>
    </row>
    <row r="7009">
      <c r="A7009" s="3">
        <v>45723.0</v>
      </c>
      <c r="B7009" s="4">
        <v>0.2833333333333333</v>
      </c>
      <c r="C7009" s="5" t="s">
        <v>76</v>
      </c>
      <c r="D7009" s="5" t="s">
        <v>1206</v>
      </c>
      <c r="E7009" s="6" t="s">
        <v>113</v>
      </c>
      <c r="F7009" s="5" t="s">
        <v>114</v>
      </c>
      <c r="G7009" s="6" t="str">
        <f>VLOOKUP(E7009,dicionario!$A$1:$C7408,2,0)</f>
        <v>Columbina talpacoti</v>
      </c>
      <c r="H7009" s="6" t="str">
        <f>VLOOKUP(E7009,dicionario!$A$1:$C7408,3,0)</f>
        <v>rolinha-roxa</v>
      </c>
    </row>
    <row r="7010">
      <c r="A7010" s="3">
        <v>45723.0</v>
      </c>
      <c r="B7010" s="4">
        <v>0.2833333333333333</v>
      </c>
      <c r="C7010" s="5" t="s">
        <v>76</v>
      </c>
      <c r="D7010" s="5" t="s">
        <v>1206</v>
      </c>
      <c r="E7010" s="8" t="s">
        <v>38</v>
      </c>
      <c r="F7010" s="5" t="s">
        <v>39</v>
      </c>
      <c r="G7010" s="6" t="str">
        <f>VLOOKUP(E7010,dicionario!$A$1:$C7409,2,0)</f>
        <v>Troglodytes musculus</v>
      </c>
      <c r="H7010" s="6" t="str">
        <f>VLOOKUP(E7010,dicionario!$A$1:$C7409,3,0)</f>
        <v>curruíra</v>
      </c>
    </row>
    <row r="7011">
      <c r="A7011" s="3">
        <v>45723.0</v>
      </c>
      <c r="B7011" s="4">
        <v>0.2833333333333333</v>
      </c>
      <c r="C7011" s="5" t="s">
        <v>76</v>
      </c>
      <c r="D7011" s="5" t="s">
        <v>1206</v>
      </c>
      <c r="E7011" s="8" t="s">
        <v>191</v>
      </c>
      <c r="F7011" s="5" t="s">
        <v>1207</v>
      </c>
      <c r="G7011" s="6" t="str">
        <f>VLOOKUP(E7011,dicionario!$A$1:$C7410,2,0)</f>
        <v>Patagioenas picazuro</v>
      </c>
      <c r="H7011" s="6" t="str">
        <f>VLOOKUP(E7011,dicionario!$A$1:$C7410,3,0)</f>
        <v>asa-branca; pomba-asa-branca; pocaçu</v>
      </c>
    </row>
    <row r="7012">
      <c r="A7012" s="3">
        <v>45723.0</v>
      </c>
      <c r="B7012" s="4">
        <v>0.28402777777777777</v>
      </c>
      <c r="C7012" s="5" t="s">
        <v>76</v>
      </c>
      <c r="D7012" s="5" t="s">
        <v>1206</v>
      </c>
      <c r="E7012" s="8" t="s">
        <v>1041</v>
      </c>
      <c r="F7012" s="5" t="s">
        <v>1042</v>
      </c>
      <c r="G7012" s="6" t="str">
        <f>VLOOKUP(E7012,dicionario!$A$1:$C7411,2,0)</f>
        <v>#N/A</v>
      </c>
      <c r="H7012" s="6" t="str">
        <f>VLOOKUP(E7012,dicionario!$A$1:$C7411,3,0)</f>
        <v>#N/A</v>
      </c>
    </row>
    <row r="7013">
      <c r="A7013" s="3">
        <v>45723.0</v>
      </c>
      <c r="B7013" s="4">
        <v>0.28402777777777777</v>
      </c>
      <c r="C7013" s="5" t="s">
        <v>76</v>
      </c>
      <c r="D7013" s="5" t="s">
        <v>1206</v>
      </c>
      <c r="E7013" s="6" t="s">
        <v>247</v>
      </c>
      <c r="F7013" s="5" t="s">
        <v>248</v>
      </c>
      <c r="G7013" s="6" t="str">
        <f>VLOOKUP(E7013,dicionario!$A$1:$C7412,2,0)</f>
        <v>Emilia sonchifolia</v>
      </c>
      <c r="H7013" s="6" t="str">
        <f>VLOOKUP(E7013,dicionario!$A$1:$C7412,3,0)</f>
        <v>serralinha</v>
      </c>
    </row>
    <row r="7014">
      <c r="A7014" s="3">
        <v>45723.0</v>
      </c>
      <c r="B7014" s="4">
        <v>0.28402777777777777</v>
      </c>
      <c r="C7014" s="5" t="s">
        <v>76</v>
      </c>
      <c r="D7014" s="5" t="s">
        <v>1206</v>
      </c>
      <c r="E7014" s="8" t="s">
        <v>86</v>
      </c>
      <c r="F7014" s="5" t="s">
        <v>502</v>
      </c>
      <c r="G7014" s="6" t="str">
        <f>VLOOKUP(E7014,dicionario!$A$1:$C7413,2,0)</f>
        <v>Coereba flaveola</v>
      </c>
      <c r="H7014" s="6" t="str">
        <f>VLOOKUP(E7014,dicionario!$A$1:$C7413,3,0)</f>
        <v>cambacica</v>
      </c>
    </row>
    <row r="7015">
      <c r="A7015" s="3">
        <v>45723.0</v>
      </c>
      <c r="B7015" s="4">
        <v>0.28402777777777777</v>
      </c>
      <c r="C7015" s="5" t="s">
        <v>76</v>
      </c>
      <c r="D7015" s="5" t="s">
        <v>1206</v>
      </c>
      <c r="E7015" s="8" t="s">
        <v>1210</v>
      </c>
      <c r="F7015" s="5" t="s">
        <v>534</v>
      </c>
      <c r="G7015" s="6" t="str">
        <f>VLOOKUP(E7015,dicionario!$A$1:$C7414,2,0)</f>
        <v>#N/A</v>
      </c>
      <c r="H7015" s="6" t="str">
        <f>VLOOKUP(E7015,dicionario!$A$1:$C7414,3,0)</f>
        <v>#N/A</v>
      </c>
    </row>
    <row r="7016">
      <c r="A7016" s="3">
        <v>45723.0</v>
      </c>
      <c r="B7016" s="4">
        <v>0.28402777777777777</v>
      </c>
      <c r="C7016" s="5" t="s">
        <v>76</v>
      </c>
      <c r="D7016" s="5" t="s">
        <v>1206</v>
      </c>
      <c r="E7016" s="6" t="s">
        <v>613</v>
      </c>
      <c r="F7016" s="5" t="s">
        <v>614</v>
      </c>
      <c r="G7016" s="6" t="str">
        <f>VLOOKUP(E7016,dicionario!$A$1:$C7415,2,0)</f>
        <v>Euphorbia hyssopifolia</v>
      </c>
      <c r="H7016" s="6" t="str">
        <f>VLOOKUP(E7016,dicionario!$A$1:$C7415,3,0)</f>
        <v>maria-leite</v>
      </c>
    </row>
    <row r="7017">
      <c r="A7017" s="3">
        <v>45723.0</v>
      </c>
      <c r="B7017" s="4">
        <v>0.28402777777777777</v>
      </c>
      <c r="C7017" s="5" t="s">
        <v>76</v>
      </c>
      <c r="D7017" s="5" t="s">
        <v>1206</v>
      </c>
      <c r="E7017" s="6" t="s">
        <v>146</v>
      </c>
      <c r="F7017" s="5" t="s">
        <v>147</v>
      </c>
      <c r="G7017" s="6" t="str">
        <f>VLOOKUP(E7017,dicionario!$A$1:$C7416,2,0)</f>
        <v>Euphorbia hirta</v>
      </c>
      <c r="H7017" s="6" t="str">
        <f>VLOOKUP(E7017,dicionario!$A$1:$C7416,3,0)</f>
        <v>erva-de-santa-luzia</v>
      </c>
    </row>
    <row r="7018">
      <c r="A7018" s="3">
        <v>45723.0</v>
      </c>
      <c r="B7018" s="4">
        <v>0.28402777777777777</v>
      </c>
      <c r="C7018" s="5" t="s">
        <v>76</v>
      </c>
      <c r="D7018" s="5" t="s">
        <v>1206</v>
      </c>
      <c r="E7018" s="8" t="s">
        <v>135</v>
      </c>
      <c r="F7018" s="5" t="s">
        <v>136</v>
      </c>
      <c r="G7018" s="6" t="str">
        <f>VLOOKUP(E7018,dicionario!$A$1:$C7417,2,0)</f>
        <v>Tridax procumbens</v>
      </c>
      <c r="H7018" s="6" t="str">
        <f>VLOOKUP(E7018,dicionario!$A$1:$C7417,3,0)</f>
        <v>erva-de-touro</v>
      </c>
    </row>
    <row r="7019">
      <c r="A7019" s="3">
        <v>45723.0</v>
      </c>
      <c r="B7019" s="4">
        <v>0.28402777777777777</v>
      </c>
      <c r="C7019" s="5" t="s">
        <v>76</v>
      </c>
      <c r="D7019" s="5" t="s">
        <v>1206</v>
      </c>
      <c r="E7019" s="8" t="s">
        <v>65</v>
      </c>
      <c r="F7019" s="5" t="s">
        <v>66</v>
      </c>
      <c r="G7019" s="6" t="str">
        <f>VLOOKUP(E7019,dicionario!$A$1:$C7418,2,0)</f>
        <v>Pitangus sulphutarus</v>
      </c>
      <c r="H7019" s="6" t="str">
        <f>VLOOKUP(E7019,dicionario!$A$1:$C7418,3,0)</f>
        <v>bem-te-vi</v>
      </c>
    </row>
    <row r="7020">
      <c r="A7020" s="3">
        <v>45723.0</v>
      </c>
      <c r="B7020" s="4">
        <v>0.28402777777777777</v>
      </c>
      <c r="C7020" s="5" t="s">
        <v>76</v>
      </c>
      <c r="D7020" s="5" t="s">
        <v>1206</v>
      </c>
      <c r="E7020" s="8" t="s">
        <v>247</v>
      </c>
      <c r="F7020" s="7" t="s">
        <v>272</v>
      </c>
      <c r="G7020" s="6" t="str">
        <f>VLOOKUP(E7020,dicionario!$A$1:$C7419,2,0)</f>
        <v>Emilia sonchifolia</v>
      </c>
      <c r="H7020" s="6" t="str">
        <f>VLOOKUP(E7020,dicionario!$A$1:$C7419,3,0)</f>
        <v>serralinha</v>
      </c>
    </row>
    <row r="7021">
      <c r="A7021" s="3">
        <v>45723.0</v>
      </c>
      <c r="B7021" s="4">
        <v>0.28402777777777777</v>
      </c>
      <c r="C7021" s="5" t="s">
        <v>76</v>
      </c>
      <c r="D7021" s="5" t="s">
        <v>1206</v>
      </c>
      <c r="E7021" s="6" t="s">
        <v>141</v>
      </c>
      <c r="F7021" s="5" t="s">
        <v>142</v>
      </c>
      <c r="G7021" s="6" t="str">
        <f>VLOOKUP(E7021,dicionario!$A$1:$C7420,2,0)</f>
        <v>Ruellia blechum</v>
      </c>
      <c r="H7021" s="6" t="str">
        <f>VLOOKUP(E7021,dicionario!$A$1:$C7420,3,0)</f>
        <v>camarão-verde</v>
      </c>
    </row>
    <row r="7022">
      <c r="A7022" s="3">
        <v>45723.0</v>
      </c>
      <c r="B7022" s="4">
        <v>0.2847222222222222</v>
      </c>
      <c r="C7022" s="5" t="s">
        <v>76</v>
      </c>
      <c r="D7022" s="5" t="s">
        <v>1206</v>
      </c>
      <c r="E7022" s="6" t="s">
        <v>253</v>
      </c>
      <c r="F7022" s="5" t="s">
        <v>254</v>
      </c>
      <c r="G7022" s="6" t="str">
        <f>VLOOKUP(E7022,dicionario!$A$1:$C7421,2,0)</f>
        <v>Panicum maximum</v>
      </c>
      <c r="H7022" s="6" t="str">
        <f>VLOOKUP(E7022,dicionario!$A$1:$C7421,3,0)</f>
        <v>capim-colonião</v>
      </c>
    </row>
    <row r="7023">
      <c r="A7023" s="3">
        <v>45723.0</v>
      </c>
      <c r="B7023" s="4">
        <v>0.2847222222222222</v>
      </c>
      <c r="C7023" s="5" t="s">
        <v>76</v>
      </c>
      <c r="D7023" s="5" t="s">
        <v>1206</v>
      </c>
      <c r="E7023" s="8" t="s">
        <v>296</v>
      </c>
      <c r="F7023" s="5" t="s">
        <v>297</v>
      </c>
      <c r="G7023" s="6" t="str">
        <f>VLOOKUP(E7023,dicionario!$A$1:$C7422,2,0)</f>
        <v>Richardia brasiliensis</v>
      </c>
      <c r="H7023" s="6" t="str">
        <f>VLOOKUP(E7023,dicionario!$A$1:$C7422,3,0)</f>
        <v>poaia-branca</v>
      </c>
    </row>
    <row r="7024">
      <c r="A7024" s="3">
        <v>45723.0</v>
      </c>
      <c r="B7024" s="4">
        <v>0.2847222222222222</v>
      </c>
      <c r="C7024" s="5" t="s">
        <v>76</v>
      </c>
      <c r="D7024" s="5" t="s">
        <v>1206</v>
      </c>
      <c r="E7024" s="6" t="s">
        <v>148</v>
      </c>
      <c r="F7024" s="5" t="s">
        <v>149</v>
      </c>
      <c r="G7024" s="6" t="str">
        <f>VLOOKUP(E7024,dicionario!$A$1:$C7423,2,0)</f>
        <v>Parthenium hysterophorus</v>
      </c>
      <c r="H7024" s="6" t="str">
        <f>VLOOKUP(E7024,dicionario!$A$1:$C7423,3,0)</f>
        <v>losna-branca</v>
      </c>
    </row>
    <row r="7025">
      <c r="A7025" s="3">
        <v>45723.0</v>
      </c>
      <c r="B7025" s="4">
        <v>0.2847222222222222</v>
      </c>
      <c r="C7025" s="5" t="s">
        <v>76</v>
      </c>
      <c r="D7025" s="5" t="s">
        <v>1206</v>
      </c>
      <c r="E7025" s="6" t="s">
        <v>227</v>
      </c>
      <c r="F7025" s="5" t="s">
        <v>228</v>
      </c>
      <c r="G7025" s="6" t="str">
        <f>VLOOKUP(E7025,dicionario!$A$1:$C7424,2,0)</f>
        <v>Indigofera hirsuta</v>
      </c>
      <c r="H7025" s="6" t="str">
        <f>VLOOKUP(E7025,dicionario!$A$1:$C7424,3,0)</f>
        <v>anileira</v>
      </c>
    </row>
    <row r="7026">
      <c r="A7026" s="3">
        <v>45723.0</v>
      </c>
      <c r="B7026" s="4">
        <v>0.2847222222222222</v>
      </c>
      <c r="C7026" s="5" t="s">
        <v>76</v>
      </c>
      <c r="D7026" s="5" t="s">
        <v>1206</v>
      </c>
      <c r="E7026" s="18" t="s">
        <v>611</v>
      </c>
      <c r="F7026" s="5" t="s">
        <v>612</v>
      </c>
      <c r="G7026" s="6" t="str">
        <f>VLOOKUP(E7026,dicionario!$A$1:$C7425,2,0)</f>
        <v>Boehmeria cylindrica</v>
      </c>
      <c r="H7026" s="6" t="str">
        <f>VLOOKUP(E7026,dicionario!$A$1:$C7425,3,0)</f>
        <v>falsa-urtiga</v>
      </c>
    </row>
    <row r="7027">
      <c r="A7027" s="3">
        <v>45723.0</v>
      </c>
      <c r="B7027" s="4">
        <v>0.2847222222222222</v>
      </c>
      <c r="C7027" s="5" t="s">
        <v>76</v>
      </c>
      <c r="D7027" s="5" t="s">
        <v>1206</v>
      </c>
      <c r="E7027" s="8" t="s">
        <v>1211</v>
      </c>
      <c r="F7027" s="5" t="s">
        <v>1212</v>
      </c>
      <c r="G7027" s="6" t="str">
        <f>VLOOKUP(E7027,dicionario!$A$1:$C7426,2,0)</f>
        <v>#N/A</v>
      </c>
      <c r="H7027" s="6" t="str">
        <f>VLOOKUP(E7027,dicionario!$A$1:$C7426,3,0)</f>
        <v>#N/A</v>
      </c>
    </row>
    <row r="7028">
      <c r="A7028" s="3">
        <v>45723.0</v>
      </c>
      <c r="B7028" s="4">
        <v>0.28541666666666665</v>
      </c>
      <c r="C7028" s="5" t="s">
        <v>76</v>
      </c>
      <c r="D7028" s="5" t="s">
        <v>1206</v>
      </c>
      <c r="E7028" s="8" t="s">
        <v>60</v>
      </c>
      <c r="F7028" s="5" t="s">
        <v>61</v>
      </c>
      <c r="G7028" s="6" t="str">
        <f>VLOOKUP(E7028,dicionario!$A$1:$C7427,2,0)</f>
        <v>Vanellus chilensis</v>
      </c>
      <c r="H7028" s="6" t="str">
        <f>VLOOKUP(E7028,dicionario!$A$1:$C7427,3,0)</f>
        <v>quero-quero</v>
      </c>
    </row>
    <row r="7029">
      <c r="A7029" s="3">
        <v>45723.0</v>
      </c>
      <c r="B7029" s="4">
        <v>0.28541666666666665</v>
      </c>
      <c r="C7029" s="5" t="s">
        <v>76</v>
      </c>
      <c r="D7029" s="5" t="s">
        <v>1206</v>
      </c>
      <c r="E7029" s="8" t="s">
        <v>48</v>
      </c>
      <c r="F7029" s="5" t="s">
        <v>49</v>
      </c>
      <c r="G7029" s="6" t="str">
        <f>VLOOKUP(E7029,dicionario!$A$1:$C7428,2,0)</f>
        <v>Commelina erecta</v>
      </c>
      <c r="H7029" s="6" t="str">
        <f>VLOOKUP(E7029,dicionario!$A$1:$C7428,3,0)</f>
        <v>trapoeraba</v>
      </c>
    </row>
    <row r="7030">
      <c r="A7030" s="3">
        <v>45723.0</v>
      </c>
      <c r="B7030" s="4">
        <v>0.28541666666666665</v>
      </c>
      <c r="C7030" s="5" t="s">
        <v>76</v>
      </c>
      <c r="D7030" s="5" t="s">
        <v>1206</v>
      </c>
      <c r="E7030" s="8" t="s">
        <v>162</v>
      </c>
      <c r="F7030" s="7" t="s">
        <v>42</v>
      </c>
      <c r="G7030" s="6" t="str">
        <f>VLOOKUP(E7030,dicionario!$A$1:$C7429,2,0)</f>
        <v>Fluvicola nengeta</v>
      </c>
      <c r="H7030" s="6" t="str">
        <f>VLOOKUP(E7030,dicionario!$A$1:$C7429,3,0)</f>
        <v>lavadeira-mascarada</v>
      </c>
    </row>
    <row r="7031">
      <c r="A7031" s="3">
        <v>45723.0</v>
      </c>
      <c r="B7031" s="4">
        <v>0.2861111111111111</v>
      </c>
      <c r="C7031" s="5" t="s">
        <v>76</v>
      </c>
      <c r="D7031" s="5" t="s">
        <v>1206</v>
      </c>
      <c r="E7031" s="6" t="s">
        <v>200</v>
      </c>
      <c r="F7031" s="5" t="s">
        <v>201</v>
      </c>
      <c r="G7031" s="6" t="str">
        <f>VLOOKUP(E7031,dicionario!$A$1:$C7430,2,0)</f>
        <v>Columbina picui </v>
      </c>
      <c r="H7031" s="6" t="str">
        <f>VLOOKUP(E7031,dicionario!$A$1:$C7430,3,0)</f>
        <v>rolinha-picuí</v>
      </c>
    </row>
    <row r="7032">
      <c r="A7032" s="3">
        <v>45723.0</v>
      </c>
      <c r="B7032" s="4">
        <v>0.2861111111111111</v>
      </c>
      <c r="C7032" s="5" t="s">
        <v>76</v>
      </c>
      <c r="D7032" s="5" t="s">
        <v>1206</v>
      </c>
      <c r="E7032" s="8" t="s">
        <v>122</v>
      </c>
      <c r="F7032" s="7" t="s">
        <v>123</v>
      </c>
      <c r="G7032" s="6" t="str">
        <f>VLOOKUP(E7032,dicionario!$A$1:$C7431,2,0)</f>
        <v>Todirostrum cinereum</v>
      </c>
      <c r="H7032" s="6" t="str">
        <f>VLOOKUP(E7032,dicionario!$A$1:$C7431,3,0)</f>
        <v>ferreirinho-relógio</v>
      </c>
    </row>
    <row r="7033">
      <c r="A7033" s="3">
        <v>45723.0</v>
      </c>
      <c r="B7033" s="4">
        <v>0.28680555555555554</v>
      </c>
      <c r="C7033" s="5" t="s">
        <v>76</v>
      </c>
      <c r="D7033" s="5" t="s">
        <v>1206</v>
      </c>
      <c r="E7033" s="8" t="s">
        <v>1112</v>
      </c>
      <c r="F7033" s="5" t="s">
        <v>1113</v>
      </c>
      <c r="G7033" s="6" t="str">
        <f>VLOOKUP(E7033,dicionario!$A$1:$C7432,2,0)</f>
        <v>Hylophilus thoracicus</v>
      </c>
      <c r="H7033" s="6" t="str">
        <f>VLOOKUP(E7033,dicionario!$A$1:$C7432,3,0)</f>
        <v>vite-vite</v>
      </c>
    </row>
    <row r="7034">
      <c r="A7034" s="3">
        <v>45723.0</v>
      </c>
      <c r="B7034" s="4">
        <v>0.28680555555555554</v>
      </c>
      <c r="C7034" s="5" t="s">
        <v>76</v>
      </c>
      <c r="D7034" s="5" t="s">
        <v>1206</v>
      </c>
      <c r="E7034" s="8" t="s">
        <v>381</v>
      </c>
      <c r="F7034" s="5" t="s">
        <v>382</v>
      </c>
      <c r="G7034" s="6" t="str">
        <f>VLOOKUP(E7034,dicionario!$A$1:$C7433,2,0)</f>
        <v>Pseudomyrmex</v>
      </c>
      <c r="H7034" s="6" t="str">
        <f>VLOOKUP(E7034,dicionario!$A$1:$C7433,3,0)</f>
        <v>maria-magra</v>
      </c>
    </row>
    <row r="7035">
      <c r="A7035" s="3">
        <v>45723.0</v>
      </c>
      <c r="B7035" s="4">
        <v>0.28680555555555554</v>
      </c>
      <c r="C7035" s="5" t="s">
        <v>76</v>
      </c>
      <c r="D7035" s="5" t="s">
        <v>1206</v>
      </c>
      <c r="E7035" s="8" t="s">
        <v>928</v>
      </c>
      <c r="F7035" s="5" t="s">
        <v>1213</v>
      </c>
      <c r="G7035" s="6" t="str">
        <f>VLOOKUP(E7035,dicionario!$A$1:$C7434,2,0)</f>
        <v>Camponotus</v>
      </c>
      <c r="H7035" s="6" t="str">
        <f>VLOOKUP(E7035,dicionario!$A$1:$C7434,3,0)</f>
        <v>formiga-preta</v>
      </c>
    </row>
    <row r="7036">
      <c r="A7036" s="3">
        <v>45723.0</v>
      </c>
      <c r="B7036" s="4">
        <v>0.28680555555555554</v>
      </c>
      <c r="C7036" s="5" t="s">
        <v>76</v>
      </c>
      <c r="D7036" s="5" t="s">
        <v>1206</v>
      </c>
      <c r="E7036" s="6" t="s">
        <v>319</v>
      </c>
      <c r="F7036" s="5" t="s">
        <v>320</v>
      </c>
      <c r="G7036" s="6" t="str">
        <f>VLOOKUP(E7036,dicionario!$A$1:$C7435,2,0)</f>
        <v>Schinus terebinthifolia</v>
      </c>
      <c r="H7036" s="6" t="str">
        <f>VLOOKUP(E7036,dicionario!$A$1:$C7435,3,0)</f>
        <v>aroeira</v>
      </c>
    </row>
    <row r="7037">
      <c r="A7037" s="3">
        <v>45723.0</v>
      </c>
      <c r="B7037" s="4">
        <v>0.28680555555555554</v>
      </c>
      <c r="C7037" s="5" t="s">
        <v>76</v>
      </c>
      <c r="D7037" s="5" t="s">
        <v>1206</v>
      </c>
      <c r="E7037" s="8" t="s">
        <v>109</v>
      </c>
      <c r="F7037" s="5" t="s">
        <v>110</v>
      </c>
      <c r="G7037" s="6" t="str">
        <f>VLOOKUP(E7037,dicionario!$A$1:$C7436,2,0)</f>
        <v>Tillandsia stricta</v>
      </c>
      <c r="H7037" s="6" t="str">
        <f>VLOOKUP(E7037,dicionario!$A$1:$C7436,3,0)</f>
        <v>cravo-do-mato</v>
      </c>
    </row>
    <row r="7038">
      <c r="A7038" s="3">
        <v>45723.0</v>
      </c>
      <c r="B7038" s="4">
        <v>0.2875</v>
      </c>
      <c r="C7038" s="5" t="s">
        <v>76</v>
      </c>
      <c r="D7038" s="5" t="s">
        <v>1206</v>
      </c>
      <c r="E7038" s="8" t="s">
        <v>181</v>
      </c>
      <c r="F7038" s="5" t="s">
        <v>182</v>
      </c>
      <c r="G7038" s="6" t="str">
        <f>VLOOKUP(E7038,dicionario!$A$1:$C7437,2,0)</f>
        <v>#N/A</v>
      </c>
      <c r="H7038" s="6" t="str">
        <f>VLOOKUP(E7038,dicionario!$A$1:$C7437,3,0)</f>
        <v>#N/A</v>
      </c>
    </row>
    <row r="7039">
      <c r="A7039" s="3">
        <v>45723.0</v>
      </c>
      <c r="B7039" s="4">
        <v>0.2875</v>
      </c>
      <c r="C7039" s="5" t="s">
        <v>76</v>
      </c>
      <c r="D7039" s="5" t="s">
        <v>1206</v>
      </c>
      <c r="E7039" s="8" t="s">
        <v>355</v>
      </c>
      <c r="F7039" s="5" t="s">
        <v>356</v>
      </c>
      <c r="G7039" s="6" t="str">
        <f>VLOOKUP(E7039,dicionario!$A$1:$C7438,2,0)</f>
        <v>Boerhavia diffusa</v>
      </c>
      <c r="H7039" s="6" t="str">
        <f>VLOOKUP(E7039,dicionario!$A$1:$C7438,3,0)</f>
        <v>erva-tostão</v>
      </c>
    </row>
    <row r="7040">
      <c r="A7040" s="3">
        <v>45723.0</v>
      </c>
      <c r="B7040" s="4">
        <v>0.2875</v>
      </c>
      <c r="C7040" s="5" t="s">
        <v>76</v>
      </c>
      <c r="D7040" s="5" t="s">
        <v>1206</v>
      </c>
      <c r="E7040" s="8" t="s">
        <v>736</v>
      </c>
      <c r="F7040" s="5" t="s">
        <v>737</v>
      </c>
      <c r="G7040" s="6" t="str">
        <f>VLOOKUP(E7040,dicionario!$A$1:$C7439,2,0)</f>
        <v>Chloris virgata</v>
      </c>
      <c r="H7040" s="6" t="str">
        <f>VLOOKUP(E7040,dicionario!$A$1:$C7439,3,0)</f>
        <v>capim-pavão</v>
      </c>
    </row>
    <row r="7041">
      <c r="A7041" s="3">
        <v>45723.0</v>
      </c>
      <c r="B7041" s="4">
        <v>0.2875</v>
      </c>
      <c r="C7041" s="5" t="s">
        <v>76</v>
      </c>
      <c r="D7041" s="5" t="s">
        <v>1206</v>
      </c>
      <c r="E7041" s="8" t="s">
        <v>1115</v>
      </c>
      <c r="F7041" s="5" t="s">
        <v>1116</v>
      </c>
      <c r="G7041" s="6" t="str">
        <f>VLOOKUP(E7041,dicionario!$A$1:$C7440,2,0)</f>
        <v>#N/A</v>
      </c>
      <c r="H7041" s="6" t="str">
        <f>VLOOKUP(E7041,dicionario!$A$1:$C7440,3,0)</f>
        <v>#N/A</v>
      </c>
    </row>
    <row r="7042">
      <c r="A7042" s="3">
        <v>45723.0</v>
      </c>
      <c r="B7042" s="4">
        <v>0.2875</v>
      </c>
      <c r="C7042" s="5" t="s">
        <v>76</v>
      </c>
      <c r="D7042" s="5" t="s">
        <v>1206</v>
      </c>
      <c r="E7042" s="8" t="s">
        <v>139</v>
      </c>
      <c r="F7042" s="5" t="s">
        <v>862</v>
      </c>
      <c r="G7042" s="6" t="str">
        <f>VLOOKUP(E7042,dicionario!$A$1:$C7441,2,0)</f>
        <v>Tropidurus torquatus</v>
      </c>
      <c r="H7042" s="6" t="str">
        <f>VLOOKUP(E7042,dicionario!$A$1:$C7441,3,0)</f>
        <v>calango; tropiduro-comum</v>
      </c>
    </row>
    <row r="7043">
      <c r="A7043" s="3">
        <v>45723.0</v>
      </c>
      <c r="B7043" s="4">
        <v>0.28888888888888886</v>
      </c>
      <c r="C7043" s="5" t="s">
        <v>76</v>
      </c>
      <c r="D7043" s="5" t="s">
        <v>1206</v>
      </c>
      <c r="E7043" s="6" t="s">
        <v>539</v>
      </c>
      <c r="F7043" s="5" t="s">
        <v>540</v>
      </c>
      <c r="G7043" s="6" t="str">
        <f>VLOOKUP(E7043,dicionario!$A$1:$C7442,2,0)</f>
        <v>#N/A</v>
      </c>
      <c r="H7043" s="6" t="str">
        <f>VLOOKUP(E7043,dicionario!$A$1:$C7442,3,0)</f>
        <v>#N/A</v>
      </c>
    </row>
    <row r="7044">
      <c r="A7044" s="3">
        <v>45723.0</v>
      </c>
      <c r="B7044" s="4">
        <v>0.28888888888888886</v>
      </c>
      <c r="C7044" s="5" t="s">
        <v>76</v>
      </c>
      <c r="D7044" s="5" t="s">
        <v>1206</v>
      </c>
      <c r="E7044" s="8" t="s">
        <v>1115</v>
      </c>
      <c r="F7044" s="5" t="s">
        <v>1116</v>
      </c>
      <c r="G7044" s="6" t="str">
        <f>VLOOKUP(E7044,dicionario!$A$1:$C7443,2,0)</f>
        <v>#N/A</v>
      </c>
      <c r="H7044" s="6" t="str">
        <f>VLOOKUP(E7044,dicionario!$A$1:$C7443,3,0)</f>
        <v>#N/A</v>
      </c>
    </row>
    <row r="7045">
      <c r="A7045" s="3">
        <v>45723.0</v>
      </c>
      <c r="B7045" s="4">
        <v>0.2902777777777778</v>
      </c>
      <c r="C7045" s="5" t="s">
        <v>76</v>
      </c>
      <c r="D7045" s="5" t="s">
        <v>1206</v>
      </c>
      <c r="E7045" s="8" t="s">
        <v>225</v>
      </c>
      <c r="F7045" s="5" t="s">
        <v>226</v>
      </c>
      <c r="G7045" s="6" t="str">
        <f>VLOOKUP(E7045,dicionario!$A$1:$C7444,2,0)</f>
        <v>Passer domesticus</v>
      </c>
      <c r="H7045" s="6" t="str">
        <f>VLOOKUP(E7045,dicionario!$A$1:$C7444,3,0)</f>
        <v>pardal</v>
      </c>
    </row>
    <row r="7046">
      <c r="A7046" s="3">
        <v>45723.0</v>
      </c>
      <c r="B7046" s="4">
        <v>0.2902777777777778</v>
      </c>
      <c r="C7046" s="5" t="s">
        <v>76</v>
      </c>
      <c r="D7046" s="5" t="s">
        <v>1206</v>
      </c>
      <c r="E7046" s="8" t="s">
        <v>57</v>
      </c>
      <c r="F7046" s="5" t="s">
        <v>559</v>
      </c>
      <c r="G7046" s="6" t="str">
        <f>VLOOKUP(E7046,dicionario!$A$1:$C7445,2,0)</f>
        <v>Juliformia</v>
      </c>
      <c r="H7046" s="6" t="str">
        <f>VLOOKUP(E7046,dicionario!$A$1:$C7445,3,0)</f>
        <v>gongolo; maria-café</v>
      </c>
    </row>
    <row r="7047">
      <c r="A7047" s="3">
        <v>45723.0</v>
      </c>
      <c r="B7047" s="4">
        <v>0.29097222222222224</v>
      </c>
      <c r="C7047" s="5" t="s">
        <v>76</v>
      </c>
      <c r="D7047" s="5" t="s">
        <v>1206</v>
      </c>
      <c r="E7047" s="8" t="s">
        <v>1214</v>
      </c>
      <c r="F7047" s="5" t="s">
        <v>129</v>
      </c>
      <c r="G7047" s="6" t="str">
        <f>VLOOKUP(E7047,dicionario!$A$1:$C7446,2,0)</f>
        <v>#N/A</v>
      </c>
      <c r="H7047" s="6" t="str">
        <f>VLOOKUP(E7047,dicionario!$A$1:$C7446,3,0)</f>
        <v>#N/A</v>
      </c>
    </row>
    <row r="7048">
      <c r="A7048" s="3">
        <v>45723.0</v>
      </c>
      <c r="B7048" s="4">
        <v>0.29097222222222224</v>
      </c>
      <c r="C7048" s="5" t="s">
        <v>76</v>
      </c>
      <c r="D7048" s="5" t="s">
        <v>1206</v>
      </c>
      <c r="E7048" s="8" t="s">
        <v>504</v>
      </c>
      <c r="F7048" s="5" t="s">
        <v>534</v>
      </c>
      <c r="G7048" s="6" t="str">
        <f>VLOOKUP(E7048,dicionario!$A$1:$C7447,2,0)</f>
        <v>Cleome aculeata</v>
      </c>
      <c r="H7048" s="6" t="str">
        <f>VLOOKUP(E7048,dicionario!$A$1:$C7447,3,0)</f>
        <v>cleome</v>
      </c>
    </row>
    <row r="7049">
      <c r="A7049" s="3">
        <v>45723.0</v>
      </c>
      <c r="B7049" s="4">
        <v>0.29097222222222224</v>
      </c>
      <c r="C7049" s="5" t="s">
        <v>76</v>
      </c>
      <c r="D7049" s="5" t="s">
        <v>1206</v>
      </c>
      <c r="E7049" s="8" t="s">
        <v>132</v>
      </c>
      <c r="F7049" s="5" t="s">
        <v>133</v>
      </c>
      <c r="G7049" s="6" t="str">
        <f>VLOOKUP(E7049,dicionario!$A$1:$C7448,2,0)</f>
        <v>Euphonia chlorotica</v>
      </c>
      <c r="H7049" s="6" t="str">
        <f>VLOOKUP(E7049,dicionario!$A$1:$C7448,3,0)</f>
        <v>fim-fim</v>
      </c>
    </row>
    <row r="7050">
      <c r="A7050" s="3">
        <v>45723.0</v>
      </c>
      <c r="B7050" s="4">
        <v>0.29097222222222224</v>
      </c>
      <c r="C7050" s="5" t="s">
        <v>76</v>
      </c>
      <c r="D7050" s="5" t="s">
        <v>1206</v>
      </c>
      <c r="E7050" s="8" t="s">
        <v>1087</v>
      </c>
      <c r="F7050" s="5" t="s">
        <v>1088</v>
      </c>
      <c r="G7050" s="6" t="str">
        <f>VLOOKUP(E7050,dicionario!$A$1:$C7449,2,0)</f>
        <v>Desmodium triflorum</v>
      </c>
      <c r="H7050" s="6" t="str">
        <f>VLOOKUP(E7050,dicionario!$A$1:$C7449,3,0)</f>
        <v/>
      </c>
    </row>
    <row r="7051">
      <c r="A7051" s="3">
        <v>45723.0</v>
      </c>
      <c r="B7051" s="4">
        <v>0.2916666666666667</v>
      </c>
      <c r="C7051" s="5" t="s">
        <v>76</v>
      </c>
      <c r="D7051" s="5" t="s">
        <v>1206</v>
      </c>
      <c r="E7051" s="8" t="s">
        <v>173</v>
      </c>
      <c r="F7051" s="5" t="s">
        <v>336</v>
      </c>
      <c r="G7051" s="6" t="str">
        <f>VLOOKUP(E7051,dicionario!$A$1:$C7450,2,0)</f>
        <v>Junonia evarete</v>
      </c>
      <c r="H7051" s="6" t="str">
        <f>VLOOKUP(E7051,dicionario!$A$1:$C7450,3,0)</f>
        <v>borboleta-olho-de-pavão-diúrno</v>
      </c>
    </row>
    <row r="7052">
      <c r="A7052" s="3">
        <v>45723.0</v>
      </c>
      <c r="B7052" s="4">
        <v>0.2916666666666667</v>
      </c>
      <c r="C7052" s="5" t="s">
        <v>76</v>
      </c>
      <c r="D7052" s="5" t="s">
        <v>1206</v>
      </c>
      <c r="E7052" s="8" t="s">
        <v>489</v>
      </c>
      <c r="F7052" s="5" t="s">
        <v>521</v>
      </c>
      <c r="G7052" s="6" t="str">
        <f>VLOOKUP(E7052,dicionario!$A$1:$C7451,2,0)</f>
        <v>Cenchrus echinatus</v>
      </c>
      <c r="H7052" s="6" t="str">
        <f>VLOOKUP(E7052,dicionario!$A$1:$C7451,3,0)</f>
        <v>capim-carrapicho</v>
      </c>
    </row>
    <row r="7053">
      <c r="A7053" s="3">
        <v>45723.0</v>
      </c>
      <c r="B7053" s="4">
        <v>0.2923611111111111</v>
      </c>
      <c r="C7053" s="5" t="s">
        <v>76</v>
      </c>
      <c r="D7053" s="5" t="s">
        <v>1206</v>
      </c>
      <c r="E7053" s="8" t="s">
        <v>290</v>
      </c>
      <c r="F7053" s="5" t="s">
        <v>291</v>
      </c>
      <c r="G7053" s="6" t="str">
        <f>VLOOKUP(E7053,dicionario!$A$1:$C7452,2,0)</f>
        <v>Drymaria cordata</v>
      </c>
      <c r="H7053" s="6" t="str">
        <f>VLOOKUP(E7053,dicionario!$A$1:$C7452,3,0)</f>
        <v>orelha-de-rato</v>
      </c>
    </row>
    <row r="7054">
      <c r="A7054" s="3">
        <v>45723.0</v>
      </c>
      <c r="B7054" s="4">
        <v>0.2923611111111111</v>
      </c>
      <c r="C7054" s="5" t="s">
        <v>76</v>
      </c>
      <c r="D7054" s="5" t="s">
        <v>1206</v>
      </c>
      <c r="E7054" s="8" t="s">
        <v>20</v>
      </c>
      <c r="F7054" s="7" t="s">
        <v>21</v>
      </c>
      <c r="G7054" s="6" t="str">
        <f>VLOOKUP(E7054,dicionario!$A$1:$C7453,2,0)</f>
        <v>Sicalis flaveola</v>
      </c>
      <c r="H7054" s="6" t="str">
        <f>VLOOKUP(E7054,dicionario!$A$1:$C7453,3,0)</f>
        <v>canário-da-terra</v>
      </c>
    </row>
    <row r="7055">
      <c r="A7055" s="3">
        <v>45723.0</v>
      </c>
      <c r="B7055" s="4">
        <v>0.2923611111111111</v>
      </c>
      <c r="C7055" s="5" t="s">
        <v>76</v>
      </c>
      <c r="D7055" s="5" t="s">
        <v>1206</v>
      </c>
      <c r="E7055" s="8" t="s">
        <v>1215</v>
      </c>
      <c r="F7055" s="5" t="s">
        <v>121</v>
      </c>
      <c r="G7055" s="6" t="str">
        <f>VLOOKUP(E7055,dicionario!$A$1:$C7454,2,0)</f>
        <v>#N/A</v>
      </c>
      <c r="H7055" s="6" t="str">
        <f>VLOOKUP(E7055,dicionario!$A$1:$C7454,3,0)</f>
        <v>#N/A</v>
      </c>
    </row>
    <row r="7056">
      <c r="A7056" s="3">
        <v>45723.0</v>
      </c>
      <c r="B7056" s="4">
        <v>0.29305555555555557</v>
      </c>
      <c r="C7056" s="5" t="s">
        <v>76</v>
      </c>
      <c r="D7056" s="5" t="s">
        <v>1206</v>
      </c>
      <c r="E7056" s="8" t="s">
        <v>483</v>
      </c>
      <c r="F7056" s="5" t="s">
        <v>484</v>
      </c>
      <c r="G7056" s="6" t="str">
        <f>VLOOKUP(E7056,dicionario!$A$1:$C7455,2,0)</f>
        <v>Euphorbia prostrata</v>
      </c>
      <c r="H7056" s="6" t="str">
        <f>VLOOKUP(E7056,dicionario!$A$1:$C7455,3,0)</f>
        <v>quebra-pedra-rasteira</v>
      </c>
    </row>
    <row r="7057">
      <c r="A7057" s="3">
        <v>45723.0</v>
      </c>
      <c r="B7057" s="4">
        <v>0.29305555555555557</v>
      </c>
      <c r="C7057" s="5" t="s">
        <v>76</v>
      </c>
      <c r="D7057" s="5" t="s">
        <v>1206</v>
      </c>
      <c r="E7057" s="8" t="s">
        <v>286</v>
      </c>
      <c r="F7057" s="5" t="s">
        <v>287</v>
      </c>
      <c r="G7057" s="6" t="str">
        <f>VLOOKUP(E7057,dicionario!$A$1:$C7456,2,0)</f>
        <v>Setaria parviflora</v>
      </c>
      <c r="H7057" s="6" t="str">
        <f>VLOOKUP(E7057,dicionario!$A$1:$C7456,3,0)</f>
        <v>capim-rabo-de-raposa</v>
      </c>
    </row>
    <row r="7058">
      <c r="A7058" s="3">
        <v>45723.0</v>
      </c>
      <c r="B7058" s="4">
        <v>0.29305555555555557</v>
      </c>
      <c r="C7058" s="5" t="s">
        <v>76</v>
      </c>
      <c r="D7058" s="5" t="s">
        <v>1206</v>
      </c>
      <c r="E7058" s="8" t="s">
        <v>811</v>
      </c>
      <c r="F7058" s="5" t="s">
        <v>1216</v>
      </c>
      <c r="G7058" s="6" t="str">
        <f>VLOOKUP(E7058,dicionario!$A$1:$C7457,2,0)</f>
        <v>Leptodactylus fuscus</v>
      </c>
      <c r="H7058" s="6" t="str">
        <f>VLOOKUP(E7058,dicionario!$A$1:$C7457,3,0)</f>
        <v>rã-assobiadora</v>
      </c>
    </row>
    <row r="7059">
      <c r="A7059" s="3">
        <v>45723.0</v>
      </c>
      <c r="B7059" s="4">
        <v>0.29375</v>
      </c>
      <c r="C7059" s="5" t="s">
        <v>76</v>
      </c>
      <c r="D7059" s="5" t="s">
        <v>1206</v>
      </c>
      <c r="E7059" s="8" t="s">
        <v>41</v>
      </c>
      <c r="F7059" s="5" t="s">
        <v>45</v>
      </c>
      <c r="G7059" s="6" t="str">
        <f>VLOOKUP(E7059,dicionario!$A$1:$C7458,2,0)</f>
        <v>Mimosa pudica</v>
      </c>
      <c r="H7059" s="6" t="str">
        <f>VLOOKUP(E7059,dicionario!$A$1:$C7458,3,0)</f>
        <v>dormideira</v>
      </c>
    </row>
    <row r="7060">
      <c r="A7060" s="3">
        <v>45723.0</v>
      </c>
      <c r="B7060" s="4">
        <v>0.29444444444444445</v>
      </c>
      <c r="C7060" s="5" t="s">
        <v>76</v>
      </c>
      <c r="D7060" s="5" t="s">
        <v>1206</v>
      </c>
      <c r="E7060" s="8" t="s">
        <v>503</v>
      </c>
      <c r="F7060" s="5" t="s">
        <v>414</v>
      </c>
      <c r="G7060" s="6" t="str">
        <f>VLOOKUP(E7060,dicionario!$A$1:$C7459,2,0)</f>
        <v>Orphulella punctata</v>
      </c>
      <c r="H7060" s="6" t="str">
        <f>VLOOKUP(E7060,dicionario!$A$1:$C7459,3,0)</f>
        <v>gafanhotinho</v>
      </c>
    </row>
    <row r="7061">
      <c r="A7061" s="3">
        <v>45723.0</v>
      </c>
      <c r="B7061" s="4">
        <v>0.29444444444444445</v>
      </c>
      <c r="C7061" s="5" t="s">
        <v>76</v>
      </c>
      <c r="D7061" s="5" t="s">
        <v>1206</v>
      </c>
      <c r="E7061" s="8" t="s">
        <v>275</v>
      </c>
      <c r="F7061" s="5" t="s">
        <v>276</v>
      </c>
      <c r="G7061" s="6" t="str">
        <f>VLOOKUP(E7061,dicionario!$A$1:$C7460,2,0)</f>
        <v>Bidens pilosa</v>
      </c>
      <c r="H7061" s="6" t="str">
        <f>VLOOKUP(E7061,dicionario!$A$1:$C7460,3,0)</f>
        <v>picão-preto</v>
      </c>
    </row>
    <row r="7062">
      <c r="A7062" s="3">
        <v>45723.0</v>
      </c>
      <c r="B7062" s="4">
        <v>0.29444444444444445</v>
      </c>
      <c r="C7062" s="5" t="s">
        <v>76</v>
      </c>
      <c r="D7062" s="5" t="s">
        <v>1206</v>
      </c>
      <c r="E7062" s="8" t="s">
        <v>150</v>
      </c>
      <c r="F7062" s="5" t="s">
        <v>151</v>
      </c>
      <c r="G7062" s="6" t="str">
        <f>VLOOKUP(E7062,dicionario!$A$1:$C7461,2,0)</f>
        <v>Amaranthus viridis</v>
      </c>
      <c r="H7062" s="6" t="str">
        <f>VLOOKUP(E7062,dicionario!$A$1:$C7461,3,0)</f>
        <v>caruru-de-mancha</v>
      </c>
    </row>
    <row r="7063">
      <c r="A7063" s="3">
        <v>45723.0</v>
      </c>
      <c r="B7063" s="4">
        <v>0.29444444444444445</v>
      </c>
      <c r="C7063" s="5" t="s">
        <v>76</v>
      </c>
      <c r="D7063" s="5" t="s">
        <v>1206</v>
      </c>
      <c r="E7063" s="8" t="s">
        <v>378</v>
      </c>
      <c r="F7063" s="5" t="s">
        <v>205</v>
      </c>
      <c r="G7063" s="6" t="str">
        <f>VLOOKUP(E7063,dicionario!$A$1:$C7462,2,0)</f>
        <v>Polistes</v>
      </c>
      <c r="H7063" s="6" t="str">
        <f>VLOOKUP(E7063,dicionario!$A$1:$C7462,3,0)</f>
        <v>marimbondo</v>
      </c>
    </row>
    <row r="7064">
      <c r="A7064" s="3">
        <v>45723.0</v>
      </c>
      <c r="B7064" s="4">
        <v>0.2972222222222222</v>
      </c>
      <c r="C7064" s="5" t="s">
        <v>76</v>
      </c>
      <c r="D7064" s="5" t="s">
        <v>1206</v>
      </c>
      <c r="E7064" s="8" t="s">
        <v>235</v>
      </c>
      <c r="F7064" s="5" t="s">
        <v>236</v>
      </c>
      <c r="G7064" s="6" t="str">
        <f>VLOOKUP(E7064,dicionario!$A$1:$C7463,2,0)</f>
        <v>Leucaena leucocephala</v>
      </c>
      <c r="H7064" s="6" t="str">
        <f>VLOOKUP(E7064,dicionario!$A$1:$C7463,3,0)</f>
        <v>leucena</v>
      </c>
    </row>
    <row r="7065">
      <c r="A7065" s="3">
        <v>45723.0</v>
      </c>
      <c r="B7065" s="4">
        <v>0.2972222222222222</v>
      </c>
      <c r="C7065" s="5" t="s">
        <v>76</v>
      </c>
      <c r="D7065" s="5" t="s">
        <v>1206</v>
      </c>
      <c r="E7065" s="6" t="s">
        <v>103</v>
      </c>
      <c r="F7065" s="5" t="s">
        <v>104</v>
      </c>
      <c r="G7065" s="6" t="str">
        <f>VLOOKUP(E7065,dicionario!$A$1:$C7464,2,0)</f>
        <v>Caracara plancus</v>
      </c>
      <c r="H7065" s="6" t="str">
        <f>VLOOKUP(E7065,dicionario!$A$1:$C7464,3,0)</f>
        <v>carcará </v>
      </c>
    </row>
    <row r="7066">
      <c r="A7066" s="3">
        <v>45723.0</v>
      </c>
      <c r="B7066" s="4">
        <v>0.2972222222222222</v>
      </c>
      <c r="C7066" s="5" t="s">
        <v>76</v>
      </c>
      <c r="D7066" s="5" t="s">
        <v>1206</v>
      </c>
      <c r="E7066" s="8" t="s">
        <v>1217</v>
      </c>
      <c r="F7066" s="5" t="s">
        <v>1218</v>
      </c>
      <c r="G7066" s="6" t="str">
        <f>VLOOKUP(E7066,dicionario!$A$1:$C7465,2,0)</f>
        <v>Passiflora alata</v>
      </c>
      <c r="H7066" s="6" t="str">
        <f>VLOOKUP(E7066,dicionario!$A$1:$C7465,3,0)</f>
        <v>maracujá</v>
      </c>
    </row>
    <row r="7067">
      <c r="A7067" s="3">
        <v>45723.0</v>
      </c>
      <c r="B7067" s="4">
        <v>0.2972222222222222</v>
      </c>
      <c r="C7067" s="5" t="s">
        <v>76</v>
      </c>
      <c r="D7067" s="5" t="s">
        <v>1206</v>
      </c>
      <c r="E7067" s="8" t="s">
        <v>1219</v>
      </c>
      <c r="F7067" s="5" t="s">
        <v>186</v>
      </c>
      <c r="G7067" s="6" t="str">
        <f>VLOOKUP(E7067,dicionario!$A$1:$C7466,2,0)</f>
        <v>#N/A</v>
      </c>
      <c r="H7067" s="6" t="str">
        <f>VLOOKUP(E7067,dicionario!$A$1:$C7466,3,0)</f>
        <v>#N/A</v>
      </c>
    </row>
    <row r="7068">
      <c r="A7068" s="3">
        <v>45723.0</v>
      </c>
      <c r="B7068" s="4">
        <v>0.2972222222222222</v>
      </c>
      <c r="C7068" s="5" t="s">
        <v>76</v>
      </c>
      <c r="D7068" s="5" t="s">
        <v>1206</v>
      </c>
      <c r="E7068" s="8" t="s">
        <v>1127</v>
      </c>
      <c r="F7068" s="5" t="s">
        <v>1128</v>
      </c>
      <c r="G7068" s="6" t="str">
        <f>VLOOKUP(E7068,dicionario!$A$1:$C7467,2,0)</f>
        <v>Albizia lebbeck</v>
      </c>
      <c r="H7068" s="6" t="str">
        <f>VLOOKUP(E7068,dicionario!$A$1:$C7467,3,0)</f>
        <v>albízia</v>
      </c>
    </row>
    <row r="7069">
      <c r="A7069" s="3">
        <v>45723.0</v>
      </c>
      <c r="B7069" s="4">
        <v>0.2972222222222222</v>
      </c>
      <c r="C7069" s="5" t="s">
        <v>76</v>
      </c>
      <c r="D7069" s="5" t="s">
        <v>1206</v>
      </c>
      <c r="E7069" s="6" t="s">
        <v>448</v>
      </c>
      <c r="F7069" s="5" t="s">
        <v>462</v>
      </c>
      <c r="G7069" s="6" t="str">
        <f>VLOOKUP(E7069,dicionario!$A$1:$C7468,2,0)</f>
        <v>Mechanitis polymnia</v>
      </c>
      <c r="H7069" s="6" t="str">
        <f>VLOOKUP(E7069,dicionario!$A$1:$C7468,3,0)</f>
        <v>maria-boba</v>
      </c>
    </row>
    <row r="7070">
      <c r="A7070" s="3">
        <v>45723.0</v>
      </c>
      <c r="B7070" s="4">
        <v>0.2972222222222222</v>
      </c>
      <c r="C7070" s="5" t="s">
        <v>76</v>
      </c>
      <c r="D7070" s="5" t="s">
        <v>1206</v>
      </c>
      <c r="E7070" s="8" t="s">
        <v>560</v>
      </c>
      <c r="F7070" s="5" t="s">
        <v>561</v>
      </c>
      <c r="G7070" s="6" t="str">
        <f>VLOOKUP(E7070,dicionario!$A$1:$C7469,2,0)</f>
        <v>Megarynchus pitangua</v>
      </c>
      <c r="H7070" s="6" t="str">
        <f>VLOOKUP(E7070,dicionario!$A$1:$C7469,3,0)</f>
        <v>neinei</v>
      </c>
    </row>
    <row r="7071">
      <c r="A7071" s="3">
        <v>45723.0</v>
      </c>
      <c r="B7071" s="4">
        <v>0.29791666666666666</v>
      </c>
      <c r="C7071" s="5" t="s">
        <v>76</v>
      </c>
      <c r="D7071" s="5" t="s">
        <v>1206</v>
      </c>
      <c r="E7071" s="8" t="s">
        <v>46</v>
      </c>
      <c r="F7071" s="5" t="s">
        <v>47</v>
      </c>
      <c r="G7071" s="6" t="str">
        <f>VLOOKUP(E7071,dicionario!$A$1:$C7470,2,0)</f>
        <v>Chionomesa fimbriata</v>
      </c>
      <c r="H7071" s="6" t="str">
        <f>VLOOKUP(E7071,dicionario!$A$1:$C7470,3,0)</f>
        <v>beija-flor-de-garganta-verde</v>
      </c>
    </row>
    <row r="7072">
      <c r="A7072" s="3">
        <v>45723.0</v>
      </c>
      <c r="B7072" s="4">
        <v>0.3013888888888889</v>
      </c>
      <c r="C7072" s="5" t="s">
        <v>76</v>
      </c>
      <c r="D7072" s="5" t="s">
        <v>1206</v>
      </c>
      <c r="E7072" s="8" t="s">
        <v>1220</v>
      </c>
      <c r="F7072" s="5" t="s">
        <v>1221</v>
      </c>
      <c r="G7072" s="6" t="str">
        <f>VLOOKUP(E7072,dicionario!$A$1:$C7471,2,0)</f>
        <v>#N/A</v>
      </c>
      <c r="H7072" s="6" t="str">
        <f>VLOOKUP(E7072,dicionario!$A$1:$C7471,3,0)</f>
        <v>#N/A</v>
      </c>
    </row>
    <row r="7073">
      <c r="A7073" s="3">
        <v>45723.0</v>
      </c>
      <c r="B7073" s="4">
        <v>0.3013888888888889</v>
      </c>
      <c r="C7073" s="5" t="s">
        <v>76</v>
      </c>
      <c r="D7073" s="5" t="s">
        <v>1206</v>
      </c>
      <c r="E7073" s="8" t="s">
        <v>786</v>
      </c>
      <c r="F7073" s="5" t="s">
        <v>787</v>
      </c>
      <c r="G7073" s="6" t="str">
        <f>VLOOKUP(E7073,dicionario!$A$1:$C7472,2,0)</f>
        <v>Lycianthes asarifolia</v>
      </c>
      <c r="H7073" s="6" t="str">
        <f>VLOOKUP(E7073,dicionario!$A$1:$C7472,3,0)</f>
        <v>joá-rasteiro</v>
      </c>
    </row>
    <row r="7074">
      <c r="A7074" s="3">
        <v>45723.0</v>
      </c>
      <c r="B7074" s="4">
        <v>0.30486111111111114</v>
      </c>
      <c r="C7074" s="5" t="s">
        <v>64</v>
      </c>
      <c r="D7074" s="5" t="s">
        <v>1206</v>
      </c>
      <c r="E7074" s="8" t="s">
        <v>195</v>
      </c>
      <c r="F7074" s="5" t="s">
        <v>196</v>
      </c>
      <c r="G7074" s="6" t="str">
        <f>VLOOKUP(E7074,dicionario!$A$1:$C7473,2,0)</f>
        <v>Priva lappulacea</v>
      </c>
      <c r="H7074" s="6" t="str">
        <f>VLOOKUP(E7074,dicionario!$A$1:$C7473,3,0)</f>
        <v>carrapicho</v>
      </c>
    </row>
    <row r="7075">
      <c r="A7075" s="3">
        <v>45723.0</v>
      </c>
      <c r="B7075" s="4">
        <v>0.30486111111111114</v>
      </c>
      <c r="C7075" s="5" t="s">
        <v>64</v>
      </c>
      <c r="D7075" s="5" t="s">
        <v>1206</v>
      </c>
      <c r="E7075" s="8" t="s">
        <v>296</v>
      </c>
      <c r="F7075" s="5" t="s">
        <v>297</v>
      </c>
      <c r="G7075" s="6" t="str">
        <f>VLOOKUP(E7075,dicionario!$A$1:$C7474,2,0)</f>
        <v>Richardia brasiliensis</v>
      </c>
      <c r="H7075" s="6" t="str">
        <f>VLOOKUP(E7075,dicionario!$A$1:$C7474,3,0)</f>
        <v>poaia-branca</v>
      </c>
    </row>
    <row r="7076">
      <c r="A7076" s="3">
        <v>45723.0</v>
      </c>
      <c r="B7076" s="4">
        <v>0.30486111111111114</v>
      </c>
      <c r="C7076" s="5" t="s">
        <v>64</v>
      </c>
      <c r="D7076" s="5" t="s">
        <v>1206</v>
      </c>
      <c r="E7076" s="6" t="s">
        <v>146</v>
      </c>
      <c r="F7076" s="5" t="s">
        <v>147</v>
      </c>
      <c r="G7076" s="6" t="str">
        <f>VLOOKUP(E7076,dicionario!$A$1:$C7475,2,0)</f>
        <v>Euphorbia hirta</v>
      </c>
      <c r="H7076" s="6" t="str">
        <f>VLOOKUP(E7076,dicionario!$A$1:$C7475,3,0)</f>
        <v>erva-de-santa-luzia</v>
      </c>
    </row>
    <row r="7077">
      <c r="A7077" s="3">
        <v>45723.0</v>
      </c>
      <c r="B7077" s="4">
        <v>0.30486111111111114</v>
      </c>
      <c r="C7077" s="5" t="s">
        <v>64</v>
      </c>
      <c r="D7077" s="5" t="s">
        <v>1206</v>
      </c>
      <c r="E7077" s="6" t="s">
        <v>113</v>
      </c>
      <c r="F7077" s="5" t="s">
        <v>114</v>
      </c>
      <c r="G7077" s="6" t="str">
        <f>VLOOKUP(E7077,dicionario!$A$1:$C7476,2,0)</f>
        <v>Columbina talpacoti</v>
      </c>
      <c r="H7077" s="6" t="str">
        <f>VLOOKUP(E7077,dicionario!$A$1:$C7476,3,0)</f>
        <v>rolinha-roxa</v>
      </c>
    </row>
    <row r="7078">
      <c r="A7078" s="3">
        <v>45723.0</v>
      </c>
      <c r="B7078" s="4">
        <v>0.30486111111111114</v>
      </c>
      <c r="C7078" s="5" t="s">
        <v>64</v>
      </c>
      <c r="D7078" s="5" t="s">
        <v>1206</v>
      </c>
      <c r="E7078" s="8" t="s">
        <v>251</v>
      </c>
      <c r="F7078" s="5" t="s">
        <v>252</v>
      </c>
      <c r="G7078" s="6" t="str">
        <f>VLOOKUP(E7078,dicionario!$A$1:$C7477,2,0)</f>
        <v>Struthanthus flexicaulis</v>
      </c>
      <c r="H7078" s="6" t="str">
        <f>VLOOKUP(E7078,dicionario!$A$1:$C7477,3,0)</f>
        <v>erva-de-passarinho</v>
      </c>
    </row>
    <row r="7079">
      <c r="A7079" s="3">
        <v>45723.0</v>
      </c>
      <c r="B7079" s="4">
        <v>0.30486111111111114</v>
      </c>
      <c r="C7079" s="5" t="s">
        <v>64</v>
      </c>
      <c r="D7079" s="5" t="s">
        <v>1206</v>
      </c>
      <c r="E7079" s="8" t="s">
        <v>60</v>
      </c>
      <c r="F7079" s="5" t="s">
        <v>61</v>
      </c>
      <c r="G7079" s="6" t="str">
        <f>VLOOKUP(E7079,dicionario!$A$1:$C7478,2,0)</f>
        <v>Vanellus chilensis</v>
      </c>
      <c r="H7079" s="6" t="str">
        <f>VLOOKUP(E7079,dicionario!$A$1:$C7478,3,0)</f>
        <v>quero-quero</v>
      </c>
    </row>
    <row r="7080">
      <c r="A7080" s="3">
        <v>45723.0</v>
      </c>
      <c r="B7080" s="4">
        <v>0.30486111111111114</v>
      </c>
      <c r="C7080" s="5" t="s">
        <v>64</v>
      </c>
      <c r="D7080" s="5" t="s">
        <v>1206</v>
      </c>
      <c r="E7080" s="8" t="s">
        <v>46</v>
      </c>
      <c r="F7080" s="5" t="s">
        <v>47</v>
      </c>
      <c r="G7080" s="6" t="str">
        <f>VLOOKUP(E7080,dicionario!$A$1:$C7479,2,0)</f>
        <v>Chionomesa fimbriata</v>
      </c>
      <c r="H7080" s="6" t="str">
        <f>VLOOKUP(E7080,dicionario!$A$1:$C7479,3,0)</f>
        <v>beija-flor-de-garganta-verde</v>
      </c>
    </row>
    <row r="7081">
      <c r="A7081" s="3">
        <v>45723.0</v>
      </c>
      <c r="B7081" s="4">
        <v>0.3055555555555556</v>
      </c>
      <c r="C7081" s="5" t="s">
        <v>64</v>
      </c>
      <c r="D7081" s="5" t="s">
        <v>1206</v>
      </c>
      <c r="E7081" s="8" t="s">
        <v>227</v>
      </c>
      <c r="F7081" s="5" t="s">
        <v>228</v>
      </c>
      <c r="G7081" s="6" t="str">
        <f>VLOOKUP(E7081,dicionario!$A$1:$C7480,2,0)</f>
        <v>Indigofera hirsuta</v>
      </c>
      <c r="H7081" s="6" t="str">
        <f>VLOOKUP(E7081,dicionario!$A$1:$C7480,3,0)</f>
        <v>anileira</v>
      </c>
    </row>
    <row r="7082">
      <c r="A7082" s="3">
        <v>45723.0</v>
      </c>
      <c r="B7082" s="4">
        <v>0.3055555555555556</v>
      </c>
      <c r="C7082" s="5" t="s">
        <v>64</v>
      </c>
      <c r="D7082" s="5" t="s">
        <v>1206</v>
      </c>
      <c r="E7082" s="8" t="s">
        <v>65</v>
      </c>
      <c r="F7082" s="5" t="s">
        <v>66</v>
      </c>
      <c r="G7082" s="6" t="str">
        <f>VLOOKUP(E7082,dicionario!$A$1:$C7481,2,0)</f>
        <v>Pitangus sulphutarus</v>
      </c>
      <c r="H7082" s="6" t="str">
        <f>VLOOKUP(E7082,dicionario!$A$1:$C7481,3,0)</f>
        <v>bem-te-vi</v>
      </c>
    </row>
    <row r="7083">
      <c r="A7083" s="3">
        <v>45723.0</v>
      </c>
      <c r="B7083" s="4">
        <v>0.3055555555555556</v>
      </c>
      <c r="C7083" s="5" t="s">
        <v>64</v>
      </c>
      <c r="D7083" s="5" t="s">
        <v>1206</v>
      </c>
      <c r="E7083" s="8" t="s">
        <v>154</v>
      </c>
      <c r="F7083" s="5" t="s">
        <v>155</v>
      </c>
      <c r="G7083" s="6" t="str">
        <f>VLOOKUP(E7083,dicionario!$A$1:$C7482,2,0)</f>
        <v>Cyperus rotundus</v>
      </c>
      <c r="H7083" s="6" t="str">
        <f>VLOOKUP(E7083,dicionario!$A$1:$C7482,3,0)</f>
        <v>tiririca</v>
      </c>
    </row>
    <row r="7084">
      <c r="A7084" s="3">
        <v>45723.0</v>
      </c>
      <c r="B7084" s="4">
        <v>0.3055555555555556</v>
      </c>
      <c r="C7084" s="5" t="s">
        <v>64</v>
      </c>
      <c r="D7084" s="5" t="s">
        <v>1206</v>
      </c>
      <c r="E7084" s="8" t="s">
        <v>193</v>
      </c>
      <c r="F7084" s="5" t="s">
        <v>194</v>
      </c>
      <c r="G7084" s="6" t="str">
        <f>VLOOKUP(E7084,dicionario!$A$1:$C7483,2,0)</f>
        <v>Conirostrum speciosum</v>
      </c>
      <c r="H7084" s="6" t="str">
        <f>VLOOKUP(E7084,dicionario!$A$1:$C7483,3,0)</f>
        <v>figuinha-de-rabo-castanho</v>
      </c>
    </row>
    <row r="7085">
      <c r="A7085" s="3">
        <v>45723.0</v>
      </c>
      <c r="B7085" s="4">
        <v>0.30625</v>
      </c>
      <c r="C7085" s="5" t="s">
        <v>64</v>
      </c>
      <c r="D7085" s="5" t="s">
        <v>1206</v>
      </c>
      <c r="E7085" s="6" t="s">
        <v>148</v>
      </c>
      <c r="F7085" s="5" t="s">
        <v>149</v>
      </c>
      <c r="G7085" s="6" t="str">
        <f>VLOOKUP(E7085,dicionario!$A$1:$C7484,2,0)</f>
        <v>Parthenium hysterophorus</v>
      </c>
      <c r="H7085" s="6" t="str">
        <f>VLOOKUP(E7085,dicionario!$A$1:$C7484,3,0)</f>
        <v>losna-branca</v>
      </c>
    </row>
    <row r="7086">
      <c r="A7086" s="3">
        <v>45723.0</v>
      </c>
      <c r="B7086" s="4">
        <v>0.30625</v>
      </c>
      <c r="C7086" s="5" t="s">
        <v>64</v>
      </c>
      <c r="D7086" s="5" t="s">
        <v>1206</v>
      </c>
      <c r="E7086" s="8" t="s">
        <v>69</v>
      </c>
      <c r="F7086" s="7" t="s">
        <v>71</v>
      </c>
      <c r="G7086" s="6" t="str">
        <f>VLOOKUP(E7086,dicionario!$A$1:$C7485,2,0)</f>
        <v>Talinum fruticosum</v>
      </c>
      <c r="H7086" s="6" t="str">
        <f>VLOOKUP(E7086,dicionario!$A$1:$C7485,3,0)</f>
        <v>beldroega-grande</v>
      </c>
    </row>
    <row r="7087">
      <c r="A7087" s="3">
        <v>45723.0</v>
      </c>
      <c r="B7087" s="4">
        <v>0.30694444444444446</v>
      </c>
      <c r="C7087" s="5" t="s">
        <v>64</v>
      </c>
      <c r="D7087" s="5" t="s">
        <v>1206</v>
      </c>
      <c r="E7087" s="8" t="s">
        <v>483</v>
      </c>
      <c r="F7087" s="5" t="s">
        <v>484</v>
      </c>
      <c r="G7087" s="6" t="str">
        <f>VLOOKUP(E7087,dicionario!$A$1:$C7486,2,0)</f>
        <v>Euphorbia prostrata</v>
      </c>
      <c r="H7087" s="6" t="str">
        <f>VLOOKUP(E7087,dicionario!$A$1:$C7486,3,0)</f>
        <v>quebra-pedra-rasteira</v>
      </c>
    </row>
    <row r="7088">
      <c r="A7088" s="3">
        <v>45723.0</v>
      </c>
      <c r="B7088" s="4">
        <v>0.3076388888888889</v>
      </c>
      <c r="C7088" s="5" t="s">
        <v>64</v>
      </c>
      <c r="D7088" s="5" t="s">
        <v>1206</v>
      </c>
      <c r="E7088" s="8" t="s">
        <v>1208</v>
      </c>
      <c r="F7088" s="5" t="s">
        <v>1209</v>
      </c>
      <c r="G7088" s="6" t="str">
        <f>VLOOKUP(E7088,dicionario!$A$1:$C7487,2,0)</f>
        <v>#N/A</v>
      </c>
      <c r="H7088" s="6" t="str">
        <f>VLOOKUP(E7088,dicionario!$A$1:$C7487,3,0)</f>
        <v>#N/A</v>
      </c>
    </row>
    <row r="7089">
      <c r="A7089" s="3">
        <v>45723.0</v>
      </c>
      <c r="B7089" s="4">
        <v>0.3076388888888889</v>
      </c>
      <c r="C7089" s="5" t="s">
        <v>64</v>
      </c>
      <c r="D7089" s="5" t="s">
        <v>1206</v>
      </c>
      <c r="E7089" s="8" t="s">
        <v>109</v>
      </c>
      <c r="F7089" s="5" t="s">
        <v>110</v>
      </c>
      <c r="G7089" s="6" t="str">
        <f>VLOOKUP(E7089,dicionario!$A$1:$C7488,2,0)</f>
        <v>Tillandsia stricta</v>
      </c>
      <c r="H7089" s="6" t="str">
        <f>VLOOKUP(E7089,dicionario!$A$1:$C7488,3,0)</f>
        <v>cravo-do-mato</v>
      </c>
    </row>
    <row r="7090">
      <c r="A7090" s="3">
        <v>45723.0</v>
      </c>
      <c r="B7090" s="4">
        <v>0.3076388888888889</v>
      </c>
      <c r="C7090" s="5" t="s">
        <v>64</v>
      </c>
      <c r="D7090" s="5" t="s">
        <v>1206</v>
      </c>
      <c r="E7090" s="6" t="s">
        <v>253</v>
      </c>
      <c r="F7090" s="5" t="s">
        <v>254</v>
      </c>
      <c r="G7090" s="6" t="str">
        <f>VLOOKUP(E7090,dicionario!$A$1:$C7489,2,0)</f>
        <v>Panicum maximum</v>
      </c>
      <c r="H7090" s="6" t="str">
        <f>VLOOKUP(E7090,dicionario!$A$1:$C7489,3,0)</f>
        <v>capim-colonião</v>
      </c>
    </row>
    <row r="7091">
      <c r="A7091" s="3">
        <v>45723.0</v>
      </c>
      <c r="B7091" s="4">
        <v>0.30833333333333335</v>
      </c>
      <c r="C7091" s="5" t="s">
        <v>64</v>
      </c>
      <c r="D7091" s="5" t="s">
        <v>1206</v>
      </c>
      <c r="E7091" s="6" t="s">
        <v>200</v>
      </c>
      <c r="F7091" s="5" t="s">
        <v>201</v>
      </c>
      <c r="G7091" s="6" t="str">
        <f>VLOOKUP(E7091,dicionario!$A$1:$C7490,2,0)</f>
        <v>Columbina picui </v>
      </c>
      <c r="H7091" s="6" t="str">
        <f>VLOOKUP(E7091,dicionario!$A$1:$C7490,3,0)</f>
        <v>rolinha-picuí</v>
      </c>
    </row>
    <row r="7092">
      <c r="A7092" s="3">
        <v>45723.0</v>
      </c>
      <c r="B7092" s="4">
        <v>0.30833333333333335</v>
      </c>
      <c r="C7092" s="5" t="s">
        <v>64</v>
      </c>
      <c r="D7092" s="5" t="s">
        <v>1206</v>
      </c>
      <c r="E7092" s="8" t="s">
        <v>401</v>
      </c>
      <c r="F7092" s="5" t="s">
        <v>464</v>
      </c>
      <c r="G7092" s="6" t="str">
        <f>VLOOKUP(E7092,dicionario!$A$1:$C7491,2,0)</f>
        <v>Cissus verticillata</v>
      </c>
      <c r="H7092" s="6" t="str">
        <f>VLOOKUP(E7092,dicionario!$A$1:$C7491,3,0)</f>
        <v>uva-do-mato</v>
      </c>
    </row>
    <row r="7093">
      <c r="A7093" s="3">
        <v>45723.0</v>
      </c>
      <c r="B7093" s="4">
        <v>0.30833333333333335</v>
      </c>
      <c r="C7093" s="5" t="s">
        <v>64</v>
      </c>
      <c r="D7093" s="5" t="s">
        <v>1206</v>
      </c>
      <c r="E7093" s="18" t="s">
        <v>611</v>
      </c>
      <c r="F7093" s="5" t="s">
        <v>612</v>
      </c>
      <c r="G7093" s="6" t="str">
        <f>VLOOKUP(E7093,dicionario!$A$1:$C7492,2,0)</f>
        <v>Boehmeria cylindrica</v>
      </c>
      <c r="H7093" s="6" t="str">
        <f>VLOOKUP(E7093,dicionario!$A$1:$C7492,3,0)</f>
        <v>falsa-urtiga</v>
      </c>
    </row>
    <row r="7094">
      <c r="A7094" s="3">
        <v>45723.0</v>
      </c>
      <c r="B7094" s="4">
        <v>0.30833333333333335</v>
      </c>
      <c r="C7094" s="5" t="s">
        <v>64</v>
      </c>
      <c r="D7094" s="5" t="s">
        <v>1206</v>
      </c>
      <c r="E7094" s="8" t="s">
        <v>740</v>
      </c>
      <c r="F7094" s="5" t="s">
        <v>741</v>
      </c>
      <c r="G7094" s="6" t="str">
        <f>VLOOKUP(E7094,dicionario!$A$1:$C7493,2,0)</f>
        <v>Melothria cucumis</v>
      </c>
      <c r="H7094" s="6" t="str">
        <f>VLOOKUP(E7094,dicionario!$A$1:$C7493,3,0)</f>
        <v>pepino-do-mato</v>
      </c>
    </row>
    <row r="7095">
      <c r="A7095" s="3">
        <v>45723.0</v>
      </c>
      <c r="B7095" s="4">
        <v>0.3090277777777778</v>
      </c>
      <c r="C7095" s="5" t="s">
        <v>64</v>
      </c>
      <c r="D7095" s="5" t="s">
        <v>1206</v>
      </c>
      <c r="E7095" s="8" t="s">
        <v>48</v>
      </c>
      <c r="F7095" s="5" t="s">
        <v>49</v>
      </c>
      <c r="G7095" s="6" t="str">
        <f>VLOOKUP(E7095,dicionario!$A$1:$C7494,2,0)</f>
        <v>Commelina erecta</v>
      </c>
      <c r="H7095" s="6" t="str">
        <f>VLOOKUP(E7095,dicionario!$A$1:$C7494,3,0)</f>
        <v>trapoeraba</v>
      </c>
    </row>
    <row r="7096">
      <c r="A7096" s="3">
        <v>45723.0</v>
      </c>
      <c r="B7096" s="4">
        <v>0.3090277777777778</v>
      </c>
      <c r="C7096" s="5" t="s">
        <v>64</v>
      </c>
      <c r="D7096" s="5" t="s">
        <v>1206</v>
      </c>
      <c r="E7096" s="8" t="s">
        <v>38</v>
      </c>
      <c r="F7096" s="5" t="s">
        <v>39</v>
      </c>
      <c r="G7096" s="6" t="str">
        <f>VLOOKUP(E7096,dicionario!$A$1:$C7495,2,0)</f>
        <v>Troglodytes musculus</v>
      </c>
      <c r="H7096" s="6" t="str">
        <f>VLOOKUP(E7096,dicionario!$A$1:$C7495,3,0)</f>
        <v>curruíra</v>
      </c>
    </row>
    <row r="7097">
      <c r="A7097" s="3">
        <v>45723.0</v>
      </c>
      <c r="B7097" s="4">
        <v>0.3090277777777778</v>
      </c>
      <c r="C7097" s="5" t="s">
        <v>64</v>
      </c>
      <c r="D7097" s="5" t="s">
        <v>1206</v>
      </c>
      <c r="E7097" s="6" t="s">
        <v>22</v>
      </c>
      <c r="F7097" s="5" t="s">
        <v>97</v>
      </c>
      <c r="G7097" s="6" t="str">
        <f>VLOOKUP(E7097,dicionario!$A$1:$C7496,2,0)</f>
        <v>Zenaida auriculata</v>
      </c>
      <c r="H7097" s="6" t="str">
        <f>VLOOKUP(E7097,dicionario!$A$1:$C7496,3,0)</f>
        <v>pomba-de-bando; avoante</v>
      </c>
    </row>
    <row r="7098">
      <c r="A7098" s="3">
        <v>45723.0</v>
      </c>
      <c r="B7098" s="4">
        <v>0.3104166666666667</v>
      </c>
      <c r="C7098" s="5" t="s">
        <v>64</v>
      </c>
      <c r="D7098" s="5" t="s">
        <v>1206</v>
      </c>
      <c r="E7098" s="6" t="s">
        <v>467</v>
      </c>
      <c r="F7098" s="5" t="s">
        <v>468</v>
      </c>
      <c r="G7098" s="6" t="str">
        <f>VLOOKUP(E7098,dicionario!$A$1:$C7497,2,0)</f>
        <v>Eleusine indica</v>
      </c>
      <c r="H7098" s="6" t="str">
        <f>VLOOKUP(E7098,dicionario!$A$1:$C7497,3,0)</f>
        <v>capim-pé-de-galinha</v>
      </c>
    </row>
    <row r="7099">
      <c r="A7099" s="3">
        <v>45723.0</v>
      </c>
      <c r="B7099" s="4">
        <v>0.3104166666666667</v>
      </c>
      <c r="C7099" s="5" t="s">
        <v>64</v>
      </c>
      <c r="D7099" s="5" t="s">
        <v>1206</v>
      </c>
      <c r="E7099" s="8" t="s">
        <v>86</v>
      </c>
      <c r="F7099" s="5" t="s">
        <v>502</v>
      </c>
      <c r="G7099" s="6" t="str">
        <f>VLOOKUP(E7099,dicionario!$A$1:$C7498,2,0)</f>
        <v>Coereba flaveola</v>
      </c>
      <c r="H7099" s="6" t="str">
        <f>VLOOKUP(E7099,dicionario!$A$1:$C7498,3,0)</f>
        <v>cambacica</v>
      </c>
    </row>
    <row r="7100">
      <c r="A7100" s="3">
        <v>45723.0</v>
      </c>
      <c r="B7100" s="4">
        <v>0.3104166666666667</v>
      </c>
      <c r="C7100" s="5" t="s">
        <v>64</v>
      </c>
      <c r="D7100" s="5" t="s">
        <v>1206</v>
      </c>
      <c r="E7100" s="8" t="s">
        <v>20</v>
      </c>
      <c r="F7100" s="7" t="s">
        <v>21</v>
      </c>
      <c r="G7100" s="6" t="str">
        <f>VLOOKUP(E7100,dicionario!$A$1:$C7499,2,0)</f>
        <v>Sicalis flaveola</v>
      </c>
      <c r="H7100" s="6" t="str">
        <f>VLOOKUP(E7100,dicionario!$A$1:$C7499,3,0)</f>
        <v>canário-da-terra</v>
      </c>
    </row>
    <row r="7101">
      <c r="A7101" s="3">
        <v>45723.0</v>
      </c>
      <c r="B7101" s="4">
        <v>0.3104166666666667</v>
      </c>
      <c r="C7101" s="5" t="s">
        <v>64</v>
      </c>
      <c r="D7101" s="5" t="s">
        <v>1206</v>
      </c>
      <c r="E7101" s="8" t="s">
        <v>1041</v>
      </c>
      <c r="F7101" s="5" t="s">
        <v>1042</v>
      </c>
      <c r="G7101" s="6" t="str">
        <f>VLOOKUP(E7101,dicionario!$A$1:$C7500,2,0)</f>
        <v>#N/A</v>
      </c>
      <c r="H7101" s="6" t="str">
        <f>VLOOKUP(E7101,dicionario!$A$1:$C7500,3,0)</f>
        <v>#N/A</v>
      </c>
    </row>
    <row r="7102">
      <c r="A7102" s="3">
        <v>45723.0</v>
      </c>
      <c r="B7102" s="4">
        <v>0.3104166666666667</v>
      </c>
      <c r="C7102" s="5" t="s">
        <v>64</v>
      </c>
      <c r="D7102" s="5" t="s">
        <v>1206</v>
      </c>
      <c r="E7102" s="6" t="s">
        <v>141</v>
      </c>
      <c r="F7102" s="5" t="s">
        <v>142</v>
      </c>
      <c r="G7102" s="6" t="str">
        <f>VLOOKUP(E7102,dicionario!$A$1:$C7501,2,0)</f>
        <v>Ruellia blechum</v>
      </c>
      <c r="H7102" s="6" t="str">
        <f>VLOOKUP(E7102,dicionario!$A$1:$C7501,3,0)</f>
        <v>camarão-verde</v>
      </c>
    </row>
    <row r="7103">
      <c r="A7103" s="3">
        <v>45723.0</v>
      </c>
      <c r="B7103" s="4">
        <v>0.3104166666666667</v>
      </c>
      <c r="C7103" s="5" t="s">
        <v>64</v>
      </c>
      <c r="D7103" s="5" t="s">
        <v>1206</v>
      </c>
      <c r="E7103" s="6" t="s">
        <v>83</v>
      </c>
      <c r="F7103" s="5" t="s">
        <v>84</v>
      </c>
      <c r="G7103" s="6" t="str">
        <f>VLOOKUP(E7103,dicionario!$A$1:$C7502,2,0)</f>
        <v>Anartia jatrophae</v>
      </c>
      <c r="H7103" s="6" t="str">
        <f>VLOOKUP(E7103,dicionario!$A$1:$C7502,3,0)</f>
        <v>borboleta-pavão-branco</v>
      </c>
    </row>
    <row r="7104">
      <c r="A7104" s="3">
        <v>45723.0</v>
      </c>
      <c r="B7104" s="4">
        <v>0.3111111111111111</v>
      </c>
      <c r="C7104" s="5" t="s">
        <v>64</v>
      </c>
      <c r="D7104" s="5" t="s">
        <v>1206</v>
      </c>
      <c r="E7104" s="6" t="s">
        <v>539</v>
      </c>
      <c r="F7104" s="5" t="s">
        <v>540</v>
      </c>
      <c r="G7104" s="6" t="str">
        <f>VLOOKUP(E7104,dicionario!$A$1:$C7503,2,0)</f>
        <v>#N/A</v>
      </c>
      <c r="H7104" s="6" t="str">
        <f>VLOOKUP(E7104,dicionario!$A$1:$C7503,3,0)</f>
        <v>#N/A</v>
      </c>
    </row>
    <row r="7105">
      <c r="A7105" s="3">
        <v>45723.0</v>
      </c>
      <c r="B7105" s="4">
        <v>0.31180555555555556</v>
      </c>
      <c r="C7105" s="5" t="s">
        <v>64</v>
      </c>
      <c r="D7105" s="5" t="s">
        <v>1206</v>
      </c>
      <c r="E7105" s="8" t="s">
        <v>139</v>
      </c>
      <c r="F7105" s="5" t="s">
        <v>862</v>
      </c>
      <c r="G7105" s="6" t="str">
        <f>VLOOKUP(E7105,dicionario!$A$1:$C7504,2,0)</f>
        <v>Tropidurus torquatus</v>
      </c>
      <c r="H7105" s="6" t="str">
        <f>VLOOKUP(E7105,dicionario!$A$1:$C7504,3,0)</f>
        <v>calango; tropiduro-comum</v>
      </c>
    </row>
    <row r="7106">
      <c r="A7106" s="3">
        <v>45723.0</v>
      </c>
      <c r="B7106" s="4">
        <v>0.31180555555555556</v>
      </c>
      <c r="C7106" s="5" t="s">
        <v>64</v>
      </c>
      <c r="D7106" s="5" t="s">
        <v>1206</v>
      </c>
      <c r="E7106" s="8" t="s">
        <v>72</v>
      </c>
      <c r="F7106" s="5" t="s">
        <v>73</v>
      </c>
      <c r="G7106" s="6" t="str">
        <f>VLOOKUP(E7106,dicionario!$A$1:$C7505,2,0)</f>
        <v>Thraupis palmarum</v>
      </c>
      <c r="H7106" s="6" t="str">
        <f>VLOOKUP(E7106,dicionario!$A$1:$C7505,3,0)</f>
        <v>sanhaço-do-coqueiro</v>
      </c>
    </row>
    <row r="7107">
      <c r="A7107" s="3">
        <v>45723.0</v>
      </c>
      <c r="B7107" s="4">
        <v>0.31180555555555556</v>
      </c>
      <c r="C7107" s="5" t="s">
        <v>64</v>
      </c>
      <c r="D7107" s="5" t="s">
        <v>1206</v>
      </c>
      <c r="E7107" s="8" t="s">
        <v>704</v>
      </c>
      <c r="F7107" s="5" t="s">
        <v>705</v>
      </c>
      <c r="G7107" s="6" t="str">
        <f>VLOOKUP(E7107,dicionario!$A$1:$C7506,2,0)</f>
        <v>Brachygastra lecheguana</v>
      </c>
      <c r="H7107" s="6" t="str">
        <f>VLOOKUP(E7107,dicionario!$A$1:$C7506,3,0)</f>
        <v>enxu-verdadeiro</v>
      </c>
    </row>
    <row r="7108">
      <c r="A7108" s="3">
        <v>45723.0</v>
      </c>
      <c r="B7108" s="4">
        <v>0.31319444444444444</v>
      </c>
      <c r="C7108" s="5" t="s">
        <v>59</v>
      </c>
      <c r="D7108" s="5" t="s">
        <v>1206</v>
      </c>
      <c r="E7108" s="8" t="s">
        <v>111</v>
      </c>
      <c r="F7108" s="7" t="s">
        <v>112</v>
      </c>
      <c r="G7108" s="6" t="str">
        <f>VLOOKUP(E7108,dicionario!$A$1:$C7507,2,0)</f>
        <v>Trigona spinipes</v>
      </c>
      <c r="H7108" s="6" t="str">
        <f>VLOOKUP(E7108,dicionario!$A$1:$C7507,3,0)</f>
        <v>abelha-cachorro</v>
      </c>
    </row>
    <row r="7109">
      <c r="A7109" s="3">
        <v>45723.0</v>
      </c>
      <c r="B7109" s="4">
        <v>0.3138888888888889</v>
      </c>
      <c r="C7109" s="5" t="s">
        <v>59</v>
      </c>
      <c r="D7109" s="5" t="s">
        <v>1206</v>
      </c>
      <c r="E7109" s="8" t="s">
        <v>16</v>
      </c>
      <c r="F7109" s="5" t="s">
        <v>17</v>
      </c>
      <c r="G7109" s="6" t="str">
        <f>VLOOKUP(E7109,dicionario!$A$1:$C7508,2,0)</f>
        <v>Eupetomena macroura</v>
      </c>
      <c r="H7109" s="6" t="str">
        <f>VLOOKUP(E7109,dicionario!$A$1:$C7508,3,0)</f>
        <v>beija-flor-tesoura</v>
      </c>
    </row>
    <row r="7110">
      <c r="A7110" s="3">
        <v>45723.0</v>
      </c>
      <c r="B7110" s="4">
        <v>0.3138888888888889</v>
      </c>
      <c r="C7110" s="5" t="s">
        <v>59</v>
      </c>
      <c r="D7110" s="5" t="s">
        <v>1206</v>
      </c>
      <c r="E7110" s="8" t="s">
        <v>53</v>
      </c>
      <c r="F7110" s="7" t="s">
        <v>54</v>
      </c>
      <c r="G7110" s="6" t="str">
        <f>VLOOKUP(E7110,dicionario!$A$1:$C7509,2,0)</f>
        <v>Turnera subulata</v>
      </c>
      <c r="H7110" s="6" t="str">
        <f>VLOOKUP(E7110,dicionario!$A$1:$C7509,3,0)</f>
        <v>xanana</v>
      </c>
    </row>
    <row r="7111">
      <c r="A7111" s="3">
        <v>45723.0</v>
      </c>
      <c r="B7111" s="4">
        <v>0.3138888888888889</v>
      </c>
      <c r="C7111" s="5" t="s">
        <v>59</v>
      </c>
      <c r="D7111" s="5" t="s">
        <v>1206</v>
      </c>
      <c r="E7111" s="8" t="s">
        <v>135</v>
      </c>
      <c r="F7111" s="5" t="s">
        <v>136</v>
      </c>
      <c r="G7111" s="6" t="str">
        <f>VLOOKUP(E7111,dicionario!$A$1:$C7510,2,0)</f>
        <v>Tridax procumbens</v>
      </c>
      <c r="H7111" s="6" t="str">
        <f>VLOOKUP(E7111,dicionario!$A$1:$C7510,3,0)</f>
        <v>erva-de-touro</v>
      </c>
    </row>
    <row r="7112">
      <c r="A7112" s="3">
        <v>45723.0</v>
      </c>
      <c r="B7112" s="4">
        <v>0.3138888888888889</v>
      </c>
      <c r="C7112" s="5" t="s">
        <v>59</v>
      </c>
      <c r="D7112" s="5" t="s">
        <v>1206</v>
      </c>
      <c r="E7112" s="8" t="s">
        <v>355</v>
      </c>
      <c r="F7112" s="5" t="s">
        <v>356</v>
      </c>
      <c r="G7112" s="6" t="str">
        <f>VLOOKUP(E7112,dicionario!$A$1:$C7511,2,0)</f>
        <v>Boerhavia diffusa</v>
      </c>
      <c r="H7112" s="6" t="str">
        <f>VLOOKUP(E7112,dicionario!$A$1:$C7511,3,0)</f>
        <v>erva-tostão</v>
      </c>
    </row>
    <row r="7113">
      <c r="A7113" s="3">
        <v>45723.0</v>
      </c>
      <c r="B7113" s="4">
        <v>0.3138888888888889</v>
      </c>
      <c r="C7113" s="5" t="s">
        <v>59</v>
      </c>
      <c r="D7113" s="5" t="s">
        <v>1206</v>
      </c>
      <c r="E7113" s="8" t="s">
        <v>247</v>
      </c>
      <c r="F7113" s="7" t="s">
        <v>272</v>
      </c>
      <c r="G7113" s="6" t="str">
        <f>VLOOKUP(E7113,dicionario!$A$1:$C7512,2,0)</f>
        <v>Emilia sonchifolia</v>
      </c>
      <c r="H7113" s="6" t="str">
        <f>VLOOKUP(E7113,dicionario!$A$1:$C7512,3,0)</f>
        <v>serralinha</v>
      </c>
    </row>
    <row r="7114">
      <c r="A7114" s="3">
        <v>45723.0</v>
      </c>
      <c r="B7114" s="4">
        <v>0.3138888888888889</v>
      </c>
      <c r="C7114" s="5" t="s">
        <v>59</v>
      </c>
      <c r="D7114" s="5" t="s">
        <v>1206</v>
      </c>
      <c r="E7114" s="8" t="s">
        <v>72</v>
      </c>
      <c r="F7114" s="5" t="s">
        <v>73</v>
      </c>
      <c r="G7114" s="6" t="str">
        <f>VLOOKUP(E7114,dicionario!$A$1:$C7513,2,0)</f>
        <v>Thraupis palmarum</v>
      </c>
      <c r="H7114" s="6" t="str">
        <f>VLOOKUP(E7114,dicionario!$A$1:$C7513,3,0)</f>
        <v>sanhaço-do-coqueiro</v>
      </c>
    </row>
    <row r="7115">
      <c r="A7115" s="3">
        <v>45723.0</v>
      </c>
      <c r="B7115" s="4">
        <v>0.3138888888888889</v>
      </c>
      <c r="C7115" s="5" t="s">
        <v>59</v>
      </c>
      <c r="D7115" s="5" t="s">
        <v>1206</v>
      </c>
      <c r="E7115" s="8" t="s">
        <v>41</v>
      </c>
      <c r="F7115" s="5" t="s">
        <v>45</v>
      </c>
      <c r="G7115" s="6" t="str">
        <f>VLOOKUP(E7115,dicionario!$A$1:$C7514,2,0)</f>
        <v>Mimosa pudica</v>
      </c>
      <c r="H7115" s="6" t="str">
        <f>VLOOKUP(E7115,dicionario!$A$1:$C7514,3,0)</f>
        <v>dormideira</v>
      </c>
    </row>
    <row r="7116">
      <c r="A7116" s="3">
        <v>45723.0</v>
      </c>
      <c r="B7116" s="4">
        <v>0.3138888888888889</v>
      </c>
      <c r="C7116" s="5" t="s">
        <v>59</v>
      </c>
      <c r="D7116" s="5" t="s">
        <v>1206</v>
      </c>
      <c r="E7116" s="8" t="s">
        <v>498</v>
      </c>
      <c r="F7116" s="5" t="s">
        <v>499</v>
      </c>
      <c r="G7116" s="6" t="str">
        <f>VLOOKUP(E7116,dicionario!$A$1:$C7515,2,0)</f>
        <v>Brachiaria decumbens</v>
      </c>
      <c r="H7116" s="6" t="str">
        <f>VLOOKUP(E7116,dicionario!$A$1:$C7515,3,0)</f>
        <v>capim-braquiária</v>
      </c>
    </row>
    <row r="7117">
      <c r="A7117" s="3">
        <v>45723.0</v>
      </c>
      <c r="B7117" s="4">
        <v>0.3138888888888889</v>
      </c>
      <c r="C7117" s="5" t="s">
        <v>59</v>
      </c>
      <c r="D7117" s="5" t="s">
        <v>1206</v>
      </c>
      <c r="E7117" s="8" t="s">
        <v>1155</v>
      </c>
      <c r="F7117" s="5" t="s">
        <v>1156</v>
      </c>
      <c r="G7117" s="6" t="str">
        <f>VLOOKUP(E7117,dicionario!$A$1:$C7516,2,0)</f>
        <v>#N/A</v>
      </c>
      <c r="H7117" s="6" t="str">
        <f>VLOOKUP(E7117,dicionario!$A$1:$C7516,3,0)</f>
        <v>#N/A</v>
      </c>
    </row>
    <row r="7118">
      <c r="A7118" s="3">
        <v>45723.0</v>
      </c>
      <c r="B7118" s="4">
        <v>0.3145833333333333</v>
      </c>
      <c r="C7118" s="5" t="s">
        <v>59</v>
      </c>
      <c r="D7118" s="5" t="s">
        <v>1206</v>
      </c>
      <c r="E7118" s="8" t="s">
        <v>489</v>
      </c>
      <c r="F7118" s="5" t="s">
        <v>521</v>
      </c>
      <c r="G7118" s="6" t="str">
        <f>VLOOKUP(E7118,dicionario!$A$1:$C7517,2,0)</f>
        <v>Cenchrus echinatus</v>
      </c>
      <c r="H7118" s="6" t="str">
        <f>VLOOKUP(E7118,dicionario!$A$1:$C7517,3,0)</f>
        <v>capim-carrapicho</v>
      </c>
    </row>
    <row r="7119">
      <c r="A7119" s="3">
        <v>45723.0</v>
      </c>
      <c r="B7119" s="4">
        <v>0.31527777777777777</v>
      </c>
      <c r="C7119" s="5" t="s">
        <v>59</v>
      </c>
      <c r="D7119" s="5" t="s">
        <v>1206</v>
      </c>
      <c r="E7119" s="6" t="s">
        <v>243</v>
      </c>
      <c r="F7119" s="5" t="s">
        <v>244</v>
      </c>
      <c r="G7119" s="6" t="str">
        <f>VLOOKUP(E7119,dicionario!$A$1:$C7518,2,0)</f>
        <v>Macroptilium atropurpureum</v>
      </c>
      <c r="H7119" s="6" t="str">
        <f>VLOOKUP(E7119,dicionario!$A$1:$C7518,3,0)</f>
        <v>feijão-de-pombo</v>
      </c>
    </row>
    <row r="7120">
      <c r="A7120" s="3">
        <v>45723.0</v>
      </c>
      <c r="B7120" s="4">
        <v>0.31527777777777777</v>
      </c>
      <c r="C7120" s="5" t="s">
        <v>59</v>
      </c>
      <c r="D7120" s="5" t="s">
        <v>1206</v>
      </c>
      <c r="E7120" s="8" t="s">
        <v>189</v>
      </c>
      <c r="F7120" s="5" t="s">
        <v>190</v>
      </c>
      <c r="G7120" s="6" t="str">
        <f>VLOOKUP(E7120,dicionario!$A$1:$C7519,2,0)</f>
        <v>Solanum paniculatum</v>
      </c>
      <c r="H7120" s="6" t="str">
        <f>VLOOKUP(E7120,dicionario!$A$1:$C7519,3,0)</f>
        <v>jurubeba</v>
      </c>
    </row>
    <row r="7121">
      <c r="A7121" s="3">
        <v>45723.0</v>
      </c>
      <c r="B7121" s="4">
        <v>0.31527777777777777</v>
      </c>
      <c r="C7121" s="5" t="s">
        <v>59</v>
      </c>
      <c r="D7121" s="5" t="s">
        <v>1206</v>
      </c>
      <c r="E7121" s="8" t="s">
        <v>909</v>
      </c>
      <c r="F7121" s="5" t="s">
        <v>910</v>
      </c>
      <c r="G7121" s="6" t="str">
        <f>VLOOKUP(E7121,dicionario!$A$1:$C7520,2,0)</f>
        <v>Chordeiles acutipennis</v>
      </c>
      <c r="H7121" s="6" t="str">
        <f>VLOOKUP(E7121,dicionario!$A$1:$C7520,3,0)</f>
        <v>bacurau-de-asa-fina</v>
      </c>
    </row>
    <row r="7122">
      <c r="A7122" s="3">
        <v>45723.0</v>
      </c>
      <c r="B7122" s="4">
        <v>0.31527777777777777</v>
      </c>
      <c r="C7122" s="5" t="s">
        <v>59</v>
      </c>
      <c r="D7122" s="5" t="s">
        <v>1206</v>
      </c>
      <c r="E7122" s="8" t="s">
        <v>46</v>
      </c>
      <c r="F7122" s="5" t="s">
        <v>47</v>
      </c>
      <c r="G7122" s="6" t="str">
        <f>VLOOKUP(E7122,dicionario!$A$1:$C7521,2,0)</f>
        <v>Chionomesa fimbriata</v>
      </c>
      <c r="H7122" s="6" t="str">
        <f>VLOOKUP(E7122,dicionario!$A$1:$C7521,3,0)</f>
        <v>beija-flor-de-garganta-verde</v>
      </c>
    </row>
    <row r="7123">
      <c r="A7123" s="3">
        <v>45723.0</v>
      </c>
      <c r="B7123" s="4">
        <v>0.31527777777777777</v>
      </c>
      <c r="C7123" s="5" t="s">
        <v>59</v>
      </c>
      <c r="D7123" s="5" t="s">
        <v>1206</v>
      </c>
      <c r="E7123" s="6" t="s">
        <v>169</v>
      </c>
      <c r="F7123" s="5" t="s">
        <v>170</v>
      </c>
      <c r="G7123" s="6" t="str">
        <f>VLOOKUP(E7123,dicionario!$A$1:$C7522,2,0)</f>
        <v>Camponotus cruentatus</v>
      </c>
      <c r="H7123" s="6" t="str">
        <f>VLOOKUP(E7123,dicionario!$A$1:$C7522,3,0)</f>
        <v>formiga-carpinteira</v>
      </c>
    </row>
    <row r="7124">
      <c r="A7124" s="3">
        <v>45723.0</v>
      </c>
      <c r="B7124" s="4">
        <v>0.31527777777777777</v>
      </c>
      <c r="C7124" s="5" t="s">
        <v>59</v>
      </c>
      <c r="D7124" s="5" t="s">
        <v>1206</v>
      </c>
      <c r="E7124" s="8" t="s">
        <v>1208</v>
      </c>
      <c r="F7124" s="5" t="s">
        <v>1209</v>
      </c>
      <c r="G7124" s="6" t="str">
        <f>VLOOKUP(E7124,dicionario!$A$1:$C7523,2,0)</f>
        <v>#N/A</v>
      </c>
      <c r="H7124" s="6" t="str">
        <f>VLOOKUP(E7124,dicionario!$A$1:$C7523,3,0)</f>
        <v>#N/A</v>
      </c>
    </row>
    <row r="7125">
      <c r="A7125" s="3">
        <v>45723.0</v>
      </c>
      <c r="B7125" s="4">
        <v>0.31666666666666665</v>
      </c>
      <c r="C7125" s="5" t="s">
        <v>59</v>
      </c>
      <c r="D7125" s="5" t="s">
        <v>1206</v>
      </c>
      <c r="E7125" s="8" t="s">
        <v>191</v>
      </c>
      <c r="F7125" s="5" t="s">
        <v>1222</v>
      </c>
      <c r="G7125" s="6" t="str">
        <f>VLOOKUP(E7125,dicionario!$A$1:$C7524,2,0)</f>
        <v>Patagioenas picazuro</v>
      </c>
      <c r="H7125" s="6" t="str">
        <f>VLOOKUP(E7125,dicionario!$A$1:$C7524,3,0)</f>
        <v>asa-branca; pomba-asa-branca; pocaçu</v>
      </c>
    </row>
    <row r="7126">
      <c r="A7126" s="3">
        <v>45723.0</v>
      </c>
      <c r="B7126" s="4">
        <v>0.31666666666666665</v>
      </c>
      <c r="C7126" s="5" t="s">
        <v>59</v>
      </c>
      <c r="D7126" s="5" t="s">
        <v>1206</v>
      </c>
      <c r="E7126" s="8" t="s">
        <v>375</v>
      </c>
      <c r="F7126" s="5" t="s">
        <v>35</v>
      </c>
      <c r="G7126" s="6" t="str">
        <f>VLOOKUP(E7126,dicionario!$A$1:$C7525,2,0)</f>
        <v>Neoponera foetida</v>
      </c>
      <c r="H7126" s="6" t="str">
        <f>VLOOKUP(E7126,dicionario!$A$1:$C7525,3,0)</f>
        <v/>
      </c>
    </row>
    <row r="7127">
      <c r="A7127" s="3">
        <v>45723.0</v>
      </c>
      <c r="B7127" s="4">
        <v>0.31666666666666665</v>
      </c>
      <c r="C7127" s="5" t="s">
        <v>59</v>
      </c>
      <c r="D7127" s="5" t="s">
        <v>1206</v>
      </c>
      <c r="E7127" s="8" t="s">
        <v>213</v>
      </c>
      <c r="F7127" s="7" t="s">
        <v>214</v>
      </c>
      <c r="G7127" s="6" t="str">
        <f>VLOOKUP(E7127,dicionario!$A$1:$C7526,2,0)</f>
        <v>Myiozetetes similis</v>
      </c>
      <c r="H7127" s="6" t="str">
        <f>VLOOKUP(E7127,dicionario!$A$1:$C7526,3,0)</f>
        <v>bentevizinho-de-penacho-vermelho</v>
      </c>
    </row>
    <row r="7128">
      <c r="A7128" s="3">
        <v>45723.0</v>
      </c>
      <c r="B7128" s="4">
        <v>0.31666666666666665</v>
      </c>
      <c r="C7128" s="5" t="s">
        <v>59</v>
      </c>
      <c r="D7128" s="5" t="s">
        <v>1206</v>
      </c>
      <c r="E7128" s="6" t="s">
        <v>14</v>
      </c>
      <c r="F7128" s="5" t="s">
        <v>15</v>
      </c>
      <c r="G7128" s="6" t="str">
        <f>VLOOKUP(E7128,dicionario!$A$1:$C7527,2,0)</f>
        <v>Spermacoce verticillata</v>
      </c>
      <c r="H7128" s="6" t="str">
        <f>VLOOKUP(E7128,dicionario!$A$1:$C7527,3,0)</f>
        <v>vassourinha-de-botão</v>
      </c>
    </row>
    <row r="7129">
      <c r="A7129" s="3">
        <v>45723.0</v>
      </c>
      <c r="B7129" s="4">
        <v>0.3173611111111111</v>
      </c>
      <c r="C7129" s="5" t="s">
        <v>59</v>
      </c>
      <c r="D7129" s="5" t="s">
        <v>1206</v>
      </c>
      <c r="E7129" s="8" t="s">
        <v>18</v>
      </c>
      <c r="F7129" s="5" t="s">
        <v>219</v>
      </c>
      <c r="G7129" s="6" t="str">
        <f>VLOOKUP(E7129,dicionario!$A$1:$C7528,2,0)</f>
        <v>Xylocopa frontalis</v>
      </c>
      <c r="H7129" s="6" t="str">
        <f>VLOOKUP(E7129,dicionario!$A$1:$C7528,3,0)</f>
        <v>Mamangava; mangangá; abelha-carpinteira</v>
      </c>
    </row>
    <row r="7130">
      <c r="A7130" s="3">
        <v>45723.0</v>
      </c>
      <c r="B7130" s="4">
        <v>0.3173611111111111</v>
      </c>
      <c r="C7130" s="5" t="s">
        <v>59</v>
      </c>
      <c r="D7130" s="5" t="s">
        <v>1206</v>
      </c>
      <c r="E7130" s="8" t="s">
        <v>1127</v>
      </c>
      <c r="F7130" s="5" t="s">
        <v>1128</v>
      </c>
      <c r="G7130" s="6" t="str">
        <f>VLOOKUP(E7130,dicionario!$A$1:$C7529,2,0)</f>
        <v>Albizia lebbeck</v>
      </c>
      <c r="H7130" s="6" t="str">
        <f>VLOOKUP(E7130,dicionario!$A$1:$C7529,3,0)</f>
        <v>albízia</v>
      </c>
    </row>
    <row r="7131">
      <c r="A7131" s="3">
        <v>45723.0</v>
      </c>
      <c r="B7131" s="4">
        <v>0.3173611111111111</v>
      </c>
      <c r="C7131" s="5" t="s">
        <v>59</v>
      </c>
      <c r="D7131" s="5" t="s">
        <v>1206</v>
      </c>
      <c r="E7131" s="8" t="s">
        <v>736</v>
      </c>
      <c r="F7131" s="5" t="s">
        <v>737</v>
      </c>
      <c r="G7131" s="6" t="str">
        <f>VLOOKUP(E7131,dicionario!$A$1:$C7530,2,0)</f>
        <v>Chloris virgata</v>
      </c>
      <c r="H7131" s="6" t="str">
        <f>VLOOKUP(E7131,dicionario!$A$1:$C7530,3,0)</f>
        <v>capim-pavão</v>
      </c>
    </row>
    <row r="7132">
      <c r="A7132" s="3">
        <v>45723.0</v>
      </c>
      <c r="B7132" s="4">
        <v>0.31805555555555554</v>
      </c>
      <c r="C7132" s="5" t="s">
        <v>59</v>
      </c>
      <c r="D7132" s="5" t="s">
        <v>1206</v>
      </c>
      <c r="E7132" s="8" t="s">
        <v>684</v>
      </c>
      <c r="F7132" s="5" t="s">
        <v>1191</v>
      </c>
      <c r="G7132" s="6" t="str">
        <f>VLOOKUP(E7132,dicionario!$A$1:$C7531,2,0)</f>
        <v>Columbina squammata</v>
      </c>
      <c r="H7132" s="6" t="str">
        <f>VLOOKUP(E7132,dicionario!$A$1:$C7531,3,0)</f>
        <v>rolinha-fogo-apagou</v>
      </c>
    </row>
    <row r="7133">
      <c r="A7133" s="3">
        <v>45723.0</v>
      </c>
      <c r="B7133" s="4">
        <v>0.31805555555555554</v>
      </c>
      <c r="C7133" s="5" t="s">
        <v>59</v>
      </c>
      <c r="D7133" s="5" t="s">
        <v>1206</v>
      </c>
      <c r="E7133" s="8" t="s">
        <v>109</v>
      </c>
      <c r="F7133" s="5" t="s">
        <v>110</v>
      </c>
      <c r="G7133" s="6" t="str">
        <f>VLOOKUP(E7133,dicionario!$A$1:$C7532,2,0)</f>
        <v>Tillandsia stricta</v>
      </c>
      <c r="H7133" s="6" t="str">
        <f>VLOOKUP(E7133,dicionario!$A$1:$C7532,3,0)</f>
        <v>cravo-do-mato</v>
      </c>
    </row>
    <row r="7134">
      <c r="A7134" s="3">
        <v>45723.0</v>
      </c>
      <c r="B7134" s="4">
        <v>0.31805555555555554</v>
      </c>
      <c r="C7134" s="5" t="s">
        <v>59</v>
      </c>
      <c r="D7134" s="5" t="s">
        <v>1206</v>
      </c>
      <c r="E7134" s="8" t="s">
        <v>982</v>
      </c>
      <c r="F7134" s="5" t="s">
        <v>983</v>
      </c>
      <c r="G7134" s="6" t="str">
        <f>VLOOKUP(E7134,dicionario!$A$1:$C7533,2,0)</f>
        <v>#N/A</v>
      </c>
      <c r="H7134" s="6" t="str">
        <f>VLOOKUP(E7134,dicionario!$A$1:$C7533,3,0)</f>
        <v>#N/A</v>
      </c>
    </row>
    <row r="7135">
      <c r="A7135" s="3">
        <v>45723.0</v>
      </c>
      <c r="B7135" s="4">
        <v>0.31805555555555554</v>
      </c>
      <c r="C7135" s="5" t="s">
        <v>59</v>
      </c>
      <c r="D7135" s="5" t="s">
        <v>1206</v>
      </c>
      <c r="E7135" s="8" t="s">
        <v>752</v>
      </c>
      <c r="F7135" s="5" t="s">
        <v>753</v>
      </c>
      <c r="G7135" s="6" t="str">
        <f>VLOOKUP(E7135,dicionario!$A$1:$C7534,2,0)</f>
        <v>#N/A</v>
      </c>
      <c r="H7135" s="6" t="str">
        <f>VLOOKUP(E7135,dicionario!$A$1:$C7534,3,0)</f>
        <v>#N/A</v>
      </c>
    </row>
    <row r="7136">
      <c r="A7136" s="3">
        <v>45723.0</v>
      </c>
      <c r="B7136" s="4">
        <v>0.31805555555555554</v>
      </c>
      <c r="C7136" s="5" t="s">
        <v>59</v>
      </c>
      <c r="D7136" s="5" t="s">
        <v>1206</v>
      </c>
      <c r="E7136" s="8" t="s">
        <v>712</v>
      </c>
      <c r="F7136" s="5" t="s">
        <v>718</v>
      </c>
      <c r="G7136" s="6" t="str">
        <f>VLOOKUP(E7136,dicionario!$A$1:$C7535,2,0)</f>
        <v>Flavopunctelia soredica</v>
      </c>
      <c r="H7136" s="6" t="str">
        <f>VLOOKUP(E7136,dicionario!$A$1:$C7535,3,0)</f>
        <v>líquen-folioso</v>
      </c>
    </row>
    <row r="7137">
      <c r="A7137" s="3">
        <v>45723.0</v>
      </c>
      <c r="B7137" s="4">
        <v>0.31805555555555554</v>
      </c>
      <c r="C7137" s="5" t="s">
        <v>59</v>
      </c>
      <c r="D7137" s="5" t="s">
        <v>1206</v>
      </c>
      <c r="E7137" s="8" t="s">
        <v>366</v>
      </c>
      <c r="F7137" s="5" t="s">
        <v>367</v>
      </c>
      <c r="G7137" s="6" t="str">
        <f>VLOOKUP(E7137,dicionario!$A$1:$C7536,2,0)</f>
        <v>Alternanthera ficoidea</v>
      </c>
      <c r="H7137" s="6" t="str">
        <f>VLOOKUP(E7137,dicionario!$A$1:$C7536,3,0)</f>
        <v>quebra-panela</v>
      </c>
    </row>
    <row r="7138">
      <c r="A7138" s="3">
        <v>45723.0</v>
      </c>
      <c r="B7138" s="4">
        <v>0.31805555555555554</v>
      </c>
      <c r="C7138" s="5" t="s">
        <v>59</v>
      </c>
      <c r="D7138" s="5" t="s">
        <v>1206</v>
      </c>
      <c r="E7138" s="8" t="s">
        <v>648</v>
      </c>
      <c r="F7138" s="5" t="s">
        <v>649</v>
      </c>
      <c r="G7138" s="6" t="str">
        <f>VLOOKUP(E7138,dicionario!$A$1:$C7537,2,0)</f>
        <v>Burnsius orcus</v>
      </c>
      <c r="H7138" s="6" t="str">
        <f>VLOOKUP(E7138,dicionario!$A$1:$C7537,3,0)</f>
        <v/>
      </c>
    </row>
    <row r="7139">
      <c r="A7139" s="3">
        <v>45723.0</v>
      </c>
      <c r="B7139" s="4">
        <v>0.31805555555555554</v>
      </c>
      <c r="C7139" s="5" t="s">
        <v>59</v>
      </c>
      <c r="D7139" s="5" t="s">
        <v>1206</v>
      </c>
      <c r="E7139" s="6" t="s">
        <v>113</v>
      </c>
      <c r="F7139" s="5" t="s">
        <v>114</v>
      </c>
      <c r="G7139" s="6" t="str">
        <f>VLOOKUP(E7139,dicionario!$A$1:$C7538,2,0)</f>
        <v>Columbina talpacoti</v>
      </c>
      <c r="H7139" s="6" t="str">
        <f>VLOOKUP(E7139,dicionario!$A$1:$C7538,3,0)</f>
        <v>rolinha-roxa</v>
      </c>
    </row>
    <row r="7140">
      <c r="A7140" s="3">
        <v>45723.0</v>
      </c>
      <c r="B7140" s="4">
        <v>0.3194444444444444</v>
      </c>
      <c r="C7140" s="5" t="s">
        <v>59</v>
      </c>
      <c r="D7140" s="5" t="s">
        <v>1206</v>
      </c>
      <c r="E7140" s="8" t="s">
        <v>193</v>
      </c>
      <c r="F7140" s="5" t="s">
        <v>194</v>
      </c>
      <c r="G7140" s="6" t="str">
        <f>VLOOKUP(E7140,dicionario!$A$1:$C7539,2,0)</f>
        <v>Conirostrum speciosum</v>
      </c>
      <c r="H7140" s="6" t="str">
        <f>VLOOKUP(E7140,dicionario!$A$1:$C7539,3,0)</f>
        <v>figuinha-de-rabo-castanho</v>
      </c>
    </row>
    <row r="7141">
      <c r="A7141" s="3">
        <v>45723.0</v>
      </c>
      <c r="B7141" s="4">
        <v>0.3194444444444444</v>
      </c>
      <c r="C7141" s="5" t="s">
        <v>59</v>
      </c>
      <c r="D7141" s="5" t="s">
        <v>1206</v>
      </c>
      <c r="E7141" s="6" t="s">
        <v>245</v>
      </c>
      <c r="F7141" s="5" t="s">
        <v>1106</v>
      </c>
      <c r="G7141" s="6" t="str">
        <f>VLOOKUP(E7141,dicionario!$A$1:$C7540,2,0)</f>
        <v>Hemiargus hanno</v>
      </c>
      <c r="H7141" s="6" t="str">
        <f>VLOOKUP(E7141,dicionario!$A$1:$C7540,3,0)</f>
        <v>borboleta-azulzinha-do-trevo</v>
      </c>
    </row>
    <row r="7142">
      <c r="A7142" s="3">
        <v>45723.0</v>
      </c>
      <c r="B7142" s="4">
        <v>0.3194444444444444</v>
      </c>
      <c r="C7142" s="5" t="s">
        <v>59</v>
      </c>
      <c r="D7142" s="5" t="s">
        <v>1206</v>
      </c>
      <c r="E7142" s="8" t="s">
        <v>934</v>
      </c>
      <c r="F7142" s="5" t="s">
        <v>1223</v>
      </c>
      <c r="G7142" s="6" t="str">
        <f>VLOOKUP(E7142,dicionario!$A$1:$C7541,2,0)</f>
        <v>#N/A</v>
      </c>
      <c r="H7142" s="6" t="str">
        <f>VLOOKUP(E7142,dicionario!$A$1:$C7541,3,0)</f>
        <v>#N/A</v>
      </c>
    </row>
    <row r="7143">
      <c r="A7143" s="3">
        <v>45723.0</v>
      </c>
      <c r="B7143" s="4">
        <v>0.3194444444444444</v>
      </c>
      <c r="C7143" s="5" t="s">
        <v>59</v>
      </c>
      <c r="D7143" s="5" t="s">
        <v>1206</v>
      </c>
      <c r="E7143" s="8" t="s">
        <v>173</v>
      </c>
      <c r="F7143" s="5" t="s">
        <v>336</v>
      </c>
      <c r="G7143" s="6" t="str">
        <f>VLOOKUP(E7143,dicionario!$A$1:$C7542,2,0)</f>
        <v>Junonia evarete</v>
      </c>
      <c r="H7143" s="6" t="str">
        <f>VLOOKUP(E7143,dicionario!$A$1:$C7542,3,0)</f>
        <v>borboleta-olho-de-pavão-diúrno</v>
      </c>
    </row>
    <row r="7144">
      <c r="A7144" s="3">
        <v>45723.0</v>
      </c>
      <c r="B7144" s="4">
        <v>0.32013888888888886</v>
      </c>
      <c r="C7144" s="5" t="s">
        <v>59</v>
      </c>
      <c r="D7144" s="5" t="s">
        <v>1206</v>
      </c>
      <c r="E7144" s="8" t="s">
        <v>571</v>
      </c>
      <c r="F7144" s="5" t="s">
        <v>1224</v>
      </c>
      <c r="G7144" s="6" t="str">
        <f>VLOOKUP(E7144,dicionario!$A$1:$C7543,2,0)</f>
        <v>#N/A</v>
      </c>
      <c r="H7144" s="6" t="str">
        <f>VLOOKUP(E7144,dicionario!$A$1:$C7543,3,0)</f>
        <v>#N/A</v>
      </c>
    </row>
    <row r="7145">
      <c r="A7145" s="3">
        <v>45723.0</v>
      </c>
      <c r="B7145" s="4">
        <v>0.32013888888888886</v>
      </c>
      <c r="C7145" s="5" t="s">
        <v>59</v>
      </c>
      <c r="D7145" s="5" t="s">
        <v>1206</v>
      </c>
      <c r="E7145" s="8" t="s">
        <v>298</v>
      </c>
      <c r="F7145" s="5" t="s">
        <v>299</v>
      </c>
      <c r="G7145" s="6" t="str">
        <f>VLOOKUP(E7145,dicionario!$A$1:$C7544,2,0)</f>
        <v>Alysicarpus vaginalis</v>
      </c>
      <c r="H7145" s="6" t="str">
        <f>VLOOKUP(E7145,dicionario!$A$1:$C7544,3,0)</f>
        <v/>
      </c>
    </row>
    <row r="7146">
      <c r="A7146" s="3">
        <v>45723.0</v>
      </c>
      <c r="B7146" s="4">
        <v>0.32013888888888886</v>
      </c>
      <c r="C7146" s="5" t="s">
        <v>59</v>
      </c>
      <c r="D7146" s="5" t="s">
        <v>1206</v>
      </c>
      <c r="E7146" s="8" t="s">
        <v>239</v>
      </c>
      <c r="F7146" s="5" t="s">
        <v>240</v>
      </c>
      <c r="G7146" s="6" t="str">
        <f>VLOOKUP(E7146,dicionario!$A$1:$C7545,2,0)</f>
        <v>Gomphrena celosioides</v>
      </c>
      <c r="H7146" s="6" t="str">
        <f>VLOOKUP(E7146,dicionario!$A$1:$C7545,3,0)</f>
        <v>perpétua-branca</v>
      </c>
    </row>
    <row r="7147">
      <c r="A7147" s="3">
        <v>45723.0</v>
      </c>
      <c r="B7147" s="4">
        <v>0.32083333333333336</v>
      </c>
      <c r="C7147" s="5" t="s">
        <v>59</v>
      </c>
      <c r="D7147" s="5" t="s">
        <v>1206</v>
      </c>
      <c r="E7147" s="8" t="s">
        <v>1225</v>
      </c>
      <c r="F7147" s="5" t="s">
        <v>1226</v>
      </c>
      <c r="G7147" s="6" t="str">
        <f>VLOOKUP(E7147,dicionario!$A$1:$C7546,2,0)</f>
        <v>Dione juno</v>
      </c>
      <c r="H7147" s="6" t="str">
        <f>VLOOKUP(E7147,dicionario!$A$1:$C7546,3,0)</f>
        <v>borboleta-do-maracujá</v>
      </c>
    </row>
    <row r="7148">
      <c r="A7148" s="3">
        <v>45723.0</v>
      </c>
      <c r="B7148" s="4">
        <v>0.3215277777777778</v>
      </c>
      <c r="C7148" s="5" t="s">
        <v>59</v>
      </c>
      <c r="D7148" s="5" t="s">
        <v>1206</v>
      </c>
      <c r="E7148" s="8" t="s">
        <v>1227</v>
      </c>
      <c r="F7148" s="5" t="s">
        <v>63</v>
      </c>
      <c r="G7148" s="6" t="str">
        <f>VLOOKUP(E7148,dicionario!$A$1:$C7547,2,0)</f>
        <v>#N/A</v>
      </c>
      <c r="H7148" s="6" t="str">
        <f>VLOOKUP(E7148,dicionario!$A$1:$C7547,3,0)</f>
        <v>#N/A</v>
      </c>
    </row>
    <row r="7149">
      <c r="A7149" s="3">
        <v>45723.0</v>
      </c>
      <c r="B7149" s="4">
        <v>0.32222222222222224</v>
      </c>
      <c r="C7149" s="5" t="s">
        <v>59</v>
      </c>
      <c r="D7149" s="5" t="s">
        <v>1206</v>
      </c>
      <c r="E7149" s="8" t="s">
        <v>158</v>
      </c>
      <c r="F7149" s="5" t="s">
        <v>159</v>
      </c>
      <c r="G7149" s="6" t="str">
        <f>VLOOKUP(E7149,dicionario!$A$1:$C7548,2,0)</f>
        <v>Nephilingis cruentata</v>
      </c>
      <c r="H7149" s="6" t="str">
        <f>VLOOKUP(E7149,dicionario!$A$1:$C7548,3,0)</f>
        <v>maria-bola</v>
      </c>
    </row>
    <row r="7150">
      <c r="A7150" s="3">
        <v>45723.0</v>
      </c>
      <c r="B7150" s="4">
        <v>0.32430555555555557</v>
      </c>
      <c r="C7150" s="5" t="s">
        <v>59</v>
      </c>
      <c r="D7150" s="5" t="s">
        <v>1206</v>
      </c>
      <c r="E7150" s="8" t="s">
        <v>1041</v>
      </c>
      <c r="F7150" s="5" t="s">
        <v>1042</v>
      </c>
      <c r="G7150" s="6" t="str">
        <f>VLOOKUP(E7150,dicionario!$A$1:$C7549,2,0)</f>
        <v>#N/A</v>
      </c>
      <c r="H7150" s="6" t="str">
        <f>VLOOKUP(E7150,dicionario!$A$1:$C7549,3,0)</f>
        <v>#N/A</v>
      </c>
    </row>
    <row r="7151">
      <c r="A7151" s="3">
        <v>45723.0</v>
      </c>
      <c r="B7151" s="4">
        <v>0.32430555555555557</v>
      </c>
      <c r="C7151" s="5" t="s">
        <v>59</v>
      </c>
      <c r="D7151" s="5" t="s">
        <v>1206</v>
      </c>
      <c r="E7151" s="6" t="s">
        <v>113</v>
      </c>
      <c r="F7151" s="5" t="s">
        <v>114</v>
      </c>
      <c r="G7151" s="6" t="str">
        <f>VLOOKUP(E7151,dicionario!$A$1:$C7550,2,0)</f>
        <v>Columbina talpacoti</v>
      </c>
      <c r="H7151" s="6" t="str">
        <f>VLOOKUP(E7151,dicionario!$A$1:$C7550,3,0)</f>
        <v>rolinha-roxa</v>
      </c>
    </row>
    <row r="7152">
      <c r="A7152" s="3">
        <v>45723.0</v>
      </c>
      <c r="B7152" s="4">
        <v>0.32430555555555557</v>
      </c>
      <c r="C7152" s="5" t="s">
        <v>59</v>
      </c>
      <c r="D7152" s="5" t="s">
        <v>1206</v>
      </c>
      <c r="E7152" s="6" t="s">
        <v>200</v>
      </c>
      <c r="F7152" s="5" t="s">
        <v>201</v>
      </c>
      <c r="G7152" s="6" t="str">
        <f>VLOOKUP(E7152,dicionario!$A$1:$C7551,2,0)</f>
        <v>Columbina picui </v>
      </c>
      <c r="H7152" s="6" t="str">
        <f>VLOOKUP(E7152,dicionario!$A$1:$C7551,3,0)</f>
        <v>rolinha-picuí</v>
      </c>
    </row>
    <row r="7153">
      <c r="A7153" s="3">
        <v>45723.0</v>
      </c>
      <c r="B7153" s="4">
        <v>0.32430555555555557</v>
      </c>
      <c r="C7153" s="5" t="s">
        <v>59</v>
      </c>
      <c r="D7153" s="5" t="s">
        <v>1206</v>
      </c>
      <c r="E7153" s="8" t="s">
        <v>16</v>
      </c>
      <c r="F7153" s="5" t="s">
        <v>17</v>
      </c>
      <c r="G7153" s="6" t="str">
        <f>VLOOKUP(E7153,dicionario!$A$1:$C7552,2,0)</f>
        <v>Eupetomena macroura</v>
      </c>
      <c r="H7153" s="6" t="str">
        <f>VLOOKUP(E7153,dicionario!$A$1:$C7552,3,0)</f>
        <v>beija-flor-tesoura</v>
      </c>
    </row>
    <row r="7154">
      <c r="A7154" s="3">
        <v>45723.0</v>
      </c>
      <c r="B7154" s="4">
        <v>0.325</v>
      </c>
      <c r="C7154" s="5" t="s">
        <v>59</v>
      </c>
      <c r="D7154" s="5" t="s">
        <v>1206</v>
      </c>
      <c r="E7154" s="8" t="s">
        <v>38</v>
      </c>
      <c r="F7154" s="5" t="s">
        <v>39</v>
      </c>
      <c r="G7154" s="6" t="str">
        <f>VLOOKUP(E7154,dicionario!$A$1:$C7553,2,0)</f>
        <v>Troglodytes musculus</v>
      </c>
      <c r="H7154" s="6" t="str">
        <f>VLOOKUP(E7154,dicionario!$A$1:$C7553,3,0)</f>
        <v>curruíra</v>
      </c>
    </row>
    <row r="7155">
      <c r="A7155" s="3">
        <v>45723.0</v>
      </c>
      <c r="B7155" s="4">
        <v>0.32569444444444445</v>
      </c>
      <c r="C7155" s="5" t="s">
        <v>50</v>
      </c>
      <c r="D7155" s="5" t="s">
        <v>1206</v>
      </c>
      <c r="E7155" s="8" t="s">
        <v>191</v>
      </c>
      <c r="F7155" s="5" t="s">
        <v>1222</v>
      </c>
      <c r="G7155" s="6" t="str">
        <f>VLOOKUP(E7155,dicionario!$A$1:$C7554,2,0)</f>
        <v>Patagioenas picazuro</v>
      </c>
      <c r="H7155" s="6" t="str">
        <f>VLOOKUP(E7155,dicionario!$A$1:$C7554,3,0)</f>
        <v>asa-branca; pomba-asa-branca; pocaçu</v>
      </c>
    </row>
    <row r="7156">
      <c r="A7156" s="3">
        <v>45723.0</v>
      </c>
      <c r="B7156" s="4">
        <v>0.32569444444444445</v>
      </c>
      <c r="C7156" s="5" t="s">
        <v>50</v>
      </c>
      <c r="D7156" s="5" t="s">
        <v>1206</v>
      </c>
      <c r="E7156" s="8" t="s">
        <v>69</v>
      </c>
      <c r="F7156" s="7" t="s">
        <v>71</v>
      </c>
      <c r="G7156" s="6" t="str">
        <f>VLOOKUP(E7156,dicionario!$A$1:$C7555,2,0)</f>
        <v>Talinum fruticosum</v>
      </c>
      <c r="H7156" s="6" t="str">
        <f>VLOOKUP(E7156,dicionario!$A$1:$C7555,3,0)</f>
        <v>beldroega-grande</v>
      </c>
    </row>
    <row r="7157">
      <c r="A7157" s="3">
        <v>45723.0</v>
      </c>
      <c r="B7157" s="4">
        <v>0.32569444444444445</v>
      </c>
      <c r="C7157" s="5" t="s">
        <v>50</v>
      </c>
      <c r="D7157" s="5" t="s">
        <v>1206</v>
      </c>
      <c r="E7157" s="6" t="s">
        <v>253</v>
      </c>
      <c r="F7157" s="5" t="s">
        <v>254</v>
      </c>
      <c r="G7157" s="6" t="str">
        <f>VLOOKUP(E7157,dicionario!$A$1:$C7556,2,0)</f>
        <v>Panicum maximum</v>
      </c>
      <c r="H7157" s="6" t="str">
        <f>VLOOKUP(E7157,dicionario!$A$1:$C7556,3,0)</f>
        <v>capim-colonião</v>
      </c>
    </row>
    <row r="7158">
      <c r="A7158" s="3">
        <v>45723.0</v>
      </c>
      <c r="B7158" s="4">
        <v>0.32569444444444445</v>
      </c>
      <c r="C7158" s="5" t="s">
        <v>50</v>
      </c>
      <c r="D7158" s="5" t="s">
        <v>1206</v>
      </c>
      <c r="E7158" s="8" t="s">
        <v>355</v>
      </c>
      <c r="F7158" s="5" t="s">
        <v>356</v>
      </c>
      <c r="G7158" s="6" t="str">
        <f>VLOOKUP(E7158,dicionario!$A$1:$C7557,2,0)</f>
        <v>Boerhavia diffusa</v>
      </c>
      <c r="H7158" s="6" t="str">
        <f>VLOOKUP(E7158,dicionario!$A$1:$C7557,3,0)</f>
        <v>erva-tostão</v>
      </c>
    </row>
    <row r="7159">
      <c r="A7159" s="3">
        <v>45723.0</v>
      </c>
      <c r="B7159" s="4">
        <v>0.3263888888888889</v>
      </c>
      <c r="C7159" s="5" t="s">
        <v>50</v>
      </c>
      <c r="D7159" s="5" t="s">
        <v>1206</v>
      </c>
      <c r="E7159" s="6" t="s">
        <v>227</v>
      </c>
      <c r="F7159" s="5" t="s">
        <v>228</v>
      </c>
      <c r="G7159" s="6" t="str">
        <f>VLOOKUP(E7159,dicionario!$A$1:$C7558,2,0)</f>
        <v>Indigofera hirsuta</v>
      </c>
      <c r="H7159" s="6" t="str">
        <f>VLOOKUP(E7159,dicionario!$A$1:$C7558,3,0)</f>
        <v>anileira</v>
      </c>
    </row>
    <row r="7160">
      <c r="A7160" s="3">
        <v>45723.0</v>
      </c>
      <c r="B7160" s="4">
        <v>0.3263888888888889</v>
      </c>
      <c r="C7160" s="5" t="s">
        <v>50</v>
      </c>
      <c r="D7160" s="5" t="s">
        <v>1206</v>
      </c>
      <c r="E7160" s="8" t="s">
        <v>55</v>
      </c>
      <c r="F7160" s="5" t="s">
        <v>56</v>
      </c>
      <c r="G7160" s="6" t="str">
        <f>VLOOKUP(E7160,dicionario!$A$1:$C7559,2,0)</f>
        <v>Cubaris murina</v>
      </c>
      <c r="H7160" s="6" t="str">
        <f>VLOOKUP(E7160,dicionario!$A$1:$C7559,3,0)</f>
        <v>tatuzinho-de-jardim</v>
      </c>
    </row>
    <row r="7161">
      <c r="A7161" s="3">
        <v>45723.0</v>
      </c>
      <c r="B7161" s="4">
        <v>0.3263888888888889</v>
      </c>
      <c r="C7161" s="5" t="s">
        <v>50</v>
      </c>
      <c r="D7161" s="5" t="s">
        <v>1206</v>
      </c>
      <c r="E7161" s="8" t="s">
        <v>57</v>
      </c>
      <c r="F7161" s="5" t="s">
        <v>559</v>
      </c>
      <c r="G7161" s="6" t="str">
        <f>VLOOKUP(E7161,dicionario!$A$1:$C7560,2,0)</f>
        <v>Juliformia</v>
      </c>
      <c r="H7161" s="6" t="str">
        <f>VLOOKUP(E7161,dicionario!$A$1:$C7560,3,0)</f>
        <v>gongolo; maria-café</v>
      </c>
    </row>
    <row r="7162">
      <c r="A7162" s="3">
        <v>45723.0</v>
      </c>
      <c r="B7162" s="4">
        <v>0.32708333333333334</v>
      </c>
      <c r="C7162" s="5" t="s">
        <v>50</v>
      </c>
      <c r="D7162" s="5" t="s">
        <v>1206</v>
      </c>
      <c r="E7162" s="8" t="s">
        <v>851</v>
      </c>
      <c r="F7162" s="5" t="s">
        <v>418</v>
      </c>
      <c r="G7162" s="6" t="str">
        <f>VLOOKUP(E7162,dicionario!$A$1:$C7561,2,0)</f>
        <v>#N/A</v>
      </c>
      <c r="H7162" s="6" t="str">
        <f>VLOOKUP(E7162,dicionario!$A$1:$C7561,3,0)</f>
        <v>#N/A</v>
      </c>
    </row>
    <row r="7163">
      <c r="A7163" s="3">
        <v>45723.0</v>
      </c>
      <c r="B7163" s="4">
        <v>0.3277777777777778</v>
      </c>
      <c r="C7163" s="5" t="s">
        <v>50</v>
      </c>
      <c r="D7163" s="5" t="s">
        <v>1206</v>
      </c>
      <c r="E7163" s="8" t="s">
        <v>195</v>
      </c>
      <c r="F7163" s="5" t="s">
        <v>196</v>
      </c>
      <c r="G7163" s="6" t="str">
        <f>VLOOKUP(E7163,dicionario!$A$1:$C7562,2,0)</f>
        <v>Priva lappulacea</v>
      </c>
      <c r="H7163" s="6" t="str">
        <f>VLOOKUP(E7163,dicionario!$A$1:$C7562,3,0)</f>
        <v>carrapicho</v>
      </c>
    </row>
    <row r="7164">
      <c r="A7164" s="3">
        <v>45723.0</v>
      </c>
      <c r="B7164" s="4">
        <v>0.3277777777777778</v>
      </c>
      <c r="C7164" s="5" t="s">
        <v>50</v>
      </c>
      <c r="D7164" s="5" t="s">
        <v>1206</v>
      </c>
      <c r="E7164" s="8" t="s">
        <v>298</v>
      </c>
      <c r="F7164" s="5" t="s">
        <v>299</v>
      </c>
      <c r="G7164" s="6" t="str">
        <f>VLOOKUP(E7164,dicionario!$A$1:$C7563,2,0)</f>
        <v>Alysicarpus vaginalis</v>
      </c>
      <c r="H7164" s="6" t="str">
        <f>VLOOKUP(E7164,dicionario!$A$1:$C7563,3,0)</f>
        <v/>
      </c>
    </row>
    <row r="7165">
      <c r="A7165" s="3">
        <v>45723.0</v>
      </c>
      <c r="B7165" s="4">
        <v>0.3277777777777778</v>
      </c>
      <c r="C7165" s="5" t="s">
        <v>50</v>
      </c>
      <c r="D7165" s="5" t="s">
        <v>1206</v>
      </c>
      <c r="E7165" s="8" t="s">
        <v>381</v>
      </c>
      <c r="F7165" s="5" t="s">
        <v>382</v>
      </c>
      <c r="G7165" s="6" t="str">
        <f>VLOOKUP(E7165,dicionario!$A$1:$C7564,2,0)</f>
        <v>Pseudomyrmex</v>
      </c>
      <c r="H7165" s="6" t="str">
        <f>VLOOKUP(E7165,dicionario!$A$1:$C7564,3,0)</f>
        <v>maria-magra</v>
      </c>
    </row>
    <row r="7166">
      <c r="A7166" s="3">
        <v>45723.0</v>
      </c>
      <c r="B7166" s="4">
        <v>0.3277777777777778</v>
      </c>
      <c r="C7166" s="5" t="s">
        <v>50</v>
      </c>
      <c r="D7166" s="5" t="s">
        <v>1206</v>
      </c>
      <c r="E7166" s="8" t="s">
        <v>105</v>
      </c>
      <c r="F7166" s="5" t="s">
        <v>106</v>
      </c>
      <c r="G7166" s="6" t="str">
        <f>VLOOKUP(E7166,dicionario!$A$1:$C7565,2,0)</f>
        <v>Progne tapera</v>
      </c>
      <c r="H7166" s="6" t="str">
        <f>VLOOKUP(E7166,dicionario!$A$1:$C7565,3,0)</f>
        <v>andorinha-do-campo</v>
      </c>
    </row>
    <row r="7167">
      <c r="A7167" s="3">
        <v>45723.0</v>
      </c>
      <c r="B7167" s="4">
        <v>0.3277777777777778</v>
      </c>
      <c r="C7167" s="5" t="s">
        <v>50</v>
      </c>
      <c r="D7167" s="5" t="s">
        <v>1206</v>
      </c>
      <c r="E7167" s="8" t="s">
        <v>503</v>
      </c>
      <c r="F7167" s="5" t="s">
        <v>414</v>
      </c>
      <c r="G7167" s="6" t="str">
        <f>VLOOKUP(E7167,dicionario!$A$1:$C7566,2,0)</f>
        <v>Orphulella punctata</v>
      </c>
      <c r="H7167" s="6" t="str">
        <f>VLOOKUP(E7167,dicionario!$A$1:$C7566,3,0)</f>
        <v>gafanhotinho</v>
      </c>
    </row>
    <row r="7168">
      <c r="A7168" s="3">
        <v>45723.0</v>
      </c>
      <c r="B7168" s="4">
        <v>0.3284722222222222</v>
      </c>
      <c r="C7168" s="5" t="s">
        <v>50</v>
      </c>
      <c r="D7168" s="5" t="s">
        <v>1206</v>
      </c>
      <c r="E7168" s="8" t="s">
        <v>20</v>
      </c>
      <c r="F7168" s="7" t="s">
        <v>21</v>
      </c>
      <c r="G7168" s="6" t="str">
        <f>VLOOKUP(E7168,dicionario!$A$1:$C7567,2,0)</f>
        <v>Sicalis flaveola</v>
      </c>
      <c r="H7168" s="6" t="str">
        <f>VLOOKUP(E7168,dicionario!$A$1:$C7567,3,0)</f>
        <v>canário-da-terra</v>
      </c>
    </row>
    <row r="7169">
      <c r="A7169" s="3">
        <v>45723.0</v>
      </c>
      <c r="B7169" s="4">
        <v>0.3284722222222222</v>
      </c>
      <c r="C7169" s="5" t="s">
        <v>50</v>
      </c>
      <c r="D7169" s="5" t="s">
        <v>1206</v>
      </c>
      <c r="E7169" s="8" t="s">
        <v>251</v>
      </c>
      <c r="F7169" s="5" t="s">
        <v>252</v>
      </c>
      <c r="G7169" s="6" t="str">
        <f>VLOOKUP(E7169,dicionario!$A$1:$C7568,2,0)</f>
        <v>Struthanthus flexicaulis</v>
      </c>
      <c r="H7169" s="6" t="str">
        <f>VLOOKUP(E7169,dicionario!$A$1:$C7568,3,0)</f>
        <v>erva-de-passarinho</v>
      </c>
    </row>
    <row r="7170">
      <c r="A7170" s="3">
        <v>45723.0</v>
      </c>
      <c r="B7170" s="4">
        <v>0.3284722222222222</v>
      </c>
      <c r="C7170" s="5" t="s">
        <v>50</v>
      </c>
      <c r="D7170" s="5" t="s">
        <v>1206</v>
      </c>
      <c r="E7170" s="8" t="s">
        <v>109</v>
      </c>
      <c r="F7170" s="5" t="s">
        <v>110</v>
      </c>
      <c r="G7170" s="6" t="str">
        <f>VLOOKUP(E7170,dicionario!$A$1:$C7569,2,0)</f>
        <v>Tillandsia stricta</v>
      </c>
      <c r="H7170" s="6" t="str">
        <f>VLOOKUP(E7170,dicionario!$A$1:$C7569,3,0)</f>
        <v>cravo-do-mato</v>
      </c>
    </row>
    <row r="7171">
      <c r="A7171" s="3">
        <v>45723.0</v>
      </c>
      <c r="B7171" s="4">
        <v>0.3284722222222222</v>
      </c>
      <c r="C7171" s="5" t="s">
        <v>50</v>
      </c>
      <c r="D7171" s="5" t="s">
        <v>1206</v>
      </c>
      <c r="E7171" s="8" t="s">
        <v>223</v>
      </c>
      <c r="F7171" s="5" t="s">
        <v>224</v>
      </c>
      <c r="G7171" s="6" t="str">
        <f>VLOOKUP(E7171,dicionario!$A$1:$C7570,2,0)</f>
        <v>Rhipsalis lindbergiana</v>
      </c>
      <c r="H7171" s="6" t="str">
        <f>VLOOKUP(E7171,dicionario!$A$1:$C7570,3,0)</f>
        <v>cacto-macarrão</v>
      </c>
    </row>
    <row r="7172">
      <c r="A7172" s="3">
        <v>45723.0</v>
      </c>
      <c r="B7172" s="4">
        <v>0.32916666666666666</v>
      </c>
      <c r="C7172" s="5" t="s">
        <v>50</v>
      </c>
      <c r="D7172" s="5" t="s">
        <v>1206</v>
      </c>
      <c r="E7172" s="6" t="s">
        <v>93</v>
      </c>
      <c r="F7172" s="5" t="s">
        <v>570</v>
      </c>
      <c r="G7172" s="6" t="str">
        <f>VLOOKUP(E7172,dicionario!$A$1:$C7571,2,0)</f>
        <v>Thraupis sayaca</v>
      </c>
      <c r="H7172" s="6" t="str">
        <f>VLOOKUP(E7172,dicionario!$A$1:$C7571,3,0)</f>
        <v>sanhaçu-cinzento</v>
      </c>
    </row>
    <row r="7173">
      <c r="A7173" s="3">
        <v>45723.0</v>
      </c>
      <c r="B7173" s="4">
        <v>0.3298611111111111</v>
      </c>
      <c r="C7173" s="5" t="s">
        <v>50</v>
      </c>
      <c r="D7173" s="5" t="s">
        <v>1206</v>
      </c>
      <c r="E7173" s="8" t="s">
        <v>193</v>
      </c>
      <c r="F7173" s="5" t="s">
        <v>194</v>
      </c>
      <c r="G7173" s="6" t="str">
        <f>VLOOKUP(E7173,dicionario!$A$1:$C7572,2,0)</f>
        <v>Conirostrum speciosum</v>
      </c>
      <c r="H7173" s="6" t="str">
        <f>VLOOKUP(E7173,dicionario!$A$1:$C7572,3,0)</f>
        <v>figuinha-de-rabo-castanho</v>
      </c>
    </row>
    <row r="7174">
      <c r="A7174" s="3">
        <v>45723.0</v>
      </c>
      <c r="B7174" s="4">
        <v>0.33055555555555555</v>
      </c>
      <c r="C7174" s="5" t="s">
        <v>50</v>
      </c>
      <c r="D7174" s="5" t="s">
        <v>1206</v>
      </c>
      <c r="E7174" s="8" t="s">
        <v>1228</v>
      </c>
      <c r="F7174" s="5" t="s">
        <v>316</v>
      </c>
      <c r="G7174" s="6" t="str">
        <f>VLOOKUP(E7174,dicionario!$A$1:$C7573,2,0)</f>
        <v>#N/A</v>
      </c>
      <c r="H7174" s="6" t="str">
        <f>VLOOKUP(E7174,dicionario!$A$1:$C7573,3,0)</f>
        <v>#N/A</v>
      </c>
    </row>
    <row r="7175">
      <c r="A7175" s="3">
        <v>45723.0</v>
      </c>
      <c r="B7175" s="4">
        <v>0.33055555555555555</v>
      </c>
      <c r="C7175" s="5" t="s">
        <v>50</v>
      </c>
      <c r="D7175" s="5" t="s">
        <v>1206</v>
      </c>
      <c r="E7175" s="8" t="s">
        <v>181</v>
      </c>
      <c r="F7175" s="5" t="s">
        <v>182</v>
      </c>
      <c r="G7175" s="6" t="str">
        <f>VLOOKUP(E7175,dicionario!$A$1:$C7574,2,0)</f>
        <v>#N/A</v>
      </c>
      <c r="H7175" s="6" t="str">
        <f>VLOOKUP(E7175,dicionario!$A$1:$C7574,3,0)</f>
        <v>#N/A</v>
      </c>
    </row>
    <row r="7176">
      <c r="A7176" s="3">
        <v>45723.0</v>
      </c>
      <c r="B7176" s="4">
        <v>0.33055555555555555</v>
      </c>
      <c r="C7176" s="5" t="s">
        <v>50</v>
      </c>
      <c r="D7176" s="5" t="s">
        <v>1206</v>
      </c>
      <c r="E7176" s="8" t="s">
        <v>401</v>
      </c>
      <c r="F7176" s="5" t="s">
        <v>464</v>
      </c>
      <c r="G7176" s="6" t="str">
        <f>VLOOKUP(E7176,dicionario!$A$1:$C7575,2,0)</f>
        <v>Cissus verticillata</v>
      </c>
      <c r="H7176" s="6" t="str">
        <f>VLOOKUP(E7176,dicionario!$A$1:$C7575,3,0)</f>
        <v>uva-do-mato</v>
      </c>
    </row>
    <row r="7177">
      <c r="A7177" s="3">
        <v>45723.0</v>
      </c>
      <c r="B7177" s="4">
        <v>0.33055555555555555</v>
      </c>
      <c r="C7177" s="5" t="s">
        <v>50</v>
      </c>
      <c r="D7177" s="5" t="s">
        <v>1206</v>
      </c>
      <c r="E7177" s="8" t="s">
        <v>247</v>
      </c>
      <c r="F7177" s="7" t="s">
        <v>272</v>
      </c>
      <c r="G7177" s="6" t="str">
        <f>VLOOKUP(E7177,dicionario!$A$1:$C7576,2,0)</f>
        <v>Emilia sonchifolia</v>
      </c>
      <c r="H7177" s="6" t="str">
        <f>VLOOKUP(E7177,dicionario!$A$1:$C7576,3,0)</f>
        <v>serralinha</v>
      </c>
    </row>
    <row r="7178">
      <c r="A7178" s="3">
        <v>45723.0</v>
      </c>
      <c r="B7178" s="4">
        <v>0.33055555555555555</v>
      </c>
      <c r="C7178" s="5" t="s">
        <v>50</v>
      </c>
      <c r="D7178" s="5" t="s">
        <v>1206</v>
      </c>
      <c r="E7178" s="8" t="s">
        <v>579</v>
      </c>
      <c r="F7178" s="5" t="s">
        <v>580</v>
      </c>
      <c r="G7178" s="6" t="str">
        <f>VLOOKUP(E7178,dicionario!$A$1:$C7577,2,0)</f>
        <v>Piper tuberculatum</v>
      </c>
      <c r="H7178" s="6" t="str">
        <f>VLOOKUP(E7178,dicionario!$A$1:$C7577,3,0)</f>
        <v/>
      </c>
    </row>
    <row r="7179">
      <c r="A7179" s="3">
        <v>45723.0</v>
      </c>
      <c r="B7179" s="4">
        <v>0.33194444444444443</v>
      </c>
      <c r="C7179" s="5" t="s">
        <v>50</v>
      </c>
      <c r="D7179" s="5" t="s">
        <v>1206</v>
      </c>
      <c r="E7179" s="8" t="s">
        <v>821</v>
      </c>
      <c r="F7179" s="5" t="s">
        <v>876</v>
      </c>
      <c r="G7179" s="6" t="str">
        <f>VLOOKUP(E7179,dicionario!$A$1:$C7578,2,0)</f>
        <v>Schefflera actinophylla</v>
      </c>
      <c r="H7179" s="6" t="str">
        <f>VLOOKUP(E7179,dicionario!$A$1:$C7578,3,0)</f>
        <v>árvore-guarda-chuva</v>
      </c>
    </row>
    <row r="7180">
      <c r="A7180" s="3">
        <v>45723.0</v>
      </c>
      <c r="B7180" s="4">
        <v>0.3375</v>
      </c>
      <c r="C7180" s="5" t="s">
        <v>40</v>
      </c>
      <c r="D7180" s="5" t="s">
        <v>1206</v>
      </c>
      <c r="E7180" s="8" t="s">
        <v>154</v>
      </c>
      <c r="F7180" s="5" t="s">
        <v>155</v>
      </c>
      <c r="G7180" s="6" t="str">
        <f>VLOOKUP(E7180,dicionario!$A$1:$C7579,2,0)</f>
        <v>Cyperus rotundus</v>
      </c>
      <c r="H7180" s="6" t="str">
        <f>VLOOKUP(E7180,dicionario!$A$1:$C7579,3,0)</f>
        <v>tiririca</v>
      </c>
    </row>
    <row r="7181">
      <c r="A7181" s="3">
        <v>45723.0</v>
      </c>
      <c r="B7181" s="4">
        <v>0.3375</v>
      </c>
      <c r="C7181" s="5" t="s">
        <v>40</v>
      </c>
      <c r="D7181" s="5" t="s">
        <v>1206</v>
      </c>
      <c r="E7181" s="8" t="s">
        <v>53</v>
      </c>
      <c r="F7181" s="7" t="s">
        <v>54</v>
      </c>
      <c r="G7181" s="6" t="str">
        <f>VLOOKUP(E7181,dicionario!$A$1:$C7580,2,0)</f>
        <v>Turnera subulata</v>
      </c>
      <c r="H7181" s="6" t="str">
        <f>VLOOKUP(E7181,dicionario!$A$1:$C7580,3,0)</f>
        <v>xanana</v>
      </c>
    </row>
    <row r="7182">
      <c r="A7182" s="3">
        <v>45723.0</v>
      </c>
      <c r="B7182" s="4">
        <v>0.3375</v>
      </c>
      <c r="C7182" s="5" t="s">
        <v>40</v>
      </c>
      <c r="D7182" s="5" t="s">
        <v>1206</v>
      </c>
      <c r="E7182" s="8" t="s">
        <v>736</v>
      </c>
      <c r="F7182" s="5" t="s">
        <v>737</v>
      </c>
      <c r="G7182" s="6" t="str">
        <f>VLOOKUP(E7182,dicionario!$A$1:$C7581,2,0)</f>
        <v>Chloris virgata</v>
      </c>
      <c r="H7182" s="6" t="str">
        <f>VLOOKUP(E7182,dicionario!$A$1:$C7581,3,0)</f>
        <v>capim-pavão</v>
      </c>
    </row>
    <row r="7183">
      <c r="A7183" s="3">
        <v>45723.0</v>
      </c>
      <c r="B7183" s="4">
        <v>0.3375</v>
      </c>
      <c r="C7183" s="5" t="s">
        <v>40</v>
      </c>
      <c r="D7183" s="5" t="s">
        <v>1206</v>
      </c>
      <c r="E7183" s="8" t="s">
        <v>150</v>
      </c>
      <c r="F7183" s="5" t="s">
        <v>151</v>
      </c>
      <c r="G7183" s="6" t="str">
        <f>VLOOKUP(E7183,dicionario!$A$1:$C7582,2,0)</f>
        <v>Amaranthus viridis</v>
      </c>
      <c r="H7183" s="6" t="str">
        <f>VLOOKUP(E7183,dicionario!$A$1:$C7582,3,0)</f>
        <v>caruru-de-mancha</v>
      </c>
    </row>
    <row r="7184">
      <c r="A7184" s="3">
        <v>45723.0</v>
      </c>
      <c r="B7184" s="4">
        <v>0.3375</v>
      </c>
      <c r="C7184" s="5" t="s">
        <v>40</v>
      </c>
      <c r="D7184" s="5" t="s">
        <v>1206</v>
      </c>
      <c r="E7184" s="8" t="s">
        <v>69</v>
      </c>
      <c r="F7184" s="7" t="s">
        <v>71</v>
      </c>
      <c r="G7184" s="6" t="str">
        <f>VLOOKUP(E7184,dicionario!$A$1:$C7583,2,0)</f>
        <v>Talinum fruticosum</v>
      </c>
      <c r="H7184" s="6" t="str">
        <f>VLOOKUP(E7184,dicionario!$A$1:$C7583,3,0)</f>
        <v>beldroega-grande</v>
      </c>
    </row>
    <row r="7185">
      <c r="A7185" s="3">
        <v>45723.0</v>
      </c>
      <c r="B7185" s="4">
        <v>0.33819444444444446</v>
      </c>
      <c r="C7185" s="5" t="s">
        <v>40</v>
      </c>
      <c r="D7185" s="5" t="s">
        <v>1206</v>
      </c>
      <c r="E7185" s="8" t="s">
        <v>886</v>
      </c>
      <c r="F7185" s="5" t="s">
        <v>887</v>
      </c>
      <c r="G7185" s="6" t="str">
        <f>VLOOKUP(E7185,dicionario!$A$1:$C7584,2,0)</f>
        <v>Oldenlandia corymbosa</v>
      </c>
      <c r="H7185" s="6" t="str">
        <f>VLOOKUP(E7185,dicionario!$A$1:$C7584,3,0)</f>
        <v>erva-diamante</v>
      </c>
    </row>
    <row r="7186">
      <c r="A7186" s="3">
        <v>45723.0</v>
      </c>
      <c r="B7186" s="4">
        <v>0.33819444444444446</v>
      </c>
      <c r="C7186" s="5" t="s">
        <v>40</v>
      </c>
      <c r="D7186" s="5" t="s">
        <v>1206</v>
      </c>
      <c r="E7186" s="8" t="s">
        <v>247</v>
      </c>
      <c r="F7186" s="7" t="s">
        <v>272</v>
      </c>
      <c r="G7186" s="6" t="str">
        <f>VLOOKUP(E7186,dicionario!$A$1:$C7585,2,0)</f>
        <v>Emilia sonchifolia</v>
      </c>
      <c r="H7186" s="6" t="str">
        <f>VLOOKUP(E7186,dicionario!$A$1:$C7585,3,0)</f>
        <v>serralinha</v>
      </c>
    </row>
    <row r="7187">
      <c r="A7187" s="3">
        <v>45723.0</v>
      </c>
      <c r="B7187" s="4">
        <v>0.33819444444444446</v>
      </c>
      <c r="C7187" s="5" t="s">
        <v>40</v>
      </c>
      <c r="D7187" s="5" t="s">
        <v>1206</v>
      </c>
      <c r="E7187" s="8" t="s">
        <v>483</v>
      </c>
      <c r="F7187" s="5" t="s">
        <v>484</v>
      </c>
      <c r="G7187" s="6" t="str">
        <f>VLOOKUP(E7187,dicionario!$A$1:$C7586,2,0)</f>
        <v>Euphorbia prostrata</v>
      </c>
      <c r="H7187" s="6" t="str">
        <f>VLOOKUP(E7187,dicionario!$A$1:$C7586,3,0)</f>
        <v>quebra-pedra-rasteira</v>
      </c>
    </row>
    <row r="7188">
      <c r="A7188" s="3">
        <v>45723.0</v>
      </c>
      <c r="B7188" s="4">
        <v>0.33819444444444446</v>
      </c>
      <c r="C7188" s="5" t="s">
        <v>40</v>
      </c>
      <c r="D7188" s="5" t="s">
        <v>1206</v>
      </c>
      <c r="E7188" s="6" t="s">
        <v>399</v>
      </c>
      <c r="F7188" s="5" t="s">
        <v>400</v>
      </c>
      <c r="G7188" s="6" t="str">
        <f>VLOOKUP(E7188,dicionario!$A$1:$C7587,2,0)</f>
        <v>Varronia curassavica</v>
      </c>
      <c r="H7188" s="6" t="str">
        <f>VLOOKUP(E7188,dicionario!$A$1:$C7587,3,0)</f>
        <v>erva-baleeira</v>
      </c>
    </row>
    <row r="7189">
      <c r="A7189" s="3">
        <v>45723.0</v>
      </c>
      <c r="B7189" s="4">
        <v>0.33819444444444446</v>
      </c>
      <c r="C7189" s="5" t="s">
        <v>40</v>
      </c>
      <c r="D7189" s="5" t="s">
        <v>1206</v>
      </c>
      <c r="E7189" s="8" t="s">
        <v>286</v>
      </c>
      <c r="F7189" s="5" t="s">
        <v>287</v>
      </c>
      <c r="G7189" s="6" t="str">
        <f>VLOOKUP(E7189,dicionario!$A$1:$C7588,2,0)</f>
        <v>Setaria parviflora</v>
      </c>
      <c r="H7189" s="6" t="str">
        <f>VLOOKUP(E7189,dicionario!$A$1:$C7588,3,0)</f>
        <v>capim-rabo-de-raposa</v>
      </c>
    </row>
    <row r="7190">
      <c r="A7190" s="3">
        <v>45723.0</v>
      </c>
      <c r="B7190" s="4">
        <v>0.33819444444444446</v>
      </c>
      <c r="C7190" s="5" t="s">
        <v>40</v>
      </c>
      <c r="D7190" s="5" t="s">
        <v>1206</v>
      </c>
      <c r="E7190" s="8" t="s">
        <v>381</v>
      </c>
      <c r="F7190" s="5" t="s">
        <v>382</v>
      </c>
      <c r="G7190" s="6" t="str">
        <f>VLOOKUP(E7190,dicionario!$A$1:$C7589,2,0)</f>
        <v>Pseudomyrmex</v>
      </c>
      <c r="H7190" s="6" t="str">
        <f>VLOOKUP(E7190,dicionario!$A$1:$C7589,3,0)</f>
        <v>maria-magra</v>
      </c>
    </row>
    <row r="7191">
      <c r="A7191" s="3">
        <v>45723.0</v>
      </c>
      <c r="B7191" s="4">
        <v>0.33819444444444446</v>
      </c>
      <c r="C7191" s="5" t="s">
        <v>40</v>
      </c>
      <c r="D7191" s="5" t="s">
        <v>1206</v>
      </c>
      <c r="E7191" s="8" t="s">
        <v>181</v>
      </c>
      <c r="F7191" s="5" t="s">
        <v>182</v>
      </c>
      <c r="G7191" s="6" t="str">
        <f>VLOOKUP(E7191,dicionario!$A$1:$C7590,2,0)</f>
        <v>#N/A</v>
      </c>
      <c r="H7191" s="6" t="str">
        <f>VLOOKUP(E7191,dicionario!$A$1:$C7590,3,0)</f>
        <v>#N/A</v>
      </c>
    </row>
    <row r="7192">
      <c r="A7192" s="3">
        <v>45723.0</v>
      </c>
      <c r="B7192" s="4">
        <v>0.3388888888888889</v>
      </c>
      <c r="C7192" s="5" t="s">
        <v>40</v>
      </c>
      <c r="D7192" s="5" t="s">
        <v>1206</v>
      </c>
      <c r="E7192" s="8" t="s">
        <v>401</v>
      </c>
      <c r="F7192" s="5" t="s">
        <v>464</v>
      </c>
      <c r="G7192" s="6" t="str">
        <f>VLOOKUP(E7192,dicionario!$A$1:$C7591,2,0)</f>
        <v>Cissus verticillata</v>
      </c>
      <c r="H7192" s="6" t="str">
        <f>VLOOKUP(E7192,dicionario!$A$1:$C7591,3,0)</f>
        <v>uva-do-mato</v>
      </c>
    </row>
    <row r="7193">
      <c r="A7193" s="3">
        <v>45723.0</v>
      </c>
      <c r="B7193" s="4">
        <v>0.3388888888888889</v>
      </c>
      <c r="C7193" s="5" t="s">
        <v>40</v>
      </c>
      <c r="D7193" s="5" t="s">
        <v>1206</v>
      </c>
      <c r="E7193" s="8" t="s">
        <v>338</v>
      </c>
      <c r="F7193" s="5" t="s">
        <v>238</v>
      </c>
      <c r="G7193" s="6" t="str">
        <f>VLOOKUP(E7193,dicionario!$A$1:$C7592,2,0)</f>
        <v>Atta</v>
      </c>
      <c r="H7193" s="6" t="str">
        <f>VLOOKUP(E7193,dicionario!$A$1:$C7592,3,0)</f>
        <v>saúva</v>
      </c>
    </row>
    <row r="7194">
      <c r="A7194" s="3">
        <v>45723.0</v>
      </c>
      <c r="B7194" s="4">
        <v>0.3402777777777778</v>
      </c>
      <c r="C7194" s="5" t="s">
        <v>40</v>
      </c>
      <c r="D7194" s="5" t="s">
        <v>1206</v>
      </c>
      <c r="E7194" s="6" t="s">
        <v>467</v>
      </c>
      <c r="F7194" s="5" t="s">
        <v>468</v>
      </c>
      <c r="G7194" s="6" t="str">
        <f>VLOOKUP(E7194,dicionario!$A$1:$C7593,2,0)</f>
        <v>Eleusine indica</v>
      </c>
      <c r="H7194" s="6" t="str">
        <f>VLOOKUP(E7194,dicionario!$A$1:$C7593,3,0)</f>
        <v>capim-pé-de-galinha</v>
      </c>
    </row>
    <row r="7195">
      <c r="A7195" s="3">
        <v>45723.0</v>
      </c>
      <c r="B7195" s="4">
        <v>0.3402777777777778</v>
      </c>
      <c r="C7195" s="5" t="s">
        <v>40</v>
      </c>
      <c r="D7195" s="5" t="s">
        <v>1206</v>
      </c>
      <c r="E7195" s="8" t="s">
        <v>1229</v>
      </c>
      <c r="F7195" s="5" t="s">
        <v>881</v>
      </c>
      <c r="G7195" s="6" t="str">
        <f>VLOOKUP(E7195,dicionario!$A$1:$C7594,2,0)</f>
        <v>#N/A</v>
      </c>
      <c r="H7195" s="6" t="str">
        <f>VLOOKUP(E7195,dicionario!$A$1:$C7594,3,0)</f>
        <v>#N/A</v>
      </c>
    </row>
    <row r="7196">
      <c r="A7196" s="3">
        <v>45723.0</v>
      </c>
      <c r="B7196" s="4">
        <v>0.34097222222222223</v>
      </c>
      <c r="C7196" s="5" t="s">
        <v>40</v>
      </c>
      <c r="D7196" s="5" t="s">
        <v>1206</v>
      </c>
      <c r="E7196" s="8" t="s">
        <v>20</v>
      </c>
      <c r="F7196" s="7" t="s">
        <v>21</v>
      </c>
      <c r="G7196" s="6" t="str">
        <f>VLOOKUP(E7196,dicionario!$A$1:$C7595,2,0)</f>
        <v>Sicalis flaveola</v>
      </c>
      <c r="H7196" s="6" t="str">
        <f>VLOOKUP(E7196,dicionario!$A$1:$C7595,3,0)</f>
        <v>canário-da-terra</v>
      </c>
    </row>
    <row r="7197">
      <c r="A7197" s="3">
        <v>45723.0</v>
      </c>
      <c r="B7197" s="4">
        <v>0.34097222222222223</v>
      </c>
      <c r="C7197" s="5" t="s">
        <v>40</v>
      </c>
      <c r="D7197" s="5" t="s">
        <v>1206</v>
      </c>
      <c r="E7197" s="8" t="s">
        <v>38</v>
      </c>
      <c r="F7197" s="5" t="s">
        <v>39</v>
      </c>
      <c r="G7197" s="6" t="str">
        <f>VLOOKUP(E7197,dicionario!$A$1:$C7596,2,0)</f>
        <v>Troglodytes musculus</v>
      </c>
      <c r="H7197" s="6" t="str">
        <f>VLOOKUP(E7197,dicionario!$A$1:$C7596,3,0)</f>
        <v>curruíra</v>
      </c>
    </row>
    <row r="7198">
      <c r="A7198" s="3">
        <v>45723.0</v>
      </c>
      <c r="B7198" s="4">
        <v>0.34097222222222223</v>
      </c>
      <c r="C7198" s="5" t="s">
        <v>40</v>
      </c>
      <c r="D7198" s="5" t="s">
        <v>1206</v>
      </c>
      <c r="E7198" s="8" t="s">
        <v>296</v>
      </c>
      <c r="F7198" s="5" t="s">
        <v>297</v>
      </c>
      <c r="G7198" s="6" t="str">
        <f>VLOOKUP(E7198,dicionario!$A$1:$C7597,2,0)</f>
        <v>Richardia brasiliensis</v>
      </c>
      <c r="H7198" s="6" t="str">
        <f>VLOOKUP(E7198,dicionario!$A$1:$C7597,3,0)</f>
        <v>poaia-branca</v>
      </c>
    </row>
    <row r="7199">
      <c r="A7199" s="3">
        <v>45723.0</v>
      </c>
      <c r="B7199" s="4">
        <v>0.34097222222222223</v>
      </c>
      <c r="C7199" s="5" t="s">
        <v>40</v>
      </c>
      <c r="D7199" s="5" t="s">
        <v>1206</v>
      </c>
      <c r="E7199" s="8" t="s">
        <v>1087</v>
      </c>
      <c r="F7199" s="5" t="s">
        <v>1088</v>
      </c>
      <c r="G7199" s="6" t="str">
        <f>VLOOKUP(E7199,dicionario!$A$1:$C7598,2,0)</f>
        <v>Desmodium triflorum</v>
      </c>
      <c r="H7199" s="6" t="str">
        <f>VLOOKUP(E7199,dicionario!$A$1:$C7598,3,0)</f>
        <v/>
      </c>
    </row>
    <row r="7200">
      <c r="A7200" s="3">
        <v>45723.0</v>
      </c>
      <c r="B7200" s="4">
        <v>0.34097222222222223</v>
      </c>
      <c r="C7200" s="5" t="s">
        <v>40</v>
      </c>
      <c r="D7200" s="5" t="s">
        <v>1206</v>
      </c>
      <c r="E7200" s="6" t="s">
        <v>247</v>
      </c>
      <c r="F7200" s="5" t="s">
        <v>248</v>
      </c>
      <c r="G7200" s="6" t="str">
        <f>VLOOKUP(E7200,dicionario!$A$1:$C7599,2,0)</f>
        <v>Emilia sonchifolia</v>
      </c>
      <c r="H7200" s="6" t="str">
        <f>VLOOKUP(E7200,dicionario!$A$1:$C7599,3,0)</f>
        <v>serralinha</v>
      </c>
    </row>
    <row r="7201">
      <c r="A7201" s="3">
        <v>45723.0</v>
      </c>
      <c r="B7201" s="4">
        <v>0.34097222222222223</v>
      </c>
      <c r="C7201" s="5" t="s">
        <v>40</v>
      </c>
      <c r="D7201" s="5" t="s">
        <v>1206</v>
      </c>
      <c r="E7201" s="8" t="s">
        <v>41</v>
      </c>
      <c r="F7201" s="5" t="s">
        <v>45</v>
      </c>
      <c r="G7201" s="6" t="str">
        <f>VLOOKUP(E7201,dicionario!$A$1:$C7600,2,0)</f>
        <v>Mimosa pudica</v>
      </c>
      <c r="H7201" s="6" t="str">
        <f>VLOOKUP(E7201,dicionario!$A$1:$C7600,3,0)</f>
        <v>dormideira</v>
      </c>
    </row>
    <row r="7202">
      <c r="A7202" s="3">
        <v>45723.0</v>
      </c>
      <c r="B7202" s="4">
        <v>0.34097222222222223</v>
      </c>
      <c r="C7202" s="5" t="s">
        <v>40</v>
      </c>
      <c r="D7202" s="5" t="s">
        <v>1206</v>
      </c>
      <c r="E7202" s="8" t="s">
        <v>732</v>
      </c>
      <c r="F7202" s="5" t="s">
        <v>1230</v>
      </c>
      <c r="G7202" s="6" t="str">
        <f>VLOOKUP(E7202,dicionario!$A$1:$C7601,2,0)</f>
        <v>#N/A</v>
      </c>
      <c r="H7202" s="6" t="str">
        <f>VLOOKUP(E7202,dicionario!$A$1:$C7601,3,0)</f>
        <v>#N/A</v>
      </c>
    </row>
    <row r="7203">
      <c r="A7203" s="3">
        <v>45723.0</v>
      </c>
      <c r="B7203" s="4">
        <v>0.34097222222222223</v>
      </c>
      <c r="C7203" s="5" t="s">
        <v>40</v>
      </c>
      <c r="D7203" s="5" t="s">
        <v>1206</v>
      </c>
      <c r="E7203" s="30" t="s">
        <v>1231</v>
      </c>
      <c r="F7203" s="61"/>
      <c r="G7203" s="6" t="str">
        <f>VLOOKUP(E7203,dicionario!$A$1:$C7602,2,0)</f>
        <v>#N/A</v>
      </c>
      <c r="H7203" s="6" t="str">
        <f>VLOOKUP(E7203,dicionario!$A$1:$C7602,3,0)</f>
        <v>#N/A</v>
      </c>
    </row>
    <row r="7204">
      <c r="A7204" s="3">
        <v>45723.0</v>
      </c>
      <c r="B7204" s="4">
        <v>0.3423611111111111</v>
      </c>
      <c r="C7204" s="5" t="s">
        <v>40</v>
      </c>
      <c r="D7204" s="5" t="s">
        <v>1206</v>
      </c>
      <c r="E7204" s="6" t="s">
        <v>113</v>
      </c>
      <c r="F7204" s="5" t="s">
        <v>114</v>
      </c>
      <c r="G7204" s="6" t="str">
        <f>VLOOKUP(E7204,dicionario!$A$1:$C7603,2,0)</f>
        <v>Columbina talpacoti</v>
      </c>
      <c r="H7204" s="6" t="str">
        <f>VLOOKUP(E7204,dicionario!$A$1:$C7603,3,0)</f>
        <v>rolinha-roxa</v>
      </c>
    </row>
    <row r="7205">
      <c r="A7205" s="3">
        <v>45723.0</v>
      </c>
      <c r="B7205" s="4">
        <v>0.3423611111111111</v>
      </c>
      <c r="C7205" s="5" t="s">
        <v>40</v>
      </c>
      <c r="D7205" s="5" t="s">
        <v>1206</v>
      </c>
      <c r="E7205" s="8" t="s">
        <v>65</v>
      </c>
      <c r="F7205" s="5" t="s">
        <v>66</v>
      </c>
      <c r="G7205" s="6" t="str">
        <f>VLOOKUP(E7205,dicionario!$A$1:$C7604,2,0)</f>
        <v>Pitangus sulphutarus</v>
      </c>
      <c r="H7205" s="6" t="str">
        <f>VLOOKUP(E7205,dicionario!$A$1:$C7604,3,0)</f>
        <v>bem-te-vi</v>
      </c>
    </row>
    <row r="7206">
      <c r="A7206" s="3">
        <v>45723.0</v>
      </c>
      <c r="B7206" s="4">
        <v>0.3423611111111111</v>
      </c>
      <c r="C7206" s="5" t="s">
        <v>40</v>
      </c>
      <c r="D7206" s="5" t="s">
        <v>1206</v>
      </c>
      <c r="E7206" s="8" t="s">
        <v>18</v>
      </c>
      <c r="F7206" s="5" t="s">
        <v>219</v>
      </c>
      <c r="G7206" s="6" t="str">
        <f>VLOOKUP(E7206,dicionario!$A$1:$C7605,2,0)</f>
        <v>Xylocopa frontalis</v>
      </c>
      <c r="H7206" s="6" t="str">
        <f>VLOOKUP(E7206,dicionario!$A$1:$C7605,3,0)</f>
        <v>Mamangava; mangangá; abelha-carpinteira</v>
      </c>
    </row>
    <row r="7207">
      <c r="A7207" s="3">
        <v>45723.0</v>
      </c>
      <c r="B7207" s="4">
        <v>0.3423611111111111</v>
      </c>
      <c r="C7207" s="5" t="s">
        <v>40</v>
      </c>
      <c r="D7207" s="5" t="s">
        <v>1206</v>
      </c>
      <c r="E7207" s="8" t="s">
        <v>215</v>
      </c>
      <c r="F7207" s="5" t="s">
        <v>216</v>
      </c>
      <c r="G7207" s="6" t="str">
        <f>VLOOKUP(E7207,dicionario!$A$1:$C7606,2,0)</f>
        <v>Pygochelidon cyanoleuca</v>
      </c>
      <c r="H7207" s="6" t="str">
        <f>VLOOKUP(E7207,dicionario!$A$1:$C7606,3,0)</f>
        <v>andorinha-pequena-de-casa</v>
      </c>
    </row>
    <row r="7208">
      <c r="A7208" s="3">
        <v>45723.0</v>
      </c>
      <c r="B7208" s="4">
        <v>0.34305555555555556</v>
      </c>
      <c r="C7208" s="5" t="s">
        <v>40</v>
      </c>
      <c r="D7208" s="5" t="s">
        <v>1206</v>
      </c>
      <c r="E7208" s="8" t="s">
        <v>584</v>
      </c>
      <c r="F7208" s="5" t="s">
        <v>1232</v>
      </c>
      <c r="G7208" s="6" t="str">
        <f>VLOOKUP(E7208,dicionario!$A$1:$C7607,2,0)</f>
        <v>Solanum</v>
      </c>
      <c r="H7208" s="6" t="str">
        <f>VLOOKUP(E7208,dicionario!$A$1:$C7607,3,0)</f>
        <v/>
      </c>
    </row>
    <row r="7209">
      <c r="A7209" s="3">
        <v>45723.0</v>
      </c>
      <c r="B7209" s="4">
        <v>0.34305555555555556</v>
      </c>
      <c r="C7209" s="5" t="s">
        <v>40</v>
      </c>
      <c r="D7209" s="5" t="s">
        <v>1206</v>
      </c>
      <c r="E7209" s="8" t="s">
        <v>195</v>
      </c>
      <c r="F7209" s="5" t="s">
        <v>196</v>
      </c>
      <c r="G7209" s="6" t="str">
        <f>VLOOKUP(E7209,dicionario!$A$1:$C7608,2,0)</f>
        <v>Priva lappulacea</v>
      </c>
      <c r="H7209" s="6" t="str">
        <f>VLOOKUP(E7209,dicionario!$A$1:$C7608,3,0)</f>
        <v>carrapicho</v>
      </c>
    </row>
    <row r="7210">
      <c r="A7210" s="3">
        <v>45723.0</v>
      </c>
      <c r="B7210" s="4">
        <v>0.34305555555555556</v>
      </c>
      <c r="C7210" s="5" t="s">
        <v>40</v>
      </c>
      <c r="D7210" s="5" t="s">
        <v>1206</v>
      </c>
      <c r="E7210" s="6" t="s">
        <v>471</v>
      </c>
      <c r="F7210" s="5" t="s">
        <v>472</v>
      </c>
      <c r="G7210" s="6" t="str">
        <f>VLOOKUP(E7210,dicionario!$A$1:$C7609,2,0)</f>
        <v>Sida acuta</v>
      </c>
      <c r="H7210" s="6" t="str">
        <f>VLOOKUP(E7210,dicionario!$A$1:$C7609,3,0)</f>
        <v>reloginho</v>
      </c>
    </row>
    <row r="7211">
      <c r="A7211" s="3">
        <v>45723.0</v>
      </c>
      <c r="B7211" s="4">
        <v>0.3458333333333333</v>
      </c>
      <c r="C7211" s="5" t="s">
        <v>33</v>
      </c>
      <c r="D7211" s="5" t="s">
        <v>1206</v>
      </c>
      <c r="E7211" s="8" t="s">
        <v>139</v>
      </c>
      <c r="F7211" s="5" t="s">
        <v>862</v>
      </c>
      <c r="G7211" s="6" t="str">
        <f>VLOOKUP(E7211,dicionario!$A$1:$C7610,2,0)</f>
        <v>Tropidurus torquatus</v>
      </c>
      <c r="H7211" s="6" t="str">
        <f>VLOOKUP(E7211,dicionario!$A$1:$C7610,3,0)</f>
        <v>calango; tropiduro-comum</v>
      </c>
    </row>
    <row r="7212">
      <c r="A7212" s="3">
        <v>45723.0</v>
      </c>
      <c r="B7212" s="4">
        <v>0.3458333333333333</v>
      </c>
      <c r="C7212" s="5" t="s">
        <v>33</v>
      </c>
      <c r="D7212" s="5" t="s">
        <v>1206</v>
      </c>
      <c r="E7212" s="8" t="s">
        <v>163</v>
      </c>
      <c r="F7212" s="5" t="s">
        <v>164</v>
      </c>
      <c r="G7212" s="6" t="str">
        <f>VLOOKUP(E7212,dicionario!$A$1:$C7611,2,0)</f>
        <v>Coragyps atratus</v>
      </c>
      <c r="H7212" s="6" t="str">
        <f>VLOOKUP(E7212,dicionario!$A$1:$C7611,3,0)</f>
        <v>urubu-de-cabeça-preta</v>
      </c>
    </row>
    <row r="7213">
      <c r="A7213" s="3">
        <v>45723.0</v>
      </c>
      <c r="B7213" s="4">
        <v>0.3458333333333333</v>
      </c>
      <c r="C7213" s="5" t="s">
        <v>33</v>
      </c>
      <c r="D7213" s="5" t="s">
        <v>1206</v>
      </c>
      <c r="E7213" s="8" t="s">
        <v>53</v>
      </c>
      <c r="F7213" s="7" t="s">
        <v>54</v>
      </c>
      <c r="G7213" s="6" t="str">
        <f>VLOOKUP(E7213,dicionario!$A$1:$C7612,2,0)</f>
        <v>Turnera subulata</v>
      </c>
      <c r="H7213" s="6" t="str">
        <f>VLOOKUP(E7213,dicionario!$A$1:$C7612,3,0)</f>
        <v>xanana</v>
      </c>
    </row>
    <row r="7214">
      <c r="A7214" s="3">
        <v>45723.0</v>
      </c>
      <c r="B7214" s="4">
        <v>0.3458333333333333</v>
      </c>
      <c r="C7214" s="5" t="s">
        <v>33</v>
      </c>
      <c r="D7214" s="5" t="s">
        <v>1206</v>
      </c>
      <c r="E7214" s="8" t="s">
        <v>162</v>
      </c>
      <c r="F7214" s="7" t="s">
        <v>42</v>
      </c>
      <c r="G7214" s="6" t="str">
        <f>VLOOKUP(E7214,dicionario!$A$1:$C7613,2,0)</f>
        <v>Fluvicola nengeta</v>
      </c>
      <c r="H7214" s="6" t="str">
        <f>VLOOKUP(E7214,dicionario!$A$1:$C7613,3,0)</f>
        <v>lavadeira-mascarada</v>
      </c>
    </row>
    <row r="7215">
      <c r="A7215" s="3">
        <v>45723.0</v>
      </c>
      <c r="B7215" s="4">
        <v>0.3458333333333333</v>
      </c>
      <c r="C7215" s="5" t="s">
        <v>33</v>
      </c>
      <c r="D7215" s="5" t="s">
        <v>1206</v>
      </c>
      <c r="E7215" s="8" t="s">
        <v>1155</v>
      </c>
      <c r="F7215" s="5" t="s">
        <v>1156</v>
      </c>
      <c r="G7215" s="6" t="str">
        <f>VLOOKUP(E7215,dicionario!$A$1:$C7614,2,0)</f>
        <v>#N/A</v>
      </c>
      <c r="H7215" s="6" t="str">
        <f>VLOOKUP(E7215,dicionario!$A$1:$C7614,3,0)</f>
        <v>#N/A</v>
      </c>
    </row>
    <row r="7216">
      <c r="A7216" s="3">
        <v>45723.0</v>
      </c>
      <c r="B7216" s="4">
        <v>0.3458333333333333</v>
      </c>
      <c r="C7216" s="5" t="s">
        <v>33</v>
      </c>
      <c r="D7216" s="5" t="s">
        <v>1206</v>
      </c>
      <c r="E7216" s="20" t="s">
        <v>676</v>
      </c>
      <c r="F7216" s="7" t="s">
        <v>677</v>
      </c>
      <c r="G7216" s="6" t="str">
        <f>VLOOKUP(E7216,dicionario!$A$1:$C7615,2,0)</f>
        <v>Zornia latifolia</v>
      </c>
      <c r="H7216" s="6" t="str">
        <f>VLOOKUP(E7216,dicionario!$A$1:$C7615,3,0)</f>
        <v>arrozinho-do-campo</v>
      </c>
    </row>
    <row r="7217">
      <c r="A7217" s="3">
        <v>45723.0</v>
      </c>
      <c r="B7217" s="4">
        <v>0.3486111111111111</v>
      </c>
      <c r="C7217" s="5" t="s">
        <v>33</v>
      </c>
      <c r="D7217" s="5" t="s">
        <v>1206</v>
      </c>
      <c r="E7217" s="8" t="s">
        <v>302</v>
      </c>
      <c r="F7217" s="5" t="s">
        <v>89</v>
      </c>
      <c r="G7217" s="6" t="str">
        <f>VLOOKUP(E7217,dicionario!$A$1:$C7616,2,0)</f>
        <v>Machetornis rixosa</v>
      </c>
      <c r="H7217" s="6" t="str">
        <f>VLOOKUP(E7217,dicionario!$A$1:$C7616,3,0)</f>
        <v>suiriri-cavaleiro</v>
      </c>
    </row>
    <row r="7218">
      <c r="A7218" s="3">
        <v>45723.0</v>
      </c>
      <c r="B7218" s="4">
        <v>0.3486111111111111</v>
      </c>
      <c r="C7218" s="5" t="s">
        <v>33</v>
      </c>
      <c r="D7218" s="5" t="s">
        <v>1206</v>
      </c>
      <c r="E7218" s="8" t="s">
        <v>122</v>
      </c>
      <c r="F7218" s="7" t="s">
        <v>123</v>
      </c>
      <c r="G7218" s="6" t="str">
        <f>VLOOKUP(E7218,dicionario!$A$1:$C7617,2,0)</f>
        <v>Todirostrum cinereum</v>
      </c>
      <c r="H7218" s="6" t="str">
        <f>VLOOKUP(E7218,dicionario!$A$1:$C7617,3,0)</f>
        <v>ferreirinho-relógio</v>
      </c>
    </row>
    <row r="7219">
      <c r="A7219" s="3">
        <v>45723.0</v>
      </c>
      <c r="B7219" s="4">
        <v>0.3486111111111111</v>
      </c>
      <c r="C7219" s="5" t="s">
        <v>33</v>
      </c>
      <c r="D7219" s="5" t="s">
        <v>1206</v>
      </c>
      <c r="E7219" s="8" t="s">
        <v>109</v>
      </c>
      <c r="F7219" s="5" t="s">
        <v>110</v>
      </c>
      <c r="G7219" s="6" t="str">
        <f>VLOOKUP(E7219,dicionario!$A$1:$C7618,2,0)</f>
        <v>Tillandsia stricta</v>
      </c>
      <c r="H7219" s="6" t="str">
        <f>VLOOKUP(E7219,dicionario!$A$1:$C7618,3,0)</f>
        <v>cravo-do-mato</v>
      </c>
    </row>
    <row r="7220">
      <c r="A7220" s="3">
        <v>45723.0</v>
      </c>
      <c r="B7220" s="4">
        <v>0.3506944444444444</v>
      </c>
      <c r="C7220" s="5" t="s">
        <v>33</v>
      </c>
      <c r="D7220" s="5" t="s">
        <v>1206</v>
      </c>
      <c r="E7220" s="8" t="s">
        <v>353</v>
      </c>
      <c r="F7220" s="5" t="s">
        <v>354</v>
      </c>
      <c r="G7220" s="6" t="str">
        <f>VLOOKUP(E7220,dicionario!$A$1:$C7619,2,0)</f>
        <v>Desmodium incanum</v>
      </c>
      <c r="H7220" s="6" t="str">
        <f>VLOOKUP(E7220,dicionario!$A$1:$C7619,3,0)</f>
        <v>pega-pega</v>
      </c>
    </row>
    <row r="7221">
      <c r="A7221" s="3">
        <v>45723.0</v>
      </c>
      <c r="B7221" s="4">
        <v>0.3506944444444444</v>
      </c>
      <c r="C7221" s="5" t="s">
        <v>33</v>
      </c>
      <c r="D7221" s="5" t="s">
        <v>1206</v>
      </c>
      <c r="E7221" s="6" t="s">
        <v>14</v>
      </c>
      <c r="F7221" s="5" t="s">
        <v>15</v>
      </c>
      <c r="G7221" s="6" t="str">
        <f>VLOOKUP(E7221,dicionario!$A$1:$C7620,2,0)</f>
        <v>Spermacoce verticillata</v>
      </c>
      <c r="H7221" s="6" t="str">
        <f>VLOOKUP(E7221,dicionario!$A$1:$C7620,3,0)</f>
        <v>vassourinha-de-botão</v>
      </c>
    </row>
    <row r="7222">
      <c r="A7222" s="3">
        <v>45723.0</v>
      </c>
      <c r="B7222" s="4">
        <v>0.3506944444444444</v>
      </c>
      <c r="C7222" s="5" t="s">
        <v>33</v>
      </c>
      <c r="D7222" s="5" t="s">
        <v>1206</v>
      </c>
      <c r="E7222" s="8" t="s">
        <v>86</v>
      </c>
      <c r="F7222" s="5" t="s">
        <v>502</v>
      </c>
      <c r="G7222" s="6" t="str">
        <f>VLOOKUP(E7222,dicionario!$A$1:$C7621,2,0)</f>
        <v>Coereba flaveola</v>
      </c>
      <c r="H7222" s="6" t="str">
        <f>VLOOKUP(E7222,dicionario!$A$1:$C7621,3,0)</f>
        <v>cambacica</v>
      </c>
    </row>
    <row r="7223">
      <c r="A7223" s="3">
        <v>45723.0</v>
      </c>
      <c r="B7223" s="4">
        <v>0.3506944444444444</v>
      </c>
      <c r="C7223" s="5" t="s">
        <v>33</v>
      </c>
      <c r="D7223" s="5" t="s">
        <v>1206</v>
      </c>
      <c r="E7223" s="8" t="s">
        <v>38</v>
      </c>
      <c r="F7223" s="5" t="s">
        <v>39</v>
      </c>
      <c r="G7223" s="6" t="str">
        <f>VLOOKUP(E7223,dicionario!$A$1:$C7622,2,0)</f>
        <v>Troglodytes musculus</v>
      </c>
      <c r="H7223" s="6" t="str">
        <f>VLOOKUP(E7223,dicionario!$A$1:$C7622,3,0)</f>
        <v>curruíra</v>
      </c>
    </row>
    <row r="7224">
      <c r="A7224" s="3">
        <v>45723.0</v>
      </c>
      <c r="B7224" s="4">
        <v>0.3506944444444444</v>
      </c>
      <c r="C7224" s="5" t="s">
        <v>33</v>
      </c>
      <c r="D7224" s="5" t="s">
        <v>1206</v>
      </c>
      <c r="E7224" s="8" t="s">
        <v>732</v>
      </c>
      <c r="F7224" s="5" t="s">
        <v>1230</v>
      </c>
      <c r="G7224" s="6" t="str">
        <f>VLOOKUP(E7224,dicionario!$A$1:$C7623,2,0)</f>
        <v>#N/A</v>
      </c>
      <c r="H7224" s="6" t="str">
        <f>VLOOKUP(E7224,dicionario!$A$1:$C7623,3,0)</f>
        <v>#N/A</v>
      </c>
    </row>
    <row r="7225">
      <c r="A7225" s="3">
        <v>45723.0</v>
      </c>
      <c r="B7225" s="4">
        <v>0.3506944444444444</v>
      </c>
      <c r="C7225" s="5" t="s">
        <v>33</v>
      </c>
      <c r="D7225" s="5" t="s">
        <v>1206</v>
      </c>
      <c r="E7225" s="6" t="s">
        <v>258</v>
      </c>
      <c r="F7225" s="5" t="s">
        <v>1233</v>
      </c>
      <c r="G7225" s="6" t="str">
        <f>VLOOKUP(E7225,dicionario!$A$1:$C7624,2,0)</f>
        <v>Lantana camara</v>
      </c>
      <c r="H7225" s="6" t="str">
        <f>VLOOKUP(E7225,dicionario!$A$1:$C7624,3,0)</f>
        <v>lantana</v>
      </c>
    </row>
    <row r="7226">
      <c r="A7226" s="3">
        <v>45723.0</v>
      </c>
      <c r="B7226" s="4">
        <v>0.3506944444444444</v>
      </c>
      <c r="C7226" s="5" t="s">
        <v>33</v>
      </c>
      <c r="D7226" s="5" t="s">
        <v>1206</v>
      </c>
      <c r="E7226" s="6" t="s">
        <v>471</v>
      </c>
      <c r="F7226" s="5" t="s">
        <v>472</v>
      </c>
      <c r="G7226" s="6" t="str">
        <f>VLOOKUP(E7226,dicionario!$A$1:$C7625,2,0)</f>
        <v>Sida acuta</v>
      </c>
      <c r="H7226" s="6" t="str">
        <f>VLOOKUP(E7226,dicionario!$A$1:$C7625,3,0)</f>
        <v>reloginho</v>
      </c>
    </row>
    <row r="7227">
      <c r="A7227" s="3">
        <v>45723.0</v>
      </c>
      <c r="B7227" s="4">
        <v>0.3506944444444444</v>
      </c>
      <c r="C7227" s="5" t="s">
        <v>33</v>
      </c>
      <c r="D7227" s="5" t="s">
        <v>1206</v>
      </c>
      <c r="E7227" s="8" t="s">
        <v>109</v>
      </c>
      <c r="F7227" s="5" t="s">
        <v>110</v>
      </c>
      <c r="G7227" s="6" t="str">
        <f>VLOOKUP(E7227,dicionario!$A$1:$C7626,2,0)</f>
        <v>Tillandsia stricta</v>
      </c>
      <c r="H7227" s="6" t="str">
        <f>VLOOKUP(E7227,dicionario!$A$1:$C7626,3,0)</f>
        <v>cravo-do-mato</v>
      </c>
    </row>
    <row r="7228">
      <c r="A7228" s="3">
        <v>45723.0</v>
      </c>
      <c r="B7228" s="4">
        <v>0.3506944444444444</v>
      </c>
      <c r="C7228" s="5" t="s">
        <v>33</v>
      </c>
      <c r="D7228" s="5" t="s">
        <v>1206</v>
      </c>
      <c r="E7228" s="8" t="s">
        <v>65</v>
      </c>
      <c r="F7228" s="5" t="s">
        <v>66</v>
      </c>
      <c r="G7228" s="6" t="str">
        <f>VLOOKUP(E7228,dicionario!$A$1:$C7627,2,0)</f>
        <v>Pitangus sulphutarus</v>
      </c>
      <c r="H7228" s="6" t="str">
        <f>VLOOKUP(E7228,dicionario!$A$1:$C7627,3,0)</f>
        <v>bem-te-vi</v>
      </c>
    </row>
    <row r="7229">
      <c r="A7229" s="3">
        <v>45723.0</v>
      </c>
      <c r="B7229" s="4">
        <v>0.35138888888888886</v>
      </c>
      <c r="C7229" s="5" t="s">
        <v>33</v>
      </c>
      <c r="D7229" s="5" t="s">
        <v>1206</v>
      </c>
      <c r="E7229" s="8" t="s">
        <v>175</v>
      </c>
      <c r="F7229" s="5" t="s">
        <v>176</v>
      </c>
      <c r="G7229" s="6" t="str">
        <f>VLOOKUP(E7229,dicionario!$A$1:$C7628,2,0)</f>
        <v>Turdus leucomelas</v>
      </c>
      <c r="H7229" s="6" t="str">
        <f>VLOOKUP(E7229,dicionario!$A$1:$C7628,3,0)</f>
        <v>sabiá-barranco</v>
      </c>
    </row>
    <row r="7230">
      <c r="A7230" s="3">
        <v>45723.0</v>
      </c>
      <c r="B7230" s="4">
        <v>0.35138888888888886</v>
      </c>
      <c r="C7230" s="5" t="s">
        <v>33</v>
      </c>
      <c r="D7230" s="5" t="s">
        <v>1206</v>
      </c>
      <c r="E7230" s="8" t="s">
        <v>223</v>
      </c>
      <c r="F7230" s="5" t="s">
        <v>224</v>
      </c>
      <c r="G7230" s="6" t="str">
        <f>VLOOKUP(E7230,dicionario!$A$1:$C7629,2,0)</f>
        <v>Rhipsalis lindbergiana</v>
      </c>
      <c r="H7230" s="6" t="str">
        <f>VLOOKUP(E7230,dicionario!$A$1:$C7629,3,0)</f>
        <v>cacto-macarrão</v>
      </c>
    </row>
    <row r="7231">
      <c r="A7231" s="3">
        <v>45723.0</v>
      </c>
      <c r="B7231" s="4">
        <v>0.35138888888888886</v>
      </c>
      <c r="C7231" s="5" t="s">
        <v>33</v>
      </c>
      <c r="D7231" s="5" t="s">
        <v>1206</v>
      </c>
      <c r="E7231" s="8" t="s">
        <v>229</v>
      </c>
      <c r="F7231" s="5" t="s">
        <v>230</v>
      </c>
      <c r="G7231" s="6" t="str">
        <f>VLOOKUP(E7231,dicionario!$A$1:$C7630,2,0)</f>
        <v>Apis mellifera</v>
      </c>
      <c r="H7231" s="6" t="str">
        <f>VLOOKUP(E7231,dicionario!$A$1:$C7630,3,0)</f>
        <v>abelha-do-mel</v>
      </c>
    </row>
    <row r="7232">
      <c r="A7232" s="3">
        <v>45723.0</v>
      </c>
      <c r="B7232" s="4">
        <v>0.35138888888888886</v>
      </c>
      <c r="C7232" s="5" t="s">
        <v>33</v>
      </c>
      <c r="D7232" s="5" t="s">
        <v>1206</v>
      </c>
      <c r="E7232" s="8" t="s">
        <v>20</v>
      </c>
      <c r="F7232" s="7" t="s">
        <v>21</v>
      </c>
      <c r="G7232" s="6" t="str">
        <f>VLOOKUP(E7232,dicionario!$A$1:$C7631,2,0)</f>
        <v>Sicalis flaveola</v>
      </c>
      <c r="H7232" s="6" t="str">
        <f>VLOOKUP(E7232,dicionario!$A$1:$C7631,3,0)</f>
        <v>canário-da-terra</v>
      </c>
    </row>
    <row r="7233">
      <c r="A7233" s="3">
        <v>45723.0</v>
      </c>
      <c r="B7233" s="4">
        <v>0.35138888888888886</v>
      </c>
      <c r="C7233" s="5" t="s">
        <v>33</v>
      </c>
      <c r="D7233" s="5" t="s">
        <v>1206</v>
      </c>
      <c r="E7233" s="8" t="s">
        <v>381</v>
      </c>
      <c r="F7233" s="5" t="s">
        <v>382</v>
      </c>
      <c r="G7233" s="6" t="str">
        <f>VLOOKUP(E7233,dicionario!$A$1:$C7632,2,0)</f>
        <v>Pseudomyrmex</v>
      </c>
      <c r="H7233" s="6" t="str">
        <f>VLOOKUP(E7233,dicionario!$A$1:$C7632,3,0)</f>
        <v>maria-magra</v>
      </c>
    </row>
    <row r="7234">
      <c r="A7234" s="3">
        <v>45723.0</v>
      </c>
      <c r="B7234" s="4">
        <v>0.35138888888888886</v>
      </c>
      <c r="C7234" s="5" t="s">
        <v>33</v>
      </c>
      <c r="D7234" s="5" t="s">
        <v>1206</v>
      </c>
      <c r="E7234" s="6" t="s">
        <v>646</v>
      </c>
      <c r="F7234" s="5" t="s">
        <v>647</v>
      </c>
      <c r="G7234" s="6" t="str">
        <f>VLOOKUP(E7234,dicionario!$A$1:$C7633,2,0)</f>
        <v>Palpada mexicana</v>
      </c>
      <c r="H7234" s="6" t="str">
        <f>VLOOKUP(E7234,dicionario!$A$1:$C7633,3,0)</f>
        <v>mosca-das-flores</v>
      </c>
    </row>
    <row r="7235">
      <c r="A7235" s="3">
        <v>45723.0</v>
      </c>
      <c r="B7235" s="4">
        <v>0.35138888888888886</v>
      </c>
      <c r="C7235" s="5" t="s">
        <v>33</v>
      </c>
      <c r="D7235" s="5" t="s">
        <v>1206</v>
      </c>
      <c r="E7235" s="6" t="s">
        <v>22</v>
      </c>
      <c r="F7235" s="5" t="s">
        <v>97</v>
      </c>
      <c r="G7235" s="6" t="str">
        <f>VLOOKUP(E7235,dicionario!$A$1:$C7634,2,0)</f>
        <v>Zenaida auriculata</v>
      </c>
      <c r="H7235" s="6" t="str">
        <f>VLOOKUP(E7235,dicionario!$A$1:$C7634,3,0)</f>
        <v>pomba-de-bando; avoante</v>
      </c>
    </row>
    <row r="7236">
      <c r="A7236" s="3">
        <v>45723.0</v>
      </c>
      <c r="B7236" s="4">
        <v>0.35138888888888886</v>
      </c>
      <c r="C7236" s="5" t="s">
        <v>33</v>
      </c>
      <c r="D7236" s="5" t="s">
        <v>1206</v>
      </c>
      <c r="E7236" s="8" t="s">
        <v>302</v>
      </c>
      <c r="F7236" s="5" t="s">
        <v>303</v>
      </c>
      <c r="G7236" s="6" t="str">
        <f>VLOOKUP(E7236,dicionario!$A$1:$C7635,2,0)</f>
        <v>Machetornis rixosa</v>
      </c>
      <c r="H7236" s="6" t="str">
        <f>VLOOKUP(E7236,dicionario!$A$1:$C7635,3,0)</f>
        <v>suiriri-cavaleiro</v>
      </c>
    </row>
    <row r="7237">
      <c r="A7237" s="3">
        <v>45723.0</v>
      </c>
      <c r="B7237" s="4">
        <v>0.35208333333333336</v>
      </c>
      <c r="C7237" s="5" t="s">
        <v>33</v>
      </c>
      <c r="D7237" s="5" t="s">
        <v>1206</v>
      </c>
      <c r="E7237" s="8" t="s">
        <v>286</v>
      </c>
      <c r="F7237" s="5" t="s">
        <v>287</v>
      </c>
      <c r="G7237" s="6" t="str">
        <f>VLOOKUP(E7237,dicionario!$A$1:$C7636,2,0)</f>
        <v>Setaria parviflora</v>
      </c>
      <c r="H7237" s="6" t="str">
        <f>VLOOKUP(E7237,dicionario!$A$1:$C7636,3,0)</f>
        <v>capim-rabo-de-raposa</v>
      </c>
    </row>
    <row r="7238">
      <c r="A7238" s="3">
        <v>45723.0</v>
      </c>
      <c r="B7238" s="4">
        <v>0.35208333333333336</v>
      </c>
      <c r="C7238" s="5" t="s">
        <v>33</v>
      </c>
      <c r="D7238" s="5" t="s">
        <v>1206</v>
      </c>
      <c r="E7238" s="6" t="s">
        <v>14</v>
      </c>
      <c r="F7238" s="5" t="s">
        <v>15</v>
      </c>
      <c r="G7238" s="6" t="str">
        <f>VLOOKUP(E7238,dicionario!$A$1:$C7637,2,0)</f>
        <v>Spermacoce verticillata</v>
      </c>
      <c r="H7238" s="6" t="str">
        <f>VLOOKUP(E7238,dicionario!$A$1:$C7637,3,0)</f>
        <v>vassourinha-de-botão</v>
      </c>
    </row>
    <row r="7239">
      <c r="A7239" s="3">
        <v>45723.0</v>
      </c>
      <c r="B7239" s="4">
        <v>0.35208333333333336</v>
      </c>
      <c r="C7239" s="5" t="s">
        <v>33</v>
      </c>
      <c r="D7239" s="5" t="s">
        <v>1206</v>
      </c>
      <c r="E7239" s="6" t="s">
        <v>227</v>
      </c>
      <c r="F7239" s="5" t="s">
        <v>228</v>
      </c>
      <c r="G7239" s="6" t="str">
        <f>VLOOKUP(E7239,dicionario!$A$1:$C7638,2,0)</f>
        <v>Indigofera hirsuta</v>
      </c>
      <c r="H7239" s="6" t="str">
        <f>VLOOKUP(E7239,dicionario!$A$1:$C7638,3,0)</f>
        <v>anileira</v>
      </c>
    </row>
    <row r="7240">
      <c r="A7240" s="3">
        <v>45723.0</v>
      </c>
      <c r="B7240" s="4">
        <v>0.35208333333333336</v>
      </c>
      <c r="C7240" s="5" t="s">
        <v>33</v>
      </c>
      <c r="D7240" s="5" t="s">
        <v>1206</v>
      </c>
      <c r="E7240" s="8" t="s">
        <v>982</v>
      </c>
      <c r="F7240" s="5" t="s">
        <v>983</v>
      </c>
      <c r="G7240" s="6" t="str">
        <f>VLOOKUP(E7240,dicionario!$A$1:$C7639,2,0)</f>
        <v>#N/A</v>
      </c>
      <c r="H7240" s="6" t="str">
        <f>VLOOKUP(E7240,dicionario!$A$1:$C7639,3,0)</f>
        <v>#N/A</v>
      </c>
    </row>
    <row r="7241">
      <c r="A7241" s="3">
        <v>45723.0</v>
      </c>
      <c r="B7241" s="4">
        <v>0.35208333333333336</v>
      </c>
      <c r="C7241" s="5" t="s">
        <v>33</v>
      </c>
      <c r="D7241" s="5" t="s">
        <v>1206</v>
      </c>
      <c r="E7241" s="6" t="s">
        <v>399</v>
      </c>
      <c r="F7241" s="5" t="s">
        <v>400</v>
      </c>
      <c r="G7241" s="6" t="str">
        <f>VLOOKUP(E7241,dicionario!$A$1:$C7640,2,0)</f>
        <v>Varronia curassavica</v>
      </c>
      <c r="H7241" s="6" t="str">
        <f>VLOOKUP(E7241,dicionario!$A$1:$C7640,3,0)</f>
        <v>erva-baleeira</v>
      </c>
    </row>
    <row r="7242">
      <c r="A7242" s="3">
        <v>45723.0</v>
      </c>
      <c r="B7242" s="4">
        <v>0.35208333333333336</v>
      </c>
      <c r="C7242" s="5" t="s">
        <v>33</v>
      </c>
      <c r="D7242" s="5" t="s">
        <v>1206</v>
      </c>
      <c r="E7242" s="8" t="s">
        <v>41</v>
      </c>
      <c r="F7242" s="5" t="s">
        <v>45</v>
      </c>
      <c r="G7242" s="6" t="str">
        <f>VLOOKUP(E7242,dicionario!$A$1:$C7641,2,0)</f>
        <v>Mimosa pudica</v>
      </c>
      <c r="H7242" s="6" t="str">
        <f>VLOOKUP(E7242,dicionario!$A$1:$C7641,3,0)</f>
        <v>dormideira</v>
      </c>
    </row>
    <row r="7243">
      <c r="A7243" s="3">
        <v>45723.0</v>
      </c>
      <c r="B7243" s="4">
        <v>0.35208333333333336</v>
      </c>
      <c r="C7243" s="5" t="s">
        <v>33</v>
      </c>
      <c r="D7243" s="5" t="s">
        <v>1206</v>
      </c>
      <c r="E7243" s="8" t="s">
        <v>1234</v>
      </c>
      <c r="F7243" s="5" t="s">
        <v>1209</v>
      </c>
      <c r="G7243" s="6" t="str">
        <f>VLOOKUP(E7243,dicionario!$A$1:$C7642,2,0)</f>
        <v>#N/A</v>
      </c>
      <c r="H7243" s="6" t="str">
        <f>VLOOKUP(E7243,dicionario!$A$1:$C7642,3,0)</f>
        <v>#N/A</v>
      </c>
    </row>
    <row r="7244">
      <c r="A7244" s="3">
        <v>45723.0</v>
      </c>
      <c r="B7244" s="4">
        <v>0.35208333333333336</v>
      </c>
      <c r="C7244" s="5" t="s">
        <v>33</v>
      </c>
      <c r="D7244" s="5" t="s">
        <v>1206</v>
      </c>
      <c r="E7244" s="8" t="s">
        <v>296</v>
      </c>
      <c r="F7244" s="5" t="s">
        <v>297</v>
      </c>
      <c r="G7244" s="6" t="str">
        <f>VLOOKUP(E7244,dicionario!$A$1:$C7643,2,0)</f>
        <v>Richardia brasiliensis</v>
      </c>
      <c r="H7244" s="6" t="str">
        <f>VLOOKUP(E7244,dicionario!$A$1:$C7643,3,0)</f>
        <v>poaia-branca</v>
      </c>
    </row>
    <row r="7245">
      <c r="A7245" s="3">
        <v>45723.0</v>
      </c>
      <c r="B7245" s="4">
        <v>0.35208333333333336</v>
      </c>
      <c r="C7245" s="5" t="s">
        <v>33</v>
      </c>
      <c r="D7245" s="5" t="s">
        <v>1206</v>
      </c>
      <c r="E7245" s="8" t="s">
        <v>712</v>
      </c>
      <c r="F7245" s="5" t="s">
        <v>912</v>
      </c>
      <c r="G7245" s="6" t="str">
        <f>VLOOKUP(E7245,dicionario!$A$1:$C7644,2,0)</f>
        <v>Flavopunctelia soredica</v>
      </c>
      <c r="H7245" s="6" t="str">
        <f>VLOOKUP(E7245,dicionario!$A$1:$C7644,3,0)</f>
        <v>líquen-folioso</v>
      </c>
    </row>
    <row r="7246">
      <c r="A7246" s="3">
        <v>45723.0</v>
      </c>
      <c r="B7246" s="4">
        <v>0.35208333333333336</v>
      </c>
      <c r="C7246" s="5" t="s">
        <v>33</v>
      </c>
      <c r="D7246" s="5" t="s">
        <v>1206</v>
      </c>
      <c r="E7246" s="8" t="s">
        <v>719</v>
      </c>
      <c r="F7246" s="5" t="s">
        <v>911</v>
      </c>
      <c r="G7246" s="6" t="str">
        <f>VLOOKUP(E7246,dicionario!$A$1:$C7645,2,0)</f>
        <v>Dirinaria</v>
      </c>
      <c r="H7246" s="6" t="str">
        <f>VLOOKUP(E7246,dicionario!$A$1:$C7645,3,0)</f>
        <v>líquen-crostoso</v>
      </c>
    </row>
    <row r="7247">
      <c r="A7247" s="3">
        <v>45723.0</v>
      </c>
      <c r="B7247" s="4">
        <v>0.35208333333333336</v>
      </c>
      <c r="C7247" s="5" t="s">
        <v>33</v>
      </c>
      <c r="D7247" s="5" t="s">
        <v>1206</v>
      </c>
      <c r="E7247" s="8" t="s">
        <v>1227</v>
      </c>
      <c r="F7247" s="5" t="s">
        <v>63</v>
      </c>
      <c r="G7247" s="6" t="str">
        <f>VLOOKUP(E7247,dicionario!$A$1:$C7646,2,0)</f>
        <v>#N/A</v>
      </c>
      <c r="H7247" s="6" t="str">
        <f>VLOOKUP(E7247,dicionario!$A$1:$C7646,3,0)</f>
        <v>#N/A</v>
      </c>
    </row>
    <row r="7248">
      <c r="A7248" s="3">
        <v>45723.0</v>
      </c>
      <c r="B7248" s="4">
        <v>0.35208333333333336</v>
      </c>
      <c r="C7248" s="5" t="s">
        <v>33</v>
      </c>
      <c r="D7248" s="5" t="s">
        <v>1206</v>
      </c>
      <c r="E7248" s="8" t="s">
        <v>72</v>
      </c>
      <c r="F7248" s="5" t="s">
        <v>73</v>
      </c>
      <c r="G7248" s="6" t="str">
        <f>VLOOKUP(E7248,dicionario!$A$1:$C7647,2,0)</f>
        <v>Thraupis palmarum</v>
      </c>
      <c r="H7248" s="6" t="str">
        <f>VLOOKUP(E7248,dicionario!$A$1:$C7647,3,0)</f>
        <v>sanhaço-do-coqueiro</v>
      </c>
    </row>
    <row r="7249">
      <c r="A7249" s="3">
        <v>45723.0</v>
      </c>
      <c r="B7249" s="4">
        <v>0.3527777777777778</v>
      </c>
      <c r="C7249" s="5" t="s">
        <v>26</v>
      </c>
      <c r="D7249" s="5" t="s">
        <v>1206</v>
      </c>
      <c r="E7249" s="6" t="s">
        <v>169</v>
      </c>
      <c r="F7249" s="5" t="s">
        <v>170</v>
      </c>
      <c r="G7249" s="6" t="str">
        <f>VLOOKUP(E7249,dicionario!$A$1:$C7648,2,0)</f>
        <v>Camponotus cruentatus</v>
      </c>
      <c r="H7249" s="6" t="str">
        <f>VLOOKUP(E7249,dicionario!$A$1:$C7648,3,0)</f>
        <v>formiga-carpinteira</v>
      </c>
    </row>
    <row r="7250">
      <c r="A7250" s="3">
        <v>45723.0</v>
      </c>
      <c r="B7250" s="4">
        <v>0.3527777777777778</v>
      </c>
      <c r="C7250" s="5" t="s">
        <v>26</v>
      </c>
      <c r="D7250" s="5" t="s">
        <v>1206</v>
      </c>
      <c r="E7250" s="8" t="s">
        <v>109</v>
      </c>
      <c r="F7250" s="5" t="s">
        <v>110</v>
      </c>
      <c r="G7250" s="6" t="str">
        <f>VLOOKUP(E7250,dicionario!$A$1:$C7649,2,0)</f>
        <v>Tillandsia stricta</v>
      </c>
      <c r="H7250" s="6" t="str">
        <f>VLOOKUP(E7250,dicionario!$A$1:$C7649,3,0)</f>
        <v>cravo-do-mato</v>
      </c>
    </row>
    <row r="7251">
      <c r="A7251" s="3">
        <v>45723.0</v>
      </c>
      <c r="B7251" s="4">
        <v>0.3527777777777778</v>
      </c>
      <c r="C7251" s="5" t="s">
        <v>26</v>
      </c>
      <c r="D7251" s="5" t="s">
        <v>1206</v>
      </c>
      <c r="E7251" s="6" t="s">
        <v>243</v>
      </c>
      <c r="F7251" s="5" t="s">
        <v>244</v>
      </c>
      <c r="G7251" s="6" t="str">
        <f>VLOOKUP(E7251,dicionario!$A$1:$C7650,2,0)</f>
        <v>Macroptilium atropurpureum</v>
      </c>
      <c r="H7251" s="6" t="str">
        <f>VLOOKUP(E7251,dicionario!$A$1:$C7650,3,0)</f>
        <v>feijão-de-pombo</v>
      </c>
    </row>
    <row r="7252">
      <c r="A7252" s="3">
        <v>45723.0</v>
      </c>
      <c r="B7252" s="4">
        <v>0.3527777777777778</v>
      </c>
      <c r="C7252" s="5" t="s">
        <v>26</v>
      </c>
      <c r="D7252" s="5" t="s">
        <v>1206</v>
      </c>
      <c r="E7252" s="8" t="s">
        <v>353</v>
      </c>
      <c r="F7252" s="5" t="s">
        <v>354</v>
      </c>
      <c r="G7252" s="6" t="str">
        <f>VLOOKUP(E7252,dicionario!$A$1:$C7651,2,0)</f>
        <v>Desmodium incanum</v>
      </c>
      <c r="H7252" s="6" t="str">
        <f>VLOOKUP(E7252,dicionario!$A$1:$C7651,3,0)</f>
        <v>pega-pega</v>
      </c>
    </row>
    <row r="7253">
      <c r="A7253" s="3">
        <v>45723.0</v>
      </c>
      <c r="B7253" s="4">
        <v>0.3527777777777778</v>
      </c>
      <c r="C7253" s="5" t="s">
        <v>26</v>
      </c>
      <c r="D7253" s="5" t="s">
        <v>1206</v>
      </c>
      <c r="E7253" s="8" t="s">
        <v>1155</v>
      </c>
      <c r="F7253" s="5" t="s">
        <v>1156</v>
      </c>
      <c r="G7253" s="6" t="str">
        <f>VLOOKUP(E7253,dicionario!$A$1:$C7652,2,0)</f>
        <v>#N/A</v>
      </c>
      <c r="H7253" s="6" t="str">
        <f>VLOOKUP(E7253,dicionario!$A$1:$C7652,3,0)</f>
        <v>#N/A</v>
      </c>
    </row>
    <row r="7254">
      <c r="A7254" s="3">
        <v>45723.0</v>
      </c>
      <c r="B7254" s="4">
        <v>0.3527777777777778</v>
      </c>
      <c r="C7254" s="5" t="s">
        <v>26</v>
      </c>
      <c r="D7254" s="5" t="s">
        <v>1206</v>
      </c>
      <c r="E7254" s="8" t="s">
        <v>41</v>
      </c>
      <c r="F7254" s="5" t="s">
        <v>45</v>
      </c>
      <c r="G7254" s="6" t="str">
        <f>VLOOKUP(E7254,dicionario!$A$1:$C7653,2,0)</f>
        <v>Mimosa pudica</v>
      </c>
      <c r="H7254" s="6" t="str">
        <f>VLOOKUP(E7254,dicionario!$A$1:$C7653,3,0)</f>
        <v>dormideira</v>
      </c>
    </row>
    <row r="7255">
      <c r="A7255" s="3">
        <v>45723.0</v>
      </c>
      <c r="B7255" s="4">
        <v>0.3527777777777778</v>
      </c>
      <c r="C7255" s="5" t="s">
        <v>26</v>
      </c>
      <c r="D7255" s="5" t="s">
        <v>1206</v>
      </c>
      <c r="E7255" s="8" t="s">
        <v>503</v>
      </c>
      <c r="F7255" s="5" t="s">
        <v>414</v>
      </c>
      <c r="G7255" s="6" t="str">
        <f>VLOOKUP(E7255,dicionario!$A$1:$C7654,2,0)</f>
        <v>Orphulella punctata</v>
      </c>
      <c r="H7255" s="6" t="str">
        <f>VLOOKUP(E7255,dicionario!$A$1:$C7654,3,0)</f>
        <v>gafanhotinho</v>
      </c>
    </row>
    <row r="7256">
      <c r="A7256" s="3">
        <v>45723.0</v>
      </c>
      <c r="B7256" s="4">
        <v>0.3527777777777778</v>
      </c>
      <c r="C7256" s="5" t="s">
        <v>26</v>
      </c>
      <c r="D7256" s="5" t="s">
        <v>1206</v>
      </c>
      <c r="E7256" s="8" t="s">
        <v>135</v>
      </c>
      <c r="F7256" s="5" t="s">
        <v>136</v>
      </c>
      <c r="G7256" s="6" t="str">
        <f>VLOOKUP(E7256,dicionario!$A$1:$C7655,2,0)</f>
        <v>Tridax procumbens</v>
      </c>
      <c r="H7256" s="6" t="str">
        <f>VLOOKUP(E7256,dicionario!$A$1:$C7655,3,0)</f>
        <v>erva-de-touro</v>
      </c>
    </row>
    <row r="7257">
      <c r="A7257" s="3">
        <v>45723.0</v>
      </c>
      <c r="B7257" s="4">
        <v>0.35347222222222224</v>
      </c>
      <c r="C7257" s="5" t="s">
        <v>26</v>
      </c>
      <c r="D7257" s="5" t="s">
        <v>1206</v>
      </c>
      <c r="E7257" s="8" t="s">
        <v>298</v>
      </c>
      <c r="F7257" s="5" t="s">
        <v>299</v>
      </c>
      <c r="G7257" s="6" t="str">
        <f>VLOOKUP(E7257,dicionario!$A$1:$C7656,2,0)</f>
        <v>Alysicarpus vaginalis</v>
      </c>
      <c r="H7257" s="6" t="str">
        <f>VLOOKUP(E7257,dicionario!$A$1:$C7656,3,0)</f>
        <v/>
      </c>
    </row>
    <row r="7258">
      <c r="A7258" s="3">
        <v>45723.0</v>
      </c>
      <c r="B7258" s="4">
        <v>0.35347222222222224</v>
      </c>
      <c r="C7258" s="5" t="s">
        <v>26</v>
      </c>
      <c r="D7258" s="5" t="s">
        <v>1206</v>
      </c>
      <c r="E7258" s="8" t="s">
        <v>489</v>
      </c>
      <c r="F7258" s="5" t="s">
        <v>521</v>
      </c>
      <c r="G7258" s="6" t="str">
        <f>VLOOKUP(E7258,dicionario!$A$1:$C7657,2,0)</f>
        <v>Cenchrus echinatus</v>
      </c>
      <c r="H7258" s="6" t="str">
        <f>VLOOKUP(E7258,dicionario!$A$1:$C7657,3,0)</f>
        <v>capim-carrapicho</v>
      </c>
    </row>
    <row r="7259">
      <c r="A7259" s="3">
        <v>45723.0</v>
      </c>
      <c r="B7259" s="4">
        <v>0.35347222222222224</v>
      </c>
      <c r="C7259" s="5" t="s">
        <v>26</v>
      </c>
      <c r="D7259" s="5" t="s">
        <v>1206</v>
      </c>
      <c r="E7259" s="8" t="s">
        <v>1157</v>
      </c>
      <c r="F7259" s="5" t="s">
        <v>1105</v>
      </c>
      <c r="G7259" s="6" t="str">
        <f>VLOOKUP(E7259,dicionario!$A$1:$C7658,2,0)</f>
        <v>#N/A</v>
      </c>
      <c r="H7259" s="6" t="str">
        <f>VLOOKUP(E7259,dicionario!$A$1:$C7658,3,0)</f>
        <v>#N/A</v>
      </c>
    </row>
    <row r="7260">
      <c r="A7260" s="3">
        <v>45723.0</v>
      </c>
      <c r="B7260" s="4">
        <v>0.35347222222222224</v>
      </c>
      <c r="C7260" s="5" t="s">
        <v>26</v>
      </c>
      <c r="D7260" s="5" t="s">
        <v>1206</v>
      </c>
      <c r="E7260" s="8" t="s">
        <v>498</v>
      </c>
      <c r="F7260" s="5" t="s">
        <v>499</v>
      </c>
      <c r="G7260" s="6" t="str">
        <f>VLOOKUP(E7260,dicionario!$A$1:$C7659,2,0)</f>
        <v>Brachiaria decumbens</v>
      </c>
      <c r="H7260" s="6" t="str">
        <f>VLOOKUP(E7260,dicionario!$A$1:$C7659,3,0)</f>
        <v>capim-braquiária</v>
      </c>
    </row>
    <row r="7261">
      <c r="A7261" s="3">
        <v>45723.0</v>
      </c>
      <c r="B7261" s="4">
        <v>0.35347222222222224</v>
      </c>
      <c r="C7261" s="5" t="s">
        <v>26</v>
      </c>
      <c r="D7261" s="5" t="s">
        <v>1206</v>
      </c>
      <c r="E7261" s="8" t="s">
        <v>251</v>
      </c>
      <c r="F7261" s="5" t="s">
        <v>252</v>
      </c>
      <c r="G7261" s="6" t="str">
        <f>VLOOKUP(E7261,dicionario!$A$1:$C7660,2,0)</f>
        <v>Struthanthus flexicaulis</v>
      </c>
      <c r="H7261" s="6" t="str">
        <f>VLOOKUP(E7261,dicionario!$A$1:$C7660,3,0)</f>
        <v>erva-de-passarinho</v>
      </c>
    </row>
    <row r="7262">
      <c r="A7262" s="3">
        <v>45723.0</v>
      </c>
      <c r="B7262" s="4">
        <v>0.35347222222222224</v>
      </c>
      <c r="C7262" s="5" t="s">
        <v>26</v>
      </c>
      <c r="D7262" s="5" t="s">
        <v>1206</v>
      </c>
      <c r="E7262" s="6" t="s">
        <v>450</v>
      </c>
      <c r="F7262" s="5" t="s">
        <v>921</v>
      </c>
      <c r="G7262" s="6" t="str">
        <f>VLOOKUP(E7262,dicionario!$A$1:$C7661,2,0)</f>
        <v>#N/A</v>
      </c>
      <c r="H7262" s="6" t="str">
        <f>VLOOKUP(E7262,dicionario!$A$1:$C7661,3,0)</f>
        <v>#N/A</v>
      </c>
    </row>
    <row r="7263">
      <c r="A7263" s="3">
        <v>45723.0</v>
      </c>
      <c r="B7263" s="4">
        <v>0.3541666666666667</v>
      </c>
      <c r="C7263" s="5" t="s">
        <v>26</v>
      </c>
      <c r="D7263" s="5" t="s">
        <v>1206</v>
      </c>
      <c r="E7263" s="8" t="s">
        <v>312</v>
      </c>
      <c r="F7263" s="5" t="s">
        <v>1235</v>
      </c>
      <c r="G7263" s="6" t="str">
        <f>VLOOKUP(E7263,dicionario!$A$1:$C7662,2,0)</f>
        <v>#N/A</v>
      </c>
      <c r="H7263" s="6" t="str">
        <f>VLOOKUP(E7263,dicionario!$A$1:$C7662,3,0)</f>
        <v>#N/A</v>
      </c>
    </row>
    <row r="7264">
      <c r="A7264" s="3">
        <v>45723.0</v>
      </c>
      <c r="B7264" s="4">
        <v>0.3548611111111111</v>
      </c>
      <c r="C7264" s="5" t="s">
        <v>26</v>
      </c>
      <c r="D7264" s="5" t="s">
        <v>1206</v>
      </c>
      <c r="E7264" s="8" t="s">
        <v>24</v>
      </c>
      <c r="F7264" s="5" t="s">
        <v>25</v>
      </c>
      <c r="G7264" s="6" t="str">
        <f>VLOOKUP(E7264,dicionario!$A$1:$C7663,2,0)</f>
        <v>Lepidoptera</v>
      </c>
      <c r="H7264" s="6" t="str">
        <f>VLOOKUP(E7264,dicionario!$A$1:$C7663,3,0)</f>
        <v>boboleta/mariposa</v>
      </c>
    </row>
    <row r="7265">
      <c r="A7265" s="3">
        <v>45723.0</v>
      </c>
      <c r="B7265" s="4">
        <v>0.3548611111111111</v>
      </c>
      <c r="C7265" s="5" t="s">
        <v>26</v>
      </c>
      <c r="D7265" s="5" t="s">
        <v>1206</v>
      </c>
      <c r="E7265" s="6" t="s">
        <v>245</v>
      </c>
      <c r="F7265" s="5" t="s">
        <v>1106</v>
      </c>
      <c r="G7265" s="6" t="str">
        <f>VLOOKUP(E7265,dicionario!$A$1:$C7664,2,0)</f>
        <v>Hemiargus hanno</v>
      </c>
      <c r="H7265" s="6" t="str">
        <f>VLOOKUP(E7265,dicionario!$A$1:$C7664,3,0)</f>
        <v>borboleta-azulzinha-do-trevo</v>
      </c>
    </row>
    <row r="7266">
      <c r="A7266" s="3">
        <v>45723.0</v>
      </c>
      <c r="B7266" s="4">
        <v>0.35625</v>
      </c>
      <c r="C7266" s="5" t="s">
        <v>26</v>
      </c>
      <c r="D7266" s="5" t="s">
        <v>1206</v>
      </c>
      <c r="E7266" s="8" t="s">
        <v>942</v>
      </c>
      <c r="F7266" s="5" t="s">
        <v>943</v>
      </c>
      <c r="G7266" s="6" t="str">
        <f>VLOOKUP(E7266,dicionario!$A$1:$C7665,2,0)</f>
        <v>#N/A</v>
      </c>
      <c r="H7266" s="6" t="str">
        <f>VLOOKUP(E7266,dicionario!$A$1:$C7665,3,0)</f>
        <v>#N/A</v>
      </c>
    </row>
    <row r="7267">
      <c r="A7267" s="3">
        <v>45723.0</v>
      </c>
      <c r="B7267" s="4">
        <v>0.35625</v>
      </c>
      <c r="C7267" s="5" t="s">
        <v>26</v>
      </c>
      <c r="D7267" s="5" t="s">
        <v>1206</v>
      </c>
      <c r="E7267" s="8" t="s">
        <v>571</v>
      </c>
      <c r="F7267" s="5" t="s">
        <v>205</v>
      </c>
      <c r="G7267" s="6" t="str">
        <f>VLOOKUP(E7267,dicionario!$A$1:$C7666,2,0)</f>
        <v>#N/A</v>
      </c>
      <c r="H7267" s="6" t="str">
        <f>VLOOKUP(E7267,dicionario!$A$1:$C7666,3,0)</f>
        <v>#N/A</v>
      </c>
    </row>
    <row r="7268">
      <c r="A7268" s="3">
        <v>45723.0</v>
      </c>
      <c r="B7268" s="4">
        <v>0.35625</v>
      </c>
      <c r="C7268" s="5" t="s">
        <v>26</v>
      </c>
      <c r="D7268" s="5" t="s">
        <v>1206</v>
      </c>
      <c r="E7268" s="6" t="s">
        <v>253</v>
      </c>
      <c r="F7268" s="5" t="s">
        <v>254</v>
      </c>
      <c r="G7268" s="6" t="str">
        <f>VLOOKUP(E7268,dicionario!$A$1:$C7667,2,0)</f>
        <v>Panicum maximum</v>
      </c>
      <c r="H7268" s="6" t="str">
        <f>VLOOKUP(E7268,dicionario!$A$1:$C7667,3,0)</f>
        <v>capim-colonião</v>
      </c>
    </row>
    <row r="7269">
      <c r="A7269" s="3">
        <v>45723.0</v>
      </c>
      <c r="B7269" s="4">
        <v>0.35625</v>
      </c>
      <c r="C7269" s="5" t="s">
        <v>26</v>
      </c>
      <c r="D7269" s="5" t="s">
        <v>1206</v>
      </c>
      <c r="E7269" s="8" t="s">
        <v>53</v>
      </c>
      <c r="F7269" s="7" t="s">
        <v>54</v>
      </c>
      <c r="G7269" s="6" t="str">
        <f>VLOOKUP(E7269,dicionario!$A$1:$C7668,2,0)</f>
        <v>Turnera subulata</v>
      </c>
      <c r="H7269" s="6" t="str">
        <f>VLOOKUP(E7269,dicionario!$A$1:$C7668,3,0)</f>
        <v>xanana</v>
      </c>
    </row>
    <row r="7270">
      <c r="A7270" s="3">
        <v>45723.0</v>
      </c>
      <c r="B7270" s="4">
        <v>0.35694444444444445</v>
      </c>
      <c r="C7270" s="5" t="s">
        <v>26</v>
      </c>
      <c r="D7270" s="5" t="s">
        <v>1206</v>
      </c>
      <c r="E7270" s="8" t="s">
        <v>366</v>
      </c>
      <c r="F7270" s="5" t="s">
        <v>367</v>
      </c>
      <c r="G7270" s="6" t="str">
        <f>VLOOKUP(E7270,dicionario!$A$1:$C7669,2,0)</f>
        <v>Alternanthera ficoidea</v>
      </c>
      <c r="H7270" s="6" t="str">
        <f>VLOOKUP(E7270,dicionario!$A$1:$C7669,3,0)</f>
        <v>quebra-panela</v>
      </c>
    </row>
    <row r="7271">
      <c r="A7271" s="3">
        <v>45723.0</v>
      </c>
      <c r="B7271" s="4">
        <v>0.35694444444444445</v>
      </c>
      <c r="C7271" s="5" t="s">
        <v>26</v>
      </c>
      <c r="D7271" s="5" t="s">
        <v>1206</v>
      </c>
      <c r="E7271" s="8" t="s">
        <v>886</v>
      </c>
      <c r="F7271" s="5" t="s">
        <v>887</v>
      </c>
      <c r="G7271" s="6" t="str">
        <f>VLOOKUP(E7271,dicionario!$A$1:$C7670,2,0)</f>
        <v>Oldenlandia corymbosa</v>
      </c>
      <c r="H7271" s="6" t="str">
        <f>VLOOKUP(E7271,dicionario!$A$1:$C7670,3,0)</f>
        <v>erva-diamante</v>
      </c>
    </row>
    <row r="7272">
      <c r="A7272" s="3">
        <v>45723.0</v>
      </c>
      <c r="B7272" s="4">
        <v>0.35694444444444445</v>
      </c>
      <c r="C7272" s="5" t="s">
        <v>26</v>
      </c>
      <c r="D7272" s="5" t="s">
        <v>1206</v>
      </c>
      <c r="E7272" s="8" t="s">
        <v>302</v>
      </c>
      <c r="F7272" s="5" t="s">
        <v>89</v>
      </c>
      <c r="G7272" s="6" t="str">
        <f>VLOOKUP(E7272,dicionario!$A$1:$C7671,2,0)</f>
        <v>Machetornis rixosa</v>
      </c>
      <c r="H7272" s="6" t="str">
        <f>VLOOKUP(E7272,dicionario!$A$1:$C7671,3,0)</f>
        <v>suiriri-cavaleiro</v>
      </c>
    </row>
    <row r="7273">
      <c r="A7273" s="3">
        <v>45723.0</v>
      </c>
      <c r="B7273" s="4">
        <v>0.35694444444444445</v>
      </c>
      <c r="C7273" s="5" t="s">
        <v>26</v>
      </c>
      <c r="D7273" s="5" t="s">
        <v>1206</v>
      </c>
      <c r="E7273" s="8" t="s">
        <v>12</v>
      </c>
      <c r="F7273" s="5" t="s">
        <v>13</v>
      </c>
      <c r="G7273" s="6" t="str">
        <f>VLOOKUP(E7273,dicionario!$A$1:$C7672,2,0)</f>
        <v>Eulaema nigrita</v>
      </c>
      <c r="H7273" s="6" t="str">
        <f>VLOOKUP(E7273,dicionario!$A$1:$C7672,3,0)</f>
        <v>abelha-de-orquídea</v>
      </c>
    </row>
    <row r="7274">
      <c r="A7274" s="3">
        <v>45723.0</v>
      </c>
      <c r="B7274" s="4">
        <v>0.3576388888888889</v>
      </c>
      <c r="C7274" s="5" t="s">
        <v>26</v>
      </c>
      <c r="D7274" s="5" t="s">
        <v>1206</v>
      </c>
      <c r="E7274" s="8" t="s">
        <v>360</v>
      </c>
      <c r="F7274" s="5" t="s">
        <v>361</v>
      </c>
      <c r="G7274" s="6" t="str">
        <f>VLOOKUP(E7274,dicionario!$A$1:$C7673,2,0)</f>
        <v>Chamaecrista rotundifolia</v>
      </c>
      <c r="H7274" s="6" t="str">
        <f>VLOOKUP(E7274,dicionario!$A$1:$C7673,3,0)</f>
        <v>alfafa-nativa</v>
      </c>
    </row>
    <row r="7275">
      <c r="A7275" s="3">
        <v>45723.0</v>
      </c>
      <c r="B7275" s="4">
        <v>0.3576388888888889</v>
      </c>
      <c r="C7275" s="5" t="s">
        <v>26</v>
      </c>
      <c r="D7275" s="5" t="s">
        <v>1206</v>
      </c>
      <c r="E7275" s="8" t="s">
        <v>358</v>
      </c>
      <c r="F7275" s="5" t="s">
        <v>1236</v>
      </c>
      <c r="G7275" s="6" t="str">
        <f>VLOOKUP(E7275,dicionario!$A$1:$C7674,2,0)</f>
        <v>Sida</v>
      </c>
      <c r="H7275" s="6" t="str">
        <f>VLOOKUP(E7275,dicionario!$A$1:$C7674,3,0)</f>
        <v/>
      </c>
    </row>
    <row r="7276">
      <c r="A7276" s="3">
        <v>45723.0</v>
      </c>
      <c r="B7276" s="4">
        <v>0.35833333333333334</v>
      </c>
      <c r="C7276" s="5" t="s">
        <v>26</v>
      </c>
      <c r="D7276" s="5" t="s">
        <v>1206</v>
      </c>
      <c r="E7276" s="8" t="s">
        <v>217</v>
      </c>
      <c r="F7276" s="5" t="s">
        <v>218</v>
      </c>
      <c r="G7276" s="6" t="str">
        <f>VLOOKUP(E7276,dicionario!$A$1:$C7675,2,0)</f>
        <v>Athene cunicularia</v>
      </c>
      <c r="H7276" s="6" t="str">
        <f>VLOOKUP(E7276,dicionario!$A$1:$C7675,3,0)</f>
        <v>coruja-buraqueira</v>
      </c>
    </row>
    <row r="7277">
      <c r="A7277" s="3">
        <v>45723.0</v>
      </c>
      <c r="B7277" s="4">
        <v>0.36041666666666666</v>
      </c>
      <c r="C7277" s="5" t="s">
        <v>26</v>
      </c>
      <c r="D7277" s="5" t="s">
        <v>1206</v>
      </c>
      <c r="E7277" s="8" t="s">
        <v>206</v>
      </c>
      <c r="F7277" s="5" t="s">
        <v>968</v>
      </c>
      <c r="G7277" s="6" t="str">
        <f>VLOOKUP(E7277,dicionario!$A$1:$C7676,2,0)</f>
        <v>Falco sparverius</v>
      </c>
      <c r="H7277" s="6" t="str">
        <f>VLOOKUP(E7277,dicionario!$A$1:$C7676,3,0)</f>
        <v>quiriquiri</v>
      </c>
    </row>
    <row r="7278">
      <c r="A7278" s="3">
        <v>45723.0</v>
      </c>
      <c r="B7278" s="4">
        <v>0.36180555555555555</v>
      </c>
      <c r="C7278" s="5" t="s">
        <v>26</v>
      </c>
      <c r="D7278" s="5" t="s">
        <v>1206</v>
      </c>
      <c r="E7278" s="8" t="s">
        <v>191</v>
      </c>
      <c r="F7278" s="5" t="s">
        <v>1222</v>
      </c>
      <c r="G7278" s="6" t="str">
        <f>VLOOKUP(E7278,dicionario!$A$1:$C7677,2,0)</f>
        <v>Patagioenas picazuro</v>
      </c>
      <c r="H7278" s="6" t="str">
        <f>VLOOKUP(E7278,dicionario!$A$1:$C7677,3,0)</f>
        <v>asa-branca; pomba-asa-branca; pocaçu</v>
      </c>
    </row>
    <row r="7279">
      <c r="A7279" s="3">
        <v>45723.0</v>
      </c>
      <c r="B7279" s="4">
        <v>0.36180555555555555</v>
      </c>
      <c r="C7279" s="5" t="s">
        <v>26</v>
      </c>
      <c r="D7279" s="5" t="s">
        <v>1206</v>
      </c>
      <c r="E7279" s="8" t="s">
        <v>489</v>
      </c>
      <c r="F7279" s="5" t="s">
        <v>521</v>
      </c>
      <c r="G7279" s="6" t="str">
        <f>VLOOKUP(E7279,dicionario!$A$1:$C7678,2,0)</f>
        <v>Cenchrus echinatus</v>
      </c>
      <c r="H7279" s="6" t="str">
        <f>VLOOKUP(E7279,dicionario!$A$1:$C7678,3,0)</f>
        <v>capim-carrapicho</v>
      </c>
    </row>
    <row r="7280">
      <c r="A7280" s="3">
        <v>45723.0</v>
      </c>
      <c r="B7280" s="4">
        <v>0.3625</v>
      </c>
      <c r="C7280" s="5" t="s">
        <v>8</v>
      </c>
      <c r="D7280" s="5" t="s">
        <v>1206</v>
      </c>
      <c r="E7280" s="6" t="s">
        <v>258</v>
      </c>
      <c r="F7280" s="5" t="s">
        <v>1233</v>
      </c>
      <c r="G7280" s="6" t="str">
        <f>VLOOKUP(E7280,dicionario!$A$1:$C7679,2,0)</f>
        <v>Lantana camara</v>
      </c>
      <c r="H7280" s="6" t="str">
        <f>VLOOKUP(E7280,dicionario!$A$1:$C7679,3,0)</f>
        <v>lantana</v>
      </c>
    </row>
    <row r="7281">
      <c r="A7281" s="3">
        <v>45723.0</v>
      </c>
      <c r="B7281" s="4">
        <v>0.3625</v>
      </c>
      <c r="C7281" s="5" t="s">
        <v>8</v>
      </c>
      <c r="D7281" s="5" t="s">
        <v>1206</v>
      </c>
      <c r="E7281" s="6" t="s">
        <v>146</v>
      </c>
      <c r="F7281" s="5" t="s">
        <v>147</v>
      </c>
      <c r="G7281" s="6" t="str">
        <f>VLOOKUP(E7281,dicionario!$A$1:$C7680,2,0)</f>
        <v>Euphorbia hirta</v>
      </c>
      <c r="H7281" s="6" t="str">
        <f>VLOOKUP(E7281,dicionario!$A$1:$C7680,3,0)</f>
        <v>erva-de-santa-luzia</v>
      </c>
    </row>
    <row r="7282">
      <c r="A7282" s="3">
        <v>45723.0</v>
      </c>
      <c r="B7282" s="4">
        <v>0.3625</v>
      </c>
      <c r="C7282" s="5" t="s">
        <v>8</v>
      </c>
      <c r="D7282" s="5" t="s">
        <v>1206</v>
      </c>
      <c r="E7282" s="8" t="s">
        <v>483</v>
      </c>
      <c r="F7282" s="5" t="s">
        <v>484</v>
      </c>
      <c r="G7282" s="6" t="str">
        <f>VLOOKUP(E7282,dicionario!$A$1:$C7681,2,0)</f>
        <v>Euphorbia prostrata</v>
      </c>
      <c r="H7282" s="6" t="str">
        <f>VLOOKUP(E7282,dicionario!$A$1:$C7681,3,0)</f>
        <v>quebra-pedra-rasteira</v>
      </c>
    </row>
    <row r="7283">
      <c r="A7283" s="3">
        <v>45723.0</v>
      </c>
      <c r="B7283" s="4">
        <v>0.36319444444444443</v>
      </c>
      <c r="C7283" s="5" t="s">
        <v>8</v>
      </c>
      <c r="D7283" s="5" t="s">
        <v>1206</v>
      </c>
      <c r="E7283" s="8" t="s">
        <v>41</v>
      </c>
      <c r="F7283" s="5" t="s">
        <v>45</v>
      </c>
      <c r="G7283" s="6" t="str">
        <f>VLOOKUP(E7283,dicionario!$A$1:$C7682,2,0)</f>
        <v>Mimosa pudica</v>
      </c>
      <c r="H7283" s="6" t="str">
        <f>VLOOKUP(E7283,dicionario!$A$1:$C7682,3,0)</f>
        <v>dormideira</v>
      </c>
    </row>
    <row r="7284">
      <c r="A7284" s="3">
        <v>45723.0</v>
      </c>
      <c r="B7284" s="4">
        <v>0.36319444444444443</v>
      </c>
      <c r="C7284" s="5" t="s">
        <v>8</v>
      </c>
      <c r="D7284" s="5" t="s">
        <v>1206</v>
      </c>
      <c r="E7284" s="8" t="s">
        <v>135</v>
      </c>
      <c r="F7284" s="5" t="s">
        <v>136</v>
      </c>
      <c r="G7284" s="6" t="str">
        <f>VLOOKUP(E7284,dicionario!$A$1:$C7683,2,0)</f>
        <v>Tridax procumbens</v>
      </c>
      <c r="H7284" s="6" t="str">
        <f>VLOOKUP(E7284,dicionario!$A$1:$C7683,3,0)</f>
        <v>erva-de-touro</v>
      </c>
    </row>
    <row r="7285">
      <c r="A7285" s="3">
        <v>45723.0</v>
      </c>
      <c r="B7285" s="4">
        <v>0.36319444444444443</v>
      </c>
      <c r="C7285" s="5" t="s">
        <v>8</v>
      </c>
      <c r="D7285" s="5" t="s">
        <v>1206</v>
      </c>
      <c r="E7285" s="8" t="s">
        <v>109</v>
      </c>
      <c r="F7285" s="5" t="s">
        <v>110</v>
      </c>
      <c r="G7285" s="6" t="str">
        <f>VLOOKUP(E7285,dicionario!$A$1:$C7684,2,0)</f>
        <v>Tillandsia stricta</v>
      </c>
      <c r="H7285" s="6" t="str">
        <f>VLOOKUP(E7285,dicionario!$A$1:$C7684,3,0)</f>
        <v>cravo-do-mato</v>
      </c>
    </row>
    <row r="7286">
      <c r="A7286" s="3">
        <v>45723.0</v>
      </c>
      <c r="B7286" s="4">
        <v>0.36319444444444443</v>
      </c>
      <c r="C7286" s="5" t="s">
        <v>8</v>
      </c>
      <c r="D7286" s="5" t="s">
        <v>1206</v>
      </c>
      <c r="E7286" s="8" t="s">
        <v>298</v>
      </c>
      <c r="F7286" s="5" t="s">
        <v>299</v>
      </c>
      <c r="G7286" s="6" t="str">
        <f>VLOOKUP(E7286,dicionario!$A$1:$C7685,2,0)</f>
        <v>Alysicarpus vaginalis</v>
      </c>
      <c r="H7286" s="6" t="str">
        <f>VLOOKUP(E7286,dicionario!$A$1:$C7685,3,0)</f>
        <v/>
      </c>
    </row>
    <row r="7287">
      <c r="A7287" s="3">
        <v>45723.0</v>
      </c>
      <c r="B7287" s="4">
        <v>0.36319444444444443</v>
      </c>
      <c r="C7287" s="5" t="s">
        <v>8</v>
      </c>
      <c r="D7287" s="5" t="s">
        <v>1206</v>
      </c>
      <c r="E7287" s="8" t="s">
        <v>425</v>
      </c>
      <c r="F7287" s="5" t="s">
        <v>426</v>
      </c>
      <c r="G7287" s="6" t="str">
        <f>VLOOKUP(E7287,dicionario!$A$1:$C7686,2,0)</f>
        <v>Digitaria insularis</v>
      </c>
      <c r="H7287" s="6" t="str">
        <f>VLOOKUP(E7287,dicionario!$A$1:$C7686,3,0)</f>
        <v>capim-amargoso</v>
      </c>
    </row>
    <row r="7288">
      <c r="A7288" s="3">
        <v>45723.0</v>
      </c>
      <c r="B7288" s="4">
        <v>0.36319444444444443</v>
      </c>
      <c r="C7288" s="5" t="s">
        <v>8</v>
      </c>
      <c r="D7288" s="5" t="s">
        <v>1206</v>
      </c>
      <c r="E7288" s="6" t="s">
        <v>113</v>
      </c>
      <c r="F7288" s="5" t="s">
        <v>114</v>
      </c>
      <c r="G7288" s="6" t="str">
        <f>VLOOKUP(E7288,dicionario!$A$1:$C7687,2,0)</f>
        <v>Columbina talpacoti</v>
      </c>
      <c r="H7288" s="6" t="str">
        <f>VLOOKUP(E7288,dicionario!$A$1:$C7687,3,0)</f>
        <v>rolinha-roxa</v>
      </c>
    </row>
    <row r="7289">
      <c r="A7289" s="3">
        <v>45723.0</v>
      </c>
      <c r="B7289" s="4">
        <v>0.3638888888888889</v>
      </c>
      <c r="C7289" s="5" t="s">
        <v>8</v>
      </c>
      <c r="D7289" s="5" t="s">
        <v>1206</v>
      </c>
      <c r="E7289" s="8" t="s">
        <v>571</v>
      </c>
      <c r="F7289" s="5" t="s">
        <v>205</v>
      </c>
      <c r="G7289" s="6" t="str">
        <f>VLOOKUP(E7289,dicionario!$A$1:$C7688,2,0)</f>
        <v>#N/A</v>
      </c>
      <c r="H7289" s="6" t="str">
        <f>VLOOKUP(E7289,dicionario!$A$1:$C7688,3,0)</f>
        <v>#N/A</v>
      </c>
    </row>
    <row r="7290">
      <c r="A7290" s="3">
        <v>45723.0</v>
      </c>
      <c r="B7290" s="4">
        <v>0.3645833333333333</v>
      </c>
      <c r="C7290" s="5" t="s">
        <v>8</v>
      </c>
      <c r="D7290" s="5" t="s">
        <v>1206</v>
      </c>
      <c r="E7290" s="8" t="s">
        <v>206</v>
      </c>
      <c r="F7290" s="5" t="s">
        <v>968</v>
      </c>
      <c r="G7290" s="6" t="str">
        <f>VLOOKUP(E7290,dicionario!$A$1:$C7689,2,0)</f>
        <v>Falco sparverius</v>
      </c>
      <c r="H7290" s="6" t="str">
        <f>VLOOKUP(E7290,dicionario!$A$1:$C7689,3,0)</f>
        <v>quiriquiri</v>
      </c>
    </row>
    <row r="7291">
      <c r="A7291" s="3">
        <v>45723.0</v>
      </c>
      <c r="B7291" s="4">
        <v>0.3645833333333333</v>
      </c>
      <c r="C7291" s="5" t="s">
        <v>8</v>
      </c>
      <c r="D7291" s="5" t="s">
        <v>1206</v>
      </c>
      <c r="E7291" s="8" t="s">
        <v>225</v>
      </c>
      <c r="F7291" s="5" t="s">
        <v>226</v>
      </c>
      <c r="G7291" s="6" t="str">
        <f>VLOOKUP(E7291,dicionario!$A$1:$C7690,2,0)</f>
        <v>Passer domesticus</v>
      </c>
      <c r="H7291" s="6" t="str">
        <f>VLOOKUP(E7291,dicionario!$A$1:$C7690,3,0)</f>
        <v>pardal</v>
      </c>
    </row>
    <row r="7292">
      <c r="A7292" s="3">
        <v>45723.0</v>
      </c>
      <c r="B7292" s="4">
        <v>0.3645833333333333</v>
      </c>
      <c r="C7292" s="5" t="s">
        <v>8</v>
      </c>
      <c r="D7292" s="5" t="s">
        <v>1206</v>
      </c>
      <c r="E7292" s="8" t="s">
        <v>215</v>
      </c>
      <c r="F7292" s="5" t="s">
        <v>216</v>
      </c>
      <c r="G7292" s="6" t="str">
        <f>VLOOKUP(E7292,dicionario!$A$1:$C7691,2,0)</f>
        <v>Pygochelidon cyanoleuca</v>
      </c>
      <c r="H7292" s="6" t="str">
        <f>VLOOKUP(E7292,dicionario!$A$1:$C7691,3,0)</f>
        <v>andorinha-pequena-de-casa</v>
      </c>
    </row>
    <row r="7293">
      <c r="A7293" s="3">
        <v>45723.0</v>
      </c>
      <c r="B7293" s="4">
        <v>0.3645833333333333</v>
      </c>
      <c r="C7293" s="5" t="s">
        <v>8</v>
      </c>
      <c r="D7293" s="5" t="s">
        <v>1206</v>
      </c>
      <c r="E7293" s="8" t="s">
        <v>909</v>
      </c>
      <c r="F7293" s="5" t="s">
        <v>910</v>
      </c>
      <c r="G7293" s="6" t="str">
        <f>VLOOKUP(E7293,dicionario!$A$1:$C7692,2,0)</f>
        <v>Chordeiles acutipennis</v>
      </c>
      <c r="H7293" s="6" t="str">
        <f>VLOOKUP(E7293,dicionario!$A$1:$C7692,3,0)</f>
        <v>bacurau-de-asa-fina</v>
      </c>
    </row>
    <row r="7294">
      <c r="A7294" s="3">
        <v>45723.0</v>
      </c>
      <c r="B7294" s="4">
        <v>0.3645833333333333</v>
      </c>
      <c r="C7294" s="5" t="s">
        <v>8</v>
      </c>
      <c r="D7294" s="5" t="s">
        <v>1206</v>
      </c>
      <c r="E7294" s="8" t="s">
        <v>1237</v>
      </c>
      <c r="F7294" s="5" t="s">
        <v>1236</v>
      </c>
      <c r="G7294" s="6" t="str">
        <f>VLOOKUP(E7294,dicionario!$A$1:$C7693,2,0)</f>
        <v>#N/A</v>
      </c>
      <c r="H7294" s="6" t="str">
        <f>VLOOKUP(E7294,dicionario!$A$1:$C7693,3,0)</f>
        <v>#N/A</v>
      </c>
    </row>
    <row r="7295">
      <c r="A7295" s="3">
        <v>45723.0</v>
      </c>
      <c r="B7295" s="4">
        <v>0.36527777777777776</v>
      </c>
      <c r="C7295" s="5" t="s">
        <v>8</v>
      </c>
      <c r="D7295" s="5" t="s">
        <v>1206</v>
      </c>
      <c r="E7295" s="8" t="s">
        <v>353</v>
      </c>
      <c r="F7295" s="5" t="s">
        <v>354</v>
      </c>
      <c r="G7295" s="6" t="str">
        <f>VLOOKUP(E7295,dicionario!$A$1:$C7694,2,0)</f>
        <v>Desmodium incanum</v>
      </c>
      <c r="H7295" s="6" t="str">
        <f>VLOOKUP(E7295,dicionario!$A$1:$C7694,3,0)</f>
        <v>pega-pega</v>
      </c>
    </row>
    <row r="7296">
      <c r="A7296" s="3">
        <v>45723.0</v>
      </c>
      <c r="B7296" s="4">
        <v>0.3659722222222222</v>
      </c>
      <c r="C7296" s="5" t="s">
        <v>8</v>
      </c>
      <c r="D7296" s="5" t="s">
        <v>1206</v>
      </c>
      <c r="E7296" s="8" t="s">
        <v>72</v>
      </c>
      <c r="F7296" s="5" t="s">
        <v>73</v>
      </c>
      <c r="G7296" s="6" t="str">
        <f>VLOOKUP(E7296,dicionario!$A$1:$C7695,2,0)</f>
        <v>Thraupis palmarum</v>
      </c>
      <c r="H7296" s="6" t="str">
        <f>VLOOKUP(E7296,dicionario!$A$1:$C7695,3,0)</f>
        <v>sanhaço-do-coqueiro</v>
      </c>
    </row>
    <row r="7297">
      <c r="A7297" s="3">
        <v>45723.0</v>
      </c>
      <c r="B7297" s="4">
        <v>0.3659722222222222</v>
      </c>
      <c r="C7297" s="5" t="s">
        <v>8</v>
      </c>
      <c r="D7297" s="5" t="s">
        <v>1206</v>
      </c>
      <c r="E7297" s="8" t="s">
        <v>712</v>
      </c>
      <c r="F7297" s="5" t="s">
        <v>912</v>
      </c>
      <c r="G7297" s="6" t="str">
        <f>VLOOKUP(E7297,dicionario!$A$1:$C7696,2,0)</f>
        <v>Flavopunctelia soredica</v>
      </c>
      <c r="H7297" s="6" t="str">
        <f>VLOOKUP(E7297,dicionario!$A$1:$C7696,3,0)</f>
        <v>líquen-folioso</v>
      </c>
    </row>
    <row r="7298">
      <c r="A7298" s="3">
        <v>45723.0</v>
      </c>
      <c r="B7298" s="4">
        <v>0.3659722222222222</v>
      </c>
      <c r="C7298" s="5" t="s">
        <v>8</v>
      </c>
      <c r="D7298" s="5" t="s">
        <v>1206</v>
      </c>
      <c r="E7298" s="8" t="s">
        <v>719</v>
      </c>
      <c r="F7298" s="5" t="s">
        <v>911</v>
      </c>
      <c r="G7298" s="6" t="str">
        <f>VLOOKUP(E7298,dicionario!$A$1:$C7697,2,0)</f>
        <v>Dirinaria</v>
      </c>
      <c r="H7298" s="6" t="str">
        <f>VLOOKUP(E7298,dicionario!$A$1:$C7697,3,0)</f>
        <v>líquen-crostoso</v>
      </c>
    </row>
    <row r="7299">
      <c r="A7299" s="3">
        <v>45723.0</v>
      </c>
      <c r="B7299" s="4">
        <v>0.3659722222222222</v>
      </c>
      <c r="C7299" s="5" t="s">
        <v>8</v>
      </c>
      <c r="D7299" s="5" t="s">
        <v>1206</v>
      </c>
      <c r="E7299" s="8" t="s">
        <v>503</v>
      </c>
      <c r="F7299" s="5" t="s">
        <v>414</v>
      </c>
      <c r="G7299" s="6" t="str">
        <f>VLOOKUP(E7299,dicionario!$A$1:$C7698,2,0)</f>
        <v>Orphulella punctata</v>
      </c>
      <c r="H7299" s="6" t="str">
        <f>VLOOKUP(E7299,dicionario!$A$1:$C7698,3,0)</f>
        <v>gafanhotinho</v>
      </c>
    </row>
    <row r="7300">
      <c r="A7300" s="3">
        <v>45723.0</v>
      </c>
      <c r="B7300" s="4">
        <v>0.3659722222222222</v>
      </c>
      <c r="C7300" s="5" t="s">
        <v>8</v>
      </c>
      <c r="D7300" s="5" t="s">
        <v>1206</v>
      </c>
      <c r="E7300" s="8" t="s">
        <v>489</v>
      </c>
      <c r="F7300" s="5" t="s">
        <v>521</v>
      </c>
      <c r="G7300" s="6" t="str">
        <f>VLOOKUP(E7300,dicionario!$A$1:$C7699,2,0)</f>
        <v>Cenchrus echinatus</v>
      </c>
      <c r="H7300" s="6" t="str">
        <f>VLOOKUP(E7300,dicionario!$A$1:$C7699,3,0)</f>
        <v>capim-carrapicho</v>
      </c>
    </row>
    <row r="7301">
      <c r="A7301" s="3">
        <v>45723.0</v>
      </c>
      <c r="B7301" s="4">
        <v>0.3659722222222222</v>
      </c>
      <c r="C7301" s="5" t="s">
        <v>8</v>
      </c>
      <c r="D7301" s="5" t="s">
        <v>1206</v>
      </c>
      <c r="E7301" s="8" t="s">
        <v>360</v>
      </c>
      <c r="F7301" s="5" t="s">
        <v>361</v>
      </c>
      <c r="G7301" s="6" t="str">
        <f>VLOOKUP(E7301,dicionario!$A$1:$C7700,2,0)</f>
        <v>Chamaecrista rotundifolia</v>
      </c>
      <c r="H7301" s="6" t="str">
        <f>VLOOKUP(E7301,dicionario!$A$1:$C7700,3,0)</f>
        <v>alfafa-nativa</v>
      </c>
    </row>
    <row r="7302">
      <c r="A7302" s="3">
        <v>45723.0</v>
      </c>
      <c r="B7302" s="4">
        <v>0.3659722222222222</v>
      </c>
      <c r="C7302" s="5" t="s">
        <v>8</v>
      </c>
      <c r="D7302" s="5" t="s">
        <v>1206</v>
      </c>
      <c r="E7302" s="8" t="s">
        <v>109</v>
      </c>
      <c r="F7302" s="5" t="s">
        <v>110</v>
      </c>
      <c r="G7302" s="6" t="str">
        <f>VLOOKUP(E7302,dicionario!$A$1:$C7701,2,0)</f>
        <v>Tillandsia stricta</v>
      </c>
      <c r="H7302" s="6" t="str">
        <f>VLOOKUP(E7302,dicionario!$A$1:$C7701,3,0)</f>
        <v>cravo-do-mato</v>
      </c>
    </row>
    <row r="7303">
      <c r="A7303" s="3">
        <v>45723.0</v>
      </c>
      <c r="B7303" s="4">
        <v>0.36666666666666664</v>
      </c>
      <c r="C7303" s="5" t="s">
        <v>8</v>
      </c>
      <c r="D7303" s="5" t="s">
        <v>1206</v>
      </c>
      <c r="E7303" s="8" t="s">
        <v>223</v>
      </c>
      <c r="F7303" s="5" t="s">
        <v>224</v>
      </c>
      <c r="G7303" s="6" t="str">
        <f>VLOOKUP(E7303,dicionario!$A$1:$C7702,2,0)</f>
        <v>Rhipsalis lindbergiana</v>
      </c>
      <c r="H7303" s="6" t="str">
        <f>VLOOKUP(E7303,dicionario!$A$1:$C7702,3,0)</f>
        <v>cacto-macarrão</v>
      </c>
    </row>
    <row r="7304">
      <c r="A7304" s="3">
        <v>45723.0</v>
      </c>
      <c r="B7304" s="4">
        <v>0.36875</v>
      </c>
      <c r="C7304" s="5" t="s">
        <v>8</v>
      </c>
      <c r="D7304" s="5" t="s">
        <v>1206</v>
      </c>
      <c r="E7304" s="6" t="s">
        <v>253</v>
      </c>
      <c r="F7304" s="5" t="s">
        <v>254</v>
      </c>
      <c r="G7304" s="6" t="str">
        <f>VLOOKUP(E7304,dicionario!$A$1:$C7703,2,0)</f>
        <v>Panicum maximum</v>
      </c>
      <c r="H7304" s="6" t="str">
        <f>VLOOKUP(E7304,dicionario!$A$1:$C7703,3,0)</f>
        <v>capim-colonião</v>
      </c>
    </row>
    <row r="7305">
      <c r="A7305" s="3">
        <v>45723.0</v>
      </c>
      <c r="B7305" s="4">
        <v>0.36875</v>
      </c>
      <c r="C7305" s="5" t="s">
        <v>8</v>
      </c>
      <c r="D7305" s="5" t="s">
        <v>1206</v>
      </c>
      <c r="E7305" s="8" t="s">
        <v>355</v>
      </c>
      <c r="F7305" s="5" t="s">
        <v>356</v>
      </c>
      <c r="G7305" s="6" t="str">
        <f>VLOOKUP(E7305,dicionario!$A$1:$C7704,2,0)</f>
        <v>Boerhavia diffusa</v>
      </c>
      <c r="H7305" s="6" t="str">
        <f>VLOOKUP(E7305,dicionario!$A$1:$C7704,3,0)</f>
        <v>erva-tostão</v>
      </c>
    </row>
    <row r="7306">
      <c r="A7306" s="3">
        <v>45729.0</v>
      </c>
      <c r="B7306" s="4">
        <v>0.2534722222222222</v>
      </c>
      <c r="C7306" s="5" t="s">
        <v>8</v>
      </c>
      <c r="D7306" s="5" t="s">
        <v>1238</v>
      </c>
      <c r="E7306" s="8" t="s">
        <v>105</v>
      </c>
      <c r="F7306" s="5" t="s">
        <v>106</v>
      </c>
      <c r="G7306" s="6" t="str">
        <f>VLOOKUP(E7306,dicionario!$A$1:$C7705,2,0)</f>
        <v>Progne tapera</v>
      </c>
      <c r="H7306" s="6" t="str">
        <f>VLOOKUP(E7306,dicionario!$A$1:$C7705,3,0)</f>
        <v>andorinha-do-campo</v>
      </c>
    </row>
    <row r="7307">
      <c r="A7307" s="3">
        <v>45729.0</v>
      </c>
      <c r="B7307" s="4">
        <v>0.2534722222222222</v>
      </c>
      <c r="C7307" s="5" t="s">
        <v>8</v>
      </c>
      <c r="D7307" s="5" t="s">
        <v>1238</v>
      </c>
      <c r="E7307" s="8" t="s">
        <v>103</v>
      </c>
      <c r="F7307" s="5" t="s">
        <v>104</v>
      </c>
      <c r="G7307" s="6" t="str">
        <f>VLOOKUP(E7307,dicionario!$A$1:$C7706,2,0)</f>
        <v>Caracara plancus</v>
      </c>
      <c r="H7307" s="6" t="str">
        <f>VLOOKUP(E7307,dicionario!$A$1:$C7706,3,0)</f>
        <v>carcará </v>
      </c>
    </row>
    <row r="7308">
      <c r="A7308" s="3">
        <v>45729.0</v>
      </c>
      <c r="B7308" s="4">
        <v>0.2548611111111111</v>
      </c>
      <c r="C7308" s="5" t="s">
        <v>8</v>
      </c>
      <c r="D7308" s="5" t="s">
        <v>1238</v>
      </c>
      <c r="E7308" s="8" t="s">
        <v>302</v>
      </c>
      <c r="F7308" s="5" t="s">
        <v>89</v>
      </c>
      <c r="G7308" s="6" t="str">
        <f>VLOOKUP(E7308,dicionario!$A$1:$C7707,2,0)</f>
        <v>Machetornis rixosa</v>
      </c>
      <c r="H7308" s="6" t="str">
        <f>VLOOKUP(E7308,dicionario!$A$1:$C7707,3,0)</f>
        <v>suiriri-cavaleiro</v>
      </c>
    </row>
    <row r="7309">
      <c r="A7309" s="3">
        <v>45729.0</v>
      </c>
      <c r="B7309" s="4">
        <v>0.2548611111111111</v>
      </c>
      <c r="C7309" s="5" t="s">
        <v>8</v>
      </c>
      <c r="D7309" s="5" t="s">
        <v>1238</v>
      </c>
      <c r="E7309" s="8" t="s">
        <v>1239</v>
      </c>
      <c r="F7309" s="5" t="s">
        <v>136</v>
      </c>
      <c r="G7309" s="6" t="str">
        <f>VLOOKUP(E7309,dicionario!$A$1:$C7708,2,0)</f>
        <v>#N/A</v>
      </c>
      <c r="H7309" s="6" t="str">
        <f>VLOOKUP(E7309,dicionario!$A$1:$C7708,3,0)</f>
        <v>#N/A</v>
      </c>
    </row>
    <row r="7310">
      <c r="A7310" s="3">
        <v>45729.0</v>
      </c>
      <c r="B7310" s="4">
        <v>0.2548611111111111</v>
      </c>
      <c r="C7310" s="5" t="s">
        <v>8</v>
      </c>
      <c r="D7310" s="5" t="s">
        <v>1238</v>
      </c>
      <c r="E7310" s="8" t="s">
        <v>109</v>
      </c>
      <c r="F7310" s="5" t="s">
        <v>110</v>
      </c>
      <c r="G7310" s="6" t="str">
        <f>VLOOKUP(E7310,dicionario!$A$1:$C7709,2,0)</f>
        <v>Tillandsia stricta</v>
      </c>
      <c r="H7310" s="6" t="str">
        <f>VLOOKUP(E7310,dicionario!$A$1:$C7709,3,0)</f>
        <v>cravo-do-mato</v>
      </c>
    </row>
    <row r="7311">
      <c r="A7311" s="3">
        <v>45729.0</v>
      </c>
      <c r="B7311" s="4">
        <v>0.2548611111111111</v>
      </c>
      <c r="C7311" s="5" t="s">
        <v>8</v>
      </c>
      <c r="D7311" s="5" t="s">
        <v>1238</v>
      </c>
      <c r="E7311" s="8" t="s">
        <v>163</v>
      </c>
      <c r="F7311" s="5" t="s">
        <v>164</v>
      </c>
      <c r="G7311" s="6" t="str">
        <f>VLOOKUP(E7311,dicionario!$A$1:$C7710,2,0)</f>
        <v>Coragyps atratus</v>
      </c>
      <c r="H7311" s="6" t="str">
        <f>VLOOKUP(E7311,dicionario!$A$1:$C7710,3,0)</f>
        <v>urubu-de-cabeça-preta</v>
      </c>
    </row>
    <row r="7312">
      <c r="A7312" s="3">
        <v>45729.0</v>
      </c>
      <c r="B7312" s="4">
        <v>0.2548611111111111</v>
      </c>
      <c r="C7312" s="5" t="s">
        <v>8</v>
      </c>
      <c r="D7312" s="5" t="s">
        <v>1238</v>
      </c>
      <c r="E7312" s="8" t="s">
        <v>719</v>
      </c>
      <c r="F7312" s="5" t="s">
        <v>720</v>
      </c>
      <c r="G7312" s="6" t="str">
        <f>VLOOKUP(E7312,dicionario!$A$1:$C7711,2,0)</f>
        <v>Dirinaria</v>
      </c>
      <c r="H7312" s="6" t="str">
        <f>VLOOKUP(E7312,dicionario!$A$1:$C7711,3,0)</f>
        <v>líquen-crostoso</v>
      </c>
    </row>
    <row r="7313">
      <c r="A7313" s="3">
        <v>45729.0</v>
      </c>
      <c r="B7313" s="4">
        <v>0.25555555555555554</v>
      </c>
      <c r="C7313" s="5" t="s">
        <v>8</v>
      </c>
      <c r="D7313" s="5" t="s">
        <v>1238</v>
      </c>
      <c r="E7313" s="8" t="s">
        <v>712</v>
      </c>
      <c r="F7313" s="5" t="s">
        <v>718</v>
      </c>
      <c r="G7313" s="6" t="str">
        <f>VLOOKUP(E7313,dicionario!$A$1:$C7712,2,0)</f>
        <v>Flavopunctelia soredica</v>
      </c>
      <c r="H7313" s="6" t="str">
        <f>VLOOKUP(E7313,dicionario!$A$1:$C7712,3,0)</f>
        <v>líquen-folioso</v>
      </c>
    </row>
    <row r="7314">
      <c r="A7314" s="3">
        <v>45729.0</v>
      </c>
      <c r="B7314" s="4">
        <v>0.25555555555555554</v>
      </c>
      <c r="C7314" s="5" t="s">
        <v>8</v>
      </c>
      <c r="D7314" s="5" t="s">
        <v>1238</v>
      </c>
      <c r="E7314" s="8" t="s">
        <v>1240</v>
      </c>
      <c r="F7314" s="5" t="s">
        <v>108</v>
      </c>
      <c r="G7314" s="6" t="str">
        <f>VLOOKUP(E7314,dicionario!$A$1:$C7713,2,0)</f>
        <v>#N/A</v>
      </c>
      <c r="H7314" s="6" t="str">
        <f>VLOOKUP(E7314,dicionario!$A$1:$C7713,3,0)</f>
        <v>#N/A</v>
      </c>
    </row>
    <row r="7315">
      <c r="A7315" s="3">
        <v>45729.0</v>
      </c>
      <c r="B7315" s="4">
        <v>0.25555555555555554</v>
      </c>
      <c r="C7315" s="5" t="s">
        <v>8</v>
      </c>
      <c r="D7315" s="5" t="s">
        <v>1238</v>
      </c>
      <c r="E7315" s="8" t="s">
        <v>20</v>
      </c>
      <c r="F7315" s="5" t="s">
        <v>1241</v>
      </c>
      <c r="G7315" s="6" t="str">
        <f>VLOOKUP(E7315,dicionario!$A$1:$C7714,2,0)</f>
        <v>Sicalis flaveola</v>
      </c>
      <c r="H7315" s="6" t="str">
        <f>VLOOKUP(E7315,dicionario!$A$1:$C7714,3,0)</f>
        <v>canário-da-terra</v>
      </c>
    </row>
    <row r="7316">
      <c r="A7316" s="3">
        <v>45729.0</v>
      </c>
      <c r="B7316" s="4">
        <v>0.25625</v>
      </c>
      <c r="C7316" s="5" t="s">
        <v>8</v>
      </c>
      <c r="D7316" s="5" t="s">
        <v>1238</v>
      </c>
      <c r="E7316" s="8" t="s">
        <v>909</v>
      </c>
      <c r="F7316" s="5" t="s">
        <v>910</v>
      </c>
      <c r="G7316" s="6" t="str">
        <f>VLOOKUP(E7316,dicionario!$A$1:$C7715,2,0)</f>
        <v>Chordeiles acutipennis</v>
      </c>
      <c r="H7316" s="6" t="str">
        <f>VLOOKUP(E7316,dicionario!$A$1:$C7715,3,0)</f>
        <v>bacurau-de-asa-fina</v>
      </c>
    </row>
    <row r="7317">
      <c r="A7317" s="3">
        <v>45729.0</v>
      </c>
      <c r="B7317" s="4">
        <v>0.25763888888888886</v>
      </c>
      <c r="C7317" s="5" t="s">
        <v>8</v>
      </c>
      <c r="D7317" s="5" t="s">
        <v>1238</v>
      </c>
      <c r="E7317" s="8" t="s">
        <v>378</v>
      </c>
      <c r="F7317" s="5" t="s">
        <v>205</v>
      </c>
      <c r="G7317" s="6" t="str">
        <f>VLOOKUP(E7317,dicionario!$A$1:$C7716,2,0)</f>
        <v>Polistes</v>
      </c>
      <c r="H7317" s="6" t="str">
        <f>VLOOKUP(E7317,dicionario!$A$1:$C7716,3,0)</f>
        <v>marimbondo</v>
      </c>
    </row>
    <row r="7318">
      <c r="A7318" s="3">
        <v>45729.0</v>
      </c>
      <c r="B7318" s="4">
        <v>0.2590277777777778</v>
      </c>
      <c r="C7318" s="5" t="s">
        <v>8</v>
      </c>
      <c r="D7318" s="5" t="s">
        <v>1238</v>
      </c>
      <c r="E7318" s="8" t="s">
        <v>60</v>
      </c>
      <c r="F7318" s="5" t="s">
        <v>61</v>
      </c>
      <c r="G7318" s="6" t="str">
        <f>VLOOKUP(E7318,dicionario!$A$1:$C7717,2,0)</f>
        <v>Vanellus chilensis</v>
      </c>
      <c r="H7318" s="6" t="str">
        <f>VLOOKUP(E7318,dicionario!$A$1:$C7717,3,0)</f>
        <v>quero-quero</v>
      </c>
    </row>
    <row r="7319">
      <c r="A7319" s="3">
        <v>45729.0</v>
      </c>
      <c r="B7319" s="4">
        <v>0.2590277777777778</v>
      </c>
      <c r="C7319" s="5" t="s">
        <v>8</v>
      </c>
      <c r="D7319" s="5" t="s">
        <v>1238</v>
      </c>
      <c r="E7319" s="8" t="s">
        <v>258</v>
      </c>
      <c r="F7319" s="5" t="s">
        <v>259</v>
      </c>
      <c r="G7319" s="6" t="str">
        <f>VLOOKUP(E7319,dicionario!$A$1:$C7718,2,0)</f>
        <v>Lantana camara</v>
      </c>
      <c r="H7319" s="6" t="str">
        <f>VLOOKUP(E7319,dicionario!$A$1:$C7718,3,0)</f>
        <v>lantana</v>
      </c>
    </row>
    <row r="7320">
      <c r="A7320" s="3">
        <v>45729.0</v>
      </c>
      <c r="B7320" s="4">
        <v>0.2604166666666667</v>
      </c>
      <c r="C7320" s="5" t="s">
        <v>8</v>
      </c>
      <c r="D7320" s="5" t="s">
        <v>1238</v>
      </c>
      <c r="E7320" s="8" t="s">
        <v>286</v>
      </c>
      <c r="F7320" s="5" t="s">
        <v>1242</v>
      </c>
      <c r="G7320" s="6" t="str">
        <f>VLOOKUP(E7320,dicionario!$A$1:$C7719,2,0)</f>
        <v>Setaria parviflora</v>
      </c>
      <c r="H7320" s="6" t="str">
        <f>VLOOKUP(E7320,dicionario!$A$1:$C7719,3,0)</f>
        <v>capim-rabo-de-raposa</v>
      </c>
    </row>
    <row r="7321">
      <c r="A7321" s="3">
        <v>45729.0</v>
      </c>
      <c r="B7321" s="4">
        <v>0.26319444444444445</v>
      </c>
      <c r="C7321" s="5" t="s">
        <v>8</v>
      </c>
      <c r="D7321" s="5" t="s">
        <v>1238</v>
      </c>
      <c r="E7321" s="8" t="s">
        <v>217</v>
      </c>
      <c r="F7321" s="5" t="s">
        <v>218</v>
      </c>
      <c r="G7321" s="6" t="str">
        <f>VLOOKUP(E7321,dicionario!$A$1:$C7720,2,0)</f>
        <v>Athene cunicularia</v>
      </c>
      <c r="H7321" s="6" t="str">
        <f>VLOOKUP(E7321,dicionario!$A$1:$C7720,3,0)</f>
        <v>coruja-buraqueira</v>
      </c>
    </row>
    <row r="7322">
      <c r="A7322" s="3">
        <v>45729.0</v>
      </c>
      <c r="B7322" s="4">
        <v>0.2638888888888889</v>
      </c>
      <c r="C7322" s="5" t="s">
        <v>905</v>
      </c>
      <c r="D7322" s="5" t="s">
        <v>1238</v>
      </c>
      <c r="E7322" s="8" t="s">
        <v>65</v>
      </c>
      <c r="F7322" s="5" t="s">
        <v>66</v>
      </c>
      <c r="G7322" s="6" t="str">
        <f>VLOOKUP(E7322,dicionario!$A$1:$C7721,2,0)</f>
        <v>Pitangus sulphutarus</v>
      </c>
      <c r="H7322" s="6" t="str">
        <f>VLOOKUP(E7322,dicionario!$A$1:$C7721,3,0)</f>
        <v>bem-te-vi</v>
      </c>
    </row>
    <row r="7323">
      <c r="A7323" s="3">
        <v>45729.0</v>
      </c>
      <c r="B7323" s="4">
        <v>0.2652777777777778</v>
      </c>
      <c r="C7323" s="5" t="s">
        <v>905</v>
      </c>
      <c r="D7323" s="5" t="s">
        <v>1238</v>
      </c>
      <c r="E7323" s="8" t="s">
        <v>41</v>
      </c>
      <c r="F7323" s="5" t="s">
        <v>45</v>
      </c>
      <c r="G7323" s="6" t="str">
        <f>VLOOKUP(E7323,dicionario!$A$1:$C7722,2,0)</f>
        <v>Mimosa pudica</v>
      </c>
      <c r="H7323" s="6" t="str">
        <f>VLOOKUP(E7323,dicionario!$A$1:$C7722,3,0)</f>
        <v>dormideira</v>
      </c>
    </row>
    <row r="7324">
      <c r="A7324" s="3">
        <v>45729.0</v>
      </c>
      <c r="B7324" s="4">
        <v>0.2652777777777778</v>
      </c>
      <c r="C7324" s="5" t="s">
        <v>905</v>
      </c>
      <c r="D7324" s="5" t="s">
        <v>1238</v>
      </c>
      <c r="E7324" s="8" t="s">
        <v>20</v>
      </c>
      <c r="F7324" s="5" t="s">
        <v>21</v>
      </c>
      <c r="G7324" s="6" t="str">
        <f>VLOOKUP(E7324,dicionario!$A$1:$C7723,2,0)</f>
        <v>Sicalis flaveola</v>
      </c>
      <c r="H7324" s="6" t="str">
        <f>VLOOKUP(E7324,dicionario!$A$1:$C7723,3,0)</f>
        <v>canário-da-terra</v>
      </c>
    </row>
    <row r="7325">
      <c r="A7325" s="3">
        <v>45729.0</v>
      </c>
      <c r="B7325" s="4">
        <v>0.26666666666666666</v>
      </c>
      <c r="C7325" s="5" t="s">
        <v>905</v>
      </c>
      <c r="D7325" s="5" t="s">
        <v>1238</v>
      </c>
      <c r="E7325" s="8" t="s">
        <v>366</v>
      </c>
      <c r="F7325" s="5" t="s">
        <v>367</v>
      </c>
      <c r="G7325" s="6" t="str">
        <f>VLOOKUP(E7325,dicionario!$A$1:$C7724,2,0)</f>
        <v>Alternanthera ficoidea</v>
      </c>
      <c r="H7325" s="6" t="str">
        <f>VLOOKUP(E7325,dicionario!$A$1:$C7724,3,0)</f>
        <v>quebra-panela</v>
      </c>
    </row>
    <row r="7326">
      <c r="A7326" s="3">
        <v>45729.0</v>
      </c>
      <c r="B7326" s="4">
        <v>0.2673611111111111</v>
      </c>
      <c r="C7326" s="5" t="s">
        <v>905</v>
      </c>
      <c r="D7326" s="5" t="s">
        <v>1238</v>
      </c>
      <c r="E7326" s="8" t="s">
        <v>163</v>
      </c>
      <c r="F7326" s="5" t="s">
        <v>164</v>
      </c>
      <c r="G7326" s="6" t="str">
        <f>VLOOKUP(E7326,dicionario!$A$1:$C7725,2,0)</f>
        <v>Coragyps atratus</v>
      </c>
      <c r="H7326" s="6" t="str">
        <f>VLOOKUP(E7326,dicionario!$A$1:$C7725,3,0)</f>
        <v>urubu-de-cabeça-preta</v>
      </c>
    </row>
    <row r="7327">
      <c r="A7327" s="3">
        <v>45729.0</v>
      </c>
      <c r="B7327" s="4">
        <v>0.26875</v>
      </c>
      <c r="C7327" s="5" t="s">
        <v>905</v>
      </c>
      <c r="D7327" s="5" t="s">
        <v>1238</v>
      </c>
      <c r="E7327" s="8" t="s">
        <v>103</v>
      </c>
      <c r="F7327" s="5" t="s">
        <v>104</v>
      </c>
      <c r="G7327" s="6" t="str">
        <f>VLOOKUP(E7327,dicionario!$A$1:$C7726,2,0)</f>
        <v>Caracara plancus</v>
      </c>
      <c r="H7327" s="6" t="str">
        <f>VLOOKUP(E7327,dicionario!$A$1:$C7726,3,0)</f>
        <v>carcará </v>
      </c>
    </row>
    <row r="7328">
      <c r="A7328" s="3">
        <v>45729.0</v>
      </c>
      <c r="B7328" s="4">
        <v>0.26875</v>
      </c>
      <c r="C7328" s="5" t="s">
        <v>905</v>
      </c>
      <c r="D7328" s="5" t="s">
        <v>1238</v>
      </c>
      <c r="E7328" s="8" t="s">
        <v>60</v>
      </c>
      <c r="F7328" s="5" t="s">
        <v>61</v>
      </c>
      <c r="G7328" s="6" t="str">
        <f>VLOOKUP(E7328,dicionario!$A$1:$C7727,2,0)</f>
        <v>Vanellus chilensis</v>
      </c>
      <c r="H7328" s="6" t="str">
        <f>VLOOKUP(E7328,dicionario!$A$1:$C7727,3,0)</f>
        <v>quero-quero</v>
      </c>
    </row>
    <row r="7329">
      <c r="A7329" s="3">
        <v>45729.0</v>
      </c>
      <c r="B7329" s="4">
        <v>0.26875</v>
      </c>
      <c r="C7329" s="5" t="s">
        <v>905</v>
      </c>
      <c r="D7329" s="5" t="s">
        <v>1238</v>
      </c>
      <c r="E7329" s="8" t="s">
        <v>150</v>
      </c>
      <c r="F7329" s="5" t="s">
        <v>151</v>
      </c>
      <c r="G7329" s="6" t="str">
        <f>VLOOKUP(E7329,dicionario!$A$1:$C7728,2,0)</f>
        <v>Amaranthus viridis</v>
      </c>
      <c r="H7329" s="6" t="str">
        <f>VLOOKUP(E7329,dicionario!$A$1:$C7728,3,0)</f>
        <v>caruru-de-mancha</v>
      </c>
    </row>
    <row r="7330">
      <c r="A7330" s="3">
        <v>45729.0</v>
      </c>
      <c r="B7330" s="4">
        <v>0.26944444444444443</v>
      </c>
      <c r="C7330" s="5" t="s">
        <v>905</v>
      </c>
      <c r="D7330" s="5" t="s">
        <v>1238</v>
      </c>
      <c r="E7330" s="6" t="s">
        <v>253</v>
      </c>
      <c r="F7330" s="5" t="s">
        <v>254</v>
      </c>
      <c r="G7330" s="6" t="str">
        <f>VLOOKUP(E7330,dicionario!$A$1:$C7729,2,0)</f>
        <v>Panicum maximum</v>
      </c>
      <c r="H7330" s="6" t="str">
        <f>VLOOKUP(E7330,dicionario!$A$1:$C7729,3,0)</f>
        <v>capim-colonião</v>
      </c>
    </row>
    <row r="7331">
      <c r="A7331" s="3">
        <v>45729.0</v>
      </c>
      <c r="B7331" s="4">
        <v>0.2701388888888889</v>
      </c>
      <c r="C7331" s="5" t="s">
        <v>905</v>
      </c>
      <c r="D7331" s="5" t="s">
        <v>1238</v>
      </c>
      <c r="E7331" s="8" t="s">
        <v>450</v>
      </c>
      <c r="F7331" s="5" t="s">
        <v>921</v>
      </c>
      <c r="G7331" s="6" t="str">
        <f>VLOOKUP(E7331,dicionario!$A$1:$C7730,2,0)</f>
        <v>#N/A</v>
      </c>
      <c r="H7331" s="6" t="str">
        <f>VLOOKUP(E7331,dicionario!$A$1:$C7730,3,0)</f>
        <v>#N/A</v>
      </c>
    </row>
    <row r="7332">
      <c r="A7332" s="3">
        <v>45729.0</v>
      </c>
      <c r="B7332" s="4">
        <v>0.2701388888888889</v>
      </c>
      <c r="C7332" s="5" t="s">
        <v>905</v>
      </c>
      <c r="D7332" s="5" t="s">
        <v>1238</v>
      </c>
      <c r="E7332" s="12" t="s">
        <v>243</v>
      </c>
      <c r="F7332" s="5" t="s">
        <v>244</v>
      </c>
      <c r="G7332" s="6" t="str">
        <f>VLOOKUP(E7332,dicionario!$A$1:$C7731,2,0)</f>
        <v>Macroptilium atropurpureum</v>
      </c>
      <c r="H7332" s="6" t="str">
        <f>VLOOKUP(E7332,dicionario!$A$1:$C7731,3,0)</f>
        <v>feijão-de-pombo</v>
      </c>
    </row>
    <row r="7333">
      <c r="A7333" s="3">
        <v>45729.0</v>
      </c>
      <c r="B7333" s="4">
        <v>0.2701388888888889</v>
      </c>
      <c r="C7333" s="5" t="s">
        <v>905</v>
      </c>
      <c r="D7333" s="5" t="s">
        <v>1238</v>
      </c>
      <c r="E7333" s="8" t="s">
        <v>1087</v>
      </c>
      <c r="F7333" s="5" t="s">
        <v>1088</v>
      </c>
      <c r="G7333" s="6" t="str">
        <f>VLOOKUP(E7333,dicionario!$A$1:$C7732,2,0)</f>
        <v>Desmodium triflorum</v>
      </c>
      <c r="H7333" s="6" t="str">
        <f>VLOOKUP(E7333,dicionario!$A$1:$C7732,3,0)</f>
        <v/>
      </c>
    </row>
    <row r="7334">
      <c r="A7334" s="3">
        <v>45729.0</v>
      </c>
      <c r="B7334" s="4">
        <v>0.27152777777777776</v>
      </c>
      <c r="C7334" s="5" t="s">
        <v>905</v>
      </c>
      <c r="D7334" s="5" t="s">
        <v>1238</v>
      </c>
      <c r="E7334" s="8" t="s">
        <v>111</v>
      </c>
      <c r="F7334" s="7" t="s">
        <v>112</v>
      </c>
      <c r="G7334" s="6" t="str">
        <f>VLOOKUP(E7334,dicionario!$A$1:$C7733,2,0)</f>
        <v>Trigona spinipes</v>
      </c>
      <c r="H7334" s="6" t="str">
        <f>VLOOKUP(E7334,dicionario!$A$1:$C7733,3,0)</f>
        <v>abelha-cachorro</v>
      </c>
    </row>
    <row r="7335">
      <c r="A7335" s="3">
        <v>45729.0</v>
      </c>
      <c r="B7335" s="4">
        <v>0.27152777777777776</v>
      </c>
      <c r="C7335" s="5" t="s">
        <v>905</v>
      </c>
      <c r="D7335" s="5" t="s">
        <v>1238</v>
      </c>
      <c r="E7335" s="8" t="s">
        <v>65</v>
      </c>
      <c r="F7335" s="5" t="s">
        <v>66</v>
      </c>
      <c r="G7335" s="6" t="str">
        <f>VLOOKUP(E7335,dicionario!$A$1:$C7734,2,0)</f>
        <v>Pitangus sulphutarus</v>
      </c>
      <c r="H7335" s="6" t="str">
        <f>VLOOKUP(E7335,dicionario!$A$1:$C7734,3,0)</f>
        <v>bem-te-vi</v>
      </c>
    </row>
    <row r="7336">
      <c r="A7336" s="3">
        <v>45729.0</v>
      </c>
      <c r="B7336" s="4">
        <v>0.2722222222222222</v>
      </c>
      <c r="C7336" s="5" t="s">
        <v>33</v>
      </c>
      <c r="D7336" s="5" t="s">
        <v>1238</v>
      </c>
      <c r="E7336" s="8" t="s">
        <v>20</v>
      </c>
      <c r="F7336" s="5" t="s">
        <v>21</v>
      </c>
      <c r="G7336" s="6" t="str">
        <f>VLOOKUP(E7336,dicionario!$A$1:$C7735,2,0)</f>
        <v>Sicalis flaveola</v>
      </c>
      <c r="H7336" s="6" t="str">
        <f>VLOOKUP(E7336,dicionario!$A$1:$C7735,3,0)</f>
        <v>canário-da-terra</v>
      </c>
    </row>
    <row r="7337">
      <c r="A7337" s="3">
        <v>45729.0</v>
      </c>
      <c r="B7337" s="4">
        <v>0.2722222222222222</v>
      </c>
      <c r="C7337" s="5" t="s">
        <v>33</v>
      </c>
      <c r="D7337" s="5" t="s">
        <v>1238</v>
      </c>
      <c r="E7337" s="8" t="s">
        <v>109</v>
      </c>
      <c r="F7337" s="5" t="s">
        <v>110</v>
      </c>
      <c r="G7337" s="6" t="str">
        <f>VLOOKUP(E7337,dicionario!$A$1:$C7736,2,0)</f>
        <v>Tillandsia stricta</v>
      </c>
      <c r="H7337" s="6" t="str">
        <f>VLOOKUP(E7337,dicionario!$A$1:$C7736,3,0)</f>
        <v>cravo-do-mato</v>
      </c>
    </row>
    <row r="7338">
      <c r="A7338" s="3">
        <v>45729.0</v>
      </c>
      <c r="B7338" s="4">
        <v>0.2722222222222222</v>
      </c>
      <c r="C7338" s="5" t="s">
        <v>33</v>
      </c>
      <c r="D7338" s="5" t="s">
        <v>1238</v>
      </c>
      <c r="E7338" s="8" t="s">
        <v>258</v>
      </c>
      <c r="F7338" s="5" t="s">
        <v>259</v>
      </c>
      <c r="G7338" s="6" t="str">
        <f>VLOOKUP(E7338,dicionario!$A$1:$C7737,2,0)</f>
        <v>Lantana camara</v>
      </c>
      <c r="H7338" s="6" t="str">
        <f>VLOOKUP(E7338,dicionario!$A$1:$C7737,3,0)</f>
        <v>lantana</v>
      </c>
    </row>
    <row r="7339">
      <c r="A7339" s="3">
        <v>45729.0</v>
      </c>
      <c r="B7339" s="4">
        <v>0.27291666666666664</v>
      </c>
      <c r="C7339" s="5" t="s">
        <v>33</v>
      </c>
      <c r="D7339" s="5" t="s">
        <v>1238</v>
      </c>
      <c r="E7339" s="8" t="s">
        <v>286</v>
      </c>
      <c r="F7339" s="5" t="s">
        <v>1242</v>
      </c>
      <c r="G7339" s="6" t="str">
        <f>VLOOKUP(E7339,dicionario!$A$1:$C7738,2,0)</f>
        <v>Setaria parviflora</v>
      </c>
      <c r="H7339" s="6" t="str">
        <f>VLOOKUP(E7339,dicionario!$A$1:$C7738,3,0)</f>
        <v>capim-rabo-de-raposa</v>
      </c>
    </row>
    <row r="7340">
      <c r="A7340" s="3">
        <v>45729.0</v>
      </c>
      <c r="B7340" s="4">
        <v>0.27291666666666664</v>
      </c>
      <c r="C7340" s="5" t="s">
        <v>33</v>
      </c>
      <c r="D7340" s="5" t="s">
        <v>1238</v>
      </c>
      <c r="E7340" s="8" t="s">
        <v>732</v>
      </c>
      <c r="F7340" s="5" t="s">
        <v>1230</v>
      </c>
      <c r="G7340" s="6" t="str">
        <f>VLOOKUP(E7340,dicionario!$A$1:$C7739,2,0)</f>
        <v>#N/A</v>
      </c>
      <c r="H7340" s="6" t="str">
        <f>VLOOKUP(E7340,dicionario!$A$1:$C7739,3,0)</f>
        <v>#N/A</v>
      </c>
    </row>
    <row r="7341">
      <c r="A7341" s="3">
        <v>45729.0</v>
      </c>
      <c r="B7341" s="4">
        <v>0.27361111111111114</v>
      </c>
      <c r="C7341" s="5" t="s">
        <v>33</v>
      </c>
      <c r="D7341" s="5" t="s">
        <v>1238</v>
      </c>
      <c r="E7341" s="8" t="s">
        <v>247</v>
      </c>
      <c r="F7341" s="5" t="s">
        <v>387</v>
      </c>
      <c r="G7341" s="6" t="str">
        <f>VLOOKUP(E7341,dicionario!$A$1:$C7740,2,0)</f>
        <v>Emilia sonchifolia</v>
      </c>
      <c r="H7341" s="6" t="str">
        <f>VLOOKUP(E7341,dicionario!$A$1:$C7740,3,0)</f>
        <v>serralinha</v>
      </c>
    </row>
    <row r="7342">
      <c r="A7342" s="3">
        <v>45729.0</v>
      </c>
      <c r="B7342" s="4">
        <v>0.27361111111111114</v>
      </c>
      <c r="C7342" s="5" t="s">
        <v>33</v>
      </c>
      <c r="D7342" s="5" t="s">
        <v>1238</v>
      </c>
      <c r="E7342" s="8" t="s">
        <v>103</v>
      </c>
      <c r="F7342" s="5" t="s">
        <v>104</v>
      </c>
      <c r="G7342" s="6" t="str">
        <f>VLOOKUP(E7342,dicionario!$A$1:$C7741,2,0)</f>
        <v>Caracara plancus</v>
      </c>
      <c r="H7342" s="6" t="str">
        <f>VLOOKUP(E7342,dicionario!$A$1:$C7741,3,0)</f>
        <v>carcará </v>
      </c>
    </row>
    <row r="7343">
      <c r="A7343" s="3">
        <v>45729.0</v>
      </c>
      <c r="B7343" s="4">
        <v>0.27361111111111114</v>
      </c>
      <c r="C7343" s="5" t="s">
        <v>33</v>
      </c>
      <c r="D7343" s="5" t="s">
        <v>1238</v>
      </c>
      <c r="E7343" s="8" t="s">
        <v>302</v>
      </c>
      <c r="F7343" s="5" t="s">
        <v>89</v>
      </c>
      <c r="G7343" s="6" t="str">
        <f>VLOOKUP(E7343,dicionario!$A$1:$C7742,2,0)</f>
        <v>Machetornis rixosa</v>
      </c>
      <c r="H7343" s="6" t="str">
        <f>VLOOKUP(E7343,dicionario!$A$1:$C7742,3,0)</f>
        <v>suiriri-cavaleiro</v>
      </c>
    </row>
    <row r="7344">
      <c r="A7344" s="3">
        <v>45729.0</v>
      </c>
      <c r="B7344" s="4">
        <v>0.275</v>
      </c>
      <c r="C7344" s="5" t="s">
        <v>33</v>
      </c>
      <c r="D7344" s="5" t="s">
        <v>1238</v>
      </c>
      <c r="E7344" s="8" t="s">
        <v>113</v>
      </c>
      <c r="F7344" s="5" t="s">
        <v>114</v>
      </c>
      <c r="G7344" s="6" t="str">
        <f>VLOOKUP(E7344,dicionario!$A$1:$C7743,2,0)</f>
        <v>Columbina talpacoti</v>
      </c>
      <c r="H7344" s="6" t="str">
        <f>VLOOKUP(E7344,dicionario!$A$1:$C7743,3,0)</f>
        <v>rolinha-roxa</v>
      </c>
    </row>
    <row r="7345">
      <c r="A7345" s="3">
        <v>45729.0</v>
      </c>
      <c r="B7345" s="4">
        <v>0.275</v>
      </c>
      <c r="C7345" s="5" t="s">
        <v>33</v>
      </c>
      <c r="D7345" s="5" t="s">
        <v>1238</v>
      </c>
      <c r="E7345" s="8" t="s">
        <v>719</v>
      </c>
      <c r="F7345" s="5" t="s">
        <v>720</v>
      </c>
      <c r="G7345" s="6" t="str">
        <f>VLOOKUP(E7345,dicionario!$A$1:$C7744,2,0)</f>
        <v>Dirinaria</v>
      </c>
      <c r="H7345" s="6" t="str">
        <f>VLOOKUP(E7345,dicionario!$A$1:$C7744,3,0)</f>
        <v>líquen-crostoso</v>
      </c>
    </row>
    <row r="7346">
      <c r="A7346" s="3">
        <v>45729.0</v>
      </c>
      <c r="B7346" s="4">
        <v>0.27569444444444446</v>
      </c>
      <c r="C7346" s="5" t="s">
        <v>33</v>
      </c>
      <c r="D7346" s="5" t="s">
        <v>1238</v>
      </c>
      <c r="E7346" s="8" t="s">
        <v>712</v>
      </c>
      <c r="F7346" s="5" t="s">
        <v>718</v>
      </c>
      <c r="G7346" s="6" t="str">
        <f>VLOOKUP(E7346,dicionario!$A$1:$C7745,2,0)</f>
        <v>Flavopunctelia soredica</v>
      </c>
      <c r="H7346" s="6" t="str">
        <f>VLOOKUP(E7346,dicionario!$A$1:$C7745,3,0)</f>
        <v>líquen-folioso</v>
      </c>
    </row>
    <row r="7347">
      <c r="A7347" s="3">
        <v>45729.0</v>
      </c>
      <c r="B7347" s="4">
        <v>0.27569444444444446</v>
      </c>
      <c r="C7347" s="5" t="s">
        <v>33</v>
      </c>
      <c r="D7347" s="5" t="s">
        <v>1238</v>
      </c>
      <c r="E7347" s="8" t="s">
        <v>107</v>
      </c>
      <c r="F7347" s="5" t="s">
        <v>108</v>
      </c>
      <c r="G7347" s="6" t="str">
        <f>VLOOKUP(E7347,dicionario!$A$1:$C7746,2,0)</f>
        <v>Ramalina complanata</v>
      </c>
      <c r="H7347" s="6" t="str">
        <f>VLOOKUP(E7347,dicionario!$A$1:$C7746,3,0)</f>
        <v>ramalina</v>
      </c>
    </row>
    <row r="7348">
      <c r="A7348" s="3">
        <v>45729.0</v>
      </c>
      <c r="B7348" s="4">
        <v>0.27708333333333335</v>
      </c>
      <c r="C7348" s="5" t="s">
        <v>33</v>
      </c>
      <c r="D7348" s="5" t="s">
        <v>1238</v>
      </c>
      <c r="E7348" s="8" t="s">
        <v>471</v>
      </c>
      <c r="F7348" s="5" t="s">
        <v>472</v>
      </c>
      <c r="G7348" s="6" t="str">
        <f>VLOOKUP(E7348,dicionario!$A$1:$C7747,2,0)</f>
        <v>Sida acuta</v>
      </c>
      <c r="H7348" s="6" t="str">
        <f>VLOOKUP(E7348,dicionario!$A$1:$C7747,3,0)</f>
        <v>reloginho</v>
      </c>
    </row>
    <row r="7349">
      <c r="A7349" s="3">
        <v>45729.0</v>
      </c>
      <c r="B7349" s="4">
        <v>0.27708333333333335</v>
      </c>
      <c r="C7349" s="5" t="s">
        <v>33</v>
      </c>
      <c r="D7349" s="5" t="s">
        <v>1238</v>
      </c>
      <c r="E7349" s="26" t="s">
        <v>870</v>
      </c>
      <c r="F7349" s="5" t="s">
        <v>1243</v>
      </c>
      <c r="G7349" s="6" t="str">
        <f>VLOOKUP(E7349,dicionario!$A$1:$C7748,2,0)</f>
        <v>#N/A</v>
      </c>
      <c r="H7349" s="6" t="str">
        <f>VLOOKUP(E7349,dicionario!$A$1:$C7748,3,0)</f>
        <v>#N/A</v>
      </c>
    </row>
    <row r="7350">
      <c r="A7350" s="3">
        <v>45729.0</v>
      </c>
      <c r="B7350" s="4">
        <v>0.27708333333333335</v>
      </c>
      <c r="C7350" s="5" t="s">
        <v>33</v>
      </c>
      <c r="D7350" s="5" t="s">
        <v>1238</v>
      </c>
      <c r="E7350" s="20" t="s">
        <v>676</v>
      </c>
      <c r="F7350" s="5" t="s">
        <v>677</v>
      </c>
      <c r="G7350" s="6" t="str">
        <f>VLOOKUP(E7350,dicionario!$A$1:$C7749,2,0)</f>
        <v>Zornia latifolia</v>
      </c>
      <c r="H7350" s="6" t="str">
        <f>VLOOKUP(E7350,dicionario!$A$1:$C7749,3,0)</f>
        <v>arrozinho-do-campo</v>
      </c>
    </row>
    <row r="7351">
      <c r="A7351" s="3">
        <v>45729.0</v>
      </c>
      <c r="B7351" s="4">
        <v>0.2777777777777778</v>
      </c>
      <c r="C7351" s="5" t="s">
        <v>33</v>
      </c>
      <c r="D7351" s="5" t="s">
        <v>1238</v>
      </c>
      <c r="E7351" s="8" t="s">
        <v>631</v>
      </c>
      <c r="F7351" s="5" t="s">
        <v>632</v>
      </c>
      <c r="G7351" s="6" t="str">
        <f>VLOOKUP(E7351,dicionario!$A$1:$C7750,2,0)</f>
        <v>Chamaecrista nictitans</v>
      </c>
      <c r="H7351" s="6" t="str">
        <f>VLOOKUP(E7351,dicionario!$A$1:$C7750,3,0)</f>
        <v>falsa-dormideira</v>
      </c>
    </row>
    <row r="7352">
      <c r="A7352" s="3">
        <v>45729.0</v>
      </c>
      <c r="B7352" s="4">
        <v>0.2777777777777778</v>
      </c>
      <c r="C7352" s="5" t="s">
        <v>33</v>
      </c>
      <c r="D7352" s="5" t="s">
        <v>1238</v>
      </c>
      <c r="E7352" s="8" t="s">
        <v>378</v>
      </c>
      <c r="F7352" s="5" t="s">
        <v>205</v>
      </c>
      <c r="G7352" s="6" t="str">
        <f>VLOOKUP(E7352,dicionario!$A$1:$C7751,2,0)</f>
        <v>Polistes</v>
      </c>
      <c r="H7352" s="6" t="str">
        <f>VLOOKUP(E7352,dicionario!$A$1:$C7751,3,0)</f>
        <v>marimbondo</v>
      </c>
    </row>
    <row r="7353">
      <c r="A7353" s="3">
        <v>45729.0</v>
      </c>
      <c r="B7353" s="4">
        <v>0.2777777777777778</v>
      </c>
      <c r="C7353" s="5" t="s">
        <v>33</v>
      </c>
      <c r="D7353" s="5" t="s">
        <v>1238</v>
      </c>
      <c r="E7353" s="8" t="s">
        <v>53</v>
      </c>
      <c r="F7353" s="5" t="s">
        <v>54</v>
      </c>
      <c r="G7353" s="6" t="str">
        <f>VLOOKUP(E7353,dicionario!$A$1:$C7752,2,0)</f>
        <v>Turnera subulata</v>
      </c>
      <c r="H7353" s="6" t="str">
        <f>VLOOKUP(E7353,dicionario!$A$1:$C7752,3,0)</f>
        <v>xanana</v>
      </c>
    </row>
    <row r="7354">
      <c r="A7354" s="3">
        <v>45729.0</v>
      </c>
      <c r="B7354" s="4">
        <v>0.2791666666666667</v>
      </c>
      <c r="C7354" s="5" t="s">
        <v>40</v>
      </c>
      <c r="D7354" s="5" t="s">
        <v>1238</v>
      </c>
      <c r="E7354" s="8" t="s">
        <v>1087</v>
      </c>
      <c r="F7354" s="5" t="s">
        <v>1088</v>
      </c>
      <c r="G7354" s="6" t="str">
        <f>VLOOKUP(E7354,dicionario!$A$1:$C7753,2,0)</f>
        <v>Desmodium triflorum</v>
      </c>
      <c r="H7354" s="6" t="str">
        <f>VLOOKUP(E7354,dicionario!$A$1:$C7753,3,0)</f>
        <v/>
      </c>
    </row>
    <row r="7355">
      <c r="A7355" s="3">
        <v>45729.0</v>
      </c>
      <c r="B7355" s="4">
        <v>0.2791666666666667</v>
      </c>
      <c r="C7355" s="5" t="s">
        <v>40</v>
      </c>
      <c r="D7355" s="5" t="s">
        <v>1238</v>
      </c>
      <c r="E7355" s="8" t="s">
        <v>1239</v>
      </c>
      <c r="F7355" s="5" t="s">
        <v>136</v>
      </c>
      <c r="G7355" s="6" t="str">
        <f>VLOOKUP(E7355,dicionario!$A$1:$C7754,2,0)</f>
        <v>#N/A</v>
      </c>
      <c r="H7355" s="6" t="str">
        <f>VLOOKUP(E7355,dicionario!$A$1:$C7754,3,0)</f>
        <v>#N/A</v>
      </c>
    </row>
    <row r="7356">
      <c r="A7356" s="3">
        <v>45729.0</v>
      </c>
      <c r="B7356" s="4">
        <v>0.2798611111111111</v>
      </c>
      <c r="C7356" s="5" t="s">
        <v>40</v>
      </c>
      <c r="D7356" s="5" t="s">
        <v>1238</v>
      </c>
      <c r="E7356" s="8" t="s">
        <v>296</v>
      </c>
      <c r="F7356" s="5" t="s">
        <v>297</v>
      </c>
      <c r="G7356" s="6" t="str">
        <f>VLOOKUP(E7356,dicionario!$A$1:$C7755,2,0)</f>
        <v>Richardia brasiliensis</v>
      </c>
      <c r="H7356" s="6" t="str">
        <f>VLOOKUP(E7356,dicionario!$A$1:$C7755,3,0)</f>
        <v>poaia-branca</v>
      </c>
    </row>
    <row r="7357">
      <c r="A7357" s="3">
        <v>45729.0</v>
      </c>
      <c r="B7357" s="4">
        <v>0.28055555555555556</v>
      </c>
      <c r="C7357" s="5" t="s">
        <v>40</v>
      </c>
      <c r="D7357" s="5" t="s">
        <v>1238</v>
      </c>
      <c r="E7357" s="8" t="s">
        <v>195</v>
      </c>
      <c r="F7357" s="5" t="s">
        <v>196</v>
      </c>
      <c r="G7357" s="6" t="str">
        <f>VLOOKUP(E7357,dicionario!$A$1:$C7756,2,0)</f>
        <v>Priva lappulacea</v>
      </c>
      <c r="H7357" s="6" t="str">
        <f>VLOOKUP(E7357,dicionario!$A$1:$C7756,3,0)</f>
        <v>carrapicho</v>
      </c>
    </row>
    <row r="7358">
      <c r="A7358" s="3">
        <v>45729.0</v>
      </c>
      <c r="B7358" s="4">
        <v>0.28194444444444444</v>
      </c>
      <c r="C7358" s="5" t="s">
        <v>40</v>
      </c>
      <c r="D7358" s="5" t="s">
        <v>1238</v>
      </c>
      <c r="E7358" s="8" t="s">
        <v>150</v>
      </c>
      <c r="F7358" s="5" t="s">
        <v>151</v>
      </c>
      <c r="G7358" s="6" t="str">
        <f>VLOOKUP(E7358,dicionario!$A$1:$C7757,2,0)</f>
        <v>Amaranthus viridis</v>
      </c>
      <c r="H7358" s="6" t="str">
        <f>VLOOKUP(E7358,dicionario!$A$1:$C7757,3,0)</f>
        <v>caruru-de-mancha</v>
      </c>
    </row>
    <row r="7359">
      <c r="A7359" s="3">
        <v>45729.0</v>
      </c>
      <c r="B7359" s="4">
        <v>0.2826388888888889</v>
      </c>
      <c r="C7359" s="5" t="s">
        <v>40</v>
      </c>
      <c r="D7359" s="5" t="s">
        <v>1238</v>
      </c>
      <c r="E7359" s="8" t="s">
        <v>146</v>
      </c>
      <c r="F7359" s="5" t="s">
        <v>147</v>
      </c>
      <c r="G7359" s="6" t="str">
        <f>VLOOKUP(E7359,dicionario!$A$1:$C7758,2,0)</f>
        <v>Euphorbia hirta</v>
      </c>
      <c r="H7359" s="6" t="str">
        <f>VLOOKUP(E7359,dicionario!$A$1:$C7758,3,0)</f>
        <v>erva-de-santa-luzia</v>
      </c>
    </row>
    <row r="7360">
      <c r="A7360" s="3">
        <v>45729.0</v>
      </c>
      <c r="B7360" s="4">
        <v>0.2826388888888889</v>
      </c>
      <c r="C7360" s="5" t="s">
        <v>40</v>
      </c>
      <c r="D7360" s="5" t="s">
        <v>1238</v>
      </c>
      <c r="E7360" s="8" t="s">
        <v>239</v>
      </c>
      <c r="F7360" s="5" t="s">
        <v>240</v>
      </c>
      <c r="G7360" s="6" t="str">
        <f>VLOOKUP(E7360,dicionario!$A$1:$C7759,2,0)</f>
        <v>Gomphrena celosioides</v>
      </c>
      <c r="H7360" s="6" t="str">
        <f>VLOOKUP(E7360,dicionario!$A$1:$C7759,3,0)</f>
        <v>perpétua-branca</v>
      </c>
    </row>
    <row r="7361">
      <c r="A7361" s="3">
        <v>45729.0</v>
      </c>
      <c r="B7361" s="4">
        <v>0.28402777777777777</v>
      </c>
      <c r="C7361" s="5" t="s">
        <v>40</v>
      </c>
      <c r="D7361" s="5" t="s">
        <v>1238</v>
      </c>
      <c r="E7361" s="8" t="s">
        <v>227</v>
      </c>
      <c r="F7361" s="5" t="s">
        <v>228</v>
      </c>
      <c r="G7361" s="6" t="str">
        <f>VLOOKUP(E7361,dicionario!$A$1:$C7760,2,0)</f>
        <v>Indigofera hirsuta</v>
      </c>
      <c r="H7361" s="6" t="str">
        <f>VLOOKUP(E7361,dicionario!$A$1:$C7760,3,0)</f>
        <v>anileira</v>
      </c>
    </row>
    <row r="7362">
      <c r="A7362" s="3">
        <v>45729.0</v>
      </c>
      <c r="B7362" s="4">
        <v>0.2847222222222222</v>
      </c>
      <c r="C7362" s="5" t="s">
        <v>40</v>
      </c>
      <c r="D7362" s="5" t="s">
        <v>1238</v>
      </c>
      <c r="E7362" s="8" t="s">
        <v>388</v>
      </c>
      <c r="F7362" s="5" t="s">
        <v>389</v>
      </c>
      <c r="G7362" s="6" t="str">
        <f>VLOOKUP(E7362,dicionario!$A$1:$C7761,2,0)</f>
        <v>Bulimulus tenuissimus</v>
      </c>
      <c r="H7362" s="6" t="str">
        <f>VLOOKUP(E7362,dicionario!$A$1:$C7761,3,0)</f>
        <v>caracol-fantasma</v>
      </c>
    </row>
    <row r="7363">
      <c r="A7363" s="3">
        <v>45729.0</v>
      </c>
      <c r="B7363" s="4">
        <v>0.28680555555555554</v>
      </c>
      <c r="C7363" s="5" t="s">
        <v>40</v>
      </c>
      <c r="D7363" s="5" t="s">
        <v>1238</v>
      </c>
      <c r="E7363" s="8" t="s">
        <v>1123</v>
      </c>
      <c r="F7363" s="5" t="s">
        <v>737</v>
      </c>
      <c r="G7363" s="6" t="str">
        <f>VLOOKUP(E7363,dicionario!$A$1:$C7762,2,0)</f>
        <v>#N/A</v>
      </c>
      <c r="H7363" s="6" t="str">
        <f>VLOOKUP(E7363,dicionario!$A$1:$C7762,3,0)</f>
        <v>#N/A</v>
      </c>
    </row>
    <row r="7364">
      <c r="A7364" s="3">
        <v>45729.0</v>
      </c>
      <c r="B7364" s="4">
        <v>0.2881944444444444</v>
      </c>
      <c r="C7364" s="5" t="s">
        <v>40</v>
      </c>
      <c r="D7364" s="5" t="s">
        <v>1238</v>
      </c>
      <c r="E7364" s="8" t="s">
        <v>286</v>
      </c>
      <c r="F7364" s="5" t="s">
        <v>1242</v>
      </c>
      <c r="G7364" s="6" t="str">
        <f>VLOOKUP(E7364,dicionario!$A$1:$C7763,2,0)</f>
        <v>Setaria parviflora</v>
      </c>
      <c r="H7364" s="6" t="str">
        <f>VLOOKUP(E7364,dicionario!$A$1:$C7763,3,0)</f>
        <v>capim-rabo-de-raposa</v>
      </c>
    </row>
    <row r="7365">
      <c r="A7365" s="3">
        <v>45729.0</v>
      </c>
      <c r="B7365" s="4">
        <v>0.2881944444444444</v>
      </c>
      <c r="C7365" s="5" t="s">
        <v>40</v>
      </c>
      <c r="D7365" s="5" t="s">
        <v>1238</v>
      </c>
      <c r="E7365" s="26" t="s">
        <v>870</v>
      </c>
      <c r="F7365" s="5" t="s">
        <v>1243</v>
      </c>
      <c r="G7365" s="6" t="str">
        <f>VLOOKUP(E7365,dicionario!$A$1:$C7764,2,0)</f>
        <v>#N/A</v>
      </c>
      <c r="H7365" s="6" t="str">
        <f>VLOOKUP(E7365,dicionario!$A$1:$C7764,3,0)</f>
        <v>#N/A</v>
      </c>
    </row>
    <row r="7366">
      <c r="A7366" s="3">
        <v>45729.0</v>
      </c>
      <c r="B7366" s="4">
        <v>0.2923611111111111</v>
      </c>
      <c r="C7366" s="5" t="s">
        <v>50</v>
      </c>
      <c r="D7366" s="5" t="s">
        <v>1238</v>
      </c>
      <c r="E7366" s="8" t="s">
        <v>338</v>
      </c>
      <c r="F7366" s="5" t="s">
        <v>929</v>
      </c>
      <c r="G7366" s="6" t="str">
        <f>VLOOKUP(E7366,dicionario!$A$1:$C7765,2,0)</f>
        <v>Atta</v>
      </c>
      <c r="H7366" s="6" t="str">
        <f>VLOOKUP(E7366,dicionario!$A$1:$C7765,3,0)</f>
        <v>saúva</v>
      </c>
    </row>
    <row r="7367">
      <c r="A7367" s="3">
        <v>45729.0</v>
      </c>
      <c r="B7367" s="4">
        <v>0.2923611111111111</v>
      </c>
      <c r="C7367" s="5" t="s">
        <v>50</v>
      </c>
      <c r="D7367" s="5" t="s">
        <v>1238</v>
      </c>
      <c r="E7367" s="8" t="s">
        <v>65</v>
      </c>
      <c r="F7367" s="5" t="s">
        <v>66</v>
      </c>
      <c r="G7367" s="6" t="str">
        <f>VLOOKUP(E7367,dicionario!$A$1:$C7766,2,0)</f>
        <v>Pitangus sulphutarus</v>
      </c>
      <c r="H7367" s="6" t="str">
        <f>VLOOKUP(E7367,dicionario!$A$1:$C7766,3,0)</f>
        <v>bem-te-vi</v>
      </c>
    </row>
    <row r="7368">
      <c r="A7368" s="3">
        <v>45729.0</v>
      </c>
      <c r="B7368" s="4">
        <v>0.2923611111111111</v>
      </c>
      <c r="C7368" s="5" t="s">
        <v>50</v>
      </c>
      <c r="D7368" s="5" t="s">
        <v>1238</v>
      </c>
      <c r="E7368" s="8" t="s">
        <v>53</v>
      </c>
      <c r="F7368" s="5" t="s">
        <v>54</v>
      </c>
      <c r="G7368" s="6" t="str">
        <f>VLOOKUP(E7368,dicionario!$A$1:$C7767,2,0)</f>
        <v>Turnera subulata</v>
      </c>
      <c r="H7368" s="6" t="str">
        <f>VLOOKUP(E7368,dicionario!$A$1:$C7767,3,0)</f>
        <v>xanana</v>
      </c>
    </row>
    <row r="7369">
      <c r="A7369" s="3">
        <v>45729.0</v>
      </c>
      <c r="B7369" s="4">
        <v>0.29375</v>
      </c>
      <c r="C7369" s="5" t="s">
        <v>50</v>
      </c>
      <c r="D7369" s="5" t="s">
        <v>1238</v>
      </c>
      <c r="E7369" s="8" t="s">
        <v>296</v>
      </c>
      <c r="F7369" s="5" t="s">
        <v>297</v>
      </c>
      <c r="G7369" s="6" t="str">
        <f>VLOOKUP(E7369,dicionario!$A$1:$C7768,2,0)</f>
        <v>Richardia brasiliensis</v>
      </c>
      <c r="H7369" s="6" t="str">
        <f>VLOOKUP(E7369,dicionario!$A$1:$C7768,3,0)</f>
        <v>poaia-branca</v>
      </c>
    </row>
    <row r="7370">
      <c r="A7370" s="3">
        <v>45729.0</v>
      </c>
      <c r="B7370" s="4">
        <v>0.29444444444444445</v>
      </c>
      <c r="C7370" s="5" t="s">
        <v>50</v>
      </c>
      <c r="D7370" s="5" t="s">
        <v>1238</v>
      </c>
      <c r="E7370" s="8" t="s">
        <v>1123</v>
      </c>
      <c r="F7370" s="5" t="s">
        <v>737</v>
      </c>
      <c r="G7370" s="6" t="str">
        <f>VLOOKUP(E7370,dicionario!$A$1:$C7769,2,0)</f>
        <v>#N/A</v>
      </c>
      <c r="H7370" s="6" t="str">
        <f>VLOOKUP(E7370,dicionario!$A$1:$C7769,3,0)</f>
        <v>#N/A</v>
      </c>
    </row>
    <row r="7371">
      <c r="A7371" s="3">
        <v>45729.0</v>
      </c>
      <c r="B7371" s="4">
        <v>0.29444444444444445</v>
      </c>
      <c r="C7371" s="5" t="s">
        <v>50</v>
      </c>
      <c r="D7371" s="5" t="s">
        <v>1238</v>
      </c>
      <c r="E7371" s="8" t="s">
        <v>227</v>
      </c>
      <c r="F7371" s="5" t="s">
        <v>228</v>
      </c>
      <c r="G7371" s="6" t="str">
        <f>VLOOKUP(E7371,dicionario!$A$1:$C7770,2,0)</f>
        <v>Indigofera hirsuta</v>
      </c>
      <c r="H7371" s="6" t="str">
        <f>VLOOKUP(E7371,dicionario!$A$1:$C7770,3,0)</f>
        <v>anileira</v>
      </c>
    </row>
    <row r="7372">
      <c r="A7372" s="3">
        <v>45729.0</v>
      </c>
      <c r="B7372" s="4">
        <v>0.2951388888888889</v>
      </c>
      <c r="C7372" s="5" t="s">
        <v>50</v>
      </c>
      <c r="D7372" s="5" t="s">
        <v>1238</v>
      </c>
      <c r="E7372" s="8" t="s">
        <v>239</v>
      </c>
      <c r="F7372" s="5" t="s">
        <v>240</v>
      </c>
      <c r="G7372" s="6" t="str">
        <f>VLOOKUP(E7372,dicionario!$A$1:$C7771,2,0)</f>
        <v>Gomphrena celosioides</v>
      </c>
      <c r="H7372" s="6" t="str">
        <f>VLOOKUP(E7372,dicionario!$A$1:$C7771,3,0)</f>
        <v>perpétua-branca</v>
      </c>
    </row>
    <row r="7373">
      <c r="A7373" s="3">
        <v>45729.0</v>
      </c>
      <c r="B7373" s="4">
        <v>0.2951388888888889</v>
      </c>
      <c r="C7373" s="5" t="s">
        <v>50</v>
      </c>
      <c r="D7373" s="5" t="s">
        <v>1238</v>
      </c>
      <c r="E7373" s="6" t="s">
        <v>148</v>
      </c>
      <c r="F7373" s="5" t="s">
        <v>149</v>
      </c>
      <c r="G7373" s="6" t="str">
        <f>VLOOKUP(E7373,dicionario!$A$1:$C7772,2,0)</f>
        <v>Parthenium hysterophorus</v>
      </c>
      <c r="H7373" s="6" t="str">
        <f>VLOOKUP(E7373,dicionario!$A$1:$C7772,3,0)</f>
        <v>losna-branca</v>
      </c>
    </row>
    <row r="7374">
      <c r="A7374" s="3">
        <v>45729.0</v>
      </c>
      <c r="B7374" s="4">
        <v>0.29583333333333334</v>
      </c>
      <c r="C7374" s="5" t="s">
        <v>50</v>
      </c>
      <c r="D7374" s="5" t="s">
        <v>1238</v>
      </c>
      <c r="E7374" s="8" t="s">
        <v>51</v>
      </c>
      <c r="F7374" s="5" t="s">
        <v>321</v>
      </c>
      <c r="G7374" s="6" t="str">
        <f>VLOOKUP(E7374,dicionario!$A$1:$C7773,2,0)</f>
        <v>Solenopsis</v>
      </c>
      <c r="H7374" s="6" t="str">
        <f>VLOOKUP(E7374,dicionario!$A$1:$C7773,3,0)</f>
        <v>formiga-quente; formiga-lava-pés; formiga-de-fogo</v>
      </c>
    </row>
    <row r="7375">
      <c r="A7375" s="3">
        <v>45729.0</v>
      </c>
      <c r="B7375" s="4">
        <v>0.29583333333333334</v>
      </c>
      <c r="C7375" s="5" t="s">
        <v>50</v>
      </c>
      <c r="D7375" s="5" t="s">
        <v>1238</v>
      </c>
      <c r="E7375" s="8" t="s">
        <v>109</v>
      </c>
      <c r="F7375" s="5" t="s">
        <v>110</v>
      </c>
      <c r="G7375" s="6" t="str">
        <f>VLOOKUP(E7375,dicionario!$A$1:$C7774,2,0)</f>
        <v>Tillandsia stricta</v>
      </c>
      <c r="H7375" s="6" t="str">
        <f>VLOOKUP(E7375,dicionario!$A$1:$C7774,3,0)</f>
        <v>cravo-do-mato</v>
      </c>
    </row>
    <row r="7376">
      <c r="A7376" s="3">
        <v>45729.0</v>
      </c>
      <c r="B7376" s="4">
        <v>0.2965277777777778</v>
      </c>
      <c r="C7376" s="5" t="s">
        <v>50</v>
      </c>
      <c r="D7376" s="5" t="s">
        <v>1238</v>
      </c>
      <c r="E7376" s="8" t="s">
        <v>298</v>
      </c>
      <c r="F7376" s="5" t="s">
        <v>299</v>
      </c>
      <c r="G7376" s="6" t="str">
        <f>VLOOKUP(E7376,dicionario!$A$1:$C7775,2,0)</f>
        <v>Alysicarpus vaginalis</v>
      </c>
      <c r="H7376" s="6" t="str">
        <f>VLOOKUP(E7376,dicionario!$A$1:$C7775,3,0)</f>
        <v/>
      </c>
    </row>
    <row r="7377">
      <c r="A7377" s="3">
        <v>45729.0</v>
      </c>
      <c r="B7377" s="4">
        <v>0.2972222222222222</v>
      </c>
      <c r="C7377" s="5" t="s">
        <v>50</v>
      </c>
      <c r="D7377" s="5" t="s">
        <v>1238</v>
      </c>
      <c r="E7377" s="8" t="s">
        <v>60</v>
      </c>
      <c r="F7377" s="5" t="s">
        <v>61</v>
      </c>
      <c r="G7377" s="6" t="str">
        <f>VLOOKUP(E7377,dicionario!$A$1:$C7776,2,0)</f>
        <v>Vanellus chilensis</v>
      </c>
      <c r="H7377" s="6" t="str">
        <f>VLOOKUP(E7377,dicionario!$A$1:$C7776,3,0)</f>
        <v>quero-quero</v>
      </c>
    </row>
    <row r="7378">
      <c r="A7378" s="3">
        <v>45729.0</v>
      </c>
      <c r="B7378" s="4">
        <v>0.29791666666666666</v>
      </c>
      <c r="C7378" s="5" t="s">
        <v>50</v>
      </c>
      <c r="D7378" s="5" t="s">
        <v>1238</v>
      </c>
      <c r="E7378" s="8" t="s">
        <v>16</v>
      </c>
      <c r="F7378" s="5" t="s">
        <v>17</v>
      </c>
      <c r="G7378" s="6" t="str">
        <f>VLOOKUP(E7378,dicionario!$A$1:$C7777,2,0)</f>
        <v>Eupetomena macroura</v>
      </c>
      <c r="H7378" s="6" t="str">
        <f>VLOOKUP(E7378,dicionario!$A$1:$C7777,3,0)</f>
        <v>beija-flor-tesoura</v>
      </c>
    </row>
    <row r="7379">
      <c r="A7379" s="3">
        <v>45729.0</v>
      </c>
      <c r="B7379" s="4">
        <v>0.29791666666666666</v>
      </c>
      <c r="C7379" s="5" t="s">
        <v>50</v>
      </c>
      <c r="D7379" s="5" t="s">
        <v>1238</v>
      </c>
      <c r="E7379" s="8" t="s">
        <v>1244</v>
      </c>
      <c r="F7379" s="5" t="s">
        <v>1245</v>
      </c>
      <c r="G7379" s="6" t="str">
        <f>VLOOKUP(E7379,dicionario!$A$1:$C7778,2,0)</f>
        <v>#N/A</v>
      </c>
      <c r="H7379" s="6" t="str">
        <f>VLOOKUP(E7379,dicionario!$A$1:$C7778,3,0)</f>
        <v>#N/A</v>
      </c>
    </row>
    <row r="7380">
      <c r="A7380" s="3">
        <v>45729.0</v>
      </c>
      <c r="B7380" s="4">
        <v>0.2986111111111111</v>
      </c>
      <c r="C7380" s="5" t="s">
        <v>50</v>
      </c>
      <c r="D7380" s="5" t="s">
        <v>1238</v>
      </c>
      <c r="E7380" s="8" t="s">
        <v>113</v>
      </c>
      <c r="F7380" s="5" t="s">
        <v>114</v>
      </c>
      <c r="G7380" s="6" t="str">
        <f>VLOOKUP(E7380,dicionario!$A$1:$C7779,2,0)</f>
        <v>Columbina talpacoti</v>
      </c>
      <c r="H7380" s="6" t="str">
        <f>VLOOKUP(E7380,dicionario!$A$1:$C7779,3,0)</f>
        <v>rolinha-roxa</v>
      </c>
    </row>
    <row r="7381">
      <c r="A7381" s="3">
        <v>45729.0</v>
      </c>
      <c r="B7381" s="4">
        <v>0.2986111111111111</v>
      </c>
      <c r="C7381" s="5" t="s">
        <v>50</v>
      </c>
      <c r="D7381" s="5" t="s">
        <v>1238</v>
      </c>
      <c r="E7381" s="8" t="s">
        <v>498</v>
      </c>
      <c r="F7381" s="5" t="s">
        <v>499</v>
      </c>
      <c r="G7381" s="6" t="str">
        <f>VLOOKUP(E7381,dicionario!$A$1:$C7780,2,0)</f>
        <v>Brachiaria decumbens</v>
      </c>
      <c r="H7381" s="6" t="str">
        <f>VLOOKUP(E7381,dicionario!$A$1:$C7780,3,0)</f>
        <v>capim-braquiária</v>
      </c>
    </row>
    <row r="7382">
      <c r="A7382" s="3">
        <v>45729.0</v>
      </c>
      <c r="B7382" s="4">
        <v>0.29930555555555555</v>
      </c>
      <c r="C7382" s="5" t="s">
        <v>59</v>
      </c>
      <c r="D7382" s="5" t="s">
        <v>1238</v>
      </c>
      <c r="E7382" s="8" t="s">
        <v>53</v>
      </c>
      <c r="F7382" s="5" t="s">
        <v>54</v>
      </c>
      <c r="G7382" s="6" t="str">
        <f>VLOOKUP(E7382,dicionario!$A$1:$C7781,2,0)</f>
        <v>Turnera subulata</v>
      </c>
      <c r="H7382" s="6" t="str">
        <f>VLOOKUP(E7382,dicionario!$A$1:$C7781,3,0)</f>
        <v>xanana</v>
      </c>
    </row>
    <row r="7383">
      <c r="A7383" s="3">
        <v>45729.0</v>
      </c>
      <c r="B7383" s="4">
        <v>0.29930555555555555</v>
      </c>
      <c r="C7383" s="5" t="s">
        <v>59</v>
      </c>
      <c r="D7383" s="5" t="s">
        <v>1238</v>
      </c>
      <c r="E7383" s="8" t="s">
        <v>16</v>
      </c>
      <c r="F7383" s="5" t="s">
        <v>17</v>
      </c>
      <c r="G7383" s="6" t="str">
        <f>VLOOKUP(E7383,dicionario!$A$1:$C7782,2,0)</f>
        <v>Eupetomena macroura</v>
      </c>
      <c r="H7383" s="6" t="str">
        <f>VLOOKUP(E7383,dicionario!$A$1:$C7782,3,0)</f>
        <v>beija-flor-tesoura</v>
      </c>
    </row>
    <row r="7384">
      <c r="A7384" s="3">
        <v>45729.0</v>
      </c>
      <c r="B7384" s="4">
        <v>0.29930555555555555</v>
      </c>
      <c r="C7384" s="5" t="s">
        <v>59</v>
      </c>
      <c r="D7384" s="5" t="s">
        <v>1238</v>
      </c>
      <c r="E7384" s="8" t="s">
        <v>1239</v>
      </c>
      <c r="F7384" s="5" t="s">
        <v>136</v>
      </c>
      <c r="G7384" s="6" t="str">
        <f>VLOOKUP(E7384,dicionario!$A$1:$C7783,2,0)</f>
        <v>#N/A</v>
      </c>
      <c r="H7384" s="6" t="str">
        <f>VLOOKUP(E7384,dicionario!$A$1:$C7783,3,0)</f>
        <v>#N/A</v>
      </c>
    </row>
    <row r="7385">
      <c r="A7385" s="3">
        <v>45729.0</v>
      </c>
      <c r="B7385" s="4">
        <v>0.29930555555555555</v>
      </c>
      <c r="C7385" s="5" t="s">
        <v>59</v>
      </c>
      <c r="D7385" s="5" t="s">
        <v>1238</v>
      </c>
      <c r="E7385" s="8" t="s">
        <v>109</v>
      </c>
      <c r="F7385" s="5" t="s">
        <v>110</v>
      </c>
      <c r="G7385" s="6" t="str">
        <f>VLOOKUP(E7385,dicionario!$A$1:$C7784,2,0)</f>
        <v>Tillandsia stricta</v>
      </c>
      <c r="H7385" s="6" t="str">
        <f>VLOOKUP(E7385,dicionario!$A$1:$C7784,3,0)</f>
        <v>cravo-do-mato</v>
      </c>
    </row>
    <row r="7386">
      <c r="A7386" s="3">
        <v>45729.0</v>
      </c>
      <c r="B7386" s="4">
        <v>0.29930555555555555</v>
      </c>
      <c r="C7386" s="5" t="s">
        <v>59</v>
      </c>
      <c r="D7386" s="5" t="s">
        <v>1238</v>
      </c>
      <c r="E7386" s="8" t="s">
        <v>1087</v>
      </c>
      <c r="F7386" s="5" t="s">
        <v>1088</v>
      </c>
      <c r="G7386" s="6" t="str">
        <f>VLOOKUP(E7386,dicionario!$A$1:$C7785,2,0)</f>
        <v>Desmodium triflorum</v>
      </c>
      <c r="H7386" s="6" t="str">
        <f>VLOOKUP(E7386,dicionario!$A$1:$C7785,3,0)</f>
        <v/>
      </c>
    </row>
    <row r="7387">
      <c r="A7387" s="3">
        <v>45729.0</v>
      </c>
      <c r="B7387" s="4">
        <v>0.3020833333333333</v>
      </c>
      <c r="C7387" s="5" t="s">
        <v>59</v>
      </c>
      <c r="D7387" s="5" t="s">
        <v>1238</v>
      </c>
      <c r="E7387" s="8" t="s">
        <v>719</v>
      </c>
      <c r="F7387" s="5" t="s">
        <v>720</v>
      </c>
      <c r="G7387" s="6" t="str">
        <f>VLOOKUP(E7387,dicionario!$A$1:$C7786,2,0)</f>
        <v>Dirinaria</v>
      </c>
      <c r="H7387" s="6" t="str">
        <f>VLOOKUP(E7387,dicionario!$A$1:$C7786,3,0)</f>
        <v>líquen-crostoso</v>
      </c>
    </row>
    <row r="7388">
      <c r="A7388" s="3">
        <v>45729.0</v>
      </c>
      <c r="B7388" s="4">
        <v>0.3020833333333333</v>
      </c>
      <c r="C7388" s="5" t="s">
        <v>59</v>
      </c>
      <c r="D7388" s="5" t="s">
        <v>1238</v>
      </c>
      <c r="E7388" s="8" t="s">
        <v>712</v>
      </c>
      <c r="F7388" s="5" t="s">
        <v>718</v>
      </c>
      <c r="G7388" s="6" t="str">
        <f>VLOOKUP(E7388,dicionario!$A$1:$C7787,2,0)</f>
        <v>Flavopunctelia soredica</v>
      </c>
      <c r="H7388" s="6" t="str">
        <f>VLOOKUP(E7388,dicionario!$A$1:$C7787,3,0)</f>
        <v>líquen-folioso</v>
      </c>
    </row>
    <row r="7389">
      <c r="A7389" s="3">
        <v>45729.0</v>
      </c>
      <c r="B7389" s="4">
        <v>0.3020833333333333</v>
      </c>
      <c r="C7389" s="5" t="s">
        <v>59</v>
      </c>
      <c r="D7389" s="5" t="s">
        <v>1238</v>
      </c>
      <c r="E7389" s="8" t="s">
        <v>107</v>
      </c>
      <c r="F7389" s="5" t="s">
        <v>108</v>
      </c>
      <c r="G7389" s="6" t="str">
        <f>VLOOKUP(E7389,dicionario!$A$1:$C7788,2,0)</f>
        <v>Ramalina complanata</v>
      </c>
      <c r="H7389" s="6" t="str">
        <f>VLOOKUP(E7389,dicionario!$A$1:$C7788,3,0)</f>
        <v>ramalina</v>
      </c>
    </row>
    <row r="7390">
      <c r="A7390" s="3">
        <v>45729.0</v>
      </c>
      <c r="B7390" s="4">
        <v>0.3020833333333333</v>
      </c>
      <c r="C7390" s="5" t="s">
        <v>59</v>
      </c>
      <c r="D7390" s="5" t="s">
        <v>1238</v>
      </c>
      <c r="E7390" s="8" t="s">
        <v>239</v>
      </c>
      <c r="F7390" s="5" t="s">
        <v>240</v>
      </c>
      <c r="G7390" s="6" t="str">
        <f>VLOOKUP(E7390,dicionario!$A$1:$C7789,2,0)</f>
        <v>Gomphrena celosioides</v>
      </c>
      <c r="H7390" s="6" t="str">
        <f>VLOOKUP(E7390,dicionario!$A$1:$C7789,3,0)</f>
        <v>perpétua-branca</v>
      </c>
    </row>
    <row r="7391">
      <c r="A7391" s="3">
        <v>45729.0</v>
      </c>
      <c r="B7391" s="4">
        <v>0.3020833333333333</v>
      </c>
      <c r="C7391" s="5" t="s">
        <v>59</v>
      </c>
      <c r="D7391" s="5" t="s">
        <v>1238</v>
      </c>
      <c r="E7391" s="8" t="s">
        <v>60</v>
      </c>
      <c r="F7391" s="5" t="s">
        <v>61</v>
      </c>
      <c r="G7391" s="6" t="str">
        <f>VLOOKUP(E7391,dicionario!$A$1:$C7790,2,0)</f>
        <v>Vanellus chilensis</v>
      </c>
      <c r="H7391" s="6" t="str">
        <f>VLOOKUP(E7391,dicionario!$A$1:$C7790,3,0)</f>
        <v>quero-quero</v>
      </c>
    </row>
    <row r="7392">
      <c r="A7392" s="3">
        <v>45729.0</v>
      </c>
      <c r="B7392" s="4">
        <v>0.3034722222222222</v>
      </c>
      <c r="C7392" s="5" t="s">
        <v>59</v>
      </c>
      <c r="D7392" s="5" t="s">
        <v>1238</v>
      </c>
      <c r="E7392" s="26" t="s">
        <v>870</v>
      </c>
      <c r="F7392" s="5" t="s">
        <v>1243</v>
      </c>
      <c r="G7392" s="6" t="str">
        <f>VLOOKUP(E7392,dicionario!$A$1:$C7791,2,0)</f>
        <v>#N/A</v>
      </c>
      <c r="H7392" s="6" t="str">
        <f>VLOOKUP(E7392,dicionario!$A$1:$C7791,3,0)</f>
        <v>#N/A</v>
      </c>
    </row>
    <row r="7393">
      <c r="A7393" s="3">
        <v>45729.0</v>
      </c>
      <c r="B7393" s="4">
        <v>0.3034722222222222</v>
      </c>
      <c r="C7393" s="5" t="s">
        <v>59</v>
      </c>
      <c r="D7393" s="5" t="s">
        <v>1238</v>
      </c>
      <c r="E7393" s="8" t="s">
        <v>14</v>
      </c>
      <c r="F7393" s="5" t="s">
        <v>15</v>
      </c>
      <c r="G7393" s="6" t="str">
        <f>VLOOKUP(E7393,dicionario!$A$1:$C7792,2,0)</f>
        <v>Spermacoce verticillata</v>
      </c>
      <c r="H7393" s="6" t="str">
        <f>VLOOKUP(E7393,dicionario!$A$1:$C7792,3,0)</f>
        <v>vassourinha-de-botão</v>
      </c>
    </row>
    <row r="7394">
      <c r="A7394" s="3">
        <v>45729.0</v>
      </c>
      <c r="B7394" s="4">
        <v>0.3034722222222222</v>
      </c>
      <c r="C7394" s="5" t="s">
        <v>59</v>
      </c>
      <c r="D7394" s="5" t="s">
        <v>1238</v>
      </c>
      <c r="E7394" s="8" t="s">
        <v>143</v>
      </c>
      <c r="F7394" s="5" t="s">
        <v>63</v>
      </c>
      <c r="G7394" s="6" t="str">
        <f>VLOOKUP(E7394,dicionario!$A$1:$C7793,2,0)</f>
        <v>Polybia</v>
      </c>
      <c r="H7394" s="6" t="str">
        <f>VLOOKUP(E7394,dicionario!$A$1:$C7793,3,0)</f>
        <v>vespa</v>
      </c>
    </row>
    <row r="7395">
      <c r="A7395" s="3">
        <v>45729.0</v>
      </c>
      <c r="B7395" s="4">
        <v>0.30486111111111114</v>
      </c>
      <c r="C7395" s="5" t="s">
        <v>59</v>
      </c>
      <c r="D7395" s="5" t="s">
        <v>1238</v>
      </c>
      <c r="E7395" s="8" t="s">
        <v>113</v>
      </c>
      <c r="F7395" s="5" t="s">
        <v>114</v>
      </c>
      <c r="G7395" s="6" t="str">
        <f>VLOOKUP(E7395,dicionario!$A$1:$C7794,2,0)</f>
        <v>Columbina talpacoti</v>
      </c>
      <c r="H7395" s="6" t="str">
        <f>VLOOKUP(E7395,dicionario!$A$1:$C7794,3,0)</f>
        <v>rolinha-roxa</v>
      </c>
    </row>
    <row r="7396">
      <c r="A7396" s="3">
        <v>45729.0</v>
      </c>
      <c r="B7396" s="4">
        <v>0.30486111111111114</v>
      </c>
      <c r="C7396" s="5" t="s">
        <v>59</v>
      </c>
      <c r="D7396" s="5" t="s">
        <v>1238</v>
      </c>
      <c r="E7396" s="8" t="s">
        <v>65</v>
      </c>
      <c r="F7396" s="5" t="s">
        <v>66</v>
      </c>
      <c r="G7396" s="6" t="str">
        <f>VLOOKUP(E7396,dicionario!$A$1:$C7795,2,0)</f>
        <v>Pitangus sulphutarus</v>
      </c>
      <c r="H7396" s="6" t="str">
        <f>VLOOKUP(E7396,dicionario!$A$1:$C7795,3,0)</f>
        <v>bem-te-vi</v>
      </c>
    </row>
    <row r="7397">
      <c r="A7397" s="3">
        <v>45729.0</v>
      </c>
      <c r="B7397" s="4">
        <v>0.30486111111111114</v>
      </c>
      <c r="C7397" s="5" t="s">
        <v>59</v>
      </c>
      <c r="D7397" s="5" t="s">
        <v>1238</v>
      </c>
      <c r="E7397" s="8" t="s">
        <v>353</v>
      </c>
      <c r="F7397" s="5" t="s">
        <v>354</v>
      </c>
      <c r="G7397" s="6" t="str">
        <f>VLOOKUP(E7397,dicionario!$A$1:$C7796,2,0)</f>
        <v>Desmodium incanum</v>
      </c>
      <c r="H7397" s="6" t="str">
        <f>VLOOKUP(E7397,dicionario!$A$1:$C7796,3,0)</f>
        <v>pega-pega</v>
      </c>
    </row>
    <row r="7398">
      <c r="A7398" s="3">
        <v>45729.0</v>
      </c>
      <c r="B7398" s="4">
        <v>0.30625</v>
      </c>
      <c r="C7398" s="5" t="s">
        <v>59</v>
      </c>
      <c r="D7398" s="5" t="s">
        <v>1238</v>
      </c>
      <c r="E7398" s="8" t="s">
        <v>18</v>
      </c>
      <c r="F7398" s="5" t="s">
        <v>219</v>
      </c>
      <c r="G7398" s="6" t="str">
        <f>VLOOKUP(E7398,dicionario!$A$1:$C7797,2,0)</f>
        <v>Xylocopa frontalis</v>
      </c>
      <c r="H7398" s="6" t="str">
        <f>VLOOKUP(E7398,dicionario!$A$1:$C7797,3,0)</f>
        <v>Mamangava; mangangá; abelha-carpinteira</v>
      </c>
    </row>
    <row r="7399">
      <c r="A7399" s="3">
        <v>45729.0</v>
      </c>
      <c r="B7399" s="4">
        <v>0.30625</v>
      </c>
      <c r="C7399" s="5" t="s">
        <v>59</v>
      </c>
      <c r="D7399" s="5" t="s">
        <v>1238</v>
      </c>
      <c r="E7399" s="8" t="s">
        <v>162</v>
      </c>
      <c r="F7399" s="5" t="s">
        <v>42</v>
      </c>
      <c r="G7399" s="6" t="str">
        <f>VLOOKUP(E7399,dicionario!$A$1:$C7798,2,0)</f>
        <v>Fluvicola nengeta</v>
      </c>
      <c r="H7399" s="6" t="str">
        <f>VLOOKUP(E7399,dicionario!$A$1:$C7798,3,0)</f>
        <v>lavadeira-mascarada</v>
      </c>
    </row>
    <row r="7400">
      <c r="A7400" s="3">
        <v>45729.0</v>
      </c>
      <c r="B7400" s="4">
        <v>0.30694444444444446</v>
      </c>
      <c r="C7400" s="5" t="s">
        <v>59</v>
      </c>
      <c r="D7400" s="5" t="s">
        <v>1238</v>
      </c>
      <c r="E7400" s="8" t="s">
        <v>86</v>
      </c>
      <c r="F7400" s="5" t="s">
        <v>502</v>
      </c>
      <c r="G7400" s="6" t="str">
        <f>VLOOKUP(E7400,dicionario!$A$1:$C7799,2,0)</f>
        <v>Coereba flaveola</v>
      </c>
      <c r="H7400" s="6" t="str">
        <f>VLOOKUP(E7400,dicionario!$A$1:$C7799,3,0)</f>
        <v>cambacica</v>
      </c>
    </row>
    <row r="7401">
      <c r="A7401" s="3">
        <v>45729.0</v>
      </c>
      <c r="B7401" s="4">
        <v>0.30694444444444446</v>
      </c>
      <c r="C7401" s="5" t="s">
        <v>59</v>
      </c>
      <c r="D7401" s="5" t="s">
        <v>1238</v>
      </c>
      <c r="E7401" s="8" t="s">
        <v>111</v>
      </c>
      <c r="F7401" s="7" t="s">
        <v>112</v>
      </c>
      <c r="G7401" s="6" t="str">
        <f>VLOOKUP(E7401,dicionario!$A$1:$C7800,2,0)</f>
        <v>Trigona spinipes</v>
      </c>
      <c r="H7401" s="6" t="str">
        <f>VLOOKUP(E7401,dicionario!$A$1:$C7800,3,0)</f>
        <v>abelha-cachorro</v>
      </c>
    </row>
    <row r="7402">
      <c r="A7402" s="3">
        <v>45729.0</v>
      </c>
      <c r="B7402" s="4">
        <v>0.30833333333333335</v>
      </c>
      <c r="C7402" s="5" t="s">
        <v>59</v>
      </c>
      <c r="D7402" s="5" t="s">
        <v>1238</v>
      </c>
      <c r="E7402" s="8" t="s">
        <v>22</v>
      </c>
      <c r="F7402" s="5" t="s">
        <v>902</v>
      </c>
      <c r="G7402" s="6" t="str">
        <f>VLOOKUP(E7402,dicionario!$A$1:$C7801,2,0)</f>
        <v>Zenaida auriculata</v>
      </c>
      <c r="H7402" s="6" t="str">
        <f>VLOOKUP(E7402,dicionario!$A$1:$C7801,3,0)</f>
        <v>pomba-de-bando; avoante</v>
      </c>
    </row>
    <row r="7403">
      <c r="A7403" s="3">
        <v>45729.0</v>
      </c>
      <c r="B7403" s="4">
        <v>0.3090277777777778</v>
      </c>
      <c r="C7403" s="5" t="s">
        <v>59</v>
      </c>
      <c r="D7403" s="5" t="s">
        <v>1238</v>
      </c>
      <c r="E7403" s="8" t="s">
        <v>200</v>
      </c>
      <c r="F7403" s="5" t="s">
        <v>201</v>
      </c>
      <c r="G7403" s="6" t="str">
        <f>VLOOKUP(E7403,dicionario!$A$1:$C7802,2,0)</f>
        <v>Columbina picui </v>
      </c>
      <c r="H7403" s="6" t="str">
        <f>VLOOKUP(E7403,dicionario!$A$1:$C7802,3,0)</f>
        <v>rolinha-picuí</v>
      </c>
    </row>
    <row r="7404">
      <c r="A7404" s="3">
        <v>45729.0</v>
      </c>
      <c r="B7404" s="4">
        <v>0.3090277777777778</v>
      </c>
      <c r="C7404" s="5" t="s">
        <v>59</v>
      </c>
      <c r="D7404" s="5" t="s">
        <v>1238</v>
      </c>
      <c r="E7404" s="8" t="s">
        <v>16</v>
      </c>
      <c r="F7404" s="5" t="s">
        <v>17</v>
      </c>
      <c r="G7404" s="6" t="str">
        <f>VLOOKUP(E7404,dicionario!$A$1:$C7803,2,0)</f>
        <v>Eupetomena macroura</v>
      </c>
      <c r="H7404" s="6" t="str">
        <f>VLOOKUP(E7404,dicionario!$A$1:$C7803,3,0)</f>
        <v>beija-flor-tesoura</v>
      </c>
    </row>
    <row r="7405">
      <c r="A7405" s="3">
        <v>45729.0</v>
      </c>
      <c r="B7405" s="4">
        <v>0.30972222222222223</v>
      </c>
      <c r="C7405" s="5" t="s">
        <v>59</v>
      </c>
      <c r="D7405" s="5" t="s">
        <v>1238</v>
      </c>
      <c r="E7405" s="8" t="s">
        <v>684</v>
      </c>
      <c r="F7405" s="5" t="s">
        <v>685</v>
      </c>
      <c r="G7405" s="6" t="str">
        <f>VLOOKUP(E7405,dicionario!$A$1:$C7804,2,0)</f>
        <v>Columbina squammata</v>
      </c>
      <c r="H7405" s="6" t="str">
        <f>VLOOKUP(E7405,dicionario!$A$1:$C7804,3,0)</f>
        <v>rolinha-fogo-apagou</v>
      </c>
    </row>
    <row r="7406">
      <c r="A7406" s="3">
        <v>45729.0</v>
      </c>
      <c r="B7406" s="4">
        <v>0.30972222222222223</v>
      </c>
      <c r="C7406" s="5" t="s">
        <v>59</v>
      </c>
      <c r="D7406" s="5" t="s">
        <v>1238</v>
      </c>
      <c r="E7406" s="8" t="s">
        <v>935</v>
      </c>
      <c r="F7406" s="5" t="s">
        <v>936</v>
      </c>
      <c r="G7406" s="6" t="str">
        <f>VLOOKUP(E7406,dicionario!$A$1:$C7805,2,0)</f>
        <v>#N/A</v>
      </c>
      <c r="H7406" s="6" t="str">
        <f>VLOOKUP(E7406,dicionario!$A$1:$C7805,3,0)</f>
        <v>#N/A</v>
      </c>
    </row>
    <row r="7407">
      <c r="A7407" s="3">
        <v>45729.0</v>
      </c>
      <c r="B7407" s="4">
        <v>0.31180555555555556</v>
      </c>
      <c r="C7407" s="5" t="s">
        <v>64</v>
      </c>
      <c r="D7407" s="5" t="s">
        <v>1238</v>
      </c>
      <c r="E7407" s="8" t="s">
        <v>135</v>
      </c>
      <c r="F7407" s="5" t="s">
        <v>136</v>
      </c>
      <c r="G7407" s="6" t="str">
        <f>VLOOKUP(E7407,dicionario!$A$1:$C7806,2,0)</f>
        <v>Tridax procumbens</v>
      </c>
      <c r="H7407" s="6" t="str">
        <f>VLOOKUP(E7407,dicionario!$A$1:$C7806,3,0)</f>
        <v>erva-de-touro</v>
      </c>
    </row>
    <row r="7408">
      <c r="A7408" s="3">
        <v>45729.0</v>
      </c>
      <c r="B7408" s="4">
        <v>0.31180555555555556</v>
      </c>
      <c r="C7408" s="5" t="s">
        <v>64</v>
      </c>
      <c r="D7408" s="5" t="s">
        <v>1238</v>
      </c>
      <c r="E7408" s="8" t="s">
        <v>69</v>
      </c>
      <c r="F7408" s="5" t="s">
        <v>1246</v>
      </c>
      <c r="G7408" s="6" t="str">
        <f>VLOOKUP(E7408,dicionario!$A$1:$C7807,2,0)</f>
        <v>Talinum fruticosum</v>
      </c>
      <c r="H7408" s="6" t="str">
        <f>VLOOKUP(E7408,dicionario!$A$1:$C7807,3,0)</f>
        <v>beldroega-grande</v>
      </c>
    </row>
    <row r="7409">
      <c r="A7409" s="3">
        <v>45729.0</v>
      </c>
      <c r="B7409" s="4">
        <v>0.3125</v>
      </c>
      <c r="C7409" s="5" t="s">
        <v>64</v>
      </c>
      <c r="D7409" s="5" t="s">
        <v>1238</v>
      </c>
      <c r="E7409" s="8" t="s">
        <v>489</v>
      </c>
      <c r="F7409" s="5" t="s">
        <v>521</v>
      </c>
      <c r="G7409" s="6" t="str">
        <f>VLOOKUP(E7409,dicionario!$A$1:$C7808,2,0)</f>
        <v>Cenchrus echinatus</v>
      </c>
      <c r="H7409" s="6" t="str">
        <f>VLOOKUP(E7409,dicionario!$A$1:$C7808,3,0)</f>
        <v>capim-carrapicho</v>
      </c>
    </row>
    <row r="7410">
      <c r="A7410" s="3">
        <v>45729.0</v>
      </c>
      <c r="B7410" s="4">
        <v>0.3125</v>
      </c>
      <c r="C7410" s="5" t="s">
        <v>64</v>
      </c>
      <c r="D7410" s="5" t="s">
        <v>1238</v>
      </c>
      <c r="E7410" s="8" t="s">
        <v>146</v>
      </c>
      <c r="F7410" s="5" t="s">
        <v>147</v>
      </c>
      <c r="G7410" s="6" t="str">
        <f>VLOOKUP(E7410,dicionario!$A$1:$C7809,2,0)</f>
        <v>Euphorbia hirta</v>
      </c>
      <c r="H7410" s="6" t="str">
        <f>VLOOKUP(E7410,dicionario!$A$1:$C7809,3,0)</f>
        <v>erva-de-santa-luzia</v>
      </c>
    </row>
    <row r="7411">
      <c r="A7411" s="3">
        <v>45729.0</v>
      </c>
      <c r="B7411" s="4">
        <v>0.3125</v>
      </c>
      <c r="C7411" s="5" t="s">
        <v>64</v>
      </c>
      <c r="D7411" s="5" t="s">
        <v>1238</v>
      </c>
      <c r="E7411" s="8" t="s">
        <v>111</v>
      </c>
      <c r="F7411" s="7" t="s">
        <v>112</v>
      </c>
      <c r="G7411" s="6" t="str">
        <f>VLOOKUP(E7411,dicionario!$A$1:$C7810,2,0)</f>
        <v>Trigona spinipes</v>
      </c>
      <c r="H7411" s="6" t="str">
        <f>VLOOKUP(E7411,dicionario!$A$1:$C7810,3,0)</f>
        <v>abelha-cachorro</v>
      </c>
    </row>
    <row r="7412">
      <c r="A7412" s="3">
        <v>45729.0</v>
      </c>
      <c r="B7412" s="4">
        <v>0.3125</v>
      </c>
      <c r="C7412" s="5" t="s">
        <v>64</v>
      </c>
      <c r="D7412" s="5" t="s">
        <v>1238</v>
      </c>
      <c r="E7412" s="8" t="s">
        <v>296</v>
      </c>
      <c r="F7412" s="5" t="s">
        <v>297</v>
      </c>
      <c r="G7412" s="6" t="str">
        <f>VLOOKUP(E7412,dicionario!$A$1:$C7811,2,0)</f>
        <v>Richardia brasiliensis</v>
      </c>
      <c r="H7412" s="6" t="str">
        <f>VLOOKUP(E7412,dicionario!$A$1:$C7811,3,0)</f>
        <v>poaia-branca</v>
      </c>
    </row>
    <row r="7413">
      <c r="A7413" s="3">
        <v>45729.0</v>
      </c>
      <c r="B7413" s="4">
        <v>0.31319444444444444</v>
      </c>
      <c r="C7413" s="5" t="s">
        <v>64</v>
      </c>
      <c r="D7413" s="5" t="s">
        <v>1238</v>
      </c>
      <c r="E7413" s="8" t="s">
        <v>195</v>
      </c>
      <c r="F7413" s="5" t="s">
        <v>196</v>
      </c>
      <c r="G7413" s="6" t="str">
        <f>VLOOKUP(E7413,dicionario!$A$1:$C7812,2,0)</f>
        <v>Priva lappulacea</v>
      </c>
      <c r="H7413" s="6" t="str">
        <f>VLOOKUP(E7413,dicionario!$A$1:$C7812,3,0)</f>
        <v>carrapicho</v>
      </c>
    </row>
    <row r="7414">
      <c r="A7414" s="3">
        <v>45729.0</v>
      </c>
      <c r="B7414" s="4">
        <v>0.3138888888888889</v>
      </c>
      <c r="C7414" s="5" t="s">
        <v>64</v>
      </c>
      <c r="D7414" s="5" t="s">
        <v>1238</v>
      </c>
      <c r="E7414" s="8" t="s">
        <v>150</v>
      </c>
      <c r="F7414" s="5" t="s">
        <v>151</v>
      </c>
      <c r="G7414" s="6" t="str">
        <f>VLOOKUP(E7414,dicionario!$A$1:$C7813,2,0)</f>
        <v>Amaranthus viridis</v>
      </c>
      <c r="H7414" s="6" t="str">
        <f>VLOOKUP(E7414,dicionario!$A$1:$C7813,3,0)</f>
        <v>caruru-de-mancha</v>
      </c>
    </row>
    <row r="7415">
      <c r="A7415" s="3">
        <v>45729.0</v>
      </c>
      <c r="B7415" s="4">
        <v>0.3145833333333333</v>
      </c>
      <c r="C7415" s="5" t="s">
        <v>64</v>
      </c>
      <c r="D7415" s="5" t="s">
        <v>1238</v>
      </c>
      <c r="E7415" s="8" t="s">
        <v>113</v>
      </c>
      <c r="F7415" s="5" t="s">
        <v>114</v>
      </c>
      <c r="G7415" s="6" t="str">
        <f>VLOOKUP(E7415,dicionario!$A$1:$C7814,2,0)</f>
        <v>Columbina talpacoti</v>
      </c>
      <c r="H7415" s="6" t="str">
        <f>VLOOKUP(E7415,dicionario!$A$1:$C7814,3,0)</f>
        <v>rolinha-roxa</v>
      </c>
    </row>
    <row r="7416">
      <c r="A7416" s="3">
        <v>45729.0</v>
      </c>
      <c r="B7416" s="4">
        <v>0.3145833333333333</v>
      </c>
      <c r="C7416" s="5" t="s">
        <v>64</v>
      </c>
      <c r="D7416" s="5" t="s">
        <v>1238</v>
      </c>
      <c r="E7416" s="8" t="s">
        <v>65</v>
      </c>
      <c r="F7416" s="5" t="s">
        <v>66</v>
      </c>
      <c r="G7416" s="6" t="str">
        <f>VLOOKUP(E7416,dicionario!$A$1:$C7815,2,0)</f>
        <v>Pitangus sulphutarus</v>
      </c>
      <c r="H7416" s="6" t="str">
        <f>VLOOKUP(E7416,dicionario!$A$1:$C7815,3,0)</f>
        <v>bem-te-vi</v>
      </c>
    </row>
    <row r="7417">
      <c r="A7417" s="3">
        <v>45729.0</v>
      </c>
      <c r="B7417" s="4">
        <v>0.3145833333333333</v>
      </c>
      <c r="C7417" s="5" t="s">
        <v>64</v>
      </c>
      <c r="D7417" s="5" t="s">
        <v>1238</v>
      </c>
      <c r="E7417" s="8" t="s">
        <v>109</v>
      </c>
      <c r="F7417" s="5" t="s">
        <v>110</v>
      </c>
      <c r="G7417" s="6" t="str">
        <f>VLOOKUP(E7417,dicionario!$A$1:$C7816,2,0)</f>
        <v>Tillandsia stricta</v>
      </c>
      <c r="H7417" s="6" t="str">
        <f>VLOOKUP(E7417,dicionario!$A$1:$C7816,3,0)</f>
        <v>cravo-do-mato</v>
      </c>
    </row>
    <row r="7418">
      <c r="A7418" s="3">
        <v>45729.0</v>
      </c>
      <c r="B7418" s="4">
        <v>0.31527777777777777</v>
      </c>
      <c r="C7418" s="5" t="s">
        <v>64</v>
      </c>
      <c r="D7418" s="5" t="s">
        <v>1238</v>
      </c>
      <c r="E7418" s="8" t="s">
        <v>425</v>
      </c>
      <c r="F7418" s="5" t="s">
        <v>426</v>
      </c>
      <c r="G7418" s="6" t="str">
        <f>VLOOKUP(E7418,dicionario!$A$1:$C7817,2,0)</f>
        <v>Digitaria insularis</v>
      </c>
      <c r="H7418" s="6" t="str">
        <f>VLOOKUP(E7418,dicionario!$A$1:$C7817,3,0)</f>
        <v>capim-amargoso</v>
      </c>
    </row>
    <row r="7419">
      <c r="A7419" s="3">
        <v>45729.0</v>
      </c>
      <c r="B7419" s="4">
        <v>0.3159722222222222</v>
      </c>
      <c r="C7419" s="5" t="s">
        <v>64</v>
      </c>
      <c r="D7419" s="5" t="s">
        <v>1238</v>
      </c>
      <c r="E7419" s="8" t="s">
        <v>1123</v>
      </c>
      <c r="F7419" s="5" t="s">
        <v>737</v>
      </c>
      <c r="G7419" s="6" t="str">
        <f>VLOOKUP(E7419,dicionario!$A$1:$C7818,2,0)</f>
        <v>#N/A</v>
      </c>
      <c r="H7419" s="6" t="str">
        <f>VLOOKUP(E7419,dicionario!$A$1:$C7818,3,0)</f>
        <v>#N/A</v>
      </c>
    </row>
    <row r="7420">
      <c r="A7420" s="3">
        <v>45729.0</v>
      </c>
      <c r="B7420" s="4">
        <v>0.31666666666666665</v>
      </c>
      <c r="C7420" s="5" t="s">
        <v>64</v>
      </c>
      <c r="D7420" s="5" t="s">
        <v>1238</v>
      </c>
      <c r="E7420" s="6" t="s">
        <v>171</v>
      </c>
      <c r="F7420" s="5" t="s">
        <v>172</v>
      </c>
      <c r="G7420" s="6" t="str">
        <f>VLOOKUP(E7420,dicionario!$A$1:$C7819,2,0)</f>
        <v>Oxalis corniculata</v>
      </c>
      <c r="H7420" s="6" t="str">
        <f>VLOOKUP(E7420,dicionario!$A$1:$C7819,3,0)</f>
        <v>trevo-azedinho</v>
      </c>
    </row>
    <row r="7421">
      <c r="A7421" s="3">
        <v>45729.0</v>
      </c>
      <c r="B7421" s="4">
        <v>0.31805555555555554</v>
      </c>
      <c r="C7421" s="5" t="s">
        <v>64</v>
      </c>
      <c r="D7421" s="5" t="s">
        <v>1238</v>
      </c>
      <c r="E7421" s="8" t="s">
        <v>22</v>
      </c>
      <c r="F7421" s="5" t="s">
        <v>97</v>
      </c>
      <c r="G7421" s="6" t="str">
        <f>VLOOKUP(E7421,dicionario!$A$1:$C7820,2,0)</f>
        <v>Zenaida auriculata</v>
      </c>
      <c r="H7421" s="6" t="str">
        <f>VLOOKUP(E7421,dicionario!$A$1:$C7820,3,0)</f>
        <v>pomba-de-bando; avoante</v>
      </c>
    </row>
    <row r="7422">
      <c r="A7422" s="3">
        <v>45729.0</v>
      </c>
      <c r="B7422" s="4">
        <v>0.31805555555555554</v>
      </c>
      <c r="C7422" s="5" t="s">
        <v>64</v>
      </c>
      <c r="D7422" s="5" t="s">
        <v>1238</v>
      </c>
      <c r="E7422" s="8" t="s">
        <v>258</v>
      </c>
      <c r="F7422" s="5" t="s">
        <v>259</v>
      </c>
      <c r="G7422" s="6" t="str">
        <f>VLOOKUP(E7422,dicionario!$A$1:$C7821,2,0)</f>
        <v>Lantana camara</v>
      </c>
      <c r="H7422" s="6" t="str">
        <f>VLOOKUP(E7422,dicionario!$A$1:$C7821,3,0)</f>
        <v>lantana</v>
      </c>
    </row>
    <row r="7423">
      <c r="A7423" s="3">
        <v>45729.0</v>
      </c>
      <c r="B7423" s="4">
        <v>0.31875</v>
      </c>
      <c r="C7423" s="5" t="s">
        <v>64</v>
      </c>
      <c r="D7423" s="5" t="s">
        <v>1238</v>
      </c>
      <c r="E7423" s="6" t="s">
        <v>148</v>
      </c>
      <c r="F7423" s="5" t="s">
        <v>149</v>
      </c>
      <c r="G7423" s="6" t="str">
        <f>VLOOKUP(E7423,dicionario!$A$1:$C7822,2,0)</f>
        <v>Parthenium hysterophorus</v>
      </c>
      <c r="H7423" s="6" t="str">
        <f>VLOOKUP(E7423,dicionario!$A$1:$C7822,3,0)</f>
        <v>losna-branca</v>
      </c>
    </row>
    <row r="7424">
      <c r="A7424" s="3">
        <v>45729.0</v>
      </c>
      <c r="B7424" s="4">
        <v>0.31875</v>
      </c>
      <c r="C7424" s="5" t="s">
        <v>64</v>
      </c>
      <c r="D7424" s="5" t="s">
        <v>1238</v>
      </c>
      <c r="E7424" s="6" t="s">
        <v>288</v>
      </c>
      <c r="F7424" s="5" t="s">
        <v>289</v>
      </c>
      <c r="G7424" s="6" t="str">
        <f>VLOOKUP(E7424,dicionario!$A$1:$C7823,2,0)</f>
        <v>Phyllanthus tenellus</v>
      </c>
      <c r="H7424" s="6" t="str">
        <f>VLOOKUP(E7424,dicionario!$A$1:$C7823,3,0)</f>
        <v>quebra-pedra</v>
      </c>
    </row>
    <row r="7425">
      <c r="A7425" s="3">
        <v>45729.0</v>
      </c>
      <c r="B7425" s="4">
        <v>0.32430555555555557</v>
      </c>
      <c r="C7425" s="5" t="s">
        <v>76</v>
      </c>
      <c r="D7425" s="5" t="s">
        <v>1238</v>
      </c>
      <c r="E7425" s="8" t="s">
        <v>1215</v>
      </c>
      <c r="F7425" s="5" t="s">
        <v>121</v>
      </c>
      <c r="G7425" s="6" t="str">
        <f>VLOOKUP(E7425,dicionario!$A$1:$C7824,2,0)</f>
        <v>#N/A</v>
      </c>
      <c r="H7425" s="6" t="str">
        <f>VLOOKUP(E7425,dicionario!$A$1:$C7824,3,0)</f>
        <v>#N/A</v>
      </c>
    </row>
    <row r="7426">
      <c r="A7426" s="3">
        <v>45729.0</v>
      </c>
      <c r="B7426" s="4">
        <v>0.32430555555555557</v>
      </c>
      <c r="C7426" s="5" t="s">
        <v>76</v>
      </c>
      <c r="D7426" s="5" t="s">
        <v>1238</v>
      </c>
      <c r="E7426" s="8" t="s">
        <v>195</v>
      </c>
      <c r="F7426" s="5" t="s">
        <v>196</v>
      </c>
      <c r="G7426" s="6" t="str">
        <f>VLOOKUP(E7426,dicionario!$A$1:$C7825,2,0)</f>
        <v>Priva lappulacea</v>
      </c>
      <c r="H7426" s="6" t="str">
        <f>VLOOKUP(E7426,dicionario!$A$1:$C7825,3,0)</f>
        <v>carrapicho</v>
      </c>
    </row>
    <row r="7427">
      <c r="A7427" s="3">
        <v>45729.0</v>
      </c>
      <c r="B7427" s="4">
        <v>0.325</v>
      </c>
      <c r="C7427" s="5" t="s">
        <v>76</v>
      </c>
      <c r="D7427" s="5" t="s">
        <v>1238</v>
      </c>
      <c r="E7427" s="6" t="s">
        <v>286</v>
      </c>
      <c r="F7427" s="5" t="s">
        <v>287</v>
      </c>
      <c r="G7427" s="6" t="str">
        <f>VLOOKUP(E7427,dicionario!$A$1:$C7826,2,0)</f>
        <v>Setaria parviflora</v>
      </c>
      <c r="H7427" s="6" t="str">
        <f>VLOOKUP(E7427,dicionario!$A$1:$C7826,3,0)</f>
        <v>capim-rabo-de-raposa</v>
      </c>
    </row>
    <row r="7428">
      <c r="A7428" s="3">
        <v>45729.0</v>
      </c>
      <c r="B7428" s="4">
        <v>0.325</v>
      </c>
      <c r="C7428" s="5" t="s">
        <v>76</v>
      </c>
      <c r="D7428" s="5" t="s">
        <v>1238</v>
      </c>
      <c r="E7428" s="8" t="s">
        <v>152</v>
      </c>
      <c r="F7428" s="5" t="s">
        <v>153</v>
      </c>
      <c r="G7428" s="6" t="str">
        <f>VLOOKUP(E7428,dicionario!$A$1:$C7827,2,0)</f>
        <v>Cynodon dactylon</v>
      </c>
      <c r="H7428" s="6" t="str">
        <f>VLOOKUP(E7428,dicionario!$A$1:$C7827,3,0)</f>
        <v>grama-bermuda</v>
      </c>
    </row>
    <row r="7429">
      <c r="A7429" s="3">
        <v>45729.0</v>
      </c>
      <c r="B7429" s="4">
        <v>0.325</v>
      </c>
      <c r="C7429" s="5" t="s">
        <v>76</v>
      </c>
      <c r="D7429" s="5" t="s">
        <v>1238</v>
      </c>
      <c r="E7429" s="8" t="s">
        <v>146</v>
      </c>
      <c r="F7429" s="5" t="s">
        <v>147</v>
      </c>
      <c r="G7429" s="6" t="str">
        <f>VLOOKUP(E7429,dicionario!$A$1:$C7828,2,0)</f>
        <v>Euphorbia hirta</v>
      </c>
      <c r="H7429" s="6" t="str">
        <f>VLOOKUP(E7429,dicionario!$A$1:$C7828,3,0)</f>
        <v>erva-de-santa-luzia</v>
      </c>
    </row>
    <row r="7430">
      <c r="A7430" s="3">
        <v>45729.0</v>
      </c>
      <c r="B7430" s="4">
        <v>0.32569444444444445</v>
      </c>
      <c r="C7430" s="5" t="s">
        <v>76</v>
      </c>
      <c r="D7430" s="5" t="s">
        <v>1238</v>
      </c>
      <c r="E7430" s="8" t="s">
        <v>69</v>
      </c>
      <c r="F7430" s="5" t="s">
        <v>1246</v>
      </c>
      <c r="G7430" s="6" t="str">
        <f>VLOOKUP(E7430,dicionario!$A$1:$C7829,2,0)</f>
        <v>Talinum fruticosum</v>
      </c>
      <c r="H7430" s="6" t="str">
        <f>VLOOKUP(E7430,dicionario!$A$1:$C7829,3,0)</f>
        <v>beldroega-grande</v>
      </c>
    </row>
    <row r="7431">
      <c r="A7431" s="3">
        <v>45729.0</v>
      </c>
      <c r="B7431" s="4">
        <v>0.3263888888888889</v>
      </c>
      <c r="C7431" s="5" t="s">
        <v>76</v>
      </c>
      <c r="D7431" s="5" t="s">
        <v>1238</v>
      </c>
      <c r="E7431" s="8" t="s">
        <v>144</v>
      </c>
      <c r="F7431" s="5" t="s">
        <v>145</v>
      </c>
      <c r="G7431" s="6" t="str">
        <f>VLOOKUP(E7431,dicionario!$A$1:$C7830,2,0)</f>
        <v>Gomphrena globosa</v>
      </c>
      <c r="H7431" s="6" t="str">
        <f>VLOOKUP(E7431,dicionario!$A$1:$C7830,3,0)</f>
        <v>perpétua-rosa</v>
      </c>
    </row>
    <row r="7432">
      <c r="A7432" s="3">
        <v>45729.0</v>
      </c>
      <c r="B7432" s="4">
        <v>0.3263888888888889</v>
      </c>
      <c r="C7432" s="5" t="s">
        <v>76</v>
      </c>
      <c r="D7432" s="5" t="s">
        <v>1238</v>
      </c>
      <c r="E7432" s="8" t="s">
        <v>483</v>
      </c>
      <c r="F7432" s="5" t="s">
        <v>484</v>
      </c>
      <c r="G7432" s="6" t="str">
        <f>VLOOKUP(E7432,dicionario!$A$1:$C7831,2,0)</f>
        <v>Euphorbia prostrata</v>
      </c>
      <c r="H7432" s="6" t="str">
        <f>VLOOKUP(E7432,dicionario!$A$1:$C7831,3,0)</f>
        <v>quebra-pedra-rasteira</v>
      </c>
    </row>
    <row r="7433">
      <c r="A7433" s="3">
        <v>45729.0</v>
      </c>
      <c r="B7433" s="4">
        <v>0.32708333333333334</v>
      </c>
      <c r="C7433" s="5" t="s">
        <v>76</v>
      </c>
      <c r="D7433" s="5" t="s">
        <v>1238</v>
      </c>
      <c r="E7433" s="8" t="s">
        <v>239</v>
      </c>
      <c r="F7433" s="5" t="s">
        <v>240</v>
      </c>
      <c r="G7433" s="6" t="str">
        <f>VLOOKUP(E7433,dicionario!$A$1:$C7832,2,0)</f>
        <v>Gomphrena celosioides</v>
      </c>
      <c r="H7433" s="6" t="str">
        <f>VLOOKUP(E7433,dicionario!$A$1:$C7832,3,0)</f>
        <v>perpétua-branca</v>
      </c>
    </row>
    <row r="7434">
      <c r="A7434" s="3">
        <v>45729.0</v>
      </c>
      <c r="B7434" s="4">
        <v>0.32708333333333334</v>
      </c>
      <c r="C7434" s="5" t="s">
        <v>76</v>
      </c>
      <c r="D7434" s="5" t="s">
        <v>1238</v>
      </c>
      <c r="E7434" s="8" t="s">
        <v>1173</v>
      </c>
      <c r="F7434" s="5" t="s">
        <v>1174</v>
      </c>
      <c r="G7434" s="6" t="str">
        <f>VLOOKUP(E7434,dicionario!$A$1:$C7833,2,0)</f>
        <v>#N/A</v>
      </c>
      <c r="H7434" s="6" t="str">
        <f>VLOOKUP(E7434,dicionario!$A$1:$C7833,3,0)</f>
        <v>#N/A</v>
      </c>
    </row>
    <row r="7435">
      <c r="A7435" s="3">
        <v>45729.0</v>
      </c>
      <c r="B7435" s="4">
        <v>0.3277777777777778</v>
      </c>
      <c r="C7435" s="5" t="s">
        <v>76</v>
      </c>
      <c r="D7435" s="5" t="s">
        <v>1238</v>
      </c>
      <c r="E7435" s="6" t="s">
        <v>57</v>
      </c>
      <c r="F7435" s="5" t="s">
        <v>559</v>
      </c>
      <c r="G7435" s="6" t="str">
        <f>VLOOKUP(E7435,dicionario!$A$1:$C7834,2,0)</f>
        <v>Juliformia</v>
      </c>
      <c r="H7435" s="6" t="str">
        <f>VLOOKUP(E7435,dicionario!$A$1:$C7834,3,0)</f>
        <v>gongolo; maria-café</v>
      </c>
    </row>
    <row r="7436">
      <c r="A7436" s="3">
        <v>45729.0</v>
      </c>
      <c r="B7436" s="4">
        <v>0.3277777777777778</v>
      </c>
      <c r="C7436" s="5" t="s">
        <v>76</v>
      </c>
      <c r="D7436" s="5" t="s">
        <v>1238</v>
      </c>
      <c r="E7436" s="8" t="s">
        <v>253</v>
      </c>
      <c r="F7436" s="5" t="s">
        <v>254</v>
      </c>
      <c r="G7436" s="6" t="str">
        <f>VLOOKUP(E7436,dicionario!$A$1:$C7835,2,0)</f>
        <v>Panicum maximum</v>
      </c>
      <c r="H7436" s="6" t="str">
        <f>VLOOKUP(E7436,dicionario!$A$1:$C7835,3,0)</f>
        <v>capim-colonião</v>
      </c>
    </row>
    <row r="7437">
      <c r="A7437" s="3">
        <v>45729.0</v>
      </c>
      <c r="B7437" s="4">
        <v>0.3284722222222222</v>
      </c>
      <c r="C7437" s="5" t="s">
        <v>76</v>
      </c>
      <c r="D7437" s="5" t="s">
        <v>1238</v>
      </c>
      <c r="E7437" s="6" t="s">
        <v>173</v>
      </c>
      <c r="F7437" s="5" t="s">
        <v>336</v>
      </c>
      <c r="G7437" s="6" t="str">
        <f>VLOOKUP(E7437,dicionario!$A$1:$C7836,2,0)</f>
        <v>Junonia evarete</v>
      </c>
      <c r="H7437" s="6" t="str">
        <f>VLOOKUP(E7437,dicionario!$A$1:$C7836,3,0)</f>
        <v>borboleta-olho-de-pavão-diúrno</v>
      </c>
    </row>
    <row r="7438">
      <c r="A7438" s="3">
        <v>45729.0</v>
      </c>
      <c r="B7438" s="4">
        <v>0.32916666666666666</v>
      </c>
      <c r="C7438" s="5" t="s">
        <v>76</v>
      </c>
      <c r="D7438" s="5" t="s">
        <v>1238</v>
      </c>
      <c r="E7438" s="6" t="s">
        <v>290</v>
      </c>
      <c r="F7438" s="5" t="s">
        <v>291</v>
      </c>
      <c r="G7438" s="6" t="str">
        <f>VLOOKUP(E7438,dicionario!$A$1:$C7837,2,0)</f>
        <v>Drymaria cordata</v>
      </c>
      <c r="H7438" s="6" t="str">
        <f>VLOOKUP(E7438,dicionario!$A$1:$C7837,3,0)</f>
        <v>orelha-de-rato</v>
      </c>
    </row>
    <row r="7439">
      <c r="A7439" s="3">
        <v>45729.0</v>
      </c>
      <c r="B7439" s="4">
        <v>0.33194444444444443</v>
      </c>
      <c r="C7439" s="5" t="s">
        <v>76</v>
      </c>
      <c r="D7439" s="5" t="s">
        <v>1238</v>
      </c>
      <c r="E7439" s="8" t="s">
        <v>113</v>
      </c>
      <c r="F7439" s="5" t="s">
        <v>114</v>
      </c>
      <c r="G7439" s="6" t="str">
        <f>VLOOKUP(E7439,dicionario!$A$1:$C7838,2,0)</f>
        <v>Columbina talpacoti</v>
      </c>
      <c r="H7439" s="6" t="str">
        <f>VLOOKUP(E7439,dicionario!$A$1:$C7838,3,0)</f>
        <v>rolinha-roxa</v>
      </c>
    </row>
    <row r="7440">
      <c r="A7440" s="3">
        <v>45729.0</v>
      </c>
      <c r="B7440" s="4">
        <v>0.3326388888888889</v>
      </c>
      <c r="C7440" s="5" t="s">
        <v>76</v>
      </c>
      <c r="D7440" s="5" t="s">
        <v>1238</v>
      </c>
      <c r="E7440" s="8" t="s">
        <v>235</v>
      </c>
      <c r="F7440" s="5" t="s">
        <v>236</v>
      </c>
      <c r="G7440" s="6" t="str">
        <f>VLOOKUP(E7440,dicionario!$A$1:$C7839,2,0)</f>
        <v>Leucaena leucocephala</v>
      </c>
      <c r="H7440" s="6" t="str">
        <f>VLOOKUP(E7440,dicionario!$A$1:$C7839,3,0)</f>
        <v>leucena</v>
      </c>
    </row>
    <row r="7441">
      <c r="A7441" s="3">
        <v>45729.0</v>
      </c>
      <c r="B7441" s="4">
        <v>0.33402777777777776</v>
      </c>
      <c r="C7441" s="5" t="s">
        <v>76</v>
      </c>
      <c r="D7441" s="5" t="s">
        <v>1238</v>
      </c>
      <c r="E7441" s="8" t="s">
        <v>135</v>
      </c>
      <c r="F7441" s="5" t="s">
        <v>136</v>
      </c>
      <c r="G7441" s="6" t="str">
        <f>VLOOKUP(E7441,dicionario!$A$1:$C7840,2,0)</f>
        <v>Tridax procumbens</v>
      </c>
      <c r="H7441" s="6" t="str">
        <f>VLOOKUP(E7441,dicionario!$A$1:$C7840,3,0)</f>
        <v>erva-de-touro</v>
      </c>
    </row>
    <row r="7442">
      <c r="A7442" s="3">
        <v>45729.0</v>
      </c>
      <c r="B7442" s="4">
        <v>0.33402777777777776</v>
      </c>
      <c r="C7442" s="5" t="s">
        <v>76</v>
      </c>
      <c r="D7442" s="5" t="s">
        <v>1238</v>
      </c>
      <c r="E7442" s="6" t="s">
        <v>83</v>
      </c>
      <c r="F7442" s="5" t="s">
        <v>84</v>
      </c>
      <c r="G7442" s="6" t="str">
        <f>VLOOKUP(E7442,dicionario!$A$1:$C7841,2,0)</f>
        <v>Anartia jatrophae</v>
      </c>
      <c r="H7442" s="6" t="str">
        <f>VLOOKUP(E7442,dicionario!$A$1:$C7841,3,0)</f>
        <v>borboleta-pavão-branco</v>
      </c>
    </row>
    <row r="7443">
      <c r="A7443" s="3">
        <v>45729.0</v>
      </c>
      <c r="B7443" s="4">
        <v>0.33402777777777776</v>
      </c>
      <c r="C7443" s="5" t="s">
        <v>76</v>
      </c>
      <c r="D7443" s="5" t="s">
        <v>1238</v>
      </c>
      <c r="E7443" s="8" t="s">
        <v>163</v>
      </c>
      <c r="F7443" s="5" t="s">
        <v>164</v>
      </c>
      <c r="G7443" s="6" t="str">
        <f>VLOOKUP(E7443,dicionario!$A$1:$C7842,2,0)</f>
        <v>Coragyps atratus</v>
      </c>
      <c r="H7443" s="6" t="str">
        <f>VLOOKUP(E7443,dicionario!$A$1:$C7842,3,0)</f>
        <v>urubu-de-cabeça-preta</v>
      </c>
    </row>
    <row r="7444">
      <c r="A7444" s="3">
        <v>45729.0</v>
      </c>
      <c r="B7444" s="4">
        <v>0.33402777777777776</v>
      </c>
      <c r="C7444" s="5" t="s">
        <v>76</v>
      </c>
      <c r="D7444" s="5" t="s">
        <v>1238</v>
      </c>
      <c r="E7444" s="8" t="s">
        <v>1247</v>
      </c>
      <c r="F7444" s="5" t="s">
        <v>534</v>
      </c>
      <c r="G7444" s="6" t="str">
        <f>VLOOKUP(E7444,dicionario!$A$1:$C7843,2,0)</f>
        <v>#N/A</v>
      </c>
      <c r="H7444" s="6" t="str">
        <f>VLOOKUP(E7444,dicionario!$A$1:$C7843,3,0)</f>
        <v>#N/A</v>
      </c>
    </row>
    <row r="7445">
      <c r="A7445" s="3">
        <v>45729.0</v>
      </c>
      <c r="B7445" s="4">
        <v>0.3402777777777778</v>
      </c>
      <c r="C7445" s="5" t="s">
        <v>85</v>
      </c>
      <c r="D7445" s="5" t="s">
        <v>1238</v>
      </c>
      <c r="E7445" s="8" t="s">
        <v>113</v>
      </c>
      <c r="F7445" s="5" t="s">
        <v>114</v>
      </c>
      <c r="G7445" s="6" t="str">
        <f>VLOOKUP(E7445,dicionario!$A$1:$C7844,2,0)</f>
        <v>Columbina talpacoti</v>
      </c>
      <c r="H7445" s="6" t="str">
        <f>VLOOKUP(E7445,dicionario!$A$1:$C7844,3,0)</f>
        <v>rolinha-roxa</v>
      </c>
    </row>
    <row r="7446">
      <c r="A7446" s="3">
        <v>45729.0</v>
      </c>
      <c r="B7446" s="4">
        <v>0.3402777777777778</v>
      </c>
      <c r="C7446" s="5" t="s">
        <v>85</v>
      </c>
      <c r="D7446" s="5" t="s">
        <v>1238</v>
      </c>
      <c r="E7446" s="8" t="s">
        <v>88</v>
      </c>
      <c r="F7446" s="5" t="s">
        <v>89</v>
      </c>
      <c r="G7446" s="6" t="str">
        <f>VLOOKUP(E7446,dicionario!$A$1:$C7845,2,0)</f>
        <v>Tyrannus melancolichus</v>
      </c>
      <c r="H7446" s="6" t="str">
        <f>VLOOKUP(E7446,dicionario!$A$1:$C7845,3,0)</f>
        <v>suiriri</v>
      </c>
    </row>
    <row r="7447">
      <c r="A7447" s="3">
        <v>45729.0</v>
      </c>
      <c r="B7447" s="4">
        <v>0.3402777777777778</v>
      </c>
      <c r="C7447" s="5" t="s">
        <v>85</v>
      </c>
      <c r="D7447" s="5" t="s">
        <v>1238</v>
      </c>
      <c r="E7447" s="8" t="s">
        <v>53</v>
      </c>
      <c r="F7447" s="5" t="s">
        <v>54</v>
      </c>
      <c r="G7447" s="6" t="str">
        <f>VLOOKUP(E7447,dicionario!$A$1:$C7846,2,0)</f>
        <v>Turnera subulata</v>
      </c>
      <c r="H7447" s="6" t="str">
        <f>VLOOKUP(E7447,dicionario!$A$1:$C7846,3,0)</f>
        <v>xanana</v>
      </c>
    </row>
    <row r="7448">
      <c r="A7448" s="3">
        <v>45729.0</v>
      </c>
      <c r="B7448" s="4">
        <v>0.3402777777777778</v>
      </c>
      <c r="C7448" s="5" t="s">
        <v>85</v>
      </c>
      <c r="D7448" s="5" t="s">
        <v>1238</v>
      </c>
      <c r="E7448" s="8" t="s">
        <v>296</v>
      </c>
      <c r="F7448" s="5" t="s">
        <v>297</v>
      </c>
      <c r="G7448" s="6" t="str">
        <f>VLOOKUP(E7448,dicionario!$A$1:$C7847,2,0)</f>
        <v>Richardia brasiliensis</v>
      </c>
      <c r="H7448" s="6" t="str">
        <f>VLOOKUP(E7448,dicionario!$A$1:$C7847,3,0)</f>
        <v>poaia-branca</v>
      </c>
    </row>
    <row r="7449">
      <c r="A7449" s="3">
        <v>45729.0</v>
      </c>
      <c r="B7449" s="4">
        <v>0.34097222222222223</v>
      </c>
      <c r="C7449" s="5" t="s">
        <v>85</v>
      </c>
      <c r="D7449" s="5" t="s">
        <v>1238</v>
      </c>
      <c r="E7449" s="6" t="s">
        <v>200</v>
      </c>
      <c r="F7449" s="5" t="s">
        <v>201</v>
      </c>
      <c r="G7449" s="6" t="str">
        <f>VLOOKUP(E7449,dicionario!$A$1:$C7848,2,0)</f>
        <v>Columbina picui </v>
      </c>
      <c r="H7449" s="6" t="str">
        <f>VLOOKUP(E7449,dicionario!$A$1:$C7848,3,0)</f>
        <v>rolinha-picuí</v>
      </c>
    </row>
    <row r="7450">
      <c r="A7450" s="3">
        <v>45729.0</v>
      </c>
      <c r="B7450" s="4">
        <v>0.34097222222222223</v>
      </c>
      <c r="C7450" s="5" t="s">
        <v>85</v>
      </c>
      <c r="D7450" s="5" t="s">
        <v>1238</v>
      </c>
      <c r="E7450" s="12" t="s">
        <v>243</v>
      </c>
      <c r="F7450" s="5" t="s">
        <v>244</v>
      </c>
      <c r="G7450" s="6" t="str">
        <f>VLOOKUP(E7450,dicionario!$A$1:$C7849,2,0)</f>
        <v>Macroptilium atropurpureum</v>
      </c>
      <c r="H7450" s="6" t="str">
        <f>VLOOKUP(E7450,dicionario!$A$1:$C7849,3,0)</f>
        <v>feijão-de-pombo</v>
      </c>
    </row>
    <row r="7451">
      <c r="A7451" s="3">
        <v>45729.0</v>
      </c>
      <c r="B7451" s="4">
        <v>0.34097222222222223</v>
      </c>
      <c r="C7451" s="5" t="s">
        <v>85</v>
      </c>
      <c r="D7451" s="5" t="s">
        <v>1238</v>
      </c>
      <c r="E7451" s="6" t="s">
        <v>148</v>
      </c>
      <c r="F7451" s="5" t="s">
        <v>149</v>
      </c>
      <c r="G7451" s="6" t="str">
        <f>VLOOKUP(E7451,dicionario!$A$1:$C7850,2,0)</f>
        <v>Parthenium hysterophorus</v>
      </c>
      <c r="H7451" s="6" t="str">
        <f>VLOOKUP(E7451,dicionario!$A$1:$C7850,3,0)</f>
        <v>losna-branca</v>
      </c>
    </row>
    <row r="7452">
      <c r="A7452" s="3">
        <v>45729.0</v>
      </c>
      <c r="B7452" s="4">
        <v>0.3416666666666667</v>
      </c>
      <c r="C7452" s="5" t="s">
        <v>85</v>
      </c>
      <c r="D7452" s="5" t="s">
        <v>1238</v>
      </c>
      <c r="E7452" s="8" t="s">
        <v>239</v>
      </c>
      <c r="F7452" s="5" t="s">
        <v>240</v>
      </c>
      <c r="G7452" s="6" t="str">
        <f>VLOOKUP(E7452,dicionario!$A$1:$C7851,2,0)</f>
        <v>Gomphrena celosioides</v>
      </c>
      <c r="H7452" s="6" t="str">
        <f>VLOOKUP(E7452,dicionario!$A$1:$C7851,3,0)</f>
        <v>perpétua-branca</v>
      </c>
    </row>
    <row r="7453">
      <c r="A7453" s="3">
        <v>45729.0</v>
      </c>
      <c r="B7453" s="4">
        <v>0.34305555555555556</v>
      </c>
      <c r="C7453" s="5" t="s">
        <v>85</v>
      </c>
      <c r="D7453" s="5" t="s">
        <v>1238</v>
      </c>
      <c r="E7453" s="8" t="s">
        <v>135</v>
      </c>
      <c r="F7453" s="5" t="s">
        <v>136</v>
      </c>
      <c r="G7453" s="6" t="str">
        <f>VLOOKUP(E7453,dicionario!$A$1:$C7852,2,0)</f>
        <v>Tridax procumbens</v>
      </c>
      <c r="H7453" s="6" t="str">
        <f>VLOOKUP(E7453,dicionario!$A$1:$C7852,3,0)</f>
        <v>erva-de-touro</v>
      </c>
    </row>
    <row r="7454">
      <c r="A7454" s="3">
        <v>45729.0</v>
      </c>
      <c r="B7454" s="4">
        <v>0.34305555555555556</v>
      </c>
      <c r="C7454" s="5" t="s">
        <v>85</v>
      </c>
      <c r="D7454" s="5" t="s">
        <v>1238</v>
      </c>
      <c r="E7454" s="8" t="s">
        <v>286</v>
      </c>
      <c r="F7454" s="5" t="s">
        <v>1242</v>
      </c>
      <c r="G7454" s="6" t="str">
        <f>VLOOKUP(E7454,dicionario!$A$1:$C7853,2,0)</f>
        <v>Setaria parviflora</v>
      </c>
      <c r="H7454" s="6" t="str">
        <f>VLOOKUP(E7454,dicionario!$A$1:$C7853,3,0)</f>
        <v>capim-rabo-de-raposa</v>
      </c>
    </row>
    <row r="7455">
      <c r="A7455" s="3">
        <v>45729.0</v>
      </c>
      <c r="B7455" s="4">
        <v>0.34305555555555556</v>
      </c>
      <c r="C7455" s="5" t="s">
        <v>85</v>
      </c>
      <c r="D7455" s="5" t="s">
        <v>1238</v>
      </c>
      <c r="E7455" s="8" t="s">
        <v>109</v>
      </c>
      <c r="F7455" s="5" t="s">
        <v>110</v>
      </c>
      <c r="G7455" s="6" t="str">
        <f>VLOOKUP(E7455,dicionario!$A$1:$C7854,2,0)</f>
        <v>Tillandsia stricta</v>
      </c>
      <c r="H7455" s="6" t="str">
        <f>VLOOKUP(E7455,dicionario!$A$1:$C7854,3,0)</f>
        <v>cravo-do-mato</v>
      </c>
    </row>
    <row r="7456">
      <c r="A7456" s="3">
        <v>45729.0</v>
      </c>
      <c r="B7456" s="4">
        <v>0.34305555555555556</v>
      </c>
      <c r="C7456" s="5" t="s">
        <v>85</v>
      </c>
      <c r="D7456" s="5" t="s">
        <v>1238</v>
      </c>
      <c r="E7456" s="8" t="s">
        <v>163</v>
      </c>
      <c r="F7456" s="5" t="s">
        <v>164</v>
      </c>
      <c r="G7456" s="6" t="str">
        <f>VLOOKUP(E7456,dicionario!$A$1:$C7855,2,0)</f>
        <v>Coragyps atratus</v>
      </c>
      <c r="H7456" s="6" t="str">
        <f>VLOOKUP(E7456,dicionario!$A$1:$C7855,3,0)</f>
        <v>urubu-de-cabeça-preta</v>
      </c>
    </row>
    <row r="7457">
      <c r="A7457" s="3">
        <v>45729.0</v>
      </c>
      <c r="B7457" s="4">
        <v>0.3451388888888889</v>
      </c>
      <c r="C7457" s="5" t="s">
        <v>85</v>
      </c>
      <c r="D7457" s="5" t="s">
        <v>1238</v>
      </c>
      <c r="E7457" s="6" t="s">
        <v>204</v>
      </c>
      <c r="F7457" s="5" t="s">
        <v>205</v>
      </c>
      <c r="G7457" s="6" t="str">
        <f>VLOOKUP(E7457,dicionario!$A$1:$C7856,2,0)</f>
        <v>Vespidae</v>
      </c>
      <c r="H7457" s="6" t="str">
        <f>VLOOKUP(E7457,dicionario!$A$1:$C7856,3,0)</f>
        <v>vespa</v>
      </c>
    </row>
    <row r="7458">
      <c r="A7458" s="3">
        <v>45729.0</v>
      </c>
      <c r="B7458" s="4">
        <v>0.34791666666666665</v>
      </c>
      <c r="C7458" s="5" t="s">
        <v>85</v>
      </c>
      <c r="D7458" s="5" t="s">
        <v>1238</v>
      </c>
      <c r="E7458" s="10" t="s">
        <v>101</v>
      </c>
      <c r="F7458" s="5" t="s">
        <v>102</v>
      </c>
      <c r="G7458" s="6" t="str">
        <f>VLOOKUP(E7458,dicionario!$A$1:$C7857,2,0)</f>
        <v>Nemosia pileata</v>
      </c>
      <c r="H7458" s="6" t="str">
        <f>VLOOKUP(E7458,dicionario!$A$1:$C7857,3,0)</f>
        <v>saíra-de-chapéu-preto</v>
      </c>
    </row>
    <row r="7459">
      <c r="A7459" s="3">
        <v>45729.0</v>
      </c>
      <c r="B7459" s="4">
        <v>0.34791666666666665</v>
      </c>
      <c r="C7459" s="5" t="s">
        <v>85</v>
      </c>
      <c r="D7459" s="5" t="s">
        <v>1238</v>
      </c>
      <c r="E7459" s="8" t="s">
        <v>20</v>
      </c>
      <c r="F7459" s="5" t="s">
        <v>21</v>
      </c>
      <c r="G7459" s="6" t="str">
        <f>VLOOKUP(E7459,dicionario!$A$1:$C7858,2,0)</f>
        <v>Sicalis flaveola</v>
      </c>
      <c r="H7459" s="6" t="str">
        <f>VLOOKUP(E7459,dicionario!$A$1:$C7858,3,0)</f>
        <v>canário-da-terra</v>
      </c>
    </row>
    <row r="7460">
      <c r="A7460" s="3">
        <v>45729.0</v>
      </c>
      <c r="B7460" s="4">
        <v>0.35</v>
      </c>
      <c r="C7460" s="5" t="s">
        <v>85</v>
      </c>
      <c r="D7460" s="5" t="s">
        <v>1238</v>
      </c>
      <c r="E7460" s="8" t="s">
        <v>122</v>
      </c>
      <c r="F7460" s="5" t="s">
        <v>123</v>
      </c>
      <c r="G7460" s="6" t="str">
        <f>VLOOKUP(E7460,dicionario!$A$1:$C7859,2,0)</f>
        <v>Todirostrum cinereum</v>
      </c>
      <c r="H7460" s="6" t="str">
        <f>VLOOKUP(E7460,dicionario!$A$1:$C7859,3,0)</f>
        <v>ferreirinho-relógio</v>
      </c>
    </row>
    <row r="7461">
      <c r="A7461" s="3">
        <v>45729.0</v>
      </c>
      <c r="B7461" s="4">
        <v>0.35</v>
      </c>
      <c r="C7461" s="5" t="s">
        <v>85</v>
      </c>
      <c r="D7461" s="5" t="s">
        <v>1238</v>
      </c>
      <c r="E7461" s="8" t="s">
        <v>65</v>
      </c>
      <c r="F7461" s="5" t="s">
        <v>66</v>
      </c>
      <c r="G7461" s="6" t="str">
        <f>VLOOKUP(E7461,dicionario!$A$1:$C7860,2,0)</f>
        <v>Pitangus sulphutarus</v>
      </c>
      <c r="H7461" s="6" t="str">
        <f>VLOOKUP(E7461,dicionario!$A$1:$C7860,3,0)</f>
        <v>bem-te-vi</v>
      </c>
    </row>
    <row r="7462">
      <c r="A7462" s="3">
        <v>45729.0</v>
      </c>
      <c r="B7462" s="4">
        <v>0.35208333333333336</v>
      </c>
      <c r="C7462" s="5" t="s">
        <v>90</v>
      </c>
      <c r="D7462" s="5" t="s">
        <v>1238</v>
      </c>
      <c r="E7462" s="6" t="s">
        <v>83</v>
      </c>
      <c r="F7462" s="5" t="s">
        <v>84</v>
      </c>
      <c r="G7462" s="6" t="str">
        <f>VLOOKUP(E7462,dicionario!$A$1:$C7861,2,0)</f>
        <v>Anartia jatrophae</v>
      </c>
      <c r="H7462" s="6" t="str">
        <f>VLOOKUP(E7462,dicionario!$A$1:$C7861,3,0)</f>
        <v>borboleta-pavão-branco</v>
      </c>
    </row>
    <row r="7463">
      <c r="A7463" s="3">
        <v>45729.0</v>
      </c>
      <c r="B7463" s="4">
        <v>0.35208333333333336</v>
      </c>
      <c r="C7463" s="5" t="s">
        <v>90</v>
      </c>
      <c r="D7463" s="5" t="s">
        <v>1238</v>
      </c>
      <c r="E7463" s="8" t="s">
        <v>53</v>
      </c>
      <c r="F7463" s="5" t="s">
        <v>54</v>
      </c>
      <c r="G7463" s="6" t="str">
        <f>VLOOKUP(E7463,dicionario!$A$1:$C7862,2,0)</f>
        <v>Turnera subulata</v>
      </c>
      <c r="H7463" s="6" t="str">
        <f>VLOOKUP(E7463,dicionario!$A$1:$C7862,3,0)</f>
        <v>xanana</v>
      </c>
    </row>
    <row r="7464">
      <c r="A7464" s="3">
        <v>45729.0</v>
      </c>
      <c r="B7464" s="4">
        <v>0.35208333333333336</v>
      </c>
      <c r="C7464" s="5" t="s">
        <v>90</v>
      </c>
      <c r="D7464" s="5" t="s">
        <v>1238</v>
      </c>
      <c r="E7464" s="6" t="s">
        <v>253</v>
      </c>
      <c r="F7464" s="5" t="s">
        <v>254</v>
      </c>
      <c r="G7464" s="6" t="str">
        <f>VLOOKUP(E7464,dicionario!$A$1:$C7863,2,0)</f>
        <v>Panicum maximum</v>
      </c>
      <c r="H7464" s="6" t="str">
        <f>VLOOKUP(E7464,dicionario!$A$1:$C7863,3,0)</f>
        <v>capim-colonião</v>
      </c>
    </row>
    <row r="7465">
      <c r="A7465" s="3">
        <v>45729.0</v>
      </c>
      <c r="B7465" s="4">
        <v>0.35208333333333336</v>
      </c>
      <c r="C7465" s="5" t="s">
        <v>90</v>
      </c>
      <c r="D7465" s="5" t="s">
        <v>1238</v>
      </c>
      <c r="E7465" s="8" t="s">
        <v>135</v>
      </c>
      <c r="F7465" s="5" t="s">
        <v>136</v>
      </c>
      <c r="G7465" s="6" t="str">
        <f>VLOOKUP(E7465,dicionario!$A$1:$C7864,2,0)</f>
        <v>Tridax procumbens</v>
      </c>
      <c r="H7465" s="6" t="str">
        <f>VLOOKUP(E7465,dicionario!$A$1:$C7864,3,0)</f>
        <v>erva-de-touro</v>
      </c>
    </row>
    <row r="7466">
      <c r="A7466" s="3">
        <v>45729.0</v>
      </c>
      <c r="B7466" s="4">
        <v>0.35208333333333336</v>
      </c>
      <c r="C7466" s="5" t="s">
        <v>90</v>
      </c>
      <c r="D7466" s="5" t="s">
        <v>1238</v>
      </c>
      <c r="E7466" s="8" t="s">
        <v>239</v>
      </c>
      <c r="F7466" s="5" t="s">
        <v>240</v>
      </c>
      <c r="G7466" s="6" t="str">
        <f>VLOOKUP(E7466,dicionario!$A$1:$C7865,2,0)</f>
        <v>Gomphrena celosioides</v>
      </c>
      <c r="H7466" s="6" t="str">
        <f>VLOOKUP(E7466,dicionario!$A$1:$C7865,3,0)</f>
        <v>perpétua-branca</v>
      </c>
    </row>
    <row r="7467">
      <c r="A7467" s="3">
        <v>45729.0</v>
      </c>
      <c r="B7467" s="4">
        <v>0.3527777777777778</v>
      </c>
      <c r="C7467" s="5" t="s">
        <v>90</v>
      </c>
      <c r="D7467" s="5" t="s">
        <v>1238</v>
      </c>
      <c r="E7467" s="8" t="s">
        <v>489</v>
      </c>
      <c r="F7467" s="5" t="s">
        <v>521</v>
      </c>
      <c r="G7467" s="6" t="str">
        <f>VLOOKUP(E7467,dicionario!$A$1:$C7866,2,0)</f>
        <v>Cenchrus echinatus</v>
      </c>
      <c r="H7467" s="6" t="str">
        <f>VLOOKUP(E7467,dicionario!$A$1:$C7866,3,0)</f>
        <v>capim-carrapicho</v>
      </c>
    </row>
    <row r="7468">
      <c r="A7468" s="3">
        <v>45729.0</v>
      </c>
      <c r="B7468" s="4">
        <v>0.35347222222222224</v>
      </c>
      <c r="C7468" s="5" t="s">
        <v>90</v>
      </c>
      <c r="D7468" s="5" t="s">
        <v>1238</v>
      </c>
      <c r="E7468" s="6" t="s">
        <v>146</v>
      </c>
      <c r="F7468" s="5" t="s">
        <v>147</v>
      </c>
      <c r="G7468" s="6" t="str">
        <f>VLOOKUP(E7468,dicionario!$A$1:$C7867,2,0)</f>
        <v>Euphorbia hirta</v>
      </c>
      <c r="H7468" s="6" t="str">
        <f>VLOOKUP(E7468,dicionario!$A$1:$C7867,3,0)</f>
        <v>erva-de-santa-luzia</v>
      </c>
    </row>
    <row r="7469">
      <c r="A7469" s="3">
        <v>45729.0</v>
      </c>
      <c r="B7469" s="4">
        <v>0.35347222222222224</v>
      </c>
      <c r="C7469" s="5" t="s">
        <v>90</v>
      </c>
      <c r="D7469" s="5" t="s">
        <v>1238</v>
      </c>
      <c r="E7469" s="8" t="s">
        <v>286</v>
      </c>
      <c r="F7469" s="5" t="s">
        <v>1242</v>
      </c>
      <c r="G7469" s="6" t="str">
        <f>VLOOKUP(E7469,dicionario!$A$1:$C7868,2,0)</f>
        <v>Setaria parviflora</v>
      </c>
      <c r="H7469" s="6" t="str">
        <f>VLOOKUP(E7469,dicionario!$A$1:$C7868,3,0)</f>
        <v>capim-rabo-de-raposa</v>
      </c>
    </row>
    <row r="7470">
      <c r="A7470" s="3">
        <v>45729.0</v>
      </c>
      <c r="B7470" s="4">
        <v>0.35347222222222224</v>
      </c>
      <c r="C7470" s="5" t="s">
        <v>90</v>
      </c>
      <c r="D7470" s="5" t="s">
        <v>1238</v>
      </c>
      <c r="E7470" s="8" t="s">
        <v>245</v>
      </c>
      <c r="F7470" s="5" t="s">
        <v>1106</v>
      </c>
      <c r="G7470" s="6" t="str">
        <f>VLOOKUP(E7470,dicionario!$A$1:$C7869,2,0)</f>
        <v>Hemiargus hanno</v>
      </c>
      <c r="H7470" s="6" t="str">
        <f>VLOOKUP(E7470,dicionario!$A$1:$C7869,3,0)</f>
        <v>borboleta-azulzinha-do-trevo</v>
      </c>
    </row>
    <row r="7471">
      <c r="A7471" s="3">
        <v>45729.0</v>
      </c>
      <c r="B7471" s="4">
        <v>0.35347222222222224</v>
      </c>
      <c r="C7471" s="5" t="s">
        <v>90</v>
      </c>
      <c r="D7471" s="5" t="s">
        <v>1238</v>
      </c>
      <c r="E7471" s="8" t="s">
        <v>227</v>
      </c>
      <c r="F7471" s="5" t="s">
        <v>228</v>
      </c>
      <c r="G7471" s="6" t="str">
        <f>VLOOKUP(E7471,dicionario!$A$1:$C7870,2,0)</f>
        <v>Indigofera hirsuta</v>
      </c>
      <c r="H7471" s="6" t="str">
        <f>VLOOKUP(E7471,dicionario!$A$1:$C7870,3,0)</f>
        <v>anileira</v>
      </c>
    </row>
    <row r="7472">
      <c r="A7472" s="3">
        <v>45729.0</v>
      </c>
      <c r="B7472" s="4">
        <v>0.35347222222222224</v>
      </c>
      <c r="C7472" s="5" t="s">
        <v>90</v>
      </c>
      <c r="D7472" s="5" t="s">
        <v>1238</v>
      </c>
      <c r="E7472" s="8" t="s">
        <v>143</v>
      </c>
      <c r="F7472" s="5" t="s">
        <v>63</v>
      </c>
      <c r="G7472" s="6" t="str">
        <f>VLOOKUP(E7472,dicionario!$A$1:$C7871,2,0)</f>
        <v>Polybia</v>
      </c>
      <c r="H7472" s="6" t="str">
        <f>VLOOKUP(E7472,dicionario!$A$1:$C7871,3,0)</f>
        <v>vespa</v>
      </c>
    </row>
    <row r="7473">
      <c r="A7473" s="3">
        <v>45729.0</v>
      </c>
      <c r="B7473" s="4">
        <v>0.35347222222222224</v>
      </c>
      <c r="C7473" s="5" t="s">
        <v>90</v>
      </c>
      <c r="D7473" s="5" t="s">
        <v>1238</v>
      </c>
      <c r="E7473" s="8" t="s">
        <v>298</v>
      </c>
      <c r="F7473" s="5" t="s">
        <v>299</v>
      </c>
      <c r="G7473" s="6" t="str">
        <f>VLOOKUP(E7473,dicionario!$A$1:$C7872,2,0)</f>
        <v>Alysicarpus vaginalis</v>
      </c>
      <c r="H7473" s="6" t="str">
        <f>VLOOKUP(E7473,dicionario!$A$1:$C7872,3,0)</f>
        <v/>
      </c>
    </row>
    <row r="7474">
      <c r="A7474" s="3">
        <v>45729.0</v>
      </c>
      <c r="B7474" s="4">
        <v>0.35347222222222224</v>
      </c>
      <c r="C7474" s="5" t="s">
        <v>90</v>
      </c>
      <c r="D7474" s="5" t="s">
        <v>1238</v>
      </c>
      <c r="E7474" s="8" t="s">
        <v>14</v>
      </c>
      <c r="F7474" s="5" t="s">
        <v>15</v>
      </c>
      <c r="G7474" s="6" t="str">
        <f>VLOOKUP(E7474,dicionario!$A$1:$C7873,2,0)</f>
        <v>Spermacoce verticillata</v>
      </c>
      <c r="H7474" s="6" t="str">
        <f>VLOOKUP(E7474,dicionario!$A$1:$C7873,3,0)</f>
        <v>vassourinha-de-botão</v>
      </c>
    </row>
    <row r="7475">
      <c r="A7475" s="3">
        <v>45729.0</v>
      </c>
      <c r="B7475" s="4">
        <v>0.3541666666666667</v>
      </c>
      <c r="C7475" s="5" t="s">
        <v>90</v>
      </c>
      <c r="D7475" s="5" t="s">
        <v>1238</v>
      </c>
      <c r="E7475" s="8" t="s">
        <v>353</v>
      </c>
      <c r="F7475" s="5" t="s">
        <v>354</v>
      </c>
      <c r="G7475" s="6" t="str">
        <f>VLOOKUP(E7475,dicionario!$A$1:$C7874,2,0)</f>
        <v>Desmodium incanum</v>
      </c>
      <c r="H7475" s="6" t="str">
        <f>VLOOKUP(E7475,dicionario!$A$1:$C7874,3,0)</f>
        <v>pega-pega</v>
      </c>
    </row>
    <row r="7476">
      <c r="A7476" s="3">
        <v>45729.0</v>
      </c>
      <c r="B7476" s="4">
        <v>0.3541666666666667</v>
      </c>
      <c r="C7476" s="5" t="s">
        <v>90</v>
      </c>
      <c r="D7476" s="5" t="s">
        <v>1238</v>
      </c>
      <c r="E7476" s="8" t="s">
        <v>88</v>
      </c>
      <c r="F7476" s="5" t="s">
        <v>89</v>
      </c>
      <c r="G7476" s="6" t="str">
        <f>VLOOKUP(E7476,dicionario!$A$1:$C7875,2,0)</f>
        <v>Tyrannus melancolichus</v>
      </c>
      <c r="H7476" s="6" t="str">
        <f>VLOOKUP(E7476,dicionario!$A$1:$C7875,3,0)</f>
        <v>suiriri</v>
      </c>
    </row>
    <row r="7477">
      <c r="A7477" s="3">
        <v>45729.0</v>
      </c>
      <c r="B7477" s="4">
        <v>0.3541666666666667</v>
      </c>
      <c r="C7477" s="5" t="s">
        <v>90</v>
      </c>
      <c r="D7477" s="5" t="s">
        <v>1238</v>
      </c>
      <c r="E7477" s="8" t="s">
        <v>163</v>
      </c>
      <c r="F7477" s="5" t="s">
        <v>164</v>
      </c>
      <c r="G7477" s="6" t="str">
        <f>VLOOKUP(E7477,dicionario!$A$1:$C7876,2,0)</f>
        <v>Coragyps atratus</v>
      </c>
      <c r="H7477" s="6" t="str">
        <f>VLOOKUP(E7477,dicionario!$A$1:$C7876,3,0)</f>
        <v>urubu-de-cabeça-preta</v>
      </c>
    </row>
    <row r="7478">
      <c r="A7478" s="3">
        <v>45729.0</v>
      </c>
      <c r="B7478" s="4">
        <v>0.3541666666666667</v>
      </c>
      <c r="C7478" s="5" t="s">
        <v>90</v>
      </c>
      <c r="D7478" s="5" t="s">
        <v>1238</v>
      </c>
      <c r="E7478" s="8" t="s">
        <v>43</v>
      </c>
      <c r="F7478" s="5" t="s">
        <v>44</v>
      </c>
      <c r="G7478" s="6" t="str">
        <f>VLOOKUP(E7478,dicionario!$A$1:$C7877,2,0)</f>
        <v>Columba livia</v>
      </c>
      <c r="H7478" s="6" t="str">
        <f>VLOOKUP(E7478,dicionario!$A$1:$C7877,3,0)</f>
        <v>pombo-doméstico</v>
      </c>
    </row>
    <row r="7479">
      <c r="A7479" s="3">
        <v>45729.0</v>
      </c>
      <c r="B7479" s="4">
        <v>0.3541666666666667</v>
      </c>
      <c r="C7479" s="5" t="s">
        <v>90</v>
      </c>
      <c r="D7479" s="5" t="s">
        <v>1238</v>
      </c>
      <c r="E7479" s="8" t="s">
        <v>139</v>
      </c>
      <c r="F7479" s="5" t="s">
        <v>862</v>
      </c>
      <c r="G7479" s="6" t="str">
        <f>VLOOKUP(E7479,dicionario!$A$1:$C7878,2,0)</f>
        <v>Tropidurus torquatus</v>
      </c>
      <c r="H7479" s="6" t="str">
        <f>VLOOKUP(E7479,dicionario!$A$1:$C7878,3,0)</f>
        <v>calango; tropiduro-comum</v>
      </c>
    </row>
    <row r="7480">
      <c r="A7480" s="3">
        <v>45729.0</v>
      </c>
      <c r="B7480" s="4">
        <v>0.3548611111111111</v>
      </c>
      <c r="C7480" s="5" t="s">
        <v>90</v>
      </c>
      <c r="D7480" s="5" t="s">
        <v>1238</v>
      </c>
      <c r="E7480" s="8" t="s">
        <v>1248</v>
      </c>
      <c r="F7480" s="5" t="s">
        <v>153</v>
      </c>
      <c r="G7480" s="6" t="str">
        <f>VLOOKUP(E7480,dicionario!$A$1:$C7879,2,0)</f>
        <v>#N/A</v>
      </c>
      <c r="H7480" s="6" t="str">
        <f>VLOOKUP(E7480,dicionario!$A$1:$C7879,3,0)</f>
        <v>#N/A</v>
      </c>
    </row>
    <row r="7481">
      <c r="A7481" s="3">
        <v>45729.0</v>
      </c>
      <c r="B7481" s="4">
        <v>0.35555555555555557</v>
      </c>
      <c r="C7481" s="5" t="s">
        <v>90</v>
      </c>
      <c r="D7481" s="5" t="s">
        <v>1238</v>
      </c>
      <c r="E7481" s="8" t="s">
        <v>195</v>
      </c>
      <c r="F7481" s="5" t="s">
        <v>196</v>
      </c>
      <c r="G7481" s="6" t="str">
        <f>VLOOKUP(E7481,dicionario!$A$1:$C7880,2,0)</f>
        <v>Priva lappulacea</v>
      </c>
      <c r="H7481" s="6" t="str">
        <f>VLOOKUP(E7481,dicionario!$A$1:$C7880,3,0)</f>
        <v>carrapicho</v>
      </c>
    </row>
    <row r="7482">
      <c r="A7482" s="3">
        <v>45729.0</v>
      </c>
      <c r="B7482" s="4">
        <v>0.35625</v>
      </c>
      <c r="C7482" s="5" t="s">
        <v>90</v>
      </c>
      <c r="D7482" s="5" t="s">
        <v>1238</v>
      </c>
      <c r="E7482" s="6" t="s">
        <v>173</v>
      </c>
      <c r="F7482" s="5" t="s">
        <v>336</v>
      </c>
      <c r="G7482" s="6" t="str">
        <f>VLOOKUP(E7482,dicionario!$A$1:$C7881,2,0)</f>
        <v>Junonia evarete</v>
      </c>
      <c r="H7482" s="6" t="str">
        <f>VLOOKUP(E7482,dicionario!$A$1:$C7881,3,0)</f>
        <v>borboleta-olho-de-pavão-diúrno</v>
      </c>
    </row>
    <row r="7483">
      <c r="A7483" s="3">
        <v>45729.0</v>
      </c>
      <c r="B7483" s="4">
        <v>0.35694444444444445</v>
      </c>
      <c r="C7483" s="5" t="s">
        <v>90</v>
      </c>
      <c r="D7483" s="5" t="s">
        <v>1238</v>
      </c>
      <c r="E7483" s="8" t="s">
        <v>20</v>
      </c>
      <c r="F7483" s="5" t="s">
        <v>21</v>
      </c>
      <c r="G7483" s="6" t="str">
        <f>VLOOKUP(E7483,dicionario!$A$1:$C7882,2,0)</f>
        <v>Sicalis flaveola</v>
      </c>
      <c r="H7483" s="6" t="str">
        <f>VLOOKUP(E7483,dicionario!$A$1:$C7882,3,0)</f>
        <v>canário-da-terra</v>
      </c>
    </row>
    <row r="7484">
      <c r="A7484" s="3">
        <v>45729.0</v>
      </c>
      <c r="B7484" s="4">
        <v>0.3541666666666667</v>
      </c>
      <c r="C7484" s="5" t="s">
        <v>90</v>
      </c>
      <c r="D7484" s="5" t="s">
        <v>1238</v>
      </c>
      <c r="E7484" s="8" t="s">
        <v>1249</v>
      </c>
      <c r="F7484" s="5" t="s">
        <v>114</v>
      </c>
      <c r="G7484" s="6" t="str">
        <f>VLOOKUP(E7484,dicionario!$A$1:$C7883,2,0)</f>
        <v>Columbina talpacoti</v>
      </c>
      <c r="H7484" s="6" t="str">
        <f>VLOOKUP(E7484,dicionario!$A$1:$C7883,3,0)</f>
        <v>rolinha-roxa</v>
      </c>
    </row>
    <row r="7485">
      <c r="A7485" s="3">
        <v>45729.0</v>
      </c>
      <c r="B7485" s="4">
        <v>0.3541666666666667</v>
      </c>
      <c r="C7485" s="5" t="s">
        <v>90</v>
      </c>
      <c r="D7485" s="5" t="s">
        <v>1238</v>
      </c>
      <c r="E7485" s="8" t="s">
        <v>1173</v>
      </c>
      <c r="F7485" s="5" t="s">
        <v>1174</v>
      </c>
      <c r="G7485" s="6" t="str">
        <f>VLOOKUP(E7485,dicionario!$A$1:$C7884,2,0)</f>
        <v>#N/A</v>
      </c>
      <c r="H7485" s="6" t="str">
        <f>VLOOKUP(E7485,dicionario!$A$1:$C7884,3,0)</f>
        <v>#N/A</v>
      </c>
    </row>
    <row r="7486">
      <c r="A7486" s="3">
        <v>45729.0</v>
      </c>
      <c r="B7486" s="4">
        <v>0.3541666666666667</v>
      </c>
      <c r="C7486" s="5" t="s">
        <v>90</v>
      </c>
      <c r="D7486" s="5" t="s">
        <v>1238</v>
      </c>
      <c r="E7486" s="8" t="s">
        <v>286</v>
      </c>
      <c r="F7486" s="5" t="s">
        <v>1242</v>
      </c>
      <c r="G7486" s="6" t="str">
        <f>VLOOKUP(E7486,dicionario!$A$1:$C7885,2,0)</f>
        <v>Setaria parviflora</v>
      </c>
      <c r="H7486" s="6" t="str">
        <f>VLOOKUP(E7486,dicionario!$A$1:$C7885,3,0)</f>
        <v>capim-rabo-de-raposa</v>
      </c>
    </row>
    <row r="7487">
      <c r="A7487" s="3">
        <v>45729.0</v>
      </c>
      <c r="B7487" s="4">
        <v>0.3541666666666667</v>
      </c>
      <c r="C7487" s="5" t="s">
        <v>90</v>
      </c>
      <c r="D7487" s="5" t="s">
        <v>1238</v>
      </c>
      <c r="E7487" s="8" t="s">
        <v>65</v>
      </c>
      <c r="F7487" s="5" t="s">
        <v>66</v>
      </c>
      <c r="G7487" s="6" t="str">
        <f>VLOOKUP(E7487,dicionario!$A$1:$C7886,2,0)</f>
        <v>Pitangus sulphutarus</v>
      </c>
      <c r="H7487" s="6" t="str">
        <f>VLOOKUP(E7487,dicionario!$A$1:$C7886,3,0)</f>
        <v>bem-te-vi</v>
      </c>
    </row>
    <row r="7488">
      <c r="A7488" s="3">
        <v>45729.0</v>
      </c>
      <c r="B7488" s="4">
        <v>0.3541666666666667</v>
      </c>
      <c r="C7488" s="5" t="s">
        <v>90</v>
      </c>
      <c r="D7488" s="5" t="s">
        <v>1238</v>
      </c>
      <c r="E7488" s="8" t="s">
        <v>175</v>
      </c>
      <c r="F7488" s="5" t="s">
        <v>176</v>
      </c>
      <c r="G7488" s="6" t="str">
        <f>VLOOKUP(E7488,dicionario!$A$1:$C7887,2,0)</f>
        <v>Turdus leucomelas</v>
      </c>
      <c r="H7488" s="6" t="str">
        <f>VLOOKUP(E7488,dicionario!$A$1:$C7887,3,0)</f>
        <v>sabiá-barranco</v>
      </c>
    </row>
    <row r="7489">
      <c r="A7489" s="3">
        <v>45729.0</v>
      </c>
      <c r="B7489" s="4">
        <v>0.35833333333333334</v>
      </c>
      <c r="C7489" s="5" t="s">
        <v>90</v>
      </c>
      <c r="D7489" s="5" t="s">
        <v>1238</v>
      </c>
      <c r="E7489" s="8" t="s">
        <v>109</v>
      </c>
      <c r="F7489" s="5" t="s">
        <v>110</v>
      </c>
      <c r="G7489" s="6" t="str">
        <f>VLOOKUP(E7489,dicionario!$A$1:$C7888,2,0)</f>
        <v>Tillandsia stricta</v>
      </c>
      <c r="H7489" s="6" t="str">
        <f>VLOOKUP(E7489,dicionario!$A$1:$C7888,3,0)</f>
        <v>cravo-do-mato</v>
      </c>
    </row>
    <row r="7490">
      <c r="A7490" s="3">
        <v>45736.0</v>
      </c>
      <c r="B7490" s="4">
        <v>0.2590277777777778</v>
      </c>
      <c r="C7490" s="5" t="s">
        <v>90</v>
      </c>
      <c r="D7490" s="5" t="s">
        <v>1250</v>
      </c>
      <c r="E7490" s="8" t="s">
        <v>498</v>
      </c>
      <c r="F7490" s="5" t="s">
        <v>499</v>
      </c>
      <c r="G7490" s="6" t="str">
        <f>VLOOKUP(E7490,dicionario!$A$1:$C7889,2,0)</f>
        <v>Brachiaria decumbens</v>
      </c>
      <c r="H7490" s="6" t="str">
        <f>VLOOKUP(E7490,dicionario!$A$1:$C7889,3,0)</f>
        <v>capim-braquiária</v>
      </c>
    </row>
    <row r="7491">
      <c r="A7491" s="3">
        <v>45736.0</v>
      </c>
      <c r="B7491" s="4">
        <v>0.2590277777777778</v>
      </c>
      <c r="C7491" s="5" t="s">
        <v>90</v>
      </c>
      <c r="D7491" s="5" t="s">
        <v>1250</v>
      </c>
      <c r="E7491" s="20" t="s">
        <v>676</v>
      </c>
      <c r="F7491" s="5" t="s">
        <v>677</v>
      </c>
      <c r="G7491" s="6" t="str">
        <f>VLOOKUP(E7491,dicionario!$A$1:$C7890,2,0)</f>
        <v>Zornia latifolia</v>
      </c>
      <c r="H7491" s="6" t="str">
        <f>VLOOKUP(E7491,dicionario!$A$1:$C7890,3,0)</f>
        <v>arrozinho-do-campo</v>
      </c>
    </row>
    <row r="7492">
      <c r="A7492" s="3">
        <v>45736.0</v>
      </c>
      <c r="B7492" s="4">
        <v>0.2590277777777778</v>
      </c>
      <c r="C7492" s="5" t="s">
        <v>90</v>
      </c>
      <c r="D7492" s="5" t="s">
        <v>1250</v>
      </c>
      <c r="E7492" s="8" t="s">
        <v>353</v>
      </c>
      <c r="F7492" s="5" t="s">
        <v>354</v>
      </c>
      <c r="G7492" s="6" t="str">
        <f>VLOOKUP(E7492,dicionario!$A$1:$C7891,2,0)</f>
        <v>Desmodium incanum</v>
      </c>
      <c r="H7492" s="6" t="str">
        <f>VLOOKUP(E7492,dicionario!$A$1:$C7891,3,0)</f>
        <v>pega-pega</v>
      </c>
    </row>
    <row r="7493">
      <c r="A7493" s="3">
        <v>45736.0</v>
      </c>
      <c r="B7493" s="4">
        <v>0.2590277777777778</v>
      </c>
      <c r="C7493" s="5" t="s">
        <v>90</v>
      </c>
      <c r="D7493" s="5" t="s">
        <v>1250</v>
      </c>
      <c r="E7493" s="8" t="s">
        <v>258</v>
      </c>
      <c r="F7493" s="5" t="s">
        <v>259</v>
      </c>
      <c r="G7493" s="6" t="str">
        <f>VLOOKUP(E7493,dicionario!$A$1:$C7892,2,0)</f>
        <v>Lantana camara</v>
      </c>
      <c r="H7493" s="6" t="str">
        <f>VLOOKUP(E7493,dicionario!$A$1:$C7892,3,0)</f>
        <v>lantana</v>
      </c>
    </row>
    <row r="7494">
      <c r="A7494" s="3">
        <v>45736.0</v>
      </c>
      <c r="B7494" s="4">
        <v>0.25972222222222224</v>
      </c>
      <c r="C7494" s="5" t="s">
        <v>90</v>
      </c>
      <c r="D7494" s="5" t="s">
        <v>1250</v>
      </c>
      <c r="E7494" s="8" t="s">
        <v>14</v>
      </c>
      <c r="F7494" s="5" t="s">
        <v>15</v>
      </c>
      <c r="G7494" s="6" t="str">
        <f>VLOOKUP(E7494,dicionario!$A$1:$C7893,2,0)</f>
        <v>Spermacoce verticillata</v>
      </c>
      <c r="H7494" s="6" t="str">
        <f>VLOOKUP(E7494,dicionario!$A$1:$C7893,3,0)</f>
        <v>vassourinha-de-botão</v>
      </c>
    </row>
    <row r="7495">
      <c r="A7495" s="3">
        <v>45736.0</v>
      </c>
      <c r="B7495" s="4">
        <v>0.25972222222222224</v>
      </c>
      <c r="C7495" s="5" t="s">
        <v>90</v>
      </c>
      <c r="D7495" s="5" t="s">
        <v>1250</v>
      </c>
      <c r="E7495" s="8" t="s">
        <v>152</v>
      </c>
      <c r="F7495" s="5" t="s">
        <v>153</v>
      </c>
      <c r="G7495" s="6" t="str">
        <f>VLOOKUP(E7495,dicionario!$A$1:$C7894,2,0)</f>
        <v>Cynodon dactylon</v>
      </c>
      <c r="H7495" s="6" t="str">
        <f>VLOOKUP(E7495,dicionario!$A$1:$C7894,3,0)</f>
        <v>grama-bermuda</v>
      </c>
    </row>
    <row r="7496">
      <c r="A7496" s="3">
        <v>45736.0</v>
      </c>
      <c r="B7496" s="4">
        <v>0.25972222222222224</v>
      </c>
      <c r="C7496" s="5" t="s">
        <v>90</v>
      </c>
      <c r="D7496" s="5" t="s">
        <v>1250</v>
      </c>
      <c r="E7496" s="8" t="s">
        <v>1239</v>
      </c>
      <c r="F7496" s="5" t="s">
        <v>136</v>
      </c>
      <c r="G7496" s="6" t="str">
        <f>VLOOKUP(E7496,dicionario!$A$1:$C7895,2,0)</f>
        <v>#N/A</v>
      </c>
      <c r="H7496" s="6" t="str">
        <f>VLOOKUP(E7496,dicionario!$A$1:$C7895,3,0)</f>
        <v>#N/A</v>
      </c>
    </row>
    <row r="7497">
      <c r="A7497" s="3">
        <v>45736.0</v>
      </c>
      <c r="B7497" s="4">
        <v>0.25972222222222224</v>
      </c>
      <c r="C7497" s="5" t="s">
        <v>90</v>
      </c>
      <c r="D7497" s="5" t="s">
        <v>1250</v>
      </c>
      <c r="E7497" s="8" t="s">
        <v>271</v>
      </c>
      <c r="F7497" s="5" t="s">
        <v>1169</v>
      </c>
      <c r="G7497" s="6" t="str">
        <f>VLOOKUP(E7497,dicionario!$A$1:$C7896,2,0)</f>
        <v>Cyanthillium cinereum</v>
      </c>
      <c r="H7497" s="6" t="str">
        <f>VLOOKUP(E7497,dicionario!$A$1:$C7896,3,0)</f>
        <v>emília</v>
      </c>
    </row>
    <row r="7498">
      <c r="A7498" s="3">
        <v>45736.0</v>
      </c>
      <c r="B7498" s="4">
        <v>0.25972222222222224</v>
      </c>
      <c r="C7498" s="5" t="s">
        <v>90</v>
      </c>
      <c r="D7498" s="5" t="s">
        <v>1250</v>
      </c>
      <c r="E7498" s="8" t="s">
        <v>122</v>
      </c>
      <c r="F7498" s="5" t="s">
        <v>123</v>
      </c>
      <c r="G7498" s="6" t="str">
        <f>VLOOKUP(E7498,dicionario!$A$1:$C7897,2,0)</f>
        <v>Todirostrum cinereum</v>
      </c>
      <c r="H7498" s="6" t="str">
        <f>VLOOKUP(E7498,dicionario!$A$1:$C7897,3,0)</f>
        <v>ferreirinho-relógio</v>
      </c>
    </row>
    <row r="7499">
      <c r="A7499" s="3">
        <v>45736.0</v>
      </c>
      <c r="B7499" s="4">
        <v>0.25972222222222224</v>
      </c>
      <c r="C7499" s="5" t="s">
        <v>90</v>
      </c>
      <c r="D7499" s="5" t="s">
        <v>1250</v>
      </c>
      <c r="E7499" s="8" t="s">
        <v>38</v>
      </c>
      <c r="F7499" s="5" t="s">
        <v>1251</v>
      </c>
      <c r="G7499" s="6" t="str">
        <f>VLOOKUP(E7499,dicionario!$A$1:$C7898,2,0)</f>
        <v>Troglodytes musculus</v>
      </c>
      <c r="H7499" s="6" t="str">
        <f>VLOOKUP(E7499,dicionario!$A$1:$C7898,3,0)</f>
        <v>curruíra</v>
      </c>
    </row>
    <row r="7500">
      <c r="A7500" s="3">
        <v>45736.0</v>
      </c>
      <c r="B7500" s="4">
        <v>0.2604166666666667</v>
      </c>
      <c r="C7500" s="5" t="s">
        <v>90</v>
      </c>
      <c r="D7500" s="5" t="s">
        <v>1250</v>
      </c>
      <c r="E7500" s="8" t="s">
        <v>298</v>
      </c>
      <c r="F7500" s="5" t="s">
        <v>299</v>
      </c>
      <c r="G7500" s="6" t="str">
        <f>VLOOKUP(E7500,dicionario!$A$1:$C7899,2,0)</f>
        <v>Alysicarpus vaginalis</v>
      </c>
      <c r="H7500" s="6" t="str">
        <f>VLOOKUP(E7500,dicionario!$A$1:$C7899,3,0)</f>
        <v/>
      </c>
    </row>
    <row r="7501">
      <c r="A7501" s="3">
        <v>45736.0</v>
      </c>
      <c r="B7501" s="4">
        <v>0.2604166666666667</v>
      </c>
      <c r="C7501" s="5" t="s">
        <v>90</v>
      </c>
      <c r="D7501" s="5" t="s">
        <v>1250</v>
      </c>
      <c r="E7501" s="8" t="s">
        <v>65</v>
      </c>
      <c r="F7501" s="5" t="s">
        <v>66</v>
      </c>
      <c r="G7501" s="6" t="str">
        <f>VLOOKUP(E7501,dicionario!$A$1:$C7900,2,0)</f>
        <v>Pitangus sulphutarus</v>
      </c>
      <c r="H7501" s="6" t="str">
        <f>VLOOKUP(E7501,dicionario!$A$1:$C7900,3,0)</f>
        <v>bem-te-vi</v>
      </c>
    </row>
    <row r="7502">
      <c r="A7502" s="3">
        <v>45736.0</v>
      </c>
      <c r="B7502" s="4">
        <v>0.2604166666666667</v>
      </c>
      <c r="C7502" s="5" t="s">
        <v>90</v>
      </c>
      <c r="D7502" s="5" t="s">
        <v>1250</v>
      </c>
      <c r="E7502" s="8" t="s">
        <v>111</v>
      </c>
      <c r="F7502" s="7" t="s">
        <v>112</v>
      </c>
      <c r="G7502" s="6" t="str">
        <f>VLOOKUP(E7502,dicionario!$A$1:$C7901,2,0)</f>
        <v>Trigona spinipes</v>
      </c>
      <c r="H7502" s="6" t="str">
        <f>VLOOKUP(E7502,dicionario!$A$1:$C7901,3,0)</f>
        <v>abelha-cachorro</v>
      </c>
    </row>
    <row r="7503">
      <c r="A7503" s="3">
        <v>45736.0</v>
      </c>
      <c r="B7503" s="4">
        <v>0.2604166666666667</v>
      </c>
      <c r="C7503" s="5" t="s">
        <v>90</v>
      </c>
      <c r="D7503" s="5" t="s">
        <v>1250</v>
      </c>
      <c r="E7503" s="8" t="s">
        <v>103</v>
      </c>
      <c r="F7503" s="5" t="s">
        <v>104</v>
      </c>
      <c r="G7503" s="6" t="str">
        <f>VLOOKUP(E7503,dicionario!$A$1:$C7902,2,0)</f>
        <v>Caracara plancus</v>
      </c>
      <c r="H7503" s="6" t="str">
        <f>VLOOKUP(E7503,dicionario!$A$1:$C7902,3,0)</f>
        <v>carcará </v>
      </c>
    </row>
    <row r="7504">
      <c r="A7504" s="3">
        <v>45736.0</v>
      </c>
      <c r="B7504" s="4">
        <v>0.2604166666666667</v>
      </c>
      <c r="C7504" s="5" t="s">
        <v>90</v>
      </c>
      <c r="D7504" s="5" t="s">
        <v>1250</v>
      </c>
      <c r="E7504" s="8" t="s">
        <v>43</v>
      </c>
      <c r="F7504" s="5" t="s">
        <v>1040</v>
      </c>
      <c r="G7504" s="6" t="str">
        <f>VLOOKUP(E7504,dicionario!$A$1:$C7903,2,0)</f>
        <v>Columba livia</v>
      </c>
      <c r="H7504" s="6" t="str">
        <f>VLOOKUP(E7504,dicionario!$A$1:$C7903,3,0)</f>
        <v>pombo-doméstico</v>
      </c>
    </row>
    <row r="7505">
      <c r="A7505" s="3">
        <v>45736.0</v>
      </c>
      <c r="B7505" s="4">
        <v>0.2604166666666667</v>
      </c>
      <c r="C7505" s="5" t="s">
        <v>90</v>
      </c>
      <c r="D7505" s="5" t="s">
        <v>1250</v>
      </c>
      <c r="E7505" s="8" t="s">
        <v>154</v>
      </c>
      <c r="F7505" s="5" t="s">
        <v>155</v>
      </c>
      <c r="G7505" s="6" t="str">
        <f>VLOOKUP(E7505,dicionario!$A$1:$C7904,2,0)</f>
        <v>Cyperus rotundus</v>
      </c>
      <c r="H7505" s="6" t="str">
        <f>VLOOKUP(E7505,dicionario!$A$1:$C7904,3,0)</f>
        <v>tiririca</v>
      </c>
    </row>
    <row r="7506">
      <c r="A7506" s="3">
        <v>45736.0</v>
      </c>
      <c r="B7506" s="4">
        <v>0.2604166666666667</v>
      </c>
      <c r="C7506" s="5" t="s">
        <v>90</v>
      </c>
      <c r="D7506" s="5" t="s">
        <v>1250</v>
      </c>
      <c r="E7506" s="8" t="s">
        <v>146</v>
      </c>
      <c r="F7506" s="5" t="s">
        <v>147</v>
      </c>
      <c r="G7506" s="6" t="str">
        <f>VLOOKUP(E7506,dicionario!$A$1:$C7905,2,0)</f>
        <v>Euphorbia hirta</v>
      </c>
      <c r="H7506" s="6" t="str">
        <f>VLOOKUP(E7506,dicionario!$A$1:$C7905,3,0)</f>
        <v>erva-de-santa-luzia</v>
      </c>
    </row>
    <row r="7507">
      <c r="A7507" s="3">
        <v>45736.0</v>
      </c>
      <c r="B7507" s="4">
        <v>0.2611111111111111</v>
      </c>
      <c r="C7507" s="5" t="s">
        <v>90</v>
      </c>
      <c r="D7507" s="5" t="s">
        <v>1250</v>
      </c>
      <c r="E7507" s="8" t="s">
        <v>1087</v>
      </c>
      <c r="F7507" s="5" t="s">
        <v>1088</v>
      </c>
      <c r="G7507" s="6" t="str">
        <f>VLOOKUP(E7507,dicionario!$A$1:$C7906,2,0)</f>
        <v>Desmodium triflorum</v>
      </c>
      <c r="H7507" s="6" t="str">
        <f>VLOOKUP(E7507,dicionario!$A$1:$C7906,3,0)</f>
        <v/>
      </c>
    </row>
    <row r="7508">
      <c r="A7508" s="3">
        <v>45736.0</v>
      </c>
      <c r="B7508" s="4">
        <v>0.2611111111111111</v>
      </c>
      <c r="C7508" s="5" t="s">
        <v>90</v>
      </c>
      <c r="D7508" s="5" t="s">
        <v>1250</v>
      </c>
      <c r="E7508" s="8" t="s">
        <v>613</v>
      </c>
      <c r="F7508" s="5" t="s">
        <v>614</v>
      </c>
      <c r="G7508" s="6" t="str">
        <f>VLOOKUP(E7508,dicionario!$A$1:$C7907,2,0)</f>
        <v>Euphorbia hyssopifolia</v>
      </c>
      <c r="H7508" s="6" t="str">
        <f>VLOOKUP(E7508,dicionario!$A$1:$C7907,3,0)</f>
        <v>maria-leite</v>
      </c>
    </row>
    <row r="7509">
      <c r="A7509" s="3">
        <v>45736.0</v>
      </c>
      <c r="B7509" s="4">
        <v>0.2611111111111111</v>
      </c>
      <c r="C7509" s="5" t="s">
        <v>90</v>
      </c>
      <c r="D7509" s="5" t="s">
        <v>1250</v>
      </c>
      <c r="E7509" s="8" t="s">
        <v>253</v>
      </c>
      <c r="F7509" s="5" t="s">
        <v>254</v>
      </c>
      <c r="G7509" s="6" t="str">
        <f>VLOOKUP(E7509,dicionario!$A$1:$C7908,2,0)</f>
        <v>Panicum maximum</v>
      </c>
      <c r="H7509" s="6" t="str">
        <f>VLOOKUP(E7509,dicionario!$A$1:$C7908,3,0)</f>
        <v>capim-colonião</v>
      </c>
    </row>
    <row r="7510">
      <c r="A7510" s="3">
        <v>45736.0</v>
      </c>
      <c r="B7510" s="4">
        <v>0.2611111111111111</v>
      </c>
      <c r="C7510" s="5" t="s">
        <v>90</v>
      </c>
      <c r="D7510" s="5" t="s">
        <v>1250</v>
      </c>
      <c r="E7510" s="8" t="s">
        <v>113</v>
      </c>
      <c r="F7510" s="5" t="s">
        <v>114</v>
      </c>
      <c r="G7510" s="6" t="str">
        <f>VLOOKUP(E7510,dicionario!$A$1:$C7909,2,0)</f>
        <v>Columbina talpacoti</v>
      </c>
      <c r="H7510" s="6" t="str">
        <f>VLOOKUP(E7510,dicionario!$A$1:$C7909,3,0)</f>
        <v>rolinha-roxa</v>
      </c>
    </row>
    <row r="7511">
      <c r="A7511" s="3">
        <v>45736.0</v>
      </c>
      <c r="B7511" s="4">
        <v>0.2611111111111111</v>
      </c>
      <c r="C7511" s="5" t="s">
        <v>90</v>
      </c>
      <c r="D7511" s="5" t="s">
        <v>1250</v>
      </c>
      <c r="E7511" s="8" t="s">
        <v>1052</v>
      </c>
      <c r="F7511" s="5" t="s">
        <v>1252</v>
      </c>
      <c r="G7511" s="6" t="str">
        <f>VLOOKUP(E7511,dicionario!$A$1:$C7910,2,0)</f>
        <v>#N/A</v>
      </c>
      <c r="H7511" s="6" t="str">
        <f>VLOOKUP(E7511,dicionario!$A$1:$C7910,3,0)</f>
        <v>#N/A</v>
      </c>
    </row>
    <row r="7512">
      <c r="A7512" s="3">
        <v>45736.0</v>
      </c>
      <c r="B7512" s="4">
        <v>0.2611111111111111</v>
      </c>
      <c r="C7512" s="5" t="s">
        <v>90</v>
      </c>
      <c r="D7512" s="5" t="s">
        <v>1250</v>
      </c>
      <c r="E7512" s="8" t="s">
        <v>239</v>
      </c>
      <c r="F7512" s="5" t="s">
        <v>240</v>
      </c>
      <c r="G7512" s="6" t="str">
        <f>VLOOKUP(E7512,dicionario!$A$1:$C7911,2,0)</f>
        <v>Gomphrena celosioides</v>
      </c>
      <c r="H7512" s="6" t="str">
        <f>VLOOKUP(E7512,dicionario!$A$1:$C7911,3,0)</f>
        <v>perpétua-branca</v>
      </c>
    </row>
    <row r="7513">
      <c r="A7513" s="3">
        <v>45736.0</v>
      </c>
      <c r="B7513" s="4">
        <v>0.2611111111111111</v>
      </c>
      <c r="C7513" s="5" t="s">
        <v>90</v>
      </c>
      <c r="D7513" s="5" t="s">
        <v>1250</v>
      </c>
      <c r="E7513" s="8" t="s">
        <v>109</v>
      </c>
      <c r="F7513" s="5" t="s">
        <v>110</v>
      </c>
      <c r="G7513" s="6" t="str">
        <f>VLOOKUP(E7513,dicionario!$A$1:$C7912,2,0)</f>
        <v>Tillandsia stricta</v>
      </c>
      <c r="H7513" s="6" t="str">
        <f>VLOOKUP(E7513,dicionario!$A$1:$C7912,3,0)</f>
        <v>cravo-do-mato</v>
      </c>
    </row>
    <row r="7514">
      <c r="A7514" s="3">
        <v>45736.0</v>
      </c>
      <c r="B7514" s="4">
        <v>0.2611111111111111</v>
      </c>
      <c r="C7514" s="5" t="s">
        <v>90</v>
      </c>
      <c r="D7514" s="5" t="s">
        <v>1250</v>
      </c>
      <c r="E7514" s="8" t="s">
        <v>72</v>
      </c>
      <c r="F7514" s="5" t="s">
        <v>73</v>
      </c>
      <c r="G7514" s="6" t="str">
        <f>VLOOKUP(E7514,dicionario!$A$1:$C7913,2,0)</f>
        <v>Thraupis palmarum</v>
      </c>
      <c r="H7514" s="6" t="str">
        <f>VLOOKUP(E7514,dicionario!$A$1:$C7913,3,0)</f>
        <v>sanhaço-do-coqueiro</v>
      </c>
    </row>
    <row r="7515">
      <c r="A7515" s="3">
        <v>45736.0</v>
      </c>
      <c r="B7515" s="4">
        <v>0.2625</v>
      </c>
      <c r="C7515" s="5" t="s">
        <v>90</v>
      </c>
      <c r="D7515" s="5" t="s">
        <v>1250</v>
      </c>
      <c r="E7515" s="8" t="s">
        <v>53</v>
      </c>
      <c r="F7515" s="5" t="s">
        <v>54</v>
      </c>
      <c r="G7515" s="6" t="str">
        <f>VLOOKUP(E7515,dicionario!$A$1:$C7914,2,0)</f>
        <v>Turnera subulata</v>
      </c>
      <c r="H7515" s="6" t="str">
        <f>VLOOKUP(E7515,dicionario!$A$1:$C7914,3,0)</f>
        <v>xanana</v>
      </c>
    </row>
    <row r="7516">
      <c r="A7516" s="3">
        <v>45736.0</v>
      </c>
      <c r="B7516" s="4">
        <v>0.2625</v>
      </c>
      <c r="C7516" s="5" t="s">
        <v>90</v>
      </c>
      <c r="D7516" s="5" t="s">
        <v>1250</v>
      </c>
      <c r="E7516" s="8" t="s">
        <v>712</v>
      </c>
      <c r="F7516" s="5" t="s">
        <v>718</v>
      </c>
      <c r="G7516" s="6" t="str">
        <f>VLOOKUP(E7516,dicionario!$A$1:$C7915,2,0)</f>
        <v>Flavopunctelia soredica</v>
      </c>
      <c r="H7516" s="6" t="str">
        <f>VLOOKUP(E7516,dicionario!$A$1:$C7915,3,0)</f>
        <v>líquen-folioso</v>
      </c>
    </row>
    <row r="7517">
      <c r="A7517" s="3">
        <v>45736.0</v>
      </c>
      <c r="B7517" s="4">
        <v>0.2625</v>
      </c>
      <c r="C7517" s="5" t="s">
        <v>90</v>
      </c>
      <c r="D7517" s="5" t="s">
        <v>1250</v>
      </c>
      <c r="E7517" s="8" t="s">
        <v>719</v>
      </c>
      <c r="F7517" s="5" t="s">
        <v>720</v>
      </c>
      <c r="G7517" s="6" t="str">
        <f>VLOOKUP(E7517,dicionario!$A$1:$C7916,2,0)</f>
        <v>Dirinaria</v>
      </c>
      <c r="H7517" s="6" t="str">
        <f>VLOOKUP(E7517,dicionario!$A$1:$C7916,3,0)</f>
        <v>líquen-crostoso</v>
      </c>
    </row>
    <row r="7518">
      <c r="A7518" s="3">
        <v>45736.0</v>
      </c>
      <c r="B7518" s="4">
        <v>0.2625</v>
      </c>
      <c r="C7518" s="5" t="s">
        <v>90</v>
      </c>
      <c r="D7518" s="5" t="s">
        <v>1250</v>
      </c>
      <c r="E7518" s="8" t="s">
        <v>1240</v>
      </c>
      <c r="F7518" s="5" t="s">
        <v>108</v>
      </c>
      <c r="G7518" s="6" t="str">
        <f>VLOOKUP(E7518,dicionario!$A$1:$C7917,2,0)</f>
        <v>#N/A</v>
      </c>
      <c r="H7518" s="6" t="str">
        <f>VLOOKUP(E7518,dicionario!$A$1:$C7917,3,0)</f>
        <v>#N/A</v>
      </c>
    </row>
    <row r="7519">
      <c r="A7519" s="3">
        <v>45736.0</v>
      </c>
      <c r="B7519" s="4">
        <v>0.2625</v>
      </c>
      <c r="C7519" s="5" t="s">
        <v>90</v>
      </c>
      <c r="D7519" s="5" t="s">
        <v>1250</v>
      </c>
      <c r="E7519" s="8" t="s">
        <v>752</v>
      </c>
      <c r="F7519" s="5" t="s">
        <v>753</v>
      </c>
      <c r="G7519" s="6" t="str">
        <f>VLOOKUP(E7519,dicionario!$A$1:$C7918,2,0)</f>
        <v>#N/A</v>
      </c>
      <c r="H7519" s="6" t="str">
        <f>VLOOKUP(E7519,dicionario!$A$1:$C7918,3,0)</f>
        <v>#N/A</v>
      </c>
    </row>
    <row r="7520">
      <c r="A7520" s="3">
        <v>45736.0</v>
      </c>
      <c r="B7520" s="4">
        <v>0.26319444444444445</v>
      </c>
      <c r="C7520" s="5" t="s">
        <v>90</v>
      </c>
      <c r="D7520" s="5" t="s">
        <v>1250</v>
      </c>
      <c r="E7520" s="8" t="s">
        <v>1157</v>
      </c>
      <c r="F7520" s="5" t="s">
        <v>1105</v>
      </c>
      <c r="G7520" s="6" t="str">
        <f>VLOOKUP(E7520,dicionario!$A$1:$C7919,2,0)</f>
        <v>#N/A</v>
      </c>
      <c r="H7520" s="6" t="str">
        <f>VLOOKUP(E7520,dicionario!$A$1:$C7919,3,0)</f>
        <v>#N/A</v>
      </c>
    </row>
    <row r="7521">
      <c r="A7521" s="3">
        <v>45736.0</v>
      </c>
      <c r="B7521" s="4">
        <v>0.26319444444444445</v>
      </c>
      <c r="C7521" s="5" t="s">
        <v>90</v>
      </c>
      <c r="D7521" s="5" t="s">
        <v>1250</v>
      </c>
      <c r="E7521" s="8" t="s">
        <v>360</v>
      </c>
      <c r="F7521" s="5" t="s">
        <v>361</v>
      </c>
      <c r="G7521" s="6" t="str">
        <f>VLOOKUP(E7521,dicionario!$A$1:$C7920,2,0)</f>
        <v>Chamaecrista rotundifolia</v>
      </c>
      <c r="H7521" s="6" t="str">
        <f>VLOOKUP(E7521,dicionario!$A$1:$C7920,3,0)</f>
        <v>alfafa-nativa</v>
      </c>
    </row>
    <row r="7522">
      <c r="A7522" s="3">
        <v>45736.0</v>
      </c>
      <c r="B7522" s="4">
        <v>0.26319444444444445</v>
      </c>
      <c r="C7522" s="5" t="s">
        <v>90</v>
      </c>
      <c r="D7522" s="5" t="s">
        <v>1250</v>
      </c>
      <c r="E7522" s="8" t="s">
        <v>177</v>
      </c>
      <c r="F7522" s="5" t="s">
        <v>178</v>
      </c>
      <c r="G7522" s="6" t="str">
        <f>VLOOKUP(E7522,dicionario!$A$1:$C7921,2,0)</f>
        <v>Elaenia flavogaster</v>
      </c>
      <c r="H7522" s="6" t="str">
        <f>VLOOKUP(E7522,dicionario!$A$1:$C7921,3,0)</f>
        <v>guaracava-de-barriga-amarela</v>
      </c>
    </row>
    <row r="7523">
      <c r="A7523" s="3">
        <v>45736.0</v>
      </c>
      <c r="B7523" s="4">
        <v>0.2638888888888889</v>
      </c>
      <c r="C7523" s="5" t="s">
        <v>90</v>
      </c>
      <c r="D7523" s="5" t="s">
        <v>1250</v>
      </c>
      <c r="E7523" s="8" t="s">
        <v>934</v>
      </c>
      <c r="F7523" s="5" t="s">
        <v>414</v>
      </c>
      <c r="G7523" s="6" t="str">
        <f>VLOOKUP(E7523,dicionario!$A$1:$C7922,2,0)</f>
        <v>#N/A</v>
      </c>
      <c r="H7523" s="6" t="str">
        <f>VLOOKUP(E7523,dicionario!$A$1:$C7922,3,0)</f>
        <v>#N/A</v>
      </c>
    </row>
    <row r="7524">
      <c r="A7524" s="3">
        <v>45736.0</v>
      </c>
      <c r="B7524" s="4">
        <v>0.2638888888888889</v>
      </c>
      <c r="C7524" s="5" t="s">
        <v>90</v>
      </c>
      <c r="D7524" s="5" t="s">
        <v>1250</v>
      </c>
      <c r="E7524" s="8" t="s">
        <v>86</v>
      </c>
      <c r="F7524" s="5" t="s">
        <v>502</v>
      </c>
      <c r="G7524" s="6" t="str">
        <f>VLOOKUP(E7524,dicionario!$A$1:$C7923,2,0)</f>
        <v>Coereba flaveola</v>
      </c>
      <c r="H7524" s="6" t="str">
        <f>VLOOKUP(E7524,dicionario!$A$1:$C7923,3,0)</f>
        <v>cambacica</v>
      </c>
    </row>
    <row r="7525">
      <c r="A7525" s="3">
        <v>45736.0</v>
      </c>
      <c r="B7525" s="4">
        <v>0.2638888888888889</v>
      </c>
      <c r="C7525" s="5" t="s">
        <v>90</v>
      </c>
      <c r="D7525" s="5" t="s">
        <v>1250</v>
      </c>
      <c r="E7525" s="8" t="s">
        <v>631</v>
      </c>
      <c r="F7525" s="5" t="s">
        <v>632</v>
      </c>
      <c r="G7525" s="6" t="str">
        <f>VLOOKUP(E7525,dicionario!$A$1:$C7924,2,0)</f>
        <v>Chamaecrista nictitans</v>
      </c>
      <c r="H7525" s="6" t="str">
        <f>VLOOKUP(E7525,dicionario!$A$1:$C7924,3,0)</f>
        <v>falsa-dormideira</v>
      </c>
    </row>
    <row r="7526">
      <c r="A7526" s="3">
        <v>45736.0</v>
      </c>
      <c r="B7526" s="4">
        <v>0.26458333333333334</v>
      </c>
      <c r="C7526" s="5" t="s">
        <v>90</v>
      </c>
      <c r="D7526" s="5" t="s">
        <v>1250</v>
      </c>
      <c r="E7526" s="8" t="s">
        <v>88</v>
      </c>
      <c r="F7526" s="5" t="s">
        <v>89</v>
      </c>
      <c r="G7526" s="6" t="str">
        <f>VLOOKUP(E7526,dicionario!$A$1:$C7925,2,0)</f>
        <v>Tyrannus melancolichus</v>
      </c>
      <c r="H7526" s="6" t="str">
        <f>VLOOKUP(E7526,dicionario!$A$1:$C7925,3,0)</f>
        <v>suiriri</v>
      </c>
    </row>
    <row r="7527">
      <c r="A7527" s="3">
        <v>45736.0</v>
      </c>
      <c r="B7527" s="4">
        <v>0.26458333333333334</v>
      </c>
      <c r="C7527" s="5" t="s">
        <v>90</v>
      </c>
      <c r="D7527" s="5" t="s">
        <v>1250</v>
      </c>
      <c r="E7527" s="8" t="s">
        <v>851</v>
      </c>
      <c r="F7527" s="5" t="s">
        <v>418</v>
      </c>
      <c r="G7527" s="6" t="str">
        <f>VLOOKUP(E7527,dicionario!$A$1:$C7926,2,0)</f>
        <v>#N/A</v>
      </c>
      <c r="H7527" s="6" t="str">
        <f>VLOOKUP(E7527,dicionario!$A$1:$C7926,3,0)</f>
        <v>#N/A</v>
      </c>
    </row>
    <row r="7528">
      <c r="A7528" s="3">
        <v>45736.0</v>
      </c>
      <c r="B7528" s="4">
        <v>0.2652777777777778</v>
      </c>
      <c r="C7528" s="5" t="s">
        <v>90</v>
      </c>
      <c r="D7528" s="5" t="s">
        <v>1250</v>
      </c>
      <c r="E7528" s="8" t="s">
        <v>16</v>
      </c>
      <c r="F7528" s="5" t="s">
        <v>17</v>
      </c>
      <c r="G7528" s="6" t="str">
        <f>VLOOKUP(E7528,dicionario!$A$1:$C7927,2,0)</f>
        <v>Eupetomena macroura</v>
      </c>
      <c r="H7528" s="6" t="str">
        <f>VLOOKUP(E7528,dicionario!$A$1:$C7927,3,0)</f>
        <v>beija-flor-tesoura</v>
      </c>
    </row>
    <row r="7529">
      <c r="A7529" s="3">
        <v>45736.0</v>
      </c>
      <c r="B7529" s="4">
        <v>0.2652777777777778</v>
      </c>
      <c r="C7529" s="5" t="s">
        <v>90</v>
      </c>
      <c r="D7529" s="5" t="s">
        <v>1250</v>
      </c>
      <c r="E7529" s="8" t="s">
        <v>1253</v>
      </c>
      <c r="F7529" s="5" t="s">
        <v>192</v>
      </c>
      <c r="G7529" s="6" t="str">
        <f>VLOOKUP(E7529,dicionario!$A$1:$C7928,2,0)</f>
        <v>#N/A</v>
      </c>
      <c r="H7529" s="6" t="str">
        <f>VLOOKUP(E7529,dicionario!$A$1:$C7928,3,0)</f>
        <v>#N/A</v>
      </c>
    </row>
    <row r="7530">
      <c r="A7530" s="3">
        <v>45736.0</v>
      </c>
      <c r="B7530" s="4">
        <v>0.2652777777777778</v>
      </c>
      <c r="C7530" s="5" t="s">
        <v>90</v>
      </c>
      <c r="D7530" s="5" t="s">
        <v>1250</v>
      </c>
      <c r="E7530" s="8" t="s">
        <v>355</v>
      </c>
      <c r="F7530" s="5" t="s">
        <v>356</v>
      </c>
      <c r="G7530" s="6" t="str">
        <f>VLOOKUP(E7530,dicionario!$A$1:$C7929,2,0)</f>
        <v>Boerhavia diffusa</v>
      </c>
      <c r="H7530" s="6" t="str">
        <f>VLOOKUP(E7530,dicionario!$A$1:$C7929,3,0)</f>
        <v>erva-tostão</v>
      </c>
    </row>
    <row r="7531">
      <c r="A7531" s="3">
        <v>45736.0</v>
      </c>
      <c r="B7531" s="4">
        <v>0.2659722222222222</v>
      </c>
      <c r="C7531" s="5" t="s">
        <v>90</v>
      </c>
      <c r="D7531" s="5" t="s">
        <v>1250</v>
      </c>
      <c r="E7531" s="8" t="s">
        <v>215</v>
      </c>
      <c r="F7531" s="5" t="s">
        <v>216</v>
      </c>
      <c r="G7531" s="6" t="str">
        <f>VLOOKUP(E7531,dicionario!$A$1:$C7930,2,0)</f>
        <v>Pygochelidon cyanoleuca</v>
      </c>
      <c r="H7531" s="6" t="str">
        <f>VLOOKUP(E7531,dicionario!$A$1:$C7930,3,0)</f>
        <v>andorinha-pequena-de-casa</v>
      </c>
    </row>
    <row r="7532">
      <c r="A7532" s="3">
        <v>45736.0</v>
      </c>
      <c r="B7532" s="4">
        <v>0.2659722222222222</v>
      </c>
      <c r="C7532" s="5" t="s">
        <v>90</v>
      </c>
      <c r="D7532" s="5" t="s">
        <v>1250</v>
      </c>
      <c r="E7532" s="8" t="s">
        <v>504</v>
      </c>
      <c r="F7532" s="5" t="s">
        <v>534</v>
      </c>
      <c r="G7532" s="6" t="str">
        <f>VLOOKUP(E7532,dicionario!$A$1:$C7931,2,0)</f>
        <v>Cleome aculeata</v>
      </c>
      <c r="H7532" s="6" t="str">
        <f>VLOOKUP(E7532,dicionario!$A$1:$C7931,3,0)</f>
        <v>cleome</v>
      </c>
    </row>
    <row r="7533">
      <c r="A7533" s="3">
        <v>45736.0</v>
      </c>
      <c r="B7533" s="4">
        <v>0.26666666666666666</v>
      </c>
      <c r="C7533" s="5" t="s">
        <v>90</v>
      </c>
      <c r="D7533" s="5" t="s">
        <v>1250</v>
      </c>
      <c r="E7533" s="8" t="s">
        <v>195</v>
      </c>
      <c r="F7533" s="5" t="s">
        <v>196</v>
      </c>
      <c r="G7533" s="6" t="str">
        <f>VLOOKUP(E7533,dicionario!$A$1:$C7932,2,0)</f>
        <v>Priva lappulacea</v>
      </c>
      <c r="H7533" s="6" t="str">
        <f>VLOOKUP(E7533,dicionario!$A$1:$C7932,3,0)</f>
        <v>carrapicho</v>
      </c>
    </row>
    <row r="7534">
      <c r="A7534" s="3">
        <v>45736.0</v>
      </c>
      <c r="B7534" s="4">
        <v>0.26666666666666666</v>
      </c>
      <c r="C7534" s="5" t="s">
        <v>90</v>
      </c>
      <c r="D7534" s="5" t="s">
        <v>1250</v>
      </c>
      <c r="E7534" s="8" t="s">
        <v>286</v>
      </c>
      <c r="F7534" s="5" t="s">
        <v>287</v>
      </c>
      <c r="G7534" s="6" t="str">
        <f>VLOOKUP(E7534,dicionario!$A$1:$C7933,2,0)</f>
        <v>Setaria parviflora</v>
      </c>
      <c r="H7534" s="6" t="str">
        <f>VLOOKUP(E7534,dicionario!$A$1:$C7933,3,0)</f>
        <v>capim-rabo-de-raposa</v>
      </c>
    </row>
    <row r="7535">
      <c r="A7535" s="3">
        <v>45736.0</v>
      </c>
      <c r="B7535" s="4">
        <v>0.26666666666666666</v>
      </c>
      <c r="C7535" s="5" t="s">
        <v>90</v>
      </c>
      <c r="D7535" s="5" t="s">
        <v>1250</v>
      </c>
      <c r="E7535" s="12" t="s">
        <v>243</v>
      </c>
      <c r="F7535" s="5" t="s">
        <v>244</v>
      </c>
      <c r="G7535" s="6" t="str">
        <f>VLOOKUP(E7535,dicionario!$A$1:$C7934,2,0)</f>
        <v>Macroptilium atropurpureum</v>
      </c>
      <c r="H7535" s="6" t="str">
        <f>VLOOKUP(E7535,dicionario!$A$1:$C7934,3,0)</f>
        <v>feijão-de-pombo</v>
      </c>
    </row>
    <row r="7536">
      <c r="A7536" s="3">
        <v>45736.0</v>
      </c>
      <c r="B7536" s="4">
        <v>0.2673611111111111</v>
      </c>
      <c r="C7536" s="5" t="s">
        <v>90</v>
      </c>
      <c r="D7536" s="5" t="s">
        <v>1250</v>
      </c>
      <c r="E7536" s="8" t="s">
        <v>966</v>
      </c>
      <c r="F7536" s="5" t="s">
        <v>967</v>
      </c>
      <c r="G7536" s="6" t="str">
        <f>VLOOKUP(E7536,dicionario!$A$1:$C7935,2,0)</f>
        <v>Portulaca halimoides</v>
      </c>
      <c r="H7536" s="6" t="str">
        <f>VLOOKUP(E7536,dicionario!$A$1:$C7935,3,0)</f>
        <v>beldroega-de-seda</v>
      </c>
    </row>
    <row r="7537">
      <c r="A7537" s="3">
        <v>45736.0</v>
      </c>
      <c r="B7537" s="4">
        <v>0.26944444444444443</v>
      </c>
      <c r="C7537" s="5" t="s">
        <v>85</v>
      </c>
      <c r="D7537" s="5" t="s">
        <v>1250</v>
      </c>
      <c r="E7537" s="8" t="s">
        <v>109</v>
      </c>
      <c r="F7537" s="5" t="s">
        <v>110</v>
      </c>
      <c r="G7537" s="6" t="str">
        <f>VLOOKUP(E7537,dicionario!$A$1:$C7936,2,0)</f>
        <v>Tillandsia stricta</v>
      </c>
      <c r="H7537" s="6" t="str">
        <f>VLOOKUP(E7537,dicionario!$A$1:$C7936,3,0)</f>
        <v>cravo-do-mato</v>
      </c>
    </row>
    <row r="7538">
      <c r="A7538" s="3">
        <v>45736.0</v>
      </c>
      <c r="B7538" s="4">
        <v>0.26944444444444443</v>
      </c>
      <c r="C7538" s="5" t="s">
        <v>85</v>
      </c>
      <c r="D7538" s="5" t="s">
        <v>1250</v>
      </c>
      <c r="E7538" s="8" t="s">
        <v>53</v>
      </c>
      <c r="F7538" s="5" t="s">
        <v>54</v>
      </c>
      <c r="G7538" s="6" t="str">
        <f>VLOOKUP(E7538,dicionario!$A$1:$C7937,2,0)</f>
        <v>Turnera subulata</v>
      </c>
      <c r="H7538" s="6" t="str">
        <f>VLOOKUP(E7538,dicionario!$A$1:$C7937,3,0)</f>
        <v>xanana</v>
      </c>
    </row>
    <row r="7539">
      <c r="A7539" s="3">
        <v>45736.0</v>
      </c>
      <c r="B7539" s="4">
        <v>0.26944444444444443</v>
      </c>
      <c r="C7539" s="5" t="s">
        <v>85</v>
      </c>
      <c r="D7539" s="5" t="s">
        <v>1250</v>
      </c>
      <c r="E7539" s="8" t="s">
        <v>712</v>
      </c>
      <c r="F7539" s="5" t="s">
        <v>718</v>
      </c>
      <c r="G7539" s="6" t="str">
        <f>VLOOKUP(E7539,dicionario!$A$1:$C7938,2,0)</f>
        <v>Flavopunctelia soredica</v>
      </c>
      <c r="H7539" s="6" t="str">
        <f>VLOOKUP(E7539,dicionario!$A$1:$C7938,3,0)</f>
        <v>líquen-folioso</v>
      </c>
    </row>
    <row r="7540">
      <c r="A7540" s="3">
        <v>45736.0</v>
      </c>
      <c r="B7540" s="4">
        <v>0.26944444444444443</v>
      </c>
      <c r="C7540" s="5" t="s">
        <v>85</v>
      </c>
      <c r="D7540" s="5" t="s">
        <v>1250</v>
      </c>
      <c r="E7540" s="8" t="s">
        <v>103</v>
      </c>
      <c r="F7540" s="5" t="s">
        <v>104</v>
      </c>
      <c r="G7540" s="6" t="str">
        <f>VLOOKUP(E7540,dicionario!$A$1:$C7939,2,0)</f>
        <v>Caracara plancus</v>
      </c>
      <c r="H7540" s="6" t="str">
        <f>VLOOKUP(E7540,dicionario!$A$1:$C7939,3,0)</f>
        <v>carcará </v>
      </c>
    </row>
    <row r="7541">
      <c r="A7541" s="3">
        <v>45736.0</v>
      </c>
      <c r="B7541" s="4">
        <v>0.26944444444444443</v>
      </c>
      <c r="C7541" s="5" t="s">
        <v>85</v>
      </c>
      <c r="D7541" s="5" t="s">
        <v>1250</v>
      </c>
      <c r="E7541" s="8" t="s">
        <v>298</v>
      </c>
      <c r="F7541" s="5" t="s">
        <v>299</v>
      </c>
      <c r="G7541" s="6" t="str">
        <f>VLOOKUP(E7541,dicionario!$A$1:$C7940,2,0)</f>
        <v>Alysicarpus vaginalis</v>
      </c>
      <c r="H7541" s="6" t="str">
        <f>VLOOKUP(E7541,dicionario!$A$1:$C7940,3,0)</f>
        <v/>
      </c>
    </row>
    <row r="7542">
      <c r="A7542" s="3">
        <v>45736.0</v>
      </c>
      <c r="B7542" s="4">
        <v>0.2708333333333333</v>
      </c>
      <c r="C7542" s="5" t="s">
        <v>85</v>
      </c>
      <c r="D7542" s="5" t="s">
        <v>1250</v>
      </c>
      <c r="E7542" s="6" t="s">
        <v>86</v>
      </c>
      <c r="F7542" s="5" t="s">
        <v>502</v>
      </c>
      <c r="G7542" s="6" t="str">
        <f>VLOOKUP(E7542,dicionario!$A$1:$C7941,2,0)</f>
        <v>Coereba flaveola</v>
      </c>
      <c r="H7542" s="6" t="str">
        <f>VLOOKUP(E7542,dicionario!$A$1:$C7941,3,0)</f>
        <v>cambacica</v>
      </c>
    </row>
    <row r="7543">
      <c r="A7543" s="3">
        <v>45736.0</v>
      </c>
      <c r="B7543" s="4">
        <v>0.2708333333333333</v>
      </c>
      <c r="C7543" s="5" t="s">
        <v>85</v>
      </c>
      <c r="D7543" s="5" t="s">
        <v>1250</v>
      </c>
      <c r="E7543" s="6" t="s">
        <v>353</v>
      </c>
      <c r="F7543" s="5" t="s">
        <v>354</v>
      </c>
      <c r="G7543" s="6" t="str">
        <f>VLOOKUP(E7543,dicionario!$A$1:$C7942,2,0)</f>
        <v>Desmodium incanum</v>
      </c>
      <c r="H7543" s="6" t="str">
        <f>VLOOKUP(E7543,dicionario!$A$1:$C7942,3,0)</f>
        <v>pega-pega</v>
      </c>
    </row>
    <row r="7544">
      <c r="A7544" s="3">
        <v>45736.0</v>
      </c>
      <c r="B7544" s="4">
        <v>0.2708333333333333</v>
      </c>
      <c r="C7544" s="5" t="s">
        <v>85</v>
      </c>
      <c r="D7544" s="5" t="s">
        <v>1250</v>
      </c>
      <c r="E7544" s="6" t="s">
        <v>247</v>
      </c>
      <c r="F7544" s="5" t="s">
        <v>387</v>
      </c>
      <c r="G7544" s="6" t="str">
        <f>VLOOKUP(E7544,dicionario!$A$1:$C7943,2,0)</f>
        <v>Emilia sonchifolia</v>
      </c>
      <c r="H7544" s="6" t="str">
        <f>VLOOKUP(E7544,dicionario!$A$1:$C7943,3,0)</f>
        <v>serralinha</v>
      </c>
    </row>
    <row r="7545">
      <c r="A7545" s="3">
        <v>45736.0</v>
      </c>
      <c r="B7545" s="4">
        <v>0.27152777777777776</v>
      </c>
      <c r="C7545" s="5" t="s">
        <v>85</v>
      </c>
      <c r="D7545" s="5" t="s">
        <v>1250</v>
      </c>
      <c r="E7545" s="8" t="s">
        <v>631</v>
      </c>
      <c r="F7545" s="5" t="s">
        <v>632</v>
      </c>
      <c r="G7545" s="6" t="str">
        <f>VLOOKUP(E7545,dicionario!$A$1:$C7944,2,0)</f>
        <v>Chamaecrista nictitans</v>
      </c>
      <c r="H7545" s="6" t="str">
        <f>VLOOKUP(E7545,dicionario!$A$1:$C7944,3,0)</f>
        <v>falsa-dormideira</v>
      </c>
    </row>
    <row r="7546">
      <c r="A7546" s="3">
        <v>45736.0</v>
      </c>
      <c r="B7546" s="4">
        <v>0.27152777777777776</v>
      </c>
      <c r="C7546" s="5" t="s">
        <v>85</v>
      </c>
      <c r="D7546" s="5" t="s">
        <v>1250</v>
      </c>
      <c r="E7546" s="6" t="s">
        <v>171</v>
      </c>
      <c r="F7546" s="5" t="s">
        <v>172</v>
      </c>
      <c r="G7546" s="6" t="str">
        <f>VLOOKUP(E7546,dicionario!$A$1:$C7945,2,0)</f>
        <v>Oxalis corniculata</v>
      </c>
      <c r="H7546" s="6" t="str">
        <f>VLOOKUP(E7546,dicionario!$A$1:$C7945,3,0)</f>
        <v>trevo-azedinho</v>
      </c>
    </row>
    <row r="7547">
      <c r="A7547" s="3">
        <v>45736.0</v>
      </c>
      <c r="B7547" s="4">
        <v>0.27152777777777776</v>
      </c>
      <c r="C7547" s="5" t="s">
        <v>85</v>
      </c>
      <c r="D7547" s="5" t="s">
        <v>1250</v>
      </c>
      <c r="E7547" s="29" t="s">
        <v>566</v>
      </c>
      <c r="F7547" s="5" t="s">
        <v>567</v>
      </c>
      <c r="G7547" s="6" t="str">
        <f>VLOOKUP(E7547,dicionario!$A$1:$C7946,2,0)</f>
        <v>Baccharis dracunculifolia</v>
      </c>
      <c r="H7547" s="6" t="str">
        <f>VLOOKUP(E7547,dicionario!$A$1:$C7946,3,0)</f>
        <v>vassoura</v>
      </c>
    </row>
    <row r="7548">
      <c r="A7548" s="3">
        <v>45736.0</v>
      </c>
      <c r="B7548" s="4">
        <v>0.27152777777777776</v>
      </c>
      <c r="C7548" s="5" t="s">
        <v>85</v>
      </c>
      <c r="D7548" s="5" t="s">
        <v>1250</v>
      </c>
      <c r="E7548" s="8" t="s">
        <v>271</v>
      </c>
      <c r="F7548" s="5" t="s">
        <v>1169</v>
      </c>
      <c r="G7548" s="6" t="str">
        <f>VLOOKUP(E7548,dicionario!$A$1:$C7947,2,0)</f>
        <v>Cyanthillium cinereum</v>
      </c>
      <c r="H7548" s="6" t="str">
        <f>VLOOKUP(E7548,dicionario!$A$1:$C7947,3,0)</f>
        <v>emília</v>
      </c>
    </row>
    <row r="7549">
      <c r="A7549" s="3">
        <v>45736.0</v>
      </c>
      <c r="B7549" s="4">
        <v>0.27152777777777776</v>
      </c>
      <c r="C7549" s="5" t="s">
        <v>85</v>
      </c>
      <c r="D7549" s="5" t="s">
        <v>1250</v>
      </c>
      <c r="E7549" s="8" t="s">
        <v>1104</v>
      </c>
      <c r="F7549" s="5" t="s">
        <v>1105</v>
      </c>
      <c r="G7549" s="6" t="str">
        <f>VLOOKUP(E7549,dicionario!$A$1:$C7948,2,0)</f>
        <v>Rhynchospora speciosa</v>
      </c>
      <c r="H7549" s="6" t="str">
        <f>VLOOKUP(E7549,dicionario!$A$1:$C7948,3,0)</f>
        <v>capim-estrela</v>
      </c>
    </row>
    <row r="7550">
      <c r="A7550" s="3">
        <v>45736.0</v>
      </c>
      <c r="B7550" s="4">
        <v>0.27152777777777776</v>
      </c>
      <c r="C7550" s="5" t="s">
        <v>85</v>
      </c>
      <c r="D7550" s="5" t="s">
        <v>1250</v>
      </c>
      <c r="E7550" s="6" t="s">
        <v>471</v>
      </c>
      <c r="F7550" s="5" t="s">
        <v>472</v>
      </c>
      <c r="G7550" s="6" t="str">
        <f>VLOOKUP(E7550,dicionario!$A$1:$C7949,2,0)</f>
        <v>Sida acuta</v>
      </c>
      <c r="H7550" s="6" t="str">
        <f>VLOOKUP(E7550,dicionario!$A$1:$C7949,3,0)</f>
        <v>reloginho</v>
      </c>
    </row>
    <row r="7551">
      <c r="A7551" s="3">
        <v>45736.0</v>
      </c>
      <c r="B7551" s="4">
        <v>0.27152777777777776</v>
      </c>
      <c r="C7551" s="5" t="s">
        <v>85</v>
      </c>
      <c r="D7551" s="5" t="s">
        <v>1250</v>
      </c>
      <c r="E7551" s="8" t="s">
        <v>88</v>
      </c>
      <c r="F7551" s="5" t="s">
        <v>89</v>
      </c>
      <c r="G7551" s="6" t="str">
        <f>VLOOKUP(E7551,dicionario!$A$1:$C7950,2,0)</f>
        <v>Tyrannus melancolichus</v>
      </c>
      <c r="H7551" s="6" t="str">
        <f>VLOOKUP(E7551,dicionario!$A$1:$C7950,3,0)</f>
        <v>suiriri</v>
      </c>
    </row>
    <row r="7552">
      <c r="A7552" s="3">
        <v>45736.0</v>
      </c>
      <c r="B7552" s="4">
        <v>0.27152777777777776</v>
      </c>
      <c r="C7552" s="5" t="s">
        <v>85</v>
      </c>
      <c r="D7552" s="5" t="s">
        <v>1250</v>
      </c>
      <c r="E7552" s="6" t="s">
        <v>200</v>
      </c>
      <c r="F7552" s="5" t="s">
        <v>201</v>
      </c>
      <c r="G7552" s="6" t="str">
        <f>VLOOKUP(E7552,dicionario!$A$1:$C7951,2,0)</f>
        <v>Columbina picui </v>
      </c>
      <c r="H7552" s="6" t="str">
        <f>VLOOKUP(E7552,dicionario!$A$1:$C7951,3,0)</f>
        <v>rolinha-picuí</v>
      </c>
    </row>
    <row r="7553">
      <c r="A7553" s="3">
        <v>45736.0</v>
      </c>
      <c r="B7553" s="4">
        <v>0.27152777777777776</v>
      </c>
      <c r="C7553" s="5" t="s">
        <v>85</v>
      </c>
      <c r="D7553" s="5" t="s">
        <v>1250</v>
      </c>
      <c r="E7553" s="8" t="s">
        <v>611</v>
      </c>
      <c r="F7553" s="5" t="s">
        <v>940</v>
      </c>
      <c r="G7553" s="6" t="str">
        <f>VLOOKUP(E7553,dicionario!$A$1:$C7952,2,0)</f>
        <v>Boehmeria cylindrica</v>
      </c>
      <c r="H7553" s="6" t="str">
        <f>VLOOKUP(E7553,dicionario!$A$1:$C7952,3,0)</f>
        <v>falsa-urtiga</v>
      </c>
    </row>
    <row r="7554">
      <c r="A7554" s="3">
        <v>45736.0</v>
      </c>
      <c r="B7554" s="4">
        <v>0.27152777777777776</v>
      </c>
      <c r="C7554" s="5" t="s">
        <v>85</v>
      </c>
      <c r="D7554" s="5" t="s">
        <v>1250</v>
      </c>
      <c r="E7554" s="8" t="s">
        <v>401</v>
      </c>
      <c r="F7554" s="5" t="s">
        <v>464</v>
      </c>
      <c r="G7554" s="6" t="str">
        <f>VLOOKUP(E7554,dicionario!$A$1:$C7953,2,0)</f>
        <v>Cissus verticillata</v>
      </c>
      <c r="H7554" s="6" t="str">
        <f>VLOOKUP(E7554,dicionario!$A$1:$C7953,3,0)</f>
        <v>uva-do-mato</v>
      </c>
    </row>
    <row r="7555">
      <c r="A7555" s="3">
        <v>45736.0</v>
      </c>
      <c r="B7555" s="4">
        <v>0.27152777777777776</v>
      </c>
      <c r="C7555" s="5" t="s">
        <v>85</v>
      </c>
      <c r="D7555" s="5" t="s">
        <v>1250</v>
      </c>
      <c r="E7555" s="8" t="s">
        <v>122</v>
      </c>
      <c r="F7555" s="5" t="s">
        <v>123</v>
      </c>
      <c r="G7555" s="6" t="str">
        <f>VLOOKUP(E7555,dicionario!$A$1:$C7954,2,0)</f>
        <v>Todirostrum cinereum</v>
      </c>
      <c r="H7555" s="6" t="str">
        <f>VLOOKUP(E7555,dicionario!$A$1:$C7954,3,0)</f>
        <v>ferreirinho-relógio</v>
      </c>
    </row>
    <row r="7556">
      <c r="A7556" s="3">
        <v>45736.0</v>
      </c>
      <c r="B7556" s="4">
        <v>0.2722222222222222</v>
      </c>
      <c r="C7556" s="5" t="s">
        <v>85</v>
      </c>
      <c r="D7556" s="5" t="s">
        <v>1250</v>
      </c>
      <c r="E7556" s="6" t="s">
        <v>189</v>
      </c>
      <c r="F7556" s="5" t="s">
        <v>190</v>
      </c>
      <c r="G7556" s="6" t="str">
        <f>VLOOKUP(E7556,dicionario!$A$1:$C7955,2,0)</f>
        <v>Solanum paniculatum</v>
      </c>
      <c r="H7556" s="6" t="str">
        <f>VLOOKUP(E7556,dicionario!$A$1:$C7955,3,0)</f>
        <v>jurubeba</v>
      </c>
    </row>
    <row r="7557">
      <c r="A7557" s="3">
        <v>45736.0</v>
      </c>
      <c r="B7557" s="4">
        <v>0.2722222222222222</v>
      </c>
      <c r="C7557" s="5" t="s">
        <v>85</v>
      </c>
      <c r="D7557" s="5" t="s">
        <v>1250</v>
      </c>
      <c r="E7557" s="6" t="s">
        <v>267</v>
      </c>
      <c r="F7557" s="5" t="s">
        <v>553</v>
      </c>
      <c r="G7557" s="6" t="str">
        <f>VLOOKUP(E7557,dicionario!$A$1:$C7956,2,0)</f>
        <v>Solanum americanum</v>
      </c>
      <c r="H7557" s="6" t="str">
        <f>VLOOKUP(E7557,dicionario!$A$1:$C7956,3,0)</f>
        <v>maria-pretinha</v>
      </c>
    </row>
    <row r="7558">
      <c r="A7558" s="3">
        <v>45736.0</v>
      </c>
      <c r="B7558" s="4">
        <v>0.27291666666666664</v>
      </c>
      <c r="C7558" s="5" t="s">
        <v>85</v>
      </c>
      <c r="D7558" s="5" t="s">
        <v>1250</v>
      </c>
      <c r="E7558" s="8" t="s">
        <v>338</v>
      </c>
      <c r="F7558" s="5" t="s">
        <v>238</v>
      </c>
      <c r="G7558" s="6" t="str">
        <f>VLOOKUP(E7558,dicionario!$A$1:$C7957,2,0)</f>
        <v>Atta</v>
      </c>
      <c r="H7558" s="6" t="str">
        <f>VLOOKUP(E7558,dicionario!$A$1:$C7957,3,0)</f>
        <v>saúva</v>
      </c>
    </row>
    <row r="7559">
      <c r="A7559" s="3">
        <v>45736.0</v>
      </c>
      <c r="B7559" s="4">
        <v>0.27291666666666664</v>
      </c>
      <c r="C7559" s="5" t="s">
        <v>85</v>
      </c>
      <c r="D7559" s="5" t="s">
        <v>1250</v>
      </c>
      <c r="E7559" s="6" t="s">
        <v>141</v>
      </c>
      <c r="F7559" s="5" t="s">
        <v>142</v>
      </c>
      <c r="G7559" s="6" t="str">
        <f>VLOOKUP(E7559,dicionario!$A$1:$C7958,2,0)</f>
        <v>Ruellia blechum</v>
      </c>
      <c r="H7559" s="6" t="str">
        <f>VLOOKUP(E7559,dicionario!$A$1:$C7958,3,0)</f>
        <v>camarão-verde</v>
      </c>
    </row>
    <row r="7560">
      <c r="A7560" s="3">
        <v>45736.0</v>
      </c>
      <c r="B7560" s="4">
        <v>0.27291666666666664</v>
      </c>
      <c r="C7560" s="5" t="s">
        <v>85</v>
      </c>
      <c r="D7560" s="5" t="s">
        <v>1250</v>
      </c>
      <c r="E7560" s="12" t="s">
        <v>243</v>
      </c>
      <c r="F7560" s="5" t="s">
        <v>244</v>
      </c>
      <c r="G7560" s="6" t="str">
        <f>VLOOKUP(E7560,dicionario!$A$1:$C7959,2,0)</f>
        <v>Macroptilium atropurpureum</v>
      </c>
      <c r="H7560" s="6" t="str">
        <f>VLOOKUP(E7560,dicionario!$A$1:$C7959,3,0)</f>
        <v>feijão-de-pombo</v>
      </c>
    </row>
    <row r="7561">
      <c r="A7561" s="3">
        <v>45736.0</v>
      </c>
      <c r="B7561" s="4">
        <v>0.27291666666666664</v>
      </c>
      <c r="C7561" s="5" t="s">
        <v>85</v>
      </c>
      <c r="D7561" s="5" t="s">
        <v>1250</v>
      </c>
      <c r="E7561" s="8" t="s">
        <v>185</v>
      </c>
      <c r="F7561" s="5" t="s">
        <v>1254</v>
      </c>
      <c r="G7561" s="6" t="str">
        <f>VLOOKUP(E7561,dicionario!$A$1:$C7960,2,0)</f>
        <v>Ipomoea</v>
      </c>
      <c r="H7561" s="6" t="str">
        <f>VLOOKUP(E7561,dicionario!$A$1:$C7960,3,0)</f>
        <v>ipoméia</v>
      </c>
    </row>
    <row r="7562">
      <c r="A7562" s="3">
        <v>45736.0</v>
      </c>
      <c r="B7562" s="4">
        <v>0.27361111111111114</v>
      </c>
      <c r="C7562" s="5" t="s">
        <v>85</v>
      </c>
      <c r="D7562" s="5" t="s">
        <v>1250</v>
      </c>
      <c r="E7562" s="8" t="s">
        <v>1255</v>
      </c>
      <c r="F7562" s="5" t="s">
        <v>1190</v>
      </c>
      <c r="G7562" s="6" t="str">
        <f>VLOOKUP(E7562,dicionario!$A$1:$C7961,2,0)</f>
        <v>#N/A</v>
      </c>
      <c r="H7562" s="6" t="str">
        <f>VLOOKUP(E7562,dicionario!$A$1:$C7961,3,0)</f>
        <v>#N/A</v>
      </c>
    </row>
    <row r="7563">
      <c r="A7563" s="3">
        <v>45736.0</v>
      </c>
      <c r="B7563" s="4">
        <v>0.27361111111111114</v>
      </c>
      <c r="C7563" s="5" t="s">
        <v>85</v>
      </c>
      <c r="D7563" s="5" t="s">
        <v>1250</v>
      </c>
      <c r="E7563" s="8" t="s">
        <v>298</v>
      </c>
      <c r="F7563" s="5" t="s">
        <v>1230</v>
      </c>
      <c r="G7563" s="6" t="str">
        <f>VLOOKUP(E7563,dicionario!$A$1:$C7962,2,0)</f>
        <v>Alysicarpus vaginalis</v>
      </c>
      <c r="H7563" s="6" t="str">
        <f>VLOOKUP(E7563,dicionario!$A$1:$C7962,3,0)</f>
        <v/>
      </c>
    </row>
    <row r="7564">
      <c r="A7564" s="3">
        <v>45736.0</v>
      </c>
      <c r="B7564" s="4">
        <v>0.27361111111111114</v>
      </c>
      <c r="C7564" s="5" t="s">
        <v>85</v>
      </c>
      <c r="D7564" s="5" t="s">
        <v>1250</v>
      </c>
      <c r="E7564" s="8" t="s">
        <v>296</v>
      </c>
      <c r="F7564" s="5" t="s">
        <v>297</v>
      </c>
      <c r="G7564" s="6" t="str">
        <f>VLOOKUP(E7564,dicionario!$A$1:$C7963,2,0)</f>
        <v>Richardia brasiliensis</v>
      </c>
      <c r="H7564" s="6" t="str">
        <f>VLOOKUP(E7564,dicionario!$A$1:$C7963,3,0)</f>
        <v>poaia-branca</v>
      </c>
    </row>
    <row r="7565">
      <c r="A7565" s="3">
        <v>45736.0</v>
      </c>
      <c r="B7565" s="4">
        <v>0.2743055555555556</v>
      </c>
      <c r="C7565" s="5" t="s">
        <v>85</v>
      </c>
      <c r="D7565" s="5" t="s">
        <v>1250</v>
      </c>
      <c r="E7565" s="8" t="s">
        <v>99</v>
      </c>
      <c r="F7565" s="5" t="s">
        <v>508</v>
      </c>
      <c r="G7565" s="6" t="str">
        <f>VLOOKUP(E7565,dicionario!$A$1:$C7964,2,0)</f>
        <v>Molothrus bonariensis</v>
      </c>
      <c r="H7565" s="6" t="str">
        <f>VLOOKUP(E7565,dicionario!$A$1:$C7964,3,0)</f>
        <v>chupim</v>
      </c>
    </row>
    <row r="7566">
      <c r="A7566" s="3">
        <v>45736.0</v>
      </c>
      <c r="B7566" s="4">
        <v>0.2743055555555556</v>
      </c>
      <c r="C7566" s="5" t="s">
        <v>85</v>
      </c>
      <c r="D7566" s="5" t="s">
        <v>1250</v>
      </c>
      <c r="E7566" s="6" t="s">
        <v>381</v>
      </c>
      <c r="F7566" s="5" t="s">
        <v>382</v>
      </c>
      <c r="G7566" s="6" t="str">
        <f>VLOOKUP(E7566,dicionario!$A$1:$C7965,2,0)</f>
        <v>Pseudomyrmex</v>
      </c>
      <c r="H7566" s="6" t="str">
        <f>VLOOKUP(E7566,dicionario!$A$1:$C7965,3,0)</f>
        <v>maria-magra</v>
      </c>
    </row>
    <row r="7567">
      <c r="A7567" s="3">
        <v>45736.0</v>
      </c>
      <c r="B7567" s="4">
        <v>0.2743055555555556</v>
      </c>
      <c r="C7567" s="5" t="s">
        <v>85</v>
      </c>
      <c r="D7567" s="5" t="s">
        <v>1250</v>
      </c>
      <c r="E7567" s="6" t="s">
        <v>399</v>
      </c>
      <c r="F7567" s="5" t="s">
        <v>400</v>
      </c>
      <c r="G7567" s="6" t="str">
        <f>VLOOKUP(E7567,dicionario!$A$1:$C7966,2,0)</f>
        <v>Varronia curassavica</v>
      </c>
      <c r="H7567" s="6" t="str">
        <f>VLOOKUP(E7567,dicionario!$A$1:$C7966,3,0)</f>
        <v>erva-baleeira</v>
      </c>
    </row>
    <row r="7568">
      <c r="A7568" s="3">
        <v>45736.0</v>
      </c>
      <c r="B7568" s="4">
        <v>0.2743055555555556</v>
      </c>
      <c r="C7568" s="5" t="s">
        <v>85</v>
      </c>
      <c r="D7568" s="5" t="s">
        <v>1250</v>
      </c>
      <c r="E7568" s="8" t="s">
        <v>113</v>
      </c>
      <c r="F7568" s="5" t="s">
        <v>114</v>
      </c>
      <c r="G7568" s="6" t="str">
        <f>VLOOKUP(E7568,dicionario!$A$1:$C7967,2,0)</f>
        <v>Columbina talpacoti</v>
      </c>
      <c r="H7568" s="6" t="str">
        <f>VLOOKUP(E7568,dicionario!$A$1:$C7967,3,0)</f>
        <v>rolinha-roxa</v>
      </c>
    </row>
    <row r="7569">
      <c r="A7569" s="3">
        <v>45736.0</v>
      </c>
      <c r="B7569" s="4">
        <v>0.2743055555555556</v>
      </c>
      <c r="C7569" s="5" t="s">
        <v>85</v>
      </c>
      <c r="D7569" s="5" t="s">
        <v>1250</v>
      </c>
      <c r="E7569" s="8" t="s">
        <v>262</v>
      </c>
      <c r="F7569" s="5" t="s">
        <v>1256</v>
      </c>
      <c r="G7569" s="6" t="str">
        <f>VLOOKUP(E7569,dicionario!$A$1:$C7968,2,0)</f>
        <v>Portulaca oleracea</v>
      </c>
      <c r="H7569" s="6" t="str">
        <f>VLOOKUP(E7569,dicionario!$A$1:$C7968,3,0)</f>
        <v>beldroega</v>
      </c>
    </row>
    <row r="7570">
      <c r="A7570" s="3">
        <v>45736.0</v>
      </c>
      <c r="B7570" s="4">
        <v>0.2743055555555556</v>
      </c>
      <c r="C7570" s="5" t="s">
        <v>85</v>
      </c>
      <c r="D7570" s="5" t="s">
        <v>1250</v>
      </c>
      <c r="E7570" s="10" t="s">
        <v>101</v>
      </c>
      <c r="F7570" s="5" t="s">
        <v>1257</v>
      </c>
      <c r="G7570" s="6" t="str">
        <f>VLOOKUP(E7570,dicionario!$A$1:$C7969,2,0)</f>
        <v>Nemosia pileata</v>
      </c>
      <c r="H7570" s="6" t="str">
        <f>VLOOKUP(E7570,dicionario!$A$1:$C7969,3,0)</f>
        <v>saíra-de-chapéu-preto</v>
      </c>
    </row>
    <row r="7571">
      <c r="A7571" s="3">
        <v>45736.0</v>
      </c>
      <c r="B7571" s="4">
        <v>0.275</v>
      </c>
      <c r="C7571" s="5" t="s">
        <v>85</v>
      </c>
      <c r="D7571" s="5" t="s">
        <v>1250</v>
      </c>
      <c r="E7571" s="6" t="s">
        <v>18</v>
      </c>
      <c r="F7571" s="5" t="s">
        <v>219</v>
      </c>
      <c r="G7571" s="6" t="str">
        <f>VLOOKUP(E7571,dicionario!$A$1:$C7970,2,0)</f>
        <v>Xylocopa frontalis</v>
      </c>
      <c r="H7571" s="6" t="str">
        <f>VLOOKUP(E7571,dicionario!$A$1:$C7970,3,0)</f>
        <v>Mamangava; mangangá; abelha-carpinteira</v>
      </c>
    </row>
    <row r="7572">
      <c r="A7572" s="3">
        <v>45736.0</v>
      </c>
      <c r="B7572" s="4">
        <v>0.275</v>
      </c>
      <c r="C7572" s="5" t="s">
        <v>85</v>
      </c>
      <c r="D7572" s="5" t="s">
        <v>1250</v>
      </c>
      <c r="E7572" s="6" t="s">
        <v>12</v>
      </c>
      <c r="F7572" s="5" t="s">
        <v>13</v>
      </c>
      <c r="G7572" s="6" t="str">
        <f>VLOOKUP(E7572,dicionario!$A$1:$C7971,2,0)</f>
        <v>Eulaema nigrita</v>
      </c>
      <c r="H7572" s="6" t="str">
        <f>VLOOKUP(E7572,dicionario!$A$1:$C7971,3,0)</f>
        <v>abelha-de-orquídea</v>
      </c>
    </row>
    <row r="7573">
      <c r="A7573" s="3">
        <v>45736.0</v>
      </c>
      <c r="B7573" s="4">
        <v>0.2763888888888889</v>
      </c>
      <c r="C7573" s="5" t="s">
        <v>85</v>
      </c>
      <c r="D7573" s="5" t="s">
        <v>1250</v>
      </c>
      <c r="E7573" s="8" t="s">
        <v>135</v>
      </c>
      <c r="F7573" s="5" t="s">
        <v>136</v>
      </c>
      <c r="G7573" s="6" t="str">
        <f>VLOOKUP(E7573,dicionario!$A$1:$C7972,2,0)</f>
        <v>Tridax procumbens</v>
      </c>
      <c r="H7573" s="6" t="str">
        <f>VLOOKUP(E7573,dicionario!$A$1:$C7972,3,0)</f>
        <v>erva-de-touro</v>
      </c>
    </row>
    <row r="7574">
      <c r="A7574" s="3">
        <v>45736.0</v>
      </c>
      <c r="B7574" s="4">
        <v>0.2763888888888889</v>
      </c>
      <c r="C7574" s="5" t="s">
        <v>85</v>
      </c>
      <c r="D7574" s="5" t="s">
        <v>1250</v>
      </c>
      <c r="E7574" s="8" t="s">
        <v>489</v>
      </c>
      <c r="F7574" s="5" t="s">
        <v>521</v>
      </c>
      <c r="G7574" s="6" t="str">
        <f>VLOOKUP(E7574,dicionario!$A$1:$C7973,2,0)</f>
        <v>Cenchrus echinatus</v>
      </c>
      <c r="H7574" s="6" t="str">
        <f>VLOOKUP(E7574,dicionario!$A$1:$C7973,3,0)</f>
        <v>capim-carrapicho</v>
      </c>
    </row>
    <row r="7575">
      <c r="A7575" s="3">
        <v>45736.0</v>
      </c>
      <c r="B7575" s="4">
        <v>0.2763888888888889</v>
      </c>
      <c r="C7575" s="5" t="s">
        <v>85</v>
      </c>
      <c r="D7575" s="5" t="s">
        <v>1250</v>
      </c>
      <c r="E7575" s="8" t="s">
        <v>258</v>
      </c>
      <c r="F7575" s="5" t="s">
        <v>259</v>
      </c>
      <c r="G7575" s="6" t="str">
        <f>VLOOKUP(E7575,dicionario!$A$1:$C7974,2,0)</f>
        <v>Lantana camara</v>
      </c>
      <c r="H7575" s="6" t="str">
        <f>VLOOKUP(E7575,dicionario!$A$1:$C7974,3,0)</f>
        <v>lantana</v>
      </c>
    </row>
    <row r="7576">
      <c r="A7576" s="3">
        <v>45736.0</v>
      </c>
      <c r="B7576" s="4">
        <v>0.2763888888888889</v>
      </c>
      <c r="C7576" s="5" t="s">
        <v>85</v>
      </c>
      <c r="D7576" s="5" t="s">
        <v>1250</v>
      </c>
      <c r="E7576" s="6" t="s">
        <v>148</v>
      </c>
      <c r="F7576" s="5" t="s">
        <v>149</v>
      </c>
      <c r="G7576" s="6" t="str">
        <f>VLOOKUP(E7576,dicionario!$A$1:$C7975,2,0)</f>
        <v>Parthenium hysterophorus</v>
      </c>
      <c r="H7576" s="6" t="str">
        <f>VLOOKUP(E7576,dicionario!$A$1:$C7975,3,0)</f>
        <v>losna-branca</v>
      </c>
    </row>
    <row r="7577">
      <c r="A7577" s="3">
        <v>45736.0</v>
      </c>
      <c r="B7577" s="4">
        <v>0.2763888888888889</v>
      </c>
      <c r="C7577" s="5" t="s">
        <v>85</v>
      </c>
      <c r="D7577" s="5" t="s">
        <v>1250</v>
      </c>
      <c r="E7577" s="6" t="s">
        <v>144</v>
      </c>
      <c r="F7577" s="5" t="s">
        <v>145</v>
      </c>
      <c r="G7577" s="6" t="str">
        <f>VLOOKUP(E7577,dicionario!$A$1:$C7976,2,0)</f>
        <v>Gomphrena globosa</v>
      </c>
      <c r="H7577" s="6" t="str">
        <f>VLOOKUP(E7577,dicionario!$A$1:$C7976,3,0)</f>
        <v>perpétua-rosa</v>
      </c>
    </row>
    <row r="7578">
      <c r="A7578" s="3">
        <v>45736.0</v>
      </c>
      <c r="B7578" s="4">
        <v>0.2763888888888889</v>
      </c>
      <c r="C7578" s="5" t="s">
        <v>85</v>
      </c>
      <c r="D7578" s="5" t="s">
        <v>1250</v>
      </c>
      <c r="E7578" s="8" t="s">
        <v>239</v>
      </c>
      <c r="F7578" s="5" t="s">
        <v>240</v>
      </c>
      <c r="G7578" s="6" t="str">
        <f>VLOOKUP(E7578,dicionario!$A$1:$C7977,2,0)</f>
        <v>Gomphrena celosioides</v>
      </c>
      <c r="H7578" s="6" t="str">
        <f>VLOOKUP(E7578,dicionario!$A$1:$C7977,3,0)</f>
        <v>perpétua-branca</v>
      </c>
    </row>
    <row r="7579">
      <c r="A7579" s="3">
        <v>45736.0</v>
      </c>
      <c r="B7579" s="4">
        <v>0.2763888888888889</v>
      </c>
      <c r="C7579" s="5" t="s">
        <v>85</v>
      </c>
      <c r="D7579" s="5" t="s">
        <v>1250</v>
      </c>
      <c r="E7579" s="6" t="s">
        <v>355</v>
      </c>
      <c r="F7579" s="5" t="s">
        <v>356</v>
      </c>
      <c r="G7579" s="6" t="str">
        <f>VLOOKUP(E7579,dicionario!$A$1:$C7978,2,0)</f>
        <v>Boerhavia diffusa</v>
      </c>
      <c r="H7579" s="6" t="str">
        <f>VLOOKUP(E7579,dicionario!$A$1:$C7978,3,0)</f>
        <v>erva-tostão</v>
      </c>
    </row>
    <row r="7580">
      <c r="A7580" s="3">
        <v>45736.0</v>
      </c>
      <c r="B7580" s="4">
        <v>0.27708333333333335</v>
      </c>
      <c r="C7580" s="5" t="s">
        <v>85</v>
      </c>
      <c r="D7580" s="5" t="s">
        <v>1250</v>
      </c>
      <c r="E7580" s="8" t="s">
        <v>150</v>
      </c>
      <c r="F7580" s="5" t="s">
        <v>151</v>
      </c>
      <c r="G7580" s="6" t="str">
        <f>VLOOKUP(E7580,dicionario!$A$1:$C7979,2,0)</f>
        <v>Amaranthus viridis</v>
      </c>
      <c r="H7580" s="6" t="str">
        <f>VLOOKUP(E7580,dicionario!$A$1:$C7979,3,0)</f>
        <v>caruru-de-mancha</v>
      </c>
    </row>
    <row r="7581">
      <c r="A7581" s="3">
        <v>45736.0</v>
      </c>
      <c r="B7581" s="4">
        <v>0.27708333333333335</v>
      </c>
      <c r="C7581" s="5" t="s">
        <v>85</v>
      </c>
      <c r="D7581" s="5" t="s">
        <v>1250</v>
      </c>
      <c r="E7581" s="6" t="s">
        <v>146</v>
      </c>
      <c r="F7581" s="5" t="s">
        <v>147</v>
      </c>
      <c r="G7581" s="6" t="str">
        <f>VLOOKUP(E7581,dicionario!$A$1:$C7980,2,0)</f>
        <v>Euphorbia hirta</v>
      </c>
      <c r="H7581" s="6" t="str">
        <f>VLOOKUP(E7581,dicionario!$A$1:$C7980,3,0)</f>
        <v>erva-de-santa-luzia</v>
      </c>
    </row>
    <row r="7582">
      <c r="A7582" s="3">
        <v>45736.0</v>
      </c>
      <c r="B7582" s="4">
        <v>0.27708333333333335</v>
      </c>
      <c r="C7582" s="5" t="s">
        <v>85</v>
      </c>
      <c r="D7582" s="5" t="s">
        <v>1250</v>
      </c>
      <c r="E7582" s="8" t="s">
        <v>69</v>
      </c>
      <c r="F7582" s="5" t="s">
        <v>1246</v>
      </c>
      <c r="G7582" s="6" t="str">
        <f>VLOOKUP(E7582,dicionario!$A$1:$C7981,2,0)</f>
        <v>Talinum fruticosum</v>
      </c>
      <c r="H7582" s="6" t="str">
        <f>VLOOKUP(E7582,dicionario!$A$1:$C7981,3,0)</f>
        <v>beldroega-grande</v>
      </c>
    </row>
    <row r="7583">
      <c r="A7583" s="3">
        <v>45736.0</v>
      </c>
      <c r="B7583" s="4">
        <v>0.2777777777777778</v>
      </c>
      <c r="C7583" s="5" t="s">
        <v>85</v>
      </c>
      <c r="D7583" s="5" t="s">
        <v>1250</v>
      </c>
      <c r="E7583" s="6" t="s">
        <v>324</v>
      </c>
      <c r="F7583" s="5" t="s">
        <v>325</v>
      </c>
      <c r="G7583" s="6" t="str">
        <f>VLOOKUP(E7583,dicionario!$A$1:$C7982,2,0)</f>
        <v>#N/A</v>
      </c>
      <c r="H7583" s="6" t="str">
        <f>VLOOKUP(E7583,dicionario!$A$1:$C7982,3,0)</f>
        <v>#N/A</v>
      </c>
    </row>
    <row r="7584">
      <c r="A7584" s="3">
        <v>45736.0</v>
      </c>
      <c r="B7584" s="4">
        <v>0.2777777777777778</v>
      </c>
      <c r="C7584" s="5" t="s">
        <v>85</v>
      </c>
      <c r="D7584" s="5" t="s">
        <v>1250</v>
      </c>
      <c r="E7584" s="6" t="s">
        <v>43</v>
      </c>
      <c r="F7584" s="5" t="s">
        <v>1258</v>
      </c>
      <c r="G7584" s="6" t="str">
        <f>VLOOKUP(E7584,dicionario!$A$1:$C7983,2,0)</f>
        <v>Columba livia</v>
      </c>
      <c r="H7584" s="6" t="str">
        <f>VLOOKUP(E7584,dicionario!$A$1:$C7983,3,0)</f>
        <v>pombo-doméstico</v>
      </c>
    </row>
    <row r="7585">
      <c r="A7585" s="3">
        <v>45736.0</v>
      </c>
      <c r="B7585" s="4">
        <v>0.2777777777777778</v>
      </c>
      <c r="C7585" s="5" t="s">
        <v>85</v>
      </c>
      <c r="D7585" s="5" t="s">
        <v>1250</v>
      </c>
      <c r="E7585" s="8" t="s">
        <v>135</v>
      </c>
      <c r="F7585" s="5" t="s">
        <v>136</v>
      </c>
      <c r="G7585" s="6" t="str">
        <f>VLOOKUP(E7585,dicionario!$A$1:$C7984,2,0)</f>
        <v>Tridax procumbens</v>
      </c>
      <c r="H7585" s="6" t="str">
        <f>VLOOKUP(E7585,dicionario!$A$1:$C7984,3,0)</f>
        <v>erva-de-touro</v>
      </c>
    </row>
    <row r="7586">
      <c r="A7586" s="3">
        <v>45736.0</v>
      </c>
      <c r="B7586" s="4">
        <v>0.2777777777777778</v>
      </c>
      <c r="C7586" s="5" t="s">
        <v>85</v>
      </c>
      <c r="D7586" s="5" t="s">
        <v>1250</v>
      </c>
      <c r="E7586" s="6" t="s">
        <v>148</v>
      </c>
      <c r="F7586" s="5" t="s">
        <v>149</v>
      </c>
      <c r="G7586" s="6" t="str">
        <f>VLOOKUP(E7586,dicionario!$A$1:$C7985,2,0)</f>
        <v>Parthenium hysterophorus</v>
      </c>
      <c r="H7586" s="6" t="str">
        <f>VLOOKUP(E7586,dicionario!$A$1:$C7985,3,0)</f>
        <v>losna-branca</v>
      </c>
    </row>
    <row r="7587">
      <c r="A7587" s="3">
        <v>45736.0</v>
      </c>
      <c r="B7587" s="4">
        <v>0.2798611111111111</v>
      </c>
      <c r="C7587" s="5" t="s">
        <v>76</v>
      </c>
      <c r="D7587" s="5" t="s">
        <v>1250</v>
      </c>
      <c r="E7587" s="8" t="s">
        <v>296</v>
      </c>
      <c r="F7587" s="5" t="s">
        <v>297</v>
      </c>
      <c r="G7587" s="6" t="str">
        <f>VLOOKUP(E7587,dicionario!$A$1:$C7986,2,0)</f>
        <v>Richardia brasiliensis</v>
      </c>
      <c r="H7587" s="6" t="str">
        <f>VLOOKUP(E7587,dicionario!$A$1:$C7986,3,0)</f>
        <v>poaia-branca</v>
      </c>
    </row>
    <row r="7588">
      <c r="A7588" s="3">
        <v>45736.0</v>
      </c>
      <c r="B7588" s="4">
        <v>0.2798611111111111</v>
      </c>
      <c r="C7588" s="5" t="s">
        <v>76</v>
      </c>
      <c r="D7588" s="5" t="s">
        <v>1250</v>
      </c>
      <c r="E7588" s="8" t="s">
        <v>271</v>
      </c>
      <c r="F7588" s="5" t="s">
        <v>1169</v>
      </c>
      <c r="G7588" s="6" t="str">
        <f>VLOOKUP(E7588,dicionario!$A$1:$C7987,2,0)</f>
        <v>Cyanthillium cinereum</v>
      </c>
      <c r="H7588" s="6" t="str">
        <f>VLOOKUP(E7588,dicionario!$A$1:$C7987,3,0)</f>
        <v>emília</v>
      </c>
    </row>
    <row r="7589">
      <c r="A7589" s="3">
        <v>45736.0</v>
      </c>
      <c r="B7589" s="4">
        <v>0.2798611111111111</v>
      </c>
      <c r="C7589" s="5" t="s">
        <v>76</v>
      </c>
      <c r="D7589" s="5" t="s">
        <v>1250</v>
      </c>
      <c r="E7589" s="28" t="s">
        <v>560</v>
      </c>
      <c r="F7589" s="5" t="s">
        <v>561</v>
      </c>
      <c r="G7589" s="6" t="str">
        <f>VLOOKUP(E7589,dicionario!$A$1:$C7988,2,0)</f>
        <v>Megarynchus pitangua</v>
      </c>
      <c r="H7589" s="6" t="str">
        <f>VLOOKUP(E7589,dicionario!$A$1:$C7988,3,0)</f>
        <v>neinei</v>
      </c>
    </row>
    <row r="7590">
      <c r="A7590" s="3">
        <v>45736.0</v>
      </c>
      <c r="B7590" s="4">
        <v>0.2798611111111111</v>
      </c>
      <c r="C7590" s="5" t="s">
        <v>76</v>
      </c>
      <c r="D7590" s="5" t="s">
        <v>1250</v>
      </c>
      <c r="E7590" s="8" t="s">
        <v>154</v>
      </c>
      <c r="F7590" s="5" t="s">
        <v>155</v>
      </c>
      <c r="G7590" s="6" t="str">
        <f>VLOOKUP(E7590,dicionario!$A$1:$C7989,2,0)</f>
        <v>Cyperus rotundus</v>
      </c>
      <c r="H7590" s="6" t="str">
        <f>VLOOKUP(E7590,dicionario!$A$1:$C7989,3,0)</f>
        <v>tiririca</v>
      </c>
    </row>
    <row r="7591">
      <c r="A7591" s="3">
        <v>45736.0</v>
      </c>
      <c r="B7591" s="4">
        <v>0.28055555555555556</v>
      </c>
      <c r="C7591" s="5" t="s">
        <v>76</v>
      </c>
      <c r="D7591" s="5" t="s">
        <v>1250</v>
      </c>
      <c r="E7591" s="8" t="s">
        <v>239</v>
      </c>
      <c r="F7591" s="5" t="s">
        <v>240</v>
      </c>
      <c r="G7591" s="6" t="str">
        <f>VLOOKUP(E7591,dicionario!$A$1:$C7990,2,0)</f>
        <v>Gomphrena celosioides</v>
      </c>
      <c r="H7591" s="6" t="str">
        <f>VLOOKUP(E7591,dicionario!$A$1:$C7990,3,0)</f>
        <v>perpétua-branca</v>
      </c>
    </row>
    <row r="7592">
      <c r="A7592" s="3">
        <v>45736.0</v>
      </c>
      <c r="B7592" s="4">
        <v>0.28055555555555556</v>
      </c>
      <c r="C7592" s="5" t="s">
        <v>76</v>
      </c>
      <c r="D7592" s="5" t="s">
        <v>1250</v>
      </c>
      <c r="E7592" s="8" t="s">
        <v>227</v>
      </c>
      <c r="F7592" s="5" t="s">
        <v>228</v>
      </c>
      <c r="G7592" s="6" t="str">
        <f>VLOOKUP(E7592,dicionario!$A$1:$C7991,2,0)</f>
        <v>Indigofera hirsuta</v>
      </c>
      <c r="H7592" s="6" t="str">
        <f>VLOOKUP(E7592,dicionario!$A$1:$C7991,3,0)</f>
        <v>anileira</v>
      </c>
    </row>
    <row r="7593">
      <c r="A7593" s="3">
        <v>45736.0</v>
      </c>
      <c r="B7593" s="4">
        <v>0.28125</v>
      </c>
      <c r="C7593" s="5" t="s">
        <v>76</v>
      </c>
      <c r="D7593" s="5" t="s">
        <v>1250</v>
      </c>
      <c r="E7593" s="6" t="s">
        <v>353</v>
      </c>
      <c r="F7593" s="5" t="s">
        <v>1259</v>
      </c>
      <c r="G7593" s="6" t="str">
        <f>VLOOKUP(E7593,dicionario!$A$1:$C7992,2,0)</f>
        <v>Desmodium incanum</v>
      </c>
      <c r="H7593" s="6" t="str">
        <f>VLOOKUP(E7593,dicionario!$A$1:$C7992,3,0)</f>
        <v>pega-pega</v>
      </c>
    </row>
    <row r="7594">
      <c r="A7594" s="3">
        <v>45736.0</v>
      </c>
      <c r="B7594" s="4">
        <v>0.28125</v>
      </c>
      <c r="C7594" s="5" t="s">
        <v>76</v>
      </c>
      <c r="D7594" s="5" t="s">
        <v>1250</v>
      </c>
      <c r="E7594" s="6" t="s">
        <v>146</v>
      </c>
      <c r="F7594" s="5" t="s">
        <v>147</v>
      </c>
      <c r="G7594" s="6" t="str">
        <f>VLOOKUP(E7594,dicionario!$A$1:$C7993,2,0)</f>
        <v>Euphorbia hirta</v>
      </c>
      <c r="H7594" s="6" t="str">
        <f>VLOOKUP(E7594,dicionario!$A$1:$C7993,3,0)</f>
        <v>erva-de-santa-luzia</v>
      </c>
    </row>
    <row r="7595">
      <c r="A7595" s="3">
        <v>45736.0</v>
      </c>
      <c r="B7595" s="4">
        <v>0.28125</v>
      </c>
      <c r="C7595" s="5" t="s">
        <v>76</v>
      </c>
      <c r="D7595" s="5" t="s">
        <v>1250</v>
      </c>
      <c r="E7595" s="6" t="s">
        <v>48</v>
      </c>
      <c r="F7595" s="5" t="s">
        <v>49</v>
      </c>
      <c r="G7595" s="6" t="str">
        <f>VLOOKUP(E7595,dicionario!$A$1:$C7994,2,0)</f>
        <v>Commelina erecta</v>
      </c>
      <c r="H7595" s="6" t="str">
        <f>VLOOKUP(E7595,dicionario!$A$1:$C7994,3,0)</f>
        <v>trapoeraba</v>
      </c>
    </row>
    <row r="7596">
      <c r="A7596" s="3">
        <v>45736.0</v>
      </c>
      <c r="B7596" s="4">
        <v>0.28125</v>
      </c>
      <c r="C7596" s="5" t="s">
        <v>76</v>
      </c>
      <c r="D7596" s="5" t="s">
        <v>1250</v>
      </c>
      <c r="E7596" s="6" t="s">
        <v>253</v>
      </c>
      <c r="F7596" s="5" t="s">
        <v>254</v>
      </c>
      <c r="G7596" s="6" t="str">
        <f>VLOOKUP(E7596,dicionario!$A$1:$C7995,2,0)</f>
        <v>Panicum maximum</v>
      </c>
      <c r="H7596" s="6" t="str">
        <f>VLOOKUP(E7596,dicionario!$A$1:$C7995,3,0)</f>
        <v>capim-colonião</v>
      </c>
    </row>
    <row r="7597">
      <c r="A7597" s="3">
        <v>45736.0</v>
      </c>
      <c r="B7597" s="4">
        <v>0.28125</v>
      </c>
      <c r="C7597" s="5" t="s">
        <v>76</v>
      </c>
      <c r="D7597" s="5" t="s">
        <v>1250</v>
      </c>
      <c r="E7597" s="8" t="s">
        <v>1260</v>
      </c>
      <c r="F7597" s="5" t="s">
        <v>534</v>
      </c>
      <c r="G7597" s="6" t="str">
        <f>VLOOKUP(E7597,dicionario!$A$1:$C7996,2,0)</f>
        <v>#N/A</v>
      </c>
      <c r="H7597" s="6" t="str">
        <f>VLOOKUP(E7597,dicionario!$A$1:$C7996,3,0)</f>
        <v>#N/A</v>
      </c>
    </row>
    <row r="7598">
      <c r="A7598" s="3">
        <v>45736.0</v>
      </c>
      <c r="B7598" s="4">
        <v>0.28125</v>
      </c>
      <c r="C7598" s="5" t="s">
        <v>76</v>
      </c>
      <c r="D7598" s="5" t="s">
        <v>1250</v>
      </c>
      <c r="E7598" s="8" t="s">
        <v>1260</v>
      </c>
      <c r="F7598" s="5" t="s">
        <v>1190</v>
      </c>
      <c r="G7598" s="6" t="str">
        <f>VLOOKUP(E7598,dicionario!$A$1:$C7997,2,0)</f>
        <v>#N/A</v>
      </c>
      <c r="H7598" s="6" t="str">
        <f>VLOOKUP(E7598,dicionario!$A$1:$C7997,3,0)</f>
        <v>#N/A</v>
      </c>
    </row>
    <row r="7599">
      <c r="A7599" s="3">
        <v>45736.0</v>
      </c>
      <c r="B7599" s="4">
        <v>0.28194444444444444</v>
      </c>
      <c r="C7599" s="5" t="s">
        <v>76</v>
      </c>
      <c r="D7599" s="5" t="s">
        <v>1250</v>
      </c>
      <c r="E7599" s="8" t="s">
        <v>611</v>
      </c>
      <c r="F7599" s="5" t="s">
        <v>940</v>
      </c>
      <c r="G7599" s="6" t="str">
        <f>VLOOKUP(E7599,dicionario!$A$1:$C7998,2,0)</f>
        <v>Boehmeria cylindrica</v>
      </c>
      <c r="H7599" s="6" t="str">
        <f>VLOOKUP(E7599,dicionario!$A$1:$C7998,3,0)</f>
        <v>falsa-urtiga</v>
      </c>
    </row>
    <row r="7600">
      <c r="A7600" s="3">
        <v>45736.0</v>
      </c>
      <c r="B7600" s="4">
        <v>0.28194444444444444</v>
      </c>
      <c r="C7600" s="5" t="s">
        <v>76</v>
      </c>
      <c r="D7600" s="5" t="s">
        <v>1250</v>
      </c>
      <c r="E7600" s="6" t="s">
        <v>247</v>
      </c>
      <c r="F7600" s="5" t="s">
        <v>387</v>
      </c>
      <c r="G7600" s="6" t="str">
        <f>VLOOKUP(E7600,dicionario!$A$1:$C7999,2,0)</f>
        <v>Emilia sonchifolia</v>
      </c>
      <c r="H7600" s="6" t="str">
        <f>VLOOKUP(E7600,dicionario!$A$1:$C7999,3,0)</f>
        <v>serralinha</v>
      </c>
    </row>
    <row r="7601">
      <c r="A7601" s="3">
        <v>45736.0</v>
      </c>
      <c r="B7601" s="4">
        <v>0.28194444444444444</v>
      </c>
      <c r="C7601" s="5" t="s">
        <v>76</v>
      </c>
      <c r="D7601" s="5" t="s">
        <v>1250</v>
      </c>
      <c r="E7601" s="6" t="s">
        <v>141</v>
      </c>
      <c r="F7601" s="5" t="s">
        <v>142</v>
      </c>
      <c r="G7601" s="6" t="str">
        <f>VLOOKUP(E7601,dicionario!$A$1:$C8000,2,0)</f>
        <v>Ruellia blechum</v>
      </c>
      <c r="H7601" s="6" t="str">
        <f>VLOOKUP(E7601,dicionario!$A$1:$C8000,3,0)</f>
        <v>camarão-verde</v>
      </c>
    </row>
    <row r="7602">
      <c r="A7602" s="3">
        <v>45736.0</v>
      </c>
      <c r="B7602" s="4">
        <v>0.28194444444444444</v>
      </c>
      <c r="C7602" s="5" t="s">
        <v>76</v>
      </c>
      <c r="D7602" s="5" t="s">
        <v>1250</v>
      </c>
      <c r="E7602" s="8" t="s">
        <v>38</v>
      </c>
      <c r="F7602" s="5" t="s">
        <v>1251</v>
      </c>
      <c r="G7602" s="6" t="str">
        <f>VLOOKUP(E7602,dicionario!$A$1:$C8001,2,0)</f>
        <v>Troglodytes musculus</v>
      </c>
      <c r="H7602" s="6" t="str">
        <f>VLOOKUP(E7602,dicionario!$A$1:$C8001,3,0)</f>
        <v>curruíra</v>
      </c>
    </row>
    <row r="7603">
      <c r="A7603" s="3">
        <v>45736.0</v>
      </c>
      <c r="B7603" s="4">
        <v>0.28194444444444444</v>
      </c>
      <c r="C7603" s="5" t="s">
        <v>76</v>
      </c>
      <c r="D7603" s="5" t="s">
        <v>1250</v>
      </c>
      <c r="E7603" s="8" t="s">
        <v>109</v>
      </c>
      <c r="F7603" s="5" t="s">
        <v>110</v>
      </c>
      <c r="G7603" s="6" t="str">
        <f>VLOOKUP(E7603,dicionario!$A$1:$C8002,2,0)</f>
        <v>Tillandsia stricta</v>
      </c>
      <c r="H7603" s="6" t="str">
        <f>VLOOKUP(E7603,dicionario!$A$1:$C8002,3,0)</f>
        <v>cravo-do-mato</v>
      </c>
    </row>
    <row r="7604">
      <c r="A7604" s="3">
        <v>45736.0</v>
      </c>
      <c r="B7604" s="4">
        <v>0.2826388888888889</v>
      </c>
      <c r="C7604" s="5" t="s">
        <v>76</v>
      </c>
      <c r="D7604" s="5" t="s">
        <v>1250</v>
      </c>
      <c r="E7604" s="6" t="s">
        <v>158</v>
      </c>
      <c r="F7604" s="5" t="s">
        <v>159</v>
      </c>
      <c r="G7604" s="6" t="str">
        <f>VLOOKUP(E7604,dicionario!$A$1:$C8003,2,0)</f>
        <v>Nephilingis cruentata</v>
      </c>
      <c r="H7604" s="6" t="str">
        <f>VLOOKUP(E7604,dicionario!$A$1:$C8003,3,0)</f>
        <v>maria-bola</v>
      </c>
    </row>
    <row r="7605">
      <c r="A7605" s="3">
        <v>45736.0</v>
      </c>
      <c r="B7605" s="4">
        <v>0.2826388888888889</v>
      </c>
      <c r="C7605" s="5" t="s">
        <v>76</v>
      </c>
      <c r="D7605" s="5" t="s">
        <v>1250</v>
      </c>
      <c r="E7605" s="6" t="s">
        <v>399</v>
      </c>
      <c r="F7605" s="5" t="s">
        <v>400</v>
      </c>
      <c r="G7605" s="6" t="str">
        <f>VLOOKUP(E7605,dicionario!$A$1:$C8004,2,0)</f>
        <v>Varronia curassavica</v>
      </c>
      <c r="H7605" s="6" t="str">
        <f>VLOOKUP(E7605,dicionario!$A$1:$C8004,3,0)</f>
        <v>erva-baleeira</v>
      </c>
    </row>
    <row r="7606">
      <c r="A7606" s="3">
        <v>45736.0</v>
      </c>
      <c r="B7606" s="4">
        <v>0.2826388888888889</v>
      </c>
      <c r="C7606" s="5" t="s">
        <v>76</v>
      </c>
      <c r="D7606" s="5" t="s">
        <v>1250</v>
      </c>
      <c r="E7606" s="6" t="s">
        <v>319</v>
      </c>
      <c r="F7606" s="5" t="s">
        <v>320</v>
      </c>
      <c r="G7606" s="6" t="str">
        <f>VLOOKUP(E7606,dicionario!$A$1:$C8005,2,0)</f>
        <v>Schinus terebinthifolia</v>
      </c>
      <c r="H7606" s="6" t="str">
        <f>VLOOKUP(E7606,dicionario!$A$1:$C8005,3,0)</f>
        <v>aroeira</v>
      </c>
    </row>
    <row r="7607">
      <c r="A7607" s="3">
        <v>45736.0</v>
      </c>
      <c r="B7607" s="4">
        <v>0.2826388888888889</v>
      </c>
      <c r="C7607" s="5" t="s">
        <v>76</v>
      </c>
      <c r="D7607" s="5" t="s">
        <v>1250</v>
      </c>
      <c r="E7607" s="6" t="s">
        <v>355</v>
      </c>
      <c r="F7607" s="5" t="s">
        <v>356</v>
      </c>
      <c r="G7607" s="6" t="str">
        <f>VLOOKUP(E7607,dicionario!$A$1:$C8006,2,0)</f>
        <v>Boerhavia diffusa</v>
      </c>
      <c r="H7607" s="6" t="str">
        <f>VLOOKUP(E7607,dicionario!$A$1:$C8006,3,0)</f>
        <v>erva-tostão</v>
      </c>
    </row>
    <row r="7608">
      <c r="A7608" s="3">
        <v>45736.0</v>
      </c>
      <c r="B7608" s="4">
        <v>0.2826388888888889</v>
      </c>
      <c r="C7608" s="5" t="s">
        <v>76</v>
      </c>
      <c r="D7608" s="5" t="s">
        <v>1250</v>
      </c>
      <c r="E7608" s="8" t="s">
        <v>442</v>
      </c>
      <c r="F7608" s="5" t="s">
        <v>1261</v>
      </c>
      <c r="G7608" s="6" t="str">
        <f>VLOOKUP(E7608,dicionario!$A$1:$C8007,2,0)</f>
        <v>#N/A</v>
      </c>
      <c r="H7608" s="6" t="str">
        <f>VLOOKUP(E7608,dicionario!$A$1:$C8007,3,0)</f>
        <v>#N/A</v>
      </c>
    </row>
    <row r="7609">
      <c r="A7609" s="3">
        <v>45736.0</v>
      </c>
      <c r="B7609" s="4">
        <v>0.2826388888888889</v>
      </c>
      <c r="C7609" s="5" t="s">
        <v>76</v>
      </c>
      <c r="D7609" s="5" t="s">
        <v>1250</v>
      </c>
      <c r="E7609" s="6" t="s">
        <v>150</v>
      </c>
      <c r="F7609" s="5" t="s">
        <v>151</v>
      </c>
      <c r="G7609" s="6" t="str">
        <f>VLOOKUP(E7609,dicionario!$A$1:$C8008,2,0)</f>
        <v>Amaranthus viridis</v>
      </c>
      <c r="H7609" s="6" t="str">
        <f>VLOOKUP(E7609,dicionario!$A$1:$C8008,3,0)</f>
        <v>caruru-de-mancha</v>
      </c>
    </row>
    <row r="7610">
      <c r="A7610" s="3">
        <v>45736.0</v>
      </c>
      <c r="B7610" s="4">
        <v>0.2833333333333333</v>
      </c>
      <c r="C7610" s="5" t="s">
        <v>76</v>
      </c>
      <c r="D7610" s="5" t="s">
        <v>1250</v>
      </c>
      <c r="E7610" s="6" t="s">
        <v>613</v>
      </c>
      <c r="F7610" s="5" t="s">
        <v>614</v>
      </c>
      <c r="G7610" s="6" t="str">
        <f>VLOOKUP(E7610,dicionario!$A$1:$C8009,2,0)</f>
        <v>Euphorbia hyssopifolia</v>
      </c>
      <c r="H7610" s="6" t="str">
        <f>VLOOKUP(E7610,dicionario!$A$1:$C8009,3,0)</f>
        <v>maria-leite</v>
      </c>
    </row>
    <row r="7611">
      <c r="A7611" s="3">
        <v>45736.0</v>
      </c>
      <c r="B7611" s="4">
        <v>0.28402777777777777</v>
      </c>
      <c r="C7611" s="5" t="s">
        <v>76</v>
      </c>
      <c r="D7611" s="5" t="s">
        <v>1250</v>
      </c>
      <c r="E7611" s="8" t="s">
        <v>1115</v>
      </c>
      <c r="F7611" s="5" t="s">
        <v>1116</v>
      </c>
      <c r="G7611" s="6" t="str">
        <f>VLOOKUP(E7611,dicionario!$A$1:$C8010,2,0)</f>
        <v>#N/A</v>
      </c>
      <c r="H7611" s="6" t="str">
        <f>VLOOKUP(E7611,dicionario!$A$1:$C8010,3,0)</f>
        <v>#N/A</v>
      </c>
    </row>
    <row r="7612">
      <c r="A7612" s="3">
        <v>45736.0</v>
      </c>
      <c r="B7612" s="4">
        <v>0.2847222222222222</v>
      </c>
      <c r="C7612" s="5" t="s">
        <v>76</v>
      </c>
      <c r="D7612" s="5" t="s">
        <v>1250</v>
      </c>
      <c r="E7612" s="6" t="s">
        <v>539</v>
      </c>
      <c r="F7612" s="5" t="s">
        <v>540</v>
      </c>
      <c r="G7612" s="6" t="str">
        <f>VLOOKUP(E7612,dicionario!$A$1:$C8011,2,0)</f>
        <v>#N/A</v>
      </c>
      <c r="H7612" s="6" t="str">
        <f>VLOOKUP(E7612,dicionario!$A$1:$C8011,3,0)</f>
        <v>#N/A</v>
      </c>
    </row>
    <row r="7613">
      <c r="A7613" s="3">
        <v>45736.0</v>
      </c>
      <c r="B7613" s="4">
        <v>0.2847222222222222</v>
      </c>
      <c r="C7613" s="5" t="s">
        <v>76</v>
      </c>
      <c r="D7613" s="5" t="s">
        <v>1250</v>
      </c>
      <c r="E7613" s="6" t="s">
        <v>290</v>
      </c>
      <c r="F7613" s="5" t="s">
        <v>291</v>
      </c>
      <c r="G7613" s="6" t="str">
        <f>VLOOKUP(E7613,dicionario!$A$1:$C8012,2,0)</f>
        <v>Drymaria cordata</v>
      </c>
      <c r="H7613" s="6" t="str">
        <f>VLOOKUP(E7613,dicionario!$A$1:$C8012,3,0)</f>
        <v>orelha-de-rato</v>
      </c>
    </row>
    <row r="7614">
      <c r="A7614" s="3">
        <v>45736.0</v>
      </c>
      <c r="B7614" s="4">
        <v>0.2847222222222222</v>
      </c>
      <c r="C7614" s="5" t="s">
        <v>76</v>
      </c>
      <c r="D7614" s="5" t="s">
        <v>1250</v>
      </c>
      <c r="E7614" s="8" t="s">
        <v>786</v>
      </c>
      <c r="F7614" s="5" t="s">
        <v>787</v>
      </c>
      <c r="G7614" s="6" t="str">
        <f>VLOOKUP(E7614,dicionario!$A$1:$C8013,2,0)</f>
        <v>Lycianthes asarifolia</v>
      </c>
      <c r="H7614" s="6" t="str">
        <f>VLOOKUP(E7614,dicionario!$A$1:$C8013,3,0)</f>
        <v>joá-rasteiro</v>
      </c>
    </row>
    <row r="7615">
      <c r="A7615" s="3">
        <v>45736.0</v>
      </c>
      <c r="B7615" s="4">
        <v>0.2847222222222222</v>
      </c>
      <c r="C7615" s="5" t="s">
        <v>76</v>
      </c>
      <c r="D7615" s="5" t="s">
        <v>1250</v>
      </c>
      <c r="E7615" s="6" t="s">
        <v>467</v>
      </c>
      <c r="F7615" s="5" t="s">
        <v>468</v>
      </c>
      <c r="G7615" s="6" t="str">
        <f>VLOOKUP(E7615,dicionario!$A$1:$C8014,2,0)</f>
        <v>Eleusine indica</v>
      </c>
      <c r="H7615" s="6" t="str">
        <f>VLOOKUP(E7615,dicionario!$A$1:$C8014,3,0)</f>
        <v>capim-pé-de-galinha</v>
      </c>
    </row>
    <row r="7616">
      <c r="A7616" s="3">
        <v>45736.0</v>
      </c>
      <c r="B7616" s="4">
        <v>0.2847222222222222</v>
      </c>
      <c r="C7616" s="5" t="s">
        <v>76</v>
      </c>
      <c r="D7616" s="5" t="s">
        <v>1250</v>
      </c>
      <c r="E7616" s="6" t="s">
        <v>144</v>
      </c>
      <c r="F7616" s="5" t="s">
        <v>145</v>
      </c>
      <c r="G7616" s="6" t="str">
        <f>VLOOKUP(E7616,dicionario!$A$1:$C8015,2,0)</f>
        <v>Gomphrena globosa</v>
      </c>
      <c r="H7616" s="6" t="str">
        <f>VLOOKUP(E7616,dicionario!$A$1:$C8015,3,0)</f>
        <v>perpétua-rosa</v>
      </c>
    </row>
    <row r="7617">
      <c r="A7617" s="3">
        <v>45736.0</v>
      </c>
      <c r="B7617" s="4">
        <v>0.2861111111111111</v>
      </c>
      <c r="C7617" s="5" t="s">
        <v>76</v>
      </c>
      <c r="D7617" s="5" t="s">
        <v>1250</v>
      </c>
      <c r="E7617" s="8" t="s">
        <v>239</v>
      </c>
      <c r="F7617" s="5" t="s">
        <v>240</v>
      </c>
      <c r="G7617" s="6" t="str">
        <f>VLOOKUP(E7617,dicionario!$A$1:$C8016,2,0)</f>
        <v>Gomphrena celosioides</v>
      </c>
      <c r="H7617" s="6" t="str">
        <f>VLOOKUP(E7617,dicionario!$A$1:$C8016,3,0)</f>
        <v>perpétua-branca</v>
      </c>
    </row>
    <row r="7618">
      <c r="A7618" s="3">
        <v>45736.0</v>
      </c>
      <c r="B7618" s="4">
        <v>0.2861111111111111</v>
      </c>
      <c r="C7618" s="5" t="s">
        <v>76</v>
      </c>
      <c r="D7618" s="5" t="s">
        <v>1250</v>
      </c>
      <c r="E7618" s="6" t="s">
        <v>86</v>
      </c>
      <c r="F7618" s="5" t="s">
        <v>502</v>
      </c>
      <c r="G7618" s="6" t="str">
        <f>VLOOKUP(E7618,dicionario!$A$1:$C8017,2,0)</f>
        <v>Coereba flaveola</v>
      </c>
      <c r="H7618" s="6" t="str">
        <f>VLOOKUP(E7618,dicionario!$A$1:$C8017,3,0)</f>
        <v>cambacica</v>
      </c>
    </row>
    <row r="7619">
      <c r="A7619" s="3">
        <v>45736.0</v>
      </c>
      <c r="B7619" s="4">
        <v>0.2861111111111111</v>
      </c>
      <c r="C7619" s="5" t="s">
        <v>76</v>
      </c>
      <c r="D7619" s="5" t="s">
        <v>1250</v>
      </c>
      <c r="E7619" s="8" t="s">
        <v>758</v>
      </c>
      <c r="F7619" s="5" t="s">
        <v>759</v>
      </c>
      <c r="G7619" s="6" t="str">
        <f>VLOOKUP(E7619,dicionario!$A$1:$C8018,2,0)</f>
        <v>Cyperus esculentus</v>
      </c>
      <c r="H7619" s="6" t="str">
        <f>VLOOKUP(E7619,dicionario!$A$1:$C8018,3,0)</f>
        <v>tiriricão</v>
      </c>
    </row>
    <row r="7620">
      <c r="A7620" s="3">
        <v>45736.0</v>
      </c>
      <c r="B7620" s="4">
        <v>0.3013888888888889</v>
      </c>
      <c r="C7620" s="5" t="s">
        <v>64</v>
      </c>
      <c r="D7620" s="5" t="s">
        <v>1250</v>
      </c>
      <c r="E7620" s="9" t="s">
        <v>103</v>
      </c>
      <c r="F7620" s="5" t="s">
        <v>104</v>
      </c>
      <c r="G7620" s="6" t="str">
        <f>VLOOKUP(E7620,dicionario!$A$1:$C8019,2,0)</f>
        <v>Caracara plancus</v>
      </c>
      <c r="H7620" s="6" t="str">
        <f>VLOOKUP(E7620,dicionario!$A$1:$C8019,3,0)</f>
        <v>carcará </v>
      </c>
    </row>
    <row r="7621">
      <c r="A7621" s="3">
        <v>45736.0</v>
      </c>
      <c r="B7621" s="4">
        <v>0.3013888888888889</v>
      </c>
      <c r="C7621" s="5" t="s">
        <v>64</v>
      </c>
      <c r="D7621" s="5" t="s">
        <v>1250</v>
      </c>
      <c r="E7621" s="6" t="s">
        <v>48</v>
      </c>
      <c r="F7621" s="5" t="s">
        <v>49</v>
      </c>
      <c r="G7621" s="6" t="str">
        <f>VLOOKUP(E7621,dicionario!$A$1:$C8020,2,0)</f>
        <v>Commelina erecta</v>
      </c>
      <c r="H7621" s="6" t="str">
        <f>VLOOKUP(E7621,dicionario!$A$1:$C8020,3,0)</f>
        <v>trapoeraba</v>
      </c>
    </row>
    <row r="7622">
      <c r="A7622" s="3">
        <v>45736.0</v>
      </c>
      <c r="B7622" s="4">
        <v>0.3020833333333333</v>
      </c>
      <c r="C7622" s="5" t="s">
        <v>64</v>
      </c>
      <c r="D7622" s="5" t="s">
        <v>1250</v>
      </c>
      <c r="E7622" s="8" t="s">
        <v>195</v>
      </c>
      <c r="F7622" s="5" t="s">
        <v>196</v>
      </c>
      <c r="G7622" s="6" t="str">
        <f>VLOOKUP(E7622,dicionario!$A$1:$C8021,2,0)</f>
        <v>Priva lappulacea</v>
      </c>
      <c r="H7622" s="6" t="str">
        <f>VLOOKUP(E7622,dicionario!$A$1:$C8021,3,0)</f>
        <v>carrapicho</v>
      </c>
    </row>
    <row r="7623">
      <c r="A7623" s="3">
        <v>45736.0</v>
      </c>
      <c r="B7623" s="4">
        <v>0.3020833333333333</v>
      </c>
      <c r="C7623" s="5" t="s">
        <v>64</v>
      </c>
      <c r="D7623" s="5" t="s">
        <v>1250</v>
      </c>
      <c r="E7623" s="6" t="s">
        <v>148</v>
      </c>
      <c r="F7623" s="5" t="s">
        <v>149</v>
      </c>
      <c r="G7623" s="6" t="str">
        <f>VLOOKUP(E7623,dicionario!$A$1:$C8022,2,0)</f>
        <v>Parthenium hysterophorus</v>
      </c>
      <c r="H7623" s="6" t="str">
        <f>VLOOKUP(E7623,dicionario!$A$1:$C8022,3,0)</f>
        <v>losna-branca</v>
      </c>
    </row>
    <row r="7624">
      <c r="A7624" s="3">
        <v>45736.0</v>
      </c>
      <c r="B7624" s="4">
        <v>0.3020833333333333</v>
      </c>
      <c r="C7624" s="5" t="s">
        <v>64</v>
      </c>
      <c r="D7624" s="5" t="s">
        <v>1250</v>
      </c>
      <c r="E7624" s="6" t="s">
        <v>146</v>
      </c>
      <c r="F7624" s="5" t="s">
        <v>147</v>
      </c>
      <c r="G7624" s="6" t="str">
        <f>VLOOKUP(E7624,dicionario!$A$1:$C8023,2,0)</f>
        <v>Euphorbia hirta</v>
      </c>
      <c r="H7624" s="6" t="str">
        <f>VLOOKUP(E7624,dicionario!$A$1:$C8023,3,0)</f>
        <v>erva-de-santa-luzia</v>
      </c>
    </row>
    <row r="7625">
      <c r="A7625" s="3">
        <v>45736.0</v>
      </c>
      <c r="B7625" s="4">
        <v>0.3020833333333333</v>
      </c>
      <c r="C7625" s="5" t="s">
        <v>64</v>
      </c>
      <c r="D7625" s="5" t="s">
        <v>1250</v>
      </c>
      <c r="E7625" s="6" t="s">
        <v>253</v>
      </c>
      <c r="F7625" s="5" t="s">
        <v>254</v>
      </c>
      <c r="G7625" s="6" t="str">
        <f>VLOOKUP(E7625,dicionario!$A$1:$C8024,2,0)</f>
        <v>Panicum maximum</v>
      </c>
      <c r="H7625" s="6" t="str">
        <f>VLOOKUP(E7625,dicionario!$A$1:$C8024,3,0)</f>
        <v>capim-colonião</v>
      </c>
    </row>
    <row r="7626">
      <c r="A7626" s="3">
        <v>45736.0</v>
      </c>
      <c r="B7626" s="4">
        <v>0.3020833333333333</v>
      </c>
      <c r="C7626" s="5" t="s">
        <v>64</v>
      </c>
      <c r="D7626" s="5" t="s">
        <v>1250</v>
      </c>
      <c r="E7626" s="6" t="s">
        <v>141</v>
      </c>
      <c r="F7626" s="5" t="s">
        <v>142</v>
      </c>
      <c r="G7626" s="6" t="str">
        <f>VLOOKUP(E7626,dicionario!$A$1:$C8025,2,0)</f>
        <v>Ruellia blechum</v>
      </c>
      <c r="H7626" s="6" t="str">
        <f>VLOOKUP(E7626,dicionario!$A$1:$C8025,3,0)</f>
        <v>camarão-verde</v>
      </c>
    </row>
    <row r="7627">
      <c r="A7627" s="3">
        <v>45736.0</v>
      </c>
      <c r="B7627" s="4">
        <v>0.3020833333333333</v>
      </c>
      <c r="C7627" s="5" t="s">
        <v>64</v>
      </c>
      <c r="D7627" s="5" t="s">
        <v>1250</v>
      </c>
      <c r="E7627" s="6" t="s">
        <v>150</v>
      </c>
      <c r="F7627" s="5" t="s">
        <v>151</v>
      </c>
      <c r="G7627" s="6" t="str">
        <f>VLOOKUP(E7627,dicionario!$A$1:$C8026,2,0)</f>
        <v>Amaranthus viridis</v>
      </c>
      <c r="H7627" s="6" t="str">
        <f>VLOOKUP(E7627,dicionario!$A$1:$C8026,3,0)</f>
        <v>caruru-de-mancha</v>
      </c>
    </row>
    <row r="7628">
      <c r="A7628" s="3">
        <v>45736.0</v>
      </c>
      <c r="B7628" s="4">
        <v>0.3020833333333333</v>
      </c>
      <c r="C7628" s="5" t="s">
        <v>64</v>
      </c>
      <c r="D7628" s="5" t="s">
        <v>1250</v>
      </c>
      <c r="E7628" s="6" t="s">
        <v>171</v>
      </c>
      <c r="F7628" s="5" t="s">
        <v>172</v>
      </c>
      <c r="G7628" s="6" t="str">
        <f>VLOOKUP(E7628,dicionario!$A$1:$C8027,2,0)</f>
        <v>Oxalis corniculata</v>
      </c>
      <c r="H7628" s="6" t="str">
        <f>VLOOKUP(E7628,dicionario!$A$1:$C8027,3,0)</f>
        <v>trevo-azedinho</v>
      </c>
    </row>
    <row r="7629">
      <c r="A7629" s="3">
        <v>45736.0</v>
      </c>
      <c r="B7629" s="4">
        <v>0.3020833333333333</v>
      </c>
      <c r="C7629" s="5" t="s">
        <v>64</v>
      </c>
      <c r="D7629" s="5" t="s">
        <v>1250</v>
      </c>
      <c r="E7629" s="6" t="s">
        <v>613</v>
      </c>
      <c r="F7629" s="5" t="s">
        <v>614</v>
      </c>
      <c r="G7629" s="6" t="str">
        <f>VLOOKUP(E7629,dicionario!$A$1:$C8028,2,0)</f>
        <v>Euphorbia hyssopifolia</v>
      </c>
      <c r="H7629" s="6" t="str">
        <f>VLOOKUP(E7629,dicionario!$A$1:$C8028,3,0)</f>
        <v>maria-leite</v>
      </c>
    </row>
    <row r="7630">
      <c r="A7630" s="3">
        <v>45736.0</v>
      </c>
      <c r="B7630" s="4">
        <v>0.30277777777777776</v>
      </c>
      <c r="C7630" s="5" t="s">
        <v>64</v>
      </c>
      <c r="D7630" s="5" t="s">
        <v>1250</v>
      </c>
      <c r="E7630" s="6" t="s">
        <v>353</v>
      </c>
      <c r="F7630" s="5" t="s">
        <v>354</v>
      </c>
      <c r="G7630" s="6" t="str">
        <f>VLOOKUP(E7630,dicionario!$A$1:$C8029,2,0)</f>
        <v>Desmodium incanum</v>
      </c>
      <c r="H7630" s="6" t="str">
        <f>VLOOKUP(E7630,dicionario!$A$1:$C8029,3,0)</f>
        <v>pega-pega</v>
      </c>
    </row>
    <row r="7631">
      <c r="A7631" s="3">
        <v>45736.0</v>
      </c>
      <c r="B7631" s="4">
        <v>0.30277777777777776</v>
      </c>
      <c r="C7631" s="5" t="s">
        <v>64</v>
      </c>
      <c r="D7631" s="5" t="s">
        <v>1250</v>
      </c>
      <c r="E7631" s="8" t="s">
        <v>262</v>
      </c>
      <c r="F7631" s="5" t="s">
        <v>1256</v>
      </c>
      <c r="G7631" s="6" t="str">
        <f>VLOOKUP(E7631,dicionario!$A$1:$C8030,2,0)</f>
        <v>Portulaca oleracea</v>
      </c>
      <c r="H7631" s="6" t="str">
        <f>VLOOKUP(E7631,dicionario!$A$1:$C8030,3,0)</f>
        <v>beldroega</v>
      </c>
    </row>
    <row r="7632">
      <c r="A7632" s="3">
        <v>45736.0</v>
      </c>
      <c r="B7632" s="4">
        <v>0.30277777777777776</v>
      </c>
      <c r="C7632" s="5" t="s">
        <v>64</v>
      </c>
      <c r="D7632" s="5" t="s">
        <v>1250</v>
      </c>
      <c r="E7632" s="8" t="s">
        <v>483</v>
      </c>
      <c r="F7632" s="5" t="s">
        <v>484</v>
      </c>
      <c r="G7632" s="6" t="str">
        <f>VLOOKUP(E7632,dicionario!$A$1:$C8031,2,0)</f>
        <v>Euphorbia prostrata</v>
      </c>
      <c r="H7632" s="6" t="str">
        <f>VLOOKUP(E7632,dicionario!$A$1:$C8031,3,0)</f>
        <v>quebra-pedra-rasteira</v>
      </c>
    </row>
    <row r="7633">
      <c r="A7633" s="3">
        <v>45736.0</v>
      </c>
      <c r="B7633" s="4">
        <v>0.30277777777777776</v>
      </c>
      <c r="C7633" s="5" t="s">
        <v>64</v>
      </c>
      <c r="D7633" s="5" t="s">
        <v>1250</v>
      </c>
      <c r="E7633" s="8" t="s">
        <v>38</v>
      </c>
      <c r="F7633" s="5" t="s">
        <v>1251</v>
      </c>
      <c r="G7633" s="6" t="str">
        <f>VLOOKUP(E7633,dicionario!$A$1:$C8032,2,0)</f>
        <v>Troglodytes musculus</v>
      </c>
      <c r="H7633" s="6" t="str">
        <f>VLOOKUP(E7633,dicionario!$A$1:$C8032,3,0)</f>
        <v>curruíra</v>
      </c>
    </row>
    <row r="7634">
      <c r="A7634" s="3">
        <v>45736.0</v>
      </c>
      <c r="B7634" s="4">
        <v>0.30277777777777776</v>
      </c>
      <c r="C7634" s="5" t="s">
        <v>64</v>
      </c>
      <c r="D7634" s="5" t="s">
        <v>1250</v>
      </c>
      <c r="E7634" s="8" t="s">
        <v>296</v>
      </c>
      <c r="F7634" s="5" t="s">
        <v>297</v>
      </c>
      <c r="G7634" s="6" t="str">
        <f>VLOOKUP(E7634,dicionario!$A$1:$C8033,2,0)</f>
        <v>Richardia brasiliensis</v>
      </c>
      <c r="H7634" s="6" t="str">
        <f>VLOOKUP(E7634,dicionario!$A$1:$C8033,3,0)</f>
        <v>poaia-branca</v>
      </c>
    </row>
    <row r="7635">
      <c r="A7635" s="3">
        <v>45736.0</v>
      </c>
      <c r="B7635" s="4">
        <v>0.30277777777777776</v>
      </c>
      <c r="C7635" s="5" t="s">
        <v>64</v>
      </c>
      <c r="D7635" s="5" t="s">
        <v>1250</v>
      </c>
      <c r="E7635" s="6" t="s">
        <v>682</v>
      </c>
      <c r="F7635" s="5" t="s">
        <v>683</v>
      </c>
      <c r="G7635" s="6" t="str">
        <f>VLOOKUP(E7635,dicionario!$A$1:$C8034,2,0)</f>
        <v>Lagria villosa</v>
      </c>
      <c r="H7635" s="6" t="str">
        <f>VLOOKUP(E7635,dicionario!$A$1:$C8034,3,0)</f>
        <v>bicho-capixaba</v>
      </c>
    </row>
    <row r="7636">
      <c r="A7636" s="3">
        <v>45736.0</v>
      </c>
      <c r="B7636" s="4">
        <v>0.30277777777777776</v>
      </c>
      <c r="C7636" s="5" t="s">
        <v>64</v>
      </c>
      <c r="D7636" s="5" t="s">
        <v>1250</v>
      </c>
      <c r="E7636" s="6" t="s">
        <v>288</v>
      </c>
      <c r="F7636" s="5" t="s">
        <v>289</v>
      </c>
      <c r="G7636" s="6" t="str">
        <f>VLOOKUP(E7636,dicionario!$A$1:$C8035,2,0)</f>
        <v>Phyllanthus tenellus</v>
      </c>
      <c r="H7636" s="6" t="str">
        <f>VLOOKUP(E7636,dicionario!$A$1:$C8035,3,0)</f>
        <v>quebra-pedra</v>
      </c>
    </row>
    <row r="7637">
      <c r="A7637" s="3">
        <v>45736.0</v>
      </c>
      <c r="B7637" s="4">
        <v>0.3034722222222222</v>
      </c>
      <c r="C7637" s="5" t="s">
        <v>64</v>
      </c>
      <c r="D7637" s="5" t="s">
        <v>1250</v>
      </c>
      <c r="E7637" s="8" t="s">
        <v>69</v>
      </c>
      <c r="F7637" s="5" t="s">
        <v>1246</v>
      </c>
      <c r="G7637" s="6" t="str">
        <f>VLOOKUP(E7637,dicionario!$A$1:$C8036,2,0)</f>
        <v>Talinum fruticosum</v>
      </c>
      <c r="H7637" s="6" t="str">
        <f>VLOOKUP(E7637,dicionario!$A$1:$C8036,3,0)</f>
        <v>beldroega-grande</v>
      </c>
    </row>
    <row r="7638">
      <c r="A7638" s="3">
        <v>45736.0</v>
      </c>
      <c r="B7638" s="4">
        <v>0.3034722222222222</v>
      </c>
      <c r="C7638" s="5" t="s">
        <v>64</v>
      </c>
      <c r="D7638" s="5" t="s">
        <v>1250</v>
      </c>
      <c r="E7638" s="8" t="s">
        <v>1262</v>
      </c>
      <c r="F7638" s="5" t="s">
        <v>1263</v>
      </c>
      <c r="G7638" s="6" t="str">
        <f>VLOOKUP(E7638,dicionario!$A$1:$C8037,2,0)</f>
        <v>#N/A</v>
      </c>
      <c r="H7638" s="6" t="str">
        <f>VLOOKUP(E7638,dicionario!$A$1:$C8037,3,0)</f>
        <v>#N/A</v>
      </c>
    </row>
    <row r="7639">
      <c r="A7639" s="3">
        <v>45736.0</v>
      </c>
      <c r="B7639" s="4">
        <v>0.3034722222222222</v>
      </c>
      <c r="C7639" s="5" t="s">
        <v>64</v>
      </c>
      <c r="D7639" s="5" t="s">
        <v>1250</v>
      </c>
      <c r="E7639" s="6" t="s">
        <v>57</v>
      </c>
      <c r="F7639" s="5" t="s">
        <v>931</v>
      </c>
      <c r="G7639" s="6" t="str">
        <f>VLOOKUP(E7639,dicionario!$A$1:$C8038,2,0)</f>
        <v>Juliformia</v>
      </c>
      <c r="H7639" s="6" t="str">
        <f>VLOOKUP(E7639,dicionario!$A$1:$C8038,3,0)</f>
        <v>gongolo; maria-café</v>
      </c>
    </row>
    <row r="7640">
      <c r="A7640" s="3">
        <v>45736.0</v>
      </c>
      <c r="B7640" s="4">
        <v>0.3034722222222222</v>
      </c>
      <c r="C7640" s="5" t="s">
        <v>64</v>
      </c>
      <c r="D7640" s="5" t="s">
        <v>1250</v>
      </c>
      <c r="E7640" s="6" t="s">
        <v>503</v>
      </c>
      <c r="F7640" s="5" t="s">
        <v>414</v>
      </c>
      <c r="G7640" s="6" t="str">
        <f>VLOOKUP(E7640,dicionario!$A$1:$C8039,2,0)</f>
        <v>Orphulella punctata</v>
      </c>
      <c r="H7640" s="6" t="str">
        <f>VLOOKUP(E7640,dicionario!$A$1:$C8039,3,0)</f>
        <v>gafanhotinho</v>
      </c>
    </row>
    <row r="7641">
      <c r="A7641" s="3">
        <v>45736.0</v>
      </c>
      <c r="B7641" s="4">
        <v>0.3034722222222222</v>
      </c>
      <c r="C7641" s="5" t="s">
        <v>64</v>
      </c>
      <c r="D7641" s="5" t="s">
        <v>1250</v>
      </c>
      <c r="E7641" s="8" t="s">
        <v>118</v>
      </c>
      <c r="F7641" s="5" t="s">
        <v>119</v>
      </c>
      <c r="G7641" s="6" t="str">
        <f>VLOOKUP(E7641,dicionario!$A$1:$C8040,2,0)</f>
        <v>Agaricus</v>
      </c>
      <c r="H7641" s="6" t="str">
        <f>VLOOKUP(E7641,dicionario!$A$1:$C8040,3,0)</f>
        <v>cogumelo</v>
      </c>
    </row>
    <row r="7642">
      <c r="A7642" s="3">
        <v>45736.0</v>
      </c>
      <c r="B7642" s="4">
        <v>0.30416666666666664</v>
      </c>
      <c r="C7642" s="5" t="s">
        <v>64</v>
      </c>
      <c r="D7642" s="5" t="s">
        <v>1250</v>
      </c>
      <c r="E7642" s="8" t="s">
        <v>514</v>
      </c>
      <c r="F7642" s="5" t="s">
        <v>1264</v>
      </c>
      <c r="G7642" s="6" t="str">
        <f>VLOOKUP(E7642,dicionario!$A$1:$C8041,2,0)</f>
        <v>Aedes aegypti</v>
      </c>
      <c r="H7642" s="6" t="str">
        <f>VLOOKUP(E7642,dicionario!$A$1:$C8041,3,0)</f>
        <v>mosquito-da-dengue</v>
      </c>
    </row>
    <row r="7643">
      <c r="A7643" s="3">
        <v>45736.0</v>
      </c>
      <c r="B7643" s="4">
        <v>0.30416666666666664</v>
      </c>
      <c r="C7643" s="5" t="s">
        <v>64</v>
      </c>
      <c r="D7643" s="5" t="s">
        <v>1250</v>
      </c>
      <c r="E7643" s="8" t="s">
        <v>258</v>
      </c>
      <c r="F7643" s="5" t="s">
        <v>259</v>
      </c>
      <c r="G7643" s="6" t="str">
        <f>VLOOKUP(E7643,dicionario!$A$1:$C8042,2,0)</f>
        <v>Lantana camara</v>
      </c>
      <c r="H7643" s="6" t="str">
        <f>VLOOKUP(E7643,dicionario!$A$1:$C8042,3,0)</f>
        <v>lantana</v>
      </c>
    </row>
    <row r="7644">
      <c r="A7644" s="3">
        <v>45736.0</v>
      </c>
      <c r="B7644" s="4">
        <v>0.30416666666666664</v>
      </c>
      <c r="C7644" s="5" t="s">
        <v>64</v>
      </c>
      <c r="D7644" s="5" t="s">
        <v>1250</v>
      </c>
      <c r="E7644" s="8" t="s">
        <v>298</v>
      </c>
      <c r="F7644" s="7"/>
      <c r="G7644" s="6" t="str">
        <f>VLOOKUP(E7644,dicionario!$A$1:$C8043,2,0)</f>
        <v>Alysicarpus vaginalis</v>
      </c>
      <c r="H7644" s="6" t="str">
        <f>VLOOKUP(E7644,dicionario!$A$1:$C8043,3,0)</f>
        <v/>
      </c>
    </row>
    <row r="7645">
      <c r="A7645" s="3">
        <v>45736.0</v>
      </c>
      <c r="B7645" s="4">
        <v>0.30416666666666664</v>
      </c>
      <c r="C7645" s="5" t="s">
        <v>64</v>
      </c>
      <c r="D7645" s="5" t="s">
        <v>1250</v>
      </c>
      <c r="E7645" s="8" t="s">
        <v>891</v>
      </c>
      <c r="F7645" s="5" t="s">
        <v>892</v>
      </c>
      <c r="G7645" s="6" t="str">
        <f>VLOOKUP(E7645,dicionario!$A$1:$C8044,2,0)</f>
        <v>Cymaenes tripunctus</v>
      </c>
      <c r="H7645" s="6" t="str">
        <f>VLOOKUP(E7645,dicionario!$A$1:$C8044,3,0)</f>
        <v>borboleta-de-três-pintas</v>
      </c>
    </row>
    <row r="7646">
      <c r="A7646" s="3">
        <v>45736.0</v>
      </c>
      <c r="B7646" s="4">
        <v>0.30416666666666664</v>
      </c>
      <c r="C7646" s="5" t="s">
        <v>64</v>
      </c>
      <c r="D7646" s="5" t="s">
        <v>1250</v>
      </c>
      <c r="E7646" s="8" t="s">
        <v>935</v>
      </c>
      <c r="F7646" s="5" t="s">
        <v>936</v>
      </c>
      <c r="G7646" s="6" t="str">
        <f>VLOOKUP(E7646,dicionario!$A$1:$C8045,2,0)</f>
        <v>#N/A</v>
      </c>
      <c r="H7646" s="6" t="str">
        <f>VLOOKUP(E7646,dicionario!$A$1:$C8045,3,0)</f>
        <v>#N/A</v>
      </c>
    </row>
    <row r="7647">
      <c r="A7647" s="3">
        <v>45736.0</v>
      </c>
      <c r="B7647" s="4">
        <v>0.3055555555555556</v>
      </c>
      <c r="C7647" s="5" t="s">
        <v>64</v>
      </c>
      <c r="D7647" s="5" t="s">
        <v>1250</v>
      </c>
      <c r="E7647" s="8" t="s">
        <v>1237</v>
      </c>
      <c r="F7647" s="5" t="s">
        <v>1236</v>
      </c>
      <c r="G7647" s="6" t="str">
        <f>VLOOKUP(E7647,dicionario!$A$1:$C8046,2,0)</f>
        <v>#N/A</v>
      </c>
      <c r="H7647" s="6" t="str">
        <f>VLOOKUP(E7647,dicionario!$A$1:$C8046,3,0)</f>
        <v>#N/A</v>
      </c>
    </row>
    <row r="7648">
      <c r="A7648" s="3">
        <v>45736.0</v>
      </c>
      <c r="B7648" s="4">
        <v>0.3055555555555556</v>
      </c>
      <c r="C7648" s="5" t="s">
        <v>64</v>
      </c>
      <c r="D7648" s="5" t="s">
        <v>1250</v>
      </c>
      <c r="E7648" s="6" t="s">
        <v>247</v>
      </c>
      <c r="F7648" s="5" t="s">
        <v>387</v>
      </c>
      <c r="G7648" s="6" t="str">
        <f>VLOOKUP(E7648,dicionario!$A$1:$C8047,2,0)</f>
        <v>Emilia sonchifolia</v>
      </c>
      <c r="H7648" s="6" t="str">
        <f>VLOOKUP(E7648,dicionario!$A$1:$C8047,3,0)</f>
        <v>serralinha</v>
      </c>
    </row>
    <row r="7649">
      <c r="A7649" s="3">
        <v>45736.0</v>
      </c>
      <c r="B7649" s="4">
        <v>0.30625</v>
      </c>
      <c r="C7649" s="5" t="s">
        <v>64</v>
      </c>
      <c r="D7649" s="5" t="s">
        <v>1250</v>
      </c>
      <c r="E7649" s="8" t="s">
        <v>65</v>
      </c>
      <c r="F7649" s="5" t="s">
        <v>66</v>
      </c>
      <c r="G7649" s="6" t="str">
        <f>VLOOKUP(E7649,dicionario!$A$1:$C8048,2,0)</f>
        <v>Pitangus sulphutarus</v>
      </c>
      <c r="H7649" s="6" t="str">
        <f>VLOOKUP(E7649,dicionario!$A$1:$C8048,3,0)</f>
        <v>bem-te-vi</v>
      </c>
    </row>
    <row r="7650">
      <c r="A7650" s="3">
        <v>45736.0</v>
      </c>
      <c r="B7650" s="4">
        <v>0.30625</v>
      </c>
      <c r="C7650" s="5" t="s">
        <v>64</v>
      </c>
      <c r="D7650" s="5" t="s">
        <v>1250</v>
      </c>
      <c r="E7650" s="6" t="s">
        <v>43</v>
      </c>
      <c r="F7650" s="5" t="s">
        <v>44</v>
      </c>
      <c r="G7650" s="6" t="str">
        <f>VLOOKUP(E7650,dicionario!$A$1:$C8049,2,0)</f>
        <v>Columba livia</v>
      </c>
      <c r="H7650" s="6" t="str">
        <f>VLOOKUP(E7650,dicionario!$A$1:$C8049,3,0)</f>
        <v>pombo-doméstico</v>
      </c>
    </row>
    <row r="7651">
      <c r="A7651" s="3">
        <v>45736.0</v>
      </c>
      <c r="B7651" s="4">
        <v>0.30625</v>
      </c>
      <c r="C7651" s="5" t="s">
        <v>64</v>
      </c>
      <c r="D7651" s="5" t="s">
        <v>1250</v>
      </c>
      <c r="E7651" s="6" t="s">
        <v>86</v>
      </c>
      <c r="F7651" s="5" t="s">
        <v>502</v>
      </c>
      <c r="G7651" s="6" t="str">
        <f>VLOOKUP(E7651,dicionario!$A$1:$C8050,2,0)</f>
        <v>Coereba flaveola</v>
      </c>
      <c r="H7651" s="6" t="str">
        <f>VLOOKUP(E7651,dicionario!$A$1:$C8050,3,0)</f>
        <v>cambacica</v>
      </c>
    </row>
    <row r="7652">
      <c r="A7652" s="3">
        <v>45736.0</v>
      </c>
      <c r="B7652" s="4">
        <v>0.30625</v>
      </c>
      <c r="C7652" s="5" t="s">
        <v>64</v>
      </c>
      <c r="D7652" s="5" t="s">
        <v>1250</v>
      </c>
      <c r="E7652" s="8" t="s">
        <v>239</v>
      </c>
      <c r="F7652" s="5" t="s">
        <v>240</v>
      </c>
      <c r="G7652" s="6" t="str">
        <f>VLOOKUP(E7652,dicionario!$A$1:$C8051,2,0)</f>
        <v>Gomphrena celosioides</v>
      </c>
      <c r="H7652" s="6" t="str">
        <f>VLOOKUP(E7652,dicionario!$A$1:$C8051,3,0)</f>
        <v>perpétua-branca</v>
      </c>
    </row>
    <row r="7653">
      <c r="A7653" s="3">
        <v>45736.0</v>
      </c>
      <c r="B7653" s="4">
        <v>0.30625</v>
      </c>
      <c r="C7653" s="5" t="s">
        <v>64</v>
      </c>
      <c r="D7653" s="5" t="s">
        <v>1250</v>
      </c>
      <c r="E7653" s="6" t="s">
        <v>251</v>
      </c>
      <c r="F7653" s="5" t="s">
        <v>252</v>
      </c>
      <c r="G7653" s="6" t="str">
        <f>VLOOKUP(E7653,dicionario!$A$1:$C8052,2,0)</f>
        <v>Struthanthus flexicaulis</v>
      </c>
      <c r="H7653" s="6" t="str">
        <f>VLOOKUP(E7653,dicionario!$A$1:$C8052,3,0)</f>
        <v>erva-de-passarinho</v>
      </c>
    </row>
    <row r="7654">
      <c r="A7654" s="3">
        <v>45736.0</v>
      </c>
      <c r="B7654" s="4">
        <v>0.30694444444444446</v>
      </c>
      <c r="C7654" s="5" t="s">
        <v>64</v>
      </c>
      <c r="D7654" s="5" t="s">
        <v>1250</v>
      </c>
      <c r="E7654" s="12" t="s">
        <v>111</v>
      </c>
      <c r="F7654" s="7" t="s">
        <v>112</v>
      </c>
      <c r="G7654" s="6" t="str">
        <f>VLOOKUP(E7654,dicionario!$A$1:$C8053,2,0)</f>
        <v>Trigona spinipes</v>
      </c>
      <c r="H7654" s="6" t="str">
        <f>VLOOKUP(E7654,dicionario!$A$1:$C8053,3,0)</f>
        <v>abelha-cachorro</v>
      </c>
    </row>
    <row r="7655">
      <c r="A7655" s="3">
        <v>45736.0</v>
      </c>
      <c r="B7655" s="4">
        <v>0.30694444444444446</v>
      </c>
      <c r="C7655" s="5" t="s">
        <v>64</v>
      </c>
      <c r="D7655" s="5" t="s">
        <v>1250</v>
      </c>
      <c r="E7655" s="8" t="s">
        <v>122</v>
      </c>
      <c r="F7655" s="5" t="s">
        <v>123</v>
      </c>
      <c r="G7655" s="6" t="str">
        <f>VLOOKUP(E7655,dicionario!$A$1:$C8054,2,0)</f>
        <v>Todirostrum cinereum</v>
      </c>
      <c r="H7655" s="6" t="str">
        <f>VLOOKUP(E7655,dicionario!$A$1:$C8054,3,0)</f>
        <v>ferreirinho-relógio</v>
      </c>
    </row>
    <row r="7656">
      <c r="A7656" s="3">
        <v>45736.0</v>
      </c>
      <c r="B7656" s="4">
        <v>0.30694444444444446</v>
      </c>
      <c r="C7656" s="5" t="s">
        <v>64</v>
      </c>
      <c r="D7656" s="5" t="s">
        <v>1250</v>
      </c>
      <c r="E7656" s="8" t="s">
        <v>193</v>
      </c>
      <c r="F7656" s="5" t="s">
        <v>194</v>
      </c>
      <c r="G7656" s="6" t="str">
        <f>VLOOKUP(E7656,dicionario!$A$1:$C8055,2,0)</f>
        <v>Conirostrum speciosum</v>
      </c>
      <c r="H7656" s="6" t="str">
        <f>VLOOKUP(E7656,dicionario!$A$1:$C8055,3,0)</f>
        <v>figuinha-de-rabo-castanho</v>
      </c>
    </row>
    <row r="7657">
      <c r="A7657" s="3">
        <v>45736.0</v>
      </c>
      <c r="B7657" s="4">
        <v>0.30694444444444446</v>
      </c>
      <c r="C7657" s="5" t="s">
        <v>64</v>
      </c>
      <c r="D7657" s="5" t="s">
        <v>1250</v>
      </c>
      <c r="E7657" s="8" t="s">
        <v>1265</v>
      </c>
      <c r="F7657" s="5" t="s">
        <v>1266</v>
      </c>
      <c r="G7657" s="6" t="str">
        <f>VLOOKUP(E7657,dicionario!$A$1:$C8056,2,0)</f>
        <v>#N/A</v>
      </c>
      <c r="H7657" s="6" t="str">
        <f>VLOOKUP(E7657,dicionario!$A$1:$C8056,3,0)</f>
        <v>#N/A</v>
      </c>
    </row>
    <row r="7658">
      <c r="A7658" s="3">
        <v>45736.0</v>
      </c>
      <c r="B7658" s="4">
        <v>0.3076388888888889</v>
      </c>
      <c r="C7658" s="5" t="s">
        <v>64</v>
      </c>
      <c r="D7658" s="5" t="s">
        <v>1250</v>
      </c>
      <c r="E7658" s="8" t="s">
        <v>109</v>
      </c>
      <c r="F7658" s="5" t="s">
        <v>110</v>
      </c>
      <c r="G7658" s="6" t="str">
        <f>VLOOKUP(E7658,dicionario!$A$1:$C8057,2,0)</f>
        <v>Tillandsia stricta</v>
      </c>
      <c r="H7658" s="6" t="str">
        <f>VLOOKUP(E7658,dicionario!$A$1:$C8057,3,0)</f>
        <v>cravo-do-mato</v>
      </c>
    </row>
    <row r="7659">
      <c r="A7659" s="3">
        <v>45736.0</v>
      </c>
      <c r="B7659" s="4">
        <v>0.3076388888888889</v>
      </c>
      <c r="C7659" s="5" t="s">
        <v>64</v>
      </c>
      <c r="D7659" s="5" t="s">
        <v>1250</v>
      </c>
      <c r="E7659" s="8" t="s">
        <v>181</v>
      </c>
      <c r="F7659" s="5" t="s">
        <v>182</v>
      </c>
      <c r="G7659" s="6" t="str">
        <f>VLOOKUP(E7659,dicionario!$A$1:$C8058,2,0)</f>
        <v>#N/A</v>
      </c>
      <c r="H7659" s="6" t="str">
        <f>VLOOKUP(E7659,dicionario!$A$1:$C8058,3,0)</f>
        <v>#N/A</v>
      </c>
    </row>
    <row r="7660">
      <c r="A7660" s="3">
        <v>45736.0</v>
      </c>
      <c r="B7660" s="4">
        <v>0.3076388888888889</v>
      </c>
      <c r="C7660" s="5" t="s">
        <v>64</v>
      </c>
      <c r="D7660" s="5" t="s">
        <v>1250</v>
      </c>
      <c r="E7660" s="8" t="s">
        <v>113</v>
      </c>
      <c r="F7660" s="5" t="s">
        <v>114</v>
      </c>
      <c r="G7660" s="6" t="str">
        <f>VLOOKUP(E7660,dicionario!$A$1:$C8059,2,0)</f>
        <v>Columbina talpacoti</v>
      </c>
      <c r="H7660" s="6" t="str">
        <f>VLOOKUP(E7660,dicionario!$A$1:$C8059,3,0)</f>
        <v>rolinha-roxa</v>
      </c>
    </row>
    <row r="7661">
      <c r="A7661" s="3">
        <v>45736.0</v>
      </c>
      <c r="B7661" s="4">
        <v>0.30833333333333335</v>
      </c>
      <c r="C7661" s="5" t="s">
        <v>64</v>
      </c>
      <c r="D7661" s="5" t="s">
        <v>1250</v>
      </c>
      <c r="E7661" s="8" t="s">
        <v>177</v>
      </c>
      <c r="F7661" s="5" t="s">
        <v>607</v>
      </c>
      <c r="G7661" s="6" t="str">
        <f>VLOOKUP(E7661,dicionario!$A$1:$C8060,2,0)</f>
        <v>Elaenia flavogaster</v>
      </c>
      <c r="H7661" s="6" t="str">
        <f>VLOOKUP(E7661,dicionario!$A$1:$C8060,3,0)</f>
        <v>guaracava-de-barriga-amarela</v>
      </c>
    </row>
    <row r="7662">
      <c r="A7662" s="3">
        <v>45736.0</v>
      </c>
      <c r="B7662" s="4">
        <v>0.30833333333333335</v>
      </c>
      <c r="C7662" s="5" t="s">
        <v>64</v>
      </c>
      <c r="D7662" s="5" t="s">
        <v>1250</v>
      </c>
      <c r="E7662" s="6" t="s">
        <v>72</v>
      </c>
      <c r="F7662" s="5" t="s">
        <v>73</v>
      </c>
      <c r="G7662" s="6" t="str">
        <f>VLOOKUP(E7662,dicionario!$A$1:$C8061,2,0)</f>
        <v>Thraupis palmarum</v>
      </c>
      <c r="H7662" s="6" t="str">
        <f>VLOOKUP(E7662,dicionario!$A$1:$C8061,3,0)</f>
        <v>sanhaço-do-coqueiro</v>
      </c>
    </row>
    <row r="7663">
      <c r="A7663" s="3">
        <v>45736.0</v>
      </c>
      <c r="B7663" s="4">
        <v>0.3090277777777778</v>
      </c>
      <c r="C7663" s="5" t="s">
        <v>64</v>
      </c>
      <c r="D7663" s="5" t="s">
        <v>1250</v>
      </c>
      <c r="E7663" s="8" t="s">
        <v>126</v>
      </c>
      <c r="F7663" s="5" t="s">
        <v>1267</v>
      </c>
      <c r="G7663" s="6" t="str">
        <f>VLOOKUP(E7663,dicionario!$A$1:$C8062,2,0)</f>
        <v>Bryophyta</v>
      </c>
      <c r="H7663" s="6" t="str">
        <f>VLOOKUP(E7663,dicionario!$A$1:$C8062,3,0)</f>
        <v>musgo</v>
      </c>
    </row>
    <row r="7664">
      <c r="A7664" s="3">
        <v>45736.0</v>
      </c>
      <c r="B7664" s="4">
        <v>0.3090277777777778</v>
      </c>
      <c r="C7664" s="5" t="s">
        <v>64</v>
      </c>
      <c r="D7664" s="5" t="s">
        <v>1250</v>
      </c>
      <c r="E7664" s="8" t="s">
        <v>712</v>
      </c>
      <c r="F7664" s="5" t="s">
        <v>718</v>
      </c>
      <c r="G7664" s="6" t="str">
        <f>VLOOKUP(E7664,dicionario!$A$1:$C8063,2,0)</f>
        <v>Flavopunctelia soredica</v>
      </c>
      <c r="H7664" s="6" t="str">
        <f>VLOOKUP(E7664,dicionario!$A$1:$C8063,3,0)</f>
        <v>líquen-folioso</v>
      </c>
    </row>
    <row r="7665">
      <c r="A7665" s="3">
        <v>45736.0</v>
      </c>
      <c r="B7665" s="4">
        <v>0.3090277777777778</v>
      </c>
      <c r="C7665" s="5" t="s">
        <v>64</v>
      </c>
      <c r="D7665" s="5" t="s">
        <v>1250</v>
      </c>
      <c r="E7665" s="8" t="s">
        <v>53</v>
      </c>
      <c r="F7665" s="5" t="s">
        <v>54</v>
      </c>
      <c r="G7665" s="6" t="str">
        <f>VLOOKUP(E7665,dicionario!$A$1:$C8064,2,0)</f>
        <v>Turnera subulata</v>
      </c>
      <c r="H7665" s="6" t="str">
        <f>VLOOKUP(E7665,dicionario!$A$1:$C8064,3,0)</f>
        <v>xanana</v>
      </c>
    </row>
    <row r="7666">
      <c r="A7666" s="3">
        <v>45736.0</v>
      </c>
      <c r="B7666" s="4">
        <v>0.30972222222222223</v>
      </c>
      <c r="C7666" s="5" t="s">
        <v>59</v>
      </c>
      <c r="D7666" s="5" t="s">
        <v>1250</v>
      </c>
      <c r="E7666" s="6" t="s">
        <v>12</v>
      </c>
      <c r="F7666" s="5" t="s">
        <v>13</v>
      </c>
      <c r="G7666" s="6" t="str">
        <f>VLOOKUP(E7666,dicionario!$A$1:$C8065,2,0)</f>
        <v>Eulaema nigrita</v>
      </c>
      <c r="H7666" s="6" t="str">
        <f>VLOOKUP(E7666,dicionario!$A$1:$C8065,3,0)</f>
        <v>abelha-de-orquídea</v>
      </c>
    </row>
    <row r="7667">
      <c r="A7667" s="3">
        <v>45736.0</v>
      </c>
      <c r="B7667" s="4">
        <v>0.30972222222222223</v>
      </c>
      <c r="C7667" s="5" t="s">
        <v>59</v>
      </c>
      <c r="D7667" s="5" t="s">
        <v>1250</v>
      </c>
      <c r="E7667" s="8" t="s">
        <v>909</v>
      </c>
      <c r="F7667" s="5" t="s">
        <v>910</v>
      </c>
      <c r="G7667" s="6" t="str">
        <f>VLOOKUP(E7667,dicionario!$A$1:$C8066,2,0)</f>
        <v>Chordeiles acutipennis</v>
      </c>
      <c r="H7667" s="6" t="str">
        <f>VLOOKUP(E7667,dicionario!$A$1:$C8066,3,0)</f>
        <v>bacurau-de-asa-fina</v>
      </c>
    </row>
    <row r="7668">
      <c r="A7668" s="3">
        <v>45736.0</v>
      </c>
      <c r="B7668" s="4">
        <v>0.30972222222222223</v>
      </c>
      <c r="C7668" s="5" t="s">
        <v>59</v>
      </c>
      <c r="D7668" s="5" t="s">
        <v>1250</v>
      </c>
      <c r="E7668" s="8" t="s">
        <v>16</v>
      </c>
      <c r="F7668" s="5" t="s">
        <v>17</v>
      </c>
      <c r="G7668" s="6" t="str">
        <f>VLOOKUP(E7668,dicionario!$A$1:$C8067,2,0)</f>
        <v>Eupetomena macroura</v>
      </c>
      <c r="H7668" s="6" t="str">
        <f>VLOOKUP(E7668,dicionario!$A$1:$C8067,3,0)</f>
        <v>beija-flor-tesoura</v>
      </c>
    </row>
    <row r="7669">
      <c r="A7669" s="3">
        <v>45736.0</v>
      </c>
      <c r="B7669" s="4">
        <v>0.30972222222222223</v>
      </c>
      <c r="C7669" s="5" t="s">
        <v>59</v>
      </c>
      <c r="D7669" s="5" t="s">
        <v>1250</v>
      </c>
      <c r="E7669" s="6" t="s">
        <v>288</v>
      </c>
      <c r="F7669" s="5" t="s">
        <v>289</v>
      </c>
      <c r="G7669" s="6" t="str">
        <f>VLOOKUP(E7669,dicionario!$A$1:$C8068,2,0)</f>
        <v>Phyllanthus tenellus</v>
      </c>
      <c r="H7669" s="6" t="str">
        <f>VLOOKUP(E7669,dicionario!$A$1:$C8068,3,0)</f>
        <v>quebra-pedra</v>
      </c>
    </row>
    <row r="7670">
      <c r="A7670" s="3">
        <v>45736.0</v>
      </c>
      <c r="B7670" s="4">
        <v>0.3111111111111111</v>
      </c>
      <c r="C7670" s="5" t="s">
        <v>59</v>
      </c>
      <c r="D7670" s="5" t="s">
        <v>1250</v>
      </c>
      <c r="E7670" s="8" t="s">
        <v>113</v>
      </c>
      <c r="F7670" s="5" t="s">
        <v>114</v>
      </c>
      <c r="G7670" s="6" t="str">
        <f>VLOOKUP(E7670,dicionario!$A$1:$C8069,2,0)</f>
        <v>Columbina talpacoti</v>
      </c>
      <c r="H7670" s="6" t="str">
        <f>VLOOKUP(E7670,dicionario!$A$1:$C8069,3,0)</f>
        <v>rolinha-roxa</v>
      </c>
    </row>
    <row r="7671">
      <c r="A7671" s="3">
        <v>45736.0</v>
      </c>
      <c r="B7671" s="4">
        <v>0.3111111111111111</v>
      </c>
      <c r="C7671" s="5" t="s">
        <v>59</v>
      </c>
      <c r="D7671" s="5" t="s">
        <v>1250</v>
      </c>
      <c r="E7671" s="8" t="s">
        <v>135</v>
      </c>
      <c r="F7671" s="5" t="s">
        <v>136</v>
      </c>
      <c r="G7671" s="6" t="str">
        <f>VLOOKUP(E7671,dicionario!$A$1:$C8070,2,0)</f>
        <v>Tridax procumbens</v>
      </c>
      <c r="H7671" s="6" t="str">
        <f>VLOOKUP(E7671,dicionario!$A$1:$C8070,3,0)</f>
        <v>erva-de-touro</v>
      </c>
    </row>
    <row r="7672">
      <c r="A7672" s="3">
        <v>45736.0</v>
      </c>
      <c r="B7672" s="4">
        <v>0.3111111111111111</v>
      </c>
      <c r="C7672" s="5" t="s">
        <v>59</v>
      </c>
      <c r="D7672" s="5" t="s">
        <v>1250</v>
      </c>
      <c r="E7672" s="8" t="s">
        <v>109</v>
      </c>
      <c r="F7672" s="5" t="s">
        <v>110</v>
      </c>
      <c r="G7672" s="6" t="str">
        <f>VLOOKUP(E7672,dicionario!$A$1:$C8071,2,0)</f>
        <v>Tillandsia stricta</v>
      </c>
      <c r="H7672" s="6" t="str">
        <f>VLOOKUP(E7672,dicionario!$A$1:$C8071,3,0)</f>
        <v>cravo-do-mato</v>
      </c>
    </row>
    <row r="7673">
      <c r="A7673" s="3">
        <v>45736.0</v>
      </c>
      <c r="B7673" s="4">
        <v>0.31180555555555556</v>
      </c>
      <c r="C7673" s="5" t="s">
        <v>59</v>
      </c>
      <c r="D7673" s="5" t="s">
        <v>1250</v>
      </c>
      <c r="E7673" s="6" t="s">
        <v>253</v>
      </c>
      <c r="F7673" s="5" t="s">
        <v>254</v>
      </c>
      <c r="G7673" s="6" t="str">
        <f>VLOOKUP(E7673,dicionario!$A$1:$C8072,2,0)</f>
        <v>Panicum maximum</v>
      </c>
      <c r="H7673" s="6" t="str">
        <f>VLOOKUP(E7673,dicionario!$A$1:$C8072,3,0)</f>
        <v>capim-colonião</v>
      </c>
    </row>
    <row r="7674">
      <c r="A7674" s="3">
        <v>45736.0</v>
      </c>
      <c r="B7674" s="4">
        <v>0.31180555555555556</v>
      </c>
      <c r="C7674" s="5" t="s">
        <v>59</v>
      </c>
      <c r="D7674" s="5" t="s">
        <v>1250</v>
      </c>
      <c r="E7674" s="8" t="s">
        <v>152</v>
      </c>
      <c r="F7674" s="5" t="s">
        <v>153</v>
      </c>
      <c r="G7674" s="6" t="str">
        <f>VLOOKUP(E7674,dicionario!$A$1:$C8073,2,0)</f>
        <v>Cynodon dactylon</v>
      </c>
      <c r="H7674" s="6" t="str">
        <f>VLOOKUP(E7674,dicionario!$A$1:$C8073,3,0)</f>
        <v>grama-bermuda</v>
      </c>
    </row>
    <row r="7675">
      <c r="A7675" s="3">
        <v>45736.0</v>
      </c>
      <c r="B7675" s="4">
        <v>0.3125</v>
      </c>
      <c r="C7675" s="5" t="s">
        <v>59</v>
      </c>
      <c r="D7675" s="5" t="s">
        <v>1250</v>
      </c>
      <c r="E7675" s="8" t="s">
        <v>271</v>
      </c>
      <c r="F7675" s="7" t="s">
        <v>272</v>
      </c>
      <c r="G7675" s="6" t="str">
        <f>VLOOKUP(E7675,dicionario!$A$1:$C8074,2,0)</f>
        <v>Cyanthillium cinereum</v>
      </c>
      <c r="H7675" s="6" t="str">
        <f>VLOOKUP(E7675,dicionario!$A$1:$C8074,3,0)</f>
        <v>emília</v>
      </c>
    </row>
    <row r="7676">
      <c r="A7676" s="3">
        <v>45736.0</v>
      </c>
      <c r="B7676" s="4">
        <v>0.31319444444444444</v>
      </c>
      <c r="C7676" s="5" t="s">
        <v>59</v>
      </c>
      <c r="D7676" s="5" t="s">
        <v>1250</v>
      </c>
      <c r="E7676" s="8" t="s">
        <v>286</v>
      </c>
      <c r="F7676" s="5" t="s">
        <v>287</v>
      </c>
      <c r="G7676" s="6" t="str">
        <f>VLOOKUP(E7676,dicionario!$A$1:$C8075,2,0)</f>
        <v>Setaria parviflora</v>
      </c>
      <c r="H7676" s="6" t="str">
        <f>VLOOKUP(E7676,dicionario!$A$1:$C8075,3,0)</f>
        <v>capim-rabo-de-raposa</v>
      </c>
    </row>
    <row r="7677">
      <c r="A7677" s="3">
        <v>45736.0</v>
      </c>
      <c r="B7677" s="4">
        <v>0.31319444444444444</v>
      </c>
      <c r="C7677" s="5" t="s">
        <v>59</v>
      </c>
      <c r="D7677" s="5" t="s">
        <v>1250</v>
      </c>
      <c r="E7677" s="6" t="s">
        <v>144</v>
      </c>
      <c r="F7677" s="5" t="s">
        <v>145</v>
      </c>
      <c r="G7677" s="6" t="str">
        <f>VLOOKUP(E7677,dicionario!$A$1:$C8076,2,0)</f>
        <v>Gomphrena globosa</v>
      </c>
      <c r="H7677" s="6" t="str">
        <f>VLOOKUP(E7677,dicionario!$A$1:$C8076,3,0)</f>
        <v>perpétua-rosa</v>
      </c>
    </row>
    <row r="7678">
      <c r="A7678" s="3">
        <v>45736.0</v>
      </c>
      <c r="B7678" s="4">
        <v>0.31319444444444444</v>
      </c>
      <c r="C7678" s="5" t="s">
        <v>59</v>
      </c>
      <c r="D7678" s="5" t="s">
        <v>1250</v>
      </c>
      <c r="E7678" s="6" t="s">
        <v>14</v>
      </c>
      <c r="F7678" s="5" t="s">
        <v>15</v>
      </c>
      <c r="G7678" s="6" t="str">
        <f>VLOOKUP(E7678,dicionario!$A$1:$C8077,2,0)</f>
        <v>Spermacoce verticillata</v>
      </c>
      <c r="H7678" s="6" t="str">
        <f>VLOOKUP(E7678,dicionario!$A$1:$C8077,3,0)</f>
        <v>vassourinha-de-botão</v>
      </c>
    </row>
    <row r="7679">
      <c r="A7679" s="3">
        <v>45736.0</v>
      </c>
      <c r="B7679" s="4">
        <v>0.3145833333333333</v>
      </c>
      <c r="C7679" s="5" t="s">
        <v>59</v>
      </c>
      <c r="D7679" s="5" t="s">
        <v>1250</v>
      </c>
      <c r="E7679" s="6" t="s">
        <v>18</v>
      </c>
      <c r="F7679" s="5" t="s">
        <v>219</v>
      </c>
      <c r="G7679" s="6" t="str">
        <f>VLOOKUP(E7679,dicionario!$A$1:$C8078,2,0)</f>
        <v>Xylocopa frontalis</v>
      </c>
      <c r="H7679" s="6" t="str">
        <f>VLOOKUP(E7679,dicionario!$A$1:$C8078,3,0)</f>
        <v>Mamangava; mangangá; abelha-carpinteira</v>
      </c>
    </row>
    <row r="7680">
      <c r="A7680" s="3">
        <v>45736.0</v>
      </c>
      <c r="B7680" s="4">
        <v>0.31527777777777777</v>
      </c>
      <c r="C7680" s="5" t="s">
        <v>59</v>
      </c>
      <c r="D7680" s="5" t="s">
        <v>1250</v>
      </c>
      <c r="E7680" s="8" t="s">
        <v>732</v>
      </c>
      <c r="F7680" s="5" t="s">
        <v>1230</v>
      </c>
      <c r="G7680" s="6" t="str">
        <f>VLOOKUP(E7680,dicionario!$A$1:$C8079,2,0)</f>
        <v>#N/A</v>
      </c>
      <c r="H7680" s="6" t="str">
        <f>VLOOKUP(E7680,dicionario!$A$1:$C8079,3,0)</f>
        <v>#N/A</v>
      </c>
    </row>
    <row r="7681">
      <c r="A7681" s="3">
        <v>45736.0</v>
      </c>
      <c r="B7681" s="4">
        <v>0.31527777777777777</v>
      </c>
      <c r="C7681" s="5" t="s">
        <v>59</v>
      </c>
      <c r="D7681" s="5" t="s">
        <v>1250</v>
      </c>
      <c r="E7681" s="6" t="s">
        <v>146</v>
      </c>
      <c r="F7681" s="5" t="s">
        <v>147</v>
      </c>
      <c r="G7681" s="6" t="str">
        <f>VLOOKUP(E7681,dicionario!$A$1:$C8080,2,0)</f>
        <v>Euphorbia hirta</v>
      </c>
      <c r="H7681" s="6" t="str">
        <f>VLOOKUP(E7681,dicionario!$A$1:$C8080,3,0)</f>
        <v>erva-de-santa-luzia</v>
      </c>
    </row>
    <row r="7682">
      <c r="A7682" s="3">
        <v>45736.0</v>
      </c>
      <c r="B7682" s="4">
        <v>0.31666666666666665</v>
      </c>
      <c r="C7682" s="5" t="s">
        <v>59</v>
      </c>
      <c r="D7682" s="5" t="s">
        <v>1250</v>
      </c>
      <c r="E7682" s="8" t="s">
        <v>53</v>
      </c>
      <c r="F7682" s="5" t="s">
        <v>54</v>
      </c>
      <c r="G7682" s="6" t="str">
        <f>VLOOKUP(E7682,dicionario!$A$1:$C8081,2,0)</f>
        <v>Turnera subulata</v>
      </c>
      <c r="H7682" s="6" t="str">
        <f>VLOOKUP(E7682,dicionario!$A$1:$C8081,3,0)</f>
        <v>xanana</v>
      </c>
    </row>
    <row r="7683">
      <c r="A7683" s="3">
        <v>45736.0</v>
      </c>
      <c r="B7683" s="4">
        <v>0.31666666666666665</v>
      </c>
      <c r="C7683" s="5" t="s">
        <v>59</v>
      </c>
      <c r="D7683" s="5" t="s">
        <v>1250</v>
      </c>
      <c r="E7683" s="8" t="s">
        <v>113</v>
      </c>
      <c r="F7683" s="5" t="s">
        <v>114</v>
      </c>
      <c r="G7683" s="6" t="str">
        <f>VLOOKUP(E7683,dicionario!$A$1:$C8082,2,0)</f>
        <v>Columbina talpacoti</v>
      </c>
      <c r="H7683" s="6" t="str">
        <f>VLOOKUP(E7683,dicionario!$A$1:$C8082,3,0)</f>
        <v>rolinha-roxa</v>
      </c>
    </row>
    <row r="7684">
      <c r="A7684" s="3">
        <v>45736.0</v>
      </c>
      <c r="B7684" s="4">
        <v>0.3173611111111111</v>
      </c>
      <c r="C7684" s="5" t="s">
        <v>50</v>
      </c>
      <c r="D7684" s="5" t="s">
        <v>1250</v>
      </c>
      <c r="E7684" s="8" t="s">
        <v>109</v>
      </c>
      <c r="F7684" s="5" t="s">
        <v>110</v>
      </c>
      <c r="G7684" s="6" t="str">
        <f>VLOOKUP(E7684,dicionario!$A$1:$C8083,2,0)</f>
        <v>Tillandsia stricta</v>
      </c>
      <c r="H7684" s="6" t="str">
        <f>VLOOKUP(E7684,dicionario!$A$1:$C8083,3,0)</f>
        <v>cravo-do-mato</v>
      </c>
    </row>
    <row r="7685">
      <c r="A7685" s="3">
        <v>45736.0</v>
      </c>
      <c r="B7685" s="4">
        <v>0.3173611111111111</v>
      </c>
      <c r="C7685" s="5" t="s">
        <v>50</v>
      </c>
      <c r="D7685" s="5" t="s">
        <v>1250</v>
      </c>
      <c r="E7685" s="8" t="s">
        <v>46</v>
      </c>
      <c r="F7685" s="5" t="s">
        <v>47</v>
      </c>
      <c r="G7685" s="6" t="str">
        <f>VLOOKUP(E7685,dicionario!$A$1:$C8084,2,0)</f>
        <v>Chionomesa fimbriata</v>
      </c>
      <c r="H7685" s="6" t="str">
        <f>VLOOKUP(E7685,dicionario!$A$1:$C8084,3,0)</f>
        <v>beija-flor-de-garganta-verde</v>
      </c>
    </row>
    <row r="7686">
      <c r="A7686" s="3">
        <v>45736.0</v>
      </c>
      <c r="B7686" s="4">
        <v>0.3173611111111111</v>
      </c>
      <c r="C7686" s="5" t="s">
        <v>50</v>
      </c>
      <c r="D7686" s="5" t="s">
        <v>1250</v>
      </c>
      <c r="E7686" s="6" t="s">
        <v>253</v>
      </c>
      <c r="F7686" s="5" t="s">
        <v>254</v>
      </c>
      <c r="G7686" s="6" t="str">
        <f>VLOOKUP(E7686,dicionario!$A$1:$C8085,2,0)</f>
        <v>Panicum maximum</v>
      </c>
      <c r="H7686" s="6" t="str">
        <f>VLOOKUP(E7686,dicionario!$A$1:$C8085,3,0)</f>
        <v>capim-colonião</v>
      </c>
    </row>
    <row r="7687">
      <c r="A7687" s="3">
        <v>45736.0</v>
      </c>
      <c r="B7687" s="4">
        <v>0.31805555555555554</v>
      </c>
      <c r="C7687" s="5" t="s">
        <v>50</v>
      </c>
      <c r="D7687" s="5" t="s">
        <v>1250</v>
      </c>
      <c r="E7687" s="8" t="s">
        <v>1268</v>
      </c>
      <c r="F7687" s="5" t="s">
        <v>1269</v>
      </c>
      <c r="G7687" s="6" t="str">
        <f>VLOOKUP(E7687,dicionario!$A$1:$C8086,2,0)</f>
        <v>#N/A</v>
      </c>
      <c r="H7687" s="6" t="str">
        <f>VLOOKUP(E7687,dicionario!$A$1:$C8086,3,0)</f>
        <v>#N/A</v>
      </c>
    </row>
    <row r="7688">
      <c r="A7688" s="3">
        <v>45736.0</v>
      </c>
      <c r="B7688" s="4">
        <v>0.31875</v>
      </c>
      <c r="C7688" s="5" t="s">
        <v>50</v>
      </c>
      <c r="D7688" s="5" t="s">
        <v>1250</v>
      </c>
      <c r="E7688" s="8" t="s">
        <v>135</v>
      </c>
      <c r="F7688" s="5" t="s">
        <v>136</v>
      </c>
      <c r="G7688" s="6" t="str">
        <f>VLOOKUP(E7688,dicionario!$A$1:$C8087,2,0)</f>
        <v>Tridax procumbens</v>
      </c>
      <c r="H7688" s="6" t="str">
        <f>VLOOKUP(E7688,dicionario!$A$1:$C8087,3,0)</f>
        <v>erva-de-touro</v>
      </c>
    </row>
    <row r="7689">
      <c r="A7689" s="3">
        <v>45736.0</v>
      </c>
      <c r="B7689" s="4">
        <v>0.3194444444444444</v>
      </c>
      <c r="C7689" s="5" t="s">
        <v>50</v>
      </c>
      <c r="D7689" s="5" t="s">
        <v>1250</v>
      </c>
      <c r="E7689" s="8" t="s">
        <v>296</v>
      </c>
      <c r="F7689" s="5" t="s">
        <v>297</v>
      </c>
      <c r="G7689" s="6" t="str">
        <f>VLOOKUP(E7689,dicionario!$A$1:$C8088,2,0)</f>
        <v>Richardia brasiliensis</v>
      </c>
      <c r="H7689" s="6" t="str">
        <f>VLOOKUP(E7689,dicionario!$A$1:$C8088,3,0)</f>
        <v>poaia-branca</v>
      </c>
    </row>
    <row r="7690">
      <c r="A7690" s="3">
        <v>45736.0</v>
      </c>
      <c r="B7690" s="4">
        <v>0.3194444444444444</v>
      </c>
      <c r="C7690" s="5" t="s">
        <v>50</v>
      </c>
      <c r="D7690" s="5" t="s">
        <v>1250</v>
      </c>
      <c r="E7690" s="8" t="s">
        <v>227</v>
      </c>
      <c r="F7690" s="5" t="s">
        <v>228</v>
      </c>
      <c r="G7690" s="6" t="str">
        <f>VLOOKUP(E7690,dicionario!$A$1:$C8089,2,0)</f>
        <v>Indigofera hirsuta</v>
      </c>
      <c r="H7690" s="6" t="str">
        <f>VLOOKUP(E7690,dicionario!$A$1:$C8089,3,0)</f>
        <v>anileira</v>
      </c>
    </row>
    <row r="7691">
      <c r="A7691" s="3">
        <v>45736.0</v>
      </c>
      <c r="B7691" s="4">
        <v>0.3194444444444444</v>
      </c>
      <c r="C7691" s="5" t="s">
        <v>50</v>
      </c>
      <c r="D7691" s="5" t="s">
        <v>1250</v>
      </c>
      <c r="E7691" s="8" t="s">
        <v>152</v>
      </c>
      <c r="F7691" s="5" t="s">
        <v>153</v>
      </c>
      <c r="G7691" s="6" t="str">
        <f>VLOOKUP(E7691,dicionario!$A$1:$C8090,2,0)</f>
        <v>Cynodon dactylon</v>
      </c>
      <c r="H7691" s="6" t="str">
        <f>VLOOKUP(E7691,dicionario!$A$1:$C8090,3,0)</f>
        <v>grama-bermuda</v>
      </c>
    </row>
    <row r="7692">
      <c r="A7692" s="3">
        <v>45736.0</v>
      </c>
      <c r="B7692" s="4">
        <v>0.3194444444444444</v>
      </c>
      <c r="C7692" s="5" t="s">
        <v>50</v>
      </c>
      <c r="D7692" s="5" t="s">
        <v>1250</v>
      </c>
      <c r="E7692" s="8" t="s">
        <v>65</v>
      </c>
      <c r="F7692" s="5" t="s">
        <v>66</v>
      </c>
      <c r="G7692" s="6" t="str">
        <f>VLOOKUP(E7692,dicionario!$A$1:$C8091,2,0)</f>
        <v>Pitangus sulphutarus</v>
      </c>
      <c r="H7692" s="6" t="str">
        <f>VLOOKUP(E7692,dicionario!$A$1:$C8091,3,0)</f>
        <v>bem-te-vi</v>
      </c>
    </row>
    <row r="7693">
      <c r="A7693" s="3">
        <v>45736.0</v>
      </c>
      <c r="B7693" s="4">
        <v>0.3194444444444444</v>
      </c>
      <c r="C7693" s="5" t="s">
        <v>50</v>
      </c>
      <c r="D7693" s="5" t="s">
        <v>1250</v>
      </c>
      <c r="E7693" s="6" t="s">
        <v>14</v>
      </c>
      <c r="F7693" s="5" t="s">
        <v>15</v>
      </c>
      <c r="G7693" s="6" t="str">
        <f>VLOOKUP(E7693,dicionario!$A$1:$C8092,2,0)</f>
        <v>Spermacoce verticillata</v>
      </c>
      <c r="H7693" s="6" t="str">
        <f>VLOOKUP(E7693,dicionario!$A$1:$C8092,3,0)</f>
        <v>vassourinha-de-botão</v>
      </c>
    </row>
    <row r="7694">
      <c r="A7694" s="3">
        <v>45736.0</v>
      </c>
      <c r="B7694" s="4">
        <v>0.32013888888888886</v>
      </c>
      <c r="C7694" s="5" t="s">
        <v>50</v>
      </c>
      <c r="D7694" s="5" t="s">
        <v>1250</v>
      </c>
      <c r="E7694" s="6" t="s">
        <v>148</v>
      </c>
      <c r="F7694" s="5" t="s">
        <v>149</v>
      </c>
      <c r="G7694" s="6" t="str">
        <f>VLOOKUP(E7694,dicionario!$A$1:$C8093,2,0)</f>
        <v>Parthenium hysterophorus</v>
      </c>
      <c r="H7694" s="6" t="str">
        <f>VLOOKUP(E7694,dicionario!$A$1:$C8093,3,0)</f>
        <v>losna-branca</v>
      </c>
    </row>
    <row r="7695">
      <c r="A7695" s="3">
        <v>45736.0</v>
      </c>
      <c r="B7695" s="4">
        <v>0.32013888888888886</v>
      </c>
      <c r="C7695" s="5" t="s">
        <v>50</v>
      </c>
      <c r="D7695" s="5" t="s">
        <v>1250</v>
      </c>
      <c r="E7695" s="8" t="s">
        <v>239</v>
      </c>
      <c r="F7695" s="5" t="s">
        <v>240</v>
      </c>
      <c r="G7695" s="6" t="str">
        <f>VLOOKUP(E7695,dicionario!$A$1:$C8094,2,0)</f>
        <v>Gomphrena celosioides</v>
      </c>
      <c r="H7695" s="6" t="str">
        <f>VLOOKUP(E7695,dicionario!$A$1:$C8094,3,0)</f>
        <v>perpétua-branca</v>
      </c>
    </row>
    <row r="7696">
      <c r="A7696" s="3">
        <v>45736.0</v>
      </c>
      <c r="B7696" s="4">
        <v>0.32083333333333336</v>
      </c>
      <c r="C7696" s="5" t="s">
        <v>50</v>
      </c>
      <c r="D7696" s="5" t="s">
        <v>1250</v>
      </c>
      <c r="E7696" s="8" t="s">
        <v>298</v>
      </c>
      <c r="F7696" s="7"/>
      <c r="G7696" s="6" t="str">
        <f>VLOOKUP(E7696,dicionario!$A$1:$C8095,2,0)</f>
        <v>Alysicarpus vaginalis</v>
      </c>
      <c r="H7696" s="6" t="str">
        <f>VLOOKUP(E7696,dicionario!$A$1:$C8095,3,0)</f>
        <v/>
      </c>
    </row>
    <row r="7697">
      <c r="A7697" s="3">
        <v>45736.0</v>
      </c>
      <c r="B7697" s="4">
        <v>0.3215277777777778</v>
      </c>
      <c r="C7697" s="5" t="s">
        <v>50</v>
      </c>
      <c r="D7697" s="5" t="s">
        <v>1250</v>
      </c>
      <c r="E7697" s="8" t="s">
        <v>338</v>
      </c>
      <c r="F7697" s="5" t="s">
        <v>929</v>
      </c>
      <c r="G7697" s="6" t="str">
        <f>VLOOKUP(E7697,dicionario!$A$1:$C8096,2,0)</f>
        <v>Atta</v>
      </c>
      <c r="H7697" s="6" t="str">
        <f>VLOOKUP(E7697,dicionario!$A$1:$C8096,3,0)</f>
        <v>saúva</v>
      </c>
    </row>
    <row r="7698">
      <c r="A7698" s="3">
        <v>45736.0</v>
      </c>
      <c r="B7698" s="4">
        <v>0.3215277777777778</v>
      </c>
      <c r="C7698" s="5" t="s">
        <v>50</v>
      </c>
      <c r="D7698" s="5" t="s">
        <v>1250</v>
      </c>
      <c r="E7698" s="8" t="s">
        <v>489</v>
      </c>
      <c r="F7698" s="5" t="s">
        <v>521</v>
      </c>
      <c r="G7698" s="6" t="str">
        <f>VLOOKUP(E7698,dicionario!$A$1:$C8097,2,0)</f>
        <v>Cenchrus echinatus</v>
      </c>
      <c r="H7698" s="6" t="str">
        <f>VLOOKUP(E7698,dicionario!$A$1:$C8097,3,0)</f>
        <v>capim-carrapicho</v>
      </c>
    </row>
    <row r="7699">
      <c r="A7699" s="3">
        <v>45736.0</v>
      </c>
      <c r="B7699" s="4">
        <v>0.3215277777777778</v>
      </c>
      <c r="C7699" s="5" t="s">
        <v>50</v>
      </c>
      <c r="D7699" s="5" t="s">
        <v>1250</v>
      </c>
      <c r="E7699" s="6" t="s">
        <v>471</v>
      </c>
      <c r="F7699" s="5" t="s">
        <v>472</v>
      </c>
      <c r="G7699" s="6" t="str">
        <f>VLOOKUP(E7699,dicionario!$A$1:$C8098,2,0)</f>
        <v>Sida acuta</v>
      </c>
      <c r="H7699" s="6" t="str">
        <f>VLOOKUP(E7699,dicionario!$A$1:$C8098,3,0)</f>
        <v>reloginho</v>
      </c>
    </row>
    <row r="7700">
      <c r="A7700" s="3">
        <v>45736.0</v>
      </c>
      <c r="B7700" s="4">
        <v>0.32222222222222224</v>
      </c>
      <c r="C7700" s="5" t="s">
        <v>50</v>
      </c>
      <c r="D7700" s="5" t="s">
        <v>1250</v>
      </c>
      <c r="E7700" s="8" t="s">
        <v>498</v>
      </c>
      <c r="F7700" s="5" t="s">
        <v>499</v>
      </c>
      <c r="G7700" s="6" t="str">
        <f>VLOOKUP(E7700,dicionario!$A$1:$C8099,2,0)</f>
        <v>Brachiaria decumbens</v>
      </c>
      <c r="H7700" s="6" t="str">
        <f>VLOOKUP(E7700,dicionario!$A$1:$C8099,3,0)</f>
        <v>capim-braquiária</v>
      </c>
    </row>
    <row r="7701">
      <c r="A7701" s="3">
        <v>45736.0</v>
      </c>
      <c r="B7701" s="4">
        <v>0.3263888888888889</v>
      </c>
      <c r="C7701" s="5" t="s">
        <v>40</v>
      </c>
      <c r="D7701" s="5" t="s">
        <v>1250</v>
      </c>
      <c r="E7701" s="8" t="s">
        <v>732</v>
      </c>
      <c r="F7701" s="5" t="s">
        <v>1230</v>
      </c>
      <c r="G7701" s="6" t="str">
        <f>VLOOKUP(E7701,dicionario!$A$1:$C8100,2,0)</f>
        <v>#N/A</v>
      </c>
      <c r="H7701" s="6" t="str">
        <f>VLOOKUP(E7701,dicionario!$A$1:$C8100,3,0)</f>
        <v>#N/A</v>
      </c>
    </row>
    <row r="7702">
      <c r="A7702" s="3">
        <v>45736.0</v>
      </c>
      <c r="B7702" s="4">
        <v>0.32708333333333334</v>
      </c>
      <c r="C7702" s="5" t="s">
        <v>40</v>
      </c>
      <c r="D7702" s="5" t="s">
        <v>1250</v>
      </c>
      <c r="E7702" s="8" t="s">
        <v>286</v>
      </c>
      <c r="F7702" s="5" t="s">
        <v>287</v>
      </c>
      <c r="G7702" s="6" t="str">
        <f>VLOOKUP(E7702,dicionario!$A$1:$C8101,2,0)</f>
        <v>Setaria parviflora</v>
      </c>
      <c r="H7702" s="6" t="str">
        <f>VLOOKUP(E7702,dicionario!$A$1:$C8101,3,0)</f>
        <v>capim-rabo-de-raposa</v>
      </c>
    </row>
    <row r="7703">
      <c r="A7703" s="3">
        <v>45736.0</v>
      </c>
      <c r="B7703" s="4">
        <v>0.3277777777777778</v>
      </c>
      <c r="C7703" s="5" t="s">
        <v>40</v>
      </c>
      <c r="D7703" s="5" t="s">
        <v>1250</v>
      </c>
      <c r="E7703" s="8" t="s">
        <v>163</v>
      </c>
      <c r="F7703" s="5" t="s">
        <v>164</v>
      </c>
      <c r="G7703" s="6" t="str">
        <f>VLOOKUP(E7703,dicionario!$A$1:$C8102,2,0)</f>
        <v>Coragyps atratus</v>
      </c>
      <c r="H7703" s="6" t="str">
        <f>VLOOKUP(E7703,dicionario!$A$1:$C8102,3,0)</f>
        <v>urubu-de-cabeça-preta</v>
      </c>
    </row>
    <row r="7704">
      <c r="A7704" s="3">
        <v>45736.0</v>
      </c>
      <c r="B7704" s="4">
        <v>0.3277777777777778</v>
      </c>
      <c r="C7704" s="5" t="s">
        <v>40</v>
      </c>
      <c r="D7704" s="5" t="s">
        <v>1250</v>
      </c>
      <c r="E7704" s="8" t="s">
        <v>53</v>
      </c>
      <c r="F7704" s="5" t="s">
        <v>54</v>
      </c>
      <c r="G7704" s="6" t="str">
        <f>VLOOKUP(E7704,dicionario!$A$1:$C8103,2,0)</f>
        <v>Turnera subulata</v>
      </c>
      <c r="H7704" s="6" t="str">
        <f>VLOOKUP(E7704,dicionario!$A$1:$C8103,3,0)</f>
        <v>xanana</v>
      </c>
    </row>
    <row r="7705">
      <c r="A7705" s="3">
        <v>45736.0</v>
      </c>
      <c r="B7705" s="4">
        <v>0.32916666666666666</v>
      </c>
      <c r="C7705" s="5" t="s">
        <v>40</v>
      </c>
      <c r="D7705" s="5" t="s">
        <v>1250</v>
      </c>
      <c r="E7705" s="6" t="s">
        <v>288</v>
      </c>
      <c r="F7705" s="5" t="s">
        <v>289</v>
      </c>
      <c r="G7705" s="6" t="str">
        <f>VLOOKUP(E7705,dicionario!$A$1:$C8104,2,0)</f>
        <v>Phyllanthus tenellus</v>
      </c>
      <c r="H7705" s="6" t="str">
        <f>VLOOKUP(E7705,dicionario!$A$1:$C8104,3,0)</f>
        <v>quebra-pedra</v>
      </c>
    </row>
    <row r="7706">
      <c r="A7706" s="3">
        <v>45736.0</v>
      </c>
      <c r="B7706" s="4">
        <v>0.32916666666666666</v>
      </c>
      <c r="C7706" s="5" t="s">
        <v>40</v>
      </c>
      <c r="D7706" s="5" t="s">
        <v>1250</v>
      </c>
      <c r="E7706" s="8" t="s">
        <v>271</v>
      </c>
      <c r="F7706" s="7" t="s">
        <v>272</v>
      </c>
      <c r="G7706" s="6" t="str">
        <f>VLOOKUP(E7706,dicionario!$A$1:$C8105,2,0)</f>
        <v>Cyanthillium cinereum</v>
      </c>
      <c r="H7706" s="6" t="str">
        <f>VLOOKUP(E7706,dicionario!$A$1:$C8105,3,0)</f>
        <v>emília</v>
      </c>
    </row>
    <row r="7707">
      <c r="A7707" s="3">
        <v>45736.0</v>
      </c>
      <c r="B7707" s="4">
        <v>0.32916666666666666</v>
      </c>
      <c r="C7707" s="5" t="s">
        <v>40</v>
      </c>
      <c r="D7707" s="5" t="s">
        <v>1250</v>
      </c>
      <c r="E7707" s="8" t="s">
        <v>1270</v>
      </c>
      <c r="F7707" s="5" t="s">
        <v>1271</v>
      </c>
      <c r="G7707" s="6" t="str">
        <f>VLOOKUP(E7707,dicionario!$A$1:$C8106,2,0)</f>
        <v>#N/A</v>
      </c>
      <c r="H7707" s="6" t="str">
        <f>VLOOKUP(E7707,dicionario!$A$1:$C8106,3,0)</f>
        <v>#N/A</v>
      </c>
    </row>
    <row r="7708">
      <c r="A7708" s="3">
        <v>45736.0</v>
      </c>
      <c r="B7708" s="4">
        <v>0.32916666666666666</v>
      </c>
      <c r="C7708" s="5" t="s">
        <v>40</v>
      </c>
      <c r="D7708" s="5" t="s">
        <v>1250</v>
      </c>
      <c r="E7708" s="6" t="s">
        <v>171</v>
      </c>
      <c r="F7708" s="5" t="s">
        <v>172</v>
      </c>
      <c r="G7708" s="6" t="str">
        <f>VLOOKUP(E7708,dicionario!$A$1:$C8107,2,0)</f>
        <v>Oxalis corniculata</v>
      </c>
      <c r="H7708" s="6" t="str">
        <f>VLOOKUP(E7708,dicionario!$A$1:$C8107,3,0)</f>
        <v>trevo-azedinho</v>
      </c>
    </row>
    <row r="7709">
      <c r="A7709" s="3">
        <v>45736.0</v>
      </c>
      <c r="B7709" s="4">
        <v>0.3298611111111111</v>
      </c>
      <c r="C7709" s="5" t="s">
        <v>40</v>
      </c>
      <c r="D7709" s="5" t="s">
        <v>1250</v>
      </c>
      <c r="E7709" s="8" t="s">
        <v>113</v>
      </c>
      <c r="F7709" s="5" t="s">
        <v>114</v>
      </c>
      <c r="G7709" s="6" t="str">
        <f>VLOOKUP(E7709,dicionario!$A$1:$C8108,2,0)</f>
        <v>Columbina talpacoti</v>
      </c>
      <c r="H7709" s="6" t="str">
        <f>VLOOKUP(E7709,dicionario!$A$1:$C8108,3,0)</f>
        <v>rolinha-roxa</v>
      </c>
    </row>
    <row r="7710">
      <c r="A7710" s="3">
        <v>45736.0</v>
      </c>
      <c r="B7710" s="4">
        <v>0.3298611111111111</v>
      </c>
      <c r="C7710" s="5" t="s">
        <v>40</v>
      </c>
      <c r="D7710" s="5" t="s">
        <v>1250</v>
      </c>
      <c r="E7710" s="8" t="s">
        <v>109</v>
      </c>
      <c r="F7710" s="5" t="s">
        <v>110</v>
      </c>
      <c r="G7710" s="6" t="str">
        <f>VLOOKUP(E7710,dicionario!$A$1:$C8109,2,0)</f>
        <v>Tillandsia stricta</v>
      </c>
      <c r="H7710" s="6" t="str">
        <f>VLOOKUP(E7710,dicionario!$A$1:$C8109,3,0)</f>
        <v>cravo-do-mato</v>
      </c>
    </row>
    <row r="7711">
      <c r="A7711" s="3">
        <v>45736.0</v>
      </c>
      <c r="B7711" s="4">
        <v>0.3298611111111111</v>
      </c>
      <c r="C7711" s="5" t="s">
        <v>40</v>
      </c>
      <c r="D7711" s="5" t="s">
        <v>1250</v>
      </c>
      <c r="E7711" s="8" t="s">
        <v>181</v>
      </c>
      <c r="F7711" s="5" t="s">
        <v>182</v>
      </c>
      <c r="G7711" s="6" t="str">
        <f>VLOOKUP(E7711,dicionario!$A$1:$C8110,2,0)</f>
        <v>#N/A</v>
      </c>
      <c r="H7711" s="6" t="str">
        <f>VLOOKUP(E7711,dicionario!$A$1:$C8110,3,0)</f>
        <v>#N/A</v>
      </c>
    </row>
    <row r="7712">
      <c r="A7712" s="3">
        <v>45736.0</v>
      </c>
      <c r="B7712" s="4">
        <v>0.33055555555555555</v>
      </c>
      <c r="C7712" s="5" t="s">
        <v>40</v>
      </c>
      <c r="D7712" s="5" t="s">
        <v>1250</v>
      </c>
      <c r="E7712" s="8" t="s">
        <v>118</v>
      </c>
      <c r="F7712" s="5" t="s">
        <v>119</v>
      </c>
      <c r="G7712" s="6" t="str">
        <f>VLOOKUP(E7712,dicionario!$A$1:$C8111,2,0)</f>
        <v>Agaricus</v>
      </c>
      <c r="H7712" s="6" t="str">
        <f>VLOOKUP(E7712,dicionario!$A$1:$C8111,3,0)</f>
        <v>cogumelo</v>
      </c>
    </row>
    <row r="7713">
      <c r="A7713" s="3">
        <v>45736.0</v>
      </c>
      <c r="B7713" s="4">
        <v>0.33055555555555555</v>
      </c>
      <c r="C7713" s="5" t="s">
        <v>40</v>
      </c>
      <c r="D7713" s="5" t="s">
        <v>1250</v>
      </c>
      <c r="E7713" s="8" t="s">
        <v>296</v>
      </c>
      <c r="F7713" s="5" t="s">
        <v>297</v>
      </c>
      <c r="G7713" s="6" t="str">
        <f>VLOOKUP(E7713,dicionario!$A$1:$C8112,2,0)</f>
        <v>Richardia brasiliensis</v>
      </c>
      <c r="H7713" s="6" t="str">
        <f>VLOOKUP(E7713,dicionario!$A$1:$C8112,3,0)</f>
        <v>poaia-branca</v>
      </c>
    </row>
    <row r="7714">
      <c r="A7714" s="3">
        <v>45736.0</v>
      </c>
      <c r="B7714" s="4">
        <v>0.33125</v>
      </c>
      <c r="C7714" s="5" t="s">
        <v>40</v>
      </c>
      <c r="D7714" s="5" t="s">
        <v>1250</v>
      </c>
      <c r="E7714" s="8" t="s">
        <v>227</v>
      </c>
      <c r="F7714" s="5" t="s">
        <v>1272</v>
      </c>
      <c r="G7714" s="6" t="str">
        <f>VLOOKUP(E7714,dicionario!$A$1:$C8113,2,0)</f>
        <v>Indigofera hirsuta</v>
      </c>
      <c r="H7714" s="6" t="str">
        <f>VLOOKUP(E7714,dicionario!$A$1:$C8113,3,0)</f>
        <v>anileira</v>
      </c>
    </row>
    <row r="7715">
      <c r="A7715" s="3">
        <v>45736.0</v>
      </c>
      <c r="B7715" s="4">
        <v>0.33194444444444443</v>
      </c>
      <c r="C7715" s="5" t="s">
        <v>40</v>
      </c>
      <c r="D7715" s="5" t="s">
        <v>1250</v>
      </c>
      <c r="E7715" s="8" t="s">
        <v>135</v>
      </c>
      <c r="F7715" s="5" t="s">
        <v>136</v>
      </c>
      <c r="G7715" s="6" t="str">
        <f>VLOOKUP(E7715,dicionario!$A$1:$C8114,2,0)</f>
        <v>Tridax procumbens</v>
      </c>
      <c r="H7715" s="6" t="str">
        <f>VLOOKUP(E7715,dicionario!$A$1:$C8114,3,0)</f>
        <v>erva-de-touro</v>
      </c>
    </row>
    <row r="7716">
      <c r="A7716" s="3">
        <v>45736.0</v>
      </c>
      <c r="B7716" s="4">
        <v>0.33194444444444443</v>
      </c>
      <c r="C7716" s="5" t="s">
        <v>40</v>
      </c>
      <c r="D7716" s="5" t="s">
        <v>1250</v>
      </c>
      <c r="E7716" s="8" t="s">
        <v>227</v>
      </c>
      <c r="F7716" s="5" t="s">
        <v>228</v>
      </c>
      <c r="G7716" s="6" t="str">
        <f>VLOOKUP(E7716,dicionario!$A$1:$C8115,2,0)</f>
        <v>Indigofera hirsuta</v>
      </c>
      <c r="H7716" s="6" t="str">
        <f>VLOOKUP(E7716,dicionario!$A$1:$C8115,3,0)</f>
        <v>anileira</v>
      </c>
    </row>
    <row r="7717">
      <c r="A7717" s="3">
        <v>45736.0</v>
      </c>
      <c r="B7717" s="4">
        <v>0.33194444444444443</v>
      </c>
      <c r="C7717" s="5" t="s">
        <v>40</v>
      </c>
      <c r="D7717" s="5" t="s">
        <v>1250</v>
      </c>
      <c r="E7717" s="8" t="s">
        <v>239</v>
      </c>
      <c r="F7717" s="5" t="s">
        <v>240</v>
      </c>
      <c r="G7717" s="6" t="str">
        <f>VLOOKUP(E7717,dicionario!$A$1:$C8116,2,0)</f>
        <v>Gomphrena celosioides</v>
      </c>
      <c r="H7717" s="6" t="str">
        <f>VLOOKUP(E7717,dicionario!$A$1:$C8116,3,0)</f>
        <v>perpétua-branca</v>
      </c>
    </row>
    <row r="7718">
      <c r="A7718" s="3">
        <v>45736.0</v>
      </c>
      <c r="B7718" s="4">
        <v>0.3326388888888889</v>
      </c>
      <c r="C7718" s="5" t="s">
        <v>40</v>
      </c>
      <c r="D7718" s="5" t="s">
        <v>1250</v>
      </c>
      <c r="E7718" s="8" t="s">
        <v>631</v>
      </c>
      <c r="F7718" s="5" t="s">
        <v>632</v>
      </c>
      <c r="G7718" s="6" t="str">
        <f>VLOOKUP(E7718,dicionario!$A$1:$C8117,2,0)</f>
        <v>Chamaecrista nictitans</v>
      </c>
      <c r="H7718" s="6" t="str">
        <f>VLOOKUP(E7718,dicionario!$A$1:$C8117,3,0)</f>
        <v>falsa-dormideira</v>
      </c>
    </row>
    <row r="7719">
      <c r="A7719" s="3">
        <v>45736.0</v>
      </c>
      <c r="B7719" s="4">
        <v>0.3326388888888889</v>
      </c>
      <c r="C7719" s="5" t="s">
        <v>40</v>
      </c>
      <c r="D7719" s="5" t="s">
        <v>1250</v>
      </c>
      <c r="E7719" s="8" t="s">
        <v>152</v>
      </c>
      <c r="F7719" s="5" t="s">
        <v>153</v>
      </c>
      <c r="G7719" s="6" t="str">
        <f>VLOOKUP(E7719,dicionario!$A$1:$C8118,2,0)</f>
        <v>Cynodon dactylon</v>
      </c>
      <c r="H7719" s="6" t="str">
        <f>VLOOKUP(E7719,dicionario!$A$1:$C8118,3,0)</f>
        <v>grama-bermuda</v>
      </c>
    </row>
    <row r="7720">
      <c r="A7720" s="3">
        <v>45736.0</v>
      </c>
      <c r="B7720" s="4">
        <v>0.3333333333333333</v>
      </c>
      <c r="C7720" s="5" t="s">
        <v>40</v>
      </c>
      <c r="D7720" s="5" t="s">
        <v>1250</v>
      </c>
      <c r="E7720" s="12" t="s">
        <v>111</v>
      </c>
      <c r="F7720" s="7" t="s">
        <v>112</v>
      </c>
      <c r="G7720" s="6" t="str">
        <f>VLOOKUP(E7720,dicionario!$A$1:$C8119,2,0)</f>
        <v>Trigona spinipes</v>
      </c>
      <c r="H7720" s="6" t="str">
        <f>VLOOKUP(E7720,dicionario!$A$1:$C8119,3,0)</f>
        <v>abelha-cachorro</v>
      </c>
    </row>
    <row r="7721">
      <c r="A7721" s="3">
        <v>45736.0</v>
      </c>
      <c r="B7721" s="4">
        <v>0.33402777777777776</v>
      </c>
      <c r="C7721" s="5" t="s">
        <v>33</v>
      </c>
      <c r="D7721" s="5" t="s">
        <v>1250</v>
      </c>
      <c r="E7721" s="8" t="s">
        <v>109</v>
      </c>
      <c r="F7721" s="5" t="s">
        <v>110</v>
      </c>
      <c r="G7721" s="6" t="str">
        <f>VLOOKUP(E7721,dicionario!$A$1:$C8120,2,0)</f>
        <v>Tillandsia stricta</v>
      </c>
      <c r="H7721" s="6" t="str">
        <f>VLOOKUP(E7721,dicionario!$A$1:$C8120,3,0)</f>
        <v>cravo-do-mato</v>
      </c>
    </row>
    <row r="7722">
      <c r="A7722" s="3">
        <v>45736.0</v>
      </c>
      <c r="B7722" s="4">
        <v>0.3347222222222222</v>
      </c>
      <c r="C7722" s="5" t="s">
        <v>33</v>
      </c>
      <c r="D7722" s="5" t="s">
        <v>1250</v>
      </c>
      <c r="E7722" s="8" t="s">
        <v>22</v>
      </c>
      <c r="F7722" s="5" t="s">
        <v>902</v>
      </c>
      <c r="G7722" s="6" t="str">
        <f>VLOOKUP(E7722,dicionario!$A$1:$C8121,2,0)</f>
        <v>Zenaida auriculata</v>
      </c>
      <c r="H7722" s="6" t="str">
        <f>VLOOKUP(E7722,dicionario!$A$1:$C8121,3,0)</f>
        <v>pomba-de-bando; avoante</v>
      </c>
    </row>
    <row r="7723">
      <c r="A7723" s="3">
        <v>45736.0</v>
      </c>
      <c r="B7723" s="4">
        <v>0.33541666666666664</v>
      </c>
      <c r="C7723" s="5" t="s">
        <v>33</v>
      </c>
      <c r="D7723" s="5" t="s">
        <v>1250</v>
      </c>
      <c r="E7723" s="8" t="s">
        <v>258</v>
      </c>
      <c r="F7723" s="5" t="s">
        <v>259</v>
      </c>
      <c r="G7723" s="6" t="str">
        <f>VLOOKUP(E7723,dicionario!$A$1:$C8122,2,0)</f>
        <v>Lantana camara</v>
      </c>
      <c r="H7723" s="6" t="str">
        <f>VLOOKUP(E7723,dicionario!$A$1:$C8122,3,0)</f>
        <v>lantana</v>
      </c>
    </row>
    <row r="7724">
      <c r="A7724" s="3">
        <v>45736.0</v>
      </c>
      <c r="B7724" s="4">
        <v>0.33541666666666664</v>
      </c>
      <c r="C7724" s="5" t="s">
        <v>33</v>
      </c>
      <c r="D7724" s="5" t="s">
        <v>1250</v>
      </c>
      <c r="E7724" s="8" t="s">
        <v>113</v>
      </c>
      <c r="F7724" s="5" t="s">
        <v>114</v>
      </c>
      <c r="G7724" s="6" t="str">
        <f>VLOOKUP(E7724,dicionario!$A$1:$C8123,2,0)</f>
        <v>Columbina talpacoti</v>
      </c>
      <c r="H7724" s="6" t="str">
        <f>VLOOKUP(E7724,dicionario!$A$1:$C8123,3,0)</f>
        <v>rolinha-roxa</v>
      </c>
    </row>
    <row r="7725">
      <c r="A7725" s="3">
        <v>45736.0</v>
      </c>
      <c r="B7725" s="4">
        <v>0.33541666666666664</v>
      </c>
      <c r="C7725" s="5" t="s">
        <v>33</v>
      </c>
      <c r="D7725" s="5" t="s">
        <v>1250</v>
      </c>
      <c r="E7725" s="8" t="s">
        <v>271</v>
      </c>
      <c r="F7725" s="7" t="s">
        <v>272</v>
      </c>
      <c r="G7725" s="6" t="str">
        <f>VLOOKUP(E7725,dicionario!$A$1:$C8124,2,0)</f>
        <v>Cyanthillium cinereum</v>
      </c>
      <c r="H7725" s="6" t="str">
        <f>VLOOKUP(E7725,dicionario!$A$1:$C8124,3,0)</f>
        <v>emília</v>
      </c>
    </row>
    <row r="7726">
      <c r="A7726" s="3">
        <v>45736.0</v>
      </c>
      <c r="B7726" s="4">
        <v>0.33541666666666664</v>
      </c>
      <c r="C7726" s="5" t="s">
        <v>33</v>
      </c>
      <c r="D7726" s="5" t="s">
        <v>1250</v>
      </c>
      <c r="E7726" s="8" t="s">
        <v>154</v>
      </c>
      <c r="F7726" s="5" t="s">
        <v>155</v>
      </c>
      <c r="G7726" s="6" t="str">
        <f>VLOOKUP(E7726,dicionario!$A$1:$C8125,2,0)</f>
        <v>Cyperus rotundus</v>
      </c>
      <c r="H7726" s="6" t="str">
        <f>VLOOKUP(E7726,dicionario!$A$1:$C8125,3,0)</f>
        <v>tiririca</v>
      </c>
    </row>
    <row r="7727">
      <c r="A7727" s="3">
        <v>45736.0</v>
      </c>
      <c r="B7727" s="4">
        <v>0.33611111111111114</v>
      </c>
      <c r="C7727" s="5" t="s">
        <v>33</v>
      </c>
      <c r="D7727" s="5" t="s">
        <v>1250</v>
      </c>
      <c r="E7727" s="8" t="s">
        <v>53</v>
      </c>
      <c r="F7727" s="5" t="s">
        <v>54</v>
      </c>
      <c r="G7727" s="6" t="str">
        <f>VLOOKUP(E7727,dicionario!$A$1:$C8126,2,0)</f>
        <v>Turnera subulata</v>
      </c>
      <c r="H7727" s="6" t="str">
        <f>VLOOKUP(E7727,dicionario!$A$1:$C8126,3,0)</f>
        <v>xanana</v>
      </c>
    </row>
    <row r="7728">
      <c r="A7728" s="3">
        <v>45736.0</v>
      </c>
      <c r="B7728" s="4">
        <v>0.3375</v>
      </c>
      <c r="C7728" s="5" t="s">
        <v>33</v>
      </c>
      <c r="D7728" s="5" t="s">
        <v>1250</v>
      </c>
      <c r="E7728" s="8" t="s">
        <v>732</v>
      </c>
      <c r="F7728" s="5" t="s">
        <v>1230</v>
      </c>
      <c r="G7728" s="6" t="str">
        <f>VLOOKUP(E7728,dicionario!$A$1:$C8127,2,0)</f>
        <v>#N/A</v>
      </c>
      <c r="H7728" s="6" t="str">
        <f>VLOOKUP(E7728,dicionario!$A$1:$C8127,3,0)</f>
        <v>#N/A</v>
      </c>
    </row>
    <row r="7729">
      <c r="A7729" s="3">
        <v>45736.0</v>
      </c>
      <c r="B7729" s="4">
        <v>0.3375</v>
      </c>
      <c r="C7729" s="5" t="s">
        <v>33</v>
      </c>
      <c r="D7729" s="5" t="s">
        <v>1250</v>
      </c>
      <c r="E7729" s="8" t="s">
        <v>65</v>
      </c>
      <c r="F7729" s="5" t="s">
        <v>66</v>
      </c>
      <c r="G7729" s="6" t="str">
        <f>VLOOKUP(E7729,dicionario!$A$1:$C8128,2,0)</f>
        <v>Pitangus sulphutarus</v>
      </c>
      <c r="H7729" s="6" t="str">
        <f>VLOOKUP(E7729,dicionario!$A$1:$C8128,3,0)</f>
        <v>bem-te-vi</v>
      </c>
    </row>
    <row r="7730">
      <c r="A7730" s="3">
        <v>45736.0</v>
      </c>
      <c r="B7730" s="4">
        <v>0.33819444444444446</v>
      </c>
      <c r="C7730" s="5" t="s">
        <v>33</v>
      </c>
      <c r="D7730" s="5" t="s">
        <v>1250</v>
      </c>
      <c r="E7730" s="8" t="s">
        <v>286</v>
      </c>
      <c r="F7730" s="5" t="s">
        <v>287</v>
      </c>
      <c r="G7730" s="6" t="str">
        <f>VLOOKUP(E7730,dicionario!$A$1:$C8129,2,0)</f>
        <v>Setaria parviflora</v>
      </c>
      <c r="H7730" s="6" t="str">
        <f>VLOOKUP(E7730,dicionario!$A$1:$C8129,3,0)</f>
        <v>capim-rabo-de-raposa</v>
      </c>
    </row>
    <row r="7731">
      <c r="A7731" s="3">
        <v>45736.0</v>
      </c>
      <c r="B7731" s="4">
        <v>0.33819444444444446</v>
      </c>
      <c r="C7731" s="5" t="s">
        <v>33</v>
      </c>
      <c r="D7731" s="5" t="s">
        <v>1250</v>
      </c>
      <c r="E7731" s="8" t="s">
        <v>235</v>
      </c>
      <c r="F7731" s="5" t="s">
        <v>236</v>
      </c>
      <c r="G7731" s="6" t="str">
        <f>VLOOKUP(E7731,dicionario!$A$1:$C8130,2,0)</f>
        <v>Leucaena leucocephala</v>
      </c>
      <c r="H7731" s="6" t="str">
        <f>VLOOKUP(E7731,dicionario!$A$1:$C8130,3,0)</f>
        <v>leucena</v>
      </c>
    </row>
    <row r="7732">
      <c r="A7732" s="3">
        <v>45736.0</v>
      </c>
      <c r="B7732" s="4">
        <v>0.3388888888888889</v>
      </c>
      <c r="C7732" s="5" t="s">
        <v>33</v>
      </c>
      <c r="D7732" s="5" t="s">
        <v>1250</v>
      </c>
      <c r="E7732" s="6" t="s">
        <v>467</v>
      </c>
      <c r="F7732" s="5" t="s">
        <v>1273</v>
      </c>
      <c r="G7732" s="6" t="str">
        <f>VLOOKUP(E7732,dicionario!$A$1:$C8131,2,0)</f>
        <v>Eleusine indica</v>
      </c>
      <c r="H7732" s="6" t="str">
        <f>VLOOKUP(E7732,dicionario!$A$1:$C8131,3,0)</f>
        <v>capim-pé-de-galinha</v>
      </c>
    </row>
    <row r="7733">
      <c r="A7733" s="3">
        <v>45736.0</v>
      </c>
      <c r="B7733" s="4">
        <v>0.3388888888888889</v>
      </c>
      <c r="C7733" s="5" t="s">
        <v>33</v>
      </c>
      <c r="D7733" s="5" t="s">
        <v>1250</v>
      </c>
      <c r="E7733" s="6" t="s">
        <v>253</v>
      </c>
      <c r="F7733" s="5" t="s">
        <v>254</v>
      </c>
      <c r="G7733" s="6" t="str">
        <f>VLOOKUP(E7733,dicionario!$A$1:$C8132,2,0)</f>
        <v>Panicum maximum</v>
      </c>
      <c r="H7733" s="6" t="str">
        <f>VLOOKUP(E7733,dicionario!$A$1:$C8132,3,0)</f>
        <v>capim-colonião</v>
      </c>
    </row>
    <row r="7734">
      <c r="A7734" s="3">
        <v>45736.0</v>
      </c>
      <c r="B7734" s="4">
        <v>0.33958333333333335</v>
      </c>
      <c r="C7734" s="5" t="s">
        <v>33</v>
      </c>
      <c r="D7734" s="5" t="s">
        <v>1250</v>
      </c>
      <c r="E7734" s="8" t="s">
        <v>206</v>
      </c>
      <c r="F7734" s="5" t="s">
        <v>968</v>
      </c>
      <c r="G7734" s="6" t="str">
        <f>VLOOKUP(E7734,dicionario!$A$1:$C8133,2,0)</f>
        <v>Falco sparverius</v>
      </c>
      <c r="H7734" s="6" t="str">
        <f>VLOOKUP(E7734,dicionario!$A$1:$C8133,3,0)</f>
        <v>quiriquiri</v>
      </c>
    </row>
    <row r="7735">
      <c r="A7735" s="3">
        <v>45736.0</v>
      </c>
      <c r="B7735" s="4">
        <v>0.3402777777777778</v>
      </c>
      <c r="C7735" s="5" t="s">
        <v>26</v>
      </c>
      <c r="D7735" s="5" t="s">
        <v>1250</v>
      </c>
      <c r="E7735" s="8" t="s">
        <v>122</v>
      </c>
      <c r="F7735" s="5" t="s">
        <v>123</v>
      </c>
      <c r="G7735" s="6" t="str">
        <f>VLOOKUP(E7735,dicionario!$A$1:$C8134,2,0)</f>
        <v>Todirostrum cinereum</v>
      </c>
      <c r="H7735" s="6" t="str">
        <f>VLOOKUP(E7735,dicionario!$A$1:$C8134,3,0)</f>
        <v>ferreirinho-relógio</v>
      </c>
    </row>
    <row r="7736">
      <c r="A7736" s="3">
        <v>45736.0</v>
      </c>
      <c r="B7736" s="4">
        <v>0.3402777777777778</v>
      </c>
      <c r="C7736" s="5" t="s">
        <v>26</v>
      </c>
      <c r="D7736" s="5" t="s">
        <v>1250</v>
      </c>
      <c r="E7736" s="8" t="s">
        <v>227</v>
      </c>
      <c r="F7736" s="5" t="s">
        <v>228</v>
      </c>
      <c r="G7736" s="6" t="str">
        <f>VLOOKUP(E7736,dicionario!$A$1:$C8135,2,0)</f>
        <v>Indigofera hirsuta</v>
      </c>
      <c r="H7736" s="6" t="str">
        <f>VLOOKUP(E7736,dicionario!$A$1:$C8135,3,0)</f>
        <v>anileira</v>
      </c>
    </row>
    <row r="7737">
      <c r="A7737" s="3">
        <v>45736.0</v>
      </c>
      <c r="B7737" s="4">
        <v>0.3416666666666667</v>
      </c>
      <c r="C7737" s="5" t="s">
        <v>26</v>
      </c>
      <c r="D7737" s="5" t="s">
        <v>1250</v>
      </c>
      <c r="E7737" s="8" t="s">
        <v>152</v>
      </c>
      <c r="F7737" s="5" t="s">
        <v>153</v>
      </c>
      <c r="G7737" s="6" t="str">
        <f>VLOOKUP(E7737,dicionario!$A$1:$C8136,2,0)</f>
        <v>Cynodon dactylon</v>
      </c>
      <c r="H7737" s="6" t="str">
        <f>VLOOKUP(E7737,dicionario!$A$1:$C8136,3,0)</f>
        <v>grama-bermuda</v>
      </c>
    </row>
    <row r="7738">
      <c r="A7738" s="3">
        <v>45736.0</v>
      </c>
      <c r="B7738" s="4">
        <v>0.3416666666666667</v>
      </c>
      <c r="C7738" s="5" t="s">
        <v>26</v>
      </c>
      <c r="D7738" s="5" t="s">
        <v>1250</v>
      </c>
      <c r="E7738" s="8" t="s">
        <v>88</v>
      </c>
      <c r="F7738" s="5" t="s">
        <v>89</v>
      </c>
      <c r="G7738" s="6" t="str">
        <f>VLOOKUP(E7738,dicionario!$A$1:$C8137,2,0)</f>
        <v>Tyrannus melancolichus</v>
      </c>
      <c r="H7738" s="6" t="str">
        <f>VLOOKUP(E7738,dicionario!$A$1:$C8137,3,0)</f>
        <v>suiriri</v>
      </c>
    </row>
    <row r="7739">
      <c r="A7739" s="3">
        <v>45736.0</v>
      </c>
      <c r="B7739" s="4">
        <v>0.3416666666666667</v>
      </c>
      <c r="C7739" s="5" t="s">
        <v>26</v>
      </c>
      <c r="D7739" s="5" t="s">
        <v>1250</v>
      </c>
      <c r="E7739" s="8" t="s">
        <v>109</v>
      </c>
      <c r="F7739" s="5" t="s">
        <v>110</v>
      </c>
      <c r="G7739" s="6" t="str">
        <f>VLOOKUP(E7739,dicionario!$A$1:$C8138,2,0)</f>
        <v>Tillandsia stricta</v>
      </c>
      <c r="H7739" s="6" t="str">
        <f>VLOOKUP(E7739,dicionario!$A$1:$C8138,3,0)</f>
        <v>cravo-do-mato</v>
      </c>
    </row>
    <row r="7740">
      <c r="A7740" s="3">
        <v>45736.0</v>
      </c>
      <c r="B7740" s="4">
        <v>0.3416666666666667</v>
      </c>
      <c r="C7740" s="5" t="s">
        <v>26</v>
      </c>
      <c r="D7740" s="5" t="s">
        <v>1250</v>
      </c>
      <c r="E7740" s="12" t="s">
        <v>243</v>
      </c>
      <c r="F7740" s="5" t="s">
        <v>244</v>
      </c>
      <c r="G7740" s="6" t="str">
        <f>VLOOKUP(E7740,dicionario!$A$1:$C8139,2,0)</f>
        <v>Macroptilium atropurpureum</v>
      </c>
      <c r="H7740" s="6" t="str">
        <f>VLOOKUP(E7740,dicionario!$A$1:$C8139,3,0)</f>
        <v>feijão-de-pombo</v>
      </c>
    </row>
    <row r="7741">
      <c r="A7741" s="3">
        <v>45736.0</v>
      </c>
      <c r="B7741" s="4">
        <v>0.3416666666666667</v>
      </c>
      <c r="C7741" s="5" t="s">
        <v>26</v>
      </c>
      <c r="D7741" s="5" t="s">
        <v>1250</v>
      </c>
      <c r="E7741" s="8" t="s">
        <v>41</v>
      </c>
      <c r="F7741" s="5" t="s">
        <v>45</v>
      </c>
      <c r="G7741" s="6" t="str">
        <f>VLOOKUP(E7741,dicionario!$A$1:$C8140,2,0)</f>
        <v>Mimosa pudica</v>
      </c>
      <c r="H7741" s="6" t="str">
        <f>VLOOKUP(E7741,dicionario!$A$1:$C8140,3,0)</f>
        <v>dormideira</v>
      </c>
    </row>
    <row r="7742">
      <c r="A7742" s="3">
        <v>45736.0</v>
      </c>
      <c r="B7742" s="4">
        <v>0.3423611111111111</v>
      </c>
      <c r="C7742" s="5" t="s">
        <v>26</v>
      </c>
      <c r="D7742" s="5" t="s">
        <v>1250</v>
      </c>
      <c r="E7742" s="8" t="s">
        <v>498</v>
      </c>
      <c r="F7742" s="5" t="s">
        <v>1274</v>
      </c>
      <c r="G7742" s="6" t="str">
        <f>VLOOKUP(E7742,dicionario!$A$1:$C8141,2,0)</f>
        <v>Brachiaria decumbens</v>
      </c>
      <c r="H7742" s="6" t="str">
        <f>VLOOKUP(E7742,dicionario!$A$1:$C8141,3,0)</f>
        <v>capim-braquiária</v>
      </c>
    </row>
    <row r="7743">
      <c r="A7743" s="3">
        <v>45736.0</v>
      </c>
      <c r="B7743" s="4">
        <v>0.34305555555555556</v>
      </c>
      <c r="C7743" s="5" t="s">
        <v>26</v>
      </c>
      <c r="D7743" s="5" t="s">
        <v>1250</v>
      </c>
      <c r="E7743" s="8" t="s">
        <v>217</v>
      </c>
      <c r="F7743" s="5" t="s">
        <v>218</v>
      </c>
      <c r="G7743" s="6" t="str">
        <f>VLOOKUP(E7743,dicionario!$A$1:$C8142,2,0)</f>
        <v>Athene cunicularia</v>
      </c>
      <c r="H7743" s="6" t="str">
        <f>VLOOKUP(E7743,dicionario!$A$1:$C8142,3,0)</f>
        <v>coruja-buraqueira</v>
      </c>
    </row>
    <row r="7744">
      <c r="A7744" s="3">
        <v>45736.0</v>
      </c>
      <c r="B7744" s="4">
        <v>0.34305555555555556</v>
      </c>
      <c r="C7744" s="5" t="s">
        <v>26</v>
      </c>
      <c r="D7744" s="5" t="s">
        <v>1250</v>
      </c>
      <c r="E7744" s="6" t="s">
        <v>14</v>
      </c>
      <c r="F7744" s="5" t="s">
        <v>922</v>
      </c>
      <c r="G7744" s="6" t="str">
        <f>VLOOKUP(E7744,dicionario!$A$1:$C8143,2,0)</f>
        <v>Spermacoce verticillata</v>
      </c>
      <c r="H7744" s="6" t="str">
        <f>VLOOKUP(E7744,dicionario!$A$1:$C8143,3,0)</f>
        <v>vassourinha-de-botão</v>
      </c>
    </row>
    <row r="7745">
      <c r="A7745" s="3">
        <v>45736.0</v>
      </c>
      <c r="B7745" s="4">
        <v>0.34305555555555556</v>
      </c>
      <c r="C7745" s="5" t="s">
        <v>26</v>
      </c>
      <c r="D7745" s="5" t="s">
        <v>1250</v>
      </c>
      <c r="E7745" s="6" t="s">
        <v>253</v>
      </c>
      <c r="F7745" s="5" t="s">
        <v>254</v>
      </c>
      <c r="G7745" s="6" t="str">
        <f>VLOOKUP(E7745,dicionario!$A$1:$C8144,2,0)</f>
        <v>Panicum maximum</v>
      </c>
      <c r="H7745" s="6" t="str">
        <f>VLOOKUP(E7745,dicionario!$A$1:$C8144,3,0)</f>
        <v>capim-colonião</v>
      </c>
    </row>
    <row r="7746">
      <c r="A7746" s="3">
        <v>45736.0</v>
      </c>
      <c r="B7746" s="4">
        <v>0.34305555555555556</v>
      </c>
      <c r="C7746" s="5" t="s">
        <v>26</v>
      </c>
      <c r="D7746" s="5" t="s">
        <v>1250</v>
      </c>
      <c r="E7746" s="8" t="s">
        <v>60</v>
      </c>
      <c r="F7746" s="5" t="s">
        <v>61</v>
      </c>
      <c r="G7746" s="6" t="str">
        <f>VLOOKUP(E7746,dicionario!$A$1:$C8145,2,0)</f>
        <v>Vanellus chilensis</v>
      </c>
      <c r="H7746" s="6" t="str">
        <f>VLOOKUP(E7746,dicionario!$A$1:$C8145,3,0)</f>
        <v>quero-quero</v>
      </c>
    </row>
    <row r="7747">
      <c r="A7747" s="3">
        <v>45736.0</v>
      </c>
      <c r="B7747" s="4">
        <v>0.34375</v>
      </c>
      <c r="C7747" s="5" t="s">
        <v>26</v>
      </c>
      <c r="D7747" s="5" t="s">
        <v>1250</v>
      </c>
      <c r="E7747" s="8" t="s">
        <v>366</v>
      </c>
      <c r="F7747" s="5" t="s">
        <v>367</v>
      </c>
      <c r="G7747" s="6" t="str">
        <f>VLOOKUP(E7747,dicionario!$A$1:$C8146,2,0)</f>
        <v>Alternanthera ficoidea</v>
      </c>
      <c r="H7747" s="6" t="str">
        <f>VLOOKUP(E7747,dicionario!$A$1:$C8146,3,0)</f>
        <v>quebra-panela</v>
      </c>
    </row>
    <row r="7748">
      <c r="A7748" s="3">
        <v>45736.0</v>
      </c>
      <c r="B7748" s="4">
        <v>0.34444444444444444</v>
      </c>
      <c r="C7748" s="5" t="s">
        <v>26</v>
      </c>
      <c r="D7748" s="5" t="s">
        <v>1250</v>
      </c>
      <c r="E7748" s="8" t="s">
        <v>338</v>
      </c>
      <c r="F7748" s="5" t="s">
        <v>929</v>
      </c>
      <c r="G7748" s="6" t="str">
        <f>VLOOKUP(E7748,dicionario!$A$1:$C8147,2,0)</f>
        <v>Atta</v>
      </c>
      <c r="H7748" s="6" t="str">
        <f>VLOOKUP(E7748,dicionario!$A$1:$C8147,3,0)</f>
        <v>saúva</v>
      </c>
    </row>
    <row r="7749">
      <c r="A7749" s="3">
        <v>45736.0</v>
      </c>
      <c r="B7749" s="4">
        <v>0.34444444444444444</v>
      </c>
      <c r="C7749" s="5" t="s">
        <v>26</v>
      </c>
      <c r="D7749" s="5" t="s">
        <v>1250</v>
      </c>
      <c r="E7749" s="8" t="s">
        <v>65</v>
      </c>
      <c r="F7749" s="5" t="s">
        <v>66</v>
      </c>
      <c r="G7749" s="6" t="str">
        <f>VLOOKUP(E7749,dicionario!$A$1:$C8148,2,0)</f>
        <v>Pitangus sulphutarus</v>
      </c>
      <c r="H7749" s="6" t="str">
        <f>VLOOKUP(E7749,dicionario!$A$1:$C8148,3,0)</f>
        <v>bem-te-vi</v>
      </c>
    </row>
    <row r="7750">
      <c r="A7750" s="3">
        <v>45736.0</v>
      </c>
      <c r="B7750" s="4">
        <v>0.34444444444444444</v>
      </c>
      <c r="C7750" s="5" t="s">
        <v>26</v>
      </c>
      <c r="D7750" s="5" t="s">
        <v>1250</v>
      </c>
      <c r="E7750" s="8" t="s">
        <v>191</v>
      </c>
      <c r="F7750" s="5" t="s">
        <v>192</v>
      </c>
      <c r="G7750" s="6" t="str">
        <f>VLOOKUP(E7750,dicionario!$A$1:$C8149,2,0)</f>
        <v>Patagioenas picazuro</v>
      </c>
      <c r="H7750" s="6" t="str">
        <f>VLOOKUP(E7750,dicionario!$A$1:$C8149,3,0)</f>
        <v>asa-branca; pomba-asa-branca; pocaçu</v>
      </c>
    </row>
    <row r="7751">
      <c r="A7751" s="3">
        <v>45736.0</v>
      </c>
      <c r="B7751" s="4">
        <v>0.3451388888888889</v>
      </c>
      <c r="C7751" s="5" t="s">
        <v>26</v>
      </c>
      <c r="D7751" s="5" t="s">
        <v>1250</v>
      </c>
      <c r="E7751" s="8" t="s">
        <v>935</v>
      </c>
      <c r="F7751" s="5" t="s">
        <v>936</v>
      </c>
      <c r="G7751" s="6" t="str">
        <f>VLOOKUP(E7751,dicionario!$A$1:$C8150,2,0)</f>
        <v>#N/A</v>
      </c>
      <c r="H7751" s="6" t="str">
        <f>VLOOKUP(E7751,dicionario!$A$1:$C8150,3,0)</f>
        <v>#N/A</v>
      </c>
    </row>
    <row r="7752">
      <c r="A7752" s="3">
        <v>45736.0</v>
      </c>
      <c r="B7752" s="4">
        <v>0.3451388888888889</v>
      </c>
      <c r="C7752" s="5" t="s">
        <v>26</v>
      </c>
      <c r="D7752" s="5" t="s">
        <v>1250</v>
      </c>
      <c r="E7752" s="8" t="s">
        <v>163</v>
      </c>
      <c r="F7752" s="5" t="s">
        <v>164</v>
      </c>
      <c r="G7752" s="6" t="str">
        <f>VLOOKUP(E7752,dicionario!$A$1:$C8151,2,0)</f>
        <v>Coragyps atratus</v>
      </c>
      <c r="H7752" s="6" t="str">
        <f>VLOOKUP(E7752,dicionario!$A$1:$C8151,3,0)</f>
        <v>urubu-de-cabeça-preta</v>
      </c>
    </row>
    <row r="7753">
      <c r="A7753" s="3">
        <v>45736.0</v>
      </c>
      <c r="B7753" s="4">
        <v>0.3458333333333333</v>
      </c>
      <c r="C7753" s="5" t="s">
        <v>26</v>
      </c>
      <c r="D7753" s="5" t="s">
        <v>1250</v>
      </c>
      <c r="E7753" s="8" t="s">
        <v>915</v>
      </c>
      <c r="F7753" s="5" t="s">
        <v>1275</v>
      </c>
      <c r="G7753" s="6" t="str">
        <f>VLOOKUP(E7753,dicionario!$A$1:$C8152,2,0)</f>
        <v>Tachycineta albiventer</v>
      </c>
      <c r="H7753" s="6" t="str">
        <f>VLOOKUP(E7753,dicionario!$A$1:$C8152,3,0)</f>
        <v>andorinha-de-rio</v>
      </c>
    </row>
    <row r="7754">
      <c r="A7754" s="3">
        <v>45736.0</v>
      </c>
      <c r="B7754" s="4">
        <v>0.34652777777777777</v>
      </c>
      <c r="C7754" s="5" t="s">
        <v>26</v>
      </c>
      <c r="D7754" s="5" t="s">
        <v>1250</v>
      </c>
      <c r="E7754" s="8" t="s">
        <v>175</v>
      </c>
      <c r="F7754" s="5" t="s">
        <v>176</v>
      </c>
      <c r="G7754" s="6" t="str">
        <f>VLOOKUP(E7754,dicionario!$A$1:$C8153,2,0)</f>
        <v>Turdus leucomelas</v>
      </c>
      <c r="H7754" s="6" t="str">
        <f>VLOOKUP(E7754,dicionario!$A$1:$C8153,3,0)</f>
        <v>sabiá-barranco</v>
      </c>
    </row>
    <row r="7755">
      <c r="A7755" s="3">
        <v>45736.0</v>
      </c>
      <c r="B7755" s="4">
        <v>0.34791666666666665</v>
      </c>
      <c r="C7755" s="5" t="s">
        <v>8</v>
      </c>
      <c r="D7755" s="5" t="s">
        <v>1250</v>
      </c>
      <c r="E7755" s="8" t="s">
        <v>135</v>
      </c>
      <c r="F7755" s="5" t="s">
        <v>136</v>
      </c>
      <c r="G7755" s="6" t="str">
        <f>VLOOKUP(E7755,dicionario!$A$1:$C8154,2,0)</f>
        <v>Tridax procumbens</v>
      </c>
      <c r="H7755" s="6" t="str">
        <f>VLOOKUP(E7755,dicionario!$A$1:$C8154,3,0)</f>
        <v>erva-de-touro</v>
      </c>
    </row>
    <row r="7756">
      <c r="A7756" s="3">
        <v>45736.0</v>
      </c>
      <c r="B7756" s="4">
        <v>0.34791666666666665</v>
      </c>
      <c r="C7756" s="5" t="s">
        <v>8</v>
      </c>
      <c r="D7756" s="5" t="s">
        <v>1250</v>
      </c>
      <c r="E7756" s="8" t="s">
        <v>109</v>
      </c>
      <c r="F7756" s="5" t="s">
        <v>110</v>
      </c>
      <c r="G7756" s="6" t="str">
        <f>VLOOKUP(E7756,dicionario!$A$1:$C8155,2,0)</f>
        <v>Tillandsia stricta</v>
      </c>
      <c r="H7756" s="6" t="str">
        <f>VLOOKUP(E7756,dicionario!$A$1:$C8155,3,0)</f>
        <v>cravo-do-mato</v>
      </c>
    </row>
    <row r="7757">
      <c r="A7757" s="3">
        <v>45736.0</v>
      </c>
      <c r="B7757" s="4">
        <v>0.3486111111111111</v>
      </c>
      <c r="C7757" s="5" t="s">
        <v>8</v>
      </c>
      <c r="D7757" s="5" t="s">
        <v>1250</v>
      </c>
      <c r="E7757" s="8" t="s">
        <v>712</v>
      </c>
      <c r="F7757" s="5" t="s">
        <v>718</v>
      </c>
      <c r="G7757" s="6" t="str">
        <f>VLOOKUP(E7757,dicionario!$A$1:$C8156,2,0)</f>
        <v>Flavopunctelia soredica</v>
      </c>
      <c r="H7757" s="6" t="str">
        <f>VLOOKUP(E7757,dicionario!$A$1:$C8156,3,0)</f>
        <v>líquen-folioso</v>
      </c>
    </row>
    <row r="7758">
      <c r="A7758" s="3">
        <v>45736.0</v>
      </c>
      <c r="B7758" s="4">
        <v>0.3486111111111111</v>
      </c>
      <c r="C7758" s="5" t="s">
        <v>8</v>
      </c>
      <c r="D7758" s="5" t="s">
        <v>1250</v>
      </c>
      <c r="E7758" s="8" t="s">
        <v>719</v>
      </c>
      <c r="F7758" s="5" t="s">
        <v>720</v>
      </c>
      <c r="G7758" s="6" t="str">
        <f>VLOOKUP(E7758,dicionario!$A$1:$C8157,2,0)</f>
        <v>Dirinaria</v>
      </c>
      <c r="H7758" s="6" t="str">
        <f>VLOOKUP(E7758,dicionario!$A$1:$C8157,3,0)</f>
        <v>líquen-crostoso</v>
      </c>
    </row>
    <row r="7759">
      <c r="A7759" s="3">
        <v>45736.0</v>
      </c>
      <c r="B7759" s="4">
        <v>0.3486111111111111</v>
      </c>
      <c r="C7759" s="5" t="s">
        <v>8</v>
      </c>
      <c r="D7759" s="5" t="s">
        <v>1250</v>
      </c>
      <c r="E7759" s="8" t="s">
        <v>1240</v>
      </c>
      <c r="F7759" s="5" t="s">
        <v>108</v>
      </c>
      <c r="G7759" s="6" t="str">
        <f>VLOOKUP(E7759,dicionario!$A$1:$C8158,2,0)</f>
        <v>#N/A</v>
      </c>
      <c r="H7759" s="6" t="str">
        <f>VLOOKUP(E7759,dicionario!$A$1:$C8158,3,0)</f>
        <v>#N/A</v>
      </c>
    </row>
    <row r="7760">
      <c r="A7760" s="3">
        <v>45736.0</v>
      </c>
      <c r="B7760" s="4">
        <v>0.3486111111111111</v>
      </c>
      <c r="C7760" s="5" t="s">
        <v>8</v>
      </c>
      <c r="D7760" s="5" t="s">
        <v>1250</v>
      </c>
      <c r="E7760" s="8" t="s">
        <v>154</v>
      </c>
      <c r="F7760" s="5" t="s">
        <v>155</v>
      </c>
      <c r="G7760" s="6" t="str">
        <f>VLOOKUP(E7760,dicionario!$A$1:$C8159,2,0)</f>
        <v>Cyperus rotundus</v>
      </c>
      <c r="H7760" s="6" t="str">
        <f>VLOOKUP(E7760,dicionario!$A$1:$C8159,3,0)</f>
        <v>tiririca</v>
      </c>
    </row>
    <row r="7761">
      <c r="A7761" s="3">
        <v>45736.0</v>
      </c>
      <c r="B7761" s="4">
        <v>0.34930555555555554</v>
      </c>
      <c r="C7761" s="5" t="s">
        <v>8</v>
      </c>
      <c r="D7761" s="5" t="s">
        <v>1250</v>
      </c>
      <c r="E7761" s="8" t="s">
        <v>360</v>
      </c>
      <c r="F7761" s="5" t="s">
        <v>361</v>
      </c>
      <c r="G7761" s="6" t="str">
        <f>VLOOKUP(E7761,dicionario!$A$1:$C8160,2,0)</f>
        <v>Chamaecrista rotundifolia</v>
      </c>
      <c r="H7761" s="6" t="str">
        <f>VLOOKUP(E7761,dicionario!$A$1:$C8160,3,0)</f>
        <v>alfafa-nativa</v>
      </c>
    </row>
    <row r="7762">
      <c r="A7762" s="3">
        <v>45736.0</v>
      </c>
      <c r="B7762" s="4">
        <v>0.34930555555555554</v>
      </c>
      <c r="C7762" s="5" t="s">
        <v>8</v>
      </c>
      <c r="D7762" s="5" t="s">
        <v>1250</v>
      </c>
      <c r="E7762" s="8" t="s">
        <v>163</v>
      </c>
      <c r="F7762" s="5" t="s">
        <v>164</v>
      </c>
      <c r="G7762" s="6" t="str">
        <f>VLOOKUP(E7762,dicionario!$A$1:$C8161,2,0)</f>
        <v>Coragyps atratus</v>
      </c>
      <c r="H7762" s="6" t="str">
        <f>VLOOKUP(E7762,dicionario!$A$1:$C8161,3,0)</f>
        <v>urubu-de-cabeça-preta</v>
      </c>
    </row>
    <row r="7763">
      <c r="A7763" s="3">
        <v>45736.0</v>
      </c>
      <c r="B7763" s="4">
        <v>0.34930555555555554</v>
      </c>
      <c r="C7763" s="5" t="s">
        <v>8</v>
      </c>
      <c r="D7763" s="5" t="s">
        <v>1250</v>
      </c>
      <c r="E7763" s="8" t="s">
        <v>195</v>
      </c>
      <c r="F7763" s="5" t="s">
        <v>196</v>
      </c>
      <c r="G7763" s="6" t="str">
        <f>VLOOKUP(E7763,dicionario!$A$1:$C8162,2,0)</f>
        <v>Priva lappulacea</v>
      </c>
      <c r="H7763" s="6" t="str">
        <f>VLOOKUP(E7763,dicionario!$A$1:$C8162,3,0)</f>
        <v>carrapicho</v>
      </c>
    </row>
    <row r="7764">
      <c r="A7764" s="3">
        <v>45736.0</v>
      </c>
      <c r="B7764" s="4">
        <v>0.34930555555555554</v>
      </c>
      <c r="C7764" s="5" t="s">
        <v>8</v>
      </c>
      <c r="D7764" s="5" t="s">
        <v>1250</v>
      </c>
      <c r="E7764" s="8" t="s">
        <v>247</v>
      </c>
      <c r="F7764" s="5" t="s">
        <v>248</v>
      </c>
      <c r="G7764" s="6" t="str">
        <f>VLOOKUP(E7764,dicionario!$A$1:$C8163,2,0)</f>
        <v>Emilia sonchifolia</v>
      </c>
      <c r="H7764" s="6" t="str">
        <f>VLOOKUP(E7764,dicionario!$A$1:$C8163,3,0)</f>
        <v>serralinha</v>
      </c>
    </row>
    <row r="7765">
      <c r="A7765" s="3">
        <v>45736.0</v>
      </c>
      <c r="B7765" s="4">
        <v>0.35</v>
      </c>
      <c r="C7765" s="5" t="s">
        <v>8</v>
      </c>
      <c r="D7765" s="5" t="s">
        <v>1250</v>
      </c>
      <c r="E7765" s="8" t="s">
        <v>113</v>
      </c>
      <c r="F7765" s="5" t="s">
        <v>114</v>
      </c>
      <c r="G7765" s="6" t="str">
        <f>VLOOKUP(E7765,dicionario!$A$1:$C8164,2,0)</f>
        <v>Columbina talpacoti</v>
      </c>
      <c r="H7765" s="6" t="str">
        <f>VLOOKUP(E7765,dicionario!$A$1:$C8164,3,0)</f>
        <v>rolinha-roxa</v>
      </c>
    </row>
    <row r="7766">
      <c r="A7766" s="3">
        <v>45736.0</v>
      </c>
      <c r="B7766" s="4">
        <v>0.35</v>
      </c>
      <c r="C7766" s="5" t="s">
        <v>8</v>
      </c>
      <c r="D7766" s="5" t="s">
        <v>1250</v>
      </c>
      <c r="E7766" s="8" t="s">
        <v>1276</v>
      </c>
      <c r="F7766" s="5" t="s">
        <v>205</v>
      </c>
      <c r="G7766" s="6" t="str">
        <f>VLOOKUP(E7766,dicionario!$A$1:$C8165,2,0)</f>
        <v>#N/A</v>
      </c>
      <c r="H7766" s="6" t="str">
        <f>VLOOKUP(E7766,dicionario!$A$1:$C8165,3,0)</f>
        <v>#N/A</v>
      </c>
    </row>
    <row r="7767">
      <c r="A7767" s="3">
        <v>45736.0</v>
      </c>
      <c r="B7767" s="4">
        <v>0.35</v>
      </c>
      <c r="C7767" s="5" t="s">
        <v>8</v>
      </c>
      <c r="D7767" s="5" t="s">
        <v>1250</v>
      </c>
      <c r="E7767" s="8" t="s">
        <v>353</v>
      </c>
      <c r="F7767" s="5" t="s">
        <v>354</v>
      </c>
      <c r="G7767" s="6" t="str">
        <f>VLOOKUP(E7767,dicionario!$A$1:$C8166,2,0)</f>
        <v>Desmodium incanum</v>
      </c>
      <c r="H7767" s="6" t="str">
        <f>VLOOKUP(E7767,dicionario!$A$1:$C8166,3,0)</f>
        <v>pega-pega</v>
      </c>
    </row>
    <row r="7768">
      <c r="A7768" s="3">
        <v>45736.0</v>
      </c>
      <c r="B7768" s="4">
        <v>0.3506944444444444</v>
      </c>
      <c r="C7768" s="5" t="s">
        <v>8</v>
      </c>
      <c r="D7768" s="5" t="s">
        <v>1250</v>
      </c>
      <c r="E7768" s="8" t="s">
        <v>1186</v>
      </c>
      <c r="F7768" s="5" t="s">
        <v>1187</v>
      </c>
      <c r="G7768" s="6" t="str">
        <f>VLOOKUP(E7768,dicionario!$A$1:$C8167,2,0)</f>
        <v>Dione vanillae</v>
      </c>
      <c r="H7768" s="6" t="str">
        <f>VLOOKUP(E7768,dicionario!$A$1:$C8167,3,0)</f>
        <v>borboleta-paixão</v>
      </c>
    </row>
    <row r="7769">
      <c r="A7769" s="3">
        <v>45736.0</v>
      </c>
      <c r="B7769" s="4">
        <v>0.3506944444444444</v>
      </c>
      <c r="C7769" s="5" t="s">
        <v>8</v>
      </c>
      <c r="D7769" s="5" t="s">
        <v>1250</v>
      </c>
      <c r="E7769" s="8" t="s">
        <v>1277</v>
      </c>
      <c r="F7769" s="5" t="s">
        <v>462</v>
      </c>
      <c r="G7769" s="6" t="str">
        <f>VLOOKUP(E7769,dicionario!$A$1:$C8168,2,0)</f>
        <v>#N/A</v>
      </c>
      <c r="H7769" s="6" t="str">
        <f>VLOOKUP(E7769,dicionario!$A$1:$C8168,3,0)</f>
        <v>#N/A</v>
      </c>
    </row>
    <row r="7770">
      <c r="A7770" s="3">
        <v>45736.0</v>
      </c>
      <c r="B7770" s="4">
        <v>0.35138888888888886</v>
      </c>
      <c r="C7770" s="5" t="s">
        <v>8</v>
      </c>
      <c r="D7770" s="5" t="s">
        <v>1250</v>
      </c>
      <c r="E7770" s="8" t="s">
        <v>152</v>
      </c>
      <c r="F7770" s="5" t="s">
        <v>153</v>
      </c>
      <c r="G7770" s="6" t="str">
        <f>VLOOKUP(E7770,dicionario!$A$1:$C8169,2,0)</f>
        <v>Cynodon dactylon</v>
      </c>
      <c r="H7770" s="6" t="str">
        <f>VLOOKUP(E7770,dicionario!$A$1:$C8169,3,0)</f>
        <v>grama-bermuda</v>
      </c>
    </row>
    <row r="7771">
      <c r="A7771" s="3">
        <v>45736.0</v>
      </c>
      <c r="B7771" s="4">
        <v>0.35347222222222224</v>
      </c>
      <c r="C7771" s="5" t="s">
        <v>8</v>
      </c>
      <c r="D7771" s="5" t="s">
        <v>1250</v>
      </c>
      <c r="E7771" s="8" t="s">
        <v>65</v>
      </c>
      <c r="F7771" s="5" t="s">
        <v>66</v>
      </c>
      <c r="G7771" s="6" t="str">
        <f>VLOOKUP(E7771,dicionario!$A$1:$C8170,2,0)</f>
        <v>Pitangus sulphutarus</v>
      </c>
      <c r="H7771" s="6" t="str">
        <f>VLOOKUP(E7771,dicionario!$A$1:$C8170,3,0)</f>
        <v>bem-te-vi</v>
      </c>
    </row>
    <row r="7772">
      <c r="A7772" s="3">
        <v>45736.0</v>
      </c>
      <c r="B7772" s="4">
        <v>0.3541666666666667</v>
      </c>
      <c r="C7772" s="5" t="s">
        <v>8</v>
      </c>
      <c r="D7772" s="5" t="s">
        <v>1250</v>
      </c>
      <c r="E7772" s="8" t="s">
        <v>215</v>
      </c>
      <c r="F7772" s="5" t="s">
        <v>216</v>
      </c>
      <c r="G7772" s="6" t="str">
        <f>VLOOKUP(E7772,dicionario!$A$1:$C8171,2,0)</f>
        <v>Pygochelidon cyanoleuca</v>
      </c>
      <c r="H7772" s="6" t="str">
        <f>VLOOKUP(E7772,dicionario!$A$1:$C8171,3,0)</f>
        <v>andorinha-pequena-de-casa</v>
      </c>
    </row>
    <row r="7773">
      <c r="A7773" s="3">
        <v>45736.0</v>
      </c>
      <c r="B7773" s="4">
        <v>0.3541666666666667</v>
      </c>
      <c r="C7773" s="5" t="s">
        <v>8</v>
      </c>
      <c r="D7773" s="5" t="s">
        <v>1250</v>
      </c>
      <c r="E7773" s="8" t="s">
        <v>191</v>
      </c>
      <c r="F7773" s="5" t="s">
        <v>192</v>
      </c>
      <c r="G7773" s="6" t="str">
        <f>VLOOKUP(E7773,dicionario!$A$1:$C8172,2,0)</f>
        <v>Patagioenas picazuro</v>
      </c>
      <c r="H7773" s="6" t="str">
        <f>VLOOKUP(E7773,dicionario!$A$1:$C8172,3,0)</f>
        <v>asa-branca; pomba-asa-branca; pocaçu</v>
      </c>
    </row>
    <row r="7774">
      <c r="A7774" s="3">
        <v>45736.0</v>
      </c>
      <c r="B7774" s="4">
        <v>0.35555555555555557</v>
      </c>
      <c r="C7774" s="5" t="s">
        <v>8</v>
      </c>
      <c r="D7774" s="5" t="s">
        <v>1250</v>
      </c>
      <c r="E7774" s="8" t="s">
        <v>239</v>
      </c>
      <c r="F7774" s="5" t="s">
        <v>240</v>
      </c>
      <c r="G7774" s="6" t="str">
        <f>VLOOKUP(E7774,dicionario!$A$1:$C8173,2,0)</f>
        <v>Gomphrena celosioides</v>
      </c>
      <c r="H7774" s="6" t="str">
        <f>VLOOKUP(E7774,dicionario!$A$1:$C8173,3,0)</f>
        <v>perpétua-branca</v>
      </c>
    </row>
    <row r="7775">
      <c r="A7775" s="3">
        <v>45743.0</v>
      </c>
      <c r="B7775" s="4">
        <v>0.2569444444444444</v>
      </c>
      <c r="C7775" s="5" t="s">
        <v>906</v>
      </c>
      <c r="D7775" s="5" t="s">
        <v>1278</v>
      </c>
      <c r="E7775" s="8" t="s">
        <v>109</v>
      </c>
      <c r="F7775" s="5" t="s">
        <v>110</v>
      </c>
      <c r="G7775" s="6" t="str">
        <f>VLOOKUP(E7775,dicionario!$A$1:$C8174,2,0)</f>
        <v>Tillandsia stricta</v>
      </c>
      <c r="H7775" s="6" t="str">
        <f>VLOOKUP(E7775,dicionario!$A$1:$C8174,3,0)</f>
        <v>cravo-do-mato</v>
      </c>
    </row>
    <row r="7776">
      <c r="A7776" s="3">
        <v>45743.0</v>
      </c>
      <c r="B7776" s="4">
        <v>0.2569444444444444</v>
      </c>
      <c r="C7776" s="5" t="s">
        <v>906</v>
      </c>
      <c r="D7776" s="5" t="s">
        <v>1278</v>
      </c>
      <c r="E7776" s="8" t="s">
        <v>1084</v>
      </c>
      <c r="F7776" s="5" t="s">
        <v>1279</v>
      </c>
      <c r="G7776" s="6" t="str">
        <f>VLOOKUP(E7776,dicionario!$A$1:$C8175,2,0)</f>
        <v>#N/A</v>
      </c>
      <c r="H7776" s="6" t="str">
        <f>VLOOKUP(E7776,dicionario!$A$1:$C8175,3,0)</f>
        <v>#N/A</v>
      </c>
    </row>
    <row r="7777">
      <c r="A7777" s="3">
        <v>45743.0</v>
      </c>
      <c r="B7777" s="4">
        <v>0.2569444444444444</v>
      </c>
      <c r="C7777" s="5" t="s">
        <v>906</v>
      </c>
      <c r="D7777" s="5" t="s">
        <v>1278</v>
      </c>
      <c r="E7777" s="8" t="s">
        <v>498</v>
      </c>
      <c r="F7777" s="5" t="s">
        <v>499</v>
      </c>
      <c r="G7777" s="6" t="str">
        <f>VLOOKUP(E7777,dicionario!$A$1:$C8176,2,0)</f>
        <v>Brachiaria decumbens</v>
      </c>
      <c r="H7777" s="6" t="str">
        <f>VLOOKUP(E7777,dicionario!$A$1:$C8176,3,0)</f>
        <v>capim-braquiária</v>
      </c>
    </row>
    <row r="7778">
      <c r="A7778" s="3">
        <v>45743.0</v>
      </c>
      <c r="B7778" s="4">
        <v>0.2569444444444444</v>
      </c>
      <c r="C7778" s="5" t="s">
        <v>906</v>
      </c>
      <c r="D7778" s="5" t="s">
        <v>1278</v>
      </c>
      <c r="E7778" s="8" t="s">
        <v>1280</v>
      </c>
      <c r="F7778" s="5" t="s">
        <v>1156</v>
      </c>
      <c r="G7778" s="6" t="str">
        <f>VLOOKUP(E7778,dicionario!$A$1:$C8177,2,0)</f>
        <v>Paspalum notatum</v>
      </c>
      <c r="H7778" s="6" t="str">
        <f>VLOOKUP(E7778,dicionario!$A$1:$C8177,3,0)</f>
        <v>capim-forquilha</v>
      </c>
    </row>
    <row r="7779">
      <c r="A7779" s="3">
        <v>45743.0</v>
      </c>
      <c r="B7779" s="4">
        <v>0.2569444444444444</v>
      </c>
      <c r="C7779" s="5" t="s">
        <v>906</v>
      </c>
      <c r="D7779" s="5" t="s">
        <v>1278</v>
      </c>
      <c r="E7779" s="8" t="s">
        <v>65</v>
      </c>
      <c r="F7779" s="5" t="s">
        <v>66</v>
      </c>
      <c r="G7779" s="6" t="str">
        <f>VLOOKUP(E7779,dicionario!$A$1:$C8178,2,0)</f>
        <v>Pitangus sulphutarus</v>
      </c>
      <c r="H7779" s="6" t="str">
        <f>VLOOKUP(E7779,dicionario!$A$1:$C8178,3,0)</f>
        <v>bem-te-vi</v>
      </c>
    </row>
    <row r="7780">
      <c r="A7780" s="3">
        <v>45743.0</v>
      </c>
      <c r="B7780" s="4">
        <v>0.2569444444444444</v>
      </c>
      <c r="C7780" s="5" t="s">
        <v>906</v>
      </c>
      <c r="D7780" s="5" t="s">
        <v>1278</v>
      </c>
      <c r="E7780" s="8" t="s">
        <v>302</v>
      </c>
      <c r="F7780" s="5" t="s">
        <v>303</v>
      </c>
      <c r="G7780" s="6" t="str">
        <f>VLOOKUP(E7780,dicionario!$A$1:$C8179,2,0)</f>
        <v>Machetornis rixosa</v>
      </c>
      <c r="H7780" s="6" t="str">
        <f>VLOOKUP(E7780,dicionario!$A$1:$C8179,3,0)</f>
        <v>suiriri-cavaleiro</v>
      </c>
    </row>
    <row r="7781">
      <c r="A7781" s="3">
        <v>45743.0</v>
      </c>
      <c r="B7781" s="4">
        <v>0.25763888888888886</v>
      </c>
      <c r="C7781" s="5" t="s">
        <v>906</v>
      </c>
      <c r="D7781" s="5" t="s">
        <v>1278</v>
      </c>
      <c r="E7781" s="8" t="s">
        <v>20</v>
      </c>
      <c r="F7781" s="5" t="s">
        <v>21</v>
      </c>
      <c r="G7781" s="6" t="str">
        <f>VLOOKUP(E7781,dicionario!$A$1:$C8180,2,0)</f>
        <v>Sicalis flaveola</v>
      </c>
      <c r="H7781" s="6" t="str">
        <f>VLOOKUP(E7781,dicionario!$A$1:$C8180,3,0)</f>
        <v>canário-da-terra</v>
      </c>
    </row>
    <row r="7782">
      <c r="A7782" s="3">
        <v>45743.0</v>
      </c>
      <c r="B7782" s="4">
        <v>0.25763888888888886</v>
      </c>
      <c r="C7782" s="5" t="s">
        <v>906</v>
      </c>
      <c r="D7782" s="5" t="s">
        <v>1278</v>
      </c>
      <c r="E7782" s="8" t="s">
        <v>88</v>
      </c>
      <c r="F7782" s="5" t="s">
        <v>89</v>
      </c>
      <c r="G7782" s="6" t="str">
        <f>VLOOKUP(E7782,dicionario!$A$1:$C8181,2,0)</f>
        <v>Tyrannus melancolichus</v>
      </c>
      <c r="H7782" s="6" t="str">
        <f>VLOOKUP(E7782,dicionario!$A$1:$C8181,3,0)</f>
        <v>suiriri</v>
      </c>
    </row>
    <row r="7783">
      <c r="A7783" s="3">
        <v>45743.0</v>
      </c>
      <c r="B7783" s="4">
        <v>0.25833333333333336</v>
      </c>
      <c r="C7783" s="5" t="s">
        <v>906</v>
      </c>
      <c r="D7783" s="5" t="s">
        <v>1278</v>
      </c>
      <c r="E7783" s="8" t="s">
        <v>215</v>
      </c>
      <c r="F7783" s="5" t="s">
        <v>216</v>
      </c>
      <c r="G7783" s="6" t="str">
        <f>VLOOKUP(E7783,dicionario!$A$1:$C8182,2,0)</f>
        <v>Pygochelidon cyanoleuca</v>
      </c>
      <c r="H7783" s="6" t="str">
        <f>VLOOKUP(E7783,dicionario!$A$1:$C8182,3,0)</f>
        <v>andorinha-pequena-de-casa</v>
      </c>
    </row>
    <row r="7784">
      <c r="A7784" s="3">
        <v>45743.0</v>
      </c>
      <c r="B7784" s="4">
        <v>0.25833333333333336</v>
      </c>
      <c r="C7784" s="5" t="s">
        <v>906</v>
      </c>
      <c r="D7784" s="5" t="s">
        <v>1278</v>
      </c>
      <c r="E7784" s="8" t="s">
        <v>360</v>
      </c>
      <c r="F7784" s="5" t="s">
        <v>361</v>
      </c>
      <c r="G7784" s="6" t="str">
        <f>VLOOKUP(E7784,dicionario!$A$1:$C8183,2,0)</f>
        <v>Chamaecrista rotundifolia</v>
      </c>
      <c r="H7784" s="6" t="str">
        <f>VLOOKUP(E7784,dicionario!$A$1:$C8183,3,0)</f>
        <v>alfafa-nativa</v>
      </c>
    </row>
    <row r="7785">
      <c r="A7785" s="3">
        <v>45743.0</v>
      </c>
      <c r="B7785" s="4">
        <v>0.25833333333333336</v>
      </c>
      <c r="C7785" s="5" t="s">
        <v>906</v>
      </c>
      <c r="D7785" s="5" t="s">
        <v>1278</v>
      </c>
      <c r="E7785" s="8" t="s">
        <v>162</v>
      </c>
      <c r="F7785" s="5" t="s">
        <v>42</v>
      </c>
      <c r="G7785" s="6" t="str">
        <f>VLOOKUP(E7785,dicionario!$A$1:$C8184,2,0)</f>
        <v>Fluvicola nengeta</v>
      </c>
      <c r="H7785" s="6" t="str">
        <f>VLOOKUP(E7785,dicionario!$A$1:$C8184,3,0)</f>
        <v>lavadeira-mascarada</v>
      </c>
    </row>
    <row r="7786">
      <c r="A7786" s="3">
        <v>45743.0</v>
      </c>
      <c r="B7786" s="4">
        <v>0.25972222222222224</v>
      </c>
      <c r="C7786" s="5" t="s">
        <v>906</v>
      </c>
      <c r="D7786" s="5" t="s">
        <v>1278</v>
      </c>
      <c r="E7786" s="8" t="s">
        <v>38</v>
      </c>
      <c r="F7786" s="5" t="s">
        <v>1251</v>
      </c>
      <c r="G7786" s="6" t="str">
        <f>VLOOKUP(E7786,dicionario!$A$1:$C8185,2,0)</f>
        <v>Troglodytes musculus</v>
      </c>
      <c r="H7786" s="6" t="str">
        <f>VLOOKUP(E7786,dicionario!$A$1:$C8185,3,0)</f>
        <v>curruíra</v>
      </c>
    </row>
    <row r="7787">
      <c r="A7787" s="3">
        <v>45743.0</v>
      </c>
      <c r="B7787" s="4">
        <v>0.25972222222222224</v>
      </c>
      <c r="C7787" s="5" t="s">
        <v>906</v>
      </c>
      <c r="D7787" s="5" t="s">
        <v>1278</v>
      </c>
      <c r="E7787" s="6" t="s">
        <v>48</v>
      </c>
      <c r="F7787" s="5" t="s">
        <v>49</v>
      </c>
      <c r="G7787" s="6" t="str">
        <f>VLOOKUP(E7787,dicionario!$A$1:$C8186,2,0)</f>
        <v>Commelina erecta</v>
      </c>
      <c r="H7787" s="6" t="str">
        <f>VLOOKUP(E7787,dicionario!$A$1:$C8186,3,0)</f>
        <v>trapoeraba</v>
      </c>
    </row>
    <row r="7788">
      <c r="A7788" s="3">
        <v>45743.0</v>
      </c>
      <c r="B7788" s="4">
        <v>0.2604166666666667</v>
      </c>
      <c r="C7788" s="5" t="s">
        <v>906</v>
      </c>
      <c r="D7788" s="5" t="s">
        <v>1278</v>
      </c>
      <c r="E7788" s="8" t="s">
        <v>1281</v>
      </c>
      <c r="F7788" s="5" t="s">
        <v>718</v>
      </c>
      <c r="G7788" s="6" t="str">
        <f>VLOOKUP(E7788,dicionario!$A$1:$C8187,2,0)</f>
        <v>#N/A</v>
      </c>
      <c r="H7788" s="6" t="str">
        <f>VLOOKUP(E7788,dicionario!$A$1:$C8187,3,0)</f>
        <v>#N/A</v>
      </c>
    </row>
    <row r="7789">
      <c r="A7789" s="3">
        <v>45743.0</v>
      </c>
      <c r="B7789" s="4">
        <v>0.2604166666666667</v>
      </c>
      <c r="C7789" s="5" t="s">
        <v>906</v>
      </c>
      <c r="D7789" s="5" t="s">
        <v>1278</v>
      </c>
      <c r="E7789" s="8" t="s">
        <v>103</v>
      </c>
      <c r="F7789" s="5" t="s">
        <v>104</v>
      </c>
      <c r="G7789" s="6" t="str">
        <f>VLOOKUP(E7789,dicionario!$A$1:$C8188,2,0)</f>
        <v>Caracara plancus</v>
      </c>
      <c r="H7789" s="6" t="str">
        <f>VLOOKUP(E7789,dicionario!$A$1:$C8188,3,0)</f>
        <v>carcará </v>
      </c>
    </row>
    <row r="7790">
      <c r="A7790" s="3">
        <v>45743.0</v>
      </c>
      <c r="B7790" s="4">
        <v>0.2604166666666667</v>
      </c>
      <c r="C7790" s="5" t="s">
        <v>906</v>
      </c>
      <c r="D7790" s="5" t="s">
        <v>1278</v>
      </c>
      <c r="E7790" s="8" t="s">
        <v>909</v>
      </c>
      <c r="F7790" s="5" t="s">
        <v>910</v>
      </c>
      <c r="G7790" s="6" t="str">
        <f>VLOOKUP(E7790,dicionario!$A$1:$C8189,2,0)</f>
        <v>Chordeiles acutipennis</v>
      </c>
      <c r="H7790" s="6" t="str">
        <f>VLOOKUP(E7790,dicionario!$A$1:$C8189,3,0)</f>
        <v>bacurau-de-asa-fina</v>
      </c>
    </row>
    <row r="7791">
      <c r="A7791" s="3">
        <v>45743.0</v>
      </c>
      <c r="B7791" s="4">
        <v>0.2611111111111111</v>
      </c>
      <c r="C7791" s="5" t="s">
        <v>906</v>
      </c>
      <c r="D7791" s="5" t="s">
        <v>1278</v>
      </c>
      <c r="E7791" s="8" t="s">
        <v>86</v>
      </c>
      <c r="F7791" s="5" t="s">
        <v>502</v>
      </c>
      <c r="G7791" s="6" t="str">
        <f>VLOOKUP(E7791,dicionario!$A$1:$C8190,2,0)</f>
        <v>Coereba flaveola</v>
      </c>
      <c r="H7791" s="6" t="str">
        <f>VLOOKUP(E7791,dicionario!$A$1:$C8190,3,0)</f>
        <v>cambacica</v>
      </c>
    </row>
    <row r="7792">
      <c r="A7792" s="3">
        <v>45743.0</v>
      </c>
      <c r="B7792" s="4">
        <v>0.2611111111111111</v>
      </c>
      <c r="C7792" s="5" t="s">
        <v>906</v>
      </c>
      <c r="D7792" s="5" t="s">
        <v>1278</v>
      </c>
      <c r="E7792" s="8" t="s">
        <v>193</v>
      </c>
      <c r="F7792" s="5" t="s">
        <v>194</v>
      </c>
      <c r="G7792" s="6" t="str">
        <f>VLOOKUP(E7792,dicionario!$A$1:$C8191,2,0)</f>
        <v>Conirostrum speciosum</v>
      </c>
      <c r="H7792" s="6" t="str">
        <f>VLOOKUP(E7792,dicionario!$A$1:$C8191,3,0)</f>
        <v>figuinha-de-rabo-castanho</v>
      </c>
    </row>
    <row r="7793">
      <c r="A7793" s="3">
        <v>45743.0</v>
      </c>
      <c r="B7793" s="4">
        <v>0.2611111111111111</v>
      </c>
      <c r="C7793" s="5" t="s">
        <v>906</v>
      </c>
      <c r="D7793" s="5" t="s">
        <v>1278</v>
      </c>
      <c r="E7793" s="8" t="s">
        <v>353</v>
      </c>
      <c r="F7793" s="5" t="s">
        <v>354</v>
      </c>
      <c r="G7793" s="6" t="str">
        <f>VLOOKUP(E7793,dicionario!$A$1:$C8192,2,0)</f>
        <v>Desmodium incanum</v>
      </c>
      <c r="H7793" s="6" t="str">
        <f>VLOOKUP(E7793,dicionario!$A$1:$C8192,3,0)</f>
        <v>pega-pega</v>
      </c>
    </row>
    <row r="7794">
      <c r="A7794" s="3">
        <v>45743.0</v>
      </c>
      <c r="B7794" s="4">
        <v>0.26180555555555557</v>
      </c>
      <c r="C7794" s="5" t="s">
        <v>906</v>
      </c>
      <c r="D7794" s="5" t="s">
        <v>1278</v>
      </c>
      <c r="E7794" s="8" t="s">
        <v>732</v>
      </c>
      <c r="F7794" s="5" t="s">
        <v>1230</v>
      </c>
      <c r="G7794" s="6" t="str">
        <f>VLOOKUP(E7794,dicionario!$A$1:$C8193,2,0)</f>
        <v>#N/A</v>
      </c>
      <c r="H7794" s="6" t="str">
        <f>VLOOKUP(E7794,dicionario!$A$1:$C8193,3,0)</f>
        <v>#N/A</v>
      </c>
    </row>
    <row r="7795">
      <c r="A7795" s="3">
        <v>45743.0</v>
      </c>
      <c r="B7795" s="4">
        <v>0.26180555555555557</v>
      </c>
      <c r="C7795" s="5" t="s">
        <v>906</v>
      </c>
      <c r="D7795" s="5" t="s">
        <v>1278</v>
      </c>
      <c r="E7795" s="8" t="s">
        <v>1282</v>
      </c>
      <c r="F7795" s="5" t="s">
        <v>182</v>
      </c>
      <c r="G7795" s="6" t="str">
        <f>VLOOKUP(E7795,dicionario!$A$1:$C8194,2,0)</f>
        <v>#N/A</v>
      </c>
      <c r="H7795" s="6" t="str">
        <f>VLOOKUP(E7795,dicionario!$A$1:$C8194,3,0)</f>
        <v>#N/A</v>
      </c>
    </row>
    <row r="7796">
      <c r="A7796" s="3">
        <v>45743.0</v>
      </c>
      <c r="B7796" s="4">
        <v>0.26180555555555557</v>
      </c>
      <c r="C7796" s="5" t="s">
        <v>906</v>
      </c>
      <c r="D7796" s="5" t="s">
        <v>1278</v>
      </c>
      <c r="E7796" s="8" t="s">
        <v>154</v>
      </c>
      <c r="F7796" s="5" t="s">
        <v>155</v>
      </c>
      <c r="G7796" s="6" t="str">
        <f>VLOOKUP(E7796,dicionario!$A$1:$C8195,2,0)</f>
        <v>Cyperus rotundus</v>
      </c>
      <c r="H7796" s="6" t="str">
        <f>VLOOKUP(E7796,dicionario!$A$1:$C8195,3,0)</f>
        <v>tiririca</v>
      </c>
    </row>
    <row r="7797">
      <c r="A7797" s="3">
        <v>45743.0</v>
      </c>
      <c r="B7797" s="4">
        <v>0.26180555555555557</v>
      </c>
      <c r="C7797" s="5" t="s">
        <v>906</v>
      </c>
      <c r="D7797" s="5" t="s">
        <v>1278</v>
      </c>
      <c r="E7797" s="8" t="s">
        <v>247</v>
      </c>
      <c r="F7797" s="5" t="s">
        <v>248</v>
      </c>
      <c r="G7797" s="6" t="str">
        <f>VLOOKUP(E7797,dicionario!$A$1:$C8196,2,0)</f>
        <v>Emilia sonchifolia</v>
      </c>
      <c r="H7797" s="6" t="str">
        <f>VLOOKUP(E7797,dicionario!$A$1:$C8196,3,0)</f>
        <v>serralinha</v>
      </c>
    </row>
    <row r="7798">
      <c r="A7798" s="3">
        <v>45743.0</v>
      </c>
      <c r="B7798" s="4">
        <v>0.2625</v>
      </c>
      <c r="C7798" s="5" t="s">
        <v>906</v>
      </c>
      <c r="D7798" s="5" t="s">
        <v>1278</v>
      </c>
      <c r="E7798" s="8" t="s">
        <v>135</v>
      </c>
      <c r="F7798" s="5" t="s">
        <v>136</v>
      </c>
      <c r="G7798" s="6" t="str">
        <f>VLOOKUP(E7798,dicionario!$A$1:$C8197,2,0)</f>
        <v>Tridax procumbens</v>
      </c>
      <c r="H7798" s="6" t="str">
        <f>VLOOKUP(E7798,dicionario!$A$1:$C8197,3,0)</f>
        <v>erva-de-touro</v>
      </c>
    </row>
    <row r="7799">
      <c r="A7799" s="3">
        <v>45743.0</v>
      </c>
      <c r="B7799" s="4">
        <v>0.2625</v>
      </c>
      <c r="C7799" s="5" t="s">
        <v>906</v>
      </c>
      <c r="D7799" s="5" t="s">
        <v>1278</v>
      </c>
      <c r="E7799" s="8" t="s">
        <v>1240</v>
      </c>
      <c r="F7799" s="5" t="s">
        <v>108</v>
      </c>
      <c r="G7799" s="6" t="str">
        <f>VLOOKUP(E7799,dicionario!$A$1:$C8198,2,0)</f>
        <v>#N/A</v>
      </c>
      <c r="H7799" s="6" t="str">
        <f>VLOOKUP(E7799,dicionario!$A$1:$C8198,3,0)</f>
        <v>#N/A</v>
      </c>
    </row>
    <row r="7800">
      <c r="A7800" s="3">
        <v>45743.0</v>
      </c>
      <c r="B7800" s="4">
        <v>0.2625</v>
      </c>
      <c r="C7800" s="5" t="s">
        <v>906</v>
      </c>
      <c r="D7800" s="5" t="s">
        <v>1278</v>
      </c>
      <c r="E7800" s="8" t="s">
        <v>296</v>
      </c>
      <c r="F7800" s="5" t="s">
        <v>297</v>
      </c>
      <c r="G7800" s="6" t="str">
        <f>VLOOKUP(E7800,dicionario!$A$1:$C8199,2,0)</f>
        <v>Richardia brasiliensis</v>
      </c>
      <c r="H7800" s="6" t="str">
        <f>VLOOKUP(E7800,dicionario!$A$1:$C8199,3,0)</f>
        <v>poaia-branca</v>
      </c>
    </row>
    <row r="7801">
      <c r="A7801" s="3">
        <v>45743.0</v>
      </c>
      <c r="B7801" s="4">
        <v>0.26319444444444445</v>
      </c>
      <c r="C7801" s="5" t="s">
        <v>906</v>
      </c>
      <c r="D7801" s="5" t="s">
        <v>1278</v>
      </c>
      <c r="E7801" s="8" t="s">
        <v>14</v>
      </c>
      <c r="F7801" s="5" t="s">
        <v>15</v>
      </c>
      <c r="G7801" s="6" t="str">
        <f>VLOOKUP(E7801,dicionario!$A$1:$C8200,2,0)</f>
        <v>Spermacoce verticillata</v>
      </c>
      <c r="H7801" s="6" t="str">
        <f>VLOOKUP(E7801,dicionario!$A$1:$C8200,3,0)</f>
        <v>vassourinha-de-botão</v>
      </c>
    </row>
    <row r="7802">
      <c r="A7802" s="3">
        <v>45743.0</v>
      </c>
      <c r="B7802" s="4">
        <v>0.26319444444444445</v>
      </c>
      <c r="C7802" s="5" t="s">
        <v>906</v>
      </c>
      <c r="D7802" s="5" t="s">
        <v>1278</v>
      </c>
      <c r="E7802" s="8" t="s">
        <v>401</v>
      </c>
      <c r="F7802" s="5" t="s">
        <v>464</v>
      </c>
      <c r="G7802" s="6" t="str">
        <f>VLOOKUP(E7802,dicionario!$A$1:$C8201,2,0)</f>
        <v>Cissus verticillata</v>
      </c>
      <c r="H7802" s="6" t="str">
        <f>VLOOKUP(E7802,dicionario!$A$1:$C8201,3,0)</f>
        <v>uva-do-mato</v>
      </c>
    </row>
    <row r="7803">
      <c r="A7803" s="3">
        <v>45743.0</v>
      </c>
      <c r="B7803" s="4">
        <v>0.26319444444444445</v>
      </c>
      <c r="C7803" s="5" t="s">
        <v>906</v>
      </c>
      <c r="D7803" s="5" t="s">
        <v>1278</v>
      </c>
      <c r="E7803" s="8" t="s">
        <v>46</v>
      </c>
      <c r="F7803" s="5" t="s">
        <v>47</v>
      </c>
      <c r="G7803" s="6" t="str">
        <f>VLOOKUP(E7803,dicionario!$A$1:$C8202,2,0)</f>
        <v>Chionomesa fimbriata</v>
      </c>
      <c r="H7803" s="6" t="str">
        <f>VLOOKUP(E7803,dicionario!$A$1:$C8202,3,0)</f>
        <v>beija-flor-de-garganta-verde</v>
      </c>
    </row>
    <row r="7804">
      <c r="A7804" s="3">
        <v>45743.0</v>
      </c>
      <c r="B7804" s="4">
        <v>0.2638888888888889</v>
      </c>
      <c r="C7804" s="5" t="s">
        <v>906</v>
      </c>
      <c r="D7804" s="5" t="s">
        <v>1278</v>
      </c>
      <c r="E7804" s="8" t="s">
        <v>135</v>
      </c>
      <c r="F7804" s="5" t="s">
        <v>136</v>
      </c>
      <c r="G7804" s="6" t="str">
        <f>VLOOKUP(E7804,dicionario!$A$1:$C8203,2,0)</f>
        <v>Tridax procumbens</v>
      </c>
      <c r="H7804" s="6" t="str">
        <f>VLOOKUP(E7804,dicionario!$A$1:$C8203,3,0)</f>
        <v>erva-de-touro</v>
      </c>
    </row>
    <row r="7805">
      <c r="A7805" s="3">
        <v>45743.0</v>
      </c>
      <c r="B7805" s="4">
        <v>0.2659722222222222</v>
      </c>
      <c r="C7805" s="5" t="s">
        <v>26</v>
      </c>
      <c r="D7805" s="5" t="s">
        <v>1278</v>
      </c>
      <c r="E7805" s="8" t="s">
        <v>353</v>
      </c>
      <c r="F7805" s="5" t="s">
        <v>354</v>
      </c>
      <c r="G7805" s="6" t="str">
        <f>VLOOKUP(E7805,dicionario!$A$1:$C8204,2,0)</f>
        <v>Desmodium incanum</v>
      </c>
      <c r="H7805" s="6" t="str">
        <f>VLOOKUP(E7805,dicionario!$A$1:$C8204,3,0)</f>
        <v>pega-pega</v>
      </c>
    </row>
    <row r="7806">
      <c r="A7806" s="3">
        <v>45743.0</v>
      </c>
      <c r="B7806" s="4">
        <v>0.26666666666666666</v>
      </c>
      <c r="C7806" s="5" t="s">
        <v>26</v>
      </c>
      <c r="D7806" s="5" t="s">
        <v>1278</v>
      </c>
      <c r="E7806" s="12" t="s">
        <v>243</v>
      </c>
      <c r="F7806" s="5" t="s">
        <v>244</v>
      </c>
      <c r="G7806" s="6" t="str">
        <f>VLOOKUP(E7806,dicionario!$A$1:$C8205,2,0)</f>
        <v>Macroptilium atropurpureum</v>
      </c>
      <c r="H7806" s="6" t="str">
        <f>VLOOKUP(E7806,dicionario!$A$1:$C8205,3,0)</f>
        <v>feijão-de-pombo</v>
      </c>
    </row>
    <row r="7807">
      <c r="A7807" s="3">
        <v>45743.0</v>
      </c>
      <c r="B7807" s="4">
        <v>0.26666666666666666</v>
      </c>
      <c r="C7807" s="5" t="s">
        <v>26</v>
      </c>
      <c r="D7807" s="5" t="s">
        <v>1278</v>
      </c>
      <c r="E7807" s="8" t="s">
        <v>1280</v>
      </c>
      <c r="F7807" s="5" t="s">
        <v>1156</v>
      </c>
      <c r="G7807" s="6" t="str">
        <f>VLOOKUP(E7807,dicionario!$A$1:$C8206,2,0)</f>
        <v>Paspalum notatum</v>
      </c>
      <c r="H7807" s="6" t="str">
        <f>VLOOKUP(E7807,dicionario!$A$1:$C8206,3,0)</f>
        <v>capim-forquilha</v>
      </c>
    </row>
    <row r="7808">
      <c r="A7808" s="3">
        <v>45743.0</v>
      </c>
      <c r="B7808" s="4">
        <v>0.26666666666666666</v>
      </c>
      <c r="C7808" s="5" t="s">
        <v>26</v>
      </c>
      <c r="D7808" s="5" t="s">
        <v>1278</v>
      </c>
      <c r="E7808" s="8" t="s">
        <v>360</v>
      </c>
      <c r="F7808" s="5" t="s">
        <v>361</v>
      </c>
      <c r="G7808" s="6" t="str">
        <f>VLOOKUP(E7808,dicionario!$A$1:$C8207,2,0)</f>
        <v>Chamaecrista rotundifolia</v>
      </c>
      <c r="H7808" s="6" t="str">
        <f>VLOOKUP(E7808,dicionario!$A$1:$C8207,3,0)</f>
        <v>alfafa-nativa</v>
      </c>
    </row>
    <row r="7809">
      <c r="A7809" s="3">
        <v>45743.0</v>
      </c>
      <c r="B7809" s="4">
        <v>0.26666666666666666</v>
      </c>
      <c r="C7809" s="5" t="s">
        <v>26</v>
      </c>
      <c r="D7809" s="5" t="s">
        <v>1278</v>
      </c>
      <c r="E7809" s="20" t="s">
        <v>676</v>
      </c>
      <c r="F7809" s="5" t="s">
        <v>677</v>
      </c>
      <c r="G7809" s="6" t="str">
        <f>VLOOKUP(E7809,dicionario!$A$1:$C8208,2,0)</f>
        <v>Zornia latifolia</v>
      </c>
      <c r="H7809" s="6" t="str">
        <f>VLOOKUP(E7809,dicionario!$A$1:$C8208,3,0)</f>
        <v>arrozinho-do-campo</v>
      </c>
    </row>
    <row r="7810">
      <c r="A7810" s="3">
        <v>45743.0</v>
      </c>
      <c r="B7810" s="4">
        <v>0.26666666666666666</v>
      </c>
      <c r="C7810" s="5" t="s">
        <v>26</v>
      </c>
      <c r="D7810" s="5" t="s">
        <v>1278</v>
      </c>
      <c r="E7810" s="8" t="s">
        <v>239</v>
      </c>
      <c r="F7810" s="5" t="s">
        <v>240</v>
      </c>
      <c r="G7810" s="6" t="str">
        <f>VLOOKUP(E7810,dicionario!$A$1:$C8209,2,0)</f>
        <v>Gomphrena celosioides</v>
      </c>
      <c r="H7810" s="6" t="str">
        <f>VLOOKUP(E7810,dicionario!$A$1:$C8209,3,0)</f>
        <v>perpétua-branca</v>
      </c>
    </row>
    <row r="7811">
      <c r="A7811" s="3">
        <v>45743.0</v>
      </c>
      <c r="B7811" s="4">
        <v>0.26666666666666666</v>
      </c>
      <c r="C7811" s="5" t="s">
        <v>26</v>
      </c>
      <c r="D7811" s="5" t="s">
        <v>1278</v>
      </c>
      <c r="E7811" s="8" t="s">
        <v>732</v>
      </c>
      <c r="F7811" s="5" t="s">
        <v>1230</v>
      </c>
      <c r="G7811" s="6" t="str">
        <f>VLOOKUP(E7811,dicionario!$A$1:$C8210,2,0)</f>
        <v>#N/A</v>
      </c>
      <c r="H7811" s="6" t="str">
        <f>VLOOKUP(E7811,dicionario!$A$1:$C8210,3,0)</f>
        <v>#N/A</v>
      </c>
    </row>
    <row r="7812">
      <c r="A7812" s="3">
        <v>45743.0</v>
      </c>
      <c r="B7812" s="4">
        <v>0.26666666666666666</v>
      </c>
      <c r="C7812" s="5" t="s">
        <v>26</v>
      </c>
      <c r="D7812" s="5" t="s">
        <v>1278</v>
      </c>
      <c r="E7812" s="8" t="s">
        <v>60</v>
      </c>
      <c r="F7812" s="5" t="s">
        <v>61</v>
      </c>
      <c r="G7812" s="6" t="str">
        <f>VLOOKUP(E7812,dicionario!$A$1:$C8211,2,0)</f>
        <v>Vanellus chilensis</v>
      </c>
      <c r="H7812" s="6" t="str">
        <f>VLOOKUP(E7812,dicionario!$A$1:$C8211,3,0)</f>
        <v>quero-quero</v>
      </c>
    </row>
    <row r="7813">
      <c r="A7813" s="3">
        <v>45743.0</v>
      </c>
      <c r="B7813" s="4">
        <v>0.26666666666666666</v>
      </c>
      <c r="C7813" s="5" t="s">
        <v>26</v>
      </c>
      <c r="D7813" s="5" t="s">
        <v>1278</v>
      </c>
      <c r="E7813" s="8" t="s">
        <v>154</v>
      </c>
      <c r="F7813" s="5" t="s">
        <v>155</v>
      </c>
      <c r="G7813" s="6" t="str">
        <f>VLOOKUP(E7813,dicionario!$A$1:$C8212,2,0)</f>
        <v>Cyperus rotundus</v>
      </c>
      <c r="H7813" s="6" t="str">
        <f>VLOOKUP(E7813,dicionario!$A$1:$C8212,3,0)</f>
        <v>tiririca</v>
      </c>
    </row>
    <row r="7814">
      <c r="A7814" s="3">
        <v>45743.0</v>
      </c>
      <c r="B7814" s="4">
        <v>0.26666666666666666</v>
      </c>
      <c r="C7814" s="5" t="s">
        <v>26</v>
      </c>
      <c r="D7814" s="5" t="s">
        <v>1278</v>
      </c>
      <c r="E7814" s="8" t="s">
        <v>217</v>
      </c>
      <c r="F7814" s="5" t="s">
        <v>218</v>
      </c>
      <c r="G7814" s="6" t="str">
        <f>VLOOKUP(E7814,dicionario!$A$1:$C8213,2,0)</f>
        <v>Athene cunicularia</v>
      </c>
      <c r="H7814" s="6" t="str">
        <f>VLOOKUP(E7814,dicionario!$A$1:$C8213,3,0)</f>
        <v>coruja-buraqueira</v>
      </c>
    </row>
    <row r="7815">
      <c r="A7815" s="3">
        <v>45743.0</v>
      </c>
      <c r="B7815" s="4">
        <v>0.26666666666666666</v>
      </c>
      <c r="C7815" s="5" t="s">
        <v>26</v>
      </c>
      <c r="D7815" s="5" t="s">
        <v>1278</v>
      </c>
      <c r="E7815" s="8" t="s">
        <v>41</v>
      </c>
      <c r="F7815" s="5" t="s">
        <v>45</v>
      </c>
      <c r="G7815" s="6" t="str">
        <f>VLOOKUP(E7815,dicionario!$A$1:$C8214,2,0)</f>
        <v>Mimosa pudica</v>
      </c>
      <c r="H7815" s="6" t="str">
        <f>VLOOKUP(E7815,dicionario!$A$1:$C8214,3,0)</f>
        <v>dormideira</v>
      </c>
    </row>
    <row r="7816">
      <c r="A7816" s="3">
        <v>45743.0</v>
      </c>
      <c r="B7816" s="4">
        <v>0.2673611111111111</v>
      </c>
      <c r="C7816" s="5" t="s">
        <v>26</v>
      </c>
      <c r="D7816" s="5" t="s">
        <v>1278</v>
      </c>
      <c r="E7816" s="8" t="s">
        <v>1283</v>
      </c>
      <c r="F7816" s="5" t="s">
        <v>1269</v>
      </c>
      <c r="G7816" s="6" t="str">
        <f>VLOOKUP(E7816,dicionario!$A$1:$C8215,2,0)</f>
        <v>Marasmius</v>
      </c>
      <c r="H7816" s="6" t="str">
        <f>VLOOKUP(E7816,dicionario!$A$1:$C8215,3,0)</f>
        <v/>
      </c>
    </row>
    <row r="7817">
      <c r="A7817" s="3">
        <v>45743.0</v>
      </c>
      <c r="B7817" s="4">
        <v>0.2673611111111111</v>
      </c>
      <c r="C7817" s="5" t="s">
        <v>26</v>
      </c>
      <c r="D7817" s="5" t="s">
        <v>1278</v>
      </c>
      <c r="E7817" s="8" t="s">
        <v>849</v>
      </c>
      <c r="F7817" s="5" t="s">
        <v>849</v>
      </c>
      <c r="G7817" s="6" t="str">
        <f>VLOOKUP(E7817,dicionario!$A$1:$C8216,2,0)</f>
        <v>#N/A</v>
      </c>
      <c r="H7817" s="6" t="str">
        <f>VLOOKUP(E7817,dicionario!$A$1:$C8216,3,0)</f>
        <v>#N/A</v>
      </c>
    </row>
    <row r="7818">
      <c r="A7818" s="3">
        <v>45743.0</v>
      </c>
      <c r="B7818" s="4">
        <v>0.26805555555555555</v>
      </c>
      <c r="C7818" s="5" t="s">
        <v>26</v>
      </c>
      <c r="D7818" s="5" t="s">
        <v>1278</v>
      </c>
      <c r="E7818" s="8" t="s">
        <v>118</v>
      </c>
      <c r="F7818" s="5" t="s">
        <v>119</v>
      </c>
      <c r="G7818" s="6" t="str">
        <f>VLOOKUP(E7818,dicionario!$A$1:$C8217,2,0)</f>
        <v>Agaricus</v>
      </c>
      <c r="H7818" s="6" t="str">
        <f>VLOOKUP(E7818,dicionario!$A$1:$C8217,3,0)</f>
        <v>cogumelo</v>
      </c>
    </row>
    <row r="7819">
      <c r="A7819" s="3">
        <v>45743.0</v>
      </c>
      <c r="B7819" s="4">
        <v>0.26875</v>
      </c>
      <c r="C7819" s="5" t="s">
        <v>26</v>
      </c>
      <c r="D7819" s="5" t="s">
        <v>1278</v>
      </c>
      <c r="E7819" s="8" t="s">
        <v>302</v>
      </c>
      <c r="F7819" s="5" t="s">
        <v>303</v>
      </c>
      <c r="G7819" s="6" t="str">
        <f>VLOOKUP(E7819,dicionario!$A$1:$C8218,2,0)</f>
        <v>Machetornis rixosa</v>
      </c>
      <c r="H7819" s="6" t="str">
        <f>VLOOKUP(E7819,dicionario!$A$1:$C8218,3,0)</f>
        <v>suiriri-cavaleiro</v>
      </c>
    </row>
    <row r="7820">
      <c r="A7820" s="3">
        <v>45743.0</v>
      </c>
      <c r="B7820" s="4">
        <v>0.26875</v>
      </c>
      <c r="C7820" s="5" t="s">
        <v>26</v>
      </c>
      <c r="D7820" s="5" t="s">
        <v>1278</v>
      </c>
      <c r="E7820" s="8" t="s">
        <v>358</v>
      </c>
      <c r="F7820" s="5" t="s">
        <v>1236</v>
      </c>
      <c r="G7820" s="6" t="str">
        <f>VLOOKUP(E7820,dicionario!$A$1:$C8219,2,0)</f>
        <v>Sida</v>
      </c>
      <c r="H7820" s="6" t="str">
        <f>VLOOKUP(E7820,dicionario!$A$1:$C8219,3,0)</f>
        <v/>
      </c>
    </row>
    <row r="7821">
      <c r="A7821" s="3">
        <v>45743.0</v>
      </c>
      <c r="B7821" s="4">
        <v>0.2708333333333333</v>
      </c>
      <c r="C7821" s="5" t="s">
        <v>26</v>
      </c>
      <c r="D7821" s="5" t="s">
        <v>1278</v>
      </c>
      <c r="E7821" s="8" t="s">
        <v>253</v>
      </c>
      <c r="F7821" s="5" t="s">
        <v>254</v>
      </c>
      <c r="G7821" s="6" t="str">
        <f>VLOOKUP(E7821,dicionario!$A$1:$C8220,2,0)</f>
        <v>Panicum maximum</v>
      </c>
      <c r="H7821" s="6" t="str">
        <f>VLOOKUP(E7821,dicionario!$A$1:$C8220,3,0)</f>
        <v>capim-colonião</v>
      </c>
    </row>
    <row r="7822">
      <c r="A7822" s="3">
        <v>45743.0</v>
      </c>
      <c r="B7822" s="4">
        <v>0.2708333333333333</v>
      </c>
      <c r="C7822" s="5" t="s">
        <v>26</v>
      </c>
      <c r="D7822" s="5" t="s">
        <v>1278</v>
      </c>
      <c r="E7822" s="6" t="s">
        <v>366</v>
      </c>
      <c r="F7822" s="5" t="s">
        <v>367</v>
      </c>
      <c r="G7822" s="6" t="str">
        <f>VLOOKUP(E7822,dicionario!$A$1:$C8221,2,0)</f>
        <v>Alternanthera ficoidea</v>
      </c>
      <c r="H7822" s="6" t="str">
        <f>VLOOKUP(E7822,dicionario!$A$1:$C8221,3,0)</f>
        <v>quebra-panela</v>
      </c>
    </row>
    <row r="7823">
      <c r="A7823" s="3">
        <v>45743.0</v>
      </c>
      <c r="B7823" s="4">
        <v>0.27152777777777776</v>
      </c>
      <c r="C7823" s="5" t="s">
        <v>26</v>
      </c>
      <c r="D7823" s="5" t="s">
        <v>1278</v>
      </c>
      <c r="E7823" s="8" t="s">
        <v>450</v>
      </c>
      <c r="F7823" s="5" t="s">
        <v>921</v>
      </c>
      <c r="G7823" s="6" t="str">
        <f>VLOOKUP(E7823,dicionario!$A$1:$C8222,2,0)</f>
        <v>#N/A</v>
      </c>
      <c r="H7823" s="6" t="str">
        <f>VLOOKUP(E7823,dicionario!$A$1:$C8222,3,0)</f>
        <v>#N/A</v>
      </c>
    </row>
    <row r="7824">
      <c r="A7824" s="3">
        <v>45743.0</v>
      </c>
      <c r="B7824" s="4">
        <v>0.27152777777777776</v>
      </c>
      <c r="C7824" s="5" t="s">
        <v>26</v>
      </c>
      <c r="D7824" s="5" t="s">
        <v>1278</v>
      </c>
      <c r="E7824" s="8" t="s">
        <v>467</v>
      </c>
      <c r="F7824" s="5" t="s">
        <v>468</v>
      </c>
      <c r="G7824" s="6" t="str">
        <f>VLOOKUP(E7824,dicionario!$A$1:$C8223,2,0)</f>
        <v>Eleusine indica</v>
      </c>
      <c r="H7824" s="6" t="str">
        <f>VLOOKUP(E7824,dicionario!$A$1:$C8223,3,0)</f>
        <v>capim-pé-de-galinha</v>
      </c>
    </row>
    <row r="7825">
      <c r="A7825" s="3">
        <v>45743.0</v>
      </c>
      <c r="B7825" s="4">
        <v>0.27152777777777776</v>
      </c>
      <c r="C7825" s="5" t="s">
        <v>26</v>
      </c>
      <c r="D7825" s="5" t="s">
        <v>1278</v>
      </c>
      <c r="E7825" s="8" t="s">
        <v>150</v>
      </c>
      <c r="F7825" s="5" t="s">
        <v>151</v>
      </c>
      <c r="G7825" s="6" t="str">
        <f>VLOOKUP(E7825,dicionario!$A$1:$C8224,2,0)</f>
        <v>Amaranthus viridis</v>
      </c>
      <c r="H7825" s="6" t="str">
        <f>VLOOKUP(E7825,dicionario!$A$1:$C8224,3,0)</f>
        <v>caruru-de-mancha</v>
      </c>
    </row>
    <row r="7826">
      <c r="A7826" s="3">
        <v>45743.0</v>
      </c>
      <c r="B7826" s="4">
        <v>0.2722222222222222</v>
      </c>
      <c r="C7826" s="5" t="s">
        <v>26</v>
      </c>
      <c r="D7826" s="5" t="s">
        <v>1278</v>
      </c>
      <c r="E7826" s="8" t="s">
        <v>158</v>
      </c>
      <c r="F7826" s="5" t="s">
        <v>159</v>
      </c>
      <c r="G7826" s="6" t="str">
        <f>VLOOKUP(E7826,dicionario!$A$1:$C8225,2,0)</f>
        <v>Nephilingis cruentata</v>
      </c>
      <c r="H7826" s="6" t="str">
        <f>VLOOKUP(E7826,dicionario!$A$1:$C8225,3,0)</f>
        <v>maria-bola</v>
      </c>
    </row>
    <row r="7827">
      <c r="A7827" s="3">
        <v>45743.0</v>
      </c>
      <c r="B7827" s="4">
        <v>0.2722222222222222</v>
      </c>
      <c r="C7827" s="5" t="s">
        <v>26</v>
      </c>
      <c r="D7827" s="5" t="s">
        <v>1278</v>
      </c>
      <c r="E7827" s="8" t="s">
        <v>38</v>
      </c>
      <c r="F7827" s="5" t="s">
        <v>1251</v>
      </c>
      <c r="G7827" s="6" t="str">
        <f>VLOOKUP(E7827,dicionario!$A$1:$C8226,2,0)</f>
        <v>Troglodytes musculus</v>
      </c>
      <c r="H7827" s="6" t="str">
        <f>VLOOKUP(E7827,dicionario!$A$1:$C8226,3,0)</f>
        <v>curruíra</v>
      </c>
    </row>
    <row r="7828">
      <c r="A7828" s="3">
        <v>45743.0</v>
      </c>
      <c r="B7828" s="4">
        <v>0.27291666666666664</v>
      </c>
      <c r="C7828" s="5" t="s">
        <v>26</v>
      </c>
      <c r="D7828" s="5" t="s">
        <v>1278</v>
      </c>
      <c r="E7828" s="8" t="s">
        <v>286</v>
      </c>
      <c r="F7828" s="5" t="s">
        <v>287</v>
      </c>
      <c r="G7828" s="6" t="str">
        <f>VLOOKUP(E7828,dicionario!$A$1:$C8227,2,0)</f>
        <v>Setaria parviflora</v>
      </c>
      <c r="H7828" s="6" t="str">
        <f>VLOOKUP(E7828,dicionario!$A$1:$C8227,3,0)</f>
        <v>capim-rabo-de-raposa</v>
      </c>
    </row>
    <row r="7829">
      <c r="A7829" s="3">
        <v>45743.0</v>
      </c>
      <c r="B7829" s="4">
        <v>0.27291666666666664</v>
      </c>
      <c r="C7829" s="5" t="s">
        <v>26</v>
      </c>
      <c r="D7829" s="5" t="s">
        <v>1278</v>
      </c>
      <c r="E7829" s="6" t="s">
        <v>251</v>
      </c>
      <c r="F7829" s="5" t="s">
        <v>252</v>
      </c>
      <c r="G7829" s="6" t="str">
        <f>VLOOKUP(E7829,dicionario!$A$1:$C8228,2,0)</f>
        <v>Struthanthus flexicaulis</v>
      </c>
      <c r="H7829" s="6" t="str">
        <f>VLOOKUP(E7829,dicionario!$A$1:$C8228,3,0)</f>
        <v>erva-de-passarinho</v>
      </c>
    </row>
    <row r="7830">
      <c r="A7830" s="3">
        <v>45743.0</v>
      </c>
      <c r="B7830" s="4">
        <v>0.27291666666666664</v>
      </c>
      <c r="C7830" s="5" t="s">
        <v>26</v>
      </c>
      <c r="D7830" s="5" t="s">
        <v>1278</v>
      </c>
      <c r="E7830" s="8" t="s">
        <v>109</v>
      </c>
      <c r="F7830" s="5" t="s">
        <v>110</v>
      </c>
      <c r="G7830" s="6" t="str">
        <f>VLOOKUP(E7830,dicionario!$A$1:$C8229,2,0)</f>
        <v>Tillandsia stricta</v>
      </c>
      <c r="H7830" s="6" t="str">
        <f>VLOOKUP(E7830,dicionario!$A$1:$C8229,3,0)</f>
        <v>cravo-do-mato</v>
      </c>
    </row>
    <row r="7831">
      <c r="A7831" s="3">
        <v>45743.0</v>
      </c>
      <c r="B7831" s="4">
        <v>0.27361111111111114</v>
      </c>
      <c r="C7831" s="5" t="s">
        <v>26</v>
      </c>
      <c r="D7831" s="5" t="s">
        <v>1278</v>
      </c>
      <c r="E7831" s="8" t="s">
        <v>1104</v>
      </c>
      <c r="F7831" s="5" t="s">
        <v>1105</v>
      </c>
      <c r="G7831" s="6" t="str">
        <f>VLOOKUP(E7831,dicionario!$A$1:$C8230,2,0)</f>
        <v>Rhynchospora speciosa</v>
      </c>
      <c r="H7831" s="6" t="str">
        <f>VLOOKUP(E7831,dicionario!$A$1:$C8230,3,0)</f>
        <v>capim-estrela</v>
      </c>
    </row>
    <row r="7832">
      <c r="A7832" s="3">
        <v>45743.0</v>
      </c>
      <c r="B7832" s="4">
        <v>0.2743055555555556</v>
      </c>
      <c r="C7832" s="5" t="s">
        <v>33</v>
      </c>
      <c r="D7832" s="5" t="s">
        <v>1278</v>
      </c>
      <c r="E7832" s="8" t="s">
        <v>1282</v>
      </c>
      <c r="F7832" s="5" t="s">
        <v>182</v>
      </c>
      <c r="G7832" s="6" t="str">
        <f>VLOOKUP(E7832,dicionario!$A$1:$C8231,2,0)</f>
        <v>#N/A</v>
      </c>
      <c r="H7832" s="6" t="str">
        <f>VLOOKUP(E7832,dicionario!$A$1:$C8231,3,0)</f>
        <v>#N/A</v>
      </c>
    </row>
    <row r="7833">
      <c r="A7833" s="3">
        <v>45743.0</v>
      </c>
      <c r="B7833" s="4">
        <v>0.2743055555555556</v>
      </c>
      <c r="C7833" s="5" t="s">
        <v>33</v>
      </c>
      <c r="D7833" s="5" t="s">
        <v>1278</v>
      </c>
      <c r="E7833" s="8" t="s">
        <v>20</v>
      </c>
      <c r="F7833" s="5" t="s">
        <v>21</v>
      </c>
      <c r="G7833" s="6" t="str">
        <f>VLOOKUP(E7833,dicionario!$A$1:$C8232,2,0)</f>
        <v>Sicalis flaveola</v>
      </c>
      <c r="H7833" s="6" t="str">
        <f>VLOOKUP(E7833,dicionario!$A$1:$C8232,3,0)</f>
        <v>canário-da-terra</v>
      </c>
    </row>
    <row r="7834">
      <c r="A7834" s="3">
        <v>45743.0</v>
      </c>
      <c r="B7834" s="4">
        <v>0.2743055555555556</v>
      </c>
      <c r="C7834" s="5" t="s">
        <v>33</v>
      </c>
      <c r="D7834" s="5" t="s">
        <v>1278</v>
      </c>
      <c r="E7834" s="8" t="s">
        <v>14</v>
      </c>
      <c r="F7834" s="5" t="s">
        <v>15</v>
      </c>
      <c r="G7834" s="6" t="str">
        <f>VLOOKUP(E7834,dicionario!$A$1:$C8233,2,0)</f>
        <v>Spermacoce verticillata</v>
      </c>
      <c r="H7834" s="6" t="str">
        <f>VLOOKUP(E7834,dicionario!$A$1:$C8233,3,0)</f>
        <v>vassourinha-de-botão</v>
      </c>
    </row>
    <row r="7835">
      <c r="A7835" s="3">
        <v>45743.0</v>
      </c>
      <c r="B7835" s="4">
        <v>0.275</v>
      </c>
      <c r="C7835" s="5" t="s">
        <v>33</v>
      </c>
      <c r="D7835" s="5" t="s">
        <v>1278</v>
      </c>
      <c r="E7835" s="8" t="s">
        <v>109</v>
      </c>
      <c r="F7835" s="5" t="s">
        <v>110</v>
      </c>
      <c r="G7835" s="6" t="str">
        <f>VLOOKUP(E7835,dicionario!$A$1:$C8234,2,0)</f>
        <v>Tillandsia stricta</v>
      </c>
      <c r="H7835" s="6" t="str">
        <f>VLOOKUP(E7835,dicionario!$A$1:$C8234,3,0)</f>
        <v>cravo-do-mato</v>
      </c>
    </row>
    <row r="7836">
      <c r="A7836" s="3">
        <v>45743.0</v>
      </c>
      <c r="B7836" s="4">
        <v>0.275</v>
      </c>
      <c r="C7836" s="5" t="s">
        <v>33</v>
      </c>
      <c r="D7836" s="5" t="s">
        <v>1278</v>
      </c>
      <c r="E7836" s="8" t="s">
        <v>296</v>
      </c>
      <c r="F7836" s="5" t="s">
        <v>297</v>
      </c>
      <c r="G7836" s="6" t="str">
        <f>VLOOKUP(E7836,dicionario!$A$1:$C8235,2,0)</f>
        <v>Richardia brasiliensis</v>
      </c>
      <c r="H7836" s="6" t="str">
        <f>VLOOKUP(E7836,dicionario!$A$1:$C8235,3,0)</f>
        <v>poaia-branca</v>
      </c>
    </row>
    <row r="7837">
      <c r="A7837" s="3">
        <v>45743.0</v>
      </c>
      <c r="B7837" s="4">
        <v>0.275</v>
      </c>
      <c r="C7837" s="5" t="s">
        <v>33</v>
      </c>
      <c r="D7837" s="5" t="s">
        <v>1278</v>
      </c>
      <c r="E7837" s="6" t="s">
        <v>471</v>
      </c>
      <c r="F7837" s="5" t="s">
        <v>472</v>
      </c>
      <c r="G7837" s="6" t="str">
        <f>VLOOKUP(E7837,dicionario!$A$1:$C8236,2,0)</f>
        <v>Sida acuta</v>
      </c>
      <c r="H7837" s="6" t="str">
        <f>VLOOKUP(E7837,dicionario!$A$1:$C8236,3,0)</f>
        <v>reloginho</v>
      </c>
    </row>
    <row r="7838">
      <c r="A7838" s="3">
        <v>45743.0</v>
      </c>
      <c r="B7838" s="4">
        <v>0.27569444444444446</v>
      </c>
      <c r="C7838" s="5" t="s">
        <v>33</v>
      </c>
      <c r="D7838" s="5" t="s">
        <v>1278</v>
      </c>
      <c r="E7838" s="8" t="s">
        <v>608</v>
      </c>
      <c r="F7838" s="5" t="s">
        <v>1284</v>
      </c>
      <c r="G7838" s="6" t="str">
        <f>VLOOKUP(E7838,dicionario!$A$1:$C8237,2,0)</f>
        <v>#N/A</v>
      </c>
      <c r="H7838" s="6" t="str">
        <f>VLOOKUP(E7838,dicionario!$A$1:$C8237,3,0)</f>
        <v>#N/A</v>
      </c>
    </row>
    <row r="7839">
      <c r="A7839" s="3">
        <v>45743.0</v>
      </c>
      <c r="B7839" s="4">
        <v>0.27569444444444446</v>
      </c>
      <c r="C7839" s="5" t="s">
        <v>33</v>
      </c>
      <c r="D7839" s="5" t="s">
        <v>1278</v>
      </c>
      <c r="E7839" s="12" t="s">
        <v>111</v>
      </c>
      <c r="F7839" s="7" t="s">
        <v>112</v>
      </c>
      <c r="G7839" s="6" t="str">
        <f>VLOOKUP(E7839,dicionario!$A$1:$C8238,2,0)</f>
        <v>Trigona spinipes</v>
      </c>
      <c r="H7839" s="6" t="str">
        <f>VLOOKUP(E7839,dicionario!$A$1:$C8238,3,0)</f>
        <v>abelha-cachorro</v>
      </c>
    </row>
    <row r="7840">
      <c r="A7840" s="3">
        <v>45743.0</v>
      </c>
      <c r="B7840" s="4">
        <v>0.2763888888888889</v>
      </c>
      <c r="C7840" s="5" t="s">
        <v>33</v>
      </c>
      <c r="D7840" s="5" t="s">
        <v>1278</v>
      </c>
      <c r="E7840" s="8" t="s">
        <v>193</v>
      </c>
      <c r="F7840" s="5" t="s">
        <v>194</v>
      </c>
      <c r="G7840" s="6" t="str">
        <f>VLOOKUP(E7840,dicionario!$A$1:$C8239,2,0)</f>
        <v>Conirostrum speciosum</v>
      </c>
      <c r="H7840" s="6" t="str">
        <f>VLOOKUP(E7840,dicionario!$A$1:$C8239,3,0)</f>
        <v>figuinha-de-rabo-castanho</v>
      </c>
    </row>
    <row r="7841">
      <c r="A7841" s="3">
        <v>45743.0</v>
      </c>
      <c r="B7841" s="4">
        <v>0.27708333333333335</v>
      </c>
      <c r="C7841" s="5" t="s">
        <v>33</v>
      </c>
      <c r="D7841" s="5" t="s">
        <v>1278</v>
      </c>
      <c r="E7841" s="8" t="s">
        <v>169</v>
      </c>
      <c r="F7841" s="5" t="s">
        <v>170</v>
      </c>
      <c r="G7841" s="6" t="str">
        <f>VLOOKUP(E7841,dicionario!$A$1:$C8240,2,0)</f>
        <v>Camponotus cruentatus</v>
      </c>
      <c r="H7841" s="6" t="str">
        <f>VLOOKUP(E7841,dicionario!$A$1:$C8240,3,0)</f>
        <v>formiga-carpinteira</v>
      </c>
    </row>
    <row r="7842">
      <c r="A7842" s="3">
        <v>45743.0</v>
      </c>
      <c r="B7842" s="4">
        <v>0.27847222222222223</v>
      </c>
      <c r="C7842" s="5" t="s">
        <v>33</v>
      </c>
      <c r="D7842" s="5" t="s">
        <v>1278</v>
      </c>
      <c r="E7842" s="6" t="s">
        <v>86</v>
      </c>
      <c r="F7842" s="5" t="s">
        <v>502</v>
      </c>
      <c r="G7842" s="6" t="str">
        <f>VLOOKUP(E7842,dicionario!$A$1:$C8241,2,0)</f>
        <v>Coereba flaveola</v>
      </c>
      <c r="H7842" s="6" t="str">
        <f>VLOOKUP(E7842,dicionario!$A$1:$C8241,3,0)</f>
        <v>cambacica</v>
      </c>
    </row>
    <row r="7843">
      <c r="A7843" s="3">
        <v>45743.0</v>
      </c>
      <c r="B7843" s="4">
        <v>0.2791666666666667</v>
      </c>
      <c r="C7843" s="5" t="s">
        <v>33</v>
      </c>
      <c r="D7843" s="5" t="s">
        <v>1278</v>
      </c>
      <c r="E7843" s="8" t="s">
        <v>1285</v>
      </c>
      <c r="F7843" s="5" t="s">
        <v>1286</v>
      </c>
      <c r="G7843" s="6" t="str">
        <f>VLOOKUP(E7843,dicionario!$A$1:$C8242,2,0)</f>
        <v>#N/A</v>
      </c>
      <c r="H7843" s="6" t="str">
        <f>VLOOKUP(E7843,dicionario!$A$1:$C8242,3,0)</f>
        <v>#N/A</v>
      </c>
    </row>
    <row r="7844">
      <c r="A7844" s="3">
        <v>45743.0</v>
      </c>
      <c r="B7844" s="4">
        <v>0.2791666666666667</v>
      </c>
      <c r="C7844" s="5" t="s">
        <v>33</v>
      </c>
      <c r="D7844" s="5" t="s">
        <v>1278</v>
      </c>
      <c r="E7844" s="8" t="s">
        <v>88</v>
      </c>
      <c r="F7844" s="5" t="s">
        <v>89</v>
      </c>
      <c r="G7844" s="6" t="str">
        <f>VLOOKUP(E7844,dicionario!$A$1:$C8243,2,0)</f>
        <v>Tyrannus melancolichus</v>
      </c>
      <c r="H7844" s="6" t="str">
        <f>VLOOKUP(E7844,dicionario!$A$1:$C8243,3,0)</f>
        <v>suiriri</v>
      </c>
    </row>
    <row r="7845">
      <c r="A7845" s="3">
        <v>45743.0</v>
      </c>
      <c r="B7845" s="4">
        <v>0.2798611111111111</v>
      </c>
      <c r="C7845" s="5" t="s">
        <v>33</v>
      </c>
      <c r="D7845" s="5" t="s">
        <v>1278</v>
      </c>
      <c r="E7845" s="8" t="s">
        <v>1084</v>
      </c>
      <c r="F7845" s="5" t="s">
        <v>224</v>
      </c>
      <c r="G7845" s="6" t="str">
        <f>VLOOKUP(E7845,dicionario!$A$1:$C8244,2,0)</f>
        <v>#N/A</v>
      </c>
      <c r="H7845" s="6" t="str">
        <f>VLOOKUP(E7845,dicionario!$A$1:$C8244,3,0)</f>
        <v>#N/A</v>
      </c>
    </row>
    <row r="7846">
      <c r="A7846" s="3">
        <v>45743.0</v>
      </c>
      <c r="B7846" s="4">
        <v>0.28125</v>
      </c>
      <c r="C7846" s="5" t="s">
        <v>33</v>
      </c>
      <c r="D7846" s="5" t="s">
        <v>1278</v>
      </c>
      <c r="E7846" s="6" t="s">
        <v>48</v>
      </c>
      <c r="F7846" s="5" t="s">
        <v>49</v>
      </c>
      <c r="G7846" s="6" t="str">
        <f>VLOOKUP(E7846,dicionario!$A$1:$C8245,2,0)</f>
        <v>Commelina erecta</v>
      </c>
      <c r="H7846" s="6" t="str">
        <f>VLOOKUP(E7846,dicionario!$A$1:$C8245,3,0)</f>
        <v>trapoeraba</v>
      </c>
    </row>
    <row r="7847">
      <c r="A7847" s="3">
        <v>45743.0</v>
      </c>
      <c r="B7847" s="4">
        <v>0.28125</v>
      </c>
      <c r="C7847" s="5" t="s">
        <v>33</v>
      </c>
      <c r="D7847" s="5" t="s">
        <v>1278</v>
      </c>
      <c r="E7847" s="8" t="s">
        <v>163</v>
      </c>
      <c r="F7847" s="5" t="s">
        <v>164</v>
      </c>
      <c r="G7847" s="6" t="str">
        <f>VLOOKUP(E7847,dicionario!$A$1:$C8246,2,0)</f>
        <v>Coragyps atratus</v>
      </c>
      <c r="H7847" s="6" t="str">
        <f>VLOOKUP(E7847,dicionario!$A$1:$C8246,3,0)</f>
        <v>urubu-de-cabeça-preta</v>
      </c>
    </row>
    <row r="7848">
      <c r="A7848" s="3">
        <v>45743.0</v>
      </c>
      <c r="B7848" s="4">
        <v>0.28541666666666665</v>
      </c>
      <c r="C7848" s="5" t="s">
        <v>40</v>
      </c>
      <c r="D7848" s="5" t="s">
        <v>1278</v>
      </c>
      <c r="E7848" s="8" t="s">
        <v>20</v>
      </c>
      <c r="F7848" s="5" t="s">
        <v>21</v>
      </c>
      <c r="G7848" s="6" t="str">
        <f>VLOOKUP(E7848,dicionario!$A$1:$C8247,2,0)</f>
        <v>Sicalis flaveola</v>
      </c>
      <c r="H7848" s="6" t="str">
        <f>VLOOKUP(E7848,dicionario!$A$1:$C8247,3,0)</f>
        <v>canário-da-terra</v>
      </c>
    </row>
    <row r="7849">
      <c r="A7849" s="3">
        <v>45743.0</v>
      </c>
      <c r="B7849" s="4">
        <v>0.2861111111111111</v>
      </c>
      <c r="C7849" s="5" t="s">
        <v>40</v>
      </c>
      <c r="D7849" s="5" t="s">
        <v>1278</v>
      </c>
      <c r="E7849" s="8" t="s">
        <v>191</v>
      </c>
      <c r="F7849" s="5" t="s">
        <v>192</v>
      </c>
      <c r="G7849" s="6" t="str">
        <f>VLOOKUP(E7849,dicionario!$A$1:$C8248,2,0)</f>
        <v>Patagioenas picazuro</v>
      </c>
      <c r="H7849" s="6" t="str">
        <f>VLOOKUP(E7849,dicionario!$A$1:$C8248,3,0)</f>
        <v>asa-branca; pomba-asa-branca; pocaçu</v>
      </c>
    </row>
    <row r="7850">
      <c r="A7850" s="3">
        <v>45743.0</v>
      </c>
      <c r="B7850" s="4">
        <v>0.2861111111111111</v>
      </c>
      <c r="C7850" s="5" t="s">
        <v>40</v>
      </c>
      <c r="D7850" s="5" t="s">
        <v>1278</v>
      </c>
      <c r="E7850" s="8" t="s">
        <v>298</v>
      </c>
      <c r="F7850" s="7"/>
      <c r="G7850" s="6" t="str">
        <f>VLOOKUP(E7850,dicionario!$A$1:$C8249,2,0)</f>
        <v>Alysicarpus vaginalis</v>
      </c>
      <c r="H7850" s="6" t="str">
        <f>VLOOKUP(E7850,dicionario!$A$1:$C8249,3,0)</f>
        <v/>
      </c>
    </row>
    <row r="7851">
      <c r="A7851" s="3">
        <v>45743.0</v>
      </c>
      <c r="B7851" s="4">
        <v>0.28680555555555554</v>
      </c>
      <c r="C7851" s="5" t="s">
        <v>40</v>
      </c>
      <c r="D7851" s="5" t="s">
        <v>1278</v>
      </c>
      <c r="E7851" s="8" t="s">
        <v>1087</v>
      </c>
      <c r="F7851" s="5" t="s">
        <v>1088</v>
      </c>
      <c r="G7851" s="6" t="str">
        <f>VLOOKUP(E7851,dicionario!$A$1:$C8250,2,0)</f>
        <v>Desmodium triflorum</v>
      </c>
      <c r="H7851" s="6" t="str">
        <f>VLOOKUP(E7851,dicionario!$A$1:$C8250,3,0)</f>
        <v/>
      </c>
    </row>
    <row r="7852">
      <c r="A7852" s="3">
        <v>45743.0</v>
      </c>
      <c r="B7852" s="4">
        <v>0.28680555555555554</v>
      </c>
      <c r="C7852" s="5" t="s">
        <v>40</v>
      </c>
      <c r="D7852" s="5" t="s">
        <v>1278</v>
      </c>
      <c r="E7852" s="8" t="s">
        <v>296</v>
      </c>
      <c r="F7852" s="5" t="s">
        <v>297</v>
      </c>
      <c r="G7852" s="6" t="str">
        <f>VLOOKUP(E7852,dicionario!$A$1:$C8251,2,0)</f>
        <v>Richardia brasiliensis</v>
      </c>
      <c r="H7852" s="6" t="str">
        <f>VLOOKUP(E7852,dicionario!$A$1:$C8251,3,0)</f>
        <v>poaia-branca</v>
      </c>
    </row>
    <row r="7853">
      <c r="A7853" s="3">
        <v>45743.0</v>
      </c>
      <c r="B7853" s="4">
        <v>0.2875</v>
      </c>
      <c r="C7853" s="5" t="s">
        <v>40</v>
      </c>
      <c r="D7853" s="5" t="s">
        <v>1278</v>
      </c>
      <c r="E7853" s="8" t="s">
        <v>135</v>
      </c>
      <c r="F7853" s="5" t="s">
        <v>136</v>
      </c>
      <c r="G7853" s="6" t="str">
        <f>VLOOKUP(E7853,dicionario!$A$1:$C8252,2,0)</f>
        <v>Tridax procumbens</v>
      </c>
      <c r="H7853" s="6" t="str">
        <f>VLOOKUP(E7853,dicionario!$A$1:$C8252,3,0)</f>
        <v>erva-de-touro</v>
      </c>
    </row>
    <row r="7854">
      <c r="A7854" s="3">
        <v>45743.0</v>
      </c>
      <c r="B7854" s="4">
        <v>0.2875</v>
      </c>
      <c r="C7854" s="5" t="s">
        <v>40</v>
      </c>
      <c r="D7854" s="5" t="s">
        <v>1278</v>
      </c>
      <c r="E7854" s="8" t="s">
        <v>239</v>
      </c>
      <c r="F7854" s="5" t="s">
        <v>240</v>
      </c>
      <c r="G7854" s="6" t="str">
        <f>VLOOKUP(E7854,dicionario!$A$1:$C8253,2,0)</f>
        <v>Gomphrena celosioides</v>
      </c>
      <c r="H7854" s="6" t="str">
        <f>VLOOKUP(E7854,dicionario!$A$1:$C8253,3,0)</f>
        <v>perpétua-branca</v>
      </c>
    </row>
    <row r="7855">
      <c r="A7855" s="3">
        <v>45743.0</v>
      </c>
      <c r="B7855" s="4">
        <v>0.2875</v>
      </c>
      <c r="C7855" s="5" t="s">
        <v>40</v>
      </c>
      <c r="D7855" s="5" t="s">
        <v>1278</v>
      </c>
      <c r="E7855" s="6" t="s">
        <v>53</v>
      </c>
      <c r="F7855" s="5" t="s">
        <v>54</v>
      </c>
      <c r="G7855" s="6" t="str">
        <f>VLOOKUP(E7855,dicionario!$A$1:$C8254,2,0)</f>
        <v>Turnera subulata</v>
      </c>
      <c r="H7855" s="6" t="str">
        <f>VLOOKUP(E7855,dicionario!$A$1:$C8254,3,0)</f>
        <v>xanana</v>
      </c>
    </row>
    <row r="7856">
      <c r="A7856" s="3">
        <v>45743.0</v>
      </c>
      <c r="B7856" s="4">
        <v>0.2875</v>
      </c>
      <c r="C7856" s="5" t="s">
        <v>40</v>
      </c>
      <c r="D7856" s="5" t="s">
        <v>1278</v>
      </c>
      <c r="E7856" s="8" t="s">
        <v>271</v>
      </c>
      <c r="F7856" s="5" t="s">
        <v>1169</v>
      </c>
      <c r="G7856" s="6" t="str">
        <f>VLOOKUP(E7856,dicionario!$A$1:$C8255,2,0)</f>
        <v>Cyanthillium cinereum</v>
      </c>
      <c r="H7856" s="6" t="str">
        <f>VLOOKUP(E7856,dicionario!$A$1:$C8255,3,0)</f>
        <v>emília</v>
      </c>
    </row>
    <row r="7857">
      <c r="A7857" s="3">
        <v>45743.0</v>
      </c>
      <c r="B7857" s="4">
        <v>0.2881944444444444</v>
      </c>
      <c r="C7857" s="5" t="s">
        <v>40</v>
      </c>
      <c r="D7857" s="5" t="s">
        <v>1278</v>
      </c>
      <c r="E7857" s="6" t="s">
        <v>613</v>
      </c>
      <c r="F7857" s="5" t="s">
        <v>614</v>
      </c>
      <c r="G7857" s="6" t="str">
        <f>VLOOKUP(E7857,dicionario!$A$1:$C8256,2,0)</f>
        <v>Euphorbia hyssopifolia</v>
      </c>
      <c r="H7857" s="6" t="str">
        <f>VLOOKUP(E7857,dicionario!$A$1:$C8256,3,0)</f>
        <v>maria-leite</v>
      </c>
    </row>
    <row r="7858">
      <c r="A7858" s="3">
        <v>45743.0</v>
      </c>
      <c r="B7858" s="4">
        <v>0.2881944444444444</v>
      </c>
      <c r="C7858" s="5" t="s">
        <v>40</v>
      </c>
      <c r="D7858" s="5" t="s">
        <v>1278</v>
      </c>
      <c r="E7858" s="8" t="s">
        <v>146</v>
      </c>
      <c r="F7858" s="5" t="s">
        <v>147</v>
      </c>
      <c r="G7858" s="6" t="str">
        <f>VLOOKUP(E7858,dicionario!$A$1:$C8257,2,0)</f>
        <v>Euphorbia hirta</v>
      </c>
      <c r="H7858" s="6" t="str">
        <f>VLOOKUP(E7858,dicionario!$A$1:$C8257,3,0)</f>
        <v>erva-de-santa-luzia</v>
      </c>
    </row>
    <row r="7859">
      <c r="A7859" s="3">
        <v>45743.0</v>
      </c>
      <c r="B7859" s="4">
        <v>0.2881944444444444</v>
      </c>
      <c r="C7859" s="5" t="s">
        <v>40</v>
      </c>
      <c r="D7859" s="5" t="s">
        <v>1278</v>
      </c>
      <c r="E7859" s="8" t="s">
        <v>489</v>
      </c>
      <c r="F7859" s="5" t="s">
        <v>521</v>
      </c>
      <c r="G7859" s="6" t="str">
        <f>VLOOKUP(E7859,dicionario!$A$1:$C8258,2,0)</f>
        <v>Cenchrus echinatus</v>
      </c>
      <c r="H7859" s="6" t="str">
        <f>VLOOKUP(E7859,dicionario!$A$1:$C8258,3,0)</f>
        <v>capim-carrapicho</v>
      </c>
    </row>
    <row r="7860">
      <c r="A7860" s="3">
        <v>45743.0</v>
      </c>
      <c r="B7860" s="4">
        <v>0.2881944444444444</v>
      </c>
      <c r="C7860" s="5" t="s">
        <v>40</v>
      </c>
      <c r="D7860" s="5" t="s">
        <v>1278</v>
      </c>
      <c r="E7860" s="8" t="s">
        <v>227</v>
      </c>
      <c r="F7860" s="5" t="s">
        <v>228</v>
      </c>
      <c r="G7860" s="6" t="str">
        <f>VLOOKUP(E7860,dicionario!$A$1:$C8259,2,0)</f>
        <v>Indigofera hirsuta</v>
      </c>
      <c r="H7860" s="6" t="str">
        <f>VLOOKUP(E7860,dicionario!$A$1:$C8259,3,0)</f>
        <v>anileira</v>
      </c>
    </row>
    <row r="7861">
      <c r="A7861" s="3">
        <v>45743.0</v>
      </c>
      <c r="B7861" s="4">
        <v>0.2881944444444444</v>
      </c>
      <c r="C7861" s="5" t="s">
        <v>40</v>
      </c>
      <c r="D7861" s="5" t="s">
        <v>1278</v>
      </c>
      <c r="E7861" s="8" t="s">
        <v>286</v>
      </c>
      <c r="F7861" s="5" t="s">
        <v>287</v>
      </c>
      <c r="G7861" s="6" t="str">
        <f>VLOOKUP(E7861,dicionario!$A$1:$C8260,2,0)</f>
        <v>Setaria parviflora</v>
      </c>
      <c r="H7861" s="6" t="str">
        <f>VLOOKUP(E7861,dicionario!$A$1:$C8260,3,0)</f>
        <v>capim-rabo-de-raposa</v>
      </c>
    </row>
    <row r="7862">
      <c r="A7862" s="3">
        <v>45743.0</v>
      </c>
      <c r="B7862" s="4">
        <v>0.2881944444444444</v>
      </c>
      <c r="C7862" s="5" t="s">
        <v>40</v>
      </c>
      <c r="D7862" s="5" t="s">
        <v>1278</v>
      </c>
      <c r="E7862" s="8" t="s">
        <v>247</v>
      </c>
      <c r="F7862" s="5" t="s">
        <v>387</v>
      </c>
      <c r="G7862" s="6" t="str">
        <f>VLOOKUP(E7862,dicionario!$A$1:$C8261,2,0)</f>
        <v>Emilia sonchifolia</v>
      </c>
      <c r="H7862" s="6" t="str">
        <f>VLOOKUP(E7862,dicionario!$A$1:$C8261,3,0)</f>
        <v>serralinha</v>
      </c>
    </row>
    <row r="7863">
      <c r="A7863" s="3">
        <v>45743.0</v>
      </c>
      <c r="B7863" s="4">
        <v>0.2881944444444444</v>
      </c>
      <c r="C7863" s="5" t="s">
        <v>40</v>
      </c>
      <c r="D7863" s="5" t="s">
        <v>1278</v>
      </c>
      <c r="E7863" s="8" t="s">
        <v>355</v>
      </c>
      <c r="F7863" s="5" t="s">
        <v>356</v>
      </c>
      <c r="G7863" s="6" t="str">
        <f>VLOOKUP(E7863,dicionario!$A$1:$C8262,2,0)</f>
        <v>Boerhavia diffusa</v>
      </c>
      <c r="H7863" s="6" t="str">
        <f>VLOOKUP(E7863,dicionario!$A$1:$C8262,3,0)</f>
        <v>erva-tostão</v>
      </c>
    </row>
    <row r="7864">
      <c r="A7864" s="3">
        <v>45743.0</v>
      </c>
      <c r="B7864" s="4">
        <v>0.28888888888888886</v>
      </c>
      <c r="C7864" s="5" t="s">
        <v>40</v>
      </c>
      <c r="D7864" s="5" t="s">
        <v>1278</v>
      </c>
      <c r="E7864" s="8" t="s">
        <v>262</v>
      </c>
      <c r="F7864" s="5" t="s">
        <v>1256</v>
      </c>
      <c r="G7864" s="6" t="str">
        <f>VLOOKUP(E7864,dicionario!$A$1:$C8263,2,0)</f>
        <v>Portulaca oleracea</v>
      </c>
      <c r="H7864" s="6" t="str">
        <f>VLOOKUP(E7864,dicionario!$A$1:$C8263,3,0)</f>
        <v>beldroega</v>
      </c>
    </row>
    <row r="7865">
      <c r="A7865" s="3">
        <v>45743.0</v>
      </c>
      <c r="B7865" s="4">
        <v>0.28888888888888886</v>
      </c>
      <c r="C7865" s="5" t="s">
        <v>40</v>
      </c>
      <c r="D7865" s="5" t="s">
        <v>1278</v>
      </c>
      <c r="E7865" s="8" t="s">
        <v>154</v>
      </c>
      <c r="F7865" s="5" t="s">
        <v>155</v>
      </c>
      <c r="G7865" s="6" t="str">
        <f>VLOOKUP(E7865,dicionario!$A$1:$C8264,2,0)</f>
        <v>Cyperus rotundus</v>
      </c>
      <c r="H7865" s="6" t="str">
        <f>VLOOKUP(E7865,dicionario!$A$1:$C8264,3,0)</f>
        <v>tiririca</v>
      </c>
    </row>
    <row r="7866">
      <c r="A7866" s="3">
        <v>45743.0</v>
      </c>
      <c r="B7866" s="4">
        <v>0.28888888888888886</v>
      </c>
      <c r="C7866" s="5" t="s">
        <v>40</v>
      </c>
      <c r="D7866" s="5" t="s">
        <v>1278</v>
      </c>
      <c r="E7866" s="8" t="s">
        <v>1280</v>
      </c>
      <c r="F7866" s="5" t="s">
        <v>1156</v>
      </c>
      <c r="G7866" s="6" t="str">
        <f>VLOOKUP(E7866,dicionario!$A$1:$C8265,2,0)</f>
        <v>Paspalum notatum</v>
      </c>
      <c r="H7866" s="6" t="str">
        <f>VLOOKUP(E7866,dicionario!$A$1:$C8265,3,0)</f>
        <v>capim-forquilha</v>
      </c>
    </row>
    <row r="7867">
      <c r="A7867" s="3">
        <v>45743.0</v>
      </c>
      <c r="B7867" s="4">
        <v>0.28888888888888886</v>
      </c>
      <c r="C7867" s="5" t="s">
        <v>40</v>
      </c>
      <c r="D7867" s="5" t="s">
        <v>1278</v>
      </c>
      <c r="E7867" s="8" t="s">
        <v>265</v>
      </c>
      <c r="F7867" s="5" t="s">
        <v>266</v>
      </c>
      <c r="G7867" s="6" t="str">
        <f>VLOOKUP(E7867,dicionario!$A$1:$C8266,2,0)</f>
        <v>Sonchus oleraceus</v>
      </c>
      <c r="H7867" s="6" t="str">
        <f>VLOOKUP(E7867,dicionario!$A$1:$C8266,3,0)</f>
        <v>seralha</v>
      </c>
    </row>
    <row r="7868">
      <c r="A7868" s="3">
        <v>45743.0</v>
      </c>
      <c r="B7868" s="4">
        <v>0.28888888888888886</v>
      </c>
      <c r="C7868" s="5" t="s">
        <v>40</v>
      </c>
      <c r="D7868" s="5" t="s">
        <v>1278</v>
      </c>
      <c r="E7868" s="8" t="s">
        <v>253</v>
      </c>
      <c r="F7868" s="5" t="s">
        <v>254</v>
      </c>
      <c r="G7868" s="6" t="str">
        <f>VLOOKUP(E7868,dicionario!$A$1:$C8267,2,0)</f>
        <v>Panicum maximum</v>
      </c>
      <c r="H7868" s="6" t="str">
        <f>VLOOKUP(E7868,dicionario!$A$1:$C8267,3,0)</f>
        <v>capim-colonião</v>
      </c>
    </row>
    <row r="7869">
      <c r="A7869" s="3">
        <v>45743.0</v>
      </c>
      <c r="B7869" s="4">
        <v>0.28958333333333336</v>
      </c>
      <c r="C7869" s="5" t="s">
        <v>40</v>
      </c>
      <c r="D7869" s="5" t="s">
        <v>1278</v>
      </c>
      <c r="E7869" s="8" t="s">
        <v>150</v>
      </c>
      <c r="F7869" s="5" t="s">
        <v>151</v>
      </c>
      <c r="G7869" s="6" t="str">
        <f>VLOOKUP(E7869,dicionario!$A$1:$C8268,2,0)</f>
        <v>Amaranthus viridis</v>
      </c>
      <c r="H7869" s="6" t="str">
        <f>VLOOKUP(E7869,dicionario!$A$1:$C8268,3,0)</f>
        <v>caruru-de-mancha</v>
      </c>
    </row>
    <row r="7870">
      <c r="A7870" s="3">
        <v>45743.0</v>
      </c>
      <c r="B7870" s="4">
        <v>0.2902777777777778</v>
      </c>
      <c r="C7870" s="5" t="s">
        <v>40</v>
      </c>
      <c r="D7870" s="5" t="s">
        <v>1278</v>
      </c>
      <c r="E7870" s="8" t="s">
        <v>144</v>
      </c>
      <c r="F7870" s="5" t="s">
        <v>145</v>
      </c>
      <c r="G7870" s="6" t="str">
        <f>VLOOKUP(E7870,dicionario!$A$1:$C8269,2,0)</f>
        <v>Gomphrena globosa</v>
      </c>
      <c r="H7870" s="6" t="str">
        <f>VLOOKUP(E7870,dicionario!$A$1:$C8269,3,0)</f>
        <v>perpétua-rosa</v>
      </c>
    </row>
    <row r="7871">
      <c r="A7871" s="3">
        <v>45743.0</v>
      </c>
      <c r="B7871" s="4">
        <v>0.2902777777777778</v>
      </c>
      <c r="C7871" s="5" t="s">
        <v>40</v>
      </c>
      <c r="D7871" s="5" t="s">
        <v>1278</v>
      </c>
      <c r="E7871" s="8" t="s">
        <v>38</v>
      </c>
      <c r="F7871" s="5" t="s">
        <v>1251</v>
      </c>
      <c r="G7871" s="6" t="str">
        <f>VLOOKUP(E7871,dicionario!$A$1:$C8270,2,0)</f>
        <v>Troglodytes musculus</v>
      </c>
      <c r="H7871" s="6" t="str">
        <f>VLOOKUP(E7871,dicionario!$A$1:$C8270,3,0)</f>
        <v>curruíra</v>
      </c>
    </row>
    <row r="7872">
      <c r="A7872" s="3">
        <v>45743.0</v>
      </c>
      <c r="B7872" s="4">
        <v>0.29097222222222224</v>
      </c>
      <c r="C7872" s="5" t="s">
        <v>40</v>
      </c>
      <c r="D7872" s="5" t="s">
        <v>1278</v>
      </c>
      <c r="E7872" s="8" t="s">
        <v>1287</v>
      </c>
      <c r="F7872" s="5" t="s">
        <v>47</v>
      </c>
      <c r="G7872" s="6" t="str">
        <f>VLOOKUP(E7872,dicionario!$A$1:$C8271,2,0)</f>
        <v>#N/A</v>
      </c>
      <c r="H7872" s="6" t="str">
        <f>VLOOKUP(E7872,dicionario!$A$1:$C8271,3,0)</f>
        <v>#N/A</v>
      </c>
    </row>
    <row r="7873">
      <c r="A7873" s="3">
        <v>45743.0</v>
      </c>
      <c r="B7873" s="4">
        <v>0.2916666666666667</v>
      </c>
      <c r="C7873" s="5" t="s">
        <v>40</v>
      </c>
      <c r="D7873" s="5" t="s">
        <v>1278</v>
      </c>
      <c r="E7873" s="8" t="s">
        <v>72</v>
      </c>
      <c r="F7873" s="5" t="s">
        <v>73</v>
      </c>
      <c r="G7873" s="6" t="str">
        <f>VLOOKUP(E7873,dicionario!$A$1:$C8272,2,0)</f>
        <v>Thraupis palmarum</v>
      </c>
      <c r="H7873" s="6" t="str">
        <f>VLOOKUP(E7873,dicionario!$A$1:$C8272,3,0)</f>
        <v>sanhaço-do-coqueiro</v>
      </c>
    </row>
    <row r="7874">
      <c r="A7874" s="3">
        <v>45743.0</v>
      </c>
      <c r="B7874" s="4">
        <v>0.2916666666666667</v>
      </c>
      <c r="C7874" s="5" t="s">
        <v>40</v>
      </c>
      <c r="D7874" s="5" t="s">
        <v>1278</v>
      </c>
      <c r="E7874" s="8" t="s">
        <v>635</v>
      </c>
      <c r="F7874" s="5" t="s">
        <v>636</v>
      </c>
      <c r="G7874" s="6" t="str">
        <f>VLOOKUP(E7874,dicionario!$A$1:$C8273,2,0)</f>
        <v>Euphorbia graminea</v>
      </c>
      <c r="H7874" s="6" t="str">
        <f>VLOOKUP(E7874,dicionario!$A$1:$C8273,3,0)</f>
        <v>ponta-de-flecha</v>
      </c>
    </row>
    <row r="7875">
      <c r="A7875" s="3">
        <v>45743.0</v>
      </c>
      <c r="B7875" s="4">
        <v>0.2916666666666667</v>
      </c>
      <c r="C7875" s="5" t="s">
        <v>40</v>
      </c>
      <c r="D7875" s="5" t="s">
        <v>1278</v>
      </c>
      <c r="E7875" s="8" t="s">
        <v>1282</v>
      </c>
      <c r="F7875" s="5" t="s">
        <v>182</v>
      </c>
      <c r="G7875" s="6" t="str">
        <f>VLOOKUP(E7875,dicionario!$A$1:$C8274,2,0)</f>
        <v>#N/A</v>
      </c>
      <c r="H7875" s="6" t="str">
        <f>VLOOKUP(E7875,dicionario!$A$1:$C8274,3,0)</f>
        <v>#N/A</v>
      </c>
    </row>
    <row r="7876">
      <c r="A7876" s="3">
        <v>45743.0</v>
      </c>
      <c r="B7876" s="4">
        <v>0.2923611111111111</v>
      </c>
      <c r="C7876" s="5" t="s">
        <v>40</v>
      </c>
      <c r="D7876" s="5" t="s">
        <v>1278</v>
      </c>
      <c r="E7876" s="8" t="s">
        <v>489</v>
      </c>
      <c r="F7876" s="5" t="s">
        <v>521</v>
      </c>
      <c r="G7876" s="6" t="str">
        <f>VLOOKUP(E7876,dicionario!$A$1:$C8275,2,0)</f>
        <v>Cenchrus echinatus</v>
      </c>
      <c r="H7876" s="6" t="str">
        <f>VLOOKUP(E7876,dicionario!$A$1:$C8275,3,0)</f>
        <v>capim-carrapicho</v>
      </c>
    </row>
    <row r="7877">
      <c r="A7877" s="3">
        <v>45743.0</v>
      </c>
      <c r="B7877" s="4">
        <v>0.2923611111111111</v>
      </c>
      <c r="C7877" s="5" t="s">
        <v>40</v>
      </c>
      <c r="D7877" s="5" t="s">
        <v>1278</v>
      </c>
      <c r="E7877" s="8" t="s">
        <v>65</v>
      </c>
      <c r="F7877" s="5" t="s">
        <v>66</v>
      </c>
      <c r="G7877" s="6" t="str">
        <f>VLOOKUP(E7877,dicionario!$A$1:$C8276,2,0)</f>
        <v>Pitangus sulphutarus</v>
      </c>
      <c r="H7877" s="6" t="str">
        <f>VLOOKUP(E7877,dicionario!$A$1:$C8276,3,0)</f>
        <v>bem-te-vi</v>
      </c>
    </row>
    <row r="7878">
      <c r="A7878" s="3">
        <v>45743.0</v>
      </c>
      <c r="B7878" s="4">
        <v>0.29305555555555557</v>
      </c>
      <c r="C7878" s="5" t="s">
        <v>40</v>
      </c>
      <c r="D7878" s="5" t="s">
        <v>1278</v>
      </c>
      <c r="E7878" s="8" t="s">
        <v>213</v>
      </c>
      <c r="F7878" s="5" t="s">
        <v>214</v>
      </c>
      <c r="G7878" s="6" t="str">
        <f>VLOOKUP(E7878,dicionario!$A$1:$C8277,2,0)</f>
        <v>Myiozetetes similis</v>
      </c>
      <c r="H7878" s="6" t="str">
        <f>VLOOKUP(E7878,dicionario!$A$1:$C8277,3,0)</f>
        <v>bentevizinho-de-penacho-vermelho</v>
      </c>
    </row>
    <row r="7879">
      <c r="A7879" s="3">
        <v>45743.0</v>
      </c>
      <c r="B7879" s="4">
        <v>0.29305555555555557</v>
      </c>
      <c r="C7879" s="5" t="s">
        <v>40</v>
      </c>
      <c r="D7879" s="5" t="s">
        <v>1278</v>
      </c>
      <c r="E7879" s="8" t="s">
        <v>555</v>
      </c>
      <c r="F7879" s="5" t="s">
        <v>1246</v>
      </c>
      <c r="G7879" s="6" t="str">
        <f>VLOOKUP(E7879,dicionario!$A$1:$C8278,2,0)</f>
        <v>Talinum paniculatum</v>
      </c>
      <c r="H7879" s="6" t="str">
        <f>VLOOKUP(E7879,dicionario!$A$1:$C8278,3,0)</f>
        <v>beldroegão</v>
      </c>
    </row>
    <row r="7880">
      <c r="A7880" s="3">
        <v>45743.0</v>
      </c>
      <c r="B7880" s="4">
        <v>0.29375</v>
      </c>
      <c r="C7880" s="5" t="s">
        <v>40</v>
      </c>
      <c r="D7880" s="5" t="s">
        <v>1278</v>
      </c>
      <c r="E7880" s="8" t="s">
        <v>353</v>
      </c>
      <c r="F7880" s="5" t="s">
        <v>354</v>
      </c>
      <c r="G7880" s="6" t="str">
        <f>VLOOKUP(E7880,dicionario!$A$1:$C8279,2,0)</f>
        <v>Desmodium incanum</v>
      </c>
      <c r="H7880" s="6" t="str">
        <f>VLOOKUP(E7880,dicionario!$A$1:$C8279,3,0)</f>
        <v>pega-pega</v>
      </c>
    </row>
    <row r="7881">
      <c r="A7881" s="3">
        <v>45743.0</v>
      </c>
      <c r="B7881" s="4">
        <v>0.29375</v>
      </c>
      <c r="C7881" s="5" t="s">
        <v>40</v>
      </c>
      <c r="D7881" s="5" t="s">
        <v>1278</v>
      </c>
      <c r="E7881" s="8" t="s">
        <v>1288</v>
      </c>
      <c r="F7881" s="5" t="s">
        <v>561</v>
      </c>
      <c r="G7881" s="6" t="str">
        <f>VLOOKUP(E7881,dicionario!$A$1:$C8280,2,0)</f>
        <v>#N/A</v>
      </c>
      <c r="H7881" s="6" t="str">
        <f>VLOOKUP(E7881,dicionario!$A$1:$C8280,3,0)</f>
        <v>#N/A</v>
      </c>
    </row>
    <row r="7882">
      <c r="A7882" s="3">
        <v>45743.0</v>
      </c>
      <c r="B7882" s="4">
        <v>0.29375</v>
      </c>
      <c r="C7882" s="5" t="s">
        <v>40</v>
      </c>
      <c r="D7882" s="5" t="s">
        <v>1278</v>
      </c>
      <c r="E7882" s="6" t="s">
        <v>471</v>
      </c>
      <c r="F7882" s="5" t="s">
        <v>472</v>
      </c>
      <c r="G7882" s="6" t="str">
        <f>VLOOKUP(E7882,dicionario!$A$1:$C8281,2,0)</f>
        <v>Sida acuta</v>
      </c>
      <c r="H7882" s="6" t="str">
        <f>VLOOKUP(E7882,dicionario!$A$1:$C8281,3,0)</f>
        <v>reloginho</v>
      </c>
    </row>
    <row r="7883">
      <c r="A7883" s="3">
        <v>45743.0</v>
      </c>
      <c r="B7883" s="4">
        <v>0.29375</v>
      </c>
      <c r="C7883" s="5" t="s">
        <v>40</v>
      </c>
      <c r="D7883" s="5" t="s">
        <v>1278</v>
      </c>
      <c r="E7883" s="8" t="s">
        <v>1289</v>
      </c>
      <c r="F7883" s="5" t="s">
        <v>1290</v>
      </c>
      <c r="G7883" s="6" t="str">
        <f>VLOOKUP(E7883,dicionario!$A$1:$C8282,2,0)</f>
        <v>#N/A</v>
      </c>
      <c r="H7883" s="6" t="str">
        <f>VLOOKUP(E7883,dicionario!$A$1:$C8282,3,0)</f>
        <v>#N/A</v>
      </c>
    </row>
    <row r="7884">
      <c r="A7884" s="3">
        <v>45743.0</v>
      </c>
      <c r="B7884" s="4">
        <v>0.29444444444444445</v>
      </c>
      <c r="C7884" s="5" t="s">
        <v>40</v>
      </c>
      <c r="D7884" s="5" t="s">
        <v>1278</v>
      </c>
      <c r="E7884" s="8" t="s">
        <v>358</v>
      </c>
      <c r="F7884" s="5" t="s">
        <v>567</v>
      </c>
      <c r="G7884" s="6" t="str">
        <f>VLOOKUP(E7884,dicionario!$A$1:$C8283,2,0)</f>
        <v>Sida</v>
      </c>
      <c r="H7884" s="6" t="str">
        <f>VLOOKUP(E7884,dicionario!$A$1:$C8283,3,0)</f>
        <v/>
      </c>
    </row>
    <row r="7885">
      <c r="A7885" s="3">
        <v>45743.0</v>
      </c>
      <c r="B7885" s="4">
        <v>0.29444444444444445</v>
      </c>
      <c r="C7885" s="5" t="s">
        <v>40</v>
      </c>
      <c r="D7885" s="5" t="s">
        <v>1278</v>
      </c>
      <c r="E7885" s="8" t="s">
        <v>51</v>
      </c>
      <c r="F7885" s="5" t="s">
        <v>77</v>
      </c>
      <c r="G7885" s="6" t="str">
        <f>VLOOKUP(E7885,dicionario!$A$1:$C8284,2,0)</f>
        <v>Solenopsis</v>
      </c>
      <c r="H7885" s="6" t="str">
        <f>VLOOKUP(E7885,dicionario!$A$1:$C8284,3,0)</f>
        <v>formiga-quente; formiga-lava-pés; formiga-de-fogo</v>
      </c>
    </row>
    <row r="7886">
      <c r="A7886" s="3">
        <v>45743.0</v>
      </c>
      <c r="B7886" s="4">
        <v>0.29444444444444445</v>
      </c>
      <c r="C7886" s="5" t="s">
        <v>40</v>
      </c>
      <c r="D7886" s="5" t="s">
        <v>1278</v>
      </c>
      <c r="E7886" s="8" t="s">
        <v>225</v>
      </c>
      <c r="F7886" s="5" t="s">
        <v>226</v>
      </c>
      <c r="G7886" s="6" t="str">
        <f>VLOOKUP(E7886,dicionario!$A$1:$C8285,2,0)</f>
        <v>Passer domesticus</v>
      </c>
      <c r="H7886" s="6" t="str">
        <f>VLOOKUP(E7886,dicionario!$A$1:$C8285,3,0)</f>
        <v>pardal</v>
      </c>
    </row>
    <row r="7887">
      <c r="A7887" s="3">
        <v>45743.0</v>
      </c>
      <c r="B7887" s="4">
        <v>0.29583333333333334</v>
      </c>
      <c r="C7887" s="5" t="s">
        <v>40</v>
      </c>
      <c r="D7887" s="5" t="s">
        <v>1278</v>
      </c>
      <c r="E7887" s="8" t="s">
        <v>1291</v>
      </c>
      <c r="F7887" s="5" t="s">
        <v>1292</v>
      </c>
      <c r="G7887" s="6" t="str">
        <f>VLOOKUP(E7887,dicionario!$A$1:$C8286,2,0)</f>
        <v>Cucumis anguria</v>
      </c>
      <c r="H7887" s="6" t="str">
        <f>VLOOKUP(E7887,dicionario!$A$1:$C8286,3,0)</f>
        <v>maxixe</v>
      </c>
    </row>
    <row r="7888">
      <c r="A7888" s="3">
        <v>45743.0</v>
      </c>
      <c r="B7888" s="4">
        <v>0.25833333333333336</v>
      </c>
      <c r="C7888" s="5" t="s">
        <v>50</v>
      </c>
      <c r="D7888" s="5" t="s">
        <v>1278</v>
      </c>
      <c r="E7888" s="6" t="s">
        <v>237</v>
      </c>
      <c r="F7888" s="7" t="s">
        <v>238</v>
      </c>
      <c r="G7888" s="6" t="str">
        <f>VLOOKUP(E7888,dicionario!$A$1:$C8287,2,0)</f>
        <v>Acromyrmex</v>
      </c>
      <c r="H7888" s="6" t="str">
        <f>VLOOKUP(E7888,dicionario!$A$1:$C8287,3,0)</f>
        <v>quenquén</v>
      </c>
    </row>
    <row r="7889">
      <c r="A7889" s="3">
        <v>45743.0</v>
      </c>
      <c r="B7889" s="4">
        <v>0.25833333333333336</v>
      </c>
      <c r="C7889" s="5" t="s">
        <v>50</v>
      </c>
      <c r="D7889" s="5" t="s">
        <v>1278</v>
      </c>
      <c r="E7889" s="8" t="s">
        <v>338</v>
      </c>
      <c r="F7889" s="5" t="s">
        <v>316</v>
      </c>
      <c r="G7889" s="6" t="str">
        <f>VLOOKUP(E7889,dicionario!$A$1:$C8288,2,0)</f>
        <v>Atta</v>
      </c>
      <c r="H7889" s="6" t="str">
        <f>VLOOKUP(E7889,dicionario!$A$1:$C8288,3,0)</f>
        <v>saúva</v>
      </c>
    </row>
    <row r="7890">
      <c r="A7890" s="3">
        <v>45743.0</v>
      </c>
      <c r="B7890" s="4">
        <v>0.25833333333333336</v>
      </c>
      <c r="C7890" s="5" t="s">
        <v>50</v>
      </c>
      <c r="D7890" s="5" t="s">
        <v>1278</v>
      </c>
      <c r="E7890" s="8" t="s">
        <v>296</v>
      </c>
      <c r="F7890" s="5" t="s">
        <v>297</v>
      </c>
      <c r="G7890" s="6" t="str">
        <f>VLOOKUP(E7890,dicionario!$A$1:$C8289,2,0)</f>
        <v>Richardia brasiliensis</v>
      </c>
      <c r="H7890" s="6" t="str">
        <f>VLOOKUP(E7890,dicionario!$A$1:$C8289,3,0)</f>
        <v>poaia-branca</v>
      </c>
    </row>
    <row r="7891">
      <c r="A7891" s="3">
        <v>45743.0</v>
      </c>
      <c r="B7891" s="4">
        <v>0.25833333333333336</v>
      </c>
      <c r="C7891" s="5" t="s">
        <v>50</v>
      </c>
      <c r="D7891" s="5" t="s">
        <v>1278</v>
      </c>
      <c r="E7891" s="8" t="s">
        <v>1280</v>
      </c>
      <c r="F7891" s="5" t="s">
        <v>1156</v>
      </c>
      <c r="G7891" s="6" t="str">
        <f>VLOOKUP(E7891,dicionario!$A$1:$C8290,2,0)</f>
        <v>Paspalum notatum</v>
      </c>
      <c r="H7891" s="6" t="str">
        <f>VLOOKUP(E7891,dicionario!$A$1:$C8290,3,0)</f>
        <v>capim-forquilha</v>
      </c>
    </row>
    <row r="7892">
      <c r="A7892" s="3">
        <v>45743.0</v>
      </c>
      <c r="B7892" s="4">
        <v>0.25833333333333336</v>
      </c>
      <c r="C7892" s="5" t="s">
        <v>50</v>
      </c>
      <c r="D7892" s="5" t="s">
        <v>1278</v>
      </c>
      <c r="E7892" s="8" t="s">
        <v>253</v>
      </c>
      <c r="F7892" s="5" t="s">
        <v>254</v>
      </c>
      <c r="G7892" s="6" t="str">
        <f>VLOOKUP(E7892,dicionario!$A$1:$C8291,2,0)</f>
        <v>Panicum maximum</v>
      </c>
      <c r="H7892" s="6" t="str">
        <f>VLOOKUP(E7892,dicionario!$A$1:$C8291,3,0)</f>
        <v>capim-colonião</v>
      </c>
    </row>
    <row r="7893">
      <c r="A7893" s="3">
        <v>45743.0</v>
      </c>
      <c r="B7893" s="4">
        <v>0.25833333333333336</v>
      </c>
      <c r="C7893" s="5" t="s">
        <v>50</v>
      </c>
      <c r="D7893" s="5" t="s">
        <v>1278</v>
      </c>
      <c r="E7893" s="6" t="s">
        <v>471</v>
      </c>
      <c r="F7893" s="5" t="s">
        <v>472</v>
      </c>
      <c r="G7893" s="6" t="str">
        <f>VLOOKUP(E7893,dicionario!$A$1:$C8292,2,0)</f>
        <v>Sida acuta</v>
      </c>
      <c r="H7893" s="6" t="str">
        <f>VLOOKUP(E7893,dicionario!$A$1:$C8292,3,0)</f>
        <v>reloginho</v>
      </c>
    </row>
    <row r="7894">
      <c r="A7894" s="3">
        <v>45743.0</v>
      </c>
      <c r="B7894" s="4">
        <v>0.25833333333333336</v>
      </c>
      <c r="C7894" s="5" t="s">
        <v>50</v>
      </c>
      <c r="D7894" s="5" t="s">
        <v>1278</v>
      </c>
      <c r="E7894" s="8" t="s">
        <v>353</v>
      </c>
      <c r="F7894" s="5" t="s">
        <v>354</v>
      </c>
      <c r="G7894" s="6" t="str">
        <f>VLOOKUP(E7894,dicionario!$A$1:$C8293,2,0)</f>
        <v>Desmodium incanum</v>
      </c>
      <c r="H7894" s="6" t="str">
        <f>VLOOKUP(E7894,dicionario!$A$1:$C8293,3,0)</f>
        <v>pega-pega</v>
      </c>
    </row>
    <row r="7895">
      <c r="A7895" s="3">
        <v>45743.0</v>
      </c>
      <c r="B7895" s="4">
        <v>0.30069444444444443</v>
      </c>
      <c r="C7895" s="5" t="s">
        <v>50</v>
      </c>
      <c r="D7895" s="5" t="s">
        <v>1278</v>
      </c>
      <c r="E7895" s="8" t="s">
        <v>1087</v>
      </c>
      <c r="F7895" s="5" t="s">
        <v>1088</v>
      </c>
      <c r="G7895" s="6" t="str">
        <f>VLOOKUP(E7895,dicionario!$A$1:$C8294,2,0)</f>
        <v>Desmodium triflorum</v>
      </c>
      <c r="H7895" s="6" t="str">
        <f>VLOOKUP(E7895,dicionario!$A$1:$C8294,3,0)</f>
        <v/>
      </c>
    </row>
    <row r="7896">
      <c r="A7896" s="3">
        <v>45743.0</v>
      </c>
      <c r="B7896" s="4">
        <v>0.3013888888888889</v>
      </c>
      <c r="C7896" s="5" t="s">
        <v>50</v>
      </c>
      <c r="D7896" s="5" t="s">
        <v>1278</v>
      </c>
      <c r="E7896" s="8" t="s">
        <v>22</v>
      </c>
      <c r="F7896" s="5" t="s">
        <v>97</v>
      </c>
      <c r="G7896" s="6" t="str">
        <f>VLOOKUP(E7896,dicionario!$A$1:$C8295,2,0)</f>
        <v>Zenaida auriculata</v>
      </c>
      <c r="H7896" s="6" t="str">
        <f>VLOOKUP(E7896,dicionario!$A$1:$C8295,3,0)</f>
        <v>pomba-de-bando; avoante</v>
      </c>
    </row>
    <row r="7897">
      <c r="A7897" s="3">
        <v>45743.0</v>
      </c>
      <c r="B7897" s="4">
        <v>0.3013888888888889</v>
      </c>
      <c r="C7897" s="5" t="s">
        <v>50</v>
      </c>
      <c r="D7897" s="5" t="s">
        <v>1278</v>
      </c>
      <c r="E7897" s="8" t="s">
        <v>1084</v>
      </c>
      <c r="F7897" s="5" t="s">
        <v>224</v>
      </c>
      <c r="G7897" s="6" t="str">
        <f>VLOOKUP(E7897,dicionario!$A$1:$C8296,2,0)</f>
        <v>#N/A</v>
      </c>
      <c r="H7897" s="6" t="str">
        <f>VLOOKUP(E7897,dicionario!$A$1:$C8296,3,0)</f>
        <v>#N/A</v>
      </c>
    </row>
    <row r="7898">
      <c r="A7898" s="3">
        <v>45743.0</v>
      </c>
      <c r="B7898" s="4">
        <v>0.3013888888888889</v>
      </c>
      <c r="C7898" s="5" t="s">
        <v>50</v>
      </c>
      <c r="D7898" s="5" t="s">
        <v>1278</v>
      </c>
      <c r="E7898" s="8" t="s">
        <v>109</v>
      </c>
      <c r="F7898" s="5" t="s">
        <v>110</v>
      </c>
      <c r="G7898" s="6" t="str">
        <f>VLOOKUP(E7898,dicionario!$A$1:$C8297,2,0)</f>
        <v>Tillandsia stricta</v>
      </c>
      <c r="H7898" s="6" t="str">
        <f>VLOOKUP(E7898,dicionario!$A$1:$C8297,3,0)</f>
        <v>cravo-do-mato</v>
      </c>
    </row>
    <row r="7899">
      <c r="A7899" s="3">
        <v>45743.0</v>
      </c>
      <c r="B7899" s="4">
        <v>0.3013888888888889</v>
      </c>
      <c r="C7899" s="5" t="s">
        <v>50</v>
      </c>
      <c r="D7899" s="5" t="s">
        <v>1278</v>
      </c>
      <c r="E7899" s="6" t="s">
        <v>86</v>
      </c>
      <c r="F7899" s="5" t="s">
        <v>502</v>
      </c>
      <c r="G7899" s="6" t="str">
        <f>VLOOKUP(E7899,dicionario!$A$1:$C8298,2,0)</f>
        <v>Coereba flaveola</v>
      </c>
      <c r="H7899" s="6" t="str">
        <f>VLOOKUP(E7899,dicionario!$A$1:$C8298,3,0)</f>
        <v>cambacica</v>
      </c>
    </row>
    <row r="7900">
      <c r="A7900" s="3">
        <v>45743.0</v>
      </c>
      <c r="B7900" s="4">
        <v>0.3034722222222222</v>
      </c>
      <c r="C7900" s="5" t="s">
        <v>50</v>
      </c>
      <c r="D7900" s="5" t="s">
        <v>1278</v>
      </c>
      <c r="E7900" s="8" t="s">
        <v>105</v>
      </c>
      <c r="F7900" s="5" t="s">
        <v>1071</v>
      </c>
      <c r="G7900" s="6" t="str">
        <f>VLOOKUP(E7900,dicionario!$A$1:$C8299,2,0)</f>
        <v>Progne tapera</v>
      </c>
      <c r="H7900" s="6" t="str">
        <f>VLOOKUP(E7900,dicionario!$A$1:$C8299,3,0)</f>
        <v>andorinha-do-campo</v>
      </c>
    </row>
    <row r="7901">
      <c r="A7901" s="3">
        <v>45743.0</v>
      </c>
      <c r="B7901" s="4">
        <v>0.30416666666666664</v>
      </c>
      <c r="C7901" s="5" t="s">
        <v>50</v>
      </c>
      <c r="D7901" s="5" t="s">
        <v>1278</v>
      </c>
      <c r="E7901" s="8" t="s">
        <v>298</v>
      </c>
      <c r="F7901" s="7"/>
      <c r="G7901" s="6" t="str">
        <f>VLOOKUP(E7901,dicionario!$A$1:$C8300,2,0)</f>
        <v>Alysicarpus vaginalis</v>
      </c>
      <c r="H7901" s="6" t="str">
        <f>VLOOKUP(E7901,dicionario!$A$1:$C8300,3,0)</f>
        <v/>
      </c>
    </row>
    <row r="7902">
      <c r="A7902" s="3">
        <v>45743.0</v>
      </c>
      <c r="B7902" s="4">
        <v>0.30486111111111114</v>
      </c>
      <c r="C7902" s="5" t="s">
        <v>50</v>
      </c>
      <c r="D7902" s="5" t="s">
        <v>1278</v>
      </c>
      <c r="E7902" s="8" t="s">
        <v>16</v>
      </c>
      <c r="F7902" s="5" t="s">
        <v>17</v>
      </c>
      <c r="G7902" s="6" t="str">
        <f>VLOOKUP(E7902,dicionario!$A$1:$C8301,2,0)</f>
        <v>Eupetomena macroura</v>
      </c>
      <c r="H7902" s="6" t="str">
        <f>VLOOKUP(E7902,dicionario!$A$1:$C8301,3,0)</f>
        <v>beija-flor-tesoura</v>
      </c>
    </row>
    <row r="7903">
      <c r="A7903" s="3">
        <v>45743.0</v>
      </c>
      <c r="B7903" s="4">
        <v>0.3090277777777778</v>
      </c>
      <c r="C7903" s="5" t="s">
        <v>59</v>
      </c>
      <c r="D7903" s="5" t="s">
        <v>1278</v>
      </c>
      <c r="E7903" s="8" t="s">
        <v>46</v>
      </c>
      <c r="F7903" s="5" t="s">
        <v>47</v>
      </c>
      <c r="G7903" s="6" t="str">
        <f>VLOOKUP(E7903,dicionario!$A$1:$C8302,2,0)</f>
        <v>Chionomesa fimbriata</v>
      </c>
      <c r="H7903" s="6" t="str">
        <f>VLOOKUP(E7903,dicionario!$A$1:$C8302,3,0)</f>
        <v>beija-flor-de-garganta-verde</v>
      </c>
    </row>
    <row r="7904">
      <c r="A7904" s="3">
        <v>45743.0</v>
      </c>
      <c r="B7904" s="4">
        <v>0.30972222222222223</v>
      </c>
      <c r="C7904" s="5" t="s">
        <v>59</v>
      </c>
      <c r="D7904" s="5" t="s">
        <v>1278</v>
      </c>
      <c r="E7904" s="8" t="s">
        <v>191</v>
      </c>
      <c r="F7904" s="5" t="s">
        <v>192</v>
      </c>
      <c r="G7904" s="6" t="str">
        <f>VLOOKUP(E7904,dicionario!$A$1:$C8303,2,0)</f>
        <v>Patagioenas picazuro</v>
      </c>
      <c r="H7904" s="6" t="str">
        <f>VLOOKUP(E7904,dicionario!$A$1:$C8303,3,0)</f>
        <v>asa-branca; pomba-asa-branca; pocaçu</v>
      </c>
    </row>
    <row r="7905">
      <c r="A7905" s="3">
        <v>45743.0</v>
      </c>
      <c r="B7905" s="4">
        <v>0.30972222222222223</v>
      </c>
      <c r="C7905" s="5" t="s">
        <v>59</v>
      </c>
      <c r="D7905" s="5" t="s">
        <v>1278</v>
      </c>
      <c r="E7905" s="6" t="s">
        <v>48</v>
      </c>
      <c r="F7905" s="5" t="s">
        <v>49</v>
      </c>
      <c r="G7905" s="6" t="str">
        <f>VLOOKUP(E7905,dicionario!$A$1:$C8304,2,0)</f>
        <v>Commelina erecta</v>
      </c>
      <c r="H7905" s="6" t="str">
        <f>VLOOKUP(E7905,dicionario!$A$1:$C8304,3,0)</f>
        <v>trapoeraba</v>
      </c>
    </row>
    <row r="7906">
      <c r="A7906" s="3">
        <v>45743.0</v>
      </c>
      <c r="B7906" s="4">
        <v>0.30972222222222223</v>
      </c>
      <c r="C7906" s="5" t="s">
        <v>59</v>
      </c>
      <c r="D7906" s="5" t="s">
        <v>1278</v>
      </c>
      <c r="E7906" s="8" t="s">
        <v>253</v>
      </c>
      <c r="F7906" s="5" t="s">
        <v>254</v>
      </c>
      <c r="G7906" s="6" t="str">
        <f>VLOOKUP(E7906,dicionario!$A$1:$C8305,2,0)</f>
        <v>Panicum maximum</v>
      </c>
      <c r="H7906" s="6" t="str">
        <f>VLOOKUP(E7906,dicionario!$A$1:$C8305,3,0)</f>
        <v>capim-colonião</v>
      </c>
    </row>
    <row r="7907">
      <c r="A7907" s="3">
        <v>45743.0</v>
      </c>
      <c r="B7907" s="4">
        <v>0.30972222222222223</v>
      </c>
      <c r="C7907" s="5" t="s">
        <v>59</v>
      </c>
      <c r="D7907" s="5" t="s">
        <v>1278</v>
      </c>
      <c r="E7907" s="8" t="s">
        <v>489</v>
      </c>
      <c r="F7907" s="5" t="s">
        <v>521</v>
      </c>
      <c r="G7907" s="6" t="str">
        <f>VLOOKUP(E7907,dicionario!$A$1:$C8306,2,0)</f>
        <v>Cenchrus echinatus</v>
      </c>
      <c r="H7907" s="6" t="str">
        <f>VLOOKUP(E7907,dicionario!$A$1:$C8306,3,0)</f>
        <v>capim-carrapicho</v>
      </c>
    </row>
    <row r="7908">
      <c r="A7908" s="3">
        <v>45743.0</v>
      </c>
      <c r="B7908" s="4">
        <v>0.30972222222222223</v>
      </c>
      <c r="C7908" s="5" t="s">
        <v>59</v>
      </c>
      <c r="D7908" s="5" t="s">
        <v>1278</v>
      </c>
      <c r="E7908" s="6" t="s">
        <v>53</v>
      </c>
      <c r="F7908" s="5" t="s">
        <v>54</v>
      </c>
      <c r="G7908" s="6" t="str">
        <f>VLOOKUP(E7908,dicionario!$A$1:$C8307,2,0)</f>
        <v>Turnera subulata</v>
      </c>
      <c r="H7908" s="6" t="str">
        <f>VLOOKUP(E7908,dicionario!$A$1:$C8307,3,0)</f>
        <v>xanana</v>
      </c>
    </row>
    <row r="7909">
      <c r="A7909" s="3">
        <v>45743.0</v>
      </c>
      <c r="B7909" s="4">
        <v>0.30972222222222223</v>
      </c>
      <c r="C7909" s="5" t="s">
        <v>59</v>
      </c>
      <c r="D7909" s="5" t="s">
        <v>1278</v>
      </c>
      <c r="E7909" s="20" t="s">
        <v>676</v>
      </c>
      <c r="F7909" s="5" t="s">
        <v>677</v>
      </c>
      <c r="G7909" s="6" t="str">
        <f>VLOOKUP(E7909,dicionario!$A$1:$C8308,2,0)</f>
        <v>Zornia latifolia</v>
      </c>
      <c r="H7909" s="6" t="str">
        <f>VLOOKUP(E7909,dicionario!$A$1:$C8308,3,0)</f>
        <v>arrozinho-do-campo</v>
      </c>
    </row>
    <row r="7910">
      <c r="A7910" s="3">
        <v>45743.0</v>
      </c>
      <c r="B7910" s="4">
        <v>0.30972222222222223</v>
      </c>
      <c r="C7910" s="5" t="s">
        <v>59</v>
      </c>
      <c r="D7910" s="5" t="s">
        <v>1278</v>
      </c>
      <c r="E7910" s="8" t="s">
        <v>154</v>
      </c>
      <c r="F7910" s="5" t="s">
        <v>155</v>
      </c>
      <c r="G7910" s="6" t="str">
        <f>VLOOKUP(E7910,dicionario!$A$1:$C8309,2,0)</f>
        <v>Cyperus rotundus</v>
      </c>
      <c r="H7910" s="6" t="str">
        <f>VLOOKUP(E7910,dicionario!$A$1:$C8309,3,0)</f>
        <v>tiririca</v>
      </c>
    </row>
    <row r="7911">
      <c r="A7911" s="3">
        <v>45743.0</v>
      </c>
      <c r="B7911" s="4">
        <v>0.30972222222222223</v>
      </c>
      <c r="C7911" s="5" t="s">
        <v>59</v>
      </c>
      <c r="D7911" s="5" t="s">
        <v>1278</v>
      </c>
      <c r="E7911" s="6" t="s">
        <v>148</v>
      </c>
      <c r="F7911" s="5" t="s">
        <v>149</v>
      </c>
      <c r="G7911" s="6" t="str">
        <f>VLOOKUP(E7911,dicionario!$A$1:$C8310,2,0)</f>
        <v>Parthenium hysterophorus</v>
      </c>
      <c r="H7911" s="6" t="str">
        <f>VLOOKUP(E7911,dicionario!$A$1:$C8310,3,0)</f>
        <v>losna-branca</v>
      </c>
    </row>
    <row r="7912">
      <c r="A7912" s="3">
        <v>45743.0</v>
      </c>
      <c r="B7912" s="4">
        <v>0.30972222222222223</v>
      </c>
      <c r="C7912" s="5" t="s">
        <v>59</v>
      </c>
      <c r="D7912" s="5" t="s">
        <v>1278</v>
      </c>
      <c r="E7912" s="8" t="s">
        <v>227</v>
      </c>
      <c r="F7912" s="5" t="s">
        <v>228</v>
      </c>
      <c r="G7912" s="6" t="str">
        <f>VLOOKUP(E7912,dicionario!$A$1:$C8311,2,0)</f>
        <v>Indigofera hirsuta</v>
      </c>
      <c r="H7912" s="6" t="str">
        <f>VLOOKUP(E7912,dicionario!$A$1:$C8311,3,0)</f>
        <v>anileira</v>
      </c>
    </row>
    <row r="7913">
      <c r="A7913" s="3">
        <v>45743.0</v>
      </c>
      <c r="B7913" s="4">
        <v>0.3104166666666667</v>
      </c>
      <c r="C7913" s="5" t="s">
        <v>59</v>
      </c>
      <c r="D7913" s="5" t="s">
        <v>1278</v>
      </c>
      <c r="E7913" s="6" t="s">
        <v>366</v>
      </c>
      <c r="F7913" s="5" t="s">
        <v>367</v>
      </c>
      <c r="G7913" s="6" t="str">
        <f>VLOOKUP(E7913,dicionario!$A$1:$C8312,2,0)</f>
        <v>Alternanthera ficoidea</v>
      </c>
      <c r="H7913" s="6" t="str">
        <f>VLOOKUP(E7913,dicionario!$A$1:$C8312,3,0)</f>
        <v>quebra-panela</v>
      </c>
    </row>
    <row r="7914">
      <c r="A7914" s="3">
        <v>45743.0</v>
      </c>
      <c r="B7914" s="4">
        <v>0.3104166666666667</v>
      </c>
      <c r="C7914" s="5" t="s">
        <v>59</v>
      </c>
      <c r="D7914" s="5" t="s">
        <v>1278</v>
      </c>
      <c r="E7914" s="8" t="s">
        <v>298</v>
      </c>
      <c r="F7914" s="7"/>
      <c r="G7914" s="6" t="str">
        <f>VLOOKUP(E7914,dicionario!$A$1:$C8313,2,0)</f>
        <v>Alysicarpus vaginalis</v>
      </c>
      <c r="H7914" s="6" t="str">
        <f>VLOOKUP(E7914,dicionario!$A$1:$C8313,3,0)</f>
        <v/>
      </c>
    </row>
    <row r="7915">
      <c r="A7915" s="3">
        <v>45743.0</v>
      </c>
      <c r="B7915" s="4">
        <v>0.3104166666666667</v>
      </c>
      <c r="C7915" s="5" t="s">
        <v>59</v>
      </c>
      <c r="D7915" s="5" t="s">
        <v>1278</v>
      </c>
      <c r="E7915" s="8" t="s">
        <v>135</v>
      </c>
      <c r="F7915" s="5" t="s">
        <v>136</v>
      </c>
      <c r="G7915" s="6" t="str">
        <f>VLOOKUP(E7915,dicionario!$A$1:$C8314,2,0)</f>
        <v>Tridax procumbens</v>
      </c>
      <c r="H7915" s="6" t="str">
        <f>VLOOKUP(E7915,dicionario!$A$1:$C8314,3,0)</f>
        <v>erva-de-touro</v>
      </c>
    </row>
    <row r="7916">
      <c r="A7916" s="3">
        <v>45743.0</v>
      </c>
      <c r="B7916" s="4">
        <v>0.3104166666666667</v>
      </c>
      <c r="C7916" s="5" t="s">
        <v>59</v>
      </c>
      <c r="D7916" s="5" t="s">
        <v>1278</v>
      </c>
      <c r="E7916" s="8" t="s">
        <v>22</v>
      </c>
      <c r="F7916" s="5" t="s">
        <v>97</v>
      </c>
      <c r="G7916" s="6" t="str">
        <f>VLOOKUP(E7916,dicionario!$A$1:$C8315,2,0)</f>
        <v>Zenaida auriculata</v>
      </c>
      <c r="H7916" s="6" t="str">
        <f>VLOOKUP(E7916,dicionario!$A$1:$C8315,3,0)</f>
        <v>pomba-de-bando; avoante</v>
      </c>
    </row>
    <row r="7917">
      <c r="A7917" s="3">
        <v>45743.0</v>
      </c>
      <c r="B7917" s="4">
        <v>0.3104166666666667</v>
      </c>
      <c r="C7917" s="5" t="s">
        <v>59</v>
      </c>
      <c r="D7917" s="5" t="s">
        <v>1278</v>
      </c>
      <c r="E7917" s="8" t="s">
        <v>72</v>
      </c>
      <c r="F7917" s="5" t="s">
        <v>73</v>
      </c>
      <c r="G7917" s="6" t="str">
        <f>VLOOKUP(E7917,dicionario!$A$1:$C8316,2,0)</f>
        <v>Thraupis palmarum</v>
      </c>
      <c r="H7917" s="6" t="str">
        <f>VLOOKUP(E7917,dicionario!$A$1:$C8316,3,0)</f>
        <v>sanhaço-do-coqueiro</v>
      </c>
    </row>
    <row r="7918">
      <c r="A7918" s="3">
        <v>45743.0</v>
      </c>
      <c r="B7918" s="4">
        <v>0.3104166666666667</v>
      </c>
      <c r="C7918" s="5" t="s">
        <v>59</v>
      </c>
      <c r="D7918" s="5" t="s">
        <v>1278</v>
      </c>
      <c r="E7918" s="6" t="s">
        <v>471</v>
      </c>
      <c r="F7918" s="5" t="s">
        <v>472</v>
      </c>
      <c r="G7918" s="6" t="str">
        <f>VLOOKUP(E7918,dicionario!$A$1:$C8317,2,0)</f>
        <v>Sida acuta</v>
      </c>
      <c r="H7918" s="6" t="str">
        <f>VLOOKUP(E7918,dicionario!$A$1:$C8317,3,0)</f>
        <v>reloginho</v>
      </c>
    </row>
    <row r="7919">
      <c r="A7919" s="3">
        <v>45743.0</v>
      </c>
      <c r="B7919" s="4">
        <v>0.3104166666666667</v>
      </c>
      <c r="C7919" s="5" t="s">
        <v>59</v>
      </c>
      <c r="D7919" s="5" t="s">
        <v>1278</v>
      </c>
      <c r="E7919" s="8" t="s">
        <v>286</v>
      </c>
      <c r="F7919" s="5" t="s">
        <v>287</v>
      </c>
      <c r="G7919" s="6" t="str">
        <f>VLOOKUP(E7919,dicionario!$A$1:$C8318,2,0)</f>
        <v>Setaria parviflora</v>
      </c>
      <c r="H7919" s="6" t="str">
        <f>VLOOKUP(E7919,dicionario!$A$1:$C8318,3,0)</f>
        <v>capim-rabo-de-raposa</v>
      </c>
    </row>
    <row r="7920">
      <c r="A7920" s="3">
        <v>45743.0</v>
      </c>
      <c r="B7920" s="4">
        <v>0.3111111111111111</v>
      </c>
      <c r="C7920" s="5" t="s">
        <v>59</v>
      </c>
      <c r="D7920" s="5" t="s">
        <v>1278</v>
      </c>
      <c r="E7920" s="8" t="s">
        <v>425</v>
      </c>
      <c r="F7920" s="5" t="s">
        <v>426</v>
      </c>
      <c r="G7920" s="6" t="str">
        <f>VLOOKUP(E7920,dicionario!$A$1:$C8319,2,0)</f>
        <v>Digitaria insularis</v>
      </c>
      <c r="H7920" s="6" t="str">
        <f>VLOOKUP(E7920,dicionario!$A$1:$C8319,3,0)</f>
        <v>capim-amargoso</v>
      </c>
    </row>
    <row r="7921">
      <c r="A7921" s="3">
        <v>45743.0</v>
      </c>
      <c r="B7921" s="4">
        <v>0.3111111111111111</v>
      </c>
      <c r="C7921" s="5" t="s">
        <v>59</v>
      </c>
      <c r="D7921" s="5" t="s">
        <v>1278</v>
      </c>
      <c r="E7921" s="8" t="s">
        <v>358</v>
      </c>
      <c r="F7921" s="5" t="s">
        <v>567</v>
      </c>
      <c r="G7921" s="6" t="str">
        <f>VLOOKUP(E7921,dicionario!$A$1:$C8320,2,0)</f>
        <v>Sida</v>
      </c>
      <c r="H7921" s="6" t="str">
        <f>VLOOKUP(E7921,dicionario!$A$1:$C8320,3,0)</f>
        <v/>
      </c>
    </row>
    <row r="7922">
      <c r="A7922" s="3">
        <v>45743.0</v>
      </c>
      <c r="B7922" s="4">
        <v>0.3111111111111111</v>
      </c>
      <c r="C7922" s="5" t="s">
        <v>59</v>
      </c>
      <c r="D7922" s="5" t="s">
        <v>1278</v>
      </c>
      <c r="E7922" s="8" t="s">
        <v>146</v>
      </c>
      <c r="F7922" s="5" t="s">
        <v>147</v>
      </c>
      <c r="G7922" s="6" t="str">
        <f>VLOOKUP(E7922,dicionario!$A$1:$C8321,2,0)</f>
        <v>Euphorbia hirta</v>
      </c>
      <c r="H7922" s="6" t="str">
        <f>VLOOKUP(E7922,dicionario!$A$1:$C8321,3,0)</f>
        <v>erva-de-santa-luzia</v>
      </c>
    </row>
    <row r="7923">
      <c r="A7923" s="3">
        <v>45743.0</v>
      </c>
      <c r="B7923" s="4">
        <v>0.31180555555555556</v>
      </c>
      <c r="C7923" s="5" t="s">
        <v>59</v>
      </c>
      <c r="D7923" s="5" t="s">
        <v>1278</v>
      </c>
      <c r="E7923" s="8" t="s">
        <v>65</v>
      </c>
      <c r="F7923" s="5" t="s">
        <v>66</v>
      </c>
      <c r="G7923" s="6" t="str">
        <f>VLOOKUP(E7923,dicionario!$A$1:$C8322,2,0)</f>
        <v>Pitangus sulphutarus</v>
      </c>
      <c r="H7923" s="6" t="str">
        <f>VLOOKUP(E7923,dicionario!$A$1:$C8322,3,0)</f>
        <v>bem-te-vi</v>
      </c>
    </row>
    <row r="7924">
      <c r="A7924" s="3">
        <v>45743.0</v>
      </c>
      <c r="B7924" s="4">
        <v>0.31180555555555556</v>
      </c>
      <c r="C7924" s="5" t="s">
        <v>59</v>
      </c>
      <c r="D7924" s="5" t="s">
        <v>1278</v>
      </c>
      <c r="E7924" s="8" t="s">
        <v>1293</v>
      </c>
      <c r="F7924" s="5" t="s">
        <v>484</v>
      </c>
      <c r="G7924" s="6" t="str">
        <f>VLOOKUP(E7924,dicionario!$A$1:$C8323,2,0)</f>
        <v>#N/A</v>
      </c>
      <c r="H7924" s="6" t="str">
        <f>VLOOKUP(E7924,dicionario!$A$1:$C8323,3,0)</f>
        <v>#N/A</v>
      </c>
    </row>
    <row r="7925">
      <c r="A7925" s="3">
        <v>45743.0</v>
      </c>
      <c r="B7925" s="4">
        <v>0.31180555555555556</v>
      </c>
      <c r="C7925" s="5" t="s">
        <v>59</v>
      </c>
      <c r="D7925" s="5" t="s">
        <v>1278</v>
      </c>
      <c r="E7925" s="8" t="s">
        <v>353</v>
      </c>
      <c r="F7925" s="5" t="s">
        <v>354</v>
      </c>
      <c r="G7925" s="6" t="str">
        <f>VLOOKUP(E7925,dicionario!$A$1:$C8324,2,0)</f>
        <v>Desmodium incanum</v>
      </c>
      <c r="H7925" s="6" t="str">
        <f>VLOOKUP(E7925,dicionario!$A$1:$C8324,3,0)</f>
        <v>pega-pega</v>
      </c>
    </row>
    <row r="7926">
      <c r="A7926" s="3">
        <v>45743.0</v>
      </c>
      <c r="B7926" s="4">
        <v>0.31180555555555556</v>
      </c>
      <c r="C7926" s="5" t="s">
        <v>59</v>
      </c>
      <c r="D7926" s="5" t="s">
        <v>1278</v>
      </c>
      <c r="E7926" s="8" t="s">
        <v>355</v>
      </c>
      <c r="F7926" s="5" t="s">
        <v>356</v>
      </c>
      <c r="G7926" s="6" t="str">
        <f>VLOOKUP(E7926,dicionario!$A$1:$C8325,2,0)</f>
        <v>Boerhavia diffusa</v>
      </c>
      <c r="H7926" s="6" t="str">
        <f>VLOOKUP(E7926,dicionario!$A$1:$C8325,3,0)</f>
        <v>erva-tostão</v>
      </c>
    </row>
    <row r="7927">
      <c r="A7927" s="3">
        <v>45743.0</v>
      </c>
      <c r="B7927" s="4">
        <v>0.3125</v>
      </c>
      <c r="C7927" s="5" t="s">
        <v>59</v>
      </c>
      <c r="D7927" s="5" t="s">
        <v>1278</v>
      </c>
      <c r="E7927" s="8" t="s">
        <v>14</v>
      </c>
      <c r="F7927" s="5" t="s">
        <v>15</v>
      </c>
      <c r="G7927" s="6" t="str">
        <f>VLOOKUP(E7927,dicionario!$A$1:$C8326,2,0)</f>
        <v>Spermacoce verticillata</v>
      </c>
      <c r="H7927" s="6" t="str">
        <f>VLOOKUP(E7927,dicionario!$A$1:$C8326,3,0)</f>
        <v>vassourinha-de-botão</v>
      </c>
    </row>
    <row r="7928">
      <c r="A7928" s="3">
        <v>45743.0</v>
      </c>
      <c r="B7928" s="4">
        <v>0.3125</v>
      </c>
      <c r="C7928" s="5" t="s">
        <v>59</v>
      </c>
      <c r="D7928" s="5" t="s">
        <v>1278</v>
      </c>
      <c r="E7928" s="8" t="s">
        <v>18</v>
      </c>
      <c r="F7928" s="5" t="s">
        <v>219</v>
      </c>
      <c r="G7928" s="6" t="str">
        <f>VLOOKUP(E7928,dicionario!$A$1:$C8327,2,0)</f>
        <v>Xylocopa frontalis</v>
      </c>
      <c r="H7928" s="6" t="str">
        <f>VLOOKUP(E7928,dicionario!$A$1:$C8327,3,0)</f>
        <v>Mamangava; mangangá; abelha-carpinteira</v>
      </c>
    </row>
    <row r="7929">
      <c r="A7929" s="3">
        <v>45743.0</v>
      </c>
      <c r="B7929" s="4">
        <v>0.3125</v>
      </c>
      <c r="C7929" s="5" t="s">
        <v>59</v>
      </c>
      <c r="D7929" s="5" t="s">
        <v>1278</v>
      </c>
      <c r="E7929" s="8" t="s">
        <v>195</v>
      </c>
      <c r="F7929" s="5" t="s">
        <v>196</v>
      </c>
      <c r="G7929" s="6" t="str">
        <f>VLOOKUP(E7929,dicionario!$A$1:$C8328,2,0)</f>
        <v>Priva lappulacea</v>
      </c>
      <c r="H7929" s="6" t="str">
        <f>VLOOKUP(E7929,dicionario!$A$1:$C8328,3,0)</f>
        <v>carrapicho</v>
      </c>
    </row>
    <row r="7930">
      <c r="A7930" s="3">
        <v>45743.0</v>
      </c>
      <c r="B7930" s="4">
        <v>0.3125</v>
      </c>
      <c r="C7930" s="5" t="s">
        <v>59</v>
      </c>
      <c r="D7930" s="5" t="s">
        <v>1278</v>
      </c>
      <c r="E7930" s="12" t="s">
        <v>111</v>
      </c>
      <c r="F7930" s="7" t="s">
        <v>112</v>
      </c>
      <c r="G7930" s="6" t="str">
        <f>VLOOKUP(E7930,dicionario!$A$1:$C8329,2,0)</f>
        <v>Trigona spinipes</v>
      </c>
      <c r="H7930" s="6" t="str">
        <f>VLOOKUP(E7930,dicionario!$A$1:$C8329,3,0)</f>
        <v>abelha-cachorro</v>
      </c>
    </row>
    <row r="7931">
      <c r="A7931" s="3">
        <v>45743.0</v>
      </c>
      <c r="B7931" s="4">
        <v>0.3125</v>
      </c>
      <c r="C7931" s="5" t="s">
        <v>59</v>
      </c>
      <c r="D7931" s="5" t="s">
        <v>1278</v>
      </c>
      <c r="E7931" s="8" t="s">
        <v>202</v>
      </c>
      <c r="F7931" s="5" t="s">
        <v>203</v>
      </c>
      <c r="G7931" s="6" t="str">
        <f>VLOOKUP(E7931,dicionario!$A$1:$C8330,2,0)</f>
        <v>Dysdercus</v>
      </c>
      <c r="H7931" s="6" t="str">
        <f>VLOOKUP(E7931,dicionario!$A$1:$C8330,3,0)</f>
        <v>percevejo-manchador</v>
      </c>
    </row>
    <row r="7932">
      <c r="A7932" s="3">
        <v>45743.0</v>
      </c>
      <c r="B7932" s="4">
        <v>0.3125</v>
      </c>
      <c r="C7932" s="5" t="s">
        <v>59</v>
      </c>
      <c r="D7932" s="5" t="s">
        <v>1278</v>
      </c>
      <c r="E7932" s="8" t="s">
        <v>239</v>
      </c>
      <c r="F7932" s="5" t="s">
        <v>240</v>
      </c>
      <c r="G7932" s="6" t="str">
        <f>VLOOKUP(E7932,dicionario!$A$1:$C8331,2,0)</f>
        <v>Gomphrena celosioides</v>
      </c>
      <c r="H7932" s="6" t="str">
        <f>VLOOKUP(E7932,dicionario!$A$1:$C8331,3,0)</f>
        <v>perpétua-branca</v>
      </c>
    </row>
    <row r="7933">
      <c r="A7933" s="3">
        <v>45743.0</v>
      </c>
      <c r="B7933" s="4">
        <v>0.31319444444444444</v>
      </c>
      <c r="C7933" s="5" t="s">
        <v>59</v>
      </c>
      <c r="D7933" s="5" t="s">
        <v>1278</v>
      </c>
      <c r="E7933" s="8" t="s">
        <v>109</v>
      </c>
      <c r="F7933" s="5" t="s">
        <v>110</v>
      </c>
      <c r="G7933" s="6" t="str">
        <f>VLOOKUP(E7933,dicionario!$A$1:$C8332,2,0)</f>
        <v>Tillandsia stricta</v>
      </c>
      <c r="H7933" s="6" t="str">
        <f>VLOOKUP(E7933,dicionario!$A$1:$C8332,3,0)</f>
        <v>cravo-do-mato</v>
      </c>
    </row>
    <row r="7934">
      <c r="A7934" s="3">
        <v>45743.0</v>
      </c>
      <c r="B7934" s="4">
        <v>0.3138888888888889</v>
      </c>
      <c r="C7934" s="5" t="s">
        <v>59</v>
      </c>
      <c r="D7934" s="5" t="s">
        <v>1278</v>
      </c>
      <c r="E7934" s="8" t="s">
        <v>1294</v>
      </c>
      <c r="F7934" s="5" t="s">
        <v>97</v>
      </c>
      <c r="G7934" s="6" t="str">
        <f>VLOOKUP(E7934,dicionario!$A$1:$C8333,2,0)</f>
        <v>#N/A</v>
      </c>
      <c r="H7934" s="6" t="str">
        <f>VLOOKUP(E7934,dicionario!$A$1:$C8333,3,0)</f>
        <v>#N/A</v>
      </c>
    </row>
    <row r="7935">
      <c r="A7935" s="3">
        <v>45743.0</v>
      </c>
      <c r="B7935" s="4">
        <v>0.3145833333333333</v>
      </c>
      <c r="C7935" s="5" t="s">
        <v>59</v>
      </c>
      <c r="D7935" s="5" t="s">
        <v>1278</v>
      </c>
      <c r="E7935" s="8" t="s">
        <v>517</v>
      </c>
      <c r="F7935" s="5" t="s">
        <v>518</v>
      </c>
      <c r="G7935" s="6" t="str">
        <f>VLOOKUP(E7935,dicionario!$A$1:$C8334,2,0)</f>
        <v>Evolvulus nummularius</v>
      </c>
      <c r="H7935" s="6" t="str">
        <f>VLOOKUP(E7935,dicionario!$A$1:$C8334,3,0)</f>
        <v/>
      </c>
    </row>
    <row r="7936">
      <c r="A7936" s="3">
        <v>45743.0</v>
      </c>
      <c r="B7936" s="4">
        <v>0.3159722222222222</v>
      </c>
      <c r="C7936" s="5" t="s">
        <v>59</v>
      </c>
      <c r="D7936" s="5" t="s">
        <v>1278</v>
      </c>
      <c r="E7936" s="8" t="s">
        <v>177</v>
      </c>
      <c r="F7936" s="5" t="s">
        <v>178</v>
      </c>
      <c r="G7936" s="6" t="str">
        <f>VLOOKUP(E7936,dicionario!$A$1:$C8335,2,0)</f>
        <v>Elaenia flavogaster</v>
      </c>
      <c r="H7936" s="6" t="str">
        <f>VLOOKUP(E7936,dicionario!$A$1:$C8335,3,0)</f>
        <v>guaracava-de-barriga-amarela</v>
      </c>
    </row>
    <row r="7937">
      <c r="A7937" s="3">
        <v>45743.0</v>
      </c>
      <c r="B7937" s="4">
        <v>0.3125</v>
      </c>
      <c r="C7937" s="5" t="s">
        <v>59</v>
      </c>
      <c r="D7937" s="5" t="s">
        <v>1278</v>
      </c>
      <c r="E7937" s="8" t="s">
        <v>38</v>
      </c>
      <c r="F7937" s="5" t="s">
        <v>1251</v>
      </c>
      <c r="G7937" s="6" t="str">
        <f>VLOOKUP(E7937,dicionario!$A$1:$C8336,2,0)</f>
        <v>Troglodytes musculus</v>
      </c>
      <c r="H7937" s="6" t="str">
        <f>VLOOKUP(E7937,dicionario!$A$1:$C8336,3,0)</f>
        <v>curruíra</v>
      </c>
    </row>
    <row r="7938">
      <c r="A7938" s="3">
        <v>45743.0</v>
      </c>
      <c r="B7938" s="4">
        <v>0.3125</v>
      </c>
      <c r="C7938" s="5" t="s">
        <v>59</v>
      </c>
      <c r="D7938" s="5" t="s">
        <v>1278</v>
      </c>
      <c r="E7938" s="12" t="s">
        <v>111</v>
      </c>
      <c r="F7938" s="7" t="s">
        <v>112</v>
      </c>
      <c r="G7938" s="6" t="str">
        <f>VLOOKUP(E7938,dicionario!$A$1:$C8337,2,0)</f>
        <v>Trigona spinipes</v>
      </c>
      <c r="H7938" s="6" t="str">
        <f>VLOOKUP(E7938,dicionario!$A$1:$C8337,3,0)</f>
        <v>abelha-cachorro</v>
      </c>
    </row>
    <row r="7939">
      <c r="A7939" s="3">
        <v>45743.0</v>
      </c>
      <c r="B7939" s="4">
        <v>0.3125</v>
      </c>
      <c r="C7939" s="5" t="s">
        <v>59</v>
      </c>
      <c r="D7939" s="5" t="s">
        <v>1278</v>
      </c>
      <c r="E7939" s="8" t="s">
        <v>891</v>
      </c>
      <c r="F7939" s="5" t="s">
        <v>1163</v>
      </c>
      <c r="G7939" s="6" t="str">
        <f>VLOOKUP(E7939,dicionario!$A$1:$C8338,2,0)</f>
        <v>Cymaenes tripunctus</v>
      </c>
      <c r="H7939" s="6" t="str">
        <f>VLOOKUP(E7939,dicionario!$A$1:$C8338,3,0)</f>
        <v>borboleta-de-três-pintas</v>
      </c>
    </row>
    <row r="7940">
      <c r="A7940" s="3">
        <v>45743.0</v>
      </c>
      <c r="B7940" s="4">
        <v>0.31666666666666665</v>
      </c>
      <c r="C7940" s="5" t="s">
        <v>59</v>
      </c>
      <c r="D7940" s="5" t="s">
        <v>1278</v>
      </c>
      <c r="E7940" s="53" t="s">
        <v>1029</v>
      </c>
      <c r="F7940" s="5" t="s">
        <v>1295</v>
      </c>
      <c r="G7940" s="6" t="str">
        <f>VLOOKUP(E7940,dicionario!$A$1:$C8339,2,0)</f>
        <v>#N/A</v>
      </c>
      <c r="H7940" s="6" t="str">
        <f>VLOOKUP(E7940,dicionario!$A$1:$C8339,3,0)</f>
        <v>#N/A</v>
      </c>
    </row>
    <row r="7941">
      <c r="A7941" s="3">
        <v>45743.0</v>
      </c>
      <c r="B7941" s="4">
        <v>0.31666666666666665</v>
      </c>
      <c r="C7941" s="5" t="s">
        <v>59</v>
      </c>
      <c r="D7941" s="5" t="s">
        <v>1278</v>
      </c>
      <c r="E7941" s="12" t="s">
        <v>243</v>
      </c>
      <c r="F7941" s="5" t="s">
        <v>244</v>
      </c>
      <c r="G7941" s="6" t="str">
        <f>VLOOKUP(E7941,dicionario!$A$1:$C8340,2,0)</f>
        <v>Macroptilium atropurpureum</v>
      </c>
      <c r="H7941" s="6" t="str">
        <f>VLOOKUP(E7941,dicionario!$A$1:$C8340,3,0)</f>
        <v>feijão-de-pombo</v>
      </c>
    </row>
    <row r="7942">
      <c r="A7942" s="3">
        <v>45743.0</v>
      </c>
      <c r="B7942" s="4">
        <v>0.3173611111111111</v>
      </c>
      <c r="C7942" s="5" t="s">
        <v>59</v>
      </c>
      <c r="D7942" s="5" t="s">
        <v>1278</v>
      </c>
      <c r="E7942" s="8" t="s">
        <v>1296</v>
      </c>
      <c r="F7942" s="5" t="s">
        <v>1168</v>
      </c>
      <c r="G7942" s="6" t="str">
        <f>VLOOKUP(E7942,dicionario!$A$1:$C8341,2,0)</f>
        <v>#N/A</v>
      </c>
      <c r="H7942" s="6" t="str">
        <f>VLOOKUP(E7942,dicionario!$A$1:$C8341,3,0)</f>
        <v>#N/A</v>
      </c>
    </row>
    <row r="7943">
      <c r="A7943" s="3">
        <v>45743.0</v>
      </c>
      <c r="B7943" s="4">
        <v>0.3194444444444444</v>
      </c>
      <c r="C7943" s="5" t="s">
        <v>64</v>
      </c>
      <c r="D7943" s="5" t="s">
        <v>1278</v>
      </c>
      <c r="E7943" s="8" t="s">
        <v>72</v>
      </c>
      <c r="F7943" s="5" t="s">
        <v>73</v>
      </c>
      <c r="G7943" s="6" t="str">
        <f>VLOOKUP(E7943,dicionario!$A$1:$C8342,2,0)</f>
        <v>Thraupis palmarum</v>
      </c>
      <c r="H7943" s="6" t="str">
        <f>VLOOKUP(E7943,dicionario!$A$1:$C8342,3,0)</f>
        <v>sanhaço-do-coqueiro</v>
      </c>
    </row>
    <row r="7944">
      <c r="A7944" s="3">
        <v>45743.0</v>
      </c>
      <c r="B7944" s="4">
        <v>0.3194444444444444</v>
      </c>
      <c r="C7944" s="5" t="s">
        <v>64</v>
      </c>
      <c r="D7944" s="5" t="s">
        <v>1278</v>
      </c>
      <c r="E7944" s="8" t="s">
        <v>195</v>
      </c>
      <c r="F7944" s="5" t="s">
        <v>196</v>
      </c>
      <c r="G7944" s="6" t="str">
        <f>VLOOKUP(E7944,dicionario!$A$1:$C8343,2,0)</f>
        <v>Priva lappulacea</v>
      </c>
      <c r="H7944" s="6" t="str">
        <f>VLOOKUP(E7944,dicionario!$A$1:$C8343,3,0)</f>
        <v>carrapicho</v>
      </c>
    </row>
    <row r="7945">
      <c r="A7945" s="3">
        <v>45743.0</v>
      </c>
      <c r="B7945" s="4">
        <v>0.32013888888888886</v>
      </c>
      <c r="C7945" s="5" t="s">
        <v>64</v>
      </c>
      <c r="D7945" s="5" t="s">
        <v>1278</v>
      </c>
      <c r="E7945" s="8" t="s">
        <v>118</v>
      </c>
      <c r="F7945" s="5" t="s">
        <v>119</v>
      </c>
      <c r="G7945" s="6" t="str">
        <f>VLOOKUP(E7945,dicionario!$A$1:$C8344,2,0)</f>
        <v>Agaricus</v>
      </c>
      <c r="H7945" s="6" t="str">
        <f>VLOOKUP(E7945,dicionario!$A$1:$C8344,3,0)</f>
        <v>cogumelo</v>
      </c>
    </row>
    <row r="7946">
      <c r="A7946" s="3">
        <v>45743.0</v>
      </c>
      <c r="B7946" s="4">
        <v>0.32013888888888886</v>
      </c>
      <c r="C7946" s="5" t="s">
        <v>64</v>
      </c>
      <c r="D7946" s="5" t="s">
        <v>1278</v>
      </c>
      <c r="E7946" s="8" t="s">
        <v>298</v>
      </c>
      <c r="F7946" s="7"/>
      <c r="G7946" s="6" t="str">
        <f>VLOOKUP(E7946,dicionario!$A$1:$C8345,2,0)</f>
        <v>Alysicarpus vaginalis</v>
      </c>
      <c r="H7946" s="6" t="str">
        <f>VLOOKUP(E7946,dicionario!$A$1:$C8345,3,0)</f>
        <v/>
      </c>
    </row>
    <row r="7947">
      <c r="A7947" s="3">
        <v>45743.0</v>
      </c>
      <c r="B7947" s="4">
        <v>0.32013888888888886</v>
      </c>
      <c r="C7947" s="5" t="s">
        <v>64</v>
      </c>
      <c r="D7947" s="5" t="s">
        <v>1278</v>
      </c>
      <c r="E7947" s="8" t="s">
        <v>154</v>
      </c>
      <c r="F7947" s="5" t="s">
        <v>155</v>
      </c>
      <c r="G7947" s="6" t="str">
        <f>VLOOKUP(E7947,dicionario!$A$1:$C8346,2,0)</f>
        <v>Cyperus rotundus</v>
      </c>
      <c r="H7947" s="6" t="str">
        <f>VLOOKUP(E7947,dicionario!$A$1:$C8346,3,0)</f>
        <v>tiririca</v>
      </c>
    </row>
    <row r="7948">
      <c r="A7948" s="3">
        <v>45743.0</v>
      </c>
      <c r="B7948" s="4">
        <v>0.32013888888888886</v>
      </c>
      <c r="C7948" s="5" t="s">
        <v>64</v>
      </c>
      <c r="D7948" s="5" t="s">
        <v>1278</v>
      </c>
      <c r="E7948" s="8" t="s">
        <v>38</v>
      </c>
      <c r="F7948" s="5" t="s">
        <v>1251</v>
      </c>
      <c r="G7948" s="6" t="str">
        <f>VLOOKUP(E7948,dicionario!$A$1:$C8347,2,0)</f>
        <v>Troglodytes musculus</v>
      </c>
      <c r="H7948" s="6" t="str">
        <f>VLOOKUP(E7948,dicionario!$A$1:$C8347,3,0)</f>
        <v>curruíra</v>
      </c>
    </row>
    <row r="7949">
      <c r="A7949" s="3">
        <v>45743.0</v>
      </c>
      <c r="B7949" s="4">
        <v>0.32013888888888886</v>
      </c>
      <c r="C7949" s="5" t="s">
        <v>64</v>
      </c>
      <c r="D7949" s="5" t="s">
        <v>1278</v>
      </c>
      <c r="E7949" s="12" t="s">
        <v>111</v>
      </c>
      <c r="F7949" s="7" t="s">
        <v>112</v>
      </c>
      <c r="G7949" s="6" t="str">
        <f>VLOOKUP(E7949,dicionario!$A$1:$C8348,2,0)</f>
        <v>Trigona spinipes</v>
      </c>
      <c r="H7949" s="6" t="str">
        <f>VLOOKUP(E7949,dicionario!$A$1:$C8348,3,0)</f>
        <v>abelha-cachorro</v>
      </c>
    </row>
    <row r="7950">
      <c r="A7950" s="3">
        <v>45743.0</v>
      </c>
      <c r="B7950" s="4">
        <v>0.32013888888888886</v>
      </c>
      <c r="C7950" s="5" t="s">
        <v>64</v>
      </c>
      <c r="D7950" s="5" t="s">
        <v>1278</v>
      </c>
      <c r="E7950" s="8" t="s">
        <v>253</v>
      </c>
      <c r="F7950" s="5" t="s">
        <v>254</v>
      </c>
      <c r="G7950" s="6" t="str">
        <f>VLOOKUP(E7950,dicionario!$A$1:$C8349,2,0)</f>
        <v>Panicum maximum</v>
      </c>
      <c r="H7950" s="6" t="str">
        <f>VLOOKUP(E7950,dicionario!$A$1:$C8349,3,0)</f>
        <v>capim-colonião</v>
      </c>
    </row>
    <row r="7951">
      <c r="A7951" s="3">
        <v>45743.0</v>
      </c>
      <c r="B7951" s="4">
        <v>0.32083333333333336</v>
      </c>
      <c r="C7951" s="5" t="s">
        <v>64</v>
      </c>
      <c r="D7951" s="5" t="s">
        <v>1278</v>
      </c>
      <c r="E7951" s="8" t="s">
        <v>113</v>
      </c>
      <c r="F7951" s="5" t="s">
        <v>114</v>
      </c>
      <c r="G7951" s="6" t="str">
        <f>VLOOKUP(E7951,dicionario!$A$1:$C8350,2,0)</f>
        <v>Columbina talpacoti</v>
      </c>
      <c r="H7951" s="6" t="str">
        <f>VLOOKUP(E7951,dicionario!$A$1:$C8350,3,0)</f>
        <v>rolinha-roxa</v>
      </c>
    </row>
    <row r="7952">
      <c r="A7952" s="3">
        <v>45743.0</v>
      </c>
      <c r="B7952" s="4">
        <v>0.32083333333333336</v>
      </c>
      <c r="C7952" s="5" t="s">
        <v>64</v>
      </c>
      <c r="D7952" s="5" t="s">
        <v>1278</v>
      </c>
      <c r="E7952" s="6" t="s">
        <v>251</v>
      </c>
      <c r="F7952" s="5" t="s">
        <v>252</v>
      </c>
      <c r="G7952" s="6" t="str">
        <f>VLOOKUP(E7952,dicionario!$A$1:$C8351,2,0)</f>
        <v>Struthanthus flexicaulis</v>
      </c>
      <c r="H7952" s="6" t="str">
        <f>VLOOKUP(E7952,dicionario!$A$1:$C8351,3,0)</f>
        <v>erva-de-passarinho</v>
      </c>
    </row>
    <row r="7953">
      <c r="A7953" s="3">
        <v>45743.0</v>
      </c>
      <c r="B7953" s="4">
        <v>0.32083333333333336</v>
      </c>
      <c r="C7953" s="5" t="s">
        <v>64</v>
      </c>
      <c r="D7953" s="5" t="s">
        <v>1278</v>
      </c>
      <c r="E7953" s="8" t="s">
        <v>109</v>
      </c>
      <c r="F7953" s="5" t="s">
        <v>110</v>
      </c>
      <c r="G7953" s="6" t="str">
        <f>VLOOKUP(E7953,dicionario!$A$1:$C8352,2,0)</f>
        <v>Tillandsia stricta</v>
      </c>
      <c r="H7953" s="6" t="str">
        <f>VLOOKUP(E7953,dicionario!$A$1:$C8352,3,0)</f>
        <v>cravo-do-mato</v>
      </c>
    </row>
    <row r="7954">
      <c r="A7954" s="3">
        <v>45743.0</v>
      </c>
      <c r="B7954" s="4">
        <v>0.32083333333333336</v>
      </c>
      <c r="C7954" s="5" t="s">
        <v>64</v>
      </c>
      <c r="D7954" s="5" t="s">
        <v>1278</v>
      </c>
      <c r="E7954" s="6" t="s">
        <v>86</v>
      </c>
      <c r="F7954" s="5" t="s">
        <v>502</v>
      </c>
      <c r="G7954" s="6" t="str">
        <f>VLOOKUP(E7954,dicionario!$A$1:$C8353,2,0)</f>
        <v>Coereba flaveola</v>
      </c>
      <c r="H7954" s="6" t="str">
        <f>VLOOKUP(E7954,dicionario!$A$1:$C8353,3,0)</f>
        <v>cambacica</v>
      </c>
    </row>
    <row r="7955">
      <c r="A7955" s="3">
        <v>45743.0</v>
      </c>
      <c r="B7955" s="4">
        <v>0.32083333333333336</v>
      </c>
      <c r="C7955" s="5" t="s">
        <v>64</v>
      </c>
      <c r="D7955" s="5" t="s">
        <v>1278</v>
      </c>
      <c r="E7955" s="8" t="s">
        <v>1293</v>
      </c>
      <c r="F7955" s="5" t="s">
        <v>484</v>
      </c>
      <c r="G7955" s="6" t="str">
        <f>VLOOKUP(E7955,dicionario!$A$1:$C8354,2,0)</f>
        <v>#N/A</v>
      </c>
      <c r="H7955" s="6" t="str">
        <f>VLOOKUP(E7955,dicionario!$A$1:$C8354,3,0)</f>
        <v>#N/A</v>
      </c>
    </row>
    <row r="7956">
      <c r="A7956" s="3">
        <v>45743.0</v>
      </c>
      <c r="B7956" s="4">
        <v>0.3215277777777778</v>
      </c>
      <c r="C7956" s="5" t="s">
        <v>64</v>
      </c>
      <c r="D7956" s="5" t="s">
        <v>1278</v>
      </c>
      <c r="E7956" s="8" t="s">
        <v>191</v>
      </c>
      <c r="F7956" s="5" t="s">
        <v>192</v>
      </c>
      <c r="G7956" s="6" t="str">
        <f>VLOOKUP(E7956,dicionario!$A$1:$C8355,2,0)</f>
        <v>Patagioenas picazuro</v>
      </c>
      <c r="H7956" s="6" t="str">
        <f>VLOOKUP(E7956,dicionario!$A$1:$C8355,3,0)</f>
        <v>asa-branca; pomba-asa-branca; pocaçu</v>
      </c>
    </row>
    <row r="7957">
      <c r="A7957" s="3">
        <v>45743.0</v>
      </c>
      <c r="B7957" s="4">
        <v>0.3215277777777778</v>
      </c>
      <c r="C7957" s="5" t="s">
        <v>64</v>
      </c>
      <c r="D7957" s="5" t="s">
        <v>1278</v>
      </c>
      <c r="E7957" s="8" t="s">
        <v>682</v>
      </c>
      <c r="F7957" s="5" t="s">
        <v>683</v>
      </c>
      <c r="G7957" s="6" t="str">
        <f>VLOOKUP(E7957,dicionario!$A$1:$C8356,2,0)</f>
        <v>Lagria villosa</v>
      </c>
      <c r="H7957" s="6" t="str">
        <f>VLOOKUP(E7957,dicionario!$A$1:$C8356,3,0)</f>
        <v>bicho-capixaba</v>
      </c>
    </row>
    <row r="7958">
      <c r="A7958" s="3">
        <v>45743.0</v>
      </c>
      <c r="B7958" s="4">
        <v>0.3215277777777778</v>
      </c>
      <c r="C7958" s="5" t="s">
        <v>64</v>
      </c>
      <c r="D7958" s="5" t="s">
        <v>1278</v>
      </c>
      <c r="E7958" s="8" t="s">
        <v>1297</v>
      </c>
      <c r="F7958" s="5" t="s">
        <v>515</v>
      </c>
      <c r="G7958" s="6" t="str">
        <f>VLOOKUP(E7958,dicionario!$A$1:$C8357,2,0)</f>
        <v>#N/A</v>
      </c>
      <c r="H7958" s="6" t="str">
        <f>VLOOKUP(E7958,dicionario!$A$1:$C8357,3,0)</f>
        <v>#N/A</v>
      </c>
    </row>
    <row r="7959">
      <c r="A7959" s="3">
        <v>45743.0</v>
      </c>
      <c r="B7959" s="4">
        <v>0.3229166666666667</v>
      </c>
      <c r="C7959" s="5" t="s">
        <v>64</v>
      </c>
      <c r="D7959" s="5" t="s">
        <v>1278</v>
      </c>
      <c r="E7959" s="6" t="s">
        <v>288</v>
      </c>
      <c r="F7959" s="5" t="s">
        <v>289</v>
      </c>
      <c r="G7959" s="6" t="str">
        <f>VLOOKUP(E7959,dicionario!$A$1:$C8358,2,0)</f>
        <v>Phyllanthus tenellus</v>
      </c>
      <c r="H7959" s="6" t="str">
        <f>VLOOKUP(E7959,dicionario!$A$1:$C8358,3,0)</f>
        <v>quebra-pedra</v>
      </c>
    </row>
    <row r="7960">
      <c r="A7960" s="3">
        <v>45743.0</v>
      </c>
      <c r="B7960" s="4">
        <v>0.3236111111111111</v>
      </c>
      <c r="C7960" s="5" t="s">
        <v>64</v>
      </c>
      <c r="D7960" s="5" t="s">
        <v>1278</v>
      </c>
      <c r="E7960" s="8" t="s">
        <v>193</v>
      </c>
      <c r="F7960" s="5" t="s">
        <v>194</v>
      </c>
      <c r="G7960" s="6" t="str">
        <f>VLOOKUP(E7960,dicionario!$A$1:$C8359,2,0)</f>
        <v>Conirostrum speciosum</v>
      </c>
      <c r="H7960" s="6" t="str">
        <f>VLOOKUP(E7960,dicionario!$A$1:$C8359,3,0)</f>
        <v>figuinha-de-rabo-castanho</v>
      </c>
    </row>
    <row r="7961">
      <c r="A7961" s="3">
        <v>45743.0</v>
      </c>
      <c r="B7961" s="4">
        <v>0.3236111111111111</v>
      </c>
      <c r="C7961" s="5" t="s">
        <v>64</v>
      </c>
      <c r="D7961" s="5" t="s">
        <v>1278</v>
      </c>
      <c r="E7961" s="6" t="s">
        <v>290</v>
      </c>
      <c r="F7961" s="5" t="s">
        <v>291</v>
      </c>
      <c r="G7961" s="6" t="str">
        <f>VLOOKUP(E7961,dicionario!$A$1:$C8360,2,0)</f>
        <v>Drymaria cordata</v>
      </c>
      <c r="H7961" s="6" t="str">
        <f>VLOOKUP(E7961,dicionario!$A$1:$C8360,3,0)</f>
        <v>orelha-de-rato</v>
      </c>
    </row>
    <row r="7962">
      <c r="A7962" s="3">
        <v>45743.0</v>
      </c>
      <c r="B7962" s="4">
        <v>0.3236111111111111</v>
      </c>
      <c r="C7962" s="5" t="s">
        <v>64</v>
      </c>
      <c r="D7962" s="5" t="s">
        <v>1278</v>
      </c>
      <c r="E7962" s="8" t="s">
        <v>740</v>
      </c>
      <c r="F7962" s="5" t="s">
        <v>741</v>
      </c>
      <c r="G7962" s="6" t="str">
        <f>VLOOKUP(E7962,dicionario!$A$1:$C8361,2,0)</f>
        <v>Melothria cucumis</v>
      </c>
      <c r="H7962" s="6" t="str">
        <f>VLOOKUP(E7962,dicionario!$A$1:$C8361,3,0)</f>
        <v>pepino-do-mato</v>
      </c>
    </row>
    <row r="7963">
      <c r="A7963" s="3">
        <v>45743.0</v>
      </c>
      <c r="B7963" s="4">
        <v>0.3236111111111111</v>
      </c>
      <c r="C7963" s="5" t="s">
        <v>64</v>
      </c>
      <c r="D7963" s="5" t="s">
        <v>1278</v>
      </c>
      <c r="E7963" s="6" t="s">
        <v>467</v>
      </c>
      <c r="F7963" s="5" t="s">
        <v>468</v>
      </c>
      <c r="G7963" s="6" t="str">
        <f>VLOOKUP(E7963,dicionario!$A$1:$C8362,2,0)</f>
        <v>Eleusine indica</v>
      </c>
      <c r="H7963" s="6" t="str">
        <f>VLOOKUP(E7963,dicionario!$A$1:$C8362,3,0)</f>
        <v>capim-pé-de-galinha</v>
      </c>
    </row>
    <row r="7964">
      <c r="A7964" s="3">
        <v>45743.0</v>
      </c>
      <c r="B7964" s="4">
        <v>0.3236111111111111</v>
      </c>
      <c r="C7964" s="5" t="s">
        <v>64</v>
      </c>
      <c r="D7964" s="5" t="s">
        <v>1278</v>
      </c>
      <c r="E7964" s="6" t="s">
        <v>148</v>
      </c>
      <c r="F7964" s="5" t="s">
        <v>149</v>
      </c>
      <c r="G7964" s="6" t="str">
        <f>VLOOKUP(E7964,dicionario!$A$1:$C8363,2,0)</f>
        <v>Parthenium hysterophorus</v>
      </c>
      <c r="H7964" s="6" t="str">
        <f>VLOOKUP(E7964,dicionario!$A$1:$C8363,3,0)</f>
        <v>losna-branca</v>
      </c>
    </row>
    <row r="7965">
      <c r="A7965" s="3">
        <v>45743.0</v>
      </c>
      <c r="B7965" s="4">
        <v>0.3236111111111111</v>
      </c>
      <c r="C7965" s="5" t="s">
        <v>64</v>
      </c>
      <c r="D7965" s="5" t="s">
        <v>1278</v>
      </c>
      <c r="E7965" s="6" t="s">
        <v>48</v>
      </c>
      <c r="F7965" s="5" t="s">
        <v>49</v>
      </c>
      <c r="G7965" s="6" t="str">
        <f>VLOOKUP(E7965,dicionario!$A$1:$C8364,2,0)</f>
        <v>Commelina erecta</v>
      </c>
      <c r="H7965" s="6" t="str">
        <f>VLOOKUP(E7965,dicionario!$A$1:$C8364,3,0)</f>
        <v>trapoeraba</v>
      </c>
    </row>
    <row r="7966">
      <c r="A7966" s="3">
        <v>45743.0</v>
      </c>
      <c r="B7966" s="4">
        <v>0.3236111111111111</v>
      </c>
      <c r="C7966" s="5" t="s">
        <v>64</v>
      </c>
      <c r="D7966" s="5" t="s">
        <v>1278</v>
      </c>
      <c r="E7966" s="8" t="s">
        <v>65</v>
      </c>
      <c r="F7966" s="5" t="s">
        <v>66</v>
      </c>
      <c r="G7966" s="6" t="str">
        <f>VLOOKUP(E7966,dicionario!$A$1:$C8365,2,0)</f>
        <v>Pitangus sulphutarus</v>
      </c>
      <c r="H7966" s="6" t="str">
        <f>VLOOKUP(E7966,dicionario!$A$1:$C8365,3,0)</f>
        <v>bem-te-vi</v>
      </c>
    </row>
    <row r="7967">
      <c r="A7967" s="3">
        <v>45743.0</v>
      </c>
      <c r="B7967" s="4">
        <v>0.3236111111111111</v>
      </c>
      <c r="C7967" s="5" t="s">
        <v>64</v>
      </c>
      <c r="D7967" s="5" t="s">
        <v>1278</v>
      </c>
      <c r="E7967" s="8" t="s">
        <v>269</v>
      </c>
      <c r="F7967" s="5" t="s">
        <v>1298</v>
      </c>
      <c r="G7967" s="6" t="str">
        <f>VLOOKUP(E7967,dicionario!$A$1:$C8366,2,0)</f>
        <v>#N/A</v>
      </c>
      <c r="H7967" s="6" t="str">
        <f>VLOOKUP(E7967,dicionario!$A$1:$C8366,3,0)</f>
        <v>#N/A</v>
      </c>
    </row>
    <row r="7968">
      <c r="A7968" s="3">
        <v>45743.0</v>
      </c>
      <c r="B7968" s="4">
        <v>0.3236111111111111</v>
      </c>
      <c r="C7968" s="5" t="s">
        <v>64</v>
      </c>
      <c r="D7968" s="5" t="s">
        <v>1278</v>
      </c>
      <c r="E7968" s="8" t="s">
        <v>427</v>
      </c>
      <c r="F7968" s="5" t="s">
        <v>428</v>
      </c>
      <c r="G7968" s="6" t="str">
        <f>VLOOKUP(E7968,dicionario!$A$1:$C8367,2,0)</f>
        <v>Condylostylus longicornis</v>
      </c>
      <c r="H7968" s="6" t="str">
        <f>VLOOKUP(E7968,dicionario!$A$1:$C8367,3,0)</f>
        <v>mosca-de-pernas-longas</v>
      </c>
    </row>
    <row r="7969">
      <c r="A7969" s="3">
        <v>45743.0</v>
      </c>
      <c r="B7969" s="4">
        <v>0.32430555555555557</v>
      </c>
      <c r="C7969" s="5" t="s">
        <v>64</v>
      </c>
      <c r="D7969" s="5" t="s">
        <v>1278</v>
      </c>
      <c r="E7969" s="8" t="s">
        <v>271</v>
      </c>
      <c r="F7969" s="5" t="s">
        <v>1169</v>
      </c>
      <c r="G7969" s="6" t="str">
        <f>VLOOKUP(E7969,dicionario!$A$1:$C8368,2,0)</f>
        <v>Cyanthillium cinereum</v>
      </c>
      <c r="H7969" s="6" t="str">
        <f>VLOOKUP(E7969,dicionario!$A$1:$C8368,3,0)</f>
        <v>emília</v>
      </c>
    </row>
    <row r="7970">
      <c r="A7970" s="3">
        <v>45743.0</v>
      </c>
      <c r="B7970" s="4">
        <v>0.32430555555555557</v>
      </c>
      <c r="C7970" s="5" t="s">
        <v>64</v>
      </c>
      <c r="D7970" s="5" t="s">
        <v>1278</v>
      </c>
      <c r="E7970" s="8" t="s">
        <v>388</v>
      </c>
      <c r="F7970" s="5" t="s">
        <v>389</v>
      </c>
      <c r="G7970" s="6" t="str">
        <f>VLOOKUP(E7970,dicionario!$A$1:$C8369,2,0)</f>
        <v>Bulimulus tenuissimus</v>
      </c>
      <c r="H7970" s="6" t="str">
        <f>VLOOKUP(E7970,dicionario!$A$1:$C8369,3,0)</f>
        <v>caracol-fantasma</v>
      </c>
    </row>
    <row r="7971">
      <c r="A7971" s="3">
        <v>45743.0</v>
      </c>
      <c r="B7971" s="4">
        <v>0.32430555555555557</v>
      </c>
      <c r="C7971" s="5" t="s">
        <v>64</v>
      </c>
      <c r="D7971" s="5" t="s">
        <v>1278</v>
      </c>
      <c r="E7971" s="8" t="s">
        <v>146</v>
      </c>
      <c r="F7971" s="5" t="s">
        <v>147</v>
      </c>
      <c r="G7971" s="6" t="str">
        <f>VLOOKUP(E7971,dicionario!$A$1:$C8370,2,0)</f>
        <v>Euphorbia hirta</v>
      </c>
      <c r="H7971" s="6" t="str">
        <f>VLOOKUP(E7971,dicionario!$A$1:$C8370,3,0)</f>
        <v>erva-de-santa-luzia</v>
      </c>
    </row>
    <row r="7972">
      <c r="A7972" s="3">
        <v>45743.0</v>
      </c>
      <c r="B7972" s="4">
        <v>0.325</v>
      </c>
      <c r="C7972" s="5" t="s">
        <v>64</v>
      </c>
      <c r="D7972" s="5" t="s">
        <v>1278</v>
      </c>
      <c r="E7972" s="8" t="s">
        <v>1299</v>
      </c>
      <c r="F7972" s="5" t="s">
        <v>793</v>
      </c>
      <c r="G7972" s="6" t="str">
        <f>VLOOKUP(E7972,dicionario!$A$1:$C8371,2,0)</f>
        <v>#N/A</v>
      </c>
      <c r="H7972" s="6" t="str">
        <f>VLOOKUP(E7972,dicionario!$A$1:$C8371,3,0)</f>
        <v>#N/A</v>
      </c>
    </row>
    <row r="7973">
      <c r="A7973" s="3">
        <v>45743.0</v>
      </c>
      <c r="B7973" s="4">
        <v>0.325</v>
      </c>
      <c r="C7973" s="5" t="s">
        <v>64</v>
      </c>
      <c r="D7973" s="5" t="s">
        <v>1278</v>
      </c>
      <c r="E7973" s="6" t="s">
        <v>471</v>
      </c>
      <c r="F7973" s="5" t="s">
        <v>472</v>
      </c>
      <c r="G7973" s="6" t="str">
        <f>VLOOKUP(E7973,dicionario!$A$1:$C8372,2,0)</f>
        <v>Sida acuta</v>
      </c>
      <c r="H7973" s="6" t="str">
        <f>VLOOKUP(E7973,dicionario!$A$1:$C8372,3,0)</f>
        <v>reloginho</v>
      </c>
    </row>
    <row r="7974">
      <c r="A7974" s="3">
        <v>45743.0</v>
      </c>
      <c r="B7974" s="4">
        <v>0.32569444444444445</v>
      </c>
      <c r="C7974" s="5" t="s">
        <v>64</v>
      </c>
      <c r="D7974" s="5" t="s">
        <v>1278</v>
      </c>
      <c r="E7974" s="8" t="s">
        <v>296</v>
      </c>
      <c r="F7974" s="5" t="s">
        <v>297</v>
      </c>
      <c r="G7974" s="6" t="str">
        <f>VLOOKUP(E7974,dicionario!$A$1:$C8373,2,0)</f>
        <v>Richardia brasiliensis</v>
      </c>
      <c r="H7974" s="6" t="str">
        <f>VLOOKUP(E7974,dicionario!$A$1:$C8373,3,0)</f>
        <v>poaia-branca</v>
      </c>
    </row>
    <row r="7975">
      <c r="A7975" s="3">
        <v>45743.0</v>
      </c>
      <c r="B7975" s="4">
        <v>0.32569444444444445</v>
      </c>
      <c r="C7975" s="5" t="s">
        <v>64</v>
      </c>
      <c r="D7975" s="5" t="s">
        <v>1278</v>
      </c>
      <c r="E7975" s="8" t="s">
        <v>162</v>
      </c>
      <c r="F7975" s="5" t="s">
        <v>42</v>
      </c>
      <c r="G7975" s="6" t="str">
        <f>VLOOKUP(E7975,dicionario!$A$1:$C8374,2,0)</f>
        <v>Fluvicola nengeta</v>
      </c>
      <c r="H7975" s="6" t="str">
        <f>VLOOKUP(E7975,dicionario!$A$1:$C8374,3,0)</f>
        <v>lavadeira-mascarada</v>
      </c>
    </row>
    <row r="7976">
      <c r="A7976" s="3">
        <v>45743.0</v>
      </c>
      <c r="B7976" s="4">
        <v>0.32569444444444445</v>
      </c>
      <c r="C7976" s="5" t="s">
        <v>64</v>
      </c>
      <c r="D7976" s="5" t="s">
        <v>1278</v>
      </c>
      <c r="E7976" s="8" t="s">
        <v>928</v>
      </c>
      <c r="F7976" s="5" t="s">
        <v>418</v>
      </c>
      <c r="G7976" s="6" t="str">
        <f>VLOOKUP(E7976,dicionario!$A$1:$C8375,2,0)</f>
        <v>Camponotus</v>
      </c>
      <c r="H7976" s="6" t="str">
        <f>VLOOKUP(E7976,dicionario!$A$1:$C8375,3,0)</f>
        <v>formiga-preta</v>
      </c>
    </row>
    <row r="7977">
      <c r="A7977" s="3">
        <v>45743.0</v>
      </c>
      <c r="B7977" s="4">
        <v>0.3263888888888889</v>
      </c>
      <c r="C7977" s="5" t="s">
        <v>64</v>
      </c>
      <c r="D7977" s="5" t="s">
        <v>1278</v>
      </c>
      <c r="E7977" s="8" t="s">
        <v>358</v>
      </c>
      <c r="F7977" s="5" t="s">
        <v>567</v>
      </c>
      <c r="G7977" s="6" t="str">
        <f>VLOOKUP(E7977,dicionario!$A$1:$C8376,2,0)</f>
        <v>Sida</v>
      </c>
      <c r="H7977" s="6" t="str">
        <f>VLOOKUP(E7977,dicionario!$A$1:$C8376,3,0)</f>
        <v/>
      </c>
    </row>
    <row r="7978">
      <c r="A7978" s="3">
        <v>45743.0</v>
      </c>
      <c r="B7978" s="4">
        <v>0.3263888888888889</v>
      </c>
      <c r="C7978" s="5" t="s">
        <v>64</v>
      </c>
      <c r="D7978" s="5" t="s">
        <v>1278</v>
      </c>
      <c r="E7978" s="8" t="s">
        <v>758</v>
      </c>
      <c r="F7978" s="5" t="s">
        <v>759</v>
      </c>
      <c r="G7978" s="6" t="str">
        <f>VLOOKUP(E7978,dicionario!$A$1:$C8377,2,0)</f>
        <v>Cyperus esculentus</v>
      </c>
      <c r="H7978" s="6" t="str">
        <f>VLOOKUP(E7978,dicionario!$A$1:$C8377,3,0)</f>
        <v>tiriricão</v>
      </c>
    </row>
    <row r="7979">
      <c r="A7979" s="3">
        <v>45743.0</v>
      </c>
      <c r="B7979" s="4">
        <v>0.3263888888888889</v>
      </c>
      <c r="C7979" s="5" t="s">
        <v>64</v>
      </c>
      <c r="D7979" s="5" t="s">
        <v>1278</v>
      </c>
      <c r="E7979" s="8" t="s">
        <v>891</v>
      </c>
      <c r="F7979" s="5" t="s">
        <v>1163</v>
      </c>
      <c r="G7979" s="6" t="str">
        <f>VLOOKUP(E7979,dicionario!$A$1:$C8378,2,0)</f>
        <v>Cymaenes tripunctus</v>
      </c>
      <c r="H7979" s="6" t="str">
        <f>VLOOKUP(E7979,dicionario!$A$1:$C8378,3,0)</f>
        <v>borboleta-de-três-pintas</v>
      </c>
    </row>
    <row r="7980">
      <c r="A7980" s="3">
        <v>45743.0</v>
      </c>
      <c r="B7980" s="4">
        <v>0.3263888888888889</v>
      </c>
      <c r="C7980" s="5" t="s">
        <v>64</v>
      </c>
      <c r="D7980" s="5" t="s">
        <v>1278</v>
      </c>
      <c r="E7980" s="8" t="s">
        <v>150</v>
      </c>
      <c r="F7980" s="5" t="s">
        <v>151</v>
      </c>
      <c r="G7980" s="6" t="str">
        <f>VLOOKUP(E7980,dicionario!$A$1:$C8379,2,0)</f>
        <v>Amaranthus viridis</v>
      </c>
      <c r="H7980" s="6" t="str">
        <f>VLOOKUP(E7980,dicionario!$A$1:$C8379,3,0)</f>
        <v>caruru-de-mancha</v>
      </c>
    </row>
    <row r="7981">
      <c r="A7981" s="3">
        <v>45743.0</v>
      </c>
      <c r="B7981" s="4">
        <v>0.32708333333333334</v>
      </c>
      <c r="C7981" s="5" t="s">
        <v>64</v>
      </c>
      <c r="D7981" s="5" t="s">
        <v>1278</v>
      </c>
      <c r="E7981" s="8" t="s">
        <v>532</v>
      </c>
      <c r="F7981" s="5" t="s">
        <v>533</v>
      </c>
      <c r="G7981" s="6" t="str">
        <f>VLOOKUP(E7981,dicionario!$A$1:$C8380,2,0)</f>
        <v>Euphorbia heterophylla</v>
      </c>
      <c r="H7981" s="6" t="str">
        <f>VLOOKUP(E7981,dicionario!$A$1:$C8380,3,0)</f>
        <v>amendoim-bravo</v>
      </c>
    </row>
    <row r="7982">
      <c r="A7982" s="3">
        <v>45743.0</v>
      </c>
      <c r="B7982" s="4">
        <v>0.32708333333333334</v>
      </c>
      <c r="C7982" s="5" t="s">
        <v>64</v>
      </c>
      <c r="D7982" s="5" t="s">
        <v>1278</v>
      </c>
      <c r="E7982" s="8" t="s">
        <v>1282</v>
      </c>
      <c r="F7982" s="5" t="s">
        <v>182</v>
      </c>
      <c r="G7982" s="6" t="str">
        <f>VLOOKUP(E7982,dicionario!$A$1:$C8381,2,0)</f>
        <v>#N/A</v>
      </c>
      <c r="H7982" s="6" t="str">
        <f>VLOOKUP(E7982,dicionario!$A$1:$C8381,3,0)</f>
        <v>#N/A</v>
      </c>
    </row>
    <row r="7983">
      <c r="A7983" s="3">
        <v>45743.0</v>
      </c>
      <c r="B7983" s="4">
        <v>0.32708333333333334</v>
      </c>
      <c r="C7983" s="5" t="s">
        <v>64</v>
      </c>
      <c r="D7983" s="5" t="s">
        <v>1278</v>
      </c>
      <c r="E7983" s="8" t="s">
        <v>401</v>
      </c>
      <c r="F7983" s="5" t="s">
        <v>464</v>
      </c>
      <c r="G7983" s="6" t="str">
        <f>VLOOKUP(E7983,dicionario!$A$1:$C8382,2,0)</f>
        <v>Cissus verticillata</v>
      </c>
      <c r="H7983" s="6" t="str">
        <f>VLOOKUP(E7983,dicionario!$A$1:$C8382,3,0)</f>
        <v>uva-do-mato</v>
      </c>
    </row>
    <row r="7984">
      <c r="A7984" s="3">
        <v>45743.0</v>
      </c>
      <c r="B7984" s="4">
        <v>0.3277777777777778</v>
      </c>
      <c r="C7984" s="5" t="s">
        <v>64</v>
      </c>
      <c r="D7984" s="5" t="s">
        <v>1278</v>
      </c>
      <c r="E7984" s="8" t="s">
        <v>355</v>
      </c>
      <c r="F7984" s="5" t="s">
        <v>356</v>
      </c>
      <c r="G7984" s="6" t="str">
        <f>VLOOKUP(E7984,dicionario!$A$1:$C8383,2,0)</f>
        <v>Boerhavia diffusa</v>
      </c>
      <c r="H7984" s="6" t="str">
        <f>VLOOKUP(E7984,dicionario!$A$1:$C8383,3,0)</f>
        <v>erva-tostão</v>
      </c>
    </row>
    <row r="7985">
      <c r="A7985" s="3">
        <v>45743.0</v>
      </c>
      <c r="B7985" s="4">
        <v>0.3284722222222222</v>
      </c>
      <c r="C7985" s="5" t="s">
        <v>64</v>
      </c>
      <c r="D7985" s="5" t="s">
        <v>1278</v>
      </c>
      <c r="E7985" s="8" t="s">
        <v>353</v>
      </c>
      <c r="F7985" s="5" t="s">
        <v>354</v>
      </c>
      <c r="G7985" s="6" t="str">
        <f>VLOOKUP(E7985,dicionario!$A$1:$C8384,2,0)</f>
        <v>Desmodium incanum</v>
      </c>
      <c r="H7985" s="6" t="str">
        <f>VLOOKUP(E7985,dicionario!$A$1:$C8384,3,0)</f>
        <v>pega-pega</v>
      </c>
    </row>
    <row r="7986">
      <c r="A7986" s="3">
        <v>45743.0</v>
      </c>
      <c r="B7986" s="4">
        <v>0.33402777777777776</v>
      </c>
      <c r="C7986" s="5" t="s">
        <v>76</v>
      </c>
      <c r="D7986" s="5" t="s">
        <v>1278</v>
      </c>
      <c r="E7986" s="8" t="s">
        <v>253</v>
      </c>
      <c r="F7986" s="5" t="s">
        <v>254</v>
      </c>
      <c r="G7986" s="6" t="str">
        <f>VLOOKUP(E7986,dicionario!$A$1:$C8385,2,0)</f>
        <v>Panicum maximum</v>
      </c>
      <c r="H7986" s="6" t="str">
        <f>VLOOKUP(E7986,dicionario!$A$1:$C8385,3,0)</f>
        <v>capim-colonião</v>
      </c>
    </row>
    <row r="7987">
      <c r="A7987" s="3">
        <v>45743.0</v>
      </c>
      <c r="B7987" s="4">
        <v>0.3347222222222222</v>
      </c>
      <c r="C7987" s="5" t="s">
        <v>76</v>
      </c>
      <c r="D7987" s="5" t="s">
        <v>1278</v>
      </c>
      <c r="E7987" s="8" t="s">
        <v>38</v>
      </c>
      <c r="F7987" s="5" t="s">
        <v>1251</v>
      </c>
      <c r="G7987" s="6" t="str">
        <f>VLOOKUP(E7987,dicionario!$A$1:$C8386,2,0)</f>
        <v>Troglodytes musculus</v>
      </c>
      <c r="H7987" s="6" t="str">
        <f>VLOOKUP(E7987,dicionario!$A$1:$C8386,3,0)</f>
        <v>curruíra</v>
      </c>
    </row>
    <row r="7988">
      <c r="A7988" s="3">
        <v>45743.0</v>
      </c>
      <c r="B7988" s="4">
        <v>0.3347222222222222</v>
      </c>
      <c r="C7988" s="5" t="s">
        <v>76</v>
      </c>
      <c r="D7988" s="5" t="s">
        <v>1278</v>
      </c>
      <c r="E7988" s="8" t="s">
        <v>1300</v>
      </c>
      <c r="F7988" s="5" t="s">
        <v>142</v>
      </c>
      <c r="G7988" s="6" t="str">
        <f>VLOOKUP(E7988,dicionario!$A$1:$C8387,2,0)</f>
        <v>#N/A</v>
      </c>
      <c r="H7988" s="6" t="str">
        <f>VLOOKUP(E7988,dicionario!$A$1:$C8387,3,0)</f>
        <v>#N/A</v>
      </c>
    </row>
    <row r="7989">
      <c r="A7989" s="3">
        <v>45743.0</v>
      </c>
      <c r="B7989" s="4">
        <v>0.3347222222222222</v>
      </c>
      <c r="C7989" s="5" t="s">
        <v>76</v>
      </c>
      <c r="D7989" s="5" t="s">
        <v>1278</v>
      </c>
      <c r="E7989" s="6" t="s">
        <v>290</v>
      </c>
      <c r="F7989" s="5" t="s">
        <v>291</v>
      </c>
      <c r="G7989" s="6" t="str">
        <f>VLOOKUP(E7989,dicionario!$A$1:$C8388,2,0)</f>
        <v>Drymaria cordata</v>
      </c>
      <c r="H7989" s="6" t="str">
        <f>VLOOKUP(E7989,dicionario!$A$1:$C8388,3,0)</f>
        <v>orelha-de-rato</v>
      </c>
    </row>
    <row r="7990">
      <c r="A7990" s="3">
        <v>45743.0</v>
      </c>
      <c r="B7990" s="4">
        <v>0.3347222222222222</v>
      </c>
      <c r="C7990" s="5" t="s">
        <v>76</v>
      </c>
      <c r="D7990" s="5" t="s">
        <v>1278</v>
      </c>
      <c r="E7990" s="8" t="s">
        <v>158</v>
      </c>
      <c r="F7990" s="5" t="s">
        <v>159</v>
      </c>
      <c r="G7990" s="6" t="str">
        <f>VLOOKUP(E7990,dicionario!$A$1:$C8389,2,0)</f>
        <v>Nephilingis cruentata</v>
      </c>
      <c r="H7990" s="6" t="str">
        <f>VLOOKUP(E7990,dicionario!$A$1:$C8389,3,0)</f>
        <v>maria-bola</v>
      </c>
    </row>
    <row r="7991">
      <c r="A7991" s="3">
        <v>45743.0</v>
      </c>
      <c r="B7991" s="4">
        <v>0.33541666666666664</v>
      </c>
      <c r="C7991" s="5" t="s">
        <v>76</v>
      </c>
      <c r="D7991" s="5" t="s">
        <v>1278</v>
      </c>
      <c r="E7991" s="8" t="s">
        <v>1301</v>
      </c>
      <c r="F7991" s="5" t="s">
        <v>1088</v>
      </c>
      <c r="G7991" s="6" t="str">
        <f>VLOOKUP(E7991,dicionario!$A$1:$C8390,2,0)</f>
        <v>Desmodium triflorum</v>
      </c>
      <c r="H7991" s="6" t="str">
        <f>VLOOKUP(E7991,dicionario!$A$1:$C8390,3,0)</f>
        <v/>
      </c>
    </row>
    <row r="7992">
      <c r="A7992" s="3">
        <v>45743.0</v>
      </c>
      <c r="B7992" s="4">
        <v>0.33611111111111114</v>
      </c>
      <c r="C7992" s="5" t="s">
        <v>76</v>
      </c>
      <c r="D7992" s="5" t="s">
        <v>1278</v>
      </c>
      <c r="E7992" s="8" t="s">
        <v>271</v>
      </c>
      <c r="F7992" s="5" t="s">
        <v>1169</v>
      </c>
      <c r="G7992" s="6" t="str">
        <f>VLOOKUP(E7992,dicionario!$A$1:$C8391,2,0)</f>
        <v>Cyanthillium cinereum</v>
      </c>
      <c r="H7992" s="6" t="str">
        <f>VLOOKUP(E7992,dicionario!$A$1:$C8391,3,0)</f>
        <v>emília</v>
      </c>
    </row>
    <row r="7993">
      <c r="A7993" s="3">
        <v>45743.0</v>
      </c>
      <c r="B7993" s="4">
        <v>0.33611111111111114</v>
      </c>
      <c r="C7993" s="5" t="s">
        <v>76</v>
      </c>
      <c r="D7993" s="5" t="s">
        <v>1278</v>
      </c>
      <c r="E7993" s="8" t="s">
        <v>146</v>
      </c>
      <c r="F7993" s="5" t="s">
        <v>147</v>
      </c>
      <c r="G7993" s="6" t="str">
        <f>VLOOKUP(E7993,dicionario!$A$1:$C8392,2,0)</f>
        <v>Euphorbia hirta</v>
      </c>
      <c r="H7993" s="6" t="str">
        <f>VLOOKUP(E7993,dicionario!$A$1:$C8392,3,0)</f>
        <v>erva-de-santa-luzia</v>
      </c>
    </row>
    <row r="7994">
      <c r="A7994" s="3">
        <v>45743.0</v>
      </c>
      <c r="B7994" s="4">
        <v>0.33611111111111114</v>
      </c>
      <c r="C7994" s="5" t="s">
        <v>76</v>
      </c>
      <c r="D7994" s="5" t="s">
        <v>1278</v>
      </c>
      <c r="E7994" s="8" t="s">
        <v>144</v>
      </c>
      <c r="F7994" s="5" t="s">
        <v>145</v>
      </c>
      <c r="G7994" s="6" t="str">
        <f>VLOOKUP(E7994,dicionario!$A$1:$C8393,2,0)</f>
        <v>Gomphrena globosa</v>
      </c>
      <c r="H7994" s="6" t="str">
        <f>VLOOKUP(E7994,dicionario!$A$1:$C8393,3,0)</f>
        <v>perpétua-rosa</v>
      </c>
    </row>
    <row r="7995">
      <c r="A7995" s="3">
        <v>45743.0</v>
      </c>
      <c r="B7995" s="4">
        <v>0.3368055555555556</v>
      </c>
      <c r="C7995" s="5" t="s">
        <v>76</v>
      </c>
      <c r="D7995" s="5" t="s">
        <v>1278</v>
      </c>
      <c r="E7995" s="8" t="s">
        <v>503</v>
      </c>
      <c r="F7995" s="5" t="s">
        <v>414</v>
      </c>
      <c r="G7995" s="6" t="str">
        <f>VLOOKUP(E7995,dicionario!$A$1:$C8394,2,0)</f>
        <v>Orphulella punctata</v>
      </c>
      <c r="H7995" s="6" t="str">
        <f>VLOOKUP(E7995,dicionario!$A$1:$C8394,3,0)</f>
        <v>gafanhotinho</v>
      </c>
    </row>
    <row r="7996">
      <c r="A7996" s="3">
        <v>45743.0</v>
      </c>
      <c r="B7996" s="4">
        <v>0.3368055555555556</v>
      </c>
      <c r="C7996" s="5" t="s">
        <v>76</v>
      </c>
      <c r="D7996" s="5" t="s">
        <v>1278</v>
      </c>
      <c r="E7996" s="8" t="s">
        <v>732</v>
      </c>
      <c r="F7996" s="7"/>
      <c r="G7996" s="6" t="str">
        <f>VLOOKUP(E7996,dicionario!$A$1:$C8395,2,0)</f>
        <v>#N/A</v>
      </c>
      <c r="H7996" s="6" t="str">
        <f>VLOOKUP(E7996,dicionario!$A$1:$C8395,3,0)</f>
        <v>#N/A</v>
      </c>
    </row>
    <row r="7997">
      <c r="A7997" s="3">
        <v>45743.0</v>
      </c>
      <c r="B7997" s="4">
        <v>0.3375</v>
      </c>
      <c r="C7997" s="5" t="s">
        <v>76</v>
      </c>
      <c r="D7997" s="5" t="s">
        <v>1278</v>
      </c>
      <c r="E7997" s="8" t="s">
        <v>496</v>
      </c>
      <c r="F7997" s="5" t="s">
        <v>497</v>
      </c>
      <c r="G7997" s="6" t="str">
        <f>VLOOKUP(E7997,dicionario!$A$1:$C8396,2,0)</f>
        <v>Eclipta prostrata</v>
      </c>
      <c r="H7997" s="6" t="str">
        <f>VLOOKUP(E7997,dicionario!$A$1:$C8396,3,0)</f>
        <v>falsa-margarida</v>
      </c>
    </row>
    <row r="7998">
      <c r="A7998" s="3">
        <v>45743.0</v>
      </c>
      <c r="B7998" s="4">
        <v>0.3375</v>
      </c>
      <c r="C7998" s="5" t="s">
        <v>76</v>
      </c>
      <c r="D7998" s="5" t="s">
        <v>1278</v>
      </c>
      <c r="E7998" s="8" t="s">
        <v>247</v>
      </c>
      <c r="F7998" s="5" t="s">
        <v>387</v>
      </c>
      <c r="G7998" s="6" t="str">
        <f>VLOOKUP(E7998,dicionario!$A$1:$C8397,2,0)</f>
        <v>Emilia sonchifolia</v>
      </c>
      <c r="H7998" s="6" t="str">
        <f>VLOOKUP(E7998,dicionario!$A$1:$C8397,3,0)</f>
        <v>serralinha</v>
      </c>
    </row>
    <row r="7999">
      <c r="A7999" s="3">
        <v>45743.0</v>
      </c>
      <c r="B7999" s="4">
        <v>0.33819444444444446</v>
      </c>
      <c r="C7999" s="5" t="s">
        <v>76</v>
      </c>
      <c r="D7999" s="5" t="s">
        <v>1278</v>
      </c>
      <c r="E7999" s="8" t="s">
        <v>154</v>
      </c>
      <c r="F7999" s="5" t="s">
        <v>155</v>
      </c>
      <c r="G7999" s="6" t="str">
        <f>VLOOKUP(E7999,dicionario!$A$1:$C8398,2,0)</f>
        <v>Cyperus rotundus</v>
      </c>
      <c r="H7999" s="6" t="str">
        <f>VLOOKUP(E7999,dicionario!$A$1:$C8398,3,0)</f>
        <v>tiririca</v>
      </c>
    </row>
    <row r="8000">
      <c r="A8000" s="3">
        <v>45743.0</v>
      </c>
      <c r="B8000" s="4">
        <v>0.33819444444444446</v>
      </c>
      <c r="C8000" s="5" t="s">
        <v>76</v>
      </c>
      <c r="D8000" s="5" t="s">
        <v>1278</v>
      </c>
      <c r="E8000" s="8" t="s">
        <v>152</v>
      </c>
      <c r="F8000" s="5" t="s">
        <v>153</v>
      </c>
      <c r="G8000" s="6" t="str">
        <f>VLOOKUP(E8000,dicionario!$A$1:$C8399,2,0)</f>
        <v>Cynodon dactylon</v>
      </c>
      <c r="H8000" s="6" t="str">
        <f>VLOOKUP(E8000,dicionario!$A$1:$C8399,3,0)</f>
        <v>grama-bermuda</v>
      </c>
    </row>
    <row r="8001">
      <c r="A8001" s="3">
        <v>45743.0</v>
      </c>
      <c r="B8001" s="4">
        <v>0.33819444444444446</v>
      </c>
      <c r="C8001" s="5" t="s">
        <v>76</v>
      </c>
      <c r="D8001" s="5" t="s">
        <v>1278</v>
      </c>
      <c r="E8001" s="8" t="s">
        <v>83</v>
      </c>
      <c r="F8001" s="5" t="s">
        <v>84</v>
      </c>
      <c r="G8001" s="6" t="str">
        <f>VLOOKUP(E8001,dicionario!$A$1:$C8400,2,0)</f>
        <v>Anartia jatrophae</v>
      </c>
      <c r="H8001" s="6" t="str">
        <f>VLOOKUP(E8001,dicionario!$A$1:$C8400,3,0)</f>
        <v>borboleta-pavão-branco</v>
      </c>
    </row>
    <row r="8002">
      <c r="A8002" s="3">
        <v>45743.0</v>
      </c>
      <c r="B8002" s="4">
        <v>0.33819444444444446</v>
      </c>
      <c r="C8002" s="5" t="s">
        <v>76</v>
      </c>
      <c r="D8002" s="5" t="s">
        <v>1278</v>
      </c>
      <c r="E8002" s="8" t="s">
        <v>122</v>
      </c>
      <c r="F8002" s="5" t="s">
        <v>123</v>
      </c>
      <c r="G8002" s="6" t="str">
        <f>VLOOKUP(E8002,dicionario!$A$1:$C8401,2,0)</f>
        <v>Todirostrum cinereum</v>
      </c>
      <c r="H8002" s="6" t="str">
        <f>VLOOKUP(E8002,dicionario!$A$1:$C8401,3,0)</f>
        <v>ferreirinho-relógio</v>
      </c>
    </row>
    <row r="8003">
      <c r="A8003" s="3">
        <v>45743.0</v>
      </c>
      <c r="B8003" s="4">
        <v>0.33819444444444446</v>
      </c>
      <c r="C8003" s="5" t="s">
        <v>76</v>
      </c>
      <c r="D8003" s="5" t="s">
        <v>1278</v>
      </c>
      <c r="E8003" s="8" t="s">
        <v>886</v>
      </c>
      <c r="F8003" s="5" t="s">
        <v>887</v>
      </c>
      <c r="G8003" s="6" t="str">
        <f>VLOOKUP(E8003,dicionario!$A$1:$C8402,2,0)</f>
        <v>Oldenlandia corymbosa</v>
      </c>
      <c r="H8003" s="6" t="str">
        <f>VLOOKUP(E8003,dicionario!$A$1:$C8402,3,0)</f>
        <v>erva-diamante</v>
      </c>
    </row>
    <row r="8004">
      <c r="A8004" s="3">
        <v>45743.0</v>
      </c>
      <c r="B8004" s="4">
        <v>0.3388888888888889</v>
      </c>
      <c r="C8004" s="5" t="s">
        <v>76</v>
      </c>
      <c r="D8004" s="5" t="s">
        <v>1278</v>
      </c>
      <c r="E8004" s="8" t="s">
        <v>20</v>
      </c>
      <c r="F8004" s="5" t="s">
        <v>21</v>
      </c>
      <c r="G8004" s="6" t="str">
        <f>VLOOKUP(E8004,dicionario!$A$1:$C8403,2,0)</f>
        <v>Sicalis flaveola</v>
      </c>
      <c r="H8004" s="6" t="str">
        <f>VLOOKUP(E8004,dicionario!$A$1:$C8403,3,0)</f>
        <v>canário-da-terra</v>
      </c>
    </row>
    <row r="8005">
      <c r="A8005" s="3">
        <v>45743.0</v>
      </c>
      <c r="B8005" s="4">
        <v>0.3388888888888889</v>
      </c>
      <c r="C8005" s="5" t="s">
        <v>76</v>
      </c>
      <c r="D8005" s="5" t="s">
        <v>1278</v>
      </c>
      <c r="E8005" s="8" t="s">
        <v>195</v>
      </c>
      <c r="F8005" s="5" t="s">
        <v>196</v>
      </c>
      <c r="G8005" s="6" t="str">
        <f>VLOOKUP(E8005,dicionario!$A$1:$C8404,2,0)</f>
        <v>Priva lappulacea</v>
      </c>
      <c r="H8005" s="6" t="str">
        <f>VLOOKUP(E8005,dicionario!$A$1:$C8404,3,0)</f>
        <v>carrapicho</v>
      </c>
    </row>
    <row r="8006">
      <c r="A8006" s="3">
        <v>45743.0</v>
      </c>
      <c r="B8006" s="4">
        <v>0.3388888888888889</v>
      </c>
      <c r="C8006" s="5" t="s">
        <v>76</v>
      </c>
      <c r="D8006" s="5" t="s">
        <v>1278</v>
      </c>
      <c r="E8006" s="8" t="s">
        <v>41</v>
      </c>
      <c r="F8006" s="5" t="s">
        <v>45</v>
      </c>
      <c r="G8006" s="6" t="str">
        <f>VLOOKUP(E8006,dicionario!$A$1:$C8405,2,0)</f>
        <v>Mimosa pudica</v>
      </c>
      <c r="H8006" s="6" t="str">
        <f>VLOOKUP(E8006,dicionario!$A$1:$C8405,3,0)</f>
        <v>dormideira</v>
      </c>
    </row>
    <row r="8007">
      <c r="A8007" s="3">
        <v>45743.0</v>
      </c>
      <c r="B8007" s="4">
        <v>0.3388888888888889</v>
      </c>
      <c r="C8007" s="5" t="s">
        <v>76</v>
      </c>
      <c r="D8007" s="5" t="s">
        <v>1278</v>
      </c>
      <c r="E8007" s="8" t="s">
        <v>88</v>
      </c>
      <c r="F8007" s="5" t="s">
        <v>89</v>
      </c>
      <c r="G8007" s="6" t="str">
        <f>VLOOKUP(E8007,dicionario!$A$1:$C8406,2,0)</f>
        <v>Tyrannus melancolichus</v>
      </c>
      <c r="H8007" s="6" t="str">
        <f>VLOOKUP(E8007,dicionario!$A$1:$C8406,3,0)</f>
        <v>suiriri</v>
      </c>
    </row>
    <row r="8008">
      <c r="A8008" s="3">
        <v>45743.0</v>
      </c>
      <c r="B8008" s="4">
        <v>0.3388888888888889</v>
      </c>
      <c r="C8008" s="5" t="s">
        <v>76</v>
      </c>
      <c r="D8008" s="5" t="s">
        <v>1278</v>
      </c>
      <c r="E8008" s="8" t="s">
        <v>173</v>
      </c>
      <c r="F8008" s="5" t="s">
        <v>336</v>
      </c>
      <c r="G8008" s="6" t="str">
        <f>VLOOKUP(E8008,dicionario!$A$1:$C8407,2,0)</f>
        <v>Junonia evarete</v>
      </c>
      <c r="H8008" s="6" t="str">
        <f>VLOOKUP(E8008,dicionario!$A$1:$C8407,3,0)</f>
        <v>borboleta-olho-de-pavão-diúrno</v>
      </c>
    </row>
    <row r="8009">
      <c r="A8009" s="3">
        <v>45743.0</v>
      </c>
      <c r="B8009" s="4">
        <v>0.33958333333333335</v>
      </c>
      <c r="C8009" s="5" t="s">
        <v>76</v>
      </c>
      <c r="D8009" s="5" t="s">
        <v>1278</v>
      </c>
      <c r="E8009" s="8" t="s">
        <v>1280</v>
      </c>
      <c r="F8009" s="5" t="s">
        <v>1156</v>
      </c>
      <c r="G8009" s="6" t="str">
        <f>VLOOKUP(E8009,dicionario!$A$1:$C8408,2,0)</f>
        <v>Paspalum notatum</v>
      </c>
      <c r="H8009" s="6" t="str">
        <f>VLOOKUP(E8009,dicionario!$A$1:$C8408,3,0)</f>
        <v>capim-forquilha</v>
      </c>
    </row>
    <row r="8010">
      <c r="A8010" s="3">
        <v>45743.0</v>
      </c>
      <c r="B8010" s="4">
        <v>0.33958333333333335</v>
      </c>
      <c r="C8010" s="5" t="s">
        <v>76</v>
      </c>
      <c r="D8010" s="5" t="s">
        <v>1278</v>
      </c>
      <c r="E8010" s="8" t="s">
        <v>1302</v>
      </c>
      <c r="F8010" s="5" t="s">
        <v>184</v>
      </c>
      <c r="G8010" s="6" t="str">
        <f>VLOOKUP(E8010,dicionario!$A$1:$C8409,2,0)</f>
        <v>#N/A</v>
      </c>
      <c r="H8010" s="6" t="str">
        <f>VLOOKUP(E8010,dicionario!$A$1:$C8409,3,0)</f>
        <v>#N/A</v>
      </c>
    </row>
    <row r="8011">
      <c r="A8011" s="3">
        <v>45743.0</v>
      </c>
      <c r="B8011" s="4">
        <v>0.33958333333333335</v>
      </c>
      <c r="C8011" s="5" t="s">
        <v>76</v>
      </c>
      <c r="D8011" s="5" t="s">
        <v>1278</v>
      </c>
      <c r="E8011" s="8" t="s">
        <v>319</v>
      </c>
      <c r="F8011" s="5" t="s">
        <v>320</v>
      </c>
      <c r="G8011" s="6" t="str">
        <f>VLOOKUP(E8011,dicionario!$A$1:$C8410,2,0)</f>
        <v>Schinus terebinthifolia</v>
      </c>
      <c r="H8011" s="6" t="str">
        <f>VLOOKUP(E8011,dicionario!$A$1:$C8410,3,0)</f>
        <v>aroeira</v>
      </c>
    </row>
    <row r="8012">
      <c r="A8012" s="3">
        <v>45743.0</v>
      </c>
      <c r="B8012" s="4">
        <v>0.33958333333333335</v>
      </c>
      <c r="C8012" s="5" t="s">
        <v>76</v>
      </c>
      <c r="D8012" s="5" t="s">
        <v>1278</v>
      </c>
      <c r="E8012" s="6" t="s">
        <v>48</v>
      </c>
      <c r="F8012" s="5" t="s">
        <v>49</v>
      </c>
      <c r="G8012" s="6" t="str">
        <f>VLOOKUP(E8012,dicionario!$A$1:$C8411,2,0)</f>
        <v>Commelina erecta</v>
      </c>
      <c r="H8012" s="6" t="str">
        <f>VLOOKUP(E8012,dicionario!$A$1:$C8411,3,0)</f>
        <v>trapoeraba</v>
      </c>
    </row>
    <row r="8013">
      <c r="A8013" s="3">
        <v>45743.0</v>
      </c>
      <c r="B8013" s="4">
        <v>0.34097222222222223</v>
      </c>
      <c r="C8013" s="5" t="s">
        <v>76</v>
      </c>
      <c r="D8013" s="5" t="s">
        <v>1278</v>
      </c>
      <c r="E8013" s="8" t="s">
        <v>227</v>
      </c>
      <c r="F8013" s="5" t="s">
        <v>228</v>
      </c>
      <c r="G8013" s="6" t="str">
        <f>VLOOKUP(E8013,dicionario!$A$1:$C8412,2,0)</f>
        <v>Indigofera hirsuta</v>
      </c>
      <c r="H8013" s="6" t="str">
        <f>VLOOKUP(E8013,dicionario!$A$1:$C8412,3,0)</f>
        <v>anileira</v>
      </c>
    </row>
    <row r="8014">
      <c r="A8014" s="3">
        <v>45743.0</v>
      </c>
      <c r="B8014" s="4">
        <v>0.34097222222222223</v>
      </c>
      <c r="C8014" s="5" t="s">
        <v>76</v>
      </c>
      <c r="D8014" s="5" t="s">
        <v>1278</v>
      </c>
      <c r="E8014" s="8" t="s">
        <v>866</v>
      </c>
      <c r="F8014" s="5" t="s">
        <v>1303</v>
      </c>
      <c r="G8014" s="6" t="str">
        <f>VLOOKUP(E8014,dicionario!$A$1:$C8413,2,0)</f>
        <v>Laportea aestuans</v>
      </c>
      <c r="H8014" s="6" t="str">
        <f>VLOOKUP(E8014,dicionario!$A$1:$C8413,3,0)</f>
        <v>urtiga-vermelha</v>
      </c>
    </row>
    <row r="8015">
      <c r="A8015" s="3">
        <v>45743.0</v>
      </c>
      <c r="B8015" s="4">
        <v>0.34097222222222223</v>
      </c>
      <c r="C8015" s="5" t="s">
        <v>76</v>
      </c>
      <c r="D8015" s="5" t="s">
        <v>1278</v>
      </c>
      <c r="E8015" s="8" t="s">
        <v>786</v>
      </c>
      <c r="F8015" s="5" t="s">
        <v>787</v>
      </c>
      <c r="G8015" s="6" t="str">
        <f>VLOOKUP(E8015,dicionario!$A$1:$C8414,2,0)</f>
        <v>Lycianthes asarifolia</v>
      </c>
      <c r="H8015" s="6" t="str">
        <f>VLOOKUP(E8015,dicionario!$A$1:$C8414,3,0)</f>
        <v>joá-rasteiro</v>
      </c>
    </row>
    <row r="8016">
      <c r="A8016" s="3">
        <v>45743.0</v>
      </c>
      <c r="B8016" s="4">
        <v>0.34097222222222223</v>
      </c>
      <c r="C8016" s="5" t="s">
        <v>76</v>
      </c>
      <c r="D8016" s="5" t="s">
        <v>1278</v>
      </c>
      <c r="E8016" s="8" t="s">
        <v>1285</v>
      </c>
      <c r="F8016" s="5" t="s">
        <v>1286</v>
      </c>
      <c r="G8016" s="6" t="str">
        <f>VLOOKUP(E8016,dicionario!$A$1:$C8415,2,0)</f>
        <v>#N/A</v>
      </c>
      <c r="H8016" s="6" t="str">
        <f>VLOOKUP(E8016,dicionario!$A$1:$C8415,3,0)</f>
        <v>#N/A</v>
      </c>
    </row>
    <row r="8017">
      <c r="A8017" s="3">
        <v>45743.0</v>
      </c>
      <c r="B8017" s="4">
        <v>0.34097222222222223</v>
      </c>
      <c r="C8017" s="5" t="s">
        <v>76</v>
      </c>
      <c r="D8017" s="5" t="s">
        <v>1278</v>
      </c>
      <c r="E8017" s="8" t="s">
        <v>65</v>
      </c>
      <c r="F8017" s="5" t="s">
        <v>66</v>
      </c>
      <c r="G8017" s="6" t="str">
        <f>VLOOKUP(E8017,dicionario!$A$1:$C8416,2,0)</f>
        <v>Pitangus sulphutarus</v>
      </c>
      <c r="H8017" s="6" t="str">
        <f>VLOOKUP(E8017,dicionario!$A$1:$C8416,3,0)</f>
        <v>bem-te-vi</v>
      </c>
    </row>
    <row r="8018">
      <c r="A8018" s="3">
        <v>45743.0</v>
      </c>
      <c r="B8018" s="4">
        <v>0.34097222222222223</v>
      </c>
      <c r="C8018" s="5" t="s">
        <v>76</v>
      </c>
      <c r="D8018" s="5" t="s">
        <v>1278</v>
      </c>
      <c r="E8018" s="8" t="s">
        <v>562</v>
      </c>
      <c r="F8018" s="5" t="s">
        <v>563</v>
      </c>
      <c r="G8018" s="6" t="str">
        <f>VLOOKUP(E8018,dicionario!$A$1:$C8417,2,0)</f>
        <v>Syzygium cumini</v>
      </c>
      <c r="H8018" s="6" t="str">
        <f>VLOOKUP(E8018,dicionario!$A$1:$C8417,3,0)</f>
        <v>jamelão</v>
      </c>
    </row>
    <row r="8019">
      <c r="A8019" s="3">
        <v>45743.0</v>
      </c>
      <c r="B8019" s="4">
        <v>0.3416666666666667</v>
      </c>
      <c r="C8019" s="5" t="s">
        <v>76</v>
      </c>
      <c r="D8019" s="5" t="s">
        <v>1278</v>
      </c>
      <c r="E8019" s="8" t="s">
        <v>616</v>
      </c>
      <c r="F8019" s="5" t="s">
        <v>617</v>
      </c>
      <c r="G8019" s="6" t="str">
        <f>VLOOKUP(E8019,dicionario!$A$1:$C8418,2,0)</f>
        <v>#N/A</v>
      </c>
      <c r="H8019" s="6" t="str">
        <f>VLOOKUP(E8019,dicionario!$A$1:$C8418,3,0)</f>
        <v>#N/A</v>
      </c>
    </row>
    <row r="8020">
      <c r="A8020" s="3">
        <v>45743.0</v>
      </c>
      <c r="B8020" s="4">
        <v>0.3416666666666667</v>
      </c>
      <c r="C8020" s="5" t="s">
        <v>76</v>
      </c>
      <c r="D8020" s="5" t="s">
        <v>1278</v>
      </c>
      <c r="E8020" s="6"/>
      <c r="F8020" s="52" t="s">
        <v>1304</v>
      </c>
      <c r="G8020" s="6" t="str">
        <f>VLOOKUP(E8020,dicionario!$A$1:$C8419,2,0)</f>
        <v>#N/A</v>
      </c>
      <c r="H8020" s="6" t="str">
        <f>VLOOKUP(E8020,dicionario!$A$1:$C8419,3,0)</f>
        <v>#N/A</v>
      </c>
    </row>
    <row r="8021">
      <c r="A8021" s="3">
        <v>45743.0</v>
      </c>
      <c r="B8021" s="4">
        <v>0.3416666666666667</v>
      </c>
      <c r="C8021" s="5" t="s">
        <v>76</v>
      </c>
      <c r="D8021" s="5" t="s">
        <v>1278</v>
      </c>
      <c r="E8021" s="6"/>
      <c r="F8021" s="52" t="s">
        <v>1305</v>
      </c>
      <c r="G8021" s="6" t="str">
        <f>VLOOKUP(E8021,dicionario!$A$1:$C8420,2,0)</f>
        <v>#N/A</v>
      </c>
      <c r="H8021" s="6" t="str">
        <f>VLOOKUP(E8021,dicionario!$A$1:$C8420,3,0)</f>
        <v>#N/A</v>
      </c>
    </row>
    <row r="8022">
      <c r="A8022" s="3">
        <v>45743.0</v>
      </c>
      <c r="B8022" s="4">
        <v>0.3416666666666667</v>
      </c>
      <c r="C8022" s="5" t="s">
        <v>76</v>
      </c>
      <c r="D8022" s="5" t="s">
        <v>1278</v>
      </c>
      <c r="E8022" s="8" t="s">
        <v>378</v>
      </c>
      <c r="F8022" s="5" t="s">
        <v>205</v>
      </c>
      <c r="G8022" s="6" t="str">
        <f>VLOOKUP(E8022,dicionario!$A$1:$C8421,2,0)</f>
        <v>Polistes</v>
      </c>
      <c r="H8022" s="6" t="str">
        <f>VLOOKUP(E8022,dicionario!$A$1:$C8421,3,0)</f>
        <v>marimbondo</v>
      </c>
    </row>
    <row r="8023">
      <c r="A8023" s="3">
        <v>45743.0</v>
      </c>
      <c r="B8023" s="4">
        <v>0.34305555555555556</v>
      </c>
      <c r="C8023" s="5" t="s">
        <v>76</v>
      </c>
      <c r="D8023" s="5" t="s">
        <v>1278</v>
      </c>
      <c r="E8023" s="8" t="s">
        <v>1306</v>
      </c>
      <c r="F8023" s="5" t="s">
        <v>807</v>
      </c>
      <c r="G8023" s="6" t="str">
        <f>VLOOKUP(E8023,dicionario!$A$1:$C8422,2,0)</f>
        <v>#N/A</v>
      </c>
      <c r="H8023" s="6" t="str">
        <f>VLOOKUP(E8023,dicionario!$A$1:$C8422,3,0)</f>
        <v>#N/A</v>
      </c>
    </row>
    <row r="8024">
      <c r="A8024" s="3">
        <v>45743.0</v>
      </c>
      <c r="B8024" s="4">
        <v>0.34444444444444444</v>
      </c>
      <c r="C8024" s="5" t="s">
        <v>76</v>
      </c>
      <c r="D8024" s="5" t="s">
        <v>1278</v>
      </c>
      <c r="E8024" s="8" t="s">
        <v>1307</v>
      </c>
      <c r="F8024" s="5" t="s">
        <v>1308</v>
      </c>
      <c r="G8024" s="6" t="str">
        <f>VLOOKUP(E8024,dicionario!$A$1:$C8423,2,0)</f>
        <v>#N/A</v>
      </c>
      <c r="H8024" s="6" t="str">
        <f>VLOOKUP(E8024,dicionario!$A$1:$C8423,3,0)</f>
        <v>#N/A</v>
      </c>
    </row>
    <row r="8025">
      <c r="A8025" s="3">
        <v>45743.0</v>
      </c>
      <c r="B8025" s="4">
        <v>0.34444444444444444</v>
      </c>
      <c r="C8025" s="5" t="s">
        <v>76</v>
      </c>
      <c r="D8025" s="5" t="s">
        <v>1278</v>
      </c>
      <c r="E8025" s="8" t="s">
        <v>444</v>
      </c>
      <c r="F8025" s="7" t="s">
        <v>445</v>
      </c>
      <c r="G8025" s="6" t="str">
        <f>VLOOKUP(E8025,dicionario!$A$1:$C8424,2,0)</f>
        <v>#N/A</v>
      </c>
      <c r="H8025" s="6" t="str">
        <f>VLOOKUP(E8025,dicionario!$A$1:$C8424,3,0)</f>
        <v>#N/A</v>
      </c>
    </row>
    <row r="8026">
      <c r="A8026" s="3">
        <v>45743.0</v>
      </c>
      <c r="B8026" s="4">
        <v>0.34444444444444444</v>
      </c>
      <c r="C8026" s="5" t="s">
        <v>76</v>
      </c>
      <c r="D8026" s="5" t="s">
        <v>1278</v>
      </c>
      <c r="E8026" s="8" t="s">
        <v>139</v>
      </c>
      <c r="F8026" s="5" t="s">
        <v>862</v>
      </c>
      <c r="G8026" s="6" t="str">
        <f>VLOOKUP(E8026,dicionario!$A$1:$C8425,2,0)</f>
        <v>Tropidurus torquatus</v>
      </c>
      <c r="H8026" s="6" t="str">
        <f>VLOOKUP(E8026,dicionario!$A$1:$C8425,3,0)</f>
        <v>calango; tropiduro-comum</v>
      </c>
    </row>
    <row r="8027">
      <c r="A8027" s="3">
        <v>45743.0</v>
      </c>
      <c r="B8027" s="4">
        <v>0.3458333333333333</v>
      </c>
      <c r="C8027" s="5" t="s">
        <v>76</v>
      </c>
      <c r="D8027" s="5" t="s">
        <v>1278</v>
      </c>
      <c r="E8027" s="8" t="s">
        <v>41</v>
      </c>
      <c r="F8027" s="5" t="s">
        <v>45</v>
      </c>
      <c r="G8027" s="6" t="str">
        <f>VLOOKUP(E8027,dicionario!$A$1:$C8426,2,0)</f>
        <v>Mimosa pudica</v>
      </c>
      <c r="H8027" s="6" t="str">
        <f>VLOOKUP(E8027,dicionario!$A$1:$C8426,3,0)</f>
        <v>dormideira</v>
      </c>
    </row>
    <row r="8028">
      <c r="A8028" s="3">
        <v>45743.0</v>
      </c>
      <c r="B8028" s="4">
        <v>0.3458333333333333</v>
      </c>
      <c r="C8028" s="5" t="s">
        <v>76</v>
      </c>
      <c r="D8028" s="5" t="s">
        <v>1278</v>
      </c>
      <c r="E8028" s="6" t="s">
        <v>366</v>
      </c>
      <c r="F8028" s="5" t="s">
        <v>367</v>
      </c>
      <c r="G8028" s="6" t="str">
        <f>VLOOKUP(E8028,dicionario!$A$1:$C8427,2,0)</f>
        <v>Alternanthera ficoidea</v>
      </c>
      <c r="H8028" s="6" t="str">
        <f>VLOOKUP(E8028,dicionario!$A$1:$C8427,3,0)</f>
        <v>quebra-panela</v>
      </c>
    </row>
    <row r="8029">
      <c r="A8029" s="3">
        <v>45743.0</v>
      </c>
      <c r="B8029" s="4">
        <v>0.3458333333333333</v>
      </c>
      <c r="C8029" s="5" t="s">
        <v>76</v>
      </c>
      <c r="D8029" s="5" t="s">
        <v>1278</v>
      </c>
      <c r="E8029" s="8" t="s">
        <v>390</v>
      </c>
      <c r="F8029" s="5" t="s">
        <v>633</v>
      </c>
      <c r="G8029" s="6" t="str">
        <f>VLOOKUP(E8029,dicionario!$A$1:$C8428,2,0)</f>
        <v>Oxalis barrelieri</v>
      </c>
      <c r="H8029" s="6" t="str">
        <f>VLOOKUP(E8029,dicionario!$A$1:$C8428,3,0)</f>
        <v>erva-azeda; azedinha </v>
      </c>
    </row>
    <row r="8030">
      <c r="A8030" s="3">
        <v>45743.0</v>
      </c>
      <c r="B8030" s="4">
        <v>0.3458333333333333</v>
      </c>
      <c r="C8030" s="5" t="s">
        <v>76</v>
      </c>
      <c r="D8030" s="5" t="s">
        <v>1278</v>
      </c>
      <c r="E8030" s="8" t="s">
        <v>425</v>
      </c>
      <c r="F8030" s="5" t="s">
        <v>426</v>
      </c>
      <c r="G8030" s="6" t="str">
        <f>VLOOKUP(E8030,dicionario!$A$1:$C8429,2,0)</f>
        <v>Digitaria insularis</v>
      </c>
      <c r="H8030" s="6" t="str">
        <f>VLOOKUP(E8030,dicionario!$A$1:$C8429,3,0)</f>
        <v>capim-amargoso</v>
      </c>
    </row>
    <row r="8031">
      <c r="A8031" s="3">
        <v>45743.0</v>
      </c>
      <c r="B8031" s="4">
        <v>0.34652777777777777</v>
      </c>
      <c r="C8031" s="5" t="s">
        <v>76</v>
      </c>
      <c r="D8031" s="5" t="s">
        <v>1278</v>
      </c>
      <c r="E8031" s="8" t="s">
        <v>202</v>
      </c>
      <c r="F8031" s="5" t="s">
        <v>203</v>
      </c>
      <c r="G8031" s="6" t="str">
        <f>VLOOKUP(E8031,dicionario!$A$1:$C8430,2,0)</f>
        <v>Dysdercus</v>
      </c>
      <c r="H8031" s="6" t="str">
        <f>VLOOKUP(E8031,dicionario!$A$1:$C8430,3,0)</f>
        <v>percevejo-manchador</v>
      </c>
    </row>
    <row r="8032">
      <c r="A8032" s="3">
        <v>45743.0</v>
      </c>
      <c r="B8032" s="4">
        <v>0.34652777777777777</v>
      </c>
      <c r="C8032" s="5" t="s">
        <v>76</v>
      </c>
      <c r="D8032" s="5" t="s">
        <v>1278</v>
      </c>
      <c r="E8032" s="8" t="s">
        <v>358</v>
      </c>
      <c r="F8032" s="5" t="s">
        <v>567</v>
      </c>
      <c r="G8032" s="6" t="str">
        <f>VLOOKUP(E8032,dicionario!$A$1:$C8431,2,0)</f>
        <v>Sida</v>
      </c>
      <c r="H8032" s="6" t="str">
        <f>VLOOKUP(E8032,dicionario!$A$1:$C8431,3,0)</f>
        <v/>
      </c>
    </row>
    <row r="8033">
      <c r="A8033" s="3">
        <v>45743.0</v>
      </c>
      <c r="B8033" s="4">
        <v>0.3472222222222222</v>
      </c>
      <c r="C8033" s="5" t="s">
        <v>76</v>
      </c>
      <c r="D8033" s="5" t="s">
        <v>1278</v>
      </c>
      <c r="E8033" s="8" t="s">
        <v>150</v>
      </c>
      <c r="F8033" s="5" t="s">
        <v>151</v>
      </c>
      <c r="G8033" s="6" t="str">
        <f>VLOOKUP(E8033,dicionario!$A$1:$C8432,2,0)</f>
        <v>Amaranthus viridis</v>
      </c>
      <c r="H8033" s="6" t="str">
        <f>VLOOKUP(E8033,dicionario!$A$1:$C8432,3,0)</f>
        <v>caruru-de-mancha</v>
      </c>
    </row>
    <row r="8034">
      <c r="A8034" s="3">
        <v>45743.0</v>
      </c>
      <c r="B8034" s="4">
        <v>0.3472222222222222</v>
      </c>
      <c r="C8034" s="5" t="s">
        <v>76</v>
      </c>
      <c r="D8034" s="5" t="s">
        <v>1278</v>
      </c>
      <c r="E8034" s="8" t="s">
        <v>736</v>
      </c>
      <c r="F8034" s="5" t="s">
        <v>737</v>
      </c>
      <c r="G8034" s="6" t="str">
        <f>VLOOKUP(E8034,dicionario!$A$1:$C8433,2,0)</f>
        <v>Chloris virgata</v>
      </c>
      <c r="H8034" s="6" t="str">
        <f>VLOOKUP(E8034,dicionario!$A$1:$C8433,3,0)</f>
        <v>capim-pavão</v>
      </c>
    </row>
    <row r="8035">
      <c r="A8035" s="3">
        <v>45743.0</v>
      </c>
      <c r="B8035" s="4">
        <v>0.3472222222222222</v>
      </c>
      <c r="C8035" s="5" t="s">
        <v>76</v>
      </c>
      <c r="D8035" s="5" t="s">
        <v>1278</v>
      </c>
      <c r="E8035" s="8" t="s">
        <v>504</v>
      </c>
      <c r="F8035" s="5" t="s">
        <v>1190</v>
      </c>
      <c r="G8035" s="6" t="str">
        <f>VLOOKUP(E8035,dicionario!$A$1:$C8434,2,0)</f>
        <v>Cleome aculeata</v>
      </c>
      <c r="H8035" s="6" t="str">
        <f>VLOOKUP(E8035,dicionario!$A$1:$C8434,3,0)</f>
        <v>cleome</v>
      </c>
    </row>
    <row r="8036">
      <c r="A8036" s="3">
        <v>45743.0</v>
      </c>
      <c r="B8036" s="4">
        <v>0.3472222222222222</v>
      </c>
      <c r="C8036" s="5" t="s">
        <v>76</v>
      </c>
      <c r="D8036" s="5" t="s">
        <v>1278</v>
      </c>
      <c r="E8036" s="8" t="s">
        <v>135</v>
      </c>
      <c r="F8036" s="5" t="s">
        <v>136</v>
      </c>
      <c r="G8036" s="6" t="str">
        <f>VLOOKUP(E8036,dicionario!$A$1:$C8435,2,0)</f>
        <v>Tridax procumbens</v>
      </c>
      <c r="H8036" s="6" t="str">
        <f>VLOOKUP(E8036,dicionario!$A$1:$C8435,3,0)</f>
        <v>erva-de-touro</v>
      </c>
    </row>
    <row r="8037">
      <c r="A8037" s="3">
        <v>45743.0</v>
      </c>
      <c r="B8037" s="4">
        <v>0.35</v>
      </c>
      <c r="C8037" s="5" t="s">
        <v>85</v>
      </c>
      <c r="D8037" s="5" t="s">
        <v>1278</v>
      </c>
      <c r="E8037" s="6" t="s">
        <v>86</v>
      </c>
      <c r="F8037" s="5" t="s">
        <v>502</v>
      </c>
      <c r="G8037" s="6" t="str">
        <f>VLOOKUP(E8037,dicionario!$A$1:$C8436,2,0)</f>
        <v>Coereba flaveola</v>
      </c>
      <c r="H8037" s="6" t="str">
        <f>VLOOKUP(E8037,dicionario!$A$1:$C8436,3,0)</f>
        <v>cambacica</v>
      </c>
    </row>
    <row r="8038">
      <c r="A8038" s="3">
        <v>45743.0</v>
      </c>
      <c r="B8038" s="4">
        <v>0.3506944444444444</v>
      </c>
      <c r="C8038" s="5" t="s">
        <v>85</v>
      </c>
      <c r="D8038" s="5" t="s">
        <v>1278</v>
      </c>
      <c r="E8038" s="6" t="s">
        <v>53</v>
      </c>
      <c r="F8038" s="5" t="s">
        <v>54</v>
      </c>
      <c r="G8038" s="6" t="str">
        <f>VLOOKUP(E8038,dicionario!$A$1:$C8437,2,0)</f>
        <v>Turnera subulata</v>
      </c>
      <c r="H8038" s="6" t="str">
        <f>VLOOKUP(E8038,dicionario!$A$1:$C8437,3,0)</f>
        <v>xanana</v>
      </c>
    </row>
    <row r="8039">
      <c r="A8039" s="3">
        <v>45743.0</v>
      </c>
      <c r="B8039" s="4">
        <v>0.3506944444444444</v>
      </c>
      <c r="C8039" s="5" t="s">
        <v>85</v>
      </c>
      <c r="D8039" s="5" t="s">
        <v>1278</v>
      </c>
      <c r="E8039" s="8" t="s">
        <v>150</v>
      </c>
      <c r="F8039" s="5" t="s">
        <v>151</v>
      </c>
      <c r="G8039" s="6" t="str">
        <f>VLOOKUP(E8039,dicionario!$A$1:$C8438,2,0)</f>
        <v>Amaranthus viridis</v>
      </c>
      <c r="H8039" s="6" t="str">
        <f>VLOOKUP(E8039,dicionario!$A$1:$C8438,3,0)</f>
        <v>caruru-de-mancha</v>
      </c>
    </row>
    <row r="8040">
      <c r="A8040" s="3">
        <v>45743.0</v>
      </c>
      <c r="B8040" s="4">
        <v>0.3506944444444444</v>
      </c>
      <c r="C8040" s="5" t="s">
        <v>85</v>
      </c>
      <c r="D8040" s="5" t="s">
        <v>1278</v>
      </c>
      <c r="E8040" s="8" t="s">
        <v>135</v>
      </c>
      <c r="F8040" s="5" t="s">
        <v>136</v>
      </c>
      <c r="G8040" s="6" t="str">
        <f>VLOOKUP(E8040,dicionario!$A$1:$C8439,2,0)</f>
        <v>Tridax procumbens</v>
      </c>
      <c r="H8040" s="6" t="str">
        <f>VLOOKUP(E8040,dicionario!$A$1:$C8439,3,0)</f>
        <v>erva-de-touro</v>
      </c>
    </row>
    <row r="8041">
      <c r="A8041" s="3">
        <v>45743.0</v>
      </c>
      <c r="B8041" s="4">
        <v>0.3506944444444444</v>
      </c>
      <c r="C8041" s="5" t="s">
        <v>85</v>
      </c>
      <c r="D8041" s="5" t="s">
        <v>1278</v>
      </c>
      <c r="E8041" s="8" t="s">
        <v>555</v>
      </c>
      <c r="F8041" s="5" t="s">
        <v>1246</v>
      </c>
      <c r="G8041" s="6" t="str">
        <f>VLOOKUP(E8041,dicionario!$A$1:$C8440,2,0)</f>
        <v>Talinum paniculatum</v>
      </c>
      <c r="H8041" s="6" t="str">
        <f>VLOOKUP(E8041,dicionario!$A$1:$C8440,3,0)</f>
        <v>beldroegão</v>
      </c>
    </row>
    <row r="8042">
      <c r="A8042" s="3">
        <v>45743.0</v>
      </c>
      <c r="B8042" s="4">
        <v>0.3506944444444444</v>
      </c>
      <c r="C8042" s="5" t="s">
        <v>85</v>
      </c>
      <c r="D8042" s="5" t="s">
        <v>1278</v>
      </c>
      <c r="E8042" s="8" t="s">
        <v>154</v>
      </c>
      <c r="F8042" s="5" t="s">
        <v>155</v>
      </c>
      <c r="G8042" s="6" t="str">
        <f>VLOOKUP(E8042,dicionario!$A$1:$C8441,2,0)</f>
        <v>Cyperus rotundus</v>
      </c>
      <c r="H8042" s="6" t="str">
        <f>VLOOKUP(E8042,dicionario!$A$1:$C8441,3,0)</f>
        <v>tiririca</v>
      </c>
    </row>
    <row r="8043">
      <c r="A8043" s="3">
        <v>45743.0</v>
      </c>
      <c r="B8043" s="4">
        <v>0.3506944444444444</v>
      </c>
      <c r="C8043" s="5" t="s">
        <v>85</v>
      </c>
      <c r="D8043" s="5" t="s">
        <v>1278</v>
      </c>
      <c r="E8043" s="8" t="s">
        <v>227</v>
      </c>
      <c r="F8043" s="5" t="s">
        <v>228</v>
      </c>
      <c r="G8043" s="6" t="str">
        <f>VLOOKUP(E8043,dicionario!$A$1:$C8442,2,0)</f>
        <v>Indigofera hirsuta</v>
      </c>
      <c r="H8043" s="6" t="str">
        <f>VLOOKUP(E8043,dicionario!$A$1:$C8442,3,0)</f>
        <v>anileira</v>
      </c>
    </row>
    <row r="8044">
      <c r="A8044" s="3">
        <v>45743.0</v>
      </c>
      <c r="B8044" s="4">
        <v>0.3506944444444444</v>
      </c>
      <c r="C8044" s="5" t="s">
        <v>85</v>
      </c>
      <c r="D8044" s="5" t="s">
        <v>1278</v>
      </c>
      <c r="E8044" s="8" t="s">
        <v>338</v>
      </c>
      <c r="F8044" s="5" t="s">
        <v>238</v>
      </c>
      <c r="G8044" s="6" t="str">
        <f>VLOOKUP(E8044,dicionario!$A$1:$C8443,2,0)</f>
        <v>Atta</v>
      </c>
      <c r="H8044" s="6" t="str">
        <f>VLOOKUP(E8044,dicionario!$A$1:$C8443,3,0)</f>
        <v>saúva</v>
      </c>
    </row>
    <row r="8045">
      <c r="A8045" s="3">
        <v>45743.0</v>
      </c>
      <c r="B8045" s="4">
        <v>0.3506944444444444</v>
      </c>
      <c r="C8045" s="5" t="s">
        <v>85</v>
      </c>
      <c r="D8045" s="5" t="s">
        <v>1278</v>
      </c>
      <c r="E8045" s="8" t="s">
        <v>928</v>
      </c>
      <c r="F8045" s="5" t="s">
        <v>418</v>
      </c>
      <c r="G8045" s="6" t="str">
        <f>VLOOKUP(E8045,dicionario!$A$1:$C8444,2,0)</f>
        <v>Camponotus</v>
      </c>
      <c r="H8045" s="6" t="str">
        <f>VLOOKUP(E8045,dicionario!$A$1:$C8444,3,0)</f>
        <v>formiga-preta</v>
      </c>
    </row>
    <row r="8046">
      <c r="A8046" s="3">
        <v>45743.0</v>
      </c>
      <c r="B8046" s="4">
        <v>0.3506944444444444</v>
      </c>
      <c r="C8046" s="5" t="s">
        <v>85</v>
      </c>
      <c r="D8046" s="5" t="s">
        <v>1278</v>
      </c>
      <c r="E8046" s="8" t="s">
        <v>65</v>
      </c>
      <c r="F8046" s="5" t="s">
        <v>66</v>
      </c>
      <c r="G8046" s="6" t="str">
        <f>VLOOKUP(E8046,dicionario!$A$1:$C8445,2,0)</f>
        <v>Pitangus sulphutarus</v>
      </c>
      <c r="H8046" s="6" t="str">
        <f>VLOOKUP(E8046,dicionario!$A$1:$C8445,3,0)</f>
        <v>bem-te-vi</v>
      </c>
    </row>
    <row r="8047">
      <c r="A8047" s="3">
        <v>45743.0</v>
      </c>
      <c r="B8047" s="4">
        <v>0.3506944444444444</v>
      </c>
      <c r="C8047" s="5" t="s">
        <v>85</v>
      </c>
      <c r="D8047" s="5" t="s">
        <v>1278</v>
      </c>
      <c r="E8047" s="8" t="s">
        <v>109</v>
      </c>
      <c r="F8047" s="5" t="s">
        <v>110</v>
      </c>
      <c r="G8047" s="6" t="str">
        <f>VLOOKUP(E8047,dicionario!$A$1:$C8446,2,0)</f>
        <v>Tillandsia stricta</v>
      </c>
      <c r="H8047" s="6" t="str">
        <f>VLOOKUP(E8047,dicionario!$A$1:$C8446,3,0)</f>
        <v>cravo-do-mato</v>
      </c>
    </row>
    <row r="8048">
      <c r="A8048" s="3">
        <v>45743.0</v>
      </c>
      <c r="B8048" s="4">
        <v>0.3506944444444444</v>
      </c>
      <c r="C8048" s="5" t="s">
        <v>85</v>
      </c>
      <c r="D8048" s="5" t="s">
        <v>1278</v>
      </c>
      <c r="E8048" s="8" t="s">
        <v>375</v>
      </c>
      <c r="F8048" s="5" t="s">
        <v>35</v>
      </c>
      <c r="G8048" s="6" t="str">
        <f>VLOOKUP(E8048,dicionario!$A$1:$C8447,2,0)</f>
        <v>Neoponera foetida</v>
      </c>
      <c r="H8048" s="6" t="str">
        <f>VLOOKUP(E8048,dicionario!$A$1:$C8447,3,0)</f>
        <v/>
      </c>
    </row>
    <row r="8049">
      <c r="A8049" s="3">
        <v>45743.0</v>
      </c>
      <c r="B8049" s="4">
        <v>0.35138888888888886</v>
      </c>
      <c r="C8049" s="5" t="s">
        <v>85</v>
      </c>
      <c r="D8049" s="5" t="s">
        <v>1278</v>
      </c>
      <c r="E8049" s="8" t="s">
        <v>517</v>
      </c>
      <c r="F8049" s="7" t="s">
        <v>518</v>
      </c>
      <c r="G8049" s="6" t="str">
        <f>VLOOKUP(E8049,dicionario!$A$1:$C8448,2,0)</f>
        <v>Evolvulus nummularius</v>
      </c>
      <c r="H8049" s="6" t="str">
        <f>VLOOKUP(E8049,dicionario!$A$1:$C8448,3,0)</f>
        <v/>
      </c>
    </row>
    <row r="8050">
      <c r="A8050" s="3">
        <v>45743.0</v>
      </c>
      <c r="B8050" s="4">
        <v>0.35138888888888886</v>
      </c>
      <c r="C8050" s="5" t="s">
        <v>85</v>
      </c>
      <c r="D8050" s="5" t="s">
        <v>1278</v>
      </c>
      <c r="E8050" s="8" t="s">
        <v>51</v>
      </c>
      <c r="F8050" s="5" t="s">
        <v>77</v>
      </c>
      <c r="G8050" s="6" t="str">
        <f>VLOOKUP(E8050,dicionario!$A$1:$C8449,2,0)</f>
        <v>Solenopsis</v>
      </c>
      <c r="H8050" s="6" t="str">
        <f>VLOOKUP(E8050,dicionario!$A$1:$C8449,3,0)</f>
        <v>formiga-quente; formiga-lava-pés; formiga-de-fogo</v>
      </c>
    </row>
    <row r="8051">
      <c r="A8051" s="3">
        <v>45743.0</v>
      </c>
      <c r="B8051" s="4">
        <v>0.35138888888888886</v>
      </c>
      <c r="C8051" s="5" t="s">
        <v>85</v>
      </c>
      <c r="D8051" s="5" t="s">
        <v>1278</v>
      </c>
      <c r="E8051" s="8" t="s">
        <v>38</v>
      </c>
      <c r="F8051" s="5" t="s">
        <v>1251</v>
      </c>
      <c r="G8051" s="6" t="str">
        <f>VLOOKUP(E8051,dicionario!$A$1:$C8450,2,0)</f>
        <v>Troglodytes musculus</v>
      </c>
      <c r="H8051" s="6" t="str">
        <f>VLOOKUP(E8051,dicionario!$A$1:$C8450,3,0)</f>
        <v>curruíra</v>
      </c>
    </row>
    <row r="8052">
      <c r="A8052" s="3">
        <v>45743.0</v>
      </c>
      <c r="B8052" s="4">
        <v>0.35208333333333336</v>
      </c>
      <c r="C8052" s="5" t="s">
        <v>85</v>
      </c>
      <c r="D8052" s="5" t="s">
        <v>1278</v>
      </c>
      <c r="E8052" s="8" t="s">
        <v>193</v>
      </c>
      <c r="F8052" s="5" t="s">
        <v>194</v>
      </c>
      <c r="G8052" s="6" t="str">
        <f>VLOOKUP(E8052,dicionario!$A$1:$C8451,2,0)</f>
        <v>Conirostrum speciosum</v>
      </c>
      <c r="H8052" s="6" t="str">
        <f>VLOOKUP(E8052,dicionario!$A$1:$C8451,3,0)</f>
        <v>figuinha-de-rabo-castanho</v>
      </c>
    </row>
    <row r="8053">
      <c r="A8053" s="3">
        <v>45743.0</v>
      </c>
      <c r="B8053" s="4">
        <v>0.35208333333333336</v>
      </c>
      <c r="C8053" s="5" t="s">
        <v>85</v>
      </c>
      <c r="D8053" s="5" t="s">
        <v>1278</v>
      </c>
      <c r="E8053" s="12" t="s">
        <v>243</v>
      </c>
      <c r="F8053" s="5" t="s">
        <v>244</v>
      </c>
      <c r="G8053" s="6" t="str">
        <f>VLOOKUP(E8053,dicionario!$A$1:$C8452,2,0)</f>
        <v>Macroptilium atropurpureum</v>
      </c>
      <c r="H8053" s="6" t="str">
        <f>VLOOKUP(E8053,dicionario!$A$1:$C8452,3,0)</f>
        <v>feijão-de-pombo</v>
      </c>
    </row>
    <row r="8054">
      <c r="A8054" s="3">
        <v>45743.0</v>
      </c>
      <c r="B8054" s="4">
        <v>0.35208333333333336</v>
      </c>
      <c r="C8054" s="5" t="s">
        <v>85</v>
      </c>
      <c r="D8054" s="5" t="s">
        <v>1278</v>
      </c>
      <c r="E8054" s="6" t="s">
        <v>613</v>
      </c>
      <c r="F8054" s="5" t="s">
        <v>614</v>
      </c>
      <c r="G8054" s="6" t="str">
        <f>VLOOKUP(E8054,dicionario!$A$1:$C8453,2,0)</f>
        <v>Euphorbia hyssopifolia</v>
      </c>
      <c r="H8054" s="6" t="str">
        <f>VLOOKUP(E8054,dicionario!$A$1:$C8453,3,0)</f>
        <v>maria-leite</v>
      </c>
    </row>
    <row r="8055">
      <c r="A8055" s="3">
        <v>45743.0</v>
      </c>
      <c r="B8055" s="4">
        <v>0.35208333333333336</v>
      </c>
      <c r="C8055" s="5" t="s">
        <v>85</v>
      </c>
      <c r="D8055" s="5" t="s">
        <v>1278</v>
      </c>
      <c r="E8055" s="8" t="s">
        <v>403</v>
      </c>
      <c r="F8055" s="5" t="s">
        <v>404</v>
      </c>
      <c r="G8055" s="6" t="str">
        <f>VLOOKUP(E8055,dicionario!$A$1:$C8454,2,0)</f>
        <v>Trianthema portulacastrum</v>
      </c>
      <c r="H8055" s="6" t="str">
        <f>VLOOKUP(E8055,dicionario!$A$1:$C8454,3,0)</f>
        <v/>
      </c>
    </row>
    <row r="8056">
      <c r="A8056" s="3">
        <v>45743.0</v>
      </c>
      <c r="B8056" s="4">
        <v>0.35208333333333336</v>
      </c>
      <c r="C8056" s="5" t="s">
        <v>85</v>
      </c>
      <c r="D8056" s="5" t="s">
        <v>1278</v>
      </c>
      <c r="E8056" s="8" t="s">
        <v>1309</v>
      </c>
      <c r="F8056" s="5" t="s">
        <v>230</v>
      </c>
      <c r="G8056" s="6" t="str">
        <f>VLOOKUP(E8056,dicionario!$A$1:$C8455,2,0)</f>
        <v>#N/A</v>
      </c>
      <c r="H8056" s="6" t="str">
        <f>VLOOKUP(E8056,dicionario!$A$1:$C8455,3,0)</f>
        <v>#N/A</v>
      </c>
    </row>
    <row r="8057">
      <c r="A8057" s="3">
        <v>45743.0</v>
      </c>
      <c r="B8057" s="4">
        <v>0.35208333333333336</v>
      </c>
      <c r="C8057" s="5" t="s">
        <v>85</v>
      </c>
      <c r="D8057" s="5" t="s">
        <v>1278</v>
      </c>
      <c r="E8057" s="6" t="s">
        <v>148</v>
      </c>
      <c r="F8057" s="5" t="s">
        <v>149</v>
      </c>
      <c r="G8057" s="6" t="str">
        <f>VLOOKUP(E8057,dicionario!$A$1:$C8456,2,0)</f>
        <v>Parthenium hysterophorus</v>
      </c>
      <c r="H8057" s="6" t="str">
        <f>VLOOKUP(E8057,dicionario!$A$1:$C8456,3,0)</f>
        <v>losna-branca</v>
      </c>
    </row>
    <row r="8058">
      <c r="A8058" s="3">
        <v>45743.0</v>
      </c>
      <c r="B8058" s="4">
        <v>0.35208333333333336</v>
      </c>
      <c r="C8058" s="5" t="s">
        <v>85</v>
      </c>
      <c r="D8058" s="5" t="s">
        <v>1278</v>
      </c>
      <c r="E8058" s="8" t="s">
        <v>296</v>
      </c>
      <c r="F8058" s="5" t="s">
        <v>297</v>
      </c>
      <c r="G8058" s="6" t="str">
        <f>VLOOKUP(E8058,dicionario!$A$1:$C8457,2,0)</f>
        <v>Richardia brasiliensis</v>
      </c>
      <c r="H8058" s="6" t="str">
        <f>VLOOKUP(E8058,dicionario!$A$1:$C8457,3,0)</f>
        <v>poaia-branca</v>
      </c>
    </row>
    <row r="8059">
      <c r="A8059" s="3">
        <v>45743.0</v>
      </c>
      <c r="B8059" s="4">
        <v>0.3527777777777778</v>
      </c>
      <c r="C8059" s="5" t="s">
        <v>85</v>
      </c>
      <c r="D8059" s="5" t="s">
        <v>1278</v>
      </c>
      <c r="E8059" s="8" t="s">
        <v>298</v>
      </c>
      <c r="F8059" s="7"/>
      <c r="G8059" s="6" t="str">
        <f>VLOOKUP(E8059,dicionario!$A$1:$C8458,2,0)</f>
        <v>Alysicarpus vaginalis</v>
      </c>
      <c r="H8059" s="6" t="str">
        <f>VLOOKUP(E8059,dicionario!$A$1:$C8458,3,0)</f>
        <v/>
      </c>
    </row>
    <row r="8060">
      <c r="A8060" s="3">
        <v>45743.0</v>
      </c>
      <c r="B8060" s="4">
        <v>0.3527777777777778</v>
      </c>
      <c r="C8060" s="5" t="s">
        <v>85</v>
      </c>
      <c r="D8060" s="5" t="s">
        <v>1278</v>
      </c>
      <c r="E8060" s="8" t="s">
        <v>370</v>
      </c>
      <c r="F8060" s="5" t="s">
        <v>371</v>
      </c>
      <c r="G8060" s="6" t="str">
        <f>VLOOKUP(E8060,dicionario!$A$1:$C8459,2,0)</f>
        <v>Mimus saturninus</v>
      </c>
      <c r="H8060" s="6" t="str">
        <f>VLOOKUP(E8060,dicionario!$A$1:$C8459,3,0)</f>
        <v>sabiá-do-campo</v>
      </c>
    </row>
    <row r="8061">
      <c r="A8061" s="3">
        <v>45743.0</v>
      </c>
      <c r="B8061" s="4">
        <v>0.35347222222222224</v>
      </c>
      <c r="C8061" s="5" t="s">
        <v>85</v>
      </c>
      <c r="D8061" s="5" t="s">
        <v>1278</v>
      </c>
      <c r="E8061" s="8" t="s">
        <v>286</v>
      </c>
      <c r="F8061" s="5" t="s">
        <v>287</v>
      </c>
      <c r="G8061" s="6" t="str">
        <f>VLOOKUP(E8061,dicionario!$A$1:$C8460,2,0)</f>
        <v>Setaria parviflora</v>
      </c>
      <c r="H8061" s="6" t="str">
        <f>VLOOKUP(E8061,dicionario!$A$1:$C8460,3,0)</f>
        <v>capim-rabo-de-raposa</v>
      </c>
    </row>
    <row r="8062">
      <c r="A8062" s="3">
        <v>45743.0</v>
      </c>
      <c r="B8062" s="4">
        <v>0.35347222222222224</v>
      </c>
      <c r="C8062" s="5" t="s">
        <v>85</v>
      </c>
      <c r="D8062" s="5" t="s">
        <v>1278</v>
      </c>
      <c r="E8062" s="8" t="s">
        <v>1310</v>
      </c>
      <c r="F8062" s="5" t="s">
        <v>521</v>
      </c>
      <c r="G8062" s="6" t="str">
        <f>VLOOKUP(E8062,dicionario!$A$1:$C8461,2,0)</f>
        <v>#N/A</v>
      </c>
      <c r="H8062" s="6" t="str">
        <f>VLOOKUP(E8062,dicionario!$A$1:$C8461,3,0)</f>
        <v>#N/A</v>
      </c>
    </row>
    <row r="8063">
      <c r="A8063" s="3">
        <v>45743.0</v>
      </c>
      <c r="B8063" s="4">
        <v>0.35347222222222224</v>
      </c>
      <c r="C8063" s="5" t="s">
        <v>85</v>
      </c>
      <c r="D8063" s="5" t="s">
        <v>1278</v>
      </c>
      <c r="E8063" s="8" t="s">
        <v>425</v>
      </c>
      <c r="F8063" s="5" t="s">
        <v>426</v>
      </c>
      <c r="G8063" s="6" t="str">
        <f>VLOOKUP(E8063,dicionario!$A$1:$C8462,2,0)</f>
        <v>Digitaria insularis</v>
      </c>
      <c r="H8063" s="6" t="str">
        <f>VLOOKUP(E8063,dicionario!$A$1:$C8462,3,0)</f>
        <v>capim-amargoso</v>
      </c>
    </row>
    <row r="8064">
      <c r="A8064" s="3">
        <v>45743.0</v>
      </c>
      <c r="B8064" s="4">
        <v>0.3541666666666667</v>
      </c>
      <c r="C8064" s="5" t="s">
        <v>85</v>
      </c>
      <c r="D8064" s="5" t="s">
        <v>1278</v>
      </c>
      <c r="E8064" s="8" t="s">
        <v>239</v>
      </c>
      <c r="F8064" s="5" t="s">
        <v>240</v>
      </c>
      <c r="G8064" s="6" t="str">
        <f>VLOOKUP(E8064,dicionario!$A$1:$C8463,2,0)</f>
        <v>Gomphrena celosioides</v>
      </c>
      <c r="H8064" s="6" t="str">
        <f>VLOOKUP(E8064,dicionario!$A$1:$C8463,3,0)</f>
        <v>perpétua-branca</v>
      </c>
    </row>
    <row r="8065">
      <c r="A8065" s="3">
        <v>45743.0</v>
      </c>
      <c r="B8065" s="4">
        <v>0.3541666666666667</v>
      </c>
      <c r="C8065" s="5" t="s">
        <v>85</v>
      </c>
      <c r="D8065" s="5" t="s">
        <v>1278</v>
      </c>
      <c r="E8065" s="6" t="s">
        <v>48</v>
      </c>
      <c r="F8065" s="5" t="s">
        <v>49</v>
      </c>
      <c r="G8065" s="6" t="str">
        <f>VLOOKUP(E8065,dicionario!$A$1:$C8464,2,0)</f>
        <v>Commelina erecta</v>
      </c>
      <c r="H8065" s="6" t="str">
        <f>VLOOKUP(E8065,dicionario!$A$1:$C8464,3,0)</f>
        <v>trapoeraba</v>
      </c>
    </row>
    <row r="8066">
      <c r="A8066" s="3">
        <v>45743.0</v>
      </c>
      <c r="B8066" s="4">
        <v>0.3541666666666667</v>
      </c>
      <c r="C8066" s="5" t="s">
        <v>85</v>
      </c>
      <c r="D8066" s="5" t="s">
        <v>1278</v>
      </c>
      <c r="E8066" s="8" t="s">
        <v>355</v>
      </c>
      <c r="F8066" s="5" t="s">
        <v>356</v>
      </c>
      <c r="G8066" s="6" t="str">
        <f>VLOOKUP(E8066,dicionario!$A$1:$C8465,2,0)</f>
        <v>Boerhavia diffusa</v>
      </c>
      <c r="H8066" s="6" t="str">
        <f>VLOOKUP(E8066,dicionario!$A$1:$C8465,3,0)</f>
        <v>erva-tostão</v>
      </c>
    </row>
    <row r="8067">
      <c r="A8067" s="3">
        <v>45743.0</v>
      </c>
      <c r="B8067" s="4">
        <v>0.3541666666666667</v>
      </c>
      <c r="C8067" s="5" t="s">
        <v>85</v>
      </c>
      <c r="D8067" s="5" t="s">
        <v>1278</v>
      </c>
      <c r="E8067" s="6" t="s">
        <v>53</v>
      </c>
      <c r="F8067" s="5" t="s">
        <v>54</v>
      </c>
      <c r="G8067" s="6" t="str">
        <f>VLOOKUP(E8067,dicionario!$A$1:$C8466,2,0)</f>
        <v>Turnera subulata</v>
      </c>
      <c r="H8067" s="6" t="str">
        <f>VLOOKUP(E8067,dicionario!$A$1:$C8466,3,0)</f>
        <v>xanana</v>
      </c>
    </row>
    <row r="8068">
      <c r="A8068" s="3">
        <v>45743.0</v>
      </c>
      <c r="B8068" s="4">
        <v>0.3548611111111111</v>
      </c>
      <c r="C8068" s="5" t="s">
        <v>85</v>
      </c>
      <c r="D8068" s="5" t="s">
        <v>1278</v>
      </c>
      <c r="E8068" s="6" t="s">
        <v>237</v>
      </c>
      <c r="F8068" s="7" t="s">
        <v>238</v>
      </c>
      <c r="G8068" s="6" t="str">
        <f>VLOOKUP(E8068,dicionario!$A$1:$C8467,2,0)</f>
        <v>Acromyrmex</v>
      </c>
      <c r="H8068" s="6" t="str">
        <f>VLOOKUP(E8068,dicionario!$A$1:$C8467,3,0)</f>
        <v>quenquén</v>
      </c>
    </row>
    <row r="8069">
      <c r="A8069" s="3">
        <v>45743.0</v>
      </c>
      <c r="B8069" s="4">
        <v>0.3548611111111111</v>
      </c>
      <c r="C8069" s="5" t="s">
        <v>85</v>
      </c>
      <c r="D8069" s="5" t="s">
        <v>1278</v>
      </c>
      <c r="E8069" s="20" t="s">
        <v>676</v>
      </c>
      <c r="F8069" s="5" t="s">
        <v>677</v>
      </c>
      <c r="G8069" s="6" t="str">
        <f>VLOOKUP(E8069,dicionario!$A$1:$C8468,2,0)</f>
        <v>Zornia latifolia</v>
      </c>
      <c r="H8069" s="6" t="str">
        <f>VLOOKUP(E8069,dicionario!$A$1:$C8468,3,0)</f>
        <v>arrozinho-do-campo</v>
      </c>
    </row>
    <row r="8070">
      <c r="A8070" s="3">
        <v>45743.0</v>
      </c>
      <c r="B8070" s="4">
        <v>0.3548611111111111</v>
      </c>
      <c r="C8070" s="5" t="s">
        <v>85</v>
      </c>
      <c r="D8070" s="5" t="s">
        <v>1278</v>
      </c>
      <c r="E8070" s="8" t="s">
        <v>41</v>
      </c>
      <c r="F8070" s="5" t="s">
        <v>45</v>
      </c>
      <c r="G8070" s="6" t="str">
        <f>VLOOKUP(E8070,dicionario!$A$1:$C8469,2,0)</f>
        <v>Mimosa pudica</v>
      </c>
      <c r="H8070" s="6" t="str">
        <f>VLOOKUP(E8070,dicionario!$A$1:$C8469,3,0)</f>
        <v>dormideira</v>
      </c>
    </row>
    <row r="8071">
      <c r="A8071" s="3">
        <v>45743.0</v>
      </c>
      <c r="B8071" s="4">
        <v>0.3548611111111111</v>
      </c>
      <c r="C8071" s="5" t="s">
        <v>85</v>
      </c>
      <c r="D8071" s="5" t="s">
        <v>1278</v>
      </c>
      <c r="E8071" s="8" t="s">
        <v>271</v>
      </c>
      <c r="F8071" s="5" t="s">
        <v>1169</v>
      </c>
      <c r="G8071" s="6" t="str">
        <f>VLOOKUP(E8071,dicionario!$A$1:$C8470,2,0)</f>
        <v>Cyanthillium cinereum</v>
      </c>
      <c r="H8071" s="6" t="str">
        <f>VLOOKUP(E8071,dicionario!$A$1:$C8470,3,0)</f>
        <v>emília</v>
      </c>
    </row>
    <row r="8072">
      <c r="A8072" s="3">
        <v>45743.0</v>
      </c>
      <c r="B8072" s="4">
        <v>0.35555555555555557</v>
      </c>
      <c r="C8072" s="5" t="s">
        <v>85</v>
      </c>
      <c r="D8072" s="5" t="s">
        <v>1278</v>
      </c>
      <c r="E8072" s="8" t="s">
        <v>928</v>
      </c>
      <c r="F8072" s="5" t="s">
        <v>418</v>
      </c>
      <c r="G8072" s="6" t="str">
        <f>VLOOKUP(E8072,dicionario!$A$1:$C8471,2,0)</f>
        <v>Camponotus</v>
      </c>
      <c r="H8072" s="6" t="str">
        <f>VLOOKUP(E8072,dicionario!$A$1:$C8471,3,0)</f>
        <v>formiga-preta</v>
      </c>
    </row>
    <row r="8073">
      <c r="A8073" s="3">
        <v>45743.0</v>
      </c>
      <c r="B8073" s="4">
        <v>0.35555555555555557</v>
      </c>
      <c r="C8073" s="5" t="s">
        <v>85</v>
      </c>
      <c r="D8073" s="5" t="s">
        <v>1278</v>
      </c>
      <c r="E8073" s="8" t="s">
        <v>338</v>
      </c>
      <c r="F8073" s="5" t="s">
        <v>238</v>
      </c>
      <c r="G8073" s="6" t="str">
        <f>VLOOKUP(E8073,dicionario!$A$1:$C8472,2,0)</f>
        <v>Atta</v>
      </c>
      <c r="H8073" s="6" t="str">
        <f>VLOOKUP(E8073,dicionario!$A$1:$C8472,3,0)</f>
        <v>saúva</v>
      </c>
    </row>
    <row r="8074">
      <c r="A8074" s="3">
        <v>45743.0</v>
      </c>
      <c r="B8074" s="4">
        <v>0.35625</v>
      </c>
      <c r="C8074" s="5" t="s">
        <v>85</v>
      </c>
      <c r="D8074" s="5" t="s">
        <v>1278</v>
      </c>
      <c r="E8074" s="6" t="s">
        <v>399</v>
      </c>
      <c r="F8074" s="5" t="s">
        <v>400</v>
      </c>
      <c r="G8074" s="6" t="str">
        <f>VLOOKUP(E8074,dicionario!$A$1:$C8473,2,0)</f>
        <v>Varronia curassavica</v>
      </c>
      <c r="H8074" s="6" t="str">
        <f>VLOOKUP(E8074,dicionario!$A$1:$C8473,3,0)</f>
        <v>erva-baleeira</v>
      </c>
    </row>
    <row r="8075">
      <c r="A8075" s="3">
        <v>45743.0</v>
      </c>
      <c r="B8075" s="4">
        <v>0.35694444444444445</v>
      </c>
      <c r="C8075" s="5" t="s">
        <v>85</v>
      </c>
      <c r="D8075" s="5" t="s">
        <v>1278</v>
      </c>
      <c r="E8075" s="8" t="s">
        <v>113</v>
      </c>
      <c r="F8075" s="5" t="s">
        <v>114</v>
      </c>
      <c r="G8075" s="6" t="str">
        <f>VLOOKUP(E8075,dicionario!$A$1:$C8474,2,0)</f>
        <v>Columbina talpacoti</v>
      </c>
      <c r="H8075" s="6" t="str">
        <f>VLOOKUP(E8075,dicionario!$A$1:$C8474,3,0)</f>
        <v>rolinha-roxa</v>
      </c>
    </row>
    <row r="8076">
      <c r="A8076" s="3">
        <v>45743.0</v>
      </c>
      <c r="B8076" s="4">
        <v>0.3576388888888889</v>
      </c>
      <c r="C8076" s="5" t="s">
        <v>85</v>
      </c>
      <c r="D8076" s="5" t="s">
        <v>1278</v>
      </c>
      <c r="E8076" s="8" t="s">
        <v>200</v>
      </c>
      <c r="F8076" s="5" t="s">
        <v>201</v>
      </c>
      <c r="G8076" s="6" t="str">
        <f>VLOOKUP(E8076,dicionario!$A$1:$C8475,2,0)</f>
        <v>Columbina picui </v>
      </c>
      <c r="H8076" s="6" t="str">
        <f>VLOOKUP(E8076,dicionario!$A$1:$C8475,3,0)</f>
        <v>rolinha-picuí</v>
      </c>
    </row>
    <row r="8077">
      <c r="A8077" s="3">
        <v>45743.0</v>
      </c>
      <c r="B8077" s="4">
        <v>0.35833333333333334</v>
      </c>
      <c r="C8077" s="5" t="s">
        <v>85</v>
      </c>
      <c r="D8077" s="5" t="s">
        <v>1278</v>
      </c>
      <c r="E8077" s="8" t="s">
        <v>72</v>
      </c>
      <c r="F8077" s="5" t="s">
        <v>73</v>
      </c>
      <c r="G8077" s="6" t="str">
        <f>VLOOKUP(E8077,dicionario!$A$1:$C8476,2,0)</f>
        <v>Thraupis palmarum</v>
      </c>
      <c r="H8077" s="6" t="str">
        <f>VLOOKUP(E8077,dicionario!$A$1:$C8476,3,0)</f>
        <v>sanhaço-do-coqueiro</v>
      </c>
    </row>
    <row r="8078">
      <c r="A8078" s="3">
        <v>45743.0</v>
      </c>
      <c r="B8078" s="4">
        <v>0.3611111111111111</v>
      </c>
      <c r="C8078" s="5" t="s">
        <v>90</v>
      </c>
      <c r="D8078" s="5" t="s">
        <v>1278</v>
      </c>
      <c r="E8078" s="8" t="s">
        <v>1311</v>
      </c>
      <c r="F8078" s="5" t="s">
        <v>114</v>
      </c>
      <c r="G8078" s="6" t="str">
        <f>VLOOKUP(E8078,dicionario!$A$1:$C8477,2,0)</f>
        <v>#N/A</v>
      </c>
      <c r="H8078" s="6" t="str">
        <f>VLOOKUP(E8078,dicionario!$A$1:$C8477,3,0)</f>
        <v>#N/A</v>
      </c>
    </row>
    <row r="8079">
      <c r="A8079" s="3">
        <v>45743.0</v>
      </c>
      <c r="B8079" s="4">
        <v>0.3611111111111111</v>
      </c>
      <c r="C8079" s="5" t="s">
        <v>90</v>
      </c>
      <c r="D8079" s="5" t="s">
        <v>1278</v>
      </c>
      <c r="E8079" s="8" t="s">
        <v>83</v>
      </c>
      <c r="F8079" s="5" t="s">
        <v>84</v>
      </c>
      <c r="G8079" s="6" t="str">
        <f>VLOOKUP(E8079,dicionario!$A$1:$C8478,2,0)</f>
        <v>Anartia jatrophae</v>
      </c>
      <c r="H8079" s="6" t="str">
        <f>VLOOKUP(E8079,dicionario!$A$1:$C8478,3,0)</f>
        <v>borboleta-pavão-branco</v>
      </c>
    </row>
    <row r="8080">
      <c r="A8080" s="3">
        <v>45743.0</v>
      </c>
      <c r="B8080" s="4">
        <v>0.36180555555555555</v>
      </c>
      <c r="C8080" s="5" t="s">
        <v>90</v>
      </c>
      <c r="D8080" s="5" t="s">
        <v>1278</v>
      </c>
      <c r="E8080" s="8" t="s">
        <v>1312</v>
      </c>
      <c r="F8080" s="5" t="s">
        <v>66</v>
      </c>
      <c r="G8080" s="6" t="str">
        <f>VLOOKUP(E8080,dicionario!$A$1:$C8479,2,0)</f>
        <v>#N/A</v>
      </c>
      <c r="H8080" s="6" t="str">
        <f>VLOOKUP(E8080,dicionario!$A$1:$C8479,3,0)</f>
        <v>#N/A</v>
      </c>
    </row>
    <row r="8081">
      <c r="A8081" s="3">
        <v>45743.0</v>
      </c>
      <c r="B8081" s="4">
        <v>0.36180555555555555</v>
      </c>
      <c r="C8081" s="5" t="s">
        <v>90</v>
      </c>
      <c r="D8081" s="5" t="s">
        <v>1278</v>
      </c>
      <c r="E8081" s="6" t="s">
        <v>53</v>
      </c>
      <c r="F8081" s="5" t="s">
        <v>54</v>
      </c>
      <c r="G8081" s="6" t="str">
        <f>VLOOKUP(E8081,dicionario!$A$1:$C8480,2,0)</f>
        <v>Turnera subulata</v>
      </c>
      <c r="H8081" s="6" t="str">
        <f>VLOOKUP(E8081,dicionario!$A$1:$C8480,3,0)</f>
        <v>xanana</v>
      </c>
    </row>
    <row r="8082">
      <c r="A8082" s="3">
        <v>45743.0</v>
      </c>
      <c r="B8082" s="4">
        <v>0.36180555555555555</v>
      </c>
      <c r="C8082" s="5" t="s">
        <v>90</v>
      </c>
      <c r="D8082" s="5" t="s">
        <v>1278</v>
      </c>
      <c r="E8082" s="8" t="s">
        <v>239</v>
      </c>
      <c r="F8082" s="5" t="s">
        <v>240</v>
      </c>
      <c r="G8082" s="6" t="str">
        <f>VLOOKUP(E8082,dicionario!$A$1:$C8481,2,0)</f>
        <v>Gomphrena celosioides</v>
      </c>
      <c r="H8082" s="6" t="str">
        <f>VLOOKUP(E8082,dicionario!$A$1:$C8481,3,0)</f>
        <v>perpétua-branca</v>
      </c>
    </row>
    <row r="8083">
      <c r="A8083" s="3">
        <v>45743.0</v>
      </c>
      <c r="B8083" s="4">
        <v>0.3625</v>
      </c>
      <c r="C8083" s="5" t="s">
        <v>90</v>
      </c>
      <c r="D8083" s="5" t="s">
        <v>1278</v>
      </c>
      <c r="E8083" s="8" t="s">
        <v>135</v>
      </c>
      <c r="F8083" s="5" t="s">
        <v>136</v>
      </c>
      <c r="G8083" s="6" t="str">
        <f>VLOOKUP(E8083,dicionario!$A$1:$C8482,2,0)</f>
        <v>Tridax procumbens</v>
      </c>
      <c r="H8083" s="6" t="str">
        <f>VLOOKUP(E8083,dicionario!$A$1:$C8482,3,0)</f>
        <v>erva-de-touro</v>
      </c>
    </row>
    <row r="8084">
      <c r="A8084" s="3">
        <v>45743.0</v>
      </c>
      <c r="B8084" s="4">
        <v>0.3625</v>
      </c>
      <c r="C8084" s="5" t="s">
        <v>90</v>
      </c>
      <c r="D8084" s="5" t="s">
        <v>1278</v>
      </c>
      <c r="E8084" s="8" t="s">
        <v>1313</v>
      </c>
      <c r="F8084" s="5" t="s">
        <v>133</v>
      </c>
      <c r="G8084" s="6" t="str">
        <f>VLOOKUP(E8084,dicionario!$A$1:$C8483,2,0)</f>
        <v>#N/A</v>
      </c>
      <c r="H8084" s="6" t="str">
        <f>VLOOKUP(E8084,dicionario!$A$1:$C8483,3,0)</f>
        <v>#N/A</v>
      </c>
    </row>
    <row r="8085">
      <c r="A8085" s="3">
        <v>45743.0</v>
      </c>
      <c r="B8085" s="4">
        <v>0.3625</v>
      </c>
      <c r="C8085" s="5" t="s">
        <v>90</v>
      </c>
      <c r="D8085" s="5" t="s">
        <v>1278</v>
      </c>
      <c r="E8085" s="8" t="s">
        <v>43</v>
      </c>
      <c r="F8085" s="5" t="s">
        <v>1314</v>
      </c>
      <c r="G8085" s="6" t="str">
        <f>VLOOKUP(E8085,dicionario!$A$1:$C8484,2,0)</f>
        <v>Columba livia</v>
      </c>
      <c r="H8085" s="6" t="str">
        <f>VLOOKUP(E8085,dicionario!$A$1:$C8484,3,0)</f>
        <v>pombo-doméstico</v>
      </c>
    </row>
    <row r="8086">
      <c r="A8086" s="3">
        <v>45743.0</v>
      </c>
      <c r="B8086" s="4">
        <v>0.3625</v>
      </c>
      <c r="C8086" s="5" t="s">
        <v>90</v>
      </c>
      <c r="D8086" s="5" t="s">
        <v>1278</v>
      </c>
      <c r="E8086" s="8" t="s">
        <v>144</v>
      </c>
      <c r="F8086" s="5" t="s">
        <v>145</v>
      </c>
      <c r="G8086" s="6" t="str">
        <f>VLOOKUP(E8086,dicionario!$A$1:$C8485,2,0)</f>
        <v>Gomphrena globosa</v>
      </c>
      <c r="H8086" s="6" t="str">
        <f>VLOOKUP(E8086,dicionario!$A$1:$C8485,3,0)</f>
        <v>perpétua-rosa</v>
      </c>
    </row>
    <row r="8087">
      <c r="A8087" s="3">
        <v>45743.0</v>
      </c>
      <c r="B8087" s="4">
        <v>0.36319444444444443</v>
      </c>
      <c r="C8087" s="5" t="s">
        <v>90</v>
      </c>
      <c r="D8087" s="5" t="s">
        <v>1278</v>
      </c>
      <c r="E8087" s="8" t="s">
        <v>298</v>
      </c>
      <c r="F8087" s="7"/>
      <c r="G8087" s="6" t="str">
        <f>VLOOKUP(E8087,dicionario!$A$1:$C8486,2,0)</f>
        <v>Alysicarpus vaginalis</v>
      </c>
      <c r="H8087" s="6" t="str">
        <f>VLOOKUP(E8087,dicionario!$A$1:$C8486,3,0)</f>
        <v/>
      </c>
    </row>
    <row r="8088">
      <c r="A8088" s="3">
        <v>45743.0</v>
      </c>
      <c r="B8088" s="4">
        <v>0.36319444444444443</v>
      </c>
      <c r="C8088" s="5" t="s">
        <v>90</v>
      </c>
      <c r="D8088" s="5" t="s">
        <v>1278</v>
      </c>
      <c r="E8088" s="8" t="s">
        <v>41</v>
      </c>
      <c r="F8088" s="5" t="s">
        <v>45</v>
      </c>
      <c r="G8088" s="6" t="str">
        <f>VLOOKUP(E8088,dicionario!$A$1:$C8487,2,0)</f>
        <v>Mimosa pudica</v>
      </c>
      <c r="H8088" s="6" t="str">
        <f>VLOOKUP(E8088,dicionario!$A$1:$C8487,3,0)</f>
        <v>dormideira</v>
      </c>
    </row>
    <row r="8089">
      <c r="A8089" s="3">
        <v>45743.0</v>
      </c>
      <c r="B8089" s="4">
        <v>0.36319444444444443</v>
      </c>
      <c r="C8089" s="5" t="s">
        <v>90</v>
      </c>
      <c r="D8089" s="5" t="s">
        <v>1278</v>
      </c>
      <c r="E8089" s="8" t="s">
        <v>227</v>
      </c>
      <c r="F8089" s="5" t="s">
        <v>228</v>
      </c>
      <c r="G8089" s="6" t="str">
        <f>VLOOKUP(E8089,dicionario!$A$1:$C8488,2,0)</f>
        <v>Indigofera hirsuta</v>
      </c>
      <c r="H8089" s="6" t="str">
        <f>VLOOKUP(E8089,dicionario!$A$1:$C8488,3,0)</f>
        <v>anileira</v>
      </c>
    </row>
    <row r="8090">
      <c r="A8090" s="3">
        <v>45743.0</v>
      </c>
      <c r="B8090" s="4">
        <v>0.36319444444444443</v>
      </c>
      <c r="C8090" s="5" t="s">
        <v>90</v>
      </c>
      <c r="D8090" s="5" t="s">
        <v>1278</v>
      </c>
      <c r="E8090" s="8" t="s">
        <v>1315</v>
      </c>
      <c r="F8090" s="5" t="s">
        <v>75</v>
      </c>
      <c r="G8090" s="6" t="str">
        <f>VLOOKUP(E8090,dicionario!$A$1:$C8489,2,0)</f>
        <v>#N/A</v>
      </c>
      <c r="H8090" s="6" t="str">
        <f>VLOOKUP(E8090,dicionario!$A$1:$C8489,3,0)</f>
        <v>#N/A</v>
      </c>
    </row>
    <row r="8091">
      <c r="A8091" s="3">
        <v>45743.0</v>
      </c>
      <c r="B8091" s="4">
        <v>0.36319444444444443</v>
      </c>
      <c r="C8091" s="5" t="s">
        <v>90</v>
      </c>
      <c r="D8091" s="5" t="s">
        <v>1278</v>
      </c>
      <c r="E8091" s="8" t="s">
        <v>296</v>
      </c>
      <c r="F8091" s="5" t="s">
        <v>297</v>
      </c>
      <c r="G8091" s="6" t="str">
        <f>VLOOKUP(E8091,dicionario!$A$1:$C8490,2,0)</f>
        <v>Richardia brasiliensis</v>
      </c>
      <c r="H8091" s="6" t="str">
        <f>VLOOKUP(E8091,dicionario!$A$1:$C8490,3,0)</f>
        <v>poaia-branca</v>
      </c>
    </row>
    <row r="8092">
      <c r="A8092" s="3">
        <v>45743.0</v>
      </c>
      <c r="B8092" s="4">
        <v>0.3638888888888889</v>
      </c>
      <c r="C8092" s="5" t="s">
        <v>90</v>
      </c>
      <c r="D8092" s="5" t="s">
        <v>1278</v>
      </c>
      <c r="E8092" s="8" t="s">
        <v>154</v>
      </c>
      <c r="F8092" s="5" t="s">
        <v>155</v>
      </c>
      <c r="G8092" s="6" t="str">
        <f>VLOOKUP(E8092,dicionario!$A$1:$C8491,2,0)</f>
        <v>Cyperus rotundus</v>
      </c>
      <c r="H8092" s="6" t="str">
        <f>VLOOKUP(E8092,dicionario!$A$1:$C8491,3,0)</f>
        <v>tiririca</v>
      </c>
    </row>
    <row r="8093">
      <c r="A8093" s="3">
        <v>45743.0</v>
      </c>
      <c r="B8093" s="4">
        <v>0.3645833333333333</v>
      </c>
      <c r="C8093" s="5" t="s">
        <v>90</v>
      </c>
      <c r="D8093" s="5" t="s">
        <v>1278</v>
      </c>
      <c r="E8093" s="8" t="s">
        <v>1316</v>
      </c>
      <c r="F8093" s="5" t="s">
        <v>15</v>
      </c>
      <c r="G8093" s="6" t="str">
        <f>VLOOKUP(E8093,dicionario!$A$1:$C8492,2,0)</f>
        <v>#N/A</v>
      </c>
      <c r="H8093" s="6" t="str">
        <f>VLOOKUP(E8093,dicionario!$A$1:$C8492,3,0)</f>
        <v>#N/A</v>
      </c>
    </row>
    <row r="8094">
      <c r="A8094" s="3">
        <v>45743.0</v>
      </c>
      <c r="B8094" s="4">
        <v>0.3645833333333333</v>
      </c>
      <c r="C8094" s="5" t="s">
        <v>90</v>
      </c>
      <c r="D8094" s="5" t="s">
        <v>1278</v>
      </c>
      <c r="E8094" s="8" t="s">
        <v>109</v>
      </c>
      <c r="F8094" s="5" t="s">
        <v>110</v>
      </c>
      <c r="G8094" s="6" t="str">
        <f>VLOOKUP(E8094,dicionario!$A$1:$C8493,2,0)</f>
        <v>Tillandsia stricta</v>
      </c>
      <c r="H8094" s="6" t="str">
        <f>VLOOKUP(E8094,dicionario!$A$1:$C8493,3,0)</f>
        <v>cravo-do-mato</v>
      </c>
    </row>
    <row r="8095">
      <c r="A8095" s="3">
        <v>45743.0</v>
      </c>
      <c r="B8095" s="4">
        <v>0.3659722222222222</v>
      </c>
      <c r="C8095" s="5" t="s">
        <v>90</v>
      </c>
      <c r="D8095" s="5" t="s">
        <v>1278</v>
      </c>
      <c r="E8095" s="8" t="s">
        <v>631</v>
      </c>
      <c r="F8095" s="5" t="s">
        <v>632</v>
      </c>
      <c r="G8095" s="6" t="str">
        <f>VLOOKUP(E8095,dicionario!$A$1:$C8494,2,0)</f>
        <v>Chamaecrista nictitans</v>
      </c>
      <c r="H8095" s="6" t="str">
        <f>VLOOKUP(E8095,dicionario!$A$1:$C8494,3,0)</f>
        <v>falsa-dormideira</v>
      </c>
    </row>
    <row r="8096">
      <c r="A8096" s="3">
        <v>45743.0</v>
      </c>
      <c r="B8096" s="4">
        <v>0.3659722222222222</v>
      </c>
      <c r="C8096" s="5" t="s">
        <v>90</v>
      </c>
      <c r="D8096" s="5" t="s">
        <v>1278</v>
      </c>
      <c r="E8096" s="8" t="s">
        <v>712</v>
      </c>
      <c r="F8096" s="5" t="s">
        <v>718</v>
      </c>
      <c r="G8096" s="6" t="str">
        <f>VLOOKUP(E8096,dicionario!$A$1:$C8495,2,0)</f>
        <v>Flavopunctelia soredica</v>
      </c>
      <c r="H8096" s="6" t="str">
        <f>VLOOKUP(E8096,dicionario!$A$1:$C8495,3,0)</f>
        <v>líquen-folioso</v>
      </c>
    </row>
    <row r="8097">
      <c r="A8097" s="3">
        <v>45743.0</v>
      </c>
      <c r="B8097" s="4">
        <v>0.3659722222222222</v>
      </c>
      <c r="C8097" s="5" t="s">
        <v>90</v>
      </c>
      <c r="D8097" s="5" t="s">
        <v>1278</v>
      </c>
      <c r="E8097" s="8" t="s">
        <v>719</v>
      </c>
      <c r="F8097" s="5" t="s">
        <v>720</v>
      </c>
      <c r="G8097" s="6" t="str">
        <f>VLOOKUP(E8097,dicionario!$A$1:$C8496,2,0)</f>
        <v>Dirinaria</v>
      </c>
      <c r="H8097" s="6" t="str">
        <f>VLOOKUP(E8097,dicionario!$A$1:$C8496,3,0)</f>
        <v>líquen-crostoso</v>
      </c>
    </row>
    <row r="8098">
      <c r="A8098" s="3">
        <v>45743.0</v>
      </c>
      <c r="B8098" s="4">
        <v>0.3659722222222222</v>
      </c>
      <c r="C8098" s="5" t="s">
        <v>90</v>
      </c>
      <c r="D8098" s="5" t="s">
        <v>1278</v>
      </c>
      <c r="E8098" s="8" t="s">
        <v>1024</v>
      </c>
      <c r="F8098" s="5" t="s">
        <v>969</v>
      </c>
      <c r="G8098" s="6" t="str">
        <f>VLOOKUP(E8098,dicionario!$A$1:$C8497,2,0)</f>
        <v>Usnea barbata</v>
      </c>
      <c r="H8098" s="6" t="str">
        <f>VLOOKUP(E8098,dicionario!$A$1:$C8497,3,0)</f>
        <v>barba-de-velho</v>
      </c>
    </row>
    <row r="8099">
      <c r="A8099" s="3">
        <v>45743.0</v>
      </c>
      <c r="B8099" s="4">
        <v>0.3659722222222222</v>
      </c>
      <c r="C8099" s="5" t="s">
        <v>90</v>
      </c>
      <c r="D8099" s="5" t="s">
        <v>1278</v>
      </c>
      <c r="E8099" s="8" t="s">
        <v>107</v>
      </c>
      <c r="F8099" s="5" t="s">
        <v>108</v>
      </c>
      <c r="G8099" s="6" t="str">
        <f>VLOOKUP(E8099,dicionario!$A$1:$C8498,2,0)</f>
        <v>Ramalina complanata</v>
      </c>
      <c r="H8099" s="6" t="str">
        <f>VLOOKUP(E8099,dicionario!$A$1:$C8498,3,0)</f>
        <v>ramalina</v>
      </c>
    </row>
    <row r="8100">
      <c r="A8100" s="3">
        <v>45743.0</v>
      </c>
      <c r="B8100" s="4">
        <v>0.3659722222222222</v>
      </c>
      <c r="C8100" s="5" t="s">
        <v>90</v>
      </c>
      <c r="D8100" s="5" t="s">
        <v>1278</v>
      </c>
      <c r="E8100" s="8" t="s">
        <v>353</v>
      </c>
      <c r="F8100" s="5" t="s">
        <v>354</v>
      </c>
      <c r="G8100" s="6" t="str">
        <f>VLOOKUP(E8100,dicionario!$A$1:$C8499,2,0)</f>
        <v>Desmodium incanum</v>
      </c>
      <c r="H8100" s="6" t="str">
        <f>VLOOKUP(E8100,dicionario!$A$1:$C8499,3,0)</f>
        <v>pega-pega</v>
      </c>
    </row>
    <row r="8101">
      <c r="A8101" s="3">
        <v>45743.0</v>
      </c>
      <c r="B8101" s="4">
        <v>0.36666666666666664</v>
      </c>
      <c r="C8101" s="5" t="s">
        <v>90</v>
      </c>
      <c r="D8101" s="5" t="s">
        <v>1278</v>
      </c>
      <c r="E8101" s="12" t="s">
        <v>111</v>
      </c>
      <c r="F8101" s="5" t="s">
        <v>112</v>
      </c>
      <c r="G8101" s="6" t="str">
        <f>VLOOKUP(E8101,dicionario!$A$1:$C8500,2,0)</f>
        <v>Trigona spinipes</v>
      </c>
      <c r="H8101" s="6" t="str">
        <f>VLOOKUP(E8101,dicionario!$A$1:$C8500,3,0)</f>
        <v>abelha-cachorro</v>
      </c>
    </row>
    <row r="8102">
      <c r="A8102" s="3">
        <v>45743.0</v>
      </c>
      <c r="B8102" s="4">
        <v>0.3680555555555556</v>
      </c>
      <c r="C8102" s="5" t="s">
        <v>90</v>
      </c>
      <c r="D8102" s="5" t="s">
        <v>1278</v>
      </c>
      <c r="E8102" s="8" t="s">
        <v>358</v>
      </c>
      <c r="F8102" s="5" t="s">
        <v>832</v>
      </c>
      <c r="G8102" s="6" t="str">
        <f>VLOOKUP(E8102,dicionario!$A$1:$C8501,2,0)</f>
        <v>Sida</v>
      </c>
      <c r="H8102" s="6" t="str">
        <f>VLOOKUP(E8102,dicionario!$A$1:$C8501,3,0)</f>
        <v/>
      </c>
    </row>
    <row r="8103">
      <c r="A8103" s="3">
        <v>45750.0</v>
      </c>
      <c r="B8103" s="4">
        <v>0.2611111111111111</v>
      </c>
      <c r="C8103" s="5" t="s">
        <v>90</v>
      </c>
      <c r="D8103" s="5" t="s">
        <v>1317</v>
      </c>
      <c r="E8103" s="8" t="s">
        <v>353</v>
      </c>
      <c r="F8103" s="5" t="s">
        <v>354</v>
      </c>
      <c r="G8103" s="6" t="str">
        <f>VLOOKUP(E8103,dicionario!$A$1:$C8502,2,0)</f>
        <v>Desmodium incanum</v>
      </c>
      <c r="H8103" s="6" t="str">
        <f>VLOOKUP(E8103,dicionario!$A$1:$C8502,3,0)</f>
        <v>pega-pega</v>
      </c>
    </row>
    <row r="8104">
      <c r="A8104" s="3">
        <v>45750.0</v>
      </c>
      <c r="B8104" s="4">
        <v>0.26180555555555557</v>
      </c>
      <c r="C8104" s="5" t="s">
        <v>90</v>
      </c>
      <c r="D8104" s="5" t="s">
        <v>1317</v>
      </c>
      <c r="E8104" s="8" t="s">
        <v>453</v>
      </c>
      <c r="F8104" s="5" t="s">
        <v>216</v>
      </c>
      <c r="G8104" s="6" t="str">
        <f>VLOOKUP(E8104,dicionario!$A$1:$C8503,2,0)</f>
        <v>Notiochelidon cyanoleuca</v>
      </c>
      <c r="H8104" s="6" t="str">
        <f>VLOOKUP(E8104,dicionario!$A$1:$C8503,3,0)</f>
        <v>andorinha-pequena-de-casa</v>
      </c>
    </row>
    <row r="8105">
      <c r="A8105" s="3">
        <v>45750.0</v>
      </c>
      <c r="B8105" s="4">
        <v>0.26180555555555557</v>
      </c>
      <c r="C8105" s="5" t="s">
        <v>90</v>
      </c>
      <c r="D8105" s="5" t="s">
        <v>1317</v>
      </c>
      <c r="E8105" s="8" t="s">
        <v>109</v>
      </c>
      <c r="F8105" s="5" t="s">
        <v>110</v>
      </c>
      <c r="G8105" s="6" t="str">
        <f>VLOOKUP(E8105,dicionario!$A$1:$C8504,2,0)</f>
        <v>Tillandsia stricta</v>
      </c>
      <c r="H8105" s="6" t="str">
        <f>VLOOKUP(E8105,dicionario!$A$1:$C8504,3,0)</f>
        <v>cravo-do-mato</v>
      </c>
    </row>
    <row r="8106">
      <c r="A8106" s="3">
        <v>45750.0</v>
      </c>
      <c r="B8106" s="4">
        <v>0.26180555555555557</v>
      </c>
      <c r="C8106" s="5" t="s">
        <v>90</v>
      </c>
      <c r="D8106" s="5" t="s">
        <v>1317</v>
      </c>
      <c r="E8106" s="6" t="s">
        <v>471</v>
      </c>
      <c r="F8106" s="5" t="s">
        <v>472</v>
      </c>
      <c r="G8106" s="6" t="str">
        <f>VLOOKUP(E8106,dicionario!$A$1:$C8505,2,0)</f>
        <v>Sida acuta</v>
      </c>
      <c r="H8106" s="6" t="str">
        <f>VLOOKUP(E8106,dicionario!$A$1:$C8505,3,0)</f>
        <v>reloginho</v>
      </c>
    </row>
    <row r="8107">
      <c r="A8107" s="3">
        <v>45750.0</v>
      </c>
      <c r="B8107" s="4">
        <v>0.26319444444444445</v>
      </c>
      <c r="C8107" s="5" t="s">
        <v>90</v>
      </c>
      <c r="D8107" s="5" t="s">
        <v>1317</v>
      </c>
      <c r="E8107" s="8" t="s">
        <v>1312</v>
      </c>
      <c r="F8107" s="5" t="s">
        <v>66</v>
      </c>
      <c r="G8107" s="6" t="str">
        <f>VLOOKUP(E8107,dicionario!$A$1:$C8506,2,0)</f>
        <v>#N/A</v>
      </c>
      <c r="H8107" s="6" t="str">
        <f>VLOOKUP(E8107,dicionario!$A$1:$C8506,3,0)</f>
        <v>#N/A</v>
      </c>
    </row>
    <row r="8108">
      <c r="A8108" s="3">
        <v>45750.0</v>
      </c>
      <c r="B8108" s="4">
        <v>0.26319444444444445</v>
      </c>
      <c r="C8108" s="5" t="s">
        <v>90</v>
      </c>
      <c r="D8108" s="5" t="s">
        <v>1317</v>
      </c>
      <c r="E8108" s="8" t="s">
        <v>88</v>
      </c>
      <c r="F8108" s="5" t="s">
        <v>89</v>
      </c>
      <c r="G8108" s="6" t="str">
        <f>VLOOKUP(E8108,dicionario!$A$1:$C8507,2,0)</f>
        <v>Tyrannus melancolichus</v>
      </c>
      <c r="H8108" s="6" t="str">
        <f>VLOOKUP(E8108,dicionario!$A$1:$C8507,3,0)</f>
        <v>suiriri</v>
      </c>
    </row>
    <row r="8109">
      <c r="A8109" s="3">
        <v>45750.0</v>
      </c>
      <c r="B8109" s="4">
        <v>0.26319444444444445</v>
      </c>
      <c r="C8109" s="5" t="s">
        <v>90</v>
      </c>
      <c r="D8109" s="5" t="s">
        <v>1317</v>
      </c>
      <c r="E8109" s="8" t="s">
        <v>298</v>
      </c>
      <c r="F8109" s="7"/>
      <c r="G8109" s="6" t="str">
        <f>VLOOKUP(E8109,dicionario!$A$1:$C8508,2,0)</f>
        <v>Alysicarpus vaginalis</v>
      </c>
      <c r="H8109" s="6" t="str">
        <f>VLOOKUP(E8109,dicionario!$A$1:$C8508,3,0)</f>
        <v/>
      </c>
    </row>
    <row r="8110">
      <c r="A8110" s="3">
        <v>45750.0</v>
      </c>
      <c r="B8110" s="4">
        <v>0.26319444444444445</v>
      </c>
      <c r="C8110" s="5" t="s">
        <v>90</v>
      </c>
      <c r="D8110" s="5" t="s">
        <v>1317</v>
      </c>
      <c r="E8110" s="8" t="s">
        <v>1311</v>
      </c>
      <c r="F8110" s="5" t="s">
        <v>114</v>
      </c>
      <c r="G8110" s="6" t="str">
        <f>VLOOKUP(E8110,dicionario!$A$1:$C8509,2,0)</f>
        <v>#N/A</v>
      </c>
      <c r="H8110" s="6" t="str">
        <f>VLOOKUP(E8110,dicionario!$A$1:$C8509,3,0)</f>
        <v>#N/A</v>
      </c>
    </row>
    <row r="8111">
      <c r="A8111" s="3">
        <v>45750.0</v>
      </c>
      <c r="B8111" s="4">
        <v>0.26319444444444445</v>
      </c>
      <c r="C8111" s="5" t="s">
        <v>90</v>
      </c>
      <c r="D8111" s="5" t="s">
        <v>1317</v>
      </c>
      <c r="E8111" s="8" t="s">
        <v>712</v>
      </c>
      <c r="F8111" s="5" t="s">
        <v>718</v>
      </c>
      <c r="G8111" s="6" t="str">
        <f>VLOOKUP(E8111,dicionario!$A$1:$C8510,2,0)</f>
        <v>Flavopunctelia soredica</v>
      </c>
      <c r="H8111" s="6" t="str">
        <f>VLOOKUP(E8111,dicionario!$A$1:$C8510,3,0)</f>
        <v>líquen-folioso</v>
      </c>
    </row>
    <row r="8112">
      <c r="A8112" s="3">
        <v>45750.0</v>
      </c>
      <c r="B8112" s="4">
        <v>0.26319444444444445</v>
      </c>
      <c r="C8112" s="5" t="s">
        <v>90</v>
      </c>
      <c r="D8112" s="5" t="s">
        <v>1317</v>
      </c>
      <c r="E8112" s="8" t="s">
        <v>1318</v>
      </c>
      <c r="F8112" s="5" t="s">
        <v>720</v>
      </c>
      <c r="G8112" s="6" t="str">
        <f>VLOOKUP(E8112,dicionario!$A$1:$C8511,2,0)</f>
        <v>#N/A</v>
      </c>
      <c r="H8112" s="6" t="str">
        <f>VLOOKUP(E8112,dicionario!$A$1:$C8511,3,0)</f>
        <v>#N/A</v>
      </c>
    </row>
    <row r="8113">
      <c r="A8113" s="3">
        <v>45750.0</v>
      </c>
      <c r="B8113" s="4">
        <v>0.26319444444444445</v>
      </c>
      <c r="C8113" s="5" t="s">
        <v>90</v>
      </c>
      <c r="D8113" s="5" t="s">
        <v>1317</v>
      </c>
      <c r="E8113" s="8" t="s">
        <v>1024</v>
      </c>
      <c r="F8113" s="5" t="s">
        <v>969</v>
      </c>
      <c r="G8113" s="6" t="str">
        <f>VLOOKUP(E8113,dicionario!$A$1:$C8512,2,0)</f>
        <v>Usnea barbata</v>
      </c>
      <c r="H8113" s="6" t="str">
        <f>VLOOKUP(E8113,dicionario!$A$1:$C8512,3,0)</f>
        <v>barba-de-velho</v>
      </c>
    </row>
    <row r="8114">
      <c r="A8114" s="3">
        <v>45750.0</v>
      </c>
      <c r="B8114" s="4">
        <v>0.2638888888888889</v>
      </c>
      <c r="C8114" s="5" t="s">
        <v>90</v>
      </c>
      <c r="D8114" s="5" t="s">
        <v>1317</v>
      </c>
      <c r="E8114" s="8" t="s">
        <v>107</v>
      </c>
      <c r="F8114" s="5" t="s">
        <v>108</v>
      </c>
      <c r="G8114" s="6" t="str">
        <f>VLOOKUP(E8114,dicionario!$A$1:$C8513,2,0)</f>
        <v>Ramalina complanata</v>
      </c>
      <c r="H8114" s="6" t="str">
        <f>VLOOKUP(E8114,dicionario!$A$1:$C8513,3,0)</f>
        <v>ramalina</v>
      </c>
    </row>
    <row r="8115">
      <c r="A8115" s="3">
        <v>45750.0</v>
      </c>
      <c r="B8115" s="4">
        <v>0.26458333333333334</v>
      </c>
      <c r="C8115" s="5" t="s">
        <v>90</v>
      </c>
      <c r="D8115" s="5" t="s">
        <v>1317</v>
      </c>
      <c r="E8115" s="8" t="s">
        <v>103</v>
      </c>
      <c r="F8115" s="5" t="s">
        <v>104</v>
      </c>
      <c r="G8115" s="6" t="str">
        <f>VLOOKUP(E8115,dicionario!$A$1:$C8514,2,0)</f>
        <v>Caracara plancus</v>
      </c>
      <c r="H8115" s="6" t="str">
        <f>VLOOKUP(E8115,dicionario!$A$1:$C8514,3,0)</f>
        <v>carcará </v>
      </c>
    </row>
    <row r="8116">
      <c r="A8116" s="3">
        <v>45750.0</v>
      </c>
      <c r="B8116" s="4">
        <v>0.26458333333333334</v>
      </c>
      <c r="C8116" s="5" t="s">
        <v>90</v>
      </c>
      <c r="D8116" s="5" t="s">
        <v>1317</v>
      </c>
      <c r="E8116" s="8" t="s">
        <v>378</v>
      </c>
      <c r="F8116" s="5" t="s">
        <v>205</v>
      </c>
      <c r="G8116" s="6" t="str">
        <f>VLOOKUP(E8116,dicionario!$A$1:$C8515,2,0)</f>
        <v>Polistes</v>
      </c>
      <c r="H8116" s="6" t="str">
        <f>VLOOKUP(E8116,dicionario!$A$1:$C8515,3,0)</f>
        <v>marimbondo</v>
      </c>
    </row>
    <row r="8117">
      <c r="A8117" s="3">
        <v>45750.0</v>
      </c>
      <c r="B8117" s="4">
        <v>0.26458333333333334</v>
      </c>
      <c r="C8117" s="5" t="s">
        <v>90</v>
      </c>
      <c r="D8117" s="5" t="s">
        <v>1317</v>
      </c>
      <c r="E8117" s="8" t="s">
        <v>16</v>
      </c>
      <c r="F8117" s="5" t="s">
        <v>17</v>
      </c>
      <c r="G8117" s="6" t="str">
        <f>VLOOKUP(E8117,dicionario!$A$1:$C8516,2,0)</f>
        <v>Eupetomena macroura</v>
      </c>
      <c r="H8117" s="6" t="str">
        <f>VLOOKUP(E8117,dicionario!$A$1:$C8516,3,0)</f>
        <v>beija-flor-tesoura</v>
      </c>
    </row>
    <row r="8118">
      <c r="A8118" s="3">
        <v>45750.0</v>
      </c>
      <c r="B8118" s="4">
        <v>0.26458333333333334</v>
      </c>
      <c r="C8118" s="5" t="s">
        <v>90</v>
      </c>
      <c r="D8118" s="5" t="s">
        <v>1317</v>
      </c>
      <c r="E8118" s="8" t="s">
        <v>38</v>
      </c>
      <c r="F8118" s="5" t="s">
        <v>1251</v>
      </c>
      <c r="G8118" s="6" t="str">
        <f>VLOOKUP(E8118,dicionario!$A$1:$C8517,2,0)</f>
        <v>Troglodytes musculus</v>
      </c>
      <c r="H8118" s="6" t="str">
        <f>VLOOKUP(E8118,dicionario!$A$1:$C8517,3,0)</f>
        <v>curruíra</v>
      </c>
    </row>
    <row r="8119">
      <c r="A8119" s="3">
        <v>45750.0</v>
      </c>
      <c r="B8119" s="4">
        <v>0.2652777777777778</v>
      </c>
      <c r="C8119" s="5" t="s">
        <v>90</v>
      </c>
      <c r="D8119" s="5" t="s">
        <v>1317</v>
      </c>
      <c r="E8119" s="8" t="s">
        <v>177</v>
      </c>
      <c r="F8119" s="5" t="s">
        <v>178</v>
      </c>
      <c r="G8119" s="6" t="str">
        <f>VLOOKUP(E8119,dicionario!$A$1:$C8518,2,0)</f>
        <v>Elaenia flavogaster</v>
      </c>
      <c r="H8119" s="6" t="str">
        <f>VLOOKUP(E8119,dicionario!$A$1:$C8518,3,0)</f>
        <v>guaracava-de-barriga-amarela</v>
      </c>
    </row>
    <row r="8120">
      <c r="A8120" s="3">
        <v>45750.0</v>
      </c>
      <c r="B8120" s="4">
        <v>0.2652777777777778</v>
      </c>
      <c r="C8120" s="5" t="s">
        <v>90</v>
      </c>
      <c r="D8120" s="5" t="s">
        <v>1317</v>
      </c>
      <c r="E8120" s="8" t="s">
        <v>122</v>
      </c>
      <c r="F8120" s="5" t="s">
        <v>123</v>
      </c>
      <c r="G8120" s="6" t="str">
        <f>VLOOKUP(E8120,dicionario!$A$1:$C8519,2,0)</f>
        <v>Todirostrum cinereum</v>
      </c>
      <c r="H8120" s="6" t="str">
        <f>VLOOKUP(E8120,dicionario!$A$1:$C8519,3,0)</f>
        <v>ferreirinho-relógio</v>
      </c>
    </row>
    <row r="8121">
      <c r="A8121" s="3">
        <v>45750.0</v>
      </c>
      <c r="B8121" s="4">
        <v>0.2659722222222222</v>
      </c>
      <c r="C8121" s="5" t="s">
        <v>90</v>
      </c>
      <c r="D8121" s="5" t="s">
        <v>1317</v>
      </c>
      <c r="E8121" s="8" t="s">
        <v>43</v>
      </c>
      <c r="F8121" s="5" t="s">
        <v>1040</v>
      </c>
      <c r="G8121" s="6" t="str">
        <f>VLOOKUP(E8121,dicionario!$A$1:$C8520,2,0)</f>
        <v>Columba livia</v>
      </c>
      <c r="H8121" s="6" t="str">
        <f>VLOOKUP(E8121,dicionario!$A$1:$C8520,3,0)</f>
        <v>pombo-doméstico</v>
      </c>
    </row>
    <row r="8122">
      <c r="A8122" s="3">
        <v>45750.0</v>
      </c>
      <c r="B8122" s="4">
        <v>0.2659722222222222</v>
      </c>
      <c r="C8122" s="5" t="s">
        <v>90</v>
      </c>
      <c r="D8122" s="5" t="s">
        <v>1317</v>
      </c>
      <c r="E8122" s="8" t="s">
        <v>1215</v>
      </c>
      <c r="F8122" s="5" t="s">
        <v>121</v>
      </c>
      <c r="G8122" s="6" t="str">
        <f>VLOOKUP(E8122,dicionario!$A$1:$C8521,2,0)</f>
        <v>#N/A</v>
      </c>
      <c r="H8122" s="6" t="str">
        <f>VLOOKUP(E8122,dicionario!$A$1:$C8521,3,0)</f>
        <v>#N/A</v>
      </c>
    </row>
    <row r="8123">
      <c r="A8123" s="3">
        <v>45750.0</v>
      </c>
      <c r="B8123" s="4">
        <v>0.2659722222222222</v>
      </c>
      <c r="C8123" s="5" t="s">
        <v>90</v>
      </c>
      <c r="D8123" s="5" t="s">
        <v>1317</v>
      </c>
      <c r="E8123" s="12" t="s">
        <v>111</v>
      </c>
      <c r="F8123" s="5" t="s">
        <v>112</v>
      </c>
      <c r="G8123" s="6" t="str">
        <f>VLOOKUP(E8123,dicionario!$A$1:$C8522,2,0)</f>
        <v>Trigona spinipes</v>
      </c>
      <c r="H8123" s="6" t="str">
        <f>VLOOKUP(E8123,dicionario!$A$1:$C8522,3,0)</f>
        <v>abelha-cachorro</v>
      </c>
    </row>
    <row r="8124">
      <c r="A8124" s="3">
        <v>45750.0</v>
      </c>
      <c r="B8124" s="4">
        <v>0.2659722222222222</v>
      </c>
      <c r="C8124" s="5" t="s">
        <v>90</v>
      </c>
      <c r="D8124" s="5" t="s">
        <v>1317</v>
      </c>
      <c r="E8124" s="8" t="s">
        <v>239</v>
      </c>
      <c r="F8124" s="5" t="s">
        <v>240</v>
      </c>
      <c r="G8124" s="6" t="str">
        <f>VLOOKUP(E8124,dicionario!$A$1:$C8523,2,0)</f>
        <v>Gomphrena celosioides</v>
      </c>
      <c r="H8124" s="6" t="str">
        <f>VLOOKUP(E8124,dicionario!$A$1:$C8523,3,0)</f>
        <v>perpétua-branca</v>
      </c>
    </row>
    <row r="8125">
      <c r="A8125" s="3">
        <v>45750.0</v>
      </c>
      <c r="B8125" s="4">
        <v>0.26805555555555555</v>
      </c>
      <c r="C8125" s="5" t="s">
        <v>90</v>
      </c>
      <c r="D8125" s="5" t="s">
        <v>1317</v>
      </c>
      <c r="E8125" s="8" t="s">
        <v>38</v>
      </c>
      <c r="F8125" s="5" t="s">
        <v>1251</v>
      </c>
      <c r="G8125" s="6" t="str">
        <f>VLOOKUP(E8125,dicionario!$A$1:$C8524,2,0)</f>
        <v>Troglodytes musculus</v>
      </c>
      <c r="H8125" s="6" t="str">
        <f>VLOOKUP(E8125,dicionario!$A$1:$C8524,3,0)</f>
        <v>curruíra</v>
      </c>
    </row>
    <row r="8126">
      <c r="A8126" s="3">
        <v>45750.0</v>
      </c>
      <c r="B8126" s="4">
        <v>0.26805555555555555</v>
      </c>
      <c r="C8126" s="5" t="s">
        <v>90</v>
      </c>
      <c r="D8126" s="5" t="s">
        <v>1317</v>
      </c>
      <c r="E8126" s="8" t="s">
        <v>338</v>
      </c>
      <c r="F8126" s="5" t="s">
        <v>238</v>
      </c>
      <c r="G8126" s="6" t="str">
        <f>VLOOKUP(E8126,dicionario!$A$1:$C8525,2,0)</f>
        <v>Atta</v>
      </c>
      <c r="H8126" s="6" t="str">
        <f>VLOOKUP(E8126,dicionario!$A$1:$C8525,3,0)</f>
        <v>saúva</v>
      </c>
    </row>
    <row r="8127">
      <c r="A8127" s="3">
        <v>45750.0</v>
      </c>
      <c r="B8127" s="4">
        <v>0.26875</v>
      </c>
      <c r="C8127" s="5" t="s">
        <v>90</v>
      </c>
      <c r="D8127" s="5" t="s">
        <v>1317</v>
      </c>
      <c r="E8127" s="8" t="s">
        <v>1087</v>
      </c>
      <c r="F8127" s="5" t="s">
        <v>1088</v>
      </c>
      <c r="G8127" s="6" t="str">
        <f>VLOOKUP(E8127,dicionario!$A$1:$C8526,2,0)</f>
        <v>Desmodium triflorum</v>
      </c>
      <c r="H8127" s="6" t="str">
        <f>VLOOKUP(E8127,dicionario!$A$1:$C8526,3,0)</f>
        <v/>
      </c>
    </row>
    <row r="8128">
      <c r="A8128" s="3">
        <v>45750.0</v>
      </c>
      <c r="B8128" s="4">
        <v>0.26875</v>
      </c>
      <c r="C8128" s="5" t="s">
        <v>90</v>
      </c>
      <c r="D8128" s="5" t="s">
        <v>1317</v>
      </c>
      <c r="E8128" s="8" t="s">
        <v>141</v>
      </c>
      <c r="F8128" s="5" t="s">
        <v>142</v>
      </c>
      <c r="G8128" s="6" t="str">
        <f>VLOOKUP(E8128,dicionario!$A$1:$C8527,2,0)</f>
        <v>Ruellia blechum</v>
      </c>
      <c r="H8128" s="6" t="str">
        <f>VLOOKUP(E8128,dicionario!$A$1:$C8527,3,0)</f>
        <v>camarão-verde</v>
      </c>
    </row>
    <row r="8129">
      <c r="A8129" s="3">
        <v>45750.0</v>
      </c>
      <c r="B8129" s="4">
        <v>0.26944444444444443</v>
      </c>
      <c r="C8129" s="5" t="s">
        <v>90</v>
      </c>
      <c r="D8129" s="5" t="s">
        <v>1317</v>
      </c>
      <c r="E8129" s="6" t="s">
        <v>53</v>
      </c>
      <c r="F8129" s="5" t="s">
        <v>54</v>
      </c>
      <c r="G8129" s="6" t="str">
        <f>VLOOKUP(E8129,dicionario!$A$1:$C8528,2,0)</f>
        <v>Turnera subulata</v>
      </c>
      <c r="H8129" s="6" t="str">
        <f>VLOOKUP(E8129,dicionario!$A$1:$C8528,3,0)</f>
        <v>xanana</v>
      </c>
    </row>
    <row r="8130">
      <c r="A8130" s="3">
        <v>45750.0</v>
      </c>
      <c r="B8130" s="4">
        <v>0.26944444444444443</v>
      </c>
      <c r="C8130" s="5" t="s">
        <v>90</v>
      </c>
      <c r="D8130" s="5" t="s">
        <v>1317</v>
      </c>
      <c r="E8130" s="8" t="s">
        <v>939</v>
      </c>
      <c r="F8130" s="5" t="s">
        <v>940</v>
      </c>
      <c r="G8130" s="6" t="str">
        <f>VLOOKUP(E8130,dicionario!$A$1:$C8529,2,0)</f>
        <v>#N/A</v>
      </c>
      <c r="H8130" s="6" t="str">
        <f>VLOOKUP(E8130,dicionario!$A$1:$C8529,3,0)</f>
        <v>#N/A</v>
      </c>
    </row>
    <row r="8131">
      <c r="A8131" s="3">
        <v>45750.0</v>
      </c>
      <c r="B8131" s="4">
        <v>0.26944444444444443</v>
      </c>
      <c r="C8131" s="5" t="s">
        <v>90</v>
      </c>
      <c r="D8131" s="5" t="s">
        <v>1317</v>
      </c>
      <c r="E8131" s="8" t="s">
        <v>1319</v>
      </c>
      <c r="F8131" s="5" t="s">
        <v>153</v>
      </c>
      <c r="G8131" s="6" t="str">
        <f>VLOOKUP(E8131,dicionario!$A$1:$C8530,2,0)</f>
        <v>#N/A</v>
      </c>
      <c r="H8131" s="6" t="str">
        <f>VLOOKUP(E8131,dicionario!$A$1:$C8530,3,0)</f>
        <v>#N/A</v>
      </c>
    </row>
    <row r="8132">
      <c r="A8132" s="3">
        <v>45750.0</v>
      </c>
      <c r="B8132" s="4">
        <v>0.27152777777777776</v>
      </c>
      <c r="C8132" s="5" t="s">
        <v>85</v>
      </c>
      <c r="D8132" s="5" t="s">
        <v>1317</v>
      </c>
      <c r="E8132" s="8" t="s">
        <v>154</v>
      </c>
      <c r="F8132" s="5" t="s">
        <v>155</v>
      </c>
      <c r="G8132" s="6" t="str">
        <f>VLOOKUP(E8132,dicionario!$A$1:$C8531,2,0)</f>
        <v>Cyperus rotundus</v>
      </c>
      <c r="H8132" s="6" t="str">
        <f>VLOOKUP(E8132,dicionario!$A$1:$C8531,3,0)</f>
        <v>tiririca</v>
      </c>
    </row>
    <row r="8133">
      <c r="A8133" s="3">
        <v>45750.0</v>
      </c>
      <c r="B8133" s="4">
        <v>0.27152777777777776</v>
      </c>
      <c r="C8133" s="5" t="s">
        <v>85</v>
      </c>
      <c r="D8133" s="5" t="s">
        <v>1317</v>
      </c>
      <c r="E8133" s="8" t="s">
        <v>298</v>
      </c>
      <c r="F8133" s="7"/>
      <c r="G8133" s="6" t="str">
        <f>VLOOKUP(E8133,dicionario!$A$1:$C8532,2,0)</f>
        <v>Alysicarpus vaginalis</v>
      </c>
      <c r="H8133" s="6" t="str">
        <f>VLOOKUP(E8133,dicionario!$A$1:$C8532,3,0)</f>
        <v/>
      </c>
    </row>
    <row r="8134">
      <c r="A8134" s="3">
        <v>45750.0</v>
      </c>
      <c r="B8134" s="4">
        <v>0.27152777777777776</v>
      </c>
      <c r="C8134" s="5" t="s">
        <v>85</v>
      </c>
      <c r="D8134" s="5" t="s">
        <v>1317</v>
      </c>
      <c r="E8134" s="8" t="s">
        <v>135</v>
      </c>
      <c r="F8134" s="5" t="s">
        <v>136</v>
      </c>
      <c r="G8134" s="6" t="str">
        <f>VLOOKUP(E8134,dicionario!$A$1:$C8533,2,0)</f>
        <v>Tridax procumbens</v>
      </c>
      <c r="H8134" s="6" t="str">
        <f>VLOOKUP(E8134,dicionario!$A$1:$C8533,3,0)</f>
        <v>erva-de-touro</v>
      </c>
    </row>
    <row r="8135">
      <c r="A8135" s="3">
        <v>45750.0</v>
      </c>
      <c r="B8135" s="4">
        <v>0.27152777777777776</v>
      </c>
      <c r="C8135" s="5" t="s">
        <v>85</v>
      </c>
      <c r="D8135" s="5" t="s">
        <v>1317</v>
      </c>
      <c r="E8135" s="8" t="s">
        <v>16</v>
      </c>
      <c r="F8135" s="5" t="s">
        <v>17</v>
      </c>
      <c r="G8135" s="6" t="str">
        <f>VLOOKUP(E8135,dicionario!$A$1:$C8534,2,0)</f>
        <v>Eupetomena macroura</v>
      </c>
      <c r="H8135" s="6" t="str">
        <f>VLOOKUP(E8135,dicionario!$A$1:$C8534,3,0)</f>
        <v>beija-flor-tesoura</v>
      </c>
    </row>
    <row r="8136">
      <c r="A8136" s="3">
        <v>45750.0</v>
      </c>
      <c r="B8136" s="4">
        <v>0.27152777777777776</v>
      </c>
      <c r="C8136" s="5" t="s">
        <v>85</v>
      </c>
      <c r="D8136" s="5" t="s">
        <v>1317</v>
      </c>
      <c r="E8136" s="8" t="s">
        <v>122</v>
      </c>
      <c r="F8136" s="5" t="s">
        <v>123</v>
      </c>
      <c r="G8136" s="6" t="str">
        <f>VLOOKUP(E8136,dicionario!$A$1:$C8535,2,0)</f>
        <v>Todirostrum cinereum</v>
      </c>
      <c r="H8136" s="6" t="str">
        <f>VLOOKUP(E8136,dicionario!$A$1:$C8535,3,0)</f>
        <v>ferreirinho-relógio</v>
      </c>
    </row>
    <row r="8137">
      <c r="A8137" s="3">
        <v>45750.0</v>
      </c>
      <c r="B8137" s="4">
        <v>0.27152777777777776</v>
      </c>
      <c r="C8137" s="5" t="s">
        <v>85</v>
      </c>
      <c r="D8137" s="5" t="s">
        <v>1317</v>
      </c>
      <c r="E8137" s="8" t="s">
        <v>1320</v>
      </c>
      <c r="F8137" s="5" t="s">
        <v>178</v>
      </c>
      <c r="G8137" s="6" t="str">
        <f>VLOOKUP(E8137,dicionario!$A$1:$C8536,2,0)</f>
        <v>#N/A</v>
      </c>
      <c r="H8137" s="6" t="str">
        <f>VLOOKUP(E8137,dicionario!$A$1:$C8536,3,0)</f>
        <v>#N/A</v>
      </c>
    </row>
    <row r="8138">
      <c r="A8138" s="3">
        <v>45750.0</v>
      </c>
      <c r="B8138" s="4">
        <v>0.2722222222222222</v>
      </c>
      <c r="C8138" s="5" t="s">
        <v>85</v>
      </c>
      <c r="D8138" s="5" t="s">
        <v>1317</v>
      </c>
      <c r="E8138" s="6" t="s">
        <v>53</v>
      </c>
      <c r="F8138" s="5" t="s">
        <v>54</v>
      </c>
      <c r="G8138" s="6" t="str">
        <f>VLOOKUP(E8138,dicionario!$A$1:$C8537,2,0)</f>
        <v>Turnera subulata</v>
      </c>
      <c r="H8138" s="6" t="str">
        <f>VLOOKUP(E8138,dicionario!$A$1:$C8537,3,0)</f>
        <v>xanana</v>
      </c>
    </row>
    <row r="8139">
      <c r="A8139" s="3">
        <v>45750.0</v>
      </c>
      <c r="B8139" s="4">
        <v>0.2722222222222222</v>
      </c>
      <c r="C8139" s="5" t="s">
        <v>85</v>
      </c>
      <c r="D8139" s="5" t="s">
        <v>1317</v>
      </c>
      <c r="E8139" s="8" t="s">
        <v>146</v>
      </c>
      <c r="F8139" s="5" t="s">
        <v>147</v>
      </c>
      <c r="G8139" s="6" t="str">
        <f>VLOOKUP(E8139,dicionario!$A$1:$C8538,2,0)</f>
        <v>Euphorbia hirta</v>
      </c>
      <c r="H8139" s="6" t="str">
        <f>VLOOKUP(E8139,dicionario!$A$1:$C8538,3,0)</f>
        <v>erva-de-santa-luzia</v>
      </c>
    </row>
    <row r="8140">
      <c r="A8140" s="3">
        <v>45750.0</v>
      </c>
      <c r="B8140" s="4">
        <v>0.2722222222222222</v>
      </c>
      <c r="C8140" s="5" t="s">
        <v>85</v>
      </c>
      <c r="D8140" s="5" t="s">
        <v>1317</v>
      </c>
      <c r="E8140" s="8" t="s">
        <v>1311</v>
      </c>
      <c r="F8140" s="5" t="s">
        <v>114</v>
      </c>
      <c r="G8140" s="6" t="str">
        <f>VLOOKUP(E8140,dicionario!$A$1:$C8539,2,0)</f>
        <v>#N/A</v>
      </c>
      <c r="H8140" s="6" t="str">
        <f>VLOOKUP(E8140,dicionario!$A$1:$C8539,3,0)</f>
        <v>#N/A</v>
      </c>
    </row>
    <row r="8141">
      <c r="A8141" s="3">
        <v>45750.0</v>
      </c>
      <c r="B8141" s="4">
        <v>0.27291666666666664</v>
      </c>
      <c r="C8141" s="5" t="s">
        <v>85</v>
      </c>
      <c r="D8141" s="5" t="s">
        <v>1317</v>
      </c>
      <c r="E8141" s="8" t="s">
        <v>109</v>
      </c>
      <c r="F8141" s="5" t="s">
        <v>110</v>
      </c>
      <c r="G8141" s="6" t="str">
        <f>VLOOKUP(E8141,dicionario!$A$1:$C8540,2,0)</f>
        <v>Tillandsia stricta</v>
      </c>
      <c r="H8141" s="6" t="str">
        <f>VLOOKUP(E8141,dicionario!$A$1:$C8540,3,0)</f>
        <v>cravo-do-mato</v>
      </c>
    </row>
    <row r="8142">
      <c r="A8142" s="3">
        <v>45750.0</v>
      </c>
      <c r="B8142" s="4">
        <v>0.27291666666666664</v>
      </c>
      <c r="C8142" s="5" t="s">
        <v>85</v>
      </c>
      <c r="D8142" s="5" t="s">
        <v>1317</v>
      </c>
      <c r="E8142" s="8" t="s">
        <v>712</v>
      </c>
      <c r="F8142" s="5" t="s">
        <v>912</v>
      </c>
      <c r="G8142" s="6" t="str">
        <f>VLOOKUP(E8142,dicionario!$A$1:$C8541,2,0)</f>
        <v>Flavopunctelia soredica</v>
      </c>
      <c r="H8142" s="6" t="str">
        <f>VLOOKUP(E8142,dicionario!$A$1:$C8541,3,0)</f>
        <v>líquen-folioso</v>
      </c>
    </row>
    <row r="8143">
      <c r="A8143" s="3">
        <v>45750.0</v>
      </c>
      <c r="B8143" s="4">
        <v>0.27291666666666664</v>
      </c>
      <c r="C8143" s="5" t="s">
        <v>85</v>
      </c>
      <c r="D8143" s="5" t="s">
        <v>1317</v>
      </c>
      <c r="E8143" s="8" t="s">
        <v>43</v>
      </c>
      <c r="F8143" s="5" t="s">
        <v>44</v>
      </c>
      <c r="G8143" s="6" t="str">
        <f>VLOOKUP(E8143,dicionario!$A$1:$C8542,2,0)</f>
        <v>Columba livia</v>
      </c>
      <c r="H8143" s="6" t="str">
        <f>VLOOKUP(E8143,dicionario!$A$1:$C8542,3,0)</f>
        <v>pombo-doméstico</v>
      </c>
    </row>
    <row r="8144">
      <c r="A8144" s="3">
        <v>45750.0</v>
      </c>
      <c r="B8144" s="4">
        <v>0.275</v>
      </c>
      <c r="C8144" s="5" t="s">
        <v>85</v>
      </c>
      <c r="D8144" s="5" t="s">
        <v>1317</v>
      </c>
      <c r="E8144" s="8" t="s">
        <v>1316</v>
      </c>
      <c r="F8144" s="5" t="s">
        <v>15</v>
      </c>
      <c r="G8144" s="6" t="str">
        <f>VLOOKUP(E8144,dicionario!$A$1:$C8543,2,0)</f>
        <v>#N/A</v>
      </c>
      <c r="H8144" s="6" t="str">
        <f>VLOOKUP(E8144,dicionario!$A$1:$C8543,3,0)</f>
        <v>#N/A</v>
      </c>
    </row>
    <row r="8145">
      <c r="A8145" s="3">
        <v>45750.0</v>
      </c>
      <c r="B8145" s="4">
        <v>0.27569444444444446</v>
      </c>
      <c r="C8145" s="5" t="s">
        <v>85</v>
      </c>
      <c r="D8145" s="5" t="s">
        <v>1317</v>
      </c>
      <c r="E8145" s="20" t="s">
        <v>676</v>
      </c>
      <c r="F8145" s="5" t="s">
        <v>677</v>
      </c>
      <c r="G8145" s="6" t="str">
        <f>VLOOKUP(E8145,dicionario!$A$1:$C8544,2,0)</f>
        <v>Zornia latifolia</v>
      </c>
      <c r="H8145" s="6" t="str">
        <f>VLOOKUP(E8145,dicionario!$A$1:$C8544,3,0)</f>
        <v>arrozinho-do-campo</v>
      </c>
    </row>
    <row r="8146">
      <c r="A8146" s="3">
        <v>45750.0</v>
      </c>
      <c r="B8146" s="4">
        <v>0.27708333333333335</v>
      </c>
      <c r="C8146" s="5" t="s">
        <v>85</v>
      </c>
      <c r="D8146" s="5" t="s">
        <v>1317</v>
      </c>
      <c r="E8146" s="8" t="s">
        <v>517</v>
      </c>
      <c r="F8146" s="7" t="s">
        <v>518</v>
      </c>
      <c r="G8146" s="6" t="str">
        <f>VLOOKUP(E8146,dicionario!$A$1:$C8545,2,0)</f>
        <v>Evolvulus nummularius</v>
      </c>
      <c r="H8146" s="6" t="str">
        <f>VLOOKUP(E8146,dicionario!$A$1:$C8545,3,0)</f>
        <v/>
      </c>
    </row>
    <row r="8147">
      <c r="A8147" s="3">
        <v>45750.0</v>
      </c>
      <c r="B8147" s="4">
        <v>0.27708333333333335</v>
      </c>
      <c r="C8147" s="5" t="s">
        <v>85</v>
      </c>
      <c r="D8147" s="5" t="s">
        <v>1317</v>
      </c>
      <c r="E8147" s="8" t="s">
        <v>1319</v>
      </c>
      <c r="F8147" s="5" t="s">
        <v>153</v>
      </c>
      <c r="G8147" s="6" t="str">
        <f>VLOOKUP(E8147,dicionario!$A$1:$C8546,2,0)</f>
        <v>#N/A</v>
      </c>
      <c r="H8147" s="6" t="str">
        <f>VLOOKUP(E8147,dicionario!$A$1:$C8546,3,0)</f>
        <v>#N/A</v>
      </c>
    </row>
    <row r="8148">
      <c r="A8148" s="3">
        <v>45750.0</v>
      </c>
      <c r="B8148" s="4">
        <v>0.27708333333333335</v>
      </c>
      <c r="C8148" s="5" t="s">
        <v>85</v>
      </c>
      <c r="D8148" s="5" t="s">
        <v>1317</v>
      </c>
      <c r="E8148" s="8" t="s">
        <v>271</v>
      </c>
      <c r="F8148" s="5" t="s">
        <v>1169</v>
      </c>
      <c r="G8148" s="6" t="str">
        <f>VLOOKUP(E8148,dicionario!$A$1:$C8547,2,0)</f>
        <v>Cyanthillium cinereum</v>
      </c>
      <c r="H8148" s="6" t="str">
        <f>VLOOKUP(E8148,dicionario!$A$1:$C8547,3,0)</f>
        <v>emília</v>
      </c>
    </row>
    <row r="8149">
      <c r="A8149" s="3">
        <v>45750.0</v>
      </c>
      <c r="B8149" s="4">
        <v>0.27708333333333335</v>
      </c>
      <c r="C8149" s="5" t="s">
        <v>85</v>
      </c>
      <c r="D8149" s="5" t="s">
        <v>1317</v>
      </c>
      <c r="E8149" s="8" t="s">
        <v>353</v>
      </c>
      <c r="F8149" s="5" t="s">
        <v>354</v>
      </c>
      <c r="G8149" s="6" t="str">
        <f>VLOOKUP(E8149,dicionario!$A$1:$C8548,2,0)</f>
        <v>Desmodium incanum</v>
      </c>
      <c r="H8149" s="6" t="str">
        <f>VLOOKUP(E8149,dicionario!$A$1:$C8548,3,0)</f>
        <v>pega-pega</v>
      </c>
    </row>
    <row r="8150">
      <c r="A8150" s="3">
        <v>45750.0</v>
      </c>
      <c r="B8150" s="4">
        <v>0.27708333333333335</v>
      </c>
      <c r="C8150" s="5" t="s">
        <v>85</v>
      </c>
      <c r="D8150" s="5" t="s">
        <v>1317</v>
      </c>
      <c r="E8150" s="8" t="s">
        <v>286</v>
      </c>
      <c r="F8150" s="5" t="s">
        <v>287</v>
      </c>
      <c r="G8150" s="6" t="str">
        <f>VLOOKUP(E8150,dicionario!$A$1:$C8549,2,0)</f>
        <v>Setaria parviflora</v>
      </c>
      <c r="H8150" s="6" t="str">
        <f>VLOOKUP(E8150,dicionario!$A$1:$C8549,3,0)</f>
        <v>capim-rabo-de-raposa</v>
      </c>
    </row>
    <row r="8151">
      <c r="A8151" s="3">
        <v>45750.0</v>
      </c>
      <c r="B8151" s="4">
        <v>0.27708333333333335</v>
      </c>
      <c r="C8151" s="5" t="s">
        <v>85</v>
      </c>
      <c r="D8151" s="5" t="s">
        <v>1317</v>
      </c>
      <c r="E8151" s="8" t="s">
        <v>247</v>
      </c>
      <c r="F8151" s="5" t="s">
        <v>387</v>
      </c>
      <c r="G8151" s="6" t="str">
        <f>VLOOKUP(E8151,dicionario!$A$1:$C8550,2,0)</f>
        <v>Emilia sonchifolia</v>
      </c>
      <c r="H8151" s="6" t="str">
        <f>VLOOKUP(E8151,dicionario!$A$1:$C8550,3,0)</f>
        <v>serralinha</v>
      </c>
    </row>
    <row r="8152">
      <c r="A8152" s="3">
        <v>45750.0</v>
      </c>
      <c r="B8152" s="4">
        <v>0.27847222222222223</v>
      </c>
      <c r="C8152" s="5" t="s">
        <v>85</v>
      </c>
      <c r="D8152" s="5" t="s">
        <v>1317</v>
      </c>
      <c r="E8152" s="8" t="s">
        <v>1321</v>
      </c>
      <c r="F8152" s="5" t="s">
        <v>172</v>
      </c>
      <c r="G8152" s="6" t="str">
        <f>VLOOKUP(E8152,dicionario!$A$1:$C8551,2,0)</f>
        <v>#N/A</v>
      </c>
      <c r="H8152" s="6" t="str">
        <f>VLOOKUP(E8152,dicionario!$A$1:$C8551,3,0)</f>
        <v>#N/A</v>
      </c>
    </row>
    <row r="8153">
      <c r="A8153" s="3">
        <v>45750.0</v>
      </c>
      <c r="B8153" s="4">
        <v>0.27847222222222223</v>
      </c>
      <c r="C8153" s="5" t="s">
        <v>85</v>
      </c>
      <c r="D8153" s="5" t="s">
        <v>1317</v>
      </c>
      <c r="E8153" s="8" t="s">
        <v>1322</v>
      </c>
      <c r="F8153" s="5" t="s">
        <v>1323</v>
      </c>
      <c r="G8153" s="6" t="str">
        <f>VLOOKUP(E8153,dicionario!$A$1:$C8552,2,0)</f>
        <v>#N/A</v>
      </c>
      <c r="H8153" s="6" t="str">
        <f>VLOOKUP(E8153,dicionario!$A$1:$C8552,3,0)</f>
        <v>#N/A</v>
      </c>
    </row>
    <row r="8154">
      <c r="A8154" s="3">
        <v>45750.0</v>
      </c>
      <c r="B8154" s="4">
        <v>0.27847222222222223</v>
      </c>
      <c r="C8154" s="5" t="s">
        <v>85</v>
      </c>
      <c r="D8154" s="5" t="s">
        <v>1317</v>
      </c>
      <c r="E8154" s="8" t="s">
        <v>141</v>
      </c>
      <c r="F8154" s="5" t="s">
        <v>142</v>
      </c>
      <c r="G8154" s="6" t="str">
        <f>VLOOKUP(E8154,dicionario!$A$1:$C8553,2,0)</f>
        <v>Ruellia blechum</v>
      </c>
      <c r="H8154" s="6" t="str">
        <f>VLOOKUP(E8154,dicionario!$A$1:$C8553,3,0)</f>
        <v>camarão-verde</v>
      </c>
    </row>
    <row r="8155">
      <c r="A8155" s="3">
        <v>45750.0</v>
      </c>
      <c r="B8155" s="4">
        <v>0.2791666666666667</v>
      </c>
      <c r="C8155" s="5" t="s">
        <v>85</v>
      </c>
      <c r="D8155" s="5" t="s">
        <v>1317</v>
      </c>
      <c r="E8155" s="6" t="s">
        <v>399</v>
      </c>
      <c r="F8155" s="5" t="s">
        <v>400</v>
      </c>
      <c r="G8155" s="6" t="str">
        <f>VLOOKUP(E8155,dicionario!$A$1:$C8554,2,0)</f>
        <v>Varronia curassavica</v>
      </c>
      <c r="H8155" s="6" t="str">
        <f>VLOOKUP(E8155,dicionario!$A$1:$C8554,3,0)</f>
        <v>erva-baleeira</v>
      </c>
    </row>
    <row r="8156">
      <c r="A8156" s="3">
        <v>45750.0</v>
      </c>
      <c r="B8156" s="4">
        <v>0.28194444444444444</v>
      </c>
      <c r="C8156" s="5" t="s">
        <v>981</v>
      </c>
      <c r="D8156" s="5" t="s">
        <v>1317</v>
      </c>
      <c r="E8156" s="8" t="s">
        <v>1311</v>
      </c>
      <c r="F8156" s="5" t="s">
        <v>114</v>
      </c>
      <c r="G8156" s="6" t="str">
        <f>VLOOKUP(E8156,dicionario!$A$1:$C8555,2,0)</f>
        <v>#N/A</v>
      </c>
      <c r="H8156" s="6" t="str">
        <f>VLOOKUP(E8156,dicionario!$A$1:$C8555,3,0)</f>
        <v>#N/A</v>
      </c>
    </row>
    <row r="8157">
      <c r="A8157" s="3">
        <v>45750.0</v>
      </c>
      <c r="B8157" s="4">
        <v>0.28194444444444444</v>
      </c>
      <c r="C8157" s="5" t="s">
        <v>981</v>
      </c>
      <c r="D8157" s="5" t="s">
        <v>1317</v>
      </c>
      <c r="E8157" s="8" t="s">
        <v>122</v>
      </c>
      <c r="F8157" s="5" t="s">
        <v>123</v>
      </c>
      <c r="G8157" s="6" t="str">
        <f>VLOOKUP(E8157,dicionario!$A$1:$C8556,2,0)</f>
        <v>Todirostrum cinereum</v>
      </c>
      <c r="H8157" s="6" t="str">
        <f>VLOOKUP(E8157,dicionario!$A$1:$C8556,3,0)</f>
        <v>ferreirinho-relógio</v>
      </c>
    </row>
    <row r="8158">
      <c r="A8158" s="3">
        <v>45750.0</v>
      </c>
      <c r="B8158" s="4">
        <v>0.28194444444444444</v>
      </c>
      <c r="C8158" s="5" t="s">
        <v>981</v>
      </c>
      <c r="D8158" s="5" t="s">
        <v>1317</v>
      </c>
      <c r="E8158" s="8" t="s">
        <v>1312</v>
      </c>
      <c r="F8158" s="5" t="s">
        <v>66</v>
      </c>
      <c r="G8158" s="6" t="str">
        <f>VLOOKUP(E8158,dicionario!$A$1:$C8557,2,0)</f>
        <v>#N/A</v>
      </c>
      <c r="H8158" s="6" t="str">
        <f>VLOOKUP(E8158,dicionario!$A$1:$C8557,3,0)</f>
        <v>#N/A</v>
      </c>
    </row>
    <row r="8159">
      <c r="A8159" s="3">
        <v>45750.0</v>
      </c>
      <c r="B8159" s="4">
        <v>0.28194444444444444</v>
      </c>
      <c r="C8159" s="5" t="s">
        <v>981</v>
      </c>
      <c r="D8159" s="5" t="s">
        <v>1317</v>
      </c>
      <c r="E8159" s="6" t="s">
        <v>148</v>
      </c>
      <c r="F8159" s="5" t="s">
        <v>149</v>
      </c>
      <c r="G8159" s="6" t="str">
        <f>VLOOKUP(E8159,dicionario!$A$1:$C8558,2,0)</f>
        <v>Parthenium hysterophorus</v>
      </c>
      <c r="H8159" s="6" t="str">
        <f>VLOOKUP(E8159,dicionario!$A$1:$C8558,3,0)</f>
        <v>losna-branca</v>
      </c>
    </row>
    <row r="8160">
      <c r="A8160" s="3">
        <v>45750.0</v>
      </c>
      <c r="B8160" s="4">
        <v>0.2826388888888889</v>
      </c>
      <c r="C8160" s="5" t="s">
        <v>981</v>
      </c>
      <c r="D8160" s="5" t="s">
        <v>1317</v>
      </c>
      <c r="E8160" s="8" t="s">
        <v>195</v>
      </c>
      <c r="F8160" s="5" t="s">
        <v>196</v>
      </c>
      <c r="G8160" s="6" t="str">
        <f>VLOOKUP(E8160,dicionario!$A$1:$C8559,2,0)</f>
        <v>Priva lappulacea</v>
      </c>
      <c r="H8160" s="6" t="str">
        <f>VLOOKUP(E8160,dicionario!$A$1:$C8559,3,0)</f>
        <v>carrapicho</v>
      </c>
    </row>
    <row r="8161">
      <c r="A8161" s="3">
        <v>45750.0</v>
      </c>
      <c r="B8161" s="4">
        <v>0.2826388888888889</v>
      </c>
      <c r="C8161" s="5" t="s">
        <v>981</v>
      </c>
      <c r="D8161" s="5" t="s">
        <v>1317</v>
      </c>
      <c r="E8161" s="8" t="s">
        <v>504</v>
      </c>
      <c r="F8161" s="5" t="s">
        <v>1190</v>
      </c>
      <c r="G8161" s="6" t="str">
        <f>VLOOKUP(E8161,dicionario!$A$1:$C8560,2,0)</f>
        <v>Cleome aculeata</v>
      </c>
      <c r="H8161" s="6" t="str">
        <f>VLOOKUP(E8161,dicionario!$A$1:$C8560,3,0)</f>
        <v>cleome</v>
      </c>
    </row>
    <row r="8162">
      <c r="A8162" s="3">
        <v>45750.0</v>
      </c>
      <c r="B8162" s="4">
        <v>0.2826388888888889</v>
      </c>
      <c r="C8162" s="5" t="s">
        <v>981</v>
      </c>
      <c r="D8162" s="5" t="s">
        <v>1317</v>
      </c>
      <c r="E8162" s="8" t="s">
        <v>1324</v>
      </c>
      <c r="F8162" s="5" t="s">
        <v>1246</v>
      </c>
      <c r="G8162" s="6" t="str">
        <f>VLOOKUP(E8162,dicionario!$A$1:$C8561,2,0)</f>
        <v>#N/A</v>
      </c>
      <c r="H8162" s="6" t="str">
        <f>VLOOKUP(E8162,dicionario!$A$1:$C8561,3,0)</f>
        <v>#N/A</v>
      </c>
    </row>
    <row r="8163">
      <c r="A8163" s="3">
        <v>45750.0</v>
      </c>
      <c r="B8163" s="4">
        <v>0.2833333333333333</v>
      </c>
      <c r="C8163" s="5" t="s">
        <v>981</v>
      </c>
      <c r="D8163" s="5" t="s">
        <v>1317</v>
      </c>
      <c r="E8163" s="8" t="s">
        <v>1325</v>
      </c>
      <c r="F8163" s="5" t="s">
        <v>228</v>
      </c>
      <c r="G8163" s="6" t="str">
        <f>VLOOKUP(E8163,dicionario!$A$1:$C8562,2,0)</f>
        <v>#N/A</v>
      </c>
      <c r="H8163" s="6" t="str">
        <f>VLOOKUP(E8163,dicionario!$A$1:$C8562,3,0)</f>
        <v>#N/A</v>
      </c>
    </row>
    <row r="8164">
      <c r="A8164" s="3">
        <v>45750.0</v>
      </c>
      <c r="B8164" s="4">
        <v>0.2833333333333333</v>
      </c>
      <c r="C8164" s="5" t="s">
        <v>981</v>
      </c>
      <c r="D8164" s="5" t="s">
        <v>1317</v>
      </c>
      <c r="E8164" s="8" t="s">
        <v>135</v>
      </c>
      <c r="F8164" s="5" t="s">
        <v>136</v>
      </c>
      <c r="G8164" s="6" t="str">
        <f>VLOOKUP(E8164,dicionario!$A$1:$C8563,2,0)</f>
        <v>Tridax procumbens</v>
      </c>
      <c r="H8164" s="6" t="str">
        <f>VLOOKUP(E8164,dicionario!$A$1:$C8563,3,0)</f>
        <v>erva-de-touro</v>
      </c>
    </row>
    <row r="8165">
      <c r="A8165" s="3">
        <v>45750.0</v>
      </c>
      <c r="B8165" s="4">
        <v>0.2833333333333333</v>
      </c>
      <c r="C8165" s="5" t="s">
        <v>981</v>
      </c>
      <c r="D8165" s="5" t="s">
        <v>1317</v>
      </c>
      <c r="E8165" s="8" t="s">
        <v>296</v>
      </c>
      <c r="F8165" s="5" t="s">
        <v>297</v>
      </c>
      <c r="G8165" s="6" t="str">
        <f>VLOOKUP(E8165,dicionario!$A$1:$C8564,2,0)</f>
        <v>Richardia brasiliensis</v>
      </c>
      <c r="H8165" s="6" t="str">
        <f>VLOOKUP(E8165,dicionario!$A$1:$C8564,3,0)</f>
        <v>poaia-branca</v>
      </c>
    </row>
    <row r="8166">
      <c r="A8166" s="3">
        <v>45750.0</v>
      </c>
      <c r="B8166" s="4">
        <v>0.2833333333333333</v>
      </c>
      <c r="C8166" s="5" t="s">
        <v>981</v>
      </c>
      <c r="D8166" s="5" t="s">
        <v>1317</v>
      </c>
      <c r="E8166" s="8" t="s">
        <v>1255</v>
      </c>
      <c r="F8166" s="5" t="s">
        <v>1190</v>
      </c>
      <c r="G8166" s="6" t="str">
        <f>VLOOKUP(E8166,dicionario!$A$1:$C8565,2,0)</f>
        <v>#N/A</v>
      </c>
      <c r="H8166" s="6" t="str">
        <f>VLOOKUP(E8166,dicionario!$A$1:$C8565,3,0)</f>
        <v>#N/A</v>
      </c>
    </row>
    <row r="8167">
      <c r="A8167" s="3">
        <v>45750.0</v>
      </c>
      <c r="B8167" s="4">
        <v>0.2833333333333333</v>
      </c>
      <c r="C8167" s="5" t="s">
        <v>981</v>
      </c>
      <c r="D8167" s="5" t="s">
        <v>1317</v>
      </c>
      <c r="E8167" s="8" t="s">
        <v>298</v>
      </c>
      <c r="F8167" s="7"/>
      <c r="G8167" s="6" t="str">
        <f>VLOOKUP(E8167,dicionario!$A$1:$C8566,2,0)</f>
        <v>Alysicarpus vaginalis</v>
      </c>
      <c r="H8167" s="6" t="str">
        <f>VLOOKUP(E8167,dicionario!$A$1:$C8566,3,0)</f>
        <v/>
      </c>
    </row>
    <row r="8168">
      <c r="A8168" s="3">
        <v>45750.0</v>
      </c>
      <c r="B8168" s="4">
        <v>0.2833333333333333</v>
      </c>
      <c r="C8168" s="5" t="s">
        <v>981</v>
      </c>
      <c r="D8168" s="5" t="s">
        <v>1317</v>
      </c>
      <c r="E8168" s="8" t="s">
        <v>1310</v>
      </c>
      <c r="F8168" s="5" t="s">
        <v>521</v>
      </c>
      <c r="G8168" s="6" t="str">
        <f>VLOOKUP(E8168,dicionario!$A$1:$C8567,2,0)</f>
        <v>#N/A</v>
      </c>
      <c r="H8168" s="6" t="str">
        <f>VLOOKUP(E8168,dicionario!$A$1:$C8567,3,0)</f>
        <v>#N/A</v>
      </c>
    </row>
    <row r="8169">
      <c r="A8169" s="3">
        <v>45750.0</v>
      </c>
      <c r="B8169" s="4">
        <v>0.2833333333333333</v>
      </c>
      <c r="C8169" s="5" t="s">
        <v>981</v>
      </c>
      <c r="D8169" s="5" t="s">
        <v>1317</v>
      </c>
      <c r="E8169" s="8" t="s">
        <v>1326</v>
      </c>
      <c r="F8169" s="5" t="s">
        <v>940</v>
      </c>
      <c r="G8169" s="6" t="str">
        <f>VLOOKUP(E8169,dicionario!$A$1:$C8568,2,0)</f>
        <v>#N/A</v>
      </c>
      <c r="H8169" s="6" t="str">
        <f>VLOOKUP(E8169,dicionario!$A$1:$C8568,3,0)</f>
        <v>#N/A</v>
      </c>
    </row>
    <row r="8170">
      <c r="A8170" s="3">
        <v>45750.0</v>
      </c>
      <c r="B8170" s="4">
        <v>0.28402777777777777</v>
      </c>
      <c r="C8170" s="5" t="s">
        <v>981</v>
      </c>
      <c r="D8170" s="5" t="s">
        <v>1317</v>
      </c>
      <c r="E8170" s="8" t="s">
        <v>146</v>
      </c>
      <c r="F8170" s="5" t="s">
        <v>147</v>
      </c>
      <c r="G8170" s="6" t="str">
        <f>VLOOKUP(E8170,dicionario!$A$1:$C8569,2,0)</f>
        <v>Euphorbia hirta</v>
      </c>
      <c r="H8170" s="6" t="str">
        <f>VLOOKUP(E8170,dicionario!$A$1:$C8569,3,0)</f>
        <v>erva-de-santa-luzia</v>
      </c>
    </row>
    <row r="8171">
      <c r="A8171" s="3">
        <v>45750.0</v>
      </c>
      <c r="B8171" s="4">
        <v>0.28402777777777777</v>
      </c>
      <c r="C8171" s="5" t="s">
        <v>981</v>
      </c>
      <c r="D8171" s="5" t="s">
        <v>1317</v>
      </c>
      <c r="E8171" s="8" t="s">
        <v>253</v>
      </c>
      <c r="F8171" s="5" t="s">
        <v>254</v>
      </c>
      <c r="G8171" s="6" t="str">
        <f>VLOOKUP(E8171,dicionario!$A$1:$C8570,2,0)</f>
        <v>Panicum maximum</v>
      </c>
      <c r="H8171" s="6" t="str">
        <f>VLOOKUP(E8171,dicionario!$A$1:$C8570,3,0)</f>
        <v>capim-colonião</v>
      </c>
    </row>
    <row r="8172">
      <c r="A8172" s="3">
        <v>45750.0</v>
      </c>
      <c r="B8172" s="4">
        <v>0.28402777777777777</v>
      </c>
      <c r="C8172" s="5" t="s">
        <v>981</v>
      </c>
      <c r="D8172" s="5" t="s">
        <v>1317</v>
      </c>
      <c r="E8172" s="6" t="s">
        <v>288</v>
      </c>
      <c r="F8172" s="5" t="s">
        <v>289</v>
      </c>
      <c r="G8172" s="6" t="str">
        <f>VLOOKUP(E8172,dicionario!$A$1:$C8571,2,0)</f>
        <v>Phyllanthus tenellus</v>
      </c>
      <c r="H8172" s="6" t="str">
        <f>VLOOKUP(E8172,dicionario!$A$1:$C8571,3,0)</f>
        <v>quebra-pedra</v>
      </c>
    </row>
    <row r="8173">
      <c r="A8173" s="3">
        <v>45750.0</v>
      </c>
      <c r="B8173" s="4">
        <v>0.28402777777777777</v>
      </c>
      <c r="C8173" s="5" t="s">
        <v>981</v>
      </c>
      <c r="D8173" s="5" t="s">
        <v>1317</v>
      </c>
      <c r="E8173" s="8" t="s">
        <v>191</v>
      </c>
      <c r="F8173" s="5" t="s">
        <v>192</v>
      </c>
      <c r="G8173" s="6" t="str">
        <f>VLOOKUP(E8173,dicionario!$A$1:$C8572,2,0)</f>
        <v>Patagioenas picazuro</v>
      </c>
      <c r="H8173" s="6" t="str">
        <f>VLOOKUP(E8173,dicionario!$A$1:$C8572,3,0)</f>
        <v>asa-branca; pomba-asa-branca; pocaçu</v>
      </c>
    </row>
    <row r="8174">
      <c r="A8174" s="3">
        <v>45750.0</v>
      </c>
      <c r="B8174" s="4">
        <v>0.28402777777777777</v>
      </c>
      <c r="C8174" s="5" t="s">
        <v>981</v>
      </c>
      <c r="D8174" s="5" t="s">
        <v>1317</v>
      </c>
      <c r="E8174" s="8" t="s">
        <v>141</v>
      </c>
      <c r="F8174" s="5" t="s">
        <v>142</v>
      </c>
      <c r="G8174" s="6" t="str">
        <f>VLOOKUP(E8174,dicionario!$A$1:$C8573,2,0)</f>
        <v>Ruellia blechum</v>
      </c>
      <c r="H8174" s="6" t="str">
        <f>VLOOKUP(E8174,dicionario!$A$1:$C8573,3,0)</f>
        <v>camarão-verde</v>
      </c>
    </row>
    <row r="8175">
      <c r="A8175" s="3">
        <v>45750.0</v>
      </c>
      <c r="B8175" s="4">
        <v>0.28402777777777777</v>
      </c>
      <c r="C8175" s="5" t="s">
        <v>981</v>
      </c>
      <c r="D8175" s="5" t="s">
        <v>1317</v>
      </c>
      <c r="E8175" s="6" t="s">
        <v>48</v>
      </c>
      <c r="F8175" s="5" t="s">
        <v>49</v>
      </c>
      <c r="G8175" s="6" t="str">
        <f>VLOOKUP(E8175,dicionario!$A$1:$C8574,2,0)</f>
        <v>Commelina erecta</v>
      </c>
      <c r="H8175" s="6" t="str">
        <f>VLOOKUP(E8175,dicionario!$A$1:$C8574,3,0)</f>
        <v>trapoeraba</v>
      </c>
    </row>
    <row r="8176">
      <c r="A8176" s="3">
        <v>45750.0</v>
      </c>
      <c r="B8176" s="4">
        <v>0.28402777777777777</v>
      </c>
      <c r="C8176" s="5" t="s">
        <v>981</v>
      </c>
      <c r="D8176" s="5" t="s">
        <v>1317</v>
      </c>
      <c r="E8176" s="6" t="s">
        <v>86</v>
      </c>
      <c r="F8176" s="5" t="s">
        <v>502</v>
      </c>
      <c r="G8176" s="6" t="str">
        <f>VLOOKUP(E8176,dicionario!$A$1:$C8575,2,0)</f>
        <v>Coereba flaveola</v>
      </c>
      <c r="H8176" s="6" t="str">
        <f>VLOOKUP(E8176,dicionario!$A$1:$C8575,3,0)</f>
        <v>cambacica</v>
      </c>
    </row>
    <row r="8177">
      <c r="A8177" s="3">
        <v>45750.0</v>
      </c>
      <c r="B8177" s="4">
        <v>0.28402777777777777</v>
      </c>
      <c r="C8177" s="5" t="s">
        <v>981</v>
      </c>
      <c r="D8177" s="5" t="s">
        <v>1317</v>
      </c>
      <c r="E8177" s="8" t="s">
        <v>425</v>
      </c>
      <c r="F8177" s="5" t="s">
        <v>426</v>
      </c>
      <c r="G8177" s="6" t="str">
        <f>VLOOKUP(E8177,dicionario!$A$1:$C8576,2,0)</f>
        <v>Digitaria insularis</v>
      </c>
      <c r="H8177" s="6" t="str">
        <f>VLOOKUP(E8177,dicionario!$A$1:$C8576,3,0)</f>
        <v>capim-amargoso</v>
      </c>
    </row>
    <row r="8178">
      <c r="A8178" s="3">
        <v>45750.0</v>
      </c>
      <c r="B8178" s="4">
        <v>0.28402777777777777</v>
      </c>
      <c r="C8178" s="5" t="s">
        <v>981</v>
      </c>
      <c r="D8178" s="5" t="s">
        <v>1317</v>
      </c>
      <c r="E8178" s="8" t="s">
        <v>38</v>
      </c>
      <c r="F8178" s="5" t="s">
        <v>1251</v>
      </c>
      <c r="G8178" s="6" t="str">
        <f>VLOOKUP(E8178,dicionario!$A$1:$C8577,2,0)</f>
        <v>Troglodytes musculus</v>
      </c>
      <c r="H8178" s="6" t="str">
        <f>VLOOKUP(E8178,dicionario!$A$1:$C8577,3,0)</f>
        <v>curruíra</v>
      </c>
    </row>
    <row r="8179">
      <c r="A8179" s="3">
        <v>45750.0</v>
      </c>
      <c r="B8179" s="4">
        <v>0.28402777777777777</v>
      </c>
      <c r="C8179" s="5" t="s">
        <v>981</v>
      </c>
      <c r="D8179" s="5" t="s">
        <v>1317</v>
      </c>
      <c r="E8179" s="6"/>
      <c r="F8179" s="52" t="s">
        <v>1327</v>
      </c>
      <c r="G8179" s="6" t="str">
        <f>VLOOKUP(E8179,dicionario!$A$1:$C8578,2,0)</f>
        <v>#N/A</v>
      </c>
      <c r="H8179" s="6" t="str">
        <f>VLOOKUP(E8179,dicionario!$A$1:$C8578,3,0)</f>
        <v>#N/A</v>
      </c>
    </row>
    <row r="8180">
      <c r="A8180" s="3">
        <v>45750.0</v>
      </c>
      <c r="B8180" s="4">
        <v>0.28402777777777777</v>
      </c>
      <c r="C8180" s="5" t="s">
        <v>981</v>
      </c>
      <c r="D8180" s="5" t="s">
        <v>1317</v>
      </c>
      <c r="E8180" s="8" t="s">
        <v>154</v>
      </c>
      <c r="F8180" s="5" t="s">
        <v>155</v>
      </c>
      <c r="G8180" s="6" t="str">
        <f>VLOOKUP(E8180,dicionario!$A$1:$C8579,2,0)</f>
        <v>Cyperus rotundus</v>
      </c>
      <c r="H8180" s="6" t="str">
        <f>VLOOKUP(E8180,dicionario!$A$1:$C8579,3,0)</f>
        <v>tiririca</v>
      </c>
    </row>
    <row r="8181">
      <c r="A8181" s="3">
        <v>45750.0</v>
      </c>
      <c r="B8181" s="4">
        <v>0.2847222222222222</v>
      </c>
      <c r="C8181" s="5" t="s">
        <v>981</v>
      </c>
      <c r="D8181" s="5" t="s">
        <v>1317</v>
      </c>
      <c r="E8181" s="8" t="s">
        <v>1328</v>
      </c>
      <c r="F8181" s="5" t="s">
        <v>356</v>
      </c>
      <c r="G8181" s="6" t="str">
        <f>VLOOKUP(E8181,dicionario!$A$1:$C8580,2,0)</f>
        <v>#N/A</v>
      </c>
      <c r="H8181" s="6" t="str">
        <f>VLOOKUP(E8181,dicionario!$A$1:$C8580,3,0)</f>
        <v>#N/A</v>
      </c>
    </row>
    <row r="8182">
      <c r="A8182" s="3">
        <v>45750.0</v>
      </c>
      <c r="B8182" s="4">
        <v>0.2847222222222222</v>
      </c>
      <c r="C8182" s="5" t="s">
        <v>981</v>
      </c>
      <c r="D8182" s="5" t="s">
        <v>1317</v>
      </c>
      <c r="E8182" s="6" t="s">
        <v>467</v>
      </c>
      <c r="F8182" s="5" t="s">
        <v>468</v>
      </c>
      <c r="G8182" s="6" t="str">
        <f>VLOOKUP(E8182,dicionario!$A$1:$C8581,2,0)</f>
        <v>Eleusine indica</v>
      </c>
      <c r="H8182" s="6" t="str">
        <f>VLOOKUP(E8182,dicionario!$A$1:$C8581,3,0)</f>
        <v>capim-pé-de-galinha</v>
      </c>
    </row>
    <row r="8183">
      <c r="A8183" s="3">
        <v>45750.0</v>
      </c>
      <c r="B8183" s="4">
        <v>0.2847222222222222</v>
      </c>
      <c r="C8183" s="5" t="s">
        <v>981</v>
      </c>
      <c r="D8183" s="5" t="s">
        <v>1317</v>
      </c>
      <c r="E8183" s="8" t="s">
        <v>109</v>
      </c>
      <c r="F8183" s="5" t="s">
        <v>110</v>
      </c>
      <c r="G8183" s="6" t="str">
        <f>VLOOKUP(E8183,dicionario!$A$1:$C8582,2,0)</f>
        <v>Tillandsia stricta</v>
      </c>
      <c r="H8183" s="6" t="str">
        <f>VLOOKUP(E8183,dicionario!$A$1:$C8582,3,0)</f>
        <v>cravo-do-mato</v>
      </c>
    </row>
    <row r="8184">
      <c r="A8184" s="3">
        <v>45750.0</v>
      </c>
      <c r="B8184" s="4">
        <v>0.2861111111111111</v>
      </c>
      <c r="C8184" s="5" t="s">
        <v>981</v>
      </c>
      <c r="D8184" s="5" t="s">
        <v>1317</v>
      </c>
      <c r="E8184" s="8" t="s">
        <v>1329</v>
      </c>
      <c r="F8184" s="5" t="s">
        <v>703</v>
      </c>
      <c r="G8184" s="6" t="str">
        <f>VLOOKUP(E8184,dicionario!$A$1:$C8583,2,0)</f>
        <v>#N/A</v>
      </c>
      <c r="H8184" s="6" t="str">
        <f>VLOOKUP(E8184,dicionario!$A$1:$C8583,3,0)</f>
        <v>#N/A</v>
      </c>
    </row>
    <row r="8185">
      <c r="A8185" s="3">
        <v>45750.0</v>
      </c>
      <c r="B8185" s="4">
        <v>0.2861111111111111</v>
      </c>
      <c r="C8185" s="5" t="s">
        <v>981</v>
      </c>
      <c r="D8185" s="5" t="s">
        <v>1317</v>
      </c>
      <c r="E8185" s="8" t="s">
        <v>69</v>
      </c>
      <c r="F8185" s="5" t="s">
        <v>1330</v>
      </c>
      <c r="G8185" s="6" t="str">
        <f>VLOOKUP(E8185,dicionario!$A$1:$C8584,2,0)</f>
        <v>Talinum fruticosum</v>
      </c>
      <c r="H8185" s="6" t="str">
        <f>VLOOKUP(E8185,dicionario!$A$1:$C8584,3,0)</f>
        <v>beldroega-grande</v>
      </c>
    </row>
    <row r="8186">
      <c r="A8186" s="3">
        <v>45750.0</v>
      </c>
      <c r="B8186" s="4">
        <v>0.2861111111111111</v>
      </c>
      <c r="C8186" s="5" t="s">
        <v>981</v>
      </c>
      <c r="D8186" s="5" t="s">
        <v>1317</v>
      </c>
      <c r="E8186" s="6" t="s">
        <v>366</v>
      </c>
      <c r="F8186" s="5" t="s">
        <v>367</v>
      </c>
      <c r="G8186" s="6" t="str">
        <f>VLOOKUP(E8186,dicionario!$A$1:$C8585,2,0)</f>
        <v>Alternanthera ficoidea</v>
      </c>
      <c r="H8186" s="6" t="str">
        <f>VLOOKUP(E8186,dicionario!$A$1:$C8585,3,0)</f>
        <v>quebra-panela</v>
      </c>
    </row>
    <row r="8187">
      <c r="A8187" s="3">
        <v>45750.0</v>
      </c>
      <c r="B8187" s="4">
        <v>0.2861111111111111</v>
      </c>
      <c r="C8187" s="5" t="s">
        <v>981</v>
      </c>
      <c r="D8187" s="5" t="s">
        <v>1317</v>
      </c>
      <c r="E8187" s="8" t="s">
        <v>1331</v>
      </c>
      <c r="F8187" s="5" t="s">
        <v>464</v>
      </c>
      <c r="G8187" s="6" t="str">
        <f>VLOOKUP(E8187,dicionario!$A$1:$C8586,2,0)</f>
        <v>#N/A</v>
      </c>
      <c r="H8187" s="6" t="str">
        <f>VLOOKUP(E8187,dicionario!$A$1:$C8586,3,0)</f>
        <v>#N/A</v>
      </c>
    </row>
    <row r="8188">
      <c r="A8188" s="3">
        <v>45750.0</v>
      </c>
      <c r="B8188" s="4">
        <v>0.2861111111111111</v>
      </c>
      <c r="C8188" s="5" t="s">
        <v>981</v>
      </c>
      <c r="D8188" s="5" t="s">
        <v>1317</v>
      </c>
      <c r="E8188" s="8" t="s">
        <v>1310</v>
      </c>
      <c r="F8188" s="5" t="s">
        <v>521</v>
      </c>
      <c r="G8188" s="6" t="str">
        <f>VLOOKUP(E8188,dicionario!$A$1:$C8587,2,0)</f>
        <v>#N/A</v>
      </c>
      <c r="H8188" s="6" t="str">
        <f>VLOOKUP(E8188,dicionario!$A$1:$C8587,3,0)</f>
        <v>#N/A</v>
      </c>
    </row>
    <row r="8189">
      <c r="A8189" s="3">
        <v>45750.0</v>
      </c>
      <c r="B8189" s="4">
        <v>0.2861111111111111</v>
      </c>
      <c r="C8189" s="5" t="s">
        <v>981</v>
      </c>
      <c r="D8189" s="5" t="s">
        <v>1317</v>
      </c>
      <c r="E8189" s="6" t="s">
        <v>471</v>
      </c>
      <c r="F8189" s="5" t="s">
        <v>472</v>
      </c>
      <c r="G8189" s="6" t="str">
        <f>VLOOKUP(E8189,dicionario!$A$1:$C8588,2,0)</f>
        <v>Sida acuta</v>
      </c>
      <c r="H8189" s="6" t="str">
        <f>VLOOKUP(E8189,dicionario!$A$1:$C8588,3,0)</f>
        <v>reloginho</v>
      </c>
    </row>
    <row r="8190">
      <c r="A8190" s="3">
        <v>45750.0</v>
      </c>
      <c r="B8190" s="4">
        <v>0.2861111111111111</v>
      </c>
      <c r="C8190" s="5" t="s">
        <v>981</v>
      </c>
      <c r="D8190" s="5" t="s">
        <v>1317</v>
      </c>
      <c r="E8190" s="8" t="s">
        <v>239</v>
      </c>
      <c r="F8190" s="5" t="s">
        <v>240</v>
      </c>
      <c r="G8190" s="6" t="str">
        <f>VLOOKUP(E8190,dicionario!$A$1:$C8589,2,0)</f>
        <v>Gomphrena celosioides</v>
      </c>
      <c r="H8190" s="6" t="str">
        <f>VLOOKUP(E8190,dicionario!$A$1:$C8589,3,0)</f>
        <v>perpétua-branca</v>
      </c>
    </row>
    <row r="8191">
      <c r="A8191" s="3">
        <v>45750.0</v>
      </c>
      <c r="B8191" s="4">
        <v>0.2861111111111111</v>
      </c>
      <c r="C8191" s="5" t="s">
        <v>981</v>
      </c>
      <c r="D8191" s="5" t="s">
        <v>1317</v>
      </c>
      <c r="E8191" s="8" t="s">
        <v>150</v>
      </c>
      <c r="F8191" s="5" t="s">
        <v>151</v>
      </c>
      <c r="G8191" s="6" t="str">
        <f>VLOOKUP(E8191,dicionario!$A$1:$C8590,2,0)</f>
        <v>Amaranthus viridis</v>
      </c>
      <c r="H8191" s="6" t="str">
        <f>VLOOKUP(E8191,dicionario!$A$1:$C8590,3,0)</f>
        <v>caruru-de-mancha</v>
      </c>
    </row>
    <row r="8192">
      <c r="A8192" s="3">
        <v>45750.0</v>
      </c>
      <c r="B8192" s="4">
        <v>0.2875</v>
      </c>
      <c r="C8192" s="5" t="s">
        <v>981</v>
      </c>
      <c r="D8192" s="5" t="s">
        <v>1317</v>
      </c>
      <c r="E8192" s="8" t="s">
        <v>1332</v>
      </c>
      <c r="F8192" s="5" t="s">
        <v>145</v>
      </c>
      <c r="G8192" s="6" t="str">
        <f>VLOOKUP(E8192,dicionario!$A$1:$C8591,2,0)</f>
        <v>#N/A</v>
      </c>
      <c r="H8192" s="6" t="str">
        <f>VLOOKUP(E8192,dicionario!$A$1:$C8591,3,0)</f>
        <v>#N/A</v>
      </c>
    </row>
    <row r="8193">
      <c r="A8193" s="3">
        <v>45750.0</v>
      </c>
      <c r="B8193" s="4">
        <v>0.2875</v>
      </c>
      <c r="C8193" s="5" t="s">
        <v>981</v>
      </c>
      <c r="D8193" s="5" t="s">
        <v>1317</v>
      </c>
      <c r="E8193" s="8" t="s">
        <v>245</v>
      </c>
      <c r="F8193" s="5" t="s">
        <v>1106</v>
      </c>
      <c r="G8193" s="6" t="str">
        <f>VLOOKUP(E8193,dicionario!$A$1:$C8592,2,0)</f>
        <v>Hemiargus hanno</v>
      </c>
      <c r="H8193" s="6" t="str">
        <f>VLOOKUP(E8193,dicionario!$A$1:$C8592,3,0)</f>
        <v>borboleta-azulzinha-do-trevo</v>
      </c>
    </row>
    <row r="8194">
      <c r="A8194" s="3">
        <v>45750.0</v>
      </c>
      <c r="B8194" s="4">
        <v>0.2875</v>
      </c>
      <c r="C8194" s="5" t="s">
        <v>981</v>
      </c>
      <c r="D8194" s="5" t="s">
        <v>1317</v>
      </c>
      <c r="E8194" s="6" t="s">
        <v>613</v>
      </c>
      <c r="F8194" s="5" t="s">
        <v>614</v>
      </c>
      <c r="G8194" s="6" t="str">
        <f>VLOOKUP(E8194,dicionario!$A$1:$C8593,2,0)</f>
        <v>Euphorbia hyssopifolia</v>
      </c>
      <c r="H8194" s="6" t="str">
        <f>VLOOKUP(E8194,dicionario!$A$1:$C8593,3,0)</f>
        <v>maria-leite</v>
      </c>
    </row>
    <row r="8195">
      <c r="A8195" s="3">
        <v>45750.0</v>
      </c>
      <c r="B8195" s="4">
        <v>0.2881944444444444</v>
      </c>
      <c r="C8195" s="5" t="s">
        <v>981</v>
      </c>
      <c r="D8195" s="5" t="s">
        <v>1317</v>
      </c>
      <c r="E8195" s="8" t="s">
        <v>1333</v>
      </c>
      <c r="F8195" s="5" t="s">
        <v>1256</v>
      </c>
      <c r="G8195" s="6" t="str">
        <f>VLOOKUP(E8195,dicionario!$A$1:$C8594,2,0)</f>
        <v>#N/A</v>
      </c>
      <c r="H8195" s="6" t="str">
        <f>VLOOKUP(E8195,dicionario!$A$1:$C8594,3,0)</f>
        <v>#N/A</v>
      </c>
    </row>
    <row r="8196">
      <c r="A8196" s="3">
        <v>45750.0</v>
      </c>
      <c r="B8196" s="4">
        <v>0.2881944444444444</v>
      </c>
      <c r="C8196" s="5" t="s">
        <v>981</v>
      </c>
      <c r="D8196" s="5" t="s">
        <v>1317</v>
      </c>
      <c r="E8196" s="8" t="s">
        <v>1282</v>
      </c>
      <c r="F8196" s="5" t="s">
        <v>182</v>
      </c>
      <c r="G8196" s="6" t="str">
        <f>VLOOKUP(E8196,dicionario!$A$1:$C8595,2,0)</f>
        <v>#N/A</v>
      </c>
      <c r="H8196" s="6" t="str">
        <f>VLOOKUP(E8196,dicionario!$A$1:$C8595,3,0)</f>
        <v>#N/A</v>
      </c>
    </row>
    <row r="8197">
      <c r="A8197" s="3">
        <v>45750.0</v>
      </c>
      <c r="B8197" s="4">
        <v>0.2881944444444444</v>
      </c>
      <c r="C8197" s="5" t="s">
        <v>981</v>
      </c>
      <c r="D8197" s="5" t="s">
        <v>1317</v>
      </c>
      <c r="E8197" s="8" t="s">
        <v>631</v>
      </c>
      <c r="F8197" s="5" t="s">
        <v>632</v>
      </c>
      <c r="G8197" s="6" t="str">
        <f>VLOOKUP(E8197,dicionario!$A$1:$C8596,2,0)</f>
        <v>Chamaecrista nictitans</v>
      </c>
      <c r="H8197" s="6" t="str">
        <f>VLOOKUP(E8197,dicionario!$A$1:$C8596,3,0)</f>
        <v>falsa-dormideira</v>
      </c>
    </row>
    <row r="8198">
      <c r="A8198" s="3">
        <v>45750.0</v>
      </c>
      <c r="B8198" s="4">
        <v>0.2881944444444444</v>
      </c>
      <c r="C8198" s="5" t="s">
        <v>981</v>
      </c>
      <c r="D8198" s="5" t="s">
        <v>1317</v>
      </c>
      <c r="E8198" s="8" t="s">
        <v>1334</v>
      </c>
      <c r="F8198" s="5" t="s">
        <v>84</v>
      </c>
      <c r="G8198" s="6" t="str">
        <f>VLOOKUP(E8198,dicionario!$A$1:$C8597,2,0)</f>
        <v>#N/A</v>
      </c>
      <c r="H8198" s="6" t="str">
        <f>VLOOKUP(E8198,dicionario!$A$1:$C8597,3,0)</f>
        <v>#N/A</v>
      </c>
    </row>
    <row r="8199">
      <c r="A8199" s="3">
        <v>45750.0</v>
      </c>
      <c r="B8199" s="4">
        <v>0.28888888888888886</v>
      </c>
      <c r="C8199" s="5" t="s">
        <v>981</v>
      </c>
      <c r="D8199" s="5" t="s">
        <v>1317</v>
      </c>
      <c r="E8199" s="6" t="s">
        <v>290</v>
      </c>
      <c r="F8199" s="5" t="s">
        <v>291</v>
      </c>
      <c r="G8199" s="6" t="str">
        <f>VLOOKUP(E8199,dicionario!$A$1:$C8598,2,0)</f>
        <v>Drymaria cordata</v>
      </c>
      <c r="H8199" s="6" t="str">
        <f>VLOOKUP(E8199,dicionario!$A$1:$C8598,3,0)</f>
        <v>orelha-de-rato</v>
      </c>
    </row>
    <row r="8200">
      <c r="A8200" s="3">
        <v>45750.0</v>
      </c>
      <c r="B8200" s="4">
        <v>0.2902777777777778</v>
      </c>
      <c r="C8200" s="5" t="s">
        <v>981</v>
      </c>
      <c r="D8200" s="5" t="s">
        <v>1317</v>
      </c>
      <c r="E8200" s="8" t="s">
        <v>539</v>
      </c>
      <c r="F8200" s="5" t="s">
        <v>540</v>
      </c>
      <c r="G8200" s="6" t="str">
        <f>VLOOKUP(E8200,dicionario!$A$1:$C8599,2,0)</f>
        <v>#N/A</v>
      </c>
      <c r="H8200" s="6" t="str">
        <f>VLOOKUP(E8200,dicionario!$A$1:$C8599,3,0)</f>
        <v>#N/A</v>
      </c>
    </row>
    <row r="8201">
      <c r="A8201" s="3">
        <v>45750.0</v>
      </c>
      <c r="B8201" s="4">
        <v>0.2902777777777778</v>
      </c>
      <c r="C8201" s="5" t="s">
        <v>981</v>
      </c>
      <c r="D8201" s="5" t="s">
        <v>1317</v>
      </c>
      <c r="E8201" s="8" t="s">
        <v>1115</v>
      </c>
      <c r="F8201" s="5" t="s">
        <v>1116</v>
      </c>
      <c r="G8201" s="6" t="str">
        <f>VLOOKUP(E8201,dicionario!$A$1:$C8600,2,0)</f>
        <v>#N/A</v>
      </c>
      <c r="H8201" s="6" t="str">
        <f>VLOOKUP(E8201,dicionario!$A$1:$C8600,3,0)</f>
        <v>#N/A</v>
      </c>
    </row>
    <row r="8202">
      <c r="A8202" s="3">
        <v>45750.0</v>
      </c>
      <c r="B8202" s="4">
        <v>0.2902777777777778</v>
      </c>
      <c r="C8202" s="5" t="s">
        <v>981</v>
      </c>
      <c r="D8202" s="5" t="s">
        <v>1317</v>
      </c>
      <c r="E8202" s="8" t="s">
        <v>324</v>
      </c>
      <c r="F8202" s="5" t="s">
        <v>325</v>
      </c>
      <c r="G8202" s="6" t="str">
        <f>VLOOKUP(E8202,dicionario!$A$1:$C8601,2,0)</f>
        <v>#N/A</v>
      </c>
      <c r="H8202" s="6" t="str">
        <f>VLOOKUP(E8202,dicionario!$A$1:$C8601,3,0)</f>
        <v>#N/A</v>
      </c>
    </row>
    <row r="8203">
      <c r="A8203" s="3">
        <v>45750.0</v>
      </c>
      <c r="B8203" s="4">
        <v>0.2902777777777778</v>
      </c>
      <c r="C8203" s="5" t="s">
        <v>981</v>
      </c>
      <c r="D8203" s="5" t="s">
        <v>1317</v>
      </c>
      <c r="E8203" s="8" t="s">
        <v>1335</v>
      </c>
      <c r="F8203" s="5" t="s">
        <v>44</v>
      </c>
      <c r="G8203" s="6" t="str">
        <f>VLOOKUP(E8203,dicionario!$A$1:$C8602,2,0)</f>
        <v>#N/A</v>
      </c>
      <c r="H8203" s="6" t="str">
        <f>VLOOKUP(E8203,dicionario!$A$1:$C8602,3,0)</f>
        <v>#N/A</v>
      </c>
    </row>
    <row r="8204">
      <c r="A8204" s="3">
        <v>45750.0</v>
      </c>
      <c r="B8204" s="4">
        <v>0.2902777777777778</v>
      </c>
      <c r="C8204" s="5" t="s">
        <v>981</v>
      </c>
      <c r="D8204" s="5" t="s">
        <v>1317</v>
      </c>
      <c r="E8204" s="8" t="s">
        <v>1336</v>
      </c>
      <c r="F8204" s="5" t="s">
        <v>226</v>
      </c>
      <c r="G8204" s="6" t="str">
        <f>VLOOKUP(E8204,dicionario!$A$1:$C8603,2,0)</f>
        <v>#N/A</v>
      </c>
      <c r="H8204" s="6" t="str">
        <f>VLOOKUP(E8204,dicionario!$A$1:$C8603,3,0)</f>
        <v>#N/A</v>
      </c>
    </row>
    <row r="8205">
      <c r="A8205" s="3">
        <v>45750.0</v>
      </c>
      <c r="B8205" s="4">
        <v>0.2902777777777778</v>
      </c>
      <c r="C8205" s="5" t="s">
        <v>981</v>
      </c>
      <c r="D8205" s="5" t="s">
        <v>1317</v>
      </c>
      <c r="E8205" s="8" t="s">
        <v>1337</v>
      </c>
      <c r="F8205" s="5" t="s">
        <v>178</v>
      </c>
      <c r="G8205" s="6" t="str">
        <f>VLOOKUP(E8205,dicionario!$A$1:$C8604,2,0)</f>
        <v>#N/A</v>
      </c>
      <c r="H8205" s="6" t="str">
        <f>VLOOKUP(E8205,dicionario!$A$1:$C8604,3,0)</f>
        <v>#N/A</v>
      </c>
    </row>
    <row r="8206">
      <c r="A8206" s="3">
        <v>45750.0</v>
      </c>
      <c r="B8206" s="4">
        <v>0.29097222222222224</v>
      </c>
      <c r="C8206" s="5" t="s">
        <v>981</v>
      </c>
      <c r="D8206" s="5" t="s">
        <v>1317</v>
      </c>
      <c r="E8206" s="8" t="s">
        <v>158</v>
      </c>
      <c r="F8206" s="5" t="s">
        <v>159</v>
      </c>
      <c r="G8206" s="6" t="str">
        <f>VLOOKUP(E8206,dicionario!$A$1:$C8605,2,0)</f>
        <v>Nephilingis cruentata</v>
      </c>
      <c r="H8206" s="6" t="str">
        <f>VLOOKUP(E8206,dicionario!$A$1:$C8605,3,0)</f>
        <v>maria-bola</v>
      </c>
    </row>
    <row r="8207">
      <c r="A8207" s="3">
        <v>45750.0</v>
      </c>
      <c r="B8207" s="4">
        <v>0.29097222222222224</v>
      </c>
      <c r="C8207" s="5" t="s">
        <v>981</v>
      </c>
      <c r="D8207" s="5" t="s">
        <v>1317</v>
      </c>
      <c r="E8207" s="8" t="s">
        <v>41</v>
      </c>
      <c r="F8207" s="5" t="s">
        <v>45</v>
      </c>
      <c r="G8207" s="6" t="str">
        <f>VLOOKUP(E8207,dicionario!$A$1:$C8606,2,0)</f>
        <v>Mimosa pudica</v>
      </c>
      <c r="H8207" s="6" t="str">
        <f>VLOOKUP(E8207,dicionario!$A$1:$C8606,3,0)</f>
        <v>dormideira</v>
      </c>
    </row>
    <row r="8208">
      <c r="A8208" s="3">
        <v>45750.0</v>
      </c>
      <c r="B8208" s="4">
        <v>0.2916666666666667</v>
      </c>
      <c r="C8208" s="5" t="s">
        <v>981</v>
      </c>
      <c r="D8208" s="5" t="s">
        <v>1317</v>
      </c>
      <c r="E8208" s="8" t="s">
        <v>732</v>
      </c>
      <c r="F8208" s="7"/>
      <c r="G8208" s="6" t="str">
        <f>VLOOKUP(E8208,dicionario!$A$1:$C8607,2,0)</f>
        <v>#N/A</v>
      </c>
      <c r="H8208" s="6" t="str">
        <f>VLOOKUP(E8208,dicionario!$A$1:$C8607,3,0)</f>
        <v>#N/A</v>
      </c>
    </row>
    <row r="8209">
      <c r="A8209" s="3">
        <v>45750.0</v>
      </c>
      <c r="B8209" s="4">
        <v>0.2916666666666667</v>
      </c>
      <c r="C8209" s="5" t="s">
        <v>981</v>
      </c>
      <c r="D8209" s="5" t="s">
        <v>1317</v>
      </c>
      <c r="E8209" s="8" t="s">
        <v>286</v>
      </c>
      <c r="F8209" s="5" t="s">
        <v>287</v>
      </c>
      <c r="G8209" s="6" t="str">
        <f>VLOOKUP(E8209,dicionario!$A$1:$C8608,2,0)</f>
        <v>Setaria parviflora</v>
      </c>
      <c r="H8209" s="6" t="str">
        <f>VLOOKUP(E8209,dicionario!$A$1:$C8608,3,0)</f>
        <v>capim-rabo-de-raposa</v>
      </c>
    </row>
    <row r="8210">
      <c r="A8210" s="3">
        <v>45750.0</v>
      </c>
      <c r="B8210" s="4">
        <v>0.2923611111111111</v>
      </c>
      <c r="C8210" s="5" t="s">
        <v>981</v>
      </c>
      <c r="D8210" s="5" t="s">
        <v>1317</v>
      </c>
      <c r="E8210" s="8" t="s">
        <v>1338</v>
      </c>
      <c r="F8210" s="5" t="s">
        <v>862</v>
      </c>
      <c r="G8210" s="6" t="str">
        <f>VLOOKUP(E8210,dicionario!$A$1:$C8609,2,0)</f>
        <v>#N/A</v>
      </c>
      <c r="H8210" s="6" t="str">
        <f>VLOOKUP(E8210,dicionario!$A$1:$C8609,3,0)</f>
        <v>#N/A</v>
      </c>
    </row>
    <row r="8211">
      <c r="A8211" s="3">
        <v>45750.0</v>
      </c>
      <c r="B8211" s="4">
        <v>0.29930555555555555</v>
      </c>
      <c r="C8211" s="5" t="s">
        <v>64</v>
      </c>
      <c r="D8211" s="5" t="s">
        <v>1317</v>
      </c>
      <c r="E8211" s="8" t="s">
        <v>193</v>
      </c>
      <c r="F8211" s="5" t="s">
        <v>194</v>
      </c>
      <c r="G8211" s="6" t="str">
        <f>VLOOKUP(E8211,dicionario!$A$1:$C8610,2,0)</f>
        <v>Conirostrum speciosum</v>
      </c>
      <c r="H8211" s="6" t="str">
        <f>VLOOKUP(E8211,dicionario!$A$1:$C8610,3,0)</f>
        <v>figuinha-de-rabo-castanho</v>
      </c>
    </row>
    <row r="8212">
      <c r="A8212" s="3">
        <v>45750.0</v>
      </c>
      <c r="B8212" s="4">
        <v>0.29930555555555555</v>
      </c>
      <c r="C8212" s="5" t="s">
        <v>64</v>
      </c>
      <c r="D8212" s="5" t="s">
        <v>1317</v>
      </c>
      <c r="E8212" s="8" t="s">
        <v>1337</v>
      </c>
      <c r="F8212" s="5" t="s">
        <v>178</v>
      </c>
      <c r="G8212" s="6" t="str">
        <f>VLOOKUP(E8212,dicionario!$A$1:$C8611,2,0)</f>
        <v>#N/A</v>
      </c>
      <c r="H8212" s="6" t="str">
        <f>VLOOKUP(E8212,dicionario!$A$1:$C8611,3,0)</f>
        <v>#N/A</v>
      </c>
    </row>
    <row r="8213">
      <c r="A8213" s="3">
        <v>45750.0</v>
      </c>
      <c r="B8213" s="4">
        <v>0.29930555555555555</v>
      </c>
      <c r="C8213" s="5" t="s">
        <v>64</v>
      </c>
      <c r="D8213" s="5" t="s">
        <v>1317</v>
      </c>
      <c r="E8213" s="8" t="s">
        <v>1312</v>
      </c>
      <c r="F8213" s="5" t="s">
        <v>66</v>
      </c>
      <c r="G8213" s="6" t="str">
        <f>VLOOKUP(E8213,dicionario!$A$1:$C8612,2,0)</f>
        <v>#N/A</v>
      </c>
      <c r="H8213" s="6" t="str">
        <f>VLOOKUP(E8213,dicionario!$A$1:$C8612,3,0)</f>
        <v>#N/A</v>
      </c>
    </row>
    <row r="8214">
      <c r="A8214" s="3">
        <v>45750.0</v>
      </c>
      <c r="B8214" s="4">
        <v>0.29930555555555555</v>
      </c>
      <c r="C8214" s="5" t="s">
        <v>64</v>
      </c>
      <c r="D8214" s="5" t="s">
        <v>1317</v>
      </c>
      <c r="E8214" s="6" t="s">
        <v>148</v>
      </c>
      <c r="F8214" s="5" t="s">
        <v>149</v>
      </c>
      <c r="G8214" s="6" t="str">
        <f>VLOOKUP(E8214,dicionario!$A$1:$C8613,2,0)</f>
        <v>Parthenium hysterophorus</v>
      </c>
      <c r="H8214" s="6" t="str">
        <f>VLOOKUP(E8214,dicionario!$A$1:$C8613,3,0)</f>
        <v>losna-branca</v>
      </c>
    </row>
    <row r="8215">
      <c r="A8215" s="3">
        <v>45750.0</v>
      </c>
      <c r="B8215" s="4">
        <v>0.29930555555555555</v>
      </c>
      <c r="C8215" s="5" t="s">
        <v>64</v>
      </c>
      <c r="D8215" s="5" t="s">
        <v>1317</v>
      </c>
      <c r="E8215" s="8" t="s">
        <v>195</v>
      </c>
      <c r="F8215" s="5" t="s">
        <v>196</v>
      </c>
      <c r="G8215" s="6" t="str">
        <f>VLOOKUP(E8215,dicionario!$A$1:$C8614,2,0)</f>
        <v>Priva lappulacea</v>
      </c>
      <c r="H8215" s="6" t="str">
        <f>VLOOKUP(E8215,dicionario!$A$1:$C8614,3,0)</f>
        <v>carrapicho</v>
      </c>
    </row>
    <row r="8216">
      <c r="A8216" s="3">
        <v>45750.0</v>
      </c>
      <c r="B8216" s="4">
        <v>0.3</v>
      </c>
      <c r="C8216" s="5" t="s">
        <v>64</v>
      </c>
      <c r="D8216" s="5" t="s">
        <v>1317</v>
      </c>
      <c r="E8216" s="8" t="s">
        <v>1339</v>
      </c>
      <c r="F8216" s="5" t="s">
        <v>73</v>
      </c>
      <c r="G8216" s="6" t="str">
        <f>VLOOKUP(E8216,dicionario!$A$1:$C8615,2,0)</f>
        <v>#N/A</v>
      </c>
      <c r="H8216" s="6" t="str">
        <f>VLOOKUP(E8216,dicionario!$A$1:$C8615,3,0)</f>
        <v>#N/A</v>
      </c>
    </row>
    <row r="8217">
      <c r="A8217" s="3">
        <v>45750.0</v>
      </c>
      <c r="B8217" s="4">
        <v>0.3</v>
      </c>
      <c r="C8217" s="5" t="s">
        <v>64</v>
      </c>
      <c r="D8217" s="5" t="s">
        <v>1317</v>
      </c>
      <c r="E8217" s="8" t="s">
        <v>109</v>
      </c>
      <c r="F8217" s="5" t="s">
        <v>110</v>
      </c>
      <c r="G8217" s="6" t="str">
        <f>VLOOKUP(E8217,dicionario!$A$1:$C8616,2,0)</f>
        <v>Tillandsia stricta</v>
      </c>
      <c r="H8217" s="6" t="str">
        <f>VLOOKUP(E8217,dicionario!$A$1:$C8616,3,0)</f>
        <v>cravo-do-mato</v>
      </c>
    </row>
    <row r="8218">
      <c r="A8218" s="3">
        <v>45750.0</v>
      </c>
      <c r="B8218" s="4">
        <v>0.3</v>
      </c>
      <c r="C8218" s="5" t="s">
        <v>64</v>
      </c>
      <c r="D8218" s="5" t="s">
        <v>1317</v>
      </c>
      <c r="E8218" s="6" t="s">
        <v>86</v>
      </c>
      <c r="F8218" s="5" t="s">
        <v>502</v>
      </c>
      <c r="G8218" s="6" t="str">
        <f>VLOOKUP(E8218,dicionario!$A$1:$C8617,2,0)</f>
        <v>Coereba flaveola</v>
      </c>
      <c r="H8218" s="6" t="str">
        <f>VLOOKUP(E8218,dicionario!$A$1:$C8617,3,0)</f>
        <v>cambacica</v>
      </c>
    </row>
    <row r="8219">
      <c r="A8219" s="3">
        <v>45750.0</v>
      </c>
      <c r="B8219" s="4">
        <v>0.3</v>
      </c>
      <c r="C8219" s="5" t="s">
        <v>64</v>
      </c>
      <c r="D8219" s="5" t="s">
        <v>1317</v>
      </c>
      <c r="E8219" s="8" t="s">
        <v>154</v>
      </c>
      <c r="F8219" s="5" t="s">
        <v>155</v>
      </c>
      <c r="G8219" s="6" t="str">
        <f>VLOOKUP(E8219,dicionario!$A$1:$C8618,2,0)</f>
        <v>Cyperus rotundus</v>
      </c>
      <c r="H8219" s="6" t="str">
        <f>VLOOKUP(E8219,dicionario!$A$1:$C8618,3,0)</f>
        <v>tiririca</v>
      </c>
    </row>
    <row r="8220">
      <c r="A8220" s="3">
        <v>45750.0</v>
      </c>
      <c r="B8220" s="4">
        <v>0.3</v>
      </c>
      <c r="C8220" s="5" t="s">
        <v>64</v>
      </c>
      <c r="D8220" s="5" t="s">
        <v>1317</v>
      </c>
      <c r="E8220" s="8" t="s">
        <v>758</v>
      </c>
      <c r="F8220" s="5" t="s">
        <v>759</v>
      </c>
      <c r="G8220" s="6" t="str">
        <f>VLOOKUP(E8220,dicionario!$A$1:$C8619,2,0)</f>
        <v>Cyperus esculentus</v>
      </c>
      <c r="H8220" s="6" t="str">
        <f>VLOOKUP(E8220,dicionario!$A$1:$C8619,3,0)</f>
        <v>tiriricão</v>
      </c>
    </row>
    <row r="8221">
      <c r="A8221" s="3">
        <v>45750.0</v>
      </c>
      <c r="B8221" s="4">
        <v>0.3</v>
      </c>
      <c r="C8221" s="5" t="s">
        <v>64</v>
      </c>
      <c r="D8221" s="5" t="s">
        <v>1317</v>
      </c>
      <c r="E8221" s="8" t="s">
        <v>1311</v>
      </c>
      <c r="F8221" s="5" t="s">
        <v>114</v>
      </c>
      <c r="G8221" s="6" t="str">
        <f>VLOOKUP(E8221,dicionario!$A$1:$C8620,2,0)</f>
        <v>#N/A</v>
      </c>
      <c r="H8221" s="6" t="str">
        <f>VLOOKUP(E8221,dicionario!$A$1:$C8620,3,0)</f>
        <v>#N/A</v>
      </c>
    </row>
    <row r="8222">
      <c r="A8222" s="3">
        <v>45750.0</v>
      </c>
      <c r="B8222" s="4">
        <v>0.3</v>
      </c>
      <c r="C8222" s="5" t="s">
        <v>64</v>
      </c>
      <c r="D8222" s="5" t="s">
        <v>1317</v>
      </c>
      <c r="E8222" s="8" t="s">
        <v>1340</v>
      </c>
      <c r="F8222" s="5" t="s">
        <v>106</v>
      </c>
      <c r="G8222" s="6" t="str">
        <f>VLOOKUP(E8222,dicionario!$A$1:$C8621,2,0)</f>
        <v>#N/A</v>
      </c>
      <c r="H8222" s="6" t="str">
        <f>VLOOKUP(E8222,dicionario!$A$1:$C8621,3,0)</f>
        <v>#N/A</v>
      </c>
    </row>
    <row r="8223">
      <c r="A8223" s="3">
        <v>45750.0</v>
      </c>
      <c r="B8223" s="4">
        <v>0.30069444444444443</v>
      </c>
      <c r="C8223" s="5" t="s">
        <v>64</v>
      </c>
      <c r="D8223" s="5" t="s">
        <v>1317</v>
      </c>
      <c r="E8223" s="6" t="s">
        <v>48</v>
      </c>
      <c r="F8223" s="5" t="s">
        <v>49</v>
      </c>
      <c r="G8223" s="6" t="str">
        <f>VLOOKUP(E8223,dicionario!$A$1:$C8622,2,0)</f>
        <v>Commelina erecta</v>
      </c>
      <c r="H8223" s="6" t="str">
        <f>VLOOKUP(E8223,dicionario!$A$1:$C8622,3,0)</f>
        <v>trapoeraba</v>
      </c>
    </row>
    <row r="8224">
      <c r="A8224" s="3">
        <v>45750.0</v>
      </c>
      <c r="B8224" s="4">
        <v>0.30069444444444443</v>
      </c>
      <c r="C8224" s="5" t="s">
        <v>64</v>
      </c>
      <c r="D8224" s="5" t="s">
        <v>1317</v>
      </c>
      <c r="E8224" s="8" t="s">
        <v>1341</v>
      </c>
      <c r="F8224" s="5" t="s">
        <v>464</v>
      </c>
      <c r="G8224" s="6" t="str">
        <f>VLOOKUP(E8224,dicionario!$A$1:$C8623,2,0)</f>
        <v>#N/A</v>
      </c>
      <c r="H8224" s="6" t="str">
        <f>VLOOKUP(E8224,dicionario!$A$1:$C8623,3,0)</f>
        <v>#N/A</v>
      </c>
    </row>
    <row r="8225">
      <c r="A8225" s="3">
        <v>45750.0</v>
      </c>
      <c r="B8225" s="4">
        <v>0.30069444444444443</v>
      </c>
      <c r="C8225" s="5" t="s">
        <v>64</v>
      </c>
      <c r="D8225" s="5" t="s">
        <v>1317</v>
      </c>
      <c r="E8225" s="8" t="s">
        <v>296</v>
      </c>
      <c r="F8225" s="5" t="s">
        <v>297</v>
      </c>
      <c r="G8225" s="6" t="str">
        <f>VLOOKUP(E8225,dicionario!$A$1:$C8624,2,0)</f>
        <v>Richardia brasiliensis</v>
      </c>
      <c r="H8225" s="6" t="str">
        <f>VLOOKUP(E8225,dicionario!$A$1:$C8624,3,0)</f>
        <v>poaia-branca</v>
      </c>
    </row>
    <row r="8226">
      <c r="A8226" s="3">
        <v>45750.0</v>
      </c>
      <c r="B8226" s="4">
        <v>0.30069444444444443</v>
      </c>
      <c r="C8226" s="5" t="s">
        <v>64</v>
      </c>
      <c r="D8226" s="5" t="s">
        <v>1317</v>
      </c>
      <c r="E8226" s="8" t="s">
        <v>1342</v>
      </c>
      <c r="F8226" s="5" t="s">
        <v>1343</v>
      </c>
      <c r="G8226" s="6" t="str">
        <f>VLOOKUP(E8226,dicionario!$A$1:$C8625,2,0)</f>
        <v>#N/A</v>
      </c>
      <c r="H8226" s="6" t="str">
        <f>VLOOKUP(E8226,dicionario!$A$1:$C8625,3,0)</f>
        <v>#N/A</v>
      </c>
    </row>
    <row r="8227">
      <c r="A8227" s="3">
        <v>45750.0</v>
      </c>
      <c r="B8227" s="4">
        <v>0.30069444444444443</v>
      </c>
      <c r="C8227" s="5" t="s">
        <v>64</v>
      </c>
      <c r="D8227" s="5" t="s">
        <v>1317</v>
      </c>
      <c r="E8227" s="8" t="s">
        <v>16</v>
      </c>
      <c r="F8227" s="5" t="s">
        <v>17</v>
      </c>
      <c r="G8227" s="6" t="str">
        <f>VLOOKUP(E8227,dicionario!$A$1:$C8626,2,0)</f>
        <v>Eupetomena macroura</v>
      </c>
      <c r="H8227" s="6" t="str">
        <f>VLOOKUP(E8227,dicionario!$A$1:$C8626,3,0)</f>
        <v>beija-flor-tesoura</v>
      </c>
    </row>
    <row r="8228">
      <c r="A8228" s="3">
        <v>45750.0</v>
      </c>
      <c r="B8228" s="4">
        <v>0.30069444444444443</v>
      </c>
      <c r="C8228" s="5" t="s">
        <v>64</v>
      </c>
      <c r="D8228" s="5" t="s">
        <v>1317</v>
      </c>
      <c r="E8228" s="8" t="s">
        <v>1344</v>
      </c>
      <c r="F8228" s="5" t="s">
        <v>47</v>
      </c>
      <c r="G8228" s="6" t="str">
        <f>VLOOKUP(E8228,dicionario!$A$1:$C8627,2,0)</f>
        <v>#N/A</v>
      </c>
      <c r="H8228" s="6" t="str">
        <f>VLOOKUP(E8228,dicionario!$A$1:$C8627,3,0)</f>
        <v>#N/A</v>
      </c>
    </row>
    <row r="8229">
      <c r="A8229" s="3">
        <v>45750.0</v>
      </c>
      <c r="B8229" s="4">
        <v>0.30069444444444443</v>
      </c>
      <c r="C8229" s="5" t="s">
        <v>64</v>
      </c>
      <c r="D8229" s="5" t="s">
        <v>1317</v>
      </c>
      <c r="E8229" s="6" t="s">
        <v>251</v>
      </c>
      <c r="F8229" s="5" t="s">
        <v>252</v>
      </c>
      <c r="G8229" s="6" t="str">
        <f>VLOOKUP(E8229,dicionario!$A$1:$C8628,2,0)</f>
        <v>Struthanthus flexicaulis</v>
      </c>
      <c r="H8229" s="6" t="str">
        <f>VLOOKUP(E8229,dicionario!$A$1:$C8628,3,0)</f>
        <v>erva-de-passarinho</v>
      </c>
    </row>
    <row r="8230">
      <c r="A8230" s="3">
        <v>45750.0</v>
      </c>
      <c r="B8230" s="4">
        <v>0.30069444444444443</v>
      </c>
      <c r="C8230" s="5" t="s">
        <v>64</v>
      </c>
      <c r="D8230" s="5" t="s">
        <v>1317</v>
      </c>
      <c r="E8230" s="8" t="s">
        <v>271</v>
      </c>
      <c r="F8230" s="5" t="s">
        <v>1169</v>
      </c>
      <c r="G8230" s="6" t="str">
        <f>VLOOKUP(E8230,dicionario!$A$1:$C8629,2,0)</f>
        <v>Cyanthillium cinereum</v>
      </c>
      <c r="H8230" s="6" t="str">
        <f>VLOOKUP(E8230,dicionario!$A$1:$C8629,3,0)</f>
        <v>emília</v>
      </c>
    </row>
    <row r="8231">
      <c r="A8231" s="3">
        <v>45750.0</v>
      </c>
      <c r="B8231" s="4">
        <v>0.30069444444444443</v>
      </c>
      <c r="C8231" s="5" t="s">
        <v>64</v>
      </c>
      <c r="D8231" s="5" t="s">
        <v>1317</v>
      </c>
      <c r="E8231" s="8" t="s">
        <v>1282</v>
      </c>
      <c r="F8231" s="5" t="s">
        <v>182</v>
      </c>
      <c r="G8231" s="6" t="str">
        <f>VLOOKUP(E8231,dicionario!$A$1:$C8630,2,0)</f>
        <v>#N/A</v>
      </c>
      <c r="H8231" s="6" t="str">
        <f>VLOOKUP(E8231,dicionario!$A$1:$C8630,3,0)</f>
        <v>#N/A</v>
      </c>
    </row>
    <row r="8232">
      <c r="A8232" s="3">
        <v>45750.0</v>
      </c>
      <c r="B8232" s="4">
        <v>0.30069444444444443</v>
      </c>
      <c r="C8232" s="5" t="s">
        <v>64</v>
      </c>
      <c r="D8232" s="5" t="s">
        <v>1317</v>
      </c>
      <c r="E8232" s="8" t="s">
        <v>1324</v>
      </c>
      <c r="F8232" s="5" t="s">
        <v>1246</v>
      </c>
      <c r="G8232" s="6" t="str">
        <f>VLOOKUP(E8232,dicionario!$A$1:$C8631,2,0)</f>
        <v>#N/A</v>
      </c>
      <c r="H8232" s="6" t="str">
        <f>VLOOKUP(E8232,dicionario!$A$1:$C8631,3,0)</f>
        <v>#N/A</v>
      </c>
    </row>
    <row r="8233">
      <c r="A8233" s="3">
        <v>45750.0</v>
      </c>
      <c r="B8233" s="4">
        <v>0.3013888888888889</v>
      </c>
      <c r="C8233" s="5" t="s">
        <v>64</v>
      </c>
      <c r="D8233" s="5" t="s">
        <v>1317</v>
      </c>
      <c r="E8233" s="6" t="s">
        <v>288</v>
      </c>
      <c r="F8233" s="5" t="s">
        <v>289</v>
      </c>
      <c r="G8233" s="6" t="str">
        <f>VLOOKUP(E8233,dicionario!$A$1:$C8632,2,0)</f>
        <v>Phyllanthus tenellus</v>
      </c>
      <c r="H8233" s="6" t="str">
        <f>VLOOKUP(E8233,dicionario!$A$1:$C8632,3,0)</f>
        <v>quebra-pedra</v>
      </c>
    </row>
    <row r="8234">
      <c r="A8234" s="3">
        <v>45750.0</v>
      </c>
      <c r="B8234" s="4">
        <v>0.3013888888888889</v>
      </c>
      <c r="C8234" s="5" t="s">
        <v>64</v>
      </c>
      <c r="D8234" s="5" t="s">
        <v>1317</v>
      </c>
      <c r="E8234" s="8" t="s">
        <v>1321</v>
      </c>
      <c r="F8234" s="5" t="s">
        <v>172</v>
      </c>
      <c r="G8234" s="6" t="str">
        <f>VLOOKUP(E8234,dicionario!$A$1:$C8633,2,0)</f>
        <v>#N/A</v>
      </c>
      <c r="H8234" s="6" t="str">
        <f>VLOOKUP(E8234,dicionario!$A$1:$C8633,3,0)</f>
        <v>#N/A</v>
      </c>
    </row>
    <row r="8235">
      <c r="A8235" s="3">
        <v>45750.0</v>
      </c>
      <c r="B8235" s="4">
        <v>0.3013888888888889</v>
      </c>
      <c r="C8235" s="5" t="s">
        <v>64</v>
      </c>
      <c r="D8235" s="5" t="s">
        <v>1317</v>
      </c>
      <c r="E8235" s="6" t="s">
        <v>290</v>
      </c>
      <c r="F8235" s="5" t="s">
        <v>291</v>
      </c>
      <c r="G8235" s="6" t="str">
        <f>VLOOKUP(E8235,dicionario!$A$1:$C8634,2,0)</f>
        <v>Drymaria cordata</v>
      </c>
      <c r="H8235" s="6" t="str">
        <f>VLOOKUP(E8235,dicionario!$A$1:$C8634,3,0)</f>
        <v>orelha-de-rato</v>
      </c>
    </row>
    <row r="8236">
      <c r="A8236" s="3">
        <v>45750.0</v>
      </c>
      <c r="B8236" s="4">
        <v>0.3013888888888889</v>
      </c>
      <c r="C8236" s="5" t="s">
        <v>64</v>
      </c>
      <c r="D8236" s="5" t="s">
        <v>1317</v>
      </c>
      <c r="E8236" s="8" t="s">
        <v>740</v>
      </c>
      <c r="F8236" s="5" t="s">
        <v>741</v>
      </c>
      <c r="G8236" s="6" t="str">
        <f>VLOOKUP(E8236,dicionario!$A$1:$C8635,2,0)</f>
        <v>Melothria cucumis</v>
      </c>
      <c r="H8236" s="6" t="str">
        <f>VLOOKUP(E8236,dicionario!$A$1:$C8635,3,0)</f>
        <v>pepino-do-mato</v>
      </c>
    </row>
    <row r="8237">
      <c r="A8237" s="3">
        <v>45750.0</v>
      </c>
      <c r="B8237" s="4">
        <v>0.3020833333333333</v>
      </c>
      <c r="C8237" s="5" t="s">
        <v>64</v>
      </c>
      <c r="D8237" s="5" t="s">
        <v>1317</v>
      </c>
      <c r="E8237" s="8" t="s">
        <v>1345</v>
      </c>
      <c r="F8237" s="5" t="s">
        <v>254</v>
      </c>
      <c r="G8237" s="6" t="str">
        <f>VLOOKUP(E8237,dicionario!$A$1:$C8636,2,0)</f>
        <v>#N/A</v>
      </c>
      <c r="H8237" s="6" t="str">
        <f>VLOOKUP(E8237,dicionario!$A$1:$C8636,3,0)</f>
        <v>#N/A</v>
      </c>
    </row>
    <row r="8238">
      <c r="A8238" s="3">
        <v>45750.0</v>
      </c>
      <c r="B8238" s="4">
        <v>0.3020833333333333</v>
      </c>
      <c r="C8238" s="5" t="s">
        <v>64</v>
      </c>
      <c r="D8238" s="5" t="s">
        <v>1317</v>
      </c>
      <c r="E8238" s="8" t="s">
        <v>162</v>
      </c>
      <c r="F8238" s="5" t="s">
        <v>42</v>
      </c>
      <c r="G8238" s="6" t="str">
        <f>VLOOKUP(E8238,dicionario!$A$1:$C8637,2,0)</f>
        <v>Fluvicola nengeta</v>
      </c>
      <c r="H8238" s="6" t="str">
        <f>VLOOKUP(E8238,dicionario!$A$1:$C8637,3,0)</f>
        <v>lavadeira-mascarada</v>
      </c>
    </row>
    <row r="8239">
      <c r="A8239" s="3">
        <v>45750.0</v>
      </c>
      <c r="B8239" s="4">
        <v>0.3020833333333333</v>
      </c>
      <c r="C8239" s="5" t="s">
        <v>64</v>
      </c>
      <c r="D8239" s="5" t="s">
        <v>1317</v>
      </c>
      <c r="E8239" s="8" t="s">
        <v>1346</v>
      </c>
      <c r="F8239" s="5" t="s">
        <v>230</v>
      </c>
      <c r="G8239" s="6" t="str">
        <f>VLOOKUP(E8239,dicionario!$A$1:$C8638,2,0)</f>
        <v>#N/A</v>
      </c>
      <c r="H8239" s="6" t="str">
        <f>VLOOKUP(E8239,dicionario!$A$1:$C8638,3,0)</f>
        <v>#N/A</v>
      </c>
    </row>
    <row r="8240">
      <c r="A8240" s="3">
        <v>45750.0</v>
      </c>
      <c r="B8240" s="4">
        <v>0.3020833333333333</v>
      </c>
      <c r="C8240" s="5" t="s">
        <v>64</v>
      </c>
      <c r="D8240" s="5" t="s">
        <v>1317</v>
      </c>
      <c r="E8240" s="8" t="s">
        <v>1131</v>
      </c>
      <c r="F8240" s="5" t="s">
        <v>1132</v>
      </c>
      <c r="G8240" s="6" t="str">
        <f>VLOOKUP(E8240,dicionario!$A$1:$C8639,2,0)</f>
        <v>#N/A</v>
      </c>
      <c r="H8240" s="6" t="str">
        <f>VLOOKUP(E8240,dicionario!$A$1:$C8639,3,0)</f>
        <v>#N/A</v>
      </c>
    </row>
    <row r="8241">
      <c r="A8241" s="3">
        <v>45750.0</v>
      </c>
      <c r="B8241" s="4">
        <v>0.30277777777777776</v>
      </c>
      <c r="C8241" s="5" t="s">
        <v>64</v>
      </c>
      <c r="D8241" s="5" t="s">
        <v>1317</v>
      </c>
      <c r="E8241" s="8" t="s">
        <v>146</v>
      </c>
      <c r="F8241" s="5" t="s">
        <v>147</v>
      </c>
      <c r="G8241" s="6" t="str">
        <f>VLOOKUP(E8241,dicionario!$A$1:$C8640,2,0)</f>
        <v>Euphorbia hirta</v>
      </c>
      <c r="H8241" s="6" t="str">
        <f>VLOOKUP(E8241,dicionario!$A$1:$C8640,3,0)</f>
        <v>erva-de-santa-luzia</v>
      </c>
    </row>
    <row r="8242">
      <c r="A8242" s="3">
        <v>45750.0</v>
      </c>
      <c r="B8242" s="4">
        <v>0.30277777777777776</v>
      </c>
      <c r="C8242" s="5" t="s">
        <v>64</v>
      </c>
      <c r="D8242" s="5" t="s">
        <v>1317</v>
      </c>
      <c r="E8242" s="8" t="s">
        <v>338</v>
      </c>
      <c r="F8242" s="5" t="s">
        <v>170</v>
      </c>
      <c r="G8242" s="6" t="str">
        <f>VLOOKUP(E8242,dicionario!$A$1:$C8641,2,0)</f>
        <v>Atta</v>
      </c>
      <c r="H8242" s="6" t="str">
        <f>VLOOKUP(E8242,dicionario!$A$1:$C8641,3,0)</f>
        <v>saúva</v>
      </c>
    </row>
    <row r="8243">
      <c r="A8243" s="3">
        <v>45750.0</v>
      </c>
      <c r="B8243" s="4">
        <v>0.3034722222222222</v>
      </c>
      <c r="C8243" s="5" t="s">
        <v>64</v>
      </c>
      <c r="D8243" s="5" t="s">
        <v>1317</v>
      </c>
      <c r="E8243" s="8" t="s">
        <v>1334</v>
      </c>
      <c r="F8243" s="5" t="s">
        <v>84</v>
      </c>
      <c r="G8243" s="6" t="str">
        <f>VLOOKUP(E8243,dicionario!$A$1:$C8642,2,0)</f>
        <v>#N/A</v>
      </c>
      <c r="H8243" s="6" t="str">
        <f>VLOOKUP(E8243,dicionario!$A$1:$C8642,3,0)</f>
        <v>#N/A</v>
      </c>
    </row>
    <row r="8244">
      <c r="A8244" s="3">
        <v>45750.0</v>
      </c>
      <c r="B8244" s="4">
        <v>0.3034722222222222</v>
      </c>
      <c r="C8244" s="5" t="s">
        <v>64</v>
      </c>
      <c r="D8244" s="5" t="s">
        <v>1317</v>
      </c>
      <c r="E8244" s="8" t="s">
        <v>1347</v>
      </c>
      <c r="F8244" s="5" t="s">
        <v>1168</v>
      </c>
      <c r="G8244" s="6" t="str">
        <f>VLOOKUP(E8244,dicionario!$A$1:$C8643,2,0)</f>
        <v>#N/A</v>
      </c>
      <c r="H8244" s="6" t="str">
        <f>VLOOKUP(E8244,dicionario!$A$1:$C8643,3,0)</f>
        <v>#N/A</v>
      </c>
    </row>
    <row r="8245">
      <c r="A8245" s="3">
        <v>45750.0</v>
      </c>
      <c r="B8245" s="4">
        <v>0.3034722222222222</v>
      </c>
      <c r="C8245" s="5" t="s">
        <v>64</v>
      </c>
      <c r="D8245" s="5" t="s">
        <v>1317</v>
      </c>
      <c r="E8245" s="6" t="s">
        <v>471</v>
      </c>
      <c r="F8245" s="5" t="s">
        <v>472</v>
      </c>
      <c r="G8245" s="6" t="str">
        <f>VLOOKUP(E8245,dicionario!$A$1:$C8644,2,0)</f>
        <v>Sida acuta</v>
      </c>
      <c r="H8245" s="6" t="str">
        <f>VLOOKUP(E8245,dicionario!$A$1:$C8644,3,0)</f>
        <v>reloginho</v>
      </c>
    </row>
    <row r="8246">
      <c r="A8246" s="3">
        <v>45750.0</v>
      </c>
      <c r="B8246" s="4">
        <v>0.30416666666666664</v>
      </c>
      <c r="C8246" s="5" t="s">
        <v>64</v>
      </c>
      <c r="D8246" s="5" t="s">
        <v>1317</v>
      </c>
      <c r="E8246" s="8" t="s">
        <v>38</v>
      </c>
      <c r="F8246" s="5" t="s">
        <v>1251</v>
      </c>
      <c r="G8246" s="6" t="str">
        <f>VLOOKUP(E8246,dicionario!$A$1:$C8645,2,0)</f>
        <v>Troglodytes musculus</v>
      </c>
      <c r="H8246" s="6" t="str">
        <f>VLOOKUP(E8246,dicionario!$A$1:$C8645,3,0)</f>
        <v>curruíra</v>
      </c>
    </row>
    <row r="8247">
      <c r="A8247" s="3">
        <v>45750.0</v>
      </c>
      <c r="B8247" s="4">
        <v>0.30416666666666664</v>
      </c>
      <c r="C8247" s="5" t="s">
        <v>64</v>
      </c>
      <c r="D8247" s="5" t="s">
        <v>1317</v>
      </c>
      <c r="E8247" s="8" t="s">
        <v>122</v>
      </c>
      <c r="F8247" s="5" t="s">
        <v>123</v>
      </c>
      <c r="G8247" s="6" t="str">
        <f>VLOOKUP(E8247,dicionario!$A$1:$C8646,2,0)</f>
        <v>Todirostrum cinereum</v>
      </c>
      <c r="H8247" s="6" t="str">
        <f>VLOOKUP(E8247,dicionario!$A$1:$C8646,3,0)</f>
        <v>ferreirinho-relógio</v>
      </c>
    </row>
    <row r="8248">
      <c r="A8248" s="3">
        <v>45750.0</v>
      </c>
      <c r="B8248" s="4">
        <v>0.30486111111111114</v>
      </c>
      <c r="C8248" s="5" t="s">
        <v>64</v>
      </c>
      <c r="D8248" s="5" t="s">
        <v>1317</v>
      </c>
      <c r="E8248" s="8" t="s">
        <v>1335</v>
      </c>
      <c r="F8248" s="5" t="s">
        <v>44</v>
      </c>
      <c r="G8248" s="6" t="str">
        <f>VLOOKUP(E8248,dicionario!$A$1:$C8647,2,0)</f>
        <v>#N/A</v>
      </c>
      <c r="H8248" s="6" t="str">
        <f>VLOOKUP(E8248,dicionario!$A$1:$C8647,3,0)</f>
        <v>#N/A</v>
      </c>
    </row>
    <row r="8249">
      <c r="A8249" s="3">
        <v>45750.0</v>
      </c>
      <c r="B8249" s="4">
        <v>0.30486111111111114</v>
      </c>
      <c r="C8249" s="5" t="s">
        <v>64</v>
      </c>
      <c r="D8249" s="5" t="s">
        <v>1317</v>
      </c>
      <c r="E8249" s="8" t="s">
        <v>150</v>
      </c>
      <c r="F8249" s="5" t="s">
        <v>151</v>
      </c>
      <c r="G8249" s="6" t="str">
        <f>VLOOKUP(E8249,dicionario!$A$1:$C8648,2,0)</f>
        <v>Amaranthus viridis</v>
      </c>
      <c r="H8249" s="6" t="str">
        <f>VLOOKUP(E8249,dicionario!$A$1:$C8648,3,0)</f>
        <v>caruru-de-mancha</v>
      </c>
    </row>
    <row r="8250">
      <c r="A8250" s="3">
        <v>45750.0</v>
      </c>
      <c r="B8250" s="4">
        <v>0.30625</v>
      </c>
      <c r="C8250" s="5" t="s">
        <v>64</v>
      </c>
      <c r="D8250" s="5" t="s">
        <v>1317</v>
      </c>
      <c r="E8250" s="8" t="s">
        <v>167</v>
      </c>
      <c r="F8250" s="5" t="s">
        <v>997</v>
      </c>
      <c r="G8250" s="6" t="str">
        <f>VLOOKUP(E8250,dicionario!$A$1:$C8649,2,0)</f>
        <v>Hemidactylus mabouia</v>
      </c>
      <c r="H8250" s="6" t="str">
        <f>VLOOKUP(E8250,dicionario!$A$1:$C8649,3,0)</f>
        <v>lagartixa-doméstica-tropical</v>
      </c>
    </row>
    <row r="8251">
      <c r="A8251" s="3">
        <v>45750.0</v>
      </c>
      <c r="B8251" s="4">
        <v>0.30625</v>
      </c>
      <c r="C8251" s="5" t="s">
        <v>64</v>
      </c>
      <c r="D8251" s="5" t="s">
        <v>1317</v>
      </c>
      <c r="E8251" s="8" t="s">
        <v>1319</v>
      </c>
      <c r="F8251" s="5" t="s">
        <v>153</v>
      </c>
      <c r="G8251" s="6" t="str">
        <f>VLOOKUP(E8251,dicionario!$A$1:$C8650,2,0)</f>
        <v>#N/A</v>
      </c>
      <c r="H8251" s="6" t="str">
        <f>VLOOKUP(E8251,dicionario!$A$1:$C8650,3,0)</f>
        <v>#N/A</v>
      </c>
    </row>
    <row r="8252">
      <c r="A8252" s="3">
        <v>45750.0</v>
      </c>
      <c r="B8252" s="4">
        <v>0.3111111111111111</v>
      </c>
      <c r="C8252" s="5" t="s">
        <v>937</v>
      </c>
      <c r="D8252" s="5" t="s">
        <v>1317</v>
      </c>
      <c r="E8252" s="8" t="s">
        <v>16</v>
      </c>
      <c r="F8252" s="5" t="s">
        <v>17</v>
      </c>
      <c r="G8252" s="6" t="str">
        <f>VLOOKUP(E8252,dicionario!$A$1:$C8651,2,0)</f>
        <v>Eupetomena macroura</v>
      </c>
      <c r="H8252" s="6" t="str">
        <f>VLOOKUP(E8252,dicionario!$A$1:$C8651,3,0)</f>
        <v>beija-flor-tesoura</v>
      </c>
    </row>
    <row r="8253">
      <c r="A8253" s="3">
        <v>45750.0</v>
      </c>
      <c r="B8253" s="4">
        <v>0.3111111111111111</v>
      </c>
      <c r="C8253" s="5" t="s">
        <v>937</v>
      </c>
      <c r="D8253" s="5" t="s">
        <v>1317</v>
      </c>
      <c r="E8253" s="8" t="s">
        <v>1344</v>
      </c>
      <c r="F8253" s="5" t="s">
        <v>47</v>
      </c>
      <c r="G8253" s="6" t="str">
        <f>VLOOKUP(E8253,dicionario!$A$1:$C8652,2,0)</f>
        <v>#N/A</v>
      </c>
      <c r="H8253" s="6" t="str">
        <f>VLOOKUP(E8253,dicionario!$A$1:$C8652,3,0)</f>
        <v>#N/A</v>
      </c>
    </row>
    <row r="8254">
      <c r="A8254" s="3">
        <v>45750.0</v>
      </c>
      <c r="B8254" s="4">
        <v>0.3111111111111111</v>
      </c>
      <c r="C8254" s="5" t="s">
        <v>937</v>
      </c>
      <c r="D8254" s="5" t="s">
        <v>1317</v>
      </c>
      <c r="E8254" s="8" t="s">
        <v>154</v>
      </c>
      <c r="F8254" s="5" t="s">
        <v>155</v>
      </c>
      <c r="G8254" s="6" t="str">
        <f>VLOOKUP(E8254,dicionario!$A$1:$C8653,2,0)</f>
        <v>Cyperus rotundus</v>
      </c>
      <c r="H8254" s="6" t="str">
        <f>VLOOKUP(E8254,dicionario!$A$1:$C8653,3,0)</f>
        <v>tiririca</v>
      </c>
    </row>
    <row r="8255">
      <c r="A8255" s="3">
        <v>45750.0</v>
      </c>
      <c r="B8255" s="4">
        <v>0.31319444444444444</v>
      </c>
      <c r="C8255" s="5" t="s">
        <v>937</v>
      </c>
      <c r="D8255" s="5" t="s">
        <v>1317</v>
      </c>
      <c r="E8255" s="8" t="s">
        <v>109</v>
      </c>
      <c r="F8255" s="5" t="s">
        <v>110</v>
      </c>
      <c r="G8255" s="6" t="str">
        <f>VLOOKUP(E8255,dicionario!$A$1:$C8654,2,0)</f>
        <v>Tillandsia stricta</v>
      </c>
      <c r="H8255" s="6" t="str">
        <f>VLOOKUP(E8255,dicionario!$A$1:$C8654,3,0)</f>
        <v>cravo-do-mato</v>
      </c>
    </row>
    <row r="8256">
      <c r="A8256" s="3">
        <v>45750.0</v>
      </c>
      <c r="B8256" s="4">
        <v>0.31319444444444444</v>
      </c>
      <c r="C8256" s="5" t="s">
        <v>937</v>
      </c>
      <c r="D8256" s="5" t="s">
        <v>1317</v>
      </c>
      <c r="E8256" s="8" t="s">
        <v>296</v>
      </c>
      <c r="F8256" s="5" t="s">
        <v>297</v>
      </c>
      <c r="G8256" s="6" t="str">
        <f>VLOOKUP(E8256,dicionario!$A$1:$C8655,2,0)</f>
        <v>Richardia brasiliensis</v>
      </c>
      <c r="H8256" s="6" t="str">
        <f>VLOOKUP(E8256,dicionario!$A$1:$C8655,3,0)</f>
        <v>poaia-branca</v>
      </c>
    </row>
    <row r="8257">
      <c r="A8257" s="3">
        <v>45750.0</v>
      </c>
      <c r="B8257" s="4">
        <v>0.31319444444444444</v>
      </c>
      <c r="C8257" s="5" t="s">
        <v>937</v>
      </c>
      <c r="D8257" s="5" t="s">
        <v>1317</v>
      </c>
      <c r="E8257" s="8" t="s">
        <v>966</v>
      </c>
      <c r="F8257" s="5" t="s">
        <v>967</v>
      </c>
      <c r="G8257" s="6" t="str">
        <f>VLOOKUP(E8257,dicionario!$A$1:$C8656,2,0)</f>
        <v>Portulaca halimoides</v>
      </c>
      <c r="H8257" s="6" t="str">
        <f>VLOOKUP(E8257,dicionario!$A$1:$C8656,3,0)</f>
        <v>beldroega-de-seda</v>
      </c>
    </row>
    <row r="8258">
      <c r="A8258" s="3">
        <v>45750.0</v>
      </c>
      <c r="B8258" s="4">
        <v>0.31319444444444444</v>
      </c>
      <c r="C8258" s="5" t="s">
        <v>937</v>
      </c>
      <c r="D8258" s="5" t="s">
        <v>1317</v>
      </c>
      <c r="E8258" s="8" t="s">
        <v>298</v>
      </c>
      <c r="F8258" s="7"/>
      <c r="G8258" s="6" t="str">
        <f>VLOOKUP(E8258,dicionario!$A$1:$C8657,2,0)</f>
        <v>Alysicarpus vaginalis</v>
      </c>
      <c r="H8258" s="6" t="str">
        <f>VLOOKUP(E8258,dicionario!$A$1:$C8657,3,0)</f>
        <v/>
      </c>
    </row>
    <row r="8259">
      <c r="A8259" s="3">
        <v>45750.0</v>
      </c>
      <c r="B8259" s="4">
        <v>0.31319444444444444</v>
      </c>
      <c r="C8259" s="5" t="s">
        <v>937</v>
      </c>
      <c r="D8259" s="5" t="s">
        <v>1317</v>
      </c>
      <c r="E8259" s="8" t="s">
        <v>146</v>
      </c>
      <c r="F8259" s="5" t="s">
        <v>147</v>
      </c>
      <c r="G8259" s="6" t="str">
        <f>VLOOKUP(E8259,dicionario!$A$1:$C8658,2,0)</f>
        <v>Euphorbia hirta</v>
      </c>
      <c r="H8259" s="6" t="str">
        <f>VLOOKUP(E8259,dicionario!$A$1:$C8658,3,0)</f>
        <v>erva-de-santa-luzia</v>
      </c>
    </row>
    <row r="8260">
      <c r="A8260" s="3">
        <v>45750.0</v>
      </c>
      <c r="B8260" s="4">
        <v>0.31319444444444444</v>
      </c>
      <c r="C8260" s="5" t="s">
        <v>937</v>
      </c>
      <c r="D8260" s="5" t="s">
        <v>1317</v>
      </c>
      <c r="E8260" s="8" t="s">
        <v>88</v>
      </c>
      <c r="F8260" s="5" t="s">
        <v>89</v>
      </c>
      <c r="G8260" s="6" t="str">
        <f>VLOOKUP(E8260,dicionario!$A$1:$C8659,2,0)</f>
        <v>Tyrannus melancolichus</v>
      </c>
      <c r="H8260" s="6" t="str">
        <f>VLOOKUP(E8260,dicionario!$A$1:$C8659,3,0)</f>
        <v>suiriri</v>
      </c>
    </row>
    <row r="8261">
      <c r="A8261" s="3">
        <v>45750.0</v>
      </c>
      <c r="B8261" s="4">
        <v>0.31319444444444444</v>
      </c>
      <c r="C8261" s="5" t="s">
        <v>937</v>
      </c>
      <c r="D8261" s="5" t="s">
        <v>1317</v>
      </c>
      <c r="E8261" s="8" t="s">
        <v>20</v>
      </c>
      <c r="F8261" s="5" t="s">
        <v>21</v>
      </c>
      <c r="G8261" s="6" t="str">
        <f>VLOOKUP(E8261,dicionario!$A$1:$C8660,2,0)</f>
        <v>Sicalis flaveola</v>
      </c>
      <c r="H8261" s="6" t="str">
        <f>VLOOKUP(E8261,dicionario!$A$1:$C8660,3,0)</f>
        <v>canário-da-terra</v>
      </c>
    </row>
    <row r="8262">
      <c r="A8262" s="3">
        <v>45750.0</v>
      </c>
      <c r="B8262" s="4">
        <v>0.31319444444444444</v>
      </c>
      <c r="C8262" s="5" t="s">
        <v>937</v>
      </c>
      <c r="D8262" s="5" t="s">
        <v>1317</v>
      </c>
      <c r="E8262" s="8" t="s">
        <v>135</v>
      </c>
      <c r="F8262" s="5" t="s">
        <v>136</v>
      </c>
      <c r="G8262" s="6" t="str">
        <f>VLOOKUP(E8262,dicionario!$A$1:$C8661,2,0)</f>
        <v>Tridax procumbens</v>
      </c>
      <c r="H8262" s="6" t="str">
        <f>VLOOKUP(E8262,dicionario!$A$1:$C8661,3,0)</f>
        <v>erva-de-touro</v>
      </c>
    </row>
    <row r="8263">
      <c r="A8263" s="3">
        <v>45750.0</v>
      </c>
      <c r="B8263" s="4">
        <v>0.31319444444444444</v>
      </c>
      <c r="C8263" s="5" t="s">
        <v>937</v>
      </c>
      <c r="D8263" s="5" t="s">
        <v>1317</v>
      </c>
      <c r="E8263" s="8" t="s">
        <v>1312</v>
      </c>
      <c r="F8263" s="5" t="s">
        <v>66</v>
      </c>
      <c r="G8263" s="6" t="str">
        <f>VLOOKUP(E8263,dicionario!$A$1:$C8662,2,0)</f>
        <v>#N/A</v>
      </c>
      <c r="H8263" s="6" t="str">
        <f>VLOOKUP(E8263,dicionario!$A$1:$C8662,3,0)</f>
        <v>#N/A</v>
      </c>
    </row>
    <row r="8264">
      <c r="A8264" s="3">
        <v>45750.0</v>
      </c>
      <c r="B8264" s="4">
        <v>0.31319444444444444</v>
      </c>
      <c r="C8264" s="5" t="s">
        <v>937</v>
      </c>
      <c r="D8264" s="5" t="s">
        <v>1317</v>
      </c>
      <c r="E8264" s="8" t="s">
        <v>1348</v>
      </c>
      <c r="F8264" s="5" t="s">
        <v>737</v>
      </c>
      <c r="G8264" s="6" t="str">
        <f>VLOOKUP(E8264,dicionario!$A$1:$C8663,2,0)</f>
        <v>#N/A</v>
      </c>
      <c r="H8264" s="6" t="str">
        <f>VLOOKUP(E8264,dicionario!$A$1:$C8663,3,0)</f>
        <v>#N/A</v>
      </c>
    </row>
    <row r="8265">
      <c r="A8265" s="3">
        <v>45750.0</v>
      </c>
      <c r="B8265" s="4">
        <v>0.31319444444444444</v>
      </c>
      <c r="C8265" s="5" t="s">
        <v>937</v>
      </c>
      <c r="D8265" s="5" t="s">
        <v>1317</v>
      </c>
      <c r="E8265" s="8" t="s">
        <v>1347</v>
      </c>
      <c r="F8265" s="5" t="s">
        <v>1168</v>
      </c>
      <c r="G8265" s="6" t="str">
        <f>VLOOKUP(E8265,dicionario!$A$1:$C8664,2,0)</f>
        <v>#N/A</v>
      </c>
      <c r="H8265" s="6" t="str">
        <f>VLOOKUP(E8265,dicionario!$A$1:$C8664,3,0)</f>
        <v>#N/A</v>
      </c>
    </row>
    <row r="8266">
      <c r="A8266" s="3">
        <v>45750.0</v>
      </c>
      <c r="B8266" s="4">
        <v>0.3138888888888889</v>
      </c>
      <c r="C8266" s="5" t="s">
        <v>937</v>
      </c>
      <c r="D8266" s="5" t="s">
        <v>1317</v>
      </c>
      <c r="E8266" s="8" t="s">
        <v>235</v>
      </c>
      <c r="F8266" s="5" t="s">
        <v>236</v>
      </c>
      <c r="G8266" s="6" t="str">
        <f>VLOOKUP(E8266,dicionario!$A$1:$C8665,2,0)</f>
        <v>Leucaena leucocephala</v>
      </c>
      <c r="H8266" s="6" t="str">
        <f>VLOOKUP(E8266,dicionario!$A$1:$C8665,3,0)</f>
        <v>leucena</v>
      </c>
    </row>
    <row r="8267">
      <c r="A8267" s="3">
        <v>45750.0</v>
      </c>
      <c r="B8267" s="4">
        <v>0.3138888888888889</v>
      </c>
      <c r="C8267" s="5" t="s">
        <v>937</v>
      </c>
      <c r="D8267" s="5" t="s">
        <v>1317</v>
      </c>
      <c r="E8267" s="8" t="s">
        <v>353</v>
      </c>
      <c r="F8267" s="5" t="s">
        <v>354</v>
      </c>
      <c r="G8267" s="6" t="str">
        <f>VLOOKUP(E8267,dicionario!$A$1:$C8666,2,0)</f>
        <v>Desmodium incanum</v>
      </c>
      <c r="H8267" s="6" t="str">
        <f>VLOOKUP(E8267,dicionario!$A$1:$C8666,3,0)</f>
        <v>pega-pega</v>
      </c>
    </row>
    <row r="8268">
      <c r="A8268" s="3">
        <v>45750.0</v>
      </c>
      <c r="B8268" s="4">
        <v>0.3138888888888889</v>
      </c>
      <c r="C8268" s="5" t="s">
        <v>937</v>
      </c>
      <c r="D8268" s="5" t="s">
        <v>1317</v>
      </c>
      <c r="E8268" s="8" t="s">
        <v>191</v>
      </c>
      <c r="F8268" s="5" t="s">
        <v>910</v>
      </c>
      <c r="G8268" s="6" t="str">
        <f>VLOOKUP(E8268,dicionario!$A$1:$C8667,2,0)</f>
        <v>Patagioenas picazuro</v>
      </c>
      <c r="H8268" s="6" t="str">
        <f>VLOOKUP(E8268,dicionario!$A$1:$C8667,3,0)</f>
        <v>asa-branca; pomba-asa-branca; pocaçu</v>
      </c>
    </row>
    <row r="8269">
      <c r="A8269" s="3">
        <v>45750.0</v>
      </c>
      <c r="B8269" s="4">
        <v>0.3145833333333333</v>
      </c>
      <c r="C8269" s="5" t="s">
        <v>937</v>
      </c>
      <c r="D8269" s="5" t="s">
        <v>1317</v>
      </c>
      <c r="E8269" s="8" t="s">
        <v>193</v>
      </c>
      <c r="F8269" s="5" t="s">
        <v>194</v>
      </c>
      <c r="G8269" s="6" t="str">
        <f>VLOOKUP(E8269,dicionario!$A$1:$C8668,2,0)</f>
        <v>Conirostrum speciosum</v>
      </c>
      <c r="H8269" s="6" t="str">
        <f>VLOOKUP(E8269,dicionario!$A$1:$C8668,3,0)</f>
        <v>figuinha-de-rabo-castanho</v>
      </c>
    </row>
    <row r="8270">
      <c r="A8270" s="3">
        <v>45750.0</v>
      </c>
      <c r="B8270" s="4">
        <v>0.3145833333333333</v>
      </c>
      <c r="C8270" s="5" t="s">
        <v>937</v>
      </c>
      <c r="D8270" s="5" t="s">
        <v>1317</v>
      </c>
      <c r="E8270" s="8" t="s">
        <v>1349</v>
      </c>
      <c r="F8270" s="5" t="s">
        <v>219</v>
      </c>
      <c r="G8270" s="6" t="str">
        <f>VLOOKUP(E8270,dicionario!$A$1:$C8669,2,0)</f>
        <v>#N/A</v>
      </c>
      <c r="H8270" s="6" t="str">
        <f>VLOOKUP(E8270,dicionario!$A$1:$C8669,3,0)</f>
        <v>#N/A</v>
      </c>
    </row>
    <row r="8271">
      <c r="A8271" s="3">
        <v>45750.0</v>
      </c>
      <c r="B8271" s="4">
        <v>0.31527777777777777</v>
      </c>
      <c r="C8271" s="5" t="s">
        <v>937</v>
      </c>
      <c r="D8271" s="5" t="s">
        <v>1317</v>
      </c>
      <c r="E8271" s="8" t="s">
        <v>1339</v>
      </c>
      <c r="F8271" s="5" t="s">
        <v>73</v>
      </c>
      <c r="G8271" s="6" t="str">
        <f>VLOOKUP(E8271,dicionario!$A$1:$C8670,2,0)</f>
        <v>#N/A</v>
      </c>
      <c r="H8271" s="6" t="str">
        <f>VLOOKUP(E8271,dicionario!$A$1:$C8670,3,0)</f>
        <v>#N/A</v>
      </c>
    </row>
    <row r="8272">
      <c r="A8272" s="3">
        <v>45750.0</v>
      </c>
      <c r="B8272" s="4">
        <v>0.3159722222222222</v>
      </c>
      <c r="C8272" s="5" t="s">
        <v>937</v>
      </c>
      <c r="D8272" s="5" t="s">
        <v>1317</v>
      </c>
      <c r="E8272" s="8" t="s">
        <v>175</v>
      </c>
      <c r="F8272" s="5" t="s">
        <v>176</v>
      </c>
      <c r="G8272" s="6" t="str">
        <f>VLOOKUP(E8272,dicionario!$A$1:$C8671,2,0)</f>
        <v>Turdus leucomelas</v>
      </c>
      <c r="H8272" s="6" t="str">
        <f>VLOOKUP(E8272,dicionario!$A$1:$C8671,3,0)</f>
        <v>sabiá-barranco</v>
      </c>
    </row>
    <row r="8273">
      <c r="A8273" s="3">
        <v>45750.0</v>
      </c>
      <c r="B8273" s="4">
        <v>0.3159722222222222</v>
      </c>
      <c r="C8273" s="5" t="s">
        <v>937</v>
      </c>
      <c r="D8273" s="5" t="s">
        <v>1317</v>
      </c>
      <c r="E8273" s="8" t="s">
        <v>163</v>
      </c>
      <c r="F8273" s="5" t="s">
        <v>164</v>
      </c>
      <c r="G8273" s="6" t="str">
        <f>VLOOKUP(E8273,dicionario!$A$1:$C8672,2,0)</f>
        <v>Coragyps atratus</v>
      </c>
      <c r="H8273" s="6" t="str">
        <f>VLOOKUP(E8273,dicionario!$A$1:$C8672,3,0)</f>
        <v>urubu-de-cabeça-preta</v>
      </c>
    </row>
    <row r="8274">
      <c r="A8274" s="3">
        <v>45750.0</v>
      </c>
      <c r="B8274" s="4">
        <v>0.31666666666666665</v>
      </c>
      <c r="C8274" s="5" t="s">
        <v>937</v>
      </c>
      <c r="D8274" s="5" t="s">
        <v>1317</v>
      </c>
      <c r="E8274" s="8" t="s">
        <v>378</v>
      </c>
      <c r="F8274" s="5" t="s">
        <v>205</v>
      </c>
      <c r="G8274" s="6" t="str">
        <f>VLOOKUP(E8274,dicionario!$A$1:$C8673,2,0)</f>
        <v>Polistes</v>
      </c>
      <c r="H8274" s="6" t="str">
        <f>VLOOKUP(E8274,dicionario!$A$1:$C8673,3,0)</f>
        <v>marimbondo</v>
      </c>
    </row>
    <row r="8275">
      <c r="A8275" s="3">
        <v>45750.0</v>
      </c>
      <c r="B8275" s="4">
        <v>0.31666666666666665</v>
      </c>
      <c r="C8275" s="5" t="s">
        <v>937</v>
      </c>
      <c r="D8275" s="5" t="s">
        <v>1317</v>
      </c>
      <c r="E8275" s="12" t="s">
        <v>111</v>
      </c>
      <c r="F8275" s="5" t="s">
        <v>112</v>
      </c>
      <c r="G8275" s="6" t="str">
        <f>VLOOKUP(E8275,dicionario!$A$1:$C8674,2,0)</f>
        <v>Trigona spinipes</v>
      </c>
      <c r="H8275" s="6" t="str">
        <f>VLOOKUP(E8275,dicionario!$A$1:$C8674,3,0)</f>
        <v>abelha-cachorro</v>
      </c>
    </row>
    <row r="8276">
      <c r="A8276" s="3">
        <v>45750.0</v>
      </c>
      <c r="B8276" s="4">
        <v>0.31666666666666665</v>
      </c>
      <c r="C8276" s="5" t="s">
        <v>937</v>
      </c>
      <c r="D8276" s="5" t="s">
        <v>1317</v>
      </c>
      <c r="E8276" s="8" t="s">
        <v>1294</v>
      </c>
      <c r="F8276" s="5" t="s">
        <v>97</v>
      </c>
      <c r="G8276" s="6" t="str">
        <f>VLOOKUP(E8276,dicionario!$A$1:$C8675,2,0)</f>
        <v>#N/A</v>
      </c>
      <c r="H8276" s="6" t="str">
        <f>VLOOKUP(E8276,dicionario!$A$1:$C8675,3,0)</f>
        <v>#N/A</v>
      </c>
    </row>
    <row r="8277">
      <c r="A8277" s="3">
        <v>45750.0</v>
      </c>
      <c r="B8277" s="4">
        <v>0.31666666666666665</v>
      </c>
      <c r="C8277" s="5" t="s">
        <v>937</v>
      </c>
      <c r="D8277" s="5" t="s">
        <v>1317</v>
      </c>
      <c r="E8277" s="8" t="s">
        <v>191</v>
      </c>
      <c r="F8277" s="5" t="s">
        <v>192</v>
      </c>
      <c r="G8277" s="6" t="str">
        <f>VLOOKUP(E8277,dicionario!$A$1:$C8676,2,0)</f>
        <v>Patagioenas picazuro</v>
      </c>
      <c r="H8277" s="6" t="str">
        <f>VLOOKUP(E8277,dicionario!$A$1:$C8676,3,0)</f>
        <v>asa-branca; pomba-asa-branca; pocaçu</v>
      </c>
    </row>
    <row r="8278">
      <c r="A8278" s="3">
        <v>45750.0</v>
      </c>
      <c r="B8278" s="4">
        <v>0.31805555555555554</v>
      </c>
      <c r="C8278" s="5" t="s">
        <v>937</v>
      </c>
      <c r="D8278" s="5" t="s">
        <v>1317</v>
      </c>
      <c r="E8278" s="8" t="s">
        <v>1334</v>
      </c>
      <c r="F8278" s="5" t="s">
        <v>84</v>
      </c>
      <c r="G8278" s="6" t="str">
        <f>VLOOKUP(E8278,dicionario!$A$1:$C8677,2,0)</f>
        <v>#N/A</v>
      </c>
      <c r="H8278" s="6" t="str">
        <f>VLOOKUP(E8278,dicionario!$A$1:$C8677,3,0)</f>
        <v>#N/A</v>
      </c>
    </row>
    <row r="8279">
      <c r="A8279" s="3">
        <v>45750.0</v>
      </c>
      <c r="B8279" s="4">
        <v>0.31875</v>
      </c>
      <c r="C8279" s="5" t="s">
        <v>50</v>
      </c>
      <c r="D8279" s="5" t="s">
        <v>1317</v>
      </c>
      <c r="E8279" s="12" t="s">
        <v>111</v>
      </c>
      <c r="F8279" s="5" t="s">
        <v>112</v>
      </c>
      <c r="G8279" s="6" t="str">
        <f>VLOOKUP(E8279,dicionario!$A$1:$C8678,2,0)</f>
        <v>Trigona spinipes</v>
      </c>
      <c r="H8279" s="6" t="str">
        <f>VLOOKUP(E8279,dicionario!$A$1:$C8678,3,0)</f>
        <v>abelha-cachorro</v>
      </c>
    </row>
    <row r="8280">
      <c r="A8280" s="3">
        <v>45750.0</v>
      </c>
      <c r="B8280" s="4">
        <v>0.31875</v>
      </c>
      <c r="C8280" s="5" t="s">
        <v>50</v>
      </c>
      <c r="D8280" s="5" t="s">
        <v>1317</v>
      </c>
      <c r="E8280" s="6" t="s">
        <v>53</v>
      </c>
      <c r="F8280" s="5" t="s">
        <v>54</v>
      </c>
      <c r="G8280" s="6" t="str">
        <f>VLOOKUP(E8280,dicionario!$A$1:$C8679,2,0)</f>
        <v>Turnera subulata</v>
      </c>
      <c r="H8280" s="6" t="str">
        <f>VLOOKUP(E8280,dicionario!$A$1:$C8679,3,0)</f>
        <v>xanana</v>
      </c>
    </row>
    <row r="8281">
      <c r="A8281" s="3">
        <v>45750.0</v>
      </c>
      <c r="B8281" s="4">
        <v>0.31875</v>
      </c>
      <c r="C8281" s="5" t="s">
        <v>50</v>
      </c>
      <c r="D8281" s="5" t="s">
        <v>1317</v>
      </c>
      <c r="E8281" s="8" t="s">
        <v>154</v>
      </c>
      <c r="F8281" s="5" t="s">
        <v>155</v>
      </c>
      <c r="G8281" s="6" t="str">
        <f>VLOOKUP(E8281,dicionario!$A$1:$C8680,2,0)</f>
        <v>Cyperus rotundus</v>
      </c>
      <c r="H8281" s="6" t="str">
        <f>VLOOKUP(E8281,dicionario!$A$1:$C8680,3,0)</f>
        <v>tiririca</v>
      </c>
    </row>
    <row r="8282">
      <c r="A8282" s="3">
        <v>45750.0</v>
      </c>
      <c r="B8282" s="4">
        <v>0.3194444444444444</v>
      </c>
      <c r="C8282" s="5" t="s">
        <v>50</v>
      </c>
      <c r="D8282" s="5" t="s">
        <v>1317</v>
      </c>
      <c r="E8282" s="53" t="s">
        <v>1350</v>
      </c>
      <c r="F8282" s="61" t="s">
        <v>1351</v>
      </c>
      <c r="G8282" s="6" t="str">
        <f>VLOOKUP(E8282,dicionario!$A$1:$C8681,2,0)</f>
        <v>#N/A</v>
      </c>
      <c r="H8282" s="6" t="str">
        <f>VLOOKUP(E8282,dicionario!$A$1:$C8681,3,0)</f>
        <v>#N/A</v>
      </c>
    </row>
    <row r="8283">
      <c r="A8283" s="3">
        <v>45750.0</v>
      </c>
      <c r="B8283" s="4">
        <v>0.3194444444444444</v>
      </c>
      <c r="C8283" s="5" t="s">
        <v>50</v>
      </c>
      <c r="D8283" s="5" t="s">
        <v>1317</v>
      </c>
      <c r="E8283" s="8" t="s">
        <v>338</v>
      </c>
      <c r="F8283" s="5" t="s">
        <v>238</v>
      </c>
      <c r="G8283" s="6" t="str">
        <f>VLOOKUP(E8283,dicionario!$A$1:$C8682,2,0)</f>
        <v>Atta</v>
      </c>
      <c r="H8283" s="6" t="str">
        <f>VLOOKUP(E8283,dicionario!$A$1:$C8682,3,0)</f>
        <v>saúva</v>
      </c>
    </row>
    <row r="8284">
      <c r="A8284" s="3">
        <v>45750.0</v>
      </c>
      <c r="B8284" s="4">
        <v>0.3194444444444444</v>
      </c>
      <c r="C8284" s="5" t="s">
        <v>50</v>
      </c>
      <c r="D8284" s="5" t="s">
        <v>1317</v>
      </c>
      <c r="E8284" s="8" t="s">
        <v>1352</v>
      </c>
      <c r="F8284" s="7"/>
      <c r="G8284" s="6" t="str">
        <f>VLOOKUP(E8284,dicionario!$A$1:$C8683,2,0)</f>
        <v>#N/A</v>
      </c>
      <c r="H8284" s="6" t="str">
        <f>VLOOKUP(E8284,dicionario!$A$1:$C8683,3,0)</f>
        <v>#N/A</v>
      </c>
    </row>
    <row r="8285">
      <c r="A8285" s="3">
        <v>45750.0</v>
      </c>
      <c r="B8285" s="4">
        <v>0.32013888888888886</v>
      </c>
      <c r="C8285" s="5" t="s">
        <v>50</v>
      </c>
      <c r="D8285" s="5" t="s">
        <v>1317</v>
      </c>
      <c r="E8285" s="8" t="s">
        <v>88</v>
      </c>
      <c r="F8285" s="5" t="s">
        <v>89</v>
      </c>
      <c r="G8285" s="6" t="str">
        <f>VLOOKUP(E8285,dicionario!$A$1:$C8684,2,0)</f>
        <v>Tyrannus melancolichus</v>
      </c>
      <c r="H8285" s="6" t="str">
        <f>VLOOKUP(E8285,dicionario!$A$1:$C8684,3,0)</f>
        <v>suiriri</v>
      </c>
    </row>
    <row r="8286">
      <c r="A8286" s="3">
        <v>45750.0</v>
      </c>
      <c r="B8286" s="4">
        <v>0.32013888888888886</v>
      </c>
      <c r="C8286" s="5" t="s">
        <v>50</v>
      </c>
      <c r="D8286" s="5" t="s">
        <v>1317</v>
      </c>
      <c r="E8286" s="8" t="s">
        <v>1334</v>
      </c>
      <c r="F8286" s="5" t="s">
        <v>84</v>
      </c>
      <c r="G8286" s="6" t="str">
        <f>VLOOKUP(E8286,dicionario!$A$1:$C8685,2,0)</f>
        <v>#N/A</v>
      </c>
      <c r="H8286" s="6" t="str">
        <f>VLOOKUP(E8286,dicionario!$A$1:$C8685,3,0)</f>
        <v>#N/A</v>
      </c>
    </row>
    <row r="8287">
      <c r="A8287" s="3">
        <v>45750.0</v>
      </c>
      <c r="B8287" s="4">
        <v>0.32013888888888886</v>
      </c>
      <c r="C8287" s="5" t="s">
        <v>50</v>
      </c>
      <c r="D8287" s="5" t="s">
        <v>1317</v>
      </c>
      <c r="E8287" s="8" t="s">
        <v>16</v>
      </c>
      <c r="F8287" s="5" t="s">
        <v>17</v>
      </c>
      <c r="G8287" s="6" t="str">
        <f>VLOOKUP(E8287,dicionario!$A$1:$C8686,2,0)</f>
        <v>Eupetomena macroura</v>
      </c>
      <c r="H8287" s="6" t="str">
        <f>VLOOKUP(E8287,dicionario!$A$1:$C8686,3,0)</f>
        <v>beija-flor-tesoura</v>
      </c>
    </row>
    <row r="8288">
      <c r="A8288" s="3">
        <v>45750.0</v>
      </c>
      <c r="B8288" s="4">
        <v>0.32013888888888886</v>
      </c>
      <c r="C8288" s="5" t="s">
        <v>50</v>
      </c>
      <c r="D8288" s="5" t="s">
        <v>1317</v>
      </c>
      <c r="E8288" s="6" t="s">
        <v>467</v>
      </c>
      <c r="F8288" s="5" t="s">
        <v>468</v>
      </c>
      <c r="G8288" s="6" t="str">
        <f>VLOOKUP(E8288,dicionario!$A$1:$C8687,2,0)</f>
        <v>Eleusine indica</v>
      </c>
      <c r="H8288" s="6" t="str">
        <f>VLOOKUP(E8288,dicionario!$A$1:$C8687,3,0)</f>
        <v>capim-pé-de-galinha</v>
      </c>
    </row>
    <row r="8289">
      <c r="A8289" s="3">
        <v>45750.0</v>
      </c>
      <c r="B8289" s="4">
        <v>0.32083333333333336</v>
      </c>
      <c r="C8289" s="5" t="s">
        <v>50</v>
      </c>
      <c r="D8289" s="5" t="s">
        <v>1317</v>
      </c>
      <c r="E8289" s="8" t="s">
        <v>163</v>
      </c>
      <c r="F8289" s="5" t="s">
        <v>164</v>
      </c>
      <c r="G8289" s="6" t="str">
        <f>VLOOKUP(E8289,dicionario!$A$1:$C8688,2,0)</f>
        <v>Coragyps atratus</v>
      </c>
      <c r="H8289" s="6" t="str">
        <f>VLOOKUP(E8289,dicionario!$A$1:$C8688,3,0)</f>
        <v>urubu-de-cabeça-preta</v>
      </c>
    </row>
    <row r="8290">
      <c r="A8290" s="3">
        <v>45750.0</v>
      </c>
      <c r="B8290" s="4">
        <v>0.3215277777777778</v>
      </c>
      <c r="C8290" s="5" t="s">
        <v>50</v>
      </c>
      <c r="D8290" s="5" t="s">
        <v>1317</v>
      </c>
      <c r="E8290" s="8" t="s">
        <v>1345</v>
      </c>
      <c r="F8290" s="5" t="s">
        <v>254</v>
      </c>
      <c r="G8290" s="6" t="str">
        <f>VLOOKUP(E8290,dicionario!$A$1:$C8689,2,0)</f>
        <v>#N/A</v>
      </c>
      <c r="H8290" s="6" t="str">
        <f>VLOOKUP(E8290,dicionario!$A$1:$C8689,3,0)</f>
        <v>#N/A</v>
      </c>
    </row>
    <row r="8291">
      <c r="A8291" s="3">
        <v>45750.0</v>
      </c>
      <c r="B8291" s="4">
        <v>0.3215277777777778</v>
      </c>
      <c r="C8291" s="5" t="s">
        <v>50</v>
      </c>
      <c r="D8291" s="5" t="s">
        <v>1317</v>
      </c>
      <c r="E8291" s="8" t="s">
        <v>1353</v>
      </c>
      <c r="F8291" s="5" t="s">
        <v>142</v>
      </c>
      <c r="G8291" s="6" t="str">
        <f>VLOOKUP(E8291,dicionario!$A$1:$C8690,2,0)</f>
        <v>#N/A</v>
      </c>
      <c r="H8291" s="6" t="str">
        <f>VLOOKUP(E8291,dicionario!$A$1:$C8690,3,0)</f>
        <v>#N/A</v>
      </c>
    </row>
    <row r="8292">
      <c r="A8292" s="3">
        <v>45750.0</v>
      </c>
      <c r="B8292" s="4">
        <v>0.3215277777777778</v>
      </c>
      <c r="C8292" s="5" t="s">
        <v>50</v>
      </c>
      <c r="D8292" s="5" t="s">
        <v>1317</v>
      </c>
      <c r="E8292" s="8" t="s">
        <v>195</v>
      </c>
      <c r="F8292" s="5" t="s">
        <v>196</v>
      </c>
      <c r="G8292" s="6" t="str">
        <f>VLOOKUP(E8292,dicionario!$A$1:$C8691,2,0)</f>
        <v>Priva lappulacea</v>
      </c>
      <c r="H8292" s="6" t="str">
        <f>VLOOKUP(E8292,dicionario!$A$1:$C8691,3,0)</f>
        <v>carrapicho</v>
      </c>
    </row>
    <row r="8293">
      <c r="A8293" s="3">
        <v>45750.0</v>
      </c>
      <c r="B8293" s="4">
        <v>0.32222222222222224</v>
      </c>
      <c r="C8293" s="5" t="s">
        <v>50</v>
      </c>
      <c r="D8293" s="5" t="s">
        <v>1317</v>
      </c>
      <c r="E8293" s="8" t="s">
        <v>1344</v>
      </c>
      <c r="F8293" s="5" t="s">
        <v>47</v>
      </c>
      <c r="G8293" s="6" t="str">
        <f>VLOOKUP(E8293,dicionario!$A$1:$C8692,2,0)</f>
        <v>#N/A</v>
      </c>
      <c r="H8293" s="6" t="str">
        <f>VLOOKUP(E8293,dicionario!$A$1:$C8692,3,0)</f>
        <v>#N/A</v>
      </c>
    </row>
    <row r="8294">
      <c r="A8294" s="3">
        <v>45750.0</v>
      </c>
      <c r="B8294" s="4">
        <v>0.32222222222222224</v>
      </c>
      <c r="C8294" s="5" t="s">
        <v>50</v>
      </c>
      <c r="D8294" s="5" t="s">
        <v>1317</v>
      </c>
      <c r="E8294" s="8" t="s">
        <v>1354</v>
      </c>
      <c r="F8294" s="5" t="s">
        <v>56</v>
      </c>
      <c r="G8294" s="6" t="str">
        <f>VLOOKUP(E8294,dicionario!$A$1:$C8693,2,0)</f>
        <v>#N/A</v>
      </c>
      <c r="H8294" s="6" t="str">
        <f>VLOOKUP(E8294,dicionario!$A$1:$C8693,3,0)</f>
        <v>#N/A</v>
      </c>
    </row>
    <row r="8295">
      <c r="A8295" s="3">
        <v>45750.0</v>
      </c>
      <c r="B8295" s="4">
        <v>0.32222222222222224</v>
      </c>
      <c r="C8295" s="5" t="s">
        <v>50</v>
      </c>
      <c r="D8295" s="5" t="s">
        <v>1317</v>
      </c>
      <c r="E8295" s="8" t="s">
        <v>51</v>
      </c>
      <c r="F8295" s="5" t="s">
        <v>77</v>
      </c>
      <c r="G8295" s="6" t="str">
        <f>VLOOKUP(E8295,dicionario!$A$1:$C8694,2,0)</f>
        <v>Solenopsis</v>
      </c>
      <c r="H8295" s="6" t="str">
        <f>VLOOKUP(E8295,dicionario!$A$1:$C8694,3,0)</f>
        <v>formiga-quente; formiga-lava-pés; formiga-de-fogo</v>
      </c>
    </row>
    <row r="8296">
      <c r="A8296" s="3">
        <v>45750.0</v>
      </c>
      <c r="B8296" s="4">
        <v>0.32222222222222224</v>
      </c>
      <c r="C8296" s="5" t="s">
        <v>50</v>
      </c>
      <c r="D8296" s="5" t="s">
        <v>1317</v>
      </c>
      <c r="E8296" s="8" t="s">
        <v>338</v>
      </c>
      <c r="F8296" s="5" t="s">
        <v>238</v>
      </c>
      <c r="G8296" s="6" t="str">
        <f>VLOOKUP(E8296,dicionario!$A$1:$C8695,2,0)</f>
        <v>Atta</v>
      </c>
      <c r="H8296" s="6" t="str">
        <f>VLOOKUP(E8296,dicionario!$A$1:$C8695,3,0)</f>
        <v>saúva</v>
      </c>
    </row>
    <row r="8297">
      <c r="A8297" s="3">
        <v>45750.0</v>
      </c>
      <c r="B8297" s="4">
        <v>0.32222222222222224</v>
      </c>
      <c r="C8297" s="5" t="s">
        <v>50</v>
      </c>
      <c r="D8297" s="5" t="s">
        <v>1317</v>
      </c>
      <c r="E8297" s="8" t="s">
        <v>693</v>
      </c>
      <c r="F8297" s="5" t="s">
        <v>1162</v>
      </c>
      <c r="G8297" s="6" t="str">
        <f>VLOOKUP(E8297,dicionario!$A$1:$C8696,2,0)</f>
        <v>Sarasinula plebeia</v>
      </c>
      <c r="H8297" s="6" t="str">
        <f>VLOOKUP(E8297,dicionario!$A$1:$C8696,3,0)</f>
        <v>lesma-feijão</v>
      </c>
    </row>
    <row r="8298">
      <c r="A8298" s="3">
        <v>45750.0</v>
      </c>
      <c r="B8298" s="4">
        <v>0.32222222222222224</v>
      </c>
      <c r="C8298" s="5" t="s">
        <v>50</v>
      </c>
      <c r="D8298" s="5" t="s">
        <v>1317</v>
      </c>
      <c r="E8298" s="8" t="s">
        <v>245</v>
      </c>
      <c r="F8298" s="5" t="s">
        <v>246</v>
      </c>
      <c r="G8298" s="6" t="str">
        <f>VLOOKUP(E8298,dicionario!$A$1:$C8697,2,0)</f>
        <v>Hemiargus hanno</v>
      </c>
      <c r="H8298" s="6" t="str">
        <f>VLOOKUP(E8298,dicionario!$A$1:$C8697,3,0)</f>
        <v>borboleta-azulzinha-do-trevo</v>
      </c>
    </row>
    <row r="8299">
      <c r="A8299" s="3">
        <v>45750.0</v>
      </c>
      <c r="B8299" s="4">
        <v>0.32222222222222224</v>
      </c>
      <c r="C8299" s="5" t="s">
        <v>50</v>
      </c>
      <c r="D8299" s="5" t="s">
        <v>1317</v>
      </c>
      <c r="E8299" s="6" t="s">
        <v>251</v>
      </c>
      <c r="F8299" s="5" t="s">
        <v>252</v>
      </c>
      <c r="G8299" s="6" t="str">
        <f>VLOOKUP(E8299,dicionario!$A$1:$C8698,2,0)</f>
        <v>Struthanthus flexicaulis</v>
      </c>
      <c r="H8299" s="6" t="str">
        <f>VLOOKUP(E8299,dicionario!$A$1:$C8698,3,0)</f>
        <v>erva-de-passarinho</v>
      </c>
    </row>
    <row r="8300">
      <c r="A8300" s="3">
        <v>45750.0</v>
      </c>
      <c r="B8300" s="4">
        <v>0.3229166666666667</v>
      </c>
      <c r="C8300" s="5" t="s">
        <v>50</v>
      </c>
      <c r="D8300" s="5" t="s">
        <v>1317</v>
      </c>
      <c r="E8300" s="8" t="s">
        <v>239</v>
      </c>
      <c r="F8300" s="5" t="s">
        <v>240</v>
      </c>
      <c r="G8300" s="6" t="str">
        <f>VLOOKUP(E8300,dicionario!$A$1:$C8699,2,0)</f>
        <v>Gomphrena celosioides</v>
      </c>
      <c r="H8300" s="6" t="str">
        <f>VLOOKUP(E8300,dicionario!$A$1:$C8699,3,0)</f>
        <v>perpétua-branca</v>
      </c>
    </row>
    <row r="8301">
      <c r="A8301" s="3">
        <v>45750.0</v>
      </c>
      <c r="B8301" s="4">
        <v>0.3229166666666667</v>
      </c>
      <c r="C8301" s="5" t="s">
        <v>50</v>
      </c>
      <c r="D8301" s="5" t="s">
        <v>1317</v>
      </c>
      <c r="E8301" s="8" t="s">
        <v>1311</v>
      </c>
      <c r="F8301" s="5" t="s">
        <v>114</v>
      </c>
      <c r="G8301" s="6" t="str">
        <f>VLOOKUP(E8301,dicionario!$A$1:$C8700,2,0)</f>
        <v>#N/A</v>
      </c>
      <c r="H8301" s="6" t="str">
        <f>VLOOKUP(E8301,dicionario!$A$1:$C8700,3,0)</f>
        <v>#N/A</v>
      </c>
    </row>
    <row r="8302">
      <c r="A8302" s="3">
        <v>45750.0</v>
      </c>
      <c r="B8302" s="4">
        <v>0.3229166666666667</v>
      </c>
      <c r="C8302" s="5" t="s">
        <v>50</v>
      </c>
      <c r="D8302" s="5" t="s">
        <v>1317</v>
      </c>
      <c r="E8302" s="8" t="s">
        <v>262</v>
      </c>
      <c r="F8302" s="5" t="s">
        <v>1256</v>
      </c>
      <c r="G8302" s="6" t="str">
        <f>VLOOKUP(E8302,dicionario!$A$1:$C8701,2,0)</f>
        <v>Portulaca oleracea</v>
      </c>
      <c r="H8302" s="6" t="str">
        <f>VLOOKUP(E8302,dicionario!$A$1:$C8701,3,0)</f>
        <v>beldroega</v>
      </c>
    </row>
    <row r="8303">
      <c r="A8303" s="3">
        <v>45750.0</v>
      </c>
      <c r="B8303" s="4">
        <v>0.3229166666666667</v>
      </c>
      <c r="C8303" s="5" t="s">
        <v>50</v>
      </c>
      <c r="D8303" s="5" t="s">
        <v>1317</v>
      </c>
      <c r="E8303" s="8" t="s">
        <v>150</v>
      </c>
      <c r="F8303" s="5" t="s">
        <v>151</v>
      </c>
      <c r="G8303" s="6" t="str">
        <f>VLOOKUP(E8303,dicionario!$A$1:$C8702,2,0)</f>
        <v>Amaranthus viridis</v>
      </c>
      <c r="H8303" s="6" t="str">
        <f>VLOOKUP(E8303,dicionario!$A$1:$C8702,3,0)</f>
        <v>caruru-de-mancha</v>
      </c>
    </row>
    <row r="8304">
      <c r="A8304" s="3">
        <v>45750.0</v>
      </c>
      <c r="B8304" s="4">
        <v>0.3236111111111111</v>
      </c>
      <c r="C8304" s="5" t="s">
        <v>50</v>
      </c>
      <c r="D8304" s="5" t="s">
        <v>1317</v>
      </c>
      <c r="E8304" s="8" t="s">
        <v>1324</v>
      </c>
      <c r="F8304" s="5" t="s">
        <v>1246</v>
      </c>
      <c r="G8304" s="6" t="str">
        <f>VLOOKUP(E8304,dicionario!$A$1:$C8703,2,0)</f>
        <v>#N/A</v>
      </c>
      <c r="H8304" s="6" t="str">
        <f>VLOOKUP(E8304,dicionario!$A$1:$C8703,3,0)</f>
        <v>#N/A</v>
      </c>
    </row>
    <row r="8305">
      <c r="A8305" s="3">
        <v>45750.0</v>
      </c>
      <c r="B8305" s="4">
        <v>0.3236111111111111</v>
      </c>
      <c r="C8305" s="5" t="s">
        <v>50</v>
      </c>
      <c r="D8305" s="5" t="s">
        <v>1317</v>
      </c>
      <c r="E8305" s="8" t="s">
        <v>548</v>
      </c>
      <c r="F8305" s="5" t="s">
        <v>549</v>
      </c>
      <c r="G8305" s="6" t="str">
        <f>VLOOKUP(E8305,dicionario!$A$1:$C8704,2,0)</f>
        <v>Ricinus communis</v>
      </c>
      <c r="H8305" s="6" t="str">
        <f>VLOOKUP(E8305,dicionario!$A$1:$C8704,3,0)</f>
        <v>mamona</v>
      </c>
    </row>
    <row r="8306">
      <c r="A8306" s="3">
        <v>45750.0</v>
      </c>
      <c r="B8306" s="4">
        <v>0.3236111111111111</v>
      </c>
      <c r="C8306" s="5" t="s">
        <v>50</v>
      </c>
      <c r="D8306" s="5" t="s">
        <v>1317</v>
      </c>
      <c r="E8306" s="8" t="s">
        <v>1310</v>
      </c>
      <c r="F8306" s="5" t="s">
        <v>521</v>
      </c>
      <c r="G8306" s="6" t="str">
        <f>VLOOKUP(E8306,dicionario!$A$1:$C8705,2,0)</f>
        <v>#N/A</v>
      </c>
      <c r="H8306" s="6" t="str">
        <f>VLOOKUP(E8306,dicionario!$A$1:$C8705,3,0)</f>
        <v>#N/A</v>
      </c>
    </row>
    <row r="8307">
      <c r="A8307" s="3">
        <v>45750.0</v>
      </c>
      <c r="B8307" s="4">
        <v>0.32430555555555557</v>
      </c>
      <c r="C8307" s="5" t="s">
        <v>50</v>
      </c>
      <c r="D8307" s="5" t="s">
        <v>1317</v>
      </c>
      <c r="E8307" s="8" t="s">
        <v>296</v>
      </c>
      <c r="F8307" s="5" t="s">
        <v>1355</v>
      </c>
      <c r="G8307" s="6" t="str">
        <f>VLOOKUP(E8307,dicionario!$A$1:$C8706,2,0)</f>
        <v>Richardia brasiliensis</v>
      </c>
      <c r="H8307" s="6" t="str">
        <f>VLOOKUP(E8307,dicionario!$A$1:$C8706,3,0)</f>
        <v>poaia-branca</v>
      </c>
    </row>
    <row r="8308">
      <c r="A8308" s="3">
        <v>45750.0</v>
      </c>
      <c r="B8308" s="4">
        <v>0.3347222222222222</v>
      </c>
      <c r="C8308" s="5" t="s">
        <v>40</v>
      </c>
      <c r="D8308" s="5" t="s">
        <v>1317</v>
      </c>
      <c r="E8308" s="8" t="s">
        <v>1356</v>
      </c>
      <c r="F8308" s="5" t="s">
        <v>201</v>
      </c>
      <c r="G8308" s="6" t="str">
        <f>VLOOKUP(E8308,dicionario!$A$1:$C8707,2,0)</f>
        <v>#N/A</v>
      </c>
      <c r="H8308" s="6" t="str">
        <f>VLOOKUP(E8308,dicionario!$A$1:$C8707,3,0)</f>
        <v>#N/A</v>
      </c>
    </row>
    <row r="8309">
      <c r="A8309" s="3">
        <v>45750.0</v>
      </c>
      <c r="B8309" s="4">
        <v>0.3347222222222222</v>
      </c>
      <c r="C8309" s="5" t="s">
        <v>40</v>
      </c>
      <c r="D8309" s="5" t="s">
        <v>1317</v>
      </c>
      <c r="E8309" s="8" t="s">
        <v>1311</v>
      </c>
      <c r="F8309" s="5" t="s">
        <v>114</v>
      </c>
      <c r="G8309" s="6" t="str">
        <f>VLOOKUP(E8309,dicionario!$A$1:$C8708,2,0)</f>
        <v>#N/A</v>
      </c>
      <c r="H8309" s="6" t="str">
        <f>VLOOKUP(E8309,dicionario!$A$1:$C8708,3,0)</f>
        <v>#N/A</v>
      </c>
    </row>
    <row r="8310">
      <c r="A8310" s="3">
        <v>45750.0</v>
      </c>
      <c r="B8310" s="4">
        <v>0.3347222222222222</v>
      </c>
      <c r="C8310" s="5" t="s">
        <v>40</v>
      </c>
      <c r="D8310" s="5" t="s">
        <v>1317</v>
      </c>
      <c r="E8310" s="8" t="s">
        <v>1312</v>
      </c>
      <c r="F8310" s="5" t="s">
        <v>66</v>
      </c>
      <c r="G8310" s="6" t="str">
        <f>VLOOKUP(E8310,dicionario!$A$1:$C8709,2,0)</f>
        <v>#N/A</v>
      </c>
      <c r="H8310" s="6" t="str">
        <f>VLOOKUP(E8310,dicionario!$A$1:$C8709,3,0)</f>
        <v>#N/A</v>
      </c>
    </row>
    <row r="8311">
      <c r="A8311" s="3">
        <v>45750.0</v>
      </c>
      <c r="B8311" s="4">
        <v>0.3347222222222222</v>
      </c>
      <c r="C8311" s="5" t="s">
        <v>40</v>
      </c>
      <c r="D8311" s="5" t="s">
        <v>1317</v>
      </c>
      <c r="E8311" s="8" t="s">
        <v>1336</v>
      </c>
      <c r="F8311" s="5" t="s">
        <v>226</v>
      </c>
      <c r="G8311" s="6" t="str">
        <f>VLOOKUP(E8311,dicionario!$A$1:$C8710,2,0)</f>
        <v>#N/A</v>
      </c>
      <c r="H8311" s="6" t="str">
        <f>VLOOKUP(E8311,dicionario!$A$1:$C8710,3,0)</f>
        <v>#N/A</v>
      </c>
    </row>
    <row r="8312">
      <c r="A8312" s="3">
        <v>45750.0</v>
      </c>
      <c r="B8312" s="4">
        <v>0.3347222222222222</v>
      </c>
      <c r="C8312" s="5" t="s">
        <v>40</v>
      </c>
      <c r="D8312" s="5" t="s">
        <v>1317</v>
      </c>
      <c r="E8312" s="8" t="s">
        <v>271</v>
      </c>
      <c r="F8312" s="5" t="s">
        <v>1169</v>
      </c>
      <c r="G8312" s="6" t="str">
        <f>VLOOKUP(E8312,dicionario!$A$1:$C8711,2,0)</f>
        <v>Cyanthillium cinereum</v>
      </c>
      <c r="H8312" s="6" t="str">
        <f>VLOOKUP(E8312,dicionario!$A$1:$C8711,3,0)</f>
        <v>emília</v>
      </c>
    </row>
    <row r="8313">
      <c r="A8313" s="3">
        <v>45750.0</v>
      </c>
      <c r="B8313" s="4">
        <v>0.33611111111111114</v>
      </c>
      <c r="C8313" s="5" t="s">
        <v>40</v>
      </c>
      <c r="D8313" s="5" t="s">
        <v>1317</v>
      </c>
      <c r="E8313" s="8" t="s">
        <v>1328</v>
      </c>
      <c r="F8313" s="5" t="s">
        <v>356</v>
      </c>
      <c r="G8313" s="6" t="str">
        <f>VLOOKUP(E8313,dicionario!$A$1:$C8712,2,0)</f>
        <v>#N/A</v>
      </c>
      <c r="H8313" s="6" t="str">
        <f>VLOOKUP(E8313,dicionario!$A$1:$C8712,3,0)</f>
        <v>#N/A</v>
      </c>
    </row>
    <row r="8314">
      <c r="A8314" s="3">
        <v>45750.0</v>
      </c>
      <c r="B8314" s="4">
        <v>0.33611111111111114</v>
      </c>
      <c r="C8314" s="5" t="s">
        <v>40</v>
      </c>
      <c r="D8314" s="5" t="s">
        <v>1317</v>
      </c>
      <c r="E8314" s="8" t="s">
        <v>1291</v>
      </c>
      <c r="F8314" s="5" t="s">
        <v>1292</v>
      </c>
      <c r="G8314" s="6" t="str">
        <f>VLOOKUP(E8314,dicionario!$A$1:$C8713,2,0)</f>
        <v>Cucumis anguria</v>
      </c>
      <c r="H8314" s="6" t="str">
        <f>VLOOKUP(E8314,dicionario!$A$1:$C8713,3,0)</f>
        <v>maxixe</v>
      </c>
    </row>
    <row r="8315">
      <c r="A8315" s="3">
        <v>45750.0</v>
      </c>
      <c r="B8315" s="4">
        <v>0.33611111111111114</v>
      </c>
      <c r="C8315" s="5" t="s">
        <v>40</v>
      </c>
      <c r="D8315" s="5" t="s">
        <v>1317</v>
      </c>
      <c r="E8315" s="8" t="s">
        <v>163</v>
      </c>
      <c r="F8315" s="5" t="s">
        <v>164</v>
      </c>
      <c r="G8315" s="6" t="str">
        <f>VLOOKUP(E8315,dicionario!$A$1:$C8714,2,0)</f>
        <v>Coragyps atratus</v>
      </c>
      <c r="H8315" s="6" t="str">
        <f>VLOOKUP(E8315,dicionario!$A$1:$C8714,3,0)</f>
        <v>urubu-de-cabeça-preta</v>
      </c>
    </row>
    <row r="8316">
      <c r="A8316" s="3">
        <v>45750.0</v>
      </c>
      <c r="B8316" s="4">
        <v>0.33611111111111114</v>
      </c>
      <c r="C8316" s="5" t="s">
        <v>40</v>
      </c>
      <c r="D8316" s="5" t="s">
        <v>1317</v>
      </c>
      <c r="E8316" s="8" t="s">
        <v>109</v>
      </c>
      <c r="F8316" s="5" t="s">
        <v>110</v>
      </c>
      <c r="G8316" s="6" t="str">
        <f>VLOOKUP(E8316,dicionario!$A$1:$C8715,2,0)</f>
        <v>Tillandsia stricta</v>
      </c>
      <c r="H8316" s="6" t="str">
        <f>VLOOKUP(E8316,dicionario!$A$1:$C8715,3,0)</f>
        <v>cravo-do-mato</v>
      </c>
    </row>
    <row r="8317">
      <c r="A8317" s="3">
        <v>45750.0</v>
      </c>
      <c r="B8317" s="4">
        <v>0.33819444444444446</v>
      </c>
      <c r="C8317" s="5" t="s">
        <v>40</v>
      </c>
      <c r="D8317" s="5" t="s">
        <v>1317</v>
      </c>
      <c r="E8317" s="8" t="s">
        <v>1344</v>
      </c>
      <c r="F8317" s="5" t="s">
        <v>47</v>
      </c>
      <c r="G8317" s="6" t="str">
        <f>VLOOKUP(E8317,dicionario!$A$1:$C8716,2,0)</f>
        <v>#N/A</v>
      </c>
      <c r="H8317" s="6" t="str">
        <f>VLOOKUP(E8317,dicionario!$A$1:$C8716,3,0)</f>
        <v>#N/A</v>
      </c>
    </row>
    <row r="8318">
      <c r="A8318" s="3">
        <v>45750.0</v>
      </c>
      <c r="B8318" s="4">
        <v>0.33819444444444446</v>
      </c>
      <c r="C8318" s="5" t="s">
        <v>40</v>
      </c>
      <c r="D8318" s="5" t="s">
        <v>1317</v>
      </c>
      <c r="E8318" s="8" t="s">
        <v>1282</v>
      </c>
      <c r="F8318" s="5" t="s">
        <v>182</v>
      </c>
      <c r="G8318" s="6" t="str">
        <f>VLOOKUP(E8318,dicionario!$A$1:$C8717,2,0)</f>
        <v>#N/A</v>
      </c>
      <c r="H8318" s="6" t="str">
        <f>VLOOKUP(E8318,dicionario!$A$1:$C8717,3,0)</f>
        <v>#N/A</v>
      </c>
    </row>
    <row r="8319">
      <c r="A8319" s="3">
        <v>45750.0</v>
      </c>
      <c r="B8319" s="4">
        <v>0.33819444444444446</v>
      </c>
      <c r="C8319" s="5" t="s">
        <v>40</v>
      </c>
      <c r="D8319" s="5" t="s">
        <v>1317</v>
      </c>
      <c r="E8319" s="6" t="s">
        <v>288</v>
      </c>
      <c r="F8319" s="5" t="s">
        <v>289</v>
      </c>
      <c r="G8319" s="6" t="str">
        <f>VLOOKUP(E8319,dicionario!$A$1:$C8718,2,0)</f>
        <v>Phyllanthus tenellus</v>
      </c>
      <c r="H8319" s="6" t="str">
        <f>VLOOKUP(E8319,dicionario!$A$1:$C8718,3,0)</f>
        <v>quebra-pedra</v>
      </c>
    </row>
    <row r="8320">
      <c r="A8320" s="3">
        <v>45750.0</v>
      </c>
      <c r="B8320" s="4">
        <v>0.33819444444444446</v>
      </c>
      <c r="C8320" s="5" t="s">
        <v>40</v>
      </c>
      <c r="D8320" s="5" t="s">
        <v>1317</v>
      </c>
      <c r="E8320" s="8" t="s">
        <v>886</v>
      </c>
      <c r="F8320" s="5" t="s">
        <v>887</v>
      </c>
      <c r="G8320" s="6" t="str">
        <f>VLOOKUP(E8320,dicionario!$A$1:$C8719,2,0)</f>
        <v>Oldenlandia corymbosa</v>
      </c>
      <c r="H8320" s="6" t="str">
        <f>VLOOKUP(E8320,dicionario!$A$1:$C8719,3,0)</f>
        <v>erva-diamante</v>
      </c>
    </row>
    <row r="8321">
      <c r="A8321" s="3">
        <v>45750.0</v>
      </c>
      <c r="B8321" s="4">
        <v>0.3388888888888889</v>
      </c>
      <c r="C8321" s="5" t="s">
        <v>40</v>
      </c>
      <c r="D8321" s="5" t="s">
        <v>1317</v>
      </c>
      <c r="E8321" s="8" t="s">
        <v>258</v>
      </c>
      <c r="F8321" s="5" t="s">
        <v>259</v>
      </c>
      <c r="G8321" s="6" t="str">
        <f>VLOOKUP(E8321,dicionario!$A$1:$C8720,2,0)</f>
        <v>Lantana camara</v>
      </c>
      <c r="H8321" s="6" t="str">
        <f>VLOOKUP(E8321,dicionario!$A$1:$C8720,3,0)</f>
        <v>lantana</v>
      </c>
    </row>
    <row r="8322">
      <c r="A8322" s="3">
        <v>45750.0</v>
      </c>
      <c r="B8322" s="4">
        <v>0.3388888888888889</v>
      </c>
      <c r="C8322" s="5" t="s">
        <v>40</v>
      </c>
      <c r="D8322" s="5" t="s">
        <v>1317</v>
      </c>
      <c r="E8322" s="8" t="s">
        <v>712</v>
      </c>
      <c r="F8322" s="5" t="s">
        <v>718</v>
      </c>
      <c r="G8322" s="6" t="str">
        <f>VLOOKUP(E8322,dicionario!$A$1:$C8721,2,0)</f>
        <v>Flavopunctelia soredica</v>
      </c>
      <c r="H8322" s="6" t="str">
        <f>VLOOKUP(E8322,dicionario!$A$1:$C8721,3,0)</f>
        <v>líquen-folioso</v>
      </c>
    </row>
    <row r="8323">
      <c r="A8323" s="3">
        <v>45750.0</v>
      </c>
      <c r="B8323" s="4">
        <v>0.3388888888888889</v>
      </c>
      <c r="C8323" s="5" t="s">
        <v>40</v>
      </c>
      <c r="D8323" s="5" t="s">
        <v>1317</v>
      </c>
      <c r="E8323" s="8" t="s">
        <v>154</v>
      </c>
      <c r="F8323" s="5" t="s">
        <v>155</v>
      </c>
      <c r="G8323" s="6" t="str">
        <f>VLOOKUP(E8323,dicionario!$A$1:$C8722,2,0)</f>
        <v>Cyperus rotundus</v>
      </c>
      <c r="H8323" s="6" t="str">
        <f>VLOOKUP(E8323,dicionario!$A$1:$C8722,3,0)</f>
        <v>tiririca</v>
      </c>
    </row>
    <row r="8324">
      <c r="A8324" s="3">
        <v>45750.0</v>
      </c>
      <c r="B8324" s="4">
        <v>0.3388888888888889</v>
      </c>
      <c r="C8324" s="5" t="s">
        <v>40</v>
      </c>
      <c r="D8324" s="5" t="s">
        <v>1317</v>
      </c>
      <c r="E8324" s="8" t="s">
        <v>517</v>
      </c>
      <c r="F8324" s="7" t="s">
        <v>518</v>
      </c>
      <c r="G8324" s="6" t="str">
        <f>VLOOKUP(E8324,dicionario!$A$1:$C8723,2,0)</f>
        <v>Evolvulus nummularius</v>
      </c>
      <c r="H8324" s="6" t="str">
        <f>VLOOKUP(E8324,dicionario!$A$1:$C8723,3,0)</f>
        <v/>
      </c>
    </row>
    <row r="8325">
      <c r="A8325" s="3">
        <v>45750.0</v>
      </c>
      <c r="B8325" s="4">
        <v>0.33958333333333335</v>
      </c>
      <c r="C8325" s="5" t="s">
        <v>40</v>
      </c>
      <c r="D8325" s="5" t="s">
        <v>1317</v>
      </c>
      <c r="E8325" s="8" t="s">
        <v>38</v>
      </c>
      <c r="F8325" s="5" t="s">
        <v>1251</v>
      </c>
      <c r="G8325" s="6" t="str">
        <f>VLOOKUP(E8325,dicionario!$A$1:$C8724,2,0)</f>
        <v>Troglodytes musculus</v>
      </c>
      <c r="H8325" s="6" t="str">
        <f>VLOOKUP(E8325,dicionario!$A$1:$C8724,3,0)</f>
        <v>curruíra</v>
      </c>
    </row>
    <row r="8326">
      <c r="A8326" s="3">
        <v>45750.0</v>
      </c>
      <c r="B8326" s="4">
        <v>0.3402777777777778</v>
      </c>
      <c r="C8326" s="5" t="s">
        <v>40</v>
      </c>
      <c r="D8326" s="5" t="s">
        <v>1317</v>
      </c>
      <c r="E8326" s="8" t="s">
        <v>191</v>
      </c>
      <c r="F8326" s="5" t="s">
        <v>192</v>
      </c>
      <c r="G8326" s="6" t="str">
        <f>VLOOKUP(E8326,dicionario!$A$1:$C8725,2,0)</f>
        <v>Patagioenas picazuro</v>
      </c>
      <c r="H8326" s="6" t="str">
        <f>VLOOKUP(E8326,dicionario!$A$1:$C8725,3,0)</f>
        <v>asa-branca; pomba-asa-branca; pocaçu</v>
      </c>
    </row>
    <row r="8327">
      <c r="A8327" s="3">
        <v>45750.0</v>
      </c>
      <c r="B8327" s="4">
        <v>0.34097222222222223</v>
      </c>
      <c r="C8327" s="5" t="s">
        <v>40</v>
      </c>
      <c r="D8327" s="5" t="s">
        <v>1317</v>
      </c>
      <c r="E8327" s="8" t="s">
        <v>298</v>
      </c>
      <c r="F8327" s="7"/>
      <c r="G8327" s="6" t="str">
        <f>VLOOKUP(E8327,dicionario!$A$1:$C8726,2,0)</f>
        <v>Alysicarpus vaginalis</v>
      </c>
      <c r="H8327" s="6" t="str">
        <f>VLOOKUP(E8327,dicionario!$A$1:$C8726,3,0)</f>
        <v/>
      </c>
    </row>
    <row r="8328">
      <c r="A8328" s="3">
        <v>45750.0</v>
      </c>
      <c r="B8328" s="4">
        <v>0.34097222222222223</v>
      </c>
      <c r="C8328" s="5" t="s">
        <v>40</v>
      </c>
      <c r="D8328" s="5" t="s">
        <v>1317</v>
      </c>
      <c r="E8328" s="8" t="s">
        <v>296</v>
      </c>
      <c r="F8328" s="5" t="s">
        <v>297</v>
      </c>
      <c r="G8328" s="6" t="str">
        <f>VLOOKUP(E8328,dicionario!$A$1:$C8727,2,0)</f>
        <v>Richardia brasiliensis</v>
      </c>
      <c r="H8328" s="6" t="str">
        <f>VLOOKUP(E8328,dicionario!$A$1:$C8727,3,0)</f>
        <v>poaia-branca</v>
      </c>
    </row>
    <row r="8329">
      <c r="A8329" s="3">
        <v>45750.0</v>
      </c>
      <c r="B8329" s="4">
        <v>0.3416666666666667</v>
      </c>
      <c r="C8329" s="5" t="s">
        <v>40</v>
      </c>
      <c r="D8329" s="5" t="s">
        <v>1317</v>
      </c>
      <c r="E8329" s="8" t="s">
        <v>1324</v>
      </c>
      <c r="F8329" s="5" t="s">
        <v>1246</v>
      </c>
      <c r="G8329" s="6" t="str">
        <f>VLOOKUP(E8329,dicionario!$A$1:$C8728,2,0)</f>
        <v>#N/A</v>
      </c>
      <c r="H8329" s="6" t="str">
        <f>VLOOKUP(E8329,dicionario!$A$1:$C8728,3,0)</f>
        <v>#N/A</v>
      </c>
    </row>
    <row r="8330">
      <c r="A8330" s="3">
        <v>45750.0</v>
      </c>
      <c r="B8330" s="4">
        <v>0.3416666666666667</v>
      </c>
      <c r="C8330" s="5" t="s">
        <v>40</v>
      </c>
      <c r="D8330" s="5" t="s">
        <v>1317</v>
      </c>
      <c r="E8330" s="8" t="s">
        <v>286</v>
      </c>
      <c r="F8330" s="5" t="s">
        <v>287</v>
      </c>
      <c r="G8330" s="6" t="str">
        <f>VLOOKUP(E8330,dicionario!$A$1:$C8729,2,0)</f>
        <v>Setaria parviflora</v>
      </c>
      <c r="H8330" s="6" t="str">
        <f>VLOOKUP(E8330,dicionario!$A$1:$C8729,3,0)</f>
        <v>capim-rabo-de-raposa</v>
      </c>
    </row>
    <row r="8331">
      <c r="A8331" s="3">
        <v>45750.0</v>
      </c>
      <c r="B8331" s="4">
        <v>0.3416666666666667</v>
      </c>
      <c r="C8331" s="5" t="s">
        <v>40</v>
      </c>
      <c r="D8331" s="5" t="s">
        <v>1317</v>
      </c>
      <c r="E8331" s="8" t="s">
        <v>1087</v>
      </c>
      <c r="F8331" s="5" t="s">
        <v>1088</v>
      </c>
      <c r="G8331" s="6" t="str">
        <f>VLOOKUP(E8331,dicionario!$A$1:$C8730,2,0)</f>
        <v>Desmodium triflorum</v>
      </c>
      <c r="H8331" s="6" t="str">
        <f>VLOOKUP(E8331,dicionario!$A$1:$C8730,3,0)</f>
        <v/>
      </c>
    </row>
    <row r="8332">
      <c r="A8332" s="3">
        <v>45750.0</v>
      </c>
      <c r="B8332" s="4">
        <v>0.3423611111111111</v>
      </c>
      <c r="C8332" s="5" t="s">
        <v>40</v>
      </c>
      <c r="D8332" s="5" t="s">
        <v>1317</v>
      </c>
      <c r="E8332" s="8" t="s">
        <v>353</v>
      </c>
      <c r="F8332" s="5" t="s">
        <v>354</v>
      </c>
      <c r="G8332" s="6" t="str">
        <f>VLOOKUP(E8332,dicionario!$A$1:$C8731,2,0)</f>
        <v>Desmodium incanum</v>
      </c>
      <c r="H8332" s="6" t="str">
        <f>VLOOKUP(E8332,dicionario!$A$1:$C8731,3,0)</f>
        <v>pega-pega</v>
      </c>
    </row>
    <row r="8333">
      <c r="A8333" s="3">
        <v>45750.0</v>
      </c>
      <c r="B8333" s="4">
        <v>0.3423611111111111</v>
      </c>
      <c r="C8333" s="5" t="s">
        <v>40</v>
      </c>
      <c r="D8333" s="5" t="s">
        <v>1317</v>
      </c>
      <c r="E8333" s="8" t="s">
        <v>239</v>
      </c>
      <c r="F8333" s="5" t="s">
        <v>240</v>
      </c>
      <c r="G8333" s="6" t="str">
        <f>VLOOKUP(E8333,dicionario!$A$1:$C8732,2,0)</f>
        <v>Gomphrena celosioides</v>
      </c>
      <c r="H8333" s="6" t="str">
        <f>VLOOKUP(E8333,dicionario!$A$1:$C8732,3,0)</f>
        <v>perpétua-branca</v>
      </c>
    </row>
    <row r="8334">
      <c r="A8334" s="3">
        <v>45750.0</v>
      </c>
      <c r="B8334" s="4">
        <v>0.34305555555555556</v>
      </c>
      <c r="C8334" s="5" t="s">
        <v>40</v>
      </c>
      <c r="D8334" s="5" t="s">
        <v>1317</v>
      </c>
      <c r="E8334" s="8" t="s">
        <v>195</v>
      </c>
      <c r="F8334" s="5" t="s">
        <v>196</v>
      </c>
      <c r="G8334" s="6" t="str">
        <f>VLOOKUP(E8334,dicionario!$A$1:$C8733,2,0)</f>
        <v>Priva lappulacea</v>
      </c>
      <c r="H8334" s="6" t="str">
        <f>VLOOKUP(E8334,dicionario!$A$1:$C8733,3,0)</f>
        <v>carrapicho</v>
      </c>
    </row>
    <row r="8335">
      <c r="A8335" s="3">
        <v>45750.0</v>
      </c>
      <c r="B8335" s="4">
        <v>0.34305555555555556</v>
      </c>
      <c r="C8335" s="5" t="s">
        <v>40</v>
      </c>
      <c r="D8335" s="5" t="s">
        <v>1317</v>
      </c>
      <c r="E8335" s="8" t="s">
        <v>163</v>
      </c>
      <c r="F8335" s="5" t="s">
        <v>164</v>
      </c>
      <c r="G8335" s="6" t="str">
        <f>VLOOKUP(E8335,dicionario!$A$1:$C8734,2,0)</f>
        <v>Coragyps atratus</v>
      </c>
      <c r="H8335" s="6" t="str">
        <f>VLOOKUP(E8335,dicionario!$A$1:$C8734,3,0)</f>
        <v>urubu-de-cabeça-preta</v>
      </c>
    </row>
    <row r="8336">
      <c r="A8336" s="3">
        <v>45750.0</v>
      </c>
      <c r="B8336" s="4">
        <v>0.34375</v>
      </c>
      <c r="C8336" s="5" t="s">
        <v>33</v>
      </c>
      <c r="D8336" s="5" t="s">
        <v>1317</v>
      </c>
      <c r="E8336" s="20" t="s">
        <v>676</v>
      </c>
      <c r="F8336" s="5" t="s">
        <v>677</v>
      </c>
      <c r="G8336" s="6" t="str">
        <f>VLOOKUP(E8336,dicionario!$A$1:$C8735,2,0)</f>
        <v>Zornia latifolia</v>
      </c>
      <c r="H8336" s="6" t="str">
        <f>VLOOKUP(E8336,dicionario!$A$1:$C8735,3,0)</f>
        <v>arrozinho-do-campo</v>
      </c>
    </row>
    <row r="8337">
      <c r="A8337" s="3">
        <v>45750.0</v>
      </c>
      <c r="B8337" s="4">
        <v>0.34375</v>
      </c>
      <c r="C8337" s="5" t="s">
        <v>33</v>
      </c>
      <c r="D8337" s="5" t="s">
        <v>1317</v>
      </c>
      <c r="E8337" s="8" t="s">
        <v>109</v>
      </c>
      <c r="F8337" s="5" t="s">
        <v>110</v>
      </c>
      <c r="G8337" s="6" t="str">
        <f>VLOOKUP(E8337,dicionario!$A$1:$C8736,2,0)</f>
        <v>Tillandsia stricta</v>
      </c>
      <c r="H8337" s="6" t="str">
        <f>VLOOKUP(E8337,dicionario!$A$1:$C8736,3,0)</f>
        <v>cravo-do-mato</v>
      </c>
    </row>
    <row r="8338">
      <c r="A8338" s="3">
        <v>45750.0</v>
      </c>
      <c r="B8338" s="4">
        <v>0.34375</v>
      </c>
      <c r="C8338" s="5" t="s">
        <v>33</v>
      </c>
      <c r="D8338" s="5" t="s">
        <v>1317</v>
      </c>
      <c r="E8338" s="8" t="s">
        <v>1347</v>
      </c>
      <c r="F8338" s="5" t="s">
        <v>1168</v>
      </c>
      <c r="G8338" s="6" t="str">
        <f>VLOOKUP(E8338,dicionario!$A$1:$C8737,2,0)</f>
        <v>#N/A</v>
      </c>
      <c r="H8338" s="6" t="str">
        <f>VLOOKUP(E8338,dicionario!$A$1:$C8737,3,0)</f>
        <v>#N/A</v>
      </c>
    </row>
    <row r="8339">
      <c r="A8339" s="3">
        <v>45750.0</v>
      </c>
      <c r="B8339" s="4">
        <v>0.3458333333333333</v>
      </c>
      <c r="C8339" s="5" t="s">
        <v>33</v>
      </c>
      <c r="D8339" s="5" t="s">
        <v>1317</v>
      </c>
      <c r="E8339" s="8" t="s">
        <v>38</v>
      </c>
      <c r="F8339" s="5" t="s">
        <v>1251</v>
      </c>
      <c r="G8339" s="6" t="str">
        <f>VLOOKUP(E8339,dicionario!$A$1:$C8738,2,0)</f>
        <v>Troglodytes musculus</v>
      </c>
      <c r="H8339" s="6" t="str">
        <f>VLOOKUP(E8339,dicionario!$A$1:$C8738,3,0)</f>
        <v>curruíra</v>
      </c>
    </row>
    <row r="8340">
      <c r="A8340" s="3">
        <v>45750.0</v>
      </c>
      <c r="B8340" s="4">
        <v>0.3458333333333333</v>
      </c>
      <c r="C8340" s="5" t="s">
        <v>33</v>
      </c>
      <c r="D8340" s="5" t="s">
        <v>1317</v>
      </c>
      <c r="E8340" s="8" t="s">
        <v>1312</v>
      </c>
      <c r="F8340" s="5" t="s">
        <v>66</v>
      </c>
      <c r="G8340" s="6" t="str">
        <f>VLOOKUP(E8340,dicionario!$A$1:$C8739,2,0)</f>
        <v>#N/A</v>
      </c>
      <c r="H8340" s="6" t="str">
        <f>VLOOKUP(E8340,dicionario!$A$1:$C8739,3,0)</f>
        <v>#N/A</v>
      </c>
    </row>
    <row r="8341">
      <c r="A8341" s="3">
        <v>45750.0</v>
      </c>
      <c r="B8341" s="4">
        <v>0.34652777777777777</v>
      </c>
      <c r="C8341" s="5" t="s">
        <v>33</v>
      </c>
      <c r="D8341" s="5" t="s">
        <v>1317</v>
      </c>
      <c r="E8341" s="8" t="s">
        <v>122</v>
      </c>
      <c r="F8341" s="5" t="s">
        <v>123</v>
      </c>
      <c r="G8341" s="6" t="str">
        <f>VLOOKUP(E8341,dicionario!$A$1:$C8740,2,0)</f>
        <v>Todirostrum cinereum</v>
      </c>
      <c r="H8341" s="6" t="str">
        <f>VLOOKUP(E8341,dicionario!$A$1:$C8740,3,0)</f>
        <v>ferreirinho-relógio</v>
      </c>
    </row>
    <row r="8342">
      <c r="A8342" s="3">
        <v>45750.0</v>
      </c>
      <c r="B8342" s="4">
        <v>0.35</v>
      </c>
      <c r="C8342" s="5" t="s">
        <v>33</v>
      </c>
      <c r="D8342" s="5" t="s">
        <v>1317</v>
      </c>
      <c r="E8342" s="8" t="s">
        <v>1357</v>
      </c>
      <c r="F8342" s="5" t="s">
        <v>224</v>
      </c>
      <c r="G8342" s="6" t="str">
        <f>VLOOKUP(E8342,dicionario!$A$1:$C8741,2,0)</f>
        <v>#N/A</v>
      </c>
      <c r="H8342" s="6" t="str">
        <f>VLOOKUP(E8342,dicionario!$A$1:$C8741,3,0)</f>
        <v>#N/A</v>
      </c>
    </row>
    <row r="8343">
      <c r="A8343" s="3">
        <v>45750.0</v>
      </c>
      <c r="B8343" s="4">
        <v>0.35</v>
      </c>
      <c r="C8343" s="5" t="s">
        <v>33</v>
      </c>
      <c r="D8343" s="5" t="s">
        <v>1317</v>
      </c>
      <c r="E8343" s="6" t="s">
        <v>86</v>
      </c>
      <c r="F8343" s="5" t="s">
        <v>502</v>
      </c>
      <c r="G8343" s="6" t="str">
        <f>VLOOKUP(E8343,dicionario!$A$1:$C8742,2,0)</f>
        <v>Coereba flaveola</v>
      </c>
      <c r="H8343" s="6" t="str">
        <f>VLOOKUP(E8343,dicionario!$A$1:$C8742,3,0)</f>
        <v>cambacica</v>
      </c>
    </row>
    <row r="8344">
      <c r="A8344" s="3">
        <v>45750.0</v>
      </c>
      <c r="B8344" s="4">
        <v>0.35208333333333336</v>
      </c>
      <c r="C8344" s="5" t="s">
        <v>26</v>
      </c>
      <c r="D8344" s="5" t="s">
        <v>1317</v>
      </c>
      <c r="E8344" s="8" t="s">
        <v>109</v>
      </c>
      <c r="F8344" s="5" t="s">
        <v>110</v>
      </c>
      <c r="G8344" s="6" t="str">
        <f>VLOOKUP(E8344,dicionario!$A$1:$C8743,2,0)</f>
        <v>Tillandsia stricta</v>
      </c>
      <c r="H8344" s="6" t="str">
        <f>VLOOKUP(E8344,dicionario!$A$1:$C8743,3,0)</f>
        <v>cravo-do-mato</v>
      </c>
    </row>
    <row r="8345">
      <c r="A8345" s="3">
        <v>45750.0</v>
      </c>
      <c r="B8345" s="4">
        <v>0.35208333333333336</v>
      </c>
      <c r="C8345" s="5" t="s">
        <v>26</v>
      </c>
      <c r="D8345" s="5" t="s">
        <v>1317</v>
      </c>
      <c r="E8345" s="8" t="s">
        <v>498</v>
      </c>
      <c r="F8345" s="5" t="s">
        <v>499</v>
      </c>
      <c r="G8345" s="6" t="str">
        <f>VLOOKUP(E8345,dicionario!$A$1:$C8744,2,0)</f>
        <v>Brachiaria decumbens</v>
      </c>
      <c r="H8345" s="6" t="str">
        <f>VLOOKUP(E8345,dicionario!$A$1:$C8744,3,0)</f>
        <v>capim-braquiária</v>
      </c>
    </row>
    <row r="8346">
      <c r="A8346" s="3">
        <v>45750.0</v>
      </c>
      <c r="B8346" s="4">
        <v>0.35208333333333336</v>
      </c>
      <c r="C8346" s="5" t="s">
        <v>26</v>
      </c>
      <c r="D8346" s="5" t="s">
        <v>1317</v>
      </c>
      <c r="E8346" s="8" t="s">
        <v>298</v>
      </c>
      <c r="F8346" s="7"/>
      <c r="G8346" s="6" t="str">
        <f>VLOOKUP(E8346,dicionario!$A$1:$C8745,2,0)</f>
        <v>Alysicarpus vaginalis</v>
      </c>
      <c r="H8346" s="6" t="str">
        <f>VLOOKUP(E8346,dicionario!$A$1:$C8745,3,0)</f>
        <v/>
      </c>
    </row>
    <row r="8347">
      <c r="A8347" s="3">
        <v>45750.0</v>
      </c>
      <c r="B8347" s="4">
        <v>0.3527777777777778</v>
      </c>
      <c r="C8347" s="5" t="s">
        <v>26</v>
      </c>
      <c r="D8347" s="5" t="s">
        <v>1317</v>
      </c>
      <c r="E8347" s="8" t="s">
        <v>719</v>
      </c>
      <c r="F8347" s="5" t="s">
        <v>720</v>
      </c>
      <c r="G8347" s="6" t="str">
        <f>VLOOKUP(E8347,dicionario!$A$1:$C8746,2,0)</f>
        <v>Dirinaria</v>
      </c>
      <c r="H8347" s="6" t="str">
        <f>VLOOKUP(E8347,dicionario!$A$1:$C8746,3,0)</f>
        <v>líquen-crostoso</v>
      </c>
    </row>
    <row r="8348">
      <c r="A8348" s="3">
        <v>45750.0</v>
      </c>
      <c r="B8348" s="4">
        <v>0.3527777777777778</v>
      </c>
      <c r="C8348" s="5" t="s">
        <v>26</v>
      </c>
      <c r="D8348" s="5" t="s">
        <v>1317</v>
      </c>
      <c r="E8348" s="6" t="s">
        <v>251</v>
      </c>
      <c r="F8348" s="5" t="s">
        <v>252</v>
      </c>
      <c r="G8348" s="6" t="str">
        <f>VLOOKUP(E8348,dicionario!$A$1:$C8747,2,0)</f>
        <v>Struthanthus flexicaulis</v>
      </c>
      <c r="H8348" s="6" t="str">
        <f>VLOOKUP(E8348,dicionario!$A$1:$C8747,3,0)</f>
        <v>erva-de-passarinho</v>
      </c>
    </row>
    <row r="8349">
      <c r="A8349" s="3">
        <v>45750.0</v>
      </c>
      <c r="B8349" s="4">
        <v>0.3527777777777778</v>
      </c>
      <c r="C8349" s="5" t="s">
        <v>26</v>
      </c>
      <c r="D8349" s="5" t="s">
        <v>1317</v>
      </c>
      <c r="E8349" s="8" t="s">
        <v>41</v>
      </c>
      <c r="F8349" s="5" t="s">
        <v>45</v>
      </c>
      <c r="G8349" s="6" t="str">
        <f>VLOOKUP(E8349,dicionario!$A$1:$C8748,2,0)</f>
        <v>Mimosa pudica</v>
      </c>
      <c r="H8349" s="6" t="str">
        <f>VLOOKUP(E8349,dicionario!$A$1:$C8748,3,0)</f>
        <v>dormideira</v>
      </c>
    </row>
    <row r="8350">
      <c r="A8350" s="3">
        <v>45750.0</v>
      </c>
      <c r="B8350" s="4">
        <v>0.3527777777777778</v>
      </c>
      <c r="C8350" s="5" t="s">
        <v>26</v>
      </c>
      <c r="D8350" s="5" t="s">
        <v>1317</v>
      </c>
      <c r="E8350" s="12" t="s">
        <v>243</v>
      </c>
      <c r="F8350" s="5" t="s">
        <v>244</v>
      </c>
      <c r="G8350" s="6" t="str">
        <f>VLOOKUP(E8350,dicionario!$A$1:$C8749,2,0)</f>
        <v>Macroptilium atropurpureum</v>
      </c>
      <c r="H8350" s="6" t="str">
        <f>VLOOKUP(E8350,dicionario!$A$1:$C8749,3,0)</f>
        <v>feijão-de-pombo</v>
      </c>
    </row>
    <row r="8351">
      <c r="A8351" s="3">
        <v>45750.0</v>
      </c>
      <c r="B8351" s="4">
        <v>0.3527777777777778</v>
      </c>
      <c r="C8351" s="5" t="s">
        <v>26</v>
      </c>
      <c r="D8351" s="5" t="s">
        <v>1317</v>
      </c>
      <c r="E8351" s="8" t="s">
        <v>353</v>
      </c>
      <c r="F8351" s="5" t="s">
        <v>354</v>
      </c>
      <c r="G8351" s="6" t="str">
        <f>VLOOKUP(E8351,dicionario!$A$1:$C8750,2,0)</f>
        <v>Desmodium incanum</v>
      </c>
      <c r="H8351" s="6" t="str">
        <f>VLOOKUP(E8351,dicionario!$A$1:$C8750,3,0)</f>
        <v>pega-pega</v>
      </c>
    </row>
    <row r="8352">
      <c r="A8352" s="3">
        <v>45750.0</v>
      </c>
      <c r="B8352" s="4">
        <v>0.3527777777777778</v>
      </c>
      <c r="C8352" s="5" t="s">
        <v>26</v>
      </c>
      <c r="D8352" s="5" t="s">
        <v>1317</v>
      </c>
      <c r="E8352" s="8" t="s">
        <v>154</v>
      </c>
      <c r="F8352" s="5" t="s">
        <v>155</v>
      </c>
      <c r="G8352" s="6" t="str">
        <f>VLOOKUP(E8352,dicionario!$A$1:$C8751,2,0)</f>
        <v>Cyperus rotundus</v>
      </c>
      <c r="H8352" s="6" t="str">
        <f>VLOOKUP(E8352,dicionario!$A$1:$C8751,3,0)</f>
        <v>tiririca</v>
      </c>
    </row>
    <row r="8353">
      <c r="A8353" s="3">
        <v>45750.0</v>
      </c>
      <c r="B8353" s="4">
        <v>0.35347222222222224</v>
      </c>
      <c r="C8353" s="5" t="s">
        <v>26</v>
      </c>
      <c r="D8353" s="5" t="s">
        <v>1317</v>
      </c>
      <c r="E8353" s="8" t="s">
        <v>217</v>
      </c>
      <c r="F8353" s="5" t="s">
        <v>218</v>
      </c>
      <c r="G8353" s="6" t="str">
        <f>VLOOKUP(E8353,dicionario!$A$1:$C8752,2,0)</f>
        <v>Athene cunicularia</v>
      </c>
      <c r="H8353" s="6" t="str">
        <f>VLOOKUP(E8353,dicionario!$A$1:$C8752,3,0)</f>
        <v>coruja-buraqueira</v>
      </c>
    </row>
    <row r="8354">
      <c r="A8354" s="3">
        <v>45750.0</v>
      </c>
      <c r="B8354" s="4">
        <v>0.35347222222222224</v>
      </c>
      <c r="C8354" s="5" t="s">
        <v>26</v>
      </c>
      <c r="D8354" s="5" t="s">
        <v>1317</v>
      </c>
      <c r="E8354" s="8" t="s">
        <v>1334</v>
      </c>
      <c r="F8354" s="5" t="s">
        <v>84</v>
      </c>
      <c r="G8354" s="6" t="str">
        <f>VLOOKUP(E8354,dicionario!$A$1:$C8753,2,0)</f>
        <v>#N/A</v>
      </c>
      <c r="H8354" s="6" t="str">
        <f>VLOOKUP(E8354,dicionario!$A$1:$C8753,3,0)</f>
        <v>#N/A</v>
      </c>
    </row>
    <row r="8355">
      <c r="A8355" s="3">
        <v>45750.0</v>
      </c>
      <c r="B8355" s="4">
        <v>0.35347222222222224</v>
      </c>
      <c r="C8355" s="5" t="s">
        <v>26</v>
      </c>
      <c r="D8355" s="5" t="s">
        <v>1317</v>
      </c>
      <c r="E8355" s="8" t="s">
        <v>1024</v>
      </c>
      <c r="F8355" s="5" t="s">
        <v>969</v>
      </c>
      <c r="G8355" s="6" t="str">
        <f>VLOOKUP(E8355,dicionario!$A$1:$C8754,2,0)</f>
        <v>Usnea barbata</v>
      </c>
      <c r="H8355" s="6" t="str">
        <f>VLOOKUP(E8355,dicionario!$A$1:$C8754,3,0)</f>
        <v>barba-de-velho</v>
      </c>
    </row>
    <row r="8356">
      <c r="A8356" s="3">
        <v>45750.0</v>
      </c>
      <c r="B8356" s="4">
        <v>0.3548611111111111</v>
      </c>
      <c r="C8356" s="5" t="s">
        <v>26</v>
      </c>
      <c r="D8356" s="5" t="s">
        <v>1317</v>
      </c>
      <c r="E8356" s="6" t="s">
        <v>366</v>
      </c>
      <c r="F8356" s="5" t="s">
        <v>367</v>
      </c>
      <c r="G8356" s="6" t="str">
        <f>VLOOKUP(E8356,dicionario!$A$1:$C8755,2,0)</f>
        <v>Alternanthera ficoidea</v>
      </c>
      <c r="H8356" s="6" t="str">
        <f>VLOOKUP(E8356,dicionario!$A$1:$C8755,3,0)</f>
        <v>quebra-panela</v>
      </c>
    </row>
    <row r="8357">
      <c r="A8357" s="3">
        <v>45750.0</v>
      </c>
      <c r="B8357" s="4">
        <v>0.35555555555555557</v>
      </c>
      <c r="C8357" s="5" t="s">
        <v>26</v>
      </c>
      <c r="D8357" s="5" t="s">
        <v>1317</v>
      </c>
      <c r="E8357" s="8" t="s">
        <v>378</v>
      </c>
      <c r="F8357" s="5" t="s">
        <v>205</v>
      </c>
      <c r="G8357" s="6" t="str">
        <f>VLOOKUP(E8357,dicionario!$A$1:$C8756,2,0)</f>
        <v>Polistes</v>
      </c>
      <c r="H8357" s="6" t="str">
        <f>VLOOKUP(E8357,dicionario!$A$1:$C8756,3,0)</f>
        <v>marimbondo</v>
      </c>
    </row>
    <row r="8358">
      <c r="A8358" s="3">
        <v>45750.0</v>
      </c>
      <c r="B8358" s="4">
        <v>0.35555555555555557</v>
      </c>
      <c r="C8358" s="5" t="s">
        <v>26</v>
      </c>
      <c r="D8358" s="5" t="s">
        <v>1317</v>
      </c>
      <c r="E8358" s="8" t="s">
        <v>88</v>
      </c>
      <c r="F8358" s="5" t="s">
        <v>89</v>
      </c>
      <c r="G8358" s="6" t="str">
        <f>VLOOKUP(E8358,dicionario!$A$1:$C8757,2,0)</f>
        <v>Tyrannus melancolichus</v>
      </c>
      <c r="H8358" s="6" t="str">
        <f>VLOOKUP(E8358,dicionario!$A$1:$C8757,3,0)</f>
        <v>suiriri</v>
      </c>
    </row>
    <row r="8359">
      <c r="A8359" s="3">
        <v>45750.0</v>
      </c>
      <c r="B8359" s="4">
        <v>0.35555555555555557</v>
      </c>
      <c r="C8359" s="5" t="s">
        <v>26</v>
      </c>
      <c r="D8359" s="5" t="s">
        <v>1317</v>
      </c>
      <c r="E8359" s="8" t="s">
        <v>1345</v>
      </c>
      <c r="F8359" s="5" t="s">
        <v>254</v>
      </c>
      <c r="G8359" s="6" t="str">
        <f>VLOOKUP(E8359,dicionario!$A$1:$C8758,2,0)</f>
        <v>#N/A</v>
      </c>
      <c r="H8359" s="6" t="str">
        <f>VLOOKUP(E8359,dicionario!$A$1:$C8758,3,0)</f>
        <v>#N/A</v>
      </c>
    </row>
    <row r="8360">
      <c r="A8360" s="3">
        <v>45750.0</v>
      </c>
      <c r="B8360" s="4">
        <v>0.35555555555555557</v>
      </c>
      <c r="C8360" s="5" t="s">
        <v>26</v>
      </c>
      <c r="D8360" s="5" t="s">
        <v>1317</v>
      </c>
      <c r="E8360" s="8" t="s">
        <v>1324</v>
      </c>
      <c r="F8360" s="5" t="s">
        <v>1246</v>
      </c>
      <c r="G8360" s="6" t="str">
        <f>VLOOKUP(E8360,dicionario!$A$1:$C8759,2,0)</f>
        <v>#N/A</v>
      </c>
      <c r="H8360" s="6" t="str">
        <f>VLOOKUP(E8360,dicionario!$A$1:$C8759,3,0)</f>
        <v>#N/A</v>
      </c>
    </row>
    <row r="8361">
      <c r="A8361" s="3">
        <v>45750.0</v>
      </c>
      <c r="B8361" s="4">
        <v>0.35555555555555557</v>
      </c>
      <c r="C8361" s="5" t="s">
        <v>26</v>
      </c>
      <c r="D8361" s="5" t="s">
        <v>1317</v>
      </c>
      <c r="E8361" s="8" t="s">
        <v>163</v>
      </c>
      <c r="F8361" s="5" t="s">
        <v>164</v>
      </c>
      <c r="G8361" s="6" t="str">
        <f>VLOOKUP(E8361,dicionario!$A$1:$C8760,2,0)</f>
        <v>Coragyps atratus</v>
      </c>
      <c r="H8361" s="6" t="str">
        <f>VLOOKUP(E8361,dicionario!$A$1:$C8760,3,0)</f>
        <v>urubu-de-cabeça-preta</v>
      </c>
    </row>
    <row r="8362">
      <c r="A8362" s="3">
        <v>45750.0</v>
      </c>
      <c r="B8362" s="4">
        <v>0.35625</v>
      </c>
      <c r="C8362" s="5" t="s">
        <v>26</v>
      </c>
      <c r="D8362" s="5" t="s">
        <v>1317</v>
      </c>
      <c r="E8362" s="8" t="s">
        <v>915</v>
      </c>
      <c r="F8362" s="5" t="s">
        <v>1275</v>
      </c>
      <c r="G8362" s="6" t="str">
        <f>VLOOKUP(E8362,dicionario!$A$1:$C8761,2,0)</f>
        <v>Tachycineta albiventer</v>
      </c>
      <c r="H8362" s="6" t="str">
        <f>VLOOKUP(E8362,dicionario!$A$1:$C8761,3,0)</f>
        <v>andorinha-de-rio</v>
      </c>
    </row>
    <row r="8363">
      <c r="A8363" s="3">
        <v>45750.0</v>
      </c>
      <c r="B8363" s="4">
        <v>0.35625</v>
      </c>
      <c r="C8363" s="5" t="s">
        <v>26</v>
      </c>
      <c r="D8363" s="5" t="s">
        <v>1317</v>
      </c>
      <c r="E8363" s="12" t="s">
        <v>111</v>
      </c>
      <c r="F8363" s="5" t="s">
        <v>112</v>
      </c>
      <c r="G8363" s="6" t="str">
        <f>VLOOKUP(E8363,dicionario!$A$1:$C8762,2,0)</f>
        <v>Trigona spinipes</v>
      </c>
      <c r="H8363" s="6" t="str">
        <f>VLOOKUP(E8363,dicionario!$A$1:$C8762,3,0)</f>
        <v>abelha-cachorro</v>
      </c>
    </row>
    <row r="8364">
      <c r="A8364" s="3">
        <v>45750.0</v>
      </c>
      <c r="B8364" s="4">
        <v>0.35625</v>
      </c>
      <c r="C8364" s="5" t="s">
        <v>26</v>
      </c>
      <c r="D8364" s="5" t="s">
        <v>1317</v>
      </c>
      <c r="E8364" s="8" t="s">
        <v>1358</v>
      </c>
      <c r="F8364" s="5" t="s">
        <v>320</v>
      </c>
      <c r="G8364" s="6" t="str">
        <f>VLOOKUP(E8364,dicionario!$A$1:$C8763,2,0)</f>
        <v>#N/A</v>
      </c>
      <c r="H8364" s="6" t="str">
        <f>VLOOKUP(E8364,dicionario!$A$1:$C8763,3,0)</f>
        <v>#N/A</v>
      </c>
    </row>
    <row r="8365">
      <c r="A8365" s="3">
        <v>45750.0</v>
      </c>
      <c r="B8365" s="4">
        <v>0.35625</v>
      </c>
      <c r="C8365" s="5" t="s">
        <v>26</v>
      </c>
      <c r="D8365" s="5" t="s">
        <v>1317</v>
      </c>
      <c r="E8365" s="6" t="s">
        <v>467</v>
      </c>
      <c r="F8365" s="5" t="s">
        <v>468</v>
      </c>
      <c r="G8365" s="6" t="str">
        <f>VLOOKUP(E8365,dicionario!$A$1:$C8764,2,0)</f>
        <v>Eleusine indica</v>
      </c>
      <c r="H8365" s="6" t="str">
        <f>VLOOKUP(E8365,dicionario!$A$1:$C8764,3,0)</f>
        <v>capim-pé-de-galinha</v>
      </c>
    </row>
    <row r="8366">
      <c r="A8366" s="3">
        <v>45750.0</v>
      </c>
      <c r="B8366" s="4">
        <v>0.35833333333333334</v>
      </c>
      <c r="C8366" s="5" t="s">
        <v>26</v>
      </c>
      <c r="D8366" s="5" t="s">
        <v>1317</v>
      </c>
      <c r="E8366" s="8" t="s">
        <v>1280</v>
      </c>
      <c r="F8366" s="5" t="s">
        <v>1156</v>
      </c>
      <c r="G8366" s="6" t="str">
        <f>VLOOKUP(E8366,dicionario!$A$1:$C8765,2,0)</f>
        <v>Paspalum notatum</v>
      </c>
      <c r="H8366" s="6" t="str">
        <f>VLOOKUP(E8366,dicionario!$A$1:$C8765,3,0)</f>
        <v>capim-forquilha</v>
      </c>
    </row>
    <row r="8367">
      <c r="A8367" s="3">
        <v>45750.0</v>
      </c>
      <c r="B8367" s="4">
        <v>0.3597222222222222</v>
      </c>
      <c r="C8367" s="5" t="s">
        <v>8</v>
      </c>
      <c r="D8367" s="5" t="s">
        <v>1317</v>
      </c>
      <c r="E8367" s="8" t="s">
        <v>109</v>
      </c>
      <c r="F8367" s="5" t="s">
        <v>110</v>
      </c>
      <c r="G8367" s="6" t="str">
        <f>VLOOKUP(E8367,dicionario!$A$1:$C8766,2,0)</f>
        <v>Tillandsia stricta</v>
      </c>
      <c r="H8367" s="6" t="str">
        <f>VLOOKUP(E8367,dicionario!$A$1:$C8766,3,0)</f>
        <v>cravo-do-mato</v>
      </c>
    </row>
    <row r="8368">
      <c r="A8368" s="3">
        <v>45750.0</v>
      </c>
      <c r="B8368" s="4">
        <v>0.3597222222222222</v>
      </c>
      <c r="C8368" s="5" t="s">
        <v>8</v>
      </c>
      <c r="D8368" s="5" t="s">
        <v>1317</v>
      </c>
      <c r="E8368" s="8" t="s">
        <v>966</v>
      </c>
      <c r="F8368" s="5" t="s">
        <v>967</v>
      </c>
      <c r="G8368" s="6" t="str">
        <f>VLOOKUP(E8368,dicionario!$A$1:$C8767,2,0)</f>
        <v>Portulaca halimoides</v>
      </c>
      <c r="H8368" s="6" t="str">
        <f>VLOOKUP(E8368,dicionario!$A$1:$C8767,3,0)</f>
        <v>beldroega-de-seda</v>
      </c>
    </row>
    <row r="8369">
      <c r="A8369" s="3">
        <v>45750.0</v>
      </c>
      <c r="B8369" s="4">
        <v>0.3597222222222222</v>
      </c>
      <c r="C8369" s="5" t="s">
        <v>8</v>
      </c>
      <c r="D8369" s="5" t="s">
        <v>1317</v>
      </c>
      <c r="E8369" s="8" t="s">
        <v>135</v>
      </c>
      <c r="F8369" s="5" t="s">
        <v>136</v>
      </c>
      <c r="G8369" s="6" t="str">
        <f>VLOOKUP(E8369,dicionario!$A$1:$C8768,2,0)</f>
        <v>Tridax procumbens</v>
      </c>
      <c r="H8369" s="6" t="str">
        <f>VLOOKUP(E8369,dicionario!$A$1:$C8768,3,0)</f>
        <v>erva-de-touro</v>
      </c>
    </row>
    <row r="8370">
      <c r="A8370" s="3">
        <v>45750.0</v>
      </c>
      <c r="B8370" s="4">
        <v>0.3597222222222222</v>
      </c>
      <c r="C8370" s="5" t="s">
        <v>8</v>
      </c>
      <c r="D8370" s="5" t="s">
        <v>1317</v>
      </c>
      <c r="E8370" s="8" t="s">
        <v>360</v>
      </c>
      <c r="F8370" s="5" t="s">
        <v>361</v>
      </c>
      <c r="G8370" s="6" t="str">
        <f>VLOOKUP(E8370,dicionario!$A$1:$C8769,2,0)</f>
        <v>Chamaecrista rotundifolia</v>
      </c>
      <c r="H8370" s="6" t="str">
        <f>VLOOKUP(E8370,dicionario!$A$1:$C8769,3,0)</f>
        <v>alfafa-nativa</v>
      </c>
    </row>
    <row r="8371">
      <c r="A8371" s="3">
        <v>45750.0</v>
      </c>
      <c r="B8371" s="4">
        <v>0.3611111111111111</v>
      </c>
      <c r="C8371" s="5" t="s">
        <v>8</v>
      </c>
      <c r="D8371" s="5" t="s">
        <v>1317</v>
      </c>
      <c r="E8371" s="8" t="s">
        <v>712</v>
      </c>
      <c r="F8371" s="5" t="s">
        <v>718</v>
      </c>
      <c r="G8371" s="6" t="str">
        <f>VLOOKUP(E8371,dicionario!$A$1:$C8770,2,0)</f>
        <v>Flavopunctelia soredica</v>
      </c>
      <c r="H8371" s="6" t="str">
        <f>VLOOKUP(E8371,dicionario!$A$1:$C8770,3,0)</f>
        <v>líquen-folioso</v>
      </c>
    </row>
    <row r="8372">
      <c r="A8372" s="3">
        <v>45750.0</v>
      </c>
      <c r="B8372" s="4">
        <v>0.3611111111111111</v>
      </c>
      <c r="C8372" s="5" t="s">
        <v>8</v>
      </c>
      <c r="D8372" s="5" t="s">
        <v>1317</v>
      </c>
      <c r="E8372" s="8" t="s">
        <v>719</v>
      </c>
      <c r="F8372" s="5" t="s">
        <v>720</v>
      </c>
      <c r="G8372" s="6" t="str">
        <f>VLOOKUP(E8372,dicionario!$A$1:$C8771,2,0)</f>
        <v>Dirinaria</v>
      </c>
      <c r="H8372" s="6" t="str">
        <f>VLOOKUP(E8372,dicionario!$A$1:$C8771,3,0)</f>
        <v>líquen-crostoso</v>
      </c>
    </row>
    <row r="8373">
      <c r="A8373" s="3">
        <v>45750.0</v>
      </c>
      <c r="B8373" s="4">
        <v>0.36180555555555555</v>
      </c>
      <c r="C8373" s="5" t="s">
        <v>8</v>
      </c>
      <c r="D8373" s="5" t="s">
        <v>1317</v>
      </c>
      <c r="E8373" s="8" t="s">
        <v>107</v>
      </c>
      <c r="F8373" s="5" t="s">
        <v>108</v>
      </c>
      <c r="G8373" s="6" t="str">
        <f>VLOOKUP(E8373,dicionario!$A$1:$C8772,2,0)</f>
        <v>Ramalina complanata</v>
      </c>
      <c r="H8373" s="6" t="str">
        <f>VLOOKUP(E8373,dicionario!$A$1:$C8772,3,0)</f>
        <v>ramalina</v>
      </c>
    </row>
    <row r="8374">
      <c r="A8374" s="3">
        <v>45750.0</v>
      </c>
      <c r="B8374" s="4">
        <v>0.3625</v>
      </c>
      <c r="C8374" s="5" t="s">
        <v>8</v>
      </c>
      <c r="D8374" s="5" t="s">
        <v>1317</v>
      </c>
      <c r="E8374" s="12" t="s">
        <v>111</v>
      </c>
      <c r="F8374" s="5" t="s">
        <v>112</v>
      </c>
      <c r="G8374" s="6" t="str">
        <f>VLOOKUP(E8374,dicionario!$A$1:$C8773,2,0)</f>
        <v>Trigona spinipes</v>
      </c>
      <c r="H8374" s="6" t="str">
        <f>VLOOKUP(E8374,dicionario!$A$1:$C8773,3,0)</f>
        <v>abelha-cachorro</v>
      </c>
    </row>
    <row r="8375">
      <c r="A8375" s="3">
        <v>45750.0</v>
      </c>
      <c r="B8375" s="4">
        <v>0.3625</v>
      </c>
      <c r="C8375" s="5" t="s">
        <v>8</v>
      </c>
      <c r="D8375" s="5" t="s">
        <v>1317</v>
      </c>
      <c r="E8375" s="8" t="s">
        <v>1316</v>
      </c>
      <c r="F8375" s="5" t="s">
        <v>15</v>
      </c>
      <c r="G8375" s="6" t="str">
        <f>VLOOKUP(E8375,dicionario!$A$1:$C8774,2,0)</f>
        <v>#N/A</v>
      </c>
      <c r="H8375" s="6" t="str">
        <f>VLOOKUP(E8375,dicionario!$A$1:$C8774,3,0)</f>
        <v>#N/A</v>
      </c>
    </row>
    <row r="8376">
      <c r="A8376" s="3">
        <v>45750.0</v>
      </c>
      <c r="B8376" s="4">
        <v>0.36319444444444443</v>
      </c>
      <c r="C8376" s="5" t="s">
        <v>8</v>
      </c>
      <c r="D8376" s="5" t="s">
        <v>1317</v>
      </c>
      <c r="E8376" s="8" t="s">
        <v>1352</v>
      </c>
      <c r="F8376" s="7"/>
      <c r="G8376" s="6" t="str">
        <f>VLOOKUP(E8376,dicionario!$A$1:$C8775,2,0)</f>
        <v>#N/A</v>
      </c>
      <c r="H8376" s="6" t="str">
        <f>VLOOKUP(E8376,dicionario!$A$1:$C8775,3,0)</f>
        <v>#N/A</v>
      </c>
    </row>
    <row r="8377">
      <c r="A8377" s="3">
        <v>45750.0</v>
      </c>
      <c r="B8377" s="4">
        <v>0.36319444444444443</v>
      </c>
      <c r="C8377" s="5" t="s">
        <v>8</v>
      </c>
      <c r="D8377" s="5" t="s">
        <v>1317</v>
      </c>
      <c r="E8377" s="8" t="s">
        <v>1312</v>
      </c>
      <c r="F8377" s="5" t="s">
        <v>66</v>
      </c>
      <c r="G8377" s="6" t="str">
        <f>VLOOKUP(E8377,dicionario!$A$1:$C8776,2,0)</f>
        <v>#N/A</v>
      </c>
      <c r="H8377" s="6" t="str">
        <f>VLOOKUP(E8377,dicionario!$A$1:$C8776,3,0)</f>
        <v>#N/A</v>
      </c>
    </row>
    <row r="8378">
      <c r="A8378" s="3">
        <v>45750.0</v>
      </c>
      <c r="B8378" s="4">
        <v>0.36319444444444443</v>
      </c>
      <c r="C8378" s="5" t="s">
        <v>8</v>
      </c>
      <c r="D8378" s="5" t="s">
        <v>1317</v>
      </c>
      <c r="E8378" s="8" t="s">
        <v>1280</v>
      </c>
      <c r="F8378" s="5" t="s">
        <v>1156</v>
      </c>
      <c r="G8378" s="6" t="str">
        <f>VLOOKUP(E8378,dicionario!$A$1:$C8777,2,0)</f>
        <v>Paspalum notatum</v>
      </c>
      <c r="H8378" s="6" t="str">
        <f>VLOOKUP(E8378,dicionario!$A$1:$C8777,3,0)</f>
        <v>capim-forquilha</v>
      </c>
    </row>
    <row r="8379">
      <c r="A8379" s="3">
        <v>45750.0</v>
      </c>
      <c r="B8379" s="4">
        <v>0.36319444444444443</v>
      </c>
      <c r="C8379" s="5" t="s">
        <v>8</v>
      </c>
      <c r="D8379" s="5" t="s">
        <v>1317</v>
      </c>
      <c r="E8379" s="8" t="s">
        <v>498</v>
      </c>
      <c r="F8379" s="5" t="s">
        <v>499</v>
      </c>
      <c r="G8379" s="6" t="str">
        <f>VLOOKUP(E8379,dicionario!$A$1:$C8778,2,0)</f>
        <v>Brachiaria decumbens</v>
      </c>
      <c r="H8379" s="6" t="str">
        <f>VLOOKUP(E8379,dicionario!$A$1:$C8778,3,0)</f>
        <v>capim-braquiária</v>
      </c>
    </row>
    <row r="8380">
      <c r="A8380" s="3">
        <v>45750.0</v>
      </c>
      <c r="B8380" s="4">
        <v>0.36319444444444443</v>
      </c>
      <c r="C8380" s="5" t="s">
        <v>8</v>
      </c>
      <c r="D8380" s="5" t="s">
        <v>1317</v>
      </c>
      <c r="E8380" s="8" t="s">
        <v>154</v>
      </c>
      <c r="F8380" s="5" t="s">
        <v>155</v>
      </c>
      <c r="G8380" s="6" t="str">
        <f>VLOOKUP(E8380,dicionario!$A$1:$C8779,2,0)</f>
        <v>Cyperus rotundus</v>
      </c>
      <c r="H8380" s="6" t="str">
        <f>VLOOKUP(E8380,dicionario!$A$1:$C8779,3,0)</f>
        <v>tiririca</v>
      </c>
    </row>
    <row r="8381">
      <c r="A8381" s="3">
        <v>45750.0</v>
      </c>
      <c r="B8381" s="4">
        <v>0.3638888888888889</v>
      </c>
      <c r="C8381" s="5" t="s">
        <v>8</v>
      </c>
      <c r="D8381" s="5" t="s">
        <v>1317</v>
      </c>
      <c r="E8381" s="8" t="s">
        <v>353</v>
      </c>
      <c r="F8381" s="5" t="s">
        <v>354</v>
      </c>
      <c r="G8381" s="6" t="str">
        <f>VLOOKUP(E8381,dicionario!$A$1:$C8780,2,0)</f>
        <v>Desmodium incanum</v>
      </c>
      <c r="H8381" s="6" t="str">
        <f>VLOOKUP(E8381,dicionario!$A$1:$C8780,3,0)</f>
        <v>pega-pega</v>
      </c>
    </row>
    <row r="8382">
      <c r="A8382" s="3">
        <v>45750.0</v>
      </c>
      <c r="B8382" s="4">
        <v>0.3638888888888889</v>
      </c>
      <c r="C8382" s="5" t="s">
        <v>8</v>
      </c>
      <c r="D8382" s="5" t="s">
        <v>1317</v>
      </c>
      <c r="E8382" s="8" t="s">
        <v>239</v>
      </c>
      <c r="F8382" s="5" t="s">
        <v>240</v>
      </c>
      <c r="G8382" s="6" t="str">
        <f>VLOOKUP(E8382,dicionario!$A$1:$C8781,2,0)</f>
        <v>Gomphrena celosioides</v>
      </c>
      <c r="H8382" s="6" t="str">
        <f>VLOOKUP(E8382,dicionario!$A$1:$C8781,3,0)</f>
        <v>perpétua-branca</v>
      </c>
    </row>
    <row r="8383">
      <c r="A8383" s="3">
        <v>45750.0</v>
      </c>
      <c r="B8383" s="4">
        <v>0.3645833333333333</v>
      </c>
      <c r="C8383" s="5" t="s">
        <v>8</v>
      </c>
      <c r="D8383" s="5" t="s">
        <v>1317</v>
      </c>
      <c r="E8383" s="8" t="s">
        <v>20</v>
      </c>
      <c r="F8383" s="5" t="s">
        <v>21</v>
      </c>
      <c r="G8383" s="6" t="str">
        <f>VLOOKUP(E8383,dicionario!$A$1:$C8782,2,0)</f>
        <v>Sicalis flaveola</v>
      </c>
      <c r="H8383" s="6" t="str">
        <f>VLOOKUP(E8383,dicionario!$A$1:$C8782,3,0)</f>
        <v>canário-da-terra</v>
      </c>
    </row>
    <row r="8384">
      <c r="A8384" s="3">
        <v>45750.0</v>
      </c>
      <c r="B8384" s="4">
        <v>0.36527777777777776</v>
      </c>
      <c r="C8384" s="5" t="s">
        <v>8</v>
      </c>
      <c r="D8384" s="5" t="s">
        <v>1317</v>
      </c>
      <c r="E8384" s="8" t="s">
        <v>378</v>
      </c>
      <c r="F8384" s="5" t="s">
        <v>205</v>
      </c>
      <c r="G8384" s="6" t="str">
        <f>VLOOKUP(E8384,dicionario!$A$1:$C8783,2,0)</f>
        <v>Polistes</v>
      </c>
      <c r="H8384" s="6" t="str">
        <f>VLOOKUP(E8384,dicionario!$A$1:$C8783,3,0)</f>
        <v>marimbondo</v>
      </c>
    </row>
    <row r="8385">
      <c r="A8385" s="3">
        <v>45750.0</v>
      </c>
      <c r="B8385" s="4">
        <v>0.3659722222222222</v>
      </c>
      <c r="C8385" s="5" t="s">
        <v>8</v>
      </c>
      <c r="D8385" s="5" t="s">
        <v>1317</v>
      </c>
      <c r="E8385" s="8" t="s">
        <v>1294</v>
      </c>
      <c r="F8385" s="5" t="s">
        <v>97</v>
      </c>
      <c r="G8385" s="6" t="str">
        <f>VLOOKUP(E8385,dicionario!$A$1:$C8784,2,0)</f>
        <v>#N/A</v>
      </c>
      <c r="H8385" s="6" t="str">
        <f>VLOOKUP(E8385,dicionario!$A$1:$C8784,3,0)</f>
        <v>#N/A</v>
      </c>
    </row>
    <row r="8386">
      <c r="A8386" s="3">
        <v>45757.0</v>
      </c>
      <c r="B8386" s="4">
        <v>0.25833333333333336</v>
      </c>
      <c r="C8386" s="5" t="s">
        <v>8</v>
      </c>
      <c r="D8386" s="5" t="s">
        <v>1359</v>
      </c>
      <c r="E8386" s="8" t="s">
        <v>1344</v>
      </c>
      <c r="F8386" s="5" t="s">
        <v>1360</v>
      </c>
      <c r="G8386" s="6" t="str">
        <f>VLOOKUP(E8386,dicionario!$A$1:$C8785,2,0)</f>
        <v>#N/A</v>
      </c>
      <c r="H8386" s="6" t="str">
        <f>VLOOKUP(E8386,dicionario!$A$1:$C8785,3,0)</f>
        <v>#N/A</v>
      </c>
    </row>
    <row r="8387">
      <c r="A8387" s="49">
        <v>45757.0</v>
      </c>
      <c r="B8387" s="4">
        <v>0.25833333333333336</v>
      </c>
      <c r="C8387" s="5" t="s">
        <v>8</v>
      </c>
      <c r="D8387" s="5" t="s">
        <v>1359</v>
      </c>
      <c r="E8387" s="6" t="s">
        <v>65</v>
      </c>
      <c r="F8387" s="5" t="s">
        <v>819</v>
      </c>
      <c r="G8387" s="6" t="str">
        <f>VLOOKUP(E8387,dicionario!$A$1:$C8786,2,0)</f>
        <v>Pitangus sulphutarus</v>
      </c>
      <c r="H8387" s="6" t="str">
        <f>VLOOKUP(E8387,dicionario!$A$1:$C8786,3,0)</f>
        <v>bem-te-vi</v>
      </c>
    </row>
    <row r="8388">
      <c r="A8388" s="49">
        <v>45757.0</v>
      </c>
      <c r="B8388" s="4">
        <v>0.25833333333333336</v>
      </c>
      <c r="C8388" s="5" t="s">
        <v>8</v>
      </c>
      <c r="D8388" s="5" t="s">
        <v>1359</v>
      </c>
      <c r="E8388" s="8" t="s">
        <v>88</v>
      </c>
      <c r="F8388" s="5" t="s">
        <v>782</v>
      </c>
      <c r="G8388" s="6" t="str">
        <f>VLOOKUP(E8388,dicionario!$A$1:$C8787,2,0)</f>
        <v>Tyrannus melancolichus</v>
      </c>
      <c r="H8388" s="6" t="str">
        <f>VLOOKUP(E8388,dicionario!$A$1:$C8787,3,0)</f>
        <v>suiriri</v>
      </c>
    </row>
    <row r="8389">
      <c r="A8389" s="49">
        <v>45757.0</v>
      </c>
      <c r="B8389" s="4">
        <v>0.25833333333333336</v>
      </c>
      <c r="C8389" s="5" t="s">
        <v>8</v>
      </c>
      <c r="D8389" s="5" t="s">
        <v>1359</v>
      </c>
      <c r="E8389" s="8" t="s">
        <v>1361</v>
      </c>
      <c r="F8389" s="5" t="s">
        <v>1362</v>
      </c>
      <c r="G8389" s="6" t="str">
        <f>VLOOKUP(E8389,dicionario!$A$1:$C8788,2,0)</f>
        <v>#N/A</v>
      </c>
      <c r="H8389" s="6" t="str">
        <f>VLOOKUP(E8389,dicionario!$A$1:$C8788,3,0)</f>
        <v>#N/A</v>
      </c>
    </row>
    <row r="8390">
      <c r="A8390" s="49">
        <v>45757.0</v>
      </c>
      <c r="B8390" s="4">
        <v>0.2590277777777778</v>
      </c>
      <c r="C8390" s="5" t="s">
        <v>8</v>
      </c>
      <c r="D8390" s="5" t="s">
        <v>1359</v>
      </c>
      <c r="E8390" s="8" t="s">
        <v>109</v>
      </c>
      <c r="F8390" s="5" t="s">
        <v>777</v>
      </c>
      <c r="G8390" s="6" t="str">
        <f>VLOOKUP(E8390,dicionario!$A$1:$C8789,2,0)</f>
        <v>Tillandsia stricta</v>
      </c>
      <c r="H8390" s="6" t="str">
        <f>VLOOKUP(E8390,dicionario!$A$1:$C8789,3,0)</f>
        <v>cravo-do-mato</v>
      </c>
    </row>
    <row r="8391">
      <c r="A8391" s="49">
        <v>45757.0</v>
      </c>
      <c r="B8391" s="4">
        <v>0.2590277777777778</v>
      </c>
      <c r="C8391" s="5" t="s">
        <v>8</v>
      </c>
      <c r="D8391" s="5" t="s">
        <v>1359</v>
      </c>
      <c r="E8391" s="8" t="s">
        <v>712</v>
      </c>
      <c r="F8391" s="5" t="s">
        <v>912</v>
      </c>
      <c r="G8391" s="6" t="str">
        <f>VLOOKUP(E8391,dicionario!$A$1:$C8790,2,0)</f>
        <v>Flavopunctelia soredica</v>
      </c>
      <c r="H8391" s="6" t="str">
        <f>VLOOKUP(E8391,dicionario!$A$1:$C8790,3,0)</f>
        <v>líquen-folioso</v>
      </c>
    </row>
    <row r="8392">
      <c r="A8392" s="49">
        <v>45757.0</v>
      </c>
      <c r="B8392" s="4">
        <v>0.2590277777777778</v>
      </c>
      <c r="C8392" s="5" t="s">
        <v>8</v>
      </c>
      <c r="D8392" s="5" t="s">
        <v>1359</v>
      </c>
      <c r="E8392" s="8" t="s">
        <v>719</v>
      </c>
      <c r="F8392" s="5" t="s">
        <v>762</v>
      </c>
      <c r="G8392" s="6" t="str">
        <f>VLOOKUP(E8392,dicionario!$A$1:$C8791,2,0)</f>
        <v>Dirinaria</v>
      </c>
      <c r="H8392" s="6" t="str">
        <f>VLOOKUP(E8392,dicionario!$A$1:$C8791,3,0)</f>
        <v>líquen-crostoso</v>
      </c>
    </row>
    <row r="8393">
      <c r="A8393" s="49">
        <v>45757.0</v>
      </c>
      <c r="B8393" s="4">
        <v>0.2590277777777778</v>
      </c>
      <c r="C8393" s="5" t="s">
        <v>8</v>
      </c>
      <c r="D8393" s="5" t="s">
        <v>1359</v>
      </c>
      <c r="E8393" s="8" t="s">
        <v>107</v>
      </c>
      <c r="F8393" s="5" t="s">
        <v>108</v>
      </c>
      <c r="G8393" s="6" t="str">
        <f>VLOOKUP(E8393,dicionario!$A$1:$C8792,2,0)</f>
        <v>Ramalina complanata</v>
      </c>
      <c r="H8393" s="6" t="str">
        <f>VLOOKUP(E8393,dicionario!$A$1:$C8792,3,0)</f>
        <v>ramalina</v>
      </c>
    </row>
    <row r="8394">
      <c r="A8394" s="49">
        <v>45757.0</v>
      </c>
      <c r="B8394" s="4">
        <v>0.25972222222222224</v>
      </c>
      <c r="C8394" s="5" t="s">
        <v>8</v>
      </c>
      <c r="D8394" s="5" t="s">
        <v>1359</v>
      </c>
      <c r="E8394" s="8" t="s">
        <v>453</v>
      </c>
      <c r="F8394" s="5" t="s">
        <v>1363</v>
      </c>
      <c r="G8394" s="6" t="str">
        <f>VLOOKUP(E8394,dicionario!$A$1:$C8793,2,0)</f>
        <v>Notiochelidon cyanoleuca</v>
      </c>
      <c r="H8394" s="6" t="str">
        <f>VLOOKUP(E8394,dicionario!$A$1:$C8793,3,0)</f>
        <v>andorinha-pequena-de-casa</v>
      </c>
    </row>
    <row r="8395">
      <c r="A8395" s="3">
        <v>45757.0</v>
      </c>
      <c r="B8395" s="4">
        <v>0.25972222222222224</v>
      </c>
      <c r="C8395" s="5" t="s">
        <v>8</v>
      </c>
      <c r="D8395" s="5" t="s">
        <v>1359</v>
      </c>
      <c r="E8395" s="8" t="s">
        <v>38</v>
      </c>
      <c r="F8395" s="5" t="s">
        <v>1364</v>
      </c>
      <c r="G8395" s="6" t="str">
        <f>VLOOKUP(E8395,dicionario!$A$1:$C8794,2,0)</f>
        <v>Troglodytes musculus</v>
      </c>
      <c r="H8395" s="6" t="str">
        <f>VLOOKUP(E8395,dicionario!$A$1:$C8794,3,0)</f>
        <v>curruíra</v>
      </c>
    </row>
    <row r="8396">
      <c r="A8396" s="3">
        <v>45757.0</v>
      </c>
      <c r="B8396" s="4">
        <v>0.25972222222222224</v>
      </c>
      <c r="C8396" s="5" t="s">
        <v>8</v>
      </c>
      <c r="D8396" s="5" t="s">
        <v>1359</v>
      </c>
      <c r="E8396" s="8" t="s">
        <v>154</v>
      </c>
      <c r="F8396" s="5" t="s">
        <v>815</v>
      </c>
      <c r="G8396" s="6" t="str">
        <f>VLOOKUP(E8396,dicionario!$A$1:$C8795,2,0)</f>
        <v>Cyperus rotundus</v>
      </c>
      <c r="H8396" s="6" t="str">
        <f>VLOOKUP(E8396,dicionario!$A$1:$C8795,3,0)</f>
        <v>tiririca</v>
      </c>
    </row>
    <row r="8397">
      <c r="A8397" s="3">
        <v>45757.0</v>
      </c>
      <c r="B8397" s="4">
        <v>0.25972222222222224</v>
      </c>
      <c r="C8397" s="5" t="s">
        <v>8</v>
      </c>
      <c r="D8397" s="5" t="s">
        <v>1359</v>
      </c>
      <c r="E8397" s="8" t="s">
        <v>286</v>
      </c>
      <c r="F8397" s="5" t="s">
        <v>781</v>
      </c>
      <c r="G8397" s="6" t="str">
        <f>VLOOKUP(E8397,dicionario!$A$1:$C8796,2,0)</f>
        <v>Setaria parviflora</v>
      </c>
      <c r="H8397" s="6" t="str">
        <f>VLOOKUP(E8397,dicionario!$A$1:$C8796,3,0)</f>
        <v>capim-rabo-de-raposa</v>
      </c>
    </row>
    <row r="8398">
      <c r="A8398" s="3">
        <v>45757.0</v>
      </c>
      <c r="B8398" s="4">
        <v>0.25972222222222224</v>
      </c>
      <c r="C8398" s="5" t="s">
        <v>8</v>
      </c>
      <c r="D8398" s="5" t="s">
        <v>1359</v>
      </c>
      <c r="E8398" s="6" t="s">
        <v>467</v>
      </c>
      <c r="F8398" s="5" t="s">
        <v>1365</v>
      </c>
      <c r="G8398" s="6" t="str">
        <f>VLOOKUP(E8398,dicionario!$A$1:$C8797,2,0)</f>
        <v>Eleusine indica</v>
      </c>
      <c r="H8398" s="6" t="str">
        <f>VLOOKUP(E8398,dicionario!$A$1:$C8797,3,0)</f>
        <v>capim-pé-de-galinha</v>
      </c>
    </row>
    <row r="8399">
      <c r="A8399" s="3">
        <v>45757.0</v>
      </c>
      <c r="B8399" s="4">
        <v>0.25972222222222224</v>
      </c>
      <c r="C8399" s="5" t="s">
        <v>8</v>
      </c>
      <c r="D8399" s="5" t="s">
        <v>1359</v>
      </c>
      <c r="E8399" s="8" t="s">
        <v>736</v>
      </c>
      <c r="F8399" s="5" t="s">
        <v>737</v>
      </c>
      <c r="G8399" s="6" t="str">
        <f>VLOOKUP(E8399,dicionario!$A$1:$C8798,2,0)</f>
        <v>Chloris virgata</v>
      </c>
      <c r="H8399" s="6" t="str">
        <f>VLOOKUP(E8399,dicionario!$A$1:$C8798,3,0)</f>
        <v>capim-pavão</v>
      </c>
    </row>
    <row r="8400">
      <c r="A8400" s="3">
        <v>45757.0</v>
      </c>
      <c r="B8400" s="4">
        <v>0.2604166666666667</v>
      </c>
      <c r="C8400" s="5" t="s">
        <v>8</v>
      </c>
      <c r="D8400" s="5" t="s">
        <v>1359</v>
      </c>
      <c r="E8400" s="8" t="s">
        <v>1280</v>
      </c>
      <c r="F8400" s="5" t="s">
        <v>1156</v>
      </c>
      <c r="G8400" s="6" t="str">
        <f>VLOOKUP(E8400,dicionario!$A$1:$C8799,2,0)</f>
        <v>Paspalum notatum</v>
      </c>
      <c r="H8400" s="6" t="str">
        <f>VLOOKUP(E8400,dicionario!$A$1:$C8799,3,0)</f>
        <v>capim-forquilha</v>
      </c>
    </row>
    <row r="8401">
      <c r="A8401" s="3">
        <v>45757.0</v>
      </c>
      <c r="B8401" s="4">
        <v>0.2604166666666667</v>
      </c>
      <c r="C8401" s="5" t="s">
        <v>8</v>
      </c>
      <c r="D8401" s="5" t="s">
        <v>1359</v>
      </c>
      <c r="E8401" s="8" t="s">
        <v>271</v>
      </c>
      <c r="F8401" s="5" t="s">
        <v>1169</v>
      </c>
      <c r="G8401" s="6" t="str">
        <f>VLOOKUP(E8401,dicionario!$A$1:$C8800,2,0)</f>
        <v>Cyanthillium cinereum</v>
      </c>
      <c r="H8401" s="6" t="str">
        <f>VLOOKUP(E8401,dicionario!$A$1:$C8800,3,0)</f>
        <v>emília</v>
      </c>
    </row>
    <row r="8402">
      <c r="A8402" s="3">
        <v>45757.0</v>
      </c>
      <c r="B8402" s="4">
        <v>0.2604166666666667</v>
      </c>
      <c r="C8402" s="5" t="s">
        <v>8</v>
      </c>
      <c r="D8402" s="5" t="s">
        <v>1359</v>
      </c>
      <c r="E8402" s="8" t="s">
        <v>1366</v>
      </c>
      <c r="F8402" s="5" t="s">
        <v>190</v>
      </c>
      <c r="G8402" s="6" t="str">
        <f>VLOOKUP(E8402,dicionario!$A$1:$C8801,2,0)</f>
        <v>#N/A</v>
      </c>
      <c r="H8402" s="6" t="str">
        <f>VLOOKUP(E8402,dicionario!$A$1:$C8801,3,0)</f>
        <v>#N/A</v>
      </c>
    </row>
    <row r="8403">
      <c r="A8403" s="3">
        <v>45757.0</v>
      </c>
      <c r="B8403" s="4">
        <v>0.2604166666666667</v>
      </c>
      <c r="C8403" s="5" t="s">
        <v>8</v>
      </c>
      <c r="D8403" s="5" t="s">
        <v>1359</v>
      </c>
      <c r="E8403" s="8" t="s">
        <v>146</v>
      </c>
      <c r="F8403" s="5" t="s">
        <v>794</v>
      </c>
      <c r="G8403" s="6" t="str">
        <f>VLOOKUP(E8403,dicionario!$A$1:$C8802,2,0)</f>
        <v>Euphorbia hirta</v>
      </c>
      <c r="H8403" s="6" t="str">
        <f>VLOOKUP(E8403,dicionario!$A$1:$C8802,3,0)</f>
        <v>erva-de-santa-luzia</v>
      </c>
    </row>
    <row r="8404">
      <c r="A8404" s="3">
        <v>45757.0</v>
      </c>
      <c r="B8404" s="4">
        <v>0.2604166666666667</v>
      </c>
      <c r="C8404" s="5" t="s">
        <v>8</v>
      </c>
      <c r="D8404" s="5" t="s">
        <v>1359</v>
      </c>
      <c r="E8404" s="8" t="s">
        <v>504</v>
      </c>
      <c r="F8404" s="5" t="s">
        <v>534</v>
      </c>
      <c r="G8404" s="6" t="str">
        <f>VLOOKUP(E8404,dicionario!$A$1:$C8803,2,0)</f>
        <v>Cleome aculeata</v>
      </c>
      <c r="H8404" s="6" t="str">
        <f>VLOOKUP(E8404,dicionario!$A$1:$C8803,3,0)</f>
        <v>cleome</v>
      </c>
    </row>
    <row r="8405">
      <c r="A8405" s="3">
        <v>45757.0</v>
      </c>
      <c r="B8405" s="4">
        <v>0.2611111111111111</v>
      </c>
      <c r="C8405" s="5" t="s">
        <v>8</v>
      </c>
      <c r="D8405" s="5" t="s">
        <v>1359</v>
      </c>
      <c r="E8405" s="8" t="s">
        <v>1367</v>
      </c>
      <c r="F8405" s="5" t="s">
        <v>825</v>
      </c>
      <c r="G8405" s="6" t="str">
        <f>VLOOKUP(E8405,dicionario!$A$1:$C8804,2,0)</f>
        <v>#N/A</v>
      </c>
      <c r="H8405" s="6" t="str">
        <f>VLOOKUP(E8405,dicionario!$A$1:$C8804,3,0)</f>
        <v>#N/A</v>
      </c>
    </row>
    <row r="8406">
      <c r="A8406" s="3">
        <v>45757.0</v>
      </c>
      <c r="B8406" s="4">
        <v>0.2611111111111111</v>
      </c>
      <c r="C8406" s="5" t="s">
        <v>8</v>
      </c>
      <c r="D8406" s="5" t="s">
        <v>1359</v>
      </c>
      <c r="E8406" s="8" t="s">
        <v>1325</v>
      </c>
      <c r="F8406" s="5" t="s">
        <v>228</v>
      </c>
      <c r="G8406" s="6" t="str">
        <f>VLOOKUP(E8406,dicionario!$A$1:$C8805,2,0)</f>
        <v>#N/A</v>
      </c>
      <c r="H8406" s="6" t="str">
        <f>VLOOKUP(E8406,dicionario!$A$1:$C8805,3,0)</f>
        <v>#N/A</v>
      </c>
    </row>
    <row r="8407">
      <c r="A8407" s="3">
        <v>45757.0</v>
      </c>
      <c r="B8407" s="4">
        <v>0.2611111111111111</v>
      </c>
      <c r="C8407" s="5" t="s">
        <v>8</v>
      </c>
      <c r="D8407" s="5" t="s">
        <v>1359</v>
      </c>
      <c r="E8407" s="8" t="s">
        <v>1336</v>
      </c>
      <c r="F8407" s="5" t="s">
        <v>226</v>
      </c>
      <c r="G8407" s="6" t="str">
        <f>VLOOKUP(E8407,dicionario!$A$1:$C8806,2,0)</f>
        <v>#N/A</v>
      </c>
      <c r="H8407" s="6" t="str">
        <f>VLOOKUP(E8407,dicionario!$A$1:$C8806,3,0)</f>
        <v>#N/A</v>
      </c>
    </row>
    <row r="8408">
      <c r="A8408" s="3">
        <v>45757.0</v>
      </c>
      <c r="B8408" s="4">
        <v>0.2611111111111111</v>
      </c>
      <c r="C8408" s="5" t="s">
        <v>8</v>
      </c>
      <c r="D8408" s="5" t="s">
        <v>1359</v>
      </c>
      <c r="E8408" s="8" t="s">
        <v>1368</v>
      </c>
      <c r="F8408" s="5" t="s">
        <v>1168</v>
      </c>
      <c r="G8408" s="6" t="str">
        <f>VLOOKUP(E8408,dicionario!$A$1:$C8807,2,0)</f>
        <v>#N/A</v>
      </c>
      <c r="H8408" s="6" t="str">
        <f>VLOOKUP(E8408,dicionario!$A$1:$C8807,3,0)</f>
        <v>#N/A</v>
      </c>
    </row>
    <row r="8409">
      <c r="A8409" s="3">
        <v>45757.0</v>
      </c>
      <c r="B8409" s="4">
        <v>0.2611111111111111</v>
      </c>
      <c r="C8409" s="5" t="s">
        <v>8</v>
      </c>
      <c r="D8409" s="5" t="s">
        <v>1359</v>
      </c>
      <c r="E8409" s="8" t="s">
        <v>1357</v>
      </c>
      <c r="F8409" s="5" t="s">
        <v>224</v>
      </c>
      <c r="G8409" s="6" t="str">
        <f>VLOOKUP(E8409,dicionario!$A$1:$C8808,2,0)</f>
        <v>#N/A</v>
      </c>
      <c r="H8409" s="6" t="str">
        <f>VLOOKUP(E8409,dicionario!$A$1:$C8808,3,0)</f>
        <v>#N/A</v>
      </c>
    </row>
    <row r="8410">
      <c r="A8410" s="3">
        <v>45757.0</v>
      </c>
      <c r="B8410" s="4">
        <v>0.26180555555555557</v>
      </c>
      <c r="C8410" s="5" t="s">
        <v>8</v>
      </c>
      <c r="D8410" s="5" t="s">
        <v>1359</v>
      </c>
      <c r="E8410" s="8" t="s">
        <v>20</v>
      </c>
      <c r="F8410" s="5" t="s">
        <v>1369</v>
      </c>
      <c r="G8410" s="6" t="str">
        <f>VLOOKUP(E8410,dicionario!$A$1:$C8809,2,0)</f>
        <v>Sicalis flaveola</v>
      </c>
      <c r="H8410" s="6" t="str">
        <f>VLOOKUP(E8410,dicionario!$A$1:$C8809,3,0)</f>
        <v>canário-da-terra</v>
      </c>
    </row>
    <row r="8411">
      <c r="A8411" s="3">
        <v>45757.0</v>
      </c>
      <c r="B8411" s="4">
        <v>0.26180555555555557</v>
      </c>
      <c r="C8411" s="5" t="s">
        <v>8</v>
      </c>
      <c r="D8411" s="5" t="s">
        <v>1359</v>
      </c>
      <c r="E8411" s="8" t="s">
        <v>1311</v>
      </c>
      <c r="F8411" s="5" t="s">
        <v>820</v>
      </c>
      <c r="G8411" s="6" t="str">
        <f>VLOOKUP(E8411,dicionario!$A$1:$C8810,2,0)</f>
        <v>#N/A</v>
      </c>
      <c r="H8411" s="6" t="str">
        <f>VLOOKUP(E8411,dicionario!$A$1:$C8810,3,0)</f>
        <v>#N/A</v>
      </c>
    </row>
    <row r="8412">
      <c r="A8412" s="3">
        <v>45757.0</v>
      </c>
      <c r="B8412" s="4">
        <v>0.26180555555555557</v>
      </c>
      <c r="C8412" s="5" t="s">
        <v>8</v>
      </c>
      <c r="D8412" s="5" t="s">
        <v>1359</v>
      </c>
      <c r="E8412" s="8" t="s">
        <v>191</v>
      </c>
      <c r="F8412" s="5" t="s">
        <v>771</v>
      </c>
      <c r="G8412" s="6" t="str">
        <f>VLOOKUP(E8412,dicionario!$A$1:$C8811,2,0)</f>
        <v>Patagioenas picazuro</v>
      </c>
      <c r="H8412" s="6" t="str">
        <f>VLOOKUP(E8412,dicionario!$A$1:$C8811,3,0)</f>
        <v>asa-branca; pomba-asa-branca; pocaçu</v>
      </c>
    </row>
    <row r="8413">
      <c r="A8413" s="3">
        <v>45757.0</v>
      </c>
      <c r="B8413" s="4">
        <v>0.26180555555555557</v>
      </c>
      <c r="C8413" s="5" t="s">
        <v>8</v>
      </c>
      <c r="D8413" s="5" t="s">
        <v>1359</v>
      </c>
      <c r="E8413" s="8" t="s">
        <v>1294</v>
      </c>
      <c r="F8413" s="5" t="s">
        <v>776</v>
      </c>
      <c r="G8413" s="6" t="str">
        <f>VLOOKUP(E8413,dicionario!$A$1:$C8812,2,0)</f>
        <v>#N/A</v>
      </c>
      <c r="H8413" s="6" t="str">
        <f>VLOOKUP(E8413,dicionario!$A$1:$C8812,3,0)</f>
        <v>#N/A</v>
      </c>
    </row>
    <row r="8414">
      <c r="A8414" s="3">
        <v>45757.0</v>
      </c>
      <c r="B8414" s="4">
        <v>0.26180555555555557</v>
      </c>
      <c r="C8414" s="5" t="s">
        <v>8</v>
      </c>
      <c r="D8414" s="5" t="s">
        <v>1359</v>
      </c>
      <c r="E8414" s="8" t="s">
        <v>1339</v>
      </c>
      <c r="F8414" s="5" t="s">
        <v>764</v>
      </c>
      <c r="G8414" s="6" t="str">
        <f>VLOOKUP(E8414,dicionario!$A$1:$C8813,2,0)</f>
        <v>#N/A</v>
      </c>
      <c r="H8414" s="6" t="str">
        <f>VLOOKUP(E8414,dicionario!$A$1:$C8813,3,0)</f>
        <v>#N/A</v>
      </c>
    </row>
    <row r="8415">
      <c r="A8415" s="3">
        <v>45757.0</v>
      </c>
      <c r="B8415" s="4">
        <v>0.2625</v>
      </c>
      <c r="C8415" s="5" t="s">
        <v>8</v>
      </c>
      <c r="D8415" s="5" t="s">
        <v>1359</v>
      </c>
      <c r="E8415" s="8" t="s">
        <v>135</v>
      </c>
      <c r="F8415" s="5" t="s">
        <v>833</v>
      </c>
      <c r="G8415" s="6" t="str">
        <f>VLOOKUP(E8415,dicionario!$A$1:$C8814,2,0)</f>
        <v>Tridax procumbens</v>
      </c>
      <c r="H8415" s="6" t="str">
        <f>VLOOKUP(E8415,dicionario!$A$1:$C8814,3,0)</f>
        <v>erva-de-touro</v>
      </c>
    </row>
    <row r="8416">
      <c r="A8416" s="3">
        <v>45757.0</v>
      </c>
      <c r="B8416" s="4">
        <v>0.2625</v>
      </c>
      <c r="C8416" s="5" t="s">
        <v>8</v>
      </c>
      <c r="D8416" s="5" t="s">
        <v>1359</v>
      </c>
      <c r="E8416" s="6" t="s">
        <v>353</v>
      </c>
      <c r="F8416" s="5" t="s">
        <v>835</v>
      </c>
      <c r="G8416" s="6" t="str">
        <f>VLOOKUP(E8416,dicionario!$A$1:$C8815,2,0)</f>
        <v>Desmodium incanum</v>
      </c>
      <c r="H8416" s="6" t="str">
        <f>VLOOKUP(E8416,dicionario!$A$1:$C8815,3,0)</f>
        <v>pega-pega</v>
      </c>
    </row>
    <row r="8417">
      <c r="A8417" s="3">
        <v>45757.0</v>
      </c>
      <c r="B8417" s="4">
        <v>0.2625</v>
      </c>
      <c r="C8417" s="5" t="s">
        <v>8</v>
      </c>
      <c r="D8417" s="5" t="s">
        <v>1359</v>
      </c>
      <c r="E8417" s="8" t="s">
        <v>298</v>
      </c>
      <c r="F8417" s="7"/>
      <c r="G8417" s="6" t="str">
        <f>VLOOKUP(E8417,dicionario!$A$1:$C8816,2,0)</f>
        <v>Alysicarpus vaginalis</v>
      </c>
      <c r="H8417" s="6" t="str">
        <f>VLOOKUP(E8417,dicionario!$A$1:$C8816,3,0)</f>
        <v/>
      </c>
    </row>
    <row r="8418">
      <c r="A8418" s="3">
        <v>45757.0</v>
      </c>
      <c r="B8418" s="4">
        <v>0.2625</v>
      </c>
      <c r="C8418" s="5" t="s">
        <v>8</v>
      </c>
      <c r="D8418" s="5" t="s">
        <v>1359</v>
      </c>
      <c r="E8418" s="8" t="s">
        <v>1328</v>
      </c>
      <c r="F8418" s="5" t="s">
        <v>799</v>
      </c>
      <c r="G8418" s="6" t="str">
        <f>VLOOKUP(E8418,dicionario!$A$1:$C8817,2,0)</f>
        <v>#N/A</v>
      </c>
      <c r="H8418" s="6" t="str">
        <f>VLOOKUP(E8418,dicionario!$A$1:$C8817,3,0)</f>
        <v>#N/A</v>
      </c>
    </row>
    <row r="8419">
      <c r="A8419" s="3">
        <v>45757.0</v>
      </c>
      <c r="B8419" s="4">
        <v>0.26319444444444445</v>
      </c>
      <c r="C8419" s="5" t="s">
        <v>8</v>
      </c>
      <c r="D8419" s="5" t="s">
        <v>1359</v>
      </c>
      <c r="E8419" s="8" t="s">
        <v>1316</v>
      </c>
      <c r="F8419" s="5" t="s">
        <v>818</v>
      </c>
      <c r="G8419" s="6" t="str">
        <f>VLOOKUP(E8419,dicionario!$A$1:$C8818,2,0)</f>
        <v>#N/A</v>
      </c>
      <c r="H8419" s="6" t="str">
        <f>VLOOKUP(E8419,dicionario!$A$1:$C8818,3,0)</f>
        <v>#N/A</v>
      </c>
    </row>
    <row r="8420">
      <c r="A8420" s="3">
        <v>45757.0</v>
      </c>
      <c r="B8420" s="4">
        <v>0.26319444444444445</v>
      </c>
      <c r="C8420" s="5" t="s">
        <v>8</v>
      </c>
      <c r="D8420" s="5" t="s">
        <v>1359</v>
      </c>
      <c r="E8420" s="8" t="s">
        <v>1345</v>
      </c>
      <c r="F8420" s="5" t="s">
        <v>780</v>
      </c>
      <c r="G8420" s="6" t="str">
        <f>VLOOKUP(E8420,dicionario!$A$1:$C8819,2,0)</f>
        <v>#N/A</v>
      </c>
      <c r="H8420" s="6" t="str">
        <f>VLOOKUP(E8420,dicionario!$A$1:$C8819,3,0)</f>
        <v>#N/A</v>
      </c>
    </row>
    <row r="8421">
      <c r="A8421" s="3">
        <v>45757.0</v>
      </c>
      <c r="B8421" s="4">
        <v>0.26319444444444445</v>
      </c>
      <c r="C8421" s="5" t="s">
        <v>8</v>
      </c>
      <c r="D8421" s="5" t="s">
        <v>1359</v>
      </c>
      <c r="E8421" s="8" t="s">
        <v>1356</v>
      </c>
      <c r="F8421" s="5" t="s">
        <v>854</v>
      </c>
      <c r="G8421" s="6" t="str">
        <f>VLOOKUP(E8421,dicionario!$A$1:$C8820,2,0)</f>
        <v>#N/A</v>
      </c>
      <c r="H8421" s="6" t="str">
        <f>VLOOKUP(E8421,dicionario!$A$1:$C8820,3,0)</f>
        <v>#N/A</v>
      </c>
    </row>
    <row r="8422">
      <c r="A8422" s="3">
        <v>45757.0</v>
      </c>
      <c r="B8422" s="4">
        <v>0.26319444444444445</v>
      </c>
      <c r="C8422" s="5" t="s">
        <v>8</v>
      </c>
      <c r="D8422" s="5" t="s">
        <v>1359</v>
      </c>
      <c r="E8422" s="8" t="s">
        <v>177</v>
      </c>
      <c r="F8422" s="5" t="s">
        <v>804</v>
      </c>
      <c r="G8422" s="6" t="str">
        <f>VLOOKUP(E8422,dicionario!$A$1:$C8821,2,0)</f>
        <v>Elaenia flavogaster</v>
      </c>
      <c r="H8422" s="6" t="str">
        <f>VLOOKUP(E8422,dicionario!$A$1:$C8821,3,0)</f>
        <v>guaracava-de-barriga-amarela</v>
      </c>
    </row>
    <row r="8423">
      <c r="A8423" s="3">
        <v>45757.0</v>
      </c>
      <c r="B8423" s="4">
        <v>0.26458333333333334</v>
      </c>
      <c r="C8423" s="5" t="s">
        <v>8</v>
      </c>
      <c r="D8423" s="5" t="s">
        <v>1359</v>
      </c>
      <c r="E8423" s="30" t="s">
        <v>463</v>
      </c>
      <c r="F8423" s="7"/>
      <c r="G8423" s="6" t="str">
        <f>VLOOKUP(E8423,dicionario!$A$1:$C8822,2,0)</f>
        <v>#N/A</v>
      </c>
      <c r="H8423" s="6" t="str">
        <f>VLOOKUP(E8423,dicionario!$A$1:$C8822,3,0)</f>
        <v>#N/A</v>
      </c>
    </row>
    <row r="8424">
      <c r="A8424" s="3">
        <v>45757.0</v>
      </c>
      <c r="B8424" s="4">
        <v>0.26458333333333334</v>
      </c>
      <c r="C8424" s="5" t="s">
        <v>8</v>
      </c>
      <c r="D8424" s="5" t="s">
        <v>1359</v>
      </c>
      <c r="E8424" s="6" t="s">
        <v>53</v>
      </c>
      <c r="F8424" s="5" t="s">
        <v>54</v>
      </c>
      <c r="G8424" s="6" t="str">
        <f>VLOOKUP(E8424,dicionario!$A$1:$C8823,2,0)</f>
        <v>Turnera subulata</v>
      </c>
      <c r="H8424" s="6" t="str">
        <f>VLOOKUP(E8424,dicionario!$A$1:$C8823,3,0)</f>
        <v>xanana</v>
      </c>
    </row>
    <row r="8425">
      <c r="A8425" s="3">
        <v>45757.0</v>
      </c>
      <c r="B8425" s="4">
        <v>0.2652777777777778</v>
      </c>
      <c r="C8425" s="5" t="s">
        <v>8</v>
      </c>
      <c r="D8425" s="5" t="s">
        <v>1359</v>
      </c>
      <c r="E8425" s="8" t="s">
        <v>795</v>
      </c>
      <c r="F8425" s="5" t="s">
        <v>45</v>
      </c>
      <c r="G8425" s="6" t="str">
        <f>VLOOKUP(E8425,dicionario!$A$1:$C8824,2,0)</f>
        <v>#N/A</v>
      </c>
      <c r="H8425" s="6" t="str">
        <f>VLOOKUP(E8425,dicionario!$A$1:$C8824,3,0)</f>
        <v>#N/A</v>
      </c>
    </row>
    <row r="8426">
      <c r="A8426" s="3">
        <v>45757.0</v>
      </c>
      <c r="B8426" s="4">
        <v>0.2652777777777778</v>
      </c>
      <c r="C8426" s="5" t="s">
        <v>8</v>
      </c>
      <c r="D8426" s="5" t="s">
        <v>1359</v>
      </c>
      <c r="E8426" s="20" t="s">
        <v>676</v>
      </c>
      <c r="F8426" s="5" t="s">
        <v>1370</v>
      </c>
      <c r="G8426" s="6" t="str">
        <f>VLOOKUP(E8426,dicionario!$A$1:$C8825,2,0)</f>
        <v>Zornia latifolia</v>
      </c>
      <c r="H8426" s="6" t="str">
        <f>VLOOKUP(E8426,dicionario!$A$1:$C8825,3,0)</f>
        <v>arrozinho-do-campo</v>
      </c>
    </row>
    <row r="8427">
      <c r="A8427" s="3">
        <v>45757.0</v>
      </c>
      <c r="B8427" s="4">
        <v>0.2659722222222222</v>
      </c>
      <c r="C8427" s="5" t="s">
        <v>26</v>
      </c>
      <c r="D8427" s="5" t="s">
        <v>1359</v>
      </c>
      <c r="E8427" s="8" t="s">
        <v>38</v>
      </c>
      <c r="F8427" s="5" t="s">
        <v>1364</v>
      </c>
      <c r="G8427" s="6" t="str">
        <f>VLOOKUP(E8427,dicionario!$A$1:$C8826,2,0)</f>
        <v>Troglodytes musculus</v>
      </c>
      <c r="H8427" s="6" t="str">
        <f>VLOOKUP(E8427,dicionario!$A$1:$C8826,3,0)</f>
        <v>curruíra</v>
      </c>
    </row>
    <row r="8428">
      <c r="A8428" s="3">
        <v>45757.0</v>
      </c>
      <c r="B8428" s="4">
        <v>0.2659722222222222</v>
      </c>
      <c r="C8428" s="5" t="s">
        <v>26</v>
      </c>
      <c r="D8428" s="5" t="s">
        <v>1359</v>
      </c>
      <c r="E8428" s="20" t="s">
        <v>676</v>
      </c>
      <c r="F8428" s="5" t="s">
        <v>1370</v>
      </c>
      <c r="G8428" s="6" t="str">
        <f>VLOOKUP(E8428,dicionario!$A$1:$C8827,2,0)</f>
        <v>Zornia latifolia</v>
      </c>
      <c r="H8428" s="6" t="str">
        <f>VLOOKUP(E8428,dicionario!$A$1:$C8827,3,0)</f>
        <v>arrozinho-do-campo</v>
      </c>
    </row>
    <row r="8429">
      <c r="A8429" s="3">
        <v>45757.0</v>
      </c>
      <c r="B8429" s="4">
        <v>0.2659722222222222</v>
      </c>
      <c r="C8429" s="5" t="s">
        <v>26</v>
      </c>
      <c r="D8429" s="5" t="s">
        <v>1359</v>
      </c>
      <c r="E8429" s="8" t="s">
        <v>498</v>
      </c>
      <c r="F8429" s="5" t="s">
        <v>869</v>
      </c>
      <c r="G8429" s="6" t="str">
        <f>VLOOKUP(E8429,dicionario!$A$1:$C8828,2,0)</f>
        <v>Brachiaria decumbens</v>
      </c>
      <c r="H8429" s="6" t="str">
        <f>VLOOKUP(E8429,dicionario!$A$1:$C8828,3,0)</f>
        <v>capim-braquiária</v>
      </c>
    </row>
    <row r="8430">
      <c r="A8430" s="3">
        <v>45757.0</v>
      </c>
      <c r="B8430" s="4">
        <v>0.2659722222222222</v>
      </c>
      <c r="C8430" s="5" t="s">
        <v>26</v>
      </c>
      <c r="D8430" s="5" t="s">
        <v>1359</v>
      </c>
      <c r="E8430" s="8" t="s">
        <v>146</v>
      </c>
      <c r="F8430" s="5" t="s">
        <v>794</v>
      </c>
      <c r="G8430" s="6" t="str">
        <f>VLOOKUP(E8430,dicionario!$A$1:$C8829,2,0)</f>
        <v>Euphorbia hirta</v>
      </c>
      <c r="H8430" s="6" t="str">
        <f>VLOOKUP(E8430,dicionario!$A$1:$C8829,3,0)</f>
        <v>erva-de-santa-luzia</v>
      </c>
    </row>
    <row r="8431">
      <c r="A8431" s="3">
        <v>45757.0</v>
      </c>
      <c r="B8431" s="4">
        <v>0.2659722222222222</v>
      </c>
      <c r="C8431" s="5" t="s">
        <v>26</v>
      </c>
      <c r="D8431" s="5" t="s">
        <v>1359</v>
      </c>
      <c r="E8431" s="8" t="s">
        <v>135</v>
      </c>
      <c r="F8431" s="5" t="s">
        <v>833</v>
      </c>
      <c r="G8431" s="6" t="str">
        <f>VLOOKUP(E8431,dicionario!$A$1:$C8830,2,0)</f>
        <v>Tridax procumbens</v>
      </c>
      <c r="H8431" s="6" t="str">
        <f>VLOOKUP(E8431,dicionario!$A$1:$C8830,3,0)</f>
        <v>erva-de-touro</v>
      </c>
    </row>
    <row r="8432">
      <c r="A8432" s="3">
        <v>45757.0</v>
      </c>
      <c r="B8432" s="4">
        <v>0.2659722222222222</v>
      </c>
      <c r="C8432" s="5" t="s">
        <v>26</v>
      </c>
      <c r="D8432" s="5" t="s">
        <v>1359</v>
      </c>
      <c r="E8432" s="8" t="s">
        <v>298</v>
      </c>
      <c r="F8432" s="7"/>
      <c r="G8432" s="6" t="str">
        <f>VLOOKUP(E8432,dicionario!$A$1:$C8831,2,0)</f>
        <v>Alysicarpus vaginalis</v>
      </c>
      <c r="H8432" s="6" t="str">
        <f>VLOOKUP(E8432,dicionario!$A$1:$C8831,3,0)</f>
        <v/>
      </c>
    </row>
    <row r="8433">
      <c r="A8433" s="3">
        <v>45757.0</v>
      </c>
      <c r="B8433" s="4">
        <v>0.2659722222222222</v>
      </c>
      <c r="C8433" s="5" t="s">
        <v>26</v>
      </c>
      <c r="D8433" s="5" t="s">
        <v>1359</v>
      </c>
      <c r="E8433" s="8" t="s">
        <v>353</v>
      </c>
      <c r="F8433" s="5" t="s">
        <v>835</v>
      </c>
      <c r="G8433" s="6" t="str">
        <f>VLOOKUP(E8433,dicionario!$A$1:$C8832,2,0)</f>
        <v>Desmodium incanum</v>
      </c>
      <c r="H8433" s="6" t="str">
        <f>VLOOKUP(E8433,dicionario!$A$1:$C8832,3,0)</f>
        <v>pega-pega</v>
      </c>
    </row>
    <row r="8434">
      <c r="A8434" s="3">
        <v>45757.0</v>
      </c>
      <c r="B8434" s="4">
        <v>0.2659722222222222</v>
      </c>
      <c r="C8434" s="5" t="s">
        <v>26</v>
      </c>
      <c r="D8434" s="5" t="s">
        <v>1359</v>
      </c>
      <c r="E8434" s="8" t="s">
        <v>1285</v>
      </c>
      <c r="F8434" s="5" t="s">
        <v>1286</v>
      </c>
      <c r="G8434" s="6" t="str">
        <f>VLOOKUP(E8434,dicionario!$A$1:$C8833,2,0)</f>
        <v>#N/A</v>
      </c>
      <c r="H8434" s="6" t="str">
        <f>VLOOKUP(E8434,dicionario!$A$1:$C8833,3,0)</f>
        <v>#N/A</v>
      </c>
    </row>
    <row r="8435">
      <c r="A8435" s="3">
        <v>45757.0</v>
      </c>
      <c r="B8435" s="4">
        <v>0.2659722222222222</v>
      </c>
      <c r="C8435" s="5" t="s">
        <v>26</v>
      </c>
      <c r="D8435" s="5" t="s">
        <v>1359</v>
      </c>
      <c r="E8435" s="8" t="s">
        <v>1280</v>
      </c>
      <c r="F8435" s="5" t="s">
        <v>1156</v>
      </c>
      <c r="G8435" s="6" t="str">
        <f>VLOOKUP(E8435,dicionario!$A$1:$C8834,2,0)</f>
        <v>Paspalum notatum</v>
      </c>
      <c r="H8435" s="6" t="str">
        <f>VLOOKUP(E8435,dicionario!$A$1:$C8834,3,0)</f>
        <v>capim-forquilha</v>
      </c>
    </row>
    <row r="8436">
      <c r="A8436" s="3">
        <v>45757.0</v>
      </c>
      <c r="B8436" s="4">
        <v>0.2659722222222222</v>
      </c>
      <c r="C8436" s="5" t="s">
        <v>26</v>
      </c>
      <c r="D8436" s="5" t="s">
        <v>1359</v>
      </c>
      <c r="E8436" s="8" t="s">
        <v>1371</v>
      </c>
      <c r="F8436" s="5" t="s">
        <v>1372</v>
      </c>
      <c r="G8436" s="6" t="str">
        <f>VLOOKUP(E8436,dicionario!$A$1:$C8835,2,0)</f>
        <v>#N/A</v>
      </c>
      <c r="H8436" s="6" t="str">
        <f>VLOOKUP(E8436,dicionario!$A$1:$C8835,3,0)</f>
        <v>#N/A</v>
      </c>
    </row>
    <row r="8437">
      <c r="A8437" s="3">
        <v>45757.0</v>
      </c>
      <c r="B8437" s="4">
        <v>0.26666666666666666</v>
      </c>
      <c r="C8437" s="5" t="s">
        <v>26</v>
      </c>
      <c r="D8437" s="5" t="s">
        <v>1359</v>
      </c>
      <c r="E8437" s="8" t="s">
        <v>914</v>
      </c>
      <c r="F8437" s="5" t="s">
        <v>669</v>
      </c>
      <c r="G8437" s="6" t="str">
        <f>VLOOKUP(E8437,dicionario!$A$1:$C8836,2,0)</f>
        <v>#N/A</v>
      </c>
      <c r="H8437" s="6" t="str">
        <f>VLOOKUP(E8437,dicionario!$A$1:$C8836,3,0)</f>
        <v>#N/A</v>
      </c>
    </row>
    <row r="8438">
      <c r="A8438" s="3">
        <v>45757.0</v>
      </c>
      <c r="B8438" s="4">
        <v>0.2673611111111111</v>
      </c>
      <c r="C8438" s="5" t="s">
        <v>26</v>
      </c>
      <c r="D8438" s="5" t="s">
        <v>1359</v>
      </c>
      <c r="E8438" s="12" t="s">
        <v>111</v>
      </c>
      <c r="F8438" s="5" t="s">
        <v>112</v>
      </c>
      <c r="G8438" s="6" t="str">
        <f>VLOOKUP(E8438,dicionario!$A$1:$C8837,2,0)</f>
        <v>Trigona spinipes</v>
      </c>
      <c r="H8438" s="6" t="str">
        <f>VLOOKUP(E8438,dicionario!$A$1:$C8837,3,0)</f>
        <v>abelha-cachorro</v>
      </c>
    </row>
    <row r="8439">
      <c r="A8439" s="3">
        <v>45757.0</v>
      </c>
      <c r="B8439" s="4">
        <v>0.2673611111111111</v>
      </c>
      <c r="C8439" s="5" t="s">
        <v>26</v>
      </c>
      <c r="D8439" s="5" t="s">
        <v>1359</v>
      </c>
      <c r="E8439" s="8" t="s">
        <v>41</v>
      </c>
      <c r="F8439" s="5" t="s">
        <v>45</v>
      </c>
      <c r="G8439" s="6" t="str">
        <f>VLOOKUP(E8439,dicionario!$A$1:$C8838,2,0)</f>
        <v>Mimosa pudica</v>
      </c>
      <c r="H8439" s="6" t="str">
        <f>VLOOKUP(E8439,dicionario!$A$1:$C8838,3,0)</f>
        <v>dormideira</v>
      </c>
    </row>
    <row r="8440">
      <c r="A8440" s="3">
        <v>45757.0</v>
      </c>
      <c r="B8440" s="4">
        <v>0.2673611111111111</v>
      </c>
      <c r="C8440" s="5" t="s">
        <v>26</v>
      </c>
      <c r="D8440" s="5" t="s">
        <v>1359</v>
      </c>
      <c r="E8440" s="8" t="s">
        <v>239</v>
      </c>
      <c r="F8440" s="5" t="s">
        <v>240</v>
      </c>
      <c r="G8440" s="6" t="str">
        <f>VLOOKUP(E8440,dicionario!$A$1:$C8839,2,0)</f>
        <v>Gomphrena celosioides</v>
      </c>
      <c r="H8440" s="6" t="str">
        <f>VLOOKUP(E8440,dicionario!$A$1:$C8839,3,0)</f>
        <v>perpétua-branca</v>
      </c>
    </row>
    <row r="8441">
      <c r="A8441" s="3">
        <v>45757.0</v>
      </c>
      <c r="B8441" s="4">
        <v>0.26805555555555555</v>
      </c>
      <c r="C8441" s="5" t="s">
        <v>26</v>
      </c>
      <c r="D8441" s="5" t="s">
        <v>1359</v>
      </c>
      <c r="E8441" s="8" t="s">
        <v>109</v>
      </c>
      <c r="F8441" s="5" t="s">
        <v>110</v>
      </c>
      <c r="G8441" s="6" t="str">
        <f>VLOOKUP(E8441,dicionario!$A$1:$C8840,2,0)</f>
        <v>Tillandsia stricta</v>
      </c>
      <c r="H8441" s="6" t="str">
        <f>VLOOKUP(E8441,dicionario!$A$1:$C8840,3,0)</f>
        <v>cravo-do-mato</v>
      </c>
    </row>
    <row r="8442">
      <c r="A8442" s="3">
        <v>45757.0</v>
      </c>
      <c r="B8442" s="4">
        <v>0.26805555555555555</v>
      </c>
      <c r="C8442" s="5" t="s">
        <v>26</v>
      </c>
      <c r="D8442" s="5" t="s">
        <v>1359</v>
      </c>
      <c r="E8442" s="8" t="s">
        <v>360</v>
      </c>
      <c r="F8442" s="5" t="s">
        <v>361</v>
      </c>
      <c r="G8442" s="6" t="str">
        <f>VLOOKUP(E8442,dicionario!$A$1:$C8841,2,0)</f>
        <v>Chamaecrista rotundifolia</v>
      </c>
      <c r="H8442" s="6" t="str">
        <f>VLOOKUP(E8442,dicionario!$A$1:$C8841,3,0)</f>
        <v>alfafa-nativa</v>
      </c>
    </row>
    <row r="8443">
      <c r="A8443" s="3">
        <v>45757.0</v>
      </c>
      <c r="B8443" s="4">
        <v>0.26805555555555555</v>
      </c>
      <c r="C8443" s="5" t="s">
        <v>26</v>
      </c>
      <c r="D8443" s="5" t="s">
        <v>1359</v>
      </c>
      <c r="E8443" s="8" t="s">
        <v>935</v>
      </c>
      <c r="F8443" s="5" t="s">
        <v>936</v>
      </c>
      <c r="G8443" s="6" t="str">
        <f>VLOOKUP(E8443,dicionario!$A$1:$C8842,2,0)</f>
        <v>#N/A</v>
      </c>
      <c r="H8443" s="6" t="str">
        <f>VLOOKUP(E8443,dicionario!$A$1:$C8842,3,0)</f>
        <v>#N/A</v>
      </c>
    </row>
    <row r="8444">
      <c r="A8444" s="3">
        <v>45757.0</v>
      </c>
      <c r="B8444" s="4">
        <v>0.26875</v>
      </c>
      <c r="C8444" s="5" t="s">
        <v>26</v>
      </c>
      <c r="D8444" s="5" t="s">
        <v>1359</v>
      </c>
      <c r="E8444" s="8" t="s">
        <v>503</v>
      </c>
      <c r="F8444" s="5" t="s">
        <v>414</v>
      </c>
      <c r="G8444" s="6" t="str">
        <f>VLOOKUP(E8444,dicionario!$A$1:$C8843,2,0)</f>
        <v>Orphulella punctata</v>
      </c>
      <c r="H8444" s="6" t="str">
        <f>VLOOKUP(E8444,dicionario!$A$1:$C8843,3,0)</f>
        <v>gafanhotinho</v>
      </c>
    </row>
    <row r="8445">
      <c r="A8445" s="3">
        <v>45757.0</v>
      </c>
      <c r="B8445" s="4">
        <v>0.26875</v>
      </c>
      <c r="C8445" s="5" t="s">
        <v>26</v>
      </c>
      <c r="D8445" s="5" t="s">
        <v>1359</v>
      </c>
      <c r="E8445" s="8" t="s">
        <v>245</v>
      </c>
      <c r="F8445" s="5" t="s">
        <v>1106</v>
      </c>
      <c r="G8445" s="6" t="str">
        <f>VLOOKUP(E8445,dicionario!$A$1:$C8844,2,0)</f>
        <v>Hemiargus hanno</v>
      </c>
      <c r="H8445" s="6" t="str">
        <f>VLOOKUP(E8445,dicionario!$A$1:$C8844,3,0)</f>
        <v>borboleta-azulzinha-do-trevo</v>
      </c>
    </row>
    <row r="8446">
      <c r="A8446" s="3">
        <v>45757.0</v>
      </c>
      <c r="B8446" s="4">
        <v>0.26944444444444443</v>
      </c>
      <c r="C8446" s="5" t="s">
        <v>26</v>
      </c>
      <c r="D8446" s="5" t="s">
        <v>1359</v>
      </c>
      <c r="E8446" s="8" t="s">
        <v>1325</v>
      </c>
      <c r="F8446" s="5" t="s">
        <v>228</v>
      </c>
      <c r="G8446" s="6" t="str">
        <f>VLOOKUP(E8446,dicionario!$A$1:$C8845,2,0)</f>
        <v>#N/A</v>
      </c>
      <c r="H8446" s="6" t="str">
        <f>VLOOKUP(E8446,dicionario!$A$1:$C8845,3,0)</f>
        <v>#N/A</v>
      </c>
    </row>
    <row r="8447">
      <c r="A8447" s="3">
        <v>45757.0</v>
      </c>
      <c r="B8447" s="4">
        <v>0.26944444444444443</v>
      </c>
      <c r="C8447" s="5" t="s">
        <v>26</v>
      </c>
      <c r="D8447" s="5" t="s">
        <v>1359</v>
      </c>
      <c r="E8447" s="8" t="s">
        <v>118</v>
      </c>
      <c r="F8447" s="5" t="s">
        <v>119</v>
      </c>
      <c r="G8447" s="6" t="str">
        <f>VLOOKUP(E8447,dicionario!$A$1:$C8846,2,0)</f>
        <v>Agaricus</v>
      </c>
      <c r="H8447" s="6" t="str">
        <f>VLOOKUP(E8447,dicionario!$A$1:$C8846,3,0)</f>
        <v>cogumelo</v>
      </c>
    </row>
    <row r="8448">
      <c r="A8448" s="3">
        <v>45757.0</v>
      </c>
      <c r="B8448" s="4">
        <v>0.2701388888888889</v>
      </c>
      <c r="C8448" s="5" t="s">
        <v>26</v>
      </c>
      <c r="D8448" s="5" t="s">
        <v>1359</v>
      </c>
      <c r="E8448" s="8" t="s">
        <v>1312</v>
      </c>
      <c r="F8448" s="5" t="s">
        <v>66</v>
      </c>
      <c r="G8448" s="6" t="str">
        <f>VLOOKUP(E8448,dicionario!$A$1:$C8847,2,0)</f>
        <v>#N/A</v>
      </c>
      <c r="H8448" s="6" t="str">
        <f>VLOOKUP(E8448,dicionario!$A$1:$C8847,3,0)</f>
        <v>#N/A</v>
      </c>
    </row>
    <row r="8449">
      <c r="A8449" s="3">
        <v>45757.0</v>
      </c>
      <c r="B8449" s="4">
        <v>0.2708333333333333</v>
      </c>
      <c r="C8449" s="5" t="s">
        <v>26</v>
      </c>
      <c r="D8449" s="5" t="s">
        <v>1359</v>
      </c>
      <c r="E8449" s="8" t="s">
        <v>88</v>
      </c>
      <c r="F8449" s="5" t="s">
        <v>89</v>
      </c>
      <c r="G8449" s="6" t="str">
        <f>VLOOKUP(E8449,dicionario!$A$1:$C8848,2,0)</f>
        <v>Tyrannus melancolichus</v>
      </c>
      <c r="H8449" s="6" t="str">
        <f>VLOOKUP(E8449,dicionario!$A$1:$C8848,3,0)</f>
        <v>suiriri</v>
      </c>
    </row>
    <row r="8450">
      <c r="A8450" s="3">
        <v>45757.0</v>
      </c>
      <c r="B8450" s="4">
        <v>0.2708333333333333</v>
      </c>
      <c r="C8450" s="5" t="s">
        <v>26</v>
      </c>
      <c r="D8450" s="5" t="s">
        <v>1359</v>
      </c>
      <c r="E8450" s="8" t="s">
        <v>1373</v>
      </c>
      <c r="F8450" s="5" t="s">
        <v>1374</v>
      </c>
      <c r="G8450" s="6" t="str">
        <f>VLOOKUP(E8450,dicionario!$A$1:$C8849,2,0)</f>
        <v>Ardea alba</v>
      </c>
      <c r="H8450" s="6" t="str">
        <f>VLOOKUP(E8450,dicionario!$A$1:$C8849,3,0)</f>
        <v>garça-branca-grande</v>
      </c>
    </row>
    <row r="8451">
      <c r="A8451" s="3">
        <v>45757.0</v>
      </c>
      <c r="B8451" s="4">
        <v>0.2708333333333333</v>
      </c>
      <c r="C8451" s="5" t="s">
        <v>26</v>
      </c>
      <c r="D8451" s="5" t="s">
        <v>1359</v>
      </c>
      <c r="E8451" s="8" t="s">
        <v>191</v>
      </c>
      <c r="F8451" s="5" t="s">
        <v>192</v>
      </c>
      <c r="G8451" s="6" t="str">
        <f>VLOOKUP(E8451,dicionario!$A$1:$C8850,2,0)</f>
        <v>Patagioenas picazuro</v>
      </c>
      <c r="H8451" s="6" t="str">
        <f>VLOOKUP(E8451,dicionario!$A$1:$C8850,3,0)</f>
        <v>asa-branca; pomba-asa-branca; pocaçu</v>
      </c>
    </row>
    <row r="8452">
      <c r="A8452" s="3">
        <v>45757.0</v>
      </c>
      <c r="B8452" s="4">
        <v>0.2708333333333333</v>
      </c>
      <c r="C8452" s="5" t="s">
        <v>26</v>
      </c>
      <c r="D8452" s="5" t="s">
        <v>1359</v>
      </c>
      <c r="E8452" s="8" t="s">
        <v>1311</v>
      </c>
      <c r="F8452" s="5" t="s">
        <v>114</v>
      </c>
      <c r="G8452" s="6" t="str">
        <f>VLOOKUP(E8452,dicionario!$A$1:$C8851,2,0)</f>
        <v>#N/A</v>
      </c>
      <c r="H8452" s="6" t="str">
        <f>VLOOKUP(E8452,dicionario!$A$1:$C8851,3,0)</f>
        <v>#N/A</v>
      </c>
    </row>
    <row r="8453">
      <c r="A8453" s="3">
        <v>45757.0</v>
      </c>
      <c r="B8453" s="4">
        <v>0.2708333333333333</v>
      </c>
      <c r="C8453" s="5" t="s">
        <v>26</v>
      </c>
      <c r="D8453" s="5" t="s">
        <v>1359</v>
      </c>
      <c r="E8453" s="8" t="s">
        <v>1345</v>
      </c>
      <c r="F8453" s="5" t="s">
        <v>254</v>
      </c>
      <c r="G8453" s="6" t="str">
        <f>VLOOKUP(E8453,dicionario!$A$1:$C8852,2,0)</f>
        <v>#N/A</v>
      </c>
      <c r="H8453" s="6" t="str">
        <f>VLOOKUP(E8453,dicionario!$A$1:$C8852,3,0)</f>
        <v>#N/A</v>
      </c>
    </row>
    <row r="8454">
      <c r="A8454" s="3">
        <v>45757.0</v>
      </c>
      <c r="B8454" s="4">
        <v>0.27152777777777776</v>
      </c>
      <c r="C8454" s="5" t="s">
        <v>26</v>
      </c>
      <c r="D8454" s="5" t="s">
        <v>1359</v>
      </c>
      <c r="E8454" s="6" t="s">
        <v>366</v>
      </c>
      <c r="F8454" s="5" t="s">
        <v>367</v>
      </c>
      <c r="G8454" s="6" t="str">
        <f>VLOOKUP(E8454,dicionario!$A$1:$C8853,2,0)</f>
        <v>Alternanthera ficoidea</v>
      </c>
      <c r="H8454" s="6" t="str">
        <f>VLOOKUP(E8454,dicionario!$A$1:$C8853,3,0)</f>
        <v>quebra-panela</v>
      </c>
    </row>
    <row r="8455">
      <c r="A8455" s="3">
        <v>45757.0</v>
      </c>
      <c r="B8455" s="4">
        <v>0.27152777777777776</v>
      </c>
      <c r="C8455" s="5" t="s">
        <v>26</v>
      </c>
      <c r="D8455" s="5" t="s">
        <v>1359</v>
      </c>
      <c r="E8455" s="8" t="s">
        <v>1332</v>
      </c>
      <c r="F8455" s="5" t="s">
        <v>145</v>
      </c>
      <c r="G8455" s="6" t="str">
        <f>VLOOKUP(E8455,dicionario!$A$1:$C8854,2,0)</f>
        <v>#N/A</v>
      </c>
      <c r="H8455" s="6" t="str">
        <f>VLOOKUP(E8455,dicionario!$A$1:$C8854,3,0)</f>
        <v>#N/A</v>
      </c>
    </row>
    <row r="8456">
      <c r="A8456" s="3">
        <v>45757.0</v>
      </c>
      <c r="B8456" s="4">
        <v>0.27152777777777776</v>
      </c>
      <c r="C8456" s="5" t="s">
        <v>26</v>
      </c>
      <c r="D8456" s="5" t="s">
        <v>1359</v>
      </c>
      <c r="E8456" s="6" t="s">
        <v>467</v>
      </c>
      <c r="F8456" s="5" t="s">
        <v>468</v>
      </c>
      <c r="G8456" s="6" t="str">
        <f>VLOOKUP(E8456,dicionario!$A$1:$C8855,2,0)</f>
        <v>Eleusine indica</v>
      </c>
      <c r="H8456" s="6" t="str">
        <f>VLOOKUP(E8456,dicionario!$A$1:$C8855,3,0)</f>
        <v>capim-pé-de-galinha</v>
      </c>
    </row>
    <row r="8457">
      <c r="A8457" s="3">
        <v>45757.0</v>
      </c>
      <c r="B8457" s="4">
        <v>0.27152777777777776</v>
      </c>
      <c r="C8457" s="5" t="s">
        <v>26</v>
      </c>
      <c r="D8457" s="5" t="s">
        <v>1359</v>
      </c>
      <c r="E8457" s="8" t="s">
        <v>358</v>
      </c>
      <c r="F8457" s="5" t="s">
        <v>567</v>
      </c>
      <c r="G8457" s="6" t="str">
        <f>VLOOKUP(E8457,dicionario!$A$1:$C8856,2,0)</f>
        <v>Sida</v>
      </c>
      <c r="H8457" s="6" t="str">
        <f>VLOOKUP(E8457,dicionario!$A$1:$C8856,3,0)</f>
        <v/>
      </c>
    </row>
    <row r="8458">
      <c r="A8458" s="3">
        <v>45757.0</v>
      </c>
      <c r="B8458" s="4">
        <v>0.2722222222222222</v>
      </c>
      <c r="C8458" s="5" t="s">
        <v>26</v>
      </c>
      <c r="D8458" s="5" t="s">
        <v>1359</v>
      </c>
      <c r="E8458" s="8" t="s">
        <v>154</v>
      </c>
      <c r="F8458" s="5" t="s">
        <v>155</v>
      </c>
      <c r="G8458" s="6" t="str">
        <f>VLOOKUP(E8458,dicionario!$A$1:$C8857,2,0)</f>
        <v>Cyperus rotundus</v>
      </c>
      <c r="H8458" s="6" t="str">
        <f>VLOOKUP(E8458,dicionario!$A$1:$C8857,3,0)</f>
        <v>tiririca</v>
      </c>
    </row>
    <row r="8459">
      <c r="A8459" s="3">
        <v>45757.0</v>
      </c>
      <c r="B8459" s="4">
        <v>0.27291666666666664</v>
      </c>
      <c r="C8459" s="5" t="s">
        <v>26</v>
      </c>
      <c r="D8459" s="5" t="s">
        <v>1359</v>
      </c>
      <c r="E8459" s="12" t="s">
        <v>243</v>
      </c>
      <c r="F8459" s="5" t="s">
        <v>244</v>
      </c>
      <c r="G8459" s="6" t="str">
        <f>VLOOKUP(E8459,dicionario!$A$1:$C8858,2,0)</f>
        <v>Macroptilium atropurpureum</v>
      </c>
      <c r="H8459" s="6" t="str">
        <f>VLOOKUP(E8459,dicionario!$A$1:$C8858,3,0)</f>
        <v>feijão-de-pombo</v>
      </c>
    </row>
    <row r="8460">
      <c r="A8460" s="3">
        <v>45757.0</v>
      </c>
      <c r="B8460" s="4">
        <v>0.27291666666666664</v>
      </c>
      <c r="C8460" s="5" t="s">
        <v>26</v>
      </c>
      <c r="D8460" s="5" t="s">
        <v>1359</v>
      </c>
      <c r="E8460" s="8" t="s">
        <v>20</v>
      </c>
      <c r="F8460" s="5" t="s">
        <v>21</v>
      </c>
      <c r="G8460" s="6" t="str">
        <f>VLOOKUP(E8460,dicionario!$A$1:$C8859,2,0)</f>
        <v>Sicalis flaveola</v>
      </c>
      <c r="H8460" s="6" t="str">
        <f>VLOOKUP(E8460,dicionario!$A$1:$C8859,3,0)</f>
        <v>canário-da-terra</v>
      </c>
    </row>
    <row r="8461">
      <c r="A8461" s="3">
        <v>45757.0</v>
      </c>
      <c r="B8461" s="4">
        <v>0.27361111111111114</v>
      </c>
      <c r="C8461" s="5" t="s">
        <v>26</v>
      </c>
      <c r="D8461" s="5" t="s">
        <v>1359</v>
      </c>
      <c r="E8461" s="8" t="s">
        <v>1339</v>
      </c>
      <c r="F8461" s="5" t="s">
        <v>73</v>
      </c>
      <c r="G8461" s="6" t="str">
        <f>VLOOKUP(E8461,dicionario!$A$1:$C8860,2,0)</f>
        <v>#N/A</v>
      </c>
      <c r="H8461" s="6" t="str">
        <f>VLOOKUP(E8461,dicionario!$A$1:$C8860,3,0)</f>
        <v>#N/A</v>
      </c>
    </row>
    <row r="8462">
      <c r="A8462" s="3">
        <v>45757.0</v>
      </c>
      <c r="B8462" s="4">
        <v>0.27361111111111114</v>
      </c>
      <c r="C8462" s="5" t="s">
        <v>26</v>
      </c>
      <c r="D8462" s="5" t="s">
        <v>1359</v>
      </c>
      <c r="E8462" s="8" t="s">
        <v>1313</v>
      </c>
      <c r="F8462" s="5" t="s">
        <v>133</v>
      </c>
      <c r="G8462" s="6" t="str">
        <f>VLOOKUP(E8462,dicionario!$A$1:$C8861,2,0)</f>
        <v>#N/A</v>
      </c>
      <c r="H8462" s="6" t="str">
        <f>VLOOKUP(E8462,dicionario!$A$1:$C8861,3,0)</f>
        <v>#N/A</v>
      </c>
    </row>
    <row r="8463">
      <c r="A8463" s="3">
        <v>45757.0</v>
      </c>
      <c r="B8463" s="4">
        <v>0.2743055555555556</v>
      </c>
      <c r="C8463" s="5" t="s">
        <v>26</v>
      </c>
      <c r="D8463" s="5" t="s">
        <v>1359</v>
      </c>
      <c r="E8463" s="8" t="s">
        <v>1357</v>
      </c>
      <c r="F8463" s="5" t="s">
        <v>1375</v>
      </c>
      <c r="G8463" s="6" t="str">
        <f>VLOOKUP(E8463,dicionario!$A$1:$C8862,2,0)</f>
        <v>#N/A</v>
      </c>
      <c r="H8463" s="6" t="str">
        <f>VLOOKUP(E8463,dicionario!$A$1:$C8862,3,0)</f>
        <v>#N/A</v>
      </c>
    </row>
    <row r="8464">
      <c r="A8464" s="3">
        <v>45757.0</v>
      </c>
      <c r="B8464" s="4">
        <v>0.275</v>
      </c>
      <c r="C8464" s="5" t="s">
        <v>26</v>
      </c>
      <c r="D8464" s="5" t="s">
        <v>1359</v>
      </c>
      <c r="E8464" s="8" t="s">
        <v>1285</v>
      </c>
      <c r="F8464" s="5" t="s">
        <v>1286</v>
      </c>
      <c r="G8464" s="6" t="str">
        <f>VLOOKUP(E8464,dicionario!$A$1:$C8863,2,0)</f>
        <v>#N/A</v>
      </c>
      <c r="H8464" s="6" t="str">
        <f>VLOOKUP(E8464,dicionario!$A$1:$C8863,3,0)</f>
        <v>#N/A</v>
      </c>
    </row>
    <row r="8465">
      <c r="A8465" s="3">
        <v>45757.0</v>
      </c>
      <c r="B8465" s="4">
        <v>0.275</v>
      </c>
      <c r="C8465" s="5" t="s">
        <v>26</v>
      </c>
      <c r="D8465" s="5" t="s">
        <v>1359</v>
      </c>
      <c r="E8465" s="8" t="s">
        <v>103</v>
      </c>
      <c r="F8465" s="5" t="s">
        <v>104</v>
      </c>
      <c r="G8465" s="6" t="str">
        <f>VLOOKUP(E8465,dicionario!$A$1:$C8864,2,0)</f>
        <v>Caracara plancus</v>
      </c>
      <c r="H8465" s="6" t="str">
        <f>VLOOKUP(E8465,dicionario!$A$1:$C8864,3,0)</f>
        <v>carcará </v>
      </c>
    </row>
    <row r="8466">
      <c r="A8466" s="3">
        <v>45757.0</v>
      </c>
      <c r="B8466" s="4">
        <v>0.275</v>
      </c>
      <c r="C8466" s="5" t="s">
        <v>26</v>
      </c>
      <c r="D8466" s="5" t="s">
        <v>1359</v>
      </c>
      <c r="E8466" s="8" t="s">
        <v>122</v>
      </c>
      <c r="F8466" s="5" t="s">
        <v>123</v>
      </c>
      <c r="G8466" s="6" t="str">
        <f>VLOOKUP(E8466,dicionario!$A$1:$C8865,2,0)</f>
        <v>Todirostrum cinereum</v>
      </c>
      <c r="H8466" s="6" t="str">
        <f>VLOOKUP(E8466,dicionario!$A$1:$C8865,3,0)</f>
        <v>ferreirinho-relógio</v>
      </c>
    </row>
    <row r="8467">
      <c r="A8467" s="3">
        <v>45757.0</v>
      </c>
      <c r="B8467" s="4">
        <v>0.275</v>
      </c>
      <c r="C8467" s="5" t="s">
        <v>26</v>
      </c>
      <c r="D8467" s="5" t="s">
        <v>1359</v>
      </c>
      <c r="E8467" s="6" t="s">
        <v>86</v>
      </c>
      <c r="F8467" s="5" t="s">
        <v>502</v>
      </c>
      <c r="G8467" s="6" t="str">
        <f>VLOOKUP(E8467,dicionario!$A$1:$C8866,2,0)</f>
        <v>Coereba flaveola</v>
      </c>
      <c r="H8467" s="6" t="str">
        <f>VLOOKUP(E8467,dicionario!$A$1:$C8866,3,0)</f>
        <v>cambacica</v>
      </c>
    </row>
    <row r="8468">
      <c r="A8468" s="3">
        <v>45757.0</v>
      </c>
      <c r="B8468" s="4">
        <v>0.27569444444444446</v>
      </c>
      <c r="C8468" s="5" t="s">
        <v>26</v>
      </c>
      <c r="D8468" s="5" t="s">
        <v>1359</v>
      </c>
      <c r="E8468" s="6" t="s">
        <v>53</v>
      </c>
      <c r="F8468" s="5" t="s">
        <v>54</v>
      </c>
      <c r="G8468" s="6" t="str">
        <f>VLOOKUP(E8468,dicionario!$A$1:$C8867,2,0)</f>
        <v>Turnera subulata</v>
      </c>
      <c r="H8468" s="6" t="str">
        <f>VLOOKUP(E8468,dicionario!$A$1:$C8867,3,0)</f>
        <v>xanana</v>
      </c>
    </row>
    <row r="8469">
      <c r="A8469" s="3">
        <v>45757.0</v>
      </c>
      <c r="B8469" s="4">
        <v>0.27569444444444446</v>
      </c>
      <c r="C8469" s="5" t="s">
        <v>26</v>
      </c>
      <c r="D8469" s="5" t="s">
        <v>1359</v>
      </c>
      <c r="E8469" s="8" t="s">
        <v>928</v>
      </c>
      <c r="F8469" s="5" t="s">
        <v>418</v>
      </c>
      <c r="G8469" s="6" t="str">
        <f>VLOOKUP(E8469,dicionario!$A$1:$C8868,2,0)</f>
        <v>Camponotus</v>
      </c>
      <c r="H8469" s="6" t="str">
        <f>VLOOKUP(E8469,dicionario!$A$1:$C8868,3,0)</f>
        <v>formiga-preta</v>
      </c>
    </row>
    <row r="8470">
      <c r="A8470" s="3">
        <v>45757.0</v>
      </c>
      <c r="B8470" s="4">
        <v>0.27569444444444446</v>
      </c>
      <c r="C8470" s="5" t="s">
        <v>26</v>
      </c>
      <c r="D8470" s="5" t="s">
        <v>1359</v>
      </c>
      <c r="E8470" s="6" t="s">
        <v>471</v>
      </c>
      <c r="F8470" s="5" t="s">
        <v>472</v>
      </c>
      <c r="G8470" s="6" t="str">
        <f>VLOOKUP(E8470,dicionario!$A$1:$C8869,2,0)</f>
        <v>Sida acuta</v>
      </c>
      <c r="H8470" s="6" t="str">
        <f>VLOOKUP(E8470,dicionario!$A$1:$C8869,3,0)</f>
        <v>reloginho</v>
      </c>
    </row>
    <row r="8471">
      <c r="A8471" s="3">
        <v>45757.0</v>
      </c>
      <c r="B8471" s="4">
        <v>0.27569444444444446</v>
      </c>
      <c r="C8471" s="5" t="s">
        <v>26</v>
      </c>
      <c r="D8471" s="5" t="s">
        <v>1359</v>
      </c>
      <c r="E8471" s="8" t="s">
        <v>271</v>
      </c>
      <c r="F8471" s="5" t="s">
        <v>1169</v>
      </c>
      <c r="G8471" s="6" t="str">
        <f>VLOOKUP(E8471,dicionario!$A$1:$C8870,2,0)</f>
        <v>Cyanthillium cinereum</v>
      </c>
      <c r="H8471" s="6" t="str">
        <f>VLOOKUP(E8471,dicionario!$A$1:$C8870,3,0)</f>
        <v>emília</v>
      </c>
    </row>
    <row r="8472">
      <c r="A8472" s="3">
        <v>45757.0</v>
      </c>
      <c r="B8472" s="4">
        <v>0.27569444444444446</v>
      </c>
      <c r="C8472" s="5" t="s">
        <v>26</v>
      </c>
      <c r="D8472" s="5" t="s">
        <v>1359</v>
      </c>
      <c r="E8472" s="8" t="s">
        <v>1282</v>
      </c>
      <c r="F8472" s="5" t="s">
        <v>182</v>
      </c>
      <c r="G8472" s="6" t="str">
        <f>VLOOKUP(E8472,dicionario!$A$1:$C8871,2,0)</f>
        <v>#N/A</v>
      </c>
      <c r="H8472" s="6" t="str">
        <f>VLOOKUP(E8472,dicionario!$A$1:$C8871,3,0)</f>
        <v>#N/A</v>
      </c>
    </row>
    <row r="8473">
      <c r="A8473" s="3">
        <v>45757.0</v>
      </c>
      <c r="B8473" s="4">
        <v>0.27708333333333335</v>
      </c>
      <c r="C8473" s="5" t="s">
        <v>26</v>
      </c>
      <c r="D8473" s="5" t="s">
        <v>1359</v>
      </c>
      <c r="E8473" s="6" t="s">
        <v>288</v>
      </c>
      <c r="F8473" s="5" t="s">
        <v>289</v>
      </c>
      <c r="G8473" s="6" t="str">
        <f>VLOOKUP(E8473,dicionario!$A$1:$C8872,2,0)</f>
        <v>Phyllanthus tenellus</v>
      </c>
      <c r="H8473" s="6" t="str">
        <f>VLOOKUP(E8473,dicionario!$A$1:$C8872,3,0)</f>
        <v>quebra-pedra</v>
      </c>
    </row>
    <row r="8474">
      <c r="A8474" s="3">
        <v>45757.0</v>
      </c>
      <c r="B8474" s="4">
        <v>0.27708333333333335</v>
      </c>
      <c r="C8474" s="5" t="s">
        <v>26</v>
      </c>
      <c r="D8474" s="5" t="s">
        <v>1359</v>
      </c>
      <c r="E8474" s="8" t="s">
        <v>1325</v>
      </c>
      <c r="F8474" s="5" t="s">
        <v>228</v>
      </c>
      <c r="G8474" s="6" t="str">
        <f>VLOOKUP(E8474,dicionario!$A$1:$C8873,2,0)</f>
        <v>#N/A</v>
      </c>
      <c r="H8474" s="6" t="str">
        <f>VLOOKUP(E8474,dicionario!$A$1:$C8873,3,0)</f>
        <v>#N/A</v>
      </c>
    </row>
    <row r="8475">
      <c r="A8475" s="3">
        <v>45757.0</v>
      </c>
      <c r="B8475" s="4">
        <v>0.28194444444444444</v>
      </c>
      <c r="C8475" s="5" t="s">
        <v>33</v>
      </c>
      <c r="D8475" s="5" t="s">
        <v>1359</v>
      </c>
      <c r="E8475" s="8" t="s">
        <v>1344</v>
      </c>
      <c r="F8475" s="5" t="s">
        <v>47</v>
      </c>
      <c r="G8475" s="6" t="str">
        <f>VLOOKUP(E8475,dicionario!$A$1:$C8874,2,0)</f>
        <v>#N/A</v>
      </c>
      <c r="H8475" s="6" t="str">
        <f>VLOOKUP(E8475,dicionario!$A$1:$C8874,3,0)</f>
        <v>#N/A</v>
      </c>
    </row>
    <row r="8476">
      <c r="A8476" s="3">
        <v>45757.0</v>
      </c>
      <c r="B8476" s="4">
        <v>0.28194444444444444</v>
      </c>
      <c r="C8476" s="5" t="s">
        <v>33</v>
      </c>
      <c r="D8476" s="5" t="s">
        <v>1359</v>
      </c>
      <c r="E8476" s="8" t="s">
        <v>1311</v>
      </c>
      <c r="F8476" s="5" t="s">
        <v>114</v>
      </c>
      <c r="G8476" s="6" t="str">
        <f>VLOOKUP(E8476,dicionario!$A$1:$C8875,2,0)</f>
        <v>#N/A</v>
      </c>
      <c r="H8476" s="6" t="str">
        <f>VLOOKUP(E8476,dicionario!$A$1:$C8875,3,0)</f>
        <v>#N/A</v>
      </c>
    </row>
    <row r="8477">
      <c r="A8477" s="3">
        <v>45757.0</v>
      </c>
      <c r="B8477" s="4">
        <v>0.28194444444444444</v>
      </c>
      <c r="C8477" s="5" t="s">
        <v>33</v>
      </c>
      <c r="D8477" s="5" t="s">
        <v>1359</v>
      </c>
      <c r="E8477" s="8" t="s">
        <v>915</v>
      </c>
      <c r="F8477" s="5" t="s">
        <v>1275</v>
      </c>
      <c r="G8477" s="6" t="str">
        <f>VLOOKUP(E8477,dicionario!$A$1:$C8876,2,0)</f>
        <v>Tachycineta albiventer</v>
      </c>
      <c r="H8477" s="6" t="str">
        <f>VLOOKUP(E8477,dicionario!$A$1:$C8876,3,0)</f>
        <v>andorinha-de-rio</v>
      </c>
    </row>
    <row r="8478">
      <c r="A8478" s="3">
        <v>45757.0</v>
      </c>
      <c r="B8478" s="4">
        <v>0.28194444444444444</v>
      </c>
      <c r="C8478" s="5" t="s">
        <v>33</v>
      </c>
      <c r="D8478" s="5" t="s">
        <v>1359</v>
      </c>
      <c r="E8478" s="8" t="s">
        <v>135</v>
      </c>
      <c r="F8478" s="5" t="s">
        <v>136</v>
      </c>
      <c r="G8478" s="6" t="str">
        <f>VLOOKUP(E8478,dicionario!$A$1:$C8877,2,0)</f>
        <v>Tridax procumbens</v>
      </c>
      <c r="H8478" s="6" t="str">
        <f>VLOOKUP(E8478,dicionario!$A$1:$C8877,3,0)</f>
        <v>erva-de-touro</v>
      </c>
    </row>
    <row r="8479">
      <c r="A8479" s="3">
        <v>45757.0</v>
      </c>
      <c r="B8479" s="4">
        <v>0.28194444444444444</v>
      </c>
      <c r="C8479" s="5" t="s">
        <v>33</v>
      </c>
      <c r="D8479" s="5" t="s">
        <v>1359</v>
      </c>
      <c r="E8479" s="8" t="s">
        <v>1328</v>
      </c>
      <c r="F8479" s="5" t="s">
        <v>356</v>
      </c>
      <c r="G8479" s="6" t="str">
        <f>VLOOKUP(E8479,dicionario!$A$1:$C8878,2,0)</f>
        <v>#N/A</v>
      </c>
      <c r="H8479" s="6" t="str">
        <f>VLOOKUP(E8479,dicionario!$A$1:$C8878,3,0)</f>
        <v>#N/A</v>
      </c>
    </row>
    <row r="8480">
      <c r="A8480" s="3">
        <v>45757.0</v>
      </c>
      <c r="B8480" s="4">
        <v>0.28194444444444444</v>
      </c>
      <c r="C8480" s="5" t="s">
        <v>33</v>
      </c>
      <c r="D8480" s="5" t="s">
        <v>1359</v>
      </c>
      <c r="E8480" s="8" t="s">
        <v>146</v>
      </c>
      <c r="F8480" s="5" t="s">
        <v>147</v>
      </c>
      <c r="G8480" s="6" t="str">
        <f>VLOOKUP(E8480,dicionario!$A$1:$C8879,2,0)</f>
        <v>Euphorbia hirta</v>
      </c>
      <c r="H8480" s="6" t="str">
        <f>VLOOKUP(E8480,dicionario!$A$1:$C8879,3,0)</f>
        <v>erva-de-santa-luzia</v>
      </c>
    </row>
    <row r="8481">
      <c r="A8481" s="3">
        <v>45757.0</v>
      </c>
      <c r="B8481" s="4">
        <v>0.28194444444444444</v>
      </c>
      <c r="C8481" s="5" t="s">
        <v>33</v>
      </c>
      <c r="D8481" s="5" t="s">
        <v>1359</v>
      </c>
      <c r="E8481" s="8" t="s">
        <v>425</v>
      </c>
      <c r="F8481" s="5" t="s">
        <v>426</v>
      </c>
      <c r="G8481" s="6" t="str">
        <f>VLOOKUP(E8481,dicionario!$A$1:$C8880,2,0)</f>
        <v>Digitaria insularis</v>
      </c>
      <c r="H8481" s="6" t="str">
        <f>VLOOKUP(E8481,dicionario!$A$1:$C8880,3,0)</f>
        <v>capim-amargoso</v>
      </c>
    </row>
    <row r="8482">
      <c r="A8482" s="3">
        <v>45757.0</v>
      </c>
      <c r="B8482" s="4">
        <v>0.28194444444444444</v>
      </c>
      <c r="C8482" s="5" t="s">
        <v>33</v>
      </c>
      <c r="D8482" s="5" t="s">
        <v>1359</v>
      </c>
      <c r="E8482" s="8" t="s">
        <v>296</v>
      </c>
      <c r="F8482" s="5" t="s">
        <v>297</v>
      </c>
      <c r="G8482" s="6" t="str">
        <f>VLOOKUP(E8482,dicionario!$A$1:$C8881,2,0)</f>
        <v>Richardia brasiliensis</v>
      </c>
      <c r="H8482" s="6" t="str">
        <f>VLOOKUP(E8482,dicionario!$A$1:$C8881,3,0)</f>
        <v>poaia-branca</v>
      </c>
    </row>
    <row r="8483">
      <c r="A8483" s="3">
        <v>45757.0</v>
      </c>
      <c r="B8483" s="4">
        <v>0.28194444444444444</v>
      </c>
      <c r="C8483" s="5" t="s">
        <v>33</v>
      </c>
      <c r="D8483" s="5" t="s">
        <v>1359</v>
      </c>
      <c r="E8483" s="8" t="s">
        <v>239</v>
      </c>
      <c r="F8483" s="5" t="s">
        <v>240</v>
      </c>
      <c r="G8483" s="6" t="str">
        <f>VLOOKUP(E8483,dicionario!$A$1:$C8882,2,0)</f>
        <v>Gomphrena celosioides</v>
      </c>
      <c r="H8483" s="6" t="str">
        <f>VLOOKUP(E8483,dicionario!$A$1:$C8882,3,0)</f>
        <v>perpétua-branca</v>
      </c>
    </row>
    <row r="8484">
      <c r="A8484" s="3">
        <v>45757.0</v>
      </c>
      <c r="B8484" s="4">
        <v>0.28194444444444444</v>
      </c>
      <c r="C8484" s="5" t="s">
        <v>33</v>
      </c>
      <c r="D8484" s="5" t="s">
        <v>1359</v>
      </c>
      <c r="E8484" s="20" t="s">
        <v>676</v>
      </c>
      <c r="F8484" s="5" t="s">
        <v>677</v>
      </c>
      <c r="G8484" s="6" t="str">
        <f>VLOOKUP(E8484,dicionario!$A$1:$C8883,2,0)</f>
        <v>Zornia latifolia</v>
      </c>
      <c r="H8484" s="6" t="str">
        <f>VLOOKUP(E8484,dicionario!$A$1:$C8883,3,0)</f>
        <v>arrozinho-do-campo</v>
      </c>
    </row>
    <row r="8485">
      <c r="A8485" s="3">
        <v>45757.0</v>
      </c>
      <c r="B8485" s="4">
        <v>0.27847222222222223</v>
      </c>
      <c r="C8485" s="5" t="s">
        <v>33</v>
      </c>
      <c r="D8485" s="5" t="s">
        <v>1359</v>
      </c>
      <c r="E8485" s="6" t="s">
        <v>613</v>
      </c>
      <c r="F8485" s="5" t="s">
        <v>614</v>
      </c>
      <c r="G8485" s="6" t="str">
        <f>VLOOKUP(E8485,dicionario!$A$1:$C8884,2,0)</f>
        <v>Euphorbia hyssopifolia</v>
      </c>
      <c r="H8485" s="6" t="str">
        <f>VLOOKUP(E8485,dicionario!$A$1:$C8884,3,0)</f>
        <v>maria-leite</v>
      </c>
    </row>
    <row r="8486">
      <c r="A8486" s="3">
        <v>45757.0</v>
      </c>
      <c r="B8486" s="4">
        <v>0.27847222222222223</v>
      </c>
      <c r="C8486" s="5" t="s">
        <v>33</v>
      </c>
      <c r="D8486" s="5" t="s">
        <v>1359</v>
      </c>
      <c r="E8486" s="8" t="s">
        <v>298</v>
      </c>
      <c r="F8486" s="7"/>
      <c r="G8486" s="6" t="str">
        <f>VLOOKUP(E8486,dicionario!$A$1:$C8885,2,0)</f>
        <v>Alysicarpus vaginalis</v>
      </c>
      <c r="H8486" s="6" t="str">
        <f>VLOOKUP(E8486,dicionario!$A$1:$C8885,3,0)</f>
        <v/>
      </c>
    </row>
    <row r="8487">
      <c r="A8487" s="3">
        <v>45757.0</v>
      </c>
      <c r="B8487" s="4">
        <v>0.27847222222222223</v>
      </c>
      <c r="C8487" s="5" t="s">
        <v>33</v>
      </c>
      <c r="D8487" s="5" t="s">
        <v>1359</v>
      </c>
      <c r="E8487" s="6" t="s">
        <v>399</v>
      </c>
      <c r="F8487" s="5" t="s">
        <v>400</v>
      </c>
      <c r="G8487" s="6" t="str">
        <f>VLOOKUP(E8487,dicionario!$A$1:$C8886,2,0)</f>
        <v>Varronia curassavica</v>
      </c>
      <c r="H8487" s="6" t="str">
        <f>VLOOKUP(E8487,dicionario!$A$1:$C8886,3,0)</f>
        <v>erva-baleeira</v>
      </c>
    </row>
    <row r="8488">
      <c r="A8488" s="3">
        <v>45757.0</v>
      </c>
      <c r="B8488" s="4">
        <v>0.27847222222222223</v>
      </c>
      <c r="C8488" s="5" t="s">
        <v>33</v>
      </c>
      <c r="D8488" s="5" t="s">
        <v>1359</v>
      </c>
      <c r="E8488" s="8" t="s">
        <v>1367</v>
      </c>
      <c r="F8488" s="5" t="s">
        <v>387</v>
      </c>
      <c r="G8488" s="6" t="str">
        <f>VLOOKUP(E8488,dicionario!$A$1:$C8887,2,0)</f>
        <v>#N/A</v>
      </c>
      <c r="H8488" s="6" t="str">
        <f>VLOOKUP(E8488,dicionario!$A$1:$C8887,3,0)</f>
        <v>#N/A</v>
      </c>
    </row>
    <row r="8489">
      <c r="A8489" s="3">
        <v>45757.0</v>
      </c>
      <c r="B8489" s="4">
        <v>0.2791666666666667</v>
      </c>
      <c r="C8489" s="5" t="s">
        <v>33</v>
      </c>
      <c r="D8489" s="5" t="s">
        <v>1359</v>
      </c>
      <c r="E8489" s="6" t="s">
        <v>53</v>
      </c>
      <c r="F8489" s="5" t="s">
        <v>1376</v>
      </c>
      <c r="G8489" s="6" t="str">
        <f>VLOOKUP(E8489,dicionario!$A$1:$C8888,2,0)</f>
        <v>Turnera subulata</v>
      </c>
      <c r="H8489" s="6" t="str">
        <f>VLOOKUP(E8489,dicionario!$A$1:$C8888,3,0)</f>
        <v>xanana</v>
      </c>
    </row>
    <row r="8490">
      <c r="A8490" s="3">
        <v>45757.0</v>
      </c>
      <c r="B8490" s="4">
        <v>0.2791666666666667</v>
      </c>
      <c r="C8490" s="5" t="s">
        <v>33</v>
      </c>
      <c r="D8490" s="5" t="s">
        <v>1359</v>
      </c>
      <c r="E8490" s="8" t="s">
        <v>1310</v>
      </c>
      <c r="F8490" s="5" t="s">
        <v>521</v>
      </c>
      <c r="G8490" s="6" t="str">
        <f>VLOOKUP(E8490,dicionario!$A$1:$C8889,2,0)</f>
        <v>#N/A</v>
      </c>
      <c r="H8490" s="6" t="str">
        <f>VLOOKUP(E8490,dicionario!$A$1:$C8889,3,0)</f>
        <v>#N/A</v>
      </c>
    </row>
    <row r="8491">
      <c r="A8491" s="3">
        <v>45757.0</v>
      </c>
      <c r="B8491" s="4">
        <v>0.2791666666666667</v>
      </c>
      <c r="C8491" s="5" t="s">
        <v>33</v>
      </c>
      <c r="D8491" s="5" t="s">
        <v>1359</v>
      </c>
      <c r="E8491" s="8" t="s">
        <v>286</v>
      </c>
      <c r="F8491" s="5" t="s">
        <v>287</v>
      </c>
      <c r="G8491" s="6" t="str">
        <f>VLOOKUP(E8491,dicionario!$A$1:$C8890,2,0)</f>
        <v>Setaria parviflora</v>
      </c>
      <c r="H8491" s="6" t="str">
        <f>VLOOKUP(E8491,dicionario!$A$1:$C8890,3,0)</f>
        <v>capim-rabo-de-raposa</v>
      </c>
    </row>
    <row r="8492">
      <c r="A8492" s="3">
        <v>45757.0</v>
      </c>
      <c r="B8492" s="4">
        <v>0.2791666666666667</v>
      </c>
      <c r="C8492" s="5" t="s">
        <v>33</v>
      </c>
      <c r="D8492" s="5" t="s">
        <v>1359</v>
      </c>
      <c r="E8492" s="8" t="s">
        <v>154</v>
      </c>
      <c r="F8492" s="5" t="s">
        <v>155</v>
      </c>
      <c r="G8492" s="6" t="str">
        <f>VLOOKUP(E8492,dicionario!$A$1:$C8891,2,0)</f>
        <v>Cyperus rotundus</v>
      </c>
      <c r="H8492" s="6" t="str">
        <f>VLOOKUP(E8492,dicionario!$A$1:$C8891,3,0)</f>
        <v>tiririca</v>
      </c>
    </row>
    <row r="8493">
      <c r="A8493" s="3">
        <v>45757.0</v>
      </c>
      <c r="B8493" s="4">
        <v>0.2798611111111111</v>
      </c>
      <c r="C8493" s="5" t="s">
        <v>33</v>
      </c>
      <c r="D8493" s="5" t="s">
        <v>1359</v>
      </c>
      <c r="E8493" s="8" t="s">
        <v>1345</v>
      </c>
      <c r="F8493" s="5" t="s">
        <v>254</v>
      </c>
      <c r="G8493" s="6" t="str">
        <f>VLOOKUP(E8493,dicionario!$A$1:$C8892,2,0)</f>
        <v>#N/A</v>
      </c>
      <c r="H8493" s="6" t="str">
        <f>VLOOKUP(E8493,dicionario!$A$1:$C8892,3,0)</f>
        <v>#N/A</v>
      </c>
    </row>
    <row r="8494">
      <c r="A8494" s="3">
        <v>45757.0</v>
      </c>
      <c r="B8494" s="4">
        <v>0.2798611111111111</v>
      </c>
      <c r="C8494" s="5" t="s">
        <v>33</v>
      </c>
      <c r="D8494" s="5" t="s">
        <v>1359</v>
      </c>
      <c r="E8494" s="6" t="s">
        <v>467</v>
      </c>
      <c r="F8494" s="5" t="s">
        <v>468</v>
      </c>
      <c r="G8494" s="6" t="str">
        <f>VLOOKUP(E8494,dicionario!$A$1:$C8893,2,0)</f>
        <v>Eleusine indica</v>
      </c>
      <c r="H8494" s="6" t="str">
        <f>VLOOKUP(E8494,dicionario!$A$1:$C8893,3,0)</f>
        <v>capim-pé-de-galinha</v>
      </c>
    </row>
    <row r="8495">
      <c r="A8495" s="3">
        <v>45757.0</v>
      </c>
      <c r="B8495" s="4">
        <v>0.2798611111111111</v>
      </c>
      <c r="C8495" s="5" t="s">
        <v>33</v>
      </c>
      <c r="D8495" s="5" t="s">
        <v>1359</v>
      </c>
      <c r="E8495" s="8" t="s">
        <v>150</v>
      </c>
      <c r="F8495" s="5" t="s">
        <v>151</v>
      </c>
      <c r="G8495" s="6" t="str">
        <f>VLOOKUP(E8495,dicionario!$A$1:$C8894,2,0)</f>
        <v>Amaranthus viridis</v>
      </c>
      <c r="H8495" s="6" t="str">
        <f>VLOOKUP(E8495,dicionario!$A$1:$C8894,3,0)</f>
        <v>caruru-de-mancha</v>
      </c>
    </row>
    <row r="8496">
      <c r="A8496" s="3">
        <v>45757.0</v>
      </c>
      <c r="B8496" s="4">
        <v>0.2798611111111111</v>
      </c>
      <c r="C8496" s="5" t="s">
        <v>33</v>
      </c>
      <c r="D8496" s="5" t="s">
        <v>1359</v>
      </c>
      <c r="E8496" s="8" t="s">
        <v>736</v>
      </c>
      <c r="F8496" s="5" t="s">
        <v>737</v>
      </c>
      <c r="G8496" s="6" t="str">
        <f>VLOOKUP(E8496,dicionario!$A$1:$C8895,2,0)</f>
        <v>Chloris virgata</v>
      </c>
      <c r="H8496" s="6" t="str">
        <f>VLOOKUP(E8496,dicionario!$A$1:$C8895,3,0)</f>
        <v>capim-pavão</v>
      </c>
    </row>
    <row r="8497">
      <c r="A8497" s="3">
        <v>45757.0</v>
      </c>
      <c r="B8497" s="4">
        <v>0.28055555555555556</v>
      </c>
      <c r="C8497" s="5" t="s">
        <v>33</v>
      </c>
      <c r="D8497" s="5" t="s">
        <v>1359</v>
      </c>
      <c r="E8497" s="8" t="s">
        <v>245</v>
      </c>
      <c r="F8497" s="5" t="s">
        <v>1106</v>
      </c>
      <c r="G8497" s="6" t="str">
        <f>VLOOKUP(E8497,dicionario!$A$1:$C8896,2,0)</f>
        <v>Hemiargus hanno</v>
      </c>
      <c r="H8497" s="6" t="str">
        <f>VLOOKUP(E8497,dicionario!$A$1:$C8896,3,0)</f>
        <v>borboleta-azulzinha-do-trevo</v>
      </c>
    </row>
    <row r="8498">
      <c r="A8498" s="3">
        <v>45757.0</v>
      </c>
      <c r="B8498" s="4">
        <v>0.28055555555555556</v>
      </c>
      <c r="C8498" s="5" t="s">
        <v>33</v>
      </c>
      <c r="D8498" s="5" t="s">
        <v>1359</v>
      </c>
      <c r="E8498" s="8" t="s">
        <v>732</v>
      </c>
      <c r="F8498" s="7"/>
      <c r="G8498" s="6" t="str">
        <f>VLOOKUP(E8498,dicionario!$A$1:$C8897,2,0)</f>
        <v>#N/A</v>
      </c>
      <c r="H8498" s="6" t="str">
        <f>VLOOKUP(E8498,dicionario!$A$1:$C8897,3,0)</f>
        <v>#N/A</v>
      </c>
    </row>
    <row r="8499">
      <c r="A8499" s="3">
        <v>45757.0</v>
      </c>
      <c r="B8499" s="4">
        <v>0.28125</v>
      </c>
      <c r="C8499" s="5" t="s">
        <v>33</v>
      </c>
      <c r="D8499" s="5" t="s">
        <v>1359</v>
      </c>
      <c r="E8499" s="8" t="s">
        <v>20</v>
      </c>
      <c r="F8499" s="5" t="s">
        <v>21</v>
      </c>
      <c r="G8499" s="6" t="str">
        <f>VLOOKUP(E8499,dicionario!$A$1:$C8898,2,0)</f>
        <v>Sicalis flaveola</v>
      </c>
      <c r="H8499" s="6" t="str">
        <f>VLOOKUP(E8499,dicionario!$A$1:$C8898,3,0)</f>
        <v>canário-da-terra</v>
      </c>
    </row>
    <row r="8500">
      <c r="A8500" s="3">
        <v>45757.0</v>
      </c>
      <c r="B8500" s="4">
        <v>0.28194444444444444</v>
      </c>
      <c r="C8500" s="5" t="s">
        <v>33</v>
      </c>
      <c r="D8500" s="5" t="s">
        <v>1359</v>
      </c>
      <c r="E8500" s="8" t="s">
        <v>1312</v>
      </c>
      <c r="F8500" s="5" t="s">
        <v>66</v>
      </c>
      <c r="G8500" s="6" t="str">
        <f>VLOOKUP(E8500,dicionario!$A$1:$C8899,2,0)</f>
        <v>#N/A</v>
      </c>
      <c r="H8500" s="6" t="str">
        <f>VLOOKUP(E8500,dicionario!$A$1:$C8899,3,0)</f>
        <v>#N/A</v>
      </c>
    </row>
    <row r="8501">
      <c r="A8501" s="3">
        <v>45757.0</v>
      </c>
      <c r="B8501" s="4">
        <v>0.28194444444444444</v>
      </c>
      <c r="C8501" s="5" t="s">
        <v>33</v>
      </c>
      <c r="D8501" s="5" t="s">
        <v>1359</v>
      </c>
      <c r="E8501" s="8" t="s">
        <v>38</v>
      </c>
      <c r="F8501" s="5" t="s">
        <v>1251</v>
      </c>
      <c r="G8501" s="6" t="str">
        <f>VLOOKUP(E8501,dicionario!$A$1:$C8900,2,0)</f>
        <v>Troglodytes musculus</v>
      </c>
      <c r="H8501" s="6" t="str">
        <f>VLOOKUP(E8501,dicionario!$A$1:$C8900,3,0)</f>
        <v>curruíra</v>
      </c>
    </row>
    <row r="8502">
      <c r="A8502" s="3">
        <v>45757.0</v>
      </c>
      <c r="B8502" s="4">
        <v>0.2826388888888889</v>
      </c>
      <c r="C8502" s="5" t="s">
        <v>33</v>
      </c>
      <c r="D8502" s="5" t="s">
        <v>1359</v>
      </c>
      <c r="E8502" s="8" t="s">
        <v>1377</v>
      </c>
      <c r="F8502" s="5" t="s">
        <v>1378</v>
      </c>
      <c r="G8502" s="6" t="str">
        <f>VLOOKUP(E8502,dicionario!$A$1:$C8901,2,0)</f>
        <v>#N/A</v>
      </c>
      <c r="H8502" s="6" t="str">
        <f>VLOOKUP(E8502,dicionario!$A$1:$C8901,3,0)</f>
        <v>#N/A</v>
      </c>
    </row>
    <row r="8503">
      <c r="A8503" s="3">
        <v>45757.0</v>
      </c>
      <c r="B8503" s="4">
        <v>0.2826388888888889</v>
      </c>
      <c r="C8503" s="5" t="s">
        <v>33</v>
      </c>
      <c r="D8503" s="5" t="s">
        <v>1359</v>
      </c>
      <c r="E8503" s="8" t="s">
        <v>1087</v>
      </c>
      <c r="F8503" s="5" t="s">
        <v>1088</v>
      </c>
      <c r="G8503" s="6" t="str">
        <f>VLOOKUP(E8503,dicionario!$A$1:$C8902,2,0)</f>
        <v>Desmodium triflorum</v>
      </c>
      <c r="H8503" s="6" t="str">
        <f>VLOOKUP(E8503,dicionario!$A$1:$C8902,3,0)</f>
        <v/>
      </c>
    </row>
    <row r="8504">
      <c r="A8504" s="3">
        <v>45757.0</v>
      </c>
      <c r="B8504" s="4">
        <v>0.2833333333333333</v>
      </c>
      <c r="C8504" s="5" t="s">
        <v>33</v>
      </c>
      <c r="D8504" s="5" t="s">
        <v>1359</v>
      </c>
      <c r="E8504" s="8" t="s">
        <v>1379</v>
      </c>
      <c r="F8504" s="61" t="s">
        <v>1380</v>
      </c>
      <c r="G8504" s="6" t="str">
        <f>VLOOKUP(E8504,dicionario!$A$1:$C8903,2,0)</f>
        <v>Hygrocybe</v>
      </c>
      <c r="H8504" s="6" t="str">
        <f>VLOOKUP(E8504,dicionario!$A$1:$C8903,3,0)</f>
        <v>cogumelo-laranja</v>
      </c>
    </row>
    <row r="8505">
      <c r="A8505" s="3">
        <v>45757.0</v>
      </c>
      <c r="B8505" s="4">
        <v>0.2833333333333333</v>
      </c>
      <c r="C8505" s="5" t="s">
        <v>33</v>
      </c>
      <c r="D8505" s="5" t="s">
        <v>1359</v>
      </c>
      <c r="E8505" s="8" t="s">
        <v>1381</v>
      </c>
      <c r="F8505" s="7" t="s">
        <v>518</v>
      </c>
      <c r="G8505" s="6" t="str">
        <f>VLOOKUP(E8505,dicionario!$A$1:$C8904,2,0)</f>
        <v>#N/A</v>
      </c>
      <c r="H8505" s="6" t="str">
        <f>VLOOKUP(E8505,dicionario!$A$1:$C8904,3,0)</f>
        <v>#N/A</v>
      </c>
    </row>
    <row r="8506">
      <c r="A8506" s="3">
        <v>45757.0</v>
      </c>
      <c r="B8506" s="4">
        <v>0.28402777777777777</v>
      </c>
      <c r="C8506" s="5" t="s">
        <v>33</v>
      </c>
      <c r="D8506" s="5" t="s">
        <v>1359</v>
      </c>
      <c r="E8506" s="8" t="s">
        <v>1339</v>
      </c>
      <c r="F8506" s="5" t="s">
        <v>73</v>
      </c>
      <c r="G8506" s="6" t="str">
        <f>VLOOKUP(E8506,dicionario!$A$1:$C8905,2,0)</f>
        <v>#N/A</v>
      </c>
      <c r="H8506" s="6" t="str">
        <f>VLOOKUP(E8506,dicionario!$A$1:$C8905,3,0)</f>
        <v>#N/A</v>
      </c>
    </row>
    <row r="8507">
      <c r="A8507" s="3">
        <v>45757.0</v>
      </c>
      <c r="B8507" s="4">
        <v>0.28402777777777777</v>
      </c>
      <c r="C8507" s="5" t="s">
        <v>33</v>
      </c>
      <c r="D8507" s="5" t="s">
        <v>1359</v>
      </c>
      <c r="E8507" s="8" t="s">
        <v>20</v>
      </c>
      <c r="F8507" s="5" t="s">
        <v>21</v>
      </c>
      <c r="G8507" s="6" t="str">
        <f>VLOOKUP(E8507,dicionario!$A$1:$C8906,2,0)</f>
        <v>Sicalis flaveola</v>
      </c>
      <c r="H8507" s="6" t="str">
        <f>VLOOKUP(E8507,dicionario!$A$1:$C8906,3,0)</f>
        <v>canário-da-terra</v>
      </c>
    </row>
    <row r="8508">
      <c r="A8508" s="3">
        <v>45757.0</v>
      </c>
      <c r="B8508" s="4">
        <v>0.28402777777777777</v>
      </c>
      <c r="C8508" s="5" t="s">
        <v>33</v>
      </c>
      <c r="D8508" s="5" t="s">
        <v>1359</v>
      </c>
      <c r="E8508" s="8" t="s">
        <v>191</v>
      </c>
      <c r="F8508" s="5" t="s">
        <v>192</v>
      </c>
      <c r="G8508" s="6" t="str">
        <f>VLOOKUP(E8508,dicionario!$A$1:$C8907,2,0)</f>
        <v>Patagioenas picazuro</v>
      </c>
      <c r="H8508" s="6" t="str">
        <f>VLOOKUP(E8508,dicionario!$A$1:$C8907,3,0)</f>
        <v>asa-branca; pomba-asa-branca; pocaçu</v>
      </c>
    </row>
    <row r="8509">
      <c r="A8509" s="3">
        <v>45757.0</v>
      </c>
      <c r="B8509" s="4">
        <v>0.28402777777777777</v>
      </c>
      <c r="C8509" s="5" t="s">
        <v>33</v>
      </c>
      <c r="D8509" s="5" t="s">
        <v>1359</v>
      </c>
      <c r="E8509" s="6" t="s">
        <v>288</v>
      </c>
      <c r="F8509" s="5" t="s">
        <v>289</v>
      </c>
      <c r="G8509" s="6" t="str">
        <f>VLOOKUP(E8509,dicionario!$A$1:$C8908,2,0)</f>
        <v>Phyllanthus tenellus</v>
      </c>
      <c r="H8509" s="6" t="str">
        <f>VLOOKUP(E8509,dicionario!$A$1:$C8908,3,0)</f>
        <v>quebra-pedra</v>
      </c>
    </row>
    <row r="8510">
      <c r="A8510" s="3">
        <v>45757.0</v>
      </c>
      <c r="B8510" s="4">
        <v>0.28402777777777777</v>
      </c>
      <c r="C8510" s="5" t="s">
        <v>33</v>
      </c>
      <c r="D8510" s="5" t="s">
        <v>1359</v>
      </c>
      <c r="E8510" s="8" t="s">
        <v>1282</v>
      </c>
      <c r="F8510" s="5" t="s">
        <v>182</v>
      </c>
      <c r="G8510" s="6" t="str">
        <f>VLOOKUP(E8510,dicionario!$A$1:$C8909,2,0)</f>
        <v>#N/A</v>
      </c>
      <c r="H8510" s="6" t="str">
        <f>VLOOKUP(E8510,dicionario!$A$1:$C8909,3,0)</f>
        <v>#N/A</v>
      </c>
    </row>
    <row r="8511">
      <c r="A8511" s="3">
        <v>45757.0</v>
      </c>
      <c r="B8511" s="4">
        <v>0.2847222222222222</v>
      </c>
      <c r="C8511" s="5" t="s">
        <v>33</v>
      </c>
      <c r="D8511" s="5" t="s">
        <v>1359</v>
      </c>
      <c r="E8511" s="8" t="s">
        <v>886</v>
      </c>
      <c r="F8511" s="5" t="s">
        <v>887</v>
      </c>
      <c r="G8511" s="6" t="str">
        <f>VLOOKUP(E8511,dicionario!$A$1:$C8910,2,0)</f>
        <v>Oldenlandia corymbosa</v>
      </c>
      <c r="H8511" s="6" t="str">
        <f>VLOOKUP(E8511,dicionario!$A$1:$C8910,3,0)</f>
        <v>erva-diamante</v>
      </c>
    </row>
    <row r="8512">
      <c r="A8512" s="3">
        <v>45757.0</v>
      </c>
      <c r="B8512" s="4">
        <v>0.2847222222222222</v>
      </c>
      <c r="C8512" s="5" t="s">
        <v>33</v>
      </c>
      <c r="D8512" s="5" t="s">
        <v>1359</v>
      </c>
      <c r="E8512" s="6" t="s">
        <v>256</v>
      </c>
      <c r="F8512" s="5" t="s">
        <v>257</v>
      </c>
      <c r="G8512" s="6" t="str">
        <f>VLOOKUP(E8512,dicionario!$A$1:$C8911,2,0)</f>
        <v>Youngia japonica</v>
      </c>
      <c r="H8512" s="6" t="str">
        <f>VLOOKUP(E8512,dicionario!$A$1:$C8911,3,0)</f>
        <v>barba-de-falcão</v>
      </c>
    </row>
    <row r="8513">
      <c r="A8513" s="3">
        <v>45757.0</v>
      </c>
      <c r="B8513" s="4">
        <v>0.2881944444444444</v>
      </c>
      <c r="C8513" s="5" t="s">
        <v>40</v>
      </c>
      <c r="D8513" s="5" t="s">
        <v>1359</v>
      </c>
      <c r="E8513" s="8" t="s">
        <v>1311</v>
      </c>
      <c r="F8513" s="5" t="s">
        <v>114</v>
      </c>
      <c r="G8513" s="6" t="str">
        <f>VLOOKUP(E8513,dicionario!$A$1:$C8912,2,0)</f>
        <v>#N/A</v>
      </c>
      <c r="H8513" s="6" t="str">
        <f>VLOOKUP(E8513,dicionario!$A$1:$C8912,3,0)</f>
        <v>#N/A</v>
      </c>
    </row>
    <row r="8514">
      <c r="A8514" s="3">
        <v>45757.0</v>
      </c>
      <c r="B8514" s="4">
        <v>0.2881944444444444</v>
      </c>
      <c r="C8514" s="5" t="s">
        <v>40</v>
      </c>
      <c r="D8514" s="5" t="s">
        <v>1359</v>
      </c>
      <c r="E8514" s="8" t="s">
        <v>38</v>
      </c>
      <c r="F8514" s="5" t="s">
        <v>1251</v>
      </c>
      <c r="G8514" s="6" t="str">
        <f>VLOOKUP(E8514,dicionario!$A$1:$C8913,2,0)</f>
        <v>Troglodytes musculus</v>
      </c>
      <c r="H8514" s="6" t="str">
        <f>VLOOKUP(E8514,dicionario!$A$1:$C8913,3,0)</f>
        <v>curruíra</v>
      </c>
    </row>
    <row r="8515">
      <c r="A8515" s="3">
        <v>45757.0</v>
      </c>
      <c r="B8515" s="4">
        <v>0.28888888888888886</v>
      </c>
      <c r="C8515" s="5" t="s">
        <v>40</v>
      </c>
      <c r="D8515" s="5" t="s">
        <v>1359</v>
      </c>
      <c r="E8515" s="8" t="s">
        <v>191</v>
      </c>
      <c r="F8515" s="5" t="s">
        <v>192</v>
      </c>
      <c r="G8515" s="6" t="str">
        <f>VLOOKUP(E8515,dicionario!$A$1:$C8914,2,0)</f>
        <v>Patagioenas picazuro</v>
      </c>
      <c r="H8515" s="6" t="str">
        <f>VLOOKUP(E8515,dicionario!$A$1:$C8914,3,0)</f>
        <v>asa-branca; pomba-asa-branca; pocaçu</v>
      </c>
    </row>
    <row r="8516">
      <c r="A8516" s="3">
        <v>45757.0</v>
      </c>
      <c r="B8516" s="4">
        <v>0.28888888888888886</v>
      </c>
      <c r="C8516" s="5" t="s">
        <v>40</v>
      </c>
      <c r="D8516" s="5" t="s">
        <v>1359</v>
      </c>
      <c r="E8516" s="8" t="s">
        <v>453</v>
      </c>
      <c r="F8516" s="5" t="s">
        <v>216</v>
      </c>
      <c r="G8516" s="6" t="str">
        <f>VLOOKUP(E8516,dicionario!$A$1:$C8915,2,0)</f>
        <v>Notiochelidon cyanoleuca</v>
      </c>
      <c r="H8516" s="6" t="str">
        <f>VLOOKUP(E8516,dicionario!$A$1:$C8915,3,0)</f>
        <v>andorinha-pequena-de-casa</v>
      </c>
    </row>
    <row r="8517">
      <c r="A8517" s="3">
        <v>45757.0</v>
      </c>
      <c r="B8517" s="4">
        <v>0.2923611111111111</v>
      </c>
      <c r="C8517" s="5" t="s">
        <v>40</v>
      </c>
      <c r="D8517" s="5" t="s">
        <v>1359</v>
      </c>
      <c r="E8517" s="8" t="s">
        <v>57</v>
      </c>
      <c r="F8517" s="5" t="s">
        <v>475</v>
      </c>
      <c r="G8517" s="6" t="str">
        <f>VLOOKUP(E8517,dicionario!$A$1:$C8916,2,0)</f>
        <v>Juliformia</v>
      </c>
      <c r="H8517" s="6" t="str">
        <f>VLOOKUP(E8517,dicionario!$A$1:$C8916,3,0)</f>
        <v>gongolo; maria-café</v>
      </c>
    </row>
    <row r="8518">
      <c r="A8518" s="3">
        <v>45757.0</v>
      </c>
      <c r="B8518" s="4">
        <v>0.2923611111111111</v>
      </c>
      <c r="C8518" s="5" t="s">
        <v>40</v>
      </c>
      <c r="D8518" s="5" t="s">
        <v>1359</v>
      </c>
      <c r="E8518" s="8" t="s">
        <v>411</v>
      </c>
      <c r="F8518" s="5" t="s">
        <v>1120</v>
      </c>
      <c r="G8518" s="6" t="str">
        <f>VLOOKUP(E8518,dicionario!$A$1:$C8917,2,0)</f>
        <v>Chilopoda</v>
      </c>
      <c r="H8518" s="6" t="str">
        <f>VLOOKUP(E8518,dicionario!$A$1:$C8917,3,0)</f>
        <v>lacraia</v>
      </c>
    </row>
    <row r="8519">
      <c r="A8519" s="3">
        <v>45757.0</v>
      </c>
      <c r="B8519" s="4">
        <v>0.2923611111111111</v>
      </c>
      <c r="C8519" s="5" t="s">
        <v>40</v>
      </c>
      <c r="D8519" s="5" t="s">
        <v>1359</v>
      </c>
      <c r="E8519" s="8" t="s">
        <v>338</v>
      </c>
      <c r="F8519" s="5" t="s">
        <v>238</v>
      </c>
      <c r="G8519" s="6" t="str">
        <f>VLOOKUP(E8519,dicionario!$A$1:$C8918,2,0)</f>
        <v>Atta</v>
      </c>
      <c r="H8519" s="6" t="str">
        <f>VLOOKUP(E8519,dicionario!$A$1:$C8918,3,0)</f>
        <v>saúva</v>
      </c>
    </row>
    <row r="8520">
      <c r="A8520" s="3">
        <v>45757.0</v>
      </c>
      <c r="B8520" s="4">
        <v>0.29305555555555557</v>
      </c>
      <c r="C8520" s="5" t="s">
        <v>40</v>
      </c>
      <c r="D8520" s="5" t="s">
        <v>1359</v>
      </c>
      <c r="E8520" s="8" t="s">
        <v>213</v>
      </c>
      <c r="F8520" s="5" t="s">
        <v>214</v>
      </c>
      <c r="G8520" s="6" t="str">
        <f>VLOOKUP(E8520,dicionario!$A$1:$C8919,2,0)</f>
        <v>Myiozetetes similis</v>
      </c>
      <c r="H8520" s="6" t="str">
        <f>VLOOKUP(E8520,dicionario!$A$1:$C8919,3,0)</f>
        <v>bentevizinho-de-penacho-vermelho</v>
      </c>
    </row>
    <row r="8521">
      <c r="A8521" s="3">
        <v>45757.0</v>
      </c>
      <c r="B8521" s="4">
        <v>0.29305555555555557</v>
      </c>
      <c r="C8521" s="5" t="s">
        <v>40</v>
      </c>
      <c r="D8521" s="5" t="s">
        <v>1359</v>
      </c>
      <c r="E8521" s="8" t="s">
        <v>990</v>
      </c>
      <c r="F8521" s="5" t="s">
        <v>580</v>
      </c>
      <c r="G8521" s="6" t="str">
        <f>VLOOKUP(E8521,dicionario!$A$1:$C8920,2,0)</f>
        <v>#N/A</v>
      </c>
      <c r="H8521" s="6" t="str">
        <f>VLOOKUP(E8521,dicionario!$A$1:$C8920,3,0)</f>
        <v>#N/A</v>
      </c>
    </row>
    <row r="8522">
      <c r="A8522" s="3">
        <v>45757.0</v>
      </c>
      <c r="B8522" s="4">
        <v>0.29305555555555557</v>
      </c>
      <c r="C8522" s="5" t="s">
        <v>40</v>
      </c>
      <c r="D8522" s="5" t="s">
        <v>1359</v>
      </c>
      <c r="E8522" s="8" t="s">
        <v>1382</v>
      </c>
      <c r="F8522" s="5" t="s">
        <v>56</v>
      </c>
      <c r="G8522" s="6" t="str">
        <f>VLOOKUP(E8522,dicionario!$A$1:$C8921,2,0)</f>
        <v>#N/A</v>
      </c>
      <c r="H8522" s="6" t="str">
        <f>VLOOKUP(E8522,dicionario!$A$1:$C8921,3,0)</f>
        <v>#N/A</v>
      </c>
    </row>
    <row r="8523">
      <c r="A8523" s="3">
        <v>45757.0</v>
      </c>
      <c r="B8523" s="4">
        <v>0.29583333333333334</v>
      </c>
      <c r="C8523" s="5" t="s">
        <v>50</v>
      </c>
      <c r="D8523" s="5" t="s">
        <v>1359</v>
      </c>
      <c r="E8523" s="8" t="s">
        <v>154</v>
      </c>
      <c r="F8523" s="5" t="s">
        <v>155</v>
      </c>
      <c r="G8523" s="6" t="str">
        <f>VLOOKUP(E8523,dicionario!$A$1:$C8922,2,0)</f>
        <v>Cyperus rotundus</v>
      </c>
      <c r="H8523" s="6" t="str">
        <f>VLOOKUP(E8523,dicionario!$A$1:$C8922,3,0)</f>
        <v>tiririca</v>
      </c>
    </row>
    <row r="8524">
      <c r="A8524" s="3">
        <v>45757.0</v>
      </c>
      <c r="B8524" s="4">
        <v>0.29583333333333334</v>
      </c>
      <c r="C8524" s="5" t="s">
        <v>50</v>
      </c>
      <c r="D8524" s="5" t="s">
        <v>1359</v>
      </c>
      <c r="E8524" s="8" t="s">
        <v>1344</v>
      </c>
      <c r="F8524" s="5" t="s">
        <v>47</v>
      </c>
      <c r="G8524" s="6" t="str">
        <f>VLOOKUP(E8524,dicionario!$A$1:$C8923,2,0)</f>
        <v>#N/A</v>
      </c>
      <c r="H8524" s="6" t="str">
        <f>VLOOKUP(E8524,dicionario!$A$1:$C8923,3,0)</f>
        <v>#N/A</v>
      </c>
    </row>
    <row r="8525">
      <c r="A8525" s="3">
        <v>45757.0</v>
      </c>
      <c r="B8525" s="4">
        <v>0.29583333333333334</v>
      </c>
      <c r="C8525" s="5" t="s">
        <v>50</v>
      </c>
      <c r="D8525" s="5" t="s">
        <v>1359</v>
      </c>
      <c r="E8525" s="8" t="s">
        <v>191</v>
      </c>
      <c r="F8525" s="5" t="s">
        <v>192</v>
      </c>
      <c r="G8525" s="6" t="str">
        <f>VLOOKUP(E8525,dicionario!$A$1:$C8924,2,0)</f>
        <v>Patagioenas picazuro</v>
      </c>
      <c r="H8525" s="6" t="str">
        <f>VLOOKUP(E8525,dicionario!$A$1:$C8924,3,0)</f>
        <v>asa-branca; pomba-asa-branca; pocaçu</v>
      </c>
    </row>
    <row r="8526">
      <c r="A8526" s="3">
        <v>45757.0</v>
      </c>
      <c r="B8526" s="4">
        <v>0.29583333333333334</v>
      </c>
      <c r="C8526" s="5" t="s">
        <v>50</v>
      </c>
      <c r="D8526" s="5" t="s">
        <v>1359</v>
      </c>
      <c r="E8526" s="8" t="s">
        <v>109</v>
      </c>
      <c r="F8526" s="5" t="s">
        <v>110</v>
      </c>
      <c r="G8526" s="6" t="str">
        <f>VLOOKUP(E8526,dicionario!$A$1:$C8925,2,0)</f>
        <v>Tillandsia stricta</v>
      </c>
      <c r="H8526" s="6" t="str">
        <f>VLOOKUP(E8526,dicionario!$A$1:$C8925,3,0)</f>
        <v>cravo-do-mato</v>
      </c>
    </row>
    <row r="8527">
      <c r="A8527" s="3">
        <v>45757.0</v>
      </c>
      <c r="B8527" s="4">
        <v>0.29583333333333334</v>
      </c>
      <c r="C8527" s="5" t="s">
        <v>50</v>
      </c>
      <c r="D8527" s="5" t="s">
        <v>1359</v>
      </c>
      <c r="E8527" s="8" t="s">
        <v>1339</v>
      </c>
      <c r="F8527" s="5" t="s">
        <v>73</v>
      </c>
      <c r="G8527" s="6" t="str">
        <f>VLOOKUP(E8527,dicionario!$A$1:$C8926,2,0)</f>
        <v>#N/A</v>
      </c>
      <c r="H8527" s="6" t="str">
        <f>VLOOKUP(E8527,dicionario!$A$1:$C8926,3,0)</f>
        <v>#N/A</v>
      </c>
    </row>
    <row r="8528">
      <c r="A8528" s="3">
        <v>45757.0</v>
      </c>
      <c r="B8528" s="4">
        <v>0.29583333333333334</v>
      </c>
      <c r="C8528" s="5" t="s">
        <v>50</v>
      </c>
      <c r="D8528" s="5" t="s">
        <v>1359</v>
      </c>
      <c r="E8528" s="8" t="s">
        <v>909</v>
      </c>
      <c r="F8528" s="5" t="s">
        <v>910</v>
      </c>
      <c r="G8528" s="6" t="str">
        <f>VLOOKUP(E8528,dicionario!$A$1:$C8927,2,0)</f>
        <v>Chordeiles acutipennis</v>
      </c>
      <c r="H8528" s="6" t="str">
        <f>VLOOKUP(E8528,dicionario!$A$1:$C8927,3,0)</f>
        <v>bacurau-de-asa-fina</v>
      </c>
    </row>
    <row r="8529">
      <c r="A8529" s="3">
        <v>45757.0</v>
      </c>
      <c r="B8529" s="4">
        <v>0.2965277777777778</v>
      </c>
      <c r="C8529" s="5" t="s">
        <v>50</v>
      </c>
      <c r="D8529" s="5" t="s">
        <v>1359</v>
      </c>
      <c r="E8529" s="8" t="s">
        <v>1294</v>
      </c>
      <c r="F8529" s="5" t="s">
        <v>902</v>
      </c>
      <c r="G8529" s="6" t="str">
        <f>VLOOKUP(E8529,dicionario!$A$1:$C8928,2,0)</f>
        <v>#N/A</v>
      </c>
      <c r="H8529" s="6" t="str">
        <f>VLOOKUP(E8529,dicionario!$A$1:$C8928,3,0)</f>
        <v>#N/A</v>
      </c>
    </row>
    <row r="8530">
      <c r="A8530" s="3">
        <v>45757.0</v>
      </c>
      <c r="B8530" s="4">
        <v>0.2965277777777778</v>
      </c>
      <c r="C8530" s="5" t="s">
        <v>50</v>
      </c>
      <c r="D8530" s="5" t="s">
        <v>1359</v>
      </c>
      <c r="E8530" s="8" t="s">
        <v>298</v>
      </c>
      <c r="F8530" s="7"/>
      <c r="G8530" s="6" t="str">
        <f>VLOOKUP(E8530,dicionario!$A$1:$C8929,2,0)</f>
        <v>Alysicarpus vaginalis</v>
      </c>
      <c r="H8530" s="6" t="str">
        <f>VLOOKUP(E8530,dicionario!$A$1:$C8929,3,0)</f>
        <v/>
      </c>
    </row>
    <row r="8531">
      <c r="A8531" s="3">
        <v>45757.0</v>
      </c>
      <c r="B8531" s="4">
        <v>0.2965277777777778</v>
      </c>
      <c r="C8531" s="5" t="s">
        <v>50</v>
      </c>
      <c r="D8531" s="5" t="s">
        <v>1359</v>
      </c>
      <c r="E8531" s="6" t="s">
        <v>53</v>
      </c>
      <c r="F8531" s="5" t="s">
        <v>54</v>
      </c>
      <c r="G8531" s="6" t="str">
        <f>VLOOKUP(E8531,dicionario!$A$1:$C8930,2,0)</f>
        <v>Turnera subulata</v>
      </c>
      <c r="H8531" s="6" t="str">
        <f>VLOOKUP(E8531,dicionario!$A$1:$C8930,3,0)</f>
        <v>xanana</v>
      </c>
    </row>
    <row r="8532">
      <c r="A8532" s="3">
        <v>45757.0</v>
      </c>
      <c r="B8532" s="4">
        <v>0.2965277777777778</v>
      </c>
      <c r="C8532" s="5" t="s">
        <v>50</v>
      </c>
      <c r="D8532" s="5" t="s">
        <v>1359</v>
      </c>
      <c r="E8532" s="8" t="s">
        <v>1285</v>
      </c>
      <c r="F8532" s="5" t="s">
        <v>1286</v>
      </c>
      <c r="G8532" s="6" t="str">
        <f>VLOOKUP(E8532,dicionario!$A$1:$C8931,2,0)</f>
        <v>#N/A</v>
      </c>
      <c r="H8532" s="6" t="str">
        <f>VLOOKUP(E8532,dicionario!$A$1:$C8931,3,0)</f>
        <v>#N/A</v>
      </c>
    </row>
    <row r="8533">
      <c r="A8533" s="3">
        <v>45757.0</v>
      </c>
      <c r="B8533" s="4">
        <v>0.2972222222222222</v>
      </c>
      <c r="C8533" s="5" t="s">
        <v>50</v>
      </c>
      <c r="D8533" s="5" t="s">
        <v>1359</v>
      </c>
      <c r="E8533" s="8" t="s">
        <v>16</v>
      </c>
      <c r="F8533" s="5" t="s">
        <v>17</v>
      </c>
      <c r="G8533" s="6" t="str">
        <f>VLOOKUP(E8533,dicionario!$A$1:$C8932,2,0)</f>
        <v>Eupetomena macroura</v>
      </c>
      <c r="H8533" s="6" t="str">
        <f>VLOOKUP(E8533,dicionario!$A$1:$C8932,3,0)</f>
        <v>beija-flor-tesoura</v>
      </c>
    </row>
    <row r="8534">
      <c r="A8534" s="3">
        <v>45757.0</v>
      </c>
      <c r="B8534" s="4">
        <v>0.25555555555555554</v>
      </c>
      <c r="C8534" s="5" t="s">
        <v>50</v>
      </c>
      <c r="D8534" s="5" t="s">
        <v>1359</v>
      </c>
      <c r="E8534" s="8" t="s">
        <v>20</v>
      </c>
      <c r="F8534" s="5" t="s">
        <v>21</v>
      </c>
      <c r="G8534" s="6" t="str">
        <f>VLOOKUP(E8534,dicionario!$A$1:$C8933,2,0)</f>
        <v>Sicalis flaveola</v>
      </c>
      <c r="H8534" s="6" t="str">
        <f>VLOOKUP(E8534,dicionario!$A$1:$C8933,3,0)</f>
        <v>canário-da-terra</v>
      </c>
    </row>
    <row r="8535">
      <c r="A8535" s="3">
        <v>45757.0</v>
      </c>
      <c r="B8535" s="4">
        <v>0.29791666666666666</v>
      </c>
      <c r="C8535" s="5" t="s">
        <v>50</v>
      </c>
      <c r="D8535" s="5" t="s">
        <v>1359</v>
      </c>
      <c r="E8535" s="8" t="s">
        <v>88</v>
      </c>
      <c r="F8535" s="5" t="s">
        <v>89</v>
      </c>
      <c r="G8535" s="6" t="str">
        <f>VLOOKUP(E8535,dicionario!$A$1:$C8934,2,0)</f>
        <v>Tyrannus melancolichus</v>
      </c>
      <c r="H8535" s="6" t="str">
        <f>VLOOKUP(E8535,dicionario!$A$1:$C8934,3,0)</f>
        <v>suiriri</v>
      </c>
    </row>
    <row r="8536">
      <c r="A8536" s="3">
        <v>45757.0</v>
      </c>
      <c r="B8536" s="4">
        <v>0.29791666666666666</v>
      </c>
      <c r="C8536" s="5" t="s">
        <v>50</v>
      </c>
      <c r="D8536" s="5" t="s">
        <v>1359</v>
      </c>
      <c r="E8536" s="8" t="s">
        <v>353</v>
      </c>
      <c r="F8536" s="5" t="s">
        <v>354</v>
      </c>
      <c r="G8536" s="6" t="str">
        <f>VLOOKUP(E8536,dicionario!$A$1:$C8935,2,0)</f>
        <v>Desmodium incanum</v>
      </c>
      <c r="H8536" s="6" t="str">
        <f>VLOOKUP(E8536,dicionario!$A$1:$C8935,3,0)</f>
        <v>pega-pega</v>
      </c>
    </row>
    <row r="8537">
      <c r="A8537" s="3">
        <v>45757.0</v>
      </c>
      <c r="B8537" s="4">
        <v>0.29791666666666666</v>
      </c>
      <c r="C8537" s="5" t="s">
        <v>50</v>
      </c>
      <c r="D8537" s="5" t="s">
        <v>1359</v>
      </c>
      <c r="E8537" s="8" t="s">
        <v>1383</v>
      </c>
      <c r="F8537" s="5" t="s">
        <v>561</v>
      </c>
      <c r="G8537" s="6" t="str">
        <f>VLOOKUP(E8537,dicionario!$A$1:$C8936,2,0)</f>
        <v>#N/A</v>
      </c>
      <c r="H8537" s="6" t="str">
        <f>VLOOKUP(E8537,dicionario!$A$1:$C8936,3,0)</f>
        <v>#N/A</v>
      </c>
    </row>
    <row r="8538">
      <c r="A8538" s="3">
        <v>45757.0</v>
      </c>
      <c r="B8538" s="4">
        <v>0.2986111111111111</v>
      </c>
      <c r="C8538" s="5" t="s">
        <v>50</v>
      </c>
      <c r="D8538" s="5" t="s">
        <v>1359</v>
      </c>
      <c r="E8538" s="8" t="s">
        <v>286</v>
      </c>
      <c r="F8538" s="5" t="s">
        <v>287</v>
      </c>
      <c r="G8538" s="6" t="str">
        <f>VLOOKUP(E8538,dicionario!$A$1:$C8937,2,0)</f>
        <v>Setaria parviflora</v>
      </c>
      <c r="H8538" s="6" t="str">
        <f>VLOOKUP(E8538,dicionario!$A$1:$C8937,3,0)</f>
        <v>capim-rabo-de-raposa</v>
      </c>
    </row>
    <row r="8539">
      <c r="A8539" s="3">
        <v>45757.0</v>
      </c>
      <c r="B8539" s="4">
        <v>0.2986111111111111</v>
      </c>
      <c r="C8539" s="5" t="s">
        <v>50</v>
      </c>
      <c r="D8539" s="5" t="s">
        <v>1359</v>
      </c>
      <c r="E8539" s="8" t="s">
        <v>1348</v>
      </c>
      <c r="F8539" s="5" t="s">
        <v>737</v>
      </c>
      <c r="G8539" s="6" t="str">
        <f>VLOOKUP(E8539,dicionario!$A$1:$C8938,2,0)</f>
        <v>#N/A</v>
      </c>
      <c r="H8539" s="6" t="str">
        <f>VLOOKUP(E8539,dicionario!$A$1:$C8938,3,0)</f>
        <v>#N/A</v>
      </c>
    </row>
    <row r="8540">
      <c r="A8540" s="3">
        <v>45757.0</v>
      </c>
      <c r="B8540" s="4">
        <v>0.2986111111111111</v>
      </c>
      <c r="C8540" s="5" t="s">
        <v>50</v>
      </c>
      <c r="D8540" s="5" t="s">
        <v>1359</v>
      </c>
      <c r="E8540" s="8" t="s">
        <v>712</v>
      </c>
      <c r="F8540" s="5" t="s">
        <v>912</v>
      </c>
      <c r="G8540" s="6" t="str">
        <f>VLOOKUP(E8540,dicionario!$A$1:$C8939,2,0)</f>
        <v>Flavopunctelia soredica</v>
      </c>
      <c r="H8540" s="6" t="str">
        <f>VLOOKUP(E8540,dicionario!$A$1:$C8939,3,0)</f>
        <v>líquen-folioso</v>
      </c>
    </row>
    <row r="8541">
      <c r="A8541" s="3">
        <v>45757.0</v>
      </c>
      <c r="B8541" s="4">
        <v>0.29930555555555555</v>
      </c>
      <c r="C8541" s="5" t="s">
        <v>50</v>
      </c>
      <c r="D8541" s="5" t="s">
        <v>1359</v>
      </c>
      <c r="E8541" s="8" t="s">
        <v>719</v>
      </c>
      <c r="F8541" s="5" t="s">
        <v>762</v>
      </c>
      <c r="G8541" s="6" t="str">
        <f>VLOOKUP(E8541,dicionario!$A$1:$C8940,2,0)</f>
        <v>Dirinaria</v>
      </c>
      <c r="H8541" s="6" t="str">
        <f>VLOOKUP(E8541,dicionario!$A$1:$C8940,3,0)</f>
        <v>líquen-crostoso</v>
      </c>
    </row>
    <row r="8542">
      <c r="A8542" s="3">
        <v>45757.0</v>
      </c>
      <c r="B8542" s="4">
        <v>0.29930555555555555</v>
      </c>
      <c r="C8542" s="5" t="s">
        <v>50</v>
      </c>
      <c r="D8542" s="5" t="s">
        <v>1359</v>
      </c>
      <c r="E8542" s="8" t="s">
        <v>107</v>
      </c>
      <c r="F8542" s="5" t="s">
        <v>108</v>
      </c>
      <c r="G8542" s="6" t="str">
        <f>VLOOKUP(E8542,dicionario!$A$1:$C8941,2,0)</f>
        <v>Ramalina complanata</v>
      </c>
      <c r="H8542" s="6" t="str">
        <f>VLOOKUP(E8542,dicionario!$A$1:$C8941,3,0)</f>
        <v>ramalina</v>
      </c>
    </row>
    <row r="8543">
      <c r="A8543" s="3">
        <v>45757.0</v>
      </c>
      <c r="B8543" s="4">
        <v>0.29930555555555555</v>
      </c>
      <c r="C8543" s="5" t="s">
        <v>50</v>
      </c>
      <c r="D8543" s="5" t="s">
        <v>1359</v>
      </c>
      <c r="E8543" s="8" t="s">
        <v>1347</v>
      </c>
      <c r="F8543" s="5" t="s">
        <v>1168</v>
      </c>
      <c r="G8543" s="6" t="str">
        <f>VLOOKUP(E8543,dicionario!$A$1:$C8942,2,0)</f>
        <v>#N/A</v>
      </c>
      <c r="H8543" s="6" t="str">
        <f>VLOOKUP(E8543,dicionario!$A$1:$C8942,3,0)</f>
        <v>#N/A</v>
      </c>
    </row>
    <row r="8544">
      <c r="A8544" s="3">
        <v>45757.0</v>
      </c>
      <c r="B8544" s="4">
        <v>0.3</v>
      </c>
      <c r="C8544" s="5" t="s">
        <v>50</v>
      </c>
      <c r="D8544" s="5" t="s">
        <v>1359</v>
      </c>
      <c r="E8544" s="8" t="s">
        <v>310</v>
      </c>
      <c r="F8544" s="5" t="s">
        <v>881</v>
      </c>
      <c r="G8544" s="6" t="str">
        <f>VLOOKUP(E8544,dicionario!$A$1:$C8943,2,0)</f>
        <v>Salticidae</v>
      </c>
      <c r="H8544" s="6" t="str">
        <f>VLOOKUP(E8544,dicionario!$A$1:$C8943,3,0)</f>
        <v>aranha-papa-mosca</v>
      </c>
    </row>
    <row r="8545">
      <c r="A8545" s="3">
        <v>45757.0</v>
      </c>
      <c r="B8545" s="4">
        <v>0.3</v>
      </c>
      <c r="C8545" s="5" t="s">
        <v>50</v>
      </c>
      <c r="D8545" s="5" t="s">
        <v>1359</v>
      </c>
      <c r="E8545" s="8" t="s">
        <v>1313</v>
      </c>
      <c r="F8545" s="5" t="s">
        <v>133</v>
      </c>
      <c r="G8545" s="6" t="str">
        <f>VLOOKUP(E8545,dicionario!$A$1:$C8944,2,0)</f>
        <v>#N/A</v>
      </c>
      <c r="H8545" s="6" t="str">
        <f>VLOOKUP(E8545,dicionario!$A$1:$C8944,3,0)</f>
        <v>#N/A</v>
      </c>
    </row>
    <row r="8546">
      <c r="A8546" s="3">
        <v>45757.0</v>
      </c>
      <c r="B8546" s="4">
        <v>0.3</v>
      </c>
      <c r="C8546" s="5" t="s">
        <v>50</v>
      </c>
      <c r="D8546" s="5" t="s">
        <v>1359</v>
      </c>
      <c r="E8546" s="8" t="s">
        <v>38</v>
      </c>
      <c r="F8546" s="5" t="s">
        <v>1251</v>
      </c>
      <c r="G8546" s="6" t="str">
        <f>VLOOKUP(E8546,dicionario!$A$1:$C8945,2,0)</f>
        <v>Troglodytes musculus</v>
      </c>
      <c r="H8546" s="6" t="str">
        <f>VLOOKUP(E8546,dicionario!$A$1:$C8945,3,0)</f>
        <v>curruíra</v>
      </c>
    </row>
    <row r="8547">
      <c r="A8547" s="3">
        <v>45757.0</v>
      </c>
      <c r="B8547" s="4">
        <v>0.3</v>
      </c>
      <c r="C8547" s="5" t="s">
        <v>50</v>
      </c>
      <c r="D8547" s="5" t="s">
        <v>1359</v>
      </c>
      <c r="E8547" s="8" t="s">
        <v>1384</v>
      </c>
      <c r="F8547" s="5" t="s">
        <v>176</v>
      </c>
      <c r="G8547" s="6" t="str">
        <f>VLOOKUP(E8547,dicionario!$A$1:$C8946,2,0)</f>
        <v>#N/A</v>
      </c>
      <c r="H8547" s="6" t="str">
        <f>VLOOKUP(E8547,dicionario!$A$1:$C8946,3,0)</f>
        <v>#N/A</v>
      </c>
    </row>
    <row r="8548">
      <c r="A8548" s="3">
        <v>45757.0</v>
      </c>
      <c r="B8548" s="4">
        <v>0.3</v>
      </c>
      <c r="C8548" s="5" t="s">
        <v>50</v>
      </c>
      <c r="D8548" s="5" t="s">
        <v>1359</v>
      </c>
      <c r="E8548" s="8" t="s">
        <v>1312</v>
      </c>
      <c r="F8548" s="5" t="s">
        <v>66</v>
      </c>
      <c r="G8548" s="6" t="str">
        <f>VLOOKUP(E8548,dicionario!$A$1:$C8947,2,0)</f>
        <v>#N/A</v>
      </c>
      <c r="H8548" s="6" t="str">
        <f>VLOOKUP(E8548,dicionario!$A$1:$C8947,3,0)</f>
        <v>#N/A</v>
      </c>
    </row>
    <row r="8549">
      <c r="A8549" s="3">
        <v>45757.0</v>
      </c>
      <c r="B8549" s="4">
        <v>0.3</v>
      </c>
      <c r="C8549" s="5" t="s">
        <v>50</v>
      </c>
      <c r="D8549" s="5" t="s">
        <v>1359</v>
      </c>
      <c r="E8549" s="8" t="s">
        <v>1024</v>
      </c>
      <c r="F8549" s="5" t="s">
        <v>969</v>
      </c>
      <c r="G8549" s="6" t="str">
        <f>VLOOKUP(E8549,dicionario!$A$1:$C8948,2,0)</f>
        <v>Usnea barbata</v>
      </c>
      <c r="H8549" s="6" t="str">
        <f>VLOOKUP(E8549,dicionario!$A$1:$C8948,3,0)</f>
        <v>barba-de-velho</v>
      </c>
    </row>
    <row r="8550">
      <c r="A8550" s="3">
        <v>45757.0</v>
      </c>
      <c r="B8550" s="4">
        <v>0.30069444444444443</v>
      </c>
      <c r="C8550" s="5" t="s">
        <v>50</v>
      </c>
      <c r="D8550" s="5" t="s">
        <v>1359</v>
      </c>
      <c r="E8550" s="8" t="s">
        <v>122</v>
      </c>
      <c r="F8550" s="5" t="s">
        <v>123</v>
      </c>
      <c r="G8550" s="6" t="str">
        <f>VLOOKUP(E8550,dicionario!$A$1:$C8949,2,0)</f>
        <v>Todirostrum cinereum</v>
      </c>
      <c r="H8550" s="6" t="str">
        <f>VLOOKUP(E8550,dicionario!$A$1:$C8949,3,0)</f>
        <v>ferreirinho-relógio</v>
      </c>
    </row>
    <row r="8551">
      <c r="A8551" s="3">
        <v>45757.0</v>
      </c>
      <c r="B8551" s="4">
        <v>0.3013888888888889</v>
      </c>
      <c r="C8551" s="5" t="s">
        <v>50</v>
      </c>
      <c r="D8551" s="5" t="s">
        <v>1359</v>
      </c>
      <c r="E8551" s="8" t="s">
        <v>1311</v>
      </c>
      <c r="F8551" s="5" t="s">
        <v>114</v>
      </c>
      <c r="G8551" s="6" t="str">
        <f>VLOOKUP(E8551,dicionario!$A$1:$C8950,2,0)</f>
        <v>#N/A</v>
      </c>
      <c r="H8551" s="6" t="str">
        <f>VLOOKUP(E8551,dicionario!$A$1:$C8950,3,0)</f>
        <v>#N/A</v>
      </c>
    </row>
    <row r="8552">
      <c r="A8552" s="3">
        <v>45757.0</v>
      </c>
      <c r="B8552" s="4">
        <v>0.3020833333333333</v>
      </c>
      <c r="C8552" s="5" t="s">
        <v>50</v>
      </c>
      <c r="D8552" s="5" t="s">
        <v>1359</v>
      </c>
      <c r="E8552" s="8" t="s">
        <v>154</v>
      </c>
      <c r="F8552" s="5" t="s">
        <v>155</v>
      </c>
      <c r="G8552" s="6" t="str">
        <f>VLOOKUP(E8552,dicionario!$A$1:$C8951,2,0)</f>
        <v>Cyperus rotundus</v>
      </c>
      <c r="H8552" s="6" t="str">
        <f>VLOOKUP(E8552,dicionario!$A$1:$C8951,3,0)</f>
        <v>tiririca</v>
      </c>
    </row>
    <row r="8553">
      <c r="A8553" s="3">
        <v>45757.0</v>
      </c>
      <c r="B8553" s="4">
        <v>0.3020833333333333</v>
      </c>
      <c r="C8553" s="5" t="s">
        <v>50</v>
      </c>
      <c r="D8553" s="5" t="s">
        <v>1359</v>
      </c>
      <c r="E8553" s="8" t="s">
        <v>1367</v>
      </c>
      <c r="F8553" s="5" t="s">
        <v>387</v>
      </c>
      <c r="G8553" s="6" t="str">
        <f>VLOOKUP(E8553,dicionario!$A$1:$C8952,2,0)</f>
        <v>#N/A</v>
      </c>
      <c r="H8553" s="6" t="str">
        <f>VLOOKUP(E8553,dicionario!$A$1:$C8952,3,0)</f>
        <v>#N/A</v>
      </c>
    </row>
    <row r="8554">
      <c r="A8554" s="3">
        <v>45757.0</v>
      </c>
      <c r="B8554" s="4">
        <v>0.3020833333333333</v>
      </c>
      <c r="C8554" s="5" t="s">
        <v>50</v>
      </c>
      <c r="D8554" s="5" t="s">
        <v>1359</v>
      </c>
      <c r="E8554" s="6" t="s">
        <v>148</v>
      </c>
      <c r="F8554" s="5" t="s">
        <v>149</v>
      </c>
      <c r="G8554" s="6" t="str">
        <f>VLOOKUP(E8554,dicionario!$A$1:$C8953,2,0)</f>
        <v>Parthenium hysterophorus</v>
      </c>
      <c r="H8554" s="6" t="str">
        <f>VLOOKUP(E8554,dicionario!$A$1:$C8953,3,0)</f>
        <v>losna-branca</v>
      </c>
    </row>
    <row r="8555">
      <c r="A8555" s="3">
        <v>45757.0</v>
      </c>
      <c r="B8555" s="4">
        <v>0.3020833333333333</v>
      </c>
      <c r="C8555" s="5" t="s">
        <v>50</v>
      </c>
      <c r="D8555" s="5" t="s">
        <v>1359</v>
      </c>
      <c r="E8555" s="8" t="s">
        <v>1337</v>
      </c>
      <c r="F8555" s="5" t="s">
        <v>178</v>
      </c>
      <c r="G8555" s="6" t="str">
        <f>VLOOKUP(E8555,dicionario!$A$1:$C8954,2,0)</f>
        <v>#N/A</v>
      </c>
      <c r="H8555" s="6" t="str">
        <f>VLOOKUP(E8555,dicionario!$A$1:$C8954,3,0)</f>
        <v>#N/A</v>
      </c>
    </row>
    <row r="8556">
      <c r="A8556" s="3">
        <v>45757.0</v>
      </c>
      <c r="B8556" s="4">
        <v>0.3020833333333333</v>
      </c>
      <c r="C8556" s="5" t="s">
        <v>50</v>
      </c>
      <c r="D8556" s="5" t="s">
        <v>1359</v>
      </c>
      <c r="E8556" s="8" t="s">
        <v>213</v>
      </c>
      <c r="F8556" s="5" t="s">
        <v>214</v>
      </c>
      <c r="G8556" s="6" t="str">
        <f>VLOOKUP(E8556,dicionario!$A$1:$C8955,2,0)</f>
        <v>Myiozetetes similis</v>
      </c>
      <c r="H8556" s="6" t="str">
        <f>VLOOKUP(E8556,dicionario!$A$1:$C8955,3,0)</f>
        <v>bentevizinho-de-penacho-vermelho</v>
      </c>
    </row>
    <row r="8557">
      <c r="A8557" s="3">
        <v>45757.0</v>
      </c>
      <c r="B8557" s="4">
        <v>0.3020833333333333</v>
      </c>
      <c r="C8557" s="5" t="s">
        <v>50</v>
      </c>
      <c r="D8557" s="5" t="s">
        <v>1359</v>
      </c>
      <c r="E8557" s="8" t="s">
        <v>91</v>
      </c>
      <c r="F8557" s="5" t="s">
        <v>1385</v>
      </c>
      <c r="G8557" s="6" t="str">
        <f>VLOOKUP(E8557,dicionario!$A$1:$C8956,2,0)</f>
        <v>Picumnus cirratus</v>
      </c>
      <c r="H8557" s="6" t="str">
        <f>VLOOKUP(E8557,dicionario!$A$1:$C8956,3,0)</f>
        <v>picapauzinho-barrado</v>
      </c>
    </row>
    <row r="8558">
      <c r="A8558" s="3">
        <v>45757.0</v>
      </c>
      <c r="B8558" s="4">
        <v>0.30416666666666664</v>
      </c>
      <c r="C8558" s="5" t="s">
        <v>59</v>
      </c>
      <c r="D8558" s="5" t="s">
        <v>1359</v>
      </c>
      <c r="E8558" s="6" t="s">
        <v>86</v>
      </c>
      <c r="F8558" s="5" t="s">
        <v>502</v>
      </c>
      <c r="G8558" s="6" t="str">
        <f>VLOOKUP(E8558,dicionario!$A$1:$C8957,2,0)</f>
        <v>Coereba flaveola</v>
      </c>
      <c r="H8558" s="6" t="str">
        <f>VLOOKUP(E8558,dicionario!$A$1:$C8957,3,0)</f>
        <v>cambacica</v>
      </c>
    </row>
    <row r="8559">
      <c r="A8559" s="3">
        <v>45757.0</v>
      </c>
      <c r="B8559" s="4">
        <v>0.30416666666666664</v>
      </c>
      <c r="C8559" s="5" t="s">
        <v>59</v>
      </c>
      <c r="D8559" s="5" t="s">
        <v>1359</v>
      </c>
      <c r="E8559" s="8" t="s">
        <v>1324</v>
      </c>
      <c r="F8559" s="5" t="s">
        <v>1246</v>
      </c>
      <c r="G8559" s="6" t="str">
        <f>VLOOKUP(E8559,dicionario!$A$1:$C8958,2,0)</f>
        <v>#N/A</v>
      </c>
      <c r="H8559" s="6" t="str">
        <f>VLOOKUP(E8559,dicionario!$A$1:$C8958,3,0)</f>
        <v>#N/A</v>
      </c>
    </row>
    <row r="8560">
      <c r="A8560" s="3">
        <v>45757.0</v>
      </c>
      <c r="B8560" s="4">
        <v>0.30486111111111114</v>
      </c>
      <c r="C8560" s="5" t="s">
        <v>59</v>
      </c>
      <c r="D8560" s="5" t="s">
        <v>1359</v>
      </c>
      <c r="E8560" s="8" t="s">
        <v>298</v>
      </c>
      <c r="F8560" s="7"/>
      <c r="G8560" s="6" t="str">
        <f>VLOOKUP(E8560,dicionario!$A$1:$C8959,2,0)</f>
        <v>Alysicarpus vaginalis</v>
      </c>
      <c r="H8560" s="6" t="str">
        <f>VLOOKUP(E8560,dicionario!$A$1:$C8959,3,0)</f>
        <v/>
      </c>
    </row>
    <row r="8561">
      <c r="A8561" s="3">
        <v>45757.0</v>
      </c>
      <c r="B8561" s="4">
        <v>0.30486111111111114</v>
      </c>
      <c r="C8561" s="5" t="s">
        <v>59</v>
      </c>
      <c r="D8561" s="5" t="s">
        <v>1359</v>
      </c>
      <c r="E8561" s="8" t="s">
        <v>1338</v>
      </c>
      <c r="F8561" s="5" t="s">
        <v>862</v>
      </c>
      <c r="G8561" s="6" t="str">
        <f>VLOOKUP(E8561,dicionario!$A$1:$C8960,2,0)</f>
        <v>#N/A</v>
      </c>
      <c r="H8561" s="6" t="str">
        <f>VLOOKUP(E8561,dicionario!$A$1:$C8960,3,0)</f>
        <v>#N/A</v>
      </c>
    </row>
    <row r="8562">
      <c r="A8562" s="3">
        <v>45757.0</v>
      </c>
      <c r="B8562" s="4">
        <v>0.30486111111111114</v>
      </c>
      <c r="C8562" s="5" t="s">
        <v>59</v>
      </c>
      <c r="D8562" s="5" t="s">
        <v>1359</v>
      </c>
      <c r="E8562" s="8" t="s">
        <v>1311</v>
      </c>
      <c r="F8562" s="5" t="s">
        <v>114</v>
      </c>
      <c r="G8562" s="6" t="str">
        <f>VLOOKUP(E8562,dicionario!$A$1:$C8961,2,0)</f>
        <v>#N/A</v>
      </c>
      <c r="H8562" s="6" t="str">
        <f>VLOOKUP(E8562,dicionario!$A$1:$C8961,3,0)</f>
        <v>#N/A</v>
      </c>
    </row>
    <row r="8563">
      <c r="A8563" s="3">
        <v>45757.0</v>
      </c>
      <c r="B8563" s="4">
        <v>0.30486111111111114</v>
      </c>
      <c r="C8563" s="5" t="s">
        <v>59</v>
      </c>
      <c r="D8563" s="5" t="s">
        <v>1359</v>
      </c>
      <c r="E8563" s="8" t="s">
        <v>38</v>
      </c>
      <c r="F8563" s="5" t="s">
        <v>1251</v>
      </c>
      <c r="G8563" s="6" t="str">
        <f>VLOOKUP(E8563,dicionario!$A$1:$C8962,2,0)</f>
        <v>Troglodytes musculus</v>
      </c>
      <c r="H8563" s="6" t="str">
        <f>VLOOKUP(E8563,dicionario!$A$1:$C8962,3,0)</f>
        <v>curruíra</v>
      </c>
    </row>
    <row r="8564">
      <c r="A8564" s="3">
        <v>45757.0</v>
      </c>
      <c r="B8564" s="4">
        <v>0.30486111111111114</v>
      </c>
      <c r="C8564" s="5" t="s">
        <v>59</v>
      </c>
      <c r="D8564" s="5" t="s">
        <v>1359</v>
      </c>
      <c r="E8564" s="8" t="s">
        <v>88</v>
      </c>
      <c r="F8564" s="5" t="s">
        <v>89</v>
      </c>
      <c r="G8564" s="6" t="str">
        <f>VLOOKUP(E8564,dicionario!$A$1:$C8963,2,0)</f>
        <v>Tyrannus melancolichus</v>
      </c>
      <c r="H8564" s="6" t="str">
        <f>VLOOKUP(E8564,dicionario!$A$1:$C8963,3,0)</f>
        <v>suiriri</v>
      </c>
    </row>
    <row r="8565">
      <c r="A8565" s="3">
        <v>45757.0</v>
      </c>
      <c r="B8565" s="4">
        <v>0.3055555555555556</v>
      </c>
      <c r="C8565" s="5" t="s">
        <v>59</v>
      </c>
      <c r="D8565" s="5" t="s">
        <v>1359</v>
      </c>
      <c r="E8565" s="8" t="s">
        <v>1297</v>
      </c>
      <c r="F8565" s="5" t="s">
        <v>515</v>
      </c>
      <c r="G8565" s="6" t="str">
        <f>VLOOKUP(E8565,dicionario!$A$1:$C8964,2,0)</f>
        <v>#N/A</v>
      </c>
      <c r="H8565" s="6" t="str">
        <f>VLOOKUP(E8565,dicionario!$A$1:$C8964,3,0)</f>
        <v>#N/A</v>
      </c>
    </row>
    <row r="8566">
      <c r="A8566" s="3">
        <v>45757.0</v>
      </c>
      <c r="B8566" s="4">
        <v>0.30486111111111114</v>
      </c>
      <c r="C8566" s="5" t="s">
        <v>59</v>
      </c>
      <c r="D8566" s="5" t="s">
        <v>1359</v>
      </c>
      <c r="E8566" s="8" t="s">
        <v>1383</v>
      </c>
      <c r="F8566" s="5" t="s">
        <v>561</v>
      </c>
      <c r="G8566" s="6" t="str">
        <f>VLOOKUP(E8566,dicionario!$A$1:$C8965,2,0)</f>
        <v>#N/A</v>
      </c>
      <c r="H8566" s="6" t="str">
        <f>VLOOKUP(E8566,dicionario!$A$1:$C8965,3,0)</f>
        <v>#N/A</v>
      </c>
    </row>
    <row r="8567">
      <c r="A8567" s="3">
        <v>45757.0</v>
      </c>
      <c r="B8567" s="4">
        <v>0.30486111111111114</v>
      </c>
      <c r="C8567" s="5" t="s">
        <v>59</v>
      </c>
      <c r="D8567" s="5" t="s">
        <v>1359</v>
      </c>
      <c r="E8567" s="6" t="s">
        <v>251</v>
      </c>
      <c r="F8567" s="5" t="s">
        <v>252</v>
      </c>
      <c r="G8567" s="6" t="str">
        <f>VLOOKUP(E8567,dicionario!$A$1:$C8966,2,0)</f>
        <v>Struthanthus flexicaulis</v>
      </c>
      <c r="H8567" s="6" t="str">
        <f>VLOOKUP(E8567,dicionario!$A$1:$C8966,3,0)</f>
        <v>erva-de-passarinho</v>
      </c>
    </row>
    <row r="8568">
      <c r="A8568" s="3">
        <v>45757.0</v>
      </c>
      <c r="B8568" s="4">
        <v>0.30486111111111114</v>
      </c>
      <c r="C8568" s="5" t="s">
        <v>59</v>
      </c>
      <c r="D8568" s="5" t="s">
        <v>1359</v>
      </c>
      <c r="E8568" s="8" t="s">
        <v>109</v>
      </c>
      <c r="F8568" s="5" t="s">
        <v>110</v>
      </c>
      <c r="G8568" s="6" t="str">
        <f>VLOOKUP(E8568,dicionario!$A$1:$C8967,2,0)</f>
        <v>Tillandsia stricta</v>
      </c>
      <c r="H8568" s="6" t="str">
        <f>VLOOKUP(E8568,dicionario!$A$1:$C8967,3,0)</f>
        <v>cravo-do-mato</v>
      </c>
    </row>
    <row r="8569">
      <c r="A8569" s="3">
        <v>45757.0</v>
      </c>
      <c r="B8569" s="4">
        <v>0.30486111111111114</v>
      </c>
      <c r="C8569" s="5" t="s">
        <v>59</v>
      </c>
      <c r="D8569" s="5" t="s">
        <v>1359</v>
      </c>
      <c r="E8569" s="8" t="s">
        <v>1339</v>
      </c>
      <c r="F8569" s="5" t="s">
        <v>73</v>
      </c>
      <c r="G8569" s="6" t="str">
        <f>VLOOKUP(E8569,dicionario!$A$1:$C8968,2,0)</f>
        <v>#N/A</v>
      </c>
      <c r="H8569" s="6" t="str">
        <f>VLOOKUP(E8569,dicionario!$A$1:$C8968,3,0)</f>
        <v>#N/A</v>
      </c>
    </row>
    <row r="8570">
      <c r="A8570" s="3">
        <v>45757.0</v>
      </c>
      <c r="B8570" s="4">
        <v>0.30625</v>
      </c>
      <c r="C8570" s="5" t="s">
        <v>59</v>
      </c>
      <c r="D8570" s="5" t="s">
        <v>1359</v>
      </c>
      <c r="E8570" s="8" t="s">
        <v>1344</v>
      </c>
      <c r="F8570" s="5" t="s">
        <v>47</v>
      </c>
      <c r="G8570" s="6" t="str">
        <f>VLOOKUP(E8570,dicionario!$A$1:$C8969,2,0)</f>
        <v>#N/A</v>
      </c>
      <c r="H8570" s="6" t="str">
        <f>VLOOKUP(E8570,dicionario!$A$1:$C8969,3,0)</f>
        <v>#N/A</v>
      </c>
    </row>
    <row r="8571">
      <c r="A8571" s="3">
        <v>45757.0</v>
      </c>
      <c r="B8571" s="4">
        <v>0.30625</v>
      </c>
      <c r="C8571" s="5" t="s">
        <v>59</v>
      </c>
      <c r="D8571" s="5" t="s">
        <v>1359</v>
      </c>
      <c r="E8571" s="8" t="s">
        <v>1312</v>
      </c>
      <c r="F8571" s="5" t="s">
        <v>66</v>
      </c>
      <c r="G8571" s="6" t="str">
        <f>VLOOKUP(E8571,dicionario!$A$1:$C8970,2,0)</f>
        <v>#N/A</v>
      </c>
      <c r="H8571" s="6" t="str">
        <f>VLOOKUP(E8571,dicionario!$A$1:$C8970,3,0)</f>
        <v>#N/A</v>
      </c>
    </row>
    <row r="8572">
      <c r="A8572" s="3">
        <v>45757.0</v>
      </c>
      <c r="B8572" s="4">
        <v>0.30625</v>
      </c>
      <c r="C8572" s="5" t="s">
        <v>59</v>
      </c>
      <c r="D8572" s="5" t="s">
        <v>1359</v>
      </c>
      <c r="E8572" s="8" t="s">
        <v>143</v>
      </c>
      <c r="F8572" s="5" t="s">
        <v>936</v>
      </c>
      <c r="G8572" s="6" t="str">
        <f>VLOOKUP(E8572,dicionario!$A$1:$C8971,2,0)</f>
        <v>Polybia</v>
      </c>
      <c r="H8572" s="6" t="str">
        <f>VLOOKUP(E8572,dicionario!$A$1:$C8971,3,0)</f>
        <v>vespa</v>
      </c>
    </row>
    <row r="8573">
      <c r="A8573" s="3">
        <v>45757.0</v>
      </c>
      <c r="B8573" s="4">
        <v>0.30694444444444446</v>
      </c>
      <c r="C8573" s="5" t="s">
        <v>59</v>
      </c>
      <c r="D8573" s="5" t="s">
        <v>1359</v>
      </c>
      <c r="E8573" s="8" t="s">
        <v>154</v>
      </c>
      <c r="F8573" s="5" t="s">
        <v>155</v>
      </c>
      <c r="G8573" s="6" t="str">
        <f>VLOOKUP(E8573,dicionario!$A$1:$C8972,2,0)</f>
        <v>Cyperus rotundus</v>
      </c>
      <c r="H8573" s="6" t="str">
        <f>VLOOKUP(E8573,dicionario!$A$1:$C8972,3,0)</f>
        <v>tiririca</v>
      </c>
    </row>
    <row r="8574">
      <c r="A8574" s="3">
        <v>45757.0</v>
      </c>
      <c r="B8574" s="4">
        <v>0.30694444444444446</v>
      </c>
      <c r="C8574" s="5" t="s">
        <v>59</v>
      </c>
      <c r="D8574" s="5" t="s">
        <v>1359</v>
      </c>
      <c r="E8574" s="8" t="s">
        <v>195</v>
      </c>
      <c r="F8574" s="5" t="s">
        <v>196</v>
      </c>
      <c r="G8574" s="6" t="str">
        <f>VLOOKUP(E8574,dicionario!$A$1:$C8973,2,0)</f>
        <v>Priva lappulacea</v>
      </c>
      <c r="H8574" s="6" t="str">
        <f>VLOOKUP(E8574,dicionario!$A$1:$C8973,3,0)</f>
        <v>carrapicho</v>
      </c>
    </row>
    <row r="8575">
      <c r="A8575" s="3">
        <v>45757.0</v>
      </c>
      <c r="B8575" s="4">
        <v>0.30694444444444446</v>
      </c>
      <c r="C8575" s="5" t="s">
        <v>59</v>
      </c>
      <c r="D8575" s="5" t="s">
        <v>1359</v>
      </c>
      <c r="E8575" s="8" t="s">
        <v>1353</v>
      </c>
      <c r="F8575" s="5" t="s">
        <v>142</v>
      </c>
      <c r="G8575" s="6" t="str">
        <f>VLOOKUP(E8575,dicionario!$A$1:$C8974,2,0)</f>
        <v>#N/A</v>
      </c>
      <c r="H8575" s="6" t="str">
        <f>VLOOKUP(E8575,dicionario!$A$1:$C8974,3,0)</f>
        <v>#N/A</v>
      </c>
    </row>
    <row r="8576">
      <c r="A8576" s="3">
        <v>45757.0</v>
      </c>
      <c r="B8576" s="4">
        <v>0.30694444444444446</v>
      </c>
      <c r="C8576" s="5" t="s">
        <v>59</v>
      </c>
      <c r="D8576" s="5" t="s">
        <v>1359</v>
      </c>
      <c r="E8576" s="8" t="s">
        <v>1321</v>
      </c>
      <c r="F8576" s="5" t="s">
        <v>172</v>
      </c>
      <c r="G8576" s="6" t="str">
        <f>VLOOKUP(E8576,dicionario!$A$1:$C8975,2,0)</f>
        <v>#N/A</v>
      </c>
      <c r="H8576" s="6" t="str">
        <f>VLOOKUP(E8576,dicionario!$A$1:$C8975,3,0)</f>
        <v>#N/A</v>
      </c>
    </row>
    <row r="8577">
      <c r="A8577" s="3">
        <v>45757.0</v>
      </c>
      <c r="B8577" s="4">
        <v>0.30694444444444446</v>
      </c>
      <c r="C8577" s="5" t="s">
        <v>59</v>
      </c>
      <c r="D8577" s="5" t="s">
        <v>1359</v>
      </c>
      <c r="E8577" s="8" t="s">
        <v>20</v>
      </c>
      <c r="F8577" s="5" t="s">
        <v>21</v>
      </c>
      <c r="G8577" s="6" t="str">
        <f>VLOOKUP(E8577,dicionario!$A$1:$C8976,2,0)</f>
        <v>Sicalis flaveola</v>
      </c>
      <c r="H8577" s="6" t="str">
        <f>VLOOKUP(E8577,dicionario!$A$1:$C8976,3,0)</f>
        <v>canário-da-terra</v>
      </c>
    </row>
    <row r="8578">
      <c r="A8578" s="3">
        <v>45757.0</v>
      </c>
      <c r="B8578" s="4">
        <v>0.30833333333333335</v>
      </c>
      <c r="C8578" s="5" t="s">
        <v>59</v>
      </c>
      <c r="D8578" s="5" t="s">
        <v>1359</v>
      </c>
      <c r="E8578" s="8" t="s">
        <v>193</v>
      </c>
      <c r="F8578" s="5" t="s">
        <v>194</v>
      </c>
      <c r="G8578" s="6" t="str">
        <f>VLOOKUP(E8578,dicionario!$A$1:$C8977,2,0)</f>
        <v>Conirostrum speciosum</v>
      </c>
      <c r="H8578" s="6" t="str">
        <f>VLOOKUP(E8578,dicionario!$A$1:$C8977,3,0)</f>
        <v>figuinha-de-rabo-castanho</v>
      </c>
    </row>
    <row r="8579">
      <c r="A8579" s="3">
        <v>45757.0</v>
      </c>
      <c r="B8579" s="4">
        <v>0.3090277777777778</v>
      </c>
      <c r="C8579" s="5" t="s">
        <v>59</v>
      </c>
      <c r="D8579" s="5" t="s">
        <v>1359</v>
      </c>
      <c r="E8579" s="6" t="s">
        <v>48</v>
      </c>
      <c r="F8579" s="5" t="s">
        <v>49</v>
      </c>
      <c r="G8579" s="6" t="str">
        <f>VLOOKUP(E8579,dicionario!$A$1:$C8978,2,0)</f>
        <v>Commelina erecta</v>
      </c>
      <c r="H8579" s="6" t="str">
        <f>VLOOKUP(E8579,dicionario!$A$1:$C8978,3,0)</f>
        <v>trapoeraba</v>
      </c>
    </row>
    <row r="8580">
      <c r="A8580" s="3">
        <v>45757.0</v>
      </c>
      <c r="B8580" s="4">
        <v>0.3090277777777778</v>
      </c>
      <c r="C8580" s="5" t="s">
        <v>59</v>
      </c>
      <c r="D8580" s="5" t="s">
        <v>1359</v>
      </c>
      <c r="E8580" s="12" t="s">
        <v>111</v>
      </c>
      <c r="F8580" s="5" t="s">
        <v>112</v>
      </c>
      <c r="G8580" s="6" t="str">
        <f>VLOOKUP(E8580,dicionario!$A$1:$C8979,2,0)</f>
        <v>Trigona spinipes</v>
      </c>
      <c r="H8580" s="6" t="str">
        <f>VLOOKUP(E8580,dicionario!$A$1:$C8979,3,0)</f>
        <v>abelha-cachorro</v>
      </c>
    </row>
    <row r="8581">
      <c r="A8581" s="3">
        <v>45757.0</v>
      </c>
      <c r="B8581" s="4">
        <v>0.30972222222222223</v>
      </c>
      <c r="C8581" s="5" t="s">
        <v>59</v>
      </c>
      <c r="D8581" s="5" t="s">
        <v>1359</v>
      </c>
      <c r="E8581" s="8" t="s">
        <v>1386</v>
      </c>
      <c r="F8581" s="5" t="s">
        <v>484</v>
      </c>
      <c r="G8581" s="6" t="str">
        <f>VLOOKUP(E8581,dicionario!$A$1:$C8980,2,0)</f>
        <v>#N/A</v>
      </c>
      <c r="H8581" s="6" t="str">
        <f>VLOOKUP(E8581,dicionario!$A$1:$C8980,3,0)</f>
        <v>#N/A</v>
      </c>
    </row>
    <row r="8582">
      <c r="A8582" s="3">
        <v>45757.0</v>
      </c>
      <c r="B8582" s="4">
        <v>0.30972222222222223</v>
      </c>
      <c r="C8582" s="5" t="s">
        <v>59</v>
      </c>
      <c r="D8582" s="5" t="s">
        <v>1359</v>
      </c>
      <c r="E8582" s="8" t="s">
        <v>146</v>
      </c>
      <c r="F8582" s="5" t="s">
        <v>147</v>
      </c>
      <c r="G8582" s="6" t="str">
        <f>VLOOKUP(E8582,dicionario!$A$1:$C8981,2,0)</f>
        <v>Euphorbia hirta</v>
      </c>
      <c r="H8582" s="6" t="str">
        <f>VLOOKUP(E8582,dicionario!$A$1:$C8981,3,0)</f>
        <v>erva-de-santa-luzia</v>
      </c>
    </row>
    <row r="8583">
      <c r="A8583" s="3">
        <v>45757.0</v>
      </c>
      <c r="B8583" s="4">
        <v>0.30972222222222223</v>
      </c>
      <c r="C8583" s="5" t="s">
        <v>59</v>
      </c>
      <c r="D8583" s="5" t="s">
        <v>1359</v>
      </c>
      <c r="E8583" s="8" t="s">
        <v>296</v>
      </c>
      <c r="F8583" s="5" t="s">
        <v>297</v>
      </c>
      <c r="G8583" s="6" t="str">
        <f>VLOOKUP(E8583,dicionario!$A$1:$C8982,2,0)</f>
        <v>Richardia brasiliensis</v>
      </c>
      <c r="H8583" s="6" t="str">
        <f>VLOOKUP(E8583,dicionario!$A$1:$C8982,3,0)</f>
        <v>poaia-branca</v>
      </c>
    </row>
    <row r="8584">
      <c r="A8584" s="3">
        <v>45757.0</v>
      </c>
      <c r="B8584" s="4">
        <v>0.30972222222222223</v>
      </c>
      <c r="C8584" s="5" t="s">
        <v>59</v>
      </c>
      <c r="D8584" s="5" t="s">
        <v>1359</v>
      </c>
      <c r="E8584" s="6" t="s">
        <v>467</v>
      </c>
      <c r="F8584" s="5" t="s">
        <v>468</v>
      </c>
      <c r="G8584" s="6" t="str">
        <f>VLOOKUP(E8584,dicionario!$A$1:$C8983,2,0)</f>
        <v>Eleusine indica</v>
      </c>
      <c r="H8584" s="6" t="str">
        <f>VLOOKUP(E8584,dicionario!$A$1:$C8983,3,0)</f>
        <v>capim-pé-de-galinha</v>
      </c>
    </row>
    <row r="8585">
      <c r="A8585" s="3">
        <v>45757.0</v>
      </c>
      <c r="B8585" s="4">
        <v>0.31319444444444444</v>
      </c>
      <c r="C8585" s="5" t="s">
        <v>64</v>
      </c>
      <c r="D8585" s="5" t="s">
        <v>1359</v>
      </c>
      <c r="E8585" s="8" t="s">
        <v>154</v>
      </c>
      <c r="F8585" s="5" t="s">
        <v>155</v>
      </c>
      <c r="G8585" s="6" t="str">
        <f>VLOOKUP(E8585,dicionario!$A$1:$C8984,2,0)</f>
        <v>Cyperus rotundus</v>
      </c>
      <c r="H8585" s="6" t="str">
        <f>VLOOKUP(E8585,dicionario!$A$1:$C8984,3,0)</f>
        <v>tiririca</v>
      </c>
    </row>
    <row r="8586">
      <c r="A8586" s="3">
        <v>45757.0</v>
      </c>
      <c r="B8586" s="4">
        <v>0.31319444444444444</v>
      </c>
      <c r="C8586" s="5" t="s">
        <v>64</v>
      </c>
      <c r="D8586" s="5" t="s">
        <v>1359</v>
      </c>
      <c r="E8586" s="8" t="s">
        <v>1282</v>
      </c>
      <c r="F8586" s="5" t="s">
        <v>182</v>
      </c>
      <c r="G8586" s="6" t="str">
        <f>VLOOKUP(E8586,dicionario!$A$1:$C8985,2,0)</f>
        <v>#N/A</v>
      </c>
      <c r="H8586" s="6" t="str">
        <f>VLOOKUP(E8586,dicionario!$A$1:$C8985,3,0)</f>
        <v>#N/A</v>
      </c>
    </row>
    <row r="8587">
      <c r="A8587" s="3">
        <v>45757.0</v>
      </c>
      <c r="B8587" s="4">
        <v>0.31319444444444444</v>
      </c>
      <c r="C8587" s="5" t="s">
        <v>64</v>
      </c>
      <c r="D8587" s="5" t="s">
        <v>1359</v>
      </c>
      <c r="E8587" s="8" t="s">
        <v>1087</v>
      </c>
      <c r="F8587" s="5" t="s">
        <v>1088</v>
      </c>
      <c r="G8587" s="6" t="str">
        <f>VLOOKUP(E8587,dicionario!$A$1:$C8986,2,0)</f>
        <v>Desmodium triflorum</v>
      </c>
      <c r="H8587" s="6" t="str">
        <f>VLOOKUP(E8587,dicionario!$A$1:$C8986,3,0)</f>
        <v/>
      </c>
    </row>
    <row r="8588">
      <c r="A8588" s="3">
        <v>45757.0</v>
      </c>
      <c r="B8588" s="4">
        <v>0.31319444444444444</v>
      </c>
      <c r="C8588" s="5" t="s">
        <v>64</v>
      </c>
      <c r="D8588" s="5" t="s">
        <v>1359</v>
      </c>
      <c r="E8588" s="8" t="s">
        <v>1312</v>
      </c>
      <c r="F8588" s="5" t="s">
        <v>66</v>
      </c>
      <c r="G8588" s="6" t="str">
        <f>VLOOKUP(E8588,dicionario!$A$1:$C8987,2,0)</f>
        <v>#N/A</v>
      </c>
      <c r="H8588" s="6" t="str">
        <f>VLOOKUP(E8588,dicionario!$A$1:$C8987,3,0)</f>
        <v>#N/A</v>
      </c>
    </row>
    <row r="8589">
      <c r="A8589" s="3">
        <v>45757.0</v>
      </c>
      <c r="B8589" s="4">
        <v>0.3145833333333333</v>
      </c>
      <c r="C8589" s="5" t="s">
        <v>64</v>
      </c>
      <c r="D8589" s="5" t="s">
        <v>1359</v>
      </c>
      <c r="E8589" s="8" t="s">
        <v>143</v>
      </c>
      <c r="F8589" s="5" t="s">
        <v>936</v>
      </c>
      <c r="G8589" s="6" t="str">
        <f>VLOOKUP(E8589,dicionario!$A$1:$C8988,2,0)</f>
        <v>Polybia</v>
      </c>
      <c r="H8589" s="6" t="str">
        <f>VLOOKUP(E8589,dicionario!$A$1:$C8988,3,0)</f>
        <v>vespa</v>
      </c>
    </row>
    <row r="8590">
      <c r="A8590" s="3">
        <v>45757.0</v>
      </c>
      <c r="B8590" s="4">
        <v>0.31527777777777777</v>
      </c>
      <c r="C8590" s="5" t="s">
        <v>64</v>
      </c>
      <c r="D8590" s="5" t="s">
        <v>1359</v>
      </c>
      <c r="E8590" s="8" t="s">
        <v>227</v>
      </c>
      <c r="F8590" s="5" t="s">
        <v>228</v>
      </c>
      <c r="G8590" s="6" t="str">
        <f>VLOOKUP(E8590,dicionario!$A$1:$C8989,2,0)</f>
        <v>Indigofera hirsuta</v>
      </c>
      <c r="H8590" s="6" t="str">
        <f>VLOOKUP(E8590,dicionario!$A$1:$C8989,3,0)</f>
        <v>anileira</v>
      </c>
    </row>
    <row r="8591">
      <c r="A8591" s="3">
        <v>45757.0</v>
      </c>
      <c r="B8591" s="4">
        <v>0.31527777777777777</v>
      </c>
      <c r="C8591" s="5" t="s">
        <v>64</v>
      </c>
      <c r="D8591" s="5" t="s">
        <v>1359</v>
      </c>
      <c r="E8591" s="8" t="s">
        <v>20</v>
      </c>
      <c r="F8591" s="5" t="s">
        <v>21</v>
      </c>
      <c r="G8591" s="6" t="str">
        <f>VLOOKUP(E8591,dicionario!$A$1:$C8990,2,0)</f>
        <v>Sicalis flaveola</v>
      </c>
      <c r="H8591" s="6" t="str">
        <f>VLOOKUP(E8591,dicionario!$A$1:$C8990,3,0)</f>
        <v>canário-da-terra</v>
      </c>
    </row>
    <row r="8592">
      <c r="A8592" s="3">
        <v>45757.0</v>
      </c>
      <c r="B8592" s="4">
        <v>0.31527777777777777</v>
      </c>
      <c r="C8592" s="5" t="s">
        <v>64</v>
      </c>
      <c r="D8592" s="5" t="s">
        <v>1359</v>
      </c>
      <c r="E8592" s="8" t="s">
        <v>1338</v>
      </c>
      <c r="F8592" s="5" t="s">
        <v>862</v>
      </c>
      <c r="G8592" s="6" t="str">
        <f>VLOOKUP(E8592,dicionario!$A$1:$C8991,2,0)</f>
        <v>#N/A</v>
      </c>
      <c r="H8592" s="6" t="str">
        <f>VLOOKUP(E8592,dicionario!$A$1:$C8991,3,0)</f>
        <v>#N/A</v>
      </c>
    </row>
    <row r="8593">
      <c r="A8593" s="3">
        <v>45757.0</v>
      </c>
      <c r="B8593" s="4">
        <v>0.3159722222222222</v>
      </c>
      <c r="C8593" s="5" t="s">
        <v>76</v>
      </c>
      <c r="D8593" s="5" t="s">
        <v>1359</v>
      </c>
      <c r="E8593" s="8" t="s">
        <v>1332</v>
      </c>
      <c r="F8593" s="5" t="s">
        <v>145</v>
      </c>
      <c r="G8593" s="6" t="str">
        <f>VLOOKUP(E8593,dicionario!$A$1:$C8992,2,0)</f>
        <v>#N/A</v>
      </c>
      <c r="H8593" s="6" t="str">
        <f>VLOOKUP(E8593,dicionario!$A$1:$C8992,3,0)</f>
        <v>#N/A</v>
      </c>
    </row>
    <row r="8594">
      <c r="A8594" s="3">
        <v>45757.0</v>
      </c>
      <c r="B8594" s="4">
        <v>0.3159722222222222</v>
      </c>
      <c r="C8594" s="5" t="s">
        <v>76</v>
      </c>
      <c r="D8594" s="5" t="s">
        <v>1359</v>
      </c>
      <c r="E8594" s="8" t="s">
        <v>150</v>
      </c>
      <c r="F8594" s="5" t="s">
        <v>151</v>
      </c>
      <c r="G8594" s="6" t="str">
        <f>VLOOKUP(E8594,dicionario!$A$1:$C8993,2,0)</f>
        <v>Amaranthus viridis</v>
      </c>
      <c r="H8594" s="6" t="str">
        <f>VLOOKUP(E8594,dicionario!$A$1:$C8993,3,0)</f>
        <v>caruru-de-mancha</v>
      </c>
    </row>
    <row r="8595">
      <c r="A8595" s="3">
        <v>45757.0</v>
      </c>
      <c r="B8595" s="4">
        <v>0.31666666666666665</v>
      </c>
      <c r="C8595" s="5" t="s">
        <v>76</v>
      </c>
      <c r="D8595" s="5" t="s">
        <v>1359</v>
      </c>
      <c r="E8595" s="8" t="s">
        <v>1353</v>
      </c>
      <c r="F8595" s="5" t="s">
        <v>142</v>
      </c>
      <c r="G8595" s="6" t="str">
        <f>VLOOKUP(E8595,dicionario!$A$1:$C8994,2,0)</f>
        <v>#N/A</v>
      </c>
      <c r="H8595" s="6" t="str">
        <f>VLOOKUP(E8595,dicionario!$A$1:$C8994,3,0)</f>
        <v>#N/A</v>
      </c>
    </row>
    <row r="8596">
      <c r="A8596" s="3">
        <v>45757.0</v>
      </c>
      <c r="B8596" s="4">
        <v>0.31875</v>
      </c>
      <c r="C8596" s="5" t="s">
        <v>76</v>
      </c>
      <c r="D8596" s="5" t="s">
        <v>1359</v>
      </c>
      <c r="E8596" s="8" t="s">
        <v>1311</v>
      </c>
      <c r="F8596" s="5" t="s">
        <v>114</v>
      </c>
      <c r="G8596" s="6" t="str">
        <f>VLOOKUP(E8596,dicionario!$A$1:$C8995,2,0)</f>
        <v>#N/A</v>
      </c>
      <c r="H8596" s="6" t="str">
        <f>VLOOKUP(E8596,dicionario!$A$1:$C8995,3,0)</f>
        <v>#N/A</v>
      </c>
    </row>
    <row r="8597">
      <c r="A8597" s="3">
        <v>45757.0</v>
      </c>
      <c r="B8597" s="4">
        <v>0.3194444444444444</v>
      </c>
      <c r="C8597" s="5" t="s">
        <v>76</v>
      </c>
      <c r="D8597" s="5" t="s">
        <v>1359</v>
      </c>
      <c r="E8597" s="8" t="s">
        <v>1334</v>
      </c>
      <c r="F8597" s="5" t="s">
        <v>84</v>
      </c>
      <c r="G8597" s="6" t="str">
        <f>VLOOKUP(E8597,dicionario!$A$1:$C8996,2,0)</f>
        <v>#N/A</v>
      </c>
      <c r="H8597" s="6" t="str">
        <f>VLOOKUP(E8597,dicionario!$A$1:$C8996,3,0)</f>
        <v>#N/A</v>
      </c>
    </row>
    <row r="8598">
      <c r="A8598" s="3">
        <v>45757.0</v>
      </c>
      <c r="B8598" s="4">
        <v>0.3194444444444444</v>
      </c>
      <c r="C8598" s="5" t="s">
        <v>76</v>
      </c>
      <c r="D8598" s="5" t="s">
        <v>1359</v>
      </c>
      <c r="E8598" s="8" t="s">
        <v>239</v>
      </c>
      <c r="F8598" s="5" t="s">
        <v>240</v>
      </c>
      <c r="G8598" s="6" t="str">
        <f>VLOOKUP(E8598,dicionario!$A$1:$C8997,2,0)</f>
        <v>Gomphrena celosioides</v>
      </c>
      <c r="H8598" s="6" t="str">
        <f>VLOOKUP(E8598,dicionario!$A$1:$C8997,3,0)</f>
        <v>perpétua-branca</v>
      </c>
    </row>
    <row r="8599">
      <c r="A8599" s="3">
        <v>45757.0</v>
      </c>
      <c r="B8599" s="4">
        <v>0.3194444444444444</v>
      </c>
      <c r="C8599" s="5" t="s">
        <v>76</v>
      </c>
      <c r="D8599" s="5" t="s">
        <v>1359</v>
      </c>
      <c r="E8599" s="8" t="s">
        <v>498</v>
      </c>
      <c r="F8599" s="5" t="s">
        <v>499</v>
      </c>
      <c r="G8599" s="6" t="str">
        <f>VLOOKUP(E8599,dicionario!$A$1:$C8998,2,0)</f>
        <v>Brachiaria decumbens</v>
      </c>
      <c r="H8599" s="6" t="str">
        <f>VLOOKUP(E8599,dicionario!$A$1:$C8998,3,0)</f>
        <v>capim-braquiária</v>
      </c>
    </row>
    <row r="8600">
      <c r="A8600" s="3">
        <v>45757.0</v>
      </c>
      <c r="B8600" s="4">
        <v>0.3194444444444444</v>
      </c>
      <c r="C8600" s="5" t="s">
        <v>76</v>
      </c>
      <c r="D8600" s="5" t="s">
        <v>1359</v>
      </c>
      <c r="E8600" s="6" t="s">
        <v>467</v>
      </c>
      <c r="F8600" s="5" t="s">
        <v>468</v>
      </c>
      <c r="G8600" s="6" t="str">
        <f>VLOOKUP(E8600,dicionario!$A$1:$C8999,2,0)</f>
        <v>Eleusine indica</v>
      </c>
      <c r="H8600" s="6" t="str">
        <f>VLOOKUP(E8600,dicionario!$A$1:$C8999,3,0)</f>
        <v>capim-pé-de-galinha</v>
      </c>
    </row>
    <row r="8601">
      <c r="A8601" s="3">
        <v>45757.0</v>
      </c>
      <c r="B8601" s="4">
        <v>0.32083333333333336</v>
      </c>
      <c r="C8601" s="5" t="s">
        <v>76</v>
      </c>
      <c r="D8601" s="5" t="s">
        <v>1359</v>
      </c>
      <c r="E8601" s="8" t="s">
        <v>296</v>
      </c>
      <c r="F8601" s="5" t="s">
        <v>297</v>
      </c>
      <c r="G8601" s="6" t="str">
        <f>VLOOKUP(E8601,dicionario!$A$1:$C9000,2,0)</f>
        <v>Richardia brasiliensis</v>
      </c>
      <c r="H8601" s="6" t="str">
        <f>VLOOKUP(E8601,dicionario!$A$1:$C9000,3,0)</f>
        <v>poaia-branca</v>
      </c>
    </row>
    <row r="8602">
      <c r="A8602" s="3">
        <v>45757.0</v>
      </c>
      <c r="B8602" s="4">
        <v>0.32083333333333336</v>
      </c>
      <c r="C8602" s="5" t="s">
        <v>76</v>
      </c>
      <c r="D8602" s="5" t="s">
        <v>1359</v>
      </c>
      <c r="E8602" s="8" t="s">
        <v>146</v>
      </c>
      <c r="F8602" s="5" t="s">
        <v>147</v>
      </c>
      <c r="G8602" s="6" t="str">
        <f>VLOOKUP(E8602,dicionario!$A$1:$C9001,2,0)</f>
        <v>Euphorbia hirta</v>
      </c>
      <c r="H8602" s="6" t="str">
        <f>VLOOKUP(E8602,dicionario!$A$1:$C9001,3,0)</f>
        <v>erva-de-santa-luzia</v>
      </c>
    </row>
    <row r="8603">
      <c r="A8603" s="3">
        <v>45757.0</v>
      </c>
      <c r="B8603" s="4">
        <v>0.32083333333333336</v>
      </c>
      <c r="C8603" s="5" t="s">
        <v>76</v>
      </c>
      <c r="D8603" s="5" t="s">
        <v>1359</v>
      </c>
      <c r="E8603" s="6" t="s">
        <v>148</v>
      </c>
      <c r="F8603" s="5" t="s">
        <v>149</v>
      </c>
      <c r="G8603" s="6" t="str">
        <f>VLOOKUP(E8603,dicionario!$A$1:$C9002,2,0)</f>
        <v>Parthenium hysterophorus</v>
      </c>
      <c r="H8603" s="6" t="str">
        <f>VLOOKUP(E8603,dicionario!$A$1:$C9002,3,0)</f>
        <v>losna-branca</v>
      </c>
    </row>
    <row r="8604">
      <c r="A8604" s="3">
        <v>45757.0</v>
      </c>
      <c r="B8604" s="4">
        <v>0.32222222222222224</v>
      </c>
      <c r="C8604" s="5" t="s">
        <v>76</v>
      </c>
      <c r="D8604" s="5" t="s">
        <v>1359</v>
      </c>
      <c r="E8604" s="8" t="s">
        <v>41</v>
      </c>
      <c r="F8604" s="5" t="s">
        <v>45</v>
      </c>
      <c r="G8604" s="6" t="str">
        <f>VLOOKUP(E8604,dicionario!$A$1:$C9003,2,0)</f>
        <v>Mimosa pudica</v>
      </c>
      <c r="H8604" s="6" t="str">
        <f>VLOOKUP(E8604,dicionario!$A$1:$C9003,3,0)</f>
        <v>dormideira</v>
      </c>
    </row>
    <row r="8605">
      <c r="A8605" s="3">
        <v>45757.0</v>
      </c>
      <c r="B8605" s="4">
        <v>0.3236111111111111</v>
      </c>
      <c r="C8605" s="5" t="s">
        <v>76</v>
      </c>
      <c r="D8605" s="5" t="s">
        <v>1359</v>
      </c>
      <c r="E8605" s="8" t="s">
        <v>1294</v>
      </c>
      <c r="F8605" s="5" t="s">
        <v>97</v>
      </c>
      <c r="G8605" s="6" t="str">
        <f>VLOOKUP(E8605,dicionario!$A$1:$C9004,2,0)</f>
        <v>#N/A</v>
      </c>
      <c r="H8605" s="6" t="str">
        <f>VLOOKUP(E8605,dicionario!$A$1:$C9004,3,0)</f>
        <v>#N/A</v>
      </c>
    </row>
    <row r="8606">
      <c r="A8606" s="3">
        <v>45757.0</v>
      </c>
      <c r="B8606" s="4">
        <v>0.3236111111111111</v>
      </c>
      <c r="C8606" s="5" t="s">
        <v>76</v>
      </c>
      <c r="D8606" s="5" t="s">
        <v>1359</v>
      </c>
      <c r="E8606" s="8" t="s">
        <v>1336</v>
      </c>
      <c r="F8606" s="5" t="s">
        <v>226</v>
      </c>
      <c r="G8606" s="6" t="str">
        <f>VLOOKUP(E8606,dicionario!$A$1:$C9005,2,0)</f>
        <v>#N/A</v>
      </c>
      <c r="H8606" s="6" t="str">
        <f>VLOOKUP(E8606,dicionario!$A$1:$C9005,3,0)</f>
        <v>#N/A</v>
      </c>
    </row>
    <row r="8607">
      <c r="A8607" s="3">
        <v>45757.0</v>
      </c>
      <c r="B8607" s="4">
        <v>0.3236111111111111</v>
      </c>
      <c r="C8607" s="5" t="s">
        <v>76</v>
      </c>
      <c r="D8607" s="5" t="s">
        <v>1359</v>
      </c>
      <c r="E8607" s="8" t="s">
        <v>163</v>
      </c>
      <c r="F8607" s="5" t="s">
        <v>164</v>
      </c>
      <c r="G8607" s="6" t="str">
        <f>VLOOKUP(E8607,dicionario!$A$1:$C9006,2,0)</f>
        <v>Coragyps atratus</v>
      </c>
      <c r="H8607" s="6" t="str">
        <f>VLOOKUP(E8607,dicionario!$A$1:$C9006,3,0)</f>
        <v>urubu-de-cabeça-preta</v>
      </c>
    </row>
    <row r="8608">
      <c r="A8608" s="3">
        <v>45757.0</v>
      </c>
      <c r="B8608" s="4">
        <v>0.35347222222222224</v>
      </c>
      <c r="C8608" s="5" t="s">
        <v>85</v>
      </c>
      <c r="D8608" s="5" t="s">
        <v>1359</v>
      </c>
      <c r="E8608" s="8" t="s">
        <v>1332</v>
      </c>
      <c r="F8608" s="5" t="s">
        <v>145</v>
      </c>
      <c r="G8608" s="6" t="str">
        <f>VLOOKUP(E8608,dicionario!$A$1:$C9007,2,0)</f>
        <v>#N/A</v>
      </c>
      <c r="H8608" s="6" t="str">
        <f>VLOOKUP(E8608,dicionario!$A$1:$C9007,3,0)</f>
        <v>#N/A</v>
      </c>
    </row>
    <row r="8609">
      <c r="A8609" s="3">
        <v>45757.0</v>
      </c>
      <c r="B8609" s="4">
        <v>0.35347222222222224</v>
      </c>
      <c r="C8609" s="5" t="s">
        <v>85</v>
      </c>
      <c r="D8609" s="5" t="s">
        <v>1359</v>
      </c>
      <c r="E8609" s="8" t="s">
        <v>146</v>
      </c>
      <c r="F8609" s="5" t="s">
        <v>147</v>
      </c>
      <c r="G8609" s="6" t="str">
        <f>VLOOKUP(E8609,dicionario!$A$1:$C9008,2,0)</f>
        <v>Euphorbia hirta</v>
      </c>
      <c r="H8609" s="6" t="str">
        <f>VLOOKUP(E8609,dicionario!$A$1:$C9008,3,0)</f>
        <v>erva-de-santa-luzia</v>
      </c>
    </row>
    <row r="8610">
      <c r="A8610" s="3">
        <v>45757.0</v>
      </c>
      <c r="B8610" s="4">
        <v>0.35347222222222224</v>
      </c>
      <c r="C8610" s="5" t="s">
        <v>85</v>
      </c>
      <c r="D8610" s="5" t="s">
        <v>1359</v>
      </c>
      <c r="E8610" s="8" t="s">
        <v>193</v>
      </c>
      <c r="F8610" s="5" t="s">
        <v>194</v>
      </c>
      <c r="G8610" s="6" t="str">
        <f>VLOOKUP(E8610,dicionario!$A$1:$C9009,2,0)</f>
        <v>Conirostrum speciosum</v>
      </c>
      <c r="H8610" s="6" t="str">
        <f>VLOOKUP(E8610,dicionario!$A$1:$C9009,3,0)</f>
        <v>figuinha-de-rabo-castanho</v>
      </c>
    </row>
    <row r="8611">
      <c r="A8611" s="3">
        <v>45757.0</v>
      </c>
      <c r="B8611" s="4">
        <v>0.3541666666666667</v>
      </c>
      <c r="C8611" s="5" t="s">
        <v>85</v>
      </c>
      <c r="D8611" s="5" t="s">
        <v>1359</v>
      </c>
      <c r="E8611" s="8" t="s">
        <v>122</v>
      </c>
      <c r="F8611" s="5" t="s">
        <v>123</v>
      </c>
      <c r="G8611" s="6" t="str">
        <f>VLOOKUP(E8611,dicionario!$A$1:$C9010,2,0)</f>
        <v>Todirostrum cinereum</v>
      </c>
      <c r="H8611" s="6" t="str">
        <f>VLOOKUP(E8611,dicionario!$A$1:$C9010,3,0)</f>
        <v>ferreirinho-relógio</v>
      </c>
    </row>
    <row r="8612">
      <c r="A8612" s="3">
        <v>45757.0</v>
      </c>
      <c r="B8612" s="4">
        <v>0.3541666666666667</v>
      </c>
      <c r="C8612" s="5" t="s">
        <v>85</v>
      </c>
      <c r="D8612" s="5" t="s">
        <v>1359</v>
      </c>
      <c r="E8612" s="8" t="s">
        <v>758</v>
      </c>
      <c r="F8612" s="5" t="s">
        <v>759</v>
      </c>
      <c r="G8612" s="6" t="str">
        <f>VLOOKUP(E8612,dicionario!$A$1:$C9011,2,0)</f>
        <v>Cyperus esculentus</v>
      </c>
      <c r="H8612" s="6" t="str">
        <f>VLOOKUP(E8612,dicionario!$A$1:$C9011,3,0)</f>
        <v>tiriricão</v>
      </c>
    </row>
    <row r="8613">
      <c r="A8613" s="3">
        <v>45757.0</v>
      </c>
      <c r="B8613" s="4">
        <v>0.3541666666666667</v>
      </c>
      <c r="C8613" s="5" t="s">
        <v>85</v>
      </c>
      <c r="D8613" s="5" t="s">
        <v>1359</v>
      </c>
      <c r="E8613" s="8" t="s">
        <v>109</v>
      </c>
      <c r="F8613" s="5" t="s">
        <v>110</v>
      </c>
      <c r="G8613" s="6" t="str">
        <f>VLOOKUP(E8613,dicionario!$A$1:$C9012,2,0)</f>
        <v>Tillandsia stricta</v>
      </c>
      <c r="H8613" s="6" t="str">
        <f>VLOOKUP(E8613,dicionario!$A$1:$C9012,3,0)</f>
        <v>cravo-do-mato</v>
      </c>
    </row>
    <row r="8614">
      <c r="A8614" s="3">
        <v>45757.0</v>
      </c>
      <c r="B8614" s="4">
        <v>0.3541666666666667</v>
      </c>
      <c r="C8614" s="5" t="s">
        <v>85</v>
      </c>
      <c r="D8614" s="5" t="s">
        <v>1359</v>
      </c>
      <c r="E8614" s="20" t="s">
        <v>676</v>
      </c>
      <c r="F8614" s="5" t="s">
        <v>677</v>
      </c>
      <c r="G8614" s="6" t="str">
        <f>VLOOKUP(E8614,dicionario!$A$1:$C9013,2,0)</f>
        <v>Zornia latifolia</v>
      </c>
      <c r="H8614" s="6" t="str">
        <f>VLOOKUP(E8614,dicionario!$A$1:$C9013,3,0)</f>
        <v>arrozinho-do-campo</v>
      </c>
    </row>
    <row r="8615">
      <c r="A8615" s="3">
        <v>45757.0</v>
      </c>
      <c r="B8615" s="4">
        <v>0.3541666666666667</v>
      </c>
      <c r="C8615" s="5" t="s">
        <v>85</v>
      </c>
      <c r="D8615" s="5" t="s">
        <v>1359</v>
      </c>
      <c r="E8615" s="8" t="s">
        <v>1387</v>
      </c>
      <c r="F8615" s="5" t="s">
        <v>259</v>
      </c>
      <c r="G8615" s="6" t="str">
        <f>VLOOKUP(E8615,dicionario!$A$1:$C9014,2,0)</f>
        <v>#N/A</v>
      </c>
      <c r="H8615" s="6" t="str">
        <f>VLOOKUP(E8615,dicionario!$A$1:$C9014,3,0)</f>
        <v>#N/A</v>
      </c>
    </row>
    <row r="8616">
      <c r="A8616" s="3">
        <v>45757.0</v>
      </c>
      <c r="B8616" s="4">
        <v>0.3541666666666667</v>
      </c>
      <c r="C8616" s="5" t="s">
        <v>85</v>
      </c>
      <c r="D8616" s="5" t="s">
        <v>1359</v>
      </c>
      <c r="E8616" s="8" t="s">
        <v>1299</v>
      </c>
      <c r="F8616" s="5" t="s">
        <v>1014</v>
      </c>
      <c r="G8616" s="6" t="str">
        <f>VLOOKUP(E8616,dicionario!$A$1:$C9015,2,0)</f>
        <v>#N/A</v>
      </c>
      <c r="H8616" s="6" t="str">
        <f>VLOOKUP(E8616,dicionario!$A$1:$C9015,3,0)</f>
        <v>#N/A</v>
      </c>
    </row>
    <row r="8617">
      <c r="A8617" s="3">
        <v>45757.0</v>
      </c>
      <c r="B8617" s="4">
        <v>0.3548611111111111</v>
      </c>
      <c r="C8617" s="5" t="s">
        <v>85</v>
      </c>
      <c r="D8617" s="5" t="s">
        <v>1359</v>
      </c>
      <c r="E8617" s="8" t="s">
        <v>1312</v>
      </c>
      <c r="F8617" s="5" t="s">
        <v>66</v>
      </c>
      <c r="G8617" s="6" t="str">
        <f>VLOOKUP(E8617,dicionario!$A$1:$C9016,2,0)</f>
        <v>#N/A</v>
      </c>
      <c r="H8617" s="6" t="str">
        <f>VLOOKUP(E8617,dicionario!$A$1:$C9016,3,0)</f>
        <v>#N/A</v>
      </c>
    </row>
    <row r="8618">
      <c r="A8618" s="3">
        <v>45757.0</v>
      </c>
      <c r="B8618" s="4">
        <v>0.3548611111111111</v>
      </c>
      <c r="C8618" s="5" t="s">
        <v>85</v>
      </c>
      <c r="D8618" s="5" t="s">
        <v>1359</v>
      </c>
      <c r="E8618" s="8" t="s">
        <v>135</v>
      </c>
      <c r="F8618" s="5" t="s">
        <v>136</v>
      </c>
      <c r="G8618" s="6" t="str">
        <f>VLOOKUP(E8618,dicionario!$A$1:$C9017,2,0)</f>
        <v>Tridax procumbens</v>
      </c>
      <c r="H8618" s="6" t="str">
        <f>VLOOKUP(E8618,dicionario!$A$1:$C9017,3,0)</f>
        <v>erva-de-touro</v>
      </c>
    </row>
    <row r="8619">
      <c r="A8619" s="3">
        <v>45757.0</v>
      </c>
      <c r="B8619" s="4">
        <v>0.35555555555555557</v>
      </c>
      <c r="C8619" s="5" t="s">
        <v>85</v>
      </c>
      <c r="D8619" s="5" t="s">
        <v>1359</v>
      </c>
      <c r="E8619" s="8" t="s">
        <v>498</v>
      </c>
      <c r="F8619" s="5" t="s">
        <v>499</v>
      </c>
      <c r="G8619" s="6" t="str">
        <f>VLOOKUP(E8619,dicionario!$A$1:$C9018,2,0)</f>
        <v>Brachiaria decumbens</v>
      </c>
      <c r="H8619" s="6" t="str">
        <f>VLOOKUP(E8619,dicionario!$A$1:$C9018,3,0)</f>
        <v>capim-braquiária</v>
      </c>
    </row>
    <row r="8620">
      <c r="A8620" s="3">
        <v>45757.0</v>
      </c>
      <c r="B8620" s="4">
        <v>0.35625</v>
      </c>
      <c r="C8620" s="5" t="s">
        <v>85</v>
      </c>
      <c r="D8620" s="5" t="s">
        <v>1359</v>
      </c>
      <c r="E8620" s="12" t="s">
        <v>243</v>
      </c>
      <c r="F8620" s="5" t="s">
        <v>244</v>
      </c>
      <c r="G8620" s="6" t="str">
        <f>VLOOKUP(E8620,dicionario!$A$1:$C9019,2,0)</f>
        <v>Macroptilium atropurpureum</v>
      </c>
      <c r="H8620" s="6" t="str">
        <f>VLOOKUP(E8620,dicionario!$A$1:$C9019,3,0)</f>
        <v>feijão-de-pombo</v>
      </c>
    </row>
    <row r="8621">
      <c r="A8621" s="3">
        <v>45757.0</v>
      </c>
      <c r="B8621" s="4">
        <v>0.35625</v>
      </c>
      <c r="C8621" s="5" t="s">
        <v>85</v>
      </c>
      <c r="D8621" s="5" t="s">
        <v>1359</v>
      </c>
      <c r="E8621" s="8" t="s">
        <v>1311</v>
      </c>
      <c r="F8621" s="5" t="s">
        <v>114</v>
      </c>
      <c r="G8621" s="6" t="str">
        <f>VLOOKUP(E8621,dicionario!$A$1:$C9020,2,0)</f>
        <v>#N/A</v>
      </c>
      <c r="H8621" s="6" t="str">
        <f>VLOOKUP(E8621,dicionario!$A$1:$C9020,3,0)</f>
        <v>#N/A</v>
      </c>
    </row>
    <row r="8622">
      <c r="A8622" s="3">
        <v>45757.0</v>
      </c>
      <c r="B8622" s="4">
        <v>0.35625</v>
      </c>
      <c r="C8622" s="5" t="s">
        <v>85</v>
      </c>
      <c r="D8622" s="5" t="s">
        <v>1359</v>
      </c>
      <c r="E8622" s="8" t="s">
        <v>1328</v>
      </c>
      <c r="F8622" s="5" t="s">
        <v>356</v>
      </c>
      <c r="G8622" s="6" t="str">
        <f>VLOOKUP(E8622,dicionario!$A$1:$C9021,2,0)</f>
        <v>#N/A</v>
      </c>
      <c r="H8622" s="6" t="str">
        <f>VLOOKUP(E8622,dicionario!$A$1:$C9021,3,0)</f>
        <v>#N/A</v>
      </c>
    </row>
    <row r="8623">
      <c r="A8623" s="3">
        <v>45757.0</v>
      </c>
      <c r="B8623" s="4">
        <v>0.35625</v>
      </c>
      <c r="C8623" s="5" t="s">
        <v>85</v>
      </c>
      <c r="D8623" s="5" t="s">
        <v>1359</v>
      </c>
      <c r="E8623" s="8" t="s">
        <v>1386</v>
      </c>
      <c r="F8623" s="5" t="s">
        <v>484</v>
      </c>
      <c r="G8623" s="6" t="str">
        <f>VLOOKUP(E8623,dicionario!$A$1:$C9022,2,0)</f>
        <v>#N/A</v>
      </c>
      <c r="H8623" s="6" t="str">
        <f>VLOOKUP(E8623,dicionario!$A$1:$C9022,3,0)</f>
        <v>#N/A</v>
      </c>
    </row>
    <row r="8624">
      <c r="A8624" s="3">
        <v>45757.0</v>
      </c>
      <c r="B8624" s="4">
        <v>0.35625</v>
      </c>
      <c r="C8624" s="5" t="s">
        <v>85</v>
      </c>
      <c r="D8624" s="5" t="s">
        <v>1359</v>
      </c>
      <c r="E8624" s="8" t="s">
        <v>928</v>
      </c>
      <c r="F8624" s="5" t="s">
        <v>418</v>
      </c>
      <c r="G8624" s="6" t="str">
        <f>VLOOKUP(E8624,dicionario!$A$1:$C9023,2,0)</f>
        <v>Camponotus</v>
      </c>
      <c r="H8624" s="6" t="str">
        <f>VLOOKUP(E8624,dicionario!$A$1:$C9023,3,0)</f>
        <v>formiga-preta</v>
      </c>
    </row>
    <row r="8625">
      <c r="A8625" s="3">
        <v>45757.0</v>
      </c>
      <c r="B8625" s="4">
        <v>0.35694444444444445</v>
      </c>
      <c r="C8625" s="5" t="s">
        <v>85</v>
      </c>
      <c r="D8625" s="5" t="s">
        <v>1359</v>
      </c>
      <c r="E8625" s="6" t="s">
        <v>53</v>
      </c>
      <c r="F8625" s="5" t="s">
        <v>54</v>
      </c>
      <c r="G8625" s="6" t="str">
        <f>VLOOKUP(E8625,dicionario!$A$1:$C9024,2,0)</f>
        <v>Turnera subulata</v>
      </c>
      <c r="H8625" s="6" t="str">
        <f>VLOOKUP(E8625,dicionario!$A$1:$C9024,3,0)</f>
        <v>xanana</v>
      </c>
    </row>
    <row r="8626">
      <c r="A8626" s="3">
        <v>45757.0</v>
      </c>
      <c r="B8626" s="4">
        <v>0.35694444444444445</v>
      </c>
      <c r="C8626" s="5" t="s">
        <v>85</v>
      </c>
      <c r="D8626" s="5" t="s">
        <v>1359</v>
      </c>
      <c r="E8626" s="8" t="s">
        <v>271</v>
      </c>
      <c r="F8626" s="5" t="s">
        <v>1169</v>
      </c>
      <c r="G8626" s="6" t="str">
        <f>VLOOKUP(E8626,dicionario!$A$1:$C9025,2,0)</f>
        <v>Cyanthillium cinereum</v>
      </c>
      <c r="H8626" s="6" t="str">
        <f>VLOOKUP(E8626,dicionario!$A$1:$C9025,3,0)</f>
        <v>emília</v>
      </c>
    </row>
    <row r="8627">
      <c r="A8627" s="3">
        <v>45757.0</v>
      </c>
      <c r="B8627" s="4">
        <v>0.35833333333333334</v>
      </c>
      <c r="C8627" s="5" t="s">
        <v>85</v>
      </c>
      <c r="D8627" s="5" t="s">
        <v>1359</v>
      </c>
      <c r="E8627" s="8" t="s">
        <v>1367</v>
      </c>
      <c r="F8627" s="5" t="s">
        <v>387</v>
      </c>
      <c r="G8627" s="6" t="str">
        <f>VLOOKUP(E8627,dicionario!$A$1:$C9026,2,0)</f>
        <v>#N/A</v>
      </c>
      <c r="H8627" s="6" t="str">
        <f>VLOOKUP(E8627,dicionario!$A$1:$C9026,3,0)</f>
        <v>#N/A</v>
      </c>
    </row>
    <row r="8628">
      <c r="A8628" s="3">
        <v>45757.0</v>
      </c>
      <c r="B8628" s="4">
        <v>0.35833333333333334</v>
      </c>
      <c r="C8628" s="5" t="s">
        <v>85</v>
      </c>
      <c r="D8628" s="5" t="s">
        <v>1359</v>
      </c>
      <c r="E8628" s="8" t="s">
        <v>358</v>
      </c>
      <c r="F8628" s="5" t="s">
        <v>567</v>
      </c>
      <c r="G8628" s="6" t="str">
        <f>VLOOKUP(E8628,dicionario!$A$1:$C9027,2,0)</f>
        <v>Sida</v>
      </c>
      <c r="H8628" s="6" t="str">
        <f>VLOOKUP(E8628,dicionario!$A$1:$C9027,3,0)</f>
        <v/>
      </c>
    </row>
    <row r="8629">
      <c r="A8629" s="3">
        <v>45757.0</v>
      </c>
      <c r="B8629" s="4">
        <v>0.35833333333333334</v>
      </c>
      <c r="C8629" s="5" t="s">
        <v>85</v>
      </c>
      <c r="D8629" s="5" t="s">
        <v>1359</v>
      </c>
      <c r="E8629" s="8" t="s">
        <v>1358</v>
      </c>
      <c r="F8629" s="5" t="s">
        <v>320</v>
      </c>
      <c r="G8629" s="6" t="str">
        <f>VLOOKUP(E8629,dicionario!$A$1:$C9028,2,0)</f>
        <v>#N/A</v>
      </c>
      <c r="H8629" s="6" t="str">
        <f>VLOOKUP(E8629,dicionario!$A$1:$C9028,3,0)</f>
        <v>#N/A</v>
      </c>
    </row>
    <row r="8630">
      <c r="A8630" s="3">
        <v>45757.0</v>
      </c>
      <c r="B8630" s="4">
        <v>0.3590277777777778</v>
      </c>
      <c r="C8630" s="5" t="s">
        <v>85</v>
      </c>
      <c r="D8630" s="5" t="s">
        <v>1359</v>
      </c>
      <c r="E8630" s="8" t="s">
        <v>1352</v>
      </c>
      <c r="F8630" s="7"/>
      <c r="G8630" s="6" t="str">
        <f>VLOOKUP(E8630,dicionario!$A$1:$C9029,2,0)</f>
        <v>#N/A</v>
      </c>
      <c r="H8630" s="6" t="str">
        <f>VLOOKUP(E8630,dicionario!$A$1:$C9029,3,0)</f>
        <v>#N/A</v>
      </c>
    </row>
    <row r="8631">
      <c r="A8631" s="3">
        <v>45757.0</v>
      </c>
      <c r="B8631" s="4">
        <v>0.3590277777777778</v>
      </c>
      <c r="C8631" s="5" t="s">
        <v>85</v>
      </c>
      <c r="D8631" s="5" t="s">
        <v>1359</v>
      </c>
      <c r="E8631" s="8" t="s">
        <v>191</v>
      </c>
      <c r="F8631" s="5" t="s">
        <v>192</v>
      </c>
      <c r="G8631" s="6" t="str">
        <f>VLOOKUP(E8631,dicionario!$A$1:$C9030,2,0)</f>
        <v>Patagioenas picazuro</v>
      </c>
      <c r="H8631" s="6" t="str">
        <f>VLOOKUP(E8631,dicionario!$A$1:$C9030,3,0)</f>
        <v>asa-branca; pomba-asa-branca; pocaçu</v>
      </c>
    </row>
    <row r="8632">
      <c r="A8632" s="3">
        <v>45757.0</v>
      </c>
      <c r="B8632" s="4">
        <v>0.3590277777777778</v>
      </c>
      <c r="C8632" s="5" t="s">
        <v>85</v>
      </c>
      <c r="D8632" s="5" t="s">
        <v>1359</v>
      </c>
      <c r="E8632" s="8" t="s">
        <v>38</v>
      </c>
      <c r="F8632" s="5" t="s">
        <v>1251</v>
      </c>
      <c r="G8632" s="6" t="str">
        <f>VLOOKUP(E8632,dicionario!$A$1:$C9031,2,0)</f>
        <v>Troglodytes musculus</v>
      </c>
      <c r="H8632" s="6" t="str">
        <f>VLOOKUP(E8632,dicionario!$A$1:$C9031,3,0)</f>
        <v>curruíra</v>
      </c>
    </row>
    <row r="8633">
      <c r="A8633" s="3">
        <v>45757.0</v>
      </c>
      <c r="B8633" s="4">
        <v>0.3597222222222222</v>
      </c>
      <c r="C8633" s="5" t="s">
        <v>85</v>
      </c>
      <c r="D8633" s="5" t="s">
        <v>1359</v>
      </c>
      <c r="E8633" s="8" t="s">
        <v>928</v>
      </c>
      <c r="F8633" s="5" t="s">
        <v>418</v>
      </c>
      <c r="G8633" s="6" t="str">
        <f>VLOOKUP(E8633,dicionario!$A$1:$C9032,2,0)</f>
        <v>Camponotus</v>
      </c>
      <c r="H8633" s="6" t="str">
        <f>VLOOKUP(E8633,dicionario!$A$1:$C9032,3,0)</f>
        <v>formiga-preta</v>
      </c>
    </row>
    <row r="8634">
      <c r="A8634" s="3">
        <v>45757.0</v>
      </c>
      <c r="B8634" s="4">
        <v>0.36041666666666666</v>
      </c>
      <c r="C8634" s="5" t="s">
        <v>85</v>
      </c>
      <c r="D8634" s="5" t="s">
        <v>1359</v>
      </c>
      <c r="E8634" s="8" t="s">
        <v>1356</v>
      </c>
      <c r="F8634" s="5" t="s">
        <v>201</v>
      </c>
      <c r="G8634" s="6" t="str">
        <f>VLOOKUP(E8634,dicionario!$A$1:$C9033,2,0)</f>
        <v>#N/A</v>
      </c>
      <c r="H8634" s="6" t="str">
        <f>VLOOKUP(E8634,dicionario!$A$1:$C9033,3,0)</f>
        <v>#N/A</v>
      </c>
    </row>
    <row r="8635">
      <c r="A8635" s="3">
        <v>45757.0</v>
      </c>
      <c r="B8635" s="4">
        <v>0.36041666666666666</v>
      </c>
      <c r="C8635" s="5" t="s">
        <v>85</v>
      </c>
      <c r="D8635" s="5" t="s">
        <v>1359</v>
      </c>
      <c r="E8635" s="8" t="s">
        <v>150</v>
      </c>
      <c r="F8635" s="5" t="s">
        <v>151</v>
      </c>
      <c r="G8635" s="6" t="str">
        <f>VLOOKUP(E8635,dicionario!$A$1:$C9034,2,0)</f>
        <v>Amaranthus viridis</v>
      </c>
      <c r="H8635" s="6" t="str">
        <f>VLOOKUP(E8635,dicionario!$A$1:$C9034,3,0)</f>
        <v>caruru-de-mancha</v>
      </c>
    </row>
    <row r="8636">
      <c r="A8636" s="3">
        <v>45757.0</v>
      </c>
      <c r="B8636" s="4">
        <v>0.3625</v>
      </c>
      <c r="C8636" s="5" t="s">
        <v>90</v>
      </c>
      <c r="D8636" s="5" t="s">
        <v>1359</v>
      </c>
      <c r="E8636" s="8" t="s">
        <v>103</v>
      </c>
      <c r="F8636" s="5" t="s">
        <v>104</v>
      </c>
      <c r="G8636" s="6" t="str">
        <f>VLOOKUP(E8636,dicionario!$A$1:$C9035,2,0)</f>
        <v>Caracara plancus</v>
      </c>
      <c r="H8636" s="6" t="str">
        <f>VLOOKUP(E8636,dicionario!$A$1:$C9035,3,0)</f>
        <v>carcará </v>
      </c>
    </row>
    <row r="8637">
      <c r="A8637" s="3">
        <v>45757.0</v>
      </c>
      <c r="B8637" s="4">
        <v>0.3645833333333333</v>
      </c>
      <c r="C8637" s="5" t="s">
        <v>90</v>
      </c>
      <c r="D8637" s="5" t="s">
        <v>1359</v>
      </c>
      <c r="E8637" s="8" t="s">
        <v>1352</v>
      </c>
      <c r="F8637" s="7"/>
      <c r="G8637" s="6" t="str">
        <f>VLOOKUP(E8637,dicionario!$A$1:$C9036,2,0)</f>
        <v>#N/A</v>
      </c>
      <c r="H8637" s="6" t="str">
        <f>VLOOKUP(E8637,dicionario!$A$1:$C9036,3,0)</f>
        <v>#N/A</v>
      </c>
    </row>
    <row r="8638">
      <c r="A8638" s="3">
        <v>45757.0</v>
      </c>
      <c r="B8638" s="4">
        <v>0.3645833333333333</v>
      </c>
      <c r="C8638" s="5" t="s">
        <v>90</v>
      </c>
      <c r="D8638" s="5" t="s">
        <v>1359</v>
      </c>
      <c r="E8638" s="8" t="s">
        <v>1335</v>
      </c>
      <c r="F8638" s="5" t="s">
        <v>44</v>
      </c>
      <c r="G8638" s="6" t="str">
        <f>VLOOKUP(E8638,dicionario!$A$1:$C9037,2,0)</f>
        <v>#N/A</v>
      </c>
      <c r="H8638" s="6" t="str">
        <f>VLOOKUP(E8638,dicionario!$A$1:$C9037,3,0)</f>
        <v>#N/A</v>
      </c>
    </row>
    <row r="8639">
      <c r="A8639" s="3">
        <v>45757.0</v>
      </c>
      <c r="B8639" s="4">
        <v>0.3645833333333333</v>
      </c>
      <c r="C8639" s="5" t="s">
        <v>90</v>
      </c>
      <c r="D8639" s="5" t="s">
        <v>1359</v>
      </c>
      <c r="E8639" s="6" t="s">
        <v>86</v>
      </c>
      <c r="F8639" s="5" t="s">
        <v>502</v>
      </c>
      <c r="G8639" s="6" t="str">
        <f>VLOOKUP(E8639,dicionario!$A$1:$C9038,2,0)</f>
        <v>Coereba flaveola</v>
      </c>
      <c r="H8639" s="6" t="str">
        <f>VLOOKUP(E8639,dicionario!$A$1:$C9038,3,0)</f>
        <v>cambacica</v>
      </c>
    </row>
    <row r="8640">
      <c r="A8640" s="3">
        <v>45757.0</v>
      </c>
      <c r="B8640" s="4">
        <v>0.3645833333333333</v>
      </c>
      <c r="C8640" s="5" t="s">
        <v>90</v>
      </c>
      <c r="D8640" s="5" t="s">
        <v>1359</v>
      </c>
      <c r="E8640" s="8" t="s">
        <v>38</v>
      </c>
      <c r="F8640" s="5" t="s">
        <v>1251</v>
      </c>
      <c r="G8640" s="6" t="str">
        <f>VLOOKUP(E8640,dicionario!$A$1:$C9039,2,0)</f>
        <v>Troglodytes musculus</v>
      </c>
      <c r="H8640" s="6" t="str">
        <f>VLOOKUP(E8640,dicionario!$A$1:$C9039,3,0)</f>
        <v>curruíra</v>
      </c>
    </row>
    <row r="8641">
      <c r="A8641" s="3">
        <v>45757.0</v>
      </c>
      <c r="B8641" s="4">
        <v>0.36666666666666664</v>
      </c>
      <c r="C8641" s="5" t="s">
        <v>90</v>
      </c>
      <c r="D8641" s="5" t="s">
        <v>1359</v>
      </c>
      <c r="E8641" s="6" t="s">
        <v>53</v>
      </c>
      <c r="F8641" s="5" t="s">
        <v>54</v>
      </c>
      <c r="G8641" s="6" t="str">
        <f>VLOOKUP(E8641,dicionario!$A$1:$C9040,2,0)</f>
        <v>Turnera subulata</v>
      </c>
      <c r="H8641" s="6" t="str">
        <f>VLOOKUP(E8641,dicionario!$A$1:$C9040,3,0)</f>
        <v>xanana</v>
      </c>
    </row>
    <row r="8642">
      <c r="A8642" s="3">
        <v>45757.0</v>
      </c>
      <c r="B8642" s="4">
        <v>0.36666666666666664</v>
      </c>
      <c r="C8642" s="5" t="s">
        <v>90</v>
      </c>
      <c r="D8642" s="5" t="s">
        <v>1359</v>
      </c>
      <c r="E8642" s="8" t="s">
        <v>795</v>
      </c>
      <c r="F8642" s="5" t="s">
        <v>45</v>
      </c>
      <c r="G8642" s="6" t="str">
        <f>VLOOKUP(E8642,dicionario!$A$1:$C9041,2,0)</f>
        <v>#N/A</v>
      </c>
      <c r="H8642" s="6" t="str">
        <f>VLOOKUP(E8642,dicionario!$A$1:$C9041,3,0)</f>
        <v>#N/A</v>
      </c>
    </row>
    <row r="8643">
      <c r="A8643" s="3">
        <v>45757.0</v>
      </c>
      <c r="B8643" s="4">
        <v>0.36666666666666664</v>
      </c>
      <c r="C8643" s="5" t="s">
        <v>90</v>
      </c>
      <c r="D8643" s="5" t="s">
        <v>1359</v>
      </c>
      <c r="E8643" s="8" t="s">
        <v>1316</v>
      </c>
      <c r="F8643" s="5" t="s">
        <v>15</v>
      </c>
      <c r="G8643" s="6" t="str">
        <f>VLOOKUP(E8643,dicionario!$A$1:$C9042,2,0)</f>
        <v>#N/A</v>
      </c>
      <c r="H8643" s="6" t="str">
        <f>VLOOKUP(E8643,dicionario!$A$1:$C9042,3,0)</f>
        <v>#N/A</v>
      </c>
    </row>
    <row r="8644">
      <c r="A8644" s="3">
        <v>45757.0</v>
      </c>
      <c r="B8644" s="4">
        <v>0.36666666666666664</v>
      </c>
      <c r="C8644" s="5" t="s">
        <v>90</v>
      </c>
      <c r="D8644" s="5" t="s">
        <v>1359</v>
      </c>
      <c r="E8644" s="20" t="s">
        <v>676</v>
      </c>
      <c r="F8644" s="5" t="s">
        <v>677</v>
      </c>
      <c r="G8644" s="6" t="str">
        <f>VLOOKUP(E8644,dicionario!$A$1:$C9043,2,0)</f>
        <v>Zornia latifolia</v>
      </c>
      <c r="H8644" s="6" t="str">
        <f>VLOOKUP(E8644,dicionario!$A$1:$C9043,3,0)</f>
        <v>arrozinho-do-campo</v>
      </c>
    </row>
    <row r="8645">
      <c r="A8645" s="3">
        <v>45757.0</v>
      </c>
      <c r="B8645" s="4">
        <v>0.36736111111111114</v>
      </c>
      <c r="C8645" s="5" t="s">
        <v>90</v>
      </c>
      <c r="D8645" s="5" t="s">
        <v>1359</v>
      </c>
      <c r="E8645" s="6" t="s">
        <v>237</v>
      </c>
      <c r="F8645" s="7" t="s">
        <v>238</v>
      </c>
      <c r="G8645" s="6" t="str">
        <f>VLOOKUP(E8645,dicionario!$A$1:$C9044,2,0)</f>
        <v>Acromyrmex</v>
      </c>
      <c r="H8645" s="6" t="str">
        <f>VLOOKUP(E8645,dicionario!$A$1:$C9044,3,0)</f>
        <v>quenquén</v>
      </c>
    </row>
    <row r="8646">
      <c r="A8646" s="3">
        <v>45757.0</v>
      </c>
      <c r="B8646" s="4">
        <v>0.36736111111111114</v>
      </c>
      <c r="C8646" s="5" t="s">
        <v>90</v>
      </c>
      <c r="D8646" s="5" t="s">
        <v>1359</v>
      </c>
      <c r="E8646" s="8" t="s">
        <v>353</v>
      </c>
      <c r="F8646" s="5" t="s">
        <v>354</v>
      </c>
      <c r="G8646" s="6" t="str">
        <f>VLOOKUP(E8646,dicionario!$A$1:$C9045,2,0)</f>
        <v>Desmodium incanum</v>
      </c>
      <c r="H8646" s="6" t="str">
        <f>VLOOKUP(E8646,dicionario!$A$1:$C9045,3,0)</f>
        <v>pega-pega</v>
      </c>
    </row>
    <row r="8647">
      <c r="A8647" s="3">
        <v>45757.0</v>
      </c>
      <c r="B8647" s="4">
        <v>0.36736111111111114</v>
      </c>
      <c r="C8647" s="5" t="s">
        <v>90</v>
      </c>
      <c r="D8647" s="5" t="s">
        <v>1359</v>
      </c>
      <c r="E8647" s="8" t="s">
        <v>51</v>
      </c>
      <c r="F8647" s="5" t="s">
        <v>321</v>
      </c>
      <c r="G8647" s="6" t="str">
        <f>VLOOKUP(E8647,dicionario!$A$1:$C9046,2,0)</f>
        <v>Solenopsis</v>
      </c>
      <c r="H8647" s="6" t="str">
        <f>VLOOKUP(E8647,dicionario!$A$1:$C9046,3,0)</f>
        <v>formiga-quente; formiga-lava-pés; formiga-de-fogo</v>
      </c>
    </row>
    <row r="8648">
      <c r="A8648" s="3">
        <v>45757.0</v>
      </c>
      <c r="B8648" s="4">
        <v>0.36736111111111114</v>
      </c>
      <c r="C8648" s="5" t="s">
        <v>90</v>
      </c>
      <c r="D8648" s="5" t="s">
        <v>1359</v>
      </c>
      <c r="E8648" s="8" t="s">
        <v>239</v>
      </c>
      <c r="F8648" s="5" t="s">
        <v>240</v>
      </c>
      <c r="G8648" s="6" t="str">
        <f>VLOOKUP(E8648,dicionario!$A$1:$C9047,2,0)</f>
        <v>Gomphrena celosioides</v>
      </c>
      <c r="H8648" s="6" t="str">
        <f>VLOOKUP(E8648,dicionario!$A$1:$C9047,3,0)</f>
        <v>perpétua-branca</v>
      </c>
    </row>
    <row r="8649">
      <c r="A8649" s="3">
        <v>45757.0</v>
      </c>
      <c r="B8649" s="4">
        <v>0.36944444444444446</v>
      </c>
      <c r="C8649" s="5" t="s">
        <v>90</v>
      </c>
      <c r="D8649" s="5" t="s">
        <v>1359</v>
      </c>
      <c r="E8649" s="8" t="s">
        <v>712</v>
      </c>
      <c r="F8649" s="5" t="s">
        <v>718</v>
      </c>
      <c r="G8649" s="6" t="str">
        <f>VLOOKUP(E8649,dicionario!$A$1:$C9048,2,0)</f>
        <v>Flavopunctelia soredica</v>
      </c>
      <c r="H8649" s="6" t="str">
        <f>VLOOKUP(E8649,dicionario!$A$1:$C9048,3,0)</f>
        <v>líquen-folioso</v>
      </c>
    </row>
    <row r="8650">
      <c r="A8650" s="3">
        <v>45757.0</v>
      </c>
      <c r="B8650" s="4">
        <v>0.36944444444444446</v>
      </c>
      <c r="C8650" s="5" t="s">
        <v>90</v>
      </c>
      <c r="D8650" s="5" t="s">
        <v>1359</v>
      </c>
      <c r="E8650" s="8" t="s">
        <v>719</v>
      </c>
      <c r="F8650" s="5" t="s">
        <v>720</v>
      </c>
      <c r="G8650" s="6" t="str">
        <f>VLOOKUP(E8650,dicionario!$A$1:$C9049,2,0)</f>
        <v>Dirinaria</v>
      </c>
      <c r="H8650" s="6" t="str">
        <f>VLOOKUP(E8650,dicionario!$A$1:$C9049,3,0)</f>
        <v>líquen-crostoso</v>
      </c>
    </row>
    <row r="8651">
      <c r="A8651" s="3">
        <v>45757.0</v>
      </c>
      <c r="B8651" s="4">
        <v>0.36944444444444446</v>
      </c>
      <c r="C8651" s="5" t="s">
        <v>90</v>
      </c>
      <c r="D8651" s="5" t="s">
        <v>1359</v>
      </c>
      <c r="E8651" s="8" t="s">
        <v>107</v>
      </c>
      <c r="F8651" s="5" t="s">
        <v>108</v>
      </c>
      <c r="G8651" s="6" t="str">
        <f>VLOOKUP(E8651,dicionario!$A$1:$C9050,2,0)</f>
        <v>Ramalina complanata</v>
      </c>
      <c r="H8651" s="6" t="str">
        <f>VLOOKUP(E8651,dicionario!$A$1:$C9050,3,0)</f>
        <v>ramalina</v>
      </c>
    </row>
    <row r="8652">
      <c r="A8652" s="3">
        <v>45757.0</v>
      </c>
      <c r="B8652" s="4">
        <v>0.36944444444444446</v>
      </c>
      <c r="C8652" s="5" t="s">
        <v>90</v>
      </c>
      <c r="D8652" s="5" t="s">
        <v>1359</v>
      </c>
      <c r="E8652" s="8" t="s">
        <v>1024</v>
      </c>
      <c r="F8652" s="5" t="s">
        <v>969</v>
      </c>
      <c r="G8652" s="6" t="str">
        <f>VLOOKUP(E8652,dicionario!$A$1:$C9051,2,0)</f>
        <v>Usnea barbata</v>
      </c>
      <c r="H8652" s="6" t="str">
        <f>VLOOKUP(E8652,dicionario!$A$1:$C9051,3,0)</f>
        <v>barba-de-velho</v>
      </c>
    </row>
    <row r="8653">
      <c r="A8653" s="3">
        <v>45757.0</v>
      </c>
      <c r="B8653" s="4">
        <v>0.3701388888888889</v>
      </c>
      <c r="C8653" s="5" t="s">
        <v>90</v>
      </c>
      <c r="D8653" s="5" t="s">
        <v>1359</v>
      </c>
      <c r="E8653" s="8" t="s">
        <v>135</v>
      </c>
      <c r="F8653" s="5" t="s">
        <v>136</v>
      </c>
      <c r="G8653" s="6" t="str">
        <f>VLOOKUP(E8653,dicionario!$A$1:$C9052,2,0)</f>
        <v>Tridax procumbens</v>
      </c>
      <c r="H8653" s="6" t="str">
        <f>VLOOKUP(E8653,dicionario!$A$1:$C9052,3,0)</f>
        <v>erva-de-touro</v>
      </c>
    </row>
    <row r="8654">
      <c r="A8654" s="3">
        <v>45757.0</v>
      </c>
      <c r="B8654" s="4">
        <v>0.37083333333333335</v>
      </c>
      <c r="C8654" s="5" t="s">
        <v>90</v>
      </c>
      <c r="D8654" s="5" t="s">
        <v>1359</v>
      </c>
      <c r="E8654" s="8" t="s">
        <v>1334</v>
      </c>
      <c r="F8654" s="5" t="s">
        <v>84</v>
      </c>
      <c r="G8654" s="6" t="str">
        <f>VLOOKUP(E8654,dicionario!$A$1:$C9053,2,0)</f>
        <v>#N/A</v>
      </c>
      <c r="H8654" s="6" t="str">
        <f>VLOOKUP(E8654,dicionario!$A$1:$C9053,3,0)</f>
        <v>#N/A</v>
      </c>
    </row>
    <row r="8655">
      <c r="A8655" s="3">
        <v>45757.0</v>
      </c>
      <c r="B8655" s="4">
        <v>0.37083333333333335</v>
      </c>
      <c r="C8655" s="5" t="s">
        <v>90</v>
      </c>
      <c r="D8655" s="5" t="s">
        <v>1359</v>
      </c>
      <c r="E8655" s="8" t="s">
        <v>1388</v>
      </c>
      <c r="F8655" s="5" t="s">
        <v>1389</v>
      </c>
      <c r="G8655" s="6" t="str">
        <f>VLOOKUP(E8655,dicionario!$A$1:$C9054,2,0)</f>
        <v>#N/A</v>
      </c>
      <c r="H8655" s="6" t="str">
        <f>VLOOKUP(E8655,dicionario!$A$1:$C9054,3,0)</f>
        <v>#N/A</v>
      </c>
    </row>
    <row r="8656">
      <c r="A8656" s="3">
        <v>45757.0</v>
      </c>
      <c r="B8656" s="4">
        <v>0.37083333333333335</v>
      </c>
      <c r="C8656" s="5" t="s">
        <v>90</v>
      </c>
      <c r="D8656" s="5" t="s">
        <v>1359</v>
      </c>
      <c r="E8656" s="8" t="s">
        <v>1104</v>
      </c>
      <c r="F8656" s="5" t="s">
        <v>1105</v>
      </c>
      <c r="G8656" s="6" t="str">
        <f>VLOOKUP(E8656,dicionario!$A$1:$C9055,2,0)</f>
        <v>Rhynchospora speciosa</v>
      </c>
      <c r="H8656" s="6" t="str">
        <f>VLOOKUP(E8656,dicionario!$A$1:$C9055,3,0)</f>
        <v>capim-estrela</v>
      </c>
    </row>
    <row r="8657">
      <c r="A8657" s="3">
        <v>45764.0</v>
      </c>
      <c r="B8657" s="4">
        <v>0.2604166666666667</v>
      </c>
      <c r="C8657" s="5" t="s">
        <v>90</v>
      </c>
      <c r="D8657" s="5" t="s">
        <v>1390</v>
      </c>
      <c r="E8657" s="8" t="s">
        <v>20</v>
      </c>
      <c r="F8657" s="5" t="s">
        <v>21</v>
      </c>
      <c r="G8657" s="6" t="str">
        <f>VLOOKUP(E8657,dicionario!$A$1:$C9056,2,0)</f>
        <v>Sicalis flaveola</v>
      </c>
      <c r="H8657" s="6" t="str">
        <f>VLOOKUP(E8657,dicionario!$A$1:$C9056,3,0)</f>
        <v>canário-da-terra</v>
      </c>
    </row>
    <row r="8658">
      <c r="A8658" s="3">
        <v>45764.0</v>
      </c>
      <c r="B8658" s="4">
        <v>0.2604166666666667</v>
      </c>
      <c r="C8658" s="5" t="s">
        <v>90</v>
      </c>
      <c r="D8658" s="5" t="s">
        <v>1390</v>
      </c>
      <c r="E8658" s="8" t="s">
        <v>1312</v>
      </c>
      <c r="F8658" s="5" t="s">
        <v>66</v>
      </c>
      <c r="G8658" s="6" t="str">
        <f>VLOOKUP(E8658,dicionario!$A$1:$C9057,2,0)</f>
        <v>#N/A</v>
      </c>
      <c r="H8658" s="6" t="str">
        <f>VLOOKUP(E8658,dicionario!$A$1:$C9057,3,0)</f>
        <v>#N/A</v>
      </c>
    </row>
    <row r="8659">
      <c r="A8659" s="3">
        <v>45764.0</v>
      </c>
      <c r="B8659" s="4">
        <v>0.2604166666666667</v>
      </c>
      <c r="C8659" s="5" t="s">
        <v>90</v>
      </c>
      <c r="D8659" s="5" t="s">
        <v>1390</v>
      </c>
      <c r="E8659" s="8" t="s">
        <v>1313</v>
      </c>
      <c r="F8659" s="5" t="s">
        <v>133</v>
      </c>
      <c r="G8659" s="6" t="str">
        <f>VLOOKUP(E8659,dicionario!$A$1:$C9058,2,0)</f>
        <v>#N/A</v>
      </c>
      <c r="H8659" s="6" t="str">
        <f>VLOOKUP(E8659,dicionario!$A$1:$C9058,3,0)</f>
        <v>#N/A</v>
      </c>
    </row>
    <row r="8660">
      <c r="A8660" s="3">
        <v>45764.0</v>
      </c>
      <c r="B8660" s="4">
        <v>0.2604166666666667</v>
      </c>
      <c r="C8660" s="5" t="s">
        <v>90</v>
      </c>
      <c r="D8660" s="5" t="s">
        <v>1390</v>
      </c>
      <c r="E8660" s="8" t="s">
        <v>109</v>
      </c>
      <c r="F8660" s="5" t="s">
        <v>110</v>
      </c>
      <c r="G8660" s="6" t="str">
        <f>VLOOKUP(E8660,dicionario!$A$1:$C9059,2,0)</f>
        <v>Tillandsia stricta</v>
      </c>
      <c r="H8660" s="6" t="str">
        <f>VLOOKUP(E8660,dicionario!$A$1:$C9059,3,0)</f>
        <v>cravo-do-mato</v>
      </c>
    </row>
    <row r="8661">
      <c r="A8661" s="3">
        <v>45764.0</v>
      </c>
      <c r="B8661" s="4">
        <v>0.2611111111111111</v>
      </c>
      <c r="C8661" s="5" t="s">
        <v>90</v>
      </c>
      <c r="D8661" s="5" t="s">
        <v>1390</v>
      </c>
      <c r="E8661" s="8" t="s">
        <v>712</v>
      </c>
      <c r="F8661" s="5" t="s">
        <v>718</v>
      </c>
      <c r="G8661" s="6" t="str">
        <f>VLOOKUP(E8661,dicionario!$A$1:$C9060,2,0)</f>
        <v>Flavopunctelia soredica</v>
      </c>
      <c r="H8661" s="6" t="str">
        <f>VLOOKUP(E8661,dicionario!$A$1:$C9060,3,0)</f>
        <v>líquen-folioso</v>
      </c>
    </row>
    <row r="8662">
      <c r="A8662" s="3">
        <v>45764.0</v>
      </c>
      <c r="B8662" s="4">
        <v>0.2611111111111111</v>
      </c>
      <c r="C8662" s="5" t="s">
        <v>90</v>
      </c>
      <c r="D8662" s="5" t="s">
        <v>1390</v>
      </c>
      <c r="E8662" s="8" t="s">
        <v>719</v>
      </c>
      <c r="F8662" s="5" t="s">
        <v>720</v>
      </c>
      <c r="G8662" s="6" t="str">
        <f>VLOOKUP(E8662,dicionario!$A$1:$C9061,2,0)</f>
        <v>Dirinaria</v>
      </c>
      <c r="H8662" s="6" t="str">
        <f>VLOOKUP(E8662,dicionario!$A$1:$C9061,3,0)</f>
        <v>líquen-crostoso</v>
      </c>
    </row>
    <row r="8663">
      <c r="A8663" s="3">
        <v>45764.0</v>
      </c>
      <c r="B8663" s="4">
        <v>0.2611111111111111</v>
      </c>
      <c r="C8663" s="5" t="s">
        <v>90</v>
      </c>
      <c r="D8663" s="5" t="s">
        <v>1390</v>
      </c>
      <c r="E8663" s="8" t="s">
        <v>107</v>
      </c>
      <c r="F8663" s="5" t="s">
        <v>108</v>
      </c>
      <c r="G8663" s="6" t="str">
        <f>VLOOKUP(E8663,dicionario!$A$1:$C9062,2,0)</f>
        <v>Ramalina complanata</v>
      </c>
      <c r="H8663" s="6" t="str">
        <f>VLOOKUP(E8663,dicionario!$A$1:$C9062,3,0)</f>
        <v>ramalina</v>
      </c>
    </row>
    <row r="8664">
      <c r="A8664" s="3">
        <v>45764.0</v>
      </c>
      <c r="B8664" s="4">
        <v>0.2611111111111111</v>
      </c>
      <c r="C8664" s="5" t="s">
        <v>90</v>
      </c>
      <c r="D8664" s="5" t="s">
        <v>1390</v>
      </c>
      <c r="E8664" s="8" t="s">
        <v>163</v>
      </c>
      <c r="F8664" s="5" t="s">
        <v>164</v>
      </c>
      <c r="G8664" s="6" t="str">
        <f>VLOOKUP(E8664,dicionario!$A$1:$C9063,2,0)</f>
        <v>Coragyps atratus</v>
      </c>
      <c r="H8664" s="6" t="str">
        <f>VLOOKUP(E8664,dicionario!$A$1:$C9063,3,0)</f>
        <v>urubu-de-cabeça-preta</v>
      </c>
    </row>
    <row r="8665">
      <c r="A8665" s="3">
        <v>45764.0</v>
      </c>
      <c r="B8665" s="4">
        <v>0.26180555555555557</v>
      </c>
      <c r="C8665" s="5" t="s">
        <v>90</v>
      </c>
      <c r="D8665" s="5" t="s">
        <v>1390</v>
      </c>
      <c r="E8665" s="8" t="s">
        <v>1311</v>
      </c>
      <c r="F8665" s="5" t="s">
        <v>114</v>
      </c>
      <c r="G8665" s="6" t="str">
        <f>VLOOKUP(E8665,dicionario!$A$1:$C9064,2,0)</f>
        <v>#N/A</v>
      </c>
      <c r="H8665" s="6" t="str">
        <f>VLOOKUP(E8665,dicionario!$A$1:$C9064,3,0)</f>
        <v>#N/A</v>
      </c>
    </row>
    <row r="8666">
      <c r="A8666" s="3">
        <v>45764.0</v>
      </c>
      <c r="B8666" s="4">
        <v>0.26180555555555557</v>
      </c>
      <c r="C8666" s="5" t="s">
        <v>90</v>
      </c>
      <c r="D8666" s="5" t="s">
        <v>1390</v>
      </c>
      <c r="E8666" s="8" t="s">
        <v>1352</v>
      </c>
      <c r="F8666" s="5"/>
      <c r="G8666" s="6" t="str">
        <f>VLOOKUP(E8666,dicionario!$A$1:$C9065,2,0)</f>
        <v>#N/A</v>
      </c>
      <c r="H8666" s="6" t="str">
        <f>VLOOKUP(E8666,dicionario!$A$1:$C9065,3,0)</f>
        <v>#N/A</v>
      </c>
    </row>
    <row r="8667">
      <c r="A8667" s="3">
        <v>45764.0</v>
      </c>
      <c r="B8667" s="4">
        <v>0.26180555555555557</v>
      </c>
      <c r="C8667" s="5" t="s">
        <v>90</v>
      </c>
      <c r="D8667" s="5" t="s">
        <v>1390</v>
      </c>
      <c r="E8667" s="8" t="s">
        <v>353</v>
      </c>
      <c r="F8667" s="5" t="s">
        <v>354</v>
      </c>
      <c r="G8667" s="6" t="str">
        <f>VLOOKUP(E8667,dicionario!$A$1:$C9066,2,0)</f>
        <v>Desmodium incanum</v>
      </c>
      <c r="H8667" s="6" t="str">
        <f>VLOOKUP(E8667,dicionario!$A$1:$C9066,3,0)</f>
        <v>pega-pega</v>
      </c>
    </row>
    <row r="8668">
      <c r="A8668" s="3">
        <v>45764.0</v>
      </c>
      <c r="B8668" s="4">
        <v>0.2625</v>
      </c>
      <c r="C8668" s="5" t="s">
        <v>90</v>
      </c>
      <c r="D8668" s="5" t="s">
        <v>1390</v>
      </c>
      <c r="E8668" s="8" t="s">
        <v>503</v>
      </c>
      <c r="F8668" s="5" t="s">
        <v>414</v>
      </c>
      <c r="G8668" s="6" t="str">
        <f>VLOOKUP(E8668,dicionario!$A$1:$C9067,2,0)</f>
        <v>Orphulella punctata</v>
      </c>
      <c r="H8668" s="6" t="str">
        <f>VLOOKUP(E8668,dicionario!$A$1:$C9067,3,0)</f>
        <v>gafanhotinho</v>
      </c>
    </row>
    <row r="8669">
      <c r="A8669" s="3">
        <v>45764.0</v>
      </c>
      <c r="B8669" s="4">
        <v>0.2625</v>
      </c>
      <c r="C8669" s="5" t="s">
        <v>90</v>
      </c>
      <c r="D8669" s="5" t="s">
        <v>1390</v>
      </c>
      <c r="E8669" s="8" t="s">
        <v>360</v>
      </c>
      <c r="F8669" s="5" t="s">
        <v>361</v>
      </c>
      <c r="G8669" s="6" t="str">
        <f>VLOOKUP(E8669,dicionario!$A$1:$C9068,2,0)</f>
        <v>Chamaecrista rotundifolia</v>
      </c>
      <c r="H8669" s="6" t="str">
        <f>VLOOKUP(E8669,dicionario!$A$1:$C9068,3,0)</f>
        <v>alfafa-nativa</v>
      </c>
    </row>
    <row r="8670">
      <c r="A8670" s="3">
        <v>45764.0</v>
      </c>
      <c r="B8670" s="4">
        <v>0.2625</v>
      </c>
      <c r="C8670" s="5" t="s">
        <v>90</v>
      </c>
      <c r="D8670" s="5" t="s">
        <v>1390</v>
      </c>
      <c r="E8670" s="8" t="s">
        <v>239</v>
      </c>
      <c r="F8670" s="5" t="s">
        <v>240</v>
      </c>
      <c r="G8670" s="6" t="str">
        <f>VLOOKUP(E8670,dicionario!$A$1:$C9069,2,0)</f>
        <v>Gomphrena celosioides</v>
      </c>
      <c r="H8670" s="6" t="str">
        <f>VLOOKUP(E8670,dicionario!$A$1:$C9069,3,0)</f>
        <v>perpétua-branca</v>
      </c>
    </row>
    <row r="8671">
      <c r="A8671" s="3">
        <v>45764.0</v>
      </c>
      <c r="B8671" s="4">
        <v>0.2625</v>
      </c>
      <c r="C8671" s="5" t="s">
        <v>90</v>
      </c>
      <c r="D8671" s="5" t="s">
        <v>1390</v>
      </c>
      <c r="E8671" s="8" t="s">
        <v>1316</v>
      </c>
      <c r="F8671" s="5" t="s">
        <v>15</v>
      </c>
      <c r="G8671" s="6" t="str">
        <f>VLOOKUP(E8671,dicionario!$A$1:$C9070,2,0)</f>
        <v>#N/A</v>
      </c>
      <c r="H8671" s="6" t="str">
        <f>VLOOKUP(E8671,dicionario!$A$1:$C9070,3,0)</f>
        <v>#N/A</v>
      </c>
    </row>
    <row r="8672">
      <c r="A8672" s="3">
        <v>45764.0</v>
      </c>
      <c r="B8672" s="4">
        <v>0.2625</v>
      </c>
      <c r="C8672" s="5" t="s">
        <v>90</v>
      </c>
      <c r="D8672" s="5" t="s">
        <v>1390</v>
      </c>
      <c r="E8672" s="8" t="s">
        <v>1345</v>
      </c>
      <c r="F8672" s="5" t="s">
        <v>254</v>
      </c>
      <c r="G8672" s="6" t="str">
        <f>VLOOKUP(E8672,dicionario!$A$1:$C9071,2,0)</f>
        <v>#N/A</v>
      </c>
      <c r="H8672" s="6" t="str">
        <f>VLOOKUP(E8672,dicionario!$A$1:$C9071,3,0)</f>
        <v>#N/A</v>
      </c>
    </row>
    <row r="8673">
      <c r="A8673" s="3">
        <v>45764.0</v>
      </c>
      <c r="B8673" s="4">
        <v>0.26319444444444445</v>
      </c>
      <c r="C8673" s="5" t="s">
        <v>90</v>
      </c>
      <c r="D8673" s="5" t="s">
        <v>1390</v>
      </c>
      <c r="E8673" s="8" t="s">
        <v>1344</v>
      </c>
      <c r="F8673" s="5" t="s">
        <v>47</v>
      </c>
      <c r="G8673" s="6" t="str">
        <f>VLOOKUP(E8673,dicionario!$A$1:$C9072,2,0)</f>
        <v>#N/A</v>
      </c>
      <c r="H8673" s="6" t="str">
        <f>VLOOKUP(E8673,dicionario!$A$1:$C9072,3,0)</f>
        <v>#N/A</v>
      </c>
    </row>
    <row r="8674">
      <c r="A8674" s="3">
        <v>45764.0</v>
      </c>
      <c r="B8674" s="4">
        <v>0.2638888888888889</v>
      </c>
      <c r="C8674" s="5" t="s">
        <v>90</v>
      </c>
      <c r="D8674" s="5" t="s">
        <v>1390</v>
      </c>
      <c r="E8674" s="8" t="s">
        <v>1332</v>
      </c>
      <c r="F8674" s="5" t="s">
        <v>145</v>
      </c>
      <c r="G8674" s="6" t="str">
        <f>VLOOKUP(E8674,dicionario!$A$1:$C9073,2,0)</f>
        <v>#N/A</v>
      </c>
      <c r="H8674" s="6" t="str">
        <f>VLOOKUP(E8674,dicionario!$A$1:$C9073,3,0)</f>
        <v>#N/A</v>
      </c>
    </row>
    <row r="8675">
      <c r="A8675" s="3">
        <v>45764.0</v>
      </c>
      <c r="B8675" s="4">
        <v>0.26458333333333334</v>
      </c>
      <c r="C8675" s="5" t="s">
        <v>90</v>
      </c>
      <c r="D8675" s="5" t="s">
        <v>1390</v>
      </c>
      <c r="E8675" s="8" t="s">
        <v>118</v>
      </c>
      <c r="F8675" s="5" t="s">
        <v>119</v>
      </c>
      <c r="G8675" s="6" t="str">
        <f>VLOOKUP(E8675,dicionario!$A$1:$C9074,2,0)</f>
        <v>Agaricus</v>
      </c>
      <c r="H8675" s="6" t="str">
        <f>VLOOKUP(E8675,dicionario!$A$1:$C9074,3,0)</f>
        <v>cogumelo</v>
      </c>
    </row>
    <row r="8676">
      <c r="A8676" s="3">
        <v>45764.0</v>
      </c>
      <c r="B8676" s="4">
        <v>0.2659722222222222</v>
      </c>
      <c r="C8676" s="5" t="s">
        <v>90</v>
      </c>
      <c r="D8676" s="5" t="s">
        <v>1390</v>
      </c>
      <c r="E8676" s="8" t="s">
        <v>245</v>
      </c>
      <c r="F8676" s="5" t="s">
        <v>1106</v>
      </c>
      <c r="G8676" s="6" t="str">
        <f>VLOOKUP(E8676,dicionario!$A$1:$C9075,2,0)</f>
        <v>Hemiargus hanno</v>
      </c>
      <c r="H8676" s="6" t="str">
        <f>VLOOKUP(E8676,dicionario!$A$1:$C9075,3,0)</f>
        <v>borboleta-azulzinha-do-trevo</v>
      </c>
    </row>
    <row r="8677">
      <c r="A8677" s="3">
        <v>45764.0</v>
      </c>
      <c r="B8677" s="4">
        <v>0.2659722222222222</v>
      </c>
      <c r="C8677" s="5" t="s">
        <v>90</v>
      </c>
      <c r="D8677" s="5" t="s">
        <v>1390</v>
      </c>
      <c r="E8677" s="8" t="s">
        <v>758</v>
      </c>
      <c r="F8677" s="5" t="s">
        <v>759</v>
      </c>
      <c r="G8677" s="6" t="str">
        <f>VLOOKUP(E8677,dicionario!$A$1:$C9076,2,0)</f>
        <v>Cyperus esculentus</v>
      </c>
      <c r="H8677" s="6" t="str">
        <f>VLOOKUP(E8677,dicionario!$A$1:$C9076,3,0)</f>
        <v>tiriricão</v>
      </c>
    </row>
    <row r="8678">
      <c r="A8678" s="3">
        <v>45764.0</v>
      </c>
      <c r="B8678" s="4">
        <v>0.2659722222222222</v>
      </c>
      <c r="C8678" s="5" t="s">
        <v>90</v>
      </c>
      <c r="D8678" s="5" t="s">
        <v>1390</v>
      </c>
      <c r="E8678" s="8" t="s">
        <v>1024</v>
      </c>
      <c r="F8678" s="5" t="s">
        <v>969</v>
      </c>
      <c r="G8678" s="6" t="str">
        <f>VLOOKUP(E8678,dicionario!$A$1:$C9077,2,0)</f>
        <v>Usnea barbata</v>
      </c>
      <c r="H8678" s="6" t="str">
        <f>VLOOKUP(E8678,dicionario!$A$1:$C9077,3,0)</f>
        <v>barba-de-velho</v>
      </c>
    </row>
    <row r="8679">
      <c r="A8679" s="3">
        <v>45764.0</v>
      </c>
      <c r="B8679" s="4">
        <v>0.2659722222222222</v>
      </c>
      <c r="C8679" s="5" t="s">
        <v>90</v>
      </c>
      <c r="D8679" s="5" t="s">
        <v>1390</v>
      </c>
      <c r="E8679" s="12" t="s">
        <v>111</v>
      </c>
      <c r="F8679" s="5" t="s">
        <v>112</v>
      </c>
      <c r="G8679" s="6" t="str">
        <f>VLOOKUP(E8679,dicionario!$A$1:$C9078,2,0)</f>
        <v>Trigona spinipes</v>
      </c>
      <c r="H8679" s="6" t="str">
        <f>VLOOKUP(E8679,dicionario!$A$1:$C9078,3,0)</f>
        <v>abelha-cachorro</v>
      </c>
    </row>
    <row r="8680">
      <c r="A8680" s="3">
        <v>45764.0</v>
      </c>
      <c r="B8680" s="4">
        <v>0.26666666666666666</v>
      </c>
      <c r="C8680" s="5" t="s">
        <v>90</v>
      </c>
      <c r="D8680" s="5" t="s">
        <v>1390</v>
      </c>
      <c r="E8680" s="8" t="s">
        <v>16</v>
      </c>
      <c r="F8680" s="5" t="s">
        <v>17</v>
      </c>
      <c r="G8680" s="6" t="str">
        <f>VLOOKUP(E8680,dicionario!$A$1:$C9079,2,0)</f>
        <v>Eupetomena macroura</v>
      </c>
      <c r="H8680" s="6" t="str">
        <f>VLOOKUP(E8680,dicionario!$A$1:$C9079,3,0)</f>
        <v>beija-flor-tesoura</v>
      </c>
    </row>
    <row r="8681">
      <c r="A8681" s="3">
        <v>45764.0</v>
      </c>
      <c r="B8681" s="4">
        <v>0.26666666666666666</v>
      </c>
      <c r="C8681" s="5" t="s">
        <v>90</v>
      </c>
      <c r="D8681" s="5" t="s">
        <v>1390</v>
      </c>
      <c r="E8681" s="8" t="s">
        <v>1075</v>
      </c>
      <c r="F8681" s="5" t="s">
        <v>1076</v>
      </c>
      <c r="G8681" s="6" t="str">
        <f>VLOOKUP(E8681,dicionario!$A$1:$C9080,2,0)</f>
        <v>#N/A</v>
      </c>
      <c r="H8681" s="6" t="str">
        <f>VLOOKUP(E8681,dicionario!$A$1:$C9080,3,0)</f>
        <v>#N/A</v>
      </c>
    </row>
    <row r="8682">
      <c r="A8682" s="3">
        <v>45764.0</v>
      </c>
      <c r="B8682" s="4">
        <v>0.2673611111111111</v>
      </c>
      <c r="C8682" s="5" t="s">
        <v>90</v>
      </c>
      <c r="D8682" s="5" t="s">
        <v>1390</v>
      </c>
      <c r="E8682" s="8" t="s">
        <v>1367</v>
      </c>
      <c r="F8682" s="5" t="s">
        <v>387</v>
      </c>
      <c r="G8682" s="6" t="str">
        <f>VLOOKUP(E8682,dicionario!$A$1:$C9081,2,0)</f>
        <v>#N/A</v>
      </c>
      <c r="H8682" s="6" t="str">
        <f>VLOOKUP(E8682,dicionario!$A$1:$C9081,3,0)</f>
        <v>#N/A</v>
      </c>
    </row>
    <row r="8683">
      <c r="A8683" s="3">
        <v>45764.0</v>
      </c>
      <c r="B8683" s="4">
        <v>0.2673611111111111</v>
      </c>
      <c r="C8683" s="5" t="s">
        <v>90</v>
      </c>
      <c r="D8683" s="5" t="s">
        <v>1390</v>
      </c>
      <c r="E8683" s="6" t="s">
        <v>53</v>
      </c>
      <c r="F8683" s="5" t="s">
        <v>54</v>
      </c>
      <c r="G8683" s="6" t="str">
        <f>VLOOKUP(E8683,dicionario!$A$1:$C9082,2,0)</f>
        <v>Turnera subulata</v>
      </c>
      <c r="H8683" s="6" t="str">
        <f>VLOOKUP(E8683,dicionario!$A$1:$C9082,3,0)</f>
        <v>xanana</v>
      </c>
    </row>
    <row r="8684">
      <c r="A8684" s="3">
        <v>45764.0</v>
      </c>
      <c r="B8684" s="4">
        <v>0.2673611111111111</v>
      </c>
      <c r="C8684" s="5" t="s">
        <v>90</v>
      </c>
      <c r="D8684" s="5" t="s">
        <v>1390</v>
      </c>
      <c r="E8684" s="8" t="s">
        <v>286</v>
      </c>
      <c r="F8684" s="5" t="s">
        <v>287</v>
      </c>
      <c r="G8684" s="6" t="str">
        <f>VLOOKUP(E8684,dicionario!$A$1:$C9083,2,0)</f>
        <v>Setaria parviflora</v>
      </c>
      <c r="H8684" s="6" t="str">
        <f>VLOOKUP(E8684,dicionario!$A$1:$C9083,3,0)</f>
        <v>capim-rabo-de-raposa</v>
      </c>
    </row>
    <row r="8685">
      <c r="A8685" s="3">
        <v>45764.0</v>
      </c>
      <c r="B8685" s="4">
        <v>0.2673611111111111</v>
      </c>
      <c r="C8685" s="5" t="s">
        <v>90</v>
      </c>
      <c r="D8685" s="5" t="s">
        <v>1390</v>
      </c>
      <c r="E8685" s="8" t="s">
        <v>38</v>
      </c>
      <c r="F8685" s="5" t="s">
        <v>1251</v>
      </c>
      <c r="G8685" s="6" t="str">
        <f>VLOOKUP(E8685,dicionario!$A$1:$C9084,2,0)</f>
        <v>Troglodytes musculus</v>
      </c>
      <c r="H8685" s="6" t="str">
        <f>VLOOKUP(E8685,dicionario!$A$1:$C9084,3,0)</f>
        <v>curruíra</v>
      </c>
    </row>
    <row r="8686">
      <c r="A8686" s="3">
        <v>45764.0</v>
      </c>
      <c r="B8686" s="4">
        <v>0.2708333333333333</v>
      </c>
      <c r="C8686" s="5" t="s">
        <v>85</v>
      </c>
      <c r="D8686" s="5" t="s">
        <v>1390</v>
      </c>
      <c r="E8686" s="8" t="s">
        <v>191</v>
      </c>
      <c r="F8686" s="5" t="s">
        <v>192</v>
      </c>
      <c r="G8686" s="6" t="str">
        <f>VLOOKUP(E8686,dicionario!$A$1:$C9085,2,0)</f>
        <v>Patagioenas picazuro</v>
      </c>
      <c r="H8686" s="6" t="str">
        <f>VLOOKUP(E8686,dicionario!$A$1:$C9085,3,0)</f>
        <v>asa-branca; pomba-asa-branca; pocaçu</v>
      </c>
    </row>
    <row r="8687">
      <c r="A8687" s="3">
        <v>45764.0</v>
      </c>
      <c r="B8687" s="4">
        <v>0.2708333333333333</v>
      </c>
      <c r="C8687" s="5" t="s">
        <v>85</v>
      </c>
      <c r="D8687" s="5" t="s">
        <v>1390</v>
      </c>
      <c r="E8687" s="8" t="s">
        <v>109</v>
      </c>
      <c r="F8687" s="5" t="s">
        <v>110</v>
      </c>
      <c r="G8687" s="6" t="str">
        <f>VLOOKUP(E8687,dicionario!$A$1:$C9086,2,0)</f>
        <v>Tillandsia stricta</v>
      </c>
      <c r="H8687" s="6" t="str">
        <f>VLOOKUP(E8687,dicionario!$A$1:$C9086,3,0)</f>
        <v>cravo-do-mato</v>
      </c>
    </row>
    <row r="8688">
      <c r="A8688" s="3">
        <v>45764.0</v>
      </c>
      <c r="B8688" s="4">
        <v>0.27152777777777776</v>
      </c>
      <c r="C8688" s="5" t="s">
        <v>85</v>
      </c>
      <c r="D8688" s="5" t="s">
        <v>1390</v>
      </c>
      <c r="E8688" s="8" t="s">
        <v>353</v>
      </c>
      <c r="F8688" s="5" t="s">
        <v>354</v>
      </c>
      <c r="G8688" s="6" t="str">
        <f>VLOOKUP(E8688,dicionario!$A$1:$C9087,2,0)</f>
        <v>Desmodium incanum</v>
      </c>
      <c r="H8688" s="6" t="str">
        <f>VLOOKUP(E8688,dicionario!$A$1:$C9087,3,0)</f>
        <v>pega-pega</v>
      </c>
    </row>
    <row r="8689">
      <c r="A8689" s="3">
        <v>45764.0</v>
      </c>
      <c r="B8689" s="4">
        <v>0.2722222222222222</v>
      </c>
      <c r="C8689" s="5" t="s">
        <v>85</v>
      </c>
      <c r="D8689" s="5" t="s">
        <v>1390</v>
      </c>
      <c r="E8689" s="6"/>
      <c r="F8689" s="52" t="s">
        <v>1391</v>
      </c>
      <c r="G8689" s="6" t="str">
        <f>VLOOKUP(E8689,dicionario!$A$1:$C9088,2,0)</f>
        <v>#N/A</v>
      </c>
      <c r="H8689" s="6" t="str">
        <f>VLOOKUP(E8689,dicionario!$A$1:$C9088,3,0)</f>
        <v>#N/A</v>
      </c>
    </row>
    <row r="8690">
      <c r="A8690" s="3">
        <v>45764.0</v>
      </c>
      <c r="B8690" s="4">
        <v>0.2722222222222222</v>
      </c>
      <c r="C8690" s="5" t="s">
        <v>85</v>
      </c>
      <c r="D8690" s="5" t="s">
        <v>1390</v>
      </c>
      <c r="E8690" s="8" t="s">
        <v>271</v>
      </c>
      <c r="F8690" s="5" t="s">
        <v>1169</v>
      </c>
      <c r="G8690" s="6" t="str">
        <f>VLOOKUP(E8690,dicionario!$A$1:$C9089,2,0)</f>
        <v>Cyanthillium cinereum</v>
      </c>
      <c r="H8690" s="6" t="str">
        <f>VLOOKUP(E8690,dicionario!$A$1:$C9089,3,0)</f>
        <v>emília</v>
      </c>
    </row>
    <row r="8691">
      <c r="A8691" s="3">
        <v>45764.0</v>
      </c>
      <c r="B8691" s="4">
        <v>0.2722222222222222</v>
      </c>
      <c r="C8691" s="5" t="s">
        <v>85</v>
      </c>
      <c r="D8691" s="5" t="s">
        <v>1390</v>
      </c>
      <c r="E8691" s="8" t="s">
        <v>517</v>
      </c>
      <c r="F8691" s="7" t="s">
        <v>518</v>
      </c>
      <c r="G8691" s="6" t="str">
        <f>VLOOKUP(E8691,dicionario!$A$1:$C9090,2,0)</f>
        <v>Evolvulus nummularius</v>
      </c>
      <c r="H8691" s="6" t="str">
        <f>VLOOKUP(E8691,dicionario!$A$1:$C9090,3,0)</f>
        <v/>
      </c>
    </row>
    <row r="8692">
      <c r="A8692" s="3">
        <v>45764.0</v>
      </c>
      <c r="B8692" s="4">
        <v>0.2722222222222222</v>
      </c>
      <c r="C8692" s="5" t="s">
        <v>85</v>
      </c>
      <c r="D8692" s="5" t="s">
        <v>1390</v>
      </c>
      <c r="E8692" s="8" t="s">
        <v>1087</v>
      </c>
      <c r="F8692" s="5" t="s">
        <v>1088</v>
      </c>
      <c r="G8692" s="6" t="str">
        <f>VLOOKUP(E8692,dicionario!$A$1:$C9091,2,0)</f>
        <v>Desmodium triflorum</v>
      </c>
      <c r="H8692" s="6" t="str">
        <f>VLOOKUP(E8692,dicionario!$A$1:$C9091,3,0)</f>
        <v/>
      </c>
    </row>
    <row r="8693">
      <c r="A8693" s="3">
        <v>45764.0</v>
      </c>
      <c r="B8693" s="4">
        <v>0.27291666666666664</v>
      </c>
      <c r="C8693" s="5" t="s">
        <v>85</v>
      </c>
      <c r="D8693" s="5" t="s">
        <v>1390</v>
      </c>
      <c r="E8693" s="8" t="s">
        <v>1328</v>
      </c>
      <c r="F8693" s="5" t="s">
        <v>356</v>
      </c>
      <c r="G8693" s="6" t="str">
        <f>VLOOKUP(E8693,dicionario!$A$1:$C9092,2,0)</f>
        <v>#N/A</v>
      </c>
      <c r="H8693" s="6" t="str">
        <f>VLOOKUP(E8693,dicionario!$A$1:$C9092,3,0)</f>
        <v>#N/A</v>
      </c>
    </row>
    <row r="8694">
      <c r="A8694" s="3">
        <v>45764.0</v>
      </c>
      <c r="B8694" s="4">
        <v>0.27291666666666664</v>
      </c>
      <c r="C8694" s="5" t="s">
        <v>85</v>
      </c>
      <c r="D8694" s="5" t="s">
        <v>1390</v>
      </c>
      <c r="E8694" s="8" t="s">
        <v>1312</v>
      </c>
      <c r="F8694" s="5" t="s">
        <v>66</v>
      </c>
      <c r="G8694" s="6" t="str">
        <f>VLOOKUP(E8694,dicionario!$A$1:$C9093,2,0)</f>
        <v>#N/A</v>
      </c>
      <c r="H8694" s="6" t="str">
        <f>VLOOKUP(E8694,dicionario!$A$1:$C9093,3,0)</f>
        <v>#N/A</v>
      </c>
    </row>
    <row r="8695">
      <c r="A8695" s="3">
        <v>45764.0</v>
      </c>
      <c r="B8695" s="4">
        <v>0.27291666666666664</v>
      </c>
      <c r="C8695" s="5" t="s">
        <v>85</v>
      </c>
      <c r="D8695" s="5" t="s">
        <v>1390</v>
      </c>
      <c r="E8695" s="6" t="s">
        <v>471</v>
      </c>
      <c r="F8695" s="5" t="s">
        <v>472</v>
      </c>
      <c r="G8695" s="6" t="str">
        <f>VLOOKUP(E8695,dicionario!$A$1:$C9094,2,0)</f>
        <v>Sida acuta</v>
      </c>
      <c r="H8695" s="6" t="str">
        <f>VLOOKUP(E8695,dicionario!$A$1:$C9094,3,0)</f>
        <v>reloginho</v>
      </c>
    </row>
    <row r="8696">
      <c r="A8696" s="3">
        <v>45764.0</v>
      </c>
      <c r="B8696" s="4">
        <v>0.27291666666666664</v>
      </c>
      <c r="C8696" s="5" t="s">
        <v>85</v>
      </c>
      <c r="D8696" s="5" t="s">
        <v>1390</v>
      </c>
      <c r="E8696" s="8" t="s">
        <v>1331</v>
      </c>
      <c r="F8696" s="5" t="s">
        <v>464</v>
      </c>
      <c r="G8696" s="6" t="str">
        <f>VLOOKUP(E8696,dicionario!$A$1:$C9095,2,0)</f>
        <v>#N/A</v>
      </c>
      <c r="H8696" s="6" t="str">
        <f>VLOOKUP(E8696,dicionario!$A$1:$C9095,3,0)</f>
        <v>#N/A</v>
      </c>
    </row>
    <row r="8697">
      <c r="A8697" s="3">
        <v>45764.0</v>
      </c>
      <c r="B8697" s="4">
        <v>0.27291666666666664</v>
      </c>
      <c r="C8697" s="5" t="s">
        <v>85</v>
      </c>
      <c r="D8697" s="5" t="s">
        <v>1390</v>
      </c>
      <c r="E8697" s="8" t="s">
        <v>1353</v>
      </c>
      <c r="F8697" s="5" t="s">
        <v>142</v>
      </c>
      <c r="G8697" s="6" t="str">
        <f>VLOOKUP(E8697,dicionario!$A$1:$C9096,2,0)</f>
        <v>#N/A</v>
      </c>
      <c r="H8697" s="6" t="str">
        <f>VLOOKUP(E8697,dicionario!$A$1:$C9096,3,0)</f>
        <v>#N/A</v>
      </c>
    </row>
    <row r="8698">
      <c r="A8698" s="3">
        <v>45764.0</v>
      </c>
      <c r="B8698" s="4">
        <v>0.275</v>
      </c>
      <c r="C8698" s="5" t="s">
        <v>85</v>
      </c>
      <c r="D8698" s="5" t="s">
        <v>1390</v>
      </c>
      <c r="E8698" s="6" t="s">
        <v>366</v>
      </c>
      <c r="F8698" s="5" t="s">
        <v>367</v>
      </c>
      <c r="G8698" s="6" t="str">
        <f>VLOOKUP(E8698,dicionario!$A$1:$C9097,2,0)</f>
        <v>Alternanthera ficoidea</v>
      </c>
      <c r="H8698" s="6" t="str">
        <f>VLOOKUP(E8698,dicionario!$A$1:$C9097,3,0)</f>
        <v>quebra-panela</v>
      </c>
    </row>
    <row r="8699">
      <c r="A8699" s="3">
        <v>45764.0</v>
      </c>
      <c r="B8699" s="4">
        <v>0.275</v>
      </c>
      <c r="C8699" s="5" t="s">
        <v>85</v>
      </c>
      <c r="D8699" s="5" t="s">
        <v>1390</v>
      </c>
      <c r="E8699" s="8" t="s">
        <v>298</v>
      </c>
      <c r="F8699" s="7"/>
      <c r="G8699" s="6" t="str">
        <f>VLOOKUP(E8699,dicionario!$A$1:$C9098,2,0)</f>
        <v>Alysicarpus vaginalis</v>
      </c>
      <c r="H8699" s="6" t="str">
        <f>VLOOKUP(E8699,dicionario!$A$1:$C9098,3,0)</f>
        <v/>
      </c>
    </row>
    <row r="8700">
      <c r="A8700" s="3">
        <v>45764.0</v>
      </c>
      <c r="B8700" s="4">
        <v>0.27569444444444446</v>
      </c>
      <c r="C8700" s="5" t="s">
        <v>85</v>
      </c>
      <c r="D8700" s="5" t="s">
        <v>1390</v>
      </c>
      <c r="E8700" s="6" t="s">
        <v>53</v>
      </c>
      <c r="F8700" s="5" t="s">
        <v>54</v>
      </c>
      <c r="G8700" s="6" t="str">
        <f>VLOOKUP(E8700,dicionario!$A$1:$C9099,2,0)</f>
        <v>Turnera subulata</v>
      </c>
      <c r="H8700" s="6" t="str">
        <f>VLOOKUP(E8700,dicionario!$A$1:$C9099,3,0)</f>
        <v>xanana</v>
      </c>
    </row>
    <row r="8701">
      <c r="A8701" s="3">
        <v>45764.0</v>
      </c>
      <c r="B8701" s="4">
        <v>0.27569444444444446</v>
      </c>
      <c r="C8701" s="5" t="s">
        <v>85</v>
      </c>
      <c r="D8701" s="5" t="s">
        <v>1390</v>
      </c>
      <c r="E8701" s="8" t="s">
        <v>1325</v>
      </c>
      <c r="F8701" s="5" t="s">
        <v>228</v>
      </c>
      <c r="G8701" s="6" t="str">
        <f>VLOOKUP(E8701,dicionario!$A$1:$C9100,2,0)</f>
        <v>#N/A</v>
      </c>
      <c r="H8701" s="6" t="str">
        <f>VLOOKUP(E8701,dicionario!$A$1:$C9100,3,0)</f>
        <v>#N/A</v>
      </c>
    </row>
    <row r="8702">
      <c r="A8702" s="3">
        <v>45764.0</v>
      </c>
      <c r="B8702" s="4">
        <v>0.2763888888888889</v>
      </c>
      <c r="C8702" s="5" t="s">
        <v>85</v>
      </c>
      <c r="D8702" s="5" t="s">
        <v>1390</v>
      </c>
      <c r="E8702" s="8" t="s">
        <v>723</v>
      </c>
      <c r="F8702" s="5" t="s">
        <v>924</v>
      </c>
      <c r="G8702" s="6" t="str">
        <f>VLOOKUP(E8702,dicionario!$A$1:$C9101,2,0)</f>
        <v>Asemeia violacea</v>
      </c>
      <c r="H8702" s="6" t="str">
        <f>VLOOKUP(E8702,dicionario!$A$1:$C9101,3,0)</f>
        <v/>
      </c>
    </row>
    <row r="8703">
      <c r="A8703" s="3">
        <v>45764.0</v>
      </c>
      <c r="B8703" s="4">
        <v>0.2763888888888889</v>
      </c>
      <c r="C8703" s="5" t="s">
        <v>85</v>
      </c>
      <c r="D8703" s="5" t="s">
        <v>1390</v>
      </c>
      <c r="E8703" s="8" t="s">
        <v>146</v>
      </c>
      <c r="F8703" s="5" t="s">
        <v>147</v>
      </c>
      <c r="G8703" s="6" t="str">
        <f>VLOOKUP(E8703,dicionario!$A$1:$C9102,2,0)</f>
        <v>Euphorbia hirta</v>
      </c>
      <c r="H8703" s="6" t="str">
        <f>VLOOKUP(E8703,dicionario!$A$1:$C9102,3,0)</f>
        <v>erva-de-santa-luzia</v>
      </c>
    </row>
    <row r="8704">
      <c r="A8704" s="3">
        <v>45764.0</v>
      </c>
      <c r="B8704" s="4">
        <v>0.2763888888888889</v>
      </c>
      <c r="C8704" s="5" t="s">
        <v>85</v>
      </c>
      <c r="D8704" s="5" t="s">
        <v>1390</v>
      </c>
      <c r="E8704" s="8" t="s">
        <v>122</v>
      </c>
      <c r="F8704" s="5" t="s">
        <v>123</v>
      </c>
      <c r="G8704" s="6" t="str">
        <f>VLOOKUP(E8704,dicionario!$A$1:$C9103,2,0)</f>
        <v>Todirostrum cinereum</v>
      </c>
      <c r="H8704" s="6" t="str">
        <f>VLOOKUP(E8704,dicionario!$A$1:$C9103,3,0)</f>
        <v>ferreirinho-relógio</v>
      </c>
    </row>
    <row r="8705">
      <c r="A8705" s="3">
        <v>45764.0</v>
      </c>
      <c r="B8705" s="4">
        <v>0.2763888888888889</v>
      </c>
      <c r="C8705" s="5" t="s">
        <v>85</v>
      </c>
      <c r="D8705" s="5" t="s">
        <v>1390</v>
      </c>
      <c r="E8705" s="8" t="s">
        <v>135</v>
      </c>
      <c r="F8705" s="5" t="s">
        <v>136</v>
      </c>
      <c r="G8705" s="6" t="str">
        <f>VLOOKUP(E8705,dicionario!$A$1:$C9104,2,0)</f>
        <v>Tridax procumbens</v>
      </c>
      <c r="H8705" s="6" t="str">
        <f>VLOOKUP(E8705,dicionario!$A$1:$C9104,3,0)</f>
        <v>erva-de-touro</v>
      </c>
    </row>
    <row r="8706">
      <c r="A8706" s="3">
        <v>45764.0</v>
      </c>
      <c r="B8706" s="4">
        <v>0.27708333333333335</v>
      </c>
      <c r="C8706" s="5" t="s">
        <v>85</v>
      </c>
      <c r="D8706" s="5" t="s">
        <v>1390</v>
      </c>
      <c r="E8706" s="6" t="s">
        <v>288</v>
      </c>
      <c r="F8706" s="5" t="s">
        <v>289</v>
      </c>
      <c r="G8706" s="6" t="str">
        <f>VLOOKUP(E8706,dicionario!$A$1:$C9105,2,0)</f>
        <v>Phyllanthus tenellus</v>
      </c>
      <c r="H8706" s="6" t="str">
        <f>VLOOKUP(E8706,dicionario!$A$1:$C9105,3,0)</f>
        <v>quebra-pedra</v>
      </c>
    </row>
    <row r="8707">
      <c r="A8707" s="3">
        <v>45764.0</v>
      </c>
      <c r="B8707" s="4">
        <v>0.27708333333333335</v>
      </c>
      <c r="C8707" s="5" t="s">
        <v>85</v>
      </c>
      <c r="D8707" s="5" t="s">
        <v>1390</v>
      </c>
      <c r="E8707" s="20" t="s">
        <v>676</v>
      </c>
      <c r="F8707" s="5" t="s">
        <v>677</v>
      </c>
      <c r="G8707" s="6" t="str">
        <f>VLOOKUP(E8707,dicionario!$A$1:$C9106,2,0)</f>
        <v>Zornia latifolia</v>
      </c>
      <c r="H8707" s="6" t="str">
        <f>VLOOKUP(E8707,dicionario!$A$1:$C9106,3,0)</f>
        <v>arrozinho-do-campo</v>
      </c>
    </row>
    <row r="8708">
      <c r="A8708" s="3">
        <v>45764.0</v>
      </c>
      <c r="B8708" s="4">
        <v>0.27708333333333335</v>
      </c>
      <c r="C8708" s="5" t="s">
        <v>85</v>
      </c>
      <c r="D8708" s="5" t="s">
        <v>1390</v>
      </c>
      <c r="E8708" s="8" t="s">
        <v>1356</v>
      </c>
      <c r="F8708" s="5" t="s">
        <v>201</v>
      </c>
      <c r="G8708" s="6" t="str">
        <f>VLOOKUP(E8708,dicionario!$A$1:$C9107,2,0)</f>
        <v>#N/A</v>
      </c>
      <c r="H8708" s="6" t="str">
        <f>VLOOKUP(E8708,dicionario!$A$1:$C9107,3,0)</f>
        <v>#N/A</v>
      </c>
    </row>
    <row r="8709">
      <c r="A8709" s="3">
        <v>45764.0</v>
      </c>
      <c r="B8709" s="4">
        <v>0.27708333333333335</v>
      </c>
      <c r="C8709" s="5" t="s">
        <v>85</v>
      </c>
      <c r="D8709" s="5" t="s">
        <v>1390</v>
      </c>
      <c r="E8709" s="8" t="s">
        <v>712</v>
      </c>
      <c r="F8709" s="5" t="s">
        <v>718</v>
      </c>
      <c r="G8709" s="6" t="str">
        <f>VLOOKUP(E8709,dicionario!$A$1:$C9108,2,0)</f>
        <v>Flavopunctelia soredica</v>
      </c>
      <c r="H8709" s="6" t="str">
        <f>VLOOKUP(E8709,dicionario!$A$1:$C9108,3,0)</f>
        <v>líquen-folioso</v>
      </c>
    </row>
    <row r="8710">
      <c r="A8710" s="3">
        <v>45764.0</v>
      </c>
      <c r="B8710" s="4">
        <v>0.27708333333333335</v>
      </c>
      <c r="C8710" s="5" t="s">
        <v>85</v>
      </c>
      <c r="D8710" s="5" t="s">
        <v>1390</v>
      </c>
      <c r="E8710" s="8" t="s">
        <v>719</v>
      </c>
      <c r="F8710" s="5" t="s">
        <v>720</v>
      </c>
      <c r="G8710" s="6" t="str">
        <f>VLOOKUP(E8710,dicionario!$A$1:$C9109,2,0)</f>
        <v>Dirinaria</v>
      </c>
      <c r="H8710" s="6" t="str">
        <f>VLOOKUP(E8710,dicionario!$A$1:$C9109,3,0)</f>
        <v>líquen-crostoso</v>
      </c>
    </row>
    <row r="8711">
      <c r="A8711" s="3">
        <v>45764.0</v>
      </c>
      <c r="B8711" s="4">
        <v>0.27708333333333335</v>
      </c>
      <c r="C8711" s="5" t="s">
        <v>85</v>
      </c>
      <c r="D8711" s="5" t="s">
        <v>1390</v>
      </c>
      <c r="E8711" s="8" t="s">
        <v>51</v>
      </c>
      <c r="F8711" s="5" t="s">
        <v>77</v>
      </c>
      <c r="G8711" s="6" t="str">
        <f>VLOOKUP(E8711,dicionario!$A$1:$C9110,2,0)</f>
        <v>Solenopsis</v>
      </c>
      <c r="H8711" s="6" t="str">
        <f>VLOOKUP(E8711,dicionario!$A$1:$C9110,3,0)</f>
        <v>formiga-quente; formiga-lava-pés; formiga-de-fogo</v>
      </c>
    </row>
    <row r="8712">
      <c r="A8712" s="3">
        <v>45764.0</v>
      </c>
      <c r="B8712" s="4">
        <v>0.2777777777777778</v>
      </c>
      <c r="C8712" s="5" t="s">
        <v>85</v>
      </c>
      <c r="D8712" s="5" t="s">
        <v>1390</v>
      </c>
      <c r="E8712" s="12" t="s">
        <v>243</v>
      </c>
      <c r="F8712" s="5" t="s">
        <v>244</v>
      </c>
      <c r="G8712" s="6" t="str">
        <f>VLOOKUP(E8712,dicionario!$A$1:$C9111,2,0)</f>
        <v>Macroptilium atropurpureum</v>
      </c>
      <c r="H8712" s="6" t="str">
        <f>VLOOKUP(E8712,dicionario!$A$1:$C9111,3,0)</f>
        <v>feijão-de-pombo</v>
      </c>
    </row>
    <row r="8713">
      <c r="A8713" s="3">
        <v>45764.0</v>
      </c>
      <c r="B8713" s="4">
        <v>0.2777777777777778</v>
      </c>
      <c r="C8713" s="5" t="s">
        <v>85</v>
      </c>
      <c r="D8713" s="5" t="s">
        <v>1390</v>
      </c>
      <c r="E8713" s="8" t="s">
        <v>425</v>
      </c>
      <c r="F8713" s="5" t="s">
        <v>426</v>
      </c>
      <c r="G8713" s="6" t="str">
        <f>VLOOKUP(E8713,dicionario!$A$1:$C9112,2,0)</f>
        <v>Digitaria insularis</v>
      </c>
      <c r="H8713" s="6" t="str">
        <f>VLOOKUP(E8713,dicionario!$A$1:$C9112,3,0)</f>
        <v>capim-amargoso</v>
      </c>
    </row>
    <row r="8714">
      <c r="A8714" s="3">
        <v>45764.0</v>
      </c>
      <c r="B8714" s="4">
        <v>0.2798611111111111</v>
      </c>
      <c r="C8714" s="5" t="s">
        <v>76</v>
      </c>
      <c r="D8714" s="5" t="s">
        <v>1390</v>
      </c>
      <c r="E8714" s="8" t="s">
        <v>150</v>
      </c>
      <c r="F8714" s="5" t="s">
        <v>151</v>
      </c>
      <c r="G8714" s="6" t="str">
        <f>VLOOKUP(E8714,dicionario!$A$1:$C9113,2,0)</f>
        <v>Amaranthus viridis</v>
      </c>
      <c r="H8714" s="6" t="str">
        <f>VLOOKUP(E8714,dicionario!$A$1:$C9113,3,0)</f>
        <v>caruru-de-mancha</v>
      </c>
    </row>
    <row r="8715">
      <c r="A8715" s="3">
        <v>45764.0</v>
      </c>
      <c r="B8715" s="4">
        <v>0.2798611111111111</v>
      </c>
      <c r="C8715" s="5" t="s">
        <v>76</v>
      </c>
      <c r="D8715" s="5" t="s">
        <v>1390</v>
      </c>
      <c r="E8715" s="8" t="s">
        <v>411</v>
      </c>
      <c r="F8715" s="5" t="s">
        <v>1392</v>
      </c>
      <c r="G8715" s="6" t="str">
        <f>VLOOKUP(E8715,dicionario!$A$1:$C9114,2,0)</f>
        <v>Chilopoda</v>
      </c>
      <c r="H8715" s="6" t="str">
        <f>VLOOKUP(E8715,dicionario!$A$1:$C9114,3,0)</f>
        <v>lacraia</v>
      </c>
    </row>
    <row r="8716">
      <c r="A8716" s="3">
        <v>45764.0</v>
      </c>
      <c r="B8716" s="4">
        <v>0.28125</v>
      </c>
      <c r="C8716" s="5" t="s">
        <v>76</v>
      </c>
      <c r="D8716" s="5" t="s">
        <v>1390</v>
      </c>
      <c r="E8716" s="64" t="s">
        <v>696</v>
      </c>
      <c r="F8716" s="5" t="s">
        <v>619</v>
      </c>
      <c r="G8716" s="6" t="str">
        <f>VLOOKUP(E8716,dicionario!$A$1:$C9115,2,0)</f>
        <v>Gryne</v>
      </c>
      <c r="H8716" s="6" t="str">
        <f>VLOOKUP(E8716,dicionario!$A$1:$C9115,3,0)</f>
        <v>opilião</v>
      </c>
    </row>
    <row r="8717">
      <c r="A8717" s="3">
        <v>45764.0</v>
      </c>
      <c r="B8717" s="4">
        <v>0.28125</v>
      </c>
      <c r="C8717" s="5" t="s">
        <v>76</v>
      </c>
      <c r="D8717" s="5" t="s">
        <v>1390</v>
      </c>
      <c r="E8717" s="8" t="s">
        <v>57</v>
      </c>
      <c r="F8717" s="5" t="s">
        <v>475</v>
      </c>
      <c r="G8717" s="6" t="str">
        <f>VLOOKUP(E8717,dicionario!$A$1:$C9116,2,0)</f>
        <v>Juliformia</v>
      </c>
      <c r="H8717" s="6" t="str">
        <f>VLOOKUP(E8717,dicionario!$A$1:$C9116,3,0)</f>
        <v>gongolo; maria-café</v>
      </c>
    </row>
    <row r="8718">
      <c r="A8718" s="3">
        <v>45764.0</v>
      </c>
      <c r="B8718" s="4">
        <v>0.28125</v>
      </c>
      <c r="C8718" s="5" t="s">
        <v>76</v>
      </c>
      <c r="D8718" s="5" t="s">
        <v>1390</v>
      </c>
      <c r="E8718" s="8" t="s">
        <v>1393</v>
      </c>
      <c r="F8718" s="5" t="s">
        <v>997</v>
      </c>
      <c r="G8718" s="6" t="str">
        <f>VLOOKUP(E8718,dicionario!$A$1:$C9117,2,0)</f>
        <v>#N/A</v>
      </c>
      <c r="H8718" s="6" t="str">
        <f>VLOOKUP(E8718,dicionario!$A$1:$C9117,3,0)</f>
        <v>#N/A</v>
      </c>
    </row>
    <row r="8719">
      <c r="A8719" s="3">
        <v>45764.0</v>
      </c>
      <c r="B8719" s="4">
        <v>0.28194444444444444</v>
      </c>
      <c r="C8719" s="5" t="s">
        <v>76</v>
      </c>
      <c r="D8719" s="5" t="s">
        <v>1390</v>
      </c>
      <c r="E8719" s="65" t="s">
        <v>1394</v>
      </c>
      <c r="F8719" s="5" t="s">
        <v>1395</v>
      </c>
      <c r="G8719" s="6" t="str">
        <f>VLOOKUP(E8719,dicionario!$A$1:$C9118,2,0)</f>
        <v>Cecropia glaziovii</v>
      </c>
      <c r="H8719" s="6" t="str">
        <f>VLOOKUP(E8719,dicionario!$A$1:$C9118,3,0)</f>
        <v>embaúba-vermelha-do-sul</v>
      </c>
    </row>
    <row r="8720">
      <c r="A8720" s="3">
        <v>45764.0</v>
      </c>
      <c r="B8720" s="4">
        <v>0.28194444444444444</v>
      </c>
      <c r="C8720" s="5" t="s">
        <v>76</v>
      </c>
      <c r="D8720" s="5" t="s">
        <v>1390</v>
      </c>
      <c r="E8720" s="8" t="s">
        <v>1352</v>
      </c>
      <c r="F8720" s="7"/>
      <c r="G8720" s="6" t="str">
        <f>VLOOKUP(E8720,dicionario!$A$1:$C9119,2,0)</f>
        <v>#N/A</v>
      </c>
      <c r="H8720" s="6" t="str">
        <f>VLOOKUP(E8720,dicionario!$A$1:$C9119,3,0)</f>
        <v>#N/A</v>
      </c>
    </row>
    <row r="8721">
      <c r="A8721" s="3">
        <v>45764.0</v>
      </c>
      <c r="B8721" s="4">
        <v>0.2826388888888889</v>
      </c>
      <c r="C8721" s="5" t="s">
        <v>76</v>
      </c>
      <c r="D8721" s="5" t="s">
        <v>1390</v>
      </c>
      <c r="E8721" s="8" t="s">
        <v>1321</v>
      </c>
      <c r="F8721" s="5" t="s">
        <v>172</v>
      </c>
      <c r="G8721" s="6" t="str">
        <f>VLOOKUP(E8721,dicionario!$A$1:$C9120,2,0)</f>
        <v>#N/A</v>
      </c>
      <c r="H8721" s="6" t="str">
        <f>VLOOKUP(E8721,dicionario!$A$1:$C9120,3,0)</f>
        <v>#N/A</v>
      </c>
    </row>
    <row r="8722">
      <c r="A8722" s="3">
        <v>45764.0</v>
      </c>
      <c r="B8722" s="4">
        <v>0.2826388888888889</v>
      </c>
      <c r="C8722" s="5" t="s">
        <v>76</v>
      </c>
      <c r="D8722" s="5" t="s">
        <v>1390</v>
      </c>
      <c r="E8722" s="8" t="s">
        <v>1396</v>
      </c>
      <c r="F8722" s="5" t="s">
        <v>1397</v>
      </c>
      <c r="G8722" s="6" t="str">
        <f>VLOOKUP(E8722,dicionario!$A$1:$C9121,2,0)</f>
        <v>Oeceoclades maculata</v>
      </c>
      <c r="H8722" s="6" t="str">
        <f>VLOOKUP(E8722,dicionario!$A$1:$C9121,3,0)</f>
        <v>orquídea-monge</v>
      </c>
    </row>
    <row r="8723">
      <c r="A8723" s="3">
        <v>45764.0</v>
      </c>
      <c r="B8723" s="4">
        <v>0.2826388888888889</v>
      </c>
      <c r="C8723" s="5" t="s">
        <v>76</v>
      </c>
      <c r="D8723" s="5" t="s">
        <v>1390</v>
      </c>
      <c r="E8723" s="8" t="s">
        <v>135</v>
      </c>
      <c r="F8723" s="5" t="s">
        <v>136</v>
      </c>
      <c r="G8723" s="6" t="str">
        <f>VLOOKUP(E8723,dicionario!$A$1:$C9122,2,0)</f>
        <v>Tridax procumbens</v>
      </c>
      <c r="H8723" s="6" t="str">
        <f>VLOOKUP(E8723,dicionario!$A$1:$C9122,3,0)</f>
        <v>erva-de-touro</v>
      </c>
    </row>
    <row r="8724">
      <c r="A8724" s="3">
        <v>45764.0</v>
      </c>
      <c r="B8724" s="4">
        <v>0.2833333333333333</v>
      </c>
      <c r="C8724" s="5" t="s">
        <v>76</v>
      </c>
      <c r="D8724" s="5" t="s">
        <v>1390</v>
      </c>
      <c r="E8724" s="8" t="s">
        <v>1353</v>
      </c>
      <c r="F8724" s="5" t="s">
        <v>142</v>
      </c>
      <c r="G8724" s="6" t="str">
        <f>VLOOKUP(E8724,dicionario!$A$1:$C9123,2,0)</f>
        <v>#N/A</v>
      </c>
      <c r="H8724" s="6" t="str">
        <f>VLOOKUP(E8724,dicionario!$A$1:$C9123,3,0)</f>
        <v>#N/A</v>
      </c>
    </row>
    <row r="8725">
      <c r="A8725" s="3">
        <v>45764.0</v>
      </c>
      <c r="B8725" s="4">
        <v>0.2833333333333333</v>
      </c>
      <c r="C8725" s="5" t="s">
        <v>76</v>
      </c>
      <c r="D8725" s="5" t="s">
        <v>1390</v>
      </c>
      <c r="E8725" s="8" t="s">
        <v>1087</v>
      </c>
      <c r="F8725" s="5" t="s">
        <v>1088</v>
      </c>
      <c r="G8725" s="6" t="str">
        <f>VLOOKUP(E8725,dicionario!$A$1:$C9124,2,0)</f>
        <v>Desmodium triflorum</v>
      </c>
      <c r="H8725" s="6" t="str">
        <f>VLOOKUP(E8725,dicionario!$A$1:$C9124,3,0)</f>
        <v/>
      </c>
    </row>
    <row r="8726">
      <c r="A8726" s="3">
        <v>45764.0</v>
      </c>
      <c r="B8726" s="4">
        <v>0.2833333333333333</v>
      </c>
      <c r="C8726" s="5" t="s">
        <v>76</v>
      </c>
      <c r="D8726" s="5" t="s">
        <v>1390</v>
      </c>
      <c r="E8726" s="6" t="s">
        <v>48</v>
      </c>
      <c r="F8726" s="5" t="s">
        <v>49</v>
      </c>
      <c r="G8726" s="6" t="str">
        <f>VLOOKUP(E8726,dicionario!$A$1:$C9125,2,0)</f>
        <v>Commelina erecta</v>
      </c>
      <c r="H8726" s="6" t="str">
        <f>VLOOKUP(E8726,dicionario!$A$1:$C9125,3,0)</f>
        <v>trapoeraba</v>
      </c>
    </row>
    <row r="8727">
      <c r="A8727" s="3">
        <v>45764.0</v>
      </c>
      <c r="B8727" s="4">
        <v>0.2833333333333333</v>
      </c>
      <c r="C8727" s="5" t="s">
        <v>76</v>
      </c>
      <c r="D8727" s="5" t="s">
        <v>1390</v>
      </c>
      <c r="E8727" s="8" t="s">
        <v>146</v>
      </c>
      <c r="F8727" s="5" t="s">
        <v>147</v>
      </c>
      <c r="G8727" s="6" t="str">
        <f>VLOOKUP(E8727,dicionario!$A$1:$C9126,2,0)</f>
        <v>Euphorbia hirta</v>
      </c>
      <c r="H8727" s="6" t="str">
        <f>VLOOKUP(E8727,dicionario!$A$1:$C9126,3,0)</f>
        <v>erva-de-santa-luzia</v>
      </c>
    </row>
    <row r="8728">
      <c r="A8728" s="3">
        <v>45764.0</v>
      </c>
      <c r="B8728" s="4">
        <v>0.28402777777777777</v>
      </c>
      <c r="C8728" s="5" t="s">
        <v>76</v>
      </c>
      <c r="D8728" s="5" t="s">
        <v>1390</v>
      </c>
      <c r="E8728" s="8" t="s">
        <v>38</v>
      </c>
      <c r="F8728" s="5" t="s">
        <v>1251</v>
      </c>
      <c r="G8728" s="6" t="str">
        <f>VLOOKUP(E8728,dicionario!$A$1:$C9127,2,0)</f>
        <v>Troglodytes musculus</v>
      </c>
      <c r="H8728" s="6" t="str">
        <f>VLOOKUP(E8728,dicionario!$A$1:$C9127,3,0)</f>
        <v>curruíra</v>
      </c>
    </row>
    <row r="8729">
      <c r="A8729" s="3">
        <v>45764.0</v>
      </c>
      <c r="B8729" s="4">
        <v>0.28402777777777777</v>
      </c>
      <c r="C8729" s="5" t="s">
        <v>76</v>
      </c>
      <c r="D8729" s="5" t="s">
        <v>1390</v>
      </c>
      <c r="E8729" s="8" t="s">
        <v>88</v>
      </c>
      <c r="F8729" s="5" t="s">
        <v>89</v>
      </c>
      <c r="G8729" s="6" t="str">
        <f>VLOOKUP(E8729,dicionario!$A$1:$C9128,2,0)</f>
        <v>Tyrannus melancolichus</v>
      </c>
      <c r="H8729" s="6" t="str">
        <f>VLOOKUP(E8729,dicionario!$A$1:$C9128,3,0)</f>
        <v>suiriri</v>
      </c>
    </row>
    <row r="8730">
      <c r="A8730" s="3">
        <v>45764.0</v>
      </c>
      <c r="B8730" s="4">
        <v>0.28402777777777777</v>
      </c>
      <c r="C8730" s="5" t="s">
        <v>76</v>
      </c>
      <c r="D8730" s="5" t="s">
        <v>1390</v>
      </c>
      <c r="E8730" s="8" t="s">
        <v>191</v>
      </c>
      <c r="F8730" s="5" t="s">
        <v>192</v>
      </c>
      <c r="G8730" s="6" t="str">
        <f>VLOOKUP(E8730,dicionario!$A$1:$C9129,2,0)</f>
        <v>Patagioenas picazuro</v>
      </c>
      <c r="H8730" s="6" t="str">
        <f>VLOOKUP(E8730,dicionario!$A$1:$C9129,3,0)</f>
        <v>asa-branca; pomba-asa-branca; pocaçu</v>
      </c>
    </row>
    <row r="8731">
      <c r="A8731" s="3">
        <v>45764.0</v>
      </c>
      <c r="B8731" s="4">
        <v>0.28402777777777777</v>
      </c>
      <c r="C8731" s="5" t="s">
        <v>76</v>
      </c>
      <c r="D8731" s="5" t="s">
        <v>1390</v>
      </c>
      <c r="E8731" s="6" t="s">
        <v>613</v>
      </c>
      <c r="F8731" s="5" t="s">
        <v>614</v>
      </c>
      <c r="G8731" s="6" t="str">
        <f>VLOOKUP(E8731,dicionario!$A$1:$C9130,2,0)</f>
        <v>Euphorbia hyssopifolia</v>
      </c>
      <c r="H8731" s="6" t="str">
        <f>VLOOKUP(E8731,dicionario!$A$1:$C9130,3,0)</f>
        <v>maria-leite</v>
      </c>
    </row>
    <row r="8732">
      <c r="A8732" s="3">
        <v>45764.0</v>
      </c>
      <c r="B8732" s="4">
        <v>0.2861111111111111</v>
      </c>
      <c r="C8732" s="5" t="s">
        <v>76</v>
      </c>
      <c r="D8732" s="5" t="s">
        <v>1390</v>
      </c>
      <c r="E8732" s="8" t="s">
        <v>514</v>
      </c>
      <c r="F8732" s="5" t="s">
        <v>1398</v>
      </c>
      <c r="G8732" s="6" t="str">
        <f>VLOOKUP(E8732,dicionario!$A$1:$C9131,2,0)</f>
        <v>Aedes aegypti</v>
      </c>
      <c r="H8732" s="6" t="str">
        <f>VLOOKUP(E8732,dicionario!$A$1:$C9131,3,0)</f>
        <v>mosquito-da-dengue</v>
      </c>
    </row>
    <row r="8733">
      <c r="A8733" s="3">
        <v>45764.0</v>
      </c>
      <c r="B8733" s="4">
        <v>0.2861111111111111</v>
      </c>
      <c r="C8733" s="5" t="s">
        <v>76</v>
      </c>
      <c r="D8733" s="5" t="s">
        <v>1390</v>
      </c>
      <c r="E8733" s="8" t="s">
        <v>1399</v>
      </c>
      <c r="F8733" s="5" t="s">
        <v>506</v>
      </c>
      <c r="G8733" s="6" t="str">
        <f>VLOOKUP(E8733,dicionario!$A$1:$C9132,2,0)</f>
        <v>#N/A</v>
      </c>
      <c r="H8733" s="6" t="str">
        <f>VLOOKUP(E8733,dicionario!$A$1:$C9132,3,0)</f>
        <v>#N/A</v>
      </c>
    </row>
    <row r="8734">
      <c r="A8734" s="3">
        <v>45764.0</v>
      </c>
      <c r="B8734" s="4">
        <v>0.2861111111111111</v>
      </c>
      <c r="C8734" s="5" t="s">
        <v>76</v>
      </c>
      <c r="D8734" s="5" t="s">
        <v>1390</v>
      </c>
      <c r="E8734" s="8" t="s">
        <v>20</v>
      </c>
      <c r="F8734" s="5" t="s">
        <v>21</v>
      </c>
      <c r="G8734" s="6" t="str">
        <f>VLOOKUP(E8734,dicionario!$A$1:$C9133,2,0)</f>
        <v>Sicalis flaveola</v>
      </c>
      <c r="H8734" s="6" t="str">
        <f>VLOOKUP(E8734,dicionario!$A$1:$C9133,3,0)</f>
        <v>canário-da-terra</v>
      </c>
    </row>
    <row r="8735">
      <c r="A8735" s="3">
        <v>45764.0</v>
      </c>
      <c r="B8735" s="4">
        <v>0.2861111111111111</v>
      </c>
      <c r="C8735" s="5" t="s">
        <v>76</v>
      </c>
      <c r="D8735" s="5" t="s">
        <v>1390</v>
      </c>
      <c r="E8735" s="8" t="s">
        <v>43</v>
      </c>
      <c r="F8735" s="5" t="s">
        <v>44</v>
      </c>
      <c r="G8735" s="6" t="str">
        <f>VLOOKUP(E8735,dicionario!$A$1:$C9134,2,0)</f>
        <v>Columba livia</v>
      </c>
      <c r="H8735" s="6" t="str">
        <f>VLOOKUP(E8735,dicionario!$A$1:$C9134,3,0)</f>
        <v>pombo-doméstico</v>
      </c>
    </row>
    <row r="8736">
      <c r="A8736" s="3">
        <v>45764.0</v>
      </c>
      <c r="B8736" s="4">
        <v>0.2875</v>
      </c>
      <c r="C8736" s="5" t="s">
        <v>76</v>
      </c>
      <c r="D8736" s="5" t="s">
        <v>1390</v>
      </c>
      <c r="E8736" s="8" t="s">
        <v>163</v>
      </c>
      <c r="F8736" s="5" t="s">
        <v>164</v>
      </c>
      <c r="G8736" s="6" t="str">
        <f>VLOOKUP(E8736,dicionario!$A$1:$C9135,2,0)</f>
        <v>Coragyps atratus</v>
      </c>
      <c r="H8736" s="6" t="str">
        <f>VLOOKUP(E8736,dicionario!$A$1:$C9135,3,0)</f>
        <v>urubu-de-cabeça-preta</v>
      </c>
    </row>
    <row r="8737">
      <c r="A8737" s="3">
        <v>45764.0</v>
      </c>
      <c r="B8737" s="4">
        <v>0.2875</v>
      </c>
      <c r="C8737" s="5" t="s">
        <v>76</v>
      </c>
      <c r="D8737" s="5" t="s">
        <v>1390</v>
      </c>
      <c r="E8737" s="8" t="s">
        <v>239</v>
      </c>
      <c r="F8737" s="5" t="s">
        <v>240</v>
      </c>
      <c r="G8737" s="6" t="str">
        <f>VLOOKUP(E8737,dicionario!$A$1:$C9136,2,0)</f>
        <v>Gomphrena celosioides</v>
      </c>
      <c r="H8737" s="6" t="str">
        <f>VLOOKUP(E8737,dicionario!$A$1:$C9136,3,0)</f>
        <v>perpétua-branca</v>
      </c>
    </row>
    <row r="8738">
      <c r="A8738" s="3">
        <v>45764.0</v>
      </c>
      <c r="B8738" s="4">
        <v>0.2875</v>
      </c>
      <c r="C8738" s="5" t="s">
        <v>76</v>
      </c>
      <c r="D8738" s="5" t="s">
        <v>1390</v>
      </c>
      <c r="E8738" s="6" t="s">
        <v>148</v>
      </c>
      <c r="F8738" s="5" t="s">
        <v>149</v>
      </c>
      <c r="G8738" s="6" t="str">
        <f>VLOOKUP(E8738,dicionario!$A$1:$C9137,2,0)</f>
        <v>Parthenium hysterophorus</v>
      </c>
      <c r="H8738" s="6" t="str">
        <f>VLOOKUP(E8738,dicionario!$A$1:$C9137,3,0)</f>
        <v>losna-branca</v>
      </c>
    </row>
    <row r="8739">
      <c r="A8739" s="3">
        <v>45764.0</v>
      </c>
      <c r="B8739" s="4">
        <v>0.2881944444444444</v>
      </c>
      <c r="C8739" s="5" t="s">
        <v>76</v>
      </c>
      <c r="D8739" s="5" t="s">
        <v>1390</v>
      </c>
      <c r="E8739" s="8" t="s">
        <v>1339</v>
      </c>
      <c r="F8739" s="5" t="s">
        <v>73</v>
      </c>
      <c r="G8739" s="6" t="str">
        <f>VLOOKUP(E8739,dicionario!$A$1:$C9138,2,0)</f>
        <v>#N/A</v>
      </c>
      <c r="H8739" s="6" t="str">
        <f>VLOOKUP(E8739,dicionario!$A$1:$C9138,3,0)</f>
        <v>#N/A</v>
      </c>
    </row>
    <row r="8740">
      <c r="A8740" s="3">
        <v>45764.0</v>
      </c>
      <c r="B8740" s="4">
        <v>0.28888888888888886</v>
      </c>
      <c r="C8740" s="5" t="s">
        <v>76</v>
      </c>
      <c r="D8740" s="5" t="s">
        <v>1390</v>
      </c>
      <c r="E8740" s="8" t="s">
        <v>1345</v>
      </c>
      <c r="F8740" s="5" t="s">
        <v>254</v>
      </c>
      <c r="G8740" s="6" t="str">
        <f>VLOOKUP(E8740,dicionario!$A$1:$C9139,2,0)</f>
        <v>#N/A</v>
      </c>
      <c r="H8740" s="6" t="str">
        <f>VLOOKUP(E8740,dicionario!$A$1:$C9139,3,0)</f>
        <v>#N/A</v>
      </c>
    </row>
    <row r="8741">
      <c r="A8741" s="3">
        <v>45764.0</v>
      </c>
      <c r="B8741" s="4">
        <v>0.28888888888888886</v>
      </c>
      <c r="C8741" s="5" t="s">
        <v>76</v>
      </c>
      <c r="D8741" s="5" t="s">
        <v>1390</v>
      </c>
      <c r="E8741" s="61" t="s">
        <v>1400</v>
      </c>
      <c r="F8741" s="61" t="s">
        <v>1401</v>
      </c>
      <c r="G8741" s="6" t="str">
        <f>VLOOKUP(E8741,dicionario!$A$1:$C9140,2,0)</f>
        <v>Bemisia tabaci</v>
      </c>
      <c r="H8741" s="6" t="str">
        <f>VLOOKUP(E8741,dicionario!$A$1:$C9140,3,0)</f>
        <v>mosca branca</v>
      </c>
    </row>
    <row r="8742">
      <c r="A8742" s="3">
        <v>45764.0</v>
      </c>
      <c r="B8742" s="4">
        <v>0.28958333333333336</v>
      </c>
      <c r="C8742" s="5" t="s">
        <v>76</v>
      </c>
      <c r="D8742" s="5" t="s">
        <v>1390</v>
      </c>
      <c r="E8742" s="8" t="s">
        <v>1402</v>
      </c>
      <c r="F8742" s="61" t="s">
        <v>1403</v>
      </c>
      <c r="G8742" s="6" t="str">
        <f>VLOOKUP(E8742,dicionario!$A$1:$C9141,2,0)</f>
        <v>Phobetron</v>
      </c>
      <c r="H8742" s="6" t="str">
        <f>VLOOKUP(E8742,dicionario!$A$1:$C9141,3,0)</f>
        <v>lagarta aranha</v>
      </c>
    </row>
    <row r="8743">
      <c r="A8743" s="3">
        <v>45764.0</v>
      </c>
      <c r="B8743" s="4">
        <v>0.2916666666666667</v>
      </c>
      <c r="C8743" s="5" t="s">
        <v>76</v>
      </c>
      <c r="D8743" s="5" t="s">
        <v>1390</v>
      </c>
      <c r="E8743" s="8" t="s">
        <v>1404</v>
      </c>
      <c r="F8743" s="5" t="s">
        <v>1191</v>
      </c>
      <c r="G8743" s="6" t="str">
        <f>VLOOKUP(E8743,dicionario!$A$1:$C9142,2,0)</f>
        <v>#N/A</v>
      </c>
      <c r="H8743" s="6" t="str">
        <f>VLOOKUP(E8743,dicionario!$A$1:$C9142,3,0)</f>
        <v>#N/A</v>
      </c>
    </row>
    <row r="8744">
      <c r="A8744" s="3">
        <v>45764.0</v>
      </c>
      <c r="B8744" s="4">
        <v>0.29444444444444445</v>
      </c>
      <c r="C8744" s="5" t="s">
        <v>76</v>
      </c>
      <c r="D8744" s="5" t="s">
        <v>1390</v>
      </c>
      <c r="E8744" s="8" t="s">
        <v>1405</v>
      </c>
      <c r="F8744" s="5" t="s">
        <v>75</v>
      </c>
      <c r="G8744" s="6" t="str">
        <f>VLOOKUP(E8744,dicionario!$A$1:$C9143,2,0)</f>
        <v>#N/A</v>
      </c>
      <c r="H8744" s="6" t="str">
        <f>VLOOKUP(E8744,dicionario!$A$1:$C9143,3,0)</f>
        <v>#N/A</v>
      </c>
    </row>
    <row r="8745">
      <c r="A8745" s="3">
        <v>45764.0</v>
      </c>
      <c r="B8745" s="4">
        <v>0.29583333333333334</v>
      </c>
      <c r="C8745" s="5" t="s">
        <v>76</v>
      </c>
      <c r="D8745" s="5" t="s">
        <v>1390</v>
      </c>
      <c r="E8745" s="8" t="s">
        <v>1346</v>
      </c>
      <c r="F8745" s="5" t="s">
        <v>230</v>
      </c>
      <c r="G8745" s="6" t="str">
        <f>VLOOKUP(E8745,dicionario!$A$1:$C9144,2,0)</f>
        <v>#N/A</v>
      </c>
      <c r="H8745" s="6" t="str">
        <f>VLOOKUP(E8745,dicionario!$A$1:$C9144,3,0)</f>
        <v>#N/A</v>
      </c>
    </row>
    <row r="8746">
      <c r="A8746" s="3">
        <v>45764.0</v>
      </c>
      <c r="B8746" s="4">
        <v>0.3138888888888889</v>
      </c>
      <c r="C8746" s="5" t="s">
        <v>948</v>
      </c>
      <c r="D8746" s="5" t="s">
        <v>1390</v>
      </c>
      <c r="E8746" s="8" t="s">
        <v>1336</v>
      </c>
      <c r="F8746" s="5" t="s">
        <v>226</v>
      </c>
      <c r="G8746" s="6" t="str">
        <f>VLOOKUP(E8746,dicionario!$A$1:$C9145,2,0)</f>
        <v>#N/A</v>
      </c>
      <c r="H8746" s="6" t="str">
        <f>VLOOKUP(E8746,dicionario!$A$1:$C9145,3,0)</f>
        <v>#N/A</v>
      </c>
    </row>
    <row r="8747">
      <c r="A8747" s="3">
        <v>45764.0</v>
      </c>
      <c r="B8747" s="4">
        <v>0.3138888888888889</v>
      </c>
      <c r="C8747" s="5" t="s">
        <v>948</v>
      </c>
      <c r="D8747" s="5" t="s">
        <v>1390</v>
      </c>
      <c r="E8747" s="8" t="s">
        <v>1325</v>
      </c>
      <c r="F8747" s="5" t="s">
        <v>228</v>
      </c>
      <c r="G8747" s="6" t="str">
        <f>VLOOKUP(E8747,dicionario!$A$1:$C9146,2,0)</f>
        <v>#N/A</v>
      </c>
      <c r="H8747" s="6" t="str">
        <f>VLOOKUP(E8747,dicionario!$A$1:$C9146,3,0)</f>
        <v>#N/A</v>
      </c>
    </row>
    <row r="8748">
      <c r="A8748" s="3">
        <v>45764.0</v>
      </c>
      <c r="B8748" s="4">
        <v>0.3138888888888889</v>
      </c>
      <c r="C8748" s="5" t="s">
        <v>948</v>
      </c>
      <c r="D8748" s="5" t="s">
        <v>1390</v>
      </c>
      <c r="E8748" s="8" t="s">
        <v>1352</v>
      </c>
      <c r="F8748" s="7"/>
      <c r="G8748" s="6" t="str">
        <f>VLOOKUP(E8748,dicionario!$A$1:$C9147,2,0)</f>
        <v>#N/A</v>
      </c>
      <c r="H8748" s="6" t="str">
        <f>VLOOKUP(E8748,dicionario!$A$1:$C9147,3,0)</f>
        <v>#N/A</v>
      </c>
    </row>
    <row r="8749">
      <c r="A8749" s="3">
        <v>45764.0</v>
      </c>
      <c r="B8749" s="4">
        <v>0.3138888888888889</v>
      </c>
      <c r="C8749" s="5" t="s">
        <v>948</v>
      </c>
      <c r="D8749" s="5" t="s">
        <v>1390</v>
      </c>
      <c r="E8749" s="8" t="s">
        <v>113</v>
      </c>
      <c r="F8749" s="5" t="s">
        <v>114</v>
      </c>
      <c r="G8749" s="6" t="str">
        <f>VLOOKUP(E8749,dicionario!$A$1:$C9148,2,0)</f>
        <v>Columbina talpacoti</v>
      </c>
      <c r="H8749" s="6" t="str">
        <f>VLOOKUP(E8749,dicionario!$A$1:$C9148,3,0)</f>
        <v>rolinha-roxa</v>
      </c>
    </row>
    <row r="8750">
      <c r="A8750" s="3">
        <v>45764.0</v>
      </c>
      <c r="B8750" s="4">
        <v>0.3145833333333333</v>
      </c>
      <c r="C8750" s="5" t="s">
        <v>948</v>
      </c>
      <c r="D8750" s="5" t="s">
        <v>1390</v>
      </c>
      <c r="E8750" s="6" t="s">
        <v>471</v>
      </c>
      <c r="F8750" s="5" t="s">
        <v>472</v>
      </c>
      <c r="G8750" s="6" t="str">
        <f>VLOOKUP(E8750,dicionario!$A$1:$C9149,2,0)</f>
        <v>Sida acuta</v>
      </c>
      <c r="H8750" s="6" t="str">
        <f>VLOOKUP(E8750,dicionario!$A$1:$C9149,3,0)</f>
        <v>reloginho</v>
      </c>
    </row>
    <row r="8751">
      <c r="A8751" s="3">
        <v>45764.0</v>
      </c>
      <c r="B8751" s="4">
        <v>0.3145833333333333</v>
      </c>
      <c r="C8751" s="5" t="s">
        <v>948</v>
      </c>
      <c r="D8751" s="5" t="s">
        <v>1390</v>
      </c>
      <c r="E8751" s="8" t="s">
        <v>296</v>
      </c>
      <c r="F8751" s="5" t="s">
        <v>297</v>
      </c>
      <c r="G8751" s="6" t="str">
        <f>VLOOKUP(E8751,dicionario!$A$1:$C9150,2,0)</f>
        <v>Richardia brasiliensis</v>
      </c>
      <c r="H8751" s="6" t="str">
        <f>VLOOKUP(E8751,dicionario!$A$1:$C9150,3,0)</f>
        <v>poaia-branca</v>
      </c>
    </row>
    <row r="8752">
      <c r="A8752" s="3">
        <v>45764.0</v>
      </c>
      <c r="B8752" s="4">
        <v>0.3145833333333333</v>
      </c>
      <c r="C8752" s="5" t="s">
        <v>948</v>
      </c>
      <c r="D8752" s="5" t="s">
        <v>1390</v>
      </c>
      <c r="E8752" s="8" t="s">
        <v>146</v>
      </c>
      <c r="F8752" s="5" t="s">
        <v>147</v>
      </c>
      <c r="G8752" s="6" t="str">
        <f>VLOOKUP(E8752,dicionario!$A$1:$C9151,2,0)</f>
        <v>Euphorbia hirta</v>
      </c>
      <c r="H8752" s="6" t="str">
        <f>VLOOKUP(E8752,dicionario!$A$1:$C9151,3,0)</f>
        <v>erva-de-santa-luzia</v>
      </c>
    </row>
    <row r="8753">
      <c r="A8753" s="3">
        <v>45764.0</v>
      </c>
      <c r="B8753" s="4">
        <v>0.3145833333333333</v>
      </c>
      <c r="C8753" s="5" t="s">
        <v>948</v>
      </c>
      <c r="D8753" s="5" t="s">
        <v>1390</v>
      </c>
      <c r="E8753" s="8" t="s">
        <v>154</v>
      </c>
      <c r="F8753" s="5" t="s">
        <v>155</v>
      </c>
      <c r="G8753" s="6" t="str">
        <f>VLOOKUP(E8753,dicionario!$A$1:$C9152,2,0)</f>
        <v>Cyperus rotundus</v>
      </c>
      <c r="H8753" s="6" t="str">
        <f>VLOOKUP(E8753,dicionario!$A$1:$C9152,3,0)</f>
        <v>tiririca</v>
      </c>
    </row>
    <row r="8754">
      <c r="A8754" s="3">
        <v>45764.0</v>
      </c>
      <c r="B8754" s="4">
        <v>0.3145833333333333</v>
      </c>
      <c r="C8754" s="5" t="s">
        <v>948</v>
      </c>
      <c r="D8754" s="5" t="s">
        <v>1390</v>
      </c>
      <c r="E8754" s="8" t="s">
        <v>1386</v>
      </c>
      <c r="F8754" s="5" t="s">
        <v>484</v>
      </c>
      <c r="G8754" s="6" t="str">
        <f>VLOOKUP(E8754,dicionario!$A$1:$C9153,2,0)</f>
        <v>#N/A</v>
      </c>
      <c r="H8754" s="6" t="str">
        <f>VLOOKUP(E8754,dicionario!$A$1:$C9153,3,0)</f>
        <v>#N/A</v>
      </c>
    </row>
    <row r="8755">
      <c r="A8755" s="3">
        <v>45764.0</v>
      </c>
      <c r="B8755" s="4">
        <v>0.3145833333333333</v>
      </c>
      <c r="C8755" s="5" t="s">
        <v>948</v>
      </c>
      <c r="D8755" s="5" t="s">
        <v>1390</v>
      </c>
      <c r="E8755" s="8" t="s">
        <v>88</v>
      </c>
      <c r="F8755" s="5" t="s">
        <v>89</v>
      </c>
      <c r="G8755" s="6" t="str">
        <f>VLOOKUP(E8755,dicionario!$A$1:$C9154,2,0)</f>
        <v>Tyrannus melancolichus</v>
      </c>
      <c r="H8755" s="6" t="str">
        <f>VLOOKUP(E8755,dicionario!$A$1:$C9154,3,0)</f>
        <v>suiriri</v>
      </c>
    </row>
    <row r="8756">
      <c r="A8756" s="3">
        <v>45764.0</v>
      </c>
      <c r="B8756" s="4">
        <v>0.3145833333333333</v>
      </c>
      <c r="C8756" s="5" t="s">
        <v>948</v>
      </c>
      <c r="D8756" s="5" t="s">
        <v>1390</v>
      </c>
      <c r="E8756" s="8" t="s">
        <v>109</v>
      </c>
      <c r="F8756" s="5" t="s">
        <v>110</v>
      </c>
      <c r="G8756" s="6" t="str">
        <f>VLOOKUP(E8756,dicionario!$A$1:$C9155,2,0)</f>
        <v>Tillandsia stricta</v>
      </c>
      <c r="H8756" s="6" t="str">
        <f>VLOOKUP(E8756,dicionario!$A$1:$C9155,3,0)</f>
        <v>cravo-do-mato</v>
      </c>
    </row>
    <row r="8757">
      <c r="A8757" s="3">
        <v>45764.0</v>
      </c>
      <c r="B8757" s="4">
        <v>0.3145833333333333</v>
      </c>
      <c r="C8757" s="5" t="s">
        <v>948</v>
      </c>
      <c r="D8757" s="5" t="s">
        <v>1390</v>
      </c>
      <c r="E8757" s="6" t="s">
        <v>48</v>
      </c>
      <c r="F8757" s="5" t="s">
        <v>49</v>
      </c>
      <c r="G8757" s="6" t="str">
        <f>VLOOKUP(E8757,dicionario!$A$1:$C9156,2,0)</f>
        <v>Commelina erecta</v>
      </c>
      <c r="H8757" s="6" t="str">
        <f>VLOOKUP(E8757,dicionario!$A$1:$C9156,3,0)</f>
        <v>trapoeraba</v>
      </c>
    </row>
    <row r="8758">
      <c r="A8758" s="3">
        <v>45764.0</v>
      </c>
      <c r="B8758" s="4">
        <v>0.3145833333333333</v>
      </c>
      <c r="C8758" s="5" t="s">
        <v>64</v>
      </c>
      <c r="D8758" s="5" t="s">
        <v>1390</v>
      </c>
      <c r="E8758" s="8" t="s">
        <v>38</v>
      </c>
      <c r="F8758" s="5" t="s">
        <v>1251</v>
      </c>
      <c r="G8758" s="6" t="str">
        <f>VLOOKUP(E8758,dicionario!$A$1:$C9157,2,0)</f>
        <v>Troglodytes musculus</v>
      </c>
      <c r="H8758" s="6" t="str">
        <f>VLOOKUP(E8758,dicionario!$A$1:$C9157,3,0)</f>
        <v>curruíra</v>
      </c>
    </row>
    <row r="8759">
      <c r="A8759" s="3">
        <v>45764.0</v>
      </c>
      <c r="B8759" s="4">
        <v>0.3159722222222222</v>
      </c>
      <c r="C8759" s="5" t="s">
        <v>64</v>
      </c>
      <c r="D8759" s="5" t="s">
        <v>1390</v>
      </c>
      <c r="E8759" s="8" t="s">
        <v>1324</v>
      </c>
      <c r="F8759" s="5" t="s">
        <v>1246</v>
      </c>
      <c r="G8759" s="6" t="str">
        <f>VLOOKUP(E8759,dicionario!$A$1:$C9158,2,0)</f>
        <v>#N/A</v>
      </c>
      <c r="H8759" s="6" t="str">
        <f>VLOOKUP(E8759,dicionario!$A$1:$C9158,3,0)</f>
        <v>#N/A</v>
      </c>
    </row>
    <row r="8760">
      <c r="A8760" s="3">
        <v>45764.0</v>
      </c>
      <c r="B8760" s="4">
        <v>0.3159722222222222</v>
      </c>
      <c r="C8760" s="5" t="s">
        <v>64</v>
      </c>
      <c r="D8760" s="5" t="s">
        <v>1390</v>
      </c>
      <c r="E8760" s="8" t="s">
        <v>43</v>
      </c>
      <c r="F8760" s="5" t="s">
        <v>44</v>
      </c>
      <c r="G8760" s="6" t="str">
        <f>VLOOKUP(E8760,dicionario!$A$1:$C9159,2,0)</f>
        <v>Columba livia</v>
      </c>
      <c r="H8760" s="6" t="str">
        <f>VLOOKUP(E8760,dicionario!$A$1:$C9159,3,0)</f>
        <v>pombo-doméstico</v>
      </c>
    </row>
    <row r="8761">
      <c r="A8761" s="3">
        <v>45764.0</v>
      </c>
      <c r="B8761" s="4">
        <v>0.3159722222222222</v>
      </c>
      <c r="C8761" s="5" t="s">
        <v>64</v>
      </c>
      <c r="D8761" s="5" t="s">
        <v>1390</v>
      </c>
      <c r="E8761" s="8" t="s">
        <v>65</v>
      </c>
      <c r="F8761" s="5" t="s">
        <v>66</v>
      </c>
      <c r="G8761" s="6" t="str">
        <f>VLOOKUP(E8761,dicionario!$A$1:$C9160,2,0)</f>
        <v>Pitangus sulphutarus</v>
      </c>
      <c r="H8761" s="6" t="str">
        <f>VLOOKUP(E8761,dicionario!$A$1:$C9160,3,0)</f>
        <v>bem-te-vi</v>
      </c>
    </row>
    <row r="8762">
      <c r="A8762" s="3">
        <v>45764.0</v>
      </c>
      <c r="B8762" s="4">
        <v>0.3159722222222222</v>
      </c>
      <c r="C8762" s="5" t="s">
        <v>64</v>
      </c>
      <c r="D8762" s="5" t="s">
        <v>1390</v>
      </c>
      <c r="E8762" s="8" t="s">
        <v>213</v>
      </c>
      <c r="F8762" s="5" t="s">
        <v>214</v>
      </c>
      <c r="G8762" s="6" t="str">
        <f>VLOOKUP(E8762,dicionario!$A$1:$C9161,2,0)</f>
        <v>Myiozetetes similis</v>
      </c>
      <c r="H8762" s="6" t="str">
        <f>VLOOKUP(E8762,dicionario!$A$1:$C9161,3,0)</f>
        <v>bentevizinho-de-penacho-vermelho</v>
      </c>
    </row>
    <row r="8763">
      <c r="A8763" s="3">
        <v>45764.0</v>
      </c>
      <c r="B8763" s="4">
        <v>0.3159722222222222</v>
      </c>
      <c r="C8763" s="5" t="s">
        <v>64</v>
      </c>
      <c r="D8763" s="5" t="s">
        <v>1390</v>
      </c>
      <c r="E8763" s="8" t="s">
        <v>1321</v>
      </c>
      <c r="F8763" s="5" t="s">
        <v>172</v>
      </c>
      <c r="G8763" s="6" t="str">
        <f>VLOOKUP(E8763,dicionario!$A$1:$C9162,2,0)</f>
        <v>#N/A</v>
      </c>
      <c r="H8763" s="6" t="str">
        <f>VLOOKUP(E8763,dicionario!$A$1:$C9162,3,0)</f>
        <v>#N/A</v>
      </c>
    </row>
    <row r="8764">
      <c r="A8764" s="3">
        <v>45764.0</v>
      </c>
      <c r="B8764" s="4">
        <v>0.3159722222222222</v>
      </c>
      <c r="C8764" s="5" t="s">
        <v>64</v>
      </c>
      <c r="D8764" s="5" t="s">
        <v>1390</v>
      </c>
      <c r="E8764" s="8" t="s">
        <v>928</v>
      </c>
      <c r="F8764" s="5" t="s">
        <v>418</v>
      </c>
      <c r="G8764" s="6" t="str">
        <f>VLOOKUP(E8764,dicionario!$A$1:$C9163,2,0)</f>
        <v>Camponotus</v>
      </c>
      <c r="H8764" s="6" t="str">
        <f>VLOOKUP(E8764,dicionario!$A$1:$C9163,3,0)</f>
        <v>formiga-preta</v>
      </c>
    </row>
    <row r="8765">
      <c r="A8765" s="3">
        <v>45764.0</v>
      </c>
      <c r="B8765" s="4">
        <v>0.31666666666666665</v>
      </c>
      <c r="C8765" s="5" t="s">
        <v>64</v>
      </c>
      <c r="D8765" s="5" t="s">
        <v>1390</v>
      </c>
      <c r="E8765" s="8" t="s">
        <v>141</v>
      </c>
      <c r="F8765" s="5" t="s">
        <v>142</v>
      </c>
      <c r="G8765" s="6" t="str">
        <f>VLOOKUP(E8765,dicionario!$A$1:$C9164,2,0)</f>
        <v>Ruellia blechum</v>
      </c>
      <c r="H8765" s="6" t="str">
        <f>VLOOKUP(E8765,dicionario!$A$1:$C9164,3,0)</f>
        <v>camarão-verde</v>
      </c>
    </row>
    <row r="8766">
      <c r="A8766" s="3">
        <v>45764.0</v>
      </c>
      <c r="B8766" s="4">
        <v>0.31666666666666665</v>
      </c>
      <c r="C8766" s="5" t="s">
        <v>64</v>
      </c>
      <c r="D8766" s="5" t="s">
        <v>1390</v>
      </c>
      <c r="E8766" s="8" t="s">
        <v>109</v>
      </c>
      <c r="F8766" s="5" t="s">
        <v>110</v>
      </c>
      <c r="G8766" s="6" t="str">
        <f>VLOOKUP(E8766,dicionario!$A$1:$C9165,2,0)</f>
        <v>Tillandsia stricta</v>
      </c>
      <c r="H8766" s="6" t="str">
        <f>VLOOKUP(E8766,dicionario!$A$1:$C9165,3,0)</f>
        <v>cravo-do-mato</v>
      </c>
    </row>
    <row r="8767">
      <c r="A8767" s="3">
        <v>45764.0</v>
      </c>
      <c r="B8767" s="4">
        <v>0.31666666666666665</v>
      </c>
      <c r="C8767" s="5" t="s">
        <v>64</v>
      </c>
      <c r="D8767" s="5" t="s">
        <v>1390</v>
      </c>
      <c r="E8767" s="6" t="s">
        <v>290</v>
      </c>
      <c r="F8767" s="5" t="s">
        <v>291</v>
      </c>
      <c r="G8767" s="6" t="str">
        <f>VLOOKUP(E8767,dicionario!$A$1:$C9166,2,0)</f>
        <v>Drymaria cordata</v>
      </c>
      <c r="H8767" s="6" t="str">
        <f>VLOOKUP(E8767,dicionario!$A$1:$C9166,3,0)</f>
        <v>orelha-de-rato</v>
      </c>
    </row>
    <row r="8768">
      <c r="A8768" s="3">
        <v>45764.0</v>
      </c>
      <c r="B8768" s="4">
        <v>0.31666666666666665</v>
      </c>
      <c r="C8768" s="5" t="s">
        <v>64</v>
      </c>
      <c r="D8768" s="5" t="s">
        <v>1390</v>
      </c>
      <c r="E8768" s="6" t="s">
        <v>251</v>
      </c>
      <c r="F8768" s="5" t="s">
        <v>252</v>
      </c>
      <c r="G8768" s="6" t="str">
        <f>VLOOKUP(E8768,dicionario!$A$1:$C9167,2,0)</f>
        <v>Struthanthus flexicaulis</v>
      </c>
      <c r="H8768" s="6" t="str">
        <f>VLOOKUP(E8768,dicionario!$A$1:$C9167,3,0)</f>
        <v>erva-de-passarinho</v>
      </c>
    </row>
    <row r="8769">
      <c r="A8769" s="3">
        <v>45764.0</v>
      </c>
      <c r="B8769" s="4">
        <v>0.31666666666666665</v>
      </c>
      <c r="C8769" s="5" t="s">
        <v>64</v>
      </c>
      <c r="D8769" s="5" t="s">
        <v>1390</v>
      </c>
      <c r="E8769" s="8" t="s">
        <v>353</v>
      </c>
      <c r="F8769" s="5" t="s">
        <v>354</v>
      </c>
      <c r="G8769" s="6" t="str">
        <f>VLOOKUP(E8769,dicionario!$A$1:$C9168,2,0)</f>
        <v>Desmodium incanum</v>
      </c>
      <c r="H8769" s="6" t="str">
        <f>VLOOKUP(E8769,dicionario!$A$1:$C9168,3,0)</f>
        <v>pega-pega</v>
      </c>
    </row>
    <row r="8770">
      <c r="A8770" s="3">
        <v>45764.0</v>
      </c>
      <c r="B8770" s="4">
        <v>0.31666666666666665</v>
      </c>
      <c r="C8770" s="5" t="s">
        <v>64</v>
      </c>
      <c r="D8770" s="5" t="s">
        <v>1390</v>
      </c>
      <c r="E8770" s="8" t="s">
        <v>253</v>
      </c>
      <c r="F8770" s="5" t="s">
        <v>254</v>
      </c>
      <c r="G8770" s="6" t="str">
        <f>VLOOKUP(E8770,dicionario!$A$1:$C9169,2,0)</f>
        <v>Panicum maximum</v>
      </c>
      <c r="H8770" s="6" t="str">
        <f>VLOOKUP(E8770,dicionario!$A$1:$C9169,3,0)</f>
        <v>capim-colonião</v>
      </c>
    </row>
    <row r="8771">
      <c r="A8771" s="3">
        <v>45764.0</v>
      </c>
      <c r="B8771" s="4">
        <v>0.31666666666666665</v>
      </c>
      <c r="C8771" s="5" t="s">
        <v>64</v>
      </c>
      <c r="D8771" s="5" t="s">
        <v>1390</v>
      </c>
      <c r="E8771" s="8" t="s">
        <v>193</v>
      </c>
      <c r="F8771" s="5" t="s">
        <v>194</v>
      </c>
      <c r="G8771" s="6" t="str">
        <f>VLOOKUP(E8771,dicionario!$A$1:$C9170,2,0)</f>
        <v>Conirostrum speciosum</v>
      </c>
      <c r="H8771" s="6" t="str">
        <f>VLOOKUP(E8771,dicionario!$A$1:$C9170,3,0)</f>
        <v>figuinha-de-rabo-castanho</v>
      </c>
    </row>
    <row r="8772">
      <c r="A8772" s="3">
        <v>45764.0</v>
      </c>
      <c r="B8772" s="4">
        <v>0.3173611111111111</v>
      </c>
      <c r="C8772" s="5" t="s">
        <v>64</v>
      </c>
      <c r="D8772" s="5" t="s">
        <v>1390</v>
      </c>
      <c r="E8772" s="8" t="s">
        <v>928</v>
      </c>
      <c r="F8772" s="5" t="s">
        <v>418</v>
      </c>
      <c r="G8772" s="6" t="str">
        <f>VLOOKUP(E8772,dicionario!$A$1:$C9171,2,0)</f>
        <v>Camponotus</v>
      </c>
      <c r="H8772" s="6" t="str">
        <f>VLOOKUP(E8772,dicionario!$A$1:$C9171,3,0)</f>
        <v>formiga-preta</v>
      </c>
    </row>
    <row r="8773">
      <c r="A8773" s="3">
        <v>45764.0</v>
      </c>
      <c r="B8773" s="4">
        <v>0.3173611111111111</v>
      </c>
      <c r="C8773" s="5" t="s">
        <v>64</v>
      </c>
      <c r="D8773" s="5" t="s">
        <v>1390</v>
      </c>
      <c r="E8773" s="8" t="s">
        <v>175</v>
      </c>
      <c r="F8773" s="5" t="s">
        <v>176</v>
      </c>
      <c r="G8773" s="6" t="str">
        <f>VLOOKUP(E8773,dicionario!$A$1:$C9172,2,0)</f>
        <v>Turdus leucomelas</v>
      </c>
      <c r="H8773" s="6" t="str">
        <f>VLOOKUP(E8773,dicionario!$A$1:$C9172,3,0)</f>
        <v>sabiá-barranco</v>
      </c>
    </row>
    <row r="8774">
      <c r="A8774" s="3">
        <v>45764.0</v>
      </c>
      <c r="B8774" s="4">
        <v>0.3173611111111111</v>
      </c>
      <c r="C8774" s="5" t="s">
        <v>64</v>
      </c>
      <c r="D8774" s="5" t="s">
        <v>1390</v>
      </c>
      <c r="E8774" s="8" t="s">
        <v>72</v>
      </c>
      <c r="F8774" s="5" t="s">
        <v>73</v>
      </c>
      <c r="G8774" s="6" t="str">
        <f>VLOOKUP(E8774,dicionario!$A$1:$C9173,2,0)</f>
        <v>Thraupis palmarum</v>
      </c>
      <c r="H8774" s="6" t="str">
        <f>VLOOKUP(E8774,dicionario!$A$1:$C9173,3,0)</f>
        <v>sanhaço-do-coqueiro</v>
      </c>
    </row>
    <row r="8775">
      <c r="A8775" s="3">
        <v>45764.0</v>
      </c>
      <c r="B8775" s="4">
        <v>0.31805555555555554</v>
      </c>
      <c r="C8775" s="5" t="s">
        <v>64</v>
      </c>
      <c r="D8775" s="5" t="s">
        <v>1390</v>
      </c>
      <c r="E8775" s="8" t="s">
        <v>122</v>
      </c>
      <c r="F8775" s="5" t="s">
        <v>123</v>
      </c>
      <c r="G8775" s="6" t="str">
        <f>VLOOKUP(E8775,dicionario!$A$1:$C9174,2,0)</f>
        <v>Todirostrum cinereum</v>
      </c>
      <c r="H8775" s="6" t="str">
        <f>VLOOKUP(E8775,dicionario!$A$1:$C9174,3,0)</f>
        <v>ferreirinho-relógio</v>
      </c>
    </row>
    <row r="8776">
      <c r="A8776" s="3">
        <v>45764.0</v>
      </c>
      <c r="B8776" s="4">
        <v>0.31805555555555554</v>
      </c>
      <c r="C8776" s="5" t="s">
        <v>64</v>
      </c>
      <c r="D8776" s="5" t="s">
        <v>1390</v>
      </c>
      <c r="E8776" s="8" t="s">
        <v>719</v>
      </c>
      <c r="F8776" s="5" t="s">
        <v>720</v>
      </c>
      <c r="G8776" s="6" t="str">
        <f>VLOOKUP(E8776,dicionario!$A$1:$C9175,2,0)</f>
        <v>Dirinaria</v>
      </c>
      <c r="H8776" s="6" t="str">
        <f>VLOOKUP(E8776,dicionario!$A$1:$C9175,3,0)</f>
        <v>líquen-crostoso</v>
      </c>
    </row>
    <row r="8777">
      <c r="A8777" s="3">
        <v>45764.0</v>
      </c>
      <c r="B8777" s="4">
        <v>0.3194444444444444</v>
      </c>
      <c r="C8777" s="5" t="s">
        <v>64</v>
      </c>
      <c r="D8777" s="5" t="s">
        <v>1390</v>
      </c>
      <c r="E8777" s="8" t="s">
        <v>712</v>
      </c>
      <c r="F8777" s="5" t="s">
        <v>718</v>
      </c>
      <c r="G8777" s="6" t="str">
        <f>VLOOKUP(E8777,dicionario!$A$1:$C9176,2,0)</f>
        <v>Flavopunctelia soredica</v>
      </c>
      <c r="H8777" s="6" t="str">
        <f>VLOOKUP(E8777,dicionario!$A$1:$C9176,3,0)</f>
        <v>líquen-folioso</v>
      </c>
    </row>
    <row r="8778">
      <c r="A8778" s="3">
        <v>45764.0</v>
      </c>
      <c r="B8778" s="4">
        <v>0.3194444444444444</v>
      </c>
      <c r="C8778" s="5" t="s">
        <v>64</v>
      </c>
      <c r="D8778" s="5" t="s">
        <v>1390</v>
      </c>
      <c r="E8778" s="8" t="s">
        <v>514</v>
      </c>
      <c r="F8778" s="5" t="s">
        <v>515</v>
      </c>
      <c r="G8778" s="6" t="str">
        <f>VLOOKUP(E8778,dicionario!$A$1:$C9177,2,0)</f>
        <v>Aedes aegypti</v>
      </c>
      <c r="H8778" s="6" t="str">
        <f>VLOOKUP(E8778,dicionario!$A$1:$C9177,3,0)</f>
        <v>mosquito-da-dengue</v>
      </c>
    </row>
    <row r="8779">
      <c r="A8779" s="3">
        <v>45764.0</v>
      </c>
      <c r="B8779" s="4">
        <v>0.32083333333333336</v>
      </c>
      <c r="C8779" s="5" t="s">
        <v>59</v>
      </c>
      <c r="D8779" s="5" t="s">
        <v>1390</v>
      </c>
      <c r="E8779" s="8" t="s">
        <v>83</v>
      </c>
      <c r="F8779" s="5" t="s">
        <v>84</v>
      </c>
      <c r="G8779" s="6" t="str">
        <f>VLOOKUP(E8779,dicionario!$A$1:$C9178,2,0)</f>
        <v>Anartia jatrophae</v>
      </c>
      <c r="H8779" s="6" t="str">
        <f>VLOOKUP(E8779,dicionario!$A$1:$C9178,3,0)</f>
        <v>borboleta-pavão-branco</v>
      </c>
    </row>
    <row r="8780">
      <c r="A8780" s="3">
        <v>45764.0</v>
      </c>
      <c r="B8780" s="4">
        <v>0.32083333333333336</v>
      </c>
      <c r="C8780" s="5" t="s">
        <v>59</v>
      </c>
      <c r="D8780" s="5" t="s">
        <v>1390</v>
      </c>
      <c r="E8780" s="8" t="s">
        <v>46</v>
      </c>
      <c r="F8780" s="5" t="s">
        <v>47</v>
      </c>
      <c r="G8780" s="6" t="str">
        <f>VLOOKUP(E8780,dicionario!$A$1:$C9179,2,0)</f>
        <v>Chionomesa fimbriata</v>
      </c>
      <c r="H8780" s="6" t="str">
        <f>VLOOKUP(E8780,dicionario!$A$1:$C9179,3,0)</f>
        <v>beija-flor-de-garganta-verde</v>
      </c>
    </row>
    <row r="8781">
      <c r="A8781" s="3">
        <v>45764.0</v>
      </c>
      <c r="B8781" s="4">
        <v>0.32083333333333336</v>
      </c>
      <c r="C8781" s="5" t="s">
        <v>59</v>
      </c>
      <c r="D8781" s="5" t="s">
        <v>1390</v>
      </c>
      <c r="E8781" s="6" t="s">
        <v>53</v>
      </c>
      <c r="F8781" s="5" t="s">
        <v>54</v>
      </c>
      <c r="G8781" s="6" t="str">
        <f>VLOOKUP(E8781,dicionario!$A$1:$C9180,2,0)</f>
        <v>Turnera subulata</v>
      </c>
      <c r="H8781" s="6" t="str">
        <f>VLOOKUP(E8781,dicionario!$A$1:$C9180,3,0)</f>
        <v>xanana</v>
      </c>
    </row>
    <row r="8782">
      <c r="A8782" s="3">
        <v>45764.0</v>
      </c>
      <c r="B8782" s="4">
        <v>0.3215277777777778</v>
      </c>
      <c r="C8782" s="5" t="s">
        <v>59</v>
      </c>
      <c r="D8782" s="5" t="s">
        <v>1390</v>
      </c>
      <c r="E8782" s="8" t="s">
        <v>298</v>
      </c>
      <c r="F8782" s="7"/>
      <c r="G8782" s="6" t="str">
        <f>VLOOKUP(E8782,dicionario!$A$1:$C9181,2,0)</f>
        <v>Alysicarpus vaginalis</v>
      </c>
      <c r="H8782" s="6" t="str">
        <f>VLOOKUP(E8782,dicionario!$A$1:$C9181,3,0)</f>
        <v/>
      </c>
    </row>
    <row r="8783">
      <c r="A8783" s="3">
        <v>45764.0</v>
      </c>
      <c r="B8783" s="4">
        <v>0.3215277777777778</v>
      </c>
      <c r="C8783" s="5" t="s">
        <v>59</v>
      </c>
      <c r="D8783" s="5" t="s">
        <v>1390</v>
      </c>
      <c r="E8783" s="8" t="s">
        <v>1406</v>
      </c>
      <c r="F8783" s="5" t="s">
        <v>172</v>
      </c>
      <c r="G8783" s="6" t="str">
        <f>VLOOKUP(E8783,dicionario!$A$1:$C9182,2,0)</f>
        <v>#N/A</v>
      </c>
      <c r="H8783" s="6" t="str">
        <f>VLOOKUP(E8783,dicionario!$A$1:$C9182,3,0)</f>
        <v>#N/A</v>
      </c>
    </row>
    <row r="8784">
      <c r="A8784" s="3">
        <v>45764.0</v>
      </c>
      <c r="B8784" s="4">
        <v>0.3215277777777778</v>
      </c>
      <c r="C8784" s="5" t="s">
        <v>59</v>
      </c>
      <c r="D8784" s="5" t="s">
        <v>1390</v>
      </c>
      <c r="E8784" s="8" t="s">
        <v>148</v>
      </c>
      <c r="F8784" s="5" t="s">
        <v>149</v>
      </c>
      <c r="G8784" s="6" t="str">
        <f>VLOOKUP(E8784,dicionario!$A$1:$C9183,2,0)</f>
        <v>Parthenium hysterophorus</v>
      </c>
      <c r="H8784" s="6" t="str">
        <f>VLOOKUP(E8784,dicionario!$A$1:$C9183,3,0)</f>
        <v>losna-branca</v>
      </c>
    </row>
    <row r="8785">
      <c r="A8785" s="3">
        <v>45764.0</v>
      </c>
      <c r="B8785" s="4">
        <v>0.3215277777777778</v>
      </c>
      <c r="C8785" s="5" t="s">
        <v>59</v>
      </c>
      <c r="D8785" s="5" t="s">
        <v>1390</v>
      </c>
      <c r="E8785" s="8" t="s">
        <v>247</v>
      </c>
      <c r="F8785" s="5" t="s">
        <v>387</v>
      </c>
      <c r="G8785" s="6" t="str">
        <f>VLOOKUP(E8785,dicionario!$A$1:$C9184,2,0)</f>
        <v>Emilia sonchifolia</v>
      </c>
      <c r="H8785" s="6" t="str">
        <f>VLOOKUP(E8785,dicionario!$A$1:$C9184,3,0)</f>
        <v>serralinha</v>
      </c>
    </row>
    <row r="8786">
      <c r="A8786" s="3">
        <v>45764.0</v>
      </c>
      <c r="B8786" s="4">
        <v>0.32222222222222224</v>
      </c>
      <c r="C8786" s="5" t="s">
        <v>59</v>
      </c>
      <c r="D8786" s="5" t="s">
        <v>1390</v>
      </c>
      <c r="E8786" s="8" t="s">
        <v>296</v>
      </c>
      <c r="F8786" s="5" t="s">
        <v>297</v>
      </c>
      <c r="G8786" s="6" t="str">
        <f>VLOOKUP(E8786,dicionario!$A$1:$C9185,2,0)</f>
        <v>Richardia brasiliensis</v>
      </c>
      <c r="H8786" s="6" t="str">
        <f>VLOOKUP(E8786,dicionario!$A$1:$C9185,3,0)</f>
        <v>poaia-branca</v>
      </c>
    </row>
    <row r="8787">
      <c r="A8787" s="3">
        <v>45764.0</v>
      </c>
      <c r="B8787" s="4">
        <v>0.32222222222222224</v>
      </c>
      <c r="C8787" s="5" t="s">
        <v>59</v>
      </c>
      <c r="D8787" s="5" t="s">
        <v>1390</v>
      </c>
      <c r="E8787" s="8" t="s">
        <v>72</v>
      </c>
      <c r="F8787" s="5" t="s">
        <v>73</v>
      </c>
      <c r="G8787" s="6" t="str">
        <f>VLOOKUP(E8787,dicionario!$A$1:$C9186,2,0)</f>
        <v>Thraupis palmarum</v>
      </c>
      <c r="H8787" s="6" t="str">
        <f>VLOOKUP(E8787,dicionario!$A$1:$C9186,3,0)</f>
        <v>sanhaço-do-coqueiro</v>
      </c>
    </row>
    <row r="8788">
      <c r="A8788" s="3">
        <v>45764.0</v>
      </c>
      <c r="B8788" s="4">
        <v>0.32222222222222224</v>
      </c>
      <c r="C8788" s="5" t="s">
        <v>59</v>
      </c>
      <c r="D8788" s="5" t="s">
        <v>1390</v>
      </c>
      <c r="E8788" s="8" t="s">
        <v>16</v>
      </c>
      <c r="F8788" s="5" t="s">
        <v>17</v>
      </c>
      <c r="G8788" s="6" t="str">
        <f>VLOOKUP(E8788,dicionario!$A$1:$C9187,2,0)</f>
        <v>Eupetomena macroura</v>
      </c>
      <c r="H8788" s="6" t="str">
        <f>VLOOKUP(E8788,dicionario!$A$1:$C9187,3,0)</f>
        <v>beija-flor-tesoura</v>
      </c>
    </row>
    <row r="8789">
      <c r="A8789" s="3">
        <v>45764.0</v>
      </c>
      <c r="B8789" s="4">
        <v>0.32222222222222224</v>
      </c>
      <c r="C8789" s="5" t="s">
        <v>59</v>
      </c>
      <c r="D8789" s="5" t="s">
        <v>1390</v>
      </c>
      <c r="E8789" s="8" t="s">
        <v>225</v>
      </c>
      <c r="F8789" s="5" t="s">
        <v>226</v>
      </c>
      <c r="G8789" s="6" t="str">
        <f>VLOOKUP(E8789,dicionario!$A$1:$C9188,2,0)</f>
        <v>Passer domesticus</v>
      </c>
      <c r="H8789" s="6" t="str">
        <f>VLOOKUP(E8789,dicionario!$A$1:$C9188,3,0)</f>
        <v>pardal</v>
      </c>
    </row>
    <row r="8790">
      <c r="A8790" s="3">
        <v>45764.0</v>
      </c>
      <c r="B8790" s="4">
        <v>0.32222222222222224</v>
      </c>
      <c r="C8790" s="5" t="s">
        <v>59</v>
      </c>
      <c r="D8790" s="5" t="s">
        <v>1390</v>
      </c>
      <c r="E8790" s="8" t="s">
        <v>286</v>
      </c>
      <c r="F8790" s="5" t="s">
        <v>287</v>
      </c>
      <c r="G8790" s="6" t="str">
        <f>VLOOKUP(E8790,dicionario!$A$1:$C9189,2,0)</f>
        <v>Setaria parviflora</v>
      </c>
      <c r="H8790" s="6" t="str">
        <f>VLOOKUP(E8790,dicionario!$A$1:$C9189,3,0)</f>
        <v>capim-rabo-de-raposa</v>
      </c>
    </row>
    <row r="8791">
      <c r="A8791" s="3">
        <v>45764.0</v>
      </c>
      <c r="B8791" s="4">
        <v>0.32222222222222224</v>
      </c>
      <c r="C8791" s="5" t="s">
        <v>59</v>
      </c>
      <c r="D8791" s="5" t="s">
        <v>1390</v>
      </c>
      <c r="E8791" s="8" t="s">
        <v>353</v>
      </c>
      <c r="F8791" s="5" t="s">
        <v>354</v>
      </c>
      <c r="G8791" s="6" t="str">
        <f>VLOOKUP(E8791,dicionario!$A$1:$C9190,2,0)</f>
        <v>Desmodium incanum</v>
      </c>
      <c r="H8791" s="6" t="str">
        <f>VLOOKUP(E8791,dicionario!$A$1:$C9190,3,0)</f>
        <v>pega-pega</v>
      </c>
    </row>
    <row r="8792">
      <c r="A8792" s="3">
        <v>45764.0</v>
      </c>
      <c r="B8792" s="4">
        <v>0.32222222222222224</v>
      </c>
      <c r="C8792" s="5" t="s">
        <v>59</v>
      </c>
      <c r="D8792" s="5" t="s">
        <v>1390</v>
      </c>
      <c r="E8792" s="8" t="s">
        <v>304</v>
      </c>
      <c r="F8792" s="5" t="s">
        <v>305</v>
      </c>
      <c r="G8792" s="6" t="str">
        <f>VLOOKUP(E8792,dicionario!$A$1:$C9191,2,0)</f>
        <v>Sarcophaga</v>
      </c>
      <c r="H8792" s="6" t="str">
        <f>VLOOKUP(E8792,dicionario!$A$1:$C9191,3,0)</f>
        <v>mosca-varejeira</v>
      </c>
    </row>
    <row r="8793">
      <c r="A8793" s="3">
        <v>45764.0</v>
      </c>
      <c r="B8793" s="4">
        <v>0.32222222222222224</v>
      </c>
      <c r="C8793" s="5" t="s">
        <v>59</v>
      </c>
      <c r="D8793" s="5" t="s">
        <v>1390</v>
      </c>
      <c r="E8793" s="6" t="s">
        <v>471</v>
      </c>
      <c r="F8793" s="5" t="s">
        <v>472</v>
      </c>
      <c r="G8793" s="6" t="str">
        <f>VLOOKUP(E8793,dicionario!$A$1:$C9192,2,0)</f>
        <v>Sida acuta</v>
      </c>
      <c r="H8793" s="6" t="str">
        <f>VLOOKUP(E8793,dicionario!$A$1:$C9192,3,0)</f>
        <v>reloginho</v>
      </c>
    </row>
    <row r="8794">
      <c r="A8794" s="3">
        <v>45764.0</v>
      </c>
      <c r="B8794" s="4">
        <v>0.32222222222222224</v>
      </c>
      <c r="C8794" s="5" t="s">
        <v>59</v>
      </c>
      <c r="D8794" s="5" t="s">
        <v>1390</v>
      </c>
      <c r="E8794" s="8" t="s">
        <v>271</v>
      </c>
      <c r="F8794" s="5" t="s">
        <v>1169</v>
      </c>
      <c r="G8794" s="6" t="str">
        <f>VLOOKUP(E8794,dicionario!$A$1:$C9193,2,0)</f>
        <v>Cyanthillium cinereum</v>
      </c>
      <c r="H8794" s="6" t="str">
        <f>VLOOKUP(E8794,dicionario!$A$1:$C9193,3,0)</f>
        <v>emília</v>
      </c>
    </row>
    <row r="8795">
      <c r="A8795" s="3">
        <v>45764.0</v>
      </c>
      <c r="B8795" s="4">
        <v>0.3229166666666667</v>
      </c>
      <c r="C8795" s="5" t="s">
        <v>59</v>
      </c>
      <c r="D8795" s="5" t="s">
        <v>1390</v>
      </c>
      <c r="E8795" s="8" t="s">
        <v>154</v>
      </c>
      <c r="F8795" s="5" t="s">
        <v>155</v>
      </c>
      <c r="G8795" s="6" t="str">
        <f>VLOOKUP(E8795,dicionario!$A$1:$C9194,2,0)</f>
        <v>Cyperus rotundus</v>
      </c>
      <c r="H8795" s="6" t="str">
        <f>VLOOKUP(E8795,dicionario!$A$1:$C9194,3,0)</f>
        <v>tiririca</v>
      </c>
    </row>
    <row r="8796">
      <c r="A8796" s="3">
        <v>45764.0</v>
      </c>
      <c r="B8796" s="4">
        <v>0.3229166666666667</v>
      </c>
      <c r="C8796" s="5" t="s">
        <v>59</v>
      </c>
      <c r="D8796" s="5" t="s">
        <v>1390</v>
      </c>
      <c r="E8796" s="8" t="s">
        <v>886</v>
      </c>
      <c r="F8796" s="5" t="s">
        <v>887</v>
      </c>
      <c r="G8796" s="6" t="str">
        <f>VLOOKUP(E8796,dicionario!$A$1:$C9195,2,0)</f>
        <v>Oldenlandia corymbosa</v>
      </c>
      <c r="H8796" s="6" t="str">
        <f>VLOOKUP(E8796,dicionario!$A$1:$C9195,3,0)</f>
        <v>erva-diamante</v>
      </c>
    </row>
    <row r="8797">
      <c r="A8797" s="3">
        <v>45764.0</v>
      </c>
      <c r="B8797" s="4">
        <v>0.3229166666666667</v>
      </c>
      <c r="C8797" s="5" t="s">
        <v>59</v>
      </c>
      <c r="D8797" s="5" t="s">
        <v>1390</v>
      </c>
      <c r="E8797" s="8" t="s">
        <v>65</v>
      </c>
      <c r="F8797" s="5" t="s">
        <v>66</v>
      </c>
      <c r="G8797" s="6" t="str">
        <f>VLOOKUP(E8797,dicionario!$A$1:$C9196,2,0)</f>
        <v>Pitangus sulphutarus</v>
      </c>
      <c r="H8797" s="6" t="str">
        <f>VLOOKUP(E8797,dicionario!$A$1:$C9196,3,0)</f>
        <v>bem-te-vi</v>
      </c>
    </row>
    <row r="8798">
      <c r="A8798" s="3">
        <v>45764.0</v>
      </c>
      <c r="B8798" s="4">
        <v>0.3236111111111111</v>
      </c>
      <c r="C8798" s="5" t="s">
        <v>59</v>
      </c>
      <c r="D8798" s="5" t="s">
        <v>1390</v>
      </c>
      <c r="E8798" s="8" t="s">
        <v>109</v>
      </c>
      <c r="F8798" s="5" t="s">
        <v>110</v>
      </c>
      <c r="G8798" s="6" t="str">
        <f>VLOOKUP(E8798,dicionario!$A$1:$C9197,2,0)</f>
        <v>Tillandsia stricta</v>
      </c>
      <c r="H8798" s="6" t="str">
        <f>VLOOKUP(E8798,dicionario!$A$1:$C9197,3,0)</f>
        <v>cravo-do-mato</v>
      </c>
    </row>
    <row r="8799">
      <c r="A8799" s="3">
        <v>45764.0</v>
      </c>
      <c r="B8799" s="4">
        <v>0.3236111111111111</v>
      </c>
      <c r="C8799" s="5" t="s">
        <v>59</v>
      </c>
      <c r="D8799" s="5" t="s">
        <v>1390</v>
      </c>
      <c r="E8799" s="8" t="s">
        <v>1296</v>
      </c>
      <c r="F8799" s="5" t="s">
        <v>1168</v>
      </c>
      <c r="G8799" s="6" t="str">
        <f>VLOOKUP(E8799,dicionario!$A$1:$C9198,2,0)</f>
        <v>#N/A</v>
      </c>
      <c r="H8799" s="6" t="str">
        <f>VLOOKUP(E8799,dicionario!$A$1:$C9198,3,0)</f>
        <v>#N/A</v>
      </c>
    </row>
    <row r="8800">
      <c r="A8800" s="3">
        <v>45764.0</v>
      </c>
      <c r="B8800" s="4">
        <v>0.3236111111111111</v>
      </c>
      <c r="C8800" s="5" t="s">
        <v>59</v>
      </c>
      <c r="D8800" s="5" t="s">
        <v>1390</v>
      </c>
      <c r="E8800" s="8" t="s">
        <v>517</v>
      </c>
      <c r="F8800" s="7" t="s">
        <v>518</v>
      </c>
      <c r="G8800" s="6" t="str">
        <f>VLOOKUP(E8800,dicionario!$A$1:$C9199,2,0)</f>
        <v>Evolvulus nummularius</v>
      </c>
      <c r="H8800" s="6" t="str">
        <f>VLOOKUP(E8800,dicionario!$A$1:$C9199,3,0)</f>
        <v/>
      </c>
    </row>
    <row r="8801">
      <c r="A8801" s="3">
        <v>45764.0</v>
      </c>
      <c r="B8801" s="4">
        <v>0.32430555555555557</v>
      </c>
      <c r="C8801" s="5" t="s">
        <v>59</v>
      </c>
      <c r="D8801" s="5" t="s">
        <v>1390</v>
      </c>
      <c r="E8801" s="8" t="s">
        <v>122</v>
      </c>
      <c r="F8801" s="5" t="s">
        <v>123</v>
      </c>
      <c r="G8801" s="6" t="str">
        <f>VLOOKUP(E8801,dicionario!$A$1:$C9200,2,0)</f>
        <v>Todirostrum cinereum</v>
      </c>
      <c r="H8801" s="6" t="str">
        <f>VLOOKUP(E8801,dicionario!$A$1:$C9200,3,0)</f>
        <v>ferreirinho-relógio</v>
      </c>
    </row>
    <row r="8802">
      <c r="A8802" s="3">
        <v>45764.0</v>
      </c>
      <c r="B8802" s="4">
        <v>0.32430555555555557</v>
      </c>
      <c r="C8802" s="5" t="s">
        <v>59</v>
      </c>
      <c r="D8802" s="5" t="s">
        <v>1390</v>
      </c>
      <c r="E8802" s="8" t="s">
        <v>38</v>
      </c>
      <c r="F8802" s="5" t="s">
        <v>1251</v>
      </c>
      <c r="G8802" s="6" t="str">
        <f>VLOOKUP(E8802,dicionario!$A$1:$C9201,2,0)</f>
        <v>Troglodytes musculus</v>
      </c>
      <c r="H8802" s="6" t="str">
        <f>VLOOKUP(E8802,dicionario!$A$1:$C9201,3,0)</f>
        <v>curruíra</v>
      </c>
    </row>
    <row r="8803">
      <c r="A8803" s="3">
        <v>45764.0</v>
      </c>
      <c r="B8803" s="4">
        <v>0.32430555555555557</v>
      </c>
      <c r="C8803" s="5" t="s">
        <v>59</v>
      </c>
      <c r="D8803" s="5" t="s">
        <v>1390</v>
      </c>
      <c r="E8803" s="6" t="s">
        <v>86</v>
      </c>
      <c r="F8803" s="5" t="s">
        <v>502</v>
      </c>
      <c r="G8803" s="6" t="str">
        <f>VLOOKUP(E8803,dicionario!$A$1:$C9202,2,0)</f>
        <v>Coereba flaveola</v>
      </c>
      <c r="H8803" s="6" t="str">
        <f>VLOOKUP(E8803,dicionario!$A$1:$C9202,3,0)</f>
        <v>cambacica</v>
      </c>
    </row>
    <row r="8804">
      <c r="A8804" s="3">
        <v>45764.0</v>
      </c>
      <c r="B8804" s="4">
        <v>0.32430555555555557</v>
      </c>
      <c r="C8804" s="5" t="s">
        <v>59</v>
      </c>
      <c r="D8804" s="5" t="s">
        <v>1390</v>
      </c>
      <c r="E8804" s="8" t="s">
        <v>712</v>
      </c>
      <c r="F8804" s="5" t="s">
        <v>718</v>
      </c>
      <c r="G8804" s="6" t="str">
        <f>VLOOKUP(E8804,dicionario!$A$1:$C9203,2,0)</f>
        <v>Flavopunctelia soredica</v>
      </c>
      <c r="H8804" s="6" t="str">
        <f>VLOOKUP(E8804,dicionario!$A$1:$C9203,3,0)</f>
        <v>líquen-folioso</v>
      </c>
    </row>
    <row r="8805">
      <c r="A8805" s="3">
        <v>45764.0</v>
      </c>
      <c r="B8805" s="4">
        <v>0.32430555555555557</v>
      </c>
      <c r="C8805" s="5" t="s">
        <v>59</v>
      </c>
      <c r="D8805" s="5" t="s">
        <v>1390</v>
      </c>
      <c r="E8805" s="8" t="s">
        <v>719</v>
      </c>
      <c r="F8805" s="5" t="s">
        <v>720</v>
      </c>
      <c r="G8805" s="6" t="str">
        <f>VLOOKUP(E8805,dicionario!$A$1:$C9204,2,0)</f>
        <v>Dirinaria</v>
      </c>
      <c r="H8805" s="6" t="str">
        <f>VLOOKUP(E8805,dicionario!$A$1:$C9204,3,0)</f>
        <v>líquen-crostoso</v>
      </c>
    </row>
    <row r="8806">
      <c r="A8806" s="3">
        <v>45764.0</v>
      </c>
      <c r="B8806" s="4">
        <v>0.32430555555555557</v>
      </c>
      <c r="C8806" s="5" t="s">
        <v>59</v>
      </c>
      <c r="D8806" s="5" t="s">
        <v>1390</v>
      </c>
      <c r="E8806" s="8" t="s">
        <v>107</v>
      </c>
      <c r="F8806" s="5" t="s">
        <v>834</v>
      </c>
      <c r="G8806" s="6" t="str">
        <f>VLOOKUP(E8806,dicionario!$A$1:$C9205,2,0)</f>
        <v>Ramalina complanata</v>
      </c>
      <c r="H8806" s="6" t="str">
        <f>VLOOKUP(E8806,dicionario!$A$1:$C9205,3,0)</f>
        <v>ramalina</v>
      </c>
    </row>
    <row r="8807">
      <c r="A8807" s="3">
        <v>45764.0</v>
      </c>
      <c r="B8807" s="4">
        <v>0.32430555555555557</v>
      </c>
      <c r="C8807" s="5" t="s">
        <v>59</v>
      </c>
      <c r="D8807" s="5" t="s">
        <v>1390</v>
      </c>
      <c r="E8807" s="6" t="s">
        <v>366</v>
      </c>
      <c r="F8807" s="5" t="s">
        <v>367</v>
      </c>
      <c r="G8807" s="6" t="str">
        <f>VLOOKUP(E8807,dicionario!$A$1:$C9206,2,0)</f>
        <v>Alternanthera ficoidea</v>
      </c>
      <c r="H8807" s="6" t="str">
        <f>VLOOKUP(E8807,dicionario!$A$1:$C9206,3,0)</f>
        <v>quebra-panela</v>
      </c>
    </row>
    <row r="8808">
      <c r="A8808" s="3">
        <v>45764.0</v>
      </c>
      <c r="B8808" s="4">
        <v>0.32430555555555557</v>
      </c>
      <c r="C8808" s="5" t="s">
        <v>59</v>
      </c>
      <c r="D8808" s="5" t="s">
        <v>1390</v>
      </c>
      <c r="E8808" s="8" t="s">
        <v>253</v>
      </c>
      <c r="F8808" s="5" t="s">
        <v>254</v>
      </c>
      <c r="G8808" s="6" t="str">
        <f>VLOOKUP(E8808,dicionario!$A$1:$C9207,2,0)</f>
        <v>Panicum maximum</v>
      </c>
      <c r="H8808" s="6" t="str">
        <f>VLOOKUP(E8808,dicionario!$A$1:$C9207,3,0)</f>
        <v>capim-colonião</v>
      </c>
    </row>
    <row r="8809">
      <c r="A8809" s="3">
        <v>45764.0</v>
      </c>
      <c r="B8809" s="4">
        <v>0.32430555555555557</v>
      </c>
      <c r="C8809" s="5" t="s">
        <v>59</v>
      </c>
      <c r="D8809" s="5" t="s">
        <v>1390</v>
      </c>
      <c r="E8809" s="8" t="s">
        <v>177</v>
      </c>
      <c r="F8809" s="5" t="s">
        <v>178</v>
      </c>
      <c r="G8809" s="6" t="str">
        <f>VLOOKUP(E8809,dicionario!$A$1:$C9208,2,0)</f>
        <v>Elaenia flavogaster</v>
      </c>
      <c r="H8809" s="6" t="str">
        <f>VLOOKUP(E8809,dicionario!$A$1:$C9208,3,0)</f>
        <v>guaracava-de-barriga-amarela</v>
      </c>
    </row>
    <row r="8810">
      <c r="A8810" s="3">
        <v>45764.0</v>
      </c>
      <c r="B8810" s="4">
        <v>0.32430555555555557</v>
      </c>
      <c r="C8810" s="5" t="s">
        <v>59</v>
      </c>
      <c r="D8810" s="5" t="s">
        <v>1390</v>
      </c>
      <c r="E8810" s="8" t="s">
        <v>1285</v>
      </c>
      <c r="F8810" s="5" t="s">
        <v>1128</v>
      </c>
      <c r="G8810" s="6" t="str">
        <f>VLOOKUP(E8810,dicionario!$A$1:$C9209,2,0)</f>
        <v>#N/A</v>
      </c>
      <c r="H8810" s="6" t="str">
        <f>VLOOKUP(E8810,dicionario!$A$1:$C9209,3,0)</f>
        <v>#N/A</v>
      </c>
    </row>
    <row r="8811">
      <c r="A8811" s="3">
        <v>45764.0</v>
      </c>
      <c r="B8811" s="4">
        <v>0.325</v>
      </c>
      <c r="C8811" s="5" t="s">
        <v>59</v>
      </c>
      <c r="D8811" s="5" t="s">
        <v>1390</v>
      </c>
      <c r="E8811" s="8" t="s">
        <v>1328</v>
      </c>
      <c r="F8811" s="5" t="s">
        <v>356</v>
      </c>
      <c r="G8811" s="6" t="str">
        <f>VLOOKUP(E8811,dicionario!$A$1:$C9210,2,0)</f>
        <v>#N/A</v>
      </c>
      <c r="H8811" s="6" t="str">
        <f>VLOOKUP(E8811,dicionario!$A$1:$C9210,3,0)</f>
        <v>#N/A</v>
      </c>
    </row>
    <row r="8812">
      <c r="A8812" s="3">
        <v>45764.0</v>
      </c>
      <c r="B8812" s="4">
        <v>0.325</v>
      </c>
      <c r="C8812" s="5" t="s">
        <v>59</v>
      </c>
      <c r="D8812" s="5" t="s">
        <v>1390</v>
      </c>
      <c r="E8812" s="8" t="s">
        <v>1325</v>
      </c>
      <c r="F8812" s="5" t="s">
        <v>228</v>
      </c>
      <c r="G8812" s="6" t="str">
        <f>VLOOKUP(E8812,dicionario!$A$1:$C9211,2,0)</f>
        <v>#N/A</v>
      </c>
      <c r="H8812" s="6" t="str">
        <f>VLOOKUP(E8812,dicionario!$A$1:$C9211,3,0)</f>
        <v>#N/A</v>
      </c>
    </row>
    <row r="8813">
      <c r="A8813" s="3">
        <v>45764.0</v>
      </c>
      <c r="B8813" s="4">
        <v>0.325</v>
      </c>
      <c r="C8813" s="5" t="s">
        <v>59</v>
      </c>
      <c r="D8813" s="5" t="s">
        <v>1390</v>
      </c>
      <c r="E8813" s="8" t="s">
        <v>624</v>
      </c>
      <c r="F8813" s="5" t="s">
        <v>133</v>
      </c>
      <c r="G8813" s="6" t="str">
        <f>VLOOKUP(E8813,dicionario!$A$1:$C9212,2,0)</f>
        <v>Euphonia violacea</v>
      </c>
      <c r="H8813" s="6" t="str">
        <f>VLOOKUP(E8813,dicionario!$A$1:$C9212,3,0)</f>
        <v>gaturamo-verdadeiro</v>
      </c>
    </row>
    <row r="8814">
      <c r="A8814" s="3">
        <v>45764.0</v>
      </c>
      <c r="B8814" s="4">
        <v>0.325</v>
      </c>
      <c r="C8814" s="5" t="s">
        <v>59</v>
      </c>
      <c r="D8814" s="5" t="s">
        <v>1390</v>
      </c>
      <c r="E8814" s="8" t="s">
        <v>1407</v>
      </c>
      <c r="F8814" s="5" t="s">
        <v>414</v>
      </c>
      <c r="G8814" s="6" t="str">
        <f>VLOOKUP(E8814,dicionario!$A$1:$C9213,2,0)</f>
        <v>#N/A</v>
      </c>
      <c r="H8814" s="6" t="str">
        <f>VLOOKUP(E8814,dicionario!$A$1:$C9213,3,0)</f>
        <v>#N/A</v>
      </c>
    </row>
    <row r="8815">
      <c r="A8815" s="3">
        <v>45764.0</v>
      </c>
      <c r="B8815" s="4">
        <v>0.325</v>
      </c>
      <c r="C8815" s="5" t="s">
        <v>59</v>
      </c>
      <c r="D8815" s="5" t="s">
        <v>1390</v>
      </c>
      <c r="E8815" s="8" t="s">
        <v>1087</v>
      </c>
      <c r="F8815" s="5" t="s">
        <v>1088</v>
      </c>
      <c r="G8815" s="6" t="str">
        <f>VLOOKUP(E8815,dicionario!$A$1:$C9214,2,0)</f>
        <v>Desmodium triflorum</v>
      </c>
      <c r="H8815" s="6" t="str">
        <f>VLOOKUP(E8815,dicionario!$A$1:$C9214,3,0)</f>
        <v/>
      </c>
    </row>
    <row r="8816">
      <c r="A8816" s="3">
        <v>45764.0</v>
      </c>
      <c r="B8816" s="4">
        <v>0.325</v>
      </c>
      <c r="C8816" s="5" t="s">
        <v>59</v>
      </c>
      <c r="D8816" s="5" t="s">
        <v>1390</v>
      </c>
      <c r="E8816" s="8" t="s">
        <v>909</v>
      </c>
      <c r="F8816" s="5" t="s">
        <v>910</v>
      </c>
      <c r="G8816" s="6" t="str">
        <f>VLOOKUP(E8816,dicionario!$A$1:$C9215,2,0)</f>
        <v>Chordeiles acutipennis</v>
      </c>
      <c r="H8816" s="6" t="str">
        <f>VLOOKUP(E8816,dicionario!$A$1:$C9215,3,0)</f>
        <v>bacurau-de-asa-fina</v>
      </c>
    </row>
    <row r="8817">
      <c r="A8817" s="3">
        <v>45764.0</v>
      </c>
      <c r="B8817" s="4">
        <v>0.32569444444444445</v>
      </c>
      <c r="C8817" s="5" t="s">
        <v>59</v>
      </c>
      <c r="D8817" s="5" t="s">
        <v>1390</v>
      </c>
      <c r="E8817" s="8" t="s">
        <v>146</v>
      </c>
      <c r="F8817" s="5" t="s">
        <v>147</v>
      </c>
      <c r="G8817" s="6" t="str">
        <f>VLOOKUP(E8817,dicionario!$A$1:$C9216,2,0)</f>
        <v>Euphorbia hirta</v>
      </c>
      <c r="H8817" s="6" t="str">
        <f>VLOOKUP(E8817,dicionario!$A$1:$C9216,3,0)</f>
        <v>erva-de-santa-luzia</v>
      </c>
    </row>
    <row r="8818">
      <c r="A8818" s="3">
        <v>45764.0</v>
      </c>
      <c r="B8818" s="4">
        <v>0.32569444444444445</v>
      </c>
      <c r="C8818" s="5" t="s">
        <v>59</v>
      </c>
      <c r="D8818" s="5" t="s">
        <v>1390</v>
      </c>
      <c r="E8818" s="8" t="s">
        <v>135</v>
      </c>
      <c r="F8818" s="5" t="s">
        <v>136</v>
      </c>
      <c r="G8818" s="6" t="str">
        <f>VLOOKUP(E8818,dicionario!$A$1:$C9217,2,0)</f>
        <v>Tridax procumbens</v>
      </c>
      <c r="H8818" s="6" t="str">
        <f>VLOOKUP(E8818,dicionario!$A$1:$C9217,3,0)</f>
        <v>erva-de-touro</v>
      </c>
    </row>
    <row r="8819">
      <c r="A8819" s="3">
        <v>45764.0</v>
      </c>
      <c r="B8819" s="4">
        <v>0.32569444444444445</v>
      </c>
      <c r="C8819" s="5" t="s">
        <v>59</v>
      </c>
      <c r="D8819" s="5" t="s">
        <v>1390</v>
      </c>
      <c r="E8819" s="8" t="s">
        <v>1234</v>
      </c>
      <c r="F8819" s="7" t="s">
        <v>518</v>
      </c>
      <c r="G8819" s="6" t="str">
        <f>VLOOKUP(E8819,dicionario!$A$1:$C9218,2,0)</f>
        <v>#N/A</v>
      </c>
      <c r="H8819" s="6" t="str">
        <f>VLOOKUP(E8819,dicionario!$A$1:$C9218,3,0)</f>
        <v>#N/A</v>
      </c>
    </row>
    <row r="8820">
      <c r="A8820" s="3">
        <v>45764.0</v>
      </c>
      <c r="B8820" s="4">
        <v>0.3277777777777778</v>
      </c>
      <c r="C8820" s="5" t="s">
        <v>50</v>
      </c>
      <c r="D8820" s="5" t="s">
        <v>1390</v>
      </c>
      <c r="E8820" s="8" t="s">
        <v>101</v>
      </c>
      <c r="F8820" s="5" t="s">
        <v>102</v>
      </c>
      <c r="G8820" s="6" t="str">
        <f>VLOOKUP(E8820,dicionario!$A$1:$C9219,2,0)</f>
        <v>Nemosia pileata</v>
      </c>
      <c r="H8820" s="6" t="str">
        <f>VLOOKUP(E8820,dicionario!$A$1:$C9219,3,0)</f>
        <v>saíra-de-chapéu-preto</v>
      </c>
    </row>
    <row r="8821">
      <c r="A8821" s="3">
        <v>45764.0</v>
      </c>
      <c r="B8821" s="4">
        <v>0.3277777777777778</v>
      </c>
      <c r="C8821" s="5" t="s">
        <v>50</v>
      </c>
      <c r="D8821" s="5" t="s">
        <v>1390</v>
      </c>
      <c r="E8821" s="6" t="s">
        <v>148</v>
      </c>
      <c r="F8821" s="5" t="s">
        <v>149</v>
      </c>
      <c r="G8821" s="6" t="str">
        <f>VLOOKUP(E8821,dicionario!$A$1:$C9220,2,0)</f>
        <v>Parthenium hysterophorus</v>
      </c>
      <c r="H8821" s="6" t="str">
        <f>VLOOKUP(E8821,dicionario!$A$1:$C9220,3,0)</f>
        <v>losna-branca</v>
      </c>
    </row>
    <row r="8822">
      <c r="A8822" s="3">
        <v>45764.0</v>
      </c>
      <c r="B8822" s="4">
        <v>0.3277777777777778</v>
      </c>
      <c r="C8822" s="5" t="s">
        <v>50</v>
      </c>
      <c r="D8822" s="5" t="s">
        <v>1390</v>
      </c>
      <c r="E8822" s="8" t="s">
        <v>154</v>
      </c>
      <c r="F8822" s="5" t="s">
        <v>155</v>
      </c>
      <c r="G8822" s="6" t="str">
        <f>VLOOKUP(E8822,dicionario!$A$1:$C9221,2,0)</f>
        <v>Cyperus rotundus</v>
      </c>
      <c r="H8822" s="6" t="str">
        <f>VLOOKUP(E8822,dicionario!$A$1:$C9221,3,0)</f>
        <v>tiririca</v>
      </c>
    </row>
    <row r="8823">
      <c r="A8823" s="3">
        <v>45764.0</v>
      </c>
      <c r="B8823" s="4">
        <v>0.3277777777777778</v>
      </c>
      <c r="C8823" s="5" t="s">
        <v>50</v>
      </c>
      <c r="D8823" s="5" t="s">
        <v>1390</v>
      </c>
      <c r="E8823" s="8" t="s">
        <v>1280</v>
      </c>
      <c r="F8823" s="5" t="s">
        <v>1156</v>
      </c>
      <c r="G8823" s="6" t="str">
        <f>VLOOKUP(E8823,dicionario!$A$1:$C9222,2,0)</f>
        <v>Paspalum notatum</v>
      </c>
      <c r="H8823" s="6" t="str">
        <f>VLOOKUP(E8823,dicionario!$A$1:$C9222,3,0)</f>
        <v>capim-forquilha</v>
      </c>
    </row>
    <row r="8824">
      <c r="A8824" s="3">
        <v>45764.0</v>
      </c>
      <c r="B8824" s="4">
        <v>0.3284722222222222</v>
      </c>
      <c r="C8824" s="5" t="s">
        <v>50</v>
      </c>
      <c r="D8824" s="5" t="s">
        <v>1390</v>
      </c>
      <c r="E8824" s="8" t="s">
        <v>83</v>
      </c>
      <c r="F8824" s="5" t="s">
        <v>84</v>
      </c>
      <c r="G8824" s="6" t="str">
        <f>VLOOKUP(E8824,dicionario!$A$1:$C9223,2,0)</f>
        <v>Anartia jatrophae</v>
      </c>
      <c r="H8824" s="6" t="str">
        <f>VLOOKUP(E8824,dicionario!$A$1:$C9223,3,0)</f>
        <v>borboleta-pavão-branco</v>
      </c>
    </row>
    <row r="8825">
      <c r="A8825" s="3">
        <v>45764.0</v>
      </c>
      <c r="B8825" s="66">
        <v>0.3284722222222222</v>
      </c>
      <c r="C8825" s="5" t="s">
        <v>50</v>
      </c>
      <c r="D8825" s="5" t="s">
        <v>1390</v>
      </c>
      <c r="E8825" s="8" t="s">
        <v>1036</v>
      </c>
      <c r="F8825" s="5" t="s">
        <v>1037</v>
      </c>
      <c r="G8825" s="6" t="str">
        <f>VLOOKUP(E8825,dicionario!$A$1:$C9224,2,0)</f>
        <v>#N/A</v>
      </c>
      <c r="H8825" s="6" t="str">
        <f>VLOOKUP(E8825,dicionario!$A$1:$C9224,3,0)</f>
        <v>#N/A</v>
      </c>
    </row>
    <row r="8826">
      <c r="A8826" s="3">
        <v>45764.0</v>
      </c>
      <c r="B8826" s="4">
        <v>0.3298611111111111</v>
      </c>
      <c r="C8826" s="5" t="s">
        <v>50</v>
      </c>
      <c r="D8826" s="5" t="s">
        <v>1390</v>
      </c>
      <c r="E8826" s="67" t="s">
        <v>1408</v>
      </c>
      <c r="F8826" s="61" t="s">
        <v>1409</v>
      </c>
      <c r="G8826" s="6" t="str">
        <f>VLOOKUP(E8826,dicionario!$A$1:$C9225,2,0)</f>
        <v>#N/A</v>
      </c>
      <c r="H8826" s="6" t="str">
        <f>VLOOKUP(E8826,dicionario!$A$1:$C9225,3,0)</f>
        <v>#N/A</v>
      </c>
    </row>
    <row r="8827">
      <c r="A8827" s="3">
        <v>45764.0</v>
      </c>
      <c r="B8827" s="4">
        <v>0.3298611111111111</v>
      </c>
      <c r="C8827" s="5" t="s">
        <v>50</v>
      </c>
      <c r="D8827" s="5" t="s">
        <v>1390</v>
      </c>
      <c r="E8827" s="8" t="s">
        <v>928</v>
      </c>
      <c r="F8827" s="5" t="s">
        <v>418</v>
      </c>
      <c r="G8827" s="6" t="str">
        <f>VLOOKUP(E8827,dicionario!$A$1:$C9226,2,0)</f>
        <v>Camponotus</v>
      </c>
      <c r="H8827" s="6" t="str">
        <f>VLOOKUP(E8827,dicionario!$A$1:$C9226,3,0)</f>
        <v>formiga-preta</v>
      </c>
    </row>
    <row r="8828">
      <c r="A8828" s="3">
        <v>45764.0</v>
      </c>
      <c r="B8828" s="4">
        <v>0.3298611111111111</v>
      </c>
      <c r="C8828" s="5" t="s">
        <v>50</v>
      </c>
      <c r="D8828" s="5" t="s">
        <v>1390</v>
      </c>
      <c r="E8828" s="8" t="s">
        <v>65</v>
      </c>
      <c r="F8828" s="5" t="s">
        <v>66</v>
      </c>
      <c r="G8828" s="6" t="str">
        <f>VLOOKUP(E8828,dicionario!$A$1:$C9227,2,0)</f>
        <v>Pitangus sulphutarus</v>
      </c>
      <c r="H8828" s="6" t="str">
        <f>VLOOKUP(E8828,dicionario!$A$1:$C9227,3,0)</f>
        <v>bem-te-vi</v>
      </c>
    </row>
    <row r="8829">
      <c r="A8829" s="3">
        <v>45764.0</v>
      </c>
      <c r="B8829" s="4">
        <v>0.33055555555555555</v>
      </c>
      <c r="C8829" s="5" t="s">
        <v>50</v>
      </c>
      <c r="D8829" s="5" t="s">
        <v>1390</v>
      </c>
      <c r="E8829" s="8" t="s">
        <v>150</v>
      </c>
      <c r="F8829" s="5" t="s">
        <v>151</v>
      </c>
      <c r="G8829" s="6" t="str">
        <f>VLOOKUP(E8829,dicionario!$A$1:$C9228,2,0)</f>
        <v>Amaranthus viridis</v>
      </c>
      <c r="H8829" s="6" t="str">
        <f>VLOOKUP(E8829,dicionario!$A$1:$C9228,3,0)</f>
        <v>caruru-de-mancha</v>
      </c>
    </row>
    <row r="8830">
      <c r="A8830" s="3">
        <v>45764.0</v>
      </c>
      <c r="B8830" s="4">
        <v>0.33055555555555555</v>
      </c>
      <c r="C8830" s="5" t="s">
        <v>50</v>
      </c>
      <c r="D8830" s="5" t="s">
        <v>1390</v>
      </c>
      <c r="E8830" s="8" t="s">
        <v>738</v>
      </c>
      <c r="F8830" s="5" t="s">
        <v>263</v>
      </c>
      <c r="G8830" s="6" t="str">
        <f>VLOOKUP(E8830,dicionario!$A$1:$C9229,2,0)</f>
        <v>Portulaca</v>
      </c>
      <c r="H8830" s="6" t="str">
        <f>VLOOKUP(E8830,dicionario!$A$1:$C9229,3,0)</f>
        <v/>
      </c>
    </row>
    <row r="8831">
      <c r="A8831" s="3">
        <v>45764.0</v>
      </c>
      <c r="B8831" s="4">
        <v>0.3333333333333333</v>
      </c>
      <c r="C8831" s="5" t="s">
        <v>50</v>
      </c>
      <c r="D8831" s="5" t="s">
        <v>1390</v>
      </c>
      <c r="E8831" s="8" t="s">
        <v>298</v>
      </c>
      <c r="F8831" s="7"/>
      <c r="G8831" s="6" t="str">
        <f>VLOOKUP(E8831,dicionario!$A$1:$C9230,2,0)</f>
        <v>Alysicarpus vaginalis</v>
      </c>
      <c r="H8831" s="6" t="str">
        <f>VLOOKUP(E8831,dicionario!$A$1:$C9230,3,0)</f>
        <v/>
      </c>
    </row>
    <row r="8832">
      <c r="A8832" s="3">
        <v>45764.0</v>
      </c>
      <c r="B8832" s="4">
        <v>0.3333333333333333</v>
      </c>
      <c r="C8832" s="5" t="s">
        <v>50</v>
      </c>
      <c r="D8832" s="5" t="s">
        <v>1390</v>
      </c>
      <c r="E8832" s="8" t="s">
        <v>227</v>
      </c>
      <c r="F8832" s="5" t="s">
        <v>228</v>
      </c>
      <c r="G8832" s="6" t="str">
        <f>VLOOKUP(E8832,dicionario!$A$1:$C9231,2,0)</f>
        <v>Indigofera hirsuta</v>
      </c>
      <c r="H8832" s="6" t="str">
        <f>VLOOKUP(E8832,dicionario!$A$1:$C9231,3,0)</f>
        <v>anileira</v>
      </c>
    </row>
    <row r="8833">
      <c r="A8833" s="3">
        <v>45764.0</v>
      </c>
      <c r="B8833" s="4">
        <v>0.3333333333333333</v>
      </c>
      <c r="C8833" s="5" t="s">
        <v>50</v>
      </c>
      <c r="D8833" s="5" t="s">
        <v>1390</v>
      </c>
      <c r="E8833" s="8" t="s">
        <v>43</v>
      </c>
      <c r="F8833" s="5" t="s">
        <v>44</v>
      </c>
      <c r="G8833" s="6" t="str">
        <f>VLOOKUP(E8833,dicionario!$A$1:$C9232,2,0)</f>
        <v>Columba livia</v>
      </c>
      <c r="H8833" s="6" t="str">
        <f>VLOOKUP(E8833,dicionario!$A$1:$C9232,3,0)</f>
        <v>pombo-doméstico</v>
      </c>
    </row>
    <row r="8834">
      <c r="A8834" s="3">
        <v>45764.0</v>
      </c>
      <c r="B8834" s="4">
        <v>0.33402777777777776</v>
      </c>
      <c r="C8834" s="5" t="s">
        <v>50</v>
      </c>
      <c r="D8834" s="5" t="s">
        <v>1390</v>
      </c>
      <c r="E8834" s="8" t="s">
        <v>88</v>
      </c>
      <c r="F8834" s="5" t="s">
        <v>89</v>
      </c>
      <c r="G8834" s="6" t="str">
        <f>VLOOKUP(E8834,dicionario!$A$1:$C9233,2,0)</f>
        <v>Tyrannus melancolichus</v>
      </c>
      <c r="H8834" s="6" t="str">
        <f>VLOOKUP(E8834,dicionario!$A$1:$C9233,3,0)</f>
        <v>suiriri</v>
      </c>
    </row>
    <row r="8835">
      <c r="A8835" s="3">
        <v>45764.0</v>
      </c>
      <c r="B8835" s="4">
        <v>0.33402777777777776</v>
      </c>
      <c r="C8835" s="5" t="s">
        <v>50</v>
      </c>
      <c r="D8835" s="5" t="s">
        <v>1390</v>
      </c>
      <c r="E8835" s="8" t="s">
        <v>1328</v>
      </c>
      <c r="F8835" s="5" t="s">
        <v>356</v>
      </c>
      <c r="G8835" s="6" t="str">
        <f>VLOOKUP(E8835,dicionario!$A$1:$C9234,2,0)</f>
        <v>#N/A</v>
      </c>
      <c r="H8835" s="6" t="str">
        <f>VLOOKUP(E8835,dicionario!$A$1:$C9234,3,0)</f>
        <v>#N/A</v>
      </c>
    </row>
    <row r="8836">
      <c r="A8836" s="3">
        <v>45764.0</v>
      </c>
      <c r="B8836" s="4">
        <v>0.33958333333333335</v>
      </c>
      <c r="C8836" s="5" t="s">
        <v>40</v>
      </c>
      <c r="D8836" s="5" t="s">
        <v>1390</v>
      </c>
      <c r="E8836" s="8" t="s">
        <v>298</v>
      </c>
      <c r="F8836" s="7"/>
      <c r="G8836" s="6" t="str">
        <f>VLOOKUP(E8836,dicionario!$A$1:$C9235,2,0)</f>
        <v>Alysicarpus vaginalis</v>
      </c>
      <c r="H8836" s="6" t="str">
        <f>VLOOKUP(E8836,dicionario!$A$1:$C9235,3,0)</f>
        <v/>
      </c>
    </row>
    <row r="8837">
      <c r="A8837" s="3">
        <v>45764.0</v>
      </c>
      <c r="B8837" s="4">
        <v>0.33958333333333335</v>
      </c>
      <c r="C8837" s="5" t="s">
        <v>40</v>
      </c>
      <c r="D8837" s="5" t="s">
        <v>1390</v>
      </c>
      <c r="E8837" s="8" t="s">
        <v>38</v>
      </c>
      <c r="F8837" s="5" t="s">
        <v>1251</v>
      </c>
      <c r="G8837" s="6" t="str">
        <f>VLOOKUP(E8837,dicionario!$A$1:$C9236,2,0)</f>
        <v>Troglodytes musculus</v>
      </c>
      <c r="H8837" s="6" t="str">
        <f>VLOOKUP(E8837,dicionario!$A$1:$C9236,3,0)</f>
        <v>curruíra</v>
      </c>
    </row>
    <row r="8838">
      <c r="A8838" s="3">
        <v>45764.0</v>
      </c>
      <c r="B8838" s="4">
        <v>0.34097222222222223</v>
      </c>
      <c r="C8838" s="5" t="s">
        <v>40</v>
      </c>
      <c r="D8838" s="5" t="s">
        <v>1390</v>
      </c>
      <c r="E8838" s="8" t="s">
        <v>109</v>
      </c>
      <c r="F8838" s="5" t="s">
        <v>110</v>
      </c>
      <c r="G8838" s="6" t="str">
        <f>VLOOKUP(E8838,dicionario!$A$1:$C9237,2,0)</f>
        <v>Tillandsia stricta</v>
      </c>
      <c r="H8838" s="6" t="str">
        <f>VLOOKUP(E8838,dicionario!$A$1:$C9237,3,0)</f>
        <v>cravo-do-mato</v>
      </c>
    </row>
    <row r="8839">
      <c r="A8839" s="3">
        <v>45764.0</v>
      </c>
      <c r="B8839" s="4">
        <v>0.34097222222222223</v>
      </c>
      <c r="C8839" s="5" t="s">
        <v>40</v>
      </c>
      <c r="D8839" s="5" t="s">
        <v>1390</v>
      </c>
      <c r="E8839" s="8" t="s">
        <v>271</v>
      </c>
      <c r="F8839" s="5" t="s">
        <v>1169</v>
      </c>
      <c r="G8839" s="6" t="str">
        <f>VLOOKUP(E8839,dicionario!$A$1:$C9238,2,0)</f>
        <v>Cyanthillium cinereum</v>
      </c>
      <c r="H8839" s="6" t="str">
        <f>VLOOKUP(E8839,dicionario!$A$1:$C9238,3,0)</f>
        <v>emília</v>
      </c>
    </row>
    <row r="8840">
      <c r="A8840" s="3">
        <v>45764.0</v>
      </c>
      <c r="B8840" s="4">
        <v>0.34097222222222223</v>
      </c>
      <c r="C8840" s="5" t="s">
        <v>40</v>
      </c>
      <c r="D8840" s="5" t="s">
        <v>1390</v>
      </c>
      <c r="E8840" s="6" t="s">
        <v>613</v>
      </c>
      <c r="F8840" s="5" t="s">
        <v>614</v>
      </c>
      <c r="G8840" s="6" t="str">
        <f>VLOOKUP(E8840,dicionario!$A$1:$C9239,2,0)</f>
        <v>Euphorbia hyssopifolia</v>
      </c>
      <c r="H8840" s="6" t="str">
        <f>VLOOKUP(E8840,dicionario!$A$1:$C9239,3,0)</f>
        <v>maria-leite</v>
      </c>
    </row>
    <row r="8841">
      <c r="A8841" s="3">
        <v>45764.0</v>
      </c>
      <c r="B8841" s="4">
        <v>0.3416666666666667</v>
      </c>
      <c r="C8841" s="5" t="s">
        <v>40</v>
      </c>
      <c r="D8841" s="5" t="s">
        <v>1390</v>
      </c>
      <c r="E8841" s="8" t="s">
        <v>849</v>
      </c>
      <c r="F8841" s="7" t="s">
        <v>518</v>
      </c>
      <c r="G8841" s="6" t="str">
        <f>VLOOKUP(E8841,dicionario!$A$1:$C9240,2,0)</f>
        <v>#N/A</v>
      </c>
      <c r="H8841" s="6" t="str">
        <f>VLOOKUP(E8841,dicionario!$A$1:$C9240,3,0)</f>
        <v>#N/A</v>
      </c>
    </row>
    <row r="8842">
      <c r="A8842" s="3">
        <v>45764.0</v>
      </c>
      <c r="B8842" s="4">
        <v>0.3416666666666667</v>
      </c>
      <c r="C8842" s="5" t="s">
        <v>40</v>
      </c>
      <c r="D8842" s="5" t="s">
        <v>1390</v>
      </c>
      <c r="E8842" s="8" t="s">
        <v>20</v>
      </c>
      <c r="F8842" s="5" t="s">
        <v>21</v>
      </c>
      <c r="G8842" s="6" t="str">
        <f>VLOOKUP(E8842,dicionario!$A$1:$C9241,2,0)</f>
        <v>Sicalis flaveola</v>
      </c>
      <c r="H8842" s="6" t="str">
        <f>VLOOKUP(E8842,dicionario!$A$1:$C9241,3,0)</f>
        <v>canário-da-terra</v>
      </c>
    </row>
    <row r="8843">
      <c r="A8843" s="3">
        <v>45764.0</v>
      </c>
      <c r="B8843" s="4">
        <v>0.3416666666666667</v>
      </c>
      <c r="C8843" s="5" t="s">
        <v>40</v>
      </c>
      <c r="D8843" s="5" t="s">
        <v>1390</v>
      </c>
      <c r="E8843" s="8" t="s">
        <v>225</v>
      </c>
      <c r="F8843" s="5" t="s">
        <v>226</v>
      </c>
      <c r="G8843" s="6" t="str">
        <f>VLOOKUP(E8843,dicionario!$A$1:$C9242,2,0)</f>
        <v>Passer domesticus</v>
      </c>
      <c r="H8843" s="6" t="str">
        <f>VLOOKUP(E8843,dicionario!$A$1:$C9242,3,0)</f>
        <v>pardal</v>
      </c>
    </row>
    <row r="8844">
      <c r="A8844" s="3">
        <v>45764.0</v>
      </c>
      <c r="B8844" s="4">
        <v>0.3416666666666667</v>
      </c>
      <c r="C8844" s="5" t="s">
        <v>40</v>
      </c>
      <c r="D8844" s="5" t="s">
        <v>1390</v>
      </c>
      <c r="E8844" s="8" t="s">
        <v>113</v>
      </c>
      <c r="F8844" s="5" t="s">
        <v>114</v>
      </c>
      <c r="G8844" s="6" t="str">
        <f>VLOOKUP(E8844,dicionario!$A$1:$C9243,2,0)</f>
        <v>Columbina talpacoti</v>
      </c>
      <c r="H8844" s="6" t="str">
        <f>VLOOKUP(E8844,dicionario!$A$1:$C9243,3,0)</f>
        <v>rolinha-roxa</v>
      </c>
    </row>
    <row r="8845">
      <c r="A8845" s="3">
        <v>45764.0</v>
      </c>
      <c r="B8845" s="4">
        <v>0.3423611111111111</v>
      </c>
      <c r="C8845" s="5" t="s">
        <v>40</v>
      </c>
      <c r="D8845" s="5" t="s">
        <v>1390</v>
      </c>
      <c r="E8845" s="8" t="s">
        <v>177</v>
      </c>
      <c r="F8845" s="5" t="s">
        <v>178</v>
      </c>
      <c r="G8845" s="6" t="str">
        <f>VLOOKUP(E8845,dicionario!$A$1:$C9244,2,0)</f>
        <v>Elaenia flavogaster</v>
      </c>
      <c r="H8845" s="6" t="str">
        <f>VLOOKUP(E8845,dicionario!$A$1:$C9244,3,0)</f>
        <v>guaracava-de-barriga-amarela</v>
      </c>
    </row>
    <row r="8846">
      <c r="A8846" s="3">
        <v>45764.0</v>
      </c>
      <c r="B8846" s="4">
        <v>0.3423611111111111</v>
      </c>
      <c r="C8846" s="5" t="s">
        <v>40</v>
      </c>
      <c r="D8846" s="5" t="s">
        <v>1390</v>
      </c>
      <c r="E8846" s="8" t="s">
        <v>1386</v>
      </c>
      <c r="F8846" s="5" t="s">
        <v>484</v>
      </c>
      <c r="G8846" s="6" t="str">
        <f>VLOOKUP(E8846,dicionario!$A$1:$C9245,2,0)</f>
        <v>#N/A</v>
      </c>
      <c r="H8846" s="6" t="str">
        <f>VLOOKUP(E8846,dicionario!$A$1:$C9245,3,0)</f>
        <v>#N/A</v>
      </c>
    </row>
    <row r="8847">
      <c r="A8847" s="3">
        <v>45764.0</v>
      </c>
      <c r="B8847" s="4">
        <v>0.3423611111111111</v>
      </c>
      <c r="C8847" s="5" t="s">
        <v>40</v>
      </c>
      <c r="D8847" s="5" t="s">
        <v>1390</v>
      </c>
      <c r="E8847" s="8" t="s">
        <v>296</v>
      </c>
      <c r="F8847" s="5" t="s">
        <v>297</v>
      </c>
      <c r="G8847" s="6" t="str">
        <f>VLOOKUP(E8847,dicionario!$A$1:$C9246,2,0)</f>
        <v>Richardia brasiliensis</v>
      </c>
      <c r="H8847" s="6" t="str">
        <f>VLOOKUP(E8847,dicionario!$A$1:$C9246,3,0)</f>
        <v>poaia-branca</v>
      </c>
    </row>
    <row r="8848">
      <c r="A8848" s="3">
        <v>45764.0</v>
      </c>
      <c r="B8848" s="4">
        <v>0.34305555555555556</v>
      </c>
      <c r="C8848" s="5" t="s">
        <v>40</v>
      </c>
      <c r="D8848" s="5" t="s">
        <v>1390</v>
      </c>
      <c r="E8848" s="8" t="s">
        <v>886</v>
      </c>
      <c r="F8848" s="5" t="s">
        <v>887</v>
      </c>
      <c r="G8848" s="6" t="str">
        <f>VLOOKUP(E8848,dicionario!$A$1:$C9247,2,0)</f>
        <v>Oldenlandia corymbosa</v>
      </c>
      <c r="H8848" s="6" t="str">
        <f>VLOOKUP(E8848,dicionario!$A$1:$C9247,3,0)</f>
        <v>erva-diamante</v>
      </c>
    </row>
    <row r="8849">
      <c r="A8849" s="3">
        <v>45764.0</v>
      </c>
      <c r="B8849" s="4">
        <v>0.34305555555555556</v>
      </c>
      <c r="C8849" s="5" t="s">
        <v>40</v>
      </c>
      <c r="D8849" s="5" t="s">
        <v>1390</v>
      </c>
      <c r="E8849" s="8" t="s">
        <v>150</v>
      </c>
      <c r="F8849" s="5" t="s">
        <v>151</v>
      </c>
      <c r="G8849" s="6" t="str">
        <f>VLOOKUP(E8849,dicionario!$A$1:$C9248,2,0)</f>
        <v>Amaranthus viridis</v>
      </c>
      <c r="H8849" s="6" t="str">
        <f>VLOOKUP(E8849,dicionario!$A$1:$C9248,3,0)</f>
        <v>caruru-de-mancha</v>
      </c>
    </row>
    <row r="8850">
      <c r="A8850" s="3">
        <v>45764.0</v>
      </c>
      <c r="B8850" s="4">
        <v>0.34305555555555556</v>
      </c>
      <c r="C8850" s="5" t="s">
        <v>40</v>
      </c>
      <c r="D8850" s="5" t="s">
        <v>1390</v>
      </c>
      <c r="E8850" s="8" t="s">
        <v>72</v>
      </c>
      <c r="F8850" s="5" t="s">
        <v>73</v>
      </c>
      <c r="G8850" s="6" t="str">
        <f>VLOOKUP(E8850,dicionario!$A$1:$C9249,2,0)</f>
        <v>Thraupis palmarum</v>
      </c>
      <c r="H8850" s="6" t="str">
        <f>VLOOKUP(E8850,dicionario!$A$1:$C9249,3,0)</f>
        <v>sanhaço-do-coqueiro</v>
      </c>
    </row>
    <row r="8851">
      <c r="A8851" s="3">
        <v>45764.0</v>
      </c>
      <c r="B8851" s="4">
        <v>0.34305555555555556</v>
      </c>
      <c r="C8851" s="5" t="s">
        <v>40</v>
      </c>
      <c r="D8851" s="5" t="s">
        <v>1390</v>
      </c>
      <c r="E8851" s="8" t="s">
        <v>135</v>
      </c>
      <c r="F8851" s="5" t="s">
        <v>136</v>
      </c>
      <c r="G8851" s="6" t="str">
        <f>VLOOKUP(E8851,dicionario!$A$1:$C9250,2,0)</f>
        <v>Tridax procumbens</v>
      </c>
      <c r="H8851" s="6" t="str">
        <f>VLOOKUP(E8851,dicionario!$A$1:$C9250,3,0)</f>
        <v>erva-de-touro</v>
      </c>
    </row>
    <row r="8852">
      <c r="A8852" s="3">
        <v>45764.0</v>
      </c>
      <c r="B8852" s="4">
        <v>0.34444444444444444</v>
      </c>
      <c r="C8852" s="5" t="s">
        <v>40</v>
      </c>
      <c r="D8852" s="5" t="s">
        <v>1390</v>
      </c>
      <c r="E8852" s="8" t="s">
        <v>1367</v>
      </c>
      <c r="F8852" s="5" t="s">
        <v>387</v>
      </c>
      <c r="G8852" s="6" t="str">
        <f>VLOOKUP(E8852,dicionario!$A$1:$C9251,2,0)</f>
        <v>#N/A</v>
      </c>
      <c r="H8852" s="6" t="str">
        <f>VLOOKUP(E8852,dicionario!$A$1:$C9251,3,0)</f>
        <v>#N/A</v>
      </c>
    </row>
    <row r="8853">
      <c r="A8853" s="3">
        <v>45764.0</v>
      </c>
      <c r="B8853" s="4">
        <v>0.34444444444444444</v>
      </c>
      <c r="C8853" s="5" t="s">
        <v>40</v>
      </c>
      <c r="D8853" s="5" t="s">
        <v>1390</v>
      </c>
      <c r="E8853" s="8" t="s">
        <v>1310</v>
      </c>
      <c r="F8853" s="5" t="s">
        <v>521</v>
      </c>
      <c r="G8853" s="6" t="str">
        <f>VLOOKUP(E8853,dicionario!$A$1:$C9252,2,0)</f>
        <v>#N/A</v>
      </c>
      <c r="H8853" s="6" t="str">
        <f>VLOOKUP(E8853,dicionario!$A$1:$C9252,3,0)</f>
        <v>#N/A</v>
      </c>
    </row>
    <row r="8854">
      <c r="A8854" s="3">
        <v>45764.0</v>
      </c>
      <c r="B8854" s="4">
        <v>0.3451388888888889</v>
      </c>
      <c r="C8854" s="5" t="s">
        <v>40</v>
      </c>
      <c r="D8854" s="5" t="s">
        <v>1390</v>
      </c>
      <c r="E8854" s="6" t="s">
        <v>613</v>
      </c>
      <c r="F8854" s="5" t="s">
        <v>614</v>
      </c>
      <c r="G8854" s="6" t="str">
        <f>VLOOKUP(E8854,dicionario!$A$1:$C9253,2,0)</f>
        <v>Euphorbia hyssopifolia</v>
      </c>
      <c r="H8854" s="6" t="str">
        <f>VLOOKUP(E8854,dicionario!$A$1:$C9253,3,0)</f>
        <v>maria-leite</v>
      </c>
    </row>
    <row r="8855">
      <c r="A8855" s="3">
        <v>45764.0</v>
      </c>
      <c r="B8855" s="4">
        <v>0.3451388888888889</v>
      </c>
      <c r="C8855" s="5" t="s">
        <v>40</v>
      </c>
      <c r="D8855" s="5" t="s">
        <v>1390</v>
      </c>
      <c r="E8855" s="12" t="s">
        <v>111</v>
      </c>
      <c r="F8855" s="5" t="s">
        <v>112</v>
      </c>
      <c r="G8855" s="6" t="str">
        <f>VLOOKUP(E8855,dicionario!$A$1:$C9254,2,0)</f>
        <v>Trigona spinipes</v>
      </c>
      <c r="H8855" s="6" t="str">
        <f>VLOOKUP(E8855,dicionario!$A$1:$C9254,3,0)</f>
        <v>abelha-cachorro</v>
      </c>
    </row>
    <row r="8856">
      <c r="A8856" s="3">
        <v>45764.0</v>
      </c>
      <c r="B8856" s="4">
        <v>0.3458333333333333</v>
      </c>
      <c r="C8856" s="5" t="s">
        <v>40</v>
      </c>
      <c r="D8856" s="5" t="s">
        <v>1390</v>
      </c>
      <c r="E8856" s="8" t="s">
        <v>1087</v>
      </c>
      <c r="F8856" s="5" t="s">
        <v>1088</v>
      </c>
      <c r="G8856" s="6" t="str">
        <f>VLOOKUP(E8856,dicionario!$A$1:$C9255,2,0)</f>
        <v>Desmodium triflorum</v>
      </c>
      <c r="H8856" s="6" t="str">
        <f>VLOOKUP(E8856,dicionario!$A$1:$C9255,3,0)</f>
        <v/>
      </c>
    </row>
    <row r="8857">
      <c r="A8857" s="3">
        <v>45764.0</v>
      </c>
      <c r="B8857" s="4">
        <v>0.3458333333333333</v>
      </c>
      <c r="C8857" s="5" t="s">
        <v>40</v>
      </c>
      <c r="D8857" s="5" t="s">
        <v>1390</v>
      </c>
      <c r="E8857" s="8" t="s">
        <v>928</v>
      </c>
      <c r="F8857" s="5" t="s">
        <v>418</v>
      </c>
      <c r="G8857" s="6" t="str">
        <f>VLOOKUP(E8857,dicionario!$A$1:$C9256,2,0)</f>
        <v>Camponotus</v>
      </c>
      <c r="H8857" s="6" t="str">
        <f>VLOOKUP(E8857,dicionario!$A$1:$C9256,3,0)</f>
        <v>formiga-preta</v>
      </c>
    </row>
    <row r="8858">
      <c r="A8858" s="3">
        <v>45764.0</v>
      </c>
      <c r="B8858" s="4">
        <v>0.3458333333333333</v>
      </c>
      <c r="C8858" s="5" t="s">
        <v>40</v>
      </c>
      <c r="D8858" s="5" t="s">
        <v>1390</v>
      </c>
      <c r="E8858" s="8" t="s">
        <v>535</v>
      </c>
      <c r="F8858" s="5" t="s">
        <v>901</v>
      </c>
      <c r="G8858" s="6" t="str">
        <f>VLOOKUP(E8858,dicionario!$A$1:$C9257,2,0)</f>
        <v>Odonata</v>
      </c>
      <c r="H8858" s="6" t="str">
        <f>VLOOKUP(E8858,dicionario!$A$1:$C9257,3,0)</f>
        <v>libélula</v>
      </c>
    </row>
    <row r="8859">
      <c r="A8859" s="3">
        <v>45764.0</v>
      </c>
      <c r="B8859" s="4">
        <v>0.3472222222222222</v>
      </c>
      <c r="C8859" s="5" t="s">
        <v>33</v>
      </c>
      <c r="D8859" s="5" t="s">
        <v>1390</v>
      </c>
      <c r="E8859" s="8" t="s">
        <v>109</v>
      </c>
      <c r="F8859" s="5" t="s">
        <v>110</v>
      </c>
      <c r="G8859" s="6" t="str">
        <f>VLOOKUP(E8859,dicionario!$A$1:$C9258,2,0)</f>
        <v>Tillandsia stricta</v>
      </c>
      <c r="H8859" s="6" t="str">
        <f>VLOOKUP(E8859,dicionario!$A$1:$C9258,3,0)</f>
        <v>cravo-do-mato</v>
      </c>
    </row>
    <row r="8860">
      <c r="A8860" s="3">
        <v>45764.0</v>
      </c>
      <c r="B8860" s="4">
        <v>0.3472222222222222</v>
      </c>
      <c r="C8860" s="5" t="s">
        <v>33</v>
      </c>
      <c r="D8860" s="5" t="s">
        <v>1390</v>
      </c>
      <c r="E8860" s="8" t="s">
        <v>38</v>
      </c>
      <c r="F8860" s="5" t="s">
        <v>1251</v>
      </c>
      <c r="G8860" s="6" t="str">
        <f>VLOOKUP(E8860,dicionario!$A$1:$C9259,2,0)</f>
        <v>Troglodytes musculus</v>
      </c>
      <c r="H8860" s="6" t="str">
        <f>VLOOKUP(E8860,dicionario!$A$1:$C9259,3,0)</f>
        <v>curruíra</v>
      </c>
    </row>
    <row r="8861">
      <c r="A8861" s="3">
        <v>45764.0</v>
      </c>
      <c r="B8861" s="4">
        <v>0.34791666666666665</v>
      </c>
      <c r="C8861" s="5" t="s">
        <v>33</v>
      </c>
      <c r="D8861" s="5" t="s">
        <v>1390</v>
      </c>
      <c r="E8861" s="6" t="s">
        <v>53</v>
      </c>
      <c r="F8861" s="5" t="s">
        <v>54</v>
      </c>
      <c r="G8861" s="6" t="str">
        <f>VLOOKUP(E8861,dicionario!$A$1:$C9260,2,0)</f>
        <v>Turnera subulata</v>
      </c>
      <c r="H8861" s="6" t="str">
        <f>VLOOKUP(E8861,dicionario!$A$1:$C9260,3,0)</f>
        <v>xanana</v>
      </c>
    </row>
    <row r="8862">
      <c r="A8862" s="3">
        <v>45764.0</v>
      </c>
      <c r="B8862" s="4">
        <v>0.34791666666666665</v>
      </c>
      <c r="C8862" s="5" t="s">
        <v>33</v>
      </c>
      <c r="D8862" s="5" t="s">
        <v>1390</v>
      </c>
      <c r="E8862" s="8" t="s">
        <v>425</v>
      </c>
      <c r="F8862" s="5" t="s">
        <v>426</v>
      </c>
      <c r="G8862" s="6" t="str">
        <f>VLOOKUP(E8862,dicionario!$A$1:$C9261,2,0)</f>
        <v>Digitaria insularis</v>
      </c>
      <c r="H8862" s="6" t="str">
        <f>VLOOKUP(E8862,dicionario!$A$1:$C9261,3,0)</f>
        <v>capim-amargoso</v>
      </c>
    </row>
    <row r="8863">
      <c r="A8863" s="3">
        <v>45764.0</v>
      </c>
      <c r="B8863" s="4">
        <v>0.34791666666666665</v>
      </c>
      <c r="C8863" s="5" t="s">
        <v>33</v>
      </c>
      <c r="D8863" s="5" t="s">
        <v>1390</v>
      </c>
      <c r="E8863" s="8" t="s">
        <v>286</v>
      </c>
      <c r="F8863" s="5" t="s">
        <v>287</v>
      </c>
      <c r="G8863" s="6" t="str">
        <f>VLOOKUP(E8863,dicionario!$A$1:$C9262,2,0)</f>
        <v>Setaria parviflora</v>
      </c>
      <c r="H8863" s="6" t="str">
        <f>VLOOKUP(E8863,dicionario!$A$1:$C9262,3,0)</f>
        <v>capim-rabo-de-raposa</v>
      </c>
    </row>
    <row r="8864">
      <c r="A8864" s="3">
        <v>45764.0</v>
      </c>
      <c r="B8864" s="4">
        <v>0.34791666666666665</v>
      </c>
      <c r="C8864" s="5" t="s">
        <v>33</v>
      </c>
      <c r="D8864" s="5" t="s">
        <v>1390</v>
      </c>
      <c r="E8864" s="29" t="s">
        <v>566</v>
      </c>
      <c r="F8864" s="5" t="s">
        <v>567</v>
      </c>
      <c r="G8864" s="6" t="str">
        <f>VLOOKUP(E8864,dicionario!$A$1:$C9263,2,0)</f>
        <v>Baccharis dracunculifolia</v>
      </c>
      <c r="H8864" s="6" t="str">
        <f>VLOOKUP(E8864,dicionario!$A$1:$C9263,3,0)</f>
        <v>vassoura</v>
      </c>
    </row>
    <row r="8865">
      <c r="A8865" s="3">
        <v>45764.0</v>
      </c>
      <c r="B8865" s="4">
        <v>0.3486111111111111</v>
      </c>
      <c r="C8865" s="5" t="s">
        <v>33</v>
      </c>
      <c r="D8865" s="5" t="s">
        <v>1390</v>
      </c>
      <c r="E8865" s="6" t="s">
        <v>471</v>
      </c>
      <c r="F8865" s="5" t="s">
        <v>472</v>
      </c>
      <c r="G8865" s="6" t="str">
        <f>VLOOKUP(E8865,dicionario!$A$1:$C9264,2,0)</f>
        <v>Sida acuta</v>
      </c>
      <c r="H8865" s="6" t="str">
        <f>VLOOKUP(E8865,dicionario!$A$1:$C9264,3,0)</f>
        <v>reloginho</v>
      </c>
    </row>
    <row r="8866">
      <c r="A8866" s="3">
        <v>45764.0</v>
      </c>
      <c r="B8866" s="4">
        <v>0.3486111111111111</v>
      </c>
      <c r="C8866" s="5" t="s">
        <v>33</v>
      </c>
      <c r="D8866" s="5" t="s">
        <v>1390</v>
      </c>
      <c r="E8866" s="6" t="s">
        <v>288</v>
      </c>
      <c r="F8866" s="5" t="s">
        <v>289</v>
      </c>
      <c r="G8866" s="6" t="str">
        <f>VLOOKUP(E8866,dicionario!$A$1:$C9265,2,0)</f>
        <v>Phyllanthus tenellus</v>
      </c>
      <c r="H8866" s="6" t="str">
        <f>VLOOKUP(E8866,dicionario!$A$1:$C9265,3,0)</f>
        <v>quebra-pedra</v>
      </c>
    </row>
    <row r="8867">
      <c r="A8867" s="3">
        <v>45764.0</v>
      </c>
      <c r="B8867" s="4">
        <v>0.3486111111111111</v>
      </c>
      <c r="C8867" s="5" t="s">
        <v>33</v>
      </c>
      <c r="D8867" s="5" t="s">
        <v>1390</v>
      </c>
      <c r="E8867" s="8" t="s">
        <v>271</v>
      </c>
      <c r="F8867" s="5" t="s">
        <v>1169</v>
      </c>
      <c r="G8867" s="6" t="str">
        <f>VLOOKUP(E8867,dicionario!$A$1:$C9266,2,0)</f>
        <v>Cyanthillium cinereum</v>
      </c>
      <c r="H8867" s="6" t="str">
        <f>VLOOKUP(E8867,dicionario!$A$1:$C9266,3,0)</f>
        <v>emília</v>
      </c>
    </row>
    <row r="8868">
      <c r="A8868" s="3">
        <v>45764.0</v>
      </c>
      <c r="B8868" s="4">
        <v>0.3486111111111111</v>
      </c>
      <c r="C8868" s="5" t="s">
        <v>33</v>
      </c>
      <c r="D8868" s="5" t="s">
        <v>1390</v>
      </c>
      <c r="E8868" s="20" t="s">
        <v>676</v>
      </c>
      <c r="F8868" s="5" t="s">
        <v>677</v>
      </c>
      <c r="G8868" s="6" t="str">
        <f>VLOOKUP(E8868,dicionario!$A$1:$C9267,2,0)</f>
        <v>Zornia latifolia</v>
      </c>
      <c r="H8868" s="6" t="str">
        <f>VLOOKUP(E8868,dicionario!$A$1:$C9267,3,0)</f>
        <v>arrozinho-do-campo</v>
      </c>
    </row>
    <row r="8869">
      <c r="A8869" s="3">
        <v>45764.0</v>
      </c>
      <c r="B8869" s="4">
        <v>0.34930555555555554</v>
      </c>
      <c r="C8869" s="5" t="s">
        <v>33</v>
      </c>
      <c r="D8869" s="5" t="s">
        <v>1390</v>
      </c>
      <c r="E8869" s="8" t="s">
        <v>1316</v>
      </c>
      <c r="F8869" s="5" t="s">
        <v>15</v>
      </c>
      <c r="G8869" s="6" t="str">
        <f>VLOOKUP(E8869,dicionario!$A$1:$C9268,2,0)</f>
        <v>#N/A</v>
      </c>
      <c r="H8869" s="6" t="str">
        <f>VLOOKUP(E8869,dicionario!$A$1:$C9268,3,0)</f>
        <v>#N/A</v>
      </c>
    </row>
    <row r="8870">
      <c r="A8870" s="3">
        <v>45764.0</v>
      </c>
      <c r="B8870" s="4">
        <v>0.34930555555555554</v>
      </c>
      <c r="C8870" s="5" t="s">
        <v>33</v>
      </c>
      <c r="D8870" s="5" t="s">
        <v>1390</v>
      </c>
      <c r="E8870" s="8" t="s">
        <v>122</v>
      </c>
      <c r="F8870" s="5" t="s">
        <v>123</v>
      </c>
      <c r="G8870" s="6" t="str">
        <f>VLOOKUP(E8870,dicionario!$A$1:$C9269,2,0)</f>
        <v>Todirostrum cinereum</v>
      </c>
      <c r="H8870" s="6" t="str">
        <f>VLOOKUP(E8870,dicionario!$A$1:$C9269,3,0)</f>
        <v>ferreirinho-relógio</v>
      </c>
    </row>
    <row r="8871">
      <c r="A8871" s="3">
        <v>45764.0</v>
      </c>
      <c r="B8871" s="4">
        <v>0.34930555555555554</v>
      </c>
      <c r="C8871" s="5" t="s">
        <v>33</v>
      </c>
      <c r="D8871" s="5" t="s">
        <v>1390</v>
      </c>
      <c r="E8871" s="8" t="s">
        <v>113</v>
      </c>
      <c r="F8871" s="5" t="s">
        <v>114</v>
      </c>
      <c r="G8871" s="6" t="str">
        <f>VLOOKUP(E8871,dicionario!$A$1:$C9270,2,0)</f>
        <v>Columbina talpacoti</v>
      </c>
      <c r="H8871" s="6" t="str">
        <f>VLOOKUP(E8871,dicionario!$A$1:$C9270,3,0)</f>
        <v>rolinha-roxa</v>
      </c>
    </row>
    <row r="8872">
      <c r="A8872" s="3">
        <v>45764.0</v>
      </c>
      <c r="B8872" s="4">
        <v>0.34930555555555554</v>
      </c>
      <c r="C8872" s="5" t="s">
        <v>33</v>
      </c>
      <c r="D8872" s="5" t="s">
        <v>1390</v>
      </c>
      <c r="E8872" s="8" t="s">
        <v>154</v>
      </c>
      <c r="F8872" s="5" t="s">
        <v>155</v>
      </c>
      <c r="G8872" s="6" t="str">
        <f>VLOOKUP(E8872,dicionario!$A$1:$C9271,2,0)</f>
        <v>Cyperus rotundus</v>
      </c>
      <c r="H8872" s="6" t="str">
        <f>VLOOKUP(E8872,dicionario!$A$1:$C9271,3,0)</f>
        <v>tiririca</v>
      </c>
    </row>
    <row r="8873">
      <c r="A8873" s="3">
        <v>45764.0</v>
      </c>
      <c r="B8873" s="4">
        <v>0.34930555555555554</v>
      </c>
      <c r="C8873" s="5" t="s">
        <v>33</v>
      </c>
      <c r="D8873" s="5" t="s">
        <v>1390</v>
      </c>
      <c r="E8873" s="8" t="s">
        <v>65</v>
      </c>
      <c r="F8873" s="5" t="s">
        <v>66</v>
      </c>
      <c r="G8873" s="6" t="str">
        <f>VLOOKUP(E8873,dicionario!$A$1:$C9272,2,0)</f>
        <v>Pitangus sulphutarus</v>
      </c>
      <c r="H8873" s="6" t="str">
        <f>VLOOKUP(E8873,dicionario!$A$1:$C9272,3,0)</f>
        <v>bem-te-vi</v>
      </c>
    </row>
    <row r="8874">
      <c r="A8874" s="3">
        <v>45764.0</v>
      </c>
      <c r="B8874" s="4">
        <v>0.35</v>
      </c>
      <c r="C8874" s="5" t="s">
        <v>33</v>
      </c>
      <c r="D8874" s="5" t="s">
        <v>1390</v>
      </c>
      <c r="E8874" s="8" t="s">
        <v>1084</v>
      </c>
      <c r="F8874" s="5" t="s">
        <v>224</v>
      </c>
      <c r="G8874" s="6" t="str">
        <f>VLOOKUP(E8874,dicionario!$A$1:$C9273,2,0)</f>
        <v>#N/A</v>
      </c>
      <c r="H8874" s="6" t="str">
        <f>VLOOKUP(E8874,dicionario!$A$1:$C9273,3,0)</f>
        <v>#N/A</v>
      </c>
    </row>
    <row r="8875">
      <c r="A8875" s="3">
        <v>45764.0</v>
      </c>
      <c r="B8875" s="4">
        <v>0.35208333333333336</v>
      </c>
      <c r="C8875" s="5" t="s">
        <v>33</v>
      </c>
      <c r="D8875" s="5" t="s">
        <v>1390</v>
      </c>
      <c r="E8875" s="8" t="s">
        <v>1285</v>
      </c>
      <c r="F8875" s="5" t="s">
        <v>1286</v>
      </c>
      <c r="G8875" s="6" t="str">
        <f>VLOOKUP(E8875,dicionario!$A$1:$C9274,2,0)</f>
        <v>#N/A</v>
      </c>
      <c r="H8875" s="6" t="str">
        <f>VLOOKUP(E8875,dicionario!$A$1:$C9274,3,0)</f>
        <v>#N/A</v>
      </c>
    </row>
    <row r="8876">
      <c r="A8876" s="3">
        <v>45764.0</v>
      </c>
      <c r="B8876" s="4">
        <v>0.3527777777777778</v>
      </c>
      <c r="C8876" s="5" t="s">
        <v>33</v>
      </c>
      <c r="D8876" s="5" t="s">
        <v>1390</v>
      </c>
      <c r="E8876" s="8" t="s">
        <v>191</v>
      </c>
      <c r="F8876" s="5" t="s">
        <v>192</v>
      </c>
      <c r="G8876" s="6" t="str">
        <f>VLOOKUP(E8876,dicionario!$A$1:$C9275,2,0)</f>
        <v>Patagioenas picazuro</v>
      </c>
      <c r="H8876" s="6" t="str">
        <f>VLOOKUP(E8876,dicionario!$A$1:$C9275,3,0)</f>
        <v>asa-branca; pomba-asa-branca; pocaçu</v>
      </c>
    </row>
    <row r="8877">
      <c r="A8877" s="3">
        <v>45764.0</v>
      </c>
      <c r="B8877" s="4">
        <v>0.35347222222222224</v>
      </c>
      <c r="C8877" s="5" t="s">
        <v>26</v>
      </c>
      <c r="D8877" s="5" t="s">
        <v>1390</v>
      </c>
      <c r="E8877" s="6" t="s">
        <v>251</v>
      </c>
      <c r="F8877" s="5" t="s">
        <v>252</v>
      </c>
      <c r="G8877" s="6" t="str">
        <f>VLOOKUP(E8877,dicionario!$A$1:$C9276,2,0)</f>
        <v>Struthanthus flexicaulis</v>
      </c>
      <c r="H8877" s="6" t="str">
        <f>VLOOKUP(E8877,dicionario!$A$1:$C9276,3,0)</f>
        <v>erva-de-passarinho</v>
      </c>
    </row>
    <row r="8878">
      <c r="A8878" s="3">
        <v>45764.0</v>
      </c>
      <c r="B8878" s="4">
        <v>0.35347222222222224</v>
      </c>
      <c r="C8878" s="5" t="s">
        <v>26</v>
      </c>
      <c r="D8878" s="5" t="s">
        <v>1390</v>
      </c>
      <c r="E8878" s="8" t="s">
        <v>498</v>
      </c>
      <c r="F8878" s="5" t="s">
        <v>499</v>
      </c>
      <c r="G8878" s="6" t="str">
        <f>VLOOKUP(E8878,dicionario!$A$1:$C9277,2,0)</f>
        <v>Brachiaria decumbens</v>
      </c>
      <c r="H8878" s="6" t="str">
        <f>VLOOKUP(E8878,dicionario!$A$1:$C9277,3,0)</f>
        <v>capim-braquiária</v>
      </c>
    </row>
    <row r="8879">
      <c r="A8879" s="3">
        <v>45764.0</v>
      </c>
      <c r="B8879" s="4">
        <v>0.35347222222222224</v>
      </c>
      <c r="C8879" s="5" t="s">
        <v>26</v>
      </c>
      <c r="D8879" s="5" t="s">
        <v>1390</v>
      </c>
      <c r="E8879" s="8" t="s">
        <v>109</v>
      </c>
      <c r="F8879" s="5" t="s">
        <v>110</v>
      </c>
      <c r="G8879" s="6" t="str">
        <f>VLOOKUP(E8879,dicionario!$A$1:$C9278,2,0)</f>
        <v>Tillandsia stricta</v>
      </c>
      <c r="H8879" s="6" t="str">
        <f>VLOOKUP(E8879,dicionario!$A$1:$C9278,3,0)</f>
        <v>cravo-do-mato</v>
      </c>
    </row>
    <row r="8880">
      <c r="A8880" s="3">
        <v>45764.0</v>
      </c>
      <c r="B8880" s="4">
        <v>0.3541666666666667</v>
      </c>
      <c r="C8880" s="5" t="s">
        <v>26</v>
      </c>
      <c r="D8880" s="5" t="s">
        <v>1390</v>
      </c>
      <c r="E8880" s="8" t="s">
        <v>69</v>
      </c>
      <c r="F8880" s="5" t="s">
        <v>1330</v>
      </c>
      <c r="G8880" s="6" t="str">
        <f>VLOOKUP(E8880,dicionario!$A$1:$C9279,2,0)</f>
        <v>Talinum fruticosum</v>
      </c>
      <c r="H8880" s="6" t="str">
        <f>VLOOKUP(E8880,dicionario!$A$1:$C9279,3,0)</f>
        <v>beldroega-grande</v>
      </c>
    </row>
    <row r="8881">
      <c r="A8881" s="3">
        <v>45764.0</v>
      </c>
      <c r="B8881" s="4">
        <v>0.3541666666666667</v>
      </c>
      <c r="C8881" s="5" t="s">
        <v>26</v>
      </c>
      <c r="D8881" s="5" t="s">
        <v>1390</v>
      </c>
      <c r="E8881" s="6" t="s">
        <v>366</v>
      </c>
      <c r="F8881" s="5" t="s">
        <v>367</v>
      </c>
      <c r="G8881" s="6" t="str">
        <f>VLOOKUP(E8881,dicionario!$A$1:$C9280,2,0)</f>
        <v>Alternanthera ficoidea</v>
      </c>
      <c r="H8881" s="6" t="str">
        <f>VLOOKUP(E8881,dicionario!$A$1:$C9280,3,0)</f>
        <v>quebra-panela</v>
      </c>
    </row>
    <row r="8882">
      <c r="A8882" s="3">
        <v>45764.0</v>
      </c>
      <c r="B8882" s="4">
        <v>0.3541666666666667</v>
      </c>
      <c r="C8882" s="5" t="s">
        <v>26</v>
      </c>
      <c r="D8882" s="5" t="s">
        <v>1390</v>
      </c>
      <c r="E8882" s="8" t="s">
        <v>22</v>
      </c>
      <c r="F8882" s="5" t="s">
        <v>902</v>
      </c>
      <c r="G8882" s="6" t="str">
        <f>VLOOKUP(E8882,dicionario!$A$1:$C9281,2,0)</f>
        <v>Zenaida auriculata</v>
      </c>
      <c r="H8882" s="6" t="str">
        <f>VLOOKUP(E8882,dicionario!$A$1:$C9281,3,0)</f>
        <v>pomba-de-bando; avoante</v>
      </c>
    </row>
    <row r="8883">
      <c r="A8883" s="3">
        <v>45764.0</v>
      </c>
      <c r="B8883" s="4">
        <v>0.3541666666666667</v>
      </c>
      <c r="C8883" s="5" t="s">
        <v>26</v>
      </c>
      <c r="D8883" s="5" t="s">
        <v>1390</v>
      </c>
      <c r="E8883" s="12" t="s">
        <v>243</v>
      </c>
      <c r="F8883" s="5" t="s">
        <v>244</v>
      </c>
      <c r="G8883" s="6" t="str">
        <f>VLOOKUP(E8883,dicionario!$A$1:$C9282,2,0)</f>
        <v>Macroptilium atropurpureum</v>
      </c>
      <c r="H8883" s="6" t="str">
        <f>VLOOKUP(E8883,dicionario!$A$1:$C9282,3,0)</f>
        <v>feijão-de-pombo</v>
      </c>
    </row>
    <row r="8884">
      <c r="A8884" s="3">
        <v>45764.0</v>
      </c>
      <c r="B8884" s="4">
        <v>0.3548611111111111</v>
      </c>
      <c r="C8884" s="5" t="s">
        <v>26</v>
      </c>
      <c r="D8884" s="5" t="s">
        <v>1390</v>
      </c>
      <c r="E8884" s="8" t="s">
        <v>217</v>
      </c>
      <c r="F8884" s="5" t="s">
        <v>218</v>
      </c>
      <c r="G8884" s="6" t="str">
        <f>VLOOKUP(E8884,dicionario!$A$1:$C9283,2,0)</f>
        <v>Athene cunicularia</v>
      </c>
      <c r="H8884" s="6" t="str">
        <f>VLOOKUP(E8884,dicionario!$A$1:$C9283,3,0)</f>
        <v>coruja-buraqueira</v>
      </c>
    </row>
    <row r="8885">
      <c r="A8885" s="3">
        <v>45764.0</v>
      </c>
      <c r="B8885" s="4">
        <v>0.3548611111111111</v>
      </c>
      <c r="C8885" s="5" t="s">
        <v>26</v>
      </c>
      <c r="D8885" s="5" t="s">
        <v>1390</v>
      </c>
      <c r="E8885" s="8" t="s">
        <v>915</v>
      </c>
      <c r="F8885" s="5" t="s">
        <v>916</v>
      </c>
      <c r="G8885" s="6" t="str">
        <f>VLOOKUP(E8885,dicionario!$A$1:$C9284,2,0)</f>
        <v>Tachycineta albiventer</v>
      </c>
      <c r="H8885" s="6" t="str">
        <f>VLOOKUP(E8885,dicionario!$A$1:$C9284,3,0)</f>
        <v>andorinha-de-rio</v>
      </c>
    </row>
    <row r="8886">
      <c r="A8886" s="3">
        <v>45764.0</v>
      </c>
      <c r="B8886" s="4">
        <v>0.35555555555555557</v>
      </c>
      <c r="C8886" s="5" t="s">
        <v>26</v>
      </c>
      <c r="D8886" s="5" t="s">
        <v>1390</v>
      </c>
      <c r="E8886" s="8" t="s">
        <v>83</v>
      </c>
      <c r="F8886" s="5" t="s">
        <v>84</v>
      </c>
      <c r="G8886" s="6" t="str">
        <f>VLOOKUP(E8886,dicionario!$A$1:$C9285,2,0)</f>
        <v>Anartia jatrophae</v>
      </c>
      <c r="H8886" s="6" t="str">
        <f>VLOOKUP(E8886,dicionario!$A$1:$C9285,3,0)</f>
        <v>borboleta-pavão-branco</v>
      </c>
    </row>
    <row r="8887">
      <c r="A8887" s="3">
        <v>45764.0</v>
      </c>
      <c r="B8887" s="4">
        <v>0.35555555555555557</v>
      </c>
      <c r="C8887" s="5" t="s">
        <v>26</v>
      </c>
      <c r="D8887" s="5" t="s">
        <v>1390</v>
      </c>
      <c r="E8887" s="8" t="s">
        <v>88</v>
      </c>
      <c r="F8887" s="5" t="s">
        <v>89</v>
      </c>
      <c r="G8887" s="6" t="str">
        <f>VLOOKUP(E8887,dicionario!$A$1:$C9286,2,0)</f>
        <v>Tyrannus melancolichus</v>
      </c>
      <c r="H8887" s="6" t="str">
        <f>VLOOKUP(E8887,dicionario!$A$1:$C9286,3,0)</f>
        <v>suiriri</v>
      </c>
    </row>
    <row r="8888">
      <c r="A8888" s="3">
        <v>45764.0</v>
      </c>
      <c r="B8888" s="4">
        <v>0.35625</v>
      </c>
      <c r="C8888" s="5" t="s">
        <v>26</v>
      </c>
      <c r="D8888" s="5" t="s">
        <v>1390</v>
      </c>
      <c r="E8888" s="8" t="s">
        <v>163</v>
      </c>
      <c r="F8888" s="5" t="s">
        <v>164</v>
      </c>
      <c r="G8888" s="6" t="str">
        <f>VLOOKUP(E8888,dicionario!$A$1:$C9287,2,0)</f>
        <v>Coragyps atratus</v>
      </c>
      <c r="H8888" s="6" t="str">
        <f>VLOOKUP(E8888,dicionario!$A$1:$C9287,3,0)</f>
        <v>urubu-de-cabeça-preta</v>
      </c>
    </row>
    <row r="8889">
      <c r="A8889" s="3">
        <v>45764.0</v>
      </c>
      <c r="B8889" s="4">
        <v>0.35694444444444445</v>
      </c>
      <c r="C8889" s="5" t="s">
        <v>26</v>
      </c>
      <c r="D8889" s="5" t="s">
        <v>1390</v>
      </c>
      <c r="E8889" s="8" t="s">
        <v>302</v>
      </c>
      <c r="F8889" s="5" t="s">
        <v>303</v>
      </c>
      <c r="G8889" s="6" t="str">
        <f>VLOOKUP(E8889,dicionario!$A$1:$C9288,2,0)</f>
        <v>Machetornis rixosa</v>
      </c>
      <c r="H8889" s="6" t="str">
        <f>VLOOKUP(E8889,dicionario!$A$1:$C9288,3,0)</f>
        <v>suiriri-cavaleiro</v>
      </c>
    </row>
    <row r="8890">
      <c r="A8890" s="3">
        <v>45764.0</v>
      </c>
      <c r="B8890" s="4">
        <v>0.3597222222222222</v>
      </c>
      <c r="C8890" s="5" t="s">
        <v>26</v>
      </c>
      <c r="D8890" s="5" t="s">
        <v>1390</v>
      </c>
      <c r="E8890" s="8" t="s">
        <v>360</v>
      </c>
      <c r="F8890" s="5" t="s">
        <v>361</v>
      </c>
      <c r="G8890" s="6" t="str">
        <f>VLOOKUP(E8890,dicionario!$A$1:$C9289,2,0)</f>
        <v>Chamaecrista rotundifolia</v>
      </c>
      <c r="H8890" s="6" t="str">
        <f>VLOOKUP(E8890,dicionario!$A$1:$C9289,3,0)</f>
        <v>alfafa-nativa</v>
      </c>
    </row>
    <row r="8891">
      <c r="A8891" s="3">
        <v>45764.0</v>
      </c>
      <c r="B8891" s="4">
        <v>0.3576388888888889</v>
      </c>
      <c r="C8891" s="5" t="s">
        <v>26</v>
      </c>
      <c r="D8891" s="5" t="s">
        <v>1390</v>
      </c>
      <c r="E8891" s="8" t="s">
        <v>1087</v>
      </c>
      <c r="F8891" s="5" t="s">
        <v>1088</v>
      </c>
      <c r="G8891" s="6" t="str">
        <f>VLOOKUP(E8891,dicionario!$A$1:$C9290,2,0)</f>
        <v>Desmodium triflorum</v>
      </c>
      <c r="H8891" s="6" t="str">
        <f>VLOOKUP(E8891,dicionario!$A$1:$C9290,3,0)</f>
        <v/>
      </c>
    </row>
    <row r="8892">
      <c r="A8892" s="3">
        <v>45764.0</v>
      </c>
      <c r="B8892" s="4">
        <v>0.3576388888888889</v>
      </c>
      <c r="C8892" s="5" t="s">
        <v>26</v>
      </c>
      <c r="D8892" s="5" t="s">
        <v>1390</v>
      </c>
      <c r="E8892" s="8" t="s">
        <v>358</v>
      </c>
      <c r="F8892" s="5" t="s">
        <v>472</v>
      </c>
      <c r="G8892" s="6" t="str">
        <f>VLOOKUP(E8892,dicionario!$A$1:$C9291,2,0)</f>
        <v>Sida</v>
      </c>
      <c r="H8892" s="6" t="str">
        <f>VLOOKUP(E8892,dicionario!$A$1:$C9291,3,0)</f>
        <v/>
      </c>
    </row>
    <row r="8893">
      <c r="A8893" s="3">
        <v>45764.0</v>
      </c>
      <c r="B8893" s="4">
        <v>0.3590277777777778</v>
      </c>
      <c r="C8893" s="5" t="s">
        <v>8</v>
      </c>
      <c r="D8893" s="5" t="s">
        <v>1390</v>
      </c>
      <c r="E8893" s="8" t="s">
        <v>1310</v>
      </c>
      <c r="F8893" s="5" t="s">
        <v>521</v>
      </c>
      <c r="G8893" s="6" t="str">
        <f>VLOOKUP(E8893,dicionario!$A$1:$C9292,2,0)</f>
        <v>#N/A</v>
      </c>
      <c r="H8893" s="6" t="str">
        <f>VLOOKUP(E8893,dicionario!$A$1:$C9292,3,0)</f>
        <v>#N/A</v>
      </c>
    </row>
    <row r="8894">
      <c r="A8894" s="3">
        <v>45764.0</v>
      </c>
      <c r="B8894" s="4">
        <v>0.3597222222222222</v>
      </c>
      <c r="C8894" s="5" t="s">
        <v>8</v>
      </c>
      <c r="D8894" s="5" t="s">
        <v>1390</v>
      </c>
      <c r="E8894" s="8" t="s">
        <v>146</v>
      </c>
      <c r="F8894" s="5" t="s">
        <v>147</v>
      </c>
      <c r="G8894" s="6" t="str">
        <f>VLOOKUP(E8894,dicionario!$A$1:$C9293,2,0)</f>
        <v>Euphorbia hirta</v>
      </c>
      <c r="H8894" s="6" t="str">
        <f>VLOOKUP(E8894,dicionario!$A$1:$C9293,3,0)</f>
        <v>erva-de-santa-luzia</v>
      </c>
    </row>
    <row r="8895">
      <c r="A8895" s="3">
        <v>45764.0</v>
      </c>
      <c r="B8895" s="4">
        <v>0.3597222222222222</v>
      </c>
      <c r="C8895" s="5" t="s">
        <v>8</v>
      </c>
      <c r="D8895" s="5" t="s">
        <v>1390</v>
      </c>
      <c r="E8895" s="8" t="s">
        <v>271</v>
      </c>
      <c r="F8895" s="5" t="s">
        <v>1169</v>
      </c>
      <c r="G8895" s="6" t="str">
        <f>VLOOKUP(E8895,dicionario!$A$1:$C9294,2,0)</f>
        <v>Cyanthillium cinereum</v>
      </c>
      <c r="H8895" s="6" t="str">
        <f>VLOOKUP(E8895,dicionario!$A$1:$C9294,3,0)</f>
        <v>emília</v>
      </c>
    </row>
    <row r="8896">
      <c r="A8896" s="3">
        <v>45764.0</v>
      </c>
      <c r="B8896" s="4">
        <v>0.3597222222222222</v>
      </c>
      <c r="C8896" s="5" t="s">
        <v>8</v>
      </c>
      <c r="D8896" s="5" t="s">
        <v>1390</v>
      </c>
      <c r="E8896" s="8" t="s">
        <v>154</v>
      </c>
      <c r="F8896" s="5" t="s">
        <v>155</v>
      </c>
      <c r="G8896" s="6" t="str">
        <f>VLOOKUP(E8896,dicionario!$A$1:$C9295,2,0)</f>
        <v>Cyperus rotundus</v>
      </c>
      <c r="H8896" s="6" t="str">
        <f>VLOOKUP(E8896,dicionario!$A$1:$C9295,3,0)</f>
        <v>tiririca</v>
      </c>
    </row>
    <row r="8897">
      <c r="A8897" s="3">
        <v>45764.0</v>
      </c>
      <c r="B8897" s="4">
        <v>0.3597222222222222</v>
      </c>
      <c r="C8897" s="5" t="s">
        <v>8</v>
      </c>
      <c r="D8897" s="5" t="s">
        <v>1390</v>
      </c>
      <c r="E8897" s="8" t="s">
        <v>712</v>
      </c>
      <c r="F8897" s="5" t="s">
        <v>718</v>
      </c>
      <c r="G8897" s="6" t="str">
        <f>VLOOKUP(E8897,dicionario!$A$1:$C9296,2,0)</f>
        <v>Flavopunctelia soredica</v>
      </c>
      <c r="H8897" s="6" t="str">
        <f>VLOOKUP(E8897,dicionario!$A$1:$C9296,3,0)</f>
        <v>líquen-folioso</v>
      </c>
    </row>
    <row r="8898">
      <c r="A8898" s="3">
        <v>45764.0</v>
      </c>
      <c r="B8898" s="4">
        <v>0.3597222222222222</v>
      </c>
      <c r="C8898" s="5" t="s">
        <v>8</v>
      </c>
      <c r="D8898" s="5" t="s">
        <v>1390</v>
      </c>
      <c r="E8898" s="8" t="s">
        <v>719</v>
      </c>
      <c r="F8898" s="5" t="s">
        <v>720</v>
      </c>
      <c r="G8898" s="6" t="str">
        <f>VLOOKUP(E8898,dicionario!$A$1:$C9297,2,0)</f>
        <v>Dirinaria</v>
      </c>
      <c r="H8898" s="6" t="str">
        <f>VLOOKUP(E8898,dicionario!$A$1:$C9297,3,0)</f>
        <v>líquen-crostoso</v>
      </c>
    </row>
    <row r="8899">
      <c r="A8899" s="3">
        <v>45764.0</v>
      </c>
      <c r="B8899" s="4">
        <v>0.3597222222222222</v>
      </c>
      <c r="C8899" s="5" t="s">
        <v>8</v>
      </c>
      <c r="D8899" s="5" t="s">
        <v>1390</v>
      </c>
      <c r="E8899" s="8" t="s">
        <v>107</v>
      </c>
      <c r="F8899" s="5" t="s">
        <v>834</v>
      </c>
      <c r="G8899" s="6" t="str">
        <f>VLOOKUP(E8899,dicionario!$A$1:$C9298,2,0)</f>
        <v>Ramalina complanata</v>
      </c>
      <c r="H8899" s="6" t="str">
        <f>VLOOKUP(E8899,dicionario!$A$1:$C9298,3,0)</f>
        <v>ramalina</v>
      </c>
    </row>
    <row r="8900">
      <c r="A8900" s="3">
        <v>45764.0</v>
      </c>
      <c r="B8900" s="4">
        <v>0.36041666666666666</v>
      </c>
      <c r="C8900" s="5" t="s">
        <v>8</v>
      </c>
      <c r="D8900" s="5" t="s">
        <v>1390</v>
      </c>
      <c r="E8900" s="8" t="s">
        <v>286</v>
      </c>
      <c r="F8900" s="5" t="s">
        <v>287</v>
      </c>
      <c r="G8900" s="6" t="str">
        <f>VLOOKUP(E8900,dicionario!$A$1:$C9299,2,0)</f>
        <v>Setaria parviflora</v>
      </c>
      <c r="H8900" s="6" t="str">
        <f>VLOOKUP(E8900,dicionario!$A$1:$C9299,3,0)</f>
        <v>capim-rabo-de-raposa</v>
      </c>
    </row>
    <row r="8901">
      <c r="A8901" s="3">
        <v>45764.0</v>
      </c>
      <c r="B8901" s="4">
        <v>0.36041666666666666</v>
      </c>
      <c r="C8901" s="5" t="s">
        <v>8</v>
      </c>
      <c r="D8901" s="5" t="s">
        <v>1390</v>
      </c>
      <c r="E8901" s="8" t="s">
        <v>1008</v>
      </c>
      <c r="F8901" s="5" t="s">
        <v>1013</v>
      </c>
      <c r="G8901" s="6" t="str">
        <f>VLOOKUP(E8901,dicionario!$A$1:$C9300,2,0)</f>
        <v>Syntermes molestus</v>
      </c>
      <c r="H8901" s="6" t="str">
        <f>VLOOKUP(E8901,dicionario!$A$1:$C9300,3,0)</f>
        <v>cupim-bate-cabeça</v>
      </c>
    </row>
    <row r="8902">
      <c r="A8902" s="3">
        <v>45764.0</v>
      </c>
      <c r="B8902" s="4">
        <v>0.36041666666666666</v>
      </c>
      <c r="C8902" s="5" t="s">
        <v>8</v>
      </c>
      <c r="D8902" s="5" t="s">
        <v>1390</v>
      </c>
      <c r="E8902" s="8" t="s">
        <v>109</v>
      </c>
      <c r="F8902" s="5" t="s">
        <v>110</v>
      </c>
      <c r="G8902" s="6" t="str">
        <f>VLOOKUP(E8902,dicionario!$A$1:$C9301,2,0)</f>
        <v>Tillandsia stricta</v>
      </c>
      <c r="H8902" s="6" t="str">
        <f>VLOOKUP(E8902,dicionario!$A$1:$C9301,3,0)</f>
        <v>cravo-do-mato</v>
      </c>
    </row>
    <row r="8903">
      <c r="A8903" s="3">
        <v>45764.0</v>
      </c>
      <c r="B8903" s="4">
        <v>0.36041666666666666</v>
      </c>
      <c r="C8903" s="5" t="s">
        <v>8</v>
      </c>
      <c r="D8903" s="5" t="s">
        <v>1390</v>
      </c>
      <c r="E8903" s="8" t="s">
        <v>200</v>
      </c>
      <c r="F8903" s="5" t="s">
        <v>201</v>
      </c>
      <c r="G8903" s="6" t="str">
        <f>VLOOKUP(E8903,dicionario!$A$1:$C9302,2,0)</f>
        <v>Columbina picui </v>
      </c>
      <c r="H8903" s="6" t="str">
        <f>VLOOKUP(E8903,dicionario!$A$1:$C9302,3,0)</f>
        <v>rolinha-picuí</v>
      </c>
    </row>
    <row r="8904">
      <c r="A8904" s="3">
        <v>45764.0</v>
      </c>
      <c r="B8904" s="4">
        <v>0.36041666666666666</v>
      </c>
      <c r="C8904" s="5" t="s">
        <v>8</v>
      </c>
      <c r="D8904" s="5" t="s">
        <v>1390</v>
      </c>
      <c r="E8904" s="8" t="s">
        <v>1316</v>
      </c>
      <c r="F8904" s="5" t="s">
        <v>15</v>
      </c>
      <c r="G8904" s="6" t="str">
        <f>VLOOKUP(E8904,dicionario!$A$1:$C9303,2,0)</f>
        <v>#N/A</v>
      </c>
      <c r="H8904" s="6" t="str">
        <f>VLOOKUP(E8904,dicionario!$A$1:$C9303,3,0)</f>
        <v>#N/A</v>
      </c>
    </row>
    <row r="8905">
      <c r="A8905" s="3">
        <v>45764.0</v>
      </c>
      <c r="B8905" s="4">
        <v>0.3611111111111111</v>
      </c>
      <c r="C8905" s="5" t="s">
        <v>8</v>
      </c>
      <c r="D8905" s="5" t="s">
        <v>1390</v>
      </c>
      <c r="E8905" s="8" t="s">
        <v>135</v>
      </c>
      <c r="F8905" s="5" t="s">
        <v>136</v>
      </c>
      <c r="G8905" s="6" t="str">
        <f>VLOOKUP(E8905,dicionario!$A$1:$C9304,2,0)</f>
        <v>Tridax procumbens</v>
      </c>
      <c r="H8905" s="6" t="str">
        <f>VLOOKUP(E8905,dicionario!$A$1:$C9304,3,0)</f>
        <v>erva-de-touro</v>
      </c>
    </row>
    <row r="8906">
      <c r="A8906" s="3">
        <v>45764.0</v>
      </c>
      <c r="B8906" s="4">
        <v>0.3611111111111111</v>
      </c>
      <c r="C8906" s="5" t="s">
        <v>8</v>
      </c>
      <c r="D8906" s="5" t="s">
        <v>1390</v>
      </c>
      <c r="E8906" s="8" t="s">
        <v>286</v>
      </c>
      <c r="F8906" s="5" t="s">
        <v>287</v>
      </c>
      <c r="G8906" s="6" t="str">
        <f>VLOOKUP(E8906,dicionario!$A$1:$C9305,2,0)</f>
        <v>Setaria parviflora</v>
      </c>
      <c r="H8906" s="6" t="str">
        <f>VLOOKUP(E8906,dicionario!$A$1:$C9305,3,0)</f>
        <v>capim-rabo-de-raposa</v>
      </c>
    </row>
    <row r="8907">
      <c r="A8907" s="3">
        <v>45764.0</v>
      </c>
      <c r="B8907" s="4">
        <v>0.3611111111111111</v>
      </c>
      <c r="C8907" s="5" t="s">
        <v>8</v>
      </c>
      <c r="D8907" s="5" t="s">
        <v>1390</v>
      </c>
      <c r="E8907" s="8" t="s">
        <v>535</v>
      </c>
      <c r="F8907" s="5" t="s">
        <v>901</v>
      </c>
      <c r="G8907" s="6" t="str">
        <f>VLOOKUP(E8907,dicionario!$A$1:$C9306,2,0)</f>
        <v>Odonata</v>
      </c>
      <c r="H8907" s="6" t="str">
        <f>VLOOKUP(E8907,dicionario!$A$1:$C9306,3,0)</f>
        <v>libélula</v>
      </c>
    </row>
    <row r="8908">
      <c r="A8908" s="3">
        <v>45764.0</v>
      </c>
      <c r="B8908" s="4">
        <v>0.3611111111111111</v>
      </c>
      <c r="C8908" s="5" t="s">
        <v>8</v>
      </c>
      <c r="D8908" s="5" t="s">
        <v>1390</v>
      </c>
      <c r="E8908" s="6" t="s">
        <v>381</v>
      </c>
      <c r="F8908" s="5" t="s">
        <v>382</v>
      </c>
      <c r="G8908" s="6" t="str">
        <f>VLOOKUP(E8908,dicionario!$A$1:$C9307,2,0)</f>
        <v>Pseudomyrmex</v>
      </c>
      <c r="H8908" s="6" t="str">
        <f>VLOOKUP(E8908,dicionario!$A$1:$C9307,3,0)</f>
        <v>maria-magra</v>
      </c>
    </row>
    <row r="8909">
      <c r="A8909" s="3">
        <v>45764.0</v>
      </c>
      <c r="B8909" s="4">
        <v>0.36180555555555555</v>
      </c>
      <c r="C8909" s="5" t="s">
        <v>8</v>
      </c>
      <c r="D8909" s="5" t="s">
        <v>1390</v>
      </c>
      <c r="E8909" s="8" t="s">
        <v>20</v>
      </c>
      <c r="F8909" s="5" t="s">
        <v>21</v>
      </c>
      <c r="G8909" s="6" t="str">
        <f>VLOOKUP(E8909,dicionario!$A$1:$C9308,2,0)</f>
        <v>Sicalis flaveola</v>
      </c>
      <c r="H8909" s="6" t="str">
        <f>VLOOKUP(E8909,dicionario!$A$1:$C9308,3,0)</f>
        <v>canário-da-terra</v>
      </c>
    </row>
    <row r="8910">
      <c r="A8910" s="3">
        <v>45764.0</v>
      </c>
      <c r="B8910" s="4">
        <v>0.36180555555555555</v>
      </c>
      <c r="C8910" s="5" t="s">
        <v>8</v>
      </c>
      <c r="D8910" s="5" t="s">
        <v>1390</v>
      </c>
      <c r="E8910" s="8" t="s">
        <v>909</v>
      </c>
      <c r="F8910" s="5" t="s">
        <v>1410</v>
      </c>
      <c r="G8910" s="6" t="str">
        <f>VLOOKUP(E8910,dicionario!$A$1:$C9309,2,0)</f>
        <v>Chordeiles acutipennis</v>
      </c>
      <c r="H8910" s="6" t="str">
        <f>VLOOKUP(E8910,dicionario!$A$1:$C9309,3,0)</f>
        <v>bacurau-de-asa-fina</v>
      </c>
    </row>
    <row r="8911">
      <c r="A8911" s="3">
        <v>45764.0</v>
      </c>
      <c r="B8911" s="4">
        <v>0.36180555555555555</v>
      </c>
      <c r="C8911" s="5" t="s">
        <v>8</v>
      </c>
      <c r="D8911" s="5" t="s">
        <v>1390</v>
      </c>
      <c r="E8911" s="8" t="s">
        <v>946</v>
      </c>
      <c r="F8911" s="5" t="s">
        <v>947</v>
      </c>
      <c r="G8911" s="6" t="str">
        <f>VLOOKUP(E8911,dicionario!$A$1:$C9310,2,0)</f>
        <v>Thorybes dorantes</v>
      </c>
      <c r="H8911" s="6" t="str">
        <f>VLOOKUP(E8911,dicionario!$A$1:$C9310,3,0)</f>
        <v>mariposa-de-cauda-lilás</v>
      </c>
    </row>
    <row r="8912">
      <c r="A8912" s="3">
        <v>45764.0</v>
      </c>
      <c r="B8912" s="4">
        <v>0.3625</v>
      </c>
      <c r="C8912" s="5" t="s">
        <v>8</v>
      </c>
      <c r="D8912" s="5" t="s">
        <v>1390</v>
      </c>
      <c r="E8912" s="8" t="s">
        <v>378</v>
      </c>
      <c r="F8912" s="5" t="s">
        <v>205</v>
      </c>
      <c r="G8912" s="6" t="str">
        <f>VLOOKUP(E8912,dicionario!$A$1:$C9311,2,0)</f>
        <v>Polistes</v>
      </c>
      <c r="H8912" s="6" t="str">
        <f>VLOOKUP(E8912,dicionario!$A$1:$C9311,3,0)</f>
        <v>marimbondo</v>
      </c>
    </row>
    <row r="8913">
      <c r="A8913" s="3">
        <v>45764.0</v>
      </c>
      <c r="B8913" s="4">
        <v>0.3625</v>
      </c>
      <c r="C8913" s="5" t="s">
        <v>8</v>
      </c>
      <c r="D8913" s="5" t="s">
        <v>1390</v>
      </c>
      <c r="E8913" s="8" t="s">
        <v>353</v>
      </c>
      <c r="F8913" s="5" t="s">
        <v>354</v>
      </c>
      <c r="G8913" s="6" t="str">
        <f>VLOOKUP(E8913,dicionario!$A$1:$C9312,2,0)</f>
        <v>Desmodium incanum</v>
      </c>
      <c r="H8913" s="6" t="str">
        <f>VLOOKUP(E8913,dicionario!$A$1:$C9312,3,0)</f>
        <v>pega-pega</v>
      </c>
    </row>
    <row r="8914">
      <c r="A8914" s="3">
        <v>45764.0</v>
      </c>
      <c r="B8914" s="4">
        <v>0.36319444444444443</v>
      </c>
      <c r="C8914" s="5" t="s">
        <v>8</v>
      </c>
      <c r="D8914" s="5" t="s">
        <v>1390</v>
      </c>
      <c r="E8914" s="8" t="s">
        <v>227</v>
      </c>
      <c r="F8914" s="5" t="s">
        <v>228</v>
      </c>
      <c r="G8914" s="6" t="str">
        <f>VLOOKUP(E8914,dicionario!$A$1:$C9313,2,0)</f>
        <v>Indigofera hirsuta</v>
      </c>
      <c r="H8914" s="6" t="str">
        <f>VLOOKUP(E8914,dicionario!$A$1:$C9313,3,0)</f>
        <v>anileira</v>
      </c>
    </row>
    <row r="8915">
      <c r="A8915" s="3">
        <v>45764.0</v>
      </c>
      <c r="B8915" s="4">
        <v>0.3638888888888889</v>
      </c>
      <c r="C8915" s="5" t="s">
        <v>8</v>
      </c>
      <c r="D8915" s="5" t="s">
        <v>1390</v>
      </c>
      <c r="E8915" s="8" t="s">
        <v>253</v>
      </c>
      <c r="F8915" s="5" t="s">
        <v>254</v>
      </c>
      <c r="G8915" s="6" t="str">
        <f>VLOOKUP(E8915,dicionario!$A$1:$C9314,2,0)</f>
        <v>Panicum maximum</v>
      </c>
      <c r="H8915" s="6" t="str">
        <f>VLOOKUP(E8915,dicionario!$A$1:$C9314,3,0)</f>
        <v>capim-colonião</v>
      </c>
    </row>
    <row r="8916">
      <c r="A8916" s="3">
        <v>45764.0</v>
      </c>
      <c r="B8916" s="4">
        <v>0.3638888888888889</v>
      </c>
      <c r="C8916" s="5" t="s">
        <v>8</v>
      </c>
      <c r="D8916" s="5" t="s">
        <v>1390</v>
      </c>
      <c r="E8916" s="8" t="s">
        <v>1084</v>
      </c>
      <c r="F8916" s="5" t="s">
        <v>224</v>
      </c>
      <c r="G8916" s="6" t="str">
        <f>VLOOKUP(E8916,dicionario!$A$1:$C9315,2,0)</f>
        <v>#N/A</v>
      </c>
      <c r="H8916" s="6" t="str">
        <f>VLOOKUP(E8916,dicionario!$A$1:$C9315,3,0)</f>
        <v>#N/A</v>
      </c>
    </row>
    <row r="8917">
      <c r="A8917" s="3">
        <v>45764.0</v>
      </c>
      <c r="B8917" s="4">
        <v>0.3645833333333333</v>
      </c>
      <c r="C8917" s="5" t="s">
        <v>8</v>
      </c>
      <c r="D8917" s="5" t="s">
        <v>1390</v>
      </c>
      <c r="E8917" s="8" t="s">
        <v>1328</v>
      </c>
      <c r="F8917" s="5" t="s">
        <v>356</v>
      </c>
      <c r="G8917" s="6" t="str">
        <f>VLOOKUP(E8917,dicionario!$A$1:$C9316,2,0)</f>
        <v>#N/A</v>
      </c>
      <c r="H8917" s="6" t="str">
        <f>VLOOKUP(E8917,dicionario!$A$1:$C9316,3,0)</f>
        <v>#N/A</v>
      </c>
    </row>
    <row r="8918">
      <c r="A8918" s="3">
        <v>45764.0</v>
      </c>
      <c r="B8918" s="4">
        <v>0.3645833333333333</v>
      </c>
      <c r="C8918" s="5" t="s">
        <v>8</v>
      </c>
      <c r="D8918" s="5" t="s">
        <v>1390</v>
      </c>
      <c r="E8918" s="8" t="s">
        <v>631</v>
      </c>
      <c r="F8918" s="5" t="s">
        <v>632</v>
      </c>
      <c r="G8918" s="6" t="str">
        <f>VLOOKUP(E8918,dicionario!$A$1:$C9317,2,0)</f>
        <v>Chamaecrista nictitans</v>
      </c>
      <c r="H8918" s="6" t="str">
        <f>VLOOKUP(E8918,dicionario!$A$1:$C9317,3,0)</f>
        <v>falsa-dormideira</v>
      </c>
    </row>
    <row r="8919">
      <c r="A8919" s="3">
        <v>45771.0</v>
      </c>
      <c r="B8919" s="4">
        <v>0.25972222222222224</v>
      </c>
      <c r="C8919" s="5" t="s">
        <v>8</v>
      </c>
      <c r="D8919" s="5" t="s">
        <v>1390</v>
      </c>
      <c r="E8919" s="8" t="s">
        <v>109</v>
      </c>
      <c r="F8919" s="5" t="s">
        <v>110</v>
      </c>
      <c r="G8919" s="6" t="str">
        <f>VLOOKUP(E8919,dicionario!$A$1:$C9318,2,0)</f>
        <v>Tillandsia stricta</v>
      </c>
      <c r="H8919" s="6" t="str">
        <f>VLOOKUP(E8919,dicionario!$A$1:$C9318,3,0)</f>
        <v>cravo-do-mato</v>
      </c>
    </row>
    <row r="8920">
      <c r="A8920" s="3">
        <v>45771.0</v>
      </c>
      <c r="B8920" s="4">
        <v>0.2604166666666667</v>
      </c>
      <c r="C8920" s="5" t="s">
        <v>8</v>
      </c>
      <c r="D8920" s="5" t="s">
        <v>1390</v>
      </c>
      <c r="E8920" s="8" t="s">
        <v>65</v>
      </c>
      <c r="F8920" s="5" t="s">
        <v>66</v>
      </c>
      <c r="G8920" s="6" t="str">
        <f>VLOOKUP(E8920,dicionario!$A$1:$C9319,2,0)</f>
        <v>Pitangus sulphutarus</v>
      </c>
      <c r="H8920" s="6" t="str">
        <f>VLOOKUP(E8920,dicionario!$A$1:$C9319,3,0)</f>
        <v>bem-te-vi</v>
      </c>
    </row>
    <row r="8921">
      <c r="A8921" s="3">
        <v>45771.0</v>
      </c>
      <c r="B8921" s="4">
        <v>0.2604166666666667</v>
      </c>
      <c r="C8921" s="5" t="s">
        <v>8</v>
      </c>
      <c r="D8921" s="5" t="s">
        <v>1390</v>
      </c>
      <c r="E8921" s="8" t="s">
        <v>154</v>
      </c>
      <c r="F8921" s="5" t="s">
        <v>155</v>
      </c>
      <c r="G8921" s="6" t="str">
        <f>VLOOKUP(E8921,dicionario!$A$1:$C9320,2,0)</f>
        <v>Cyperus rotundus</v>
      </c>
      <c r="H8921" s="6" t="str">
        <f>VLOOKUP(E8921,dicionario!$A$1:$C9320,3,0)</f>
        <v>tiririca</v>
      </c>
    </row>
    <row r="8922">
      <c r="A8922" s="3">
        <v>45771.0</v>
      </c>
      <c r="B8922" s="4">
        <v>0.2604166666666667</v>
      </c>
      <c r="C8922" s="5" t="s">
        <v>8</v>
      </c>
      <c r="D8922" s="5" t="s">
        <v>1390</v>
      </c>
      <c r="E8922" s="8" t="s">
        <v>72</v>
      </c>
      <c r="F8922" s="5" t="s">
        <v>73</v>
      </c>
      <c r="G8922" s="6" t="str">
        <f>VLOOKUP(E8922,dicionario!$A$1:$C9321,2,0)</f>
        <v>Thraupis palmarum</v>
      </c>
      <c r="H8922" s="6" t="str">
        <f>VLOOKUP(E8922,dicionario!$A$1:$C9321,3,0)</f>
        <v>sanhaço-do-coqueiro</v>
      </c>
    </row>
    <row r="8923">
      <c r="A8923" s="3">
        <v>45771.0</v>
      </c>
      <c r="B8923" s="4">
        <v>0.2604166666666667</v>
      </c>
      <c r="C8923" s="5" t="s">
        <v>8</v>
      </c>
      <c r="D8923" s="5" t="s">
        <v>1390</v>
      </c>
      <c r="E8923" s="8" t="s">
        <v>158</v>
      </c>
      <c r="F8923" s="5" t="s">
        <v>159</v>
      </c>
      <c r="G8923" s="6" t="str">
        <f>VLOOKUP(E8923,dicionario!$A$1:$C9322,2,0)</f>
        <v>Nephilingis cruentata</v>
      </c>
      <c r="H8923" s="6" t="str">
        <f>VLOOKUP(E8923,dicionario!$A$1:$C9322,3,0)</f>
        <v>maria-bola</v>
      </c>
    </row>
    <row r="8924">
      <c r="A8924" s="3">
        <v>45771.0</v>
      </c>
      <c r="B8924" s="4">
        <v>0.2604166666666667</v>
      </c>
      <c r="C8924" s="5" t="s">
        <v>8</v>
      </c>
      <c r="D8924" s="5" t="s">
        <v>1390</v>
      </c>
      <c r="E8924" s="8" t="s">
        <v>113</v>
      </c>
      <c r="F8924" s="5" t="s">
        <v>114</v>
      </c>
      <c r="G8924" s="6" t="str">
        <f>VLOOKUP(E8924,dicionario!$A$1:$C9323,2,0)</f>
        <v>Columbina talpacoti</v>
      </c>
      <c r="H8924" s="6" t="str">
        <f>VLOOKUP(E8924,dicionario!$A$1:$C9323,3,0)</f>
        <v>rolinha-roxa</v>
      </c>
    </row>
    <row r="8925">
      <c r="A8925" s="3">
        <v>45771.0</v>
      </c>
      <c r="B8925" s="4">
        <v>0.2604166666666667</v>
      </c>
      <c r="C8925" s="5" t="s">
        <v>8</v>
      </c>
      <c r="D8925" s="5" t="s">
        <v>1390</v>
      </c>
      <c r="E8925" s="8" t="s">
        <v>1366</v>
      </c>
      <c r="F8925" s="61" t="s">
        <v>190</v>
      </c>
      <c r="G8925" s="6" t="str">
        <f>VLOOKUP(E8925,dicionario!$A$1:$C9324,2,0)</f>
        <v>#N/A</v>
      </c>
      <c r="H8925" s="6" t="str">
        <f>VLOOKUP(E8925,dicionario!$A$1:$C9324,3,0)</f>
        <v>#N/A</v>
      </c>
    </row>
    <row r="8926">
      <c r="A8926" s="3">
        <v>45771.0</v>
      </c>
      <c r="B8926" s="4">
        <v>0.2611111111111111</v>
      </c>
      <c r="C8926" s="5" t="s">
        <v>8</v>
      </c>
      <c r="D8926" s="5" t="s">
        <v>1390</v>
      </c>
      <c r="E8926" s="8" t="s">
        <v>736</v>
      </c>
      <c r="F8926" s="5" t="s">
        <v>737</v>
      </c>
      <c r="G8926" s="6" t="str">
        <f>VLOOKUP(E8926,dicionario!$A$1:$C9325,2,0)</f>
        <v>Chloris virgata</v>
      </c>
      <c r="H8926" s="6" t="str">
        <f>VLOOKUP(E8926,dicionario!$A$1:$C9325,3,0)</f>
        <v>capim-pavão</v>
      </c>
    </row>
    <row r="8927">
      <c r="A8927" s="3">
        <v>45771.0</v>
      </c>
      <c r="B8927" s="4">
        <v>0.2611111111111111</v>
      </c>
      <c r="C8927" s="5" t="s">
        <v>8</v>
      </c>
      <c r="D8927" s="5" t="s">
        <v>1390</v>
      </c>
      <c r="E8927" s="8" t="s">
        <v>286</v>
      </c>
      <c r="F8927" s="5" t="s">
        <v>287</v>
      </c>
      <c r="G8927" s="6" t="str">
        <f>VLOOKUP(E8927,dicionario!$A$1:$C9326,2,0)</f>
        <v>Setaria parviflora</v>
      </c>
      <c r="H8927" s="6" t="str">
        <f>VLOOKUP(E8927,dicionario!$A$1:$C9326,3,0)</f>
        <v>capim-rabo-de-raposa</v>
      </c>
    </row>
    <row r="8928">
      <c r="A8928" s="3">
        <v>45771.0</v>
      </c>
      <c r="B8928" s="4">
        <v>0.2611111111111111</v>
      </c>
      <c r="C8928" s="5" t="s">
        <v>8</v>
      </c>
      <c r="D8928" s="5" t="s">
        <v>1390</v>
      </c>
      <c r="E8928" s="6" t="s">
        <v>467</v>
      </c>
      <c r="F8928" s="5" t="s">
        <v>468</v>
      </c>
      <c r="G8928" s="6" t="str">
        <f>VLOOKUP(E8928,dicionario!$A$1:$C9327,2,0)</f>
        <v>Eleusine indica</v>
      </c>
      <c r="H8928" s="6" t="str">
        <f>VLOOKUP(E8928,dicionario!$A$1:$C9327,3,0)</f>
        <v>capim-pé-de-galinha</v>
      </c>
    </row>
    <row r="8929">
      <c r="A8929" s="3">
        <v>45771.0</v>
      </c>
      <c r="B8929" s="4">
        <v>0.2611111111111111</v>
      </c>
      <c r="C8929" s="5" t="s">
        <v>8</v>
      </c>
      <c r="D8929" s="5" t="s">
        <v>1390</v>
      </c>
      <c r="E8929" s="8" t="s">
        <v>163</v>
      </c>
      <c r="F8929" s="5" t="s">
        <v>164</v>
      </c>
      <c r="G8929" s="6" t="str">
        <f>VLOOKUP(E8929,dicionario!$A$1:$C9328,2,0)</f>
        <v>Coragyps atratus</v>
      </c>
      <c r="H8929" s="6" t="str">
        <f>VLOOKUP(E8929,dicionario!$A$1:$C9328,3,0)</f>
        <v>urubu-de-cabeça-preta</v>
      </c>
    </row>
    <row r="8930">
      <c r="A8930" s="3">
        <v>45771.0</v>
      </c>
      <c r="B8930" s="4">
        <v>0.2611111111111111</v>
      </c>
      <c r="C8930" s="5" t="s">
        <v>8</v>
      </c>
      <c r="D8930" s="5" t="s">
        <v>1390</v>
      </c>
      <c r="E8930" s="8" t="s">
        <v>253</v>
      </c>
      <c r="F8930" s="5" t="s">
        <v>254</v>
      </c>
      <c r="G8930" s="6" t="str">
        <f>VLOOKUP(E8930,dicionario!$A$1:$C9329,2,0)</f>
        <v>Panicum maximum</v>
      </c>
      <c r="H8930" s="6" t="str">
        <f>VLOOKUP(E8930,dicionario!$A$1:$C9329,3,0)</f>
        <v>capim-colonião</v>
      </c>
    </row>
    <row r="8931">
      <c r="A8931" s="3">
        <v>45771.0</v>
      </c>
      <c r="B8931" s="4">
        <v>0.2611111111111111</v>
      </c>
      <c r="C8931" s="5" t="s">
        <v>8</v>
      </c>
      <c r="D8931" s="5" t="s">
        <v>1390</v>
      </c>
      <c r="E8931" s="8" t="s">
        <v>338</v>
      </c>
      <c r="F8931" s="5" t="s">
        <v>238</v>
      </c>
      <c r="G8931" s="6" t="str">
        <f>VLOOKUP(E8931,dicionario!$A$1:$C9330,2,0)</f>
        <v>Atta</v>
      </c>
      <c r="H8931" s="6" t="str">
        <f>VLOOKUP(E8931,dicionario!$A$1:$C9330,3,0)</f>
        <v>saúva</v>
      </c>
    </row>
    <row r="8932">
      <c r="A8932" s="3">
        <v>45771.0</v>
      </c>
      <c r="B8932" s="4">
        <v>0.2611111111111111</v>
      </c>
      <c r="C8932" s="5" t="s">
        <v>8</v>
      </c>
      <c r="D8932" s="5" t="s">
        <v>1390</v>
      </c>
      <c r="E8932" s="8" t="s">
        <v>271</v>
      </c>
      <c r="F8932" s="5" t="s">
        <v>1169</v>
      </c>
      <c r="G8932" s="6" t="str">
        <f>VLOOKUP(E8932,dicionario!$A$1:$C9331,2,0)</f>
        <v>Cyanthillium cinereum</v>
      </c>
      <c r="H8932" s="6" t="str">
        <f>VLOOKUP(E8932,dicionario!$A$1:$C9331,3,0)</f>
        <v>emília</v>
      </c>
    </row>
    <row r="8933">
      <c r="A8933" s="3">
        <v>45771.0</v>
      </c>
      <c r="B8933" s="4">
        <v>0.26180555555555557</v>
      </c>
      <c r="C8933" s="5" t="s">
        <v>8</v>
      </c>
      <c r="D8933" s="5" t="s">
        <v>1390</v>
      </c>
      <c r="E8933" s="8" t="s">
        <v>146</v>
      </c>
      <c r="F8933" s="5" t="s">
        <v>147</v>
      </c>
      <c r="G8933" s="6" t="str">
        <f>VLOOKUP(E8933,dicionario!$A$1:$C9332,2,0)</f>
        <v>Euphorbia hirta</v>
      </c>
      <c r="H8933" s="6" t="str">
        <f>VLOOKUP(E8933,dicionario!$A$1:$C9332,3,0)</f>
        <v>erva-de-santa-luzia</v>
      </c>
    </row>
    <row r="8934">
      <c r="A8934" s="3">
        <v>45771.0</v>
      </c>
      <c r="B8934" s="4">
        <v>0.26180555555555557</v>
      </c>
      <c r="C8934" s="5" t="s">
        <v>8</v>
      </c>
      <c r="D8934" s="5" t="s">
        <v>1390</v>
      </c>
      <c r="E8934" s="8" t="s">
        <v>1377</v>
      </c>
      <c r="F8934" s="5" t="s">
        <v>1378</v>
      </c>
      <c r="G8934" s="6" t="str">
        <f>VLOOKUP(E8934,dicionario!$A$1:$C9333,2,0)</f>
        <v>#N/A</v>
      </c>
      <c r="H8934" s="6" t="str">
        <f>VLOOKUP(E8934,dicionario!$A$1:$C9333,3,0)</f>
        <v>#N/A</v>
      </c>
    </row>
    <row r="8935">
      <c r="A8935" s="3">
        <v>45771.0</v>
      </c>
      <c r="B8935" s="4">
        <v>0.26180555555555557</v>
      </c>
      <c r="C8935" s="5" t="s">
        <v>8</v>
      </c>
      <c r="D8935" s="5" t="s">
        <v>1390</v>
      </c>
      <c r="E8935" s="8" t="s">
        <v>1280</v>
      </c>
      <c r="F8935" s="5" t="s">
        <v>1156</v>
      </c>
      <c r="G8935" s="6" t="str">
        <f>VLOOKUP(E8935,dicionario!$A$1:$C9334,2,0)</f>
        <v>Paspalum notatum</v>
      </c>
      <c r="H8935" s="6" t="str">
        <f>VLOOKUP(E8935,dicionario!$A$1:$C9334,3,0)</f>
        <v>capim-forquilha</v>
      </c>
    </row>
    <row r="8936">
      <c r="A8936" s="3">
        <v>45771.0</v>
      </c>
      <c r="B8936" s="4">
        <v>0.26180555555555557</v>
      </c>
      <c r="C8936" s="5" t="s">
        <v>8</v>
      </c>
      <c r="D8936" s="5" t="s">
        <v>1390</v>
      </c>
      <c r="E8936" s="8" t="s">
        <v>758</v>
      </c>
      <c r="F8936" s="5" t="s">
        <v>759</v>
      </c>
      <c r="G8936" s="6" t="str">
        <f>VLOOKUP(E8936,dicionario!$A$1:$C9335,2,0)</f>
        <v>Cyperus esculentus</v>
      </c>
      <c r="H8936" s="6" t="str">
        <f>VLOOKUP(E8936,dicionario!$A$1:$C9335,3,0)</f>
        <v>tiriricão</v>
      </c>
    </row>
    <row r="8937">
      <c r="A8937" s="3">
        <v>45771.0</v>
      </c>
      <c r="B8937" s="4">
        <v>0.2625</v>
      </c>
      <c r="C8937" s="5" t="s">
        <v>8</v>
      </c>
      <c r="D8937" s="5" t="s">
        <v>1390</v>
      </c>
      <c r="E8937" s="8" t="s">
        <v>20</v>
      </c>
      <c r="F8937" s="5" t="s">
        <v>21</v>
      </c>
      <c r="G8937" s="6" t="str">
        <f>VLOOKUP(E8937,dicionario!$A$1:$C9336,2,0)</f>
        <v>Sicalis flaveola</v>
      </c>
      <c r="H8937" s="6" t="str">
        <f>VLOOKUP(E8937,dicionario!$A$1:$C9336,3,0)</f>
        <v>canário-da-terra</v>
      </c>
    </row>
    <row r="8938">
      <c r="A8938" s="3">
        <v>45771.0</v>
      </c>
      <c r="B8938" s="4">
        <v>0.2625</v>
      </c>
      <c r="C8938" s="5" t="s">
        <v>8</v>
      </c>
      <c r="D8938" s="5" t="s">
        <v>1390</v>
      </c>
      <c r="E8938" s="8" t="s">
        <v>498</v>
      </c>
      <c r="F8938" s="5" t="s">
        <v>499</v>
      </c>
      <c r="G8938" s="6" t="str">
        <f>VLOOKUP(E8938,dicionario!$A$1:$C9337,2,0)</f>
        <v>Brachiaria decumbens</v>
      </c>
      <c r="H8938" s="6" t="str">
        <f>VLOOKUP(E8938,dicionario!$A$1:$C9337,3,0)</f>
        <v>capim-braquiária</v>
      </c>
    </row>
    <row r="8939">
      <c r="A8939" s="3">
        <v>45771.0</v>
      </c>
      <c r="B8939" s="4">
        <v>0.2625</v>
      </c>
      <c r="C8939" s="5" t="s">
        <v>8</v>
      </c>
      <c r="D8939" s="5" t="s">
        <v>1390</v>
      </c>
      <c r="E8939" s="8" t="s">
        <v>1367</v>
      </c>
      <c r="F8939" s="5" t="s">
        <v>387</v>
      </c>
      <c r="G8939" s="6" t="str">
        <f>VLOOKUP(E8939,dicionario!$A$1:$C9338,2,0)</f>
        <v>#N/A</v>
      </c>
      <c r="H8939" s="6" t="str">
        <f>VLOOKUP(E8939,dicionario!$A$1:$C9338,3,0)</f>
        <v>#N/A</v>
      </c>
    </row>
    <row r="8940">
      <c r="A8940" s="3">
        <v>45771.0</v>
      </c>
      <c r="B8940" s="4">
        <v>0.26319444444444445</v>
      </c>
      <c r="C8940" s="5" t="s">
        <v>8</v>
      </c>
      <c r="D8940" s="5" t="s">
        <v>1390</v>
      </c>
      <c r="E8940" s="8" t="s">
        <v>38</v>
      </c>
      <c r="F8940" s="5" t="s">
        <v>1251</v>
      </c>
      <c r="G8940" s="6" t="str">
        <f>VLOOKUP(E8940,dicionario!$A$1:$C9339,2,0)</f>
        <v>Troglodytes musculus</v>
      </c>
      <c r="H8940" s="6" t="str">
        <f>VLOOKUP(E8940,dicionario!$A$1:$C9339,3,0)</f>
        <v>curruíra</v>
      </c>
    </row>
    <row r="8941">
      <c r="A8941" s="3">
        <v>45771.0</v>
      </c>
      <c r="B8941" s="4">
        <v>0.26319444444444445</v>
      </c>
      <c r="C8941" s="5" t="s">
        <v>8</v>
      </c>
      <c r="D8941" s="5" t="s">
        <v>1390</v>
      </c>
      <c r="E8941" s="8" t="s">
        <v>88</v>
      </c>
      <c r="F8941" s="5" t="s">
        <v>89</v>
      </c>
      <c r="G8941" s="6" t="str">
        <f>VLOOKUP(E8941,dicionario!$A$1:$C9340,2,0)</f>
        <v>Tyrannus melancolichus</v>
      </c>
      <c r="H8941" s="6" t="str">
        <f>VLOOKUP(E8941,dicionario!$A$1:$C9340,3,0)</f>
        <v>suiriri</v>
      </c>
    </row>
    <row r="8942">
      <c r="A8942" s="3">
        <v>45771.0</v>
      </c>
      <c r="B8942" s="4">
        <v>0.26319444444444445</v>
      </c>
      <c r="C8942" s="5" t="s">
        <v>8</v>
      </c>
      <c r="D8942" s="5" t="s">
        <v>1390</v>
      </c>
      <c r="E8942" s="8" t="s">
        <v>1084</v>
      </c>
      <c r="F8942" s="5" t="s">
        <v>224</v>
      </c>
      <c r="G8942" s="6" t="str">
        <f>VLOOKUP(E8942,dicionario!$A$1:$C9341,2,0)</f>
        <v>#N/A</v>
      </c>
      <c r="H8942" s="6" t="str">
        <f>VLOOKUP(E8942,dicionario!$A$1:$C9341,3,0)</f>
        <v>#N/A</v>
      </c>
    </row>
    <row r="8943">
      <c r="A8943" s="3">
        <v>45771.0</v>
      </c>
      <c r="B8943" s="4">
        <v>0.26319444444444445</v>
      </c>
      <c r="C8943" s="5" t="s">
        <v>8</v>
      </c>
      <c r="D8943" s="5" t="s">
        <v>1390</v>
      </c>
      <c r="E8943" s="8" t="s">
        <v>712</v>
      </c>
      <c r="F8943" s="5" t="s">
        <v>718</v>
      </c>
      <c r="G8943" s="6" t="str">
        <f>VLOOKUP(E8943,dicionario!$A$1:$C9342,2,0)</f>
        <v>Flavopunctelia soredica</v>
      </c>
      <c r="H8943" s="6" t="str">
        <f>VLOOKUP(E8943,dicionario!$A$1:$C9342,3,0)</f>
        <v>líquen-folioso</v>
      </c>
    </row>
    <row r="8944">
      <c r="A8944" s="3">
        <v>45771.0</v>
      </c>
      <c r="B8944" s="4">
        <v>0.2638888888888889</v>
      </c>
      <c r="C8944" s="5" t="s">
        <v>8</v>
      </c>
      <c r="D8944" s="5" t="s">
        <v>1390</v>
      </c>
      <c r="E8944" s="8" t="s">
        <v>719</v>
      </c>
      <c r="F8944" s="5" t="s">
        <v>720</v>
      </c>
      <c r="G8944" s="6" t="str">
        <f>VLOOKUP(E8944,dicionario!$A$1:$C9343,2,0)</f>
        <v>Dirinaria</v>
      </c>
      <c r="H8944" s="6" t="str">
        <f>VLOOKUP(E8944,dicionario!$A$1:$C9343,3,0)</f>
        <v>líquen-crostoso</v>
      </c>
    </row>
    <row r="8945">
      <c r="A8945" s="3">
        <v>45771.0</v>
      </c>
      <c r="B8945" s="4">
        <v>0.2638888888888889</v>
      </c>
      <c r="C8945" s="5" t="s">
        <v>8</v>
      </c>
      <c r="D8945" s="5" t="s">
        <v>1390</v>
      </c>
      <c r="E8945" s="8" t="s">
        <v>107</v>
      </c>
      <c r="F8945" s="5" t="s">
        <v>834</v>
      </c>
      <c r="G8945" s="6" t="str">
        <f>VLOOKUP(E8945,dicionario!$A$1:$C9344,2,0)</f>
        <v>Ramalina complanata</v>
      </c>
      <c r="H8945" s="6" t="str">
        <f>VLOOKUP(E8945,dicionario!$A$1:$C9344,3,0)</f>
        <v>ramalina</v>
      </c>
    </row>
    <row r="8946">
      <c r="A8946" s="3">
        <v>45771.0</v>
      </c>
      <c r="B8946" s="4">
        <v>0.2638888888888889</v>
      </c>
      <c r="C8946" s="5" t="s">
        <v>8</v>
      </c>
      <c r="D8946" s="5" t="s">
        <v>1390</v>
      </c>
      <c r="E8946" s="8" t="s">
        <v>103</v>
      </c>
      <c r="F8946" s="5" t="s">
        <v>104</v>
      </c>
      <c r="G8946" s="6" t="str">
        <f>VLOOKUP(E8946,dicionario!$A$1:$C9345,2,0)</f>
        <v>Caracara plancus</v>
      </c>
      <c r="H8946" s="6" t="str">
        <f>VLOOKUP(E8946,dicionario!$A$1:$C9345,3,0)</f>
        <v>carcará </v>
      </c>
    </row>
    <row r="8947">
      <c r="A8947" s="3">
        <v>45771.0</v>
      </c>
      <c r="B8947" s="4">
        <v>0.26458333333333334</v>
      </c>
      <c r="C8947" s="5" t="s">
        <v>8</v>
      </c>
      <c r="D8947" s="5" t="s">
        <v>1390</v>
      </c>
      <c r="E8947" s="8" t="s">
        <v>353</v>
      </c>
      <c r="F8947" s="5" t="s">
        <v>354</v>
      </c>
      <c r="G8947" s="6" t="str">
        <f>VLOOKUP(E8947,dicionario!$A$1:$C9346,2,0)</f>
        <v>Desmodium incanum</v>
      </c>
      <c r="H8947" s="6" t="str">
        <f>VLOOKUP(E8947,dicionario!$A$1:$C9346,3,0)</f>
        <v>pega-pega</v>
      </c>
    </row>
    <row r="8948">
      <c r="A8948" s="3">
        <v>45771.0</v>
      </c>
      <c r="B8948" s="4">
        <v>0.26458333333333334</v>
      </c>
      <c r="C8948" s="5" t="s">
        <v>8</v>
      </c>
      <c r="D8948" s="5" t="s">
        <v>1390</v>
      </c>
      <c r="E8948" s="8" t="s">
        <v>1386</v>
      </c>
      <c r="F8948" s="5" t="s">
        <v>484</v>
      </c>
      <c r="G8948" s="6" t="str">
        <f>VLOOKUP(E8948,dicionario!$A$1:$C9347,2,0)</f>
        <v>#N/A</v>
      </c>
      <c r="H8948" s="6" t="str">
        <f>VLOOKUP(E8948,dicionario!$A$1:$C9347,3,0)</f>
        <v>#N/A</v>
      </c>
    </row>
    <row r="8949">
      <c r="A8949" s="3">
        <v>45771.0</v>
      </c>
      <c r="B8949" s="4">
        <v>0.2652777777777778</v>
      </c>
      <c r="C8949" s="5" t="s">
        <v>8</v>
      </c>
      <c r="D8949" s="5" t="s">
        <v>1390</v>
      </c>
      <c r="E8949" s="8" t="s">
        <v>298</v>
      </c>
      <c r="F8949" s="7"/>
      <c r="G8949" s="6" t="str">
        <f>VLOOKUP(E8949,dicionario!$A$1:$C9348,2,0)</f>
        <v>Alysicarpus vaginalis</v>
      </c>
      <c r="H8949" s="6" t="str">
        <f>VLOOKUP(E8949,dicionario!$A$1:$C9348,3,0)</f>
        <v/>
      </c>
    </row>
    <row r="8950">
      <c r="A8950" s="3">
        <v>45771.0</v>
      </c>
      <c r="B8950" s="4">
        <v>0.2659722222222222</v>
      </c>
      <c r="C8950" s="5" t="s">
        <v>8</v>
      </c>
      <c r="D8950" s="5" t="s">
        <v>1390</v>
      </c>
      <c r="E8950" s="8" t="s">
        <v>46</v>
      </c>
      <c r="F8950" s="5" t="s">
        <v>47</v>
      </c>
      <c r="G8950" s="6" t="str">
        <f>VLOOKUP(E8950,dicionario!$A$1:$C9349,2,0)</f>
        <v>Chionomesa fimbriata</v>
      </c>
      <c r="H8950" s="6" t="str">
        <f>VLOOKUP(E8950,dicionario!$A$1:$C9349,3,0)</f>
        <v>beija-flor-de-garganta-verde</v>
      </c>
    </row>
    <row r="8951">
      <c r="A8951" s="3">
        <v>45771.0</v>
      </c>
      <c r="B8951" s="4">
        <v>0.26666666666666666</v>
      </c>
      <c r="C8951" s="5" t="s">
        <v>26</v>
      </c>
      <c r="D8951" s="5" t="s">
        <v>1390</v>
      </c>
      <c r="E8951" s="8" t="s">
        <v>200</v>
      </c>
      <c r="F8951" s="5" t="s">
        <v>201</v>
      </c>
      <c r="G8951" s="6" t="str">
        <f>VLOOKUP(E8951,dicionario!$A$1:$C9350,2,0)</f>
        <v>Columbina picui </v>
      </c>
      <c r="H8951" s="6" t="str">
        <f>VLOOKUP(E8951,dicionario!$A$1:$C9350,3,0)</f>
        <v>rolinha-picuí</v>
      </c>
    </row>
    <row r="8952">
      <c r="A8952" s="3">
        <v>45771.0</v>
      </c>
      <c r="B8952" s="4">
        <v>0.26666666666666666</v>
      </c>
      <c r="C8952" s="5" t="s">
        <v>26</v>
      </c>
      <c r="D8952" s="5" t="s">
        <v>1390</v>
      </c>
      <c r="E8952" s="8" t="s">
        <v>217</v>
      </c>
      <c r="F8952" s="5" t="s">
        <v>1411</v>
      </c>
      <c r="G8952" s="6" t="str">
        <f>VLOOKUP(E8952,dicionario!$A$1:$C9351,2,0)</f>
        <v>Athene cunicularia</v>
      </c>
      <c r="H8952" s="6" t="str">
        <f>VLOOKUP(E8952,dicionario!$A$1:$C9351,3,0)</f>
        <v>coruja-buraqueira</v>
      </c>
    </row>
    <row r="8953">
      <c r="A8953" s="3">
        <v>45771.0</v>
      </c>
      <c r="B8953" s="4">
        <v>0.26666666666666666</v>
      </c>
      <c r="C8953" s="5" t="s">
        <v>26</v>
      </c>
      <c r="D8953" s="5" t="s">
        <v>1390</v>
      </c>
      <c r="E8953" s="8" t="s">
        <v>1087</v>
      </c>
      <c r="F8953" s="5" t="s">
        <v>1088</v>
      </c>
      <c r="G8953" s="6" t="str">
        <f>VLOOKUP(E8953,dicionario!$A$1:$C9352,2,0)</f>
        <v>Desmodium triflorum</v>
      </c>
      <c r="H8953" s="6" t="str">
        <f>VLOOKUP(E8953,dicionario!$A$1:$C9352,3,0)</f>
        <v/>
      </c>
    </row>
    <row r="8954">
      <c r="A8954" s="3">
        <v>45771.0</v>
      </c>
      <c r="B8954" s="4">
        <v>0.26666666666666666</v>
      </c>
      <c r="C8954" s="5" t="s">
        <v>26</v>
      </c>
      <c r="D8954" s="5" t="s">
        <v>1390</v>
      </c>
      <c r="E8954" s="8" t="s">
        <v>360</v>
      </c>
      <c r="F8954" s="5" t="s">
        <v>361</v>
      </c>
      <c r="G8954" s="6" t="str">
        <f>VLOOKUP(E8954,dicionario!$A$1:$C9353,2,0)</f>
        <v>Chamaecrista rotundifolia</v>
      </c>
      <c r="H8954" s="6" t="str">
        <f>VLOOKUP(E8954,dicionario!$A$1:$C9353,3,0)</f>
        <v>alfafa-nativa</v>
      </c>
    </row>
    <row r="8955">
      <c r="A8955" s="3">
        <v>45771.0</v>
      </c>
      <c r="B8955" s="4">
        <v>0.2673611111111111</v>
      </c>
      <c r="C8955" s="5" t="s">
        <v>26</v>
      </c>
      <c r="D8955" s="5" t="s">
        <v>1390</v>
      </c>
      <c r="E8955" s="20" t="s">
        <v>676</v>
      </c>
      <c r="F8955" s="5" t="s">
        <v>677</v>
      </c>
      <c r="G8955" s="6" t="str">
        <f>VLOOKUP(E8955,dicionario!$A$1:$C9354,2,0)</f>
        <v>Zornia latifolia</v>
      </c>
      <c r="H8955" s="6" t="str">
        <f>VLOOKUP(E8955,dicionario!$A$1:$C9354,3,0)</f>
        <v>arrozinho-do-campo</v>
      </c>
    </row>
    <row r="8956">
      <c r="A8956" s="3">
        <v>45771.0</v>
      </c>
      <c r="B8956" s="4">
        <v>0.2673611111111111</v>
      </c>
      <c r="C8956" s="5" t="s">
        <v>26</v>
      </c>
      <c r="D8956" s="5" t="s">
        <v>1390</v>
      </c>
      <c r="E8956" s="8" t="s">
        <v>51</v>
      </c>
      <c r="F8956" s="5" t="s">
        <v>77</v>
      </c>
      <c r="G8956" s="6" t="str">
        <f>VLOOKUP(E8956,dicionario!$A$1:$C9355,2,0)</f>
        <v>Solenopsis</v>
      </c>
      <c r="H8956" s="6" t="str">
        <f>VLOOKUP(E8956,dicionario!$A$1:$C9355,3,0)</f>
        <v>formiga-quente; formiga-lava-pés; formiga-de-fogo</v>
      </c>
    </row>
    <row r="8957">
      <c r="A8957" s="3">
        <v>45771.0</v>
      </c>
      <c r="B8957" s="4">
        <v>0.26805555555555555</v>
      </c>
      <c r="C8957" s="5" t="s">
        <v>26</v>
      </c>
      <c r="D8957" s="5" t="s">
        <v>1390</v>
      </c>
      <c r="E8957" s="8" t="s">
        <v>1280</v>
      </c>
      <c r="F8957" s="5" t="s">
        <v>1156</v>
      </c>
      <c r="G8957" s="6" t="str">
        <f>VLOOKUP(E8957,dicionario!$A$1:$C9356,2,0)</f>
        <v>Paspalum notatum</v>
      </c>
      <c r="H8957" s="6" t="str">
        <f>VLOOKUP(E8957,dicionario!$A$1:$C9356,3,0)</f>
        <v>capim-forquilha</v>
      </c>
    </row>
    <row r="8958">
      <c r="A8958" s="3">
        <v>45771.0</v>
      </c>
      <c r="B8958" s="4">
        <v>0.26805555555555555</v>
      </c>
      <c r="C8958" s="5" t="s">
        <v>26</v>
      </c>
      <c r="D8958" s="5" t="s">
        <v>1390</v>
      </c>
      <c r="E8958" s="8" t="s">
        <v>60</v>
      </c>
      <c r="F8958" s="5" t="s">
        <v>61</v>
      </c>
      <c r="G8958" s="6" t="str">
        <f>VLOOKUP(E8958,dicionario!$A$1:$C9357,2,0)</f>
        <v>Vanellus chilensis</v>
      </c>
      <c r="H8958" s="6" t="str">
        <f>VLOOKUP(E8958,dicionario!$A$1:$C9357,3,0)</f>
        <v>quero-quero</v>
      </c>
    </row>
    <row r="8959">
      <c r="A8959" s="3">
        <v>45771.0</v>
      </c>
      <c r="B8959" s="4">
        <v>0.26805555555555555</v>
      </c>
      <c r="C8959" s="5" t="s">
        <v>26</v>
      </c>
      <c r="D8959" s="5" t="s">
        <v>1390</v>
      </c>
      <c r="E8959" s="8" t="s">
        <v>163</v>
      </c>
      <c r="F8959" s="5" t="s">
        <v>164</v>
      </c>
      <c r="G8959" s="6" t="str">
        <f>VLOOKUP(E8959,dicionario!$A$1:$C9358,2,0)</f>
        <v>Coragyps atratus</v>
      </c>
      <c r="H8959" s="6" t="str">
        <f>VLOOKUP(E8959,dicionario!$A$1:$C9358,3,0)</f>
        <v>urubu-de-cabeça-preta</v>
      </c>
    </row>
    <row r="8960">
      <c r="A8960" s="3">
        <v>45771.0</v>
      </c>
      <c r="B8960" s="4">
        <v>0.26875</v>
      </c>
      <c r="C8960" s="5" t="s">
        <v>26</v>
      </c>
      <c r="D8960" s="5" t="s">
        <v>1390</v>
      </c>
      <c r="E8960" s="8" t="s">
        <v>353</v>
      </c>
      <c r="F8960" s="5" t="s">
        <v>354</v>
      </c>
      <c r="G8960" s="6" t="str">
        <f>VLOOKUP(E8960,dicionario!$A$1:$C9359,2,0)</f>
        <v>Desmodium incanum</v>
      </c>
      <c r="H8960" s="6" t="str">
        <f>VLOOKUP(E8960,dicionario!$A$1:$C9359,3,0)</f>
        <v>pega-pega</v>
      </c>
    </row>
    <row r="8961">
      <c r="A8961" s="3">
        <v>45771.0</v>
      </c>
      <c r="B8961" s="4">
        <v>0.26875</v>
      </c>
      <c r="C8961" s="5" t="s">
        <v>26</v>
      </c>
      <c r="D8961" s="5" t="s">
        <v>1390</v>
      </c>
      <c r="E8961" s="8" t="s">
        <v>498</v>
      </c>
      <c r="F8961" s="5" t="s">
        <v>499</v>
      </c>
      <c r="G8961" s="6" t="str">
        <f>VLOOKUP(E8961,dicionario!$A$1:$C9360,2,0)</f>
        <v>Brachiaria decumbens</v>
      </c>
      <c r="H8961" s="6" t="str">
        <f>VLOOKUP(E8961,dicionario!$A$1:$C9360,3,0)</f>
        <v>capim-braquiária</v>
      </c>
    </row>
    <row r="8962">
      <c r="A8962" s="3">
        <v>45771.0</v>
      </c>
      <c r="B8962" s="4">
        <v>0.26875</v>
      </c>
      <c r="C8962" s="5" t="s">
        <v>26</v>
      </c>
      <c r="D8962" s="5" t="s">
        <v>1390</v>
      </c>
      <c r="E8962" s="8" t="s">
        <v>118</v>
      </c>
      <c r="F8962" s="5" t="s">
        <v>119</v>
      </c>
      <c r="G8962" s="6" t="str">
        <f>VLOOKUP(E8962,dicionario!$A$1:$C9361,2,0)</f>
        <v>Agaricus</v>
      </c>
      <c r="H8962" s="6" t="str">
        <f>VLOOKUP(E8962,dicionario!$A$1:$C9361,3,0)</f>
        <v>cogumelo</v>
      </c>
    </row>
    <row r="8963">
      <c r="A8963" s="3">
        <v>45771.0</v>
      </c>
      <c r="B8963" s="4">
        <v>0.2708333333333333</v>
      </c>
      <c r="C8963" s="5" t="s">
        <v>26</v>
      </c>
      <c r="D8963" s="5" t="s">
        <v>1390</v>
      </c>
      <c r="E8963" s="8" t="s">
        <v>109</v>
      </c>
      <c r="F8963" s="5" t="s">
        <v>110</v>
      </c>
      <c r="G8963" s="6" t="str">
        <f>VLOOKUP(E8963,dicionario!$A$1:$C9362,2,0)</f>
        <v>Tillandsia stricta</v>
      </c>
      <c r="H8963" s="6" t="str">
        <f>VLOOKUP(E8963,dicionario!$A$1:$C9362,3,0)</f>
        <v>cravo-do-mato</v>
      </c>
    </row>
    <row r="8964">
      <c r="A8964" s="3">
        <v>45771.0</v>
      </c>
      <c r="B8964" s="4">
        <v>0.27152777777777776</v>
      </c>
      <c r="C8964" s="5" t="s">
        <v>26</v>
      </c>
      <c r="D8964" s="5" t="s">
        <v>1390</v>
      </c>
      <c r="E8964" s="8" t="s">
        <v>966</v>
      </c>
      <c r="F8964" s="5" t="s">
        <v>967</v>
      </c>
      <c r="G8964" s="6" t="str">
        <f>VLOOKUP(E8964,dicionario!$A$1:$C9363,2,0)</f>
        <v>Portulaca halimoides</v>
      </c>
      <c r="H8964" s="6" t="str">
        <f>VLOOKUP(E8964,dicionario!$A$1:$C9363,3,0)</f>
        <v>beldroega-de-seda</v>
      </c>
    </row>
    <row r="8965">
      <c r="A8965" s="3">
        <v>45771.0</v>
      </c>
      <c r="B8965" s="4">
        <v>0.2722222222222222</v>
      </c>
      <c r="C8965" s="5" t="s">
        <v>26</v>
      </c>
      <c r="D8965" s="5" t="s">
        <v>1390</v>
      </c>
      <c r="E8965" s="8" t="s">
        <v>302</v>
      </c>
      <c r="F8965" s="5" t="s">
        <v>303</v>
      </c>
      <c r="G8965" s="6" t="str">
        <f>VLOOKUP(E8965,dicionario!$A$1:$C9364,2,0)</f>
        <v>Machetornis rixosa</v>
      </c>
      <c r="H8965" s="6" t="str">
        <f>VLOOKUP(E8965,dicionario!$A$1:$C9364,3,0)</f>
        <v>suiriri-cavaleiro</v>
      </c>
    </row>
    <row r="8966">
      <c r="A8966" s="3">
        <v>45771.0</v>
      </c>
      <c r="B8966" s="4">
        <v>0.2722222222222222</v>
      </c>
      <c r="C8966" s="5" t="s">
        <v>26</v>
      </c>
      <c r="D8966" s="5" t="s">
        <v>1390</v>
      </c>
      <c r="E8966" s="8" t="s">
        <v>239</v>
      </c>
      <c r="F8966" s="5" t="s">
        <v>240</v>
      </c>
      <c r="G8966" s="6" t="str">
        <f>VLOOKUP(E8966,dicionario!$A$1:$C9365,2,0)</f>
        <v>Gomphrena celosioides</v>
      </c>
      <c r="H8966" s="6" t="str">
        <f>VLOOKUP(E8966,dicionario!$A$1:$C9365,3,0)</f>
        <v>perpétua-branca</v>
      </c>
    </row>
    <row r="8967">
      <c r="A8967" s="3">
        <v>45771.0</v>
      </c>
      <c r="B8967" s="4">
        <v>0.27291666666666664</v>
      </c>
      <c r="C8967" s="5" t="s">
        <v>26</v>
      </c>
      <c r="D8967" s="5" t="s">
        <v>1390</v>
      </c>
      <c r="E8967" s="8" t="s">
        <v>144</v>
      </c>
      <c r="F8967" s="5" t="s">
        <v>145</v>
      </c>
      <c r="G8967" s="6" t="str">
        <f>VLOOKUP(E8967,dicionario!$A$1:$C9366,2,0)</f>
        <v>Gomphrena globosa</v>
      </c>
      <c r="H8967" s="6" t="str">
        <f>VLOOKUP(E8967,dicionario!$A$1:$C9366,3,0)</f>
        <v>perpétua-rosa</v>
      </c>
    </row>
    <row r="8968">
      <c r="A8968" s="3">
        <v>45771.0</v>
      </c>
      <c r="B8968" s="4">
        <v>0.27291666666666664</v>
      </c>
      <c r="C8968" s="5" t="s">
        <v>26</v>
      </c>
      <c r="D8968" s="5" t="s">
        <v>1390</v>
      </c>
      <c r="E8968" s="8" t="s">
        <v>109</v>
      </c>
      <c r="F8968" s="5" t="s">
        <v>110</v>
      </c>
      <c r="G8968" s="6" t="str">
        <f>VLOOKUP(E8968,dicionario!$A$1:$C9367,2,0)</f>
        <v>Tillandsia stricta</v>
      </c>
      <c r="H8968" s="6" t="str">
        <f>VLOOKUP(E8968,dicionario!$A$1:$C9367,3,0)</f>
        <v>cravo-do-mato</v>
      </c>
    </row>
    <row r="8969">
      <c r="A8969" s="3">
        <v>45771.0</v>
      </c>
      <c r="B8969" s="4">
        <v>0.275</v>
      </c>
      <c r="C8969" s="5" t="s">
        <v>33</v>
      </c>
      <c r="D8969" s="5" t="s">
        <v>1390</v>
      </c>
      <c r="E8969" s="8" t="s">
        <v>712</v>
      </c>
      <c r="F8969" s="5" t="s">
        <v>718</v>
      </c>
      <c r="G8969" s="6" t="str">
        <f>VLOOKUP(E8969,dicionario!$A$1:$C9368,2,0)</f>
        <v>Flavopunctelia soredica</v>
      </c>
      <c r="H8969" s="6" t="str">
        <f>VLOOKUP(E8969,dicionario!$A$1:$C9368,3,0)</f>
        <v>líquen-folioso</v>
      </c>
    </row>
    <row r="8970">
      <c r="A8970" s="3">
        <v>45771.0</v>
      </c>
      <c r="B8970" s="4">
        <v>0.275</v>
      </c>
      <c r="C8970" s="5" t="s">
        <v>33</v>
      </c>
      <c r="D8970" s="5" t="s">
        <v>1390</v>
      </c>
      <c r="E8970" s="8" t="s">
        <v>719</v>
      </c>
      <c r="F8970" s="5" t="s">
        <v>720</v>
      </c>
      <c r="G8970" s="6" t="str">
        <f>VLOOKUP(E8970,dicionario!$A$1:$C9369,2,0)</f>
        <v>Dirinaria</v>
      </c>
      <c r="H8970" s="6" t="str">
        <f>VLOOKUP(E8970,dicionario!$A$1:$C9369,3,0)</f>
        <v>líquen-crostoso</v>
      </c>
    </row>
    <row r="8971">
      <c r="A8971" s="3">
        <v>45771.0</v>
      </c>
      <c r="B8971" s="4">
        <v>0.27569444444444446</v>
      </c>
      <c r="C8971" s="5" t="s">
        <v>33</v>
      </c>
      <c r="D8971" s="5" t="s">
        <v>1390</v>
      </c>
      <c r="E8971" s="8" t="s">
        <v>271</v>
      </c>
      <c r="F8971" s="5" t="s">
        <v>1169</v>
      </c>
      <c r="G8971" s="6" t="str">
        <f>VLOOKUP(E8971,dicionario!$A$1:$C9370,2,0)</f>
        <v>Cyanthillium cinereum</v>
      </c>
      <c r="H8971" s="6" t="str">
        <f>VLOOKUP(E8971,dicionario!$A$1:$C9370,3,0)</f>
        <v>emília</v>
      </c>
    </row>
    <row r="8972">
      <c r="A8972" s="3">
        <v>45771.0</v>
      </c>
      <c r="B8972" s="4">
        <v>0.2763888888888889</v>
      </c>
      <c r="C8972" s="5" t="s">
        <v>33</v>
      </c>
      <c r="D8972" s="5" t="s">
        <v>1390</v>
      </c>
      <c r="E8972" s="8" t="s">
        <v>65</v>
      </c>
      <c r="F8972" s="5" t="s">
        <v>66</v>
      </c>
      <c r="G8972" s="6" t="str">
        <f>VLOOKUP(E8972,dicionario!$A$1:$C9371,2,0)</f>
        <v>Pitangus sulphutarus</v>
      </c>
      <c r="H8972" s="6" t="str">
        <f>VLOOKUP(E8972,dicionario!$A$1:$C9371,3,0)</f>
        <v>bem-te-vi</v>
      </c>
    </row>
    <row r="8973">
      <c r="A8973" s="3">
        <v>45771.0</v>
      </c>
      <c r="B8973" s="4">
        <v>0.27708333333333335</v>
      </c>
      <c r="C8973" s="5" t="s">
        <v>33</v>
      </c>
      <c r="D8973" s="5" t="s">
        <v>1390</v>
      </c>
      <c r="E8973" s="8" t="s">
        <v>849</v>
      </c>
      <c r="F8973" s="7" t="s">
        <v>518</v>
      </c>
      <c r="G8973" s="6" t="str">
        <f>VLOOKUP(E8973,dicionario!$A$1:$C9372,2,0)</f>
        <v>#N/A</v>
      </c>
      <c r="H8973" s="6" t="str">
        <f>VLOOKUP(E8973,dicionario!$A$1:$C9372,3,0)</f>
        <v>#N/A</v>
      </c>
    </row>
    <row r="8974">
      <c r="A8974" s="3">
        <v>45771.0</v>
      </c>
      <c r="B8974" s="4">
        <v>0.2777777777777778</v>
      </c>
      <c r="C8974" s="5" t="s">
        <v>33</v>
      </c>
      <c r="D8974" s="5" t="s">
        <v>1390</v>
      </c>
      <c r="E8974" s="8" t="s">
        <v>154</v>
      </c>
      <c r="F8974" s="5" t="s">
        <v>155</v>
      </c>
      <c r="G8974" s="6" t="str">
        <f>VLOOKUP(E8974,dicionario!$A$1:$C9373,2,0)</f>
        <v>Cyperus rotundus</v>
      </c>
      <c r="H8974" s="6" t="str">
        <f>VLOOKUP(E8974,dicionario!$A$1:$C9373,3,0)</f>
        <v>tiririca</v>
      </c>
    </row>
    <row r="8975">
      <c r="A8975" s="3">
        <v>45771.0</v>
      </c>
      <c r="B8975" s="4">
        <v>0.27847222222222223</v>
      </c>
      <c r="C8975" s="5" t="s">
        <v>33</v>
      </c>
      <c r="D8975" s="5" t="s">
        <v>1390</v>
      </c>
      <c r="E8975" s="8" t="s">
        <v>1084</v>
      </c>
      <c r="F8975" s="5" t="s">
        <v>224</v>
      </c>
      <c r="G8975" s="6" t="str">
        <f>VLOOKUP(E8975,dicionario!$A$1:$C9374,2,0)</f>
        <v>#N/A</v>
      </c>
      <c r="H8975" s="6" t="str">
        <f>VLOOKUP(E8975,dicionario!$A$1:$C9374,3,0)</f>
        <v>#N/A</v>
      </c>
    </row>
    <row r="8976">
      <c r="A8976" s="3">
        <v>45771.0</v>
      </c>
      <c r="B8976" s="4">
        <v>0.27847222222222223</v>
      </c>
      <c r="C8976" s="5" t="s">
        <v>33</v>
      </c>
      <c r="D8976" s="5" t="s">
        <v>1390</v>
      </c>
      <c r="E8976" s="8" t="s">
        <v>38</v>
      </c>
      <c r="F8976" s="5" t="s">
        <v>1251</v>
      </c>
      <c r="G8976" s="6" t="str">
        <f>VLOOKUP(E8976,dicionario!$A$1:$C9375,2,0)</f>
        <v>Troglodytes musculus</v>
      </c>
      <c r="H8976" s="6" t="str">
        <f>VLOOKUP(E8976,dicionario!$A$1:$C9375,3,0)</f>
        <v>curruíra</v>
      </c>
    </row>
    <row r="8977">
      <c r="A8977" s="3">
        <v>45771.0</v>
      </c>
      <c r="B8977" s="4">
        <v>0.27847222222222223</v>
      </c>
      <c r="C8977" s="5" t="s">
        <v>33</v>
      </c>
      <c r="D8977" s="5" t="s">
        <v>1390</v>
      </c>
      <c r="E8977" s="8" t="s">
        <v>122</v>
      </c>
      <c r="F8977" s="5" t="s">
        <v>123</v>
      </c>
      <c r="G8977" s="6" t="str">
        <f>VLOOKUP(E8977,dicionario!$A$1:$C9376,2,0)</f>
        <v>Todirostrum cinereum</v>
      </c>
      <c r="H8977" s="6" t="str">
        <f>VLOOKUP(E8977,dicionario!$A$1:$C9376,3,0)</f>
        <v>ferreirinho-relógio</v>
      </c>
    </row>
    <row r="8978">
      <c r="A8978" s="3">
        <v>45771.0</v>
      </c>
      <c r="B8978" s="4">
        <v>0.2791666666666667</v>
      </c>
      <c r="C8978" s="5" t="s">
        <v>33</v>
      </c>
      <c r="D8978" s="5" t="s">
        <v>1390</v>
      </c>
      <c r="E8978" s="6" t="s">
        <v>471</v>
      </c>
      <c r="F8978" s="5" t="s">
        <v>472</v>
      </c>
      <c r="G8978" s="6" t="str">
        <f>VLOOKUP(E8978,dicionario!$A$1:$C9377,2,0)</f>
        <v>Sida acuta</v>
      </c>
      <c r="H8978" s="6" t="str">
        <f>VLOOKUP(E8978,dicionario!$A$1:$C9377,3,0)</f>
        <v>reloginho</v>
      </c>
    </row>
    <row r="8979">
      <c r="A8979" s="3">
        <v>45771.0</v>
      </c>
      <c r="B8979" s="4">
        <v>0.2798611111111111</v>
      </c>
      <c r="C8979" s="5" t="s">
        <v>33</v>
      </c>
      <c r="D8979" s="5" t="s">
        <v>1390</v>
      </c>
      <c r="E8979" s="6" t="s">
        <v>86</v>
      </c>
      <c r="F8979" s="5" t="s">
        <v>502</v>
      </c>
      <c r="G8979" s="6" t="str">
        <f>VLOOKUP(E8979,dicionario!$A$1:$C9378,2,0)</f>
        <v>Coereba flaveola</v>
      </c>
      <c r="H8979" s="6" t="str">
        <f>VLOOKUP(E8979,dicionario!$A$1:$C9378,3,0)</f>
        <v>cambacica</v>
      </c>
    </row>
    <row r="8980">
      <c r="A8980" s="3">
        <v>45771.0</v>
      </c>
      <c r="B8980" s="4">
        <v>0.2798611111111111</v>
      </c>
      <c r="C8980" s="5" t="s">
        <v>33</v>
      </c>
      <c r="D8980" s="5" t="s">
        <v>1390</v>
      </c>
      <c r="E8980" s="8" t="s">
        <v>1285</v>
      </c>
      <c r="F8980" s="5" t="s">
        <v>1128</v>
      </c>
      <c r="G8980" s="6" t="str">
        <f>VLOOKUP(E8980,dicionario!$A$1:$C9379,2,0)</f>
        <v>#N/A</v>
      </c>
      <c r="H8980" s="6" t="str">
        <f>VLOOKUP(E8980,dicionario!$A$1:$C9379,3,0)</f>
        <v>#N/A</v>
      </c>
    </row>
    <row r="8981">
      <c r="A8981" s="3">
        <v>45771.0</v>
      </c>
      <c r="B8981" s="4">
        <v>0.2798611111111111</v>
      </c>
      <c r="C8981" s="5" t="s">
        <v>33</v>
      </c>
      <c r="D8981" s="5" t="s">
        <v>1390</v>
      </c>
      <c r="E8981" s="8" t="s">
        <v>103</v>
      </c>
      <c r="F8981" s="5" t="s">
        <v>104</v>
      </c>
      <c r="G8981" s="6" t="str">
        <f>VLOOKUP(E8981,dicionario!$A$1:$C9380,2,0)</f>
        <v>Caracara plancus</v>
      </c>
      <c r="H8981" s="6" t="str">
        <f>VLOOKUP(E8981,dicionario!$A$1:$C9380,3,0)</f>
        <v>carcará </v>
      </c>
    </row>
    <row r="8982">
      <c r="A8982" s="3">
        <v>45771.0</v>
      </c>
      <c r="B8982" s="4">
        <v>0.2798611111111111</v>
      </c>
      <c r="C8982" s="5" t="s">
        <v>33</v>
      </c>
      <c r="D8982" s="5" t="s">
        <v>1390</v>
      </c>
      <c r="E8982" s="8" t="s">
        <v>191</v>
      </c>
      <c r="F8982" s="5" t="s">
        <v>192</v>
      </c>
      <c r="G8982" s="6" t="str">
        <f>VLOOKUP(E8982,dicionario!$A$1:$C9381,2,0)</f>
        <v>Patagioenas picazuro</v>
      </c>
      <c r="H8982" s="6" t="str">
        <f>VLOOKUP(E8982,dicionario!$A$1:$C9381,3,0)</f>
        <v>asa-branca; pomba-asa-branca; pocaçu</v>
      </c>
    </row>
    <row r="8983">
      <c r="A8983" s="3">
        <v>45771.0</v>
      </c>
      <c r="B8983" s="4">
        <v>0.28055555555555556</v>
      </c>
      <c r="C8983" s="5" t="s">
        <v>33</v>
      </c>
      <c r="D8983" s="5" t="s">
        <v>1390</v>
      </c>
      <c r="E8983" s="12" t="s">
        <v>111</v>
      </c>
      <c r="F8983" s="5" t="s">
        <v>112</v>
      </c>
      <c r="G8983" s="6" t="str">
        <f>VLOOKUP(E8983,dicionario!$A$1:$C9382,2,0)</f>
        <v>Trigona spinipes</v>
      </c>
      <c r="H8983" s="6" t="str">
        <f>VLOOKUP(E8983,dicionario!$A$1:$C9382,3,0)</f>
        <v>abelha-cachorro</v>
      </c>
    </row>
    <row r="8984">
      <c r="A8984" s="3">
        <v>45771.0</v>
      </c>
      <c r="B8984" s="4">
        <v>0.28125</v>
      </c>
      <c r="C8984" s="5" t="s">
        <v>33</v>
      </c>
      <c r="D8984" s="5" t="s">
        <v>1390</v>
      </c>
      <c r="E8984" s="8" t="s">
        <v>113</v>
      </c>
      <c r="F8984" s="5" t="s">
        <v>114</v>
      </c>
      <c r="G8984" s="6" t="str">
        <f>VLOOKUP(E8984,dicionario!$A$1:$C9383,2,0)</f>
        <v>Columbina talpacoti</v>
      </c>
      <c r="H8984" s="6" t="str">
        <f>VLOOKUP(E8984,dicionario!$A$1:$C9383,3,0)</f>
        <v>rolinha-roxa</v>
      </c>
    </row>
    <row r="8985">
      <c r="A8985" s="3">
        <v>45771.0</v>
      </c>
      <c r="B8985" s="4">
        <v>0.28194444444444444</v>
      </c>
      <c r="C8985" s="5" t="s">
        <v>33</v>
      </c>
      <c r="D8985" s="5" t="s">
        <v>1390</v>
      </c>
      <c r="E8985" s="8" t="s">
        <v>298</v>
      </c>
      <c r="F8985" s="7"/>
      <c r="G8985" s="6" t="str">
        <f>VLOOKUP(E8985,dicionario!$A$1:$C9384,2,0)</f>
        <v>Alysicarpus vaginalis</v>
      </c>
      <c r="H8985" s="6" t="str">
        <f>VLOOKUP(E8985,dicionario!$A$1:$C9384,3,0)</f>
        <v/>
      </c>
    </row>
    <row r="8986">
      <c r="A8986" s="3">
        <v>45771.0</v>
      </c>
      <c r="B8986" s="4">
        <v>0.2826388888888889</v>
      </c>
      <c r="C8986" s="5" t="s">
        <v>40</v>
      </c>
      <c r="D8986" s="5" t="s">
        <v>1390</v>
      </c>
      <c r="E8986" s="8" t="s">
        <v>227</v>
      </c>
      <c r="F8986" s="5" t="s">
        <v>733</v>
      </c>
      <c r="G8986" s="6" t="str">
        <f>VLOOKUP(E8986,dicionario!$A$1:$C9385,2,0)</f>
        <v>Indigofera hirsuta</v>
      </c>
      <c r="H8986" s="6" t="str">
        <f>VLOOKUP(E8986,dicionario!$A$1:$C9385,3,0)</f>
        <v>anileira</v>
      </c>
    </row>
    <row r="8987">
      <c r="A8987" s="3">
        <v>45771.0</v>
      </c>
      <c r="B8987" s="4">
        <v>0.2826388888888889</v>
      </c>
      <c r="C8987" s="5" t="s">
        <v>40</v>
      </c>
      <c r="D8987" s="5" t="s">
        <v>1390</v>
      </c>
      <c r="E8987" s="8" t="s">
        <v>296</v>
      </c>
      <c r="F8987" s="5" t="s">
        <v>297</v>
      </c>
      <c r="G8987" s="6" t="str">
        <f>VLOOKUP(E8987,dicionario!$A$1:$C9386,2,0)</f>
        <v>Richardia brasiliensis</v>
      </c>
      <c r="H8987" s="6" t="str">
        <f>VLOOKUP(E8987,dicionario!$A$1:$C9386,3,0)</f>
        <v>poaia-branca</v>
      </c>
    </row>
    <row r="8988">
      <c r="A8988" s="3">
        <v>45771.0</v>
      </c>
      <c r="B8988" s="4">
        <v>0.2826388888888889</v>
      </c>
      <c r="C8988" s="5" t="s">
        <v>40</v>
      </c>
      <c r="D8988" s="5" t="s">
        <v>1390</v>
      </c>
      <c r="E8988" s="8" t="s">
        <v>271</v>
      </c>
      <c r="F8988" s="5" t="s">
        <v>1169</v>
      </c>
      <c r="G8988" s="6" t="str">
        <f>VLOOKUP(E8988,dicionario!$A$1:$C9387,2,0)</f>
        <v>Cyanthillium cinereum</v>
      </c>
      <c r="H8988" s="6" t="str">
        <f>VLOOKUP(E8988,dicionario!$A$1:$C9387,3,0)</f>
        <v>emília</v>
      </c>
    </row>
    <row r="8989">
      <c r="A8989" s="3">
        <v>45771.0</v>
      </c>
      <c r="B8989" s="4">
        <v>0.2826388888888889</v>
      </c>
      <c r="C8989" s="5" t="s">
        <v>40</v>
      </c>
      <c r="D8989" s="5" t="s">
        <v>1390</v>
      </c>
      <c r="E8989" s="8" t="s">
        <v>1310</v>
      </c>
      <c r="F8989" s="5" t="s">
        <v>521</v>
      </c>
      <c r="G8989" s="6" t="str">
        <f>VLOOKUP(E8989,dicionario!$A$1:$C9388,2,0)</f>
        <v>#N/A</v>
      </c>
      <c r="H8989" s="6" t="str">
        <f>VLOOKUP(E8989,dicionario!$A$1:$C9388,3,0)</f>
        <v>#N/A</v>
      </c>
    </row>
    <row r="8990">
      <c r="A8990" s="3">
        <v>45771.0</v>
      </c>
      <c r="B8990" s="4">
        <v>0.2826388888888889</v>
      </c>
      <c r="C8990" s="5" t="s">
        <v>40</v>
      </c>
      <c r="D8990" s="5" t="s">
        <v>1390</v>
      </c>
      <c r="E8990" s="6" t="s">
        <v>267</v>
      </c>
      <c r="F8990" s="5" t="s">
        <v>268</v>
      </c>
      <c r="G8990" s="6" t="str">
        <f>VLOOKUP(E8990,dicionario!$A$1:$C9389,2,0)</f>
        <v>Solanum americanum</v>
      </c>
      <c r="H8990" s="6" t="str">
        <f>VLOOKUP(E8990,dicionario!$A$1:$C9389,3,0)</f>
        <v>maria-pretinha</v>
      </c>
    </row>
    <row r="8991">
      <c r="A8991" s="3">
        <v>45771.0</v>
      </c>
      <c r="B8991" s="4">
        <v>0.2826388888888889</v>
      </c>
      <c r="C8991" s="5" t="s">
        <v>40</v>
      </c>
      <c r="D8991" s="5" t="s">
        <v>1390</v>
      </c>
      <c r="E8991" s="8" t="s">
        <v>1367</v>
      </c>
      <c r="F8991" s="5" t="s">
        <v>387</v>
      </c>
      <c r="G8991" s="6" t="str">
        <f>VLOOKUP(E8991,dicionario!$A$1:$C9390,2,0)</f>
        <v>#N/A</v>
      </c>
      <c r="H8991" s="6" t="str">
        <f>VLOOKUP(E8991,dicionario!$A$1:$C9390,3,0)</f>
        <v>#N/A</v>
      </c>
    </row>
    <row r="8992">
      <c r="A8992" s="3">
        <v>45771.0</v>
      </c>
      <c r="B8992" s="4">
        <v>0.2826388888888889</v>
      </c>
      <c r="C8992" s="5" t="s">
        <v>40</v>
      </c>
      <c r="D8992" s="5" t="s">
        <v>1390</v>
      </c>
      <c r="E8992" s="6" t="s">
        <v>53</v>
      </c>
      <c r="F8992" s="5" t="s">
        <v>54</v>
      </c>
      <c r="G8992" s="6" t="str">
        <f>VLOOKUP(E8992,dicionario!$A$1:$C9391,2,0)</f>
        <v>Turnera subulata</v>
      </c>
      <c r="H8992" s="6" t="str">
        <f>VLOOKUP(E8992,dicionario!$A$1:$C9391,3,0)</f>
        <v>xanana</v>
      </c>
    </row>
    <row r="8993">
      <c r="A8993" s="3">
        <v>45771.0</v>
      </c>
      <c r="B8993" s="4">
        <v>0.2826388888888889</v>
      </c>
      <c r="C8993" s="5" t="s">
        <v>40</v>
      </c>
      <c r="D8993" s="5" t="s">
        <v>1390</v>
      </c>
      <c r="E8993" s="8" t="s">
        <v>135</v>
      </c>
      <c r="F8993" s="5" t="s">
        <v>136</v>
      </c>
      <c r="G8993" s="6" t="str">
        <f>VLOOKUP(E8993,dicionario!$A$1:$C9392,2,0)</f>
        <v>Tridax procumbens</v>
      </c>
      <c r="H8993" s="6" t="str">
        <f>VLOOKUP(E8993,dicionario!$A$1:$C9392,3,0)</f>
        <v>erva-de-touro</v>
      </c>
    </row>
    <row r="8994">
      <c r="A8994" s="3">
        <v>45771.0</v>
      </c>
      <c r="B8994" s="4">
        <v>0.2826388888888889</v>
      </c>
      <c r="C8994" s="5" t="s">
        <v>40</v>
      </c>
      <c r="D8994" s="5" t="s">
        <v>1390</v>
      </c>
      <c r="E8994" s="8" t="s">
        <v>146</v>
      </c>
      <c r="F8994" s="5" t="s">
        <v>147</v>
      </c>
      <c r="G8994" s="6" t="str">
        <f>VLOOKUP(E8994,dicionario!$A$1:$C9393,2,0)</f>
        <v>Euphorbia hirta</v>
      </c>
      <c r="H8994" s="6" t="str">
        <f>VLOOKUP(E8994,dicionario!$A$1:$C9393,3,0)</f>
        <v>erva-de-santa-luzia</v>
      </c>
    </row>
    <row r="8995">
      <c r="A8995" s="3">
        <v>45771.0</v>
      </c>
      <c r="B8995" s="4">
        <v>0.2833333333333333</v>
      </c>
      <c r="C8995" s="5" t="s">
        <v>40</v>
      </c>
      <c r="D8995" s="5" t="s">
        <v>1390</v>
      </c>
      <c r="E8995" s="8" t="s">
        <v>253</v>
      </c>
      <c r="F8995" s="5" t="s">
        <v>254</v>
      </c>
      <c r="G8995" s="6" t="str">
        <f>VLOOKUP(E8995,dicionario!$A$1:$C9394,2,0)</f>
        <v>Panicum maximum</v>
      </c>
      <c r="H8995" s="6" t="str">
        <f>VLOOKUP(E8995,dicionario!$A$1:$C9394,3,0)</f>
        <v>capim-colonião</v>
      </c>
    </row>
    <row r="8996">
      <c r="A8996" s="3">
        <v>45771.0</v>
      </c>
      <c r="B8996" s="4">
        <v>0.2833333333333333</v>
      </c>
      <c r="C8996" s="5" t="s">
        <v>40</v>
      </c>
      <c r="D8996" s="5" t="s">
        <v>1390</v>
      </c>
      <c r="E8996" s="8" t="s">
        <v>88</v>
      </c>
      <c r="F8996" s="5" t="s">
        <v>89</v>
      </c>
      <c r="G8996" s="6" t="str">
        <f>VLOOKUP(E8996,dicionario!$A$1:$C9395,2,0)</f>
        <v>Tyrannus melancolichus</v>
      </c>
      <c r="H8996" s="6" t="str">
        <f>VLOOKUP(E8996,dicionario!$A$1:$C9395,3,0)</f>
        <v>suiriri</v>
      </c>
    </row>
    <row r="8997">
      <c r="A8997" s="3">
        <v>45771.0</v>
      </c>
      <c r="B8997" s="4">
        <v>0.2833333333333333</v>
      </c>
      <c r="C8997" s="5" t="s">
        <v>40</v>
      </c>
      <c r="D8997" s="5" t="s">
        <v>1390</v>
      </c>
      <c r="E8997" s="6" t="s">
        <v>448</v>
      </c>
      <c r="F8997" s="5" t="s">
        <v>462</v>
      </c>
      <c r="G8997" s="6" t="str">
        <f>VLOOKUP(E8997,dicionario!$A$1:$C9396,2,0)</f>
        <v>Mechanitis polymnia</v>
      </c>
      <c r="H8997" s="6" t="str">
        <f>VLOOKUP(E8997,dicionario!$A$1:$C9396,3,0)</f>
        <v>maria-boba</v>
      </c>
    </row>
    <row r="8998">
      <c r="A8998" s="3">
        <v>45771.0</v>
      </c>
      <c r="B8998" s="4">
        <v>0.28402777777777777</v>
      </c>
      <c r="C8998" s="5" t="s">
        <v>40</v>
      </c>
      <c r="D8998" s="5" t="s">
        <v>1390</v>
      </c>
      <c r="E8998" s="8" t="s">
        <v>353</v>
      </c>
      <c r="F8998" s="5" t="s">
        <v>354</v>
      </c>
      <c r="G8998" s="6" t="str">
        <f>VLOOKUP(E8998,dicionario!$A$1:$C9397,2,0)</f>
        <v>Desmodium incanum</v>
      </c>
      <c r="H8998" s="6" t="str">
        <f>VLOOKUP(E8998,dicionario!$A$1:$C9397,3,0)</f>
        <v>pega-pega</v>
      </c>
    </row>
    <row r="8999">
      <c r="A8999" s="3">
        <v>45771.0</v>
      </c>
      <c r="B8999" s="4">
        <v>0.28402777777777777</v>
      </c>
      <c r="C8999" s="5" t="s">
        <v>40</v>
      </c>
      <c r="D8999" s="5" t="s">
        <v>1390</v>
      </c>
      <c r="E8999" s="8" t="s">
        <v>1087</v>
      </c>
      <c r="F8999" s="5" t="s">
        <v>1088</v>
      </c>
      <c r="G8999" s="6" t="str">
        <f>VLOOKUP(E8999,dicionario!$A$1:$C9398,2,0)</f>
        <v>Desmodium triflorum</v>
      </c>
      <c r="H8999" s="6" t="str">
        <f>VLOOKUP(E8999,dicionario!$A$1:$C9398,3,0)</f>
        <v/>
      </c>
    </row>
    <row r="9000">
      <c r="A9000" s="3">
        <v>45771.0</v>
      </c>
      <c r="B9000" s="4">
        <v>0.2847222222222222</v>
      </c>
      <c r="C9000" s="5" t="s">
        <v>40</v>
      </c>
      <c r="D9000" s="5" t="s">
        <v>1390</v>
      </c>
      <c r="E9000" s="8" t="s">
        <v>849</v>
      </c>
      <c r="F9000" s="7" t="s">
        <v>518</v>
      </c>
      <c r="G9000" s="6" t="str">
        <f>VLOOKUP(E9000,dicionario!$A$1:$C9399,2,0)</f>
        <v>#N/A</v>
      </c>
      <c r="H9000" s="6" t="str">
        <f>VLOOKUP(E9000,dicionario!$A$1:$C9399,3,0)</f>
        <v>#N/A</v>
      </c>
    </row>
    <row r="9001">
      <c r="A9001" s="3">
        <v>45771.0</v>
      </c>
      <c r="B9001" s="4">
        <v>0.28541666666666665</v>
      </c>
      <c r="C9001" s="5" t="s">
        <v>40</v>
      </c>
      <c r="D9001" s="5" t="s">
        <v>1390</v>
      </c>
      <c r="E9001" s="8" t="s">
        <v>113</v>
      </c>
      <c r="F9001" s="5" t="s">
        <v>114</v>
      </c>
      <c r="G9001" s="6" t="str">
        <f>VLOOKUP(E9001,dicionario!$A$1:$C9400,2,0)</f>
        <v>Columbina talpacoti</v>
      </c>
      <c r="H9001" s="6" t="str">
        <f>VLOOKUP(E9001,dicionario!$A$1:$C9400,3,0)</f>
        <v>rolinha-roxa</v>
      </c>
    </row>
    <row r="9002">
      <c r="A9002" s="3">
        <v>45771.0</v>
      </c>
      <c r="B9002" s="4">
        <v>0.28541666666666665</v>
      </c>
      <c r="C9002" s="5" t="s">
        <v>40</v>
      </c>
      <c r="D9002" s="5" t="s">
        <v>1390</v>
      </c>
      <c r="E9002" s="8" t="s">
        <v>38</v>
      </c>
      <c r="F9002" s="5" t="s">
        <v>1251</v>
      </c>
      <c r="G9002" s="6" t="str">
        <f>VLOOKUP(E9002,dicionario!$A$1:$C9401,2,0)</f>
        <v>Troglodytes musculus</v>
      </c>
      <c r="H9002" s="6" t="str">
        <f>VLOOKUP(E9002,dicionario!$A$1:$C9401,3,0)</f>
        <v>curruíra</v>
      </c>
    </row>
    <row r="9003">
      <c r="A9003" s="3">
        <v>45771.0</v>
      </c>
      <c r="B9003" s="4">
        <v>0.2861111111111111</v>
      </c>
      <c r="C9003" s="5" t="s">
        <v>40</v>
      </c>
      <c r="D9003" s="5" t="s">
        <v>1390</v>
      </c>
      <c r="E9003" s="8" t="s">
        <v>175</v>
      </c>
      <c r="F9003" s="5" t="s">
        <v>176</v>
      </c>
      <c r="G9003" s="6" t="str">
        <f>VLOOKUP(E9003,dicionario!$A$1:$C9402,2,0)</f>
        <v>Turdus leucomelas</v>
      </c>
      <c r="H9003" s="6" t="str">
        <f>VLOOKUP(E9003,dicionario!$A$1:$C9402,3,0)</f>
        <v>sabiá-barranco</v>
      </c>
    </row>
    <row r="9004">
      <c r="A9004" s="3">
        <v>45771.0</v>
      </c>
      <c r="B9004" s="4">
        <v>0.2861111111111111</v>
      </c>
      <c r="C9004" s="5" t="s">
        <v>40</v>
      </c>
      <c r="D9004" s="5" t="s">
        <v>1390</v>
      </c>
      <c r="E9004" s="8" t="s">
        <v>109</v>
      </c>
      <c r="F9004" s="5" t="s">
        <v>110</v>
      </c>
      <c r="G9004" s="6" t="str">
        <f>VLOOKUP(E9004,dicionario!$A$1:$C9403,2,0)</f>
        <v>Tillandsia stricta</v>
      </c>
      <c r="H9004" s="6" t="str">
        <f>VLOOKUP(E9004,dicionario!$A$1:$C9403,3,0)</f>
        <v>cravo-do-mato</v>
      </c>
    </row>
    <row r="9005">
      <c r="A9005" s="3">
        <v>45771.0</v>
      </c>
      <c r="B9005" s="4">
        <v>0.28680555555555554</v>
      </c>
      <c r="C9005" s="5" t="s">
        <v>40</v>
      </c>
      <c r="D9005" s="5" t="s">
        <v>1390</v>
      </c>
      <c r="E9005" s="8" t="s">
        <v>1412</v>
      </c>
      <c r="F9005" s="5" t="s">
        <v>73</v>
      </c>
      <c r="G9005" s="6" t="str">
        <f>VLOOKUP(E9005,dicionario!$A$1:$C9404,2,0)</f>
        <v>#N/A</v>
      </c>
      <c r="H9005" s="6" t="str">
        <f>VLOOKUP(E9005,dicionario!$A$1:$C9404,3,0)</f>
        <v>#N/A</v>
      </c>
    </row>
    <row r="9006">
      <c r="A9006" s="3">
        <v>45771.0</v>
      </c>
      <c r="B9006" s="4">
        <v>0.28680555555555554</v>
      </c>
      <c r="C9006" s="5" t="s">
        <v>40</v>
      </c>
      <c r="D9006" s="5" t="s">
        <v>1390</v>
      </c>
      <c r="E9006" s="8" t="s">
        <v>213</v>
      </c>
      <c r="F9006" s="5" t="s">
        <v>214</v>
      </c>
      <c r="G9006" s="6" t="str">
        <f>VLOOKUP(E9006,dicionario!$A$1:$C9405,2,0)</f>
        <v>Myiozetetes similis</v>
      </c>
      <c r="H9006" s="6" t="str">
        <f>VLOOKUP(E9006,dicionario!$A$1:$C9405,3,0)</f>
        <v>bentevizinho-de-penacho-vermelho</v>
      </c>
    </row>
    <row r="9007">
      <c r="A9007" s="3">
        <v>45771.0</v>
      </c>
      <c r="B9007" s="4">
        <v>0.2875</v>
      </c>
      <c r="C9007" s="5" t="s">
        <v>40</v>
      </c>
      <c r="D9007" s="5" t="s">
        <v>1390</v>
      </c>
      <c r="E9007" s="8" t="s">
        <v>946</v>
      </c>
      <c r="F9007" s="5" t="s">
        <v>947</v>
      </c>
      <c r="G9007" s="6" t="str">
        <f>VLOOKUP(E9007,dicionario!$A$1:$C9406,2,0)</f>
        <v>Thorybes dorantes</v>
      </c>
      <c r="H9007" s="6" t="str">
        <f>VLOOKUP(E9007,dicionario!$A$1:$C9406,3,0)</f>
        <v>mariposa-de-cauda-lilás</v>
      </c>
    </row>
    <row r="9008">
      <c r="A9008" s="3">
        <v>45771.0</v>
      </c>
      <c r="B9008" s="4">
        <v>0.2881944444444444</v>
      </c>
      <c r="C9008" s="5" t="s">
        <v>40</v>
      </c>
      <c r="D9008" s="5" t="s">
        <v>1390</v>
      </c>
      <c r="E9008" s="8" t="s">
        <v>65</v>
      </c>
      <c r="F9008" s="5" t="s">
        <v>66</v>
      </c>
      <c r="G9008" s="6" t="str">
        <f>VLOOKUP(E9008,dicionario!$A$1:$C9407,2,0)</f>
        <v>Pitangus sulphutarus</v>
      </c>
      <c r="H9008" s="6" t="str">
        <f>VLOOKUP(E9008,dicionario!$A$1:$C9407,3,0)</f>
        <v>bem-te-vi</v>
      </c>
    </row>
    <row r="9009">
      <c r="A9009" s="3">
        <v>45771.0</v>
      </c>
      <c r="B9009" s="4">
        <v>0.29375</v>
      </c>
      <c r="C9009" s="5" t="s">
        <v>50</v>
      </c>
      <c r="D9009" s="5" t="s">
        <v>1390</v>
      </c>
      <c r="E9009" s="8" t="s">
        <v>296</v>
      </c>
      <c r="F9009" s="5" t="s">
        <v>297</v>
      </c>
      <c r="G9009" s="6" t="str">
        <f>VLOOKUP(E9009,dicionario!$A$1:$C9408,2,0)</f>
        <v>Richardia brasiliensis</v>
      </c>
      <c r="H9009" s="6" t="str">
        <f>VLOOKUP(E9009,dicionario!$A$1:$C9408,3,0)</f>
        <v>poaia-branca</v>
      </c>
    </row>
    <row r="9010">
      <c r="A9010" s="3">
        <v>45771.0</v>
      </c>
      <c r="B9010" s="4">
        <v>0.29375</v>
      </c>
      <c r="C9010" s="5" t="s">
        <v>50</v>
      </c>
      <c r="D9010" s="5" t="s">
        <v>1390</v>
      </c>
      <c r="E9010" s="8" t="s">
        <v>271</v>
      </c>
      <c r="F9010" s="5" t="s">
        <v>1169</v>
      </c>
      <c r="G9010" s="6" t="str">
        <f>VLOOKUP(E9010,dicionario!$A$1:$C9409,2,0)</f>
        <v>Cyanthillium cinereum</v>
      </c>
      <c r="H9010" s="6" t="str">
        <f>VLOOKUP(E9010,dicionario!$A$1:$C9409,3,0)</f>
        <v>emília</v>
      </c>
    </row>
    <row r="9011">
      <c r="A9011" s="3">
        <v>45771.0</v>
      </c>
      <c r="B9011" s="4">
        <v>0.29375</v>
      </c>
      <c r="C9011" s="5" t="s">
        <v>50</v>
      </c>
      <c r="D9011" s="5" t="s">
        <v>1390</v>
      </c>
      <c r="E9011" s="8" t="s">
        <v>298</v>
      </c>
      <c r="F9011" s="7"/>
      <c r="G9011" s="6" t="str">
        <f>VLOOKUP(E9011,dicionario!$A$1:$C9410,2,0)</f>
        <v>Alysicarpus vaginalis</v>
      </c>
      <c r="H9011" s="6" t="str">
        <f>VLOOKUP(E9011,dicionario!$A$1:$C9410,3,0)</f>
        <v/>
      </c>
    </row>
    <row r="9012">
      <c r="A9012" s="3">
        <v>45771.0</v>
      </c>
      <c r="B9012" s="4">
        <v>0.29375</v>
      </c>
      <c r="C9012" s="5" t="s">
        <v>50</v>
      </c>
      <c r="D9012" s="5" t="s">
        <v>1390</v>
      </c>
      <c r="E9012" s="8" t="s">
        <v>109</v>
      </c>
      <c r="F9012" s="5" t="s">
        <v>110</v>
      </c>
      <c r="G9012" s="6" t="str">
        <f>VLOOKUP(E9012,dicionario!$A$1:$C9411,2,0)</f>
        <v>Tillandsia stricta</v>
      </c>
      <c r="H9012" s="6" t="str">
        <f>VLOOKUP(E9012,dicionario!$A$1:$C9411,3,0)</f>
        <v>cravo-do-mato</v>
      </c>
    </row>
    <row r="9013">
      <c r="A9013" s="3">
        <v>45771.0</v>
      </c>
      <c r="B9013" s="4">
        <v>0.29375</v>
      </c>
      <c r="C9013" s="5" t="s">
        <v>50</v>
      </c>
      <c r="D9013" s="5" t="s">
        <v>1390</v>
      </c>
      <c r="E9013" s="8" t="s">
        <v>1084</v>
      </c>
      <c r="F9013" s="5" t="s">
        <v>224</v>
      </c>
      <c r="G9013" s="6" t="str">
        <f>VLOOKUP(E9013,dicionario!$A$1:$C9412,2,0)</f>
        <v>#N/A</v>
      </c>
      <c r="H9013" s="6" t="str">
        <f>VLOOKUP(E9013,dicionario!$A$1:$C9412,3,0)</f>
        <v>#N/A</v>
      </c>
    </row>
    <row r="9014">
      <c r="A9014" s="3">
        <v>45771.0</v>
      </c>
      <c r="B9014" s="4">
        <v>0.29444444444444445</v>
      </c>
      <c r="C9014" s="5" t="s">
        <v>50</v>
      </c>
      <c r="D9014" s="5" t="s">
        <v>1390</v>
      </c>
      <c r="E9014" s="8" t="s">
        <v>22</v>
      </c>
      <c r="F9014" s="5" t="s">
        <v>97</v>
      </c>
      <c r="G9014" s="6" t="str">
        <f>VLOOKUP(E9014,dicionario!$A$1:$C9413,2,0)</f>
        <v>Zenaida auriculata</v>
      </c>
      <c r="H9014" s="6" t="str">
        <f>VLOOKUP(E9014,dicionario!$A$1:$C9413,3,0)</f>
        <v>pomba-de-bando; avoante</v>
      </c>
    </row>
    <row r="9015">
      <c r="A9015" s="3">
        <v>45771.0</v>
      </c>
      <c r="B9015" s="4">
        <v>0.29583333333333334</v>
      </c>
      <c r="C9015" s="5" t="s">
        <v>50</v>
      </c>
      <c r="D9015" s="5" t="s">
        <v>1390</v>
      </c>
      <c r="E9015" s="8" t="s">
        <v>227</v>
      </c>
      <c r="F9015" s="5" t="s">
        <v>228</v>
      </c>
      <c r="G9015" s="6" t="str">
        <f>VLOOKUP(E9015,dicionario!$A$1:$C9414,2,0)</f>
        <v>Indigofera hirsuta</v>
      </c>
      <c r="H9015" s="6" t="str">
        <f>VLOOKUP(E9015,dicionario!$A$1:$C9414,3,0)</f>
        <v>anileira</v>
      </c>
    </row>
    <row r="9016">
      <c r="A9016" s="3">
        <v>45771.0</v>
      </c>
      <c r="B9016" s="4">
        <v>0.29583333333333334</v>
      </c>
      <c r="C9016" s="5" t="s">
        <v>50</v>
      </c>
      <c r="D9016" s="5" t="s">
        <v>1390</v>
      </c>
      <c r="E9016" s="8" t="s">
        <v>57</v>
      </c>
      <c r="F9016" s="5" t="s">
        <v>475</v>
      </c>
      <c r="G9016" s="6" t="str">
        <f>VLOOKUP(E9016,dicionario!$A$1:$C9415,2,0)</f>
        <v>Juliformia</v>
      </c>
      <c r="H9016" s="6" t="str">
        <f>VLOOKUP(E9016,dicionario!$A$1:$C9415,3,0)</f>
        <v>gongolo; maria-café</v>
      </c>
    </row>
    <row r="9017">
      <c r="A9017" s="3">
        <v>45771.0</v>
      </c>
      <c r="B9017" s="4">
        <v>0.29583333333333334</v>
      </c>
      <c r="C9017" s="5" t="s">
        <v>50</v>
      </c>
      <c r="D9017" s="5" t="s">
        <v>1390</v>
      </c>
      <c r="E9017" s="8" t="s">
        <v>175</v>
      </c>
      <c r="F9017" s="5" t="s">
        <v>176</v>
      </c>
      <c r="G9017" s="6" t="str">
        <f>VLOOKUP(E9017,dicionario!$A$1:$C9416,2,0)</f>
        <v>Turdus leucomelas</v>
      </c>
      <c r="H9017" s="6" t="str">
        <f>VLOOKUP(E9017,dicionario!$A$1:$C9416,3,0)</f>
        <v>sabiá-barranco</v>
      </c>
    </row>
    <row r="9018">
      <c r="A9018" s="3">
        <v>45771.0</v>
      </c>
      <c r="B9018" s="4">
        <v>0.2965277777777778</v>
      </c>
      <c r="C9018" s="5" t="s">
        <v>50</v>
      </c>
      <c r="D9018" s="5" t="s">
        <v>1390</v>
      </c>
      <c r="E9018" s="6" t="s">
        <v>429</v>
      </c>
      <c r="F9018" s="5" t="s">
        <v>660</v>
      </c>
      <c r="G9018" s="6" t="str">
        <f>VLOOKUP(E9018,dicionario!$A$1:$C9417,2,0)</f>
        <v>Leonurus sibiricus</v>
      </c>
      <c r="H9018" s="6" t="str">
        <f>VLOOKUP(E9018,dicionario!$A$1:$C9417,3,0)</f>
        <v>erva-macaé</v>
      </c>
    </row>
    <row r="9019">
      <c r="A9019" s="3">
        <v>45771.0</v>
      </c>
      <c r="B9019" s="4">
        <v>0.2972222222222222</v>
      </c>
      <c r="C9019" s="5" t="s">
        <v>50</v>
      </c>
      <c r="D9019" s="5" t="s">
        <v>1390</v>
      </c>
      <c r="E9019" s="6"/>
      <c r="F9019" s="52" t="s">
        <v>1413</v>
      </c>
      <c r="G9019" s="6" t="str">
        <f>VLOOKUP(E9019,dicionario!$A$1:$C9418,2,0)</f>
        <v>#N/A</v>
      </c>
      <c r="H9019" s="6" t="str">
        <f>VLOOKUP(E9019,dicionario!$A$1:$C9418,3,0)</f>
        <v>#N/A</v>
      </c>
    </row>
    <row r="9020">
      <c r="A9020" s="3">
        <v>45771.0</v>
      </c>
      <c r="B9020" s="4">
        <v>0.29930555555555555</v>
      </c>
      <c r="C9020" s="5" t="s">
        <v>50</v>
      </c>
      <c r="D9020" s="5" t="s">
        <v>1390</v>
      </c>
      <c r="E9020" s="8" t="s">
        <v>191</v>
      </c>
      <c r="F9020" s="5" t="s">
        <v>192</v>
      </c>
      <c r="G9020" s="6" t="str">
        <f>VLOOKUP(E9020,dicionario!$A$1:$C9419,2,0)</f>
        <v>Patagioenas picazuro</v>
      </c>
      <c r="H9020" s="6" t="str">
        <f>VLOOKUP(E9020,dicionario!$A$1:$C9419,3,0)</f>
        <v>asa-branca; pomba-asa-branca; pocaçu</v>
      </c>
    </row>
    <row r="9021">
      <c r="A9021" s="3">
        <v>45771.0</v>
      </c>
      <c r="B9021" s="4">
        <v>0.3</v>
      </c>
      <c r="C9021" s="5" t="s">
        <v>50</v>
      </c>
      <c r="D9021" s="5" t="s">
        <v>1390</v>
      </c>
      <c r="E9021" s="8" t="s">
        <v>338</v>
      </c>
      <c r="F9021" s="5" t="s">
        <v>238</v>
      </c>
      <c r="G9021" s="6" t="str">
        <f>VLOOKUP(E9021,dicionario!$A$1:$C9420,2,0)</f>
        <v>Atta</v>
      </c>
      <c r="H9021" s="6" t="str">
        <f>VLOOKUP(E9021,dicionario!$A$1:$C9420,3,0)</f>
        <v>saúva</v>
      </c>
    </row>
    <row r="9022">
      <c r="A9022" s="3">
        <v>45771.0</v>
      </c>
      <c r="B9022" s="4">
        <v>0.3</v>
      </c>
      <c r="C9022" s="5" t="s">
        <v>50</v>
      </c>
      <c r="D9022" s="5" t="s">
        <v>1390</v>
      </c>
      <c r="E9022" s="6" t="s">
        <v>148</v>
      </c>
      <c r="F9022" s="5" t="s">
        <v>149</v>
      </c>
      <c r="G9022" s="6" t="str">
        <f>VLOOKUP(E9022,dicionario!$A$1:$C9421,2,0)</f>
        <v>Parthenium hysterophorus</v>
      </c>
      <c r="H9022" s="6" t="str">
        <f>VLOOKUP(E9022,dicionario!$A$1:$C9421,3,0)</f>
        <v>losna-branca</v>
      </c>
    </row>
    <row r="9023">
      <c r="A9023" s="3">
        <v>45771.0</v>
      </c>
      <c r="B9023" s="4">
        <v>0.3</v>
      </c>
      <c r="C9023" s="5" t="s">
        <v>50</v>
      </c>
      <c r="D9023" s="5" t="s">
        <v>1390</v>
      </c>
      <c r="E9023" s="8" t="s">
        <v>548</v>
      </c>
      <c r="F9023" s="5" t="s">
        <v>549</v>
      </c>
      <c r="G9023" s="6" t="str">
        <f>VLOOKUP(E9023,dicionario!$A$1:$C9422,2,0)</f>
        <v>Ricinus communis</v>
      </c>
      <c r="H9023" s="6" t="str">
        <f>VLOOKUP(E9023,dicionario!$A$1:$C9422,3,0)</f>
        <v>mamona</v>
      </c>
    </row>
    <row r="9024">
      <c r="A9024" s="3">
        <v>45771.0</v>
      </c>
      <c r="B9024" s="4">
        <v>0.3</v>
      </c>
      <c r="C9024" s="5" t="s">
        <v>50</v>
      </c>
      <c r="D9024" s="5" t="s">
        <v>1390</v>
      </c>
      <c r="E9024" s="8" t="s">
        <v>150</v>
      </c>
      <c r="F9024" s="5" t="s">
        <v>151</v>
      </c>
      <c r="G9024" s="6" t="str">
        <f>VLOOKUP(E9024,dicionario!$A$1:$C9423,2,0)</f>
        <v>Amaranthus viridis</v>
      </c>
      <c r="H9024" s="6" t="str">
        <f>VLOOKUP(E9024,dicionario!$A$1:$C9423,3,0)</f>
        <v>caruru-de-mancha</v>
      </c>
    </row>
    <row r="9025">
      <c r="A9025" s="3">
        <v>45771.0</v>
      </c>
      <c r="B9025" s="4">
        <v>0.3</v>
      </c>
      <c r="C9025" s="5" t="s">
        <v>50</v>
      </c>
      <c r="D9025" s="5" t="s">
        <v>1390</v>
      </c>
      <c r="E9025" s="8" t="s">
        <v>195</v>
      </c>
      <c r="F9025" s="5" t="s">
        <v>196</v>
      </c>
      <c r="G9025" s="6" t="str">
        <f>VLOOKUP(E9025,dicionario!$A$1:$C9424,2,0)</f>
        <v>Priva lappulacea</v>
      </c>
      <c r="H9025" s="6" t="str">
        <f>VLOOKUP(E9025,dicionario!$A$1:$C9424,3,0)</f>
        <v>carrapicho</v>
      </c>
    </row>
    <row r="9026">
      <c r="A9026" s="3">
        <v>45771.0</v>
      </c>
      <c r="B9026" s="4">
        <v>0.30069444444444443</v>
      </c>
      <c r="C9026" s="5" t="s">
        <v>50</v>
      </c>
      <c r="D9026" s="5" t="s">
        <v>1390</v>
      </c>
      <c r="E9026" s="8" t="s">
        <v>1328</v>
      </c>
      <c r="F9026" s="5" t="s">
        <v>356</v>
      </c>
      <c r="G9026" s="6" t="str">
        <f>VLOOKUP(E9026,dicionario!$A$1:$C9425,2,0)</f>
        <v>#N/A</v>
      </c>
      <c r="H9026" s="6" t="str">
        <f>VLOOKUP(E9026,dicionario!$A$1:$C9425,3,0)</f>
        <v>#N/A</v>
      </c>
    </row>
    <row r="9027">
      <c r="A9027" s="3">
        <v>45771.0</v>
      </c>
      <c r="B9027" s="4">
        <v>0.30069444444444443</v>
      </c>
      <c r="C9027" s="5" t="s">
        <v>50</v>
      </c>
      <c r="D9027" s="5" t="s">
        <v>1390</v>
      </c>
      <c r="E9027" s="8" t="s">
        <v>146</v>
      </c>
      <c r="F9027" s="5" t="s">
        <v>147</v>
      </c>
      <c r="G9027" s="6" t="str">
        <f>VLOOKUP(E9027,dicionario!$A$1:$C9426,2,0)</f>
        <v>Euphorbia hirta</v>
      </c>
      <c r="H9027" s="6" t="str">
        <f>VLOOKUP(E9027,dicionario!$A$1:$C9426,3,0)</f>
        <v>erva-de-santa-luzia</v>
      </c>
    </row>
    <row r="9028">
      <c r="A9028" s="3">
        <v>45771.0</v>
      </c>
      <c r="B9028" s="4">
        <v>0.30069444444444443</v>
      </c>
      <c r="C9028" s="5" t="s">
        <v>50</v>
      </c>
      <c r="D9028" s="5" t="s">
        <v>1390</v>
      </c>
      <c r="E9028" s="6" t="s">
        <v>471</v>
      </c>
      <c r="F9028" s="5" t="s">
        <v>472</v>
      </c>
      <c r="G9028" s="6" t="str">
        <f>VLOOKUP(E9028,dicionario!$A$1:$C9427,2,0)</f>
        <v>Sida acuta</v>
      </c>
      <c r="H9028" s="6" t="str">
        <f>VLOOKUP(E9028,dicionario!$A$1:$C9427,3,0)</f>
        <v>reloginho</v>
      </c>
    </row>
    <row r="9029">
      <c r="A9029" s="3">
        <v>45771.0</v>
      </c>
      <c r="B9029" s="4">
        <v>0.30069444444444443</v>
      </c>
      <c r="C9029" s="5" t="s">
        <v>50</v>
      </c>
      <c r="D9029" s="5" t="s">
        <v>1390</v>
      </c>
      <c r="E9029" s="6" t="s">
        <v>48</v>
      </c>
      <c r="F9029" s="5" t="s">
        <v>49</v>
      </c>
      <c r="G9029" s="6" t="str">
        <f>VLOOKUP(E9029,dicionario!$A$1:$C9428,2,0)</f>
        <v>Commelina erecta</v>
      </c>
      <c r="H9029" s="6" t="str">
        <f>VLOOKUP(E9029,dicionario!$A$1:$C9428,3,0)</f>
        <v>trapoeraba</v>
      </c>
    </row>
    <row r="9030">
      <c r="A9030" s="3">
        <v>45771.0</v>
      </c>
      <c r="B9030" s="4">
        <v>0.30069444444444443</v>
      </c>
      <c r="C9030" s="5" t="s">
        <v>50</v>
      </c>
      <c r="D9030" s="5" t="s">
        <v>1390</v>
      </c>
      <c r="E9030" s="8" t="s">
        <v>16</v>
      </c>
      <c r="F9030" s="5" t="s">
        <v>17</v>
      </c>
      <c r="G9030" s="6" t="str">
        <f>VLOOKUP(E9030,dicionario!$A$1:$C9429,2,0)</f>
        <v>Eupetomena macroura</v>
      </c>
      <c r="H9030" s="6" t="str">
        <f>VLOOKUP(E9030,dicionario!$A$1:$C9429,3,0)</f>
        <v>beija-flor-tesoura</v>
      </c>
    </row>
    <row r="9031">
      <c r="A9031" s="3">
        <v>45771.0</v>
      </c>
      <c r="B9031" s="4">
        <v>0.30069444444444443</v>
      </c>
      <c r="C9031" s="5" t="s">
        <v>50</v>
      </c>
      <c r="D9031" s="5" t="s">
        <v>1390</v>
      </c>
      <c r="E9031" s="8" t="s">
        <v>1324</v>
      </c>
      <c r="F9031" s="5" t="s">
        <v>1246</v>
      </c>
      <c r="G9031" s="6" t="str">
        <f>VLOOKUP(E9031,dicionario!$A$1:$C9430,2,0)</f>
        <v>#N/A</v>
      </c>
      <c r="H9031" s="6" t="str">
        <f>VLOOKUP(E9031,dicionario!$A$1:$C9430,3,0)</f>
        <v>#N/A</v>
      </c>
    </row>
    <row r="9032">
      <c r="A9032" s="3">
        <v>45771.0</v>
      </c>
      <c r="B9032" s="4">
        <v>0.3020833333333333</v>
      </c>
      <c r="C9032" s="5" t="s">
        <v>50</v>
      </c>
      <c r="D9032" s="5" t="s">
        <v>1390</v>
      </c>
      <c r="E9032" s="8" t="s">
        <v>135</v>
      </c>
      <c r="F9032" s="5" t="s">
        <v>136</v>
      </c>
      <c r="G9032" s="6" t="str">
        <f>VLOOKUP(E9032,dicionario!$A$1:$C9431,2,0)</f>
        <v>Tridax procumbens</v>
      </c>
      <c r="H9032" s="6" t="str">
        <f>VLOOKUP(E9032,dicionario!$A$1:$C9431,3,0)</f>
        <v>erva-de-touro</v>
      </c>
    </row>
    <row r="9033">
      <c r="A9033" s="3">
        <v>45771.0</v>
      </c>
      <c r="B9033" s="4">
        <v>0.3020833333333333</v>
      </c>
      <c r="C9033" s="5" t="s">
        <v>50</v>
      </c>
      <c r="D9033" s="5" t="s">
        <v>1390</v>
      </c>
      <c r="E9033" s="8" t="s">
        <v>1414</v>
      </c>
      <c r="F9033" s="5" t="s">
        <v>1415</v>
      </c>
      <c r="G9033" s="6" t="str">
        <f>VLOOKUP(E9033,dicionario!$A$1:$C9432,2,0)</f>
        <v>#N/A</v>
      </c>
      <c r="H9033" s="6" t="str">
        <f>VLOOKUP(E9033,dicionario!$A$1:$C9432,3,0)</f>
        <v>#N/A</v>
      </c>
    </row>
    <row r="9034">
      <c r="A9034" s="3">
        <v>45771.0</v>
      </c>
      <c r="B9034" s="4">
        <v>0.3020833333333333</v>
      </c>
      <c r="C9034" s="5" t="s">
        <v>50</v>
      </c>
      <c r="D9034" s="5" t="s">
        <v>1390</v>
      </c>
      <c r="E9034" s="8" t="s">
        <v>934</v>
      </c>
      <c r="F9034" s="5" t="s">
        <v>1416</v>
      </c>
      <c r="G9034" s="6" t="str">
        <f>VLOOKUP(E9034,dicionario!$A$1:$C9433,2,0)</f>
        <v>#N/A</v>
      </c>
      <c r="H9034" s="6" t="str">
        <f>VLOOKUP(E9034,dicionario!$A$1:$C9433,3,0)</f>
        <v>#N/A</v>
      </c>
    </row>
    <row r="9035">
      <c r="A9035" s="3">
        <v>45771.0</v>
      </c>
      <c r="B9035" s="4">
        <v>0.30277777777777776</v>
      </c>
      <c r="C9035" s="5" t="s">
        <v>50</v>
      </c>
      <c r="D9035" s="5" t="s">
        <v>1390</v>
      </c>
      <c r="E9035" s="6" t="s">
        <v>467</v>
      </c>
      <c r="F9035" s="5" t="s">
        <v>468</v>
      </c>
      <c r="G9035" s="6" t="str">
        <f>VLOOKUP(E9035,dicionario!$A$1:$C9434,2,0)</f>
        <v>Eleusine indica</v>
      </c>
      <c r="H9035" s="6" t="str">
        <f>VLOOKUP(E9035,dicionario!$A$1:$C9434,3,0)</f>
        <v>capim-pé-de-galinha</v>
      </c>
    </row>
    <row r="9036">
      <c r="A9036" s="3">
        <v>45771.0</v>
      </c>
      <c r="B9036" s="4">
        <v>0.30416666666666664</v>
      </c>
      <c r="C9036" s="5" t="s">
        <v>59</v>
      </c>
      <c r="D9036" s="5" t="s">
        <v>1390</v>
      </c>
      <c r="E9036" s="8" t="s">
        <v>22</v>
      </c>
      <c r="F9036" s="5" t="s">
        <v>97</v>
      </c>
      <c r="G9036" s="6" t="str">
        <f>VLOOKUP(E9036,dicionario!$A$1:$C9435,2,0)</f>
        <v>Zenaida auriculata</v>
      </c>
      <c r="H9036" s="6" t="str">
        <f>VLOOKUP(E9036,dicionario!$A$1:$C9435,3,0)</f>
        <v>pomba-de-bando; avoante</v>
      </c>
    </row>
    <row r="9037">
      <c r="A9037" s="3">
        <v>45771.0</v>
      </c>
      <c r="B9037" s="4">
        <v>0.30416666666666664</v>
      </c>
      <c r="C9037" s="5" t="s">
        <v>59</v>
      </c>
      <c r="D9037" s="5" t="s">
        <v>1390</v>
      </c>
      <c r="E9037" s="8" t="s">
        <v>105</v>
      </c>
      <c r="F9037" s="5" t="s">
        <v>106</v>
      </c>
      <c r="G9037" s="6" t="str">
        <f>VLOOKUP(E9037,dicionario!$A$1:$C9436,2,0)</f>
        <v>Progne tapera</v>
      </c>
      <c r="H9037" s="6" t="str">
        <f>VLOOKUP(E9037,dicionario!$A$1:$C9436,3,0)</f>
        <v>andorinha-do-campo</v>
      </c>
    </row>
    <row r="9038">
      <c r="A9038" s="3">
        <v>45771.0</v>
      </c>
      <c r="B9038" s="4">
        <v>0.30416666666666664</v>
      </c>
      <c r="C9038" s="5" t="s">
        <v>59</v>
      </c>
      <c r="D9038" s="5" t="s">
        <v>1390</v>
      </c>
      <c r="E9038" s="8" t="s">
        <v>909</v>
      </c>
      <c r="F9038" s="5" t="s">
        <v>910</v>
      </c>
      <c r="G9038" s="6" t="str">
        <f>VLOOKUP(E9038,dicionario!$A$1:$C9437,2,0)</f>
        <v>Chordeiles acutipennis</v>
      </c>
      <c r="H9038" s="6" t="str">
        <f>VLOOKUP(E9038,dicionario!$A$1:$C9437,3,0)</f>
        <v>bacurau-de-asa-fina</v>
      </c>
    </row>
    <row r="9039">
      <c r="A9039" s="3">
        <v>45771.0</v>
      </c>
      <c r="B9039" s="4">
        <v>0.30486111111111114</v>
      </c>
      <c r="C9039" s="5" t="s">
        <v>59</v>
      </c>
      <c r="D9039" s="5" t="s">
        <v>1390</v>
      </c>
      <c r="E9039" s="8" t="s">
        <v>1328</v>
      </c>
      <c r="F9039" s="5" t="s">
        <v>356</v>
      </c>
      <c r="G9039" s="6" t="str">
        <f>VLOOKUP(E9039,dicionario!$A$1:$C9438,2,0)</f>
        <v>#N/A</v>
      </c>
      <c r="H9039" s="6" t="str">
        <f>VLOOKUP(E9039,dicionario!$A$1:$C9438,3,0)</f>
        <v>#N/A</v>
      </c>
    </row>
    <row r="9040">
      <c r="A9040" s="3">
        <v>45771.0</v>
      </c>
      <c r="B9040" s="4">
        <v>0.30486111111111114</v>
      </c>
      <c r="C9040" s="5" t="s">
        <v>59</v>
      </c>
      <c r="D9040" s="5" t="s">
        <v>1390</v>
      </c>
      <c r="E9040" s="8" t="s">
        <v>16</v>
      </c>
      <c r="F9040" s="5" t="s">
        <v>17</v>
      </c>
      <c r="G9040" s="6" t="str">
        <f>VLOOKUP(E9040,dicionario!$A$1:$C9439,2,0)</f>
        <v>Eupetomena macroura</v>
      </c>
      <c r="H9040" s="6" t="str">
        <f>VLOOKUP(E9040,dicionario!$A$1:$C9439,3,0)</f>
        <v>beija-flor-tesoura</v>
      </c>
    </row>
    <row r="9041">
      <c r="A9041" s="3">
        <v>45771.0</v>
      </c>
      <c r="B9041" s="4">
        <v>0.30486111111111114</v>
      </c>
      <c r="C9041" s="5" t="s">
        <v>59</v>
      </c>
      <c r="D9041" s="5" t="s">
        <v>1390</v>
      </c>
      <c r="E9041" s="8" t="s">
        <v>135</v>
      </c>
      <c r="F9041" s="5" t="s">
        <v>136</v>
      </c>
      <c r="G9041" s="6" t="str">
        <f>VLOOKUP(E9041,dicionario!$A$1:$C9440,2,0)</f>
        <v>Tridax procumbens</v>
      </c>
      <c r="H9041" s="6" t="str">
        <f>VLOOKUP(E9041,dicionario!$A$1:$C9440,3,0)</f>
        <v>erva-de-touro</v>
      </c>
    </row>
    <row r="9042">
      <c r="A9042" s="3">
        <v>45771.0</v>
      </c>
      <c r="B9042" s="4">
        <v>0.30486111111111114</v>
      </c>
      <c r="C9042" s="5" t="s">
        <v>59</v>
      </c>
      <c r="D9042" s="5" t="s">
        <v>1390</v>
      </c>
      <c r="E9042" s="6" t="s">
        <v>53</v>
      </c>
      <c r="F9042" s="5" t="s">
        <v>54</v>
      </c>
      <c r="G9042" s="6" t="str">
        <f>VLOOKUP(E9042,dicionario!$A$1:$C9441,2,0)</f>
        <v>Turnera subulata</v>
      </c>
      <c r="H9042" s="6" t="str">
        <f>VLOOKUP(E9042,dicionario!$A$1:$C9441,3,0)</f>
        <v>xanana</v>
      </c>
    </row>
    <row r="9043">
      <c r="A9043" s="3">
        <v>45771.0</v>
      </c>
      <c r="B9043" s="4">
        <v>0.3055555555555556</v>
      </c>
      <c r="C9043" s="5" t="s">
        <v>59</v>
      </c>
      <c r="D9043" s="5" t="s">
        <v>1390</v>
      </c>
      <c r="E9043" s="8" t="s">
        <v>173</v>
      </c>
      <c r="F9043" s="5" t="s">
        <v>1417</v>
      </c>
      <c r="G9043" s="6" t="str">
        <f>VLOOKUP(E9043,dicionario!$A$1:$C9442,2,0)</f>
        <v>Junonia evarete</v>
      </c>
      <c r="H9043" s="6" t="str">
        <f>VLOOKUP(E9043,dicionario!$A$1:$C9442,3,0)</f>
        <v>borboleta-olho-de-pavão-diúrno</v>
      </c>
    </row>
    <row r="9044">
      <c r="A9044" s="3">
        <v>45771.0</v>
      </c>
      <c r="B9044" s="4">
        <v>0.3055555555555556</v>
      </c>
      <c r="C9044" s="5" t="s">
        <v>59</v>
      </c>
      <c r="D9044" s="5" t="s">
        <v>1390</v>
      </c>
      <c r="E9044" s="8" t="s">
        <v>503</v>
      </c>
      <c r="F9044" s="5" t="s">
        <v>414</v>
      </c>
      <c r="G9044" s="6" t="str">
        <f>VLOOKUP(E9044,dicionario!$A$1:$C9443,2,0)</f>
        <v>Orphulella punctata</v>
      </c>
      <c r="H9044" s="6" t="str">
        <f>VLOOKUP(E9044,dicionario!$A$1:$C9443,3,0)</f>
        <v>gafanhotinho</v>
      </c>
    </row>
    <row r="9045">
      <c r="A9045" s="3">
        <v>45771.0</v>
      </c>
      <c r="B9045" s="4">
        <v>0.3055555555555556</v>
      </c>
      <c r="C9045" s="5" t="s">
        <v>59</v>
      </c>
      <c r="D9045" s="5" t="s">
        <v>1390</v>
      </c>
      <c r="E9045" s="8" t="s">
        <v>298</v>
      </c>
      <c r="F9045" s="7"/>
      <c r="G9045" s="6" t="str">
        <f>VLOOKUP(E9045,dicionario!$A$1:$C9444,2,0)</f>
        <v>Alysicarpus vaginalis</v>
      </c>
      <c r="H9045" s="6" t="str">
        <f>VLOOKUP(E9045,dicionario!$A$1:$C9444,3,0)</f>
        <v/>
      </c>
    </row>
    <row r="9046">
      <c r="A9046" s="3">
        <v>45771.0</v>
      </c>
      <c r="B9046" s="4">
        <v>0.3055555555555556</v>
      </c>
      <c r="C9046" s="5" t="s">
        <v>59</v>
      </c>
      <c r="D9046" s="5" t="s">
        <v>1390</v>
      </c>
      <c r="E9046" s="8" t="s">
        <v>1347</v>
      </c>
      <c r="F9046" s="5" t="s">
        <v>1168</v>
      </c>
      <c r="G9046" s="6" t="str">
        <f>VLOOKUP(E9046,dicionario!$A$1:$C9445,2,0)</f>
        <v>#N/A</v>
      </c>
      <c r="H9046" s="6" t="str">
        <f>VLOOKUP(E9046,dicionario!$A$1:$C9445,3,0)</f>
        <v>#N/A</v>
      </c>
    </row>
    <row r="9047">
      <c r="A9047" s="3">
        <v>45771.0</v>
      </c>
      <c r="B9047" s="4">
        <v>0.30625</v>
      </c>
      <c r="C9047" s="5" t="s">
        <v>59</v>
      </c>
      <c r="D9047" s="5" t="s">
        <v>1390</v>
      </c>
      <c r="E9047" s="8" t="s">
        <v>113</v>
      </c>
      <c r="F9047" s="5" t="s">
        <v>114</v>
      </c>
      <c r="G9047" s="6" t="str">
        <f>VLOOKUP(E9047,dicionario!$A$1:$C9446,2,0)</f>
        <v>Columbina talpacoti</v>
      </c>
      <c r="H9047" s="6" t="str">
        <f>VLOOKUP(E9047,dicionario!$A$1:$C9446,3,0)</f>
        <v>rolinha-roxa</v>
      </c>
    </row>
    <row r="9048">
      <c r="A9048" s="3">
        <v>45771.0</v>
      </c>
      <c r="B9048" s="4">
        <v>0.30625</v>
      </c>
      <c r="C9048" s="5" t="s">
        <v>59</v>
      </c>
      <c r="D9048" s="5" t="s">
        <v>1390</v>
      </c>
      <c r="E9048" s="8" t="s">
        <v>1296</v>
      </c>
      <c r="F9048" s="5" t="s">
        <v>1418</v>
      </c>
      <c r="G9048" s="6" t="str">
        <f>VLOOKUP(E9048,dicionario!$A$1:$C9447,2,0)</f>
        <v>#N/A</v>
      </c>
      <c r="H9048" s="6" t="str">
        <f>VLOOKUP(E9048,dicionario!$A$1:$C9447,3,0)</f>
        <v>#N/A</v>
      </c>
    </row>
    <row r="9049">
      <c r="A9049" s="3">
        <v>45771.0</v>
      </c>
      <c r="B9049" s="4">
        <v>0.30625</v>
      </c>
      <c r="C9049" s="5" t="s">
        <v>59</v>
      </c>
      <c r="D9049" s="5" t="s">
        <v>1390</v>
      </c>
      <c r="E9049" s="20" t="s">
        <v>676</v>
      </c>
      <c r="F9049" s="5" t="s">
        <v>677</v>
      </c>
      <c r="G9049" s="6" t="str">
        <f>VLOOKUP(E9049,dicionario!$A$1:$C9448,2,0)</f>
        <v>Zornia latifolia</v>
      </c>
      <c r="H9049" s="6" t="str">
        <f>VLOOKUP(E9049,dicionario!$A$1:$C9448,3,0)</f>
        <v>arrozinho-do-campo</v>
      </c>
    </row>
    <row r="9050">
      <c r="A9050" s="3">
        <v>45771.0</v>
      </c>
      <c r="B9050" s="4">
        <v>0.30625</v>
      </c>
      <c r="C9050" s="5" t="s">
        <v>59</v>
      </c>
      <c r="D9050" s="5" t="s">
        <v>1390</v>
      </c>
      <c r="E9050" s="8" t="s">
        <v>144</v>
      </c>
      <c r="F9050" s="5" t="s">
        <v>145</v>
      </c>
      <c r="G9050" s="6" t="str">
        <f>VLOOKUP(E9050,dicionario!$A$1:$C9449,2,0)</f>
        <v>Gomphrena globosa</v>
      </c>
      <c r="H9050" s="6" t="str">
        <f>VLOOKUP(E9050,dicionario!$A$1:$C9449,3,0)</f>
        <v>perpétua-rosa</v>
      </c>
    </row>
    <row r="9051">
      <c r="A9051" s="3">
        <v>45771.0</v>
      </c>
      <c r="B9051" s="4">
        <v>0.30694444444444446</v>
      </c>
      <c r="C9051" s="5" t="s">
        <v>59</v>
      </c>
      <c r="D9051" s="5" t="s">
        <v>1390</v>
      </c>
      <c r="E9051" s="8" t="s">
        <v>239</v>
      </c>
      <c r="F9051" s="5" t="s">
        <v>240</v>
      </c>
      <c r="G9051" s="6" t="str">
        <f>VLOOKUP(E9051,dicionario!$A$1:$C9450,2,0)</f>
        <v>Gomphrena celosioides</v>
      </c>
      <c r="H9051" s="6" t="str">
        <f>VLOOKUP(E9051,dicionario!$A$1:$C9450,3,0)</f>
        <v>perpétua-branca</v>
      </c>
    </row>
    <row r="9052">
      <c r="A9052" s="3">
        <v>45771.0</v>
      </c>
      <c r="B9052" s="4">
        <v>0.30694444444444446</v>
      </c>
      <c r="C9052" s="5" t="s">
        <v>59</v>
      </c>
      <c r="D9052" s="5" t="s">
        <v>1390</v>
      </c>
      <c r="E9052" s="8" t="s">
        <v>65</v>
      </c>
      <c r="F9052" s="5" t="s">
        <v>66</v>
      </c>
      <c r="G9052" s="6" t="str">
        <f>VLOOKUP(E9052,dicionario!$A$1:$C9451,2,0)</f>
        <v>Pitangus sulphutarus</v>
      </c>
      <c r="H9052" s="6" t="str">
        <f>VLOOKUP(E9052,dicionario!$A$1:$C9451,3,0)</f>
        <v>bem-te-vi</v>
      </c>
    </row>
    <row r="9053">
      <c r="A9053" s="3">
        <v>45771.0</v>
      </c>
      <c r="B9053" s="4">
        <v>0.30694444444444446</v>
      </c>
      <c r="C9053" s="5" t="s">
        <v>59</v>
      </c>
      <c r="D9053" s="5" t="s">
        <v>1390</v>
      </c>
      <c r="E9053" s="8" t="s">
        <v>195</v>
      </c>
      <c r="F9053" s="5" t="s">
        <v>196</v>
      </c>
      <c r="G9053" s="6" t="str">
        <f>VLOOKUP(E9053,dicionario!$A$1:$C9452,2,0)</f>
        <v>Priva lappulacea</v>
      </c>
      <c r="H9053" s="6" t="str">
        <f>VLOOKUP(E9053,dicionario!$A$1:$C9452,3,0)</f>
        <v>carrapicho</v>
      </c>
    </row>
    <row r="9054">
      <c r="A9054" s="3">
        <v>45771.0</v>
      </c>
      <c r="B9054" s="4">
        <v>0.30694444444444446</v>
      </c>
      <c r="C9054" s="5" t="s">
        <v>59</v>
      </c>
      <c r="D9054" s="5" t="s">
        <v>1390</v>
      </c>
      <c r="E9054" s="8" t="s">
        <v>1412</v>
      </c>
      <c r="F9054" s="5" t="s">
        <v>73</v>
      </c>
      <c r="G9054" s="6" t="str">
        <f>VLOOKUP(E9054,dicionario!$A$1:$C9453,2,0)</f>
        <v>#N/A</v>
      </c>
      <c r="H9054" s="6" t="str">
        <f>VLOOKUP(E9054,dicionario!$A$1:$C9453,3,0)</f>
        <v>#N/A</v>
      </c>
    </row>
    <row r="9055">
      <c r="A9055" s="3">
        <v>45771.0</v>
      </c>
      <c r="B9055" s="4">
        <v>0.30833333333333335</v>
      </c>
      <c r="C9055" s="5" t="s">
        <v>59</v>
      </c>
      <c r="D9055" s="5" t="s">
        <v>1390</v>
      </c>
      <c r="E9055" s="8" t="s">
        <v>1419</v>
      </c>
      <c r="F9055" s="5" t="s">
        <v>1420</v>
      </c>
      <c r="G9055" s="6" t="str">
        <f>VLOOKUP(E9055,dicionario!$A$1:$C9454,2,0)</f>
        <v>Parabuteo unicinctus</v>
      </c>
      <c r="H9055" s="6" t="str">
        <f>VLOOKUP(E9055,dicionario!$A$1:$C9454,3,0)</f>
        <v>gavião-asa-de-telha</v>
      </c>
    </row>
    <row r="9056">
      <c r="A9056" s="3">
        <v>45771.0</v>
      </c>
      <c r="B9056" s="4">
        <v>0.3090277777777778</v>
      </c>
      <c r="C9056" s="5" t="s">
        <v>59</v>
      </c>
      <c r="D9056" s="5" t="s">
        <v>1390</v>
      </c>
      <c r="E9056" s="8" t="s">
        <v>227</v>
      </c>
      <c r="F9056" s="5" t="s">
        <v>228</v>
      </c>
      <c r="G9056" s="6" t="str">
        <f>VLOOKUP(E9056,dicionario!$A$1:$C9455,2,0)</f>
        <v>Indigofera hirsuta</v>
      </c>
      <c r="H9056" s="6" t="str">
        <f>VLOOKUP(E9056,dicionario!$A$1:$C9455,3,0)</f>
        <v>anileira</v>
      </c>
    </row>
    <row r="9057">
      <c r="A9057" s="3">
        <v>45771.0</v>
      </c>
      <c r="B9057" s="4">
        <v>0.30972222222222223</v>
      </c>
      <c r="C9057" s="5" t="s">
        <v>59</v>
      </c>
      <c r="D9057" s="5" t="s">
        <v>1390</v>
      </c>
      <c r="E9057" s="8" t="s">
        <v>1421</v>
      </c>
      <c r="F9057" s="5" t="s">
        <v>1128</v>
      </c>
      <c r="G9057" s="6" t="str">
        <f>VLOOKUP(E9057,dicionario!$A$1:$C9456,2,0)</f>
        <v>#N/A</v>
      </c>
      <c r="H9057" s="6" t="str">
        <f>VLOOKUP(E9057,dicionario!$A$1:$C9456,3,0)</f>
        <v>#N/A</v>
      </c>
    </row>
    <row r="9058">
      <c r="A9058" s="3">
        <v>45771.0</v>
      </c>
      <c r="B9058" s="4">
        <v>0.3104166666666667</v>
      </c>
      <c r="C9058" s="5" t="s">
        <v>59</v>
      </c>
      <c r="D9058" s="5" t="s">
        <v>1390</v>
      </c>
      <c r="E9058" s="8" t="s">
        <v>736</v>
      </c>
      <c r="F9058" s="5" t="s">
        <v>737</v>
      </c>
      <c r="G9058" s="6" t="str">
        <f>VLOOKUP(E9058,dicionario!$A$1:$C9457,2,0)</f>
        <v>Chloris virgata</v>
      </c>
      <c r="H9058" s="6" t="str">
        <f>VLOOKUP(E9058,dicionario!$A$1:$C9457,3,0)</f>
        <v>capim-pavão</v>
      </c>
    </row>
    <row r="9059">
      <c r="A9059" s="3">
        <v>45771.0</v>
      </c>
      <c r="B9059" s="4">
        <v>0.3111111111111111</v>
      </c>
      <c r="C9059" s="5" t="s">
        <v>59</v>
      </c>
      <c r="D9059" s="5" t="s">
        <v>1390</v>
      </c>
      <c r="E9059" s="8" t="s">
        <v>1328</v>
      </c>
      <c r="F9059" s="5" t="s">
        <v>356</v>
      </c>
      <c r="G9059" s="6" t="str">
        <f>VLOOKUP(E9059,dicionario!$A$1:$C9458,2,0)</f>
        <v>#N/A</v>
      </c>
      <c r="H9059" s="6" t="str">
        <f>VLOOKUP(E9059,dicionario!$A$1:$C9458,3,0)</f>
        <v>#N/A</v>
      </c>
    </row>
    <row r="9060">
      <c r="A9060" s="3">
        <v>45771.0</v>
      </c>
      <c r="B9060" s="4">
        <v>0.31180555555555556</v>
      </c>
      <c r="C9060" s="5" t="s">
        <v>59</v>
      </c>
      <c r="D9060" s="5" t="s">
        <v>1390</v>
      </c>
      <c r="E9060" s="8" t="s">
        <v>99</v>
      </c>
      <c r="F9060" s="5" t="s">
        <v>508</v>
      </c>
      <c r="G9060" s="6" t="str">
        <f>VLOOKUP(E9060,dicionario!$A$1:$C9459,2,0)</f>
        <v>Molothrus bonariensis</v>
      </c>
      <c r="H9060" s="6" t="str">
        <f>VLOOKUP(E9060,dicionario!$A$1:$C9459,3,0)</f>
        <v>chupim</v>
      </c>
    </row>
    <row r="9061">
      <c r="A9061" s="3">
        <v>45771.0</v>
      </c>
      <c r="B9061" s="4">
        <v>0.31180555555555556</v>
      </c>
      <c r="C9061" s="5" t="s">
        <v>59</v>
      </c>
      <c r="D9061" s="5" t="s">
        <v>1390</v>
      </c>
      <c r="E9061" s="8" t="s">
        <v>370</v>
      </c>
      <c r="F9061" s="5" t="s">
        <v>371</v>
      </c>
      <c r="G9061" s="6" t="str">
        <f>VLOOKUP(E9061,dicionario!$A$1:$C9460,2,0)</f>
        <v>Mimus saturninus</v>
      </c>
      <c r="H9061" s="6" t="str">
        <f>VLOOKUP(E9061,dicionario!$A$1:$C9460,3,0)</f>
        <v>sabiá-do-campo</v>
      </c>
    </row>
    <row r="9062">
      <c r="A9062" s="3">
        <v>45771.0</v>
      </c>
      <c r="B9062" s="4">
        <v>0.31180555555555556</v>
      </c>
      <c r="C9062" s="5" t="s">
        <v>59</v>
      </c>
      <c r="D9062" s="5" t="s">
        <v>1390</v>
      </c>
      <c r="E9062" s="8" t="s">
        <v>1087</v>
      </c>
      <c r="F9062" s="5" t="s">
        <v>1088</v>
      </c>
      <c r="G9062" s="6" t="str">
        <f>VLOOKUP(E9062,dicionario!$A$1:$C9461,2,0)</f>
        <v>Desmodium triflorum</v>
      </c>
      <c r="H9062" s="6" t="str">
        <f>VLOOKUP(E9062,dicionario!$A$1:$C9461,3,0)</f>
        <v/>
      </c>
    </row>
    <row r="9063">
      <c r="A9063" s="3">
        <v>45771.0</v>
      </c>
      <c r="B9063" s="4">
        <v>0.31319444444444444</v>
      </c>
      <c r="C9063" s="5" t="s">
        <v>64</v>
      </c>
      <c r="D9063" s="5" t="s">
        <v>1390</v>
      </c>
      <c r="E9063" s="8" t="s">
        <v>193</v>
      </c>
      <c r="F9063" s="5" t="s">
        <v>194</v>
      </c>
      <c r="G9063" s="6" t="str">
        <f>VLOOKUP(E9063,dicionario!$A$1:$C9462,2,0)</f>
        <v>Conirostrum speciosum</v>
      </c>
      <c r="H9063" s="6" t="str">
        <f>VLOOKUP(E9063,dicionario!$A$1:$C9462,3,0)</f>
        <v>figuinha-de-rabo-castanho</v>
      </c>
    </row>
    <row r="9064">
      <c r="A9064" s="3">
        <v>45771.0</v>
      </c>
      <c r="B9064" s="4">
        <v>0.31319444444444444</v>
      </c>
      <c r="C9064" s="5" t="s">
        <v>64</v>
      </c>
      <c r="D9064" s="5" t="s">
        <v>1390</v>
      </c>
      <c r="E9064" s="8" t="s">
        <v>109</v>
      </c>
      <c r="F9064" s="5" t="s">
        <v>110</v>
      </c>
      <c r="G9064" s="6" t="str">
        <f>VLOOKUP(E9064,dicionario!$A$1:$C9463,2,0)</f>
        <v>Tillandsia stricta</v>
      </c>
      <c r="H9064" s="6" t="str">
        <f>VLOOKUP(E9064,dicionario!$A$1:$C9463,3,0)</f>
        <v>cravo-do-mato</v>
      </c>
    </row>
    <row r="9065">
      <c r="A9065" s="3">
        <v>45771.0</v>
      </c>
      <c r="B9065" s="4">
        <v>0.31319444444444444</v>
      </c>
      <c r="C9065" s="5" t="s">
        <v>64</v>
      </c>
      <c r="D9065" s="5" t="s">
        <v>1390</v>
      </c>
      <c r="E9065" s="6" t="s">
        <v>251</v>
      </c>
      <c r="F9065" s="5" t="s">
        <v>252</v>
      </c>
      <c r="G9065" s="6" t="str">
        <f>VLOOKUP(E9065,dicionario!$A$1:$C9464,2,0)</f>
        <v>Struthanthus flexicaulis</v>
      </c>
      <c r="H9065" s="6" t="str">
        <f>VLOOKUP(E9065,dicionario!$A$1:$C9464,3,0)</f>
        <v>erva-de-passarinho</v>
      </c>
    </row>
    <row r="9066">
      <c r="A9066" s="3">
        <v>45771.0</v>
      </c>
      <c r="B9066" s="4">
        <v>0.3138888888888889</v>
      </c>
      <c r="C9066" s="5" t="s">
        <v>64</v>
      </c>
      <c r="D9066" s="5" t="s">
        <v>1390</v>
      </c>
      <c r="E9066" s="8" t="s">
        <v>253</v>
      </c>
      <c r="F9066" s="5" t="s">
        <v>254</v>
      </c>
      <c r="G9066" s="6" t="str">
        <f>VLOOKUP(E9066,dicionario!$A$1:$C9465,2,0)</f>
        <v>Panicum maximum</v>
      </c>
      <c r="H9066" s="6" t="str">
        <f>VLOOKUP(E9066,dicionario!$A$1:$C9465,3,0)</f>
        <v>capim-colonião</v>
      </c>
    </row>
    <row r="9067">
      <c r="A9067" s="3">
        <v>45771.0</v>
      </c>
      <c r="B9067" s="4">
        <v>0.3138888888888889</v>
      </c>
      <c r="C9067" s="5" t="s">
        <v>64</v>
      </c>
      <c r="D9067" s="5" t="s">
        <v>1390</v>
      </c>
      <c r="E9067" s="6" t="s">
        <v>48</v>
      </c>
      <c r="F9067" s="5" t="s">
        <v>49</v>
      </c>
      <c r="G9067" s="6" t="str">
        <f>VLOOKUP(E9067,dicionario!$A$1:$C9466,2,0)</f>
        <v>Commelina erecta</v>
      </c>
      <c r="H9067" s="6" t="str">
        <f>VLOOKUP(E9067,dicionario!$A$1:$C9466,3,0)</f>
        <v>trapoeraba</v>
      </c>
    </row>
    <row r="9068">
      <c r="A9068" s="3">
        <v>45771.0</v>
      </c>
      <c r="B9068" s="4">
        <v>0.3138888888888889</v>
      </c>
      <c r="C9068" s="5" t="s">
        <v>64</v>
      </c>
      <c r="D9068" s="5" t="s">
        <v>1390</v>
      </c>
      <c r="E9068" s="8" t="s">
        <v>1324</v>
      </c>
      <c r="F9068" s="5" t="s">
        <v>1246</v>
      </c>
      <c r="G9068" s="6" t="str">
        <f>VLOOKUP(E9068,dicionario!$A$1:$C9467,2,0)</f>
        <v>#N/A</v>
      </c>
      <c r="H9068" s="6" t="str">
        <f>VLOOKUP(E9068,dicionario!$A$1:$C9467,3,0)</f>
        <v>#N/A</v>
      </c>
    </row>
    <row r="9069">
      <c r="A9069" s="3">
        <v>45771.0</v>
      </c>
      <c r="B9069" s="4">
        <v>0.3138888888888889</v>
      </c>
      <c r="C9069" s="5" t="s">
        <v>64</v>
      </c>
      <c r="D9069" s="5" t="s">
        <v>1390</v>
      </c>
      <c r="E9069" s="8" t="s">
        <v>195</v>
      </c>
      <c r="F9069" s="5" t="s">
        <v>196</v>
      </c>
      <c r="G9069" s="6" t="str">
        <f>VLOOKUP(E9069,dicionario!$A$1:$C9468,2,0)</f>
        <v>Priva lappulacea</v>
      </c>
      <c r="H9069" s="6" t="str">
        <f>VLOOKUP(E9069,dicionario!$A$1:$C9468,3,0)</f>
        <v>carrapicho</v>
      </c>
    </row>
    <row r="9070">
      <c r="A9070" s="3">
        <v>45771.0</v>
      </c>
      <c r="B9070" s="4">
        <v>0.3145833333333333</v>
      </c>
      <c r="C9070" s="5" t="s">
        <v>64</v>
      </c>
      <c r="D9070" s="5" t="s">
        <v>1390</v>
      </c>
      <c r="E9070" s="8" t="s">
        <v>154</v>
      </c>
      <c r="F9070" s="5" t="s">
        <v>155</v>
      </c>
      <c r="G9070" s="6" t="str">
        <f>VLOOKUP(E9070,dicionario!$A$1:$C9469,2,0)</f>
        <v>Cyperus rotundus</v>
      </c>
      <c r="H9070" s="6" t="str">
        <f>VLOOKUP(E9070,dicionario!$A$1:$C9469,3,0)</f>
        <v>tiririca</v>
      </c>
    </row>
    <row r="9071">
      <c r="A9071" s="3">
        <v>45771.0</v>
      </c>
      <c r="B9071" s="4">
        <v>0.3145833333333333</v>
      </c>
      <c r="C9071" s="5" t="s">
        <v>64</v>
      </c>
      <c r="D9071" s="5" t="s">
        <v>1390</v>
      </c>
      <c r="E9071" s="8" t="s">
        <v>792</v>
      </c>
      <c r="F9071" s="5" t="s">
        <v>1014</v>
      </c>
      <c r="G9071" s="6" t="str">
        <f>VLOOKUP(E9071,dicionario!$A$1:$C9470,2,0)</f>
        <v>Musca domestica</v>
      </c>
      <c r="H9071" s="6" t="str">
        <f>VLOOKUP(E9071,dicionario!$A$1:$C9470,3,0)</f>
        <v>mosca-doméstica</v>
      </c>
    </row>
    <row r="9072">
      <c r="A9072" s="3">
        <v>45771.0</v>
      </c>
      <c r="B9072" s="4">
        <v>0.31527777777777777</v>
      </c>
      <c r="C9072" s="5" t="s">
        <v>64</v>
      </c>
      <c r="D9072" s="5" t="s">
        <v>1390</v>
      </c>
      <c r="E9072" s="8" t="s">
        <v>65</v>
      </c>
      <c r="F9072" s="5" t="s">
        <v>66</v>
      </c>
      <c r="G9072" s="6" t="str">
        <f>VLOOKUP(E9072,dicionario!$A$1:$C9471,2,0)</f>
        <v>Pitangus sulphutarus</v>
      </c>
      <c r="H9072" s="6" t="str">
        <f>VLOOKUP(E9072,dicionario!$A$1:$C9471,3,0)</f>
        <v>bem-te-vi</v>
      </c>
    </row>
    <row r="9073">
      <c r="A9073" s="3">
        <v>45771.0</v>
      </c>
      <c r="B9073" s="4">
        <v>0.31527777777777777</v>
      </c>
      <c r="C9073" s="5" t="s">
        <v>64</v>
      </c>
      <c r="D9073" s="5" t="s">
        <v>1390</v>
      </c>
      <c r="E9073" s="8" t="s">
        <v>72</v>
      </c>
      <c r="F9073" s="5" t="s">
        <v>73</v>
      </c>
      <c r="G9073" s="6" t="str">
        <f>VLOOKUP(E9073,dicionario!$A$1:$C9472,2,0)</f>
        <v>Thraupis palmarum</v>
      </c>
      <c r="H9073" s="6" t="str">
        <f>VLOOKUP(E9073,dicionario!$A$1:$C9472,3,0)</f>
        <v>sanhaço-do-coqueiro</v>
      </c>
    </row>
    <row r="9074">
      <c r="A9074" s="3">
        <v>45771.0</v>
      </c>
      <c r="B9074" s="4">
        <v>0.31527777777777777</v>
      </c>
      <c r="C9074" s="5" t="s">
        <v>64</v>
      </c>
      <c r="D9074" s="5" t="s">
        <v>1390</v>
      </c>
      <c r="E9074" s="8" t="s">
        <v>1282</v>
      </c>
      <c r="F9074" s="5" t="s">
        <v>182</v>
      </c>
      <c r="G9074" s="6" t="str">
        <f>VLOOKUP(E9074,dicionario!$A$1:$C9473,2,0)</f>
        <v>#N/A</v>
      </c>
      <c r="H9074" s="6" t="str">
        <f>VLOOKUP(E9074,dicionario!$A$1:$C9473,3,0)</f>
        <v>#N/A</v>
      </c>
    </row>
    <row r="9075">
      <c r="A9075" s="3">
        <v>45771.0</v>
      </c>
      <c r="B9075" s="4">
        <v>0.31527777777777777</v>
      </c>
      <c r="C9075" s="5" t="s">
        <v>64</v>
      </c>
      <c r="D9075" s="5" t="s">
        <v>1390</v>
      </c>
      <c r="E9075" s="8" t="s">
        <v>141</v>
      </c>
      <c r="F9075" s="5" t="s">
        <v>142</v>
      </c>
      <c r="G9075" s="6" t="str">
        <f>VLOOKUP(E9075,dicionario!$A$1:$C9474,2,0)</f>
        <v>Ruellia blechum</v>
      </c>
      <c r="H9075" s="6" t="str">
        <f>VLOOKUP(E9075,dicionario!$A$1:$C9474,3,0)</f>
        <v>camarão-verde</v>
      </c>
    </row>
    <row r="9076">
      <c r="A9076" s="3">
        <v>45771.0</v>
      </c>
      <c r="B9076" s="4">
        <v>0.31527777777777777</v>
      </c>
      <c r="C9076" s="5" t="s">
        <v>64</v>
      </c>
      <c r="D9076" s="5" t="s">
        <v>1390</v>
      </c>
      <c r="E9076" s="8" t="s">
        <v>191</v>
      </c>
      <c r="F9076" s="5" t="s">
        <v>192</v>
      </c>
      <c r="G9076" s="6" t="str">
        <f>VLOOKUP(E9076,dicionario!$A$1:$C9475,2,0)</f>
        <v>Patagioenas picazuro</v>
      </c>
      <c r="H9076" s="6" t="str">
        <f>VLOOKUP(E9076,dicionario!$A$1:$C9475,3,0)</f>
        <v>asa-branca; pomba-asa-branca; pocaçu</v>
      </c>
    </row>
    <row r="9077">
      <c r="A9077" s="3">
        <v>45771.0</v>
      </c>
      <c r="B9077" s="4">
        <v>0.31527777777777777</v>
      </c>
      <c r="C9077" s="5" t="s">
        <v>64</v>
      </c>
      <c r="D9077" s="5" t="s">
        <v>1390</v>
      </c>
      <c r="E9077" s="8" t="s">
        <v>624</v>
      </c>
      <c r="F9077" s="5" t="s">
        <v>133</v>
      </c>
      <c r="G9077" s="6" t="str">
        <f>VLOOKUP(E9077,dicionario!$A$1:$C9476,2,0)</f>
        <v>Euphonia violacea</v>
      </c>
      <c r="H9077" s="6" t="str">
        <f>VLOOKUP(E9077,dicionario!$A$1:$C9476,3,0)</f>
        <v>gaturamo-verdadeiro</v>
      </c>
    </row>
    <row r="9078">
      <c r="A9078" s="3">
        <v>45771.0</v>
      </c>
      <c r="B9078" s="4">
        <v>0.31527777777777777</v>
      </c>
      <c r="C9078" s="5" t="s">
        <v>64</v>
      </c>
      <c r="D9078" s="5" t="s">
        <v>1390</v>
      </c>
      <c r="E9078" s="8" t="s">
        <v>928</v>
      </c>
      <c r="F9078" s="5" t="s">
        <v>418</v>
      </c>
      <c r="G9078" s="6" t="str">
        <f>VLOOKUP(E9078,dicionario!$A$1:$C9477,2,0)</f>
        <v>Camponotus</v>
      </c>
      <c r="H9078" s="6" t="str">
        <f>VLOOKUP(E9078,dicionario!$A$1:$C9477,3,0)</f>
        <v>formiga-preta</v>
      </c>
    </row>
    <row r="9079">
      <c r="A9079" s="3">
        <v>45771.0</v>
      </c>
      <c r="B9079" s="4">
        <v>0.3159722222222222</v>
      </c>
      <c r="C9079" s="5" t="s">
        <v>64</v>
      </c>
      <c r="D9079" s="5" t="s">
        <v>1390</v>
      </c>
      <c r="E9079" s="8" t="s">
        <v>213</v>
      </c>
      <c r="F9079" s="5" t="s">
        <v>214</v>
      </c>
      <c r="G9079" s="6" t="str">
        <f>VLOOKUP(E9079,dicionario!$A$1:$C9478,2,0)</f>
        <v>Myiozetetes similis</v>
      </c>
      <c r="H9079" s="6" t="str">
        <f>VLOOKUP(E9079,dicionario!$A$1:$C9478,3,0)</f>
        <v>bentevizinho-de-penacho-vermelho</v>
      </c>
    </row>
    <row r="9080">
      <c r="A9080" s="3">
        <v>45771.0</v>
      </c>
      <c r="B9080" s="4">
        <v>0.3159722222222222</v>
      </c>
      <c r="C9080" s="5" t="s">
        <v>64</v>
      </c>
      <c r="D9080" s="5" t="s">
        <v>1390</v>
      </c>
      <c r="E9080" s="6" t="s">
        <v>328</v>
      </c>
      <c r="F9080" s="5" t="s">
        <v>329</v>
      </c>
      <c r="G9080" s="6" t="str">
        <f>VLOOKUP(E9080,dicionario!$A$1:$C9479,2,0)</f>
        <v>Rivina humilis</v>
      </c>
      <c r="H9080" s="6" t="str">
        <f>VLOOKUP(E9080,dicionario!$A$1:$C9479,3,0)</f>
        <v>baga-de-sangue</v>
      </c>
    </row>
    <row r="9081">
      <c r="A9081" s="3">
        <v>45771.0</v>
      </c>
      <c r="B9081" s="4">
        <v>0.3159722222222222</v>
      </c>
      <c r="C9081" s="5" t="s">
        <v>64</v>
      </c>
      <c r="D9081" s="5" t="s">
        <v>1390</v>
      </c>
      <c r="E9081" s="8" t="s">
        <v>1406</v>
      </c>
      <c r="F9081" s="5" t="s">
        <v>172</v>
      </c>
      <c r="G9081" s="6" t="str">
        <f>VLOOKUP(E9081,dicionario!$A$1:$C9480,2,0)</f>
        <v>#N/A</v>
      </c>
      <c r="H9081" s="6" t="str">
        <f>VLOOKUP(E9081,dicionario!$A$1:$C9480,3,0)</f>
        <v>#N/A</v>
      </c>
    </row>
    <row r="9082">
      <c r="A9082" s="3">
        <v>45771.0</v>
      </c>
      <c r="B9082" s="4">
        <v>0.3159722222222222</v>
      </c>
      <c r="C9082" s="5" t="s">
        <v>64</v>
      </c>
      <c r="D9082" s="5" t="s">
        <v>1390</v>
      </c>
      <c r="E9082" s="6" t="s">
        <v>467</v>
      </c>
      <c r="F9082" s="5" t="s">
        <v>468</v>
      </c>
      <c r="G9082" s="6" t="str">
        <f>VLOOKUP(E9082,dicionario!$A$1:$C9481,2,0)</f>
        <v>Eleusine indica</v>
      </c>
      <c r="H9082" s="6" t="str">
        <f>VLOOKUP(E9082,dicionario!$A$1:$C9481,3,0)</f>
        <v>capim-pé-de-galinha</v>
      </c>
    </row>
    <row r="9083">
      <c r="A9083" s="3">
        <v>45771.0</v>
      </c>
      <c r="B9083" s="4">
        <v>0.31666666666666665</v>
      </c>
      <c r="C9083" s="5" t="s">
        <v>64</v>
      </c>
      <c r="D9083" s="5" t="s">
        <v>1390</v>
      </c>
      <c r="E9083" s="8" t="s">
        <v>91</v>
      </c>
      <c r="F9083" s="5" t="s">
        <v>92</v>
      </c>
      <c r="G9083" s="6" t="str">
        <f>VLOOKUP(E9083,dicionario!$A$1:$C9482,2,0)</f>
        <v>Picumnus cirratus</v>
      </c>
      <c r="H9083" s="6" t="str">
        <f>VLOOKUP(E9083,dicionario!$A$1:$C9482,3,0)</f>
        <v>picapauzinho-barrado</v>
      </c>
    </row>
    <row r="9084">
      <c r="A9084" s="3">
        <v>45771.0</v>
      </c>
      <c r="B9084" s="4">
        <v>0.31666666666666665</v>
      </c>
      <c r="C9084" s="5" t="s">
        <v>64</v>
      </c>
      <c r="D9084" s="5" t="s">
        <v>1390</v>
      </c>
      <c r="E9084" s="8" t="s">
        <v>38</v>
      </c>
      <c r="F9084" s="5" t="s">
        <v>1251</v>
      </c>
      <c r="G9084" s="6" t="str">
        <f>VLOOKUP(E9084,dicionario!$A$1:$C9483,2,0)</f>
        <v>Troglodytes musculus</v>
      </c>
      <c r="H9084" s="6" t="str">
        <f>VLOOKUP(E9084,dicionario!$A$1:$C9483,3,0)</f>
        <v>curruíra</v>
      </c>
    </row>
    <row r="9085">
      <c r="A9085" s="3">
        <v>45771.0</v>
      </c>
      <c r="B9085" s="4">
        <v>0.31666666666666665</v>
      </c>
      <c r="C9085" s="5" t="s">
        <v>64</v>
      </c>
      <c r="D9085" s="5" t="s">
        <v>1390</v>
      </c>
      <c r="E9085" s="8" t="s">
        <v>162</v>
      </c>
      <c r="F9085" s="5" t="s">
        <v>42</v>
      </c>
      <c r="G9085" s="6" t="str">
        <f>VLOOKUP(E9085,dicionario!$A$1:$C9484,2,0)</f>
        <v>Fluvicola nengeta</v>
      </c>
      <c r="H9085" s="6" t="str">
        <f>VLOOKUP(E9085,dicionario!$A$1:$C9484,3,0)</f>
        <v>lavadeira-mascarada</v>
      </c>
    </row>
    <row r="9086">
      <c r="A9086" s="3">
        <v>45771.0</v>
      </c>
      <c r="B9086" s="4">
        <v>0.31666666666666665</v>
      </c>
      <c r="C9086" s="5" t="s">
        <v>64</v>
      </c>
      <c r="D9086" s="5" t="s">
        <v>1390</v>
      </c>
      <c r="E9086" s="8" t="s">
        <v>113</v>
      </c>
      <c r="F9086" s="5" t="s">
        <v>114</v>
      </c>
      <c r="G9086" s="6" t="str">
        <f>VLOOKUP(E9086,dicionario!$A$1:$C9485,2,0)</f>
        <v>Columbina talpacoti</v>
      </c>
      <c r="H9086" s="6" t="str">
        <f>VLOOKUP(E9086,dicionario!$A$1:$C9485,3,0)</f>
        <v>rolinha-roxa</v>
      </c>
    </row>
    <row r="9087">
      <c r="A9087" s="3">
        <v>45771.0</v>
      </c>
      <c r="B9087" s="4">
        <v>0.31805555555555554</v>
      </c>
      <c r="C9087" s="5" t="s">
        <v>64</v>
      </c>
      <c r="D9087" s="5" t="s">
        <v>1390</v>
      </c>
      <c r="E9087" s="8" t="s">
        <v>1422</v>
      </c>
      <c r="F9087" s="5" t="s">
        <v>1423</v>
      </c>
      <c r="G9087" s="6" t="str">
        <f>VLOOKUP(E9087,dicionario!$A$1:$C9486,2,0)</f>
        <v>Chroicocephalus cirrocephalus</v>
      </c>
      <c r="H9087" s="6" t="str">
        <f>VLOOKUP(E9087,dicionario!$A$1:$C9486,3,0)</f>
        <v>gaivota-de-cabeça-cinza</v>
      </c>
    </row>
    <row r="9088">
      <c r="A9088" s="3">
        <v>45771.0</v>
      </c>
      <c r="B9088" s="4">
        <v>0.31805555555555554</v>
      </c>
      <c r="C9088" s="5" t="s">
        <v>64</v>
      </c>
      <c r="D9088" s="5" t="s">
        <v>1390</v>
      </c>
      <c r="E9088" s="8" t="s">
        <v>43</v>
      </c>
      <c r="F9088" s="5" t="s">
        <v>44</v>
      </c>
      <c r="G9088" s="6" t="str">
        <f>VLOOKUP(E9088,dicionario!$A$1:$C9487,2,0)</f>
        <v>Columba livia</v>
      </c>
      <c r="H9088" s="6" t="str">
        <f>VLOOKUP(E9088,dicionario!$A$1:$C9487,3,0)</f>
        <v>pombo-doméstico</v>
      </c>
    </row>
    <row r="9089">
      <c r="A9089" s="3">
        <v>45771.0</v>
      </c>
      <c r="B9089" s="4">
        <v>0.3236111111111111</v>
      </c>
      <c r="C9089" s="5" t="s">
        <v>76</v>
      </c>
      <c r="D9089" s="5" t="s">
        <v>1390</v>
      </c>
      <c r="E9089" s="8" t="s">
        <v>65</v>
      </c>
      <c r="F9089" s="5" t="s">
        <v>66</v>
      </c>
      <c r="G9089" s="6" t="str">
        <f>VLOOKUP(E9089,dicionario!$A$1:$C9488,2,0)</f>
        <v>Pitangus sulphutarus</v>
      </c>
      <c r="H9089" s="6" t="str">
        <f>VLOOKUP(E9089,dicionario!$A$1:$C9488,3,0)</f>
        <v>bem-te-vi</v>
      </c>
    </row>
    <row r="9090">
      <c r="A9090" s="3">
        <v>45771.0</v>
      </c>
      <c r="B9090" s="4">
        <v>0.3236111111111111</v>
      </c>
      <c r="C9090" s="5" t="s">
        <v>76</v>
      </c>
      <c r="D9090" s="5" t="s">
        <v>1390</v>
      </c>
      <c r="E9090" s="8" t="s">
        <v>1412</v>
      </c>
      <c r="F9090" s="5" t="s">
        <v>73</v>
      </c>
      <c r="G9090" s="6" t="str">
        <f>VLOOKUP(E9090,dicionario!$A$1:$C9489,2,0)</f>
        <v>#N/A</v>
      </c>
      <c r="H9090" s="6" t="str">
        <f>VLOOKUP(E9090,dicionario!$A$1:$C9489,3,0)</f>
        <v>#N/A</v>
      </c>
    </row>
    <row r="9091">
      <c r="A9091" s="3">
        <v>45771.0</v>
      </c>
      <c r="B9091" s="4">
        <v>0.32430555555555557</v>
      </c>
      <c r="C9091" s="5" t="s">
        <v>76</v>
      </c>
      <c r="D9091" s="5" t="s">
        <v>1390</v>
      </c>
      <c r="E9091" s="8" t="s">
        <v>388</v>
      </c>
      <c r="F9091" s="5" t="s">
        <v>389</v>
      </c>
      <c r="G9091" s="6" t="str">
        <f>VLOOKUP(E9091,dicionario!$A$1:$C9490,2,0)</f>
        <v>Bulimulus tenuissimus</v>
      </c>
      <c r="H9091" s="6" t="str">
        <f>VLOOKUP(E9091,dicionario!$A$1:$C9490,3,0)</f>
        <v>caracol-fantasma</v>
      </c>
    </row>
    <row r="9092">
      <c r="A9092" s="3">
        <v>45771.0</v>
      </c>
      <c r="B9092" s="4">
        <v>0.32430555555555557</v>
      </c>
      <c r="C9092" s="5" t="s">
        <v>76</v>
      </c>
      <c r="D9092" s="5" t="s">
        <v>1390</v>
      </c>
      <c r="E9092" s="6" t="s">
        <v>290</v>
      </c>
      <c r="F9092" s="5" t="s">
        <v>291</v>
      </c>
      <c r="G9092" s="6" t="str">
        <f>VLOOKUP(E9092,dicionario!$A$1:$C9491,2,0)</f>
        <v>Drymaria cordata</v>
      </c>
      <c r="H9092" s="6" t="str">
        <f>VLOOKUP(E9092,dicionario!$A$1:$C9491,3,0)</f>
        <v>orelha-de-rato</v>
      </c>
    </row>
    <row r="9093">
      <c r="A9093" s="3">
        <v>45771.0</v>
      </c>
      <c r="B9093" s="4">
        <v>0.325</v>
      </c>
      <c r="C9093" s="5" t="s">
        <v>76</v>
      </c>
      <c r="D9093" s="5" t="s">
        <v>1390</v>
      </c>
      <c r="E9093" s="8" t="s">
        <v>195</v>
      </c>
      <c r="F9093" s="5" t="s">
        <v>196</v>
      </c>
      <c r="G9093" s="6" t="str">
        <f>VLOOKUP(E9093,dicionario!$A$1:$C9492,2,0)</f>
        <v>Priva lappulacea</v>
      </c>
      <c r="H9093" s="6" t="str">
        <f>VLOOKUP(E9093,dicionario!$A$1:$C9492,3,0)</f>
        <v>carrapicho</v>
      </c>
    </row>
    <row r="9094">
      <c r="A9094" s="3">
        <v>45771.0</v>
      </c>
      <c r="B9094" s="4">
        <v>0.325</v>
      </c>
      <c r="C9094" s="5" t="s">
        <v>76</v>
      </c>
      <c r="D9094" s="5" t="s">
        <v>1390</v>
      </c>
      <c r="E9094" s="6" t="s">
        <v>366</v>
      </c>
      <c r="F9094" s="5" t="s">
        <v>367</v>
      </c>
      <c r="G9094" s="6" t="str">
        <f>VLOOKUP(E9094,dicionario!$A$1:$C9493,2,0)</f>
        <v>Alternanthera ficoidea</v>
      </c>
      <c r="H9094" s="6" t="str">
        <f>VLOOKUP(E9094,dicionario!$A$1:$C9493,3,0)</f>
        <v>quebra-panela</v>
      </c>
    </row>
    <row r="9095">
      <c r="A9095" s="3">
        <v>45771.0</v>
      </c>
      <c r="B9095" s="4">
        <v>0.325</v>
      </c>
      <c r="C9095" s="5" t="s">
        <v>76</v>
      </c>
      <c r="D9095" s="5" t="s">
        <v>1390</v>
      </c>
      <c r="E9095" s="8" t="s">
        <v>154</v>
      </c>
      <c r="F9095" s="5" t="s">
        <v>155</v>
      </c>
      <c r="G9095" s="6" t="str">
        <f>VLOOKUP(E9095,dicionario!$A$1:$C9494,2,0)</f>
        <v>Cyperus rotundus</v>
      </c>
      <c r="H9095" s="6" t="str">
        <f>VLOOKUP(E9095,dicionario!$A$1:$C9494,3,0)</f>
        <v>tiririca</v>
      </c>
    </row>
    <row r="9096">
      <c r="A9096" s="3">
        <v>45771.0</v>
      </c>
      <c r="B9096" s="4">
        <v>0.32569444444444445</v>
      </c>
      <c r="C9096" s="5" t="s">
        <v>76</v>
      </c>
      <c r="D9096" s="5" t="s">
        <v>1390</v>
      </c>
      <c r="E9096" s="8" t="s">
        <v>286</v>
      </c>
      <c r="F9096" s="5" t="s">
        <v>287</v>
      </c>
      <c r="G9096" s="6" t="str">
        <f>VLOOKUP(E9096,dicionario!$A$1:$C9495,2,0)</f>
        <v>Setaria parviflora</v>
      </c>
      <c r="H9096" s="6" t="str">
        <f>VLOOKUP(E9096,dicionario!$A$1:$C9495,3,0)</f>
        <v>capim-rabo-de-raposa</v>
      </c>
    </row>
    <row r="9097">
      <c r="A9097" s="3">
        <v>45771.0</v>
      </c>
      <c r="B9097" s="4">
        <v>0.325</v>
      </c>
      <c r="C9097" s="5" t="s">
        <v>76</v>
      </c>
      <c r="D9097" s="5" t="s">
        <v>1390</v>
      </c>
      <c r="E9097" s="8" t="s">
        <v>514</v>
      </c>
      <c r="F9097" s="5" t="s">
        <v>515</v>
      </c>
      <c r="G9097" s="6" t="str">
        <f>VLOOKUP(E9097,dicionario!$A$1:$C9496,2,0)</f>
        <v>Aedes aegypti</v>
      </c>
      <c r="H9097" s="6" t="str">
        <f>VLOOKUP(E9097,dicionario!$A$1:$C9496,3,0)</f>
        <v>mosquito-da-dengue</v>
      </c>
    </row>
    <row r="9098">
      <c r="A9098" s="3">
        <v>45771.0</v>
      </c>
      <c r="B9098" s="4">
        <v>0.325</v>
      </c>
      <c r="C9098" s="5" t="s">
        <v>76</v>
      </c>
      <c r="D9098" s="5" t="s">
        <v>1390</v>
      </c>
      <c r="E9098" s="6" t="s">
        <v>148</v>
      </c>
      <c r="F9098" s="5" t="s">
        <v>149</v>
      </c>
      <c r="G9098" s="6" t="str">
        <f>VLOOKUP(E9098,dicionario!$A$1:$C9497,2,0)</f>
        <v>Parthenium hysterophorus</v>
      </c>
      <c r="H9098" s="6" t="str">
        <f>VLOOKUP(E9098,dicionario!$A$1:$C9497,3,0)</f>
        <v>losna-branca</v>
      </c>
    </row>
    <row r="9099">
      <c r="A9099" s="3">
        <v>45771.0</v>
      </c>
      <c r="B9099" s="4">
        <v>0.325</v>
      </c>
      <c r="C9099" s="5" t="s">
        <v>76</v>
      </c>
      <c r="D9099" s="5" t="s">
        <v>1390</v>
      </c>
      <c r="E9099" s="6" t="s">
        <v>467</v>
      </c>
      <c r="F9099" s="5" t="s">
        <v>468</v>
      </c>
      <c r="G9099" s="6" t="str">
        <f>VLOOKUP(E9099,dicionario!$A$1:$C9498,2,0)</f>
        <v>Eleusine indica</v>
      </c>
      <c r="H9099" s="6" t="str">
        <f>VLOOKUP(E9099,dicionario!$A$1:$C9498,3,0)</f>
        <v>capim-pé-de-galinha</v>
      </c>
    </row>
    <row r="9100">
      <c r="A9100" s="3">
        <v>45771.0</v>
      </c>
      <c r="B9100" s="4">
        <v>0.3263888888888889</v>
      </c>
      <c r="C9100" s="5" t="s">
        <v>76</v>
      </c>
      <c r="D9100" s="5" t="s">
        <v>1390</v>
      </c>
      <c r="E9100" s="8" t="s">
        <v>271</v>
      </c>
      <c r="F9100" s="5" t="s">
        <v>1169</v>
      </c>
      <c r="G9100" s="6" t="str">
        <f>VLOOKUP(E9100,dicionario!$A$1:$C9499,2,0)</f>
        <v>Cyanthillium cinereum</v>
      </c>
      <c r="H9100" s="6" t="str">
        <f>VLOOKUP(E9100,dicionario!$A$1:$C9499,3,0)</f>
        <v>emília</v>
      </c>
    </row>
    <row r="9101">
      <c r="A9101" s="3">
        <v>45771.0</v>
      </c>
      <c r="B9101" s="4">
        <v>0.3263888888888889</v>
      </c>
      <c r="C9101" s="5" t="s">
        <v>76</v>
      </c>
      <c r="D9101" s="5" t="s">
        <v>1390</v>
      </c>
      <c r="E9101" s="8" t="s">
        <v>141</v>
      </c>
      <c r="F9101" s="5" t="s">
        <v>142</v>
      </c>
      <c r="G9101" s="6" t="str">
        <f>VLOOKUP(E9101,dicionario!$A$1:$C9500,2,0)</f>
        <v>Ruellia blechum</v>
      </c>
      <c r="H9101" s="6" t="str">
        <f>VLOOKUP(E9101,dicionario!$A$1:$C9500,3,0)</f>
        <v>camarão-verde</v>
      </c>
    </row>
    <row r="9102">
      <c r="A9102" s="3">
        <v>45771.0</v>
      </c>
      <c r="B9102" s="4">
        <v>0.3263888888888889</v>
      </c>
      <c r="C9102" s="5" t="s">
        <v>76</v>
      </c>
      <c r="D9102" s="5" t="s">
        <v>1390</v>
      </c>
      <c r="E9102" s="8" t="s">
        <v>353</v>
      </c>
      <c r="F9102" s="5" t="s">
        <v>354</v>
      </c>
      <c r="G9102" s="6" t="str">
        <f>VLOOKUP(E9102,dicionario!$A$1:$C9501,2,0)</f>
        <v>Desmodium incanum</v>
      </c>
      <c r="H9102" s="6" t="str">
        <f>VLOOKUP(E9102,dicionario!$A$1:$C9501,3,0)</f>
        <v>pega-pega</v>
      </c>
    </row>
    <row r="9103">
      <c r="A9103" s="3">
        <v>45771.0</v>
      </c>
      <c r="B9103" s="4">
        <v>0.3263888888888889</v>
      </c>
      <c r="C9103" s="5" t="s">
        <v>76</v>
      </c>
      <c r="D9103" s="5" t="s">
        <v>1390</v>
      </c>
      <c r="E9103" s="8" t="s">
        <v>146</v>
      </c>
      <c r="F9103" s="5" t="s">
        <v>147</v>
      </c>
      <c r="G9103" s="6" t="str">
        <f>VLOOKUP(E9103,dicionario!$A$1:$C9502,2,0)</f>
        <v>Euphorbia hirta</v>
      </c>
      <c r="H9103" s="6" t="str">
        <f>VLOOKUP(E9103,dicionario!$A$1:$C9502,3,0)</f>
        <v>erva-de-santa-luzia</v>
      </c>
    </row>
    <row r="9104">
      <c r="A9104" s="3">
        <v>45771.0</v>
      </c>
      <c r="B9104" s="4">
        <v>0.3263888888888889</v>
      </c>
      <c r="C9104" s="5" t="s">
        <v>76</v>
      </c>
      <c r="D9104" s="5" t="s">
        <v>1390</v>
      </c>
      <c r="E9104" s="8" t="s">
        <v>732</v>
      </c>
      <c r="F9104" s="7"/>
      <c r="G9104" s="6" t="str">
        <f>VLOOKUP(E9104,dicionario!$A$1:$C9503,2,0)</f>
        <v>#N/A</v>
      </c>
      <c r="H9104" s="6" t="str">
        <f>VLOOKUP(E9104,dicionario!$A$1:$C9503,3,0)</f>
        <v>#N/A</v>
      </c>
    </row>
    <row r="9105">
      <c r="A9105" s="3">
        <v>45771.0</v>
      </c>
      <c r="B9105" s="4">
        <v>0.32708333333333334</v>
      </c>
      <c r="C9105" s="5" t="s">
        <v>76</v>
      </c>
      <c r="D9105" s="5" t="s">
        <v>1390</v>
      </c>
      <c r="E9105" s="8" t="s">
        <v>150</v>
      </c>
      <c r="F9105" s="5" t="s">
        <v>151</v>
      </c>
      <c r="G9105" s="6" t="str">
        <f>VLOOKUP(E9105,dicionario!$A$1:$C9504,2,0)</f>
        <v>Amaranthus viridis</v>
      </c>
      <c r="H9105" s="6" t="str">
        <f>VLOOKUP(E9105,dicionario!$A$1:$C9504,3,0)</f>
        <v>caruru-de-mancha</v>
      </c>
    </row>
    <row r="9106">
      <c r="A9106" s="3">
        <v>45771.0</v>
      </c>
      <c r="B9106" s="4">
        <v>0.32708333333333334</v>
      </c>
      <c r="C9106" s="5" t="s">
        <v>76</v>
      </c>
      <c r="D9106" s="5" t="s">
        <v>1390</v>
      </c>
      <c r="E9106" s="8" t="s">
        <v>144</v>
      </c>
      <c r="F9106" s="5" t="s">
        <v>145</v>
      </c>
      <c r="G9106" s="6" t="str">
        <f>VLOOKUP(E9106,dicionario!$A$1:$C9505,2,0)</f>
        <v>Gomphrena globosa</v>
      </c>
      <c r="H9106" s="6" t="str">
        <f>VLOOKUP(E9106,dicionario!$A$1:$C9505,3,0)</f>
        <v>perpétua-rosa</v>
      </c>
    </row>
    <row r="9107">
      <c r="A9107" s="3">
        <v>45771.0</v>
      </c>
      <c r="B9107" s="4">
        <v>0.32708333333333334</v>
      </c>
      <c r="C9107" s="5" t="s">
        <v>76</v>
      </c>
      <c r="D9107" s="5" t="s">
        <v>1390</v>
      </c>
      <c r="E9107" s="8" t="s">
        <v>239</v>
      </c>
      <c r="F9107" s="5" t="s">
        <v>240</v>
      </c>
      <c r="G9107" s="6" t="str">
        <f>VLOOKUP(E9107,dicionario!$A$1:$C9506,2,0)</f>
        <v>Gomphrena celosioides</v>
      </c>
      <c r="H9107" s="6" t="str">
        <f>VLOOKUP(E9107,dicionario!$A$1:$C9506,3,0)</f>
        <v>perpétua-branca</v>
      </c>
    </row>
    <row r="9108">
      <c r="A9108" s="3">
        <v>45771.0</v>
      </c>
      <c r="B9108" s="4">
        <v>0.3277777777777778</v>
      </c>
      <c r="C9108" s="5" t="s">
        <v>76</v>
      </c>
      <c r="D9108" s="5" t="s">
        <v>1390</v>
      </c>
      <c r="E9108" s="6" t="s">
        <v>326</v>
      </c>
      <c r="F9108" s="5" t="s">
        <v>327</v>
      </c>
      <c r="G9108" s="6" t="str">
        <f>VLOOKUP(E9108,dicionario!$A$1:$C9507,2,0)</f>
        <v>Amaranthus spinosus</v>
      </c>
      <c r="H9108" s="6" t="str">
        <f>VLOOKUP(E9108,dicionario!$A$1:$C9507,3,0)</f>
        <v>caruru-de-espinho</v>
      </c>
    </row>
    <row r="9109">
      <c r="A9109" s="3">
        <v>45771.0</v>
      </c>
      <c r="B9109" s="4">
        <v>0.3277777777777778</v>
      </c>
      <c r="C9109" s="5" t="s">
        <v>76</v>
      </c>
      <c r="D9109" s="5" t="s">
        <v>1390</v>
      </c>
      <c r="E9109" s="8" t="s">
        <v>1424</v>
      </c>
      <c r="F9109" s="5" t="s">
        <v>222</v>
      </c>
      <c r="G9109" s="6" t="str">
        <f>VLOOKUP(E9109,dicionario!$A$1:$C9508,2,0)</f>
        <v>#N/A</v>
      </c>
      <c r="H9109" s="6" t="str">
        <f>VLOOKUP(E9109,dicionario!$A$1:$C9508,3,0)</f>
        <v>#N/A</v>
      </c>
    </row>
    <row r="9110">
      <c r="A9110" s="3">
        <v>45771.0</v>
      </c>
      <c r="B9110" s="4">
        <v>0.32916666666666666</v>
      </c>
      <c r="C9110" s="5" t="s">
        <v>76</v>
      </c>
      <c r="D9110" s="5" t="s">
        <v>1390</v>
      </c>
      <c r="E9110" s="8" t="s">
        <v>139</v>
      </c>
      <c r="F9110" s="5" t="s">
        <v>862</v>
      </c>
      <c r="G9110" s="6" t="str">
        <f>VLOOKUP(E9110,dicionario!$A$1:$C9509,2,0)</f>
        <v>Tropidurus torquatus</v>
      </c>
      <c r="H9110" s="6" t="str">
        <f>VLOOKUP(E9110,dicionario!$A$1:$C9509,3,0)</f>
        <v>calango; tropiduro-comum</v>
      </c>
    </row>
    <row r="9111">
      <c r="A9111" s="3">
        <v>45771.0</v>
      </c>
      <c r="B9111" s="4">
        <v>0.32916666666666666</v>
      </c>
      <c r="C9111" s="5" t="s">
        <v>76</v>
      </c>
      <c r="D9111" s="5" t="s">
        <v>1390</v>
      </c>
      <c r="E9111" s="8" t="s">
        <v>491</v>
      </c>
      <c r="F9111" s="52" t="s">
        <v>1425</v>
      </c>
      <c r="G9111" s="6" t="str">
        <f>VLOOKUP(E9111,dicionario!$A$1:$C9510,2,0)</f>
        <v>Oxidus gracilis</v>
      </c>
      <c r="H9111" s="6" t="str">
        <f>VLOOKUP(E9111,dicionario!$A$1:$C9510,3,0)</f>
        <v>mil-pés</v>
      </c>
    </row>
    <row r="9112">
      <c r="A9112" s="3">
        <v>45771.0</v>
      </c>
      <c r="B9112" s="4">
        <v>0.32916666666666666</v>
      </c>
      <c r="C9112" s="5" t="s">
        <v>76</v>
      </c>
      <c r="D9112" s="5" t="s">
        <v>1390</v>
      </c>
      <c r="E9112" s="8" t="s">
        <v>191</v>
      </c>
      <c r="F9112" s="5" t="s">
        <v>192</v>
      </c>
      <c r="G9112" s="6" t="str">
        <f>VLOOKUP(E9112,dicionario!$A$1:$C9511,2,0)</f>
        <v>Patagioenas picazuro</v>
      </c>
      <c r="H9112" s="6" t="str">
        <f>VLOOKUP(E9112,dicionario!$A$1:$C9511,3,0)</f>
        <v>asa-branca; pomba-asa-branca; pocaçu</v>
      </c>
    </row>
    <row r="9113">
      <c r="A9113" s="3">
        <v>45771.0</v>
      </c>
      <c r="B9113" s="4">
        <v>0.3298611111111111</v>
      </c>
      <c r="C9113" s="5" t="s">
        <v>76</v>
      </c>
      <c r="D9113" s="5" t="s">
        <v>1390</v>
      </c>
      <c r="E9113" s="8" t="s">
        <v>1328</v>
      </c>
      <c r="F9113" s="5" t="s">
        <v>356</v>
      </c>
      <c r="G9113" s="6" t="str">
        <f>VLOOKUP(E9113,dicionario!$A$1:$C9512,2,0)</f>
        <v>#N/A</v>
      </c>
      <c r="H9113" s="6" t="str">
        <f>VLOOKUP(E9113,dicionario!$A$1:$C9512,3,0)</f>
        <v>#N/A</v>
      </c>
    </row>
    <row r="9114">
      <c r="A9114" s="3">
        <v>45771.0</v>
      </c>
      <c r="B9114" s="4">
        <v>0.3298611111111111</v>
      </c>
      <c r="C9114" s="5" t="s">
        <v>76</v>
      </c>
      <c r="D9114" s="5" t="s">
        <v>1390</v>
      </c>
      <c r="E9114" s="8" t="s">
        <v>736</v>
      </c>
      <c r="F9114" s="5" t="s">
        <v>737</v>
      </c>
      <c r="G9114" s="6" t="str">
        <f>VLOOKUP(E9114,dicionario!$A$1:$C9513,2,0)</f>
        <v>Chloris virgata</v>
      </c>
      <c r="H9114" s="6" t="str">
        <f>VLOOKUP(E9114,dicionario!$A$1:$C9513,3,0)</f>
        <v>capim-pavão</v>
      </c>
    </row>
    <row r="9115">
      <c r="A9115" s="3">
        <v>45771.0</v>
      </c>
      <c r="B9115" s="4">
        <v>0.3298611111111111</v>
      </c>
      <c r="C9115" s="5" t="s">
        <v>76</v>
      </c>
      <c r="D9115" s="5" t="s">
        <v>1390</v>
      </c>
      <c r="E9115" s="8" t="s">
        <v>113</v>
      </c>
      <c r="F9115" s="5" t="s">
        <v>114</v>
      </c>
      <c r="G9115" s="6" t="str">
        <f>VLOOKUP(E9115,dicionario!$A$1:$C9514,2,0)</f>
        <v>Columbina talpacoti</v>
      </c>
      <c r="H9115" s="6" t="str">
        <f>VLOOKUP(E9115,dicionario!$A$1:$C9514,3,0)</f>
        <v>rolinha-roxa</v>
      </c>
    </row>
    <row r="9116">
      <c r="A9116" s="3">
        <v>45771.0</v>
      </c>
      <c r="B9116" s="4">
        <v>0.3298611111111111</v>
      </c>
      <c r="C9116" s="5" t="s">
        <v>76</v>
      </c>
      <c r="D9116" s="5" t="s">
        <v>1390</v>
      </c>
      <c r="E9116" s="8" t="s">
        <v>1324</v>
      </c>
      <c r="F9116" s="5" t="s">
        <v>1246</v>
      </c>
      <c r="G9116" s="6" t="str">
        <f>VLOOKUP(E9116,dicionario!$A$1:$C9515,2,0)</f>
        <v>#N/A</v>
      </c>
      <c r="H9116" s="6" t="str">
        <f>VLOOKUP(E9116,dicionario!$A$1:$C9515,3,0)</f>
        <v>#N/A</v>
      </c>
    </row>
    <row r="9117">
      <c r="A9117" s="3">
        <v>45771.0</v>
      </c>
      <c r="B9117" s="4">
        <v>0.3298611111111111</v>
      </c>
      <c r="C9117" s="5" t="s">
        <v>76</v>
      </c>
      <c r="D9117" s="5" t="s">
        <v>1390</v>
      </c>
      <c r="E9117" s="8" t="s">
        <v>319</v>
      </c>
      <c r="F9117" s="5" t="s">
        <v>320</v>
      </c>
      <c r="G9117" s="6" t="str">
        <f>VLOOKUP(E9117,dicionario!$A$1:$C9516,2,0)</f>
        <v>Schinus terebinthifolia</v>
      </c>
      <c r="H9117" s="6" t="str">
        <f>VLOOKUP(E9117,dicionario!$A$1:$C9516,3,0)</f>
        <v>aroeira</v>
      </c>
    </row>
    <row r="9118">
      <c r="A9118" s="3">
        <v>45771.0</v>
      </c>
      <c r="B9118" s="4">
        <v>0.33055555555555555</v>
      </c>
      <c r="C9118" s="5" t="s">
        <v>76</v>
      </c>
      <c r="D9118" s="5" t="s">
        <v>1390</v>
      </c>
      <c r="E9118" s="6" t="s">
        <v>383</v>
      </c>
      <c r="F9118" s="5" t="s">
        <v>384</v>
      </c>
      <c r="G9118" s="6" t="str">
        <f>VLOOKUP(E9118,dicionario!$A$1:$C9517,2,0)</f>
        <v>Setophaga pitiayumi</v>
      </c>
      <c r="H9118" s="6" t="str">
        <f>VLOOKUP(E9118,dicionario!$A$1:$C9517,3,0)</f>
        <v>mariquita</v>
      </c>
    </row>
    <row r="9119">
      <c r="A9119" s="3">
        <v>45771.0</v>
      </c>
      <c r="B9119" s="4">
        <v>0.33125</v>
      </c>
      <c r="C9119" s="5" t="s">
        <v>85</v>
      </c>
      <c r="D9119" s="5" t="s">
        <v>1390</v>
      </c>
      <c r="E9119" s="8" t="s">
        <v>109</v>
      </c>
      <c r="F9119" s="5" t="s">
        <v>110</v>
      </c>
      <c r="G9119" s="6" t="str">
        <f>VLOOKUP(E9119,dicionario!$A$1:$C9518,2,0)</f>
        <v>Tillandsia stricta</v>
      </c>
      <c r="H9119" s="6" t="str">
        <f>VLOOKUP(E9119,dicionario!$A$1:$C9518,3,0)</f>
        <v>cravo-do-mato</v>
      </c>
    </row>
    <row r="9120">
      <c r="A9120" s="3">
        <v>45771.0</v>
      </c>
      <c r="B9120" s="4">
        <v>0.33125</v>
      </c>
      <c r="C9120" s="5" t="s">
        <v>85</v>
      </c>
      <c r="D9120" s="5" t="s">
        <v>1390</v>
      </c>
      <c r="E9120" s="8" t="s">
        <v>243</v>
      </c>
      <c r="F9120" s="5" t="s">
        <v>244</v>
      </c>
      <c r="G9120" s="6" t="str">
        <f>VLOOKUP(E9120,dicionario!$A$1:$C9519,2,0)</f>
        <v>Macroptilium atropurpureum</v>
      </c>
      <c r="H9120" s="6" t="str">
        <f>VLOOKUP(E9120,dicionario!$A$1:$C9519,3,0)</f>
        <v>feijão-de-pombo</v>
      </c>
    </row>
    <row r="9121">
      <c r="A9121" s="3">
        <v>45771.0</v>
      </c>
      <c r="B9121" s="4">
        <v>0.33125</v>
      </c>
      <c r="C9121" s="5" t="s">
        <v>85</v>
      </c>
      <c r="D9121" s="5" t="s">
        <v>1390</v>
      </c>
      <c r="E9121" s="8" t="s">
        <v>135</v>
      </c>
      <c r="F9121" s="5" t="s">
        <v>136</v>
      </c>
      <c r="G9121" s="6" t="str">
        <f>VLOOKUP(E9121,dicionario!$A$1:$C9520,2,0)</f>
        <v>Tridax procumbens</v>
      </c>
      <c r="H9121" s="6" t="str">
        <f>VLOOKUP(E9121,dicionario!$A$1:$C9520,3,0)</f>
        <v>erva-de-touro</v>
      </c>
    </row>
    <row r="9122">
      <c r="A9122" s="3">
        <v>45771.0</v>
      </c>
      <c r="B9122" s="4">
        <v>0.33194444444444443</v>
      </c>
      <c r="C9122" s="5" t="s">
        <v>85</v>
      </c>
      <c r="D9122" s="5" t="s">
        <v>1390</v>
      </c>
      <c r="E9122" s="8" t="s">
        <v>146</v>
      </c>
      <c r="F9122" s="5" t="s">
        <v>147</v>
      </c>
      <c r="G9122" s="6" t="str">
        <f>VLOOKUP(E9122,dicionario!$A$1:$C9521,2,0)</f>
        <v>Euphorbia hirta</v>
      </c>
      <c r="H9122" s="6" t="str">
        <f>VLOOKUP(E9122,dicionario!$A$1:$C9521,3,0)</f>
        <v>erva-de-santa-luzia</v>
      </c>
    </row>
    <row r="9123">
      <c r="A9123" s="3">
        <v>45771.0</v>
      </c>
      <c r="B9123" s="4">
        <v>0.33194444444444443</v>
      </c>
      <c r="C9123" s="5" t="s">
        <v>85</v>
      </c>
      <c r="D9123" s="5" t="s">
        <v>1390</v>
      </c>
      <c r="E9123" s="8" t="s">
        <v>732</v>
      </c>
      <c r="F9123" s="7"/>
      <c r="G9123" s="6" t="str">
        <f>VLOOKUP(E9123,dicionario!$A$1:$C9522,2,0)</f>
        <v>#N/A</v>
      </c>
      <c r="H9123" s="6" t="str">
        <f>VLOOKUP(E9123,dicionario!$A$1:$C9522,3,0)</f>
        <v>#N/A</v>
      </c>
    </row>
    <row r="9124">
      <c r="A9124" s="3">
        <v>45771.0</v>
      </c>
      <c r="B9124" s="4">
        <v>0.3333333333333333</v>
      </c>
      <c r="C9124" s="5" t="s">
        <v>85</v>
      </c>
      <c r="D9124" s="5" t="s">
        <v>1390</v>
      </c>
      <c r="E9124" s="6" t="s">
        <v>53</v>
      </c>
      <c r="F9124" s="5" t="s">
        <v>54</v>
      </c>
      <c r="G9124" s="6" t="str">
        <f>VLOOKUP(E9124,dicionario!$A$1:$C9523,2,0)</f>
        <v>Turnera subulata</v>
      </c>
      <c r="H9124" s="6" t="str">
        <f>VLOOKUP(E9124,dicionario!$A$1:$C9523,3,0)</f>
        <v>xanana</v>
      </c>
    </row>
    <row r="9125">
      <c r="A9125" s="3">
        <v>45771.0</v>
      </c>
      <c r="B9125" s="4">
        <v>0.3333333333333333</v>
      </c>
      <c r="C9125" s="5" t="s">
        <v>85</v>
      </c>
      <c r="D9125" s="5" t="s">
        <v>1390</v>
      </c>
      <c r="E9125" s="8" t="s">
        <v>113</v>
      </c>
      <c r="F9125" s="5" t="s">
        <v>114</v>
      </c>
      <c r="G9125" s="6" t="str">
        <f>VLOOKUP(E9125,dicionario!$A$1:$C9524,2,0)</f>
        <v>Columbina talpacoti</v>
      </c>
      <c r="H9125" s="6" t="str">
        <f>VLOOKUP(E9125,dicionario!$A$1:$C9524,3,0)</f>
        <v>rolinha-roxa</v>
      </c>
    </row>
    <row r="9126">
      <c r="A9126" s="3">
        <v>45771.0</v>
      </c>
      <c r="B9126" s="4">
        <v>0.3333333333333333</v>
      </c>
      <c r="C9126" s="5" t="s">
        <v>85</v>
      </c>
      <c r="D9126" s="5" t="s">
        <v>1390</v>
      </c>
      <c r="E9126" s="8" t="s">
        <v>38</v>
      </c>
      <c r="F9126" s="5" t="s">
        <v>1251</v>
      </c>
      <c r="G9126" s="6" t="str">
        <f>VLOOKUP(E9126,dicionario!$A$1:$C9525,2,0)</f>
        <v>Troglodytes musculus</v>
      </c>
      <c r="H9126" s="6" t="str">
        <f>VLOOKUP(E9126,dicionario!$A$1:$C9525,3,0)</f>
        <v>curruíra</v>
      </c>
    </row>
    <row r="9127">
      <c r="A9127" s="3">
        <v>45771.0</v>
      </c>
      <c r="B9127" s="4">
        <v>0.3333333333333333</v>
      </c>
      <c r="C9127" s="5" t="s">
        <v>85</v>
      </c>
      <c r="D9127" s="5" t="s">
        <v>1390</v>
      </c>
      <c r="E9127" s="8" t="s">
        <v>517</v>
      </c>
      <c r="F9127" s="7" t="s">
        <v>518</v>
      </c>
      <c r="G9127" s="6" t="str">
        <f>VLOOKUP(E9127,dicionario!$A$1:$C9526,2,0)</f>
        <v>Evolvulus nummularius</v>
      </c>
      <c r="H9127" s="6" t="str">
        <f>VLOOKUP(E9127,dicionario!$A$1:$C9526,3,0)</f>
        <v/>
      </c>
    </row>
    <row r="9128">
      <c r="A9128" s="3">
        <v>45771.0</v>
      </c>
      <c r="B9128" s="4">
        <v>0.33402777777777776</v>
      </c>
      <c r="C9128" s="5" t="s">
        <v>85</v>
      </c>
      <c r="D9128" s="5" t="s">
        <v>1390</v>
      </c>
      <c r="E9128" s="8" t="s">
        <v>177</v>
      </c>
      <c r="F9128" s="5" t="s">
        <v>178</v>
      </c>
      <c r="G9128" s="6" t="str">
        <f>VLOOKUP(E9128,dicionario!$A$1:$C9527,2,0)</f>
        <v>Elaenia flavogaster</v>
      </c>
      <c r="H9128" s="6" t="str">
        <f>VLOOKUP(E9128,dicionario!$A$1:$C9527,3,0)</f>
        <v>guaracava-de-barriga-amarela</v>
      </c>
    </row>
    <row r="9129">
      <c r="A9129" s="3">
        <v>45771.0</v>
      </c>
      <c r="B9129" s="4">
        <v>0.33402777777777776</v>
      </c>
      <c r="C9129" s="5" t="s">
        <v>85</v>
      </c>
      <c r="D9129" s="5" t="s">
        <v>1390</v>
      </c>
      <c r="E9129" s="8" t="s">
        <v>271</v>
      </c>
      <c r="F9129" s="5" t="s">
        <v>1169</v>
      </c>
      <c r="G9129" s="6" t="str">
        <f>VLOOKUP(E9129,dicionario!$A$1:$C9528,2,0)</f>
        <v>Cyanthillium cinereum</v>
      </c>
      <c r="H9129" s="6" t="str">
        <f>VLOOKUP(E9129,dicionario!$A$1:$C9528,3,0)</f>
        <v>emília</v>
      </c>
    </row>
    <row r="9130">
      <c r="A9130" s="3">
        <v>45771.0</v>
      </c>
      <c r="B9130" s="4">
        <v>0.33402777777777776</v>
      </c>
      <c r="C9130" s="5" t="s">
        <v>85</v>
      </c>
      <c r="D9130" s="5" t="s">
        <v>1390</v>
      </c>
      <c r="E9130" s="20" t="s">
        <v>676</v>
      </c>
      <c r="F9130" s="5" t="s">
        <v>677</v>
      </c>
      <c r="G9130" s="6" t="str">
        <f>VLOOKUP(E9130,dicionario!$A$1:$C9529,2,0)</f>
        <v>Zornia latifolia</v>
      </c>
      <c r="H9130" s="6" t="str">
        <f>VLOOKUP(E9130,dicionario!$A$1:$C9529,3,0)</f>
        <v>arrozinho-do-campo</v>
      </c>
    </row>
    <row r="9131">
      <c r="A9131" s="3">
        <v>45771.0</v>
      </c>
      <c r="B9131" s="4">
        <v>0.33402777777777776</v>
      </c>
      <c r="C9131" s="5" t="s">
        <v>85</v>
      </c>
      <c r="D9131" s="5" t="s">
        <v>1390</v>
      </c>
      <c r="E9131" s="8" t="s">
        <v>1316</v>
      </c>
      <c r="F9131" s="5" t="s">
        <v>15</v>
      </c>
      <c r="G9131" s="6" t="str">
        <f>VLOOKUP(E9131,dicionario!$A$1:$C9530,2,0)</f>
        <v>#N/A</v>
      </c>
      <c r="H9131" s="6" t="str">
        <f>VLOOKUP(E9131,dicionario!$A$1:$C9530,3,0)</f>
        <v>#N/A</v>
      </c>
    </row>
    <row r="9132">
      <c r="A9132" s="3">
        <v>45771.0</v>
      </c>
      <c r="B9132" s="4">
        <v>0.33402777777777776</v>
      </c>
      <c r="C9132" s="5" t="s">
        <v>85</v>
      </c>
      <c r="D9132" s="5" t="s">
        <v>1390</v>
      </c>
      <c r="E9132" s="8" t="s">
        <v>122</v>
      </c>
      <c r="F9132" s="5" t="s">
        <v>123</v>
      </c>
      <c r="G9132" s="6" t="str">
        <f>VLOOKUP(E9132,dicionario!$A$1:$C9531,2,0)</f>
        <v>Todirostrum cinereum</v>
      </c>
      <c r="H9132" s="6" t="str">
        <f>VLOOKUP(E9132,dicionario!$A$1:$C9531,3,0)</f>
        <v>ferreirinho-relógio</v>
      </c>
    </row>
    <row r="9133">
      <c r="A9133" s="3">
        <v>45771.0</v>
      </c>
      <c r="B9133" s="4">
        <v>0.3347222222222222</v>
      </c>
      <c r="C9133" s="5" t="s">
        <v>85</v>
      </c>
      <c r="D9133" s="5" t="s">
        <v>1390</v>
      </c>
      <c r="E9133" s="8" t="s">
        <v>154</v>
      </c>
      <c r="F9133" s="5" t="s">
        <v>155</v>
      </c>
      <c r="G9133" s="6" t="str">
        <f>VLOOKUP(E9133,dicionario!$A$1:$C9532,2,0)</f>
        <v>Cyperus rotundus</v>
      </c>
      <c r="H9133" s="6" t="str">
        <f>VLOOKUP(E9133,dicionario!$A$1:$C9532,3,0)</f>
        <v>tiririca</v>
      </c>
    </row>
    <row r="9134">
      <c r="A9134" s="3">
        <v>45771.0</v>
      </c>
      <c r="B9134" s="4">
        <v>0.33541666666666664</v>
      </c>
      <c r="C9134" s="5" t="s">
        <v>85</v>
      </c>
      <c r="D9134" s="5" t="s">
        <v>1390</v>
      </c>
      <c r="E9134" s="8" t="s">
        <v>425</v>
      </c>
      <c r="F9134" s="5" t="s">
        <v>426</v>
      </c>
      <c r="G9134" s="6" t="str">
        <f>VLOOKUP(E9134,dicionario!$A$1:$C9533,2,0)</f>
        <v>Digitaria insularis</v>
      </c>
      <c r="H9134" s="6" t="str">
        <f>VLOOKUP(E9134,dicionario!$A$1:$C9533,3,0)</f>
        <v>capim-amargoso</v>
      </c>
    </row>
    <row r="9135">
      <c r="A9135" s="3">
        <v>45771.0</v>
      </c>
      <c r="B9135" s="4">
        <v>0.33611111111111114</v>
      </c>
      <c r="C9135" s="5" t="s">
        <v>85</v>
      </c>
      <c r="D9135" s="5" t="s">
        <v>1390</v>
      </c>
      <c r="E9135" s="6" t="s">
        <v>148</v>
      </c>
      <c r="F9135" s="5" t="s">
        <v>149</v>
      </c>
      <c r="G9135" s="6" t="str">
        <f>VLOOKUP(E9135,dicionario!$A$1:$C9534,2,0)</f>
        <v>Parthenium hysterophorus</v>
      </c>
      <c r="H9135" s="6" t="str">
        <f>VLOOKUP(E9135,dicionario!$A$1:$C9534,3,0)</f>
        <v>losna-branca</v>
      </c>
    </row>
    <row r="9136">
      <c r="A9136" s="3">
        <v>45771.0</v>
      </c>
      <c r="B9136" s="4">
        <v>0.3368055555555556</v>
      </c>
      <c r="C9136" s="5" t="s">
        <v>85</v>
      </c>
      <c r="D9136" s="5" t="s">
        <v>1390</v>
      </c>
      <c r="E9136" s="8" t="s">
        <v>150</v>
      </c>
      <c r="F9136" s="5" t="s">
        <v>151</v>
      </c>
      <c r="G9136" s="6" t="str">
        <f>VLOOKUP(E9136,dicionario!$A$1:$C9535,2,0)</f>
        <v>Amaranthus viridis</v>
      </c>
      <c r="H9136" s="6" t="str">
        <f>VLOOKUP(E9136,dicionario!$A$1:$C9535,3,0)</f>
        <v>caruru-de-mancha</v>
      </c>
    </row>
    <row r="9137">
      <c r="A9137" s="3">
        <v>45771.0</v>
      </c>
      <c r="B9137" s="4">
        <v>0.3388888888888889</v>
      </c>
      <c r="C9137" s="5" t="s">
        <v>85</v>
      </c>
      <c r="D9137" s="5" t="s">
        <v>1390</v>
      </c>
      <c r="E9137" s="8" t="s">
        <v>353</v>
      </c>
      <c r="F9137" s="5" t="s">
        <v>354</v>
      </c>
      <c r="G9137" s="6" t="str">
        <f>VLOOKUP(E9137,dicionario!$A$1:$C9536,2,0)</f>
        <v>Desmodium incanum</v>
      </c>
      <c r="H9137" s="6" t="str">
        <f>VLOOKUP(E9137,dicionario!$A$1:$C9536,3,0)</f>
        <v>pega-pega</v>
      </c>
    </row>
    <row r="9138">
      <c r="A9138" s="3">
        <v>45771.0</v>
      </c>
      <c r="B9138" s="4">
        <v>0.3423611111111111</v>
      </c>
      <c r="C9138" s="5" t="s">
        <v>90</v>
      </c>
      <c r="D9138" s="5" t="s">
        <v>1390</v>
      </c>
      <c r="E9138" s="6" t="s">
        <v>399</v>
      </c>
      <c r="F9138" s="5" t="s">
        <v>400</v>
      </c>
      <c r="G9138" s="6" t="str">
        <f>VLOOKUP(E9138,dicionario!$A$1:$C9537,2,0)</f>
        <v>Varronia curassavica</v>
      </c>
      <c r="H9138" s="6" t="str">
        <f>VLOOKUP(E9138,dicionario!$A$1:$C9537,3,0)</f>
        <v>erva-baleeira</v>
      </c>
    </row>
    <row r="9139">
      <c r="A9139" s="3">
        <v>45771.0</v>
      </c>
      <c r="B9139" s="4">
        <v>0.34305555555555556</v>
      </c>
      <c r="C9139" s="5" t="s">
        <v>90</v>
      </c>
      <c r="D9139" s="5" t="s">
        <v>1390</v>
      </c>
      <c r="E9139" s="8" t="s">
        <v>1426</v>
      </c>
      <c r="F9139" s="5" t="s">
        <v>97</v>
      </c>
      <c r="G9139" s="6" t="str">
        <f>VLOOKUP(E9139,dicionario!$A$1:$C9538,2,0)</f>
        <v>#N/A</v>
      </c>
      <c r="H9139" s="6" t="str">
        <f>VLOOKUP(E9139,dicionario!$A$1:$C9538,3,0)</f>
        <v>#N/A</v>
      </c>
    </row>
    <row r="9140">
      <c r="A9140" s="3">
        <v>45771.0</v>
      </c>
      <c r="B9140" s="4">
        <v>0.34375</v>
      </c>
      <c r="C9140" s="5" t="s">
        <v>90</v>
      </c>
      <c r="D9140" s="5" t="s">
        <v>1390</v>
      </c>
      <c r="E9140" s="12" t="s">
        <v>111</v>
      </c>
      <c r="F9140" s="5" t="s">
        <v>112</v>
      </c>
      <c r="G9140" s="6" t="str">
        <f>VLOOKUP(E9140,dicionario!$A$1:$C9539,2,0)</f>
        <v>Trigona spinipes</v>
      </c>
      <c r="H9140" s="6" t="str">
        <f>VLOOKUP(E9140,dicionario!$A$1:$C9539,3,0)</f>
        <v>abelha-cachorro</v>
      </c>
    </row>
    <row r="9141">
      <c r="A9141" s="3">
        <v>45771.0</v>
      </c>
      <c r="B9141" s="4">
        <v>0.34444444444444444</v>
      </c>
      <c r="C9141" s="5" t="s">
        <v>90</v>
      </c>
      <c r="D9141" s="5" t="s">
        <v>1390</v>
      </c>
      <c r="E9141" s="8" t="s">
        <v>298</v>
      </c>
      <c r="F9141" s="7"/>
      <c r="G9141" s="6" t="str">
        <f>VLOOKUP(E9141,dicionario!$A$1:$C9540,2,0)</f>
        <v>Alysicarpus vaginalis</v>
      </c>
      <c r="H9141" s="6" t="str">
        <f>VLOOKUP(E9141,dicionario!$A$1:$C9540,3,0)</f>
        <v/>
      </c>
    </row>
    <row r="9142">
      <c r="A9142" s="3">
        <v>45771.0</v>
      </c>
      <c r="B9142" s="4">
        <v>0.34444444444444444</v>
      </c>
      <c r="C9142" s="5" t="s">
        <v>90</v>
      </c>
      <c r="D9142" s="5" t="s">
        <v>1390</v>
      </c>
      <c r="E9142" s="8" t="s">
        <v>154</v>
      </c>
      <c r="F9142" s="5" t="s">
        <v>155</v>
      </c>
      <c r="G9142" s="6" t="str">
        <f>VLOOKUP(E9142,dicionario!$A$1:$C9541,2,0)</f>
        <v>Cyperus rotundus</v>
      </c>
      <c r="H9142" s="6" t="str">
        <f>VLOOKUP(E9142,dicionario!$A$1:$C9541,3,0)</f>
        <v>tiririca</v>
      </c>
    </row>
    <row r="9143">
      <c r="A9143" s="3">
        <v>45771.0</v>
      </c>
      <c r="B9143" s="4">
        <v>0.34444444444444444</v>
      </c>
      <c r="C9143" s="5" t="s">
        <v>90</v>
      </c>
      <c r="D9143" s="5" t="s">
        <v>1390</v>
      </c>
      <c r="E9143" s="6" t="s">
        <v>467</v>
      </c>
      <c r="F9143" s="5" t="s">
        <v>468</v>
      </c>
      <c r="G9143" s="6" t="str">
        <f>VLOOKUP(E9143,dicionario!$A$1:$C9542,2,0)</f>
        <v>Eleusine indica</v>
      </c>
      <c r="H9143" s="6" t="str">
        <f>VLOOKUP(E9143,dicionario!$A$1:$C9542,3,0)</f>
        <v>capim-pé-de-galinha</v>
      </c>
    </row>
    <row r="9144">
      <c r="A9144" s="3">
        <v>45771.0</v>
      </c>
      <c r="B9144" s="4">
        <v>0.34652777777777777</v>
      </c>
      <c r="C9144" s="5" t="s">
        <v>90</v>
      </c>
      <c r="D9144" s="5" t="s">
        <v>1390</v>
      </c>
      <c r="E9144" s="20" t="s">
        <v>676</v>
      </c>
      <c r="F9144" s="5" t="s">
        <v>677</v>
      </c>
      <c r="G9144" s="6" t="str">
        <f>VLOOKUP(E9144,dicionario!$A$1:$C9543,2,0)</f>
        <v>Zornia latifolia</v>
      </c>
      <c r="H9144" s="6" t="str">
        <f>VLOOKUP(E9144,dicionario!$A$1:$C9543,3,0)</f>
        <v>arrozinho-do-campo</v>
      </c>
    </row>
    <row r="9145">
      <c r="A9145" s="3">
        <v>45771.0</v>
      </c>
      <c r="B9145" s="4">
        <v>0.3472222222222222</v>
      </c>
      <c r="C9145" s="5" t="s">
        <v>90</v>
      </c>
      <c r="D9145" s="5" t="s">
        <v>1390</v>
      </c>
      <c r="E9145" s="8" t="s">
        <v>353</v>
      </c>
      <c r="F9145" s="5" t="s">
        <v>354</v>
      </c>
      <c r="G9145" s="6" t="str">
        <f>VLOOKUP(E9145,dicionario!$A$1:$C9544,2,0)</f>
        <v>Desmodium incanum</v>
      </c>
      <c r="H9145" s="6" t="str">
        <f>VLOOKUP(E9145,dicionario!$A$1:$C9544,3,0)</f>
        <v>pega-pega</v>
      </c>
    </row>
    <row r="9146">
      <c r="A9146" s="3">
        <v>45771.0</v>
      </c>
      <c r="B9146" s="4">
        <v>0.3472222222222222</v>
      </c>
      <c r="C9146" s="5" t="s">
        <v>90</v>
      </c>
      <c r="D9146" s="5" t="s">
        <v>1390</v>
      </c>
      <c r="E9146" s="8" t="s">
        <v>20</v>
      </c>
      <c r="F9146" s="5" t="s">
        <v>21</v>
      </c>
      <c r="G9146" s="6" t="str">
        <f>VLOOKUP(E9146,dicionario!$A$1:$C9545,2,0)</f>
        <v>Sicalis flaveola</v>
      </c>
      <c r="H9146" s="6" t="str">
        <f>VLOOKUP(E9146,dicionario!$A$1:$C9545,3,0)</f>
        <v>canário-da-terra</v>
      </c>
    </row>
    <row r="9147">
      <c r="A9147" s="3">
        <v>45771.0</v>
      </c>
      <c r="B9147" s="4">
        <v>0.3472222222222222</v>
      </c>
      <c r="C9147" s="5" t="s">
        <v>90</v>
      </c>
      <c r="D9147" s="5" t="s">
        <v>1390</v>
      </c>
      <c r="E9147" s="8" t="s">
        <v>113</v>
      </c>
      <c r="F9147" s="5" t="s">
        <v>114</v>
      </c>
      <c r="G9147" s="6" t="str">
        <f>VLOOKUP(E9147,dicionario!$A$1:$C9546,2,0)</f>
        <v>Columbina talpacoti</v>
      </c>
      <c r="H9147" s="6" t="str">
        <f>VLOOKUP(E9147,dicionario!$A$1:$C9546,3,0)</f>
        <v>rolinha-roxa</v>
      </c>
    </row>
    <row r="9148">
      <c r="A9148" s="3">
        <v>45771.0</v>
      </c>
      <c r="B9148" s="4">
        <v>0.34791666666666665</v>
      </c>
      <c r="C9148" s="5" t="s">
        <v>90</v>
      </c>
      <c r="D9148" s="5" t="s">
        <v>1390</v>
      </c>
      <c r="E9148" s="8" t="s">
        <v>16</v>
      </c>
      <c r="F9148" s="5" t="s">
        <v>17</v>
      </c>
      <c r="G9148" s="6" t="str">
        <f>VLOOKUP(E9148,dicionario!$A$1:$C9547,2,0)</f>
        <v>Eupetomena macroura</v>
      </c>
      <c r="H9148" s="6" t="str">
        <f>VLOOKUP(E9148,dicionario!$A$1:$C9547,3,0)</f>
        <v>beija-flor-tesoura</v>
      </c>
    </row>
    <row r="9149">
      <c r="A9149" s="3">
        <v>45771.0</v>
      </c>
      <c r="B9149" s="4">
        <v>0.34791666666666665</v>
      </c>
      <c r="C9149" s="5" t="s">
        <v>90</v>
      </c>
      <c r="D9149" s="5" t="s">
        <v>1390</v>
      </c>
      <c r="E9149" s="8" t="s">
        <v>712</v>
      </c>
      <c r="F9149" s="5" t="s">
        <v>718</v>
      </c>
      <c r="G9149" s="6" t="str">
        <f>VLOOKUP(E9149,dicionario!$A$1:$C9548,2,0)</f>
        <v>Flavopunctelia soredica</v>
      </c>
      <c r="H9149" s="6" t="str">
        <f>VLOOKUP(E9149,dicionario!$A$1:$C9548,3,0)</f>
        <v>líquen-folioso</v>
      </c>
    </row>
    <row r="9150">
      <c r="A9150" s="3">
        <v>45771.0</v>
      </c>
      <c r="B9150" s="4">
        <v>0.34791666666666665</v>
      </c>
      <c r="C9150" s="5" t="s">
        <v>90</v>
      </c>
      <c r="D9150" s="5" t="s">
        <v>1390</v>
      </c>
      <c r="E9150" s="8" t="s">
        <v>719</v>
      </c>
      <c r="F9150" s="5" t="s">
        <v>720</v>
      </c>
      <c r="G9150" s="6" t="str">
        <f>VLOOKUP(E9150,dicionario!$A$1:$C9549,2,0)</f>
        <v>Dirinaria</v>
      </c>
      <c r="H9150" s="6" t="str">
        <f>VLOOKUP(E9150,dicionario!$A$1:$C9549,3,0)</f>
        <v>líquen-crostoso</v>
      </c>
    </row>
    <row r="9151">
      <c r="A9151" s="3">
        <v>45771.0</v>
      </c>
      <c r="B9151" s="4">
        <v>0.34791666666666665</v>
      </c>
      <c r="C9151" s="5" t="s">
        <v>90</v>
      </c>
      <c r="D9151" s="5" t="s">
        <v>1390</v>
      </c>
      <c r="E9151" s="8" t="s">
        <v>107</v>
      </c>
      <c r="F9151" s="5" t="s">
        <v>108</v>
      </c>
      <c r="G9151" s="6" t="str">
        <f>VLOOKUP(E9151,dicionario!$A$1:$C9550,2,0)</f>
        <v>Ramalina complanata</v>
      </c>
      <c r="H9151" s="6" t="str">
        <f>VLOOKUP(E9151,dicionario!$A$1:$C9550,3,0)</f>
        <v>ramalina</v>
      </c>
    </row>
    <row r="9152">
      <c r="A9152" s="3">
        <v>45771.0</v>
      </c>
      <c r="B9152" s="4">
        <v>0.34791666666666665</v>
      </c>
      <c r="C9152" s="5" t="s">
        <v>90</v>
      </c>
      <c r="D9152" s="5" t="s">
        <v>1390</v>
      </c>
      <c r="E9152" s="8" t="s">
        <v>109</v>
      </c>
      <c r="F9152" s="5" t="s">
        <v>110</v>
      </c>
      <c r="G9152" s="6" t="str">
        <f>VLOOKUP(E9152,dicionario!$A$1:$C9551,2,0)</f>
        <v>Tillandsia stricta</v>
      </c>
      <c r="H9152" s="6" t="str">
        <f>VLOOKUP(E9152,dicionario!$A$1:$C9551,3,0)</f>
        <v>cravo-do-mato</v>
      </c>
    </row>
    <row r="9153">
      <c r="A9153" s="3">
        <v>45771.0</v>
      </c>
      <c r="B9153" s="4">
        <v>0.34930555555555554</v>
      </c>
      <c r="C9153" s="5" t="s">
        <v>90</v>
      </c>
      <c r="D9153" s="5" t="s">
        <v>1390</v>
      </c>
      <c r="E9153" s="8" t="s">
        <v>239</v>
      </c>
      <c r="F9153" s="5" t="s">
        <v>240</v>
      </c>
      <c r="G9153" s="6" t="str">
        <f>VLOOKUP(E9153,dicionario!$A$1:$C9552,2,0)</f>
        <v>Gomphrena celosioides</v>
      </c>
      <c r="H9153" s="6" t="str">
        <f>VLOOKUP(E9153,dicionario!$A$1:$C9552,3,0)</f>
        <v>perpétua-branca</v>
      </c>
    </row>
    <row r="9154">
      <c r="A9154" s="3">
        <v>45771.0</v>
      </c>
      <c r="B9154" s="4">
        <v>0.34930555555555554</v>
      </c>
      <c r="C9154" s="5" t="s">
        <v>90</v>
      </c>
      <c r="D9154" s="5" t="s">
        <v>1390</v>
      </c>
      <c r="E9154" s="8" t="s">
        <v>144</v>
      </c>
      <c r="F9154" s="5" t="s">
        <v>145</v>
      </c>
      <c r="G9154" s="6" t="str">
        <f>VLOOKUP(E9154,dicionario!$A$1:$C9553,2,0)</f>
        <v>Gomphrena globosa</v>
      </c>
      <c r="H9154" s="6" t="str">
        <f>VLOOKUP(E9154,dicionario!$A$1:$C9553,3,0)</f>
        <v>perpétua-rosa</v>
      </c>
    </row>
    <row r="9155">
      <c r="A9155" s="3">
        <v>45771.0</v>
      </c>
      <c r="B9155" s="4">
        <v>0.34930555555555554</v>
      </c>
      <c r="C9155" s="5" t="s">
        <v>90</v>
      </c>
      <c r="D9155" s="5" t="s">
        <v>1390</v>
      </c>
      <c r="E9155" s="8" t="s">
        <v>1087</v>
      </c>
      <c r="F9155" s="5" t="s">
        <v>1088</v>
      </c>
      <c r="G9155" s="6" t="str">
        <f>VLOOKUP(E9155,dicionario!$A$1:$C9554,2,0)</f>
        <v>Desmodium triflorum</v>
      </c>
      <c r="H9155" s="6" t="str">
        <f>VLOOKUP(E9155,dicionario!$A$1:$C9554,3,0)</f>
        <v/>
      </c>
    </row>
    <row r="9156">
      <c r="A9156" s="3">
        <v>45771.0</v>
      </c>
      <c r="B9156" s="4">
        <v>0.34930555555555554</v>
      </c>
      <c r="C9156" s="5" t="s">
        <v>90</v>
      </c>
      <c r="D9156" s="5" t="s">
        <v>1390</v>
      </c>
      <c r="E9156" s="8" t="s">
        <v>1280</v>
      </c>
      <c r="F9156" s="5" t="s">
        <v>1156</v>
      </c>
      <c r="G9156" s="6" t="str">
        <f>VLOOKUP(E9156,dicionario!$A$1:$C9555,2,0)</f>
        <v>Paspalum notatum</v>
      </c>
      <c r="H9156" s="6" t="str">
        <f>VLOOKUP(E9156,dicionario!$A$1:$C9555,3,0)</f>
        <v>capim-forquilha</v>
      </c>
    </row>
    <row r="9157">
      <c r="A9157" s="3">
        <v>45771.0</v>
      </c>
      <c r="B9157" s="4">
        <v>0.35</v>
      </c>
      <c r="C9157" s="5" t="s">
        <v>90</v>
      </c>
      <c r="D9157" s="5" t="s">
        <v>1390</v>
      </c>
      <c r="E9157" s="8" t="s">
        <v>253</v>
      </c>
      <c r="F9157" s="5" t="s">
        <v>254</v>
      </c>
      <c r="G9157" s="6" t="str">
        <f>VLOOKUP(E9157,dicionario!$A$1:$C9556,2,0)</f>
        <v>Panicum maximum</v>
      </c>
      <c r="H9157" s="6" t="str">
        <f>VLOOKUP(E9157,dicionario!$A$1:$C9556,3,0)</f>
        <v>capim-colonião</v>
      </c>
    </row>
    <row r="9158">
      <c r="A9158" s="3">
        <v>45771.0</v>
      </c>
      <c r="B9158" s="4">
        <v>0.35</v>
      </c>
      <c r="C9158" s="5" t="s">
        <v>90</v>
      </c>
      <c r="D9158" s="5" t="s">
        <v>1390</v>
      </c>
      <c r="E9158" s="8" t="s">
        <v>122</v>
      </c>
      <c r="F9158" s="5" t="s">
        <v>123</v>
      </c>
      <c r="G9158" s="6" t="str">
        <f>VLOOKUP(E9158,dicionario!$A$1:$C9557,2,0)</f>
        <v>Todirostrum cinereum</v>
      </c>
      <c r="H9158" s="6" t="str">
        <f>VLOOKUP(E9158,dicionario!$A$1:$C9557,3,0)</f>
        <v>ferreirinho-relógio</v>
      </c>
    </row>
    <row r="9159">
      <c r="A9159" s="3">
        <v>45771.0</v>
      </c>
      <c r="B9159" s="4">
        <v>0.35</v>
      </c>
      <c r="C9159" s="5" t="s">
        <v>90</v>
      </c>
      <c r="D9159" s="5" t="s">
        <v>1390</v>
      </c>
      <c r="E9159" s="8" t="s">
        <v>1427</v>
      </c>
      <c r="F9159" s="5" t="s">
        <v>44</v>
      </c>
      <c r="G9159" s="6" t="str">
        <f>VLOOKUP(E9159,dicionario!$A$1:$C9558,2,0)</f>
        <v>#N/A</v>
      </c>
      <c r="H9159" s="6" t="str">
        <f>VLOOKUP(E9159,dicionario!$A$1:$C9558,3,0)</f>
        <v>#N/A</v>
      </c>
    </row>
    <row r="9160">
      <c r="A9160" s="3">
        <v>45771.0</v>
      </c>
      <c r="B9160" s="4">
        <v>0.35</v>
      </c>
      <c r="C9160" s="5" t="s">
        <v>90</v>
      </c>
      <c r="D9160" s="5" t="s">
        <v>1390</v>
      </c>
      <c r="E9160" s="8" t="s">
        <v>360</v>
      </c>
      <c r="F9160" s="5" t="s">
        <v>361</v>
      </c>
      <c r="G9160" s="6" t="str">
        <f>VLOOKUP(E9160,dicionario!$A$1:$C9559,2,0)</f>
        <v>Chamaecrista rotundifolia</v>
      </c>
      <c r="H9160" s="6" t="str">
        <f>VLOOKUP(E9160,dicionario!$A$1:$C9559,3,0)</f>
        <v>alfafa-nativa</v>
      </c>
    </row>
    <row r="9161">
      <c r="A9161" s="3">
        <v>45771.0</v>
      </c>
      <c r="B9161" s="4">
        <v>0.3506944444444444</v>
      </c>
      <c r="C9161" s="5" t="s">
        <v>90</v>
      </c>
      <c r="D9161" s="5" t="s">
        <v>1390</v>
      </c>
      <c r="E9161" s="8" t="s">
        <v>146</v>
      </c>
      <c r="F9161" s="5" t="s">
        <v>147</v>
      </c>
      <c r="G9161" s="6" t="str">
        <f>VLOOKUP(E9161,dicionario!$A$1:$C9560,2,0)</f>
        <v>Euphorbia hirta</v>
      </c>
      <c r="H9161" s="6" t="str">
        <f>VLOOKUP(E9161,dicionario!$A$1:$C9560,3,0)</f>
        <v>erva-de-santa-luzia</v>
      </c>
    </row>
    <row r="9162">
      <c r="A9162" s="3">
        <v>45771.0</v>
      </c>
      <c r="B9162" s="4">
        <v>0.3506944444444444</v>
      </c>
      <c r="C9162" s="5" t="s">
        <v>90</v>
      </c>
      <c r="D9162" s="5" t="s">
        <v>1390</v>
      </c>
      <c r="E9162" s="8" t="s">
        <v>135</v>
      </c>
      <c r="F9162" s="5" t="s">
        <v>136</v>
      </c>
      <c r="G9162" s="6" t="str">
        <f>VLOOKUP(E9162,dicionario!$A$1:$C9561,2,0)</f>
        <v>Tridax procumbens</v>
      </c>
      <c r="H9162" s="6" t="str">
        <f>VLOOKUP(E9162,dicionario!$A$1:$C9561,3,0)</f>
        <v>erva-de-touro</v>
      </c>
    </row>
    <row r="9163">
      <c r="A9163" s="3">
        <v>45771.0</v>
      </c>
      <c r="B9163" s="4">
        <v>0.3506944444444444</v>
      </c>
      <c r="C9163" s="5" t="s">
        <v>90</v>
      </c>
      <c r="D9163" s="5" t="s">
        <v>1390</v>
      </c>
      <c r="E9163" s="8" t="s">
        <v>1316</v>
      </c>
      <c r="F9163" s="5" t="s">
        <v>15</v>
      </c>
      <c r="G9163" s="6" t="str">
        <f>VLOOKUP(E9163,dicionario!$A$1:$C9562,2,0)</f>
        <v>#N/A</v>
      </c>
      <c r="H9163" s="6" t="str">
        <f>VLOOKUP(E9163,dicionario!$A$1:$C9562,3,0)</f>
        <v>#N/A</v>
      </c>
    </row>
    <row r="9164">
      <c r="A9164" s="3">
        <v>45771.0</v>
      </c>
      <c r="B9164" s="4">
        <v>0.35138888888888886</v>
      </c>
      <c r="C9164" s="5" t="s">
        <v>90</v>
      </c>
      <c r="D9164" s="5" t="s">
        <v>1390</v>
      </c>
      <c r="E9164" s="8" t="s">
        <v>1366</v>
      </c>
      <c r="F9164" s="5" t="s">
        <v>190</v>
      </c>
      <c r="G9164" s="6" t="str">
        <f>VLOOKUP(E9164,dicionario!$A$1:$C9563,2,0)</f>
        <v>#N/A</v>
      </c>
      <c r="H9164" s="6" t="str">
        <f>VLOOKUP(E9164,dicionario!$A$1:$C9563,3,0)</f>
        <v>#N/A</v>
      </c>
    </row>
    <row r="9165">
      <c r="A9165" s="3">
        <v>45779.0</v>
      </c>
      <c r="B9165" s="4">
        <v>0.26458333333333334</v>
      </c>
      <c r="C9165" s="5" t="s">
        <v>90</v>
      </c>
      <c r="D9165" s="5" t="s">
        <v>1428</v>
      </c>
      <c r="E9165" s="8" t="s">
        <v>732</v>
      </c>
      <c r="F9165" s="7"/>
      <c r="G9165" s="6" t="str">
        <f>VLOOKUP(E9165,dicionario!$A$1:$C9564,2,0)</f>
        <v>#N/A</v>
      </c>
      <c r="H9165" s="6" t="str">
        <f>VLOOKUP(E9165,dicionario!$A$1:$C9564,3,0)</f>
        <v>#N/A</v>
      </c>
    </row>
    <row r="9166">
      <c r="A9166" s="3">
        <v>45779.0</v>
      </c>
      <c r="B9166" s="4">
        <v>0.2652777777777778</v>
      </c>
      <c r="C9166" s="5" t="s">
        <v>90</v>
      </c>
      <c r="D9166" s="5" t="s">
        <v>1428</v>
      </c>
      <c r="E9166" s="8" t="s">
        <v>38</v>
      </c>
      <c r="F9166" s="5" t="s">
        <v>1251</v>
      </c>
      <c r="G9166" s="6" t="str">
        <f>VLOOKUP(E9166,dicionario!$A$1:$C9565,2,0)</f>
        <v>Troglodytes musculus</v>
      </c>
      <c r="H9166" s="6" t="str">
        <f>VLOOKUP(E9166,dicionario!$A$1:$C9565,3,0)</f>
        <v>curruíra</v>
      </c>
    </row>
    <row r="9167">
      <c r="A9167" s="3">
        <v>45779.0</v>
      </c>
      <c r="B9167" s="4">
        <v>0.2652777777777778</v>
      </c>
      <c r="C9167" s="5" t="s">
        <v>90</v>
      </c>
      <c r="D9167" s="5" t="s">
        <v>1428</v>
      </c>
      <c r="E9167" s="20" t="s">
        <v>676</v>
      </c>
      <c r="F9167" s="5" t="s">
        <v>677</v>
      </c>
      <c r="G9167" s="6" t="str">
        <f>VLOOKUP(E9167,dicionario!$A$1:$C9566,2,0)</f>
        <v>Zornia latifolia</v>
      </c>
      <c r="H9167" s="6" t="str">
        <f>VLOOKUP(E9167,dicionario!$A$1:$C9566,3,0)</f>
        <v>arrozinho-do-campo</v>
      </c>
    </row>
    <row r="9168">
      <c r="A9168" s="3">
        <v>45779.0</v>
      </c>
      <c r="B9168" s="4">
        <v>0.2652777777777778</v>
      </c>
      <c r="C9168" s="5" t="s">
        <v>90</v>
      </c>
      <c r="D9168" s="5" t="s">
        <v>1428</v>
      </c>
      <c r="E9168" s="8" t="s">
        <v>239</v>
      </c>
      <c r="F9168" s="5" t="s">
        <v>240</v>
      </c>
      <c r="G9168" s="6" t="str">
        <f>VLOOKUP(E9168,dicionario!$A$1:$C9567,2,0)</f>
        <v>Gomphrena celosioides</v>
      </c>
      <c r="H9168" s="6" t="str">
        <f>VLOOKUP(E9168,dicionario!$A$1:$C9567,3,0)</f>
        <v>perpétua-branca</v>
      </c>
    </row>
    <row r="9169">
      <c r="A9169" s="3">
        <v>45779.0</v>
      </c>
      <c r="B9169" s="4">
        <v>0.2652777777777778</v>
      </c>
      <c r="C9169" s="5" t="s">
        <v>90</v>
      </c>
      <c r="D9169" s="5" t="s">
        <v>1428</v>
      </c>
      <c r="E9169" s="8" t="s">
        <v>144</v>
      </c>
      <c r="F9169" s="5" t="s">
        <v>145</v>
      </c>
      <c r="G9169" s="6" t="str">
        <f>VLOOKUP(E9169,dicionario!$A$1:$C9568,2,0)</f>
        <v>Gomphrena globosa</v>
      </c>
      <c r="H9169" s="6" t="str">
        <f>VLOOKUP(E9169,dicionario!$A$1:$C9568,3,0)</f>
        <v>perpétua-rosa</v>
      </c>
    </row>
    <row r="9170">
      <c r="A9170" s="3">
        <v>45779.0</v>
      </c>
      <c r="B9170" s="4">
        <v>0.2652777777777778</v>
      </c>
      <c r="C9170" s="5" t="s">
        <v>90</v>
      </c>
      <c r="D9170" s="5" t="s">
        <v>1428</v>
      </c>
      <c r="E9170" s="8" t="s">
        <v>113</v>
      </c>
      <c r="F9170" s="5" t="s">
        <v>114</v>
      </c>
      <c r="G9170" s="6" t="str">
        <f>VLOOKUP(E9170,dicionario!$A$1:$C9569,2,0)</f>
        <v>Columbina talpacoti</v>
      </c>
      <c r="H9170" s="6" t="str">
        <f>VLOOKUP(E9170,dicionario!$A$1:$C9569,3,0)</f>
        <v>rolinha-roxa</v>
      </c>
    </row>
    <row r="9171">
      <c r="A9171" s="3">
        <v>45779.0</v>
      </c>
      <c r="B9171" s="4">
        <v>0.2652777777777778</v>
      </c>
      <c r="C9171" s="5" t="s">
        <v>90</v>
      </c>
      <c r="D9171" s="5" t="s">
        <v>1428</v>
      </c>
      <c r="E9171" s="8" t="s">
        <v>1412</v>
      </c>
      <c r="F9171" s="5" t="s">
        <v>73</v>
      </c>
      <c r="G9171" s="6" t="str">
        <f>VLOOKUP(E9171,dicionario!$A$1:$C9570,2,0)</f>
        <v>#N/A</v>
      </c>
      <c r="H9171" s="6" t="str">
        <f>VLOOKUP(E9171,dicionario!$A$1:$C9570,3,0)</f>
        <v>#N/A</v>
      </c>
    </row>
    <row r="9172">
      <c r="A9172" s="3">
        <v>45779.0</v>
      </c>
      <c r="B9172" s="4">
        <v>0.2652777777777778</v>
      </c>
      <c r="C9172" s="5" t="s">
        <v>90</v>
      </c>
      <c r="D9172" s="5" t="s">
        <v>1428</v>
      </c>
      <c r="E9172" s="8" t="s">
        <v>1429</v>
      </c>
      <c r="F9172" s="5" t="s">
        <v>42</v>
      </c>
      <c r="G9172" s="6" t="str">
        <f>VLOOKUP(E9172,dicionario!$A$1:$C9571,2,0)</f>
        <v>#N/A</v>
      </c>
      <c r="H9172" s="6" t="str">
        <f>VLOOKUP(E9172,dicionario!$A$1:$C9571,3,0)</f>
        <v>#N/A</v>
      </c>
    </row>
    <row r="9173">
      <c r="A9173" s="3">
        <v>45779.0</v>
      </c>
      <c r="B9173" s="4">
        <v>0.26666666666666666</v>
      </c>
      <c r="C9173" s="5" t="s">
        <v>90</v>
      </c>
      <c r="D9173" s="5" t="s">
        <v>1428</v>
      </c>
      <c r="E9173" s="8" t="s">
        <v>353</v>
      </c>
      <c r="F9173" s="5" t="s">
        <v>354</v>
      </c>
      <c r="G9173" s="6" t="str">
        <f>VLOOKUP(E9173,dicionario!$A$1:$C9572,2,0)</f>
        <v>Desmodium incanum</v>
      </c>
      <c r="H9173" s="6" t="str">
        <f>VLOOKUP(E9173,dicionario!$A$1:$C9572,3,0)</f>
        <v>pega-pega</v>
      </c>
    </row>
    <row r="9174">
      <c r="A9174" s="3">
        <v>45779.0</v>
      </c>
      <c r="B9174" s="4">
        <v>0.26666666666666666</v>
      </c>
      <c r="C9174" s="5" t="s">
        <v>90</v>
      </c>
      <c r="D9174" s="5" t="s">
        <v>1428</v>
      </c>
      <c r="E9174" s="8" t="s">
        <v>154</v>
      </c>
      <c r="F9174" s="5" t="s">
        <v>155</v>
      </c>
      <c r="G9174" s="6" t="str">
        <f>VLOOKUP(E9174,dicionario!$A$1:$C9573,2,0)</f>
        <v>Cyperus rotundus</v>
      </c>
      <c r="H9174" s="6" t="str">
        <f>VLOOKUP(E9174,dicionario!$A$1:$C9573,3,0)</f>
        <v>tiririca</v>
      </c>
    </row>
    <row r="9175">
      <c r="A9175" s="3">
        <v>45779.0</v>
      </c>
      <c r="B9175" s="4">
        <v>0.26666666666666666</v>
      </c>
      <c r="C9175" s="5" t="s">
        <v>90</v>
      </c>
      <c r="D9175" s="5" t="s">
        <v>1428</v>
      </c>
      <c r="E9175" s="8" t="s">
        <v>1316</v>
      </c>
      <c r="F9175" s="5" t="s">
        <v>15</v>
      </c>
      <c r="G9175" s="6" t="str">
        <f>VLOOKUP(E9175,dicionario!$A$1:$C9574,2,0)</f>
        <v>#N/A</v>
      </c>
      <c r="H9175" s="6" t="str">
        <f>VLOOKUP(E9175,dicionario!$A$1:$C9574,3,0)</f>
        <v>#N/A</v>
      </c>
    </row>
    <row r="9176">
      <c r="A9176" s="3">
        <v>45779.0</v>
      </c>
      <c r="B9176" s="4">
        <v>0.2673611111111111</v>
      </c>
      <c r="C9176" s="5" t="s">
        <v>90</v>
      </c>
      <c r="D9176" s="5" t="s">
        <v>1428</v>
      </c>
      <c r="E9176" s="8" t="s">
        <v>41</v>
      </c>
      <c r="F9176" s="5" t="s">
        <v>45</v>
      </c>
      <c r="G9176" s="6" t="str">
        <f>VLOOKUP(E9176,dicionario!$A$1:$C9575,2,0)</f>
        <v>Mimosa pudica</v>
      </c>
      <c r="H9176" s="6" t="str">
        <f>VLOOKUP(E9176,dicionario!$A$1:$C9575,3,0)</f>
        <v>dormideira</v>
      </c>
    </row>
    <row r="9177">
      <c r="A9177" s="3">
        <v>45779.0</v>
      </c>
      <c r="B9177" s="4">
        <v>0.2673611111111111</v>
      </c>
      <c r="C9177" s="5" t="s">
        <v>90</v>
      </c>
      <c r="D9177" s="5" t="s">
        <v>1428</v>
      </c>
      <c r="E9177" s="8" t="s">
        <v>1383</v>
      </c>
      <c r="F9177" s="5" t="s">
        <v>1430</v>
      </c>
      <c r="G9177" s="6" t="str">
        <f>VLOOKUP(E9177,dicionario!$A$1:$C9576,2,0)</f>
        <v>#N/A</v>
      </c>
      <c r="H9177" s="6" t="str">
        <f>VLOOKUP(E9177,dicionario!$A$1:$C9576,3,0)</f>
        <v>#N/A</v>
      </c>
    </row>
    <row r="9178">
      <c r="A9178" s="3">
        <v>45779.0</v>
      </c>
      <c r="B9178" s="4">
        <v>0.2673611111111111</v>
      </c>
      <c r="C9178" s="5" t="s">
        <v>90</v>
      </c>
      <c r="D9178" s="5" t="s">
        <v>1428</v>
      </c>
      <c r="E9178" s="8" t="s">
        <v>1104</v>
      </c>
      <c r="F9178" s="5" t="s">
        <v>1105</v>
      </c>
      <c r="G9178" s="6" t="str">
        <f>VLOOKUP(E9178,dicionario!$A$1:$C9577,2,0)</f>
        <v>Rhynchospora speciosa</v>
      </c>
      <c r="H9178" s="6" t="str">
        <f>VLOOKUP(E9178,dicionario!$A$1:$C9577,3,0)</f>
        <v>capim-estrela</v>
      </c>
    </row>
    <row r="9179">
      <c r="A9179" s="3">
        <v>45779.0</v>
      </c>
      <c r="B9179" s="4">
        <v>0.26805555555555555</v>
      </c>
      <c r="C9179" s="5" t="s">
        <v>90</v>
      </c>
      <c r="D9179" s="5" t="s">
        <v>1428</v>
      </c>
      <c r="E9179" s="6" t="s">
        <v>53</v>
      </c>
      <c r="F9179" s="5" t="s">
        <v>54</v>
      </c>
      <c r="G9179" s="6" t="str">
        <f>VLOOKUP(E9179,dicionario!$A$1:$C9578,2,0)</f>
        <v>Turnera subulata</v>
      </c>
      <c r="H9179" s="6" t="str">
        <f>VLOOKUP(E9179,dicionario!$A$1:$C9578,3,0)</f>
        <v>xanana</v>
      </c>
    </row>
    <row r="9180">
      <c r="A9180" s="3">
        <v>45779.0</v>
      </c>
      <c r="B9180" s="4">
        <v>0.26805555555555555</v>
      </c>
      <c r="C9180" s="5" t="s">
        <v>90</v>
      </c>
      <c r="D9180" s="5" t="s">
        <v>1428</v>
      </c>
      <c r="E9180" s="8" t="s">
        <v>631</v>
      </c>
      <c r="F9180" s="5" t="s">
        <v>632</v>
      </c>
      <c r="G9180" s="6" t="str">
        <f>VLOOKUP(E9180,dicionario!$A$1:$C9579,2,0)</f>
        <v>Chamaecrista nictitans</v>
      </c>
      <c r="H9180" s="6" t="str">
        <f>VLOOKUP(E9180,dicionario!$A$1:$C9579,3,0)</f>
        <v>falsa-dormideira</v>
      </c>
    </row>
    <row r="9181">
      <c r="A9181" s="3">
        <v>45779.0</v>
      </c>
      <c r="B9181" s="4">
        <v>0.26805555555555555</v>
      </c>
      <c r="C9181" s="5" t="s">
        <v>90</v>
      </c>
      <c r="D9181" s="5" t="s">
        <v>1428</v>
      </c>
      <c r="E9181" s="8" t="s">
        <v>712</v>
      </c>
      <c r="F9181" s="5" t="s">
        <v>718</v>
      </c>
      <c r="G9181" s="6" t="str">
        <f>VLOOKUP(E9181,dicionario!$A$1:$C9580,2,0)</f>
        <v>Flavopunctelia soredica</v>
      </c>
      <c r="H9181" s="6" t="str">
        <f>VLOOKUP(E9181,dicionario!$A$1:$C9580,3,0)</f>
        <v>líquen-folioso</v>
      </c>
    </row>
    <row r="9182">
      <c r="A9182" s="3">
        <v>45779.0</v>
      </c>
      <c r="B9182" s="4">
        <v>0.26805555555555555</v>
      </c>
      <c r="C9182" s="5" t="s">
        <v>90</v>
      </c>
      <c r="D9182" s="5" t="s">
        <v>1428</v>
      </c>
      <c r="E9182" s="8" t="s">
        <v>719</v>
      </c>
      <c r="F9182" s="5" t="s">
        <v>720</v>
      </c>
      <c r="G9182" s="6" t="str">
        <f>VLOOKUP(E9182,dicionario!$A$1:$C9581,2,0)</f>
        <v>Dirinaria</v>
      </c>
      <c r="H9182" s="6" t="str">
        <f>VLOOKUP(E9182,dicionario!$A$1:$C9581,3,0)</f>
        <v>líquen-crostoso</v>
      </c>
    </row>
    <row r="9183">
      <c r="A9183" s="3">
        <v>45779.0</v>
      </c>
      <c r="B9183" s="4">
        <v>0.26805555555555555</v>
      </c>
      <c r="C9183" s="5" t="s">
        <v>90</v>
      </c>
      <c r="D9183" s="5" t="s">
        <v>1428</v>
      </c>
      <c r="E9183" s="8" t="s">
        <v>1024</v>
      </c>
      <c r="F9183" s="5" t="s">
        <v>969</v>
      </c>
      <c r="G9183" s="6" t="str">
        <f>VLOOKUP(E9183,dicionario!$A$1:$C9582,2,0)</f>
        <v>Usnea barbata</v>
      </c>
      <c r="H9183" s="6" t="str">
        <f>VLOOKUP(E9183,dicionario!$A$1:$C9582,3,0)</f>
        <v>barba-de-velho</v>
      </c>
    </row>
    <row r="9184">
      <c r="A9184" s="3">
        <v>45779.0</v>
      </c>
      <c r="B9184" s="4">
        <v>0.26805555555555555</v>
      </c>
      <c r="C9184" s="5" t="s">
        <v>90</v>
      </c>
      <c r="D9184" s="5" t="s">
        <v>1428</v>
      </c>
      <c r="E9184" s="8" t="s">
        <v>107</v>
      </c>
      <c r="F9184" s="5" t="s">
        <v>834</v>
      </c>
      <c r="G9184" s="6" t="str">
        <f>VLOOKUP(E9184,dicionario!$A$1:$C9583,2,0)</f>
        <v>Ramalina complanata</v>
      </c>
      <c r="H9184" s="6" t="str">
        <f>VLOOKUP(E9184,dicionario!$A$1:$C9583,3,0)</f>
        <v>ramalina</v>
      </c>
    </row>
    <row r="9185">
      <c r="A9185" s="3">
        <v>45779.0</v>
      </c>
      <c r="B9185" s="4">
        <v>0.26875</v>
      </c>
      <c r="C9185" s="5" t="s">
        <v>90</v>
      </c>
      <c r="D9185" s="5" t="s">
        <v>1428</v>
      </c>
      <c r="E9185" s="8" t="s">
        <v>65</v>
      </c>
      <c r="F9185" s="5" t="s">
        <v>66</v>
      </c>
      <c r="G9185" s="6" t="str">
        <f>VLOOKUP(E9185,dicionario!$A$1:$C9584,2,0)</f>
        <v>Pitangus sulphutarus</v>
      </c>
      <c r="H9185" s="6" t="str">
        <f>VLOOKUP(E9185,dicionario!$A$1:$C9584,3,0)</f>
        <v>bem-te-vi</v>
      </c>
    </row>
    <row r="9186">
      <c r="A9186" s="3">
        <v>45779.0</v>
      </c>
      <c r="B9186" s="4">
        <v>0.26875</v>
      </c>
      <c r="C9186" s="5" t="s">
        <v>90</v>
      </c>
      <c r="D9186" s="5" t="s">
        <v>1428</v>
      </c>
      <c r="E9186" s="8" t="s">
        <v>1427</v>
      </c>
      <c r="F9186" s="5" t="s">
        <v>44</v>
      </c>
      <c r="G9186" s="6" t="str">
        <f>VLOOKUP(E9186,dicionario!$A$1:$C9585,2,0)</f>
        <v>#N/A</v>
      </c>
      <c r="H9186" s="6" t="str">
        <f>VLOOKUP(E9186,dicionario!$A$1:$C9585,3,0)</f>
        <v>#N/A</v>
      </c>
    </row>
    <row r="9187">
      <c r="A9187" s="3">
        <v>45779.0</v>
      </c>
      <c r="B9187" s="4">
        <v>0.26944444444444443</v>
      </c>
      <c r="C9187" s="5" t="s">
        <v>90</v>
      </c>
      <c r="D9187" s="5" t="s">
        <v>1428</v>
      </c>
      <c r="E9187" s="8" t="s">
        <v>227</v>
      </c>
      <c r="F9187" s="5" t="s">
        <v>228</v>
      </c>
      <c r="G9187" s="6" t="str">
        <f>VLOOKUP(E9187,dicionario!$A$1:$C9586,2,0)</f>
        <v>Indigofera hirsuta</v>
      </c>
      <c r="H9187" s="6" t="str">
        <f>VLOOKUP(E9187,dicionario!$A$1:$C9586,3,0)</f>
        <v>anileira</v>
      </c>
    </row>
    <row r="9188">
      <c r="A9188" s="3">
        <v>45779.0</v>
      </c>
      <c r="B9188" s="4">
        <v>0.26944444444444443</v>
      </c>
      <c r="C9188" s="5" t="s">
        <v>90</v>
      </c>
      <c r="D9188" s="5" t="s">
        <v>1428</v>
      </c>
      <c r="E9188" s="8" t="s">
        <v>195</v>
      </c>
      <c r="F9188" s="5" t="s">
        <v>196</v>
      </c>
      <c r="G9188" s="6" t="str">
        <f>VLOOKUP(E9188,dicionario!$A$1:$C9587,2,0)</f>
        <v>Priva lappulacea</v>
      </c>
      <c r="H9188" s="6" t="str">
        <f>VLOOKUP(E9188,dicionario!$A$1:$C9587,3,0)</f>
        <v>carrapicho</v>
      </c>
    </row>
    <row r="9189">
      <c r="A9189" s="3">
        <v>45779.0</v>
      </c>
      <c r="B9189" s="4">
        <v>0.2701388888888889</v>
      </c>
      <c r="C9189" s="5" t="s">
        <v>90</v>
      </c>
      <c r="D9189" s="5" t="s">
        <v>1428</v>
      </c>
      <c r="E9189" s="8" t="s">
        <v>177</v>
      </c>
      <c r="F9189" s="5" t="s">
        <v>1431</v>
      </c>
      <c r="G9189" s="6" t="str">
        <f>VLOOKUP(E9189,dicionario!$A$1:$C9588,2,0)</f>
        <v>Elaenia flavogaster</v>
      </c>
      <c r="H9189" s="6" t="str">
        <f>VLOOKUP(E9189,dicionario!$A$1:$C9588,3,0)</f>
        <v>guaracava-de-barriga-amarela</v>
      </c>
    </row>
    <row r="9190">
      <c r="A9190" s="3">
        <v>45779.0</v>
      </c>
      <c r="B9190" s="4">
        <v>0.2701388888888889</v>
      </c>
      <c r="C9190" s="5" t="s">
        <v>90</v>
      </c>
      <c r="D9190" s="5" t="s">
        <v>1428</v>
      </c>
      <c r="E9190" s="8" t="s">
        <v>135</v>
      </c>
      <c r="F9190" s="5" t="s">
        <v>136</v>
      </c>
      <c r="G9190" s="6" t="str">
        <f>VLOOKUP(E9190,dicionario!$A$1:$C9589,2,0)</f>
        <v>Tridax procumbens</v>
      </c>
      <c r="H9190" s="6" t="str">
        <f>VLOOKUP(E9190,dicionario!$A$1:$C9589,3,0)</f>
        <v>erva-de-touro</v>
      </c>
    </row>
    <row r="9191">
      <c r="A9191" s="3">
        <v>45779.0</v>
      </c>
      <c r="B9191" s="4">
        <v>0.2701388888888889</v>
      </c>
      <c r="C9191" s="5" t="s">
        <v>90</v>
      </c>
      <c r="D9191" s="5" t="s">
        <v>1428</v>
      </c>
      <c r="E9191" s="8" t="s">
        <v>1328</v>
      </c>
      <c r="F9191" s="5" t="s">
        <v>356</v>
      </c>
      <c r="G9191" s="6" t="str">
        <f>VLOOKUP(E9191,dicionario!$A$1:$C9590,2,0)</f>
        <v>#N/A</v>
      </c>
      <c r="H9191" s="6" t="str">
        <f>VLOOKUP(E9191,dicionario!$A$1:$C9590,3,0)</f>
        <v>#N/A</v>
      </c>
    </row>
    <row r="9192">
      <c r="A9192" s="3">
        <v>45779.0</v>
      </c>
      <c r="B9192" s="4">
        <v>0.2708333333333333</v>
      </c>
      <c r="C9192" s="5" t="s">
        <v>90</v>
      </c>
      <c r="D9192" s="5" t="s">
        <v>1428</v>
      </c>
      <c r="E9192" s="8" t="s">
        <v>1379</v>
      </c>
      <c r="F9192" s="61" t="s">
        <v>1380</v>
      </c>
      <c r="G9192" s="6" t="str">
        <f>VLOOKUP(E9192,dicionario!$A$1:$C9591,2,0)</f>
        <v>Hygrocybe</v>
      </c>
      <c r="H9192" s="6" t="str">
        <f>VLOOKUP(E9192,dicionario!$A$1:$C9591,3,0)</f>
        <v>cogumelo-laranja</v>
      </c>
    </row>
    <row r="9193">
      <c r="A9193" s="3">
        <v>45779.0</v>
      </c>
      <c r="B9193" s="4">
        <v>0.2708333333333333</v>
      </c>
      <c r="C9193" s="5" t="s">
        <v>90</v>
      </c>
      <c r="D9193" s="5" t="s">
        <v>1428</v>
      </c>
      <c r="E9193" s="6" t="s">
        <v>613</v>
      </c>
      <c r="F9193" s="5" t="s">
        <v>614</v>
      </c>
      <c r="G9193" s="6" t="str">
        <f>VLOOKUP(E9193,dicionario!$A$1:$C9592,2,0)</f>
        <v>Euphorbia hyssopifolia</v>
      </c>
      <c r="H9193" s="6" t="str">
        <f>VLOOKUP(E9193,dicionario!$A$1:$C9592,3,0)</f>
        <v>maria-leite</v>
      </c>
    </row>
    <row r="9194">
      <c r="A9194" s="3">
        <v>45779.0</v>
      </c>
      <c r="B9194" s="4">
        <v>0.2708333333333333</v>
      </c>
      <c r="C9194" s="5" t="s">
        <v>90</v>
      </c>
      <c r="D9194" s="5" t="s">
        <v>1428</v>
      </c>
      <c r="E9194" s="6" t="s">
        <v>317</v>
      </c>
      <c r="F9194" s="5" t="s">
        <v>1432</v>
      </c>
      <c r="G9194" s="6" t="str">
        <f>VLOOKUP(E9194,dicionario!$A$1:$C9593,2,0)</f>
        <v>Leucauge argyra</v>
      </c>
      <c r="H9194" s="6" t="str">
        <f>VLOOKUP(E9194,dicionario!$A$1:$C9593,3,0)</f>
        <v>aranha-de-mandibula-longa</v>
      </c>
    </row>
    <row r="9195">
      <c r="A9195" s="3">
        <v>45779.0</v>
      </c>
      <c r="B9195" s="4">
        <v>0.2708333333333333</v>
      </c>
      <c r="C9195" s="5" t="s">
        <v>90</v>
      </c>
      <c r="D9195" s="5" t="s">
        <v>1428</v>
      </c>
      <c r="E9195" s="8" t="s">
        <v>405</v>
      </c>
      <c r="F9195" s="5" t="s">
        <v>418</v>
      </c>
      <c r="G9195" s="6" t="str">
        <f>VLOOKUP(E9195,dicionario!$A$1:$C9594,2,0)</f>
        <v>Ectatomma</v>
      </c>
      <c r="H9195" s="6" t="str">
        <f>VLOOKUP(E9195,dicionario!$A$1:$C9594,3,0)</f>
        <v>formiga-preta</v>
      </c>
    </row>
    <row r="9196">
      <c r="A9196" s="3">
        <v>45779.0</v>
      </c>
      <c r="B9196" s="4">
        <v>0.27152777777777776</v>
      </c>
      <c r="C9196" s="5" t="s">
        <v>90</v>
      </c>
      <c r="D9196" s="5" t="s">
        <v>1428</v>
      </c>
      <c r="E9196" s="12" t="s">
        <v>243</v>
      </c>
      <c r="F9196" s="5" t="s">
        <v>244</v>
      </c>
      <c r="G9196" s="6" t="str">
        <f>VLOOKUP(E9196,dicionario!$A$1:$C9595,2,0)</f>
        <v>Macroptilium atropurpureum</v>
      </c>
      <c r="H9196" s="6" t="str">
        <f>VLOOKUP(E9196,dicionario!$A$1:$C9595,3,0)</f>
        <v>feijão-de-pombo</v>
      </c>
    </row>
    <row r="9197">
      <c r="A9197" s="3">
        <v>45779.0</v>
      </c>
      <c r="B9197" s="4">
        <v>0.27152777777777776</v>
      </c>
      <c r="C9197" s="5" t="s">
        <v>90</v>
      </c>
      <c r="D9197" s="5" t="s">
        <v>1428</v>
      </c>
      <c r="E9197" s="6" t="s">
        <v>148</v>
      </c>
      <c r="F9197" s="5" t="s">
        <v>149</v>
      </c>
      <c r="G9197" s="6" t="str">
        <f>VLOOKUP(E9197,dicionario!$A$1:$C9596,2,0)</f>
        <v>Parthenium hysterophorus</v>
      </c>
      <c r="H9197" s="6" t="str">
        <f>VLOOKUP(E9197,dicionario!$A$1:$C9596,3,0)</f>
        <v>losna-branca</v>
      </c>
    </row>
    <row r="9198">
      <c r="A9198" s="3">
        <v>45779.0</v>
      </c>
      <c r="B9198" s="4">
        <v>0.27361111111111114</v>
      </c>
      <c r="C9198" s="5" t="s">
        <v>85</v>
      </c>
      <c r="D9198" s="5" t="s">
        <v>1428</v>
      </c>
      <c r="E9198" s="6" t="s">
        <v>53</v>
      </c>
      <c r="F9198" s="5" t="s">
        <v>54</v>
      </c>
      <c r="G9198" s="6" t="str">
        <f>VLOOKUP(E9198,dicionario!$A$1:$C9597,2,0)</f>
        <v>Turnera subulata</v>
      </c>
      <c r="H9198" s="6" t="str">
        <f>VLOOKUP(E9198,dicionario!$A$1:$C9597,3,0)</f>
        <v>xanana</v>
      </c>
    </row>
    <row r="9199">
      <c r="A9199" s="3">
        <v>45779.0</v>
      </c>
      <c r="B9199" s="4">
        <v>0.27361111111111114</v>
      </c>
      <c r="C9199" s="5" t="s">
        <v>85</v>
      </c>
      <c r="D9199" s="5" t="s">
        <v>1428</v>
      </c>
      <c r="E9199" s="8" t="s">
        <v>239</v>
      </c>
      <c r="F9199" s="5" t="s">
        <v>240</v>
      </c>
      <c r="G9199" s="6" t="str">
        <f>VLOOKUP(E9199,dicionario!$A$1:$C9598,2,0)</f>
        <v>Gomphrena celosioides</v>
      </c>
      <c r="H9199" s="6" t="str">
        <f>VLOOKUP(E9199,dicionario!$A$1:$C9598,3,0)</f>
        <v>perpétua-branca</v>
      </c>
    </row>
    <row r="9200">
      <c r="A9200" s="3">
        <v>45779.0</v>
      </c>
      <c r="B9200" s="4">
        <v>0.27361111111111114</v>
      </c>
      <c r="C9200" s="5" t="s">
        <v>85</v>
      </c>
      <c r="D9200" s="5" t="s">
        <v>1428</v>
      </c>
      <c r="E9200" s="8" t="s">
        <v>135</v>
      </c>
      <c r="F9200" s="5" t="s">
        <v>136</v>
      </c>
      <c r="G9200" s="6" t="str">
        <f>VLOOKUP(E9200,dicionario!$A$1:$C9599,2,0)</f>
        <v>Tridax procumbens</v>
      </c>
      <c r="H9200" s="6" t="str">
        <f>VLOOKUP(E9200,dicionario!$A$1:$C9599,3,0)</f>
        <v>erva-de-touro</v>
      </c>
    </row>
    <row r="9201">
      <c r="A9201" s="3">
        <v>45779.0</v>
      </c>
      <c r="B9201" s="4">
        <v>0.27361111111111114</v>
      </c>
      <c r="C9201" s="5" t="s">
        <v>85</v>
      </c>
      <c r="D9201" s="5" t="s">
        <v>1428</v>
      </c>
      <c r="E9201" s="8" t="s">
        <v>65</v>
      </c>
      <c r="F9201" s="5" t="s">
        <v>66</v>
      </c>
      <c r="G9201" s="6" t="str">
        <f>VLOOKUP(E9201,dicionario!$A$1:$C9600,2,0)</f>
        <v>Pitangus sulphutarus</v>
      </c>
      <c r="H9201" s="6" t="str">
        <f>VLOOKUP(E9201,dicionario!$A$1:$C9600,3,0)</f>
        <v>bem-te-vi</v>
      </c>
    </row>
    <row r="9202">
      <c r="A9202" s="3">
        <v>45779.0</v>
      </c>
      <c r="B9202" s="4">
        <v>0.27361111111111114</v>
      </c>
      <c r="C9202" s="5" t="s">
        <v>85</v>
      </c>
      <c r="D9202" s="5" t="s">
        <v>1428</v>
      </c>
      <c r="E9202" s="8" t="s">
        <v>631</v>
      </c>
      <c r="F9202" s="5" t="s">
        <v>632</v>
      </c>
      <c r="G9202" s="6" t="str">
        <f>VLOOKUP(E9202,dicionario!$A$1:$C9601,2,0)</f>
        <v>Chamaecrista nictitans</v>
      </c>
      <c r="H9202" s="6" t="str">
        <f>VLOOKUP(E9202,dicionario!$A$1:$C9601,3,0)</f>
        <v>falsa-dormideira</v>
      </c>
    </row>
    <row r="9203">
      <c r="A9203" s="3">
        <v>45779.0</v>
      </c>
      <c r="B9203" s="4">
        <v>0.2743055555555556</v>
      </c>
      <c r="C9203" s="5" t="s">
        <v>85</v>
      </c>
      <c r="D9203" s="5" t="s">
        <v>1428</v>
      </c>
      <c r="E9203" s="8" t="s">
        <v>298</v>
      </c>
      <c r="F9203" s="7"/>
      <c r="G9203" s="6" t="str">
        <f>VLOOKUP(E9203,dicionario!$A$1:$C9602,2,0)</f>
        <v>Alysicarpus vaginalis</v>
      </c>
      <c r="H9203" s="6" t="str">
        <f>VLOOKUP(E9203,dicionario!$A$1:$C9602,3,0)</f>
        <v/>
      </c>
    </row>
    <row r="9204">
      <c r="A9204" s="3">
        <v>45779.0</v>
      </c>
      <c r="B9204" s="4">
        <v>0.27361111111111114</v>
      </c>
      <c r="C9204" s="5" t="s">
        <v>85</v>
      </c>
      <c r="D9204" s="5" t="s">
        <v>1428</v>
      </c>
      <c r="E9204" s="8" t="s">
        <v>122</v>
      </c>
      <c r="F9204" s="5" t="s">
        <v>123</v>
      </c>
      <c r="G9204" s="6" t="str">
        <f>VLOOKUP(E9204,dicionario!$A$1:$C9603,2,0)</f>
        <v>Todirostrum cinereum</v>
      </c>
      <c r="H9204" s="6" t="str">
        <f>VLOOKUP(E9204,dicionario!$A$1:$C9603,3,0)</f>
        <v>ferreirinho-relógio</v>
      </c>
    </row>
    <row r="9205">
      <c r="A9205" s="3">
        <v>45779.0</v>
      </c>
      <c r="B9205" s="4">
        <v>0.27361111111111114</v>
      </c>
      <c r="C9205" s="5" t="s">
        <v>85</v>
      </c>
      <c r="D9205" s="5" t="s">
        <v>1428</v>
      </c>
      <c r="E9205" s="29" t="s">
        <v>566</v>
      </c>
      <c r="F9205" s="5" t="s">
        <v>567</v>
      </c>
      <c r="G9205" s="6" t="str">
        <f>VLOOKUP(E9205,dicionario!$A$1:$C9604,2,0)</f>
        <v>Baccharis dracunculifolia</v>
      </c>
      <c r="H9205" s="6" t="str">
        <f>VLOOKUP(E9205,dicionario!$A$1:$C9604,3,0)</f>
        <v>vassoura</v>
      </c>
    </row>
    <row r="9206">
      <c r="A9206" s="3">
        <v>45779.0</v>
      </c>
      <c r="B9206" s="4">
        <v>0.27361111111111114</v>
      </c>
      <c r="C9206" s="5" t="s">
        <v>85</v>
      </c>
      <c r="D9206" s="5" t="s">
        <v>1428</v>
      </c>
      <c r="E9206" s="20" t="s">
        <v>676</v>
      </c>
      <c r="F9206" s="5" t="s">
        <v>677</v>
      </c>
      <c r="G9206" s="6" t="str">
        <f>VLOOKUP(E9206,dicionario!$A$1:$C9605,2,0)</f>
        <v>Zornia latifolia</v>
      </c>
      <c r="H9206" s="6" t="str">
        <f>VLOOKUP(E9206,dicionario!$A$1:$C9605,3,0)</f>
        <v>arrozinho-do-campo</v>
      </c>
    </row>
    <row r="9207">
      <c r="A9207" s="3">
        <v>45779.0</v>
      </c>
      <c r="B9207" s="4">
        <v>0.27361111111111114</v>
      </c>
      <c r="C9207" s="5" t="s">
        <v>85</v>
      </c>
      <c r="D9207" s="5" t="s">
        <v>1428</v>
      </c>
      <c r="E9207" s="8" t="s">
        <v>286</v>
      </c>
      <c r="F9207" s="5" t="s">
        <v>287</v>
      </c>
      <c r="G9207" s="6" t="str">
        <f>VLOOKUP(E9207,dicionario!$A$1:$C9606,2,0)</f>
        <v>Setaria parviflora</v>
      </c>
      <c r="H9207" s="6" t="str">
        <f>VLOOKUP(E9207,dicionario!$A$1:$C9606,3,0)</f>
        <v>capim-rabo-de-raposa</v>
      </c>
    </row>
    <row r="9208">
      <c r="A9208" s="3">
        <v>45779.0</v>
      </c>
      <c r="B9208" s="4">
        <v>0.27361111111111114</v>
      </c>
      <c r="C9208" s="5" t="s">
        <v>85</v>
      </c>
      <c r="D9208" s="5" t="s">
        <v>1428</v>
      </c>
      <c r="E9208" s="8" t="s">
        <v>624</v>
      </c>
      <c r="F9208" s="5" t="s">
        <v>133</v>
      </c>
      <c r="G9208" s="6" t="str">
        <f>VLOOKUP(E9208,dicionario!$A$1:$C9607,2,0)</f>
        <v>Euphonia violacea</v>
      </c>
      <c r="H9208" s="6" t="str">
        <f>VLOOKUP(E9208,dicionario!$A$1:$C9607,3,0)</f>
        <v>gaturamo-verdadeiro</v>
      </c>
    </row>
    <row r="9209">
      <c r="A9209" s="3">
        <v>45779.0</v>
      </c>
      <c r="B9209" s="4">
        <v>0.275</v>
      </c>
      <c r="C9209" s="5" t="s">
        <v>85</v>
      </c>
      <c r="D9209" s="5" t="s">
        <v>1428</v>
      </c>
      <c r="E9209" s="8" t="s">
        <v>154</v>
      </c>
      <c r="F9209" s="5" t="s">
        <v>155</v>
      </c>
      <c r="G9209" s="6" t="str">
        <f>VLOOKUP(E9209,dicionario!$A$1:$C9608,2,0)</f>
        <v>Cyperus rotundus</v>
      </c>
      <c r="H9209" s="6" t="str">
        <f>VLOOKUP(E9209,dicionario!$A$1:$C9608,3,0)</f>
        <v>tiririca</v>
      </c>
    </row>
    <row r="9210">
      <c r="A9210" s="3">
        <v>45779.0</v>
      </c>
      <c r="B9210" s="4">
        <v>0.275</v>
      </c>
      <c r="C9210" s="5" t="s">
        <v>85</v>
      </c>
      <c r="D9210" s="5" t="s">
        <v>1428</v>
      </c>
      <c r="E9210" s="8" t="s">
        <v>146</v>
      </c>
      <c r="F9210" s="5" t="s">
        <v>147</v>
      </c>
      <c r="G9210" s="6" t="str">
        <f>VLOOKUP(E9210,dicionario!$A$1:$C9609,2,0)</f>
        <v>Euphorbia hirta</v>
      </c>
      <c r="H9210" s="6" t="str">
        <f>VLOOKUP(E9210,dicionario!$A$1:$C9609,3,0)</f>
        <v>erva-de-santa-luzia</v>
      </c>
    </row>
    <row r="9211">
      <c r="A9211" s="3">
        <v>45779.0</v>
      </c>
      <c r="B9211" s="4">
        <v>0.275</v>
      </c>
      <c r="C9211" s="5" t="s">
        <v>85</v>
      </c>
      <c r="D9211" s="5" t="s">
        <v>1428</v>
      </c>
      <c r="E9211" s="8" t="s">
        <v>271</v>
      </c>
      <c r="F9211" s="5" t="s">
        <v>1169</v>
      </c>
      <c r="G9211" s="6" t="str">
        <f>VLOOKUP(E9211,dicionario!$A$1:$C9610,2,0)</f>
        <v>Cyanthillium cinereum</v>
      </c>
      <c r="H9211" s="6" t="str">
        <f>VLOOKUP(E9211,dicionario!$A$1:$C9610,3,0)</f>
        <v>emília</v>
      </c>
    </row>
    <row r="9212">
      <c r="A9212" s="3">
        <v>45779.0</v>
      </c>
      <c r="B9212" s="4">
        <v>0.275</v>
      </c>
      <c r="C9212" s="5" t="s">
        <v>85</v>
      </c>
      <c r="D9212" s="5" t="s">
        <v>1428</v>
      </c>
      <c r="E9212" s="8" t="s">
        <v>109</v>
      </c>
      <c r="F9212" s="5" t="s">
        <v>110</v>
      </c>
      <c r="G9212" s="6" t="str">
        <f>VLOOKUP(E9212,dicionario!$A$1:$C9611,2,0)</f>
        <v>Tillandsia stricta</v>
      </c>
      <c r="H9212" s="6" t="str">
        <f>VLOOKUP(E9212,dicionario!$A$1:$C9611,3,0)</f>
        <v>cravo-do-mato</v>
      </c>
    </row>
    <row r="9213">
      <c r="A9213" s="3">
        <v>45779.0</v>
      </c>
      <c r="B9213" s="4">
        <v>0.275</v>
      </c>
      <c r="C9213" s="5" t="s">
        <v>85</v>
      </c>
      <c r="D9213" s="5" t="s">
        <v>1428</v>
      </c>
      <c r="E9213" s="8" t="s">
        <v>1406</v>
      </c>
      <c r="F9213" s="5" t="s">
        <v>172</v>
      </c>
      <c r="G9213" s="6" t="str">
        <f>VLOOKUP(E9213,dicionario!$A$1:$C9612,2,0)</f>
        <v>#N/A</v>
      </c>
      <c r="H9213" s="6" t="str">
        <f>VLOOKUP(E9213,dicionario!$A$1:$C9612,3,0)</f>
        <v>#N/A</v>
      </c>
    </row>
    <row r="9214">
      <c r="A9214" s="3">
        <v>45779.0</v>
      </c>
      <c r="B9214" s="4">
        <v>0.2763888888888889</v>
      </c>
      <c r="C9214" s="5" t="s">
        <v>85</v>
      </c>
      <c r="D9214" s="5" t="s">
        <v>1428</v>
      </c>
      <c r="E9214" s="8" t="s">
        <v>258</v>
      </c>
      <c r="F9214" s="5" t="s">
        <v>259</v>
      </c>
      <c r="G9214" s="6" t="str">
        <f>VLOOKUP(E9214,dicionario!$A$1:$C9613,2,0)</f>
        <v>Lantana camara</v>
      </c>
      <c r="H9214" s="6" t="str">
        <f>VLOOKUP(E9214,dicionario!$A$1:$C9613,3,0)</f>
        <v>lantana</v>
      </c>
    </row>
    <row r="9215">
      <c r="A9215" s="3">
        <v>45779.0</v>
      </c>
      <c r="B9215" s="4">
        <v>0.2763888888888889</v>
      </c>
      <c r="C9215" s="5" t="s">
        <v>85</v>
      </c>
      <c r="D9215" s="5" t="s">
        <v>1428</v>
      </c>
      <c r="E9215" s="8" t="s">
        <v>1316</v>
      </c>
      <c r="F9215" s="5" t="s">
        <v>15</v>
      </c>
      <c r="G9215" s="6" t="str">
        <f>VLOOKUP(E9215,dicionario!$A$1:$C9614,2,0)</f>
        <v>#N/A</v>
      </c>
      <c r="H9215" s="6" t="str">
        <f>VLOOKUP(E9215,dicionario!$A$1:$C9614,3,0)</f>
        <v>#N/A</v>
      </c>
    </row>
    <row r="9216">
      <c r="A9216" s="3">
        <v>45779.0</v>
      </c>
      <c r="B9216" s="4">
        <v>0.2763888888888889</v>
      </c>
      <c r="C9216" s="5" t="s">
        <v>85</v>
      </c>
      <c r="D9216" s="5" t="s">
        <v>1428</v>
      </c>
      <c r="E9216" s="8" t="s">
        <v>1087</v>
      </c>
      <c r="F9216" s="5" t="s">
        <v>1088</v>
      </c>
      <c r="G9216" s="6" t="str">
        <f>VLOOKUP(E9216,dicionario!$A$1:$C9615,2,0)</f>
        <v>Desmodium triflorum</v>
      </c>
      <c r="H9216" s="6" t="str">
        <f>VLOOKUP(E9216,dicionario!$A$1:$C9615,3,0)</f>
        <v/>
      </c>
    </row>
    <row r="9217">
      <c r="A9217" s="3">
        <v>45779.0</v>
      </c>
      <c r="B9217" s="4">
        <v>0.27708333333333335</v>
      </c>
      <c r="C9217" s="5" t="s">
        <v>85</v>
      </c>
      <c r="D9217" s="5" t="s">
        <v>1428</v>
      </c>
      <c r="E9217" s="8" t="s">
        <v>517</v>
      </c>
      <c r="F9217" s="5" t="s">
        <v>518</v>
      </c>
      <c r="G9217" s="6" t="str">
        <f>VLOOKUP(E9217,dicionario!$A$1:$C9616,2,0)</f>
        <v>Evolvulus nummularius</v>
      </c>
      <c r="H9217" s="6" t="str">
        <f>VLOOKUP(E9217,dicionario!$A$1:$C9616,3,0)</f>
        <v/>
      </c>
    </row>
    <row r="9218">
      <c r="A9218" s="3">
        <v>45779.0</v>
      </c>
      <c r="B9218" s="4">
        <v>0.2777777777777778</v>
      </c>
      <c r="C9218" s="5" t="s">
        <v>85</v>
      </c>
      <c r="D9218" s="5" t="s">
        <v>1428</v>
      </c>
      <c r="E9218" s="8" t="s">
        <v>296</v>
      </c>
      <c r="F9218" s="5" t="s">
        <v>297</v>
      </c>
      <c r="G9218" s="6" t="str">
        <f>VLOOKUP(E9218,dicionario!$A$1:$C9617,2,0)</f>
        <v>Richardia brasiliensis</v>
      </c>
      <c r="H9218" s="6" t="str">
        <f>VLOOKUP(E9218,dicionario!$A$1:$C9617,3,0)</f>
        <v>poaia-branca</v>
      </c>
    </row>
    <row r="9219">
      <c r="A9219" s="3">
        <v>45779.0</v>
      </c>
      <c r="B9219" s="4">
        <v>0.2777777777777778</v>
      </c>
      <c r="C9219" s="5" t="s">
        <v>85</v>
      </c>
      <c r="D9219" s="5" t="s">
        <v>1428</v>
      </c>
      <c r="E9219" s="8" t="s">
        <v>200</v>
      </c>
      <c r="F9219" s="5" t="s">
        <v>201</v>
      </c>
      <c r="G9219" s="6" t="str">
        <f>VLOOKUP(E9219,dicionario!$A$1:$C9618,2,0)</f>
        <v>Columbina picui </v>
      </c>
      <c r="H9219" s="6" t="str">
        <f>VLOOKUP(E9219,dicionario!$A$1:$C9618,3,0)</f>
        <v>rolinha-picuí</v>
      </c>
    </row>
    <row r="9220">
      <c r="A9220" s="3">
        <v>45779.0</v>
      </c>
      <c r="B9220" s="4">
        <v>0.2777777777777778</v>
      </c>
      <c r="C9220" s="5" t="s">
        <v>85</v>
      </c>
      <c r="D9220" s="5" t="s">
        <v>1428</v>
      </c>
      <c r="E9220" s="12" t="s">
        <v>243</v>
      </c>
      <c r="F9220" s="5" t="s">
        <v>244</v>
      </c>
      <c r="G9220" s="6" t="str">
        <f>VLOOKUP(E9220,dicionario!$A$1:$C9619,2,0)</f>
        <v>Macroptilium atropurpureum</v>
      </c>
      <c r="H9220" s="6" t="str">
        <f>VLOOKUP(E9220,dicionario!$A$1:$C9619,3,0)</f>
        <v>feijão-de-pombo</v>
      </c>
    </row>
    <row r="9221">
      <c r="A9221" s="3">
        <v>45779.0</v>
      </c>
      <c r="B9221" s="4">
        <v>0.27847222222222223</v>
      </c>
      <c r="C9221" s="5" t="s">
        <v>85</v>
      </c>
      <c r="D9221" s="5" t="s">
        <v>1428</v>
      </c>
      <c r="E9221" s="8" t="s">
        <v>1285</v>
      </c>
      <c r="F9221" s="5" t="s">
        <v>1286</v>
      </c>
      <c r="G9221" s="6" t="str">
        <f>VLOOKUP(E9221,dicionario!$A$1:$C9620,2,0)</f>
        <v>#N/A</v>
      </c>
      <c r="H9221" s="6" t="str">
        <f>VLOOKUP(E9221,dicionario!$A$1:$C9620,3,0)</f>
        <v>#N/A</v>
      </c>
    </row>
    <row r="9222">
      <c r="A9222" s="3">
        <v>45779.0</v>
      </c>
      <c r="B9222" s="4">
        <v>0.2791666666666667</v>
      </c>
      <c r="C9222" s="5" t="s">
        <v>85</v>
      </c>
      <c r="D9222" s="5" t="s">
        <v>1428</v>
      </c>
      <c r="E9222" s="8" t="s">
        <v>247</v>
      </c>
      <c r="F9222" s="5" t="s">
        <v>387</v>
      </c>
      <c r="G9222" s="6" t="str">
        <f>VLOOKUP(E9222,dicionario!$A$1:$C9621,2,0)</f>
        <v>Emilia sonchifolia</v>
      </c>
      <c r="H9222" s="6" t="str">
        <f>VLOOKUP(E9222,dicionario!$A$1:$C9621,3,0)</f>
        <v>serralinha</v>
      </c>
    </row>
    <row r="9223">
      <c r="A9223" s="3">
        <v>45779.0</v>
      </c>
      <c r="B9223" s="4">
        <v>0.2791666666666667</v>
      </c>
      <c r="C9223" s="5" t="s">
        <v>85</v>
      </c>
      <c r="D9223" s="5" t="s">
        <v>1428</v>
      </c>
      <c r="E9223" s="8" t="s">
        <v>38</v>
      </c>
      <c r="F9223" s="5" t="s">
        <v>1251</v>
      </c>
      <c r="G9223" s="6" t="str">
        <f>VLOOKUP(E9223,dicionario!$A$1:$C9622,2,0)</f>
        <v>Troglodytes musculus</v>
      </c>
      <c r="H9223" s="6" t="str">
        <f>VLOOKUP(E9223,dicionario!$A$1:$C9622,3,0)</f>
        <v>curruíra</v>
      </c>
    </row>
    <row r="9224">
      <c r="A9224" s="3">
        <v>45779.0</v>
      </c>
      <c r="B9224" s="4">
        <v>0.2791666666666667</v>
      </c>
      <c r="C9224" s="5" t="s">
        <v>85</v>
      </c>
      <c r="D9224" s="5" t="s">
        <v>1428</v>
      </c>
      <c r="E9224" s="8" t="s">
        <v>425</v>
      </c>
      <c r="F9224" s="5" t="s">
        <v>426</v>
      </c>
      <c r="G9224" s="6" t="str">
        <f>VLOOKUP(E9224,dicionario!$A$1:$C9623,2,0)</f>
        <v>Digitaria insularis</v>
      </c>
      <c r="H9224" s="6" t="str">
        <f>VLOOKUP(E9224,dicionario!$A$1:$C9623,3,0)</f>
        <v>capim-amargoso</v>
      </c>
    </row>
    <row r="9225">
      <c r="A9225" s="3">
        <v>45779.0</v>
      </c>
      <c r="B9225" s="4">
        <v>0.2791666666666667</v>
      </c>
      <c r="C9225" s="5" t="s">
        <v>85</v>
      </c>
      <c r="D9225" s="5" t="s">
        <v>1428</v>
      </c>
      <c r="E9225" s="8" t="s">
        <v>606</v>
      </c>
      <c r="F9225" s="5" t="s">
        <v>607</v>
      </c>
      <c r="G9225" s="6" t="str">
        <f>VLOOKUP(E9225,dicionario!$A$1:$C9624,2,0)</f>
        <v>Elaenia spectabilis</v>
      </c>
      <c r="H9225" s="6" t="str">
        <f>VLOOKUP(E9225,dicionario!$A$1:$C9624,3,0)</f>
        <v>guaracava-grande</v>
      </c>
    </row>
    <row r="9226">
      <c r="A9226" s="3">
        <v>45779.0</v>
      </c>
      <c r="B9226" s="4">
        <v>0.2791666666666667</v>
      </c>
      <c r="C9226" s="5" t="s">
        <v>85</v>
      </c>
      <c r="D9226" s="5" t="s">
        <v>1428</v>
      </c>
      <c r="E9226" s="8" t="s">
        <v>122</v>
      </c>
      <c r="F9226" s="5" t="s">
        <v>123</v>
      </c>
      <c r="G9226" s="6" t="str">
        <f>VLOOKUP(E9226,dicionario!$A$1:$C9625,2,0)</f>
        <v>Todirostrum cinereum</v>
      </c>
      <c r="H9226" s="6" t="str">
        <f>VLOOKUP(E9226,dicionario!$A$1:$C9625,3,0)</f>
        <v>ferreirinho-relógio</v>
      </c>
    </row>
    <row r="9227">
      <c r="A9227" s="3">
        <v>45779.0</v>
      </c>
      <c r="B9227" s="4">
        <v>0.28055555555555556</v>
      </c>
      <c r="C9227" s="5" t="s">
        <v>85</v>
      </c>
      <c r="D9227" s="5" t="s">
        <v>1428</v>
      </c>
      <c r="E9227" s="8" t="s">
        <v>895</v>
      </c>
      <c r="F9227" s="5" t="s">
        <v>603</v>
      </c>
      <c r="G9227" s="6" t="str">
        <f>VLOOKUP(E9227,dicionario!$A$1:$C9626,2,0)</f>
        <v>Trametes cubensis</v>
      </c>
      <c r="H9227" s="6" t="str">
        <f>VLOOKUP(E9227,dicionario!$A$1:$C9626,3,0)</f>
        <v/>
      </c>
    </row>
    <row r="9228">
      <c r="A9228" s="3">
        <v>45779.0</v>
      </c>
      <c r="B9228" s="4">
        <v>0.28055555555555556</v>
      </c>
      <c r="C9228" s="5" t="s">
        <v>85</v>
      </c>
      <c r="D9228" s="5" t="s">
        <v>1428</v>
      </c>
      <c r="E9228" s="8" t="s">
        <v>1433</v>
      </c>
      <c r="F9228" s="5" t="s">
        <v>1434</v>
      </c>
      <c r="G9228" s="6" t="str">
        <f>VLOOKUP(E9228,dicionario!$A$1:$C9627,2,0)</f>
        <v>Psilodum</v>
      </c>
      <c r="H9228" s="6" t="str">
        <f>VLOOKUP(E9228,dicionario!$A$1:$C9627,3,0)</f>
        <v>samambaia-palito </v>
      </c>
    </row>
    <row r="9229">
      <c r="A9229" s="3">
        <v>45779.0</v>
      </c>
      <c r="B9229" s="4">
        <v>0.28055555555555556</v>
      </c>
      <c r="C9229" s="5" t="s">
        <v>85</v>
      </c>
      <c r="D9229" s="5" t="s">
        <v>1428</v>
      </c>
      <c r="E9229" s="6" t="s">
        <v>86</v>
      </c>
      <c r="F9229" s="5" t="s">
        <v>502</v>
      </c>
      <c r="G9229" s="6" t="str">
        <f>VLOOKUP(E9229,dicionario!$A$1:$C9628,2,0)</f>
        <v>Coereba flaveola</v>
      </c>
      <c r="H9229" s="6" t="str">
        <f>VLOOKUP(E9229,dicionario!$A$1:$C9628,3,0)</f>
        <v>cambacica</v>
      </c>
    </row>
    <row r="9230">
      <c r="A9230" s="3">
        <v>45779.0</v>
      </c>
      <c r="B9230" s="4">
        <v>0.2826388888888889</v>
      </c>
      <c r="C9230" s="5" t="s">
        <v>76</v>
      </c>
      <c r="D9230" s="5" t="s">
        <v>1428</v>
      </c>
      <c r="E9230" s="8" t="s">
        <v>191</v>
      </c>
      <c r="F9230" s="5" t="s">
        <v>192</v>
      </c>
      <c r="G9230" s="6" t="str">
        <f>VLOOKUP(E9230,dicionario!$A$1:$C9629,2,0)</f>
        <v>Patagioenas picazuro</v>
      </c>
      <c r="H9230" s="6" t="str">
        <f>VLOOKUP(E9230,dicionario!$A$1:$C9629,3,0)</f>
        <v>asa-branca; pomba-asa-branca; pocaçu</v>
      </c>
    </row>
    <row r="9231">
      <c r="A9231" s="3">
        <v>45779.0</v>
      </c>
      <c r="B9231" s="4">
        <v>0.2826388888888889</v>
      </c>
      <c r="C9231" s="5" t="s">
        <v>76</v>
      </c>
      <c r="D9231" s="5" t="s">
        <v>1428</v>
      </c>
      <c r="E9231" s="8" t="s">
        <v>109</v>
      </c>
      <c r="F9231" s="5" t="s">
        <v>110</v>
      </c>
      <c r="G9231" s="6" t="str">
        <f>VLOOKUP(E9231,dicionario!$A$1:$C9630,2,0)</f>
        <v>Tillandsia stricta</v>
      </c>
      <c r="H9231" s="6" t="str">
        <f>VLOOKUP(E9231,dicionario!$A$1:$C9630,3,0)</f>
        <v>cravo-do-mato</v>
      </c>
    </row>
    <row r="9232">
      <c r="A9232" s="3">
        <v>45779.0</v>
      </c>
      <c r="B9232" s="4">
        <v>0.2833333333333333</v>
      </c>
      <c r="C9232" s="5" t="s">
        <v>76</v>
      </c>
      <c r="D9232" s="5" t="s">
        <v>1428</v>
      </c>
      <c r="E9232" s="6" t="s">
        <v>86</v>
      </c>
      <c r="F9232" s="5" t="s">
        <v>502</v>
      </c>
      <c r="G9232" s="6" t="str">
        <f>VLOOKUP(E9232,dicionario!$A$1:$C9631,2,0)</f>
        <v>Coereba flaveola</v>
      </c>
      <c r="H9232" s="6" t="str">
        <f>VLOOKUP(E9232,dicionario!$A$1:$C9631,3,0)</f>
        <v>cambacica</v>
      </c>
    </row>
    <row r="9233">
      <c r="A9233" s="3">
        <v>45779.0</v>
      </c>
      <c r="B9233" s="4">
        <v>0.2833333333333333</v>
      </c>
      <c r="C9233" s="5" t="s">
        <v>76</v>
      </c>
      <c r="D9233" s="5" t="s">
        <v>1428</v>
      </c>
      <c r="E9233" s="6" t="s">
        <v>148</v>
      </c>
      <c r="F9233" s="5" t="s">
        <v>149</v>
      </c>
      <c r="G9233" s="6" t="str">
        <f>VLOOKUP(E9233,dicionario!$A$1:$C9632,2,0)</f>
        <v>Parthenium hysterophorus</v>
      </c>
      <c r="H9233" s="6" t="str">
        <f>VLOOKUP(E9233,dicionario!$A$1:$C9632,3,0)</f>
        <v>losna-branca</v>
      </c>
    </row>
    <row r="9234">
      <c r="A9234" s="3">
        <v>45779.0</v>
      </c>
      <c r="B9234" s="4">
        <v>0.2833333333333333</v>
      </c>
      <c r="C9234" s="5" t="s">
        <v>76</v>
      </c>
      <c r="D9234" s="5" t="s">
        <v>1428</v>
      </c>
      <c r="E9234" s="8" t="s">
        <v>247</v>
      </c>
      <c r="F9234" s="5" t="s">
        <v>387</v>
      </c>
      <c r="G9234" s="6" t="str">
        <f>VLOOKUP(E9234,dicionario!$A$1:$C9633,2,0)</f>
        <v>Emilia sonchifolia</v>
      </c>
      <c r="H9234" s="6" t="str">
        <f>VLOOKUP(E9234,dicionario!$A$1:$C9633,3,0)</f>
        <v>serralinha</v>
      </c>
    </row>
    <row r="9235">
      <c r="A9235" s="3">
        <v>45779.0</v>
      </c>
      <c r="B9235" s="4">
        <v>0.2833333333333333</v>
      </c>
      <c r="C9235" s="5" t="s">
        <v>76</v>
      </c>
      <c r="D9235" s="5" t="s">
        <v>1428</v>
      </c>
      <c r="E9235" s="8" t="s">
        <v>65</v>
      </c>
      <c r="F9235" s="5" t="s">
        <v>66</v>
      </c>
      <c r="G9235" s="6" t="str">
        <f>VLOOKUP(E9235,dicionario!$A$1:$C9634,2,0)</f>
        <v>Pitangus sulphutarus</v>
      </c>
      <c r="H9235" s="6" t="str">
        <f>VLOOKUP(E9235,dicionario!$A$1:$C9634,3,0)</f>
        <v>bem-te-vi</v>
      </c>
    </row>
    <row r="9236">
      <c r="A9236" s="3">
        <v>45779.0</v>
      </c>
      <c r="B9236" s="4">
        <v>0.2833333333333333</v>
      </c>
      <c r="C9236" s="5" t="s">
        <v>76</v>
      </c>
      <c r="D9236" s="5" t="s">
        <v>1428</v>
      </c>
      <c r="E9236" s="8" t="s">
        <v>88</v>
      </c>
      <c r="F9236" s="5" t="s">
        <v>89</v>
      </c>
      <c r="G9236" s="6" t="str">
        <f>VLOOKUP(E9236,dicionario!$A$1:$C9635,2,0)</f>
        <v>Tyrannus melancolichus</v>
      </c>
      <c r="H9236" s="6" t="str">
        <f>VLOOKUP(E9236,dicionario!$A$1:$C9635,3,0)</f>
        <v>suiriri</v>
      </c>
    </row>
    <row r="9237">
      <c r="A9237" s="3">
        <v>45779.0</v>
      </c>
      <c r="B9237" s="4">
        <v>0.2833333333333333</v>
      </c>
      <c r="C9237" s="5" t="s">
        <v>76</v>
      </c>
      <c r="D9237" s="5" t="s">
        <v>1428</v>
      </c>
      <c r="E9237" s="8" t="s">
        <v>141</v>
      </c>
      <c r="F9237" s="5" t="s">
        <v>142</v>
      </c>
      <c r="G9237" s="6" t="str">
        <f>VLOOKUP(E9237,dicionario!$A$1:$C9636,2,0)</f>
        <v>Ruellia blechum</v>
      </c>
      <c r="H9237" s="6" t="str">
        <f>VLOOKUP(E9237,dicionario!$A$1:$C9636,3,0)</f>
        <v>camarão-verde</v>
      </c>
    </row>
    <row r="9238">
      <c r="A9238" s="3">
        <v>45779.0</v>
      </c>
      <c r="B9238" s="4">
        <v>0.28402777777777777</v>
      </c>
      <c r="C9238" s="5" t="s">
        <v>76</v>
      </c>
      <c r="D9238" s="5" t="s">
        <v>1428</v>
      </c>
      <c r="E9238" s="8" t="s">
        <v>1435</v>
      </c>
      <c r="F9238" s="5" t="s">
        <v>1436</v>
      </c>
      <c r="G9238" s="6" t="str">
        <f>VLOOKUP(E9238,dicionario!$A$1:$C9637,2,0)</f>
        <v>Leptodactylus latrans</v>
      </c>
      <c r="H9238" s="6" t="str">
        <f>VLOOKUP(E9238,dicionario!$A$1:$C9637,3,0)</f>
        <v>rã-manteiga</v>
      </c>
    </row>
    <row r="9239">
      <c r="A9239" s="3">
        <v>45779.0</v>
      </c>
      <c r="B9239" s="4">
        <v>0.28402777777777777</v>
      </c>
      <c r="C9239" s="5" t="s">
        <v>76</v>
      </c>
      <c r="D9239" s="5" t="s">
        <v>1428</v>
      </c>
      <c r="E9239" s="8" t="s">
        <v>298</v>
      </c>
      <c r="F9239" s="7"/>
      <c r="G9239" s="6" t="str">
        <f>VLOOKUP(E9239,dicionario!$A$1:$C9638,2,0)</f>
        <v>Alysicarpus vaginalis</v>
      </c>
      <c r="H9239" s="6" t="str">
        <f>VLOOKUP(E9239,dicionario!$A$1:$C9638,3,0)</f>
        <v/>
      </c>
    </row>
    <row r="9240">
      <c r="A9240" s="3">
        <v>45779.0</v>
      </c>
      <c r="B9240" s="4">
        <v>0.2847222222222222</v>
      </c>
      <c r="C9240" s="5" t="s">
        <v>76</v>
      </c>
      <c r="D9240" s="5" t="s">
        <v>1428</v>
      </c>
      <c r="E9240" s="8" t="s">
        <v>195</v>
      </c>
      <c r="F9240" s="5" t="s">
        <v>196</v>
      </c>
      <c r="G9240" s="6" t="str">
        <f>VLOOKUP(E9240,dicionario!$A$1:$C9639,2,0)</f>
        <v>Priva lappulacea</v>
      </c>
      <c r="H9240" s="6" t="str">
        <f>VLOOKUP(E9240,dicionario!$A$1:$C9639,3,0)</f>
        <v>carrapicho</v>
      </c>
    </row>
    <row r="9241">
      <c r="A9241" s="3">
        <v>45779.0</v>
      </c>
      <c r="B9241" s="4">
        <v>0.2833333333333333</v>
      </c>
      <c r="C9241" s="5" t="s">
        <v>76</v>
      </c>
      <c r="D9241" s="5" t="s">
        <v>1428</v>
      </c>
      <c r="E9241" s="8" t="s">
        <v>296</v>
      </c>
      <c r="F9241" s="5" t="s">
        <v>297</v>
      </c>
      <c r="G9241" s="6" t="str">
        <f>VLOOKUP(E9241,dicionario!$A$1:$C9640,2,0)</f>
        <v>Richardia brasiliensis</v>
      </c>
      <c r="H9241" s="6" t="str">
        <f>VLOOKUP(E9241,dicionario!$A$1:$C9640,3,0)</f>
        <v>poaia-branca</v>
      </c>
    </row>
    <row r="9242">
      <c r="A9242" s="3">
        <v>45779.0</v>
      </c>
      <c r="B9242" s="4">
        <v>0.2833333333333333</v>
      </c>
      <c r="C9242" s="5" t="s">
        <v>76</v>
      </c>
      <c r="D9242" s="5" t="s">
        <v>1428</v>
      </c>
      <c r="E9242" s="8" t="s">
        <v>146</v>
      </c>
      <c r="F9242" s="5" t="s">
        <v>147</v>
      </c>
      <c r="G9242" s="6" t="str">
        <f>VLOOKUP(E9242,dicionario!$A$1:$C9641,2,0)</f>
        <v>Euphorbia hirta</v>
      </c>
      <c r="H9242" s="6" t="str">
        <f>VLOOKUP(E9242,dicionario!$A$1:$C9641,3,0)</f>
        <v>erva-de-santa-luzia</v>
      </c>
    </row>
    <row r="9243">
      <c r="A9243" s="3">
        <v>45779.0</v>
      </c>
      <c r="B9243" s="4">
        <v>0.2833333333333333</v>
      </c>
      <c r="C9243" s="5" t="s">
        <v>76</v>
      </c>
      <c r="D9243" s="5" t="s">
        <v>1428</v>
      </c>
      <c r="E9243" s="8" t="s">
        <v>271</v>
      </c>
      <c r="F9243" s="5" t="s">
        <v>1169</v>
      </c>
      <c r="G9243" s="6" t="str">
        <f>VLOOKUP(E9243,dicionario!$A$1:$C9642,2,0)</f>
        <v>Cyanthillium cinereum</v>
      </c>
      <c r="H9243" s="6" t="str">
        <f>VLOOKUP(E9243,dicionario!$A$1:$C9642,3,0)</f>
        <v>emília</v>
      </c>
    </row>
    <row r="9244">
      <c r="A9244" s="3">
        <v>45779.0</v>
      </c>
      <c r="B9244" s="4">
        <v>0.2833333333333333</v>
      </c>
      <c r="C9244" s="5" t="s">
        <v>76</v>
      </c>
      <c r="D9244" s="5" t="s">
        <v>1428</v>
      </c>
      <c r="E9244" s="8" t="s">
        <v>1087</v>
      </c>
      <c r="F9244" s="5" t="s">
        <v>1088</v>
      </c>
      <c r="G9244" s="6" t="str">
        <f>VLOOKUP(E9244,dicionario!$A$1:$C9643,2,0)</f>
        <v>Desmodium triflorum</v>
      </c>
      <c r="H9244" s="6" t="str">
        <f>VLOOKUP(E9244,dicionario!$A$1:$C9643,3,0)</f>
        <v/>
      </c>
    </row>
    <row r="9245">
      <c r="A9245" s="3">
        <v>45779.0</v>
      </c>
      <c r="B9245" s="4">
        <v>0.2861111111111111</v>
      </c>
      <c r="C9245" s="5" t="s">
        <v>76</v>
      </c>
      <c r="D9245" s="5" t="s">
        <v>1428</v>
      </c>
      <c r="E9245" s="8" t="s">
        <v>227</v>
      </c>
      <c r="F9245" s="5" t="s">
        <v>228</v>
      </c>
      <c r="G9245" s="6" t="str">
        <f>VLOOKUP(E9245,dicionario!$A$1:$C9644,2,0)</f>
        <v>Indigofera hirsuta</v>
      </c>
      <c r="H9245" s="6" t="str">
        <f>VLOOKUP(E9245,dicionario!$A$1:$C9644,3,0)</f>
        <v>anileira</v>
      </c>
    </row>
    <row r="9246">
      <c r="A9246" s="3">
        <v>45779.0</v>
      </c>
      <c r="B9246" s="4">
        <v>0.2861111111111111</v>
      </c>
      <c r="C9246" s="5" t="s">
        <v>76</v>
      </c>
      <c r="D9246" s="5" t="s">
        <v>1428</v>
      </c>
      <c r="E9246" s="8" t="s">
        <v>48</v>
      </c>
      <c r="F9246" s="5" t="s">
        <v>49</v>
      </c>
      <c r="G9246" s="6" t="str">
        <f>VLOOKUP(E9246,dicionario!$A$1:$C9645,2,0)</f>
        <v>Commelina erecta</v>
      </c>
      <c r="H9246" s="6" t="str">
        <f>VLOOKUP(E9246,dicionario!$A$1:$C9645,3,0)</f>
        <v>trapoeraba</v>
      </c>
    </row>
    <row r="9247">
      <c r="A9247" s="3">
        <v>45779.0</v>
      </c>
      <c r="B9247" s="4">
        <v>0.2861111111111111</v>
      </c>
      <c r="C9247" s="5" t="s">
        <v>76</v>
      </c>
      <c r="D9247" s="5" t="s">
        <v>1428</v>
      </c>
      <c r="E9247" s="8" t="s">
        <v>514</v>
      </c>
      <c r="F9247" s="5" t="s">
        <v>515</v>
      </c>
      <c r="G9247" s="6" t="str">
        <f>VLOOKUP(E9247,dicionario!$A$1:$C9646,2,0)</f>
        <v>Aedes aegypti</v>
      </c>
      <c r="H9247" s="6" t="str">
        <f>VLOOKUP(E9247,dicionario!$A$1:$C9646,3,0)</f>
        <v>mosquito-da-dengue</v>
      </c>
    </row>
    <row r="9248">
      <c r="A9248" s="3">
        <v>45779.0</v>
      </c>
      <c r="B9248" s="4">
        <v>0.2861111111111111</v>
      </c>
      <c r="C9248" s="5" t="s">
        <v>76</v>
      </c>
      <c r="D9248" s="5" t="s">
        <v>1428</v>
      </c>
      <c r="E9248" s="6" t="s">
        <v>467</v>
      </c>
      <c r="F9248" s="5" t="s">
        <v>468</v>
      </c>
      <c r="G9248" s="6" t="str">
        <f>VLOOKUP(E9248,dicionario!$A$1:$C9647,2,0)</f>
        <v>Eleusine indica</v>
      </c>
      <c r="H9248" s="6" t="str">
        <f>VLOOKUP(E9248,dicionario!$A$1:$C9647,3,0)</f>
        <v>capim-pé-de-galinha</v>
      </c>
    </row>
    <row r="9249">
      <c r="A9249" s="3">
        <v>45779.0</v>
      </c>
      <c r="B9249" s="4">
        <v>0.2861111111111111</v>
      </c>
      <c r="C9249" s="5" t="s">
        <v>76</v>
      </c>
      <c r="D9249" s="5" t="s">
        <v>1428</v>
      </c>
      <c r="E9249" s="6" t="s">
        <v>86</v>
      </c>
      <c r="F9249" s="5" t="s">
        <v>502</v>
      </c>
      <c r="G9249" s="6" t="str">
        <f>VLOOKUP(E9249,dicionario!$A$1:$C9648,2,0)</f>
        <v>Coereba flaveola</v>
      </c>
      <c r="H9249" s="6" t="str">
        <f>VLOOKUP(E9249,dicionario!$A$1:$C9648,3,0)</f>
        <v>cambacica</v>
      </c>
    </row>
    <row r="9250">
      <c r="A9250" s="3">
        <v>45779.0</v>
      </c>
      <c r="B9250" s="4">
        <v>0.28680555555555554</v>
      </c>
      <c r="C9250" s="5" t="s">
        <v>76</v>
      </c>
      <c r="D9250" s="5" t="s">
        <v>1428</v>
      </c>
      <c r="E9250" s="68" t="s">
        <v>152</v>
      </c>
      <c r="F9250" s="5" t="s">
        <v>153</v>
      </c>
      <c r="G9250" s="6" t="str">
        <f>VLOOKUP(E9250,dicionario!$A$1:$C9649,2,0)</f>
        <v>Cynodon dactylon</v>
      </c>
      <c r="H9250" s="6" t="str">
        <f>VLOOKUP(E9250,dicionario!$A$1:$C9649,3,0)</f>
        <v>grama-bermuda</v>
      </c>
    </row>
    <row r="9251">
      <c r="A9251" s="3">
        <v>45779.0</v>
      </c>
      <c r="B9251" s="4">
        <v>0.28680555555555554</v>
      </c>
      <c r="C9251" s="5" t="s">
        <v>76</v>
      </c>
      <c r="D9251" s="5" t="s">
        <v>1428</v>
      </c>
      <c r="E9251" s="8" t="s">
        <v>736</v>
      </c>
      <c r="F9251" s="5" t="s">
        <v>737</v>
      </c>
      <c r="G9251" s="6" t="str">
        <f>VLOOKUP(E9251,dicionario!$A$1:$C9650,2,0)</f>
        <v>Chloris virgata</v>
      </c>
      <c r="H9251" s="6" t="str">
        <f>VLOOKUP(E9251,dicionario!$A$1:$C9650,3,0)</f>
        <v>capim-pavão</v>
      </c>
    </row>
    <row r="9252">
      <c r="A9252" s="3">
        <v>45779.0</v>
      </c>
      <c r="B9252" s="4">
        <v>0.28680555555555554</v>
      </c>
      <c r="C9252" s="5" t="s">
        <v>76</v>
      </c>
      <c r="D9252" s="5" t="s">
        <v>1428</v>
      </c>
      <c r="E9252" s="8" t="s">
        <v>144</v>
      </c>
      <c r="F9252" s="5" t="s">
        <v>145</v>
      </c>
      <c r="G9252" s="6" t="str">
        <f>VLOOKUP(E9252,dicionario!$A$1:$C9651,2,0)</f>
        <v>Gomphrena globosa</v>
      </c>
      <c r="H9252" s="6" t="str">
        <f>VLOOKUP(E9252,dicionario!$A$1:$C9651,3,0)</f>
        <v>perpétua-rosa</v>
      </c>
    </row>
    <row r="9253">
      <c r="A9253" s="3">
        <v>45779.0</v>
      </c>
      <c r="B9253" s="4">
        <v>0.2875</v>
      </c>
      <c r="C9253" s="5" t="s">
        <v>76</v>
      </c>
      <c r="D9253" s="5" t="s">
        <v>1428</v>
      </c>
      <c r="E9253" s="8" t="s">
        <v>239</v>
      </c>
      <c r="F9253" s="5" t="s">
        <v>240</v>
      </c>
      <c r="G9253" s="6" t="str">
        <f>VLOOKUP(E9253,dicionario!$A$1:$C9652,2,0)</f>
        <v>Gomphrena celosioides</v>
      </c>
      <c r="H9253" s="6" t="str">
        <f>VLOOKUP(E9253,dicionario!$A$1:$C9652,3,0)</f>
        <v>perpétua-branca</v>
      </c>
    </row>
    <row r="9254">
      <c r="A9254" s="3">
        <v>45779.0</v>
      </c>
      <c r="B9254" s="4">
        <v>0.2875</v>
      </c>
      <c r="C9254" s="5" t="s">
        <v>76</v>
      </c>
      <c r="D9254" s="5" t="s">
        <v>1428</v>
      </c>
      <c r="E9254" s="8" t="s">
        <v>425</v>
      </c>
      <c r="F9254" s="5" t="s">
        <v>426</v>
      </c>
      <c r="G9254" s="6" t="str">
        <f>VLOOKUP(E9254,dicionario!$A$1:$C9653,2,0)</f>
        <v>Digitaria insularis</v>
      </c>
      <c r="H9254" s="6" t="str">
        <f>VLOOKUP(E9254,dicionario!$A$1:$C9653,3,0)</f>
        <v>capim-amargoso</v>
      </c>
    </row>
    <row r="9255">
      <c r="A9255" s="3">
        <v>45779.0</v>
      </c>
      <c r="B9255" s="4">
        <v>0.2875</v>
      </c>
      <c r="C9255" s="5" t="s">
        <v>76</v>
      </c>
      <c r="D9255" s="5" t="s">
        <v>1428</v>
      </c>
      <c r="E9255" s="8" t="s">
        <v>253</v>
      </c>
      <c r="F9255" s="5" t="s">
        <v>254</v>
      </c>
      <c r="G9255" s="6" t="str">
        <f>VLOOKUP(E9255,dicionario!$A$1:$C9654,2,0)</f>
        <v>Panicum maximum</v>
      </c>
      <c r="H9255" s="6" t="str">
        <f>VLOOKUP(E9255,dicionario!$A$1:$C9654,3,0)</f>
        <v>capim-colonião</v>
      </c>
    </row>
    <row r="9256">
      <c r="A9256" s="3">
        <v>45779.0</v>
      </c>
      <c r="B9256" s="4">
        <v>0.2875</v>
      </c>
      <c r="C9256" s="5" t="s">
        <v>76</v>
      </c>
      <c r="D9256" s="5" t="s">
        <v>1428</v>
      </c>
      <c r="E9256" s="8" t="s">
        <v>286</v>
      </c>
      <c r="F9256" s="5" t="s">
        <v>287</v>
      </c>
      <c r="G9256" s="6" t="str">
        <f>VLOOKUP(E9256,dicionario!$A$1:$C9655,2,0)</f>
        <v>Setaria parviflora</v>
      </c>
      <c r="H9256" s="6" t="str">
        <f>VLOOKUP(E9256,dicionario!$A$1:$C9655,3,0)</f>
        <v>capim-rabo-de-raposa</v>
      </c>
    </row>
    <row r="9257">
      <c r="A9257" s="3">
        <v>45779.0</v>
      </c>
      <c r="B9257" s="4">
        <v>0.2881944444444444</v>
      </c>
      <c r="C9257" s="5" t="s">
        <v>76</v>
      </c>
      <c r="D9257" s="5" t="s">
        <v>1428</v>
      </c>
      <c r="E9257" s="8" t="s">
        <v>139</v>
      </c>
      <c r="F9257" s="5" t="s">
        <v>862</v>
      </c>
      <c r="G9257" s="6" t="str">
        <f>VLOOKUP(E9257,dicionario!$A$1:$C9656,2,0)</f>
        <v>Tropidurus torquatus</v>
      </c>
      <c r="H9257" s="6" t="str">
        <f>VLOOKUP(E9257,dicionario!$A$1:$C9656,3,0)</f>
        <v>calango; tropiduro-comum</v>
      </c>
    </row>
    <row r="9258">
      <c r="A9258" s="3">
        <v>45779.0</v>
      </c>
      <c r="B9258" s="4">
        <v>0.2881944444444444</v>
      </c>
      <c r="C9258" s="5" t="s">
        <v>76</v>
      </c>
      <c r="D9258" s="5" t="s">
        <v>1428</v>
      </c>
      <c r="E9258" s="8" t="s">
        <v>225</v>
      </c>
      <c r="F9258" s="5" t="s">
        <v>226</v>
      </c>
      <c r="G9258" s="6" t="str">
        <f>VLOOKUP(E9258,dicionario!$A$1:$C9657,2,0)</f>
        <v>Passer domesticus</v>
      </c>
      <c r="H9258" s="6" t="str">
        <f>VLOOKUP(E9258,dicionario!$A$1:$C9657,3,0)</f>
        <v>pardal</v>
      </c>
    </row>
    <row r="9259">
      <c r="A9259" s="3">
        <v>45779.0</v>
      </c>
      <c r="B9259" s="4">
        <v>0.2881944444444444</v>
      </c>
      <c r="C9259" s="5" t="s">
        <v>76</v>
      </c>
      <c r="D9259" s="5" t="s">
        <v>1428</v>
      </c>
      <c r="E9259" s="8" t="s">
        <v>150</v>
      </c>
      <c r="F9259" s="5" t="s">
        <v>151</v>
      </c>
      <c r="G9259" s="6" t="str">
        <f>VLOOKUP(E9259,dicionario!$A$1:$C9658,2,0)</f>
        <v>Amaranthus viridis</v>
      </c>
      <c r="H9259" s="6" t="str">
        <f>VLOOKUP(E9259,dicionario!$A$1:$C9658,3,0)</f>
        <v>caruru-de-mancha</v>
      </c>
    </row>
    <row r="9260">
      <c r="A9260" s="3">
        <v>45779.0</v>
      </c>
      <c r="B9260" s="4">
        <v>0.28888888888888886</v>
      </c>
      <c r="C9260" s="5" t="s">
        <v>76</v>
      </c>
      <c r="D9260" s="5" t="s">
        <v>1428</v>
      </c>
      <c r="E9260" s="6" t="s">
        <v>326</v>
      </c>
      <c r="F9260" s="5" t="s">
        <v>327</v>
      </c>
      <c r="G9260" s="6" t="str">
        <f>VLOOKUP(E9260,dicionario!$A$1:$C9659,2,0)</f>
        <v>Amaranthus spinosus</v>
      </c>
      <c r="H9260" s="6" t="str">
        <f>VLOOKUP(E9260,dicionario!$A$1:$C9659,3,0)</f>
        <v>caruru-de-espinho</v>
      </c>
    </row>
    <row r="9261">
      <c r="A9261" s="3">
        <v>45779.0</v>
      </c>
      <c r="B9261" s="4">
        <v>0.28888888888888886</v>
      </c>
      <c r="C9261" s="5" t="s">
        <v>76</v>
      </c>
      <c r="D9261" s="5" t="s">
        <v>1428</v>
      </c>
      <c r="E9261" s="8" t="s">
        <v>65</v>
      </c>
      <c r="F9261" s="5" t="s">
        <v>66</v>
      </c>
      <c r="G9261" s="6" t="str">
        <f>VLOOKUP(E9261,dicionario!$A$1:$C9660,2,0)</f>
        <v>Pitangus sulphutarus</v>
      </c>
      <c r="H9261" s="6" t="str">
        <f>VLOOKUP(E9261,dicionario!$A$1:$C9660,3,0)</f>
        <v>bem-te-vi</v>
      </c>
    </row>
    <row r="9262">
      <c r="A9262" s="3">
        <v>45779.0</v>
      </c>
      <c r="B9262" s="4">
        <v>0.28888888888888886</v>
      </c>
      <c r="C9262" s="5" t="s">
        <v>76</v>
      </c>
      <c r="D9262" s="5" t="s">
        <v>1428</v>
      </c>
      <c r="E9262" s="8" t="s">
        <v>1310</v>
      </c>
      <c r="F9262" s="5" t="s">
        <v>521</v>
      </c>
      <c r="G9262" s="6" t="str">
        <f>VLOOKUP(E9262,dicionario!$A$1:$C9661,2,0)</f>
        <v>#N/A</v>
      </c>
      <c r="H9262" s="6" t="str">
        <f>VLOOKUP(E9262,dicionario!$A$1:$C9661,3,0)</f>
        <v>#N/A</v>
      </c>
    </row>
    <row r="9263">
      <c r="A9263" s="3">
        <v>45779.0</v>
      </c>
      <c r="B9263" s="4">
        <v>0.28958333333333336</v>
      </c>
      <c r="C9263" s="5" t="s">
        <v>76</v>
      </c>
      <c r="D9263" s="5" t="s">
        <v>1428</v>
      </c>
      <c r="E9263" s="8" t="s">
        <v>1324</v>
      </c>
      <c r="F9263" s="5" t="s">
        <v>1246</v>
      </c>
      <c r="G9263" s="6" t="str">
        <f>VLOOKUP(E9263,dicionario!$A$1:$C9662,2,0)</f>
        <v>#N/A</v>
      </c>
      <c r="H9263" s="6" t="str">
        <f>VLOOKUP(E9263,dicionario!$A$1:$C9662,3,0)</f>
        <v>#N/A</v>
      </c>
    </row>
    <row r="9264">
      <c r="A9264" s="3">
        <v>45779.0</v>
      </c>
      <c r="B9264" s="4">
        <v>0.28958333333333336</v>
      </c>
      <c r="C9264" s="5" t="s">
        <v>76</v>
      </c>
      <c r="D9264" s="5" t="s">
        <v>1428</v>
      </c>
      <c r="E9264" s="8" t="s">
        <v>805</v>
      </c>
      <c r="F9264" s="5" t="s">
        <v>186</v>
      </c>
      <c r="G9264" s="6" t="str">
        <f>VLOOKUP(E9264,dicionario!$A$1:$C9663,2,0)</f>
        <v>#N/A</v>
      </c>
      <c r="H9264" s="6" t="str">
        <f>VLOOKUP(E9264,dicionario!$A$1:$C9663,3,0)</f>
        <v>#N/A</v>
      </c>
    </row>
    <row r="9265">
      <c r="A9265" s="3">
        <v>45779.0</v>
      </c>
      <c r="B9265" s="4">
        <v>0.28958333333333336</v>
      </c>
      <c r="C9265" s="5" t="s">
        <v>76</v>
      </c>
      <c r="D9265" s="5" t="s">
        <v>1428</v>
      </c>
      <c r="E9265" s="8" t="s">
        <v>193</v>
      </c>
      <c r="F9265" s="5" t="s">
        <v>194</v>
      </c>
      <c r="G9265" s="6" t="str">
        <f>VLOOKUP(E9265,dicionario!$A$1:$C9664,2,0)</f>
        <v>Conirostrum speciosum</v>
      </c>
      <c r="H9265" s="6" t="str">
        <f>VLOOKUP(E9265,dicionario!$A$1:$C9664,3,0)</f>
        <v>figuinha-de-rabo-castanho</v>
      </c>
    </row>
    <row r="9266">
      <c r="A9266" s="3">
        <v>45779.0</v>
      </c>
      <c r="B9266" s="4">
        <v>0.2902777777777778</v>
      </c>
      <c r="C9266" s="5" t="s">
        <v>76</v>
      </c>
      <c r="D9266" s="5" t="s">
        <v>1428</v>
      </c>
      <c r="E9266" s="8" t="s">
        <v>88</v>
      </c>
      <c r="F9266" s="5" t="s">
        <v>89</v>
      </c>
      <c r="G9266" s="6" t="str">
        <f>VLOOKUP(E9266,dicionario!$A$1:$C9665,2,0)</f>
        <v>Tyrannus melancolichus</v>
      </c>
      <c r="H9266" s="6" t="str">
        <f>VLOOKUP(E9266,dicionario!$A$1:$C9665,3,0)</f>
        <v>suiriri</v>
      </c>
    </row>
    <row r="9267">
      <c r="A9267" s="3">
        <v>45779.0</v>
      </c>
      <c r="B9267" s="4">
        <v>0.2902777777777778</v>
      </c>
      <c r="C9267" s="5" t="s">
        <v>76</v>
      </c>
      <c r="D9267" s="5" t="s">
        <v>1428</v>
      </c>
      <c r="E9267" s="8" t="s">
        <v>72</v>
      </c>
      <c r="F9267" s="5" t="s">
        <v>73</v>
      </c>
      <c r="G9267" s="6" t="str">
        <f>VLOOKUP(E9267,dicionario!$A$1:$C9666,2,0)</f>
        <v>Thraupis palmarum</v>
      </c>
      <c r="H9267" s="6" t="str">
        <f>VLOOKUP(E9267,dicionario!$A$1:$C9666,3,0)</f>
        <v>sanhaço-do-coqueiro</v>
      </c>
    </row>
    <row r="9268">
      <c r="A9268" s="3">
        <v>45779.0</v>
      </c>
      <c r="B9268" s="4">
        <v>0.29791666666666666</v>
      </c>
      <c r="C9268" s="5" t="s">
        <v>64</v>
      </c>
      <c r="D9268" s="5" t="s">
        <v>1428</v>
      </c>
      <c r="E9268" s="8" t="s">
        <v>154</v>
      </c>
      <c r="F9268" s="5" t="s">
        <v>155</v>
      </c>
      <c r="G9268" s="6" t="str">
        <f>VLOOKUP(E9268,dicionario!$A$1:$C9667,2,0)</f>
        <v>Cyperus rotundus</v>
      </c>
      <c r="H9268" s="6" t="str">
        <f>VLOOKUP(E9268,dicionario!$A$1:$C9667,3,0)</f>
        <v>tiririca</v>
      </c>
    </row>
    <row r="9269">
      <c r="A9269" s="3">
        <v>45779.0</v>
      </c>
      <c r="B9269" s="4">
        <v>0.29791666666666666</v>
      </c>
      <c r="C9269" s="5" t="s">
        <v>64</v>
      </c>
      <c r="D9269" s="5" t="s">
        <v>1428</v>
      </c>
      <c r="E9269" s="29" t="s">
        <v>566</v>
      </c>
      <c r="F9269" s="5" t="s">
        <v>567</v>
      </c>
      <c r="G9269" s="6" t="str">
        <f>VLOOKUP(E9269,dicionario!$A$1:$C9668,2,0)</f>
        <v>Baccharis dracunculifolia</v>
      </c>
      <c r="H9269" s="6" t="str">
        <f>VLOOKUP(E9269,dicionario!$A$1:$C9668,3,0)</f>
        <v>vassoura</v>
      </c>
    </row>
    <row r="9270">
      <c r="A9270" s="3">
        <v>45779.0</v>
      </c>
      <c r="B9270" s="4">
        <v>0.29791666666666666</v>
      </c>
      <c r="C9270" s="5" t="s">
        <v>64</v>
      </c>
      <c r="D9270" s="5" t="s">
        <v>1428</v>
      </c>
      <c r="E9270" s="8" t="s">
        <v>1406</v>
      </c>
      <c r="F9270" s="5" t="s">
        <v>172</v>
      </c>
      <c r="G9270" s="6" t="str">
        <f>VLOOKUP(E9270,dicionario!$A$1:$C9669,2,0)</f>
        <v>#N/A</v>
      </c>
      <c r="H9270" s="6" t="str">
        <f>VLOOKUP(E9270,dicionario!$A$1:$C9669,3,0)</f>
        <v>#N/A</v>
      </c>
    </row>
    <row r="9271">
      <c r="A9271" s="3">
        <v>45779.0</v>
      </c>
      <c r="B9271" s="4">
        <v>0.29791666666666666</v>
      </c>
      <c r="C9271" s="5" t="s">
        <v>64</v>
      </c>
      <c r="D9271" s="5" t="s">
        <v>1428</v>
      </c>
      <c r="E9271" s="8" t="s">
        <v>65</v>
      </c>
      <c r="F9271" s="5" t="s">
        <v>66</v>
      </c>
      <c r="G9271" s="6" t="str">
        <f>VLOOKUP(E9271,dicionario!$A$1:$C9670,2,0)</f>
        <v>Pitangus sulphutarus</v>
      </c>
      <c r="H9271" s="6" t="str">
        <f>VLOOKUP(E9271,dicionario!$A$1:$C9670,3,0)</f>
        <v>bem-te-vi</v>
      </c>
    </row>
    <row r="9272">
      <c r="A9272" s="3">
        <v>45779.0</v>
      </c>
      <c r="B9272" s="4">
        <v>0.29791666666666666</v>
      </c>
      <c r="C9272" s="5" t="s">
        <v>64</v>
      </c>
      <c r="D9272" s="5" t="s">
        <v>1428</v>
      </c>
      <c r="E9272" s="8" t="s">
        <v>296</v>
      </c>
      <c r="F9272" s="5" t="s">
        <v>297</v>
      </c>
      <c r="G9272" s="6" t="str">
        <f>VLOOKUP(E9272,dicionario!$A$1:$C9671,2,0)</f>
        <v>Richardia brasiliensis</v>
      </c>
      <c r="H9272" s="6" t="str">
        <f>VLOOKUP(E9272,dicionario!$A$1:$C9671,3,0)</f>
        <v>poaia-branca</v>
      </c>
    </row>
    <row r="9273">
      <c r="A9273" s="3">
        <v>45779.0</v>
      </c>
      <c r="B9273" s="4">
        <v>0.29791666666666666</v>
      </c>
      <c r="C9273" s="5" t="s">
        <v>64</v>
      </c>
      <c r="D9273" s="5" t="s">
        <v>1428</v>
      </c>
      <c r="E9273" s="8" t="s">
        <v>195</v>
      </c>
      <c r="F9273" s="5" t="s">
        <v>196</v>
      </c>
      <c r="G9273" s="6" t="str">
        <f>VLOOKUP(E9273,dicionario!$A$1:$C9672,2,0)</f>
        <v>Priva lappulacea</v>
      </c>
      <c r="H9273" s="6" t="str">
        <f>VLOOKUP(E9273,dicionario!$A$1:$C9672,3,0)</f>
        <v>carrapicho</v>
      </c>
    </row>
    <row r="9274">
      <c r="A9274" s="3">
        <v>45779.0</v>
      </c>
      <c r="B9274" s="4">
        <v>0.29791666666666666</v>
      </c>
      <c r="C9274" s="5" t="s">
        <v>64</v>
      </c>
      <c r="D9274" s="5" t="s">
        <v>1428</v>
      </c>
      <c r="E9274" s="8" t="s">
        <v>146</v>
      </c>
      <c r="F9274" s="5" t="s">
        <v>147</v>
      </c>
      <c r="G9274" s="6" t="str">
        <f>VLOOKUP(E9274,dicionario!$A$1:$C9673,2,0)</f>
        <v>Euphorbia hirta</v>
      </c>
      <c r="H9274" s="6" t="str">
        <f>VLOOKUP(E9274,dicionario!$A$1:$C9673,3,0)</f>
        <v>erva-de-santa-luzia</v>
      </c>
    </row>
    <row r="9275">
      <c r="A9275" s="3">
        <v>45779.0</v>
      </c>
      <c r="B9275" s="4">
        <v>0.2986111111111111</v>
      </c>
      <c r="C9275" s="5" t="s">
        <v>64</v>
      </c>
      <c r="D9275" s="5" t="s">
        <v>1428</v>
      </c>
      <c r="E9275" s="8" t="s">
        <v>113</v>
      </c>
      <c r="F9275" s="5" t="s">
        <v>1437</v>
      </c>
      <c r="G9275" s="6" t="str">
        <f>VLOOKUP(E9275,dicionario!$A$1:$C9674,2,0)</f>
        <v>Columbina talpacoti</v>
      </c>
      <c r="H9275" s="6" t="str">
        <f>VLOOKUP(E9275,dicionario!$A$1:$C9674,3,0)</f>
        <v>rolinha-roxa</v>
      </c>
    </row>
    <row r="9276">
      <c r="A9276" s="3">
        <v>45779.0</v>
      </c>
      <c r="B9276" s="4">
        <v>0.2986111111111111</v>
      </c>
      <c r="C9276" s="5" t="s">
        <v>64</v>
      </c>
      <c r="D9276" s="5" t="s">
        <v>1428</v>
      </c>
      <c r="E9276" s="8" t="s">
        <v>298</v>
      </c>
      <c r="F9276" s="7"/>
      <c r="G9276" s="6" t="str">
        <f>VLOOKUP(E9276,dicionario!$A$1:$C9675,2,0)</f>
        <v>Alysicarpus vaginalis</v>
      </c>
      <c r="H9276" s="6" t="str">
        <f>VLOOKUP(E9276,dicionario!$A$1:$C9675,3,0)</f>
        <v/>
      </c>
    </row>
    <row r="9277">
      <c r="A9277" s="3">
        <v>45779.0</v>
      </c>
      <c r="B9277" s="4">
        <v>0.2986111111111111</v>
      </c>
      <c r="C9277" s="5" t="s">
        <v>64</v>
      </c>
      <c r="D9277" s="5" t="s">
        <v>1428</v>
      </c>
      <c r="E9277" s="6" t="s">
        <v>251</v>
      </c>
      <c r="F9277" s="5" t="s">
        <v>252</v>
      </c>
      <c r="G9277" s="6" t="str">
        <f>VLOOKUP(E9277,dicionario!$A$1:$C9676,2,0)</f>
        <v>Struthanthus flexicaulis</v>
      </c>
      <c r="H9277" s="6" t="str">
        <f>VLOOKUP(E9277,dicionario!$A$1:$C9676,3,0)</f>
        <v>erva-de-passarinho</v>
      </c>
    </row>
    <row r="9278">
      <c r="A9278" s="3">
        <v>45779.0</v>
      </c>
      <c r="B9278" s="4">
        <v>0.2986111111111111</v>
      </c>
      <c r="C9278" s="5" t="s">
        <v>64</v>
      </c>
      <c r="D9278" s="5" t="s">
        <v>1428</v>
      </c>
      <c r="E9278" s="8" t="s">
        <v>514</v>
      </c>
      <c r="F9278" s="5" t="s">
        <v>515</v>
      </c>
      <c r="G9278" s="6" t="str">
        <f>VLOOKUP(E9278,dicionario!$A$1:$C9677,2,0)</f>
        <v>Aedes aegypti</v>
      </c>
      <c r="H9278" s="6" t="str">
        <f>VLOOKUP(E9278,dicionario!$A$1:$C9677,3,0)</f>
        <v>mosquito-da-dengue</v>
      </c>
    </row>
    <row r="9279">
      <c r="A9279" s="3">
        <v>45779.0</v>
      </c>
      <c r="B9279" s="4">
        <v>0.2986111111111111</v>
      </c>
      <c r="C9279" s="5" t="s">
        <v>64</v>
      </c>
      <c r="D9279" s="5" t="s">
        <v>1428</v>
      </c>
      <c r="E9279" s="8" t="s">
        <v>38</v>
      </c>
      <c r="F9279" s="5" t="s">
        <v>1251</v>
      </c>
      <c r="G9279" s="6" t="str">
        <f>VLOOKUP(E9279,dicionario!$A$1:$C9678,2,0)</f>
        <v>Troglodytes musculus</v>
      </c>
      <c r="H9279" s="6" t="str">
        <f>VLOOKUP(E9279,dicionario!$A$1:$C9678,3,0)</f>
        <v>curruíra</v>
      </c>
    </row>
    <row r="9280">
      <c r="A9280" s="3">
        <v>45779.0</v>
      </c>
      <c r="B9280" s="4">
        <v>0.29930555555555555</v>
      </c>
      <c r="C9280" s="5" t="s">
        <v>64</v>
      </c>
      <c r="D9280" s="5" t="s">
        <v>1428</v>
      </c>
      <c r="E9280" s="8" t="s">
        <v>88</v>
      </c>
      <c r="F9280" s="5" t="s">
        <v>89</v>
      </c>
      <c r="G9280" s="6" t="str">
        <f>VLOOKUP(E9280,dicionario!$A$1:$C9679,2,0)</f>
        <v>Tyrannus melancolichus</v>
      </c>
      <c r="H9280" s="6" t="str">
        <f>VLOOKUP(E9280,dicionario!$A$1:$C9679,3,0)</f>
        <v>suiriri</v>
      </c>
    </row>
    <row r="9281">
      <c r="A9281" s="3">
        <v>45779.0</v>
      </c>
      <c r="B9281" s="4">
        <v>0.29930555555555555</v>
      </c>
      <c r="C9281" s="5" t="s">
        <v>64</v>
      </c>
      <c r="D9281" s="5" t="s">
        <v>1428</v>
      </c>
      <c r="E9281" s="6" t="s">
        <v>288</v>
      </c>
      <c r="F9281" s="5" t="s">
        <v>289</v>
      </c>
      <c r="G9281" s="6" t="str">
        <f>VLOOKUP(E9281,dicionario!$A$1:$C9680,2,0)</f>
        <v>Phyllanthus tenellus</v>
      </c>
      <c r="H9281" s="6" t="str">
        <f>VLOOKUP(E9281,dicionario!$A$1:$C9680,3,0)</f>
        <v>quebra-pedra</v>
      </c>
    </row>
    <row r="9282">
      <c r="A9282" s="3">
        <v>45779.0</v>
      </c>
      <c r="B9282" s="4">
        <v>0.29930555555555555</v>
      </c>
      <c r="C9282" s="5" t="s">
        <v>64</v>
      </c>
      <c r="D9282" s="5" t="s">
        <v>1428</v>
      </c>
      <c r="E9282" s="6" t="s">
        <v>48</v>
      </c>
      <c r="F9282" s="5" t="s">
        <v>49</v>
      </c>
      <c r="G9282" s="6" t="str">
        <f>VLOOKUP(E9282,dicionario!$A$1:$C9681,2,0)</f>
        <v>Commelina erecta</v>
      </c>
      <c r="H9282" s="6" t="str">
        <f>VLOOKUP(E9282,dicionario!$A$1:$C9681,3,0)</f>
        <v>trapoeraba</v>
      </c>
    </row>
    <row r="9283">
      <c r="A9283" s="3">
        <v>45779.0</v>
      </c>
      <c r="B9283" s="4">
        <v>0.29930555555555555</v>
      </c>
      <c r="C9283" s="5" t="s">
        <v>64</v>
      </c>
      <c r="D9283" s="5" t="s">
        <v>1428</v>
      </c>
      <c r="E9283" s="8" t="s">
        <v>141</v>
      </c>
      <c r="F9283" s="5" t="s">
        <v>142</v>
      </c>
      <c r="G9283" s="6" t="str">
        <f>VLOOKUP(E9283,dicionario!$A$1:$C9682,2,0)</f>
        <v>Ruellia blechum</v>
      </c>
      <c r="H9283" s="6" t="str">
        <f>VLOOKUP(E9283,dicionario!$A$1:$C9682,3,0)</f>
        <v>camarão-verde</v>
      </c>
    </row>
    <row r="9284">
      <c r="A9284" s="3">
        <v>45779.0</v>
      </c>
      <c r="B9284" s="4">
        <v>0.3</v>
      </c>
      <c r="C9284" s="5" t="s">
        <v>64</v>
      </c>
      <c r="D9284" s="5" t="s">
        <v>1428</v>
      </c>
      <c r="E9284" s="8" t="s">
        <v>109</v>
      </c>
      <c r="F9284" s="5" t="s">
        <v>110</v>
      </c>
      <c r="G9284" s="6" t="str">
        <f>VLOOKUP(E9284,dicionario!$A$1:$C9683,2,0)</f>
        <v>Tillandsia stricta</v>
      </c>
      <c r="H9284" s="6" t="str">
        <f>VLOOKUP(E9284,dicionario!$A$1:$C9683,3,0)</f>
        <v>cravo-do-mato</v>
      </c>
    </row>
    <row r="9285">
      <c r="A9285" s="3">
        <v>45779.0</v>
      </c>
      <c r="B9285" s="4">
        <v>0.3</v>
      </c>
      <c r="C9285" s="5" t="s">
        <v>64</v>
      </c>
      <c r="D9285" s="5" t="s">
        <v>1428</v>
      </c>
      <c r="E9285" s="8" t="s">
        <v>193</v>
      </c>
      <c r="F9285" s="5" t="s">
        <v>194</v>
      </c>
      <c r="G9285" s="6" t="str">
        <f>VLOOKUP(E9285,dicionario!$A$1:$C9684,2,0)</f>
        <v>Conirostrum speciosum</v>
      </c>
      <c r="H9285" s="6" t="str">
        <f>VLOOKUP(E9285,dicionario!$A$1:$C9684,3,0)</f>
        <v>figuinha-de-rabo-castanho</v>
      </c>
    </row>
    <row r="9286">
      <c r="A9286" s="3">
        <v>45779.0</v>
      </c>
      <c r="B9286" s="4">
        <v>0.30069444444444443</v>
      </c>
      <c r="C9286" s="5" t="s">
        <v>64</v>
      </c>
      <c r="D9286" s="5" t="s">
        <v>1428</v>
      </c>
      <c r="E9286" s="8" t="s">
        <v>253</v>
      </c>
      <c r="F9286" s="5" t="s">
        <v>254</v>
      </c>
      <c r="G9286" s="6" t="str">
        <f>VLOOKUP(E9286,dicionario!$A$1:$C9685,2,0)</f>
        <v>Panicum maximum</v>
      </c>
      <c r="H9286" s="6" t="str">
        <f>VLOOKUP(E9286,dicionario!$A$1:$C9685,3,0)</f>
        <v>capim-colonião</v>
      </c>
    </row>
    <row r="9287">
      <c r="A9287" s="3">
        <v>45779.0</v>
      </c>
      <c r="B9287" s="4">
        <v>0.30069444444444443</v>
      </c>
      <c r="C9287" s="5" t="s">
        <v>64</v>
      </c>
      <c r="D9287" s="5" t="s">
        <v>1428</v>
      </c>
      <c r="E9287" s="8" t="s">
        <v>1324</v>
      </c>
      <c r="F9287" s="5" t="s">
        <v>1246</v>
      </c>
      <c r="G9287" s="6" t="str">
        <f>VLOOKUP(E9287,dicionario!$A$1:$C9686,2,0)</f>
        <v>#N/A</v>
      </c>
      <c r="H9287" s="6" t="str">
        <f>VLOOKUP(E9287,dicionario!$A$1:$C9686,3,0)</f>
        <v>#N/A</v>
      </c>
    </row>
    <row r="9288">
      <c r="A9288" s="3">
        <v>45779.0</v>
      </c>
      <c r="B9288" s="4">
        <v>0.3013888888888889</v>
      </c>
      <c r="C9288" s="5" t="s">
        <v>64</v>
      </c>
      <c r="D9288" s="5" t="s">
        <v>1428</v>
      </c>
      <c r="E9288" s="8" t="s">
        <v>99</v>
      </c>
      <c r="F9288" s="5" t="s">
        <v>508</v>
      </c>
      <c r="G9288" s="6" t="str">
        <f>VLOOKUP(E9288,dicionario!$A$1:$C9687,2,0)</f>
        <v>Molothrus bonariensis</v>
      </c>
      <c r="H9288" s="6" t="str">
        <f>VLOOKUP(E9288,dicionario!$A$1:$C9687,3,0)</f>
        <v>chupim</v>
      </c>
    </row>
    <row r="9289">
      <c r="A9289" s="3">
        <v>45779.0</v>
      </c>
      <c r="B9289" s="4">
        <v>0.3013888888888889</v>
      </c>
      <c r="C9289" s="5" t="s">
        <v>64</v>
      </c>
      <c r="D9289" s="5" t="s">
        <v>1428</v>
      </c>
      <c r="E9289" s="8" t="s">
        <v>624</v>
      </c>
      <c r="F9289" s="5" t="s">
        <v>133</v>
      </c>
      <c r="G9289" s="6" t="str">
        <f>VLOOKUP(E9289,dicionario!$A$1:$C9688,2,0)</f>
        <v>Euphonia violacea</v>
      </c>
      <c r="H9289" s="6" t="str">
        <f>VLOOKUP(E9289,dicionario!$A$1:$C9688,3,0)</f>
        <v>gaturamo-verdadeiro</v>
      </c>
    </row>
    <row r="9290">
      <c r="A9290" s="3">
        <v>45779.0</v>
      </c>
      <c r="B9290" s="4">
        <v>0.3013888888888889</v>
      </c>
      <c r="C9290" s="5" t="s">
        <v>64</v>
      </c>
      <c r="D9290" s="5" t="s">
        <v>1428</v>
      </c>
      <c r="E9290" s="8" t="s">
        <v>1282</v>
      </c>
      <c r="F9290" s="5" t="s">
        <v>182</v>
      </c>
      <c r="G9290" s="6" t="str">
        <f>VLOOKUP(E9290,dicionario!$A$1:$C9689,2,0)</f>
        <v>#N/A</v>
      </c>
      <c r="H9290" s="6" t="str">
        <f>VLOOKUP(E9290,dicionario!$A$1:$C9689,3,0)</f>
        <v>#N/A</v>
      </c>
    </row>
    <row r="9291">
      <c r="A9291" s="3">
        <v>45779.0</v>
      </c>
      <c r="B9291" s="4">
        <v>0.3013888888888889</v>
      </c>
      <c r="C9291" s="5" t="s">
        <v>64</v>
      </c>
      <c r="D9291" s="5" t="s">
        <v>1428</v>
      </c>
      <c r="E9291" s="8" t="s">
        <v>271</v>
      </c>
      <c r="F9291" s="5" t="s">
        <v>1169</v>
      </c>
      <c r="G9291" s="6" t="str">
        <f>VLOOKUP(E9291,dicionario!$A$1:$C9690,2,0)</f>
        <v>Cyanthillium cinereum</v>
      </c>
      <c r="H9291" s="6" t="str">
        <f>VLOOKUP(E9291,dicionario!$A$1:$C9690,3,0)</f>
        <v>emília</v>
      </c>
    </row>
    <row r="9292">
      <c r="A9292" s="3">
        <v>45779.0</v>
      </c>
      <c r="B9292" s="4">
        <v>0.30277777777777776</v>
      </c>
      <c r="C9292" s="5" t="s">
        <v>64</v>
      </c>
      <c r="D9292" s="5" t="s">
        <v>1428</v>
      </c>
      <c r="E9292" s="8" t="s">
        <v>122</v>
      </c>
      <c r="F9292" s="5" t="s">
        <v>123</v>
      </c>
      <c r="G9292" s="6" t="str">
        <f>VLOOKUP(E9292,dicionario!$A$1:$C9691,2,0)</f>
        <v>Todirostrum cinereum</v>
      </c>
      <c r="H9292" s="6" t="str">
        <f>VLOOKUP(E9292,dicionario!$A$1:$C9691,3,0)</f>
        <v>ferreirinho-relógio</v>
      </c>
    </row>
    <row r="9293">
      <c r="A9293" s="3">
        <v>45779.0</v>
      </c>
      <c r="B9293" s="4">
        <v>0.3034722222222222</v>
      </c>
      <c r="C9293" s="5" t="s">
        <v>64</v>
      </c>
      <c r="D9293" s="5" t="s">
        <v>1428</v>
      </c>
      <c r="E9293" s="8" t="s">
        <v>177</v>
      </c>
      <c r="F9293" s="5" t="s">
        <v>178</v>
      </c>
      <c r="G9293" s="6" t="str">
        <f>VLOOKUP(E9293,dicionario!$A$1:$C9692,2,0)</f>
        <v>Elaenia flavogaster</v>
      </c>
      <c r="H9293" s="6" t="str">
        <f>VLOOKUP(E9293,dicionario!$A$1:$C9692,3,0)</f>
        <v>guaracava-de-barriga-amarela</v>
      </c>
    </row>
    <row r="9294">
      <c r="A9294" s="3">
        <v>45779.0</v>
      </c>
      <c r="B9294" s="4">
        <v>0.30416666666666664</v>
      </c>
      <c r="C9294" s="5" t="s">
        <v>64</v>
      </c>
      <c r="D9294" s="5" t="s">
        <v>1428</v>
      </c>
      <c r="E9294" s="12" t="s">
        <v>111</v>
      </c>
      <c r="F9294" s="5" t="s">
        <v>112</v>
      </c>
      <c r="G9294" s="6" t="str">
        <f>VLOOKUP(E9294,dicionario!$A$1:$C9693,2,0)</f>
        <v>Trigona spinipes</v>
      </c>
      <c r="H9294" s="6" t="str">
        <f>VLOOKUP(E9294,dicionario!$A$1:$C9693,3,0)</f>
        <v>abelha-cachorro</v>
      </c>
    </row>
    <row r="9295">
      <c r="A9295" s="3">
        <v>45779.0</v>
      </c>
      <c r="B9295" s="4">
        <v>0.30416666666666664</v>
      </c>
      <c r="C9295" s="5" t="s">
        <v>64</v>
      </c>
      <c r="D9295" s="5" t="s">
        <v>1428</v>
      </c>
      <c r="E9295" s="8" t="s">
        <v>928</v>
      </c>
      <c r="F9295" s="5" t="s">
        <v>418</v>
      </c>
      <c r="G9295" s="6" t="str">
        <f>VLOOKUP(E9295,dicionario!$A$1:$C9694,2,0)</f>
        <v>Camponotus</v>
      </c>
      <c r="H9295" s="6" t="str">
        <f>VLOOKUP(E9295,dicionario!$A$1:$C9694,3,0)</f>
        <v>formiga-preta</v>
      </c>
    </row>
    <row r="9296">
      <c r="A9296" s="3">
        <v>45779.0</v>
      </c>
      <c r="B9296" s="4">
        <v>0.30416666666666664</v>
      </c>
      <c r="C9296" s="5" t="s">
        <v>64</v>
      </c>
      <c r="D9296" s="5" t="s">
        <v>1428</v>
      </c>
      <c r="E9296" s="6" t="s">
        <v>328</v>
      </c>
      <c r="F9296" s="5" t="s">
        <v>329</v>
      </c>
      <c r="G9296" s="6" t="str">
        <f>VLOOKUP(E9296,dicionario!$A$1:$C9695,2,0)</f>
        <v>Rivina humilis</v>
      </c>
      <c r="H9296" s="6" t="str">
        <f>VLOOKUP(E9296,dicionario!$A$1:$C9695,3,0)</f>
        <v>baga-de-sangue</v>
      </c>
    </row>
    <row r="9297">
      <c r="A9297" s="3">
        <v>45779.0</v>
      </c>
      <c r="B9297" s="4">
        <v>0.30416666666666664</v>
      </c>
      <c r="C9297" s="5" t="s">
        <v>64</v>
      </c>
      <c r="D9297" s="5" t="s">
        <v>1428</v>
      </c>
      <c r="E9297" s="8" t="s">
        <v>22</v>
      </c>
      <c r="F9297" s="5" t="s">
        <v>97</v>
      </c>
      <c r="G9297" s="6" t="str">
        <f>VLOOKUP(E9297,dicionario!$A$1:$C9696,2,0)</f>
        <v>Zenaida auriculata</v>
      </c>
      <c r="H9297" s="6" t="str">
        <f>VLOOKUP(E9297,dicionario!$A$1:$C9696,3,0)</f>
        <v>pomba-de-bando; avoante</v>
      </c>
    </row>
    <row r="9298">
      <c r="A9298" s="3">
        <v>45779.0</v>
      </c>
      <c r="B9298" s="4">
        <v>0.3055555555555556</v>
      </c>
      <c r="C9298" s="5" t="s">
        <v>59</v>
      </c>
      <c r="D9298" s="5" t="s">
        <v>1428</v>
      </c>
      <c r="E9298" s="8" t="s">
        <v>334</v>
      </c>
      <c r="F9298" s="5" t="s">
        <v>335</v>
      </c>
      <c r="G9298" s="6" t="str">
        <f>VLOOKUP(E9298,dicionario!$A$1:$C9697,2,0)</f>
        <v>Eupsittula aurea</v>
      </c>
      <c r="H9298" s="6" t="str">
        <f>VLOOKUP(E9298,dicionario!$A$1:$C9697,3,0)</f>
        <v>periquito-rei</v>
      </c>
    </row>
    <row r="9299">
      <c r="A9299" s="3">
        <v>45779.0</v>
      </c>
      <c r="B9299" s="4">
        <v>0.3055555555555556</v>
      </c>
      <c r="C9299" s="5" t="s">
        <v>59</v>
      </c>
      <c r="D9299" s="5" t="s">
        <v>1428</v>
      </c>
      <c r="E9299" s="6" t="s">
        <v>613</v>
      </c>
      <c r="F9299" s="5" t="s">
        <v>614</v>
      </c>
      <c r="G9299" s="6" t="str">
        <f>VLOOKUP(E9299,dicionario!$A$1:$C9698,2,0)</f>
        <v>Euphorbia hyssopifolia</v>
      </c>
      <c r="H9299" s="6" t="str">
        <f>VLOOKUP(E9299,dicionario!$A$1:$C9698,3,0)</f>
        <v>maria-leite</v>
      </c>
    </row>
    <row r="9300">
      <c r="A9300" s="3">
        <v>45779.0</v>
      </c>
      <c r="B9300" s="4">
        <v>0.3055555555555556</v>
      </c>
      <c r="C9300" s="5" t="s">
        <v>59</v>
      </c>
      <c r="D9300" s="5" t="s">
        <v>1428</v>
      </c>
      <c r="E9300" s="8" t="s">
        <v>146</v>
      </c>
      <c r="F9300" s="5" t="s">
        <v>147</v>
      </c>
      <c r="G9300" s="6" t="str">
        <f>VLOOKUP(E9300,dicionario!$A$1:$C9699,2,0)</f>
        <v>Euphorbia hirta</v>
      </c>
      <c r="H9300" s="6" t="str">
        <f>VLOOKUP(E9300,dicionario!$A$1:$C9699,3,0)</f>
        <v>erva-de-santa-luzia</v>
      </c>
    </row>
    <row r="9301">
      <c r="A9301" s="3">
        <v>45779.0</v>
      </c>
      <c r="B9301" s="4">
        <v>0.3055555555555556</v>
      </c>
      <c r="C9301" s="5" t="s">
        <v>59</v>
      </c>
      <c r="D9301" s="5" t="s">
        <v>1428</v>
      </c>
      <c r="E9301" s="8" t="s">
        <v>1280</v>
      </c>
      <c r="F9301" s="5" t="s">
        <v>1156</v>
      </c>
      <c r="G9301" s="6" t="str">
        <f>VLOOKUP(E9301,dicionario!$A$1:$C9700,2,0)</f>
        <v>Paspalum notatum</v>
      </c>
      <c r="H9301" s="6" t="str">
        <f>VLOOKUP(E9301,dicionario!$A$1:$C9700,3,0)</f>
        <v>capim-forquilha</v>
      </c>
    </row>
    <row r="9302">
      <c r="A9302" s="3">
        <v>45779.0</v>
      </c>
      <c r="B9302" s="4">
        <v>0.3055555555555556</v>
      </c>
      <c r="C9302" s="5" t="s">
        <v>59</v>
      </c>
      <c r="D9302" s="5" t="s">
        <v>1428</v>
      </c>
      <c r="E9302" s="6" t="s">
        <v>53</v>
      </c>
      <c r="F9302" s="5" t="s">
        <v>54</v>
      </c>
      <c r="G9302" s="6" t="str">
        <f>VLOOKUP(E9302,dicionario!$A$1:$C9701,2,0)</f>
        <v>Turnera subulata</v>
      </c>
      <c r="H9302" s="6" t="str">
        <f>VLOOKUP(E9302,dicionario!$A$1:$C9701,3,0)</f>
        <v>xanana</v>
      </c>
    </row>
    <row r="9303">
      <c r="A9303" s="3">
        <v>45779.0</v>
      </c>
      <c r="B9303" s="4">
        <v>0.30625</v>
      </c>
      <c r="C9303" s="5" t="s">
        <v>59</v>
      </c>
      <c r="D9303" s="5" t="s">
        <v>1428</v>
      </c>
      <c r="E9303" s="8" t="s">
        <v>122</v>
      </c>
      <c r="F9303" s="5" t="s">
        <v>123</v>
      </c>
      <c r="G9303" s="6" t="str">
        <f>VLOOKUP(E9303,dicionario!$A$1:$C9702,2,0)</f>
        <v>Todirostrum cinereum</v>
      </c>
      <c r="H9303" s="6" t="str">
        <f>VLOOKUP(E9303,dicionario!$A$1:$C9702,3,0)</f>
        <v>ferreirinho-relógio</v>
      </c>
    </row>
    <row r="9304">
      <c r="A9304" s="3">
        <v>45779.0</v>
      </c>
      <c r="B9304" s="4">
        <v>0.30625</v>
      </c>
      <c r="C9304" s="5" t="s">
        <v>59</v>
      </c>
      <c r="D9304" s="5" t="s">
        <v>1428</v>
      </c>
      <c r="E9304" s="6" t="s">
        <v>86</v>
      </c>
      <c r="F9304" s="5" t="s">
        <v>502</v>
      </c>
      <c r="G9304" s="6" t="str">
        <f>VLOOKUP(E9304,dicionario!$A$1:$C9703,2,0)</f>
        <v>Coereba flaveola</v>
      </c>
      <c r="H9304" s="6" t="str">
        <f>VLOOKUP(E9304,dicionario!$A$1:$C9703,3,0)</f>
        <v>cambacica</v>
      </c>
    </row>
    <row r="9305">
      <c r="A9305" s="3">
        <v>45779.0</v>
      </c>
      <c r="B9305" s="4">
        <v>0.30625</v>
      </c>
      <c r="C9305" s="5" t="s">
        <v>59</v>
      </c>
      <c r="D9305" s="5" t="s">
        <v>1428</v>
      </c>
      <c r="E9305" s="8" t="s">
        <v>298</v>
      </c>
      <c r="F9305" s="7"/>
      <c r="G9305" s="6" t="str">
        <f>VLOOKUP(E9305,dicionario!$A$1:$C9704,2,0)</f>
        <v>Alysicarpus vaginalis</v>
      </c>
      <c r="H9305" s="6" t="str">
        <f>VLOOKUP(E9305,dicionario!$A$1:$C9704,3,0)</f>
        <v/>
      </c>
    </row>
    <row r="9306">
      <c r="A9306" s="3">
        <v>45779.0</v>
      </c>
      <c r="B9306" s="4">
        <v>0.30625</v>
      </c>
      <c r="C9306" s="5" t="s">
        <v>59</v>
      </c>
      <c r="D9306" s="5" t="s">
        <v>1428</v>
      </c>
      <c r="E9306" s="8" t="s">
        <v>227</v>
      </c>
      <c r="F9306" s="5" t="s">
        <v>228</v>
      </c>
      <c r="G9306" s="6" t="str">
        <f>VLOOKUP(E9306,dicionario!$A$1:$C9705,2,0)</f>
        <v>Indigofera hirsuta</v>
      </c>
      <c r="H9306" s="6" t="str">
        <f>VLOOKUP(E9306,dicionario!$A$1:$C9705,3,0)</f>
        <v>anileira</v>
      </c>
    </row>
    <row r="9307">
      <c r="A9307" s="3">
        <v>45779.0</v>
      </c>
      <c r="B9307" s="4">
        <v>0.30625</v>
      </c>
      <c r="C9307" s="5" t="s">
        <v>59</v>
      </c>
      <c r="D9307" s="5" t="s">
        <v>1428</v>
      </c>
      <c r="E9307" s="8" t="s">
        <v>72</v>
      </c>
      <c r="F9307" s="5" t="s">
        <v>73</v>
      </c>
      <c r="G9307" s="6" t="str">
        <f>VLOOKUP(E9307,dicionario!$A$1:$C9706,2,0)</f>
        <v>Thraupis palmarum</v>
      </c>
      <c r="H9307" s="6" t="str">
        <f>VLOOKUP(E9307,dicionario!$A$1:$C9706,3,0)</f>
        <v>sanhaço-do-coqueiro</v>
      </c>
    </row>
    <row r="9308">
      <c r="A9308" s="3">
        <v>45779.0</v>
      </c>
      <c r="B9308" s="4">
        <v>0.30625</v>
      </c>
      <c r="C9308" s="5" t="s">
        <v>59</v>
      </c>
      <c r="D9308" s="5" t="s">
        <v>1428</v>
      </c>
      <c r="E9308" s="8" t="s">
        <v>286</v>
      </c>
      <c r="F9308" s="5" t="s">
        <v>287</v>
      </c>
      <c r="G9308" s="6" t="str">
        <f>VLOOKUP(E9308,dicionario!$A$1:$C9707,2,0)</f>
        <v>Setaria parviflora</v>
      </c>
      <c r="H9308" s="6" t="str">
        <f>VLOOKUP(E9308,dicionario!$A$1:$C9707,3,0)</f>
        <v>capim-rabo-de-raposa</v>
      </c>
    </row>
    <row r="9309">
      <c r="A9309" s="3">
        <v>45779.0</v>
      </c>
      <c r="B9309" s="4">
        <v>0.30625</v>
      </c>
      <c r="C9309" s="5" t="s">
        <v>59</v>
      </c>
      <c r="D9309" s="5" t="s">
        <v>1428</v>
      </c>
      <c r="E9309" s="8" t="s">
        <v>253</v>
      </c>
      <c r="F9309" s="5" t="s">
        <v>254</v>
      </c>
      <c r="G9309" s="6" t="str">
        <f>VLOOKUP(E9309,dicionario!$A$1:$C9708,2,0)</f>
        <v>Panicum maximum</v>
      </c>
      <c r="H9309" s="6" t="str">
        <f>VLOOKUP(E9309,dicionario!$A$1:$C9708,3,0)</f>
        <v>capim-colonião</v>
      </c>
    </row>
    <row r="9310">
      <c r="A9310" s="3">
        <v>45779.0</v>
      </c>
      <c r="B9310" s="4">
        <v>0.30694444444444446</v>
      </c>
      <c r="C9310" s="5" t="s">
        <v>59</v>
      </c>
      <c r="D9310" s="5" t="s">
        <v>1428</v>
      </c>
      <c r="E9310" s="8" t="s">
        <v>624</v>
      </c>
      <c r="F9310" s="5" t="s">
        <v>133</v>
      </c>
      <c r="G9310" s="6" t="str">
        <f>VLOOKUP(E9310,dicionario!$A$1:$C9709,2,0)</f>
        <v>Euphonia violacea</v>
      </c>
      <c r="H9310" s="6" t="str">
        <f>VLOOKUP(E9310,dicionario!$A$1:$C9709,3,0)</f>
        <v>gaturamo-verdadeiro</v>
      </c>
    </row>
    <row r="9311">
      <c r="A9311" s="3">
        <v>45779.0</v>
      </c>
      <c r="B9311" s="4">
        <v>0.30694444444444446</v>
      </c>
      <c r="C9311" s="5" t="s">
        <v>59</v>
      </c>
      <c r="D9311" s="5" t="s">
        <v>1428</v>
      </c>
      <c r="E9311" s="8" t="s">
        <v>135</v>
      </c>
      <c r="F9311" s="5" t="s">
        <v>136</v>
      </c>
      <c r="G9311" s="6" t="str">
        <f>VLOOKUP(E9311,dicionario!$A$1:$C9710,2,0)</f>
        <v>Tridax procumbens</v>
      </c>
      <c r="H9311" s="6" t="str">
        <f>VLOOKUP(E9311,dicionario!$A$1:$C9710,3,0)</f>
        <v>erva-de-touro</v>
      </c>
    </row>
    <row r="9312">
      <c r="A9312" s="3">
        <v>45779.0</v>
      </c>
      <c r="B9312" s="4">
        <v>0.30694444444444446</v>
      </c>
      <c r="C9312" s="5" t="s">
        <v>59</v>
      </c>
      <c r="D9312" s="5" t="s">
        <v>1428</v>
      </c>
      <c r="E9312" s="12" t="s">
        <v>243</v>
      </c>
      <c r="F9312" s="5" t="s">
        <v>244</v>
      </c>
      <c r="G9312" s="6" t="str">
        <f>VLOOKUP(E9312,dicionario!$A$1:$C9711,2,0)</f>
        <v>Macroptilium atropurpureum</v>
      </c>
      <c r="H9312" s="6" t="str">
        <f>VLOOKUP(E9312,dicionario!$A$1:$C9711,3,0)</f>
        <v>feijão-de-pombo</v>
      </c>
    </row>
    <row r="9313">
      <c r="A9313" s="3">
        <v>45779.0</v>
      </c>
      <c r="B9313" s="4">
        <v>0.30694444444444446</v>
      </c>
      <c r="C9313" s="5" t="s">
        <v>59</v>
      </c>
      <c r="D9313" s="5" t="s">
        <v>1428</v>
      </c>
      <c r="E9313" s="8" t="s">
        <v>296</v>
      </c>
      <c r="F9313" s="5" t="s">
        <v>297</v>
      </c>
      <c r="G9313" s="6" t="str">
        <f>VLOOKUP(E9313,dicionario!$A$1:$C9712,2,0)</f>
        <v>Richardia brasiliensis</v>
      </c>
      <c r="H9313" s="6" t="str">
        <f>VLOOKUP(E9313,dicionario!$A$1:$C9712,3,0)</f>
        <v>poaia-branca</v>
      </c>
    </row>
    <row r="9314">
      <c r="A9314" s="3">
        <v>45779.0</v>
      </c>
      <c r="B9314" s="4">
        <v>0.30694444444444446</v>
      </c>
      <c r="C9314" s="5" t="s">
        <v>59</v>
      </c>
      <c r="D9314" s="5" t="s">
        <v>1428</v>
      </c>
      <c r="E9314" s="8" t="s">
        <v>113</v>
      </c>
      <c r="F9314" s="5" t="s">
        <v>114</v>
      </c>
      <c r="G9314" s="6" t="str">
        <f>VLOOKUP(E9314,dicionario!$A$1:$C9713,2,0)</f>
        <v>Columbina talpacoti</v>
      </c>
      <c r="H9314" s="6" t="str">
        <f>VLOOKUP(E9314,dicionario!$A$1:$C9713,3,0)</f>
        <v>rolinha-roxa</v>
      </c>
    </row>
    <row r="9315">
      <c r="A9315" s="3">
        <v>45779.0</v>
      </c>
      <c r="B9315" s="4">
        <v>0.3076388888888889</v>
      </c>
      <c r="C9315" s="5" t="s">
        <v>59</v>
      </c>
      <c r="D9315" s="5" t="s">
        <v>1428</v>
      </c>
      <c r="E9315" s="8" t="s">
        <v>38</v>
      </c>
      <c r="F9315" s="5" t="s">
        <v>39</v>
      </c>
      <c r="G9315" s="6" t="str">
        <f>VLOOKUP(E9315,dicionario!$A$1:$C9714,2,0)</f>
        <v>Troglodytes musculus</v>
      </c>
      <c r="H9315" s="6" t="str">
        <f>VLOOKUP(E9315,dicionario!$A$1:$C9714,3,0)</f>
        <v>curruíra</v>
      </c>
    </row>
    <row r="9316">
      <c r="A9316" s="3">
        <v>45779.0</v>
      </c>
      <c r="B9316" s="4">
        <v>0.3076388888888889</v>
      </c>
      <c r="C9316" s="5" t="s">
        <v>59</v>
      </c>
      <c r="D9316" s="5" t="s">
        <v>1428</v>
      </c>
      <c r="E9316" s="8" t="s">
        <v>1367</v>
      </c>
      <c r="F9316" s="5" t="s">
        <v>387</v>
      </c>
      <c r="G9316" s="6" t="str">
        <f>VLOOKUP(E9316,dicionario!$A$1:$C9715,2,0)</f>
        <v>#N/A</v>
      </c>
      <c r="H9316" s="6" t="str">
        <f>VLOOKUP(E9316,dicionario!$A$1:$C9715,3,0)</f>
        <v>#N/A</v>
      </c>
    </row>
    <row r="9317">
      <c r="A9317" s="3">
        <v>45779.0</v>
      </c>
      <c r="B9317" s="4">
        <v>0.3076388888888889</v>
      </c>
      <c r="C9317" s="5" t="s">
        <v>59</v>
      </c>
      <c r="D9317" s="5" t="s">
        <v>1428</v>
      </c>
      <c r="E9317" s="8" t="s">
        <v>1316</v>
      </c>
      <c r="F9317" s="5" t="s">
        <v>15</v>
      </c>
      <c r="G9317" s="6" t="str">
        <f>VLOOKUP(E9317,dicionario!$A$1:$C9716,2,0)</f>
        <v>#N/A</v>
      </c>
      <c r="H9317" s="6" t="str">
        <f>VLOOKUP(E9317,dicionario!$A$1:$C9716,3,0)</f>
        <v>#N/A</v>
      </c>
    </row>
    <row r="9318">
      <c r="A9318" s="3">
        <v>45779.0</v>
      </c>
      <c r="B9318" s="4">
        <v>0.3076388888888889</v>
      </c>
      <c r="C9318" s="5" t="s">
        <v>59</v>
      </c>
      <c r="D9318" s="5" t="s">
        <v>1428</v>
      </c>
      <c r="E9318" s="8" t="s">
        <v>353</v>
      </c>
      <c r="F9318" s="5" t="s">
        <v>354</v>
      </c>
      <c r="G9318" s="6" t="str">
        <f>VLOOKUP(E9318,dicionario!$A$1:$C9717,2,0)</f>
        <v>Desmodium incanum</v>
      </c>
      <c r="H9318" s="6" t="str">
        <f>VLOOKUP(E9318,dicionario!$A$1:$C9717,3,0)</f>
        <v>pega-pega</v>
      </c>
    </row>
    <row r="9319">
      <c r="A9319" s="3">
        <v>45779.0</v>
      </c>
      <c r="B9319" s="4">
        <v>0.30833333333333335</v>
      </c>
      <c r="C9319" s="5" t="s">
        <v>59</v>
      </c>
      <c r="D9319" s="5" t="s">
        <v>1428</v>
      </c>
      <c r="E9319" s="8" t="s">
        <v>1285</v>
      </c>
      <c r="F9319" s="5" t="s">
        <v>1128</v>
      </c>
      <c r="G9319" s="6" t="str">
        <f>VLOOKUP(E9319,dicionario!$A$1:$C9718,2,0)</f>
        <v>#N/A</v>
      </c>
      <c r="H9319" s="6" t="str">
        <f>VLOOKUP(E9319,dicionario!$A$1:$C9718,3,0)</f>
        <v>#N/A</v>
      </c>
    </row>
    <row r="9320">
      <c r="A9320" s="3">
        <v>45779.0</v>
      </c>
      <c r="B9320" s="4">
        <v>0.3090277777777778</v>
      </c>
      <c r="C9320" s="5" t="s">
        <v>59</v>
      </c>
      <c r="D9320" s="5" t="s">
        <v>1428</v>
      </c>
      <c r="E9320" s="8" t="s">
        <v>154</v>
      </c>
      <c r="F9320" s="5" t="s">
        <v>155</v>
      </c>
      <c r="G9320" s="6" t="str">
        <f>VLOOKUP(E9320,dicionario!$A$1:$C9719,2,0)</f>
        <v>Cyperus rotundus</v>
      </c>
      <c r="H9320" s="6" t="str">
        <f>VLOOKUP(E9320,dicionario!$A$1:$C9719,3,0)</f>
        <v>tiririca</v>
      </c>
    </row>
    <row r="9321">
      <c r="A9321" s="3">
        <v>45779.0</v>
      </c>
      <c r="B9321" s="4">
        <v>0.3090277777777778</v>
      </c>
      <c r="C9321" s="5" t="s">
        <v>59</v>
      </c>
      <c r="D9321" s="5" t="s">
        <v>1428</v>
      </c>
      <c r="E9321" s="8" t="s">
        <v>271</v>
      </c>
      <c r="F9321" s="5" t="s">
        <v>1169</v>
      </c>
      <c r="G9321" s="6" t="str">
        <f>VLOOKUP(E9321,dicionario!$A$1:$C9720,2,0)</f>
        <v>Cyanthillium cinereum</v>
      </c>
      <c r="H9321" s="6" t="str">
        <f>VLOOKUP(E9321,dicionario!$A$1:$C9720,3,0)</f>
        <v>emília</v>
      </c>
    </row>
    <row r="9322">
      <c r="A9322" s="3">
        <v>45779.0</v>
      </c>
      <c r="B9322" s="4">
        <v>0.3090277777777778</v>
      </c>
      <c r="C9322" s="5" t="s">
        <v>59</v>
      </c>
      <c r="D9322" s="5" t="s">
        <v>1428</v>
      </c>
      <c r="E9322" s="8" t="s">
        <v>1328</v>
      </c>
      <c r="F9322" s="5" t="s">
        <v>356</v>
      </c>
      <c r="G9322" s="6" t="str">
        <f>VLOOKUP(E9322,dicionario!$A$1:$C9721,2,0)</f>
        <v>#N/A</v>
      </c>
      <c r="H9322" s="6" t="str">
        <f>VLOOKUP(E9322,dicionario!$A$1:$C9721,3,0)</f>
        <v>#N/A</v>
      </c>
    </row>
    <row r="9323">
      <c r="A9323" s="3">
        <v>45779.0</v>
      </c>
      <c r="B9323" s="4">
        <v>0.3090277777777778</v>
      </c>
      <c r="C9323" s="5" t="s">
        <v>59</v>
      </c>
      <c r="D9323" s="5" t="s">
        <v>1428</v>
      </c>
      <c r="E9323" s="8" t="s">
        <v>227</v>
      </c>
      <c r="F9323" s="5" t="s">
        <v>228</v>
      </c>
      <c r="G9323" s="6" t="str">
        <f>VLOOKUP(E9323,dicionario!$A$1:$C9722,2,0)</f>
        <v>Indigofera hirsuta</v>
      </c>
      <c r="H9323" s="6" t="str">
        <f>VLOOKUP(E9323,dicionario!$A$1:$C9722,3,0)</f>
        <v>anileira</v>
      </c>
    </row>
    <row r="9324">
      <c r="A9324" s="3">
        <v>45779.0</v>
      </c>
      <c r="B9324" s="4">
        <v>0.30972222222222223</v>
      </c>
      <c r="C9324" s="5" t="s">
        <v>59</v>
      </c>
      <c r="D9324" s="5" t="s">
        <v>1428</v>
      </c>
      <c r="E9324" s="6" t="s">
        <v>366</v>
      </c>
      <c r="F9324" s="5" t="s">
        <v>367</v>
      </c>
      <c r="G9324" s="6" t="str">
        <f>VLOOKUP(E9324,dicionario!$A$1:$C9723,2,0)</f>
        <v>Alternanthera ficoidea</v>
      </c>
      <c r="H9324" s="6" t="str">
        <f>VLOOKUP(E9324,dicionario!$A$1:$C9723,3,0)</f>
        <v>quebra-panela</v>
      </c>
    </row>
    <row r="9325">
      <c r="A9325" s="3">
        <v>45779.0</v>
      </c>
      <c r="B9325" s="4">
        <v>0.30972222222222223</v>
      </c>
      <c r="C9325" s="5" t="s">
        <v>59</v>
      </c>
      <c r="D9325" s="5" t="s">
        <v>1428</v>
      </c>
      <c r="E9325" s="8" t="s">
        <v>1296</v>
      </c>
      <c r="F9325" s="5" t="s">
        <v>1418</v>
      </c>
      <c r="G9325" s="6" t="str">
        <f>VLOOKUP(E9325,dicionario!$A$1:$C9724,2,0)</f>
        <v>#N/A</v>
      </c>
      <c r="H9325" s="6" t="str">
        <f>VLOOKUP(E9325,dicionario!$A$1:$C9724,3,0)</f>
        <v>#N/A</v>
      </c>
    </row>
    <row r="9326">
      <c r="A9326" s="3">
        <v>45779.0</v>
      </c>
      <c r="B9326" s="4">
        <v>0.30972222222222223</v>
      </c>
      <c r="C9326" s="5" t="s">
        <v>59</v>
      </c>
      <c r="D9326" s="5" t="s">
        <v>1428</v>
      </c>
      <c r="E9326" s="8" t="s">
        <v>1347</v>
      </c>
      <c r="F9326" s="5" t="s">
        <v>1168</v>
      </c>
      <c r="G9326" s="6" t="str">
        <f>VLOOKUP(E9326,dicionario!$A$1:$C9725,2,0)</f>
        <v>#N/A</v>
      </c>
      <c r="H9326" s="6" t="str">
        <f>VLOOKUP(E9326,dicionario!$A$1:$C9725,3,0)</f>
        <v>#N/A</v>
      </c>
    </row>
    <row r="9327">
      <c r="A9327" s="3">
        <v>45779.0</v>
      </c>
      <c r="B9327" s="4">
        <v>0.30972222222222223</v>
      </c>
      <c r="C9327" s="5" t="s">
        <v>59</v>
      </c>
      <c r="D9327" s="5" t="s">
        <v>1428</v>
      </c>
      <c r="E9327" s="8" t="s">
        <v>144</v>
      </c>
      <c r="F9327" s="5" t="s">
        <v>145</v>
      </c>
      <c r="G9327" s="6" t="str">
        <f>VLOOKUP(E9327,dicionario!$A$1:$C9726,2,0)</f>
        <v>Gomphrena globosa</v>
      </c>
      <c r="H9327" s="6" t="str">
        <f>VLOOKUP(E9327,dicionario!$A$1:$C9726,3,0)</f>
        <v>perpétua-rosa</v>
      </c>
    </row>
    <row r="9328">
      <c r="A9328" s="3">
        <v>45779.0</v>
      </c>
      <c r="B9328" s="4">
        <v>0.30972222222222223</v>
      </c>
      <c r="C9328" s="5" t="s">
        <v>59</v>
      </c>
      <c r="D9328" s="5" t="s">
        <v>1428</v>
      </c>
      <c r="E9328" s="8" t="s">
        <v>239</v>
      </c>
      <c r="F9328" s="5" t="s">
        <v>240</v>
      </c>
      <c r="G9328" s="6" t="str">
        <f>VLOOKUP(E9328,dicionario!$A$1:$C9727,2,0)</f>
        <v>Gomphrena celosioides</v>
      </c>
      <c r="H9328" s="6" t="str">
        <f>VLOOKUP(E9328,dicionario!$A$1:$C9727,3,0)</f>
        <v>perpétua-branca</v>
      </c>
    </row>
    <row r="9329">
      <c r="A9329" s="3">
        <v>45779.0</v>
      </c>
      <c r="B9329" s="4">
        <v>0.30972222222222223</v>
      </c>
      <c r="C9329" s="5" t="s">
        <v>59</v>
      </c>
      <c r="D9329" s="5" t="s">
        <v>1428</v>
      </c>
      <c r="E9329" s="8" t="s">
        <v>966</v>
      </c>
      <c r="F9329" s="5" t="s">
        <v>967</v>
      </c>
      <c r="G9329" s="6" t="str">
        <f>VLOOKUP(E9329,dicionario!$A$1:$C9728,2,0)</f>
        <v>Portulaca halimoides</v>
      </c>
      <c r="H9329" s="6" t="str">
        <f>VLOOKUP(E9329,dicionario!$A$1:$C9728,3,0)</f>
        <v>beldroega-de-seda</v>
      </c>
    </row>
    <row r="9330">
      <c r="A9330" s="3">
        <v>45779.0</v>
      </c>
      <c r="B9330" s="4">
        <v>0.3104166666666667</v>
      </c>
      <c r="C9330" s="5" t="s">
        <v>59</v>
      </c>
      <c r="D9330" s="5" t="s">
        <v>1428</v>
      </c>
      <c r="E9330" s="8" t="s">
        <v>535</v>
      </c>
      <c r="F9330" s="5" t="s">
        <v>901</v>
      </c>
      <c r="G9330" s="6" t="str">
        <f>VLOOKUP(E9330,dicionario!$A$1:$C9729,2,0)</f>
        <v>Odonata</v>
      </c>
      <c r="H9330" s="6" t="str">
        <f>VLOOKUP(E9330,dicionario!$A$1:$C9729,3,0)</f>
        <v>libélula</v>
      </c>
    </row>
    <row r="9331">
      <c r="A9331" s="3">
        <v>45779.0</v>
      </c>
      <c r="B9331" s="4">
        <v>0.3104166666666667</v>
      </c>
      <c r="C9331" s="5" t="s">
        <v>59</v>
      </c>
      <c r="D9331" s="5" t="s">
        <v>1428</v>
      </c>
      <c r="E9331" s="20" t="s">
        <v>676</v>
      </c>
      <c r="F9331" s="5" t="s">
        <v>677</v>
      </c>
      <c r="G9331" s="6" t="str">
        <f>VLOOKUP(E9331,dicionario!$A$1:$C9730,2,0)</f>
        <v>Zornia latifolia</v>
      </c>
      <c r="H9331" s="6" t="str">
        <f>VLOOKUP(E9331,dicionario!$A$1:$C9730,3,0)</f>
        <v>arrozinho-do-campo</v>
      </c>
    </row>
    <row r="9332">
      <c r="A9332" s="3">
        <v>45779.0</v>
      </c>
      <c r="B9332" s="4">
        <v>0.3104166666666667</v>
      </c>
      <c r="C9332" s="5" t="s">
        <v>59</v>
      </c>
      <c r="D9332" s="5" t="s">
        <v>1428</v>
      </c>
      <c r="E9332" s="8" t="s">
        <v>245</v>
      </c>
      <c r="F9332" s="5" t="s">
        <v>246</v>
      </c>
      <c r="G9332" s="6" t="str">
        <f>VLOOKUP(E9332,dicionario!$A$1:$C9731,2,0)</f>
        <v>Hemiargus hanno</v>
      </c>
      <c r="H9332" s="6" t="str">
        <f>VLOOKUP(E9332,dicionario!$A$1:$C9731,3,0)</f>
        <v>borboleta-azulzinha-do-trevo</v>
      </c>
    </row>
    <row r="9333">
      <c r="A9333" s="3">
        <v>45779.0</v>
      </c>
      <c r="B9333" s="4">
        <v>0.3104166666666667</v>
      </c>
      <c r="C9333" s="5" t="s">
        <v>59</v>
      </c>
      <c r="D9333" s="5" t="s">
        <v>1428</v>
      </c>
      <c r="E9333" s="8" t="s">
        <v>143</v>
      </c>
      <c r="F9333" s="5" t="s">
        <v>936</v>
      </c>
      <c r="G9333" s="6" t="str">
        <f>VLOOKUP(E9333,dicionario!$A$1:$C9732,2,0)</f>
        <v>Polybia</v>
      </c>
      <c r="H9333" s="6" t="str">
        <f>VLOOKUP(E9333,dicionario!$A$1:$C9732,3,0)</f>
        <v>vespa</v>
      </c>
    </row>
    <row r="9334">
      <c r="A9334" s="3">
        <v>45779.0</v>
      </c>
      <c r="B9334" s="4">
        <v>0.3104166666666667</v>
      </c>
      <c r="C9334" s="5" t="s">
        <v>59</v>
      </c>
      <c r="D9334" s="5" t="s">
        <v>1428</v>
      </c>
      <c r="E9334" s="8" t="s">
        <v>18</v>
      </c>
      <c r="F9334" s="5" t="s">
        <v>219</v>
      </c>
      <c r="G9334" s="6" t="str">
        <f>VLOOKUP(E9334,dicionario!$A$1:$C9733,2,0)</f>
        <v>Xylocopa frontalis</v>
      </c>
      <c r="H9334" s="6" t="str">
        <f>VLOOKUP(E9334,dicionario!$A$1:$C9733,3,0)</f>
        <v>Mamangava; mangangá; abelha-carpinteira</v>
      </c>
    </row>
    <row r="9335">
      <c r="A9335" s="3">
        <v>45779.0</v>
      </c>
      <c r="B9335" s="4">
        <v>0.3125</v>
      </c>
      <c r="C9335" s="5" t="s">
        <v>59</v>
      </c>
      <c r="D9335" s="5" t="s">
        <v>1428</v>
      </c>
      <c r="E9335" s="8" t="s">
        <v>1186</v>
      </c>
      <c r="F9335" s="5" t="s">
        <v>1187</v>
      </c>
      <c r="G9335" s="6" t="str">
        <f>VLOOKUP(E9335,dicionario!$A$1:$C9734,2,0)</f>
        <v>Dione vanillae</v>
      </c>
      <c r="H9335" s="6" t="str">
        <f>VLOOKUP(E9335,dicionario!$A$1:$C9734,3,0)</f>
        <v>borboleta-paixão</v>
      </c>
    </row>
    <row r="9336">
      <c r="A9336" s="3">
        <v>45779.0</v>
      </c>
      <c r="B9336" s="4">
        <v>0.3125</v>
      </c>
      <c r="C9336" s="5" t="s">
        <v>59</v>
      </c>
      <c r="D9336" s="5" t="s">
        <v>1428</v>
      </c>
      <c r="E9336" s="8" t="s">
        <v>909</v>
      </c>
      <c r="F9336" s="5" t="s">
        <v>910</v>
      </c>
      <c r="G9336" s="6" t="str">
        <f>VLOOKUP(E9336,dicionario!$A$1:$C9735,2,0)</f>
        <v>Chordeiles acutipennis</v>
      </c>
      <c r="H9336" s="6" t="str">
        <f>VLOOKUP(E9336,dicionario!$A$1:$C9735,3,0)</f>
        <v>bacurau-de-asa-fina</v>
      </c>
    </row>
    <row r="9337">
      <c r="A9337" s="3">
        <v>45779.0</v>
      </c>
      <c r="B9337" s="4">
        <v>0.3125</v>
      </c>
      <c r="C9337" s="5" t="s">
        <v>59</v>
      </c>
      <c r="D9337" s="5" t="s">
        <v>1428</v>
      </c>
      <c r="E9337" s="8" t="s">
        <v>736</v>
      </c>
      <c r="F9337" s="5" t="s">
        <v>737</v>
      </c>
      <c r="G9337" s="6" t="str">
        <f>VLOOKUP(E9337,dicionario!$A$1:$C9736,2,0)</f>
        <v>Chloris virgata</v>
      </c>
      <c r="H9337" s="6" t="str">
        <f>VLOOKUP(E9337,dicionario!$A$1:$C9736,3,0)</f>
        <v>capim-pavão</v>
      </c>
    </row>
    <row r="9338">
      <c r="A9338" s="3">
        <v>45779.0</v>
      </c>
      <c r="B9338" s="4">
        <v>0.31319444444444444</v>
      </c>
      <c r="C9338" s="5" t="s">
        <v>50</v>
      </c>
      <c r="D9338" s="5" t="s">
        <v>1428</v>
      </c>
      <c r="E9338" s="8" t="s">
        <v>20</v>
      </c>
      <c r="F9338" s="5" t="s">
        <v>21</v>
      </c>
      <c r="G9338" s="6" t="str">
        <f>VLOOKUP(E9338,dicionario!$A$1:$C9737,2,0)</f>
        <v>Sicalis flaveola</v>
      </c>
      <c r="H9338" s="6" t="str">
        <f>VLOOKUP(E9338,dicionario!$A$1:$C9737,3,0)</f>
        <v>canário-da-terra</v>
      </c>
    </row>
    <row r="9339">
      <c r="A9339" s="3">
        <v>45779.0</v>
      </c>
      <c r="B9339" s="4">
        <v>0.31319444444444444</v>
      </c>
      <c r="C9339" s="5" t="s">
        <v>50</v>
      </c>
      <c r="D9339" s="5" t="s">
        <v>1428</v>
      </c>
      <c r="E9339" s="8" t="s">
        <v>38</v>
      </c>
      <c r="F9339" s="5" t="s">
        <v>1251</v>
      </c>
      <c r="G9339" s="6" t="str">
        <f>VLOOKUP(E9339,dicionario!$A$1:$C9738,2,0)</f>
        <v>Troglodytes musculus</v>
      </c>
      <c r="H9339" s="6" t="str">
        <f>VLOOKUP(E9339,dicionario!$A$1:$C9738,3,0)</f>
        <v>curruíra</v>
      </c>
    </row>
    <row r="9340">
      <c r="A9340" s="3">
        <v>45779.0</v>
      </c>
      <c r="B9340" s="4">
        <v>0.31319444444444444</v>
      </c>
      <c r="C9340" s="5" t="s">
        <v>50</v>
      </c>
      <c r="D9340" s="5" t="s">
        <v>1428</v>
      </c>
      <c r="E9340" s="6" t="s">
        <v>467</v>
      </c>
      <c r="F9340" s="5" t="s">
        <v>468</v>
      </c>
      <c r="G9340" s="6" t="str">
        <f>VLOOKUP(E9340,dicionario!$A$1:$C9739,2,0)</f>
        <v>Eleusine indica</v>
      </c>
      <c r="H9340" s="6" t="str">
        <f>VLOOKUP(E9340,dicionario!$A$1:$C9739,3,0)</f>
        <v>capim-pé-de-galinha</v>
      </c>
    </row>
    <row r="9341">
      <c r="A9341" s="3">
        <v>45779.0</v>
      </c>
      <c r="B9341" s="4">
        <v>0.3138888888888889</v>
      </c>
      <c r="C9341" s="5" t="s">
        <v>50</v>
      </c>
      <c r="D9341" s="5" t="s">
        <v>1428</v>
      </c>
      <c r="E9341" s="8" t="s">
        <v>732</v>
      </c>
      <c r="F9341" s="7"/>
      <c r="G9341" s="6" t="str">
        <f>VLOOKUP(E9341,dicionario!$A$1:$C9740,2,0)</f>
        <v>#N/A</v>
      </c>
      <c r="H9341" s="6" t="str">
        <f>VLOOKUP(E9341,dicionario!$A$1:$C9740,3,0)</f>
        <v>#N/A</v>
      </c>
    </row>
    <row r="9342">
      <c r="A9342" s="3">
        <v>45779.0</v>
      </c>
      <c r="B9342" s="4">
        <v>0.3138888888888889</v>
      </c>
      <c r="C9342" s="5" t="s">
        <v>50</v>
      </c>
      <c r="D9342" s="5" t="s">
        <v>1428</v>
      </c>
      <c r="E9342" s="8" t="s">
        <v>109</v>
      </c>
      <c r="F9342" s="5" t="s">
        <v>110</v>
      </c>
      <c r="G9342" s="6" t="str">
        <f>VLOOKUP(E9342,dicionario!$A$1:$C9741,2,0)</f>
        <v>Tillandsia stricta</v>
      </c>
      <c r="H9342" s="6" t="str">
        <f>VLOOKUP(E9342,dicionario!$A$1:$C9741,3,0)</f>
        <v>cravo-do-mato</v>
      </c>
    </row>
    <row r="9343">
      <c r="A9343" s="3">
        <v>45779.0</v>
      </c>
      <c r="B9343" s="4">
        <v>0.3145833333333333</v>
      </c>
      <c r="C9343" s="5" t="s">
        <v>50</v>
      </c>
      <c r="D9343" s="5" t="s">
        <v>1428</v>
      </c>
      <c r="E9343" s="8" t="s">
        <v>719</v>
      </c>
      <c r="F9343" s="5" t="s">
        <v>720</v>
      </c>
      <c r="G9343" s="6" t="str">
        <f>VLOOKUP(E9343,dicionario!$A$1:$C9742,2,0)</f>
        <v>Dirinaria</v>
      </c>
      <c r="H9343" s="6" t="str">
        <f>VLOOKUP(E9343,dicionario!$A$1:$C9742,3,0)</f>
        <v>líquen-crostoso</v>
      </c>
    </row>
    <row r="9344">
      <c r="A9344" s="3">
        <v>45779.0</v>
      </c>
      <c r="B9344" s="4">
        <v>0.3145833333333333</v>
      </c>
      <c r="C9344" s="5" t="s">
        <v>50</v>
      </c>
      <c r="D9344" s="5" t="s">
        <v>1428</v>
      </c>
      <c r="E9344" s="8" t="s">
        <v>18</v>
      </c>
      <c r="F9344" s="5" t="s">
        <v>219</v>
      </c>
      <c r="G9344" s="6" t="str">
        <f>VLOOKUP(E9344,dicionario!$A$1:$C9743,2,0)</f>
        <v>Xylocopa frontalis</v>
      </c>
      <c r="H9344" s="6" t="str">
        <f>VLOOKUP(E9344,dicionario!$A$1:$C9743,3,0)</f>
        <v>Mamangava; mangangá; abelha-carpinteira</v>
      </c>
    </row>
    <row r="9345">
      <c r="A9345" s="3">
        <v>45779.0</v>
      </c>
      <c r="B9345" s="4">
        <v>0.3145833333333333</v>
      </c>
      <c r="C9345" s="5" t="s">
        <v>50</v>
      </c>
      <c r="D9345" s="5" t="s">
        <v>1428</v>
      </c>
      <c r="E9345" s="8" t="s">
        <v>253</v>
      </c>
      <c r="F9345" s="5" t="s">
        <v>254</v>
      </c>
      <c r="G9345" s="6" t="str">
        <f>VLOOKUP(E9345,dicionario!$A$1:$C9744,2,0)</f>
        <v>Panicum maximum</v>
      </c>
      <c r="H9345" s="6" t="str">
        <f>VLOOKUP(E9345,dicionario!$A$1:$C9744,3,0)</f>
        <v>capim-colonião</v>
      </c>
    </row>
    <row r="9346">
      <c r="A9346" s="3">
        <v>45779.0</v>
      </c>
      <c r="B9346" s="4">
        <v>0.31527777777777777</v>
      </c>
      <c r="C9346" s="5" t="s">
        <v>50</v>
      </c>
      <c r="D9346" s="5" t="s">
        <v>1428</v>
      </c>
      <c r="E9346" s="8" t="s">
        <v>1280</v>
      </c>
      <c r="F9346" s="5" t="s">
        <v>1156</v>
      </c>
      <c r="G9346" s="6" t="str">
        <f>VLOOKUP(E9346,dicionario!$A$1:$C9745,2,0)</f>
        <v>Paspalum notatum</v>
      </c>
      <c r="H9346" s="6" t="str">
        <f>VLOOKUP(E9346,dicionario!$A$1:$C9745,3,0)</f>
        <v>capim-forquilha</v>
      </c>
    </row>
    <row r="9347">
      <c r="A9347" s="3">
        <v>45779.0</v>
      </c>
      <c r="B9347" s="4">
        <v>0.31527777777777777</v>
      </c>
      <c r="C9347" s="5" t="s">
        <v>50</v>
      </c>
      <c r="D9347" s="5" t="s">
        <v>1428</v>
      </c>
      <c r="E9347" s="8" t="s">
        <v>111</v>
      </c>
      <c r="F9347" s="5" t="s">
        <v>112</v>
      </c>
      <c r="G9347" s="6" t="str">
        <f>VLOOKUP(E9347,dicionario!$A$1:$C9746,2,0)</f>
        <v>Trigona spinipes</v>
      </c>
      <c r="H9347" s="6" t="str">
        <f>VLOOKUP(E9347,dicionario!$A$1:$C9746,3,0)</f>
        <v>abelha-cachorro</v>
      </c>
    </row>
    <row r="9348">
      <c r="A9348" s="3">
        <v>45779.0</v>
      </c>
      <c r="B9348" s="4">
        <v>0.31527777777777777</v>
      </c>
      <c r="C9348" s="5" t="s">
        <v>50</v>
      </c>
      <c r="D9348" s="5" t="s">
        <v>1428</v>
      </c>
      <c r="E9348" s="8" t="s">
        <v>1438</v>
      </c>
      <c r="F9348" s="5" t="s">
        <v>42</v>
      </c>
      <c r="G9348" s="6" t="str">
        <f>VLOOKUP(E9348,dicionario!$A$1:$C9747,2,0)</f>
        <v>#N/A</v>
      </c>
      <c r="H9348" s="6" t="str">
        <f>VLOOKUP(E9348,dicionario!$A$1:$C9747,3,0)</f>
        <v>#N/A</v>
      </c>
    </row>
    <row r="9349">
      <c r="A9349" s="3">
        <v>45779.0</v>
      </c>
      <c r="B9349" s="4">
        <v>0.31527777777777777</v>
      </c>
      <c r="C9349" s="5" t="s">
        <v>50</v>
      </c>
      <c r="D9349" s="5" t="s">
        <v>1428</v>
      </c>
      <c r="E9349" s="6" t="s">
        <v>148</v>
      </c>
      <c r="F9349" s="5" t="s">
        <v>149</v>
      </c>
      <c r="G9349" s="6" t="str">
        <f>VLOOKUP(E9349,dicionario!$A$1:$C9748,2,0)</f>
        <v>Parthenium hysterophorus</v>
      </c>
      <c r="H9349" s="6" t="str">
        <f>VLOOKUP(E9349,dicionario!$A$1:$C9748,3,0)</f>
        <v>losna-branca</v>
      </c>
    </row>
    <row r="9350">
      <c r="A9350" s="3">
        <v>45779.0</v>
      </c>
      <c r="B9350" s="4">
        <v>0.31527777777777777</v>
      </c>
      <c r="C9350" s="5" t="s">
        <v>50</v>
      </c>
      <c r="D9350" s="5" t="s">
        <v>1428</v>
      </c>
      <c r="E9350" s="8" t="s">
        <v>227</v>
      </c>
      <c r="F9350" s="5" t="s">
        <v>228</v>
      </c>
      <c r="G9350" s="6" t="str">
        <f>VLOOKUP(E9350,dicionario!$A$1:$C9749,2,0)</f>
        <v>Indigofera hirsuta</v>
      </c>
      <c r="H9350" s="6" t="str">
        <f>VLOOKUP(E9350,dicionario!$A$1:$C9749,3,0)</f>
        <v>anileira</v>
      </c>
    </row>
    <row r="9351">
      <c r="A9351" s="3">
        <v>45779.0</v>
      </c>
      <c r="B9351" s="4">
        <v>0.31666666666666665</v>
      </c>
      <c r="C9351" s="5" t="s">
        <v>50</v>
      </c>
      <c r="D9351" s="5" t="s">
        <v>1428</v>
      </c>
      <c r="E9351" s="8" t="s">
        <v>150</v>
      </c>
      <c r="F9351" s="5" t="s">
        <v>151</v>
      </c>
      <c r="G9351" s="6" t="str">
        <f>VLOOKUP(E9351,dicionario!$A$1:$C9750,2,0)</f>
        <v>Amaranthus viridis</v>
      </c>
      <c r="H9351" s="6" t="str">
        <f>VLOOKUP(E9351,dicionario!$A$1:$C9750,3,0)</f>
        <v>caruru-de-mancha</v>
      </c>
    </row>
    <row r="9352">
      <c r="A9352" s="3">
        <v>45779.0</v>
      </c>
      <c r="B9352" s="4">
        <v>0.31666666666666665</v>
      </c>
      <c r="C9352" s="5" t="s">
        <v>50</v>
      </c>
      <c r="D9352" s="5" t="s">
        <v>1428</v>
      </c>
      <c r="E9352" s="6" t="s">
        <v>86</v>
      </c>
      <c r="F9352" s="5" t="s">
        <v>502</v>
      </c>
      <c r="G9352" s="6" t="str">
        <f>VLOOKUP(E9352,dicionario!$A$1:$C9751,2,0)</f>
        <v>Coereba flaveola</v>
      </c>
      <c r="H9352" s="6" t="str">
        <f>VLOOKUP(E9352,dicionario!$A$1:$C9751,3,0)</f>
        <v>cambacica</v>
      </c>
    </row>
    <row r="9353">
      <c r="A9353" s="3">
        <v>45779.0</v>
      </c>
      <c r="B9353" s="4">
        <v>0.31666666666666665</v>
      </c>
      <c r="C9353" s="5" t="s">
        <v>50</v>
      </c>
      <c r="D9353" s="5" t="s">
        <v>1428</v>
      </c>
      <c r="E9353" s="8" t="s">
        <v>146</v>
      </c>
      <c r="F9353" s="5" t="s">
        <v>147</v>
      </c>
      <c r="G9353" s="6" t="str">
        <f>VLOOKUP(E9353,dicionario!$A$1:$C9752,2,0)</f>
        <v>Euphorbia hirta</v>
      </c>
      <c r="H9353" s="6" t="str">
        <f>VLOOKUP(E9353,dicionario!$A$1:$C9752,3,0)</f>
        <v>erva-de-santa-luzia</v>
      </c>
    </row>
    <row r="9354">
      <c r="A9354" s="3">
        <v>45779.0</v>
      </c>
      <c r="B9354" s="4">
        <v>0.31805555555555554</v>
      </c>
      <c r="C9354" s="5" t="s">
        <v>50</v>
      </c>
      <c r="D9354" s="5" t="s">
        <v>1428</v>
      </c>
      <c r="E9354" s="20" t="s">
        <v>676</v>
      </c>
      <c r="F9354" s="5" t="s">
        <v>677</v>
      </c>
      <c r="G9354" s="6" t="str">
        <f>VLOOKUP(E9354,dicionario!$A$1:$C9753,2,0)</f>
        <v>Zornia latifolia</v>
      </c>
      <c r="H9354" s="6" t="str">
        <f>VLOOKUP(E9354,dicionario!$A$1:$C9753,3,0)</f>
        <v>arrozinho-do-campo</v>
      </c>
    </row>
    <row r="9355">
      <c r="A9355" s="3">
        <v>45779.0</v>
      </c>
      <c r="B9355" s="4">
        <v>0.31805555555555554</v>
      </c>
      <c r="C9355" s="5" t="s">
        <v>50</v>
      </c>
      <c r="D9355" s="5" t="s">
        <v>1428</v>
      </c>
      <c r="E9355" s="8" t="s">
        <v>1084</v>
      </c>
      <c r="F9355" s="7"/>
      <c r="G9355" s="6" t="str">
        <f>VLOOKUP(E9355,dicionario!$A$1:$C9754,2,0)</f>
        <v>#N/A</v>
      </c>
      <c r="H9355" s="6" t="str">
        <f>VLOOKUP(E9355,dicionario!$A$1:$C9754,3,0)</f>
        <v>#N/A</v>
      </c>
    </row>
    <row r="9356">
      <c r="A9356" s="3">
        <v>45779.0</v>
      </c>
      <c r="B9356" s="4">
        <v>0.3194444444444444</v>
      </c>
      <c r="C9356" s="5" t="s">
        <v>50</v>
      </c>
      <c r="D9356" s="5" t="s">
        <v>1428</v>
      </c>
      <c r="E9356" s="8" t="s">
        <v>1282</v>
      </c>
      <c r="F9356" s="5" t="s">
        <v>182</v>
      </c>
      <c r="G9356" s="6" t="str">
        <f>VLOOKUP(E9356,dicionario!$A$1:$C9755,2,0)</f>
        <v>#N/A</v>
      </c>
      <c r="H9356" s="6" t="str">
        <f>VLOOKUP(E9356,dicionario!$A$1:$C9755,3,0)</f>
        <v>#N/A</v>
      </c>
    </row>
    <row r="9357">
      <c r="A9357" s="3">
        <v>45779.0</v>
      </c>
      <c r="B9357" s="4">
        <v>0.3194444444444444</v>
      </c>
      <c r="C9357" s="5" t="s">
        <v>50</v>
      </c>
      <c r="D9357" s="5" t="s">
        <v>1428</v>
      </c>
      <c r="E9357" s="8" t="s">
        <v>65</v>
      </c>
      <c r="F9357" s="5" t="s">
        <v>66</v>
      </c>
      <c r="G9357" s="6" t="str">
        <f>VLOOKUP(E9357,dicionario!$A$1:$C9756,2,0)</f>
        <v>Pitangus sulphutarus</v>
      </c>
      <c r="H9357" s="6" t="str">
        <f>VLOOKUP(E9357,dicionario!$A$1:$C9756,3,0)</f>
        <v>bem-te-vi</v>
      </c>
    </row>
    <row r="9358">
      <c r="A9358" s="3">
        <v>45779.0</v>
      </c>
      <c r="B9358" s="4">
        <v>0.3236111111111111</v>
      </c>
      <c r="C9358" s="5" t="s">
        <v>40</v>
      </c>
      <c r="D9358" s="5" t="s">
        <v>1428</v>
      </c>
      <c r="E9358" s="8" t="s">
        <v>1087</v>
      </c>
      <c r="F9358" s="5" t="s">
        <v>1088</v>
      </c>
      <c r="G9358" s="6" t="str">
        <f>VLOOKUP(E9358,dicionario!$A$1:$C9757,2,0)</f>
        <v>Desmodium triflorum</v>
      </c>
      <c r="H9358" s="6" t="str">
        <f>VLOOKUP(E9358,dicionario!$A$1:$C9757,3,0)</f>
        <v/>
      </c>
    </row>
    <row r="9359">
      <c r="A9359" s="3">
        <v>45779.0</v>
      </c>
      <c r="B9359" s="4">
        <v>0.3236111111111111</v>
      </c>
      <c r="C9359" s="5" t="s">
        <v>40</v>
      </c>
      <c r="D9359" s="5" t="s">
        <v>1428</v>
      </c>
      <c r="E9359" s="8" t="s">
        <v>1328</v>
      </c>
      <c r="F9359" s="5" t="s">
        <v>356</v>
      </c>
      <c r="G9359" s="6" t="str">
        <f>VLOOKUP(E9359,dicionario!$A$1:$C9758,2,0)</f>
        <v>#N/A</v>
      </c>
      <c r="H9359" s="6" t="str">
        <f>VLOOKUP(E9359,dicionario!$A$1:$C9758,3,0)</f>
        <v>#N/A</v>
      </c>
    </row>
    <row r="9360">
      <c r="A9360" s="3">
        <v>45779.0</v>
      </c>
      <c r="B9360" s="4">
        <v>0.3236111111111111</v>
      </c>
      <c r="C9360" s="5" t="s">
        <v>40</v>
      </c>
      <c r="D9360" s="5" t="s">
        <v>1428</v>
      </c>
      <c r="E9360" s="8" t="s">
        <v>38</v>
      </c>
      <c r="F9360" s="5" t="s">
        <v>39</v>
      </c>
      <c r="G9360" s="6" t="str">
        <f>VLOOKUP(E9360,dicionario!$A$1:$C9759,2,0)</f>
        <v>Troglodytes musculus</v>
      </c>
      <c r="H9360" s="6" t="str">
        <f>VLOOKUP(E9360,dicionario!$A$1:$C9759,3,0)</f>
        <v>curruíra</v>
      </c>
    </row>
    <row r="9361">
      <c r="A9361" s="3">
        <v>45779.0</v>
      </c>
      <c r="B9361" s="4">
        <v>0.3236111111111111</v>
      </c>
      <c r="C9361" s="5" t="s">
        <v>40</v>
      </c>
      <c r="D9361" s="5" t="s">
        <v>1428</v>
      </c>
      <c r="E9361" s="8" t="s">
        <v>150</v>
      </c>
      <c r="F9361" s="5" t="s">
        <v>151</v>
      </c>
      <c r="G9361" s="6" t="str">
        <f>VLOOKUP(E9361,dicionario!$A$1:$C9760,2,0)</f>
        <v>Amaranthus viridis</v>
      </c>
      <c r="H9361" s="6" t="str">
        <f>VLOOKUP(E9361,dicionario!$A$1:$C9760,3,0)</f>
        <v>caruru-de-mancha</v>
      </c>
    </row>
    <row r="9362">
      <c r="A9362" s="3">
        <v>45779.0</v>
      </c>
      <c r="B9362" s="4">
        <v>0.3236111111111111</v>
      </c>
      <c r="C9362" s="5" t="s">
        <v>40</v>
      </c>
      <c r="D9362" s="5" t="s">
        <v>1428</v>
      </c>
      <c r="E9362" s="8" t="s">
        <v>732</v>
      </c>
      <c r="F9362" s="7"/>
      <c r="G9362" s="6" t="str">
        <f>VLOOKUP(E9362,dicionario!$A$1:$C9761,2,0)</f>
        <v>#N/A</v>
      </c>
      <c r="H9362" s="6" t="str">
        <f>VLOOKUP(E9362,dicionario!$A$1:$C9761,3,0)</f>
        <v>#N/A</v>
      </c>
    </row>
    <row r="9363">
      <c r="A9363" s="3">
        <v>45779.0</v>
      </c>
      <c r="B9363" s="4">
        <v>0.3236111111111111</v>
      </c>
      <c r="C9363" s="5" t="s">
        <v>40</v>
      </c>
      <c r="D9363" s="5" t="s">
        <v>1428</v>
      </c>
      <c r="E9363" s="8" t="s">
        <v>225</v>
      </c>
      <c r="F9363" s="5" t="s">
        <v>226</v>
      </c>
      <c r="G9363" s="6" t="str">
        <f>VLOOKUP(E9363,dicionario!$A$1:$C9762,2,0)</f>
        <v>Passer domesticus</v>
      </c>
      <c r="H9363" s="6" t="str">
        <f>VLOOKUP(E9363,dicionario!$A$1:$C9762,3,0)</f>
        <v>pardal</v>
      </c>
    </row>
    <row r="9364">
      <c r="A9364" s="3">
        <v>45779.0</v>
      </c>
      <c r="B9364" s="4">
        <v>0.3236111111111111</v>
      </c>
      <c r="C9364" s="5" t="s">
        <v>40</v>
      </c>
      <c r="D9364" s="5" t="s">
        <v>1428</v>
      </c>
      <c r="E9364" s="8" t="s">
        <v>146</v>
      </c>
      <c r="F9364" s="5" t="s">
        <v>147</v>
      </c>
      <c r="G9364" s="6" t="str">
        <f>VLOOKUP(E9364,dicionario!$A$1:$C9763,2,0)</f>
        <v>Euphorbia hirta</v>
      </c>
      <c r="H9364" s="6" t="str">
        <f>VLOOKUP(E9364,dicionario!$A$1:$C9763,3,0)</f>
        <v>erva-de-santa-luzia</v>
      </c>
    </row>
    <row r="9365">
      <c r="A9365" s="3">
        <v>45779.0</v>
      </c>
      <c r="B9365" s="4">
        <v>0.32430555555555557</v>
      </c>
      <c r="C9365" s="5" t="s">
        <v>40</v>
      </c>
      <c r="D9365" s="5" t="s">
        <v>1428</v>
      </c>
      <c r="E9365" s="6" t="s">
        <v>53</v>
      </c>
      <c r="F9365" s="5" t="s">
        <v>54</v>
      </c>
      <c r="G9365" s="6" t="str">
        <f>VLOOKUP(E9365,dicionario!$A$1:$C9764,2,0)</f>
        <v>Turnera subulata</v>
      </c>
      <c r="H9365" s="6" t="str">
        <f>VLOOKUP(E9365,dicionario!$A$1:$C9764,3,0)</f>
        <v>xanana</v>
      </c>
    </row>
    <row r="9366">
      <c r="A9366" s="3">
        <v>45779.0</v>
      </c>
      <c r="B9366" s="4">
        <v>0.32430555555555557</v>
      </c>
      <c r="C9366" s="5" t="s">
        <v>40</v>
      </c>
      <c r="D9366" s="5" t="s">
        <v>1428</v>
      </c>
      <c r="E9366" s="6" t="s">
        <v>288</v>
      </c>
      <c r="F9366" s="5" t="s">
        <v>289</v>
      </c>
      <c r="G9366" s="6" t="str">
        <f>VLOOKUP(E9366,dicionario!$A$1:$C9765,2,0)</f>
        <v>Phyllanthus tenellus</v>
      </c>
      <c r="H9366" s="6" t="str">
        <f>VLOOKUP(E9366,dicionario!$A$1:$C9765,3,0)</f>
        <v>quebra-pedra</v>
      </c>
    </row>
    <row r="9367">
      <c r="A9367" s="3">
        <v>45779.0</v>
      </c>
      <c r="B9367" s="4">
        <v>0.32430555555555557</v>
      </c>
      <c r="C9367" s="5" t="s">
        <v>40</v>
      </c>
      <c r="D9367" s="5" t="s">
        <v>1428</v>
      </c>
      <c r="E9367" s="8" t="s">
        <v>154</v>
      </c>
      <c r="F9367" s="5" t="s">
        <v>155</v>
      </c>
      <c r="G9367" s="6" t="str">
        <f>VLOOKUP(E9367,dicionario!$A$1:$C9766,2,0)</f>
        <v>Cyperus rotundus</v>
      </c>
      <c r="H9367" s="6" t="str">
        <f>VLOOKUP(E9367,dicionario!$A$1:$C9766,3,0)</f>
        <v>tiririca</v>
      </c>
    </row>
    <row r="9368">
      <c r="A9368" s="3">
        <v>45779.0</v>
      </c>
      <c r="B9368" s="4">
        <v>0.325</v>
      </c>
      <c r="C9368" s="5" t="s">
        <v>40</v>
      </c>
      <c r="D9368" s="5" t="s">
        <v>1428</v>
      </c>
      <c r="E9368" s="8" t="s">
        <v>271</v>
      </c>
      <c r="F9368" s="5" t="s">
        <v>1169</v>
      </c>
      <c r="G9368" s="6" t="str">
        <f>VLOOKUP(E9368,dicionario!$A$1:$C9767,2,0)</f>
        <v>Cyanthillium cinereum</v>
      </c>
      <c r="H9368" s="6" t="str">
        <f>VLOOKUP(E9368,dicionario!$A$1:$C9767,3,0)</f>
        <v>emília</v>
      </c>
    </row>
    <row r="9369">
      <c r="A9369" s="3">
        <v>45779.0</v>
      </c>
      <c r="B9369" s="4">
        <v>0.325</v>
      </c>
      <c r="C9369" s="5" t="s">
        <v>40</v>
      </c>
      <c r="D9369" s="5" t="s">
        <v>1428</v>
      </c>
      <c r="E9369" s="8" t="s">
        <v>858</v>
      </c>
      <c r="F9369" s="5" t="s">
        <v>1051</v>
      </c>
      <c r="G9369" s="6" t="str">
        <f>VLOOKUP(E9369,dicionario!$A$1:$C9768,2,0)</f>
        <v>Rumex obtusifolius</v>
      </c>
      <c r="H9369" s="6" t="str">
        <f>VLOOKUP(E9369,dicionario!$A$1:$C9768,3,0)</f>
        <v>lingua-de-vaca</v>
      </c>
    </row>
    <row r="9370">
      <c r="A9370" s="3">
        <v>45779.0</v>
      </c>
      <c r="B9370" s="4">
        <v>0.325</v>
      </c>
      <c r="C9370" s="5" t="s">
        <v>40</v>
      </c>
      <c r="D9370" s="5" t="s">
        <v>1428</v>
      </c>
      <c r="E9370" s="8" t="s">
        <v>886</v>
      </c>
      <c r="F9370" s="5" t="s">
        <v>887</v>
      </c>
      <c r="G9370" s="6" t="str">
        <f>VLOOKUP(E9370,dicionario!$A$1:$C9769,2,0)</f>
        <v>Oldenlandia corymbosa</v>
      </c>
      <c r="H9370" s="6" t="str">
        <f>VLOOKUP(E9370,dicionario!$A$1:$C9769,3,0)</f>
        <v>erva-diamante</v>
      </c>
    </row>
    <row r="9371">
      <c r="A9371" s="3">
        <v>45779.0</v>
      </c>
      <c r="B9371" s="4">
        <v>0.325</v>
      </c>
      <c r="C9371" s="5" t="s">
        <v>40</v>
      </c>
      <c r="D9371" s="5" t="s">
        <v>1428</v>
      </c>
      <c r="E9371" s="6" t="s">
        <v>467</v>
      </c>
      <c r="F9371" s="5" t="s">
        <v>468</v>
      </c>
      <c r="G9371" s="6" t="str">
        <f>VLOOKUP(E9371,dicionario!$A$1:$C9770,2,0)</f>
        <v>Eleusine indica</v>
      </c>
      <c r="H9371" s="6" t="str">
        <f>VLOOKUP(E9371,dicionario!$A$1:$C9770,3,0)</f>
        <v>capim-pé-de-galinha</v>
      </c>
    </row>
    <row r="9372">
      <c r="A9372" s="3">
        <v>45779.0</v>
      </c>
      <c r="B9372" s="4">
        <v>0.32569444444444445</v>
      </c>
      <c r="C9372" s="5" t="s">
        <v>40</v>
      </c>
      <c r="D9372" s="5" t="s">
        <v>1428</v>
      </c>
      <c r="E9372" s="8" t="s">
        <v>46</v>
      </c>
      <c r="F9372" s="5" t="s">
        <v>47</v>
      </c>
      <c r="G9372" s="6" t="str">
        <f>VLOOKUP(E9372,dicionario!$A$1:$C9771,2,0)</f>
        <v>Chionomesa fimbriata</v>
      </c>
      <c r="H9372" s="6" t="str">
        <f>VLOOKUP(E9372,dicionario!$A$1:$C9771,3,0)</f>
        <v>beija-flor-de-garganta-verde</v>
      </c>
    </row>
    <row r="9373">
      <c r="A9373" s="3">
        <v>45779.0</v>
      </c>
      <c r="B9373" s="4">
        <v>0.32569444444444445</v>
      </c>
      <c r="C9373" s="5" t="s">
        <v>40</v>
      </c>
      <c r="D9373" s="5" t="s">
        <v>1428</v>
      </c>
      <c r="E9373" s="8" t="s">
        <v>139</v>
      </c>
      <c r="F9373" s="5" t="s">
        <v>862</v>
      </c>
      <c r="G9373" s="6" t="str">
        <f>VLOOKUP(E9373,dicionario!$A$1:$C9772,2,0)</f>
        <v>Tropidurus torquatus</v>
      </c>
      <c r="H9373" s="6" t="str">
        <f>VLOOKUP(E9373,dicionario!$A$1:$C9772,3,0)</f>
        <v>calango; tropiduro-comum</v>
      </c>
    </row>
    <row r="9374">
      <c r="A9374" s="3">
        <v>45779.0</v>
      </c>
      <c r="B9374" s="4">
        <v>0.32569444444444445</v>
      </c>
      <c r="C9374" s="5" t="s">
        <v>40</v>
      </c>
      <c r="D9374" s="5" t="s">
        <v>1428</v>
      </c>
      <c r="E9374" s="8" t="s">
        <v>20</v>
      </c>
      <c r="F9374" s="5" t="s">
        <v>21</v>
      </c>
      <c r="G9374" s="6" t="str">
        <f>VLOOKUP(E9374,dicionario!$A$1:$C9773,2,0)</f>
        <v>Sicalis flaveola</v>
      </c>
      <c r="H9374" s="6" t="str">
        <f>VLOOKUP(E9374,dicionario!$A$1:$C9773,3,0)</f>
        <v>canário-da-terra</v>
      </c>
    </row>
    <row r="9375">
      <c r="A9375" s="3">
        <v>45779.0</v>
      </c>
      <c r="B9375" s="4">
        <v>0.32569444444444445</v>
      </c>
      <c r="C9375" s="5" t="s">
        <v>40</v>
      </c>
      <c r="D9375" s="5" t="s">
        <v>1428</v>
      </c>
      <c r="E9375" s="6" t="s">
        <v>148</v>
      </c>
      <c r="F9375" s="5" t="s">
        <v>149</v>
      </c>
      <c r="G9375" s="6" t="str">
        <f>VLOOKUP(E9375,dicionario!$A$1:$C9774,2,0)</f>
        <v>Parthenium hysterophorus</v>
      </c>
      <c r="H9375" s="6" t="str">
        <f>VLOOKUP(E9375,dicionario!$A$1:$C9774,3,0)</f>
        <v>losna-branca</v>
      </c>
    </row>
    <row r="9376">
      <c r="A9376" s="3">
        <v>45779.0</v>
      </c>
      <c r="B9376" s="4">
        <v>0.32569444444444445</v>
      </c>
      <c r="C9376" s="5" t="s">
        <v>40</v>
      </c>
      <c r="D9376" s="5" t="s">
        <v>1428</v>
      </c>
      <c r="E9376" s="8" t="s">
        <v>1367</v>
      </c>
      <c r="F9376" s="5" t="s">
        <v>387</v>
      </c>
      <c r="G9376" s="6" t="str">
        <f>VLOOKUP(E9376,dicionario!$A$1:$C9775,2,0)</f>
        <v>#N/A</v>
      </c>
      <c r="H9376" s="6" t="str">
        <f>VLOOKUP(E9376,dicionario!$A$1:$C9775,3,0)</f>
        <v>#N/A</v>
      </c>
    </row>
    <row r="9377">
      <c r="A9377" s="3">
        <v>45779.0</v>
      </c>
      <c r="B9377" s="4">
        <v>0.3263888888888889</v>
      </c>
      <c r="C9377" s="5" t="s">
        <v>40</v>
      </c>
      <c r="D9377" s="5" t="s">
        <v>1428</v>
      </c>
      <c r="E9377" s="8" t="s">
        <v>849</v>
      </c>
      <c r="F9377" s="7" t="s">
        <v>518</v>
      </c>
      <c r="G9377" s="6" t="str">
        <f>VLOOKUP(E9377,dicionario!$A$1:$C9776,2,0)</f>
        <v>#N/A</v>
      </c>
      <c r="H9377" s="6" t="str">
        <f>VLOOKUP(E9377,dicionario!$A$1:$C9776,3,0)</f>
        <v>#N/A</v>
      </c>
    </row>
    <row r="9378">
      <c r="A9378" s="3">
        <v>45779.0</v>
      </c>
      <c r="B9378" s="4">
        <v>0.3263888888888889</v>
      </c>
      <c r="C9378" s="5" t="s">
        <v>40</v>
      </c>
      <c r="D9378" s="5" t="s">
        <v>1428</v>
      </c>
      <c r="E9378" s="8" t="s">
        <v>150</v>
      </c>
      <c r="F9378" s="5" t="s">
        <v>151</v>
      </c>
      <c r="G9378" s="6" t="str">
        <f>VLOOKUP(E9378,dicionario!$A$1:$C9777,2,0)</f>
        <v>Amaranthus viridis</v>
      </c>
      <c r="H9378" s="6" t="str">
        <f>VLOOKUP(E9378,dicionario!$A$1:$C9777,3,0)</f>
        <v>caruru-de-mancha</v>
      </c>
    </row>
    <row r="9379">
      <c r="A9379" s="3">
        <v>45779.0</v>
      </c>
      <c r="B9379" s="4">
        <v>0.3263888888888889</v>
      </c>
      <c r="C9379" s="5" t="s">
        <v>40</v>
      </c>
      <c r="D9379" s="5" t="s">
        <v>1428</v>
      </c>
      <c r="E9379" s="18" t="s">
        <v>611</v>
      </c>
      <c r="F9379" s="5" t="s">
        <v>612</v>
      </c>
      <c r="G9379" s="6" t="str">
        <f>VLOOKUP(E9379,dicionario!$A$1:$C9778,2,0)</f>
        <v>Boehmeria cylindrica</v>
      </c>
      <c r="H9379" s="6" t="str">
        <f>VLOOKUP(E9379,dicionario!$A$1:$C9778,3,0)</f>
        <v>falsa-urtiga</v>
      </c>
    </row>
    <row r="9380">
      <c r="A9380" s="3">
        <v>45779.0</v>
      </c>
      <c r="B9380" s="4">
        <v>0.3263888888888889</v>
      </c>
      <c r="C9380" s="5" t="s">
        <v>40</v>
      </c>
      <c r="D9380" s="5" t="s">
        <v>1428</v>
      </c>
      <c r="E9380" s="6" t="s">
        <v>366</v>
      </c>
      <c r="F9380" s="5" t="s">
        <v>367</v>
      </c>
      <c r="G9380" s="6" t="str">
        <f>VLOOKUP(E9380,dicionario!$A$1:$C9779,2,0)</f>
        <v>Alternanthera ficoidea</v>
      </c>
      <c r="H9380" s="6" t="str">
        <f>VLOOKUP(E9380,dicionario!$A$1:$C9779,3,0)</f>
        <v>quebra-panela</v>
      </c>
    </row>
    <row r="9381">
      <c r="A9381" s="3">
        <v>45779.0</v>
      </c>
      <c r="B9381" s="4">
        <v>0.3263888888888889</v>
      </c>
      <c r="C9381" s="5" t="s">
        <v>40</v>
      </c>
      <c r="D9381" s="5" t="s">
        <v>1428</v>
      </c>
      <c r="E9381" s="6" t="s">
        <v>86</v>
      </c>
      <c r="F9381" s="5" t="s">
        <v>502</v>
      </c>
      <c r="G9381" s="6" t="str">
        <f>VLOOKUP(E9381,dicionario!$A$1:$C9780,2,0)</f>
        <v>Coereba flaveola</v>
      </c>
      <c r="H9381" s="6" t="str">
        <f>VLOOKUP(E9381,dicionario!$A$1:$C9780,3,0)</f>
        <v>cambacica</v>
      </c>
    </row>
    <row r="9382">
      <c r="A9382" s="3">
        <v>45779.0</v>
      </c>
      <c r="B9382" s="4">
        <v>0.30625</v>
      </c>
      <c r="C9382" s="5" t="s">
        <v>40</v>
      </c>
      <c r="D9382" s="5" t="s">
        <v>1428</v>
      </c>
      <c r="E9382" s="8" t="s">
        <v>177</v>
      </c>
      <c r="F9382" s="5" t="s">
        <v>178</v>
      </c>
      <c r="G9382" s="6" t="str">
        <f>VLOOKUP(E9382,dicionario!$A$1:$C9781,2,0)</f>
        <v>Elaenia flavogaster</v>
      </c>
      <c r="H9382" s="6" t="str">
        <f>VLOOKUP(E9382,dicionario!$A$1:$C9781,3,0)</f>
        <v>guaracava-de-barriga-amarela</v>
      </c>
    </row>
    <row r="9383">
      <c r="A9383" s="3">
        <v>45779.0</v>
      </c>
      <c r="B9383" s="4">
        <v>0.3277777777777778</v>
      </c>
      <c r="C9383" s="5" t="s">
        <v>40</v>
      </c>
      <c r="D9383" s="5" t="s">
        <v>1428</v>
      </c>
      <c r="E9383" s="8" t="s">
        <v>65</v>
      </c>
      <c r="F9383" s="5" t="s">
        <v>66</v>
      </c>
      <c r="G9383" s="6" t="str">
        <f>VLOOKUP(E9383,dicionario!$A$1:$C9782,2,0)</f>
        <v>Pitangus sulphutarus</v>
      </c>
      <c r="H9383" s="6" t="str">
        <f>VLOOKUP(E9383,dicionario!$A$1:$C9782,3,0)</f>
        <v>bem-te-vi</v>
      </c>
    </row>
    <row r="9384">
      <c r="A9384" s="3">
        <v>45779.0</v>
      </c>
      <c r="B9384" s="4">
        <v>0.3277777777777778</v>
      </c>
      <c r="C9384" s="5" t="s">
        <v>40</v>
      </c>
      <c r="D9384" s="5" t="s">
        <v>1428</v>
      </c>
      <c r="E9384" s="8" t="s">
        <v>141</v>
      </c>
      <c r="F9384" s="5" t="s">
        <v>142</v>
      </c>
      <c r="G9384" s="6" t="str">
        <f>VLOOKUP(E9384,dicionario!$A$1:$C9783,2,0)</f>
        <v>Ruellia blechum</v>
      </c>
      <c r="H9384" s="6" t="str">
        <f>VLOOKUP(E9384,dicionario!$A$1:$C9783,3,0)</f>
        <v>camarão-verde</v>
      </c>
    </row>
    <row r="9385">
      <c r="A9385" s="3">
        <v>45779.0</v>
      </c>
      <c r="B9385" s="4">
        <v>0.3284722222222222</v>
      </c>
      <c r="C9385" s="5" t="s">
        <v>40</v>
      </c>
      <c r="D9385" s="5" t="s">
        <v>1428</v>
      </c>
      <c r="E9385" s="8" t="s">
        <v>113</v>
      </c>
      <c r="F9385" s="5" t="s">
        <v>114</v>
      </c>
      <c r="G9385" s="6" t="str">
        <f>VLOOKUP(E9385,dicionario!$A$1:$C9784,2,0)</f>
        <v>Columbina talpacoti</v>
      </c>
      <c r="H9385" s="6" t="str">
        <f>VLOOKUP(E9385,dicionario!$A$1:$C9784,3,0)</f>
        <v>rolinha-roxa</v>
      </c>
    </row>
    <row r="9386">
      <c r="A9386" s="3">
        <v>45779.0</v>
      </c>
      <c r="B9386" s="4">
        <v>0.3284722222222222</v>
      </c>
      <c r="C9386" s="5" t="s">
        <v>40</v>
      </c>
      <c r="D9386" s="5" t="s">
        <v>1428</v>
      </c>
      <c r="E9386" s="8" t="s">
        <v>1087</v>
      </c>
      <c r="F9386" s="5" t="s">
        <v>1088</v>
      </c>
      <c r="G9386" s="6" t="str">
        <f>VLOOKUP(E9386,dicionario!$A$1:$C9785,2,0)</f>
        <v>Desmodium triflorum</v>
      </c>
      <c r="H9386" s="6" t="str">
        <f>VLOOKUP(E9386,dicionario!$A$1:$C9785,3,0)</f>
        <v/>
      </c>
    </row>
    <row r="9387">
      <c r="A9387" s="3">
        <v>45779.0</v>
      </c>
      <c r="B9387" s="4">
        <v>0.32916666666666666</v>
      </c>
      <c r="C9387" s="5" t="s">
        <v>40</v>
      </c>
      <c r="D9387" s="5" t="s">
        <v>1428</v>
      </c>
      <c r="E9387" s="8" t="s">
        <v>72</v>
      </c>
      <c r="F9387" s="5" t="s">
        <v>73</v>
      </c>
      <c r="G9387" s="6" t="str">
        <f>VLOOKUP(E9387,dicionario!$A$1:$C9786,2,0)</f>
        <v>Thraupis palmarum</v>
      </c>
      <c r="H9387" s="6" t="str">
        <f>VLOOKUP(E9387,dicionario!$A$1:$C9786,3,0)</f>
        <v>sanhaço-do-coqueiro</v>
      </c>
    </row>
    <row r="9388">
      <c r="A9388" s="3">
        <v>45779.0</v>
      </c>
      <c r="B9388" s="4">
        <v>0.3298611111111111</v>
      </c>
      <c r="C9388" s="5" t="s">
        <v>40</v>
      </c>
      <c r="D9388" s="5" t="s">
        <v>1428</v>
      </c>
      <c r="E9388" s="8" t="s">
        <v>977</v>
      </c>
      <c r="F9388" s="5" t="s">
        <v>978</v>
      </c>
      <c r="G9388" s="6" t="str">
        <f>VLOOKUP(E9388,dicionario!$A$1:$C9787,2,0)</f>
        <v>Odontomachus</v>
      </c>
      <c r="H9388" s="6" t="str">
        <f>VLOOKUP(E9388,dicionario!$A$1:$C9787,3,0)</f>
        <v>formiga-de-estalo</v>
      </c>
    </row>
    <row r="9389">
      <c r="A9389" s="3">
        <v>45779.0</v>
      </c>
      <c r="B9389" s="4">
        <v>0.3298611111111111</v>
      </c>
      <c r="C9389" s="5" t="s">
        <v>40</v>
      </c>
      <c r="D9389" s="5" t="s">
        <v>1428</v>
      </c>
      <c r="E9389" s="8" t="s">
        <v>1096</v>
      </c>
      <c r="F9389" s="5" t="s">
        <v>1061</v>
      </c>
      <c r="G9389" s="6" t="str">
        <f>VLOOKUP(E9389,dicionario!$A$1:$C9788,2,0)</f>
        <v>Cicadellidae</v>
      </c>
      <c r="H9389" s="6" t="str">
        <f>VLOOKUP(E9389,dicionario!$A$1:$C9788,3,0)</f>
        <v>cigarrinha</v>
      </c>
    </row>
    <row r="9390">
      <c r="A9390" s="3">
        <v>45779.0</v>
      </c>
      <c r="B9390" s="4">
        <v>0.3298611111111111</v>
      </c>
      <c r="C9390" s="5" t="s">
        <v>40</v>
      </c>
      <c r="D9390" s="5" t="s">
        <v>1428</v>
      </c>
      <c r="E9390" s="8" t="s">
        <v>41</v>
      </c>
      <c r="F9390" s="5" t="s">
        <v>45</v>
      </c>
      <c r="G9390" s="6" t="str">
        <f>VLOOKUP(E9390,dicionario!$A$1:$C9789,2,0)</f>
        <v>Mimosa pudica</v>
      </c>
      <c r="H9390" s="6" t="str">
        <f>VLOOKUP(E9390,dicionario!$A$1:$C9789,3,0)</f>
        <v>dormideira</v>
      </c>
    </row>
    <row r="9391">
      <c r="A9391" s="3">
        <v>45779.0</v>
      </c>
      <c r="B9391" s="4">
        <v>0.33055555555555555</v>
      </c>
      <c r="C9391" s="5" t="s">
        <v>40</v>
      </c>
      <c r="D9391" s="5" t="s">
        <v>1428</v>
      </c>
      <c r="E9391" s="8" t="s">
        <v>41</v>
      </c>
      <c r="F9391" s="5" t="s">
        <v>228</v>
      </c>
      <c r="G9391" s="6" t="str">
        <f>VLOOKUP(E9391,dicionario!$A$1:$C9790,2,0)</f>
        <v>Mimosa pudica</v>
      </c>
      <c r="H9391" s="6" t="str">
        <f>VLOOKUP(E9391,dicionario!$A$1:$C9790,3,0)</f>
        <v>dormideira</v>
      </c>
    </row>
    <row r="9392">
      <c r="A9392" s="3">
        <v>45779.0</v>
      </c>
      <c r="B9392" s="4">
        <v>0.33055555555555555</v>
      </c>
      <c r="C9392" s="5" t="s">
        <v>40</v>
      </c>
      <c r="D9392" s="5" t="s">
        <v>1428</v>
      </c>
      <c r="E9392" s="8" t="s">
        <v>736</v>
      </c>
      <c r="F9392" s="5" t="s">
        <v>737</v>
      </c>
      <c r="G9392" s="6" t="str">
        <f>VLOOKUP(E9392,dicionario!$A$1:$C9791,2,0)</f>
        <v>Chloris virgata</v>
      </c>
      <c r="H9392" s="6" t="str">
        <f>VLOOKUP(E9392,dicionario!$A$1:$C9791,3,0)</f>
        <v>capim-pavão</v>
      </c>
    </row>
    <row r="9393">
      <c r="A9393" s="3">
        <v>45779.0</v>
      </c>
      <c r="B9393" s="4">
        <v>0.33055555555555555</v>
      </c>
      <c r="C9393" s="5" t="s">
        <v>40</v>
      </c>
      <c r="D9393" s="5" t="s">
        <v>1428</v>
      </c>
      <c r="E9393" s="6" t="s">
        <v>613</v>
      </c>
      <c r="F9393" s="5" t="s">
        <v>614</v>
      </c>
      <c r="G9393" s="6" t="str">
        <f>VLOOKUP(E9393,dicionario!$A$1:$C9792,2,0)</f>
        <v>Euphorbia hyssopifolia</v>
      </c>
      <c r="H9393" s="6" t="str">
        <f>VLOOKUP(E9393,dicionario!$A$1:$C9792,3,0)</f>
        <v>maria-leite</v>
      </c>
    </row>
    <row r="9394">
      <c r="A9394" s="3">
        <v>45779.0</v>
      </c>
      <c r="B9394" s="4">
        <v>0.33055555555555555</v>
      </c>
      <c r="C9394" s="5" t="s">
        <v>40</v>
      </c>
      <c r="D9394" s="5" t="s">
        <v>1428</v>
      </c>
      <c r="E9394" s="6" t="s">
        <v>53</v>
      </c>
      <c r="F9394" s="5" t="s">
        <v>54</v>
      </c>
      <c r="G9394" s="6" t="str">
        <f>VLOOKUP(E9394,dicionario!$A$1:$C9793,2,0)</f>
        <v>Turnera subulata</v>
      </c>
      <c r="H9394" s="6" t="str">
        <f>VLOOKUP(E9394,dicionario!$A$1:$C9793,3,0)</f>
        <v>xanana</v>
      </c>
    </row>
    <row r="9395">
      <c r="A9395" s="3">
        <v>45779.0</v>
      </c>
      <c r="B9395" s="4">
        <v>0.33055555555555555</v>
      </c>
      <c r="C9395" s="5" t="s">
        <v>40</v>
      </c>
      <c r="D9395" s="5" t="s">
        <v>1428</v>
      </c>
      <c r="E9395" s="8" t="s">
        <v>1310</v>
      </c>
      <c r="F9395" s="5" t="s">
        <v>521</v>
      </c>
      <c r="G9395" s="6" t="str">
        <f>VLOOKUP(E9395,dicionario!$A$1:$C9794,2,0)</f>
        <v>#N/A</v>
      </c>
      <c r="H9395" s="6" t="str">
        <f>VLOOKUP(E9395,dicionario!$A$1:$C9794,3,0)</f>
        <v>#N/A</v>
      </c>
    </row>
    <row r="9396">
      <c r="A9396" s="3">
        <v>45779.0</v>
      </c>
      <c r="B9396" s="4">
        <v>0.3326388888888889</v>
      </c>
      <c r="C9396" s="5" t="s">
        <v>33</v>
      </c>
      <c r="D9396" s="5" t="s">
        <v>1428</v>
      </c>
      <c r="E9396" s="8" t="s">
        <v>38</v>
      </c>
      <c r="F9396" s="5" t="s">
        <v>1251</v>
      </c>
      <c r="G9396" s="6" t="str">
        <f>VLOOKUP(E9396,dicionario!$A$1:$C9795,2,0)</f>
        <v>Troglodytes musculus</v>
      </c>
      <c r="H9396" s="6" t="str">
        <f>VLOOKUP(E9396,dicionario!$A$1:$C9795,3,0)</f>
        <v>curruíra</v>
      </c>
    </row>
    <row r="9397">
      <c r="A9397" s="3">
        <v>45779.0</v>
      </c>
      <c r="B9397" s="4">
        <v>0.33055555555555555</v>
      </c>
      <c r="C9397" s="5" t="s">
        <v>33</v>
      </c>
      <c r="D9397" s="5" t="s">
        <v>1428</v>
      </c>
      <c r="E9397" s="6" t="s">
        <v>471</v>
      </c>
      <c r="F9397" s="5" t="s">
        <v>472</v>
      </c>
      <c r="G9397" s="6" t="str">
        <f>VLOOKUP(E9397,dicionario!$A$1:$C9796,2,0)</f>
        <v>Sida acuta</v>
      </c>
      <c r="H9397" s="6" t="str">
        <f>VLOOKUP(E9397,dicionario!$A$1:$C9796,3,0)</f>
        <v>reloginho</v>
      </c>
    </row>
    <row r="9398">
      <c r="A9398" s="3">
        <v>45779.0</v>
      </c>
      <c r="B9398" s="4">
        <v>0.33055555555555555</v>
      </c>
      <c r="C9398" s="5" t="s">
        <v>33</v>
      </c>
      <c r="D9398" s="5" t="s">
        <v>1428</v>
      </c>
      <c r="E9398" s="8" t="s">
        <v>271</v>
      </c>
      <c r="F9398" s="5" t="s">
        <v>1169</v>
      </c>
      <c r="G9398" s="6" t="str">
        <f>VLOOKUP(E9398,dicionario!$A$1:$C9797,2,0)</f>
        <v>Cyanthillium cinereum</v>
      </c>
      <c r="H9398" s="6" t="str">
        <f>VLOOKUP(E9398,dicionario!$A$1:$C9797,3,0)</f>
        <v>emília</v>
      </c>
    </row>
    <row r="9399">
      <c r="A9399" s="3">
        <v>45779.0</v>
      </c>
      <c r="B9399" s="4">
        <v>0.33055555555555555</v>
      </c>
      <c r="C9399" s="5" t="s">
        <v>33</v>
      </c>
      <c r="D9399" s="5" t="s">
        <v>1428</v>
      </c>
      <c r="E9399" s="8" t="s">
        <v>122</v>
      </c>
      <c r="F9399" s="5" t="s">
        <v>123</v>
      </c>
      <c r="G9399" s="6" t="str">
        <f>VLOOKUP(E9399,dicionario!$A$1:$C9798,2,0)</f>
        <v>Todirostrum cinereum</v>
      </c>
      <c r="H9399" s="6" t="str">
        <f>VLOOKUP(E9399,dicionario!$A$1:$C9798,3,0)</f>
        <v>ferreirinho-relógio</v>
      </c>
    </row>
    <row r="9400">
      <c r="A9400" s="3">
        <v>45779.0</v>
      </c>
      <c r="B9400" s="4">
        <v>0.33055555555555555</v>
      </c>
      <c r="C9400" s="5" t="s">
        <v>33</v>
      </c>
      <c r="D9400" s="5" t="s">
        <v>1428</v>
      </c>
      <c r="E9400" s="8" t="s">
        <v>200</v>
      </c>
      <c r="F9400" s="5" t="s">
        <v>201</v>
      </c>
      <c r="G9400" s="6" t="str">
        <f>VLOOKUP(E9400,dicionario!$A$1:$C9799,2,0)</f>
        <v>Columbina picui </v>
      </c>
      <c r="H9400" s="6" t="str">
        <f>VLOOKUP(E9400,dicionario!$A$1:$C9799,3,0)</f>
        <v>rolinha-picuí</v>
      </c>
    </row>
    <row r="9401">
      <c r="A9401" s="3">
        <v>45779.0</v>
      </c>
      <c r="B9401" s="4">
        <v>0.33055555555555555</v>
      </c>
      <c r="C9401" s="5" t="s">
        <v>33</v>
      </c>
      <c r="D9401" s="5" t="s">
        <v>1428</v>
      </c>
      <c r="E9401" s="8" t="s">
        <v>113</v>
      </c>
      <c r="F9401" s="5" t="s">
        <v>114</v>
      </c>
      <c r="G9401" s="6" t="str">
        <f>VLOOKUP(E9401,dicionario!$A$1:$C9800,2,0)</f>
        <v>Columbina talpacoti</v>
      </c>
      <c r="H9401" s="6" t="str">
        <f>VLOOKUP(E9401,dicionario!$A$1:$C9800,3,0)</f>
        <v>rolinha-roxa</v>
      </c>
    </row>
    <row r="9402">
      <c r="A9402" s="3">
        <v>45779.0</v>
      </c>
      <c r="B9402" s="4">
        <v>0.33055555555555555</v>
      </c>
      <c r="C9402" s="5" t="s">
        <v>33</v>
      </c>
      <c r="D9402" s="5" t="s">
        <v>1428</v>
      </c>
      <c r="E9402" s="8" t="s">
        <v>43</v>
      </c>
      <c r="F9402" s="5" t="s">
        <v>44</v>
      </c>
      <c r="G9402" s="6" t="str">
        <f>VLOOKUP(E9402,dicionario!$A$1:$C9801,2,0)</f>
        <v>Columba livia</v>
      </c>
      <c r="H9402" s="6" t="str">
        <f>VLOOKUP(E9402,dicionario!$A$1:$C9801,3,0)</f>
        <v>pombo-doméstico</v>
      </c>
    </row>
    <row r="9403">
      <c r="A9403" s="3">
        <v>45779.0</v>
      </c>
      <c r="B9403" s="4">
        <v>0.3333333333333333</v>
      </c>
      <c r="C9403" s="5" t="s">
        <v>33</v>
      </c>
      <c r="D9403" s="5" t="s">
        <v>1428</v>
      </c>
      <c r="E9403" s="8" t="s">
        <v>177</v>
      </c>
      <c r="F9403" s="5" t="s">
        <v>178</v>
      </c>
      <c r="G9403" s="6" t="str">
        <f>VLOOKUP(E9403,dicionario!$A$1:$C9802,2,0)</f>
        <v>Elaenia flavogaster</v>
      </c>
      <c r="H9403" s="6" t="str">
        <f>VLOOKUP(E9403,dicionario!$A$1:$C9802,3,0)</f>
        <v>guaracava-de-barriga-amarela</v>
      </c>
    </row>
    <row r="9404">
      <c r="A9404" s="3">
        <v>45779.0</v>
      </c>
      <c r="B9404" s="4">
        <v>0.3333333333333333</v>
      </c>
      <c r="C9404" s="5" t="s">
        <v>33</v>
      </c>
      <c r="D9404" s="5" t="s">
        <v>1428</v>
      </c>
      <c r="E9404" s="8" t="s">
        <v>109</v>
      </c>
      <c r="F9404" s="5" t="s">
        <v>110</v>
      </c>
      <c r="G9404" s="6" t="str">
        <f>VLOOKUP(E9404,dicionario!$A$1:$C9803,2,0)</f>
        <v>Tillandsia stricta</v>
      </c>
      <c r="H9404" s="6" t="str">
        <f>VLOOKUP(E9404,dicionario!$A$1:$C9803,3,0)</f>
        <v>cravo-do-mato</v>
      </c>
    </row>
    <row r="9405">
      <c r="A9405" s="3">
        <v>45779.0</v>
      </c>
      <c r="B9405" s="4">
        <v>0.3333333333333333</v>
      </c>
      <c r="C9405" s="5" t="s">
        <v>33</v>
      </c>
      <c r="D9405" s="5" t="s">
        <v>1428</v>
      </c>
      <c r="E9405" s="8" t="s">
        <v>1084</v>
      </c>
      <c r="F9405" s="7"/>
      <c r="G9405" s="6" t="str">
        <f>VLOOKUP(E9405,dicionario!$A$1:$C9804,2,0)</f>
        <v>#N/A</v>
      </c>
      <c r="H9405" s="6" t="str">
        <f>VLOOKUP(E9405,dicionario!$A$1:$C9804,3,0)</f>
        <v>#N/A</v>
      </c>
    </row>
    <row r="9406">
      <c r="A9406" s="3">
        <v>45779.0</v>
      </c>
      <c r="B9406" s="4">
        <v>0.33402777777777776</v>
      </c>
      <c r="C9406" s="5" t="s">
        <v>33</v>
      </c>
      <c r="D9406" s="5" t="s">
        <v>1428</v>
      </c>
      <c r="E9406" s="8" t="s">
        <v>51</v>
      </c>
      <c r="F9406" s="5" t="s">
        <v>77</v>
      </c>
      <c r="G9406" s="6" t="str">
        <f>VLOOKUP(E9406,dicionario!$A$1:$C9805,2,0)</f>
        <v>Solenopsis</v>
      </c>
      <c r="H9406" s="6" t="str">
        <f>VLOOKUP(E9406,dicionario!$A$1:$C9805,3,0)</f>
        <v>formiga-quente; formiga-lava-pés; formiga-de-fogo</v>
      </c>
    </row>
    <row r="9407">
      <c r="A9407" s="3">
        <v>45779.0</v>
      </c>
      <c r="B9407" s="4">
        <v>0.33402777777777776</v>
      </c>
      <c r="C9407" s="5" t="s">
        <v>33</v>
      </c>
      <c r="D9407" s="5" t="s">
        <v>1428</v>
      </c>
      <c r="E9407" s="6" t="s">
        <v>86</v>
      </c>
      <c r="F9407" s="5" t="s">
        <v>502</v>
      </c>
      <c r="G9407" s="6" t="str">
        <f>VLOOKUP(E9407,dicionario!$A$1:$C9806,2,0)</f>
        <v>Coereba flaveola</v>
      </c>
      <c r="H9407" s="6" t="str">
        <f>VLOOKUP(E9407,dicionario!$A$1:$C9806,3,0)</f>
        <v>cambacica</v>
      </c>
    </row>
    <row r="9408">
      <c r="A9408" s="3">
        <v>45779.0</v>
      </c>
      <c r="B9408" s="4">
        <v>0.33541666666666664</v>
      </c>
      <c r="C9408" s="5" t="s">
        <v>33</v>
      </c>
      <c r="D9408" s="5" t="s">
        <v>1428</v>
      </c>
      <c r="E9408" s="8" t="s">
        <v>65</v>
      </c>
      <c r="F9408" s="5" t="s">
        <v>66</v>
      </c>
      <c r="G9408" s="6" t="str">
        <f>VLOOKUP(E9408,dicionario!$A$1:$C9807,2,0)</f>
        <v>Pitangus sulphutarus</v>
      </c>
      <c r="H9408" s="6" t="str">
        <f>VLOOKUP(E9408,dicionario!$A$1:$C9807,3,0)</f>
        <v>bem-te-vi</v>
      </c>
    </row>
    <row r="9409">
      <c r="A9409" s="3">
        <v>45779.0</v>
      </c>
      <c r="B9409" s="4">
        <v>0.3375</v>
      </c>
      <c r="C9409" s="5" t="s">
        <v>33</v>
      </c>
      <c r="D9409" s="5" t="s">
        <v>1428</v>
      </c>
      <c r="E9409" s="8" t="s">
        <v>154</v>
      </c>
      <c r="F9409" s="5" t="s">
        <v>155</v>
      </c>
      <c r="G9409" s="6" t="str">
        <f>VLOOKUP(E9409,dicionario!$A$1:$C9808,2,0)</f>
        <v>Cyperus rotundus</v>
      </c>
      <c r="H9409" s="6" t="str">
        <f>VLOOKUP(E9409,dicionario!$A$1:$C9808,3,0)</f>
        <v>tiririca</v>
      </c>
    </row>
    <row r="9410">
      <c r="A9410" s="3">
        <v>45779.0</v>
      </c>
      <c r="B9410" s="4">
        <v>0.3375</v>
      </c>
      <c r="C9410" s="5" t="s">
        <v>33</v>
      </c>
      <c r="D9410" s="5" t="s">
        <v>1428</v>
      </c>
      <c r="E9410" s="8" t="s">
        <v>135</v>
      </c>
      <c r="F9410" s="5" t="s">
        <v>136</v>
      </c>
      <c r="G9410" s="6" t="str">
        <f>VLOOKUP(E9410,dicionario!$A$1:$C9809,2,0)</f>
        <v>Tridax procumbens</v>
      </c>
      <c r="H9410" s="6" t="str">
        <f>VLOOKUP(E9410,dicionario!$A$1:$C9809,3,0)</f>
        <v>erva-de-touro</v>
      </c>
    </row>
    <row r="9411">
      <c r="A9411" s="3">
        <v>45779.0</v>
      </c>
      <c r="B9411" s="4">
        <v>0.3375</v>
      </c>
      <c r="C9411" s="5" t="s">
        <v>33</v>
      </c>
      <c r="D9411" s="5" t="s">
        <v>1428</v>
      </c>
      <c r="E9411" s="8" t="s">
        <v>1280</v>
      </c>
      <c r="F9411" s="5" t="s">
        <v>1156</v>
      </c>
      <c r="G9411" s="6" t="str">
        <f>VLOOKUP(E9411,dicionario!$A$1:$C9810,2,0)</f>
        <v>Paspalum notatum</v>
      </c>
      <c r="H9411" s="6" t="str">
        <f>VLOOKUP(E9411,dicionario!$A$1:$C9810,3,0)</f>
        <v>capim-forquilha</v>
      </c>
    </row>
    <row r="9412">
      <c r="A9412" s="3">
        <v>45779.0</v>
      </c>
      <c r="B9412" s="4">
        <v>0.3402777777777778</v>
      </c>
      <c r="C9412" s="5" t="s">
        <v>26</v>
      </c>
      <c r="D9412" s="5" t="s">
        <v>1428</v>
      </c>
      <c r="E9412" s="20" t="s">
        <v>676</v>
      </c>
      <c r="F9412" s="5" t="s">
        <v>677</v>
      </c>
      <c r="G9412" s="6" t="str">
        <f>VLOOKUP(E9412,dicionario!$A$1:$C9811,2,0)</f>
        <v>Zornia latifolia</v>
      </c>
      <c r="H9412" s="6" t="str">
        <f>VLOOKUP(E9412,dicionario!$A$1:$C9811,3,0)</f>
        <v>arrozinho-do-campo</v>
      </c>
    </row>
    <row r="9413">
      <c r="A9413" s="3">
        <v>45779.0</v>
      </c>
      <c r="B9413" s="4">
        <v>0.3402777777777778</v>
      </c>
      <c r="C9413" s="5" t="s">
        <v>26</v>
      </c>
      <c r="D9413" s="5" t="s">
        <v>1428</v>
      </c>
      <c r="E9413" s="8" t="s">
        <v>217</v>
      </c>
      <c r="F9413" s="5" t="s">
        <v>218</v>
      </c>
      <c r="G9413" s="6" t="str">
        <f>VLOOKUP(E9413,dicionario!$A$1:$C9812,2,0)</f>
        <v>Athene cunicularia</v>
      </c>
      <c r="H9413" s="6" t="str">
        <f>VLOOKUP(E9413,dicionario!$A$1:$C9812,3,0)</f>
        <v>coruja-buraqueira</v>
      </c>
    </row>
    <row r="9414">
      <c r="A9414" s="3">
        <v>45779.0</v>
      </c>
      <c r="B9414" s="4">
        <v>0.3402777777777778</v>
      </c>
      <c r="C9414" s="5" t="s">
        <v>26</v>
      </c>
      <c r="D9414" s="5" t="s">
        <v>1428</v>
      </c>
      <c r="E9414" s="8" t="s">
        <v>302</v>
      </c>
      <c r="F9414" s="5" t="s">
        <v>303</v>
      </c>
      <c r="G9414" s="6" t="str">
        <f>VLOOKUP(E9414,dicionario!$A$1:$C9813,2,0)</f>
        <v>Machetornis rixosa</v>
      </c>
      <c r="H9414" s="6" t="str">
        <f>VLOOKUP(E9414,dicionario!$A$1:$C9813,3,0)</f>
        <v>suiriri-cavaleiro</v>
      </c>
    </row>
    <row r="9415">
      <c r="A9415" s="3">
        <v>45779.0</v>
      </c>
      <c r="B9415" s="4">
        <v>0.3402777777777778</v>
      </c>
      <c r="C9415" s="5" t="s">
        <v>26</v>
      </c>
      <c r="D9415" s="5" t="s">
        <v>1428</v>
      </c>
      <c r="E9415" s="8" t="s">
        <v>353</v>
      </c>
      <c r="F9415" s="5" t="s">
        <v>354</v>
      </c>
      <c r="G9415" s="6" t="str">
        <f>VLOOKUP(E9415,dicionario!$A$1:$C9814,2,0)</f>
        <v>Desmodium incanum</v>
      </c>
      <c r="H9415" s="6" t="str">
        <f>VLOOKUP(E9415,dicionario!$A$1:$C9814,3,0)</f>
        <v>pega-pega</v>
      </c>
    </row>
    <row r="9416">
      <c r="A9416" s="3">
        <v>45779.0</v>
      </c>
      <c r="B9416" s="4">
        <v>0.3423611111111111</v>
      </c>
      <c r="C9416" s="5" t="s">
        <v>26</v>
      </c>
      <c r="D9416" s="5" t="s">
        <v>1428</v>
      </c>
      <c r="E9416" s="20" t="s">
        <v>676</v>
      </c>
      <c r="F9416" s="5" t="s">
        <v>677</v>
      </c>
      <c r="G9416" s="6" t="str">
        <f>VLOOKUP(E9416,dicionario!$A$1:$C9815,2,0)</f>
        <v>Zornia latifolia</v>
      </c>
      <c r="H9416" s="6" t="str">
        <f>VLOOKUP(E9416,dicionario!$A$1:$C9815,3,0)</f>
        <v>arrozinho-do-campo</v>
      </c>
    </row>
    <row r="9417">
      <c r="A9417" s="3">
        <v>45779.0</v>
      </c>
      <c r="B9417" s="4">
        <v>0.3423611111111111</v>
      </c>
      <c r="C9417" s="5" t="s">
        <v>26</v>
      </c>
      <c r="D9417" s="5" t="s">
        <v>1428</v>
      </c>
      <c r="E9417" s="8" t="s">
        <v>83</v>
      </c>
      <c r="F9417" s="5" t="s">
        <v>84</v>
      </c>
      <c r="G9417" s="6" t="str">
        <f>VLOOKUP(E9417,dicionario!$A$1:$C9816,2,0)</f>
        <v>Anartia jatrophae</v>
      </c>
      <c r="H9417" s="6" t="str">
        <f>VLOOKUP(E9417,dicionario!$A$1:$C9816,3,0)</f>
        <v>borboleta-pavão-branco</v>
      </c>
    </row>
    <row r="9418">
      <c r="A9418" s="3">
        <v>45779.0</v>
      </c>
      <c r="B9418" s="4">
        <v>0.34305555555555556</v>
      </c>
      <c r="C9418" s="5" t="s">
        <v>26</v>
      </c>
      <c r="D9418" s="5" t="s">
        <v>1428</v>
      </c>
      <c r="E9418" s="8" t="s">
        <v>109</v>
      </c>
      <c r="F9418" s="5" t="s">
        <v>110</v>
      </c>
      <c r="G9418" s="6" t="str">
        <f>VLOOKUP(E9418,dicionario!$A$1:$C9817,2,0)</f>
        <v>Tillandsia stricta</v>
      </c>
      <c r="H9418" s="6" t="str">
        <f>VLOOKUP(E9418,dicionario!$A$1:$C9817,3,0)</f>
        <v>cravo-do-mato</v>
      </c>
    </row>
    <row r="9419">
      <c r="A9419" s="3">
        <v>45779.0</v>
      </c>
      <c r="B9419" s="4">
        <v>0.34305555555555556</v>
      </c>
      <c r="C9419" s="5" t="s">
        <v>26</v>
      </c>
      <c r="D9419" s="5" t="s">
        <v>1428</v>
      </c>
      <c r="E9419" s="8" t="s">
        <v>163</v>
      </c>
      <c r="F9419" s="5" t="s">
        <v>164</v>
      </c>
      <c r="G9419" s="6" t="str">
        <f>VLOOKUP(E9419,dicionario!$A$1:$C9818,2,0)</f>
        <v>Coragyps atratus</v>
      </c>
      <c r="H9419" s="6" t="str">
        <f>VLOOKUP(E9419,dicionario!$A$1:$C9818,3,0)</f>
        <v>urubu-de-cabeça-preta</v>
      </c>
    </row>
    <row r="9420">
      <c r="A9420" s="3">
        <v>45779.0</v>
      </c>
      <c r="B9420" s="4">
        <v>0.34305555555555556</v>
      </c>
      <c r="C9420" s="5" t="s">
        <v>26</v>
      </c>
      <c r="D9420" s="5" t="s">
        <v>1428</v>
      </c>
      <c r="E9420" s="6" t="s">
        <v>251</v>
      </c>
      <c r="F9420" s="5" t="s">
        <v>252</v>
      </c>
      <c r="G9420" s="6" t="str">
        <f>VLOOKUP(E9420,dicionario!$A$1:$C9819,2,0)</f>
        <v>Struthanthus flexicaulis</v>
      </c>
      <c r="H9420" s="6" t="str">
        <f>VLOOKUP(E9420,dicionario!$A$1:$C9819,3,0)</f>
        <v>erva-de-passarinho</v>
      </c>
    </row>
    <row r="9421">
      <c r="A9421" s="3">
        <v>45779.0</v>
      </c>
      <c r="B9421" s="4">
        <v>0.34375</v>
      </c>
      <c r="C9421" s="5" t="s">
        <v>26</v>
      </c>
      <c r="D9421" s="5" t="s">
        <v>1428</v>
      </c>
      <c r="E9421" s="8" t="s">
        <v>471</v>
      </c>
      <c r="F9421" s="5" t="s">
        <v>472</v>
      </c>
      <c r="G9421" s="6" t="str">
        <f>VLOOKUP(E9421,dicionario!$A$1:$C9820,2,0)</f>
        <v>Sida acuta</v>
      </c>
      <c r="H9421" s="6" t="str">
        <f>VLOOKUP(E9421,dicionario!$A$1:$C9820,3,0)</f>
        <v>reloginho</v>
      </c>
    </row>
    <row r="9422">
      <c r="A9422" s="3">
        <v>45779.0</v>
      </c>
      <c r="B9422" s="4">
        <v>0.34375</v>
      </c>
      <c r="C9422" s="5" t="s">
        <v>26</v>
      </c>
      <c r="D9422" s="5" t="s">
        <v>1428</v>
      </c>
      <c r="E9422" s="8" t="s">
        <v>360</v>
      </c>
      <c r="F9422" s="5" t="s">
        <v>361</v>
      </c>
      <c r="G9422" s="6" t="str">
        <f>VLOOKUP(E9422,dicionario!$A$1:$C9821,2,0)</f>
        <v>Chamaecrista rotundifolia</v>
      </c>
      <c r="H9422" s="6" t="str">
        <f>VLOOKUP(E9422,dicionario!$A$1:$C9821,3,0)</f>
        <v>alfafa-nativa</v>
      </c>
    </row>
    <row r="9423">
      <c r="A9423" s="3">
        <v>45779.0</v>
      </c>
      <c r="B9423" s="4">
        <v>0.34375</v>
      </c>
      <c r="C9423" s="5" t="s">
        <v>26</v>
      </c>
      <c r="D9423" s="5" t="s">
        <v>1428</v>
      </c>
      <c r="E9423" s="12" t="s">
        <v>243</v>
      </c>
      <c r="F9423" s="5" t="s">
        <v>244</v>
      </c>
      <c r="G9423" s="6" t="str">
        <f>VLOOKUP(E9423,dicionario!$A$1:$C9822,2,0)</f>
        <v>Macroptilium atropurpureum</v>
      </c>
      <c r="H9423" s="6" t="str">
        <f>VLOOKUP(E9423,dicionario!$A$1:$C9822,3,0)</f>
        <v>feijão-de-pombo</v>
      </c>
    </row>
    <row r="9424">
      <c r="A9424" s="3">
        <v>45779.0</v>
      </c>
      <c r="B9424" s="4">
        <v>0.3458333333333333</v>
      </c>
      <c r="C9424" s="5" t="s">
        <v>26</v>
      </c>
      <c r="D9424" s="5" t="s">
        <v>1428</v>
      </c>
      <c r="E9424" s="8" t="s">
        <v>253</v>
      </c>
      <c r="F9424" s="5" t="s">
        <v>254</v>
      </c>
      <c r="G9424" s="6" t="str">
        <f>VLOOKUP(E9424,dicionario!$A$1:$C9823,2,0)</f>
        <v>Panicum maximum</v>
      </c>
      <c r="H9424" s="6" t="str">
        <f>VLOOKUP(E9424,dicionario!$A$1:$C9823,3,0)</f>
        <v>capim-colonião</v>
      </c>
    </row>
    <row r="9425">
      <c r="A9425" s="3">
        <v>45779.0</v>
      </c>
      <c r="B9425" s="4">
        <v>0.3458333333333333</v>
      </c>
      <c r="C9425" s="5" t="s">
        <v>26</v>
      </c>
      <c r="D9425" s="5" t="s">
        <v>1428</v>
      </c>
      <c r="E9425" s="8" t="s">
        <v>498</v>
      </c>
      <c r="F9425" s="5" t="s">
        <v>499</v>
      </c>
      <c r="G9425" s="6" t="str">
        <f>VLOOKUP(E9425,dicionario!$A$1:$C9824,2,0)</f>
        <v>Brachiaria decumbens</v>
      </c>
      <c r="H9425" s="6" t="str">
        <f>VLOOKUP(E9425,dicionario!$A$1:$C9824,3,0)</f>
        <v>capim-braquiária</v>
      </c>
    </row>
    <row r="9426">
      <c r="A9426" s="3">
        <v>45779.0</v>
      </c>
      <c r="B9426" s="4">
        <v>0.34652777777777777</v>
      </c>
      <c r="C9426" s="5" t="s">
        <v>26</v>
      </c>
      <c r="D9426" s="5" t="s">
        <v>1428</v>
      </c>
      <c r="E9426" s="8" t="s">
        <v>353</v>
      </c>
      <c r="F9426" s="5" t="s">
        <v>354</v>
      </c>
      <c r="G9426" s="6" t="str">
        <f>VLOOKUP(E9426,dicionario!$A$1:$C9825,2,0)</f>
        <v>Desmodium incanum</v>
      </c>
      <c r="H9426" s="6" t="str">
        <f>VLOOKUP(E9426,dicionario!$A$1:$C9825,3,0)</f>
        <v>pega-pega</v>
      </c>
    </row>
    <row r="9427">
      <c r="A9427" s="3">
        <v>45779.0</v>
      </c>
      <c r="B9427" s="4">
        <v>0.34652777777777777</v>
      </c>
      <c r="C9427" s="5" t="s">
        <v>26</v>
      </c>
      <c r="D9427" s="5" t="s">
        <v>1428</v>
      </c>
      <c r="E9427" s="8" t="s">
        <v>934</v>
      </c>
      <c r="F9427" s="5" t="s">
        <v>414</v>
      </c>
      <c r="G9427" s="6" t="str">
        <f>VLOOKUP(E9427,dicionario!$A$1:$C9826,2,0)</f>
        <v>#N/A</v>
      </c>
      <c r="H9427" s="6" t="str">
        <f>VLOOKUP(E9427,dicionario!$A$1:$C9826,3,0)</f>
        <v>#N/A</v>
      </c>
    </row>
    <row r="9428">
      <c r="A9428" s="3">
        <v>45779.0</v>
      </c>
      <c r="B9428" s="4">
        <v>0.34652777777777777</v>
      </c>
      <c r="C9428" s="5" t="s">
        <v>26</v>
      </c>
      <c r="D9428" s="5" t="s">
        <v>1428</v>
      </c>
      <c r="E9428" s="8" t="s">
        <v>135</v>
      </c>
      <c r="F9428" s="5" t="s">
        <v>136</v>
      </c>
      <c r="G9428" s="6" t="str">
        <f>VLOOKUP(E9428,dicionario!$A$1:$C9827,2,0)</f>
        <v>Tridax procumbens</v>
      </c>
      <c r="H9428" s="6" t="str">
        <f>VLOOKUP(E9428,dicionario!$A$1:$C9827,3,0)</f>
        <v>erva-de-touro</v>
      </c>
    </row>
    <row r="9429">
      <c r="A9429" s="3">
        <v>45779.0</v>
      </c>
      <c r="B9429" s="4">
        <v>0.3472222222222222</v>
      </c>
      <c r="C9429" s="5" t="s">
        <v>8</v>
      </c>
      <c r="D9429" s="5" t="s">
        <v>1428</v>
      </c>
      <c r="E9429" s="8" t="s">
        <v>154</v>
      </c>
      <c r="F9429" s="5" t="s">
        <v>155</v>
      </c>
      <c r="G9429" s="6" t="str">
        <f>VLOOKUP(E9429,dicionario!$A$1:$C9828,2,0)</f>
        <v>Cyperus rotundus</v>
      </c>
      <c r="H9429" s="6" t="str">
        <f>VLOOKUP(E9429,dicionario!$A$1:$C9828,3,0)</f>
        <v>tiririca</v>
      </c>
    </row>
    <row r="9430">
      <c r="A9430" s="3">
        <v>45779.0</v>
      </c>
      <c r="B9430" s="4">
        <v>0.3472222222222222</v>
      </c>
      <c r="C9430" s="5" t="s">
        <v>8</v>
      </c>
      <c r="D9430" s="5" t="s">
        <v>1428</v>
      </c>
      <c r="E9430" s="8" t="s">
        <v>88</v>
      </c>
      <c r="F9430" s="5" t="s">
        <v>89</v>
      </c>
      <c r="G9430" s="6" t="str">
        <f>VLOOKUP(E9430,dicionario!$A$1:$C9829,2,0)</f>
        <v>Tyrannus melancolichus</v>
      </c>
      <c r="H9430" s="6" t="str">
        <f>VLOOKUP(E9430,dicionario!$A$1:$C9829,3,0)</f>
        <v>suiriri</v>
      </c>
    </row>
    <row r="9431">
      <c r="A9431" s="3">
        <v>45779.0</v>
      </c>
      <c r="B9431" s="4">
        <v>0.3472222222222222</v>
      </c>
      <c r="C9431" s="5" t="s">
        <v>8</v>
      </c>
      <c r="D9431" s="5" t="s">
        <v>1428</v>
      </c>
      <c r="E9431" s="8" t="s">
        <v>360</v>
      </c>
      <c r="F9431" s="5" t="s">
        <v>361</v>
      </c>
      <c r="G9431" s="6" t="str">
        <f>VLOOKUP(E9431,dicionario!$A$1:$C9830,2,0)</f>
        <v>Chamaecrista rotundifolia</v>
      </c>
      <c r="H9431" s="6" t="str">
        <f>VLOOKUP(E9431,dicionario!$A$1:$C9830,3,0)</f>
        <v>alfafa-nativa</v>
      </c>
    </row>
    <row r="9432">
      <c r="A9432" s="3">
        <v>45779.0</v>
      </c>
      <c r="B9432" s="4">
        <v>0.34791666666666665</v>
      </c>
      <c r="C9432" s="5" t="s">
        <v>8</v>
      </c>
      <c r="D9432" s="5" t="s">
        <v>1428</v>
      </c>
      <c r="E9432" s="8" t="s">
        <v>712</v>
      </c>
      <c r="F9432" s="5" t="s">
        <v>718</v>
      </c>
      <c r="G9432" s="6" t="str">
        <f>VLOOKUP(E9432,dicionario!$A$1:$C9831,2,0)</f>
        <v>Flavopunctelia soredica</v>
      </c>
      <c r="H9432" s="6" t="str">
        <f>VLOOKUP(E9432,dicionario!$A$1:$C9831,3,0)</f>
        <v>líquen-folioso</v>
      </c>
    </row>
    <row r="9433">
      <c r="A9433" s="3">
        <v>45779.0</v>
      </c>
      <c r="B9433" s="4">
        <v>0.34791666666666665</v>
      </c>
      <c r="C9433" s="5" t="s">
        <v>8</v>
      </c>
      <c r="D9433" s="5" t="s">
        <v>1428</v>
      </c>
      <c r="E9433" s="8" t="s">
        <v>1439</v>
      </c>
      <c r="F9433" s="5" t="s">
        <v>720</v>
      </c>
      <c r="G9433" s="6" t="str">
        <f>VLOOKUP(E9433,dicionario!$A$1:$C9832,2,0)</f>
        <v>#N/A</v>
      </c>
      <c r="H9433" s="6" t="str">
        <f>VLOOKUP(E9433,dicionario!$A$1:$C9832,3,0)</f>
        <v>#N/A</v>
      </c>
    </row>
    <row r="9434">
      <c r="A9434" s="3">
        <v>45779.0</v>
      </c>
      <c r="B9434" s="4">
        <v>0.34791666666666665</v>
      </c>
      <c r="C9434" s="5" t="s">
        <v>8</v>
      </c>
      <c r="D9434" s="5" t="s">
        <v>1428</v>
      </c>
      <c r="E9434" s="8" t="s">
        <v>107</v>
      </c>
      <c r="F9434" s="5" t="s">
        <v>834</v>
      </c>
      <c r="G9434" s="6" t="str">
        <f>VLOOKUP(E9434,dicionario!$A$1:$C9833,2,0)</f>
        <v>Ramalina complanata</v>
      </c>
      <c r="H9434" s="6" t="str">
        <f>VLOOKUP(E9434,dicionario!$A$1:$C9833,3,0)</f>
        <v>ramalina</v>
      </c>
    </row>
    <row r="9435">
      <c r="A9435" s="3">
        <v>45779.0</v>
      </c>
      <c r="B9435" s="4">
        <v>0.34791666666666665</v>
      </c>
      <c r="C9435" s="5" t="s">
        <v>8</v>
      </c>
      <c r="D9435" s="5" t="s">
        <v>1428</v>
      </c>
      <c r="E9435" s="8" t="s">
        <v>109</v>
      </c>
      <c r="F9435" s="5" t="s">
        <v>110</v>
      </c>
      <c r="G9435" s="6" t="str">
        <f>VLOOKUP(E9435,dicionario!$A$1:$C9834,2,0)</f>
        <v>Tillandsia stricta</v>
      </c>
      <c r="H9435" s="6" t="str">
        <f>VLOOKUP(E9435,dicionario!$A$1:$C9834,3,0)</f>
        <v>cravo-do-mato</v>
      </c>
    </row>
    <row r="9436">
      <c r="A9436" s="3">
        <v>45779.0</v>
      </c>
      <c r="B9436" s="4">
        <v>0.34791666666666665</v>
      </c>
      <c r="C9436" s="5" t="s">
        <v>8</v>
      </c>
      <c r="D9436" s="5" t="s">
        <v>1428</v>
      </c>
      <c r="E9436" s="8" t="s">
        <v>498</v>
      </c>
      <c r="F9436" s="5" t="s">
        <v>499</v>
      </c>
      <c r="G9436" s="6" t="str">
        <f>VLOOKUP(E9436,dicionario!$A$1:$C9835,2,0)</f>
        <v>Brachiaria decumbens</v>
      </c>
      <c r="H9436" s="6" t="str">
        <f>VLOOKUP(E9436,dicionario!$A$1:$C9835,3,0)</f>
        <v>capim-braquiária</v>
      </c>
    </row>
    <row r="9437">
      <c r="A9437" s="3">
        <v>45779.0</v>
      </c>
      <c r="B9437" s="4">
        <v>0.3486111111111111</v>
      </c>
      <c r="C9437" s="5" t="s">
        <v>8</v>
      </c>
      <c r="D9437" s="5" t="s">
        <v>1428</v>
      </c>
      <c r="E9437" s="8" t="s">
        <v>20</v>
      </c>
      <c r="F9437" s="5" t="s">
        <v>21</v>
      </c>
      <c r="G9437" s="6" t="str">
        <f>VLOOKUP(E9437,dicionario!$A$1:$C9836,2,0)</f>
        <v>Sicalis flaveola</v>
      </c>
      <c r="H9437" s="6" t="str">
        <f>VLOOKUP(E9437,dicionario!$A$1:$C9836,3,0)</f>
        <v>canário-da-terra</v>
      </c>
    </row>
    <row r="9438">
      <c r="A9438" s="3">
        <v>45779.0</v>
      </c>
      <c r="B9438" s="4">
        <v>0.35</v>
      </c>
      <c r="C9438" s="5" t="s">
        <v>8</v>
      </c>
      <c r="D9438" s="5" t="s">
        <v>1428</v>
      </c>
      <c r="E9438" s="8" t="s">
        <v>353</v>
      </c>
      <c r="F9438" s="5" t="s">
        <v>354</v>
      </c>
      <c r="G9438" s="6" t="str">
        <f>VLOOKUP(E9438,dicionario!$A$1:$C9837,2,0)</f>
        <v>Desmodium incanum</v>
      </c>
      <c r="H9438" s="6" t="str">
        <f>VLOOKUP(E9438,dicionario!$A$1:$C9837,3,0)</f>
        <v>pega-pega</v>
      </c>
    </row>
    <row r="9439">
      <c r="A9439" s="3">
        <v>45779.0</v>
      </c>
      <c r="B9439" s="4">
        <v>0.35</v>
      </c>
      <c r="C9439" s="5" t="s">
        <v>8</v>
      </c>
      <c r="D9439" s="5" t="s">
        <v>1428</v>
      </c>
      <c r="E9439" s="8" t="s">
        <v>758</v>
      </c>
      <c r="F9439" s="5" t="s">
        <v>759</v>
      </c>
      <c r="G9439" s="6" t="str">
        <f>VLOOKUP(E9439,dicionario!$A$1:$C9838,2,0)</f>
        <v>Cyperus esculentus</v>
      </c>
      <c r="H9439" s="6" t="str">
        <f>VLOOKUP(E9439,dicionario!$A$1:$C9838,3,0)</f>
        <v>tiriricão</v>
      </c>
    </row>
    <row r="9440">
      <c r="A9440" s="3">
        <v>45779.0</v>
      </c>
      <c r="B9440" s="4">
        <v>0.35</v>
      </c>
      <c r="C9440" s="5" t="s">
        <v>8</v>
      </c>
      <c r="D9440" s="5" t="s">
        <v>1428</v>
      </c>
      <c r="E9440" s="8" t="s">
        <v>298</v>
      </c>
      <c r="F9440" s="7"/>
      <c r="G9440" s="6" t="str">
        <f>VLOOKUP(E9440,dicionario!$A$1:$C9839,2,0)</f>
        <v>Alysicarpus vaginalis</v>
      </c>
      <c r="H9440" s="6" t="str">
        <f>VLOOKUP(E9440,dicionario!$A$1:$C9839,3,0)</f>
        <v/>
      </c>
    </row>
    <row r="9441">
      <c r="A9441" s="3">
        <v>45779.0</v>
      </c>
      <c r="B9441" s="4">
        <v>0.3527777777777778</v>
      </c>
      <c r="C9441" s="5" t="s">
        <v>8</v>
      </c>
      <c r="D9441" s="5" t="s">
        <v>1428</v>
      </c>
      <c r="E9441" s="8" t="s">
        <v>245</v>
      </c>
      <c r="F9441" s="5" t="s">
        <v>246</v>
      </c>
      <c r="G9441" s="6" t="str">
        <f>VLOOKUP(E9441,dicionario!$A$1:$C9840,2,0)</f>
        <v>Hemiargus hanno</v>
      </c>
      <c r="H9441" s="6" t="str">
        <f>VLOOKUP(E9441,dicionario!$A$1:$C9840,3,0)</f>
        <v>borboleta-azulzinha-do-trevo</v>
      </c>
    </row>
    <row r="9442">
      <c r="A9442" s="3">
        <v>45779.0</v>
      </c>
      <c r="B9442" s="4">
        <v>0.35347222222222224</v>
      </c>
      <c r="C9442" s="5" t="s">
        <v>8</v>
      </c>
      <c r="D9442" s="5" t="s">
        <v>1428</v>
      </c>
      <c r="E9442" s="8" t="s">
        <v>65</v>
      </c>
      <c r="F9442" s="5" t="s">
        <v>66</v>
      </c>
      <c r="G9442" s="6" t="str">
        <f>VLOOKUP(E9442,dicionario!$A$1:$C9841,2,0)</f>
        <v>Pitangus sulphutarus</v>
      </c>
      <c r="H9442" s="6" t="str">
        <f>VLOOKUP(E9442,dicionario!$A$1:$C9841,3,0)</f>
        <v>bem-te-vi</v>
      </c>
    </row>
    <row r="9443">
      <c r="A9443" s="3">
        <v>45779.0</v>
      </c>
      <c r="B9443" s="4">
        <v>0.35347222222222224</v>
      </c>
      <c r="C9443" s="5" t="s">
        <v>8</v>
      </c>
      <c r="D9443" s="5" t="s">
        <v>1428</v>
      </c>
      <c r="E9443" s="8" t="s">
        <v>909</v>
      </c>
      <c r="F9443" s="5" t="s">
        <v>910</v>
      </c>
      <c r="G9443" s="6" t="str">
        <f>VLOOKUP(E9443,dicionario!$A$1:$C9842,2,0)</f>
        <v>Chordeiles acutipennis</v>
      </c>
      <c r="H9443" s="6" t="str">
        <f>VLOOKUP(E9443,dicionario!$A$1:$C9842,3,0)</f>
        <v>bacurau-de-asa-fina</v>
      </c>
    </row>
    <row r="9444">
      <c r="A9444" s="3">
        <v>45779.0</v>
      </c>
      <c r="B9444" s="4">
        <v>0.35347222222222224</v>
      </c>
      <c r="C9444" s="5" t="s">
        <v>8</v>
      </c>
      <c r="D9444" s="5" t="s">
        <v>1428</v>
      </c>
      <c r="E9444" s="8" t="s">
        <v>113</v>
      </c>
      <c r="F9444" s="5" t="s">
        <v>114</v>
      </c>
      <c r="G9444" s="6" t="str">
        <f>VLOOKUP(E9444,dicionario!$A$1:$C9843,2,0)</f>
        <v>Columbina talpacoti</v>
      </c>
      <c r="H9444" s="6" t="str">
        <f>VLOOKUP(E9444,dicionario!$A$1:$C9843,3,0)</f>
        <v>rolinha-roxa</v>
      </c>
    </row>
    <row r="9445">
      <c r="A9445" s="3">
        <v>45785.0</v>
      </c>
      <c r="B9445" s="4">
        <v>0.2611111111111111</v>
      </c>
      <c r="C9445" s="5" t="s">
        <v>8</v>
      </c>
      <c r="D9445" s="5" t="s">
        <v>1440</v>
      </c>
      <c r="E9445" s="8" t="s">
        <v>109</v>
      </c>
      <c r="F9445" s="5" t="s">
        <v>110</v>
      </c>
      <c r="G9445" s="6" t="str">
        <f>VLOOKUP(E9445,dicionario!$A$1:$C9844,2,0)</f>
        <v>Tillandsia stricta</v>
      </c>
      <c r="H9445" s="6" t="str">
        <f>VLOOKUP(E9445,dicionario!$A$1:$C9844,3,0)</f>
        <v>cravo-do-mato</v>
      </c>
    </row>
    <row r="9446">
      <c r="A9446" s="3">
        <v>45785.0</v>
      </c>
      <c r="B9446" s="4">
        <v>0.2611111111111111</v>
      </c>
      <c r="C9446" s="5" t="s">
        <v>8</v>
      </c>
      <c r="D9446" s="5" t="s">
        <v>1440</v>
      </c>
      <c r="E9446" s="8" t="s">
        <v>191</v>
      </c>
      <c r="F9446" s="5" t="s">
        <v>1441</v>
      </c>
      <c r="G9446" s="6" t="str">
        <f>VLOOKUP(E9446,dicionario!$A$1:$C9845,2,0)</f>
        <v>Patagioenas picazuro</v>
      </c>
      <c r="H9446" s="6" t="str">
        <f>VLOOKUP(E9446,dicionario!$A$1:$C9845,3,0)</f>
        <v>asa-branca; pomba-asa-branca; pocaçu</v>
      </c>
    </row>
    <row r="9447">
      <c r="A9447" s="3">
        <v>45785.0</v>
      </c>
      <c r="B9447" s="4">
        <v>0.2611111111111111</v>
      </c>
      <c r="C9447" s="5" t="s">
        <v>8</v>
      </c>
      <c r="D9447" s="5" t="s">
        <v>1440</v>
      </c>
      <c r="E9447" s="8" t="s">
        <v>20</v>
      </c>
      <c r="F9447" s="5" t="s">
        <v>21</v>
      </c>
      <c r="G9447" s="6" t="str">
        <f>VLOOKUP(E9447,dicionario!$A$1:$C9846,2,0)</f>
        <v>Sicalis flaveola</v>
      </c>
      <c r="H9447" s="6" t="str">
        <f>VLOOKUP(E9447,dicionario!$A$1:$C9846,3,0)</f>
        <v>canário-da-terra</v>
      </c>
    </row>
    <row r="9448">
      <c r="A9448" s="3">
        <v>45785.0</v>
      </c>
      <c r="B9448" s="4">
        <v>0.26180555555555557</v>
      </c>
      <c r="C9448" s="5" t="s">
        <v>8</v>
      </c>
      <c r="D9448" s="5" t="s">
        <v>1440</v>
      </c>
      <c r="E9448" s="8" t="s">
        <v>1442</v>
      </c>
      <c r="F9448" s="5" t="s">
        <v>1443</v>
      </c>
      <c r="G9448" s="6" t="str">
        <f>VLOOKUP(E9448,dicionario!$A$1:$C9847,2,0)</f>
        <v>#N/A</v>
      </c>
      <c r="H9448" s="6" t="str">
        <f>VLOOKUP(E9448,dicionario!$A$1:$C9847,3,0)</f>
        <v>#N/A</v>
      </c>
    </row>
    <row r="9449">
      <c r="A9449" s="3">
        <v>45785.0</v>
      </c>
      <c r="B9449" s="4">
        <v>0.26180555555555557</v>
      </c>
      <c r="C9449" s="5" t="s">
        <v>8</v>
      </c>
      <c r="D9449" s="5" t="s">
        <v>1440</v>
      </c>
      <c r="E9449" s="8" t="s">
        <v>113</v>
      </c>
      <c r="F9449" s="5" t="s">
        <v>114</v>
      </c>
      <c r="G9449" s="6" t="str">
        <f>VLOOKUP(E9449,dicionario!$A$1:$C9848,2,0)</f>
        <v>Columbina talpacoti</v>
      </c>
      <c r="H9449" s="6" t="str">
        <f>VLOOKUP(E9449,dicionario!$A$1:$C9848,3,0)</f>
        <v>rolinha-roxa</v>
      </c>
    </row>
    <row r="9450">
      <c r="A9450" s="3">
        <v>45785.0</v>
      </c>
      <c r="B9450" s="4">
        <v>0.26180555555555557</v>
      </c>
      <c r="C9450" s="5" t="s">
        <v>8</v>
      </c>
      <c r="D9450" s="5" t="s">
        <v>1440</v>
      </c>
      <c r="E9450" s="8" t="s">
        <v>154</v>
      </c>
      <c r="F9450" s="5" t="s">
        <v>1444</v>
      </c>
      <c r="G9450" s="6" t="str">
        <f>VLOOKUP(E9450,dicionario!$A$1:$C9849,2,0)</f>
        <v>Cyperus rotundus</v>
      </c>
      <c r="H9450" s="6" t="str">
        <f>VLOOKUP(E9450,dicionario!$A$1:$C9849,3,0)</f>
        <v>tiririca</v>
      </c>
    </row>
    <row r="9451">
      <c r="A9451" s="3">
        <v>45785.0</v>
      </c>
      <c r="B9451" s="4">
        <v>0.26180555555555557</v>
      </c>
      <c r="C9451" s="5" t="s">
        <v>8</v>
      </c>
      <c r="D9451" s="5" t="s">
        <v>1440</v>
      </c>
      <c r="E9451" s="8" t="s">
        <v>453</v>
      </c>
      <c r="F9451" s="5" t="s">
        <v>216</v>
      </c>
      <c r="G9451" s="6" t="str">
        <f>VLOOKUP(E9451,dicionario!$A$1:$C9850,2,0)</f>
        <v>Notiochelidon cyanoleuca</v>
      </c>
      <c r="H9451" s="6" t="str">
        <f>VLOOKUP(E9451,dicionario!$A$1:$C9850,3,0)</f>
        <v>andorinha-pequena-de-casa</v>
      </c>
    </row>
    <row r="9452">
      <c r="A9452" s="3">
        <v>45785.0</v>
      </c>
      <c r="B9452" s="4">
        <v>0.26319444444444445</v>
      </c>
      <c r="C9452" s="5" t="s">
        <v>8</v>
      </c>
      <c r="D9452" s="5" t="s">
        <v>1440</v>
      </c>
      <c r="E9452" s="8" t="s">
        <v>712</v>
      </c>
      <c r="F9452" s="5" t="s">
        <v>912</v>
      </c>
      <c r="G9452" s="6" t="str">
        <f>VLOOKUP(E9452,dicionario!$A$1:$C9851,2,0)</f>
        <v>Flavopunctelia soredica</v>
      </c>
      <c r="H9452" s="6" t="str">
        <f>VLOOKUP(E9452,dicionario!$A$1:$C9851,3,0)</f>
        <v>líquen-folioso</v>
      </c>
    </row>
    <row r="9453">
      <c r="A9453" s="3">
        <v>45785.0</v>
      </c>
      <c r="B9453" s="4">
        <v>0.2638888888888889</v>
      </c>
      <c r="C9453" s="5" t="s">
        <v>8</v>
      </c>
      <c r="D9453" s="5" t="s">
        <v>1440</v>
      </c>
      <c r="E9453" s="8" t="s">
        <v>1439</v>
      </c>
      <c r="F9453" s="5" t="s">
        <v>911</v>
      </c>
      <c r="G9453" s="6" t="str">
        <f>VLOOKUP(E9453,dicionario!$A$1:$C9852,2,0)</f>
        <v>#N/A</v>
      </c>
      <c r="H9453" s="6" t="str">
        <f>VLOOKUP(E9453,dicionario!$A$1:$C9852,3,0)</f>
        <v>#N/A</v>
      </c>
    </row>
    <row r="9454">
      <c r="A9454" s="3">
        <v>45785.0</v>
      </c>
      <c r="B9454" s="4">
        <v>0.2638888888888889</v>
      </c>
      <c r="C9454" s="5" t="s">
        <v>8</v>
      </c>
      <c r="D9454" s="5" t="s">
        <v>1440</v>
      </c>
      <c r="E9454" s="8" t="s">
        <v>107</v>
      </c>
      <c r="F9454" s="5" t="s">
        <v>108</v>
      </c>
      <c r="G9454" s="6" t="str">
        <f>VLOOKUP(E9454,dicionario!$A$1:$C9853,2,0)</f>
        <v>Ramalina complanata</v>
      </c>
      <c r="H9454" s="6" t="str">
        <f>VLOOKUP(E9454,dicionario!$A$1:$C9853,3,0)</f>
        <v>ramalina</v>
      </c>
    </row>
    <row r="9455">
      <c r="A9455" s="3">
        <v>45785.0</v>
      </c>
      <c r="B9455" s="4">
        <v>0.2652777777777778</v>
      </c>
      <c r="C9455" s="5" t="s">
        <v>8</v>
      </c>
      <c r="D9455" s="5" t="s">
        <v>1440</v>
      </c>
      <c r="E9455" s="8" t="s">
        <v>1024</v>
      </c>
      <c r="F9455" s="5" t="s">
        <v>969</v>
      </c>
      <c r="G9455" s="6" t="str">
        <f>VLOOKUP(E9455,dicionario!$A$1:$C9854,2,0)</f>
        <v>Usnea barbata</v>
      </c>
      <c r="H9455" s="6" t="str">
        <f>VLOOKUP(E9455,dicionario!$A$1:$C9854,3,0)</f>
        <v>barba-de-velho</v>
      </c>
    </row>
    <row r="9456">
      <c r="A9456" s="3">
        <v>45785.0</v>
      </c>
      <c r="B9456" s="4">
        <v>0.2652777777777778</v>
      </c>
      <c r="C9456" s="5" t="s">
        <v>8</v>
      </c>
      <c r="D9456" s="5" t="s">
        <v>1440</v>
      </c>
      <c r="E9456" s="8" t="s">
        <v>177</v>
      </c>
      <c r="F9456" s="5" t="s">
        <v>178</v>
      </c>
      <c r="G9456" s="6" t="str">
        <f>VLOOKUP(E9456,dicionario!$A$1:$C9855,2,0)</f>
        <v>Elaenia flavogaster</v>
      </c>
      <c r="H9456" s="6" t="str">
        <f>VLOOKUP(E9456,dicionario!$A$1:$C9855,3,0)</f>
        <v>guaracava-de-barriga-amarela</v>
      </c>
    </row>
    <row r="9457">
      <c r="A9457" s="3">
        <v>45785.0</v>
      </c>
      <c r="B9457" s="4">
        <v>0.2652777777777778</v>
      </c>
      <c r="C9457" s="5" t="s">
        <v>8</v>
      </c>
      <c r="D9457" s="5" t="s">
        <v>1440</v>
      </c>
      <c r="E9457" s="8" t="s">
        <v>46</v>
      </c>
      <c r="F9457" s="5" t="s">
        <v>47</v>
      </c>
      <c r="G9457" s="6" t="str">
        <f>VLOOKUP(E9457,dicionario!$A$1:$C9856,2,0)</f>
        <v>Chionomesa fimbriata</v>
      </c>
      <c r="H9457" s="6" t="str">
        <f>VLOOKUP(E9457,dicionario!$A$1:$C9856,3,0)</f>
        <v>beija-flor-de-garganta-verde</v>
      </c>
    </row>
    <row r="9458">
      <c r="A9458" s="3">
        <v>45785.0</v>
      </c>
      <c r="B9458" s="4">
        <v>0.2652777777777778</v>
      </c>
      <c r="C9458" s="5" t="s">
        <v>8</v>
      </c>
      <c r="D9458" s="5" t="s">
        <v>1440</v>
      </c>
      <c r="E9458" s="8" t="s">
        <v>38</v>
      </c>
      <c r="F9458" s="5" t="s">
        <v>1251</v>
      </c>
      <c r="G9458" s="6" t="str">
        <f>VLOOKUP(E9458,dicionario!$A$1:$C9857,2,0)</f>
        <v>Troglodytes musculus</v>
      </c>
      <c r="H9458" s="6" t="str">
        <f>VLOOKUP(E9458,dicionario!$A$1:$C9857,3,0)</f>
        <v>curruíra</v>
      </c>
    </row>
    <row r="9459">
      <c r="A9459" s="3">
        <v>45785.0</v>
      </c>
      <c r="B9459" s="4">
        <v>0.26666666666666666</v>
      </c>
      <c r="C9459" s="5" t="s">
        <v>8</v>
      </c>
      <c r="D9459" s="5" t="s">
        <v>1440</v>
      </c>
      <c r="E9459" s="8" t="s">
        <v>163</v>
      </c>
      <c r="F9459" s="5" t="s">
        <v>164</v>
      </c>
      <c r="G9459" s="6" t="str">
        <f>VLOOKUP(E9459,dicionario!$A$1:$C9858,2,0)</f>
        <v>Coragyps atratus</v>
      </c>
      <c r="H9459" s="6" t="str">
        <f>VLOOKUP(E9459,dicionario!$A$1:$C9858,3,0)</f>
        <v>urubu-de-cabeça-preta</v>
      </c>
    </row>
    <row r="9460">
      <c r="A9460" s="3">
        <v>45785.0</v>
      </c>
      <c r="B9460" s="4">
        <v>0.26666666666666666</v>
      </c>
      <c r="C9460" s="5" t="s">
        <v>8</v>
      </c>
      <c r="D9460" s="5" t="s">
        <v>1440</v>
      </c>
      <c r="E9460" s="8" t="s">
        <v>72</v>
      </c>
      <c r="F9460" s="5" t="s">
        <v>73</v>
      </c>
      <c r="G9460" s="6" t="str">
        <f>VLOOKUP(E9460,dicionario!$A$1:$C9859,2,0)</f>
        <v>Thraupis palmarum</v>
      </c>
      <c r="H9460" s="6" t="str">
        <f>VLOOKUP(E9460,dicionario!$A$1:$C9859,3,0)</f>
        <v>sanhaço-do-coqueiro</v>
      </c>
    </row>
    <row r="9461">
      <c r="A9461" s="3">
        <v>45785.0</v>
      </c>
      <c r="B9461" s="4">
        <v>0.26666666666666666</v>
      </c>
      <c r="C9461" s="5" t="s">
        <v>8</v>
      </c>
      <c r="D9461" s="5" t="s">
        <v>1440</v>
      </c>
      <c r="E9461" s="8" t="s">
        <v>16</v>
      </c>
      <c r="F9461" s="5" t="s">
        <v>17</v>
      </c>
      <c r="G9461" s="6" t="str">
        <f>VLOOKUP(E9461,dicionario!$A$1:$C9860,2,0)</f>
        <v>Eupetomena macroura</v>
      </c>
      <c r="H9461" s="6" t="str">
        <f>VLOOKUP(E9461,dicionario!$A$1:$C9860,3,0)</f>
        <v>beija-flor-tesoura</v>
      </c>
    </row>
    <row r="9462">
      <c r="A9462" s="3">
        <v>45785.0</v>
      </c>
      <c r="B9462" s="4">
        <v>0.2673611111111111</v>
      </c>
      <c r="C9462" s="5" t="s">
        <v>8</v>
      </c>
      <c r="D9462" s="5" t="s">
        <v>1440</v>
      </c>
      <c r="E9462" s="8" t="s">
        <v>909</v>
      </c>
      <c r="F9462" s="5" t="s">
        <v>910</v>
      </c>
      <c r="G9462" s="6" t="str">
        <f>VLOOKUP(E9462,dicionario!$A$1:$C9861,2,0)</f>
        <v>Chordeiles acutipennis</v>
      </c>
      <c r="H9462" s="6" t="str">
        <f>VLOOKUP(E9462,dicionario!$A$1:$C9861,3,0)</f>
        <v>bacurau-de-asa-fina</v>
      </c>
    </row>
    <row r="9463">
      <c r="A9463" s="3">
        <v>45785.0</v>
      </c>
      <c r="B9463" s="4">
        <v>0.2673611111111111</v>
      </c>
      <c r="C9463" s="5" t="s">
        <v>8</v>
      </c>
      <c r="D9463" s="5" t="s">
        <v>1440</v>
      </c>
      <c r="E9463" s="8" t="s">
        <v>103</v>
      </c>
      <c r="F9463" s="5" t="s">
        <v>104</v>
      </c>
      <c r="G9463" s="6" t="str">
        <f>VLOOKUP(E9463,dicionario!$A$1:$C9862,2,0)</f>
        <v>Caracara plancus</v>
      </c>
      <c r="H9463" s="6" t="str">
        <f>VLOOKUP(E9463,dicionario!$A$1:$C9862,3,0)</f>
        <v>carcará </v>
      </c>
    </row>
    <row r="9464">
      <c r="A9464" s="3">
        <v>45785.0</v>
      </c>
      <c r="B9464" s="4">
        <v>0.26805555555555555</v>
      </c>
      <c r="C9464" s="5" t="s">
        <v>26</v>
      </c>
      <c r="D9464" s="5" t="s">
        <v>1440</v>
      </c>
      <c r="E9464" s="8" t="s">
        <v>217</v>
      </c>
      <c r="F9464" s="5" t="s">
        <v>218</v>
      </c>
      <c r="G9464" s="6" t="str">
        <f>VLOOKUP(E9464,dicionario!$A$1:$C9863,2,0)</f>
        <v>Athene cunicularia</v>
      </c>
      <c r="H9464" s="6" t="str">
        <f>VLOOKUP(E9464,dicionario!$A$1:$C9863,3,0)</f>
        <v>coruja-buraqueira</v>
      </c>
    </row>
    <row r="9465">
      <c r="A9465" s="3">
        <v>45785.0</v>
      </c>
      <c r="B9465" s="4">
        <v>0.26805555555555555</v>
      </c>
      <c r="C9465" s="5" t="s">
        <v>26</v>
      </c>
      <c r="D9465" s="5" t="s">
        <v>1440</v>
      </c>
      <c r="E9465" s="8" t="s">
        <v>60</v>
      </c>
      <c r="F9465" s="5" t="s">
        <v>61</v>
      </c>
      <c r="G9465" s="6" t="str">
        <f>VLOOKUP(E9465,dicionario!$A$1:$C9864,2,0)</f>
        <v>Vanellus chilensis</v>
      </c>
      <c r="H9465" s="6" t="str">
        <f>VLOOKUP(E9465,dicionario!$A$1:$C9864,3,0)</f>
        <v>quero-quero</v>
      </c>
    </row>
    <row r="9466">
      <c r="A9466" s="3">
        <v>45785.0</v>
      </c>
      <c r="B9466" s="4">
        <v>0.26805555555555555</v>
      </c>
      <c r="C9466" s="5" t="s">
        <v>26</v>
      </c>
      <c r="D9466" s="5" t="s">
        <v>1440</v>
      </c>
      <c r="E9466" s="8" t="s">
        <v>65</v>
      </c>
      <c r="F9466" s="5" t="s">
        <v>66</v>
      </c>
      <c r="G9466" s="6" t="str">
        <f>VLOOKUP(E9466,dicionario!$A$1:$C9865,2,0)</f>
        <v>Pitangus sulphutarus</v>
      </c>
      <c r="H9466" s="6" t="str">
        <f>VLOOKUP(E9466,dicionario!$A$1:$C9865,3,0)</f>
        <v>bem-te-vi</v>
      </c>
    </row>
    <row r="9467">
      <c r="A9467" s="3">
        <v>45785.0</v>
      </c>
      <c r="B9467" s="4">
        <v>0.26875</v>
      </c>
      <c r="C9467" s="5" t="s">
        <v>26</v>
      </c>
      <c r="D9467" s="5" t="s">
        <v>1440</v>
      </c>
      <c r="E9467" s="8" t="s">
        <v>72</v>
      </c>
      <c r="F9467" s="5" t="s">
        <v>73</v>
      </c>
      <c r="G9467" s="6" t="str">
        <f>VLOOKUP(E9467,dicionario!$A$1:$C9866,2,0)</f>
        <v>Thraupis palmarum</v>
      </c>
      <c r="H9467" s="6" t="str">
        <f>VLOOKUP(E9467,dicionario!$A$1:$C9866,3,0)</f>
        <v>sanhaço-do-coqueiro</v>
      </c>
    </row>
    <row r="9468">
      <c r="A9468" s="3">
        <v>45785.0</v>
      </c>
      <c r="B9468" s="4">
        <v>0.26875</v>
      </c>
      <c r="C9468" s="5" t="s">
        <v>26</v>
      </c>
      <c r="D9468" s="5" t="s">
        <v>1440</v>
      </c>
      <c r="E9468" s="8" t="s">
        <v>135</v>
      </c>
      <c r="F9468" s="5" t="s">
        <v>136</v>
      </c>
      <c r="G9468" s="6" t="str">
        <f>VLOOKUP(E9468,dicionario!$A$1:$C9867,2,0)</f>
        <v>Tridax procumbens</v>
      </c>
      <c r="H9468" s="6" t="str">
        <f>VLOOKUP(E9468,dicionario!$A$1:$C9867,3,0)</f>
        <v>erva-de-touro</v>
      </c>
    </row>
    <row r="9469">
      <c r="A9469" s="3">
        <v>45785.0</v>
      </c>
      <c r="B9469" s="4">
        <v>0.26944444444444443</v>
      </c>
      <c r="C9469" s="5" t="s">
        <v>26</v>
      </c>
      <c r="D9469" s="5" t="s">
        <v>1440</v>
      </c>
      <c r="E9469" s="8" t="s">
        <v>732</v>
      </c>
      <c r="F9469" s="7"/>
      <c r="G9469" s="6" t="str">
        <f>VLOOKUP(E9469,dicionario!$A$1:$C9868,2,0)</f>
        <v>#N/A</v>
      </c>
      <c r="H9469" s="6" t="str">
        <f>VLOOKUP(E9469,dicionario!$A$1:$C9868,3,0)</f>
        <v>#N/A</v>
      </c>
    </row>
    <row r="9470">
      <c r="A9470" s="3">
        <v>45785.0</v>
      </c>
      <c r="B9470" s="4">
        <v>0.26944444444444443</v>
      </c>
      <c r="C9470" s="5" t="s">
        <v>26</v>
      </c>
      <c r="D9470" s="5" t="s">
        <v>1440</v>
      </c>
      <c r="E9470" s="8" t="s">
        <v>191</v>
      </c>
      <c r="F9470" s="5" t="s">
        <v>192</v>
      </c>
      <c r="G9470" s="6" t="str">
        <f>VLOOKUP(E9470,dicionario!$A$1:$C9869,2,0)</f>
        <v>Patagioenas picazuro</v>
      </c>
      <c r="H9470" s="6" t="str">
        <f>VLOOKUP(E9470,dicionario!$A$1:$C9869,3,0)</f>
        <v>asa-branca; pomba-asa-branca; pocaçu</v>
      </c>
    </row>
    <row r="9471">
      <c r="A9471" s="3">
        <v>45785.0</v>
      </c>
      <c r="B9471" s="4">
        <v>0.2701388888888889</v>
      </c>
      <c r="C9471" s="5" t="s">
        <v>26</v>
      </c>
      <c r="D9471" s="5" t="s">
        <v>1440</v>
      </c>
      <c r="E9471" s="8" t="s">
        <v>360</v>
      </c>
      <c r="F9471" s="5" t="s">
        <v>361</v>
      </c>
      <c r="G9471" s="6" t="str">
        <f>VLOOKUP(E9471,dicionario!$A$1:$C9870,2,0)</f>
        <v>Chamaecrista rotundifolia</v>
      </c>
      <c r="H9471" s="6" t="str">
        <f>VLOOKUP(E9471,dicionario!$A$1:$C9870,3,0)</f>
        <v>alfafa-nativa</v>
      </c>
    </row>
    <row r="9472">
      <c r="A9472" s="3">
        <v>45785.0</v>
      </c>
      <c r="B9472" s="4">
        <v>0.2701388888888889</v>
      </c>
      <c r="C9472" s="5" t="s">
        <v>26</v>
      </c>
      <c r="D9472" s="5" t="s">
        <v>1440</v>
      </c>
      <c r="E9472" s="8" t="s">
        <v>146</v>
      </c>
      <c r="F9472" s="5" t="s">
        <v>147</v>
      </c>
      <c r="G9472" s="6" t="str">
        <f>VLOOKUP(E9472,dicionario!$A$1:$C9871,2,0)</f>
        <v>Euphorbia hirta</v>
      </c>
      <c r="H9472" s="6" t="str">
        <f>VLOOKUP(E9472,dicionario!$A$1:$C9871,3,0)</f>
        <v>erva-de-santa-luzia</v>
      </c>
    </row>
    <row r="9473">
      <c r="A9473" s="3">
        <v>45785.0</v>
      </c>
      <c r="B9473" s="4">
        <v>0.2701388888888889</v>
      </c>
      <c r="C9473" s="5" t="s">
        <v>26</v>
      </c>
      <c r="D9473" s="5" t="s">
        <v>1440</v>
      </c>
      <c r="E9473" s="8" t="s">
        <v>154</v>
      </c>
      <c r="F9473" s="5" t="s">
        <v>155</v>
      </c>
      <c r="G9473" s="6" t="str">
        <f>VLOOKUP(E9473,dicionario!$A$1:$C9872,2,0)</f>
        <v>Cyperus rotundus</v>
      </c>
      <c r="H9473" s="6" t="str">
        <f>VLOOKUP(E9473,dicionario!$A$1:$C9872,3,0)</f>
        <v>tiririca</v>
      </c>
    </row>
    <row r="9474">
      <c r="A9474" s="3">
        <v>45785.0</v>
      </c>
      <c r="B9474" s="4">
        <v>0.2701388888888889</v>
      </c>
      <c r="C9474" s="5" t="s">
        <v>26</v>
      </c>
      <c r="D9474" s="5" t="s">
        <v>1440</v>
      </c>
      <c r="E9474" s="20" t="s">
        <v>676</v>
      </c>
      <c r="F9474" s="5" t="s">
        <v>677</v>
      </c>
      <c r="G9474" s="6" t="str">
        <f>VLOOKUP(E9474,dicionario!$A$1:$C9873,2,0)</f>
        <v>Zornia latifolia</v>
      </c>
      <c r="H9474" s="6" t="str">
        <f>VLOOKUP(E9474,dicionario!$A$1:$C9873,3,0)</f>
        <v>arrozinho-do-campo</v>
      </c>
    </row>
    <row r="9475">
      <c r="A9475" s="3">
        <v>45785.0</v>
      </c>
      <c r="B9475" s="4">
        <v>0.2701388888888889</v>
      </c>
      <c r="C9475" s="5" t="s">
        <v>26</v>
      </c>
      <c r="D9475" s="5" t="s">
        <v>1440</v>
      </c>
      <c r="E9475" s="8" t="s">
        <v>353</v>
      </c>
      <c r="F9475" s="5" t="s">
        <v>354</v>
      </c>
      <c r="G9475" s="6" t="str">
        <f>VLOOKUP(E9475,dicionario!$A$1:$C9874,2,0)</f>
        <v>Desmodium incanum</v>
      </c>
      <c r="H9475" s="6" t="str">
        <f>VLOOKUP(E9475,dicionario!$A$1:$C9874,3,0)</f>
        <v>pega-pega</v>
      </c>
    </row>
    <row r="9476">
      <c r="A9476" s="3">
        <v>45785.0</v>
      </c>
      <c r="B9476" s="4">
        <v>0.2701388888888889</v>
      </c>
      <c r="C9476" s="5" t="s">
        <v>26</v>
      </c>
      <c r="D9476" s="5" t="s">
        <v>1440</v>
      </c>
      <c r="E9476" s="8" t="s">
        <v>358</v>
      </c>
      <c r="F9476" s="5" t="s">
        <v>472</v>
      </c>
      <c r="G9476" s="6" t="str">
        <f>VLOOKUP(E9476,dicionario!$A$1:$C9875,2,0)</f>
        <v>Sida</v>
      </c>
      <c r="H9476" s="6" t="str">
        <f>VLOOKUP(E9476,dicionario!$A$1:$C9875,3,0)</f>
        <v/>
      </c>
    </row>
    <row r="9477">
      <c r="A9477" s="3">
        <v>45785.0</v>
      </c>
      <c r="B9477" s="4">
        <v>0.2701388888888889</v>
      </c>
      <c r="C9477" s="5" t="s">
        <v>26</v>
      </c>
      <c r="D9477" s="5" t="s">
        <v>1440</v>
      </c>
      <c r="E9477" s="8" t="s">
        <v>22</v>
      </c>
      <c r="F9477" s="5" t="s">
        <v>97</v>
      </c>
      <c r="G9477" s="6" t="str">
        <f>VLOOKUP(E9477,dicionario!$A$1:$C9876,2,0)</f>
        <v>Zenaida auriculata</v>
      </c>
      <c r="H9477" s="6" t="str">
        <f>VLOOKUP(E9477,dicionario!$A$1:$C9876,3,0)</f>
        <v>pomba-de-bando; avoante</v>
      </c>
    </row>
    <row r="9478">
      <c r="A9478" s="3">
        <v>45785.0</v>
      </c>
      <c r="B9478" s="4">
        <v>0.2701388888888889</v>
      </c>
      <c r="C9478" s="5" t="s">
        <v>26</v>
      </c>
      <c r="D9478" s="5" t="s">
        <v>1440</v>
      </c>
      <c r="E9478" s="8" t="s">
        <v>498</v>
      </c>
      <c r="F9478" s="5" t="s">
        <v>499</v>
      </c>
      <c r="G9478" s="6" t="str">
        <f>VLOOKUP(E9478,dicionario!$A$1:$C9877,2,0)</f>
        <v>Brachiaria decumbens</v>
      </c>
      <c r="H9478" s="6" t="str">
        <f>VLOOKUP(E9478,dicionario!$A$1:$C9877,3,0)</f>
        <v>capim-braquiária</v>
      </c>
    </row>
    <row r="9479">
      <c r="A9479" s="3">
        <v>45785.0</v>
      </c>
      <c r="B9479" s="4">
        <v>0.2708333333333333</v>
      </c>
      <c r="C9479" s="5" t="s">
        <v>26</v>
      </c>
      <c r="D9479" s="5" t="s">
        <v>1440</v>
      </c>
      <c r="E9479" s="8" t="s">
        <v>453</v>
      </c>
      <c r="F9479" s="5" t="s">
        <v>216</v>
      </c>
      <c r="G9479" s="6" t="str">
        <f>VLOOKUP(E9479,dicionario!$A$1:$C9878,2,0)</f>
        <v>Notiochelidon cyanoleuca</v>
      </c>
      <c r="H9479" s="6" t="str">
        <f>VLOOKUP(E9479,dicionario!$A$1:$C9878,3,0)</f>
        <v>andorinha-pequena-de-casa</v>
      </c>
    </row>
    <row r="9480">
      <c r="A9480" s="3">
        <v>45785.0</v>
      </c>
      <c r="B9480" s="4">
        <v>0.27152777777777776</v>
      </c>
      <c r="C9480" s="5" t="s">
        <v>26</v>
      </c>
      <c r="D9480" s="5" t="s">
        <v>1440</v>
      </c>
      <c r="E9480" s="8" t="s">
        <v>1373</v>
      </c>
      <c r="F9480" s="5" t="s">
        <v>1445</v>
      </c>
      <c r="G9480" s="6" t="str">
        <f>VLOOKUP(E9480,dicionario!$A$1:$C9879,2,0)</f>
        <v>Ardea alba</v>
      </c>
      <c r="H9480" s="6" t="str">
        <f>VLOOKUP(E9480,dicionario!$A$1:$C9879,3,0)</f>
        <v>garça-branca-grande</v>
      </c>
    </row>
    <row r="9481">
      <c r="A9481" s="3">
        <v>45785.0</v>
      </c>
      <c r="B9481" s="4">
        <v>0.27152777777777776</v>
      </c>
      <c r="C9481" s="5" t="s">
        <v>26</v>
      </c>
      <c r="D9481" s="5" t="s">
        <v>1440</v>
      </c>
      <c r="E9481" s="8" t="s">
        <v>372</v>
      </c>
      <c r="F9481" s="5" t="s">
        <v>373</v>
      </c>
      <c r="G9481" s="6" t="str">
        <f>VLOOKUP(E9481,dicionario!$A$1:$C9880,2,0)</f>
        <v>Rupornis magnirostris</v>
      </c>
      <c r="H9481" s="6" t="str">
        <f>VLOOKUP(E9481,dicionario!$A$1:$C9880,3,0)</f>
        <v>gavião-carijó</v>
      </c>
    </row>
    <row r="9482">
      <c r="A9482" s="3">
        <v>45785.0</v>
      </c>
      <c r="B9482" s="4">
        <v>0.2722222222222222</v>
      </c>
      <c r="C9482" s="5" t="s">
        <v>26</v>
      </c>
      <c r="D9482" s="5" t="s">
        <v>1440</v>
      </c>
      <c r="E9482" s="8" t="s">
        <v>88</v>
      </c>
      <c r="F9482" s="5" t="s">
        <v>89</v>
      </c>
      <c r="G9482" s="6" t="str">
        <f>VLOOKUP(E9482,dicionario!$A$1:$C9881,2,0)</f>
        <v>Tyrannus melancolichus</v>
      </c>
      <c r="H9482" s="6" t="str">
        <f>VLOOKUP(E9482,dicionario!$A$1:$C9881,3,0)</f>
        <v>suiriri</v>
      </c>
    </row>
    <row r="9483">
      <c r="A9483" s="3">
        <v>45785.0</v>
      </c>
      <c r="B9483" s="4">
        <v>0.2722222222222222</v>
      </c>
      <c r="C9483" s="5" t="s">
        <v>26</v>
      </c>
      <c r="D9483" s="5" t="s">
        <v>1440</v>
      </c>
      <c r="E9483" s="8" t="s">
        <v>109</v>
      </c>
      <c r="F9483" s="5" t="s">
        <v>110</v>
      </c>
      <c r="G9483" s="6" t="str">
        <f>VLOOKUP(E9483,dicionario!$A$1:$C9882,2,0)</f>
        <v>Tillandsia stricta</v>
      </c>
      <c r="H9483" s="6" t="str">
        <f>VLOOKUP(E9483,dicionario!$A$1:$C9882,3,0)</f>
        <v>cravo-do-mato</v>
      </c>
    </row>
    <row r="9484">
      <c r="A9484" s="3">
        <v>45785.0</v>
      </c>
      <c r="B9484" s="4">
        <v>0.27291666666666664</v>
      </c>
      <c r="C9484" s="5" t="s">
        <v>26</v>
      </c>
      <c r="D9484" s="5" t="s">
        <v>1440</v>
      </c>
      <c r="E9484" s="8" t="s">
        <v>639</v>
      </c>
      <c r="F9484" s="5" t="s">
        <v>640</v>
      </c>
      <c r="G9484" s="6" t="str">
        <f>VLOOKUP(E9484,dicionario!$A$1:$C9883,2,0)</f>
        <v>Egretta thula</v>
      </c>
      <c r="H9484" s="6" t="str">
        <f>VLOOKUP(E9484,dicionario!$A$1:$C9883,3,0)</f>
        <v>garça-branca-pequena</v>
      </c>
    </row>
    <row r="9485">
      <c r="A9485" s="3">
        <v>45785.0</v>
      </c>
      <c r="B9485" s="4">
        <v>0.27291666666666664</v>
      </c>
      <c r="C9485" s="5" t="s">
        <v>26</v>
      </c>
      <c r="D9485" s="5" t="s">
        <v>1440</v>
      </c>
      <c r="E9485" s="6" t="s">
        <v>366</v>
      </c>
      <c r="F9485" s="5" t="s">
        <v>367</v>
      </c>
      <c r="G9485" s="6" t="str">
        <f>VLOOKUP(E9485,dicionario!$A$1:$C9884,2,0)</f>
        <v>Alternanthera ficoidea</v>
      </c>
      <c r="H9485" s="6" t="str">
        <f>VLOOKUP(E9485,dicionario!$A$1:$C9884,3,0)</f>
        <v>quebra-panela</v>
      </c>
    </row>
    <row r="9486">
      <c r="A9486" s="3">
        <v>45785.0</v>
      </c>
      <c r="B9486" s="4">
        <v>0.27291666666666664</v>
      </c>
      <c r="C9486" s="5" t="s">
        <v>26</v>
      </c>
      <c r="D9486" s="5" t="s">
        <v>1440</v>
      </c>
      <c r="E9486" s="8" t="s">
        <v>253</v>
      </c>
      <c r="F9486" s="5" t="s">
        <v>254</v>
      </c>
      <c r="G9486" s="6" t="str">
        <f>VLOOKUP(E9486,dicionario!$A$1:$C9885,2,0)</f>
        <v>Panicum maximum</v>
      </c>
      <c r="H9486" s="6" t="str">
        <f>VLOOKUP(E9486,dicionario!$A$1:$C9885,3,0)</f>
        <v>capim-colonião</v>
      </c>
    </row>
    <row r="9487">
      <c r="A9487" s="3">
        <v>45785.0</v>
      </c>
      <c r="B9487" s="4">
        <v>0.27291666666666664</v>
      </c>
      <c r="C9487" s="5" t="s">
        <v>26</v>
      </c>
      <c r="D9487" s="5" t="s">
        <v>1440</v>
      </c>
      <c r="E9487" s="8" t="s">
        <v>239</v>
      </c>
      <c r="F9487" s="5" t="s">
        <v>240</v>
      </c>
      <c r="G9487" s="6" t="str">
        <f>VLOOKUP(E9487,dicionario!$A$1:$C9886,2,0)</f>
        <v>Gomphrena celosioides</v>
      </c>
      <c r="H9487" s="6" t="str">
        <f>VLOOKUP(E9487,dicionario!$A$1:$C9886,3,0)</f>
        <v>perpétua-branca</v>
      </c>
    </row>
    <row r="9488">
      <c r="A9488" s="3">
        <v>45785.0</v>
      </c>
      <c r="B9488" s="4">
        <v>0.27361111111111114</v>
      </c>
      <c r="C9488" s="5" t="s">
        <v>26</v>
      </c>
      <c r="D9488" s="5" t="s">
        <v>1440</v>
      </c>
      <c r="E9488" s="12" t="s">
        <v>243</v>
      </c>
      <c r="F9488" s="5" t="s">
        <v>244</v>
      </c>
      <c r="G9488" s="6" t="str">
        <f>VLOOKUP(E9488,dicionario!$A$1:$C9887,2,0)</f>
        <v>Macroptilium atropurpureum</v>
      </c>
      <c r="H9488" s="6" t="str">
        <f>VLOOKUP(E9488,dicionario!$A$1:$C9887,3,0)</f>
        <v>feijão-de-pombo</v>
      </c>
    </row>
    <row r="9489">
      <c r="A9489" s="3">
        <v>45785.0</v>
      </c>
      <c r="B9489" s="4">
        <v>0.27361111111111114</v>
      </c>
      <c r="C9489" s="5" t="s">
        <v>26</v>
      </c>
      <c r="D9489" s="5" t="s">
        <v>1440</v>
      </c>
      <c r="E9489" s="8" t="s">
        <v>20</v>
      </c>
      <c r="F9489" s="5" t="s">
        <v>21</v>
      </c>
      <c r="G9489" s="6" t="str">
        <f>VLOOKUP(E9489,dicionario!$A$1:$C9888,2,0)</f>
        <v>Sicalis flaveola</v>
      </c>
      <c r="H9489" s="6" t="str">
        <f>VLOOKUP(E9489,dicionario!$A$1:$C9888,3,0)</f>
        <v>canário-da-terra</v>
      </c>
    </row>
    <row r="9490">
      <c r="A9490" s="3">
        <v>45785.0</v>
      </c>
      <c r="B9490" s="4">
        <v>0.27361111111111114</v>
      </c>
      <c r="C9490" s="5" t="s">
        <v>26</v>
      </c>
      <c r="D9490" s="5" t="s">
        <v>1440</v>
      </c>
      <c r="E9490" s="6" t="s">
        <v>251</v>
      </c>
      <c r="F9490" s="5" t="s">
        <v>252</v>
      </c>
      <c r="G9490" s="6" t="str">
        <f>VLOOKUP(E9490,dicionario!$A$1:$C9889,2,0)</f>
        <v>Struthanthus flexicaulis</v>
      </c>
      <c r="H9490" s="6" t="str">
        <f>VLOOKUP(E9490,dicionario!$A$1:$C9889,3,0)</f>
        <v>erva-de-passarinho</v>
      </c>
    </row>
    <row r="9491">
      <c r="A9491" s="3">
        <v>45785.0</v>
      </c>
      <c r="B9491" s="4">
        <v>0.27361111111111114</v>
      </c>
      <c r="C9491" s="5" t="s">
        <v>26</v>
      </c>
      <c r="D9491" s="5" t="s">
        <v>1440</v>
      </c>
      <c r="E9491" s="8" t="s">
        <v>712</v>
      </c>
      <c r="F9491" s="5" t="s">
        <v>718</v>
      </c>
      <c r="G9491" s="6" t="str">
        <f>VLOOKUP(E9491,dicionario!$A$1:$C9890,2,0)</f>
        <v>Flavopunctelia soredica</v>
      </c>
      <c r="H9491" s="6" t="str">
        <f>VLOOKUP(E9491,dicionario!$A$1:$C9890,3,0)</f>
        <v>líquen-folioso</v>
      </c>
    </row>
    <row r="9492">
      <c r="A9492" s="3">
        <v>45785.0</v>
      </c>
      <c r="B9492" s="4">
        <v>0.27361111111111114</v>
      </c>
      <c r="C9492" s="5" t="s">
        <v>26</v>
      </c>
      <c r="D9492" s="5" t="s">
        <v>1440</v>
      </c>
      <c r="E9492" s="8" t="s">
        <v>719</v>
      </c>
      <c r="F9492" s="5" t="s">
        <v>720</v>
      </c>
      <c r="G9492" s="6" t="str">
        <f>VLOOKUP(E9492,dicionario!$A$1:$C9891,2,0)</f>
        <v>Dirinaria</v>
      </c>
      <c r="H9492" s="6" t="str">
        <f>VLOOKUP(E9492,dicionario!$A$1:$C9891,3,0)</f>
        <v>líquen-crostoso</v>
      </c>
    </row>
    <row r="9493">
      <c r="A9493" s="3">
        <v>45785.0</v>
      </c>
      <c r="B9493" s="4">
        <v>0.275</v>
      </c>
      <c r="C9493" s="5" t="s">
        <v>33</v>
      </c>
      <c r="D9493" s="5" t="s">
        <v>1440</v>
      </c>
      <c r="E9493" s="8" t="s">
        <v>109</v>
      </c>
      <c r="F9493" s="5" t="s">
        <v>110</v>
      </c>
      <c r="G9493" s="6" t="str">
        <f>VLOOKUP(E9493,dicionario!$A$1:$C9892,2,0)</f>
        <v>Tillandsia stricta</v>
      </c>
      <c r="H9493" s="6" t="str">
        <f>VLOOKUP(E9493,dicionario!$A$1:$C9892,3,0)</f>
        <v>cravo-do-mato</v>
      </c>
    </row>
    <row r="9494">
      <c r="A9494" s="3">
        <v>45785.0</v>
      </c>
      <c r="B9494" s="4">
        <v>0.275</v>
      </c>
      <c r="C9494" s="5" t="s">
        <v>33</v>
      </c>
      <c r="D9494" s="5" t="s">
        <v>1440</v>
      </c>
      <c r="E9494" s="8" t="s">
        <v>353</v>
      </c>
      <c r="F9494" s="5" t="s">
        <v>354</v>
      </c>
      <c r="G9494" s="6" t="str">
        <f>VLOOKUP(E9494,dicionario!$A$1:$C9893,2,0)</f>
        <v>Desmodium incanum</v>
      </c>
      <c r="H9494" s="6" t="str">
        <f>VLOOKUP(E9494,dicionario!$A$1:$C9893,3,0)</f>
        <v>pega-pega</v>
      </c>
    </row>
    <row r="9495">
      <c r="A9495" s="3">
        <v>45785.0</v>
      </c>
      <c r="B9495" s="4">
        <v>0.2763888888888889</v>
      </c>
      <c r="C9495" s="5" t="s">
        <v>33</v>
      </c>
      <c r="D9495" s="5" t="s">
        <v>1440</v>
      </c>
      <c r="E9495" s="8" t="s">
        <v>65</v>
      </c>
      <c r="F9495" s="5" t="s">
        <v>66</v>
      </c>
      <c r="G9495" s="6" t="str">
        <f>VLOOKUP(E9495,dicionario!$A$1:$C9894,2,0)</f>
        <v>Pitangus sulphutarus</v>
      </c>
      <c r="H9495" s="6" t="str">
        <f>VLOOKUP(E9495,dicionario!$A$1:$C9894,3,0)</f>
        <v>bem-te-vi</v>
      </c>
    </row>
    <row r="9496">
      <c r="A9496" s="3">
        <v>45785.0</v>
      </c>
      <c r="B9496" s="4">
        <v>0.2763888888888889</v>
      </c>
      <c r="C9496" s="5" t="s">
        <v>33</v>
      </c>
      <c r="D9496" s="5" t="s">
        <v>1440</v>
      </c>
      <c r="E9496" s="29" t="s">
        <v>566</v>
      </c>
      <c r="F9496" s="5" t="s">
        <v>567</v>
      </c>
      <c r="G9496" s="6" t="str">
        <f>VLOOKUP(E9496,dicionario!$A$1:$C9895,2,0)</f>
        <v>Baccharis dracunculifolia</v>
      </c>
      <c r="H9496" s="6" t="str">
        <f>VLOOKUP(E9496,dicionario!$A$1:$C9895,3,0)</f>
        <v>vassoura</v>
      </c>
    </row>
    <row r="9497">
      <c r="A9497" s="3">
        <v>45785.0</v>
      </c>
      <c r="B9497" s="4">
        <v>0.2763888888888889</v>
      </c>
      <c r="C9497" s="5" t="s">
        <v>33</v>
      </c>
      <c r="D9497" s="5" t="s">
        <v>1440</v>
      </c>
      <c r="E9497" s="8" t="s">
        <v>1406</v>
      </c>
      <c r="F9497" s="5" t="s">
        <v>172</v>
      </c>
      <c r="G9497" s="6" t="str">
        <f>VLOOKUP(E9497,dicionario!$A$1:$C9896,2,0)</f>
        <v>#N/A</v>
      </c>
      <c r="H9497" s="6" t="str">
        <f>VLOOKUP(E9497,dicionario!$A$1:$C9896,3,0)</f>
        <v>#N/A</v>
      </c>
    </row>
    <row r="9498">
      <c r="A9498" s="3">
        <v>45785.0</v>
      </c>
      <c r="B9498" s="4">
        <v>0.2763888888888889</v>
      </c>
      <c r="C9498" s="5" t="s">
        <v>33</v>
      </c>
      <c r="D9498" s="5" t="s">
        <v>1440</v>
      </c>
      <c r="E9498" s="8" t="s">
        <v>296</v>
      </c>
      <c r="F9498" s="5" t="s">
        <v>297</v>
      </c>
      <c r="G9498" s="6" t="str">
        <f>VLOOKUP(E9498,dicionario!$A$1:$C9897,2,0)</f>
        <v>Richardia brasiliensis</v>
      </c>
      <c r="H9498" s="6" t="str">
        <f>VLOOKUP(E9498,dicionario!$A$1:$C9897,3,0)</f>
        <v>poaia-branca</v>
      </c>
    </row>
    <row r="9499">
      <c r="A9499" s="3">
        <v>45785.0</v>
      </c>
      <c r="B9499" s="4">
        <v>0.2763888888888889</v>
      </c>
      <c r="C9499" s="5" t="s">
        <v>33</v>
      </c>
      <c r="D9499" s="5" t="s">
        <v>1440</v>
      </c>
      <c r="E9499" s="8" t="s">
        <v>298</v>
      </c>
      <c r="F9499" s="7"/>
      <c r="G9499" s="6" t="str">
        <f>VLOOKUP(E9499,dicionario!$A$1:$C9898,2,0)</f>
        <v>Alysicarpus vaginalis</v>
      </c>
      <c r="H9499" s="6" t="str">
        <f>VLOOKUP(E9499,dicionario!$A$1:$C9898,3,0)</f>
        <v/>
      </c>
    </row>
    <row r="9500">
      <c r="A9500" s="3">
        <v>45785.0</v>
      </c>
      <c r="B9500" s="4">
        <v>0.27569444444444446</v>
      </c>
      <c r="C9500" s="5" t="s">
        <v>33</v>
      </c>
      <c r="D9500" s="5" t="s">
        <v>1440</v>
      </c>
      <c r="E9500" s="8" t="s">
        <v>286</v>
      </c>
      <c r="F9500" s="5" t="s">
        <v>287</v>
      </c>
      <c r="G9500" s="6" t="str">
        <f>VLOOKUP(E9500,dicionario!$A$1:$C9899,2,0)</f>
        <v>Setaria parviflora</v>
      </c>
      <c r="H9500" s="6" t="str">
        <f>VLOOKUP(E9500,dicionario!$A$1:$C9899,3,0)</f>
        <v>capim-rabo-de-raposa</v>
      </c>
    </row>
    <row r="9501">
      <c r="A9501" s="3">
        <v>45785.0</v>
      </c>
      <c r="B9501" s="4">
        <v>0.27569444444444446</v>
      </c>
      <c r="C9501" s="5" t="s">
        <v>33</v>
      </c>
      <c r="D9501" s="5" t="s">
        <v>1440</v>
      </c>
      <c r="E9501" s="8" t="s">
        <v>271</v>
      </c>
      <c r="F9501" s="5" t="s">
        <v>1169</v>
      </c>
      <c r="G9501" s="6" t="str">
        <f>VLOOKUP(E9501,dicionario!$A$1:$C9900,2,0)</f>
        <v>Cyanthillium cinereum</v>
      </c>
      <c r="H9501" s="6" t="str">
        <f>VLOOKUP(E9501,dicionario!$A$1:$C9900,3,0)</f>
        <v>emília</v>
      </c>
    </row>
    <row r="9502">
      <c r="A9502" s="3">
        <v>45785.0</v>
      </c>
      <c r="B9502" s="4">
        <v>0.27569444444444446</v>
      </c>
      <c r="C9502" s="5" t="s">
        <v>33</v>
      </c>
      <c r="D9502" s="5" t="s">
        <v>1440</v>
      </c>
      <c r="E9502" s="8" t="s">
        <v>886</v>
      </c>
      <c r="F9502" s="5" t="s">
        <v>887</v>
      </c>
      <c r="G9502" s="6" t="str">
        <f>VLOOKUP(E9502,dicionario!$A$1:$C9901,2,0)</f>
        <v>Oldenlandia corymbosa</v>
      </c>
      <c r="H9502" s="6" t="str">
        <f>VLOOKUP(E9502,dicionario!$A$1:$C9901,3,0)</f>
        <v>erva-diamante</v>
      </c>
    </row>
    <row r="9503">
      <c r="A9503" s="3">
        <v>45785.0</v>
      </c>
      <c r="B9503" s="4">
        <v>0.27708333333333335</v>
      </c>
      <c r="C9503" s="5" t="s">
        <v>33</v>
      </c>
      <c r="D9503" s="5" t="s">
        <v>1440</v>
      </c>
      <c r="E9503" s="8" t="s">
        <v>517</v>
      </c>
      <c r="F9503" s="5" t="s">
        <v>1446</v>
      </c>
      <c r="G9503" s="6" t="str">
        <f>VLOOKUP(E9503,dicionario!$A$1:$C9902,2,0)</f>
        <v>Evolvulus nummularius</v>
      </c>
      <c r="H9503" s="6" t="str">
        <f>VLOOKUP(E9503,dicionario!$A$1:$C9902,3,0)</f>
        <v/>
      </c>
    </row>
    <row r="9504">
      <c r="A9504" s="3">
        <v>45785.0</v>
      </c>
      <c r="B9504" s="4">
        <v>0.27708333333333335</v>
      </c>
      <c r="C9504" s="5" t="s">
        <v>33</v>
      </c>
      <c r="D9504" s="5" t="s">
        <v>1440</v>
      </c>
      <c r="E9504" s="8" t="s">
        <v>1084</v>
      </c>
      <c r="F9504" s="7"/>
      <c r="G9504" s="6" t="str">
        <f>VLOOKUP(E9504,dicionario!$A$1:$C9903,2,0)</f>
        <v>#N/A</v>
      </c>
      <c r="H9504" s="6" t="str">
        <f>VLOOKUP(E9504,dicionario!$A$1:$C9903,3,0)</f>
        <v>#N/A</v>
      </c>
    </row>
    <row r="9505">
      <c r="A9505" s="3">
        <v>45785.0</v>
      </c>
      <c r="B9505" s="4">
        <v>0.2777777777777778</v>
      </c>
      <c r="C9505" s="5" t="s">
        <v>33</v>
      </c>
      <c r="D9505" s="5" t="s">
        <v>1440</v>
      </c>
      <c r="E9505" s="8" t="s">
        <v>154</v>
      </c>
      <c r="F9505" s="5" t="s">
        <v>155</v>
      </c>
      <c r="G9505" s="6" t="str">
        <f>VLOOKUP(E9505,dicionario!$A$1:$C9904,2,0)</f>
        <v>Cyperus rotundus</v>
      </c>
      <c r="H9505" s="6" t="str">
        <f>VLOOKUP(E9505,dicionario!$A$1:$C9904,3,0)</f>
        <v>tiririca</v>
      </c>
    </row>
    <row r="9506">
      <c r="A9506" s="3">
        <v>45785.0</v>
      </c>
      <c r="B9506" s="4">
        <v>0.2777777777777778</v>
      </c>
      <c r="C9506" s="5" t="s">
        <v>33</v>
      </c>
      <c r="D9506" s="5" t="s">
        <v>1440</v>
      </c>
      <c r="E9506" s="6"/>
      <c r="F9506" s="52" t="s">
        <v>1447</v>
      </c>
      <c r="G9506" s="6" t="str">
        <f>VLOOKUP(E9506,dicionario!$A$1:$C9905,2,0)</f>
        <v>#N/A</v>
      </c>
      <c r="H9506" s="6" t="str">
        <f>VLOOKUP(E9506,dicionario!$A$1:$C9905,3,0)</f>
        <v>#N/A</v>
      </c>
    </row>
    <row r="9507">
      <c r="A9507" s="3">
        <v>45785.0</v>
      </c>
      <c r="B9507" s="4">
        <v>0.2777777777777778</v>
      </c>
      <c r="C9507" s="5" t="s">
        <v>33</v>
      </c>
      <c r="D9507" s="5" t="s">
        <v>1440</v>
      </c>
      <c r="E9507" s="6"/>
      <c r="F9507" s="52" t="s">
        <v>1448</v>
      </c>
      <c r="G9507" s="6" t="str">
        <f>VLOOKUP(E9507,dicionario!$A$1:$C9906,2,0)</f>
        <v>#N/A</v>
      </c>
      <c r="H9507" s="6" t="str">
        <f>VLOOKUP(E9507,dicionario!$A$1:$C9906,3,0)</f>
        <v>#N/A</v>
      </c>
    </row>
    <row r="9508">
      <c r="A9508" s="3">
        <v>45785.0</v>
      </c>
      <c r="B9508" s="4">
        <v>0.2777777777777778</v>
      </c>
      <c r="C9508" s="5" t="s">
        <v>33</v>
      </c>
      <c r="D9508" s="5" t="s">
        <v>1440</v>
      </c>
      <c r="E9508" s="8" t="s">
        <v>385</v>
      </c>
      <c r="F9508" s="5" t="s">
        <v>386</v>
      </c>
      <c r="G9508" s="6" t="str">
        <f>VLOOKUP(E9508,dicionario!$A$1:$C9907,2,0)</f>
        <v>Psidium guajava</v>
      </c>
      <c r="H9508" s="6" t="str">
        <f>VLOOKUP(E9508,dicionario!$A$1:$C9907,3,0)</f>
        <v>goiaba</v>
      </c>
    </row>
    <row r="9509">
      <c r="A9509" s="3">
        <v>45785.0</v>
      </c>
      <c r="B9509" s="4">
        <v>0.2777777777777778</v>
      </c>
      <c r="C9509" s="5" t="s">
        <v>33</v>
      </c>
      <c r="D9509" s="5" t="s">
        <v>1440</v>
      </c>
      <c r="E9509" s="8" t="s">
        <v>723</v>
      </c>
      <c r="F9509" s="5" t="s">
        <v>924</v>
      </c>
      <c r="G9509" s="6" t="str">
        <f>VLOOKUP(E9509,dicionario!$A$1:$C9908,2,0)</f>
        <v>Asemeia violacea</v>
      </c>
      <c r="H9509" s="6" t="str">
        <f>VLOOKUP(E9509,dicionario!$A$1:$C9908,3,0)</f>
        <v/>
      </c>
    </row>
    <row r="9510">
      <c r="A9510" s="3">
        <v>45785.0</v>
      </c>
      <c r="B9510" s="4">
        <v>0.27847222222222223</v>
      </c>
      <c r="C9510" s="5" t="s">
        <v>33</v>
      </c>
      <c r="D9510" s="5" t="s">
        <v>1440</v>
      </c>
      <c r="E9510" s="12" t="s">
        <v>111</v>
      </c>
      <c r="F9510" s="5" t="s">
        <v>112</v>
      </c>
      <c r="G9510" s="6" t="str">
        <f>VLOOKUP(E9510,dicionario!$A$1:$C9909,2,0)</f>
        <v>Trigona spinipes</v>
      </c>
      <c r="H9510" s="6" t="str">
        <f>VLOOKUP(E9510,dicionario!$A$1:$C9909,3,0)</f>
        <v>abelha-cachorro</v>
      </c>
    </row>
    <row r="9511">
      <c r="A9511" s="3">
        <v>45785.0</v>
      </c>
      <c r="B9511" s="4">
        <v>0.27847222222222223</v>
      </c>
      <c r="C9511" s="5" t="s">
        <v>33</v>
      </c>
      <c r="D9511" s="5" t="s">
        <v>1440</v>
      </c>
      <c r="E9511" s="8" t="s">
        <v>453</v>
      </c>
      <c r="F9511" s="5" t="s">
        <v>216</v>
      </c>
      <c r="G9511" s="6" t="str">
        <f>VLOOKUP(E9511,dicionario!$A$1:$C9910,2,0)</f>
        <v>Notiochelidon cyanoleuca</v>
      </c>
      <c r="H9511" s="6" t="str">
        <f>VLOOKUP(E9511,dicionario!$A$1:$C9910,3,0)</f>
        <v>andorinha-pequena-de-casa</v>
      </c>
    </row>
    <row r="9512">
      <c r="A9512" s="3">
        <v>45785.0</v>
      </c>
      <c r="B9512" s="4">
        <v>0.2791666666666667</v>
      </c>
      <c r="C9512" s="5" t="s">
        <v>33</v>
      </c>
      <c r="D9512" s="5" t="s">
        <v>1440</v>
      </c>
      <c r="E9512" s="8" t="s">
        <v>38</v>
      </c>
      <c r="F9512" s="5" t="s">
        <v>1251</v>
      </c>
      <c r="G9512" s="6" t="str">
        <f>VLOOKUP(E9512,dicionario!$A$1:$C9911,2,0)</f>
        <v>Troglodytes musculus</v>
      </c>
      <c r="H9512" s="6" t="str">
        <f>VLOOKUP(E9512,dicionario!$A$1:$C9911,3,0)</f>
        <v>curruíra</v>
      </c>
    </row>
    <row r="9513">
      <c r="A9513" s="3">
        <v>45785.0</v>
      </c>
      <c r="B9513" s="4">
        <v>0.2791666666666667</v>
      </c>
      <c r="C9513" s="5" t="s">
        <v>33</v>
      </c>
      <c r="D9513" s="5" t="s">
        <v>1440</v>
      </c>
      <c r="E9513" s="8" t="s">
        <v>122</v>
      </c>
      <c r="F9513" s="5" t="s">
        <v>123</v>
      </c>
      <c r="G9513" s="6" t="str">
        <f>VLOOKUP(E9513,dicionario!$A$1:$C9912,2,0)</f>
        <v>Todirostrum cinereum</v>
      </c>
      <c r="H9513" s="6" t="str">
        <f>VLOOKUP(E9513,dicionario!$A$1:$C9912,3,0)</f>
        <v>ferreirinho-relógio</v>
      </c>
    </row>
    <row r="9514">
      <c r="A9514" s="3">
        <v>45785.0</v>
      </c>
      <c r="B9514" s="4">
        <v>0.2791666666666667</v>
      </c>
      <c r="C9514" s="5" t="s">
        <v>33</v>
      </c>
      <c r="D9514" s="5" t="s">
        <v>1440</v>
      </c>
      <c r="E9514" s="8" t="s">
        <v>1285</v>
      </c>
      <c r="F9514" s="5" t="s">
        <v>1286</v>
      </c>
      <c r="G9514" s="6" t="str">
        <f>VLOOKUP(E9514,dicionario!$A$1:$C9913,2,0)</f>
        <v>#N/A</v>
      </c>
      <c r="H9514" s="6" t="str">
        <f>VLOOKUP(E9514,dicionario!$A$1:$C9913,3,0)</f>
        <v>#N/A</v>
      </c>
    </row>
    <row r="9515">
      <c r="A9515" s="3">
        <v>45785.0</v>
      </c>
      <c r="B9515" s="4">
        <v>0.28055555555555556</v>
      </c>
      <c r="C9515" s="5" t="s">
        <v>33</v>
      </c>
      <c r="D9515" s="5" t="s">
        <v>1440</v>
      </c>
      <c r="E9515" s="8" t="s">
        <v>191</v>
      </c>
      <c r="F9515" s="5" t="s">
        <v>192</v>
      </c>
      <c r="G9515" s="6" t="str">
        <f>VLOOKUP(E9515,dicionario!$A$1:$C9914,2,0)</f>
        <v>Patagioenas picazuro</v>
      </c>
      <c r="H9515" s="6" t="str">
        <f>VLOOKUP(E9515,dicionario!$A$1:$C9914,3,0)</f>
        <v>asa-branca; pomba-asa-branca; pocaçu</v>
      </c>
    </row>
    <row r="9516">
      <c r="A9516" s="3">
        <v>45785.0</v>
      </c>
      <c r="B9516" s="4">
        <v>0.28125</v>
      </c>
      <c r="C9516" s="5" t="s">
        <v>33</v>
      </c>
      <c r="D9516" s="5" t="s">
        <v>1440</v>
      </c>
      <c r="E9516" s="8" t="s">
        <v>113</v>
      </c>
      <c r="F9516" s="5" t="s">
        <v>114</v>
      </c>
      <c r="G9516" s="6" t="str">
        <f>VLOOKUP(E9516,dicionario!$A$1:$C9915,2,0)</f>
        <v>Columbina talpacoti</v>
      </c>
      <c r="H9516" s="6" t="str">
        <f>VLOOKUP(E9516,dicionario!$A$1:$C9915,3,0)</f>
        <v>rolinha-roxa</v>
      </c>
    </row>
    <row r="9517">
      <c r="A9517" s="3">
        <v>45785.0</v>
      </c>
      <c r="B9517" s="4">
        <v>0.28194444444444444</v>
      </c>
      <c r="C9517" s="5" t="s">
        <v>40</v>
      </c>
      <c r="D9517" s="5" t="s">
        <v>1440</v>
      </c>
      <c r="E9517" s="8" t="s">
        <v>296</v>
      </c>
      <c r="F9517" s="5" t="s">
        <v>823</v>
      </c>
      <c r="G9517" s="6" t="str">
        <f>VLOOKUP(E9517,dicionario!$A$1:$C9916,2,0)</f>
        <v>Richardia brasiliensis</v>
      </c>
      <c r="H9517" s="6" t="str">
        <f>VLOOKUP(E9517,dicionario!$A$1:$C9916,3,0)</f>
        <v>poaia-branca</v>
      </c>
    </row>
    <row r="9518">
      <c r="A9518" s="3">
        <v>45785.0</v>
      </c>
      <c r="B9518" s="4">
        <v>0.28194444444444444</v>
      </c>
      <c r="C9518" s="5" t="s">
        <v>40</v>
      </c>
      <c r="D9518" s="5" t="s">
        <v>1440</v>
      </c>
      <c r="E9518" s="8" t="s">
        <v>1310</v>
      </c>
      <c r="F9518" s="5" t="s">
        <v>1449</v>
      </c>
      <c r="G9518" s="6" t="str">
        <f>VLOOKUP(E9518,dicionario!$A$1:$C9917,2,0)</f>
        <v>#N/A</v>
      </c>
      <c r="H9518" s="6" t="str">
        <f>VLOOKUP(E9518,dicionario!$A$1:$C9917,3,0)</f>
        <v>#N/A</v>
      </c>
    </row>
    <row r="9519">
      <c r="A9519" s="3">
        <v>45785.0</v>
      </c>
      <c r="B9519" s="4">
        <v>0.28194444444444444</v>
      </c>
      <c r="C9519" s="5" t="s">
        <v>40</v>
      </c>
      <c r="D9519" s="5" t="s">
        <v>1440</v>
      </c>
      <c r="E9519" s="8" t="s">
        <v>453</v>
      </c>
      <c r="F9519" s="5" t="s">
        <v>1363</v>
      </c>
      <c r="G9519" s="6" t="str">
        <f>VLOOKUP(E9519,dicionario!$A$1:$C9918,2,0)</f>
        <v>Notiochelidon cyanoleuca</v>
      </c>
      <c r="H9519" s="6" t="str">
        <f>VLOOKUP(E9519,dicionario!$A$1:$C9918,3,0)</f>
        <v>andorinha-pequena-de-casa</v>
      </c>
    </row>
    <row r="9520">
      <c r="A9520" s="3">
        <v>45785.0</v>
      </c>
      <c r="B9520" s="4">
        <v>0.2826388888888889</v>
      </c>
      <c r="C9520" s="5" t="s">
        <v>40</v>
      </c>
      <c r="D9520" s="5" t="s">
        <v>1440</v>
      </c>
      <c r="E9520" s="8" t="s">
        <v>20</v>
      </c>
      <c r="F9520" s="5" t="s">
        <v>1369</v>
      </c>
      <c r="G9520" s="6" t="str">
        <f>VLOOKUP(E9520,dicionario!$A$1:$C9919,2,0)</f>
        <v>Sicalis flaveola</v>
      </c>
      <c r="H9520" s="6" t="str">
        <f>VLOOKUP(E9520,dicionario!$A$1:$C9919,3,0)</f>
        <v>canário-da-terra</v>
      </c>
    </row>
    <row r="9521">
      <c r="A9521" s="3">
        <v>45785.0</v>
      </c>
      <c r="B9521" s="4">
        <v>0.2826388888888889</v>
      </c>
      <c r="C9521" s="5" t="s">
        <v>40</v>
      </c>
      <c r="D9521" s="5" t="s">
        <v>1440</v>
      </c>
      <c r="E9521" s="8" t="s">
        <v>191</v>
      </c>
      <c r="F9521" s="5" t="s">
        <v>771</v>
      </c>
      <c r="G9521" s="6" t="str">
        <f>VLOOKUP(E9521,dicionario!$A$1:$C9920,2,0)</f>
        <v>Patagioenas picazuro</v>
      </c>
      <c r="H9521" s="6" t="str">
        <f>VLOOKUP(E9521,dicionario!$A$1:$C9920,3,0)</f>
        <v>asa-branca; pomba-asa-branca; pocaçu</v>
      </c>
    </row>
    <row r="9522">
      <c r="A9522" s="3">
        <v>45785.0</v>
      </c>
      <c r="B9522" s="4">
        <v>0.2826388888888889</v>
      </c>
      <c r="C9522" s="5" t="s">
        <v>40</v>
      </c>
      <c r="D9522" s="5" t="s">
        <v>1440</v>
      </c>
      <c r="E9522" s="8" t="s">
        <v>135</v>
      </c>
      <c r="F9522" s="5" t="s">
        <v>833</v>
      </c>
      <c r="G9522" s="6" t="str">
        <f>VLOOKUP(E9522,dicionario!$A$1:$C9921,2,0)</f>
        <v>Tridax procumbens</v>
      </c>
      <c r="H9522" s="6" t="str">
        <f>VLOOKUP(E9522,dicionario!$A$1:$C9921,3,0)</f>
        <v>erva-de-touro</v>
      </c>
    </row>
    <row r="9523">
      <c r="A9523" s="3">
        <v>45785.0</v>
      </c>
      <c r="B9523" s="4">
        <v>0.2833333333333333</v>
      </c>
      <c r="C9523" s="5" t="s">
        <v>40</v>
      </c>
      <c r="D9523" s="5" t="s">
        <v>1440</v>
      </c>
      <c r="E9523" s="8" t="s">
        <v>1450</v>
      </c>
      <c r="F9523" s="7"/>
      <c r="G9523" s="6" t="str">
        <f>VLOOKUP(E9523,dicionario!$A$1:$C9922,2,0)</f>
        <v>#N/A</v>
      </c>
      <c r="H9523" s="6" t="str">
        <f>VLOOKUP(E9523,dicionario!$A$1:$C9922,3,0)</f>
        <v>#N/A</v>
      </c>
    </row>
    <row r="9524">
      <c r="A9524" s="3">
        <v>45785.0</v>
      </c>
      <c r="B9524" s="4">
        <v>0.2833333333333333</v>
      </c>
      <c r="C9524" s="5" t="s">
        <v>40</v>
      </c>
      <c r="D9524" s="5" t="s">
        <v>1440</v>
      </c>
      <c r="E9524" s="8" t="s">
        <v>141</v>
      </c>
      <c r="F9524" s="5" t="s">
        <v>875</v>
      </c>
      <c r="G9524" s="6" t="str">
        <f>VLOOKUP(E9524,dicionario!$A$1:$C9923,2,0)</f>
        <v>Ruellia blechum</v>
      </c>
      <c r="H9524" s="6" t="str">
        <f>VLOOKUP(E9524,dicionario!$A$1:$C9923,3,0)</f>
        <v>camarão-verde</v>
      </c>
    </row>
    <row r="9525">
      <c r="A9525" s="3">
        <v>45785.0</v>
      </c>
      <c r="B9525" s="4">
        <v>0.2833333333333333</v>
      </c>
      <c r="C9525" s="5" t="s">
        <v>40</v>
      </c>
      <c r="D9525" s="5" t="s">
        <v>1440</v>
      </c>
      <c r="E9525" s="6" t="s">
        <v>399</v>
      </c>
      <c r="F9525" s="5" t="s">
        <v>829</v>
      </c>
      <c r="G9525" s="6" t="str">
        <f>VLOOKUP(E9525,dicionario!$A$1:$C9924,2,0)</f>
        <v>Varronia curassavica</v>
      </c>
      <c r="H9525" s="6" t="str">
        <f>VLOOKUP(E9525,dicionario!$A$1:$C9924,3,0)</f>
        <v>erva-baleeira</v>
      </c>
    </row>
    <row r="9526">
      <c r="A9526" s="3">
        <v>45785.0</v>
      </c>
      <c r="B9526" s="4">
        <v>0.28402777777777777</v>
      </c>
      <c r="C9526" s="5" t="s">
        <v>40</v>
      </c>
      <c r="D9526" s="5" t="s">
        <v>1440</v>
      </c>
      <c r="E9526" s="6" t="s">
        <v>227</v>
      </c>
      <c r="F9526" s="5" t="s">
        <v>813</v>
      </c>
      <c r="G9526" s="6" t="str">
        <f>VLOOKUP(E9526,dicionario!$A$1:$C9925,2,0)</f>
        <v>Indigofera hirsuta</v>
      </c>
      <c r="H9526" s="6" t="str">
        <f>VLOOKUP(E9526,dicionario!$A$1:$C9925,3,0)</f>
        <v>anileira</v>
      </c>
    </row>
    <row r="9527">
      <c r="A9527" s="3">
        <v>45785.0</v>
      </c>
      <c r="B9527" s="4">
        <v>0.28402777777777777</v>
      </c>
      <c r="C9527" s="5" t="s">
        <v>40</v>
      </c>
      <c r="D9527" s="5" t="s">
        <v>1440</v>
      </c>
      <c r="E9527" s="12" t="s">
        <v>111</v>
      </c>
      <c r="F9527" s="5" t="s">
        <v>1451</v>
      </c>
      <c r="G9527" s="6" t="str">
        <f>VLOOKUP(E9527,dicionario!$A$1:$C9926,2,0)</f>
        <v>Trigona spinipes</v>
      </c>
      <c r="H9527" s="6" t="str">
        <f>VLOOKUP(E9527,dicionario!$A$1:$C9926,3,0)</f>
        <v>abelha-cachorro</v>
      </c>
    </row>
    <row r="9528">
      <c r="A9528" s="3">
        <v>45785.0</v>
      </c>
      <c r="B9528" s="4">
        <v>0.28402777777777777</v>
      </c>
      <c r="C9528" s="5" t="s">
        <v>40</v>
      </c>
      <c r="D9528" s="5" t="s">
        <v>1440</v>
      </c>
      <c r="E9528" s="8" t="s">
        <v>1328</v>
      </c>
      <c r="F9528" s="5" t="s">
        <v>799</v>
      </c>
      <c r="G9528" s="6" t="str">
        <f>VLOOKUP(E9528,dicionario!$A$1:$C9927,2,0)</f>
        <v>#N/A</v>
      </c>
      <c r="H9528" s="6" t="str">
        <f>VLOOKUP(E9528,dicionario!$A$1:$C9927,3,0)</f>
        <v>#N/A</v>
      </c>
    </row>
    <row r="9529">
      <c r="A9529" s="3">
        <v>45785.0</v>
      </c>
      <c r="B9529" s="4">
        <v>0.2847222222222222</v>
      </c>
      <c r="C9529" s="5" t="s">
        <v>40</v>
      </c>
      <c r="D9529" s="5" t="s">
        <v>1440</v>
      </c>
      <c r="E9529" s="8" t="s">
        <v>88</v>
      </c>
      <c r="F9529" s="5" t="s">
        <v>89</v>
      </c>
      <c r="G9529" s="6" t="str">
        <f>VLOOKUP(E9529,dicionario!$A$1:$C9928,2,0)</f>
        <v>Tyrannus melancolichus</v>
      </c>
      <c r="H9529" s="6" t="str">
        <f>VLOOKUP(E9529,dicionario!$A$1:$C9928,3,0)</f>
        <v>suiriri</v>
      </c>
    </row>
    <row r="9530">
      <c r="A9530" s="3">
        <v>45785.0</v>
      </c>
      <c r="B9530" s="4">
        <v>0.2847222222222222</v>
      </c>
      <c r="C9530" s="5" t="s">
        <v>40</v>
      </c>
      <c r="D9530" s="5" t="s">
        <v>1440</v>
      </c>
      <c r="E9530" s="8" t="s">
        <v>635</v>
      </c>
      <c r="F9530" s="5" t="s">
        <v>636</v>
      </c>
      <c r="G9530" s="6" t="str">
        <f>VLOOKUP(E9530,dicionario!$A$1:$C9929,2,0)</f>
        <v>Euphorbia graminea</v>
      </c>
      <c r="H9530" s="6" t="str">
        <f>VLOOKUP(E9530,dicionario!$A$1:$C9929,3,0)</f>
        <v>ponta-de-flecha</v>
      </c>
    </row>
    <row r="9531">
      <c r="A9531" s="3">
        <v>45785.0</v>
      </c>
      <c r="B9531" s="4">
        <v>0.2847222222222222</v>
      </c>
      <c r="C9531" s="5" t="s">
        <v>40</v>
      </c>
      <c r="D9531" s="5" t="s">
        <v>1440</v>
      </c>
      <c r="E9531" s="8" t="s">
        <v>146</v>
      </c>
      <c r="F9531" s="5" t="s">
        <v>794</v>
      </c>
      <c r="G9531" s="6" t="str">
        <f>VLOOKUP(E9531,dicionario!$A$1:$C9930,2,0)</f>
        <v>Euphorbia hirta</v>
      </c>
      <c r="H9531" s="6" t="str">
        <f>VLOOKUP(E9531,dicionario!$A$1:$C9930,3,0)</f>
        <v>erva-de-santa-luzia</v>
      </c>
    </row>
    <row r="9532">
      <c r="A9532" s="3">
        <v>45785.0</v>
      </c>
      <c r="B9532" s="4">
        <v>0.2847222222222222</v>
      </c>
      <c r="C9532" s="5" t="s">
        <v>40</v>
      </c>
      <c r="D9532" s="5" t="s">
        <v>1440</v>
      </c>
      <c r="E9532" s="8" t="s">
        <v>154</v>
      </c>
      <c r="F9532" s="5" t="s">
        <v>155</v>
      </c>
      <c r="G9532" s="6" t="str">
        <f>VLOOKUP(E9532,dicionario!$A$1:$C9931,2,0)</f>
        <v>Cyperus rotundus</v>
      </c>
      <c r="H9532" s="6" t="str">
        <f>VLOOKUP(E9532,dicionario!$A$1:$C9931,3,0)</f>
        <v>tiririca</v>
      </c>
    </row>
    <row r="9533">
      <c r="A9533" s="3">
        <v>45785.0</v>
      </c>
      <c r="B9533" s="4">
        <v>0.2847222222222222</v>
      </c>
      <c r="C9533" s="5" t="s">
        <v>40</v>
      </c>
      <c r="D9533" s="5" t="s">
        <v>1440</v>
      </c>
      <c r="E9533" s="6" t="s">
        <v>53</v>
      </c>
      <c r="F9533" s="5" t="s">
        <v>54</v>
      </c>
      <c r="G9533" s="6" t="str">
        <f>VLOOKUP(E9533,dicionario!$A$1:$C9932,2,0)</f>
        <v>Turnera subulata</v>
      </c>
      <c r="H9533" s="6" t="str">
        <f>VLOOKUP(E9533,dicionario!$A$1:$C9932,3,0)</f>
        <v>xanana</v>
      </c>
    </row>
    <row r="9534">
      <c r="A9534" s="3">
        <v>45785.0</v>
      </c>
      <c r="B9534" s="4">
        <v>0.2847222222222222</v>
      </c>
      <c r="C9534" s="5" t="s">
        <v>40</v>
      </c>
      <c r="D9534" s="5" t="s">
        <v>1440</v>
      </c>
      <c r="E9534" s="8" t="s">
        <v>1367</v>
      </c>
      <c r="F9534" s="5" t="s">
        <v>387</v>
      </c>
      <c r="G9534" s="6" t="str">
        <f>VLOOKUP(E9534,dicionario!$A$1:$C9933,2,0)</f>
        <v>#N/A</v>
      </c>
      <c r="H9534" s="6" t="str">
        <f>VLOOKUP(E9534,dicionario!$A$1:$C9933,3,0)</f>
        <v>#N/A</v>
      </c>
    </row>
    <row r="9535">
      <c r="A9535" s="3">
        <v>45785.0</v>
      </c>
      <c r="B9535" s="4">
        <v>0.28541666666666665</v>
      </c>
      <c r="C9535" s="5" t="s">
        <v>40</v>
      </c>
      <c r="D9535" s="5" t="s">
        <v>1440</v>
      </c>
      <c r="E9535" s="6" t="s">
        <v>613</v>
      </c>
      <c r="F9535" s="5" t="s">
        <v>814</v>
      </c>
      <c r="G9535" s="6" t="str">
        <f>VLOOKUP(E9535,dicionario!$A$1:$C9934,2,0)</f>
        <v>Euphorbia hyssopifolia</v>
      </c>
      <c r="H9535" s="6" t="str">
        <f>VLOOKUP(E9535,dicionario!$A$1:$C9934,3,0)</f>
        <v>maria-leite</v>
      </c>
    </row>
    <row r="9536">
      <c r="A9536" s="3">
        <v>45785.0</v>
      </c>
      <c r="B9536" s="4">
        <v>0.28541666666666665</v>
      </c>
      <c r="C9536" s="5" t="s">
        <v>40</v>
      </c>
      <c r="D9536" s="5" t="s">
        <v>1440</v>
      </c>
      <c r="E9536" s="8" t="s">
        <v>38</v>
      </c>
      <c r="F9536" s="5" t="s">
        <v>1251</v>
      </c>
      <c r="G9536" s="6" t="str">
        <f>VLOOKUP(E9536,dicionario!$A$1:$C9935,2,0)</f>
        <v>Troglodytes musculus</v>
      </c>
      <c r="H9536" s="6" t="str">
        <f>VLOOKUP(E9536,dicionario!$A$1:$C9935,3,0)</f>
        <v>curruíra</v>
      </c>
    </row>
    <row r="9537">
      <c r="A9537" s="3">
        <v>45785.0</v>
      </c>
      <c r="B9537" s="4">
        <v>0.28541666666666665</v>
      </c>
      <c r="C9537" s="5" t="s">
        <v>40</v>
      </c>
      <c r="D9537" s="5" t="s">
        <v>1440</v>
      </c>
      <c r="E9537" s="6" t="s">
        <v>65</v>
      </c>
      <c r="F9537" s="5" t="s">
        <v>819</v>
      </c>
      <c r="G9537" s="6" t="str">
        <f>VLOOKUP(E9537,dicionario!$A$1:$C9936,2,0)</f>
        <v>Pitangus sulphutarus</v>
      </c>
      <c r="H9537" s="6" t="str">
        <f>VLOOKUP(E9537,dicionario!$A$1:$C9936,3,0)</f>
        <v>bem-te-vi</v>
      </c>
    </row>
    <row r="9538">
      <c r="A9538" s="3">
        <v>45785.0</v>
      </c>
      <c r="B9538" s="4">
        <v>0.28541666666666665</v>
      </c>
      <c r="C9538" s="5" t="s">
        <v>40</v>
      </c>
      <c r="D9538" s="5" t="s">
        <v>1440</v>
      </c>
      <c r="E9538" s="8" t="s">
        <v>324</v>
      </c>
      <c r="F9538" s="5" t="s">
        <v>325</v>
      </c>
      <c r="G9538" s="6" t="str">
        <f>VLOOKUP(E9538,dicionario!$A$1:$C9937,2,0)</f>
        <v>#N/A</v>
      </c>
      <c r="H9538" s="6" t="str">
        <f>VLOOKUP(E9538,dicionario!$A$1:$C9937,3,0)</f>
        <v>#N/A</v>
      </c>
    </row>
    <row r="9539">
      <c r="A9539" s="3">
        <v>45785.0</v>
      </c>
      <c r="B9539" s="4">
        <v>0.28541666666666665</v>
      </c>
      <c r="C9539" s="5" t="s">
        <v>40</v>
      </c>
      <c r="D9539" s="5" t="s">
        <v>1440</v>
      </c>
      <c r="E9539" s="8" t="s">
        <v>1339</v>
      </c>
      <c r="F9539" s="5" t="s">
        <v>764</v>
      </c>
      <c r="G9539" s="6" t="str">
        <f>VLOOKUP(E9539,dicionario!$A$1:$C9938,2,0)</f>
        <v>#N/A</v>
      </c>
      <c r="H9539" s="6" t="str">
        <f>VLOOKUP(E9539,dicionario!$A$1:$C9938,3,0)</f>
        <v>#N/A</v>
      </c>
    </row>
    <row r="9540">
      <c r="A9540" s="3">
        <v>45785.0</v>
      </c>
      <c r="B9540" s="4">
        <v>0.2861111111111111</v>
      </c>
      <c r="C9540" s="5" t="s">
        <v>40</v>
      </c>
      <c r="D9540" s="5" t="s">
        <v>1440</v>
      </c>
      <c r="E9540" s="8" t="s">
        <v>286</v>
      </c>
      <c r="F9540" s="5" t="s">
        <v>781</v>
      </c>
      <c r="G9540" s="6" t="str">
        <f>VLOOKUP(E9540,dicionario!$A$1:$C9939,2,0)</f>
        <v>Setaria parviflora</v>
      </c>
      <c r="H9540" s="6" t="str">
        <f>VLOOKUP(E9540,dicionario!$A$1:$C9939,3,0)</f>
        <v>capim-rabo-de-raposa</v>
      </c>
    </row>
    <row r="9541">
      <c r="A9541" s="3">
        <v>45785.0</v>
      </c>
      <c r="B9541" s="4">
        <v>0.2861111111111111</v>
      </c>
      <c r="C9541" s="5" t="s">
        <v>40</v>
      </c>
      <c r="D9541" s="5" t="s">
        <v>1440</v>
      </c>
      <c r="E9541" s="6" t="s">
        <v>290</v>
      </c>
      <c r="F9541" s="5" t="s">
        <v>779</v>
      </c>
      <c r="G9541" s="6" t="str">
        <f>VLOOKUP(E9541,dicionario!$A$1:$C9940,2,0)</f>
        <v>Drymaria cordata</v>
      </c>
      <c r="H9541" s="6" t="str">
        <f>VLOOKUP(E9541,dicionario!$A$1:$C9940,3,0)</f>
        <v>orelha-de-rato</v>
      </c>
    </row>
    <row r="9542">
      <c r="A9542" s="3">
        <v>45785.0</v>
      </c>
      <c r="B9542" s="4">
        <v>0.2861111111111111</v>
      </c>
      <c r="C9542" s="5" t="s">
        <v>40</v>
      </c>
      <c r="D9542" s="5" t="s">
        <v>1440</v>
      </c>
      <c r="E9542" s="8" t="s">
        <v>1280</v>
      </c>
      <c r="F9542" s="5" t="s">
        <v>1452</v>
      </c>
      <c r="G9542" s="6" t="str">
        <f>VLOOKUP(E9542,dicionario!$A$1:$C9941,2,0)</f>
        <v>Paspalum notatum</v>
      </c>
      <c r="H9542" s="6" t="str">
        <f>VLOOKUP(E9542,dicionario!$A$1:$C9941,3,0)</f>
        <v>capim-forquilha</v>
      </c>
    </row>
    <row r="9543">
      <c r="A9543" s="3">
        <v>45785.0</v>
      </c>
      <c r="B9543" s="4">
        <v>0.2861111111111111</v>
      </c>
      <c r="C9543" s="5" t="s">
        <v>40</v>
      </c>
      <c r="D9543" s="5" t="s">
        <v>1440</v>
      </c>
      <c r="E9543" s="8" t="s">
        <v>150</v>
      </c>
      <c r="F9543" s="5" t="s">
        <v>769</v>
      </c>
      <c r="G9543" s="6" t="str">
        <f>VLOOKUP(E9543,dicionario!$A$1:$C9942,2,0)</f>
        <v>Amaranthus viridis</v>
      </c>
      <c r="H9543" s="6" t="str">
        <f>VLOOKUP(E9543,dicionario!$A$1:$C9942,3,0)</f>
        <v>caruru-de-mancha</v>
      </c>
    </row>
    <row r="9544">
      <c r="A9544" s="3">
        <v>45785.0</v>
      </c>
      <c r="B9544" s="4">
        <v>0.2861111111111111</v>
      </c>
      <c r="C9544" s="5" t="s">
        <v>40</v>
      </c>
      <c r="D9544" s="5" t="s">
        <v>1440</v>
      </c>
      <c r="E9544" s="8" t="s">
        <v>736</v>
      </c>
      <c r="F9544" s="5" t="s">
        <v>737</v>
      </c>
      <c r="G9544" s="6" t="str">
        <f>VLOOKUP(E9544,dicionario!$A$1:$C9943,2,0)</f>
        <v>Chloris virgata</v>
      </c>
      <c r="H9544" s="6" t="str">
        <f>VLOOKUP(E9544,dicionario!$A$1:$C9943,3,0)</f>
        <v>capim-pavão</v>
      </c>
    </row>
    <row r="9545">
      <c r="A9545" s="3">
        <v>45785.0</v>
      </c>
      <c r="B9545" s="4">
        <v>0.28680555555555554</v>
      </c>
      <c r="C9545" s="5" t="s">
        <v>40</v>
      </c>
      <c r="D9545" s="5" t="s">
        <v>1440</v>
      </c>
      <c r="E9545" s="8" t="s">
        <v>144</v>
      </c>
      <c r="F9545" s="5" t="s">
        <v>791</v>
      </c>
      <c r="G9545" s="6" t="str">
        <f>VLOOKUP(E9545,dicionario!$A$1:$C9944,2,0)</f>
        <v>Gomphrena globosa</v>
      </c>
      <c r="H9545" s="6" t="str">
        <f>VLOOKUP(E9545,dicionario!$A$1:$C9944,3,0)</f>
        <v>perpétua-rosa</v>
      </c>
    </row>
    <row r="9546">
      <c r="A9546" s="3">
        <v>45785.0</v>
      </c>
      <c r="B9546" s="4">
        <v>0.28680555555555554</v>
      </c>
      <c r="C9546" s="5" t="s">
        <v>40</v>
      </c>
      <c r="D9546" s="5" t="s">
        <v>1440</v>
      </c>
      <c r="E9546" s="8" t="s">
        <v>239</v>
      </c>
      <c r="F9546" s="5" t="s">
        <v>816</v>
      </c>
      <c r="G9546" s="6" t="str">
        <f>VLOOKUP(E9546,dicionario!$A$1:$C9945,2,0)</f>
        <v>Gomphrena celosioides</v>
      </c>
      <c r="H9546" s="6" t="str">
        <f>VLOOKUP(E9546,dicionario!$A$1:$C9945,3,0)</f>
        <v>perpétua-branca</v>
      </c>
    </row>
    <row r="9547">
      <c r="A9547" s="3">
        <v>45785.0</v>
      </c>
      <c r="B9547" s="4">
        <v>0.2881944444444444</v>
      </c>
      <c r="C9547" s="5" t="s">
        <v>40</v>
      </c>
      <c r="D9547" s="5" t="s">
        <v>1440</v>
      </c>
      <c r="E9547" s="20" t="s">
        <v>676</v>
      </c>
      <c r="F9547" s="5" t="s">
        <v>1370</v>
      </c>
      <c r="G9547" s="6" t="str">
        <f>VLOOKUP(E9547,dicionario!$A$1:$C9946,2,0)</f>
        <v>Zornia latifolia</v>
      </c>
      <c r="H9547" s="6" t="str">
        <f>VLOOKUP(E9547,dicionario!$A$1:$C9946,3,0)</f>
        <v>arrozinho-do-campo</v>
      </c>
    </row>
    <row r="9548">
      <c r="A9548" s="3">
        <v>45785.0</v>
      </c>
      <c r="B9548" s="4">
        <v>0.28888888888888886</v>
      </c>
      <c r="C9548" s="5" t="s">
        <v>40</v>
      </c>
      <c r="D9548" s="5" t="s">
        <v>1440</v>
      </c>
      <c r="E9548" s="8" t="s">
        <v>253</v>
      </c>
      <c r="F9548" s="5" t="s">
        <v>780</v>
      </c>
      <c r="G9548" s="6" t="str">
        <f>VLOOKUP(E9548,dicionario!$A$1:$C9947,2,0)</f>
        <v>Panicum maximum</v>
      </c>
      <c r="H9548" s="6" t="str">
        <f>VLOOKUP(E9548,dicionario!$A$1:$C9947,3,0)</f>
        <v>capim-colonião</v>
      </c>
    </row>
    <row r="9549">
      <c r="A9549" s="3">
        <v>45785.0</v>
      </c>
      <c r="B9549" s="4">
        <v>0.28888888888888886</v>
      </c>
      <c r="C9549" s="5" t="s">
        <v>40</v>
      </c>
      <c r="D9549" s="5" t="s">
        <v>1440</v>
      </c>
      <c r="E9549" s="6" t="s">
        <v>467</v>
      </c>
      <c r="F9549" s="5" t="s">
        <v>1365</v>
      </c>
      <c r="G9549" s="6" t="str">
        <f>VLOOKUP(E9549,dicionario!$A$1:$C9948,2,0)</f>
        <v>Eleusine indica</v>
      </c>
      <c r="H9549" s="6" t="str">
        <f>VLOOKUP(E9549,dicionario!$A$1:$C9948,3,0)</f>
        <v>capim-pé-de-galinha</v>
      </c>
    </row>
    <row r="9550">
      <c r="A9550" s="3">
        <v>45785.0</v>
      </c>
      <c r="B9550" s="4">
        <v>0.28888888888888886</v>
      </c>
      <c r="C9550" s="5" t="s">
        <v>40</v>
      </c>
      <c r="D9550" s="5" t="s">
        <v>1440</v>
      </c>
      <c r="E9550" s="8" t="s">
        <v>113</v>
      </c>
      <c r="F9550" s="5" t="s">
        <v>820</v>
      </c>
      <c r="G9550" s="6" t="str">
        <f>VLOOKUP(E9550,dicionario!$A$1:$C9949,2,0)</f>
        <v>Columbina talpacoti</v>
      </c>
      <c r="H9550" s="6" t="str">
        <f>VLOOKUP(E9550,dicionario!$A$1:$C9949,3,0)</f>
        <v>rolinha-roxa</v>
      </c>
    </row>
    <row r="9551">
      <c r="A9551" s="3">
        <v>45785.0</v>
      </c>
      <c r="B9551" s="4">
        <v>0.28888888888888886</v>
      </c>
      <c r="C9551" s="5" t="s">
        <v>40</v>
      </c>
      <c r="D9551" s="5" t="s">
        <v>1440</v>
      </c>
      <c r="E9551" s="8" t="s">
        <v>1087</v>
      </c>
      <c r="F9551" s="5" t="s">
        <v>1088</v>
      </c>
      <c r="G9551" s="6" t="str">
        <f>VLOOKUP(E9551,dicionario!$A$1:$C9950,2,0)</f>
        <v>Desmodium triflorum</v>
      </c>
      <c r="H9551" s="6" t="str">
        <f>VLOOKUP(E9551,dicionario!$A$1:$C9950,3,0)</f>
        <v/>
      </c>
    </row>
    <row r="9552">
      <c r="A9552" s="3">
        <v>45785.0</v>
      </c>
      <c r="B9552" s="4">
        <v>0.28888888888888886</v>
      </c>
      <c r="C9552" s="5" t="s">
        <v>40</v>
      </c>
      <c r="D9552" s="5" t="s">
        <v>1440</v>
      </c>
      <c r="E9552" s="8" t="s">
        <v>517</v>
      </c>
      <c r="F9552" s="5" t="s">
        <v>1446</v>
      </c>
      <c r="G9552" s="6" t="str">
        <f>VLOOKUP(E9552,dicionario!$A$1:$C9951,2,0)</f>
        <v>Evolvulus nummularius</v>
      </c>
      <c r="H9552" s="6" t="str">
        <f>VLOOKUP(E9552,dicionario!$A$1:$C9951,3,0)</f>
        <v/>
      </c>
    </row>
    <row r="9553">
      <c r="A9553" s="3">
        <v>45785.0</v>
      </c>
      <c r="B9553" s="4">
        <v>0.28888888888888886</v>
      </c>
      <c r="C9553" s="5" t="s">
        <v>40</v>
      </c>
      <c r="D9553" s="5" t="s">
        <v>1440</v>
      </c>
      <c r="E9553" s="8" t="s">
        <v>405</v>
      </c>
      <c r="F9553" s="5" t="s">
        <v>418</v>
      </c>
      <c r="G9553" s="6" t="str">
        <f>VLOOKUP(E9553,dicionario!$A$1:$C9952,2,0)</f>
        <v>Ectatomma</v>
      </c>
      <c r="H9553" s="6" t="str">
        <f>VLOOKUP(E9553,dicionario!$A$1:$C9952,3,0)</f>
        <v>formiga-preta</v>
      </c>
    </row>
    <row r="9554">
      <c r="A9554" s="3">
        <v>45785.0</v>
      </c>
      <c r="B9554" s="4">
        <v>0.28888888888888886</v>
      </c>
      <c r="C9554" s="5" t="s">
        <v>40</v>
      </c>
      <c r="D9554" s="5" t="s">
        <v>1440</v>
      </c>
      <c r="E9554" s="8" t="s">
        <v>122</v>
      </c>
      <c r="F9554" s="5" t="s">
        <v>1453</v>
      </c>
      <c r="G9554" s="6" t="str">
        <f>VLOOKUP(E9554,dicionario!$A$1:$C9953,2,0)</f>
        <v>Todirostrum cinereum</v>
      </c>
      <c r="H9554" s="6" t="str">
        <f>VLOOKUP(E9554,dicionario!$A$1:$C9953,3,0)</f>
        <v>ferreirinho-relógio</v>
      </c>
    </row>
    <row r="9555">
      <c r="A9555" s="3">
        <v>45785.0</v>
      </c>
      <c r="B9555" s="4">
        <v>0.28888888888888886</v>
      </c>
      <c r="C9555" s="5" t="s">
        <v>40</v>
      </c>
      <c r="D9555" s="5" t="s">
        <v>1440</v>
      </c>
      <c r="E9555" s="8" t="s">
        <v>177</v>
      </c>
      <c r="F9555" s="5" t="s">
        <v>804</v>
      </c>
      <c r="G9555" s="6" t="str">
        <f>VLOOKUP(E9555,dicionario!$A$1:$C9954,2,0)</f>
        <v>Elaenia flavogaster</v>
      </c>
      <c r="H9555" s="6" t="str">
        <f>VLOOKUP(E9555,dicionario!$A$1:$C9954,3,0)</f>
        <v>guaracava-de-barriga-amarela</v>
      </c>
    </row>
    <row r="9556">
      <c r="A9556" s="3">
        <v>45785.0</v>
      </c>
      <c r="B9556" s="4">
        <v>0.28958333333333336</v>
      </c>
      <c r="C9556" s="5" t="s">
        <v>40</v>
      </c>
      <c r="D9556" s="5" t="s">
        <v>1440</v>
      </c>
      <c r="E9556" s="8" t="s">
        <v>225</v>
      </c>
      <c r="F9556" s="5" t="s">
        <v>226</v>
      </c>
      <c r="G9556" s="6" t="str">
        <f>VLOOKUP(E9556,dicionario!$A$1:$C9955,2,0)</f>
        <v>Passer domesticus</v>
      </c>
      <c r="H9556" s="6" t="str">
        <f>VLOOKUP(E9556,dicionario!$A$1:$C9955,3,0)</f>
        <v>pardal</v>
      </c>
    </row>
    <row r="9557">
      <c r="A9557" s="3">
        <v>45785.0</v>
      </c>
      <c r="B9557" s="4">
        <v>0.28958333333333336</v>
      </c>
      <c r="C9557" s="5" t="s">
        <v>40</v>
      </c>
      <c r="D9557" s="5" t="s">
        <v>1440</v>
      </c>
      <c r="E9557" s="6" t="s">
        <v>366</v>
      </c>
      <c r="F9557" s="5" t="s">
        <v>367</v>
      </c>
      <c r="G9557" s="6" t="str">
        <f>VLOOKUP(E9557,dicionario!$A$1:$C9956,2,0)</f>
        <v>Alternanthera ficoidea</v>
      </c>
      <c r="H9557" s="6" t="str">
        <f>VLOOKUP(E9557,dicionario!$A$1:$C9956,3,0)</f>
        <v>quebra-panela</v>
      </c>
    </row>
    <row r="9558">
      <c r="A9558" s="3">
        <v>45785.0</v>
      </c>
      <c r="B9558" s="4">
        <v>0.29305555555555557</v>
      </c>
      <c r="C9558" s="5" t="s">
        <v>50</v>
      </c>
      <c r="D9558" s="5" t="s">
        <v>1440</v>
      </c>
      <c r="E9558" s="6" t="s">
        <v>65</v>
      </c>
      <c r="F9558" s="5" t="s">
        <v>819</v>
      </c>
      <c r="G9558" s="6" t="str">
        <f>VLOOKUP(E9558,dicionario!$A$1:$C9957,2,0)</f>
        <v>Pitangus sulphutarus</v>
      </c>
      <c r="H9558" s="6" t="str">
        <f>VLOOKUP(E9558,dicionario!$A$1:$C9957,3,0)</f>
        <v>bem-te-vi</v>
      </c>
    </row>
    <row r="9559">
      <c r="A9559" s="3">
        <v>45785.0</v>
      </c>
      <c r="B9559" s="4">
        <v>0.29305555555555557</v>
      </c>
      <c r="C9559" s="5" t="s">
        <v>50</v>
      </c>
      <c r="D9559" s="5" t="s">
        <v>1440</v>
      </c>
      <c r="E9559" s="8" t="s">
        <v>109</v>
      </c>
      <c r="F9559" s="5" t="s">
        <v>777</v>
      </c>
      <c r="G9559" s="6" t="str">
        <f>VLOOKUP(E9559,dicionario!$A$1:$C9958,2,0)</f>
        <v>Tillandsia stricta</v>
      </c>
      <c r="H9559" s="6" t="str">
        <f>VLOOKUP(E9559,dicionario!$A$1:$C9958,3,0)</f>
        <v>cravo-do-mato</v>
      </c>
    </row>
    <row r="9560">
      <c r="A9560" s="3">
        <v>45785.0</v>
      </c>
      <c r="B9560" s="4">
        <v>0.29375</v>
      </c>
      <c r="C9560" s="5" t="s">
        <v>50</v>
      </c>
      <c r="D9560" s="5" t="s">
        <v>1440</v>
      </c>
      <c r="E9560" s="8" t="s">
        <v>338</v>
      </c>
      <c r="F9560" s="5" t="s">
        <v>1454</v>
      </c>
      <c r="G9560" s="6" t="str">
        <f>VLOOKUP(E9560,dicionario!$A$1:$C9959,2,0)</f>
        <v>Atta</v>
      </c>
      <c r="H9560" s="6" t="str">
        <f>VLOOKUP(E9560,dicionario!$A$1:$C9959,3,0)</f>
        <v>saúva</v>
      </c>
    </row>
    <row r="9561">
      <c r="A9561" s="3">
        <v>45785.0</v>
      </c>
      <c r="B9561" s="4">
        <v>0.29375</v>
      </c>
      <c r="C9561" s="5" t="s">
        <v>50</v>
      </c>
      <c r="D9561" s="5" t="s">
        <v>1440</v>
      </c>
      <c r="E9561" s="6" t="s">
        <v>439</v>
      </c>
      <c r="F9561" s="5" t="s">
        <v>281</v>
      </c>
      <c r="G9561" s="6" t="str">
        <f>VLOOKUP(E9561,dicionario!$A$1:$C9960,2,0)</f>
        <v>#N/A</v>
      </c>
      <c r="H9561" s="6" t="str">
        <f>VLOOKUP(E9561,dicionario!$A$1:$C9960,3,0)</f>
        <v>#N/A</v>
      </c>
    </row>
    <row r="9562">
      <c r="A9562" s="3">
        <v>45785.0</v>
      </c>
      <c r="B9562" s="4">
        <v>0.29375</v>
      </c>
      <c r="C9562" s="5" t="s">
        <v>50</v>
      </c>
      <c r="D9562" s="5" t="s">
        <v>1440</v>
      </c>
      <c r="E9562" s="6" t="s">
        <v>148</v>
      </c>
      <c r="F9562" s="5" t="s">
        <v>772</v>
      </c>
      <c r="G9562" s="6" t="str">
        <f>VLOOKUP(E9562,dicionario!$A$1:$C9961,2,0)</f>
        <v>Parthenium hysterophorus</v>
      </c>
      <c r="H9562" s="6" t="str">
        <f>VLOOKUP(E9562,dicionario!$A$1:$C9961,3,0)</f>
        <v>losna-branca</v>
      </c>
    </row>
    <row r="9563">
      <c r="A9563" s="3">
        <v>45785.0</v>
      </c>
      <c r="B9563" s="4">
        <v>0.29444444444444445</v>
      </c>
      <c r="C9563" s="5" t="s">
        <v>50</v>
      </c>
      <c r="D9563" s="5" t="s">
        <v>1440</v>
      </c>
      <c r="E9563" s="8" t="s">
        <v>296</v>
      </c>
      <c r="F9563" s="5" t="s">
        <v>823</v>
      </c>
      <c r="G9563" s="6" t="str">
        <f>VLOOKUP(E9563,dicionario!$A$1:$C9962,2,0)</f>
        <v>Richardia brasiliensis</v>
      </c>
      <c r="H9563" s="6" t="str">
        <f>VLOOKUP(E9563,dicionario!$A$1:$C9962,3,0)</f>
        <v>poaia-branca</v>
      </c>
    </row>
    <row r="9564">
      <c r="A9564" s="3">
        <v>45785.0</v>
      </c>
      <c r="B9564" s="4">
        <v>0.29444444444444445</v>
      </c>
      <c r="C9564" s="5" t="s">
        <v>50</v>
      </c>
      <c r="D9564" s="5" t="s">
        <v>1440</v>
      </c>
      <c r="E9564" s="8" t="s">
        <v>38</v>
      </c>
      <c r="F9564" s="5" t="s">
        <v>1251</v>
      </c>
      <c r="G9564" s="6" t="str">
        <f>VLOOKUP(E9564,dicionario!$A$1:$C9963,2,0)</f>
        <v>Troglodytes musculus</v>
      </c>
      <c r="H9564" s="6" t="str">
        <f>VLOOKUP(E9564,dicionario!$A$1:$C9963,3,0)</f>
        <v>curruíra</v>
      </c>
    </row>
    <row r="9565">
      <c r="A9565" s="3">
        <v>45785.0</v>
      </c>
      <c r="B9565" s="4">
        <v>0.29444444444444445</v>
      </c>
      <c r="C9565" s="5" t="s">
        <v>50</v>
      </c>
      <c r="D9565" s="5" t="s">
        <v>1440</v>
      </c>
      <c r="E9565" s="8" t="s">
        <v>1087</v>
      </c>
      <c r="F9565" s="5" t="s">
        <v>1088</v>
      </c>
      <c r="G9565" s="6" t="str">
        <f>VLOOKUP(E9565,dicionario!$A$1:$C9964,2,0)</f>
        <v>Desmodium triflorum</v>
      </c>
      <c r="H9565" s="6" t="str">
        <f>VLOOKUP(E9565,dicionario!$A$1:$C9964,3,0)</f>
        <v/>
      </c>
    </row>
    <row r="9566">
      <c r="A9566" s="3">
        <v>45785.0</v>
      </c>
      <c r="B9566" s="4">
        <v>0.29444444444444445</v>
      </c>
      <c r="C9566" s="5" t="s">
        <v>50</v>
      </c>
      <c r="D9566" s="5" t="s">
        <v>1440</v>
      </c>
      <c r="E9566" s="8" t="s">
        <v>72</v>
      </c>
      <c r="F9566" s="5" t="s">
        <v>764</v>
      </c>
      <c r="G9566" s="6" t="str">
        <f>VLOOKUP(E9566,dicionario!$A$1:$C9965,2,0)</f>
        <v>Thraupis palmarum</v>
      </c>
      <c r="H9566" s="6" t="str">
        <f>VLOOKUP(E9566,dicionario!$A$1:$C9965,3,0)</f>
        <v>sanhaço-do-coqueiro</v>
      </c>
    </row>
    <row r="9567">
      <c r="A9567" s="3">
        <v>45785.0</v>
      </c>
      <c r="B9567" s="4">
        <v>0.29444444444444445</v>
      </c>
      <c r="C9567" s="5" t="s">
        <v>50</v>
      </c>
      <c r="D9567" s="5" t="s">
        <v>1440</v>
      </c>
      <c r="E9567" s="8" t="s">
        <v>1357</v>
      </c>
      <c r="F9567" s="7"/>
      <c r="G9567" s="6" t="str">
        <f>VLOOKUP(E9567,dicionario!$A$1:$C9966,2,0)</f>
        <v>#N/A</v>
      </c>
      <c r="H9567" s="6" t="str">
        <f>VLOOKUP(E9567,dicionario!$A$1:$C9966,3,0)</f>
        <v>#N/A</v>
      </c>
    </row>
    <row r="9568">
      <c r="A9568" s="3">
        <v>45785.0</v>
      </c>
      <c r="B9568" s="4">
        <v>0.29444444444444445</v>
      </c>
      <c r="C9568" s="5" t="s">
        <v>50</v>
      </c>
      <c r="D9568" s="5" t="s">
        <v>1440</v>
      </c>
      <c r="E9568" s="8" t="s">
        <v>606</v>
      </c>
      <c r="F9568" s="5" t="s">
        <v>853</v>
      </c>
      <c r="G9568" s="6" t="str">
        <f>VLOOKUP(E9568,dicionario!$A$1:$C9967,2,0)</f>
        <v>Elaenia spectabilis</v>
      </c>
      <c r="H9568" s="6" t="str">
        <f>VLOOKUP(E9568,dicionario!$A$1:$C9967,3,0)</f>
        <v>guaracava-grande</v>
      </c>
    </row>
    <row r="9569">
      <c r="A9569" s="3">
        <v>45785.0</v>
      </c>
      <c r="B9569" s="4">
        <v>0.2951388888888889</v>
      </c>
      <c r="C9569" s="5" t="s">
        <v>50</v>
      </c>
      <c r="D9569" s="5" t="s">
        <v>1440</v>
      </c>
      <c r="E9569" s="8" t="s">
        <v>286</v>
      </c>
      <c r="F9569" s="5" t="s">
        <v>781</v>
      </c>
      <c r="G9569" s="6" t="str">
        <f>VLOOKUP(E9569,dicionario!$A$1:$C9968,2,0)</f>
        <v>Setaria parviflora</v>
      </c>
      <c r="H9569" s="6" t="str">
        <f>VLOOKUP(E9569,dicionario!$A$1:$C9968,3,0)</f>
        <v>capim-rabo-de-raposa</v>
      </c>
    </row>
    <row r="9570">
      <c r="A9570" s="3">
        <v>45785.0</v>
      </c>
      <c r="B9570" s="4">
        <v>0.2951388888888889</v>
      </c>
      <c r="C9570" s="5" t="s">
        <v>50</v>
      </c>
      <c r="D9570" s="5" t="s">
        <v>1440</v>
      </c>
      <c r="E9570" s="8" t="s">
        <v>72</v>
      </c>
      <c r="F9570" s="5" t="s">
        <v>764</v>
      </c>
      <c r="G9570" s="6" t="str">
        <f>VLOOKUP(E9570,dicionario!$A$1:$C9969,2,0)</f>
        <v>Thraupis palmarum</v>
      </c>
      <c r="H9570" s="6" t="str">
        <f>VLOOKUP(E9570,dicionario!$A$1:$C9969,3,0)</f>
        <v>sanhaço-do-coqueiro</v>
      </c>
    </row>
    <row r="9571">
      <c r="A9571" s="3">
        <v>45785.0</v>
      </c>
      <c r="B9571" s="4">
        <v>0.2951388888888889</v>
      </c>
      <c r="C9571" s="5" t="s">
        <v>50</v>
      </c>
      <c r="D9571" s="5" t="s">
        <v>1440</v>
      </c>
      <c r="E9571" s="8" t="s">
        <v>88</v>
      </c>
      <c r="F9571" s="5" t="s">
        <v>782</v>
      </c>
      <c r="G9571" s="6" t="str">
        <f>VLOOKUP(E9571,dicionario!$A$1:$C9970,2,0)</f>
        <v>Tyrannus melancolichus</v>
      </c>
      <c r="H9571" s="6" t="str">
        <f>VLOOKUP(E9571,dicionario!$A$1:$C9970,3,0)</f>
        <v>suiriri</v>
      </c>
    </row>
    <row r="9572">
      <c r="A9572" s="3">
        <v>45785.0</v>
      </c>
      <c r="B9572" s="4">
        <v>0.29583333333333334</v>
      </c>
      <c r="C9572" s="5" t="s">
        <v>50</v>
      </c>
      <c r="D9572" s="5" t="s">
        <v>1440</v>
      </c>
      <c r="E9572" s="8" t="s">
        <v>150</v>
      </c>
      <c r="F9572" s="5" t="s">
        <v>769</v>
      </c>
      <c r="G9572" s="6" t="str">
        <f>VLOOKUP(E9572,dicionario!$A$1:$C9971,2,0)</f>
        <v>Amaranthus viridis</v>
      </c>
      <c r="H9572" s="6" t="str">
        <f>VLOOKUP(E9572,dicionario!$A$1:$C9971,3,0)</f>
        <v>caruru-de-mancha</v>
      </c>
    </row>
    <row r="9573">
      <c r="A9573" s="3">
        <v>45785.0</v>
      </c>
      <c r="B9573" s="4">
        <v>0.2965277777777778</v>
      </c>
      <c r="C9573" s="5" t="s">
        <v>50</v>
      </c>
      <c r="D9573" s="5" t="s">
        <v>1440</v>
      </c>
      <c r="E9573" s="8" t="s">
        <v>253</v>
      </c>
      <c r="F9573" s="5" t="s">
        <v>780</v>
      </c>
      <c r="G9573" s="6" t="str">
        <f>VLOOKUP(E9573,dicionario!$A$1:$C9972,2,0)</f>
        <v>Panicum maximum</v>
      </c>
      <c r="H9573" s="6" t="str">
        <f>VLOOKUP(E9573,dicionario!$A$1:$C9972,3,0)</f>
        <v>capim-colonião</v>
      </c>
    </row>
    <row r="9574">
      <c r="A9574" s="3">
        <v>45785.0</v>
      </c>
      <c r="B9574" s="4">
        <v>0.2972222222222222</v>
      </c>
      <c r="C9574" s="5" t="s">
        <v>50</v>
      </c>
      <c r="D9574" s="5" t="s">
        <v>1440</v>
      </c>
      <c r="E9574" s="8" t="s">
        <v>548</v>
      </c>
      <c r="F9574" s="5" t="s">
        <v>549</v>
      </c>
      <c r="G9574" s="6" t="str">
        <f>VLOOKUP(E9574,dicionario!$A$1:$C9973,2,0)</f>
        <v>Ricinus communis</v>
      </c>
      <c r="H9574" s="6" t="str">
        <f>VLOOKUP(E9574,dicionario!$A$1:$C9973,3,0)</f>
        <v>mamona</v>
      </c>
    </row>
    <row r="9575">
      <c r="A9575" s="3">
        <v>45785.0</v>
      </c>
      <c r="B9575" s="4">
        <v>0.2972222222222222</v>
      </c>
      <c r="C9575" s="5" t="s">
        <v>50</v>
      </c>
      <c r="D9575" s="5" t="s">
        <v>1440</v>
      </c>
      <c r="E9575" s="8" t="s">
        <v>195</v>
      </c>
      <c r="F9575" s="5" t="s">
        <v>196</v>
      </c>
      <c r="G9575" s="6" t="str">
        <f>VLOOKUP(E9575,dicionario!$A$1:$C9974,2,0)</f>
        <v>Priva lappulacea</v>
      </c>
      <c r="H9575" s="6" t="str">
        <f>VLOOKUP(E9575,dicionario!$A$1:$C9974,3,0)</f>
        <v>carrapicho</v>
      </c>
    </row>
    <row r="9576">
      <c r="A9576" s="3">
        <v>45785.0</v>
      </c>
      <c r="B9576" s="4">
        <v>0.2972222222222222</v>
      </c>
      <c r="C9576" s="5" t="s">
        <v>50</v>
      </c>
      <c r="D9576" s="5" t="s">
        <v>1440</v>
      </c>
      <c r="E9576" s="8" t="s">
        <v>135</v>
      </c>
      <c r="F9576" s="5" t="s">
        <v>833</v>
      </c>
      <c r="G9576" s="6" t="str">
        <f>VLOOKUP(E9576,dicionario!$A$1:$C9975,2,0)</f>
        <v>Tridax procumbens</v>
      </c>
      <c r="H9576" s="6" t="str">
        <f>VLOOKUP(E9576,dicionario!$A$1:$C9975,3,0)</f>
        <v>erva-de-touro</v>
      </c>
    </row>
    <row r="9577">
      <c r="A9577" s="3">
        <v>45785.0</v>
      </c>
      <c r="B9577" s="4">
        <v>0.2972222222222222</v>
      </c>
      <c r="C9577" s="5" t="s">
        <v>50</v>
      </c>
      <c r="D9577" s="5" t="s">
        <v>1440</v>
      </c>
      <c r="E9577" s="8" t="s">
        <v>425</v>
      </c>
      <c r="F9577" s="5" t="s">
        <v>828</v>
      </c>
      <c r="G9577" s="6" t="str">
        <f>VLOOKUP(E9577,dicionario!$A$1:$C9976,2,0)</f>
        <v>Digitaria insularis</v>
      </c>
      <c r="H9577" s="6" t="str">
        <f>VLOOKUP(E9577,dicionario!$A$1:$C9976,3,0)</f>
        <v>capim-amargoso</v>
      </c>
    </row>
    <row r="9578">
      <c r="A9578" s="3">
        <v>45785.0</v>
      </c>
      <c r="B9578" s="4">
        <v>0.2972222222222222</v>
      </c>
      <c r="C9578" s="5" t="s">
        <v>50</v>
      </c>
      <c r="D9578" s="5" t="s">
        <v>1440</v>
      </c>
      <c r="E9578" s="8" t="s">
        <v>227</v>
      </c>
      <c r="F9578" s="5" t="s">
        <v>813</v>
      </c>
      <c r="G9578" s="6" t="str">
        <f>VLOOKUP(E9578,dicionario!$A$1:$C9977,2,0)</f>
        <v>Indigofera hirsuta</v>
      </c>
      <c r="H9578" s="6" t="str">
        <f>VLOOKUP(E9578,dicionario!$A$1:$C9977,3,0)</f>
        <v>anileira</v>
      </c>
    </row>
    <row r="9579">
      <c r="A9579" s="3">
        <v>45785.0</v>
      </c>
      <c r="B9579" s="4">
        <v>0.2972222222222222</v>
      </c>
      <c r="C9579" s="5" t="s">
        <v>50</v>
      </c>
      <c r="D9579" s="5" t="s">
        <v>1440</v>
      </c>
      <c r="E9579" s="8" t="s">
        <v>271</v>
      </c>
      <c r="F9579" s="5" t="s">
        <v>1169</v>
      </c>
      <c r="G9579" s="6" t="str">
        <f>VLOOKUP(E9579,dicionario!$A$1:$C9978,2,0)</f>
        <v>Cyanthillium cinereum</v>
      </c>
      <c r="H9579" s="6" t="str">
        <f>VLOOKUP(E9579,dicionario!$A$1:$C9978,3,0)</f>
        <v>emília</v>
      </c>
    </row>
    <row r="9580">
      <c r="A9580" s="3">
        <v>45785.0</v>
      </c>
      <c r="B9580" s="4">
        <v>0.29791666666666666</v>
      </c>
      <c r="C9580" s="5" t="s">
        <v>50</v>
      </c>
      <c r="D9580" s="5" t="s">
        <v>1440</v>
      </c>
      <c r="E9580" s="8" t="s">
        <v>1455</v>
      </c>
      <c r="F9580" s="5" t="s">
        <v>924</v>
      </c>
      <c r="G9580" s="6" t="str">
        <f>VLOOKUP(E9580,dicionario!$A$1:$C9979,2,0)</f>
        <v>#N/A</v>
      </c>
      <c r="H9580" s="6" t="str">
        <f>VLOOKUP(E9580,dicionario!$A$1:$C9979,3,0)</f>
        <v>#N/A</v>
      </c>
    </row>
    <row r="9581">
      <c r="A9581" s="3">
        <v>45785.0</v>
      </c>
      <c r="B9581" s="4">
        <v>0.29791666666666666</v>
      </c>
      <c r="C9581" s="5" t="s">
        <v>50</v>
      </c>
      <c r="D9581" s="5" t="s">
        <v>1440</v>
      </c>
      <c r="E9581" s="8" t="s">
        <v>353</v>
      </c>
      <c r="F9581" s="5" t="s">
        <v>354</v>
      </c>
      <c r="G9581" s="6" t="str">
        <f>VLOOKUP(E9581,dicionario!$A$1:$C9980,2,0)</f>
        <v>Desmodium incanum</v>
      </c>
      <c r="H9581" s="6" t="str">
        <f>VLOOKUP(E9581,dicionario!$A$1:$C9980,3,0)</f>
        <v>pega-pega</v>
      </c>
    </row>
    <row r="9582">
      <c r="A9582" s="3">
        <v>45785.0</v>
      </c>
      <c r="B9582" s="4">
        <v>0.29791666666666666</v>
      </c>
      <c r="C9582" s="5" t="s">
        <v>50</v>
      </c>
      <c r="D9582" s="5" t="s">
        <v>1440</v>
      </c>
      <c r="E9582" s="8" t="s">
        <v>298</v>
      </c>
      <c r="F9582" s="7"/>
      <c r="G9582" s="6" t="str">
        <f>VLOOKUP(E9582,dicionario!$A$1:$C9981,2,0)</f>
        <v>Alysicarpus vaginalis</v>
      </c>
      <c r="H9582" s="6" t="str">
        <f>VLOOKUP(E9582,dicionario!$A$1:$C9981,3,0)</f>
        <v/>
      </c>
    </row>
    <row r="9583">
      <c r="A9583" s="3">
        <v>45785.0</v>
      </c>
      <c r="B9583" s="4">
        <v>0.29791666666666666</v>
      </c>
      <c r="C9583" s="5" t="s">
        <v>50</v>
      </c>
      <c r="D9583" s="5" t="s">
        <v>1440</v>
      </c>
      <c r="E9583" s="6" t="s">
        <v>53</v>
      </c>
      <c r="F9583" s="5" t="s">
        <v>54</v>
      </c>
      <c r="G9583" s="6" t="str">
        <f>VLOOKUP(E9583,dicionario!$A$1:$C9982,2,0)</f>
        <v>Turnera subulata</v>
      </c>
      <c r="H9583" s="6" t="str">
        <f>VLOOKUP(E9583,dicionario!$A$1:$C9982,3,0)</f>
        <v>xanana</v>
      </c>
    </row>
    <row r="9584">
      <c r="A9584" s="3">
        <v>45785.0</v>
      </c>
      <c r="B9584" s="4">
        <v>0.29791666666666666</v>
      </c>
      <c r="C9584" s="5" t="s">
        <v>50</v>
      </c>
      <c r="D9584" s="5" t="s">
        <v>1440</v>
      </c>
      <c r="E9584" s="8" t="s">
        <v>177</v>
      </c>
      <c r="F9584" s="5" t="s">
        <v>804</v>
      </c>
      <c r="G9584" s="6" t="str">
        <f>VLOOKUP(E9584,dicionario!$A$1:$C9983,2,0)</f>
        <v>Elaenia flavogaster</v>
      </c>
      <c r="H9584" s="6" t="str">
        <f>VLOOKUP(E9584,dicionario!$A$1:$C9983,3,0)</f>
        <v>guaracava-de-barriga-amarela</v>
      </c>
    </row>
    <row r="9585">
      <c r="A9585" s="3">
        <v>45785.0</v>
      </c>
      <c r="B9585" s="4">
        <v>0.29791666666666666</v>
      </c>
      <c r="C9585" s="5" t="s">
        <v>50</v>
      </c>
      <c r="D9585" s="5" t="s">
        <v>1440</v>
      </c>
      <c r="E9585" s="8" t="s">
        <v>213</v>
      </c>
      <c r="F9585" s="5" t="s">
        <v>1456</v>
      </c>
      <c r="G9585" s="6" t="str">
        <f>VLOOKUP(E9585,dicionario!$A$1:$C9984,2,0)</f>
        <v>Myiozetetes similis</v>
      </c>
      <c r="H9585" s="6" t="str">
        <f>VLOOKUP(E9585,dicionario!$A$1:$C9984,3,0)</f>
        <v>bentevizinho-de-penacho-vermelho</v>
      </c>
    </row>
    <row r="9586">
      <c r="A9586" s="3">
        <v>45785.0</v>
      </c>
      <c r="B9586" s="4">
        <v>0.2986111111111111</v>
      </c>
      <c r="C9586" s="5" t="s">
        <v>50</v>
      </c>
      <c r="D9586" s="5" t="s">
        <v>1440</v>
      </c>
      <c r="E9586" s="8" t="s">
        <v>1282</v>
      </c>
      <c r="F9586" s="5" t="s">
        <v>778</v>
      </c>
      <c r="G9586" s="6" t="str">
        <f>VLOOKUP(E9586,dicionario!$A$1:$C9985,2,0)</f>
        <v>#N/A</v>
      </c>
      <c r="H9586" s="6" t="str">
        <f>VLOOKUP(E9586,dicionario!$A$1:$C9985,3,0)</f>
        <v>#N/A</v>
      </c>
    </row>
    <row r="9587">
      <c r="A9587" s="3">
        <v>45785.0</v>
      </c>
      <c r="B9587" s="4">
        <v>0.2986111111111111</v>
      </c>
      <c r="C9587" s="5" t="s">
        <v>50</v>
      </c>
      <c r="D9587" s="5" t="s">
        <v>1440</v>
      </c>
      <c r="E9587" s="8" t="s">
        <v>1331</v>
      </c>
      <c r="F9587" s="5" t="s">
        <v>770</v>
      </c>
      <c r="G9587" s="6" t="str">
        <f>VLOOKUP(E9587,dicionario!$A$1:$C9986,2,0)</f>
        <v>#N/A</v>
      </c>
      <c r="H9587" s="6" t="str">
        <f>VLOOKUP(E9587,dicionario!$A$1:$C9986,3,0)</f>
        <v>#N/A</v>
      </c>
    </row>
    <row r="9588">
      <c r="A9588" s="3">
        <v>45785.0</v>
      </c>
      <c r="B9588" s="4">
        <v>0.3</v>
      </c>
      <c r="C9588" s="5" t="s">
        <v>59</v>
      </c>
      <c r="D9588" s="5" t="s">
        <v>1440</v>
      </c>
      <c r="E9588" s="6" t="s">
        <v>86</v>
      </c>
      <c r="F9588" s="5" t="s">
        <v>502</v>
      </c>
      <c r="G9588" s="6" t="str">
        <f>VLOOKUP(E9588,dicionario!$A$1:$C9987,2,0)</f>
        <v>Coereba flaveola</v>
      </c>
      <c r="H9588" s="6" t="str">
        <f>VLOOKUP(E9588,dicionario!$A$1:$C9987,3,0)</f>
        <v>cambacica</v>
      </c>
    </row>
    <row r="9589">
      <c r="A9589" s="3">
        <v>45785.0</v>
      </c>
      <c r="B9589" s="4">
        <v>0.3</v>
      </c>
      <c r="C9589" s="5" t="s">
        <v>59</v>
      </c>
      <c r="D9589" s="5" t="s">
        <v>1440</v>
      </c>
      <c r="E9589" s="6" t="s">
        <v>148</v>
      </c>
      <c r="F9589" s="5" t="s">
        <v>149</v>
      </c>
      <c r="G9589" s="6" t="str">
        <f>VLOOKUP(E9589,dicionario!$A$1:$C9988,2,0)</f>
        <v>Parthenium hysterophorus</v>
      </c>
      <c r="H9589" s="6" t="str">
        <f>VLOOKUP(E9589,dicionario!$A$1:$C9988,3,0)</f>
        <v>losna-branca</v>
      </c>
    </row>
    <row r="9590">
      <c r="A9590" s="3">
        <v>45785.0</v>
      </c>
      <c r="B9590" s="4">
        <v>0.3</v>
      </c>
      <c r="C9590" s="5" t="s">
        <v>59</v>
      </c>
      <c r="D9590" s="5" t="s">
        <v>1440</v>
      </c>
      <c r="E9590" s="8" t="s">
        <v>1310</v>
      </c>
      <c r="F9590" s="5" t="s">
        <v>1449</v>
      </c>
      <c r="G9590" s="6" t="str">
        <f>VLOOKUP(E9590,dicionario!$A$1:$C9989,2,0)</f>
        <v>#N/A</v>
      </c>
      <c r="H9590" s="6" t="str">
        <f>VLOOKUP(E9590,dicionario!$A$1:$C9989,3,0)</f>
        <v>#N/A</v>
      </c>
    </row>
    <row r="9591">
      <c r="A9591" s="3">
        <v>45785.0</v>
      </c>
      <c r="B9591" s="4">
        <v>0.3</v>
      </c>
      <c r="C9591" s="5" t="s">
        <v>59</v>
      </c>
      <c r="D9591" s="5" t="s">
        <v>1440</v>
      </c>
      <c r="E9591" s="8" t="s">
        <v>296</v>
      </c>
      <c r="F9591" s="5" t="s">
        <v>823</v>
      </c>
      <c r="G9591" s="6" t="str">
        <f>VLOOKUP(E9591,dicionario!$A$1:$C9990,2,0)</f>
        <v>Richardia brasiliensis</v>
      </c>
      <c r="H9591" s="6" t="str">
        <f>VLOOKUP(E9591,dicionario!$A$1:$C9990,3,0)</f>
        <v>poaia-branca</v>
      </c>
    </row>
    <row r="9592">
      <c r="A9592" s="3">
        <v>45785.0</v>
      </c>
      <c r="B9592" s="4">
        <v>0.30069444444444443</v>
      </c>
      <c r="C9592" s="5" t="s">
        <v>59</v>
      </c>
      <c r="D9592" s="5" t="s">
        <v>1440</v>
      </c>
      <c r="E9592" s="6" t="s">
        <v>53</v>
      </c>
      <c r="F9592" s="5" t="s">
        <v>54</v>
      </c>
      <c r="G9592" s="6" t="str">
        <f>VLOOKUP(E9592,dicionario!$A$1:$C9991,2,0)</f>
        <v>Turnera subulata</v>
      </c>
      <c r="H9592" s="6" t="str">
        <f>VLOOKUP(E9592,dicionario!$A$1:$C9991,3,0)</f>
        <v>xanana</v>
      </c>
    </row>
    <row r="9593">
      <c r="A9593" s="3">
        <v>45785.0</v>
      </c>
      <c r="B9593" s="4">
        <v>0.30069444444444443</v>
      </c>
      <c r="C9593" s="5" t="s">
        <v>59</v>
      </c>
      <c r="D9593" s="5" t="s">
        <v>1440</v>
      </c>
      <c r="E9593" s="8" t="s">
        <v>135</v>
      </c>
      <c r="F9593" s="5" t="s">
        <v>833</v>
      </c>
      <c r="G9593" s="6" t="str">
        <f>VLOOKUP(E9593,dicionario!$A$1:$C9992,2,0)</f>
        <v>Tridax procumbens</v>
      </c>
      <c r="H9593" s="6" t="str">
        <f>VLOOKUP(E9593,dicionario!$A$1:$C9992,3,0)</f>
        <v>erva-de-touro</v>
      </c>
    </row>
    <row r="9594">
      <c r="A9594" s="3">
        <v>45785.0</v>
      </c>
      <c r="B9594" s="4">
        <v>0.30069444444444443</v>
      </c>
      <c r="C9594" s="5" t="s">
        <v>59</v>
      </c>
      <c r="D9594" s="5" t="s">
        <v>1440</v>
      </c>
      <c r="E9594" s="8" t="s">
        <v>144</v>
      </c>
      <c r="F9594" s="5" t="s">
        <v>791</v>
      </c>
      <c r="G9594" s="6" t="str">
        <f>VLOOKUP(E9594,dicionario!$A$1:$C9993,2,0)</f>
        <v>Gomphrena globosa</v>
      </c>
      <c r="H9594" s="6" t="str">
        <f>VLOOKUP(E9594,dicionario!$A$1:$C9993,3,0)</f>
        <v>perpétua-rosa</v>
      </c>
    </row>
    <row r="9595">
      <c r="A9595" s="3">
        <v>45785.0</v>
      </c>
      <c r="B9595" s="4">
        <v>0.30069444444444443</v>
      </c>
      <c r="C9595" s="5" t="s">
        <v>59</v>
      </c>
      <c r="D9595" s="5" t="s">
        <v>1440</v>
      </c>
      <c r="E9595" s="8" t="s">
        <v>758</v>
      </c>
      <c r="F9595" s="5" t="s">
        <v>874</v>
      </c>
      <c r="G9595" s="6" t="str">
        <f>VLOOKUP(E9595,dicionario!$A$1:$C9994,2,0)</f>
        <v>Cyperus esculentus</v>
      </c>
      <c r="H9595" s="6" t="str">
        <f>VLOOKUP(E9595,dicionario!$A$1:$C9994,3,0)</f>
        <v>tiriricão</v>
      </c>
    </row>
    <row r="9596">
      <c r="A9596" s="3">
        <v>45785.0</v>
      </c>
      <c r="B9596" s="4">
        <v>0.3013888888888889</v>
      </c>
      <c r="C9596" s="5" t="s">
        <v>59</v>
      </c>
      <c r="D9596" s="5" t="s">
        <v>1440</v>
      </c>
      <c r="E9596" s="8" t="s">
        <v>298</v>
      </c>
      <c r="F9596" s="7"/>
      <c r="G9596" s="6" t="str">
        <f>VLOOKUP(E9596,dicionario!$A$1:$C9995,2,0)</f>
        <v>Alysicarpus vaginalis</v>
      </c>
      <c r="H9596" s="6" t="str">
        <f>VLOOKUP(E9596,dicionario!$A$1:$C9995,3,0)</f>
        <v/>
      </c>
    </row>
    <row r="9597">
      <c r="A9597" s="3">
        <v>45785.0</v>
      </c>
      <c r="B9597" s="4">
        <v>0.3013888888888889</v>
      </c>
      <c r="C9597" s="5" t="s">
        <v>59</v>
      </c>
      <c r="D9597" s="5" t="s">
        <v>1440</v>
      </c>
      <c r="E9597" s="8" t="s">
        <v>239</v>
      </c>
      <c r="F9597" s="5" t="s">
        <v>816</v>
      </c>
      <c r="G9597" s="6" t="str">
        <f>VLOOKUP(E9597,dicionario!$A$1:$C9996,2,0)</f>
        <v>Gomphrena celosioides</v>
      </c>
      <c r="H9597" s="6" t="str">
        <f>VLOOKUP(E9597,dicionario!$A$1:$C9996,3,0)</f>
        <v>perpétua-branca</v>
      </c>
    </row>
    <row r="9598">
      <c r="A9598" s="3">
        <v>45785.0</v>
      </c>
      <c r="B9598" s="4">
        <v>0.3013888888888889</v>
      </c>
      <c r="C9598" s="5" t="s">
        <v>59</v>
      </c>
      <c r="D9598" s="5" t="s">
        <v>1440</v>
      </c>
      <c r="E9598" s="8" t="s">
        <v>1280</v>
      </c>
      <c r="F9598" s="5" t="s">
        <v>1156</v>
      </c>
      <c r="G9598" s="6" t="str">
        <f>VLOOKUP(E9598,dicionario!$A$1:$C9997,2,0)</f>
        <v>Paspalum notatum</v>
      </c>
      <c r="H9598" s="6" t="str">
        <f>VLOOKUP(E9598,dicionario!$A$1:$C9997,3,0)</f>
        <v>capim-forquilha</v>
      </c>
    </row>
    <row r="9599">
      <c r="A9599" s="3">
        <v>45785.0</v>
      </c>
      <c r="B9599" s="4">
        <v>0.3013888888888889</v>
      </c>
      <c r="C9599" s="5" t="s">
        <v>59</v>
      </c>
      <c r="D9599" s="5" t="s">
        <v>1440</v>
      </c>
      <c r="E9599" s="8" t="s">
        <v>286</v>
      </c>
      <c r="F9599" s="5" t="s">
        <v>781</v>
      </c>
      <c r="G9599" s="6" t="str">
        <f>VLOOKUP(E9599,dicionario!$A$1:$C9998,2,0)</f>
        <v>Setaria parviflora</v>
      </c>
      <c r="H9599" s="6" t="str">
        <f>VLOOKUP(E9599,dicionario!$A$1:$C9998,3,0)</f>
        <v>capim-rabo-de-raposa</v>
      </c>
    </row>
    <row r="9600">
      <c r="A9600" s="3">
        <v>45785.0</v>
      </c>
      <c r="B9600" s="4">
        <v>0.3020833333333333</v>
      </c>
      <c r="C9600" s="5" t="s">
        <v>59</v>
      </c>
      <c r="D9600" s="5" t="s">
        <v>1440</v>
      </c>
      <c r="E9600" s="12" t="s">
        <v>152</v>
      </c>
      <c r="F9600" s="5" t="s">
        <v>789</v>
      </c>
      <c r="G9600" s="6" t="str">
        <f>VLOOKUP(E9600,dicionario!$A$1:$C9999,2,0)</f>
        <v>Cynodon dactylon</v>
      </c>
      <c r="H9600" s="6" t="str">
        <f>VLOOKUP(E9600,dicionario!$A$1:$C9999,3,0)</f>
        <v>grama-bermuda</v>
      </c>
    </row>
    <row r="9601">
      <c r="A9601" s="3">
        <v>45785.0</v>
      </c>
      <c r="B9601" s="4">
        <v>0.3020833333333333</v>
      </c>
      <c r="C9601" s="5" t="s">
        <v>59</v>
      </c>
      <c r="D9601" s="5" t="s">
        <v>1440</v>
      </c>
      <c r="E9601" s="20" t="s">
        <v>676</v>
      </c>
      <c r="F9601" s="5" t="s">
        <v>1370</v>
      </c>
      <c r="G9601" s="6" t="str">
        <f>VLOOKUP(E9601,dicionario!$A$1:$C10000,2,0)</f>
        <v>Zornia latifolia</v>
      </c>
      <c r="H9601" s="6" t="str">
        <f>VLOOKUP(E9601,dicionario!$A$1:$C10000,3,0)</f>
        <v>arrozinho-do-campo</v>
      </c>
    </row>
    <row r="9602">
      <c r="A9602" s="3">
        <v>45785.0</v>
      </c>
      <c r="B9602" s="4">
        <v>0.3020833333333333</v>
      </c>
      <c r="C9602" s="5" t="s">
        <v>59</v>
      </c>
      <c r="D9602" s="5" t="s">
        <v>1440</v>
      </c>
      <c r="E9602" s="8" t="s">
        <v>849</v>
      </c>
      <c r="F9602" s="5" t="s">
        <v>1457</v>
      </c>
      <c r="G9602" s="6" t="str">
        <f>VLOOKUP(E9602,dicionario!$A$1:$C10001,2,0)</f>
        <v>#N/A</v>
      </c>
      <c r="H9602" s="6" t="str">
        <f>VLOOKUP(E9602,dicionario!$A$1:$C10001,3,0)</f>
        <v>#N/A</v>
      </c>
    </row>
    <row r="9603">
      <c r="A9603" s="3">
        <v>45785.0</v>
      </c>
      <c r="B9603" s="4">
        <v>0.3034722222222222</v>
      </c>
      <c r="C9603" s="5" t="s">
        <v>59</v>
      </c>
      <c r="D9603" s="5" t="s">
        <v>1440</v>
      </c>
      <c r="E9603" s="6" t="s">
        <v>471</v>
      </c>
      <c r="F9603" s="5" t="s">
        <v>472</v>
      </c>
      <c r="G9603" s="6" t="str">
        <f>VLOOKUP(E9603,dicionario!$A$1:$C10002,2,0)</f>
        <v>Sida acuta</v>
      </c>
      <c r="H9603" s="6" t="str">
        <f>VLOOKUP(E9603,dicionario!$A$1:$C10002,3,0)</f>
        <v>reloginho</v>
      </c>
    </row>
    <row r="9604">
      <c r="A9604" s="3">
        <v>45785.0</v>
      </c>
      <c r="B9604" s="4">
        <v>0.3034722222222222</v>
      </c>
      <c r="C9604" s="5" t="s">
        <v>59</v>
      </c>
      <c r="D9604" s="5" t="s">
        <v>1440</v>
      </c>
      <c r="E9604" s="8" t="s">
        <v>1328</v>
      </c>
      <c r="F9604" s="5" t="s">
        <v>799</v>
      </c>
      <c r="G9604" s="6" t="str">
        <f>VLOOKUP(E9604,dicionario!$A$1:$C10003,2,0)</f>
        <v>#N/A</v>
      </c>
      <c r="H9604" s="6" t="str">
        <f>VLOOKUP(E9604,dicionario!$A$1:$C10003,3,0)</f>
        <v>#N/A</v>
      </c>
    </row>
    <row r="9605">
      <c r="A9605" s="3">
        <v>45785.0</v>
      </c>
      <c r="B9605" s="4">
        <v>0.30486111111111114</v>
      </c>
      <c r="C9605" s="5" t="s">
        <v>59</v>
      </c>
      <c r="D9605" s="5" t="s">
        <v>1440</v>
      </c>
      <c r="E9605" s="8" t="s">
        <v>227</v>
      </c>
      <c r="F9605" s="5" t="s">
        <v>228</v>
      </c>
      <c r="G9605" s="6" t="str">
        <f>VLOOKUP(E9605,dicionario!$A$1:$C10004,2,0)</f>
        <v>Indigofera hirsuta</v>
      </c>
      <c r="H9605" s="6" t="str">
        <f>VLOOKUP(E9605,dicionario!$A$1:$C10004,3,0)</f>
        <v>anileira</v>
      </c>
    </row>
    <row r="9606">
      <c r="A9606" s="3">
        <v>45785.0</v>
      </c>
      <c r="B9606" s="4">
        <v>0.30486111111111114</v>
      </c>
      <c r="C9606" s="5" t="s">
        <v>59</v>
      </c>
      <c r="D9606" s="5" t="s">
        <v>1440</v>
      </c>
      <c r="E9606" s="8" t="s">
        <v>1104</v>
      </c>
      <c r="F9606" s="5" t="s">
        <v>1105</v>
      </c>
      <c r="G9606" s="6" t="str">
        <f>VLOOKUP(E9606,dicionario!$A$1:$C10005,2,0)</f>
        <v>Rhynchospora speciosa</v>
      </c>
      <c r="H9606" s="6" t="str">
        <f>VLOOKUP(E9606,dicionario!$A$1:$C10005,3,0)</f>
        <v>capim-estrela</v>
      </c>
    </row>
    <row r="9607">
      <c r="A9607" s="3">
        <v>45785.0</v>
      </c>
      <c r="B9607" s="4">
        <v>0.30486111111111114</v>
      </c>
      <c r="C9607" s="5" t="s">
        <v>59</v>
      </c>
      <c r="D9607" s="5" t="s">
        <v>1440</v>
      </c>
      <c r="E9607" s="8" t="s">
        <v>118</v>
      </c>
      <c r="F9607" s="5" t="s">
        <v>119</v>
      </c>
      <c r="G9607" s="6" t="str">
        <f>VLOOKUP(E9607,dicionario!$A$1:$C10006,2,0)</f>
        <v>Agaricus</v>
      </c>
      <c r="H9607" s="6" t="str">
        <f>VLOOKUP(E9607,dicionario!$A$1:$C10006,3,0)</f>
        <v>cogumelo</v>
      </c>
    </row>
    <row r="9608">
      <c r="A9608" s="3">
        <v>45785.0</v>
      </c>
      <c r="B9608" s="4">
        <v>0.30486111111111114</v>
      </c>
      <c r="C9608" s="5" t="s">
        <v>59</v>
      </c>
      <c r="D9608" s="5" t="s">
        <v>1440</v>
      </c>
      <c r="E9608" s="8" t="s">
        <v>258</v>
      </c>
      <c r="F9608" s="5" t="s">
        <v>259</v>
      </c>
      <c r="G9608" s="6" t="str">
        <f>VLOOKUP(E9608,dicionario!$A$1:$C10007,2,0)</f>
        <v>Lantana camara</v>
      </c>
      <c r="H9608" s="6" t="str">
        <f>VLOOKUP(E9608,dicionario!$A$1:$C10007,3,0)</f>
        <v>lantana</v>
      </c>
    </row>
    <row r="9609">
      <c r="A9609" s="3">
        <v>45785.0</v>
      </c>
      <c r="B9609" s="4">
        <v>0.30486111111111114</v>
      </c>
      <c r="C9609" s="5" t="s">
        <v>59</v>
      </c>
      <c r="D9609" s="5" t="s">
        <v>1440</v>
      </c>
      <c r="E9609" s="8" t="s">
        <v>712</v>
      </c>
      <c r="F9609" s="5" t="s">
        <v>912</v>
      </c>
      <c r="G9609" s="6" t="str">
        <f>VLOOKUP(E9609,dicionario!$A$1:$C10008,2,0)</f>
        <v>Flavopunctelia soredica</v>
      </c>
      <c r="H9609" s="6" t="str">
        <f>VLOOKUP(E9609,dicionario!$A$1:$C10008,3,0)</f>
        <v>líquen-folioso</v>
      </c>
    </row>
    <row r="9610">
      <c r="A9610" s="3">
        <v>45785.0</v>
      </c>
      <c r="B9610" s="4">
        <v>0.30486111111111114</v>
      </c>
      <c r="C9610" s="5" t="s">
        <v>59</v>
      </c>
      <c r="D9610" s="5" t="s">
        <v>1440</v>
      </c>
      <c r="E9610" s="8" t="s">
        <v>719</v>
      </c>
      <c r="F9610" s="5" t="s">
        <v>1458</v>
      </c>
      <c r="G9610" s="6" t="str">
        <f>VLOOKUP(E9610,dicionario!$A$1:$C10009,2,0)</f>
        <v>Dirinaria</v>
      </c>
      <c r="H9610" s="6" t="str">
        <f>VLOOKUP(E9610,dicionario!$A$1:$C10009,3,0)</f>
        <v>líquen-crostoso</v>
      </c>
    </row>
    <row r="9611">
      <c r="A9611" s="3">
        <v>45785.0</v>
      </c>
      <c r="B9611" s="4">
        <v>0.3055555555555556</v>
      </c>
      <c r="C9611" s="5" t="s">
        <v>59</v>
      </c>
      <c r="D9611" s="5" t="s">
        <v>1440</v>
      </c>
      <c r="E9611" s="8" t="s">
        <v>107</v>
      </c>
      <c r="F9611" s="5" t="s">
        <v>834</v>
      </c>
      <c r="G9611" s="6" t="str">
        <f>VLOOKUP(E9611,dicionario!$A$1:$C10010,2,0)</f>
        <v>Ramalina complanata</v>
      </c>
      <c r="H9611" s="6" t="str">
        <f>VLOOKUP(E9611,dicionario!$A$1:$C10010,3,0)</f>
        <v>ramalina</v>
      </c>
    </row>
    <row r="9612">
      <c r="A9612" s="3">
        <v>45785.0</v>
      </c>
      <c r="B9612" s="4">
        <v>0.3055555555555556</v>
      </c>
      <c r="C9612" s="5" t="s">
        <v>59</v>
      </c>
      <c r="D9612" s="5" t="s">
        <v>1440</v>
      </c>
      <c r="E9612" s="8" t="s">
        <v>1024</v>
      </c>
      <c r="F9612" s="5" t="s">
        <v>969</v>
      </c>
      <c r="G9612" s="6" t="str">
        <f>VLOOKUP(E9612,dicionario!$A$1:$C10011,2,0)</f>
        <v>Usnea barbata</v>
      </c>
      <c r="H9612" s="6" t="str">
        <f>VLOOKUP(E9612,dicionario!$A$1:$C10011,3,0)</f>
        <v>barba-de-velho</v>
      </c>
    </row>
    <row r="9613">
      <c r="A9613" s="3">
        <v>45785.0</v>
      </c>
      <c r="B9613" s="4">
        <v>0.3055555555555556</v>
      </c>
      <c r="C9613" s="5" t="s">
        <v>59</v>
      </c>
      <c r="D9613" s="5" t="s">
        <v>1440</v>
      </c>
      <c r="E9613" s="12" t="s">
        <v>243</v>
      </c>
      <c r="F9613" s="5" t="s">
        <v>824</v>
      </c>
      <c r="G9613" s="6" t="str">
        <f>VLOOKUP(E9613,dicionario!$A$1:$C10012,2,0)</f>
        <v>Macroptilium atropurpureum</v>
      </c>
      <c r="H9613" s="6" t="str">
        <f>VLOOKUP(E9613,dicionario!$A$1:$C10012,3,0)</f>
        <v>feijão-de-pombo</v>
      </c>
    </row>
    <row r="9614">
      <c r="A9614" s="3">
        <v>45785.0</v>
      </c>
      <c r="B9614" s="4">
        <v>0.3055555555555556</v>
      </c>
      <c r="C9614" s="5" t="s">
        <v>59</v>
      </c>
      <c r="D9614" s="5" t="s">
        <v>1440</v>
      </c>
      <c r="E9614" s="8" t="s">
        <v>1347</v>
      </c>
      <c r="F9614" s="5" t="s">
        <v>1168</v>
      </c>
      <c r="G9614" s="6" t="str">
        <f>VLOOKUP(E9614,dicionario!$A$1:$C10013,2,0)</f>
        <v>#N/A</v>
      </c>
      <c r="H9614" s="6" t="str">
        <f>VLOOKUP(E9614,dicionario!$A$1:$C10013,3,0)</f>
        <v>#N/A</v>
      </c>
    </row>
    <row r="9615">
      <c r="A9615" s="3">
        <v>45785.0</v>
      </c>
      <c r="B9615" s="4">
        <v>0.3055555555555556</v>
      </c>
      <c r="C9615" s="5" t="s">
        <v>59</v>
      </c>
      <c r="D9615" s="5" t="s">
        <v>1440</v>
      </c>
      <c r="E9615" s="8" t="s">
        <v>1347</v>
      </c>
      <c r="F9615" s="5" t="s">
        <v>1418</v>
      </c>
      <c r="G9615" s="6" t="str">
        <f>VLOOKUP(E9615,dicionario!$A$1:$C10014,2,0)</f>
        <v>#N/A</v>
      </c>
      <c r="H9615" s="6" t="str">
        <f>VLOOKUP(E9615,dicionario!$A$1:$C10014,3,0)</f>
        <v>#N/A</v>
      </c>
    </row>
    <row r="9616">
      <c r="A9616" s="3">
        <v>45785.0</v>
      </c>
      <c r="B9616" s="4">
        <v>0.30625</v>
      </c>
      <c r="C9616" s="5" t="s">
        <v>59</v>
      </c>
      <c r="D9616" s="5" t="s">
        <v>1440</v>
      </c>
      <c r="E9616" s="8" t="s">
        <v>1285</v>
      </c>
      <c r="F9616" s="5" t="s">
        <v>1286</v>
      </c>
      <c r="G9616" s="6" t="str">
        <f>VLOOKUP(E9616,dicionario!$A$1:$C10015,2,0)</f>
        <v>#N/A</v>
      </c>
      <c r="H9616" s="6" t="str">
        <f>VLOOKUP(E9616,dicionario!$A$1:$C10015,3,0)</f>
        <v>#N/A</v>
      </c>
    </row>
    <row r="9617">
      <c r="A9617" s="3">
        <v>45785.0</v>
      </c>
      <c r="B9617" s="4">
        <v>0.30694444444444446</v>
      </c>
      <c r="C9617" s="5" t="s">
        <v>59</v>
      </c>
      <c r="D9617" s="5" t="s">
        <v>1440</v>
      </c>
      <c r="E9617" s="8" t="s">
        <v>579</v>
      </c>
      <c r="F9617" s="5" t="s">
        <v>1459</v>
      </c>
      <c r="G9617" s="6" t="str">
        <f>VLOOKUP(E9617,dicionario!$A$1:$C10016,2,0)</f>
        <v>Piper tuberculatum</v>
      </c>
      <c r="H9617" s="6" t="str">
        <f>VLOOKUP(E9617,dicionario!$A$1:$C10016,3,0)</f>
        <v/>
      </c>
    </row>
    <row r="9618">
      <c r="A9618" s="3">
        <v>45785.0</v>
      </c>
      <c r="B9618" s="4">
        <v>0.30694444444444446</v>
      </c>
      <c r="C9618" s="5" t="s">
        <v>59</v>
      </c>
      <c r="D9618" s="5" t="s">
        <v>1440</v>
      </c>
      <c r="E9618" s="6" t="s">
        <v>148</v>
      </c>
      <c r="F9618" s="5" t="s">
        <v>772</v>
      </c>
      <c r="G9618" s="6" t="str">
        <f>VLOOKUP(E9618,dicionario!$A$1:$C10017,2,0)</f>
        <v>Parthenium hysterophorus</v>
      </c>
      <c r="H9618" s="6" t="str">
        <f>VLOOKUP(E9618,dicionario!$A$1:$C10017,3,0)</f>
        <v>losna-branca</v>
      </c>
    </row>
    <row r="9619">
      <c r="A9619" s="3">
        <v>45785.0</v>
      </c>
      <c r="B9619" s="4">
        <v>0.30694444444444446</v>
      </c>
      <c r="C9619" s="5" t="s">
        <v>59</v>
      </c>
      <c r="D9619" s="5" t="s">
        <v>1440</v>
      </c>
      <c r="E9619" s="8" t="s">
        <v>1406</v>
      </c>
      <c r="F9619" s="5" t="s">
        <v>766</v>
      </c>
      <c r="G9619" s="6" t="str">
        <f>VLOOKUP(E9619,dicionario!$A$1:$C10018,2,0)</f>
        <v>#N/A</v>
      </c>
      <c r="H9619" s="6" t="str">
        <f>VLOOKUP(E9619,dicionario!$A$1:$C10018,3,0)</f>
        <v>#N/A</v>
      </c>
    </row>
    <row r="9620">
      <c r="A9620" s="3">
        <v>45785.0</v>
      </c>
      <c r="B9620" s="4">
        <v>0.30694444444444446</v>
      </c>
      <c r="C9620" s="5" t="s">
        <v>59</v>
      </c>
      <c r="D9620" s="5" t="s">
        <v>1440</v>
      </c>
      <c r="E9620" s="8" t="s">
        <v>154</v>
      </c>
      <c r="F9620" s="5" t="s">
        <v>155</v>
      </c>
      <c r="G9620" s="6" t="str">
        <f>VLOOKUP(E9620,dicionario!$A$1:$C10019,2,0)</f>
        <v>Cyperus rotundus</v>
      </c>
      <c r="H9620" s="6" t="str">
        <f>VLOOKUP(E9620,dicionario!$A$1:$C10019,3,0)</f>
        <v>tiririca</v>
      </c>
    </row>
    <row r="9621">
      <c r="A9621" s="3">
        <v>45785.0</v>
      </c>
      <c r="B9621" s="4">
        <v>0.30833333333333335</v>
      </c>
      <c r="C9621" s="5" t="s">
        <v>64</v>
      </c>
      <c r="D9621" s="5" t="s">
        <v>1440</v>
      </c>
      <c r="E9621" s="8" t="s">
        <v>736</v>
      </c>
      <c r="F9621" s="5" t="s">
        <v>1460</v>
      </c>
      <c r="G9621" s="6" t="str">
        <f>VLOOKUP(E9621,dicionario!$A$1:$C10020,2,0)</f>
        <v>Chloris virgata</v>
      </c>
      <c r="H9621" s="6" t="str">
        <f>VLOOKUP(E9621,dicionario!$A$1:$C10020,3,0)</f>
        <v>capim-pavão</v>
      </c>
    </row>
    <row r="9622">
      <c r="A9622" s="3">
        <v>45785.0</v>
      </c>
      <c r="B9622" s="4">
        <v>0.30833333333333335</v>
      </c>
      <c r="C9622" s="5" t="s">
        <v>64</v>
      </c>
      <c r="D9622" s="5" t="s">
        <v>1440</v>
      </c>
      <c r="E9622" s="8" t="s">
        <v>141</v>
      </c>
      <c r="F9622" s="5" t="s">
        <v>875</v>
      </c>
      <c r="G9622" s="6" t="str">
        <f>VLOOKUP(E9622,dicionario!$A$1:$C10021,2,0)</f>
        <v>Ruellia blechum</v>
      </c>
      <c r="H9622" s="6" t="str">
        <f>VLOOKUP(E9622,dicionario!$A$1:$C10021,3,0)</f>
        <v>camarão-verde</v>
      </c>
    </row>
    <row r="9623">
      <c r="A9623" s="3">
        <v>45785.0</v>
      </c>
      <c r="B9623" s="4">
        <v>0.3090277777777778</v>
      </c>
      <c r="C9623" s="5" t="s">
        <v>64</v>
      </c>
      <c r="D9623" s="5" t="s">
        <v>1440</v>
      </c>
      <c r="E9623" s="8" t="s">
        <v>122</v>
      </c>
      <c r="F9623" s="5" t="s">
        <v>1453</v>
      </c>
      <c r="G9623" s="6" t="str">
        <f>VLOOKUP(E9623,dicionario!$A$1:$C10022,2,0)</f>
        <v>Todirostrum cinereum</v>
      </c>
      <c r="H9623" s="6" t="str">
        <f>VLOOKUP(E9623,dicionario!$A$1:$C10022,3,0)</f>
        <v>ferreirinho-relógio</v>
      </c>
    </row>
    <row r="9624">
      <c r="A9624" s="3">
        <v>45785.0</v>
      </c>
      <c r="B9624" s="4">
        <v>0.3090277777777778</v>
      </c>
      <c r="C9624" s="5" t="s">
        <v>64</v>
      </c>
      <c r="D9624" s="5" t="s">
        <v>1440</v>
      </c>
      <c r="E9624" s="8" t="s">
        <v>1282</v>
      </c>
      <c r="F9624" s="5" t="s">
        <v>778</v>
      </c>
      <c r="G9624" s="6" t="str">
        <f>VLOOKUP(E9624,dicionario!$A$1:$C10023,2,0)</f>
        <v>#N/A</v>
      </c>
      <c r="H9624" s="6" t="str">
        <f>VLOOKUP(E9624,dicionario!$A$1:$C10023,3,0)</f>
        <v>#N/A</v>
      </c>
    </row>
    <row r="9625">
      <c r="A9625" s="3">
        <v>45785.0</v>
      </c>
      <c r="B9625" s="4">
        <v>0.3090277777777778</v>
      </c>
      <c r="C9625" s="5" t="s">
        <v>64</v>
      </c>
      <c r="D9625" s="5" t="s">
        <v>1440</v>
      </c>
      <c r="E9625" s="11" t="s">
        <v>392</v>
      </c>
      <c r="F9625" s="5" t="s">
        <v>1461</v>
      </c>
      <c r="G9625" s="6" t="str">
        <f>VLOOKUP(E9625,dicionario!$A$1:$C10024,2,0)</f>
        <v>Triplaris americana</v>
      </c>
      <c r="H9625" s="6" t="str">
        <f>VLOOKUP(E9625,dicionario!$A$1:$C10024,3,0)</f>
        <v>pau-formiga </v>
      </c>
    </row>
    <row r="9626">
      <c r="A9626" s="3">
        <v>45785.0</v>
      </c>
      <c r="B9626" s="4">
        <v>0.3090277777777778</v>
      </c>
      <c r="C9626" s="5" t="s">
        <v>64</v>
      </c>
      <c r="D9626" s="5" t="s">
        <v>1440</v>
      </c>
      <c r="E9626" s="8" t="s">
        <v>1462</v>
      </c>
      <c r="F9626" s="5" t="s">
        <v>1463</v>
      </c>
      <c r="G9626" s="6" t="str">
        <f>VLOOKUP(E9626,dicionario!$A$1:$C10025,2,0)</f>
        <v>Primolius maracana</v>
      </c>
      <c r="H9626" s="6" t="str">
        <f>VLOOKUP(E9626,dicionario!$A$1:$C10025,3,0)</f>
        <v>maracanã</v>
      </c>
    </row>
    <row r="9627">
      <c r="A9627" s="3">
        <v>45785.0</v>
      </c>
      <c r="B9627" s="4">
        <v>0.3090277777777778</v>
      </c>
      <c r="C9627" s="5" t="s">
        <v>64</v>
      </c>
      <c r="D9627" s="5" t="s">
        <v>1440</v>
      </c>
      <c r="E9627" s="8" t="s">
        <v>253</v>
      </c>
      <c r="F9627" s="5" t="s">
        <v>780</v>
      </c>
      <c r="G9627" s="6" t="str">
        <f>VLOOKUP(E9627,dicionario!$A$1:$C10026,2,0)</f>
        <v>Panicum maximum</v>
      </c>
      <c r="H9627" s="6" t="str">
        <f>VLOOKUP(E9627,dicionario!$A$1:$C10026,3,0)</f>
        <v>capim-colonião</v>
      </c>
    </row>
    <row r="9628">
      <c r="A9628" s="3">
        <v>45785.0</v>
      </c>
      <c r="B9628" s="4">
        <v>0.30972222222222223</v>
      </c>
      <c r="C9628" s="5" t="s">
        <v>64</v>
      </c>
      <c r="D9628" s="5" t="s">
        <v>1440</v>
      </c>
      <c r="E9628" s="8" t="s">
        <v>457</v>
      </c>
      <c r="F9628" s="5" t="s">
        <v>1464</v>
      </c>
      <c r="G9628" s="6" t="str">
        <f>VLOOKUP(E9628,dicionario!$A$1:$C10027,2,0)</f>
        <v>Alternanthera philoxeroides</v>
      </c>
      <c r="H9628" s="6" t="str">
        <f>VLOOKUP(E9628,dicionario!$A$1:$C10027,3,0)</f>
        <v>erva-jacaré </v>
      </c>
    </row>
    <row r="9629">
      <c r="A9629" s="3">
        <v>45785.0</v>
      </c>
      <c r="B9629" s="4">
        <v>0.3104166666666667</v>
      </c>
      <c r="C9629" s="5" t="s">
        <v>64</v>
      </c>
      <c r="D9629" s="5" t="s">
        <v>1440</v>
      </c>
      <c r="E9629" s="6" t="s">
        <v>328</v>
      </c>
      <c r="F9629" s="5" t="s">
        <v>872</v>
      </c>
      <c r="G9629" s="6" t="str">
        <f>VLOOKUP(E9629,dicionario!$A$1:$C10028,2,0)</f>
        <v>Rivina humilis</v>
      </c>
      <c r="H9629" s="6" t="str">
        <f>VLOOKUP(E9629,dicionario!$A$1:$C10028,3,0)</f>
        <v>baga-de-sangue</v>
      </c>
    </row>
    <row r="9630">
      <c r="A9630" s="3">
        <v>45785.0</v>
      </c>
      <c r="B9630" s="4">
        <v>0.3104166666666667</v>
      </c>
      <c r="C9630" s="5" t="s">
        <v>64</v>
      </c>
      <c r="D9630" s="5" t="s">
        <v>1440</v>
      </c>
      <c r="E9630" s="8" t="s">
        <v>1297</v>
      </c>
      <c r="F9630" s="5" t="s">
        <v>515</v>
      </c>
      <c r="G9630" s="6" t="str">
        <f>VLOOKUP(E9630,dicionario!$A$1:$C10029,2,0)</f>
        <v>#N/A</v>
      </c>
      <c r="H9630" s="6" t="str">
        <f>VLOOKUP(E9630,dicionario!$A$1:$C10029,3,0)</f>
        <v>#N/A</v>
      </c>
    </row>
    <row r="9631">
      <c r="A9631" s="3">
        <v>45785.0</v>
      </c>
      <c r="B9631" s="4">
        <v>0.3104166666666667</v>
      </c>
      <c r="C9631" s="5" t="s">
        <v>64</v>
      </c>
      <c r="D9631" s="5" t="s">
        <v>1440</v>
      </c>
      <c r="E9631" s="6" t="s">
        <v>288</v>
      </c>
      <c r="F9631" s="5" t="s">
        <v>760</v>
      </c>
      <c r="G9631" s="6" t="str">
        <f>VLOOKUP(E9631,dicionario!$A$1:$C10030,2,0)</f>
        <v>Phyllanthus tenellus</v>
      </c>
      <c r="H9631" s="6" t="str">
        <f>VLOOKUP(E9631,dicionario!$A$1:$C10030,3,0)</f>
        <v>quebra-pedra</v>
      </c>
    </row>
    <row r="9632">
      <c r="A9632" s="3">
        <v>45785.0</v>
      </c>
      <c r="B9632" s="4">
        <v>0.3104166666666667</v>
      </c>
      <c r="C9632" s="5" t="s">
        <v>64</v>
      </c>
      <c r="D9632" s="5" t="s">
        <v>1440</v>
      </c>
      <c r="E9632" s="12" t="s">
        <v>152</v>
      </c>
      <c r="F9632" s="5" t="s">
        <v>789</v>
      </c>
      <c r="G9632" s="6" t="str">
        <f>VLOOKUP(E9632,dicionario!$A$1:$C10031,2,0)</f>
        <v>Cynodon dactylon</v>
      </c>
      <c r="H9632" s="6" t="str">
        <f>VLOOKUP(E9632,dicionario!$A$1:$C10031,3,0)</f>
        <v>grama-bermuda</v>
      </c>
    </row>
    <row r="9633">
      <c r="A9633" s="3">
        <v>45785.0</v>
      </c>
      <c r="B9633" s="4">
        <v>0.3104166666666667</v>
      </c>
      <c r="C9633" s="5" t="s">
        <v>64</v>
      </c>
      <c r="D9633" s="5" t="s">
        <v>1440</v>
      </c>
      <c r="E9633" s="6" t="s">
        <v>366</v>
      </c>
      <c r="F9633" s="5" t="s">
        <v>367</v>
      </c>
      <c r="G9633" s="6" t="str">
        <f>VLOOKUP(E9633,dicionario!$A$1:$C10032,2,0)</f>
        <v>Alternanthera ficoidea</v>
      </c>
      <c r="H9633" s="6" t="str">
        <f>VLOOKUP(E9633,dicionario!$A$1:$C10032,3,0)</f>
        <v>quebra-panela</v>
      </c>
    </row>
    <row r="9634">
      <c r="A9634" s="3">
        <v>45785.0</v>
      </c>
      <c r="B9634" s="4">
        <v>0.3111111111111111</v>
      </c>
      <c r="C9634" s="5" t="s">
        <v>64</v>
      </c>
      <c r="D9634" s="5" t="s">
        <v>1440</v>
      </c>
      <c r="E9634" s="6" t="s">
        <v>65</v>
      </c>
      <c r="F9634" s="5" t="s">
        <v>819</v>
      </c>
      <c r="G9634" s="6" t="str">
        <f>VLOOKUP(E9634,dicionario!$A$1:$C10033,2,0)</f>
        <v>Pitangus sulphutarus</v>
      </c>
      <c r="H9634" s="6" t="str">
        <f>VLOOKUP(E9634,dicionario!$A$1:$C10033,3,0)</f>
        <v>bem-te-vi</v>
      </c>
    </row>
    <row r="9635">
      <c r="A9635" s="3">
        <v>45785.0</v>
      </c>
      <c r="B9635" s="4">
        <v>0.3111111111111111</v>
      </c>
      <c r="C9635" s="5" t="s">
        <v>64</v>
      </c>
      <c r="D9635" s="5" t="s">
        <v>1440</v>
      </c>
      <c r="E9635" s="8" t="s">
        <v>109</v>
      </c>
      <c r="F9635" s="5" t="s">
        <v>777</v>
      </c>
      <c r="G9635" s="6" t="str">
        <f>VLOOKUP(E9635,dicionario!$A$1:$C10034,2,0)</f>
        <v>Tillandsia stricta</v>
      </c>
      <c r="H9635" s="6" t="str">
        <f>VLOOKUP(E9635,dicionario!$A$1:$C10034,3,0)</f>
        <v>cravo-do-mato</v>
      </c>
    </row>
    <row r="9636">
      <c r="A9636" s="3">
        <v>45785.0</v>
      </c>
      <c r="B9636" s="4">
        <v>0.3111111111111111</v>
      </c>
      <c r="C9636" s="5" t="s">
        <v>64</v>
      </c>
      <c r="D9636" s="5" t="s">
        <v>1440</v>
      </c>
      <c r="E9636" s="8" t="s">
        <v>72</v>
      </c>
      <c r="F9636" s="5" t="s">
        <v>764</v>
      </c>
      <c r="G9636" s="6" t="str">
        <f>VLOOKUP(E9636,dicionario!$A$1:$C10035,2,0)</f>
        <v>Thraupis palmarum</v>
      </c>
      <c r="H9636" s="6" t="str">
        <f>VLOOKUP(E9636,dicionario!$A$1:$C10035,3,0)</f>
        <v>sanhaço-do-coqueiro</v>
      </c>
    </row>
    <row r="9637">
      <c r="A9637" s="3">
        <v>45785.0</v>
      </c>
      <c r="B9637" s="4">
        <v>0.3111111111111111</v>
      </c>
      <c r="C9637" s="5" t="s">
        <v>64</v>
      </c>
      <c r="D9637" s="5" t="s">
        <v>1440</v>
      </c>
      <c r="E9637" s="6" t="s">
        <v>48</v>
      </c>
      <c r="F9637" s="5" t="s">
        <v>798</v>
      </c>
      <c r="G9637" s="6" t="str">
        <f>VLOOKUP(E9637,dicionario!$A$1:$C10036,2,0)</f>
        <v>Commelina erecta</v>
      </c>
      <c r="H9637" s="6" t="str">
        <f>VLOOKUP(E9637,dicionario!$A$1:$C10036,3,0)</f>
        <v>trapoeraba</v>
      </c>
    </row>
    <row r="9638">
      <c r="A9638" s="33">
        <v>45785.0</v>
      </c>
      <c r="B9638" s="62">
        <v>0.3125</v>
      </c>
      <c r="C9638" s="35" t="s">
        <v>64</v>
      </c>
      <c r="D9638" s="34"/>
      <c r="E9638" s="69" t="s">
        <v>195</v>
      </c>
      <c r="F9638" s="35" t="s">
        <v>196</v>
      </c>
      <c r="G9638" s="6" t="str">
        <f>VLOOKUP(E9638,dicionario!$A$1:$C10037,2,0)</f>
        <v>Priva lappulacea</v>
      </c>
      <c r="H9638" s="6" t="str">
        <f>VLOOKUP(E9638,dicionario!$A$1:$C10037,3,0)</f>
        <v>carrapicho</v>
      </c>
      <c r="I9638" s="34"/>
    </row>
    <row r="9639">
      <c r="A9639" s="3"/>
      <c r="B9639" s="4"/>
      <c r="D9639" s="70" t="s">
        <v>1465</v>
      </c>
      <c r="E9639" s="6"/>
      <c r="F9639" s="7"/>
      <c r="G9639" s="6" t="str">
        <f>VLOOKUP(E9639,dicionario!$A$1:$C10038,2,0)</f>
        <v>#N/A</v>
      </c>
      <c r="H9639" s="6" t="str">
        <f>VLOOKUP(E9639,dicionario!$A$1:$C10038,3,0)</f>
        <v>#N/A</v>
      </c>
    </row>
    <row r="9640">
      <c r="A9640" s="3">
        <v>45792.0</v>
      </c>
      <c r="B9640" s="4">
        <v>0.2652777777777778</v>
      </c>
      <c r="C9640" s="5" t="s">
        <v>90</v>
      </c>
      <c r="D9640" s="5" t="s">
        <v>1466</v>
      </c>
      <c r="E9640" s="8" t="s">
        <v>109</v>
      </c>
      <c r="F9640" s="5" t="s">
        <v>110</v>
      </c>
      <c r="G9640" s="6" t="str">
        <f>VLOOKUP(E9640,dicionario!$A$1:$C10039,2,0)</f>
        <v>Tillandsia stricta</v>
      </c>
      <c r="H9640" s="6" t="str">
        <f>VLOOKUP(E9640,dicionario!$A$1:$C10039,3,0)</f>
        <v>cravo-do-mato</v>
      </c>
    </row>
    <row r="9641">
      <c r="A9641" s="3">
        <v>45792.0</v>
      </c>
      <c r="B9641" s="4">
        <v>0.2652777777777778</v>
      </c>
      <c r="C9641" s="5" t="s">
        <v>90</v>
      </c>
      <c r="D9641" s="5" t="s">
        <v>1466</v>
      </c>
      <c r="E9641" s="8" t="s">
        <v>65</v>
      </c>
      <c r="F9641" s="5" t="s">
        <v>66</v>
      </c>
      <c r="G9641" s="6" t="str">
        <f>VLOOKUP(E9641,dicionario!$A$1:$C10040,2,0)</f>
        <v>Pitangus sulphutarus</v>
      </c>
      <c r="H9641" s="6" t="str">
        <f>VLOOKUP(E9641,dicionario!$A$1:$C10040,3,0)</f>
        <v>bem-te-vi</v>
      </c>
    </row>
    <row r="9642">
      <c r="A9642" s="3">
        <v>45792.0</v>
      </c>
      <c r="B9642" s="4">
        <v>0.2652777777777778</v>
      </c>
      <c r="C9642" s="5" t="s">
        <v>90</v>
      </c>
      <c r="D9642" s="5" t="s">
        <v>1466</v>
      </c>
      <c r="E9642" s="8" t="s">
        <v>712</v>
      </c>
      <c r="F9642" s="5" t="s">
        <v>912</v>
      </c>
      <c r="G9642" s="6" t="str">
        <f>VLOOKUP(E9642,dicionario!$A$1:$C10041,2,0)</f>
        <v>Flavopunctelia soredica</v>
      </c>
      <c r="H9642" s="6" t="str">
        <f>VLOOKUP(E9642,dicionario!$A$1:$C10041,3,0)</f>
        <v>líquen-folioso</v>
      </c>
    </row>
    <row r="9643">
      <c r="A9643" s="3">
        <v>45792.0</v>
      </c>
      <c r="B9643" s="4">
        <v>0.2652777777777778</v>
      </c>
      <c r="C9643" s="5" t="s">
        <v>90</v>
      </c>
      <c r="D9643" s="5" t="s">
        <v>1466</v>
      </c>
      <c r="E9643" s="8" t="s">
        <v>719</v>
      </c>
      <c r="F9643" s="5" t="s">
        <v>911</v>
      </c>
      <c r="G9643" s="6" t="str">
        <f>VLOOKUP(E9643,dicionario!$A$1:$C10042,2,0)</f>
        <v>Dirinaria</v>
      </c>
      <c r="H9643" s="6" t="str">
        <f>VLOOKUP(E9643,dicionario!$A$1:$C10042,3,0)</f>
        <v>líquen-crostoso</v>
      </c>
    </row>
    <row r="9644">
      <c r="A9644" s="3">
        <v>45792.0</v>
      </c>
      <c r="B9644" s="4">
        <v>0.2652777777777778</v>
      </c>
      <c r="C9644" s="5" t="s">
        <v>90</v>
      </c>
      <c r="D9644" s="5" t="s">
        <v>1466</v>
      </c>
      <c r="E9644" s="8" t="s">
        <v>107</v>
      </c>
      <c r="F9644" s="5" t="s">
        <v>834</v>
      </c>
      <c r="G9644" s="6" t="str">
        <f>VLOOKUP(E9644,dicionario!$A$1:$C10043,2,0)</f>
        <v>Ramalina complanata</v>
      </c>
      <c r="H9644" s="6" t="str">
        <f>VLOOKUP(E9644,dicionario!$A$1:$C10043,3,0)</f>
        <v>ramalina</v>
      </c>
    </row>
    <row r="9645">
      <c r="A9645" s="3">
        <v>45792.0</v>
      </c>
      <c r="B9645" s="4">
        <v>0.2652777777777778</v>
      </c>
      <c r="C9645" s="5" t="s">
        <v>90</v>
      </c>
      <c r="D9645" s="5" t="s">
        <v>1466</v>
      </c>
      <c r="E9645" s="8" t="s">
        <v>1024</v>
      </c>
      <c r="F9645" s="5" t="s">
        <v>969</v>
      </c>
      <c r="G9645" s="6" t="str">
        <f>VLOOKUP(E9645,dicionario!$A$1:$C10044,2,0)</f>
        <v>Usnea barbata</v>
      </c>
      <c r="H9645" s="6" t="str">
        <f>VLOOKUP(E9645,dicionario!$A$1:$C10044,3,0)</f>
        <v>barba-de-velho</v>
      </c>
    </row>
    <row r="9646">
      <c r="A9646" s="3">
        <v>45792.0</v>
      </c>
      <c r="B9646" s="4">
        <v>0.2652777777777778</v>
      </c>
      <c r="C9646" s="5" t="s">
        <v>90</v>
      </c>
      <c r="D9646" s="5" t="s">
        <v>1466</v>
      </c>
      <c r="E9646" s="8" t="s">
        <v>258</v>
      </c>
      <c r="F9646" s="5" t="s">
        <v>259</v>
      </c>
      <c r="G9646" s="6" t="str">
        <f>VLOOKUP(E9646,dicionario!$A$1:$C10045,2,0)</f>
        <v>Lantana camara</v>
      </c>
      <c r="H9646" s="6" t="str">
        <f>VLOOKUP(E9646,dicionario!$A$1:$C10045,3,0)</f>
        <v>lantana</v>
      </c>
    </row>
    <row r="9647">
      <c r="A9647" s="3">
        <v>45792.0</v>
      </c>
      <c r="B9647" s="4">
        <v>0.2659722222222222</v>
      </c>
      <c r="C9647" s="5" t="s">
        <v>90</v>
      </c>
      <c r="D9647" s="5" t="s">
        <v>1466</v>
      </c>
      <c r="E9647" s="8" t="s">
        <v>88</v>
      </c>
      <c r="F9647" s="5" t="s">
        <v>782</v>
      </c>
      <c r="G9647" s="6" t="str">
        <f>VLOOKUP(E9647,dicionario!$A$1:$C10046,2,0)</f>
        <v>Tyrannus melancolichus</v>
      </c>
      <c r="H9647" s="6" t="str">
        <f>VLOOKUP(E9647,dicionario!$A$1:$C10046,3,0)</f>
        <v>suiriri</v>
      </c>
    </row>
    <row r="9648">
      <c r="A9648" s="3">
        <v>45792.0</v>
      </c>
      <c r="B9648" s="4">
        <v>0.2659722222222222</v>
      </c>
      <c r="C9648" s="5" t="s">
        <v>90</v>
      </c>
      <c r="D9648" s="5" t="s">
        <v>1466</v>
      </c>
      <c r="E9648" s="6" t="s">
        <v>86</v>
      </c>
      <c r="F9648" s="5" t="s">
        <v>502</v>
      </c>
      <c r="G9648" s="6" t="str">
        <f>VLOOKUP(E9648,dicionario!$A$1:$C10047,2,0)</f>
        <v>Coereba flaveola</v>
      </c>
      <c r="H9648" s="6" t="str">
        <f>VLOOKUP(E9648,dicionario!$A$1:$C10047,3,0)</f>
        <v>cambacica</v>
      </c>
    </row>
    <row r="9649">
      <c r="A9649" s="3">
        <v>45792.0</v>
      </c>
      <c r="B9649" s="4">
        <v>0.2659722222222222</v>
      </c>
      <c r="C9649" s="5" t="s">
        <v>90</v>
      </c>
      <c r="D9649" s="5" t="s">
        <v>1466</v>
      </c>
      <c r="E9649" s="8" t="s">
        <v>38</v>
      </c>
      <c r="F9649" s="5" t="s">
        <v>39</v>
      </c>
      <c r="G9649" s="6" t="str">
        <f>VLOOKUP(E9649,dicionario!$A$1:$C10048,2,0)</f>
        <v>Troglodytes musculus</v>
      </c>
      <c r="H9649" s="6" t="str">
        <f>VLOOKUP(E9649,dicionario!$A$1:$C10048,3,0)</f>
        <v>curruíra</v>
      </c>
    </row>
    <row r="9650">
      <c r="A9650" s="3">
        <v>45792.0</v>
      </c>
      <c r="B9650" s="4">
        <v>0.2659722222222222</v>
      </c>
      <c r="C9650" s="5" t="s">
        <v>90</v>
      </c>
      <c r="D9650" s="5" t="s">
        <v>1466</v>
      </c>
      <c r="E9650" s="8" t="s">
        <v>286</v>
      </c>
      <c r="F9650" s="5" t="s">
        <v>287</v>
      </c>
      <c r="G9650" s="6" t="str">
        <f>VLOOKUP(E9650,dicionario!$A$1:$C10049,2,0)</f>
        <v>Setaria parviflora</v>
      </c>
      <c r="H9650" s="6" t="str">
        <f>VLOOKUP(E9650,dicionario!$A$1:$C10049,3,0)</f>
        <v>capim-rabo-de-raposa</v>
      </c>
    </row>
    <row r="9651">
      <c r="A9651" s="3">
        <v>45792.0</v>
      </c>
      <c r="B9651" s="4">
        <v>0.2659722222222222</v>
      </c>
      <c r="C9651" s="5" t="s">
        <v>90</v>
      </c>
      <c r="D9651" s="5" t="s">
        <v>1466</v>
      </c>
      <c r="E9651" s="8" t="s">
        <v>154</v>
      </c>
      <c r="F9651" s="5" t="s">
        <v>155</v>
      </c>
      <c r="G9651" s="6" t="str">
        <f>VLOOKUP(E9651,dicionario!$A$1:$C10050,2,0)</f>
        <v>Cyperus rotundus</v>
      </c>
      <c r="H9651" s="6" t="str">
        <f>VLOOKUP(E9651,dicionario!$A$1:$C10050,3,0)</f>
        <v>tiririca</v>
      </c>
    </row>
    <row r="9652">
      <c r="A9652" s="3">
        <v>45792.0</v>
      </c>
      <c r="B9652" s="4">
        <v>0.2659722222222222</v>
      </c>
      <c r="C9652" s="5" t="s">
        <v>90</v>
      </c>
      <c r="D9652" s="5" t="s">
        <v>1466</v>
      </c>
      <c r="E9652" s="8" t="s">
        <v>298</v>
      </c>
      <c r="F9652" s="7"/>
      <c r="G9652" s="6" t="str">
        <f>VLOOKUP(E9652,dicionario!$A$1:$C10051,2,0)</f>
        <v>Alysicarpus vaginalis</v>
      </c>
      <c r="H9652" s="6" t="str">
        <f>VLOOKUP(E9652,dicionario!$A$1:$C10051,3,0)</f>
        <v/>
      </c>
    </row>
    <row r="9653">
      <c r="A9653" s="3">
        <v>45792.0</v>
      </c>
      <c r="B9653" s="4">
        <v>0.26666666666666666</v>
      </c>
      <c r="C9653" s="5" t="s">
        <v>90</v>
      </c>
      <c r="D9653" s="5" t="s">
        <v>1466</v>
      </c>
      <c r="E9653" s="8" t="s">
        <v>1467</v>
      </c>
      <c r="F9653" s="5" t="s">
        <v>1468</v>
      </c>
      <c r="G9653" s="6" t="str">
        <f>VLOOKUP(E9653,dicionario!$A$1:$C10052,2,0)</f>
        <v>Lycoperdon</v>
      </c>
      <c r="H9653" s="6" t="str">
        <f>VLOOKUP(E9653,dicionario!$A$1:$C10052,3,0)</f>
        <v>cogumelo-bufa-de-lobo</v>
      </c>
    </row>
    <row r="9654">
      <c r="A9654" s="3">
        <v>45792.0</v>
      </c>
      <c r="B9654" s="4">
        <v>0.26666666666666666</v>
      </c>
      <c r="C9654" s="5" t="s">
        <v>90</v>
      </c>
      <c r="D9654" s="5" t="s">
        <v>1466</v>
      </c>
      <c r="E9654" s="8" t="s">
        <v>1280</v>
      </c>
      <c r="F9654" s="5" t="s">
        <v>1156</v>
      </c>
      <c r="G9654" s="6" t="str">
        <f>VLOOKUP(E9654,dicionario!$A$1:$C10053,2,0)</f>
        <v>Paspalum notatum</v>
      </c>
      <c r="H9654" s="6" t="str">
        <f>VLOOKUP(E9654,dicionario!$A$1:$C10053,3,0)</f>
        <v>capim-forquilha</v>
      </c>
    </row>
    <row r="9655">
      <c r="A9655" s="3">
        <v>45792.0</v>
      </c>
      <c r="B9655" s="4">
        <v>0.2673611111111111</v>
      </c>
      <c r="C9655" s="5" t="s">
        <v>90</v>
      </c>
      <c r="D9655" s="5" t="s">
        <v>1466</v>
      </c>
      <c r="E9655" s="8" t="s">
        <v>1469</v>
      </c>
      <c r="F9655" s="7"/>
      <c r="G9655" s="6" t="str">
        <f>VLOOKUP(E9655,dicionario!$A$1:$C10054,2,0)</f>
        <v>#N/A</v>
      </c>
      <c r="H9655" s="6" t="str">
        <f>VLOOKUP(E9655,dicionario!$A$1:$C10054,3,0)</f>
        <v>#N/A</v>
      </c>
    </row>
    <row r="9656">
      <c r="A9656" s="3">
        <v>45792.0</v>
      </c>
      <c r="B9656" s="4">
        <v>0.2673611111111111</v>
      </c>
      <c r="C9656" s="5" t="s">
        <v>90</v>
      </c>
      <c r="D9656" s="5" t="s">
        <v>1466</v>
      </c>
      <c r="E9656" s="8" t="s">
        <v>105</v>
      </c>
      <c r="F9656" s="5" t="s">
        <v>106</v>
      </c>
      <c r="G9656" s="6" t="str">
        <f>VLOOKUP(E9656,dicionario!$A$1:$C10055,2,0)</f>
        <v>Progne tapera</v>
      </c>
      <c r="H9656" s="6" t="str">
        <f>VLOOKUP(E9656,dicionario!$A$1:$C10055,3,0)</f>
        <v>andorinha-do-campo</v>
      </c>
    </row>
    <row r="9657">
      <c r="A9657" s="3">
        <v>45792.0</v>
      </c>
      <c r="B9657" s="4">
        <v>0.2673611111111111</v>
      </c>
      <c r="C9657" s="5" t="s">
        <v>90</v>
      </c>
      <c r="D9657" s="5" t="s">
        <v>1466</v>
      </c>
      <c r="E9657" s="8" t="s">
        <v>191</v>
      </c>
      <c r="F9657" s="5" t="s">
        <v>192</v>
      </c>
      <c r="G9657" s="6" t="str">
        <f>VLOOKUP(E9657,dicionario!$A$1:$C10056,2,0)</f>
        <v>Patagioenas picazuro</v>
      </c>
      <c r="H9657" s="6" t="str">
        <f>VLOOKUP(E9657,dicionario!$A$1:$C10056,3,0)</f>
        <v>asa-branca; pomba-asa-branca; pocaçu</v>
      </c>
    </row>
    <row r="9658">
      <c r="A9658" s="3">
        <v>45792.0</v>
      </c>
      <c r="B9658" s="4">
        <v>0.26805555555555555</v>
      </c>
      <c r="C9658" s="5" t="s">
        <v>90</v>
      </c>
      <c r="D9658" s="5" t="s">
        <v>1466</v>
      </c>
      <c r="E9658" s="8" t="s">
        <v>113</v>
      </c>
      <c r="F9658" s="5" t="s">
        <v>114</v>
      </c>
      <c r="G9658" s="6" t="str">
        <f>VLOOKUP(E9658,dicionario!$A$1:$C10057,2,0)</f>
        <v>Columbina talpacoti</v>
      </c>
      <c r="H9658" s="6" t="str">
        <f>VLOOKUP(E9658,dicionario!$A$1:$C10057,3,0)</f>
        <v>rolinha-roxa</v>
      </c>
    </row>
    <row r="9659">
      <c r="A9659" s="3">
        <v>45792.0</v>
      </c>
      <c r="B9659" s="4">
        <v>0.26805555555555555</v>
      </c>
      <c r="C9659" s="5" t="s">
        <v>90</v>
      </c>
      <c r="D9659" s="5" t="s">
        <v>1466</v>
      </c>
      <c r="E9659" s="8" t="s">
        <v>72</v>
      </c>
      <c r="F9659" s="5" t="s">
        <v>73</v>
      </c>
      <c r="G9659" s="6" t="str">
        <f>VLOOKUP(E9659,dicionario!$A$1:$C10058,2,0)</f>
        <v>Thraupis palmarum</v>
      </c>
      <c r="H9659" s="6" t="str">
        <f>VLOOKUP(E9659,dicionario!$A$1:$C10058,3,0)</f>
        <v>sanhaço-do-coqueiro</v>
      </c>
    </row>
    <row r="9660">
      <c r="A9660" s="3">
        <v>45792.0</v>
      </c>
      <c r="B9660" s="4">
        <v>0.26875</v>
      </c>
      <c r="C9660" s="5" t="s">
        <v>90</v>
      </c>
      <c r="D9660" s="5" t="s">
        <v>1466</v>
      </c>
      <c r="E9660" s="8" t="s">
        <v>1427</v>
      </c>
      <c r="F9660" s="5" t="s">
        <v>44</v>
      </c>
      <c r="G9660" s="6" t="str">
        <f>VLOOKUP(E9660,dicionario!$A$1:$C10059,2,0)</f>
        <v>#N/A</v>
      </c>
      <c r="H9660" s="6" t="str">
        <f>VLOOKUP(E9660,dicionario!$A$1:$C10059,3,0)</f>
        <v>#N/A</v>
      </c>
    </row>
    <row r="9661">
      <c r="A9661" s="3">
        <v>45792.0</v>
      </c>
      <c r="B9661" s="4">
        <v>0.26875</v>
      </c>
      <c r="C9661" s="5" t="s">
        <v>90</v>
      </c>
      <c r="D9661" s="5" t="s">
        <v>1466</v>
      </c>
      <c r="E9661" s="8" t="s">
        <v>141</v>
      </c>
      <c r="F9661" s="5" t="s">
        <v>142</v>
      </c>
      <c r="G9661" s="6" t="str">
        <f>VLOOKUP(E9661,dicionario!$A$1:$C10060,2,0)</f>
        <v>Ruellia blechum</v>
      </c>
      <c r="H9661" s="6" t="str">
        <f>VLOOKUP(E9661,dicionario!$A$1:$C10060,3,0)</f>
        <v>camarão-verde</v>
      </c>
    </row>
    <row r="9662">
      <c r="A9662" s="3">
        <v>45792.0</v>
      </c>
      <c r="B9662" s="4">
        <v>0.26875</v>
      </c>
      <c r="C9662" s="5" t="s">
        <v>90</v>
      </c>
      <c r="D9662" s="5" t="s">
        <v>1466</v>
      </c>
      <c r="E9662" s="12" t="s">
        <v>152</v>
      </c>
      <c r="F9662" s="5" t="s">
        <v>153</v>
      </c>
      <c r="G9662" s="6" t="str">
        <f>VLOOKUP(E9662,dicionario!$A$1:$C10061,2,0)</f>
        <v>Cynodon dactylon</v>
      </c>
      <c r="H9662" s="6" t="str">
        <f>VLOOKUP(E9662,dicionario!$A$1:$C10061,3,0)</f>
        <v>grama-bermuda</v>
      </c>
    </row>
    <row r="9663">
      <c r="A9663" s="3">
        <v>45792.0</v>
      </c>
      <c r="B9663" s="4">
        <v>0.26875</v>
      </c>
      <c r="C9663" s="5" t="s">
        <v>90</v>
      </c>
      <c r="D9663" s="5" t="s">
        <v>1466</v>
      </c>
      <c r="E9663" s="8" t="s">
        <v>163</v>
      </c>
      <c r="F9663" s="5" t="s">
        <v>164</v>
      </c>
      <c r="G9663" s="6" t="str">
        <f>VLOOKUP(E9663,dicionario!$A$1:$C10062,2,0)</f>
        <v>Coragyps atratus</v>
      </c>
      <c r="H9663" s="6" t="str">
        <f>VLOOKUP(E9663,dicionario!$A$1:$C10062,3,0)</f>
        <v>urubu-de-cabeça-preta</v>
      </c>
    </row>
    <row r="9664">
      <c r="A9664" s="3">
        <v>45792.0</v>
      </c>
      <c r="B9664" s="4">
        <v>0.26875</v>
      </c>
      <c r="C9664" s="5" t="s">
        <v>90</v>
      </c>
      <c r="D9664" s="5" t="s">
        <v>1466</v>
      </c>
      <c r="E9664" s="6" t="s">
        <v>53</v>
      </c>
      <c r="F9664" s="5" t="s">
        <v>54</v>
      </c>
      <c r="G9664" s="6" t="str">
        <f>VLOOKUP(E9664,dicionario!$A$1:$C10063,2,0)</f>
        <v>Turnera subulata</v>
      </c>
      <c r="H9664" s="6" t="str">
        <f>VLOOKUP(E9664,dicionario!$A$1:$C10063,3,0)</f>
        <v>xanana</v>
      </c>
    </row>
    <row r="9665">
      <c r="A9665" s="3">
        <v>45792.0</v>
      </c>
      <c r="B9665" s="4">
        <v>0.26944444444444443</v>
      </c>
      <c r="C9665" s="5" t="s">
        <v>90</v>
      </c>
      <c r="D9665" s="5" t="s">
        <v>1466</v>
      </c>
      <c r="E9665" s="6" t="s">
        <v>471</v>
      </c>
      <c r="F9665" s="5" t="s">
        <v>472</v>
      </c>
      <c r="G9665" s="6" t="str">
        <f>VLOOKUP(E9665,dicionario!$A$1:$C10064,2,0)</f>
        <v>Sida acuta</v>
      </c>
      <c r="H9665" s="6" t="str">
        <f>VLOOKUP(E9665,dicionario!$A$1:$C10064,3,0)</f>
        <v>reloginho</v>
      </c>
    </row>
    <row r="9666">
      <c r="A9666" s="3">
        <v>45792.0</v>
      </c>
      <c r="B9666" s="4">
        <v>0.26944444444444443</v>
      </c>
      <c r="C9666" s="5" t="s">
        <v>90</v>
      </c>
      <c r="D9666" s="5" t="s">
        <v>1466</v>
      </c>
      <c r="E9666" s="6" t="s">
        <v>317</v>
      </c>
      <c r="F9666" s="5" t="s">
        <v>318</v>
      </c>
      <c r="G9666" s="6" t="str">
        <f>VLOOKUP(E9666,dicionario!$A$1:$C10065,2,0)</f>
        <v>Leucauge argyra</v>
      </c>
      <c r="H9666" s="6" t="str">
        <f>VLOOKUP(E9666,dicionario!$A$1:$C10065,3,0)</f>
        <v>aranha-de-mandibula-longa</v>
      </c>
    </row>
    <row r="9667">
      <c r="A9667" s="3">
        <v>45792.0</v>
      </c>
      <c r="B9667" s="4">
        <v>0.2701388888888889</v>
      </c>
      <c r="C9667" s="5" t="s">
        <v>90</v>
      </c>
      <c r="D9667" s="5" t="s">
        <v>1466</v>
      </c>
      <c r="E9667" s="8" t="s">
        <v>353</v>
      </c>
      <c r="F9667" s="5" t="s">
        <v>354</v>
      </c>
      <c r="G9667" s="6" t="str">
        <f>VLOOKUP(E9667,dicionario!$A$1:$C10066,2,0)</f>
        <v>Desmodium incanum</v>
      </c>
      <c r="H9667" s="6" t="str">
        <f>VLOOKUP(E9667,dicionario!$A$1:$C10066,3,0)</f>
        <v>pega-pega</v>
      </c>
    </row>
    <row r="9668">
      <c r="A9668" s="3">
        <v>45792.0</v>
      </c>
      <c r="B9668" s="4">
        <v>0.2701388888888889</v>
      </c>
      <c r="C9668" s="5" t="s">
        <v>90</v>
      </c>
      <c r="D9668" s="5" t="s">
        <v>1466</v>
      </c>
      <c r="E9668" s="8" t="s">
        <v>1316</v>
      </c>
      <c r="F9668" s="5" t="s">
        <v>15</v>
      </c>
      <c r="G9668" s="6" t="str">
        <f>VLOOKUP(E9668,dicionario!$A$1:$C10067,2,0)</f>
        <v>#N/A</v>
      </c>
      <c r="H9668" s="6" t="str">
        <f>VLOOKUP(E9668,dicionario!$A$1:$C10067,3,0)</f>
        <v>#N/A</v>
      </c>
    </row>
    <row r="9669">
      <c r="A9669" s="3">
        <v>45792.0</v>
      </c>
      <c r="B9669" s="4">
        <v>0.2708333333333333</v>
      </c>
      <c r="C9669" s="5" t="s">
        <v>90</v>
      </c>
      <c r="D9669" s="5" t="s">
        <v>1466</v>
      </c>
      <c r="E9669" s="8" t="s">
        <v>271</v>
      </c>
      <c r="F9669" s="5" t="s">
        <v>272</v>
      </c>
      <c r="G9669" s="6" t="str">
        <f>VLOOKUP(E9669,dicionario!$A$1:$C10068,2,0)</f>
        <v>Cyanthillium cinereum</v>
      </c>
      <c r="H9669" s="6" t="str">
        <f>VLOOKUP(E9669,dicionario!$A$1:$C10068,3,0)</f>
        <v>emília</v>
      </c>
    </row>
    <row r="9670">
      <c r="A9670" s="3">
        <v>45792.0</v>
      </c>
      <c r="B9670" s="4">
        <v>0.2722222222222222</v>
      </c>
      <c r="C9670" s="5" t="s">
        <v>85</v>
      </c>
      <c r="D9670" s="5" t="s">
        <v>1466</v>
      </c>
      <c r="E9670" s="8" t="s">
        <v>109</v>
      </c>
      <c r="F9670" s="5" t="s">
        <v>110</v>
      </c>
      <c r="G9670" s="6" t="str">
        <f>VLOOKUP(E9670,dicionario!$A$1:$C10069,2,0)</f>
        <v>Tillandsia stricta</v>
      </c>
      <c r="H9670" s="6" t="str">
        <f>VLOOKUP(E9670,dicionario!$A$1:$C10069,3,0)</f>
        <v>cravo-do-mato</v>
      </c>
    </row>
    <row r="9671">
      <c r="A9671" s="3">
        <v>45792.0</v>
      </c>
      <c r="B9671" s="4">
        <v>0.2722222222222222</v>
      </c>
      <c r="C9671" s="5" t="s">
        <v>85</v>
      </c>
      <c r="D9671" s="5" t="s">
        <v>1466</v>
      </c>
      <c r="E9671" s="8" t="s">
        <v>113</v>
      </c>
      <c r="F9671" s="5" t="s">
        <v>114</v>
      </c>
      <c r="G9671" s="6" t="str">
        <f>VLOOKUP(E9671,dicionario!$A$1:$C10070,2,0)</f>
        <v>Columbina talpacoti</v>
      </c>
      <c r="H9671" s="6" t="str">
        <f>VLOOKUP(E9671,dicionario!$A$1:$C10070,3,0)</f>
        <v>rolinha-roxa</v>
      </c>
    </row>
    <row r="9672">
      <c r="A9672" s="3">
        <v>45792.0</v>
      </c>
      <c r="B9672" s="4">
        <v>0.27361111111111114</v>
      </c>
      <c r="C9672" s="5" t="s">
        <v>85</v>
      </c>
      <c r="D9672" s="5" t="s">
        <v>1466</v>
      </c>
      <c r="E9672" s="8" t="s">
        <v>298</v>
      </c>
      <c r="F9672" s="7"/>
      <c r="G9672" s="6" t="str">
        <f>VLOOKUP(E9672,dicionario!$A$1:$C10071,2,0)</f>
        <v>Alysicarpus vaginalis</v>
      </c>
      <c r="H9672" s="6" t="str">
        <f>VLOOKUP(E9672,dicionario!$A$1:$C10071,3,0)</f>
        <v/>
      </c>
    </row>
    <row r="9673">
      <c r="A9673" s="3">
        <v>45792.0</v>
      </c>
      <c r="B9673" s="4">
        <v>0.27361111111111114</v>
      </c>
      <c r="C9673" s="5" t="s">
        <v>85</v>
      </c>
      <c r="D9673" s="5" t="s">
        <v>1466</v>
      </c>
      <c r="E9673" s="20" t="s">
        <v>676</v>
      </c>
      <c r="F9673" s="5" t="s">
        <v>1470</v>
      </c>
      <c r="G9673" s="6" t="str">
        <f>VLOOKUP(E9673,dicionario!$A$1:$C10072,2,0)</f>
        <v>Zornia latifolia</v>
      </c>
      <c r="H9673" s="6" t="str">
        <f>VLOOKUP(E9673,dicionario!$A$1:$C10072,3,0)</f>
        <v>arrozinho-do-campo</v>
      </c>
    </row>
    <row r="9674">
      <c r="A9674" s="3">
        <v>45792.0</v>
      </c>
      <c r="B9674" s="4">
        <v>0.275</v>
      </c>
      <c r="C9674" s="5" t="s">
        <v>85</v>
      </c>
      <c r="D9674" s="5" t="s">
        <v>1466</v>
      </c>
      <c r="E9674" s="8" t="s">
        <v>712</v>
      </c>
      <c r="F9674" s="5" t="s">
        <v>912</v>
      </c>
      <c r="G9674" s="6" t="str">
        <f>VLOOKUP(E9674,dicionario!$A$1:$C10073,2,0)</f>
        <v>Flavopunctelia soredica</v>
      </c>
      <c r="H9674" s="6" t="str">
        <f>VLOOKUP(E9674,dicionario!$A$1:$C10073,3,0)</f>
        <v>líquen-folioso</v>
      </c>
    </row>
    <row r="9675">
      <c r="A9675" s="3">
        <v>45792.0</v>
      </c>
      <c r="B9675" s="4">
        <v>0.275</v>
      </c>
      <c r="C9675" s="5" t="s">
        <v>85</v>
      </c>
      <c r="D9675" s="5" t="s">
        <v>1466</v>
      </c>
      <c r="E9675" s="8" t="s">
        <v>719</v>
      </c>
      <c r="F9675" s="5" t="s">
        <v>911</v>
      </c>
      <c r="G9675" s="6" t="str">
        <f>VLOOKUP(E9675,dicionario!$A$1:$C10074,2,0)</f>
        <v>Dirinaria</v>
      </c>
      <c r="H9675" s="6" t="str">
        <f>VLOOKUP(E9675,dicionario!$A$1:$C10074,3,0)</f>
        <v>líquen-crostoso</v>
      </c>
    </row>
    <row r="9676">
      <c r="A9676" s="3">
        <v>45792.0</v>
      </c>
      <c r="B9676" s="4">
        <v>0.275</v>
      </c>
      <c r="C9676" s="5" t="s">
        <v>85</v>
      </c>
      <c r="D9676" s="5" t="s">
        <v>1466</v>
      </c>
      <c r="E9676" s="12" t="s">
        <v>243</v>
      </c>
      <c r="F9676" s="5" t="s">
        <v>244</v>
      </c>
      <c r="G9676" s="6" t="str">
        <f>VLOOKUP(E9676,dicionario!$A$1:$C10075,2,0)</f>
        <v>Macroptilium atropurpureum</v>
      </c>
      <c r="H9676" s="6" t="str">
        <f>VLOOKUP(E9676,dicionario!$A$1:$C10075,3,0)</f>
        <v>feijão-de-pombo</v>
      </c>
    </row>
    <row r="9677">
      <c r="A9677" s="3">
        <v>45792.0</v>
      </c>
      <c r="B9677" s="4">
        <v>0.275</v>
      </c>
      <c r="C9677" s="5" t="s">
        <v>85</v>
      </c>
      <c r="D9677" s="5" t="s">
        <v>1466</v>
      </c>
      <c r="E9677" s="8" t="s">
        <v>296</v>
      </c>
      <c r="F9677" s="5" t="s">
        <v>297</v>
      </c>
      <c r="G9677" s="6" t="str">
        <f>VLOOKUP(E9677,dicionario!$A$1:$C10076,2,0)</f>
        <v>Richardia brasiliensis</v>
      </c>
      <c r="H9677" s="6" t="str">
        <f>VLOOKUP(E9677,dicionario!$A$1:$C10076,3,0)</f>
        <v>poaia-branca</v>
      </c>
    </row>
    <row r="9678">
      <c r="A9678" s="3">
        <v>45792.0</v>
      </c>
      <c r="B9678" s="4">
        <v>0.27569444444444446</v>
      </c>
      <c r="C9678" s="5" t="s">
        <v>85</v>
      </c>
      <c r="D9678" s="5" t="s">
        <v>1466</v>
      </c>
      <c r="E9678" s="8" t="s">
        <v>65</v>
      </c>
      <c r="F9678" s="5" t="s">
        <v>66</v>
      </c>
      <c r="G9678" s="6" t="str">
        <f>VLOOKUP(E9678,dicionario!$A$1:$C10077,2,0)</f>
        <v>Pitangus sulphutarus</v>
      </c>
      <c r="H9678" s="6" t="str">
        <f>VLOOKUP(E9678,dicionario!$A$1:$C10077,3,0)</f>
        <v>bem-te-vi</v>
      </c>
    </row>
    <row r="9679">
      <c r="A9679" s="3">
        <v>45792.0</v>
      </c>
      <c r="B9679" s="4">
        <v>0.27569444444444446</v>
      </c>
      <c r="C9679" s="5" t="s">
        <v>85</v>
      </c>
      <c r="D9679" s="5" t="s">
        <v>1466</v>
      </c>
      <c r="E9679" s="8" t="s">
        <v>271</v>
      </c>
      <c r="F9679" s="5" t="s">
        <v>272</v>
      </c>
      <c r="G9679" s="6" t="str">
        <f>VLOOKUP(E9679,dicionario!$A$1:$C10078,2,0)</f>
        <v>Cyanthillium cinereum</v>
      </c>
      <c r="H9679" s="6" t="str">
        <f>VLOOKUP(E9679,dicionario!$A$1:$C10078,3,0)</f>
        <v>emília</v>
      </c>
    </row>
    <row r="9680">
      <c r="A9680" s="3">
        <v>45792.0</v>
      </c>
      <c r="B9680" s="4">
        <v>0.27569444444444446</v>
      </c>
      <c r="C9680" s="5" t="s">
        <v>85</v>
      </c>
      <c r="D9680" s="5" t="s">
        <v>1466</v>
      </c>
      <c r="E9680" s="8" t="s">
        <v>1406</v>
      </c>
      <c r="F9680" s="5" t="s">
        <v>172</v>
      </c>
      <c r="G9680" s="6" t="str">
        <f>VLOOKUP(E9680,dicionario!$A$1:$C10079,2,0)</f>
        <v>#N/A</v>
      </c>
      <c r="H9680" s="6" t="str">
        <f>VLOOKUP(E9680,dicionario!$A$1:$C10079,3,0)</f>
        <v>#N/A</v>
      </c>
    </row>
    <row r="9681">
      <c r="A9681" s="3">
        <v>45792.0</v>
      </c>
      <c r="B9681" s="4">
        <v>0.2763888888888889</v>
      </c>
      <c r="C9681" s="5" t="s">
        <v>85</v>
      </c>
      <c r="D9681" s="5" t="s">
        <v>1466</v>
      </c>
      <c r="E9681" s="6" t="s">
        <v>467</v>
      </c>
      <c r="F9681" s="5" t="s">
        <v>468</v>
      </c>
      <c r="G9681" s="6" t="str">
        <f>VLOOKUP(E9681,dicionario!$A$1:$C10080,2,0)</f>
        <v>Eleusine indica</v>
      </c>
      <c r="H9681" s="6" t="str">
        <f>VLOOKUP(E9681,dicionario!$A$1:$C10080,3,0)</f>
        <v>capim-pé-de-galinha</v>
      </c>
    </row>
    <row r="9682">
      <c r="A9682" s="3">
        <v>45792.0</v>
      </c>
      <c r="B9682" s="4">
        <v>0.2763888888888889</v>
      </c>
      <c r="C9682" s="5" t="s">
        <v>85</v>
      </c>
      <c r="D9682" s="5" t="s">
        <v>1466</v>
      </c>
      <c r="E9682" s="8" t="s">
        <v>154</v>
      </c>
      <c r="F9682" s="5" t="s">
        <v>155</v>
      </c>
      <c r="G9682" s="6" t="str">
        <f>VLOOKUP(E9682,dicionario!$A$1:$C10081,2,0)</f>
        <v>Cyperus rotundus</v>
      </c>
      <c r="H9682" s="6" t="str">
        <f>VLOOKUP(E9682,dicionario!$A$1:$C10081,3,0)</f>
        <v>tiririca</v>
      </c>
    </row>
    <row r="9683">
      <c r="A9683" s="3">
        <v>45792.0</v>
      </c>
      <c r="B9683" s="4">
        <v>0.27708333333333335</v>
      </c>
      <c r="C9683" s="5" t="s">
        <v>85</v>
      </c>
      <c r="D9683" s="5" t="s">
        <v>1466</v>
      </c>
      <c r="E9683" s="8" t="s">
        <v>1104</v>
      </c>
      <c r="F9683" s="5" t="s">
        <v>1105</v>
      </c>
      <c r="G9683" s="6" t="str">
        <f>VLOOKUP(E9683,dicionario!$A$1:$C10082,2,0)</f>
        <v>Rhynchospora speciosa</v>
      </c>
      <c r="H9683" s="6" t="str">
        <f>VLOOKUP(E9683,dicionario!$A$1:$C10082,3,0)</f>
        <v>capim-estrela</v>
      </c>
    </row>
    <row r="9684">
      <c r="A9684" s="3">
        <v>45792.0</v>
      </c>
      <c r="B9684" s="4">
        <v>0.27708333333333335</v>
      </c>
      <c r="C9684" s="5" t="s">
        <v>85</v>
      </c>
      <c r="D9684" s="5" t="s">
        <v>1466</v>
      </c>
      <c r="E9684" s="8" t="s">
        <v>1316</v>
      </c>
      <c r="F9684" s="5" t="s">
        <v>15</v>
      </c>
      <c r="G9684" s="6" t="str">
        <f>VLOOKUP(E9684,dicionario!$A$1:$C10083,2,0)</f>
        <v>#N/A</v>
      </c>
      <c r="H9684" s="6" t="str">
        <f>VLOOKUP(E9684,dicionario!$A$1:$C10083,3,0)</f>
        <v>#N/A</v>
      </c>
    </row>
    <row r="9685">
      <c r="A9685" s="3">
        <v>45792.0</v>
      </c>
      <c r="B9685" s="4">
        <v>0.27708333333333335</v>
      </c>
      <c r="C9685" s="5" t="s">
        <v>85</v>
      </c>
      <c r="D9685" s="5" t="s">
        <v>1466</v>
      </c>
      <c r="E9685" s="8" t="s">
        <v>723</v>
      </c>
      <c r="F9685" s="5" t="s">
        <v>924</v>
      </c>
      <c r="G9685" s="6" t="str">
        <f>VLOOKUP(E9685,dicionario!$A$1:$C10084,2,0)</f>
        <v>Asemeia violacea</v>
      </c>
      <c r="H9685" s="6" t="str">
        <f>VLOOKUP(E9685,dicionario!$A$1:$C10084,3,0)</f>
        <v/>
      </c>
    </row>
    <row r="9686">
      <c r="A9686" s="3">
        <v>45792.0</v>
      </c>
      <c r="B9686" s="4">
        <v>0.27708333333333335</v>
      </c>
      <c r="C9686" s="5" t="s">
        <v>85</v>
      </c>
      <c r="D9686" s="5" t="s">
        <v>1466</v>
      </c>
      <c r="E9686" s="8" t="s">
        <v>88</v>
      </c>
      <c r="F9686" s="5" t="s">
        <v>89</v>
      </c>
      <c r="G9686" s="6" t="str">
        <f>VLOOKUP(E9686,dicionario!$A$1:$C10085,2,0)</f>
        <v>Tyrannus melancolichus</v>
      </c>
      <c r="H9686" s="6" t="str">
        <f>VLOOKUP(E9686,dicionario!$A$1:$C10085,3,0)</f>
        <v>suiriri</v>
      </c>
    </row>
    <row r="9687">
      <c r="A9687" s="3">
        <v>45792.0</v>
      </c>
      <c r="B9687" s="4">
        <v>0.27708333333333335</v>
      </c>
      <c r="C9687" s="5" t="s">
        <v>85</v>
      </c>
      <c r="D9687" s="5" t="s">
        <v>1466</v>
      </c>
      <c r="E9687" s="8" t="s">
        <v>227</v>
      </c>
      <c r="F9687" s="5" t="s">
        <v>228</v>
      </c>
      <c r="G9687" s="6" t="str">
        <f>VLOOKUP(E9687,dicionario!$A$1:$C10086,2,0)</f>
        <v>Indigofera hirsuta</v>
      </c>
      <c r="H9687" s="6" t="str">
        <f>VLOOKUP(E9687,dicionario!$A$1:$C10086,3,0)</f>
        <v>anileira</v>
      </c>
    </row>
    <row r="9688">
      <c r="A9688" s="3">
        <v>45792.0</v>
      </c>
      <c r="B9688" s="4">
        <v>0.27708333333333335</v>
      </c>
      <c r="C9688" s="5" t="s">
        <v>85</v>
      </c>
      <c r="D9688" s="5" t="s">
        <v>1466</v>
      </c>
      <c r="E9688" s="8" t="s">
        <v>51</v>
      </c>
      <c r="F9688" s="5" t="s">
        <v>77</v>
      </c>
      <c r="G9688" s="6" t="str">
        <f>VLOOKUP(E9688,dicionario!$A$1:$C10087,2,0)</f>
        <v>Solenopsis</v>
      </c>
      <c r="H9688" s="6" t="str">
        <f>VLOOKUP(E9688,dicionario!$A$1:$C10087,3,0)</f>
        <v>formiga-quente; formiga-lava-pés; formiga-de-fogo</v>
      </c>
    </row>
    <row r="9689">
      <c r="A9689" s="3">
        <v>45792.0</v>
      </c>
      <c r="B9689" s="4">
        <v>0.2777777777777778</v>
      </c>
      <c r="C9689" s="5" t="s">
        <v>85</v>
      </c>
      <c r="D9689" s="5" t="s">
        <v>1466</v>
      </c>
      <c r="E9689" s="8" t="s">
        <v>213</v>
      </c>
      <c r="F9689" s="5" t="s">
        <v>214</v>
      </c>
      <c r="G9689" s="6" t="str">
        <f>VLOOKUP(E9689,dicionario!$A$1:$C10088,2,0)</f>
        <v>Myiozetetes similis</v>
      </c>
      <c r="H9689" s="6" t="str">
        <f>VLOOKUP(E9689,dicionario!$A$1:$C10088,3,0)</f>
        <v>bentevizinho-de-penacho-vermelho</v>
      </c>
    </row>
    <row r="9690">
      <c r="A9690" s="3">
        <v>45792.0</v>
      </c>
      <c r="B9690" s="4">
        <v>0.2777777777777778</v>
      </c>
      <c r="C9690" s="5" t="s">
        <v>85</v>
      </c>
      <c r="D9690" s="5" t="s">
        <v>1466</v>
      </c>
      <c r="E9690" s="8" t="s">
        <v>38</v>
      </c>
      <c r="F9690" s="5" t="s">
        <v>39</v>
      </c>
      <c r="G9690" s="6" t="str">
        <f>VLOOKUP(E9690,dicionario!$A$1:$C10089,2,0)</f>
        <v>Troglodytes musculus</v>
      </c>
      <c r="H9690" s="6" t="str">
        <f>VLOOKUP(E9690,dicionario!$A$1:$C10089,3,0)</f>
        <v>curruíra</v>
      </c>
    </row>
    <row r="9691">
      <c r="A9691" s="3">
        <v>45792.0</v>
      </c>
      <c r="B9691" s="4">
        <v>0.27847222222222223</v>
      </c>
      <c r="C9691" s="5" t="s">
        <v>85</v>
      </c>
      <c r="D9691" s="5" t="s">
        <v>1466</v>
      </c>
      <c r="E9691" s="8" t="s">
        <v>338</v>
      </c>
      <c r="F9691" s="5" t="s">
        <v>238</v>
      </c>
      <c r="G9691" s="6" t="str">
        <f>VLOOKUP(E9691,dicionario!$A$1:$C10090,2,0)</f>
        <v>Atta</v>
      </c>
      <c r="H9691" s="6" t="str">
        <f>VLOOKUP(E9691,dicionario!$A$1:$C10090,3,0)</f>
        <v>saúva</v>
      </c>
    </row>
    <row r="9692">
      <c r="A9692" s="3">
        <v>45792.0</v>
      </c>
      <c r="B9692" s="4">
        <v>0.27847222222222223</v>
      </c>
      <c r="C9692" s="5" t="s">
        <v>85</v>
      </c>
      <c r="D9692" s="5" t="s">
        <v>1466</v>
      </c>
      <c r="E9692" s="8" t="s">
        <v>1087</v>
      </c>
      <c r="F9692" s="5" t="s">
        <v>1088</v>
      </c>
      <c r="G9692" s="6" t="str">
        <f>VLOOKUP(E9692,dicionario!$A$1:$C10091,2,0)</f>
        <v>Desmodium triflorum</v>
      </c>
      <c r="H9692" s="6" t="str">
        <f>VLOOKUP(E9692,dicionario!$A$1:$C10091,3,0)</f>
        <v/>
      </c>
    </row>
    <row r="9693">
      <c r="A9693" s="3">
        <v>45792.0</v>
      </c>
      <c r="B9693" s="4">
        <v>0.27847222222222223</v>
      </c>
      <c r="C9693" s="5" t="s">
        <v>1471</v>
      </c>
      <c r="D9693" s="5" t="s">
        <v>1466</v>
      </c>
      <c r="E9693" s="8" t="s">
        <v>191</v>
      </c>
      <c r="F9693" s="5" t="s">
        <v>192</v>
      </c>
      <c r="G9693" s="6" t="str">
        <f>VLOOKUP(E9693,dicionario!$A$1:$C10092,2,0)</f>
        <v>Patagioenas picazuro</v>
      </c>
      <c r="H9693" s="6" t="str">
        <f>VLOOKUP(E9693,dicionario!$A$1:$C10092,3,0)</f>
        <v>asa-branca; pomba-asa-branca; pocaçu</v>
      </c>
    </row>
    <row r="9694">
      <c r="A9694" s="3">
        <v>45792.0</v>
      </c>
      <c r="B9694" s="4">
        <v>0.28194444444444444</v>
      </c>
      <c r="C9694" s="5" t="s">
        <v>76</v>
      </c>
      <c r="D9694" s="5" t="s">
        <v>1466</v>
      </c>
      <c r="E9694" s="8" t="s">
        <v>195</v>
      </c>
      <c r="F9694" s="5" t="s">
        <v>196</v>
      </c>
      <c r="G9694" s="6" t="str">
        <f>VLOOKUP(E9694,dicionario!$A$1:$C10093,2,0)</f>
        <v>Priva lappulacea</v>
      </c>
      <c r="H9694" s="6" t="str">
        <f>VLOOKUP(E9694,dicionario!$A$1:$C10093,3,0)</f>
        <v>carrapicho</v>
      </c>
    </row>
    <row r="9695">
      <c r="A9695" s="3">
        <v>45792.0</v>
      </c>
      <c r="B9695" s="4">
        <v>0.28194444444444444</v>
      </c>
      <c r="C9695" s="5" t="s">
        <v>76</v>
      </c>
      <c r="D9695" s="5" t="s">
        <v>1466</v>
      </c>
      <c r="E9695" s="6" t="s">
        <v>116</v>
      </c>
      <c r="F9695" s="5" t="s">
        <v>117</v>
      </c>
      <c r="G9695" s="6" t="str">
        <f>VLOOKUP(E9695,dicionario!$A$1:$C10094,2,0)</f>
        <v>Argiope argentata</v>
      </c>
      <c r="H9695" s="6" t="str">
        <f>VLOOKUP(E9695,dicionario!$A$1:$C10094,3,0)</f>
        <v>aranha-de-prata</v>
      </c>
    </row>
    <row r="9696">
      <c r="A9696" s="3">
        <v>45792.0</v>
      </c>
      <c r="B9696" s="4">
        <v>0.28194444444444444</v>
      </c>
      <c r="C9696" s="5" t="s">
        <v>76</v>
      </c>
      <c r="D9696" s="5" t="s">
        <v>1466</v>
      </c>
      <c r="E9696" s="8" t="s">
        <v>146</v>
      </c>
      <c r="F9696" s="5" t="s">
        <v>147</v>
      </c>
      <c r="G9696" s="6" t="str">
        <f>VLOOKUP(E9696,dicionario!$A$1:$C10095,2,0)</f>
        <v>Euphorbia hirta</v>
      </c>
      <c r="H9696" s="6" t="str">
        <f>VLOOKUP(E9696,dicionario!$A$1:$C10095,3,0)</f>
        <v>erva-de-santa-luzia</v>
      </c>
    </row>
    <row r="9697">
      <c r="A9697" s="3">
        <v>45792.0</v>
      </c>
      <c r="B9697" s="4">
        <v>0.2826388888888889</v>
      </c>
      <c r="C9697" s="5" t="s">
        <v>76</v>
      </c>
      <c r="D9697" s="5" t="s">
        <v>1466</v>
      </c>
      <c r="E9697" s="8" t="s">
        <v>177</v>
      </c>
      <c r="F9697" s="5" t="s">
        <v>178</v>
      </c>
      <c r="G9697" s="6" t="str">
        <f>VLOOKUP(E9697,dicionario!$A$1:$C10096,2,0)</f>
        <v>Elaenia flavogaster</v>
      </c>
      <c r="H9697" s="6" t="str">
        <f>VLOOKUP(E9697,dicionario!$A$1:$C10096,3,0)</f>
        <v>guaracava-de-barriga-amarela</v>
      </c>
    </row>
    <row r="9698">
      <c r="A9698" s="3">
        <v>45792.0</v>
      </c>
      <c r="B9698" s="4">
        <v>0.2826388888888889</v>
      </c>
      <c r="C9698" s="5" t="s">
        <v>76</v>
      </c>
      <c r="D9698" s="5" t="s">
        <v>1466</v>
      </c>
      <c r="E9698" s="6" t="s">
        <v>148</v>
      </c>
      <c r="F9698" s="5" t="s">
        <v>149</v>
      </c>
      <c r="G9698" s="6" t="str">
        <f>VLOOKUP(E9698,dicionario!$A$1:$C10097,2,0)</f>
        <v>Parthenium hysterophorus</v>
      </c>
      <c r="H9698" s="6" t="str">
        <f>VLOOKUP(E9698,dicionario!$A$1:$C10097,3,0)</f>
        <v>losna-branca</v>
      </c>
    </row>
    <row r="9699">
      <c r="A9699" s="3">
        <v>45792.0</v>
      </c>
      <c r="B9699" s="4">
        <v>0.2826388888888889</v>
      </c>
      <c r="C9699" s="5" t="s">
        <v>76</v>
      </c>
      <c r="D9699" s="5" t="s">
        <v>1466</v>
      </c>
      <c r="E9699" s="8" t="s">
        <v>60</v>
      </c>
      <c r="F9699" s="5" t="s">
        <v>61</v>
      </c>
      <c r="G9699" s="6" t="str">
        <f>VLOOKUP(E9699,dicionario!$A$1:$C10098,2,0)</f>
        <v>Vanellus chilensis</v>
      </c>
      <c r="H9699" s="6" t="str">
        <f>VLOOKUP(E9699,dicionario!$A$1:$C10098,3,0)</f>
        <v>quero-quero</v>
      </c>
    </row>
    <row r="9700">
      <c r="A9700" s="3">
        <v>45792.0</v>
      </c>
      <c r="B9700" s="4">
        <v>0.2826388888888889</v>
      </c>
      <c r="C9700" s="5" t="s">
        <v>76</v>
      </c>
      <c r="D9700" s="5" t="s">
        <v>1466</v>
      </c>
      <c r="E9700" s="8" t="s">
        <v>135</v>
      </c>
      <c r="F9700" s="5" t="s">
        <v>136</v>
      </c>
      <c r="G9700" s="6" t="str">
        <f>VLOOKUP(E9700,dicionario!$A$1:$C10099,2,0)</f>
        <v>Tridax procumbens</v>
      </c>
      <c r="H9700" s="6" t="str">
        <f>VLOOKUP(E9700,dicionario!$A$1:$C10099,3,0)</f>
        <v>erva-de-touro</v>
      </c>
    </row>
    <row r="9701">
      <c r="A9701" s="3">
        <v>45792.0</v>
      </c>
      <c r="B9701" s="4">
        <v>0.2826388888888889</v>
      </c>
      <c r="C9701" s="5" t="s">
        <v>76</v>
      </c>
      <c r="D9701" s="5" t="s">
        <v>1466</v>
      </c>
      <c r="E9701" s="8" t="s">
        <v>1309</v>
      </c>
      <c r="F9701" s="5" t="s">
        <v>230</v>
      </c>
      <c r="G9701" s="6" t="str">
        <f>VLOOKUP(E9701,dicionario!$A$1:$C10100,2,0)</f>
        <v>#N/A</v>
      </c>
      <c r="H9701" s="6" t="str">
        <f>VLOOKUP(E9701,dicionario!$A$1:$C10100,3,0)</f>
        <v>#N/A</v>
      </c>
    </row>
    <row r="9702">
      <c r="A9702" s="3">
        <v>45792.0</v>
      </c>
      <c r="B9702" s="4">
        <v>0.2826388888888889</v>
      </c>
      <c r="C9702" s="5" t="s">
        <v>76</v>
      </c>
      <c r="D9702" s="5" t="s">
        <v>1466</v>
      </c>
      <c r="E9702" s="8" t="s">
        <v>792</v>
      </c>
      <c r="F9702" s="5" t="s">
        <v>1014</v>
      </c>
      <c r="G9702" s="6" t="str">
        <f>VLOOKUP(E9702,dicionario!$A$1:$C10101,2,0)</f>
        <v>Musca domestica</v>
      </c>
      <c r="H9702" s="6" t="str">
        <f>VLOOKUP(E9702,dicionario!$A$1:$C10101,3,0)</f>
        <v>mosca-doméstica</v>
      </c>
    </row>
    <row r="9703">
      <c r="A9703" s="3">
        <v>45792.0</v>
      </c>
      <c r="B9703" s="4">
        <v>0.2826388888888889</v>
      </c>
      <c r="C9703" s="5" t="s">
        <v>76</v>
      </c>
      <c r="D9703" s="5" t="s">
        <v>1466</v>
      </c>
      <c r="E9703" s="8" t="s">
        <v>141</v>
      </c>
      <c r="F9703" s="5" t="s">
        <v>142</v>
      </c>
      <c r="G9703" s="6" t="str">
        <f>VLOOKUP(E9703,dicionario!$A$1:$C10102,2,0)</f>
        <v>Ruellia blechum</v>
      </c>
      <c r="H9703" s="6" t="str">
        <f>VLOOKUP(E9703,dicionario!$A$1:$C10102,3,0)</f>
        <v>camarão-verde</v>
      </c>
    </row>
    <row r="9704">
      <c r="A9704" s="3">
        <v>45792.0</v>
      </c>
      <c r="B9704" s="4">
        <v>0.2826388888888889</v>
      </c>
      <c r="C9704" s="5" t="s">
        <v>76</v>
      </c>
      <c r="D9704" s="5" t="s">
        <v>1466</v>
      </c>
      <c r="E9704" s="8" t="s">
        <v>253</v>
      </c>
      <c r="F9704" s="5" t="s">
        <v>254</v>
      </c>
      <c r="G9704" s="6" t="str">
        <f>VLOOKUP(E9704,dicionario!$A$1:$C10103,2,0)</f>
        <v>Panicum maximum</v>
      </c>
      <c r="H9704" s="6" t="str">
        <f>VLOOKUP(E9704,dicionario!$A$1:$C10103,3,0)</f>
        <v>capim-colonião</v>
      </c>
    </row>
    <row r="9705">
      <c r="A9705" s="3">
        <v>45792.0</v>
      </c>
      <c r="B9705" s="4">
        <v>0.2826388888888889</v>
      </c>
      <c r="C9705" s="5" t="s">
        <v>76</v>
      </c>
      <c r="D9705" s="5" t="s">
        <v>1466</v>
      </c>
      <c r="E9705" s="8" t="s">
        <v>298</v>
      </c>
      <c r="F9705" s="7"/>
      <c r="G9705" s="6" t="str">
        <f>VLOOKUP(E9705,dicionario!$A$1:$C10104,2,0)</f>
        <v>Alysicarpus vaginalis</v>
      </c>
      <c r="H9705" s="6" t="str">
        <f>VLOOKUP(E9705,dicionario!$A$1:$C10104,3,0)</f>
        <v/>
      </c>
    </row>
    <row r="9706">
      <c r="A9706" s="3">
        <v>45792.0</v>
      </c>
      <c r="B9706" s="4">
        <v>0.2826388888888889</v>
      </c>
      <c r="C9706" s="5" t="s">
        <v>76</v>
      </c>
      <c r="D9706" s="5" t="s">
        <v>1466</v>
      </c>
      <c r="E9706" s="6" t="s">
        <v>48</v>
      </c>
      <c r="F9706" s="5" t="s">
        <v>49</v>
      </c>
      <c r="G9706" s="6" t="str">
        <f>VLOOKUP(E9706,dicionario!$A$1:$C10105,2,0)</f>
        <v>Commelina erecta</v>
      </c>
      <c r="H9706" s="6" t="str">
        <f>VLOOKUP(E9706,dicionario!$A$1:$C10105,3,0)</f>
        <v>trapoeraba</v>
      </c>
    </row>
    <row r="9707">
      <c r="A9707" s="3">
        <v>45792.0</v>
      </c>
      <c r="B9707" s="4">
        <v>0.2826388888888889</v>
      </c>
      <c r="C9707" s="5" t="s">
        <v>76</v>
      </c>
      <c r="D9707" s="5" t="s">
        <v>1466</v>
      </c>
      <c r="E9707" s="6" t="s">
        <v>288</v>
      </c>
      <c r="F9707" s="5" t="s">
        <v>289</v>
      </c>
      <c r="G9707" s="6" t="str">
        <f>VLOOKUP(E9707,dicionario!$A$1:$C10106,2,0)</f>
        <v>Phyllanthus tenellus</v>
      </c>
      <c r="H9707" s="6" t="str">
        <f>VLOOKUP(E9707,dicionario!$A$1:$C10106,3,0)</f>
        <v>quebra-pedra</v>
      </c>
    </row>
    <row r="9708">
      <c r="A9708" s="3">
        <v>45792.0</v>
      </c>
      <c r="B9708" s="4">
        <v>0.2826388888888889</v>
      </c>
      <c r="C9708" s="5" t="s">
        <v>76</v>
      </c>
      <c r="D9708" s="5" t="s">
        <v>1466</v>
      </c>
      <c r="E9708" s="8" t="s">
        <v>1367</v>
      </c>
      <c r="F9708" s="5" t="s">
        <v>387</v>
      </c>
      <c r="G9708" s="6" t="str">
        <f>VLOOKUP(E9708,dicionario!$A$1:$C10107,2,0)</f>
        <v>#N/A</v>
      </c>
      <c r="H9708" s="6" t="str">
        <f>VLOOKUP(E9708,dicionario!$A$1:$C10107,3,0)</f>
        <v>#N/A</v>
      </c>
    </row>
    <row r="9709">
      <c r="A9709" s="3">
        <v>45792.0</v>
      </c>
      <c r="B9709" s="4">
        <v>0.2833333333333333</v>
      </c>
      <c r="C9709" s="5" t="s">
        <v>76</v>
      </c>
      <c r="D9709" s="5" t="s">
        <v>1466</v>
      </c>
      <c r="E9709" s="8" t="s">
        <v>154</v>
      </c>
      <c r="F9709" s="5" t="s">
        <v>155</v>
      </c>
      <c r="G9709" s="6" t="str">
        <f>VLOOKUP(E9709,dicionario!$A$1:$C10108,2,0)</f>
        <v>Cyperus rotundus</v>
      </c>
      <c r="H9709" s="6" t="str">
        <f>VLOOKUP(E9709,dicionario!$A$1:$C10108,3,0)</f>
        <v>tiririca</v>
      </c>
    </row>
    <row r="9710">
      <c r="A9710" s="3">
        <v>45792.0</v>
      </c>
      <c r="B9710" s="4">
        <v>0.2833333333333333</v>
      </c>
      <c r="C9710" s="5" t="s">
        <v>76</v>
      </c>
      <c r="D9710" s="5" t="s">
        <v>1466</v>
      </c>
      <c r="E9710" s="8" t="s">
        <v>296</v>
      </c>
      <c r="F9710" s="5" t="s">
        <v>297</v>
      </c>
      <c r="G9710" s="6" t="str">
        <f>VLOOKUP(E9710,dicionario!$A$1:$C10109,2,0)</f>
        <v>Richardia brasiliensis</v>
      </c>
      <c r="H9710" s="6" t="str">
        <f>VLOOKUP(E9710,dicionario!$A$1:$C10109,3,0)</f>
        <v>poaia-branca</v>
      </c>
    </row>
    <row r="9711">
      <c r="A9711" s="3">
        <v>45792.0</v>
      </c>
      <c r="B9711" s="4">
        <v>0.2833333333333333</v>
      </c>
      <c r="C9711" s="5" t="s">
        <v>76</v>
      </c>
      <c r="D9711" s="5" t="s">
        <v>1466</v>
      </c>
      <c r="E9711" s="8" t="s">
        <v>239</v>
      </c>
      <c r="F9711" s="5" t="s">
        <v>240</v>
      </c>
      <c r="G9711" s="6" t="str">
        <f>VLOOKUP(E9711,dicionario!$A$1:$C10110,2,0)</f>
        <v>Gomphrena celosioides</v>
      </c>
      <c r="H9711" s="6" t="str">
        <f>VLOOKUP(E9711,dicionario!$A$1:$C10110,3,0)</f>
        <v>perpétua-branca</v>
      </c>
    </row>
    <row r="9712">
      <c r="A9712" s="3">
        <v>45792.0</v>
      </c>
      <c r="B9712" s="4">
        <v>0.2833333333333333</v>
      </c>
      <c r="C9712" s="5" t="s">
        <v>76</v>
      </c>
      <c r="D9712" s="5" t="s">
        <v>1466</v>
      </c>
      <c r="E9712" s="6" t="s">
        <v>467</v>
      </c>
      <c r="F9712" s="5" t="s">
        <v>468</v>
      </c>
      <c r="G9712" s="6" t="str">
        <f>VLOOKUP(E9712,dicionario!$A$1:$C10111,2,0)</f>
        <v>Eleusine indica</v>
      </c>
      <c r="H9712" s="6" t="str">
        <f>VLOOKUP(E9712,dicionario!$A$1:$C10111,3,0)</f>
        <v>capim-pé-de-galinha</v>
      </c>
    </row>
    <row r="9713">
      <c r="A9713" s="3">
        <v>45792.0</v>
      </c>
      <c r="B9713" s="4">
        <v>0.2833333333333333</v>
      </c>
      <c r="C9713" s="5" t="s">
        <v>76</v>
      </c>
      <c r="D9713" s="5" t="s">
        <v>1466</v>
      </c>
      <c r="E9713" s="8" t="s">
        <v>738</v>
      </c>
      <c r="F9713" s="5" t="s">
        <v>263</v>
      </c>
      <c r="G9713" s="6" t="str">
        <f>VLOOKUP(E9713,dicionario!$A$1:$C10112,2,0)</f>
        <v>Portulaca</v>
      </c>
      <c r="H9713" s="6" t="str">
        <f>VLOOKUP(E9713,dicionario!$A$1:$C10112,3,0)</f>
        <v/>
      </c>
    </row>
    <row r="9714">
      <c r="A9714" s="3">
        <v>45792.0</v>
      </c>
      <c r="B9714" s="4">
        <v>0.2833333333333333</v>
      </c>
      <c r="C9714" s="5" t="s">
        <v>76</v>
      </c>
      <c r="D9714" s="5" t="s">
        <v>1466</v>
      </c>
      <c r="E9714" s="6" t="s">
        <v>366</v>
      </c>
      <c r="F9714" s="5" t="s">
        <v>367</v>
      </c>
      <c r="G9714" s="6" t="str">
        <f>VLOOKUP(E9714,dicionario!$A$1:$C10113,2,0)</f>
        <v>Alternanthera ficoidea</v>
      </c>
      <c r="H9714" s="6" t="str">
        <f>VLOOKUP(E9714,dicionario!$A$1:$C10113,3,0)</f>
        <v>quebra-panela</v>
      </c>
    </row>
    <row r="9715">
      <c r="A9715" s="3">
        <v>45792.0</v>
      </c>
      <c r="B9715" s="4">
        <v>0.28402777777777777</v>
      </c>
      <c r="C9715" s="5" t="s">
        <v>76</v>
      </c>
      <c r="D9715" s="5" t="s">
        <v>1466</v>
      </c>
      <c r="E9715" s="8" t="s">
        <v>1328</v>
      </c>
      <c r="F9715" s="5" t="s">
        <v>356</v>
      </c>
      <c r="G9715" s="6" t="str">
        <f>VLOOKUP(E9715,dicionario!$A$1:$C10114,2,0)</f>
        <v>#N/A</v>
      </c>
      <c r="H9715" s="6" t="str">
        <f>VLOOKUP(E9715,dicionario!$A$1:$C10114,3,0)</f>
        <v>#N/A</v>
      </c>
    </row>
    <row r="9716">
      <c r="A9716" s="3">
        <v>45792.0</v>
      </c>
      <c r="B9716" s="4">
        <v>0.28402777777777777</v>
      </c>
      <c r="C9716" s="5" t="s">
        <v>76</v>
      </c>
      <c r="D9716" s="5" t="s">
        <v>1466</v>
      </c>
      <c r="E9716" s="8" t="s">
        <v>38</v>
      </c>
      <c r="F9716" s="5" t="s">
        <v>39</v>
      </c>
      <c r="G9716" s="6" t="str">
        <f>VLOOKUP(E9716,dicionario!$A$1:$C10115,2,0)</f>
        <v>Troglodytes musculus</v>
      </c>
      <c r="H9716" s="6" t="str">
        <f>VLOOKUP(E9716,dicionario!$A$1:$C10115,3,0)</f>
        <v>curruíra</v>
      </c>
    </row>
    <row r="9717">
      <c r="A9717" s="3">
        <v>45792.0</v>
      </c>
      <c r="B9717" s="4">
        <v>0.28402777777777777</v>
      </c>
      <c r="C9717" s="5" t="s">
        <v>76</v>
      </c>
      <c r="D9717" s="5" t="s">
        <v>1466</v>
      </c>
      <c r="E9717" s="8" t="s">
        <v>227</v>
      </c>
      <c r="F9717" s="5" t="s">
        <v>228</v>
      </c>
      <c r="G9717" s="6" t="str">
        <f>VLOOKUP(E9717,dicionario!$A$1:$C10116,2,0)</f>
        <v>Indigofera hirsuta</v>
      </c>
      <c r="H9717" s="6" t="str">
        <f>VLOOKUP(E9717,dicionario!$A$1:$C10116,3,0)</f>
        <v>anileira</v>
      </c>
    </row>
    <row r="9718">
      <c r="A9718" s="3">
        <v>45792.0</v>
      </c>
      <c r="B9718" s="4">
        <v>0.28402777777777777</v>
      </c>
      <c r="C9718" s="5" t="s">
        <v>76</v>
      </c>
      <c r="D9718" s="5" t="s">
        <v>1466</v>
      </c>
      <c r="E9718" s="12" t="s">
        <v>221</v>
      </c>
      <c r="F9718" s="5" t="s">
        <v>222</v>
      </c>
      <c r="G9718" s="6" t="str">
        <f>VLOOKUP(E9718,dicionario!$A$1:$C10117,2,0)</f>
        <v>Volatinia jacarina</v>
      </c>
      <c r="H9718" s="6" t="str">
        <f>VLOOKUP(E9718,dicionario!$A$1:$C10117,3,0)</f>
        <v>tiziu</v>
      </c>
    </row>
    <row r="9719">
      <c r="A9719" s="3">
        <v>45792.0</v>
      </c>
      <c r="B9719" s="4">
        <v>0.28402777777777777</v>
      </c>
      <c r="C9719" s="5" t="s">
        <v>76</v>
      </c>
      <c r="D9719" s="5" t="s">
        <v>1466</v>
      </c>
      <c r="E9719" s="8" t="s">
        <v>1087</v>
      </c>
      <c r="F9719" s="5" t="s">
        <v>1088</v>
      </c>
      <c r="G9719" s="6" t="str">
        <f>VLOOKUP(E9719,dicionario!$A$1:$C10118,2,0)</f>
        <v>Desmodium triflorum</v>
      </c>
      <c r="H9719" s="6" t="str">
        <f>VLOOKUP(E9719,dicionario!$A$1:$C10118,3,0)</f>
        <v/>
      </c>
    </row>
    <row r="9720">
      <c r="A9720" s="3">
        <v>45792.0</v>
      </c>
      <c r="B9720" s="4">
        <v>0.28402777777777777</v>
      </c>
      <c r="C9720" s="5" t="s">
        <v>76</v>
      </c>
      <c r="D9720" s="5" t="s">
        <v>1466</v>
      </c>
      <c r="E9720" s="12" t="s">
        <v>152</v>
      </c>
      <c r="F9720" s="5" t="s">
        <v>153</v>
      </c>
      <c r="G9720" s="6" t="str">
        <f>VLOOKUP(E9720,dicionario!$A$1:$C10119,2,0)</f>
        <v>Cynodon dactylon</v>
      </c>
      <c r="H9720" s="6" t="str">
        <f>VLOOKUP(E9720,dicionario!$A$1:$C10119,3,0)</f>
        <v>grama-bermuda</v>
      </c>
    </row>
    <row r="9721">
      <c r="A9721" s="3">
        <v>45792.0</v>
      </c>
      <c r="B9721" s="4">
        <v>0.2847222222222222</v>
      </c>
      <c r="C9721" s="5" t="s">
        <v>76</v>
      </c>
      <c r="D9721" s="5" t="s">
        <v>1466</v>
      </c>
      <c r="E9721" s="8" t="s">
        <v>1405</v>
      </c>
      <c r="F9721" s="5" t="s">
        <v>1472</v>
      </c>
      <c r="G9721" s="6" t="str">
        <f>VLOOKUP(E9721,dicionario!$A$1:$C10120,2,0)</f>
        <v>#N/A</v>
      </c>
      <c r="H9721" s="6" t="str">
        <f>VLOOKUP(E9721,dicionario!$A$1:$C10120,3,0)</f>
        <v>#N/A</v>
      </c>
    </row>
    <row r="9722">
      <c r="A9722" s="3">
        <v>45792.0</v>
      </c>
      <c r="B9722" s="4">
        <v>0.2847222222222222</v>
      </c>
      <c r="C9722" s="5" t="s">
        <v>76</v>
      </c>
      <c r="D9722" s="5" t="s">
        <v>1466</v>
      </c>
      <c r="E9722" s="8" t="s">
        <v>319</v>
      </c>
      <c r="F9722" s="5" t="s">
        <v>320</v>
      </c>
      <c r="G9722" s="6" t="str">
        <f>VLOOKUP(E9722,dicionario!$A$1:$C10121,2,0)</f>
        <v>Schinus terebinthifolia</v>
      </c>
      <c r="H9722" s="6" t="str">
        <f>VLOOKUP(E9722,dicionario!$A$1:$C10121,3,0)</f>
        <v>aroeira</v>
      </c>
    </row>
    <row r="9723">
      <c r="A9723" s="3">
        <v>45792.0</v>
      </c>
      <c r="B9723" s="4">
        <v>0.2847222222222222</v>
      </c>
      <c r="C9723" s="5" t="s">
        <v>76</v>
      </c>
      <c r="D9723" s="5" t="s">
        <v>1466</v>
      </c>
      <c r="E9723" s="8" t="s">
        <v>286</v>
      </c>
      <c r="F9723" s="5" t="s">
        <v>287</v>
      </c>
      <c r="G9723" s="6" t="str">
        <f>VLOOKUP(E9723,dicionario!$A$1:$C10122,2,0)</f>
        <v>Setaria parviflora</v>
      </c>
      <c r="H9723" s="6" t="str">
        <f>VLOOKUP(E9723,dicionario!$A$1:$C10122,3,0)</f>
        <v>capim-rabo-de-raposa</v>
      </c>
    </row>
    <row r="9724">
      <c r="A9724" s="3">
        <v>45792.0</v>
      </c>
      <c r="B9724" s="4">
        <v>0.2847222222222222</v>
      </c>
      <c r="C9724" s="5" t="s">
        <v>76</v>
      </c>
      <c r="D9724" s="5" t="s">
        <v>1466</v>
      </c>
      <c r="E9724" s="8" t="s">
        <v>736</v>
      </c>
      <c r="F9724" s="5" t="s">
        <v>737</v>
      </c>
      <c r="G9724" s="6" t="str">
        <f>VLOOKUP(E9724,dicionario!$A$1:$C10123,2,0)</f>
        <v>Chloris virgata</v>
      </c>
      <c r="H9724" s="6" t="str">
        <f>VLOOKUP(E9724,dicionario!$A$1:$C10123,3,0)</f>
        <v>capim-pavão</v>
      </c>
    </row>
    <row r="9725">
      <c r="A9725" s="3">
        <v>45792.0</v>
      </c>
      <c r="B9725" s="4">
        <v>0.2847222222222222</v>
      </c>
      <c r="C9725" s="5" t="s">
        <v>76</v>
      </c>
      <c r="D9725" s="5" t="s">
        <v>1466</v>
      </c>
      <c r="E9725" s="8" t="s">
        <v>324</v>
      </c>
      <c r="F9725" s="5" t="s">
        <v>325</v>
      </c>
      <c r="G9725" s="6" t="str">
        <f>VLOOKUP(E9725,dicionario!$A$1:$C10124,2,0)</f>
        <v>#N/A</v>
      </c>
      <c r="H9725" s="6" t="str">
        <f>VLOOKUP(E9725,dicionario!$A$1:$C10124,3,0)</f>
        <v>#N/A</v>
      </c>
    </row>
    <row r="9726">
      <c r="A9726" s="3">
        <v>45792.0</v>
      </c>
      <c r="B9726" s="4">
        <v>0.2847222222222222</v>
      </c>
      <c r="C9726" s="5" t="s">
        <v>76</v>
      </c>
      <c r="D9726" s="5" t="s">
        <v>1466</v>
      </c>
      <c r="E9726" s="8" t="s">
        <v>150</v>
      </c>
      <c r="F9726" s="5" t="s">
        <v>151</v>
      </c>
      <c r="G9726" s="6" t="str">
        <f>VLOOKUP(E9726,dicionario!$A$1:$C10125,2,0)</f>
        <v>Amaranthus viridis</v>
      </c>
      <c r="H9726" s="6" t="str">
        <f>VLOOKUP(E9726,dicionario!$A$1:$C10125,3,0)</f>
        <v>caruru-de-mancha</v>
      </c>
    </row>
    <row r="9727">
      <c r="A9727" s="3">
        <v>45792.0</v>
      </c>
      <c r="B9727" s="4">
        <v>0.2847222222222222</v>
      </c>
      <c r="C9727" s="5" t="s">
        <v>76</v>
      </c>
      <c r="D9727" s="5" t="s">
        <v>1466</v>
      </c>
      <c r="E9727" s="8" t="s">
        <v>144</v>
      </c>
      <c r="F9727" s="5" t="s">
        <v>145</v>
      </c>
      <c r="G9727" s="6" t="str">
        <f>VLOOKUP(E9727,dicionario!$A$1:$C10126,2,0)</f>
        <v>Gomphrena globosa</v>
      </c>
      <c r="H9727" s="6" t="str">
        <f>VLOOKUP(E9727,dicionario!$A$1:$C10126,3,0)</f>
        <v>perpétua-rosa</v>
      </c>
    </row>
    <row r="9728">
      <c r="A9728" s="3">
        <v>45792.0</v>
      </c>
      <c r="B9728" s="4">
        <v>0.2847222222222222</v>
      </c>
      <c r="C9728" s="5" t="s">
        <v>76</v>
      </c>
      <c r="D9728" s="5" t="s">
        <v>1466</v>
      </c>
      <c r="E9728" s="29" t="s">
        <v>566</v>
      </c>
      <c r="F9728" s="5" t="s">
        <v>567</v>
      </c>
      <c r="G9728" s="6" t="str">
        <f>VLOOKUP(E9728,dicionario!$A$1:$C10127,2,0)</f>
        <v>Baccharis dracunculifolia</v>
      </c>
      <c r="H9728" s="6" t="str">
        <f>VLOOKUP(E9728,dicionario!$A$1:$C10127,3,0)</f>
        <v>vassoura</v>
      </c>
    </row>
    <row r="9729">
      <c r="A9729" s="3">
        <v>45792.0</v>
      </c>
      <c r="B9729" s="4">
        <v>0.28680555555555554</v>
      </c>
      <c r="C9729" s="5" t="s">
        <v>76</v>
      </c>
      <c r="D9729" s="5" t="s">
        <v>1466</v>
      </c>
      <c r="E9729" s="8" t="s">
        <v>113</v>
      </c>
      <c r="F9729" s="5" t="s">
        <v>114</v>
      </c>
      <c r="G9729" s="6" t="str">
        <f>VLOOKUP(E9729,dicionario!$A$1:$C10128,2,0)</f>
        <v>Columbina talpacoti</v>
      </c>
      <c r="H9729" s="6" t="str">
        <f>VLOOKUP(E9729,dicionario!$A$1:$C10128,3,0)</f>
        <v>rolinha-roxa</v>
      </c>
    </row>
    <row r="9730">
      <c r="A9730" s="3">
        <v>45792.0</v>
      </c>
      <c r="B9730" s="4">
        <v>0.28680555555555554</v>
      </c>
      <c r="C9730" s="5" t="s">
        <v>76</v>
      </c>
      <c r="D9730" s="5" t="s">
        <v>1466</v>
      </c>
      <c r="E9730" s="8" t="s">
        <v>1386</v>
      </c>
      <c r="F9730" s="5" t="s">
        <v>484</v>
      </c>
      <c r="G9730" s="6" t="str">
        <f>VLOOKUP(E9730,dicionario!$A$1:$C10129,2,0)</f>
        <v>#N/A</v>
      </c>
      <c r="H9730" s="6" t="str">
        <f>VLOOKUP(E9730,dicionario!$A$1:$C10129,3,0)</f>
        <v>#N/A</v>
      </c>
    </row>
    <row r="9731">
      <c r="A9731" s="3">
        <v>45792.0</v>
      </c>
      <c r="B9731" s="4">
        <v>0.28680555555555554</v>
      </c>
      <c r="C9731" s="5" t="s">
        <v>76</v>
      </c>
      <c r="D9731" s="5" t="s">
        <v>1466</v>
      </c>
      <c r="E9731" s="6" t="s">
        <v>290</v>
      </c>
      <c r="F9731" s="5" t="s">
        <v>291</v>
      </c>
      <c r="G9731" s="6" t="str">
        <f>VLOOKUP(E9731,dicionario!$A$1:$C10130,2,0)</f>
        <v>Drymaria cordata</v>
      </c>
      <c r="H9731" s="6" t="str">
        <f>VLOOKUP(E9731,dicionario!$A$1:$C10130,3,0)</f>
        <v>orelha-de-rato</v>
      </c>
    </row>
    <row r="9732">
      <c r="A9732" s="3">
        <v>45792.0</v>
      </c>
      <c r="B9732" s="4">
        <v>0.28680555555555554</v>
      </c>
      <c r="C9732" s="5" t="s">
        <v>76</v>
      </c>
      <c r="D9732" s="5" t="s">
        <v>1466</v>
      </c>
      <c r="E9732" s="8" t="s">
        <v>1282</v>
      </c>
      <c r="F9732" s="5" t="s">
        <v>182</v>
      </c>
      <c r="G9732" s="6" t="str">
        <f>VLOOKUP(E9732,dicionario!$A$1:$C10131,2,0)</f>
        <v>#N/A</v>
      </c>
      <c r="H9732" s="6" t="str">
        <f>VLOOKUP(E9732,dicionario!$A$1:$C10131,3,0)</f>
        <v>#N/A</v>
      </c>
    </row>
    <row r="9733">
      <c r="A9733" s="3">
        <v>45792.0</v>
      </c>
      <c r="B9733" s="4">
        <v>0.28680555555555554</v>
      </c>
      <c r="C9733" s="5" t="s">
        <v>76</v>
      </c>
      <c r="D9733" s="5" t="s">
        <v>1466</v>
      </c>
      <c r="E9733" s="8" t="s">
        <v>69</v>
      </c>
      <c r="F9733" s="5" t="s">
        <v>71</v>
      </c>
      <c r="G9733" s="6" t="str">
        <f>VLOOKUP(E9733,dicionario!$A$1:$C10132,2,0)</f>
        <v>Talinum fruticosum</v>
      </c>
      <c r="H9733" s="6" t="str">
        <f>VLOOKUP(E9733,dicionario!$A$1:$C10132,3,0)</f>
        <v>beldroega-grande</v>
      </c>
    </row>
    <row r="9734">
      <c r="A9734" s="3">
        <v>45792.0</v>
      </c>
      <c r="B9734" s="4">
        <v>0.2875</v>
      </c>
      <c r="C9734" s="5" t="s">
        <v>76</v>
      </c>
      <c r="D9734" s="5" t="s">
        <v>1466</v>
      </c>
      <c r="E9734" s="8" t="s">
        <v>606</v>
      </c>
      <c r="F9734" s="5" t="s">
        <v>607</v>
      </c>
      <c r="G9734" s="6" t="str">
        <f>VLOOKUP(E9734,dicionario!$A$1:$C10133,2,0)</f>
        <v>Elaenia spectabilis</v>
      </c>
      <c r="H9734" s="6" t="str">
        <f>VLOOKUP(E9734,dicionario!$A$1:$C10133,3,0)</f>
        <v>guaracava-grande</v>
      </c>
    </row>
    <row r="9735">
      <c r="A9735" s="3">
        <v>45792.0</v>
      </c>
      <c r="B9735" s="4">
        <v>0.2875</v>
      </c>
      <c r="C9735" s="5" t="s">
        <v>76</v>
      </c>
      <c r="D9735" s="5" t="s">
        <v>1466</v>
      </c>
      <c r="E9735" s="8" t="s">
        <v>504</v>
      </c>
      <c r="F9735" s="5" t="s">
        <v>534</v>
      </c>
      <c r="G9735" s="6" t="str">
        <f>VLOOKUP(E9735,dicionario!$A$1:$C10134,2,0)</f>
        <v>Cleome aculeata</v>
      </c>
      <c r="H9735" s="6" t="str">
        <f>VLOOKUP(E9735,dicionario!$A$1:$C10134,3,0)</f>
        <v>cleome</v>
      </c>
    </row>
    <row r="9736">
      <c r="A9736" s="3">
        <v>45792.0</v>
      </c>
      <c r="B9736" s="4">
        <v>0.2875</v>
      </c>
      <c r="C9736" s="5" t="s">
        <v>76</v>
      </c>
      <c r="D9736" s="5" t="s">
        <v>1466</v>
      </c>
      <c r="E9736" s="8" t="s">
        <v>225</v>
      </c>
      <c r="F9736" s="5" t="s">
        <v>226</v>
      </c>
      <c r="G9736" s="6" t="str">
        <f>VLOOKUP(E9736,dicionario!$A$1:$C10135,2,0)</f>
        <v>Passer domesticus</v>
      </c>
      <c r="H9736" s="6" t="str">
        <f>VLOOKUP(E9736,dicionario!$A$1:$C10135,3,0)</f>
        <v>pardal</v>
      </c>
    </row>
    <row r="9737">
      <c r="A9737" s="3">
        <v>45792.0</v>
      </c>
      <c r="B9737" s="4">
        <v>0.2875</v>
      </c>
      <c r="C9737" s="5" t="s">
        <v>76</v>
      </c>
      <c r="D9737" s="5" t="s">
        <v>1466</v>
      </c>
      <c r="E9737" s="8" t="s">
        <v>1192</v>
      </c>
      <c r="F9737" s="5" t="s">
        <v>92</v>
      </c>
      <c r="G9737" s="6" t="str">
        <f>VLOOKUP(E9737,dicionario!$A$1:$C10136,2,0)</f>
        <v>#N/A</v>
      </c>
      <c r="H9737" s="6" t="str">
        <f>VLOOKUP(E9737,dicionario!$A$1:$C10136,3,0)</f>
        <v>#N/A</v>
      </c>
    </row>
    <row r="9738">
      <c r="A9738" s="3">
        <v>45792.0</v>
      </c>
      <c r="B9738" s="4">
        <v>0.2875</v>
      </c>
      <c r="C9738" s="5" t="s">
        <v>76</v>
      </c>
      <c r="D9738" s="5" t="s">
        <v>1466</v>
      </c>
      <c r="E9738" s="8" t="s">
        <v>193</v>
      </c>
      <c r="F9738" s="5" t="s">
        <v>194</v>
      </c>
      <c r="G9738" s="6" t="str">
        <f>VLOOKUP(E9738,dicionario!$A$1:$C10137,2,0)</f>
        <v>Conirostrum speciosum</v>
      </c>
      <c r="H9738" s="6" t="str">
        <f>VLOOKUP(E9738,dicionario!$A$1:$C10137,3,0)</f>
        <v>figuinha-de-rabo-castanho</v>
      </c>
    </row>
    <row r="9739">
      <c r="A9739" s="3">
        <v>45792.0</v>
      </c>
      <c r="B9739" s="4">
        <v>0.2875</v>
      </c>
      <c r="C9739" s="5" t="s">
        <v>76</v>
      </c>
      <c r="D9739" s="5" t="s">
        <v>1466</v>
      </c>
      <c r="E9739" s="8" t="s">
        <v>83</v>
      </c>
      <c r="F9739" s="5" t="s">
        <v>84</v>
      </c>
      <c r="G9739" s="6" t="str">
        <f>VLOOKUP(E9739,dicionario!$A$1:$C10138,2,0)</f>
        <v>Anartia jatrophae</v>
      </c>
      <c r="H9739" s="6" t="str">
        <f>VLOOKUP(E9739,dicionario!$A$1:$C10138,3,0)</f>
        <v>borboleta-pavão-branco</v>
      </c>
    </row>
    <row r="9740">
      <c r="A9740" s="3">
        <v>45792.0</v>
      </c>
      <c r="B9740" s="4">
        <v>0.2875</v>
      </c>
      <c r="C9740" s="5" t="s">
        <v>76</v>
      </c>
      <c r="D9740" s="5" t="s">
        <v>1466</v>
      </c>
      <c r="E9740" s="8" t="s">
        <v>183</v>
      </c>
      <c r="F9740" s="5" t="s">
        <v>277</v>
      </c>
      <c r="G9740" s="6" t="str">
        <f>VLOOKUP(E9740,dicionario!$A$1:$C10139,2,0)</f>
        <v>Thunbergia alata</v>
      </c>
      <c r="H9740" s="6" t="str">
        <f>VLOOKUP(E9740,dicionario!$A$1:$C10139,3,0)</f>
        <v>susana-dos-olhos-negros</v>
      </c>
    </row>
    <row r="9741">
      <c r="A9741" s="3">
        <v>45792.0</v>
      </c>
      <c r="B9741" s="4">
        <v>0.2881944444444444</v>
      </c>
      <c r="C9741" s="5" t="s">
        <v>76</v>
      </c>
      <c r="D9741" s="5" t="s">
        <v>1466</v>
      </c>
      <c r="E9741" s="8" t="s">
        <v>786</v>
      </c>
      <c r="F9741" s="5" t="s">
        <v>787</v>
      </c>
      <c r="G9741" s="6" t="str">
        <f>VLOOKUP(E9741,dicionario!$A$1:$C10140,2,0)</f>
        <v>Lycianthes asarifolia</v>
      </c>
      <c r="H9741" s="6" t="str">
        <f>VLOOKUP(E9741,dicionario!$A$1:$C10140,3,0)</f>
        <v>joá-rasteiro</v>
      </c>
    </row>
    <row r="9742">
      <c r="A9742" s="3">
        <v>45792.0</v>
      </c>
      <c r="B9742" s="4">
        <v>0.28888888888888886</v>
      </c>
      <c r="C9742" s="5" t="s">
        <v>64</v>
      </c>
      <c r="D9742" s="5" t="s">
        <v>1466</v>
      </c>
      <c r="E9742" s="8" t="s">
        <v>113</v>
      </c>
      <c r="F9742" s="5" t="s">
        <v>114</v>
      </c>
      <c r="G9742" s="6" t="str">
        <f>VLOOKUP(E9742,dicionario!$A$1:$C10141,2,0)</f>
        <v>Columbina talpacoti</v>
      </c>
      <c r="H9742" s="6" t="str">
        <f>VLOOKUP(E9742,dicionario!$A$1:$C10141,3,0)</f>
        <v>rolinha-roxa</v>
      </c>
    </row>
    <row r="9743">
      <c r="A9743" s="3">
        <v>45792.0</v>
      </c>
      <c r="B9743" s="4">
        <v>0.2951388888888889</v>
      </c>
      <c r="C9743" s="5" t="s">
        <v>64</v>
      </c>
      <c r="D9743" s="5" t="s">
        <v>1466</v>
      </c>
      <c r="E9743" s="8" t="s">
        <v>38</v>
      </c>
      <c r="F9743" s="5" t="s">
        <v>39</v>
      </c>
      <c r="G9743" s="6" t="str">
        <f>VLOOKUP(E9743,dicionario!$A$1:$C10142,2,0)</f>
        <v>Troglodytes musculus</v>
      </c>
      <c r="H9743" s="6" t="str">
        <f>VLOOKUP(E9743,dicionario!$A$1:$C10142,3,0)</f>
        <v>curruíra</v>
      </c>
    </row>
    <row r="9744">
      <c r="A9744" s="3">
        <v>45792.0</v>
      </c>
      <c r="B9744" s="4">
        <v>0.2951388888888889</v>
      </c>
      <c r="C9744" s="5" t="s">
        <v>64</v>
      </c>
      <c r="D9744" s="5" t="s">
        <v>1466</v>
      </c>
      <c r="E9744" s="6" t="s">
        <v>251</v>
      </c>
      <c r="F9744" s="5" t="s">
        <v>252</v>
      </c>
      <c r="G9744" s="6" t="str">
        <f>VLOOKUP(E9744,dicionario!$A$1:$C10143,2,0)</f>
        <v>Struthanthus flexicaulis</v>
      </c>
      <c r="H9744" s="6" t="str">
        <f>VLOOKUP(E9744,dicionario!$A$1:$C10143,3,0)</f>
        <v>erva-de-passarinho</v>
      </c>
    </row>
    <row r="9745">
      <c r="A9745" s="3">
        <v>45792.0</v>
      </c>
      <c r="B9745" s="4">
        <v>0.2972222222222222</v>
      </c>
      <c r="C9745" s="5" t="s">
        <v>64</v>
      </c>
      <c r="D9745" s="5" t="s">
        <v>1466</v>
      </c>
      <c r="E9745" s="8" t="s">
        <v>227</v>
      </c>
      <c r="F9745" s="5" t="s">
        <v>228</v>
      </c>
      <c r="G9745" s="6" t="str">
        <f>VLOOKUP(E9745,dicionario!$A$1:$C10144,2,0)</f>
        <v>Indigofera hirsuta</v>
      </c>
      <c r="H9745" s="6" t="str">
        <f>VLOOKUP(E9745,dicionario!$A$1:$C10144,3,0)</f>
        <v>anileira</v>
      </c>
    </row>
    <row r="9746">
      <c r="A9746" s="3">
        <v>45792.0</v>
      </c>
      <c r="B9746" s="4">
        <v>0.2972222222222222</v>
      </c>
      <c r="C9746" s="5" t="s">
        <v>64</v>
      </c>
      <c r="D9746" s="5" t="s">
        <v>1466</v>
      </c>
      <c r="E9746" s="6" t="s">
        <v>288</v>
      </c>
      <c r="F9746" s="5" t="s">
        <v>289</v>
      </c>
      <c r="G9746" s="6" t="str">
        <f>VLOOKUP(E9746,dicionario!$A$1:$C10145,2,0)</f>
        <v>Phyllanthus tenellus</v>
      </c>
      <c r="H9746" s="6" t="str">
        <f>VLOOKUP(E9746,dicionario!$A$1:$C10145,3,0)</f>
        <v>quebra-pedra</v>
      </c>
    </row>
    <row r="9747">
      <c r="A9747" s="3">
        <v>45792.0</v>
      </c>
      <c r="B9747" s="4">
        <v>0.2972222222222222</v>
      </c>
      <c r="C9747" s="5" t="s">
        <v>64</v>
      </c>
      <c r="D9747" s="5" t="s">
        <v>1466</v>
      </c>
      <c r="E9747" s="8" t="s">
        <v>195</v>
      </c>
      <c r="F9747" s="5" t="s">
        <v>196</v>
      </c>
      <c r="G9747" s="6" t="str">
        <f>VLOOKUP(E9747,dicionario!$A$1:$C10146,2,0)</f>
        <v>Priva lappulacea</v>
      </c>
      <c r="H9747" s="6" t="str">
        <f>VLOOKUP(E9747,dicionario!$A$1:$C10146,3,0)</f>
        <v>carrapicho</v>
      </c>
    </row>
    <row r="9748">
      <c r="A9748" s="3">
        <v>45792.0</v>
      </c>
      <c r="B9748" s="4">
        <v>0.2972222222222222</v>
      </c>
      <c r="C9748" s="5" t="s">
        <v>64</v>
      </c>
      <c r="D9748" s="5" t="s">
        <v>1466</v>
      </c>
      <c r="E9748" s="8" t="s">
        <v>72</v>
      </c>
      <c r="F9748" s="5" t="s">
        <v>73</v>
      </c>
      <c r="G9748" s="6" t="str">
        <f>VLOOKUP(E9748,dicionario!$A$1:$C10147,2,0)</f>
        <v>Thraupis palmarum</v>
      </c>
      <c r="H9748" s="6" t="str">
        <f>VLOOKUP(E9748,dicionario!$A$1:$C10147,3,0)</f>
        <v>sanhaço-do-coqueiro</v>
      </c>
    </row>
    <row r="9749">
      <c r="A9749" s="3">
        <v>45792.0</v>
      </c>
      <c r="B9749" s="4">
        <v>0.2972222222222222</v>
      </c>
      <c r="C9749" s="5" t="s">
        <v>64</v>
      </c>
      <c r="D9749" s="5" t="s">
        <v>1466</v>
      </c>
      <c r="E9749" s="8" t="s">
        <v>65</v>
      </c>
      <c r="F9749" s="5" t="s">
        <v>66</v>
      </c>
      <c r="G9749" s="6" t="str">
        <f>VLOOKUP(E9749,dicionario!$A$1:$C10148,2,0)</f>
        <v>Pitangus sulphutarus</v>
      </c>
      <c r="H9749" s="6" t="str">
        <f>VLOOKUP(E9749,dicionario!$A$1:$C10148,3,0)</f>
        <v>bem-te-vi</v>
      </c>
    </row>
    <row r="9750">
      <c r="A9750" s="3">
        <v>45792.0</v>
      </c>
      <c r="B9750" s="4">
        <v>0.2972222222222222</v>
      </c>
      <c r="C9750" s="5" t="s">
        <v>64</v>
      </c>
      <c r="D9750" s="5" t="s">
        <v>1466</v>
      </c>
      <c r="E9750" s="8" t="s">
        <v>271</v>
      </c>
      <c r="F9750" s="5" t="s">
        <v>272</v>
      </c>
      <c r="G9750" s="6" t="str">
        <f>VLOOKUP(E9750,dicionario!$A$1:$C10149,2,0)</f>
        <v>Cyanthillium cinereum</v>
      </c>
      <c r="H9750" s="6" t="str">
        <f>VLOOKUP(E9750,dicionario!$A$1:$C10149,3,0)</f>
        <v>emília</v>
      </c>
    </row>
    <row r="9751">
      <c r="A9751" s="3">
        <v>45792.0</v>
      </c>
      <c r="B9751" s="4">
        <v>0.2972222222222222</v>
      </c>
      <c r="C9751" s="5" t="s">
        <v>64</v>
      </c>
      <c r="D9751" s="5" t="s">
        <v>1466</v>
      </c>
      <c r="E9751" s="8" t="s">
        <v>154</v>
      </c>
      <c r="F9751" s="5" t="s">
        <v>155</v>
      </c>
      <c r="G9751" s="6" t="str">
        <f>VLOOKUP(E9751,dicionario!$A$1:$C10150,2,0)</f>
        <v>Cyperus rotundus</v>
      </c>
      <c r="H9751" s="6" t="str">
        <f>VLOOKUP(E9751,dicionario!$A$1:$C10150,3,0)</f>
        <v>tiririca</v>
      </c>
    </row>
    <row r="9752">
      <c r="A9752" s="3">
        <v>45792.0</v>
      </c>
      <c r="B9752" s="4">
        <v>0.29791666666666666</v>
      </c>
      <c r="C9752" s="5" t="s">
        <v>64</v>
      </c>
      <c r="D9752" s="5" t="s">
        <v>1466</v>
      </c>
      <c r="E9752" s="8" t="s">
        <v>69</v>
      </c>
      <c r="F9752" s="5" t="s">
        <v>71</v>
      </c>
      <c r="G9752" s="6" t="str">
        <f>VLOOKUP(E9752,dicionario!$A$1:$C10151,2,0)</f>
        <v>Talinum fruticosum</v>
      </c>
      <c r="H9752" s="6" t="str">
        <f>VLOOKUP(E9752,dicionario!$A$1:$C10151,3,0)</f>
        <v>beldroega-grande</v>
      </c>
    </row>
    <row r="9753">
      <c r="A9753" s="3">
        <v>45792.0</v>
      </c>
      <c r="B9753" s="4">
        <v>0.29791666666666666</v>
      </c>
      <c r="C9753" s="5" t="s">
        <v>64</v>
      </c>
      <c r="D9753" s="5" t="s">
        <v>1466</v>
      </c>
      <c r="E9753" s="8" t="s">
        <v>175</v>
      </c>
      <c r="F9753" s="5" t="s">
        <v>176</v>
      </c>
      <c r="G9753" s="6" t="str">
        <f>VLOOKUP(E9753,dicionario!$A$1:$C10152,2,0)</f>
        <v>Turdus leucomelas</v>
      </c>
      <c r="H9753" s="6" t="str">
        <f>VLOOKUP(E9753,dicionario!$A$1:$C10152,3,0)</f>
        <v>sabiá-barranco</v>
      </c>
    </row>
    <row r="9754">
      <c r="A9754" s="3">
        <v>45792.0</v>
      </c>
      <c r="B9754" s="4">
        <v>0.29791666666666666</v>
      </c>
      <c r="C9754" s="5" t="s">
        <v>64</v>
      </c>
      <c r="D9754" s="5" t="s">
        <v>1466</v>
      </c>
      <c r="E9754" s="8" t="s">
        <v>109</v>
      </c>
      <c r="F9754" s="5" t="s">
        <v>110</v>
      </c>
      <c r="G9754" s="6" t="str">
        <f>VLOOKUP(E9754,dicionario!$A$1:$C10153,2,0)</f>
        <v>Tillandsia stricta</v>
      </c>
      <c r="H9754" s="6" t="str">
        <f>VLOOKUP(E9754,dicionario!$A$1:$C10153,3,0)</f>
        <v>cravo-do-mato</v>
      </c>
    </row>
    <row r="9755">
      <c r="A9755" s="3">
        <v>45792.0</v>
      </c>
      <c r="B9755" s="4">
        <v>0.29791666666666666</v>
      </c>
      <c r="C9755" s="5" t="s">
        <v>64</v>
      </c>
      <c r="D9755" s="5" t="s">
        <v>1466</v>
      </c>
      <c r="E9755" s="8" t="s">
        <v>719</v>
      </c>
      <c r="F9755" s="5" t="s">
        <v>911</v>
      </c>
      <c r="G9755" s="6" t="str">
        <f>VLOOKUP(E9755,dicionario!$A$1:$C10154,2,0)</f>
        <v>Dirinaria</v>
      </c>
      <c r="H9755" s="6" t="str">
        <f>VLOOKUP(E9755,dicionario!$A$1:$C10154,3,0)</f>
        <v>líquen-crostoso</v>
      </c>
    </row>
    <row r="9756">
      <c r="A9756" s="3">
        <v>45792.0</v>
      </c>
      <c r="B9756" s="4">
        <v>0.29791666666666666</v>
      </c>
      <c r="C9756" s="5" t="s">
        <v>64</v>
      </c>
      <c r="D9756" s="5" t="s">
        <v>1466</v>
      </c>
      <c r="E9756" s="8" t="s">
        <v>712</v>
      </c>
      <c r="F9756" s="5" t="s">
        <v>912</v>
      </c>
      <c r="G9756" s="6" t="str">
        <f>VLOOKUP(E9756,dicionario!$A$1:$C10155,2,0)</f>
        <v>Flavopunctelia soredica</v>
      </c>
      <c r="H9756" s="6" t="str">
        <f>VLOOKUP(E9756,dicionario!$A$1:$C10155,3,0)</f>
        <v>líquen-folioso</v>
      </c>
    </row>
    <row r="9757">
      <c r="A9757" s="3">
        <v>45792.0</v>
      </c>
      <c r="B9757" s="4">
        <v>0.29791666666666666</v>
      </c>
      <c r="C9757" s="5" t="s">
        <v>64</v>
      </c>
      <c r="D9757" s="5" t="s">
        <v>1466</v>
      </c>
      <c r="E9757" s="6" t="s">
        <v>148</v>
      </c>
      <c r="F9757" s="5" t="s">
        <v>149</v>
      </c>
      <c r="G9757" s="6" t="str">
        <f>VLOOKUP(E9757,dicionario!$A$1:$C10156,2,0)</f>
        <v>Parthenium hysterophorus</v>
      </c>
      <c r="H9757" s="6" t="str">
        <f>VLOOKUP(E9757,dicionario!$A$1:$C10156,3,0)</f>
        <v>losna-branca</v>
      </c>
    </row>
    <row r="9758">
      <c r="A9758" s="3">
        <v>45792.0</v>
      </c>
      <c r="B9758" s="4">
        <v>0.29791666666666666</v>
      </c>
      <c r="C9758" s="5" t="s">
        <v>64</v>
      </c>
      <c r="D9758" s="5" t="s">
        <v>1466</v>
      </c>
      <c r="E9758" s="8" t="s">
        <v>150</v>
      </c>
      <c r="F9758" s="5" t="s">
        <v>151</v>
      </c>
      <c r="G9758" s="6" t="str">
        <f>VLOOKUP(E9758,dicionario!$A$1:$C10157,2,0)</f>
        <v>Amaranthus viridis</v>
      </c>
      <c r="H9758" s="6" t="str">
        <f>VLOOKUP(E9758,dicionario!$A$1:$C10157,3,0)</f>
        <v>caruru-de-mancha</v>
      </c>
    </row>
    <row r="9759">
      <c r="A9759" s="3">
        <v>45792.0</v>
      </c>
      <c r="B9759" s="4">
        <v>0.29791666666666666</v>
      </c>
      <c r="C9759" s="5" t="s">
        <v>64</v>
      </c>
      <c r="D9759" s="5" t="s">
        <v>1466</v>
      </c>
      <c r="E9759" s="8" t="s">
        <v>1406</v>
      </c>
      <c r="F9759" s="5" t="s">
        <v>172</v>
      </c>
      <c r="G9759" s="6" t="str">
        <f>VLOOKUP(E9759,dicionario!$A$1:$C10158,2,0)</f>
        <v>#N/A</v>
      </c>
      <c r="H9759" s="6" t="str">
        <f>VLOOKUP(E9759,dicionario!$A$1:$C10158,3,0)</f>
        <v>#N/A</v>
      </c>
    </row>
    <row r="9760">
      <c r="A9760" s="3">
        <v>45792.0</v>
      </c>
      <c r="B9760" s="4">
        <v>0.2986111111111111</v>
      </c>
      <c r="C9760" s="5" t="s">
        <v>64</v>
      </c>
      <c r="D9760" s="5" t="s">
        <v>1466</v>
      </c>
      <c r="E9760" s="53" t="s">
        <v>1473</v>
      </c>
      <c r="F9760" s="5" t="s">
        <v>1474</v>
      </c>
      <c r="G9760" s="6" t="str">
        <f>VLOOKUP(E9760,dicionario!$A$1:$C10159,2,0)</f>
        <v>#N/A</v>
      </c>
      <c r="H9760" s="6" t="str">
        <f>VLOOKUP(E9760,dicionario!$A$1:$C10159,3,0)</f>
        <v>#N/A</v>
      </c>
    </row>
    <row r="9761">
      <c r="A9761" s="3">
        <v>45792.0</v>
      </c>
      <c r="B9761" s="4">
        <v>0.2986111111111111</v>
      </c>
      <c r="C9761" s="5" t="s">
        <v>64</v>
      </c>
      <c r="D9761" s="5" t="s">
        <v>1466</v>
      </c>
      <c r="E9761" s="6" t="s">
        <v>48</v>
      </c>
      <c r="F9761" s="5" t="s">
        <v>49</v>
      </c>
      <c r="G9761" s="6" t="str">
        <f>VLOOKUP(E9761,dicionario!$A$1:$C10160,2,0)</f>
        <v>Commelina erecta</v>
      </c>
      <c r="H9761" s="6" t="str">
        <f>VLOOKUP(E9761,dicionario!$A$1:$C10160,3,0)</f>
        <v>trapoeraba</v>
      </c>
    </row>
    <row r="9762">
      <c r="A9762" s="3">
        <v>45792.0</v>
      </c>
      <c r="B9762" s="4">
        <v>0.2986111111111111</v>
      </c>
      <c r="C9762" s="5" t="s">
        <v>64</v>
      </c>
      <c r="D9762" s="5" t="s">
        <v>1466</v>
      </c>
      <c r="E9762" s="8" t="s">
        <v>1297</v>
      </c>
      <c r="F9762" s="5" t="s">
        <v>515</v>
      </c>
      <c r="G9762" s="6" t="str">
        <f>VLOOKUP(E9762,dicionario!$A$1:$C10161,2,0)</f>
        <v>#N/A</v>
      </c>
      <c r="H9762" s="6" t="str">
        <f>VLOOKUP(E9762,dicionario!$A$1:$C10161,3,0)</f>
        <v>#N/A</v>
      </c>
    </row>
    <row r="9763">
      <c r="A9763" s="3">
        <v>45792.0</v>
      </c>
      <c r="B9763" s="4">
        <v>0.2986111111111111</v>
      </c>
      <c r="C9763" s="5" t="s">
        <v>64</v>
      </c>
      <c r="D9763" s="5" t="s">
        <v>1466</v>
      </c>
      <c r="E9763" s="6" t="s">
        <v>290</v>
      </c>
      <c r="F9763" s="5" t="s">
        <v>291</v>
      </c>
      <c r="G9763" s="6" t="str">
        <f>VLOOKUP(E9763,dicionario!$A$1:$C10162,2,0)</f>
        <v>Drymaria cordata</v>
      </c>
      <c r="H9763" s="6" t="str">
        <f>VLOOKUP(E9763,dicionario!$A$1:$C10162,3,0)</f>
        <v>orelha-de-rato</v>
      </c>
    </row>
    <row r="9764">
      <c r="A9764" s="3">
        <v>45792.0</v>
      </c>
      <c r="B9764" s="4">
        <v>0.29930555555555555</v>
      </c>
      <c r="C9764" s="5" t="s">
        <v>64</v>
      </c>
      <c r="D9764" s="5" t="s">
        <v>1466</v>
      </c>
      <c r="E9764" s="8" t="s">
        <v>141</v>
      </c>
      <c r="F9764" s="5" t="s">
        <v>142</v>
      </c>
      <c r="G9764" s="6" t="str">
        <f>VLOOKUP(E9764,dicionario!$A$1:$C10163,2,0)</f>
        <v>Ruellia blechum</v>
      </c>
      <c r="H9764" s="6" t="str">
        <f>VLOOKUP(E9764,dicionario!$A$1:$C10163,3,0)</f>
        <v>camarão-verde</v>
      </c>
    </row>
    <row r="9765">
      <c r="A9765" s="3">
        <v>45792.0</v>
      </c>
      <c r="B9765" s="4">
        <v>0.29930555555555555</v>
      </c>
      <c r="C9765" s="5" t="s">
        <v>64</v>
      </c>
      <c r="D9765" s="5" t="s">
        <v>1466</v>
      </c>
      <c r="E9765" s="6" t="s">
        <v>467</v>
      </c>
      <c r="F9765" s="5" t="s">
        <v>468</v>
      </c>
      <c r="G9765" s="6" t="str">
        <f>VLOOKUP(E9765,dicionario!$A$1:$C10164,2,0)</f>
        <v>Eleusine indica</v>
      </c>
      <c r="H9765" s="6" t="str">
        <f>VLOOKUP(E9765,dicionario!$A$1:$C10164,3,0)</f>
        <v>capim-pé-de-galinha</v>
      </c>
    </row>
    <row r="9766">
      <c r="A9766" s="3">
        <v>45792.0</v>
      </c>
      <c r="B9766" s="4">
        <v>0.29930555555555555</v>
      </c>
      <c r="C9766" s="5" t="s">
        <v>64</v>
      </c>
      <c r="D9766" s="5" t="s">
        <v>1466</v>
      </c>
      <c r="E9766" s="8" t="s">
        <v>193</v>
      </c>
      <c r="F9766" s="5" t="s">
        <v>194</v>
      </c>
      <c r="G9766" s="6" t="str">
        <f>VLOOKUP(E9766,dicionario!$A$1:$C10165,2,0)</f>
        <v>Conirostrum speciosum</v>
      </c>
      <c r="H9766" s="6" t="str">
        <f>VLOOKUP(E9766,dicionario!$A$1:$C10165,3,0)</f>
        <v>figuinha-de-rabo-castanho</v>
      </c>
    </row>
    <row r="9767">
      <c r="A9767" s="3">
        <v>45792.0</v>
      </c>
      <c r="B9767" s="4">
        <v>0.3</v>
      </c>
      <c r="C9767" s="5" t="s">
        <v>64</v>
      </c>
      <c r="D9767" s="5" t="s">
        <v>1466</v>
      </c>
      <c r="E9767" s="6" t="s">
        <v>317</v>
      </c>
      <c r="F9767" s="5" t="s">
        <v>318</v>
      </c>
      <c r="G9767" s="6" t="str">
        <f>VLOOKUP(E9767,dicionario!$A$1:$C10166,2,0)</f>
        <v>Leucauge argyra</v>
      </c>
      <c r="H9767" s="6" t="str">
        <f>VLOOKUP(E9767,dicionario!$A$1:$C10166,3,0)</f>
        <v>aranha-de-mandibula-longa</v>
      </c>
    </row>
    <row r="9768">
      <c r="A9768" s="3">
        <v>45792.0</v>
      </c>
      <c r="B9768" s="4">
        <v>0.3</v>
      </c>
      <c r="C9768" s="5" t="s">
        <v>64</v>
      </c>
      <c r="D9768" s="5" t="s">
        <v>1466</v>
      </c>
      <c r="E9768" s="12" t="s">
        <v>152</v>
      </c>
      <c r="F9768" s="5" t="s">
        <v>153</v>
      </c>
      <c r="G9768" s="6" t="str">
        <f>VLOOKUP(E9768,dicionario!$A$1:$C10167,2,0)</f>
        <v>Cynodon dactylon</v>
      </c>
      <c r="H9768" s="6" t="str">
        <f>VLOOKUP(E9768,dicionario!$A$1:$C10167,3,0)</f>
        <v>grama-bermuda</v>
      </c>
    </row>
    <row r="9769">
      <c r="A9769" s="3">
        <v>45792.0</v>
      </c>
      <c r="B9769" s="4">
        <v>0.30069444444444443</v>
      </c>
      <c r="C9769" s="5" t="s">
        <v>59</v>
      </c>
      <c r="D9769" s="5" t="s">
        <v>1466</v>
      </c>
      <c r="E9769" s="8" t="s">
        <v>109</v>
      </c>
      <c r="F9769" s="5" t="s">
        <v>110</v>
      </c>
      <c r="G9769" s="6" t="str">
        <f>VLOOKUP(E9769,dicionario!$A$1:$C10168,2,0)</f>
        <v>Tillandsia stricta</v>
      </c>
      <c r="H9769" s="6" t="str">
        <f>VLOOKUP(E9769,dicionario!$A$1:$C10168,3,0)</f>
        <v>cravo-do-mato</v>
      </c>
    </row>
    <row r="9770">
      <c r="A9770" s="3">
        <v>45792.0</v>
      </c>
      <c r="B9770" s="4">
        <v>0.30069444444444443</v>
      </c>
      <c r="C9770" s="5" t="s">
        <v>59</v>
      </c>
      <c r="D9770" s="5" t="s">
        <v>1466</v>
      </c>
      <c r="E9770" s="8" t="s">
        <v>65</v>
      </c>
      <c r="F9770" s="5" t="s">
        <v>66</v>
      </c>
      <c r="G9770" s="6" t="str">
        <f>VLOOKUP(E9770,dicionario!$A$1:$C10169,2,0)</f>
        <v>Pitangus sulphutarus</v>
      </c>
      <c r="H9770" s="6" t="str">
        <f>VLOOKUP(E9770,dicionario!$A$1:$C10169,3,0)</f>
        <v>bem-te-vi</v>
      </c>
    </row>
    <row r="9771">
      <c r="A9771" s="3">
        <v>45792.0</v>
      </c>
      <c r="B9771" s="4">
        <v>0.3020833333333333</v>
      </c>
      <c r="C9771" s="5" t="s">
        <v>59</v>
      </c>
      <c r="D9771" s="5" t="s">
        <v>1466</v>
      </c>
      <c r="E9771" s="8" t="s">
        <v>113</v>
      </c>
      <c r="F9771" s="5" t="s">
        <v>114</v>
      </c>
      <c r="G9771" s="6" t="str">
        <f>VLOOKUP(E9771,dicionario!$A$1:$C10170,2,0)</f>
        <v>Columbina talpacoti</v>
      </c>
      <c r="H9771" s="6" t="str">
        <f>VLOOKUP(E9771,dicionario!$A$1:$C10170,3,0)</f>
        <v>rolinha-roxa</v>
      </c>
    </row>
    <row r="9772">
      <c r="A9772" s="3">
        <v>45792.0</v>
      </c>
      <c r="B9772" s="4">
        <v>0.30277777777777776</v>
      </c>
      <c r="C9772" s="5" t="s">
        <v>59</v>
      </c>
      <c r="D9772" s="5" t="s">
        <v>1466</v>
      </c>
      <c r="E9772" s="8" t="s">
        <v>20</v>
      </c>
      <c r="F9772" s="5" t="s">
        <v>21</v>
      </c>
      <c r="G9772" s="6" t="str">
        <f>VLOOKUP(E9772,dicionario!$A$1:$C10171,2,0)</f>
        <v>Sicalis flaveola</v>
      </c>
      <c r="H9772" s="6" t="str">
        <f>VLOOKUP(E9772,dicionario!$A$1:$C10171,3,0)</f>
        <v>canário-da-terra</v>
      </c>
    </row>
    <row r="9773">
      <c r="A9773" s="3">
        <v>45792.0</v>
      </c>
      <c r="B9773" s="4">
        <v>0.30277777777777776</v>
      </c>
      <c r="C9773" s="5" t="s">
        <v>59</v>
      </c>
      <c r="D9773" s="5" t="s">
        <v>1466</v>
      </c>
      <c r="E9773" s="8" t="s">
        <v>163</v>
      </c>
      <c r="F9773" s="5" t="s">
        <v>164</v>
      </c>
      <c r="G9773" s="6" t="str">
        <f>VLOOKUP(E9773,dicionario!$A$1:$C10172,2,0)</f>
        <v>Coragyps atratus</v>
      </c>
      <c r="H9773" s="6" t="str">
        <f>VLOOKUP(E9773,dicionario!$A$1:$C10172,3,0)</f>
        <v>urubu-de-cabeça-preta</v>
      </c>
    </row>
    <row r="9774">
      <c r="A9774" s="3">
        <v>45792.0</v>
      </c>
      <c r="B9774" s="4">
        <v>0.3034722222222222</v>
      </c>
      <c r="C9774" s="5" t="s">
        <v>59</v>
      </c>
      <c r="D9774" s="5" t="s">
        <v>1466</v>
      </c>
      <c r="E9774" s="8" t="s">
        <v>1347</v>
      </c>
      <c r="F9774" s="5" t="s">
        <v>1168</v>
      </c>
      <c r="G9774" s="6" t="str">
        <f>VLOOKUP(E9774,dicionario!$A$1:$C10173,2,0)</f>
        <v>#N/A</v>
      </c>
      <c r="H9774" s="6" t="str">
        <f>VLOOKUP(E9774,dicionario!$A$1:$C10173,3,0)</f>
        <v>#N/A</v>
      </c>
    </row>
    <row r="9775">
      <c r="A9775" s="3">
        <v>45792.0</v>
      </c>
      <c r="B9775" s="4">
        <v>0.3034722222222222</v>
      </c>
      <c r="C9775" s="5" t="s">
        <v>59</v>
      </c>
      <c r="D9775" s="5" t="s">
        <v>1466</v>
      </c>
      <c r="E9775" s="8" t="s">
        <v>1475</v>
      </c>
      <c r="F9775" s="5" t="s">
        <v>228</v>
      </c>
      <c r="G9775" s="6" t="str">
        <f>VLOOKUP(E9775,dicionario!$A$1:$C10174,2,0)</f>
        <v>#N/A</v>
      </c>
      <c r="H9775" s="6" t="str">
        <f>VLOOKUP(E9775,dicionario!$A$1:$C10174,3,0)</f>
        <v>#N/A</v>
      </c>
    </row>
    <row r="9776">
      <c r="A9776" s="3">
        <v>45792.0</v>
      </c>
      <c r="B9776" s="4">
        <v>0.3034722222222222</v>
      </c>
      <c r="C9776" s="5" t="s">
        <v>59</v>
      </c>
      <c r="D9776" s="5" t="s">
        <v>1466</v>
      </c>
      <c r="E9776" s="8" t="s">
        <v>38</v>
      </c>
      <c r="F9776" s="5" t="s">
        <v>39</v>
      </c>
      <c r="G9776" s="6" t="str">
        <f>VLOOKUP(E9776,dicionario!$A$1:$C10175,2,0)</f>
        <v>Troglodytes musculus</v>
      </c>
      <c r="H9776" s="6" t="str">
        <f>VLOOKUP(E9776,dicionario!$A$1:$C10175,3,0)</f>
        <v>curruíra</v>
      </c>
    </row>
    <row r="9777">
      <c r="A9777" s="49">
        <v>45792.0</v>
      </c>
      <c r="B9777" s="4">
        <v>0.30486111111111114</v>
      </c>
      <c r="C9777" s="5" t="s">
        <v>59</v>
      </c>
      <c r="D9777" s="5" t="s">
        <v>1466</v>
      </c>
      <c r="E9777" s="8" t="s">
        <v>1285</v>
      </c>
      <c r="F9777" s="5" t="s">
        <v>1128</v>
      </c>
      <c r="G9777" s="6" t="str">
        <f>VLOOKUP(E9777,dicionario!$A$1:$C10176,2,0)</f>
        <v>#N/A</v>
      </c>
      <c r="H9777" s="6" t="str">
        <f>VLOOKUP(E9777,dicionario!$A$1:$C10176,3,0)</f>
        <v>#N/A</v>
      </c>
    </row>
    <row r="9778">
      <c r="A9778" s="3">
        <v>45792.0</v>
      </c>
      <c r="B9778" s="4">
        <v>0.30486111111111114</v>
      </c>
      <c r="C9778" s="5" t="s">
        <v>59</v>
      </c>
      <c r="D9778" s="5" t="s">
        <v>1466</v>
      </c>
      <c r="E9778" s="8" t="s">
        <v>72</v>
      </c>
      <c r="F9778" s="5" t="s">
        <v>73</v>
      </c>
      <c r="G9778" s="6" t="str">
        <f>VLOOKUP(E9778,dicionario!$A$1:$C10177,2,0)</f>
        <v>Thraupis palmarum</v>
      </c>
      <c r="H9778" s="6" t="str">
        <f>VLOOKUP(E9778,dicionario!$A$1:$C10177,3,0)</f>
        <v>sanhaço-do-coqueiro</v>
      </c>
    </row>
    <row r="9779">
      <c r="A9779" s="3">
        <v>45792.0</v>
      </c>
      <c r="B9779" s="4">
        <v>0.3055555555555556</v>
      </c>
      <c r="C9779" s="5" t="s">
        <v>59</v>
      </c>
      <c r="D9779" s="5" t="s">
        <v>1466</v>
      </c>
      <c r="E9779" s="8" t="s">
        <v>239</v>
      </c>
      <c r="F9779" s="5" t="s">
        <v>240</v>
      </c>
      <c r="G9779" s="6" t="str">
        <f>VLOOKUP(E9779,dicionario!$A$1:$C10178,2,0)</f>
        <v>Gomphrena celosioides</v>
      </c>
      <c r="H9779" s="6" t="str">
        <f>VLOOKUP(E9779,dicionario!$A$1:$C10178,3,0)</f>
        <v>perpétua-branca</v>
      </c>
    </row>
    <row r="9780">
      <c r="A9780" s="3">
        <v>45792.0</v>
      </c>
      <c r="B9780" s="4">
        <v>0.3055555555555556</v>
      </c>
      <c r="C9780" s="5" t="s">
        <v>59</v>
      </c>
      <c r="D9780" s="5" t="s">
        <v>1466</v>
      </c>
      <c r="E9780" s="8" t="s">
        <v>736</v>
      </c>
      <c r="F9780" s="5" t="s">
        <v>737</v>
      </c>
      <c r="G9780" s="6" t="str">
        <f>VLOOKUP(E9780,dicionario!$A$1:$C10179,2,0)</f>
        <v>Chloris virgata</v>
      </c>
      <c r="H9780" s="6" t="str">
        <f>VLOOKUP(E9780,dicionario!$A$1:$C10179,3,0)</f>
        <v>capim-pavão</v>
      </c>
    </row>
    <row r="9781">
      <c r="A9781" s="3">
        <v>45792.0</v>
      </c>
      <c r="B9781" s="4">
        <v>0.30694444444444446</v>
      </c>
      <c r="C9781" s="5" t="s">
        <v>59</v>
      </c>
      <c r="D9781" s="5" t="s">
        <v>1466</v>
      </c>
      <c r="E9781" s="8" t="s">
        <v>154</v>
      </c>
      <c r="F9781" s="5" t="s">
        <v>155</v>
      </c>
      <c r="G9781" s="6" t="str">
        <f>VLOOKUP(E9781,dicionario!$A$1:$C10180,2,0)</f>
        <v>Cyperus rotundus</v>
      </c>
      <c r="H9781" s="6" t="str">
        <f>VLOOKUP(E9781,dicionario!$A$1:$C10180,3,0)</f>
        <v>tiririca</v>
      </c>
    </row>
    <row r="9782">
      <c r="A9782" s="3">
        <v>45792.0</v>
      </c>
      <c r="B9782" s="4">
        <v>0.3076388888888889</v>
      </c>
      <c r="C9782" s="5" t="s">
        <v>59</v>
      </c>
      <c r="D9782" s="5" t="s">
        <v>1466</v>
      </c>
      <c r="E9782" s="8" t="s">
        <v>732</v>
      </c>
      <c r="F9782" s="7"/>
      <c r="G9782" s="6" t="str">
        <f>VLOOKUP(E9782,dicionario!$A$1:$C10181,2,0)</f>
        <v>#N/A</v>
      </c>
      <c r="H9782" s="6" t="str">
        <f>VLOOKUP(E9782,dicionario!$A$1:$C10181,3,0)</f>
        <v>#N/A</v>
      </c>
    </row>
    <row r="9783">
      <c r="A9783" s="3">
        <v>45792.0</v>
      </c>
      <c r="B9783" s="4">
        <v>0.30833333333333335</v>
      </c>
      <c r="C9783" s="5" t="s">
        <v>59</v>
      </c>
      <c r="D9783" s="5" t="s">
        <v>1466</v>
      </c>
      <c r="E9783" s="8" t="s">
        <v>296</v>
      </c>
      <c r="F9783" s="5" t="s">
        <v>297</v>
      </c>
      <c r="G9783" s="6" t="str">
        <f>VLOOKUP(E9783,dicionario!$A$1:$C10182,2,0)</f>
        <v>Richardia brasiliensis</v>
      </c>
      <c r="H9783" s="6" t="str">
        <f>VLOOKUP(E9783,dicionario!$A$1:$C10182,3,0)</f>
        <v>poaia-branca</v>
      </c>
    </row>
    <row r="9784">
      <c r="A9784" s="3">
        <v>45792.0</v>
      </c>
      <c r="B9784" s="4">
        <v>0.30833333333333335</v>
      </c>
      <c r="C9784" s="5" t="s">
        <v>59</v>
      </c>
      <c r="D9784" s="5" t="s">
        <v>1466</v>
      </c>
      <c r="E9784" s="8" t="s">
        <v>1087</v>
      </c>
      <c r="F9784" s="5" t="s">
        <v>1088</v>
      </c>
      <c r="G9784" s="6" t="str">
        <f>VLOOKUP(E9784,dicionario!$A$1:$C10183,2,0)</f>
        <v>Desmodium triflorum</v>
      </c>
      <c r="H9784" s="6" t="str">
        <f>VLOOKUP(E9784,dicionario!$A$1:$C10183,3,0)</f>
        <v/>
      </c>
    </row>
    <row r="9785">
      <c r="A9785" s="3">
        <v>45792.0</v>
      </c>
      <c r="B9785" s="4">
        <v>0.30833333333333335</v>
      </c>
      <c r="C9785" s="5" t="s">
        <v>59</v>
      </c>
      <c r="D9785" s="5" t="s">
        <v>1466</v>
      </c>
      <c r="E9785" s="8" t="s">
        <v>51</v>
      </c>
      <c r="F9785" s="5" t="s">
        <v>77</v>
      </c>
      <c r="G9785" s="6" t="str">
        <f>VLOOKUP(E9785,dicionario!$A$1:$C10184,2,0)</f>
        <v>Solenopsis</v>
      </c>
      <c r="H9785" s="6" t="str">
        <f>VLOOKUP(E9785,dicionario!$A$1:$C10184,3,0)</f>
        <v>formiga-quente; formiga-lava-pés; formiga-de-fogo</v>
      </c>
    </row>
    <row r="9786">
      <c r="A9786" s="3">
        <v>45792.0</v>
      </c>
      <c r="B9786" s="4">
        <v>0.30833333333333335</v>
      </c>
      <c r="C9786" s="5" t="s">
        <v>50</v>
      </c>
      <c r="D9786" s="5" t="s">
        <v>1466</v>
      </c>
      <c r="E9786" s="8" t="s">
        <v>146</v>
      </c>
      <c r="F9786" s="5" t="s">
        <v>147</v>
      </c>
      <c r="G9786" s="6" t="str">
        <f>VLOOKUP(E9786,dicionario!$A$1:$C10185,2,0)</f>
        <v>Euphorbia hirta</v>
      </c>
      <c r="H9786" s="6" t="str">
        <f>VLOOKUP(E9786,dicionario!$A$1:$C10185,3,0)</f>
        <v>erva-de-santa-luzia</v>
      </c>
    </row>
    <row r="9787">
      <c r="A9787" s="3">
        <v>45792.0</v>
      </c>
      <c r="B9787" s="4">
        <v>0.30972222222222223</v>
      </c>
      <c r="C9787" s="5" t="s">
        <v>50</v>
      </c>
      <c r="D9787" s="5" t="s">
        <v>1466</v>
      </c>
      <c r="E9787" s="6" t="s">
        <v>53</v>
      </c>
      <c r="F9787" s="5" t="s">
        <v>54</v>
      </c>
      <c r="G9787" s="6" t="str">
        <f>VLOOKUP(E9787,dicionario!$A$1:$C10186,2,0)</f>
        <v>Turnera subulata</v>
      </c>
      <c r="H9787" s="6" t="str">
        <f>VLOOKUP(E9787,dicionario!$A$1:$C10186,3,0)</f>
        <v>xanana</v>
      </c>
    </row>
    <row r="9788">
      <c r="A9788" s="3">
        <v>45792.0</v>
      </c>
      <c r="B9788" s="4">
        <v>0.30972222222222223</v>
      </c>
      <c r="C9788" s="5" t="s">
        <v>50</v>
      </c>
      <c r="D9788" s="5" t="s">
        <v>1466</v>
      </c>
      <c r="E9788" s="8" t="s">
        <v>253</v>
      </c>
      <c r="F9788" s="5" t="s">
        <v>254</v>
      </c>
      <c r="G9788" s="6" t="str">
        <f>VLOOKUP(E9788,dicionario!$A$1:$C10187,2,0)</f>
        <v>Panicum maximum</v>
      </c>
      <c r="H9788" s="6" t="str">
        <f>VLOOKUP(E9788,dicionario!$A$1:$C10187,3,0)</f>
        <v>capim-colonião</v>
      </c>
    </row>
    <row r="9789">
      <c r="A9789" s="3">
        <v>45792.0</v>
      </c>
      <c r="B9789" s="4">
        <v>0.3104166666666667</v>
      </c>
      <c r="C9789" s="5" t="s">
        <v>50</v>
      </c>
      <c r="D9789" s="5" t="s">
        <v>1466</v>
      </c>
      <c r="E9789" s="6" t="s">
        <v>613</v>
      </c>
      <c r="F9789" s="5" t="s">
        <v>614</v>
      </c>
      <c r="G9789" s="6" t="str">
        <f>VLOOKUP(E9789,dicionario!$A$1:$C10188,2,0)</f>
        <v>Euphorbia hyssopifolia</v>
      </c>
      <c r="H9789" s="6" t="str">
        <f>VLOOKUP(E9789,dicionario!$A$1:$C10188,3,0)</f>
        <v>maria-leite</v>
      </c>
    </row>
    <row r="9790">
      <c r="A9790" s="3">
        <v>45792.0</v>
      </c>
      <c r="B9790" s="4">
        <v>0.3104166666666667</v>
      </c>
      <c r="C9790" s="5" t="s">
        <v>50</v>
      </c>
      <c r="D9790" s="5" t="s">
        <v>1466</v>
      </c>
      <c r="E9790" s="8" t="s">
        <v>200</v>
      </c>
      <c r="F9790" s="5" t="s">
        <v>201</v>
      </c>
      <c r="G9790" s="6" t="str">
        <f>VLOOKUP(E9790,dicionario!$A$1:$C10189,2,0)</f>
        <v>Columbina picui </v>
      </c>
      <c r="H9790" s="6" t="str">
        <f>VLOOKUP(E9790,dicionario!$A$1:$C10189,3,0)</f>
        <v>rolinha-picuí</v>
      </c>
    </row>
    <row r="9791">
      <c r="A9791" s="3">
        <v>45792.0</v>
      </c>
      <c r="B9791" s="4">
        <v>0.3104166666666667</v>
      </c>
      <c r="C9791" s="5" t="s">
        <v>50</v>
      </c>
      <c r="D9791" s="5" t="s">
        <v>1466</v>
      </c>
      <c r="E9791" s="6" t="s">
        <v>467</v>
      </c>
      <c r="F9791" s="5" t="s">
        <v>468</v>
      </c>
      <c r="G9791" s="6" t="str">
        <f>VLOOKUP(E9791,dicionario!$A$1:$C10190,2,0)</f>
        <v>Eleusine indica</v>
      </c>
      <c r="H9791" s="6" t="str">
        <f>VLOOKUP(E9791,dicionario!$A$1:$C10190,3,0)</f>
        <v>capim-pé-de-galinha</v>
      </c>
    </row>
    <row r="9792">
      <c r="A9792" s="3">
        <v>45792.0</v>
      </c>
      <c r="B9792" s="4">
        <v>0.3104166666666667</v>
      </c>
      <c r="C9792" s="5" t="s">
        <v>50</v>
      </c>
      <c r="D9792" s="5" t="s">
        <v>1466</v>
      </c>
      <c r="E9792" s="8" t="s">
        <v>425</v>
      </c>
      <c r="F9792" s="5" t="s">
        <v>426</v>
      </c>
      <c r="G9792" s="6" t="str">
        <f>VLOOKUP(E9792,dicionario!$A$1:$C10191,2,0)</f>
        <v>Digitaria insularis</v>
      </c>
      <c r="H9792" s="6" t="str">
        <f>VLOOKUP(E9792,dicionario!$A$1:$C10191,3,0)</f>
        <v>capim-amargoso</v>
      </c>
    </row>
    <row r="9793">
      <c r="A9793" s="3">
        <v>45792.0</v>
      </c>
      <c r="B9793" s="4">
        <v>0.3104166666666667</v>
      </c>
      <c r="C9793" s="5" t="s">
        <v>50</v>
      </c>
      <c r="D9793" s="5" t="s">
        <v>1466</v>
      </c>
      <c r="E9793" s="6" t="s">
        <v>148</v>
      </c>
      <c r="F9793" s="5" t="s">
        <v>149</v>
      </c>
      <c r="G9793" s="6" t="str">
        <f>VLOOKUP(E9793,dicionario!$A$1:$C10192,2,0)</f>
        <v>Parthenium hysterophorus</v>
      </c>
      <c r="H9793" s="6" t="str">
        <f>VLOOKUP(E9793,dicionario!$A$1:$C10192,3,0)</f>
        <v>losna-branca</v>
      </c>
    </row>
    <row r="9794">
      <c r="A9794" s="3">
        <v>45792.0</v>
      </c>
      <c r="B9794" s="4">
        <v>0.3111111111111111</v>
      </c>
      <c r="C9794" s="5" t="s">
        <v>50</v>
      </c>
      <c r="D9794" s="5" t="s">
        <v>1466</v>
      </c>
      <c r="E9794" s="8" t="s">
        <v>338</v>
      </c>
      <c r="F9794" s="5" t="s">
        <v>238</v>
      </c>
      <c r="G9794" s="6" t="str">
        <f>VLOOKUP(E9794,dicionario!$A$1:$C10193,2,0)</f>
        <v>Atta</v>
      </c>
      <c r="H9794" s="6" t="str">
        <f>VLOOKUP(E9794,dicionario!$A$1:$C10193,3,0)</f>
        <v>saúva</v>
      </c>
    </row>
    <row r="9795">
      <c r="A9795" s="3">
        <v>45792.0</v>
      </c>
      <c r="B9795" s="4">
        <v>0.3111111111111111</v>
      </c>
      <c r="C9795" s="5" t="s">
        <v>50</v>
      </c>
      <c r="D9795" s="5" t="s">
        <v>1466</v>
      </c>
      <c r="E9795" s="8" t="s">
        <v>1084</v>
      </c>
      <c r="F9795" s="7"/>
      <c r="G9795" s="6" t="str">
        <f>VLOOKUP(E9795,dicionario!$A$1:$C10194,2,0)</f>
        <v>#N/A</v>
      </c>
      <c r="H9795" s="6" t="str">
        <f>VLOOKUP(E9795,dicionario!$A$1:$C10194,3,0)</f>
        <v>#N/A</v>
      </c>
    </row>
    <row r="9796">
      <c r="A9796" s="3">
        <v>45792.0</v>
      </c>
      <c r="B9796" s="4">
        <v>0.3145833333333333</v>
      </c>
      <c r="C9796" s="5" t="s">
        <v>50</v>
      </c>
      <c r="D9796" s="5" t="s">
        <v>1466</v>
      </c>
      <c r="E9796" s="8" t="s">
        <v>109</v>
      </c>
      <c r="F9796" s="5" t="s">
        <v>110</v>
      </c>
      <c r="G9796" s="6" t="str">
        <f>VLOOKUP(E9796,dicionario!$A$1:$C10195,2,0)</f>
        <v>Tillandsia stricta</v>
      </c>
      <c r="H9796" s="6" t="str">
        <f>VLOOKUP(E9796,dicionario!$A$1:$C10195,3,0)</f>
        <v>cravo-do-mato</v>
      </c>
    </row>
    <row r="9797">
      <c r="A9797" s="3">
        <v>45792.0</v>
      </c>
      <c r="B9797" s="4">
        <v>0.3145833333333333</v>
      </c>
      <c r="C9797" s="5" t="s">
        <v>50</v>
      </c>
      <c r="D9797" s="5" t="s">
        <v>1466</v>
      </c>
      <c r="E9797" s="8" t="s">
        <v>719</v>
      </c>
      <c r="F9797" s="5" t="s">
        <v>911</v>
      </c>
      <c r="G9797" s="6" t="str">
        <f>VLOOKUP(E9797,dicionario!$A$1:$C10196,2,0)</f>
        <v>Dirinaria</v>
      </c>
      <c r="H9797" s="6" t="str">
        <f>VLOOKUP(E9797,dicionario!$A$1:$C10196,3,0)</f>
        <v>líquen-crostoso</v>
      </c>
    </row>
    <row r="9798">
      <c r="A9798" s="3">
        <v>45792.0</v>
      </c>
      <c r="B9798" s="4">
        <v>0.31527777777777777</v>
      </c>
      <c r="C9798" s="5" t="s">
        <v>50</v>
      </c>
      <c r="D9798" s="5" t="s">
        <v>1466</v>
      </c>
      <c r="E9798" s="8" t="s">
        <v>712</v>
      </c>
      <c r="F9798" s="5" t="s">
        <v>912</v>
      </c>
      <c r="G9798" s="6" t="str">
        <f>VLOOKUP(E9798,dicionario!$A$1:$C10197,2,0)</f>
        <v>Flavopunctelia soredica</v>
      </c>
      <c r="H9798" s="6" t="str">
        <f>VLOOKUP(E9798,dicionario!$A$1:$C10197,3,0)</f>
        <v>líquen-folioso</v>
      </c>
    </row>
    <row r="9799">
      <c r="A9799" s="3">
        <v>45792.0</v>
      </c>
      <c r="B9799" s="4">
        <v>0.31527777777777777</v>
      </c>
      <c r="C9799" s="5" t="s">
        <v>50</v>
      </c>
      <c r="D9799" s="5" t="s">
        <v>1466</v>
      </c>
      <c r="E9799" s="8" t="s">
        <v>150</v>
      </c>
      <c r="F9799" s="5" t="s">
        <v>151</v>
      </c>
      <c r="G9799" s="6" t="str">
        <f>VLOOKUP(E9799,dicionario!$A$1:$C10198,2,0)</f>
        <v>Amaranthus viridis</v>
      </c>
      <c r="H9799" s="6" t="str">
        <f>VLOOKUP(E9799,dicionario!$A$1:$C10198,3,0)</f>
        <v>caruru-de-mancha</v>
      </c>
    </row>
    <row r="9800">
      <c r="A9800" s="3">
        <v>45792.0</v>
      </c>
      <c r="B9800" s="4">
        <v>0.31527777777777777</v>
      </c>
      <c r="C9800" s="5" t="s">
        <v>50</v>
      </c>
      <c r="D9800" s="5" t="s">
        <v>1466</v>
      </c>
      <c r="E9800" s="8" t="s">
        <v>38</v>
      </c>
      <c r="F9800" s="5" t="s">
        <v>39</v>
      </c>
      <c r="G9800" s="6" t="str">
        <f>VLOOKUP(E9800,dicionario!$A$1:$C10199,2,0)</f>
        <v>Troglodytes musculus</v>
      </c>
      <c r="H9800" s="6" t="str">
        <f>VLOOKUP(E9800,dicionario!$A$1:$C10199,3,0)</f>
        <v>curruíra</v>
      </c>
    </row>
    <row r="9801">
      <c r="A9801" s="3">
        <v>45792.0</v>
      </c>
      <c r="B9801" s="4">
        <v>0.31527777777777777</v>
      </c>
      <c r="C9801" s="5" t="s">
        <v>50</v>
      </c>
      <c r="D9801" s="5" t="s">
        <v>1466</v>
      </c>
      <c r="E9801" s="8" t="s">
        <v>146</v>
      </c>
      <c r="F9801" s="5" t="s">
        <v>147</v>
      </c>
      <c r="G9801" s="6" t="str">
        <f>VLOOKUP(E9801,dicionario!$A$1:$C10200,2,0)</f>
        <v>Euphorbia hirta</v>
      </c>
      <c r="H9801" s="6" t="str">
        <f>VLOOKUP(E9801,dicionario!$A$1:$C10200,3,0)</f>
        <v>erva-de-santa-luzia</v>
      </c>
    </row>
    <row r="9802">
      <c r="A9802" s="49">
        <v>45792.0</v>
      </c>
      <c r="B9802" s="4">
        <v>0.3159722222222222</v>
      </c>
      <c r="C9802" s="5" t="s">
        <v>40</v>
      </c>
      <c r="D9802" s="5" t="s">
        <v>1466</v>
      </c>
      <c r="E9802" s="6" t="s">
        <v>467</v>
      </c>
      <c r="F9802" s="5" t="s">
        <v>468</v>
      </c>
      <c r="G9802" s="6" t="str">
        <f>VLOOKUP(E9802,dicionario!$A$1:$C10201,2,0)</f>
        <v>Eleusine indica</v>
      </c>
      <c r="H9802" s="6" t="str">
        <f>VLOOKUP(E9802,dicionario!$A$1:$C10201,3,0)</f>
        <v>capim-pé-de-galinha</v>
      </c>
    </row>
    <row r="9803">
      <c r="A9803" s="3">
        <v>45792.0</v>
      </c>
      <c r="B9803" s="4">
        <v>0.32013888888888886</v>
      </c>
      <c r="C9803" s="5" t="s">
        <v>40</v>
      </c>
      <c r="D9803" s="5" t="s">
        <v>1466</v>
      </c>
      <c r="E9803" s="8" t="s">
        <v>271</v>
      </c>
      <c r="F9803" s="5" t="s">
        <v>272</v>
      </c>
      <c r="G9803" s="6" t="str">
        <f>VLOOKUP(E9803,dicionario!$A$1:$C10202,2,0)</f>
        <v>Cyanthillium cinereum</v>
      </c>
      <c r="H9803" s="6" t="str">
        <f>VLOOKUP(E9803,dicionario!$A$1:$C10202,3,0)</f>
        <v>emília</v>
      </c>
    </row>
    <row r="9804">
      <c r="A9804" s="3">
        <v>45792.0</v>
      </c>
      <c r="B9804" s="4">
        <v>0.3215277777777778</v>
      </c>
      <c r="C9804" s="5" t="s">
        <v>40</v>
      </c>
      <c r="D9804" s="5" t="s">
        <v>1466</v>
      </c>
      <c r="E9804" s="8" t="s">
        <v>732</v>
      </c>
      <c r="F9804" s="7"/>
      <c r="G9804" s="6" t="str">
        <f>VLOOKUP(E9804,dicionario!$A$1:$C10203,2,0)</f>
        <v>#N/A</v>
      </c>
      <c r="H9804" s="6" t="str">
        <f>VLOOKUP(E9804,dicionario!$A$1:$C10203,3,0)</f>
        <v>#N/A</v>
      </c>
    </row>
    <row r="9805">
      <c r="A9805" s="3">
        <v>45792.0</v>
      </c>
      <c r="B9805" s="4">
        <v>0.32222222222222224</v>
      </c>
      <c r="C9805" s="5" t="s">
        <v>40</v>
      </c>
      <c r="D9805" s="5" t="s">
        <v>1466</v>
      </c>
      <c r="E9805" s="8" t="s">
        <v>286</v>
      </c>
      <c r="F9805" s="5" t="s">
        <v>287</v>
      </c>
      <c r="G9805" s="6" t="str">
        <f>VLOOKUP(E9805,dicionario!$A$1:$C10204,2,0)</f>
        <v>Setaria parviflora</v>
      </c>
      <c r="H9805" s="6" t="str">
        <f>VLOOKUP(E9805,dicionario!$A$1:$C10204,3,0)</f>
        <v>capim-rabo-de-raposa</v>
      </c>
    </row>
    <row r="9806">
      <c r="A9806" s="3">
        <v>45792.0</v>
      </c>
      <c r="B9806" s="4">
        <v>0.32222222222222224</v>
      </c>
      <c r="C9806" s="5" t="s">
        <v>40</v>
      </c>
      <c r="D9806" s="5" t="s">
        <v>1466</v>
      </c>
      <c r="E9806" s="8" t="s">
        <v>1328</v>
      </c>
      <c r="F9806" s="5" t="s">
        <v>356</v>
      </c>
      <c r="G9806" s="6" t="str">
        <f>VLOOKUP(E9806,dicionario!$A$1:$C10205,2,0)</f>
        <v>#N/A</v>
      </c>
      <c r="H9806" s="6" t="str">
        <f>VLOOKUP(E9806,dicionario!$A$1:$C10205,3,0)</f>
        <v>#N/A</v>
      </c>
    </row>
    <row r="9807">
      <c r="A9807" s="3">
        <v>45792.0</v>
      </c>
      <c r="B9807" s="4">
        <v>0.32222222222222224</v>
      </c>
      <c r="C9807" s="5" t="s">
        <v>40</v>
      </c>
      <c r="D9807" s="5" t="s">
        <v>1466</v>
      </c>
      <c r="E9807" s="8" t="s">
        <v>195</v>
      </c>
      <c r="F9807" s="5" t="s">
        <v>196</v>
      </c>
      <c r="G9807" s="6" t="str">
        <f>VLOOKUP(E9807,dicionario!$A$1:$C10206,2,0)</f>
        <v>Priva lappulacea</v>
      </c>
      <c r="H9807" s="6" t="str">
        <f>VLOOKUP(E9807,dicionario!$A$1:$C10206,3,0)</f>
        <v>carrapicho</v>
      </c>
    </row>
    <row r="9808">
      <c r="A9808" s="3">
        <v>45792.0</v>
      </c>
      <c r="B9808" s="4">
        <v>0.3229166666666667</v>
      </c>
      <c r="C9808" s="5" t="s">
        <v>40</v>
      </c>
      <c r="D9808" s="5" t="s">
        <v>1466</v>
      </c>
      <c r="E9808" s="8" t="s">
        <v>113</v>
      </c>
      <c r="F9808" s="5" t="s">
        <v>114</v>
      </c>
      <c r="G9808" s="6" t="str">
        <f>VLOOKUP(E9808,dicionario!$A$1:$C10207,2,0)</f>
        <v>Columbina talpacoti</v>
      </c>
      <c r="H9808" s="6" t="str">
        <f>VLOOKUP(E9808,dicionario!$A$1:$C10207,3,0)</f>
        <v>rolinha-roxa</v>
      </c>
    </row>
    <row r="9809">
      <c r="A9809" s="3">
        <v>45792.0</v>
      </c>
      <c r="B9809" s="4">
        <v>0.3229166666666667</v>
      </c>
      <c r="C9809" s="5" t="s">
        <v>40</v>
      </c>
      <c r="D9809" s="5" t="s">
        <v>1466</v>
      </c>
      <c r="E9809" s="8" t="s">
        <v>65</v>
      </c>
      <c r="F9809" s="5" t="s">
        <v>66</v>
      </c>
      <c r="G9809" s="6" t="str">
        <f>VLOOKUP(E9809,dicionario!$A$1:$C10208,2,0)</f>
        <v>Pitangus sulphutarus</v>
      </c>
      <c r="H9809" s="6" t="str">
        <f>VLOOKUP(E9809,dicionario!$A$1:$C10208,3,0)</f>
        <v>bem-te-vi</v>
      </c>
    </row>
    <row r="9810">
      <c r="A9810" s="3">
        <v>45792.0</v>
      </c>
      <c r="B9810" s="4">
        <v>0.3229166666666667</v>
      </c>
      <c r="C9810" s="5" t="s">
        <v>40</v>
      </c>
      <c r="D9810" s="5" t="s">
        <v>1466</v>
      </c>
      <c r="E9810" s="8" t="s">
        <v>239</v>
      </c>
      <c r="F9810" s="5" t="s">
        <v>240</v>
      </c>
      <c r="G9810" s="6" t="str">
        <f>VLOOKUP(E9810,dicionario!$A$1:$C10209,2,0)</f>
        <v>Gomphrena celosioides</v>
      </c>
      <c r="H9810" s="6" t="str">
        <f>VLOOKUP(E9810,dicionario!$A$1:$C10209,3,0)</f>
        <v>perpétua-branca</v>
      </c>
    </row>
    <row r="9811">
      <c r="A9811" s="3">
        <v>45792.0</v>
      </c>
      <c r="B9811" s="4">
        <v>0.3229166666666667</v>
      </c>
      <c r="C9811" s="5" t="s">
        <v>40</v>
      </c>
      <c r="D9811" s="5" t="s">
        <v>1466</v>
      </c>
      <c r="E9811" s="8" t="s">
        <v>144</v>
      </c>
      <c r="F9811" s="5" t="s">
        <v>145</v>
      </c>
      <c r="G9811" s="6" t="str">
        <f>VLOOKUP(E9811,dicionario!$A$1:$C10210,2,0)</f>
        <v>Gomphrena globosa</v>
      </c>
      <c r="H9811" s="6" t="str">
        <f>VLOOKUP(E9811,dicionario!$A$1:$C10210,3,0)</f>
        <v>perpétua-rosa</v>
      </c>
    </row>
    <row r="9812">
      <c r="A9812" s="3">
        <v>45792.0</v>
      </c>
      <c r="B9812" s="4">
        <v>0.3236111111111111</v>
      </c>
      <c r="C9812" s="5" t="s">
        <v>40</v>
      </c>
      <c r="D9812" s="5" t="s">
        <v>1466</v>
      </c>
      <c r="E9812" s="8" t="s">
        <v>736</v>
      </c>
      <c r="F9812" s="5" t="s">
        <v>737</v>
      </c>
      <c r="G9812" s="6" t="str">
        <f>VLOOKUP(E9812,dicionario!$A$1:$C10211,2,0)</f>
        <v>Chloris virgata</v>
      </c>
      <c r="H9812" s="6" t="str">
        <f>VLOOKUP(E9812,dicionario!$A$1:$C10211,3,0)</f>
        <v>capim-pavão</v>
      </c>
    </row>
    <row r="9813">
      <c r="A9813" s="3">
        <v>45792.0</v>
      </c>
      <c r="B9813" s="4">
        <v>0.3236111111111111</v>
      </c>
      <c r="C9813" s="5" t="s">
        <v>40</v>
      </c>
      <c r="D9813" s="5" t="s">
        <v>1466</v>
      </c>
      <c r="E9813" s="8" t="s">
        <v>253</v>
      </c>
      <c r="F9813" s="5" t="s">
        <v>254</v>
      </c>
      <c r="G9813" s="6" t="str">
        <f>VLOOKUP(E9813,dicionario!$A$1:$C10212,2,0)</f>
        <v>Panicum maximum</v>
      </c>
      <c r="H9813" s="6" t="str">
        <f>VLOOKUP(E9813,dicionario!$A$1:$C10212,3,0)</f>
        <v>capim-colonião</v>
      </c>
    </row>
    <row r="9814">
      <c r="A9814" s="3">
        <v>45792.0</v>
      </c>
      <c r="B9814" s="4">
        <v>0.3236111111111111</v>
      </c>
      <c r="C9814" s="5" t="s">
        <v>40</v>
      </c>
      <c r="D9814" s="5" t="s">
        <v>1466</v>
      </c>
      <c r="E9814" s="6" t="s">
        <v>256</v>
      </c>
      <c r="F9814" s="5" t="s">
        <v>257</v>
      </c>
      <c r="G9814" s="6" t="str">
        <f>VLOOKUP(E9814,dicionario!$A$1:$C10213,2,0)</f>
        <v>Youngia japonica</v>
      </c>
      <c r="H9814" s="6" t="str">
        <f>VLOOKUP(E9814,dicionario!$A$1:$C10213,3,0)</f>
        <v>barba-de-falcão</v>
      </c>
    </row>
    <row r="9815">
      <c r="A9815" s="3">
        <v>45792.0</v>
      </c>
      <c r="B9815" s="4">
        <v>0.32430555555555557</v>
      </c>
      <c r="C9815" s="5" t="s">
        <v>40</v>
      </c>
      <c r="D9815" s="5" t="s">
        <v>1466</v>
      </c>
      <c r="E9815" s="6" t="s">
        <v>288</v>
      </c>
      <c r="F9815" s="5" t="s">
        <v>289</v>
      </c>
      <c r="G9815" s="6" t="str">
        <f>VLOOKUP(E9815,dicionario!$A$1:$C10214,2,0)</f>
        <v>Phyllanthus tenellus</v>
      </c>
      <c r="H9815" s="6" t="str">
        <f>VLOOKUP(E9815,dicionario!$A$1:$C10214,3,0)</f>
        <v>quebra-pedra</v>
      </c>
    </row>
    <row r="9816">
      <c r="A9816" s="3">
        <v>45792.0</v>
      </c>
      <c r="B9816" s="4">
        <v>0.32430555555555557</v>
      </c>
      <c r="C9816" s="5" t="s">
        <v>40</v>
      </c>
      <c r="D9816" s="5" t="s">
        <v>1466</v>
      </c>
      <c r="E9816" s="8" t="s">
        <v>849</v>
      </c>
      <c r="F9816" s="5" t="s">
        <v>1457</v>
      </c>
      <c r="G9816" s="6" t="str">
        <f>VLOOKUP(E9816,dicionario!$A$1:$C10215,2,0)</f>
        <v>#N/A</v>
      </c>
      <c r="H9816" s="6" t="str">
        <f>VLOOKUP(E9816,dicionario!$A$1:$C10215,3,0)</f>
        <v>#N/A</v>
      </c>
    </row>
    <row r="9817">
      <c r="A9817" s="3">
        <v>45792.0</v>
      </c>
      <c r="B9817" s="4">
        <v>0.32430555555555557</v>
      </c>
      <c r="C9817" s="5" t="s">
        <v>40</v>
      </c>
      <c r="D9817" s="5" t="s">
        <v>1466</v>
      </c>
      <c r="E9817" s="8" t="s">
        <v>154</v>
      </c>
      <c r="F9817" s="5" t="s">
        <v>155</v>
      </c>
      <c r="G9817" s="6" t="str">
        <f>VLOOKUP(E9817,dicionario!$A$1:$C10216,2,0)</f>
        <v>Cyperus rotundus</v>
      </c>
      <c r="H9817" s="6" t="str">
        <f>VLOOKUP(E9817,dicionario!$A$1:$C10216,3,0)</f>
        <v>tiririca</v>
      </c>
    </row>
    <row r="9818">
      <c r="A9818" s="3">
        <v>45792.0</v>
      </c>
      <c r="B9818" s="4">
        <v>0.325</v>
      </c>
      <c r="C9818" s="5" t="s">
        <v>40</v>
      </c>
      <c r="D9818" s="5" t="s">
        <v>1466</v>
      </c>
      <c r="E9818" s="8" t="s">
        <v>886</v>
      </c>
      <c r="F9818" s="5" t="s">
        <v>887</v>
      </c>
      <c r="G9818" s="6" t="str">
        <f>VLOOKUP(E9818,dicionario!$A$1:$C10217,2,0)</f>
        <v>Oldenlandia corymbosa</v>
      </c>
      <c r="H9818" s="6" t="str">
        <f>VLOOKUP(E9818,dicionario!$A$1:$C10217,3,0)</f>
        <v>erva-diamante</v>
      </c>
    </row>
    <row r="9819">
      <c r="A9819" s="3">
        <v>45792.0</v>
      </c>
      <c r="B9819" s="4">
        <v>0.325</v>
      </c>
      <c r="C9819" s="5" t="s">
        <v>40</v>
      </c>
      <c r="D9819" s="5" t="s">
        <v>1466</v>
      </c>
      <c r="E9819" s="8" t="s">
        <v>1386</v>
      </c>
      <c r="F9819" s="5" t="s">
        <v>484</v>
      </c>
      <c r="G9819" s="6" t="str">
        <f>VLOOKUP(E9819,dicionario!$A$1:$C10218,2,0)</f>
        <v>#N/A</v>
      </c>
      <c r="H9819" s="6" t="str">
        <f>VLOOKUP(E9819,dicionario!$A$1:$C10218,3,0)</f>
        <v>#N/A</v>
      </c>
    </row>
    <row r="9820">
      <c r="A9820" s="3">
        <v>45792.0</v>
      </c>
      <c r="B9820" s="4">
        <v>0.325</v>
      </c>
      <c r="C9820" s="5" t="s">
        <v>40</v>
      </c>
      <c r="D9820" s="5" t="s">
        <v>1466</v>
      </c>
      <c r="E9820" s="8" t="s">
        <v>296</v>
      </c>
      <c r="F9820" s="5" t="s">
        <v>297</v>
      </c>
      <c r="G9820" s="6" t="str">
        <f>VLOOKUP(E9820,dicionario!$A$1:$C10219,2,0)</f>
        <v>Richardia brasiliensis</v>
      </c>
      <c r="H9820" s="6" t="str">
        <f>VLOOKUP(E9820,dicionario!$A$1:$C10219,3,0)</f>
        <v>poaia-branca</v>
      </c>
    </row>
    <row r="9821">
      <c r="A9821" s="3">
        <v>45792.0</v>
      </c>
      <c r="B9821" s="4">
        <v>0.32569444444444445</v>
      </c>
      <c r="C9821" s="5" t="s">
        <v>40</v>
      </c>
      <c r="D9821" s="5" t="s">
        <v>1466</v>
      </c>
      <c r="E9821" s="8" t="s">
        <v>20</v>
      </c>
      <c r="F9821" s="5" t="s">
        <v>21</v>
      </c>
      <c r="G9821" s="6" t="str">
        <f>VLOOKUP(E9821,dicionario!$A$1:$C10220,2,0)</f>
        <v>Sicalis flaveola</v>
      </c>
      <c r="H9821" s="6" t="str">
        <f>VLOOKUP(E9821,dicionario!$A$1:$C10220,3,0)</f>
        <v>canário-da-terra</v>
      </c>
    </row>
    <row r="9822">
      <c r="A9822" s="3">
        <v>45792.0</v>
      </c>
      <c r="B9822" s="4">
        <v>0.32569444444444445</v>
      </c>
      <c r="C9822" s="5" t="s">
        <v>40</v>
      </c>
      <c r="D9822" s="5" t="s">
        <v>1466</v>
      </c>
      <c r="E9822" s="8" t="s">
        <v>38</v>
      </c>
      <c r="F9822" s="5" t="s">
        <v>39</v>
      </c>
      <c r="G9822" s="6" t="str">
        <f>VLOOKUP(E9822,dicionario!$A$1:$C10221,2,0)</f>
        <v>Troglodytes musculus</v>
      </c>
      <c r="H9822" s="6" t="str">
        <f>VLOOKUP(E9822,dicionario!$A$1:$C10221,3,0)</f>
        <v>curruíra</v>
      </c>
    </row>
    <row r="9823">
      <c r="A9823" s="3">
        <v>45792.0</v>
      </c>
      <c r="B9823" s="4">
        <v>0.32569444444444445</v>
      </c>
      <c r="C9823" s="5" t="s">
        <v>40</v>
      </c>
      <c r="D9823" s="5" t="s">
        <v>1466</v>
      </c>
      <c r="E9823" s="6" t="s">
        <v>399</v>
      </c>
      <c r="F9823" s="5" t="s">
        <v>400</v>
      </c>
      <c r="G9823" s="6" t="str">
        <f>VLOOKUP(E9823,dicionario!$A$1:$C10222,2,0)</f>
        <v>Varronia curassavica</v>
      </c>
      <c r="H9823" s="6" t="str">
        <f>VLOOKUP(E9823,dicionario!$A$1:$C10222,3,0)</f>
        <v>erva-baleeira</v>
      </c>
    </row>
    <row r="9824">
      <c r="A9824" s="3">
        <v>45792.0</v>
      </c>
      <c r="B9824" s="4">
        <v>0.32569444444444445</v>
      </c>
      <c r="C9824" s="5" t="s">
        <v>40</v>
      </c>
      <c r="D9824" s="5" t="s">
        <v>1466</v>
      </c>
      <c r="E9824" s="8" t="s">
        <v>1367</v>
      </c>
      <c r="F9824" s="5" t="s">
        <v>387</v>
      </c>
      <c r="G9824" s="6" t="str">
        <f>VLOOKUP(E9824,dicionario!$A$1:$C10223,2,0)</f>
        <v>#N/A</v>
      </c>
      <c r="H9824" s="6" t="str">
        <f>VLOOKUP(E9824,dicionario!$A$1:$C10223,3,0)</f>
        <v>#N/A</v>
      </c>
    </row>
    <row r="9825">
      <c r="A9825" s="3">
        <v>45792.0</v>
      </c>
      <c r="B9825" s="4">
        <v>0.32569444444444445</v>
      </c>
      <c r="C9825" s="5" t="s">
        <v>40</v>
      </c>
      <c r="D9825" s="5" t="s">
        <v>1466</v>
      </c>
      <c r="E9825" s="8" t="s">
        <v>225</v>
      </c>
      <c r="F9825" s="5" t="s">
        <v>226</v>
      </c>
      <c r="G9825" s="6" t="str">
        <f>VLOOKUP(E9825,dicionario!$A$1:$C10224,2,0)</f>
        <v>Passer domesticus</v>
      </c>
      <c r="H9825" s="6" t="str">
        <f>VLOOKUP(E9825,dicionario!$A$1:$C10224,3,0)</f>
        <v>pardal</v>
      </c>
    </row>
    <row r="9826">
      <c r="A9826" s="3">
        <v>45792.0</v>
      </c>
      <c r="B9826" s="4">
        <v>0.3263888888888889</v>
      </c>
      <c r="C9826" s="5" t="s">
        <v>40</v>
      </c>
      <c r="D9826" s="5" t="s">
        <v>1466</v>
      </c>
      <c r="E9826" s="8" t="s">
        <v>1476</v>
      </c>
      <c r="F9826" s="5" t="s">
        <v>228</v>
      </c>
      <c r="G9826" s="6" t="str">
        <f>VLOOKUP(E9826,dicionario!$A$1:$C10225,2,0)</f>
        <v>#N/A</v>
      </c>
      <c r="H9826" s="6" t="str">
        <f>VLOOKUP(E9826,dicionario!$A$1:$C10225,3,0)</f>
        <v>#N/A</v>
      </c>
    </row>
    <row r="9827">
      <c r="A9827" s="3">
        <v>45792.0</v>
      </c>
      <c r="B9827" s="4">
        <v>0.3263888888888889</v>
      </c>
      <c r="C9827" s="5" t="s">
        <v>33</v>
      </c>
      <c r="D9827" s="5" t="s">
        <v>1466</v>
      </c>
      <c r="E9827" s="8" t="s">
        <v>65</v>
      </c>
      <c r="F9827" s="5" t="s">
        <v>66</v>
      </c>
      <c r="G9827" s="6" t="str">
        <f>VLOOKUP(E9827,dicionario!$A$1:$C10226,2,0)</f>
        <v>Pitangus sulphutarus</v>
      </c>
      <c r="H9827" s="6" t="str">
        <f>VLOOKUP(E9827,dicionario!$A$1:$C10226,3,0)</f>
        <v>bem-te-vi</v>
      </c>
    </row>
    <row r="9828">
      <c r="A9828" s="3">
        <v>45792.0</v>
      </c>
      <c r="B9828" s="4">
        <v>0.32708333333333334</v>
      </c>
      <c r="C9828" s="5" t="s">
        <v>33</v>
      </c>
      <c r="D9828" s="5" t="s">
        <v>1466</v>
      </c>
      <c r="E9828" s="8" t="s">
        <v>109</v>
      </c>
      <c r="F9828" s="5" t="s">
        <v>110</v>
      </c>
      <c r="G9828" s="6" t="str">
        <f>VLOOKUP(E9828,dicionario!$A$1:$C10227,2,0)</f>
        <v>Tillandsia stricta</v>
      </c>
      <c r="H9828" s="6" t="str">
        <f>VLOOKUP(E9828,dicionario!$A$1:$C10227,3,0)</f>
        <v>cravo-do-mato</v>
      </c>
    </row>
    <row r="9829">
      <c r="A9829" s="3">
        <v>45792.0</v>
      </c>
      <c r="B9829" s="4">
        <v>0.32708333333333334</v>
      </c>
      <c r="C9829" s="5" t="s">
        <v>33</v>
      </c>
      <c r="D9829" s="5" t="s">
        <v>1466</v>
      </c>
      <c r="E9829" s="8" t="s">
        <v>298</v>
      </c>
      <c r="F9829" s="7"/>
      <c r="G9829" s="6" t="str">
        <f>VLOOKUP(E9829,dicionario!$A$1:$C10228,2,0)</f>
        <v>Alysicarpus vaginalis</v>
      </c>
      <c r="H9829" s="6" t="str">
        <f>VLOOKUP(E9829,dicionario!$A$1:$C10228,3,0)</f>
        <v/>
      </c>
    </row>
    <row r="9830">
      <c r="A9830" s="3">
        <v>45792.0</v>
      </c>
      <c r="B9830" s="4">
        <v>0.3277777777777778</v>
      </c>
      <c r="C9830" s="5" t="s">
        <v>33</v>
      </c>
      <c r="D9830" s="5" t="s">
        <v>1466</v>
      </c>
      <c r="E9830" s="29" t="s">
        <v>566</v>
      </c>
      <c r="F9830" s="5" t="s">
        <v>567</v>
      </c>
      <c r="G9830" s="6" t="str">
        <f>VLOOKUP(E9830,dicionario!$A$1:$C10229,2,0)</f>
        <v>Baccharis dracunculifolia</v>
      </c>
      <c r="H9830" s="6" t="str">
        <f>VLOOKUP(E9830,dicionario!$A$1:$C10229,3,0)</f>
        <v>vassoura</v>
      </c>
    </row>
    <row r="9831">
      <c r="A9831" s="3">
        <v>45792.0</v>
      </c>
      <c r="B9831" s="4">
        <v>0.3277777777777778</v>
      </c>
      <c r="C9831" s="5" t="s">
        <v>33</v>
      </c>
      <c r="D9831" s="5" t="s">
        <v>1466</v>
      </c>
      <c r="E9831" s="8" t="s">
        <v>719</v>
      </c>
      <c r="F9831" s="5" t="s">
        <v>911</v>
      </c>
      <c r="G9831" s="6" t="str">
        <f>VLOOKUP(E9831,dicionario!$A$1:$C10230,2,0)</f>
        <v>Dirinaria</v>
      </c>
      <c r="H9831" s="6" t="str">
        <f>VLOOKUP(E9831,dicionario!$A$1:$C10230,3,0)</f>
        <v>líquen-crostoso</v>
      </c>
    </row>
    <row r="9832">
      <c r="A9832" s="3">
        <v>45792.0</v>
      </c>
      <c r="B9832" s="4">
        <v>0.3277777777777778</v>
      </c>
      <c r="C9832" s="5" t="s">
        <v>33</v>
      </c>
      <c r="D9832" s="5" t="s">
        <v>1466</v>
      </c>
      <c r="E9832" s="8" t="s">
        <v>1084</v>
      </c>
      <c r="F9832" s="5" t="s">
        <v>224</v>
      </c>
      <c r="G9832" s="6" t="str">
        <f>VLOOKUP(E9832,dicionario!$A$1:$C10231,2,0)</f>
        <v>#N/A</v>
      </c>
      <c r="H9832" s="6" t="str">
        <f>VLOOKUP(E9832,dicionario!$A$1:$C10231,3,0)</f>
        <v>#N/A</v>
      </c>
    </row>
    <row r="9833">
      <c r="A9833" s="3">
        <v>45792.0</v>
      </c>
      <c r="B9833" s="4">
        <v>0.3284722222222222</v>
      </c>
      <c r="C9833" s="5" t="s">
        <v>33</v>
      </c>
      <c r="D9833" s="5" t="s">
        <v>1466</v>
      </c>
      <c r="E9833" s="8" t="s">
        <v>122</v>
      </c>
      <c r="F9833" s="5" t="s">
        <v>1477</v>
      </c>
      <c r="G9833" s="6" t="str">
        <f>VLOOKUP(E9833,dicionario!$A$1:$C10232,2,0)</f>
        <v>Todirostrum cinereum</v>
      </c>
      <c r="H9833" s="6" t="str">
        <f>VLOOKUP(E9833,dicionario!$A$1:$C10232,3,0)</f>
        <v>ferreirinho-relógio</v>
      </c>
    </row>
    <row r="9834">
      <c r="A9834" s="3">
        <v>45792.0</v>
      </c>
      <c r="B9834" s="4">
        <v>0.3284722222222222</v>
      </c>
      <c r="C9834" s="5" t="s">
        <v>33</v>
      </c>
      <c r="D9834" s="5" t="s">
        <v>1466</v>
      </c>
      <c r="E9834" s="8" t="s">
        <v>113</v>
      </c>
      <c r="F9834" s="5" t="s">
        <v>114</v>
      </c>
      <c r="G9834" s="6" t="str">
        <f>VLOOKUP(E9834,dicionario!$A$1:$C10233,2,0)</f>
        <v>Columbina talpacoti</v>
      </c>
      <c r="H9834" s="6" t="str">
        <f>VLOOKUP(E9834,dicionario!$A$1:$C10233,3,0)</f>
        <v>rolinha-roxa</v>
      </c>
    </row>
    <row r="9835">
      <c r="A9835" s="3">
        <v>45792.0</v>
      </c>
      <c r="B9835" s="4">
        <v>0.32916666666666666</v>
      </c>
      <c r="C9835" s="5" t="s">
        <v>33</v>
      </c>
      <c r="D9835" s="5" t="s">
        <v>1466</v>
      </c>
      <c r="E9835" s="6" t="s">
        <v>251</v>
      </c>
      <c r="F9835" s="5" t="s">
        <v>252</v>
      </c>
      <c r="G9835" s="6" t="str">
        <f>VLOOKUP(E9835,dicionario!$A$1:$C10234,2,0)</f>
        <v>Struthanthus flexicaulis</v>
      </c>
      <c r="H9835" s="6" t="str">
        <f>VLOOKUP(E9835,dicionario!$A$1:$C10234,3,0)</f>
        <v>erva-de-passarinho</v>
      </c>
    </row>
    <row r="9836">
      <c r="A9836" s="3">
        <v>45792.0</v>
      </c>
      <c r="B9836" s="4">
        <v>0.3298611111111111</v>
      </c>
      <c r="C9836" s="5" t="s">
        <v>33</v>
      </c>
      <c r="D9836" s="5" t="s">
        <v>1466</v>
      </c>
      <c r="E9836" s="8" t="s">
        <v>191</v>
      </c>
      <c r="F9836" s="5" t="s">
        <v>192</v>
      </c>
      <c r="G9836" s="6" t="str">
        <f>VLOOKUP(E9836,dicionario!$A$1:$C10235,2,0)</f>
        <v>Patagioenas picazuro</v>
      </c>
      <c r="H9836" s="6" t="str">
        <f>VLOOKUP(E9836,dicionario!$A$1:$C10235,3,0)</f>
        <v>asa-branca; pomba-asa-branca; pocaçu</v>
      </c>
    </row>
    <row r="9837">
      <c r="A9837" s="3">
        <v>45792.0</v>
      </c>
      <c r="B9837" s="4">
        <v>0.33055555555555555</v>
      </c>
      <c r="C9837" s="5" t="s">
        <v>33</v>
      </c>
      <c r="D9837" s="5" t="s">
        <v>1466</v>
      </c>
      <c r="E9837" s="8" t="s">
        <v>38</v>
      </c>
      <c r="F9837" s="5" t="s">
        <v>39</v>
      </c>
      <c r="G9837" s="6" t="str">
        <f>VLOOKUP(E9837,dicionario!$A$1:$C10236,2,0)</f>
        <v>Troglodytes musculus</v>
      </c>
      <c r="H9837" s="6" t="str">
        <f>VLOOKUP(E9837,dicionario!$A$1:$C10236,3,0)</f>
        <v>curruíra</v>
      </c>
    </row>
    <row r="9838">
      <c r="A9838" s="3">
        <v>45792.0</v>
      </c>
      <c r="B9838" s="4">
        <v>0.33125</v>
      </c>
      <c r="C9838" s="5" t="s">
        <v>33</v>
      </c>
      <c r="D9838" s="5" t="s">
        <v>1466</v>
      </c>
      <c r="E9838" s="6" t="s">
        <v>288</v>
      </c>
      <c r="F9838" s="5" t="s">
        <v>289</v>
      </c>
      <c r="G9838" s="6" t="str">
        <f>VLOOKUP(E9838,dicionario!$A$1:$C10237,2,0)</f>
        <v>Phyllanthus tenellus</v>
      </c>
      <c r="H9838" s="6" t="str">
        <f>VLOOKUP(E9838,dicionario!$A$1:$C10237,3,0)</f>
        <v>quebra-pedra</v>
      </c>
    </row>
    <row r="9839">
      <c r="A9839" s="3">
        <v>45792.0</v>
      </c>
      <c r="B9839" s="4">
        <v>0.33125</v>
      </c>
      <c r="C9839" s="5" t="s">
        <v>33</v>
      </c>
      <c r="D9839" s="5" t="s">
        <v>1466</v>
      </c>
      <c r="E9839" s="6" t="s">
        <v>53</v>
      </c>
      <c r="F9839" s="5" t="s">
        <v>54</v>
      </c>
      <c r="G9839" s="6" t="str">
        <f>VLOOKUP(E9839,dicionario!$A$1:$C10238,2,0)</f>
        <v>Turnera subulata</v>
      </c>
      <c r="H9839" s="6" t="str">
        <f>VLOOKUP(E9839,dicionario!$A$1:$C10238,3,0)</f>
        <v>xanana</v>
      </c>
    </row>
    <row r="9840">
      <c r="A9840" s="3">
        <v>45792.0</v>
      </c>
      <c r="B9840" s="4">
        <v>0.33194444444444443</v>
      </c>
      <c r="C9840" s="5" t="s">
        <v>33</v>
      </c>
      <c r="D9840" s="5" t="s">
        <v>1466</v>
      </c>
      <c r="E9840" s="8" t="s">
        <v>271</v>
      </c>
      <c r="F9840" s="5" t="s">
        <v>272</v>
      </c>
      <c r="G9840" s="6" t="str">
        <f>VLOOKUP(E9840,dicionario!$A$1:$C10239,2,0)</f>
        <v>Cyanthillium cinereum</v>
      </c>
      <c r="H9840" s="6" t="str">
        <f>VLOOKUP(E9840,dicionario!$A$1:$C10239,3,0)</f>
        <v>emília</v>
      </c>
    </row>
    <row r="9841">
      <c r="A9841" s="3">
        <v>45792.0</v>
      </c>
      <c r="B9841" s="4">
        <v>0.33194444444444443</v>
      </c>
      <c r="C9841" s="5" t="s">
        <v>33</v>
      </c>
      <c r="D9841" s="5" t="s">
        <v>1466</v>
      </c>
      <c r="E9841" s="8" t="s">
        <v>154</v>
      </c>
      <c r="F9841" s="5" t="s">
        <v>155</v>
      </c>
      <c r="G9841" s="6" t="str">
        <f>VLOOKUP(E9841,dicionario!$A$1:$C10240,2,0)</f>
        <v>Cyperus rotundus</v>
      </c>
      <c r="H9841" s="6" t="str">
        <f>VLOOKUP(E9841,dicionario!$A$1:$C10240,3,0)</f>
        <v>tiririca</v>
      </c>
    </row>
    <row r="9842">
      <c r="A9842" s="3">
        <v>45792.0</v>
      </c>
      <c r="B9842" s="4">
        <v>0.33194444444444443</v>
      </c>
      <c r="C9842" s="5" t="s">
        <v>33</v>
      </c>
      <c r="D9842" s="5" t="s">
        <v>1466</v>
      </c>
      <c r="E9842" s="8" t="s">
        <v>286</v>
      </c>
      <c r="F9842" s="5" t="s">
        <v>287</v>
      </c>
      <c r="G9842" s="6" t="str">
        <f>VLOOKUP(E9842,dicionario!$A$1:$C10241,2,0)</f>
        <v>Setaria parviflora</v>
      </c>
      <c r="H9842" s="6" t="str">
        <f>VLOOKUP(E9842,dicionario!$A$1:$C10241,3,0)</f>
        <v>capim-rabo-de-raposa</v>
      </c>
    </row>
    <row r="9843">
      <c r="A9843" s="3">
        <v>45792.0</v>
      </c>
      <c r="B9843" s="4">
        <v>0.33194444444444443</v>
      </c>
      <c r="C9843" s="5" t="s">
        <v>26</v>
      </c>
      <c r="D9843" s="5" t="s">
        <v>1466</v>
      </c>
      <c r="E9843" s="8" t="s">
        <v>360</v>
      </c>
      <c r="F9843" s="5" t="s">
        <v>361</v>
      </c>
      <c r="G9843" s="6" t="str">
        <f>VLOOKUP(E9843,dicionario!$A$1:$C10242,2,0)</f>
        <v>Chamaecrista rotundifolia</v>
      </c>
      <c r="H9843" s="6" t="str">
        <f>VLOOKUP(E9843,dicionario!$A$1:$C10242,3,0)</f>
        <v>alfafa-nativa</v>
      </c>
    </row>
    <row r="9844">
      <c r="A9844" s="3">
        <v>45792.0</v>
      </c>
      <c r="B9844" s="4">
        <v>0.3326388888888889</v>
      </c>
      <c r="C9844" s="5" t="s">
        <v>26</v>
      </c>
      <c r="D9844" s="5" t="s">
        <v>1466</v>
      </c>
      <c r="E9844" s="8" t="s">
        <v>217</v>
      </c>
      <c r="F9844" s="5" t="s">
        <v>218</v>
      </c>
      <c r="G9844" s="6" t="str">
        <f>VLOOKUP(E9844,dicionario!$A$1:$C10243,2,0)</f>
        <v>Athene cunicularia</v>
      </c>
      <c r="H9844" s="6" t="str">
        <f>VLOOKUP(E9844,dicionario!$A$1:$C10243,3,0)</f>
        <v>coruja-buraqueira</v>
      </c>
    </row>
    <row r="9845">
      <c r="A9845" s="3">
        <v>45792.0</v>
      </c>
      <c r="B9845" s="4">
        <v>0.3326388888888889</v>
      </c>
      <c r="C9845" s="5" t="s">
        <v>26</v>
      </c>
      <c r="D9845" s="5" t="s">
        <v>1466</v>
      </c>
      <c r="E9845" s="8" t="s">
        <v>109</v>
      </c>
      <c r="F9845" s="5" t="s">
        <v>110</v>
      </c>
      <c r="G9845" s="6" t="str">
        <f>VLOOKUP(E9845,dicionario!$A$1:$C10244,2,0)</f>
        <v>Tillandsia stricta</v>
      </c>
      <c r="H9845" s="6" t="str">
        <f>VLOOKUP(E9845,dicionario!$A$1:$C10244,3,0)</f>
        <v>cravo-do-mato</v>
      </c>
    </row>
    <row r="9846">
      <c r="A9846" s="3">
        <v>45792.0</v>
      </c>
      <c r="B9846" s="4">
        <v>0.33402777777777776</v>
      </c>
      <c r="C9846" s="5" t="s">
        <v>26</v>
      </c>
      <c r="D9846" s="5" t="s">
        <v>1466</v>
      </c>
      <c r="E9846" s="12" t="s">
        <v>243</v>
      </c>
      <c r="F9846" s="5" t="s">
        <v>244</v>
      </c>
      <c r="G9846" s="6" t="str">
        <f>VLOOKUP(E9846,dicionario!$A$1:$C10245,2,0)</f>
        <v>Macroptilium atropurpureum</v>
      </c>
      <c r="H9846" s="6" t="str">
        <f>VLOOKUP(E9846,dicionario!$A$1:$C10245,3,0)</f>
        <v>feijão-de-pombo</v>
      </c>
    </row>
    <row r="9847">
      <c r="A9847" s="3">
        <v>45792.0</v>
      </c>
      <c r="B9847" s="4">
        <v>0.33541666666666664</v>
      </c>
      <c r="C9847" s="5" t="s">
        <v>26</v>
      </c>
      <c r="D9847" s="5" t="s">
        <v>1466</v>
      </c>
      <c r="E9847" s="20" t="s">
        <v>676</v>
      </c>
      <c r="F9847" s="5" t="s">
        <v>677</v>
      </c>
      <c r="G9847" s="6" t="str">
        <f>VLOOKUP(E9847,dicionario!$A$1:$C10246,2,0)</f>
        <v>Zornia latifolia</v>
      </c>
      <c r="H9847" s="6" t="str">
        <f>VLOOKUP(E9847,dicionario!$A$1:$C10246,3,0)</f>
        <v>arrozinho-do-campo</v>
      </c>
    </row>
    <row r="9848">
      <c r="A9848" s="3">
        <v>45792.0</v>
      </c>
      <c r="B9848" s="4">
        <v>0.33541666666666664</v>
      </c>
      <c r="C9848" s="5" t="s">
        <v>26</v>
      </c>
      <c r="D9848" s="5" t="s">
        <v>1466</v>
      </c>
      <c r="E9848" s="8" t="s">
        <v>60</v>
      </c>
      <c r="F9848" s="5" t="s">
        <v>61</v>
      </c>
      <c r="G9848" s="6" t="str">
        <f>VLOOKUP(E9848,dicionario!$A$1:$C10247,2,0)</f>
        <v>Vanellus chilensis</v>
      </c>
      <c r="H9848" s="6" t="str">
        <f>VLOOKUP(E9848,dicionario!$A$1:$C10247,3,0)</f>
        <v>quero-quero</v>
      </c>
    </row>
    <row r="9849">
      <c r="A9849" s="3">
        <v>45792.0</v>
      </c>
      <c r="B9849" s="4">
        <v>0.33541666666666664</v>
      </c>
      <c r="C9849" s="5" t="s">
        <v>26</v>
      </c>
      <c r="D9849" s="5" t="s">
        <v>1466</v>
      </c>
      <c r="E9849" s="8" t="s">
        <v>65</v>
      </c>
      <c r="F9849" s="5" t="s">
        <v>66</v>
      </c>
      <c r="G9849" s="6" t="str">
        <f>VLOOKUP(E9849,dicionario!$A$1:$C10248,2,0)</f>
        <v>Pitangus sulphutarus</v>
      </c>
      <c r="H9849" s="6" t="str">
        <f>VLOOKUP(E9849,dicionario!$A$1:$C10248,3,0)</f>
        <v>bem-te-vi</v>
      </c>
    </row>
    <row r="9850">
      <c r="A9850" s="3">
        <v>45792.0</v>
      </c>
      <c r="B9850" s="4">
        <v>0.33541666666666664</v>
      </c>
      <c r="C9850" s="5" t="s">
        <v>26</v>
      </c>
      <c r="D9850" s="5" t="s">
        <v>1466</v>
      </c>
      <c r="E9850" s="8" t="s">
        <v>22</v>
      </c>
      <c r="F9850" s="5" t="s">
        <v>97</v>
      </c>
      <c r="G9850" s="6" t="str">
        <f>VLOOKUP(E9850,dicionario!$A$1:$C10249,2,0)</f>
        <v>Zenaida auriculata</v>
      </c>
      <c r="H9850" s="6" t="str">
        <f>VLOOKUP(E9850,dicionario!$A$1:$C10249,3,0)</f>
        <v>pomba-de-bando; avoante</v>
      </c>
    </row>
    <row r="9851">
      <c r="A9851" s="3">
        <v>45792.0</v>
      </c>
      <c r="B9851" s="4">
        <v>0.33611111111111114</v>
      </c>
      <c r="C9851" s="5" t="s">
        <v>26</v>
      </c>
      <c r="D9851" s="5" t="s">
        <v>1466</v>
      </c>
      <c r="E9851" s="8" t="s">
        <v>719</v>
      </c>
      <c r="F9851" s="5" t="s">
        <v>911</v>
      </c>
      <c r="G9851" s="6" t="str">
        <f>VLOOKUP(E9851,dicionario!$A$1:$C10250,2,0)</f>
        <v>Dirinaria</v>
      </c>
      <c r="H9851" s="6" t="str">
        <f>VLOOKUP(E9851,dicionario!$A$1:$C10250,3,0)</f>
        <v>líquen-crostoso</v>
      </c>
    </row>
    <row r="9852">
      <c r="A9852" s="3">
        <v>45792.0</v>
      </c>
      <c r="B9852" s="4">
        <v>0.33611111111111114</v>
      </c>
      <c r="C9852" s="5" t="s">
        <v>26</v>
      </c>
      <c r="D9852" s="5" t="s">
        <v>1466</v>
      </c>
      <c r="E9852" s="6" t="s">
        <v>251</v>
      </c>
      <c r="F9852" s="5" t="s">
        <v>252</v>
      </c>
      <c r="G9852" s="6" t="str">
        <f>VLOOKUP(E9852,dicionario!$A$1:$C10251,2,0)</f>
        <v>Struthanthus flexicaulis</v>
      </c>
      <c r="H9852" s="6" t="str">
        <f>VLOOKUP(E9852,dicionario!$A$1:$C10251,3,0)</f>
        <v>erva-de-passarinho</v>
      </c>
    </row>
    <row r="9853">
      <c r="A9853" s="3">
        <v>45792.0</v>
      </c>
      <c r="B9853" s="4">
        <v>0.3368055555555556</v>
      </c>
      <c r="C9853" s="5" t="s">
        <v>26</v>
      </c>
      <c r="D9853" s="5" t="s">
        <v>1466</v>
      </c>
      <c r="E9853" s="8" t="s">
        <v>253</v>
      </c>
      <c r="F9853" s="5" t="s">
        <v>254</v>
      </c>
      <c r="G9853" s="6" t="str">
        <f>VLOOKUP(E9853,dicionario!$A$1:$C10252,2,0)</f>
        <v>Panicum maximum</v>
      </c>
      <c r="H9853" s="6" t="str">
        <f>VLOOKUP(E9853,dicionario!$A$1:$C10252,3,0)</f>
        <v>capim-colonião</v>
      </c>
    </row>
    <row r="9854">
      <c r="A9854" s="3">
        <v>45792.0</v>
      </c>
      <c r="B9854" s="4">
        <v>0.3368055555555556</v>
      </c>
      <c r="C9854" s="5" t="s">
        <v>26</v>
      </c>
      <c r="D9854" s="5" t="s">
        <v>1466</v>
      </c>
      <c r="E9854" s="8" t="s">
        <v>338</v>
      </c>
      <c r="F9854" s="5" t="s">
        <v>238</v>
      </c>
      <c r="G9854" s="6" t="str">
        <f>VLOOKUP(E9854,dicionario!$A$1:$C10253,2,0)</f>
        <v>Atta</v>
      </c>
      <c r="H9854" s="6" t="str">
        <f>VLOOKUP(E9854,dicionario!$A$1:$C10253,3,0)</f>
        <v>saúva</v>
      </c>
    </row>
    <row r="9855">
      <c r="A9855" s="3">
        <v>45792.0</v>
      </c>
      <c r="B9855" s="4">
        <v>0.3368055555555556</v>
      </c>
      <c r="C9855" s="5" t="s">
        <v>26</v>
      </c>
      <c r="D9855" s="5" t="s">
        <v>1466</v>
      </c>
      <c r="E9855" s="8" t="s">
        <v>118</v>
      </c>
      <c r="F9855" s="5" t="s">
        <v>119</v>
      </c>
      <c r="G9855" s="6" t="str">
        <f>VLOOKUP(E9855,dicionario!$A$1:$C10254,2,0)</f>
        <v>Agaricus</v>
      </c>
      <c r="H9855" s="6" t="str">
        <f>VLOOKUP(E9855,dicionario!$A$1:$C10254,3,0)</f>
        <v>cogumelo</v>
      </c>
    </row>
    <row r="9856">
      <c r="A9856" s="3">
        <v>45792.0</v>
      </c>
      <c r="B9856" s="4">
        <v>0.3375</v>
      </c>
      <c r="C9856" s="5" t="s">
        <v>26</v>
      </c>
      <c r="D9856" s="5" t="s">
        <v>1466</v>
      </c>
      <c r="E9856" s="6" t="s">
        <v>485</v>
      </c>
      <c r="F9856" s="5" t="s">
        <v>486</v>
      </c>
      <c r="G9856" s="6" t="str">
        <f>VLOOKUP(E9856,dicionario!$A$1:$C10255,2,0)</f>
        <v>Rostrhamus sociabilis</v>
      </c>
      <c r="H9856" s="6" t="str">
        <f>VLOOKUP(E9856,dicionario!$A$1:$C10255,3,0)</f>
        <v>gavião-caramujeiro</v>
      </c>
    </row>
    <row r="9857">
      <c r="A9857" s="3">
        <v>45792.0</v>
      </c>
      <c r="B9857" s="4">
        <v>0.3375</v>
      </c>
      <c r="C9857" s="5" t="s">
        <v>26</v>
      </c>
      <c r="D9857" s="5" t="s">
        <v>1466</v>
      </c>
      <c r="E9857" s="8" t="s">
        <v>227</v>
      </c>
      <c r="F9857" s="5" t="s">
        <v>228</v>
      </c>
      <c r="G9857" s="6" t="str">
        <f>VLOOKUP(E9857,dicionario!$A$1:$C10256,2,0)</f>
        <v>Indigofera hirsuta</v>
      </c>
      <c r="H9857" s="6" t="str">
        <f>VLOOKUP(E9857,dicionario!$A$1:$C10256,3,0)</f>
        <v>anileira</v>
      </c>
    </row>
    <row r="9858">
      <c r="A9858" s="3">
        <v>45792.0</v>
      </c>
      <c r="B9858" s="4">
        <v>0.3375</v>
      </c>
      <c r="C9858" s="5" t="s">
        <v>26</v>
      </c>
      <c r="D9858" s="5" t="s">
        <v>1466</v>
      </c>
      <c r="E9858" s="8" t="s">
        <v>498</v>
      </c>
      <c r="F9858" s="5" t="s">
        <v>499</v>
      </c>
      <c r="G9858" s="6" t="str">
        <f>VLOOKUP(E9858,dicionario!$A$1:$C10257,2,0)</f>
        <v>Brachiaria decumbens</v>
      </c>
      <c r="H9858" s="6" t="str">
        <f>VLOOKUP(E9858,dicionario!$A$1:$C10257,3,0)</f>
        <v>capim-braquiária</v>
      </c>
    </row>
    <row r="9859">
      <c r="A9859" s="3">
        <v>45792.0</v>
      </c>
      <c r="B9859" s="4">
        <v>0.3375</v>
      </c>
      <c r="C9859" s="5" t="s">
        <v>26</v>
      </c>
      <c r="D9859" s="5" t="s">
        <v>1466</v>
      </c>
      <c r="E9859" s="8" t="s">
        <v>144</v>
      </c>
      <c r="F9859" s="5" t="s">
        <v>145</v>
      </c>
      <c r="G9859" s="6" t="str">
        <f>VLOOKUP(E9859,dicionario!$A$1:$C10258,2,0)</f>
        <v>Gomphrena globosa</v>
      </c>
      <c r="H9859" s="6" t="str">
        <f>VLOOKUP(E9859,dicionario!$A$1:$C10258,3,0)</f>
        <v>perpétua-rosa</v>
      </c>
    </row>
    <row r="9860">
      <c r="A9860" s="3">
        <v>45792.0</v>
      </c>
      <c r="B9860" s="4">
        <v>0.33819444444444446</v>
      </c>
      <c r="C9860" s="5" t="s">
        <v>26</v>
      </c>
      <c r="D9860" s="5" t="s">
        <v>1466</v>
      </c>
      <c r="E9860" s="6" t="s">
        <v>568</v>
      </c>
      <c r="F9860" s="5" t="s">
        <v>458</v>
      </c>
      <c r="G9860" s="6" t="str">
        <f>VLOOKUP(E9860,dicionario!$A$1:$C10259,2,0)</f>
        <v>#N/A</v>
      </c>
      <c r="H9860" s="6" t="str">
        <f>VLOOKUP(E9860,dicionario!$A$1:$C10259,3,0)</f>
        <v>#N/A</v>
      </c>
    </row>
    <row r="9861">
      <c r="A9861" s="3">
        <v>45792.0</v>
      </c>
      <c r="B9861" s="4">
        <v>0.33819444444444446</v>
      </c>
      <c r="C9861" s="5" t="s">
        <v>26</v>
      </c>
      <c r="D9861" s="5" t="s">
        <v>1466</v>
      </c>
      <c r="E9861" s="8" t="s">
        <v>1316</v>
      </c>
      <c r="F9861" s="5" t="s">
        <v>15</v>
      </c>
      <c r="G9861" s="6" t="str">
        <f>VLOOKUP(E9861,dicionario!$A$1:$C10260,2,0)</f>
        <v>#N/A</v>
      </c>
      <c r="H9861" s="6" t="str">
        <f>VLOOKUP(E9861,dicionario!$A$1:$C10260,3,0)</f>
        <v>#N/A</v>
      </c>
    </row>
    <row r="9862">
      <c r="A9862" s="3">
        <v>45792.0</v>
      </c>
      <c r="B9862" s="4">
        <v>0.3388888888888889</v>
      </c>
      <c r="C9862" s="5" t="s">
        <v>26</v>
      </c>
      <c r="D9862" s="5" t="s">
        <v>1466</v>
      </c>
      <c r="E9862" s="8" t="s">
        <v>245</v>
      </c>
      <c r="F9862" s="5" t="s">
        <v>246</v>
      </c>
      <c r="G9862" s="6" t="str">
        <f>VLOOKUP(E9862,dicionario!$A$1:$C10261,2,0)</f>
        <v>Hemiargus hanno</v>
      </c>
      <c r="H9862" s="6" t="str">
        <f>VLOOKUP(E9862,dicionario!$A$1:$C10261,3,0)</f>
        <v>borboleta-azulzinha-do-trevo</v>
      </c>
    </row>
    <row r="9863">
      <c r="A9863" s="3">
        <v>45792.0</v>
      </c>
      <c r="B9863" s="4">
        <v>0.3388888888888889</v>
      </c>
      <c r="C9863" s="5" t="s">
        <v>26</v>
      </c>
      <c r="D9863" s="5" t="s">
        <v>1466</v>
      </c>
      <c r="E9863" s="8" t="s">
        <v>353</v>
      </c>
      <c r="F9863" s="5" t="s">
        <v>354</v>
      </c>
      <c r="G9863" s="6" t="str">
        <f>VLOOKUP(E9863,dicionario!$A$1:$C10262,2,0)</f>
        <v>Desmodium incanum</v>
      </c>
      <c r="H9863" s="6" t="str">
        <f>VLOOKUP(E9863,dicionario!$A$1:$C10262,3,0)</f>
        <v>pega-pega</v>
      </c>
    </row>
    <row r="9864">
      <c r="A9864" s="3">
        <v>45792.0</v>
      </c>
      <c r="B9864" s="4">
        <v>0.3388888888888889</v>
      </c>
      <c r="C9864" s="5" t="s">
        <v>26</v>
      </c>
      <c r="D9864" s="5" t="s">
        <v>1466</v>
      </c>
      <c r="E9864" s="8" t="s">
        <v>72</v>
      </c>
      <c r="F9864" s="5" t="s">
        <v>73</v>
      </c>
      <c r="G9864" s="6" t="str">
        <f>VLOOKUP(E9864,dicionario!$A$1:$C10263,2,0)</f>
        <v>Thraupis palmarum</v>
      </c>
      <c r="H9864" s="6" t="str">
        <f>VLOOKUP(E9864,dicionario!$A$1:$C10263,3,0)</f>
        <v>sanhaço-do-coqueiro</v>
      </c>
    </row>
    <row r="9865">
      <c r="A9865" s="3">
        <v>45792.0</v>
      </c>
      <c r="B9865" s="4">
        <v>0.33958333333333335</v>
      </c>
      <c r="C9865" s="5" t="s">
        <v>26</v>
      </c>
      <c r="D9865" s="5" t="s">
        <v>1466</v>
      </c>
      <c r="E9865" s="8" t="s">
        <v>20</v>
      </c>
      <c r="F9865" s="5" t="s">
        <v>21</v>
      </c>
      <c r="G9865" s="6" t="str">
        <f>VLOOKUP(E9865,dicionario!$A$1:$C10264,2,0)</f>
        <v>Sicalis flaveola</v>
      </c>
      <c r="H9865" s="6" t="str">
        <f>VLOOKUP(E9865,dicionario!$A$1:$C10264,3,0)</f>
        <v>canário-da-terra</v>
      </c>
    </row>
    <row r="9866">
      <c r="A9866" s="3">
        <v>45792.0</v>
      </c>
      <c r="B9866" s="4">
        <v>0.33958333333333335</v>
      </c>
      <c r="C9866" s="5" t="s">
        <v>26</v>
      </c>
      <c r="D9866" s="5" t="s">
        <v>1466</v>
      </c>
      <c r="E9866" s="8" t="s">
        <v>1478</v>
      </c>
      <c r="F9866" s="5" t="s">
        <v>309</v>
      </c>
      <c r="G9866" s="6" t="str">
        <f>VLOOKUP(E9866,dicionario!$A$1:$C10265,2,0)</f>
        <v>Lycosa</v>
      </c>
      <c r="H9866" s="6" t="str">
        <f>VLOOKUP(E9866,dicionario!$A$1:$C10265,3,0)</f>
        <v>aranha-lobo</v>
      </c>
    </row>
    <row r="9867">
      <c r="A9867" s="3">
        <v>45792.0</v>
      </c>
      <c r="B9867" s="4">
        <v>0.33958333333333335</v>
      </c>
      <c r="C9867" s="5" t="s">
        <v>8</v>
      </c>
      <c r="D9867" s="5" t="s">
        <v>1466</v>
      </c>
      <c r="E9867" s="8" t="s">
        <v>712</v>
      </c>
      <c r="F9867" s="5" t="s">
        <v>718</v>
      </c>
      <c r="G9867" s="6" t="str">
        <f>VLOOKUP(E9867,dicionario!$A$1:$C10266,2,0)</f>
        <v>Flavopunctelia soredica</v>
      </c>
      <c r="H9867" s="6" t="str">
        <f>VLOOKUP(E9867,dicionario!$A$1:$C10266,3,0)</f>
        <v>líquen-folioso</v>
      </c>
    </row>
    <row r="9868">
      <c r="A9868" s="3">
        <v>45792.0</v>
      </c>
      <c r="B9868" s="4">
        <v>0.33958333333333335</v>
      </c>
      <c r="C9868" s="5" t="s">
        <v>8</v>
      </c>
      <c r="D9868" s="5" t="s">
        <v>1466</v>
      </c>
      <c r="E9868" s="8" t="s">
        <v>719</v>
      </c>
      <c r="F9868" s="5" t="s">
        <v>911</v>
      </c>
      <c r="G9868" s="6" t="str">
        <f>VLOOKUP(E9868,dicionario!$A$1:$C10267,2,0)</f>
        <v>Dirinaria</v>
      </c>
      <c r="H9868" s="6" t="str">
        <f>VLOOKUP(E9868,dicionario!$A$1:$C10267,3,0)</f>
        <v>líquen-crostoso</v>
      </c>
    </row>
    <row r="9869">
      <c r="A9869" s="3">
        <v>45792.0</v>
      </c>
      <c r="B9869" s="4">
        <v>0.3402777777777778</v>
      </c>
      <c r="C9869" s="5" t="s">
        <v>8</v>
      </c>
      <c r="D9869" s="5" t="s">
        <v>1466</v>
      </c>
      <c r="E9869" s="8" t="s">
        <v>107</v>
      </c>
      <c r="F9869" s="5" t="s">
        <v>834</v>
      </c>
      <c r="G9869" s="6" t="str">
        <f>VLOOKUP(E9869,dicionario!$A$1:$C10268,2,0)</f>
        <v>Ramalina complanata</v>
      </c>
      <c r="H9869" s="6" t="str">
        <f>VLOOKUP(E9869,dicionario!$A$1:$C10268,3,0)</f>
        <v>ramalina</v>
      </c>
    </row>
    <row r="9870">
      <c r="A9870" s="3">
        <v>45792.0</v>
      </c>
      <c r="B9870" s="4">
        <v>0.34097222222222223</v>
      </c>
      <c r="C9870" s="5" t="s">
        <v>8</v>
      </c>
      <c r="D9870" s="5" t="s">
        <v>1466</v>
      </c>
      <c r="E9870" s="6" t="s">
        <v>467</v>
      </c>
      <c r="F9870" s="5" t="s">
        <v>468</v>
      </c>
      <c r="G9870" s="6" t="str">
        <f>VLOOKUP(E9870,dicionario!$A$1:$C10269,2,0)</f>
        <v>Eleusine indica</v>
      </c>
      <c r="H9870" s="6" t="str">
        <f>VLOOKUP(E9870,dicionario!$A$1:$C10269,3,0)</f>
        <v>capim-pé-de-galinha</v>
      </c>
    </row>
    <row r="9871">
      <c r="A9871" s="3">
        <v>45792.0</v>
      </c>
      <c r="B9871" s="4">
        <v>0.34097222222222223</v>
      </c>
      <c r="C9871" s="5" t="s">
        <v>8</v>
      </c>
      <c r="D9871" s="5" t="s">
        <v>1466</v>
      </c>
      <c r="E9871" s="8" t="s">
        <v>109</v>
      </c>
      <c r="F9871" s="5" t="s">
        <v>110</v>
      </c>
      <c r="G9871" s="6" t="str">
        <f>VLOOKUP(E9871,dicionario!$A$1:$C10270,2,0)</f>
        <v>Tillandsia stricta</v>
      </c>
      <c r="H9871" s="6" t="str">
        <f>VLOOKUP(E9871,dicionario!$A$1:$C10270,3,0)</f>
        <v>cravo-do-mato</v>
      </c>
    </row>
    <row r="9872">
      <c r="A9872" s="3">
        <v>45792.0</v>
      </c>
      <c r="B9872" s="4">
        <v>0.3416666666666667</v>
      </c>
      <c r="C9872" s="5" t="s">
        <v>8</v>
      </c>
      <c r="D9872" s="5" t="s">
        <v>1466</v>
      </c>
      <c r="E9872" s="8" t="s">
        <v>135</v>
      </c>
      <c r="F9872" s="5" t="s">
        <v>136</v>
      </c>
      <c r="G9872" s="6" t="str">
        <f>VLOOKUP(E9872,dicionario!$A$1:$C10271,2,0)</f>
        <v>Tridax procumbens</v>
      </c>
      <c r="H9872" s="6" t="str">
        <f>VLOOKUP(E9872,dicionario!$A$1:$C10271,3,0)</f>
        <v>erva-de-touro</v>
      </c>
    </row>
    <row r="9873">
      <c r="A9873" s="3">
        <v>45792.0</v>
      </c>
      <c r="B9873" s="4">
        <v>0.3416666666666667</v>
      </c>
      <c r="C9873" s="5" t="s">
        <v>8</v>
      </c>
      <c r="D9873" s="5" t="s">
        <v>1466</v>
      </c>
      <c r="E9873" s="8" t="s">
        <v>736</v>
      </c>
      <c r="F9873" s="5" t="s">
        <v>737</v>
      </c>
      <c r="G9873" s="6" t="str">
        <f>VLOOKUP(E9873,dicionario!$A$1:$C10272,2,0)</f>
        <v>Chloris virgata</v>
      </c>
      <c r="H9873" s="6" t="str">
        <f>VLOOKUP(E9873,dicionario!$A$1:$C10272,3,0)</f>
        <v>capim-pavão</v>
      </c>
    </row>
    <row r="9874">
      <c r="A9874" s="3">
        <v>45792.0</v>
      </c>
      <c r="B9874" s="4">
        <v>0.3423611111111111</v>
      </c>
      <c r="C9874" s="5" t="s">
        <v>8</v>
      </c>
      <c r="D9874" s="5" t="s">
        <v>1466</v>
      </c>
      <c r="E9874" s="8" t="s">
        <v>20</v>
      </c>
      <c r="F9874" s="5" t="s">
        <v>21</v>
      </c>
      <c r="G9874" s="6" t="str">
        <f>VLOOKUP(E9874,dicionario!$A$1:$C10273,2,0)</f>
        <v>Sicalis flaveola</v>
      </c>
      <c r="H9874" s="6" t="str">
        <f>VLOOKUP(E9874,dicionario!$A$1:$C10273,3,0)</f>
        <v>canário-da-terra</v>
      </c>
    </row>
    <row r="9875">
      <c r="A9875" s="3">
        <v>45792.0</v>
      </c>
      <c r="B9875" s="4">
        <v>0.3423611111111111</v>
      </c>
      <c r="C9875" s="5" t="s">
        <v>8</v>
      </c>
      <c r="D9875" s="5" t="s">
        <v>1466</v>
      </c>
      <c r="E9875" s="8" t="s">
        <v>225</v>
      </c>
      <c r="F9875" s="5" t="s">
        <v>226</v>
      </c>
      <c r="G9875" s="6" t="str">
        <f>VLOOKUP(E9875,dicionario!$A$1:$C10274,2,0)</f>
        <v>Passer domesticus</v>
      </c>
      <c r="H9875" s="6" t="str">
        <f>VLOOKUP(E9875,dicionario!$A$1:$C10274,3,0)</f>
        <v>pardal</v>
      </c>
    </row>
    <row r="9876">
      <c r="A9876" s="3">
        <v>45792.0</v>
      </c>
      <c r="B9876" s="4">
        <v>0.34375</v>
      </c>
      <c r="C9876" s="5" t="s">
        <v>8</v>
      </c>
      <c r="D9876" s="5" t="s">
        <v>1466</v>
      </c>
      <c r="E9876" s="8" t="s">
        <v>38</v>
      </c>
      <c r="F9876" s="5" t="s">
        <v>39</v>
      </c>
      <c r="G9876" s="6" t="str">
        <f>VLOOKUP(E9876,dicionario!$A$1:$C10275,2,0)</f>
        <v>Troglodytes musculus</v>
      </c>
      <c r="H9876" s="6" t="str">
        <f>VLOOKUP(E9876,dicionario!$A$1:$C10275,3,0)</f>
        <v>curruíra</v>
      </c>
    </row>
    <row r="9877">
      <c r="A9877" s="3">
        <v>45792.0</v>
      </c>
      <c r="B9877" s="4">
        <v>0.34444444444444444</v>
      </c>
      <c r="C9877" s="5" t="s">
        <v>8</v>
      </c>
      <c r="D9877" s="5" t="s">
        <v>1466</v>
      </c>
      <c r="E9877" s="8" t="s">
        <v>22</v>
      </c>
      <c r="F9877" s="5" t="s">
        <v>97</v>
      </c>
      <c r="G9877" s="6" t="str">
        <f>VLOOKUP(E9877,dicionario!$A$1:$C10276,2,0)</f>
        <v>Zenaida auriculata</v>
      </c>
      <c r="H9877" s="6" t="str">
        <f>VLOOKUP(E9877,dicionario!$A$1:$C10276,3,0)</f>
        <v>pomba-de-bando; avoante</v>
      </c>
    </row>
    <row r="9878">
      <c r="A9878" s="3">
        <v>45792.0</v>
      </c>
      <c r="B9878" s="4">
        <v>0.34444444444444444</v>
      </c>
      <c r="C9878" s="5" t="s">
        <v>8</v>
      </c>
      <c r="D9878" s="5" t="s">
        <v>1466</v>
      </c>
      <c r="E9878" s="8" t="s">
        <v>65</v>
      </c>
      <c r="F9878" s="5" t="s">
        <v>66</v>
      </c>
      <c r="G9878" s="6" t="str">
        <f>VLOOKUP(E9878,dicionario!$A$1:$C10277,2,0)</f>
        <v>Pitangus sulphutarus</v>
      </c>
      <c r="H9878" s="6" t="str">
        <f>VLOOKUP(E9878,dicionario!$A$1:$C10277,3,0)</f>
        <v>bem-te-vi</v>
      </c>
    </row>
    <row r="9879">
      <c r="A9879" s="3">
        <v>45792.0</v>
      </c>
      <c r="B9879" s="4">
        <v>0.3458333333333333</v>
      </c>
      <c r="C9879" s="5" t="s">
        <v>8</v>
      </c>
      <c r="D9879" s="5" t="s">
        <v>1466</v>
      </c>
      <c r="E9879" s="8" t="s">
        <v>113</v>
      </c>
      <c r="F9879" s="5" t="s">
        <v>114</v>
      </c>
      <c r="G9879" s="6" t="str">
        <f>VLOOKUP(E9879,dicionario!$A$1:$C10278,2,0)</f>
        <v>Columbina talpacoti</v>
      </c>
      <c r="H9879" s="6" t="str">
        <f>VLOOKUP(E9879,dicionario!$A$1:$C10278,3,0)</f>
        <v>rolinha-roxa</v>
      </c>
    </row>
    <row r="9880">
      <c r="A9880" s="3">
        <v>45792.0</v>
      </c>
      <c r="B9880" s="4">
        <v>0.3458333333333333</v>
      </c>
      <c r="C9880" s="5" t="s">
        <v>8</v>
      </c>
      <c r="D9880" s="5" t="s">
        <v>1466</v>
      </c>
      <c r="E9880" s="8" t="s">
        <v>353</v>
      </c>
      <c r="F9880" s="5" t="s">
        <v>354</v>
      </c>
      <c r="G9880" s="6" t="str">
        <f>VLOOKUP(E9880,dicionario!$A$1:$C10279,2,0)</f>
        <v>Desmodium incanum</v>
      </c>
      <c r="H9880" s="6" t="str">
        <f>VLOOKUP(E9880,dicionario!$A$1:$C10279,3,0)</f>
        <v>pega-pega</v>
      </c>
    </row>
    <row r="9881">
      <c r="A9881" s="3">
        <v>45792.0</v>
      </c>
      <c r="B9881" s="4">
        <v>0.34652777777777777</v>
      </c>
      <c r="C9881" s="5" t="s">
        <v>8</v>
      </c>
      <c r="D9881" s="5" t="s">
        <v>1466</v>
      </c>
      <c r="E9881" s="8" t="s">
        <v>154</v>
      </c>
      <c r="F9881" s="5" t="s">
        <v>155</v>
      </c>
      <c r="G9881" s="6" t="str">
        <f>VLOOKUP(E9881,dicionario!$A$1:$C10280,2,0)</f>
        <v>Cyperus rotundus</v>
      </c>
      <c r="H9881" s="6" t="str">
        <f>VLOOKUP(E9881,dicionario!$A$1:$C10280,3,0)</f>
        <v>tiririca</v>
      </c>
    </row>
    <row r="9882">
      <c r="A9882" s="3">
        <v>45792.0</v>
      </c>
      <c r="B9882" s="4">
        <v>0.34652777777777777</v>
      </c>
      <c r="C9882" s="5" t="s">
        <v>8</v>
      </c>
      <c r="D9882" s="5" t="s">
        <v>1466</v>
      </c>
      <c r="E9882" s="8" t="s">
        <v>298</v>
      </c>
      <c r="F9882" s="7"/>
      <c r="G9882" s="6" t="str">
        <f>VLOOKUP(E9882,dicionario!$A$1:$C10281,2,0)</f>
        <v>Alysicarpus vaginalis</v>
      </c>
      <c r="H9882" s="6" t="str">
        <f>VLOOKUP(E9882,dicionario!$A$1:$C10281,3,0)</f>
        <v/>
      </c>
    </row>
    <row r="9883">
      <c r="A9883" s="3">
        <v>45799.0</v>
      </c>
      <c r="B9883" s="4">
        <v>0.26180555555555557</v>
      </c>
      <c r="C9883" s="5" t="s">
        <v>8</v>
      </c>
      <c r="D9883" s="5" t="s">
        <v>1466</v>
      </c>
      <c r="E9883" s="8" t="s">
        <v>109</v>
      </c>
      <c r="F9883" s="5" t="s">
        <v>110</v>
      </c>
      <c r="G9883" s="6" t="str">
        <f>VLOOKUP(E9883,dicionario!$A$1:$C10282,2,0)</f>
        <v>Tillandsia stricta</v>
      </c>
      <c r="H9883" s="6" t="str">
        <f>VLOOKUP(E9883,dicionario!$A$1:$C10282,3,0)</f>
        <v>cravo-do-mato</v>
      </c>
    </row>
    <row r="9884">
      <c r="A9884" s="3">
        <v>45799.0</v>
      </c>
      <c r="B9884" s="4">
        <v>0.26180555555555557</v>
      </c>
      <c r="C9884" s="5" t="s">
        <v>8</v>
      </c>
      <c r="D9884" s="5" t="s">
        <v>1466</v>
      </c>
      <c r="E9884" s="8" t="s">
        <v>719</v>
      </c>
      <c r="F9884" s="5" t="s">
        <v>911</v>
      </c>
      <c r="G9884" s="6" t="str">
        <f>VLOOKUP(E9884,dicionario!$A$1:$C10283,2,0)</f>
        <v>Dirinaria</v>
      </c>
      <c r="H9884" s="6" t="str">
        <f>VLOOKUP(E9884,dicionario!$A$1:$C10283,3,0)</f>
        <v>líquen-crostoso</v>
      </c>
    </row>
    <row r="9885">
      <c r="A9885" s="3">
        <v>45799.0</v>
      </c>
      <c r="B9885" s="4">
        <v>0.26180555555555557</v>
      </c>
      <c r="C9885" s="5" t="s">
        <v>8</v>
      </c>
      <c r="D9885" s="5" t="s">
        <v>1466</v>
      </c>
      <c r="E9885" s="8" t="s">
        <v>712</v>
      </c>
      <c r="F9885" s="5" t="s">
        <v>912</v>
      </c>
      <c r="G9885" s="6" t="str">
        <f>VLOOKUP(E9885,dicionario!$A$1:$C10284,2,0)</f>
        <v>Flavopunctelia soredica</v>
      </c>
      <c r="H9885" s="6" t="str">
        <f>VLOOKUP(E9885,dicionario!$A$1:$C10284,3,0)</f>
        <v>líquen-folioso</v>
      </c>
    </row>
    <row r="9886">
      <c r="A9886" s="3">
        <v>45799.0</v>
      </c>
      <c r="B9886" s="4">
        <v>0.2625</v>
      </c>
      <c r="C9886" s="5" t="s">
        <v>8</v>
      </c>
      <c r="D9886" s="5" t="s">
        <v>1466</v>
      </c>
      <c r="E9886" s="6" t="s">
        <v>467</v>
      </c>
      <c r="F9886" s="5" t="s">
        <v>468</v>
      </c>
      <c r="G9886" s="6" t="str">
        <f>VLOOKUP(E9886,dicionario!$A$1:$C10285,2,0)</f>
        <v>Eleusine indica</v>
      </c>
      <c r="H9886" s="6" t="str">
        <f>VLOOKUP(E9886,dicionario!$A$1:$C10285,3,0)</f>
        <v>capim-pé-de-galinha</v>
      </c>
    </row>
    <row r="9887">
      <c r="A9887" s="3">
        <v>45799.0</v>
      </c>
      <c r="B9887" s="4">
        <v>0.2625</v>
      </c>
      <c r="C9887" s="5" t="s">
        <v>8</v>
      </c>
      <c r="D9887" s="5" t="s">
        <v>1466</v>
      </c>
      <c r="E9887" s="8" t="s">
        <v>107</v>
      </c>
      <c r="F9887" s="5" t="s">
        <v>108</v>
      </c>
      <c r="G9887" s="6" t="str">
        <f>VLOOKUP(E9887,dicionario!$A$1:$C10286,2,0)</f>
        <v>Ramalina complanata</v>
      </c>
      <c r="H9887" s="6" t="str">
        <f>VLOOKUP(E9887,dicionario!$A$1:$C10286,3,0)</f>
        <v>ramalina</v>
      </c>
    </row>
    <row r="9888">
      <c r="A9888" s="3">
        <v>45799.0</v>
      </c>
      <c r="B9888" s="4">
        <v>0.26319444444444445</v>
      </c>
      <c r="C9888" s="5" t="s">
        <v>8</v>
      </c>
      <c r="D9888" s="5" t="s">
        <v>1466</v>
      </c>
      <c r="E9888" s="67" t="s">
        <v>1479</v>
      </c>
      <c r="F9888" s="5" t="s">
        <v>1480</v>
      </c>
      <c r="G9888" s="6" t="str">
        <f>VLOOKUP(E9888,dicionario!$A$1:$C10287,2,0)</f>
        <v>Solanum sisymbriifolium</v>
      </c>
      <c r="H9888" s="6" t="str">
        <f>VLOOKUP(E9888,dicionario!$A$1:$C10287,3,0)</f>
        <v>arrebenta-cavalo</v>
      </c>
    </row>
    <row r="9889">
      <c r="A9889" s="3">
        <v>45799.0</v>
      </c>
      <c r="B9889" s="4">
        <v>0.26319444444444445</v>
      </c>
      <c r="C9889" s="5" t="s">
        <v>8</v>
      </c>
      <c r="D9889" s="5" t="s">
        <v>1466</v>
      </c>
      <c r="E9889" s="8" t="s">
        <v>286</v>
      </c>
      <c r="F9889" s="5" t="s">
        <v>287</v>
      </c>
      <c r="G9889" s="6" t="str">
        <f>VLOOKUP(E9889,dicionario!$A$1:$C10288,2,0)</f>
        <v>Setaria parviflora</v>
      </c>
      <c r="H9889" s="6" t="str">
        <f>VLOOKUP(E9889,dicionario!$A$1:$C10288,3,0)</f>
        <v>capim-rabo-de-raposa</v>
      </c>
    </row>
    <row r="9890">
      <c r="A9890" s="3">
        <v>45799.0</v>
      </c>
      <c r="B9890" s="4">
        <v>0.26319444444444445</v>
      </c>
      <c r="C9890" s="5" t="s">
        <v>8</v>
      </c>
      <c r="D9890" s="5" t="s">
        <v>1466</v>
      </c>
      <c r="E9890" s="8" t="s">
        <v>1024</v>
      </c>
      <c r="F9890" s="5" t="s">
        <v>969</v>
      </c>
      <c r="G9890" s="6" t="str">
        <f>VLOOKUP(E9890,dicionario!$A$1:$C10289,2,0)</f>
        <v>Usnea barbata</v>
      </c>
      <c r="H9890" s="6" t="str">
        <f>VLOOKUP(E9890,dicionario!$A$1:$C10289,3,0)</f>
        <v>barba-de-velho</v>
      </c>
    </row>
    <row r="9891">
      <c r="A9891" s="3">
        <v>45799.0</v>
      </c>
      <c r="B9891" s="4">
        <v>0.26319444444444445</v>
      </c>
      <c r="C9891" s="5" t="s">
        <v>8</v>
      </c>
      <c r="D9891" s="5" t="s">
        <v>1466</v>
      </c>
      <c r="E9891" s="8" t="s">
        <v>1084</v>
      </c>
      <c r="F9891" s="5" t="s">
        <v>224</v>
      </c>
      <c r="G9891" s="6" t="str">
        <f>VLOOKUP(E9891,dicionario!$A$1:$C10290,2,0)</f>
        <v>#N/A</v>
      </c>
      <c r="H9891" s="6" t="str">
        <f>VLOOKUP(E9891,dicionario!$A$1:$C10290,3,0)</f>
        <v>#N/A</v>
      </c>
    </row>
    <row r="9892">
      <c r="A9892" s="3">
        <v>45799.0</v>
      </c>
      <c r="B9892" s="4">
        <v>0.26319444444444445</v>
      </c>
      <c r="C9892" s="5" t="s">
        <v>8</v>
      </c>
      <c r="D9892" s="5" t="s">
        <v>1466</v>
      </c>
      <c r="E9892" s="8" t="s">
        <v>909</v>
      </c>
      <c r="F9892" s="5" t="s">
        <v>910</v>
      </c>
      <c r="G9892" s="6" t="str">
        <f>VLOOKUP(E9892,dicionario!$A$1:$C10291,2,0)</f>
        <v>Chordeiles acutipennis</v>
      </c>
      <c r="H9892" s="6" t="str">
        <f>VLOOKUP(E9892,dicionario!$A$1:$C10291,3,0)</f>
        <v>bacurau-de-asa-fina</v>
      </c>
    </row>
    <row r="9893">
      <c r="A9893" s="3">
        <v>45799.0</v>
      </c>
      <c r="B9893" s="4">
        <v>0.26319444444444445</v>
      </c>
      <c r="C9893" s="5" t="s">
        <v>8</v>
      </c>
      <c r="D9893" s="5" t="s">
        <v>1466</v>
      </c>
      <c r="E9893" s="8" t="s">
        <v>271</v>
      </c>
      <c r="F9893" s="5" t="s">
        <v>272</v>
      </c>
      <c r="G9893" s="6" t="str">
        <f>VLOOKUP(E9893,dicionario!$A$1:$C10292,2,0)</f>
        <v>Cyanthillium cinereum</v>
      </c>
      <c r="H9893" s="6" t="str">
        <f>VLOOKUP(E9893,dicionario!$A$1:$C10292,3,0)</f>
        <v>emília</v>
      </c>
    </row>
    <row r="9894">
      <c r="A9894" s="3">
        <v>45799.0</v>
      </c>
      <c r="B9894" s="4">
        <v>0.2638888888888889</v>
      </c>
      <c r="C9894" s="5" t="s">
        <v>8</v>
      </c>
      <c r="D9894" s="5" t="s">
        <v>1466</v>
      </c>
      <c r="E9894" s="8" t="s">
        <v>1367</v>
      </c>
      <c r="F9894" s="5" t="s">
        <v>387</v>
      </c>
      <c r="G9894" s="6" t="str">
        <f>VLOOKUP(E9894,dicionario!$A$1:$C10293,2,0)</f>
        <v>#N/A</v>
      </c>
      <c r="H9894" s="6" t="str">
        <f>VLOOKUP(E9894,dicionario!$A$1:$C10293,3,0)</f>
        <v>#N/A</v>
      </c>
    </row>
    <row r="9895">
      <c r="A9895" s="3">
        <v>45799.0</v>
      </c>
      <c r="B9895" s="4">
        <v>0.2638888888888889</v>
      </c>
      <c r="C9895" s="5" t="s">
        <v>8</v>
      </c>
      <c r="D9895" s="5" t="s">
        <v>1466</v>
      </c>
      <c r="E9895" s="8" t="s">
        <v>390</v>
      </c>
      <c r="F9895" s="5" t="s">
        <v>633</v>
      </c>
      <c r="G9895" s="6" t="str">
        <f>VLOOKUP(E9895,dicionario!$A$1:$C10294,2,0)</f>
        <v>Oxalis barrelieri</v>
      </c>
      <c r="H9895" s="6" t="str">
        <f>VLOOKUP(E9895,dicionario!$A$1:$C10294,3,0)</f>
        <v>erva-azeda; azedinha </v>
      </c>
    </row>
    <row r="9896">
      <c r="A9896" s="3">
        <v>45799.0</v>
      </c>
      <c r="B9896" s="4">
        <v>0.2638888888888889</v>
      </c>
      <c r="C9896" s="5" t="s">
        <v>8</v>
      </c>
      <c r="D9896" s="5" t="s">
        <v>1466</v>
      </c>
      <c r="E9896" s="8" t="s">
        <v>103</v>
      </c>
      <c r="F9896" s="5" t="s">
        <v>104</v>
      </c>
      <c r="G9896" s="6" t="str">
        <f>VLOOKUP(E9896,dicionario!$A$1:$C10295,2,0)</f>
        <v>Caracara plancus</v>
      </c>
      <c r="H9896" s="6" t="str">
        <f>VLOOKUP(E9896,dicionario!$A$1:$C10295,3,0)</f>
        <v>carcará </v>
      </c>
    </row>
    <row r="9897">
      <c r="A9897" s="3">
        <v>45799.0</v>
      </c>
      <c r="B9897" s="4">
        <v>0.2638888888888889</v>
      </c>
      <c r="C9897" s="5" t="s">
        <v>8</v>
      </c>
      <c r="D9897" s="5" t="s">
        <v>1466</v>
      </c>
      <c r="E9897" s="8" t="s">
        <v>163</v>
      </c>
      <c r="F9897" s="5" t="s">
        <v>164</v>
      </c>
      <c r="G9897" s="6" t="str">
        <f>VLOOKUP(E9897,dicionario!$A$1:$C10296,2,0)</f>
        <v>Coragyps atratus</v>
      </c>
      <c r="H9897" s="6" t="str">
        <f>VLOOKUP(E9897,dicionario!$A$1:$C10296,3,0)</f>
        <v>urubu-de-cabeça-preta</v>
      </c>
    </row>
    <row r="9898">
      <c r="A9898" s="3">
        <v>45799.0</v>
      </c>
      <c r="B9898" s="4">
        <v>0.2652777777777778</v>
      </c>
      <c r="C9898" s="5" t="s">
        <v>8</v>
      </c>
      <c r="D9898" s="5" t="s">
        <v>1466</v>
      </c>
      <c r="E9898" s="8" t="s">
        <v>88</v>
      </c>
      <c r="F9898" s="5" t="s">
        <v>89</v>
      </c>
      <c r="G9898" s="6" t="str">
        <f>VLOOKUP(E9898,dicionario!$A$1:$C10297,2,0)</f>
        <v>Tyrannus melancolichus</v>
      </c>
      <c r="H9898" s="6" t="str">
        <f>VLOOKUP(E9898,dicionario!$A$1:$C10297,3,0)</f>
        <v>suiriri</v>
      </c>
    </row>
    <row r="9899">
      <c r="A9899" s="3">
        <v>45799.0</v>
      </c>
      <c r="B9899" s="4">
        <v>0.2659722222222222</v>
      </c>
      <c r="C9899" s="5" t="s">
        <v>8</v>
      </c>
      <c r="D9899" s="5" t="s">
        <v>1466</v>
      </c>
      <c r="E9899" s="8" t="s">
        <v>453</v>
      </c>
      <c r="F9899" s="5" t="s">
        <v>216</v>
      </c>
      <c r="G9899" s="6" t="str">
        <f>VLOOKUP(E9899,dicionario!$A$1:$C10298,2,0)</f>
        <v>Notiochelidon cyanoleuca</v>
      </c>
      <c r="H9899" s="6" t="str">
        <f>VLOOKUP(E9899,dicionario!$A$1:$C10298,3,0)</f>
        <v>andorinha-pequena-de-casa</v>
      </c>
    </row>
    <row r="9900">
      <c r="A9900" s="3">
        <v>45799.0</v>
      </c>
      <c r="B9900" s="4">
        <v>0.2659722222222222</v>
      </c>
      <c r="C9900" s="5" t="s">
        <v>8</v>
      </c>
      <c r="D9900" s="5" t="s">
        <v>1466</v>
      </c>
      <c r="E9900" s="8" t="s">
        <v>1462</v>
      </c>
      <c r="F9900" s="5" t="s">
        <v>1463</v>
      </c>
      <c r="G9900" s="6" t="str">
        <f>VLOOKUP(E9900,dicionario!$A$1:$C10299,2,0)</f>
        <v>Primolius maracana</v>
      </c>
      <c r="H9900" s="6" t="str">
        <f>VLOOKUP(E9900,dicionario!$A$1:$C10299,3,0)</f>
        <v>maracanã</v>
      </c>
    </row>
    <row r="9901">
      <c r="A9901" s="3">
        <v>45799.0</v>
      </c>
      <c r="B9901" s="4">
        <v>0.26666666666666666</v>
      </c>
      <c r="C9901" s="5" t="s">
        <v>8</v>
      </c>
      <c r="D9901" s="5" t="s">
        <v>1466</v>
      </c>
      <c r="E9901" s="8" t="s">
        <v>105</v>
      </c>
      <c r="F9901" s="5" t="s">
        <v>106</v>
      </c>
      <c r="G9901" s="6" t="str">
        <f>VLOOKUP(E9901,dicionario!$A$1:$C10300,2,0)</f>
        <v>Progne tapera</v>
      </c>
      <c r="H9901" s="6" t="str">
        <f>VLOOKUP(E9901,dicionario!$A$1:$C10300,3,0)</f>
        <v>andorinha-do-campo</v>
      </c>
    </row>
    <row r="9902">
      <c r="A9902" s="3">
        <v>45799.0</v>
      </c>
      <c r="B9902" s="4">
        <v>0.2673611111111111</v>
      </c>
      <c r="C9902" s="5" t="s">
        <v>8</v>
      </c>
      <c r="D9902" s="5" t="s">
        <v>1466</v>
      </c>
      <c r="E9902" s="8" t="s">
        <v>191</v>
      </c>
      <c r="F9902" s="5" t="s">
        <v>192</v>
      </c>
      <c r="G9902" s="6" t="str">
        <f>VLOOKUP(E9902,dicionario!$A$1:$C10301,2,0)</f>
        <v>Patagioenas picazuro</v>
      </c>
      <c r="H9902" s="6" t="str">
        <f>VLOOKUP(E9902,dicionario!$A$1:$C10301,3,0)</f>
        <v>asa-branca; pomba-asa-branca; pocaçu</v>
      </c>
    </row>
    <row r="9903">
      <c r="A9903" s="3">
        <v>45799.0</v>
      </c>
      <c r="B9903" s="4">
        <v>0.2673611111111111</v>
      </c>
      <c r="C9903" s="5" t="s">
        <v>8</v>
      </c>
      <c r="D9903" s="5" t="s">
        <v>1466</v>
      </c>
      <c r="E9903" s="8" t="s">
        <v>736</v>
      </c>
      <c r="F9903" s="5" t="s">
        <v>737</v>
      </c>
      <c r="G9903" s="6" t="str">
        <f>VLOOKUP(E9903,dicionario!$A$1:$C10302,2,0)</f>
        <v>Chloris virgata</v>
      </c>
      <c r="H9903" s="6" t="str">
        <f>VLOOKUP(E9903,dicionario!$A$1:$C10302,3,0)</f>
        <v>capim-pavão</v>
      </c>
    </row>
    <row r="9904">
      <c r="A9904" s="3">
        <v>45799.0</v>
      </c>
      <c r="B9904" s="4">
        <v>0.2673611111111111</v>
      </c>
      <c r="C9904" s="5" t="s">
        <v>8</v>
      </c>
      <c r="D9904" s="5" t="s">
        <v>1466</v>
      </c>
      <c r="E9904" s="8" t="s">
        <v>65</v>
      </c>
      <c r="F9904" s="5" t="s">
        <v>66</v>
      </c>
      <c r="G9904" s="6" t="str">
        <f>VLOOKUP(E9904,dicionario!$A$1:$C10303,2,0)</f>
        <v>Pitangus sulphutarus</v>
      </c>
      <c r="H9904" s="6" t="str">
        <f>VLOOKUP(E9904,dicionario!$A$1:$C10303,3,0)</f>
        <v>bem-te-vi</v>
      </c>
    </row>
    <row r="9905">
      <c r="A9905" s="3">
        <v>45799.0</v>
      </c>
      <c r="B9905" s="4">
        <v>0.26944444444444443</v>
      </c>
      <c r="C9905" s="5" t="s">
        <v>8</v>
      </c>
      <c r="D9905" s="5" t="s">
        <v>1466</v>
      </c>
      <c r="E9905" s="8" t="s">
        <v>353</v>
      </c>
      <c r="F9905" s="5" t="s">
        <v>354</v>
      </c>
      <c r="G9905" s="6" t="str">
        <f>VLOOKUP(E9905,dicionario!$A$1:$C10304,2,0)</f>
        <v>Desmodium incanum</v>
      </c>
      <c r="H9905" s="6" t="str">
        <f>VLOOKUP(E9905,dicionario!$A$1:$C10304,3,0)</f>
        <v>pega-pega</v>
      </c>
    </row>
    <row r="9906">
      <c r="A9906" s="3">
        <v>45799.0</v>
      </c>
      <c r="B9906" s="4">
        <v>0.26944444444444443</v>
      </c>
      <c r="C9906" s="5" t="s">
        <v>8</v>
      </c>
      <c r="D9906" s="5" t="s">
        <v>1466</v>
      </c>
      <c r="E9906" s="8" t="s">
        <v>360</v>
      </c>
      <c r="F9906" s="5" t="s">
        <v>361</v>
      </c>
      <c r="G9906" s="6" t="str">
        <f>VLOOKUP(E9906,dicionario!$A$1:$C10305,2,0)</f>
        <v>Chamaecrista rotundifolia</v>
      </c>
      <c r="H9906" s="6" t="str">
        <f>VLOOKUP(E9906,dicionario!$A$1:$C10305,3,0)</f>
        <v>alfafa-nativa</v>
      </c>
    </row>
    <row r="9907">
      <c r="A9907" s="3">
        <v>45799.0</v>
      </c>
      <c r="B9907" s="4">
        <v>0.26944444444444443</v>
      </c>
      <c r="C9907" s="5" t="s">
        <v>26</v>
      </c>
      <c r="D9907" s="5" t="s">
        <v>1466</v>
      </c>
      <c r="E9907" s="8" t="s">
        <v>22</v>
      </c>
      <c r="F9907" s="5" t="s">
        <v>97</v>
      </c>
      <c r="G9907" s="6" t="str">
        <f>VLOOKUP(E9907,dicionario!$A$1:$C10306,2,0)</f>
        <v>Zenaida auriculata</v>
      </c>
      <c r="H9907" s="6" t="str">
        <f>VLOOKUP(E9907,dicionario!$A$1:$C10306,3,0)</f>
        <v>pomba-de-bando; avoante</v>
      </c>
    </row>
    <row r="9908">
      <c r="A9908" s="3">
        <v>45799.0</v>
      </c>
      <c r="B9908" s="4">
        <v>0.2701388888888889</v>
      </c>
      <c r="C9908" s="5" t="s">
        <v>26</v>
      </c>
      <c r="D9908" s="5" t="s">
        <v>1466</v>
      </c>
      <c r="E9908" s="8" t="s">
        <v>60</v>
      </c>
      <c r="F9908" s="5" t="s">
        <v>61</v>
      </c>
      <c r="G9908" s="6" t="str">
        <f>VLOOKUP(E9908,dicionario!$A$1:$C10307,2,0)</f>
        <v>Vanellus chilensis</v>
      </c>
      <c r="H9908" s="6" t="str">
        <f>VLOOKUP(E9908,dicionario!$A$1:$C10307,3,0)</f>
        <v>quero-quero</v>
      </c>
    </row>
    <row r="9909">
      <c r="A9909" s="3">
        <v>45799.0</v>
      </c>
      <c r="B9909" s="4">
        <v>0.2701388888888889</v>
      </c>
      <c r="C9909" s="5" t="s">
        <v>26</v>
      </c>
      <c r="D9909" s="5" t="s">
        <v>1466</v>
      </c>
      <c r="E9909" s="8" t="s">
        <v>217</v>
      </c>
      <c r="F9909" s="5" t="s">
        <v>218</v>
      </c>
      <c r="G9909" s="6" t="str">
        <f>VLOOKUP(E9909,dicionario!$A$1:$C10308,2,0)</f>
        <v>Athene cunicularia</v>
      </c>
      <c r="H9909" s="6" t="str">
        <f>VLOOKUP(E9909,dicionario!$A$1:$C10308,3,0)</f>
        <v>coruja-buraqueira</v>
      </c>
    </row>
    <row r="9910">
      <c r="A9910" s="3">
        <v>45799.0</v>
      </c>
      <c r="B9910" s="4">
        <v>0.2708333333333333</v>
      </c>
      <c r="C9910" s="5" t="s">
        <v>26</v>
      </c>
      <c r="D9910" s="5" t="s">
        <v>1466</v>
      </c>
      <c r="E9910" s="8" t="s">
        <v>146</v>
      </c>
      <c r="F9910" s="5" t="s">
        <v>147</v>
      </c>
      <c r="G9910" s="6" t="str">
        <f>VLOOKUP(E9910,dicionario!$A$1:$C10309,2,0)</f>
        <v>Euphorbia hirta</v>
      </c>
      <c r="H9910" s="6" t="str">
        <f>VLOOKUP(E9910,dicionario!$A$1:$C10309,3,0)</f>
        <v>erva-de-santa-luzia</v>
      </c>
    </row>
    <row r="9911">
      <c r="A9911" s="3">
        <v>45799.0</v>
      </c>
      <c r="B9911" s="4">
        <v>0.2708333333333333</v>
      </c>
      <c r="C9911" s="5" t="s">
        <v>26</v>
      </c>
      <c r="D9911" s="5" t="s">
        <v>1466</v>
      </c>
      <c r="E9911" s="8" t="s">
        <v>135</v>
      </c>
      <c r="F9911" s="5" t="s">
        <v>136</v>
      </c>
      <c r="G9911" s="6" t="str">
        <f>VLOOKUP(E9911,dicionario!$A$1:$C10310,2,0)</f>
        <v>Tridax procumbens</v>
      </c>
      <c r="H9911" s="6" t="str">
        <f>VLOOKUP(E9911,dicionario!$A$1:$C10310,3,0)</f>
        <v>erva-de-touro</v>
      </c>
    </row>
    <row r="9912">
      <c r="A9912" s="3">
        <v>45799.0</v>
      </c>
      <c r="B9912" s="4">
        <v>0.27152777777777776</v>
      </c>
      <c r="C9912" s="5" t="s">
        <v>26</v>
      </c>
      <c r="D9912" s="5" t="s">
        <v>1466</v>
      </c>
      <c r="E9912" s="20" t="s">
        <v>676</v>
      </c>
      <c r="F9912" s="5" t="s">
        <v>677</v>
      </c>
      <c r="G9912" s="6" t="str">
        <f>VLOOKUP(E9912,dicionario!$A$1:$C10311,2,0)</f>
        <v>Zornia latifolia</v>
      </c>
      <c r="H9912" s="6" t="str">
        <f>VLOOKUP(E9912,dicionario!$A$1:$C10311,3,0)</f>
        <v>arrozinho-do-campo</v>
      </c>
    </row>
    <row r="9913">
      <c r="A9913" s="3">
        <v>45799.0</v>
      </c>
      <c r="B9913" s="4">
        <v>0.27152777777777776</v>
      </c>
      <c r="C9913" s="5" t="s">
        <v>26</v>
      </c>
      <c r="D9913" s="5" t="s">
        <v>1466</v>
      </c>
      <c r="E9913" s="8" t="s">
        <v>41</v>
      </c>
      <c r="F9913" s="5" t="s">
        <v>45</v>
      </c>
      <c r="G9913" s="6" t="str">
        <f>VLOOKUP(E9913,dicionario!$A$1:$C10312,2,0)</f>
        <v>Mimosa pudica</v>
      </c>
      <c r="H9913" s="6" t="str">
        <f>VLOOKUP(E9913,dicionario!$A$1:$C10312,3,0)</f>
        <v>dormideira</v>
      </c>
    </row>
    <row r="9914">
      <c r="A9914" s="3">
        <v>45799.0</v>
      </c>
      <c r="B9914" s="4">
        <v>0.27152777777777776</v>
      </c>
      <c r="C9914" s="5" t="s">
        <v>26</v>
      </c>
      <c r="D9914" s="5" t="s">
        <v>1466</v>
      </c>
      <c r="E9914" s="8" t="s">
        <v>334</v>
      </c>
      <c r="F9914" s="5" t="s">
        <v>335</v>
      </c>
      <c r="G9914" s="6" t="str">
        <f>VLOOKUP(E9914,dicionario!$A$1:$C10313,2,0)</f>
        <v>Eupsittula aurea</v>
      </c>
      <c r="H9914" s="6" t="str">
        <f>VLOOKUP(E9914,dicionario!$A$1:$C10313,3,0)</f>
        <v>periquito-rei</v>
      </c>
    </row>
    <row r="9915">
      <c r="A9915" s="3">
        <v>45799.0</v>
      </c>
      <c r="B9915" s="4">
        <v>0.27152777777777776</v>
      </c>
      <c r="C9915" s="5" t="s">
        <v>26</v>
      </c>
      <c r="D9915" s="5" t="s">
        <v>1466</v>
      </c>
      <c r="E9915" s="8" t="s">
        <v>51</v>
      </c>
      <c r="F9915" s="5" t="s">
        <v>77</v>
      </c>
      <c r="G9915" s="6" t="str">
        <f>VLOOKUP(E9915,dicionario!$A$1:$C10314,2,0)</f>
        <v>Solenopsis</v>
      </c>
      <c r="H9915" s="6" t="str">
        <f>VLOOKUP(E9915,dicionario!$A$1:$C10314,3,0)</f>
        <v>formiga-quente; formiga-lava-pés; formiga-de-fogo</v>
      </c>
    </row>
    <row r="9916">
      <c r="A9916" s="3">
        <v>45799.0</v>
      </c>
      <c r="B9916" s="4">
        <v>0.2722222222222222</v>
      </c>
      <c r="C9916" s="5" t="s">
        <v>26</v>
      </c>
      <c r="D9916" s="5" t="s">
        <v>1466</v>
      </c>
      <c r="E9916" s="8" t="s">
        <v>498</v>
      </c>
      <c r="F9916" s="5" t="s">
        <v>499</v>
      </c>
      <c r="G9916" s="6" t="str">
        <f>VLOOKUP(E9916,dicionario!$A$1:$C10315,2,0)</f>
        <v>Brachiaria decumbens</v>
      </c>
      <c r="H9916" s="6" t="str">
        <f>VLOOKUP(E9916,dicionario!$A$1:$C10315,3,0)</f>
        <v>capim-braquiária</v>
      </c>
    </row>
    <row r="9917">
      <c r="A9917" s="3">
        <v>45799.0</v>
      </c>
      <c r="B9917" s="4">
        <v>0.27291666666666664</v>
      </c>
      <c r="C9917" s="5" t="s">
        <v>26</v>
      </c>
      <c r="D9917" s="5" t="s">
        <v>1466</v>
      </c>
      <c r="E9917" s="8" t="s">
        <v>105</v>
      </c>
      <c r="F9917" s="5" t="s">
        <v>106</v>
      </c>
      <c r="G9917" s="6" t="str">
        <f>VLOOKUP(E9917,dicionario!$A$1:$C10316,2,0)</f>
        <v>Progne tapera</v>
      </c>
      <c r="H9917" s="6" t="str">
        <f>VLOOKUP(E9917,dicionario!$A$1:$C10316,3,0)</f>
        <v>andorinha-do-campo</v>
      </c>
    </row>
    <row r="9918">
      <c r="A9918" s="3">
        <v>45799.0</v>
      </c>
      <c r="B9918" s="4">
        <v>0.27291666666666664</v>
      </c>
      <c r="C9918" s="5" t="s">
        <v>26</v>
      </c>
      <c r="D9918" s="5" t="s">
        <v>1466</v>
      </c>
      <c r="E9918" s="8" t="s">
        <v>113</v>
      </c>
      <c r="F9918" s="5" t="s">
        <v>114</v>
      </c>
      <c r="G9918" s="6" t="str">
        <f>VLOOKUP(E9918,dicionario!$A$1:$C10317,2,0)</f>
        <v>Columbina talpacoti</v>
      </c>
      <c r="H9918" s="6" t="str">
        <f>VLOOKUP(E9918,dicionario!$A$1:$C10317,3,0)</f>
        <v>rolinha-roxa</v>
      </c>
    </row>
    <row r="9919">
      <c r="A9919" s="3">
        <v>45799.0</v>
      </c>
      <c r="B9919" s="4">
        <v>0.27291666666666664</v>
      </c>
      <c r="C9919" s="5" t="s">
        <v>26</v>
      </c>
      <c r="D9919" s="5" t="s">
        <v>1466</v>
      </c>
      <c r="E9919" s="8" t="s">
        <v>253</v>
      </c>
      <c r="F9919" s="5" t="s">
        <v>254</v>
      </c>
      <c r="G9919" s="6" t="str">
        <f>VLOOKUP(E9919,dicionario!$A$1:$C10318,2,0)</f>
        <v>Panicum maximum</v>
      </c>
      <c r="H9919" s="6" t="str">
        <f>VLOOKUP(E9919,dicionario!$A$1:$C10318,3,0)</f>
        <v>capim-colonião</v>
      </c>
    </row>
    <row r="9920">
      <c r="A9920" s="3">
        <v>45799.0</v>
      </c>
      <c r="B9920" s="4">
        <v>0.27361111111111114</v>
      </c>
      <c r="C9920" s="5" t="s">
        <v>26</v>
      </c>
      <c r="D9920" s="5" t="s">
        <v>1466</v>
      </c>
      <c r="E9920" s="8" t="s">
        <v>20</v>
      </c>
      <c r="F9920" s="5" t="s">
        <v>21</v>
      </c>
      <c r="G9920" s="6" t="str">
        <f>VLOOKUP(E9920,dicionario!$A$1:$C10319,2,0)</f>
        <v>Sicalis flaveola</v>
      </c>
      <c r="H9920" s="6" t="str">
        <f>VLOOKUP(E9920,dicionario!$A$1:$C10319,3,0)</f>
        <v>canário-da-terra</v>
      </c>
    </row>
    <row r="9921">
      <c r="A9921" s="3">
        <v>45799.0</v>
      </c>
      <c r="B9921" s="4">
        <v>0.27361111111111114</v>
      </c>
      <c r="C9921" s="5" t="s">
        <v>26</v>
      </c>
      <c r="D9921" s="5" t="s">
        <v>1466</v>
      </c>
      <c r="E9921" s="8" t="s">
        <v>1316</v>
      </c>
      <c r="F9921" s="5" t="s">
        <v>15</v>
      </c>
      <c r="G9921" s="6" t="str">
        <f>VLOOKUP(E9921,dicionario!$A$1:$C10320,2,0)</f>
        <v>#N/A</v>
      </c>
      <c r="H9921" s="6" t="str">
        <f>VLOOKUP(E9921,dicionario!$A$1:$C10320,3,0)</f>
        <v>#N/A</v>
      </c>
    </row>
    <row r="9922">
      <c r="A9922" s="3">
        <v>45799.0</v>
      </c>
      <c r="B9922" s="4">
        <v>0.27361111111111114</v>
      </c>
      <c r="C9922" s="5" t="s">
        <v>26</v>
      </c>
      <c r="D9922" s="5" t="s">
        <v>1466</v>
      </c>
      <c r="E9922" s="8" t="s">
        <v>227</v>
      </c>
      <c r="F9922" s="5" t="s">
        <v>228</v>
      </c>
      <c r="G9922" s="6" t="str">
        <f>VLOOKUP(E9922,dicionario!$A$1:$C10321,2,0)</f>
        <v>Indigofera hirsuta</v>
      </c>
      <c r="H9922" s="6" t="str">
        <f>VLOOKUP(E9922,dicionario!$A$1:$C10321,3,0)</f>
        <v>anileira</v>
      </c>
    </row>
    <row r="9923">
      <c r="A9923" s="3">
        <v>45799.0</v>
      </c>
      <c r="B9923" s="4">
        <v>0.2743055555555556</v>
      </c>
      <c r="C9923" s="5" t="s">
        <v>26</v>
      </c>
      <c r="D9923" s="5" t="s">
        <v>1466</v>
      </c>
      <c r="E9923" s="6" t="s">
        <v>251</v>
      </c>
      <c r="F9923" s="5" t="s">
        <v>252</v>
      </c>
      <c r="G9923" s="6" t="str">
        <f>VLOOKUP(E9923,dicionario!$A$1:$C10322,2,0)</f>
        <v>Struthanthus flexicaulis</v>
      </c>
      <c r="H9923" s="6" t="str">
        <f>VLOOKUP(E9923,dicionario!$A$1:$C10322,3,0)</f>
        <v>erva-de-passarinho</v>
      </c>
    </row>
    <row r="9924">
      <c r="A9924" s="3">
        <v>45799.0</v>
      </c>
      <c r="B9924" s="4">
        <v>0.2743055555555556</v>
      </c>
      <c r="C9924" s="5" t="s">
        <v>26</v>
      </c>
      <c r="D9924" s="5" t="s">
        <v>1466</v>
      </c>
      <c r="E9924" s="8" t="s">
        <v>719</v>
      </c>
      <c r="F9924" s="5" t="s">
        <v>911</v>
      </c>
      <c r="G9924" s="6" t="str">
        <f>VLOOKUP(E9924,dicionario!$A$1:$C10323,2,0)</f>
        <v>Dirinaria</v>
      </c>
      <c r="H9924" s="6" t="str">
        <f>VLOOKUP(E9924,dicionario!$A$1:$C10323,3,0)</f>
        <v>líquen-crostoso</v>
      </c>
    </row>
    <row r="9925">
      <c r="A9925" s="3">
        <v>45799.0</v>
      </c>
      <c r="B9925" s="4">
        <v>0.275</v>
      </c>
      <c r="C9925" s="5" t="s">
        <v>26</v>
      </c>
      <c r="D9925" s="5" t="s">
        <v>1466</v>
      </c>
      <c r="E9925" s="30" t="s">
        <v>1481</v>
      </c>
      <c r="F9925" s="7"/>
      <c r="G9925" s="6" t="str">
        <f>VLOOKUP(E9925,dicionario!$A$1:$C10324,2,0)</f>
        <v>Coprinellus</v>
      </c>
      <c r="H9925" s="6" t="str">
        <f>VLOOKUP(E9925,dicionario!$A$1:$C10324,3,0)</f>
        <v/>
      </c>
    </row>
    <row r="9926">
      <c r="A9926" s="3">
        <v>45799.0</v>
      </c>
      <c r="B9926" s="4">
        <v>0.2763888888888889</v>
      </c>
      <c r="C9926" s="5" t="s">
        <v>33</v>
      </c>
      <c r="D9926" s="5" t="s">
        <v>1466</v>
      </c>
      <c r="E9926" s="8" t="s">
        <v>849</v>
      </c>
      <c r="F9926" s="5" t="s">
        <v>1457</v>
      </c>
      <c r="G9926" s="6" t="str">
        <f>VLOOKUP(E9926,dicionario!$A$1:$C10325,2,0)</f>
        <v>#N/A</v>
      </c>
      <c r="H9926" s="6" t="str">
        <f>VLOOKUP(E9926,dicionario!$A$1:$C10325,3,0)</f>
        <v>#N/A</v>
      </c>
    </row>
    <row r="9927">
      <c r="A9927" s="3">
        <v>45799.0</v>
      </c>
      <c r="B9927" s="4">
        <v>0.2763888888888889</v>
      </c>
      <c r="C9927" s="5" t="s">
        <v>33</v>
      </c>
      <c r="D9927" s="5" t="s">
        <v>1466</v>
      </c>
      <c r="E9927" s="8" t="s">
        <v>286</v>
      </c>
      <c r="F9927" s="5" t="s">
        <v>287</v>
      </c>
      <c r="G9927" s="6" t="str">
        <f>VLOOKUP(E9927,dicionario!$A$1:$C10326,2,0)</f>
        <v>Setaria parviflora</v>
      </c>
      <c r="H9927" s="6" t="str">
        <f>VLOOKUP(E9927,dicionario!$A$1:$C10326,3,0)</f>
        <v>capim-rabo-de-raposa</v>
      </c>
    </row>
    <row r="9928">
      <c r="A9928" s="3">
        <v>45799.0</v>
      </c>
      <c r="B9928" s="4">
        <v>0.2763888888888889</v>
      </c>
      <c r="C9928" s="5" t="s">
        <v>33</v>
      </c>
      <c r="D9928" s="5" t="s">
        <v>1466</v>
      </c>
      <c r="E9928" s="8" t="s">
        <v>1367</v>
      </c>
      <c r="F9928" s="5" t="s">
        <v>387</v>
      </c>
      <c r="G9928" s="6" t="str">
        <f>VLOOKUP(E9928,dicionario!$A$1:$C10327,2,0)</f>
        <v>#N/A</v>
      </c>
      <c r="H9928" s="6" t="str">
        <f>VLOOKUP(E9928,dicionario!$A$1:$C10327,3,0)</f>
        <v>#N/A</v>
      </c>
    </row>
    <row r="9929">
      <c r="A9929" s="3">
        <v>45799.0</v>
      </c>
      <c r="B9929" s="4">
        <v>0.27708333333333335</v>
      </c>
      <c r="C9929" s="5" t="s">
        <v>33</v>
      </c>
      <c r="D9929" s="5" t="s">
        <v>1466</v>
      </c>
      <c r="E9929" s="8" t="s">
        <v>109</v>
      </c>
      <c r="F9929" s="5" t="s">
        <v>110</v>
      </c>
      <c r="G9929" s="6" t="str">
        <f>VLOOKUP(E9929,dicionario!$A$1:$C10328,2,0)</f>
        <v>Tillandsia stricta</v>
      </c>
      <c r="H9929" s="6" t="str">
        <f>VLOOKUP(E9929,dicionario!$A$1:$C10328,3,0)</f>
        <v>cravo-do-mato</v>
      </c>
    </row>
    <row r="9930">
      <c r="A9930" s="3">
        <v>45799.0</v>
      </c>
      <c r="B9930" s="4">
        <v>0.2777777777777778</v>
      </c>
      <c r="C9930" s="5" t="s">
        <v>33</v>
      </c>
      <c r="D9930" s="5" t="s">
        <v>1466</v>
      </c>
      <c r="E9930" s="8" t="s">
        <v>271</v>
      </c>
      <c r="F9930" s="5" t="s">
        <v>1169</v>
      </c>
      <c r="G9930" s="6" t="str">
        <f>VLOOKUP(E9930,dicionario!$A$1:$C10329,2,0)</f>
        <v>Cyanthillium cinereum</v>
      </c>
      <c r="H9930" s="6" t="str">
        <f>VLOOKUP(E9930,dicionario!$A$1:$C10329,3,0)</f>
        <v>emília</v>
      </c>
    </row>
    <row r="9931">
      <c r="A9931" s="3">
        <v>45799.0</v>
      </c>
      <c r="B9931" s="4">
        <v>0.2777777777777778</v>
      </c>
      <c r="C9931" s="5" t="s">
        <v>33</v>
      </c>
      <c r="D9931" s="5" t="s">
        <v>1466</v>
      </c>
      <c r="E9931" s="6" t="s">
        <v>86</v>
      </c>
      <c r="F9931" s="5" t="s">
        <v>502</v>
      </c>
      <c r="G9931" s="6" t="str">
        <f>VLOOKUP(E9931,dicionario!$A$1:$C10330,2,0)</f>
        <v>Coereba flaveola</v>
      </c>
      <c r="H9931" s="6" t="str">
        <f>VLOOKUP(E9931,dicionario!$A$1:$C10330,3,0)</f>
        <v>cambacica</v>
      </c>
    </row>
    <row r="9932">
      <c r="A9932" s="3">
        <v>45799.0</v>
      </c>
      <c r="B9932" s="4">
        <v>0.2777777777777778</v>
      </c>
      <c r="C9932" s="5" t="s">
        <v>33</v>
      </c>
      <c r="D9932" s="5" t="s">
        <v>1466</v>
      </c>
      <c r="E9932" s="8" t="s">
        <v>1482</v>
      </c>
      <c r="F9932" s="5" t="s">
        <v>89</v>
      </c>
      <c r="G9932" s="6" t="str">
        <f>VLOOKUP(E9932,dicionario!$A$1:$C10331,2,0)</f>
        <v>#N/A</v>
      </c>
      <c r="H9932" s="6" t="str">
        <f>VLOOKUP(E9932,dicionario!$A$1:$C10331,3,0)</f>
        <v>#N/A</v>
      </c>
    </row>
    <row r="9933">
      <c r="A9933" s="3">
        <v>45799.0</v>
      </c>
      <c r="B9933" s="4">
        <v>0.27847222222222223</v>
      </c>
      <c r="C9933" s="5" t="s">
        <v>33</v>
      </c>
      <c r="D9933" s="5" t="s">
        <v>1466</v>
      </c>
      <c r="E9933" s="8" t="s">
        <v>1084</v>
      </c>
      <c r="F9933" s="5" t="s">
        <v>224</v>
      </c>
      <c r="G9933" s="6" t="str">
        <f>VLOOKUP(E9933,dicionario!$A$1:$C10332,2,0)</f>
        <v>#N/A</v>
      </c>
      <c r="H9933" s="6" t="str">
        <f>VLOOKUP(E9933,dicionario!$A$1:$C10332,3,0)</f>
        <v>#N/A</v>
      </c>
    </row>
    <row r="9934">
      <c r="A9934" s="3">
        <v>45799.0</v>
      </c>
      <c r="B9934" s="4">
        <v>0.27847222222222223</v>
      </c>
      <c r="C9934" s="5" t="s">
        <v>33</v>
      </c>
      <c r="D9934" s="5" t="s">
        <v>1466</v>
      </c>
      <c r="E9934" s="8" t="s">
        <v>122</v>
      </c>
      <c r="F9934" s="5" t="s">
        <v>123</v>
      </c>
      <c r="G9934" s="6" t="str">
        <f>VLOOKUP(E9934,dicionario!$A$1:$C10333,2,0)</f>
        <v>Todirostrum cinereum</v>
      </c>
      <c r="H9934" s="6" t="str">
        <f>VLOOKUP(E9934,dicionario!$A$1:$C10333,3,0)</f>
        <v>ferreirinho-relógio</v>
      </c>
    </row>
    <row r="9935">
      <c r="A9935" s="3">
        <v>45799.0</v>
      </c>
      <c r="B9935" s="4">
        <v>0.27847222222222223</v>
      </c>
      <c r="C9935" s="5" t="s">
        <v>33</v>
      </c>
      <c r="D9935" s="5" t="s">
        <v>1466</v>
      </c>
      <c r="E9935" s="8" t="s">
        <v>1285</v>
      </c>
      <c r="F9935" s="5" t="s">
        <v>1128</v>
      </c>
      <c r="G9935" s="6" t="str">
        <f>VLOOKUP(E9935,dicionario!$A$1:$C10334,2,0)</f>
        <v>#N/A</v>
      </c>
      <c r="H9935" s="6" t="str">
        <f>VLOOKUP(E9935,dicionario!$A$1:$C10334,3,0)</f>
        <v>#N/A</v>
      </c>
    </row>
    <row r="9936">
      <c r="A9936" s="3">
        <v>45799.0</v>
      </c>
      <c r="B9936" s="4">
        <v>0.2791666666666667</v>
      </c>
      <c r="C9936" s="5" t="s">
        <v>33</v>
      </c>
      <c r="D9936" s="5" t="s">
        <v>1466</v>
      </c>
      <c r="E9936" s="8" t="s">
        <v>191</v>
      </c>
      <c r="F9936" s="5" t="s">
        <v>192</v>
      </c>
      <c r="G9936" s="6" t="str">
        <f>VLOOKUP(E9936,dicionario!$A$1:$C10335,2,0)</f>
        <v>Patagioenas picazuro</v>
      </c>
      <c r="H9936" s="6" t="str">
        <f>VLOOKUP(E9936,dicionario!$A$1:$C10335,3,0)</f>
        <v>asa-branca; pomba-asa-branca; pocaçu</v>
      </c>
    </row>
    <row r="9937">
      <c r="A9937" s="3">
        <v>45799.0</v>
      </c>
      <c r="B9937" s="4">
        <v>0.2791666666666667</v>
      </c>
      <c r="C9937" s="5" t="s">
        <v>33</v>
      </c>
      <c r="D9937" s="5" t="s">
        <v>1466</v>
      </c>
      <c r="E9937" s="8" t="s">
        <v>193</v>
      </c>
      <c r="F9937" s="5" t="s">
        <v>194</v>
      </c>
      <c r="G9937" s="6" t="str">
        <f>VLOOKUP(E9937,dicionario!$A$1:$C10336,2,0)</f>
        <v>Conirostrum speciosum</v>
      </c>
      <c r="H9937" s="6" t="str">
        <f>VLOOKUP(E9937,dicionario!$A$1:$C10336,3,0)</f>
        <v>figuinha-de-rabo-castanho</v>
      </c>
    </row>
    <row r="9938">
      <c r="A9938" s="3">
        <v>45799.0</v>
      </c>
      <c r="B9938" s="4">
        <v>0.2798611111111111</v>
      </c>
      <c r="C9938" s="5" t="s">
        <v>33</v>
      </c>
      <c r="D9938" s="5" t="s">
        <v>1466</v>
      </c>
      <c r="E9938" s="8" t="s">
        <v>65</v>
      </c>
      <c r="F9938" s="5" t="s">
        <v>66</v>
      </c>
      <c r="G9938" s="6" t="str">
        <f>VLOOKUP(E9938,dicionario!$A$1:$C10337,2,0)</f>
        <v>Pitangus sulphutarus</v>
      </c>
      <c r="H9938" s="6" t="str">
        <f>VLOOKUP(E9938,dicionario!$A$1:$C10337,3,0)</f>
        <v>bem-te-vi</v>
      </c>
    </row>
    <row r="9939">
      <c r="A9939" s="3">
        <v>45799.0</v>
      </c>
      <c r="B9939" s="4">
        <v>0.2798611111111111</v>
      </c>
      <c r="C9939" s="5" t="s">
        <v>33</v>
      </c>
      <c r="D9939" s="5" t="s">
        <v>1466</v>
      </c>
      <c r="E9939" s="8" t="s">
        <v>72</v>
      </c>
      <c r="F9939" s="5" t="s">
        <v>73</v>
      </c>
      <c r="G9939" s="6" t="str">
        <f>VLOOKUP(E9939,dicionario!$A$1:$C10338,2,0)</f>
        <v>Thraupis palmarum</v>
      </c>
      <c r="H9939" s="6" t="str">
        <f>VLOOKUP(E9939,dicionario!$A$1:$C10338,3,0)</f>
        <v>sanhaço-do-coqueiro</v>
      </c>
    </row>
    <row r="9940">
      <c r="A9940" s="3">
        <v>45799.0</v>
      </c>
      <c r="B9940" s="4">
        <v>0.28194444444444444</v>
      </c>
      <c r="C9940" s="5" t="s">
        <v>40</v>
      </c>
      <c r="D9940" s="5" t="s">
        <v>1466</v>
      </c>
      <c r="E9940" s="8" t="s">
        <v>1316</v>
      </c>
      <c r="F9940" s="5" t="s">
        <v>15</v>
      </c>
      <c r="G9940" s="6" t="str">
        <f>VLOOKUP(E9940,dicionario!$A$1:$C10339,2,0)</f>
        <v>#N/A</v>
      </c>
      <c r="H9940" s="6" t="str">
        <f>VLOOKUP(E9940,dicionario!$A$1:$C10339,3,0)</f>
        <v>#N/A</v>
      </c>
    </row>
    <row r="9941">
      <c r="A9941" s="3">
        <v>45799.0</v>
      </c>
      <c r="B9941" s="4">
        <v>0.2826388888888889</v>
      </c>
      <c r="C9941" s="5" t="s">
        <v>40</v>
      </c>
      <c r="D9941" s="5" t="s">
        <v>1466</v>
      </c>
      <c r="E9941" s="8" t="s">
        <v>239</v>
      </c>
      <c r="F9941" s="5" t="s">
        <v>240</v>
      </c>
      <c r="G9941" s="6" t="str">
        <f>VLOOKUP(E9941,dicionario!$A$1:$C10340,2,0)</f>
        <v>Gomphrena celosioides</v>
      </c>
      <c r="H9941" s="6" t="str">
        <f>VLOOKUP(E9941,dicionario!$A$1:$C10340,3,0)</f>
        <v>perpétua-branca</v>
      </c>
    </row>
    <row r="9942">
      <c r="A9942" s="3">
        <v>45799.0</v>
      </c>
      <c r="B9942" s="4">
        <v>0.2826388888888889</v>
      </c>
      <c r="C9942" s="5" t="s">
        <v>40</v>
      </c>
      <c r="D9942" s="5" t="s">
        <v>1466</v>
      </c>
      <c r="E9942" s="8" t="s">
        <v>144</v>
      </c>
      <c r="F9942" s="5" t="s">
        <v>145</v>
      </c>
      <c r="G9942" s="6" t="str">
        <f>VLOOKUP(E9942,dicionario!$A$1:$C10341,2,0)</f>
        <v>Gomphrena globosa</v>
      </c>
      <c r="H9942" s="6" t="str">
        <f>VLOOKUP(E9942,dicionario!$A$1:$C10341,3,0)</f>
        <v>perpétua-rosa</v>
      </c>
    </row>
    <row r="9943">
      <c r="A9943" s="3">
        <v>45799.0</v>
      </c>
      <c r="B9943" s="4">
        <v>0.2826388888888889</v>
      </c>
      <c r="C9943" s="5" t="s">
        <v>40</v>
      </c>
      <c r="D9943" s="5" t="s">
        <v>1466</v>
      </c>
      <c r="E9943" s="8" t="s">
        <v>1310</v>
      </c>
      <c r="F9943" s="5" t="s">
        <v>521</v>
      </c>
      <c r="G9943" s="6" t="str">
        <f>VLOOKUP(E9943,dicionario!$A$1:$C10342,2,0)</f>
        <v>#N/A</v>
      </c>
      <c r="H9943" s="6" t="str">
        <f>VLOOKUP(E9943,dicionario!$A$1:$C10342,3,0)</f>
        <v>#N/A</v>
      </c>
    </row>
    <row r="9944">
      <c r="A9944" s="3">
        <v>45799.0</v>
      </c>
      <c r="B9944" s="4">
        <v>0.2826388888888889</v>
      </c>
      <c r="C9944" s="5" t="s">
        <v>40</v>
      </c>
      <c r="D9944" s="5" t="s">
        <v>1466</v>
      </c>
      <c r="E9944" s="8" t="s">
        <v>227</v>
      </c>
      <c r="F9944" s="5" t="s">
        <v>228</v>
      </c>
      <c r="G9944" s="6" t="str">
        <f>VLOOKUP(E9944,dicionario!$A$1:$C10343,2,0)</f>
        <v>Indigofera hirsuta</v>
      </c>
      <c r="H9944" s="6" t="str">
        <f>VLOOKUP(E9944,dicionario!$A$1:$C10343,3,0)</f>
        <v>anileira</v>
      </c>
    </row>
    <row r="9945">
      <c r="A9945" s="3">
        <v>45799.0</v>
      </c>
      <c r="B9945" s="4">
        <v>0.2833333333333333</v>
      </c>
      <c r="C9945" s="5" t="s">
        <v>40</v>
      </c>
      <c r="D9945" s="5" t="s">
        <v>1466</v>
      </c>
      <c r="E9945" s="8" t="s">
        <v>146</v>
      </c>
      <c r="F9945" s="5" t="s">
        <v>147</v>
      </c>
      <c r="G9945" s="6" t="str">
        <f>VLOOKUP(E9945,dicionario!$A$1:$C10344,2,0)</f>
        <v>Euphorbia hirta</v>
      </c>
      <c r="H9945" s="6" t="str">
        <f>VLOOKUP(E9945,dicionario!$A$1:$C10344,3,0)</f>
        <v>erva-de-santa-luzia</v>
      </c>
    </row>
    <row r="9946">
      <c r="A9946" s="3">
        <v>45799.0</v>
      </c>
      <c r="B9946" s="4">
        <v>0.2833333333333333</v>
      </c>
      <c r="C9946" s="5" t="s">
        <v>40</v>
      </c>
      <c r="D9946" s="5" t="s">
        <v>1466</v>
      </c>
      <c r="E9946" s="6" t="s">
        <v>613</v>
      </c>
      <c r="F9946" s="5" t="s">
        <v>614</v>
      </c>
      <c r="G9946" s="6" t="str">
        <f>VLOOKUP(E9946,dicionario!$A$1:$C10345,2,0)</f>
        <v>Euphorbia hyssopifolia</v>
      </c>
      <c r="H9946" s="6" t="str">
        <f>VLOOKUP(E9946,dicionario!$A$1:$C10345,3,0)</f>
        <v>maria-leite</v>
      </c>
    </row>
    <row r="9947">
      <c r="A9947" s="3">
        <v>45799.0</v>
      </c>
      <c r="B9947" s="4">
        <v>0.2833333333333333</v>
      </c>
      <c r="C9947" s="5" t="s">
        <v>40</v>
      </c>
      <c r="D9947" s="5" t="s">
        <v>1466</v>
      </c>
      <c r="E9947" s="8" t="s">
        <v>1328</v>
      </c>
      <c r="F9947" s="5" t="s">
        <v>356</v>
      </c>
      <c r="G9947" s="6" t="str">
        <f>VLOOKUP(E9947,dicionario!$A$1:$C10346,2,0)</f>
        <v>#N/A</v>
      </c>
      <c r="H9947" s="6" t="str">
        <f>VLOOKUP(E9947,dicionario!$A$1:$C10346,3,0)</f>
        <v>#N/A</v>
      </c>
    </row>
    <row r="9948">
      <c r="A9948" s="3">
        <v>45799.0</v>
      </c>
      <c r="B9948" s="4">
        <v>0.2833333333333333</v>
      </c>
      <c r="C9948" s="5" t="s">
        <v>40</v>
      </c>
      <c r="D9948" s="5" t="s">
        <v>1466</v>
      </c>
      <c r="E9948" s="8" t="s">
        <v>253</v>
      </c>
      <c r="F9948" s="5" t="s">
        <v>254</v>
      </c>
      <c r="G9948" s="6" t="str">
        <f>VLOOKUP(E9948,dicionario!$A$1:$C10347,2,0)</f>
        <v>Panicum maximum</v>
      </c>
      <c r="H9948" s="6" t="str">
        <f>VLOOKUP(E9948,dicionario!$A$1:$C10347,3,0)</f>
        <v>capim-colonião</v>
      </c>
    </row>
    <row r="9949">
      <c r="A9949" s="3">
        <v>45799.0</v>
      </c>
      <c r="B9949" s="4">
        <v>0.2833333333333333</v>
      </c>
      <c r="C9949" s="5" t="s">
        <v>40</v>
      </c>
      <c r="D9949" s="5" t="s">
        <v>1466</v>
      </c>
      <c r="E9949" s="8" t="s">
        <v>736</v>
      </c>
      <c r="F9949" s="5" t="s">
        <v>737</v>
      </c>
      <c r="G9949" s="6" t="str">
        <f>VLOOKUP(E9949,dicionario!$A$1:$C10348,2,0)</f>
        <v>Chloris virgata</v>
      </c>
      <c r="H9949" s="6" t="str">
        <f>VLOOKUP(E9949,dicionario!$A$1:$C10348,3,0)</f>
        <v>capim-pavão</v>
      </c>
    </row>
    <row r="9950">
      <c r="A9950" s="3">
        <v>45799.0</v>
      </c>
      <c r="B9950" s="4">
        <v>0.28402777777777777</v>
      </c>
      <c r="C9950" s="5" t="s">
        <v>40</v>
      </c>
      <c r="D9950" s="5" t="s">
        <v>1466</v>
      </c>
      <c r="E9950" s="8" t="s">
        <v>1280</v>
      </c>
      <c r="F9950" s="5" t="s">
        <v>1156</v>
      </c>
      <c r="G9950" s="6" t="str">
        <f>VLOOKUP(E9950,dicionario!$A$1:$C10349,2,0)</f>
        <v>Paspalum notatum</v>
      </c>
      <c r="H9950" s="6" t="str">
        <f>VLOOKUP(E9950,dicionario!$A$1:$C10349,3,0)</f>
        <v>capim-forquilha</v>
      </c>
    </row>
    <row r="9951">
      <c r="A9951" s="3">
        <v>45799.0</v>
      </c>
      <c r="B9951" s="4">
        <v>0.28402777777777777</v>
      </c>
      <c r="C9951" s="5" t="s">
        <v>40</v>
      </c>
      <c r="D9951" s="5" t="s">
        <v>1466</v>
      </c>
      <c r="E9951" s="8" t="s">
        <v>141</v>
      </c>
      <c r="F9951" s="5" t="s">
        <v>142</v>
      </c>
      <c r="G9951" s="6" t="str">
        <f>VLOOKUP(E9951,dicionario!$A$1:$C10350,2,0)</f>
        <v>Ruellia blechum</v>
      </c>
      <c r="H9951" s="6" t="str">
        <f>VLOOKUP(E9951,dicionario!$A$1:$C10350,3,0)</f>
        <v>camarão-verde</v>
      </c>
    </row>
    <row r="9952">
      <c r="A9952" s="3">
        <v>45799.0</v>
      </c>
      <c r="B9952" s="4">
        <v>0.28402777777777777</v>
      </c>
      <c r="C9952" s="5" t="s">
        <v>40</v>
      </c>
      <c r="D9952" s="5" t="s">
        <v>1466</v>
      </c>
      <c r="E9952" s="8" t="s">
        <v>298</v>
      </c>
      <c r="F9952" s="7"/>
      <c r="G9952" s="6" t="str">
        <f>VLOOKUP(E9952,dicionario!$A$1:$C10351,2,0)</f>
        <v>Alysicarpus vaginalis</v>
      </c>
      <c r="H9952" s="6" t="str">
        <f>VLOOKUP(E9952,dicionario!$A$1:$C10351,3,0)</f>
        <v/>
      </c>
    </row>
    <row r="9953">
      <c r="A9953" s="3">
        <v>45799.0</v>
      </c>
      <c r="B9953" s="4">
        <v>0.28402777777777777</v>
      </c>
      <c r="C9953" s="5" t="s">
        <v>40</v>
      </c>
      <c r="D9953" s="5" t="s">
        <v>1466</v>
      </c>
      <c r="E9953" s="8" t="s">
        <v>53</v>
      </c>
      <c r="F9953" s="5" t="s">
        <v>54</v>
      </c>
      <c r="G9953" s="6" t="str">
        <f>VLOOKUP(E9953,dicionario!$A$1:$C10352,2,0)</f>
        <v>Turnera subulata</v>
      </c>
      <c r="H9953" s="6" t="str">
        <f>VLOOKUP(E9953,dicionario!$A$1:$C10352,3,0)</f>
        <v>xanana</v>
      </c>
    </row>
    <row r="9954">
      <c r="A9954" s="3">
        <v>45799.0</v>
      </c>
      <c r="B9954" s="4">
        <v>0.2847222222222222</v>
      </c>
      <c r="C9954" s="5" t="s">
        <v>40</v>
      </c>
      <c r="D9954" s="5" t="s">
        <v>1466</v>
      </c>
      <c r="E9954" s="8" t="s">
        <v>296</v>
      </c>
      <c r="F9954" s="5" t="s">
        <v>297</v>
      </c>
      <c r="G9954" s="6" t="str">
        <f>VLOOKUP(E9954,dicionario!$A$1:$C10353,2,0)</f>
        <v>Richardia brasiliensis</v>
      </c>
      <c r="H9954" s="6" t="str">
        <f>VLOOKUP(E9954,dicionario!$A$1:$C10353,3,0)</f>
        <v>poaia-branca</v>
      </c>
    </row>
    <row r="9955">
      <c r="A9955" s="3">
        <v>45799.0</v>
      </c>
      <c r="B9955" s="4">
        <v>0.2847222222222222</v>
      </c>
      <c r="C9955" s="5" t="s">
        <v>40</v>
      </c>
      <c r="D9955" s="5" t="s">
        <v>1466</v>
      </c>
      <c r="E9955" s="8" t="s">
        <v>150</v>
      </c>
      <c r="F9955" s="5" t="s">
        <v>151</v>
      </c>
      <c r="G9955" s="6" t="str">
        <f>VLOOKUP(E9955,dicionario!$A$1:$C10354,2,0)</f>
        <v>Amaranthus viridis</v>
      </c>
      <c r="H9955" s="6" t="str">
        <f>VLOOKUP(E9955,dicionario!$A$1:$C10354,3,0)</f>
        <v>caruru-de-mancha</v>
      </c>
    </row>
    <row r="9956">
      <c r="A9956" s="3">
        <v>45799.0</v>
      </c>
      <c r="B9956" s="4">
        <v>0.2847222222222222</v>
      </c>
      <c r="C9956" s="5" t="s">
        <v>40</v>
      </c>
      <c r="D9956" s="5" t="s">
        <v>1466</v>
      </c>
      <c r="E9956" s="8" t="s">
        <v>135</v>
      </c>
      <c r="F9956" s="5" t="s">
        <v>136</v>
      </c>
      <c r="G9956" s="6" t="str">
        <f>VLOOKUP(E9956,dicionario!$A$1:$C10355,2,0)</f>
        <v>Tridax procumbens</v>
      </c>
      <c r="H9956" s="6" t="str">
        <f>VLOOKUP(E9956,dicionario!$A$1:$C10355,3,0)</f>
        <v>erva-de-touro</v>
      </c>
    </row>
    <row r="9957">
      <c r="A9957" s="3">
        <v>45799.0</v>
      </c>
      <c r="B9957" s="4">
        <v>0.28541666666666665</v>
      </c>
      <c r="C9957" s="5" t="s">
        <v>40</v>
      </c>
      <c r="D9957" s="5" t="s">
        <v>1466</v>
      </c>
      <c r="E9957" s="30" t="s">
        <v>954</v>
      </c>
      <c r="F9957" s="7"/>
      <c r="G9957" s="6" t="str">
        <f>VLOOKUP(E9957,dicionario!$A$1:$C10356,2,0)</f>
        <v>Euphorbia</v>
      </c>
      <c r="H9957" s="6" t="str">
        <f>VLOOKUP(E9957,dicionario!$A$1:$C10356,3,0)</f>
        <v/>
      </c>
    </row>
    <row r="9958">
      <c r="A9958" s="3">
        <v>45799.0</v>
      </c>
      <c r="B9958" s="4">
        <v>0.28541666666666665</v>
      </c>
      <c r="C9958" s="5" t="s">
        <v>40</v>
      </c>
      <c r="D9958" s="5" t="s">
        <v>1466</v>
      </c>
      <c r="E9958" s="6" t="s">
        <v>399</v>
      </c>
      <c r="F9958" s="5" t="s">
        <v>400</v>
      </c>
      <c r="G9958" s="6" t="str">
        <f>VLOOKUP(E9958,dicionario!$A$1:$C10357,2,0)</f>
        <v>Varronia curassavica</v>
      </c>
      <c r="H9958" s="6" t="str">
        <f>VLOOKUP(E9958,dicionario!$A$1:$C10357,3,0)</f>
        <v>erva-baleeira</v>
      </c>
    </row>
    <row r="9959">
      <c r="A9959" s="3">
        <v>45799.0</v>
      </c>
      <c r="B9959" s="4">
        <v>0.2861111111111111</v>
      </c>
      <c r="C9959" s="5" t="s">
        <v>40</v>
      </c>
      <c r="D9959" s="5" t="s">
        <v>1466</v>
      </c>
      <c r="E9959" s="8" t="s">
        <v>966</v>
      </c>
      <c r="F9959" s="5" t="s">
        <v>967</v>
      </c>
      <c r="G9959" s="6" t="str">
        <f>VLOOKUP(E9959,dicionario!$A$1:$C10358,2,0)</f>
        <v>Portulaca halimoides</v>
      </c>
      <c r="H9959" s="6" t="str">
        <f>VLOOKUP(E9959,dicionario!$A$1:$C10358,3,0)</f>
        <v>beldroega-de-seda</v>
      </c>
    </row>
    <row r="9960">
      <c r="A9960" s="3">
        <v>45799.0</v>
      </c>
      <c r="B9960" s="4">
        <v>0.2861111111111111</v>
      </c>
      <c r="C9960" s="5" t="s">
        <v>40</v>
      </c>
      <c r="D9960" s="5" t="s">
        <v>1466</v>
      </c>
      <c r="E9960" s="8" t="s">
        <v>1386</v>
      </c>
      <c r="F9960" s="5" t="s">
        <v>484</v>
      </c>
      <c r="G9960" s="6" t="str">
        <f>VLOOKUP(E9960,dicionario!$A$1:$C10359,2,0)</f>
        <v>#N/A</v>
      </c>
      <c r="H9960" s="6" t="str">
        <f>VLOOKUP(E9960,dicionario!$A$1:$C10359,3,0)</f>
        <v>#N/A</v>
      </c>
    </row>
    <row r="9961">
      <c r="A9961" s="3">
        <v>45799.0</v>
      </c>
      <c r="B9961" s="4">
        <v>0.2861111111111111</v>
      </c>
      <c r="C9961" s="5" t="s">
        <v>40</v>
      </c>
      <c r="D9961" s="5" t="s">
        <v>1466</v>
      </c>
      <c r="E9961" s="8" t="s">
        <v>1367</v>
      </c>
      <c r="F9961" s="5" t="s">
        <v>387</v>
      </c>
      <c r="G9961" s="6" t="str">
        <f>VLOOKUP(E9961,dicionario!$A$1:$C10360,2,0)</f>
        <v>#N/A</v>
      </c>
      <c r="H9961" s="6" t="str">
        <f>VLOOKUP(E9961,dicionario!$A$1:$C10360,3,0)</f>
        <v>#N/A</v>
      </c>
    </row>
    <row r="9962">
      <c r="A9962" s="3">
        <v>45799.0</v>
      </c>
      <c r="B9962" s="4">
        <v>0.28680555555555554</v>
      </c>
      <c r="C9962" s="5" t="s">
        <v>40</v>
      </c>
      <c r="D9962" s="5" t="s">
        <v>1466</v>
      </c>
      <c r="E9962" s="8" t="s">
        <v>1406</v>
      </c>
      <c r="F9962" s="5" t="s">
        <v>172</v>
      </c>
      <c r="G9962" s="6" t="str">
        <f>VLOOKUP(E9962,dicionario!$A$1:$C10361,2,0)</f>
        <v>#N/A</v>
      </c>
      <c r="H9962" s="6" t="str">
        <f>VLOOKUP(E9962,dicionario!$A$1:$C10361,3,0)</f>
        <v>#N/A</v>
      </c>
    </row>
    <row r="9963">
      <c r="A9963" s="3">
        <v>45799.0</v>
      </c>
      <c r="B9963" s="4">
        <v>0.28680555555555554</v>
      </c>
      <c r="C9963" s="5" t="s">
        <v>40</v>
      </c>
      <c r="D9963" s="5" t="s">
        <v>1466</v>
      </c>
      <c r="E9963" s="8" t="s">
        <v>1367</v>
      </c>
      <c r="F9963" s="5" t="s">
        <v>387</v>
      </c>
      <c r="G9963" s="6" t="str">
        <f>VLOOKUP(E9963,dicionario!$A$1:$C10362,2,0)</f>
        <v>#N/A</v>
      </c>
      <c r="H9963" s="6" t="str">
        <f>VLOOKUP(E9963,dicionario!$A$1:$C10362,3,0)</f>
        <v>#N/A</v>
      </c>
    </row>
    <row r="9964">
      <c r="A9964" s="3">
        <v>45799.0</v>
      </c>
      <c r="B9964" s="4">
        <v>0.28680555555555554</v>
      </c>
      <c r="C9964" s="5" t="s">
        <v>40</v>
      </c>
      <c r="D9964" s="5" t="s">
        <v>1466</v>
      </c>
      <c r="E9964" s="8" t="s">
        <v>154</v>
      </c>
      <c r="F9964" s="5" t="s">
        <v>155</v>
      </c>
      <c r="G9964" s="6" t="str">
        <f>VLOOKUP(E9964,dicionario!$A$1:$C10363,2,0)</f>
        <v>Cyperus rotundus</v>
      </c>
      <c r="H9964" s="6" t="str">
        <f>VLOOKUP(E9964,dicionario!$A$1:$C10363,3,0)</f>
        <v>tiririca</v>
      </c>
    </row>
    <row r="9965">
      <c r="A9965" s="3">
        <v>45799.0</v>
      </c>
      <c r="B9965" s="4">
        <v>0.28680555555555554</v>
      </c>
      <c r="C9965" s="5" t="s">
        <v>40</v>
      </c>
      <c r="D9965" s="5" t="s">
        <v>1466</v>
      </c>
      <c r="E9965" s="18" t="s">
        <v>611</v>
      </c>
      <c r="F9965" s="5" t="s">
        <v>612</v>
      </c>
      <c r="G9965" s="6" t="str">
        <f>VLOOKUP(E9965,dicionario!$A$1:$C10364,2,0)</f>
        <v>Boehmeria cylindrica</v>
      </c>
      <c r="H9965" s="6" t="str">
        <f>VLOOKUP(E9965,dicionario!$A$1:$C10364,3,0)</f>
        <v>falsa-urtiga</v>
      </c>
    </row>
    <row r="9966">
      <c r="A9966" s="3">
        <v>45799.0</v>
      </c>
      <c r="B9966" s="4">
        <v>0.28680555555555554</v>
      </c>
      <c r="C9966" s="5" t="s">
        <v>40</v>
      </c>
      <c r="D9966" s="5" t="s">
        <v>1466</v>
      </c>
      <c r="E9966" s="20" t="s">
        <v>676</v>
      </c>
      <c r="F9966" s="5" t="s">
        <v>677</v>
      </c>
      <c r="G9966" s="6" t="str">
        <f>VLOOKUP(E9966,dicionario!$A$1:$C10365,2,0)</f>
        <v>Zornia latifolia</v>
      </c>
      <c r="H9966" s="6" t="str">
        <f>VLOOKUP(E9966,dicionario!$A$1:$C10365,3,0)</f>
        <v>arrozinho-do-campo</v>
      </c>
    </row>
    <row r="9967">
      <c r="A9967" s="3">
        <v>45799.0</v>
      </c>
      <c r="B9967" s="4">
        <v>0.2875</v>
      </c>
      <c r="C9967" s="5" t="s">
        <v>40</v>
      </c>
      <c r="D9967" s="5" t="s">
        <v>1466</v>
      </c>
      <c r="E9967" s="6" t="s">
        <v>148</v>
      </c>
      <c r="F9967" s="5" t="s">
        <v>149</v>
      </c>
      <c r="G9967" s="6" t="str">
        <f>VLOOKUP(E9967,dicionario!$A$1:$C10366,2,0)</f>
        <v>Parthenium hysterophorus</v>
      </c>
      <c r="H9967" s="6" t="str">
        <f>VLOOKUP(E9967,dicionario!$A$1:$C10366,3,0)</f>
        <v>losna-branca</v>
      </c>
    </row>
    <row r="9968">
      <c r="A9968" s="3">
        <v>45799.0</v>
      </c>
      <c r="B9968" s="4">
        <v>0.2881944444444444</v>
      </c>
      <c r="C9968" s="5" t="s">
        <v>40</v>
      </c>
      <c r="D9968" s="5" t="s">
        <v>1466</v>
      </c>
      <c r="E9968" s="8" t="s">
        <v>65</v>
      </c>
      <c r="F9968" s="5" t="s">
        <v>1483</v>
      </c>
      <c r="G9968" s="6" t="str">
        <f>VLOOKUP(E9968,dicionario!$A$1:$C10367,2,0)</f>
        <v>Pitangus sulphutarus</v>
      </c>
      <c r="H9968" s="6" t="str">
        <f>VLOOKUP(E9968,dicionario!$A$1:$C10367,3,0)</f>
        <v>bem-te-vi</v>
      </c>
    </row>
    <row r="9969">
      <c r="A9969" s="3">
        <v>45799.0</v>
      </c>
      <c r="B9969" s="4">
        <v>0.2881944444444444</v>
      </c>
      <c r="C9969" s="5" t="s">
        <v>40</v>
      </c>
      <c r="D9969" s="5" t="s">
        <v>1466</v>
      </c>
      <c r="E9969" s="8" t="s">
        <v>113</v>
      </c>
      <c r="F9969" s="5" t="s">
        <v>114</v>
      </c>
      <c r="G9969" s="6" t="str">
        <f>VLOOKUP(E9969,dicionario!$A$1:$C10368,2,0)</f>
        <v>Columbina talpacoti</v>
      </c>
      <c r="H9969" s="6" t="str">
        <f>VLOOKUP(E9969,dicionario!$A$1:$C10368,3,0)</f>
        <v>rolinha-roxa</v>
      </c>
    </row>
    <row r="9970">
      <c r="A9970" s="3">
        <v>45799.0</v>
      </c>
      <c r="B9970" s="4">
        <v>0.2881944444444444</v>
      </c>
      <c r="C9970" s="5" t="s">
        <v>40</v>
      </c>
      <c r="D9970" s="5" t="s">
        <v>1466</v>
      </c>
      <c r="E9970" s="8" t="s">
        <v>20</v>
      </c>
      <c r="F9970" s="5" t="s">
        <v>21</v>
      </c>
      <c r="G9970" s="6" t="str">
        <f>VLOOKUP(E9970,dicionario!$A$1:$C10369,2,0)</f>
        <v>Sicalis flaveola</v>
      </c>
      <c r="H9970" s="6" t="str">
        <f>VLOOKUP(E9970,dicionario!$A$1:$C10369,3,0)</f>
        <v>canário-da-terra</v>
      </c>
    </row>
    <row r="9971">
      <c r="A9971" s="3">
        <v>45799.0</v>
      </c>
      <c r="B9971" s="4">
        <v>0.2881944444444444</v>
      </c>
      <c r="C9971" s="5" t="s">
        <v>40</v>
      </c>
      <c r="D9971" s="5" t="s">
        <v>1466</v>
      </c>
      <c r="E9971" s="8" t="s">
        <v>177</v>
      </c>
      <c r="F9971" s="5" t="s">
        <v>178</v>
      </c>
      <c r="G9971" s="6" t="str">
        <f>VLOOKUP(E9971,dicionario!$A$1:$C10370,2,0)</f>
        <v>Elaenia flavogaster</v>
      </c>
      <c r="H9971" s="6" t="str">
        <f>VLOOKUP(E9971,dicionario!$A$1:$C10370,3,0)</f>
        <v>guaracava-de-barriga-amarela</v>
      </c>
    </row>
    <row r="9972">
      <c r="A9972" s="3">
        <v>45799.0</v>
      </c>
      <c r="B9972" s="4">
        <v>0.28888888888888886</v>
      </c>
      <c r="C9972" s="5" t="s">
        <v>40</v>
      </c>
      <c r="D9972" s="5" t="s">
        <v>1466</v>
      </c>
      <c r="E9972" s="8" t="s">
        <v>191</v>
      </c>
      <c r="F9972" s="5" t="s">
        <v>192</v>
      </c>
      <c r="G9972" s="6" t="str">
        <f>VLOOKUP(E9972,dicionario!$A$1:$C10371,2,0)</f>
        <v>Patagioenas picazuro</v>
      </c>
      <c r="H9972" s="6" t="str">
        <f>VLOOKUP(E9972,dicionario!$A$1:$C10371,3,0)</f>
        <v>asa-branca; pomba-asa-branca; pocaçu</v>
      </c>
    </row>
    <row r="9973">
      <c r="A9973" s="3">
        <v>45799.0</v>
      </c>
      <c r="B9973" s="4">
        <v>0.28888888888888886</v>
      </c>
      <c r="C9973" s="5" t="s">
        <v>40</v>
      </c>
      <c r="D9973" s="5" t="s">
        <v>1466</v>
      </c>
      <c r="E9973" s="6" t="s">
        <v>366</v>
      </c>
      <c r="F9973" s="5" t="s">
        <v>367</v>
      </c>
      <c r="G9973" s="6" t="str">
        <f>VLOOKUP(E9973,dicionario!$A$1:$C10372,2,0)</f>
        <v>Alternanthera ficoidea</v>
      </c>
      <c r="H9973" s="6" t="str">
        <f>VLOOKUP(E9973,dicionario!$A$1:$C10372,3,0)</f>
        <v>quebra-panela</v>
      </c>
    </row>
    <row r="9974">
      <c r="A9974" s="3">
        <v>45799.0</v>
      </c>
      <c r="B9974" s="4">
        <v>0.28888888888888886</v>
      </c>
      <c r="C9974" s="5" t="s">
        <v>40</v>
      </c>
      <c r="D9974" s="5" t="s">
        <v>1466</v>
      </c>
      <c r="E9974" s="8" t="s">
        <v>1192</v>
      </c>
      <c r="F9974" s="5" t="s">
        <v>92</v>
      </c>
      <c r="G9974" s="6" t="str">
        <f>VLOOKUP(E9974,dicionario!$A$1:$C10373,2,0)</f>
        <v>#N/A</v>
      </c>
      <c r="H9974" s="6" t="str">
        <f>VLOOKUP(E9974,dicionario!$A$1:$C10373,3,0)</f>
        <v>#N/A</v>
      </c>
    </row>
    <row r="9975">
      <c r="A9975" s="3">
        <v>45799.0</v>
      </c>
      <c r="B9975" s="4">
        <v>0.28888888888888886</v>
      </c>
      <c r="C9975" s="5" t="s">
        <v>50</v>
      </c>
      <c r="D9975" s="5" t="s">
        <v>1466</v>
      </c>
      <c r="E9975" s="8" t="s">
        <v>334</v>
      </c>
      <c r="F9975" s="5" t="s">
        <v>335</v>
      </c>
      <c r="G9975" s="6" t="str">
        <f>VLOOKUP(E9975,dicionario!$A$1:$C10374,2,0)</f>
        <v>Eupsittula aurea</v>
      </c>
      <c r="H9975" s="6" t="str">
        <f>VLOOKUP(E9975,dicionario!$A$1:$C10374,3,0)</f>
        <v>periquito-rei</v>
      </c>
    </row>
    <row r="9976">
      <c r="A9976" s="3">
        <v>45799.0</v>
      </c>
      <c r="B9976" s="4">
        <v>0.28888888888888886</v>
      </c>
      <c r="C9976" s="5" t="s">
        <v>50</v>
      </c>
      <c r="D9976" s="5" t="s">
        <v>1466</v>
      </c>
      <c r="E9976" s="8" t="s">
        <v>109</v>
      </c>
      <c r="F9976" s="5" t="s">
        <v>110</v>
      </c>
      <c r="G9976" s="6" t="str">
        <f>VLOOKUP(E9976,dicionario!$A$1:$C10375,2,0)</f>
        <v>Tillandsia stricta</v>
      </c>
      <c r="H9976" s="6" t="str">
        <f>VLOOKUP(E9976,dicionario!$A$1:$C10375,3,0)</f>
        <v>cravo-do-mato</v>
      </c>
    </row>
    <row r="9977">
      <c r="A9977" s="3">
        <v>45799.0</v>
      </c>
      <c r="B9977" s="4">
        <v>0.29305555555555557</v>
      </c>
      <c r="C9977" s="5" t="s">
        <v>50</v>
      </c>
      <c r="D9977" s="5" t="s">
        <v>1466</v>
      </c>
      <c r="E9977" s="8" t="s">
        <v>38</v>
      </c>
      <c r="F9977" s="5" t="s">
        <v>39</v>
      </c>
      <c r="G9977" s="6" t="str">
        <f>VLOOKUP(E9977,dicionario!$A$1:$C10376,2,0)</f>
        <v>Troglodytes musculus</v>
      </c>
      <c r="H9977" s="6" t="str">
        <f>VLOOKUP(E9977,dicionario!$A$1:$C10376,3,0)</f>
        <v>curruíra</v>
      </c>
    </row>
    <row r="9978">
      <c r="A9978" s="3">
        <v>45799.0</v>
      </c>
      <c r="B9978" s="4">
        <v>0.29375</v>
      </c>
      <c r="C9978" s="5" t="s">
        <v>50</v>
      </c>
      <c r="D9978" s="5" t="s">
        <v>1466</v>
      </c>
      <c r="E9978" s="8" t="s">
        <v>1084</v>
      </c>
      <c r="F9978" s="5" t="s">
        <v>224</v>
      </c>
      <c r="G9978" s="6" t="str">
        <f>VLOOKUP(E9978,dicionario!$A$1:$C10377,2,0)</f>
        <v>#N/A</v>
      </c>
      <c r="H9978" s="6" t="str">
        <f>VLOOKUP(E9978,dicionario!$A$1:$C10377,3,0)</f>
        <v>#N/A</v>
      </c>
    </row>
    <row r="9979">
      <c r="A9979" s="3">
        <v>45799.0</v>
      </c>
      <c r="B9979" s="4">
        <v>0.29375</v>
      </c>
      <c r="C9979" s="5" t="s">
        <v>50</v>
      </c>
      <c r="D9979" s="5" t="s">
        <v>1466</v>
      </c>
      <c r="E9979" s="8" t="s">
        <v>113</v>
      </c>
      <c r="F9979" s="5" t="s">
        <v>114</v>
      </c>
      <c r="G9979" s="6" t="str">
        <f>VLOOKUP(E9979,dicionario!$A$1:$C10378,2,0)</f>
        <v>Columbina talpacoti</v>
      </c>
      <c r="H9979" s="6" t="str">
        <f>VLOOKUP(E9979,dicionario!$A$1:$C10378,3,0)</f>
        <v>rolinha-roxa</v>
      </c>
    </row>
    <row r="9980">
      <c r="A9980" s="3">
        <v>45799.0</v>
      </c>
      <c r="B9980" s="4">
        <v>0.29444444444444445</v>
      </c>
      <c r="C9980" s="5" t="s">
        <v>50</v>
      </c>
      <c r="D9980" s="5" t="s">
        <v>1466</v>
      </c>
      <c r="E9980" s="8" t="s">
        <v>88</v>
      </c>
      <c r="F9980" s="5" t="s">
        <v>89</v>
      </c>
      <c r="G9980" s="6" t="str">
        <f>VLOOKUP(E9980,dicionario!$A$1:$C10379,2,0)</f>
        <v>Tyrannus melancolichus</v>
      </c>
      <c r="H9980" s="6" t="str">
        <f>VLOOKUP(E9980,dicionario!$A$1:$C10379,3,0)</f>
        <v>suiriri</v>
      </c>
    </row>
    <row r="9981">
      <c r="A9981" s="3">
        <v>45799.0</v>
      </c>
      <c r="B9981" s="4">
        <v>0.29444444444444445</v>
      </c>
      <c r="C9981" s="5" t="s">
        <v>50</v>
      </c>
      <c r="D9981" s="5" t="s">
        <v>1466</v>
      </c>
      <c r="E9981" s="8" t="s">
        <v>65</v>
      </c>
      <c r="F9981" s="5" t="s">
        <v>66</v>
      </c>
      <c r="G9981" s="6" t="str">
        <f>VLOOKUP(E9981,dicionario!$A$1:$C10380,2,0)</f>
        <v>Pitangus sulphutarus</v>
      </c>
      <c r="H9981" s="6" t="str">
        <f>VLOOKUP(E9981,dicionario!$A$1:$C10380,3,0)</f>
        <v>bem-te-vi</v>
      </c>
    </row>
    <row r="9982">
      <c r="A9982" s="3">
        <v>45799.0</v>
      </c>
      <c r="B9982" s="4">
        <v>0.2951388888888889</v>
      </c>
      <c r="C9982" s="5" t="s">
        <v>50</v>
      </c>
      <c r="D9982" s="5" t="s">
        <v>1466</v>
      </c>
      <c r="E9982" s="8" t="s">
        <v>154</v>
      </c>
      <c r="F9982" s="5" t="s">
        <v>155</v>
      </c>
      <c r="G9982" s="6" t="str">
        <f>VLOOKUP(E9982,dicionario!$A$1:$C10381,2,0)</f>
        <v>Cyperus rotundus</v>
      </c>
      <c r="H9982" s="6" t="str">
        <f>VLOOKUP(E9982,dicionario!$A$1:$C10381,3,0)</f>
        <v>tiririca</v>
      </c>
    </row>
    <row r="9983">
      <c r="A9983" s="3">
        <v>45799.0</v>
      </c>
      <c r="B9983" s="4">
        <v>0.2951388888888889</v>
      </c>
      <c r="C9983" s="5" t="s">
        <v>50</v>
      </c>
      <c r="D9983" s="5" t="s">
        <v>1466</v>
      </c>
      <c r="E9983" s="8" t="s">
        <v>22</v>
      </c>
      <c r="F9983" s="5" t="s">
        <v>97</v>
      </c>
      <c r="G9983" s="6" t="str">
        <f>VLOOKUP(E9983,dicionario!$A$1:$C10382,2,0)</f>
        <v>Zenaida auriculata</v>
      </c>
      <c r="H9983" s="6" t="str">
        <f>VLOOKUP(E9983,dicionario!$A$1:$C10382,3,0)</f>
        <v>pomba-de-bando; avoante</v>
      </c>
    </row>
    <row r="9984">
      <c r="A9984" s="3">
        <v>45799.0</v>
      </c>
      <c r="B9984" s="4">
        <v>0.2951388888888889</v>
      </c>
      <c r="C9984" s="5" t="s">
        <v>50</v>
      </c>
      <c r="D9984" s="5" t="s">
        <v>1466</v>
      </c>
      <c r="E9984" s="8" t="s">
        <v>177</v>
      </c>
      <c r="F9984" s="5" t="s">
        <v>178</v>
      </c>
      <c r="G9984" s="6" t="str">
        <f>VLOOKUP(E9984,dicionario!$A$1:$C10383,2,0)</f>
        <v>Elaenia flavogaster</v>
      </c>
      <c r="H9984" s="6" t="str">
        <f>VLOOKUP(E9984,dicionario!$A$1:$C10383,3,0)</f>
        <v>guaracava-de-barriga-amarela</v>
      </c>
    </row>
    <row r="9985">
      <c r="A9985" s="3">
        <v>45799.0</v>
      </c>
      <c r="B9985" s="4">
        <v>0.2951388888888889</v>
      </c>
      <c r="C9985" s="5" t="s">
        <v>50</v>
      </c>
      <c r="D9985" s="5" t="s">
        <v>1466</v>
      </c>
      <c r="E9985" s="8" t="s">
        <v>253</v>
      </c>
      <c r="F9985" s="5" t="s">
        <v>254</v>
      </c>
      <c r="G9985" s="6" t="str">
        <f>VLOOKUP(E9985,dicionario!$A$1:$C10384,2,0)</f>
        <v>Panicum maximum</v>
      </c>
      <c r="H9985" s="6" t="str">
        <f>VLOOKUP(E9985,dicionario!$A$1:$C10384,3,0)</f>
        <v>capim-colonião</v>
      </c>
    </row>
    <row r="9986">
      <c r="A9986" s="3">
        <v>45799.0</v>
      </c>
      <c r="B9986" s="4">
        <v>0.2951388888888889</v>
      </c>
      <c r="C9986" s="5" t="s">
        <v>50</v>
      </c>
      <c r="D9986" s="5" t="s">
        <v>1466</v>
      </c>
      <c r="E9986" s="8" t="s">
        <v>286</v>
      </c>
      <c r="F9986" s="5" t="s">
        <v>287</v>
      </c>
      <c r="G9986" s="6" t="str">
        <f>VLOOKUP(E9986,dicionario!$A$1:$C10385,2,0)</f>
        <v>Setaria parviflora</v>
      </c>
      <c r="H9986" s="6" t="str">
        <f>VLOOKUP(E9986,dicionario!$A$1:$C10385,3,0)</f>
        <v>capim-rabo-de-raposa</v>
      </c>
    </row>
    <row r="9987">
      <c r="A9987" s="3">
        <v>45799.0</v>
      </c>
      <c r="B9987" s="4">
        <v>0.29583333333333334</v>
      </c>
      <c r="C9987" s="5" t="s">
        <v>50</v>
      </c>
      <c r="D9987" s="5" t="s">
        <v>1466</v>
      </c>
      <c r="E9987" s="6" t="s">
        <v>467</v>
      </c>
      <c r="F9987" s="5" t="s">
        <v>468</v>
      </c>
      <c r="G9987" s="6" t="str">
        <f>VLOOKUP(E9987,dicionario!$A$1:$C10386,2,0)</f>
        <v>Eleusine indica</v>
      </c>
      <c r="H9987" s="6" t="str">
        <f>VLOOKUP(E9987,dicionario!$A$1:$C10386,3,0)</f>
        <v>capim-pé-de-galinha</v>
      </c>
    </row>
    <row r="9988">
      <c r="A9988" s="3">
        <v>45799.0</v>
      </c>
      <c r="B9988" s="4">
        <v>0.29583333333333334</v>
      </c>
      <c r="C9988" s="5" t="s">
        <v>50</v>
      </c>
      <c r="D9988" s="5" t="s">
        <v>1466</v>
      </c>
      <c r="E9988" s="12" t="s">
        <v>152</v>
      </c>
      <c r="F9988" s="5" t="s">
        <v>153</v>
      </c>
      <c r="G9988" s="6" t="str">
        <f>VLOOKUP(E9988,dicionario!$A$1:$C10387,2,0)</f>
        <v>Cynodon dactylon</v>
      </c>
      <c r="H9988" s="6" t="str">
        <f>VLOOKUP(E9988,dicionario!$A$1:$C10387,3,0)</f>
        <v>grama-bermuda</v>
      </c>
    </row>
    <row r="9989">
      <c r="A9989" s="3">
        <v>45799.0</v>
      </c>
      <c r="B9989" s="4">
        <v>0.29583333333333334</v>
      </c>
      <c r="C9989" s="5" t="s">
        <v>50</v>
      </c>
      <c r="D9989" s="5" t="s">
        <v>1466</v>
      </c>
      <c r="E9989" s="8" t="s">
        <v>990</v>
      </c>
      <c r="F9989" s="5" t="s">
        <v>1459</v>
      </c>
      <c r="G9989" s="6" t="str">
        <f>VLOOKUP(E9989,dicionario!$A$1:$C10388,2,0)</f>
        <v>#N/A</v>
      </c>
      <c r="H9989" s="6" t="str">
        <f>VLOOKUP(E9989,dicionario!$A$1:$C10388,3,0)</f>
        <v>#N/A</v>
      </c>
    </row>
    <row r="9990">
      <c r="A9990" s="3">
        <v>45799.0</v>
      </c>
      <c r="B9990" s="4">
        <v>0.29583333333333334</v>
      </c>
      <c r="C9990" s="5" t="s">
        <v>50</v>
      </c>
      <c r="D9990" s="5" t="s">
        <v>1466</v>
      </c>
      <c r="E9990" s="8" t="s">
        <v>271</v>
      </c>
      <c r="F9990" s="5" t="s">
        <v>272</v>
      </c>
      <c r="G9990" s="6" t="str">
        <f>VLOOKUP(E9990,dicionario!$A$1:$C10389,2,0)</f>
        <v>Cyanthillium cinereum</v>
      </c>
      <c r="H9990" s="6" t="str">
        <f>VLOOKUP(E9990,dicionario!$A$1:$C10389,3,0)</f>
        <v>emília</v>
      </c>
    </row>
    <row r="9991">
      <c r="A9991" s="3">
        <v>45799.0</v>
      </c>
      <c r="B9991" s="4">
        <v>0.29583333333333334</v>
      </c>
      <c r="C9991" s="5" t="s">
        <v>50</v>
      </c>
      <c r="D9991" s="5" t="s">
        <v>1466</v>
      </c>
      <c r="E9991" s="8" t="s">
        <v>338</v>
      </c>
      <c r="F9991" s="5" t="s">
        <v>238</v>
      </c>
      <c r="G9991" s="6" t="str">
        <f>VLOOKUP(E9991,dicionario!$A$1:$C10390,2,0)</f>
        <v>Atta</v>
      </c>
      <c r="H9991" s="6" t="str">
        <f>VLOOKUP(E9991,dicionario!$A$1:$C10390,3,0)</f>
        <v>saúva</v>
      </c>
    </row>
    <row r="9992">
      <c r="A9992" s="3">
        <v>45799.0</v>
      </c>
      <c r="B9992" s="4">
        <v>0.29583333333333334</v>
      </c>
      <c r="C9992" s="5" t="s">
        <v>50</v>
      </c>
      <c r="D9992" s="5" t="s">
        <v>1466</v>
      </c>
      <c r="E9992" s="8" t="s">
        <v>1383</v>
      </c>
      <c r="F9992" s="5" t="s">
        <v>1430</v>
      </c>
      <c r="G9992" s="6" t="str">
        <f>VLOOKUP(E9992,dicionario!$A$1:$C10391,2,0)</f>
        <v>#N/A</v>
      </c>
      <c r="H9992" s="6" t="str">
        <f>VLOOKUP(E9992,dicionario!$A$1:$C10391,3,0)</f>
        <v>#N/A</v>
      </c>
    </row>
    <row r="9993">
      <c r="A9993" s="3">
        <v>45799.0</v>
      </c>
      <c r="B9993" s="4">
        <v>0.29583333333333334</v>
      </c>
      <c r="C9993" s="5" t="s">
        <v>50</v>
      </c>
      <c r="D9993" s="5" t="s">
        <v>1466</v>
      </c>
      <c r="E9993" s="8" t="s">
        <v>1331</v>
      </c>
      <c r="F9993" s="5" t="s">
        <v>464</v>
      </c>
      <c r="G9993" s="6" t="str">
        <f>VLOOKUP(E9993,dicionario!$A$1:$C10392,2,0)</f>
        <v>#N/A</v>
      </c>
      <c r="H9993" s="6" t="str">
        <f>VLOOKUP(E9993,dicionario!$A$1:$C10392,3,0)</f>
        <v>#N/A</v>
      </c>
    </row>
    <row r="9994">
      <c r="A9994" s="3">
        <v>45799.0</v>
      </c>
      <c r="B9994" s="4">
        <v>0.29583333333333334</v>
      </c>
      <c r="C9994" s="5" t="s">
        <v>50</v>
      </c>
      <c r="D9994" s="5" t="s">
        <v>1466</v>
      </c>
      <c r="E9994" s="8" t="s">
        <v>175</v>
      </c>
      <c r="F9994" s="5" t="s">
        <v>176</v>
      </c>
      <c r="G9994" s="6" t="str">
        <f>VLOOKUP(E9994,dicionario!$A$1:$C10393,2,0)</f>
        <v>Turdus leucomelas</v>
      </c>
      <c r="H9994" s="6" t="str">
        <f>VLOOKUP(E9994,dicionario!$A$1:$C10393,3,0)</f>
        <v>sabiá-barranco</v>
      </c>
    </row>
    <row r="9995">
      <c r="A9995" s="3">
        <v>45799.0</v>
      </c>
      <c r="B9995" s="4">
        <v>0.2965277777777778</v>
      </c>
      <c r="C9995" s="5" t="s">
        <v>50</v>
      </c>
      <c r="D9995" s="5" t="s">
        <v>1466</v>
      </c>
      <c r="E9995" s="8" t="s">
        <v>141</v>
      </c>
      <c r="F9995" s="5" t="s">
        <v>142</v>
      </c>
      <c r="G9995" s="6" t="str">
        <f>VLOOKUP(E9995,dicionario!$A$1:$C10394,2,0)</f>
        <v>Ruellia blechum</v>
      </c>
      <c r="H9995" s="6" t="str">
        <f>VLOOKUP(E9995,dicionario!$A$1:$C10394,3,0)</f>
        <v>camarão-verde</v>
      </c>
    </row>
    <row r="9996">
      <c r="A9996" s="3">
        <v>45799.0</v>
      </c>
      <c r="B9996" s="4">
        <v>0.2972222222222222</v>
      </c>
      <c r="C9996" s="5" t="s">
        <v>59</v>
      </c>
      <c r="D9996" s="5" t="s">
        <v>1466</v>
      </c>
      <c r="E9996" s="8" t="s">
        <v>109</v>
      </c>
      <c r="F9996" s="5" t="s">
        <v>110</v>
      </c>
      <c r="G9996" s="6" t="str">
        <f>VLOOKUP(E9996,dicionario!$A$1:$C10395,2,0)</f>
        <v>Tillandsia stricta</v>
      </c>
      <c r="H9996" s="6" t="str">
        <f>VLOOKUP(E9996,dicionario!$A$1:$C10395,3,0)</f>
        <v>cravo-do-mato</v>
      </c>
    </row>
    <row r="9997">
      <c r="A9997" s="3">
        <v>45799.0</v>
      </c>
      <c r="B9997" s="4">
        <v>0.3</v>
      </c>
      <c r="C9997" s="5" t="s">
        <v>59</v>
      </c>
      <c r="D9997" s="5" t="s">
        <v>1466</v>
      </c>
      <c r="E9997" s="8" t="s">
        <v>1084</v>
      </c>
      <c r="F9997" s="5" t="s">
        <v>224</v>
      </c>
      <c r="G9997" s="6" t="str">
        <f>VLOOKUP(E9997,dicionario!$A$1:$C10396,2,0)</f>
        <v>#N/A</v>
      </c>
      <c r="H9997" s="6" t="str">
        <f>VLOOKUP(E9997,dicionario!$A$1:$C10396,3,0)</f>
        <v>#N/A</v>
      </c>
    </row>
    <row r="9998">
      <c r="A9998" s="3">
        <v>45799.0</v>
      </c>
      <c r="B9998" s="4">
        <v>0.3</v>
      </c>
      <c r="C9998" s="5" t="s">
        <v>59</v>
      </c>
      <c r="D9998" s="5" t="s">
        <v>1466</v>
      </c>
      <c r="E9998" s="8" t="s">
        <v>719</v>
      </c>
      <c r="F9998" s="5" t="s">
        <v>911</v>
      </c>
      <c r="G9998" s="6" t="str">
        <f>VLOOKUP(E9998,dicionario!$A$1:$C10397,2,0)</f>
        <v>Dirinaria</v>
      </c>
      <c r="H9998" s="6" t="str">
        <f>VLOOKUP(E9998,dicionario!$A$1:$C10397,3,0)</f>
        <v>líquen-crostoso</v>
      </c>
    </row>
    <row r="9999">
      <c r="A9999" s="3">
        <v>45799.0</v>
      </c>
      <c r="B9999" s="4">
        <v>0.3</v>
      </c>
      <c r="C9999" s="5" t="s">
        <v>59</v>
      </c>
      <c r="D9999" s="5" t="s">
        <v>1466</v>
      </c>
      <c r="E9999" s="8" t="s">
        <v>712</v>
      </c>
      <c r="F9999" s="5" t="s">
        <v>912</v>
      </c>
      <c r="G9999" s="6" t="str">
        <f>VLOOKUP(E9999,dicionario!$A$1:$C10398,2,0)</f>
        <v>Flavopunctelia soredica</v>
      </c>
      <c r="H9999" s="6" t="str">
        <f>VLOOKUP(E9999,dicionario!$A$1:$C10398,3,0)</f>
        <v>líquen-folioso</v>
      </c>
    </row>
    <row r="10000">
      <c r="A10000" s="3">
        <v>45799.0</v>
      </c>
      <c r="B10000" s="4">
        <v>0.30069444444444443</v>
      </c>
      <c r="C10000" s="5" t="s">
        <v>59</v>
      </c>
      <c r="D10000" s="5" t="s">
        <v>1466</v>
      </c>
      <c r="E10000" s="8" t="s">
        <v>107</v>
      </c>
      <c r="F10000" s="5" t="s">
        <v>834</v>
      </c>
      <c r="G10000" s="6" t="str">
        <f>VLOOKUP(E10000,dicionario!$A$1:$C10399,2,0)</f>
        <v>Ramalina complanata</v>
      </c>
      <c r="H10000" s="6" t="str">
        <f>VLOOKUP(E10000,dicionario!$A$1:$C10399,3,0)</f>
        <v>ramalina</v>
      </c>
    </row>
    <row r="10001">
      <c r="A10001" s="3">
        <v>45799.0</v>
      </c>
      <c r="B10001" s="4">
        <v>0.3020833333333333</v>
      </c>
      <c r="C10001" s="5" t="s">
        <v>59</v>
      </c>
      <c r="D10001" s="5" t="s">
        <v>1466</v>
      </c>
      <c r="E10001" s="8" t="s">
        <v>909</v>
      </c>
      <c r="F10001" s="5" t="s">
        <v>910</v>
      </c>
      <c r="G10001" s="6" t="str">
        <f>VLOOKUP(E10001,dicionario!$A$1:$C10400,2,0)</f>
        <v>Chordeiles acutipennis</v>
      </c>
      <c r="H10001" s="6" t="str">
        <f>VLOOKUP(E10001,dicionario!$A$1:$C10400,3,0)</f>
        <v>bacurau-de-asa-fina</v>
      </c>
    </row>
    <row r="10002">
      <c r="A10002" s="3">
        <v>45799.0</v>
      </c>
      <c r="B10002" s="4">
        <v>0.3020833333333333</v>
      </c>
      <c r="C10002" s="5" t="s">
        <v>59</v>
      </c>
      <c r="D10002" s="5" t="s">
        <v>1466</v>
      </c>
      <c r="E10002" s="8" t="s">
        <v>1347</v>
      </c>
      <c r="F10002" s="5" t="s">
        <v>1168</v>
      </c>
      <c r="G10002" s="6" t="str">
        <f>VLOOKUP(E10002,dicionario!$A$1:$C10401,2,0)</f>
        <v>#N/A</v>
      </c>
      <c r="H10002" s="6" t="str">
        <f>VLOOKUP(E10002,dicionario!$A$1:$C10401,3,0)</f>
        <v>#N/A</v>
      </c>
    </row>
    <row r="10003">
      <c r="A10003" s="3">
        <v>45799.0</v>
      </c>
      <c r="B10003" s="4">
        <v>0.3020833333333333</v>
      </c>
      <c r="C10003" s="5" t="s">
        <v>59</v>
      </c>
      <c r="D10003" s="5" t="s">
        <v>1466</v>
      </c>
      <c r="E10003" s="8" t="s">
        <v>38</v>
      </c>
      <c r="F10003" s="5" t="s">
        <v>39</v>
      </c>
      <c r="G10003" s="6" t="str">
        <f>VLOOKUP(E10003,dicionario!$A$1:$C10402,2,0)</f>
        <v>Troglodytes musculus</v>
      </c>
      <c r="H10003" s="6" t="str">
        <f>VLOOKUP(E10003,dicionario!$A$1:$C10402,3,0)</f>
        <v>curruíra</v>
      </c>
    </row>
    <row r="10004">
      <c r="A10004" s="3">
        <v>45799.0</v>
      </c>
      <c r="B10004" s="4">
        <v>0.30277777777777776</v>
      </c>
      <c r="C10004" s="5" t="s">
        <v>59</v>
      </c>
      <c r="D10004" s="5" t="s">
        <v>1466</v>
      </c>
      <c r="E10004" s="8" t="s">
        <v>105</v>
      </c>
      <c r="F10004" s="5" t="s">
        <v>106</v>
      </c>
      <c r="G10004" s="6" t="str">
        <f>VLOOKUP(E10004,dicionario!$A$1:$C10403,2,0)</f>
        <v>Progne tapera</v>
      </c>
      <c r="H10004" s="6" t="str">
        <f>VLOOKUP(E10004,dicionario!$A$1:$C10403,3,0)</f>
        <v>andorinha-do-campo</v>
      </c>
    </row>
    <row r="10005">
      <c r="A10005" s="3">
        <v>45799.0</v>
      </c>
      <c r="B10005" s="4">
        <v>0.30277777777777776</v>
      </c>
      <c r="C10005" s="5" t="s">
        <v>59</v>
      </c>
      <c r="D10005" s="5" t="s">
        <v>1466</v>
      </c>
      <c r="E10005" s="8" t="s">
        <v>1285</v>
      </c>
      <c r="F10005" s="5" t="s">
        <v>1128</v>
      </c>
      <c r="G10005" s="6" t="str">
        <f>VLOOKUP(E10005,dicionario!$A$1:$C10404,2,0)</f>
        <v>#N/A</v>
      </c>
      <c r="H10005" s="6" t="str">
        <f>VLOOKUP(E10005,dicionario!$A$1:$C10404,3,0)</f>
        <v>#N/A</v>
      </c>
    </row>
    <row r="10006">
      <c r="A10006" s="3">
        <v>45799.0</v>
      </c>
      <c r="B10006" s="4">
        <v>0.30277777777777776</v>
      </c>
      <c r="C10006" s="5" t="s">
        <v>59</v>
      </c>
      <c r="D10006" s="5" t="s">
        <v>1466</v>
      </c>
      <c r="E10006" s="8" t="s">
        <v>353</v>
      </c>
      <c r="F10006" s="5" t="s">
        <v>354</v>
      </c>
      <c r="G10006" s="6" t="str">
        <f>VLOOKUP(E10006,dicionario!$A$1:$C10405,2,0)</f>
        <v>Desmodium incanum</v>
      </c>
      <c r="H10006" s="6" t="str">
        <f>VLOOKUP(E10006,dicionario!$A$1:$C10405,3,0)</f>
        <v>pega-pega</v>
      </c>
    </row>
    <row r="10007">
      <c r="A10007" s="3">
        <v>45799.0</v>
      </c>
      <c r="B10007" s="4">
        <v>0.3034722222222222</v>
      </c>
      <c r="C10007" s="5" t="s">
        <v>59</v>
      </c>
      <c r="D10007" s="5" t="s">
        <v>1466</v>
      </c>
      <c r="E10007" s="8" t="s">
        <v>113</v>
      </c>
      <c r="F10007" s="5" t="s">
        <v>114</v>
      </c>
      <c r="G10007" s="6" t="str">
        <f>VLOOKUP(E10007,dicionario!$A$1:$C10406,2,0)</f>
        <v>Columbina talpacoti</v>
      </c>
      <c r="H10007" s="6" t="str">
        <f>VLOOKUP(E10007,dicionario!$A$1:$C10406,3,0)</f>
        <v>rolinha-roxa</v>
      </c>
    </row>
    <row r="10008">
      <c r="A10008" s="3">
        <v>45799.0</v>
      </c>
      <c r="B10008" s="4">
        <v>0.3034722222222222</v>
      </c>
      <c r="C10008" s="5" t="s">
        <v>59</v>
      </c>
      <c r="D10008" s="5" t="s">
        <v>1466</v>
      </c>
      <c r="E10008" s="8" t="s">
        <v>191</v>
      </c>
      <c r="F10008" s="5" t="s">
        <v>192</v>
      </c>
      <c r="G10008" s="6" t="str">
        <f>VLOOKUP(E10008,dicionario!$A$1:$C10407,2,0)</f>
        <v>Patagioenas picazuro</v>
      </c>
      <c r="H10008" s="6" t="str">
        <f>VLOOKUP(E10008,dicionario!$A$1:$C10407,3,0)</f>
        <v>asa-branca; pomba-asa-branca; pocaçu</v>
      </c>
    </row>
    <row r="10009">
      <c r="A10009" s="3">
        <v>45799.0</v>
      </c>
      <c r="B10009" s="4">
        <v>0.3034722222222222</v>
      </c>
      <c r="C10009" s="5" t="s">
        <v>59</v>
      </c>
      <c r="D10009" s="5" t="s">
        <v>1466</v>
      </c>
      <c r="E10009" s="8" t="s">
        <v>849</v>
      </c>
      <c r="F10009" s="5" t="s">
        <v>1457</v>
      </c>
      <c r="G10009" s="6" t="str">
        <f>VLOOKUP(E10009,dicionario!$A$1:$C10408,2,0)</f>
        <v>#N/A</v>
      </c>
      <c r="H10009" s="6" t="str">
        <f>VLOOKUP(E10009,dicionario!$A$1:$C10408,3,0)</f>
        <v>#N/A</v>
      </c>
    </row>
    <row r="10010">
      <c r="A10010" s="3">
        <v>45799.0</v>
      </c>
      <c r="B10010" s="4">
        <v>0.30416666666666664</v>
      </c>
      <c r="C10010" s="5" t="s">
        <v>59</v>
      </c>
      <c r="D10010" s="5" t="s">
        <v>1466</v>
      </c>
      <c r="E10010" s="8" t="s">
        <v>298</v>
      </c>
      <c r="F10010" s="7"/>
      <c r="G10010" s="6" t="str">
        <f>VLOOKUP(E10010,dicionario!$A$1:$C10409,2,0)</f>
        <v>Alysicarpus vaginalis</v>
      </c>
      <c r="H10010" s="6" t="str">
        <f>VLOOKUP(E10010,dicionario!$A$1:$C10409,3,0)</f>
        <v/>
      </c>
    </row>
    <row r="10011">
      <c r="A10011" s="3">
        <v>45799.0</v>
      </c>
      <c r="B10011" s="4">
        <v>0.30416666666666664</v>
      </c>
      <c r="C10011" s="5" t="s">
        <v>59</v>
      </c>
      <c r="D10011" s="5" t="s">
        <v>1466</v>
      </c>
      <c r="E10011" s="8" t="s">
        <v>1383</v>
      </c>
      <c r="F10011" s="5" t="s">
        <v>1430</v>
      </c>
      <c r="G10011" s="6" t="str">
        <f>VLOOKUP(E10011,dicionario!$A$1:$C10410,2,0)</f>
        <v>#N/A</v>
      </c>
      <c r="H10011" s="6" t="str">
        <f>VLOOKUP(E10011,dicionario!$A$1:$C10410,3,0)</f>
        <v>#N/A</v>
      </c>
    </row>
    <row r="10012">
      <c r="A10012" s="3">
        <v>45799.0</v>
      </c>
      <c r="B10012" s="4">
        <v>0.30416666666666664</v>
      </c>
      <c r="C10012" s="5" t="s">
        <v>59</v>
      </c>
      <c r="D10012" s="5" t="s">
        <v>1466</v>
      </c>
      <c r="E10012" s="8" t="s">
        <v>72</v>
      </c>
      <c r="F10012" s="5" t="s">
        <v>73</v>
      </c>
      <c r="G10012" s="6" t="str">
        <f>VLOOKUP(E10012,dicionario!$A$1:$C10411,2,0)</f>
        <v>Thraupis palmarum</v>
      </c>
      <c r="H10012" s="6" t="str">
        <f>VLOOKUP(E10012,dicionario!$A$1:$C10411,3,0)</f>
        <v>sanhaço-do-coqueiro</v>
      </c>
    </row>
    <row r="10013">
      <c r="A10013" s="3">
        <v>45799.0</v>
      </c>
      <c r="B10013" s="4">
        <v>0.30486111111111114</v>
      </c>
      <c r="C10013" s="5" t="s">
        <v>59</v>
      </c>
      <c r="D10013" s="5" t="s">
        <v>1466</v>
      </c>
      <c r="E10013" s="8" t="s">
        <v>38</v>
      </c>
      <c r="F10013" s="5" t="s">
        <v>39</v>
      </c>
      <c r="G10013" s="6" t="str">
        <f>VLOOKUP(E10013,dicionario!$A$1:$C10412,2,0)</f>
        <v>Troglodytes musculus</v>
      </c>
      <c r="H10013" s="6" t="str">
        <f>VLOOKUP(E10013,dicionario!$A$1:$C10412,3,0)</f>
        <v>curruíra</v>
      </c>
    </row>
    <row r="10014">
      <c r="A10014" s="3">
        <v>45799.0</v>
      </c>
      <c r="B10014" s="4">
        <v>0.30486111111111114</v>
      </c>
      <c r="C10014" s="5" t="s">
        <v>59</v>
      </c>
      <c r="D10014" s="5" t="s">
        <v>1466</v>
      </c>
      <c r="E10014" s="8" t="s">
        <v>105</v>
      </c>
      <c r="F10014" s="5" t="s">
        <v>106</v>
      </c>
      <c r="G10014" s="6" t="str">
        <f>VLOOKUP(E10014,dicionario!$A$1:$C10413,2,0)</f>
        <v>Progne tapera</v>
      </c>
      <c r="H10014" s="6" t="str">
        <f>VLOOKUP(E10014,dicionario!$A$1:$C10413,3,0)</f>
        <v>andorinha-do-campo</v>
      </c>
    </row>
    <row r="10015">
      <c r="A10015" s="3">
        <v>45799.0</v>
      </c>
      <c r="B10015" s="4">
        <v>0.30625</v>
      </c>
      <c r="C10015" s="5" t="s">
        <v>59</v>
      </c>
      <c r="D10015" s="5" t="s">
        <v>1466</v>
      </c>
      <c r="E10015" s="8" t="s">
        <v>1285</v>
      </c>
      <c r="F10015" s="5" t="s">
        <v>1128</v>
      </c>
      <c r="G10015" s="6" t="str">
        <f>VLOOKUP(E10015,dicionario!$A$1:$C10414,2,0)</f>
        <v>#N/A</v>
      </c>
      <c r="H10015" s="6" t="str">
        <f>VLOOKUP(E10015,dicionario!$A$1:$C10414,3,0)</f>
        <v>#N/A</v>
      </c>
    </row>
    <row r="10016">
      <c r="A10016" s="3">
        <v>45799.0</v>
      </c>
      <c r="B10016" s="4">
        <v>0.30625</v>
      </c>
      <c r="C10016" s="5" t="s">
        <v>59</v>
      </c>
      <c r="D10016" s="5" t="s">
        <v>1466</v>
      </c>
      <c r="E10016" s="8" t="s">
        <v>353</v>
      </c>
      <c r="F10016" s="5" t="s">
        <v>354</v>
      </c>
      <c r="G10016" s="6" t="str">
        <f>VLOOKUP(E10016,dicionario!$A$1:$C10415,2,0)</f>
        <v>Desmodium incanum</v>
      </c>
      <c r="H10016" s="6" t="str">
        <f>VLOOKUP(E10016,dicionario!$A$1:$C10415,3,0)</f>
        <v>pega-pega</v>
      </c>
    </row>
    <row r="10017">
      <c r="A10017" s="3">
        <v>45799.0</v>
      </c>
      <c r="B10017" s="4">
        <v>0.30972222222222223</v>
      </c>
      <c r="C10017" s="5" t="s">
        <v>64</v>
      </c>
      <c r="D10017" s="5" t="s">
        <v>1466</v>
      </c>
      <c r="E10017" s="8" t="s">
        <v>113</v>
      </c>
      <c r="F10017" s="5" t="s">
        <v>114</v>
      </c>
      <c r="G10017" s="6" t="str">
        <f>VLOOKUP(E10017,dicionario!$A$1:$C10416,2,0)</f>
        <v>Columbina talpacoti</v>
      </c>
      <c r="H10017" s="6" t="str">
        <f>VLOOKUP(E10017,dicionario!$A$1:$C10416,3,0)</f>
        <v>rolinha-roxa</v>
      </c>
    </row>
    <row r="10018">
      <c r="A10018" s="3">
        <v>45799.0</v>
      </c>
      <c r="B10018" s="4">
        <v>0.30972222222222223</v>
      </c>
      <c r="C10018" s="5" t="s">
        <v>64</v>
      </c>
      <c r="D10018" s="5" t="s">
        <v>1466</v>
      </c>
      <c r="E10018" s="8" t="s">
        <v>103</v>
      </c>
      <c r="F10018" s="5" t="s">
        <v>104</v>
      </c>
      <c r="G10018" s="6" t="str">
        <f>VLOOKUP(E10018,dicionario!$A$1:$C10417,2,0)</f>
        <v>Caracara plancus</v>
      </c>
      <c r="H10018" s="6" t="str">
        <f>VLOOKUP(E10018,dicionario!$A$1:$C10417,3,0)</f>
        <v>carcará </v>
      </c>
    </row>
    <row r="10019">
      <c r="A10019" s="3">
        <v>45799.0</v>
      </c>
      <c r="B10019" s="4">
        <v>0.30972222222222223</v>
      </c>
      <c r="C10019" s="5" t="s">
        <v>64</v>
      </c>
      <c r="D10019" s="5" t="s">
        <v>1466</v>
      </c>
      <c r="E10019" s="8" t="s">
        <v>195</v>
      </c>
      <c r="F10019" s="5" t="s">
        <v>196</v>
      </c>
      <c r="G10019" s="6" t="str">
        <f>VLOOKUP(E10019,dicionario!$A$1:$C10418,2,0)</f>
        <v>Priva lappulacea</v>
      </c>
      <c r="H10019" s="6" t="str">
        <f>VLOOKUP(E10019,dicionario!$A$1:$C10418,3,0)</f>
        <v>carrapicho</v>
      </c>
    </row>
    <row r="10020">
      <c r="A10020" s="3">
        <v>45799.0</v>
      </c>
      <c r="B10020" s="4">
        <v>0.30972222222222223</v>
      </c>
      <c r="C10020" s="5" t="s">
        <v>64</v>
      </c>
      <c r="D10020" s="5" t="s">
        <v>1466</v>
      </c>
      <c r="E10020" s="12" t="s">
        <v>152</v>
      </c>
      <c r="F10020" s="5" t="s">
        <v>153</v>
      </c>
      <c r="G10020" s="6" t="str">
        <f>VLOOKUP(E10020,dicionario!$A$1:$C10419,2,0)</f>
        <v>Cynodon dactylon</v>
      </c>
      <c r="H10020" s="6" t="str">
        <f>VLOOKUP(E10020,dicionario!$A$1:$C10419,3,0)</f>
        <v>grama-bermuda</v>
      </c>
    </row>
    <row r="10021">
      <c r="A10021" s="3">
        <v>45799.0</v>
      </c>
      <c r="B10021" s="4">
        <v>0.3104166666666667</v>
      </c>
      <c r="C10021" s="5" t="s">
        <v>64</v>
      </c>
      <c r="D10021" s="5" t="s">
        <v>1466</v>
      </c>
      <c r="E10021" s="8" t="s">
        <v>38</v>
      </c>
      <c r="F10021" s="5" t="s">
        <v>39</v>
      </c>
      <c r="G10021" s="6" t="str">
        <f>VLOOKUP(E10021,dicionario!$A$1:$C10420,2,0)</f>
        <v>Troglodytes musculus</v>
      </c>
      <c r="H10021" s="6" t="str">
        <f>VLOOKUP(E10021,dicionario!$A$1:$C10420,3,0)</f>
        <v>curruíra</v>
      </c>
    </row>
    <row r="10022">
      <c r="A10022" s="3">
        <v>45799.0</v>
      </c>
      <c r="B10022" s="4">
        <v>0.3104166666666667</v>
      </c>
      <c r="C10022" s="5" t="s">
        <v>64</v>
      </c>
      <c r="D10022" s="5" t="s">
        <v>1466</v>
      </c>
      <c r="E10022" s="8" t="s">
        <v>154</v>
      </c>
      <c r="F10022" s="5" t="s">
        <v>155</v>
      </c>
      <c r="G10022" s="6" t="str">
        <f>VLOOKUP(E10022,dicionario!$A$1:$C10421,2,0)</f>
        <v>Cyperus rotundus</v>
      </c>
      <c r="H10022" s="6" t="str">
        <f>VLOOKUP(E10022,dicionario!$A$1:$C10421,3,0)</f>
        <v>tiririca</v>
      </c>
    </row>
    <row r="10023">
      <c r="A10023" s="3">
        <v>45799.0</v>
      </c>
      <c r="B10023" s="4">
        <v>0.3104166666666667</v>
      </c>
      <c r="C10023" s="5" t="s">
        <v>64</v>
      </c>
      <c r="D10023" s="5" t="s">
        <v>1466</v>
      </c>
      <c r="E10023" s="8" t="s">
        <v>624</v>
      </c>
      <c r="F10023" s="5" t="s">
        <v>133</v>
      </c>
      <c r="G10023" s="6" t="str">
        <f>VLOOKUP(E10023,dicionario!$A$1:$C10422,2,0)</f>
        <v>Euphonia violacea</v>
      </c>
      <c r="H10023" s="6" t="str">
        <f>VLOOKUP(E10023,dicionario!$A$1:$C10422,3,0)</f>
        <v>gaturamo-verdadeiro</v>
      </c>
    </row>
    <row r="10024">
      <c r="A10024" s="3">
        <v>45799.0</v>
      </c>
      <c r="B10024" s="4">
        <v>0.3104166666666667</v>
      </c>
      <c r="C10024" s="5" t="s">
        <v>64</v>
      </c>
      <c r="D10024" s="5" t="s">
        <v>1466</v>
      </c>
      <c r="E10024" s="6" t="s">
        <v>251</v>
      </c>
      <c r="F10024" s="5" t="s">
        <v>252</v>
      </c>
      <c r="G10024" s="6" t="str">
        <f>VLOOKUP(E10024,dicionario!$A$1:$C10423,2,0)</f>
        <v>Struthanthus flexicaulis</v>
      </c>
      <c r="H10024" s="6" t="str">
        <f>VLOOKUP(E10024,dicionario!$A$1:$C10423,3,0)</f>
        <v>erva-de-passarinho</v>
      </c>
    </row>
    <row r="10025">
      <c r="A10025" s="3">
        <v>45799.0</v>
      </c>
      <c r="B10025" s="4">
        <v>0.3104166666666667</v>
      </c>
      <c r="C10025" s="5" t="s">
        <v>64</v>
      </c>
      <c r="D10025" s="5" t="s">
        <v>1466</v>
      </c>
      <c r="E10025" s="8" t="s">
        <v>69</v>
      </c>
      <c r="F10025" s="5" t="s">
        <v>71</v>
      </c>
      <c r="G10025" s="6" t="str">
        <f>VLOOKUP(E10025,dicionario!$A$1:$C10424,2,0)</f>
        <v>Talinum fruticosum</v>
      </c>
      <c r="H10025" s="6" t="str">
        <f>VLOOKUP(E10025,dicionario!$A$1:$C10424,3,0)</f>
        <v>beldroega-grande</v>
      </c>
    </row>
    <row r="10026">
      <c r="A10026" s="3">
        <v>45799.0</v>
      </c>
      <c r="B10026" s="4">
        <v>0.3104166666666667</v>
      </c>
      <c r="C10026" s="5" t="s">
        <v>64</v>
      </c>
      <c r="D10026" s="5" t="s">
        <v>1466</v>
      </c>
      <c r="E10026" s="8" t="s">
        <v>792</v>
      </c>
      <c r="F10026" s="5" t="s">
        <v>1014</v>
      </c>
      <c r="G10026" s="6" t="str">
        <f>VLOOKUP(E10026,dicionario!$A$1:$C10425,2,0)</f>
        <v>Musca domestica</v>
      </c>
      <c r="H10026" s="6" t="str">
        <f>VLOOKUP(E10026,dicionario!$A$1:$C10425,3,0)</f>
        <v>mosca-doméstica</v>
      </c>
    </row>
    <row r="10027">
      <c r="A10027" s="3">
        <v>45799.0</v>
      </c>
      <c r="B10027" s="4">
        <v>0.3104166666666667</v>
      </c>
      <c r="C10027" s="5" t="s">
        <v>64</v>
      </c>
      <c r="D10027" s="5" t="s">
        <v>1466</v>
      </c>
      <c r="E10027" s="8" t="s">
        <v>928</v>
      </c>
      <c r="F10027" s="5" t="s">
        <v>418</v>
      </c>
      <c r="G10027" s="6" t="str">
        <f>VLOOKUP(E10027,dicionario!$A$1:$C10426,2,0)</f>
        <v>Camponotus</v>
      </c>
      <c r="H10027" s="6" t="str">
        <f>VLOOKUP(E10027,dicionario!$A$1:$C10426,3,0)</f>
        <v>formiga-preta</v>
      </c>
    </row>
    <row r="10028">
      <c r="A10028" s="3">
        <v>45799.0</v>
      </c>
      <c r="B10028" s="4">
        <v>0.3111111111111111</v>
      </c>
      <c r="C10028" s="5" t="s">
        <v>64</v>
      </c>
      <c r="D10028" s="5" t="s">
        <v>1466</v>
      </c>
      <c r="E10028" s="8" t="s">
        <v>88</v>
      </c>
      <c r="F10028" s="5" t="s">
        <v>89</v>
      </c>
      <c r="G10028" s="6" t="str">
        <f>VLOOKUP(E10028,dicionario!$A$1:$C10427,2,0)</f>
        <v>Tyrannus melancolichus</v>
      </c>
      <c r="H10028" s="6" t="str">
        <f>VLOOKUP(E10028,dicionario!$A$1:$C10427,3,0)</f>
        <v>suiriri</v>
      </c>
    </row>
    <row r="10029">
      <c r="A10029" s="3">
        <v>45799.0</v>
      </c>
      <c r="B10029" s="4">
        <v>0.31180555555555556</v>
      </c>
      <c r="C10029" s="5" t="s">
        <v>64</v>
      </c>
      <c r="D10029" s="5" t="s">
        <v>1466</v>
      </c>
      <c r="E10029" s="8" t="s">
        <v>891</v>
      </c>
      <c r="F10029" s="5" t="s">
        <v>1163</v>
      </c>
      <c r="G10029" s="6" t="str">
        <f>VLOOKUP(E10029,dicionario!$A$1:$C10428,2,0)</f>
        <v>Cymaenes tripunctus</v>
      </c>
      <c r="H10029" s="6" t="str">
        <f>VLOOKUP(E10029,dicionario!$A$1:$C10428,3,0)</f>
        <v>borboleta-de-três-pintas</v>
      </c>
    </row>
    <row r="10030">
      <c r="A10030" s="3">
        <v>45799.0</v>
      </c>
      <c r="B10030" s="4">
        <v>0.31180555555555556</v>
      </c>
      <c r="C10030" s="5" t="s">
        <v>64</v>
      </c>
      <c r="D10030" s="5" t="s">
        <v>1466</v>
      </c>
      <c r="E10030" s="8" t="s">
        <v>109</v>
      </c>
      <c r="F10030" s="5" t="s">
        <v>110</v>
      </c>
      <c r="G10030" s="6" t="str">
        <f>VLOOKUP(E10030,dicionario!$A$1:$C10429,2,0)</f>
        <v>Tillandsia stricta</v>
      </c>
      <c r="H10030" s="6" t="str">
        <f>VLOOKUP(E10030,dicionario!$A$1:$C10429,3,0)</f>
        <v>cravo-do-mato</v>
      </c>
    </row>
    <row r="10031">
      <c r="A10031" s="3">
        <v>45799.0</v>
      </c>
      <c r="B10031" s="4">
        <v>0.31180555555555556</v>
      </c>
      <c r="C10031" s="5" t="s">
        <v>64</v>
      </c>
      <c r="D10031" s="5" t="s">
        <v>1466</v>
      </c>
      <c r="E10031" s="8" t="s">
        <v>72</v>
      </c>
      <c r="F10031" s="5" t="s">
        <v>73</v>
      </c>
      <c r="G10031" s="6" t="str">
        <f>VLOOKUP(E10031,dicionario!$A$1:$C10430,2,0)</f>
        <v>Thraupis palmarum</v>
      </c>
      <c r="H10031" s="6" t="str">
        <f>VLOOKUP(E10031,dicionario!$A$1:$C10430,3,0)</f>
        <v>sanhaço-do-coqueiro</v>
      </c>
    </row>
    <row r="10032">
      <c r="A10032" s="3">
        <v>45799.0</v>
      </c>
      <c r="B10032" s="4">
        <v>0.3125</v>
      </c>
      <c r="C10032" s="5" t="s">
        <v>64</v>
      </c>
      <c r="D10032" s="5" t="s">
        <v>1466</v>
      </c>
      <c r="E10032" s="8" t="s">
        <v>1427</v>
      </c>
      <c r="F10032" s="5" t="s">
        <v>44</v>
      </c>
      <c r="G10032" s="6" t="str">
        <f>VLOOKUP(E10032,dicionario!$A$1:$C10431,2,0)</f>
        <v>#N/A</v>
      </c>
      <c r="H10032" s="6" t="str">
        <f>VLOOKUP(E10032,dicionario!$A$1:$C10431,3,0)</f>
        <v>#N/A</v>
      </c>
    </row>
    <row r="10033">
      <c r="A10033" s="3">
        <v>45799.0</v>
      </c>
      <c r="B10033" s="4">
        <v>0.3125</v>
      </c>
      <c r="C10033" s="5" t="s">
        <v>64</v>
      </c>
      <c r="D10033" s="5" t="s">
        <v>1466</v>
      </c>
      <c r="E10033" s="8" t="s">
        <v>1406</v>
      </c>
      <c r="F10033" s="5" t="s">
        <v>172</v>
      </c>
      <c r="G10033" s="6" t="str">
        <f>VLOOKUP(E10033,dicionario!$A$1:$C10432,2,0)</f>
        <v>#N/A</v>
      </c>
      <c r="H10033" s="6" t="str">
        <f>VLOOKUP(E10033,dicionario!$A$1:$C10432,3,0)</f>
        <v>#N/A</v>
      </c>
    </row>
    <row r="10034">
      <c r="A10034" s="3">
        <v>45799.0</v>
      </c>
      <c r="B10034" s="4">
        <v>0.31319444444444444</v>
      </c>
      <c r="C10034" s="5" t="s">
        <v>64</v>
      </c>
      <c r="D10034" s="5" t="s">
        <v>1466</v>
      </c>
      <c r="E10034" s="6" t="s">
        <v>86</v>
      </c>
      <c r="F10034" s="5" t="s">
        <v>502</v>
      </c>
      <c r="G10034" s="6" t="str">
        <f>VLOOKUP(E10034,dicionario!$A$1:$C10433,2,0)</f>
        <v>Coereba flaveola</v>
      </c>
      <c r="H10034" s="6" t="str">
        <f>VLOOKUP(E10034,dicionario!$A$1:$C10433,3,0)</f>
        <v>cambacica</v>
      </c>
    </row>
    <row r="10035">
      <c r="A10035" s="3">
        <v>45799.0</v>
      </c>
      <c r="B10035" s="4">
        <v>0.31319444444444444</v>
      </c>
      <c r="C10035" s="5" t="s">
        <v>64</v>
      </c>
      <c r="D10035" s="5" t="s">
        <v>1466</v>
      </c>
      <c r="E10035" s="6" t="s">
        <v>288</v>
      </c>
      <c r="F10035" s="5" t="s">
        <v>289</v>
      </c>
      <c r="G10035" s="6" t="str">
        <f>VLOOKUP(E10035,dicionario!$A$1:$C10434,2,0)</f>
        <v>Phyllanthus tenellus</v>
      </c>
      <c r="H10035" s="6" t="str">
        <f>VLOOKUP(E10035,dicionario!$A$1:$C10434,3,0)</f>
        <v>quebra-pedra</v>
      </c>
    </row>
    <row r="10036">
      <c r="A10036" s="3">
        <v>45799.0</v>
      </c>
      <c r="B10036" s="4">
        <v>0.31319444444444444</v>
      </c>
      <c r="C10036" s="5" t="s">
        <v>64</v>
      </c>
      <c r="D10036" s="5" t="s">
        <v>1466</v>
      </c>
      <c r="E10036" s="8" t="s">
        <v>193</v>
      </c>
      <c r="F10036" s="5" t="s">
        <v>194</v>
      </c>
      <c r="G10036" s="6" t="str">
        <f>VLOOKUP(E10036,dicionario!$A$1:$C10435,2,0)</f>
        <v>Conirostrum speciosum</v>
      </c>
      <c r="H10036" s="6" t="str">
        <f>VLOOKUP(E10036,dicionario!$A$1:$C10435,3,0)</f>
        <v>figuinha-de-rabo-castanho</v>
      </c>
    </row>
    <row r="10037">
      <c r="A10037" s="3">
        <v>45799.0</v>
      </c>
      <c r="B10037" s="4">
        <v>0.31319444444444444</v>
      </c>
      <c r="C10037" s="5" t="s">
        <v>64</v>
      </c>
      <c r="D10037" s="5" t="s">
        <v>1466</v>
      </c>
      <c r="E10037" s="6" t="s">
        <v>290</v>
      </c>
      <c r="F10037" s="5" t="s">
        <v>291</v>
      </c>
      <c r="G10037" s="6" t="str">
        <f>VLOOKUP(E10037,dicionario!$A$1:$C10436,2,0)</f>
        <v>Drymaria cordata</v>
      </c>
      <c r="H10037" s="6" t="str">
        <f>VLOOKUP(E10037,dicionario!$A$1:$C10436,3,0)</f>
        <v>orelha-de-rato</v>
      </c>
    </row>
    <row r="10038">
      <c r="A10038" s="3">
        <v>45799.0</v>
      </c>
      <c r="B10038" s="4">
        <v>0.3138888888888889</v>
      </c>
      <c r="C10038" s="5" t="s">
        <v>64</v>
      </c>
      <c r="D10038" s="5" t="s">
        <v>1466</v>
      </c>
      <c r="E10038" s="8" t="s">
        <v>1291</v>
      </c>
      <c r="F10038" s="5" t="s">
        <v>1292</v>
      </c>
      <c r="G10038" s="6" t="str">
        <f>VLOOKUP(E10038,dicionario!$A$1:$C10437,2,0)</f>
        <v>Cucumis anguria</v>
      </c>
      <c r="H10038" s="6" t="str">
        <f>VLOOKUP(E10038,dicionario!$A$1:$C10437,3,0)</f>
        <v>maxixe</v>
      </c>
    </row>
    <row r="10039">
      <c r="A10039" s="3">
        <v>45799.0</v>
      </c>
      <c r="B10039" s="4">
        <v>0.3138888888888889</v>
      </c>
      <c r="C10039" s="5" t="s">
        <v>64</v>
      </c>
      <c r="D10039" s="5" t="s">
        <v>1466</v>
      </c>
      <c r="E10039" s="8" t="s">
        <v>167</v>
      </c>
      <c r="F10039" s="5" t="s">
        <v>997</v>
      </c>
      <c r="G10039" s="6" t="str">
        <f>VLOOKUP(E10039,dicionario!$A$1:$C10438,2,0)</f>
        <v>Hemidactylus mabouia</v>
      </c>
      <c r="H10039" s="6" t="str">
        <f>VLOOKUP(E10039,dicionario!$A$1:$C10438,3,0)</f>
        <v>lagartixa-doméstica-tropical</v>
      </c>
    </row>
    <row r="10040">
      <c r="A10040" s="3">
        <v>45799.0</v>
      </c>
      <c r="B10040" s="4">
        <v>0.3138888888888889</v>
      </c>
      <c r="C10040" s="5" t="s">
        <v>64</v>
      </c>
      <c r="D10040" s="5" t="s">
        <v>1466</v>
      </c>
      <c r="E10040" s="8" t="s">
        <v>65</v>
      </c>
      <c r="F10040" s="5" t="s">
        <v>66</v>
      </c>
      <c r="G10040" s="6" t="str">
        <f>VLOOKUP(E10040,dicionario!$A$1:$C10439,2,0)</f>
        <v>Pitangus sulphutarus</v>
      </c>
      <c r="H10040" s="6" t="str">
        <f>VLOOKUP(E10040,dicionario!$A$1:$C10439,3,0)</f>
        <v>bem-te-vi</v>
      </c>
    </row>
    <row r="10041">
      <c r="A10041" s="3">
        <v>45799.0</v>
      </c>
      <c r="B10041" s="4">
        <v>0.3145833333333333</v>
      </c>
      <c r="C10041" s="5" t="s">
        <v>64</v>
      </c>
      <c r="D10041" s="5" t="s">
        <v>1466</v>
      </c>
      <c r="E10041" s="8" t="s">
        <v>141</v>
      </c>
      <c r="F10041" s="5" t="s">
        <v>142</v>
      </c>
      <c r="G10041" s="6" t="str">
        <f>VLOOKUP(E10041,dicionario!$A$1:$C10440,2,0)</f>
        <v>Ruellia blechum</v>
      </c>
      <c r="H10041" s="6" t="str">
        <f>VLOOKUP(E10041,dicionario!$A$1:$C10440,3,0)</f>
        <v>camarão-verde</v>
      </c>
    </row>
    <row r="10042">
      <c r="A10042" s="3">
        <v>45799.0</v>
      </c>
      <c r="B10042" s="4">
        <v>0.3145833333333333</v>
      </c>
      <c r="C10042" s="5" t="s">
        <v>64</v>
      </c>
      <c r="D10042" s="5" t="s">
        <v>1466</v>
      </c>
      <c r="E10042" s="8" t="s">
        <v>122</v>
      </c>
      <c r="F10042" s="5" t="s">
        <v>123</v>
      </c>
      <c r="G10042" s="6" t="str">
        <f>VLOOKUP(E10042,dicionario!$A$1:$C10441,2,0)</f>
        <v>Todirostrum cinereum</v>
      </c>
      <c r="H10042" s="6" t="str">
        <f>VLOOKUP(E10042,dicionario!$A$1:$C10441,3,0)</f>
        <v>ferreirinho-relógio</v>
      </c>
    </row>
    <row r="10043">
      <c r="A10043" s="3">
        <v>45799.0</v>
      </c>
      <c r="B10043" s="4">
        <v>0.31527777777777777</v>
      </c>
      <c r="C10043" s="5" t="s">
        <v>64</v>
      </c>
      <c r="D10043" s="5" t="s">
        <v>1466</v>
      </c>
      <c r="E10043" s="8" t="s">
        <v>1478</v>
      </c>
      <c r="F10043" s="5" t="s">
        <v>309</v>
      </c>
      <c r="G10043" s="6" t="str">
        <f>VLOOKUP(E10043,dicionario!$A$1:$C10442,2,0)</f>
        <v>Lycosa</v>
      </c>
      <c r="H10043" s="6" t="str">
        <f>VLOOKUP(E10043,dicionario!$A$1:$C10442,3,0)</f>
        <v>aranha-lobo</v>
      </c>
    </row>
    <row r="10044">
      <c r="A10044" s="3">
        <v>45799.0</v>
      </c>
      <c r="B10044" s="4">
        <v>0.31527777777777777</v>
      </c>
      <c r="C10044" s="5" t="s">
        <v>64</v>
      </c>
      <c r="D10044" s="5" t="s">
        <v>1466</v>
      </c>
      <c r="E10044" s="8" t="s">
        <v>1297</v>
      </c>
      <c r="F10044" s="5" t="s">
        <v>515</v>
      </c>
      <c r="G10044" s="6" t="str">
        <f>VLOOKUP(E10044,dicionario!$A$1:$C10443,2,0)</f>
        <v>#N/A</v>
      </c>
      <c r="H10044" s="6" t="str">
        <f>VLOOKUP(E10044,dicionario!$A$1:$C10443,3,0)</f>
        <v>#N/A</v>
      </c>
    </row>
    <row r="10045">
      <c r="A10045" s="3">
        <v>45799.0</v>
      </c>
      <c r="B10045" s="4">
        <v>0.31527777777777777</v>
      </c>
      <c r="C10045" s="5" t="s">
        <v>64</v>
      </c>
      <c r="D10045" s="5" t="s">
        <v>1466</v>
      </c>
      <c r="E10045" s="6" t="s">
        <v>148</v>
      </c>
      <c r="F10045" s="5" t="s">
        <v>149</v>
      </c>
      <c r="G10045" s="6" t="str">
        <f>VLOOKUP(E10045,dicionario!$A$1:$C10444,2,0)</f>
        <v>Parthenium hysterophorus</v>
      </c>
      <c r="H10045" s="6" t="str">
        <f>VLOOKUP(E10045,dicionario!$A$1:$C10444,3,0)</f>
        <v>losna-branca</v>
      </c>
    </row>
    <row r="10046">
      <c r="A10046" s="3">
        <v>45799.0</v>
      </c>
      <c r="B10046" s="4">
        <v>0.31666666666666665</v>
      </c>
      <c r="C10046" s="5" t="s">
        <v>64</v>
      </c>
      <c r="D10046" s="5" t="s">
        <v>1466</v>
      </c>
      <c r="E10046" s="12" t="s">
        <v>111</v>
      </c>
      <c r="F10046" s="5" t="s">
        <v>112</v>
      </c>
      <c r="G10046" s="6" t="str">
        <f>VLOOKUP(E10046,dicionario!$A$1:$C10445,2,0)</f>
        <v>Trigona spinipes</v>
      </c>
      <c r="H10046" s="6" t="str">
        <f>VLOOKUP(E10046,dicionario!$A$1:$C10445,3,0)</f>
        <v>abelha-cachorro</v>
      </c>
    </row>
    <row r="10047">
      <c r="A10047" s="3">
        <v>45799.0</v>
      </c>
      <c r="B10047" s="4">
        <v>0.31666666666666665</v>
      </c>
      <c r="C10047" s="5" t="s">
        <v>76</v>
      </c>
      <c r="D10047" s="5" t="s">
        <v>1466</v>
      </c>
      <c r="E10047" s="6" t="s">
        <v>328</v>
      </c>
      <c r="F10047" s="5" t="s">
        <v>329</v>
      </c>
      <c r="G10047" s="6" t="str">
        <f>VLOOKUP(E10047,dicionario!$A$1:$C10446,2,0)</f>
        <v>Rivina humilis</v>
      </c>
      <c r="H10047" s="6" t="str">
        <f>VLOOKUP(E10047,dicionario!$A$1:$C10446,3,0)</f>
        <v>baga-de-sangue</v>
      </c>
    </row>
    <row r="10048">
      <c r="A10048" s="3">
        <v>45799.0</v>
      </c>
      <c r="B10048" s="4">
        <v>0.3215277777777778</v>
      </c>
      <c r="C10048" s="5" t="s">
        <v>76</v>
      </c>
      <c r="D10048" s="5" t="s">
        <v>1466</v>
      </c>
      <c r="E10048" s="8" t="s">
        <v>990</v>
      </c>
      <c r="F10048" s="5" t="s">
        <v>1459</v>
      </c>
      <c r="G10048" s="6" t="str">
        <f>VLOOKUP(E10048,dicionario!$A$1:$C10447,2,0)</f>
        <v>#N/A</v>
      </c>
      <c r="H10048" s="6" t="str">
        <f>VLOOKUP(E10048,dicionario!$A$1:$C10447,3,0)</f>
        <v>#N/A</v>
      </c>
    </row>
    <row r="10049">
      <c r="A10049" s="3">
        <v>45799.0</v>
      </c>
      <c r="B10049" s="4">
        <v>0.3215277777777778</v>
      </c>
      <c r="C10049" s="5" t="s">
        <v>76</v>
      </c>
      <c r="D10049" s="5" t="s">
        <v>1466</v>
      </c>
      <c r="E10049" s="8" t="s">
        <v>253</v>
      </c>
      <c r="F10049" s="5" t="s">
        <v>254</v>
      </c>
      <c r="G10049" s="6" t="str">
        <f>VLOOKUP(E10049,dicionario!$A$1:$C10448,2,0)</f>
        <v>Panicum maximum</v>
      </c>
      <c r="H10049" s="6" t="str">
        <f>VLOOKUP(E10049,dicionario!$A$1:$C10448,3,0)</f>
        <v>capim-colonião</v>
      </c>
    </row>
    <row r="10050">
      <c r="A10050" s="3">
        <v>45799.0</v>
      </c>
      <c r="B10050" s="4">
        <v>0.32222222222222224</v>
      </c>
      <c r="C10050" s="5" t="s">
        <v>76</v>
      </c>
      <c r="D10050" s="5" t="s">
        <v>1466</v>
      </c>
      <c r="E10050" s="8" t="s">
        <v>1331</v>
      </c>
      <c r="F10050" s="5" t="s">
        <v>464</v>
      </c>
      <c r="G10050" s="6" t="str">
        <f>VLOOKUP(E10050,dicionario!$A$1:$C10449,2,0)</f>
        <v>#N/A</v>
      </c>
      <c r="H10050" s="6" t="str">
        <f>VLOOKUP(E10050,dicionario!$A$1:$C10449,3,0)</f>
        <v>#N/A</v>
      </c>
    </row>
    <row r="10051">
      <c r="A10051" s="3">
        <v>45799.0</v>
      </c>
      <c r="B10051" s="4">
        <v>0.32222222222222224</v>
      </c>
      <c r="C10051" s="5" t="s">
        <v>76</v>
      </c>
      <c r="D10051" s="5" t="s">
        <v>1466</v>
      </c>
      <c r="E10051" s="8" t="s">
        <v>353</v>
      </c>
      <c r="F10051" s="5" t="s">
        <v>354</v>
      </c>
      <c r="G10051" s="6" t="str">
        <f>VLOOKUP(E10051,dicionario!$A$1:$C10450,2,0)</f>
        <v>Desmodium incanum</v>
      </c>
      <c r="H10051" s="6" t="str">
        <f>VLOOKUP(E10051,dicionario!$A$1:$C10450,3,0)</f>
        <v>pega-pega</v>
      </c>
    </row>
    <row r="10052">
      <c r="A10052" s="3">
        <v>45799.0</v>
      </c>
      <c r="B10052" s="4">
        <v>0.32222222222222224</v>
      </c>
      <c r="C10052" s="5" t="s">
        <v>76</v>
      </c>
      <c r="D10052" s="5" t="s">
        <v>1466</v>
      </c>
      <c r="E10052" s="8" t="s">
        <v>141</v>
      </c>
      <c r="F10052" s="5" t="s">
        <v>142</v>
      </c>
      <c r="G10052" s="6" t="str">
        <f>VLOOKUP(E10052,dicionario!$A$1:$C10451,2,0)</f>
        <v>Ruellia blechum</v>
      </c>
      <c r="H10052" s="6" t="str">
        <f>VLOOKUP(E10052,dicionario!$A$1:$C10451,3,0)</f>
        <v>camarão-verde</v>
      </c>
    </row>
    <row r="10053">
      <c r="A10053" s="3">
        <v>45799.0</v>
      </c>
      <c r="B10053" s="4">
        <v>0.32222222222222224</v>
      </c>
      <c r="C10053" s="5" t="s">
        <v>76</v>
      </c>
      <c r="D10053" s="5" t="s">
        <v>1466</v>
      </c>
      <c r="E10053" s="6" t="s">
        <v>448</v>
      </c>
      <c r="F10053" s="5" t="s">
        <v>462</v>
      </c>
      <c r="G10053" s="6" t="str">
        <f>VLOOKUP(E10053,dicionario!$A$1:$C10452,2,0)</f>
        <v>Mechanitis polymnia</v>
      </c>
      <c r="H10053" s="6" t="str">
        <f>VLOOKUP(E10053,dicionario!$A$1:$C10452,3,0)</f>
        <v>maria-boba</v>
      </c>
    </row>
    <row r="10054">
      <c r="A10054" s="3">
        <v>45799.0</v>
      </c>
      <c r="B10054" s="4">
        <v>0.32222222222222224</v>
      </c>
      <c r="C10054" s="5" t="s">
        <v>76</v>
      </c>
      <c r="D10054" s="5" t="s">
        <v>1466</v>
      </c>
      <c r="E10054" s="6" t="s">
        <v>267</v>
      </c>
      <c r="F10054" s="5" t="s">
        <v>553</v>
      </c>
      <c r="G10054" s="6" t="str">
        <f>VLOOKUP(E10054,dicionario!$A$1:$C10453,2,0)</f>
        <v>Solanum americanum</v>
      </c>
      <c r="H10054" s="6" t="str">
        <f>VLOOKUP(E10054,dicionario!$A$1:$C10453,3,0)</f>
        <v>maria-pretinha</v>
      </c>
    </row>
    <row r="10055">
      <c r="A10055" s="3">
        <v>45799.0</v>
      </c>
      <c r="B10055" s="4">
        <v>0.32222222222222224</v>
      </c>
      <c r="C10055" s="5" t="s">
        <v>76</v>
      </c>
      <c r="D10055" s="5" t="s">
        <v>1466</v>
      </c>
      <c r="E10055" s="8" t="s">
        <v>271</v>
      </c>
      <c r="F10055" s="5" t="s">
        <v>272</v>
      </c>
      <c r="G10055" s="6" t="str">
        <f>VLOOKUP(E10055,dicionario!$A$1:$C10454,2,0)</f>
        <v>Cyanthillium cinereum</v>
      </c>
      <c r="H10055" s="6" t="str">
        <f>VLOOKUP(E10055,dicionario!$A$1:$C10454,3,0)</f>
        <v>emília</v>
      </c>
    </row>
    <row r="10056">
      <c r="A10056" s="3">
        <v>45799.0</v>
      </c>
      <c r="B10056" s="4">
        <v>0.32222222222222224</v>
      </c>
      <c r="C10056" s="5" t="s">
        <v>76</v>
      </c>
      <c r="D10056" s="5" t="s">
        <v>1466</v>
      </c>
      <c r="E10056" s="8" t="s">
        <v>38</v>
      </c>
      <c r="F10056" s="5" t="s">
        <v>39</v>
      </c>
      <c r="G10056" s="6" t="str">
        <f>VLOOKUP(E10056,dicionario!$A$1:$C10455,2,0)</f>
        <v>Troglodytes musculus</v>
      </c>
      <c r="H10056" s="6" t="str">
        <f>VLOOKUP(E10056,dicionario!$A$1:$C10455,3,0)</f>
        <v>curruíra</v>
      </c>
    </row>
    <row r="10057">
      <c r="A10057" s="3">
        <v>45799.0</v>
      </c>
      <c r="B10057" s="4">
        <v>0.3229166666666667</v>
      </c>
      <c r="C10057" s="5" t="s">
        <v>76</v>
      </c>
      <c r="D10057" s="5" t="s">
        <v>1466</v>
      </c>
      <c r="E10057" s="8" t="s">
        <v>69</v>
      </c>
      <c r="F10057" s="5" t="s">
        <v>71</v>
      </c>
      <c r="G10057" s="6" t="str">
        <f>VLOOKUP(E10057,dicionario!$A$1:$C10456,2,0)</f>
        <v>Talinum fruticosum</v>
      </c>
      <c r="H10057" s="6" t="str">
        <f>VLOOKUP(E10057,dicionario!$A$1:$C10456,3,0)</f>
        <v>beldroega-grande</v>
      </c>
    </row>
    <row r="10058">
      <c r="A10058" s="3">
        <v>45799.0</v>
      </c>
      <c r="B10058" s="4">
        <v>0.3229166666666667</v>
      </c>
      <c r="C10058" s="5" t="s">
        <v>76</v>
      </c>
      <c r="D10058" s="5" t="s">
        <v>1466</v>
      </c>
      <c r="E10058" s="6" t="s">
        <v>471</v>
      </c>
      <c r="F10058" s="5" t="s">
        <v>472</v>
      </c>
      <c r="G10058" s="6" t="str">
        <f>VLOOKUP(E10058,dicionario!$A$1:$C10457,2,0)</f>
        <v>Sida acuta</v>
      </c>
      <c r="H10058" s="6" t="str">
        <f>VLOOKUP(E10058,dicionario!$A$1:$C10457,3,0)</f>
        <v>reloginho</v>
      </c>
    </row>
    <row r="10059">
      <c r="A10059" s="3">
        <v>45799.0</v>
      </c>
      <c r="B10059" s="4">
        <v>0.3229166666666667</v>
      </c>
      <c r="C10059" s="5" t="s">
        <v>76</v>
      </c>
      <c r="D10059" s="5" t="s">
        <v>1466</v>
      </c>
      <c r="E10059" s="8" t="s">
        <v>1367</v>
      </c>
      <c r="F10059" s="5" t="s">
        <v>387</v>
      </c>
      <c r="G10059" s="6" t="str">
        <f>VLOOKUP(E10059,dicionario!$A$1:$C10458,2,0)</f>
        <v>#N/A</v>
      </c>
      <c r="H10059" s="6" t="str">
        <f>VLOOKUP(E10059,dicionario!$A$1:$C10458,3,0)</f>
        <v>#N/A</v>
      </c>
    </row>
    <row r="10060">
      <c r="A10060" s="3">
        <v>45799.0</v>
      </c>
      <c r="B10060" s="4">
        <v>0.3229166666666667</v>
      </c>
      <c r="C10060" s="5" t="s">
        <v>76</v>
      </c>
      <c r="D10060" s="5" t="s">
        <v>1466</v>
      </c>
      <c r="E10060" s="6" t="s">
        <v>290</v>
      </c>
      <c r="F10060" s="5" t="s">
        <v>291</v>
      </c>
      <c r="G10060" s="6" t="str">
        <f>VLOOKUP(E10060,dicionario!$A$1:$C10459,2,0)</f>
        <v>Drymaria cordata</v>
      </c>
      <c r="H10060" s="6" t="str">
        <f>VLOOKUP(E10060,dicionario!$A$1:$C10459,3,0)</f>
        <v>orelha-de-rato</v>
      </c>
    </row>
    <row r="10061">
      <c r="A10061" s="3">
        <v>45799.0</v>
      </c>
      <c r="B10061" s="4">
        <v>0.3236111111111111</v>
      </c>
      <c r="C10061" s="5" t="s">
        <v>76</v>
      </c>
      <c r="D10061" s="5" t="s">
        <v>1466</v>
      </c>
      <c r="E10061" s="8" t="s">
        <v>154</v>
      </c>
      <c r="F10061" s="5" t="s">
        <v>155</v>
      </c>
      <c r="G10061" s="6" t="str">
        <f>VLOOKUP(E10061,dicionario!$A$1:$C10460,2,0)</f>
        <v>Cyperus rotundus</v>
      </c>
      <c r="H10061" s="6" t="str">
        <f>VLOOKUP(E10061,dicionario!$A$1:$C10460,3,0)</f>
        <v>tiririca</v>
      </c>
    </row>
    <row r="10062">
      <c r="A10062" s="3">
        <v>45799.0</v>
      </c>
      <c r="B10062" s="4">
        <v>0.3236111111111111</v>
      </c>
      <c r="C10062" s="5" t="s">
        <v>76</v>
      </c>
      <c r="D10062" s="5" t="s">
        <v>1466</v>
      </c>
      <c r="E10062" s="8" t="s">
        <v>886</v>
      </c>
      <c r="F10062" s="5" t="s">
        <v>887</v>
      </c>
      <c r="G10062" s="6" t="str">
        <f>VLOOKUP(E10062,dicionario!$A$1:$C10461,2,0)</f>
        <v>Oldenlandia corymbosa</v>
      </c>
      <c r="H10062" s="6" t="str">
        <f>VLOOKUP(E10062,dicionario!$A$1:$C10461,3,0)</f>
        <v>erva-diamante</v>
      </c>
    </row>
    <row r="10063">
      <c r="A10063" s="3">
        <v>45799.0</v>
      </c>
      <c r="B10063" s="4">
        <v>0.3236111111111111</v>
      </c>
      <c r="C10063" s="5" t="s">
        <v>76</v>
      </c>
      <c r="D10063" s="5" t="s">
        <v>1466</v>
      </c>
      <c r="E10063" s="6" t="s">
        <v>256</v>
      </c>
      <c r="F10063" s="5" t="s">
        <v>257</v>
      </c>
      <c r="G10063" s="6" t="str">
        <f>VLOOKUP(E10063,dicionario!$A$1:$C10462,2,0)</f>
        <v>Youngia japonica</v>
      </c>
      <c r="H10063" s="6" t="str">
        <f>VLOOKUP(E10063,dicionario!$A$1:$C10462,3,0)</f>
        <v>barba-de-falcão</v>
      </c>
    </row>
    <row r="10064">
      <c r="A10064" s="3">
        <v>45799.0</v>
      </c>
      <c r="B10064" s="4">
        <v>0.3236111111111111</v>
      </c>
      <c r="C10064" s="5" t="s">
        <v>76</v>
      </c>
      <c r="D10064" s="5" t="s">
        <v>1466</v>
      </c>
      <c r="E10064" s="8" t="s">
        <v>83</v>
      </c>
      <c r="F10064" s="5" t="s">
        <v>84</v>
      </c>
      <c r="G10064" s="6" t="str">
        <f>VLOOKUP(E10064,dicionario!$A$1:$C10463,2,0)</f>
        <v>Anartia jatrophae</v>
      </c>
      <c r="H10064" s="6" t="str">
        <f>VLOOKUP(E10064,dicionario!$A$1:$C10463,3,0)</f>
        <v>borboleta-pavão-branco</v>
      </c>
    </row>
    <row r="10065">
      <c r="A10065" s="3">
        <v>45799.0</v>
      </c>
      <c r="B10065" s="4">
        <v>0.32430555555555557</v>
      </c>
      <c r="C10065" s="5" t="s">
        <v>76</v>
      </c>
      <c r="D10065" s="5" t="s">
        <v>1466</v>
      </c>
      <c r="E10065" s="8" t="s">
        <v>1484</v>
      </c>
      <c r="F10065" s="5" t="s">
        <v>1485</v>
      </c>
      <c r="G10065" s="6" t="str">
        <f>VLOOKUP(E10065,dicionario!$A$1:$C10464,2,0)</f>
        <v>Marsypianthes chamaedrys</v>
      </c>
      <c r="H10065" s="6" t="str">
        <f>VLOOKUP(E10065,dicionario!$A$1:$C10464,3,0)</f>
        <v>betônica-brava</v>
      </c>
    </row>
    <row r="10066">
      <c r="A10066" s="3">
        <v>45799.0</v>
      </c>
      <c r="B10066" s="4">
        <v>0.32430555555555557</v>
      </c>
      <c r="C10066" s="5" t="s">
        <v>76</v>
      </c>
      <c r="D10066" s="5" t="s">
        <v>1466</v>
      </c>
      <c r="E10066" s="8" t="s">
        <v>891</v>
      </c>
      <c r="F10066" s="5" t="s">
        <v>1163</v>
      </c>
      <c r="G10066" s="6" t="str">
        <f>VLOOKUP(E10066,dicionario!$A$1:$C10465,2,0)</f>
        <v>Cymaenes tripunctus</v>
      </c>
      <c r="H10066" s="6" t="str">
        <f>VLOOKUP(E10066,dicionario!$A$1:$C10465,3,0)</f>
        <v>borboleta-de-três-pintas</v>
      </c>
    </row>
    <row r="10067">
      <c r="A10067" s="3">
        <v>45799.0</v>
      </c>
      <c r="B10067" s="4">
        <v>0.325</v>
      </c>
      <c r="C10067" s="5" t="s">
        <v>76</v>
      </c>
      <c r="D10067" s="5" t="s">
        <v>1466</v>
      </c>
      <c r="E10067" s="6" t="s">
        <v>467</v>
      </c>
      <c r="F10067" s="5" t="s">
        <v>468</v>
      </c>
      <c r="G10067" s="6" t="str">
        <f>VLOOKUP(E10067,dicionario!$A$1:$C10466,2,0)</f>
        <v>Eleusine indica</v>
      </c>
      <c r="H10067" s="6" t="str">
        <f>VLOOKUP(E10067,dicionario!$A$1:$C10466,3,0)</f>
        <v>capim-pé-de-galinha</v>
      </c>
    </row>
    <row r="10068">
      <c r="A10068" s="3">
        <v>45799.0</v>
      </c>
      <c r="B10068" s="4">
        <v>0.325</v>
      </c>
      <c r="C10068" s="5" t="s">
        <v>76</v>
      </c>
      <c r="D10068" s="5" t="s">
        <v>1466</v>
      </c>
      <c r="E10068" s="8" t="s">
        <v>946</v>
      </c>
      <c r="F10068" s="5" t="s">
        <v>947</v>
      </c>
      <c r="G10068" s="6" t="str">
        <f>VLOOKUP(E10068,dicionario!$A$1:$C10467,2,0)</f>
        <v>Thorybes dorantes</v>
      </c>
      <c r="H10068" s="6" t="str">
        <f>VLOOKUP(E10068,dicionario!$A$1:$C10467,3,0)</f>
        <v>mariposa-de-cauda-lilás</v>
      </c>
    </row>
    <row r="10069">
      <c r="A10069" s="3">
        <v>45799.0</v>
      </c>
      <c r="B10069" s="4">
        <v>0.32569444444444445</v>
      </c>
      <c r="C10069" s="5" t="s">
        <v>76</v>
      </c>
      <c r="D10069" s="5" t="s">
        <v>1466</v>
      </c>
      <c r="E10069" s="8" t="s">
        <v>144</v>
      </c>
      <c r="F10069" s="5" t="s">
        <v>145</v>
      </c>
      <c r="G10069" s="6" t="str">
        <f>VLOOKUP(E10069,dicionario!$A$1:$C10468,2,0)</f>
        <v>Gomphrena globosa</v>
      </c>
      <c r="H10069" s="6" t="str">
        <f>VLOOKUP(E10069,dicionario!$A$1:$C10468,3,0)</f>
        <v>perpétua-rosa</v>
      </c>
    </row>
    <row r="10070">
      <c r="A10070" s="3">
        <v>45799.0</v>
      </c>
      <c r="B10070" s="4">
        <v>0.32569444444444445</v>
      </c>
      <c r="C10070" s="5" t="s">
        <v>76</v>
      </c>
      <c r="D10070" s="5" t="s">
        <v>1466</v>
      </c>
      <c r="E10070" s="6" t="s">
        <v>148</v>
      </c>
      <c r="F10070" s="5" t="s">
        <v>149</v>
      </c>
      <c r="G10070" s="6" t="str">
        <f>VLOOKUP(E10070,dicionario!$A$1:$C10469,2,0)</f>
        <v>Parthenium hysterophorus</v>
      </c>
      <c r="H10070" s="6" t="str">
        <f>VLOOKUP(E10070,dicionario!$A$1:$C10469,3,0)</f>
        <v>losna-branca</v>
      </c>
    </row>
    <row r="10071">
      <c r="A10071" s="3">
        <v>45799.0</v>
      </c>
      <c r="B10071" s="4">
        <v>0.32569444444444445</v>
      </c>
      <c r="C10071" s="5" t="s">
        <v>76</v>
      </c>
      <c r="D10071" s="5" t="s">
        <v>1466</v>
      </c>
      <c r="E10071" s="6" t="s">
        <v>366</v>
      </c>
      <c r="F10071" s="5" t="s">
        <v>367</v>
      </c>
      <c r="G10071" s="6" t="str">
        <f>VLOOKUP(E10071,dicionario!$A$1:$C10470,2,0)</f>
        <v>Alternanthera ficoidea</v>
      </c>
      <c r="H10071" s="6" t="str">
        <f>VLOOKUP(E10071,dicionario!$A$1:$C10470,3,0)</f>
        <v>quebra-panela</v>
      </c>
    </row>
    <row r="10072">
      <c r="A10072" s="3">
        <v>45799.0</v>
      </c>
      <c r="B10072" s="4">
        <v>0.32569444444444445</v>
      </c>
      <c r="C10072" s="5" t="s">
        <v>76</v>
      </c>
      <c r="D10072" s="5" t="s">
        <v>1466</v>
      </c>
      <c r="E10072" s="8" t="s">
        <v>275</v>
      </c>
      <c r="F10072" s="5" t="s">
        <v>276</v>
      </c>
      <c r="G10072" s="6" t="str">
        <f>VLOOKUP(E10072,dicionario!$A$1:$C10471,2,0)</f>
        <v>Bidens pilosa</v>
      </c>
      <c r="H10072" s="6" t="str">
        <f>VLOOKUP(E10072,dicionario!$A$1:$C10471,3,0)</f>
        <v>picão-preto</v>
      </c>
    </row>
    <row r="10073">
      <c r="A10073" s="3">
        <v>45799.0</v>
      </c>
      <c r="B10073" s="4">
        <v>0.32569444444444445</v>
      </c>
      <c r="C10073" s="5" t="s">
        <v>76</v>
      </c>
      <c r="D10073" s="5" t="s">
        <v>1466</v>
      </c>
      <c r="E10073" s="8" t="s">
        <v>427</v>
      </c>
      <c r="F10073" s="5" t="s">
        <v>428</v>
      </c>
      <c r="G10073" s="6" t="str">
        <f>VLOOKUP(E10073,dicionario!$A$1:$C10472,2,0)</f>
        <v>Condylostylus longicornis</v>
      </c>
      <c r="H10073" s="6" t="str">
        <f>VLOOKUP(E10073,dicionario!$A$1:$C10472,3,0)</f>
        <v>mosca-de-pernas-longas</v>
      </c>
    </row>
    <row r="10074">
      <c r="A10074" s="3">
        <v>45799.0</v>
      </c>
      <c r="B10074" s="4">
        <v>0.3263888888888889</v>
      </c>
      <c r="C10074" s="5" t="s">
        <v>76</v>
      </c>
      <c r="D10074" s="5" t="s">
        <v>1466</v>
      </c>
      <c r="E10074" s="6"/>
      <c r="F10074" s="52" t="s">
        <v>1486</v>
      </c>
      <c r="G10074" s="6" t="str">
        <f>VLOOKUP(E10074,dicionario!$A$1:$C10473,2,0)</f>
        <v>#N/A</v>
      </c>
      <c r="H10074" s="6" t="str">
        <f>VLOOKUP(E10074,dicionario!$A$1:$C10473,3,0)</f>
        <v>#N/A</v>
      </c>
    </row>
    <row r="10075">
      <c r="A10075" s="3">
        <v>45799.0</v>
      </c>
      <c r="B10075" s="4">
        <v>0.3263888888888889</v>
      </c>
      <c r="C10075" s="5" t="s">
        <v>76</v>
      </c>
      <c r="D10075" s="5" t="s">
        <v>1466</v>
      </c>
      <c r="E10075" s="8" t="s">
        <v>122</v>
      </c>
      <c r="F10075" s="5" t="s">
        <v>123</v>
      </c>
      <c r="G10075" s="6" t="str">
        <f>VLOOKUP(E10075,dicionario!$A$1:$C10474,2,0)</f>
        <v>Todirostrum cinereum</v>
      </c>
      <c r="H10075" s="6" t="str">
        <f>VLOOKUP(E10075,dicionario!$A$1:$C10474,3,0)</f>
        <v>ferreirinho-relógio</v>
      </c>
    </row>
    <row r="10076">
      <c r="A10076" s="3">
        <v>45799.0</v>
      </c>
      <c r="B10076" s="4">
        <v>0.3263888888888889</v>
      </c>
      <c r="C10076" s="5" t="s">
        <v>76</v>
      </c>
      <c r="D10076" s="5" t="s">
        <v>1466</v>
      </c>
      <c r="E10076" s="8" t="s">
        <v>183</v>
      </c>
      <c r="F10076" s="5" t="s">
        <v>277</v>
      </c>
      <c r="G10076" s="6" t="str">
        <f>VLOOKUP(E10076,dicionario!$A$1:$C10475,2,0)</f>
        <v>Thunbergia alata</v>
      </c>
      <c r="H10076" s="6" t="str">
        <f>VLOOKUP(E10076,dicionario!$A$1:$C10475,3,0)</f>
        <v>susana-dos-olhos-negros</v>
      </c>
    </row>
    <row r="10077">
      <c r="A10077" s="3">
        <v>45799.0</v>
      </c>
      <c r="B10077" s="4">
        <v>0.3263888888888889</v>
      </c>
      <c r="C10077" s="5" t="s">
        <v>76</v>
      </c>
      <c r="D10077" s="5" t="s">
        <v>1466</v>
      </c>
      <c r="E10077" s="8" t="s">
        <v>193</v>
      </c>
      <c r="F10077" s="5" t="s">
        <v>194</v>
      </c>
      <c r="G10077" s="6" t="str">
        <f>VLOOKUP(E10077,dicionario!$A$1:$C10476,2,0)</f>
        <v>Conirostrum speciosum</v>
      </c>
      <c r="H10077" s="6" t="str">
        <f>VLOOKUP(E10077,dicionario!$A$1:$C10476,3,0)</f>
        <v>figuinha-de-rabo-castanho</v>
      </c>
    </row>
    <row r="10078">
      <c r="A10078" s="3">
        <v>45799.0</v>
      </c>
      <c r="B10078" s="4">
        <v>0.3263888888888889</v>
      </c>
      <c r="C10078" s="5" t="s">
        <v>76</v>
      </c>
      <c r="D10078" s="5" t="s">
        <v>1466</v>
      </c>
      <c r="E10078" s="53" t="s">
        <v>1487</v>
      </c>
      <c r="F10078" s="5" t="s">
        <v>1488</v>
      </c>
      <c r="G10078" s="6" t="str">
        <f>VLOOKUP(E10078,dicionario!$A$1:$C10477,2,0)</f>
        <v>Cyrtocymura scorpioides</v>
      </c>
      <c r="H10078" s="6" t="str">
        <f>VLOOKUP(E10078,dicionario!$A$1:$C10477,3,0)</f>
        <v>erva-de-são-simão</v>
      </c>
    </row>
    <row r="10079">
      <c r="A10079" s="3">
        <v>45799.0</v>
      </c>
      <c r="B10079" s="4">
        <v>0.3263888888888889</v>
      </c>
      <c r="C10079" s="5" t="s">
        <v>76</v>
      </c>
      <c r="D10079" s="5" t="s">
        <v>1466</v>
      </c>
      <c r="E10079" s="8" t="s">
        <v>146</v>
      </c>
      <c r="F10079" s="5" t="s">
        <v>147</v>
      </c>
      <c r="G10079" s="6" t="str">
        <f>VLOOKUP(E10079,dicionario!$A$1:$C10478,2,0)</f>
        <v>Euphorbia hirta</v>
      </c>
      <c r="H10079" s="6" t="str">
        <f>VLOOKUP(E10079,dicionario!$A$1:$C10478,3,0)</f>
        <v>erva-de-santa-luzia</v>
      </c>
    </row>
    <row r="10080">
      <c r="A10080" s="3">
        <v>45799.0</v>
      </c>
      <c r="B10080" s="4">
        <v>0.3263888888888889</v>
      </c>
      <c r="C10080" s="5" t="s">
        <v>76</v>
      </c>
      <c r="D10080" s="5" t="s">
        <v>1466</v>
      </c>
      <c r="E10080" s="6" t="s">
        <v>330</v>
      </c>
      <c r="F10080" s="5" t="s">
        <v>331</v>
      </c>
      <c r="G10080" s="6" t="str">
        <f>VLOOKUP(E10080,dicionario!$A$1:$C10479,2,0)</f>
        <v>Hamadryas feronia</v>
      </c>
      <c r="H10080" s="6" t="str">
        <f>VLOOKUP(E10080,dicionario!$A$1:$C10479,3,0)</f>
        <v>borboleta-estaladeira</v>
      </c>
    </row>
    <row r="10081">
      <c r="A10081" s="3">
        <v>45799.0</v>
      </c>
      <c r="B10081" s="4">
        <v>0.3263888888888889</v>
      </c>
      <c r="C10081" s="5" t="s">
        <v>76</v>
      </c>
      <c r="D10081" s="5" t="s">
        <v>1466</v>
      </c>
      <c r="E10081" s="8" t="s">
        <v>41</v>
      </c>
      <c r="F10081" s="5" t="s">
        <v>45</v>
      </c>
      <c r="G10081" s="6" t="str">
        <f>VLOOKUP(E10081,dicionario!$A$1:$C10480,2,0)</f>
        <v>Mimosa pudica</v>
      </c>
      <c r="H10081" s="6" t="str">
        <f>VLOOKUP(E10081,dicionario!$A$1:$C10480,3,0)</f>
        <v>dormideira</v>
      </c>
    </row>
    <row r="10082">
      <c r="A10082" s="3">
        <v>45799.0</v>
      </c>
      <c r="B10082" s="4">
        <v>0.3263888888888889</v>
      </c>
      <c r="C10082" s="5" t="s">
        <v>76</v>
      </c>
      <c r="D10082" s="5" t="s">
        <v>1466</v>
      </c>
      <c r="E10082" s="6" t="s">
        <v>366</v>
      </c>
      <c r="F10082" s="5" t="s">
        <v>367</v>
      </c>
      <c r="G10082" s="6" t="str">
        <f>VLOOKUP(E10082,dicionario!$A$1:$C10481,2,0)</f>
        <v>Alternanthera ficoidea</v>
      </c>
      <c r="H10082" s="6" t="str">
        <f>VLOOKUP(E10082,dicionario!$A$1:$C10481,3,0)</f>
        <v>quebra-panela</v>
      </c>
    </row>
    <row r="10083">
      <c r="A10083" s="3">
        <v>45799.0</v>
      </c>
      <c r="B10083" s="4">
        <v>0.6951388888888889</v>
      </c>
      <c r="C10083" s="5" t="s">
        <v>76</v>
      </c>
      <c r="D10083" s="5" t="s">
        <v>1466</v>
      </c>
      <c r="E10083" s="8" t="s">
        <v>20</v>
      </c>
      <c r="F10083" s="5" t="s">
        <v>21</v>
      </c>
      <c r="G10083" s="6" t="str">
        <f>VLOOKUP(E10083,dicionario!$A$1:$C10482,2,0)</f>
        <v>Sicalis flaveola</v>
      </c>
      <c r="H10083" s="6" t="str">
        <f>VLOOKUP(E10083,dicionario!$A$1:$C10482,3,0)</f>
        <v>canário-da-terra</v>
      </c>
    </row>
    <row r="10084">
      <c r="A10084" s="3">
        <v>45799.0</v>
      </c>
      <c r="B10084" s="4">
        <v>0.32708333333333334</v>
      </c>
      <c r="C10084" s="5" t="s">
        <v>76</v>
      </c>
      <c r="D10084" s="5" t="s">
        <v>1466</v>
      </c>
      <c r="E10084" s="8" t="s">
        <v>324</v>
      </c>
      <c r="F10084" s="5" t="s">
        <v>325</v>
      </c>
      <c r="G10084" s="6" t="str">
        <f>VLOOKUP(E10084,dicionario!$A$1:$C10483,2,0)</f>
        <v>#N/A</v>
      </c>
      <c r="H10084" s="6" t="str">
        <f>VLOOKUP(E10084,dicionario!$A$1:$C10483,3,0)</f>
        <v>#N/A</v>
      </c>
    </row>
    <row r="10085">
      <c r="A10085" s="3">
        <v>45799.0</v>
      </c>
      <c r="B10085" s="4">
        <v>0.3277777777777778</v>
      </c>
      <c r="C10085" s="5" t="s">
        <v>76</v>
      </c>
      <c r="D10085" s="5" t="s">
        <v>1466</v>
      </c>
      <c r="E10085" s="67" t="s">
        <v>1489</v>
      </c>
      <c r="F10085" s="5" t="s">
        <v>1490</v>
      </c>
      <c r="G10085" s="6" t="str">
        <f>VLOOKUP(E10085,dicionario!$A$1:$C10484,2,0)</f>
        <v>Nephrolepis exaltata</v>
      </c>
      <c r="H10085" s="6" t="str">
        <f>VLOOKUP(E10085,dicionario!$A$1:$C10484,3,0)</f>
        <v>samambaia-americana</v>
      </c>
    </row>
    <row r="10086">
      <c r="A10086" s="3">
        <v>45799.0</v>
      </c>
      <c r="B10086" s="4">
        <v>0.3277777777777778</v>
      </c>
      <c r="C10086" s="5" t="s">
        <v>76</v>
      </c>
      <c r="D10086" s="5" t="s">
        <v>1466</v>
      </c>
      <c r="E10086" s="8" t="s">
        <v>139</v>
      </c>
      <c r="F10086" s="5" t="s">
        <v>1491</v>
      </c>
      <c r="G10086" s="6" t="str">
        <f>VLOOKUP(E10086,dicionario!$A$1:$C10485,2,0)</f>
        <v>Tropidurus torquatus</v>
      </c>
      <c r="H10086" s="6" t="str">
        <f>VLOOKUP(E10086,dicionario!$A$1:$C10485,3,0)</f>
        <v>calango; tropiduro-comum</v>
      </c>
    </row>
    <row r="10087">
      <c r="A10087" s="3">
        <v>45799.0</v>
      </c>
      <c r="B10087" s="4">
        <v>0.3277777777777778</v>
      </c>
      <c r="C10087" s="5" t="s">
        <v>76</v>
      </c>
      <c r="D10087" s="5" t="s">
        <v>1466</v>
      </c>
      <c r="E10087" s="8" t="s">
        <v>225</v>
      </c>
      <c r="F10087" s="5" t="s">
        <v>226</v>
      </c>
      <c r="G10087" s="6" t="str">
        <f>VLOOKUP(E10087,dicionario!$A$1:$C10486,2,0)</f>
        <v>Passer domesticus</v>
      </c>
      <c r="H10087" s="6" t="str">
        <f>VLOOKUP(E10087,dicionario!$A$1:$C10486,3,0)</f>
        <v>pardal</v>
      </c>
    </row>
    <row r="10088">
      <c r="A10088" s="3">
        <v>45799.0</v>
      </c>
      <c r="B10088" s="4">
        <v>0.3284722222222222</v>
      </c>
      <c r="C10088" s="5" t="s">
        <v>76</v>
      </c>
      <c r="D10088" s="5" t="s">
        <v>1466</v>
      </c>
      <c r="E10088" s="71" t="s">
        <v>1492</v>
      </c>
      <c r="F10088" s="5" t="s">
        <v>1493</v>
      </c>
      <c r="G10088" s="6" t="str">
        <f>VLOOKUP(E10088,dicionario!$A$1:$C10487,2,0)</f>
        <v>Myiarchus tyrannulus</v>
      </c>
      <c r="H10088" s="6" t="str">
        <f>VLOOKUP(E10088,dicionario!$A$1:$C10487,3,0)</f>
        <v>maria-cavaleira-de-rabo-enferrujado</v>
      </c>
    </row>
    <row r="10089">
      <c r="A10089" s="3">
        <v>45799.0</v>
      </c>
      <c r="B10089" s="4">
        <v>0.3284722222222222</v>
      </c>
      <c r="C10089" s="5" t="s">
        <v>76</v>
      </c>
      <c r="D10089" s="5" t="s">
        <v>1466</v>
      </c>
      <c r="E10089" s="8" t="s">
        <v>296</v>
      </c>
      <c r="F10089" s="5" t="s">
        <v>297</v>
      </c>
      <c r="G10089" s="6" t="str">
        <f>VLOOKUP(E10089,dicionario!$A$1:$C10488,2,0)</f>
        <v>Richardia brasiliensis</v>
      </c>
      <c r="H10089" s="6" t="str">
        <f>VLOOKUP(E10089,dicionario!$A$1:$C10488,3,0)</f>
        <v>poaia-branca</v>
      </c>
    </row>
    <row r="10090">
      <c r="A10090" s="3">
        <v>45799.0</v>
      </c>
      <c r="B10090" s="4">
        <v>0.3284722222222222</v>
      </c>
      <c r="C10090" s="5" t="s">
        <v>76</v>
      </c>
      <c r="D10090" s="5" t="s">
        <v>1466</v>
      </c>
      <c r="E10090" s="6" t="s">
        <v>116</v>
      </c>
      <c r="F10090" s="5" t="s">
        <v>117</v>
      </c>
      <c r="G10090" s="6" t="str">
        <f>VLOOKUP(E10090,dicionario!$A$1:$C10489,2,0)</f>
        <v>Argiope argentata</v>
      </c>
      <c r="H10090" s="6" t="str">
        <f>VLOOKUP(E10090,dicionario!$A$1:$C10489,3,0)</f>
        <v>aranha-de-prata</v>
      </c>
    </row>
    <row r="10091">
      <c r="A10091" s="3">
        <v>45799.0</v>
      </c>
      <c r="B10091" s="4">
        <v>0.3284722222222222</v>
      </c>
      <c r="C10091" s="5" t="s">
        <v>76</v>
      </c>
      <c r="D10091" s="5" t="s">
        <v>1466</v>
      </c>
      <c r="E10091" s="8" t="s">
        <v>135</v>
      </c>
      <c r="F10091" s="5" t="s">
        <v>136</v>
      </c>
      <c r="G10091" s="6" t="str">
        <f>VLOOKUP(E10091,dicionario!$A$1:$C10490,2,0)</f>
        <v>Tridax procumbens</v>
      </c>
      <c r="H10091" s="6" t="str">
        <f>VLOOKUP(E10091,dicionario!$A$1:$C10490,3,0)</f>
        <v>erva-de-touro</v>
      </c>
    </row>
    <row r="10092">
      <c r="A10092" s="3">
        <v>45799.0</v>
      </c>
      <c r="B10092" s="4">
        <v>0.32916666666666666</v>
      </c>
      <c r="C10092" s="5" t="s">
        <v>76</v>
      </c>
      <c r="D10092" s="5" t="s">
        <v>1466</v>
      </c>
      <c r="E10092" s="8" t="s">
        <v>504</v>
      </c>
      <c r="F10092" s="5" t="s">
        <v>534</v>
      </c>
      <c r="G10092" s="6" t="str">
        <f>VLOOKUP(E10092,dicionario!$A$1:$C10491,2,0)</f>
        <v>Cleome aculeata</v>
      </c>
      <c r="H10092" s="6" t="str">
        <f>VLOOKUP(E10092,dicionario!$A$1:$C10491,3,0)</f>
        <v>cleome</v>
      </c>
    </row>
    <row r="10093">
      <c r="A10093" s="3">
        <v>45799.0</v>
      </c>
      <c r="B10093" s="4">
        <v>0.3298611111111111</v>
      </c>
      <c r="C10093" s="5" t="s">
        <v>85</v>
      </c>
      <c r="D10093" s="5" t="s">
        <v>1466</v>
      </c>
      <c r="E10093" s="8" t="s">
        <v>298</v>
      </c>
      <c r="F10093" s="7"/>
      <c r="G10093" s="6" t="str">
        <f>VLOOKUP(E10093,dicionario!$A$1:$C10492,2,0)</f>
        <v>Alysicarpus vaginalis</v>
      </c>
      <c r="H10093" s="6" t="str">
        <f>VLOOKUP(E10093,dicionario!$A$1:$C10492,3,0)</f>
        <v/>
      </c>
    </row>
    <row r="10094">
      <c r="A10094" s="3">
        <v>45799.0</v>
      </c>
      <c r="B10094" s="4">
        <v>0.3298611111111111</v>
      </c>
      <c r="C10094" s="5" t="s">
        <v>85</v>
      </c>
      <c r="D10094" s="5" t="s">
        <v>1466</v>
      </c>
      <c r="E10094" s="8" t="s">
        <v>191</v>
      </c>
      <c r="F10094" s="5" t="s">
        <v>192</v>
      </c>
      <c r="G10094" s="6" t="str">
        <f>VLOOKUP(E10094,dicionario!$A$1:$C10493,2,0)</f>
        <v>Patagioenas picazuro</v>
      </c>
      <c r="H10094" s="6" t="str">
        <f>VLOOKUP(E10094,dicionario!$A$1:$C10493,3,0)</f>
        <v>asa-branca; pomba-asa-branca; pocaçu</v>
      </c>
    </row>
    <row r="10095">
      <c r="A10095" s="3">
        <v>45799.0</v>
      </c>
      <c r="B10095" s="4">
        <v>0.3326388888888889</v>
      </c>
      <c r="C10095" s="5" t="s">
        <v>85</v>
      </c>
      <c r="D10095" s="5" t="s">
        <v>1466</v>
      </c>
      <c r="E10095" s="8" t="s">
        <v>200</v>
      </c>
      <c r="F10095" s="5" t="s">
        <v>201</v>
      </c>
      <c r="G10095" s="6" t="str">
        <f>VLOOKUP(E10095,dicionario!$A$1:$C10494,2,0)</f>
        <v>Columbina picui </v>
      </c>
      <c r="H10095" s="6" t="str">
        <f>VLOOKUP(E10095,dicionario!$A$1:$C10494,3,0)</f>
        <v>rolinha-picuí</v>
      </c>
    </row>
    <row r="10096">
      <c r="A10096" s="3">
        <v>45799.0</v>
      </c>
      <c r="B10096" s="4">
        <v>0.3326388888888889</v>
      </c>
      <c r="C10096" s="5" t="s">
        <v>85</v>
      </c>
      <c r="D10096" s="5" t="s">
        <v>1466</v>
      </c>
      <c r="E10096" s="6" t="s">
        <v>148</v>
      </c>
      <c r="F10096" s="5" t="s">
        <v>149</v>
      </c>
      <c r="G10096" s="6" t="str">
        <f>VLOOKUP(E10096,dicionario!$A$1:$C10495,2,0)</f>
        <v>Parthenium hysterophorus</v>
      </c>
      <c r="H10096" s="6" t="str">
        <f>VLOOKUP(E10096,dicionario!$A$1:$C10495,3,0)</f>
        <v>losna-branca</v>
      </c>
    </row>
    <row r="10097">
      <c r="A10097" s="3">
        <v>45799.0</v>
      </c>
      <c r="B10097" s="4">
        <v>0.3326388888888889</v>
      </c>
      <c r="C10097" s="5" t="s">
        <v>85</v>
      </c>
      <c r="D10097" s="5" t="s">
        <v>1466</v>
      </c>
      <c r="E10097" s="8" t="s">
        <v>1494</v>
      </c>
      <c r="F10097" s="5" t="s">
        <v>110</v>
      </c>
      <c r="G10097" s="6" t="str">
        <f>VLOOKUP(E10097,dicionario!$A$1:$C10496,2,0)</f>
        <v>#N/A</v>
      </c>
      <c r="H10097" s="6" t="str">
        <f>VLOOKUP(E10097,dicionario!$A$1:$C10496,3,0)</f>
        <v>#N/A</v>
      </c>
    </row>
    <row r="10098">
      <c r="A10098" s="3">
        <v>45799.0</v>
      </c>
      <c r="B10098" s="4">
        <v>0.3326388888888889</v>
      </c>
      <c r="C10098" s="5" t="s">
        <v>85</v>
      </c>
      <c r="D10098" s="5" t="s">
        <v>1466</v>
      </c>
      <c r="E10098" s="20" t="s">
        <v>676</v>
      </c>
      <c r="F10098" s="5" t="s">
        <v>677</v>
      </c>
      <c r="G10098" s="6" t="str">
        <f>VLOOKUP(E10098,dicionario!$A$1:$C10497,2,0)</f>
        <v>Zornia latifolia</v>
      </c>
      <c r="H10098" s="6" t="str">
        <f>VLOOKUP(E10098,dicionario!$A$1:$C10497,3,0)</f>
        <v>arrozinho-do-campo</v>
      </c>
    </row>
    <row r="10099">
      <c r="A10099" s="3">
        <v>45799.0</v>
      </c>
      <c r="B10099" s="4">
        <v>0.3326388888888889</v>
      </c>
      <c r="C10099" s="5" t="s">
        <v>85</v>
      </c>
      <c r="D10099" s="5" t="s">
        <v>1466</v>
      </c>
      <c r="E10099" s="12" t="s">
        <v>243</v>
      </c>
      <c r="F10099" s="5" t="s">
        <v>244</v>
      </c>
      <c r="G10099" s="6" t="str">
        <f>VLOOKUP(E10099,dicionario!$A$1:$C10498,2,0)</f>
        <v>Macroptilium atropurpureum</v>
      </c>
      <c r="H10099" s="6" t="str">
        <f>VLOOKUP(E10099,dicionario!$A$1:$C10498,3,0)</f>
        <v>feijão-de-pombo</v>
      </c>
    </row>
    <row r="10100">
      <c r="A10100" s="3">
        <v>45799.0</v>
      </c>
      <c r="B10100" s="4">
        <v>0.3333333333333333</v>
      </c>
      <c r="C10100" s="5" t="s">
        <v>85</v>
      </c>
      <c r="D10100" s="5" t="s">
        <v>1466</v>
      </c>
      <c r="E10100" s="8" t="s">
        <v>1367</v>
      </c>
      <c r="F10100" s="5" t="s">
        <v>387</v>
      </c>
      <c r="G10100" s="6" t="str">
        <f>VLOOKUP(E10100,dicionario!$A$1:$C10499,2,0)</f>
        <v>#N/A</v>
      </c>
      <c r="H10100" s="6" t="str">
        <f>VLOOKUP(E10100,dicionario!$A$1:$C10499,3,0)</f>
        <v>#N/A</v>
      </c>
    </row>
    <row r="10101">
      <c r="A10101" s="3">
        <v>45799.0</v>
      </c>
      <c r="B10101" s="4">
        <v>0.33402777777777776</v>
      </c>
      <c r="C10101" s="5" t="s">
        <v>85</v>
      </c>
      <c r="D10101" s="5" t="s">
        <v>1466</v>
      </c>
      <c r="E10101" s="6" t="s">
        <v>256</v>
      </c>
      <c r="F10101" s="5" t="s">
        <v>257</v>
      </c>
      <c r="G10101" s="6" t="str">
        <f>VLOOKUP(E10101,dicionario!$A$1:$C10500,2,0)</f>
        <v>Youngia japonica</v>
      </c>
      <c r="H10101" s="6" t="str">
        <f>VLOOKUP(E10101,dicionario!$A$1:$C10500,3,0)</f>
        <v>barba-de-falcão</v>
      </c>
    </row>
    <row r="10102">
      <c r="A10102" s="3">
        <v>45799.0</v>
      </c>
      <c r="B10102" s="4">
        <v>0.33402777777777776</v>
      </c>
      <c r="C10102" s="5" t="s">
        <v>85</v>
      </c>
      <c r="D10102" s="5" t="s">
        <v>1466</v>
      </c>
      <c r="E10102" s="8" t="s">
        <v>1495</v>
      </c>
      <c r="F10102" s="5" t="s">
        <v>42</v>
      </c>
      <c r="G10102" s="6" t="str">
        <f>VLOOKUP(E10102,dicionario!$A$1:$C10501,2,0)</f>
        <v>#N/A</v>
      </c>
      <c r="H10102" s="6" t="str">
        <f>VLOOKUP(E10102,dicionario!$A$1:$C10501,3,0)</f>
        <v>#N/A</v>
      </c>
    </row>
    <row r="10103">
      <c r="A10103" s="3">
        <v>45799.0</v>
      </c>
      <c r="B10103" s="4">
        <v>0.33402777777777776</v>
      </c>
      <c r="C10103" s="5" t="s">
        <v>85</v>
      </c>
      <c r="D10103" s="5" t="s">
        <v>1466</v>
      </c>
      <c r="E10103" s="8" t="s">
        <v>271</v>
      </c>
      <c r="F10103" s="5" t="s">
        <v>272</v>
      </c>
      <c r="G10103" s="6" t="str">
        <f>VLOOKUP(E10103,dicionario!$A$1:$C10502,2,0)</f>
        <v>Cyanthillium cinereum</v>
      </c>
      <c r="H10103" s="6" t="str">
        <f>VLOOKUP(E10103,dicionario!$A$1:$C10502,3,0)</f>
        <v>emília</v>
      </c>
    </row>
    <row r="10104">
      <c r="A10104" s="3">
        <v>45799.0</v>
      </c>
      <c r="B10104" s="4">
        <v>0.3347222222222222</v>
      </c>
      <c r="C10104" s="5" t="s">
        <v>85</v>
      </c>
      <c r="D10104" s="5" t="s">
        <v>1466</v>
      </c>
      <c r="E10104" s="8" t="s">
        <v>849</v>
      </c>
      <c r="F10104" s="5" t="s">
        <v>1457</v>
      </c>
      <c r="G10104" s="6" t="str">
        <f>VLOOKUP(E10104,dicionario!$A$1:$C10503,2,0)</f>
        <v>#N/A</v>
      </c>
      <c r="H10104" s="6" t="str">
        <f>VLOOKUP(E10104,dicionario!$A$1:$C10503,3,0)</f>
        <v>#N/A</v>
      </c>
    </row>
    <row r="10105">
      <c r="A10105" s="3">
        <v>45799.0</v>
      </c>
      <c r="B10105" s="4">
        <v>0.3347222222222222</v>
      </c>
      <c r="C10105" s="5" t="s">
        <v>85</v>
      </c>
      <c r="D10105" s="5" t="s">
        <v>1466</v>
      </c>
      <c r="E10105" s="8" t="s">
        <v>177</v>
      </c>
      <c r="F10105" s="5" t="s">
        <v>178</v>
      </c>
      <c r="G10105" s="6" t="str">
        <f>VLOOKUP(E10105,dicionario!$A$1:$C10504,2,0)</f>
        <v>Elaenia flavogaster</v>
      </c>
      <c r="H10105" s="6" t="str">
        <f>VLOOKUP(E10105,dicionario!$A$1:$C10504,3,0)</f>
        <v>guaracava-de-barriga-amarela</v>
      </c>
    </row>
    <row r="10106">
      <c r="A10106" s="3">
        <v>45799.0</v>
      </c>
      <c r="B10106" s="4">
        <v>0.3347222222222222</v>
      </c>
      <c r="C10106" s="5" t="s">
        <v>85</v>
      </c>
      <c r="D10106" s="5" t="s">
        <v>1466</v>
      </c>
      <c r="E10106" s="6" t="s">
        <v>383</v>
      </c>
      <c r="F10106" s="5" t="s">
        <v>384</v>
      </c>
      <c r="G10106" s="6" t="str">
        <f>VLOOKUP(E10106,dicionario!$A$1:$C10505,2,0)</f>
        <v>Setophaga pitiayumi</v>
      </c>
      <c r="H10106" s="6" t="str">
        <f>VLOOKUP(E10106,dicionario!$A$1:$C10505,3,0)</f>
        <v>mariquita</v>
      </c>
    </row>
    <row r="10107">
      <c r="A10107" s="3">
        <v>45799.0</v>
      </c>
      <c r="B10107" s="4">
        <v>0.3347222222222222</v>
      </c>
      <c r="C10107" s="5" t="s">
        <v>85</v>
      </c>
      <c r="D10107" s="5" t="s">
        <v>1466</v>
      </c>
      <c r="E10107" s="8" t="s">
        <v>113</v>
      </c>
      <c r="F10107" s="5" t="s">
        <v>114</v>
      </c>
      <c r="G10107" s="6" t="str">
        <f>VLOOKUP(E10107,dicionario!$A$1:$C10506,2,0)</f>
        <v>Columbina talpacoti</v>
      </c>
      <c r="H10107" s="6" t="str">
        <f>VLOOKUP(E10107,dicionario!$A$1:$C10506,3,0)</f>
        <v>rolinha-roxa</v>
      </c>
    </row>
    <row r="10108">
      <c r="A10108" s="3">
        <v>45799.0</v>
      </c>
      <c r="B10108" s="4">
        <v>0.3347222222222222</v>
      </c>
      <c r="C10108" s="5" t="s">
        <v>85</v>
      </c>
      <c r="D10108" s="5" t="s">
        <v>1466</v>
      </c>
      <c r="E10108" s="8" t="s">
        <v>213</v>
      </c>
      <c r="F10108" s="5" t="s">
        <v>214</v>
      </c>
      <c r="G10108" s="6" t="str">
        <f>VLOOKUP(E10108,dicionario!$A$1:$C10507,2,0)</f>
        <v>Myiozetetes similis</v>
      </c>
      <c r="H10108" s="6" t="str">
        <f>VLOOKUP(E10108,dicionario!$A$1:$C10507,3,0)</f>
        <v>bentevizinho-de-penacho-vermelho</v>
      </c>
    </row>
    <row r="10109">
      <c r="A10109" s="3">
        <v>45799.0</v>
      </c>
      <c r="B10109" s="4">
        <v>0.33541666666666664</v>
      </c>
      <c r="C10109" s="5" t="s">
        <v>85</v>
      </c>
      <c r="D10109" s="5" t="s">
        <v>1466</v>
      </c>
      <c r="E10109" s="8" t="s">
        <v>46</v>
      </c>
      <c r="F10109" s="5" t="s">
        <v>47</v>
      </c>
      <c r="G10109" s="6" t="str">
        <f>VLOOKUP(E10109,dicionario!$A$1:$C10508,2,0)</f>
        <v>Chionomesa fimbriata</v>
      </c>
      <c r="H10109" s="6" t="str">
        <f>VLOOKUP(E10109,dicionario!$A$1:$C10508,3,0)</f>
        <v>beija-flor-de-garganta-verde</v>
      </c>
    </row>
    <row r="10110">
      <c r="A10110" s="3">
        <v>45799.0</v>
      </c>
      <c r="B10110" s="4">
        <v>0.33541666666666664</v>
      </c>
      <c r="C10110" s="5" t="s">
        <v>85</v>
      </c>
      <c r="D10110" s="5" t="s">
        <v>1466</v>
      </c>
      <c r="E10110" s="8" t="s">
        <v>38</v>
      </c>
      <c r="F10110" s="5" t="s">
        <v>39</v>
      </c>
      <c r="G10110" s="6" t="str">
        <f>VLOOKUP(E10110,dicionario!$A$1:$C10509,2,0)</f>
        <v>Troglodytes musculus</v>
      </c>
      <c r="H10110" s="6" t="str">
        <f>VLOOKUP(E10110,dicionario!$A$1:$C10509,3,0)</f>
        <v>curruíra</v>
      </c>
    </row>
    <row r="10111">
      <c r="A10111" s="3">
        <v>45799.0</v>
      </c>
      <c r="B10111" s="4">
        <v>0.33541666666666664</v>
      </c>
      <c r="C10111" s="5" t="s">
        <v>1496</v>
      </c>
      <c r="D10111" s="5" t="s">
        <v>1466</v>
      </c>
      <c r="E10111" s="8" t="s">
        <v>109</v>
      </c>
      <c r="F10111" s="5" t="s">
        <v>110</v>
      </c>
      <c r="G10111" s="6" t="str">
        <f>VLOOKUP(E10111,dicionario!$A$1:$C10510,2,0)</f>
        <v>Tillandsia stricta</v>
      </c>
      <c r="H10111" s="6" t="str">
        <f>VLOOKUP(E10111,dicionario!$A$1:$C10510,3,0)</f>
        <v>cravo-do-mato</v>
      </c>
    </row>
    <row r="10112">
      <c r="A10112" s="3">
        <v>45799.0</v>
      </c>
      <c r="B10112" s="4">
        <v>0.33541666666666664</v>
      </c>
      <c r="C10112" s="5" t="s">
        <v>1496</v>
      </c>
      <c r="D10112" s="5" t="s">
        <v>1466</v>
      </c>
      <c r="E10112" s="8" t="s">
        <v>1175</v>
      </c>
      <c r="F10112" s="5" t="s">
        <v>1176</v>
      </c>
      <c r="G10112" s="6" t="str">
        <f>VLOOKUP(E10112,dicionario!$A$1:$C10511,2,0)</f>
        <v>Danaus erippus</v>
      </c>
      <c r="H10112" s="6" t="str">
        <f>VLOOKUP(E10112,dicionario!$A$1:$C10511,3,0)</f>
        <v>borboleta-monarca-do-sul</v>
      </c>
    </row>
    <row r="10113">
      <c r="A10113" s="3">
        <v>45799.0</v>
      </c>
      <c r="B10113" s="4">
        <v>0.3368055555555556</v>
      </c>
      <c r="C10113" s="5" t="s">
        <v>1496</v>
      </c>
      <c r="D10113" s="5" t="s">
        <v>1466</v>
      </c>
      <c r="E10113" s="8" t="s">
        <v>338</v>
      </c>
      <c r="F10113" s="5" t="s">
        <v>238</v>
      </c>
      <c r="G10113" s="6" t="str">
        <f>VLOOKUP(E10113,dicionario!$A$1:$C10512,2,0)</f>
        <v>Atta</v>
      </c>
      <c r="H10113" s="6" t="str">
        <f>VLOOKUP(E10113,dicionario!$A$1:$C10512,3,0)</f>
        <v>saúva</v>
      </c>
    </row>
    <row r="10114">
      <c r="A10114" s="3">
        <v>45799.0</v>
      </c>
      <c r="B10114" s="4">
        <v>0.3375</v>
      </c>
      <c r="C10114" s="5" t="s">
        <v>1496</v>
      </c>
      <c r="D10114" s="5" t="s">
        <v>1466</v>
      </c>
      <c r="E10114" s="8" t="s">
        <v>22</v>
      </c>
      <c r="F10114" s="5" t="s">
        <v>97</v>
      </c>
      <c r="G10114" s="6" t="str">
        <f>VLOOKUP(E10114,dicionario!$A$1:$C10513,2,0)</f>
        <v>Zenaida auriculata</v>
      </c>
      <c r="H10114" s="6" t="str">
        <f>VLOOKUP(E10114,dicionario!$A$1:$C10513,3,0)</f>
        <v>pomba-de-bando; avoante</v>
      </c>
    </row>
    <row r="10115">
      <c r="A10115" s="3">
        <v>45799.0</v>
      </c>
      <c r="B10115" s="4">
        <v>0.3375</v>
      </c>
      <c r="C10115" s="5" t="s">
        <v>1496</v>
      </c>
      <c r="D10115" s="5" t="s">
        <v>1466</v>
      </c>
      <c r="E10115" s="8" t="s">
        <v>105</v>
      </c>
      <c r="F10115" s="5" t="s">
        <v>106</v>
      </c>
      <c r="G10115" s="6" t="str">
        <f>VLOOKUP(E10115,dicionario!$A$1:$C10514,2,0)</f>
        <v>Progne tapera</v>
      </c>
      <c r="H10115" s="6" t="str">
        <f>VLOOKUP(E10115,dicionario!$A$1:$C10514,3,0)</f>
        <v>andorinha-do-campo</v>
      </c>
    </row>
    <row r="10116">
      <c r="A10116" s="3">
        <v>45799.0</v>
      </c>
      <c r="B10116" s="4">
        <v>0.33819444444444446</v>
      </c>
      <c r="C10116" s="5" t="s">
        <v>1496</v>
      </c>
      <c r="D10116" s="5" t="s">
        <v>1466</v>
      </c>
      <c r="E10116" s="8" t="s">
        <v>732</v>
      </c>
      <c r="F10116" s="7"/>
      <c r="G10116" s="6" t="str">
        <f>VLOOKUP(E10116,dicionario!$A$1:$C10515,2,0)</f>
        <v>#N/A</v>
      </c>
      <c r="H10116" s="6" t="str">
        <f>VLOOKUP(E10116,dicionario!$A$1:$C10515,3,0)</f>
        <v>#N/A</v>
      </c>
    </row>
    <row r="10117">
      <c r="A10117" s="3">
        <v>45799.0</v>
      </c>
      <c r="B10117" s="4">
        <v>0.3388888888888889</v>
      </c>
      <c r="C10117" s="5" t="s">
        <v>1496</v>
      </c>
      <c r="D10117" s="5" t="s">
        <v>1466</v>
      </c>
      <c r="E10117" s="8" t="s">
        <v>353</v>
      </c>
      <c r="F10117" s="5" t="s">
        <v>354</v>
      </c>
      <c r="G10117" s="6" t="str">
        <f>VLOOKUP(E10117,dicionario!$A$1:$C10516,2,0)</f>
        <v>Desmodium incanum</v>
      </c>
      <c r="H10117" s="6" t="str">
        <f>VLOOKUP(E10117,dicionario!$A$1:$C10516,3,0)</f>
        <v>pega-pega</v>
      </c>
    </row>
    <row r="10118">
      <c r="A10118" s="3">
        <v>45799.0</v>
      </c>
      <c r="B10118" s="4">
        <v>0.33958333333333335</v>
      </c>
      <c r="C10118" s="5" t="s">
        <v>1496</v>
      </c>
      <c r="D10118" s="5" t="s">
        <v>1466</v>
      </c>
      <c r="E10118" s="8" t="s">
        <v>38</v>
      </c>
      <c r="F10118" s="5" t="s">
        <v>39</v>
      </c>
      <c r="G10118" s="6" t="str">
        <f>VLOOKUP(E10118,dicionario!$A$1:$C10517,2,0)</f>
        <v>Troglodytes musculus</v>
      </c>
      <c r="H10118" s="6" t="str">
        <f>VLOOKUP(E10118,dicionario!$A$1:$C10517,3,0)</f>
        <v>curruíra</v>
      </c>
    </row>
    <row r="10119">
      <c r="A10119" s="3">
        <v>45799.0</v>
      </c>
      <c r="B10119" s="4">
        <v>0.3402777777777778</v>
      </c>
      <c r="C10119" s="5" t="s">
        <v>1496</v>
      </c>
      <c r="D10119" s="5" t="s">
        <v>1466</v>
      </c>
      <c r="E10119" s="8" t="s">
        <v>1427</v>
      </c>
      <c r="F10119" s="5" t="s">
        <v>44</v>
      </c>
      <c r="G10119" s="6" t="str">
        <f>VLOOKUP(E10119,dicionario!$A$1:$C10518,2,0)</f>
        <v>#N/A</v>
      </c>
      <c r="H10119" s="6" t="str">
        <f>VLOOKUP(E10119,dicionario!$A$1:$C10518,3,0)</f>
        <v>#N/A</v>
      </c>
    </row>
    <row r="10120">
      <c r="A10120" s="3">
        <v>45799.0</v>
      </c>
      <c r="B10120" s="4">
        <v>0.3402777777777778</v>
      </c>
      <c r="C10120" s="5" t="s">
        <v>1496</v>
      </c>
      <c r="D10120" s="5" t="s">
        <v>1466</v>
      </c>
      <c r="E10120" s="8" t="s">
        <v>175</v>
      </c>
      <c r="F10120" s="5" t="s">
        <v>176</v>
      </c>
      <c r="G10120" s="6" t="str">
        <f>VLOOKUP(E10120,dicionario!$A$1:$C10519,2,0)</f>
        <v>Turdus leucomelas</v>
      </c>
      <c r="H10120" s="6" t="str">
        <f>VLOOKUP(E10120,dicionario!$A$1:$C10519,3,0)</f>
        <v>sabiá-barranco</v>
      </c>
    </row>
    <row r="10121">
      <c r="A10121" s="3">
        <v>45799.0</v>
      </c>
      <c r="B10121" s="4">
        <v>0.34097222222222223</v>
      </c>
      <c r="C10121" s="5" t="s">
        <v>1496</v>
      </c>
      <c r="D10121" s="5" t="s">
        <v>1466</v>
      </c>
      <c r="E10121" s="8" t="s">
        <v>253</v>
      </c>
      <c r="F10121" s="5" t="s">
        <v>254</v>
      </c>
      <c r="G10121" s="6" t="str">
        <f>VLOOKUP(E10121,dicionario!$A$1:$C10520,2,0)</f>
        <v>Panicum maximum</v>
      </c>
      <c r="H10121" s="6" t="str">
        <f>VLOOKUP(E10121,dicionario!$A$1:$C10520,3,0)</f>
        <v>capim-colonião</v>
      </c>
    </row>
    <row r="10122">
      <c r="A10122" s="3">
        <v>45799.0</v>
      </c>
      <c r="B10122" s="4">
        <v>0.3423611111111111</v>
      </c>
      <c r="C10122" s="5" t="s">
        <v>1496</v>
      </c>
      <c r="D10122" s="5" t="s">
        <v>1466</v>
      </c>
      <c r="E10122" s="8" t="s">
        <v>1280</v>
      </c>
      <c r="F10122" s="5" t="s">
        <v>1156</v>
      </c>
      <c r="G10122" s="6" t="str">
        <f>VLOOKUP(E10122,dicionario!$A$1:$C10521,2,0)</f>
        <v>Paspalum notatum</v>
      </c>
      <c r="H10122" s="6" t="str">
        <f>VLOOKUP(E10122,dicionario!$A$1:$C10521,3,0)</f>
        <v>capim-forquilha</v>
      </c>
    </row>
    <row r="10123">
      <c r="A10123" s="3">
        <v>45799.0</v>
      </c>
      <c r="B10123" s="4">
        <v>0.3423611111111111</v>
      </c>
      <c r="C10123" s="5" t="s">
        <v>1496</v>
      </c>
      <c r="D10123" s="5" t="s">
        <v>1466</v>
      </c>
      <c r="E10123" s="8" t="s">
        <v>65</v>
      </c>
      <c r="F10123" s="5" t="s">
        <v>66</v>
      </c>
      <c r="G10123" s="6" t="str">
        <f>VLOOKUP(E10123,dicionario!$A$1:$C10522,2,0)</f>
        <v>Pitangus sulphutarus</v>
      </c>
      <c r="H10123" s="6" t="str">
        <f>VLOOKUP(E10123,dicionario!$A$1:$C10522,3,0)</f>
        <v>bem-te-vi</v>
      </c>
    </row>
    <row r="10124">
      <c r="A10124" s="3">
        <v>45799.0</v>
      </c>
      <c r="B10124" s="4">
        <v>0.3423611111111111</v>
      </c>
      <c r="C10124" s="5" t="s">
        <v>1496</v>
      </c>
      <c r="D10124" s="5" t="s">
        <v>1466</v>
      </c>
      <c r="E10124" s="8" t="s">
        <v>113</v>
      </c>
      <c r="F10124" s="5" t="s">
        <v>114</v>
      </c>
      <c r="G10124" s="6" t="str">
        <f>VLOOKUP(E10124,dicionario!$A$1:$C10523,2,0)</f>
        <v>Columbina talpacoti</v>
      </c>
      <c r="H10124" s="6" t="str">
        <f>VLOOKUP(E10124,dicionario!$A$1:$C10523,3,0)</f>
        <v>rolinha-roxa</v>
      </c>
    </row>
    <row r="10125">
      <c r="A10125" s="3">
        <v>45799.0</v>
      </c>
      <c r="B10125" s="4">
        <v>0.3423611111111111</v>
      </c>
      <c r="C10125" s="5" t="s">
        <v>1496</v>
      </c>
      <c r="D10125" s="5" t="s">
        <v>1466</v>
      </c>
      <c r="E10125" s="8" t="s">
        <v>88</v>
      </c>
      <c r="F10125" s="5" t="s">
        <v>89</v>
      </c>
      <c r="G10125" s="6" t="str">
        <f>VLOOKUP(E10125,dicionario!$A$1:$C10524,2,0)</f>
        <v>Tyrannus melancolichus</v>
      </c>
      <c r="H10125" s="6" t="str">
        <f>VLOOKUP(E10125,dicionario!$A$1:$C10524,3,0)</f>
        <v>suiriri</v>
      </c>
    </row>
    <row r="10126">
      <c r="A10126" s="3">
        <v>45799.0</v>
      </c>
      <c r="B10126" s="4">
        <v>0.34305555555555556</v>
      </c>
      <c r="C10126" s="5" t="s">
        <v>1496</v>
      </c>
      <c r="D10126" s="5" t="s">
        <v>1466</v>
      </c>
      <c r="E10126" s="8" t="s">
        <v>191</v>
      </c>
      <c r="F10126" s="5" t="s">
        <v>192</v>
      </c>
      <c r="G10126" s="6" t="str">
        <f>VLOOKUP(E10126,dicionario!$A$1:$C10525,2,0)</f>
        <v>Patagioenas picazuro</v>
      </c>
      <c r="H10126" s="6" t="str">
        <f>VLOOKUP(E10126,dicionario!$A$1:$C10525,3,0)</f>
        <v>asa-branca; pomba-asa-branca; pocaçu</v>
      </c>
    </row>
    <row r="10127">
      <c r="A10127" s="3">
        <v>45799.0</v>
      </c>
      <c r="B10127" s="4">
        <v>0.34305555555555556</v>
      </c>
      <c r="C10127" s="5" t="s">
        <v>1496</v>
      </c>
      <c r="D10127" s="5" t="s">
        <v>1466</v>
      </c>
      <c r="E10127" s="8" t="s">
        <v>712</v>
      </c>
      <c r="F10127" s="5" t="s">
        <v>718</v>
      </c>
      <c r="G10127" s="6" t="str">
        <f>VLOOKUP(E10127,dicionario!$A$1:$C10526,2,0)</f>
        <v>Flavopunctelia soredica</v>
      </c>
      <c r="H10127" s="6" t="str">
        <f>VLOOKUP(E10127,dicionario!$A$1:$C10526,3,0)</f>
        <v>líquen-folioso</v>
      </c>
    </row>
    <row r="10128">
      <c r="A10128" s="3">
        <v>45799.0</v>
      </c>
      <c r="B10128" s="4">
        <v>0.34305555555555556</v>
      </c>
      <c r="C10128" s="5" t="s">
        <v>1496</v>
      </c>
      <c r="D10128" s="5" t="s">
        <v>1466</v>
      </c>
      <c r="E10128" s="8" t="s">
        <v>719</v>
      </c>
      <c r="F10128" s="5" t="s">
        <v>911</v>
      </c>
      <c r="G10128" s="6" t="str">
        <f>VLOOKUP(E10128,dicionario!$A$1:$C10527,2,0)</f>
        <v>Dirinaria</v>
      </c>
      <c r="H10128" s="6" t="str">
        <f>VLOOKUP(E10128,dicionario!$A$1:$C10527,3,0)</f>
        <v>líquen-crostoso</v>
      </c>
    </row>
    <row r="10129">
      <c r="A10129" s="3">
        <v>45799.0</v>
      </c>
      <c r="B10129" s="4">
        <v>0.34305555555555556</v>
      </c>
      <c r="C10129" s="5" t="s">
        <v>1496</v>
      </c>
      <c r="D10129" s="5" t="s">
        <v>1466</v>
      </c>
      <c r="E10129" s="8" t="s">
        <v>107</v>
      </c>
      <c r="F10129" s="5" t="s">
        <v>108</v>
      </c>
      <c r="G10129" s="6" t="str">
        <f>VLOOKUP(E10129,dicionario!$A$1:$C10528,2,0)</f>
        <v>Ramalina complanata</v>
      </c>
      <c r="H10129" s="6" t="str">
        <f>VLOOKUP(E10129,dicionario!$A$1:$C10528,3,0)</f>
        <v>ramalina</v>
      </c>
    </row>
    <row r="10130">
      <c r="A10130" s="3">
        <v>45799.0</v>
      </c>
      <c r="B10130" s="4">
        <v>0.34305555555555556</v>
      </c>
      <c r="C10130" s="5" t="s">
        <v>1496</v>
      </c>
      <c r="D10130" s="5" t="s">
        <v>1466</v>
      </c>
      <c r="E10130" s="8" t="s">
        <v>1024</v>
      </c>
      <c r="F10130" s="5" t="s">
        <v>969</v>
      </c>
      <c r="G10130" s="6" t="str">
        <f>VLOOKUP(E10130,dicionario!$A$1:$C10529,2,0)</f>
        <v>Usnea barbata</v>
      </c>
      <c r="H10130" s="6" t="str">
        <f>VLOOKUP(E10130,dicionario!$A$1:$C10529,3,0)</f>
        <v>barba-de-velho</v>
      </c>
    </row>
    <row r="10131">
      <c r="A10131" s="3">
        <v>45799.0</v>
      </c>
      <c r="B10131" s="4">
        <v>0.34375</v>
      </c>
      <c r="C10131" s="5" t="s">
        <v>1496</v>
      </c>
      <c r="D10131" s="5" t="s">
        <v>1466</v>
      </c>
      <c r="E10131" s="8" t="s">
        <v>286</v>
      </c>
      <c r="F10131" s="5" t="s">
        <v>287</v>
      </c>
      <c r="G10131" s="6" t="str">
        <f>VLOOKUP(E10131,dicionario!$A$1:$C10530,2,0)</f>
        <v>Setaria parviflora</v>
      </c>
      <c r="H10131" s="6" t="str">
        <f>VLOOKUP(E10131,dicionario!$A$1:$C10530,3,0)</f>
        <v>capim-rabo-de-raposa</v>
      </c>
    </row>
    <row r="10132">
      <c r="A10132" s="3">
        <v>45799.0</v>
      </c>
      <c r="B10132" s="4">
        <v>0.34652777777777777</v>
      </c>
      <c r="C10132" s="5" t="s">
        <v>1496</v>
      </c>
      <c r="D10132" s="5" t="s">
        <v>1466</v>
      </c>
      <c r="E10132" s="8" t="s">
        <v>195</v>
      </c>
      <c r="F10132" s="5" t="s">
        <v>196</v>
      </c>
      <c r="G10132" s="6" t="str">
        <f>VLOOKUP(E10132,dicionario!$A$1:$C10531,2,0)</f>
        <v>Priva lappulacea</v>
      </c>
      <c r="H10132" s="6" t="str">
        <f>VLOOKUP(E10132,dicionario!$A$1:$C10531,3,0)</f>
        <v>carrapicho</v>
      </c>
    </row>
    <row r="10133">
      <c r="A10133" s="3">
        <v>45799.0</v>
      </c>
      <c r="B10133" s="4">
        <v>0.34652777777777777</v>
      </c>
      <c r="C10133" s="5" t="s">
        <v>1496</v>
      </c>
      <c r="D10133" s="5" t="s">
        <v>1466</v>
      </c>
      <c r="E10133" s="12" t="s">
        <v>111</v>
      </c>
      <c r="F10133" s="5" t="s">
        <v>112</v>
      </c>
      <c r="G10133" s="6" t="str">
        <f>VLOOKUP(E10133,dicionario!$A$1:$C10532,2,0)</f>
        <v>Trigona spinipes</v>
      </c>
      <c r="H10133" s="6" t="str">
        <f>VLOOKUP(E10133,dicionario!$A$1:$C10532,3,0)</f>
        <v>abelha-cachorro</v>
      </c>
    </row>
    <row r="10134">
      <c r="A10134" s="3">
        <v>45799.0</v>
      </c>
      <c r="B10134" s="4">
        <v>0.34652777777777777</v>
      </c>
      <c r="C10134" s="5" t="s">
        <v>1496</v>
      </c>
      <c r="D10134" s="5" t="s">
        <v>1466</v>
      </c>
      <c r="E10134" s="6"/>
      <c r="F10134" s="52" t="s">
        <v>1497</v>
      </c>
      <c r="G10134" s="6" t="str">
        <f>VLOOKUP(E10134,dicionario!$A$1:$C10533,2,0)</f>
        <v>#N/A</v>
      </c>
      <c r="H10134" s="6" t="str">
        <f>VLOOKUP(E10134,dicionario!$A$1:$C10533,3,0)</f>
        <v>#N/A</v>
      </c>
    </row>
    <row r="10135">
      <c r="A10135" s="3">
        <v>45806.0</v>
      </c>
      <c r="B10135" s="4">
        <v>0.2638888888888889</v>
      </c>
      <c r="C10135" s="5" t="s">
        <v>90</v>
      </c>
      <c r="D10135" s="5" t="s">
        <v>1498</v>
      </c>
      <c r="E10135" s="8" t="s">
        <v>191</v>
      </c>
      <c r="F10135" s="5" t="s">
        <v>192</v>
      </c>
      <c r="G10135" s="6" t="str">
        <f>VLOOKUP(E10135,dicionario!$A$1:$C10534,2,0)</f>
        <v>Patagioenas picazuro</v>
      </c>
      <c r="H10135" s="6" t="str">
        <f>VLOOKUP(E10135,dicionario!$A$1:$C10534,3,0)</f>
        <v>asa-branca; pomba-asa-branca; pocaçu</v>
      </c>
    </row>
    <row r="10136">
      <c r="A10136" s="3">
        <v>45806.0</v>
      </c>
      <c r="B10136" s="4">
        <v>0.2638888888888889</v>
      </c>
      <c r="C10136" s="5" t="s">
        <v>90</v>
      </c>
      <c r="D10136" s="5" t="s">
        <v>1498</v>
      </c>
      <c r="E10136" s="8" t="s">
        <v>38</v>
      </c>
      <c r="F10136" s="5" t="s">
        <v>39</v>
      </c>
      <c r="G10136" s="6" t="str">
        <f>VLOOKUP(E10136,dicionario!$A$1:$C10535,2,0)</f>
        <v>Troglodytes musculus</v>
      </c>
      <c r="H10136" s="6" t="str">
        <f>VLOOKUP(E10136,dicionario!$A$1:$C10535,3,0)</f>
        <v>curruíra</v>
      </c>
    </row>
    <row r="10137">
      <c r="A10137" s="3">
        <v>45806.0</v>
      </c>
      <c r="B10137" s="4">
        <v>0.2638888888888889</v>
      </c>
      <c r="C10137" s="5" t="s">
        <v>90</v>
      </c>
      <c r="D10137" s="5" t="s">
        <v>1498</v>
      </c>
      <c r="E10137" s="8" t="s">
        <v>141</v>
      </c>
      <c r="F10137" s="5" t="s">
        <v>142</v>
      </c>
      <c r="G10137" s="6" t="str">
        <f>VLOOKUP(E10137,dicionario!$A$1:$C10536,2,0)</f>
        <v>Ruellia blechum</v>
      </c>
      <c r="H10137" s="6" t="str">
        <f>VLOOKUP(E10137,dicionario!$A$1:$C10536,3,0)</f>
        <v>camarão-verde</v>
      </c>
    </row>
    <row r="10138">
      <c r="A10138" s="3">
        <v>45806.0</v>
      </c>
      <c r="B10138" s="4">
        <v>0.2638888888888889</v>
      </c>
      <c r="C10138" s="5" t="s">
        <v>90</v>
      </c>
      <c r="D10138" s="5" t="s">
        <v>1498</v>
      </c>
      <c r="E10138" s="8" t="s">
        <v>88</v>
      </c>
      <c r="F10138" s="5" t="s">
        <v>89</v>
      </c>
      <c r="G10138" s="6" t="str">
        <f>VLOOKUP(E10138,dicionario!$A$1:$C10537,2,0)</f>
        <v>Tyrannus melancolichus</v>
      </c>
      <c r="H10138" s="6" t="str">
        <f>VLOOKUP(E10138,dicionario!$A$1:$C10537,3,0)</f>
        <v>suiriri</v>
      </c>
    </row>
    <row r="10139">
      <c r="A10139" s="3">
        <v>45806.0</v>
      </c>
      <c r="B10139" s="4">
        <v>0.26458333333333334</v>
      </c>
      <c r="C10139" s="5" t="s">
        <v>90</v>
      </c>
      <c r="D10139" s="5" t="s">
        <v>1498</v>
      </c>
      <c r="E10139" s="8" t="s">
        <v>122</v>
      </c>
      <c r="F10139" s="5" t="s">
        <v>123</v>
      </c>
      <c r="G10139" s="6" t="str">
        <f>VLOOKUP(E10139,dicionario!$A$1:$C10538,2,0)</f>
        <v>Todirostrum cinereum</v>
      </c>
      <c r="H10139" s="6" t="str">
        <f>VLOOKUP(E10139,dicionario!$A$1:$C10538,3,0)</f>
        <v>ferreirinho-relógio</v>
      </c>
    </row>
    <row r="10140">
      <c r="A10140" s="3">
        <v>45806.0</v>
      </c>
      <c r="B10140" s="4">
        <v>0.26458333333333334</v>
      </c>
      <c r="C10140" s="5" t="s">
        <v>90</v>
      </c>
      <c r="D10140" s="5" t="s">
        <v>1498</v>
      </c>
      <c r="E10140" s="8" t="s">
        <v>22</v>
      </c>
      <c r="F10140" s="5" t="s">
        <v>97</v>
      </c>
      <c r="G10140" s="6" t="str">
        <f>VLOOKUP(E10140,dicionario!$A$1:$C10539,2,0)</f>
        <v>Zenaida auriculata</v>
      </c>
      <c r="H10140" s="6" t="str">
        <f>VLOOKUP(E10140,dicionario!$A$1:$C10539,3,0)</f>
        <v>pomba-de-bando; avoante</v>
      </c>
    </row>
    <row r="10141">
      <c r="A10141" s="3">
        <v>45806.0</v>
      </c>
      <c r="B10141" s="4">
        <v>0.26458333333333334</v>
      </c>
      <c r="C10141" s="5" t="s">
        <v>90</v>
      </c>
      <c r="D10141" s="5" t="s">
        <v>1498</v>
      </c>
      <c r="E10141" s="8" t="s">
        <v>338</v>
      </c>
      <c r="F10141" s="5" t="s">
        <v>238</v>
      </c>
      <c r="G10141" s="6" t="str">
        <f>VLOOKUP(E10141,dicionario!$A$1:$C10540,2,0)</f>
        <v>Atta</v>
      </c>
      <c r="H10141" s="6" t="str">
        <f>VLOOKUP(E10141,dicionario!$A$1:$C10540,3,0)</f>
        <v>saúva</v>
      </c>
    </row>
    <row r="10142">
      <c r="A10142" s="3">
        <v>45806.0</v>
      </c>
      <c r="B10142" s="4">
        <v>0.26458333333333334</v>
      </c>
      <c r="C10142" s="5" t="s">
        <v>90</v>
      </c>
      <c r="D10142" s="5" t="s">
        <v>1498</v>
      </c>
      <c r="E10142" s="8" t="s">
        <v>1383</v>
      </c>
      <c r="F10142" s="5" t="s">
        <v>1430</v>
      </c>
      <c r="G10142" s="6" t="str">
        <f>VLOOKUP(E10142,dicionario!$A$1:$C10541,2,0)</f>
        <v>#N/A</v>
      </c>
      <c r="H10142" s="6" t="str">
        <f>VLOOKUP(E10142,dicionario!$A$1:$C10541,3,0)</f>
        <v>#N/A</v>
      </c>
    </row>
    <row r="10143">
      <c r="A10143" s="3">
        <v>45806.0</v>
      </c>
      <c r="B10143" s="4">
        <v>0.26458333333333334</v>
      </c>
      <c r="C10143" s="5" t="s">
        <v>90</v>
      </c>
      <c r="D10143" s="5" t="s">
        <v>1498</v>
      </c>
      <c r="E10143" s="8" t="s">
        <v>107</v>
      </c>
      <c r="F10143" s="5" t="s">
        <v>108</v>
      </c>
      <c r="G10143" s="6" t="str">
        <f>VLOOKUP(E10143,dicionario!$A$1:$C10542,2,0)</f>
        <v>Ramalina complanata</v>
      </c>
      <c r="H10143" s="6" t="str">
        <f>VLOOKUP(E10143,dicionario!$A$1:$C10542,3,0)</f>
        <v>ramalina</v>
      </c>
    </row>
    <row r="10144">
      <c r="A10144" s="3">
        <v>45806.0</v>
      </c>
      <c r="B10144" s="4">
        <v>0.26458333333333334</v>
      </c>
      <c r="C10144" s="5" t="s">
        <v>90</v>
      </c>
      <c r="D10144" s="5" t="s">
        <v>1498</v>
      </c>
      <c r="E10144" s="8" t="s">
        <v>1439</v>
      </c>
      <c r="F10144" s="5" t="s">
        <v>911</v>
      </c>
      <c r="G10144" s="6" t="str">
        <f>VLOOKUP(E10144,dicionario!$A$1:$C10543,2,0)</f>
        <v>#N/A</v>
      </c>
      <c r="H10144" s="6" t="str">
        <f>VLOOKUP(E10144,dicionario!$A$1:$C10543,3,0)</f>
        <v>#N/A</v>
      </c>
    </row>
    <row r="10145">
      <c r="A10145" s="3">
        <v>45806.0</v>
      </c>
      <c r="B10145" s="4">
        <v>0.26458333333333334</v>
      </c>
      <c r="C10145" s="5" t="s">
        <v>90</v>
      </c>
      <c r="D10145" s="5" t="s">
        <v>1498</v>
      </c>
      <c r="E10145" s="8" t="s">
        <v>712</v>
      </c>
      <c r="F10145" s="5" t="s">
        <v>718</v>
      </c>
      <c r="G10145" s="6" t="str">
        <f>VLOOKUP(E10145,dicionario!$A$1:$C10544,2,0)</f>
        <v>Flavopunctelia soredica</v>
      </c>
      <c r="H10145" s="6" t="str">
        <f>VLOOKUP(E10145,dicionario!$A$1:$C10544,3,0)</f>
        <v>líquen-folioso</v>
      </c>
    </row>
    <row r="10146">
      <c r="A10146" s="3">
        <v>45806.0</v>
      </c>
      <c r="B10146" s="4">
        <v>0.26458333333333334</v>
      </c>
      <c r="C10146" s="5" t="s">
        <v>90</v>
      </c>
      <c r="D10146" s="5" t="s">
        <v>1498</v>
      </c>
      <c r="E10146" s="8" t="s">
        <v>109</v>
      </c>
      <c r="F10146" s="5" t="s">
        <v>110</v>
      </c>
      <c r="G10146" s="6" t="str">
        <f>VLOOKUP(E10146,dicionario!$A$1:$C10545,2,0)</f>
        <v>Tillandsia stricta</v>
      </c>
      <c r="H10146" s="6" t="str">
        <f>VLOOKUP(E10146,dicionario!$A$1:$C10545,3,0)</f>
        <v>cravo-do-mato</v>
      </c>
    </row>
    <row r="10147">
      <c r="A10147" s="3">
        <v>45806.0</v>
      </c>
      <c r="B10147" s="4">
        <v>0.26458333333333334</v>
      </c>
      <c r="C10147" s="5" t="s">
        <v>90</v>
      </c>
      <c r="D10147" s="5" t="s">
        <v>1498</v>
      </c>
      <c r="E10147" s="8" t="s">
        <v>353</v>
      </c>
      <c r="F10147" s="5" t="s">
        <v>354</v>
      </c>
      <c r="G10147" s="6" t="str">
        <f>VLOOKUP(E10147,dicionario!$A$1:$C10546,2,0)</f>
        <v>Desmodium incanum</v>
      </c>
      <c r="H10147" s="6" t="str">
        <f>VLOOKUP(E10147,dicionario!$A$1:$C10546,3,0)</f>
        <v>pega-pega</v>
      </c>
    </row>
    <row r="10148">
      <c r="A10148" s="3">
        <v>45806.0</v>
      </c>
      <c r="B10148" s="4">
        <v>0.2652777777777778</v>
      </c>
      <c r="C10148" s="5" t="s">
        <v>90</v>
      </c>
      <c r="D10148" s="5" t="s">
        <v>1498</v>
      </c>
      <c r="E10148" s="6" t="s">
        <v>448</v>
      </c>
      <c r="F10148" s="5" t="s">
        <v>462</v>
      </c>
      <c r="G10148" s="6" t="str">
        <f>VLOOKUP(E10148,dicionario!$A$1:$C10547,2,0)</f>
        <v>Mechanitis polymnia</v>
      </c>
      <c r="H10148" s="6" t="str">
        <f>VLOOKUP(E10148,dicionario!$A$1:$C10547,3,0)</f>
        <v>maria-boba</v>
      </c>
    </row>
    <row r="10149">
      <c r="A10149" s="3">
        <v>45806.0</v>
      </c>
      <c r="B10149" s="4">
        <v>0.2659722222222222</v>
      </c>
      <c r="C10149" s="5" t="s">
        <v>90</v>
      </c>
      <c r="D10149" s="5" t="s">
        <v>1498</v>
      </c>
      <c r="E10149" s="12" t="s">
        <v>111</v>
      </c>
      <c r="F10149" s="5" t="s">
        <v>112</v>
      </c>
      <c r="G10149" s="6" t="str">
        <f>VLOOKUP(E10149,dicionario!$A$1:$C10548,2,0)</f>
        <v>Trigona spinipes</v>
      </c>
      <c r="H10149" s="6" t="str">
        <f>VLOOKUP(E10149,dicionario!$A$1:$C10548,3,0)</f>
        <v>abelha-cachorro</v>
      </c>
    </row>
    <row r="10150">
      <c r="A10150" s="3">
        <v>45806.0</v>
      </c>
      <c r="B10150" s="4">
        <v>0.2659722222222222</v>
      </c>
      <c r="C10150" s="5" t="s">
        <v>90</v>
      </c>
      <c r="D10150" s="5" t="s">
        <v>1498</v>
      </c>
      <c r="E10150" s="8" t="s">
        <v>135</v>
      </c>
      <c r="F10150" s="5" t="s">
        <v>136</v>
      </c>
      <c r="G10150" s="6" t="str">
        <f>VLOOKUP(E10150,dicionario!$A$1:$C10549,2,0)</f>
        <v>Tridax procumbens</v>
      </c>
      <c r="H10150" s="6" t="str">
        <f>VLOOKUP(E10150,dicionario!$A$1:$C10549,3,0)</f>
        <v>erva-de-touro</v>
      </c>
    </row>
    <row r="10151">
      <c r="A10151" s="3">
        <v>45806.0</v>
      </c>
      <c r="B10151" s="4">
        <v>0.2659722222222222</v>
      </c>
      <c r="C10151" s="5" t="s">
        <v>90</v>
      </c>
      <c r="D10151" s="5" t="s">
        <v>1498</v>
      </c>
      <c r="E10151" s="8" t="s">
        <v>195</v>
      </c>
      <c r="F10151" s="5" t="s">
        <v>196</v>
      </c>
      <c r="G10151" s="6" t="str">
        <f>VLOOKUP(E10151,dicionario!$A$1:$C10550,2,0)</f>
        <v>Priva lappulacea</v>
      </c>
      <c r="H10151" s="6" t="str">
        <f>VLOOKUP(E10151,dicionario!$A$1:$C10550,3,0)</f>
        <v>carrapicho</v>
      </c>
    </row>
    <row r="10152">
      <c r="A10152" s="3">
        <v>45806.0</v>
      </c>
      <c r="B10152" s="4">
        <v>0.26666666666666666</v>
      </c>
      <c r="C10152" s="5" t="s">
        <v>90</v>
      </c>
      <c r="D10152" s="5" t="s">
        <v>1498</v>
      </c>
      <c r="E10152" s="8" t="s">
        <v>298</v>
      </c>
      <c r="F10152" s="7"/>
      <c r="G10152" s="6" t="str">
        <f>VLOOKUP(E10152,dicionario!$A$1:$C10551,2,0)</f>
        <v>Alysicarpus vaginalis</v>
      </c>
      <c r="H10152" s="6" t="str">
        <f>VLOOKUP(E10152,dicionario!$A$1:$C10551,3,0)</f>
        <v/>
      </c>
    </row>
    <row r="10153">
      <c r="A10153" s="3">
        <v>45806.0</v>
      </c>
      <c r="B10153" s="4">
        <v>0.26666666666666666</v>
      </c>
      <c r="C10153" s="5" t="s">
        <v>90</v>
      </c>
      <c r="D10153" s="5" t="s">
        <v>1498</v>
      </c>
      <c r="E10153" s="20" t="s">
        <v>676</v>
      </c>
      <c r="F10153" s="5" t="s">
        <v>677</v>
      </c>
      <c r="G10153" s="6" t="str">
        <f>VLOOKUP(E10153,dicionario!$A$1:$C10552,2,0)</f>
        <v>Zornia latifolia</v>
      </c>
      <c r="H10153" s="6" t="str">
        <f>VLOOKUP(E10153,dicionario!$A$1:$C10552,3,0)</f>
        <v>arrozinho-do-campo</v>
      </c>
    </row>
    <row r="10154">
      <c r="A10154" s="3">
        <v>45806.0</v>
      </c>
      <c r="B10154" s="4">
        <v>0.26666666666666666</v>
      </c>
      <c r="C10154" s="5" t="s">
        <v>90</v>
      </c>
      <c r="D10154" s="5" t="s">
        <v>1498</v>
      </c>
      <c r="E10154" s="8" t="s">
        <v>1024</v>
      </c>
      <c r="F10154" s="5" t="s">
        <v>969</v>
      </c>
      <c r="G10154" s="6" t="str">
        <f>VLOOKUP(E10154,dicionario!$A$1:$C10553,2,0)</f>
        <v>Usnea barbata</v>
      </c>
      <c r="H10154" s="6" t="str">
        <f>VLOOKUP(E10154,dicionario!$A$1:$C10553,3,0)</f>
        <v>barba-de-velho</v>
      </c>
    </row>
    <row r="10155">
      <c r="A10155" s="3">
        <v>45806.0</v>
      </c>
      <c r="B10155" s="4">
        <v>0.26666666666666666</v>
      </c>
      <c r="C10155" s="5" t="s">
        <v>90</v>
      </c>
      <c r="D10155" s="5" t="s">
        <v>1498</v>
      </c>
      <c r="E10155" s="8" t="s">
        <v>113</v>
      </c>
      <c r="F10155" s="5" t="s">
        <v>114</v>
      </c>
      <c r="G10155" s="6" t="str">
        <f>VLOOKUP(E10155,dicionario!$A$1:$C10554,2,0)</f>
        <v>Columbina talpacoti</v>
      </c>
      <c r="H10155" s="6" t="str">
        <f>VLOOKUP(E10155,dicionario!$A$1:$C10554,3,0)</f>
        <v>rolinha-roxa</v>
      </c>
    </row>
    <row r="10156">
      <c r="A10156" s="3">
        <v>45806.0</v>
      </c>
      <c r="B10156" s="4">
        <v>0.2673611111111111</v>
      </c>
      <c r="C10156" s="5" t="s">
        <v>90</v>
      </c>
      <c r="D10156" s="5" t="s">
        <v>1498</v>
      </c>
      <c r="E10156" s="8" t="s">
        <v>1087</v>
      </c>
      <c r="F10156" s="5" t="s">
        <v>1088</v>
      </c>
      <c r="G10156" s="6" t="str">
        <f>VLOOKUP(E10156,dicionario!$A$1:$C10555,2,0)</f>
        <v>Desmodium triflorum</v>
      </c>
      <c r="H10156" s="6" t="str">
        <f>VLOOKUP(E10156,dicionario!$A$1:$C10555,3,0)</f>
        <v/>
      </c>
    </row>
    <row r="10157">
      <c r="A10157" s="3">
        <v>45806.0</v>
      </c>
      <c r="B10157" s="4">
        <v>0.2673611111111111</v>
      </c>
      <c r="C10157" s="5" t="s">
        <v>90</v>
      </c>
      <c r="D10157" s="5" t="s">
        <v>1498</v>
      </c>
      <c r="E10157" s="8" t="s">
        <v>1175</v>
      </c>
      <c r="F10157" s="5" t="s">
        <v>1176</v>
      </c>
      <c r="G10157" s="6" t="str">
        <f>VLOOKUP(E10157,dicionario!$A$1:$C10556,2,0)</f>
        <v>Danaus erippus</v>
      </c>
      <c r="H10157" s="6" t="str">
        <f>VLOOKUP(E10157,dicionario!$A$1:$C10556,3,0)</f>
        <v>borboleta-monarca-do-sul</v>
      </c>
    </row>
    <row r="10158">
      <c r="A10158" s="3">
        <v>45806.0</v>
      </c>
      <c r="B10158" s="4">
        <v>0.26805555555555555</v>
      </c>
      <c r="C10158" s="5" t="s">
        <v>90</v>
      </c>
      <c r="D10158" s="5" t="s">
        <v>1498</v>
      </c>
      <c r="E10158" s="8" t="s">
        <v>46</v>
      </c>
      <c r="F10158" s="5" t="s">
        <v>47</v>
      </c>
      <c r="G10158" s="6" t="str">
        <f>VLOOKUP(E10158,dicionario!$A$1:$C10557,2,0)</f>
        <v>Chionomesa fimbriata</v>
      </c>
      <c r="H10158" s="6" t="str">
        <f>VLOOKUP(E10158,dicionario!$A$1:$C10557,3,0)</f>
        <v>beija-flor-de-garganta-verde</v>
      </c>
    </row>
    <row r="10159">
      <c r="A10159" s="3">
        <v>45806.0</v>
      </c>
      <c r="B10159" s="4">
        <v>0.25416666666666665</v>
      </c>
      <c r="C10159" s="5" t="s">
        <v>90</v>
      </c>
      <c r="D10159" s="5" t="s">
        <v>1498</v>
      </c>
      <c r="E10159" s="6" t="s">
        <v>86</v>
      </c>
      <c r="F10159" s="5" t="s">
        <v>502</v>
      </c>
      <c r="G10159" s="6" t="str">
        <f>VLOOKUP(E10159,dicionario!$A$1:$C10558,2,0)</f>
        <v>Coereba flaveola</v>
      </c>
      <c r="H10159" s="6" t="str">
        <f>VLOOKUP(E10159,dicionario!$A$1:$C10558,3,0)</f>
        <v>cambacica</v>
      </c>
    </row>
    <row r="10160">
      <c r="A10160" s="3">
        <v>45806.0</v>
      </c>
      <c r="B10160" s="4">
        <v>0.26875</v>
      </c>
      <c r="C10160" s="5" t="s">
        <v>90</v>
      </c>
      <c r="D10160" s="5" t="s">
        <v>1498</v>
      </c>
      <c r="E10160" s="8" t="s">
        <v>105</v>
      </c>
      <c r="F10160" s="5" t="s">
        <v>106</v>
      </c>
      <c r="G10160" s="6" t="str">
        <f>VLOOKUP(E10160,dicionario!$A$1:$C10559,2,0)</f>
        <v>Progne tapera</v>
      </c>
      <c r="H10160" s="6" t="str">
        <f>VLOOKUP(E10160,dicionario!$A$1:$C10559,3,0)</f>
        <v>andorinha-do-campo</v>
      </c>
    </row>
    <row r="10161">
      <c r="A10161" s="3">
        <v>45806.0</v>
      </c>
      <c r="B10161" s="4">
        <v>0.26875</v>
      </c>
      <c r="C10161" s="5" t="s">
        <v>90</v>
      </c>
      <c r="D10161" s="5" t="s">
        <v>1498</v>
      </c>
      <c r="E10161" s="8" t="s">
        <v>193</v>
      </c>
      <c r="F10161" s="5" t="s">
        <v>194</v>
      </c>
      <c r="G10161" s="6" t="str">
        <f>VLOOKUP(E10161,dicionario!$A$1:$C10560,2,0)</f>
        <v>Conirostrum speciosum</v>
      </c>
      <c r="H10161" s="6" t="str">
        <f>VLOOKUP(E10161,dicionario!$A$1:$C10560,3,0)</f>
        <v>figuinha-de-rabo-castanho</v>
      </c>
    </row>
    <row r="10162">
      <c r="A10162" s="3">
        <v>45806.0</v>
      </c>
      <c r="B10162" s="4">
        <v>0.26944444444444443</v>
      </c>
      <c r="C10162" s="5" t="s">
        <v>90</v>
      </c>
      <c r="D10162" s="5" t="s">
        <v>1498</v>
      </c>
      <c r="E10162" s="8" t="s">
        <v>704</v>
      </c>
      <c r="F10162" s="5" t="s">
        <v>705</v>
      </c>
      <c r="G10162" s="6" t="str">
        <f>VLOOKUP(E10162,dicionario!$A$1:$C10561,2,0)</f>
        <v>Brachygastra lecheguana</v>
      </c>
      <c r="H10162" s="6" t="str">
        <f>VLOOKUP(E10162,dicionario!$A$1:$C10561,3,0)</f>
        <v>enxu-verdadeiro</v>
      </c>
    </row>
    <row r="10163">
      <c r="A10163" s="3">
        <v>45806.0</v>
      </c>
      <c r="B10163" s="4">
        <v>0.2701388888888889</v>
      </c>
      <c r="C10163" s="5" t="s">
        <v>85</v>
      </c>
      <c r="D10163" s="5" t="s">
        <v>1498</v>
      </c>
      <c r="E10163" s="8" t="s">
        <v>732</v>
      </c>
      <c r="F10163" s="7"/>
      <c r="G10163" s="6" t="str">
        <f>VLOOKUP(E10163,dicionario!$A$1:$C10562,2,0)</f>
        <v>#N/A</v>
      </c>
      <c r="H10163" s="6" t="str">
        <f>VLOOKUP(E10163,dicionario!$A$1:$C10562,3,0)</f>
        <v>#N/A</v>
      </c>
    </row>
    <row r="10164">
      <c r="A10164" s="3">
        <v>45806.0</v>
      </c>
      <c r="B10164" s="4">
        <v>0.2701388888888889</v>
      </c>
      <c r="C10164" s="5" t="s">
        <v>85</v>
      </c>
      <c r="D10164" s="5" t="s">
        <v>1498</v>
      </c>
      <c r="E10164" s="6" t="s">
        <v>53</v>
      </c>
      <c r="F10164" s="5" t="s">
        <v>54</v>
      </c>
      <c r="G10164" s="6" t="str">
        <f>VLOOKUP(E10164,dicionario!$A$1:$C10563,2,0)</f>
        <v>Turnera subulata</v>
      </c>
      <c r="H10164" s="6" t="str">
        <f>VLOOKUP(E10164,dicionario!$A$1:$C10563,3,0)</f>
        <v>xanana</v>
      </c>
    </row>
    <row r="10165">
      <c r="A10165" s="3">
        <v>45806.0</v>
      </c>
      <c r="B10165" s="4">
        <v>0.2701388888888889</v>
      </c>
      <c r="C10165" s="5" t="s">
        <v>85</v>
      </c>
      <c r="D10165" s="5" t="s">
        <v>1498</v>
      </c>
      <c r="E10165" s="8" t="s">
        <v>135</v>
      </c>
      <c r="F10165" s="5" t="s">
        <v>136</v>
      </c>
      <c r="G10165" s="6" t="str">
        <f>VLOOKUP(E10165,dicionario!$A$1:$C10564,2,0)</f>
        <v>Tridax procumbens</v>
      </c>
      <c r="H10165" s="6" t="str">
        <f>VLOOKUP(E10165,dicionario!$A$1:$C10564,3,0)</f>
        <v>erva-de-touro</v>
      </c>
    </row>
    <row r="10166">
      <c r="A10166" s="3">
        <v>45806.0</v>
      </c>
      <c r="B10166" s="4">
        <v>0.2701388888888889</v>
      </c>
      <c r="C10166" s="5" t="s">
        <v>85</v>
      </c>
      <c r="D10166" s="5" t="s">
        <v>1498</v>
      </c>
      <c r="E10166" s="8" t="s">
        <v>146</v>
      </c>
      <c r="F10166" s="5" t="s">
        <v>147</v>
      </c>
      <c r="G10166" s="6" t="str">
        <f>VLOOKUP(E10166,dicionario!$A$1:$C10565,2,0)</f>
        <v>Euphorbia hirta</v>
      </c>
      <c r="H10166" s="6" t="str">
        <f>VLOOKUP(E10166,dicionario!$A$1:$C10565,3,0)</f>
        <v>erva-de-santa-luzia</v>
      </c>
    </row>
    <row r="10167">
      <c r="A10167" s="3">
        <v>45806.0</v>
      </c>
      <c r="B10167" s="4">
        <v>0.2701388888888889</v>
      </c>
      <c r="C10167" s="5" t="s">
        <v>85</v>
      </c>
      <c r="D10167" s="5" t="s">
        <v>1498</v>
      </c>
      <c r="E10167" s="8" t="s">
        <v>103</v>
      </c>
      <c r="F10167" s="5" t="s">
        <v>104</v>
      </c>
      <c r="G10167" s="6" t="str">
        <f>VLOOKUP(E10167,dicionario!$A$1:$C10566,2,0)</f>
        <v>Caracara plancus</v>
      </c>
      <c r="H10167" s="6" t="str">
        <f>VLOOKUP(E10167,dicionario!$A$1:$C10566,3,0)</f>
        <v>carcará </v>
      </c>
    </row>
    <row r="10168">
      <c r="A10168" s="3">
        <v>45806.0</v>
      </c>
      <c r="B10168" s="4">
        <v>0.2708333333333333</v>
      </c>
      <c r="C10168" s="5" t="s">
        <v>85</v>
      </c>
      <c r="D10168" s="5" t="s">
        <v>1498</v>
      </c>
      <c r="E10168" s="6" t="s">
        <v>86</v>
      </c>
      <c r="F10168" s="5" t="s">
        <v>502</v>
      </c>
      <c r="G10168" s="6" t="str">
        <f>VLOOKUP(E10168,dicionario!$A$1:$C10567,2,0)</f>
        <v>Coereba flaveola</v>
      </c>
      <c r="H10168" s="6" t="str">
        <f>VLOOKUP(E10168,dicionario!$A$1:$C10567,3,0)</f>
        <v>cambacica</v>
      </c>
    </row>
    <row r="10169">
      <c r="A10169" s="3">
        <v>45806.0</v>
      </c>
      <c r="B10169" s="4">
        <v>0.2708333333333333</v>
      </c>
      <c r="C10169" s="5" t="s">
        <v>85</v>
      </c>
      <c r="D10169" s="5" t="s">
        <v>1498</v>
      </c>
      <c r="E10169" s="8" t="s">
        <v>891</v>
      </c>
      <c r="F10169" s="5" t="s">
        <v>1163</v>
      </c>
      <c r="G10169" s="6" t="str">
        <f>VLOOKUP(E10169,dicionario!$A$1:$C10568,2,0)</f>
        <v>Cymaenes tripunctus</v>
      </c>
      <c r="H10169" s="6" t="str">
        <f>VLOOKUP(E10169,dicionario!$A$1:$C10568,3,0)</f>
        <v>borboleta-de-três-pintas</v>
      </c>
    </row>
    <row r="10170">
      <c r="A10170" s="3">
        <v>45806.0</v>
      </c>
      <c r="B10170" s="4">
        <v>0.2708333333333333</v>
      </c>
      <c r="C10170" s="5" t="s">
        <v>85</v>
      </c>
      <c r="D10170" s="5" t="s">
        <v>1498</v>
      </c>
      <c r="E10170" s="8" t="s">
        <v>109</v>
      </c>
      <c r="F10170" s="5" t="s">
        <v>110</v>
      </c>
      <c r="G10170" s="6" t="str">
        <f>VLOOKUP(E10170,dicionario!$A$1:$C10569,2,0)</f>
        <v>Tillandsia stricta</v>
      </c>
      <c r="H10170" s="6" t="str">
        <f>VLOOKUP(E10170,dicionario!$A$1:$C10569,3,0)</f>
        <v>cravo-do-mato</v>
      </c>
    </row>
    <row r="10171">
      <c r="A10171" s="3">
        <v>45806.0</v>
      </c>
      <c r="B10171" s="4">
        <v>0.27152777777777776</v>
      </c>
      <c r="C10171" s="5" t="s">
        <v>85</v>
      </c>
      <c r="D10171" s="5" t="s">
        <v>1498</v>
      </c>
      <c r="E10171" s="8" t="s">
        <v>38</v>
      </c>
      <c r="F10171" s="5" t="s">
        <v>39</v>
      </c>
      <c r="G10171" s="6" t="str">
        <f>VLOOKUP(E10171,dicionario!$A$1:$C10570,2,0)</f>
        <v>Troglodytes musculus</v>
      </c>
      <c r="H10171" s="6" t="str">
        <f>VLOOKUP(E10171,dicionario!$A$1:$C10570,3,0)</f>
        <v>curruíra</v>
      </c>
    </row>
    <row r="10172">
      <c r="A10172" s="3">
        <v>45806.0</v>
      </c>
      <c r="B10172" s="4">
        <v>0.27152777777777776</v>
      </c>
      <c r="C10172" s="5" t="s">
        <v>85</v>
      </c>
      <c r="D10172" s="5" t="s">
        <v>1498</v>
      </c>
      <c r="E10172" s="8" t="s">
        <v>191</v>
      </c>
      <c r="F10172" s="5" t="s">
        <v>192</v>
      </c>
      <c r="G10172" s="6" t="str">
        <f>VLOOKUP(E10172,dicionario!$A$1:$C10571,2,0)</f>
        <v>Patagioenas picazuro</v>
      </c>
      <c r="H10172" s="6" t="str">
        <f>VLOOKUP(E10172,dicionario!$A$1:$C10571,3,0)</f>
        <v>asa-branca; pomba-asa-branca; pocaçu</v>
      </c>
    </row>
    <row r="10173">
      <c r="A10173" s="3">
        <v>45806.0</v>
      </c>
      <c r="B10173" s="4">
        <v>0.27152777777777776</v>
      </c>
      <c r="C10173" s="5" t="s">
        <v>85</v>
      </c>
      <c r="D10173" s="5" t="s">
        <v>1498</v>
      </c>
      <c r="E10173" s="8" t="s">
        <v>324</v>
      </c>
      <c r="F10173" s="5" t="s">
        <v>325</v>
      </c>
      <c r="G10173" s="6" t="str">
        <f>VLOOKUP(E10173,dicionario!$A$1:$C10572,2,0)</f>
        <v>#N/A</v>
      </c>
      <c r="H10173" s="6" t="str">
        <f>VLOOKUP(E10173,dicionario!$A$1:$C10572,3,0)</f>
        <v>#N/A</v>
      </c>
    </row>
    <row r="10174">
      <c r="A10174" s="3">
        <v>45806.0</v>
      </c>
      <c r="B10174" s="4">
        <v>0.27152777777777776</v>
      </c>
      <c r="C10174" s="5" t="s">
        <v>85</v>
      </c>
      <c r="D10174" s="5" t="s">
        <v>1498</v>
      </c>
      <c r="E10174" s="20" t="s">
        <v>676</v>
      </c>
      <c r="F10174" s="5" t="s">
        <v>677</v>
      </c>
      <c r="G10174" s="6" t="str">
        <f>VLOOKUP(E10174,dicionario!$A$1:$C10573,2,0)</f>
        <v>Zornia latifolia</v>
      </c>
      <c r="H10174" s="6" t="str">
        <f>VLOOKUP(E10174,dicionario!$A$1:$C10573,3,0)</f>
        <v>arrozinho-do-campo</v>
      </c>
    </row>
    <row r="10175">
      <c r="A10175" s="3">
        <v>45806.0</v>
      </c>
      <c r="B10175" s="4">
        <v>0.27152777777777776</v>
      </c>
      <c r="C10175" s="5" t="s">
        <v>85</v>
      </c>
      <c r="D10175" s="5" t="s">
        <v>1498</v>
      </c>
      <c r="E10175" s="8" t="s">
        <v>51</v>
      </c>
      <c r="F10175" s="5" t="s">
        <v>77</v>
      </c>
      <c r="G10175" s="6" t="str">
        <f>VLOOKUP(E10175,dicionario!$A$1:$C10574,2,0)</f>
        <v>Solenopsis</v>
      </c>
      <c r="H10175" s="6" t="str">
        <f>VLOOKUP(E10175,dicionario!$A$1:$C10574,3,0)</f>
        <v>formiga-quente; formiga-lava-pés; formiga-de-fogo</v>
      </c>
    </row>
    <row r="10176">
      <c r="A10176" s="3">
        <v>45806.0</v>
      </c>
      <c r="B10176" s="4">
        <v>0.27291666666666664</v>
      </c>
      <c r="C10176" s="5" t="s">
        <v>85</v>
      </c>
      <c r="D10176" s="5" t="s">
        <v>1498</v>
      </c>
      <c r="E10176" s="8" t="s">
        <v>353</v>
      </c>
      <c r="F10176" s="5" t="s">
        <v>354</v>
      </c>
      <c r="G10176" s="6" t="str">
        <f>VLOOKUP(E10176,dicionario!$A$1:$C10575,2,0)</f>
        <v>Desmodium incanum</v>
      </c>
      <c r="H10176" s="6" t="str">
        <f>VLOOKUP(E10176,dicionario!$A$1:$C10575,3,0)</f>
        <v>pega-pega</v>
      </c>
    </row>
    <row r="10177">
      <c r="A10177" s="3">
        <v>45806.0</v>
      </c>
      <c r="B10177" s="4">
        <v>0.27291666666666664</v>
      </c>
      <c r="C10177" s="5" t="s">
        <v>85</v>
      </c>
      <c r="D10177" s="5" t="s">
        <v>1498</v>
      </c>
      <c r="E10177" s="8" t="s">
        <v>88</v>
      </c>
      <c r="F10177" s="5" t="s">
        <v>89</v>
      </c>
      <c r="G10177" s="6" t="str">
        <f>VLOOKUP(E10177,dicionario!$A$1:$C10576,2,0)</f>
        <v>Tyrannus melancolichus</v>
      </c>
      <c r="H10177" s="6" t="str">
        <f>VLOOKUP(E10177,dicionario!$A$1:$C10576,3,0)</f>
        <v>suiriri</v>
      </c>
    </row>
    <row r="10178">
      <c r="A10178" s="3">
        <v>45806.0</v>
      </c>
      <c r="B10178" s="4">
        <v>0.27291666666666664</v>
      </c>
      <c r="C10178" s="5" t="s">
        <v>85</v>
      </c>
      <c r="D10178" s="5" t="s">
        <v>1498</v>
      </c>
      <c r="E10178" s="8" t="s">
        <v>105</v>
      </c>
      <c r="F10178" s="5" t="s">
        <v>106</v>
      </c>
      <c r="G10178" s="6" t="str">
        <f>VLOOKUP(E10178,dicionario!$A$1:$C10577,2,0)</f>
        <v>Progne tapera</v>
      </c>
      <c r="H10178" s="6" t="str">
        <f>VLOOKUP(E10178,dicionario!$A$1:$C10577,3,0)</f>
        <v>andorinha-do-campo</v>
      </c>
    </row>
    <row r="10179">
      <c r="A10179" s="3">
        <v>45806.0</v>
      </c>
      <c r="B10179" s="4">
        <v>0.27361111111111114</v>
      </c>
      <c r="C10179" s="5" t="s">
        <v>85</v>
      </c>
      <c r="D10179" s="5" t="s">
        <v>1498</v>
      </c>
      <c r="E10179" s="8" t="s">
        <v>606</v>
      </c>
      <c r="F10179" s="5" t="s">
        <v>607</v>
      </c>
      <c r="G10179" s="6" t="str">
        <f>VLOOKUP(E10179,dicionario!$A$1:$C10578,2,0)</f>
        <v>Elaenia spectabilis</v>
      </c>
      <c r="H10179" s="6" t="str">
        <f>VLOOKUP(E10179,dicionario!$A$1:$C10578,3,0)</f>
        <v>guaracava-grande</v>
      </c>
    </row>
    <row r="10180">
      <c r="A10180" s="3">
        <v>45806.0</v>
      </c>
      <c r="B10180" s="4">
        <v>0.27361111111111114</v>
      </c>
      <c r="C10180" s="5" t="s">
        <v>85</v>
      </c>
      <c r="D10180" s="5" t="s">
        <v>1498</v>
      </c>
      <c r="E10180" s="8" t="s">
        <v>20</v>
      </c>
      <c r="F10180" s="5" t="s">
        <v>21</v>
      </c>
      <c r="G10180" s="6" t="str">
        <f>VLOOKUP(E10180,dicionario!$A$1:$C10579,2,0)</f>
        <v>Sicalis flaveola</v>
      </c>
      <c r="H10180" s="6" t="str">
        <f>VLOOKUP(E10180,dicionario!$A$1:$C10579,3,0)</f>
        <v>canário-da-terra</v>
      </c>
    </row>
    <row r="10181">
      <c r="A10181" s="3">
        <v>45806.0</v>
      </c>
      <c r="B10181" s="4">
        <v>0.275</v>
      </c>
      <c r="C10181" s="5" t="s">
        <v>85</v>
      </c>
      <c r="D10181" s="5" t="s">
        <v>1498</v>
      </c>
      <c r="E10181" s="8" t="s">
        <v>909</v>
      </c>
      <c r="F10181" s="5" t="s">
        <v>910</v>
      </c>
      <c r="G10181" s="6" t="str">
        <f>VLOOKUP(E10181,dicionario!$A$1:$C10580,2,0)</f>
        <v>Chordeiles acutipennis</v>
      </c>
      <c r="H10181" s="6" t="str">
        <f>VLOOKUP(E10181,dicionario!$A$1:$C10580,3,0)</f>
        <v>bacurau-de-asa-fina</v>
      </c>
    </row>
    <row r="10182">
      <c r="A10182" s="3">
        <v>45806.0</v>
      </c>
      <c r="B10182" s="4">
        <v>0.275</v>
      </c>
      <c r="C10182" s="5" t="s">
        <v>85</v>
      </c>
      <c r="D10182" s="5" t="s">
        <v>1498</v>
      </c>
      <c r="E10182" s="8" t="s">
        <v>200</v>
      </c>
      <c r="F10182" s="5" t="s">
        <v>201</v>
      </c>
      <c r="G10182" s="6" t="str">
        <f>VLOOKUP(E10182,dicionario!$A$1:$C10581,2,0)</f>
        <v>Columbina picui </v>
      </c>
      <c r="H10182" s="6" t="str">
        <f>VLOOKUP(E10182,dicionario!$A$1:$C10581,3,0)</f>
        <v>rolinha-picuí</v>
      </c>
    </row>
    <row r="10183">
      <c r="A10183" s="3">
        <v>45806.0</v>
      </c>
      <c r="B10183" s="4">
        <v>0.275</v>
      </c>
      <c r="C10183" s="5" t="s">
        <v>85</v>
      </c>
      <c r="D10183" s="5" t="s">
        <v>1498</v>
      </c>
      <c r="E10183" s="6" t="s">
        <v>383</v>
      </c>
      <c r="F10183" s="5" t="s">
        <v>384</v>
      </c>
      <c r="G10183" s="6" t="str">
        <f>VLOOKUP(E10183,dicionario!$A$1:$C10582,2,0)</f>
        <v>Setophaga pitiayumi</v>
      </c>
      <c r="H10183" s="6" t="str">
        <f>VLOOKUP(E10183,dicionario!$A$1:$C10582,3,0)</f>
        <v>mariquita</v>
      </c>
    </row>
    <row r="10184">
      <c r="A10184" s="3">
        <v>45806.0</v>
      </c>
      <c r="B10184" s="4">
        <v>0.275</v>
      </c>
      <c r="C10184" s="5" t="s">
        <v>85</v>
      </c>
      <c r="D10184" s="5" t="s">
        <v>1498</v>
      </c>
      <c r="E10184" s="8" t="s">
        <v>65</v>
      </c>
      <c r="F10184" s="5" t="s">
        <v>66</v>
      </c>
      <c r="G10184" s="6" t="str">
        <f>VLOOKUP(E10184,dicionario!$A$1:$C10583,2,0)</f>
        <v>Pitangus sulphutarus</v>
      </c>
      <c r="H10184" s="6" t="str">
        <f>VLOOKUP(E10184,dicionario!$A$1:$C10583,3,0)</f>
        <v>bem-te-vi</v>
      </c>
    </row>
    <row r="10185">
      <c r="A10185" s="3">
        <v>45806.0</v>
      </c>
      <c r="B10185" s="4">
        <v>0.275</v>
      </c>
      <c r="C10185" s="5" t="s">
        <v>85</v>
      </c>
      <c r="D10185" s="5" t="s">
        <v>1498</v>
      </c>
      <c r="E10185" s="8" t="s">
        <v>849</v>
      </c>
      <c r="F10185" s="5" t="s">
        <v>1457</v>
      </c>
      <c r="G10185" s="6" t="str">
        <f>VLOOKUP(E10185,dicionario!$A$1:$C10584,2,0)</f>
        <v>#N/A</v>
      </c>
      <c r="H10185" s="6" t="str">
        <f>VLOOKUP(E10185,dicionario!$A$1:$C10584,3,0)</f>
        <v>#N/A</v>
      </c>
    </row>
    <row r="10186">
      <c r="A10186" s="3">
        <v>45806.0</v>
      </c>
      <c r="B10186" s="4">
        <v>0.2763888888888889</v>
      </c>
      <c r="C10186" s="5" t="s">
        <v>76</v>
      </c>
      <c r="D10186" s="5" t="s">
        <v>1498</v>
      </c>
      <c r="E10186" s="8" t="s">
        <v>38</v>
      </c>
      <c r="F10186" s="5" t="s">
        <v>39</v>
      </c>
      <c r="G10186" s="6" t="str">
        <f>VLOOKUP(E10186,dicionario!$A$1:$C10585,2,0)</f>
        <v>Troglodytes musculus</v>
      </c>
      <c r="H10186" s="6" t="str">
        <f>VLOOKUP(E10186,dicionario!$A$1:$C10585,3,0)</f>
        <v>curruíra</v>
      </c>
    </row>
    <row r="10187">
      <c r="A10187" s="3">
        <v>45806.0</v>
      </c>
      <c r="B10187" s="4">
        <v>0.2763888888888889</v>
      </c>
      <c r="C10187" s="5" t="s">
        <v>76</v>
      </c>
      <c r="D10187" s="5" t="s">
        <v>1498</v>
      </c>
      <c r="E10187" s="8" t="s">
        <v>253</v>
      </c>
      <c r="F10187" s="5" t="s">
        <v>254</v>
      </c>
      <c r="G10187" s="6" t="str">
        <f>VLOOKUP(E10187,dicionario!$A$1:$C10586,2,0)</f>
        <v>Panicum maximum</v>
      </c>
      <c r="H10187" s="6" t="str">
        <f>VLOOKUP(E10187,dicionario!$A$1:$C10586,3,0)</f>
        <v>capim-colonião</v>
      </c>
    </row>
    <row r="10188">
      <c r="A10188" s="3">
        <v>45806.0</v>
      </c>
      <c r="B10188" s="4">
        <v>0.2763888888888889</v>
      </c>
      <c r="C10188" s="5" t="s">
        <v>76</v>
      </c>
      <c r="D10188" s="5" t="s">
        <v>1498</v>
      </c>
      <c r="E10188" s="8" t="s">
        <v>1499</v>
      </c>
      <c r="F10188" s="5" t="s">
        <v>1500</v>
      </c>
      <c r="G10188" s="6" t="str">
        <f>VLOOKUP(E10188,dicionario!$A$1:$C10587,2,0)</f>
        <v>#N/A</v>
      </c>
      <c r="H10188" s="6" t="str">
        <f>VLOOKUP(E10188,dicionario!$A$1:$C10587,3,0)</f>
        <v>#N/A</v>
      </c>
    </row>
    <row r="10189">
      <c r="A10189" s="3">
        <v>45806.0</v>
      </c>
      <c r="B10189" s="4">
        <v>0.2763888888888889</v>
      </c>
      <c r="C10189" s="5" t="s">
        <v>76</v>
      </c>
      <c r="D10189" s="5" t="s">
        <v>1498</v>
      </c>
      <c r="E10189" s="8" t="s">
        <v>271</v>
      </c>
      <c r="F10189" s="5" t="s">
        <v>1169</v>
      </c>
      <c r="G10189" s="6" t="str">
        <f>VLOOKUP(E10189,dicionario!$A$1:$C10588,2,0)</f>
        <v>Cyanthillium cinereum</v>
      </c>
      <c r="H10189" s="6" t="str">
        <f>VLOOKUP(E10189,dicionario!$A$1:$C10588,3,0)</f>
        <v>emília</v>
      </c>
    </row>
    <row r="10190">
      <c r="A10190" s="3">
        <v>45806.0</v>
      </c>
      <c r="B10190" s="4">
        <v>0.2763888888888889</v>
      </c>
      <c r="C10190" s="5" t="s">
        <v>76</v>
      </c>
      <c r="D10190" s="5" t="s">
        <v>1498</v>
      </c>
      <c r="E10190" s="8" t="s">
        <v>141</v>
      </c>
      <c r="F10190" s="5" t="s">
        <v>142</v>
      </c>
      <c r="G10190" s="6" t="str">
        <f>VLOOKUP(E10190,dicionario!$A$1:$C10589,2,0)</f>
        <v>Ruellia blechum</v>
      </c>
      <c r="H10190" s="6" t="str">
        <f>VLOOKUP(E10190,dicionario!$A$1:$C10589,3,0)</f>
        <v>camarão-verde</v>
      </c>
    </row>
    <row r="10191">
      <c r="A10191" s="3">
        <v>45806.0</v>
      </c>
      <c r="B10191" s="4">
        <v>0.2777777777777778</v>
      </c>
      <c r="C10191" s="5" t="s">
        <v>76</v>
      </c>
      <c r="D10191" s="5" t="s">
        <v>1498</v>
      </c>
      <c r="E10191" s="8" t="s">
        <v>1367</v>
      </c>
      <c r="F10191" s="5" t="s">
        <v>387</v>
      </c>
      <c r="G10191" s="6" t="str">
        <f>VLOOKUP(E10191,dicionario!$A$1:$C10590,2,0)</f>
        <v>#N/A</v>
      </c>
      <c r="H10191" s="6" t="str">
        <f>VLOOKUP(E10191,dicionario!$A$1:$C10590,3,0)</f>
        <v>#N/A</v>
      </c>
    </row>
    <row r="10192">
      <c r="A10192" s="3">
        <v>45806.0</v>
      </c>
      <c r="B10192" s="4">
        <v>0.2777777777777778</v>
      </c>
      <c r="C10192" s="5" t="s">
        <v>76</v>
      </c>
      <c r="D10192" s="5" t="s">
        <v>1498</v>
      </c>
      <c r="E10192" s="8" t="s">
        <v>786</v>
      </c>
      <c r="F10192" s="5" t="s">
        <v>787</v>
      </c>
      <c r="G10192" s="6" t="str">
        <f>VLOOKUP(E10192,dicionario!$A$1:$C10591,2,0)</f>
        <v>Lycianthes asarifolia</v>
      </c>
      <c r="H10192" s="6" t="str">
        <f>VLOOKUP(E10192,dicionario!$A$1:$C10591,3,0)</f>
        <v>joá-rasteiro</v>
      </c>
    </row>
    <row r="10193">
      <c r="A10193" s="3">
        <v>45806.0</v>
      </c>
      <c r="B10193" s="4">
        <v>0.2777777777777778</v>
      </c>
      <c r="C10193" s="5" t="s">
        <v>76</v>
      </c>
      <c r="D10193" s="5" t="s">
        <v>1498</v>
      </c>
      <c r="E10193" s="6" t="s">
        <v>148</v>
      </c>
      <c r="F10193" s="5" t="s">
        <v>149</v>
      </c>
      <c r="G10193" s="6" t="str">
        <f>VLOOKUP(E10193,dicionario!$A$1:$C10592,2,0)</f>
        <v>Parthenium hysterophorus</v>
      </c>
      <c r="H10193" s="6" t="str">
        <f>VLOOKUP(E10193,dicionario!$A$1:$C10592,3,0)</f>
        <v>losna-branca</v>
      </c>
    </row>
    <row r="10194">
      <c r="A10194" s="3">
        <v>45806.0</v>
      </c>
      <c r="B10194" s="4">
        <v>0.2777777777777778</v>
      </c>
      <c r="C10194" s="5" t="s">
        <v>76</v>
      </c>
      <c r="D10194" s="5" t="s">
        <v>1498</v>
      </c>
      <c r="E10194" s="8" t="s">
        <v>298</v>
      </c>
      <c r="F10194" s="7"/>
      <c r="G10194" s="6" t="str">
        <f>VLOOKUP(E10194,dicionario!$A$1:$C10593,2,0)</f>
        <v>Alysicarpus vaginalis</v>
      </c>
      <c r="H10194" s="6" t="str">
        <f>VLOOKUP(E10194,dicionario!$A$1:$C10593,3,0)</f>
        <v/>
      </c>
    </row>
    <row r="10195">
      <c r="A10195" s="3">
        <v>45806.0</v>
      </c>
      <c r="B10195" s="4">
        <v>0.27847222222222223</v>
      </c>
      <c r="C10195" s="5" t="s">
        <v>76</v>
      </c>
      <c r="D10195" s="5" t="s">
        <v>1498</v>
      </c>
      <c r="E10195" s="8" t="s">
        <v>1328</v>
      </c>
      <c r="F10195" s="5" t="s">
        <v>356</v>
      </c>
      <c r="G10195" s="6" t="str">
        <f>VLOOKUP(E10195,dicionario!$A$1:$C10594,2,0)</f>
        <v>#N/A</v>
      </c>
      <c r="H10195" s="6" t="str">
        <f>VLOOKUP(E10195,dicionario!$A$1:$C10594,3,0)</f>
        <v>#N/A</v>
      </c>
    </row>
    <row r="10196">
      <c r="A10196" s="3">
        <v>45806.0</v>
      </c>
      <c r="B10196" s="4">
        <v>0.27847222222222223</v>
      </c>
      <c r="C10196" s="5" t="s">
        <v>76</v>
      </c>
      <c r="D10196" s="5" t="s">
        <v>1498</v>
      </c>
      <c r="E10196" s="8" t="s">
        <v>858</v>
      </c>
      <c r="F10196" s="5" t="s">
        <v>1051</v>
      </c>
      <c r="G10196" s="6" t="str">
        <f>VLOOKUP(E10196,dicionario!$A$1:$C10595,2,0)</f>
        <v>Rumex obtusifolius</v>
      </c>
      <c r="H10196" s="6" t="str">
        <f>VLOOKUP(E10196,dicionario!$A$1:$C10595,3,0)</f>
        <v>lingua-de-vaca</v>
      </c>
    </row>
    <row r="10197">
      <c r="A10197" s="3">
        <v>45806.0</v>
      </c>
      <c r="B10197" s="4">
        <v>0.27847222222222223</v>
      </c>
      <c r="C10197" s="5" t="s">
        <v>76</v>
      </c>
      <c r="D10197" s="5" t="s">
        <v>1498</v>
      </c>
      <c r="E10197" s="8" t="s">
        <v>195</v>
      </c>
      <c r="F10197" s="5" t="s">
        <v>196</v>
      </c>
      <c r="G10197" s="6" t="str">
        <f>VLOOKUP(E10197,dicionario!$A$1:$C10596,2,0)</f>
        <v>Priva lappulacea</v>
      </c>
      <c r="H10197" s="6" t="str">
        <f>VLOOKUP(E10197,dicionario!$A$1:$C10596,3,0)</f>
        <v>carrapicho</v>
      </c>
    </row>
    <row r="10198">
      <c r="A10198" s="3">
        <v>45806.0</v>
      </c>
      <c r="B10198" s="4">
        <v>0.27847222222222223</v>
      </c>
      <c r="C10198" s="5" t="s">
        <v>76</v>
      </c>
      <c r="D10198" s="5" t="s">
        <v>1498</v>
      </c>
      <c r="E10198" s="8" t="s">
        <v>146</v>
      </c>
      <c r="F10198" s="5" t="s">
        <v>147</v>
      </c>
      <c r="G10198" s="6" t="str">
        <f>VLOOKUP(E10198,dicionario!$A$1:$C10597,2,0)</f>
        <v>Euphorbia hirta</v>
      </c>
      <c r="H10198" s="6" t="str">
        <f>VLOOKUP(E10198,dicionario!$A$1:$C10597,3,0)</f>
        <v>erva-de-santa-luzia</v>
      </c>
    </row>
    <row r="10199">
      <c r="A10199" s="3">
        <v>45806.0</v>
      </c>
      <c r="B10199" s="4">
        <v>0.27847222222222223</v>
      </c>
      <c r="C10199" s="5" t="s">
        <v>76</v>
      </c>
      <c r="D10199" s="5" t="s">
        <v>1498</v>
      </c>
      <c r="E10199" s="8" t="s">
        <v>65</v>
      </c>
      <c r="F10199" s="5" t="s">
        <v>66</v>
      </c>
      <c r="G10199" s="6" t="str">
        <f>VLOOKUP(E10199,dicionario!$A$1:$C10598,2,0)</f>
        <v>Pitangus sulphutarus</v>
      </c>
      <c r="H10199" s="6" t="str">
        <f>VLOOKUP(E10199,dicionario!$A$1:$C10598,3,0)</f>
        <v>bem-te-vi</v>
      </c>
    </row>
    <row r="10200">
      <c r="A10200" s="3">
        <v>45806.0</v>
      </c>
      <c r="B10200" s="4">
        <v>0.2791666666666667</v>
      </c>
      <c r="C10200" s="5" t="s">
        <v>76</v>
      </c>
      <c r="D10200" s="5" t="s">
        <v>1498</v>
      </c>
      <c r="E10200" s="8" t="s">
        <v>38</v>
      </c>
      <c r="F10200" s="5" t="s">
        <v>39</v>
      </c>
      <c r="G10200" s="6" t="str">
        <f>VLOOKUP(E10200,dicionario!$A$1:$C10599,2,0)</f>
        <v>Troglodytes musculus</v>
      </c>
      <c r="H10200" s="6" t="str">
        <f>VLOOKUP(E10200,dicionario!$A$1:$C10599,3,0)</f>
        <v>curruíra</v>
      </c>
    </row>
    <row r="10201">
      <c r="A10201" s="3">
        <v>45806.0</v>
      </c>
      <c r="B10201" s="4">
        <v>0.2791666666666667</v>
      </c>
      <c r="C10201" s="5" t="s">
        <v>76</v>
      </c>
      <c r="D10201" s="5" t="s">
        <v>1498</v>
      </c>
      <c r="E10201" s="6" t="s">
        <v>471</v>
      </c>
      <c r="F10201" s="5" t="s">
        <v>472</v>
      </c>
      <c r="G10201" s="6" t="str">
        <f>VLOOKUP(E10201,dicionario!$A$1:$C10600,2,0)</f>
        <v>Sida acuta</v>
      </c>
      <c r="H10201" s="6" t="str">
        <f>VLOOKUP(E10201,dicionario!$A$1:$C10600,3,0)</f>
        <v>reloginho</v>
      </c>
    </row>
    <row r="10202">
      <c r="A10202" s="3">
        <v>45806.0</v>
      </c>
      <c r="B10202" s="4">
        <v>0.2791666666666667</v>
      </c>
      <c r="C10202" s="5" t="s">
        <v>76</v>
      </c>
      <c r="D10202" s="5" t="s">
        <v>1498</v>
      </c>
      <c r="E10202" s="8" t="s">
        <v>144</v>
      </c>
      <c r="F10202" s="5" t="s">
        <v>145</v>
      </c>
      <c r="G10202" s="6" t="str">
        <f>VLOOKUP(E10202,dicionario!$A$1:$C10601,2,0)</f>
        <v>Gomphrena globosa</v>
      </c>
      <c r="H10202" s="6" t="str">
        <f>VLOOKUP(E10202,dicionario!$A$1:$C10601,3,0)</f>
        <v>perpétua-rosa</v>
      </c>
    </row>
    <row r="10203">
      <c r="A10203" s="3">
        <v>45806.0</v>
      </c>
      <c r="B10203" s="4">
        <v>0.2791666666666667</v>
      </c>
      <c r="C10203" s="5" t="s">
        <v>76</v>
      </c>
      <c r="D10203" s="5" t="s">
        <v>1498</v>
      </c>
      <c r="E10203" s="8" t="s">
        <v>1501</v>
      </c>
      <c r="F10203" s="5" t="s">
        <v>1502</v>
      </c>
      <c r="G10203" s="6" t="str">
        <f>VLOOKUP(E10203,dicionario!$A$1:$C10602,2,0)</f>
        <v>Synallaxis frontalis</v>
      </c>
      <c r="H10203" s="6" t="str">
        <f>VLOOKUP(E10203,dicionario!$A$1:$C10602,3,0)</f>
        <v>petrim</v>
      </c>
    </row>
    <row r="10204">
      <c r="A10204" s="3">
        <v>45806.0</v>
      </c>
      <c r="B10204" s="4">
        <v>0.2791666666666667</v>
      </c>
      <c r="C10204" s="5" t="s">
        <v>76</v>
      </c>
      <c r="D10204" s="5" t="s">
        <v>1498</v>
      </c>
      <c r="E10204" s="8" t="s">
        <v>225</v>
      </c>
      <c r="F10204" s="5" t="s">
        <v>226</v>
      </c>
      <c r="G10204" s="6" t="str">
        <f>VLOOKUP(E10204,dicionario!$A$1:$C10603,2,0)</f>
        <v>Passer domesticus</v>
      </c>
      <c r="H10204" s="6" t="str">
        <f>VLOOKUP(E10204,dicionario!$A$1:$C10603,3,0)</f>
        <v>pardal</v>
      </c>
    </row>
    <row r="10205">
      <c r="A10205" s="3">
        <v>45806.0</v>
      </c>
      <c r="B10205" s="4">
        <v>0.2791666666666667</v>
      </c>
      <c r="C10205" s="5" t="s">
        <v>76</v>
      </c>
      <c r="D10205" s="5" t="s">
        <v>1498</v>
      </c>
      <c r="E10205" s="8" t="s">
        <v>324</v>
      </c>
      <c r="F10205" s="5" t="s">
        <v>325</v>
      </c>
      <c r="G10205" s="6" t="str">
        <f>VLOOKUP(E10205,dicionario!$A$1:$C10604,2,0)</f>
        <v>#N/A</v>
      </c>
      <c r="H10205" s="6" t="str">
        <f>VLOOKUP(E10205,dicionario!$A$1:$C10604,3,0)</f>
        <v>#N/A</v>
      </c>
    </row>
    <row r="10206">
      <c r="A10206" s="3">
        <v>45806.0</v>
      </c>
      <c r="B10206" s="4">
        <v>0.2791666666666667</v>
      </c>
      <c r="C10206" s="5" t="s">
        <v>76</v>
      </c>
      <c r="D10206" s="5" t="s">
        <v>1498</v>
      </c>
      <c r="E10206" s="8" t="s">
        <v>319</v>
      </c>
      <c r="F10206" s="5" t="s">
        <v>320</v>
      </c>
      <c r="G10206" s="6" t="str">
        <f>VLOOKUP(E10206,dicionario!$A$1:$C10605,2,0)</f>
        <v>Schinus terebinthifolia</v>
      </c>
      <c r="H10206" s="6" t="str">
        <f>VLOOKUP(E10206,dicionario!$A$1:$C10605,3,0)</f>
        <v>aroeira</v>
      </c>
    </row>
    <row r="10207">
      <c r="A10207" s="3">
        <v>45806.0</v>
      </c>
      <c r="B10207" s="4">
        <v>0.2798611111111111</v>
      </c>
      <c r="C10207" s="5" t="s">
        <v>76</v>
      </c>
      <c r="D10207" s="5" t="s">
        <v>1498</v>
      </c>
      <c r="E10207" s="8" t="s">
        <v>736</v>
      </c>
      <c r="F10207" s="5" t="s">
        <v>737</v>
      </c>
      <c r="G10207" s="6" t="str">
        <f>VLOOKUP(E10207,dicionario!$A$1:$C10606,2,0)</f>
        <v>Chloris virgata</v>
      </c>
      <c r="H10207" s="6" t="str">
        <f>VLOOKUP(E10207,dicionario!$A$1:$C10606,3,0)</f>
        <v>capim-pavão</v>
      </c>
    </row>
    <row r="10208">
      <c r="A10208" s="3">
        <v>45806.0</v>
      </c>
      <c r="B10208" s="4">
        <v>0.2798611111111111</v>
      </c>
      <c r="C10208" s="5" t="s">
        <v>76</v>
      </c>
      <c r="D10208" s="5" t="s">
        <v>1498</v>
      </c>
      <c r="E10208" s="8" t="s">
        <v>286</v>
      </c>
      <c r="F10208" s="5" t="s">
        <v>287</v>
      </c>
      <c r="G10208" s="6" t="str">
        <f>VLOOKUP(E10208,dicionario!$A$1:$C10607,2,0)</f>
        <v>Setaria parviflora</v>
      </c>
      <c r="H10208" s="6" t="str">
        <f>VLOOKUP(E10208,dicionario!$A$1:$C10607,3,0)</f>
        <v>capim-rabo-de-raposa</v>
      </c>
    </row>
    <row r="10209">
      <c r="A10209" s="3">
        <v>45806.0</v>
      </c>
      <c r="B10209" s="4">
        <v>0.2798611111111111</v>
      </c>
      <c r="C10209" s="5" t="s">
        <v>76</v>
      </c>
      <c r="D10209" s="5" t="s">
        <v>1498</v>
      </c>
      <c r="E10209" s="8" t="s">
        <v>150</v>
      </c>
      <c r="F10209" s="5" t="s">
        <v>151</v>
      </c>
      <c r="G10209" s="6" t="str">
        <f>VLOOKUP(E10209,dicionario!$A$1:$C10608,2,0)</f>
        <v>Amaranthus viridis</v>
      </c>
      <c r="H10209" s="6" t="str">
        <f>VLOOKUP(E10209,dicionario!$A$1:$C10608,3,0)</f>
        <v>caruru-de-mancha</v>
      </c>
    </row>
    <row r="10210">
      <c r="A10210" s="3">
        <v>45806.0</v>
      </c>
      <c r="B10210" s="4">
        <v>0.2798611111111111</v>
      </c>
      <c r="C10210" s="5" t="s">
        <v>76</v>
      </c>
      <c r="D10210" s="5" t="s">
        <v>1498</v>
      </c>
      <c r="E10210" s="8" t="s">
        <v>191</v>
      </c>
      <c r="F10210" s="5" t="s">
        <v>192</v>
      </c>
      <c r="G10210" s="6" t="str">
        <f>VLOOKUP(E10210,dicionario!$A$1:$C10609,2,0)</f>
        <v>Patagioenas picazuro</v>
      </c>
      <c r="H10210" s="6" t="str">
        <f>VLOOKUP(E10210,dicionario!$A$1:$C10609,3,0)</f>
        <v>asa-branca; pomba-asa-branca; pocaçu</v>
      </c>
    </row>
    <row r="10211">
      <c r="A10211" s="3">
        <v>45806.0</v>
      </c>
      <c r="B10211" s="4">
        <v>0.2798611111111111</v>
      </c>
      <c r="C10211" s="5" t="s">
        <v>76</v>
      </c>
      <c r="D10211" s="5" t="s">
        <v>1498</v>
      </c>
      <c r="E10211" s="6" t="s">
        <v>48</v>
      </c>
      <c r="F10211" s="5" t="s">
        <v>49</v>
      </c>
      <c r="G10211" s="6" t="str">
        <f>VLOOKUP(E10211,dicionario!$A$1:$C10610,2,0)</f>
        <v>Commelina erecta</v>
      </c>
      <c r="H10211" s="6" t="str">
        <f>VLOOKUP(E10211,dicionario!$A$1:$C10610,3,0)</f>
        <v>trapoeraba</v>
      </c>
    </row>
    <row r="10212">
      <c r="A10212" s="3">
        <v>45806.0</v>
      </c>
      <c r="B10212" s="4">
        <v>0.2798611111111111</v>
      </c>
      <c r="C10212" s="5" t="s">
        <v>76</v>
      </c>
      <c r="D10212" s="5" t="s">
        <v>1498</v>
      </c>
      <c r="E10212" s="6" t="s">
        <v>613</v>
      </c>
      <c r="F10212" s="5" t="s">
        <v>614</v>
      </c>
      <c r="G10212" s="6" t="str">
        <f>VLOOKUP(E10212,dicionario!$A$1:$C10611,2,0)</f>
        <v>Euphorbia hyssopifolia</v>
      </c>
      <c r="H10212" s="6" t="str">
        <f>VLOOKUP(E10212,dicionario!$A$1:$C10611,3,0)</f>
        <v>maria-leite</v>
      </c>
    </row>
    <row r="10213">
      <c r="A10213" s="3">
        <v>45806.0</v>
      </c>
      <c r="B10213" s="4">
        <v>0.2798611111111111</v>
      </c>
      <c r="C10213" s="5" t="s">
        <v>76</v>
      </c>
      <c r="D10213" s="5" t="s">
        <v>1498</v>
      </c>
      <c r="E10213" s="8" t="s">
        <v>51</v>
      </c>
      <c r="F10213" s="5" t="s">
        <v>77</v>
      </c>
      <c r="G10213" s="6" t="str">
        <f>VLOOKUP(E10213,dicionario!$A$1:$C10612,2,0)</f>
        <v>Solenopsis</v>
      </c>
      <c r="H10213" s="6" t="str">
        <f>VLOOKUP(E10213,dicionario!$A$1:$C10612,3,0)</f>
        <v>formiga-quente; formiga-lava-pés; formiga-de-fogo</v>
      </c>
    </row>
    <row r="10214">
      <c r="A10214" s="3">
        <v>45806.0</v>
      </c>
      <c r="B10214" s="4">
        <v>0.28055555555555556</v>
      </c>
      <c r="C10214" s="5" t="s">
        <v>76</v>
      </c>
      <c r="D10214" s="5" t="s">
        <v>1498</v>
      </c>
      <c r="E10214" s="8" t="s">
        <v>265</v>
      </c>
      <c r="F10214" s="5" t="s">
        <v>600</v>
      </c>
      <c r="G10214" s="6" t="str">
        <f>VLOOKUP(E10214,dicionario!$A$1:$C10613,2,0)</f>
        <v>Sonchus oleraceus</v>
      </c>
      <c r="H10214" s="6" t="str">
        <f>VLOOKUP(E10214,dicionario!$A$1:$C10613,3,0)</f>
        <v>seralha</v>
      </c>
    </row>
    <row r="10215">
      <c r="A10215" s="3">
        <v>45806.0</v>
      </c>
      <c r="B10215" s="4">
        <v>0.28055555555555556</v>
      </c>
      <c r="C10215" s="5" t="s">
        <v>76</v>
      </c>
      <c r="D10215" s="5" t="s">
        <v>1498</v>
      </c>
      <c r="E10215" s="8" t="s">
        <v>1354</v>
      </c>
      <c r="F10215" s="5" t="s">
        <v>56</v>
      </c>
      <c r="G10215" s="6" t="str">
        <f>VLOOKUP(E10215,dicionario!$A$1:$C10614,2,0)</f>
        <v>#N/A</v>
      </c>
      <c r="H10215" s="6" t="str">
        <f>VLOOKUP(E10215,dicionario!$A$1:$C10614,3,0)</f>
        <v>#N/A</v>
      </c>
    </row>
    <row r="10216">
      <c r="A10216" s="3">
        <v>45806.0</v>
      </c>
      <c r="B10216" s="4">
        <v>0.28055555555555556</v>
      </c>
      <c r="C10216" s="5" t="s">
        <v>76</v>
      </c>
      <c r="D10216" s="5" t="s">
        <v>1498</v>
      </c>
      <c r="E10216" s="8" t="s">
        <v>1503</v>
      </c>
      <c r="F10216" s="5" t="s">
        <v>1504</v>
      </c>
      <c r="G10216" s="6" t="str">
        <f>VLOOKUP(E10216,dicionario!$A$1:$C10615,2,0)</f>
        <v>#N/A</v>
      </c>
      <c r="H10216" s="6" t="str">
        <f>VLOOKUP(E10216,dicionario!$A$1:$C10615,3,0)</f>
        <v>#N/A</v>
      </c>
    </row>
    <row r="10217">
      <c r="A10217" s="3">
        <v>45806.0</v>
      </c>
      <c r="B10217" s="4">
        <v>0.28055555555555556</v>
      </c>
      <c r="C10217" s="5" t="s">
        <v>76</v>
      </c>
      <c r="D10217" s="5" t="s">
        <v>1498</v>
      </c>
      <c r="E10217" s="6" t="s">
        <v>290</v>
      </c>
      <c r="F10217" s="5" t="s">
        <v>291</v>
      </c>
      <c r="G10217" s="6" t="str">
        <f>VLOOKUP(E10217,dicionario!$A$1:$C10616,2,0)</f>
        <v>Drymaria cordata</v>
      </c>
      <c r="H10217" s="6" t="str">
        <f>VLOOKUP(E10217,dicionario!$A$1:$C10616,3,0)</f>
        <v>orelha-de-rato</v>
      </c>
    </row>
    <row r="10218">
      <c r="A10218" s="3">
        <v>45806.0</v>
      </c>
      <c r="B10218" s="4">
        <v>0.28125</v>
      </c>
      <c r="C10218" s="5" t="s">
        <v>76</v>
      </c>
      <c r="D10218" s="5" t="s">
        <v>1498</v>
      </c>
      <c r="E10218" s="6" t="s">
        <v>439</v>
      </c>
      <c r="F10218" s="5" t="s">
        <v>281</v>
      </c>
      <c r="G10218" s="6" t="str">
        <f>VLOOKUP(E10218,dicionario!$A$1:$C10617,2,0)</f>
        <v>#N/A</v>
      </c>
      <c r="H10218" s="6" t="str">
        <f>VLOOKUP(E10218,dicionario!$A$1:$C10617,3,0)</f>
        <v>#N/A</v>
      </c>
    </row>
    <row r="10219">
      <c r="A10219" s="3">
        <v>45806.0</v>
      </c>
      <c r="B10219" s="4">
        <v>0.28125</v>
      </c>
      <c r="C10219" s="5" t="s">
        <v>76</v>
      </c>
      <c r="D10219" s="5" t="s">
        <v>1498</v>
      </c>
      <c r="E10219" s="6" t="s">
        <v>496</v>
      </c>
      <c r="F10219" s="5" t="s">
        <v>497</v>
      </c>
      <c r="G10219" s="6" t="str">
        <f>VLOOKUP(E10219,dicionario!$A$1:$C10618,2,0)</f>
        <v>Eclipta prostrata</v>
      </c>
      <c r="H10219" s="6" t="str">
        <f>VLOOKUP(E10219,dicionario!$A$1:$C10618,3,0)</f>
        <v>falsa-margarida</v>
      </c>
    </row>
    <row r="10220">
      <c r="A10220" s="3">
        <v>45806.0</v>
      </c>
      <c r="B10220" s="4">
        <v>0.28125</v>
      </c>
      <c r="C10220" s="5" t="s">
        <v>76</v>
      </c>
      <c r="D10220" s="5" t="s">
        <v>1498</v>
      </c>
      <c r="E10220" s="6" t="s">
        <v>288</v>
      </c>
      <c r="F10220" s="5" t="s">
        <v>289</v>
      </c>
      <c r="G10220" s="6" t="str">
        <f>VLOOKUP(E10220,dicionario!$A$1:$C10619,2,0)</f>
        <v>Phyllanthus tenellus</v>
      </c>
      <c r="H10220" s="6" t="str">
        <f>VLOOKUP(E10220,dicionario!$A$1:$C10619,3,0)</f>
        <v>quebra-pedra</v>
      </c>
    </row>
    <row r="10221">
      <c r="A10221" s="3">
        <v>45806.0</v>
      </c>
      <c r="B10221" s="4">
        <v>0.28125</v>
      </c>
      <c r="C10221" s="5" t="s">
        <v>76</v>
      </c>
      <c r="D10221" s="5" t="s">
        <v>1498</v>
      </c>
      <c r="E10221" s="6" t="s">
        <v>267</v>
      </c>
      <c r="F10221" s="5" t="s">
        <v>553</v>
      </c>
      <c r="G10221" s="6" t="str">
        <f>VLOOKUP(E10221,dicionario!$A$1:$C10620,2,0)</f>
        <v>Solanum americanum</v>
      </c>
      <c r="H10221" s="6" t="str">
        <f>VLOOKUP(E10221,dicionario!$A$1:$C10620,3,0)</f>
        <v>maria-pretinha</v>
      </c>
    </row>
    <row r="10222">
      <c r="A10222" s="3">
        <v>45806.0</v>
      </c>
      <c r="B10222" s="4">
        <v>0.28125</v>
      </c>
      <c r="C10222" s="5" t="s">
        <v>76</v>
      </c>
      <c r="D10222" s="5" t="s">
        <v>1498</v>
      </c>
      <c r="E10222" s="8" t="s">
        <v>69</v>
      </c>
      <c r="F10222" s="5" t="s">
        <v>71</v>
      </c>
      <c r="G10222" s="6" t="str">
        <f>VLOOKUP(E10222,dicionario!$A$1:$C10621,2,0)</f>
        <v>Talinum fruticosum</v>
      </c>
      <c r="H10222" s="6" t="str">
        <f>VLOOKUP(E10222,dicionario!$A$1:$C10621,3,0)</f>
        <v>beldroega-grande</v>
      </c>
    </row>
    <row r="10223">
      <c r="A10223" s="3">
        <v>45806.0</v>
      </c>
      <c r="B10223" s="4">
        <v>0.28194444444444444</v>
      </c>
      <c r="C10223" s="5" t="s">
        <v>76</v>
      </c>
      <c r="D10223" s="5" t="s">
        <v>1498</v>
      </c>
      <c r="E10223" s="12" t="s">
        <v>152</v>
      </c>
      <c r="F10223" s="5" t="s">
        <v>153</v>
      </c>
      <c r="G10223" s="6" t="str">
        <f>VLOOKUP(E10223,dicionario!$A$1:$C10622,2,0)</f>
        <v>Cynodon dactylon</v>
      </c>
      <c r="H10223" s="6" t="str">
        <f>VLOOKUP(E10223,dicionario!$A$1:$C10622,3,0)</f>
        <v>grama-bermuda</v>
      </c>
    </row>
    <row r="10224">
      <c r="A10224" s="3">
        <v>45806.0</v>
      </c>
      <c r="B10224" s="4">
        <v>0.28194444444444444</v>
      </c>
      <c r="C10224" s="5" t="s">
        <v>76</v>
      </c>
      <c r="D10224" s="5" t="s">
        <v>1498</v>
      </c>
      <c r="E10224" s="6" t="s">
        <v>326</v>
      </c>
      <c r="F10224" s="5" t="s">
        <v>327</v>
      </c>
      <c r="G10224" s="6" t="str">
        <f>VLOOKUP(E10224,dicionario!$A$1:$C10623,2,0)</f>
        <v>Amaranthus spinosus</v>
      </c>
      <c r="H10224" s="6" t="str">
        <f>VLOOKUP(E10224,dicionario!$A$1:$C10623,3,0)</f>
        <v>caruru-de-espinho</v>
      </c>
    </row>
    <row r="10225">
      <c r="A10225" s="3">
        <v>45806.0</v>
      </c>
      <c r="B10225" s="4">
        <v>0.28194444444444444</v>
      </c>
      <c r="C10225" s="5" t="s">
        <v>76</v>
      </c>
      <c r="D10225" s="5" t="s">
        <v>1498</v>
      </c>
      <c r="E10225" s="8" t="s">
        <v>1505</v>
      </c>
      <c r="F10225" s="5" t="s">
        <v>1506</v>
      </c>
      <c r="G10225" s="6" t="str">
        <f>VLOOKUP(E10225,dicionario!$A$1:$C10624,2,0)</f>
        <v>Falco</v>
      </c>
      <c r="H10225" s="6" t="str">
        <f>VLOOKUP(E10225,dicionario!$A$1:$C10624,3,0)</f>
        <v>falcão</v>
      </c>
    </row>
    <row r="10226">
      <c r="A10226" s="3">
        <v>45806.0</v>
      </c>
      <c r="B10226" s="4">
        <v>0.28194444444444444</v>
      </c>
      <c r="C10226" s="5" t="s">
        <v>76</v>
      </c>
      <c r="D10226" s="5" t="s">
        <v>1498</v>
      </c>
      <c r="E10226" s="8" t="s">
        <v>849</v>
      </c>
      <c r="F10226" s="5" t="s">
        <v>1457</v>
      </c>
      <c r="G10226" s="6" t="str">
        <f>VLOOKUP(E10226,dicionario!$A$1:$C10625,2,0)</f>
        <v>#N/A</v>
      </c>
      <c r="H10226" s="6" t="str">
        <f>VLOOKUP(E10226,dicionario!$A$1:$C10625,3,0)</f>
        <v>#N/A</v>
      </c>
    </row>
    <row r="10227">
      <c r="A10227" s="3">
        <v>45806.0</v>
      </c>
      <c r="B10227" s="4">
        <v>0.2826388888888889</v>
      </c>
      <c r="C10227" s="5" t="s">
        <v>76</v>
      </c>
      <c r="D10227" s="5" t="s">
        <v>1498</v>
      </c>
      <c r="E10227" s="72" t="s">
        <v>805</v>
      </c>
      <c r="F10227" s="61" t="s">
        <v>186</v>
      </c>
      <c r="G10227" s="6" t="str">
        <f>VLOOKUP(E10227,dicionario!$A$1:$C10626,2,0)</f>
        <v>#N/A</v>
      </c>
      <c r="H10227" s="6" t="str">
        <f>VLOOKUP(E10227,dicionario!$A$1:$C10626,3,0)</f>
        <v>#N/A</v>
      </c>
    </row>
    <row r="10228">
      <c r="A10228" s="3">
        <v>45806.0</v>
      </c>
      <c r="B10228" s="4">
        <v>0.2826388888888889</v>
      </c>
      <c r="C10228" s="5" t="s">
        <v>64</v>
      </c>
      <c r="D10228" s="5" t="s">
        <v>1498</v>
      </c>
      <c r="E10228" s="8" t="s">
        <v>109</v>
      </c>
      <c r="F10228" s="5" t="s">
        <v>110</v>
      </c>
      <c r="G10228" s="6" t="str">
        <f>VLOOKUP(E10228,dicionario!$A$1:$C10627,2,0)</f>
        <v>Tillandsia stricta</v>
      </c>
      <c r="H10228" s="6" t="str">
        <f>VLOOKUP(E10228,dicionario!$A$1:$C10627,3,0)</f>
        <v>cravo-do-mato</v>
      </c>
    </row>
    <row r="10229">
      <c r="A10229" s="3">
        <v>45806.0</v>
      </c>
      <c r="B10229" s="4">
        <v>0.2826388888888889</v>
      </c>
      <c r="C10229" s="5" t="s">
        <v>64</v>
      </c>
      <c r="D10229" s="5" t="s">
        <v>1498</v>
      </c>
      <c r="E10229" s="6" t="s">
        <v>251</v>
      </c>
      <c r="F10229" s="5" t="s">
        <v>252</v>
      </c>
      <c r="G10229" s="6" t="str">
        <f>VLOOKUP(E10229,dicionario!$A$1:$C10628,2,0)</f>
        <v>Struthanthus flexicaulis</v>
      </c>
      <c r="H10229" s="6" t="str">
        <f>VLOOKUP(E10229,dicionario!$A$1:$C10628,3,0)</f>
        <v>erva-de-passarinho</v>
      </c>
    </row>
    <row r="10230">
      <c r="A10230" s="3">
        <v>45806.0</v>
      </c>
      <c r="B10230" s="4">
        <v>0.2826388888888889</v>
      </c>
      <c r="C10230" s="5" t="s">
        <v>64</v>
      </c>
      <c r="D10230" s="5" t="s">
        <v>1498</v>
      </c>
      <c r="E10230" s="8" t="s">
        <v>113</v>
      </c>
      <c r="F10230" s="5" t="s">
        <v>114</v>
      </c>
      <c r="G10230" s="6" t="str">
        <f>VLOOKUP(E10230,dicionario!$A$1:$C10629,2,0)</f>
        <v>Columbina talpacoti</v>
      </c>
      <c r="H10230" s="6" t="str">
        <f>VLOOKUP(E10230,dicionario!$A$1:$C10629,3,0)</f>
        <v>rolinha-roxa</v>
      </c>
    </row>
    <row r="10231">
      <c r="A10231" s="3">
        <v>45806.0</v>
      </c>
      <c r="B10231" s="4">
        <v>0.2833333333333333</v>
      </c>
      <c r="C10231" s="5" t="s">
        <v>64</v>
      </c>
      <c r="D10231" s="5" t="s">
        <v>1498</v>
      </c>
      <c r="E10231" s="8" t="s">
        <v>298</v>
      </c>
      <c r="F10231" s="7"/>
      <c r="G10231" s="6" t="str">
        <f>VLOOKUP(E10231,dicionario!$A$1:$C10630,2,0)</f>
        <v>Alysicarpus vaginalis</v>
      </c>
      <c r="H10231" s="6" t="str">
        <f>VLOOKUP(E10231,dicionario!$A$1:$C10630,3,0)</f>
        <v/>
      </c>
    </row>
    <row r="10232">
      <c r="A10232" s="3">
        <v>45806.0</v>
      </c>
      <c r="B10232" s="4">
        <v>0.28402777777777777</v>
      </c>
      <c r="C10232" s="5" t="s">
        <v>64</v>
      </c>
      <c r="D10232" s="5" t="s">
        <v>1498</v>
      </c>
      <c r="E10232" s="8" t="s">
        <v>1406</v>
      </c>
      <c r="F10232" s="5" t="s">
        <v>172</v>
      </c>
      <c r="G10232" s="6" t="str">
        <f>VLOOKUP(E10232,dicionario!$A$1:$C10631,2,0)</f>
        <v>#N/A</v>
      </c>
      <c r="H10232" s="6" t="str">
        <f>VLOOKUP(E10232,dicionario!$A$1:$C10631,3,0)</f>
        <v>#N/A</v>
      </c>
    </row>
    <row r="10233">
      <c r="A10233" s="3">
        <v>45806.0</v>
      </c>
      <c r="B10233" s="4">
        <v>0.2847222222222222</v>
      </c>
      <c r="C10233" s="5" t="s">
        <v>64</v>
      </c>
      <c r="D10233" s="5" t="s">
        <v>1498</v>
      </c>
      <c r="E10233" s="8" t="s">
        <v>135</v>
      </c>
      <c r="F10233" s="5" t="s">
        <v>136</v>
      </c>
      <c r="G10233" s="6" t="str">
        <f>VLOOKUP(E10233,dicionario!$A$1:$C10632,2,0)</f>
        <v>Tridax procumbens</v>
      </c>
      <c r="H10233" s="6" t="str">
        <f>VLOOKUP(E10233,dicionario!$A$1:$C10632,3,0)</f>
        <v>erva-de-touro</v>
      </c>
    </row>
    <row r="10234">
      <c r="A10234" s="3">
        <v>45806.0</v>
      </c>
      <c r="B10234" s="4">
        <v>0.28541666666666665</v>
      </c>
      <c r="C10234" s="5" t="s">
        <v>64</v>
      </c>
      <c r="D10234" s="5" t="s">
        <v>1498</v>
      </c>
      <c r="E10234" s="8" t="s">
        <v>353</v>
      </c>
      <c r="F10234" s="5" t="s">
        <v>354</v>
      </c>
      <c r="G10234" s="6" t="str">
        <f>VLOOKUP(E10234,dicionario!$A$1:$C10633,2,0)</f>
        <v>Desmodium incanum</v>
      </c>
      <c r="H10234" s="6" t="str">
        <f>VLOOKUP(E10234,dicionario!$A$1:$C10633,3,0)</f>
        <v>pega-pega</v>
      </c>
    </row>
    <row r="10235">
      <c r="A10235" s="3">
        <v>45806.0</v>
      </c>
      <c r="B10235" s="4">
        <v>0.2861111111111111</v>
      </c>
      <c r="C10235" s="5" t="s">
        <v>64</v>
      </c>
      <c r="D10235" s="5" t="s">
        <v>1498</v>
      </c>
      <c r="E10235" s="8" t="s">
        <v>719</v>
      </c>
      <c r="F10235" s="5" t="s">
        <v>911</v>
      </c>
      <c r="G10235" s="6" t="str">
        <f>VLOOKUP(E10235,dicionario!$A$1:$C10634,2,0)</f>
        <v>Dirinaria</v>
      </c>
      <c r="H10235" s="6" t="str">
        <f>VLOOKUP(E10235,dicionario!$A$1:$C10634,3,0)</f>
        <v>líquen-crostoso</v>
      </c>
    </row>
    <row r="10236">
      <c r="A10236" s="3">
        <v>45806.0</v>
      </c>
      <c r="B10236" s="4">
        <v>0.2881944444444444</v>
      </c>
      <c r="C10236" s="5" t="s">
        <v>64</v>
      </c>
      <c r="D10236" s="5" t="s">
        <v>1498</v>
      </c>
      <c r="E10236" s="8" t="s">
        <v>712</v>
      </c>
      <c r="F10236" s="5" t="s">
        <v>718</v>
      </c>
      <c r="G10236" s="6" t="str">
        <f>VLOOKUP(E10236,dicionario!$A$1:$C10635,2,0)</f>
        <v>Flavopunctelia soredica</v>
      </c>
      <c r="H10236" s="6" t="str">
        <f>VLOOKUP(E10236,dicionario!$A$1:$C10635,3,0)</f>
        <v>líquen-folioso</v>
      </c>
    </row>
    <row r="10237">
      <c r="A10237" s="3">
        <v>45806.0</v>
      </c>
      <c r="B10237" s="4">
        <v>0.2881944444444444</v>
      </c>
      <c r="C10237" s="5" t="s">
        <v>64</v>
      </c>
      <c r="D10237" s="5" t="s">
        <v>1498</v>
      </c>
      <c r="E10237" s="8" t="s">
        <v>1297</v>
      </c>
      <c r="F10237" s="5" t="s">
        <v>515</v>
      </c>
      <c r="G10237" s="6" t="str">
        <f>VLOOKUP(E10237,dicionario!$A$1:$C10636,2,0)</f>
        <v>#N/A</v>
      </c>
      <c r="H10237" s="6" t="str">
        <f>VLOOKUP(E10237,dicionario!$A$1:$C10636,3,0)</f>
        <v>#N/A</v>
      </c>
    </row>
    <row r="10238">
      <c r="A10238" s="3">
        <v>45806.0</v>
      </c>
      <c r="B10238" s="4">
        <v>0.2881944444444444</v>
      </c>
      <c r="C10238" s="5" t="s">
        <v>64</v>
      </c>
      <c r="D10238" s="5" t="s">
        <v>1498</v>
      </c>
      <c r="E10238" s="8" t="s">
        <v>195</v>
      </c>
      <c r="F10238" s="5" t="s">
        <v>196</v>
      </c>
      <c r="G10238" s="6" t="str">
        <f>VLOOKUP(E10238,dicionario!$A$1:$C10637,2,0)</f>
        <v>Priva lappulacea</v>
      </c>
      <c r="H10238" s="6" t="str">
        <f>VLOOKUP(E10238,dicionario!$A$1:$C10637,3,0)</f>
        <v>carrapicho</v>
      </c>
    </row>
    <row r="10239">
      <c r="A10239" s="3">
        <v>45806.0</v>
      </c>
      <c r="B10239" s="4">
        <v>0.2881944444444444</v>
      </c>
      <c r="C10239" s="5" t="s">
        <v>64</v>
      </c>
      <c r="D10239" s="5" t="s">
        <v>1498</v>
      </c>
      <c r="E10239" s="8" t="s">
        <v>88</v>
      </c>
      <c r="F10239" s="5" t="s">
        <v>89</v>
      </c>
      <c r="G10239" s="6" t="str">
        <f>VLOOKUP(E10239,dicionario!$A$1:$C10638,2,0)</f>
        <v>Tyrannus melancolichus</v>
      </c>
      <c r="H10239" s="6" t="str">
        <f>VLOOKUP(E10239,dicionario!$A$1:$C10638,3,0)</f>
        <v>suiriri</v>
      </c>
    </row>
    <row r="10240">
      <c r="A10240" s="3">
        <v>45806.0</v>
      </c>
      <c r="B10240" s="4">
        <v>0.28888888888888886</v>
      </c>
      <c r="C10240" s="5" t="s">
        <v>64</v>
      </c>
      <c r="D10240" s="5" t="s">
        <v>1498</v>
      </c>
      <c r="E10240" s="6" t="s">
        <v>290</v>
      </c>
      <c r="F10240" s="5" t="s">
        <v>291</v>
      </c>
      <c r="G10240" s="6" t="str">
        <f>VLOOKUP(E10240,dicionario!$A$1:$C10639,2,0)</f>
        <v>Drymaria cordata</v>
      </c>
      <c r="H10240" s="6" t="str">
        <f>VLOOKUP(E10240,dicionario!$A$1:$C10639,3,0)</f>
        <v>orelha-de-rato</v>
      </c>
    </row>
    <row r="10241">
      <c r="A10241" s="3">
        <v>45806.0</v>
      </c>
      <c r="B10241" s="4">
        <v>0.28888888888888886</v>
      </c>
      <c r="C10241" s="5" t="s">
        <v>64</v>
      </c>
      <c r="D10241" s="5" t="s">
        <v>1498</v>
      </c>
      <c r="E10241" s="8" t="s">
        <v>615</v>
      </c>
      <c r="F10241" s="5" t="s">
        <v>238</v>
      </c>
      <c r="G10241" s="6" t="str">
        <f>VLOOKUP(E10241,dicionario!$A$1:$C10640,2,0)</f>
        <v>#N/A</v>
      </c>
      <c r="H10241" s="6" t="str">
        <f>VLOOKUP(E10241,dicionario!$A$1:$C10640,3,0)</f>
        <v>#N/A</v>
      </c>
    </row>
    <row r="10242">
      <c r="A10242" s="3">
        <v>45806.0</v>
      </c>
      <c r="B10242" s="4">
        <v>0.28888888888888886</v>
      </c>
      <c r="C10242" s="5" t="s">
        <v>64</v>
      </c>
      <c r="D10242" s="5" t="s">
        <v>1498</v>
      </c>
      <c r="E10242" s="8" t="s">
        <v>258</v>
      </c>
      <c r="F10242" s="5" t="s">
        <v>259</v>
      </c>
      <c r="G10242" s="6" t="str">
        <f>VLOOKUP(E10242,dicionario!$A$1:$C10641,2,0)</f>
        <v>Lantana camara</v>
      </c>
      <c r="H10242" s="6" t="str">
        <f>VLOOKUP(E10242,dicionario!$A$1:$C10641,3,0)</f>
        <v>lantana</v>
      </c>
    </row>
    <row r="10243">
      <c r="A10243" s="3">
        <v>45806.0</v>
      </c>
      <c r="B10243" s="4">
        <v>0.28888888888888886</v>
      </c>
      <c r="C10243" s="5" t="s">
        <v>64</v>
      </c>
      <c r="D10243" s="5" t="s">
        <v>1498</v>
      </c>
      <c r="E10243" s="8" t="s">
        <v>191</v>
      </c>
      <c r="F10243" s="5" t="s">
        <v>192</v>
      </c>
      <c r="G10243" s="6" t="str">
        <f>VLOOKUP(E10243,dicionario!$A$1:$C10642,2,0)</f>
        <v>Patagioenas picazuro</v>
      </c>
      <c r="H10243" s="6" t="str">
        <f>VLOOKUP(E10243,dicionario!$A$1:$C10642,3,0)</f>
        <v>asa-branca; pomba-asa-branca; pocaçu</v>
      </c>
    </row>
    <row r="10244">
      <c r="A10244" s="3">
        <v>45806.0</v>
      </c>
      <c r="B10244" s="4">
        <v>0.28888888888888886</v>
      </c>
      <c r="C10244" s="5" t="s">
        <v>64</v>
      </c>
      <c r="D10244" s="5" t="s">
        <v>1498</v>
      </c>
      <c r="E10244" s="8" t="s">
        <v>213</v>
      </c>
      <c r="F10244" s="5" t="s">
        <v>214</v>
      </c>
      <c r="G10244" s="6" t="str">
        <f>VLOOKUP(E10244,dicionario!$A$1:$C10643,2,0)</f>
        <v>Myiozetetes similis</v>
      </c>
      <c r="H10244" s="6" t="str">
        <f>VLOOKUP(E10244,dicionario!$A$1:$C10643,3,0)</f>
        <v>bentevizinho-de-penacho-vermelho</v>
      </c>
    </row>
    <row r="10245">
      <c r="A10245" s="3">
        <v>45806.0</v>
      </c>
      <c r="B10245" s="4">
        <v>0.28888888888888886</v>
      </c>
      <c r="C10245" s="5" t="s">
        <v>64</v>
      </c>
      <c r="D10245" s="5" t="s">
        <v>1498</v>
      </c>
      <c r="E10245" s="8" t="s">
        <v>150</v>
      </c>
      <c r="F10245" s="5" t="s">
        <v>151</v>
      </c>
      <c r="G10245" s="6" t="str">
        <f>VLOOKUP(E10245,dicionario!$A$1:$C10644,2,0)</f>
        <v>Amaranthus viridis</v>
      </c>
      <c r="H10245" s="6" t="str">
        <f>VLOOKUP(E10245,dicionario!$A$1:$C10644,3,0)</f>
        <v>caruru-de-mancha</v>
      </c>
    </row>
    <row r="10246">
      <c r="A10246" s="3">
        <v>45806.0</v>
      </c>
      <c r="B10246" s="4">
        <v>0.28958333333333336</v>
      </c>
      <c r="C10246" s="5" t="s">
        <v>64</v>
      </c>
      <c r="D10246" s="5" t="s">
        <v>1498</v>
      </c>
      <c r="E10246" s="6" t="s">
        <v>310</v>
      </c>
      <c r="F10246" s="5" t="s">
        <v>311</v>
      </c>
      <c r="G10246" s="6" t="str">
        <f>VLOOKUP(E10246,dicionario!$A$1:$C10645,2,0)</f>
        <v>Salticidae</v>
      </c>
      <c r="H10246" s="6" t="str">
        <f>VLOOKUP(E10246,dicionario!$A$1:$C10645,3,0)</f>
        <v>aranha-papa-mosca</v>
      </c>
    </row>
    <row r="10247">
      <c r="A10247" s="3">
        <v>45806.0</v>
      </c>
      <c r="B10247" s="4">
        <v>0.28958333333333336</v>
      </c>
      <c r="C10247" s="5" t="s">
        <v>64</v>
      </c>
      <c r="D10247" s="5" t="s">
        <v>1498</v>
      </c>
      <c r="E10247" s="8" t="s">
        <v>624</v>
      </c>
      <c r="F10247" s="5" t="s">
        <v>133</v>
      </c>
      <c r="G10247" s="6" t="str">
        <f>VLOOKUP(E10247,dicionario!$A$1:$C10646,2,0)</f>
        <v>Euphonia violacea</v>
      </c>
      <c r="H10247" s="6" t="str">
        <f>VLOOKUP(E10247,dicionario!$A$1:$C10646,3,0)</f>
        <v>gaturamo-verdadeiro</v>
      </c>
    </row>
    <row r="10248">
      <c r="A10248" s="3">
        <v>45806.0</v>
      </c>
      <c r="B10248" s="4">
        <v>0.2902777777777778</v>
      </c>
      <c r="C10248" s="5" t="s">
        <v>64</v>
      </c>
      <c r="D10248" s="5" t="s">
        <v>1498</v>
      </c>
      <c r="E10248" s="8" t="s">
        <v>65</v>
      </c>
      <c r="F10248" s="5" t="s">
        <v>66</v>
      </c>
      <c r="G10248" s="6" t="str">
        <f>VLOOKUP(E10248,dicionario!$A$1:$C10647,2,0)</f>
        <v>Pitangus sulphutarus</v>
      </c>
      <c r="H10248" s="6" t="str">
        <f>VLOOKUP(E10248,dicionario!$A$1:$C10647,3,0)</f>
        <v>bem-te-vi</v>
      </c>
    </row>
    <row r="10249">
      <c r="A10249" s="3">
        <v>45806.0</v>
      </c>
      <c r="B10249" s="4">
        <v>0.2902777777777778</v>
      </c>
      <c r="C10249" s="5" t="s">
        <v>64</v>
      </c>
      <c r="D10249" s="5" t="s">
        <v>1498</v>
      </c>
      <c r="E10249" s="6" t="s">
        <v>288</v>
      </c>
      <c r="F10249" s="5" t="s">
        <v>289</v>
      </c>
      <c r="G10249" s="6" t="str">
        <f>VLOOKUP(E10249,dicionario!$A$1:$C10648,2,0)</f>
        <v>Phyllanthus tenellus</v>
      </c>
      <c r="H10249" s="6" t="str">
        <f>VLOOKUP(E10249,dicionario!$A$1:$C10648,3,0)</f>
        <v>quebra-pedra</v>
      </c>
    </row>
    <row r="10250">
      <c r="A10250" s="3">
        <v>45806.0</v>
      </c>
      <c r="B10250" s="4">
        <v>0.2902777777777778</v>
      </c>
      <c r="C10250" s="5" t="s">
        <v>64</v>
      </c>
      <c r="D10250" s="5" t="s">
        <v>1498</v>
      </c>
      <c r="E10250" s="8" t="s">
        <v>175</v>
      </c>
      <c r="F10250" s="5" t="s">
        <v>176</v>
      </c>
      <c r="G10250" s="6" t="str">
        <f>VLOOKUP(E10250,dicionario!$A$1:$C10649,2,0)</f>
        <v>Turdus leucomelas</v>
      </c>
      <c r="H10250" s="6" t="str">
        <f>VLOOKUP(E10250,dicionario!$A$1:$C10649,3,0)</f>
        <v>sabiá-barranco</v>
      </c>
    </row>
    <row r="10251">
      <c r="A10251" s="3">
        <v>45806.0</v>
      </c>
      <c r="B10251" s="4">
        <v>0.29097222222222224</v>
      </c>
      <c r="C10251" s="5" t="s">
        <v>64</v>
      </c>
      <c r="D10251" s="5" t="s">
        <v>1498</v>
      </c>
      <c r="E10251" s="8" t="s">
        <v>1427</v>
      </c>
      <c r="F10251" s="5" t="s">
        <v>44</v>
      </c>
      <c r="G10251" s="6" t="str">
        <f>VLOOKUP(E10251,dicionario!$A$1:$C10650,2,0)</f>
        <v>#N/A</v>
      </c>
      <c r="H10251" s="6" t="str">
        <f>VLOOKUP(E10251,dicionario!$A$1:$C10650,3,0)</f>
        <v>#N/A</v>
      </c>
    </row>
    <row r="10252">
      <c r="A10252" s="3">
        <v>45806.0</v>
      </c>
      <c r="B10252" s="4">
        <v>0.29097222222222224</v>
      </c>
      <c r="C10252" s="5" t="s">
        <v>64</v>
      </c>
      <c r="D10252" s="5" t="s">
        <v>1498</v>
      </c>
      <c r="E10252" s="8" t="s">
        <v>390</v>
      </c>
      <c r="F10252" s="5" t="s">
        <v>633</v>
      </c>
      <c r="G10252" s="6" t="str">
        <f>VLOOKUP(E10252,dicionario!$A$1:$C10651,2,0)</f>
        <v>Oxalis barrelieri</v>
      </c>
      <c r="H10252" s="6" t="str">
        <f>VLOOKUP(E10252,dicionario!$A$1:$C10651,3,0)</f>
        <v>erva-azeda; azedinha </v>
      </c>
    </row>
    <row r="10253">
      <c r="A10253" s="3">
        <v>45806.0</v>
      </c>
      <c r="B10253" s="4">
        <v>0.29097222222222224</v>
      </c>
      <c r="C10253" s="5" t="s">
        <v>64</v>
      </c>
      <c r="D10253" s="5" t="s">
        <v>1498</v>
      </c>
      <c r="E10253" s="6"/>
      <c r="F10253" s="52" t="s">
        <v>1507</v>
      </c>
      <c r="G10253" s="6" t="str">
        <f>VLOOKUP(E10253,dicionario!$A$1:$C10652,2,0)</f>
        <v>#N/A</v>
      </c>
      <c r="H10253" s="6" t="str">
        <f>VLOOKUP(E10253,dicionario!$A$1:$C10652,3,0)</f>
        <v>#N/A</v>
      </c>
    </row>
    <row r="10254">
      <c r="A10254" s="3">
        <v>45806.0</v>
      </c>
      <c r="B10254" s="4">
        <v>0.2916666666666667</v>
      </c>
      <c r="C10254" s="5" t="s">
        <v>59</v>
      </c>
      <c r="D10254" s="5" t="s">
        <v>1498</v>
      </c>
      <c r="E10254" s="8" t="s">
        <v>72</v>
      </c>
      <c r="F10254" s="5" t="s">
        <v>73</v>
      </c>
      <c r="G10254" s="6" t="str">
        <f>VLOOKUP(E10254,dicionario!$A$1:$C10653,2,0)</f>
        <v>Thraupis palmarum</v>
      </c>
      <c r="H10254" s="6" t="str">
        <f>VLOOKUP(E10254,dicionario!$A$1:$C10653,3,0)</f>
        <v>sanhaço-do-coqueiro</v>
      </c>
    </row>
    <row r="10255">
      <c r="A10255" s="3">
        <v>45806.0</v>
      </c>
      <c r="B10255" s="4">
        <v>0.2916666666666667</v>
      </c>
      <c r="C10255" s="5" t="s">
        <v>59</v>
      </c>
      <c r="D10255" s="5" t="s">
        <v>1498</v>
      </c>
      <c r="E10255" s="8" t="s">
        <v>1508</v>
      </c>
      <c r="F10255" s="5" t="s">
        <v>110</v>
      </c>
      <c r="G10255" s="6" t="str">
        <f>VLOOKUP(E10255,dicionario!$A$1:$C10654,2,0)</f>
        <v>#N/A</v>
      </c>
      <c r="H10255" s="6" t="str">
        <f>VLOOKUP(E10255,dicionario!$A$1:$C10654,3,0)</f>
        <v>#N/A</v>
      </c>
    </row>
    <row r="10256">
      <c r="A10256" s="3">
        <v>45806.0</v>
      </c>
      <c r="B10256" s="4">
        <v>0.2916666666666667</v>
      </c>
      <c r="C10256" s="5" t="s">
        <v>59</v>
      </c>
      <c r="D10256" s="5" t="s">
        <v>1498</v>
      </c>
      <c r="E10256" s="8" t="s">
        <v>1347</v>
      </c>
      <c r="F10256" s="5" t="s">
        <v>1168</v>
      </c>
      <c r="G10256" s="6" t="str">
        <f>VLOOKUP(E10256,dicionario!$A$1:$C10655,2,0)</f>
        <v>#N/A</v>
      </c>
      <c r="H10256" s="6" t="str">
        <f>VLOOKUP(E10256,dicionario!$A$1:$C10655,3,0)</f>
        <v>#N/A</v>
      </c>
    </row>
    <row r="10257">
      <c r="A10257" s="3">
        <v>45806.0</v>
      </c>
      <c r="B10257" s="73">
        <v>0.2923611111111111</v>
      </c>
      <c r="C10257" s="5" t="s">
        <v>59</v>
      </c>
      <c r="D10257" s="5" t="s">
        <v>1498</v>
      </c>
      <c r="E10257" s="8" t="s">
        <v>366</v>
      </c>
      <c r="F10257" s="5" t="s">
        <v>367</v>
      </c>
      <c r="G10257" s="6" t="str">
        <f>VLOOKUP(E10257,dicionario!$A$1:$C10656,2,0)</f>
        <v>Alternanthera ficoidea</v>
      </c>
      <c r="H10257" s="6" t="str">
        <f>VLOOKUP(E10257,dicionario!$A$1:$C10656,3,0)</f>
        <v>quebra-panela</v>
      </c>
    </row>
    <row r="10258">
      <c r="A10258" s="3">
        <v>45806.0</v>
      </c>
      <c r="B10258" s="4">
        <v>0.2923611111111111</v>
      </c>
      <c r="C10258" s="5" t="s">
        <v>59</v>
      </c>
      <c r="D10258" s="5" t="s">
        <v>1498</v>
      </c>
      <c r="E10258" s="8" t="s">
        <v>503</v>
      </c>
      <c r="F10258" s="5" t="s">
        <v>414</v>
      </c>
      <c r="G10258" s="6" t="str">
        <f>VLOOKUP(E10258,dicionario!$A$1:$C10657,2,0)</f>
        <v>Orphulella punctata</v>
      </c>
      <c r="H10258" s="6" t="str">
        <f>VLOOKUP(E10258,dicionario!$A$1:$C10657,3,0)</f>
        <v>gafanhotinho</v>
      </c>
    </row>
    <row r="10259">
      <c r="A10259" s="3">
        <v>45806.0</v>
      </c>
      <c r="B10259" s="4">
        <v>0.29305555555555557</v>
      </c>
      <c r="C10259" s="5" t="s">
        <v>59</v>
      </c>
      <c r="D10259" s="5" t="s">
        <v>1498</v>
      </c>
      <c r="E10259" s="8" t="s">
        <v>154</v>
      </c>
      <c r="F10259" s="5" t="s">
        <v>155</v>
      </c>
      <c r="G10259" s="6" t="str">
        <f>VLOOKUP(E10259,dicionario!$A$1:$C10658,2,0)</f>
        <v>Cyperus rotundus</v>
      </c>
      <c r="H10259" s="6" t="str">
        <f>VLOOKUP(E10259,dicionario!$A$1:$C10658,3,0)</f>
        <v>tiririca</v>
      </c>
    </row>
    <row r="10260">
      <c r="A10260" s="3">
        <v>45806.0</v>
      </c>
      <c r="B10260" s="4">
        <v>0.29305555555555557</v>
      </c>
      <c r="C10260" s="5" t="s">
        <v>59</v>
      </c>
      <c r="D10260" s="5" t="s">
        <v>1498</v>
      </c>
      <c r="E10260" s="6" t="s">
        <v>53</v>
      </c>
      <c r="F10260" s="5" t="s">
        <v>54</v>
      </c>
      <c r="G10260" s="6" t="str">
        <f>VLOOKUP(E10260,dicionario!$A$1:$C10659,2,0)</f>
        <v>Turnera subulata</v>
      </c>
      <c r="H10260" s="6" t="str">
        <f>VLOOKUP(E10260,dicionario!$A$1:$C10659,3,0)</f>
        <v>xanana</v>
      </c>
    </row>
    <row r="10261">
      <c r="A10261" s="3">
        <v>45806.0</v>
      </c>
      <c r="B10261" s="4">
        <v>0.29444444444444445</v>
      </c>
      <c r="C10261" s="5" t="s">
        <v>59</v>
      </c>
      <c r="D10261" s="5" t="s">
        <v>1498</v>
      </c>
      <c r="E10261" s="8" t="s">
        <v>1282</v>
      </c>
      <c r="F10261" s="5" t="s">
        <v>182</v>
      </c>
      <c r="G10261" s="6" t="str">
        <f>VLOOKUP(E10261,dicionario!$A$1:$C10660,2,0)</f>
        <v>#N/A</v>
      </c>
      <c r="H10261" s="6" t="str">
        <f>VLOOKUP(E10261,dicionario!$A$1:$C10660,3,0)</f>
        <v>#N/A</v>
      </c>
    </row>
    <row r="10262">
      <c r="A10262" s="3">
        <v>45806.0</v>
      </c>
      <c r="B10262" s="4">
        <v>0.29444444444444445</v>
      </c>
      <c r="C10262" s="5" t="s">
        <v>59</v>
      </c>
      <c r="D10262" s="5" t="s">
        <v>1498</v>
      </c>
      <c r="E10262" s="6" t="s">
        <v>290</v>
      </c>
      <c r="F10262" s="5" t="s">
        <v>291</v>
      </c>
      <c r="G10262" s="6" t="str">
        <f>VLOOKUP(E10262,dicionario!$A$1:$C10661,2,0)</f>
        <v>Drymaria cordata</v>
      </c>
      <c r="H10262" s="6" t="str">
        <f>VLOOKUP(E10262,dicionario!$A$1:$C10661,3,0)</f>
        <v>orelha-de-rato</v>
      </c>
    </row>
    <row r="10263">
      <c r="A10263" s="3">
        <v>45806.0</v>
      </c>
      <c r="B10263" s="4">
        <v>0.29583333333333334</v>
      </c>
      <c r="C10263" s="5" t="s">
        <v>59</v>
      </c>
      <c r="D10263" s="5" t="s">
        <v>1498</v>
      </c>
      <c r="E10263" s="6" t="s">
        <v>29</v>
      </c>
      <c r="F10263" s="5" t="s">
        <v>30</v>
      </c>
      <c r="G10263" s="6" t="str">
        <f>VLOOKUP(E10263,dicionario!$A$1:$C10662,2,0)</f>
        <v>Pycnoscelus surinamensis</v>
      </c>
      <c r="H10263" s="6" t="str">
        <f>VLOOKUP(E10263,dicionario!$A$1:$C10662,3,0)</f>
        <v>Barata-de-jardim</v>
      </c>
    </row>
    <row r="10264">
      <c r="A10264" s="3">
        <v>45806.0</v>
      </c>
      <c r="B10264" s="4">
        <v>0.29583333333333334</v>
      </c>
      <c r="C10264" s="5" t="s">
        <v>59</v>
      </c>
      <c r="D10264" s="5" t="s">
        <v>1498</v>
      </c>
      <c r="E10264" s="8" t="s">
        <v>1366</v>
      </c>
      <c r="F10264" s="5" t="s">
        <v>190</v>
      </c>
      <c r="G10264" s="6" t="str">
        <f>VLOOKUP(E10264,dicionario!$A$1:$C10663,2,0)</f>
        <v>#N/A</v>
      </c>
      <c r="H10264" s="6" t="str">
        <f>VLOOKUP(E10264,dicionario!$A$1:$C10663,3,0)</f>
        <v>#N/A</v>
      </c>
    </row>
    <row r="10265">
      <c r="A10265" s="3">
        <v>45806.0</v>
      </c>
      <c r="B10265" s="4">
        <v>0.29583333333333334</v>
      </c>
      <c r="C10265" s="5" t="s">
        <v>59</v>
      </c>
      <c r="D10265" s="5" t="s">
        <v>1498</v>
      </c>
      <c r="E10265" s="8" t="s">
        <v>353</v>
      </c>
      <c r="F10265" s="5" t="s">
        <v>354</v>
      </c>
      <c r="G10265" s="6" t="str">
        <f>VLOOKUP(E10265,dicionario!$A$1:$C10664,2,0)</f>
        <v>Desmodium incanum</v>
      </c>
      <c r="H10265" s="6" t="str">
        <f>VLOOKUP(E10265,dicionario!$A$1:$C10664,3,0)</f>
        <v>pega-pega</v>
      </c>
    </row>
    <row r="10266">
      <c r="A10266" s="3">
        <v>45806.0</v>
      </c>
      <c r="B10266" s="4">
        <v>0.2965277777777778</v>
      </c>
      <c r="C10266" s="5" t="s">
        <v>59</v>
      </c>
      <c r="D10266" s="5" t="s">
        <v>1498</v>
      </c>
      <c r="E10266" s="8" t="s">
        <v>1354</v>
      </c>
      <c r="F10266" s="5" t="s">
        <v>56</v>
      </c>
      <c r="G10266" s="6" t="str">
        <f>VLOOKUP(E10266,dicionario!$A$1:$C10665,2,0)</f>
        <v>#N/A</v>
      </c>
      <c r="H10266" s="6" t="str">
        <f>VLOOKUP(E10266,dicionario!$A$1:$C10665,3,0)</f>
        <v>#N/A</v>
      </c>
    </row>
    <row r="10267">
      <c r="A10267" s="3">
        <v>45806.0</v>
      </c>
      <c r="B10267" s="4">
        <v>0.2965277777777778</v>
      </c>
      <c r="C10267" s="5" t="s">
        <v>59</v>
      </c>
      <c r="D10267" s="5" t="s">
        <v>1498</v>
      </c>
      <c r="E10267" s="8" t="s">
        <v>909</v>
      </c>
      <c r="F10267" s="5" t="s">
        <v>910</v>
      </c>
      <c r="G10267" s="6" t="str">
        <f>VLOOKUP(E10267,dicionario!$A$1:$C10666,2,0)</f>
        <v>Chordeiles acutipennis</v>
      </c>
      <c r="H10267" s="6" t="str">
        <f>VLOOKUP(E10267,dicionario!$A$1:$C10666,3,0)</f>
        <v>bacurau-de-asa-fina</v>
      </c>
    </row>
    <row r="10268">
      <c r="A10268" s="3">
        <v>45806.0</v>
      </c>
      <c r="B10268" s="4">
        <v>0.2965277777777778</v>
      </c>
      <c r="C10268" s="5" t="s">
        <v>59</v>
      </c>
      <c r="D10268" s="5" t="s">
        <v>1498</v>
      </c>
      <c r="E10268" s="8" t="s">
        <v>51</v>
      </c>
      <c r="F10268" s="5" t="s">
        <v>77</v>
      </c>
      <c r="G10268" s="6" t="str">
        <f>VLOOKUP(E10268,dicionario!$A$1:$C10667,2,0)</f>
        <v>Solenopsis</v>
      </c>
      <c r="H10268" s="6" t="str">
        <f>VLOOKUP(E10268,dicionario!$A$1:$C10667,3,0)</f>
        <v>formiga-quente; formiga-lava-pés; formiga-de-fogo</v>
      </c>
    </row>
    <row r="10269">
      <c r="A10269" s="3">
        <v>45806.0</v>
      </c>
      <c r="B10269" s="4">
        <v>0.2965277777777778</v>
      </c>
      <c r="C10269" s="5" t="s">
        <v>59</v>
      </c>
      <c r="D10269" s="5" t="s">
        <v>1498</v>
      </c>
      <c r="E10269" s="71" t="s">
        <v>1509</v>
      </c>
      <c r="F10269" s="5" t="s">
        <v>1510</v>
      </c>
      <c r="G10269" s="6" t="str">
        <f>VLOOKUP(E10269,dicionario!$A$1:$C10668,2,0)</f>
        <v>Eriophora edax</v>
      </c>
      <c r="H10269" s="6" t="str">
        <f>VLOOKUP(E10269,dicionario!$A$1:$C10668,3,0)</f>
        <v>aranha-tecedeira</v>
      </c>
    </row>
    <row r="10270">
      <c r="A10270" s="3">
        <v>45806.0</v>
      </c>
      <c r="B10270" s="4">
        <v>0.2972222222222222</v>
      </c>
      <c r="C10270" s="5" t="s">
        <v>59</v>
      </c>
      <c r="D10270" s="5" t="s">
        <v>1498</v>
      </c>
      <c r="E10270" s="8" t="s">
        <v>1285</v>
      </c>
      <c r="F10270" s="5" t="s">
        <v>1128</v>
      </c>
      <c r="G10270" s="6" t="str">
        <f>VLOOKUP(E10270,dicionario!$A$1:$C10669,2,0)</f>
        <v>#N/A</v>
      </c>
      <c r="H10270" s="6" t="str">
        <f>VLOOKUP(E10270,dicionario!$A$1:$C10669,3,0)</f>
        <v>#N/A</v>
      </c>
    </row>
    <row r="10271">
      <c r="A10271" s="3">
        <v>45806.0</v>
      </c>
      <c r="B10271" s="4">
        <v>0.2965277777777778</v>
      </c>
      <c r="C10271" s="5" t="s">
        <v>59</v>
      </c>
      <c r="D10271" s="5" t="s">
        <v>1498</v>
      </c>
      <c r="E10271" s="8" t="s">
        <v>163</v>
      </c>
      <c r="F10271" s="5" t="s">
        <v>164</v>
      </c>
      <c r="G10271" s="6" t="str">
        <f>VLOOKUP(E10271,dicionario!$A$1:$C10670,2,0)</f>
        <v>Coragyps atratus</v>
      </c>
      <c r="H10271" s="6" t="str">
        <f>VLOOKUP(E10271,dicionario!$A$1:$C10670,3,0)</f>
        <v>urubu-de-cabeça-preta</v>
      </c>
    </row>
    <row r="10272">
      <c r="A10272" s="3">
        <v>45806.0</v>
      </c>
      <c r="B10272" s="4">
        <v>0.2965277777777778</v>
      </c>
      <c r="C10272" s="5" t="s">
        <v>59</v>
      </c>
      <c r="D10272" s="5" t="s">
        <v>1498</v>
      </c>
      <c r="E10272" s="8" t="s">
        <v>191</v>
      </c>
      <c r="F10272" s="5" t="s">
        <v>192</v>
      </c>
      <c r="G10272" s="6" t="str">
        <f>VLOOKUP(E10272,dicionario!$A$1:$C10671,2,0)</f>
        <v>Patagioenas picazuro</v>
      </c>
      <c r="H10272" s="6" t="str">
        <f>VLOOKUP(E10272,dicionario!$A$1:$C10671,3,0)</f>
        <v>asa-branca; pomba-asa-branca; pocaçu</v>
      </c>
    </row>
    <row r="10273">
      <c r="A10273" s="3">
        <v>45806.0</v>
      </c>
      <c r="B10273" s="4">
        <v>0.2972222222222222</v>
      </c>
      <c r="C10273" s="5" t="s">
        <v>59</v>
      </c>
      <c r="D10273" s="5" t="s">
        <v>1498</v>
      </c>
      <c r="E10273" s="8" t="s">
        <v>1404</v>
      </c>
      <c r="F10273" s="5" t="s">
        <v>685</v>
      </c>
      <c r="G10273" s="6" t="str">
        <f>VLOOKUP(E10273,dicionario!$A$1:$C10672,2,0)</f>
        <v>#N/A</v>
      </c>
      <c r="H10273" s="6" t="str">
        <f>VLOOKUP(E10273,dicionario!$A$1:$C10672,3,0)</f>
        <v>#N/A</v>
      </c>
    </row>
    <row r="10274">
      <c r="A10274" s="3">
        <v>45806.0</v>
      </c>
      <c r="B10274" s="4">
        <v>0.2972222222222222</v>
      </c>
      <c r="C10274" s="5" t="s">
        <v>59</v>
      </c>
      <c r="D10274" s="5" t="s">
        <v>1498</v>
      </c>
      <c r="E10274" s="8" t="s">
        <v>719</v>
      </c>
      <c r="F10274" s="5" t="s">
        <v>911</v>
      </c>
      <c r="G10274" s="6" t="str">
        <f>VLOOKUP(E10274,dicionario!$A$1:$C10673,2,0)</f>
        <v>Dirinaria</v>
      </c>
      <c r="H10274" s="6" t="str">
        <f>VLOOKUP(E10274,dicionario!$A$1:$C10673,3,0)</f>
        <v>líquen-crostoso</v>
      </c>
    </row>
    <row r="10275">
      <c r="A10275" s="3">
        <v>45806.0</v>
      </c>
      <c r="B10275" s="4">
        <v>0.2972222222222222</v>
      </c>
      <c r="C10275" s="5" t="s">
        <v>59</v>
      </c>
      <c r="D10275" s="5" t="s">
        <v>1498</v>
      </c>
      <c r="E10275" s="8" t="s">
        <v>712</v>
      </c>
      <c r="F10275" s="5" t="s">
        <v>718</v>
      </c>
      <c r="G10275" s="6" t="str">
        <f>VLOOKUP(E10275,dicionario!$A$1:$C10674,2,0)</f>
        <v>Flavopunctelia soredica</v>
      </c>
      <c r="H10275" s="6" t="str">
        <f>VLOOKUP(E10275,dicionario!$A$1:$C10674,3,0)</f>
        <v>líquen-folioso</v>
      </c>
    </row>
    <row r="10276">
      <c r="A10276" s="3">
        <v>45806.0</v>
      </c>
      <c r="B10276" s="4">
        <v>0.2972222222222222</v>
      </c>
      <c r="C10276" s="5" t="s">
        <v>59</v>
      </c>
      <c r="D10276" s="5" t="s">
        <v>1498</v>
      </c>
      <c r="E10276" s="8" t="s">
        <v>113</v>
      </c>
      <c r="F10276" s="5" t="s">
        <v>114</v>
      </c>
      <c r="G10276" s="6" t="str">
        <f>VLOOKUP(E10276,dicionario!$A$1:$C10675,2,0)</f>
        <v>Columbina talpacoti</v>
      </c>
      <c r="H10276" s="6" t="str">
        <f>VLOOKUP(E10276,dicionario!$A$1:$C10675,3,0)</f>
        <v>rolinha-roxa</v>
      </c>
    </row>
    <row r="10277">
      <c r="A10277" s="3">
        <v>45806.0</v>
      </c>
      <c r="B10277" s="4">
        <v>0.2972222222222222</v>
      </c>
      <c r="C10277" s="5" t="s">
        <v>59</v>
      </c>
      <c r="D10277" s="5" t="s">
        <v>1498</v>
      </c>
      <c r="E10277" s="8" t="s">
        <v>245</v>
      </c>
      <c r="F10277" s="5" t="s">
        <v>246</v>
      </c>
      <c r="G10277" s="6" t="str">
        <f>VLOOKUP(E10277,dicionario!$A$1:$C10676,2,0)</f>
        <v>Hemiargus hanno</v>
      </c>
      <c r="H10277" s="6" t="str">
        <f>VLOOKUP(E10277,dicionario!$A$1:$C10676,3,0)</f>
        <v>borboleta-azulzinha-do-trevo</v>
      </c>
    </row>
    <row r="10278">
      <c r="A10278" s="3">
        <v>45806.0</v>
      </c>
      <c r="B10278" s="4">
        <v>0.2972222222222222</v>
      </c>
      <c r="C10278" s="5" t="s">
        <v>59</v>
      </c>
      <c r="D10278" s="5" t="s">
        <v>1498</v>
      </c>
      <c r="E10278" s="8" t="s">
        <v>111</v>
      </c>
      <c r="F10278" s="5" t="s">
        <v>112</v>
      </c>
      <c r="G10278" s="6" t="str">
        <f>VLOOKUP(E10278,dicionario!$A$1:$C10677,2,0)</f>
        <v>Trigona spinipes</v>
      </c>
      <c r="H10278" s="6" t="str">
        <f>VLOOKUP(E10278,dicionario!$A$1:$C10677,3,0)</f>
        <v>abelha-cachorro</v>
      </c>
    </row>
    <row r="10279">
      <c r="A10279" s="3">
        <v>45806.0</v>
      </c>
      <c r="B10279" s="4">
        <v>0.2972222222222222</v>
      </c>
      <c r="C10279" s="5" t="s">
        <v>59</v>
      </c>
      <c r="D10279" s="5" t="s">
        <v>1498</v>
      </c>
      <c r="E10279" s="12" t="s">
        <v>152</v>
      </c>
      <c r="F10279" s="5" t="s">
        <v>153</v>
      </c>
      <c r="G10279" s="6" t="str">
        <f>VLOOKUP(E10279,dicionario!$A$1:$C10678,2,0)</f>
        <v>Cynodon dactylon</v>
      </c>
      <c r="H10279" s="6" t="str">
        <f>VLOOKUP(E10279,dicionario!$A$1:$C10678,3,0)</f>
        <v>grama-bermuda</v>
      </c>
    </row>
    <row r="10280">
      <c r="A10280" s="3">
        <v>45806.0</v>
      </c>
      <c r="B10280" s="4">
        <v>0.29791666666666666</v>
      </c>
      <c r="C10280" s="5" t="s">
        <v>59</v>
      </c>
      <c r="D10280" s="5" t="s">
        <v>1498</v>
      </c>
      <c r="E10280" s="8" t="s">
        <v>46</v>
      </c>
      <c r="F10280" s="5" t="s">
        <v>47</v>
      </c>
      <c r="G10280" s="6" t="str">
        <f>VLOOKUP(E10280,dicionario!$A$1:$C10679,2,0)</f>
        <v>Chionomesa fimbriata</v>
      </c>
      <c r="H10280" s="6" t="str">
        <f>VLOOKUP(E10280,dicionario!$A$1:$C10679,3,0)</f>
        <v>beija-flor-de-garganta-verde</v>
      </c>
    </row>
    <row r="10281">
      <c r="A10281" s="3">
        <v>45806.0</v>
      </c>
      <c r="B10281" s="4">
        <v>0.29791666666666666</v>
      </c>
      <c r="C10281" s="5" t="s">
        <v>59</v>
      </c>
      <c r="D10281" s="5" t="s">
        <v>1498</v>
      </c>
      <c r="E10281" s="8" t="s">
        <v>1511</v>
      </c>
      <c r="F10281" s="5" t="s">
        <v>66</v>
      </c>
      <c r="G10281" s="6" t="str">
        <f>VLOOKUP(E10281,dicionario!$A$1:$C10680,2,0)</f>
        <v>#N/A</v>
      </c>
      <c r="H10281" s="6" t="str">
        <f>VLOOKUP(E10281,dicionario!$A$1:$C10680,3,0)</f>
        <v>#N/A</v>
      </c>
    </row>
    <row r="10282">
      <c r="A10282" s="3">
        <v>45806.0</v>
      </c>
      <c r="B10282" s="4">
        <v>0.29791666666666666</v>
      </c>
      <c r="C10282" s="5" t="s">
        <v>59</v>
      </c>
      <c r="D10282" s="5" t="s">
        <v>1498</v>
      </c>
      <c r="E10282" s="8" t="s">
        <v>177</v>
      </c>
      <c r="F10282" s="5" t="s">
        <v>178</v>
      </c>
      <c r="G10282" s="6" t="str">
        <f>VLOOKUP(E10282,dicionario!$A$1:$C10681,2,0)</f>
        <v>Elaenia flavogaster</v>
      </c>
      <c r="H10282" s="6" t="str">
        <f>VLOOKUP(E10282,dicionario!$A$1:$C10681,3,0)</f>
        <v>guaracava-de-barriga-amarela</v>
      </c>
    </row>
    <row r="10283">
      <c r="A10283" s="3">
        <v>45806.0</v>
      </c>
      <c r="B10283" s="4">
        <v>0.29791666666666666</v>
      </c>
      <c r="C10283" s="5" t="s">
        <v>59</v>
      </c>
      <c r="D10283" s="5" t="s">
        <v>1498</v>
      </c>
      <c r="E10283" s="8" t="s">
        <v>206</v>
      </c>
      <c r="F10283" s="5" t="s">
        <v>968</v>
      </c>
      <c r="G10283" s="6" t="str">
        <f>VLOOKUP(E10283,dicionario!$A$1:$C10682,2,0)</f>
        <v>Falco sparverius</v>
      </c>
      <c r="H10283" s="6" t="str">
        <f>VLOOKUP(E10283,dicionario!$A$1:$C10682,3,0)</f>
        <v>quiriquiri</v>
      </c>
    </row>
    <row r="10284">
      <c r="A10284" s="3">
        <v>45806.0</v>
      </c>
      <c r="B10284" s="4">
        <v>0.29791666666666666</v>
      </c>
      <c r="C10284" s="5" t="s">
        <v>59</v>
      </c>
      <c r="D10284" s="5" t="s">
        <v>1498</v>
      </c>
      <c r="E10284" s="8" t="s">
        <v>167</v>
      </c>
      <c r="F10284" s="5" t="s">
        <v>997</v>
      </c>
      <c r="G10284" s="6" t="str">
        <f>VLOOKUP(E10284,dicionario!$A$1:$C10683,2,0)</f>
        <v>Hemidactylus mabouia</v>
      </c>
      <c r="H10284" s="6" t="str">
        <f>VLOOKUP(E10284,dicionario!$A$1:$C10683,3,0)</f>
        <v>lagartixa-doméstica-tropical</v>
      </c>
    </row>
    <row r="10285">
      <c r="A10285" s="3">
        <v>45806.0</v>
      </c>
      <c r="B10285" s="4">
        <v>0.2986111111111111</v>
      </c>
      <c r="C10285" s="5" t="s">
        <v>59</v>
      </c>
      <c r="D10285" s="5" t="s">
        <v>1498</v>
      </c>
      <c r="E10285" s="72" t="s">
        <v>118</v>
      </c>
      <c r="F10285" s="5" t="s">
        <v>1512</v>
      </c>
      <c r="G10285" s="6" t="str">
        <f>VLOOKUP(E10285,dicionario!$A$1:$C10684,2,0)</f>
        <v>Agaricus</v>
      </c>
      <c r="H10285" s="6" t="str">
        <f>VLOOKUP(E10285,dicionario!$A$1:$C10684,3,0)</f>
        <v>cogumelo</v>
      </c>
    </row>
    <row r="10286">
      <c r="A10286" s="3">
        <v>45806.0</v>
      </c>
      <c r="B10286" s="4">
        <v>0.2986111111111111</v>
      </c>
      <c r="C10286" s="5" t="s">
        <v>50</v>
      </c>
      <c r="D10286" s="5" t="s">
        <v>1498</v>
      </c>
      <c r="E10286" s="8" t="s">
        <v>427</v>
      </c>
      <c r="F10286" s="5" t="s">
        <v>428</v>
      </c>
      <c r="G10286" s="6" t="str">
        <f>VLOOKUP(E10286,dicionario!$A$1:$C10685,2,0)</f>
        <v>Condylostylus longicornis</v>
      </c>
      <c r="H10286" s="6" t="str">
        <f>VLOOKUP(E10286,dicionario!$A$1:$C10685,3,0)</f>
        <v>mosca-de-pernas-longas</v>
      </c>
    </row>
    <row r="10287">
      <c r="A10287" s="3">
        <v>45806.0</v>
      </c>
      <c r="B10287" s="4">
        <v>0.2986111111111111</v>
      </c>
      <c r="C10287" s="5" t="s">
        <v>50</v>
      </c>
      <c r="D10287" s="5" t="s">
        <v>1498</v>
      </c>
      <c r="E10287" s="8" t="s">
        <v>109</v>
      </c>
      <c r="F10287" s="5" t="s">
        <v>110</v>
      </c>
      <c r="G10287" s="6" t="str">
        <f>VLOOKUP(E10287,dicionario!$A$1:$C10686,2,0)</f>
        <v>Tillandsia stricta</v>
      </c>
      <c r="H10287" s="6" t="str">
        <f>VLOOKUP(E10287,dicionario!$A$1:$C10686,3,0)</f>
        <v>cravo-do-mato</v>
      </c>
    </row>
    <row r="10288">
      <c r="A10288" s="3">
        <v>45806.0</v>
      </c>
      <c r="B10288" s="4">
        <v>0.2986111111111111</v>
      </c>
      <c r="C10288" s="5" t="s">
        <v>50</v>
      </c>
      <c r="D10288" s="5" t="s">
        <v>1498</v>
      </c>
      <c r="E10288" s="8" t="s">
        <v>51</v>
      </c>
      <c r="F10288" s="5" t="s">
        <v>77</v>
      </c>
      <c r="G10288" s="6" t="str">
        <f>VLOOKUP(E10288,dicionario!$A$1:$C10687,2,0)</f>
        <v>Solenopsis</v>
      </c>
      <c r="H10288" s="6" t="str">
        <f>VLOOKUP(E10288,dicionario!$A$1:$C10687,3,0)</f>
        <v>formiga-quente; formiga-lava-pés; formiga-de-fogo</v>
      </c>
    </row>
    <row r="10289">
      <c r="A10289" s="3">
        <v>45806.0</v>
      </c>
      <c r="B10289" s="4">
        <v>0.29930555555555555</v>
      </c>
      <c r="C10289" s="5" t="s">
        <v>50</v>
      </c>
      <c r="D10289" s="5" t="s">
        <v>1498</v>
      </c>
      <c r="E10289" s="8" t="s">
        <v>225</v>
      </c>
      <c r="F10289" s="5" t="s">
        <v>226</v>
      </c>
      <c r="G10289" s="6" t="str">
        <f>VLOOKUP(E10289,dicionario!$A$1:$C10688,2,0)</f>
        <v>Passer domesticus</v>
      </c>
      <c r="H10289" s="6" t="str">
        <f>VLOOKUP(E10289,dicionario!$A$1:$C10688,3,0)</f>
        <v>pardal</v>
      </c>
    </row>
    <row r="10290">
      <c r="A10290" s="3">
        <v>45806.0</v>
      </c>
      <c r="B10290" s="4">
        <v>0.29930555555555555</v>
      </c>
      <c r="C10290" s="5" t="s">
        <v>50</v>
      </c>
      <c r="D10290" s="5" t="s">
        <v>1498</v>
      </c>
      <c r="E10290" s="8" t="s">
        <v>38</v>
      </c>
      <c r="F10290" s="5" t="s">
        <v>39</v>
      </c>
      <c r="G10290" s="6" t="str">
        <f>VLOOKUP(E10290,dicionario!$A$1:$C10689,2,0)</f>
        <v>Troglodytes musculus</v>
      </c>
      <c r="H10290" s="6" t="str">
        <f>VLOOKUP(E10290,dicionario!$A$1:$C10689,3,0)</f>
        <v>curruíra</v>
      </c>
    </row>
    <row r="10291">
      <c r="A10291" s="3">
        <v>45806.0</v>
      </c>
      <c r="B10291" s="4">
        <v>0.29930555555555555</v>
      </c>
      <c r="C10291" s="5" t="s">
        <v>50</v>
      </c>
      <c r="D10291" s="5" t="s">
        <v>1498</v>
      </c>
      <c r="E10291" s="8" t="s">
        <v>296</v>
      </c>
      <c r="F10291" s="5" t="s">
        <v>297</v>
      </c>
      <c r="G10291" s="6" t="str">
        <f>VLOOKUP(E10291,dicionario!$A$1:$C10690,2,0)</f>
        <v>Richardia brasiliensis</v>
      </c>
      <c r="H10291" s="6" t="str">
        <f>VLOOKUP(E10291,dicionario!$A$1:$C10690,3,0)</f>
        <v>poaia-branca</v>
      </c>
    </row>
    <row r="10292">
      <c r="A10292" s="3">
        <v>45806.0</v>
      </c>
      <c r="B10292" s="4">
        <v>0.29930555555555555</v>
      </c>
      <c r="C10292" s="5" t="s">
        <v>50</v>
      </c>
      <c r="D10292" s="5" t="s">
        <v>1498</v>
      </c>
      <c r="E10292" s="8" t="s">
        <v>271</v>
      </c>
      <c r="F10292" s="5" t="s">
        <v>272</v>
      </c>
      <c r="G10292" s="6" t="str">
        <f>VLOOKUP(E10292,dicionario!$A$1:$C10691,2,0)</f>
        <v>Cyanthillium cinereum</v>
      </c>
      <c r="H10292" s="6" t="str">
        <f>VLOOKUP(E10292,dicionario!$A$1:$C10691,3,0)</f>
        <v>emília</v>
      </c>
    </row>
    <row r="10293">
      <c r="A10293" s="3">
        <v>45806.0</v>
      </c>
      <c r="B10293" s="4">
        <v>0.29930555555555555</v>
      </c>
      <c r="C10293" s="5" t="s">
        <v>50</v>
      </c>
      <c r="D10293" s="5" t="s">
        <v>1498</v>
      </c>
      <c r="E10293" s="6" t="s">
        <v>471</v>
      </c>
      <c r="F10293" s="5" t="s">
        <v>472</v>
      </c>
      <c r="G10293" s="6" t="str">
        <f>VLOOKUP(E10293,dicionario!$A$1:$C10692,2,0)</f>
        <v>Sida acuta</v>
      </c>
      <c r="H10293" s="6" t="str">
        <f>VLOOKUP(E10293,dicionario!$A$1:$C10692,3,0)</f>
        <v>reloginho</v>
      </c>
    </row>
    <row r="10294">
      <c r="A10294" s="3">
        <v>45806.0</v>
      </c>
      <c r="B10294" s="4">
        <v>0.3</v>
      </c>
      <c r="C10294" s="5" t="s">
        <v>50</v>
      </c>
      <c r="D10294" s="5" t="s">
        <v>1498</v>
      </c>
      <c r="E10294" s="8" t="s">
        <v>421</v>
      </c>
      <c r="F10294" s="5" t="s">
        <v>422</v>
      </c>
      <c r="G10294" s="6" t="str">
        <f>VLOOKUP(E10294,dicionario!$A$1:$C10693,2,0)</f>
        <v>Subulina octona</v>
      </c>
      <c r="H10294" s="6" t="str">
        <f>VLOOKUP(E10294,dicionario!$A$1:$C10693,3,0)</f>
        <v>caracol-de-jardim</v>
      </c>
    </row>
    <row r="10295">
      <c r="A10295" s="3">
        <v>45806.0</v>
      </c>
      <c r="B10295" s="4">
        <v>0.3</v>
      </c>
      <c r="C10295" s="5" t="s">
        <v>50</v>
      </c>
      <c r="D10295" s="5" t="s">
        <v>1498</v>
      </c>
      <c r="E10295" s="8" t="s">
        <v>177</v>
      </c>
      <c r="F10295" s="5" t="s">
        <v>178</v>
      </c>
      <c r="G10295" s="6" t="str">
        <f>VLOOKUP(E10295,dicionario!$A$1:$C10694,2,0)</f>
        <v>Elaenia flavogaster</v>
      </c>
      <c r="H10295" s="6" t="str">
        <f>VLOOKUP(E10295,dicionario!$A$1:$C10694,3,0)</f>
        <v>guaracava-de-barriga-amarela</v>
      </c>
    </row>
    <row r="10296">
      <c r="A10296" s="3">
        <v>45806.0</v>
      </c>
      <c r="B10296" s="4">
        <v>0.3013888888888889</v>
      </c>
      <c r="C10296" s="5" t="s">
        <v>50</v>
      </c>
      <c r="D10296" s="5" t="s">
        <v>1498</v>
      </c>
      <c r="E10296" s="8" t="s">
        <v>548</v>
      </c>
      <c r="F10296" s="5" t="s">
        <v>549</v>
      </c>
      <c r="G10296" s="6" t="str">
        <f>VLOOKUP(E10296,dicionario!$A$1:$C10695,2,0)</f>
        <v>Ricinus communis</v>
      </c>
      <c r="H10296" s="6" t="str">
        <f>VLOOKUP(E10296,dicionario!$A$1:$C10695,3,0)</f>
        <v>mamona</v>
      </c>
    </row>
    <row r="10297">
      <c r="A10297" s="3">
        <v>45806.0</v>
      </c>
      <c r="B10297" s="4">
        <v>0.3013888888888889</v>
      </c>
      <c r="C10297" s="5" t="s">
        <v>50</v>
      </c>
      <c r="D10297" s="5" t="s">
        <v>1498</v>
      </c>
      <c r="E10297" s="8" t="s">
        <v>338</v>
      </c>
      <c r="F10297" s="5" t="s">
        <v>238</v>
      </c>
      <c r="G10297" s="6" t="str">
        <f>VLOOKUP(E10297,dicionario!$A$1:$C10696,2,0)</f>
        <v>Atta</v>
      </c>
      <c r="H10297" s="6" t="str">
        <f>VLOOKUP(E10297,dicionario!$A$1:$C10696,3,0)</f>
        <v>saúva</v>
      </c>
    </row>
    <row r="10298">
      <c r="A10298" s="3">
        <v>45806.0</v>
      </c>
      <c r="B10298" s="4">
        <v>0.3013888888888889</v>
      </c>
      <c r="C10298" s="5" t="s">
        <v>50</v>
      </c>
      <c r="D10298" s="5" t="s">
        <v>1498</v>
      </c>
      <c r="E10298" s="8" t="s">
        <v>972</v>
      </c>
      <c r="F10298" s="5" t="s">
        <v>973</v>
      </c>
      <c r="G10298" s="6" t="str">
        <f>VLOOKUP(E10298,dicionario!$A$1:$C10697,2,0)</f>
        <v>Colaptes campestris</v>
      </c>
      <c r="H10298" s="6" t="str">
        <f>VLOOKUP(E10298,dicionario!$A$1:$C10697,3,0)</f>
        <v>pica-pau-do-campo</v>
      </c>
    </row>
    <row r="10299">
      <c r="A10299" s="3">
        <v>45806.0</v>
      </c>
      <c r="B10299" s="4">
        <v>0.3034722222222222</v>
      </c>
      <c r="C10299" s="5" t="s">
        <v>50</v>
      </c>
      <c r="D10299" s="5" t="s">
        <v>1498</v>
      </c>
      <c r="E10299" s="8" t="s">
        <v>72</v>
      </c>
      <c r="F10299" s="5" t="s">
        <v>73</v>
      </c>
      <c r="G10299" s="6" t="str">
        <f>VLOOKUP(E10299,dicionario!$A$1:$C10698,2,0)</f>
        <v>Thraupis palmarum</v>
      </c>
      <c r="H10299" s="6" t="str">
        <f>VLOOKUP(E10299,dicionario!$A$1:$C10698,3,0)</f>
        <v>sanhaço-do-coqueiro</v>
      </c>
    </row>
    <row r="10300">
      <c r="A10300" s="3">
        <v>45806.0</v>
      </c>
      <c r="B10300" s="4">
        <v>0.3034722222222222</v>
      </c>
      <c r="C10300" s="5" t="s">
        <v>50</v>
      </c>
      <c r="D10300" s="5" t="s">
        <v>1498</v>
      </c>
      <c r="E10300" s="8" t="s">
        <v>109</v>
      </c>
      <c r="F10300" s="5" t="s">
        <v>110</v>
      </c>
      <c r="G10300" s="6" t="str">
        <f>VLOOKUP(E10300,dicionario!$A$1:$C10699,2,0)</f>
        <v>Tillandsia stricta</v>
      </c>
      <c r="H10300" s="6" t="str">
        <f>VLOOKUP(E10300,dicionario!$A$1:$C10699,3,0)</f>
        <v>cravo-do-mato</v>
      </c>
    </row>
    <row r="10301">
      <c r="A10301" s="3">
        <v>45806.0</v>
      </c>
      <c r="B10301" s="4">
        <v>0.3034722222222222</v>
      </c>
      <c r="C10301" s="5" t="s">
        <v>50</v>
      </c>
      <c r="D10301" s="5" t="s">
        <v>1498</v>
      </c>
      <c r="E10301" s="8" t="s">
        <v>163</v>
      </c>
      <c r="F10301" s="5" t="s">
        <v>164</v>
      </c>
      <c r="G10301" s="6" t="str">
        <f>VLOOKUP(E10301,dicionario!$A$1:$C10700,2,0)</f>
        <v>Coragyps atratus</v>
      </c>
      <c r="H10301" s="6" t="str">
        <f>VLOOKUP(E10301,dicionario!$A$1:$C10700,3,0)</f>
        <v>urubu-de-cabeça-preta</v>
      </c>
    </row>
    <row r="10302">
      <c r="A10302" s="3">
        <v>45806.0</v>
      </c>
      <c r="B10302" s="4">
        <v>0.30416666666666664</v>
      </c>
      <c r="C10302" s="5" t="s">
        <v>50</v>
      </c>
      <c r="D10302" s="5" t="s">
        <v>1498</v>
      </c>
      <c r="E10302" s="8" t="s">
        <v>154</v>
      </c>
      <c r="F10302" s="5" t="s">
        <v>155</v>
      </c>
      <c r="G10302" s="6" t="str">
        <f>VLOOKUP(E10302,dicionario!$A$1:$C10701,2,0)</f>
        <v>Cyperus rotundus</v>
      </c>
      <c r="H10302" s="6" t="str">
        <f>VLOOKUP(E10302,dicionario!$A$1:$C10701,3,0)</f>
        <v>tiririca</v>
      </c>
    </row>
    <row r="10303">
      <c r="A10303" s="3">
        <v>45806.0</v>
      </c>
      <c r="B10303" s="4">
        <v>0.30416666666666664</v>
      </c>
      <c r="C10303" s="5" t="s">
        <v>50</v>
      </c>
      <c r="D10303" s="5" t="s">
        <v>1498</v>
      </c>
      <c r="E10303" s="8" t="s">
        <v>736</v>
      </c>
      <c r="F10303" s="5" t="s">
        <v>737</v>
      </c>
      <c r="G10303" s="6" t="str">
        <f>VLOOKUP(E10303,dicionario!$A$1:$C10702,2,0)</f>
        <v>Chloris virgata</v>
      </c>
      <c r="H10303" s="6" t="str">
        <f>VLOOKUP(E10303,dicionario!$A$1:$C10702,3,0)</f>
        <v>capim-pavão</v>
      </c>
    </row>
    <row r="10304">
      <c r="A10304" s="3">
        <v>45806.0</v>
      </c>
      <c r="B10304" s="4">
        <v>0.30416666666666664</v>
      </c>
      <c r="C10304" s="5" t="s">
        <v>50</v>
      </c>
      <c r="D10304" s="5" t="s">
        <v>1498</v>
      </c>
      <c r="E10304" s="12" t="s">
        <v>152</v>
      </c>
      <c r="F10304" s="5" t="s">
        <v>153</v>
      </c>
      <c r="G10304" s="6" t="str">
        <f>VLOOKUP(E10304,dicionario!$A$1:$C10703,2,0)</f>
        <v>Cynodon dactylon</v>
      </c>
      <c r="H10304" s="6" t="str">
        <f>VLOOKUP(E10304,dicionario!$A$1:$C10703,3,0)</f>
        <v>grama-bermuda</v>
      </c>
    </row>
    <row r="10305">
      <c r="A10305" s="3">
        <v>45806.0</v>
      </c>
      <c r="B10305" s="4">
        <v>0.30486111111111114</v>
      </c>
      <c r="C10305" s="5" t="s">
        <v>50</v>
      </c>
      <c r="D10305" s="5" t="s">
        <v>1498</v>
      </c>
      <c r="E10305" s="6" t="s">
        <v>448</v>
      </c>
      <c r="F10305" s="5" t="s">
        <v>462</v>
      </c>
      <c r="G10305" s="6" t="str">
        <f>VLOOKUP(E10305,dicionario!$A$1:$C10704,2,0)</f>
        <v>Mechanitis polymnia</v>
      </c>
      <c r="H10305" s="6" t="str">
        <f>VLOOKUP(E10305,dicionario!$A$1:$C10704,3,0)</f>
        <v>maria-boba</v>
      </c>
    </row>
    <row r="10306">
      <c r="A10306" s="3">
        <v>45806.0</v>
      </c>
      <c r="B10306" s="4">
        <v>0.30486111111111114</v>
      </c>
      <c r="C10306" s="5" t="s">
        <v>50</v>
      </c>
      <c r="D10306" s="5" t="s">
        <v>1498</v>
      </c>
      <c r="E10306" s="8" t="s">
        <v>286</v>
      </c>
      <c r="F10306" s="5" t="s">
        <v>287</v>
      </c>
      <c r="G10306" s="6" t="str">
        <f>VLOOKUP(E10306,dicionario!$A$1:$C10705,2,0)</f>
        <v>Setaria parviflora</v>
      </c>
      <c r="H10306" s="6" t="str">
        <f>VLOOKUP(E10306,dicionario!$A$1:$C10705,3,0)</f>
        <v>capim-rabo-de-raposa</v>
      </c>
    </row>
    <row r="10307">
      <c r="A10307" s="3">
        <v>45806.0</v>
      </c>
      <c r="B10307" s="4">
        <v>0.3055555555555556</v>
      </c>
      <c r="C10307" s="5" t="s">
        <v>50</v>
      </c>
      <c r="D10307" s="5" t="s">
        <v>1498</v>
      </c>
      <c r="E10307" s="8" t="s">
        <v>1316</v>
      </c>
      <c r="F10307" s="5" t="s">
        <v>15</v>
      </c>
      <c r="G10307" s="6" t="str">
        <f>VLOOKUP(E10307,dicionario!$A$1:$C10706,2,0)</f>
        <v>#N/A</v>
      </c>
      <c r="H10307" s="6" t="str">
        <f>VLOOKUP(E10307,dicionario!$A$1:$C10706,3,0)</f>
        <v>#N/A</v>
      </c>
    </row>
    <row r="10308">
      <c r="A10308" s="3">
        <v>45806.0</v>
      </c>
      <c r="B10308" s="4">
        <v>0.3055555555555556</v>
      </c>
      <c r="C10308" s="5" t="s">
        <v>40</v>
      </c>
      <c r="D10308" s="5" t="s">
        <v>1498</v>
      </c>
      <c r="E10308" s="8" t="s">
        <v>225</v>
      </c>
      <c r="F10308" s="5" t="s">
        <v>226</v>
      </c>
      <c r="G10308" s="6" t="str">
        <f>VLOOKUP(E10308,dicionario!$A$1:$C10707,2,0)</f>
        <v>Passer domesticus</v>
      </c>
      <c r="H10308" s="6" t="str">
        <f>VLOOKUP(E10308,dicionario!$A$1:$C10707,3,0)</f>
        <v>pardal</v>
      </c>
    </row>
    <row r="10309">
      <c r="A10309" s="3">
        <v>45806.0</v>
      </c>
      <c r="B10309" s="4">
        <v>0.30625</v>
      </c>
      <c r="C10309" s="5" t="s">
        <v>40</v>
      </c>
      <c r="D10309" s="5" t="s">
        <v>1498</v>
      </c>
      <c r="E10309" s="8" t="s">
        <v>20</v>
      </c>
      <c r="F10309" s="5" t="s">
        <v>21</v>
      </c>
      <c r="G10309" s="6" t="str">
        <f>VLOOKUP(E10309,dicionario!$A$1:$C10708,2,0)</f>
        <v>Sicalis flaveola</v>
      </c>
      <c r="H10309" s="6" t="str">
        <f>VLOOKUP(E10309,dicionario!$A$1:$C10708,3,0)</f>
        <v>canário-da-terra</v>
      </c>
    </row>
    <row r="10310">
      <c r="A10310" s="3">
        <v>45806.0</v>
      </c>
      <c r="B10310" s="4">
        <v>0.30625</v>
      </c>
      <c r="C10310" s="5" t="s">
        <v>40</v>
      </c>
      <c r="D10310" s="5" t="s">
        <v>1498</v>
      </c>
      <c r="E10310" s="8" t="s">
        <v>38</v>
      </c>
      <c r="F10310" s="5" t="s">
        <v>39</v>
      </c>
      <c r="G10310" s="6" t="str">
        <f>VLOOKUP(E10310,dicionario!$A$1:$C10709,2,0)</f>
        <v>Troglodytes musculus</v>
      </c>
      <c r="H10310" s="6" t="str">
        <f>VLOOKUP(E10310,dicionario!$A$1:$C10709,3,0)</f>
        <v>curruíra</v>
      </c>
    </row>
    <row r="10311">
      <c r="A10311" s="3">
        <v>45806.0</v>
      </c>
      <c r="B10311" s="4">
        <v>0.30694444444444446</v>
      </c>
      <c r="C10311" s="5" t="s">
        <v>40</v>
      </c>
      <c r="D10311" s="5" t="s">
        <v>1498</v>
      </c>
      <c r="E10311" s="8" t="s">
        <v>191</v>
      </c>
      <c r="F10311" s="5" t="s">
        <v>192</v>
      </c>
      <c r="G10311" s="6" t="str">
        <f>VLOOKUP(E10311,dicionario!$A$1:$C10710,2,0)</f>
        <v>Patagioenas picazuro</v>
      </c>
      <c r="H10311" s="6" t="str">
        <f>VLOOKUP(E10311,dicionario!$A$1:$C10710,3,0)</f>
        <v>asa-branca; pomba-asa-branca; pocaçu</v>
      </c>
    </row>
    <row r="10312">
      <c r="A10312" s="3">
        <v>45806.0</v>
      </c>
      <c r="B10312" s="4">
        <v>0.30694444444444446</v>
      </c>
      <c r="C10312" s="5" t="s">
        <v>40</v>
      </c>
      <c r="D10312" s="5" t="s">
        <v>1498</v>
      </c>
      <c r="E10312" s="6" t="s">
        <v>399</v>
      </c>
      <c r="F10312" s="5" t="s">
        <v>400</v>
      </c>
      <c r="G10312" s="6" t="str">
        <f>VLOOKUP(E10312,dicionario!$A$1:$C10711,2,0)</f>
        <v>Varronia curassavica</v>
      </c>
      <c r="H10312" s="6" t="str">
        <f>VLOOKUP(E10312,dicionario!$A$1:$C10711,3,0)</f>
        <v>erva-baleeira</v>
      </c>
    </row>
    <row r="10313">
      <c r="A10313" s="3">
        <v>45806.0</v>
      </c>
      <c r="B10313" s="4">
        <v>0.30694444444444446</v>
      </c>
      <c r="C10313" s="5" t="s">
        <v>40</v>
      </c>
      <c r="D10313" s="5" t="s">
        <v>1498</v>
      </c>
      <c r="E10313" s="8" t="s">
        <v>298</v>
      </c>
      <c r="F10313" s="7"/>
      <c r="G10313" s="6" t="str">
        <f>VLOOKUP(E10313,dicionario!$A$1:$C10712,2,0)</f>
        <v>Alysicarpus vaginalis</v>
      </c>
      <c r="H10313" s="6" t="str">
        <f>VLOOKUP(E10313,dicionario!$A$1:$C10712,3,0)</f>
        <v/>
      </c>
    </row>
    <row r="10314">
      <c r="A10314" s="3">
        <v>45806.0</v>
      </c>
      <c r="B10314" s="4">
        <v>0.3076388888888889</v>
      </c>
      <c r="C10314" s="5" t="s">
        <v>40</v>
      </c>
      <c r="D10314" s="5" t="s">
        <v>1498</v>
      </c>
      <c r="E10314" s="8" t="s">
        <v>109</v>
      </c>
      <c r="F10314" s="5" t="s">
        <v>110</v>
      </c>
      <c r="G10314" s="6" t="str">
        <f>VLOOKUP(E10314,dicionario!$A$1:$C10713,2,0)</f>
        <v>Tillandsia stricta</v>
      </c>
      <c r="H10314" s="6" t="str">
        <f>VLOOKUP(E10314,dicionario!$A$1:$C10713,3,0)</f>
        <v>cravo-do-mato</v>
      </c>
    </row>
    <row r="10315">
      <c r="A10315" s="3">
        <v>45806.0</v>
      </c>
      <c r="B10315" s="4">
        <v>0.3076388888888889</v>
      </c>
      <c r="C10315" s="5" t="s">
        <v>40</v>
      </c>
      <c r="D10315" s="5" t="s">
        <v>1498</v>
      </c>
      <c r="E10315" s="8" t="s">
        <v>141</v>
      </c>
      <c r="F10315" s="5" t="s">
        <v>142</v>
      </c>
      <c r="G10315" s="6" t="str">
        <f>VLOOKUP(E10315,dicionario!$A$1:$C10714,2,0)</f>
        <v>Ruellia blechum</v>
      </c>
      <c r="H10315" s="6" t="str">
        <f>VLOOKUP(E10315,dicionario!$A$1:$C10714,3,0)</f>
        <v>camarão-verde</v>
      </c>
    </row>
    <row r="10316">
      <c r="A10316" s="3">
        <v>45806.0</v>
      </c>
      <c r="B10316" s="4">
        <v>0.3076388888888889</v>
      </c>
      <c r="C10316" s="5" t="s">
        <v>40</v>
      </c>
      <c r="D10316" s="5" t="s">
        <v>1498</v>
      </c>
      <c r="E10316" s="6" t="s">
        <v>288</v>
      </c>
      <c r="F10316" s="5" t="s">
        <v>289</v>
      </c>
      <c r="G10316" s="6" t="str">
        <f>VLOOKUP(E10316,dicionario!$A$1:$C10715,2,0)</f>
        <v>Phyllanthus tenellus</v>
      </c>
      <c r="H10316" s="6" t="str">
        <f>VLOOKUP(E10316,dicionario!$A$1:$C10715,3,0)</f>
        <v>quebra-pedra</v>
      </c>
    </row>
    <row r="10317">
      <c r="A10317" s="3">
        <v>45806.0</v>
      </c>
      <c r="B10317" s="4">
        <v>0.3076388888888889</v>
      </c>
      <c r="C10317" s="5" t="s">
        <v>40</v>
      </c>
      <c r="D10317" s="5" t="s">
        <v>1498</v>
      </c>
      <c r="E10317" s="8" t="s">
        <v>1087</v>
      </c>
      <c r="F10317" s="5" t="s">
        <v>1088</v>
      </c>
      <c r="G10317" s="6" t="str">
        <f>VLOOKUP(E10317,dicionario!$A$1:$C10716,2,0)</f>
        <v>Desmodium triflorum</v>
      </c>
      <c r="H10317" s="6" t="str">
        <f>VLOOKUP(E10317,dicionario!$A$1:$C10716,3,0)</f>
        <v/>
      </c>
    </row>
    <row r="10318">
      <c r="A10318" s="3">
        <v>45806.0</v>
      </c>
      <c r="B10318" s="4">
        <v>0.30833333333333335</v>
      </c>
      <c r="C10318" s="5" t="s">
        <v>40</v>
      </c>
      <c r="D10318" s="5" t="s">
        <v>1498</v>
      </c>
      <c r="E10318" s="8" t="s">
        <v>154</v>
      </c>
      <c r="F10318" s="5" t="s">
        <v>155</v>
      </c>
      <c r="G10318" s="6" t="str">
        <f>VLOOKUP(E10318,dicionario!$A$1:$C10717,2,0)</f>
        <v>Cyperus rotundus</v>
      </c>
      <c r="H10318" s="6" t="str">
        <f>VLOOKUP(E10318,dicionario!$A$1:$C10717,3,0)</f>
        <v>tiririca</v>
      </c>
    </row>
    <row r="10319">
      <c r="A10319" s="3">
        <v>45806.0</v>
      </c>
      <c r="B10319" s="4">
        <v>0.30833333333333335</v>
      </c>
      <c r="C10319" s="5" t="s">
        <v>40</v>
      </c>
      <c r="D10319" s="5" t="s">
        <v>1498</v>
      </c>
      <c r="E10319" s="8" t="s">
        <v>712</v>
      </c>
      <c r="F10319" s="5" t="s">
        <v>718</v>
      </c>
      <c r="G10319" s="6" t="str">
        <f>VLOOKUP(E10319,dicionario!$A$1:$C10718,2,0)</f>
        <v>Flavopunctelia soredica</v>
      </c>
      <c r="H10319" s="6" t="str">
        <f>VLOOKUP(E10319,dicionario!$A$1:$C10718,3,0)</f>
        <v>líquen-folioso</v>
      </c>
    </row>
    <row r="10320">
      <c r="A10320" s="3">
        <v>45806.0</v>
      </c>
      <c r="B10320" s="4">
        <v>0.30833333333333335</v>
      </c>
      <c r="C10320" s="5" t="s">
        <v>40</v>
      </c>
      <c r="D10320" s="5" t="s">
        <v>1498</v>
      </c>
      <c r="E10320" s="72" t="s">
        <v>719</v>
      </c>
      <c r="F10320" s="5" t="s">
        <v>911</v>
      </c>
      <c r="G10320" s="6" t="str">
        <f>VLOOKUP(E10320,dicionario!$A$1:$C10719,2,0)</f>
        <v>Dirinaria</v>
      </c>
      <c r="H10320" s="6" t="str">
        <f>VLOOKUP(E10320,dicionario!$A$1:$C10719,3,0)</f>
        <v>líquen-crostoso</v>
      </c>
    </row>
    <row r="10321">
      <c r="A10321" s="3">
        <v>45806.0</v>
      </c>
      <c r="B10321" s="4">
        <v>0.30833333333333335</v>
      </c>
      <c r="C10321" s="5" t="s">
        <v>40</v>
      </c>
      <c r="D10321" s="5" t="s">
        <v>1498</v>
      </c>
      <c r="E10321" s="12" t="s">
        <v>111</v>
      </c>
      <c r="F10321" s="5" t="s">
        <v>112</v>
      </c>
      <c r="G10321" s="6" t="str">
        <f>VLOOKUP(E10321,dicionario!$A$1:$C10720,2,0)</f>
        <v>Trigona spinipes</v>
      </c>
      <c r="H10321" s="6" t="str">
        <f>VLOOKUP(E10321,dicionario!$A$1:$C10720,3,0)</f>
        <v>abelha-cachorro</v>
      </c>
    </row>
    <row r="10322">
      <c r="A10322" s="3">
        <v>45806.0</v>
      </c>
      <c r="B10322" s="4">
        <v>0.30972222222222223</v>
      </c>
      <c r="C10322" s="5" t="s">
        <v>40</v>
      </c>
      <c r="D10322" s="5" t="s">
        <v>1498</v>
      </c>
      <c r="E10322" s="8" t="s">
        <v>88</v>
      </c>
      <c r="F10322" s="5" t="s">
        <v>89</v>
      </c>
      <c r="G10322" s="6" t="str">
        <f>VLOOKUP(E10322,dicionario!$A$1:$C10721,2,0)</f>
        <v>Tyrannus melancolichus</v>
      </c>
      <c r="H10322" s="6" t="str">
        <f>VLOOKUP(E10322,dicionario!$A$1:$C10721,3,0)</f>
        <v>suiriri</v>
      </c>
    </row>
    <row r="10323">
      <c r="A10323" s="3">
        <v>45806.0</v>
      </c>
      <c r="B10323" s="4">
        <v>0.3138888888888889</v>
      </c>
      <c r="C10323" s="5" t="s">
        <v>40</v>
      </c>
      <c r="D10323" s="5" t="s">
        <v>1498</v>
      </c>
      <c r="E10323" s="8" t="s">
        <v>296</v>
      </c>
      <c r="F10323" s="5" t="s">
        <v>297</v>
      </c>
      <c r="G10323" s="6" t="str">
        <f>VLOOKUP(E10323,dicionario!$A$1:$C10722,2,0)</f>
        <v>Richardia brasiliensis</v>
      </c>
      <c r="H10323" s="6" t="str">
        <f>VLOOKUP(E10323,dicionario!$A$1:$C10722,3,0)</f>
        <v>poaia-branca</v>
      </c>
    </row>
    <row r="10324">
      <c r="A10324" s="3">
        <v>45806.0</v>
      </c>
      <c r="B10324" s="4">
        <v>0.3138888888888889</v>
      </c>
      <c r="C10324" s="5" t="s">
        <v>40</v>
      </c>
      <c r="D10324" s="5" t="s">
        <v>1498</v>
      </c>
      <c r="E10324" s="8" t="s">
        <v>65</v>
      </c>
      <c r="F10324" s="5" t="s">
        <v>66</v>
      </c>
      <c r="G10324" s="6" t="str">
        <f>VLOOKUP(E10324,dicionario!$A$1:$C10723,2,0)</f>
        <v>Pitangus sulphutarus</v>
      </c>
      <c r="H10324" s="6" t="str">
        <f>VLOOKUP(E10324,dicionario!$A$1:$C10723,3,0)</f>
        <v>bem-te-vi</v>
      </c>
    </row>
    <row r="10325">
      <c r="A10325" s="3">
        <v>45806.0</v>
      </c>
      <c r="B10325" s="4">
        <v>0.3138888888888889</v>
      </c>
      <c r="C10325" s="5" t="s">
        <v>40</v>
      </c>
      <c r="D10325" s="5" t="s">
        <v>1498</v>
      </c>
      <c r="E10325" s="8" t="s">
        <v>72</v>
      </c>
      <c r="F10325" s="5" t="s">
        <v>73</v>
      </c>
      <c r="G10325" s="6" t="str">
        <f>VLOOKUP(E10325,dicionario!$A$1:$C10724,2,0)</f>
        <v>Thraupis palmarum</v>
      </c>
      <c r="H10325" s="6" t="str">
        <f>VLOOKUP(E10325,dicionario!$A$1:$C10724,3,0)</f>
        <v>sanhaço-do-coqueiro</v>
      </c>
    </row>
    <row r="10326">
      <c r="A10326" s="3">
        <v>45806.0</v>
      </c>
      <c r="B10326" s="4">
        <v>0.3138888888888889</v>
      </c>
      <c r="C10326" s="5" t="s">
        <v>40</v>
      </c>
      <c r="D10326" s="5" t="s">
        <v>1498</v>
      </c>
      <c r="E10326" s="6" t="s">
        <v>448</v>
      </c>
      <c r="F10326" s="5" t="s">
        <v>462</v>
      </c>
      <c r="G10326" s="6" t="str">
        <f>VLOOKUP(E10326,dicionario!$A$1:$C10725,2,0)</f>
        <v>Mechanitis polymnia</v>
      </c>
      <c r="H10326" s="6" t="str">
        <f>VLOOKUP(E10326,dicionario!$A$1:$C10725,3,0)</f>
        <v>maria-boba</v>
      </c>
    </row>
    <row r="10327">
      <c r="A10327" s="3">
        <v>45806.0</v>
      </c>
      <c r="B10327" s="4">
        <v>0.31666666666666665</v>
      </c>
      <c r="C10327" s="5" t="s">
        <v>40</v>
      </c>
      <c r="D10327" s="5" t="s">
        <v>1498</v>
      </c>
      <c r="E10327" s="8" t="s">
        <v>83</v>
      </c>
      <c r="F10327" s="5" t="s">
        <v>84</v>
      </c>
      <c r="G10327" s="6" t="str">
        <f>VLOOKUP(E10327,dicionario!$A$1:$C10726,2,0)</f>
        <v>Anartia jatrophae</v>
      </c>
      <c r="H10327" s="6" t="str">
        <f>VLOOKUP(E10327,dicionario!$A$1:$C10726,3,0)</f>
        <v>borboleta-pavão-branco</v>
      </c>
    </row>
    <row r="10328">
      <c r="A10328" s="3">
        <v>45806.0</v>
      </c>
      <c r="B10328" s="4">
        <v>0.31666666666666665</v>
      </c>
      <c r="C10328" s="5" t="s">
        <v>40</v>
      </c>
      <c r="D10328" s="5" t="s">
        <v>1498</v>
      </c>
      <c r="E10328" s="6" t="s">
        <v>53</v>
      </c>
      <c r="F10328" s="5" t="s">
        <v>54</v>
      </c>
      <c r="G10328" s="6" t="str">
        <f>VLOOKUP(E10328,dicionario!$A$1:$C10727,2,0)</f>
        <v>Turnera subulata</v>
      </c>
      <c r="H10328" s="6" t="str">
        <f>VLOOKUP(E10328,dicionario!$A$1:$C10727,3,0)</f>
        <v>xanana</v>
      </c>
    </row>
    <row r="10329">
      <c r="A10329" s="3">
        <v>45806.0</v>
      </c>
      <c r="B10329" s="4">
        <v>0.31666666666666665</v>
      </c>
      <c r="C10329" s="5" t="s">
        <v>40</v>
      </c>
      <c r="D10329" s="5" t="s">
        <v>1498</v>
      </c>
      <c r="E10329" s="18" t="s">
        <v>611</v>
      </c>
      <c r="F10329" s="5" t="s">
        <v>612</v>
      </c>
      <c r="G10329" s="6" t="str">
        <f>VLOOKUP(E10329,dicionario!$A$1:$C10728,2,0)</f>
        <v>Boehmeria cylindrica</v>
      </c>
      <c r="H10329" s="6" t="str">
        <f>VLOOKUP(E10329,dicionario!$A$1:$C10728,3,0)</f>
        <v>falsa-urtiga</v>
      </c>
    </row>
    <row r="10330">
      <c r="A10330" s="3">
        <v>45806.0</v>
      </c>
      <c r="B10330" s="4">
        <v>0.3173611111111111</v>
      </c>
      <c r="C10330" s="5" t="s">
        <v>40</v>
      </c>
      <c r="D10330" s="5" t="s">
        <v>1498</v>
      </c>
      <c r="E10330" s="8" t="s">
        <v>271</v>
      </c>
      <c r="F10330" s="5" t="s">
        <v>272</v>
      </c>
      <c r="G10330" s="6" t="str">
        <f>VLOOKUP(E10330,dicionario!$A$1:$C10729,2,0)</f>
        <v>Cyanthillium cinereum</v>
      </c>
      <c r="H10330" s="6" t="str">
        <f>VLOOKUP(E10330,dicionario!$A$1:$C10729,3,0)</f>
        <v>emília</v>
      </c>
    </row>
    <row r="10331">
      <c r="A10331" s="3">
        <v>45806.0</v>
      </c>
      <c r="B10331" s="4">
        <v>0.3173611111111111</v>
      </c>
      <c r="C10331" s="5" t="s">
        <v>40</v>
      </c>
      <c r="D10331" s="5" t="s">
        <v>1498</v>
      </c>
      <c r="E10331" s="8" t="s">
        <v>390</v>
      </c>
      <c r="F10331" s="5" t="s">
        <v>633</v>
      </c>
      <c r="G10331" s="6" t="str">
        <f>VLOOKUP(E10331,dicionario!$A$1:$C10730,2,0)</f>
        <v>Oxalis barrelieri</v>
      </c>
      <c r="H10331" s="6" t="str">
        <f>VLOOKUP(E10331,dicionario!$A$1:$C10730,3,0)</f>
        <v>erva-azeda; azedinha </v>
      </c>
    </row>
    <row r="10332">
      <c r="A10332" s="3">
        <v>45806.0</v>
      </c>
      <c r="B10332" s="4">
        <v>0.3173611111111111</v>
      </c>
      <c r="C10332" s="5" t="s">
        <v>40</v>
      </c>
      <c r="D10332" s="5" t="s">
        <v>1498</v>
      </c>
      <c r="E10332" s="8" t="s">
        <v>1406</v>
      </c>
      <c r="F10332" s="5" t="s">
        <v>172</v>
      </c>
      <c r="G10332" s="6" t="str">
        <f>VLOOKUP(E10332,dicionario!$A$1:$C10731,2,0)</f>
        <v>#N/A</v>
      </c>
      <c r="H10332" s="6" t="str">
        <f>VLOOKUP(E10332,dicionario!$A$1:$C10731,3,0)</f>
        <v>#N/A</v>
      </c>
    </row>
    <row r="10333">
      <c r="A10333" s="3">
        <v>45806.0</v>
      </c>
      <c r="B10333" s="4">
        <v>0.3173611111111111</v>
      </c>
      <c r="C10333" s="5" t="s">
        <v>40</v>
      </c>
      <c r="D10333" s="5" t="s">
        <v>1498</v>
      </c>
      <c r="E10333" s="8" t="s">
        <v>302</v>
      </c>
      <c r="F10333" s="5" t="s">
        <v>303</v>
      </c>
      <c r="G10333" s="6" t="str">
        <f>VLOOKUP(E10333,dicionario!$A$1:$C10732,2,0)</f>
        <v>Machetornis rixosa</v>
      </c>
      <c r="H10333" s="6" t="str">
        <f>VLOOKUP(E10333,dicionario!$A$1:$C10732,3,0)</f>
        <v>suiriri-cavaleiro</v>
      </c>
    </row>
    <row r="10334">
      <c r="A10334" s="3">
        <v>45806.0</v>
      </c>
      <c r="B10334" s="4">
        <v>0.3173611111111111</v>
      </c>
      <c r="C10334" s="5" t="s">
        <v>40</v>
      </c>
      <c r="D10334" s="5" t="s">
        <v>1498</v>
      </c>
      <c r="E10334" s="8" t="s">
        <v>105</v>
      </c>
      <c r="F10334" s="5" t="s">
        <v>106</v>
      </c>
      <c r="G10334" s="6" t="str">
        <f>VLOOKUP(E10334,dicionario!$A$1:$C10733,2,0)</f>
        <v>Progne tapera</v>
      </c>
      <c r="H10334" s="6" t="str">
        <f>VLOOKUP(E10334,dicionario!$A$1:$C10733,3,0)</f>
        <v>andorinha-do-campo</v>
      </c>
    </row>
    <row r="10335">
      <c r="A10335" s="3">
        <v>45806.0</v>
      </c>
      <c r="B10335" s="4">
        <v>0.3173611111111111</v>
      </c>
      <c r="C10335" s="5" t="s">
        <v>40</v>
      </c>
      <c r="D10335" s="5" t="s">
        <v>1498</v>
      </c>
      <c r="E10335" s="8" t="s">
        <v>353</v>
      </c>
      <c r="F10335" s="5" t="s">
        <v>354</v>
      </c>
      <c r="G10335" s="6" t="str">
        <f>VLOOKUP(E10335,dicionario!$A$1:$C10734,2,0)</f>
        <v>Desmodium incanum</v>
      </c>
      <c r="H10335" s="6" t="str">
        <f>VLOOKUP(E10335,dicionario!$A$1:$C10734,3,0)</f>
        <v>pega-pega</v>
      </c>
    </row>
    <row r="10336">
      <c r="A10336" s="3">
        <v>45806.0</v>
      </c>
      <c r="B10336" s="4">
        <v>0.3173611111111111</v>
      </c>
      <c r="C10336" s="5" t="s">
        <v>40</v>
      </c>
      <c r="D10336" s="5" t="s">
        <v>1498</v>
      </c>
      <c r="E10336" s="8" t="s">
        <v>141</v>
      </c>
      <c r="F10336" s="5" t="s">
        <v>142</v>
      </c>
      <c r="G10336" s="6" t="str">
        <f>VLOOKUP(E10336,dicionario!$A$1:$C10735,2,0)</f>
        <v>Ruellia blechum</v>
      </c>
      <c r="H10336" s="6" t="str">
        <f>VLOOKUP(E10336,dicionario!$A$1:$C10735,3,0)</f>
        <v>camarão-verde</v>
      </c>
    </row>
    <row r="10337">
      <c r="A10337" s="3">
        <v>45806.0</v>
      </c>
      <c r="B10337" s="4">
        <v>0.31805555555555554</v>
      </c>
      <c r="C10337" s="5" t="s">
        <v>40</v>
      </c>
      <c r="D10337" s="5" t="s">
        <v>1498</v>
      </c>
      <c r="E10337" s="29" t="s">
        <v>566</v>
      </c>
      <c r="F10337" s="5" t="s">
        <v>567</v>
      </c>
      <c r="G10337" s="6" t="str">
        <f>VLOOKUP(E10337,dicionario!$A$1:$C10736,2,0)</f>
        <v>Baccharis dracunculifolia</v>
      </c>
      <c r="H10337" s="6" t="str">
        <f>VLOOKUP(E10337,dicionario!$A$1:$C10736,3,0)</f>
        <v>vassoura</v>
      </c>
    </row>
    <row r="10338">
      <c r="A10338" s="3">
        <v>45806.0</v>
      </c>
      <c r="B10338" s="4">
        <v>0.31805555555555554</v>
      </c>
      <c r="C10338" s="5" t="s">
        <v>40</v>
      </c>
      <c r="D10338" s="5" t="s">
        <v>1498</v>
      </c>
      <c r="E10338" s="8" t="s">
        <v>1367</v>
      </c>
      <c r="F10338" s="5" t="s">
        <v>387</v>
      </c>
      <c r="G10338" s="6" t="str">
        <f>VLOOKUP(E10338,dicionario!$A$1:$C10737,2,0)</f>
        <v>#N/A</v>
      </c>
      <c r="H10338" s="6" t="str">
        <f>VLOOKUP(E10338,dicionario!$A$1:$C10737,3,0)</f>
        <v>#N/A</v>
      </c>
    </row>
    <row r="10339">
      <c r="A10339" s="3">
        <v>45806.0</v>
      </c>
      <c r="B10339" s="4">
        <v>0.31805555555555554</v>
      </c>
      <c r="C10339" s="5" t="s">
        <v>40</v>
      </c>
      <c r="D10339" s="5" t="s">
        <v>1498</v>
      </c>
      <c r="E10339" s="8" t="s">
        <v>69</v>
      </c>
      <c r="F10339" s="5" t="s">
        <v>71</v>
      </c>
      <c r="G10339" s="6" t="str">
        <f>VLOOKUP(E10339,dicionario!$A$1:$C10738,2,0)</f>
        <v>Talinum fruticosum</v>
      </c>
      <c r="H10339" s="6" t="str">
        <f>VLOOKUP(E10339,dicionario!$A$1:$C10738,3,0)</f>
        <v>beldroega-grande</v>
      </c>
    </row>
    <row r="10340">
      <c r="A10340" s="3">
        <v>45806.0</v>
      </c>
      <c r="B10340" s="4">
        <v>0.31875</v>
      </c>
      <c r="C10340" s="5" t="s">
        <v>40</v>
      </c>
      <c r="D10340" s="5" t="s">
        <v>1498</v>
      </c>
      <c r="E10340" s="8" t="s">
        <v>849</v>
      </c>
      <c r="F10340" s="5" t="s">
        <v>1457</v>
      </c>
      <c r="G10340" s="6" t="str">
        <f>VLOOKUP(E10340,dicionario!$A$1:$C10739,2,0)</f>
        <v>#N/A</v>
      </c>
      <c r="H10340" s="6" t="str">
        <f>VLOOKUP(E10340,dicionario!$A$1:$C10739,3,0)</f>
        <v>#N/A</v>
      </c>
    </row>
    <row r="10341">
      <c r="A10341" s="3">
        <v>45806.0</v>
      </c>
      <c r="B10341" s="4">
        <v>0.31875</v>
      </c>
      <c r="C10341" s="5" t="s">
        <v>40</v>
      </c>
      <c r="D10341" s="5" t="s">
        <v>1498</v>
      </c>
      <c r="E10341" s="6" t="s">
        <v>256</v>
      </c>
      <c r="F10341" s="5" t="s">
        <v>257</v>
      </c>
      <c r="G10341" s="6" t="str">
        <f>VLOOKUP(E10341,dicionario!$A$1:$C10740,2,0)</f>
        <v>Youngia japonica</v>
      </c>
      <c r="H10341" s="6" t="str">
        <f>VLOOKUP(E10341,dicionario!$A$1:$C10740,3,0)</f>
        <v>barba-de-falcão</v>
      </c>
    </row>
    <row r="10342">
      <c r="A10342" s="3">
        <v>45806.0</v>
      </c>
      <c r="B10342" s="4">
        <v>0.31875</v>
      </c>
      <c r="C10342" s="5" t="s">
        <v>40</v>
      </c>
      <c r="D10342" s="5" t="s">
        <v>1498</v>
      </c>
      <c r="E10342" s="8" t="s">
        <v>213</v>
      </c>
      <c r="F10342" s="5" t="s">
        <v>214</v>
      </c>
      <c r="G10342" s="6" t="str">
        <f>VLOOKUP(E10342,dicionario!$A$1:$C10741,2,0)</f>
        <v>Myiozetetes similis</v>
      </c>
      <c r="H10342" s="6" t="str">
        <f>VLOOKUP(E10342,dicionario!$A$1:$C10741,3,0)</f>
        <v>bentevizinho-de-penacho-vermelho</v>
      </c>
    </row>
    <row r="10343">
      <c r="A10343" s="3">
        <v>45806.0</v>
      </c>
      <c r="B10343" s="4">
        <v>0.3194444444444444</v>
      </c>
      <c r="C10343" s="5" t="s">
        <v>40</v>
      </c>
      <c r="D10343" s="5" t="s">
        <v>1498</v>
      </c>
      <c r="E10343" s="72" t="s">
        <v>503</v>
      </c>
      <c r="F10343" s="5" t="s">
        <v>414</v>
      </c>
      <c r="G10343" s="6" t="str">
        <f>VLOOKUP(E10343,dicionario!$A$1:$C10742,2,0)</f>
        <v>Orphulella punctata</v>
      </c>
      <c r="H10343" s="6" t="str">
        <f>VLOOKUP(E10343,dicionario!$A$1:$C10742,3,0)</f>
        <v>gafanhotinho</v>
      </c>
    </row>
    <row r="10344">
      <c r="A10344" s="3">
        <v>45806.0</v>
      </c>
      <c r="B10344" s="4">
        <v>0.3194444444444444</v>
      </c>
      <c r="C10344" s="5" t="s">
        <v>40</v>
      </c>
      <c r="D10344" s="5" t="s">
        <v>1498</v>
      </c>
      <c r="E10344" s="8" t="s">
        <v>163</v>
      </c>
      <c r="F10344" s="5" t="s">
        <v>164</v>
      </c>
      <c r="G10344" s="6" t="str">
        <f>VLOOKUP(E10344,dicionario!$A$1:$C10743,2,0)</f>
        <v>Coragyps atratus</v>
      </c>
      <c r="H10344" s="6" t="str">
        <f>VLOOKUP(E10344,dicionario!$A$1:$C10743,3,0)</f>
        <v>urubu-de-cabeça-preta</v>
      </c>
    </row>
    <row r="10345">
      <c r="A10345" s="3">
        <v>45806.0</v>
      </c>
      <c r="B10345" s="4">
        <v>0.3194444444444444</v>
      </c>
      <c r="C10345" s="5" t="s">
        <v>40</v>
      </c>
      <c r="D10345" s="5" t="s">
        <v>1498</v>
      </c>
      <c r="E10345" s="8" t="s">
        <v>113</v>
      </c>
      <c r="F10345" s="5" t="s">
        <v>114</v>
      </c>
      <c r="G10345" s="6" t="str">
        <f>VLOOKUP(E10345,dicionario!$A$1:$C10744,2,0)</f>
        <v>Columbina talpacoti</v>
      </c>
      <c r="H10345" s="6" t="str">
        <f>VLOOKUP(E10345,dicionario!$A$1:$C10744,3,0)</f>
        <v>rolinha-roxa</v>
      </c>
    </row>
    <row r="10346">
      <c r="A10346" s="3">
        <v>45806.0</v>
      </c>
      <c r="B10346" s="4">
        <v>0.3194444444444444</v>
      </c>
      <c r="C10346" s="5" t="s">
        <v>40</v>
      </c>
      <c r="D10346" s="5" t="s">
        <v>1498</v>
      </c>
      <c r="E10346" s="8" t="s">
        <v>150</v>
      </c>
      <c r="F10346" s="5" t="s">
        <v>151</v>
      </c>
      <c r="G10346" s="6" t="str">
        <f>VLOOKUP(E10346,dicionario!$A$1:$C10745,2,0)</f>
        <v>Amaranthus viridis</v>
      </c>
      <c r="H10346" s="6" t="str">
        <f>VLOOKUP(E10346,dicionario!$A$1:$C10745,3,0)</f>
        <v>caruru-de-mancha</v>
      </c>
    </row>
    <row r="10347">
      <c r="A10347" s="3">
        <v>45806.0</v>
      </c>
      <c r="B10347" s="4">
        <v>0.32013888888888886</v>
      </c>
      <c r="C10347" s="5" t="s">
        <v>33</v>
      </c>
      <c r="D10347" s="5" t="s">
        <v>1498</v>
      </c>
      <c r="E10347" s="8" t="s">
        <v>109</v>
      </c>
      <c r="F10347" s="5" t="s">
        <v>1513</v>
      </c>
      <c r="G10347" s="6" t="str">
        <f>VLOOKUP(E10347,dicionario!$A$1:$C10746,2,0)</f>
        <v>Tillandsia stricta</v>
      </c>
      <c r="H10347" s="6" t="str">
        <f>VLOOKUP(E10347,dicionario!$A$1:$C10746,3,0)</f>
        <v>cravo-do-mato</v>
      </c>
    </row>
    <row r="10348">
      <c r="A10348" s="3">
        <v>45806.0</v>
      </c>
      <c r="B10348" s="4">
        <v>0.32013888888888886</v>
      </c>
      <c r="C10348" s="5" t="s">
        <v>33</v>
      </c>
      <c r="D10348" s="5" t="s">
        <v>1498</v>
      </c>
      <c r="E10348" s="8" t="s">
        <v>88</v>
      </c>
      <c r="F10348" s="5" t="s">
        <v>89</v>
      </c>
      <c r="G10348" s="6" t="str">
        <f>VLOOKUP(E10348,dicionario!$A$1:$C10747,2,0)</f>
        <v>Tyrannus melancolichus</v>
      </c>
      <c r="H10348" s="6" t="str">
        <f>VLOOKUP(E10348,dicionario!$A$1:$C10747,3,0)</f>
        <v>suiriri</v>
      </c>
    </row>
    <row r="10349">
      <c r="A10349" s="3">
        <v>45806.0</v>
      </c>
      <c r="B10349" s="4">
        <v>0.32083333333333336</v>
      </c>
      <c r="C10349" s="5" t="s">
        <v>33</v>
      </c>
      <c r="D10349" s="5" t="s">
        <v>1498</v>
      </c>
      <c r="E10349" s="8" t="s">
        <v>271</v>
      </c>
      <c r="F10349" s="5" t="s">
        <v>1514</v>
      </c>
      <c r="G10349" s="6" t="str">
        <f>VLOOKUP(E10349,dicionario!$A$1:$C10748,2,0)</f>
        <v>Cyanthillium cinereum</v>
      </c>
      <c r="H10349" s="6" t="str">
        <f>VLOOKUP(E10349,dicionario!$A$1:$C10748,3,0)</f>
        <v>emília</v>
      </c>
    </row>
    <row r="10350">
      <c r="A10350" s="3">
        <v>45806.0</v>
      </c>
      <c r="B10350" s="4">
        <v>0.3215277777777778</v>
      </c>
      <c r="C10350" s="5" t="s">
        <v>33</v>
      </c>
      <c r="D10350" s="5" t="s">
        <v>1498</v>
      </c>
      <c r="E10350" s="8" t="s">
        <v>286</v>
      </c>
      <c r="F10350" s="5" t="s">
        <v>287</v>
      </c>
      <c r="G10350" s="6" t="str">
        <f>VLOOKUP(E10350,dicionario!$A$1:$C10749,2,0)</f>
        <v>Setaria parviflora</v>
      </c>
      <c r="H10350" s="6" t="str">
        <f>VLOOKUP(E10350,dicionario!$A$1:$C10749,3,0)</f>
        <v>capim-rabo-de-raposa</v>
      </c>
    </row>
    <row r="10351">
      <c r="A10351" s="3">
        <v>45806.0</v>
      </c>
      <c r="B10351" s="4">
        <v>0.3215277777777778</v>
      </c>
      <c r="C10351" s="5" t="s">
        <v>33</v>
      </c>
      <c r="D10351" s="5" t="s">
        <v>1498</v>
      </c>
      <c r="E10351" s="8" t="s">
        <v>38</v>
      </c>
      <c r="F10351" s="5" t="s">
        <v>39</v>
      </c>
      <c r="G10351" s="6" t="str">
        <f>VLOOKUP(E10351,dicionario!$A$1:$C10750,2,0)</f>
        <v>Troglodytes musculus</v>
      </c>
      <c r="H10351" s="6" t="str">
        <f>VLOOKUP(E10351,dicionario!$A$1:$C10750,3,0)</f>
        <v>curruíra</v>
      </c>
    </row>
    <row r="10352">
      <c r="A10352" s="3">
        <v>45806.0</v>
      </c>
      <c r="B10352" s="4">
        <v>0.3215277777777778</v>
      </c>
      <c r="C10352" s="5" t="s">
        <v>33</v>
      </c>
      <c r="D10352" s="5" t="s">
        <v>1498</v>
      </c>
      <c r="E10352" s="8" t="s">
        <v>65</v>
      </c>
      <c r="F10352" s="5" t="s">
        <v>66</v>
      </c>
      <c r="G10352" s="6" t="str">
        <f>VLOOKUP(E10352,dicionario!$A$1:$C10751,2,0)</f>
        <v>Pitangus sulphutarus</v>
      </c>
      <c r="H10352" s="6" t="str">
        <f>VLOOKUP(E10352,dicionario!$A$1:$C10751,3,0)</f>
        <v>bem-te-vi</v>
      </c>
    </row>
    <row r="10353">
      <c r="A10353" s="3">
        <v>45806.0</v>
      </c>
      <c r="B10353" s="4">
        <v>0.3229166666666667</v>
      </c>
      <c r="C10353" s="5" t="s">
        <v>33</v>
      </c>
      <c r="D10353" s="5" t="s">
        <v>1498</v>
      </c>
      <c r="E10353" s="8" t="s">
        <v>46</v>
      </c>
      <c r="F10353" s="5" t="s">
        <v>47</v>
      </c>
      <c r="G10353" s="6" t="str">
        <f>VLOOKUP(E10353,dicionario!$A$1:$C10752,2,0)</f>
        <v>Chionomesa fimbriata</v>
      </c>
      <c r="H10353" s="6" t="str">
        <f>VLOOKUP(E10353,dicionario!$A$1:$C10752,3,0)</f>
        <v>beija-flor-de-garganta-verde</v>
      </c>
    </row>
    <row r="10354">
      <c r="A10354" s="3">
        <v>45806.0</v>
      </c>
      <c r="B10354" s="4">
        <v>0.3229166666666667</v>
      </c>
      <c r="C10354" s="5" t="s">
        <v>33</v>
      </c>
      <c r="D10354" s="5" t="s">
        <v>1498</v>
      </c>
      <c r="E10354" s="8" t="s">
        <v>1084</v>
      </c>
      <c r="F10354" s="5" t="s">
        <v>224</v>
      </c>
      <c r="G10354" s="6" t="str">
        <f>VLOOKUP(E10354,dicionario!$A$1:$C10753,2,0)</f>
        <v>#N/A</v>
      </c>
      <c r="H10354" s="6" t="str">
        <f>VLOOKUP(E10354,dicionario!$A$1:$C10753,3,0)</f>
        <v>#N/A</v>
      </c>
    </row>
    <row r="10355">
      <c r="A10355" s="3">
        <v>45806.0</v>
      </c>
      <c r="B10355" s="4">
        <v>0.3229166666666667</v>
      </c>
      <c r="C10355" s="5" t="s">
        <v>33</v>
      </c>
      <c r="D10355" s="5" t="s">
        <v>1498</v>
      </c>
      <c r="E10355" s="8" t="s">
        <v>719</v>
      </c>
      <c r="F10355" s="5" t="s">
        <v>911</v>
      </c>
      <c r="G10355" s="6" t="str">
        <f>VLOOKUP(E10355,dicionario!$A$1:$C10754,2,0)</f>
        <v>Dirinaria</v>
      </c>
      <c r="H10355" s="6" t="str">
        <f>VLOOKUP(E10355,dicionario!$A$1:$C10754,3,0)</f>
        <v>líquen-crostoso</v>
      </c>
    </row>
    <row r="10356">
      <c r="A10356" s="3">
        <v>45806.0</v>
      </c>
      <c r="B10356" s="4">
        <v>0.3229166666666667</v>
      </c>
      <c r="C10356" s="5" t="s">
        <v>33</v>
      </c>
      <c r="D10356" s="5" t="s">
        <v>1498</v>
      </c>
      <c r="E10356" s="8" t="s">
        <v>154</v>
      </c>
      <c r="F10356" s="5" t="s">
        <v>155</v>
      </c>
      <c r="G10356" s="6" t="str">
        <f>VLOOKUP(E10356,dicionario!$A$1:$C10755,2,0)</f>
        <v>Cyperus rotundus</v>
      </c>
      <c r="H10356" s="6" t="str">
        <f>VLOOKUP(E10356,dicionario!$A$1:$C10755,3,0)</f>
        <v>tiririca</v>
      </c>
    </row>
    <row r="10357">
      <c r="A10357" s="3">
        <v>45806.0</v>
      </c>
      <c r="B10357" s="4">
        <v>0.3236111111111111</v>
      </c>
      <c r="C10357" s="5" t="s">
        <v>33</v>
      </c>
      <c r="D10357" s="5" t="s">
        <v>1498</v>
      </c>
      <c r="E10357" s="8" t="s">
        <v>191</v>
      </c>
      <c r="F10357" s="5" t="s">
        <v>192</v>
      </c>
      <c r="G10357" s="6" t="str">
        <f>VLOOKUP(E10357,dicionario!$A$1:$C10756,2,0)</f>
        <v>Patagioenas picazuro</v>
      </c>
      <c r="H10357" s="6" t="str">
        <f>VLOOKUP(E10357,dicionario!$A$1:$C10756,3,0)</f>
        <v>asa-branca; pomba-asa-branca; pocaçu</v>
      </c>
    </row>
    <row r="10358">
      <c r="A10358" s="3">
        <v>45806.0</v>
      </c>
      <c r="B10358" s="4">
        <v>0.3236111111111111</v>
      </c>
      <c r="C10358" s="5" t="s">
        <v>33</v>
      </c>
      <c r="D10358" s="5" t="s">
        <v>1498</v>
      </c>
      <c r="E10358" s="6" t="s">
        <v>251</v>
      </c>
      <c r="F10358" s="5" t="s">
        <v>252</v>
      </c>
      <c r="G10358" s="6" t="str">
        <f>VLOOKUP(E10358,dicionario!$A$1:$C10757,2,0)</f>
        <v>Struthanthus flexicaulis</v>
      </c>
      <c r="H10358" s="6" t="str">
        <f>VLOOKUP(E10358,dicionario!$A$1:$C10757,3,0)</f>
        <v>erva-de-passarinho</v>
      </c>
    </row>
    <row r="10359">
      <c r="A10359" s="3">
        <v>45806.0</v>
      </c>
      <c r="B10359" s="4">
        <v>0.3236111111111111</v>
      </c>
      <c r="C10359" s="5" t="s">
        <v>33</v>
      </c>
      <c r="D10359" s="5" t="s">
        <v>1498</v>
      </c>
      <c r="E10359" s="8" t="s">
        <v>1285</v>
      </c>
      <c r="F10359" s="5" t="s">
        <v>1128</v>
      </c>
      <c r="G10359" s="6" t="str">
        <f>VLOOKUP(E10359,dicionario!$A$1:$C10758,2,0)</f>
        <v>#N/A</v>
      </c>
      <c r="H10359" s="6" t="str">
        <f>VLOOKUP(E10359,dicionario!$A$1:$C10758,3,0)</f>
        <v>#N/A</v>
      </c>
    </row>
    <row r="10360">
      <c r="A10360" s="3">
        <v>45806.0</v>
      </c>
      <c r="B10360" s="4">
        <v>0.32430555555555557</v>
      </c>
      <c r="C10360" s="5" t="s">
        <v>33</v>
      </c>
      <c r="D10360" s="5" t="s">
        <v>1498</v>
      </c>
      <c r="E10360" s="8" t="s">
        <v>122</v>
      </c>
      <c r="F10360" s="5" t="s">
        <v>123</v>
      </c>
      <c r="G10360" s="6" t="str">
        <f>VLOOKUP(E10360,dicionario!$A$1:$C10759,2,0)</f>
        <v>Todirostrum cinereum</v>
      </c>
      <c r="H10360" s="6" t="str">
        <f>VLOOKUP(E10360,dicionario!$A$1:$C10759,3,0)</f>
        <v>ferreirinho-relógio</v>
      </c>
    </row>
    <row r="10361">
      <c r="A10361" s="3">
        <v>45806.0</v>
      </c>
      <c r="B10361" s="4">
        <v>0.32430555555555557</v>
      </c>
      <c r="C10361" s="5" t="s">
        <v>33</v>
      </c>
      <c r="D10361" s="5" t="s">
        <v>1498</v>
      </c>
      <c r="E10361" s="8" t="s">
        <v>1175</v>
      </c>
      <c r="F10361" s="5" t="s">
        <v>1176</v>
      </c>
      <c r="G10361" s="6" t="str">
        <f>VLOOKUP(E10361,dicionario!$A$1:$C10760,2,0)</f>
        <v>Danaus erippus</v>
      </c>
      <c r="H10361" s="6" t="str">
        <f>VLOOKUP(E10361,dicionario!$A$1:$C10760,3,0)</f>
        <v>borboleta-monarca-do-sul</v>
      </c>
    </row>
    <row r="10362">
      <c r="A10362" s="3">
        <v>45806.0</v>
      </c>
      <c r="B10362" s="4">
        <v>0.325</v>
      </c>
      <c r="C10362" s="5" t="s">
        <v>33</v>
      </c>
      <c r="D10362" s="5" t="s">
        <v>1498</v>
      </c>
      <c r="E10362" s="8" t="s">
        <v>163</v>
      </c>
      <c r="F10362" s="5" t="s">
        <v>164</v>
      </c>
      <c r="G10362" s="6" t="str">
        <f>VLOOKUP(E10362,dicionario!$A$1:$C10761,2,0)</f>
        <v>Coragyps atratus</v>
      </c>
      <c r="H10362" s="6" t="str">
        <f>VLOOKUP(E10362,dicionario!$A$1:$C10761,3,0)</f>
        <v>urubu-de-cabeça-preta</v>
      </c>
    </row>
    <row r="10363">
      <c r="A10363" s="3">
        <v>45806.0</v>
      </c>
      <c r="B10363" s="4">
        <v>0.325</v>
      </c>
      <c r="C10363" s="5" t="s">
        <v>33</v>
      </c>
      <c r="D10363" s="5" t="s">
        <v>1498</v>
      </c>
      <c r="E10363" s="8" t="s">
        <v>1367</v>
      </c>
      <c r="F10363" s="5" t="s">
        <v>387</v>
      </c>
      <c r="G10363" s="6" t="str">
        <f>VLOOKUP(E10363,dicionario!$A$1:$C10762,2,0)</f>
        <v>#N/A</v>
      </c>
      <c r="H10363" s="6" t="str">
        <f>VLOOKUP(E10363,dicionario!$A$1:$C10762,3,0)</f>
        <v>#N/A</v>
      </c>
    </row>
    <row r="10364">
      <c r="A10364" s="3">
        <v>45806.0</v>
      </c>
      <c r="B10364" s="4">
        <v>0.32569444444444445</v>
      </c>
      <c r="C10364" s="5" t="s">
        <v>26</v>
      </c>
      <c r="D10364" s="5" t="s">
        <v>1498</v>
      </c>
      <c r="E10364" s="8" t="s">
        <v>360</v>
      </c>
      <c r="F10364" s="5" t="s">
        <v>361</v>
      </c>
      <c r="G10364" s="6" t="str">
        <f>VLOOKUP(E10364,dicionario!$A$1:$C10763,2,0)</f>
        <v>Chamaecrista rotundifolia</v>
      </c>
      <c r="H10364" s="6" t="str">
        <f>VLOOKUP(E10364,dicionario!$A$1:$C10763,3,0)</f>
        <v>alfafa-nativa</v>
      </c>
    </row>
    <row r="10365">
      <c r="A10365" s="3">
        <v>45806.0</v>
      </c>
      <c r="B10365" s="4">
        <v>0.32569444444444445</v>
      </c>
      <c r="C10365" s="5" t="s">
        <v>26</v>
      </c>
      <c r="D10365" s="5" t="s">
        <v>1498</v>
      </c>
      <c r="E10365" s="8" t="s">
        <v>109</v>
      </c>
      <c r="F10365" s="5" t="s">
        <v>110</v>
      </c>
      <c r="G10365" s="6" t="str">
        <f>VLOOKUP(E10365,dicionario!$A$1:$C10764,2,0)</f>
        <v>Tillandsia stricta</v>
      </c>
      <c r="H10365" s="6" t="str">
        <f>VLOOKUP(E10365,dicionario!$A$1:$C10764,3,0)</f>
        <v>cravo-do-mato</v>
      </c>
    </row>
    <row r="10366">
      <c r="A10366" s="3">
        <v>45806.0</v>
      </c>
      <c r="B10366" s="4">
        <v>0.3263888888888889</v>
      </c>
      <c r="C10366" s="5" t="s">
        <v>26</v>
      </c>
      <c r="D10366" s="5" t="s">
        <v>1498</v>
      </c>
      <c r="E10366" s="20" t="s">
        <v>676</v>
      </c>
      <c r="F10366" s="5" t="s">
        <v>677</v>
      </c>
      <c r="G10366" s="6" t="str">
        <f>VLOOKUP(E10366,dicionario!$A$1:$C10765,2,0)</f>
        <v>Zornia latifolia</v>
      </c>
      <c r="H10366" s="6" t="str">
        <f>VLOOKUP(E10366,dicionario!$A$1:$C10765,3,0)</f>
        <v>arrozinho-do-campo</v>
      </c>
    </row>
    <row r="10367">
      <c r="A10367" s="3">
        <v>45806.0</v>
      </c>
      <c r="B10367" s="4">
        <v>0.3263888888888889</v>
      </c>
      <c r="C10367" s="5" t="s">
        <v>26</v>
      </c>
      <c r="D10367" s="5" t="s">
        <v>1498</v>
      </c>
      <c r="E10367" s="8" t="s">
        <v>60</v>
      </c>
      <c r="F10367" s="5" t="s">
        <v>61</v>
      </c>
      <c r="G10367" s="6" t="str">
        <f>VLOOKUP(E10367,dicionario!$A$1:$C10766,2,0)</f>
        <v>Vanellus chilensis</v>
      </c>
      <c r="H10367" s="6" t="str">
        <f>VLOOKUP(E10367,dicionario!$A$1:$C10766,3,0)</f>
        <v>quero-quero</v>
      </c>
    </row>
    <row r="10368">
      <c r="A10368" s="3">
        <v>45806.0</v>
      </c>
      <c r="B10368" s="4">
        <v>0.3263888888888889</v>
      </c>
      <c r="C10368" s="5" t="s">
        <v>26</v>
      </c>
      <c r="D10368" s="5" t="s">
        <v>1498</v>
      </c>
      <c r="E10368" s="8" t="s">
        <v>498</v>
      </c>
      <c r="F10368" s="5" t="s">
        <v>499</v>
      </c>
      <c r="G10368" s="6" t="str">
        <f>VLOOKUP(E10368,dicionario!$A$1:$C10767,2,0)</f>
        <v>Brachiaria decumbens</v>
      </c>
      <c r="H10368" s="6" t="str">
        <f>VLOOKUP(E10368,dicionario!$A$1:$C10767,3,0)</f>
        <v>capim-braquiária</v>
      </c>
    </row>
    <row r="10369">
      <c r="A10369" s="3">
        <v>45806.0</v>
      </c>
      <c r="B10369" s="4">
        <v>0.3263888888888889</v>
      </c>
      <c r="C10369" s="5" t="s">
        <v>26</v>
      </c>
      <c r="D10369" s="5" t="s">
        <v>1498</v>
      </c>
      <c r="E10369" s="8" t="s">
        <v>253</v>
      </c>
      <c r="F10369" s="5" t="s">
        <v>254</v>
      </c>
      <c r="G10369" s="6" t="str">
        <f>VLOOKUP(E10369,dicionario!$A$1:$C10768,2,0)</f>
        <v>Panicum maximum</v>
      </c>
      <c r="H10369" s="6" t="str">
        <f>VLOOKUP(E10369,dicionario!$A$1:$C10768,3,0)</f>
        <v>capim-colonião</v>
      </c>
    </row>
    <row r="10370">
      <c r="A10370" s="3">
        <v>45806.0</v>
      </c>
      <c r="B10370" s="4">
        <v>0.32708333333333334</v>
      </c>
      <c r="C10370" s="5" t="s">
        <v>26</v>
      </c>
      <c r="D10370" s="5" t="s">
        <v>1498</v>
      </c>
      <c r="E10370" s="8" t="s">
        <v>928</v>
      </c>
      <c r="F10370" s="5" t="s">
        <v>418</v>
      </c>
      <c r="G10370" s="6" t="str">
        <f>VLOOKUP(E10370,dicionario!$A$1:$C10769,2,0)</f>
        <v>Camponotus</v>
      </c>
      <c r="H10370" s="6" t="str">
        <f>VLOOKUP(E10370,dicionario!$A$1:$C10769,3,0)</f>
        <v>formiga-preta</v>
      </c>
    </row>
    <row r="10371">
      <c r="A10371" s="3">
        <v>45806.0</v>
      </c>
      <c r="B10371" s="4">
        <v>0.32708333333333334</v>
      </c>
      <c r="C10371" s="5" t="s">
        <v>26</v>
      </c>
      <c r="D10371" s="5" t="s">
        <v>1498</v>
      </c>
      <c r="E10371" s="8" t="s">
        <v>1515</v>
      </c>
      <c r="F10371" s="7" t="s">
        <v>565</v>
      </c>
      <c r="G10371" s="6" t="str">
        <f>VLOOKUP(E10371,dicionario!$A$1:$C10770,2,0)</f>
        <v>Strymon bobustus</v>
      </c>
      <c r="H10371" s="6" t="str">
        <f>VLOOKUP(E10371,dicionario!$A$1:$C10770,3,0)</f>
        <v>borboletinha que mexe a asinha</v>
      </c>
    </row>
    <row r="10372">
      <c r="A10372" s="3">
        <v>45806.0</v>
      </c>
      <c r="B10372" s="4">
        <v>0.3277777777777778</v>
      </c>
      <c r="C10372" s="5" t="s">
        <v>26</v>
      </c>
      <c r="D10372" s="5" t="s">
        <v>1498</v>
      </c>
      <c r="E10372" s="8" t="s">
        <v>217</v>
      </c>
      <c r="F10372" s="5" t="s">
        <v>218</v>
      </c>
      <c r="G10372" s="6" t="str">
        <f>VLOOKUP(E10372,dicionario!$A$1:$C10771,2,0)</f>
        <v>Athene cunicularia</v>
      </c>
      <c r="H10372" s="6" t="str">
        <f>VLOOKUP(E10372,dicionario!$A$1:$C10771,3,0)</f>
        <v>coruja-buraqueira</v>
      </c>
    </row>
    <row r="10373">
      <c r="A10373" s="3">
        <v>45806.0</v>
      </c>
      <c r="B10373" s="4">
        <v>0.3277777777777778</v>
      </c>
      <c r="C10373" s="5" t="s">
        <v>26</v>
      </c>
      <c r="D10373" s="5" t="s">
        <v>1498</v>
      </c>
      <c r="E10373" s="8" t="s">
        <v>88</v>
      </c>
      <c r="F10373" s="5" t="s">
        <v>89</v>
      </c>
      <c r="G10373" s="6" t="str">
        <f>VLOOKUP(E10373,dicionario!$A$1:$C10772,2,0)</f>
        <v>Tyrannus melancolichus</v>
      </c>
      <c r="H10373" s="6" t="str">
        <f>VLOOKUP(E10373,dicionario!$A$1:$C10772,3,0)</f>
        <v>suiriri</v>
      </c>
    </row>
    <row r="10374">
      <c r="A10374" s="3">
        <v>45806.0</v>
      </c>
      <c r="B10374" s="4">
        <v>0.3277777777777778</v>
      </c>
      <c r="C10374" s="5" t="s">
        <v>26</v>
      </c>
      <c r="D10374" s="5" t="s">
        <v>1498</v>
      </c>
      <c r="E10374" s="8" t="s">
        <v>163</v>
      </c>
      <c r="F10374" s="5" t="s">
        <v>164</v>
      </c>
      <c r="G10374" s="6" t="str">
        <f>VLOOKUP(E10374,dicionario!$A$1:$C10773,2,0)</f>
        <v>Coragyps atratus</v>
      </c>
      <c r="H10374" s="6" t="str">
        <f>VLOOKUP(E10374,dicionario!$A$1:$C10773,3,0)</f>
        <v>urubu-de-cabeça-preta</v>
      </c>
    </row>
    <row r="10375">
      <c r="A10375" s="3">
        <v>45806.0</v>
      </c>
      <c r="B10375" s="4">
        <v>0.3277777777777778</v>
      </c>
      <c r="C10375" s="5" t="s">
        <v>26</v>
      </c>
      <c r="D10375" s="5" t="s">
        <v>1498</v>
      </c>
      <c r="E10375" s="8" t="s">
        <v>719</v>
      </c>
      <c r="F10375" s="5" t="s">
        <v>911</v>
      </c>
      <c r="G10375" s="6" t="str">
        <f>VLOOKUP(E10375,dicionario!$A$1:$C10774,2,0)</f>
        <v>Dirinaria</v>
      </c>
      <c r="H10375" s="6" t="str">
        <f>VLOOKUP(E10375,dicionario!$A$1:$C10774,3,0)</f>
        <v>líquen-crostoso</v>
      </c>
    </row>
    <row r="10376">
      <c r="A10376" s="3">
        <v>45806.0</v>
      </c>
      <c r="B10376" s="4">
        <v>0.3277777777777778</v>
      </c>
      <c r="C10376" s="5" t="s">
        <v>26</v>
      </c>
      <c r="D10376" s="5" t="s">
        <v>1498</v>
      </c>
      <c r="E10376" s="8" t="s">
        <v>338</v>
      </c>
      <c r="F10376" s="5" t="s">
        <v>238</v>
      </c>
      <c r="G10376" s="6" t="str">
        <f>VLOOKUP(E10376,dicionario!$A$1:$C10775,2,0)</f>
        <v>Atta</v>
      </c>
      <c r="H10376" s="6" t="str">
        <f>VLOOKUP(E10376,dicionario!$A$1:$C10775,3,0)</f>
        <v>saúva</v>
      </c>
    </row>
    <row r="10377">
      <c r="A10377" s="3">
        <v>45806.0</v>
      </c>
      <c r="B10377" s="4">
        <v>0.3284722222222222</v>
      </c>
      <c r="C10377" s="5" t="s">
        <v>26</v>
      </c>
      <c r="D10377" s="5" t="s">
        <v>1498</v>
      </c>
      <c r="E10377" s="8" t="s">
        <v>427</v>
      </c>
      <c r="F10377" s="5" t="s">
        <v>428</v>
      </c>
      <c r="G10377" s="6" t="str">
        <f>VLOOKUP(E10377,dicionario!$A$1:$C10776,2,0)</f>
        <v>Condylostylus longicornis</v>
      </c>
      <c r="H10377" s="6" t="str">
        <f>VLOOKUP(E10377,dicionario!$A$1:$C10776,3,0)</f>
        <v>mosca-de-pernas-longas</v>
      </c>
    </row>
    <row r="10378">
      <c r="A10378" s="3">
        <v>45806.0</v>
      </c>
      <c r="B10378" s="4">
        <v>0.3284722222222222</v>
      </c>
      <c r="C10378" s="5" t="s">
        <v>26</v>
      </c>
      <c r="D10378" s="5" t="s">
        <v>1498</v>
      </c>
      <c r="E10378" s="8" t="s">
        <v>503</v>
      </c>
      <c r="F10378" s="5" t="s">
        <v>414</v>
      </c>
      <c r="G10378" s="6" t="str">
        <f>VLOOKUP(E10378,dicionario!$A$1:$C10777,2,0)</f>
        <v>Orphulella punctata</v>
      </c>
      <c r="H10378" s="6" t="str">
        <f>VLOOKUP(E10378,dicionario!$A$1:$C10777,3,0)</f>
        <v>gafanhotinho</v>
      </c>
    </row>
    <row r="10379">
      <c r="A10379" s="3">
        <v>45806.0</v>
      </c>
      <c r="B10379" s="4">
        <v>0.3284722222222222</v>
      </c>
      <c r="C10379" s="5" t="s">
        <v>8</v>
      </c>
      <c r="D10379" s="5" t="s">
        <v>1498</v>
      </c>
      <c r="E10379" s="8" t="s">
        <v>712</v>
      </c>
      <c r="F10379" s="5" t="s">
        <v>718</v>
      </c>
      <c r="G10379" s="6" t="str">
        <f>VLOOKUP(E10379,dicionario!$A$1:$C10778,2,0)</f>
        <v>Flavopunctelia soredica</v>
      </c>
      <c r="H10379" s="6" t="str">
        <f>VLOOKUP(E10379,dicionario!$A$1:$C10778,3,0)</f>
        <v>líquen-folioso</v>
      </c>
    </row>
    <row r="10380">
      <c r="A10380" s="3">
        <v>45806.0</v>
      </c>
      <c r="B10380" s="4">
        <v>0.3284722222222222</v>
      </c>
      <c r="C10380" s="5" t="s">
        <v>8</v>
      </c>
      <c r="D10380" s="5" t="s">
        <v>1498</v>
      </c>
      <c r="E10380" s="8" t="s">
        <v>719</v>
      </c>
      <c r="F10380" s="5" t="s">
        <v>911</v>
      </c>
      <c r="G10380" s="6" t="str">
        <f>VLOOKUP(E10380,dicionario!$A$1:$C10779,2,0)</f>
        <v>Dirinaria</v>
      </c>
      <c r="H10380" s="6" t="str">
        <f>VLOOKUP(E10380,dicionario!$A$1:$C10779,3,0)</f>
        <v>líquen-crostoso</v>
      </c>
    </row>
    <row r="10381">
      <c r="A10381" s="3">
        <v>45806.0</v>
      </c>
      <c r="B10381" s="4">
        <v>0.32916666666666666</v>
      </c>
      <c r="C10381" s="5" t="s">
        <v>8</v>
      </c>
      <c r="D10381" s="5" t="s">
        <v>1498</v>
      </c>
      <c r="E10381" s="8" t="s">
        <v>107</v>
      </c>
      <c r="F10381" s="5" t="s">
        <v>108</v>
      </c>
      <c r="G10381" s="6" t="str">
        <f>VLOOKUP(E10381,dicionario!$A$1:$C10780,2,0)</f>
        <v>Ramalina complanata</v>
      </c>
      <c r="H10381" s="6" t="str">
        <f>VLOOKUP(E10381,dicionario!$A$1:$C10780,3,0)</f>
        <v>ramalina</v>
      </c>
    </row>
    <row r="10382">
      <c r="A10382" s="3">
        <v>45806.0</v>
      </c>
      <c r="B10382" s="4">
        <v>0.3298611111111111</v>
      </c>
      <c r="C10382" s="5" t="s">
        <v>8</v>
      </c>
      <c r="D10382" s="5" t="s">
        <v>1498</v>
      </c>
      <c r="E10382" s="8" t="s">
        <v>109</v>
      </c>
      <c r="F10382" s="5" t="s">
        <v>110</v>
      </c>
      <c r="G10382" s="6" t="str">
        <f>VLOOKUP(E10382,dicionario!$A$1:$C10781,2,0)</f>
        <v>Tillandsia stricta</v>
      </c>
      <c r="H10382" s="6" t="str">
        <f>VLOOKUP(E10382,dicionario!$A$1:$C10781,3,0)</f>
        <v>cravo-do-mato</v>
      </c>
    </row>
    <row r="10383">
      <c r="A10383" s="3">
        <v>45806.0</v>
      </c>
      <c r="B10383" s="4">
        <v>0.33055555555555555</v>
      </c>
      <c r="C10383" s="5" t="s">
        <v>8</v>
      </c>
      <c r="D10383" s="5" t="s">
        <v>1498</v>
      </c>
      <c r="E10383" s="8" t="s">
        <v>46</v>
      </c>
      <c r="F10383" s="5" t="s">
        <v>47</v>
      </c>
      <c r="G10383" s="6" t="str">
        <f>VLOOKUP(E10383,dicionario!$A$1:$C10782,2,0)</f>
        <v>Chionomesa fimbriata</v>
      </c>
      <c r="H10383" s="6" t="str">
        <f>VLOOKUP(E10383,dicionario!$A$1:$C10782,3,0)</f>
        <v>beija-flor-de-garganta-verde</v>
      </c>
    </row>
    <row r="10384">
      <c r="A10384" s="3">
        <v>45806.0</v>
      </c>
      <c r="B10384" s="4">
        <v>0.33125</v>
      </c>
      <c r="C10384" s="5" t="s">
        <v>8</v>
      </c>
      <c r="D10384" s="5" t="s">
        <v>1498</v>
      </c>
      <c r="E10384" s="8" t="s">
        <v>353</v>
      </c>
      <c r="F10384" s="5" t="s">
        <v>354</v>
      </c>
      <c r="G10384" s="6" t="str">
        <f>VLOOKUP(E10384,dicionario!$A$1:$C10783,2,0)</f>
        <v>Desmodium incanum</v>
      </c>
      <c r="H10384" s="6" t="str">
        <f>VLOOKUP(E10384,dicionario!$A$1:$C10783,3,0)</f>
        <v>pega-pega</v>
      </c>
    </row>
    <row r="10385">
      <c r="A10385" s="3">
        <v>45806.0</v>
      </c>
      <c r="B10385" s="4">
        <v>0.33194444444444443</v>
      </c>
      <c r="C10385" s="5" t="s">
        <v>8</v>
      </c>
      <c r="D10385" s="5" t="s">
        <v>1498</v>
      </c>
      <c r="E10385" s="8" t="s">
        <v>298</v>
      </c>
      <c r="F10385" s="7"/>
      <c r="G10385" s="6" t="str">
        <f>VLOOKUP(E10385,dicionario!$A$1:$C10784,2,0)</f>
        <v>Alysicarpus vaginalis</v>
      </c>
      <c r="H10385" s="6" t="str">
        <f>VLOOKUP(E10385,dicionario!$A$1:$C10784,3,0)</f>
        <v/>
      </c>
    </row>
    <row r="10386">
      <c r="A10386" s="3">
        <v>45806.0</v>
      </c>
      <c r="B10386" s="4">
        <v>0.3326388888888889</v>
      </c>
      <c r="C10386" s="5" t="s">
        <v>8</v>
      </c>
      <c r="D10386" s="5" t="s">
        <v>1498</v>
      </c>
      <c r="E10386" s="8" t="s">
        <v>1316</v>
      </c>
      <c r="F10386" s="5" t="s">
        <v>15</v>
      </c>
      <c r="G10386" s="6" t="str">
        <f>VLOOKUP(E10386,dicionario!$A$1:$C10785,2,0)</f>
        <v>#N/A</v>
      </c>
      <c r="H10386" s="6" t="str">
        <f>VLOOKUP(E10386,dicionario!$A$1:$C10785,3,0)</f>
        <v>#N/A</v>
      </c>
    </row>
    <row r="10387">
      <c r="A10387" s="3">
        <v>45806.0</v>
      </c>
      <c r="B10387" s="4">
        <v>0.3333333333333333</v>
      </c>
      <c r="C10387" s="5" t="s">
        <v>8</v>
      </c>
      <c r="D10387" s="5" t="s">
        <v>1498</v>
      </c>
      <c r="E10387" s="8" t="s">
        <v>88</v>
      </c>
      <c r="F10387" s="5" t="s">
        <v>1516</v>
      </c>
      <c r="G10387" s="6" t="str">
        <f>VLOOKUP(E10387,dicionario!$A$1:$C10786,2,0)</f>
        <v>Tyrannus melancolichus</v>
      </c>
      <c r="H10387" s="6" t="str">
        <f>VLOOKUP(E10387,dicionario!$A$1:$C10786,3,0)</f>
        <v>suiriri</v>
      </c>
    </row>
    <row r="10388">
      <c r="A10388" s="3">
        <v>45806.0</v>
      </c>
      <c r="B10388" s="4">
        <v>0.3333333333333333</v>
      </c>
      <c r="C10388" s="5" t="s">
        <v>8</v>
      </c>
      <c r="D10388" s="5" t="s">
        <v>1498</v>
      </c>
      <c r="E10388" s="12" t="s">
        <v>111</v>
      </c>
      <c r="F10388" s="5" t="s">
        <v>112</v>
      </c>
      <c r="G10388" s="6" t="str">
        <f>VLOOKUP(E10388,dicionario!$A$1:$C10787,2,0)</f>
        <v>Trigona spinipes</v>
      </c>
      <c r="H10388" s="6" t="str">
        <f>VLOOKUP(E10388,dicionario!$A$1:$C10787,3,0)</f>
        <v>abelha-cachorro</v>
      </c>
    </row>
    <row r="10389">
      <c r="A10389" s="3">
        <v>45806.0</v>
      </c>
      <c r="B10389" s="4">
        <v>0.3333333333333333</v>
      </c>
      <c r="C10389" s="5" t="s">
        <v>8</v>
      </c>
      <c r="D10389" s="5" t="s">
        <v>1498</v>
      </c>
      <c r="E10389" s="8" t="s">
        <v>245</v>
      </c>
      <c r="F10389" s="5" t="s">
        <v>246</v>
      </c>
      <c r="G10389" s="6" t="str">
        <f>VLOOKUP(E10389,dicionario!$A$1:$C10788,2,0)</f>
        <v>Hemiargus hanno</v>
      </c>
      <c r="H10389" s="6" t="str">
        <f>VLOOKUP(E10389,dicionario!$A$1:$C10788,3,0)</f>
        <v>borboleta-azulzinha-do-trevo</v>
      </c>
    </row>
    <row r="10390">
      <c r="A10390" s="3">
        <v>45806.0</v>
      </c>
      <c r="B10390" s="4">
        <v>0.33402777777777776</v>
      </c>
      <c r="C10390" s="5" t="s">
        <v>8</v>
      </c>
      <c r="D10390" s="5" t="s">
        <v>1498</v>
      </c>
      <c r="E10390" s="8" t="s">
        <v>909</v>
      </c>
      <c r="F10390" s="5" t="s">
        <v>910</v>
      </c>
      <c r="G10390" s="6" t="str">
        <f>VLOOKUP(E10390,dicionario!$A$1:$C10789,2,0)</f>
        <v>Chordeiles acutipennis</v>
      </c>
      <c r="H10390" s="6" t="str">
        <f>VLOOKUP(E10390,dicionario!$A$1:$C10789,3,0)</f>
        <v>bacurau-de-asa-fina</v>
      </c>
    </row>
    <row r="10391">
      <c r="A10391" s="3">
        <v>45806.0</v>
      </c>
      <c r="B10391" s="4">
        <v>0.33402777777777776</v>
      </c>
      <c r="C10391" s="5" t="s">
        <v>8</v>
      </c>
      <c r="D10391" s="5" t="s">
        <v>1498</v>
      </c>
      <c r="E10391" s="8" t="s">
        <v>980</v>
      </c>
      <c r="F10391" s="5" t="s">
        <v>414</v>
      </c>
      <c r="G10391" s="6" t="str">
        <f>VLOOKUP(E10391,dicionario!$A$1:$C10790,2,0)</f>
        <v>#N/A</v>
      </c>
      <c r="H10391" s="6" t="str">
        <f>VLOOKUP(E10391,dicionario!$A$1:$C10790,3,0)</f>
        <v>#N/A</v>
      </c>
    </row>
    <row r="10392">
      <c r="A10392" s="3">
        <v>45806.0</v>
      </c>
      <c r="B10392" s="4">
        <v>0.33402777777777776</v>
      </c>
      <c r="C10392" s="5" t="s">
        <v>8</v>
      </c>
      <c r="D10392" s="5" t="s">
        <v>1498</v>
      </c>
      <c r="E10392" s="8" t="s">
        <v>258</v>
      </c>
      <c r="F10392" s="5" t="s">
        <v>259</v>
      </c>
      <c r="G10392" s="6" t="str">
        <f>VLOOKUP(E10392,dicionario!$A$1:$C10791,2,0)</f>
        <v>Lantana camara</v>
      </c>
      <c r="H10392" s="6" t="str">
        <f>VLOOKUP(E10392,dicionario!$A$1:$C10791,3,0)</f>
        <v>lantana</v>
      </c>
    </row>
    <row r="10393">
      <c r="A10393" s="3">
        <v>45806.0</v>
      </c>
      <c r="B10393" s="4">
        <v>0.33402777777777776</v>
      </c>
      <c r="C10393" s="5" t="s">
        <v>8</v>
      </c>
      <c r="D10393" s="5" t="s">
        <v>1498</v>
      </c>
      <c r="E10393" s="8" t="s">
        <v>360</v>
      </c>
      <c r="F10393" s="5" t="s">
        <v>361</v>
      </c>
      <c r="G10393" s="6" t="str">
        <f>VLOOKUP(E10393,dicionario!$A$1:$C10792,2,0)</f>
        <v>Chamaecrista rotundifolia</v>
      </c>
      <c r="H10393" s="6" t="str">
        <f>VLOOKUP(E10393,dicionario!$A$1:$C10792,3,0)</f>
        <v>alfafa-nativa</v>
      </c>
    </row>
    <row r="10394">
      <c r="A10394" s="3">
        <v>45806.0</v>
      </c>
      <c r="B10394" s="4">
        <v>0.33402777777777776</v>
      </c>
      <c r="C10394" s="5" t="s">
        <v>8</v>
      </c>
      <c r="D10394" s="5" t="s">
        <v>1498</v>
      </c>
      <c r="E10394" s="8" t="s">
        <v>286</v>
      </c>
      <c r="F10394" s="5" t="s">
        <v>287</v>
      </c>
      <c r="G10394" s="6" t="str">
        <f>VLOOKUP(E10394,dicionario!$A$1:$C10793,2,0)</f>
        <v>Setaria parviflora</v>
      </c>
      <c r="H10394" s="6" t="str">
        <f>VLOOKUP(E10394,dicionario!$A$1:$C10793,3,0)</f>
        <v>capim-rabo-de-raposa</v>
      </c>
    </row>
    <row r="10395">
      <c r="A10395" s="3">
        <v>45806.0</v>
      </c>
      <c r="B10395" s="4">
        <v>0.3347222222222222</v>
      </c>
      <c r="C10395" s="5" t="s">
        <v>8</v>
      </c>
      <c r="D10395" s="5" t="s">
        <v>1498</v>
      </c>
      <c r="E10395" s="8" t="s">
        <v>227</v>
      </c>
      <c r="F10395" s="5" t="s">
        <v>228</v>
      </c>
      <c r="G10395" s="6" t="str">
        <f>VLOOKUP(E10395,dicionario!$A$1:$C10794,2,0)</f>
        <v>Indigofera hirsuta</v>
      </c>
      <c r="H10395" s="6" t="str">
        <f>VLOOKUP(E10395,dicionario!$A$1:$C10794,3,0)</f>
        <v>anileira</v>
      </c>
    </row>
    <row r="10396">
      <c r="A10396" s="3">
        <v>45806.0</v>
      </c>
      <c r="B10396" s="4">
        <v>0.3347222222222222</v>
      </c>
      <c r="C10396" s="5" t="s">
        <v>8</v>
      </c>
      <c r="D10396" s="5" t="s">
        <v>1498</v>
      </c>
      <c r="E10396" s="8" t="s">
        <v>1367</v>
      </c>
      <c r="F10396" s="5" t="s">
        <v>387</v>
      </c>
      <c r="G10396" s="6" t="str">
        <f>VLOOKUP(E10396,dicionario!$A$1:$C10795,2,0)</f>
        <v>#N/A</v>
      </c>
      <c r="H10396" s="6" t="str">
        <f>VLOOKUP(E10396,dicionario!$A$1:$C10795,3,0)</f>
        <v>#N/A</v>
      </c>
    </row>
    <row r="10397">
      <c r="A10397" s="3">
        <v>45806.0</v>
      </c>
      <c r="B10397" s="4">
        <v>0.3347222222222222</v>
      </c>
      <c r="C10397" s="5" t="s">
        <v>8</v>
      </c>
      <c r="D10397" s="5" t="s">
        <v>1498</v>
      </c>
      <c r="E10397" s="8" t="s">
        <v>1084</v>
      </c>
      <c r="F10397" s="5" t="s">
        <v>224</v>
      </c>
      <c r="G10397" s="6" t="str">
        <f>VLOOKUP(E10397,dicionario!$A$1:$C10796,2,0)</f>
        <v>#N/A</v>
      </c>
      <c r="H10397" s="6" t="str">
        <f>VLOOKUP(E10397,dicionario!$A$1:$C10796,3,0)</f>
        <v>#N/A</v>
      </c>
    </row>
    <row r="10398">
      <c r="A10398" s="3">
        <v>45806.0</v>
      </c>
      <c r="B10398" s="4">
        <v>0.33541666666666664</v>
      </c>
      <c r="C10398" s="5" t="s">
        <v>8</v>
      </c>
      <c r="D10398" s="5" t="s">
        <v>1498</v>
      </c>
      <c r="E10398" s="8" t="s">
        <v>1008</v>
      </c>
      <c r="F10398" s="5" t="s">
        <v>1013</v>
      </c>
      <c r="G10398" s="6" t="str">
        <f>VLOOKUP(E10398,dicionario!$A$1:$C10797,2,0)</f>
        <v>Syntermes molestus</v>
      </c>
      <c r="H10398" s="6" t="str">
        <f>VLOOKUP(E10398,dicionario!$A$1:$C10797,3,0)</f>
        <v>cupim-bate-cabeça</v>
      </c>
    </row>
    <row r="10399">
      <c r="A10399" s="3">
        <v>45806.0</v>
      </c>
      <c r="B10399" s="4">
        <v>0.33541666666666664</v>
      </c>
      <c r="C10399" s="5" t="s">
        <v>8</v>
      </c>
      <c r="D10399" s="5" t="s">
        <v>1498</v>
      </c>
      <c r="E10399" s="8" t="s">
        <v>631</v>
      </c>
      <c r="F10399" s="5" t="s">
        <v>632</v>
      </c>
      <c r="G10399" s="6" t="str">
        <f>VLOOKUP(E10399,dicionario!$A$1:$C10798,2,0)</f>
        <v>Chamaecrista nictitans</v>
      </c>
      <c r="H10399" s="6" t="str">
        <f>VLOOKUP(E10399,dicionario!$A$1:$C10798,3,0)</f>
        <v>falsa-dormideira</v>
      </c>
    </row>
    <row r="10400">
      <c r="A10400" s="3">
        <v>45806.0</v>
      </c>
      <c r="B10400" s="4">
        <v>0.33541666666666664</v>
      </c>
      <c r="C10400" s="5" t="s">
        <v>8</v>
      </c>
      <c r="D10400" s="5" t="s">
        <v>1498</v>
      </c>
      <c r="E10400" s="8" t="s">
        <v>113</v>
      </c>
      <c r="F10400" s="5" t="s">
        <v>114</v>
      </c>
      <c r="G10400" s="6" t="str">
        <f>VLOOKUP(E10400,dicionario!$A$1:$C10799,2,0)</f>
        <v>Columbina talpacoti</v>
      </c>
      <c r="H10400" s="6" t="str">
        <f>VLOOKUP(E10400,dicionario!$A$1:$C10799,3,0)</f>
        <v>rolinha-roxa</v>
      </c>
    </row>
    <row r="10401">
      <c r="A10401" s="3">
        <v>45806.0</v>
      </c>
      <c r="B10401" s="4">
        <v>0.33541666666666664</v>
      </c>
      <c r="C10401" s="5" t="s">
        <v>8</v>
      </c>
      <c r="D10401" s="5" t="s">
        <v>1498</v>
      </c>
      <c r="E10401" s="8" t="s">
        <v>105</v>
      </c>
      <c r="F10401" s="5" t="s">
        <v>106</v>
      </c>
      <c r="G10401" s="6" t="str">
        <f>VLOOKUP(E10401,dicionario!$A$1:$C10800,2,0)</f>
        <v>Progne tapera</v>
      </c>
      <c r="H10401" s="6" t="str">
        <f>VLOOKUP(E10401,dicionario!$A$1:$C10800,3,0)</f>
        <v>andorinha-do-campo</v>
      </c>
    </row>
    <row r="10402">
      <c r="A10402" s="3">
        <v>45806.0</v>
      </c>
      <c r="B10402" s="4">
        <v>0.33611111111111114</v>
      </c>
      <c r="C10402" s="5" t="s">
        <v>8</v>
      </c>
      <c r="D10402" s="5" t="s">
        <v>1498</v>
      </c>
      <c r="E10402" s="8" t="s">
        <v>191</v>
      </c>
      <c r="F10402" s="5" t="s">
        <v>192</v>
      </c>
      <c r="G10402" s="6" t="str">
        <f>VLOOKUP(E10402,dicionario!$A$1:$C10801,2,0)</f>
        <v>Patagioenas picazuro</v>
      </c>
      <c r="H10402" s="6" t="str">
        <f>VLOOKUP(E10402,dicionario!$A$1:$C10801,3,0)</f>
        <v>asa-branca; pomba-asa-branca; pocaçu</v>
      </c>
    </row>
    <row r="10403">
      <c r="A10403" s="3">
        <v>45806.0</v>
      </c>
      <c r="B10403" s="4">
        <v>0.3368055555555556</v>
      </c>
      <c r="C10403" s="5" t="s">
        <v>8</v>
      </c>
      <c r="D10403" s="5" t="s">
        <v>1498</v>
      </c>
      <c r="E10403" s="8" t="s">
        <v>1087</v>
      </c>
      <c r="F10403" s="5" t="s">
        <v>1088</v>
      </c>
      <c r="G10403" s="6" t="str">
        <f>VLOOKUP(E10403,dicionario!$A$1:$C10802,2,0)</f>
        <v>Desmodium triflorum</v>
      </c>
      <c r="H10403" s="6" t="str">
        <f>VLOOKUP(E10403,dicionario!$A$1:$C10802,3,0)</f>
        <v/>
      </c>
    </row>
    <row r="10404">
      <c r="A10404" s="3">
        <v>45806.0</v>
      </c>
      <c r="B10404" s="4">
        <v>0.3375</v>
      </c>
      <c r="C10404" s="5" t="s">
        <v>8</v>
      </c>
      <c r="D10404" s="5" t="s">
        <v>1498</v>
      </c>
      <c r="E10404" s="30" t="s">
        <v>1517</v>
      </c>
      <c r="F10404" s="7"/>
      <c r="G10404" s="6" t="str">
        <f>VLOOKUP(E10404,dicionario!$A$1:$C10803,2,0)</f>
        <v>#N/A</v>
      </c>
      <c r="H10404" s="6" t="str">
        <f>VLOOKUP(E10404,dicionario!$A$1:$C10803,3,0)</f>
        <v>#N/A</v>
      </c>
    </row>
    <row r="10405">
      <c r="A10405" s="3">
        <v>45806.0</v>
      </c>
      <c r="B10405" s="4">
        <v>0.33819444444444446</v>
      </c>
      <c r="C10405" s="5" t="s">
        <v>8</v>
      </c>
      <c r="D10405" s="5" t="s">
        <v>1498</v>
      </c>
      <c r="E10405" s="8" t="s">
        <v>271</v>
      </c>
      <c r="F10405" s="5" t="s">
        <v>272</v>
      </c>
      <c r="G10405" s="6" t="str">
        <f>VLOOKUP(E10405,dicionario!$A$1:$C10804,2,0)</f>
        <v>Cyanthillium cinereum</v>
      </c>
      <c r="H10405" s="6" t="str">
        <f>VLOOKUP(E10405,dicionario!$A$1:$C10804,3,0)</f>
        <v>emília</v>
      </c>
    </row>
    <row r="10406">
      <c r="A10406" s="3">
        <v>45806.0</v>
      </c>
      <c r="B10406" s="4">
        <v>0.33958333333333335</v>
      </c>
      <c r="C10406" s="5" t="s">
        <v>8</v>
      </c>
      <c r="D10406" s="5" t="s">
        <v>1498</v>
      </c>
      <c r="E10406" s="8" t="s">
        <v>72</v>
      </c>
      <c r="F10406" s="5" t="s">
        <v>73</v>
      </c>
      <c r="G10406" s="6" t="str">
        <f>VLOOKUP(E10406,dicionario!$A$1:$C10805,2,0)</f>
        <v>Thraupis palmarum</v>
      </c>
      <c r="H10406" s="6" t="str">
        <f>VLOOKUP(E10406,dicionario!$A$1:$C10805,3,0)</f>
        <v>sanhaço-do-coqueiro</v>
      </c>
    </row>
    <row r="10407">
      <c r="A10407" s="3">
        <v>45813.0</v>
      </c>
      <c r="B10407" s="4">
        <v>0.26319444444444445</v>
      </c>
      <c r="C10407" s="5" t="s">
        <v>8</v>
      </c>
      <c r="D10407" s="5" t="s">
        <v>1518</v>
      </c>
      <c r="E10407" s="8" t="s">
        <v>88</v>
      </c>
      <c r="F10407" s="5" t="s">
        <v>89</v>
      </c>
      <c r="G10407" s="6" t="str">
        <f>VLOOKUP(E10407,dicionario!$A$1:$C10806,2,0)</f>
        <v>Tyrannus melancolichus</v>
      </c>
      <c r="H10407" s="6" t="str">
        <f>VLOOKUP(E10407,dicionario!$A$1:$C10806,3,0)</f>
        <v>suiriri</v>
      </c>
    </row>
    <row r="10408">
      <c r="A10408" s="3">
        <v>45813.0</v>
      </c>
      <c r="B10408" s="4">
        <v>0.26319444444444445</v>
      </c>
      <c r="C10408" s="5" t="s">
        <v>8</v>
      </c>
      <c r="D10408" s="5" t="s">
        <v>1518</v>
      </c>
      <c r="E10408" s="8" t="s">
        <v>154</v>
      </c>
      <c r="F10408" s="5" t="s">
        <v>155</v>
      </c>
      <c r="G10408" s="6" t="str">
        <f>VLOOKUP(E10408,dicionario!$A$1:$C10807,2,0)</f>
        <v>Cyperus rotundus</v>
      </c>
      <c r="H10408" s="6" t="str">
        <f>VLOOKUP(E10408,dicionario!$A$1:$C10807,3,0)</f>
        <v>tiririca</v>
      </c>
    </row>
    <row r="10409">
      <c r="A10409" s="3">
        <v>45813.0</v>
      </c>
      <c r="B10409" s="4">
        <v>0.26319444444444445</v>
      </c>
      <c r="C10409" s="5" t="s">
        <v>8</v>
      </c>
      <c r="D10409" s="5" t="s">
        <v>1518</v>
      </c>
      <c r="E10409" s="8" t="s">
        <v>253</v>
      </c>
      <c r="F10409" s="5" t="s">
        <v>254</v>
      </c>
      <c r="G10409" s="6" t="str">
        <f>VLOOKUP(E10409,dicionario!$A$1:$C10808,2,0)</f>
        <v>Panicum maximum</v>
      </c>
      <c r="H10409" s="6" t="str">
        <f>VLOOKUP(E10409,dicionario!$A$1:$C10808,3,0)</f>
        <v>capim-colonião</v>
      </c>
    </row>
    <row r="10410">
      <c r="A10410" s="3">
        <v>45813.0</v>
      </c>
      <c r="B10410" s="4">
        <v>0.2638888888888889</v>
      </c>
      <c r="C10410" s="5" t="s">
        <v>8</v>
      </c>
      <c r="D10410" s="5" t="s">
        <v>1518</v>
      </c>
      <c r="E10410" s="8" t="s">
        <v>1084</v>
      </c>
      <c r="F10410" s="5" t="s">
        <v>224</v>
      </c>
      <c r="G10410" s="6" t="str">
        <f>VLOOKUP(E10410,dicionario!$A$1:$C10809,2,0)</f>
        <v>#N/A</v>
      </c>
      <c r="H10410" s="6" t="str">
        <f>VLOOKUP(E10410,dicionario!$A$1:$C10809,3,0)</f>
        <v>#N/A</v>
      </c>
    </row>
    <row r="10411">
      <c r="A10411" s="3">
        <v>45813.0</v>
      </c>
      <c r="B10411" s="4">
        <v>0.2638888888888889</v>
      </c>
      <c r="C10411" s="5" t="s">
        <v>8</v>
      </c>
      <c r="D10411" s="5" t="s">
        <v>1518</v>
      </c>
      <c r="E10411" s="8" t="s">
        <v>453</v>
      </c>
      <c r="F10411" s="5" t="s">
        <v>216</v>
      </c>
      <c r="G10411" s="6" t="str">
        <f>VLOOKUP(E10411,dicionario!$A$1:$C10810,2,0)</f>
        <v>Notiochelidon cyanoleuca</v>
      </c>
      <c r="H10411" s="6" t="str">
        <f>VLOOKUP(E10411,dicionario!$A$1:$C10810,3,0)</f>
        <v>andorinha-pequena-de-casa</v>
      </c>
    </row>
    <row r="10412">
      <c r="A10412" s="3">
        <v>45813.0</v>
      </c>
      <c r="B10412" s="4">
        <v>0.2638888888888889</v>
      </c>
      <c r="C10412" s="5" t="s">
        <v>8</v>
      </c>
      <c r="D10412" s="5" t="s">
        <v>1518</v>
      </c>
      <c r="E10412" s="8" t="s">
        <v>65</v>
      </c>
      <c r="F10412" s="5" t="s">
        <v>66</v>
      </c>
      <c r="G10412" s="6" t="str">
        <f>VLOOKUP(E10412,dicionario!$A$1:$C10811,2,0)</f>
        <v>Pitangus sulphutarus</v>
      </c>
      <c r="H10412" s="6" t="str">
        <f>VLOOKUP(E10412,dicionario!$A$1:$C10811,3,0)</f>
        <v>bem-te-vi</v>
      </c>
    </row>
    <row r="10413">
      <c r="A10413" s="3">
        <v>45813.0</v>
      </c>
      <c r="B10413" s="4">
        <v>0.26458333333333334</v>
      </c>
      <c r="C10413" s="5" t="s">
        <v>8</v>
      </c>
      <c r="D10413" s="5" t="s">
        <v>1518</v>
      </c>
      <c r="E10413" s="8" t="s">
        <v>1519</v>
      </c>
      <c r="F10413" s="5" t="s">
        <v>1520</v>
      </c>
      <c r="G10413" s="6" t="str">
        <f>VLOOKUP(E10413,dicionario!$A$1:$C10812,2,0)</f>
        <v>#N/A</v>
      </c>
      <c r="H10413" s="6" t="str">
        <f>VLOOKUP(E10413,dicionario!$A$1:$C10812,3,0)</f>
        <v>#N/A</v>
      </c>
    </row>
    <row r="10414">
      <c r="A10414" s="3">
        <v>45813.0</v>
      </c>
      <c r="B10414" s="4">
        <v>0.26458333333333334</v>
      </c>
      <c r="C10414" s="5" t="s">
        <v>8</v>
      </c>
      <c r="D10414" s="5" t="s">
        <v>1518</v>
      </c>
      <c r="E10414" s="8" t="s">
        <v>113</v>
      </c>
      <c r="F10414" s="5" t="s">
        <v>114</v>
      </c>
      <c r="G10414" s="6" t="str">
        <f>VLOOKUP(E10414,dicionario!$A$1:$C10813,2,0)</f>
        <v>Columbina talpacoti</v>
      </c>
      <c r="H10414" s="6" t="str">
        <f>VLOOKUP(E10414,dicionario!$A$1:$C10813,3,0)</f>
        <v>rolinha-roxa</v>
      </c>
    </row>
    <row r="10415">
      <c r="A10415" s="3">
        <v>45813.0</v>
      </c>
      <c r="B10415" s="4">
        <v>0.26458333333333334</v>
      </c>
      <c r="C10415" s="5" t="s">
        <v>8</v>
      </c>
      <c r="D10415" s="5" t="s">
        <v>1518</v>
      </c>
      <c r="E10415" s="8" t="s">
        <v>1521</v>
      </c>
      <c r="F10415" s="5" t="s">
        <v>42</v>
      </c>
      <c r="G10415" s="6" t="str">
        <f>VLOOKUP(E10415,dicionario!$A$1:$C10814,2,0)</f>
        <v>#N/A</v>
      </c>
      <c r="H10415" s="6" t="str">
        <f>VLOOKUP(E10415,dicionario!$A$1:$C10814,3,0)</f>
        <v>#N/A</v>
      </c>
    </row>
    <row r="10416">
      <c r="A10416" s="3">
        <v>45813.0</v>
      </c>
      <c r="B10416" s="4">
        <v>0.26458333333333334</v>
      </c>
      <c r="C10416" s="5" t="s">
        <v>8</v>
      </c>
      <c r="D10416" s="5" t="s">
        <v>1518</v>
      </c>
      <c r="E10416" s="8" t="s">
        <v>20</v>
      </c>
      <c r="F10416" s="5" t="s">
        <v>21</v>
      </c>
      <c r="G10416" s="6" t="str">
        <f>VLOOKUP(E10416,dicionario!$A$1:$C10815,2,0)</f>
        <v>Sicalis flaveola</v>
      </c>
      <c r="H10416" s="6" t="str">
        <f>VLOOKUP(E10416,dicionario!$A$1:$C10815,3,0)</f>
        <v>canário-da-terra</v>
      </c>
    </row>
    <row r="10417">
      <c r="A10417" s="3">
        <v>45813.0</v>
      </c>
      <c r="B10417" s="4">
        <v>0.26458333333333334</v>
      </c>
      <c r="C10417" s="5" t="s">
        <v>8</v>
      </c>
      <c r="D10417" s="5" t="s">
        <v>1518</v>
      </c>
      <c r="E10417" s="8" t="s">
        <v>60</v>
      </c>
      <c r="F10417" s="5" t="s">
        <v>61</v>
      </c>
      <c r="G10417" s="6" t="str">
        <f>VLOOKUP(E10417,dicionario!$A$1:$C10816,2,0)</f>
        <v>Vanellus chilensis</v>
      </c>
      <c r="H10417" s="6" t="str">
        <f>VLOOKUP(E10417,dicionario!$A$1:$C10816,3,0)</f>
        <v>quero-quero</v>
      </c>
    </row>
    <row r="10418">
      <c r="A10418" s="3">
        <v>45813.0</v>
      </c>
      <c r="B10418" s="4">
        <v>0.2652777777777778</v>
      </c>
      <c r="C10418" s="5" t="s">
        <v>8</v>
      </c>
      <c r="D10418" s="5" t="s">
        <v>1518</v>
      </c>
      <c r="E10418" s="12" t="s">
        <v>243</v>
      </c>
      <c r="F10418" s="5" t="s">
        <v>244</v>
      </c>
      <c r="G10418" s="6" t="str">
        <f>VLOOKUP(E10418,dicionario!$A$1:$C10817,2,0)</f>
        <v>Macroptilium atropurpureum</v>
      </c>
      <c r="H10418" s="6" t="str">
        <f>VLOOKUP(E10418,dicionario!$A$1:$C10817,3,0)</f>
        <v>feijão-de-pombo</v>
      </c>
    </row>
    <row r="10419">
      <c r="A10419" s="3">
        <v>45813.0</v>
      </c>
      <c r="B10419" s="4">
        <v>0.2652777777777778</v>
      </c>
      <c r="C10419" s="5" t="s">
        <v>8</v>
      </c>
      <c r="D10419" s="5" t="s">
        <v>1518</v>
      </c>
      <c r="E10419" s="8" t="s">
        <v>105</v>
      </c>
      <c r="F10419" s="5" t="s">
        <v>106</v>
      </c>
      <c r="G10419" s="6" t="str">
        <f>VLOOKUP(E10419,dicionario!$A$1:$C10818,2,0)</f>
        <v>Progne tapera</v>
      </c>
      <c r="H10419" s="6" t="str">
        <f>VLOOKUP(E10419,dicionario!$A$1:$C10818,3,0)</f>
        <v>andorinha-do-campo</v>
      </c>
    </row>
    <row r="10420">
      <c r="A10420" s="3">
        <v>45813.0</v>
      </c>
      <c r="B10420" s="4">
        <v>0.2652777777777778</v>
      </c>
      <c r="C10420" s="5" t="s">
        <v>8</v>
      </c>
      <c r="D10420" s="5" t="s">
        <v>1518</v>
      </c>
      <c r="E10420" s="8" t="s">
        <v>1367</v>
      </c>
      <c r="F10420" s="5" t="s">
        <v>387</v>
      </c>
      <c r="G10420" s="6" t="str">
        <f>VLOOKUP(E10420,dicionario!$A$1:$C10819,2,0)</f>
        <v>#N/A</v>
      </c>
      <c r="H10420" s="6" t="str">
        <f>VLOOKUP(E10420,dicionario!$A$1:$C10819,3,0)</f>
        <v>#N/A</v>
      </c>
    </row>
    <row r="10421">
      <c r="A10421" s="3">
        <v>45813.0</v>
      </c>
      <c r="B10421" s="4">
        <v>0.2659722222222222</v>
      </c>
      <c r="C10421" s="5" t="s">
        <v>8</v>
      </c>
      <c r="D10421" s="5" t="s">
        <v>1518</v>
      </c>
      <c r="E10421" s="8" t="s">
        <v>1280</v>
      </c>
      <c r="F10421" s="5" t="s">
        <v>1156</v>
      </c>
      <c r="G10421" s="6" t="str">
        <f>VLOOKUP(E10421,dicionario!$A$1:$C10820,2,0)</f>
        <v>Paspalum notatum</v>
      </c>
      <c r="H10421" s="6" t="str">
        <f>VLOOKUP(E10421,dicionario!$A$1:$C10820,3,0)</f>
        <v>capim-forquilha</v>
      </c>
    </row>
    <row r="10422">
      <c r="A10422" s="3">
        <v>45813.0</v>
      </c>
      <c r="B10422" s="4">
        <v>0.2659722222222222</v>
      </c>
      <c r="C10422" s="5" t="s">
        <v>8</v>
      </c>
      <c r="D10422" s="5" t="s">
        <v>1518</v>
      </c>
      <c r="E10422" s="8" t="s">
        <v>286</v>
      </c>
      <c r="F10422" s="5" t="s">
        <v>287</v>
      </c>
      <c r="G10422" s="6" t="str">
        <f>VLOOKUP(E10422,dicionario!$A$1:$C10821,2,0)</f>
        <v>Setaria parviflora</v>
      </c>
      <c r="H10422" s="6" t="str">
        <f>VLOOKUP(E10422,dicionario!$A$1:$C10821,3,0)</f>
        <v>capim-rabo-de-raposa</v>
      </c>
    </row>
    <row r="10423">
      <c r="A10423" s="3">
        <v>45813.0</v>
      </c>
      <c r="B10423" s="4">
        <v>0.2659722222222222</v>
      </c>
      <c r="C10423" s="5" t="s">
        <v>8</v>
      </c>
      <c r="D10423" s="5" t="s">
        <v>1518</v>
      </c>
      <c r="E10423" s="8" t="s">
        <v>909</v>
      </c>
      <c r="F10423" s="5" t="s">
        <v>910</v>
      </c>
      <c r="G10423" s="6" t="str">
        <f>VLOOKUP(E10423,dicionario!$A$1:$C10822,2,0)</f>
        <v>Chordeiles acutipennis</v>
      </c>
      <c r="H10423" s="6" t="str">
        <f>VLOOKUP(E10423,dicionario!$A$1:$C10822,3,0)</f>
        <v>bacurau-de-asa-fina</v>
      </c>
    </row>
    <row r="10424">
      <c r="A10424" s="3">
        <v>45813.0</v>
      </c>
      <c r="B10424" s="4">
        <v>0.2659722222222222</v>
      </c>
      <c r="C10424" s="5" t="s">
        <v>8</v>
      </c>
      <c r="D10424" s="5" t="s">
        <v>1518</v>
      </c>
      <c r="E10424" s="8" t="s">
        <v>163</v>
      </c>
      <c r="F10424" s="5" t="s">
        <v>164</v>
      </c>
      <c r="G10424" s="6" t="str">
        <f>VLOOKUP(E10424,dicionario!$A$1:$C10823,2,0)</f>
        <v>Coragyps atratus</v>
      </c>
      <c r="H10424" s="6" t="str">
        <f>VLOOKUP(E10424,dicionario!$A$1:$C10823,3,0)</f>
        <v>urubu-de-cabeça-preta</v>
      </c>
    </row>
    <row r="10425">
      <c r="A10425" s="3">
        <v>45813.0</v>
      </c>
      <c r="B10425" s="4">
        <v>0.26666666666666666</v>
      </c>
      <c r="C10425" s="5" t="s">
        <v>8</v>
      </c>
      <c r="D10425" s="5" t="s">
        <v>1518</v>
      </c>
      <c r="E10425" s="8" t="s">
        <v>122</v>
      </c>
      <c r="F10425" s="5" t="s">
        <v>123</v>
      </c>
      <c r="G10425" s="6" t="str">
        <f>VLOOKUP(E10425,dicionario!$A$1:$C10824,2,0)</f>
        <v>Todirostrum cinereum</v>
      </c>
      <c r="H10425" s="6" t="str">
        <f>VLOOKUP(E10425,dicionario!$A$1:$C10824,3,0)</f>
        <v>ferreirinho-relógio</v>
      </c>
    </row>
    <row r="10426">
      <c r="A10426" s="3">
        <v>45813.0</v>
      </c>
      <c r="B10426" s="4">
        <v>0.26666666666666666</v>
      </c>
      <c r="C10426" s="5" t="s">
        <v>8</v>
      </c>
      <c r="D10426" s="5" t="s">
        <v>1518</v>
      </c>
      <c r="E10426" s="8" t="s">
        <v>719</v>
      </c>
      <c r="F10426" s="5" t="s">
        <v>720</v>
      </c>
      <c r="G10426" s="6" t="str">
        <f>VLOOKUP(E10426,dicionario!$A$1:$C10825,2,0)</f>
        <v>Dirinaria</v>
      </c>
      <c r="H10426" s="6" t="str">
        <f>VLOOKUP(E10426,dicionario!$A$1:$C10825,3,0)</f>
        <v>líquen-crostoso</v>
      </c>
    </row>
    <row r="10427">
      <c r="A10427" s="3">
        <v>45813.0</v>
      </c>
      <c r="B10427" s="4">
        <v>0.26666666666666666</v>
      </c>
      <c r="C10427" s="5" t="s">
        <v>8</v>
      </c>
      <c r="D10427" s="5" t="s">
        <v>1518</v>
      </c>
      <c r="E10427" s="8" t="s">
        <v>712</v>
      </c>
      <c r="F10427" s="5" t="s">
        <v>718</v>
      </c>
      <c r="G10427" s="6" t="str">
        <f>VLOOKUP(E10427,dicionario!$A$1:$C10826,2,0)</f>
        <v>Flavopunctelia soredica</v>
      </c>
      <c r="H10427" s="6" t="str">
        <f>VLOOKUP(E10427,dicionario!$A$1:$C10826,3,0)</f>
        <v>líquen-folioso</v>
      </c>
    </row>
    <row r="10428">
      <c r="A10428" s="3">
        <v>45813.0</v>
      </c>
      <c r="B10428" s="4">
        <v>0.2673611111111111</v>
      </c>
      <c r="C10428" s="5" t="s">
        <v>8</v>
      </c>
      <c r="D10428" s="5" t="s">
        <v>1518</v>
      </c>
      <c r="E10428" s="8" t="s">
        <v>639</v>
      </c>
      <c r="F10428" s="5" t="s">
        <v>640</v>
      </c>
      <c r="G10428" s="6" t="str">
        <f>VLOOKUP(E10428,dicionario!$A$1:$C10827,2,0)</f>
        <v>Egretta thula</v>
      </c>
      <c r="H10428" s="6" t="str">
        <f>VLOOKUP(E10428,dicionario!$A$1:$C10827,3,0)</f>
        <v>garça-branca-pequena</v>
      </c>
    </row>
    <row r="10429">
      <c r="A10429" s="3">
        <v>45813.0</v>
      </c>
      <c r="B10429" s="4">
        <v>0.26805555555555555</v>
      </c>
      <c r="C10429" s="5" t="s">
        <v>8</v>
      </c>
      <c r="D10429" s="5" t="s">
        <v>1518</v>
      </c>
      <c r="E10429" s="8" t="s">
        <v>22</v>
      </c>
      <c r="F10429" s="5" t="s">
        <v>97</v>
      </c>
      <c r="G10429" s="6" t="str">
        <f>VLOOKUP(E10429,dicionario!$A$1:$C10828,2,0)</f>
        <v>Zenaida auriculata</v>
      </c>
      <c r="H10429" s="6" t="str">
        <f>VLOOKUP(E10429,dicionario!$A$1:$C10828,3,0)</f>
        <v>pomba-de-bando; avoante</v>
      </c>
    </row>
    <row r="10430">
      <c r="A10430" s="3">
        <v>45813.0</v>
      </c>
      <c r="B10430" s="4">
        <v>0.26805555555555555</v>
      </c>
      <c r="C10430" s="5" t="s">
        <v>8</v>
      </c>
      <c r="D10430" s="5" t="s">
        <v>1518</v>
      </c>
      <c r="E10430" s="6" t="s">
        <v>93</v>
      </c>
      <c r="F10430" s="5" t="s">
        <v>570</v>
      </c>
      <c r="G10430" s="6" t="str">
        <f>VLOOKUP(E10430,dicionario!$A$1:$C10829,2,0)</f>
        <v>Thraupis sayaca</v>
      </c>
      <c r="H10430" s="6" t="str">
        <f>VLOOKUP(E10430,dicionario!$A$1:$C10829,3,0)</f>
        <v>sanhaçu-cinzento</v>
      </c>
    </row>
    <row r="10431">
      <c r="A10431" s="3">
        <v>45813.0</v>
      </c>
      <c r="B10431" s="4">
        <v>0.26805555555555555</v>
      </c>
      <c r="C10431" s="5" t="s">
        <v>8</v>
      </c>
      <c r="D10431" s="5" t="s">
        <v>1518</v>
      </c>
      <c r="E10431" s="8" t="s">
        <v>200</v>
      </c>
      <c r="F10431" s="5" t="s">
        <v>201</v>
      </c>
      <c r="G10431" s="6" t="str">
        <f>VLOOKUP(E10431,dicionario!$A$1:$C10830,2,0)</f>
        <v>Columbina picui </v>
      </c>
      <c r="H10431" s="6" t="str">
        <f>VLOOKUP(E10431,dicionario!$A$1:$C10830,3,0)</f>
        <v>rolinha-picuí</v>
      </c>
    </row>
    <row r="10432">
      <c r="A10432" s="3">
        <v>45813.0</v>
      </c>
      <c r="B10432" s="4">
        <v>0.26805555555555555</v>
      </c>
      <c r="C10432" s="5" t="s">
        <v>8</v>
      </c>
      <c r="D10432" s="5" t="s">
        <v>1518</v>
      </c>
      <c r="E10432" s="8" t="s">
        <v>177</v>
      </c>
      <c r="F10432" s="5" t="s">
        <v>178</v>
      </c>
      <c r="G10432" s="6" t="str">
        <f>VLOOKUP(E10432,dicionario!$A$1:$C10831,2,0)</f>
        <v>Elaenia flavogaster</v>
      </c>
      <c r="H10432" s="6" t="str">
        <f>VLOOKUP(E10432,dicionario!$A$1:$C10831,3,0)</f>
        <v>guaracava-de-barriga-amarela</v>
      </c>
    </row>
    <row r="10433">
      <c r="A10433" s="3">
        <v>45813.0</v>
      </c>
      <c r="B10433" s="4">
        <v>0.26805555555555555</v>
      </c>
      <c r="C10433" s="5" t="s">
        <v>8</v>
      </c>
      <c r="D10433" s="5" t="s">
        <v>1518</v>
      </c>
      <c r="E10433" s="8" t="s">
        <v>143</v>
      </c>
      <c r="F10433" s="5" t="s">
        <v>936</v>
      </c>
      <c r="G10433" s="6" t="str">
        <f>VLOOKUP(E10433,dicionario!$A$1:$C10832,2,0)</f>
        <v>Polybia</v>
      </c>
      <c r="H10433" s="6" t="str">
        <f>VLOOKUP(E10433,dicionario!$A$1:$C10832,3,0)</f>
        <v>vespa</v>
      </c>
    </row>
    <row r="10434">
      <c r="A10434" s="3">
        <v>45813.0</v>
      </c>
      <c r="B10434" s="4">
        <v>0.26875</v>
      </c>
      <c r="C10434" s="5" t="s">
        <v>8</v>
      </c>
      <c r="D10434" s="5" t="s">
        <v>1518</v>
      </c>
      <c r="E10434" s="8" t="s">
        <v>38</v>
      </c>
      <c r="F10434" s="5" t="s">
        <v>39</v>
      </c>
      <c r="G10434" s="6" t="str">
        <f>VLOOKUP(E10434,dicionario!$A$1:$C10833,2,0)</f>
        <v>Troglodytes musculus</v>
      </c>
      <c r="H10434" s="6" t="str">
        <f>VLOOKUP(E10434,dicionario!$A$1:$C10833,3,0)</f>
        <v>curruíra</v>
      </c>
    </row>
    <row r="10435">
      <c r="A10435" s="3">
        <v>45813.0</v>
      </c>
      <c r="B10435" s="4">
        <v>0.26875</v>
      </c>
      <c r="C10435" s="5" t="s">
        <v>8</v>
      </c>
      <c r="D10435" s="5" t="s">
        <v>1518</v>
      </c>
      <c r="E10435" s="8" t="s">
        <v>193</v>
      </c>
      <c r="F10435" s="5" t="s">
        <v>194</v>
      </c>
      <c r="G10435" s="6" t="str">
        <f>VLOOKUP(E10435,dicionario!$A$1:$C10834,2,0)</f>
        <v>Conirostrum speciosum</v>
      </c>
      <c r="H10435" s="6" t="str">
        <f>VLOOKUP(E10435,dicionario!$A$1:$C10834,3,0)</f>
        <v>figuinha-de-rabo-castanho</v>
      </c>
    </row>
    <row r="10436">
      <c r="A10436" s="3">
        <v>45813.0</v>
      </c>
      <c r="B10436" s="4">
        <v>0.26875</v>
      </c>
      <c r="C10436" s="5" t="s">
        <v>8</v>
      </c>
      <c r="D10436" s="5" t="s">
        <v>1518</v>
      </c>
      <c r="E10436" s="8" t="s">
        <v>72</v>
      </c>
      <c r="F10436" s="5" t="s">
        <v>73</v>
      </c>
      <c r="G10436" s="6" t="str">
        <f>VLOOKUP(E10436,dicionario!$A$1:$C10835,2,0)</f>
        <v>Thraupis palmarum</v>
      </c>
      <c r="H10436" s="6" t="str">
        <f>VLOOKUP(E10436,dicionario!$A$1:$C10835,3,0)</f>
        <v>sanhaço-do-coqueiro</v>
      </c>
    </row>
    <row r="10437">
      <c r="A10437" s="3">
        <v>45813.0</v>
      </c>
      <c r="B10437" s="4">
        <v>0.26944444444444443</v>
      </c>
      <c r="C10437" s="5" t="s">
        <v>8</v>
      </c>
      <c r="D10437" s="5" t="s">
        <v>1518</v>
      </c>
      <c r="E10437" s="8" t="s">
        <v>225</v>
      </c>
      <c r="F10437" s="5" t="s">
        <v>226</v>
      </c>
      <c r="G10437" s="6" t="str">
        <f>VLOOKUP(E10437,dicionario!$A$1:$C10836,2,0)</f>
        <v>Passer domesticus</v>
      </c>
      <c r="H10437" s="6" t="str">
        <f>VLOOKUP(E10437,dicionario!$A$1:$C10836,3,0)</f>
        <v>pardal</v>
      </c>
    </row>
    <row r="10438">
      <c r="A10438" s="3">
        <v>45813.0</v>
      </c>
      <c r="B10438" s="4">
        <v>0.26944444444444443</v>
      </c>
      <c r="C10438" s="5" t="s">
        <v>8</v>
      </c>
      <c r="D10438" s="5" t="s">
        <v>1518</v>
      </c>
      <c r="E10438" s="6" t="s">
        <v>86</v>
      </c>
      <c r="F10438" s="5" t="s">
        <v>502</v>
      </c>
      <c r="G10438" s="6" t="str">
        <f>VLOOKUP(E10438,dicionario!$A$1:$C10837,2,0)</f>
        <v>Coereba flaveola</v>
      </c>
      <c r="H10438" s="6" t="str">
        <f>VLOOKUP(E10438,dicionario!$A$1:$C10837,3,0)</f>
        <v>cambacica</v>
      </c>
    </row>
    <row r="10439">
      <c r="A10439" s="3">
        <v>45813.0</v>
      </c>
      <c r="B10439" s="4">
        <v>0.2701388888888889</v>
      </c>
      <c r="C10439" s="5" t="s">
        <v>8</v>
      </c>
      <c r="D10439" s="5" t="s">
        <v>1518</v>
      </c>
      <c r="E10439" s="8" t="s">
        <v>1310</v>
      </c>
      <c r="F10439" s="5" t="s">
        <v>521</v>
      </c>
      <c r="G10439" s="6" t="str">
        <f>VLOOKUP(E10439,dicionario!$A$1:$C10838,2,0)</f>
        <v>#N/A</v>
      </c>
      <c r="H10439" s="6" t="str">
        <f>VLOOKUP(E10439,dicionario!$A$1:$C10838,3,0)</f>
        <v>#N/A</v>
      </c>
    </row>
    <row r="10440">
      <c r="A10440" s="3">
        <v>45813.0</v>
      </c>
      <c r="B10440" s="4">
        <v>0.2701388888888889</v>
      </c>
      <c r="C10440" s="5" t="s">
        <v>8</v>
      </c>
      <c r="D10440" s="5" t="s">
        <v>1518</v>
      </c>
      <c r="E10440" s="6" t="s">
        <v>53</v>
      </c>
      <c r="F10440" s="5" t="s">
        <v>54</v>
      </c>
      <c r="G10440" s="6" t="str">
        <f>VLOOKUP(E10440,dicionario!$A$1:$C10839,2,0)</f>
        <v>Turnera subulata</v>
      </c>
      <c r="H10440" s="6" t="str">
        <f>VLOOKUP(E10440,dicionario!$A$1:$C10839,3,0)</f>
        <v>xanana</v>
      </c>
    </row>
    <row r="10441">
      <c r="A10441" s="3">
        <v>45813.0</v>
      </c>
      <c r="B10441" s="4">
        <v>0.2708333333333333</v>
      </c>
      <c r="C10441" s="5" t="s">
        <v>26</v>
      </c>
      <c r="D10441" s="5" t="s">
        <v>1518</v>
      </c>
      <c r="E10441" s="8" t="s">
        <v>217</v>
      </c>
      <c r="F10441" s="5" t="s">
        <v>218</v>
      </c>
      <c r="G10441" s="6" t="str">
        <f>VLOOKUP(E10441,dicionario!$A$1:$C10840,2,0)</f>
        <v>Athene cunicularia</v>
      </c>
      <c r="H10441" s="6" t="str">
        <f>VLOOKUP(E10441,dicionario!$A$1:$C10840,3,0)</f>
        <v>coruja-buraqueira</v>
      </c>
    </row>
    <row r="10442">
      <c r="A10442" s="3">
        <v>45813.0</v>
      </c>
      <c r="B10442" s="4">
        <v>0.2708333333333333</v>
      </c>
      <c r="C10442" s="5" t="s">
        <v>26</v>
      </c>
      <c r="D10442" s="5" t="s">
        <v>1518</v>
      </c>
      <c r="E10442" s="8" t="s">
        <v>60</v>
      </c>
      <c r="F10442" s="5" t="s">
        <v>61</v>
      </c>
      <c r="G10442" s="6" t="str">
        <f>VLOOKUP(E10442,dicionario!$A$1:$C10841,2,0)</f>
        <v>Vanellus chilensis</v>
      </c>
      <c r="H10442" s="6" t="str">
        <f>VLOOKUP(E10442,dicionario!$A$1:$C10841,3,0)</f>
        <v>quero-quero</v>
      </c>
    </row>
    <row r="10443">
      <c r="A10443" s="3">
        <v>45813.0</v>
      </c>
      <c r="B10443" s="4">
        <v>0.2708333333333333</v>
      </c>
      <c r="C10443" s="5" t="s">
        <v>26</v>
      </c>
      <c r="D10443" s="5" t="s">
        <v>1518</v>
      </c>
      <c r="E10443" s="8" t="s">
        <v>65</v>
      </c>
      <c r="F10443" s="5" t="s">
        <v>66</v>
      </c>
      <c r="G10443" s="6" t="str">
        <f>VLOOKUP(E10443,dicionario!$A$1:$C10842,2,0)</f>
        <v>Pitangus sulphutarus</v>
      </c>
      <c r="H10443" s="6" t="str">
        <f>VLOOKUP(E10443,dicionario!$A$1:$C10842,3,0)</f>
        <v>bem-te-vi</v>
      </c>
    </row>
    <row r="10444">
      <c r="A10444" s="3">
        <v>45813.0</v>
      </c>
      <c r="B10444" s="4">
        <v>0.2708333333333333</v>
      </c>
      <c r="C10444" s="5" t="s">
        <v>26</v>
      </c>
      <c r="D10444" s="5" t="s">
        <v>1518</v>
      </c>
      <c r="E10444" s="8" t="s">
        <v>158</v>
      </c>
      <c r="F10444" s="5" t="s">
        <v>159</v>
      </c>
      <c r="G10444" s="6" t="str">
        <f>VLOOKUP(E10444,dicionario!$A$1:$C10843,2,0)</f>
        <v>Nephilingis cruentata</v>
      </c>
      <c r="H10444" s="6" t="str">
        <f>VLOOKUP(E10444,dicionario!$A$1:$C10843,3,0)</f>
        <v>maria-bola</v>
      </c>
    </row>
    <row r="10445">
      <c r="A10445" s="3">
        <v>45813.0</v>
      </c>
      <c r="B10445" s="4">
        <v>0.2708333333333333</v>
      </c>
      <c r="C10445" s="5" t="s">
        <v>26</v>
      </c>
      <c r="D10445" s="5" t="s">
        <v>1518</v>
      </c>
      <c r="E10445" s="8" t="s">
        <v>20</v>
      </c>
      <c r="F10445" s="5" t="s">
        <v>21</v>
      </c>
      <c r="G10445" s="6" t="str">
        <f>VLOOKUP(E10445,dicionario!$A$1:$C10844,2,0)</f>
        <v>Sicalis flaveola</v>
      </c>
      <c r="H10445" s="6" t="str">
        <f>VLOOKUP(E10445,dicionario!$A$1:$C10844,3,0)</f>
        <v>canário-da-terra</v>
      </c>
    </row>
    <row r="10446">
      <c r="A10446" s="3">
        <v>45813.0</v>
      </c>
      <c r="B10446" s="4">
        <v>0.27152777777777776</v>
      </c>
      <c r="C10446" s="5" t="s">
        <v>26</v>
      </c>
      <c r="D10446" s="5" t="s">
        <v>1518</v>
      </c>
      <c r="E10446" s="20" t="s">
        <v>676</v>
      </c>
      <c r="F10446" s="5" t="s">
        <v>677</v>
      </c>
      <c r="G10446" s="6" t="str">
        <f>VLOOKUP(E10446,dicionario!$A$1:$C10845,2,0)</f>
        <v>Zornia latifolia</v>
      </c>
      <c r="H10446" s="6" t="str">
        <f>VLOOKUP(E10446,dicionario!$A$1:$C10845,3,0)</f>
        <v>arrozinho-do-campo</v>
      </c>
    </row>
    <row r="10447">
      <c r="A10447" s="3">
        <v>45813.0</v>
      </c>
      <c r="B10447" s="4">
        <v>0.2722222222222222</v>
      </c>
      <c r="C10447" s="5" t="s">
        <v>26</v>
      </c>
      <c r="D10447" s="5" t="s">
        <v>1518</v>
      </c>
      <c r="E10447" s="8" t="s">
        <v>1225</v>
      </c>
      <c r="F10447" s="5" t="s">
        <v>1226</v>
      </c>
      <c r="G10447" s="6" t="str">
        <f>VLOOKUP(E10447,dicionario!$A$1:$C10846,2,0)</f>
        <v>Dione juno</v>
      </c>
      <c r="H10447" s="6" t="str">
        <f>VLOOKUP(E10447,dicionario!$A$1:$C10846,3,0)</f>
        <v>borboleta-do-maracujá</v>
      </c>
    </row>
    <row r="10448">
      <c r="A10448" s="3">
        <v>45813.0</v>
      </c>
      <c r="B10448" s="4">
        <v>0.27361111111111114</v>
      </c>
      <c r="C10448" s="5" t="s">
        <v>26</v>
      </c>
      <c r="D10448" s="5" t="s">
        <v>1518</v>
      </c>
      <c r="E10448" s="8" t="s">
        <v>191</v>
      </c>
      <c r="F10448" s="5" t="s">
        <v>192</v>
      </c>
      <c r="G10448" s="6" t="str">
        <f>VLOOKUP(E10448,dicionario!$A$1:$C10847,2,0)</f>
        <v>Patagioenas picazuro</v>
      </c>
      <c r="H10448" s="6" t="str">
        <f>VLOOKUP(E10448,dicionario!$A$1:$C10847,3,0)</f>
        <v>asa-branca; pomba-asa-branca; pocaçu</v>
      </c>
    </row>
    <row r="10449">
      <c r="A10449" s="3">
        <v>45813.0</v>
      </c>
      <c r="B10449" s="4">
        <v>0.275</v>
      </c>
      <c r="C10449" s="5" t="s">
        <v>26</v>
      </c>
      <c r="D10449" s="5" t="s">
        <v>1518</v>
      </c>
      <c r="E10449" s="72" t="s">
        <v>118</v>
      </c>
      <c r="F10449" s="5" t="s">
        <v>119</v>
      </c>
      <c r="G10449" s="6" t="str">
        <f>VLOOKUP(E10449,dicionario!$A$1:$C10848,2,0)</f>
        <v>Agaricus</v>
      </c>
      <c r="H10449" s="6" t="str">
        <f>VLOOKUP(E10449,dicionario!$A$1:$C10848,3,0)</f>
        <v>cogumelo</v>
      </c>
    </row>
    <row r="10450">
      <c r="A10450" s="3">
        <v>45813.0</v>
      </c>
      <c r="B10450" s="4">
        <v>0.27569444444444446</v>
      </c>
      <c r="C10450" s="5" t="s">
        <v>26</v>
      </c>
      <c r="D10450" s="5" t="s">
        <v>1518</v>
      </c>
      <c r="E10450" s="8" t="s">
        <v>298</v>
      </c>
      <c r="F10450" s="5"/>
      <c r="G10450" s="6" t="str">
        <f>VLOOKUP(E10450,dicionario!$A$1:$C10849,2,0)</f>
        <v>Alysicarpus vaginalis</v>
      </c>
      <c r="H10450" s="6" t="str">
        <f>VLOOKUP(E10450,dicionario!$A$1:$C10849,3,0)</f>
        <v/>
      </c>
    </row>
    <row r="10451">
      <c r="A10451" s="3">
        <v>45813.0</v>
      </c>
      <c r="B10451" s="4">
        <v>0.27569444444444446</v>
      </c>
      <c r="C10451" s="5" t="s">
        <v>26</v>
      </c>
      <c r="D10451" s="5" t="s">
        <v>1518</v>
      </c>
      <c r="E10451" s="8" t="s">
        <v>105</v>
      </c>
      <c r="F10451" s="5" t="s">
        <v>106</v>
      </c>
      <c r="G10451" s="6" t="str">
        <f>VLOOKUP(E10451,dicionario!$A$1:$C10850,2,0)</f>
        <v>Progne tapera</v>
      </c>
      <c r="H10451" s="6" t="str">
        <f>VLOOKUP(E10451,dicionario!$A$1:$C10850,3,0)</f>
        <v>andorinha-do-campo</v>
      </c>
    </row>
    <row r="10452">
      <c r="A10452" s="3">
        <v>45813.0</v>
      </c>
      <c r="B10452" s="4">
        <v>0.27569444444444446</v>
      </c>
      <c r="C10452" s="5" t="s">
        <v>26</v>
      </c>
      <c r="D10452" s="5" t="s">
        <v>1518</v>
      </c>
      <c r="E10452" s="8" t="s">
        <v>360</v>
      </c>
      <c r="F10452" s="5" t="s">
        <v>361</v>
      </c>
      <c r="G10452" s="6" t="str">
        <f>VLOOKUP(E10452,dicionario!$A$1:$C10851,2,0)</f>
        <v>Chamaecrista rotundifolia</v>
      </c>
      <c r="H10452" s="6" t="str">
        <f>VLOOKUP(E10452,dicionario!$A$1:$C10851,3,0)</f>
        <v>alfafa-nativa</v>
      </c>
    </row>
    <row r="10453">
      <c r="A10453" s="3">
        <v>45813.0</v>
      </c>
      <c r="B10453" s="4">
        <v>0.27569444444444446</v>
      </c>
      <c r="C10453" s="5" t="s">
        <v>26</v>
      </c>
      <c r="D10453" s="5" t="s">
        <v>1518</v>
      </c>
      <c r="E10453" s="8" t="s">
        <v>41</v>
      </c>
      <c r="F10453" s="5" t="s">
        <v>45</v>
      </c>
      <c r="G10453" s="6" t="str">
        <f>VLOOKUP(E10453,dicionario!$A$1:$C10852,2,0)</f>
        <v>Mimosa pudica</v>
      </c>
      <c r="H10453" s="6" t="str">
        <f>VLOOKUP(E10453,dicionario!$A$1:$C10852,3,0)</f>
        <v>dormideira</v>
      </c>
    </row>
    <row r="10454">
      <c r="A10454" s="3">
        <v>45813.0</v>
      </c>
      <c r="B10454" s="4">
        <v>0.2763888888888889</v>
      </c>
      <c r="C10454" s="5" t="s">
        <v>26</v>
      </c>
      <c r="D10454" s="5" t="s">
        <v>1518</v>
      </c>
      <c r="E10454" s="8" t="s">
        <v>358</v>
      </c>
      <c r="F10454" s="5" t="s">
        <v>1522</v>
      </c>
      <c r="G10454" s="6" t="str">
        <f>VLOOKUP(E10454,dicionario!$A$1:$C10853,2,0)</f>
        <v>Sida</v>
      </c>
      <c r="H10454" s="6" t="str">
        <f>VLOOKUP(E10454,dicionario!$A$1:$C10853,3,0)</f>
        <v/>
      </c>
    </row>
    <row r="10455">
      <c r="A10455" s="3">
        <v>45813.0</v>
      </c>
      <c r="B10455" s="4">
        <v>0.2763888888888889</v>
      </c>
      <c r="C10455" s="5" t="s">
        <v>26</v>
      </c>
      <c r="D10455" s="5" t="s">
        <v>1518</v>
      </c>
      <c r="E10455" s="8" t="s">
        <v>103</v>
      </c>
      <c r="F10455" s="5" t="s">
        <v>104</v>
      </c>
      <c r="G10455" s="6" t="str">
        <f>VLOOKUP(E10455,dicionario!$A$1:$C10854,2,0)</f>
        <v>Caracara plancus</v>
      </c>
      <c r="H10455" s="6" t="str">
        <f>VLOOKUP(E10455,dicionario!$A$1:$C10854,3,0)</f>
        <v>carcará </v>
      </c>
    </row>
    <row r="10456">
      <c r="A10456" s="3">
        <v>45813.0</v>
      </c>
      <c r="B10456" s="4">
        <v>0.2763888888888889</v>
      </c>
      <c r="C10456" s="5" t="s">
        <v>26</v>
      </c>
      <c r="D10456" s="5" t="s">
        <v>1518</v>
      </c>
      <c r="E10456" s="8" t="s">
        <v>915</v>
      </c>
      <c r="F10456" s="5" t="s">
        <v>1275</v>
      </c>
      <c r="G10456" s="6" t="str">
        <f>VLOOKUP(E10456,dicionario!$A$1:$C10855,2,0)</f>
        <v>Tachycineta albiventer</v>
      </c>
      <c r="H10456" s="6" t="str">
        <f>VLOOKUP(E10456,dicionario!$A$1:$C10855,3,0)</f>
        <v>andorinha-de-rio</v>
      </c>
    </row>
    <row r="10457">
      <c r="A10457" s="3">
        <v>45813.0</v>
      </c>
      <c r="B10457" s="4">
        <v>0.27708333333333335</v>
      </c>
      <c r="C10457" s="5" t="s">
        <v>26</v>
      </c>
      <c r="D10457" s="5" t="s">
        <v>1518</v>
      </c>
      <c r="E10457" s="6" t="s">
        <v>93</v>
      </c>
      <c r="F10457" s="5" t="s">
        <v>570</v>
      </c>
      <c r="G10457" s="6" t="str">
        <f>VLOOKUP(E10457,dicionario!$A$1:$C10856,2,0)</f>
        <v>Thraupis sayaca</v>
      </c>
      <c r="H10457" s="6" t="str">
        <f>VLOOKUP(E10457,dicionario!$A$1:$C10856,3,0)</f>
        <v>sanhaçu-cinzento</v>
      </c>
    </row>
    <row r="10458">
      <c r="A10458" s="3">
        <v>45813.0</v>
      </c>
      <c r="B10458" s="4">
        <v>0.27708333333333335</v>
      </c>
      <c r="C10458" s="5" t="s">
        <v>26</v>
      </c>
      <c r="D10458" s="5" t="s">
        <v>1518</v>
      </c>
      <c r="E10458" s="8" t="s">
        <v>88</v>
      </c>
      <c r="F10458" s="5" t="s">
        <v>89</v>
      </c>
      <c r="G10458" s="6" t="str">
        <f>VLOOKUP(E10458,dicionario!$A$1:$C10857,2,0)</f>
        <v>Tyrannus melancolichus</v>
      </c>
      <c r="H10458" s="6" t="str">
        <f>VLOOKUP(E10458,dicionario!$A$1:$C10857,3,0)</f>
        <v>suiriri</v>
      </c>
    </row>
    <row r="10459">
      <c r="A10459" s="3">
        <v>45813.0</v>
      </c>
      <c r="B10459" s="4">
        <v>0.27708333333333335</v>
      </c>
      <c r="C10459" s="5" t="s">
        <v>26</v>
      </c>
      <c r="D10459" s="5" t="s">
        <v>1518</v>
      </c>
      <c r="E10459" s="12" t="s">
        <v>111</v>
      </c>
      <c r="F10459" s="5" t="s">
        <v>112</v>
      </c>
      <c r="G10459" s="6" t="str">
        <f>VLOOKUP(E10459,dicionario!$A$1:$C10858,2,0)</f>
        <v>Trigona spinipes</v>
      </c>
      <c r="H10459" s="6" t="str">
        <f>VLOOKUP(E10459,dicionario!$A$1:$C10858,3,0)</f>
        <v>abelha-cachorro</v>
      </c>
    </row>
    <row r="10460">
      <c r="A10460" s="3">
        <v>45813.0</v>
      </c>
      <c r="B10460" s="4">
        <v>0.2777777777777778</v>
      </c>
      <c r="C10460" s="5" t="s">
        <v>26</v>
      </c>
      <c r="D10460" s="5" t="s">
        <v>1518</v>
      </c>
      <c r="E10460" s="8" t="s">
        <v>18</v>
      </c>
      <c r="F10460" s="5" t="s">
        <v>219</v>
      </c>
      <c r="G10460" s="6" t="str">
        <f>VLOOKUP(E10460,dicionario!$A$1:$C10859,2,0)</f>
        <v>Xylocopa frontalis</v>
      </c>
      <c r="H10460" s="6" t="str">
        <f>VLOOKUP(E10460,dicionario!$A$1:$C10859,3,0)</f>
        <v>Mamangava; mangangá; abelha-carpinteira</v>
      </c>
    </row>
    <row r="10461">
      <c r="A10461" s="3">
        <v>45813.0</v>
      </c>
      <c r="B10461" s="4">
        <v>0.2777777777777778</v>
      </c>
      <c r="C10461" s="5" t="s">
        <v>26</v>
      </c>
      <c r="D10461" s="5" t="s">
        <v>1518</v>
      </c>
      <c r="E10461" s="8" t="s">
        <v>1175</v>
      </c>
      <c r="F10461" s="5" t="s">
        <v>1176</v>
      </c>
      <c r="G10461" s="6" t="str">
        <f>VLOOKUP(E10461,dicionario!$A$1:$C10860,2,0)</f>
        <v>Danaus erippus</v>
      </c>
      <c r="H10461" s="6" t="str">
        <f>VLOOKUP(E10461,dicionario!$A$1:$C10860,3,0)</f>
        <v>borboleta-monarca-do-sul</v>
      </c>
    </row>
    <row r="10462">
      <c r="A10462" s="3">
        <v>45813.0</v>
      </c>
      <c r="B10462" s="4">
        <v>0.2777777777777778</v>
      </c>
      <c r="C10462" s="5" t="s">
        <v>26</v>
      </c>
      <c r="D10462" s="5" t="s">
        <v>1518</v>
      </c>
      <c r="E10462" s="8" t="s">
        <v>109</v>
      </c>
      <c r="F10462" s="5" t="s">
        <v>110</v>
      </c>
      <c r="G10462" s="6" t="str">
        <f>VLOOKUP(E10462,dicionario!$A$1:$C10861,2,0)</f>
        <v>Tillandsia stricta</v>
      </c>
      <c r="H10462" s="6" t="str">
        <f>VLOOKUP(E10462,dicionario!$A$1:$C10861,3,0)</f>
        <v>cravo-do-mato</v>
      </c>
    </row>
    <row r="10463">
      <c r="A10463" s="3">
        <v>45813.0</v>
      </c>
      <c r="B10463" s="4">
        <v>0.2777777777777778</v>
      </c>
      <c r="C10463" s="5" t="s">
        <v>26</v>
      </c>
      <c r="D10463" s="5" t="s">
        <v>1518</v>
      </c>
      <c r="E10463" s="6" t="s">
        <v>251</v>
      </c>
      <c r="F10463" s="5" t="s">
        <v>252</v>
      </c>
      <c r="G10463" s="6" t="str">
        <f>VLOOKUP(E10463,dicionario!$A$1:$C10862,2,0)</f>
        <v>Struthanthus flexicaulis</v>
      </c>
      <c r="H10463" s="6" t="str">
        <f>VLOOKUP(E10463,dicionario!$A$1:$C10862,3,0)</f>
        <v>erva-de-passarinho</v>
      </c>
    </row>
    <row r="10464">
      <c r="A10464" s="3">
        <v>45813.0</v>
      </c>
      <c r="B10464" s="4">
        <v>0.27847222222222223</v>
      </c>
      <c r="C10464" s="5" t="s">
        <v>33</v>
      </c>
      <c r="D10464" s="5" t="s">
        <v>1518</v>
      </c>
      <c r="E10464" s="8" t="s">
        <v>65</v>
      </c>
      <c r="F10464" s="5" t="s">
        <v>66</v>
      </c>
      <c r="G10464" s="6" t="str">
        <f>VLOOKUP(E10464,dicionario!$A$1:$C10863,2,0)</f>
        <v>Pitangus sulphutarus</v>
      </c>
      <c r="H10464" s="6" t="str">
        <f>VLOOKUP(E10464,dicionario!$A$1:$C10863,3,0)</f>
        <v>bem-te-vi</v>
      </c>
    </row>
    <row r="10465">
      <c r="A10465" s="3">
        <v>45813.0</v>
      </c>
      <c r="B10465" s="4">
        <v>0.2791666666666667</v>
      </c>
      <c r="C10465" s="5" t="s">
        <v>33</v>
      </c>
      <c r="D10465" s="5" t="s">
        <v>1518</v>
      </c>
      <c r="E10465" s="8" t="s">
        <v>103</v>
      </c>
      <c r="F10465" s="5" t="s">
        <v>104</v>
      </c>
      <c r="G10465" s="6" t="str">
        <f>VLOOKUP(E10465,dicionario!$A$1:$C10864,2,0)</f>
        <v>Caracara plancus</v>
      </c>
      <c r="H10465" s="6" t="str">
        <f>VLOOKUP(E10465,dicionario!$A$1:$C10864,3,0)</f>
        <v>carcará </v>
      </c>
    </row>
    <row r="10466">
      <c r="A10466" s="3">
        <v>45813.0</v>
      </c>
      <c r="B10466" s="4">
        <v>0.2798611111111111</v>
      </c>
      <c r="C10466" s="5" t="s">
        <v>33</v>
      </c>
      <c r="D10466" s="5" t="s">
        <v>1518</v>
      </c>
      <c r="E10466" s="8" t="s">
        <v>1084</v>
      </c>
      <c r="F10466" s="5" t="s">
        <v>224</v>
      </c>
      <c r="G10466" s="6" t="str">
        <f>VLOOKUP(E10466,dicionario!$A$1:$C10865,2,0)</f>
        <v>#N/A</v>
      </c>
      <c r="H10466" s="6" t="str">
        <f>VLOOKUP(E10466,dicionario!$A$1:$C10865,3,0)</f>
        <v>#N/A</v>
      </c>
    </row>
    <row r="10467">
      <c r="A10467" s="3">
        <v>45813.0</v>
      </c>
      <c r="B10467" s="4">
        <v>0.28055555555555556</v>
      </c>
      <c r="C10467" s="5" t="s">
        <v>33</v>
      </c>
      <c r="D10467" s="5" t="s">
        <v>1518</v>
      </c>
      <c r="E10467" s="8" t="s">
        <v>1383</v>
      </c>
      <c r="F10467" s="5" t="s">
        <v>1430</v>
      </c>
      <c r="G10467" s="6" t="str">
        <f>VLOOKUP(E10467,dicionario!$A$1:$C10866,2,0)</f>
        <v>#N/A</v>
      </c>
      <c r="H10467" s="6" t="str">
        <f>VLOOKUP(E10467,dicionario!$A$1:$C10866,3,0)</f>
        <v>#N/A</v>
      </c>
    </row>
    <row r="10468">
      <c r="A10468" s="3">
        <v>45813.0</v>
      </c>
      <c r="B10468" s="4">
        <v>0.28125</v>
      </c>
      <c r="C10468" s="5" t="s">
        <v>33</v>
      </c>
      <c r="D10468" s="5" t="s">
        <v>1518</v>
      </c>
      <c r="E10468" s="6" t="s">
        <v>251</v>
      </c>
      <c r="F10468" s="5" t="s">
        <v>252</v>
      </c>
      <c r="G10468" s="6" t="str">
        <f>VLOOKUP(E10468,dicionario!$A$1:$C10867,2,0)</f>
        <v>Struthanthus flexicaulis</v>
      </c>
      <c r="H10468" s="6" t="str">
        <f>VLOOKUP(E10468,dicionario!$A$1:$C10867,3,0)</f>
        <v>erva-de-passarinho</v>
      </c>
    </row>
    <row r="10469">
      <c r="A10469" s="3">
        <v>45813.0</v>
      </c>
      <c r="B10469" s="4">
        <v>0.28125</v>
      </c>
      <c r="C10469" s="5" t="s">
        <v>33</v>
      </c>
      <c r="D10469" s="5" t="s">
        <v>1518</v>
      </c>
      <c r="E10469" s="6" t="s">
        <v>448</v>
      </c>
      <c r="F10469" s="5" t="s">
        <v>462</v>
      </c>
      <c r="G10469" s="6" t="str">
        <f>VLOOKUP(E10469,dicionario!$A$1:$C10868,2,0)</f>
        <v>Mechanitis polymnia</v>
      </c>
      <c r="H10469" s="6" t="str">
        <f>VLOOKUP(E10469,dicionario!$A$1:$C10868,3,0)</f>
        <v>maria-boba</v>
      </c>
    </row>
    <row r="10470">
      <c r="A10470" s="3">
        <v>45813.0</v>
      </c>
      <c r="B10470" s="4">
        <v>0.2826388888888889</v>
      </c>
      <c r="C10470" s="5" t="s">
        <v>33</v>
      </c>
      <c r="D10470" s="5" t="s">
        <v>1518</v>
      </c>
      <c r="E10470" s="8" t="s">
        <v>122</v>
      </c>
      <c r="F10470" s="5" t="s">
        <v>123</v>
      </c>
      <c r="G10470" s="6" t="str">
        <f>VLOOKUP(E10470,dicionario!$A$1:$C10869,2,0)</f>
        <v>Todirostrum cinereum</v>
      </c>
      <c r="H10470" s="6" t="str">
        <f>VLOOKUP(E10470,dicionario!$A$1:$C10869,3,0)</f>
        <v>ferreirinho-relógio</v>
      </c>
    </row>
    <row r="10471">
      <c r="A10471" s="3">
        <v>45813.0</v>
      </c>
      <c r="B10471" s="4">
        <v>0.2833333333333333</v>
      </c>
      <c r="C10471" s="5" t="s">
        <v>33</v>
      </c>
      <c r="D10471" s="5" t="s">
        <v>1518</v>
      </c>
      <c r="E10471" s="8" t="s">
        <v>38</v>
      </c>
      <c r="F10471" s="5" t="s">
        <v>39</v>
      </c>
      <c r="G10471" s="6" t="str">
        <f>VLOOKUP(E10471,dicionario!$A$1:$C10870,2,0)</f>
        <v>Troglodytes musculus</v>
      </c>
      <c r="H10471" s="6" t="str">
        <f>VLOOKUP(E10471,dicionario!$A$1:$C10870,3,0)</f>
        <v>curruíra</v>
      </c>
    </row>
    <row r="10472">
      <c r="A10472" s="3">
        <v>45813.0</v>
      </c>
      <c r="B10472" s="4">
        <v>0.2833333333333333</v>
      </c>
      <c r="C10472" s="5" t="s">
        <v>33</v>
      </c>
      <c r="D10472" s="5" t="s">
        <v>1518</v>
      </c>
      <c r="E10472" s="8" t="s">
        <v>1462</v>
      </c>
      <c r="F10472" s="5" t="s">
        <v>1463</v>
      </c>
      <c r="G10472" s="6" t="str">
        <f>VLOOKUP(E10472,dicionario!$A$1:$C10871,2,0)</f>
        <v>Primolius maracana</v>
      </c>
      <c r="H10472" s="6" t="str">
        <f>VLOOKUP(E10472,dicionario!$A$1:$C10871,3,0)</f>
        <v>maracanã</v>
      </c>
    </row>
    <row r="10473">
      <c r="A10473" s="3">
        <v>45813.0</v>
      </c>
      <c r="B10473" s="4">
        <v>0.28541666666666665</v>
      </c>
      <c r="C10473" s="5" t="s">
        <v>33</v>
      </c>
      <c r="D10473" s="5" t="s">
        <v>1518</v>
      </c>
      <c r="E10473" s="8" t="s">
        <v>53</v>
      </c>
      <c r="F10473" s="5" t="s">
        <v>54</v>
      </c>
      <c r="G10473" s="6" t="str">
        <f>VLOOKUP(E10473,dicionario!$A$1:$C10872,2,0)</f>
        <v>Turnera subulata</v>
      </c>
      <c r="H10473" s="6" t="str">
        <f>VLOOKUP(E10473,dicionario!$A$1:$C10872,3,0)</f>
        <v>xanana</v>
      </c>
    </row>
    <row r="10474">
      <c r="A10474" s="3">
        <v>45813.0</v>
      </c>
      <c r="B10474" s="4">
        <v>0.28680555555555554</v>
      </c>
      <c r="C10474" s="5" t="s">
        <v>926</v>
      </c>
      <c r="D10474" s="5" t="s">
        <v>1518</v>
      </c>
      <c r="E10474" s="8" t="s">
        <v>1367</v>
      </c>
      <c r="F10474" s="5" t="s">
        <v>387</v>
      </c>
      <c r="G10474" s="6" t="str">
        <f>VLOOKUP(E10474,dicionario!$A$1:$C10873,2,0)</f>
        <v>#N/A</v>
      </c>
      <c r="H10474" s="6" t="str">
        <f>VLOOKUP(E10474,dicionario!$A$1:$C10873,3,0)</f>
        <v>#N/A</v>
      </c>
    </row>
    <row r="10475">
      <c r="A10475" s="3">
        <v>45813.0</v>
      </c>
      <c r="B10475" s="4">
        <v>0.28680555555555554</v>
      </c>
      <c r="C10475" s="5" t="s">
        <v>926</v>
      </c>
      <c r="D10475" s="5" t="s">
        <v>1518</v>
      </c>
      <c r="E10475" s="8" t="s">
        <v>271</v>
      </c>
      <c r="F10475" s="5" t="s">
        <v>1169</v>
      </c>
      <c r="G10475" s="6" t="str">
        <f>VLOOKUP(E10475,dicionario!$A$1:$C10874,2,0)</f>
        <v>Cyanthillium cinereum</v>
      </c>
      <c r="H10475" s="6" t="str">
        <f>VLOOKUP(E10475,dicionario!$A$1:$C10874,3,0)</f>
        <v>emília</v>
      </c>
    </row>
    <row r="10476">
      <c r="A10476" s="3">
        <v>45813.0</v>
      </c>
      <c r="B10476" s="4">
        <v>0.28680555555555554</v>
      </c>
      <c r="C10476" s="5" t="s">
        <v>926</v>
      </c>
      <c r="D10476" s="5" t="s">
        <v>1518</v>
      </c>
      <c r="E10476" s="8" t="s">
        <v>298</v>
      </c>
      <c r="F10476" s="5"/>
      <c r="G10476" s="6" t="str">
        <f>VLOOKUP(E10476,dicionario!$A$1:$C10875,2,0)</f>
        <v>Alysicarpus vaginalis</v>
      </c>
      <c r="H10476" s="6" t="str">
        <f>VLOOKUP(E10476,dicionario!$A$1:$C10875,3,0)</f>
        <v/>
      </c>
    </row>
    <row r="10477">
      <c r="A10477" s="3">
        <v>45813.0</v>
      </c>
      <c r="B10477" s="4">
        <v>0.28680555555555554</v>
      </c>
      <c r="C10477" s="5" t="s">
        <v>926</v>
      </c>
      <c r="D10477" s="5" t="s">
        <v>1518</v>
      </c>
      <c r="E10477" s="8" t="s">
        <v>296</v>
      </c>
      <c r="F10477" s="5" t="s">
        <v>297</v>
      </c>
      <c r="G10477" s="6" t="str">
        <f>VLOOKUP(E10477,dicionario!$A$1:$C10876,2,0)</f>
        <v>Richardia brasiliensis</v>
      </c>
      <c r="H10477" s="6" t="str">
        <f>VLOOKUP(E10477,dicionario!$A$1:$C10876,3,0)</f>
        <v>poaia-branca</v>
      </c>
    </row>
    <row r="10478">
      <c r="A10478" s="3">
        <v>45813.0</v>
      </c>
      <c r="B10478" s="4">
        <v>0.2875</v>
      </c>
      <c r="C10478" s="5" t="s">
        <v>926</v>
      </c>
      <c r="D10478" s="5" t="s">
        <v>1518</v>
      </c>
      <c r="E10478" s="8" t="s">
        <v>1285</v>
      </c>
      <c r="F10478" s="5" t="s">
        <v>1128</v>
      </c>
      <c r="G10478" s="6" t="str">
        <f>VLOOKUP(E10478,dicionario!$A$1:$C10877,2,0)</f>
        <v>#N/A</v>
      </c>
      <c r="H10478" s="6" t="str">
        <f>VLOOKUP(E10478,dicionario!$A$1:$C10877,3,0)</f>
        <v>#N/A</v>
      </c>
    </row>
    <row r="10479">
      <c r="A10479" s="3">
        <v>45813.0</v>
      </c>
      <c r="B10479" s="4">
        <v>0.2875</v>
      </c>
      <c r="C10479" s="5" t="s">
        <v>926</v>
      </c>
      <c r="D10479" s="5" t="s">
        <v>1518</v>
      </c>
      <c r="E10479" s="8" t="s">
        <v>286</v>
      </c>
      <c r="F10479" s="5" t="s">
        <v>287</v>
      </c>
      <c r="G10479" s="6" t="str">
        <f>VLOOKUP(E10479,dicionario!$A$1:$C10878,2,0)</f>
        <v>Setaria parviflora</v>
      </c>
      <c r="H10479" s="6" t="str">
        <f>VLOOKUP(E10479,dicionario!$A$1:$C10878,3,0)</f>
        <v>capim-rabo-de-raposa</v>
      </c>
    </row>
    <row r="10480">
      <c r="A10480" s="3">
        <v>45813.0</v>
      </c>
      <c r="B10480" s="4">
        <v>0.2875</v>
      </c>
      <c r="C10480" s="5" t="s">
        <v>926</v>
      </c>
      <c r="D10480" s="5" t="s">
        <v>1518</v>
      </c>
      <c r="E10480" s="8" t="s">
        <v>1328</v>
      </c>
      <c r="F10480" s="5" t="s">
        <v>356</v>
      </c>
      <c r="G10480" s="6" t="str">
        <f>VLOOKUP(E10480,dicionario!$A$1:$C10879,2,0)</f>
        <v>#N/A</v>
      </c>
      <c r="H10480" s="6" t="str">
        <f>VLOOKUP(E10480,dicionario!$A$1:$C10879,3,0)</f>
        <v>#N/A</v>
      </c>
    </row>
    <row r="10481">
      <c r="A10481" s="3">
        <v>45813.0</v>
      </c>
      <c r="B10481" s="4">
        <v>0.2875</v>
      </c>
      <c r="C10481" s="5" t="s">
        <v>926</v>
      </c>
      <c r="D10481" s="5" t="s">
        <v>1518</v>
      </c>
      <c r="E10481" s="8" t="s">
        <v>227</v>
      </c>
      <c r="F10481" s="5" t="s">
        <v>228</v>
      </c>
      <c r="G10481" s="6" t="str">
        <f>VLOOKUP(E10481,dicionario!$A$1:$C10880,2,0)</f>
        <v>Indigofera hirsuta</v>
      </c>
      <c r="H10481" s="6" t="str">
        <f>VLOOKUP(E10481,dicionario!$A$1:$C10880,3,0)</f>
        <v>anileira</v>
      </c>
    </row>
    <row r="10482">
      <c r="A10482" s="3">
        <v>45813.0</v>
      </c>
      <c r="B10482" s="4">
        <v>0.2875</v>
      </c>
      <c r="C10482" s="5" t="s">
        <v>926</v>
      </c>
      <c r="D10482" s="5" t="s">
        <v>1518</v>
      </c>
      <c r="E10482" s="8" t="s">
        <v>225</v>
      </c>
      <c r="F10482" s="5" t="s">
        <v>226</v>
      </c>
      <c r="G10482" s="6" t="str">
        <f>VLOOKUP(E10482,dicionario!$A$1:$C10881,2,0)</f>
        <v>Passer domesticus</v>
      </c>
      <c r="H10482" s="6" t="str">
        <f>VLOOKUP(E10482,dicionario!$A$1:$C10881,3,0)</f>
        <v>pardal</v>
      </c>
    </row>
    <row r="10483">
      <c r="A10483" s="3">
        <v>45813.0</v>
      </c>
      <c r="B10483" s="4">
        <v>0.2881944444444444</v>
      </c>
      <c r="C10483" s="5" t="s">
        <v>926</v>
      </c>
      <c r="D10483" s="5" t="s">
        <v>1518</v>
      </c>
      <c r="E10483" s="8" t="s">
        <v>20</v>
      </c>
      <c r="F10483" s="5" t="s">
        <v>21</v>
      </c>
      <c r="G10483" s="6" t="str">
        <f>VLOOKUP(E10483,dicionario!$A$1:$C10882,2,0)</f>
        <v>Sicalis flaveola</v>
      </c>
      <c r="H10483" s="6" t="str">
        <f>VLOOKUP(E10483,dicionario!$A$1:$C10882,3,0)</f>
        <v>canário-da-terra</v>
      </c>
    </row>
    <row r="10484">
      <c r="A10484" s="3">
        <v>45813.0</v>
      </c>
      <c r="B10484" s="4">
        <v>0.2881944444444444</v>
      </c>
      <c r="C10484" s="5" t="s">
        <v>926</v>
      </c>
      <c r="D10484" s="5" t="s">
        <v>1518</v>
      </c>
      <c r="E10484" s="8" t="s">
        <v>113</v>
      </c>
      <c r="F10484" s="5" t="s">
        <v>114</v>
      </c>
      <c r="G10484" s="6" t="str">
        <f>VLOOKUP(E10484,dicionario!$A$1:$C10883,2,0)</f>
        <v>Columbina talpacoti</v>
      </c>
      <c r="H10484" s="6" t="str">
        <f>VLOOKUP(E10484,dicionario!$A$1:$C10883,3,0)</f>
        <v>rolinha-roxa</v>
      </c>
    </row>
    <row r="10485">
      <c r="A10485" s="3">
        <v>45813.0</v>
      </c>
      <c r="B10485" s="4">
        <v>0.2881944444444444</v>
      </c>
      <c r="C10485" s="5" t="s">
        <v>926</v>
      </c>
      <c r="D10485" s="5" t="s">
        <v>1518</v>
      </c>
      <c r="E10485" s="8" t="s">
        <v>146</v>
      </c>
      <c r="F10485" s="5" t="s">
        <v>147</v>
      </c>
      <c r="G10485" s="6" t="str">
        <f>VLOOKUP(E10485,dicionario!$A$1:$C10884,2,0)</f>
        <v>Euphorbia hirta</v>
      </c>
      <c r="H10485" s="6" t="str">
        <f>VLOOKUP(E10485,dicionario!$A$1:$C10884,3,0)</f>
        <v>erva-de-santa-luzia</v>
      </c>
    </row>
    <row r="10486">
      <c r="A10486" s="3">
        <v>45813.0</v>
      </c>
      <c r="B10486" s="4">
        <v>0.2881944444444444</v>
      </c>
      <c r="C10486" s="5" t="s">
        <v>926</v>
      </c>
      <c r="D10486" s="5" t="s">
        <v>1518</v>
      </c>
      <c r="E10486" s="8" t="s">
        <v>38</v>
      </c>
      <c r="F10486" s="5" t="s">
        <v>39</v>
      </c>
      <c r="G10486" s="6" t="str">
        <f>VLOOKUP(E10486,dicionario!$A$1:$C10885,2,0)</f>
        <v>Troglodytes musculus</v>
      </c>
      <c r="H10486" s="6" t="str">
        <f>VLOOKUP(E10486,dicionario!$A$1:$C10885,3,0)</f>
        <v>curruíra</v>
      </c>
    </row>
    <row r="10487">
      <c r="A10487" s="3">
        <v>45813.0</v>
      </c>
      <c r="B10487" s="4">
        <v>0.28888888888888886</v>
      </c>
      <c r="C10487" s="5" t="s">
        <v>926</v>
      </c>
      <c r="D10487" s="5" t="s">
        <v>1518</v>
      </c>
      <c r="E10487" s="8" t="s">
        <v>453</v>
      </c>
      <c r="F10487" s="5" t="s">
        <v>216</v>
      </c>
      <c r="G10487" s="6" t="str">
        <f>VLOOKUP(E10487,dicionario!$A$1:$C10886,2,0)</f>
        <v>Notiochelidon cyanoleuca</v>
      </c>
      <c r="H10487" s="6" t="str">
        <f>VLOOKUP(E10487,dicionario!$A$1:$C10886,3,0)</f>
        <v>andorinha-pequena-de-casa</v>
      </c>
    </row>
    <row r="10488">
      <c r="A10488" s="3">
        <v>45813.0</v>
      </c>
      <c r="B10488" s="4">
        <v>0.28888888888888886</v>
      </c>
      <c r="C10488" s="5" t="s">
        <v>926</v>
      </c>
      <c r="D10488" s="5" t="s">
        <v>1518</v>
      </c>
      <c r="E10488" s="8" t="s">
        <v>849</v>
      </c>
      <c r="F10488" s="5" t="s">
        <v>1457</v>
      </c>
      <c r="G10488" s="6" t="str">
        <f>VLOOKUP(E10488,dicionario!$A$1:$C10887,2,0)</f>
        <v>#N/A</v>
      </c>
      <c r="H10488" s="6" t="str">
        <f>VLOOKUP(E10488,dicionario!$A$1:$C10887,3,0)</f>
        <v>#N/A</v>
      </c>
    </row>
    <row r="10489">
      <c r="A10489" s="3">
        <v>45813.0</v>
      </c>
      <c r="B10489" s="4">
        <v>0.28958333333333336</v>
      </c>
      <c r="C10489" s="5" t="s">
        <v>926</v>
      </c>
      <c r="D10489" s="5" t="s">
        <v>1518</v>
      </c>
      <c r="E10489" s="8" t="s">
        <v>1084</v>
      </c>
      <c r="F10489" s="5" t="s">
        <v>224</v>
      </c>
      <c r="G10489" s="6" t="str">
        <f>VLOOKUP(E10489,dicionario!$A$1:$C10888,2,0)</f>
        <v>#N/A</v>
      </c>
      <c r="H10489" s="6" t="str">
        <f>VLOOKUP(E10489,dicionario!$A$1:$C10888,3,0)</f>
        <v>#N/A</v>
      </c>
    </row>
    <row r="10490">
      <c r="A10490" s="3">
        <v>45813.0</v>
      </c>
      <c r="B10490" s="4">
        <v>0.28958333333333336</v>
      </c>
      <c r="C10490" s="5" t="s">
        <v>926</v>
      </c>
      <c r="D10490" s="5" t="s">
        <v>1518</v>
      </c>
      <c r="E10490" s="8" t="s">
        <v>1087</v>
      </c>
      <c r="F10490" s="5" t="s">
        <v>1088</v>
      </c>
      <c r="G10490" s="6" t="str">
        <f>VLOOKUP(E10490,dicionario!$A$1:$C10889,2,0)</f>
        <v>Desmodium triflorum</v>
      </c>
      <c r="H10490" s="6" t="str">
        <f>VLOOKUP(E10490,dicionario!$A$1:$C10889,3,0)</f>
        <v/>
      </c>
    </row>
    <row r="10491">
      <c r="A10491" s="3">
        <v>45813.0</v>
      </c>
      <c r="B10491" s="4">
        <v>0.2902777777777778</v>
      </c>
      <c r="C10491" s="5" t="s">
        <v>926</v>
      </c>
      <c r="D10491" s="5" t="s">
        <v>1518</v>
      </c>
      <c r="E10491" s="8" t="s">
        <v>1316</v>
      </c>
      <c r="F10491" s="5" t="s">
        <v>15</v>
      </c>
      <c r="G10491" s="6" t="str">
        <f>VLOOKUP(E10491,dicionario!$A$1:$C10890,2,0)</f>
        <v>#N/A</v>
      </c>
      <c r="H10491" s="6" t="str">
        <f>VLOOKUP(E10491,dicionario!$A$1:$C10890,3,0)</f>
        <v>#N/A</v>
      </c>
    </row>
    <row r="10492">
      <c r="A10492" s="3">
        <v>45813.0</v>
      </c>
      <c r="B10492" s="4">
        <v>0.2902777777777778</v>
      </c>
      <c r="C10492" s="5" t="s">
        <v>926</v>
      </c>
      <c r="D10492" s="5" t="s">
        <v>1518</v>
      </c>
      <c r="E10492" s="6" t="s">
        <v>86</v>
      </c>
      <c r="F10492" s="5" t="s">
        <v>502</v>
      </c>
      <c r="G10492" s="6" t="str">
        <f>VLOOKUP(E10492,dicionario!$A$1:$C10891,2,0)</f>
        <v>Coereba flaveola</v>
      </c>
      <c r="H10492" s="6" t="str">
        <f>VLOOKUP(E10492,dicionario!$A$1:$C10891,3,0)</f>
        <v>cambacica</v>
      </c>
    </row>
    <row r="10493">
      <c r="A10493" s="3">
        <v>45813.0</v>
      </c>
      <c r="B10493" s="4">
        <v>0.2923611111111111</v>
      </c>
      <c r="C10493" s="5" t="s">
        <v>926</v>
      </c>
      <c r="D10493" s="5" t="s">
        <v>1518</v>
      </c>
      <c r="E10493" s="8" t="s">
        <v>65</v>
      </c>
      <c r="F10493" s="5" t="s">
        <v>66</v>
      </c>
      <c r="G10493" s="6" t="str">
        <f>VLOOKUP(E10493,dicionario!$A$1:$C10892,2,0)</f>
        <v>Pitangus sulphutarus</v>
      </c>
      <c r="H10493" s="6" t="str">
        <f>VLOOKUP(E10493,dicionario!$A$1:$C10892,3,0)</f>
        <v>bem-te-vi</v>
      </c>
    </row>
    <row r="10494">
      <c r="A10494" s="3">
        <v>45813.0</v>
      </c>
      <c r="B10494" s="4">
        <v>0.2923611111111111</v>
      </c>
      <c r="C10494" s="5" t="s">
        <v>926</v>
      </c>
      <c r="D10494" s="5" t="s">
        <v>1518</v>
      </c>
      <c r="E10494" s="8" t="s">
        <v>60</v>
      </c>
      <c r="F10494" s="5" t="s">
        <v>61</v>
      </c>
      <c r="G10494" s="6" t="str">
        <f>VLOOKUP(E10494,dicionario!$A$1:$C10893,2,0)</f>
        <v>Vanellus chilensis</v>
      </c>
      <c r="H10494" s="6" t="str">
        <f>VLOOKUP(E10494,dicionario!$A$1:$C10893,3,0)</f>
        <v>quero-quero</v>
      </c>
    </row>
    <row r="10495">
      <c r="A10495" s="3">
        <v>45813.0</v>
      </c>
      <c r="B10495" s="4">
        <v>0.29305555555555557</v>
      </c>
      <c r="C10495" s="5" t="s">
        <v>926</v>
      </c>
      <c r="D10495" s="5" t="s">
        <v>1518</v>
      </c>
      <c r="E10495" s="6" t="s">
        <v>148</v>
      </c>
      <c r="F10495" s="5" t="s">
        <v>149</v>
      </c>
      <c r="G10495" s="6" t="str">
        <f>VLOOKUP(E10495,dicionario!$A$1:$C10894,2,0)</f>
        <v>Parthenium hysterophorus</v>
      </c>
      <c r="H10495" s="6" t="str">
        <f>VLOOKUP(E10495,dicionario!$A$1:$C10894,3,0)</f>
        <v>losna-branca</v>
      </c>
    </row>
    <row r="10496">
      <c r="A10496" s="3">
        <v>45813.0</v>
      </c>
      <c r="B10496" s="4">
        <v>0.29375</v>
      </c>
      <c r="C10496" s="5" t="s">
        <v>926</v>
      </c>
      <c r="D10496" s="5" t="s">
        <v>1518</v>
      </c>
      <c r="E10496" s="8" t="s">
        <v>46</v>
      </c>
      <c r="F10496" s="5" t="s">
        <v>47</v>
      </c>
      <c r="G10496" s="6" t="str">
        <f>VLOOKUP(E10496,dicionario!$A$1:$C10895,2,0)</f>
        <v>Chionomesa fimbriata</v>
      </c>
      <c r="H10496" s="6" t="str">
        <f>VLOOKUP(E10496,dicionario!$A$1:$C10895,3,0)</f>
        <v>beija-flor-de-garganta-verde</v>
      </c>
    </row>
    <row r="10497">
      <c r="A10497" s="3">
        <v>45813.0</v>
      </c>
      <c r="B10497" s="4">
        <v>0.29444444444444445</v>
      </c>
      <c r="C10497" s="5" t="s">
        <v>926</v>
      </c>
      <c r="D10497" s="5" t="s">
        <v>1518</v>
      </c>
      <c r="E10497" s="8" t="s">
        <v>20</v>
      </c>
      <c r="F10497" s="5" t="s">
        <v>21</v>
      </c>
      <c r="G10497" s="6" t="str">
        <f>VLOOKUP(E10497,dicionario!$A$1:$C10896,2,0)</f>
        <v>Sicalis flaveola</v>
      </c>
      <c r="H10497" s="6" t="str">
        <f>VLOOKUP(E10497,dicionario!$A$1:$C10896,3,0)</f>
        <v>canário-da-terra</v>
      </c>
    </row>
    <row r="10498">
      <c r="A10498" s="3">
        <v>45813.0</v>
      </c>
      <c r="B10498" s="4">
        <v>0.29791666666666666</v>
      </c>
      <c r="C10498" s="5" t="s">
        <v>50</v>
      </c>
      <c r="D10498" s="5" t="s">
        <v>1518</v>
      </c>
      <c r="E10498" s="8" t="s">
        <v>253</v>
      </c>
      <c r="F10498" s="5" t="s">
        <v>254</v>
      </c>
      <c r="G10498" s="6" t="str">
        <f>VLOOKUP(E10498,dicionario!$A$1:$C10897,2,0)</f>
        <v>Panicum maximum</v>
      </c>
      <c r="H10498" s="6" t="str">
        <f>VLOOKUP(E10498,dicionario!$A$1:$C10897,3,0)</f>
        <v>capim-colonião</v>
      </c>
    </row>
    <row r="10499">
      <c r="A10499" s="3">
        <v>45813.0</v>
      </c>
      <c r="B10499" s="4">
        <v>0.29791666666666666</v>
      </c>
      <c r="C10499" s="5" t="s">
        <v>50</v>
      </c>
      <c r="D10499" s="5" t="s">
        <v>1518</v>
      </c>
      <c r="E10499" s="8" t="s">
        <v>65</v>
      </c>
      <c r="F10499" s="5" t="s">
        <v>66</v>
      </c>
      <c r="G10499" s="6" t="str">
        <f>VLOOKUP(E10499,dicionario!$A$1:$C10898,2,0)</f>
        <v>Pitangus sulphutarus</v>
      </c>
      <c r="H10499" s="6" t="str">
        <f>VLOOKUP(E10499,dicionario!$A$1:$C10898,3,0)</f>
        <v>bem-te-vi</v>
      </c>
    </row>
    <row r="10500">
      <c r="A10500" s="3">
        <v>45813.0</v>
      </c>
      <c r="B10500" s="4">
        <v>0.29791666666666666</v>
      </c>
      <c r="C10500" s="5" t="s">
        <v>50</v>
      </c>
      <c r="D10500" s="5" t="s">
        <v>1518</v>
      </c>
      <c r="E10500" s="6" t="s">
        <v>471</v>
      </c>
      <c r="F10500" s="5" t="s">
        <v>472</v>
      </c>
      <c r="G10500" s="6" t="str">
        <f>VLOOKUP(E10500,dicionario!$A$1:$C10899,2,0)</f>
        <v>Sida acuta</v>
      </c>
      <c r="H10500" s="6" t="str">
        <f>VLOOKUP(E10500,dicionario!$A$1:$C10899,3,0)</f>
        <v>reloginho</v>
      </c>
    </row>
    <row r="10501">
      <c r="A10501" s="3">
        <v>45813.0</v>
      </c>
      <c r="B10501" s="4">
        <v>0.29791666666666666</v>
      </c>
      <c r="C10501" s="5" t="s">
        <v>50</v>
      </c>
      <c r="D10501" s="5" t="s">
        <v>1518</v>
      </c>
      <c r="E10501" s="6" t="s">
        <v>148</v>
      </c>
      <c r="F10501" s="5" t="s">
        <v>149</v>
      </c>
      <c r="G10501" s="6" t="str">
        <f>VLOOKUP(E10501,dicionario!$A$1:$C10900,2,0)</f>
        <v>Parthenium hysterophorus</v>
      </c>
      <c r="H10501" s="6" t="str">
        <f>VLOOKUP(E10501,dicionario!$A$1:$C10900,3,0)</f>
        <v>losna-branca</v>
      </c>
    </row>
    <row r="10502">
      <c r="A10502" s="3">
        <v>45813.0</v>
      </c>
      <c r="B10502" s="4">
        <v>0.29791666666666666</v>
      </c>
      <c r="C10502" s="5" t="s">
        <v>50</v>
      </c>
      <c r="D10502" s="5" t="s">
        <v>1518</v>
      </c>
      <c r="E10502" s="8" t="s">
        <v>1367</v>
      </c>
      <c r="F10502" s="5" t="s">
        <v>387</v>
      </c>
      <c r="G10502" s="6" t="str">
        <f>VLOOKUP(E10502,dicionario!$A$1:$C10901,2,0)</f>
        <v>#N/A</v>
      </c>
      <c r="H10502" s="6" t="str">
        <f>VLOOKUP(E10502,dicionario!$A$1:$C10901,3,0)</f>
        <v>#N/A</v>
      </c>
    </row>
    <row r="10503">
      <c r="A10503" s="3">
        <v>45813.0</v>
      </c>
      <c r="B10503" s="4">
        <v>0.2986111111111111</v>
      </c>
      <c r="C10503" s="5" t="s">
        <v>50</v>
      </c>
      <c r="D10503" s="5" t="s">
        <v>1518</v>
      </c>
      <c r="E10503" s="8" t="s">
        <v>296</v>
      </c>
      <c r="F10503" s="5" t="s">
        <v>297</v>
      </c>
      <c r="G10503" s="6" t="str">
        <f>VLOOKUP(E10503,dicionario!$A$1:$C10902,2,0)</f>
        <v>Richardia brasiliensis</v>
      </c>
      <c r="H10503" s="6" t="str">
        <f>VLOOKUP(E10503,dicionario!$A$1:$C10902,3,0)</f>
        <v>poaia-branca</v>
      </c>
    </row>
    <row r="10504">
      <c r="A10504" s="3">
        <v>45813.0</v>
      </c>
      <c r="B10504" s="4">
        <v>0.2986111111111111</v>
      </c>
      <c r="C10504" s="5" t="s">
        <v>50</v>
      </c>
      <c r="D10504" s="5" t="s">
        <v>1518</v>
      </c>
      <c r="E10504" s="8" t="s">
        <v>141</v>
      </c>
      <c r="F10504" s="5" t="s">
        <v>142</v>
      </c>
      <c r="G10504" s="6" t="str">
        <f>VLOOKUP(E10504,dicionario!$A$1:$C10903,2,0)</f>
        <v>Ruellia blechum</v>
      </c>
      <c r="H10504" s="6" t="str">
        <f>VLOOKUP(E10504,dicionario!$A$1:$C10903,3,0)</f>
        <v>camarão-verde</v>
      </c>
    </row>
    <row r="10505">
      <c r="A10505" s="3">
        <v>45813.0</v>
      </c>
      <c r="B10505" s="4">
        <v>0.2986111111111111</v>
      </c>
      <c r="C10505" s="5" t="s">
        <v>50</v>
      </c>
      <c r="D10505" s="5" t="s">
        <v>1518</v>
      </c>
      <c r="E10505" s="8" t="s">
        <v>353</v>
      </c>
      <c r="F10505" s="5" t="s">
        <v>354</v>
      </c>
      <c r="G10505" s="6" t="str">
        <f>VLOOKUP(E10505,dicionario!$A$1:$C10904,2,0)</f>
        <v>Desmodium incanum</v>
      </c>
      <c r="H10505" s="6" t="str">
        <f>VLOOKUP(E10505,dicionario!$A$1:$C10904,3,0)</f>
        <v>pega-pega</v>
      </c>
    </row>
    <row r="10506">
      <c r="A10506" s="3">
        <v>45813.0</v>
      </c>
      <c r="B10506" s="4">
        <v>0.29930555555555555</v>
      </c>
      <c r="C10506" s="5" t="s">
        <v>50</v>
      </c>
      <c r="D10506" s="5" t="s">
        <v>1518</v>
      </c>
      <c r="E10506" s="8" t="s">
        <v>1324</v>
      </c>
      <c r="F10506" s="5" t="s">
        <v>1246</v>
      </c>
      <c r="G10506" s="6" t="str">
        <f>VLOOKUP(E10506,dicionario!$A$1:$C10905,2,0)</f>
        <v>#N/A</v>
      </c>
      <c r="H10506" s="6" t="str">
        <f>VLOOKUP(E10506,dicionario!$A$1:$C10905,3,0)</f>
        <v>#N/A</v>
      </c>
    </row>
    <row r="10507">
      <c r="A10507" s="3">
        <v>45813.0</v>
      </c>
      <c r="B10507" s="4">
        <v>0.29930555555555555</v>
      </c>
      <c r="C10507" s="5" t="s">
        <v>50</v>
      </c>
      <c r="D10507" s="5" t="s">
        <v>1518</v>
      </c>
      <c r="E10507" s="72" t="s">
        <v>579</v>
      </c>
      <c r="F10507" s="5" t="s">
        <v>580</v>
      </c>
      <c r="G10507" s="6" t="str">
        <f>VLOOKUP(E10507,dicionario!$A$1:$C10906,2,0)</f>
        <v>Piper tuberculatum</v>
      </c>
      <c r="H10507" s="6" t="str">
        <f>VLOOKUP(E10507,dicionario!$A$1:$C10906,3,0)</f>
        <v/>
      </c>
    </row>
    <row r="10508">
      <c r="A10508" s="3">
        <v>45813.0</v>
      </c>
      <c r="B10508" s="4">
        <v>0.29930555555555555</v>
      </c>
      <c r="C10508" s="5" t="s">
        <v>50</v>
      </c>
      <c r="D10508" s="5" t="s">
        <v>1518</v>
      </c>
      <c r="E10508" s="8" t="s">
        <v>195</v>
      </c>
      <c r="F10508" s="5" t="s">
        <v>196</v>
      </c>
      <c r="G10508" s="6" t="str">
        <f>VLOOKUP(E10508,dicionario!$A$1:$C10907,2,0)</f>
        <v>Priva lappulacea</v>
      </c>
      <c r="H10508" s="6" t="str">
        <f>VLOOKUP(E10508,dicionario!$A$1:$C10907,3,0)</f>
        <v>carrapicho</v>
      </c>
    </row>
    <row r="10509">
      <c r="A10509" s="3">
        <v>45813.0</v>
      </c>
      <c r="B10509" s="4">
        <v>0.29930555555555555</v>
      </c>
      <c r="C10509" s="5" t="s">
        <v>50</v>
      </c>
      <c r="D10509" s="5" t="s">
        <v>1518</v>
      </c>
      <c r="E10509" s="8" t="s">
        <v>38</v>
      </c>
      <c r="F10509" s="5" t="s">
        <v>39</v>
      </c>
      <c r="G10509" s="6" t="str">
        <f>VLOOKUP(E10509,dicionario!$A$1:$C10908,2,0)</f>
        <v>Troglodytes musculus</v>
      </c>
      <c r="H10509" s="6" t="str">
        <f>VLOOKUP(E10509,dicionario!$A$1:$C10908,3,0)</f>
        <v>curruíra</v>
      </c>
    </row>
    <row r="10510">
      <c r="A10510" s="3">
        <v>45813.0</v>
      </c>
      <c r="B10510" s="4">
        <v>0.29930555555555555</v>
      </c>
      <c r="C10510" s="5" t="s">
        <v>50</v>
      </c>
      <c r="D10510" s="5" t="s">
        <v>1518</v>
      </c>
      <c r="E10510" s="8" t="s">
        <v>109</v>
      </c>
      <c r="F10510" s="5" t="s">
        <v>110</v>
      </c>
      <c r="G10510" s="6" t="str">
        <f>VLOOKUP(E10510,dicionario!$A$1:$C10909,2,0)</f>
        <v>Tillandsia stricta</v>
      </c>
      <c r="H10510" s="6" t="str">
        <f>VLOOKUP(E10510,dicionario!$A$1:$C10909,3,0)</f>
        <v>cravo-do-mato</v>
      </c>
    </row>
    <row r="10511">
      <c r="A10511" s="3">
        <v>45813.0</v>
      </c>
      <c r="B10511" s="4">
        <v>0.29930555555555555</v>
      </c>
      <c r="C10511" s="5" t="s">
        <v>50</v>
      </c>
      <c r="D10511" s="5" t="s">
        <v>1518</v>
      </c>
      <c r="E10511" s="8" t="s">
        <v>1084</v>
      </c>
      <c r="F10511" s="5" t="s">
        <v>224</v>
      </c>
      <c r="G10511" s="6" t="str">
        <f>VLOOKUP(E10511,dicionario!$A$1:$C10910,2,0)</f>
        <v>#N/A</v>
      </c>
      <c r="H10511" s="6" t="str">
        <f>VLOOKUP(E10511,dicionario!$A$1:$C10910,3,0)</f>
        <v>#N/A</v>
      </c>
    </row>
    <row r="10512">
      <c r="A10512" s="3">
        <v>45813.0</v>
      </c>
      <c r="B10512" s="4">
        <v>0.29930555555555555</v>
      </c>
      <c r="C10512" s="5" t="s">
        <v>50</v>
      </c>
      <c r="D10512" s="5" t="s">
        <v>1518</v>
      </c>
      <c r="E10512" s="8" t="s">
        <v>88</v>
      </c>
      <c r="F10512" s="5" t="s">
        <v>89</v>
      </c>
      <c r="G10512" s="6" t="str">
        <f>VLOOKUP(E10512,dicionario!$A$1:$C10911,2,0)</f>
        <v>Tyrannus melancolichus</v>
      </c>
      <c r="H10512" s="6" t="str">
        <f>VLOOKUP(E10512,dicionario!$A$1:$C10911,3,0)</f>
        <v>suiriri</v>
      </c>
    </row>
    <row r="10513">
      <c r="A10513" s="3">
        <v>45813.0</v>
      </c>
      <c r="B10513" s="4">
        <v>0.3</v>
      </c>
      <c r="C10513" s="5" t="s">
        <v>50</v>
      </c>
      <c r="D10513" s="5" t="s">
        <v>1518</v>
      </c>
      <c r="E10513" s="8" t="s">
        <v>60</v>
      </c>
      <c r="F10513" s="5" t="s">
        <v>61</v>
      </c>
      <c r="G10513" s="6" t="str">
        <f>VLOOKUP(E10513,dicionario!$A$1:$C10912,2,0)</f>
        <v>Vanellus chilensis</v>
      </c>
      <c r="H10513" s="6" t="str">
        <f>VLOOKUP(E10513,dicionario!$A$1:$C10912,3,0)</f>
        <v>quero-quero</v>
      </c>
    </row>
    <row r="10514">
      <c r="A10514" s="3">
        <v>45813.0</v>
      </c>
      <c r="B10514" s="4">
        <v>0.3</v>
      </c>
      <c r="C10514" s="5" t="s">
        <v>50</v>
      </c>
      <c r="D10514" s="5" t="s">
        <v>1518</v>
      </c>
      <c r="E10514" s="8" t="s">
        <v>105</v>
      </c>
      <c r="F10514" s="5" t="s">
        <v>106</v>
      </c>
      <c r="G10514" s="6" t="str">
        <f>VLOOKUP(E10514,dicionario!$A$1:$C10913,2,0)</f>
        <v>Progne tapera</v>
      </c>
      <c r="H10514" s="6" t="str">
        <f>VLOOKUP(E10514,dicionario!$A$1:$C10913,3,0)</f>
        <v>andorinha-do-campo</v>
      </c>
    </row>
    <row r="10515">
      <c r="A10515" s="3">
        <v>45813.0</v>
      </c>
      <c r="B10515" s="4">
        <v>0.3</v>
      </c>
      <c r="C10515" s="5" t="s">
        <v>50</v>
      </c>
      <c r="D10515" s="5" t="s">
        <v>1518</v>
      </c>
      <c r="E10515" s="8" t="s">
        <v>193</v>
      </c>
      <c r="F10515" s="5" t="s">
        <v>194</v>
      </c>
      <c r="G10515" s="6" t="str">
        <f>VLOOKUP(E10515,dicionario!$A$1:$C10914,2,0)</f>
        <v>Conirostrum speciosum</v>
      </c>
      <c r="H10515" s="6" t="str">
        <f>VLOOKUP(E10515,dicionario!$A$1:$C10914,3,0)</f>
        <v>figuinha-de-rabo-castanho</v>
      </c>
    </row>
    <row r="10516">
      <c r="A10516" s="3">
        <v>45813.0</v>
      </c>
      <c r="B10516" s="4">
        <v>0.30069444444444443</v>
      </c>
      <c r="C10516" s="5" t="s">
        <v>50</v>
      </c>
      <c r="D10516" s="5" t="s">
        <v>1518</v>
      </c>
      <c r="E10516" s="8" t="s">
        <v>72</v>
      </c>
      <c r="F10516" s="5" t="s">
        <v>73</v>
      </c>
      <c r="G10516" s="6" t="str">
        <f>VLOOKUP(E10516,dicionario!$A$1:$C10915,2,0)</f>
        <v>Thraupis palmarum</v>
      </c>
      <c r="H10516" s="6" t="str">
        <f>VLOOKUP(E10516,dicionario!$A$1:$C10915,3,0)</f>
        <v>sanhaço-do-coqueiro</v>
      </c>
    </row>
    <row r="10517">
      <c r="A10517" s="3">
        <v>45813.0</v>
      </c>
      <c r="B10517" s="4">
        <v>0.30069444444444443</v>
      </c>
      <c r="C10517" s="5" t="s">
        <v>50</v>
      </c>
      <c r="D10517" s="5" t="s">
        <v>1518</v>
      </c>
      <c r="E10517" s="8" t="s">
        <v>191</v>
      </c>
      <c r="F10517" s="5" t="s">
        <v>192</v>
      </c>
      <c r="G10517" s="6" t="str">
        <f>VLOOKUP(E10517,dicionario!$A$1:$C10916,2,0)</f>
        <v>Patagioenas picazuro</v>
      </c>
      <c r="H10517" s="6" t="str">
        <f>VLOOKUP(E10517,dicionario!$A$1:$C10916,3,0)</f>
        <v>asa-branca; pomba-asa-branca; pocaçu</v>
      </c>
    </row>
    <row r="10518">
      <c r="A10518" s="3">
        <v>45813.0</v>
      </c>
      <c r="B10518" s="4">
        <v>0.30069444444444443</v>
      </c>
      <c r="C10518" s="5" t="s">
        <v>50</v>
      </c>
      <c r="D10518" s="5" t="s">
        <v>1518</v>
      </c>
      <c r="E10518" s="8" t="s">
        <v>1383</v>
      </c>
      <c r="F10518" s="5" t="s">
        <v>561</v>
      </c>
      <c r="G10518" s="6" t="str">
        <f>VLOOKUP(E10518,dicionario!$A$1:$C10917,2,0)</f>
        <v>#N/A</v>
      </c>
      <c r="H10518" s="6" t="str">
        <f>VLOOKUP(E10518,dicionario!$A$1:$C10917,3,0)</f>
        <v>#N/A</v>
      </c>
    </row>
    <row r="10519">
      <c r="A10519" s="3">
        <v>45813.0</v>
      </c>
      <c r="B10519" s="4">
        <v>0.3013888888888889</v>
      </c>
      <c r="C10519" s="5" t="s">
        <v>50</v>
      </c>
      <c r="D10519" s="5" t="s">
        <v>1518</v>
      </c>
      <c r="E10519" s="8" t="s">
        <v>1382</v>
      </c>
      <c r="F10519" s="5" t="s">
        <v>56</v>
      </c>
      <c r="G10519" s="6" t="str">
        <f>VLOOKUP(E10519,dicionario!$A$1:$C10918,2,0)</f>
        <v>#N/A</v>
      </c>
      <c r="H10519" s="6" t="str">
        <f>VLOOKUP(E10519,dicionario!$A$1:$C10918,3,0)</f>
        <v>#N/A</v>
      </c>
    </row>
    <row r="10520">
      <c r="A10520" s="3">
        <v>45813.0</v>
      </c>
      <c r="B10520" s="4">
        <v>0.3013888888888889</v>
      </c>
      <c r="C10520" s="5" t="s">
        <v>50</v>
      </c>
      <c r="D10520" s="5" t="s">
        <v>1518</v>
      </c>
      <c r="E10520" s="8" t="s">
        <v>57</v>
      </c>
      <c r="F10520" s="5" t="s">
        <v>475</v>
      </c>
      <c r="G10520" s="6" t="str">
        <f>VLOOKUP(E10520,dicionario!$A$1:$C10919,2,0)</f>
        <v>Juliformia</v>
      </c>
      <c r="H10520" s="6" t="str">
        <f>VLOOKUP(E10520,dicionario!$A$1:$C10919,3,0)</f>
        <v>gongolo; maria-café</v>
      </c>
    </row>
    <row r="10521">
      <c r="A10521" s="3">
        <v>45813.0</v>
      </c>
      <c r="B10521" s="4">
        <v>0.3013888888888889</v>
      </c>
      <c r="C10521" s="5" t="s">
        <v>50</v>
      </c>
      <c r="D10521" s="5" t="s">
        <v>1518</v>
      </c>
      <c r="E10521" s="6" t="s">
        <v>29</v>
      </c>
      <c r="F10521" s="5" t="s">
        <v>30</v>
      </c>
      <c r="G10521" s="6" t="str">
        <f>VLOOKUP(E10521,dicionario!$A$1:$C10920,2,0)</f>
        <v>Pycnoscelus surinamensis</v>
      </c>
      <c r="H10521" s="6" t="str">
        <f>VLOOKUP(E10521,dicionario!$A$1:$C10920,3,0)</f>
        <v>Barata-de-jardim</v>
      </c>
    </row>
    <row r="10522">
      <c r="A10522" s="3">
        <v>45813.0</v>
      </c>
      <c r="B10522" s="4">
        <v>0.30694444444444446</v>
      </c>
      <c r="C10522" s="5" t="s">
        <v>50</v>
      </c>
      <c r="D10522" s="5" t="s">
        <v>1518</v>
      </c>
      <c r="E10522" s="8" t="s">
        <v>225</v>
      </c>
      <c r="F10522" s="5" t="s">
        <v>226</v>
      </c>
      <c r="G10522" s="6" t="str">
        <f>VLOOKUP(E10522,dicionario!$A$1:$C10921,2,0)</f>
        <v>Passer domesticus</v>
      </c>
      <c r="H10522" s="6" t="str">
        <f>VLOOKUP(E10522,dicionario!$A$1:$C10921,3,0)</f>
        <v>pardal</v>
      </c>
    </row>
    <row r="10523">
      <c r="A10523" s="3">
        <v>45813.0</v>
      </c>
      <c r="B10523" s="4">
        <v>0.30694444444444446</v>
      </c>
      <c r="C10523" s="5" t="s">
        <v>50</v>
      </c>
      <c r="D10523" s="5" t="s">
        <v>1518</v>
      </c>
      <c r="E10523" s="8" t="s">
        <v>177</v>
      </c>
      <c r="F10523" s="5" t="s">
        <v>178</v>
      </c>
      <c r="G10523" s="6" t="str">
        <f>VLOOKUP(E10523,dicionario!$A$1:$C10922,2,0)</f>
        <v>Elaenia flavogaster</v>
      </c>
      <c r="H10523" s="6" t="str">
        <f>VLOOKUP(E10523,dicionario!$A$1:$C10922,3,0)</f>
        <v>guaracava-de-barriga-amarela</v>
      </c>
    </row>
    <row r="10524">
      <c r="A10524" s="3">
        <v>45813.0</v>
      </c>
      <c r="B10524" s="4">
        <v>0.30694444444444446</v>
      </c>
      <c r="C10524" s="5" t="s">
        <v>50</v>
      </c>
      <c r="D10524" s="5" t="s">
        <v>1518</v>
      </c>
      <c r="E10524" s="8" t="s">
        <v>122</v>
      </c>
      <c r="F10524" s="5" t="s">
        <v>123</v>
      </c>
      <c r="G10524" s="6" t="str">
        <f>VLOOKUP(E10524,dicionario!$A$1:$C10923,2,0)</f>
        <v>Todirostrum cinereum</v>
      </c>
      <c r="H10524" s="6" t="str">
        <f>VLOOKUP(E10524,dicionario!$A$1:$C10923,3,0)</f>
        <v>ferreirinho-relógio</v>
      </c>
    </row>
    <row r="10525">
      <c r="A10525" s="3">
        <v>45813.0</v>
      </c>
      <c r="B10525" s="4">
        <v>0.30694444444444446</v>
      </c>
      <c r="C10525" s="5" t="s">
        <v>50</v>
      </c>
      <c r="D10525" s="5" t="s">
        <v>1518</v>
      </c>
      <c r="E10525" s="8" t="s">
        <v>113</v>
      </c>
      <c r="F10525" s="5" t="s">
        <v>114</v>
      </c>
      <c r="G10525" s="6" t="str">
        <f>VLOOKUP(E10525,dicionario!$A$1:$C10924,2,0)</f>
        <v>Columbina talpacoti</v>
      </c>
      <c r="H10525" s="6" t="str">
        <f>VLOOKUP(E10525,dicionario!$A$1:$C10924,3,0)</f>
        <v>rolinha-roxa</v>
      </c>
    </row>
    <row r="10526">
      <c r="A10526" s="3">
        <v>45813.0</v>
      </c>
      <c r="B10526" s="4">
        <v>0.30833333333333335</v>
      </c>
      <c r="C10526" s="5" t="s">
        <v>59</v>
      </c>
      <c r="D10526" s="5" t="s">
        <v>1518</v>
      </c>
      <c r="E10526" s="8" t="s">
        <v>163</v>
      </c>
      <c r="F10526" s="5" t="s">
        <v>164</v>
      </c>
      <c r="G10526" s="6" t="str">
        <f>VLOOKUP(E10526,dicionario!$A$1:$C10925,2,0)</f>
        <v>Coragyps atratus</v>
      </c>
      <c r="H10526" s="6" t="str">
        <f>VLOOKUP(E10526,dicionario!$A$1:$C10925,3,0)</f>
        <v>urubu-de-cabeça-preta</v>
      </c>
    </row>
    <row r="10527">
      <c r="A10527" s="3">
        <v>45813.0</v>
      </c>
      <c r="B10527" s="4">
        <v>0.30833333333333335</v>
      </c>
      <c r="C10527" s="5" t="s">
        <v>59</v>
      </c>
      <c r="D10527" s="5" t="s">
        <v>1518</v>
      </c>
      <c r="E10527" s="8" t="s">
        <v>909</v>
      </c>
      <c r="F10527" s="5" t="s">
        <v>910</v>
      </c>
      <c r="G10527" s="6" t="str">
        <f>VLOOKUP(E10527,dicionario!$A$1:$C10926,2,0)</f>
        <v>Chordeiles acutipennis</v>
      </c>
      <c r="H10527" s="6" t="str">
        <f>VLOOKUP(E10527,dicionario!$A$1:$C10926,3,0)</f>
        <v>bacurau-de-asa-fina</v>
      </c>
    </row>
    <row r="10528">
      <c r="A10528" s="3">
        <v>45813.0</v>
      </c>
      <c r="B10528" s="4">
        <v>0.30833333333333335</v>
      </c>
      <c r="C10528" s="5" t="s">
        <v>59</v>
      </c>
      <c r="D10528" s="5" t="s">
        <v>1518</v>
      </c>
      <c r="E10528" s="6" t="s">
        <v>86</v>
      </c>
      <c r="F10528" s="5" t="s">
        <v>502</v>
      </c>
      <c r="G10528" s="6" t="str">
        <f>VLOOKUP(E10528,dicionario!$A$1:$C10927,2,0)</f>
        <v>Coereba flaveola</v>
      </c>
      <c r="H10528" s="6" t="str">
        <f>VLOOKUP(E10528,dicionario!$A$1:$C10927,3,0)</f>
        <v>cambacica</v>
      </c>
    </row>
    <row r="10529">
      <c r="A10529" s="3">
        <v>45813.0</v>
      </c>
      <c r="B10529" s="4">
        <v>0.30833333333333335</v>
      </c>
      <c r="C10529" s="5" t="s">
        <v>59</v>
      </c>
      <c r="D10529" s="5" t="s">
        <v>1518</v>
      </c>
      <c r="E10529" s="8" t="s">
        <v>109</v>
      </c>
      <c r="F10529" s="5" t="s">
        <v>110</v>
      </c>
      <c r="G10529" s="6" t="str">
        <f>VLOOKUP(E10529,dicionario!$A$1:$C10928,2,0)</f>
        <v>Tillandsia stricta</v>
      </c>
      <c r="H10529" s="6" t="str">
        <f>VLOOKUP(E10529,dicionario!$A$1:$C10928,3,0)</f>
        <v>cravo-do-mato</v>
      </c>
    </row>
    <row r="10530">
      <c r="A10530" s="3">
        <v>45813.0</v>
      </c>
      <c r="B10530" s="4">
        <v>0.3090277777777778</v>
      </c>
      <c r="C10530" s="5" t="s">
        <v>59</v>
      </c>
      <c r="D10530" s="5" t="s">
        <v>1518</v>
      </c>
      <c r="E10530" s="8" t="s">
        <v>99</v>
      </c>
      <c r="F10530" s="5" t="s">
        <v>508</v>
      </c>
      <c r="G10530" s="6" t="str">
        <f>VLOOKUP(E10530,dicionario!$A$1:$C10929,2,0)</f>
        <v>Molothrus bonariensis</v>
      </c>
      <c r="H10530" s="6" t="str">
        <f>VLOOKUP(E10530,dicionario!$A$1:$C10929,3,0)</f>
        <v>chupim</v>
      </c>
    </row>
    <row r="10531">
      <c r="A10531" s="3">
        <v>45813.0</v>
      </c>
      <c r="B10531" s="4">
        <v>0.30972222222222223</v>
      </c>
      <c r="C10531" s="5" t="s">
        <v>59</v>
      </c>
      <c r="D10531" s="5" t="s">
        <v>1518</v>
      </c>
      <c r="E10531" s="8" t="s">
        <v>209</v>
      </c>
      <c r="F10531" s="5" t="s">
        <v>210</v>
      </c>
      <c r="G10531" s="6" t="str">
        <f>VLOOKUP(E10531,dicionario!$A$1:$C10930,2,0)</f>
        <v>Furnarius figulus</v>
      </c>
      <c r="H10531" s="6" t="str">
        <f>VLOOKUP(E10531,dicionario!$A$1:$C10930,3,0)</f>
        <v>casaca-de-couro-da-lama</v>
      </c>
    </row>
    <row r="10532">
      <c r="A10532" s="3">
        <v>45813.0</v>
      </c>
      <c r="B10532" s="4">
        <v>0.30972222222222223</v>
      </c>
      <c r="C10532" s="5" t="s">
        <v>59</v>
      </c>
      <c r="D10532" s="5" t="s">
        <v>1518</v>
      </c>
      <c r="E10532" s="8" t="s">
        <v>65</v>
      </c>
      <c r="F10532" s="5" t="s">
        <v>66</v>
      </c>
      <c r="G10532" s="6" t="str">
        <f>VLOOKUP(E10532,dicionario!$A$1:$C10931,2,0)</f>
        <v>Pitangus sulphutarus</v>
      </c>
      <c r="H10532" s="6" t="str">
        <f>VLOOKUP(E10532,dicionario!$A$1:$C10931,3,0)</f>
        <v>bem-te-vi</v>
      </c>
    </row>
    <row r="10533">
      <c r="A10533" s="3">
        <v>45813.0</v>
      </c>
      <c r="B10533" s="4">
        <v>0.30972222222222223</v>
      </c>
      <c r="C10533" s="5" t="s">
        <v>59</v>
      </c>
      <c r="D10533" s="5" t="s">
        <v>1518</v>
      </c>
      <c r="E10533" s="6" t="s">
        <v>148</v>
      </c>
      <c r="F10533" s="5" t="s">
        <v>149</v>
      </c>
      <c r="G10533" s="6" t="str">
        <f>VLOOKUP(E10533,dicionario!$A$1:$C10932,2,0)</f>
        <v>Parthenium hysterophorus</v>
      </c>
      <c r="H10533" s="6" t="str">
        <f>VLOOKUP(E10533,dicionario!$A$1:$C10932,3,0)</f>
        <v>losna-branca</v>
      </c>
    </row>
    <row r="10534">
      <c r="A10534" s="3">
        <v>45813.0</v>
      </c>
      <c r="B10534" s="4">
        <v>0.30972222222222223</v>
      </c>
      <c r="C10534" s="5" t="s">
        <v>59</v>
      </c>
      <c r="D10534" s="5" t="s">
        <v>1518</v>
      </c>
      <c r="E10534" s="8" t="s">
        <v>366</v>
      </c>
      <c r="F10534" s="5" t="s">
        <v>367</v>
      </c>
      <c r="G10534" s="6" t="str">
        <f>VLOOKUP(E10534,dicionario!$A$1:$C10933,2,0)</f>
        <v>Alternanthera ficoidea</v>
      </c>
      <c r="H10534" s="6" t="str">
        <f>VLOOKUP(E10534,dicionario!$A$1:$C10933,3,0)</f>
        <v>quebra-panela</v>
      </c>
    </row>
    <row r="10535">
      <c r="A10535" s="3">
        <v>45813.0</v>
      </c>
      <c r="B10535" s="4">
        <v>0.30972222222222223</v>
      </c>
      <c r="C10535" s="5" t="s">
        <v>59</v>
      </c>
      <c r="D10535" s="5" t="s">
        <v>1518</v>
      </c>
      <c r="E10535" s="8" t="s">
        <v>503</v>
      </c>
      <c r="F10535" s="5" t="s">
        <v>414</v>
      </c>
      <c r="G10535" s="6" t="str">
        <f>VLOOKUP(E10535,dicionario!$A$1:$C10934,2,0)</f>
        <v>Orphulella punctata</v>
      </c>
      <c r="H10535" s="6" t="str">
        <f>VLOOKUP(E10535,dicionario!$A$1:$C10934,3,0)</f>
        <v>gafanhotinho</v>
      </c>
    </row>
    <row r="10536">
      <c r="A10536" s="3">
        <v>45813.0</v>
      </c>
      <c r="B10536" s="4">
        <v>0.3104166666666667</v>
      </c>
      <c r="C10536" s="5" t="s">
        <v>59</v>
      </c>
      <c r="D10536" s="5" t="s">
        <v>1518</v>
      </c>
      <c r="E10536" s="6" t="s">
        <v>53</v>
      </c>
      <c r="F10536" s="5" t="s">
        <v>54</v>
      </c>
      <c r="G10536" s="6" t="str">
        <f>VLOOKUP(E10536,dicionario!$A$1:$C10935,2,0)</f>
        <v>Turnera subulata</v>
      </c>
      <c r="H10536" s="6" t="str">
        <f>VLOOKUP(E10536,dicionario!$A$1:$C10935,3,0)</f>
        <v>xanana</v>
      </c>
    </row>
    <row r="10537">
      <c r="A10537" s="3">
        <v>45813.0</v>
      </c>
      <c r="B10537" s="4">
        <v>0.3111111111111111</v>
      </c>
      <c r="C10537" s="5" t="s">
        <v>59</v>
      </c>
      <c r="D10537" s="5" t="s">
        <v>1518</v>
      </c>
      <c r="E10537" s="8" t="s">
        <v>213</v>
      </c>
      <c r="F10537" s="5" t="s">
        <v>214</v>
      </c>
      <c r="G10537" s="6" t="str">
        <f>VLOOKUP(E10537,dicionario!$A$1:$C10936,2,0)</f>
        <v>Myiozetetes similis</v>
      </c>
      <c r="H10537" s="6" t="str">
        <f>VLOOKUP(E10537,dicionario!$A$1:$C10936,3,0)</f>
        <v>bentevizinho-de-penacho-vermelho</v>
      </c>
    </row>
    <row r="10538">
      <c r="A10538" s="3">
        <v>45813.0</v>
      </c>
      <c r="B10538" s="4">
        <v>0.3111111111111111</v>
      </c>
      <c r="C10538" s="5" t="s">
        <v>59</v>
      </c>
      <c r="D10538" s="5" t="s">
        <v>1518</v>
      </c>
      <c r="E10538" s="8" t="s">
        <v>22</v>
      </c>
      <c r="F10538" s="5" t="s">
        <v>97</v>
      </c>
      <c r="G10538" s="6" t="str">
        <f>VLOOKUP(E10538,dicionario!$A$1:$C10937,2,0)</f>
        <v>Zenaida auriculata</v>
      </c>
      <c r="H10538" s="6" t="str">
        <f>VLOOKUP(E10538,dicionario!$A$1:$C10937,3,0)</f>
        <v>pomba-de-bando; avoante</v>
      </c>
    </row>
    <row r="10539">
      <c r="A10539" s="3">
        <v>45813.0</v>
      </c>
      <c r="B10539" s="4">
        <v>0.3111111111111111</v>
      </c>
      <c r="C10539" s="5" t="s">
        <v>59</v>
      </c>
      <c r="D10539" s="5" t="s">
        <v>1518</v>
      </c>
      <c r="E10539" s="8" t="s">
        <v>38</v>
      </c>
      <c r="F10539" s="5" t="s">
        <v>39</v>
      </c>
      <c r="G10539" s="6" t="str">
        <f>VLOOKUP(E10539,dicionario!$A$1:$C10938,2,0)</f>
        <v>Troglodytes musculus</v>
      </c>
      <c r="H10539" s="6" t="str">
        <f>VLOOKUP(E10539,dicionario!$A$1:$C10938,3,0)</f>
        <v>curruíra</v>
      </c>
    </row>
    <row r="10540">
      <c r="A10540" s="3">
        <v>45813.0</v>
      </c>
      <c r="B10540" s="4">
        <v>0.31180555555555556</v>
      </c>
      <c r="C10540" s="5" t="s">
        <v>59</v>
      </c>
      <c r="D10540" s="5" t="s">
        <v>1518</v>
      </c>
      <c r="E10540" s="8" t="s">
        <v>193</v>
      </c>
      <c r="F10540" s="5" t="s">
        <v>194</v>
      </c>
      <c r="G10540" s="6" t="str">
        <f>VLOOKUP(E10540,dicionario!$A$1:$C10939,2,0)</f>
        <v>Conirostrum speciosum</v>
      </c>
      <c r="H10540" s="6" t="str">
        <f>VLOOKUP(E10540,dicionario!$A$1:$C10939,3,0)</f>
        <v>figuinha-de-rabo-castanho</v>
      </c>
    </row>
    <row r="10541">
      <c r="A10541" s="3">
        <v>45813.0</v>
      </c>
      <c r="B10541" s="4">
        <v>0.31180555555555556</v>
      </c>
      <c r="C10541" s="5" t="s">
        <v>59</v>
      </c>
      <c r="D10541" s="5" t="s">
        <v>1518</v>
      </c>
      <c r="E10541" s="8" t="s">
        <v>624</v>
      </c>
      <c r="F10541" s="5" t="s">
        <v>133</v>
      </c>
      <c r="G10541" s="6" t="str">
        <f>VLOOKUP(E10541,dicionario!$A$1:$C10940,2,0)</f>
        <v>Euphonia violacea</v>
      </c>
      <c r="H10541" s="6" t="str">
        <f>VLOOKUP(E10541,dicionario!$A$1:$C10940,3,0)</f>
        <v>gaturamo-verdadeiro</v>
      </c>
    </row>
    <row r="10542">
      <c r="A10542" s="3">
        <v>45813.0</v>
      </c>
      <c r="B10542" s="4">
        <v>0.3125</v>
      </c>
      <c r="C10542" s="5" t="s">
        <v>59</v>
      </c>
      <c r="D10542" s="5" t="s">
        <v>1518</v>
      </c>
      <c r="E10542" s="8" t="s">
        <v>135</v>
      </c>
      <c r="F10542" s="5" t="s">
        <v>136</v>
      </c>
      <c r="G10542" s="6" t="str">
        <f>VLOOKUP(E10542,dicionario!$A$1:$C10941,2,0)</f>
        <v>Tridax procumbens</v>
      </c>
      <c r="H10542" s="6" t="str">
        <f>VLOOKUP(E10542,dicionario!$A$1:$C10941,3,0)</f>
        <v>erva-de-touro</v>
      </c>
    </row>
    <row r="10543">
      <c r="A10543" s="3">
        <v>45813.0</v>
      </c>
      <c r="B10543" s="4">
        <v>0.3125</v>
      </c>
      <c r="C10543" s="5" t="s">
        <v>59</v>
      </c>
      <c r="D10543" s="5" t="s">
        <v>1518</v>
      </c>
      <c r="E10543" s="8" t="s">
        <v>1285</v>
      </c>
      <c r="F10543" s="5" t="s">
        <v>1286</v>
      </c>
      <c r="G10543" s="6" t="str">
        <f>VLOOKUP(E10543,dicionario!$A$1:$C10942,2,0)</f>
        <v>#N/A</v>
      </c>
      <c r="H10543" s="6" t="str">
        <f>VLOOKUP(E10543,dicionario!$A$1:$C10942,3,0)</f>
        <v>#N/A</v>
      </c>
    </row>
    <row r="10544">
      <c r="A10544" s="3">
        <v>45813.0</v>
      </c>
      <c r="B10544" s="4">
        <v>0.3125</v>
      </c>
      <c r="C10544" s="5" t="s">
        <v>59</v>
      </c>
      <c r="D10544" s="5" t="s">
        <v>1518</v>
      </c>
      <c r="E10544" s="8" t="s">
        <v>72</v>
      </c>
      <c r="F10544" s="5" t="s">
        <v>73</v>
      </c>
      <c r="G10544" s="6" t="str">
        <f>VLOOKUP(E10544,dicionario!$A$1:$C10943,2,0)</f>
        <v>Thraupis palmarum</v>
      </c>
      <c r="H10544" s="6" t="str">
        <f>VLOOKUP(E10544,dicionario!$A$1:$C10943,3,0)</f>
        <v>sanhaço-do-coqueiro</v>
      </c>
    </row>
    <row r="10545">
      <c r="A10545" s="3">
        <v>45813.0</v>
      </c>
      <c r="B10545" s="4">
        <v>0.31319444444444444</v>
      </c>
      <c r="C10545" s="5" t="s">
        <v>59</v>
      </c>
      <c r="D10545" s="5" t="s">
        <v>1518</v>
      </c>
      <c r="E10545" s="8" t="s">
        <v>177</v>
      </c>
      <c r="F10545" s="5" t="s">
        <v>178</v>
      </c>
      <c r="G10545" s="6" t="str">
        <f>VLOOKUP(E10545,dicionario!$A$1:$C10944,2,0)</f>
        <v>Elaenia flavogaster</v>
      </c>
      <c r="H10545" s="6" t="str">
        <f>VLOOKUP(E10545,dicionario!$A$1:$C10944,3,0)</f>
        <v>guaracava-de-barriga-amarela</v>
      </c>
    </row>
    <row r="10546">
      <c r="A10546" s="3">
        <v>45813.0</v>
      </c>
      <c r="B10546" s="4">
        <v>0.2722222222222222</v>
      </c>
      <c r="C10546" s="5" t="s">
        <v>59</v>
      </c>
      <c r="D10546" s="5" t="s">
        <v>1518</v>
      </c>
      <c r="E10546" s="8" t="s">
        <v>51</v>
      </c>
      <c r="F10546" s="5" t="s">
        <v>77</v>
      </c>
      <c r="G10546" s="6" t="str">
        <f>VLOOKUP(E10546,dicionario!$A$1:$C10945,2,0)</f>
        <v>Solenopsis</v>
      </c>
      <c r="H10546" s="6" t="str">
        <f>VLOOKUP(E10546,dicionario!$A$1:$C10945,3,0)</f>
        <v>formiga-quente; formiga-lava-pés; formiga-de-fogo</v>
      </c>
    </row>
    <row r="10547">
      <c r="A10547" s="3">
        <v>45813.0</v>
      </c>
      <c r="B10547" s="4">
        <v>0.3145833333333333</v>
      </c>
      <c r="C10547" s="5" t="s">
        <v>59</v>
      </c>
      <c r="D10547" s="5" t="s">
        <v>1518</v>
      </c>
      <c r="E10547" s="8" t="s">
        <v>858</v>
      </c>
      <c r="F10547" s="5" t="s">
        <v>1051</v>
      </c>
      <c r="G10547" s="6" t="str">
        <f>VLOOKUP(E10547,dicionario!$A$1:$C10946,2,0)</f>
        <v>Rumex obtusifolius</v>
      </c>
      <c r="H10547" s="6" t="str">
        <f>VLOOKUP(E10547,dicionario!$A$1:$C10946,3,0)</f>
        <v>lingua-de-vaca</v>
      </c>
    </row>
    <row r="10548">
      <c r="A10548" s="3">
        <v>45813.0</v>
      </c>
      <c r="B10548" s="4">
        <v>0.3145833333333333</v>
      </c>
      <c r="C10548" s="5" t="s">
        <v>59</v>
      </c>
      <c r="D10548" s="5" t="s">
        <v>1518</v>
      </c>
      <c r="E10548" s="8" t="s">
        <v>298</v>
      </c>
      <c r="F10548" s="5"/>
      <c r="G10548" s="6" t="str">
        <f>VLOOKUP(E10548,dicionario!$A$1:$C10947,2,0)</f>
        <v>Alysicarpus vaginalis</v>
      </c>
      <c r="H10548" s="6" t="str">
        <f>VLOOKUP(E10548,dicionario!$A$1:$C10947,3,0)</f>
        <v/>
      </c>
    </row>
    <row r="10549">
      <c r="A10549" s="3">
        <v>45813.0</v>
      </c>
      <c r="B10549" s="4">
        <v>0.3145833333333333</v>
      </c>
      <c r="C10549" s="5" t="s">
        <v>59</v>
      </c>
      <c r="D10549" s="5" t="s">
        <v>1518</v>
      </c>
      <c r="E10549" s="8" t="s">
        <v>849</v>
      </c>
      <c r="F10549" s="5" t="s">
        <v>1457</v>
      </c>
      <c r="G10549" s="6" t="str">
        <f>VLOOKUP(E10549,dicionario!$A$1:$C10948,2,0)</f>
        <v>#N/A</v>
      </c>
      <c r="H10549" s="6" t="str">
        <f>VLOOKUP(E10549,dicionario!$A$1:$C10948,3,0)</f>
        <v>#N/A</v>
      </c>
    </row>
    <row r="10550">
      <c r="A10550" s="3">
        <v>45813.0</v>
      </c>
      <c r="B10550" s="4">
        <v>0.31527777777777777</v>
      </c>
      <c r="C10550" s="5" t="s">
        <v>59</v>
      </c>
      <c r="D10550" s="5" t="s">
        <v>1518</v>
      </c>
      <c r="E10550" s="12" t="s">
        <v>243</v>
      </c>
      <c r="F10550" s="5" t="s">
        <v>244</v>
      </c>
      <c r="G10550" s="6" t="str">
        <f>VLOOKUP(E10550,dicionario!$A$1:$C10949,2,0)</f>
        <v>Macroptilium atropurpureum</v>
      </c>
      <c r="H10550" s="6" t="str">
        <f>VLOOKUP(E10550,dicionario!$A$1:$C10949,3,0)</f>
        <v>feijão-de-pombo</v>
      </c>
    </row>
    <row r="10551">
      <c r="A10551" s="3">
        <v>45813.0</v>
      </c>
      <c r="B10551" s="4">
        <v>0.31527777777777777</v>
      </c>
      <c r="C10551" s="5" t="s">
        <v>59</v>
      </c>
      <c r="D10551" s="5" t="s">
        <v>1518</v>
      </c>
      <c r="E10551" s="8" t="s">
        <v>271</v>
      </c>
      <c r="F10551" s="5" t="s">
        <v>1169</v>
      </c>
      <c r="G10551" s="6" t="str">
        <f>VLOOKUP(E10551,dicionario!$A$1:$C10950,2,0)</f>
        <v>Cyanthillium cinereum</v>
      </c>
      <c r="H10551" s="6" t="str">
        <f>VLOOKUP(E10551,dicionario!$A$1:$C10950,3,0)</f>
        <v>emília</v>
      </c>
    </row>
    <row r="10552">
      <c r="A10552" s="3">
        <v>45813.0</v>
      </c>
      <c r="B10552" s="4">
        <v>0.31527777777777777</v>
      </c>
      <c r="C10552" s="5" t="s">
        <v>59</v>
      </c>
      <c r="D10552" s="5" t="s">
        <v>1518</v>
      </c>
      <c r="E10552" s="72" t="s">
        <v>1523</v>
      </c>
      <c r="F10552" s="5" t="s">
        <v>190</v>
      </c>
      <c r="G10552" s="6" t="str">
        <f>VLOOKUP(E10552,dicionario!$A$1:$C10951,2,0)</f>
        <v>Solanum torvum</v>
      </c>
      <c r="H10552" s="6" t="str">
        <f>VLOOKUP(E10552,dicionario!$A$1:$C10951,3,0)</f>
        <v>jurubeba</v>
      </c>
    </row>
    <row r="10553">
      <c r="A10553" s="3">
        <v>45813.0</v>
      </c>
      <c r="B10553" s="4">
        <v>0.31666666666666665</v>
      </c>
      <c r="C10553" s="5" t="s">
        <v>64</v>
      </c>
      <c r="D10553" s="5" t="s">
        <v>1518</v>
      </c>
      <c r="E10553" s="8" t="s">
        <v>1427</v>
      </c>
      <c r="F10553" s="5" t="s">
        <v>44</v>
      </c>
      <c r="G10553" s="6" t="str">
        <f>VLOOKUP(E10553,dicionario!$A$1:$C10952,2,0)</f>
        <v>#N/A</v>
      </c>
      <c r="H10553" s="6" t="str">
        <f>VLOOKUP(E10553,dicionario!$A$1:$C10952,3,0)</f>
        <v>#N/A</v>
      </c>
    </row>
    <row r="10554">
      <c r="A10554" s="3">
        <v>45813.0</v>
      </c>
      <c r="B10554" s="4">
        <v>0.31666666666666665</v>
      </c>
      <c r="C10554" s="5" t="s">
        <v>64</v>
      </c>
      <c r="D10554" s="5" t="s">
        <v>1518</v>
      </c>
      <c r="E10554" s="8" t="s">
        <v>20</v>
      </c>
      <c r="F10554" s="5" t="s">
        <v>21</v>
      </c>
      <c r="G10554" s="6" t="str">
        <f>VLOOKUP(E10554,dicionario!$A$1:$C10953,2,0)</f>
        <v>Sicalis flaveola</v>
      </c>
      <c r="H10554" s="6" t="str">
        <f>VLOOKUP(E10554,dicionario!$A$1:$C10953,3,0)</f>
        <v>canário-da-terra</v>
      </c>
    </row>
    <row r="10555">
      <c r="A10555" s="3">
        <v>45813.0</v>
      </c>
      <c r="B10555" s="4">
        <v>0.3173611111111111</v>
      </c>
      <c r="C10555" s="5" t="s">
        <v>64</v>
      </c>
      <c r="D10555" s="5" t="s">
        <v>1518</v>
      </c>
      <c r="E10555" s="6" t="s">
        <v>251</v>
      </c>
      <c r="F10555" s="5" t="s">
        <v>252</v>
      </c>
      <c r="G10555" s="6" t="str">
        <f>VLOOKUP(E10555,dicionario!$A$1:$C10954,2,0)</f>
        <v>Struthanthus flexicaulis</v>
      </c>
      <c r="H10555" s="6" t="str">
        <f>VLOOKUP(E10555,dicionario!$A$1:$C10954,3,0)</f>
        <v>erva-de-passarinho</v>
      </c>
    </row>
    <row r="10556">
      <c r="A10556" s="3">
        <v>45813.0</v>
      </c>
      <c r="B10556" s="4">
        <v>0.3173611111111111</v>
      </c>
      <c r="C10556" s="5" t="s">
        <v>64</v>
      </c>
      <c r="D10556" s="5" t="s">
        <v>1518</v>
      </c>
      <c r="E10556" s="8" t="s">
        <v>113</v>
      </c>
      <c r="F10556" s="5" t="s">
        <v>114</v>
      </c>
      <c r="G10556" s="6" t="str">
        <f>VLOOKUP(E10556,dicionario!$A$1:$C10955,2,0)</f>
        <v>Columbina talpacoti</v>
      </c>
      <c r="H10556" s="6" t="str">
        <f>VLOOKUP(E10556,dicionario!$A$1:$C10955,3,0)</f>
        <v>rolinha-roxa</v>
      </c>
    </row>
    <row r="10557">
      <c r="A10557" s="3">
        <v>45813.0</v>
      </c>
      <c r="B10557" s="4">
        <v>0.3173611111111111</v>
      </c>
      <c r="C10557" s="5" t="s">
        <v>64</v>
      </c>
      <c r="D10557" s="5" t="s">
        <v>1518</v>
      </c>
      <c r="E10557" s="8" t="s">
        <v>193</v>
      </c>
      <c r="F10557" s="5" t="s">
        <v>194</v>
      </c>
      <c r="G10557" s="6" t="str">
        <f>VLOOKUP(E10557,dicionario!$A$1:$C10956,2,0)</f>
        <v>Conirostrum speciosum</v>
      </c>
      <c r="H10557" s="6" t="str">
        <f>VLOOKUP(E10557,dicionario!$A$1:$C10956,3,0)</f>
        <v>figuinha-de-rabo-castanho</v>
      </c>
    </row>
    <row r="10558">
      <c r="A10558" s="3">
        <v>45813.0</v>
      </c>
      <c r="B10558" s="4">
        <v>0.3173611111111111</v>
      </c>
      <c r="C10558" s="5" t="s">
        <v>64</v>
      </c>
      <c r="D10558" s="5" t="s">
        <v>1518</v>
      </c>
      <c r="E10558" s="6" t="s">
        <v>86</v>
      </c>
      <c r="F10558" s="5" t="s">
        <v>502</v>
      </c>
      <c r="G10558" s="6" t="str">
        <f>VLOOKUP(E10558,dicionario!$A$1:$C10957,2,0)</f>
        <v>Coereba flaveola</v>
      </c>
      <c r="H10558" s="6" t="str">
        <f>VLOOKUP(E10558,dicionario!$A$1:$C10957,3,0)</f>
        <v>cambacica</v>
      </c>
    </row>
    <row r="10559">
      <c r="A10559" s="3">
        <v>45813.0</v>
      </c>
      <c r="B10559" s="4">
        <v>0.31805555555555554</v>
      </c>
      <c r="C10559" s="5" t="s">
        <v>64</v>
      </c>
      <c r="D10559" s="5" t="s">
        <v>1518</v>
      </c>
      <c r="E10559" s="8" t="s">
        <v>909</v>
      </c>
      <c r="F10559" s="5" t="s">
        <v>910</v>
      </c>
      <c r="G10559" s="6" t="str">
        <f>VLOOKUP(E10559,dicionario!$A$1:$C10958,2,0)</f>
        <v>Chordeiles acutipennis</v>
      </c>
      <c r="H10559" s="6" t="str">
        <f>VLOOKUP(E10559,dicionario!$A$1:$C10958,3,0)</f>
        <v>bacurau-de-asa-fina</v>
      </c>
    </row>
    <row r="10560">
      <c r="A10560" s="3">
        <v>45813.0</v>
      </c>
      <c r="B10560" s="4">
        <v>0.31805555555555554</v>
      </c>
      <c r="C10560" s="5" t="s">
        <v>64</v>
      </c>
      <c r="D10560" s="5" t="s">
        <v>1518</v>
      </c>
      <c r="E10560" s="8" t="s">
        <v>38</v>
      </c>
      <c r="F10560" s="5" t="s">
        <v>39</v>
      </c>
      <c r="G10560" s="6" t="str">
        <f>VLOOKUP(E10560,dicionario!$A$1:$C10959,2,0)</f>
        <v>Troglodytes musculus</v>
      </c>
      <c r="H10560" s="6" t="str">
        <f>VLOOKUP(E10560,dicionario!$A$1:$C10959,3,0)</f>
        <v>curruíra</v>
      </c>
    </row>
    <row r="10561">
      <c r="A10561" s="3">
        <v>45813.0</v>
      </c>
      <c r="B10561" s="4">
        <v>0.31805555555555554</v>
      </c>
      <c r="C10561" s="5" t="s">
        <v>64</v>
      </c>
      <c r="D10561" s="5" t="s">
        <v>1518</v>
      </c>
      <c r="E10561" s="8" t="s">
        <v>141</v>
      </c>
      <c r="F10561" s="5" t="s">
        <v>142</v>
      </c>
      <c r="G10561" s="6" t="str">
        <f>VLOOKUP(E10561,dicionario!$A$1:$C10960,2,0)</f>
        <v>Ruellia blechum</v>
      </c>
      <c r="H10561" s="6" t="str">
        <f>VLOOKUP(E10561,dicionario!$A$1:$C10960,3,0)</f>
        <v>camarão-verde</v>
      </c>
    </row>
    <row r="10562">
      <c r="A10562" s="3">
        <v>45813.0</v>
      </c>
      <c r="B10562" s="4">
        <v>0.31805555555555554</v>
      </c>
      <c r="C10562" s="5" t="s">
        <v>64</v>
      </c>
      <c r="D10562" s="5" t="s">
        <v>1518</v>
      </c>
      <c r="E10562" s="8" t="s">
        <v>195</v>
      </c>
      <c r="F10562" s="5" t="s">
        <v>196</v>
      </c>
      <c r="G10562" s="6" t="str">
        <f>VLOOKUP(E10562,dicionario!$A$1:$C10961,2,0)</f>
        <v>Priva lappulacea</v>
      </c>
      <c r="H10562" s="6" t="str">
        <f>VLOOKUP(E10562,dicionario!$A$1:$C10961,3,0)</f>
        <v>carrapicho</v>
      </c>
    </row>
    <row r="10563">
      <c r="A10563" s="3">
        <v>45813.0</v>
      </c>
      <c r="B10563" s="4">
        <v>0.31805555555555554</v>
      </c>
      <c r="C10563" s="5" t="s">
        <v>64</v>
      </c>
      <c r="D10563" s="5" t="s">
        <v>1518</v>
      </c>
      <c r="E10563" s="8" t="s">
        <v>253</v>
      </c>
      <c r="F10563" s="5" t="s">
        <v>254</v>
      </c>
      <c r="G10563" s="6" t="str">
        <f>VLOOKUP(E10563,dicionario!$A$1:$C10962,2,0)</f>
        <v>Panicum maximum</v>
      </c>
      <c r="H10563" s="6" t="str">
        <f>VLOOKUP(E10563,dicionario!$A$1:$C10962,3,0)</f>
        <v>capim-colonião</v>
      </c>
    </row>
    <row r="10564">
      <c r="A10564" s="3">
        <v>45813.0</v>
      </c>
      <c r="B10564" s="4">
        <v>0.31875</v>
      </c>
      <c r="C10564" s="5" t="s">
        <v>64</v>
      </c>
      <c r="D10564" s="5" t="s">
        <v>1518</v>
      </c>
      <c r="E10564" s="8" t="s">
        <v>353</v>
      </c>
      <c r="F10564" s="5" t="s">
        <v>354</v>
      </c>
      <c r="G10564" s="6" t="str">
        <f>VLOOKUP(E10564,dicionario!$A$1:$C10963,2,0)</f>
        <v>Desmodium incanum</v>
      </c>
      <c r="H10564" s="6" t="str">
        <f>VLOOKUP(E10564,dicionario!$A$1:$C10963,3,0)</f>
        <v>pega-pega</v>
      </c>
    </row>
    <row r="10565">
      <c r="A10565" s="3">
        <v>45813.0</v>
      </c>
      <c r="B10565" s="4">
        <v>0.31875</v>
      </c>
      <c r="C10565" s="5" t="s">
        <v>64</v>
      </c>
      <c r="D10565" s="5" t="s">
        <v>1518</v>
      </c>
      <c r="E10565" s="8" t="s">
        <v>1429</v>
      </c>
      <c r="F10565" s="5" t="s">
        <v>42</v>
      </c>
      <c r="G10565" s="6" t="str">
        <f>VLOOKUP(E10565,dicionario!$A$1:$C10964,2,0)</f>
        <v>#N/A</v>
      </c>
      <c r="H10565" s="6" t="str">
        <f>VLOOKUP(E10565,dicionario!$A$1:$C10964,3,0)</f>
        <v>#N/A</v>
      </c>
    </row>
    <row r="10566">
      <c r="A10566" s="3">
        <v>45813.0</v>
      </c>
      <c r="B10566" s="4">
        <v>0.31875</v>
      </c>
      <c r="C10566" s="5" t="s">
        <v>64</v>
      </c>
      <c r="D10566" s="5" t="s">
        <v>1518</v>
      </c>
      <c r="E10566" s="8" t="s">
        <v>624</v>
      </c>
      <c r="F10566" s="5" t="s">
        <v>133</v>
      </c>
      <c r="G10566" s="6" t="str">
        <f>VLOOKUP(E10566,dicionario!$A$1:$C10965,2,0)</f>
        <v>Euphonia violacea</v>
      </c>
      <c r="H10566" s="6" t="str">
        <f>VLOOKUP(E10566,dicionario!$A$1:$C10965,3,0)</f>
        <v>gaturamo-verdadeiro</v>
      </c>
    </row>
    <row r="10567">
      <c r="A10567" s="3">
        <v>45813.0</v>
      </c>
      <c r="B10567" s="4">
        <v>0.31875</v>
      </c>
      <c r="C10567" s="5" t="s">
        <v>64</v>
      </c>
      <c r="D10567" s="5" t="s">
        <v>1518</v>
      </c>
      <c r="E10567" s="8" t="s">
        <v>122</v>
      </c>
      <c r="F10567" s="5" t="s">
        <v>123</v>
      </c>
      <c r="G10567" s="6" t="str">
        <f>VLOOKUP(E10567,dicionario!$A$1:$C10966,2,0)</f>
        <v>Todirostrum cinereum</v>
      </c>
      <c r="H10567" s="6" t="str">
        <f>VLOOKUP(E10567,dicionario!$A$1:$C10966,3,0)</f>
        <v>ferreirinho-relógio</v>
      </c>
    </row>
    <row r="10568">
      <c r="A10568" s="3">
        <v>45813.0</v>
      </c>
      <c r="B10568" s="4">
        <v>0.31875</v>
      </c>
      <c r="C10568" s="5" t="s">
        <v>64</v>
      </c>
      <c r="D10568" s="5" t="s">
        <v>1518</v>
      </c>
      <c r="E10568" s="8" t="s">
        <v>150</v>
      </c>
      <c r="F10568" s="5" t="s">
        <v>151</v>
      </c>
      <c r="G10568" s="6" t="str">
        <f>VLOOKUP(E10568,dicionario!$A$1:$C10967,2,0)</f>
        <v>Amaranthus viridis</v>
      </c>
      <c r="H10568" s="6" t="str">
        <f>VLOOKUP(E10568,dicionario!$A$1:$C10967,3,0)</f>
        <v>caruru-de-mancha</v>
      </c>
    </row>
    <row r="10569">
      <c r="A10569" s="3">
        <v>45813.0</v>
      </c>
      <c r="B10569" s="4">
        <v>0.31875</v>
      </c>
      <c r="C10569" s="5" t="s">
        <v>64</v>
      </c>
      <c r="D10569" s="5" t="s">
        <v>1518</v>
      </c>
      <c r="E10569" s="8" t="s">
        <v>1324</v>
      </c>
      <c r="F10569" s="5" t="s">
        <v>1246</v>
      </c>
      <c r="G10569" s="6" t="str">
        <f>VLOOKUP(E10569,dicionario!$A$1:$C10968,2,0)</f>
        <v>#N/A</v>
      </c>
      <c r="H10569" s="6" t="str">
        <f>VLOOKUP(E10569,dicionario!$A$1:$C10968,3,0)</f>
        <v>#N/A</v>
      </c>
    </row>
    <row r="10570">
      <c r="A10570" s="3">
        <v>45813.0</v>
      </c>
      <c r="B10570" s="4">
        <v>0.31875</v>
      </c>
      <c r="C10570" s="5" t="s">
        <v>64</v>
      </c>
      <c r="D10570" s="5" t="s">
        <v>1518</v>
      </c>
      <c r="E10570" s="8" t="s">
        <v>271</v>
      </c>
      <c r="F10570" s="5" t="s">
        <v>1169</v>
      </c>
      <c r="G10570" s="6" t="str">
        <f>VLOOKUP(E10570,dicionario!$A$1:$C10969,2,0)</f>
        <v>Cyanthillium cinereum</v>
      </c>
      <c r="H10570" s="6" t="str">
        <f>VLOOKUP(E10570,dicionario!$A$1:$C10969,3,0)</f>
        <v>emília</v>
      </c>
    </row>
    <row r="10571">
      <c r="A10571" s="3">
        <v>45813.0</v>
      </c>
      <c r="B10571" s="4">
        <v>0.3194444444444444</v>
      </c>
      <c r="C10571" s="5" t="s">
        <v>64</v>
      </c>
      <c r="D10571" s="5" t="s">
        <v>1518</v>
      </c>
      <c r="E10571" s="8" t="s">
        <v>154</v>
      </c>
      <c r="F10571" s="5" t="s">
        <v>155</v>
      </c>
      <c r="G10571" s="6" t="str">
        <f>VLOOKUP(E10571,dicionario!$A$1:$C10970,2,0)</f>
        <v>Cyperus rotundus</v>
      </c>
      <c r="H10571" s="6" t="str">
        <f>VLOOKUP(E10571,dicionario!$A$1:$C10970,3,0)</f>
        <v>tiririca</v>
      </c>
    </row>
    <row r="10572">
      <c r="A10572" s="3">
        <v>45813.0</v>
      </c>
      <c r="B10572" s="4">
        <v>0.3194444444444444</v>
      </c>
      <c r="C10572" s="5" t="s">
        <v>64</v>
      </c>
      <c r="D10572" s="5" t="s">
        <v>1518</v>
      </c>
      <c r="E10572" s="8" t="s">
        <v>146</v>
      </c>
      <c r="F10572" s="5" t="s">
        <v>147</v>
      </c>
      <c r="G10572" s="6" t="str">
        <f>VLOOKUP(E10572,dicionario!$A$1:$C10971,2,0)</f>
        <v>Euphorbia hirta</v>
      </c>
      <c r="H10572" s="6" t="str">
        <f>VLOOKUP(E10572,dicionario!$A$1:$C10971,3,0)</f>
        <v>erva-de-santa-luzia</v>
      </c>
    </row>
    <row r="10573">
      <c r="A10573" s="3">
        <v>45813.0</v>
      </c>
      <c r="B10573" s="4">
        <v>0.3194444444444444</v>
      </c>
      <c r="C10573" s="5" t="s">
        <v>64</v>
      </c>
      <c r="D10573" s="5" t="s">
        <v>1518</v>
      </c>
      <c r="E10573" s="8" t="s">
        <v>740</v>
      </c>
      <c r="F10573" s="5" t="s">
        <v>741</v>
      </c>
      <c r="G10573" s="6" t="str">
        <f>VLOOKUP(E10573,dicionario!$A$1:$C10972,2,0)</f>
        <v>Melothria cucumis</v>
      </c>
      <c r="H10573" s="6" t="str">
        <f>VLOOKUP(E10573,dicionario!$A$1:$C10972,3,0)</f>
        <v>pepino-do-mato</v>
      </c>
    </row>
    <row r="10574">
      <c r="A10574" s="3">
        <v>45813.0</v>
      </c>
      <c r="B10574" s="4">
        <v>0.3194444444444444</v>
      </c>
      <c r="C10574" s="5" t="s">
        <v>64</v>
      </c>
      <c r="D10574" s="5" t="s">
        <v>1518</v>
      </c>
      <c r="E10574" s="6" t="s">
        <v>288</v>
      </c>
      <c r="F10574" s="5" t="s">
        <v>289</v>
      </c>
      <c r="G10574" s="6" t="str">
        <f>VLOOKUP(E10574,dicionario!$A$1:$C10973,2,0)</f>
        <v>Phyllanthus tenellus</v>
      </c>
      <c r="H10574" s="6" t="str">
        <f>VLOOKUP(E10574,dicionario!$A$1:$C10973,3,0)</f>
        <v>quebra-pedra</v>
      </c>
    </row>
    <row r="10575">
      <c r="A10575" s="3">
        <v>45813.0</v>
      </c>
      <c r="B10575" s="4">
        <v>0.3194444444444444</v>
      </c>
      <c r="C10575" s="5" t="s">
        <v>64</v>
      </c>
      <c r="D10575" s="5" t="s">
        <v>1518</v>
      </c>
      <c r="E10575" s="6" t="s">
        <v>467</v>
      </c>
      <c r="F10575" s="5" t="s">
        <v>468</v>
      </c>
      <c r="G10575" s="6" t="str">
        <f>VLOOKUP(E10575,dicionario!$A$1:$C10974,2,0)</f>
        <v>Eleusine indica</v>
      </c>
      <c r="H10575" s="6" t="str">
        <f>VLOOKUP(E10575,dicionario!$A$1:$C10974,3,0)</f>
        <v>capim-pé-de-galinha</v>
      </c>
    </row>
    <row r="10576">
      <c r="A10576" s="3">
        <v>45813.0</v>
      </c>
      <c r="B10576" s="4">
        <v>0.32013888888888886</v>
      </c>
      <c r="C10576" s="5" t="s">
        <v>64</v>
      </c>
      <c r="D10576" s="5" t="s">
        <v>1518</v>
      </c>
      <c r="E10576" s="8" t="s">
        <v>1406</v>
      </c>
      <c r="F10576" s="5" t="s">
        <v>172</v>
      </c>
      <c r="G10576" s="6" t="str">
        <f>VLOOKUP(E10576,dicionario!$A$1:$C10975,2,0)</f>
        <v>#N/A</v>
      </c>
      <c r="H10576" s="6" t="str">
        <f>VLOOKUP(E10576,dicionario!$A$1:$C10975,3,0)</f>
        <v>#N/A</v>
      </c>
    </row>
    <row r="10577">
      <c r="A10577" s="3">
        <v>45813.0</v>
      </c>
      <c r="B10577" s="4">
        <v>0.32083333333333336</v>
      </c>
      <c r="C10577" s="5" t="s">
        <v>64</v>
      </c>
      <c r="D10577" s="5" t="s">
        <v>1518</v>
      </c>
      <c r="E10577" s="6" t="s">
        <v>290</v>
      </c>
      <c r="F10577" s="5" t="s">
        <v>291</v>
      </c>
      <c r="G10577" s="6" t="str">
        <f>VLOOKUP(E10577,dicionario!$A$1:$C10976,2,0)</f>
        <v>Drymaria cordata</v>
      </c>
      <c r="H10577" s="6" t="str">
        <f>VLOOKUP(E10577,dicionario!$A$1:$C10976,3,0)</f>
        <v>orelha-de-rato</v>
      </c>
    </row>
    <row r="10578">
      <c r="A10578" s="3">
        <v>45813.0</v>
      </c>
      <c r="B10578" s="4">
        <v>0.3215277777777778</v>
      </c>
      <c r="C10578" s="5" t="s">
        <v>64</v>
      </c>
      <c r="D10578" s="5" t="s">
        <v>1518</v>
      </c>
      <c r="E10578" s="11" t="s">
        <v>1524</v>
      </c>
      <c r="F10578" s="5" t="s">
        <v>1525</v>
      </c>
      <c r="G10578" s="6" t="str">
        <f>VLOOKUP(E10578,dicionario!$A$1:$C10977,2,0)</f>
        <v>Tolmomyias flaviventris</v>
      </c>
      <c r="H10578" s="6" t="str">
        <f>VLOOKUP(E10578,dicionario!$A$1:$C10977,3,0)</f>
        <v>bico-chato-amarelo</v>
      </c>
    </row>
    <row r="10579">
      <c r="A10579" s="3">
        <v>45813.0</v>
      </c>
      <c r="B10579" s="4">
        <v>0.325</v>
      </c>
      <c r="C10579" s="5" t="s">
        <v>76</v>
      </c>
      <c r="D10579" s="5" t="s">
        <v>1518</v>
      </c>
      <c r="E10579" s="8" t="s">
        <v>624</v>
      </c>
      <c r="F10579" s="5" t="s">
        <v>133</v>
      </c>
      <c r="G10579" s="6" t="str">
        <f>VLOOKUP(E10579,dicionario!$A$1:$C10978,2,0)</f>
        <v>Euphonia violacea</v>
      </c>
      <c r="H10579" s="6" t="str">
        <f>VLOOKUP(E10579,dicionario!$A$1:$C10978,3,0)</f>
        <v>gaturamo-verdadeiro</v>
      </c>
    </row>
    <row r="10580">
      <c r="A10580" s="3">
        <v>45813.0</v>
      </c>
      <c r="B10580" s="4">
        <v>0.325</v>
      </c>
      <c r="C10580" s="5" t="s">
        <v>76</v>
      </c>
      <c r="D10580" s="5" t="s">
        <v>1518</v>
      </c>
      <c r="E10580" s="8" t="s">
        <v>20</v>
      </c>
      <c r="F10580" s="5" t="s">
        <v>21</v>
      </c>
      <c r="G10580" s="6" t="str">
        <f>VLOOKUP(E10580,dicionario!$A$1:$C10979,2,0)</f>
        <v>Sicalis flaveola</v>
      </c>
      <c r="H10580" s="6" t="str">
        <f>VLOOKUP(E10580,dicionario!$A$1:$C10979,3,0)</f>
        <v>canário-da-terra</v>
      </c>
    </row>
    <row r="10581">
      <c r="A10581" s="3">
        <v>45813.0</v>
      </c>
      <c r="B10581" s="4">
        <v>0.325</v>
      </c>
      <c r="C10581" s="5" t="s">
        <v>76</v>
      </c>
      <c r="D10581" s="5" t="s">
        <v>1518</v>
      </c>
      <c r="E10581" s="11" t="s">
        <v>1524</v>
      </c>
      <c r="F10581" s="5" t="s">
        <v>1525</v>
      </c>
      <c r="G10581" s="6" t="str">
        <f>VLOOKUP(E10581,dicionario!$A$1:$C10980,2,0)</f>
        <v>Tolmomyias flaviventris</v>
      </c>
      <c r="H10581" s="6" t="str">
        <f>VLOOKUP(E10581,dicionario!$A$1:$C10980,3,0)</f>
        <v>bico-chato-amarelo</v>
      </c>
    </row>
    <row r="10582">
      <c r="A10582" s="3">
        <v>45813.0</v>
      </c>
      <c r="B10582" s="4">
        <v>0.325</v>
      </c>
      <c r="C10582" s="5" t="s">
        <v>76</v>
      </c>
      <c r="D10582" s="5" t="s">
        <v>1518</v>
      </c>
      <c r="E10582" s="8" t="s">
        <v>141</v>
      </c>
      <c r="F10582" s="5" t="s">
        <v>142</v>
      </c>
      <c r="G10582" s="6" t="str">
        <f>VLOOKUP(E10582,dicionario!$A$1:$C10981,2,0)</f>
        <v>Ruellia blechum</v>
      </c>
      <c r="H10582" s="6" t="str">
        <f>VLOOKUP(E10582,dicionario!$A$1:$C10981,3,0)</f>
        <v>camarão-verde</v>
      </c>
    </row>
    <row r="10583">
      <c r="A10583" s="3">
        <v>45813.0</v>
      </c>
      <c r="B10583" s="4">
        <v>0.32569444444444445</v>
      </c>
      <c r="C10583" s="5" t="s">
        <v>76</v>
      </c>
      <c r="D10583" s="5" t="s">
        <v>1518</v>
      </c>
      <c r="E10583" s="8" t="s">
        <v>72</v>
      </c>
      <c r="F10583" s="5" t="s">
        <v>73</v>
      </c>
      <c r="G10583" s="6" t="str">
        <f>VLOOKUP(E10583,dicionario!$A$1:$C10982,2,0)</f>
        <v>Thraupis palmarum</v>
      </c>
      <c r="H10583" s="6" t="str">
        <f>VLOOKUP(E10583,dicionario!$A$1:$C10982,3,0)</f>
        <v>sanhaço-do-coqueiro</v>
      </c>
    </row>
    <row r="10584">
      <c r="A10584" s="3">
        <v>45813.0</v>
      </c>
      <c r="B10584" s="4">
        <v>0.3263888888888889</v>
      </c>
      <c r="C10584" s="5" t="s">
        <v>76</v>
      </c>
      <c r="D10584" s="5" t="s">
        <v>1518</v>
      </c>
      <c r="E10584" s="6" t="s">
        <v>448</v>
      </c>
      <c r="F10584" s="5" t="s">
        <v>462</v>
      </c>
      <c r="G10584" s="6" t="str">
        <f>VLOOKUP(E10584,dicionario!$A$1:$C10983,2,0)</f>
        <v>Mechanitis polymnia</v>
      </c>
      <c r="H10584" s="6" t="str">
        <f>VLOOKUP(E10584,dicionario!$A$1:$C10983,3,0)</f>
        <v>maria-boba</v>
      </c>
    </row>
    <row r="10585">
      <c r="A10585" s="3">
        <v>45813.0</v>
      </c>
      <c r="B10585" s="4">
        <v>0.3263888888888889</v>
      </c>
      <c r="C10585" s="5" t="s">
        <v>76</v>
      </c>
      <c r="D10585" s="5" t="s">
        <v>1518</v>
      </c>
      <c r="E10585" s="8" t="s">
        <v>225</v>
      </c>
      <c r="F10585" s="5" t="s">
        <v>226</v>
      </c>
      <c r="G10585" s="6" t="str">
        <f>VLOOKUP(E10585,dicionario!$A$1:$C10984,2,0)</f>
        <v>Passer domesticus</v>
      </c>
      <c r="H10585" s="6" t="str">
        <f>VLOOKUP(E10585,dicionario!$A$1:$C10984,3,0)</f>
        <v>pardal</v>
      </c>
    </row>
    <row r="10586">
      <c r="A10586" s="3">
        <v>45813.0</v>
      </c>
      <c r="B10586" s="4">
        <v>0.3263888888888889</v>
      </c>
      <c r="C10586" s="5" t="s">
        <v>76</v>
      </c>
      <c r="D10586" s="5" t="s">
        <v>1518</v>
      </c>
      <c r="E10586" s="8" t="s">
        <v>113</v>
      </c>
      <c r="F10586" s="5" t="s">
        <v>114</v>
      </c>
      <c r="G10586" s="6" t="str">
        <f>VLOOKUP(E10586,dicionario!$A$1:$C10985,2,0)</f>
        <v>Columbina talpacoti</v>
      </c>
      <c r="H10586" s="6" t="str">
        <f>VLOOKUP(E10586,dicionario!$A$1:$C10985,3,0)</f>
        <v>rolinha-roxa</v>
      </c>
    </row>
    <row r="10587">
      <c r="A10587" s="3">
        <v>45813.0</v>
      </c>
      <c r="B10587" s="4">
        <v>0.3263888888888889</v>
      </c>
      <c r="C10587" s="5" t="s">
        <v>76</v>
      </c>
      <c r="D10587" s="5" t="s">
        <v>1518</v>
      </c>
      <c r="E10587" s="8" t="s">
        <v>1495</v>
      </c>
      <c r="F10587" s="5" t="s">
        <v>42</v>
      </c>
      <c r="G10587" s="6" t="str">
        <f>VLOOKUP(E10587,dicionario!$A$1:$C10986,2,0)</f>
        <v>#N/A</v>
      </c>
      <c r="H10587" s="6" t="str">
        <f>VLOOKUP(E10587,dicionario!$A$1:$C10986,3,0)</f>
        <v>#N/A</v>
      </c>
    </row>
    <row r="10588">
      <c r="A10588" s="3">
        <v>45813.0</v>
      </c>
      <c r="B10588" s="4">
        <v>0.3263888888888889</v>
      </c>
      <c r="C10588" s="5" t="s">
        <v>76</v>
      </c>
      <c r="D10588" s="5" t="s">
        <v>1518</v>
      </c>
      <c r="E10588" s="8" t="s">
        <v>183</v>
      </c>
      <c r="F10588" s="5" t="s">
        <v>277</v>
      </c>
      <c r="G10588" s="6" t="str">
        <f>VLOOKUP(E10588,dicionario!$A$1:$C10987,2,0)</f>
        <v>Thunbergia alata</v>
      </c>
      <c r="H10588" s="6" t="str">
        <f>VLOOKUP(E10588,dicionario!$A$1:$C10987,3,0)</f>
        <v>susana-dos-olhos-negros</v>
      </c>
    </row>
    <row r="10589">
      <c r="A10589" s="3">
        <v>45813.0</v>
      </c>
      <c r="B10589" s="4">
        <v>0.3263888888888889</v>
      </c>
      <c r="C10589" s="5" t="s">
        <v>76</v>
      </c>
      <c r="D10589" s="5" t="s">
        <v>1518</v>
      </c>
      <c r="E10589" s="8" t="s">
        <v>786</v>
      </c>
      <c r="F10589" s="5" t="s">
        <v>787</v>
      </c>
      <c r="G10589" s="6" t="str">
        <f>VLOOKUP(E10589,dicionario!$A$1:$C10988,2,0)</f>
        <v>Lycianthes asarifolia</v>
      </c>
      <c r="H10589" s="6" t="str">
        <f>VLOOKUP(E10589,dicionario!$A$1:$C10988,3,0)</f>
        <v>joá-rasteiro</v>
      </c>
    </row>
    <row r="10590">
      <c r="A10590" s="3">
        <v>45813.0</v>
      </c>
      <c r="B10590" s="4">
        <v>0.3263888888888889</v>
      </c>
      <c r="C10590" s="5" t="s">
        <v>76</v>
      </c>
      <c r="D10590" s="5" t="s">
        <v>1518</v>
      </c>
      <c r="E10590" s="6" t="s">
        <v>290</v>
      </c>
      <c r="F10590" s="5" t="s">
        <v>291</v>
      </c>
      <c r="G10590" s="6" t="str">
        <f>VLOOKUP(E10590,dicionario!$A$1:$C10989,2,0)</f>
        <v>Drymaria cordata</v>
      </c>
      <c r="H10590" s="6" t="str">
        <f>VLOOKUP(E10590,dicionario!$A$1:$C10989,3,0)</f>
        <v>orelha-de-rato</v>
      </c>
    </row>
    <row r="10591">
      <c r="A10591" s="3">
        <v>45813.0</v>
      </c>
      <c r="B10591" s="4">
        <v>0.3263888888888889</v>
      </c>
      <c r="C10591" s="5" t="s">
        <v>76</v>
      </c>
      <c r="D10591" s="5" t="s">
        <v>1518</v>
      </c>
      <c r="E10591" s="8" t="s">
        <v>146</v>
      </c>
      <c r="F10591" s="5" t="s">
        <v>147</v>
      </c>
      <c r="G10591" s="6" t="str">
        <f>VLOOKUP(E10591,dicionario!$A$1:$C10990,2,0)</f>
        <v>Euphorbia hirta</v>
      </c>
      <c r="H10591" s="6" t="str">
        <f>VLOOKUP(E10591,dicionario!$A$1:$C10990,3,0)</f>
        <v>erva-de-santa-luzia</v>
      </c>
    </row>
    <row r="10592">
      <c r="A10592" s="3">
        <v>45813.0</v>
      </c>
      <c r="B10592" s="4">
        <v>0.3277777777777778</v>
      </c>
      <c r="C10592" s="5" t="s">
        <v>76</v>
      </c>
      <c r="D10592" s="5" t="s">
        <v>1518</v>
      </c>
      <c r="E10592" s="8" t="s">
        <v>195</v>
      </c>
      <c r="F10592" s="5" t="s">
        <v>196</v>
      </c>
      <c r="G10592" s="6" t="str">
        <f>VLOOKUP(E10592,dicionario!$A$1:$C10991,2,0)</f>
        <v>Priva lappulacea</v>
      </c>
      <c r="H10592" s="6" t="str">
        <f>VLOOKUP(E10592,dicionario!$A$1:$C10991,3,0)</f>
        <v>carrapicho</v>
      </c>
    </row>
    <row r="10593">
      <c r="A10593" s="3">
        <v>45813.0</v>
      </c>
      <c r="B10593" s="4">
        <v>0.3277777777777778</v>
      </c>
      <c r="C10593" s="5" t="s">
        <v>76</v>
      </c>
      <c r="D10593" s="5" t="s">
        <v>1518</v>
      </c>
      <c r="E10593" s="72" t="s">
        <v>535</v>
      </c>
      <c r="F10593" s="5" t="s">
        <v>395</v>
      </c>
      <c r="G10593" s="6" t="str">
        <f>VLOOKUP(E10593,dicionario!$A$1:$C10992,2,0)</f>
        <v>Odonata</v>
      </c>
      <c r="H10593" s="6" t="str">
        <f>VLOOKUP(E10593,dicionario!$A$1:$C10992,3,0)</f>
        <v>libélula</v>
      </c>
    </row>
    <row r="10594">
      <c r="A10594" s="3">
        <v>45813.0</v>
      </c>
      <c r="B10594" s="4">
        <v>0.3277777777777778</v>
      </c>
      <c r="C10594" s="5" t="s">
        <v>76</v>
      </c>
      <c r="D10594" s="5" t="s">
        <v>1518</v>
      </c>
      <c r="E10594" s="8" t="s">
        <v>46</v>
      </c>
      <c r="F10594" s="5" t="s">
        <v>47</v>
      </c>
      <c r="G10594" s="6" t="str">
        <f>VLOOKUP(E10594,dicionario!$A$1:$C10993,2,0)</f>
        <v>Chionomesa fimbriata</v>
      </c>
      <c r="H10594" s="6" t="str">
        <f>VLOOKUP(E10594,dicionario!$A$1:$C10993,3,0)</f>
        <v>beija-flor-de-garganta-verde</v>
      </c>
    </row>
    <row r="10595">
      <c r="A10595" s="3">
        <v>45813.0</v>
      </c>
      <c r="B10595" s="4">
        <v>0.3277777777777778</v>
      </c>
      <c r="C10595" s="5" t="s">
        <v>76</v>
      </c>
      <c r="D10595" s="5" t="s">
        <v>1518</v>
      </c>
      <c r="E10595" s="8" t="s">
        <v>22</v>
      </c>
      <c r="F10595" s="5" t="s">
        <v>97</v>
      </c>
      <c r="G10595" s="6" t="str">
        <f>VLOOKUP(E10595,dicionario!$A$1:$C10994,2,0)</f>
        <v>Zenaida auriculata</v>
      </c>
      <c r="H10595" s="6" t="str">
        <f>VLOOKUP(E10595,dicionario!$A$1:$C10994,3,0)</f>
        <v>pomba-de-bando; avoante</v>
      </c>
    </row>
    <row r="10596">
      <c r="A10596" s="3">
        <v>45813.0</v>
      </c>
      <c r="B10596" s="4">
        <v>0.3284722222222222</v>
      </c>
      <c r="C10596" s="5" t="s">
        <v>76</v>
      </c>
      <c r="D10596" s="5" t="s">
        <v>1518</v>
      </c>
      <c r="E10596" s="8" t="s">
        <v>227</v>
      </c>
      <c r="F10596" s="5" t="s">
        <v>228</v>
      </c>
      <c r="G10596" s="6" t="str">
        <f>VLOOKUP(E10596,dicionario!$A$1:$C10995,2,0)</f>
        <v>Indigofera hirsuta</v>
      </c>
      <c r="H10596" s="6" t="str">
        <f>VLOOKUP(E10596,dicionario!$A$1:$C10995,3,0)</f>
        <v>anileira</v>
      </c>
    </row>
    <row r="10597">
      <c r="A10597" s="3">
        <v>45813.0</v>
      </c>
      <c r="B10597" s="4">
        <v>0.3284722222222222</v>
      </c>
      <c r="C10597" s="5" t="s">
        <v>76</v>
      </c>
      <c r="D10597" s="5" t="s">
        <v>1518</v>
      </c>
      <c r="E10597" s="8" t="s">
        <v>1331</v>
      </c>
      <c r="F10597" s="5" t="s">
        <v>464</v>
      </c>
      <c r="G10597" s="6" t="str">
        <f>VLOOKUP(E10597,dicionario!$A$1:$C10996,2,0)</f>
        <v>#N/A</v>
      </c>
      <c r="H10597" s="6" t="str">
        <f>VLOOKUP(E10597,dicionario!$A$1:$C10996,3,0)</f>
        <v>#N/A</v>
      </c>
    </row>
    <row r="10598">
      <c r="A10598" s="3">
        <v>45813.0</v>
      </c>
      <c r="B10598" s="4">
        <v>0.33125</v>
      </c>
      <c r="C10598" s="5" t="s">
        <v>76</v>
      </c>
      <c r="D10598" s="5" t="s">
        <v>1518</v>
      </c>
      <c r="E10598" s="71" t="s">
        <v>1492</v>
      </c>
      <c r="F10598" s="5" t="s">
        <v>1493</v>
      </c>
      <c r="G10598" s="6" t="str">
        <f>VLOOKUP(E10598,dicionario!$A$1:$C10997,2,0)</f>
        <v>Myiarchus tyrannulus</v>
      </c>
      <c r="H10598" s="6" t="str">
        <f>VLOOKUP(E10598,dicionario!$A$1:$C10997,3,0)</f>
        <v>maria-cavaleira-de-rabo-enferrujado</v>
      </c>
    </row>
    <row r="10599">
      <c r="A10599" s="3">
        <v>45813.0</v>
      </c>
      <c r="B10599" s="4">
        <v>0.33194444444444443</v>
      </c>
      <c r="C10599" s="5" t="s">
        <v>76</v>
      </c>
      <c r="D10599" s="5" t="s">
        <v>1518</v>
      </c>
      <c r="E10599" s="8" t="s">
        <v>83</v>
      </c>
      <c r="F10599" s="5" t="s">
        <v>84</v>
      </c>
      <c r="G10599" s="6" t="str">
        <f>VLOOKUP(E10599,dicionario!$A$1:$C10998,2,0)</f>
        <v>Anartia jatrophae</v>
      </c>
      <c r="H10599" s="6" t="str">
        <f>VLOOKUP(E10599,dicionario!$A$1:$C10998,3,0)</f>
        <v>borboleta-pavão-branco</v>
      </c>
    </row>
    <row r="10600">
      <c r="A10600" s="3">
        <v>45813.0</v>
      </c>
      <c r="B10600" s="4">
        <v>0.33194444444444443</v>
      </c>
      <c r="C10600" s="5" t="s">
        <v>76</v>
      </c>
      <c r="D10600" s="5" t="s">
        <v>1518</v>
      </c>
      <c r="E10600" s="8" t="s">
        <v>135</v>
      </c>
      <c r="F10600" s="5" t="s">
        <v>136</v>
      </c>
      <c r="G10600" s="6" t="str">
        <f>VLOOKUP(E10600,dicionario!$A$1:$C10999,2,0)</f>
        <v>Tridax procumbens</v>
      </c>
      <c r="H10600" s="6" t="str">
        <f>VLOOKUP(E10600,dicionario!$A$1:$C10999,3,0)</f>
        <v>erva-de-touro</v>
      </c>
    </row>
    <row r="10601">
      <c r="A10601" s="3">
        <v>45813.0</v>
      </c>
      <c r="B10601" s="4">
        <v>0.33194444444444443</v>
      </c>
      <c r="C10601" s="5" t="s">
        <v>76</v>
      </c>
      <c r="D10601" s="5" t="s">
        <v>1518</v>
      </c>
      <c r="E10601" s="8" t="s">
        <v>253</v>
      </c>
      <c r="F10601" s="5" t="s">
        <v>254</v>
      </c>
      <c r="G10601" s="6" t="str">
        <f>VLOOKUP(E10601,dicionario!$A$1:$C11000,2,0)</f>
        <v>Panicum maximum</v>
      </c>
      <c r="H10601" s="6" t="str">
        <f>VLOOKUP(E10601,dicionario!$A$1:$C11000,3,0)</f>
        <v>capim-colonião</v>
      </c>
    </row>
    <row r="10602">
      <c r="A10602" s="3">
        <v>45813.0</v>
      </c>
      <c r="B10602" s="4">
        <v>0.33194444444444443</v>
      </c>
      <c r="C10602" s="5" t="s">
        <v>76</v>
      </c>
      <c r="D10602" s="5" t="s">
        <v>1518</v>
      </c>
      <c r="E10602" s="8" t="s">
        <v>144</v>
      </c>
      <c r="F10602" s="5" t="s">
        <v>145</v>
      </c>
      <c r="G10602" s="6" t="str">
        <f>VLOOKUP(E10602,dicionario!$A$1:$C11001,2,0)</f>
        <v>Gomphrena globosa</v>
      </c>
      <c r="H10602" s="6" t="str">
        <f>VLOOKUP(E10602,dicionario!$A$1:$C11001,3,0)</f>
        <v>perpétua-rosa</v>
      </c>
    </row>
    <row r="10603">
      <c r="A10603" s="3">
        <v>45813.0</v>
      </c>
      <c r="B10603" s="4">
        <v>0.3326388888888889</v>
      </c>
      <c r="C10603" s="5" t="s">
        <v>76</v>
      </c>
      <c r="D10603" s="5" t="s">
        <v>1518</v>
      </c>
      <c r="E10603" s="8" t="s">
        <v>1406</v>
      </c>
      <c r="F10603" s="5" t="s">
        <v>172</v>
      </c>
      <c r="G10603" s="6" t="str">
        <f>VLOOKUP(E10603,dicionario!$A$1:$C11002,2,0)</f>
        <v>#N/A</v>
      </c>
      <c r="H10603" s="6" t="str">
        <f>VLOOKUP(E10603,dicionario!$A$1:$C11002,3,0)</f>
        <v>#N/A</v>
      </c>
    </row>
    <row r="10604">
      <c r="A10604" s="3">
        <v>45813.0</v>
      </c>
      <c r="B10604" s="4">
        <v>0.3326388888888889</v>
      </c>
      <c r="C10604" s="5" t="s">
        <v>76</v>
      </c>
      <c r="D10604" s="5" t="s">
        <v>1518</v>
      </c>
      <c r="E10604" s="8" t="s">
        <v>20</v>
      </c>
      <c r="F10604" s="5" t="s">
        <v>21</v>
      </c>
      <c r="G10604" s="6" t="str">
        <f>VLOOKUP(E10604,dicionario!$A$1:$C11003,2,0)</f>
        <v>Sicalis flaveola</v>
      </c>
      <c r="H10604" s="6" t="str">
        <f>VLOOKUP(E10604,dicionario!$A$1:$C11003,3,0)</f>
        <v>canário-da-terra</v>
      </c>
    </row>
    <row r="10605">
      <c r="A10605" s="3">
        <v>45813.0</v>
      </c>
      <c r="B10605" s="4">
        <v>0.3326388888888889</v>
      </c>
      <c r="C10605" s="5" t="s">
        <v>76</v>
      </c>
      <c r="D10605" s="5" t="s">
        <v>1518</v>
      </c>
      <c r="E10605" s="8" t="s">
        <v>353</v>
      </c>
      <c r="F10605" s="5" t="s">
        <v>354</v>
      </c>
      <c r="G10605" s="6" t="str">
        <f>VLOOKUP(E10605,dicionario!$A$1:$C11004,2,0)</f>
        <v>Desmodium incanum</v>
      </c>
      <c r="H10605" s="6" t="str">
        <f>VLOOKUP(E10605,dicionario!$A$1:$C11004,3,0)</f>
        <v>pega-pega</v>
      </c>
    </row>
    <row r="10606">
      <c r="A10606" s="3">
        <v>45813.0</v>
      </c>
      <c r="B10606" s="4">
        <v>0.3326388888888889</v>
      </c>
      <c r="C10606" s="5" t="s">
        <v>76</v>
      </c>
      <c r="D10606" s="5" t="s">
        <v>1518</v>
      </c>
      <c r="E10606" s="8" t="s">
        <v>38</v>
      </c>
      <c r="F10606" s="5" t="s">
        <v>39</v>
      </c>
      <c r="G10606" s="6" t="str">
        <f>VLOOKUP(E10606,dicionario!$A$1:$C11005,2,0)</f>
        <v>Troglodytes musculus</v>
      </c>
      <c r="H10606" s="6" t="str">
        <f>VLOOKUP(E10606,dicionario!$A$1:$C11005,3,0)</f>
        <v>curruíra</v>
      </c>
    </row>
    <row r="10607">
      <c r="A10607" s="3">
        <v>45813.0</v>
      </c>
      <c r="B10607" s="4">
        <v>0.3326388888888889</v>
      </c>
      <c r="C10607" s="5" t="s">
        <v>76</v>
      </c>
      <c r="D10607" s="5" t="s">
        <v>1518</v>
      </c>
      <c r="E10607" s="8" t="s">
        <v>286</v>
      </c>
      <c r="F10607" s="5" t="s">
        <v>287</v>
      </c>
      <c r="G10607" s="6" t="str">
        <f>VLOOKUP(E10607,dicionario!$A$1:$C11006,2,0)</f>
        <v>Setaria parviflora</v>
      </c>
      <c r="H10607" s="6" t="str">
        <f>VLOOKUP(E10607,dicionario!$A$1:$C11006,3,0)</f>
        <v>capim-rabo-de-raposa</v>
      </c>
    </row>
    <row r="10608">
      <c r="A10608" s="3">
        <v>45813.0</v>
      </c>
      <c r="B10608" s="4">
        <v>0.3326388888888889</v>
      </c>
      <c r="C10608" s="5" t="s">
        <v>76</v>
      </c>
      <c r="D10608" s="5" t="s">
        <v>1518</v>
      </c>
      <c r="E10608" s="8" t="s">
        <v>109</v>
      </c>
      <c r="F10608" s="5" t="s">
        <v>110</v>
      </c>
      <c r="G10608" s="6" t="str">
        <f>VLOOKUP(E10608,dicionario!$A$1:$C11007,2,0)</f>
        <v>Tillandsia stricta</v>
      </c>
      <c r="H10608" s="6" t="str">
        <f>VLOOKUP(E10608,dicionario!$A$1:$C11007,3,0)</f>
        <v>cravo-do-mato</v>
      </c>
    </row>
    <row r="10609">
      <c r="A10609" s="3">
        <v>45813.0</v>
      </c>
      <c r="B10609" s="4">
        <v>0.3326388888888889</v>
      </c>
      <c r="C10609" s="5" t="s">
        <v>76</v>
      </c>
      <c r="D10609" s="5" t="s">
        <v>1518</v>
      </c>
      <c r="E10609" s="8" t="s">
        <v>158</v>
      </c>
      <c r="F10609" s="5" t="s">
        <v>159</v>
      </c>
      <c r="G10609" s="6" t="str">
        <f>VLOOKUP(E10609,dicionario!$A$1:$C11008,2,0)</f>
        <v>Nephilingis cruentata</v>
      </c>
      <c r="H10609" s="6" t="str">
        <f>VLOOKUP(E10609,dicionario!$A$1:$C11008,3,0)</f>
        <v>maria-bola</v>
      </c>
    </row>
    <row r="10610">
      <c r="A10610" s="3">
        <v>45813.0</v>
      </c>
      <c r="B10610" s="4">
        <v>0.3333333333333333</v>
      </c>
      <c r="C10610" s="5" t="s">
        <v>76</v>
      </c>
      <c r="D10610" s="5" t="s">
        <v>1518</v>
      </c>
      <c r="E10610" s="8" t="s">
        <v>177</v>
      </c>
      <c r="F10610" s="5" t="s">
        <v>178</v>
      </c>
      <c r="G10610" s="6" t="str">
        <f>VLOOKUP(E10610,dicionario!$A$1:$C11009,2,0)</f>
        <v>Elaenia flavogaster</v>
      </c>
      <c r="H10610" s="6" t="str">
        <f>VLOOKUP(E10610,dicionario!$A$1:$C11009,3,0)</f>
        <v>guaracava-de-barriga-amarela</v>
      </c>
    </row>
    <row r="10611">
      <c r="A10611" s="3">
        <v>45813.0</v>
      </c>
      <c r="B10611" s="4">
        <v>0.3333333333333333</v>
      </c>
      <c r="C10611" s="5" t="s">
        <v>76</v>
      </c>
      <c r="D10611" s="5" t="s">
        <v>1518</v>
      </c>
      <c r="E10611" s="8" t="s">
        <v>427</v>
      </c>
      <c r="F10611" s="5" t="s">
        <v>428</v>
      </c>
      <c r="G10611" s="6" t="str">
        <f>VLOOKUP(E10611,dicionario!$A$1:$C11010,2,0)</f>
        <v>Condylostylus longicornis</v>
      </c>
      <c r="H10611" s="6" t="str">
        <f>VLOOKUP(E10611,dicionario!$A$1:$C11010,3,0)</f>
        <v>mosca-de-pernas-longas</v>
      </c>
    </row>
    <row r="10612">
      <c r="A10612" s="3">
        <v>45813.0</v>
      </c>
      <c r="B10612" s="4">
        <v>0.3333333333333333</v>
      </c>
      <c r="C10612" s="5" t="s">
        <v>76</v>
      </c>
      <c r="D10612" s="5" t="s">
        <v>1518</v>
      </c>
      <c r="E10612" s="8" t="s">
        <v>849</v>
      </c>
      <c r="F10612" s="5" t="s">
        <v>1457</v>
      </c>
      <c r="G10612" s="6" t="str">
        <f>VLOOKUP(E10612,dicionario!$A$1:$C11011,2,0)</f>
        <v>#N/A</v>
      </c>
      <c r="H10612" s="6" t="str">
        <f>VLOOKUP(E10612,dicionario!$A$1:$C11011,3,0)</f>
        <v>#N/A</v>
      </c>
    </row>
    <row r="10613">
      <c r="A10613" s="3">
        <v>45813.0</v>
      </c>
      <c r="B10613" s="4">
        <v>0.33402777777777776</v>
      </c>
      <c r="C10613" s="5" t="s">
        <v>76</v>
      </c>
      <c r="D10613" s="5" t="s">
        <v>1518</v>
      </c>
      <c r="E10613" s="8" t="s">
        <v>821</v>
      </c>
      <c r="F10613" s="5" t="s">
        <v>876</v>
      </c>
      <c r="G10613" s="6" t="str">
        <f>VLOOKUP(E10613,dicionario!$A$1:$C11012,2,0)</f>
        <v>Schefflera actinophylla</v>
      </c>
      <c r="H10613" s="6" t="str">
        <f>VLOOKUP(E10613,dicionario!$A$1:$C11012,3,0)</f>
        <v>árvore-guarda-chuva</v>
      </c>
    </row>
    <row r="10614">
      <c r="A10614" s="3">
        <v>45813.0</v>
      </c>
      <c r="B10614" s="4">
        <v>0.33402777777777776</v>
      </c>
      <c r="C10614" s="5" t="s">
        <v>76</v>
      </c>
      <c r="D10614" s="5" t="s">
        <v>1518</v>
      </c>
      <c r="E10614" s="6" t="s">
        <v>267</v>
      </c>
      <c r="F10614" s="5" t="s">
        <v>553</v>
      </c>
      <c r="G10614" s="6" t="str">
        <f>VLOOKUP(E10614,dicionario!$A$1:$C11013,2,0)</f>
        <v>Solanum americanum</v>
      </c>
      <c r="H10614" s="6" t="str">
        <f>VLOOKUP(E10614,dicionario!$A$1:$C11013,3,0)</f>
        <v>maria-pretinha</v>
      </c>
    </row>
    <row r="10615">
      <c r="A10615" s="3">
        <v>45813.0</v>
      </c>
      <c r="B10615" s="4">
        <v>0.33541666666666664</v>
      </c>
      <c r="C10615" s="5" t="s">
        <v>85</v>
      </c>
      <c r="D10615" s="5" t="s">
        <v>1518</v>
      </c>
      <c r="E10615" s="8" t="s">
        <v>324</v>
      </c>
      <c r="F10615" s="5" t="s">
        <v>325</v>
      </c>
      <c r="G10615" s="6" t="str">
        <f>VLOOKUP(E10615,dicionario!$A$1:$C11014,2,0)</f>
        <v>#N/A</v>
      </c>
      <c r="H10615" s="6" t="str">
        <f>VLOOKUP(E10615,dicionario!$A$1:$C11014,3,0)</f>
        <v>#N/A</v>
      </c>
    </row>
    <row r="10616">
      <c r="A10616" s="3">
        <v>45813.0</v>
      </c>
      <c r="B10616" s="4">
        <v>0.33541666666666664</v>
      </c>
      <c r="C10616" s="5" t="s">
        <v>85</v>
      </c>
      <c r="D10616" s="5" t="s">
        <v>1518</v>
      </c>
      <c r="E10616" s="8" t="s">
        <v>191</v>
      </c>
      <c r="F10616" s="5" t="s">
        <v>192</v>
      </c>
      <c r="G10616" s="6" t="str">
        <f>VLOOKUP(E10616,dicionario!$A$1:$C11015,2,0)</f>
        <v>Patagioenas picazuro</v>
      </c>
      <c r="H10616" s="6" t="str">
        <f>VLOOKUP(E10616,dicionario!$A$1:$C11015,3,0)</f>
        <v>asa-branca; pomba-asa-branca; pocaçu</v>
      </c>
    </row>
    <row r="10617">
      <c r="A10617" s="3">
        <v>45813.0</v>
      </c>
      <c r="B10617" s="4">
        <v>0.33541666666666664</v>
      </c>
      <c r="C10617" s="5" t="s">
        <v>85</v>
      </c>
      <c r="D10617" s="5" t="s">
        <v>1518</v>
      </c>
      <c r="E10617" s="8" t="s">
        <v>298</v>
      </c>
      <c r="F10617" s="5"/>
      <c r="G10617" s="6" t="str">
        <f>VLOOKUP(E10617,dicionario!$A$1:$C11016,2,0)</f>
        <v>Alysicarpus vaginalis</v>
      </c>
      <c r="H10617" s="6" t="str">
        <f>VLOOKUP(E10617,dicionario!$A$1:$C11016,3,0)</f>
        <v/>
      </c>
    </row>
    <row r="10618">
      <c r="A10618" s="3">
        <v>45813.0</v>
      </c>
      <c r="B10618" s="4">
        <v>0.33611111111111114</v>
      </c>
      <c r="C10618" s="5" t="s">
        <v>85</v>
      </c>
      <c r="D10618" s="5" t="s">
        <v>1518</v>
      </c>
      <c r="E10618" s="8" t="s">
        <v>360</v>
      </c>
      <c r="F10618" s="5" t="s">
        <v>361</v>
      </c>
      <c r="G10618" s="6" t="str">
        <f>VLOOKUP(E10618,dicionario!$A$1:$C11017,2,0)</f>
        <v>Chamaecrista rotundifolia</v>
      </c>
      <c r="H10618" s="6" t="str">
        <f>VLOOKUP(E10618,dicionario!$A$1:$C11017,3,0)</f>
        <v>alfafa-nativa</v>
      </c>
    </row>
    <row r="10619">
      <c r="A10619" s="3">
        <v>45813.0</v>
      </c>
      <c r="B10619" s="4">
        <v>0.33611111111111114</v>
      </c>
      <c r="C10619" s="5" t="s">
        <v>85</v>
      </c>
      <c r="D10619" s="5" t="s">
        <v>1518</v>
      </c>
      <c r="E10619" s="8" t="s">
        <v>177</v>
      </c>
      <c r="F10619" s="5" t="s">
        <v>178</v>
      </c>
      <c r="G10619" s="6" t="str">
        <f>VLOOKUP(E10619,dicionario!$A$1:$C11018,2,0)</f>
        <v>Elaenia flavogaster</v>
      </c>
      <c r="H10619" s="6" t="str">
        <f>VLOOKUP(E10619,dicionario!$A$1:$C11018,3,0)</f>
        <v>guaracava-de-barriga-amarela</v>
      </c>
    </row>
    <row r="10620">
      <c r="A10620" s="3">
        <v>45813.0</v>
      </c>
      <c r="B10620" s="4">
        <v>0.33611111111111114</v>
      </c>
      <c r="C10620" s="5" t="s">
        <v>85</v>
      </c>
      <c r="D10620" s="5" t="s">
        <v>1518</v>
      </c>
      <c r="E10620" s="8" t="s">
        <v>146</v>
      </c>
      <c r="F10620" s="5" t="s">
        <v>147</v>
      </c>
      <c r="G10620" s="6" t="str">
        <f>VLOOKUP(E10620,dicionario!$A$1:$C11019,2,0)</f>
        <v>Euphorbia hirta</v>
      </c>
      <c r="H10620" s="6" t="str">
        <f>VLOOKUP(E10620,dicionario!$A$1:$C11019,3,0)</f>
        <v>erva-de-santa-luzia</v>
      </c>
    </row>
    <row r="10621">
      <c r="A10621" s="3">
        <v>45813.0</v>
      </c>
      <c r="B10621" s="4">
        <v>0.33611111111111114</v>
      </c>
      <c r="C10621" s="5" t="s">
        <v>85</v>
      </c>
      <c r="D10621" s="5" t="s">
        <v>1518</v>
      </c>
      <c r="E10621" s="8" t="s">
        <v>135</v>
      </c>
      <c r="F10621" s="5" t="s">
        <v>136</v>
      </c>
      <c r="G10621" s="6" t="str">
        <f>VLOOKUP(E10621,dicionario!$A$1:$C11020,2,0)</f>
        <v>Tridax procumbens</v>
      </c>
      <c r="H10621" s="6" t="str">
        <f>VLOOKUP(E10621,dicionario!$A$1:$C11020,3,0)</f>
        <v>erva-de-touro</v>
      </c>
    </row>
    <row r="10622">
      <c r="A10622" s="3">
        <v>45813.0</v>
      </c>
      <c r="B10622" s="4">
        <v>0.33611111111111114</v>
      </c>
      <c r="C10622" s="5" t="s">
        <v>85</v>
      </c>
      <c r="D10622" s="5" t="s">
        <v>1518</v>
      </c>
      <c r="E10622" s="29" t="s">
        <v>566</v>
      </c>
      <c r="F10622" s="5" t="s">
        <v>567</v>
      </c>
      <c r="G10622" s="6" t="str">
        <f>VLOOKUP(E10622,dicionario!$A$1:$C11021,2,0)</f>
        <v>Baccharis dracunculifolia</v>
      </c>
      <c r="H10622" s="6" t="str">
        <f>VLOOKUP(E10622,dicionario!$A$1:$C11021,3,0)</f>
        <v>vassoura</v>
      </c>
    </row>
    <row r="10623">
      <c r="A10623" s="3">
        <v>45813.0</v>
      </c>
      <c r="B10623" s="4">
        <v>0.33611111111111114</v>
      </c>
      <c r="C10623" s="5" t="s">
        <v>85</v>
      </c>
      <c r="D10623" s="5" t="s">
        <v>1518</v>
      </c>
      <c r="E10623" s="8" t="s">
        <v>227</v>
      </c>
      <c r="F10623" s="5" t="s">
        <v>228</v>
      </c>
      <c r="G10623" s="6" t="str">
        <f>VLOOKUP(E10623,dicionario!$A$1:$C11022,2,0)</f>
        <v>Indigofera hirsuta</v>
      </c>
      <c r="H10623" s="6" t="str">
        <f>VLOOKUP(E10623,dicionario!$A$1:$C11022,3,0)</f>
        <v>anileira</v>
      </c>
    </row>
    <row r="10624">
      <c r="A10624" s="3">
        <v>45813.0</v>
      </c>
      <c r="B10624" s="4">
        <v>0.33611111111111114</v>
      </c>
      <c r="C10624" s="5" t="s">
        <v>85</v>
      </c>
      <c r="D10624" s="5" t="s">
        <v>1518</v>
      </c>
      <c r="E10624" s="8" t="s">
        <v>1087</v>
      </c>
      <c r="F10624" s="5" t="s">
        <v>1088</v>
      </c>
      <c r="G10624" s="6" t="str">
        <f>VLOOKUP(E10624,dicionario!$A$1:$C11023,2,0)</f>
        <v>Desmodium triflorum</v>
      </c>
      <c r="H10624" s="6" t="str">
        <f>VLOOKUP(E10624,dicionario!$A$1:$C11023,3,0)</f>
        <v/>
      </c>
    </row>
    <row r="10625">
      <c r="A10625" s="3">
        <v>45813.0</v>
      </c>
      <c r="B10625" s="4">
        <v>0.33611111111111114</v>
      </c>
      <c r="C10625" s="5" t="s">
        <v>85</v>
      </c>
      <c r="D10625" s="5" t="s">
        <v>1518</v>
      </c>
      <c r="E10625" s="8" t="s">
        <v>109</v>
      </c>
      <c r="F10625" s="5" t="s">
        <v>110</v>
      </c>
      <c r="G10625" s="6" t="str">
        <f>VLOOKUP(E10625,dicionario!$A$1:$C11024,2,0)</f>
        <v>Tillandsia stricta</v>
      </c>
      <c r="H10625" s="6" t="str">
        <f>VLOOKUP(E10625,dicionario!$A$1:$C11024,3,0)</f>
        <v>cravo-do-mato</v>
      </c>
    </row>
    <row r="10626">
      <c r="A10626" s="3">
        <v>45813.0</v>
      </c>
      <c r="B10626" s="4">
        <v>0.3368055555555556</v>
      </c>
      <c r="C10626" s="5" t="s">
        <v>85</v>
      </c>
      <c r="D10626" s="5" t="s">
        <v>1518</v>
      </c>
      <c r="E10626" s="8" t="s">
        <v>38</v>
      </c>
      <c r="F10626" s="5" t="s">
        <v>39</v>
      </c>
      <c r="G10626" s="6" t="str">
        <f>VLOOKUP(E10626,dicionario!$A$1:$C11025,2,0)</f>
        <v>Troglodytes musculus</v>
      </c>
      <c r="H10626" s="6" t="str">
        <f>VLOOKUP(E10626,dicionario!$A$1:$C11025,3,0)</f>
        <v>curruíra</v>
      </c>
    </row>
    <row r="10627">
      <c r="A10627" s="3">
        <v>45813.0</v>
      </c>
      <c r="B10627" s="4">
        <v>0.3368055555555556</v>
      </c>
      <c r="C10627" s="5" t="s">
        <v>85</v>
      </c>
      <c r="D10627" s="5" t="s">
        <v>1518</v>
      </c>
      <c r="E10627" s="6" t="s">
        <v>383</v>
      </c>
      <c r="F10627" s="5" t="s">
        <v>384</v>
      </c>
      <c r="G10627" s="6" t="str">
        <f>VLOOKUP(E10627,dicionario!$A$1:$C11026,2,0)</f>
        <v>Setophaga pitiayumi</v>
      </c>
      <c r="H10627" s="6" t="str">
        <f>VLOOKUP(E10627,dicionario!$A$1:$C11026,3,0)</f>
        <v>mariquita</v>
      </c>
    </row>
    <row r="10628">
      <c r="A10628" s="3">
        <v>45813.0</v>
      </c>
      <c r="B10628" s="4">
        <v>0.3375</v>
      </c>
      <c r="C10628" s="5" t="s">
        <v>85</v>
      </c>
      <c r="D10628" s="5" t="s">
        <v>1518</v>
      </c>
      <c r="E10628" s="12" t="s">
        <v>243</v>
      </c>
      <c r="F10628" s="5" t="s">
        <v>244</v>
      </c>
      <c r="G10628" s="6" t="str">
        <f>VLOOKUP(E10628,dicionario!$A$1:$C11027,2,0)</f>
        <v>Macroptilium atropurpureum</v>
      </c>
      <c r="H10628" s="6" t="str">
        <f>VLOOKUP(E10628,dicionario!$A$1:$C11027,3,0)</f>
        <v>feijão-de-pombo</v>
      </c>
    </row>
    <row r="10629">
      <c r="A10629" s="3">
        <v>45813.0</v>
      </c>
      <c r="B10629" s="4">
        <v>0.3375</v>
      </c>
      <c r="C10629" s="5" t="s">
        <v>85</v>
      </c>
      <c r="D10629" s="5" t="s">
        <v>1518</v>
      </c>
      <c r="E10629" s="8" t="s">
        <v>150</v>
      </c>
      <c r="F10629" s="5" t="s">
        <v>151</v>
      </c>
      <c r="G10629" s="6" t="str">
        <f>VLOOKUP(E10629,dicionario!$A$1:$C11028,2,0)</f>
        <v>Amaranthus viridis</v>
      </c>
      <c r="H10629" s="6" t="str">
        <f>VLOOKUP(E10629,dicionario!$A$1:$C11028,3,0)</f>
        <v>caruru-de-mancha</v>
      </c>
    </row>
    <row r="10630">
      <c r="A10630" s="3">
        <v>45813.0</v>
      </c>
      <c r="B10630" s="4">
        <v>0.33819444444444446</v>
      </c>
      <c r="C10630" s="5" t="s">
        <v>85</v>
      </c>
      <c r="D10630" s="5" t="s">
        <v>1518</v>
      </c>
      <c r="E10630" s="8" t="s">
        <v>146</v>
      </c>
      <c r="F10630" s="5" t="s">
        <v>147</v>
      </c>
      <c r="G10630" s="6" t="str">
        <f>VLOOKUP(E10630,dicionario!$A$1:$C11029,2,0)</f>
        <v>Euphorbia hirta</v>
      </c>
      <c r="H10630" s="6" t="str">
        <f>VLOOKUP(E10630,dicionario!$A$1:$C11029,3,0)</f>
        <v>erva-de-santa-luzia</v>
      </c>
    </row>
    <row r="10631">
      <c r="A10631" s="3">
        <v>45813.0</v>
      </c>
      <c r="B10631" s="4">
        <v>0.33819444444444446</v>
      </c>
      <c r="C10631" s="5" t="s">
        <v>85</v>
      </c>
      <c r="D10631" s="5" t="s">
        <v>1518</v>
      </c>
      <c r="E10631" s="6" t="s">
        <v>53</v>
      </c>
      <c r="F10631" s="5" t="s">
        <v>54</v>
      </c>
      <c r="G10631" s="6" t="str">
        <f>VLOOKUP(E10631,dicionario!$A$1:$C11030,2,0)</f>
        <v>Turnera subulata</v>
      </c>
      <c r="H10631" s="6" t="str">
        <f>VLOOKUP(E10631,dicionario!$A$1:$C11030,3,0)</f>
        <v>xanana</v>
      </c>
    </row>
    <row r="10632">
      <c r="A10632" s="3">
        <v>45813.0</v>
      </c>
      <c r="B10632" s="4">
        <v>0.33819444444444446</v>
      </c>
      <c r="C10632" s="5" t="s">
        <v>85</v>
      </c>
      <c r="D10632" s="5" t="s">
        <v>1518</v>
      </c>
      <c r="E10632" s="8" t="s">
        <v>122</v>
      </c>
      <c r="F10632" s="5" t="s">
        <v>123</v>
      </c>
      <c r="G10632" s="6" t="str">
        <f>VLOOKUP(E10632,dicionario!$A$1:$C11031,2,0)</f>
        <v>Todirostrum cinereum</v>
      </c>
      <c r="H10632" s="6" t="str">
        <f>VLOOKUP(E10632,dicionario!$A$1:$C11031,3,0)</f>
        <v>ferreirinho-relógio</v>
      </c>
    </row>
    <row r="10633">
      <c r="A10633" s="3">
        <v>45813.0</v>
      </c>
      <c r="B10633" s="4">
        <v>0.33819444444444446</v>
      </c>
      <c r="C10633" s="5" t="s">
        <v>85</v>
      </c>
      <c r="D10633" s="5" t="s">
        <v>1518</v>
      </c>
      <c r="E10633" s="6" t="s">
        <v>448</v>
      </c>
      <c r="F10633" s="5" t="s">
        <v>462</v>
      </c>
      <c r="G10633" s="6" t="str">
        <f>VLOOKUP(E10633,dicionario!$A$1:$C11032,2,0)</f>
        <v>Mechanitis polymnia</v>
      </c>
      <c r="H10633" s="6" t="str">
        <f>VLOOKUP(E10633,dicionario!$A$1:$C11032,3,0)</f>
        <v>maria-boba</v>
      </c>
    </row>
    <row r="10634">
      <c r="A10634" s="3">
        <v>45813.0</v>
      </c>
      <c r="B10634" s="4">
        <v>0.3388888888888889</v>
      </c>
      <c r="C10634" s="5" t="s">
        <v>85</v>
      </c>
      <c r="D10634" s="5" t="s">
        <v>1518</v>
      </c>
      <c r="E10634" s="6" t="s">
        <v>148</v>
      </c>
      <c r="F10634" s="5" t="s">
        <v>149</v>
      </c>
      <c r="G10634" s="6" t="str">
        <f>VLOOKUP(E10634,dicionario!$A$1:$C11033,2,0)</f>
        <v>Parthenium hysterophorus</v>
      </c>
      <c r="H10634" s="6" t="str">
        <f>VLOOKUP(E10634,dicionario!$A$1:$C11033,3,0)</f>
        <v>losna-branca</v>
      </c>
    </row>
    <row r="10635">
      <c r="A10635" s="3">
        <v>45813.0</v>
      </c>
      <c r="B10635" s="4">
        <v>0.3388888888888889</v>
      </c>
      <c r="C10635" s="5" t="s">
        <v>85</v>
      </c>
      <c r="D10635" s="5" t="s">
        <v>1518</v>
      </c>
      <c r="E10635" s="8" t="s">
        <v>83</v>
      </c>
      <c r="F10635" s="5" t="s">
        <v>84</v>
      </c>
      <c r="G10635" s="6" t="str">
        <f>VLOOKUP(E10635,dicionario!$A$1:$C11034,2,0)</f>
        <v>Anartia jatrophae</v>
      </c>
      <c r="H10635" s="6" t="str">
        <f>VLOOKUP(E10635,dicionario!$A$1:$C11034,3,0)</f>
        <v>borboleta-pavão-branco</v>
      </c>
    </row>
    <row r="10636">
      <c r="A10636" s="3">
        <v>45813.0</v>
      </c>
      <c r="B10636" s="4">
        <v>0.3388888888888889</v>
      </c>
      <c r="C10636" s="5" t="s">
        <v>85</v>
      </c>
      <c r="D10636" s="5" t="s">
        <v>1518</v>
      </c>
      <c r="E10636" s="8" t="s">
        <v>296</v>
      </c>
      <c r="F10636" s="5" t="s">
        <v>297</v>
      </c>
      <c r="G10636" s="6" t="str">
        <f>VLOOKUP(E10636,dicionario!$A$1:$C11035,2,0)</f>
        <v>Richardia brasiliensis</v>
      </c>
      <c r="H10636" s="6" t="str">
        <f>VLOOKUP(E10636,dicionario!$A$1:$C11035,3,0)</f>
        <v>poaia-branca</v>
      </c>
    </row>
    <row r="10637">
      <c r="A10637" s="3">
        <v>45813.0</v>
      </c>
      <c r="B10637" s="4">
        <v>0.3388888888888889</v>
      </c>
      <c r="C10637" s="5" t="s">
        <v>85</v>
      </c>
      <c r="D10637" s="5" t="s">
        <v>1518</v>
      </c>
      <c r="E10637" s="8" t="s">
        <v>253</v>
      </c>
      <c r="F10637" s="5" t="s">
        <v>254</v>
      </c>
      <c r="G10637" s="6" t="str">
        <f>VLOOKUP(E10637,dicionario!$A$1:$C11036,2,0)</f>
        <v>Panicum maximum</v>
      </c>
      <c r="H10637" s="6" t="str">
        <f>VLOOKUP(E10637,dicionario!$A$1:$C11036,3,0)</f>
        <v>capim-colonião</v>
      </c>
    </row>
    <row r="10638">
      <c r="A10638" s="3">
        <v>45813.0</v>
      </c>
      <c r="B10638" s="4">
        <v>0.33958333333333335</v>
      </c>
      <c r="C10638" s="5" t="s">
        <v>85</v>
      </c>
      <c r="D10638" s="5" t="s">
        <v>1518</v>
      </c>
      <c r="E10638" s="8" t="s">
        <v>1310</v>
      </c>
      <c r="F10638" s="5" t="s">
        <v>521</v>
      </c>
      <c r="G10638" s="6" t="str">
        <f>VLOOKUP(E10638,dicionario!$A$1:$C11037,2,0)</f>
        <v>#N/A</v>
      </c>
      <c r="H10638" s="6" t="str">
        <f>VLOOKUP(E10638,dicionario!$A$1:$C11037,3,0)</f>
        <v>#N/A</v>
      </c>
    </row>
    <row r="10639">
      <c r="A10639" s="3">
        <v>45813.0</v>
      </c>
      <c r="B10639" s="4">
        <v>0.33958333333333335</v>
      </c>
      <c r="C10639" s="5" t="s">
        <v>85</v>
      </c>
      <c r="D10639" s="5" t="s">
        <v>1518</v>
      </c>
      <c r="E10639" s="8" t="s">
        <v>144</v>
      </c>
      <c r="F10639" s="5" t="s">
        <v>145</v>
      </c>
      <c r="G10639" s="6" t="str">
        <f>VLOOKUP(E10639,dicionario!$A$1:$C11038,2,0)</f>
        <v>Gomphrena globosa</v>
      </c>
      <c r="H10639" s="6" t="str">
        <f>VLOOKUP(E10639,dicionario!$A$1:$C11038,3,0)</f>
        <v>perpétua-rosa</v>
      </c>
    </row>
    <row r="10640">
      <c r="A10640" s="3">
        <v>45813.0</v>
      </c>
      <c r="B10640" s="4">
        <v>0.3402777777777778</v>
      </c>
      <c r="C10640" s="5" t="s">
        <v>85</v>
      </c>
      <c r="D10640" s="5" t="s">
        <v>1518</v>
      </c>
      <c r="E10640" s="72" t="s">
        <v>648</v>
      </c>
      <c r="F10640" s="5" t="s">
        <v>649</v>
      </c>
      <c r="G10640" s="6" t="str">
        <f>VLOOKUP(E10640,dicionario!$A$1:$C11039,2,0)</f>
        <v>Burnsius orcus</v>
      </c>
      <c r="H10640" s="6" t="str">
        <f>VLOOKUP(E10640,dicionario!$A$1:$C11039,3,0)</f>
        <v/>
      </c>
    </row>
    <row r="10641">
      <c r="A10641" s="3">
        <v>45813.0</v>
      </c>
      <c r="B10641" s="4">
        <v>0.3402777777777778</v>
      </c>
      <c r="C10641" s="5" t="s">
        <v>85</v>
      </c>
      <c r="D10641" s="5" t="s">
        <v>1518</v>
      </c>
      <c r="E10641" s="8" t="s">
        <v>65</v>
      </c>
      <c r="F10641" s="5" t="s">
        <v>66</v>
      </c>
      <c r="G10641" s="6" t="str">
        <f>VLOOKUP(E10641,dicionario!$A$1:$C11040,2,0)</f>
        <v>Pitangus sulphutarus</v>
      </c>
      <c r="H10641" s="6" t="str">
        <f>VLOOKUP(E10641,dicionario!$A$1:$C11040,3,0)</f>
        <v>bem-te-vi</v>
      </c>
    </row>
    <row r="10642">
      <c r="A10642" s="3">
        <v>45813.0</v>
      </c>
      <c r="B10642" s="4">
        <v>0.34097222222222223</v>
      </c>
      <c r="C10642" s="5" t="s">
        <v>85</v>
      </c>
      <c r="D10642" s="5" t="s">
        <v>1518</v>
      </c>
      <c r="E10642" s="8" t="s">
        <v>88</v>
      </c>
      <c r="F10642" s="5" t="s">
        <v>89</v>
      </c>
      <c r="G10642" s="6" t="str">
        <f>VLOOKUP(E10642,dicionario!$A$1:$C11041,2,0)</f>
        <v>Tyrannus melancolichus</v>
      </c>
      <c r="H10642" s="6" t="str">
        <f>VLOOKUP(E10642,dicionario!$A$1:$C11041,3,0)</f>
        <v>suiriri</v>
      </c>
    </row>
    <row r="10643">
      <c r="A10643" s="3">
        <v>45813.0</v>
      </c>
      <c r="B10643" s="4">
        <v>0.34097222222222223</v>
      </c>
      <c r="C10643" s="5" t="s">
        <v>85</v>
      </c>
      <c r="D10643" s="5" t="s">
        <v>1518</v>
      </c>
      <c r="E10643" s="8" t="s">
        <v>200</v>
      </c>
      <c r="F10643" s="5" t="s">
        <v>201</v>
      </c>
      <c r="G10643" s="6" t="str">
        <f>VLOOKUP(E10643,dicionario!$A$1:$C11042,2,0)</f>
        <v>Columbina picui </v>
      </c>
      <c r="H10643" s="6" t="str">
        <f>VLOOKUP(E10643,dicionario!$A$1:$C11042,3,0)</f>
        <v>rolinha-picuí</v>
      </c>
    </row>
    <row r="10644">
      <c r="A10644" s="3">
        <v>45813.0</v>
      </c>
      <c r="B10644" s="4">
        <v>0.3416666666666667</v>
      </c>
      <c r="C10644" s="5" t="s">
        <v>85</v>
      </c>
      <c r="D10644" s="5" t="s">
        <v>1518</v>
      </c>
      <c r="E10644" s="8" t="s">
        <v>821</v>
      </c>
      <c r="F10644" s="5" t="s">
        <v>876</v>
      </c>
      <c r="G10644" s="6" t="str">
        <f>VLOOKUP(E10644,dicionario!$A$1:$C11043,2,0)</f>
        <v>Schefflera actinophylla</v>
      </c>
      <c r="H10644" s="6" t="str">
        <f>VLOOKUP(E10644,dicionario!$A$1:$C11043,3,0)</f>
        <v>árvore-guarda-chuva</v>
      </c>
    </row>
    <row r="10645">
      <c r="A10645" s="3">
        <v>45813.0</v>
      </c>
      <c r="B10645" s="4">
        <v>0.3423611111111111</v>
      </c>
      <c r="C10645" s="5" t="s">
        <v>85</v>
      </c>
      <c r="D10645" s="5" t="s">
        <v>1518</v>
      </c>
      <c r="E10645" s="8" t="s">
        <v>353</v>
      </c>
      <c r="F10645" s="5" t="s">
        <v>354</v>
      </c>
      <c r="G10645" s="6" t="str">
        <f>VLOOKUP(E10645,dicionario!$A$1:$C11044,2,0)</f>
        <v>Desmodium incanum</v>
      </c>
      <c r="H10645" s="6" t="str">
        <f>VLOOKUP(E10645,dicionario!$A$1:$C11044,3,0)</f>
        <v>pega-pega</v>
      </c>
    </row>
    <row r="10646">
      <c r="A10646" s="3">
        <v>45813.0</v>
      </c>
      <c r="B10646" s="4">
        <v>0.3423611111111111</v>
      </c>
      <c r="C10646" s="5" t="s">
        <v>85</v>
      </c>
      <c r="D10646" s="5" t="s">
        <v>1518</v>
      </c>
      <c r="E10646" s="8" t="s">
        <v>1406</v>
      </c>
      <c r="F10646" s="5" t="s">
        <v>172</v>
      </c>
      <c r="G10646" s="6" t="str">
        <f>VLOOKUP(E10646,dicionario!$A$1:$C11045,2,0)</f>
        <v>#N/A</v>
      </c>
      <c r="H10646" s="6" t="str">
        <f>VLOOKUP(E10646,dicionario!$A$1:$C11045,3,0)</f>
        <v>#N/A</v>
      </c>
    </row>
    <row r="10647">
      <c r="A10647" s="3">
        <v>45813.0</v>
      </c>
      <c r="B10647" s="4">
        <v>0.34305555555555556</v>
      </c>
      <c r="C10647" s="5" t="s">
        <v>90</v>
      </c>
      <c r="D10647" s="5" t="s">
        <v>1518</v>
      </c>
      <c r="E10647" s="8" t="s">
        <v>191</v>
      </c>
      <c r="F10647" s="5" t="s">
        <v>192</v>
      </c>
      <c r="G10647" s="6" t="str">
        <f>VLOOKUP(E10647,dicionario!$A$1:$C11046,2,0)</f>
        <v>Patagioenas picazuro</v>
      </c>
      <c r="H10647" s="6" t="str">
        <f>VLOOKUP(E10647,dicionario!$A$1:$C11046,3,0)</f>
        <v>asa-branca; pomba-asa-branca; pocaçu</v>
      </c>
    </row>
    <row r="10648">
      <c r="A10648" s="3">
        <v>45813.0</v>
      </c>
      <c r="B10648" s="4">
        <v>0.34305555555555556</v>
      </c>
      <c r="C10648" s="5" t="s">
        <v>90</v>
      </c>
      <c r="D10648" s="5" t="s">
        <v>1518</v>
      </c>
      <c r="E10648" s="8" t="s">
        <v>1427</v>
      </c>
      <c r="F10648" s="5" t="s">
        <v>44</v>
      </c>
      <c r="G10648" s="6" t="str">
        <f>VLOOKUP(E10648,dicionario!$A$1:$C11047,2,0)</f>
        <v>#N/A</v>
      </c>
      <c r="H10648" s="6" t="str">
        <f>VLOOKUP(E10648,dicionario!$A$1:$C11047,3,0)</f>
        <v>#N/A</v>
      </c>
    </row>
    <row r="10649">
      <c r="A10649" s="3">
        <v>45813.0</v>
      </c>
      <c r="B10649" s="4">
        <v>0.34305555555555556</v>
      </c>
      <c r="C10649" s="5" t="s">
        <v>90</v>
      </c>
      <c r="D10649" s="5" t="s">
        <v>1518</v>
      </c>
      <c r="E10649" s="6" t="s">
        <v>148</v>
      </c>
      <c r="F10649" s="5" t="s">
        <v>149</v>
      </c>
      <c r="G10649" s="6" t="str">
        <f>VLOOKUP(E10649,dicionario!$A$1:$C11048,2,0)</f>
        <v>Parthenium hysterophorus</v>
      </c>
      <c r="H10649" s="6" t="str">
        <f>VLOOKUP(E10649,dicionario!$A$1:$C11048,3,0)</f>
        <v>losna-branca</v>
      </c>
    </row>
    <row r="10650">
      <c r="A10650" s="3">
        <v>45813.0</v>
      </c>
      <c r="B10650" s="4">
        <v>0.34305555555555556</v>
      </c>
      <c r="C10650" s="5" t="s">
        <v>90</v>
      </c>
      <c r="D10650" s="5" t="s">
        <v>1518</v>
      </c>
      <c r="E10650" s="8" t="s">
        <v>253</v>
      </c>
      <c r="F10650" s="5" t="s">
        <v>254</v>
      </c>
      <c r="G10650" s="6" t="str">
        <f>VLOOKUP(E10650,dicionario!$A$1:$C11049,2,0)</f>
        <v>Panicum maximum</v>
      </c>
      <c r="H10650" s="6" t="str">
        <f>VLOOKUP(E10650,dicionario!$A$1:$C11049,3,0)</f>
        <v>capim-colonião</v>
      </c>
    </row>
    <row r="10651">
      <c r="A10651" s="3">
        <v>45813.0</v>
      </c>
      <c r="B10651" s="4">
        <v>0.34305555555555556</v>
      </c>
      <c r="C10651" s="5" t="s">
        <v>90</v>
      </c>
      <c r="D10651" s="5" t="s">
        <v>1518</v>
      </c>
      <c r="E10651" s="8" t="s">
        <v>298</v>
      </c>
      <c r="F10651" s="5"/>
      <c r="G10651" s="6" t="str">
        <f>VLOOKUP(E10651,dicionario!$A$1:$C11050,2,0)</f>
        <v>Alysicarpus vaginalis</v>
      </c>
      <c r="H10651" s="6" t="str">
        <f>VLOOKUP(E10651,dicionario!$A$1:$C11050,3,0)</f>
        <v/>
      </c>
    </row>
    <row r="10652">
      <c r="A10652" s="3">
        <v>45813.0</v>
      </c>
      <c r="B10652" s="4">
        <v>0.34305555555555556</v>
      </c>
      <c r="C10652" s="5" t="s">
        <v>90</v>
      </c>
      <c r="D10652" s="5" t="s">
        <v>1518</v>
      </c>
      <c r="E10652" s="8" t="s">
        <v>1406</v>
      </c>
      <c r="F10652" s="5" t="s">
        <v>172</v>
      </c>
      <c r="G10652" s="6" t="str">
        <f>VLOOKUP(E10652,dicionario!$A$1:$C11051,2,0)</f>
        <v>#N/A</v>
      </c>
      <c r="H10652" s="6" t="str">
        <f>VLOOKUP(E10652,dicionario!$A$1:$C11051,3,0)</f>
        <v>#N/A</v>
      </c>
    </row>
    <row r="10653">
      <c r="A10653" s="3">
        <v>45813.0</v>
      </c>
      <c r="B10653" s="4">
        <v>0.34375</v>
      </c>
      <c r="C10653" s="5" t="s">
        <v>90</v>
      </c>
      <c r="D10653" s="5" t="s">
        <v>1518</v>
      </c>
      <c r="E10653" s="8" t="s">
        <v>253</v>
      </c>
      <c r="F10653" s="5" t="s">
        <v>254</v>
      </c>
      <c r="G10653" s="6" t="str">
        <f>VLOOKUP(E10653,dicionario!$A$1:$C11052,2,0)</f>
        <v>Panicum maximum</v>
      </c>
      <c r="H10653" s="6" t="str">
        <f>VLOOKUP(E10653,dicionario!$A$1:$C11052,3,0)</f>
        <v>capim-colonião</v>
      </c>
    </row>
    <row r="10654">
      <c r="A10654" s="3">
        <v>45813.0</v>
      </c>
      <c r="B10654" s="4">
        <v>0.34375</v>
      </c>
      <c r="C10654" s="5" t="s">
        <v>90</v>
      </c>
      <c r="D10654" s="5" t="s">
        <v>1518</v>
      </c>
      <c r="E10654" s="8" t="s">
        <v>38</v>
      </c>
      <c r="F10654" s="5" t="s">
        <v>39</v>
      </c>
      <c r="G10654" s="6" t="str">
        <f>VLOOKUP(E10654,dicionario!$A$1:$C11053,2,0)</f>
        <v>Troglodytes musculus</v>
      </c>
      <c r="H10654" s="6" t="str">
        <f>VLOOKUP(E10654,dicionario!$A$1:$C11053,3,0)</f>
        <v>curruíra</v>
      </c>
    </row>
    <row r="10655">
      <c r="A10655" s="3">
        <v>45813.0</v>
      </c>
      <c r="B10655" s="4">
        <v>0.34375</v>
      </c>
      <c r="C10655" s="5" t="s">
        <v>90</v>
      </c>
      <c r="D10655" s="5" t="s">
        <v>1518</v>
      </c>
      <c r="E10655" s="8" t="s">
        <v>88</v>
      </c>
      <c r="F10655" s="5" t="s">
        <v>89</v>
      </c>
      <c r="G10655" s="6" t="str">
        <f>VLOOKUP(E10655,dicionario!$A$1:$C11054,2,0)</f>
        <v>Tyrannus melancolichus</v>
      </c>
      <c r="H10655" s="6" t="str">
        <f>VLOOKUP(E10655,dicionario!$A$1:$C11054,3,0)</f>
        <v>suiriri</v>
      </c>
    </row>
    <row r="10656">
      <c r="A10656" s="3">
        <v>45813.0</v>
      </c>
      <c r="B10656" s="4">
        <v>0.34375</v>
      </c>
      <c r="C10656" s="5" t="s">
        <v>90</v>
      </c>
      <c r="D10656" s="5" t="s">
        <v>1518</v>
      </c>
      <c r="E10656" s="8" t="s">
        <v>99</v>
      </c>
      <c r="F10656" s="5" t="s">
        <v>508</v>
      </c>
      <c r="G10656" s="6" t="str">
        <f>VLOOKUP(E10656,dicionario!$A$1:$C11055,2,0)</f>
        <v>Molothrus bonariensis</v>
      </c>
      <c r="H10656" s="6" t="str">
        <f>VLOOKUP(E10656,dicionario!$A$1:$C11055,3,0)</f>
        <v>chupim</v>
      </c>
    </row>
    <row r="10657">
      <c r="A10657" s="3">
        <v>45813.0</v>
      </c>
      <c r="B10657" s="4">
        <v>0.34375</v>
      </c>
      <c r="C10657" s="5" t="s">
        <v>90</v>
      </c>
      <c r="D10657" s="5" t="s">
        <v>1518</v>
      </c>
      <c r="E10657" s="8" t="s">
        <v>65</v>
      </c>
      <c r="F10657" s="5" t="s">
        <v>66</v>
      </c>
      <c r="G10657" s="6" t="str">
        <f>VLOOKUP(E10657,dicionario!$A$1:$C11056,2,0)</f>
        <v>Pitangus sulphutarus</v>
      </c>
      <c r="H10657" s="6" t="str">
        <f>VLOOKUP(E10657,dicionario!$A$1:$C11056,3,0)</f>
        <v>bem-te-vi</v>
      </c>
    </row>
    <row r="10658">
      <c r="A10658" s="3">
        <v>45813.0</v>
      </c>
      <c r="B10658" s="4">
        <v>0.34444444444444444</v>
      </c>
      <c r="C10658" s="5" t="s">
        <v>90</v>
      </c>
      <c r="D10658" s="5" t="s">
        <v>1518</v>
      </c>
      <c r="E10658" s="8" t="s">
        <v>719</v>
      </c>
      <c r="F10658" s="5" t="s">
        <v>720</v>
      </c>
      <c r="G10658" s="6" t="str">
        <f>VLOOKUP(E10658,dicionario!$A$1:$C11057,2,0)</f>
        <v>Dirinaria</v>
      </c>
      <c r="H10658" s="6" t="str">
        <f>VLOOKUP(E10658,dicionario!$A$1:$C11057,3,0)</f>
        <v>líquen-crostoso</v>
      </c>
    </row>
    <row r="10659">
      <c r="A10659" s="3">
        <v>45813.0</v>
      </c>
      <c r="B10659" s="4">
        <v>0.34444444444444444</v>
      </c>
      <c r="C10659" s="5" t="s">
        <v>90</v>
      </c>
      <c r="D10659" s="5" t="s">
        <v>1518</v>
      </c>
      <c r="E10659" s="8" t="s">
        <v>712</v>
      </c>
      <c r="F10659" s="5" t="s">
        <v>718</v>
      </c>
      <c r="G10659" s="6" t="str">
        <f>VLOOKUP(E10659,dicionario!$A$1:$C11058,2,0)</f>
        <v>Flavopunctelia soredica</v>
      </c>
      <c r="H10659" s="6" t="str">
        <f>VLOOKUP(E10659,dicionario!$A$1:$C11058,3,0)</f>
        <v>líquen-folioso</v>
      </c>
    </row>
    <row r="10660">
      <c r="A10660" s="3">
        <v>45813.0</v>
      </c>
      <c r="B10660" s="4">
        <v>0.34444444444444444</v>
      </c>
      <c r="C10660" s="5" t="s">
        <v>90</v>
      </c>
      <c r="D10660" s="5" t="s">
        <v>1518</v>
      </c>
      <c r="E10660" s="8" t="s">
        <v>107</v>
      </c>
      <c r="F10660" s="5" t="s">
        <v>108</v>
      </c>
      <c r="G10660" s="6" t="str">
        <f>VLOOKUP(E10660,dicionario!$A$1:$C11059,2,0)</f>
        <v>Ramalina complanata</v>
      </c>
      <c r="H10660" s="6" t="str">
        <f>VLOOKUP(E10660,dicionario!$A$1:$C11059,3,0)</f>
        <v>ramalina</v>
      </c>
    </row>
    <row r="10661">
      <c r="A10661" s="3">
        <v>45813.0</v>
      </c>
      <c r="B10661" s="4">
        <v>0.3451388888888889</v>
      </c>
      <c r="C10661" s="5" t="s">
        <v>90</v>
      </c>
      <c r="D10661" s="5" t="s">
        <v>1518</v>
      </c>
      <c r="E10661" s="8" t="s">
        <v>163</v>
      </c>
      <c r="F10661" s="5" t="s">
        <v>164</v>
      </c>
      <c r="G10661" s="6" t="str">
        <f>VLOOKUP(E10661,dicionario!$A$1:$C11060,2,0)</f>
        <v>Coragyps atratus</v>
      </c>
      <c r="H10661" s="6" t="str">
        <f>VLOOKUP(E10661,dicionario!$A$1:$C11060,3,0)</f>
        <v>urubu-de-cabeça-preta</v>
      </c>
    </row>
    <row r="10662">
      <c r="A10662" s="3">
        <v>45813.0</v>
      </c>
      <c r="B10662" s="4">
        <v>0.3451388888888889</v>
      </c>
      <c r="C10662" s="5" t="s">
        <v>90</v>
      </c>
      <c r="D10662" s="5" t="s">
        <v>1518</v>
      </c>
      <c r="E10662" s="8" t="s">
        <v>1036</v>
      </c>
      <c r="F10662" s="5" t="s">
        <v>1037</v>
      </c>
      <c r="G10662" s="6" t="str">
        <f>VLOOKUP(E10662,dicionario!$A$1:$C11061,2,0)</f>
        <v>#N/A</v>
      </c>
      <c r="H10662" s="6" t="str">
        <f>VLOOKUP(E10662,dicionario!$A$1:$C11061,3,0)</f>
        <v>#N/A</v>
      </c>
    </row>
    <row r="10663">
      <c r="A10663" s="3">
        <v>45813.0</v>
      </c>
      <c r="B10663" s="4">
        <v>0.3451388888888889</v>
      </c>
      <c r="C10663" s="5" t="s">
        <v>90</v>
      </c>
      <c r="D10663" s="5" t="s">
        <v>1518</v>
      </c>
      <c r="E10663" s="8" t="s">
        <v>1175</v>
      </c>
      <c r="F10663" s="5" t="s">
        <v>1176</v>
      </c>
      <c r="G10663" s="6" t="str">
        <f>VLOOKUP(E10663,dicionario!$A$1:$C11062,2,0)</f>
        <v>Danaus erippus</v>
      </c>
      <c r="H10663" s="6" t="str">
        <f>VLOOKUP(E10663,dicionario!$A$1:$C11062,3,0)</f>
        <v>borboleta-monarca-do-sul</v>
      </c>
    </row>
    <row r="10664">
      <c r="A10664" s="3">
        <v>45813.0</v>
      </c>
      <c r="B10664" s="4">
        <v>0.3458333333333333</v>
      </c>
      <c r="C10664" s="5" t="s">
        <v>90</v>
      </c>
      <c r="D10664" s="5" t="s">
        <v>1518</v>
      </c>
      <c r="E10664" s="8" t="s">
        <v>113</v>
      </c>
      <c r="F10664" s="5" t="s">
        <v>114</v>
      </c>
      <c r="G10664" s="6" t="str">
        <f>VLOOKUP(E10664,dicionario!$A$1:$C11063,2,0)</f>
        <v>Columbina talpacoti</v>
      </c>
      <c r="H10664" s="6" t="str">
        <f>VLOOKUP(E10664,dicionario!$A$1:$C11063,3,0)</f>
        <v>rolinha-roxa</v>
      </c>
    </row>
    <row r="10665">
      <c r="A10665" s="3">
        <v>45813.0</v>
      </c>
      <c r="B10665" s="4">
        <v>0.3458333333333333</v>
      </c>
      <c r="C10665" s="5" t="s">
        <v>90</v>
      </c>
      <c r="D10665" s="5" t="s">
        <v>1518</v>
      </c>
      <c r="E10665" s="6" t="s">
        <v>448</v>
      </c>
      <c r="F10665" s="5" t="s">
        <v>462</v>
      </c>
      <c r="G10665" s="6" t="str">
        <f>VLOOKUP(E10665,dicionario!$A$1:$C11064,2,0)</f>
        <v>Mechanitis polymnia</v>
      </c>
      <c r="H10665" s="6" t="str">
        <f>VLOOKUP(E10665,dicionario!$A$1:$C11064,3,0)</f>
        <v>maria-boba</v>
      </c>
    </row>
    <row r="10666">
      <c r="A10666" s="3">
        <v>45813.0</v>
      </c>
      <c r="B10666" s="4">
        <v>0.3458333333333333</v>
      </c>
      <c r="C10666" s="5" t="s">
        <v>90</v>
      </c>
      <c r="D10666" s="5" t="s">
        <v>1518</v>
      </c>
      <c r="E10666" s="8" t="s">
        <v>38</v>
      </c>
      <c r="F10666" s="5" t="s">
        <v>1251</v>
      </c>
      <c r="G10666" s="6" t="str">
        <f>VLOOKUP(E10666,dicionario!$A$1:$C11065,2,0)</f>
        <v>Troglodytes musculus</v>
      </c>
      <c r="H10666" s="6" t="str">
        <f>VLOOKUP(E10666,dicionario!$A$1:$C11065,3,0)</f>
        <v>curruíra</v>
      </c>
    </row>
    <row r="10667">
      <c r="A10667" s="3">
        <v>45813.0</v>
      </c>
      <c r="B10667" s="4">
        <v>0.34652777777777777</v>
      </c>
      <c r="C10667" s="5" t="s">
        <v>90</v>
      </c>
      <c r="D10667" s="5" t="s">
        <v>1518</v>
      </c>
      <c r="E10667" s="8" t="s">
        <v>105</v>
      </c>
      <c r="F10667" s="5" t="s">
        <v>106</v>
      </c>
      <c r="G10667" s="6" t="str">
        <f>VLOOKUP(E10667,dicionario!$A$1:$C11066,2,0)</f>
        <v>Progne tapera</v>
      </c>
      <c r="H10667" s="6" t="str">
        <f>VLOOKUP(E10667,dicionario!$A$1:$C11066,3,0)</f>
        <v>andorinha-do-campo</v>
      </c>
    </row>
    <row r="10668">
      <c r="A10668" s="3">
        <v>45813.0</v>
      </c>
      <c r="B10668" s="4">
        <v>0.3472222222222222</v>
      </c>
      <c r="C10668" s="5" t="s">
        <v>90</v>
      </c>
      <c r="D10668" s="5" t="s">
        <v>1518</v>
      </c>
      <c r="E10668" s="8" t="s">
        <v>60</v>
      </c>
      <c r="F10668" s="5" t="s">
        <v>61</v>
      </c>
      <c r="G10668" s="6" t="str">
        <f>VLOOKUP(E10668,dicionario!$A$1:$C11067,2,0)</f>
        <v>Vanellus chilensis</v>
      </c>
      <c r="H10668" s="6" t="str">
        <f>VLOOKUP(E10668,dicionario!$A$1:$C11067,3,0)</f>
        <v>quero-quero</v>
      </c>
    </row>
    <row r="10669">
      <c r="A10669" s="3">
        <v>45813.0</v>
      </c>
      <c r="B10669" s="4">
        <v>0.3486111111111111</v>
      </c>
      <c r="C10669" s="5" t="s">
        <v>90</v>
      </c>
      <c r="D10669" s="5" t="s">
        <v>1518</v>
      </c>
      <c r="E10669" s="8" t="s">
        <v>338</v>
      </c>
      <c r="F10669" s="5" t="s">
        <v>238</v>
      </c>
      <c r="G10669" s="6" t="str">
        <f>VLOOKUP(E10669,dicionario!$A$1:$C11068,2,0)</f>
        <v>Atta</v>
      </c>
      <c r="H10669" s="6" t="str">
        <f>VLOOKUP(E10669,dicionario!$A$1:$C11068,3,0)</f>
        <v>saúva</v>
      </c>
    </row>
    <row r="10670">
      <c r="A10670" s="3">
        <v>45820.0</v>
      </c>
      <c r="B10670" s="4">
        <v>0.2638888888888889</v>
      </c>
      <c r="C10670" s="5" t="s">
        <v>90</v>
      </c>
      <c r="D10670" s="5" t="s">
        <v>1526</v>
      </c>
      <c r="E10670" s="8" t="s">
        <v>109</v>
      </c>
      <c r="F10670" s="5" t="s">
        <v>1527</v>
      </c>
      <c r="G10670" s="6" t="str">
        <f>VLOOKUP(E10670,dicionario!$A$1:$C11069,2,0)</f>
        <v>Tillandsia stricta</v>
      </c>
      <c r="H10670" s="6" t="str">
        <f>VLOOKUP(E10670,dicionario!$A$1:$C11069,3,0)</f>
        <v>cravo-do-mato</v>
      </c>
    </row>
    <row r="10671">
      <c r="A10671" s="3">
        <v>45820.0</v>
      </c>
      <c r="B10671" s="4">
        <v>0.2638888888888889</v>
      </c>
      <c r="C10671" s="5" t="s">
        <v>90</v>
      </c>
      <c r="D10671" s="5" t="s">
        <v>1526</v>
      </c>
      <c r="E10671" s="8" t="s">
        <v>719</v>
      </c>
      <c r="F10671" s="5" t="s">
        <v>1528</v>
      </c>
      <c r="G10671" s="6" t="str">
        <f>VLOOKUP(E10671,dicionario!$A$1:$C11070,2,0)</f>
        <v>Dirinaria</v>
      </c>
      <c r="H10671" s="6" t="str">
        <f>VLOOKUP(E10671,dicionario!$A$1:$C11070,3,0)</f>
        <v>líquen-crostoso</v>
      </c>
    </row>
    <row r="10672">
      <c r="A10672" s="3">
        <v>45820.0</v>
      </c>
      <c r="B10672" s="4">
        <v>0.2652777777777778</v>
      </c>
      <c r="C10672" s="5" t="s">
        <v>90</v>
      </c>
      <c r="D10672" s="5" t="s">
        <v>1526</v>
      </c>
      <c r="E10672" s="8" t="s">
        <v>712</v>
      </c>
      <c r="F10672" s="5" t="s">
        <v>1529</v>
      </c>
      <c r="G10672" s="6" t="str">
        <f>VLOOKUP(E10672,dicionario!$A$1:$C11071,2,0)</f>
        <v>Flavopunctelia soredica</v>
      </c>
      <c r="H10672" s="6" t="str">
        <f>VLOOKUP(E10672,dicionario!$A$1:$C11071,3,0)</f>
        <v>líquen-folioso</v>
      </c>
    </row>
    <row r="10673">
      <c r="A10673" s="3">
        <v>45820.0</v>
      </c>
      <c r="B10673" s="4">
        <v>0.2652777777777778</v>
      </c>
      <c r="C10673" s="5" t="s">
        <v>90</v>
      </c>
      <c r="D10673" s="5" t="s">
        <v>1526</v>
      </c>
      <c r="E10673" s="8" t="s">
        <v>107</v>
      </c>
      <c r="F10673" s="5" t="s">
        <v>1530</v>
      </c>
      <c r="G10673" s="6" t="str">
        <f>VLOOKUP(E10673,dicionario!$A$1:$C11072,2,0)</f>
        <v>Ramalina complanata</v>
      </c>
      <c r="H10673" s="6" t="str">
        <f>VLOOKUP(E10673,dicionario!$A$1:$C11072,3,0)</f>
        <v>ramalina</v>
      </c>
    </row>
    <row r="10674">
      <c r="A10674" s="3">
        <v>45820.0</v>
      </c>
      <c r="B10674" s="4">
        <v>0.2652777777777778</v>
      </c>
      <c r="C10674" s="5" t="s">
        <v>90</v>
      </c>
      <c r="D10674" s="5" t="s">
        <v>1526</v>
      </c>
      <c r="E10674" s="8" t="s">
        <v>752</v>
      </c>
      <c r="F10674" s="5" t="s">
        <v>969</v>
      </c>
      <c r="G10674" s="6" t="str">
        <f>VLOOKUP(E10674,dicionario!$A$1:$C11073,2,0)</f>
        <v>#N/A</v>
      </c>
      <c r="H10674" s="6" t="str">
        <f>VLOOKUP(E10674,dicionario!$A$1:$C11073,3,0)</f>
        <v>#N/A</v>
      </c>
    </row>
    <row r="10675">
      <c r="A10675" s="3">
        <v>45820.0</v>
      </c>
      <c r="B10675" s="4">
        <v>0.2659722222222222</v>
      </c>
      <c r="C10675" s="5" t="s">
        <v>90</v>
      </c>
      <c r="D10675" s="5" t="s">
        <v>1526</v>
      </c>
      <c r="E10675" s="8" t="s">
        <v>298</v>
      </c>
      <c r="F10675" s="5"/>
      <c r="G10675" s="6" t="str">
        <f>VLOOKUP(E10675,dicionario!$A$1:$C11074,2,0)</f>
        <v>Alysicarpus vaginalis</v>
      </c>
      <c r="H10675" s="6" t="str">
        <f>VLOOKUP(E10675,dicionario!$A$1:$C11074,3,0)</f>
        <v/>
      </c>
    </row>
    <row r="10676">
      <c r="A10676" s="3">
        <v>45820.0</v>
      </c>
      <c r="B10676" s="4">
        <v>0.2659722222222222</v>
      </c>
      <c r="C10676" s="5" t="s">
        <v>90</v>
      </c>
      <c r="D10676" s="5" t="s">
        <v>1526</v>
      </c>
      <c r="E10676" s="8" t="s">
        <v>163</v>
      </c>
      <c r="F10676" s="5" t="s">
        <v>1531</v>
      </c>
      <c r="G10676" s="6" t="str">
        <f>VLOOKUP(E10676,dicionario!$A$1:$C11075,2,0)</f>
        <v>Coragyps atratus</v>
      </c>
      <c r="H10676" s="6" t="str">
        <f>VLOOKUP(E10676,dicionario!$A$1:$C11075,3,0)</f>
        <v>urubu-de-cabeça-preta</v>
      </c>
    </row>
    <row r="10677">
      <c r="A10677" s="3">
        <v>45820.0</v>
      </c>
      <c r="B10677" s="4">
        <v>0.2659722222222222</v>
      </c>
      <c r="C10677" s="5" t="s">
        <v>90</v>
      </c>
      <c r="D10677" s="5" t="s">
        <v>1526</v>
      </c>
      <c r="E10677" s="8" t="s">
        <v>213</v>
      </c>
      <c r="F10677" s="7" t="s">
        <v>214</v>
      </c>
      <c r="G10677" s="6" t="str">
        <f>VLOOKUP(E10677,dicionario!$A$1:$C11076,2,0)</f>
        <v>Myiozetetes similis</v>
      </c>
      <c r="H10677" s="6" t="str">
        <f>VLOOKUP(E10677,dicionario!$A$1:$C11076,3,0)</f>
        <v>bentevizinho-de-penacho-vermelho</v>
      </c>
    </row>
    <row r="10678">
      <c r="A10678" s="3">
        <v>45820.0</v>
      </c>
      <c r="B10678" s="4">
        <v>0.2659722222222222</v>
      </c>
      <c r="C10678" s="5" t="s">
        <v>90</v>
      </c>
      <c r="D10678" s="5" t="s">
        <v>1526</v>
      </c>
      <c r="E10678" s="6" t="s">
        <v>383</v>
      </c>
      <c r="F10678" s="5" t="s">
        <v>1532</v>
      </c>
      <c r="G10678" s="6" t="str">
        <f>VLOOKUP(E10678,dicionario!$A$1:$C11077,2,0)</f>
        <v>Setophaga pitiayumi</v>
      </c>
      <c r="H10678" s="6" t="str">
        <f>VLOOKUP(E10678,dicionario!$A$1:$C11077,3,0)</f>
        <v>mariquita</v>
      </c>
    </row>
    <row r="10679">
      <c r="A10679" s="3">
        <v>45820.0</v>
      </c>
      <c r="B10679" s="4">
        <v>0.26666666666666666</v>
      </c>
      <c r="C10679" s="5" t="s">
        <v>90</v>
      </c>
      <c r="D10679" s="5" t="s">
        <v>1526</v>
      </c>
      <c r="E10679" s="8" t="s">
        <v>65</v>
      </c>
      <c r="F10679" s="5" t="s">
        <v>66</v>
      </c>
      <c r="G10679" s="6" t="str">
        <f>VLOOKUP(E10679,dicionario!$A$1:$C11078,2,0)</f>
        <v>Pitangus sulphutarus</v>
      </c>
      <c r="H10679" s="6" t="str">
        <f>VLOOKUP(E10679,dicionario!$A$1:$C11078,3,0)</f>
        <v>bem-te-vi</v>
      </c>
    </row>
    <row r="10680">
      <c r="A10680" s="3">
        <v>45820.0</v>
      </c>
      <c r="B10680" s="4">
        <v>0.26944444444444443</v>
      </c>
      <c r="C10680" s="5" t="s">
        <v>90</v>
      </c>
      <c r="D10680" s="5" t="s">
        <v>1526</v>
      </c>
      <c r="E10680" s="8" t="s">
        <v>624</v>
      </c>
      <c r="F10680" s="5" t="s">
        <v>133</v>
      </c>
      <c r="G10680" s="6" t="str">
        <f>VLOOKUP(E10680,dicionario!$A$1:$C11079,2,0)</f>
        <v>Euphonia violacea</v>
      </c>
      <c r="H10680" s="6" t="str">
        <f>VLOOKUP(E10680,dicionario!$A$1:$C11079,3,0)</f>
        <v>gaturamo-verdadeiro</v>
      </c>
    </row>
    <row r="10681">
      <c r="A10681" s="3">
        <v>45820.0</v>
      </c>
      <c r="B10681" s="4">
        <v>0.26944444444444443</v>
      </c>
      <c r="C10681" s="5" t="s">
        <v>90</v>
      </c>
      <c r="D10681" s="5" t="s">
        <v>1526</v>
      </c>
      <c r="E10681" s="8" t="s">
        <v>191</v>
      </c>
      <c r="F10681" s="5" t="s">
        <v>1533</v>
      </c>
      <c r="G10681" s="6" t="str">
        <f>VLOOKUP(E10681,dicionario!$A$1:$C11080,2,0)</f>
        <v>Patagioenas picazuro</v>
      </c>
      <c r="H10681" s="6" t="str">
        <f>VLOOKUP(E10681,dicionario!$A$1:$C11080,3,0)</f>
        <v>asa-branca; pomba-asa-branca; pocaçu</v>
      </c>
    </row>
    <row r="10682">
      <c r="A10682" s="3">
        <v>45820.0</v>
      </c>
      <c r="B10682" s="4">
        <v>0.2701388888888889</v>
      </c>
      <c r="C10682" s="5" t="s">
        <v>90</v>
      </c>
      <c r="D10682" s="5" t="s">
        <v>1526</v>
      </c>
      <c r="E10682" s="8" t="s">
        <v>1383</v>
      </c>
      <c r="F10682" s="5" t="s">
        <v>561</v>
      </c>
      <c r="G10682" s="6" t="str">
        <f>VLOOKUP(E10682,dicionario!$A$1:$C11081,2,0)</f>
        <v>#N/A</v>
      </c>
      <c r="H10682" s="6" t="str">
        <f>VLOOKUP(E10682,dicionario!$A$1:$C11081,3,0)</f>
        <v>#N/A</v>
      </c>
    </row>
    <row r="10683">
      <c r="A10683" s="3">
        <v>45820.0</v>
      </c>
      <c r="B10683" s="4">
        <v>0.2708333333333333</v>
      </c>
      <c r="C10683" s="5" t="s">
        <v>90</v>
      </c>
      <c r="D10683" s="5" t="s">
        <v>1526</v>
      </c>
      <c r="E10683" s="6" t="s">
        <v>113</v>
      </c>
      <c r="F10683" s="5" t="s">
        <v>1534</v>
      </c>
      <c r="G10683" s="6" t="str">
        <f>VLOOKUP(E10683,dicionario!$A$1:$C11082,2,0)</f>
        <v>Columbina talpacoti</v>
      </c>
      <c r="H10683" s="6" t="str">
        <f>VLOOKUP(E10683,dicionario!$A$1:$C11082,3,0)</f>
        <v>rolinha-roxa</v>
      </c>
    </row>
    <row r="10684">
      <c r="A10684" s="3">
        <v>45820.0</v>
      </c>
      <c r="B10684" s="4">
        <v>0.27152777777777776</v>
      </c>
      <c r="C10684" s="5" t="s">
        <v>90</v>
      </c>
      <c r="D10684" s="5" t="s">
        <v>1526</v>
      </c>
      <c r="E10684" s="8" t="s">
        <v>639</v>
      </c>
      <c r="F10684" s="5" t="s">
        <v>1535</v>
      </c>
      <c r="G10684" s="6" t="str">
        <f>VLOOKUP(E10684,dicionario!$A$1:$C11083,2,0)</f>
        <v>Egretta thula</v>
      </c>
      <c r="H10684" s="6" t="str">
        <f>VLOOKUP(E10684,dicionario!$A$1:$C11083,3,0)</f>
        <v>garça-branca-pequena</v>
      </c>
    </row>
    <row r="10685">
      <c r="A10685" s="3">
        <v>45820.0</v>
      </c>
      <c r="B10685" s="4">
        <v>0.27152777777777776</v>
      </c>
      <c r="C10685" s="5" t="s">
        <v>90</v>
      </c>
      <c r="D10685" s="5" t="s">
        <v>1526</v>
      </c>
      <c r="E10685" s="8" t="s">
        <v>88</v>
      </c>
      <c r="F10685" s="5" t="s">
        <v>782</v>
      </c>
      <c r="G10685" s="6" t="str">
        <f>VLOOKUP(E10685,dicionario!$A$1:$C11084,2,0)</f>
        <v>Tyrannus melancolichus</v>
      </c>
      <c r="H10685" s="6" t="str">
        <f>VLOOKUP(E10685,dicionario!$A$1:$C11084,3,0)</f>
        <v>suiriri</v>
      </c>
    </row>
    <row r="10686">
      <c r="A10686" s="3">
        <v>45820.0</v>
      </c>
      <c r="B10686" s="4">
        <v>0.27152777777777776</v>
      </c>
      <c r="C10686" s="5" t="s">
        <v>90</v>
      </c>
      <c r="D10686" s="5" t="s">
        <v>1526</v>
      </c>
      <c r="E10686" s="8" t="s">
        <v>38</v>
      </c>
      <c r="F10686" s="5" t="s">
        <v>1536</v>
      </c>
      <c r="G10686" s="6" t="str">
        <f>VLOOKUP(E10686,dicionario!$A$1:$C11085,2,0)</f>
        <v>Troglodytes musculus</v>
      </c>
      <c r="H10686" s="6" t="str">
        <f>VLOOKUP(E10686,dicionario!$A$1:$C11085,3,0)</f>
        <v>curruíra</v>
      </c>
    </row>
    <row r="10687">
      <c r="A10687" s="3">
        <v>45820.0</v>
      </c>
      <c r="B10687" s="4">
        <v>0.2722222222222222</v>
      </c>
      <c r="C10687" s="5" t="s">
        <v>90</v>
      </c>
      <c r="D10687" s="5" t="s">
        <v>1526</v>
      </c>
      <c r="E10687" s="8" t="s">
        <v>72</v>
      </c>
      <c r="F10687" s="5" t="s">
        <v>73</v>
      </c>
      <c r="G10687" s="6" t="str">
        <f>VLOOKUP(E10687,dicionario!$A$1:$C11086,2,0)</f>
        <v>Thraupis palmarum</v>
      </c>
      <c r="H10687" s="6" t="str">
        <f>VLOOKUP(E10687,dicionario!$A$1:$C11086,3,0)</f>
        <v>sanhaço-do-coqueiro</v>
      </c>
    </row>
    <row r="10688">
      <c r="A10688" s="3">
        <v>45820.0</v>
      </c>
      <c r="B10688" s="4">
        <v>0.2722222222222222</v>
      </c>
      <c r="C10688" s="5" t="s">
        <v>90</v>
      </c>
      <c r="D10688" s="5" t="s">
        <v>1526</v>
      </c>
      <c r="E10688" s="8" t="s">
        <v>334</v>
      </c>
      <c r="F10688" s="5" t="s">
        <v>335</v>
      </c>
      <c r="G10688" s="6" t="str">
        <f>VLOOKUP(E10688,dicionario!$A$1:$C11087,2,0)</f>
        <v>Eupsittula aurea</v>
      </c>
      <c r="H10688" s="6" t="str">
        <f>VLOOKUP(E10688,dicionario!$A$1:$C11087,3,0)</f>
        <v>periquito-rei</v>
      </c>
    </row>
    <row r="10689">
      <c r="A10689" s="3">
        <v>45820.0</v>
      </c>
      <c r="B10689" s="4">
        <v>0.2722222222222222</v>
      </c>
      <c r="C10689" s="5" t="s">
        <v>90</v>
      </c>
      <c r="D10689" s="5" t="s">
        <v>1526</v>
      </c>
      <c r="E10689" s="8" t="s">
        <v>353</v>
      </c>
      <c r="F10689" s="5" t="s">
        <v>354</v>
      </c>
      <c r="G10689" s="6" t="str">
        <f>VLOOKUP(E10689,dicionario!$A$1:$C11088,2,0)</f>
        <v>Desmodium incanum</v>
      </c>
      <c r="H10689" s="6" t="str">
        <f>VLOOKUP(E10689,dicionario!$A$1:$C11088,3,0)</f>
        <v>pega-pega</v>
      </c>
    </row>
    <row r="10690">
      <c r="A10690" s="3">
        <v>45820.0</v>
      </c>
      <c r="B10690" s="4">
        <v>0.2722222222222222</v>
      </c>
      <c r="C10690" s="5" t="s">
        <v>90</v>
      </c>
      <c r="D10690" s="5" t="s">
        <v>1526</v>
      </c>
      <c r="E10690" s="6" t="s">
        <v>372</v>
      </c>
      <c r="F10690" s="5" t="s">
        <v>373</v>
      </c>
      <c r="G10690" s="6" t="str">
        <f>VLOOKUP(E10690,dicionario!$A$1:$C11089,2,0)</f>
        <v>Rupornis magnirostris</v>
      </c>
      <c r="H10690" s="6" t="str">
        <f>VLOOKUP(E10690,dicionario!$A$1:$C11089,3,0)</f>
        <v>gavião-carijó</v>
      </c>
    </row>
    <row r="10691">
      <c r="A10691" s="3">
        <v>45820.0</v>
      </c>
      <c r="B10691" s="4">
        <v>0.27361111111111114</v>
      </c>
      <c r="C10691" s="5" t="s">
        <v>85</v>
      </c>
      <c r="D10691" s="5" t="s">
        <v>1526</v>
      </c>
      <c r="E10691" s="8" t="s">
        <v>1175</v>
      </c>
      <c r="F10691" s="5" t="s">
        <v>1176</v>
      </c>
      <c r="G10691" s="6" t="str">
        <f>VLOOKUP(E10691,dicionario!$A$1:$C11090,2,0)</f>
        <v>Danaus erippus</v>
      </c>
      <c r="H10691" s="6" t="str">
        <f>VLOOKUP(E10691,dicionario!$A$1:$C11090,3,0)</f>
        <v>borboleta-monarca-do-sul</v>
      </c>
    </row>
    <row r="10692">
      <c r="A10692" s="3">
        <v>45820.0</v>
      </c>
      <c r="B10692" s="4">
        <v>0.27361111111111114</v>
      </c>
      <c r="C10692" s="5" t="s">
        <v>85</v>
      </c>
      <c r="D10692" s="5" t="s">
        <v>1526</v>
      </c>
      <c r="E10692" s="8" t="s">
        <v>298</v>
      </c>
      <c r="F10692" s="5"/>
      <c r="G10692" s="6" t="str">
        <f>VLOOKUP(E10692,dicionario!$A$1:$C11091,2,0)</f>
        <v>Alysicarpus vaginalis</v>
      </c>
      <c r="H10692" s="6" t="str">
        <f>VLOOKUP(E10692,dicionario!$A$1:$C11091,3,0)</f>
        <v/>
      </c>
    </row>
    <row r="10693">
      <c r="A10693" s="3">
        <v>45820.0</v>
      </c>
      <c r="B10693" s="4">
        <v>0.2743055555555556</v>
      </c>
      <c r="C10693" s="5" t="s">
        <v>85</v>
      </c>
      <c r="D10693" s="5" t="s">
        <v>1526</v>
      </c>
      <c r="E10693" s="8" t="s">
        <v>72</v>
      </c>
      <c r="F10693" s="5" t="s">
        <v>73</v>
      </c>
      <c r="G10693" s="6" t="str">
        <f>VLOOKUP(E10693,dicionario!$A$1:$C11092,2,0)</f>
        <v>Thraupis palmarum</v>
      </c>
      <c r="H10693" s="6" t="str">
        <f>VLOOKUP(E10693,dicionario!$A$1:$C11092,3,0)</f>
        <v>sanhaço-do-coqueiro</v>
      </c>
    </row>
    <row r="10694">
      <c r="A10694" s="3">
        <v>45820.0</v>
      </c>
      <c r="B10694" s="4">
        <v>0.2743055555555556</v>
      </c>
      <c r="C10694" s="5" t="s">
        <v>85</v>
      </c>
      <c r="D10694" s="5" t="s">
        <v>1526</v>
      </c>
      <c r="E10694" s="8" t="s">
        <v>1193</v>
      </c>
      <c r="F10694" s="5" t="s">
        <v>1194</v>
      </c>
      <c r="G10694" s="6" t="str">
        <f>VLOOKUP(E10694,dicionario!$A$1:$C11093,2,0)</f>
        <v>Milvago chimachima</v>
      </c>
      <c r="H10694" s="6" t="str">
        <f>VLOOKUP(E10694,dicionario!$A$1:$C11093,3,0)</f>
        <v>gavião-carrapateiro</v>
      </c>
    </row>
    <row r="10695">
      <c r="A10695" s="3">
        <v>45820.0</v>
      </c>
      <c r="B10695" s="4">
        <v>0.2743055555555556</v>
      </c>
      <c r="C10695" s="5" t="s">
        <v>85</v>
      </c>
      <c r="D10695" s="5" t="s">
        <v>1526</v>
      </c>
      <c r="E10695" s="8" t="s">
        <v>624</v>
      </c>
      <c r="F10695" s="5" t="s">
        <v>133</v>
      </c>
      <c r="G10695" s="6" t="str">
        <f>VLOOKUP(E10695,dicionario!$A$1:$C11094,2,0)</f>
        <v>Euphonia violacea</v>
      </c>
      <c r="H10695" s="6" t="str">
        <f>VLOOKUP(E10695,dicionario!$A$1:$C11094,3,0)</f>
        <v>gaturamo-verdadeiro</v>
      </c>
    </row>
    <row r="10696">
      <c r="A10696" s="3">
        <v>45820.0</v>
      </c>
      <c r="B10696" s="4">
        <v>0.275</v>
      </c>
      <c r="C10696" s="5" t="s">
        <v>85</v>
      </c>
      <c r="D10696" s="5" t="s">
        <v>1526</v>
      </c>
      <c r="E10696" s="8" t="s">
        <v>88</v>
      </c>
      <c r="F10696" s="5" t="s">
        <v>782</v>
      </c>
      <c r="G10696" s="6" t="str">
        <f>VLOOKUP(E10696,dicionario!$A$1:$C11095,2,0)</f>
        <v>Tyrannus melancolichus</v>
      </c>
      <c r="H10696" s="6" t="str">
        <f>VLOOKUP(E10696,dicionario!$A$1:$C11095,3,0)</f>
        <v>suiriri</v>
      </c>
    </row>
    <row r="10697">
      <c r="A10697" s="3">
        <v>45820.0</v>
      </c>
      <c r="B10697" s="4">
        <v>0.275</v>
      </c>
      <c r="C10697" s="5" t="s">
        <v>85</v>
      </c>
      <c r="D10697" s="5" t="s">
        <v>1526</v>
      </c>
      <c r="E10697" s="8" t="s">
        <v>122</v>
      </c>
      <c r="F10697" s="5" t="s">
        <v>123</v>
      </c>
      <c r="G10697" s="6" t="str">
        <f>VLOOKUP(E10697,dicionario!$A$1:$C11096,2,0)</f>
        <v>Todirostrum cinereum</v>
      </c>
      <c r="H10697" s="6" t="str">
        <f>VLOOKUP(E10697,dicionario!$A$1:$C11096,3,0)</f>
        <v>ferreirinho-relógio</v>
      </c>
    </row>
    <row r="10698">
      <c r="A10698" s="3">
        <v>45820.0</v>
      </c>
      <c r="B10698" s="4">
        <v>0.27569444444444446</v>
      </c>
      <c r="C10698" s="5" t="s">
        <v>85</v>
      </c>
      <c r="D10698" s="5" t="s">
        <v>1526</v>
      </c>
      <c r="E10698" s="8" t="s">
        <v>271</v>
      </c>
      <c r="F10698" s="5" t="s">
        <v>1169</v>
      </c>
      <c r="G10698" s="6" t="str">
        <f>VLOOKUP(E10698,dicionario!$A$1:$C11097,2,0)</f>
        <v>Cyanthillium cinereum</v>
      </c>
      <c r="H10698" s="6" t="str">
        <f>VLOOKUP(E10698,dicionario!$A$1:$C11097,3,0)</f>
        <v>emília</v>
      </c>
    </row>
    <row r="10699">
      <c r="A10699" s="3">
        <v>45820.0</v>
      </c>
      <c r="B10699" s="4">
        <v>0.27569444444444446</v>
      </c>
      <c r="C10699" s="5" t="s">
        <v>85</v>
      </c>
      <c r="D10699" s="5" t="s">
        <v>1526</v>
      </c>
      <c r="E10699" s="6" t="s">
        <v>53</v>
      </c>
      <c r="F10699" s="5" t="s">
        <v>54</v>
      </c>
      <c r="G10699" s="6" t="str">
        <f>VLOOKUP(E10699,dicionario!$A$1:$C11098,2,0)</f>
        <v>Turnera subulata</v>
      </c>
      <c r="H10699" s="6" t="str">
        <f>VLOOKUP(E10699,dicionario!$A$1:$C11098,3,0)</f>
        <v>xanana</v>
      </c>
    </row>
    <row r="10700">
      <c r="A10700" s="3">
        <v>45820.0</v>
      </c>
      <c r="B10700" s="4">
        <v>0.27569444444444446</v>
      </c>
      <c r="C10700" s="5" t="s">
        <v>85</v>
      </c>
      <c r="D10700" s="5" t="s">
        <v>1526</v>
      </c>
      <c r="E10700" s="8" t="s">
        <v>353</v>
      </c>
      <c r="F10700" s="5" t="s">
        <v>354</v>
      </c>
      <c r="G10700" s="6" t="str">
        <f>VLOOKUP(E10700,dicionario!$A$1:$C11099,2,0)</f>
        <v>Desmodium incanum</v>
      </c>
      <c r="H10700" s="6" t="str">
        <f>VLOOKUP(E10700,dicionario!$A$1:$C11099,3,0)</f>
        <v>pega-pega</v>
      </c>
    </row>
    <row r="10701">
      <c r="A10701" s="3">
        <v>45820.0</v>
      </c>
      <c r="B10701" s="4">
        <v>0.27569444444444446</v>
      </c>
      <c r="C10701" s="5" t="s">
        <v>85</v>
      </c>
      <c r="D10701" s="5" t="s">
        <v>1526</v>
      </c>
      <c r="E10701" s="8" t="s">
        <v>1495</v>
      </c>
      <c r="F10701" s="5" t="s">
        <v>42</v>
      </c>
      <c r="G10701" s="6" t="str">
        <f>VLOOKUP(E10701,dicionario!$A$1:$C11100,2,0)</f>
        <v>#N/A</v>
      </c>
      <c r="H10701" s="6" t="str">
        <f>VLOOKUP(E10701,dicionario!$A$1:$C11100,3,0)</f>
        <v>#N/A</v>
      </c>
    </row>
    <row r="10702">
      <c r="A10702" s="3">
        <v>45820.0</v>
      </c>
      <c r="B10702" s="4">
        <v>0.27569444444444446</v>
      </c>
      <c r="C10702" s="5" t="s">
        <v>85</v>
      </c>
      <c r="D10702" s="5" t="s">
        <v>1526</v>
      </c>
      <c r="E10702" s="8" t="s">
        <v>154</v>
      </c>
      <c r="F10702" s="5" t="s">
        <v>155</v>
      </c>
      <c r="G10702" s="6" t="str">
        <f>VLOOKUP(E10702,dicionario!$A$1:$C11101,2,0)</f>
        <v>Cyperus rotundus</v>
      </c>
      <c r="H10702" s="6" t="str">
        <f>VLOOKUP(E10702,dicionario!$A$1:$C11101,3,0)</f>
        <v>tiririca</v>
      </c>
    </row>
    <row r="10703">
      <c r="A10703" s="3">
        <v>45820.0</v>
      </c>
      <c r="B10703" s="4">
        <v>0.27569444444444446</v>
      </c>
      <c r="C10703" s="5" t="s">
        <v>85</v>
      </c>
      <c r="D10703" s="5" t="s">
        <v>1526</v>
      </c>
      <c r="E10703" s="8" t="s">
        <v>1316</v>
      </c>
      <c r="F10703" s="5" t="s">
        <v>15</v>
      </c>
      <c r="G10703" s="6" t="str">
        <f>VLOOKUP(E10703,dicionario!$A$1:$C11102,2,0)</f>
        <v>#N/A</v>
      </c>
      <c r="H10703" s="6" t="str">
        <f>VLOOKUP(E10703,dicionario!$A$1:$C11102,3,0)</f>
        <v>#N/A</v>
      </c>
    </row>
    <row r="10704">
      <c r="A10704" s="3">
        <v>45820.0</v>
      </c>
      <c r="B10704" s="4">
        <v>0.2763888888888889</v>
      </c>
      <c r="C10704" s="5" t="s">
        <v>85</v>
      </c>
      <c r="D10704" s="5" t="s">
        <v>1526</v>
      </c>
      <c r="E10704" s="8" t="s">
        <v>1367</v>
      </c>
      <c r="F10704" s="5" t="s">
        <v>387</v>
      </c>
      <c r="G10704" s="6" t="str">
        <f>VLOOKUP(E10704,dicionario!$A$1:$C11103,2,0)</f>
        <v>#N/A</v>
      </c>
      <c r="H10704" s="6" t="str">
        <f>VLOOKUP(E10704,dicionario!$A$1:$C11103,3,0)</f>
        <v>#N/A</v>
      </c>
    </row>
    <row r="10705">
      <c r="A10705" s="3">
        <v>45820.0</v>
      </c>
      <c r="B10705" s="4">
        <v>0.2763888888888889</v>
      </c>
      <c r="C10705" s="5" t="s">
        <v>85</v>
      </c>
      <c r="D10705" s="5" t="s">
        <v>1526</v>
      </c>
      <c r="E10705" s="8" t="s">
        <v>135</v>
      </c>
      <c r="F10705" s="5" t="s">
        <v>136</v>
      </c>
      <c r="G10705" s="6" t="str">
        <f>VLOOKUP(E10705,dicionario!$A$1:$C11104,2,0)</f>
        <v>Tridax procumbens</v>
      </c>
      <c r="H10705" s="6" t="str">
        <f>VLOOKUP(E10705,dicionario!$A$1:$C11104,3,0)</f>
        <v>erva-de-touro</v>
      </c>
    </row>
    <row r="10706">
      <c r="A10706" s="3">
        <v>45820.0</v>
      </c>
      <c r="B10706" s="4">
        <v>0.2763888888888889</v>
      </c>
      <c r="C10706" s="5" t="s">
        <v>85</v>
      </c>
      <c r="D10706" s="5" t="s">
        <v>1526</v>
      </c>
      <c r="E10706" s="6" t="s">
        <v>288</v>
      </c>
      <c r="F10706" s="5" t="s">
        <v>289</v>
      </c>
      <c r="G10706" s="6" t="str">
        <f>VLOOKUP(E10706,dicionario!$A$1:$C11105,2,0)</f>
        <v>Phyllanthus tenellus</v>
      </c>
      <c r="H10706" s="6" t="str">
        <f>VLOOKUP(E10706,dicionario!$A$1:$C11105,3,0)</f>
        <v>quebra-pedra</v>
      </c>
    </row>
    <row r="10707">
      <c r="A10707" s="3">
        <v>45820.0</v>
      </c>
      <c r="B10707" s="4">
        <v>0.2763888888888889</v>
      </c>
      <c r="C10707" s="5" t="s">
        <v>85</v>
      </c>
      <c r="D10707" s="5" t="s">
        <v>1526</v>
      </c>
      <c r="E10707" s="8" t="s">
        <v>631</v>
      </c>
      <c r="F10707" s="5" t="s">
        <v>632</v>
      </c>
      <c r="G10707" s="6" t="str">
        <f>VLOOKUP(E10707,dicionario!$A$1:$C11106,2,0)</f>
        <v>Chamaecrista nictitans</v>
      </c>
      <c r="H10707" s="6" t="str">
        <f>VLOOKUP(E10707,dicionario!$A$1:$C11106,3,0)</f>
        <v>falsa-dormideira</v>
      </c>
    </row>
    <row r="10708">
      <c r="A10708" s="3">
        <v>45820.0</v>
      </c>
      <c r="B10708" s="4">
        <v>0.2763888888888889</v>
      </c>
      <c r="C10708" s="5" t="s">
        <v>85</v>
      </c>
      <c r="D10708" s="5" t="s">
        <v>1526</v>
      </c>
      <c r="E10708" s="8" t="s">
        <v>158</v>
      </c>
      <c r="F10708" s="5" t="s">
        <v>159</v>
      </c>
      <c r="G10708" s="6" t="str">
        <f>VLOOKUP(E10708,dicionario!$A$1:$C11107,2,0)</f>
        <v>Nephilingis cruentata</v>
      </c>
      <c r="H10708" s="6" t="str">
        <f>VLOOKUP(E10708,dicionario!$A$1:$C11107,3,0)</f>
        <v>maria-bola</v>
      </c>
    </row>
    <row r="10709">
      <c r="A10709" s="3">
        <v>45820.0</v>
      </c>
      <c r="B10709" s="4">
        <v>0.27708333333333335</v>
      </c>
      <c r="C10709" s="5" t="s">
        <v>85</v>
      </c>
      <c r="D10709" s="5" t="s">
        <v>1526</v>
      </c>
      <c r="E10709" s="8" t="s">
        <v>296</v>
      </c>
      <c r="F10709" s="5" t="s">
        <v>1537</v>
      </c>
      <c r="G10709" s="6" t="str">
        <f>VLOOKUP(E10709,dicionario!$A$1:$C11108,2,0)</f>
        <v>Richardia brasiliensis</v>
      </c>
      <c r="H10709" s="6" t="str">
        <f>VLOOKUP(E10709,dicionario!$A$1:$C11108,3,0)</f>
        <v>poaia-branca</v>
      </c>
    </row>
    <row r="10710">
      <c r="A10710" s="3">
        <v>45820.0</v>
      </c>
      <c r="B10710" s="4">
        <v>0.27708333333333335</v>
      </c>
      <c r="C10710" s="5" t="s">
        <v>85</v>
      </c>
      <c r="D10710" s="5" t="s">
        <v>1526</v>
      </c>
      <c r="E10710" s="8" t="s">
        <v>141</v>
      </c>
      <c r="F10710" s="5" t="s">
        <v>142</v>
      </c>
      <c r="G10710" s="6" t="str">
        <f>VLOOKUP(E10710,dicionario!$A$1:$C11109,2,0)</f>
        <v>Ruellia blechum</v>
      </c>
      <c r="H10710" s="6" t="str">
        <f>VLOOKUP(E10710,dicionario!$A$1:$C11109,3,0)</f>
        <v>camarão-verde</v>
      </c>
    </row>
    <row r="10711">
      <c r="A10711" s="3">
        <v>45820.0</v>
      </c>
      <c r="B10711" s="4">
        <v>0.27708333333333335</v>
      </c>
      <c r="C10711" s="5" t="s">
        <v>85</v>
      </c>
      <c r="D10711" s="5" t="s">
        <v>1526</v>
      </c>
      <c r="E10711" s="8" t="s">
        <v>399</v>
      </c>
      <c r="F10711" s="5" t="s">
        <v>1035</v>
      </c>
      <c r="G10711" s="6" t="str">
        <f>VLOOKUP(E10711,dicionario!$A$1:$C11110,2,0)</f>
        <v>Varronia curassavica</v>
      </c>
      <c r="H10711" s="6" t="str">
        <f>VLOOKUP(E10711,dicionario!$A$1:$C11110,3,0)</f>
        <v>erva-baleeira</v>
      </c>
    </row>
    <row r="10712">
      <c r="A10712" s="3">
        <v>45820.0</v>
      </c>
      <c r="B10712" s="4">
        <v>0.27708333333333335</v>
      </c>
      <c r="C10712" s="5" t="s">
        <v>85</v>
      </c>
      <c r="D10712" s="5" t="s">
        <v>1526</v>
      </c>
      <c r="E10712" s="8" t="s">
        <v>517</v>
      </c>
      <c r="F10712" s="5" t="s">
        <v>1446</v>
      </c>
      <c r="G10712" s="6" t="str">
        <f>VLOOKUP(E10712,dicionario!$A$1:$C11111,2,0)</f>
        <v>Evolvulus nummularius</v>
      </c>
      <c r="H10712" s="6" t="str">
        <f>VLOOKUP(E10712,dicionario!$A$1:$C11111,3,0)</f>
        <v/>
      </c>
    </row>
    <row r="10713">
      <c r="A10713" s="3">
        <v>45820.0</v>
      </c>
      <c r="B10713" s="4">
        <v>0.27708333333333335</v>
      </c>
      <c r="C10713" s="5" t="s">
        <v>85</v>
      </c>
      <c r="D10713" s="5" t="s">
        <v>1526</v>
      </c>
      <c r="E10713" s="8" t="s">
        <v>109</v>
      </c>
      <c r="F10713" s="5" t="s">
        <v>110</v>
      </c>
      <c r="G10713" s="6" t="str">
        <f>VLOOKUP(E10713,dicionario!$A$1:$C11112,2,0)</f>
        <v>Tillandsia stricta</v>
      </c>
      <c r="H10713" s="6" t="str">
        <f>VLOOKUP(E10713,dicionario!$A$1:$C11112,3,0)</f>
        <v>cravo-do-mato</v>
      </c>
    </row>
    <row r="10714">
      <c r="A10714" s="3">
        <v>45820.0</v>
      </c>
      <c r="B10714" s="4">
        <v>0.27708333333333335</v>
      </c>
      <c r="C10714" s="5" t="s">
        <v>85</v>
      </c>
      <c r="D10714" s="5" t="s">
        <v>1526</v>
      </c>
      <c r="E10714" s="8" t="s">
        <v>65</v>
      </c>
      <c r="F10714" s="5" t="s">
        <v>66</v>
      </c>
      <c r="G10714" s="6" t="str">
        <f>VLOOKUP(E10714,dicionario!$A$1:$C11113,2,0)</f>
        <v>Pitangus sulphutarus</v>
      </c>
      <c r="H10714" s="6" t="str">
        <f>VLOOKUP(E10714,dicionario!$A$1:$C11113,3,0)</f>
        <v>bem-te-vi</v>
      </c>
    </row>
    <row r="10715">
      <c r="A10715" s="3">
        <v>45820.0</v>
      </c>
      <c r="B10715" s="4">
        <v>0.27708333333333335</v>
      </c>
      <c r="C10715" s="5" t="s">
        <v>85</v>
      </c>
      <c r="D10715" s="5" t="s">
        <v>1526</v>
      </c>
      <c r="E10715" s="6" t="s">
        <v>86</v>
      </c>
      <c r="F10715" s="5" t="s">
        <v>1538</v>
      </c>
      <c r="G10715" s="6" t="str">
        <f>VLOOKUP(E10715,dicionario!$A$1:$C11114,2,0)</f>
        <v>Coereba flaveola</v>
      </c>
      <c r="H10715" s="6" t="str">
        <f>VLOOKUP(E10715,dicionario!$A$1:$C11114,3,0)</f>
        <v>cambacica</v>
      </c>
    </row>
    <row r="10716">
      <c r="A10716" s="3">
        <v>45820.0</v>
      </c>
      <c r="B10716" s="4">
        <v>0.2777777777777778</v>
      </c>
      <c r="C10716" s="5" t="s">
        <v>85</v>
      </c>
      <c r="D10716" s="5" t="s">
        <v>1526</v>
      </c>
      <c r="E10716" s="6" t="s">
        <v>113</v>
      </c>
      <c r="F10716" s="5" t="s">
        <v>114</v>
      </c>
      <c r="G10716" s="6" t="str">
        <f>VLOOKUP(E10716,dicionario!$A$1:$C11115,2,0)</f>
        <v>Columbina talpacoti</v>
      </c>
      <c r="H10716" s="6" t="str">
        <f>VLOOKUP(E10716,dicionario!$A$1:$C11115,3,0)</f>
        <v>rolinha-roxa</v>
      </c>
    </row>
    <row r="10717">
      <c r="A10717" s="3">
        <v>45820.0</v>
      </c>
      <c r="B10717" s="4">
        <v>0.2777777777777778</v>
      </c>
      <c r="C10717" s="5" t="s">
        <v>85</v>
      </c>
      <c r="D10717" s="5" t="s">
        <v>1526</v>
      </c>
      <c r="E10717" s="8" t="s">
        <v>38</v>
      </c>
      <c r="F10717" s="5" t="s">
        <v>1251</v>
      </c>
      <c r="G10717" s="6" t="str">
        <f>VLOOKUP(E10717,dicionario!$A$1:$C11116,2,0)</f>
        <v>Troglodytes musculus</v>
      </c>
      <c r="H10717" s="6" t="str">
        <f>VLOOKUP(E10717,dicionario!$A$1:$C11116,3,0)</f>
        <v>curruíra</v>
      </c>
    </row>
    <row r="10718">
      <c r="A10718" s="3">
        <v>45820.0</v>
      </c>
      <c r="B10718" s="4">
        <v>0.27847222222222223</v>
      </c>
      <c r="C10718" s="5" t="s">
        <v>76</v>
      </c>
      <c r="D10718" s="5" t="s">
        <v>1526</v>
      </c>
      <c r="E10718" s="8" t="s">
        <v>141</v>
      </c>
      <c r="F10718" s="5" t="s">
        <v>142</v>
      </c>
      <c r="G10718" s="6" t="str">
        <f>VLOOKUP(E10718,dicionario!$A$1:$C11117,2,0)</f>
        <v>Ruellia blechum</v>
      </c>
      <c r="H10718" s="6" t="str">
        <f>VLOOKUP(E10718,dicionario!$A$1:$C11117,3,0)</f>
        <v>camarão-verde</v>
      </c>
    </row>
    <row r="10719">
      <c r="A10719" s="3">
        <v>45820.0</v>
      </c>
      <c r="B10719" s="4">
        <v>0.27847222222222223</v>
      </c>
      <c r="C10719" s="5" t="s">
        <v>76</v>
      </c>
      <c r="D10719" s="5" t="s">
        <v>1526</v>
      </c>
      <c r="E10719" s="8" t="s">
        <v>135</v>
      </c>
      <c r="F10719" s="5" t="s">
        <v>136</v>
      </c>
      <c r="G10719" s="6" t="str">
        <f>VLOOKUP(E10719,dicionario!$A$1:$C11118,2,0)</f>
        <v>Tridax procumbens</v>
      </c>
      <c r="H10719" s="6" t="str">
        <f>VLOOKUP(E10719,dicionario!$A$1:$C11118,3,0)</f>
        <v>erva-de-touro</v>
      </c>
    </row>
    <row r="10720">
      <c r="A10720" s="3">
        <v>45820.0</v>
      </c>
      <c r="B10720" s="4">
        <v>0.27847222222222223</v>
      </c>
      <c r="C10720" s="5" t="s">
        <v>76</v>
      </c>
      <c r="D10720" s="5" t="s">
        <v>1526</v>
      </c>
      <c r="E10720" s="65" t="s">
        <v>1394</v>
      </c>
      <c r="F10720" s="5" t="s">
        <v>1395</v>
      </c>
      <c r="G10720" s="6" t="str">
        <f>VLOOKUP(E10720,dicionario!$A$1:$C11119,2,0)</f>
        <v>Cecropia glaziovii</v>
      </c>
      <c r="H10720" s="6" t="str">
        <f>VLOOKUP(E10720,dicionario!$A$1:$C11119,3,0)</f>
        <v>embaúba-vermelha-do-sul</v>
      </c>
    </row>
    <row r="10721">
      <c r="A10721" s="3">
        <v>45820.0</v>
      </c>
      <c r="B10721" s="4">
        <v>0.27847222222222223</v>
      </c>
      <c r="C10721" s="5" t="s">
        <v>76</v>
      </c>
      <c r="D10721" s="5" t="s">
        <v>1526</v>
      </c>
      <c r="E10721" s="6" t="s">
        <v>148</v>
      </c>
      <c r="F10721" s="5" t="s">
        <v>149</v>
      </c>
      <c r="G10721" s="6" t="str">
        <f>VLOOKUP(E10721,dicionario!$A$1:$C11120,2,0)</f>
        <v>Parthenium hysterophorus</v>
      </c>
      <c r="H10721" s="6" t="str">
        <f>VLOOKUP(E10721,dicionario!$A$1:$C11120,3,0)</f>
        <v>losna-branca</v>
      </c>
    </row>
    <row r="10722">
      <c r="A10722" s="3">
        <v>45820.0</v>
      </c>
      <c r="B10722" s="4">
        <v>0.28125</v>
      </c>
      <c r="C10722" s="5" t="s">
        <v>76</v>
      </c>
      <c r="D10722" s="5" t="s">
        <v>1526</v>
      </c>
      <c r="E10722" s="8" t="s">
        <v>319</v>
      </c>
      <c r="F10722" s="5" t="s">
        <v>320</v>
      </c>
      <c r="G10722" s="6" t="str">
        <f>VLOOKUP(E10722,dicionario!$A$1:$C11121,2,0)</f>
        <v>Schinus terebinthifolia</v>
      </c>
      <c r="H10722" s="6" t="str">
        <f>VLOOKUP(E10722,dicionario!$A$1:$C11121,3,0)</f>
        <v>aroeira</v>
      </c>
    </row>
    <row r="10723">
      <c r="A10723" s="3">
        <v>45820.0</v>
      </c>
      <c r="B10723" s="4">
        <v>0.28125</v>
      </c>
      <c r="C10723" s="5" t="s">
        <v>76</v>
      </c>
      <c r="D10723" s="5" t="s">
        <v>1526</v>
      </c>
      <c r="E10723" s="8" t="s">
        <v>227</v>
      </c>
      <c r="F10723" s="5" t="s">
        <v>228</v>
      </c>
      <c r="G10723" s="6" t="str">
        <f>VLOOKUP(E10723,dicionario!$A$1:$C11122,2,0)</f>
        <v>Indigofera hirsuta</v>
      </c>
      <c r="H10723" s="6" t="str">
        <f>VLOOKUP(E10723,dicionario!$A$1:$C11122,3,0)</f>
        <v>anileira</v>
      </c>
    </row>
    <row r="10724">
      <c r="A10724" s="3">
        <v>45820.0</v>
      </c>
      <c r="B10724" s="4">
        <v>0.28125</v>
      </c>
      <c r="C10724" s="5" t="s">
        <v>76</v>
      </c>
      <c r="D10724" s="5" t="s">
        <v>1526</v>
      </c>
      <c r="E10724" s="8" t="s">
        <v>191</v>
      </c>
      <c r="F10724" s="5" t="s">
        <v>192</v>
      </c>
      <c r="G10724" s="6" t="str">
        <f>VLOOKUP(E10724,dicionario!$A$1:$C11123,2,0)</f>
        <v>Patagioenas picazuro</v>
      </c>
      <c r="H10724" s="6" t="str">
        <f>VLOOKUP(E10724,dicionario!$A$1:$C11123,3,0)</f>
        <v>asa-branca; pomba-asa-branca; pocaçu</v>
      </c>
    </row>
    <row r="10725">
      <c r="A10725" s="3">
        <v>45820.0</v>
      </c>
      <c r="B10725" s="4">
        <v>0.28125</v>
      </c>
      <c r="C10725" s="5" t="s">
        <v>76</v>
      </c>
      <c r="D10725" s="5" t="s">
        <v>1526</v>
      </c>
      <c r="E10725" s="8" t="s">
        <v>72</v>
      </c>
      <c r="F10725" s="5" t="s">
        <v>73</v>
      </c>
      <c r="G10725" s="6" t="str">
        <f>VLOOKUP(E10725,dicionario!$A$1:$C11124,2,0)</f>
        <v>Thraupis palmarum</v>
      </c>
      <c r="H10725" s="6" t="str">
        <f>VLOOKUP(E10725,dicionario!$A$1:$C11124,3,0)</f>
        <v>sanhaço-do-coqueiro</v>
      </c>
    </row>
    <row r="10726">
      <c r="A10726" s="3">
        <v>45820.0</v>
      </c>
      <c r="B10726" s="4">
        <v>0.28194444444444444</v>
      </c>
      <c r="C10726" s="5" t="s">
        <v>76</v>
      </c>
      <c r="D10726" s="5" t="s">
        <v>1526</v>
      </c>
      <c r="E10726" s="8" t="s">
        <v>1326</v>
      </c>
      <c r="F10726" s="5" t="s">
        <v>940</v>
      </c>
      <c r="G10726" s="6" t="str">
        <f>VLOOKUP(E10726,dicionario!$A$1:$C11125,2,0)</f>
        <v>#N/A</v>
      </c>
      <c r="H10726" s="6" t="str">
        <f>VLOOKUP(E10726,dicionario!$A$1:$C11125,3,0)</f>
        <v>#N/A</v>
      </c>
    </row>
    <row r="10727">
      <c r="A10727" s="3">
        <v>45820.0</v>
      </c>
      <c r="B10727" s="4">
        <v>0.28194444444444444</v>
      </c>
      <c r="C10727" s="5" t="s">
        <v>76</v>
      </c>
      <c r="D10727" s="5" t="s">
        <v>1526</v>
      </c>
      <c r="E10727" s="8" t="s">
        <v>298</v>
      </c>
      <c r="F10727" s="5"/>
      <c r="G10727" s="6" t="str">
        <f>VLOOKUP(E10727,dicionario!$A$1:$C11126,2,0)</f>
        <v>Alysicarpus vaginalis</v>
      </c>
      <c r="H10727" s="6" t="str">
        <f>VLOOKUP(E10727,dicionario!$A$1:$C11126,3,0)</f>
        <v/>
      </c>
    </row>
    <row r="10728">
      <c r="A10728" s="3">
        <v>45820.0</v>
      </c>
      <c r="B10728" s="4">
        <v>0.28194444444444444</v>
      </c>
      <c r="C10728" s="5" t="s">
        <v>76</v>
      </c>
      <c r="D10728" s="5" t="s">
        <v>1526</v>
      </c>
      <c r="E10728" s="8" t="s">
        <v>154</v>
      </c>
      <c r="F10728" s="5" t="s">
        <v>155</v>
      </c>
      <c r="G10728" s="6" t="str">
        <f>VLOOKUP(E10728,dicionario!$A$1:$C11127,2,0)</f>
        <v>Cyperus rotundus</v>
      </c>
      <c r="H10728" s="6" t="str">
        <f>VLOOKUP(E10728,dicionario!$A$1:$C11127,3,0)</f>
        <v>tiririca</v>
      </c>
    </row>
    <row r="10729">
      <c r="A10729" s="3">
        <v>45820.0</v>
      </c>
      <c r="B10729" s="4">
        <v>0.28194444444444444</v>
      </c>
      <c r="C10729" s="5" t="s">
        <v>76</v>
      </c>
      <c r="D10729" s="5" t="s">
        <v>1526</v>
      </c>
      <c r="E10729" s="8" t="s">
        <v>167</v>
      </c>
      <c r="F10729" s="5" t="s">
        <v>1539</v>
      </c>
      <c r="G10729" s="6" t="str">
        <f>VLOOKUP(E10729,dicionario!$A$1:$C11128,2,0)</f>
        <v>Hemidactylus mabouia</v>
      </c>
      <c r="H10729" s="6" t="str">
        <f>VLOOKUP(E10729,dicionario!$A$1:$C11128,3,0)</f>
        <v>lagartixa-doméstica-tropical</v>
      </c>
    </row>
    <row r="10730">
      <c r="A10730" s="3">
        <v>45820.0</v>
      </c>
      <c r="B10730" s="4">
        <v>0.28194444444444444</v>
      </c>
      <c r="C10730" s="5" t="s">
        <v>76</v>
      </c>
      <c r="D10730" s="5" t="s">
        <v>1526</v>
      </c>
      <c r="E10730" s="8" t="s">
        <v>271</v>
      </c>
      <c r="F10730" s="5" t="s">
        <v>1169</v>
      </c>
      <c r="G10730" s="6" t="str">
        <f>VLOOKUP(E10730,dicionario!$A$1:$C11129,2,0)</f>
        <v>Cyanthillium cinereum</v>
      </c>
      <c r="H10730" s="6" t="str">
        <f>VLOOKUP(E10730,dicionario!$A$1:$C11129,3,0)</f>
        <v>emília</v>
      </c>
    </row>
    <row r="10731">
      <c r="A10731" s="3">
        <v>45820.0</v>
      </c>
      <c r="B10731" s="4">
        <v>0.2826388888888889</v>
      </c>
      <c r="C10731" s="5" t="s">
        <v>76</v>
      </c>
      <c r="D10731" s="5" t="s">
        <v>1526</v>
      </c>
      <c r="E10731" s="8" t="s">
        <v>60</v>
      </c>
      <c r="F10731" s="5" t="s">
        <v>61</v>
      </c>
      <c r="G10731" s="6" t="str">
        <f>VLOOKUP(E10731,dicionario!$A$1:$C11130,2,0)</f>
        <v>Vanellus chilensis</v>
      </c>
      <c r="H10731" s="6" t="str">
        <f>VLOOKUP(E10731,dicionario!$A$1:$C11130,3,0)</f>
        <v>quero-quero</v>
      </c>
    </row>
    <row r="10732">
      <c r="A10732" s="3">
        <v>45820.0</v>
      </c>
      <c r="B10732" s="4">
        <v>0.2826388888888889</v>
      </c>
      <c r="C10732" s="5" t="s">
        <v>76</v>
      </c>
      <c r="D10732" s="5" t="s">
        <v>1526</v>
      </c>
      <c r="E10732" s="6" t="s">
        <v>48</v>
      </c>
      <c r="F10732" s="5" t="s">
        <v>49</v>
      </c>
      <c r="G10732" s="6" t="str">
        <f>VLOOKUP(E10732,dicionario!$A$1:$C11131,2,0)</f>
        <v>Commelina erecta</v>
      </c>
      <c r="H10732" s="6" t="str">
        <f>VLOOKUP(E10732,dicionario!$A$1:$C11131,3,0)</f>
        <v>trapoeraba</v>
      </c>
    </row>
    <row r="10733">
      <c r="A10733" s="3">
        <v>45820.0</v>
      </c>
      <c r="B10733" s="4">
        <v>0.2826388888888889</v>
      </c>
      <c r="C10733" s="5" t="s">
        <v>76</v>
      </c>
      <c r="D10733" s="5" t="s">
        <v>1526</v>
      </c>
      <c r="E10733" s="8" t="s">
        <v>1367</v>
      </c>
      <c r="F10733" s="5" t="s">
        <v>387</v>
      </c>
      <c r="G10733" s="6" t="str">
        <f>VLOOKUP(E10733,dicionario!$A$1:$C11132,2,0)</f>
        <v>#N/A</v>
      </c>
      <c r="H10733" s="6" t="str">
        <f>VLOOKUP(E10733,dicionario!$A$1:$C11132,3,0)</f>
        <v>#N/A</v>
      </c>
    </row>
    <row r="10734">
      <c r="A10734" s="3">
        <v>45820.0</v>
      </c>
      <c r="B10734" s="4">
        <v>0.2826388888888889</v>
      </c>
      <c r="C10734" s="5" t="s">
        <v>76</v>
      </c>
      <c r="D10734" s="5" t="s">
        <v>1526</v>
      </c>
      <c r="E10734" s="8" t="s">
        <v>390</v>
      </c>
      <c r="F10734" s="5" t="s">
        <v>633</v>
      </c>
      <c r="G10734" s="6" t="str">
        <f>VLOOKUP(E10734,dicionario!$A$1:$C11133,2,0)</f>
        <v>Oxalis barrelieri</v>
      </c>
      <c r="H10734" s="6" t="str">
        <f>VLOOKUP(E10734,dicionario!$A$1:$C11133,3,0)</f>
        <v>erva-azeda; azedinha </v>
      </c>
    </row>
    <row r="10735">
      <c r="A10735" s="3">
        <v>45820.0</v>
      </c>
      <c r="B10735" s="4">
        <v>0.2826388888888889</v>
      </c>
      <c r="C10735" s="5" t="s">
        <v>76</v>
      </c>
      <c r="D10735" s="5" t="s">
        <v>1526</v>
      </c>
      <c r="E10735" s="8" t="s">
        <v>38</v>
      </c>
      <c r="F10735" s="5" t="s">
        <v>1251</v>
      </c>
      <c r="G10735" s="6" t="str">
        <f>VLOOKUP(E10735,dicionario!$A$1:$C11134,2,0)</f>
        <v>Troglodytes musculus</v>
      </c>
      <c r="H10735" s="6" t="str">
        <f>VLOOKUP(E10735,dicionario!$A$1:$C11134,3,0)</f>
        <v>curruíra</v>
      </c>
    </row>
    <row r="10736">
      <c r="A10736" s="3">
        <v>45820.0</v>
      </c>
      <c r="B10736" s="4">
        <v>0.2826388888888889</v>
      </c>
      <c r="C10736" s="5" t="s">
        <v>76</v>
      </c>
      <c r="D10736" s="5" t="s">
        <v>1526</v>
      </c>
      <c r="E10736" s="8" t="s">
        <v>213</v>
      </c>
      <c r="F10736" s="5" t="s">
        <v>214</v>
      </c>
      <c r="G10736" s="6" t="str">
        <f>VLOOKUP(E10736,dicionario!$A$1:$C11135,2,0)</f>
        <v>Myiozetetes similis</v>
      </c>
      <c r="H10736" s="6" t="str">
        <f>VLOOKUP(E10736,dicionario!$A$1:$C11135,3,0)</f>
        <v>bentevizinho-de-penacho-vermelho</v>
      </c>
    </row>
    <row r="10737">
      <c r="A10737" s="3">
        <v>45820.0</v>
      </c>
      <c r="B10737" s="4">
        <v>0.2826388888888889</v>
      </c>
      <c r="C10737" s="5" t="s">
        <v>76</v>
      </c>
      <c r="D10737" s="5" t="s">
        <v>1526</v>
      </c>
      <c r="E10737" s="8" t="s">
        <v>177</v>
      </c>
      <c r="F10737" s="5" t="s">
        <v>178</v>
      </c>
      <c r="G10737" s="6" t="str">
        <f>VLOOKUP(E10737,dicionario!$A$1:$C11136,2,0)</f>
        <v>Elaenia flavogaster</v>
      </c>
      <c r="H10737" s="6" t="str">
        <f>VLOOKUP(E10737,dicionario!$A$1:$C11136,3,0)</f>
        <v>guaracava-de-barriga-amarela</v>
      </c>
    </row>
    <row r="10738">
      <c r="A10738" s="3">
        <v>45820.0</v>
      </c>
      <c r="B10738" s="4">
        <v>0.2833333333333333</v>
      </c>
      <c r="C10738" s="5" t="s">
        <v>76</v>
      </c>
      <c r="D10738" s="5" t="s">
        <v>1526</v>
      </c>
      <c r="E10738" s="6" t="s">
        <v>144</v>
      </c>
      <c r="F10738" s="5" t="s">
        <v>145</v>
      </c>
      <c r="G10738" s="6" t="str">
        <f>VLOOKUP(E10738,dicionario!$A$1:$C11137,2,0)</f>
        <v>Gomphrena globosa</v>
      </c>
      <c r="H10738" s="6" t="str">
        <f>VLOOKUP(E10738,dicionario!$A$1:$C11137,3,0)</f>
        <v>perpétua-rosa</v>
      </c>
    </row>
    <row r="10739">
      <c r="A10739" s="3">
        <v>45820.0</v>
      </c>
      <c r="B10739" s="4">
        <v>0.2833333333333333</v>
      </c>
      <c r="C10739" s="5" t="s">
        <v>76</v>
      </c>
      <c r="D10739" s="5" t="s">
        <v>1526</v>
      </c>
      <c r="E10739" s="74" t="s">
        <v>1540</v>
      </c>
      <c r="F10739" s="61" t="s">
        <v>1541</v>
      </c>
      <c r="G10739" s="6" t="str">
        <f>VLOOKUP(E10739,dicionario!$A$1:$C11138,2,0)</f>
        <v>Amphilophium crucigerum</v>
      </c>
      <c r="H10739" s="6" t="str">
        <f>VLOOKUP(E10739,dicionario!$A$1:$C11138,3,0)</f>
        <v>pente-de-macaco</v>
      </c>
    </row>
    <row r="10740">
      <c r="A10740" s="3">
        <v>45820.0</v>
      </c>
      <c r="B10740" s="4">
        <v>0.2833333333333333</v>
      </c>
      <c r="C10740" s="5" t="s">
        <v>76</v>
      </c>
      <c r="D10740" s="5" t="s">
        <v>1526</v>
      </c>
      <c r="E10740" s="8" t="s">
        <v>1193</v>
      </c>
      <c r="F10740" s="5" t="s">
        <v>1194</v>
      </c>
      <c r="G10740" s="6" t="str">
        <f>VLOOKUP(E10740,dicionario!$A$1:$C11139,2,0)</f>
        <v>Milvago chimachima</v>
      </c>
      <c r="H10740" s="6" t="str">
        <f>VLOOKUP(E10740,dicionario!$A$1:$C11139,3,0)</f>
        <v>gavião-carrapateiro</v>
      </c>
    </row>
    <row r="10741">
      <c r="A10741" s="3">
        <v>45820.0</v>
      </c>
      <c r="B10741" s="4">
        <v>0.2833333333333333</v>
      </c>
      <c r="C10741" s="5" t="s">
        <v>76</v>
      </c>
      <c r="D10741" s="5" t="s">
        <v>1526</v>
      </c>
      <c r="E10741" s="8" t="s">
        <v>1328</v>
      </c>
      <c r="F10741" s="5" t="s">
        <v>356</v>
      </c>
      <c r="G10741" s="6" t="str">
        <f>VLOOKUP(E10741,dicionario!$A$1:$C11140,2,0)</f>
        <v>#N/A</v>
      </c>
      <c r="H10741" s="6" t="str">
        <f>VLOOKUP(E10741,dicionario!$A$1:$C11140,3,0)</f>
        <v>#N/A</v>
      </c>
    </row>
    <row r="10742">
      <c r="A10742" s="3">
        <v>45820.0</v>
      </c>
      <c r="B10742" s="4">
        <v>0.28402777777777777</v>
      </c>
      <c r="C10742" s="5" t="s">
        <v>76</v>
      </c>
      <c r="D10742" s="5" t="s">
        <v>1526</v>
      </c>
      <c r="E10742" s="72" t="s">
        <v>1542</v>
      </c>
      <c r="F10742" s="5" t="s">
        <v>172</v>
      </c>
      <c r="G10742" s="6" t="str">
        <f>VLOOKUP(E10742,dicionario!$A$1:$C11141,2,0)</f>
        <v>Oxalis latifolia</v>
      </c>
      <c r="H10742" s="6" t="str">
        <f>VLOOKUP(E10742,dicionario!$A$1:$C11141,3,0)</f>
        <v>trevo-azedo</v>
      </c>
    </row>
    <row r="10743">
      <c r="A10743" s="3">
        <v>45820.0</v>
      </c>
      <c r="B10743" s="4">
        <v>0.28402777777777777</v>
      </c>
      <c r="C10743" s="5" t="s">
        <v>76</v>
      </c>
      <c r="D10743" s="5" t="s">
        <v>1526</v>
      </c>
      <c r="E10743" s="8" t="s">
        <v>1503</v>
      </c>
      <c r="F10743" s="5" t="s">
        <v>1504</v>
      </c>
      <c r="G10743" s="6" t="str">
        <f>VLOOKUP(E10743,dicionario!$A$1:$C11142,2,0)</f>
        <v>#N/A</v>
      </c>
      <c r="H10743" s="6" t="str">
        <f>VLOOKUP(E10743,dicionario!$A$1:$C11142,3,0)</f>
        <v>#N/A</v>
      </c>
    </row>
    <row r="10744">
      <c r="A10744" s="3">
        <v>45820.0</v>
      </c>
      <c r="B10744" s="4">
        <v>0.28402777777777777</v>
      </c>
      <c r="C10744" s="5" t="s">
        <v>76</v>
      </c>
      <c r="D10744" s="5" t="s">
        <v>1526</v>
      </c>
      <c r="E10744" s="6" t="s">
        <v>439</v>
      </c>
      <c r="F10744" s="5" t="s">
        <v>281</v>
      </c>
      <c r="G10744" s="6" t="str">
        <f>VLOOKUP(E10744,dicionario!$A$1:$C11143,2,0)</f>
        <v>#N/A</v>
      </c>
      <c r="H10744" s="6" t="str">
        <f>VLOOKUP(E10744,dicionario!$A$1:$C11143,3,0)</f>
        <v>#N/A</v>
      </c>
    </row>
    <row r="10745">
      <c r="A10745" s="3">
        <v>45820.0</v>
      </c>
      <c r="B10745" s="4">
        <v>0.28402777777777777</v>
      </c>
      <c r="C10745" s="5" t="s">
        <v>76</v>
      </c>
      <c r="D10745" s="5" t="s">
        <v>1526</v>
      </c>
      <c r="E10745" s="8" t="s">
        <v>378</v>
      </c>
      <c r="F10745" s="5" t="s">
        <v>205</v>
      </c>
      <c r="G10745" s="6" t="str">
        <f>VLOOKUP(E10745,dicionario!$A$1:$C11144,2,0)</f>
        <v>Polistes</v>
      </c>
      <c r="H10745" s="6" t="str">
        <f>VLOOKUP(E10745,dicionario!$A$1:$C11144,3,0)</f>
        <v>marimbondo</v>
      </c>
    </row>
    <row r="10746">
      <c r="A10746" s="3">
        <v>45820.0</v>
      </c>
      <c r="B10746" s="4">
        <v>0.2847222222222222</v>
      </c>
      <c r="C10746" s="5" t="s">
        <v>76</v>
      </c>
      <c r="D10746" s="5" t="s">
        <v>1526</v>
      </c>
      <c r="E10746" s="6" t="s">
        <v>225</v>
      </c>
      <c r="F10746" s="5" t="s">
        <v>226</v>
      </c>
      <c r="G10746" s="6" t="str">
        <f>VLOOKUP(E10746,dicionario!$A$1:$C11145,2,0)</f>
        <v>Passer domesticus</v>
      </c>
      <c r="H10746" s="6" t="str">
        <f>VLOOKUP(E10746,dicionario!$A$1:$C11145,3,0)</f>
        <v>pardal</v>
      </c>
    </row>
    <row r="10747">
      <c r="A10747" s="3">
        <v>45820.0</v>
      </c>
      <c r="B10747" s="4">
        <v>0.28541666666666665</v>
      </c>
      <c r="C10747" s="5" t="s">
        <v>76</v>
      </c>
      <c r="D10747" s="5" t="s">
        <v>1526</v>
      </c>
      <c r="E10747" s="6" t="s">
        <v>613</v>
      </c>
      <c r="F10747" s="5" t="s">
        <v>614</v>
      </c>
      <c r="G10747" s="6" t="str">
        <f>VLOOKUP(E10747,dicionario!$A$1:$C11146,2,0)</f>
        <v>Euphorbia hyssopifolia</v>
      </c>
      <c r="H10747" s="6" t="str">
        <f>VLOOKUP(E10747,dicionario!$A$1:$C11146,3,0)</f>
        <v>maria-leite</v>
      </c>
    </row>
    <row r="10748">
      <c r="A10748" s="3">
        <v>45820.0</v>
      </c>
      <c r="B10748" s="4">
        <v>0.28541666666666665</v>
      </c>
      <c r="C10748" s="5" t="s">
        <v>76</v>
      </c>
      <c r="D10748" s="5" t="s">
        <v>1526</v>
      </c>
      <c r="E10748" s="8" t="s">
        <v>1406</v>
      </c>
      <c r="F10748" s="5" t="s">
        <v>172</v>
      </c>
      <c r="G10748" s="6" t="str">
        <f>VLOOKUP(E10748,dicionario!$A$1:$C11147,2,0)</f>
        <v>#N/A</v>
      </c>
      <c r="H10748" s="6" t="str">
        <f>VLOOKUP(E10748,dicionario!$A$1:$C11147,3,0)</f>
        <v>#N/A</v>
      </c>
    </row>
    <row r="10749">
      <c r="A10749" s="3">
        <v>45820.0</v>
      </c>
      <c r="B10749" s="4">
        <v>0.28541666666666665</v>
      </c>
      <c r="C10749" s="5" t="s">
        <v>76</v>
      </c>
      <c r="D10749" s="5" t="s">
        <v>1526</v>
      </c>
      <c r="E10749" s="8" t="s">
        <v>334</v>
      </c>
      <c r="F10749" s="5" t="s">
        <v>335</v>
      </c>
      <c r="G10749" s="6" t="str">
        <f>VLOOKUP(E10749,dicionario!$A$1:$C11148,2,0)</f>
        <v>Eupsittula aurea</v>
      </c>
      <c r="H10749" s="6" t="str">
        <f>VLOOKUP(E10749,dicionario!$A$1:$C11148,3,0)</f>
        <v>periquito-rei</v>
      </c>
    </row>
    <row r="10750">
      <c r="A10750" s="3">
        <v>45820.0</v>
      </c>
      <c r="B10750" s="4">
        <v>0.28541666666666665</v>
      </c>
      <c r="C10750" s="5" t="s">
        <v>76</v>
      </c>
      <c r="D10750" s="5" t="s">
        <v>1526</v>
      </c>
      <c r="E10750" s="6" t="s">
        <v>290</v>
      </c>
      <c r="F10750" s="5" t="s">
        <v>291</v>
      </c>
      <c r="G10750" s="6" t="str">
        <f>VLOOKUP(E10750,dicionario!$A$1:$C11149,2,0)</f>
        <v>Drymaria cordata</v>
      </c>
      <c r="H10750" s="6" t="str">
        <f>VLOOKUP(E10750,dicionario!$A$1:$C11149,3,0)</f>
        <v>orelha-de-rato</v>
      </c>
    </row>
    <row r="10751">
      <c r="A10751" s="3">
        <v>45820.0</v>
      </c>
      <c r="B10751" s="4">
        <v>0.2861111111111111</v>
      </c>
      <c r="C10751" s="5" t="s">
        <v>76</v>
      </c>
      <c r="D10751" s="5" t="s">
        <v>1526</v>
      </c>
      <c r="E10751" s="6" t="s">
        <v>467</v>
      </c>
      <c r="F10751" s="5" t="s">
        <v>1543</v>
      </c>
      <c r="G10751" s="6" t="str">
        <f>VLOOKUP(E10751,dicionario!$A$1:$C11150,2,0)</f>
        <v>Eleusine indica</v>
      </c>
      <c r="H10751" s="6" t="str">
        <f>VLOOKUP(E10751,dicionario!$A$1:$C11150,3,0)</f>
        <v>capim-pé-de-galinha</v>
      </c>
    </row>
    <row r="10752">
      <c r="A10752" s="3">
        <v>45820.0</v>
      </c>
      <c r="B10752" s="4">
        <v>0.2861111111111111</v>
      </c>
      <c r="C10752" s="5" t="s">
        <v>76</v>
      </c>
      <c r="D10752" s="5" t="s">
        <v>1526</v>
      </c>
      <c r="E10752" s="8" t="s">
        <v>20</v>
      </c>
      <c r="F10752" s="5" t="s">
        <v>21</v>
      </c>
      <c r="G10752" s="6" t="str">
        <f>VLOOKUP(E10752,dicionario!$A$1:$C11151,2,0)</f>
        <v>Sicalis flaveola</v>
      </c>
      <c r="H10752" s="6" t="str">
        <f>VLOOKUP(E10752,dicionario!$A$1:$C11151,3,0)</f>
        <v>canário-da-terra</v>
      </c>
    </row>
    <row r="10753">
      <c r="A10753" s="3">
        <v>45820.0</v>
      </c>
      <c r="B10753" s="4">
        <v>0.28680555555555554</v>
      </c>
      <c r="C10753" s="5" t="s">
        <v>76</v>
      </c>
      <c r="D10753" s="5" t="s">
        <v>1526</v>
      </c>
      <c r="E10753" s="12" t="s">
        <v>152</v>
      </c>
      <c r="F10753" s="5" t="s">
        <v>153</v>
      </c>
      <c r="G10753" s="6" t="str">
        <f>VLOOKUP(E10753,dicionario!$A$1:$C11152,2,0)</f>
        <v>Cynodon dactylon</v>
      </c>
      <c r="H10753" s="6" t="str">
        <f>VLOOKUP(E10753,dicionario!$A$1:$C11152,3,0)</f>
        <v>grama-bermuda</v>
      </c>
    </row>
    <row r="10754">
      <c r="A10754" s="3">
        <v>45820.0</v>
      </c>
      <c r="B10754" s="4">
        <v>0.28680555555555554</v>
      </c>
      <c r="C10754" s="5" t="s">
        <v>76</v>
      </c>
      <c r="D10754" s="5" t="s">
        <v>1526</v>
      </c>
      <c r="E10754" s="8" t="s">
        <v>606</v>
      </c>
      <c r="F10754" s="5" t="s">
        <v>607</v>
      </c>
      <c r="G10754" s="6" t="str">
        <f>VLOOKUP(E10754,dicionario!$A$1:$C11153,2,0)</f>
        <v>Elaenia spectabilis</v>
      </c>
      <c r="H10754" s="6" t="str">
        <f>VLOOKUP(E10754,dicionario!$A$1:$C11153,3,0)</f>
        <v>guaracava-grande</v>
      </c>
    </row>
    <row r="10755">
      <c r="A10755" s="3">
        <v>45820.0</v>
      </c>
      <c r="B10755" s="4">
        <v>0.28680555555555554</v>
      </c>
      <c r="C10755" s="5" t="s">
        <v>76</v>
      </c>
      <c r="D10755" s="5" t="s">
        <v>1526</v>
      </c>
      <c r="E10755" s="8" t="s">
        <v>183</v>
      </c>
      <c r="F10755" s="5" t="s">
        <v>277</v>
      </c>
      <c r="G10755" s="6" t="str">
        <f>VLOOKUP(E10755,dicionario!$A$1:$C11154,2,0)</f>
        <v>Thunbergia alata</v>
      </c>
      <c r="H10755" s="6" t="str">
        <f>VLOOKUP(E10755,dicionario!$A$1:$C11154,3,0)</f>
        <v>susana-dos-olhos-negros</v>
      </c>
    </row>
    <row r="10756">
      <c r="A10756" s="3">
        <v>45820.0</v>
      </c>
      <c r="B10756" s="4">
        <v>0.2875</v>
      </c>
      <c r="C10756" s="5" t="s">
        <v>76</v>
      </c>
      <c r="D10756" s="5" t="s">
        <v>1526</v>
      </c>
      <c r="E10756" s="8" t="s">
        <v>1175</v>
      </c>
      <c r="F10756" s="5" t="s">
        <v>1176</v>
      </c>
      <c r="G10756" s="6" t="str">
        <f>VLOOKUP(E10756,dicionario!$A$1:$C11155,2,0)</f>
        <v>Danaus erippus</v>
      </c>
      <c r="H10756" s="6" t="str">
        <f>VLOOKUP(E10756,dicionario!$A$1:$C11155,3,0)</f>
        <v>borboleta-monarca-do-sul</v>
      </c>
    </row>
    <row r="10757">
      <c r="A10757" s="3">
        <v>45820.0</v>
      </c>
      <c r="B10757" s="4">
        <v>0.2875</v>
      </c>
      <c r="C10757" s="5" t="s">
        <v>76</v>
      </c>
      <c r="D10757" s="5" t="s">
        <v>1526</v>
      </c>
      <c r="E10757" s="8" t="s">
        <v>1324</v>
      </c>
      <c r="F10757" s="5" t="s">
        <v>1246</v>
      </c>
      <c r="G10757" s="6" t="str">
        <f>VLOOKUP(E10757,dicionario!$A$1:$C11156,2,0)</f>
        <v>#N/A</v>
      </c>
      <c r="H10757" s="6" t="str">
        <f>VLOOKUP(E10757,dicionario!$A$1:$C11156,3,0)</f>
        <v>#N/A</v>
      </c>
    </row>
    <row r="10758">
      <c r="A10758" s="3">
        <v>45820.0</v>
      </c>
      <c r="B10758" s="4">
        <v>0.2875</v>
      </c>
      <c r="C10758" s="5" t="s">
        <v>64</v>
      </c>
      <c r="D10758" s="5" t="s">
        <v>1526</v>
      </c>
      <c r="E10758" s="8" t="s">
        <v>109</v>
      </c>
      <c r="F10758" s="5" t="s">
        <v>110</v>
      </c>
      <c r="G10758" s="6" t="str">
        <f>VLOOKUP(E10758,dicionario!$A$1:$C11157,2,0)</f>
        <v>Tillandsia stricta</v>
      </c>
      <c r="H10758" s="6" t="str">
        <f>VLOOKUP(E10758,dicionario!$A$1:$C11157,3,0)</f>
        <v>cravo-do-mato</v>
      </c>
    </row>
    <row r="10759">
      <c r="A10759" s="3">
        <v>45820.0</v>
      </c>
      <c r="B10759" s="4">
        <v>0.2875</v>
      </c>
      <c r="C10759" s="5" t="s">
        <v>64</v>
      </c>
      <c r="D10759" s="5" t="s">
        <v>1526</v>
      </c>
      <c r="E10759" s="6" t="s">
        <v>251</v>
      </c>
      <c r="F10759" s="5" t="s">
        <v>252</v>
      </c>
      <c r="G10759" s="6" t="str">
        <f>VLOOKUP(E10759,dicionario!$A$1:$C11158,2,0)</f>
        <v>Struthanthus flexicaulis</v>
      </c>
      <c r="H10759" s="6" t="str">
        <f>VLOOKUP(E10759,dicionario!$A$1:$C11158,3,0)</f>
        <v>erva-de-passarinho</v>
      </c>
    </row>
    <row r="10760">
      <c r="A10760" s="3">
        <v>45820.0</v>
      </c>
      <c r="B10760" s="4">
        <v>0.2881944444444444</v>
      </c>
      <c r="C10760" s="5" t="s">
        <v>64</v>
      </c>
      <c r="D10760" s="5" t="s">
        <v>1526</v>
      </c>
      <c r="E10760" s="8" t="s">
        <v>163</v>
      </c>
      <c r="F10760" s="5" t="s">
        <v>164</v>
      </c>
      <c r="G10760" s="6" t="str">
        <f>VLOOKUP(E10760,dicionario!$A$1:$C11159,2,0)</f>
        <v>Coragyps atratus</v>
      </c>
      <c r="H10760" s="6" t="str">
        <f>VLOOKUP(E10760,dicionario!$A$1:$C11159,3,0)</f>
        <v>urubu-de-cabeça-preta</v>
      </c>
    </row>
    <row r="10761">
      <c r="A10761" s="3">
        <v>45820.0</v>
      </c>
      <c r="B10761" s="4">
        <v>0.2881944444444444</v>
      </c>
      <c r="C10761" s="5" t="s">
        <v>64</v>
      </c>
      <c r="D10761" s="5" t="s">
        <v>1526</v>
      </c>
      <c r="E10761" s="6" t="s">
        <v>113</v>
      </c>
      <c r="F10761" s="5" t="s">
        <v>114</v>
      </c>
      <c r="G10761" s="6" t="str">
        <f>VLOOKUP(E10761,dicionario!$A$1:$C11160,2,0)</f>
        <v>Columbina talpacoti</v>
      </c>
      <c r="H10761" s="6" t="str">
        <f>VLOOKUP(E10761,dicionario!$A$1:$C11160,3,0)</f>
        <v>rolinha-roxa</v>
      </c>
    </row>
    <row r="10762">
      <c r="A10762" s="3">
        <v>45820.0</v>
      </c>
      <c r="B10762" s="4">
        <v>0.28888888888888886</v>
      </c>
      <c r="C10762" s="5" t="s">
        <v>64</v>
      </c>
      <c r="D10762" s="5" t="s">
        <v>1526</v>
      </c>
      <c r="E10762" s="8" t="s">
        <v>193</v>
      </c>
      <c r="F10762" s="5" t="s">
        <v>194</v>
      </c>
      <c r="G10762" s="6" t="str">
        <f>VLOOKUP(E10762,dicionario!$A$1:$C11161,2,0)</f>
        <v>Conirostrum speciosum</v>
      </c>
      <c r="H10762" s="6" t="str">
        <f>VLOOKUP(E10762,dicionario!$A$1:$C11161,3,0)</f>
        <v>figuinha-de-rabo-castanho</v>
      </c>
    </row>
    <row r="10763">
      <c r="A10763" s="3">
        <v>45820.0</v>
      </c>
      <c r="B10763" s="4">
        <v>0.28888888888888886</v>
      </c>
      <c r="C10763" s="5" t="s">
        <v>64</v>
      </c>
      <c r="D10763" s="5" t="s">
        <v>1526</v>
      </c>
      <c r="E10763" s="8" t="s">
        <v>1084</v>
      </c>
      <c r="F10763" s="5" t="s">
        <v>1544</v>
      </c>
      <c r="G10763" s="6" t="str">
        <f>VLOOKUP(E10763,dicionario!$A$1:$C11162,2,0)</f>
        <v>#N/A</v>
      </c>
      <c r="H10763" s="6" t="str">
        <f>VLOOKUP(E10763,dicionario!$A$1:$C11162,3,0)</f>
        <v>#N/A</v>
      </c>
    </row>
    <row r="10764">
      <c r="A10764" s="3">
        <v>45820.0</v>
      </c>
      <c r="B10764" s="4">
        <v>0.28958333333333336</v>
      </c>
      <c r="C10764" s="5" t="s">
        <v>64</v>
      </c>
      <c r="D10764" s="5" t="s">
        <v>1526</v>
      </c>
      <c r="E10764" s="8" t="s">
        <v>109</v>
      </c>
      <c r="F10764" s="5" t="s">
        <v>110</v>
      </c>
      <c r="G10764" s="6" t="str">
        <f>VLOOKUP(E10764,dicionario!$A$1:$C11163,2,0)</f>
        <v>Tillandsia stricta</v>
      </c>
      <c r="H10764" s="6" t="str">
        <f>VLOOKUP(E10764,dicionario!$A$1:$C11163,3,0)</f>
        <v>cravo-do-mato</v>
      </c>
    </row>
    <row r="10765">
      <c r="A10765" s="3">
        <v>45820.0</v>
      </c>
      <c r="B10765" s="4">
        <v>0.28958333333333336</v>
      </c>
      <c r="C10765" s="5" t="s">
        <v>64</v>
      </c>
      <c r="D10765" s="5" t="s">
        <v>1526</v>
      </c>
      <c r="E10765" s="8" t="s">
        <v>154</v>
      </c>
      <c r="F10765" s="5" t="s">
        <v>155</v>
      </c>
      <c r="G10765" s="6" t="str">
        <f>VLOOKUP(E10765,dicionario!$A$1:$C11164,2,0)</f>
        <v>Cyperus rotundus</v>
      </c>
      <c r="H10765" s="6" t="str">
        <f>VLOOKUP(E10765,dicionario!$A$1:$C11164,3,0)</f>
        <v>tiririca</v>
      </c>
    </row>
    <row r="10766">
      <c r="A10766" s="3">
        <v>45820.0</v>
      </c>
      <c r="B10766" s="4">
        <v>0.28958333333333336</v>
      </c>
      <c r="C10766" s="5" t="s">
        <v>64</v>
      </c>
      <c r="D10766" s="5" t="s">
        <v>1526</v>
      </c>
      <c r="E10766" s="6" t="s">
        <v>148</v>
      </c>
      <c r="F10766" s="5" t="s">
        <v>149</v>
      </c>
      <c r="G10766" s="6" t="str">
        <f>VLOOKUP(E10766,dicionario!$A$1:$C11165,2,0)</f>
        <v>Parthenium hysterophorus</v>
      </c>
      <c r="H10766" s="6" t="str">
        <f>VLOOKUP(E10766,dicionario!$A$1:$C11165,3,0)</f>
        <v>losna-branca</v>
      </c>
    </row>
    <row r="10767">
      <c r="A10767" s="3">
        <v>45820.0</v>
      </c>
      <c r="B10767" s="4">
        <v>0.28958333333333336</v>
      </c>
      <c r="C10767" s="5" t="s">
        <v>64</v>
      </c>
      <c r="D10767" s="5" t="s">
        <v>1526</v>
      </c>
      <c r="E10767" s="8" t="s">
        <v>195</v>
      </c>
      <c r="F10767" s="5" t="s">
        <v>196</v>
      </c>
      <c r="G10767" s="6" t="str">
        <f>VLOOKUP(E10767,dicionario!$A$1:$C11166,2,0)</f>
        <v>Priva lappulacea</v>
      </c>
      <c r="H10767" s="6" t="str">
        <f>VLOOKUP(E10767,dicionario!$A$1:$C11166,3,0)</f>
        <v>carrapicho</v>
      </c>
    </row>
    <row r="10768">
      <c r="A10768" s="3">
        <v>45820.0</v>
      </c>
      <c r="B10768" s="4">
        <v>0.28958333333333336</v>
      </c>
      <c r="C10768" s="5" t="s">
        <v>64</v>
      </c>
      <c r="D10768" s="5" t="s">
        <v>1526</v>
      </c>
      <c r="E10768" s="6" t="s">
        <v>288</v>
      </c>
      <c r="F10768" s="5" t="s">
        <v>289</v>
      </c>
      <c r="G10768" s="6" t="str">
        <f>VLOOKUP(E10768,dicionario!$A$1:$C11167,2,0)</f>
        <v>Phyllanthus tenellus</v>
      </c>
      <c r="H10768" s="6" t="str">
        <f>VLOOKUP(E10768,dicionario!$A$1:$C11167,3,0)</f>
        <v>quebra-pedra</v>
      </c>
    </row>
    <row r="10769">
      <c r="A10769" s="3">
        <v>45820.0</v>
      </c>
      <c r="B10769" s="4">
        <v>0.28958333333333336</v>
      </c>
      <c r="C10769" s="5" t="s">
        <v>64</v>
      </c>
      <c r="D10769" s="5" t="s">
        <v>1526</v>
      </c>
      <c r="E10769" s="8" t="s">
        <v>150</v>
      </c>
      <c r="F10769" s="5" t="s">
        <v>151</v>
      </c>
      <c r="G10769" s="6" t="str">
        <f>VLOOKUP(E10769,dicionario!$A$1:$C11168,2,0)</f>
        <v>Amaranthus viridis</v>
      </c>
      <c r="H10769" s="6" t="str">
        <f>VLOOKUP(E10769,dicionario!$A$1:$C11168,3,0)</f>
        <v>caruru-de-mancha</v>
      </c>
    </row>
    <row r="10770">
      <c r="A10770" s="3">
        <v>45820.0</v>
      </c>
      <c r="B10770" s="4">
        <v>0.30069444444444443</v>
      </c>
      <c r="C10770" s="5" t="s">
        <v>64</v>
      </c>
      <c r="D10770" s="5" t="s">
        <v>1526</v>
      </c>
      <c r="E10770" s="8" t="s">
        <v>1324</v>
      </c>
      <c r="F10770" s="5" t="s">
        <v>1246</v>
      </c>
      <c r="G10770" s="6" t="str">
        <f>VLOOKUP(E10770,dicionario!$A$1:$C11169,2,0)</f>
        <v>#N/A</v>
      </c>
      <c r="H10770" s="6" t="str">
        <f>VLOOKUP(E10770,dicionario!$A$1:$C11169,3,0)</f>
        <v>#N/A</v>
      </c>
    </row>
    <row r="10771">
      <c r="A10771" s="3">
        <v>45820.0</v>
      </c>
      <c r="B10771" s="4">
        <v>0.3013888888888889</v>
      </c>
      <c r="C10771" s="5" t="s">
        <v>64</v>
      </c>
      <c r="D10771" s="5" t="s">
        <v>1526</v>
      </c>
      <c r="E10771" s="8" t="s">
        <v>141</v>
      </c>
      <c r="F10771" s="5" t="s">
        <v>142</v>
      </c>
      <c r="G10771" s="6" t="str">
        <f>VLOOKUP(E10771,dicionario!$A$1:$C11170,2,0)</f>
        <v>Ruellia blechum</v>
      </c>
      <c r="H10771" s="6" t="str">
        <f>VLOOKUP(E10771,dicionario!$A$1:$C11170,3,0)</f>
        <v>camarão-verde</v>
      </c>
    </row>
    <row r="10772">
      <c r="A10772" s="3">
        <v>45820.0</v>
      </c>
      <c r="B10772" s="4">
        <v>0.3020833333333333</v>
      </c>
      <c r="C10772" s="5" t="s">
        <v>64</v>
      </c>
      <c r="D10772" s="5" t="s">
        <v>1526</v>
      </c>
      <c r="E10772" s="8" t="s">
        <v>1406</v>
      </c>
      <c r="F10772" s="5" t="s">
        <v>172</v>
      </c>
      <c r="G10772" s="6" t="str">
        <f>VLOOKUP(E10772,dicionario!$A$1:$C11171,2,0)</f>
        <v>#N/A</v>
      </c>
      <c r="H10772" s="6" t="str">
        <f>VLOOKUP(E10772,dicionario!$A$1:$C11171,3,0)</f>
        <v>#N/A</v>
      </c>
    </row>
    <row r="10773">
      <c r="A10773" s="3">
        <v>45820.0</v>
      </c>
      <c r="B10773" s="4">
        <v>0.3034722222222222</v>
      </c>
      <c r="C10773" s="5" t="s">
        <v>64</v>
      </c>
      <c r="D10773" s="5" t="s">
        <v>1526</v>
      </c>
      <c r="E10773" s="8" t="s">
        <v>191</v>
      </c>
      <c r="F10773" s="5" t="s">
        <v>192</v>
      </c>
      <c r="G10773" s="6" t="str">
        <f>VLOOKUP(E10773,dicionario!$A$1:$C11172,2,0)</f>
        <v>Patagioenas picazuro</v>
      </c>
      <c r="H10773" s="6" t="str">
        <f>VLOOKUP(E10773,dicionario!$A$1:$C11172,3,0)</f>
        <v>asa-branca; pomba-asa-branca; pocaçu</v>
      </c>
    </row>
    <row r="10774">
      <c r="A10774" s="3">
        <v>45820.0</v>
      </c>
      <c r="B10774" s="4">
        <v>0.3034722222222222</v>
      </c>
      <c r="C10774" s="5" t="s">
        <v>64</v>
      </c>
      <c r="D10774" s="5" t="s">
        <v>1526</v>
      </c>
      <c r="E10774" s="8" t="s">
        <v>427</v>
      </c>
      <c r="F10774" s="5" t="s">
        <v>428</v>
      </c>
      <c r="G10774" s="6" t="str">
        <f>VLOOKUP(E10774,dicionario!$A$1:$C11173,2,0)</f>
        <v>Condylostylus longicornis</v>
      </c>
      <c r="H10774" s="6" t="str">
        <f>VLOOKUP(E10774,dicionario!$A$1:$C11173,3,0)</f>
        <v>mosca-de-pernas-longas</v>
      </c>
    </row>
    <row r="10775">
      <c r="A10775" s="3">
        <v>45820.0</v>
      </c>
      <c r="B10775" s="4">
        <v>0.30416666666666664</v>
      </c>
      <c r="C10775" s="5" t="s">
        <v>64</v>
      </c>
      <c r="D10775" s="5" t="s">
        <v>1526</v>
      </c>
      <c r="E10775" s="8" t="s">
        <v>253</v>
      </c>
      <c r="F10775" s="5" t="s">
        <v>254</v>
      </c>
      <c r="G10775" s="6" t="str">
        <f>VLOOKUP(E10775,dicionario!$A$1:$C11174,2,0)</f>
        <v>Panicum maximum</v>
      </c>
      <c r="H10775" s="6" t="str">
        <f>VLOOKUP(E10775,dicionario!$A$1:$C11174,3,0)</f>
        <v>capim-colonião</v>
      </c>
    </row>
    <row r="10776">
      <c r="A10776" s="3">
        <v>45820.0</v>
      </c>
      <c r="B10776" s="4">
        <v>0.30416666666666664</v>
      </c>
      <c r="C10776" s="5" t="s">
        <v>64</v>
      </c>
      <c r="D10776" s="5" t="s">
        <v>1526</v>
      </c>
      <c r="E10776" s="8" t="s">
        <v>1383</v>
      </c>
      <c r="F10776" s="5" t="s">
        <v>561</v>
      </c>
      <c r="G10776" s="6" t="str">
        <f>VLOOKUP(E10776,dicionario!$A$1:$C11175,2,0)</f>
        <v>#N/A</v>
      </c>
      <c r="H10776" s="6" t="str">
        <f>VLOOKUP(E10776,dicionario!$A$1:$C11175,3,0)</f>
        <v>#N/A</v>
      </c>
    </row>
    <row r="10777">
      <c r="A10777" s="3">
        <v>45820.0</v>
      </c>
      <c r="B10777" s="4">
        <v>0.30416666666666664</v>
      </c>
      <c r="C10777" s="5" t="s">
        <v>64</v>
      </c>
      <c r="D10777" s="5" t="s">
        <v>1526</v>
      </c>
      <c r="E10777" s="8" t="s">
        <v>38</v>
      </c>
      <c r="F10777" s="5" t="s">
        <v>1251</v>
      </c>
      <c r="G10777" s="6" t="str">
        <f>VLOOKUP(E10777,dicionario!$A$1:$C11176,2,0)</f>
        <v>Troglodytes musculus</v>
      </c>
      <c r="H10777" s="6" t="str">
        <f>VLOOKUP(E10777,dicionario!$A$1:$C11176,3,0)</f>
        <v>curruíra</v>
      </c>
    </row>
    <row r="10778">
      <c r="A10778" s="3">
        <v>45820.0</v>
      </c>
      <c r="B10778" s="4">
        <v>0.30486111111111114</v>
      </c>
      <c r="C10778" s="5" t="s">
        <v>59</v>
      </c>
      <c r="D10778" s="5" t="s">
        <v>1526</v>
      </c>
      <c r="E10778" s="8" t="s">
        <v>65</v>
      </c>
      <c r="F10778" s="5" t="s">
        <v>66</v>
      </c>
      <c r="G10778" s="6" t="str">
        <f>VLOOKUP(E10778,dicionario!$A$1:$C11177,2,0)</f>
        <v>Pitangus sulphutarus</v>
      </c>
      <c r="H10778" s="6" t="str">
        <f>VLOOKUP(E10778,dicionario!$A$1:$C11177,3,0)</f>
        <v>bem-te-vi</v>
      </c>
    </row>
    <row r="10779">
      <c r="A10779" s="3">
        <v>45820.0</v>
      </c>
      <c r="B10779" s="4">
        <v>0.30486111111111114</v>
      </c>
      <c r="C10779" s="5" t="s">
        <v>59</v>
      </c>
      <c r="D10779" s="5" t="s">
        <v>1526</v>
      </c>
      <c r="E10779" s="8" t="s">
        <v>10</v>
      </c>
      <c r="F10779" s="5" t="s">
        <v>1545</v>
      </c>
      <c r="G10779" s="6" t="str">
        <f>VLOOKUP(E10779,dicionario!$A$1:$C11178,2,0)</f>
        <v>Guira guira</v>
      </c>
      <c r="H10779" s="6" t="str">
        <f>VLOOKUP(E10779,dicionario!$A$1:$C11178,3,0)</f>
        <v>anu-branco</v>
      </c>
    </row>
    <row r="10780">
      <c r="A10780" s="3">
        <v>45820.0</v>
      </c>
      <c r="B10780" s="4">
        <v>0.3055555555555556</v>
      </c>
      <c r="C10780" s="5" t="s">
        <v>59</v>
      </c>
      <c r="D10780" s="5" t="s">
        <v>1526</v>
      </c>
      <c r="E10780" s="8" t="s">
        <v>606</v>
      </c>
      <c r="F10780" s="5" t="s">
        <v>607</v>
      </c>
      <c r="G10780" s="6" t="str">
        <f>VLOOKUP(E10780,dicionario!$A$1:$C11179,2,0)</f>
        <v>Elaenia spectabilis</v>
      </c>
      <c r="H10780" s="6" t="str">
        <f>VLOOKUP(E10780,dicionario!$A$1:$C11179,3,0)</f>
        <v>guaracava-grande</v>
      </c>
    </row>
    <row r="10781">
      <c r="A10781" s="3">
        <v>45820.0</v>
      </c>
      <c r="B10781" s="4">
        <v>0.30833333333333335</v>
      </c>
      <c r="C10781" s="5" t="s">
        <v>59</v>
      </c>
      <c r="D10781" s="5" t="s">
        <v>1526</v>
      </c>
      <c r="E10781" s="8" t="s">
        <v>909</v>
      </c>
      <c r="F10781" s="5" t="s">
        <v>910</v>
      </c>
      <c r="G10781" s="6" t="str">
        <f>VLOOKUP(E10781,dicionario!$A$1:$C11180,2,0)</f>
        <v>Chordeiles acutipennis</v>
      </c>
      <c r="H10781" s="6" t="str">
        <f>VLOOKUP(E10781,dicionario!$A$1:$C11180,3,0)</f>
        <v>bacurau-de-asa-fina</v>
      </c>
    </row>
    <row r="10782">
      <c r="A10782" s="3">
        <v>45820.0</v>
      </c>
      <c r="B10782" s="4">
        <v>0.3090277777777778</v>
      </c>
      <c r="C10782" s="5" t="s">
        <v>59</v>
      </c>
      <c r="D10782" s="5" t="s">
        <v>1526</v>
      </c>
      <c r="E10782" s="6" t="s">
        <v>251</v>
      </c>
      <c r="F10782" s="5" t="s">
        <v>252</v>
      </c>
      <c r="G10782" s="6" t="str">
        <f>VLOOKUP(E10782,dicionario!$A$1:$C11181,2,0)</f>
        <v>Struthanthus flexicaulis</v>
      </c>
      <c r="H10782" s="6" t="str">
        <f>VLOOKUP(E10782,dicionario!$A$1:$C11181,3,0)</f>
        <v>erva-de-passarinho</v>
      </c>
    </row>
    <row r="10783">
      <c r="A10783" s="3">
        <v>45820.0</v>
      </c>
      <c r="B10783" s="4">
        <v>0.3090277777777778</v>
      </c>
      <c r="C10783" s="5" t="s">
        <v>59</v>
      </c>
      <c r="D10783" s="5" t="s">
        <v>1526</v>
      </c>
      <c r="E10783" s="6" t="s">
        <v>53</v>
      </c>
      <c r="F10783" s="5" t="s">
        <v>54</v>
      </c>
      <c r="G10783" s="6" t="str">
        <f>VLOOKUP(E10783,dicionario!$A$1:$C11182,2,0)</f>
        <v>Turnera subulata</v>
      </c>
      <c r="H10783" s="6" t="str">
        <f>VLOOKUP(E10783,dicionario!$A$1:$C11182,3,0)</f>
        <v>xanana</v>
      </c>
    </row>
    <row r="10784">
      <c r="A10784" s="3">
        <v>45820.0</v>
      </c>
      <c r="B10784" s="4">
        <v>0.3090277777777778</v>
      </c>
      <c r="C10784" s="5" t="s">
        <v>59</v>
      </c>
      <c r="D10784" s="5" t="s">
        <v>1526</v>
      </c>
      <c r="E10784" s="8" t="s">
        <v>298</v>
      </c>
      <c r="F10784" s="5"/>
      <c r="G10784" s="6" t="str">
        <f>VLOOKUP(E10784,dicionario!$A$1:$C11183,2,0)</f>
        <v>Alysicarpus vaginalis</v>
      </c>
      <c r="H10784" s="6" t="str">
        <f>VLOOKUP(E10784,dicionario!$A$1:$C11183,3,0)</f>
        <v/>
      </c>
    </row>
    <row r="10785">
      <c r="A10785" s="3">
        <v>45820.0</v>
      </c>
      <c r="B10785" s="4">
        <v>0.3090277777777778</v>
      </c>
      <c r="C10785" s="5" t="s">
        <v>59</v>
      </c>
      <c r="D10785" s="5" t="s">
        <v>1526</v>
      </c>
      <c r="E10785" s="8" t="s">
        <v>353</v>
      </c>
      <c r="F10785" s="5" t="s">
        <v>354</v>
      </c>
      <c r="G10785" s="6" t="str">
        <f>VLOOKUP(E10785,dicionario!$A$1:$C11184,2,0)</f>
        <v>Desmodium incanum</v>
      </c>
      <c r="H10785" s="6" t="str">
        <f>VLOOKUP(E10785,dicionario!$A$1:$C11184,3,0)</f>
        <v>pega-pega</v>
      </c>
    </row>
    <row r="10786">
      <c r="A10786" s="3">
        <v>45820.0</v>
      </c>
      <c r="B10786" s="4">
        <v>0.3090277777777778</v>
      </c>
      <c r="C10786" s="5" t="s">
        <v>59</v>
      </c>
      <c r="D10786" s="5" t="s">
        <v>1526</v>
      </c>
      <c r="E10786" s="6" t="s">
        <v>93</v>
      </c>
      <c r="F10786" s="5" t="s">
        <v>570</v>
      </c>
      <c r="G10786" s="6" t="str">
        <f>VLOOKUP(E10786,dicionario!$A$1:$C11185,2,0)</f>
        <v>Thraupis sayaca</v>
      </c>
      <c r="H10786" s="6" t="str">
        <f>VLOOKUP(E10786,dicionario!$A$1:$C11185,3,0)</f>
        <v>sanhaçu-cinzento</v>
      </c>
    </row>
    <row r="10787">
      <c r="A10787" s="3">
        <v>45820.0</v>
      </c>
      <c r="B10787" s="4">
        <v>0.3090277777777778</v>
      </c>
      <c r="C10787" s="5" t="s">
        <v>59</v>
      </c>
      <c r="D10787" s="5" t="s">
        <v>1526</v>
      </c>
      <c r="E10787" s="8" t="s">
        <v>1347</v>
      </c>
      <c r="F10787" s="5" t="s">
        <v>1168</v>
      </c>
      <c r="G10787" s="6" t="str">
        <f>VLOOKUP(E10787,dicionario!$A$1:$C11186,2,0)</f>
        <v>#N/A</v>
      </c>
      <c r="H10787" s="6" t="str">
        <f>VLOOKUP(E10787,dicionario!$A$1:$C11186,3,0)</f>
        <v>#N/A</v>
      </c>
    </row>
    <row r="10788">
      <c r="A10788" s="3">
        <v>45820.0</v>
      </c>
      <c r="B10788" s="4">
        <v>0.3104166666666667</v>
      </c>
      <c r="C10788" s="5" t="s">
        <v>59</v>
      </c>
      <c r="D10788" s="5" t="s">
        <v>1526</v>
      </c>
      <c r="E10788" s="8" t="s">
        <v>624</v>
      </c>
      <c r="F10788" s="5" t="s">
        <v>133</v>
      </c>
      <c r="G10788" s="6" t="str">
        <f>VLOOKUP(E10788,dicionario!$A$1:$C11187,2,0)</f>
        <v>Euphonia violacea</v>
      </c>
      <c r="H10788" s="6" t="str">
        <f>VLOOKUP(E10788,dicionario!$A$1:$C11187,3,0)</f>
        <v>gaturamo-verdadeiro</v>
      </c>
    </row>
    <row r="10789">
      <c r="A10789" s="3">
        <v>45820.0</v>
      </c>
      <c r="B10789" s="4">
        <v>0.3104166666666667</v>
      </c>
      <c r="C10789" s="5" t="s">
        <v>59</v>
      </c>
      <c r="D10789" s="5" t="s">
        <v>1526</v>
      </c>
      <c r="E10789" s="8" t="s">
        <v>1347</v>
      </c>
      <c r="F10789" s="5" t="s">
        <v>777</v>
      </c>
      <c r="G10789" s="6" t="str">
        <f>VLOOKUP(E10789,dicionario!$A$1:$C11188,2,0)</f>
        <v>#N/A</v>
      </c>
      <c r="H10789" s="6" t="str">
        <f>VLOOKUP(E10789,dicionario!$A$1:$C11188,3,0)</f>
        <v>#N/A</v>
      </c>
    </row>
    <row r="10790">
      <c r="A10790" s="3">
        <v>45820.0</v>
      </c>
      <c r="B10790" s="4">
        <v>0.3104166666666667</v>
      </c>
      <c r="C10790" s="5" t="s">
        <v>59</v>
      </c>
      <c r="D10790" s="5" t="s">
        <v>1526</v>
      </c>
      <c r="E10790" s="8" t="s">
        <v>206</v>
      </c>
      <c r="F10790" s="5" t="s">
        <v>968</v>
      </c>
      <c r="G10790" s="6" t="str">
        <f>VLOOKUP(E10790,dicionario!$A$1:$C11189,2,0)</f>
        <v>Falco sparverius</v>
      </c>
      <c r="H10790" s="6" t="str">
        <f>VLOOKUP(E10790,dicionario!$A$1:$C11189,3,0)</f>
        <v>quiriquiri</v>
      </c>
    </row>
    <row r="10791">
      <c r="A10791" s="3">
        <v>45820.0</v>
      </c>
      <c r="B10791" s="4">
        <v>0.3104166666666667</v>
      </c>
      <c r="C10791" s="5" t="s">
        <v>59</v>
      </c>
      <c r="D10791" s="5" t="s">
        <v>1526</v>
      </c>
      <c r="E10791" s="8" t="s">
        <v>154</v>
      </c>
      <c r="F10791" s="5" t="s">
        <v>155</v>
      </c>
      <c r="G10791" s="6" t="str">
        <f>VLOOKUP(E10791,dicionario!$A$1:$C11190,2,0)</f>
        <v>Cyperus rotundus</v>
      </c>
      <c r="H10791" s="6" t="str">
        <f>VLOOKUP(E10791,dicionario!$A$1:$C11190,3,0)</f>
        <v>tiririca</v>
      </c>
    </row>
    <row r="10792">
      <c r="A10792" s="3">
        <v>45820.0</v>
      </c>
      <c r="B10792" s="4">
        <v>0.3104166666666667</v>
      </c>
      <c r="C10792" s="5" t="s">
        <v>59</v>
      </c>
      <c r="D10792" s="5" t="s">
        <v>1526</v>
      </c>
      <c r="E10792" s="8" t="s">
        <v>191</v>
      </c>
      <c r="F10792" s="5" t="s">
        <v>192</v>
      </c>
      <c r="G10792" s="6" t="str">
        <f>VLOOKUP(E10792,dicionario!$A$1:$C11191,2,0)</f>
        <v>Patagioenas picazuro</v>
      </c>
      <c r="H10792" s="6" t="str">
        <f>VLOOKUP(E10792,dicionario!$A$1:$C11191,3,0)</f>
        <v>asa-branca; pomba-asa-branca; pocaçu</v>
      </c>
    </row>
    <row r="10793">
      <c r="A10793" s="3">
        <v>45820.0</v>
      </c>
      <c r="B10793" s="4">
        <v>0.3104166666666667</v>
      </c>
      <c r="C10793" s="5" t="s">
        <v>59</v>
      </c>
      <c r="D10793" s="5" t="s">
        <v>1526</v>
      </c>
      <c r="E10793" s="8" t="s">
        <v>223</v>
      </c>
      <c r="F10793" s="5"/>
      <c r="G10793" s="6" t="str">
        <f>VLOOKUP(E10793,dicionario!$A$1:$C11192,2,0)</f>
        <v>Rhipsalis lindbergiana</v>
      </c>
      <c r="H10793" s="6" t="str">
        <f>VLOOKUP(E10793,dicionario!$A$1:$C11192,3,0)</f>
        <v>cacto-macarrão</v>
      </c>
    </row>
    <row r="10794">
      <c r="A10794" s="3">
        <v>45820.0</v>
      </c>
      <c r="B10794" s="4">
        <v>0.3111111111111111</v>
      </c>
      <c r="C10794" s="5" t="s">
        <v>59</v>
      </c>
      <c r="D10794" s="5" t="s">
        <v>1526</v>
      </c>
      <c r="E10794" s="8" t="s">
        <v>135</v>
      </c>
      <c r="F10794" s="5" t="s">
        <v>136</v>
      </c>
      <c r="G10794" s="6" t="str">
        <f>VLOOKUP(E10794,dicionario!$A$1:$C11193,2,0)</f>
        <v>Tridax procumbens</v>
      </c>
      <c r="H10794" s="6" t="str">
        <f>VLOOKUP(E10794,dicionario!$A$1:$C11193,3,0)</f>
        <v>erva-de-touro</v>
      </c>
    </row>
    <row r="10795">
      <c r="A10795" s="3">
        <v>45820.0</v>
      </c>
      <c r="B10795" s="4">
        <v>0.3111111111111111</v>
      </c>
      <c r="C10795" s="5" t="s">
        <v>59</v>
      </c>
      <c r="D10795" s="5" t="s">
        <v>1526</v>
      </c>
      <c r="E10795" s="8" t="s">
        <v>752</v>
      </c>
      <c r="F10795" s="5" t="s">
        <v>969</v>
      </c>
      <c r="G10795" s="6" t="str">
        <f>VLOOKUP(E10795,dicionario!$A$1:$C11194,2,0)</f>
        <v>#N/A</v>
      </c>
      <c r="H10795" s="6" t="str">
        <f>VLOOKUP(E10795,dicionario!$A$1:$C11194,3,0)</f>
        <v>#N/A</v>
      </c>
    </row>
    <row r="10796">
      <c r="A10796" s="3">
        <v>45820.0</v>
      </c>
      <c r="B10796" s="4">
        <v>0.3111111111111111</v>
      </c>
      <c r="C10796" s="5" t="s">
        <v>59</v>
      </c>
      <c r="D10796" s="5" t="s">
        <v>1526</v>
      </c>
      <c r="E10796" s="8" t="s">
        <v>107</v>
      </c>
      <c r="F10796" s="5" t="s">
        <v>108</v>
      </c>
      <c r="G10796" s="6" t="str">
        <f>VLOOKUP(E10796,dicionario!$A$1:$C11195,2,0)</f>
        <v>Ramalina complanata</v>
      </c>
      <c r="H10796" s="6" t="str">
        <f>VLOOKUP(E10796,dicionario!$A$1:$C11195,3,0)</f>
        <v>ramalina</v>
      </c>
    </row>
    <row r="10797">
      <c r="A10797" s="3">
        <v>45820.0</v>
      </c>
      <c r="B10797" s="4">
        <v>0.31180555555555556</v>
      </c>
      <c r="C10797" s="5" t="s">
        <v>59</v>
      </c>
      <c r="D10797" s="5" t="s">
        <v>1526</v>
      </c>
      <c r="E10797" s="8" t="s">
        <v>719</v>
      </c>
      <c r="F10797" s="5" t="s">
        <v>911</v>
      </c>
      <c r="G10797" s="6" t="str">
        <f>VLOOKUP(E10797,dicionario!$A$1:$C11196,2,0)</f>
        <v>Dirinaria</v>
      </c>
      <c r="H10797" s="6" t="str">
        <f>VLOOKUP(E10797,dicionario!$A$1:$C11196,3,0)</f>
        <v>líquen-crostoso</v>
      </c>
    </row>
    <row r="10798">
      <c r="A10798" s="3">
        <v>45820.0</v>
      </c>
      <c r="B10798" s="4">
        <v>0.31180555555555556</v>
      </c>
      <c r="C10798" s="5" t="s">
        <v>59</v>
      </c>
      <c r="D10798" s="5" t="s">
        <v>1526</v>
      </c>
      <c r="E10798" s="8" t="s">
        <v>712</v>
      </c>
      <c r="F10798" s="5" t="s">
        <v>912</v>
      </c>
      <c r="G10798" s="6" t="str">
        <f>VLOOKUP(E10798,dicionario!$A$1:$C11197,2,0)</f>
        <v>Flavopunctelia soredica</v>
      </c>
      <c r="H10798" s="6" t="str">
        <f>VLOOKUP(E10798,dicionario!$A$1:$C11197,3,0)</f>
        <v>líquen-folioso</v>
      </c>
    </row>
    <row r="10799">
      <c r="A10799" s="3">
        <v>45820.0</v>
      </c>
      <c r="B10799" s="4">
        <v>0.3125</v>
      </c>
      <c r="C10799" s="5" t="s">
        <v>59</v>
      </c>
      <c r="D10799" s="5" t="s">
        <v>1526</v>
      </c>
      <c r="E10799" s="8" t="s">
        <v>22</v>
      </c>
      <c r="F10799" s="5" t="s">
        <v>1546</v>
      </c>
      <c r="G10799" s="6" t="str">
        <f>VLOOKUP(E10799,dicionario!$A$1:$C11198,2,0)</f>
        <v>Zenaida auriculata</v>
      </c>
      <c r="H10799" s="6" t="str">
        <f>VLOOKUP(E10799,dicionario!$A$1:$C11198,3,0)</f>
        <v>pomba-de-bando; avoante</v>
      </c>
    </row>
    <row r="10800">
      <c r="A10800" s="3">
        <v>45820.0</v>
      </c>
      <c r="B10800" s="4">
        <v>0.3125</v>
      </c>
      <c r="C10800" s="5" t="s">
        <v>59</v>
      </c>
      <c r="D10800" s="5" t="s">
        <v>1526</v>
      </c>
      <c r="E10800" s="8" t="s">
        <v>1285</v>
      </c>
      <c r="F10800" s="5" t="s">
        <v>1128</v>
      </c>
      <c r="G10800" s="6" t="str">
        <f>VLOOKUP(E10800,dicionario!$A$1:$C11199,2,0)</f>
        <v>#N/A</v>
      </c>
      <c r="H10800" s="6" t="str">
        <f>VLOOKUP(E10800,dicionario!$A$1:$C11199,3,0)</f>
        <v>#N/A</v>
      </c>
    </row>
    <row r="10801">
      <c r="A10801" s="3">
        <v>45820.0</v>
      </c>
      <c r="B10801" s="4">
        <v>0.3125</v>
      </c>
      <c r="C10801" s="5" t="s">
        <v>59</v>
      </c>
      <c r="D10801" s="5" t="s">
        <v>1526</v>
      </c>
      <c r="E10801" s="12" t="s">
        <v>243</v>
      </c>
      <c r="F10801" s="5" t="s">
        <v>244</v>
      </c>
      <c r="G10801" s="6" t="str">
        <f>VLOOKUP(E10801,dicionario!$A$1:$C11200,2,0)</f>
        <v>Macroptilium atropurpureum</v>
      </c>
      <c r="H10801" s="6" t="str">
        <f>VLOOKUP(E10801,dicionario!$A$1:$C11200,3,0)</f>
        <v>feijão-de-pombo</v>
      </c>
    </row>
    <row r="10802">
      <c r="A10802" s="3">
        <v>45820.0</v>
      </c>
      <c r="B10802" s="4">
        <v>0.3125</v>
      </c>
      <c r="C10802" s="5" t="s">
        <v>59</v>
      </c>
      <c r="D10802" s="5" t="s">
        <v>1526</v>
      </c>
      <c r="E10802" s="8" t="s">
        <v>72</v>
      </c>
      <c r="F10802" s="5" t="s">
        <v>73</v>
      </c>
      <c r="G10802" s="6" t="str">
        <f>VLOOKUP(E10802,dicionario!$A$1:$C11201,2,0)</f>
        <v>Thraupis palmarum</v>
      </c>
      <c r="H10802" s="6" t="str">
        <f>VLOOKUP(E10802,dicionario!$A$1:$C11201,3,0)</f>
        <v>sanhaço-do-coqueiro</v>
      </c>
    </row>
    <row r="10803">
      <c r="A10803" s="3">
        <v>45820.0</v>
      </c>
      <c r="B10803" s="4">
        <v>0.3125</v>
      </c>
      <c r="C10803" s="5" t="s">
        <v>59</v>
      </c>
      <c r="D10803" s="5" t="s">
        <v>1526</v>
      </c>
      <c r="E10803" s="8" t="s">
        <v>38</v>
      </c>
      <c r="F10803" s="5" t="s">
        <v>1251</v>
      </c>
      <c r="G10803" s="6" t="str">
        <f>VLOOKUP(E10803,dicionario!$A$1:$C11202,2,0)</f>
        <v>Troglodytes musculus</v>
      </c>
      <c r="H10803" s="6" t="str">
        <f>VLOOKUP(E10803,dicionario!$A$1:$C11202,3,0)</f>
        <v>curruíra</v>
      </c>
    </row>
    <row r="10804">
      <c r="A10804" s="3">
        <v>45820.0</v>
      </c>
      <c r="B10804" s="4">
        <v>0.3125</v>
      </c>
      <c r="C10804" s="5" t="s">
        <v>59</v>
      </c>
      <c r="D10804" s="5" t="s">
        <v>1526</v>
      </c>
      <c r="E10804" s="8" t="s">
        <v>286</v>
      </c>
      <c r="F10804" s="5" t="s">
        <v>287</v>
      </c>
      <c r="G10804" s="6" t="str">
        <f>VLOOKUP(E10804,dicionario!$A$1:$C11203,2,0)</f>
        <v>Setaria parviflora</v>
      </c>
      <c r="H10804" s="6" t="str">
        <f>VLOOKUP(E10804,dicionario!$A$1:$C11203,3,0)</f>
        <v>capim-rabo-de-raposa</v>
      </c>
    </row>
    <row r="10805">
      <c r="A10805" s="3">
        <v>45820.0</v>
      </c>
      <c r="B10805" s="4">
        <v>0.3125</v>
      </c>
      <c r="C10805" s="5" t="s">
        <v>59</v>
      </c>
      <c r="D10805" s="5" t="s">
        <v>1526</v>
      </c>
      <c r="E10805" s="8" t="s">
        <v>253</v>
      </c>
      <c r="F10805" s="5" t="s">
        <v>254</v>
      </c>
      <c r="G10805" s="6" t="str">
        <f>VLOOKUP(E10805,dicionario!$A$1:$C11204,2,0)</f>
        <v>Panicum maximum</v>
      </c>
      <c r="H10805" s="6" t="str">
        <f>VLOOKUP(E10805,dicionario!$A$1:$C11204,3,0)</f>
        <v>capim-colonião</v>
      </c>
    </row>
    <row r="10806">
      <c r="A10806" s="3">
        <v>45820.0</v>
      </c>
      <c r="B10806" s="4">
        <v>0.31319444444444444</v>
      </c>
      <c r="C10806" s="5" t="s">
        <v>59</v>
      </c>
      <c r="D10806" s="5" t="s">
        <v>1526</v>
      </c>
      <c r="E10806" s="8" t="s">
        <v>60</v>
      </c>
      <c r="F10806" s="5" t="s">
        <v>61</v>
      </c>
      <c r="G10806" s="6" t="str">
        <f>VLOOKUP(E10806,dicionario!$A$1:$C11205,2,0)</f>
        <v>Vanellus chilensis</v>
      </c>
      <c r="H10806" s="6" t="str">
        <f>VLOOKUP(E10806,dicionario!$A$1:$C11205,3,0)</f>
        <v>quero-quero</v>
      </c>
    </row>
    <row r="10807">
      <c r="A10807" s="3">
        <v>45820.0</v>
      </c>
      <c r="B10807" s="4">
        <v>0.3138888888888889</v>
      </c>
      <c r="C10807" s="5" t="s">
        <v>59</v>
      </c>
      <c r="D10807" s="5" t="s">
        <v>1526</v>
      </c>
      <c r="E10807" s="12" t="s">
        <v>152</v>
      </c>
      <c r="F10807" s="5" t="s">
        <v>153</v>
      </c>
      <c r="G10807" s="6" t="str">
        <f>VLOOKUP(E10807,dicionario!$A$1:$C11206,2,0)</f>
        <v>Cynodon dactylon</v>
      </c>
      <c r="H10807" s="6" t="str">
        <f>VLOOKUP(E10807,dicionario!$A$1:$C11206,3,0)</f>
        <v>grama-bermuda</v>
      </c>
    </row>
    <row r="10808">
      <c r="A10808" s="3">
        <v>45820.0</v>
      </c>
      <c r="B10808" s="4">
        <v>0.31666666666666665</v>
      </c>
      <c r="C10808" s="5" t="s">
        <v>50</v>
      </c>
      <c r="D10808" s="5" t="s">
        <v>1526</v>
      </c>
      <c r="E10808" s="6" t="s">
        <v>86</v>
      </c>
      <c r="F10808" s="5" t="s">
        <v>502</v>
      </c>
      <c r="G10808" s="6" t="str">
        <f>VLOOKUP(E10808,dicionario!$A$1:$C11207,2,0)</f>
        <v>Coereba flaveola</v>
      </c>
      <c r="H10808" s="6" t="str">
        <f>VLOOKUP(E10808,dicionario!$A$1:$C11207,3,0)</f>
        <v>cambacica</v>
      </c>
    </row>
    <row r="10809">
      <c r="A10809" s="3">
        <v>45820.0</v>
      </c>
      <c r="B10809" s="4">
        <v>0.3173611111111111</v>
      </c>
      <c r="C10809" s="5" t="s">
        <v>50</v>
      </c>
      <c r="D10809" s="5" t="s">
        <v>1526</v>
      </c>
      <c r="E10809" s="8" t="s">
        <v>191</v>
      </c>
      <c r="F10809" s="5" t="s">
        <v>192</v>
      </c>
      <c r="G10809" s="6" t="str">
        <f>VLOOKUP(E10809,dicionario!$A$1:$C11208,2,0)</f>
        <v>Patagioenas picazuro</v>
      </c>
      <c r="H10809" s="6" t="str">
        <f>VLOOKUP(E10809,dicionario!$A$1:$C11208,3,0)</f>
        <v>asa-branca; pomba-asa-branca; pocaçu</v>
      </c>
    </row>
    <row r="10810">
      <c r="A10810" s="3">
        <v>45820.0</v>
      </c>
      <c r="B10810" s="4">
        <v>0.31805555555555554</v>
      </c>
      <c r="C10810" s="5" t="s">
        <v>50</v>
      </c>
      <c r="D10810" s="5" t="s">
        <v>1526</v>
      </c>
      <c r="E10810" s="8" t="s">
        <v>353</v>
      </c>
      <c r="F10810" s="5" t="s">
        <v>354</v>
      </c>
      <c r="G10810" s="6" t="str">
        <f>VLOOKUP(E10810,dicionario!$A$1:$C11209,2,0)</f>
        <v>Desmodium incanum</v>
      </c>
      <c r="H10810" s="6" t="str">
        <f>VLOOKUP(E10810,dicionario!$A$1:$C11209,3,0)</f>
        <v>pega-pega</v>
      </c>
    </row>
    <row r="10811">
      <c r="A10811" s="3">
        <v>45820.0</v>
      </c>
      <c r="B10811" s="4">
        <v>0.31805555555555554</v>
      </c>
      <c r="C10811" s="5" t="s">
        <v>50</v>
      </c>
      <c r="D10811" s="5" t="s">
        <v>1526</v>
      </c>
      <c r="E10811" s="8" t="s">
        <v>150</v>
      </c>
      <c r="F10811" s="5" t="s">
        <v>151</v>
      </c>
      <c r="G10811" s="6" t="str">
        <f>VLOOKUP(E10811,dicionario!$A$1:$C11210,2,0)</f>
        <v>Amaranthus viridis</v>
      </c>
      <c r="H10811" s="6" t="str">
        <f>VLOOKUP(E10811,dicionario!$A$1:$C11210,3,0)</f>
        <v>caruru-de-mancha</v>
      </c>
    </row>
    <row r="10812">
      <c r="A10812" s="3">
        <v>45820.0</v>
      </c>
      <c r="B10812" s="4">
        <v>0.31805555555555554</v>
      </c>
      <c r="C10812" s="5" t="s">
        <v>50</v>
      </c>
      <c r="D10812" s="5" t="s">
        <v>1526</v>
      </c>
      <c r="E10812" s="8" t="s">
        <v>296</v>
      </c>
      <c r="F10812" s="5" t="s">
        <v>297</v>
      </c>
      <c r="G10812" s="6" t="str">
        <f>VLOOKUP(E10812,dicionario!$A$1:$C11211,2,0)</f>
        <v>Richardia brasiliensis</v>
      </c>
      <c r="H10812" s="6" t="str">
        <f>VLOOKUP(E10812,dicionario!$A$1:$C11211,3,0)</f>
        <v>poaia-branca</v>
      </c>
    </row>
    <row r="10813">
      <c r="A10813" s="3">
        <v>45820.0</v>
      </c>
      <c r="B10813" s="4">
        <v>0.31805555555555554</v>
      </c>
      <c r="C10813" s="5" t="s">
        <v>50</v>
      </c>
      <c r="D10813" s="5" t="s">
        <v>1526</v>
      </c>
      <c r="E10813" s="8" t="s">
        <v>1367</v>
      </c>
      <c r="F10813" s="5" t="s">
        <v>387</v>
      </c>
      <c r="G10813" s="6" t="str">
        <f>VLOOKUP(E10813,dicionario!$A$1:$C11212,2,0)</f>
        <v>#N/A</v>
      </c>
      <c r="H10813" s="6" t="str">
        <f>VLOOKUP(E10813,dicionario!$A$1:$C11212,3,0)</f>
        <v>#N/A</v>
      </c>
    </row>
    <row r="10814">
      <c r="A10814" s="3">
        <v>45820.0</v>
      </c>
      <c r="B10814" s="4">
        <v>0.31875</v>
      </c>
      <c r="C10814" s="5" t="s">
        <v>50</v>
      </c>
      <c r="D10814" s="5" t="s">
        <v>1526</v>
      </c>
      <c r="E10814" s="8" t="s">
        <v>195</v>
      </c>
      <c r="F10814" s="5" t="s">
        <v>196</v>
      </c>
      <c r="G10814" s="6" t="str">
        <f>VLOOKUP(E10814,dicionario!$A$1:$C11213,2,0)</f>
        <v>Priva lappulacea</v>
      </c>
      <c r="H10814" s="6" t="str">
        <f>VLOOKUP(E10814,dicionario!$A$1:$C11213,3,0)</f>
        <v>carrapicho</v>
      </c>
    </row>
    <row r="10815">
      <c r="A10815" s="3">
        <v>45820.0</v>
      </c>
      <c r="B10815" s="4">
        <v>0.31875</v>
      </c>
      <c r="C10815" s="5" t="s">
        <v>40</v>
      </c>
      <c r="D10815" s="5" t="s">
        <v>1526</v>
      </c>
      <c r="E10815" s="6" t="s">
        <v>288</v>
      </c>
      <c r="F10815" s="5" t="s">
        <v>1547</v>
      </c>
      <c r="G10815" s="6" t="str">
        <f>VLOOKUP(E10815,dicionario!$A$1:$C11214,2,0)</f>
        <v>Phyllanthus tenellus</v>
      </c>
      <c r="H10815" s="6" t="str">
        <f>VLOOKUP(E10815,dicionario!$A$1:$C11214,3,0)</f>
        <v>quebra-pedra</v>
      </c>
    </row>
    <row r="10816">
      <c r="A10816" s="3">
        <v>45820.0</v>
      </c>
      <c r="B10816" s="4">
        <v>0.3194444444444444</v>
      </c>
      <c r="C10816" s="5" t="s">
        <v>40</v>
      </c>
      <c r="D10816" s="5" t="s">
        <v>1526</v>
      </c>
      <c r="E10816" s="8" t="s">
        <v>227</v>
      </c>
      <c r="F10816" s="5" t="s">
        <v>228</v>
      </c>
      <c r="G10816" s="6" t="str">
        <f>VLOOKUP(E10816,dicionario!$A$1:$C11215,2,0)</f>
        <v>Indigofera hirsuta</v>
      </c>
      <c r="H10816" s="6" t="str">
        <f>VLOOKUP(E10816,dicionario!$A$1:$C11215,3,0)</f>
        <v>anileira</v>
      </c>
    </row>
    <row r="10817">
      <c r="A10817" s="3">
        <v>45820.0</v>
      </c>
      <c r="B10817" s="4">
        <v>0.3194444444444444</v>
      </c>
      <c r="C10817" s="5" t="s">
        <v>40</v>
      </c>
      <c r="D10817" s="5" t="s">
        <v>1526</v>
      </c>
      <c r="E10817" s="12" t="s">
        <v>152</v>
      </c>
      <c r="F10817" s="5" t="s">
        <v>153</v>
      </c>
      <c r="G10817" s="6" t="str">
        <f>VLOOKUP(E10817,dicionario!$A$1:$C11216,2,0)</f>
        <v>Cynodon dactylon</v>
      </c>
      <c r="H10817" s="6" t="str">
        <f>VLOOKUP(E10817,dicionario!$A$1:$C11216,3,0)</f>
        <v>grama-bermuda</v>
      </c>
    </row>
    <row r="10818">
      <c r="A10818" s="3">
        <v>45820.0</v>
      </c>
      <c r="B10818" s="4">
        <v>0.3194444444444444</v>
      </c>
      <c r="C10818" s="5" t="s">
        <v>40</v>
      </c>
      <c r="D10818" s="5" t="s">
        <v>1526</v>
      </c>
      <c r="E10818" s="8" t="s">
        <v>1328</v>
      </c>
      <c r="F10818" s="5" t="s">
        <v>1548</v>
      </c>
      <c r="G10818" s="6" t="str">
        <f>VLOOKUP(E10818,dicionario!$A$1:$C11217,2,0)</f>
        <v>#N/A</v>
      </c>
      <c r="H10818" s="6" t="str">
        <f>VLOOKUP(E10818,dicionario!$A$1:$C11217,3,0)</f>
        <v>#N/A</v>
      </c>
    </row>
    <row r="10819">
      <c r="A10819" s="3">
        <v>45820.0</v>
      </c>
      <c r="B10819" s="4">
        <v>0.3194444444444444</v>
      </c>
      <c r="C10819" s="5" t="s">
        <v>40</v>
      </c>
      <c r="D10819" s="5" t="s">
        <v>1526</v>
      </c>
      <c r="E10819" s="6" t="s">
        <v>225</v>
      </c>
      <c r="F10819" s="5" t="s">
        <v>226</v>
      </c>
      <c r="G10819" s="6" t="str">
        <f>VLOOKUP(E10819,dicionario!$A$1:$C11218,2,0)</f>
        <v>Passer domesticus</v>
      </c>
      <c r="H10819" s="6" t="str">
        <f>VLOOKUP(E10819,dicionario!$A$1:$C11218,3,0)</f>
        <v>pardal</v>
      </c>
    </row>
    <row r="10820">
      <c r="A10820" s="3">
        <v>45820.0</v>
      </c>
      <c r="B10820" s="4">
        <v>0.32013888888888886</v>
      </c>
      <c r="C10820" s="5" t="s">
        <v>40</v>
      </c>
      <c r="D10820" s="5" t="s">
        <v>1526</v>
      </c>
      <c r="E10820" s="8" t="s">
        <v>223</v>
      </c>
      <c r="F10820" s="6"/>
      <c r="G10820" s="6" t="str">
        <f>VLOOKUP(E10820,dicionario!$A$1:$C11219,2,0)</f>
        <v>Rhipsalis lindbergiana</v>
      </c>
      <c r="H10820" s="6" t="str">
        <f>VLOOKUP(E10820,dicionario!$A$1:$C11219,3,0)</f>
        <v>cacto-macarrão</v>
      </c>
    </row>
    <row r="10821">
      <c r="A10821" s="3">
        <v>45820.0</v>
      </c>
      <c r="B10821" s="4">
        <v>0.32013888888888886</v>
      </c>
      <c r="C10821" s="5" t="s">
        <v>40</v>
      </c>
      <c r="D10821" s="5" t="s">
        <v>1526</v>
      </c>
      <c r="E10821" s="6" t="s">
        <v>53</v>
      </c>
      <c r="F10821" s="5" t="s">
        <v>54</v>
      </c>
      <c r="G10821" s="6" t="str">
        <f>VLOOKUP(E10821,dicionario!$A$1:$C11220,2,0)</f>
        <v>Turnera subulata</v>
      </c>
      <c r="H10821" s="6" t="str">
        <f>VLOOKUP(E10821,dicionario!$A$1:$C11220,3,0)</f>
        <v>xanana</v>
      </c>
    </row>
    <row r="10822">
      <c r="A10822" s="3">
        <v>45820.0</v>
      </c>
      <c r="B10822" s="4">
        <v>0.32013888888888886</v>
      </c>
      <c r="C10822" s="5" t="s">
        <v>40</v>
      </c>
      <c r="D10822" s="5" t="s">
        <v>1526</v>
      </c>
      <c r="E10822" s="8" t="s">
        <v>353</v>
      </c>
      <c r="F10822" s="5" t="s">
        <v>354</v>
      </c>
      <c r="G10822" s="6" t="str">
        <f>VLOOKUP(E10822,dicionario!$A$1:$C11221,2,0)</f>
        <v>Desmodium incanum</v>
      </c>
      <c r="H10822" s="6" t="str">
        <f>VLOOKUP(E10822,dicionario!$A$1:$C11221,3,0)</f>
        <v>pega-pega</v>
      </c>
    </row>
    <row r="10823">
      <c r="A10823" s="3">
        <v>45820.0</v>
      </c>
      <c r="B10823" s="4">
        <v>0.32013888888888886</v>
      </c>
      <c r="C10823" s="5" t="s">
        <v>40</v>
      </c>
      <c r="D10823" s="5" t="s">
        <v>1526</v>
      </c>
      <c r="E10823" s="8" t="s">
        <v>298</v>
      </c>
      <c r="F10823" s="5"/>
      <c r="G10823" s="6" t="str">
        <f>VLOOKUP(E10823,dicionario!$A$1:$C11222,2,0)</f>
        <v>Alysicarpus vaginalis</v>
      </c>
      <c r="H10823" s="6" t="str">
        <f>VLOOKUP(E10823,dicionario!$A$1:$C11222,3,0)</f>
        <v/>
      </c>
    </row>
    <row r="10824">
      <c r="A10824" s="3">
        <v>45820.0</v>
      </c>
      <c r="B10824" s="4">
        <v>0.32013888888888886</v>
      </c>
      <c r="C10824" s="5" t="s">
        <v>33</v>
      </c>
      <c r="D10824" s="5" t="s">
        <v>1526</v>
      </c>
      <c r="E10824" s="8" t="s">
        <v>146</v>
      </c>
      <c r="F10824" s="5" t="s">
        <v>147</v>
      </c>
      <c r="G10824" s="6" t="str">
        <f>VLOOKUP(E10824,dicionario!$A$1:$C11223,2,0)</f>
        <v>Euphorbia hirta</v>
      </c>
      <c r="H10824" s="6" t="str">
        <f>VLOOKUP(E10824,dicionario!$A$1:$C11223,3,0)</f>
        <v>erva-de-santa-luzia</v>
      </c>
    </row>
    <row r="10825">
      <c r="A10825" s="3">
        <v>45820.0</v>
      </c>
      <c r="B10825" s="4">
        <v>0.32083333333333336</v>
      </c>
      <c r="C10825" s="5" t="s">
        <v>33</v>
      </c>
      <c r="D10825" s="5" t="s">
        <v>1526</v>
      </c>
      <c r="E10825" s="8" t="s">
        <v>38</v>
      </c>
      <c r="F10825" s="5" t="s">
        <v>1251</v>
      </c>
      <c r="G10825" s="6" t="str">
        <f>VLOOKUP(E10825,dicionario!$A$1:$C11224,2,0)</f>
        <v>Troglodytes musculus</v>
      </c>
      <c r="H10825" s="6" t="str">
        <f>VLOOKUP(E10825,dicionario!$A$1:$C11224,3,0)</f>
        <v>curruíra</v>
      </c>
    </row>
    <row r="10826">
      <c r="A10826" s="3">
        <v>45820.0</v>
      </c>
      <c r="B10826" s="4">
        <v>0.32083333333333336</v>
      </c>
      <c r="C10826" s="5" t="s">
        <v>33</v>
      </c>
      <c r="D10826" s="5" t="s">
        <v>1526</v>
      </c>
      <c r="E10826" s="8" t="s">
        <v>20</v>
      </c>
      <c r="F10826" s="5" t="s">
        <v>21</v>
      </c>
      <c r="G10826" s="6" t="str">
        <f>VLOOKUP(E10826,dicionario!$A$1:$C11225,2,0)</f>
        <v>Sicalis flaveola</v>
      </c>
      <c r="H10826" s="6" t="str">
        <f>VLOOKUP(E10826,dicionario!$A$1:$C11225,3,0)</f>
        <v>canário-da-terra</v>
      </c>
    </row>
    <row r="10827">
      <c r="A10827" s="3">
        <v>45820.0</v>
      </c>
      <c r="B10827" s="4">
        <v>0.32083333333333336</v>
      </c>
      <c r="C10827" s="5" t="s">
        <v>33</v>
      </c>
      <c r="D10827" s="5" t="s">
        <v>1526</v>
      </c>
      <c r="E10827" s="8" t="s">
        <v>41</v>
      </c>
      <c r="F10827" s="5" t="s">
        <v>45</v>
      </c>
      <c r="G10827" s="6" t="str">
        <f>VLOOKUP(E10827,dicionario!$A$1:$C11226,2,0)</f>
        <v>Mimosa pudica</v>
      </c>
      <c r="H10827" s="6" t="str">
        <f>VLOOKUP(E10827,dicionario!$A$1:$C11226,3,0)</f>
        <v>dormideira</v>
      </c>
    </row>
    <row r="10828">
      <c r="A10828" s="3">
        <v>45820.0</v>
      </c>
      <c r="B10828" s="4">
        <v>0.32083333333333336</v>
      </c>
      <c r="C10828" s="5" t="s">
        <v>33</v>
      </c>
      <c r="D10828" s="5" t="s">
        <v>1526</v>
      </c>
      <c r="E10828" s="8" t="s">
        <v>191</v>
      </c>
      <c r="F10828" s="5" t="s">
        <v>192</v>
      </c>
      <c r="G10828" s="6" t="str">
        <f>VLOOKUP(E10828,dicionario!$A$1:$C11227,2,0)</f>
        <v>Patagioenas picazuro</v>
      </c>
      <c r="H10828" s="6" t="str">
        <f>VLOOKUP(E10828,dicionario!$A$1:$C11227,3,0)</f>
        <v>asa-branca; pomba-asa-branca; pocaçu</v>
      </c>
    </row>
    <row r="10829">
      <c r="A10829" s="3">
        <v>45820.0</v>
      </c>
      <c r="B10829" s="4">
        <v>0.3215277777777778</v>
      </c>
      <c r="C10829" s="5" t="s">
        <v>33</v>
      </c>
      <c r="D10829" s="5" t="s">
        <v>1526</v>
      </c>
      <c r="E10829" s="6" t="s">
        <v>251</v>
      </c>
      <c r="F10829" s="5" t="s">
        <v>252</v>
      </c>
      <c r="G10829" s="6" t="str">
        <f>VLOOKUP(E10829,dicionario!$A$1:$C11228,2,0)</f>
        <v>Struthanthus flexicaulis</v>
      </c>
      <c r="H10829" s="6" t="str">
        <f>VLOOKUP(E10829,dicionario!$A$1:$C11228,3,0)</f>
        <v>erva-de-passarinho</v>
      </c>
    </row>
    <row r="10830">
      <c r="A10830" s="3">
        <v>45820.0</v>
      </c>
      <c r="B10830" s="4">
        <v>0.3215277777777778</v>
      </c>
      <c r="C10830" s="5" t="s">
        <v>33</v>
      </c>
      <c r="D10830" s="5" t="s">
        <v>1526</v>
      </c>
      <c r="E10830" s="8" t="s">
        <v>517</v>
      </c>
      <c r="F10830" s="5" t="s">
        <v>1446</v>
      </c>
      <c r="G10830" s="6" t="str">
        <f>VLOOKUP(E10830,dicionario!$A$1:$C11229,2,0)</f>
        <v>Evolvulus nummularius</v>
      </c>
      <c r="H10830" s="6" t="str">
        <f>VLOOKUP(E10830,dicionario!$A$1:$C11229,3,0)</f>
        <v/>
      </c>
    </row>
    <row r="10831">
      <c r="A10831" s="3">
        <v>45820.0</v>
      </c>
      <c r="B10831" s="4">
        <v>0.3215277777777778</v>
      </c>
      <c r="C10831" s="5" t="s">
        <v>33</v>
      </c>
      <c r="D10831" s="5" t="s">
        <v>1526</v>
      </c>
      <c r="E10831" s="6" t="s">
        <v>448</v>
      </c>
      <c r="F10831" s="5" t="s">
        <v>462</v>
      </c>
      <c r="G10831" s="6" t="str">
        <f>VLOOKUP(E10831,dicionario!$A$1:$C11230,2,0)</f>
        <v>Mechanitis polymnia</v>
      </c>
      <c r="H10831" s="6" t="str">
        <f>VLOOKUP(E10831,dicionario!$A$1:$C11230,3,0)</f>
        <v>maria-boba</v>
      </c>
    </row>
    <row r="10832">
      <c r="A10832" s="3">
        <v>45820.0</v>
      </c>
      <c r="B10832" s="4">
        <v>0.32222222222222224</v>
      </c>
      <c r="C10832" s="5" t="s">
        <v>33</v>
      </c>
      <c r="D10832" s="5" t="s">
        <v>1526</v>
      </c>
      <c r="E10832" s="8" t="s">
        <v>122</v>
      </c>
      <c r="F10832" s="5" t="s">
        <v>123</v>
      </c>
      <c r="G10832" s="6" t="str">
        <f>VLOOKUP(E10832,dicionario!$A$1:$C11231,2,0)</f>
        <v>Todirostrum cinereum</v>
      </c>
      <c r="H10832" s="6" t="str">
        <f>VLOOKUP(E10832,dicionario!$A$1:$C11231,3,0)</f>
        <v>ferreirinho-relógio</v>
      </c>
    </row>
    <row r="10833">
      <c r="A10833" s="3">
        <v>45820.0</v>
      </c>
      <c r="B10833" s="4">
        <v>0.32222222222222224</v>
      </c>
      <c r="C10833" s="5" t="s">
        <v>33</v>
      </c>
      <c r="D10833" s="5" t="s">
        <v>1526</v>
      </c>
      <c r="E10833" s="8" t="s">
        <v>88</v>
      </c>
      <c r="F10833" s="5" t="s">
        <v>782</v>
      </c>
      <c r="G10833" s="6" t="str">
        <f>VLOOKUP(E10833,dicionario!$A$1:$C11232,2,0)</f>
        <v>Tyrannus melancolichus</v>
      </c>
      <c r="H10833" s="6" t="str">
        <f>VLOOKUP(E10833,dicionario!$A$1:$C11232,3,0)</f>
        <v>suiriri</v>
      </c>
    </row>
    <row r="10834">
      <c r="A10834" s="3">
        <v>45820.0</v>
      </c>
      <c r="B10834" s="4">
        <v>0.32222222222222224</v>
      </c>
      <c r="C10834" s="5" t="s">
        <v>33</v>
      </c>
      <c r="D10834" s="5" t="s">
        <v>1526</v>
      </c>
      <c r="E10834" s="8" t="s">
        <v>46</v>
      </c>
      <c r="F10834" s="5" t="s">
        <v>47</v>
      </c>
      <c r="G10834" s="6" t="str">
        <f>VLOOKUP(E10834,dicionario!$A$1:$C11233,2,0)</f>
        <v>Chionomesa fimbriata</v>
      </c>
      <c r="H10834" s="6" t="str">
        <f>VLOOKUP(E10834,dicionario!$A$1:$C11233,3,0)</f>
        <v>beija-flor-de-garganta-verde</v>
      </c>
    </row>
    <row r="10835">
      <c r="A10835" s="3">
        <v>45820.0</v>
      </c>
      <c r="B10835" s="4">
        <v>0.32430555555555557</v>
      </c>
      <c r="C10835" s="5" t="s">
        <v>33</v>
      </c>
      <c r="D10835" s="5" t="s">
        <v>1526</v>
      </c>
      <c r="E10835" s="8" t="s">
        <v>1285</v>
      </c>
      <c r="F10835" s="5" t="s">
        <v>1286</v>
      </c>
      <c r="G10835" s="6" t="str">
        <f>VLOOKUP(E10835,dicionario!$A$1:$C11234,2,0)</f>
        <v>#N/A</v>
      </c>
      <c r="H10835" s="6" t="str">
        <f>VLOOKUP(E10835,dicionario!$A$1:$C11234,3,0)</f>
        <v>#N/A</v>
      </c>
    </row>
    <row r="10836">
      <c r="A10836" s="3">
        <v>45820.0</v>
      </c>
      <c r="B10836" s="4">
        <v>0.32430555555555557</v>
      </c>
      <c r="C10836" s="5" t="s">
        <v>33</v>
      </c>
      <c r="D10836" s="5" t="s">
        <v>1526</v>
      </c>
      <c r="E10836" s="8" t="s">
        <v>1329</v>
      </c>
      <c r="F10836" s="5" t="s">
        <v>703</v>
      </c>
      <c r="G10836" s="6" t="str">
        <f>VLOOKUP(E10836,dicionario!$A$1:$C11235,2,0)</f>
        <v>#N/A</v>
      </c>
      <c r="H10836" s="6" t="str">
        <f>VLOOKUP(E10836,dicionario!$A$1:$C11235,3,0)</f>
        <v>#N/A</v>
      </c>
    </row>
    <row r="10837">
      <c r="A10837" s="3">
        <v>45820.0</v>
      </c>
      <c r="B10837" s="4">
        <v>0.3298611111111111</v>
      </c>
      <c r="C10837" s="5" t="s">
        <v>33</v>
      </c>
      <c r="D10837" s="5" t="s">
        <v>1526</v>
      </c>
      <c r="E10837" s="8" t="s">
        <v>1549</v>
      </c>
      <c r="F10837" s="5" t="s">
        <v>238</v>
      </c>
      <c r="G10837" s="6" t="str">
        <f>VLOOKUP(E10837,dicionario!$A$1:$C11236,2,0)</f>
        <v>Atta</v>
      </c>
      <c r="H10837" s="6" t="str">
        <f>VLOOKUP(E10837,dicionario!$A$1:$C11236,3,0)</f>
        <v>saúva</v>
      </c>
    </row>
    <row r="10838">
      <c r="A10838" s="3">
        <v>45820.0</v>
      </c>
      <c r="B10838" s="4">
        <v>0.3298611111111111</v>
      </c>
      <c r="C10838" s="5" t="s">
        <v>33</v>
      </c>
      <c r="D10838" s="5" t="s">
        <v>1526</v>
      </c>
      <c r="E10838" s="8" t="s">
        <v>1367</v>
      </c>
      <c r="F10838" s="5" t="s">
        <v>387</v>
      </c>
      <c r="G10838" s="6" t="str">
        <f>VLOOKUP(E10838,dicionario!$A$1:$C11237,2,0)</f>
        <v>#N/A</v>
      </c>
      <c r="H10838" s="6" t="str">
        <f>VLOOKUP(E10838,dicionario!$A$1:$C11237,3,0)</f>
        <v>#N/A</v>
      </c>
    </row>
    <row r="10839">
      <c r="A10839" s="3">
        <v>45820.0</v>
      </c>
      <c r="B10839" s="4">
        <v>0.3298611111111111</v>
      </c>
      <c r="C10839" s="5" t="s">
        <v>26</v>
      </c>
      <c r="D10839" s="5" t="s">
        <v>1526</v>
      </c>
      <c r="E10839" s="8" t="s">
        <v>375</v>
      </c>
      <c r="F10839" s="5" t="s">
        <v>35</v>
      </c>
      <c r="G10839" s="6" t="str">
        <f>VLOOKUP(E10839,dicionario!$A$1:$C11238,2,0)</f>
        <v>Neoponera foetida</v>
      </c>
      <c r="H10839" s="6" t="str">
        <f>VLOOKUP(E10839,dicionario!$A$1:$C11238,3,0)</f>
        <v/>
      </c>
    </row>
    <row r="10840">
      <c r="A10840" s="3">
        <v>45820.0</v>
      </c>
      <c r="B10840" s="4">
        <v>0.3298611111111111</v>
      </c>
      <c r="C10840" s="5" t="s">
        <v>26</v>
      </c>
      <c r="D10840" s="5" t="s">
        <v>1526</v>
      </c>
      <c r="E10840" s="8" t="s">
        <v>20</v>
      </c>
      <c r="F10840" s="5" t="s">
        <v>21</v>
      </c>
      <c r="G10840" s="6" t="str">
        <f>VLOOKUP(E10840,dicionario!$A$1:$C11239,2,0)</f>
        <v>Sicalis flaveola</v>
      </c>
      <c r="H10840" s="6" t="str">
        <f>VLOOKUP(E10840,dicionario!$A$1:$C11239,3,0)</f>
        <v>canário-da-terra</v>
      </c>
    </row>
    <row r="10841">
      <c r="A10841" s="3">
        <v>45820.0</v>
      </c>
      <c r="B10841" s="4">
        <v>0.33055555555555555</v>
      </c>
      <c r="C10841" s="5" t="s">
        <v>26</v>
      </c>
      <c r="D10841" s="5" t="s">
        <v>1526</v>
      </c>
      <c r="E10841" s="8" t="s">
        <v>191</v>
      </c>
      <c r="F10841" s="5" t="s">
        <v>192</v>
      </c>
      <c r="G10841" s="6" t="str">
        <f>VLOOKUP(E10841,dicionario!$A$1:$C11240,2,0)</f>
        <v>Patagioenas picazuro</v>
      </c>
      <c r="H10841" s="6" t="str">
        <f>VLOOKUP(E10841,dicionario!$A$1:$C11240,3,0)</f>
        <v>asa-branca; pomba-asa-branca; pocaçu</v>
      </c>
    </row>
    <row r="10842">
      <c r="A10842" s="3">
        <v>45820.0</v>
      </c>
      <c r="B10842" s="4">
        <v>0.33055555555555555</v>
      </c>
      <c r="C10842" s="5" t="s">
        <v>26</v>
      </c>
      <c r="D10842" s="5" t="s">
        <v>1526</v>
      </c>
      <c r="E10842" s="8" t="s">
        <v>302</v>
      </c>
      <c r="F10842" s="5" t="s">
        <v>1550</v>
      </c>
      <c r="G10842" s="6" t="str">
        <f>VLOOKUP(E10842,dicionario!$A$1:$C11241,2,0)</f>
        <v>Machetornis rixosa</v>
      </c>
      <c r="H10842" s="6" t="str">
        <f>VLOOKUP(E10842,dicionario!$A$1:$C11241,3,0)</f>
        <v>suiriri-cavaleiro</v>
      </c>
    </row>
    <row r="10843">
      <c r="A10843" s="3">
        <v>45820.0</v>
      </c>
      <c r="B10843" s="4">
        <v>0.33055555555555555</v>
      </c>
      <c r="C10843" s="5" t="s">
        <v>26</v>
      </c>
      <c r="D10843" s="5" t="s">
        <v>1526</v>
      </c>
      <c r="E10843" s="8" t="s">
        <v>719</v>
      </c>
      <c r="F10843" s="5" t="s">
        <v>720</v>
      </c>
      <c r="G10843" s="6" t="str">
        <f>VLOOKUP(E10843,dicionario!$A$1:$C11242,2,0)</f>
        <v>Dirinaria</v>
      </c>
      <c r="H10843" s="6" t="str">
        <f>VLOOKUP(E10843,dicionario!$A$1:$C11242,3,0)</f>
        <v>líquen-crostoso</v>
      </c>
    </row>
    <row r="10844">
      <c r="A10844" s="3">
        <v>45820.0</v>
      </c>
      <c r="B10844" s="4">
        <v>0.33055555555555555</v>
      </c>
      <c r="C10844" s="5" t="s">
        <v>26</v>
      </c>
      <c r="D10844" s="5" t="s">
        <v>1526</v>
      </c>
      <c r="E10844" s="8" t="s">
        <v>712</v>
      </c>
      <c r="F10844" s="5" t="s">
        <v>912</v>
      </c>
      <c r="G10844" s="6" t="str">
        <f>VLOOKUP(E10844,dicionario!$A$1:$C11243,2,0)</f>
        <v>Flavopunctelia soredica</v>
      </c>
      <c r="H10844" s="6" t="str">
        <f>VLOOKUP(E10844,dicionario!$A$1:$C11243,3,0)</f>
        <v>líquen-folioso</v>
      </c>
    </row>
    <row r="10845">
      <c r="A10845" s="3">
        <v>45820.0</v>
      </c>
      <c r="B10845" s="4">
        <v>0.33055555555555555</v>
      </c>
      <c r="C10845" s="5" t="s">
        <v>26</v>
      </c>
      <c r="D10845" s="5" t="s">
        <v>1526</v>
      </c>
      <c r="E10845" s="20" t="s">
        <v>676</v>
      </c>
      <c r="F10845" s="5" t="s">
        <v>677</v>
      </c>
      <c r="G10845" s="6" t="str">
        <f>VLOOKUP(E10845,dicionario!$A$1:$C11244,2,0)</f>
        <v>Zornia latifolia</v>
      </c>
      <c r="H10845" s="6" t="str">
        <f>VLOOKUP(E10845,dicionario!$A$1:$C11244,3,0)</f>
        <v>arrozinho-do-campo</v>
      </c>
    </row>
    <row r="10846">
      <c r="A10846" s="3">
        <v>45820.0</v>
      </c>
      <c r="B10846" s="4">
        <v>0.33055555555555555</v>
      </c>
      <c r="C10846" s="5" t="s">
        <v>26</v>
      </c>
      <c r="D10846" s="5" t="s">
        <v>1526</v>
      </c>
      <c r="E10846" s="8" t="s">
        <v>217</v>
      </c>
      <c r="F10846" s="5" t="s">
        <v>218</v>
      </c>
      <c r="G10846" s="6" t="str">
        <f>VLOOKUP(E10846,dicionario!$A$1:$C11245,2,0)</f>
        <v>Athene cunicularia</v>
      </c>
      <c r="H10846" s="6" t="str">
        <f>VLOOKUP(E10846,dicionario!$A$1:$C11245,3,0)</f>
        <v>coruja-buraqueira</v>
      </c>
    </row>
    <row r="10847">
      <c r="A10847" s="3">
        <v>45820.0</v>
      </c>
      <c r="B10847" s="4">
        <v>0.3326388888888889</v>
      </c>
      <c r="C10847" s="5" t="s">
        <v>26</v>
      </c>
      <c r="D10847" s="5" t="s">
        <v>1526</v>
      </c>
      <c r="E10847" s="8" t="s">
        <v>498</v>
      </c>
      <c r="F10847" s="5" t="s">
        <v>1551</v>
      </c>
      <c r="G10847" s="6" t="str">
        <f>VLOOKUP(E10847,dicionario!$A$1:$C11246,2,0)</f>
        <v>Brachiaria decumbens</v>
      </c>
      <c r="H10847" s="6" t="str">
        <f>VLOOKUP(E10847,dicionario!$A$1:$C11246,3,0)</f>
        <v>capim-braquiária</v>
      </c>
    </row>
    <row r="10848">
      <c r="A10848" s="3">
        <v>45820.0</v>
      </c>
      <c r="B10848" s="4">
        <v>0.3326388888888889</v>
      </c>
      <c r="C10848" s="5" t="s">
        <v>26</v>
      </c>
      <c r="D10848" s="5" t="s">
        <v>1526</v>
      </c>
      <c r="E10848" s="8" t="s">
        <v>154</v>
      </c>
      <c r="F10848" s="5" t="s">
        <v>155</v>
      </c>
      <c r="G10848" s="6" t="str">
        <f>VLOOKUP(E10848,dicionario!$A$1:$C11247,2,0)</f>
        <v>Cyperus rotundus</v>
      </c>
      <c r="H10848" s="6" t="str">
        <f>VLOOKUP(E10848,dicionario!$A$1:$C11247,3,0)</f>
        <v>tiririca</v>
      </c>
    </row>
    <row r="10849">
      <c r="A10849" s="3">
        <v>45820.0</v>
      </c>
      <c r="B10849" s="4">
        <v>0.3326388888888889</v>
      </c>
      <c r="C10849" s="5" t="s">
        <v>26</v>
      </c>
      <c r="D10849" s="5" t="s">
        <v>1526</v>
      </c>
      <c r="E10849" s="8" t="s">
        <v>353</v>
      </c>
      <c r="F10849" s="5" t="s">
        <v>354</v>
      </c>
      <c r="G10849" s="6" t="str">
        <f>VLOOKUP(E10849,dicionario!$A$1:$C11248,2,0)</f>
        <v>Desmodium incanum</v>
      </c>
      <c r="H10849" s="6" t="str">
        <f>VLOOKUP(E10849,dicionario!$A$1:$C11248,3,0)</f>
        <v>pega-pega</v>
      </c>
    </row>
    <row r="10850">
      <c r="A10850" s="3">
        <v>45820.0</v>
      </c>
      <c r="B10850" s="4">
        <v>0.3326388888888889</v>
      </c>
      <c r="C10850" s="5" t="s">
        <v>26</v>
      </c>
      <c r="D10850" s="5" t="s">
        <v>1526</v>
      </c>
      <c r="E10850" s="8" t="s">
        <v>360</v>
      </c>
      <c r="F10850" s="5" t="s">
        <v>361</v>
      </c>
      <c r="G10850" s="6" t="str">
        <f>VLOOKUP(E10850,dicionario!$A$1:$C11249,2,0)</f>
        <v>Chamaecrista rotundifolia</v>
      </c>
      <c r="H10850" s="6" t="str">
        <f>VLOOKUP(E10850,dicionario!$A$1:$C11249,3,0)</f>
        <v>alfafa-nativa</v>
      </c>
    </row>
    <row r="10851">
      <c r="A10851" s="3">
        <v>45820.0</v>
      </c>
      <c r="B10851" s="4">
        <v>0.3333333333333333</v>
      </c>
      <c r="C10851" s="5" t="s">
        <v>26</v>
      </c>
      <c r="D10851" s="5" t="s">
        <v>1526</v>
      </c>
      <c r="E10851" s="75" t="s">
        <v>1552</v>
      </c>
      <c r="F10851" s="5" t="s">
        <v>1553</v>
      </c>
      <c r="G10851" s="6" t="str">
        <f>VLOOKUP(E10851,dicionario!$A$1:$C11250,2,0)</f>
        <v>#N/A</v>
      </c>
      <c r="H10851" s="6" t="str">
        <f>VLOOKUP(E10851,dicionario!$A$1:$C11250,3,0)</f>
        <v>#N/A</v>
      </c>
    </row>
    <row r="10852">
      <c r="A10852" s="3">
        <v>45820.0</v>
      </c>
      <c r="B10852" s="4">
        <v>0.3333333333333333</v>
      </c>
      <c r="C10852" s="5" t="s">
        <v>26</v>
      </c>
      <c r="D10852" s="5" t="s">
        <v>1526</v>
      </c>
      <c r="E10852" s="8" t="s">
        <v>915</v>
      </c>
      <c r="F10852" s="5" t="s">
        <v>1275</v>
      </c>
      <c r="G10852" s="6" t="str">
        <f>VLOOKUP(E10852,dicionario!$A$1:$C11251,2,0)</f>
        <v>Tachycineta albiventer</v>
      </c>
      <c r="H10852" s="6" t="str">
        <f>VLOOKUP(E10852,dicionario!$A$1:$C11251,3,0)</f>
        <v>andorinha-de-rio</v>
      </c>
    </row>
    <row r="10853">
      <c r="A10853" s="3">
        <v>45820.0</v>
      </c>
      <c r="B10853" s="4">
        <v>0.3333333333333333</v>
      </c>
      <c r="C10853" s="5" t="s">
        <v>26</v>
      </c>
      <c r="D10853" s="5" t="s">
        <v>1526</v>
      </c>
      <c r="E10853" s="6" t="s">
        <v>448</v>
      </c>
      <c r="F10853" s="5" t="s">
        <v>462</v>
      </c>
      <c r="G10853" s="6" t="str">
        <f>VLOOKUP(E10853,dicionario!$A$1:$C11252,2,0)</f>
        <v>Mechanitis polymnia</v>
      </c>
      <c r="H10853" s="6" t="str">
        <f>VLOOKUP(E10853,dicionario!$A$1:$C11252,3,0)</f>
        <v>maria-boba</v>
      </c>
    </row>
    <row r="10854">
      <c r="A10854" s="3">
        <v>45820.0</v>
      </c>
      <c r="B10854" s="4">
        <v>0.3333333333333333</v>
      </c>
      <c r="C10854" s="5" t="s">
        <v>26</v>
      </c>
      <c r="D10854" s="5" t="s">
        <v>1526</v>
      </c>
      <c r="E10854" s="8" t="s">
        <v>38</v>
      </c>
      <c r="F10854" s="5" t="s">
        <v>1251</v>
      </c>
      <c r="G10854" s="6" t="str">
        <f>VLOOKUP(E10854,dicionario!$A$1:$C11253,2,0)</f>
        <v>Troglodytes musculus</v>
      </c>
      <c r="H10854" s="6" t="str">
        <f>VLOOKUP(E10854,dicionario!$A$1:$C11253,3,0)</f>
        <v>curruíra</v>
      </c>
    </row>
    <row r="10855">
      <c r="A10855" s="3">
        <v>45820.0</v>
      </c>
      <c r="B10855" s="4">
        <v>0.3333333333333333</v>
      </c>
      <c r="C10855" s="5" t="s">
        <v>26</v>
      </c>
      <c r="D10855" s="5" t="s">
        <v>1526</v>
      </c>
      <c r="E10855" s="8" t="s">
        <v>227</v>
      </c>
      <c r="F10855" s="5" t="s">
        <v>228</v>
      </c>
      <c r="G10855" s="6" t="str">
        <f>VLOOKUP(E10855,dicionario!$A$1:$C11254,2,0)</f>
        <v>Indigofera hirsuta</v>
      </c>
      <c r="H10855" s="6" t="str">
        <f>VLOOKUP(E10855,dicionario!$A$1:$C11254,3,0)</f>
        <v>anileira</v>
      </c>
    </row>
    <row r="10856">
      <c r="A10856" s="3">
        <v>45820.0</v>
      </c>
      <c r="B10856" s="4">
        <v>0.3333333333333333</v>
      </c>
      <c r="C10856" s="5" t="s">
        <v>26</v>
      </c>
      <c r="D10856" s="5" t="s">
        <v>1526</v>
      </c>
      <c r="E10856" s="6" t="s">
        <v>467</v>
      </c>
      <c r="F10856" s="5" t="s">
        <v>468</v>
      </c>
      <c r="G10856" s="6" t="str">
        <f>VLOOKUP(E10856,dicionario!$A$1:$C11255,2,0)</f>
        <v>Eleusine indica</v>
      </c>
      <c r="H10856" s="6" t="str">
        <f>VLOOKUP(E10856,dicionario!$A$1:$C11255,3,0)</f>
        <v>capim-pé-de-galinha</v>
      </c>
    </row>
    <row r="10857">
      <c r="A10857" s="3">
        <v>45820.0</v>
      </c>
      <c r="B10857" s="4">
        <v>0.3333333333333333</v>
      </c>
      <c r="C10857" s="5" t="s">
        <v>26</v>
      </c>
      <c r="D10857" s="5" t="s">
        <v>1526</v>
      </c>
      <c r="E10857" s="72" t="s">
        <v>1554</v>
      </c>
      <c r="F10857" s="5" t="s">
        <v>1512</v>
      </c>
      <c r="G10857" s="6" t="str">
        <f>VLOOKUP(E10857,dicionario!$A$1:$C11256,2,0)</f>
        <v>Agaricus</v>
      </c>
      <c r="H10857" s="6" t="str">
        <f>VLOOKUP(E10857,dicionario!$A$1:$C11256,3,0)</f>
        <v>cogumelo</v>
      </c>
    </row>
    <row r="10858">
      <c r="A10858" s="3">
        <v>45820.0</v>
      </c>
      <c r="B10858" s="4">
        <v>0.3347222222222222</v>
      </c>
      <c r="C10858" s="5" t="s">
        <v>26</v>
      </c>
      <c r="D10858" s="5" t="s">
        <v>1526</v>
      </c>
      <c r="E10858" s="8" t="s">
        <v>1555</v>
      </c>
      <c r="F10858" s="5"/>
      <c r="G10858" s="6" t="str">
        <f>VLOOKUP(E10858,dicionario!$A$1:$C11257,2,0)</f>
        <v>#N/A</v>
      </c>
      <c r="H10858" s="6" t="str">
        <f>VLOOKUP(E10858,dicionario!$A$1:$C11257,3,0)</f>
        <v>#N/A</v>
      </c>
    </row>
    <row r="10859">
      <c r="A10859" s="3">
        <v>45820.0</v>
      </c>
      <c r="B10859" s="4">
        <v>0.3347222222222222</v>
      </c>
      <c r="C10859" s="5" t="s">
        <v>8</v>
      </c>
      <c r="D10859" s="5" t="s">
        <v>1526</v>
      </c>
      <c r="E10859" s="8" t="s">
        <v>109</v>
      </c>
      <c r="F10859" s="5" t="s">
        <v>110</v>
      </c>
      <c r="G10859" s="6" t="str">
        <f>VLOOKUP(E10859,dicionario!$A$1:$C11258,2,0)</f>
        <v>Tillandsia stricta</v>
      </c>
      <c r="H10859" s="6" t="str">
        <f>VLOOKUP(E10859,dicionario!$A$1:$C11258,3,0)</f>
        <v>cravo-do-mato</v>
      </c>
    </row>
    <row r="10860">
      <c r="A10860" s="3">
        <v>45820.0</v>
      </c>
      <c r="B10860" s="4">
        <v>0.3347222222222222</v>
      </c>
      <c r="C10860" s="5" t="s">
        <v>8</v>
      </c>
      <c r="D10860" s="5" t="s">
        <v>1526</v>
      </c>
      <c r="E10860" s="8" t="s">
        <v>712</v>
      </c>
      <c r="F10860" s="5" t="s">
        <v>912</v>
      </c>
      <c r="G10860" s="6" t="str">
        <f>VLOOKUP(E10860,dicionario!$A$1:$C11259,2,0)</f>
        <v>Flavopunctelia soredica</v>
      </c>
      <c r="H10860" s="6" t="str">
        <f>VLOOKUP(E10860,dicionario!$A$1:$C11259,3,0)</f>
        <v>líquen-folioso</v>
      </c>
    </row>
    <row r="10861">
      <c r="A10861" s="3">
        <v>45820.0</v>
      </c>
      <c r="B10861" s="4">
        <v>0.3347222222222222</v>
      </c>
      <c r="C10861" s="5" t="s">
        <v>8</v>
      </c>
      <c r="D10861" s="5" t="s">
        <v>1526</v>
      </c>
      <c r="E10861" s="8" t="s">
        <v>719</v>
      </c>
      <c r="F10861" s="5" t="s">
        <v>911</v>
      </c>
      <c r="G10861" s="6" t="str">
        <f>VLOOKUP(E10861,dicionario!$A$1:$C11260,2,0)</f>
        <v>Dirinaria</v>
      </c>
      <c r="H10861" s="6" t="str">
        <f>VLOOKUP(E10861,dicionario!$A$1:$C11260,3,0)</f>
        <v>líquen-crostoso</v>
      </c>
    </row>
    <row r="10862">
      <c r="A10862" s="3">
        <v>45820.0</v>
      </c>
      <c r="B10862" s="4">
        <v>0.3347222222222222</v>
      </c>
      <c r="C10862" s="5" t="s">
        <v>8</v>
      </c>
      <c r="D10862" s="5" t="s">
        <v>1526</v>
      </c>
      <c r="E10862" s="8" t="s">
        <v>107</v>
      </c>
      <c r="F10862" s="5" t="s">
        <v>108</v>
      </c>
      <c r="G10862" s="6" t="str">
        <f>VLOOKUP(E10862,dicionario!$A$1:$C11261,2,0)</f>
        <v>Ramalina complanata</v>
      </c>
      <c r="H10862" s="6" t="str">
        <f>VLOOKUP(E10862,dicionario!$A$1:$C11261,3,0)</f>
        <v>ramalina</v>
      </c>
    </row>
    <row r="10863">
      <c r="A10863" s="3">
        <v>45820.0</v>
      </c>
      <c r="B10863" s="4">
        <v>0.33541666666666664</v>
      </c>
      <c r="C10863" s="5" t="s">
        <v>8</v>
      </c>
      <c r="D10863" s="5" t="s">
        <v>1526</v>
      </c>
      <c r="E10863" s="8" t="s">
        <v>191</v>
      </c>
      <c r="F10863" s="5" t="s">
        <v>192</v>
      </c>
      <c r="G10863" s="6" t="str">
        <f>VLOOKUP(E10863,dicionario!$A$1:$C11262,2,0)</f>
        <v>Patagioenas picazuro</v>
      </c>
      <c r="H10863" s="6" t="str">
        <f>VLOOKUP(E10863,dicionario!$A$1:$C11262,3,0)</f>
        <v>asa-branca; pomba-asa-branca; pocaçu</v>
      </c>
    </row>
    <row r="10864">
      <c r="A10864" s="3">
        <v>45820.0</v>
      </c>
      <c r="B10864" s="4">
        <v>0.33541666666666664</v>
      </c>
      <c r="C10864" s="5" t="s">
        <v>8</v>
      </c>
      <c r="D10864" s="5" t="s">
        <v>1526</v>
      </c>
      <c r="E10864" s="8" t="s">
        <v>20</v>
      </c>
      <c r="F10864" s="5" t="s">
        <v>21</v>
      </c>
      <c r="G10864" s="6" t="str">
        <f>VLOOKUP(E10864,dicionario!$A$1:$C11263,2,0)</f>
        <v>Sicalis flaveola</v>
      </c>
      <c r="H10864" s="6" t="str">
        <f>VLOOKUP(E10864,dicionario!$A$1:$C11263,3,0)</f>
        <v>canário-da-terra</v>
      </c>
    </row>
    <row r="10865">
      <c r="A10865" s="3">
        <v>45820.0</v>
      </c>
      <c r="B10865" s="4">
        <v>0.33541666666666664</v>
      </c>
      <c r="C10865" s="5" t="s">
        <v>8</v>
      </c>
      <c r="D10865" s="5" t="s">
        <v>1526</v>
      </c>
      <c r="E10865" s="8" t="s">
        <v>298</v>
      </c>
      <c r="F10865" s="5"/>
      <c r="G10865" s="6" t="str">
        <f>VLOOKUP(E10865,dicionario!$A$1:$C11264,2,0)</f>
        <v>Alysicarpus vaginalis</v>
      </c>
      <c r="H10865" s="6" t="str">
        <f>VLOOKUP(E10865,dicionario!$A$1:$C11264,3,0)</f>
        <v/>
      </c>
    </row>
    <row r="10866">
      <c r="A10866" s="3">
        <v>45820.0</v>
      </c>
      <c r="B10866" s="4">
        <v>0.33541666666666664</v>
      </c>
      <c r="C10866" s="5" t="s">
        <v>8</v>
      </c>
      <c r="D10866" s="5" t="s">
        <v>1526</v>
      </c>
      <c r="E10866" s="8" t="s">
        <v>909</v>
      </c>
      <c r="F10866" s="5" t="s">
        <v>910</v>
      </c>
      <c r="G10866" s="6" t="str">
        <f>VLOOKUP(E10866,dicionario!$A$1:$C11265,2,0)</f>
        <v>Chordeiles acutipennis</v>
      </c>
      <c r="H10866" s="6" t="str">
        <f>VLOOKUP(E10866,dicionario!$A$1:$C11265,3,0)</f>
        <v>bacurau-de-asa-fina</v>
      </c>
    </row>
    <row r="10867">
      <c r="A10867" s="3">
        <v>45820.0</v>
      </c>
      <c r="B10867" s="4">
        <v>0.33611111111111114</v>
      </c>
      <c r="C10867" s="5" t="s">
        <v>8</v>
      </c>
      <c r="D10867" s="5" t="s">
        <v>1526</v>
      </c>
      <c r="E10867" s="8" t="s">
        <v>135</v>
      </c>
      <c r="F10867" s="5" t="s">
        <v>136</v>
      </c>
      <c r="G10867" s="6" t="str">
        <f>VLOOKUP(E10867,dicionario!$A$1:$C11266,2,0)</f>
        <v>Tridax procumbens</v>
      </c>
      <c r="H10867" s="6" t="str">
        <f>VLOOKUP(E10867,dicionario!$A$1:$C11266,3,0)</f>
        <v>erva-de-touro</v>
      </c>
    </row>
    <row r="10868">
      <c r="A10868" s="3">
        <v>45820.0</v>
      </c>
      <c r="B10868" s="4">
        <v>0.33611111111111114</v>
      </c>
      <c r="C10868" s="5" t="s">
        <v>8</v>
      </c>
      <c r="D10868" s="5" t="s">
        <v>1526</v>
      </c>
      <c r="E10868" s="8" t="s">
        <v>223</v>
      </c>
      <c r="F10868" s="5"/>
      <c r="G10868" s="6" t="str">
        <f>VLOOKUP(E10868,dicionario!$A$1:$C11267,2,0)</f>
        <v>Rhipsalis lindbergiana</v>
      </c>
      <c r="H10868" s="6" t="str">
        <f>VLOOKUP(E10868,dicionario!$A$1:$C11267,3,0)</f>
        <v>cacto-macarrão</v>
      </c>
    </row>
    <row r="10869">
      <c r="A10869" s="3">
        <v>45820.0</v>
      </c>
      <c r="B10869" s="4">
        <v>0.3368055555555556</v>
      </c>
      <c r="C10869" s="5" t="s">
        <v>8</v>
      </c>
      <c r="D10869" s="5" t="s">
        <v>1526</v>
      </c>
      <c r="E10869" s="8" t="s">
        <v>1008</v>
      </c>
      <c r="F10869" s="5" t="s">
        <v>1013</v>
      </c>
      <c r="G10869" s="6" t="str">
        <f>VLOOKUP(E10869,dicionario!$A$1:$C11268,2,0)</f>
        <v>Syntermes molestus</v>
      </c>
      <c r="H10869" s="6" t="str">
        <f>VLOOKUP(E10869,dicionario!$A$1:$C11268,3,0)</f>
        <v>cupim-bate-cabeça</v>
      </c>
    </row>
    <row r="10870">
      <c r="A10870" s="3">
        <v>45820.0</v>
      </c>
      <c r="B10870" s="4">
        <v>0.3375</v>
      </c>
      <c r="C10870" s="5" t="s">
        <v>8</v>
      </c>
      <c r="D10870" s="5" t="s">
        <v>1526</v>
      </c>
      <c r="E10870" s="8" t="s">
        <v>353</v>
      </c>
      <c r="F10870" s="5" t="s">
        <v>354</v>
      </c>
      <c r="G10870" s="6" t="str">
        <f>VLOOKUP(E10870,dicionario!$A$1:$C11269,2,0)</f>
        <v>Desmodium incanum</v>
      </c>
      <c r="H10870" s="6" t="str">
        <f>VLOOKUP(E10870,dicionario!$A$1:$C11269,3,0)</f>
        <v>pega-pega</v>
      </c>
    </row>
    <row r="10871">
      <c r="A10871" s="3">
        <v>45820.0</v>
      </c>
      <c r="B10871" s="4">
        <v>0.3375</v>
      </c>
      <c r="C10871" s="5" t="s">
        <v>8</v>
      </c>
      <c r="D10871" s="5" t="s">
        <v>1526</v>
      </c>
      <c r="E10871" s="8" t="s">
        <v>1427</v>
      </c>
      <c r="F10871" s="5" t="s">
        <v>1556</v>
      </c>
      <c r="G10871" s="6" t="str">
        <f>VLOOKUP(E10871,dicionario!$A$1:$C11270,2,0)</f>
        <v>#N/A</v>
      </c>
      <c r="H10871" s="6" t="str">
        <f>VLOOKUP(E10871,dicionario!$A$1:$C11270,3,0)</f>
        <v>#N/A</v>
      </c>
    </row>
    <row r="10872">
      <c r="A10872" s="3">
        <v>45820.0</v>
      </c>
      <c r="B10872" s="4">
        <v>0.33819444444444446</v>
      </c>
      <c r="C10872" s="5" t="s">
        <v>8</v>
      </c>
      <c r="D10872" s="5" t="s">
        <v>1526</v>
      </c>
      <c r="E10872" s="6" t="s">
        <v>113</v>
      </c>
      <c r="F10872" s="5" t="s">
        <v>114</v>
      </c>
      <c r="G10872" s="6" t="str">
        <f>VLOOKUP(E10872,dicionario!$A$1:$C11271,2,0)</f>
        <v>Columbina talpacoti</v>
      </c>
      <c r="H10872" s="6" t="str">
        <f>VLOOKUP(E10872,dicionario!$A$1:$C11271,3,0)</f>
        <v>rolinha-roxa</v>
      </c>
    </row>
    <row r="10873">
      <c r="A10873" s="3">
        <v>45820.0</v>
      </c>
      <c r="B10873" s="4">
        <v>0.3388888888888889</v>
      </c>
      <c r="C10873" s="5" t="s">
        <v>8</v>
      </c>
      <c r="D10873" s="5" t="s">
        <v>1526</v>
      </c>
      <c r="E10873" s="8" t="s">
        <v>227</v>
      </c>
      <c r="F10873" s="5" t="s">
        <v>228</v>
      </c>
      <c r="G10873" s="6" t="str">
        <f>VLOOKUP(E10873,dicionario!$A$1:$C11272,2,0)</f>
        <v>Indigofera hirsuta</v>
      </c>
      <c r="H10873" s="6" t="str">
        <f>VLOOKUP(E10873,dicionario!$A$1:$C11272,3,0)</f>
        <v>anileira</v>
      </c>
    </row>
    <row r="10874">
      <c r="A10874" s="3">
        <v>45826.0</v>
      </c>
      <c r="B10874" s="4">
        <v>0.26180555555555557</v>
      </c>
      <c r="C10874" s="5" t="s">
        <v>8</v>
      </c>
      <c r="D10874" s="5" t="s">
        <v>1557</v>
      </c>
      <c r="E10874" s="8" t="s">
        <v>38</v>
      </c>
      <c r="F10874" s="5" t="s">
        <v>1251</v>
      </c>
      <c r="G10874" s="6" t="str">
        <f>VLOOKUP(E10874,dicionario!$A$1:$C11273,2,0)</f>
        <v>Troglodytes musculus</v>
      </c>
      <c r="H10874" s="6" t="str">
        <f>VLOOKUP(E10874,dicionario!$A$1:$C11273,3,0)</f>
        <v>curruíra</v>
      </c>
    </row>
    <row r="10875">
      <c r="A10875" s="3">
        <v>45826.0</v>
      </c>
      <c r="B10875" s="4">
        <v>0.26180555555555557</v>
      </c>
      <c r="C10875" s="5" t="s">
        <v>8</v>
      </c>
      <c r="D10875" s="5" t="s">
        <v>1557</v>
      </c>
      <c r="E10875" s="8" t="s">
        <v>88</v>
      </c>
      <c r="F10875" s="5" t="s">
        <v>782</v>
      </c>
      <c r="G10875" s="6" t="str">
        <f>VLOOKUP(E10875,dicionario!$A$1:$C11274,2,0)</f>
        <v>Tyrannus melancolichus</v>
      </c>
      <c r="H10875" s="6" t="str">
        <f>VLOOKUP(E10875,dicionario!$A$1:$C11274,3,0)</f>
        <v>suiriri</v>
      </c>
    </row>
    <row r="10876">
      <c r="A10876" s="3">
        <v>45826.0</v>
      </c>
      <c r="B10876" s="4">
        <v>0.26180555555555557</v>
      </c>
      <c r="C10876" s="5" t="s">
        <v>8</v>
      </c>
      <c r="D10876" s="5" t="s">
        <v>1557</v>
      </c>
      <c r="E10876" s="8" t="s">
        <v>105</v>
      </c>
      <c r="F10876" s="5" t="s">
        <v>73</v>
      </c>
      <c r="G10876" s="6" t="str">
        <f>VLOOKUP(E10876,dicionario!$A$1:$C11275,2,0)</f>
        <v>Progne tapera</v>
      </c>
      <c r="H10876" s="6" t="str">
        <f>VLOOKUP(E10876,dicionario!$A$1:$C11275,3,0)</f>
        <v>andorinha-do-campo</v>
      </c>
    </row>
    <row r="10877">
      <c r="A10877" s="3">
        <v>45826.0</v>
      </c>
      <c r="B10877" s="4">
        <v>0.26180555555555557</v>
      </c>
      <c r="C10877" s="5" t="s">
        <v>8</v>
      </c>
      <c r="D10877" s="5" t="s">
        <v>1557</v>
      </c>
      <c r="E10877" s="8" t="s">
        <v>105</v>
      </c>
      <c r="F10877" s="5" t="s">
        <v>106</v>
      </c>
      <c r="G10877" s="6" t="str">
        <f>VLOOKUP(E10877,dicionario!$A$1:$C11276,2,0)</f>
        <v>Progne tapera</v>
      </c>
      <c r="H10877" s="6" t="str">
        <f>VLOOKUP(E10877,dicionario!$A$1:$C11276,3,0)</f>
        <v>andorinha-do-campo</v>
      </c>
    </row>
    <row r="10878">
      <c r="A10878" s="3">
        <v>45826.0</v>
      </c>
      <c r="B10878" s="4">
        <v>0.2625</v>
      </c>
      <c r="C10878" s="5" t="s">
        <v>8</v>
      </c>
      <c r="D10878" s="5" t="s">
        <v>1557</v>
      </c>
      <c r="E10878" s="8" t="s">
        <v>20</v>
      </c>
      <c r="F10878" s="5" t="s">
        <v>21</v>
      </c>
      <c r="G10878" s="6" t="str">
        <f>VLOOKUP(E10878,dicionario!$A$1:$C11277,2,0)</f>
        <v>Sicalis flaveola</v>
      </c>
      <c r="H10878" s="6" t="str">
        <f>VLOOKUP(E10878,dicionario!$A$1:$C11277,3,0)</f>
        <v>canário-da-terra</v>
      </c>
    </row>
    <row r="10879">
      <c r="A10879" s="3">
        <v>45826.0</v>
      </c>
      <c r="B10879" s="4">
        <v>0.2625</v>
      </c>
      <c r="C10879" s="5" t="s">
        <v>8</v>
      </c>
      <c r="D10879" s="5" t="s">
        <v>1557</v>
      </c>
      <c r="E10879" s="8" t="s">
        <v>1102</v>
      </c>
      <c r="F10879" s="5" t="s">
        <v>1103</v>
      </c>
      <c r="G10879" s="6" t="str">
        <f>VLOOKUP(E10879,dicionario!$A$1:$C11278,2,0)</f>
        <v>Bubulcus ibis</v>
      </c>
      <c r="H10879" s="6" t="str">
        <f>VLOOKUP(E10879,dicionario!$A$1:$C11278,3,0)</f>
        <v>garça-vaqueira</v>
      </c>
    </row>
    <row r="10880">
      <c r="A10880" s="3">
        <v>45826.0</v>
      </c>
      <c r="B10880" s="4">
        <v>0.2625</v>
      </c>
      <c r="C10880" s="5" t="s">
        <v>8</v>
      </c>
      <c r="D10880" s="5" t="s">
        <v>1557</v>
      </c>
      <c r="E10880" s="8" t="s">
        <v>624</v>
      </c>
      <c r="F10880" s="5" t="s">
        <v>133</v>
      </c>
      <c r="G10880" s="6" t="str">
        <f>VLOOKUP(E10880,dicionario!$A$1:$C11279,2,0)</f>
        <v>Euphonia violacea</v>
      </c>
      <c r="H10880" s="6" t="str">
        <f>VLOOKUP(E10880,dicionario!$A$1:$C11279,3,0)</f>
        <v>gaturamo-verdadeiro</v>
      </c>
    </row>
    <row r="10881">
      <c r="A10881" s="3">
        <v>45826.0</v>
      </c>
      <c r="B10881" s="4">
        <v>0.26319444444444445</v>
      </c>
      <c r="C10881" s="5" t="s">
        <v>8</v>
      </c>
      <c r="D10881" s="5" t="s">
        <v>1557</v>
      </c>
      <c r="E10881" s="8" t="s">
        <v>109</v>
      </c>
      <c r="F10881" s="5" t="s">
        <v>110</v>
      </c>
      <c r="G10881" s="6" t="str">
        <f>VLOOKUP(E10881,dicionario!$A$1:$C11280,2,0)</f>
        <v>Tillandsia stricta</v>
      </c>
      <c r="H10881" s="6" t="str">
        <f>VLOOKUP(E10881,dicionario!$A$1:$C11280,3,0)</f>
        <v>cravo-do-mato</v>
      </c>
    </row>
    <row r="10882">
      <c r="A10882" s="3">
        <v>45826.0</v>
      </c>
      <c r="B10882" s="4">
        <v>0.26319444444444445</v>
      </c>
      <c r="C10882" s="5" t="s">
        <v>8</v>
      </c>
      <c r="D10882" s="5" t="s">
        <v>1557</v>
      </c>
      <c r="E10882" s="8" t="s">
        <v>752</v>
      </c>
      <c r="F10882" s="5" t="s">
        <v>969</v>
      </c>
      <c r="G10882" s="6" t="str">
        <f>VLOOKUP(E10882,dicionario!$A$1:$C11281,2,0)</f>
        <v>#N/A</v>
      </c>
      <c r="H10882" s="6" t="str">
        <f>VLOOKUP(E10882,dicionario!$A$1:$C11281,3,0)</f>
        <v>#N/A</v>
      </c>
    </row>
    <row r="10883">
      <c r="A10883" s="3">
        <v>45826.0</v>
      </c>
      <c r="B10883" s="4">
        <v>0.26319444444444445</v>
      </c>
      <c r="C10883" s="5" t="s">
        <v>8</v>
      </c>
      <c r="D10883" s="5" t="s">
        <v>1557</v>
      </c>
      <c r="E10883" s="8" t="s">
        <v>107</v>
      </c>
      <c r="F10883" s="5" t="s">
        <v>108</v>
      </c>
      <c r="G10883" s="6" t="str">
        <f>VLOOKUP(E10883,dicionario!$A$1:$C11282,2,0)</f>
        <v>Ramalina complanata</v>
      </c>
      <c r="H10883" s="6" t="str">
        <f>VLOOKUP(E10883,dicionario!$A$1:$C11282,3,0)</f>
        <v>ramalina</v>
      </c>
    </row>
    <row r="10884">
      <c r="A10884" s="3">
        <v>45826.0</v>
      </c>
      <c r="B10884" s="4">
        <v>0.26319444444444445</v>
      </c>
      <c r="C10884" s="5" t="s">
        <v>8</v>
      </c>
      <c r="D10884" s="5" t="s">
        <v>1557</v>
      </c>
      <c r="E10884" s="8" t="s">
        <v>712</v>
      </c>
      <c r="F10884" s="5" t="s">
        <v>912</v>
      </c>
      <c r="G10884" s="6" t="str">
        <f>VLOOKUP(E10884,dicionario!$A$1:$C11283,2,0)</f>
        <v>Flavopunctelia soredica</v>
      </c>
      <c r="H10884" s="6" t="str">
        <f>VLOOKUP(E10884,dicionario!$A$1:$C11283,3,0)</f>
        <v>líquen-folioso</v>
      </c>
    </row>
    <row r="10885">
      <c r="A10885" s="3">
        <v>45826.0</v>
      </c>
      <c r="B10885" s="4">
        <v>0.2638888888888889</v>
      </c>
      <c r="C10885" s="5" t="s">
        <v>8</v>
      </c>
      <c r="D10885" s="5" t="s">
        <v>1557</v>
      </c>
      <c r="E10885" s="8" t="s">
        <v>719</v>
      </c>
      <c r="F10885" s="5" t="s">
        <v>911</v>
      </c>
      <c r="G10885" s="6" t="str">
        <f>VLOOKUP(E10885,dicionario!$A$1:$C11284,2,0)</f>
        <v>Dirinaria</v>
      </c>
      <c r="H10885" s="6" t="str">
        <f>VLOOKUP(E10885,dicionario!$A$1:$C11284,3,0)</f>
        <v>líquen-crostoso</v>
      </c>
    </row>
    <row r="10886">
      <c r="A10886" s="3">
        <v>45826.0</v>
      </c>
      <c r="B10886" s="4">
        <v>0.2638888888888889</v>
      </c>
      <c r="C10886" s="5" t="s">
        <v>8</v>
      </c>
      <c r="D10886" s="5" t="s">
        <v>1557</v>
      </c>
      <c r="E10886" s="8" t="s">
        <v>154</v>
      </c>
      <c r="F10886" s="5" t="s">
        <v>155</v>
      </c>
      <c r="G10886" s="6" t="str">
        <f>VLOOKUP(E10886,dicionario!$A$1:$C11285,2,0)</f>
        <v>Cyperus rotundus</v>
      </c>
      <c r="H10886" s="6" t="str">
        <f>VLOOKUP(E10886,dicionario!$A$1:$C11285,3,0)</f>
        <v>tiririca</v>
      </c>
    </row>
    <row r="10887">
      <c r="A10887" s="3">
        <v>45826.0</v>
      </c>
      <c r="B10887" s="4">
        <v>0.2638888888888889</v>
      </c>
      <c r="C10887" s="5" t="s">
        <v>8</v>
      </c>
      <c r="D10887" s="5" t="s">
        <v>1557</v>
      </c>
      <c r="E10887" s="8" t="s">
        <v>353</v>
      </c>
      <c r="F10887" s="5" t="s">
        <v>354</v>
      </c>
      <c r="G10887" s="6" t="str">
        <f>VLOOKUP(E10887,dicionario!$A$1:$C11286,2,0)</f>
        <v>Desmodium incanum</v>
      </c>
      <c r="H10887" s="6" t="str">
        <f>VLOOKUP(E10887,dicionario!$A$1:$C11286,3,0)</f>
        <v>pega-pega</v>
      </c>
    </row>
    <row r="10888">
      <c r="A10888" s="3">
        <v>45826.0</v>
      </c>
      <c r="B10888" s="4">
        <v>0.2638888888888889</v>
      </c>
      <c r="C10888" s="5" t="s">
        <v>8</v>
      </c>
      <c r="D10888" s="5" t="s">
        <v>1557</v>
      </c>
      <c r="E10888" s="8" t="s">
        <v>298</v>
      </c>
      <c r="F10888" s="5"/>
      <c r="G10888" s="6" t="str">
        <f>VLOOKUP(E10888,dicionario!$A$1:$C11287,2,0)</f>
        <v>Alysicarpus vaginalis</v>
      </c>
      <c r="H10888" s="6" t="str">
        <f>VLOOKUP(E10888,dicionario!$A$1:$C11287,3,0)</f>
        <v/>
      </c>
    </row>
    <row r="10889">
      <c r="A10889" s="3">
        <v>45826.0</v>
      </c>
      <c r="B10889" s="4">
        <v>0.26458333333333334</v>
      </c>
      <c r="C10889" s="5" t="s">
        <v>8</v>
      </c>
      <c r="D10889" s="5" t="s">
        <v>1557</v>
      </c>
      <c r="E10889" s="6" t="s">
        <v>137</v>
      </c>
      <c r="F10889" s="5" t="s">
        <v>138</v>
      </c>
      <c r="G10889" s="6" t="str">
        <f>VLOOKUP(E10889,dicionario!$A$1:$C11288,2,0)</f>
        <v>Tapera naevia</v>
      </c>
      <c r="H10889" s="6" t="str">
        <f>VLOOKUP(E10889,dicionario!$A$1:$C11288,3,0)</f>
        <v>saci</v>
      </c>
    </row>
    <row r="10890">
      <c r="A10890" s="3">
        <v>45826.0</v>
      </c>
      <c r="B10890" s="4">
        <v>0.2652777777777778</v>
      </c>
      <c r="C10890" s="5" t="s">
        <v>8</v>
      </c>
      <c r="D10890" s="5" t="s">
        <v>1557</v>
      </c>
      <c r="E10890" s="8" t="s">
        <v>65</v>
      </c>
      <c r="F10890" s="5" t="s">
        <v>66</v>
      </c>
      <c r="G10890" s="6" t="str">
        <f>VLOOKUP(E10890,dicionario!$A$1:$C11289,2,0)</f>
        <v>Pitangus sulphutarus</v>
      </c>
      <c r="H10890" s="6" t="str">
        <f>VLOOKUP(E10890,dicionario!$A$1:$C11289,3,0)</f>
        <v>bem-te-vi</v>
      </c>
    </row>
    <row r="10891">
      <c r="A10891" s="3">
        <v>45826.0</v>
      </c>
      <c r="B10891" s="4">
        <v>0.2652777777777778</v>
      </c>
      <c r="C10891" s="5" t="s">
        <v>8</v>
      </c>
      <c r="D10891" s="5" t="s">
        <v>1557</v>
      </c>
      <c r="E10891" s="8" t="s">
        <v>177</v>
      </c>
      <c r="F10891" s="5" t="s">
        <v>178</v>
      </c>
      <c r="G10891" s="6" t="str">
        <f>VLOOKUP(E10891,dicionario!$A$1:$C11290,2,0)</f>
        <v>Elaenia flavogaster</v>
      </c>
      <c r="H10891" s="6" t="str">
        <f>VLOOKUP(E10891,dicionario!$A$1:$C11290,3,0)</f>
        <v>guaracava-de-barriga-amarela</v>
      </c>
    </row>
    <row r="10892">
      <c r="A10892" s="3">
        <v>45826.0</v>
      </c>
      <c r="B10892" s="4">
        <v>0.2652777777777778</v>
      </c>
      <c r="C10892" s="5" t="s">
        <v>8</v>
      </c>
      <c r="D10892" s="5" t="s">
        <v>1557</v>
      </c>
      <c r="E10892" s="8" t="s">
        <v>60</v>
      </c>
      <c r="F10892" s="5" t="s">
        <v>61</v>
      </c>
      <c r="G10892" s="6" t="str">
        <f>VLOOKUP(E10892,dicionario!$A$1:$C11291,2,0)</f>
        <v>Vanellus chilensis</v>
      </c>
      <c r="H10892" s="6" t="str">
        <f>VLOOKUP(E10892,dicionario!$A$1:$C11291,3,0)</f>
        <v>quero-quero</v>
      </c>
    </row>
    <row r="10893">
      <c r="A10893" s="3">
        <v>45826.0</v>
      </c>
      <c r="B10893" s="4">
        <v>0.2659722222222222</v>
      </c>
      <c r="C10893" s="5" t="s">
        <v>8</v>
      </c>
      <c r="D10893" s="5" t="s">
        <v>1557</v>
      </c>
      <c r="E10893" s="8" t="s">
        <v>1495</v>
      </c>
      <c r="F10893" s="5" t="s">
        <v>42</v>
      </c>
      <c r="G10893" s="6" t="str">
        <f>VLOOKUP(E10893,dicionario!$A$1:$C11292,2,0)</f>
        <v>#N/A</v>
      </c>
      <c r="H10893" s="6" t="str">
        <f>VLOOKUP(E10893,dicionario!$A$1:$C11292,3,0)</f>
        <v>#N/A</v>
      </c>
    </row>
    <row r="10894">
      <c r="A10894" s="3">
        <v>45826.0</v>
      </c>
      <c r="B10894" s="4">
        <v>0.2659722222222222</v>
      </c>
      <c r="C10894" s="5" t="s">
        <v>8</v>
      </c>
      <c r="D10894" s="5" t="s">
        <v>1557</v>
      </c>
      <c r="E10894" s="8" t="s">
        <v>22</v>
      </c>
      <c r="F10894" s="5" t="s">
        <v>902</v>
      </c>
      <c r="G10894" s="6" t="str">
        <f>VLOOKUP(E10894,dicionario!$A$1:$C11293,2,0)</f>
        <v>Zenaida auriculata</v>
      </c>
      <c r="H10894" s="6" t="str">
        <f>VLOOKUP(E10894,dicionario!$A$1:$C11293,3,0)</f>
        <v>pomba-de-bando; avoante</v>
      </c>
    </row>
    <row r="10895">
      <c r="A10895" s="3">
        <v>45826.0</v>
      </c>
      <c r="B10895" s="4">
        <v>0.2659722222222222</v>
      </c>
      <c r="C10895" s="5" t="s">
        <v>8</v>
      </c>
      <c r="D10895" s="5" t="s">
        <v>1557</v>
      </c>
      <c r="E10895" s="8" t="s">
        <v>191</v>
      </c>
      <c r="F10895" s="5" t="s">
        <v>192</v>
      </c>
      <c r="G10895" s="6" t="str">
        <f>VLOOKUP(E10895,dicionario!$A$1:$C11294,2,0)</f>
        <v>Patagioenas picazuro</v>
      </c>
      <c r="H10895" s="6" t="str">
        <f>VLOOKUP(E10895,dicionario!$A$1:$C11294,3,0)</f>
        <v>asa-branca; pomba-asa-branca; pocaçu</v>
      </c>
    </row>
    <row r="10896">
      <c r="A10896" s="3">
        <v>45826.0</v>
      </c>
      <c r="B10896" s="4">
        <v>0.2659722222222222</v>
      </c>
      <c r="C10896" s="5" t="s">
        <v>8</v>
      </c>
      <c r="D10896" s="5" t="s">
        <v>1557</v>
      </c>
      <c r="E10896" s="8" t="s">
        <v>909</v>
      </c>
      <c r="F10896" s="5" t="s">
        <v>910</v>
      </c>
      <c r="G10896" s="6" t="str">
        <f>VLOOKUP(E10896,dicionario!$A$1:$C11295,2,0)</f>
        <v>Chordeiles acutipennis</v>
      </c>
      <c r="H10896" s="6" t="str">
        <f>VLOOKUP(E10896,dicionario!$A$1:$C11295,3,0)</f>
        <v>bacurau-de-asa-fina</v>
      </c>
    </row>
    <row r="10897">
      <c r="A10897" s="3">
        <v>45826.0</v>
      </c>
      <c r="B10897" s="4">
        <v>0.2673611111111111</v>
      </c>
      <c r="C10897" s="5" t="s">
        <v>8</v>
      </c>
      <c r="D10897" s="5" t="s">
        <v>1557</v>
      </c>
      <c r="E10897" s="6" t="s">
        <v>163</v>
      </c>
      <c r="F10897" s="5" t="s">
        <v>164</v>
      </c>
      <c r="G10897" s="6" t="str">
        <f>VLOOKUP(E10897,dicionario!$A$1:$C11296,2,0)</f>
        <v>Coragyps atratus</v>
      </c>
      <c r="H10897" s="6" t="str">
        <f>VLOOKUP(E10897,dicionario!$A$1:$C11296,3,0)</f>
        <v>urubu-de-cabeça-preta</v>
      </c>
    </row>
    <row r="10898">
      <c r="A10898" s="3">
        <v>45826.0</v>
      </c>
      <c r="B10898" s="4">
        <v>0.26805555555555555</v>
      </c>
      <c r="C10898" s="5" t="s">
        <v>8</v>
      </c>
      <c r="D10898" s="5" t="s">
        <v>1557</v>
      </c>
      <c r="E10898" s="8" t="s">
        <v>193</v>
      </c>
      <c r="F10898" s="5" t="s">
        <v>194</v>
      </c>
      <c r="G10898" s="6" t="str">
        <f>VLOOKUP(E10898,dicionario!$A$1:$C11297,2,0)</f>
        <v>Conirostrum speciosum</v>
      </c>
      <c r="H10898" s="6" t="str">
        <f>VLOOKUP(E10898,dicionario!$A$1:$C11297,3,0)</f>
        <v>figuinha-de-rabo-castanho</v>
      </c>
    </row>
    <row r="10899">
      <c r="A10899" s="3">
        <v>45826.0</v>
      </c>
      <c r="B10899" s="4">
        <v>0.26875</v>
      </c>
      <c r="C10899" s="5" t="s">
        <v>26</v>
      </c>
      <c r="D10899" s="5" t="s">
        <v>1557</v>
      </c>
      <c r="E10899" s="8" t="s">
        <v>191</v>
      </c>
      <c r="F10899" s="5" t="s">
        <v>1533</v>
      </c>
      <c r="G10899" s="6" t="str">
        <f>VLOOKUP(E10899,dicionario!$A$1:$C11298,2,0)</f>
        <v>Patagioenas picazuro</v>
      </c>
      <c r="H10899" s="6" t="str">
        <f>VLOOKUP(E10899,dicionario!$A$1:$C11298,3,0)</f>
        <v>asa-branca; pomba-asa-branca; pocaçu</v>
      </c>
    </row>
    <row r="10900">
      <c r="A10900" s="3">
        <v>45826.0</v>
      </c>
      <c r="B10900" s="4">
        <v>0.26875</v>
      </c>
      <c r="C10900" s="5" t="s">
        <v>26</v>
      </c>
      <c r="D10900" s="5" t="s">
        <v>1557</v>
      </c>
      <c r="E10900" s="8" t="s">
        <v>217</v>
      </c>
      <c r="F10900" s="5" t="s">
        <v>218</v>
      </c>
      <c r="G10900" s="6" t="str">
        <f>VLOOKUP(E10900,dicionario!$A$1:$C11299,2,0)</f>
        <v>Athene cunicularia</v>
      </c>
      <c r="H10900" s="6" t="str">
        <f>VLOOKUP(E10900,dicionario!$A$1:$C11299,3,0)</f>
        <v>coruja-buraqueira</v>
      </c>
    </row>
    <row r="10901">
      <c r="A10901" s="3">
        <v>45826.0</v>
      </c>
      <c r="B10901" s="4">
        <v>0.26875</v>
      </c>
      <c r="C10901" s="5" t="s">
        <v>26</v>
      </c>
      <c r="D10901" s="5" t="s">
        <v>1557</v>
      </c>
      <c r="E10901" s="8" t="s">
        <v>88</v>
      </c>
      <c r="F10901" s="5" t="s">
        <v>782</v>
      </c>
      <c r="G10901" s="6" t="str">
        <f>VLOOKUP(E10901,dicionario!$A$1:$C11300,2,0)</f>
        <v>Tyrannus melancolichus</v>
      </c>
      <c r="H10901" s="6" t="str">
        <f>VLOOKUP(E10901,dicionario!$A$1:$C11300,3,0)</f>
        <v>suiriri</v>
      </c>
    </row>
    <row r="10902">
      <c r="A10902" s="3">
        <v>45826.0</v>
      </c>
      <c r="B10902" s="4">
        <v>0.26944444444444443</v>
      </c>
      <c r="C10902" s="5" t="s">
        <v>26</v>
      </c>
      <c r="D10902" s="5" t="s">
        <v>1557</v>
      </c>
      <c r="E10902" s="8" t="s">
        <v>150</v>
      </c>
      <c r="F10902" s="5" t="s">
        <v>151</v>
      </c>
      <c r="G10902" s="6" t="str">
        <f>VLOOKUP(E10902,dicionario!$A$1:$C11301,2,0)</f>
        <v>Amaranthus viridis</v>
      </c>
      <c r="H10902" s="6" t="str">
        <f>VLOOKUP(E10902,dicionario!$A$1:$C11301,3,0)</f>
        <v>caruru-de-mancha</v>
      </c>
    </row>
    <row r="10903">
      <c r="A10903" s="3">
        <v>45826.0</v>
      </c>
      <c r="B10903" s="4">
        <v>0.26944444444444443</v>
      </c>
      <c r="C10903" s="5" t="s">
        <v>26</v>
      </c>
      <c r="D10903" s="5" t="s">
        <v>1557</v>
      </c>
      <c r="E10903" s="20" t="s">
        <v>676</v>
      </c>
      <c r="F10903" s="5" t="s">
        <v>677</v>
      </c>
      <c r="G10903" s="6" t="str">
        <f>VLOOKUP(E10903,dicionario!$A$1:$C11302,2,0)</f>
        <v>Zornia latifolia</v>
      </c>
      <c r="H10903" s="6" t="str">
        <f>VLOOKUP(E10903,dicionario!$A$1:$C11302,3,0)</f>
        <v>arrozinho-do-campo</v>
      </c>
    </row>
    <row r="10904">
      <c r="A10904" s="3">
        <v>45826.0</v>
      </c>
      <c r="B10904" s="4">
        <v>0.2701388888888889</v>
      </c>
      <c r="C10904" s="5" t="s">
        <v>26</v>
      </c>
      <c r="D10904" s="5" t="s">
        <v>1557</v>
      </c>
      <c r="E10904" s="6" t="s">
        <v>467</v>
      </c>
      <c r="F10904" s="5" t="s">
        <v>468</v>
      </c>
      <c r="G10904" s="6" t="str">
        <f>VLOOKUP(E10904,dicionario!$A$1:$C11303,2,0)</f>
        <v>Eleusine indica</v>
      </c>
      <c r="H10904" s="6" t="str">
        <f>VLOOKUP(E10904,dicionario!$A$1:$C11303,3,0)</f>
        <v>capim-pé-de-galinha</v>
      </c>
    </row>
    <row r="10905">
      <c r="A10905" s="3">
        <v>45826.0</v>
      </c>
      <c r="B10905" s="4">
        <v>0.2708333333333333</v>
      </c>
      <c r="C10905" s="5" t="s">
        <v>26</v>
      </c>
      <c r="D10905" s="5" t="s">
        <v>1557</v>
      </c>
      <c r="E10905" s="8" t="s">
        <v>360</v>
      </c>
      <c r="F10905" s="5" t="s">
        <v>361</v>
      </c>
      <c r="G10905" s="6" t="str">
        <f>VLOOKUP(E10905,dicionario!$A$1:$C11304,2,0)</f>
        <v>Chamaecrista rotundifolia</v>
      </c>
      <c r="H10905" s="6" t="str">
        <f>VLOOKUP(E10905,dicionario!$A$1:$C11304,3,0)</f>
        <v>alfafa-nativa</v>
      </c>
    </row>
    <row r="10906">
      <c r="A10906" s="3">
        <v>45826.0</v>
      </c>
      <c r="B10906" s="4">
        <v>0.27152777777777776</v>
      </c>
      <c r="C10906" s="5" t="s">
        <v>26</v>
      </c>
      <c r="D10906" s="5" t="s">
        <v>1557</v>
      </c>
      <c r="E10906" s="8" t="s">
        <v>109</v>
      </c>
      <c r="F10906" s="5" t="s">
        <v>110</v>
      </c>
      <c r="G10906" s="6" t="str">
        <f>VLOOKUP(E10906,dicionario!$A$1:$C11305,2,0)</f>
        <v>Tillandsia stricta</v>
      </c>
      <c r="H10906" s="6" t="str">
        <f>VLOOKUP(E10906,dicionario!$A$1:$C11305,3,0)</f>
        <v>cravo-do-mato</v>
      </c>
    </row>
    <row r="10907">
      <c r="A10907" s="3">
        <v>45826.0</v>
      </c>
      <c r="B10907" s="4">
        <v>0.27152777777777776</v>
      </c>
      <c r="C10907" s="5" t="s">
        <v>26</v>
      </c>
      <c r="D10907" s="5" t="s">
        <v>1557</v>
      </c>
      <c r="E10907" s="8" t="s">
        <v>41</v>
      </c>
      <c r="F10907" s="5" t="s">
        <v>45</v>
      </c>
      <c r="G10907" s="6" t="str">
        <f>VLOOKUP(E10907,dicionario!$A$1:$C11306,2,0)</f>
        <v>Mimosa pudica</v>
      </c>
      <c r="H10907" s="6" t="str">
        <f>VLOOKUP(E10907,dicionario!$A$1:$C11306,3,0)</f>
        <v>dormideira</v>
      </c>
    </row>
    <row r="10908">
      <c r="A10908" s="3">
        <v>45826.0</v>
      </c>
      <c r="B10908" s="4">
        <v>0.27152777777777776</v>
      </c>
      <c r="C10908" s="5" t="s">
        <v>26</v>
      </c>
      <c r="D10908" s="5" t="s">
        <v>1557</v>
      </c>
      <c r="E10908" s="8" t="s">
        <v>498</v>
      </c>
      <c r="F10908" s="5" t="s">
        <v>1551</v>
      </c>
      <c r="G10908" s="6" t="str">
        <f>VLOOKUP(E10908,dicionario!$A$1:$C11307,2,0)</f>
        <v>Brachiaria decumbens</v>
      </c>
      <c r="H10908" s="6" t="str">
        <f>VLOOKUP(E10908,dicionario!$A$1:$C11307,3,0)</f>
        <v>capim-braquiária</v>
      </c>
    </row>
    <row r="10909">
      <c r="A10909" s="3">
        <v>45826.0</v>
      </c>
      <c r="B10909" s="4">
        <v>0.27152777777777776</v>
      </c>
      <c r="C10909" s="5" t="s">
        <v>26</v>
      </c>
      <c r="D10909" s="5" t="s">
        <v>1557</v>
      </c>
      <c r="E10909" s="8" t="s">
        <v>60</v>
      </c>
      <c r="F10909" s="5" t="s">
        <v>61</v>
      </c>
      <c r="G10909" s="6" t="str">
        <f>VLOOKUP(E10909,dicionario!$A$1:$C11308,2,0)</f>
        <v>Vanellus chilensis</v>
      </c>
      <c r="H10909" s="6" t="str">
        <f>VLOOKUP(E10909,dicionario!$A$1:$C11308,3,0)</f>
        <v>quero-quero</v>
      </c>
    </row>
    <row r="10910">
      <c r="A10910" s="3">
        <v>45826.0</v>
      </c>
      <c r="B10910" s="4">
        <v>0.27152777777777776</v>
      </c>
      <c r="C10910" s="5" t="s">
        <v>26</v>
      </c>
      <c r="D10910" s="5" t="s">
        <v>1557</v>
      </c>
      <c r="E10910" s="8" t="s">
        <v>154</v>
      </c>
      <c r="F10910" s="5" t="s">
        <v>155</v>
      </c>
      <c r="G10910" s="6" t="str">
        <f>VLOOKUP(E10910,dicionario!$A$1:$C11309,2,0)</f>
        <v>Cyperus rotundus</v>
      </c>
      <c r="H10910" s="6" t="str">
        <f>VLOOKUP(E10910,dicionario!$A$1:$C11309,3,0)</f>
        <v>tiririca</v>
      </c>
    </row>
    <row r="10911">
      <c r="A10911" s="3">
        <v>45826.0</v>
      </c>
      <c r="B10911" s="4">
        <v>0.2722222222222222</v>
      </c>
      <c r="C10911" s="5" t="s">
        <v>26</v>
      </c>
      <c r="D10911" s="5" t="s">
        <v>1557</v>
      </c>
      <c r="E10911" s="8" t="s">
        <v>72</v>
      </c>
      <c r="F10911" s="5" t="s">
        <v>73</v>
      </c>
      <c r="G10911" s="6" t="str">
        <f>VLOOKUP(E10911,dicionario!$A$1:$C11310,2,0)</f>
        <v>Thraupis palmarum</v>
      </c>
      <c r="H10911" s="6" t="str">
        <f>VLOOKUP(E10911,dicionario!$A$1:$C11310,3,0)</f>
        <v>sanhaço-do-coqueiro</v>
      </c>
    </row>
    <row r="10912">
      <c r="A10912" s="3">
        <v>45826.0</v>
      </c>
      <c r="B10912" s="4">
        <v>0.27291666666666664</v>
      </c>
      <c r="C10912" s="5" t="s">
        <v>26</v>
      </c>
      <c r="D10912" s="5" t="s">
        <v>1557</v>
      </c>
      <c r="E10912" s="8" t="s">
        <v>105</v>
      </c>
      <c r="F10912" s="5" t="s">
        <v>106</v>
      </c>
      <c r="G10912" s="6" t="str">
        <f>VLOOKUP(E10912,dicionario!$A$1:$C11311,2,0)</f>
        <v>Progne tapera</v>
      </c>
      <c r="H10912" s="6" t="str">
        <f>VLOOKUP(E10912,dicionario!$A$1:$C11311,3,0)</f>
        <v>andorinha-do-campo</v>
      </c>
    </row>
    <row r="10913">
      <c r="A10913" s="3">
        <v>45826.0</v>
      </c>
      <c r="B10913" s="4">
        <v>0.27291666666666664</v>
      </c>
      <c r="C10913" s="5" t="s">
        <v>26</v>
      </c>
      <c r="D10913" s="5" t="s">
        <v>1557</v>
      </c>
      <c r="E10913" s="8" t="s">
        <v>1204</v>
      </c>
      <c r="F10913" s="61" t="s">
        <v>1558</v>
      </c>
      <c r="G10913" s="6" t="str">
        <f>VLOOKUP(E10913,dicionario!$A$1:$C11312,2,0)</f>
        <v>Peperomia pellucida</v>
      </c>
      <c r="H10913" s="6" t="str">
        <f>VLOOKUP(E10913,dicionario!$A$1:$C11312,3,0)</f>
        <v>erva-jabuti</v>
      </c>
    </row>
    <row r="10914">
      <c r="A10914" s="3">
        <v>45826.0</v>
      </c>
      <c r="B10914" s="4">
        <v>0.2743055555555556</v>
      </c>
      <c r="C10914" s="5" t="s">
        <v>33</v>
      </c>
      <c r="D10914" s="5" t="s">
        <v>1557</v>
      </c>
      <c r="E10914" s="8" t="s">
        <v>65</v>
      </c>
      <c r="F10914" s="5" t="s">
        <v>66</v>
      </c>
      <c r="G10914" s="6" t="str">
        <f>VLOOKUP(E10914,dicionario!$A$1:$C11313,2,0)</f>
        <v>Pitangus sulphutarus</v>
      </c>
      <c r="H10914" s="6" t="str">
        <f>VLOOKUP(E10914,dicionario!$A$1:$C11313,3,0)</f>
        <v>bem-te-vi</v>
      </c>
    </row>
    <row r="10915">
      <c r="A10915" s="3">
        <v>45826.0</v>
      </c>
      <c r="B10915" s="4">
        <v>0.275</v>
      </c>
      <c r="C10915" s="5" t="s">
        <v>33</v>
      </c>
      <c r="D10915" s="5" t="s">
        <v>1557</v>
      </c>
      <c r="E10915" s="8" t="s">
        <v>122</v>
      </c>
      <c r="F10915" s="5" t="s">
        <v>123</v>
      </c>
      <c r="G10915" s="6" t="str">
        <f>VLOOKUP(E10915,dicionario!$A$1:$C11314,2,0)</f>
        <v>Todirostrum cinereum</v>
      </c>
      <c r="H10915" s="6" t="str">
        <f>VLOOKUP(E10915,dicionario!$A$1:$C11314,3,0)</f>
        <v>ferreirinho-relógio</v>
      </c>
    </row>
    <row r="10916">
      <c r="A10916" s="3">
        <v>45826.0</v>
      </c>
      <c r="B10916" s="4">
        <v>0.275</v>
      </c>
      <c r="C10916" s="5" t="s">
        <v>33</v>
      </c>
      <c r="D10916" s="5" t="s">
        <v>1557</v>
      </c>
      <c r="E10916" s="8" t="s">
        <v>88</v>
      </c>
      <c r="F10916" s="5" t="s">
        <v>782</v>
      </c>
      <c r="G10916" s="6" t="str">
        <f>VLOOKUP(E10916,dicionario!$A$1:$C11315,2,0)</f>
        <v>Tyrannus melancolichus</v>
      </c>
      <c r="H10916" s="6" t="str">
        <f>VLOOKUP(E10916,dicionario!$A$1:$C11315,3,0)</f>
        <v>suiriri</v>
      </c>
    </row>
    <row r="10917">
      <c r="A10917" s="3">
        <v>45826.0</v>
      </c>
      <c r="B10917" s="4">
        <v>0.275</v>
      </c>
      <c r="C10917" s="5" t="s">
        <v>33</v>
      </c>
      <c r="D10917" s="5" t="s">
        <v>1557</v>
      </c>
      <c r="E10917" s="8" t="s">
        <v>177</v>
      </c>
      <c r="F10917" s="5" t="s">
        <v>178</v>
      </c>
      <c r="G10917" s="6" t="str">
        <f>VLOOKUP(E10917,dicionario!$A$1:$C11316,2,0)</f>
        <v>Elaenia flavogaster</v>
      </c>
      <c r="H10917" s="6" t="str">
        <f>VLOOKUP(E10917,dicionario!$A$1:$C11316,3,0)</f>
        <v>guaracava-de-barriga-amarela</v>
      </c>
    </row>
    <row r="10918">
      <c r="A10918" s="3">
        <v>45826.0</v>
      </c>
      <c r="B10918" s="4">
        <v>0.275</v>
      </c>
      <c r="C10918" s="5" t="s">
        <v>33</v>
      </c>
      <c r="D10918" s="5" t="s">
        <v>1557</v>
      </c>
      <c r="E10918" s="8" t="s">
        <v>109</v>
      </c>
      <c r="F10918" s="5" t="s">
        <v>110</v>
      </c>
      <c r="G10918" s="6" t="str">
        <f>VLOOKUP(E10918,dicionario!$A$1:$C11317,2,0)</f>
        <v>Tillandsia stricta</v>
      </c>
      <c r="H10918" s="6" t="str">
        <f>VLOOKUP(E10918,dicionario!$A$1:$C11317,3,0)</f>
        <v>cravo-do-mato</v>
      </c>
    </row>
    <row r="10919">
      <c r="A10919" s="3">
        <v>45826.0</v>
      </c>
      <c r="B10919" s="4">
        <v>0.275</v>
      </c>
      <c r="C10919" s="5" t="s">
        <v>33</v>
      </c>
      <c r="D10919" s="5" t="s">
        <v>1557</v>
      </c>
      <c r="E10919" s="8" t="s">
        <v>517</v>
      </c>
      <c r="F10919" s="5" t="s">
        <v>1446</v>
      </c>
      <c r="G10919" s="6" t="str">
        <f>VLOOKUP(E10919,dicionario!$A$1:$C11318,2,0)</f>
        <v>Evolvulus nummularius</v>
      </c>
      <c r="H10919" s="6" t="str">
        <f>VLOOKUP(E10919,dicionario!$A$1:$C11318,3,0)</f>
        <v/>
      </c>
    </row>
    <row r="10920">
      <c r="A10920" s="3">
        <v>45826.0</v>
      </c>
      <c r="B10920" s="4">
        <v>0.275</v>
      </c>
      <c r="C10920" s="5" t="s">
        <v>33</v>
      </c>
      <c r="D10920" s="5" t="s">
        <v>1557</v>
      </c>
      <c r="E10920" s="8" t="s">
        <v>719</v>
      </c>
      <c r="F10920" s="5" t="s">
        <v>911</v>
      </c>
      <c r="G10920" s="6" t="str">
        <f>VLOOKUP(E10920,dicionario!$A$1:$C11319,2,0)</f>
        <v>Dirinaria</v>
      </c>
      <c r="H10920" s="6" t="str">
        <f>VLOOKUP(E10920,dicionario!$A$1:$C11319,3,0)</f>
        <v>líquen-crostoso</v>
      </c>
    </row>
    <row r="10921">
      <c r="A10921" s="3">
        <v>45826.0</v>
      </c>
      <c r="B10921" s="4">
        <v>0.275</v>
      </c>
      <c r="C10921" s="5" t="s">
        <v>33</v>
      </c>
      <c r="D10921" s="5" t="s">
        <v>1557</v>
      </c>
      <c r="E10921" s="6" t="s">
        <v>53</v>
      </c>
      <c r="F10921" s="5" t="s">
        <v>54</v>
      </c>
      <c r="G10921" s="6" t="str">
        <f>VLOOKUP(E10921,dicionario!$A$1:$C11320,2,0)</f>
        <v>Turnera subulata</v>
      </c>
      <c r="H10921" s="6" t="str">
        <f>VLOOKUP(E10921,dicionario!$A$1:$C11320,3,0)</f>
        <v>xanana</v>
      </c>
    </row>
    <row r="10922">
      <c r="A10922" s="3">
        <v>45826.0</v>
      </c>
      <c r="B10922" s="4">
        <v>0.275</v>
      </c>
      <c r="C10922" s="5" t="s">
        <v>33</v>
      </c>
      <c r="D10922" s="5" t="s">
        <v>1557</v>
      </c>
      <c r="E10922" s="8" t="s">
        <v>298</v>
      </c>
      <c r="F10922" s="5"/>
      <c r="G10922" s="6" t="str">
        <f>VLOOKUP(E10922,dicionario!$A$1:$C11321,2,0)</f>
        <v>Alysicarpus vaginalis</v>
      </c>
      <c r="H10922" s="6" t="str">
        <f>VLOOKUP(E10922,dicionario!$A$1:$C11321,3,0)</f>
        <v/>
      </c>
    </row>
    <row r="10923">
      <c r="A10923" s="3">
        <v>45826.0</v>
      </c>
      <c r="B10923" s="4">
        <v>0.275</v>
      </c>
      <c r="C10923" s="5" t="s">
        <v>33</v>
      </c>
      <c r="D10923" s="5" t="s">
        <v>1557</v>
      </c>
      <c r="E10923" s="8" t="s">
        <v>20</v>
      </c>
      <c r="F10923" s="5" t="s">
        <v>21</v>
      </c>
      <c r="G10923" s="6" t="str">
        <f>VLOOKUP(E10923,dicionario!$A$1:$C11322,2,0)</f>
        <v>Sicalis flaveola</v>
      </c>
      <c r="H10923" s="6" t="str">
        <f>VLOOKUP(E10923,dicionario!$A$1:$C11322,3,0)</f>
        <v>canário-da-terra</v>
      </c>
    </row>
    <row r="10924">
      <c r="A10924" s="3">
        <v>45826.0</v>
      </c>
      <c r="B10924" s="4">
        <v>0.27569444444444446</v>
      </c>
      <c r="C10924" s="5" t="s">
        <v>33</v>
      </c>
      <c r="D10924" s="5" t="s">
        <v>1557</v>
      </c>
      <c r="E10924" s="8" t="s">
        <v>38</v>
      </c>
      <c r="F10924" s="5" t="s">
        <v>1251</v>
      </c>
      <c r="G10924" s="6" t="str">
        <f>VLOOKUP(E10924,dicionario!$A$1:$C11323,2,0)</f>
        <v>Troglodytes musculus</v>
      </c>
      <c r="H10924" s="6" t="str">
        <f>VLOOKUP(E10924,dicionario!$A$1:$C11323,3,0)</f>
        <v>curruíra</v>
      </c>
    </row>
    <row r="10925">
      <c r="A10925" s="3">
        <v>45826.0</v>
      </c>
      <c r="B10925" s="4">
        <v>0.27569444444444446</v>
      </c>
      <c r="C10925" s="5" t="s">
        <v>33</v>
      </c>
      <c r="D10925" s="5" t="s">
        <v>1557</v>
      </c>
      <c r="E10925" s="8" t="s">
        <v>191</v>
      </c>
      <c r="F10925" s="5" t="s">
        <v>192</v>
      </c>
      <c r="G10925" s="6" t="str">
        <f>VLOOKUP(E10925,dicionario!$A$1:$C11324,2,0)</f>
        <v>Patagioenas picazuro</v>
      </c>
      <c r="H10925" s="6" t="str">
        <f>VLOOKUP(E10925,dicionario!$A$1:$C11324,3,0)</f>
        <v>asa-branca; pomba-asa-branca; pocaçu</v>
      </c>
    </row>
    <row r="10926">
      <c r="A10926" s="3">
        <v>45826.0</v>
      </c>
      <c r="B10926" s="4">
        <v>0.2763888888888889</v>
      </c>
      <c r="C10926" s="5" t="s">
        <v>33</v>
      </c>
      <c r="D10926" s="5" t="s">
        <v>1557</v>
      </c>
      <c r="E10926" s="8" t="s">
        <v>223</v>
      </c>
      <c r="F10926" s="5"/>
      <c r="G10926" s="6" t="str">
        <f>VLOOKUP(E10926,dicionario!$A$1:$C11325,2,0)</f>
        <v>Rhipsalis lindbergiana</v>
      </c>
      <c r="H10926" s="6" t="str">
        <f>VLOOKUP(E10926,dicionario!$A$1:$C11325,3,0)</f>
        <v>cacto-macarrão</v>
      </c>
    </row>
    <row r="10927">
      <c r="A10927" s="3">
        <v>45826.0</v>
      </c>
      <c r="B10927" s="4">
        <v>0.27708333333333335</v>
      </c>
      <c r="C10927" s="5" t="s">
        <v>33</v>
      </c>
      <c r="D10927" s="5" t="s">
        <v>1557</v>
      </c>
      <c r="E10927" s="8" t="s">
        <v>51</v>
      </c>
      <c r="F10927" s="5" t="s">
        <v>52</v>
      </c>
      <c r="G10927" s="6" t="str">
        <f>VLOOKUP(E10927,dicionario!$A$1:$C11326,2,0)</f>
        <v>Solenopsis</v>
      </c>
      <c r="H10927" s="6" t="str">
        <f>VLOOKUP(E10927,dicionario!$A$1:$C11326,3,0)</f>
        <v>formiga-quente; formiga-lava-pés; formiga-de-fogo</v>
      </c>
    </row>
    <row r="10928">
      <c r="A10928" s="3">
        <v>45826.0</v>
      </c>
      <c r="B10928" s="4">
        <v>0.27708333333333335</v>
      </c>
      <c r="C10928" s="5" t="s">
        <v>33</v>
      </c>
      <c r="D10928" s="5" t="s">
        <v>1557</v>
      </c>
      <c r="E10928" s="29" t="s">
        <v>566</v>
      </c>
      <c r="F10928" s="5" t="s">
        <v>567</v>
      </c>
      <c r="G10928" s="6" t="str">
        <f>VLOOKUP(E10928,dicionario!$A$1:$C11327,2,0)</f>
        <v>Baccharis dracunculifolia</v>
      </c>
      <c r="H10928" s="6" t="str">
        <f>VLOOKUP(E10928,dicionario!$A$1:$C11327,3,0)</f>
        <v>vassoura</v>
      </c>
    </row>
    <row r="10929">
      <c r="A10929" s="3">
        <v>45826.0</v>
      </c>
      <c r="B10929" s="4">
        <v>0.27847222222222223</v>
      </c>
      <c r="C10929" s="5" t="s">
        <v>33</v>
      </c>
      <c r="D10929" s="5" t="s">
        <v>1557</v>
      </c>
      <c r="E10929" s="8" t="s">
        <v>154</v>
      </c>
      <c r="F10929" s="5" t="s">
        <v>155</v>
      </c>
      <c r="G10929" s="6" t="str">
        <f>VLOOKUP(E10929,dicionario!$A$1:$C11328,2,0)</f>
        <v>Cyperus rotundus</v>
      </c>
      <c r="H10929" s="6" t="str">
        <f>VLOOKUP(E10929,dicionario!$A$1:$C11328,3,0)</f>
        <v>tiririca</v>
      </c>
    </row>
    <row r="10930">
      <c r="A10930" s="3">
        <v>45826.0</v>
      </c>
      <c r="B10930" s="4">
        <v>0.27847222222222223</v>
      </c>
      <c r="C10930" s="5" t="s">
        <v>33</v>
      </c>
      <c r="D10930" s="5" t="s">
        <v>1557</v>
      </c>
      <c r="E10930" s="6" t="s">
        <v>469</v>
      </c>
      <c r="F10930" s="5" t="s">
        <v>884</v>
      </c>
      <c r="G10930" s="6" t="str">
        <f>VLOOKUP(E10930,dicionario!$A$1:$C11329,2,0)</f>
        <v>#N/A</v>
      </c>
      <c r="H10930" s="6" t="str">
        <f>VLOOKUP(E10930,dicionario!$A$1:$C11329,3,0)</f>
        <v>#N/A</v>
      </c>
    </row>
    <row r="10931">
      <c r="A10931" s="3">
        <v>45826.0</v>
      </c>
      <c r="B10931" s="4">
        <v>0.27847222222222223</v>
      </c>
      <c r="C10931" s="5" t="s">
        <v>33</v>
      </c>
      <c r="D10931" s="5" t="s">
        <v>1557</v>
      </c>
      <c r="E10931" s="6" t="s">
        <v>86</v>
      </c>
      <c r="F10931" s="5" t="s">
        <v>502</v>
      </c>
      <c r="G10931" s="6" t="str">
        <f>VLOOKUP(E10931,dicionario!$A$1:$C11330,2,0)</f>
        <v>Coereba flaveola</v>
      </c>
      <c r="H10931" s="6" t="str">
        <f>VLOOKUP(E10931,dicionario!$A$1:$C11330,3,0)</f>
        <v>cambacica</v>
      </c>
    </row>
    <row r="10932">
      <c r="A10932" s="3">
        <v>45826.0</v>
      </c>
      <c r="B10932" s="4">
        <v>0.27847222222222223</v>
      </c>
      <c r="C10932" s="5" t="s">
        <v>33</v>
      </c>
      <c r="D10932" s="5" t="s">
        <v>1557</v>
      </c>
      <c r="E10932" s="6" t="s">
        <v>467</v>
      </c>
      <c r="F10932" s="5" t="s">
        <v>468</v>
      </c>
      <c r="G10932" s="6" t="str">
        <f>VLOOKUP(E10932,dicionario!$A$1:$C11331,2,0)</f>
        <v>Eleusine indica</v>
      </c>
      <c r="H10932" s="6" t="str">
        <f>VLOOKUP(E10932,dicionario!$A$1:$C11331,3,0)</f>
        <v>capim-pé-de-galinha</v>
      </c>
    </row>
    <row r="10933">
      <c r="A10933" s="3">
        <v>45826.0</v>
      </c>
      <c r="B10933" s="4">
        <v>0.2791666666666667</v>
      </c>
      <c r="C10933" s="5" t="s">
        <v>33</v>
      </c>
      <c r="D10933" s="5" t="s">
        <v>1557</v>
      </c>
      <c r="E10933" s="8" t="s">
        <v>1383</v>
      </c>
      <c r="F10933" s="5" t="s">
        <v>561</v>
      </c>
      <c r="G10933" s="6" t="str">
        <f>VLOOKUP(E10933,dicionario!$A$1:$C11332,2,0)</f>
        <v>#N/A</v>
      </c>
      <c r="H10933" s="6" t="str">
        <f>VLOOKUP(E10933,dicionario!$A$1:$C11332,3,0)</f>
        <v>#N/A</v>
      </c>
    </row>
    <row r="10934">
      <c r="A10934" s="3">
        <v>45826.0</v>
      </c>
      <c r="B10934" s="4">
        <v>0.2791666666666667</v>
      </c>
      <c r="C10934" s="5" t="s">
        <v>40</v>
      </c>
      <c r="D10934" s="5" t="s">
        <v>1557</v>
      </c>
      <c r="E10934" s="8" t="s">
        <v>154</v>
      </c>
      <c r="F10934" s="5" t="s">
        <v>155</v>
      </c>
      <c r="G10934" s="6" t="str">
        <f>VLOOKUP(E10934,dicionario!$A$1:$C11333,2,0)</f>
        <v>Cyperus rotundus</v>
      </c>
      <c r="H10934" s="6" t="str">
        <f>VLOOKUP(E10934,dicionario!$A$1:$C11333,3,0)</f>
        <v>tiririca</v>
      </c>
    </row>
    <row r="10935">
      <c r="A10935" s="3">
        <v>45826.0</v>
      </c>
      <c r="B10935" s="4">
        <v>0.2798611111111111</v>
      </c>
      <c r="C10935" s="5" t="s">
        <v>40</v>
      </c>
      <c r="D10935" s="5" t="s">
        <v>1557</v>
      </c>
      <c r="E10935" s="8" t="s">
        <v>1367</v>
      </c>
      <c r="F10935" s="5" t="s">
        <v>387</v>
      </c>
      <c r="G10935" s="6" t="str">
        <f>VLOOKUP(E10935,dicionario!$A$1:$C11334,2,0)</f>
        <v>#N/A</v>
      </c>
      <c r="H10935" s="6" t="str">
        <f>VLOOKUP(E10935,dicionario!$A$1:$C11334,3,0)</f>
        <v>#N/A</v>
      </c>
    </row>
    <row r="10936">
      <c r="A10936" s="3">
        <v>45826.0</v>
      </c>
      <c r="B10936" s="4">
        <v>0.2798611111111111</v>
      </c>
      <c r="C10936" s="5" t="s">
        <v>40</v>
      </c>
      <c r="D10936" s="5" t="s">
        <v>1557</v>
      </c>
      <c r="E10936" s="8" t="s">
        <v>146</v>
      </c>
      <c r="F10936" s="5" t="s">
        <v>147</v>
      </c>
      <c r="G10936" s="6" t="str">
        <f>VLOOKUP(E10936,dicionario!$A$1:$C11335,2,0)</f>
        <v>Euphorbia hirta</v>
      </c>
      <c r="H10936" s="6" t="str">
        <f>VLOOKUP(E10936,dicionario!$A$1:$C11335,3,0)</f>
        <v>erva-de-santa-luzia</v>
      </c>
    </row>
    <row r="10937">
      <c r="A10937" s="3">
        <v>45826.0</v>
      </c>
      <c r="B10937" s="4">
        <v>0.28055555555555556</v>
      </c>
      <c r="C10937" s="5" t="s">
        <v>40</v>
      </c>
      <c r="D10937" s="5" t="s">
        <v>1557</v>
      </c>
      <c r="E10937" s="8" t="s">
        <v>298</v>
      </c>
      <c r="F10937" s="5"/>
      <c r="G10937" s="6" t="str">
        <f>VLOOKUP(E10937,dicionario!$A$1:$C11336,2,0)</f>
        <v>Alysicarpus vaginalis</v>
      </c>
      <c r="H10937" s="6" t="str">
        <f>VLOOKUP(E10937,dicionario!$A$1:$C11336,3,0)</f>
        <v/>
      </c>
    </row>
    <row r="10938">
      <c r="A10938" s="3">
        <v>45826.0</v>
      </c>
      <c r="B10938" s="4">
        <v>0.28055555555555556</v>
      </c>
      <c r="C10938" s="5" t="s">
        <v>40</v>
      </c>
      <c r="D10938" s="5" t="s">
        <v>1557</v>
      </c>
      <c r="E10938" s="8" t="s">
        <v>20</v>
      </c>
      <c r="F10938" s="5" t="s">
        <v>21</v>
      </c>
      <c r="G10938" s="6" t="str">
        <f>VLOOKUP(E10938,dicionario!$A$1:$C11337,2,0)</f>
        <v>Sicalis flaveola</v>
      </c>
      <c r="H10938" s="6" t="str">
        <f>VLOOKUP(E10938,dicionario!$A$1:$C11337,3,0)</f>
        <v>canário-da-terra</v>
      </c>
    </row>
    <row r="10939">
      <c r="A10939" s="3">
        <v>45826.0</v>
      </c>
      <c r="B10939" s="4">
        <v>0.28055555555555556</v>
      </c>
      <c r="C10939" s="5" t="s">
        <v>40</v>
      </c>
      <c r="D10939" s="5" t="s">
        <v>1557</v>
      </c>
      <c r="E10939" s="8" t="s">
        <v>1328</v>
      </c>
      <c r="F10939" s="5" t="s">
        <v>1548</v>
      </c>
      <c r="G10939" s="6" t="str">
        <f>VLOOKUP(E10939,dicionario!$A$1:$C11338,2,0)</f>
        <v>#N/A</v>
      </c>
      <c r="H10939" s="6" t="str">
        <f>VLOOKUP(E10939,dicionario!$A$1:$C11338,3,0)</f>
        <v>#N/A</v>
      </c>
    </row>
    <row r="10940">
      <c r="A10940" s="3">
        <v>45826.0</v>
      </c>
      <c r="B10940" s="4">
        <v>0.28055555555555556</v>
      </c>
      <c r="C10940" s="5" t="s">
        <v>40</v>
      </c>
      <c r="D10940" s="5" t="s">
        <v>1557</v>
      </c>
      <c r="E10940" s="8" t="s">
        <v>154</v>
      </c>
      <c r="F10940" s="5" t="s">
        <v>155</v>
      </c>
      <c r="G10940" s="6" t="str">
        <f>VLOOKUP(E10940,dicionario!$A$1:$C11339,2,0)</f>
        <v>Cyperus rotundus</v>
      </c>
      <c r="H10940" s="6" t="str">
        <f>VLOOKUP(E10940,dicionario!$A$1:$C11339,3,0)</f>
        <v>tiririca</v>
      </c>
    </row>
    <row r="10941">
      <c r="A10941" s="3">
        <v>45826.0</v>
      </c>
      <c r="B10941" s="4">
        <v>0.28055555555555556</v>
      </c>
      <c r="C10941" s="5" t="s">
        <v>40</v>
      </c>
      <c r="D10941" s="5" t="s">
        <v>1557</v>
      </c>
      <c r="E10941" s="8" t="s">
        <v>258</v>
      </c>
      <c r="F10941" s="5" t="s">
        <v>259</v>
      </c>
      <c r="G10941" s="6" t="str">
        <f>VLOOKUP(E10941,dicionario!$A$1:$C11340,2,0)</f>
        <v>Lantana camara</v>
      </c>
      <c r="H10941" s="6" t="str">
        <f>VLOOKUP(E10941,dicionario!$A$1:$C11340,3,0)</f>
        <v>lantana</v>
      </c>
    </row>
    <row r="10942">
      <c r="A10942" s="3">
        <v>45826.0</v>
      </c>
      <c r="B10942" s="4">
        <v>0.28125</v>
      </c>
      <c r="C10942" s="5" t="s">
        <v>40</v>
      </c>
      <c r="D10942" s="5" t="s">
        <v>1557</v>
      </c>
      <c r="E10942" s="8" t="s">
        <v>65</v>
      </c>
      <c r="F10942" s="5" t="s">
        <v>66</v>
      </c>
      <c r="G10942" s="6" t="str">
        <f>VLOOKUP(E10942,dicionario!$A$1:$C11341,2,0)</f>
        <v>Pitangus sulphutarus</v>
      </c>
      <c r="H10942" s="6" t="str">
        <f>VLOOKUP(E10942,dicionario!$A$1:$C11341,3,0)</f>
        <v>bem-te-vi</v>
      </c>
    </row>
    <row r="10943">
      <c r="A10943" s="3">
        <v>45826.0</v>
      </c>
      <c r="B10943" s="4">
        <v>0.28125</v>
      </c>
      <c r="C10943" s="5" t="s">
        <v>40</v>
      </c>
      <c r="D10943" s="5" t="s">
        <v>1557</v>
      </c>
      <c r="E10943" s="8" t="s">
        <v>453</v>
      </c>
      <c r="F10943" s="5" t="s">
        <v>216</v>
      </c>
      <c r="G10943" s="6" t="str">
        <f>VLOOKUP(E10943,dicionario!$A$1:$C11342,2,0)</f>
        <v>Notiochelidon cyanoleuca</v>
      </c>
      <c r="H10943" s="6" t="str">
        <f>VLOOKUP(E10943,dicionario!$A$1:$C11342,3,0)</f>
        <v>andorinha-pequena-de-casa</v>
      </c>
    </row>
    <row r="10944">
      <c r="A10944" s="3">
        <v>45826.0</v>
      </c>
      <c r="B10944" s="4">
        <v>0.28194444444444444</v>
      </c>
      <c r="C10944" s="5" t="s">
        <v>40</v>
      </c>
      <c r="D10944" s="5" t="s">
        <v>1557</v>
      </c>
      <c r="E10944" s="8" t="s">
        <v>163</v>
      </c>
      <c r="F10944" s="5" t="s">
        <v>164</v>
      </c>
      <c r="G10944" s="6" t="str">
        <f>VLOOKUP(E10944,dicionario!$A$1:$C11343,2,0)</f>
        <v>Coragyps atratus</v>
      </c>
      <c r="H10944" s="6" t="str">
        <f>VLOOKUP(E10944,dicionario!$A$1:$C11343,3,0)</f>
        <v>urubu-de-cabeça-preta</v>
      </c>
    </row>
    <row r="10945">
      <c r="A10945" s="3">
        <v>45826.0</v>
      </c>
      <c r="B10945" s="4">
        <v>0.28194444444444444</v>
      </c>
      <c r="C10945" s="5" t="s">
        <v>40</v>
      </c>
      <c r="D10945" s="5" t="s">
        <v>1557</v>
      </c>
      <c r="E10945" s="8" t="s">
        <v>38</v>
      </c>
      <c r="F10945" s="5" t="s">
        <v>1251</v>
      </c>
      <c r="G10945" s="6" t="str">
        <f>VLOOKUP(E10945,dicionario!$A$1:$C11344,2,0)</f>
        <v>Troglodytes musculus</v>
      </c>
      <c r="H10945" s="6" t="str">
        <f>VLOOKUP(E10945,dicionario!$A$1:$C11344,3,0)</f>
        <v>curruíra</v>
      </c>
    </row>
    <row r="10946">
      <c r="A10946" s="3">
        <v>45826.0</v>
      </c>
      <c r="B10946" s="4">
        <v>0.28194444444444444</v>
      </c>
      <c r="C10946" s="5" t="s">
        <v>40</v>
      </c>
      <c r="D10946" s="5" t="s">
        <v>1557</v>
      </c>
      <c r="E10946" s="6" t="s">
        <v>53</v>
      </c>
      <c r="F10946" s="5" t="s">
        <v>54</v>
      </c>
      <c r="G10946" s="6" t="str">
        <f>VLOOKUP(E10946,dicionario!$A$1:$C11345,2,0)</f>
        <v>Turnera subulata</v>
      </c>
      <c r="H10946" s="6" t="str">
        <f>VLOOKUP(E10946,dicionario!$A$1:$C11345,3,0)</f>
        <v>xanana</v>
      </c>
    </row>
    <row r="10947">
      <c r="A10947" s="3">
        <v>45826.0</v>
      </c>
      <c r="B10947" s="4">
        <v>0.2826388888888889</v>
      </c>
      <c r="C10947" s="5" t="s">
        <v>40</v>
      </c>
      <c r="D10947" s="5" t="s">
        <v>1557</v>
      </c>
      <c r="E10947" s="8" t="s">
        <v>227</v>
      </c>
      <c r="F10947" s="5" t="s">
        <v>228</v>
      </c>
      <c r="G10947" s="6" t="str">
        <f>VLOOKUP(E10947,dicionario!$A$1:$C11346,2,0)</f>
        <v>Indigofera hirsuta</v>
      </c>
      <c r="H10947" s="6" t="str">
        <f>VLOOKUP(E10947,dicionario!$A$1:$C11346,3,0)</f>
        <v>anileira</v>
      </c>
    </row>
    <row r="10948">
      <c r="A10948" s="3">
        <v>45826.0</v>
      </c>
      <c r="B10948" s="4">
        <v>0.2826388888888889</v>
      </c>
      <c r="C10948" s="5" t="s">
        <v>40</v>
      </c>
      <c r="D10948" s="5" t="s">
        <v>1557</v>
      </c>
      <c r="E10948" s="18" t="s">
        <v>611</v>
      </c>
      <c r="F10948" s="5" t="s">
        <v>612</v>
      </c>
      <c r="G10948" s="6" t="str">
        <f>VLOOKUP(E10948,dicionario!$A$1:$C11347,2,0)</f>
        <v>Boehmeria cylindrica</v>
      </c>
      <c r="H10948" s="6" t="str">
        <f>VLOOKUP(E10948,dicionario!$A$1:$C11347,3,0)</f>
        <v>falsa-urtiga</v>
      </c>
    </row>
    <row r="10949">
      <c r="A10949" s="3">
        <v>45826.0</v>
      </c>
      <c r="B10949" s="4">
        <v>0.2826388888888889</v>
      </c>
      <c r="C10949" s="5" t="s">
        <v>40</v>
      </c>
      <c r="D10949" s="5" t="s">
        <v>1557</v>
      </c>
      <c r="E10949" s="6" t="s">
        <v>148</v>
      </c>
      <c r="F10949" s="5" t="s">
        <v>149</v>
      </c>
      <c r="G10949" s="6" t="str">
        <f>VLOOKUP(E10949,dicionario!$A$1:$C11348,2,0)</f>
        <v>Parthenium hysterophorus</v>
      </c>
      <c r="H10949" s="6" t="str">
        <f>VLOOKUP(E10949,dicionario!$A$1:$C11348,3,0)</f>
        <v>losna-branca</v>
      </c>
    </row>
    <row r="10950">
      <c r="A10950" s="3">
        <v>45826.0</v>
      </c>
      <c r="B10950" s="4">
        <v>0.2826388888888889</v>
      </c>
      <c r="C10950" s="5" t="s">
        <v>40</v>
      </c>
      <c r="D10950" s="5" t="s">
        <v>1557</v>
      </c>
      <c r="E10950" s="6" t="s">
        <v>225</v>
      </c>
      <c r="F10950" s="5" t="s">
        <v>226</v>
      </c>
      <c r="G10950" s="6" t="str">
        <f>VLOOKUP(E10950,dicionario!$A$1:$C11349,2,0)</f>
        <v>Passer domesticus</v>
      </c>
      <c r="H10950" s="6" t="str">
        <f>VLOOKUP(E10950,dicionario!$A$1:$C11349,3,0)</f>
        <v>pardal</v>
      </c>
    </row>
    <row r="10951">
      <c r="A10951" s="3">
        <v>45826.0</v>
      </c>
      <c r="B10951" s="4">
        <v>0.2826388888888889</v>
      </c>
      <c r="C10951" s="5" t="s">
        <v>40</v>
      </c>
      <c r="D10951" s="5" t="s">
        <v>1557</v>
      </c>
      <c r="E10951" s="6" t="s">
        <v>113</v>
      </c>
      <c r="F10951" s="5" t="s">
        <v>114</v>
      </c>
      <c r="G10951" s="6" t="str">
        <f>VLOOKUP(E10951,dicionario!$A$1:$C11350,2,0)</f>
        <v>Columbina talpacoti</v>
      </c>
      <c r="H10951" s="6" t="str">
        <f>VLOOKUP(E10951,dicionario!$A$1:$C11350,3,0)</f>
        <v>rolinha-roxa</v>
      </c>
    </row>
    <row r="10952">
      <c r="A10952" s="3">
        <v>45826.0</v>
      </c>
      <c r="B10952" s="4">
        <v>0.2826388888888889</v>
      </c>
      <c r="C10952" s="5" t="s">
        <v>40</v>
      </c>
      <c r="D10952" s="5" t="s">
        <v>1557</v>
      </c>
      <c r="E10952" s="8" t="s">
        <v>177</v>
      </c>
      <c r="F10952" s="5" t="s">
        <v>178</v>
      </c>
      <c r="G10952" s="6" t="str">
        <f>VLOOKUP(E10952,dicionario!$A$1:$C11351,2,0)</f>
        <v>Elaenia flavogaster</v>
      </c>
      <c r="H10952" s="6" t="str">
        <f>VLOOKUP(E10952,dicionario!$A$1:$C11351,3,0)</f>
        <v>guaracava-de-barriga-amarela</v>
      </c>
    </row>
    <row r="10953">
      <c r="A10953" s="3">
        <v>45826.0</v>
      </c>
      <c r="B10953" s="4">
        <v>0.2826388888888889</v>
      </c>
      <c r="C10953" s="5" t="s">
        <v>40</v>
      </c>
      <c r="D10953" s="5" t="s">
        <v>1557</v>
      </c>
      <c r="E10953" s="8" t="s">
        <v>271</v>
      </c>
      <c r="F10953" s="5" t="s">
        <v>1169</v>
      </c>
      <c r="G10953" s="6" t="str">
        <f>VLOOKUP(E10953,dicionario!$A$1:$C11352,2,0)</f>
        <v>Cyanthillium cinereum</v>
      </c>
      <c r="H10953" s="6" t="str">
        <f>VLOOKUP(E10953,dicionario!$A$1:$C11352,3,0)</f>
        <v>emília</v>
      </c>
    </row>
    <row r="10954">
      <c r="A10954" s="3">
        <v>45826.0</v>
      </c>
      <c r="B10954" s="4">
        <v>0.2833333333333333</v>
      </c>
      <c r="C10954" s="5" t="s">
        <v>40</v>
      </c>
      <c r="D10954" s="5" t="s">
        <v>1557</v>
      </c>
      <c r="E10954" s="8" t="s">
        <v>517</v>
      </c>
      <c r="F10954" s="5" t="s">
        <v>1446</v>
      </c>
      <c r="G10954" s="6" t="str">
        <f>VLOOKUP(E10954,dicionario!$A$1:$C11353,2,0)</f>
        <v>Evolvulus nummularius</v>
      </c>
      <c r="H10954" s="6" t="str">
        <f>VLOOKUP(E10954,dicionario!$A$1:$C11353,3,0)</f>
        <v/>
      </c>
    </row>
    <row r="10955">
      <c r="A10955" s="3">
        <v>45826.0</v>
      </c>
      <c r="B10955" s="4">
        <v>0.2833333333333333</v>
      </c>
      <c r="C10955" s="5" t="s">
        <v>40</v>
      </c>
      <c r="D10955" s="5" t="s">
        <v>1557</v>
      </c>
      <c r="E10955" s="8" t="s">
        <v>1559</v>
      </c>
      <c r="F10955" s="5"/>
      <c r="G10955" s="6" t="str">
        <f>VLOOKUP(E10955,dicionario!$A$1:$C11354,2,0)</f>
        <v>#N/A</v>
      </c>
      <c r="H10955" s="6" t="str">
        <f>VLOOKUP(E10955,dicionario!$A$1:$C11354,3,0)</f>
        <v>#N/A</v>
      </c>
    </row>
    <row r="10956">
      <c r="A10956" s="3">
        <v>45826.0</v>
      </c>
      <c r="B10956" s="4">
        <v>0.28402777777777777</v>
      </c>
      <c r="C10956" s="5" t="s">
        <v>40</v>
      </c>
      <c r="D10956" s="5" t="s">
        <v>1557</v>
      </c>
      <c r="E10956" s="8" t="s">
        <v>1406</v>
      </c>
      <c r="F10956" s="5" t="s">
        <v>172</v>
      </c>
      <c r="G10956" s="6" t="str">
        <f>VLOOKUP(E10956,dicionario!$A$1:$C11355,2,0)</f>
        <v>#N/A</v>
      </c>
      <c r="H10956" s="6" t="str">
        <f>VLOOKUP(E10956,dicionario!$A$1:$C11355,3,0)</f>
        <v>#N/A</v>
      </c>
    </row>
    <row r="10957">
      <c r="A10957" s="3">
        <v>45826.0</v>
      </c>
      <c r="B10957" s="4">
        <v>0.28402777777777777</v>
      </c>
      <c r="C10957" s="5" t="s">
        <v>50</v>
      </c>
      <c r="D10957" s="5" t="s">
        <v>1557</v>
      </c>
      <c r="E10957" s="8" t="s">
        <v>1316</v>
      </c>
      <c r="F10957" s="5" t="s">
        <v>15</v>
      </c>
      <c r="G10957" s="6" t="str">
        <f>VLOOKUP(E10957,dicionario!$A$1:$C11356,2,0)</f>
        <v>#N/A</v>
      </c>
      <c r="H10957" s="6" t="str">
        <f>VLOOKUP(E10957,dicionario!$A$1:$C11356,3,0)</f>
        <v>#N/A</v>
      </c>
    </row>
    <row r="10958">
      <c r="A10958" s="3">
        <v>45826.0</v>
      </c>
      <c r="B10958" s="4">
        <v>0.28541666666666665</v>
      </c>
      <c r="C10958" s="5" t="s">
        <v>50</v>
      </c>
      <c r="D10958" s="5" t="s">
        <v>1557</v>
      </c>
      <c r="E10958" s="6" t="s">
        <v>148</v>
      </c>
      <c r="F10958" s="5" t="s">
        <v>1560</v>
      </c>
      <c r="G10958" s="6" t="str">
        <f>VLOOKUP(E10958,dicionario!$A$1:$C11357,2,0)</f>
        <v>Parthenium hysterophorus</v>
      </c>
      <c r="H10958" s="6" t="str">
        <f>VLOOKUP(E10958,dicionario!$A$1:$C11357,3,0)</f>
        <v>losna-branca</v>
      </c>
    </row>
    <row r="10959">
      <c r="A10959" s="3">
        <v>45826.0</v>
      </c>
      <c r="B10959" s="4">
        <v>0.28541666666666665</v>
      </c>
      <c r="C10959" s="5" t="s">
        <v>50</v>
      </c>
      <c r="D10959" s="5" t="s">
        <v>1557</v>
      </c>
      <c r="E10959" s="8" t="s">
        <v>175</v>
      </c>
      <c r="F10959" s="5" t="s">
        <v>176</v>
      </c>
      <c r="G10959" s="6" t="str">
        <f>VLOOKUP(E10959,dicionario!$A$1:$C11358,2,0)</f>
        <v>Turdus leucomelas</v>
      </c>
      <c r="H10959" s="6" t="str">
        <f>VLOOKUP(E10959,dicionario!$A$1:$C11358,3,0)</f>
        <v>sabiá-barranco</v>
      </c>
    </row>
    <row r="10960">
      <c r="A10960" s="3">
        <v>45826.0</v>
      </c>
      <c r="B10960" s="4">
        <v>0.28541666666666665</v>
      </c>
      <c r="C10960" s="5" t="s">
        <v>50</v>
      </c>
      <c r="D10960" s="5" t="s">
        <v>1557</v>
      </c>
      <c r="E10960" s="8" t="s">
        <v>338</v>
      </c>
      <c r="F10960" s="5" t="s">
        <v>238</v>
      </c>
      <c r="G10960" s="6" t="str">
        <f>VLOOKUP(E10960,dicionario!$A$1:$C11359,2,0)</f>
        <v>Atta</v>
      </c>
      <c r="H10960" s="6" t="str">
        <f>VLOOKUP(E10960,dicionario!$A$1:$C11359,3,0)</f>
        <v>saúva</v>
      </c>
    </row>
    <row r="10961">
      <c r="A10961" s="3">
        <v>45826.0</v>
      </c>
      <c r="B10961" s="4">
        <v>0.28541666666666665</v>
      </c>
      <c r="C10961" s="5" t="s">
        <v>50</v>
      </c>
      <c r="D10961" s="5" t="s">
        <v>1557</v>
      </c>
      <c r="E10961" s="8" t="s">
        <v>1192</v>
      </c>
      <c r="F10961" s="5" t="s">
        <v>92</v>
      </c>
      <c r="G10961" s="6" t="str">
        <f>VLOOKUP(E10961,dicionario!$A$1:$C11360,2,0)</f>
        <v>#N/A</v>
      </c>
      <c r="H10961" s="6" t="str">
        <f>VLOOKUP(E10961,dicionario!$A$1:$C11360,3,0)</f>
        <v>#N/A</v>
      </c>
    </row>
    <row r="10962">
      <c r="A10962" s="3">
        <v>45826.0</v>
      </c>
      <c r="B10962" s="4">
        <v>0.2902777777777778</v>
      </c>
      <c r="C10962" s="5" t="s">
        <v>50</v>
      </c>
      <c r="D10962" s="5" t="s">
        <v>1557</v>
      </c>
      <c r="E10962" s="8" t="s">
        <v>20</v>
      </c>
      <c r="F10962" s="5" t="s">
        <v>21</v>
      </c>
      <c r="G10962" s="6" t="str">
        <f>VLOOKUP(E10962,dicionario!$A$1:$C11361,2,0)</f>
        <v>Sicalis flaveola</v>
      </c>
      <c r="H10962" s="6" t="str">
        <f>VLOOKUP(E10962,dicionario!$A$1:$C11361,3,0)</f>
        <v>canário-da-terra</v>
      </c>
    </row>
    <row r="10963">
      <c r="A10963" s="3">
        <v>45826.0</v>
      </c>
      <c r="B10963" s="4">
        <v>0.2902777777777778</v>
      </c>
      <c r="C10963" s="5" t="s">
        <v>50</v>
      </c>
      <c r="D10963" s="5" t="s">
        <v>1557</v>
      </c>
      <c r="E10963" s="8" t="s">
        <v>425</v>
      </c>
      <c r="F10963" s="5" t="s">
        <v>426</v>
      </c>
      <c r="G10963" s="6" t="str">
        <f>VLOOKUP(E10963,dicionario!$A$1:$C11362,2,0)</f>
        <v>Digitaria insularis</v>
      </c>
      <c r="H10963" s="6" t="str">
        <f>VLOOKUP(E10963,dicionario!$A$1:$C11362,3,0)</f>
        <v>capim-amargoso</v>
      </c>
    </row>
    <row r="10964">
      <c r="A10964" s="3">
        <v>45826.0</v>
      </c>
      <c r="B10964" s="4">
        <v>0.2902777777777778</v>
      </c>
      <c r="C10964" s="5" t="s">
        <v>50</v>
      </c>
      <c r="D10964" s="5" t="s">
        <v>1557</v>
      </c>
      <c r="E10964" s="8" t="s">
        <v>109</v>
      </c>
      <c r="F10964" s="5" t="s">
        <v>110</v>
      </c>
      <c r="G10964" s="6" t="str">
        <f>VLOOKUP(E10964,dicionario!$A$1:$C11363,2,0)</f>
        <v>Tillandsia stricta</v>
      </c>
      <c r="H10964" s="6" t="str">
        <f>VLOOKUP(E10964,dicionario!$A$1:$C11363,3,0)</f>
        <v>cravo-do-mato</v>
      </c>
    </row>
    <row r="10965">
      <c r="A10965" s="3">
        <v>45826.0</v>
      </c>
      <c r="B10965" s="4">
        <v>0.2902777777777778</v>
      </c>
      <c r="C10965" s="5" t="s">
        <v>50</v>
      </c>
      <c r="D10965" s="5" t="s">
        <v>1557</v>
      </c>
      <c r="E10965" s="8" t="s">
        <v>223</v>
      </c>
      <c r="F10965" s="5"/>
      <c r="G10965" s="6" t="str">
        <f>VLOOKUP(E10965,dicionario!$A$1:$C11364,2,0)</f>
        <v>Rhipsalis lindbergiana</v>
      </c>
      <c r="H10965" s="6" t="str">
        <f>VLOOKUP(E10965,dicionario!$A$1:$C11364,3,0)</f>
        <v>cacto-macarrão</v>
      </c>
    </row>
    <row r="10966">
      <c r="A10966" s="3">
        <v>45826.0</v>
      </c>
      <c r="B10966" s="4">
        <v>0.2902777777777778</v>
      </c>
      <c r="C10966" s="5" t="s">
        <v>50</v>
      </c>
      <c r="D10966" s="5" t="s">
        <v>1557</v>
      </c>
      <c r="E10966" s="6" t="s">
        <v>225</v>
      </c>
      <c r="F10966" s="5" t="s">
        <v>226</v>
      </c>
      <c r="G10966" s="6" t="str">
        <f>VLOOKUP(E10966,dicionario!$A$1:$C11365,2,0)</f>
        <v>Passer domesticus</v>
      </c>
      <c r="H10966" s="6" t="str">
        <f>VLOOKUP(E10966,dicionario!$A$1:$C11365,3,0)</f>
        <v>pardal</v>
      </c>
    </row>
    <row r="10967">
      <c r="A10967" s="3">
        <v>45826.0</v>
      </c>
      <c r="B10967" s="4">
        <v>0.2916666666666667</v>
      </c>
      <c r="C10967" s="5" t="s">
        <v>50</v>
      </c>
      <c r="D10967" s="5" t="s">
        <v>1557</v>
      </c>
      <c r="E10967" s="8" t="s">
        <v>72</v>
      </c>
      <c r="F10967" s="5" t="s">
        <v>73</v>
      </c>
      <c r="G10967" s="6" t="str">
        <f>VLOOKUP(E10967,dicionario!$A$1:$C11366,2,0)</f>
        <v>Thraupis palmarum</v>
      </c>
      <c r="H10967" s="6" t="str">
        <f>VLOOKUP(E10967,dicionario!$A$1:$C11366,3,0)</f>
        <v>sanhaço-do-coqueiro</v>
      </c>
    </row>
    <row r="10968">
      <c r="A10968" s="3">
        <v>45826.0</v>
      </c>
      <c r="B10968" s="4">
        <v>0.2923611111111111</v>
      </c>
      <c r="C10968" s="5" t="s">
        <v>50</v>
      </c>
      <c r="D10968" s="5" t="s">
        <v>1557</v>
      </c>
      <c r="E10968" s="8" t="s">
        <v>65</v>
      </c>
      <c r="F10968" s="5" t="s">
        <v>66</v>
      </c>
      <c r="G10968" s="6" t="str">
        <f>VLOOKUP(E10968,dicionario!$A$1:$C11367,2,0)</f>
        <v>Pitangus sulphutarus</v>
      </c>
      <c r="H10968" s="6" t="str">
        <f>VLOOKUP(E10968,dicionario!$A$1:$C11367,3,0)</f>
        <v>bem-te-vi</v>
      </c>
    </row>
    <row r="10969">
      <c r="A10969" s="3">
        <v>45826.0</v>
      </c>
      <c r="B10969" s="4">
        <v>0.2923611111111111</v>
      </c>
      <c r="C10969" s="5" t="s">
        <v>50</v>
      </c>
      <c r="D10969" s="5" t="s">
        <v>1557</v>
      </c>
      <c r="E10969" s="8" t="s">
        <v>191</v>
      </c>
      <c r="F10969" s="5" t="s">
        <v>192</v>
      </c>
      <c r="G10969" s="6" t="str">
        <f>VLOOKUP(E10969,dicionario!$A$1:$C11368,2,0)</f>
        <v>Patagioenas picazuro</v>
      </c>
      <c r="H10969" s="6" t="str">
        <f>VLOOKUP(E10969,dicionario!$A$1:$C11368,3,0)</f>
        <v>asa-branca; pomba-asa-branca; pocaçu</v>
      </c>
    </row>
    <row r="10970">
      <c r="A10970" s="3">
        <v>45826.0</v>
      </c>
      <c r="B10970" s="4">
        <v>0.2923611111111111</v>
      </c>
      <c r="C10970" s="5" t="s">
        <v>50</v>
      </c>
      <c r="D10970" s="5" t="s">
        <v>1557</v>
      </c>
      <c r="E10970" s="8" t="s">
        <v>624</v>
      </c>
      <c r="F10970" s="5" t="s">
        <v>133</v>
      </c>
      <c r="G10970" s="6" t="str">
        <f>VLOOKUP(E10970,dicionario!$A$1:$C11369,2,0)</f>
        <v>Euphonia violacea</v>
      </c>
      <c r="H10970" s="6" t="str">
        <f>VLOOKUP(E10970,dicionario!$A$1:$C11369,3,0)</f>
        <v>gaturamo-verdadeiro</v>
      </c>
    </row>
    <row r="10971">
      <c r="A10971" s="3">
        <v>45826.0</v>
      </c>
      <c r="B10971" s="4">
        <v>0.2923611111111111</v>
      </c>
      <c r="C10971" s="5" t="s">
        <v>50</v>
      </c>
      <c r="D10971" s="5" t="s">
        <v>1557</v>
      </c>
      <c r="E10971" s="8" t="s">
        <v>22</v>
      </c>
      <c r="F10971" s="5" t="s">
        <v>97</v>
      </c>
      <c r="G10971" s="6" t="str">
        <f>VLOOKUP(E10971,dicionario!$A$1:$C11370,2,0)</f>
        <v>Zenaida auriculata</v>
      </c>
      <c r="H10971" s="6" t="str">
        <f>VLOOKUP(E10971,dicionario!$A$1:$C11370,3,0)</f>
        <v>pomba-de-bando; avoante</v>
      </c>
    </row>
    <row r="10972">
      <c r="A10972" s="3">
        <v>45826.0</v>
      </c>
      <c r="B10972" s="4">
        <v>0.2923611111111111</v>
      </c>
      <c r="C10972" s="5" t="s">
        <v>50</v>
      </c>
      <c r="D10972" s="5" t="s">
        <v>1557</v>
      </c>
      <c r="E10972" s="6" t="s">
        <v>86</v>
      </c>
      <c r="F10972" s="5" t="s">
        <v>502</v>
      </c>
      <c r="G10972" s="6" t="str">
        <f>VLOOKUP(E10972,dicionario!$A$1:$C11371,2,0)</f>
        <v>Coereba flaveola</v>
      </c>
      <c r="H10972" s="6" t="str">
        <f>VLOOKUP(E10972,dicionario!$A$1:$C11371,3,0)</f>
        <v>cambacica</v>
      </c>
    </row>
    <row r="10973">
      <c r="A10973" s="3">
        <v>45826.0</v>
      </c>
      <c r="B10973" s="4">
        <v>0.29305555555555557</v>
      </c>
      <c r="C10973" s="5" t="s">
        <v>59</v>
      </c>
      <c r="D10973" s="5" t="s">
        <v>1557</v>
      </c>
      <c r="E10973" s="6" t="s">
        <v>113</v>
      </c>
      <c r="F10973" s="5" t="s">
        <v>114</v>
      </c>
      <c r="G10973" s="6" t="str">
        <f>VLOOKUP(E10973,dicionario!$A$1:$C11372,2,0)</f>
        <v>Columbina talpacoti</v>
      </c>
      <c r="H10973" s="6" t="str">
        <f>VLOOKUP(E10973,dicionario!$A$1:$C11372,3,0)</f>
        <v>rolinha-roxa</v>
      </c>
    </row>
    <row r="10974">
      <c r="A10974" s="3">
        <v>45826.0</v>
      </c>
      <c r="B10974" s="4">
        <v>0.29305555555555557</v>
      </c>
      <c r="C10974" s="5" t="s">
        <v>59</v>
      </c>
      <c r="D10974" s="5" t="s">
        <v>1557</v>
      </c>
      <c r="E10974" s="8" t="s">
        <v>298</v>
      </c>
      <c r="F10974" s="5"/>
      <c r="G10974" s="6" t="str">
        <f>VLOOKUP(E10974,dicionario!$A$1:$C11373,2,0)</f>
        <v>Alysicarpus vaginalis</v>
      </c>
      <c r="H10974" s="6" t="str">
        <f>VLOOKUP(E10974,dicionario!$A$1:$C11373,3,0)</f>
        <v/>
      </c>
    </row>
    <row r="10975">
      <c r="A10975" s="3">
        <v>45826.0</v>
      </c>
      <c r="B10975" s="4">
        <v>0.29375</v>
      </c>
      <c r="C10975" s="5" t="s">
        <v>59</v>
      </c>
      <c r="D10975" s="5" t="s">
        <v>1557</v>
      </c>
      <c r="E10975" s="8" t="s">
        <v>353</v>
      </c>
      <c r="F10975" s="5" t="s">
        <v>354</v>
      </c>
      <c r="G10975" s="6" t="str">
        <f>VLOOKUP(E10975,dicionario!$A$1:$C11374,2,0)</f>
        <v>Desmodium incanum</v>
      </c>
      <c r="H10975" s="6" t="str">
        <f>VLOOKUP(E10975,dicionario!$A$1:$C11374,3,0)</f>
        <v>pega-pega</v>
      </c>
    </row>
    <row r="10976">
      <c r="A10976" s="3">
        <v>45826.0</v>
      </c>
      <c r="B10976" s="4">
        <v>0.29375</v>
      </c>
      <c r="C10976" s="5" t="s">
        <v>59</v>
      </c>
      <c r="D10976" s="5" t="s">
        <v>1557</v>
      </c>
      <c r="E10976" s="8" t="s">
        <v>109</v>
      </c>
      <c r="F10976" s="5" t="s">
        <v>110</v>
      </c>
      <c r="G10976" s="6" t="str">
        <f>VLOOKUP(E10976,dicionario!$A$1:$C11375,2,0)</f>
        <v>Tillandsia stricta</v>
      </c>
      <c r="H10976" s="6" t="str">
        <f>VLOOKUP(E10976,dicionario!$A$1:$C11375,3,0)</f>
        <v>cravo-do-mato</v>
      </c>
    </row>
    <row r="10977">
      <c r="A10977" s="3">
        <v>45826.0</v>
      </c>
      <c r="B10977" s="4">
        <v>0.29444444444444445</v>
      </c>
      <c r="C10977" s="5" t="s">
        <v>59</v>
      </c>
      <c r="D10977" s="5" t="s">
        <v>1557</v>
      </c>
      <c r="E10977" s="8" t="s">
        <v>1347</v>
      </c>
      <c r="F10977" s="5" t="s">
        <v>1168</v>
      </c>
      <c r="G10977" s="6" t="str">
        <f>VLOOKUP(E10977,dicionario!$A$1:$C11376,2,0)</f>
        <v>#N/A</v>
      </c>
      <c r="H10977" s="6" t="str">
        <f>VLOOKUP(E10977,dicionario!$A$1:$C11376,3,0)</f>
        <v>#N/A</v>
      </c>
    </row>
    <row r="10978">
      <c r="A10978" s="3">
        <v>45826.0</v>
      </c>
      <c r="B10978" s="4">
        <v>0.2972222222222222</v>
      </c>
      <c r="C10978" s="5" t="s">
        <v>59</v>
      </c>
      <c r="D10978" s="5" t="s">
        <v>1557</v>
      </c>
      <c r="E10978" s="8" t="s">
        <v>20</v>
      </c>
      <c r="F10978" s="5" t="s">
        <v>21</v>
      </c>
      <c r="G10978" s="6" t="str">
        <f>VLOOKUP(E10978,dicionario!$A$1:$C11377,2,0)</f>
        <v>Sicalis flaveola</v>
      </c>
      <c r="H10978" s="6" t="str">
        <f>VLOOKUP(E10978,dicionario!$A$1:$C11377,3,0)</f>
        <v>canário-da-terra</v>
      </c>
    </row>
    <row r="10979">
      <c r="A10979" s="3">
        <v>45826.0</v>
      </c>
      <c r="B10979" s="4">
        <v>0.2972222222222222</v>
      </c>
      <c r="C10979" s="5" t="s">
        <v>59</v>
      </c>
      <c r="D10979" s="5" t="s">
        <v>1557</v>
      </c>
      <c r="E10979" s="8" t="s">
        <v>191</v>
      </c>
      <c r="F10979" s="5" t="s">
        <v>192</v>
      </c>
      <c r="G10979" s="6" t="str">
        <f>VLOOKUP(E10979,dicionario!$A$1:$C11378,2,0)</f>
        <v>Patagioenas picazuro</v>
      </c>
      <c r="H10979" s="6" t="str">
        <f>VLOOKUP(E10979,dicionario!$A$1:$C11378,3,0)</f>
        <v>asa-branca; pomba-asa-branca; pocaçu</v>
      </c>
    </row>
    <row r="10980">
      <c r="A10980" s="3">
        <v>45826.0</v>
      </c>
      <c r="B10980" s="4">
        <v>0.29791666666666666</v>
      </c>
      <c r="C10980" s="5" t="s">
        <v>59</v>
      </c>
      <c r="D10980" s="5" t="s">
        <v>1557</v>
      </c>
      <c r="E10980" s="8" t="s">
        <v>22</v>
      </c>
      <c r="F10980" s="5" t="s">
        <v>97</v>
      </c>
      <c r="G10980" s="6" t="str">
        <f>VLOOKUP(E10980,dicionario!$A$1:$C11379,2,0)</f>
        <v>Zenaida auriculata</v>
      </c>
      <c r="H10980" s="6" t="str">
        <f>VLOOKUP(E10980,dicionario!$A$1:$C11379,3,0)</f>
        <v>pomba-de-bando; avoante</v>
      </c>
    </row>
    <row r="10981">
      <c r="A10981" s="3">
        <v>45826.0</v>
      </c>
      <c r="B10981" s="4">
        <v>0.29791666666666666</v>
      </c>
      <c r="C10981" s="5" t="s">
        <v>59</v>
      </c>
      <c r="D10981" s="5" t="s">
        <v>1557</v>
      </c>
      <c r="E10981" s="8" t="s">
        <v>719</v>
      </c>
      <c r="F10981" s="5" t="s">
        <v>911</v>
      </c>
      <c r="G10981" s="6" t="str">
        <f>VLOOKUP(E10981,dicionario!$A$1:$C11380,2,0)</f>
        <v>Dirinaria</v>
      </c>
      <c r="H10981" s="6" t="str">
        <f>VLOOKUP(E10981,dicionario!$A$1:$C11380,3,0)</f>
        <v>líquen-crostoso</v>
      </c>
    </row>
    <row r="10982">
      <c r="A10982" s="3">
        <v>45826.0</v>
      </c>
      <c r="B10982" s="4">
        <v>0.29791666666666666</v>
      </c>
      <c r="C10982" s="5" t="s">
        <v>59</v>
      </c>
      <c r="D10982" s="5" t="s">
        <v>1557</v>
      </c>
      <c r="E10982" s="8" t="s">
        <v>712</v>
      </c>
      <c r="F10982" s="5" t="s">
        <v>718</v>
      </c>
      <c r="G10982" s="6" t="str">
        <f>VLOOKUP(E10982,dicionario!$A$1:$C11381,2,0)</f>
        <v>Flavopunctelia soredica</v>
      </c>
      <c r="H10982" s="6" t="str">
        <f>VLOOKUP(E10982,dicionario!$A$1:$C11381,3,0)</f>
        <v>líquen-folioso</v>
      </c>
    </row>
    <row r="10983">
      <c r="A10983" s="3">
        <v>45826.0</v>
      </c>
      <c r="B10983" s="4">
        <v>0.29791666666666666</v>
      </c>
      <c r="C10983" s="5" t="s">
        <v>59</v>
      </c>
      <c r="D10983" s="5" t="s">
        <v>1557</v>
      </c>
      <c r="E10983" s="8" t="s">
        <v>107</v>
      </c>
      <c r="F10983" s="5" t="s">
        <v>108</v>
      </c>
      <c r="G10983" s="6" t="str">
        <f>VLOOKUP(E10983,dicionario!$A$1:$C11382,2,0)</f>
        <v>Ramalina complanata</v>
      </c>
      <c r="H10983" s="6" t="str">
        <f>VLOOKUP(E10983,dicionario!$A$1:$C11382,3,0)</f>
        <v>ramalina</v>
      </c>
    </row>
    <row r="10984">
      <c r="A10984" s="3">
        <v>45826.0</v>
      </c>
      <c r="B10984" s="4">
        <v>0.2986111111111111</v>
      </c>
      <c r="C10984" s="5" t="s">
        <v>59</v>
      </c>
      <c r="D10984" s="5" t="s">
        <v>1557</v>
      </c>
      <c r="E10984" s="8" t="s">
        <v>909</v>
      </c>
      <c r="F10984" s="5" t="s">
        <v>910</v>
      </c>
      <c r="G10984" s="6" t="str">
        <f>VLOOKUP(E10984,dicionario!$A$1:$C11383,2,0)</f>
        <v>Chordeiles acutipennis</v>
      </c>
      <c r="H10984" s="6" t="str">
        <f>VLOOKUP(E10984,dicionario!$A$1:$C11383,3,0)</f>
        <v>bacurau-de-asa-fina</v>
      </c>
    </row>
    <row r="10985">
      <c r="A10985" s="3">
        <v>45826.0</v>
      </c>
      <c r="B10985" s="4">
        <v>0.30069444444444443</v>
      </c>
      <c r="C10985" s="5" t="s">
        <v>59</v>
      </c>
      <c r="D10985" s="5" t="s">
        <v>1557</v>
      </c>
      <c r="E10985" s="8" t="s">
        <v>122</v>
      </c>
      <c r="F10985" s="5" t="s">
        <v>1477</v>
      </c>
      <c r="G10985" s="6" t="str">
        <f>VLOOKUP(E10985,dicionario!$A$1:$C11384,2,0)</f>
        <v>Todirostrum cinereum</v>
      </c>
      <c r="H10985" s="6" t="str">
        <f>VLOOKUP(E10985,dicionario!$A$1:$C11384,3,0)</f>
        <v>ferreirinho-relógio</v>
      </c>
    </row>
    <row r="10986">
      <c r="A10986" s="3">
        <v>45826.0</v>
      </c>
      <c r="B10986" s="4">
        <v>0.30069444444444443</v>
      </c>
      <c r="C10986" s="5" t="s">
        <v>59</v>
      </c>
      <c r="D10986" s="5" t="s">
        <v>1557</v>
      </c>
      <c r="E10986" s="8" t="s">
        <v>72</v>
      </c>
      <c r="F10986" s="5" t="s">
        <v>73</v>
      </c>
      <c r="G10986" s="6" t="str">
        <f>VLOOKUP(E10986,dicionario!$A$1:$C11385,2,0)</f>
        <v>Thraupis palmarum</v>
      </c>
      <c r="H10986" s="6" t="str">
        <f>VLOOKUP(E10986,dicionario!$A$1:$C11385,3,0)</f>
        <v>sanhaço-do-coqueiro</v>
      </c>
    </row>
    <row r="10987">
      <c r="A10987" s="3">
        <v>45826.0</v>
      </c>
      <c r="B10987" s="4">
        <v>0.3013888888888889</v>
      </c>
      <c r="C10987" s="5" t="s">
        <v>59</v>
      </c>
      <c r="D10987" s="5" t="s">
        <v>1557</v>
      </c>
      <c r="E10987" s="6" t="s">
        <v>624</v>
      </c>
      <c r="F10987" s="5" t="s">
        <v>1561</v>
      </c>
      <c r="G10987" s="6" t="str">
        <f>VLOOKUP(E10987,dicionario!$A$1:$C11386,2,0)</f>
        <v>Euphonia violacea</v>
      </c>
      <c r="H10987" s="6" t="str">
        <f>VLOOKUP(E10987,dicionario!$A$1:$C11386,3,0)</f>
        <v>gaturamo-verdadeiro</v>
      </c>
    </row>
    <row r="10988">
      <c r="A10988" s="3">
        <v>45826.0</v>
      </c>
      <c r="B10988" s="4">
        <v>0.3020833333333333</v>
      </c>
      <c r="C10988" s="5" t="s">
        <v>59</v>
      </c>
      <c r="D10988" s="5" t="s">
        <v>1557</v>
      </c>
      <c r="E10988" s="6" t="s">
        <v>448</v>
      </c>
      <c r="F10988" s="5" t="s">
        <v>462</v>
      </c>
      <c r="G10988" s="6" t="str">
        <f>VLOOKUP(E10988,dicionario!$A$1:$C11387,2,0)</f>
        <v>Mechanitis polymnia</v>
      </c>
      <c r="H10988" s="6" t="str">
        <f>VLOOKUP(E10988,dicionario!$A$1:$C11387,3,0)</f>
        <v>maria-boba</v>
      </c>
    </row>
    <row r="10989">
      <c r="A10989" s="3">
        <v>45826.0</v>
      </c>
      <c r="B10989" s="4">
        <v>0.3034722222222222</v>
      </c>
      <c r="C10989" s="5" t="s">
        <v>64</v>
      </c>
      <c r="D10989" s="5" t="s">
        <v>1557</v>
      </c>
      <c r="E10989" s="6" t="s">
        <v>251</v>
      </c>
      <c r="F10989" s="5" t="s">
        <v>252</v>
      </c>
      <c r="G10989" s="6" t="str">
        <f>VLOOKUP(E10989,dicionario!$A$1:$C11388,2,0)</f>
        <v>Struthanthus flexicaulis</v>
      </c>
      <c r="H10989" s="6" t="str">
        <f>VLOOKUP(E10989,dicionario!$A$1:$C11388,3,0)</f>
        <v>erva-de-passarinho</v>
      </c>
    </row>
    <row r="10990">
      <c r="A10990" s="3">
        <v>45826.0</v>
      </c>
      <c r="B10990" s="4">
        <v>0.30416666666666664</v>
      </c>
      <c r="C10990" s="5" t="s">
        <v>64</v>
      </c>
      <c r="D10990" s="5" t="s">
        <v>1557</v>
      </c>
      <c r="E10990" s="8" t="s">
        <v>38</v>
      </c>
      <c r="F10990" s="5" t="s">
        <v>1251</v>
      </c>
      <c r="G10990" s="6" t="str">
        <f>VLOOKUP(E10990,dicionario!$A$1:$C11389,2,0)</f>
        <v>Troglodytes musculus</v>
      </c>
      <c r="H10990" s="6" t="str">
        <f>VLOOKUP(E10990,dicionario!$A$1:$C11389,3,0)</f>
        <v>curruíra</v>
      </c>
    </row>
    <row r="10991">
      <c r="A10991" s="3">
        <v>45826.0</v>
      </c>
      <c r="B10991" s="4">
        <v>0.30416666666666664</v>
      </c>
      <c r="C10991" s="5" t="s">
        <v>64</v>
      </c>
      <c r="D10991" s="5" t="s">
        <v>1557</v>
      </c>
      <c r="E10991" s="8" t="s">
        <v>1297</v>
      </c>
      <c r="F10991" s="5" t="s">
        <v>515</v>
      </c>
      <c r="G10991" s="6" t="str">
        <f>VLOOKUP(E10991,dicionario!$A$1:$C11390,2,0)</f>
        <v>#N/A</v>
      </c>
      <c r="H10991" s="6" t="str">
        <f>VLOOKUP(E10991,dicionario!$A$1:$C11390,3,0)</f>
        <v>#N/A</v>
      </c>
    </row>
    <row r="10992">
      <c r="A10992" s="3">
        <v>45826.0</v>
      </c>
      <c r="B10992" s="4">
        <v>0.3055555555555556</v>
      </c>
      <c r="C10992" s="5" t="s">
        <v>64</v>
      </c>
      <c r="D10992" s="5" t="s">
        <v>1557</v>
      </c>
      <c r="E10992" s="8" t="s">
        <v>20</v>
      </c>
      <c r="F10992" s="5" t="s">
        <v>21</v>
      </c>
      <c r="G10992" s="6" t="str">
        <f>VLOOKUP(E10992,dicionario!$A$1:$C11391,2,0)</f>
        <v>Sicalis flaveola</v>
      </c>
      <c r="H10992" s="6" t="str">
        <f>VLOOKUP(E10992,dicionario!$A$1:$C11391,3,0)</f>
        <v>canário-da-terra</v>
      </c>
    </row>
    <row r="10993">
      <c r="A10993" s="3">
        <v>45826.0</v>
      </c>
      <c r="B10993" s="4">
        <v>0.3055555555555556</v>
      </c>
      <c r="C10993" s="5" t="s">
        <v>64</v>
      </c>
      <c r="D10993" s="5" t="s">
        <v>1557</v>
      </c>
      <c r="E10993" s="8" t="s">
        <v>606</v>
      </c>
      <c r="F10993" s="5" t="s">
        <v>607</v>
      </c>
      <c r="G10993" s="6" t="str">
        <f>VLOOKUP(E10993,dicionario!$A$1:$C11392,2,0)</f>
        <v>Elaenia spectabilis</v>
      </c>
      <c r="H10993" s="6" t="str">
        <f>VLOOKUP(E10993,dicionario!$A$1:$C11392,3,0)</f>
        <v>guaracava-grande</v>
      </c>
    </row>
    <row r="10994">
      <c r="A10994" s="3">
        <v>45826.0</v>
      </c>
      <c r="B10994" s="4">
        <v>0.30694444444444446</v>
      </c>
      <c r="C10994" s="5" t="s">
        <v>64</v>
      </c>
      <c r="D10994" s="5" t="s">
        <v>1557</v>
      </c>
      <c r="E10994" s="8" t="s">
        <v>122</v>
      </c>
      <c r="F10994" s="5" t="s">
        <v>1477</v>
      </c>
      <c r="G10994" s="6" t="str">
        <f>VLOOKUP(E10994,dicionario!$A$1:$C11393,2,0)</f>
        <v>Todirostrum cinereum</v>
      </c>
      <c r="H10994" s="6" t="str">
        <f>VLOOKUP(E10994,dicionario!$A$1:$C11393,3,0)</f>
        <v>ferreirinho-relógio</v>
      </c>
    </row>
    <row r="10995">
      <c r="A10995" s="3">
        <v>45826.0</v>
      </c>
      <c r="B10995" s="4">
        <v>0.30694444444444446</v>
      </c>
      <c r="C10995" s="5" t="s">
        <v>64</v>
      </c>
      <c r="D10995" s="5" t="s">
        <v>1557</v>
      </c>
      <c r="E10995" s="8" t="s">
        <v>65</v>
      </c>
      <c r="F10995" s="5" t="s">
        <v>66</v>
      </c>
      <c r="G10995" s="6" t="str">
        <f>VLOOKUP(E10995,dicionario!$A$1:$C11394,2,0)</f>
        <v>Pitangus sulphutarus</v>
      </c>
      <c r="H10995" s="6" t="str">
        <f>VLOOKUP(E10995,dicionario!$A$1:$C11394,3,0)</f>
        <v>bem-te-vi</v>
      </c>
    </row>
    <row r="10996">
      <c r="A10996" s="3">
        <v>45826.0</v>
      </c>
      <c r="B10996" s="4">
        <v>0.30833333333333335</v>
      </c>
      <c r="C10996" s="5" t="s">
        <v>64</v>
      </c>
      <c r="D10996" s="5" t="s">
        <v>1557</v>
      </c>
      <c r="E10996" s="8" t="s">
        <v>1383</v>
      </c>
      <c r="F10996" s="5" t="s">
        <v>561</v>
      </c>
      <c r="G10996" s="6" t="str">
        <f>VLOOKUP(E10996,dicionario!$A$1:$C11395,2,0)</f>
        <v>#N/A</v>
      </c>
      <c r="H10996" s="6" t="str">
        <f>VLOOKUP(E10996,dicionario!$A$1:$C11395,3,0)</f>
        <v>#N/A</v>
      </c>
    </row>
    <row r="10997">
      <c r="A10997" s="3">
        <v>45826.0</v>
      </c>
      <c r="B10997" s="4">
        <v>0.30833333333333335</v>
      </c>
      <c r="C10997" s="5" t="s">
        <v>64</v>
      </c>
      <c r="D10997" s="5" t="s">
        <v>1557</v>
      </c>
      <c r="E10997" s="8" t="s">
        <v>253</v>
      </c>
      <c r="F10997" s="5" t="s">
        <v>254</v>
      </c>
      <c r="G10997" s="6" t="str">
        <f>VLOOKUP(E10997,dicionario!$A$1:$C11396,2,0)</f>
        <v>Panicum maximum</v>
      </c>
      <c r="H10997" s="6" t="str">
        <f>VLOOKUP(E10997,dicionario!$A$1:$C11396,3,0)</f>
        <v>capim-colonião</v>
      </c>
    </row>
    <row r="10998">
      <c r="A10998" s="3">
        <v>45826.0</v>
      </c>
      <c r="B10998" s="4">
        <v>0.3090277777777778</v>
      </c>
      <c r="C10998" s="5" t="s">
        <v>64</v>
      </c>
      <c r="D10998" s="5" t="s">
        <v>1557</v>
      </c>
      <c r="E10998" s="6" t="s">
        <v>467</v>
      </c>
      <c r="F10998" s="5" t="s">
        <v>468</v>
      </c>
      <c r="G10998" s="6" t="str">
        <f>VLOOKUP(E10998,dicionario!$A$1:$C11397,2,0)</f>
        <v>Eleusine indica</v>
      </c>
      <c r="H10998" s="6" t="str">
        <f>VLOOKUP(E10998,dicionario!$A$1:$C11397,3,0)</f>
        <v>capim-pé-de-galinha</v>
      </c>
    </row>
    <row r="10999">
      <c r="A10999" s="3">
        <v>45826.0</v>
      </c>
      <c r="B10999" s="4">
        <v>0.3090277777777778</v>
      </c>
      <c r="C10999" s="5" t="s">
        <v>64</v>
      </c>
      <c r="D10999" s="5" t="s">
        <v>1557</v>
      </c>
      <c r="E10999" s="8" t="s">
        <v>141</v>
      </c>
      <c r="F10999" s="5" t="s">
        <v>142</v>
      </c>
      <c r="G10999" s="6" t="str">
        <f>VLOOKUP(E10999,dicionario!$A$1:$C11398,2,0)</f>
        <v>Ruellia blechum</v>
      </c>
      <c r="H10999" s="6" t="str">
        <f>VLOOKUP(E10999,dicionario!$A$1:$C11398,3,0)</f>
        <v>camarão-verde</v>
      </c>
    </row>
    <row r="11000">
      <c r="A11000" s="3">
        <v>45826.0</v>
      </c>
      <c r="B11000" s="4">
        <v>0.3090277777777778</v>
      </c>
      <c r="C11000" s="5" t="s">
        <v>64</v>
      </c>
      <c r="D11000" s="5" t="s">
        <v>1557</v>
      </c>
      <c r="E11000" s="8" t="s">
        <v>740</v>
      </c>
      <c r="F11000" s="5" t="s">
        <v>741</v>
      </c>
      <c r="G11000" s="6" t="str">
        <f>VLOOKUP(E11000,dicionario!$A$1:$C11399,2,0)</f>
        <v>Melothria cucumis</v>
      </c>
      <c r="H11000" s="6" t="str">
        <f>VLOOKUP(E11000,dicionario!$A$1:$C11399,3,0)</f>
        <v>pepino-do-mato</v>
      </c>
    </row>
    <row r="11001">
      <c r="A11001" s="3">
        <v>45826.0</v>
      </c>
      <c r="B11001" s="4">
        <v>0.3090277777777778</v>
      </c>
      <c r="C11001" s="5" t="s">
        <v>64</v>
      </c>
      <c r="D11001" s="5" t="s">
        <v>1557</v>
      </c>
      <c r="E11001" s="6" t="s">
        <v>290</v>
      </c>
      <c r="F11001" s="5" t="s">
        <v>291</v>
      </c>
      <c r="G11001" s="6" t="str">
        <f>VLOOKUP(E11001,dicionario!$A$1:$C11400,2,0)</f>
        <v>Drymaria cordata</v>
      </c>
      <c r="H11001" s="6" t="str">
        <f>VLOOKUP(E11001,dicionario!$A$1:$C11400,3,0)</f>
        <v>orelha-de-rato</v>
      </c>
    </row>
    <row r="11002">
      <c r="A11002" s="3">
        <v>45826.0</v>
      </c>
      <c r="B11002" s="4">
        <v>0.3111111111111111</v>
      </c>
      <c r="C11002" s="5" t="s">
        <v>76</v>
      </c>
      <c r="D11002" s="5" t="s">
        <v>1557</v>
      </c>
      <c r="E11002" s="8" t="s">
        <v>191</v>
      </c>
      <c r="F11002" s="5" t="s">
        <v>192</v>
      </c>
      <c r="G11002" s="6" t="str">
        <f>VLOOKUP(E11002,dicionario!$A$1:$C11401,2,0)</f>
        <v>Patagioenas picazuro</v>
      </c>
      <c r="H11002" s="6" t="str">
        <f>VLOOKUP(E11002,dicionario!$A$1:$C11401,3,0)</f>
        <v>asa-branca; pomba-asa-branca; pocaçu</v>
      </c>
    </row>
    <row r="11003">
      <c r="A11003" s="3">
        <v>45826.0</v>
      </c>
      <c r="B11003" s="4">
        <v>0.3125</v>
      </c>
      <c r="C11003" s="5" t="s">
        <v>76</v>
      </c>
      <c r="D11003" s="5" t="s">
        <v>1557</v>
      </c>
      <c r="E11003" s="8" t="s">
        <v>1405</v>
      </c>
      <c r="F11003" s="5" t="s">
        <v>75</v>
      </c>
      <c r="G11003" s="6" t="str">
        <f>VLOOKUP(E11003,dicionario!$A$1:$C11402,2,0)</f>
        <v>#N/A</v>
      </c>
      <c r="H11003" s="6" t="str">
        <f>VLOOKUP(E11003,dicionario!$A$1:$C11402,3,0)</f>
        <v>#N/A</v>
      </c>
    </row>
    <row r="11004">
      <c r="A11004" s="3">
        <v>45826.0</v>
      </c>
      <c r="B11004" s="4">
        <v>0.3125</v>
      </c>
      <c r="C11004" s="5" t="s">
        <v>76</v>
      </c>
      <c r="D11004" s="5" t="s">
        <v>1557</v>
      </c>
      <c r="E11004" s="6" t="s">
        <v>448</v>
      </c>
      <c r="F11004" s="5" t="s">
        <v>462</v>
      </c>
      <c r="G11004" s="6" t="str">
        <f>VLOOKUP(E11004,dicionario!$A$1:$C11403,2,0)</f>
        <v>Mechanitis polymnia</v>
      </c>
      <c r="H11004" s="6" t="str">
        <f>VLOOKUP(E11004,dicionario!$A$1:$C11403,3,0)</f>
        <v>maria-boba</v>
      </c>
    </row>
    <row r="11005">
      <c r="A11005" s="3">
        <v>45826.0</v>
      </c>
      <c r="B11005" s="4">
        <v>0.3125</v>
      </c>
      <c r="C11005" s="5" t="s">
        <v>76</v>
      </c>
      <c r="D11005" s="5" t="s">
        <v>1557</v>
      </c>
      <c r="E11005" s="6" t="s">
        <v>113</v>
      </c>
      <c r="F11005" s="5" t="s">
        <v>114</v>
      </c>
      <c r="G11005" s="6" t="str">
        <f>VLOOKUP(E11005,dicionario!$A$1:$C11404,2,0)</f>
        <v>Columbina talpacoti</v>
      </c>
      <c r="H11005" s="6" t="str">
        <f>VLOOKUP(E11005,dicionario!$A$1:$C11404,3,0)</f>
        <v>rolinha-roxa</v>
      </c>
    </row>
    <row r="11006">
      <c r="A11006" s="3">
        <v>45826.0</v>
      </c>
      <c r="B11006" s="4">
        <v>0.3125</v>
      </c>
      <c r="C11006" s="5" t="s">
        <v>76</v>
      </c>
      <c r="D11006" s="5" t="s">
        <v>1557</v>
      </c>
      <c r="E11006" s="8" t="s">
        <v>38</v>
      </c>
      <c r="F11006" s="5" t="s">
        <v>1251</v>
      </c>
      <c r="G11006" s="6" t="str">
        <f>VLOOKUP(E11006,dicionario!$A$1:$C11405,2,0)</f>
        <v>Troglodytes musculus</v>
      </c>
      <c r="H11006" s="6" t="str">
        <f>VLOOKUP(E11006,dicionario!$A$1:$C11405,3,0)</f>
        <v>curruíra</v>
      </c>
    </row>
    <row r="11007">
      <c r="A11007" s="3">
        <v>45826.0</v>
      </c>
      <c r="B11007" s="4">
        <v>0.3138888888888889</v>
      </c>
      <c r="C11007" s="5" t="s">
        <v>76</v>
      </c>
      <c r="D11007" s="5" t="s">
        <v>1557</v>
      </c>
      <c r="E11007" s="8" t="s">
        <v>175</v>
      </c>
      <c r="F11007" s="5" t="s">
        <v>176</v>
      </c>
      <c r="G11007" s="6" t="str">
        <f>VLOOKUP(E11007,dicionario!$A$1:$C11406,2,0)</f>
        <v>Turdus leucomelas</v>
      </c>
      <c r="H11007" s="6" t="str">
        <f>VLOOKUP(E11007,dicionario!$A$1:$C11406,3,0)</f>
        <v>sabiá-barranco</v>
      </c>
    </row>
    <row r="11008">
      <c r="A11008" s="3">
        <v>45826.0</v>
      </c>
      <c r="B11008" s="4">
        <v>0.3138888888888889</v>
      </c>
      <c r="C11008" s="5" t="s">
        <v>76</v>
      </c>
      <c r="D11008" s="5" t="s">
        <v>1557</v>
      </c>
      <c r="E11008" s="8" t="s">
        <v>606</v>
      </c>
      <c r="F11008" s="5" t="s">
        <v>607</v>
      </c>
      <c r="G11008" s="6" t="str">
        <f>VLOOKUP(E11008,dicionario!$A$1:$C11407,2,0)</f>
        <v>Elaenia spectabilis</v>
      </c>
      <c r="H11008" s="6" t="str">
        <f>VLOOKUP(E11008,dicionario!$A$1:$C11407,3,0)</f>
        <v>guaracava-grande</v>
      </c>
    </row>
    <row r="11009">
      <c r="A11009" s="3">
        <v>45826.0</v>
      </c>
      <c r="B11009" s="4">
        <v>0.3145833333333333</v>
      </c>
      <c r="C11009" s="5" t="s">
        <v>76</v>
      </c>
      <c r="D11009" s="5" t="s">
        <v>1557</v>
      </c>
      <c r="E11009" s="8" t="s">
        <v>72</v>
      </c>
      <c r="F11009" s="5" t="s">
        <v>73</v>
      </c>
      <c r="G11009" s="6" t="str">
        <f>VLOOKUP(E11009,dicionario!$A$1:$C11408,2,0)</f>
        <v>Thraupis palmarum</v>
      </c>
      <c r="H11009" s="6" t="str">
        <f>VLOOKUP(E11009,dicionario!$A$1:$C11408,3,0)</f>
        <v>sanhaço-do-coqueiro</v>
      </c>
    </row>
    <row r="11010">
      <c r="A11010" s="3">
        <v>45826.0</v>
      </c>
      <c r="B11010" s="4">
        <v>0.3145833333333333</v>
      </c>
      <c r="C11010" s="5" t="s">
        <v>76</v>
      </c>
      <c r="D11010" s="5" t="s">
        <v>1557</v>
      </c>
      <c r="E11010" s="8" t="s">
        <v>1192</v>
      </c>
      <c r="F11010" s="5" t="s">
        <v>92</v>
      </c>
      <c r="G11010" s="6" t="str">
        <f>VLOOKUP(E11010,dicionario!$A$1:$C11409,2,0)</f>
        <v>#N/A</v>
      </c>
      <c r="H11010" s="6" t="str">
        <f>VLOOKUP(E11010,dicionario!$A$1:$C11409,3,0)</f>
        <v>#N/A</v>
      </c>
    </row>
    <row r="11011">
      <c r="A11011" s="3">
        <v>45826.0</v>
      </c>
      <c r="B11011" s="4">
        <v>0.3159722222222222</v>
      </c>
      <c r="C11011" s="5" t="s">
        <v>76</v>
      </c>
      <c r="D11011" s="5" t="s">
        <v>1557</v>
      </c>
      <c r="E11011" s="8" t="s">
        <v>122</v>
      </c>
      <c r="F11011" s="5" t="s">
        <v>1477</v>
      </c>
      <c r="G11011" s="6" t="str">
        <f>VLOOKUP(E11011,dicionario!$A$1:$C11410,2,0)</f>
        <v>Todirostrum cinereum</v>
      </c>
      <c r="H11011" s="6" t="str">
        <f>VLOOKUP(E11011,dicionario!$A$1:$C11410,3,0)</f>
        <v>ferreirinho-relógio</v>
      </c>
    </row>
    <row r="11012">
      <c r="A11012" s="3">
        <v>45826.0</v>
      </c>
      <c r="B11012" s="4">
        <v>0.3159722222222222</v>
      </c>
      <c r="C11012" s="5" t="s">
        <v>76</v>
      </c>
      <c r="D11012" s="5" t="s">
        <v>1557</v>
      </c>
      <c r="E11012" s="6" t="s">
        <v>383</v>
      </c>
      <c r="F11012" s="5" t="s">
        <v>384</v>
      </c>
      <c r="G11012" s="6" t="str">
        <f>VLOOKUP(E11012,dicionario!$A$1:$C11411,2,0)</f>
        <v>Setophaga pitiayumi</v>
      </c>
      <c r="H11012" s="6" t="str">
        <f>VLOOKUP(E11012,dicionario!$A$1:$C11411,3,0)</f>
        <v>mariquita</v>
      </c>
    </row>
    <row r="11013">
      <c r="A11013" s="3">
        <v>45826.0</v>
      </c>
      <c r="B11013" s="4">
        <v>0.3159722222222222</v>
      </c>
      <c r="C11013" s="5" t="s">
        <v>76</v>
      </c>
      <c r="D11013" s="5" t="s">
        <v>1557</v>
      </c>
      <c r="E11013" s="8" t="s">
        <v>154</v>
      </c>
      <c r="F11013" s="5" t="s">
        <v>155</v>
      </c>
      <c r="G11013" s="6" t="str">
        <f>VLOOKUP(E11013,dicionario!$A$1:$C11412,2,0)</f>
        <v>Cyperus rotundus</v>
      </c>
      <c r="H11013" s="6" t="str">
        <f>VLOOKUP(E11013,dicionario!$A$1:$C11412,3,0)</f>
        <v>tiririca</v>
      </c>
    </row>
    <row r="11014">
      <c r="A11014" s="3">
        <v>45826.0</v>
      </c>
      <c r="B11014" s="4">
        <v>0.3159722222222222</v>
      </c>
      <c r="C11014" s="5" t="s">
        <v>76</v>
      </c>
      <c r="D11014" s="5" t="s">
        <v>1557</v>
      </c>
      <c r="E11014" s="8" t="s">
        <v>193</v>
      </c>
      <c r="F11014" s="5" t="s">
        <v>194</v>
      </c>
      <c r="G11014" s="6" t="str">
        <f>VLOOKUP(E11014,dicionario!$A$1:$C11413,2,0)</f>
        <v>Conirostrum speciosum</v>
      </c>
      <c r="H11014" s="6" t="str">
        <f>VLOOKUP(E11014,dicionario!$A$1:$C11413,3,0)</f>
        <v>figuinha-de-rabo-castanho</v>
      </c>
    </row>
    <row r="11015">
      <c r="A11015" s="3">
        <v>45826.0</v>
      </c>
      <c r="B11015" s="4">
        <v>0.31666666666666665</v>
      </c>
      <c r="C11015" s="5" t="s">
        <v>76</v>
      </c>
      <c r="D11015" s="5" t="s">
        <v>1557</v>
      </c>
      <c r="E11015" s="8" t="s">
        <v>1562</v>
      </c>
      <c r="F11015" s="61" t="s">
        <v>1563</v>
      </c>
      <c r="G11015" s="6" t="str">
        <f>VLOOKUP(E11015,dicionario!$A$1:$C11414,2,0)</f>
        <v>Piaya cayana</v>
      </c>
      <c r="H11015" s="6" t="str">
        <f>VLOOKUP(E11015,dicionario!$A$1:$C11414,3,0)</f>
        <v>alma-de-gato</v>
      </c>
    </row>
    <row r="11016">
      <c r="A11016" s="3">
        <v>45826.0</v>
      </c>
      <c r="B11016" s="4">
        <v>0.31666666666666665</v>
      </c>
      <c r="C11016" s="5" t="s">
        <v>76</v>
      </c>
      <c r="D11016" s="5" t="s">
        <v>1557</v>
      </c>
      <c r="E11016" s="6" t="s">
        <v>213</v>
      </c>
      <c r="F11016" s="5" t="s">
        <v>1564</v>
      </c>
      <c r="G11016" s="6" t="str">
        <f>VLOOKUP(E11016,dicionario!$A$1:$C11415,2,0)</f>
        <v>Myiozetetes similis</v>
      </c>
      <c r="H11016" s="6" t="str">
        <f>VLOOKUP(E11016,dicionario!$A$1:$C11415,3,0)</f>
        <v>bentevizinho-de-penacho-vermelho</v>
      </c>
    </row>
    <row r="11017">
      <c r="A11017" s="3">
        <v>45826.0</v>
      </c>
      <c r="B11017" s="4">
        <v>0.3173611111111111</v>
      </c>
      <c r="C11017" s="5" t="s">
        <v>76</v>
      </c>
      <c r="D11017" s="5" t="s">
        <v>1557</v>
      </c>
      <c r="E11017" s="8" t="s">
        <v>1195</v>
      </c>
      <c r="F11017" s="5" t="s">
        <v>1565</v>
      </c>
      <c r="G11017" s="6" t="str">
        <f>VLOOKUP(E11017,dicionario!$A$1:$C11416,2,0)</f>
        <v>#N/A</v>
      </c>
      <c r="H11017" s="6" t="str">
        <f>VLOOKUP(E11017,dicionario!$A$1:$C11416,3,0)</f>
        <v>#N/A</v>
      </c>
    </row>
    <row r="11018">
      <c r="A11018" s="3">
        <v>45826.0</v>
      </c>
      <c r="B11018" s="4">
        <v>0.3173611111111111</v>
      </c>
      <c r="C11018" s="5" t="s">
        <v>76</v>
      </c>
      <c r="D11018" s="5" t="s">
        <v>1557</v>
      </c>
      <c r="E11018" s="8" t="s">
        <v>1367</v>
      </c>
      <c r="F11018" s="5" t="s">
        <v>387</v>
      </c>
      <c r="G11018" s="6" t="str">
        <f>VLOOKUP(E11018,dicionario!$A$1:$C11417,2,0)</f>
        <v>#N/A</v>
      </c>
      <c r="H11018" s="6" t="str">
        <f>VLOOKUP(E11018,dicionario!$A$1:$C11417,3,0)</f>
        <v>#N/A</v>
      </c>
    </row>
    <row r="11019">
      <c r="A11019" s="3">
        <v>45826.0</v>
      </c>
      <c r="B11019" s="4">
        <v>0.31805555555555554</v>
      </c>
      <c r="C11019" s="5" t="s">
        <v>76</v>
      </c>
      <c r="D11019" s="5" t="s">
        <v>1557</v>
      </c>
      <c r="E11019" s="6" t="s">
        <v>148</v>
      </c>
      <c r="F11019" s="5" t="s">
        <v>149</v>
      </c>
      <c r="G11019" s="6" t="str">
        <f>VLOOKUP(E11019,dicionario!$A$1:$C11418,2,0)</f>
        <v>Parthenium hysterophorus</v>
      </c>
      <c r="H11019" s="6" t="str">
        <f>VLOOKUP(E11019,dicionario!$A$1:$C11418,3,0)</f>
        <v>losna-branca</v>
      </c>
    </row>
    <row r="11020">
      <c r="A11020" s="3">
        <v>45826.0</v>
      </c>
      <c r="B11020" s="4">
        <v>0.31805555555555554</v>
      </c>
      <c r="C11020" s="5" t="s">
        <v>76</v>
      </c>
      <c r="D11020" s="5" t="s">
        <v>1557</v>
      </c>
      <c r="E11020" s="8" t="s">
        <v>195</v>
      </c>
      <c r="F11020" s="5" t="s">
        <v>196</v>
      </c>
      <c r="G11020" s="6" t="str">
        <f>VLOOKUP(E11020,dicionario!$A$1:$C11419,2,0)</f>
        <v>Priva lappulacea</v>
      </c>
      <c r="H11020" s="6" t="str">
        <f>VLOOKUP(E11020,dicionario!$A$1:$C11419,3,0)</f>
        <v>carrapicho</v>
      </c>
    </row>
    <row r="11021">
      <c r="A11021" s="3">
        <v>45826.0</v>
      </c>
      <c r="B11021" s="4">
        <v>0.31805555555555554</v>
      </c>
      <c r="C11021" s="5" t="s">
        <v>76</v>
      </c>
      <c r="D11021" s="5" t="s">
        <v>1557</v>
      </c>
      <c r="E11021" s="8" t="s">
        <v>1324</v>
      </c>
      <c r="F11021" s="5" t="s">
        <v>1246</v>
      </c>
      <c r="G11021" s="6" t="str">
        <f>VLOOKUP(E11021,dicionario!$A$1:$C11420,2,0)</f>
        <v>#N/A</v>
      </c>
      <c r="H11021" s="6" t="str">
        <f>VLOOKUP(E11021,dicionario!$A$1:$C11420,3,0)</f>
        <v>#N/A</v>
      </c>
    </row>
    <row r="11022">
      <c r="A11022" s="3">
        <v>45826.0</v>
      </c>
      <c r="B11022" s="4">
        <v>0.31805555555555554</v>
      </c>
      <c r="C11022" s="5" t="s">
        <v>76</v>
      </c>
      <c r="D11022" s="5" t="s">
        <v>1557</v>
      </c>
      <c r="E11022" s="8" t="s">
        <v>135</v>
      </c>
      <c r="F11022" s="5" t="s">
        <v>136</v>
      </c>
      <c r="G11022" s="6" t="str">
        <f>VLOOKUP(E11022,dicionario!$A$1:$C11421,2,0)</f>
        <v>Tridax procumbens</v>
      </c>
      <c r="H11022" s="6" t="str">
        <f>VLOOKUP(E11022,dicionario!$A$1:$C11421,3,0)</f>
        <v>erva-de-touro</v>
      </c>
    </row>
    <row r="11023">
      <c r="A11023" s="3">
        <v>45826.0</v>
      </c>
      <c r="B11023" s="4">
        <v>0.31805555555555554</v>
      </c>
      <c r="C11023" s="5" t="s">
        <v>76</v>
      </c>
      <c r="D11023" s="5" t="s">
        <v>1557</v>
      </c>
      <c r="E11023" s="8" t="s">
        <v>146</v>
      </c>
      <c r="F11023" s="5" t="s">
        <v>147</v>
      </c>
      <c r="G11023" s="6" t="str">
        <f>VLOOKUP(E11023,dicionario!$A$1:$C11422,2,0)</f>
        <v>Euphorbia hirta</v>
      </c>
      <c r="H11023" s="6" t="str">
        <f>VLOOKUP(E11023,dicionario!$A$1:$C11422,3,0)</f>
        <v>erva-de-santa-luzia</v>
      </c>
    </row>
    <row r="11024">
      <c r="A11024" s="3">
        <v>45826.0</v>
      </c>
      <c r="B11024" s="4">
        <v>0.31875</v>
      </c>
      <c r="C11024" s="5" t="s">
        <v>76</v>
      </c>
      <c r="D11024" s="5" t="s">
        <v>1557</v>
      </c>
      <c r="E11024" s="8" t="s">
        <v>1566</v>
      </c>
      <c r="F11024" s="5" t="s">
        <v>1567</v>
      </c>
      <c r="G11024" s="6" t="str">
        <f>VLOOKUP(E11024,dicionario!$A$1:$C11423,2,0)</f>
        <v>Thamnophilus doliatus</v>
      </c>
      <c r="H11024" s="6" t="str">
        <f>VLOOKUP(E11024,dicionario!$A$1:$C11423,3,0)</f>
        <v>choca-barrada</v>
      </c>
    </row>
    <row r="11025">
      <c r="A11025" s="3">
        <v>45826.0</v>
      </c>
      <c r="B11025" s="4">
        <v>0.31875</v>
      </c>
      <c r="C11025" s="5" t="s">
        <v>76</v>
      </c>
      <c r="D11025" s="5" t="s">
        <v>1557</v>
      </c>
      <c r="E11025" s="8" t="s">
        <v>1175</v>
      </c>
      <c r="F11025" s="5" t="s">
        <v>1176</v>
      </c>
      <c r="G11025" s="6" t="str">
        <f>VLOOKUP(E11025,dicionario!$A$1:$C11424,2,0)</f>
        <v>Danaus erippus</v>
      </c>
      <c r="H11025" s="6" t="str">
        <f>VLOOKUP(E11025,dicionario!$A$1:$C11424,3,0)</f>
        <v>borboleta-monarca-do-sul</v>
      </c>
    </row>
    <row r="11026">
      <c r="A11026" s="3">
        <v>45826.0</v>
      </c>
      <c r="B11026" s="4">
        <v>0.3194444444444444</v>
      </c>
      <c r="C11026" s="5" t="s">
        <v>76</v>
      </c>
      <c r="D11026" s="5" t="s">
        <v>1557</v>
      </c>
      <c r="E11026" s="8" t="s">
        <v>253</v>
      </c>
      <c r="F11026" s="5" t="s">
        <v>254</v>
      </c>
      <c r="G11026" s="6" t="str">
        <f>VLOOKUP(E11026,dicionario!$A$1:$C11425,2,0)</f>
        <v>Panicum maximum</v>
      </c>
      <c r="H11026" s="6" t="str">
        <f>VLOOKUP(E11026,dicionario!$A$1:$C11425,3,0)</f>
        <v>capim-colonião</v>
      </c>
    </row>
    <row r="11027">
      <c r="A11027" s="3">
        <v>45826.0</v>
      </c>
      <c r="B11027" s="4">
        <v>0.3194444444444444</v>
      </c>
      <c r="C11027" s="5" t="s">
        <v>76</v>
      </c>
      <c r="D11027" s="5" t="s">
        <v>1557</v>
      </c>
      <c r="E11027" s="6" t="s">
        <v>48</v>
      </c>
      <c r="F11027" s="5" t="s">
        <v>49</v>
      </c>
      <c r="G11027" s="6" t="str">
        <f>VLOOKUP(E11027,dicionario!$A$1:$C11426,2,0)</f>
        <v>Commelina erecta</v>
      </c>
      <c r="H11027" s="6" t="str">
        <f>VLOOKUP(E11027,dicionario!$A$1:$C11426,3,0)</f>
        <v>trapoeraba</v>
      </c>
    </row>
    <row r="11028">
      <c r="A11028" s="3">
        <v>45826.0</v>
      </c>
      <c r="B11028" s="4">
        <v>0.3194444444444444</v>
      </c>
      <c r="C11028" s="5" t="s">
        <v>76</v>
      </c>
      <c r="D11028" s="5" t="s">
        <v>1557</v>
      </c>
      <c r="E11028" s="8" t="s">
        <v>183</v>
      </c>
      <c r="F11028" s="5" t="s">
        <v>277</v>
      </c>
      <c r="G11028" s="6" t="str">
        <f>VLOOKUP(E11028,dicionario!$A$1:$C11427,2,0)</f>
        <v>Thunbergia alata</v>
      </c>
      <c r="H11028" s="6" t="str">
        <f>VLOOKUP(E11028,dicionario!$A$1:$C11427,3,0)</f>
        <v>susana-dos-olhos-negros</v>
      </c>
    </row>
    <row r="11029">
      <c r="A11029" s="3">
        <v>45826.0</v>
      </c>
      <c r="B11029" s="4">
        <v>0.3194444444444444</v>
      </c>
      <c r="C11029" s="5" t="s">
        <v>76</v>
      </c>
      <c r="D11029" s="5" t="s">
        <v>1557</v>
      </c>
      <c r="E11029" s="8" t="s">
        <v>786</v>
      </c>
      <c r="F11029" s="5" t="s">
        <v>787</v>
      </c>
      <c r="G11029" s="6" t="str">
        <f>VLOOKUP(E11029,dicionario!$A$1:$C11428,2,0)</f>
        <v>Lycianthes asarifolia</v>
      </c>
      <c r="H11029" s="6" t="str">
        <f>VLOOKUP(E11029,dicionario!$A$1:$C11428,3,0)</f>
        <v>joá-rasteiro</v>
      </c>
    </row>
    <row r="11030">
      <c r="A11030" s="3">
        <v>45826.0</v>
      </c>
      <c r="B11030" s="4">
        <v>0.3194444444444444</v>
      </c>
      <c r="C11030" s="5" t="s">
        <v>76</v>
      </c>
      <c r="D11030" s="5" t="s">
        <v>1557</v>
      </c>
      <c r="E11030" s="8" t="s">
        <v>504</v>
      </c>
      <c r="F11030" s="5" t="s">
        <v>534</v>
      </c>
      <c r="G11030" s="6" t="str">
        <f>VLOOKUP(E11030,dicionario!$A$1:$C11429,2,0)</f>
        <v>Cleome aculeata</v>
      </c>
      <c r="H11030" s="6" t="str">
        <f>VLOOKUP(E11030,dicionario!$A$1:$C11429,3,0)</f>
        <v>cleome</v>
      </c>
    </row>
    <row r="11031">
      <c r="A11031" s="3">
        <v>45826.0</v>
      </c>
      <c r="B11031" s="4">
        <v>0.3194444444444444</v>
      </c>
      <c r="C11031" s="5" t="s">
        <v>76</v>
      </c>
      <c r="D11031" s="5" t="s">
        <v>1557</v>
      </c>
      <c r="E11031" s="6" t="s">
        <v>328</v>
      </c>
      <c r="F11031" s="5" t="s">
        <v>329</v>
      </c>
      <c r="G11031" s="6" t="str">
        <f>VLOOKUP(E11031,dicionario!$A$1:$C11430,2,0)</f>
        <v>Rivina humilis</v>
      </c>
      <c r="H11031" s="6" t="str">
        <f>VLOOKUP(E11031,dicionario!$A$1:$C11430,3,0)</f>
        <v>baga-de-sangue</v>
      </c>
    </row>
    <row r="11032">
      <c r="A11032" s="3">
        <v>45826.0</v>
      </c>
      <c r="B11032" s="4">
        <v>0.32013888888888886</v>
      </c>
      <c r="C11032" s="5" t="s">
        <v>76</v>
      </c>
      <c r="D11032" s="5" t="s">
        <v>1557</v>
      </c>
      <c r="E11032" s="12" t="s">
        <v>111</v>
      </c>
      <c r="F11032" s="5" t="s">
        <v>112</v>
      </c>
      <c r="G11032" s="6" t="str">
        <f>VLOOKUP(E11032,dicionario!$A$1:$C11431,2,0)</f>
        <v>Trigona spinipes</v>
      </c>
      <c r="H11032" s="6" t="str">
        <f>VLOOKUP(E11032,dicionario!$A$1:$C11431,3,0)</f>
        <v>abelha-cachorro</v>
      </c>
    </row>
    <row r="11033">
      <c r="A11033" s="3">
        <v>45826.0</v>
      </c>
      <c r="B11033" s="4">
        <v>0.32013888888888886</v>
      </c>
      <c r="C11033" s="5" t="s">
        <v>76</v>
      </c>
      <c r="D11033" s="5" t="s">
        <v>1557</v>
      </c>
      <c r="E11033" s="11" t="s">
        <v>392</v>
      </c>
      <c r="F11033" s="5" t="s">
        <v>393</v>
      </c>
      <c r="G11033" s="6" t="str">
        <f>VLOOKUP(E11033,dicionario!$A$1:$C11432,2,0)</f>
        <v>Triplaris americana</v>
      </c>
      <c r="H11033" s="6" t="str">
        <f>VLOOKUP(E11033,dicionario!$A$1:$C11432,3,0)</f>
        <v>pau-formiga </v>
      </c>
    </row>
    <row r="11034">
      <c r="A11034" s="3">
        <v>45826.0</v>
      </c>
      <c r="B11034" s="4">
        <v>0.32083333333333336</v>
      </c>
      <c r="C11034" s="5" t="s">
        <v>76</v>
      </c>
      <c r="D11034" s="5" t="s">
        <v>1557</v>
      </c>
      <c r="E11034" s="6" t="s">
        <v>86</v>
      </c>
      <c r="F11034" s="5" t="s">
        <v>502</v>
      </c>
      <c r="G11034" s="6" t="str">
        <f>VLOOKUP(E11034,dicionario!$A$1:$C11433,2,0)</f>
        <v>Coereba flaveola</v>
      </c>
      <c r="H11034" s="6" t="str">
        <f>VLOOKUP(E11034,dicionario!$A$1:$C11433,3,0)</f>
        <v>cambacica</v>
      </c>
    </row>
    <row r="11035">
      <c r="A11035" s="3">
        <v>45826.0</v>
      </c>
      <c r="B11035" s="4">
        <v>0.32083333333333336</v>
      </c>
      <c r="C11035" s="5" t="s">
        <v>76</v>
      </c>
      <c r="D11035" s="5" t="s">
        <v>1557</v>
      </c>
      <c r="E11035" s="8" t="s">
        <v>946</v>
      </c>
      <c r="F11035" s="5" t="s">
        <v>947</v>
      </c>
      <c r="G11035" s="6" t="str">
        <f>VLOOKUP(E11035,dicionario!$A$1:$C11434,2,0)</f>
        <v>Thorybes dorantes</v>
      </c>
      <c r="H11035" s="6" t="str">
        <f>VLOOKUP(E11035,dicionario!$A$1:$C11434,3,0)</f>
        <v>mariposa-de-cauda-lilás</v>
      </c>
    </row>
    <row r="11036">
      <c r="A11036" s="3">
        <v>45826.0</v>
      </c>
      <c r="B11036" s="4">
        <v>0.3215277777777778</v>
      </c>
      <c r="C11036" s="5" t="s">
        <v>76</v>
      </c>
      <c r="D11036" s="5" t="s">
        <v>1557</v>
      </c>
      <c r="E11036" s="6" t="s">
        <v>187</v>
      </c>
      <c r="F11036" s="5" t="s">
        <v>70</v>
      </c>
      <c r="G11036" s="6" t="str">
        <f>VLOOKUP(E11036,dicionario!$A$1:$C11435,2,0)</f>
        <v>Tangara cayana</v>
      </c>
      <c r="H11036" s="6" t="str">
        <f>VLOOKUP(E11036,dicionario!$A$1:$C11435,3,0)</f>
        <v>saíra-amarela</v>
      </c>
    </row>
    <row r="11037">
      <c r="A11037" s="3">
        <v>45826.0</v>
      </c>
      <c r="B11037" s="4">
        <v>0.3215277777777778</v>
      </c>
      <c r="C11037" s="5" t="s">
        <v>76</v>
      </c>
      <c r="D11037" s="5" t="s">
        <v>1557</v>
      </c>
      <c r="E11037" s="6" t="s">
        <v>383</v>
      </c>
      <c r="F11037" s="5" t="s">
        <v>384</v>
      </c>
      <c r="G11037" s="6" t="str">
        <f>VLOOKUP(E11037,dicionario!$A$1:$C11436,2,0)</f>
        <v>Setophaga pitiayumi</v>
      </c>
      <c r="H11037" s="6" t="str">
        <f>VLOOKUP(E11037,dicionario!$A$1:$C11436,3,0)</f>
        <v>mariquita</v>
      </c>
    </row>
    <row r="11038">
      <c r="A11038" s="3">
        <v>45826.0</v>
      </c>
      <c r="B11038" s="4">
        <v>0.3215277777777778</v>
      </c>
      <c r="C11038" s="5" t="s">
        <v>85</v>
      </c>
      <c r="D11038" s="5" t="s">
        <v>1557</v>
      </c>
      <c r="E11038" s="8" t="s">
        <v>88</v>
      </c>
      <c r="F11038" s="5" t="s">
        <v>782</v>
      </c>
      <c r="G11038" s="6" t="str">
        <f>VLOOKUP(E11038,dicionario!$A$1:$C11437,2,0)</f>
        <v>Tyrannus melancolichus</v>
      </c>
      <c r="H11038" s="6" t="str">
        <f>VLOOKUP(E11038,dicionario!$A$1:$C11437,3,0)</f>
        <v>suiriri</v>
      </c>
    </row>
    <row r="11039">
      <c r="A11039" s="3">
        <v>45826.0</v>
      </c>
      <c r="B11039" s="4">
        <v>0.325</v>
      </c>
      <c r="C11039" s="5" t="s">
        <v>85</v>
      </c>
      <c r="D11039" s="5" t="s">
        <v>1557</v>
      </c>
      <c r="E11039" s="8" t="s">
        <v>298</v>
      </c>
      <c r="F11039" s="5"/>
      <c r="G11039" s="6" t="str">
        <f>VLOOKUP(E11039,dicionario!$A$1:$C11438,2,0)</f>
        <v>Alysicarpus vaginalis</v>
      </c>
      <c r="H11039" s="6" t="str">
        <f>VLOOKUP(E11039,dicionario!$A$1:$C11438,3,0)</f>
        <v/>
      </c>
    </row>
    <row r="11040">
      <c r="A11040" s="3">
        <v>45826.0</v>
      </c>
      <c r="B11040" s="4">
        <v>0.32569444444444445</v>
      </c>
      <c r="C11040" s="5" t="s">
        <v>85</v>
      </c>
      <c r="D11040" s="5" t="s">
        <v>1557</v>
      </c>
      <c r="E11040" s="8" t="s">
        <v>1495</v>
      </c>
      <c r="F11040" s="5" t="s">
        <v>42</v>
      </c>
      <c r="G11040" s="6" t="str">
        <f>VLOOKUP(E11040,dicionario!$A$1:$C11439,2,0)</f>
        <v>#N/A</v>
      </c>
      <c r="H11040" s="6" t="str">
        <f>VLOOKUP(E11040,dicionario!$A$1:$C11439,3,0)</f>
        <v>#N/A</v>
      </c>
    </row>
    <row r="11041">
      <c r="A11041" s="3">
        <v>45826.0</v>
      </c>
      <c r="B11041" s="4">
        <v>0.3263888888888889</v>
      </c>
      <c r="C11041" s="5" t="s">
        <v>85</v>
      </c>
      <c r="D11041" s="5" t="s">
        <v>1557</v>
      </c>
      <c r="E11041" s="8" t="s">
        <v>109</v>
      </c>
      <c r="F11041" s="5" t="s">
        <v>110</v>
      </c>
      <c r="G11041" s="6" t="str">
        <f>VLOOKUP(E11041,dicionario!$A$1:$C11440,2,0)</f>
        <v>Tillandsia stricta</v>
      </c>
      <c r="H11041" s="6" t="str">
        <f>VLOOKUP(E11041,dicionario!$A$1:$C11440,3,0)</f>
        <v>cravo-do-mato</v>
      </c>
    </row>
    <row r="11042">
      <c r="A11042" s="3">
        <v>45826.0</v>
      </c>
      <c r="B11042" s="4">
        <v>0.3263888888888889</v>
      </c>
      <c r="C11042" s="5" t="s">
        <v>85</v>
      </c>
      <c r="D11042" s="5" t="s">
        <v>1557</v>
      </c>
      <c r="E11042" s="8" t="s">
        <v>1568</v>
      </c>
      <c r="F11042" s="5" t="s">
        <v>1569</v>
      </c>
      <c r="G11042" s="6" t="str">
        <f>VLOOKUP(E11042,dicionario!$A$1:$C11441,2,0)</f>
        <v>#N/A</v>
      </c>
      <c r="H11042" s="6" t="str">
        <f>VLOOKUP(E11042,dicionario!$A$1:$C11441,3,0)</f>
        <v>#N/A</v>
      </c>
    </row>
    <row r="11043">
      <c r="A11043" s="3">
        <v>45826.0</v>
      </c>
      <c r="B11043" s="4">
        <v>0.3263888888888889</v>
      </c>
      <c r="C11043" s="5" t="s">
        <v>85</v>
      </c>
      <c r="D11043" s="5" t="s">
        <v>1557</v>
      </c>
      <c r="E11043" s="8" t="s">
        <v>719</v>
      </c>
      <c r="F11043" s="5" t="s">
        <v>911</v>
      </c>
      <c r="G11043" s="6" t="str">
        <f>VLOOKUP(E11043,dicionario!$A$1:$C11442,2,0)</f>
        <v>Dirinaria</v>
      </c>
      <c r="H11043" s="6" t="str">
        <f>VLOOKUP(E11043,dicionario!$A$1:$C11442,3,0)</f>
        <v>líquen-crostoso</v>
      </c>
    </row>
    <row r="11044">
      <c r="A11044" s="3">
        <v>45826.0</v>
      </c>
      <c r="B11044" s="4">
        <v>0.32708333333333334</v>
      </c>
      <c r="C11044" s="5" t="s">
        <v>85</v>
      </c>
      <c r="D11044" s="5" t="s">
        <v>1557</v>
      </c>
      <c r="E11044" s="8" t="s">
        <v>353</v>
      </c>
      <c r="F11044" s="5" t="s">
        <v>354</v>
      </c>
      <c r="G11044" s="6" t="str">
        <f>VLOOKUP(E11044,dicionario!$A$1:$C11443,2,0)</f>
        <v>Desmodium incanum</v>
      </c>
      <c r="H11044" s="6" t="str">
        <f>VLOOKUP(E11044,dicionario!$A$1:$C11443,3,0)</f>
        <v>pega-pega</v>
      </c>
    </row>
    <row r="11045">
      <c r="A11045" s="3">
        <v>45826.0</v>
      </c>
      <c r="B11045" s="4">
        <v>0.3277777777777778</v>
      </c>
      <c r="C11045" s="5" t="s">
        <v>85</v>
      </c>
      <c r="D11045" s="5" t="s">
        <v>1557</v>
      </c>
      <c r="E11045" s="8" t="s">
        <v>1329</v>
      </c>
      <c r="F11045" s="5" t="s">
        <v>703</v>
      </c>
      <c r="G11045" s="6" t="str">
        <f>VLOOKUP(E11045,dicionario!$A$1:$C11444,2,0)</f>
        <v>#N/A</v>
      </c>
      <c r="H11045" s="6" t="str">
        <f>VLOOKUP(E11045,dicionario!$A$1:$C11444,3,0)</f>
        <v>#N/A</v>
      </c>
    </row>
    <row r="11046">
      <c r="A11046" s="3">
        <v>45826.0</v>
      </c>
      <c r="B11046" s="4">
        <v>0.3284722222222222</v>
      </c>
      <c r="C11046" s="5" t="s">
        <v>85</v>
      </c>
      <c r="D11046" s="5" t="s">
        <v>1557</v>
      </c>
      <c r="E11046" s="8" t="s">
        <v>177</v>
      </c>
      <c r="F11046" s="5" t="s">
        <v>178</v>
      </c>
      <c r="G11046" s="6" t="str">
        <f>VLOOKUP(E11046,dicionario!$A$1:$C11445,2,0)</f>
        <v>Elaenia flavogaster</v>
      </c>
      <c r="H11046" s="6" t="str">
        <f>VLOOKUP(E11046,dicionario!$A$1:$C11445,3,0)</f>
        <v>guaracava-de-barriga-amarela</v>
      </c>
    </row>
    <row r="11047">
      <c r="A11047" s="3">
        <v>45826.0</v>
      </c>
      <c r="B11047" s="4">
        <v>0.3284722222222222</v>
      </c>
      <c r="C11047" s="5" t="s">
        <v>85</v>
      </c>
      <c r="D11047" s="5" t="s">
        <v>1557</v>
      </c>
      <c r="E11047" s="8" t="s">
        <v>712</v>
      </c>
      <c r="F11047" s="5" t="s">
        <v>912</v>
      </c>
      <c r="G11047" s="6" t="str">
        <f>VLOOKUP(E11047,dicionario!$A$1:$C11446,2,0)</f>
        <v>Flavopunctelia soredica</v>
      </c>
      <c r="H11047" s="6" t="str">
        <f>VLOOKUP(E11047,dicionario!$A$1:$C11446,3,0)</f>
        <v>líquen-folioso</v>
      </c>
    </row>
    <row r="11048">
      <c r="A11048" s="3">
        <v>45826.0</v>
      </c>
      <c r="B11048" s="4">
        <v>0.32916666666666666</v>
      </c>
      <c r="C11048" s="5" t="s">
        <v>85</v>
      </c>
      <c r="D11048" s="5" t="s">
        <v>1557</v>
      </c>
      <c r="E11048" s="8" t="s">
        <v>72</v>
      </c>
      <c r="F11048" s="5" t="s">
        <v>73</v>
      </c>
      <c r="G11048" s="6" t="str">
        <f>VLOOKUP(E11048,dicionario!$A$1:$C11447,2,0)</f>
        <v>Thraupis palmarum</v>
      </c>
      <c r="H11048" s="6" t="str">
        <f>VLOOKUP(E11048,dicionario!$A$1:$C11447,3,0)</f>
        <v>sanhaço-do-coqueiro</v>
      </c>
    </row>
    <row r="11049">
      <c r="A11049" s="3">
        <v>45826.0</v>
      </c>
      <c r="B11049" s="4">
        <v>0.32916666666666666</v>
      </c>
      <c r="C11049" s="5" t="s">
        <v>85</v>
      </c>
      <c r="D11049" s="5" t="s">
        <v>1557</v>
      </c>
      <c r="E11049" s="8" t="s">
        <v>1087</v>
      </c>
      <c r="F11049" s="5" t="s">
        <v>1088</v>
      </c>
      <c r="G11049" s="6" t="str">
        <f>VLOOKUP(E11049,dicionario!$A$1:$C11448,2,0)</f>
        <v>Desmodium triflorum</v>
      </c>
      <c r="H11049" s="6" t="str">
        <f>VLOOKUP(E11049,dicionario!$A$1:$C11448,3,0)</f>
        <v/>
      </c>
    </row>
    <row r="11050">
      <c r="A11050" s="3">
        <v>45826.0</v>
      </c>
      <c r="B11050" s="4">
        <v>0.3298611111111111</v>
      </c>
      <c r="C11050" s="5" t="s">
        <v>85</v>
      </c>
      <c r="D11050" s="5" t="s">
        <v>1557</v>
      </c>
      <c r="E11050" s="8" t="s">
        <v>517</v>
      </c>
      <c r="F11050" s="5" t="s">
        <v>1446</v>
      </c>
      <c r="G11050" s="6" t="str">
        <f>VLOOKUP(E11050,dicionario!$A$1:$C11449,2,0)</f>
        <v>Evolvulus nummularius</v>
      </c>
      <c r="H11050" s="6" t="str">
        <f>VLOOKUP(E11050,dicionario!$A$1:$C11449,3,0)</f>
        <v/>
      </c>
    </row>
    <row r="11051">
      <c r="A11051" s="3">
        <v>45826.0</v>
      </c>
      <c r="B11051" s="4">
        <v>0.3298611111111111</v>
      </c>
      <c r="C11051" s="5" t="s">
        <v>90</v>
      </c>
      <c r="D11051" s="5" t="s">
        <v>1557</v>
      </c>
      <c r="E11051" s="8" t="s">
        <v>109</v>
      </c>
      <c r="F11051" s="5" t="s">
        <v>110</v>
      </c>
      <c r="G11051" s="6" t="str">
        <f>VLOOKUP(E11051,dicionario!$A$1:$C11450,2,0)</f>
        <v>Tillandsia stricta</v>
      </c>
      <c r="H11051" s="6" t="str">
        <f>VLOOKUP(E11051,dicionario!$A$1:$C11450,3,0)</f>
        <v>cravo-do-mato</v>
      </c>
    </row>
    <row r="11052">
      <c r="A11052" s="3">
        <v>45826.0</v>
      </c>
      <c r="B11052" s="4">
        <v>0.33055555555555555</v>
      </c>
      <c r="C11052" s="5" t="s">
        <v>90</v>
      </c>
      <c r="D11052" s="5" t="s">
        <v>1557</v>
      </c>
      <c r="E11052" s="8" t="s">
        <v>1427</v>
      </c>
      <c r="F11052" s="5" t="s">
        <v>44</v>
      </c>
      <c r="G11052" s="6" t="str">
        <f>VLOOKUP(E11052,dicionario!$A$1:$C11451,2,0)</f>
        <v>#N/A</v>
      </c>
      <c r="H11052" s="6" t="str">
        <f>VLOOKUP(E11052,dicionario!$A$1:$C11451,3,0)</f>
        <v>#N/A</v>
      </c>
    </row>
    <row r="11053">
      <c r="A11053" s="3">
        <v>45826.0</v>
      </c>
      <c r="B11053" s="4">
        <v>0.3326388888888889</v>
      </c>
      <c r="C11053" s="5" t="s">
        <v>90</v>
      </c>
      <c r="D11053" s="5" t="s">
        <v>1557</v>
      </c>
      <c r="E11053" s="8" t="s">
        <v>65</v>
      </c>
      <c r="F11053" s="5" t="s">
        <v>66</v>
      </c>
      <c r="G11053" s="6" t="str">
        <f>VLOOKUP(E11053,dicionario!$A$1:$C11452,2,0)</f>
        <v>Pitangus sulphutarus</v>
      </c>
      <c r="H11053" s="6" t="str">
        <f>VLOOKUP(E11053,dicionario!$A$1:$C11452,3,0)</f>
        <v>bem-te-vi</v>
      </c>
    </row>
    <row r="11054">
      <c r="A11054" s="3">
        <v>45826.0</v>
      </c>
      <c r="B11054" s="4">
        <v>0.3333333333333333</v>
      </c>
      <c r="C11054" s="5" t="s">
        <v>90</v>
      </c>
      <c r="D11054" s="5" t="s">
        <v>1557</v>
      </c>
      <c r="E11054" s="8" t="s">
        <v>453</v>
      </c>
      <c r="F11054" s="5" t="s">
        <v>216</v>
      </c>
      <c r="G11054" s="6" t="str">
        <f>VLOOKUP(E11054,dicionario!$A$1:$C11453,2,0)</f>
        <v>Notiochelidon cyanoleuca</v>
      </c>
      <c r="H11054" s="6" t="str">
        <f>VLOOKUP(E11054,dicionario!$A$1:$C11453,3,0)</f>
        <v>andorinha-pequena-de-casa</v>
      </c>
    </row>
    <row r="11055">
      <c r="A11055" s="3">
        <v>45826.0</v>
      </c>
      <c r="B11055" s="4">
        <v>0.3347222222222222</v>
      </c>
      <c r="C11055" s="5" t="s">
        <v>90</v>
      </c>
      <c r="D11055" s="5" t="s">
        <v>1557</v>
      </c>
      <c r="E11055" s="8" t="s">
        <v>719</v>
      </c>
      <c r="F11055" s="5" t="s">
        <v>911</v>
      </c>
      <c r="G11055" s="6" t="str">
        <f>VLOOKUP(E11055,dicionario!$A$1:$C11454,2,0)</f>
        <v>Dirinaria</v>
      </c>
      <c r="H11055" s="6" t="str">
        <f>VLOOKUP(E11055,dicionario!$A$1:$C11454,3,0)</f>
        <v>líquen-crostoso</v>
      </c>
    </row>
    <row r="11056">
      <c r="A11056" s="3">
        <v>45826.0</v>
      </c>
      <c r="B11056" s="4">
        <v>0.33541666666666664</v>
      </c>
      <c r="C11056" s="5" t="s">
        <v>90</v>
      </c>
      <c r="D11056" s="5" t="s">
        <v>1557</v>
      </c>
      <c r="E11056" s="8" t="s">
        <v>712</v>
      </c>
      <c r="F11056" s="5" t="s">
        <v>912</v>
      </c>
      <c r="G11056" s="6" t="str">
        <f>VLOOKUP(E11056,dicionario!$A$1:$C11455,2,0)</f>
        <v>Flavopunctelia soredica</v>
      </c>
      <c r="H11056" s="6" t="str">
        <f>VLOOKUP(E11056,dicionario!$A$1:$C11455,3,0)</f>
        <v>líquen-folioso</v>
      </c>
    </row>
    <row r="11057">
      <c r="A11057" s="3">
        <v>45826.0</v>
      </c>
      <c r="B11057" s="4">
        <v>0.33541666666666664</v>
      </c>
      <c r="C11057" s="5" t="s">
        <v>90</v>
      </c>
      <c r="D11057" s="5" t="s">
        <v>1557</v>
      </c>
      <c r="E11057" s="8" t="s">
        <v>107</v>
      </c>
      <c r="F11057" s="5" t="s">
        <v>108</v>
      </c>
      <c r="G11057" s="6" t="str">
        <f>VLOOKUP(E11057,dicionario!$A$1:$C11456,2,0)</f>
        <v>Ramalina complanata</v>
      </c>
      <c r="H11057" s="6" t="str">
        <f>VLOOKUP(E11057,dicionario!$A$1:$C11456,3,0)</f>
        <v>ramalina</v>
      </c>
    </row>
    <row r="11058">
      <c r="A11058" s="3">
        <v>45826.0</v>
      </c>
      <c r="B11058" s="4">
        <v>0.33541666666666664</v>
      </c>
      <c r="C11058" s="5" t="s">
        <v>90</v>
      </c>
      <c r="D11058" s="5" t="s">
        <v>1557</v>
      </c>
      <c r="E11058" s="8" t="s">
        <v>1024</v>
      </c>
      <c r="F11058" s="5" t="s">
        <v>969</v>
      </c>
      <c r="G11058" s="6" t="str">
        <f>VLOOKUP(E11058,dicionario!$A$1:$C11457,2,0)</f>
        <v>Usnea barbata</v>
      </c>
      <c r="H11058" s="6" t="str">
        <f>VLOOKUP(E11058,dicionario!$A$1:$C11457,3,0)</f>
        <v>barba-de-velho</v>
      </c>
    </row>
    <row r="11059">
      <c r="A11059" s="3">
        <v>45826.0</v>
      </c>
      <c r="B11059" s="4">
        <v>0.33541666666666664</v>
      </c>
      <c r="C11059" s="5" t="s">
        <v>90</v>
      </c>
      <c r="D11059" s="5" t="s">
        <v>1557</v>
      </c>
      <c r="E11059" s="8" t="s">
        <v>338</v>
      </c>
      <c r="F11059" s="5" t="s">
        <v>238</v>
      </c>
      <c r="G11059" s="6" t="str">
        <f>VLOOKUP(E11059,dicionario!$A$1:$C11458,2,0)</f>
        <v>Atta</v>
      </c>
      <c r="H11059" s="6" t="str">
        <f>VLOOKUP(E11059,dicionario!$A$1:$C11458,3,0)</f>
        <v>saúva</v>
      </c>
    </row>
    <row r="11060">
      <c r="A11060" s="3">
        <v>45826.0</v>
      </c>
      <c r="B11060" s="4">
        <v>0.3368055555555556</v>
      </c>
      <c r="C11060" s="5" t="s">
        <v>90</v>
      </c>
      <c r="D11060" s="5" t="s">
        <v>1557</v>
      </c>
      <c r="E11060" s="8" t="s">
        <v>200</v>
      </c>
      <c r="F11060" s="5" t="s">
        <v>201</v>
      </c>
      <c r="G11060" s="6" t="str">
        <f>VLOOKUP(E11060,dicionario!$A$1:$C11459,2,0)</f>
        <v>Columbina picui </v>
      </c>
      <c r="H11060" s="6" t="str">
        <f>VLOOKUP(E11060,dicionario!$A$1:$C11459,3,0)</f>
        <v>rolinha-picuí</v>
      </c>
    </row>
    <row r="11061">
      <c r="A11061" s="3">
        <v>45826.0</v>
      </c>
      <c r="B11061" s="4">
        <v>0.3375</v>
      </c>
      <c r="C11061" s="5" t="s">
        <v>90</v>
      </c>
      <c r="D11061" s="5" t="s">
        <v>1557</v>
      </c>
      <c r="E11061" s="8" t="s">
        <v>1195</v>
      </c>
      <c r="F11061" s="5" t="s">
        <v>1565</v>
      </c>
      <c r="G11061" s="6" t="str">
        <f>VLOOKUP(E11061,dicionario!$A$1:$C11460,2,0)</f>
        <v>#N/A</v>
      </c>
      <c r="H11061" s="6" t="str">
        <f>VLOOKUP(E11061,dicionario!$A$1:$C11460,3,0)</f>
        <v>#N/A</v>
      </c>
    </row>
    <row r="11062">
      <c r="A11062" s="3">
        <v>45826.0</v>
      </c>
      <c r="B11062" s="4">
        <v>0.33819444444444446</v>
      </c>
      <c r="C11062" s="5" t="s">
        <v>90</v>
      </c>
      <c r="D11062" s="5" t="s">
        <v>1557</v>
      </c>
      <c r="E11062" s="8" t="s">
        <v>72</v>
      </c>
      <c r="F11062" s="5" t="s">
        <v>73</v>
      </c>
      <c r="G11062" s="6" t="str">
        <f>VLOOKUP(E11062,dicionario!$A$1:$C11461,2,0)</f>
        <v>Thraupis palmarum</v>
      </c>
      <c r="H11062" s="6" t="str">
        <f>VLOOKUP(E11062,dicionario!$A$1:$C11461,3,0)</f>
        <v>sanhaço-do-coqueiro</v>
      </c>
    </row>
    <row r="11063">
      <c r="A11063" s="3">
        <v>45834.0</v>
      </c>
      <c r="B11063" s="4">
        <v>0.2659722222222222</v>
      </c>
      <c r="C11063" s="5" t="s">
        <v>90</v>
      </c>
      <c r="D11063" s="5" t="s">
        <v>1570</v>
      </c>
      <c r="E11063" s="8" t="s">
        <v>624</v>
      </c>
      <c r="F11063" s="5" t="s">
        <v>133</v>
      </c>
      <c r="G11063" s="6" t="str">
        <f>VLOOKUP(E11063,dicionario!$A$1:$C11462,2,0)</f>
        <v>Euphonia violacea</v>
      </c>
      <c r="H11063" s="6" t="str">
        <f>VLOOKUP(E11063,dicionario!$A$1:$C11462,3,0)</f>
        <v>gaturamo-verdadeiro</v>
      </c>
    </row>
    <row r="11064">
      <c r="A11064" s="3">
        <v>45834.0</v>
      </c>
      <c r="B11064" s="4">
        <v>0.2659722222222222</v>
      </c>
      <c r="C11064" s="5" t="s">
        <v>90</v>
      </c>
      <c r="D11064" s="5" t="s">
        <v>1570</v>
      </c>
      <c r="E11064" s="8" t="s">
        <v>109</v>
      </c>
      <c r="F11064" s="5" t="s">
        <v>110</v>
      </c>
      <c r="G11064" s="6" t="str">
        <f>VLOOKUP(E11064,dicionario!$A$1:$C11463,2,0)</f>
        <v>Tillandsia stricta</v>
      </c>
      <c r="H11064" s="6" t="str">
        <f>VLOOKUP(E11064,dicionario!$A$1:$C11463,3,0)</f>
        <v>cravo-do-mato</v>
      </c>
    </row>
    <row r="11065">
      <c r="A11065" s="3">
        <v>45834.0</v>
      </c>
      <c r="B11065" s="4">
        <v>0.2659722222222222</v>
      </c>
      <c r="C11065" s="5" t="s">
        <v>90</v>
      </c>
      <c r="D11065" s="5" t="s">
        <v>1570</v>
      </c>
      <c r="E11065" s="8" t="s">
        <v>712</v>
      </c>
      <c r="F11065" s="5" t="s">
        <v>912</v>
      </c>
      <c r="G11065" s="6" t="str">
        <f>VLOOKUP(E11065,dicionario!$A$1:$C11464,2,0)</f>
        <v>Flavopunctelia soredica</v>
      </c>
      <c r="H11065" s="6" t="str">
        <f>VLOOKUP(E11065,dicionario!$A$1:$C11464,3,0)</f>
        <v>líquen-folioso</v>
      </c>
    </row>
    <row r="11066">
      <c r="A11066" s="3">
        <v>45834.0</v>
      </c>
      <c r="B11066" s="4">
        <v>0.2659722222222222</v>
      </c>
      <c r="C11066" s="5" t="s">
        <v>90</v>
      </c>
      <c r="D11066" s="5" t="s">
        <v>1570</v>
      </c>
      <c r="E11066" s="8" t="s">
        <v>719</v>
      </c>
      <c r="F11066" s="5" t="s">
        <v>720</v>
      </c>
      <c r="G11066" s="6" t="str">
        <f>VLOOKUP(E11066,dicionario!$A$1:$C11465,2,0)</f>
        <v>Dirinaria</v>
      </c>
      <c r="H11066" s="6" t="str">
        <f>VLOOKUP(E11066,dicionario!$A$1:$C11465,3,0)</f>
        <v>líquen-crostoso</v>
      </c>
    </row>
    <row r="11067">
      <c r="A11067" s="3">
        <v>45834.0</v>
      </c>
      <c r="B11067" s="4">
        <v>0.26666666666666666</v>
      </c>
      <c r="C11067" s="5" t="s">
        <v>90</v>
      </c>
      <c r="D11067" s="5" t="s">
        <v>1570</v>
      </c>
      <c r="E11067" s="8" t="s">
        <v>1571</v>
      </c>
      <c r="F11067" s="5" t="s">
        <v>1572</v>
      </c>
      <c r="G11067" s="6" t="str">
        <f>VLOOKUP(E11067,dicionario!$A$1:$C11466,2,0)</f>
        <v>#N/A</v>
      </c>
      <c r="H11067" s="6" t="str">
        <f>VLOOKUP(E11067,dicionario!$A$1:$C11466,3,0)</f>
        <v>#N/A</v>
      </c>
    </row>
    <row r="11068">
      <c r="A11068" s="3">
        <v>45834.0</v>
      </c>
      <c r="B11068" s="4">
        <v>0.26666666666666666</v>
      </c>
      <c r="C11068" s="5" t="s">
        <v>90</v>
      </c>
      <c r="D11068" s="5" t="s">
        <v>1570</v>
      </c>
      <c r="E11068" s="8" t="s">
        <v>135</v>
      </c>
      <c r="F11068" s="5" t="s">
        <v>136</v>
      </c>
      <c r="G11068" s="6" t="str">
        <f>VLOOKUP(E11068,dicionario!$A$1:$C11467,2,0)</f>
        <v>Tridax procumbens</v>
      </c>
      <c r="H11068" s="6" t="str">
        <f>VLOOKUP(E11068,dicionario!$A$1:$C11467,3,0)</f>
        <v>erva-de-touro</v>
      </c>
    </row>
    <row r="11069">
      <c r="A11069" s="3">
        <v>45834.0</v>
      </c>
      <c r="B11069" s="4">
        <v>0.26666666666666666</v>
      </c>
      <c r="C11069" s="5" t="s">
        <v>90</v>
      </c>
      <c r="D11069" s="5" t="s">
        <v>1570</v>
      </c>
      <c r="E11069" s="6" t="s">
        <v>383</v>
      </c>
      <c r="F11069" s="5" t="s">
        <v>1532</v>
      </c>
      <c r="G11069" s="6" t="str">
        <f>VLOOKUP(E11069,dicionario!$A$1:$C11468,2,0)</f>
        <v>Setophaga pitiayumi</v>
      </c>
      <c r="H11069" s="6" t="str">
        <f>VLOOKUP(E11069,dicionario!$A$1:$C11468,3,0)</f>
        <v>mariquita</v>
      </c>
    </row>
    <row r="11070">
      <c r="A11070" s="3">
        <v>45834.0</v>
      </c>
      <c r="B11070" s="4">
        <v>0.26666666666666666</v>
      </c>
      <c r="C11070" s="5" t="s">
        <v>90</v>
      </c>
      <c r="D11070" s="5" t="s">
        <v>1570</v>
      </c>
      <c r="E11070" s="6" t="s">
        <v>286</v>
      </c>
      <c r="F11070" s="5" t="s">
        <v>287</v>
      </c>
      <c r="G11070" s="6" t="str">
        <f>VLOOKUP(E11070,dicionario!$A$1:$C11469,2,0)</f>
        <v>Setaria parviflora</v>
      </c>
      <c r="H11070" s="6" t="str">
        <f>VLOOKUP(E11070,dicionario!$A$1:$C11469,3,0)</f>
        <v>capim-rabo-de-raposa</v>
      </c>
    </row>
    <row r="11071">
      <c r="A11071" s="3">
        <v>45834.0</v>
      </c>
      <c r="B11071" s="4">
        <v>0.26666666666666666</v>
      </c>
      <c r="C11071" s="5" t="s">
        <v>90</v>
      </c>
      <c r="D11071" s="5" t="s">
        <v>1570</v>
      </c>
      <c r="E11071" s="20" t="s">
        <v>676</v>
      </c>
      <c r="F11071" s="5" t="s">
        <v>677</v>
      </c>
      <c r="G11071" s="6" t="str">
        <f>VLOOKUP(E11071,dicionario!$A$1:$C11470,2,0)</f>
        <v>Zornia latifolia</v>
      </c>
      <c r="H11071" s="6" t="str">
        <f>VLOOKUP(E11071,dicionario!$A$1:$C11470,3,0)</f>
        <v>arrozinho-do-campo</v>
      </c>
    </row>
    <row r="11072">
      <c r="A11072" s="3">
        <v>45834.0</v>
      </c>
      <c r="B11072" s="4">
        <v>0.2673611111111111</v>
      </c>
      <c r="C11072" s="5" t="s">
        <v>90</v>
      </c>
      <c r="D11072" s="5" t="s">
        <v>1570</v>
      </c>
      <c r="E11072" s="8" t="s">
        <v>298</v>
      </c>
      <c r="F11072" s="5"/>
      <c r="G11072" s="6" t="str">
        <f>VLOOKUP(E11072,dicionario!$A$1:$C11471,2,0)</f>
        <v>Alysicarpus vaginalis</v>
      </c>
      <c r="H11072" s="6" t="str">
        <f>VLOOKUP(E11072,dicionario!$A$1:$C11471,3,0)</f>
        <v/>
      </c>
    </row>
    <row r="11073">
      <c r="A11073" s="3">
        <v>45834.0</v>
      </c>
      <c r="B11073" s="4">
        <v>0.2673611111111111</v>
      </c>
      <c r="C11073" s="5" t="s">
        <v>90</v>
      </c>
      <c r="D11073" s="5" t="s">
        <v>1570</v>
      </c>
      <c r="E11073" s="6" t="s">
        <v>146</v>
      </c>
      <c r="F11073" s="5" t="s">
        <v>147</v>
      </c>
      <c r="G11073" s="6" t="str">
        <f>VLOOKUP(E11073,dicionario!$A$1:$C11472,2,0)</f>
        <v>Euphorbia hirta</v>
      </c>
      <c r="H11073" s="6" t="str">
        <f>VLOOKUP(E11073,dicionario!$A$1:$C11472,3,0)</f>
        <v>erva-de-santa-luzia</v>
      </c>
    </row>
    <row r="11074">
      <c r="A11074" s="3">
        <v>45834.0</v>
      </c>
      <c r="B11074" s="4">
        <v>0.2673611111111111</v>
      </c>
      <c r="C11074" s="5" t="s">
        <v>90</v>
      </c>
      <c r="D11074" s="5" t="s">
        <v>1570</v>
      </c>
      <c r="E11074" s="8" t="s">
        <v>65</v>
      </c>
      <c r="F11074" s="5" t="s">
        <v>66</v>
      </c>
      <c r="G11074" s="6" t="str">
        <f>VLOOKUP(E11074,dicionario!$A$1:$C11473,2,0)</f>
        <v>Pitangus sulphutarus</v>
      </c>
      <c r="H11074" s="6" t="str">
        <f>VLOOKUP(E11074,dicionario!$A$1:$C11473,3,0)</f>
        <v>bem-te-vi</v>
      </c>
    </row>
    <row r="11075">
      <c r="A11075" s="3">
        <v>45834.0</v>
      </c>
      <c r="B11075" s="4">
        <v>0.26805555555555555</v>
      </c>
      <c r="C11075" s="5" t="s">
        <v>90</v>
      </c>
      <c r="D11075" s="5" t="s">
        <v>1570</v>
      </c>
      <c r="E11075" s="6" t="s">
        <v>213</v>
      </c>
      <c r="F11075" s="5" t="s">
        <v>1573</v>
      </c>
      <c r="G11075" s="6" t="str">
        <f>VLOOKUP(E11075,dicionario!$A$1:$C11474,2,0)</f>
        <v>Myiozetetes similis</v>
      </c>
      <c r="H11075" s="6" t="str">
        <f>VLOOKUP(E11075,dicionario!$A$1:$C11474,3,0)</f>
        <v>bentevizinho-de-penacho-vermelho</v>
      </c>
    </row>
    <row r="11076">
      <c r="A11076" s="3">
        <v>45834.0</v>
      </c>
      <c r="B11076" s="4">
        <v>0.26805555555555555</v>
      </c>
      <c r="C11076" s="5" t="s">
        <v>90</v>
      </c>
      <c r="D11076" s="5" t="s">
        <v>1570</v>
      </c>
      <c r="E11076" s="8" t="s">
        <v>253</v>
      </c>
      <c r="F11076" s="5" t="s">
        <v>1574</v>
      </c>
      <c r="G11076" s="6" t="str">
        <f>VLOOKUP(E11076,dicionario!$A$1:$C11475,2,0)</f>
        <v>Panicum maximum</v>
      </c>
      <c r="H11076" s="6" t="str">
        <f>VLOOKUP(E11076,dicionario!$A$1:$C11475,3,0)</f>
        <v>capim-colonião</v>
      </c>
    </row>
    <row r="11077">
      <c r="A11077" s="3">
        <v>45834.0</v>
      </c>
      <c r="B11077" s="4">
        <v>0.2701388888888889</v>
      </c>
      <c r="C11077" s="5" t="s">
        <v>90</v>
      </c>
      <c r="D11077" s="5" t="s">
        <v>1570</v>
      </c>
      <c r="E11077" s="6" t="s">
        <v>60</v>
      </c>
      <c r="F11077" s="5" t="s">
        <v>61</v>
      </c>
      <c r="G11077" s="6" t="str">
        <f>VLOOKUP(E11077,dicionario!$A$1:$C11476,2,0)</f>
        <v>Vanellus chilensis</v>
      </c>
      <c r="H11077" s="6" t="str">
        <f>VLOOKUP(E11077,dicionario!$A$1:$C11476,3,0)</f>
        <v>quero-quero</v>
      </c>
    </row>
    <row r="11078">
      <c r="A11078" s="3">
        <v>45834.0</v>
      </c>
      <c r="B11078" s="4">
        <v>0.2701388888888889</v>
      </c>
      <c r="C11078" s="5" t="s">
        <v>90</v>
      </c>
      <c r="D11078" s="5" t="s">
        <v>1570</v>
      </c>
      <c r="E11078" s="8" t="s">
        <v>1549</v>
      </c>
      <c r="F11078" s="5" t="s">
        <v>929</v>
      </c>
      <c r="G11078" s="6" t="str">
        <f>VLOOKUP(E11078,dicionario!$A$1:$C11477,2,0)</f>
        <v>Atta</v>
      </c>
      <c r="H11078" s="6" t="str">
        <f>VLOOKUP(E11078,dicionario!$A$1:$C11477,3,0)</f>
        <v>saúva</v>
      </c>
    </row>
    <row r="11079">
      <c r="A11079" s="3">
        <v>45834.0</v>
      </c>
      <c r="B11079" s="4">
        <v>0.2701388888888889</v>
      </c>
      <c r="C11079" s="5" t="s">
        <v>90</v>
      </c>
      <c r="D11079" s="5" t="s">
        <v>1570</v>
      </c>
      <c r="E11079" s="6" t="s">
        <v>111</v>
      </c>
      <c r="F11079" s="5" t="s">
        <v>112</v>
      </c>
      <c r="G11079" s="6" t="str">
        <f>VLOOKUP(E11079,dicionario!$A$1:$C11478,2,0)</f>
        <v>Trigona spinipes</v>
      </c>
      <c r="H11079" s="6" t="str">
        <f>VLOOKUP(E11079,dicionario!$A$1:$C11478,3,0)</f>
        <v>abelha-cachorro</v>
      </c>
    </row>
    <row r="11080">
      <c r="A11080" s="3">
        <v>45834.0</v>
      </c>
      <c r="B11080" s="4">
        <v>0.2701388888888889</v>
      </c>
      <c r="C11080" s="5" t="s">
        <v>90</v>
      </c>
      <c r="D11080" s="5" t="s">
        <v>1570</v>
      </c>
      <c r="E11080" s="6" t="s">
        <v>191</v>
      </c>
      <c r="F11080" s="5" t="s">
        <v>192</v>
      </c>
      <c r="G11080" s="6" t="str">
        <f>VLOOKUP(E11080,dicionario!$A$1:$C11479,2,0)</f>
        <v>Patagioenas picazuro</v>
      </c>
      <c r="H11080" s="6" t="str">
        <f>VLOOKUP(E11080,dicionario!$A$1:$C11479,3,0)</f>
        <v>asa-branca; pomba-asa-branca; pocaçu</v>
      </c>
    </row>
    <row r="11081">
      <c r="A11081" s="3">
        <v>45834.0</v>
      </c>
      <c r="B11081" s="4">
        <v>0.2701388888888889</v>
      </c>
      <c r="C11081" s="5" t="s">
        <v>90</v>
      </c>
      <c r="D11081" s="5" t="s">
        <v>1570</v>
      </c>
      <c r="E11081" s="6" t="s">
        <v>113</v>
      </c>
      <c r="F11081" s="5" t="s">
        <v>114</v>
      </c>
      <c r="G11081" s="6" t="str">
        <f>VLOOKUP(E11081,dicionario!$A$1:$C11480,2,0)</f>
        <v>Columbina talpacoti</v>
      </c>
      <c r="H11081" s="6" t="str">
        <f>VLOOKUP(E11081,dicionario!$A$1:$C11480,3,0)</f>
        <v>rolinha-roxa</v>
      </c>
    </row>
    <row r="11082">
      <c r="A11082" s="3">
        <v>45834.0</v>
      </c>
      <c r="B11082" s="4">
        <v>0.2701388888888889</v>
      </c>
      <c r="C11082" s="5" t="s">
        <v>90</v>
      </c>
      <c r="D11082" s="5" t="s">
        <v>1570</v>
      </c>
      <c r="E11082" s="8" t="s">
        <v>606</v>
      </c>
      <c r="F11082" s="5" t="s">
        <v>607</v>
      </c>
      <c r="G11082" s="6" t="str">
        <f>VLOOKUP(E11082,dicionario!$A$1:$C11481,2,0)</f>
        <v>Elaenia spectabilis</v>
      </c>
      <c r="H11082" s="6" t="str">
        <f>VLOOKUP(E11082,dicionario!$A$1:$C11481,3,0)</f>
        <v>guaracava-grande</v>
      </c>
    </row>
    <row r="11083">
      <c r="A11083" s="3">
        <v>45834.0</v>
      </c>
      <c r="B11083" s="4">
        <v>0.2701388888888889</v>
      </c>
      <c r="C11083" s="5" t="s">
        <v>90</v>
      </c>
      <c r="D11083" s="5" t="s">
        <v>1570</v>
      </c>
      <c r="E11083" s="8" t="s">
        <v>1383</v>
      </c>
      <c r="F11083" s="5" t="s">
        <v>561</v>
      </c>
      <c r="G11083" s="6" t="str">
        <f>VLOOKUP(E11083,dicionario!$A$1:$C11482,2,0)</f>
        <v>#N/A</v>
      </c>
      <c r="H11083" s="6" t="str">
        <f>VLOOKUP(E11083,dicionario!$A$1:$C11482,3,0)</f>
        <v>#N/A</v>
      </c>
    </row>
    <row r="11084">
      <c r="A11084" s="3">
        <v>45834.0</v>
      </c>
      <c r="B11084" s="4">
        <v>0.2701388888888889</v>
      </c>
      <c r="C11084" s="5" t="s">
        <v>90</v>
      </c>
      <c r="D11084" s="5" t="s">
        <v>1570</v>
      </c>
      <c r="E11084" s="6" t="s">
        <v>193</v>
      </c>
      <c r="F11084" s="5" t="s">
        <v>194</v>
      </c>
      <c r="G11084" s="6" t="str">
        <f>VLOOKUP(E11084,dicionario!$A$1:$C11483,2,0)</f>
        <v>Conirostrum speciosum</v>
      </c>
      <c r="H11084" s="6" t="str">
        <f>VLOOKUP(E11084,dicionario!$A$1:$C11483,3,0)</f>
        <v>figuinha-de-rabo-castanho</v>
      </c>
    </row>
    <row r="11085">
      <c r="A11085" s="3">
        <v>45834.0</v>
      </c>
      <c r="B11085" s="4">
        <v>0.2701388888888889</v>
      </c>
      <c r="C11085" s="5" t="s">
        <v>90</v>
      </c>
      <c r="D11085" s="5" t="s">
        <v>1570</v>
      </c>
      <c r="E11085" s="6" t="s">
        <v>72</v>
      </c>
      <c r="F11085" s="5" t="s">
        <v>73</v>
      </c>
      <c r="G11085" s="6" t="str">
        <f>VLOOKUP(E11085,dicionario!$A$1:$C11484,2,0)</f>
        <v>Thraupis palmarum</v>
      </c>
      <c r="H11085" s="6" t="str">
        <f>VLOOKUP(E11085,dicionario!$A$1:$C11484,3,0)</f>
        <v>sanhaço-do-coqueiro</v>
      </c>
    </row>
    <row r="11086">
      <c r="A11086" s="3">
        <v>45834.0</v>
      </c>
      <c r="B11086" s="4">
        <v>0.27152777777777776</v>
      </c>
      <c r="C11086" s="5" t="s">
        <v>90</v>
      </c>
      <c r="D11086" s="5" t="s">
        <v>1570</v>
      </c>
      <c r="E11086" s="6" t="s">
        <v>290</v>
      </c>
      <c r="F11086" s="5" t="s">
        <v>291</v>
      </c>
      <c r="G11086" s="6" t="str">
        <f>VLOOKUP(E11086,dicionario!$A$1:$C11485,2,0)</f>
        <v>Drymaria cordata</v>
      </c>
      <c r="H11086" s="6" t="str">
        <f>VLOOKUP(E11086,dicionario!$A$1:$C11485,3,0)</f>
        <v>orelha-de-rato</v>
      </c>
    </row>
    <row r="11087">
      <c r="A11087" s="3">
        <v>45834.0</v>
      </c>
      <c r="B11087" s="4">
        <v>0.27152777777777776</v>
      </c>
      <c r="C11087" s="5" t="s">
        <v>90</v>
      </c>
      <c r="D11087" s="5" t="s">
        <v>1570</v>
      </c>
      <c r="E11087" s="8" t="s">
        <v>107</v>
      </c>
      <c r="F11087" s="5" t="s">
        <v>108</v>
      </c>
      <c r="G11087" s="6" t="str">
        <f>VLOOKUP(E11087,dicionario!$A$1:$C11486,2,0)</f>
        <v>Ramalina complanata</v>
      </c>
      <c r="H11087" s="6" t="str">
        <f>VLOOKUP(E11087,dicionario!$A$1:$C11486,3,0)</f>
        <v>ramalina</v>
      </c>
    </row>
    <row r="11088">
      <c r="A11088" s="3">
        <v>45834.0</v>
      </c>
      <c r="B11088" s="4">
        <v>0.2722222222222222</v>
      </c>
      <c r="C11088" s="5" t="s">
        <v>1034</v>
      </c>
      <c r="D11088" s="5" t="s">
        <v>1570</v>
      </c>
      <c r="E11088" s="6" t="s">
        <v>383</v>
      </c>
      <c r="F11088" s="5" t="s">
        <v>1532</v>
      </c>
      <c r="G11088" s="6" t="str">
        <f>VLOOKUP(E11088,dicionario!$A$1:$C11487,2,0)</f>
        <v>Setophaga pitiayumi</v>
      </c>
      <c r="H11088" s="6" t="str">
        <f>VLOOKUP(E11088,dicionario!$A$1:$C11487,3,0)</f>
        <v>mariquita</v>
      </c>
    </row>
    <row r="11089">
      <c r="A11089" s="3">
        <v>45834.0</v>
      </c>
      <c r="B11089" s="4">
        <v>0.2722222222222222</v>
      </c>
      <c r="C11089" s="5" t="s">
        <v>1034</v>
      </c>
      <c r="D11089" s="5" t="s">
        <v>1570</v>
      </c>
      <c r="E11089" s="8" t="s">
        <v>20</v>
      </c>
      <c r="F11089" s="5" t="s">
        <v>21</v>
      </c>
      <c r="G11089" s="6" t="str">
        <f>VLOOKUP(E11089,dicionario!$A$1:$C11488,2,0)</f>
        <v>Sicalis flaveola</v>
      </c>
      <c r="H11089" s="6" t="str">
        <f>VLOOKUP(E11089,dicionario!$A$1:$C11488,3,0)</f>
        <v>canário-da-terra</v>
      </c>
    </row>
    <row r="11090">
      <c r="A11090" s="3">
        <v>45834.0</v>
      </c>
      <c r="B11090" s="4">
        <v>0.2722222222222222</v>
      </c>
      <c r="C11090" s="5" t="s">
        <v>1034</v>
      </c>
      <c r="D11090" s="5" t="s">
        <v>1570</v>
      </c>
      <c r="E11090" s="8" t="s">
        <v>1352</v>
      </c>
      <c r="F11090" s="5"/>
      <c r="G11090" s="6" t="str">
        <f>VLOOKUP(E11090,dicionario!$A$1:$C11489,2,0)</f>
        <v>#N/A</v>
      </c>
      <c r="H11090" s="6" t="str">
        <f>VLOOKUP(E11090,dicionario!$A$1:$C11489,3,0)</f>
        <v>#N/A</v>
      </c>
    </row>
    <row r="11091">
      <c r="A11091" s="3">
        <v>45834.0</v>
      </c>
      <c r="B11091" s="4">
        <v>0.27361111111111114</v>
      </c>
      <c r="C11091" s="5" t="s">
        <v>1034</v>
      </c>
      <c r="D11091" s="5" t="s">
        <v>1570</v>
      </c>
      <c r="E11091" s="6" t="s">
        <v>60</v>
      </c>
      <c r="F11091" s="5" t="s">
        <v>61</v>
      </c>
      <c r="G11091" s="6" t="str">
        <f>VLOOKUP(E11091,dicionario!$A$1:$C11490,2,0)</f>
        <v>Vanellus chilensis</v>
      </c>
      <c r="H11091" s="6" t="str">
        <f>VLOOKUP(E11091,dicionario!$A$1:$C11490,3,0)</f>
        <v>quero-quero</v>
      </c>
    </row>
    <row r="11092">
      <c r="A11092" s="3">
        <v>45834.0</v>
      </c>
      <c r="B11092" s="4">
        <v>0.27361111111111114</v>
      </c>
      <c r="C11092" s="5" t="s">
        <v>1034</v>
      </c>
      <c r="D11092" s="5" t="s">
        <v>1570</v>
      </c>
      <c r="E11092" s="8" t="s">
        <v>109</v>
      </c>
      <c r="F11092" s="5" t="s">
        <v>110</v>
      </c>
      <c r="G11092" s="6" t="str">
        <f>VLOOKUP(E11092,dicionario!$A$1:$C11491,2,0)</f>
        <v>Tillandsia stricta</v>
      </c>
      <c r="H11092" s="6" t="str">
        <f>VLOOKUP(E11092,dicionario!$A$1:$C11491,3,0)</f>
        <v>cravo-do-mato</v>
      </c>
    </row>
    <row r="11093">
      <c r="A11093" s="3">
        <v>45834.0</v>
      </c>
      <c r="B11093" s="4">
        <v>0.27361111111111114</v>
      </c>
      <c r="C11093" s="5" t="s">
        <v>1034</v>
      </c>
      <c r="D11093" s="5" t="s">
        <v>1570</v>
      </c>
      <c r="E11093" s="8" t="s">
        <v>271</v>
      </c>
      <c r="F11093" s="5" t="s">
        <v>1575</v>
      </c>
      <c r="G11093" s="6" t="str">
        <f>VLOOKUP(E11093,dicionario!$A$1:$C11492,2,0)</f>
        <v>Cyanthillium cinereum</v>
      </c>
      <c r="H11093" s="6" t="str">
        <f>VLOOKUP(E11093,dicionario!$A$1:$C11492,3,0)</f>
        <v>emília</v>
      </c>
    </row>
    <row r="11094">
      <c r="A11094" s="3">
        <v>45834.0</v>
      </c>
      <c r="B11094" s="4">
        <v>0.27361111111111114</v>
      </c>
      <c r="C11094" s="5" t="s">
        <v>1034</v>
      </c>
      <c r="D11094" s="5" t="s">
        <v>1570</v>
      </c>
      <c r="E11094" s="6" t="s">
        <v>14</v>
      </c>
      <c r="F11094" s="5" t="s">
        <v>1576</v>
      </c>
      <c r="G11094" s="6" t="str">
        <f>VLOOKUP(E11094,dicionario!$A$1:$C11493,2,0)</f>
        <v>Spermacoce verticillata</v>
      </c>
      <c r="H11094" s="6" t="str">
        <f>VLOOKUP(E11094,dicionario!$A$1:$C11493,3,0)</f>
        <v>vassourinha-de-botão</v>
      </c>
    </row>
    <row r="11095">
      <c r="A11095" s="3">
        <v>45834.0</v>
      </c>
      <c r="B11095" s="4">
        <v>0.2743055555555556</v>
      </c>
      <c r="C11095" s="5" t="s">
        <v>1034</v>
      </c>
      <c r="D11095" s="5" t="s">
        <v>1570</v>
      </c>
      <c r="E11095" s="8" t="s">
        <v>517</v>
      </c>
      <c r="F11095" s="5" t="s">
        <v>1446</v>
      </c>
      <c r="G11095" s="6" t="str">
        <f>VLOOKUP(E11095,dicionario!$A$1:$C11494,2,0)</f>
        <v>Evolvulus nummularius</v>
      </c>
      <c r="H11095" s="6" t="str">
        <f>VLOOKUP(E11095,dicionario!$A$1:$C11494,3,0)</f>
        <v/>
      </c>
    </row>
    <row r="11096">
      <c r="A11096" s="3">
        <v>45834.0</v>
      </c>
      <c r="B11096" s="4">
        <v>0.275</v>
      </c>
      <c r="C11096" s="5" t="s">
        <v>1034</v>
      </c>
      <c r="D11096" s="5" t="s">
        <v>1570</v>
      </c>
      <c r="E11096" s="8" t="s">
        <v>1555</v>
      </c>
      <c r="F11096" s="5"/>
      <c r="G11096" s="6" t="str">
        <f>VLOOKUP(E11096,dicionario!$A$1:$C11495,2,0)</f>
        <v>#N/A</v>
      </c>
      <c r="H11096" s="6" t="str">
        <f>VLOOKUP(E11096,dicionario!$A$1:$C11495,3,0)</f>
        <v>#N/A</v>
      </c>
    </row>
    <row r="11097">
      <c r="A11097" s="3">
        <v>45834.0</v>
      </c>
      <c r="B11097" s="4">
        <v>0.27569444444444446</v>
      </c>
      <c r="C11097" s="5" t="s">
        <v>1034</v>
      </c>
      <c r="D11097" s="5" t="s">
        <v>1570</v>
      </c>
      <c r="E11097" s="6" t="s">
        <v>191</v>
      </c>
      <c r="F11097" s="5" t="s">
        <v>192</v>
      </c>
      <c r="G11097" s="6" t="str">
        <f>VLOOKUP(E11097,dicionario!$A$1:$C11496,2,0)</f>
        <v>Patagioenas picazuro</v>
      </c>
      <c r="H11097" s="6" t="str">
        <f>VLOOKUP(E11097,dicionario!$A$1:$C11496,3,0)</f>
        <v>asa-branca; pomba-asa-branca; pocaçu</v>
      </c>
    </row>
    <row r="11098">
      <c r="A11098" s="3">
        <v>45834.0</v>
      </c>
      <c r="B11098" s="4">
        <v>0.27569444444444446</v>
      </c>
      <c r="C11098" s="5" t="s">
        <v>1034</v>
      </c>
      <c r="D11098" s="5" t="s">
        <v>1570</v>
      </c>
      <c r="E11098" s="12" t="s">
        <v>243</v>
      </c>
      <c r="F11098" s="5" t="s">
        <v>244</v>
      </c>
      <c r="G11098" s="6" t="str">
        <f>VLOOKUP(E11098,dicionario!$A$1:$C11497,2,0)</f>
        <v>Macroptilium atropurpureum</v>
      </c>
      <c r="H11098" s="6" t="str">
        <f>VLOOKUP(E11098,dicionario!$A$1:$C11497,3,0)</f>
        <v>feijão-de-pombo</v>
      </c>
    </row>
    <row r="11099">
      <c r="A11099" s="3">
        <v>45834.0</v>
      </c>
      <c r="B11099" s="4">
        <v>0.27569444444444446</v>
      </c>
      <c r="C11099" s="5" t="s">
        <v>1034</v>
      </c>
      <c r="D11099" s="5" t="s">
        <v>1570</v>
      </c>
      <c r="E11099" s="6" t="s">
        <v>213</v>
      </c>
      <c r="F11099" s="5" t="s">
        <v>1577</v>
      </c>
      <c r="G11099" s="6" t="str">
        <f>VLOOKUP(E11099,dicionario!$A$1:$C11498,2,0)</f>
        <v>Myiozetetes similis</v>
      </c>
      <c r="H11099" s="6" t="str">
        <f>VLOOKUP(E11099,dicionario!$A$1:$C11498,3,0)</f>
        <v>bentevizinho-de-penacho-vermelho</v>
      </c>
    </row>
    <row r="11100">
      <c r="A11100" s="3">
        <v>45834.0</v>
      </c>
      <c r="B11100" s="4">
        <v>0.27569444444444446</v>
      </c>
      <c r="C11100" s="5" t="s">
        <v>1034</v>
      </c>
      <c r="D11100" s="5" t="s">
        <v>1570</v>
      </c>
      <c r="E11100" s="8" t="s">
        <v>624</v>
      </c>
      <c r="F11100" s="5" t="s">
        <v>133</v>
      </c>
      <c r="G11100" s="6" t="str">
        <f>VLOOKUP(E11100,dicionario!$A$1:$C11499,2,0)</f>
        <v>Euphonia violacea</v>
      </c>
      <c r="H11100" s="6" t="str">
        <f>VLOOKUP(E11100,dicionario!$A$1:$C11499,3,0)</f>
        <v>gaturamo-verdadeiro</v>
      </c>
    </row>
    <row r="11101">
      <c r="A11101" s="3">
        <v>45834.0</v>
      </c>
      <c r="B11101" s="4">
        <v>0.2763888888888889</v>
      </c>
      <c r="C11101" s="5" t="s">
        <v>1034</v>
      </c>
      <c r="D11101" s="5" t="s">
        <v>1570</v>
      </c>
      <c r="E11101" s="6" t="s">
        <v>448</v>
      </c>
      <c r="F11101" s="5" t="s">
        <v>462</v>
      </c>
      <c r="G11101" s="6" t="str">
        <f>VLOOKUP(E11101,dicionario!$A$1:$C11500,2,0)</f>
        <v>Mechanitis polymnia</v>
      </c>
      <c r="H11101" s="6" t="str">
        <f>VLOOKUP(E11101,dicionario!$A$1:$C11500,3,0)</f>
        <v>maria-boba</v>
      </c>
    </row>
    <row r="11102">
      <c r="A11102" s="3">
        <v>45834.0</v>
      </c>
      <c r="B11102" s="4">
        <v>0.27708333333333335</v>
      </c>
      <c r="C11102" s="5" t="s">
        <v>1034</v>
      </c>
      <c r="D11102" s="5" t="s">
        <v>1570</v>
      </c>
      <c r="E11102" s="6" t="s">
        <v>189</v>
      </c>
      <c r="F11102" s="5" t="s">
        <v>190</v>
      </c>
      <c r="G11102" s="6" t="str">
        <f>VLOOKUP(E11102,dicionario!$A$1:$C11501,2,0)</f>
        <v>Solanum paniculatum</v>
      </c>
      <c r="H11102" s="6" t="str">
        <f>VLOOKUP(E11102,dicionario!$A$1:$C11501,3,0)</f>
        <v>jurubeba</v>
      </c>
    </row>
    <row r="11103">
      <c r="A11103" s="3">
        <v>45834.0</v>
      </c>
      <c r="B11103" s="4">
        <v>0.27708333333333335</v>
      </c>
      <c r="C11103" s="5" t="s">
        <v>1034</v>
      </c>
      <c r="D11103" s="5" t="s">
        <v>1570</v>
      </c>
      <c r="E11103" s="8" t="s">
        <v>1549</v>
      </c>
      <c r="F11103" s="5" t="s">
        <v>929</v>
      </c>
      <c r="G11103" s="6" t="str">
        <f>VLOOKUP(E11103,dicionario!$A$1:$C11502,2,0)</f>
        <v>Atta</v>
      </c>
      <c r="H11103" s="6" t="str">
        <f>VLOOKUP(E11103,dicionario!$A$1:$C11502,3,0)</f>
        <v>saúva</v>
      </c>
    </row>
    <row r="11104">
      <c r="A11104" s="3">
        <v>45834.0</v>
      </c>
      <c r="B11104" s="4">
        <v>0.27708333333333335</v>
      </c>
      <c r="C11104" s="5" t="s">
        <v>1034</v>
      </c>
      <c r="D11104" s="5" t="s">
        <v>1570</v>
      </c>
      <c r="E11104" s="8" t="s">
        <v>858</v>
      </c>
      <c r="F11104" s="5" t="s">
        <v>1051</v>
      </c>
      <c r="G11104" s="6" t="str">
        <f>VLOOKUP(E11104,dicionario!$A$1:$C11503,2,0)</f>
        <v>Rumex obtusifolius</v>
      </c>
      <c r="H11104" s="6" t="str">
        <f>VLOOKUP(E11104,dicionario!$A$1:$C11503,3,0)</f>
        <v>lingua-de-vaca</v>
      </c>
    </row>
    <row r="11105">
      <c r="A11105" s="3">
        <v>45834.0</v>
      </c>
      <c r="B11105" s="4">
        <v>0.27708333333333335</v>
      </c>
      <c r="C11105" s="5" t="s">
        <v>1034</v>
      </c>
      <c r="D11105" s="5" t="s">
        <v>1570</v>
      </c>
      <c r="E11105" s="8" t="s">
        <v>1578</v>
      </c>
      <c r="F11105" s="5" t="s">
        <v>924</v>
      </c>
      <c r="G11105" s="6" t="str">
        <f>VLOOKUP(E11105,dicionario!$A$1:$C11504,2,0)</f>
        <v>Asemeia violacea</v>
      </c>
      <c r="H11105" s="6" t="str">
        <f>VLOOKUP(E11105,dicionario!$A$1:$C11504,3,0)</f>
        <v/>
      </c>
    </row>
    <row r="11106">
      <c r="A11106" s="3">
        <v>45834.0</v>
      </c>
      <c r="B11106" s="4">
        <v>0.27708333333333335</v>
      </c>
      <c r="C11106" s="5" t="s">
        <v>1034</v>
      </c>
      <c r="D11106" s="5" t="s">
        <v>1570</v>
      </c>
      <c r="E11106" s="8" t="s">
        <v>427</v>
      </c>
      <c r="F11106" s="5" t="s">
        <v>428</v>
      </c>
      <c r="G11106" s="6" t="str">
        <f>VLOOKUP(E11106,dicionario!$A$1:$C11505,2,0)</f>
        <v>Condylostylus longicornis</v>
      </c>
      <c r="H11106" s="6" t="str">
        <f>VLOOKUP(E11106,dicionario!$A$1:$C11505,3,0)</f>
        <v>mosca-de-pernas-longas</v>
      </c>
    </row>
    <row r="11107">
      <c r="A11107" s="3">
        <v>45834.0</v>
      </c>
      <c r="B11107" s="4">
        <v>0.2777777777777778</v>
      </c>
      <c r="C11107" s="5" t="s">
        <v>1034</v>
      </c>
      <c r="D11107" s="5" t="s">
        <v>1570</v>
      </c>
      <c r="E11107" s="8" t="s">
        <v>353</v>
      </c>
      <c r="F11107" s="5" t="s">
        <v>354</v>
      </c>
      <c r="G11107" s="6" t="str">
        <f>VLOOKUP(E11107,dicionario!$A$1:$C11506,2,0)</f>
        <v>Desmodium incanum</v>
      </c>
      <c r="H11107" s="6" t="str">
        <f>VLOOKUP(E11107,dicionario!$A$1:$C11506,3,0)</f>
        <v>pega-pega</v>
      </c>
    </row>
    <row r="11108">
      <c r="A11108" s="3">
        <v>45834.0</v>
      </c>
      <c r="B11108" s="4">
        <v>0.2777777777777778</v>
      </c>
      <c r="C11108" s="5" t="s">
        <v>1034</v>
      </c>
      <c r="D11108" s="5" t="s">
        <v>1570</v>
      </c>
      <c r="E11108" s="8" t="s">
        <v>38</v>
      </c>
      <c r="F11108" s="5" t="s">
        <v>1251</v>
      </c>
      <c r="G11108" s="6" t="str">
        <f>VLOOKUP(E11108,dicionario!$A$1:$C11507,2,0)</f>
        <v>Troglodytes musculus</v>
      </c>
      <c r="H11108" s="6" t="str">
        <f>VLOOKUP(E11108,dicionario!$A$1:$C11507,3,0)</f>
        <v>curruíra</v>
      </c>
    </row>
    <row r="11109">
      <c r="A11109" s="3">
        <v>45834.0</v>
      </c>
      <c r="B11109" s="4">
        <v>0.2777777777777778</v>
      </c>
      <c r="C11109" s="5" t="s">
        <v>1034</v>
      </c>
      <c r="D11109" s="5" t="s">
        <v>1570</v>
      </c>
      <c r="E11109" s="8" t="s">
        <v>88</v>
      </c>
      <c r="F11109" s="5" t="s">
        <v>782</v>
      </c>
      <c r="G11109" s="6" t="str">
        <f>VLOOKUP(E11109,dicionario!$A$1:$C11508,2,0)</f>
        <v>Tyrannus melancolichus</v>
      </c>
      <c r="H11109" s="6" t="str">
        <f>VLOOKUP(E11109,dicionario!$A$1:$C11508,3,0)</f>
        <v>suiriri</v>
      </c>
    </row>
    <row r="11110">
      <c r="A11110" s="3">
        <v>45834.0</v>
      </c>
      <c r="B11110" s="4">
        <v>0.2777777777777778</v>
      </c>
      <c r="C11110" s="5" t="s">
        <v>1034</v>
      </c>
      <c r="D11110" s="5" t="s">
        <v>1570</v>
      </c>
      <c r="E11110" s="6" t="s">
        <v>193</v>
      </c>
      <c r="F11110" s="5" t="s">
        <v>194</v>
      </c>
      <c r="G11110" s="6" t="str">
        <f>VLOOKUP(E11110,dicionario!$A$1:$C11509,2,0)</f>
        <v>Conirostrum speciosum</v>
      </c>
      <c r="H11110" s="6" t="str">
        <f>VLOOKUP(E11110,dicionario!$A$1:$C11509,3,0)</f>
        <v>figuinha-de-rabo-castanho</v>
      </c>
    </row>
    <row r="11111">
      <c r="A11111" s="3">
        <v>45834.0</v>
      </c>
      <c r="B11111" s="4">
        <v>0.2777777777777778</v>
      </c>
      <c r="C11111" s="5" t="s">
        <v>1034</v>
      </c>
      <c r="D11111" s="5" t="s">
        <v>1570</v>
      </c>
      <c r="E11111" s="76" t="s">
        <v>1579</v>
      </c>
      <c r="F11111" s="5" t="s">
        <v>1580</v>
      </c>
      <c r="G11111" s="6" t="str">
        <f>VLOOKUP(E11111,dicionario!$A$1:$C11510,2,0)</f>
        <v>Tersina viridis</v>
      </c>
      <c r="H11111" s="6" t="str">
        <f>VLOOKUP(E11111,dicionario!$A$1:$C11510,3,0)</f>
        <v>saí-andorinha</v>
      </c>
    </row>
    <row r="11112">
      <c r="A11112" s="3">
        <v>45834.0</v>
      </c>
      <c r="B11112" s="4">
        <v>0.27847222222222223</v>
      </c>
      <c r="C11112" s="5" t="s">
        <v>1034</v>
      </c>
      <c r="D11112" s="5" t="s">
        <v>1570</v>
      </c>
      <c r="E11112" s="8" t="s">
        <v>162</v>
      </c>
      <c r="F11112" s="5" t="s">
        <v>42</v>
      </c>
      <c r="G11112" s="6" t="str">
        <f>VLOOKUP(E11112,dicionario!$A$1:$C11511,2,0)</f>
        <v>Fluvicola nengeta</v>
      </c>
      <c r="H11112" s="6" t="str">
        <f>VLOOKUP(E11112,dicionario!$A$1:$C11511,3,0)</f>
        <v>lavadeira-mascarada</v>
      </c>
    </row>
    <row r="11113">
      <c r="A11113" s="3">
        <v>45834.0</v>
      </c>
      <c r="B11113" s="4">
        <v>0.27847222222222223</v>
      </c>
      <c r="C11113" s="5" t="s">
        <v>1034</v>
      </c>
      <c r="D11113" s="5" t="s">
        <v>1570</v>
      </c>
      <c r="E11113" s="8" t="s">
        <v>1344</v>
      </c>
      <c r="F11113" s="5" t="s">
        <v>1581</v>
      </c>
      <c r="G11113" s="6" t="str">
        <f>VLOOKUP(E11113,dicionario!$A$1:$C11512,2,0)</f>
        <v>#N/A</v>
      </c>
      <c r="H11113" s="6" t="str">
        <f>VLOOKUP(E11113,dicionario!$A$1:$C11512,3,0)</f>
        <v>#N/A</v>
      </c>
    </row>
    <row r="11114">
      <c r="A11114" s="3">
        <v>45834.0</v>
      </c>
      <c r="B11114" s="4">
        <v>0.27847222222222223</v>
      </c>
      <c r="C11114" s="5" t="s">
        <v>1034</v>
      </c>
      <c r="D11114" s="5" t="s">
        <v>1570</v>
      </c>
      <c r="E11114" s="8" t="s">
        <v>65</v>
      </c>
      <c r="F11114" s="5" t="s">
        <v>66</v>
      </c>
      <c r="G11114" s="6" t="str">
        <f>VLOOKUP(E11114,dicionario!$A$1:$C11513,2,0)</f>
        <v>Pitangus sulphutarus</v>
      </c>
      <c r="H11114" s="6" t="str">
        <f>VLOOKUP(E11114,dicionario!$A$1:$C11513,3,0)</f>
        <v>bem-te-vi</v>
      </c>
    </row>
    <row r="11115">
      <c r="A11115" s="3">
        <v>45834.0</v>
      </c>
      <c r="B11115" s="4">
        <v>0.2791666666666667</v>
      </c>
      <c r="C11115" s="5" t="s">
        <v>1034</v>
      </c>
      <c r="D11115" s="5" t="s">
        <v>1570</v>
      </c>
      <c r="E11115" s="8" t="s">
        <v>122</v>
      </c>
      <c r="F11115" s="5" t="s">
        <v>1477</v>
      </c>
      <c r="G11115" s="6" t="str">
        <f>VLOOKUP(E11115,dicionario!$A$1:$C11514,2,0)</f>
        <v>Todirostrum cinereum</v>
      </c>
      <c r="H11115" s="6" t="str">
        <f>VLOOKUP(E11115,dicionario!$A$1:$C11514,3,0)</f>
        <v>ferreirinho-relógio</v>
      </c>
    </row>
    <row r="11116">
      <c r="A11116" s="3">
        <v>45834.0</v>
      </c>
      <c r="B11116" s="4">
        <v>0.2791666666666667</v>
      </c>
      <c r="C11116" s="5" t="s">
        <v>1034</v>
      </c>
      <c r="D11116" s="5" t="s">
        <v>1570</v>
      </c>
      <c r="E11116" s="6" t="s">
        <v>171</v>
      </c>
      <c r="F11116" s="5" t="s">
        <v>172</v>
      </c>
      <c r="G11116" s="6" t="str">
        <f>VLOOKUP(E11116,dicionario!$A$1:$C11515,2,0)</f>
        <v>Oxalis corniculata</v>
      </c>
      <c r="H11116" s="6" t="str">
        <f>VLOOKUP(E11116,dicionario!$A$1:$C11515,3,0)</f>
        <v>trevo-azedinho</v>
      </c>
    </row>
    <row r="11117">
      <c r="A11117" s="3">
        <v>45834.0</v>
      </c>
      <c r="B11117" s="4">
        <v>0.2791666666666667</v>
      </c>
      <c r="C11117" s="5" t="s">
        <v>1034</v>
      </c>
      <c r="D11117" s="5" t="s">
        <v>1570</v>
      </c>
      <c r="E11117" s="6" t="s">
        <v>399</v>
      </c>
      <c r="F11117" s="5" t="s">
        <v>400</v>
      </c>
      <c r="G11117" s="6" t="str">
        <f>VLOOKUP(E11117,dicionario!$A$1:$C11516,2,0)</f>
        <v>Varronia curassavica</v>
      </c>
      <c r="H11117" s="6" t="str">
        <f>VLOOKUP(E11117,dicionario!$A$1:$C11516,3,0)</f>
        <v>erva-baleeira</v>
      </c>
    </row>
    <row r="11118">
      <c r="A11118" s="3">
        <v>45834.0</v>
      </c>
      <c r="B11118" s="4">
        <v>0.28055555555555556</v>
      </c>
      <c r="C11118" s="5" t="s">
        <v>76</v>
      </c>
      <c r="D11118" s="5" t="s">
        <v>1570</v>
      </c>
      <c r="E11118" s="8" t="s">
        <v>38</v>
      </c>
      <c r="F11118" s="5" t="s">
        <v>1251</v>
      </c>
      <c r="G11118" s="6" t="str">
        <f>VLOOKUP(E11118,dicionario!$A$1:$C11517,2,0)</f>
        <v>Troglodytes musculus</v>
      </c>
      <c r="H11118" s="6" t="str">
        <f>VLOOKUP(E11118,dicionario!$A$1:$C11517,3,0)</f>
        <v>curruíra</v>
      </c>
    </row>
    <row r="11119">
      <c r="A11119" s="3">
        <v>45834.0</v>
      </c>
      <c r="B11119" s="4">
        <v>0.28055555555555556</v>
      </c>
      <c r="C11119" s="5" t="s">
        <v>76</v>
      </c>
      <c r="D11119" s="5" t="s">
        <v>1570</v>
      </c>
      <c r="E11119" s="6" t="s">
        <v>251</v>
      </c>
      <c r="F11119" s="5" t="s">
        <v>252</v>
      </c>
      <c r="G11119" s="6" t="str">
        <f>VLOOKUP(E11119,dicionario!$A$1:$C11518,2,0)</f>
        <v>Struthanthus flexicaulis</v>
      </c>
      <c r="H11119" s="6" t="str">
        <f>VLOOKUP(E11119,dicionario!$A$1:$C11518,3,0)</f>
        <v>erva-de-passarinho</v>
      </c>
    </row>
    <row r="11120">
      <c r="A11120" s="3">
        <v>45834.0</v>
      </c>
      <c r="B11120" s="4">
        <v>0.28055555555555556</v>
      </c>
      <c r="C11120" s="5" t="s">
        <v>76</v>
      </c>
      <c r="D11120" s="5" t="s">
        <v>1570</v>
      </c>
      <c r="E11120" s="6" t="s">
        <v>267</v>
      </c>
      <c r="F11120" s="5" t="s">
        <v>553</v>
      </c>
      <c r="G11120" s="6" t="str">
        <f>VLOOKUP(E11120,dicionario!$A$1:$C11519,2,0)</f>
        <v>Solanum americanum</v>
      </c>
      <c r="H11120" s="6" t="str">
        <f>VLOOKUP(E11120,dicionario!$A$1:$C11519,3,0)</f>
        <v>maria-pretinha</v>
      </c>
    </row>
    <row r="11121">
      <c r="A11121" s="3">
        <v>45834.0</v>
      </c>
      <c r="B11121" s="4">
        <v>0.28125</v>
      </c>
      <c r="C11121" s="5" t="s">
        <v>76</v>
      </c>
      <c r="D11121" s="5" t="s">
        <v>1570</v>
      </c>
      <c r="E11121" s="8" t="s">
        <v>952</v>
      </c>
      <c r="F11121" s="5" t="s">
        <v>953</v>
      </c>
      <c r="G11121" s="6" t="str">
        <f>VLOOKUP(E11121,dicionario!$A$1:$C11520,2,0)</f>
        <v>Christella dentata</v>
      </c>
      <c r="H11121" s="6" t="str">
        <f>VLOOKUP(E11121,dicionario!$A$1:$C11520,3,0)</f>
        <v>samambaia-rabo-de-gato</v>
      </c>
    </row>
    <row r="11122">
      <c r="A11122" s="3">
        <v>45834.0</v>
      </c>
      <c r="B11122" s="4">
        <v>0.28125</v>
      </c>
      <c r="C11122" s="5" t="s">
        <v>76</v>
      </c>
      <c r="D11122" s="5" t="s">
        <v>1570</v>
      </c>
      <c r="E11122" s="8" t="s">
        <v>122</v>
      </c>
      <c r="F11122" s="5" t="s">
        <v>1582</v>
      </c>
      <c r="G11122" s="6" t="str">
        <f>VLOOKUP(E11122,dicionario!$A$1:$C11521,2,0)</f>
        <v>Todirostrum cinereum</v>
      </c>
      <c r="H11122" s="6" t="str">
        <f>VLOOKUP(E11122,dicionario!$A$1:$C11521,3,0)</f>
        <v>ferreirinho-relógio</v>
      </c>
    </row>
    <row r="11123">
      <c r="A11123" s="3">
        <v>45834.0</v>
      </c>
      <c r="B11123" s="4">
        <v>0.28194444444444444</v>
      </c>
      <c r="C11123" s="5" t="s">
        <v>76</v>
      </c>
      <c r="D11123" s="5" t="s">
        <v>1570</v>
      </c>
      <c r="E11123" s="8" t="s">
        <v>821</v>
      </c>
      <c r="F11123" s="5" t="s">
        <v>1583</v>
      </c>
      <c r="G11123" s="6" t="str">
        <f>VLOOKUP(E11123,dicionario!$A$1:$C11522,2,0)</f>
        <v>Schefflera actinophylla</v>
      </c>
      <c r="H11123" s="6" t="str">
        <f>VLOOKUP(E11123,dicionario!$A$1:$C11522,3,0)</f>
        <v>árvore-guarda-chuva</v>
      </c>
    </row>
    <row r="11124">
      <c r="A11124" s="3">
        <v>45834.0</v>
      </c>
      <c r="B11124" s="4">
        <v>0.28194444444444444</v>
      </c>
      <c r="C11124" s="5" t="s">
        <v>76</v>
      </c>
      <c r="D11124" s="5" t="s">
        <v>1570</v>
      </c>
      <c r="E11124" s="6" t="s">
        <v>141</v>
      </c>
      <c r="F11124" s="5" t="s">
        <v>1584</v>
      </c>
      <c r="G11124" s="6" t="str">
        <f>VLOOKUP(E11124,dicionario!$A$1:$C11523,2,0)</f>
        <v>Ruellia blechum</v>
      </c>
      <c r="H11124" s="6" t="str">
        <f>VLOOKUP(E11124,dicionario!$A$1:$C11523,3,0)</f>
        <v>camarão-verde</v>
      </c>
    </row>
    <row r="11125">
      <c r="A11125" s="3">
        <v>45834.0</v>
      </c>
      <c r="B11125" s="4">
        <v>0.2826388888888889</v>
      </c>
      <c r="C11125" s="5" t="s">
        <v>76</v>
      </c>
      <c r="D11125" s="5" t="s">
        <v>1570</v>
      </c>
      <c r="E11125" s="8" t="s">
        <v>271</v>
      </c>
      <c r="F11125" s="5" t="s">
        <v>1169</v>
      </c>
      <c r="G11125" s="6" t="str">
        <f>VLOOKUP(E11125,dicionario!$A$1:$C11524,2,0)</f>
        <v>Cyanthillium cinereum</v>
      </c>
      <c r="H11125" s="6" t="str">
        <f>VLOOKUP(E11125,dicionario!$A$1:$C11524,3,0)</f>
        <v>emília</v>
      </c>
    </row>
    <row r="11126">
      <c r="A11126" s="3">
        <v>45834.0</v>
      </c>
      <c r="B11126" s="4">
        <v>0.2826388888888889</v>
      </c>
      <c r="C11126" s="5" t="s">
        <v>76</v>
      </c>
      <c r="D11126" s="5" t="s">
        <v>1570</v>
      </c>
      <c r="E11126" s="8" t="s">
        <v>1352</v>
      </c>
      <c r="F11126" s="5"/>
      <c r="G11126" s="6" t="str">
        <f>VLOOKUP(E11126,dicionario!$A$1:$C11525,2,0)</f>
        <v>#N/A</v>
      </c>
      <c r="H11126" s="6" t="str">
        <f>VLOOKUP(E11126,dicionario!$A$1:$C11525,3,0)</f>
        <v>#N/A</v>
      </c>
    </row>
    <row r="11127">
      <c r="A11127" s="3">
        <v>45834.0</v>
      </c>
      <c r="B11127" s="4">
        <v>0.2826388888888889</v>
      </c>
      <c r="C11127" s="5" t="s">
        <v>76</v>
      </c>
      <c r="D11127" s="5" t="s">
        <v>1570</v>
      </c>
      <c r="E11127" s="8" t="s">
        <v>1087</v>
      </c>
      <c r="F11127" s="5"/>
      <c r="G11127" s="6" t="str">
        <f>VLOOKUP(E11127,dicionario!$A$1:$C11526,2,0)</f>
        <v>Desmodium triflorum</v>
      </c>
      <c r="H11127" s="6" t="str">
        <f>VLOOKUP(E11127,dicionario!$A$1:$C11526,3,0)</f>
        <v/>
      </c>
    </row>
    <row r="11128">
      <c r="A11128" s="3">
        <v>45834.0</v>
      </c>
      <c r="B11128" s="4">
        <v>0.2826388888888889</v>
      </c>
      <c r="C11128" s="5" t="s">
        <v>76</v>
      </c>
      <c r="D11128" s="5" t="s">
        <v>1570</v>
      </c>
      <c r="E11128" s="6" t="s">
        <v>195</v>
      </c>
      <c r="F11128" s="5" t="s">
        <v>196</v>
      </c>
      <c r="G11128" s="6" t="str">
        <f>VLOOKUP(E11128,dicionario!$A$1:$C11527,2,0)</f>
        <v>Priva lappulacea</v>
      </c>
      <c r="H11128" s="6" t="str">
        <f>VLOOKUP(E11128,dicionario!$A$1:$C11527,3,0)</f>
        <v>carrapicho</v>
      </c>
    </row>
    <row r="11129">
      <c r="A11129" s="3">
        <v>45834.0</v>
      </c>
      <c r="B11129" s="4">
        <v>0.4083333333333333</v>
      </c>
      <c r="C11129" s="5" t="s">
        <v>76</v>
      </c>
      <c r="D11129" s="5" t="s">
        <v>1570</v>
      </c>
      <c r="E11129" s="8" t="s">
        <v>135</v>
      </c>
      <c r="F11129" s="5" t="s">
        <v>136</v>
      </c>
      <c r="G11129" s="6" t="str">
        <f>VLOOKUP(E11129,dicionario!$A$1:$C11528,2,0)</f>
        <v>Tridax procumbens</v>
      </c>
      <c r="H11129" s="6" t="str">
        <f>VLOOKUP(E11129,dicionario!$A$1:$C11528,3,0)</f>
        <v>erva-de-touro</v>
      </c>
    </row>
    <row r="11130">
      <c r="A11130" s="3">
        <v>45834.0</v>
      </c>
      <c r="B11130" s="4">
        <v>0.2833333333333333</v>
      </c>
      <c r="C11130" s="5" t="s">
        <v>76</v>
      </c>
      <c r="D11130" s="5" t="s">
        <v>1570</v>
      </c>
      <c r="E11130" s="6" t="s">
        <v>227</v>
      </c>
      <c r="F11130" s="5" t="s">
        <v>813</v>
      </c>
      <c r="G11130" s="6" t="str">
        <f>VLOOKUP(E11130,dicionario!$A$1:$C11529,2,0)</f>
        <v>Indigofera hirsuta</v>
      </c>
      <c r="H11130" s="6" t="str">
        <f>VLOOKUP(E11130,dicionario!$A$1:$C11529,3,0)</f>
        <v>anileira</v>
      </c>
    </row>
    <row r="11131">
      <c r="A11131" s="3">
        <v>45834.0</v>
      </c>
      <c r="B11131" s="4">
        <v>0.2833333333333333</v>
      </c>
      <c r="C11131" s="5" t="s">
        <v>76</v>
      </c>
      <c r="D11131" s="5" t="s">
        <v>1570</v>
      </c>
      <c r="E11131" s="8" t="s">
        <v>38</v>
      </c>
      <c r="F11131" s="5" t="s">
        <v>1251</v>
      </c>
      <c r="G11131" s="6" t="str">
        <f>VLOOKUP(E11131,dicionario!$A$1:$C11530,2,0)</f>
        <v>Troglodytes musculus</v>
      </c>
      <c r="H11131" s="6" t="str">
        <f>VLOOKUP(E11131,dicionario!$A$1:$C11530,3,0)</f>
        <v>curruíra</v>
      </c>
    </row>
    <row r="11132">
      <c r="A11132" s="3">
        <v>45834.0</v>
      </c>
      <c r="B11132" s="4">
        <v>0.2833333333333333</v>
      </c>
      <c r="C11132" s="5" t="s">
        <v>76</v>
      </c>
      <c r="D11132" s="5" t="s">
        <v>1570</v>
      </c>
      <c r="E11132" s="6" t="s">
        <v>296</v>
      </c>
      <c r="F11132" s="5" t="s">
        <v>297</v>
      </c>
      <c r="G11132" s="6" t="str">
        <f>VLOOKUP(E11132,dicionario!$A$1:$C11531,2,0)</f>
        <v>Richardia brasiliensis</v>
      </c>
      <c r="H11132" s="6" t="str">
        <f>VLOOKUP(E11132,dicionario!$A$1:$C11531,3,0)</f>
        <v>poaia-branca</v>
      </c>
    </row>
    <row r="11133">
      <c r="A11133" s="3">
        <v>45834.0</v>
      </c>
      <c r="B11133" s="4">
        <v>0.2833333333333333</v>
      </c>
      <c r="C11133" s="5" t="s">
        <v>76</v>
      </c>
      <c r="D11133" s="5" t="s">
        <v>1570</v>
      </c>
      <c r="E11133" s="6" t="s">
        <v>504</v>
      </c>
      <c r="F11133" s="5" t="s">
        <v>534</v>
      </c>
      <c r="G11133" s="6" t="str">
        <f>VLOOKUP(E11133,dicionario!$A$1:$C11532,2,0)</f>
        <v>Cleome aculeata</v>
      </c>
      <c r="H11133" s="6" t="str">
        <f>VLOOKUP(E11133,dicionario!$A$1:$C11532,3,0)</f>
        <v>cleome</v>
      </c>
    </row>
    <row r="11134">
      <c r="A11134" s="3">
        <v>45834.0</v>
      </c>
      <c r="B11134" s="4">
        <v>0.2833333333333333</v>
      </c>
      <c r="C11134" s="5" t="s">
        <v>76</v>
      </c>
      <c r="D11134" s="5" t="s">
        <v>1570</v>
      </c>
      <c r="E11134" s="6" t="s">
        <v>48</v>
      </c>
      <c r="F11134" s="5" t="s">
        <v>49</v>
      </c>
      <c r="G11134" s="6" t="str">
        <f>VLOOKUP(E11134,dicionario!$A$1:$C11533,2,0)</f>
        <v>Commelina erecta</v>
      </c>
      <c r="H11134" s="6" t="str">
        <f>VLOOKUP(E11134,dicionario!$A$1:$C11533,3,0)</f>
        <v>trapoeraba</v>
      </c>
    </row>
    <row r="11135">
      <c r="A11135" s="3">
        <v>45834.0</v>
      </c>
      <c r="B11135" s="4">
        <v>0.2833333333333333</v>
      </c>
      <c r="C11135" s="5" t="s">
        <v>76</v>
      </c>
      <c r="D11135" s="5" t="s">
        <v>1570</v>
      </c>
      <c r="E11135" s="8" t="s">
        <v>1112</v>
      </c>
      <c r="F11135" s="5" t="s">
        <v>1113</v>
      </c>
      <c r="G11135" s="6" t="str">
        <f>VLOOKUP(E11135,dicionario!$A$1:$C11534,2,0)</f>
        <v>Hylophilus thoracicus</v>
      </c>
      <c r="H11135" s="6" t="str">
        <f>VLOOKUP(E11135,dicionario!$A$1:$C11534,3,0)</f>
        <v>vite-vite</v>
      </c>
    </row>
    <row r="11136">
      <c r="A11136" s="3">
        <v>45834.0</v>
      </c>
      <c r="B11136" s="4">
        <v>0.2833333333333333</v>
      </c>
      <c r="C11136" s="5" t="s">
        <v>76</v>
      </c>
      <c r="D11136" s="5" t="s">
        <v>1570</v>
      </c>
      <c r="E11136" s="8" t="s">
        <v>154</v>
      </c>
      <c r="F11136" s="5" t="s">
        <v>1585</v>
      </c>
      <c r="G11136" s="6" t="str">
        <f>VLOOKUP(E11136,dicionario!$A$1:$C11535,2,0)</f>
        <v>Cyperus rotundus</v>
      </c>
      <c r="H11136" s="6" t="str">
        <f>VLOOKUP(E11136,dicionario!$A$1:$C11535,3,0)</f>
        <v>tiririca</v>
      </c>
    </row>
    <row r="11137">
      <c r="A11137" s="3">
        <v>45834.0</v>
      </c>
      <c r="B11137" s="4">
        <v>0.28402777777777777</v>
      </c>
      <c r="C11137" s="5" t="s">
        <v>76</v>
      </c>
      <c r="D11137" s="5" t="s">
        <v>1570</v>
      </c>
      <c r="E11137" s="76" t="s">
        <v>1579</v>
      </c>
      <c r="F11137" s="5" t="s">
        <v>1580</v>
      </c>
      <c r="G11137" s="6" t="str">
        <f>VLOOKUP(E11137,dicionario!$A$1:$C11536,2,0)</f>
        <v>Tersina viridis</v>
      </c>
      <c r="H11137" s="6" t="str">
        <f>VLOOKUP(E11137,dicionario!$A$1:$C11536,3,0)</f>
        <v>saí-andorinha</v>
      </c>
    </row>
    <row r="11138">
      <c r="A11138" s="3">
        <v>45834.0</v>
      </c>
      <c r="B11138" s="4">
        <v>0.28402777777777777</v>
      </c>
      <c r="C11138" s="5" t="s">
        <v>76</v>
      </c>
      <c r="D11138" s="5" t="s">
        <v>1570</v>
      </c>
      <c r="E11138" s="8" t="s">
        <v>1404</v>
      </c>
      <c r="F11138" s="5" t="s">
        <v>685</v>
      </c>
      <c r="G11138" s="6" t="str">
        <f>VLOOKUP(E11138,dicionario!$A$1:$C11537,2,0)</f>
        <v>#N/A</v>
      </c>
      <c r="H11138" s="6" t="str">
        <f>VLOOKUP(E11138,dicionario!$A$1:$C11537,3,0)</f>
        <v>#N/A</v>
      </c>
    </row>
    <row r="11139">
      <c r="A11139" s="3">
        <v>45834.0</v>
      </c>
      <c r="B11139" s="4">
        <v>0.28402777777777777</v>
      </c>
      <c r="C11139" s="5" t="s">
        <v>76</v>
      </c>
      <c r="D11139" s="5" t="s">
        <v>1570</v>
      </c>
      <c r="E11139" s="8" t="s">
        <v>606</v>
      </c>
      <c r="F11139" s="5" t="s">
        <v>853</v>
      </c>
      <c r="G11139" s="6" t="str">
        <f>VLOOKUP(E11139,dicionario!$A$1:$C11538,2,0)</f>
        <v>Elaenia spectabilis</v>
      </c>
      <c r="H11139" s="6" t="str">
        <f>VLOOKUP(E11139,dicionario!$A$1:$C11538,3,0)</f>
        <v>guaracava-grande</v>
      </c>
    </row>
    <row r="11140">
      <c r="A11140" s="3">
        <v>45834.0</v>
      </c>
      <c r="B11140" s="4">
        <v>0.2847222222222222</v>
      </c>
      <c r="C11140" s="5" t="s">
        <v>76</v>
      </c>
      <c r="D11140" s="5" t="s">
        <v>1570</v>
      </c>
      <c r="E11140" s="8" t="s">
        <v>65</v>
      </c>
      <c r="F11140" s="5" t="s">
        <v>66</v>
      </c>
      <c r="G11140" s="6" t="str">
        <f>VLOOKUP(E11140,dicionario!$A$1:$C11539,2,0)</f>
        <v>Pitangus sulphutarus</v>
      </c>
      <c r="H11140" s="6" t="str">
        <f>VLOOKUP(E11140,dicionario!$A$1:$C11539,3,0)</f>
        <v>bem-te-vi</v>
      </c>
    </row>
    <row r="11141">
      <c r="A11141" s="3">
        <v>45834.0</v>
      </c>
      <c r="B11141" s="4">
        <v>0.2847222222222222</v>
      </c>
      <c r="C11141" s="5" t="s">
        <v>76</v>
      </c>
      <c r="D11141" s="5" t="s">
        <v>1570</v>
      </c>
      <c r="E11141" s="8" t="s">
        <v>88</v>
      </c>
      <c r="F11141" s="5" t="s">
        <v>782</v>
      </c>
      <c r="G11141" s="6" t="str">
        <f>VLOOKUP(E11141,dicionario!$A$1:$C11540,2,0)</f>
        <v>Tyrannus melancolichus</v>
      </c>
      <c r="H11141" s="6" t="str">
        <f>VLOOKUP(E11141,dicionario!$A$1:$C11540,3,0)</f>
        <v>suiriri</v>
      </c>
    </row>
    <row r="11142">
      <c r="A11142" s="3">
        <v>45834.0</v>
      </c>
      <c r="B11142" s="4">
        <v>0.2847222222222222</v>
      </c>
      <c r="C11142" s="5" t="s">
        <v>76</v>
      </c>
      <c r="D11142" s="5" t="s">
        <v>1570</v>
      </c>
      <c r="E11142" s="6" t="s">
        <v>225</v>
      </c>
      <c r="F11142" s="5" t="s">
        <v>226</v>
      </c>
      <c r="G11142" s="6" t="str">
        <f>VLOOKUP(E11142,dicionario!$A$1:$C11541,2,0)</f>
        <v>Passer domesticus</v>
      </c>
      <c r="H11142" s="6" t="str">
        <f>VLOOKUP(E11142,dicionario!$A$1:$C11541,3,0)</f>
        <v>pardal</v>
      </c>
    </row>
    <row r="11143">
      <c r="A11143" s="3">
        <v>45834.0</v>
      </c>
      <c r="B11143" s="4">
        <v>0.28541666666666665</v>
      </c>
      <c r="C11143" s="5" t="s">
        <v>76</v>
      </c>
      <c r="D11143" s="5" t="s">
        <v>1570</v>
      </c>
      <c r="E11143" s="6" t="s">
        <v>113</v>
      </c>
      <c r="F11143" s="5" t="s">
        <v>820</v>
      </c>
      <c r="G11143" s="6" t="str">
        <f>VLOOKUP(E11143,dicionario!$A$1:$C11542,2,0)</f>
        <v>Columbina talpacoti</v>
      </c>
      <c r="H11143" s="6" t="str">
        <f>VLOOKUP(E11143,dicionario!$A$1:$C11542,3,0)</f>
        <v>rolinha-roxa</v>
      </c>
    </row>
    <row r="11144">
      <c r="A11144" s="3">
        <v>45834.0</v>
      </c>
      <c r="B11144" s="4">
        <v>0.28541666666666665</v>
      </c>
      <c r="C11144" s="5" t="s">
        <v>76</v>
      </c>
      <c r="D11144" s="5" t="s">
        <v>1570</v>
      </c>
      <c r="E11144" s="6" t="s">
        <v>290</v>
      </c>
      <c r="F11144" s="5" t="s">
        <v>779</v>
      </c>
      <c r="G11144" s="6" t="str">
        <f>VLOOKUP(E11144,dicionario!$A$1:$C11543,2,0)</f>
        <v>Drymaria cordata</v>
      </c>
      <c r="H11144" s="6" t="str">
        <f>VLOOKUP(E11144,dicionario!$A$1:$C11543,3,0)</f>
        <v>orelha-de-rato</v>
      </c>
    </row>
    <row r="11145">
      <c r="A11145" s="3">
        <v>45834.0</v>
      </c>
      <c r="B11145" s="4">
        <v>0.28541666666666665</v>
      </c>
      <c r="C11145" s="5" t="s">
        <v>76</v>
      </c>
      <c r="D11145" s="5" t="s">
        <v>1570</v>
      </c>
      <c r="E11145" s="6" t="s">
        <v>247</v>
      </c>
      <c r="F11145" s="5" t="s">
        <v>825</v>
      </c>
      <c r="G11145" s="6" t="str">
        <f>VLOOKUP(E11145,dicionario!$A$1:$C11544,2,0)</f>
        <v>Emilia sonchifolia</v>
      </c>
      <c r="H11145" s="6" t="str">
        <f>VLOOKUP(E11145,dicionario!$A$1:$C11544,3,0)</f>
        <v>serralinha</v>
      </c>
    </row>
    <row r="11146">
      <c r="A11146" s="3">
        <v>45834.0</v>
      </c>
      <c r="B11146" s="4">
        <v>0.28541666666666665</v>
      </c>
      <c r="C11146" s="5" t="s">
        <v>76</v>
      </c>
      <c r="D11146" s="5" t="s">
        <v>1570</v>
      </c>
      <c r="E11146" s="6" t="s">
        <v>355</v>
      </c>
      <c r="F11146" s="5" t="s">
        <v>1548</v>
      </c>
      <c r="G11146" s="6" t="str">
        <f>VLOOKUP(E11146,dicionario!$A$1:$C11545,2,0)</f>
        <v>Boerhavia diffusa</v>
      </c>
      <c r="H11146" s="6" t="str">
        <f>VLOOKUP(E11146,dicionario!$A$1:$C11545,3,0)</f>
        <v>erva-tostão</v>
      </c>
    </row>
    <row r="11147">
      <c r="A11147" s="3">
        <v>45834.0</v>
      </c>
      <c r="B11147" s="4">
        <v>0.28541666666666665</v>
      </c>
      <c r="C11147" s="5" t="s">
        <v>76</v>
      </c>
      <c r="D11147" s="5" t="s">
        <v>1570</v>
      </c>
      <c r="E11147" s="6" t="s">
        <v>439</v>
      </c>
      <c r="F11147" s="5" t="s">
        <v>281</v>
      </c>
      <c r="G11147" s="6" t="str">
        <f>VLOOKUP(E11147,dicionario!$A$1:$C11546,2,0)</f>
        <v>#N/A</v>
      </c>
      <c r="H11147" s="6" t="str">
        <f>VLOOKUP(E11147,dicionario!$A$1:$C11546,3,0)</f>
        <v>#N/A</v>
      </c>
    </row>
    <row r="11148">
      <c r="A11148" s="3">
        <v>45834.0</v>
      </c>
      <c r="B11148" s="4">
        <v>0.2861111111111111</v>
      </c>
      <c r="C11148" s="5" t="s">
        <v>76</v>
      </c>
      <c r="D11148" s="5" t="s">
        <v>1570</v>
      </c>
      <c r="E11148" s="8" t="s">
        <v>253</v>
      </c>
      <c r="F11148" s="5" t="s">
        <v>1574</v>
      </c>
      <c r="G11148" s="6" t="str">
        <f>VLOOKUP(E11148,dicionario!$A$1:$C11547,2,0)</f>
        <v>Panicum maximum</v>
      </c>
      <c r="H11148" s="6" t="str">
        <f>VLOOKUP(E11148,dicionario!$A$1:$C11547,3,0)</f>
        <v>capim-colonião</v>
      </c>
    </row>
    <row r="11149">
      <c r="A11149" s="3">
        <v>45834.0</v>
      </c>
      <c r="B11149" s="4">
        <v>0.2861111111111111</v>
      </c>
      <c r="C11149" s="5" t="s">
        <v>76</v>
      </c>
      <c r="D11149" s="5" t="s">
        <v>1570</v>
      </c>
      <c r="E11149" s="6" t="s">
        <v>193</v>
      </c>
      <c r="F11149" s="5" t="s">
        <v>894</v>
      </c>
      <c r="G11149" s="6" t="str">
        <f>VLOOKUP(E11149,dicionario!$A$1:$C11548,2,0)</f>
        <v>Conirostrum speciosum</v>
      </c>
      <c r="H11149" s="6" t="str">
        <f>VLOOKUP(E11149,dicionario!$A$1:$C11548,3,0)</f>
        <v>figuinha-de-rabo-castanho</v>
      </c>
    </row>
    <row r="11150">
      <c r="A11150" s="3">
        <v>45834.0</v>
      </c>
      <c r="B11150" s="4">
        <v>0.2861111111111111</v>
      </c>
      <c r="C11150" s="5" t="s">
        <v>76</v>
      </c>
      <c r="D11150" s="5" t="s">
        <v>1570</v>
      </c>
      <c r="E11150" s="8" t="s">
        <v>69</v>
      </c>
      <c r="F11150" s="5" t="s">
        <v>1246</v>
      </c>
      <c r="G11150" s="6" t="str">
        <f>VLOOKUP(E11150,dicionario!$A$1:$C11549,2,0)</f>
        <v>Talinum fruticosum</v>
      </c>
      <c r="H11150" s="6" t="str">
        <f>VLOOKUP(E11150,dicionario!$A$1:$C11549,3,0)</f>
        <v>beldroega-grande</v>
      </c>
    </row>
    <row r="11151">
      <c r="A11151" s="3">
        <v>45834.0</v>
      </c>
      <c r="B11151" s="4">
        <v>0.2861111111111111</v>
      </c>
      <c r="C11151" s="5" t="s">
        <v>76</v>
      </c>
      <c r="D11151" s="5" t="s">
        <v>1570</v>
      </c>
      <c r="E11151" s="12" t="s">
        <v>152</v>
      </c>
      <c r="F11151" s="5" t="s">
        <v>153</v>
      </c>
      <c r="G11151" s="6" t="str">
        <f>VLOOKUP(E11151,dicionario!$A$1:$C11550,2,0)</f>
        <v>Cynodon dactylon</v>
      </c>
      <c r="H11151" s="6" t="str">
        <f>VLOOKUP(E11151,dicionario!$A$1:$C11550,3,0)</f>
        <v>grama-bermuda</v>
      </c>
    </row>
    <row r="11152">
      <c r="A11152" s="3">
        <v>45834.0</v>
      </c>
      <c r="B11152" s="4">
        <v>0.28680555555555554</v>
      </c>
      <c r="C11152" s="5" t="s">
        <v>76</v>
      </c>
      <c r="D11152" s="5" t="s">
        <v>1570</v>
      </c>
      <c r="E11152" s="6" t="s">
        <v>60</v>
      </c>
      <c r="F11152" s="5" t="s">
        <v>61</v>
      </c>
      <c r="G11152" s="6" t="str">
        <f>VLOOKUP(E11152,dicionario!$A$1:$C11551,2,0)</f>
        <v>Vanellus chilensis</v>
      </c>
      <c r="H11152" s="6" t="str">
        <f>VLOOKUP(E11152,dicionario!$A$1:$C11551,3,0)</f>
        <v>quero-quero</v>
      </c>
    </row>
    <row r="11153">
      <c r="A11153" s="3">
        <v>45834.0</v>
      </c>
      <c r="B11153" s="4">
        <v>0.28680555555555554</v>
      </c>
      <c r="C11153" s="5" t="s">
        <v>76</v>
      </c>
      <c r="D11153" s="5" t="s">
        <v>1570</v>
      </c>
      <c r="E11153" s="6" t="s">
        <v>366</v>
      </c>
      <c r="F11153" s="5" t="s">
        <v>367</v>
      </c>
      <c r="G11153" s="6" t="str">
        <f>VLOOKUP(E11153,dicionario!$A$1:$C11552,2,0)</f>
        <v>Alternanthera ficoidea</v>
      </c>
      <c r="H11153" s="6" t="str">
        <f>VLOOKUP(E11153,dicionario!$A$1:$C11552,3,0)</f>
        <v>quebra-panela</v>
      </c>
    </row>
    <row r="11154">
      <c r="A11154" s="3">
        <v>45834.0</v>
      </c>
      <c r="B11154" s="4">
        <v>0.28680555555555554</v>
      </c>
      <c r="C11154" s="5" t="s">
        <v>76</v>
      </c>
      <c r="D11154" s="5" t="s">
        <v>1570</v>
      </c>
      <c r="E11154" s="8" t="s">
        <v>1578</v>
      </c>
      <c r="F11154" s="5" t="s">
        <v>924</v>
      </c>
      <c r="G11154" s="6" t="str">
        <f>VLOOKUP(E11154,dicionario!$A$1:$C11553,2,0)</f>
        <v>Asemeia violacea</v>
      </c>
      <c r="H11154" s="6" t="str">
        <f>VLOOKUP(E11154,dicionario!$A$1:$C11553,3,0)</f>
        <v/>
      </c>
    </row>
    <row r="11155">
      <c r="A11155" s="3">
        <v>45834.0</v>
      </c>
      <c r="B11155" s="4">
        <v>0.28680555555555554</v>
      </c>
      <c r="C11155" s="5" t="s">
        <v>76</v>
      </c>
      <c r="D11155" s="5" t="s">
        <v>1570</v>
      </c>
      <c r="E11155" s="6" t="s">
        <v>467</v>
      </c>
      <c r="F11155" s="5" t="s">
        <v>1586</v>
      </c>
      <c r="G11155" s="6" t="str">
        <f>VLOOKUP(E11155,dicionario!$A$1:$C11554,2,0)</f>
        <v>Eleusine indica</v>
      </c>
      <c r="H11155" s="6" t="str">
        <f>VLOOKUP(E11155,dicionario!$A$1:$C11554,3,0)</f>
        <v>capim-pé-de-galinha</v>
      </c>
    </row>
    <row r="11156">
      <c r="A11156" s="3">
        <v>45834.0</v>
      </c>
      <c r="B11156" s="4">
        <v>0.28680555555555554</v>
      </c>
      <c r="C11156" s="5" t="s">
        <v>76</v>
      </c>
      <c r="D11156" s="5" t="s">
        <v>1570</v>
      </c>
      <c r="E11156" s="6" t="s">
        <v>370</v>
      </c>
      <c r="F11156" s="5" t="s">
        <v>371</v>
      </c>
      <c r="G11156" s="6" t="str">
        <f>VLOOKUP(E11156,dicionario!$A$1:$C11555,2,0)</f>
        <v>Mimus saturninus</v>
      </c>
      <c r="H11156" s="6" t="str">
        <f>VLOOKUP(E11156,dicionario!$A$1:$C11555,3,0)</f>
        <v>sabiá-do-campo</v>
      </c>
    </row>
    <row r="11157">
      <c r="A11157" s="3">
        <v>45834.0</v>
      </c>
      <c r="B11157" s="4">
        <v>0.28680555555555554</v>
      </c>
      <c r="C11157" s="5" t="s">
        <v>76</v>
      </c>
      <c r="D11157" s="5" t="s">
        <v>1570</v>
      </c>
      <c r="E11157" s="6" t="s">
        <v>568</v>
      </c>
      <c r="F11157" s="5" t="s">
        <v>1587</v>
      </c>
      <c r="G11157" s="6" t="str">
        <f>VLOOKUP(E11157,dicionario!$A$1:$C11556,2,0)</f>
        <v>#N/A</v>
      </c>
      <c r="H11157" s="6" t="str">
        <f>VLOOKUP(E11157,dicionario!$A$1:$C11556,3,0)</f>
        <v>#N/A</v>
      </c>
    </row>
    <row r="11158">
      <c r="A11158" s="3">
        <v>45834.0</v>
      </c>
      <c r="B11158" s="4">
        <v>0.2875</v>
      </c>
      <c r="C11158" s="5" t="s">
        <v>76</v>
      </c>
      <c r="D11158" s="5" t="s">
        <v>1570</v>
      </c>
      <c r="E11158" s="8" t="s">
        <v>1344</v>
      </c>
      <c r="F11158" s="5" t="s">
        <v>1588</v>
      </c>
      <c r="G11158" s="6" t="str">
        <f>VLOOKUP(E11158,dicionario!$A$1:$C11557,2,0)</f>
        <v>#N/A</v>
      </c>
      <c r="H11158" s="6" t="str">
        <f>VLOOKUP(E11158,dicionario!$A$1:$C11557,3,0)</f>
        <v>#N/A</v>
      </c>
    </row>
    <row r="11159">
      <c r="A11159" s="3">
        <v>45834.0</v>
      </c>
      <c r="B11159" s="4">
        <v>0.2875</v>
      </c>
      <c r="C11159" s="5" t="s">
        <v>76</v>
      </c>
      <c r="D11159" s="5" t="s">
        <v>1570</v>
      </c>
      <c r="E11159" s="6" t="s">
        <v>72</v>
      </c>
      <c r="F11159" s="5" t="s">
        <v>764</v>
      </c>
      <c r="G11159" s="6" t="str">
        <f>VLOOKUP(E11159,dicionario!$A$1:$C11558,2,0)</f>
        <v>Thraupis palmarum</v>
      </c>
      <c r="H11159" s="6" t="str">
        <f>VLOOKUP(E11159,dicionario!$A$1:$C11558,3,0)</f>
        <v>sanhaço-do-coqueiro</v>
      </c>
    </row>
    <row r="11160">
      <c r="A11160" s="3">
        <v>45834.0</v>
      </c>
      <c r="B11160" s="4">
        <v>0.2875</v>
      </c>
      <c r="C11160" s="5" t="s">
        <v>76</v>
      </c>
      <c r="D11160" s="5" t="s">
        <v>1570</v>
      </c>
      <c r="E11160" s="8" t="s">
        <v>122</v>
      </c>
      <c r="F11160" s="5" t="s">
        <v>1582</v>
      </c>
      <c r="G11160" s="6" t="str">
        <f>VLOOKUP(E11160,dicionario!$A$1:$C11559,2,0)</f>
        <v>Todirostrum cinereum</v>
      </c>
      <c r="H11160" s="6" t="str">
        <f>VLOOKUP(E11160,dicionario!$A$1:$C11559,3,0)</f>
        <v>ferreirinho-relógio</v>
      </c>
    </row>
    <row r="11161">
      <c r="A11161" s="3">
        <v>45834.0</v>
      </c>
      <c r="B11161" s="4">
        <v>0.2881944444444444</v>
      </c>
      <c r="C11161" s="5" t="s">
        <v>76</v>
      </c>
      <c r="D11161" s="5" t="s">
        <v>1570</v>
      </c>
      <c r="E11161" s="11" t="s">
        <v>1524</v>
      </c>
      <c r="F11161" s="5" t="s">
        <v>1525</v>
      </c>
      <c r="G11161" s="6" t="str">
        <f>VLOOKUP(E11161,dicionario!$A$1:$C11560,2,0)</f>
        <v>Tolmomyias flaviventris</v>
      </c>
      <c r="H11161" s="6" t="str">
        <f>VLOOKUP(E11161,dicionario!$A$1:$C11560,3,0)</f>
        <v>bico-chato-amarelo</v>
      </c>
    </row>
    <row r="11162">
      <c r="A11162" s="3">
        <v>45834.0</v>
      </c>
      <c r="B11162" s="4">
        <v>0.2881944444444444</v>
      </c>
      <c r="C11162" s="5" t="s">
        <v>76</v>
      </c>
      <c r="D11162" s="5" t="s">
        <v>1570</v>
      </c>
      <c r="E11162" s="8" t="s">
        <v>624</v>
      </c>
      <c r="F11162" s="5" t="s">
        <v>133</v>
      </c>
      <c r="G11162" s="6" t="str">
        <f>VLOOKUP(E11162,dicionario!$A$1:$C11561,2,0)</f>
        <v>Euphonia violacea</v>
      </c>
      <c r="H11162" s="6" t="str">
        <f>VLOOKUP(E11162,dicionario!$A$1:$C11561,3,0)</f>
        <v>gaturamo-verdadeiro</v>
      </c>
    </row>
    <row r="11163">
      <c r="A11163" s="3">
        <v>45834.0</v>
      </c>
      <c r="B11163" s="4">
        <v>0.28888888888888886</v>
      </c>
      <c r="C11163" s="5" t="s">
        <v>76</v>
      </c>
      <c r="D11163" s="5" t="s">
        <v>1570</v>
      </c>
      <c r="E11163" s="6" t="s">
        <v>624</v>
      </c>
      <c r="F11163" s="5" t="s">
        <v>1589</v>
      </c>
      <c r="G11163" s="6" t="str">
        <f>VLOOKUP(E11163,dicionario!$A$1:$C11562,2,0)</f>
        <v>Euphonia violacea</v>
      </c>
      <c r="H11163" s="6" t="str">
        <f>VLOOKUP(E11163,dicionario!$A$1:$C11562,3,0)</f>
        <v>gaturamo-verdadeiro</v>
      </c>
    </row>
    <row r="11164">
      <c r="A11164" s="3">
        <v>45834.0</v>
      </c>
      <c r="B11164" s="4">
        <v>0.28888888888888886</v>
      </c>
      <c r="C11164" s="5" t="s">
        <v>76</v>
      </c>
      <c r="D11164" s="5" t="s">
        <v>1570</v>
      </c>
      <c r="E11164" s="6" t="s">
        <v>99</v>
      </c>
      <c r="F11164" s="5" t="s">
        <v>508</v>
      </c>
      <c r="G11164" s="6" t="str">
        <f>VLOOKUP(E11164,dicionario!$A$1:$C11563,2,0)</f>
        <v>Molothrus bonariensis</v>
      </c>
      <c r="H11164" s="6" t="str">
        <f>VLOOKUP(E11164,dicionario!$A$1:$C11563,3,0)</f>
        <v>chupim</v>
      </c>
    </row>
    <row r="11165">
      <c r="A11165" s="3">
        <v>45834.0</v>
      </c>
      <c r="B11165" s="4">
        <v>0.29097222222222224</v>
      </c>
      <c r="C11165" s="5" t="s">
        <v>76</v>
      </c>
      <c r="D11165" s="5" t="s">
        <v>1570</v>
      </c>
      <c r="E11165" s="6" t="s">
        <v>662</v>
      </c>
      <c r="F11165" s="5" t="s">
        <v>663</v>
      </c>
      <c r="G11165" s="6" t="str">
        <f>VLOOKUP(E11165,dicionario!$A$1:$C11564,2,0)</f>
        <v>Zonotrichia capensis</v>
      </c>
      <c r="H11165" s="6" t="str">
        <f>VLOOKUP(E11165,dicionario!$A$1:$C11564,3,0)</f>
        <v>tico-tico</v>
      </c>
    </row>
    <row r="11166">
      <c r="A11166" s="3">
        <v>45834.0</v>
      </c>
      <c r="B11166" s="4">
        <v>0.2916666666666667</v>
      </c>
      <c r="C11166" s="5" t="s">
        <v>76</v>
      </c>
      <c r="D11166" s="5" t="s">
        <v>1570</v>
      </c>
      <c r="E11166" s="6" t="s">
        <v>187</v>
      </c>
      <c r="F11166" s="5" t="s">
        <v>1590</v>
      </c>
      <c r="G11166" s="6" t="str">
        <f>VLOOKUP(E11166,dicionario!$A$1:$C11565,2,0)</f>
        <v>Tangara cayana</v>
      </c>
      <c r="H11166" s="6" t="str">
        <f>VLOOKUP(E11166,dicionario!$A$1:$C11565,3,0)</f>
        <v>saíra-amarela</v>
      </c>
    </row>
    <row r="11167">
      <c r="A11167" s="3">
        <v>45834.0</v>
      </c>
      <c r="B11167" s="4">
        <v>0.2916666666666667</v>
      </c>
      <c r="C11167" s="5" t="s">
        <v>76</v>
      </c>
      <c r="D11167" s="5" t="s">
        <v>1570</v>
      </c>
      <c r="E11167" s="6" t="s">
        <v>251</v>
      </c>
      <c r="F11167" s="5" t="s">
        <v>873</v>
      </c>
      <c r="G11167" s="6" t="str">
        <f>VLOOKUP(E11167,dicionario!$A$1:$C11566,2,0)</f>
        <v>Struthanthus flexicaulis</v>
      </c>
      <c r="H11167" s="6" t="str">
        <f>VLOOKUP(E11167,dicionario!$A$1:$C11566,3,0)</f>
        <v>erva-de-passarinho</v>
      </c>
    </row>
    <row r="11168">
      <c r="A11168" s="3">
        <v>45834.0</v>
      </c>
      <c r="B11168" s="4">
        <v>0.2916666666666667</v>
      </c>
      <c r="C11168" s="5" t="s">
        <v>64</v>
      </c>
      <c r="D11168" s="5" t="s">
        <v>1570</v>
      </c>
      <c r="E11168" s="8" t="s">
        <v>122</v>
      </c>
      <c r="F11168" s="5" t="s">
        <v>1582</v>
      </c>
      <c r="G11168" s="6" t="str">
        <f>VLOOKUP(E11168,dicionario!$A$1:$C11567,2,0)</f>
        <v>Todirostrum cinereum</v>
      </c>
      <c r="H11168" s="6" t="str">
        <f>VLOOKUP(E11168,dicionario!$A$1:$C11567,3,0)</f>
        <v>ferreirinho-relógio</v>
      </c>
    </row>
    <row r="11169">
      <c r="A11169" s="3">
        <v>45834.0</v>
      </c>
      <c r="B11169" s="4">
        <v>0.29583333333333334</v>
      </c>
      <c r="C11169" s="5" t="s">
        <v>64</v>
      </c>
      <c r="D11169" s="5" t="s">
        <v>1570</v>
      </c>
      <c r="E11169" s="6" t="s">
        <v>177</v>
      </c>
      <c r="F11169" s="5" t="s">
        <v>804</v>
      </c>
      <c r="G11169" s="6" t="str">
        <f>VLOOKUP(E11169,dicionario!$A$1:$C11568,2,0)</f>
        <v>Elaenia flavogaster</v>
      </c>
      <c r="H11169" s="6" t="str">
        <f>VLOOKUP(E11169,dicionario!$A$1:$C11568,3,0)</f>
        <v>guaracava-de-barriga-amarela</v>
      </c>
    </row>
    <row r="11170">
      <c r="A11170" s="3">
        <v>45834.0</v>
      </c>
      <c r="B11170" s="4">
        <v>0.29583333333333334</v>
      </c>
      <c r="C11170" s="5" t="s">
        <v>64</v>
      </c>
      <c r="D11170" s="5" t="s">
        <v>1570</v>
      </c>
      <c r="E11170" s="6" t="s">
        <v>191</v>
      </c>
      <c r="F11170" s="5" t="s">
        <v>771</v>
      </c>
      <c r="G11170" s="6" t="str">
        <f>VLOOKUP(E11170,dicionario!$A$1:$C11569,2,0)</f>
        <v>Patagioenas picazuro</v>
      </c>
      <c r="H11170" s="6" t="str">
        <f>VLOOKUP(E11170,dicionario!$A$1:$C11569,3,0)</f>
        <v>asa-branca; pomba-asa-branca; pocaçu</v>
      </c>
    </row>
    <row r="11171">
      <c r="A11171" s="3">
        <v>45834.0</v>
      </c>
      <c r="B11171" s="4">
        <v>0.29583333333333334</v>
      </c>
      <c r="C11171" s="5" t="s">
        <v>64</v>
      </c>
      <c r="D11171" s="5" t="s">
        <v>1570</v>
      </c>
      <c r="E11171" s="6" t="s">
        <v>141</v>
      </c>
      <c r="F11171" s="5" t="s">
        <v>142</v>
      </c>
      <c r="G11171" s="6" t="str">
        <f>VLOOKUP(E11171,dicionario!$A$1:$C11570,2,0)</f>
        <v>Ruellia blechum</v>
      </c>
      <c r="H11171" s="6" t="str">
        <f>VLOOKUP(E11171,dicionario!$A$1:$C11570,3,0)</f>
        <v>camarão-verde</v>
      </c>
    </row>
    <row r="11172">
      <c r="A11172" s="3">
        <v>45834.0</v>
      </c>
      <c r="B11172" s="4">
        <v>0.29583333333333334</v>
      </c>
      <c r="C11172" s="5" t="s">
        <v>64</v>
      </c>
      <c r="D11172" s="5" t="s">
        <v>1570</v>
      </c>
      <c r="E11172" s="6" t="s">
        <v>290</v>
      </c>
      <c r="F11172" s="5" t="s">
        <v>779</v>
      </c>
      <c r="G11172" s="6" t="str">
        <f>VLOOKUP(E11172,dicionario!$A$1:$C11571,2,0)</f>
        <v>Drymaria cordata</v>
      </c>
      <c r="H11172" s="6" t="str">
        <f>VLOOKUP(E11172,dicionario!$A$1:$C11571,3,0)</f>
        <v>orelha-de-rato</v>
      </c>
    </row>
    <row r="11173">
      <c r="A11173" s="3">
        <v>45834.0</v>
      </c>
      <c r="B11173" s="4">
        <v>0.2965277777777778</v>
      </c>
      <c r="C11173" s="5" t="s">
        <v>64</v>
      </c>
      <c r="D11173" s="5" t="s">
        <v>1570</v>
      </c>
      <c r="E11173" s="6" t="s">
        <v>171</v>
      </c>
      <c r="F11173" s="5" t="s">
        <v>766</v>
      </c>
      <c r="G11173" s="6" t="str">
        <f>VLOOKUP(E11173,dicionario!$A$1:$C11572,2,0)</f>
        <v>Oxalis corniculata</v>
      </c>
      <c r="H11173" s="6" t="str">
        <f>VLOOKUP(E11173,dicionario!$A$1:$C11572,3,0)</f>
        <v>trevo-azedinho</v>
      </c>
    </row>
    <row r="11174">
      <c r="A11174" s="3">
        <v>45834.0</v>
      </c>
      <c r="B11174" s="4">
        <v>0.2965277777777778</v>
      </c>
      <c r="C11174" s="5" t="s">
        <v>64</v>
      </c>
      <c r="D11174" s="5" t="s">
        <v>1570</v>
      </c>
      <c r="E11174" s="6" t="s">
        <v>22</v>
      </c>
      <c r="F11174" s="5" t="s">
        <v>97</v>
      </c>
      <c r="G11174" s="6" t="str">
        <f>VLOOKUP(E11174,dicionario!$A$1:$C11573,2,0)</f>
        <v>Zenaida auriculata</v>
      </c>
      <c r="H11174" s="6" t="str">
        <f>VLOOKUP(E11174,dicionario!$A$1:$C11573,3,0)</f>
        <v>pomba-de-bando; avoante</v>
      </c>
    </row>
    <row r="11175">
      <c r="A11175" s="3">
        <v>45834.0</v>
      </c>
      <c r="B11175" s="4">
        <v>0.2965277777777778</v>
      </c>
      <c r="C11175" s="5" t="s">
        <v>64</v>
      </c>
      <c r="D11175" s="5" t="s">
        <v>1570</v>
      </c>
      <c r="E11175" s="6" t="s">
        <v>173</v>
      </c>
      <c r="F11175" s="5" t="s">
        <v>176</v>
      </c>
      <c r="G11175" s="6" t="str">
        <f>VLOOKUP(E11175,dicionario!$A$1:$C11574,2,0)</f>
        <v>Junonia evarete</v>
      </c>
      <c r="H11175" s="6" t="str">
        <f>VLOOKUP(E11175,dicionario!$A$1:$C11574,3,0)</f>
        <v>borboleta-olho-de-pavão-diúrno</v>
      </c>
    </row>
    <row r="11176">
      <c r="A11176" s="3">
        <v>45834.0</v>
      </c>
      <c r="B11176" s="4">
        <v>0.2965277777777778</v>
      </c>
      <c r="C11176" s="5" t="s">
        <v>64</v>
      </c>
      <c r="D11176" s="5" t="s">
        <v>1570</v>
      </c>
      <c r="E11176" s="8" t="s">
        <v>109</v>
      </c>
      <c r="F11176" s="5" t="s">
        <v>110</v>
      </c>
      <c r="G11176" s="6" t="str">
        <f>VLOOKUP(E11176,dicionario!$A$1:$C11575,2,0)</f>
        <v>Tillandsia stricta</v>
      </c>
      <c r="H11176" s="6" t="str">
        <f>VLOOKUP(E11176,dicionario!$A$1:$C11575,3,0)</f>
        <v>cravo-do-mato</v>
      </c>
    </row>
    <row r="11177">
      <c r="A11177" s="3">
        <v>45834.0</v>
      </c>
      <c r="B11177" s="4">
        <v>0.2965277777777778</v>
      </c>
      <c r="C11177" s="5" t="s">
        <v>64</v>
      </c>
      <c r="D11177" s="5" t="s">
        <v>1570</v>
      </c>
      <c r="E11177" s="8" t="s">
        <v>271</v>
      </c>
      <c r="F11177" s="5" t="s">
        <v>1575</v>
      </c>
      <c r="G11177" s="6" t="str">
        <f>VLOOKUP(E11177,dicionario!$A$1:$C11576,2,0)</f>
        <v>Cyanthillium cinereum</v>
      </c>
      <c r="H11177" s="6" t="str">
        <f>VLOOKUP(E11177,dicionario!$A$1:$C11576,3,0)</f>
        <v>emília</v>
      </c>
    </row>
    <row r="11178">
      <c r="A11178" s="3">
        <v>45834.0</v>
      </c>
      <c r="B11178" s="4">
        <v>0.2972222222222222</v>
      </c>
      <c r="C11178" s="5" t="s">
        <v>64</v>
      </c>
      <c r="D11178" s="5" t="s">
        <v>1570</v>
      </c>
      <c r="E11178" s="6" t="s">
        <v>150</v>
      </c>
      <c r="F11178" s="5" t="s">
        <v>769</v>
      </c>
      <c r="G11178" s="6" t="str">
        <f>VLOOKUP(E11178,dicionario!$A$1:$C11577,2,0)</f>
        <v>Amaranthus viridis</v>
      </c>
      <c r="H11178" s="6" t="str">
        <f>VLOOKUP(E11178,dicionario!$A$1:$C11577,3,0)</f>
        <v>caruru-de-mancha</v>
      </c>
    </row>
    <row r="11179">
      <c r="A11179" s="3">
        <v>45834.0</v>
      </c>
      <c r="B11179" s="4">
        <v>0.2972222222222222</v>
      </c>
      <c r="C11179" s="5" t="s">
        <v>64</v>
      </c>
      <c r="D11179" s="5" t="s">
        <v>1570</v>
      </c>
      <c r="E11179" s="6" t="s">
        <v>319</v>
      </c>
      <c r="F11179" s="5" t="s">
        <v>1591</v>
      </c>
      <c r="G11179" s="6" t="str">
        <f>VLOOKUP(E11179,dicionario!$A$1:$C11578,2,0)</f>
        <v>Schinus terebinthifolia</v>
      </c>
      <c r="H11179" s="6" t="str">
        <f>VLOOKUP(E11179,dicionario!$A$1:$C11578,3,0)</f>
        <v>aroeira</v>
      </c>
    </row>
    <row r="11180">
      <c r="A11180" s="3">
        <v>45834.0</v>
      </c>
      <c r="B11180" s="4">
        <v>0.29791666666666666</v>
      </c>
      <c r="C11180" s="5" t="s">
        <v>64</v>
      </c>
      <c r="D11180" s="5" t="s">
        <v>1570</v>
      </c>
      <c r="E11180" s="8" t="s">
        <v>69</v>
      </c>
      <c r="F11180" s="5" t="s">
        <v>1246</v>
      </c>
      <c r="G11180" s="6" t="str">
        <f>VLOOKUP(E11180,dicionario!$A$1:$C11579,2,0)</f>
        <v>Talinum fruticosum</v>
      </c>
      <c r="H11180" s="6" t="str">
        <f>VLOOKUP(E11180,dicionario!$A$1:$C11579,3,0)</f>
        <v>beldroega-grande</v>
      </c>
    </row>
    <row r="11181">
      <c r="A11181" s="3">
        <v>45834.0</v>
      </c>
      <c r="B11181" s="4">
        <v>0.29791666666666666</v>
      </c>
      <c r="C11181" s="5" t="s">
        <v>64</v>
      </c>
      <c r="D11181" s="5" t="s">
        <v>1570</v>
      </c>
      <c r="E11181" s="8" t="s">
        <v>253</v>
      </c>
      <c r="F11181" s="5" t="s">
        <v>1592</v>
      </c>
      <c r="G11181" s="6" t="str">
        <f>VLOOKUP(E11181,dicionario!$A$1:$C11580,2,0)</f>
        <v>Panicum maximum</v>
      </c>
      <c r="H11181" s="6" t="str">
        <f>VLOOKUP(E11181,dicionario!$A$1:$C11580,3,0)</f>
        <v>capim-colonião</v>
      </c>
    </row>
    <row r="11182">
      <c r="A11182" s="3">
        <v>45834.0</v>
      </c>
      <c r="B11182" s="4">
        <v>0.29791666666666666</v>
      </c>
      <c r="C11182" s="5" t="s">
        <v>64</v>
      </c>
      <c r="D11182" s="5" t="s">
        <v>1570</v>
      </c>
      <c r="E11182" s="8" t="s">
        <v>740</v>
      </c>
      <c r="F11182" s="5" t="s">
        <v>741</v>
      </c>
      <c r="G11182" s="6" t="str">
        <f>VLOOKUP(E11182,dicionario!$A$1:$C11581,2,0)</f>
        <v>Melothria cucumis</v>
      </c>
      <c r="H11182" s="6" t="str">
        <f>VLOOKUP(E11182,dicionario!$A$1:$C11581,3,0)</f>
        <v>pepino-do-mato</v>
      </c>
    </row>
    <row r="11183">
      <c r="A11183" s="3">
        <v>45834.0</v>
      </c>
      <c r="B11183" s="4">
        <v>0.29791666666666666</v>
      </c>
      <c r="C11183" s="5" t="s">
        <v>64</v>
      </c>
      <c r="D11183" s="5" t="s">
        <v>1570</v>
      </c>
      <c r="E11183" s="8" t="s">
        <v>719</v>
      </c>
      <c r="F11183" s="5" t="s">
        <v>1593</v>
      </c>
      <c r="G11183" s="6" t="str">
        <f>VLOOKUP(E11183,dicionario!$A$1:$C11582,2,0)</f>
        <v>Dirinaria</v>
      </c>
      <c r="H11183" s="6" t="str">
        <f>VLOOKUP(E11183,dicionario!$A$1:$C11582,3,0)</f>
        <v>líquen-crostoso</v>
      </c>
    </row>
    <row r="11184">
      <c r="A11184" s="3">
        <v>45834.0</v>
      </c>
      <c r="B11184" s="4">
        <v>0.29791666666666666</v>
      </c>
      <c r="C11184" s="5" t="s">
        <v>64</v>
      </c>
      <c r="D11184" s="5" t="s">
        <v>1570</v>
      </c>
      <c r="E11184" s="8" t="s">
        <v>1087</v>
      </c>
      <c r="F11184" s="5"/>
      <c r="G11184" s="6" t="str">
        <f>VLOOKUP(E11184,dicionario!$A$1:$C11583,2,0)</f>
        <v>Desmodium triflorum</v>
      </c>
      <c r="H11184" s="6" t="str">
        <f>VLOOKUP(E11184,dicionario!$A$1:$C11583,3,0)</f>
        <v/>
      </c>
    </row>
    <row r="11185">
      <c r="A11185" s="3">
        <v>45834.0</v>
      </c>
      <c r="B11185" s="4">
        <v>0.2986111111111111</v>
      </c>
      <c r="C11185" s="5" t="s">
        <v>64</v>
      </c>
      <c r="D11185" s="5" t="s">
        <v>1570</v>
      </c>
      <c r="E11185" s="8" t="s">
        <v>163</v>
      </c>
      <c r="F11185" s="5" t="s">
        <v>1594</v>
      </c>
      <c r="G11185" s="6" t="str">
        <f>VLOOKUP(E11185,dicionario!$A$1:$C11584,2,0)</f>
        <v>Coragyps atratus</v>
      </c>
      <c r="H11185" s="6" t="str">
        <f>VLOOKUP(E11185,dicionario!$A$1:$C11584,3,0)</f>
        <v>urubu-de-cabeça-preta</v>
      </c>
    </row>
    <row r="11186">
      <c r="A11186" s="3">
        <v>45834.0</v>
      </c>
      <c r="B11186" s="4">
        <v>0.2986111111111111</v>
      </c>
      <c r="C11186" s="5" t="s">
        <v>64</v>
      </c>
      <c r="D11186" s="5" t="s">
        <v>1570</v>
      </c>
      <c r="E11186" s="8" t="s">
        <v>65</v>
      </c>
      <c r="F11186" s="5" t="s">
        <v>66</v>
      </c>
      <c r="G11186" s="6" t="str">
        <f>VLOOKUP(E11186,dicionario!$A$1:$C11585,2,0)</f>
        <v>Pitangus sulphutarus</v>
      </c>
      <c r="H11186" s="6" t="str">
        <f>VLOOKUP(E11186,dicionario!$A$1:$C11585,3,0)</f>
        <v>bem-te-vi</v>
      </c>
    </row>
    <row r="11187">
      <c r="A11187" s="3">
        <v>45834.0</v>
      </c>
      <c r="B11187" s="4">
        <v>0.3</v>
      </c>
      <c r="C11187" s="5" t="s">
        <v>64</v>
      </c>
      <c r="D11187" s="5" t="s">
        <v>1570</v>
      </c>
      <c r="E11187" s="6" t="s">
        <v>43</v>
      </c>
      <c r="F11187" s="5" t="s">
        <v>949</v>
      </c>
      <c r="G11187" s="6" t="str">
        <f>VLOOKUP(E11187,dicionario!$A$1:$C11586,2,0)</f>
        <v>Columba livia</v>
      </c>
      <c r="H11187" s="6" t="str">
        <f>VLOOKUP(E11187,dicionario!$A$1:$C11586,3,0)</f>
        <v>pombo-doméstico</v>
      </c>
    </row>
    <row r="11188">
      <c r="A11188" s="3">
        <v>45834.0</v>
      </c>
      <c r="B11188" s="4">
        <v>0.30069444444444443</v>
      </c>
      <c r="C11188" s="5" t="s">
        <v>64</v>
      </c>
      <c r="D11188" s="5" t="s">
        <v>1570</v>
      </c>
      <c r="E11188" s="8" t="s">
        <v>38</v>
      </c>
      <c r="F11188" s="5" t="s">
        <v>1251</v>
      </c>
      <c r="G11188" s="6" t="str">
        <f>VLOOKUP(E11188,dicionario!$A$1:$C11587,2,0)</f>
        <v>Troglodytes musculus</v>
      </c>
      <c r="H11188" s="6" t="str">
        <f>VLOOKUP(E11188,dicionario!$A$1:$C11587,3,0)</f>
        <v>curruíra</v>
      </c>
    </row>
    <row r="11189">
      <c r="A11189" s="3">
        <v>45834.0</v>
      </c>
      <c r="B11189" s="4">
        <v>0.3013888888888889</v>
      </c>
      <c r="C11189" s="5" t="s">
        <v>64</v>
      </c>
      <c r="D11189" s="5" t="s">
        <v>1570</v>
      </c>
      <c r="E11189" s="8" t="s">
        <v>88</v>
      </c>
      <c r="F11189" s="5" t="s">
        <v>782</v>
      </c>
      <c r="G11189" s="6" t="str">
        <f>VLOOKUP(E11189,dicionario!$A$1:$C11588,2,0)</f>
        <v>Tyrannus melancolichus</v>
      </c>
      <c r="H11189" s="6" t="str">
        <f>VLOOKUP(E11189,dicionario!$A$1:$C11588,3,0)</f>
        <v>suiriri</v>
      </c>
    </row>
    <row r="11190">
      <c r="A11190" s="3">
        <v>45834.0</v>
      </c>
      <c r="B11190" s="4">
        <v>0.3020833333333333</v>
      </c>
      <c r="C11190" s="5" t="s">
        <v>59</v>
      </c>
      <c r="D11190" s="5" t="s">
        <v>1570</v>
      </c>
      <c r="E11190" s="8" t="s">
        <v>514</v>
      </c>
      <c r="F11190" s="5" t="s">
        <v>1595</v>
      </c>
      <c r="G11190" s="6" t="str">
        <f>VLOOKUP(E11190,dicionario!$A$1:$C11589,2,0)</f>
        <v>Aedes aegypti</v>
      </c>
      <c r="H11190" s="6" t="str">
        <f>VLOOKUP(E11190,dicionario!$A$1:$C11589,3,0)</f>
        <v>mosquito-da-dengue</v>
      </c>
    </row>
    <row r="11191">
      <c r="A11191" s="3">
        <v>45834.0</v>
      </c>
      <c r="B11191" s="4">
        <v>0.3034722222222222</v>
      </c>
      <c r="C11191" s="5" t="s">
        <v>59</v>
      </c>
      <c r="D11191" s="5" t="s">
        <v>1570</v>
      </c>
      <c r="E11191" s="8" t="s">
        <v>109</v>
      </c>
      <c r="F11191" s="5" t="s">
        <v>1596</v>
      </c>
      <c r="G11191" s="6" t="str">
        <f>VLOOKUP(E11191,dicionario!$A$1:$C11590,2,0)</f>
        <v>Tillandsia stricta</v>
      </c>
      <c r="H11191" s="6" t="str">
        <f>VLOOKUP(E11191,dicionario!$A$1:$C11590,3,0)</f>
        <v>cravo-do-mato</v>
      </c>
    </row>
    <row r="11192">
      <c r="A11192" s="3">
        <v>45834.0</v>
      </c>
      <c r="B11192" s="4">
        <v>0.30486111111111114</v>
      </c>
      <c r="C11192" s="5" t="s">
        <v>59</v>
      </c>
      <c r="D11192" s="5" t="s">
        <v>1570</v>
      </c>
      <c r="E11192" s="6" t="s">
        <v>340</v>
      </c>
      <c r="F11192" s="5" t="s">
        <v>1597</v>
      </c>
      <c r="G11192" s="6" t="str">
        <f>VLOOKUP(E11192,dicionario!$A$1:$C11591,2,0)</f>
        <v>#N/A</v>
      </c>
      <c r="H11192" s="6" t="str">
        <f>VLOOKUP(E11192,dicionario!$A$1:$C11591,3,0)</f>
        <v>#N/A</v>
      </c>
    </row>
    <row r="11193">
      <c r="A11193" s="3">
        <v>45834.0</v>
      </c>
      <c r="B11193" s="4">
        <v>0.30486111111111114</v>
      </c>
      <c r="C11193" s="5" t="s">
        <v>59</v>
      </c>
      <c r="D11193" s="5" t="s">
        <v>1570</v>
      </c>
      <c r="E11193" s="8" t="s">
        <v>712</v>
      </c>
      <c r="F11193" s="5" t="s">
        <v>912</v>
      </c>
      <c r="G11193" s="6" t="str">
        <f>VLOOKUP(E11193,dicionario!$A$1:$C11592,2,0)</f>
        <v>Flavopunctelia soredica</v>
      </c>
      <c r="H11193" s="6" t="str">
        <f>VLOOKUP(E11193,dicionario!$A$1:$C11592,3,0)</f>
        <v>líquen-folioso</v>
      </c>
    </row>
    <row r="11194">
      <c r="A11194" s="3">
        <v>45834.0</v>
      </c>
      <c r="B11194" s="4">
        <v>0.3055555555555556</v>
      </c>
      <c r="C11194" s="5" t="s">
        <v>59</v>
      </c>
      <c r="D11194" s="5" t="s">
        <v>1570</v>
      </c>
      <c r="E11194" s="8" t="s">
        <v>719</v>
      </c>
      <c r="F11194" s="5" t="s">
        <v>1593</v>
      </c>
      <c r="G11194" s="6" t="str">
        <f>VLOOKUP(E11194,dicionario!$A$1:$C11593,2,0)</f>
        <v>Dirinaria</v>
      </c>
      <c r="H11194" s="6" t="str">
        <f>VLOOKUP(E11194,dicionario!$A$1:$C11593,3,0)</f>
        <v>líquen-crostoso</v>
      </c>
    </row>
    <row r="11195">
      <c r="A11195" s="3">
        <v>45834.0</v>
      </c>
      <c r="B11195" s="4">
        <v>0.3055555555555556</v>
      </c>
      <c r="C11195" s="5" t="s">
        <v>59</v>
      </c>
      <c r="D11195" s="5" t="s">
        <v>1570</v>
      </c>
      <c r="E11195" s="8" t="s">
        <v>107</v>
      </c>
      <c r="F11195" s="5" t="s">
        <v>834</v>
      </c>
      <c r="G11195" s="6" t="str">
        <f>VLOOKUP(E11195,dicionario!$A$1:$C11594,2,0)</f>
        <v>Ramalina complanata</v>
      </c>
      <c r="H11195" s="6" t="str">
        <f>VLOOKUP(E11195,dicionario!$A$1:$C11594,3,0)</f>
        <v>ramalina</v>
      </c>
    </row>
    <row r="11196">
      <c r="A11196" s="3">
        <v>45834.0</v>
      </c>
      <c r="B11196" s="4">
        <v>0.3055555555555556</v>
      </c>
      <c r="C11196" s="5" t="s">
        <v>59</v>
      </c>
      <c r="D11196" s="5" t="s">
        <v>1570</v>
      </c>
      <c r="E11196" s="8" t="s">
        <v>1571</v>
      </c>
      <c r="F11196" s="5" t="s">
        <v>1572</v>
      </c>
      <c r="G11196" s="6" t="str">
        <f>VLOOKUP(E11196,dicionario!$A$1:$C11595,2,0)</f>
        <v>#N/A</v>
      </c>
      <c r="H11196" s="6" t="str">
        <f>VLOOKUP(E11196,dicionario!$A$1:$C11595,3,0)</f>
        <v>#N/A</v>
      </c>
    </row>
    <row r="11197">
      <c r="A11197" s="3">
        <v>45834.0</v>
      </c>
      <c r="B11197" s="4">
        <v>0.30625</v>
      </c>
      <c r="C11197" s="5" t="s">
        <v>59</v>
      </c>
      <c r="D11197" s="5" t="s">
        <v>1570</v>
      </c>
      <c r="E11197" s="8" t="s">
        <v>1347</v>
      </c>
      <c r="F11197" s="5" t="s">
        <v>1598</v>
      </c>
      <c r="G11197" s="6" t="str">
        <f>VLOOKUP(E11197,dicionario!$A$1:$C11596,2,0)</f>
        <v>#N/A</v>
      </c>
      <c r="H11197" s="6" t="str">
        <f>VLOOKUP(E11197,dicionario!$A$1:$C11596,3,0)</f>
        <v>#N/A</v>
      </c>
    </row>
    <row r="11198">
      <c r="A11198" s="3">
        <v>45834.0</v>
      </c>
      <c r="B11198" s="4">
        <v>0.30625</v>
      </c>
      <c r="C11198" s="5" t="s">
        <v>59</v>
      </c>
      <c r="D11198" s="5" t="s">
        <v>1570</v>
      </c>
      <c r="E11198" s="6" t="s">
        <v>31</v>
      </c>
      <c r="F11198" s="5" t="s">
        <v>735</v>
      </c>
      <c r="G11198" s="6" t="str">
        <f>VLOOKUP(E11198,dicionario!$A$1:$C11597,2,0)</f>
        <v>Furnarius rufus</v>
      </c>
      <c r="H11198" s="6" t="str">
        <f>VLOOKUP(E11198,dicionario!$A$1:$C11597,3,0)</f>
        <v>joão-de-barro</v>
      </c>
    </row>
    <row r="11199">
      <c r="A11199" s="3">
        <v>45834.0</v>
      </c>
      <c r="B11199" s="4">
        <v>0.30625</v>
      </c>
      <c r="C11199" s="5" t="s">
        <v>59</v>
      </c>
      <c r="D11199" s="5" t="s">
        <v>1570</v>
      </c>
      <c r="E11199" s="8" t="s">
        <v>1127</v>
      </c>
      <c r="F11199" s="5" t="s">
        <v>1285</v>
      </c>
      <c r="G11199" s="6" t="str">
        <f>VLOOKUP(E11199,dicionario!$A$1:$C11598,2,0)</f>
        <v>Albizia lebbeck</v>
      </c>
      <c r="H11199" s="6" t="str">
        <f>VLOOKUP(E11199,dicionario!$A$1:$C11598,3,0)</f>
        <v>albízia</v>
      </c>
    </row>
    <row r="11200">
      <c r="A11200" s="3">
        <v>45834.0</v>
      </c>
      <c r="B11200" s="4">
        <v>0.30625</v>
      </c>
      <c r="C11200" s="5" t="s">
        <v>59</v>
      </c>
      <c r="D11200" s="5" t="s">
        <v>1570</v>
      </c>
      <c r="E11200" s="29" t="s">
        <v>566</v>
      </c>
      <c r="F11200" s="5" t="s">
        <v>832</v>
      </c>
      <c r="G11200" s="6" t="str">
        <f>VLOOKUP(E11200,dicionario!$A$1:$C11599,2,0)</f>
        <v>Baccharis dracunculifolia</v>
      </c>
      <c r="H11200" s="6" t="str">
        <f>VLOOKUP(E11200,dicionario!$A$1:$C11599,3,0)</f>
        <v>vassoura</v>
      </c>
    </row>
    <row r="11201">
      <c r="A11201" s="3">
        <v>45834.0</v>
      </c>
      <c r="B11201" s="4">
        <v>0.30625</v>
      </c>
      <c r="C11201" s="5" t="s">
        <v>59</v>
      </c>
      <c r="D11201" s="5" t="s">
        <v>1570</v>
      </c>
      <c r="E11201" s="8" t="s">
        <v>1352</v>
      </c>
      <c r="F11201" s="5"/>
      <c r="G11201" s="6" t="str">
        <f>VLOOKUP(E11201,dicionario!$A$1:$C11600,2,0)</f>
        <v>#N/A</v>
      </c>
      <c r="H11201" s="6" t="str">
        <f>VLOOKUP(E11201,dicionario!$A$1:$C11600,3,0)</f>
        <v>#N/A</v>
      </c>
    </row>
    <row r="11202">
      <c r="A11202" s="3">
        <v>45834.0</v>
      </c>
      <c r="B11202" s="4">
        <v>0.30833333333333335</v>
      </c>
      <c r="C11202" s="5" t="s">
        <v>59</v>
      </c>
      <c r="D11202" s="5" t="s">
        <v>1570</v>
      </c>
      <c r="E11202" s="6" t="s">
        <v>53</v>
      </c>
      <c r="F11202" s="5" t="s">
        <v>1376</v>
      </c>
      <c r="G11202" s="6" t="str">
        <f>VLOOKUP(E11202,dicionario!$A$1:$C11601,2,0)</f>
        <v>Turnera subulata</v>
      </c>
      <c r="H11202" s="6" t="str">
        <f>VLOOKUP(E11202,dicionario!$A$1:$C11601,3,0)</f>
        <v>xanana</v>
      </c>
    </row>
    <row r="11203">
      <c r="A11203" s="3">
        <v>45834.0</v>
      </c>
      <c r="B11203" s="4">
        <v>0.30833333333333335</v>
      </c>
      <c r="C11203" s="5" t="s">
        <v>59</v>
      </c>
      <c r="D11203" s="5" t="s">
        <v>1570</v>
      </c>
      <c r="E11203" s="6" t="s">
        <v>14</v>
      </c>
      <c r="F11203" s="5" t="s">
        <v>1599</v>
      </c>
      <c r="G11203" s="6" t="str">
        <f>VLOOKUP(E11203,dicionario!$A$1:$C11602,2,0)</f>
        <v>Spermacoce verticillata</v>
      </c>
      <c r="H11203" s="6" t="str">
        <f>VLOOKUP(E11203,dicionario!$A$1:$C11602,3,0)</f>
        <v>vassourinha-de-botão</v>
      </c>
    </row>
    <row r="11204">
      <c r="A11204" s="3">
        <v>45834.0</v>
      </c>
      <c r="B11204" s="4">
        <v>0.30833333333333335</v>
      </c>
      <c r="C11204" s="5" t="s">
        <v>59</v>
      </c>
      <c r="D11204" s="5" t="s">
        <v>1570</v>
      </c>
      <c r="E11204" s="6" t="s">
        <v>43</v>
      </c>
      <c r="F11204" s="5" t="s">
        <v>1600</v>
      </c>
      <c r="G11204" s="6" t="str">
        <f>VLOOKUP(E11204,dicionario!$A$1:$C11603,2,0)</f>
        <v>Columba livia</v>
      </c>
      <c r="H11204" s="6" t="str">
        <f>VLOOKUP(E11204,dicionario!$A$1:$C11603,3,0)</f>
        <v>pombo-doméstico</v>
      </c>
    </row>
    <row r="11205">
      <c r="A11205" s="3">
        <v>45834.0</v>
      </c>
      <c r="B11205" s="4">
        <v>0.30833333333333335</v>
      </c>
      <c r="C11205" s="5" t="s">
        <v>59</v>
      </c>
      <c r="D11205" s="5" t="s">
        <v>1570</v>
      </c>
      <c r="E11205" s="6" t="s">
        <v>215</v>
      </c>
      <c r="F11205" s="5" t="s">
        <v>216</v>
      </c>
      <c r="G11205" s="6" t="str">
        <f>VLOOKUP(E11205,dicionario!$A$1:$C11604,2,0)</f>
        <v>Pygochelidon cyanoleuca</v>
      </c>
      <c r="H11205" s="6" t="str">
        <f>VLOOKUP(E11205,dicionario!$A$1:$C11604,3,0)</f>
        <v>andorinha-pequena-de-casa</v>
      </c>
    </row>
    <row r="11206">
      <c r="A11206" s="3">
        <v>45834.0</v>
      </c>
      <c r="B11206" s="4">
        <v>0.3090277777777778</v>
      </c>
      <c r="C11206" s="5" t="s">
        <v>59</v>
      </c>
      <c r="D11206" s="5" t="s">
        <v>1570</v>
      </c>
      <c r="E11206" s="6" t="s">
        <v>448</v>
      </c>
      <c r="F11206" s="5" t="s">
        <v>462</v>
      </c>
      <c r="G11206" s="6" t="str">
        <f>VLOOKUP(E11206,dicionario!$A$1:$C11605,2,0)</f>
        <v>Mechanitis polymnia</v>
      </c>
      <c r="H11206" s="6" t="str">
        <f>VLOOKUP(E11206,dicionario!$A$1:$C11605,3,0)</f>
        <v>maria-boba</v>
      </c>
    </row>
    <row r="11207">
      <c r="A11207" s="3">
        <v>45834.0</v>
      </c>
      <c r="B11207" s="4">
        <v>0.3090277777777778</v>
      </c>
      <c r="C11207" s="5" t="s">
        <v>59</v>
      </c>
      <c r="D11207" s="5" t="s">
        <v>1570</v>
      </c>
      <c r="E11207" s="8" t="s">
        <v>88</v>
      </c>
      <c r="F11207" s="5" t="s">
        <v>782</v>
      </c>
      <c r="G11207" s="6" t="str">
        <f>VLOOKUP(E11207,dicionario!$A$1:$C11606,2,0)</f>
        <v>Tyrannus melancolichus</v>
      </c>
      <c r="H11207" s="6" t="str">
        <f>VLOOKUP(E11207,dicionario!$A$1:$C11606,3,0)</f>
        <v>suiriri</v>
      </c>
    </row>
    <row r="11208">
      <c r="A11208" s="3">
        <v>45834.0</v>
      </c>
      <c r="B11208" s="4">
        <v>0.3104166666666667</v>
      </c>
      <c r="C11208" s="5" t="s">
        <v>50</v>
      </c>
      <c r="D11208" s="5" t="s">
        <v>1570</v>
      </c>
      <c r="E11208" s="6" t="s">
        <v>209</v>
      </c>
      <c r="F11208" s="5" t="s">
        <v>210</v>
      </c>
      <c r="G11208" s="6" t="str">
        <f>VLOOKUP(E11208,dicionario!$A$1:$C11607,2,0)</f>
        <v>Furnarius figulus</v>
      </c>
      <c r="H11208" s="6" t="str">
        <f>VLOOKUP(E11208,dicionario!$A$1:$C11607,3,0)</f>
        <v>casaca-de-couro-da-lama</v>
      </c>
    </row>
    <row r="11209">
      <c r="A11209" s="3">
        <v>45834.0</v>
      </c>
      <c r="B11209" s="4">
        <v>0.3104166666666667</v>
      </c>
      <c r="C11209" s="5" t="s">
        <v>50</v>
      </c>
      <c r="D11209" s="5" t="s">
        <v>1570</v>
      </c>
      <c r="E11209" s="8" t="s">
        <v>109</v>
      </c>
      <c r="F11209" s="5" t="s">
        <v>110</v>
      </c>
      <c r="G11209" s="6" t="str">
        <f>VLOOKUP(E11209,dicionario!$A$1:$C11608,2,0)</f>
        <v>Tillandsia stricta</v>
      </c>
      <c r="H11209" s="6" t="str">
        <f>VLOOKUP(E11209,dicionario!$A$1:$C11608,3,0)</f>
        <v>cravo-do-mato</v>
      </c>
    </row>
    <row r="11210">
      <c r="A11210" s="3">
        <v>45834.0</v>
      </c>
      <c r="B11210" s="4">
        <v>0.3104166666666667</v>
      </c>
      <c r="C11210" s="5" t="s">
        <v>50</v>
      </c>
      <c r="D11210" s="5" t="s">
        <v>1570</v>
      </c>
      <c r="E11210" s="8" t="s">
        <v>1344</v>
      </c>
      <c r="F11210" s="5" t="s">
        <v>47</v>
      </c>
      <c r="G11210" s="6" t="str">
        <f>VLOOKUP(E11210,dicionario!$A$1:$C11609,2,0)</f>
        <v>#N/A</v>
      </c>
      <c r="H11210" s="6" t="str">
        <f>VLOOKUP(E11210,dicionario!$A$1:$C11609,3,0)</f>
        <v>#N/A</v>
      </c>
    </row>
    <row r="11211">
      <c r="A11211" s="3">
        <v>45834.0</v>
      </c>
      <c r="B11211" s="4">
        <v>0.3104166666666667</v>
      </c>
      <c r="C11211" s="5" t="s">
        <v>50</v>
      </c>
      <c r="D11211" s="5" t="s">
        <v>1570</v>
      </c>
      <c r="E11211" s="6" t="s">
        <v>16</v>
      </c>
      <c r="F11211" s="5" t="s">
        <v>17</v>
      </c>
      <c r="G11211" s="6" t="str">
        <f>VLOOKUP(E11211,dicionario!$A$1:$C11610,2,0)</f>
        <v>Eupetomena macroura</v>
      </c>
      <c r="H11211" s="6" t="str">
        <f>VLOOKUP(E11211,dicionario!$A$1:$C11610,3,0)</f>
        <v>beija-flor-tesoura</v>
      </c>
    </row>
    <row r="11212">
      <c r="A11212" s="3">
        <v>45834.0</v>
      </c>
      <c r="B11212" s="4">
        <v>0.3111111111111111</v>
      </c>
      <c r="C11212" s="5" t="s">
        <v>50</v>
      </c>
      <c r="D11212" s="5" t="s">
        <v>1570</v>
      </c>
      <c r="E11212" s="8" t="s">
        <v>38</v>
      </c>
      <c r="F11212" s="5" t="s">
        <v>1251</v>
      </c>
      <c r="G11212" s="6" t="str">
        <f>VLOOKUP(E11212,dicionario!$A$1:$C11611,2,0)</f>
        <v>Troglodytes musculus</v>
      </c>
      <c r="H11212" s="6" t="str">
        <f>VLOOKUP(E11212,dicionario!$A$1:$C11611,3,0)</f>
        <v>curruíra</v>
      </c>
    </row>
    <row r="11213">
      <c r="A11213" s="3">
        <v>45834.0</v>
      </c>
      <c r="B11213" s="4">
        <v>0.3111111111111111</v>
      </c>
      <c r="C11213" s="5" t="s">
        <v>50</v>
      </c>
      <c r="D11213" s="5" t="s">
        <v>1570</v>
      </c>
      <c r="E11213" s="8" t="s">
        <v>712</v>
      </c>
      <c r="F11213" s="5" t="s">
        <v>718</v>
      </c>
      <c r="G11213" s="6" t="str">
        <f>VLOOKUP(E11213,dicionario!$A$1:$C11612,2,0)</f>
        <v>Flavopunctelia soredica</v>
      </c>
      <c r="H11213" s="6" t="str">
        <f>VLOOKUP(E11213,dicionario!$A$1:$C11612,3,0)</f>
        <v>líquen-folioso</v>
      </c>
    </row>
    <row r="11214">
      <c r="A11214" s="3">
        <v>45834.0</v>
      </c>
      <c r="B11214" s="4">
        <v>0.3111111111111111</v>
      </c>
      <c r="C11214" s="5" t="s">
        <v>50</v>
      </c>
      <c r="D11214" s="5" t="s">
        <v>1570</v>
      </c>
      <c r="E11214" s="8" t="s">
        <v>719</v>
      </c>
      <c r="F11214" s="5" t="s">
        <v>720</v>
      </c>
      <c r="G11214" s="6" t="str">
        <f>VLOOKUP(E11214,dicionario!$A$1:$C11613,2,0)</f>
        <v>Dirinaria</v>
      </c>
      <c r="H11214" s="6" t="str">
        <f>VLOOKUP(E11214,dicionario!$A$1:$C11613,3,0)</f>
        <v>líquen-crostoso</v>
      </c>
    </row>
    <row r="11215">
      <c r="A11215" s="3">
        <v>45834.0</v>
      </c>
      <c r="B11215" s="4">
        <v>0.3111111111111111</v>
      </c>
      <c r="C11215" s="5" t="s">
        <v>50</v>
      </c>
      <c r="D11215" s="5" t="s">
        <v>1570</v>
      </c>
      <c r="E11215" s="8" t="s">
        <v>1549</v>
      </c>
      <c r="F11215" s="5" t="s">
        <v>929</v>
      </c>
      <c r="G11215" s="6" t="str">
        <f>VLOOKUP(E11215,dicionario!$A$1:$C11614,2,0)</f>
        <v>Atta</v>
      </c>
      <c r="H11215" s="6" t="str">
        <f>VLOOKUP(E11215,dicionario!$A$1:$C11614,3,0)</f>
        <v>saúva</v>
      </c>
    </row>
    <row r="11216">
      <c r="A11216" s="3">
        <v>45834.0</v>
      </c>
      <c r="B11216" s="4">
        <v>0.3111111111111111</v>
      </c>
      <c r="C11216" s="5" t="s">
        <v>50</v>
      </c>
      <c r="D11216" s="5" t="s">
        <v>1570</v>
      </c>
      <c r="E11216" s="8" t="s">
        <v>223</v>
      </c>
      <c r="F11216" s="5"/>
      <c r="G11216" s="6" t="str">
        <f>VLOOKUP(E11216,dicionario!$A$1:$C11615,2,0)</f>
        <v>Rhipsalis lindbergiana</v>
      </c>
      <c r="H11216" s="6" t="str">
        <f>VLOOKUP(E11216,dicionario!$A$1:$C11615,3,0)</f>
        <v>cacto-macarrão</v>
      </c>
    </row>
    <row r="11217">
      <c r="A11217" s="3">
        <v>45834.0</v>
      </c>
      <c r="B11217" s="4">
        <v>0.3111111111111111</v>
      </c>
      <c r="C11217" s="5" t="s">
        <v>50</v>
      </c>
      <c r="D11217" s="5" t="s">
        <v>1570</v>
      </c>
      <c r="E11217" s="6" t="s">
        <v>401</v>
      </c>
      <c r="F11217" s="5" t="s">
        <v>464</v>
      </c>
      <c r="G11217" s="6" t="str">
        <f>VLOOKUP(E11217,dicionario!$A$1:$C11616,2,0)</f>
        <v>Cissus verticillata</v>
      </c>
      <c r="H11217" s="6" t="str">
        <f>VLOOKUP(E11217,dicionario!$A$1:$C11616,3,0)</f>
        <v>uva-do-mato</v>
      </c>
    </row>
    <row r="11218">
      <c r="A11218" s="3">
        <v>45834.0</v>
      </c>
      <c r="B11218" s="4">
        <v>0.31180555555555556</v>
      </c>
      <c r="C11218" s="5" t="s">
        <v>50</v>
      </c>
      <c r="D11218" s="5" t="s">
        <v>1570</v>
      </c>
      <c r="E11218" s="6" t="s">
        <v>251</v>
      </c>
      <c r="F11218" s="5" t="s">
        <v>252</v>
      </c>
      <c r="G11218" s="6" t="str">
        <f>VLOOKUP(E11218,dicionario!$A$1:$C11617,2,0)</f>
        <v>Struthanthus flexicaulis</v>
      </c>
      <c r="H11218" s="6" t="str">
        <f>VLOOKUP(E11218,dicionario!$A$1:$C11617,3,0)</f>
        <v>erva-de-passarinho</v>
      </c>
    </row>
    <row r="11219">
      <c r="A11219" s="3">
        <v>45834.0</v>
      </c>
      <c r="B11219" s="4">
        <v>0.3125</v>
      </c>
      <c r="C11219" s="5" t="s">
        <v>50</v>
      </c>
      <c r="D11219" s="5" t="s">
        <v>1570</v>
      </c>
      <c r="E11219" s="6" t="s">
        <v>65</v>
      </c>
      <c r="F11219" s="5" t="s">
        <v>66</v>
      </c>
      <c r="G11219" s="6" t="str">
        <f>VLOOKUP(E11219,dicionario!$A$1:$C11618,2,0)</f>
        <v>Pitangus sulphutarus</v>
      </c>
      <c r="H11219" s="6" t="str">
        <f>VLOOKUP(E11219,dicionario!$A$1:$C11618,3,0)</f>
        <v>bem-te-vi</v>
      </c>
    </row>
    <row r="11220">
      <c r="A11220" s="3">
        <v>45834.0</v>
      </c>
      <c r="B11220" s="4">
        <v>0.3145833333333333</v>
      </c>
      <c r="C11220" s="5" t="s">
        <v>50</v>
      </c>
      <c r="D11220" s="5" t="s">
        <v>1570</v>
      </c>
      <c r="E11220" s="6" t="s">
        <v>448</v>
      </c>
      <c r="F11220" s="5" t="s">
        <v>462</v>
      </c>
      <c r="G11220" s="6" t="str">
        <f>VLOOKUP(E11220,dicionario!$A$1:$C11619,2,0)</f>
        <v>Mechanitis polymnia</v>
      </c>
      <c r="H11220" s="6" t="str">
        <f>VLOOKUP(E11220,dicionario!$A$1:$C11619,3,0)</f>
        <v>maria-boba</v>
      </c>
    </row>
    <row r="11221">
      <c r="A11221" s="3">
        <v>45834.0</v>
      </c>
      <c r="B11221" s="4">
        <v>0.3145833333333333</v>
      </c>
      <c r="C11221" s="5" t="s">
        <v>50</v>
      </c>
      <c r="D11221" s="5" t="s">
        <v>1570</v>
      </c>
      <c r="E11221" s="6" t="s">
        <v>191</v>
      </c>
      <c r="F11221" s="5" t="s">
        <v>192</v>
      </c>
      <c r="G11221" s="6" t="str">
        <f>VLOOKUP(E11221,dicionario!$A$1:$C11620,2,0)</f>
        <v>Patagioenas picazuro</v>
      </c>
      <c r="H11221" s="6" t="str">
        <f>VLOOKUP(E11221,dicionario!$A$1:$C11620,3,0)</f>
        <v>asa-branca; pomba-asa-branca; pocaçu</v>
      </c>
    </row>
    <row r="11222">
      <c r="A11222" s="3">
        <v>45834.0</v>
      </c>
      <c r="B11222" s="4">
        <v>0.3159722222222222</v>
      </c>
      <c r="C11222" s="5" t="s">
        <v>50</v>
      </c>
      <c r="D11222" s="5" t="s">
        <v>1570</v>
      </c>
      <c r="E11222" s="8" t="s">
        <v>38</v>
      </c>
      <c r="F11222" s="5" t="s">
        <v>1251</v>
      </c>
      <c r="G11222" s="6" t="str">
        <f>VLOOKUP(E11222,dicionario!$A$1:$C11621,2,0)</f>
        <v>Troglodytes musculus</v>
      </c>
      <c r="H11222" s="6" t="str">
        <f>VLOOKUP(E11222,dicionario!$A$1:$C11621,3,0)</f>
        <v>curruíra</v>
      </c>
    </row>
    <row r="11223">
      <c r="A11223" s="3">
        <v>45834.0</v>
      </c>
      <c r="B11223" s="4">
        <v>0.31666666666666665</v>
      </c>
      <c r="C11223" s="5" t="s">
        <v>50</v>
      </c>
      <c r="D11223" s="5" t="s">
        <v>1570</v>
      </c>
      <c r="E11223" s="6" t="s">
        <v>346</v>
      </c>
      <c r="F11223" s="5" t="s">
        <v>1601</v>
      </c>
      <c r="G11223" s="6" t="str">
        <f>VLOOKUP(E11223,dicionario!$A$1:$C11622,2,0)</f>
        <v>#N/A</v>
      </c>
      <c r="H11223" s="6" t="str">
        <f>VLOOKUP(E11223,dicionario!$A$1:$C11622,3,0)</f>
        <v>#N/A</v>
      </c>
    </row>
    <row r="11224">
      <c r="A11224" s="3">
        <v>45834.0</v>
      </c>
      <c r="B11224" s="4">
        <v>0.3173611111111111</v>
      </c>
      <c r="C11224" s="5" t="s">
        <v>50</v>
      </c>
      <c r="D11224" s="5" t="s">
        <v>1570</v>
      </c>
      <c r="E11224" s="8" t="s">
        <v>154</v>
      </c>
      <c r="F11224" s="5" t="s">
        <v>1585</v>
      </c>
      <c r="G11224" s="6" t="str">
        <f>VLOOKUP(E11224,dicionario!$A$1:$C11623,2,0)</f>
        <v>Cyperus rotundus</v>
      </c>
      <c r="H11224" s="6" t="str">
        <f>VLOOKUP(E11224,dicionario!$A$1:$C11623,3,0)</f>
        <v>tiririca</v>
      </c>
    </row>
    <row r="11225">
      <c r="A11225" s="3">
        <v>45834.0</v>
      </c>
      <c r="B11225" s="4">
        <v>0.3173611111111111</v>
      </c>
      <c r="C11225" s="5" t="s">
        <v>50</v>
      </c>
      <c r="D11225" s="5" t="s">
        <v>1570</v>
      </c>
      <c r="E11225" s="6" t="s">
        <v>498</v>
      </c>
      <c r="F11225" s="5" t="s">
        <v>899</v>
      </c>
      <c r="G11225" s="6" t="str">
        <f>VLOOKUP(E11225,dicionario!$A$1:$C11624,2,0)</f>
        <v>Brachiaria decumbens</v>
      </c>
      <c r="H11225" s="6" t="str">
        <f>VLOOKUP(E11225,dicionario!$A$1:$C11624,3,0)</f>
        <v>capim-braquiária</v>
      </c>
    </row>
    <row r="11226">
      <c r="A11226" s="3">
        <v>45834.0</v>
      </c>
      <c r="B11226" s="4">
        <v>0.32083333333333336</v>
      </c>
      <c r="C11226" s="5" t="s">
        <v>40</v>
      </c>
      <c r="D11226" s="5" t="s">
        <v>1570</v>
      </c>
      <c r="E11226" s="8" t="s">
        <v>1549</v>
      </c>
      <c r="F11226" s="5" t="s">
        <v>929</v>
      </c>
      <c r="G11226" s="6" t="str">
        <f>VLOOKUP(E11226,dicionario!$A$1:$C11625,2,0)</f>
        <v>Atta</v>
      </c>
      <c r="H11226" s="6" t="str">
        <f>VLOOKUP(E11226,dicionario!$A$1:$C11625,3,0)</f>
        <v>saúva</v>
      </c>
    </row>
    <row r="11227">
      <c r="A11227" s="3">
        <v>45834.0</v>
      </c>
      <c r="B11227" s="4">
        <v>0.32222222222222224</v>
      </c>
      <c r="C11227" s="5" t="s">
        <v>40</v>
      </c>
      <c r="D11227" s="5" t="s">
        <v>1570</v>
      </c>
      <c r="E11227" s="6" t="s">
        <v>340</v>
      </c>
      <c r="F11227" s="5" t="s">
        <v>1597</v>
      </c>
      <c r="G11227" s="6" t="str">
        <f>VLOOKUP(E11227,dicionario!$A$1:$C11626,2,0)</f>
        <v>#N/A</v>
      </c>
      <c r="H11227" s="6" t="str">
        <f>VLOOKUP(E11227,dicionario!$A$1:$C11626,3,0)</f>
        <v>#N/A</v>
      </c>
    </row>
    <row r="11228">
      <c r="A11228" s="3">
        <v>45834.0</v>
      </c>
      <c r="B11228" s="4">
        <v>0.32222222222222224</v>
      </c>
      <c r="C11228" s="5" t="s">
        <v>40</v>
      </c>
      <c r="D11228" s="5" t="s">
        <v>1570</v>
      </c>
      <c r="E11228" s="6" t="s">
        <v>109</v>
      </c>
      <c r="F11228" s="5" t="s">
        <v>110</v>
      </c>
      <c r="G11228" s="6" t="str">
        <f>VLOOKUP(E11228,dicionario!$A$1:$C11627,2,0)</f>
        <v>Tillandsia stricta</v>
      </c>
      <c r="H11228" s="6" t="str">
        <f>VLOOKUP(E11228,dicionario!$A$1:$C11627,3,0)</f>
        <v>cravo-do-mato</v>
      </c>
    </row>
    <row r="11229">
      <c r="A11229" s="3">
        <v>45834.0</v>
      </c>
      <c r="B11229" s="4">
        <v>0.32222222222222224</v>
      </c>
      <c r="C11229" s="5" t="s">
        <v>40</v>
      </c>
      <c r="D11229" s="5" t="s">
        <v>1570</v>
      </c>
      <c r="E11229" s="6" t="s">
        <v>113</v>
      </c>
      <c r="F11229" s="5" t="s">
        <v>114</v>
      </c>
      <c r="G11229" s="6" t="str">
        <f>VLOOKUP(E11229,dicionario!$A$1:$C11628,2,0)</f>
        <v>Columbina talpacoti</v>
      </c>
      <c r="H11229" s="6" t="str">
        <f>VLOOKUP(E11229,dicionario!$A$1:$C11628,3,0)</f>
        <v>rolinha-roxa</v>
      </c>
    </row>
    <row r="11230">
      <c r="A11230" s="3">
        <v>45834.0</v>
      </c>
      <c r="B11230" s="4">
        <v>0.32222222222222224</v>
      </c>
      <c r="C11230" s="5" t="s">
        <v>40</v>
      </c>
      <c r="D11230" s="5" t="s">
        <v>1570</v>
      </c>
      <c r="E11230" s="8" t="s">
        <v>712</v>
      </c>
      <c r="F11230" s="5" t="s">
        <v>1602</v>
      </c>
      <c r="G11230" s="6" t="str">
        <f>VLOOKUP(E11230,dicionario!$A$1:$C11629,2,0)</f>
        <v>Flavopunctelia soredica</v>
      </c>
      <c r="H11230" s="6" t="str">
        <f>VLOOKUP(E11230,dicionario!$A$1:$C11629,3,0)</f>
        <v>líquen-folioso</v>
      </c>
    </row>
    <row r="11231">
      <c r="A11231" s="3">
        <v>45834.0</v>
      </c>
      <c r="B11231" s="4">
        <v>0.3229166666666667</v>
      </c>
      <c r="C11231" s="5" t="s">
        <v>40</v>
      </c>
      <c r="D11231" s="5" t="s">
        <v>1570</v>
      </c>
      <c r="E11231" s="8" t="s">
        <v>719</v>
      </c>
      <c r="F11231" s="5" t="s">
        <v>1593</v>
      </c>
      <c r="G11231" s="6" t="str">
        <f>VLOOKUP(E11231,dicionario!$A$1:$C11630,2,0)</f>
        <v>Dirinaria</v>
      </c>
      <c r="H11231" s="6" t="str">
        <f>VLOOKUP(E11231,dicionario!$A$1:$C11630,3,0)</f>
        <v>líquen-crostoso</v>
      </c>
    </row>
    <row r="11232">
      <c r="A11232" s="3">
        <v>45834.0</v>
      </c>
      <c r="B11232" s="4">
        <v>0.3229166666666667</v>
      </c>
      <c r="C11232" s="5" t="s">
        <v>40</v>
      </c>
      <c r="D11232" s="5" t="s">
        <v>1570</v>
      </c>
      <c r="E11232" s="8" t="s">
        <v>1352</v>
      </c>
      <c r="F11232" s="5"/>
      <c r="G11232" s="6" t="str">
        <f>VLOOKUP(E11232,dicionario!$A$1:$C11631,2,0)</f>
        <v>#N/A</v>
      </c>
      <c r="H11232" s="6" t="str">
        <f>VLOOKUP(E11232,dicionario!$A$1:$C11631,3,0)</f>
        <v>#N/A</v>
      </c>
    </row>
    <row r="11233">
      <c r="A11233" s="3">
        <v>45834.0</v>
      </c>
      <c r="B11233" s="4">
        <v>0.3229166666666667</v>
      </c>
      <c r="C11233" s="5" t="s">
        <v>40</v>
      </c>
      <c r="D11233" s="5" t="s">
        <v>1570</v>
      </c>
      <c r="E11233" s="8" t="s">
        <v>135</v>
      </c>
      <c r="F11233" s="5" t="s">
        <v>136</v>
      </c>
      <c r="G11233" s="6" t="str">
        <f>VLOOKUP(E11233,dicionario!$A$1:$C11632,2,0)</f>
        <v>Tridax procumbens</v>
      </c>
      <c r="H11233" s="6" t="str">
        <f>VLOOKUP(E11233,dicionario!$A$1:$C11632,3,0)</f>
        <v>erva-de-touro</v>
      </c>
    </row>
    <row r="11234">
      <c r="A11234" s="3">
        <v>45834.0</v>
      </c>
      <c r="B11234" s="4">
        <v>0.3229166666666667</v>
      </c>
      <c r="C11234" s="5" t="s">
        <v>40</v>
      </c>
      <c r="D11234" s="5" t="s">
        <v>1570</v>
      </c>
      <c r="E11234" s="8" t="s">
        <v>1555</v>
      </c>
      <c r="F11234" s="5"/>
      <c r="G11234" s="6" t="str">
        <f>VLOOKUP(E11234,dicionario!$A$1:$C11633,2,0)</f>
        <v>#N/A</v>
      </c>
      <c r="H11234" s="6" t="str">
        <f>VLOOKUP(E11234,dicionario!$A$1:$C11633,3,0)</f>
        <v>#N/A</v>
      </c>
    </row>
    <row r="11235">
      <c r="A11235" s="3">
        <v>45834.0</v>
      </c>
      <c r="B11235" s="4">
        <v>0.32430555555555557</v>
      </c>
      <c r="C11235" s="5" t="s">
        <v>40</v>
      </c>
      <c r="D11235" s="5" t="s">
        <v>1570</v>
      </c>
      <c r="E11235" s="8" t="s">
        <v>191</v>
      </c>
      <c r="F11235" s="5" t="s">
        <v>771</v>
      </c>
      <c r="G11235" s="6" t="str">
        <f>VLOOKUP(E11235,dicionario!$A$1:$C11634,2,0)</f>
        <v>Patagioenas picazuro</v>
      </c>
      <c r="H11235" s="6" t="str">
        <f>VLOOKUP(E11235,dicionario!$A$1:$C11634,3,0)</f>
        <v>asa-branca; pomba-asa-branca; pocaçu</v>
      </c>
    </row>
    <row r="11236">
      <c r="A11236" s="3">
        <v>45834.0</v>
      </c>
      <c r="B11236" s="4">
        <v>0.32430555555555557</v>
      </c>
      <c r="C11236" s="5" t="s">
        <v>40</v>
      </c>
      <c r="D11236" s="5" t="s">
        <v>1570</v>
      </c>
      <c r="E11236" s="8" t="s">
        <v>1344</v>
      </c>
      <c r="F11236" s="5" t="s">
        <v>1360</v>
      </c>
      <c r="G11236" s="6" t="str">
        <f>VLOOKUP(E11236,dicionario!$A$1:$C11635,2,0)</f>
        <v>#N/A</v>
      </c>
      <c r="H11236" s="6" t="str">
        <f>VLOOKUP(E11236,dicionario!$A$1:$C11635,3,0)</f>
        <v>#N/A</v>
      </c>
    </row>
    <row r="11237">
      <c r="A11237" s="3">
        <v>45834.0</v>
      </c>
      <c r="B11237" s="4">
        <v>0.32430555555555557</v>
      </c>
      <c r="C11237" s="5" t="s">
        <v>40</v>
      </c>
      <c r="D11237" s="5" t="s">
        <v>1570</v>
      </c>
      <c r="E11237" s="8" t="s">
        <v>88</v>
      </c>
      <c r="F11237" s="5" t="s">
        <v>1603</v>
      </c>
      <c r="G11237" s="6" t="str">
        <f>VLOOKUP(E11237,dicionario!$A$1:$C11636,2,0)</f>
        <v>Tyrannus melancolichus</v>
      </c>
      <c r="H11237" s="6" t="str">
        <f>VLOOKUP(E11237,dicionario!$A$1:$C11636,3,0)</f>
        <v>suiriri</v>
      </c>
    </row>
    <row r="11238">
      <c r="A11238" s="3">
        <v>45834.0</v>
      </c>
      <c r="B11238" s="4">
        <v>0.325</v>
      </c>
      <c r="C11238" s="5" t="s">
        <v>40</v>
      </c>
      <c r="D11238" s="5" t="s">
        <v>1570</v>
      </c>
      <c r="E11238" s="8" t="s">
        <v>38</v>
      </c>
      <c r="F11238" s="5" t="s">
        <v>1604</v>
      </c>
      <c r="G11238" s="6" t="str">
        <f>VLOOKUP(E11238,dicionario!$A$1:$C11637,2,0)</f>
        <v>Troglodytes musculus</v>
      </c>
      <c r="H11238" s="6" t="str">
        <f>VLOOKUP(E11238,dicionario!$A$1:$C11637,3,0)</f>
        <v>curruíra</v>
      </c>
    </row>
    <row r="11239">
      <c r="A11239" s="3">
        <v>45834.0</v>
      </c>
      <c r="B11239" s="4">
        <v>0.325</v>
      </c>
      <c r="C11239" s="5" t="s">
        <v>40</v>
      </c>
      <c r="D11239" s="5" t="s">
        <v>1570</v>
      </c>
      <c r="E11239" s="8" t="s">
        <v>517</v>
      </c>
      <c r="F11239" s="5" t="s">
        <v>1605</v>
      </c>
      <c r="G11239" s="6" t="str">
        <f>VLOOKUP(E11239,dicionario!$A$1:$C11638,2,0)</f>
        <v>Evolvulus nummularius</v>
      </c>
      <c r="H11239" s="6" t="str">
        <f>VLOOKUP(E11239,dicionario!$A$1:$C11638,3,0)</f>
        <v/>
      </c>
    </row>
    <row r="11240">
      <c r="A11240" s="3">
        <v>45834.0</v>
      </c>
      <c r="B11240" s="4">
        <v>0.32569444444444445</v>
      </c>
      <c r="C11240" s="5" t="s">
        <v>40</v>
      </c>
      <c r="D11240" s="5" t="s">
        <v>1570</v>
      </c>
      <c r="E11240" s="8" t="s">
        <v>271</v>
      </c>
      <c r="F11240" s="5" t="s">
        <v>1169</v>
      </c>
      <c r="G11240" s="6" t="str">
        <f>VLOOKUP(E11240,dicionario!$A$1:$C11639,2,0)</f>
        <v>Cyanthillium cinereum</v>
      </c>
      <c r="H11240" s="6" t="str">
        <f>VLOOKUP(E11240,dicionario!$A$1:$C11639,3,0)</f>
        <v>emília</v>
      </c>
    </row>
    <row r="11241">
      <c r="A11241" s="3">
        <v>45834.0</v>
      </c>
      <c r="B11241" s="4">
        <v>0.32569444444444445</v>
      </c>
      <c r="C11241" s="5" t="s">
        <v>40</v>
      </c>
      <c r="D11241" s="5" t="s">
        <v>1570</v>
      </c>
      <c r="E11241" s="8" t="s">
        <v>977</v>
      </c>
      <c r="F11241" s="5" t="s">
        <v>978</v>
      </c>
      <c r="G11241" s="6" t="str">
        <f>VLOOKUP(E11241,dicionario!$A$1:$C11640,2,0)</f>
        <v>Odontomachus</v>
      </c>
      <c r="H11241" s="6" t="str">
        <f>VLOOKUP(E11241,dicionario!$A$1:$C11640,3,0)</f>
        <v>formiga-de-estalo</v>
      </c>
    </row>
    <row r="11242">
      <c r="A11242" s="3">
        <v>45834.0</v>
      </c>
      <c r="B11242" s="4">
        <v>0.3263888888888889</v>
      </c>
      <c r="C11242" s="5" t="s">
        <v>40</v>
      </c>
      <c r="D11242" s="5" t="s">
        <v>1570</v>
      </c>
      <c r="E11242" s="8" t="s">
        <v>795</v>
      </c>
      <c r="F11242" s="5" t="s">
        <v>796</v>
      </c>
      <c r="G11242" s="6" t="str">
        <f>VLOOKUP(E11242,dicionario!$A$1:$C11641,2,0)</f>
        <v>#N/A</v>
      </c>
      <c r="H11242" s="6" t="str">
        <f>VLOOKUP(E11242,dicionario!$A$1:$C11641,3,0)</f>
        <v>#N/A</v>
      </c>
    </row>
    <row r="11243">
      <c r="A11243" s="3">
        <v>45834.0</v>
      </c>
      <c r="B11243" s="4">
        <v>0.3263888888888889</v>
      </c>
      <c r="C11243" s="5" t="s">
        <v>40</v>
      </c>
      <c r="D11243" s="5" t="s">
        <v>1570</v>
      </c>
      <c r="E11243" s="6" t="s">
        <v>14</v>
      </c>
      <c r="F11243" s="5" t="s">
        <v>1576</v>
      </c>
      <c r="G11243" s="6" t="str">
        <f>VLOOKUP(E11243,dicionario!$A$1:$C11642,2,0)</f>
        <v>Spermacoce verticillata</v>
      </c>
      <c r="H11243" s="6" t="str">
        <f>VLOOKUP(E11243,dicionario!$A$1:$C11642,3,0)</f>
        <v>vassourinha-de-botão</v>
      </c>
    </row>
    <row r="11244">
      <c r="A11244" s="3">
        <v>45834.0</v>
      </c>
      <c r="B11244" s="4">
        <v>0.3263888888888889</v>
      </c>
      <c r="C11244" s="5" t="s">
        <v>40</v>
      </c>
      <c r="D11244" s="5" t="s">
        <v>1570</v>
      </c>
      <c r="E11244" s="6" t="s">
        <v>53</v>
      </c>
      <c r="F11244" s="5" t="s">
        <v>1376</v>
      </c>
      <c r="G11244" s="6" t="str">
        <f>VLOOKUP(E11244,dicionario!$A$1:$C11643,2,0)</f>
        <v>Turnera subulata</v>
      </c>
      <c r="H11244" s="6" t="str">
        <f>VLOOKUP(E11244,dicionario!$A$1:$C11643,3,0)</f>
        <v>xanana</v>
      </c>
    </row>
    <row r="11245">
      <c r="A11245" s="3">
        <v>45834.0</v>
      </c>
      <c r="B11245" s="4">
        <v>0.32708333333333334</v>
      </c>
      <c r="C11245" s="5" t="s">
        <v>40</v>
      </c>
      <c r="D11245" s="5" t="s">
        <v>1570</v>
      </c>
      <c r="E11245" s="6" t="s">
        <v>286</v>
      </c>
      <c r="F11245" s="5" t="s">
        <v>287</v>
      </c>
      <c r="G11245" s="6" t="str">
        <f>VLOOKUP(E11245,dicionario!$A$1:$C11644,2,0)</f>
        <v>Setaria parviflora</v>
      </c>
      <c r="H11245" s="6" t="str">
        <f>VLOOKUP(E11245,dicionario!$A$1:$C11644,3,0)</f>
        <v>capim-rabo-de-raposa</v>
      </c>
    </row>
    <row r="11246">
      <c r="A11246" s="3">
        <v>45834.0</v>
      </c>
      <c r="B11246" s="4">
        <v>0.32708333333333334</v>
      </c>
      <c r="C11246" s="5" t="s">
        <v>40</v>
      </c>
      <c r="D11246" s="5" t="s">
        <v>1570</v>
      </c>
      <c r="E11246" s="6" t="s">
        <v>141</v>
      </c>
      <c r="F11246" s="5" t="s">
        <v>142</v>
      </c>
      <c r="G11246" s="6" t="str">
        <f>VLOOKUP(E11246,dicionario!$A$1:$C11645,2,0)</f>
        <v>Ruellia blechum</v>
      </c>
      <c r="H11246" s="6" t="str">
        <f>VLOOKUP(E11246,dicionario!$A$1:$C11645,3,0)</f>
        <v>camarão-verde</v>
      </c>
    </row>
    <row r="11247">
      <c r="A11247" s="3">
        <v>45834.0</v>
      </c>
      <c r="B11247" s="4">
        <v>0.32708333333333334</v>
      </c>
      <c r="C11247" s="5" t="s">
        <v>40</v>
      </c>
      <c r="D11247" s="5" t="s">
        <v>1570</v>
      </c>
      <c r="E11247" s="8" t="s">
        <v>353</v>
      </c>
      <c r="F11247" s="5" t="s">
        <v>354</v>
      </c>
      <c r="G11247" s="6" t="str">
        <f>VLOOKUP(E11247,dicionario!$A$1:$C11646,2,0)</f>
        <v>Desmodium incanum</v>
      </c>
      <c r="H11247" s="6" t="str">
        <f>VLOOKUP(E11247,dicionario!$A$1:$C11646,3,0)</f>
        <v>pega-pega</v>
      </c>
    </row>
    <row r="11248">
      <c r="A11248" s="3">
        <v>45834.0</v>
      </c>
      <c r="B11248" s="4">
        <v>0.32708333333333334</v>
      </c>
      <c r="C11248" s="5" t="s">
        <v>40</v>
      </c>
      <c r="D11248" s="5" t="s">
        <v>1570</v>
      </c>
      <c r="E11248" s="6" t="s">
        <v>469</v>
      </c>
      <c r="F11248" s="5" t="s">
        <v>472</v>
      </c>
      <c r="G11248" s="6" t="str">
        <f>VLOOKUP(E11248,dicionario!$A$1:$C11647,2,0)</f>
        <v>#N/A</v>
      </c>
      <c r="H11248" s="6" t="str">
        <f>VLOOKUP(E11248,dicionario!$A$1:$C11647,3,0)</f>
        <v>#N/A</v>
      </c>
    </row>
    <row r="11249">
      <c r="A11249" s="3">
        <v>45834.0</v>
      </c>
      <c r="B11249" s="4">
        <v>0.3277777777777778</v>
      </c>
      <c r="C11249" s="5" t="s">
        <v>40</v>
      </c>
      <c r="D11249" s="5" t="s">
        <v>1570</v>
      </c>
      <c r="E11249" s="29" t="s">
        <v>566</v>
      </c>
      <c r="F11249" s="5" t="s">
        <v>567</v>
      </c>
      <c r="G11249" s="6" t="str">
        <f>VLOOKUP(E11249,dicionario!$A$1:$C11648,2,0)</f>
        <v>Baccharis dracunculifolia</v>
      </c>
      <c r="H11249" s="6" t="str">
        <f>VLOOKUP(E11249,dicionario!$A$1:$C11648,3,0)</f>
        <v>vassoura</v>
      </c>
    </row>
    <row r="11250">
      <c r="A11250" s="3">
        <v>45834.0</v>
      </c>
      <c r="B11250" s="4">
        <v>0.3277777777777778</v>
      </c>
      <c r="C11250" s="5" t="s">
        <v>40</v>
      </c>
      <c r="D11250" s="5" t="s">
        <v>1570</v>
      </c>
      <c r="E11250" s="6" t="s">
        <v>290</v>
      </c>
      <c r="F11250" s="5" t="s">
        <v>497</v>
      </c>
      <c r="G11250" s="6" t="str">
        <f>VLOOKUP(E11250,dicionario!$A$1:$C11649,2,0)</f>
        <v>Drymaria cordata</v>
      </c>
      <c r="H11250" s="6" t="str">
        <f>VLOOKUP(E11250,dicionario!$A$1:$C11649,3,0)</f>
        <v>orelha-de-rato</v>
      </c>
    </row>
    <row r="11251">
      <c r="A11251" s="3">
        <v>45834.0</v>
      </c>
      <c r="B11251" s="4">
        <v>0.3277777777777778</v>
      </c>
      <c r="C11251" s="5" t="s">
        <v>40</v>
      </c>
      <c r="D11251" s="5" t="s">
        <v>1570</v>
      </c>
      <c r="E11251" s="12" t="s">
        <v>152</v>
      </c>
      <c r="F11251" s="5" t="s">
        <v>153</v>
      </c>
      <c r="G11251" s="6" t="str">
        <f>VLOOKUP(E11251,dicionario!$A$1:$C11650,2,0)</f>
        <v>Cynodon dactylon</v>
      </c>
      <c r="H11251" s="6" t="str">
        <f>VLOOKUP(E11251,dicionario!$A$1:$C11650,3,0)</f>
        <v>grama-bermuda</v>
      </c>
    </row>
    <row r="11252">
      <c r="A11252" s="3">
        <v>45834.0</v>
      </c>
      <c r="B11252" s="4">
        <v>0.3277777777777778</v>
      </c>
      <c r="C11252" s="5" t="s">
        <v>40</v>
      </c>
      <c r="D11252" s="5" t="s">
        <v>1570</v>
      </c>
      <c r="E11252" s="6" t="s">
        <v>227</v>
      </c>
      <c r="F11252" s="5" t="s">
        <v>228</v>
      </c>
      <c r="G11252" s="6" t="str">
        <f>VLOOKUP(E11252,dicionario!$A$1:$C11651,2,0)</f>
        <v>Indigofera hirsuta</v>
      </c>
      <c r="H11252" s="6" t="str">
        <f>VLOOKUP(E11252,dicionario!$A$1:$C11651,3,0)</f>
        <v>anileira</v>
      </c>
    </row>
    <row r="11253">
      <c r="A11253" s="3">
        <v>45834.0</v>
      </c>
      <c r="B11253" s="4">
        <v>0.3277777777777778</v>
      </c>
      <c r="C11253" s="5" t="s">
        <v>40</v>
      </c>
      <c r="D11253" s="5" t="s">
        <v>1570</v>
      </c>
      <c r="E11253" s="6" t="s">
        <v>72</v>
      </c>
      <c r="F11253" s="5" t="s">
        <v>73</v>
      </c>
      <c r="G11253" s="6" t="str">
        <f>VLOOKUP(E11253,dicionario!$A$1:$C11652,2,0)</f>
        <v>Thraupis palmarum</v>
      </c>
      <c r="H11253" s="6" t="str">
        <f>VLOOKUP(E11253,dicionario!$A$1:$C11652,3,0)</f>
        <v>sanhaço-do-coqueiro</v>
      </c>
    </row>
    <row r="11254">
      <c r="A11254" s="3">
        <v>45834.0</v>
      </c>
      <c r="B11254" s="4">
        <v>0.3284722222222222</v>
      </c>
      <c r="C11254" s="5" t="s">
        <v>40</v>
      </c>
      <c r="D11254" s="5" t="s">
        <v>1570</v>
      </c>
      <c r="E11254" s="8" t="s">
        <v>1133</v>
      </c>
      <c r="F11254" s="5" t="s">
        <v>1134</v>
      </c>
      <c r="G11254" s="6" t="str">
        <f>VLOOKUP(E11254,dicionario!$A$1:$C11653,2,0)</f>
        <v>Dactyloctenium aegyptium</v>
      </c>
      <c r="H11254" s="6" t="str">
        <f>VLOOKUP(E11254,dicionario!$A$1:$C11653,3,0)</f>
        <v/>
      </c>
    </row>
    <row r="11255">
      <c r="A11255" s="3">
        <v>45834.0</v>
      </c>
      <c r="B11255" s="4">
        <v>0.32916666666666666</v>
      </c>
      <c r="C11255" s="5" t="s">
        <v>33</v>
      </c>
      <c r="D11255" s="5" t="s">
        <v>1570</v>
      </c>
      <c r="E11255" s="8" t="s">
        <v>109</v>
      </c>
      <c r="F11255" s="5" t="s">
        <v>1606</v>
      </c>
      <c r="G11255" s="6" t="str">
        <f>VLOOKUP(E11255,dicionario!$A$1:$C11654,2,0)</f>
        <v>Tillandsia stricta</v>
      </c>
      <c r="H11255" s="6" t="str">
        <f>VLOOKUP(E11255,dicionario!$A$1:$C11654,3,0)</f>
        <v>cravo-do-mato</v>
      </c>
    </row>
    <row r="11256">
      <c r="A11256" s="3">
        <v>45834.0</v>
      </c>
      <c r="B11256" s="4">
        <v>0.3298611111111111</v>
      </c>
      <c r="C11256" s="5" t="s">
        <v>33</v>
      </c>
      <c r="D11256" s="5" t="s">
        <v>1570</v>
      </c>
      <c r="E11256" s="8" t="s">
        <v>517</v>
      </c>
      <c r="F11256" s="5" t="s">
        <v>1446</v>
      </c>
      <c r="G11256" s="6" t="str">
        <f>VLOOKUP(E11256,dicionario!$A$1:$C11655,2,0)</f>
        <v>Evolvulus nummularius</v>
      </c>
      <c r="H11256" s="6" t="str">
        <f>VLOOKUP(E11256,dicionario!$A$1:$C11655,3,0)</f>
        <v/>
      </c>
    </row>
    <row r="11257">
      <c r="A11257" s="3">
        <v>45834.0</v>
      </c>
      <c r="B11257" s="4">
        <v>0.3298611111111111</v>
      </c>
      <c r="C11257" s="5" t="s">
        <v>33</v>
      </c>
      <c r="D11257" s="5" t="s">
        <v>1570</v>
      </c>
      <c r="E11257" s="6" t="s">
        <v>425</v>
      </c>
      <c r="F11257" s="5" t="s">
        <v>426</v>
      </c>
      <c r="G11257" s="6" t="str">
        <f>VLOOKUP(E11257,dicionario!$A$1:$C11656,2,0)</f>
        <v>Digitaria insularis</v>
      </c>
      <c r="H11257" s="6" t="str">
        <f>VLOOKUP(E11257,dicionario!$A$1:$C11656,3,0)</f>
        <v>capim-amargoso</v>
      </c>
    </row>
    <row r="11258">
      <c r="A11258" s="3">
        <v>45834.0</v>
      </c>
      <c r="B11258" s="4">
        <v>0.3298611111111111</v>
      </c>
      <c r="C11258" s="5" t="s">
        <v>33</v>
      </c>
      <c r="D11258" s="5" t="s">
        <v>1570</v>
      </c>
      <c r="E11258" s="6" t="s">
        <v>467</v>
      </c>
      <c r="F11258" s="5" t="s">
        <v>1586</v>
      </c>
      <c r="G11258" s="6" t="str">
        <f>VLOOKUP(E11258,dicionario!$A$1:$C11657,2,0)</f>
        <v>Eleusine indica</v>
      </c>
      <c r="H11258" s="6" t="str">
        <f>VLOOKUP(E11258,dicionario!$A$1:$C11657,3,0)</f>
        <v>capim-pé-de-galinha</v>
      </c>
    </row>
    <row r="11259">
      <c r="A11259" s="3">
        <v>45834.0</v>
      </c>
      <c r="B11259" s="4">
        <v>0.33055555555555555</v>
      </c>
      <c r="C11259" s="5" t="s">
        <v>33</v>
      </c>
      <c r="D11259" s="5" t="s">
        <v>1570</v>
      </c>
      <c r="E11259" s="8" t="s">
        <v>271</v>
      </c>
      <c r="F11259" s="5" t="s">
        <v>1575</v>
      </c>
      <c r="G11259" s="6" t="str">
        <f>VLOOKUP(E11259,dicionario!$A$1:$C11658,2,0)</f>
        <v>Cyanthillium cinereum</v>
      </c>
      <c r="H11259" s="6" t="str">
        <f>VLOOKUP(E11259,dicionario!$A$1:$C11658,3,0)</f>
        <v>emília</v>
      </c>
    </row>
    <row r="11260">
      <c r="A11260" s="3">
        <v>45834.0</v>
      </c>
      <c r="B11260" s="4">
        <v>0.33055555555555555</v>
      </c>
      <c r="C11260" s="5" t="s">
        <v>33</v>
      </c>
      <c r="D11260" s="5" t="s">
        <v>1570</v>
      </c>
      <c r="E11260" s="8" t="s">
        <v>38</v>
      </c>
      <c r="F11260" s="5" t="s">
        <v>1604</v>
      </c>
      <c r="G11260" s="6" t="str">
        <f>VLOOKUP(E11260,dicionario!$A$1:$C11659,2,0)</f>
        <v>Troglodytes musculus</v>
      </c>
      <c r="H11260" s="6" t="str">
        <f>VLOOKUP(E11260,dicionario!$A$1:$C11659,3,0)</f>
        <v>curruíra</v>
      </c>
    </row>
    <row r="11261">
      <c r="A11261" s="3">
        <v>45834.0</v>
      </c>
      <c r="B11261" s="4">
        <v>0.33125</v>
      </c>
      <c r="C11261" s="5" t="s">
        <v>33</v>
      </c>
      <c r="D11261" s="5" t="s">
        <v>1570</v>
      </c>
      <c r="E11261" s="8" t="s">
        <v>122</v>
      </c>
      <c r="F11261" s="5" t="s">
        <v>1582</v>
      </c>
      <c r="G11261" s="6" t="str">
        <f>VLOOKUP(E11261,dicionario!$A$1:$C11660,2,0)</f>
        <v>Todirostrum cinereum</v>
      </c>
      <c r="H11261" s="6" t="str">
        <f>VLOOKUP(E11261,dicionario!$A$1:$C11660,3,0)</f>
        <v>ferreirinho-relógio</v>
      </c>
    </row>
    <row r="11262">
      <c r="A11262" s="3">
        <v>45834.0</v>
      </c>
      <c r="B11262" s="4">
        <v>0.33125</v>
      </c>
      <c r="C11262" s="5" t="s">
        <v>33</v>
      </c>
      <c r="D11262" s="5" t="s">
        <v>1570</v>
      </c>
      <c r="E11262" s="8" t="s">
        <v>223</v>
      </c>
      <c r="F11262" s="5"/>
      <c r="G11262" s="6" t="str">
        <f>VLOOKUP(E11262,dicionario!$A$1:$C11661,2,0)</f>
        <v>Rhipsalis lindbergiana</v>
      </c>
      <c r="H11262" s="6" t="str">
        <f>VLOOKUP(E11262,dicionario!$A$1:$C11661,3,0)</f>
        <v>cacto-macarrão</v>
      </c>
    </row>
    <row r="11263">
      <c r="A11263" s="3">
        <v>45834.0</v>
      </c>
      <c r="B11263" s="4">
        <v>0.3326388888888889</v>
      </c>
      <c r="C11263" s="5" t="s">
        <v>33</v>
      </c>
      <c r="D11263" s="5" t="s">
        <v>1570</v>
      </c>
      <c r="E11263" s="6" t="s">
        <v>113</v>
      </c>
      <c r="F11263" s="5" t="s">
        <v>820</v>
      </c>
      <c r="G11263" s="6" t="str">
        <f>VLOOKUP(E11263,dicionario!$A$1:$C11662,2,0)</f>
        <v>Columbina talpacoti</v>
      </c>
      <c r="H11263" s="6" t="str">
        <f>VLOOKUP(E11263,dicionario!$A$1:$C11662,3,0)</f>
        <v>rolinha-roxa</v>
      </c>
    </row>
    <row r="11264">
      <c r="A11264" s="3">
        <v>45834.0</v>
      </c>
      <c r="B11264" s="4">
        <v>0.3347222222222222</v>
      </c>
      <c r="C11264" s="5" t="s">
        <v>26</v>
      </c>
      <c r="D11264" s="5" t="s">
        <v>1570</v>
      </c>
      <c r="E11264" s="8" t="s">
        <v>109</v>
      </c>
      <c r="F11264" s="5" t="s">
        <v>110</v>
      </c>
      <c r="G11264" s="6" t="str">
        <f>VLOOKUP(E11264,dicionario!$A$1:$C11663,2,0)</f>
        <v>Tillandsia stricta</v>
      </c>
      <c r="H11264" s="6" t="str">
        <f>VLOOKUP(E11264,dicionario!$A$1:$C11663,3,0)</f>
        <v>cravo-do-mato</v>
      </c>
    </row>
    <row r="11265">
      <c r="A11265" s="3">
        <v>45834.0</v>
      </c>
      <c r="B11265" s="4">
        <v>0.3347222222222222</v>
      </c>
      <c r="C11265" s="5" t="s">
        <v>26</v>
      </c>
      <c r="D11265" s="5" t="s">
        <v>1570</v>
      </c>
      <c r="E11265" s="6" t="s">
        <v>251</v>
      </c>
      <c r="F11265" s="5" t="s">
        <v>873</v>
      </c>
      <c r="G11265" s="6" t="str">
        <f>VLOOKUP(E11265,dicionario!$A$1:$C11664,2,0)</f>
        <v>Struthanthus flexicaulis</v>
      </c>
      <c r="H11265" s="6" t="str">
        <f>VLOOKUP(E11265,dicionario!$A$1:$C11664,3,0)</f>
        <v>erva-de-passarinho</v>
      </c>
    </row>
    <row r="11266">
      <c r="A11266" s="3">
        <v>45834.0</v>
      </c>
      <c r="B11266" s="4">
        <v>0.3347222222222222</v>
      </c>
      <c r="C11266" s="5" t="s">
        <v>26</v>
      </c>
      <c r="D11266" s="5" t="s">
        <v>1570</v>
      </c>
      <c r="E11266" s="8" t="s">
        <v>712</v>
      </c>
      <c r="F11266" s="5" t="s">
        <v>1602</v>
      </c>
      <c r="G11266" s="6" t="str">
        <f>VLOOKUP(E11266,dicionario!$A$1:$C11665,2,0)</f>
        <v>Flavopunctelia soredica</v>
      </c>
      <c r="H11266" s="6" t="str">
        <f>VLOOKUP(E11266,dicionario!$A$1:$C11665,3,0)</f>
        <v>líquen-folioso</v>
      </c>
    </row>
    <row r="11267">
      <c r="A11267" s="3">
        <v>45834.0</v>
      </c>
      <c r="B11267" s="4">
        <v>0.3347222222222222</v>
      </c>
      <c r="C11267" s="5" t="s">
        <v>26</v>
      </c>
      <c r="D11267" s="5" t="s">
        <v>1570</v>
      </c>
      <c r="E11267" s="8" t="s">
        <v>719</v>
      </c>
      <c r="F11267" s="5" t="s">
        <v>1593</v>
      </c>
      <c r="G11267" s="6" t="str">
        <f>VLOOKUP(E11267,dicionario!$A$1:$C11666,2,0)</f>
        <v>Dirinaria</v>
      </c>
      <c r="H11267" s="6" t="str">
        <f>VLOOKUP(E11267,dicionario!$A$1:$C11666,3,0)</f>
        <v>líquen-crostoso</v>
      </c>
    </row>
    <row r="11268">
      <c r="A11268" s="3">
        <v>45834.0</v>
      </c>
      <c r="B11268" s="4">
        <v>0.3347222222222222</v>
      </c>
      <c r="C11268" s="5" t="s">
        <v>26</v>
      </c>
      <c r="D11268" s="5" t="s">
        <v>1570</v>
      </c>
      <c r="E11268" s="6" t="s">
        <v>498</v>
      </c>
      <c r="F11268" s="5" t="s">
        <v>899</v>
      </c>
      <c r="G11268" s="6" t="str">
        <f>VLOOKUP(E11268,dicionario!$A$1:$C11667,2,0)</f>
        <v>Brachiaria decumbens</v>
      </c>
      <c r="H11268" s="6" t="str">
        <f>VLOOKUP(E11268,dicionario!$A$1:$C11667,3,0)</f>
        <v>capim-braquiária</v>
      </c>
    </row>
    <row r="11269">
      <c r="A11269" s="3">
        <v>45834.0</v>
      </c>
      <c r="B11269" s="4">
        <v>0.33541666666666664</v>
      </c>
      <c r="C11269" s="5" t="s">
        <v>26</v>
      </c>
      <c r="D11269" s="5" t="s">
        <v>1570</v>
      </c>
      <c r="E11269" s="20" t="s">
        <v>676</v>
      </c>
      <c r="F11269" s="5" t="s">
        <v>677</v>
      </c>
      <c r="G11269" s="6" t="str">
        <f>VLOOKUP(E11269,dicionario!$A$1:$C11668,2,0)</f>
        <v>Zornia latifolia</v>
      </c>
      <c r="H11269" s="6" t="str">
        <f>VLOOKUP(E11269,dicionario!$A$1:$C11668,3,0)</f>
        <v>arrozinho-do-campo</v>
      </c>
    </row>
    <row r="11270">
      <c r="A11270" s="3">
        <v>45834.0</v>
      </c>
      <c r="B11270" s="4">
        <v>0.33541666666666664</v>
      </c>
      <c r="C11270" s="5" t="s">
        <v>26</v>
      </c>
      <c r="D11270" s="5" t="s">
        <v>1570</v>
      </c>
      <c r="E11270" s="6" t="s">
        <v>360</v>
      </c>
      <c r="F11270" s="5" t="s">
        <v>361</v>
      </c>
      <c r="G11270" s="6" t="str">
        <f>VLOOKUP(E11270,dicionario!$A$1:$C11669,2,0)</f>
        <v>Chamaecrista rotundifolia</v>
      </c>
      <c r="H11270" s="6" t="str">
        <f>VLOOKUP(E11270,dicionario!$A$1:$C11669,3,0)</f>
        <v>alfafa-nativa</v>
      </c>
    </row>
    <row r="11271">
      <c r="A11271" s="3">
        <v>45834.0</v>
      </c>
      <c r="B11271" s="4">
        <v>0.33541666666666664</v>
      </c>
      <c r="C11271" s="5" t="s">
        <v>26</v>
      </c>
      <c r="D11271" s="5" t="s">
        <v>1570</v>
      </c>
      <c r="E11271" s="6" t="s">
        <v>217</v>
      </c>
      <c r="F11271" s="5" t="s">
        <v>1372</v>
      </c>
      <c r="G11271" s="6" t="str">
        <f>VLOOKUP(E11271,dicionario!$A$1:$C11670,2,0)</f>
        <v>Athene cunicularia</v>
      </c>
      <c r="H11271" s="6" t="str">
        <f>VLOOKUP(E11271,dicionario!$A$1:$C11670,3,0)</f>
        <v>coruja-buraqueira</v>
      </c>
    </row>
    <row r="11272">
      <c r="A11272" s="3">
        <v>45834.0</v>
      </c>
      <c r="B11272" s="4">
        <v>0.33611111111111114</v>
      </c>
      <c r="C11272" s="5" t="s">
        <v>26</v>
      </c>
      <c r="D11272" s="5" t="s">
        <v>1570</v>
      </c>
      <c r="E11272" s="6" t="s">
        <v>60</v>
      </c>
      <c r="F11272" s="5" t="s">
        <v>61</v>
      </c>
      <c r="G11272" s="6" t="str">
        <f>VLOOKUP(E11272,dicionario!$A$1:$C11671,2,0)</f>
        <v>Vanellus chilensis</v>
      </c>
      <c r="H11272" s="6" t="str">
        <f>VLOOKUP(E11272,dicionario!$A$1:$C11671,3,0)</f>
        <v>quero-quero</v>
      </c>
    </row>
    <row r="11273">
      <c r="A11273" s="3">
        <v>45834.0</v>
      </c>
      <c r="B11273" s="4">
        <v>0.33611111111111114</v>
      </c>
      <c r="C11273" s="5" t="s">
        <v>26</v>
      </c>
      <c r="D11273" s="5" t="s">
        <v>1570</v>
      </c>
      <c r="E11273" s="6" t="s">
        <v>14</v>
      </c>
      <c r="F11273" s="5" t="s">
        <v>1599</v>
      </c>
      <c r="G11273" s="6" t="str">
        <f>VLOOKUP(E11273,dicionario!$A$1:$C11672,2,0)</f>
        <v>Spermacoce verticillata</v>
      </c>
      <c r="H11273" s="6" t="str">
        <f>VLOOKUP(E11273,dicionario!$A$1:$C11672,3,0)</f>
        <v>vassourinha-de-botão</v>
      </c>
    </row>
    <row r="11274">
      <c r="A11274" s="3">
        <v>45834.0</v>
      </c>
      <c r="B11274" s="4">
        <v>0.33611111111111114</v>
      </c>
      <c r="C11274" s="5" t="s">
        <v>26</v>
      </c>
      <c r="D11274" s="5" t="s">
        <v>1570</v>
      </c>
      <c r="E11274" s="8" t="s">
        <v>915</v>
      </c>
      <c r="F11274" s="5" t="s">
        <v>916</v>
      </c>
      <c r="G11274" s="6" t="str">
        <f>VLOOKUP(E11274,dicionario!$A$1:$C11673,2,0)</f>
        <v>Tachycineta albiventer</v>
      </c>
      <c r="H11274" s="6" t="str">
        <f>VLOOKUP(E11274,dicionario!$A$1:$C11673,3,0)</f>
        <v>andorinha-de-rio</v>
      </c>
    </row>
    <row r="11275">
      <c r="A11275" s="3">
        <v>45834.0</v>
      </c>
      <c r="B11275" s="4">
        <v>0.3368055555555556</v>
      </c>
      <c r="C11275" s="5" t="s">
        <v>26</v>
      </c>
      <c r="D11275" s="5" t="s">
        <v>1570</v>
      </c>
      <c r="E11275" s="6" t="s">
        <v>302</v>
      </c>
      <c r="F11275" s="5" t="s">
        <v>1607</v>
      </c>
      <c r="G11275" s="6" t="str">
        <f>VLOOKUP(E11275,dicionario!$A$1:$C11674,2,0)</f>
        <v>Machetornis rixosa</v>
      </c>
      <c r="H11275" s="6" t="str">
        <f>VLOOKUP(E11275,dicionario!$A$1:$C11674,3,0)</f>
        <v>suiriri-cavaleiro</v>
      </c>
    </row>
    <row r="11276">
      <c r="A11276" s="3">
        <v>45834.0</v>
      </c>
      <c r="B11276" s="4">
        <v>0.3368055555555556</v>
      </c>
      <c r="C11276" s="5" t="s">
        <v>26</v>
      </c>
      <c r="D11276" s="5" t="s">
        <v>1570</v>
      </c>
      <c r="E11276" s="6" t="s">
        <v>191</v>
      </c>
      <c r="F11276" s="5" t="s">
        <v>771</v>
      </c>
      <c r="G11276" s="6" t="str">
        <f>VLOOKUP(E11276,dicionario!$A$1:$C11675,2,0)</f>
        <v>Patagioenas picazuro</v>
      </c>
      <c r="H11276" s="6" t="str">
        <f>VLOOKUP(E11276,dicionario!$A$1:$C11675,3,0)</f>
        <v>asa-branca; pomba-asa-branca; pocaçu</v>
      </c>
    </row>
    <row r="11277">
      <c r="A11277" s="3">
        <v>45834.0</v>
      </c>
      <c r="B11277" s="4">
        <v>0.3375</v>
      </c>
      <c r="C11277" s="5" t="s">
        <v>26</v>
      </c>
      <c r="D11277" s="5" t="s">
        <v>1570</v>
      </c>
      <c r="E11277" s="6" t="s">
        <v>99</v>
      </c>
      <c r="F11277" s="5" t="s">
        <v>508</v>
      </c>
      <c r="G11277" s="6" t="str">
        <f>VLOOKUP(E11277,dicionario!$A$1:$C11676,2,0)</f>
        <v>Molothrus bonariensis</v>
      </c>
      <c r="H11277" s="6" t="str">
        <f>VLOOKUP(E11277,dicionario!$A$1:$C11676,3,0)</f>
        <v>chupim</v>
      </c>
    </row>
    <row r="11278">
      <c r="A11278" s="3">
        <v>45834.0</v>
      </c>
      <c r="B11278" s="4">
        <v>0.3375</v>
      </c>
      <c r="C11278" s="5" t="s">
        <v>26</v>
      </c>
      <c r="D11278" s="5" t="s">
        <v>1570</v>
      </c>
      <c r="E11278" s="8" t="s">
        <v>298</v>
      </c>
      <c r="F11278" s="5"/>
      <c r="G11278" s="6" t="str">
        <f>VLOOKUP(E11278,dicionario!$A$1:$C11677,2,0)</f>
        <v>Alysicarpus vaginalis</v>
      </c>
      <c r="H11278" s="6" t="str">
        <f>VLOOKUP(E11278,dicionario!$A$1:$C11677,3,0)</f>
        <v/>
      </c>
    </row>
    <row r="11279">
      <c r="A11279" s="3">
        <v>45834.0</v>
      </c>
      <c r="B11279" s="4">
        <v>0.3375</v>
      </c>
      <c r="C11279" s="5" t="s">
        <v>26</v>
      </c>
      <c r="D11279" s="5" t="s">
        <v>1570</v>
      </c>
      <c r="E11279" s="8" t="s">
        <v>135</v>
      </c>
      <c r="F11279" s="5" t="s">
        <v>833</v>
      </c>
      <c r="G11279" s="6" t="str">
        <f>VLOOKUP(E11279,dicionario!$A$1:$C11678,2,0)</f>
        <v>Tridax procumbens</v>
      </c>
      <c r="H11279" s="6" t="str">
        <f>VLOOKUP(E11279,dicionario!$A$1:$C11678,3,0)</f>
        <v>erva-de-touro</v>
      </c>
    </row>
    <row r="11280">
      <c r="A11280" s="3">
        <v>45834.0</v>
      </c>
      <c r="B11280" s="4">
        <v>0.3375</v>
      </c>
      <c r="C11280" s="5" t="s">
        <v>26</v>
      </c>
      <c r="D11280" s="5" t="s">
        <v>1570</v>
      </c>
      <c r="E11280" s="8" t="s">
        <v>20</v>
      </c>
      <c r="F11280" s="5" t="s">
        <v>1608</v>
      </c>
      <c r="G11280" s="6" t="str">
        <f>VLOOKUP(E11280,dicionario!$A$1:$C11679,2,0)</f>
        <v>Sicalis flaveola</v>
      </c>
      <c r="H11280" s="6" t="str">
        <f>VLOOKUP(E11280,dicionario!$A$1:$C11679,3,0)</f>
        <v>canário-da-terra</v>
      </c>
    </row>
    <row r="11281">
      <c r="A11281" s="3">
        <v>45834.0</v>
      </c>
      <c r="B11281" s="4">
        <v>0.33819444444444446</v>
      </c>
      <c r="C11281" s="5" t="s">
        <v>26</v>
      </c>
      <c r="D11281" s="5" t="s">
        <v>1570</v>
      </c>
      <c r="E11281" s="6" t="s">
        <v>150</v>
      </c>
      <c r="F11281" s="5" t="s">
        <v>151</v>
      </c>
      <c r="G11281" s="6" t="str">
        <f>VLOOKUP(E11281,dicionario!$A$1:$C11680,2,0)</f>
        <v>Amaranthus viridis</v>
      </c>
      <c r="H11281" s="6" t="str">
        <f>VLOOKUP(E11281,dicionario!$A$1:$C11680,3,0)</f>
        <v>caruru-de-mancha</v>
      </c>
    </row>
    <row r="11282">
      <c r="A11282" s="3">
        <v>45834.0</v>
      </c>
      <c r="B11282" s="4">
        <v>0.3388888888888889</v>
      </c>
      <c r="C11282" s="5" t="s">
        <v>8</v>
      </c>
      <c r="D11282" s="5" t="s">
        <v>1570</v>
      </c>
      <c r="E11282" s="6" t="s">
        <v>498</v>
      </c>
      <c r="F11282" s="5" t="s">
        <v>1609</v>
      </c>
      <c r="G11282" s="6" t="str">
        <f>VLOOKUP(E11282,dicionario!$A$1:$C11681,2,0)</f>
        <v>Brachiaria decumbens</v>
      </c>
      <c r="H11282" s="6" t="str">
        <f>VLOOKUP(E11282,dicionario!$A$1:$C11681,3,0)</f>
        <v>capim-braquiária</v>
      </c>
    </row>
    <row r="11283">
      <c r="A11283" s="3">
        <v>45834.0</v>
      </c>
      <c r="B11283" s="4">
        <v>0.3388888888888889</v>
      </c>
      <c r="C11283" s="5" t="s">
        <v>8</v>
      </c>
      <c r="D11283" s="5" t="s">
        <v>1570</v>
      </c>
      <c r="E11283" s="6" t="s">
        <v>141</v>
      </c>
      <c r="F11283" s="5" t="s">
        <v>142</v>
      </c>
      <c r="G11283" s="6" t="str">
        <f>VLOOKUP(E11283,dicionario!$A$1:$C11682,2,0)</f>
        <v>Ruellia blechum</v>
      </c>
      <c r="H11283" s="6" t="str">
        <f>VLOOKUP(E11283,dicionario!$A$1:$C11682,3,0)</f>
        <v>camarão-verde</v>
      </c>
    </row>
    <row r="11284">
      <c r="A11284" s="3">
        <v>45834.0</v>
      </c>
      <c r="B11284" s="4">
        <v>0.33958333333333335</v>
      </c>
      <c r="C11284" s="5" t="s">
        <v>8</v>
      </c>
      <c r="D11284" s="5" t="s">
        <v>1570</v>
      </c>
      <c r="E11284" s="8" t="s">
        <v>109</v>
      </c>
      <c r="F11284" s="5" t="s">
        <v>110</v>
      </c>
      <c r="G11284" s="6" t="str">
        <f>VLOOKUP(E11284,dicionario!$A$1:$C11683,2,0)</f>
        <v>Tillandsia stricta</v>
      </c>
      <c r="H11284" s="6" t="str">
        <f>VLOOKUP(E11284,dicionario!$A$1:$C11683,3,0)</f>
        <v>cravo-do-mato</v>
      </c>
    </row>
    <row r="11285">
      <c r="A11285" s="3">
        <v>45834.0</v>
      </c>
      <c r="B11285" s="4">
        <v>0.33958333333333335</v>
      </c>
      <c r="C11285" s="5" t="s">
        <v>8</v>
      </c>
      <c r="D11285" s="5" t="s">
        <v>1570</v>
      </c>
      <c r="E11285" s="8" t="s">
        <v>223</v>
      </c>
      <c r="F11285" s="5" t="s">
        <v>1610</v>
      </c>
      <c r="G11285" s="6" t="str">
        <f>VLOOKUP(E11285,dicionario!$A$1:$C11684,2,0)</f>
        <v>Rhipsalis lindbergiana</v>
      </c>
      <c r="H11285" s="6" t="str">
        <f>VLOOKUP(E11285,dicionario!$A$1:$C11684,3,0)</f>
        <v>cacto-macarrão</v>
      </c>
    </row>
    <row r="11286">
      <c r="A11286" s="3">
        <v>45834.0</v>
      </c>
      <c r="B11286" s="4">
        <v>0.33958333333333335</v>
      </c>
      <c r="C11286" s="5" t="s">
        <v>8</v>
      </c>
      <c r="D11286" s="5" t="s">
        <v>1570</v>
      </c>
      <c r="E11286" s="8" t="s">
        <v>1352</v>
      </c>
      <c r="F11286" s="5"/>
      <c r="G11286" s="6" t="str">
        <f>VLOOKUP(E11286,dicionario!$A$1:$C11685,2,0)</f>
        <v>#N/A</v>
      </c>
      <c r="H11286" s="6" t="str">
        <f>VLOOKUP(E11286,dicionario!$A$1:$C11685,3,0)</f>
        <v>#N/A</v>
      </c>
    </row>
    <row r="11287">
      <c r="A11287" s="3">
        <v>45834.0</v>
      </c>
      <c r="B11287" s="4">
        <v>0.33958333333333335</v>
      </c>
      <c r="C11287" s="5" t="s">
        <v>8</v>
      </c>
      <c r="D11287" s="5" t="s">
        <v>1570</v>
      </c>
      <c r="E11287" s="8" t="s">
        <v>712</v>
      </c>
      <c r="F11287" s="5" t="s">
        <v>1602</v>
      </c>
      <c r="G11287" s="6" t="str">
        <f>VLOOKUP(E11287,dicionario!$A$1:$C11686,2,0)</f>
        <v>Flavopunctelia soredica</v>
      </c>
      <c r="H11287" s="6" t="str">
        <f>VLOOKUP(E11287,dicionario!$A$1:$C11686,3,0)</f>
        <v>líquen-folioso</v>
      </c>
    </row>
    <row r="11288">
      <c r="A11288" s="3">
        <v>45834.0</v>
      </c>
      <c r="B11288" s="4">
        <v>0.33958333333333335</v>
      </c>
      <c r="C11288" s="5" t="s">
        <v>8</v>
      </c>
      <c r="D11288" s="5" t="s">
        <v>1570</v>
      </c>
      <c r="E11288" s="8" t="s">
        <v>719</v>
      </c>
      <c r="F11288" s="5" t="s">
        <v>1593</v>
      </c>
      <c r="G11288" s="6" t="str">
        <f>VLOOKUP(E11288,dicionario!$A$1:$C11687,2,0)</f>
        <v>Dirinaria</v>
      </c>
      <c r="H11288" s="6" t="str">
        <f>VLOOKUP(E11288,dicionario!$A$1:$C11687,3,0)</f>
        <v>líquen-crostoso</v>
      </c>
    </row>
    <row r="11289">
      <c r="A11289" s="3">
        <v>45834.0</v>
      </c>
      <c r="B11289" s="4">
        <v>0.33958333333333335</v>
      </c>
      <c r="C11289" s="5" t="s">
        <v>8</v>
      </c>
      <c r="D11289" s="5" t="s">
        <v>1570</v>
      </c>
      <c r="E11289" s="8" t="s">
        <v>107</v>
      </c>
      <c r="F11289" s="5" t="s">
        <v>834</v>
      </c>
      <c r="G11289" s="6" t="str">
        <f>VLOOKUP(E11289,dicionario!$A$1:$C11688,2,0)</f>
        <v>Ramalina complanata</v>
      </c>
      <c r="H11289" s="6" t="str">
        <f>VLOOKUP(E11289,dicionario!$A$1:$C11688,3,0)</f>
        <v>ramalina</v>
      </c>
    </row>
    <row r="11290">
      <c r="A11290" s="3">
        <v>45834.0</v>
      </c>
      <c r="B11290" s="4">
        <v>0.33958333333333335</v>
      </c>
      <c r="C11290" s="5" t="s">
        <v>8</v>
      </c>
      <c r="D11290" s="5" t="s">
        <v>1570</v>
      </c>
      <c r="E11290" s="8" t="s">
        <v>1024</v>
      </c>
      <c r="F11290" s="5" t="s">
        <v>969</v>
      </c>
      <c r="G11290" s="6" t="str">
        <f>VLOOKUP(E11290,dicionario!$A$1:$C11689,2,0)</f>
        <v>Usnea barbata</v>
      </c>
      <c r="H11290" s="6" t="str">
        <f>VLOOKUP(E11290,dicionario!$A$1:$C11689,3,0)</f>
        <v>barba-de-velho</v>
      </c>
    </row>
    <row r="11291">
      <c r="A11291" s="3">
        <v>45834.0</v>
      </c>
      <c r="B11291" s="4">
        <v>0.33958333333333335</v>
      </c>
      <c r="C11291" s="5" t="s">
        <v>8</v>
      </c>
      <c r="D11291" s="5" t="s">
        <v>1570</v>
      </c>
      <c r="E11291" s="8" t="s">
        <v>564</v>
      </c>
      <c r="F11291" s="7" t="s">
        <v>565</v>
      </c>
      <c r="G11291" s="6" t="str">
        <f>VLOOKUP(E11291,dicionario!$A$1:$C11690,2,0)</f>
        <v>Strymon</v>
      </c>
      <c r="H11291" s="6" t="str">
        <f>VLOOKUP(E11291,dicionario!$A$1:$C11690,3,0)</f>
        <v>borboletinha que mexe a asinha</v>
      </c>
    </row>
    <row r="11292">
      <c r="A11292" s="3">
        <v>45834.0</v>
      </c>
      <c r="B11292" s="4">
        <v>0.33958333333333335</v>
      </c>
      <c r="C11292" s="5" t="s">
        <v>8</v>
      </c>
      <c r="D11292" s="5" t="s">
        <v>1570</v>
      </c>
      <c r="E11292" s="9" t="s">
        <v>105</v>
      </c>
      <c r="F11292" s="5" t="s">
        <v>106</v>
      </c>
      <c r="G11292" s="6" t="str">
        <f>VLOOKUP(E11292,dicionario!$A$1:$C11691,2,0)</f>
        <v>Progne tapera</v>
      </c>
      <c r="H11292" s="6" t="str">
        <f>VLOOKUP(E11292,dicionario!$A$1:$C11691,3,0)</f>
        <v>andorinha-do-campo</v>
      </c>
    </row>
    <row r="11293">
      <c r="A11293" s="3">
        <v>45834.0</v>
      </c>
      <c r="B11293" s="4">
        <v>0.33958333333333335</v>
      </c>
      <c r="C11293" s="5" t="s">
        <v>8</v>
      </c>
      <c r="D11293" s="5" t="s">
        <v>1570</v>
      </c>
      <c r="E11293" s="8" t="s">
        <v>915</v>
      </c>
      <c r="F11293" s="5" t="s">
        <v>1275</v>
      </c>
      <c r="G11293" s="6" t="str">
        <f>VLOOKUP(E11293,dicionario!$A$1:$C11692,2,0)</f>
        <v>Tachycineta albiventer</v>
      </c>
      <c r="H11293" s="6" t="str">
        <f>VLOOKUP(E11293,dicionario!$A$1:$C11692,3,0)</f>
        <v>andorinha-de-rio</v>
      </c>
    </row>
    <row r="11294">
      <c r="A11294" s="3">
        <v>45834.0</v>
      </c>
      <c r="B11294" s="4">
        <v>0.33958333333333335</v>
      </c>
      <c r="C11294" s="5" t="s">
        <v>8</v>
      </c>
      <c r="D11294" s="5" t="s">
        <v>1570</v>
      </c>
      <c r="E11294" s="6" t="s">
        <v>113</v>
      </c>
      <c r="F11294" s="5" t="s">
        <v>820</v>
      </c>
      <c r="G11294" s="6" t="str">
        <f>VLOOKUP(E11294,dicionario!$A$1:$C11693,2,0)</f>
        <v>Columbina talpacoti</v>
      </c>
      <c r="H11294" s="6" t="str">
        <f>VLOOKUP(E11294,dicionario!$A$1:$C11693,3,0)</f>
        <v>rolinha-roxa</v>
      </c>
    </row>
    <row r="11295">
      <c r="A11295" s="3">
        <v>45834.0</v>
      </c>
      <c r="B11295" s="4">
        <v>0.3402777777777778</v>
      </c>
      <c r="C11295" s="5" t="s">
        <v>8</v>
      </c>
      <c r="D11295" s="5" t="s">
        <v>1570</v>
      </c>
      <c r="E11295" s="6" t="s">
        <v>215</v>
      </c>
      <c r="F11295" s="5" t="s">
        <v>216</v>
      </c>
      <c r="G11295" s="6" t="str">
        <f>VLOOKUP(E11295,dicionario!$A$1:$C11694,2,0)</f>
        <v>Pygochelidon cyanoleuca</v>
      </c>
      <c r="H11295" s="6" t="str">
        <f>VLOOKUP(E11295,dicionario!$A$1:$C11694,3,0)</f>
        <v>andorinha-pequena-de-casa</v>
      </c>
    </row>
    <row r="11296">
      <c r="A11296" s="3">
        <v>45834.0</v>
      </c>
      <c r="B11296" s="4">
        <v>0.3402777777777778</v>
      </c>
      <c r="C11296" s="5" t="s">
        <v>8</v>
      </c>
      <c r="D11296" s="5" t="s">
        <v>1570</v>
      </c>
      <c r="E11296" s="8" t="s">
        <v>1087</v>
      </c>
      <c r="F11296" s="5"/>
      <c r="G11296" s="6" t="str">
        <f>VLOOKUP(E11296,dicionario!$A$1:$C11695,2,0)</f>
        <v>Desmodium triflorum</v>
      </c>
      <c r="H11296" s="6" t="str">
        <f>VLOOKUP(E11296,dicionario!$A$1:$C11695,3,0)</f>
        <v/>
      </c>
    </row>
    <row r="11297">
      <c r="A11297" s="3">
        <v>45834.0</v>
      </c>
      <c r="B11297" s="4">
        <v>0.3402777777777778</v>
      </c>
      <c r="C11297" s="5" t="s">
        <v>8</v>
      </c>
      <c r="D11297" s="5" t="s">
        <v>1570</v>
      </c>
      <c r="E11297" s="8" t="s">
        <v>135</v>
      </c>
      <c r="F11297" s="5" t="s">
        <v>833</v>
      </c>
      <c r="G11297" s="6" t="str">
        <f>VLOOKUP(E11297,dicionario!$A$1:$C11696,2,0)</f>
        <v>Tridax procumbens</v>
      </c>
      <c r="H11297" s="6" t="str">
        <f>VLOOKUP(E11297,dicionario!$A$1:$C11696,3,0)</f>
        <v>erva-de-touro</v>
      </c>
    </row>
    <row r="11298">
      <c r="A11298" s="3">
        <v>45834.0</v>
      </c>
      <c r="B11298" s="4">
        <v>0.34097222222222223</v>
      </c>
      <c r="C11298" s="5" t="s">
        <v>8</v>
      </c>
      <c r="D11298" s="5" t="s">
        <v>1570</v>
      </c>
      <c r="E11298" s="6" t="s">
        <v>72</v>
      </c>
      <c r="F11298" s="5" t="s">
        <v>764</v>
      </c>
      <c r="G11298" s="6" t="str">
        <f>VLOOKUP(E11298,dicionario!$A$1:$C11697,2,0)</f>
        <v>Thraupis palmarum</v>
      </c>
      <c r="H11298" s="6" t="str">
        <f>VLOOKUP(E11298,dicionario!$A$1:$C11697,3,0)</f>
        <v>sanhaço-do-coqueiro</v>
      </c>
    </row>
    <row r="11299">
      <c r="A11299" s="3">
        <v>45834.0</v>
      </c>
      <c r="B11299" s="4">
        <v>0.3416666666666667</v>
      </c>
      <c r="C11299" s="5" t="s">
        <v>8</v>
      </c>
      <c r="D11299" s="5" t="s">
        <v>1570</v>
      </c>
      <c r="E11299" s="8" t="s">
        <v>909</v>
      </c>
      <c r="F11299" s="5" t="s">
        <v>910</v>
      </c>
      <c r="G11299" s="6" t="str">
        <f>VLOOKUP(E11299,dicionario!$A$1:$C11698,2,0)</f>
        <v>Chordeiles acutipennis</v>
      </c>
      <c r="H11299" s="6" t="str">
        <f>VLOOKUP(E11299,dicionario!$A$1:$C11698,3,0)</f>
        <v>bacurau-de-asa-fina</v>
      </c>
    </row>
    <row r="11300">
      <c r="A11300" s="3">
        <v>45834.0</v>
      </c>
      <c r="B11300" s="4">
        <v>0.34375</v>
      </c>
      <c r="C11300" s="5" t="s">
        <v>8</v>
      </c>
      <c r="D11300" s="5" t="s">
        <v>1570</v>
      </c>
      <c r="E11300" s="8" t="s">
        <v>88</v>
      </c>
      <c r="F11300" s="5" t="s">
        <v>89</v>
      </c>
      <c r="G11300" s="6" t="str">
        <f>VLOOKUP(E11300,dicionario!$A$1:$C11699,2,0)</f>
        <v>Tyrannus melancolichus</v>
      </c>
      <c r="H11300" s="6" t="str">
        <f>VLOOKUP(E11300,dicionario!$A$1:$C11699,3,0)</f>
        <v>suiriri</v>
      </c>
    </row>
    <row r="11301">
      <c r="A11301" s="3">
        <v>45834.0</v>
      </c>
      <c r="B11301" s="4">
        <v>0.3458333333333333</v>
      </c>
      <c r="C11301" s="5" t="s">
        <v>8</v>
      </c>
      <c r="D11301" s="5" t="s">
        <v>1570</v>
      </c>
      <c r="E11301" s="8" t="s">
        <v>1008</v>
      </c>
      <c r="F11301" s="5" t="s">
        <v>1611</v>
      </c>
      <c r="G11301" s="6" t="str">
        <f>VLOOKUP(E11301,dicionario!$A$1:$C11700,2,0)</f>
        <v>Syntermes molestus</v>
      </c>
      <c r="H11301" s="6" t="str">
        <f>VLOOKUP(E11301,dicionario!$A$1:$C11700,3,0)</f>
        <v>cupim-bate-cabeça</v>
      </c>
    </row>
    <row r="11302">
      <c r="A11302" s="49">
        <v>45842.0</v>
      </c>
      <c r="B11302" s="4">
        <v>0.2708333333333333</v>
      </c>
      <c r="C11302" s="5" t="s">
        <v>8</v>
      </c>
      <c r="D11302" s="5" t="s">
        <v>1612</v>
      </c>
      <c r="E11302" s="8" t="s">
        <v>909</v>
      </c>
      <c r="F11302" s="5" t="s">
        <v>910</v>
      </c>
      <c r="G11302" s="6" t="str">
        <f>VLOOKUP(E11302,dicionario!$A$1:$C11701,2,0)</f>
        <v>Chordeiles acutipennis</v>
      </c>
      <c r="H11302" s="6" t="str">
        <f>VLOOKUP(E11302,dicionario!$A$1:$C11701,3,0)</f>
        <v>bacurau-de-asa-fina</v>
      </c>
    </row>
    <row r="11303">
      <c r="A11303" s="49">
        <v>45842.0</v>
      </c>
      <c r="B11303" s="4">
        <v>0.2708333333333333</v>
      </c>
      <c r="C11303" s="5" t="s">
        <v>8</v>
      </c>
      <c r="D11303" s="5" t="s">
        <v>1612</v>
      </c>
      <c r="E11303" s="8" t="s">
        <v>109</v>
      </c>
      <c r="F11303" s="5" t="s">
        <v>110</v>
      </c>
      <c r="G11303" s="6" t="str">
        <f>VLOOKUP(E11303,dicionario!$A$1:$C11702,2,0)</f>
        <v>Tillandsia stricta</v>
      </c>
      <c r="H11303" s="6" t="str">
        <f>VLOOKUP(E11303,dicionario!$A$1:$C11702,3,0)</f>
        <v>cravo-do-mato</v>
      </c>
    </row>
    <row r="11304">
      <c r="A11304" s="49">
        <v>45842.0</v>
      </c>
      <c r="B11304" s="4">
        <v>0.2708333333333333</v>
      </c>
      <c r="C11304" s="5" t="s">
        <v>8</v>
      </c>
      <c r="D11304" s="5" t="s">
        <v>1612</v>
      </c>
      <c r="E11304" s="8" t="s">
        <v>711</v>
      </c>
      <c r="F11304" s="5"/>
      <c r="G11304" s="6" t="str">
        <f>VLOOKUP(E11304,dicionario!$A$1:$C11703,2,0)</f>
        <v>#N/A</v>
      </c>
      <c r="H11304" s="6" t="str">
        <f>VLOOKUP(E11304,dicionario!$A$1:$C11703,3,0)</f>
        <v>#N/A</v>
      </c>
    </row>
    <row r="11305">
      <c r="A11305" s="49">
        <v>45842.0</v>
      </c>
      <c r="B11305" s="4">
        <v>0.27152777777777776</v>
      </c>
      <c r="C11305" s="5" t="s">
        <v>8</v>
      </c>
      <c r="D11305" s="5" t="s">
        <v>1612</v>
      </c>
      <c r="E11305" s="8" t="s">
        <v>20</v>
      </c>
      <c r="F11305" s="5" t="s">
        <v>21</v>
      </c>
      <c r="G11305" s="6" t="str">
        <f>VLOOKUP(E11305,dicionario!$A$1:$C11704,2,0)</f>
        <v>Sicalis flaveola</v>
      </c>
      <c r="H11305" s="6" t="str">
        <f>VLOOKUP(E11305,dicionario!$A$1:$C11704,3,0)</f>
        <v>canário-da-terra</v>
      </c>
    </row>
    <row r="11306">
      <c r="A11306" s="49">
        <v>45842.0</v>
      </c>
      <c r="B11306" s="4">
        <v>0.27152777777777776</v>
      </c>
      <c r="C11306" s="5" t="s">
        <v>8</v>
      </c>
      <c r="D11306" s="5" t="s">
        <v>1612</v>
      </c>
      <c r="E11306" s="8" t="s">
        <v>1613</v>
      </c>
      <c r="F11306" s="5" t="s">
        <v>108</v>
      </c>
      <c r="G11306" s="6" t="str">
        <f>VLOOKUP(E11306,dicionario!$A$1:$C11705,2,0)</f>
        <v>#N/A</v>
      </c>
      <c r="H11306" s="6" t="str">
        <f>VLOOKUP(E11306,dicionario!$A$1:$C11705,3,0)</f>
        <v>#N/A</v>
      </c>
    </row>
    <row r="11307">
      <c r="A11307" s="49">
        <v>45842.0</v>
      </c>
      <c r="B11307" s="4">
        <v>0.27152777777777776</v>
      </c>
      <c r="C11307" s="5" t="s">
        <v>8</v>
      </c>
      <c r="D11307" s="5" t="s">
        <v>1612</v>
      </c>
      <c r="E11307" s="8" t="s">
        <v>719</v>
      </c>
      <c r="F11307" s="5" t="s">
        <v>720</v>
      </c>
      <c r="G11307" s="6" t="str">
        <f>VLOOKUP(E11307,dicionario!$A$1:$C11706,2,0)</f>
        <v>Dirinaria</v>
      </c>
      <c r="H11307" s="6" t="str">
        <f>VLOOKUP(E11307,dicionario!$A$1:$C11706,3,0)</f>
        <v>líquen-crostoso</v>
      </c>
    </row>
    <row r="11308">
      <c r="A11308" s="49">
        <v>45842.0</v>
      </c>
      <c r="B11308" s="4">
        <v>0.27152777777777776</v>
      </c>
      <c r="C11308" s="5" t="s">
        <v>8</v>
      </c>
      <c r="D11308" s="5" t="s">
        <v>1612</v>
      </c>
      <c r="E11308" s="8" t="s">
        <v>712</v>
      </c>
      <c r="F11308" s="5" t="s">
        <v>718</v>
      </c>
      <c r="G11308" s="6" t="str">
        <f>VLOOKUP(E11308,dicionario!$A$1:$C11707,2,0)</f>
        <v>Flavopunctelia soredica</v>
      </c>
      <c r="H11308" s="6" t="str">
        <f>VLOOKUP(E11308,dicionario!$A$1:$C11707,3,0)</f>
        <v>líquen-folioso</v>
      </c>
    </row>
    <row r="11309">
      <c r="A11309" s="49">
        <v>45842.0</v>
      </c>
      <c r="B11309" s="4">
        <v>0.2722222222222222</v>
      </c>
      <c r="C11309" s="5" t="s">
        <v>8</v>
      </c>
      <c r="D11309" s="5" t="s">
        <v>1612</v>
      </c>
      <c r="E11309" s="8" t="s">
        <v>38</v>
      </c>
      <c r="F11309" s="5" t="s">
        <v>1251</v>
      </c>
      <c r="G11309" s="6" t="str">
        <f>VLOOKUP(E11309,dicionario!$A$1:$C11708,2,0)</f>
        <v>Troglodytes musculus</v>
      </c>
      <c r="H11309" s="6" t="str">
        <f>VLOOKUP(E11309,dicionario!$A$1:$C11708,3,0)</f>
        <v>curruíra</v>
      </c>
    </row>
    <row r="11310">
      <c r="A11310" s="49">
        <v>45842.0</v>
      </c>
      <c r="B11310" s="4">
        <v>0.2722222222222222</v>
      </c>
      <c r="C11310" s="5" t="s">
        <v>8</v>
      </c>
      <c r="D11310" s="5" t="s">
        <v>1612</v>
      </c>
      <c r="E11310" s="6" t="s">
        <v>93</v>
      </c>
      <c r="F11310" s="5" t="s">
        <v>73</v>
      </c>
      <c r="G11310" s="6" t="str">
        <f>VLOOKUP(E11310,dicionario!$A$1:$C11709,2,0)</f>
        <v>Thraupis sayaca</v>
      </c>
      <c r="H11310" s="6" t="str">
        <f>VLOOKUP(E11310,dicionario!$A$1:$C11709,3,0)</f>
        <v>sanhaçu-cinzento</v>
      </c>
    </row>
    <row r="11311">
      <c r="A11311" s="49">
        <v>45842.0</v>
      </c>
      <c r="B11311" s="4">
        <v>0.2722222222222222</v>
      </c>
      <c r="C11311" s="5" t="s">
        <v>8</v>
      </c>
      <c r="D11311" s="5" t="s">
        <v>1612</v>
      </c>
      <c r="E11311" s="8" t="s">
        <v>162</v>
      </c>
      <c r="F11311" s="5" t="s">
        <v>42</v>
      </c>
      <c r="G11311" s="6" t="str">
        <f>VLOOKUP(E11311,dicionario!$A$1:$C11710,2,0)</f>
        <v>Fluvicola nengeta</v>
      </c>
      <c r="H11311" s="6" t="str">
        <f>VLOOKUP(E11311,dicionario!$A$1:$C11710,3,0)</f>
        <v>lavadeira-mascarada</v>
      </c>
    </row>
    <row r="11312">
      <c r="A11312" s="49">
        <v>45842.0</v>
      </c>
      <c r="B11312" s="4">
        <v>0.27291666666666664</v>
      </c>
      <c r="C11312" s="5" t="s">
        <v>8</v>
      </c>
      <c r="D11312" s="5" t="s">
        <v>1612</v>
      </c>
      <c r="E11312" s="6" t="s">
        <v>65</v>
      </c>
      <c r="F11312" s="5" t="s">
        <v>66</v>
      </c>
      <c r="G11312" s="6" t="str">
        <f>VLOOKUP(E11312,dicionario!$A$1:$C11711,2,0)</f>
        <v>Pitangus sulphutarus</v>
      </c>
      <c r="H11312" s="6" t="str">
        <f>VLOOKUP(E11312,dicionario!$A$1:$C11711,3,0)</f>
        <v>bem-te-vi</v>
      </c>
    </row>
    <row r="11313">
      <c r="A11313" s="49">
        <v>45842.0</v>
      </c>
      <c r="B11313" s="4">
        <v>0.27291666666666664</v>
      </c>
      <c r="C11313" s="5" t="s">
        <v>8</v>
      </c>
      <c r="D11313" s="5" t="s">
        <v>1612</v>
      </c>
      <c r="E11313" s="8" t="s">
        <v>1008</v>
      </c>
      <c r="F11313" s="5" t="s">
        <v>1013</v>
      </c>
      <c r="G11313" s="6" t="str">
        <f>VLOOKUP(E11313,dicionario!$A$1:$C11712,2,0)</f>
        <v>Syntermes molestus</v>
      </c>
      <c r="H11313" s="6" t="str">
        <f>VLOOKUP(E11313,dicionario!$A$1:$C11712,3,0)</f>
        <v>cupim-bate-cabeça</v>
      </c>
    </row>
    <row r="11314">
      <c r="A11314" s="49">
        <v>45842.0</v>
      </c>
      <c r="B11314" s="4">
        <v>0.27291666666666664</v>
      </c>
      <c r="C11314" s="5" t="s">
        <v>8</v>
      </c>
      <c r="D11314" s="5" t="s">
        <v>1612</v>
      </c>
      <c r="E11314" s="9" t="s">
        <v>103</v>
      </c>
      <c r="F11314" s="5" t="s">
        <v>104</v>
      </c>
      <c r="G11314" s="6" t="str">
        <f>VLOOKUP(E11314,dicionario!$A$1:$C11713,2,0)</f>
        <v>Caracara plancus</v>
      </c>
      <c r="H11314" s="6" t="str">
        <f>VLOOKUP(E11314,dicionario!$A$1:$C11713,3,0)</f>
        <v>carcará </v>
      </c>
    </row>
    <row r="11315">
      <c r="A11315" s="49">
        <v>45842.0</v>
      </c>
      <c r="B11315" s="4">
        <v>0.27361111111111114</v>
      </c>
      <c r="C11315" s="5" t="s">
        <v>8</v>
      </c>
      <c r="D11315" s="5" t="s">
        <v>1612</v>
      </c>
      <c r="E11315" s="8" t="s">
        <v>298</v>
      </c>
      <c r="F11315" s="5"/>
      <c r="G11315" s="6" t="str">
        <f>VLOOKUP(E11315,dicionario!$A$1:$C11714,2,0)</f>
        <v>Alysicarpus vaginalis</v>
      </c>
      <c r="H11315" s="6" t="str">
        <f>VLOOKUP(E11315,dicionario!$A$1:$C11714,3,0)</f>
        <v/>
      </c>
    </row>
    <row r="11316">
      <c r="A11316" s="49">
        <v>45842.0</v>
      </c>
      <c r="B11316" s="4">
        <v>0.27361111111111114</v>
      </c>
      <c r="C11316" s="5" t="s">
        <v>8</v>
      </c>
      <c r="D11316" s="5" t="s">
        <v>1612</v>
      </c>
      <c r="E11316" s="6" t="s">
        <v>353</v>
      </c>
      <c r="F11316" s="5" t="s">
        <v>354</v>
      </c>
      <c r="G11316" s="6" t="str">
        <f>VLOOKUP(E11316,dicionario!$A$1:$C11715,2,0)</f>
        <v>Desmodium incanum</v>
      </c>
      <c r="H11316" s="6" t="str">
        <f>VLOOKUP(E11316,dicionario!$A$1:$C11715,3,0)</f>
        <v>pega-pega</v>
      </c>
    </row>
    <row r="11317">
      <c r="A11317" s="49">
        <v>45842.0</v>
      </c>
      <c r="B11317" s="4">
        <v>0.27361111111111114</v>
      </c>
      <c r="C11317" s="5" t="s">
        <v>8</v>
      </c>
      <c r="D11317" s="5" t="s">
        <v>1612</v>
      </c>
      <c r="E11317" s="6" t="s">
        <v>227</v>
      </c>
      <c r="F11317" s="5" t="s">
        <v>228</v>
      </c>
      <c r="G11317" s="6" t="str">
        <f>VLOOKUP(E11317,dicionario!$A$1:$C11716,2,0)</f>
        <v>Indigofera hirsuta</v>
      </c>
      <c r="H11317" s="6" t="str">
        <f>VLOOKUP(E11317,dicionario!$A$1:$C11716,3,0)</f>
        <v>anileira</v>
      </c>
    </row>
    <row r="11318">
      <c r="A11318" s="49">
        <v>45842.0</v>
      </c>
      <c r="B11318" s="4">
        <v>0.27361111111111114</v>
      </c>
      <c r="C11318" s="5" t="s">
        <v>8</v>
      </c>
      <c r="D11318" s="5" t="s">
        <v>1612</v>
      </c>
      <c r="E11318" s="8" t="s">
        <v>1344</v>
      </c>
      <c r="F11318" s="5" t="s">
        <v>47</v>
      </c>
      <c r="G11318" s="6" t="str">
        <f>VLOOKUP(E11318,dicionario!$A$1:$C11717,2,0)</f>
        <v>#N/A</v>
      </c>
      <c r="H11318" s="6" t="str">
        <f>VLOOKUP(E11318,dicionario!$A$1:$C11717,3,0)</f>
        <v>#N/A</v>
      </c>
    </row>
    <row r="11319">
      <c r="A11319" s="49">
        <v>45842.0</v>
      </c>
      <c r="B11319" s="4">
        <v>0.2743055555555556</v>
      </c>
      <c r="C11319" s="5" t="s">
        <v>8</v>
      </c>
      <c r="D11319" s="5" t="s">
        <v>1612</v>
      </c>
      <c r="E11319" s="6" t="s">
        <v>191</v>
      </c>
      <c r="F11319" s="5" t="s">
        <v>192</v>
      </c>
      <c r="G11319" s="6" t="str">
        <f>VLOOKUP(E11319,dicionario!$A$1:$C11718,2,0)</f>
        <v>Patagioenas picazuro</v>
      </c>
      <c r="H11319" s="6" t="str">
        <f>VLOOKUP(E11319,dicionario!$A$1:$C11718,3,0)</f>
        <v>asa-branca; pomba-asa-branca; pocaçu</v>
      </c>
    </row>
    <row r="11320">
      <c r="A11320" s="49">
        <v>45842.0</v>
      </c>
      <c r="B11320" s="4">
        <v>0.275</v>
      </c>
      <c r="C11320" s="5" t="s">
        <v>8</v>
      </c>
      <c r="D11320" s="5" t="s">
        <v>1612</v>
      </c>
      <c r="E11320" s="6" t="s">
        <v>639</v>
      </c>
      <c r="F11320" s="5" t="s">
        <v>640</v>
      </c>
      <c r="G11320" s="6" t="str">
        <f>VLOOKUP(E11320,dicionario!$A$1:$C11719,2,0)</f>
        <v>Egretta thula</v>
      </c>
      <c r="H11320" s="6" t="str">
        <f>VLOOKUP(E11320,dicionario!$A$1:$C11719,3,0)</f>
        <v>garça-branca-pequena</v>
      </c>
    </row>
    <row r="11321">
      <c r="A11321" s="49">
        <v>45842.0</v>
      </c>
      <c r="B11321" s="4">
        <v>0.275</v>
      </c>
      <c r="C11321" s="5" t="s">
        <v>8</v>
      </c>
      <c r="D11321" s="5" t="s">
        <v>1612</v>
      </c>
      <c r="E11321" s="8" t="s">
        <v>135</v>
      </c>
      <c r="F11321" s="5" t="s">
        <v>136</v>
      </c>
      <c r="G11321" s="6" t="str">
        <f>VLOOKUP(E11321,dicionario!$A$1:$C11720,2,0)</f>
        <v>Tridax procumbens</v>
      </c>
      <c r="H11321" s="6" t="str">
        <f>VLOOKUP(E11321,dicionario!$A$1:$C11720,3,0)</f>
        <v>erva-de-touro</v>
      </c>
    </row>
    <row r="11322">
      <c r="A11322" s="49">
        <v>45842.0</v>
      </c>
      <c r="B11322" s="4">
        <v>0.275</v>
      </c>
      <c r="C11322" s="5" t="s">
        <v>8</v>
      </c>
      <c r="D11322" s="5" t="s">
        <v>1612</v>
      </c>
      <c r="E11322" s="6" t="s">
        <v>286</v>
      </c>
      <c r="F11322" s="5" t="s">
        <v>287</v>
      </c>
      <c r="G11322" s="6" t="str">
        <f>VLOOKUP(E11322,dicionario!$A$1:$C11721,2,0)</f>
        <v>Setaria parviflora</v>
      </c>
      <c r="H11322" s="6" t="str">
        <f>VLOOKUP(E11322,dicionario!$A$1:$C11721,3,0)</f>
        <v>capim-rabo-de-raposa</v>
      </c>
    </row>
    <row r="11323">
      <c r="A11323" s="49">
        <v>45842.0</v>
      </c>
      <c r="B11323" s="4">
        <v>0.275</v>
      </c>
      <c r="C11323" s="5" t="s">
        <v>8</v>
      </c>
      <c r="D11323" s="5" t="s">
        <v>1612</v>
      </c>
      <c r="E11323" s="6" t="s">
        <v>60</v>
      </c>
      <c r="F11323" s="5" t="s">
        <v>61</v>
      </c>
      <c r="G11323" s="6" t="str">
        <f>VLOOKUP(E11323,dicionario!$A$1:$C11722,2,0)</f>
        <v>Vanellus chilensis</v>
      </c>
      <c r="H11323" s="6" t="str">
        <f>VLOOKUP(E11323,dicionario!$A$1:$C11722,3,0)</f>
        <v>quero-quero</v>
      </c>
    </row>
    <row r="11324">
      <c r="A11324" s="49">
        <v>45842.0</v>
      </c>
      <c r="B11324" s="4">
        <v>0.275</v>
      </c>
      <c r="C11324" s="5" t="s">
        <v>8</v>
      </c>
      <c r="D11324" s="5" t="s">
        <v>1612</v>
      </c>
      <c r="E11324" s="6" t="s">
        <v>22</v>
      </c>
      <c r="F11324" s="5" t="s">
        <v>97</v>
      </c>
      <c r="G11324" s="6" t="str">
        <f>VLOOKUP(E11324,dicionario!$A$1:$C11723,2,0)</f>
        <v>Zenaida auriculata</v>
      </c>
      <c r="H11324" s="6" t="str">
        <f>VLOOKUP(E11324,dicionario!$A$1:$C11723,3,0)</f>
        <v>pomba-de-bando; avoante</v>
      </c>
    </row>
    <row r="11325">
      <c r="A11325" s="49">
        <v>45842.0</v>
      </c>
      <c r="B11325" s="4">
        <v>0.27569444444444446</v>
      </c>
      <c r="C11325" s="5" t="s">
        <v>8</v>
      </c>
      <c r="D11325" s="5" t="s">
        <v>1612</v>
      </c>
      <c r="E11325" s="6" t="s">
        <v>606</v>
      </c>
      <c r="F11325" s="5" t="s">
        <v>607</v>
      </c>
      <c r="G11325" s="6" t="str">
        <f>VLOOKUP(E11325,dicionario!$A$1:$C11724,2,0)</f>
        <v>Elaenia spectabilis</v>
      </c>
      <c r="H11325" s="6" t="str">
        <f>VLOOKUP(E11325,dicionario!$A$1:$C11724,3,0)</f>
        <v>guaracava-grande</v>
      </c>
    </row>
    <row r="11326">
      <c r="A11326" s="49">
        <v>45842.0</v>
      </c>
      <c r="B11326" s="4">
        <v>0.27569444444444446</v>
      </c>
      <c r="C11326" s="5" t="s">
        <v>8</v>
      </c>
      <c r="D11326" s="5" t="s">
        <v>1612</v>
      </c>
      <c r="E11326" s="6" t="s">
        <v>215</v>
      </c>
      <c r="F11326" s="5" t="s">
        <v>216</v>
      </c>
      <c r="G11326" s="6" t="str">
        <f>VLOOKUP(E11326,dicionario!$A$1:$C11725,2,0)</f>
        <v>Pygochelidon cyanoleuca</v>
      </c>
      <c r="H11326" s="6" t="str">
        <f>VLOOKUP(E11326,dicionario!$A$1:$C11725,3,0)</f>
        <v>andorinha-pequena-de-casa</v>
      </c>
    </row>
    <row r="11327">
      <c r="A11327" s="49">
        <v>45842.0</v>
      </c>
      <c r="B11327" s="4">
        <v>0.2763888888888889</v>
      </c>
      <c r="C11327" s="5" t="s">
        <v>8</v>
      </c>
      <c r="D11327" s="5" t="s">
        <v>1612</v>
      </c>
      <c r="E11327" s="6" t="s">
        <v>247</v>
      </c>
      <c r="F11327" s="5" t="s">
        <v>387</v>
      </c>
      <c r="G11327" s="6" t="str">
        <f>VLOOKUP(E11327,dicionario!$A$1:$C11726,2,0)</f>
        <v>Emilia sonchifolia</v>
      </c>
      <c r="H11327" s="6" t="str">
        <f>VLOOKUP(E11327,dicionario!$A$1:$C11726,3,0)</f>
        <v>serralinha</v>
      </c>
    </row>
    <row r="11328">
      <c r="A11328" s="49">
        <v>45842.0</v>
      </c>
      <c r="B11328" s="4">
        <v>0.27708333333333335</v>
      </c>
      <c r="C11328" s="5" t="s">
        <v>8</v>
      </c>
      <c r="D11328" s="5" t="s">
        <v>1612</v>
      </c>
      <c r="E11328" s="6" t="s">
        <v>489</v>
      </c>
      <c r="F11328" s="5" t="s">
        <v>521</v>
      </c>
      <c r="G11328" s="6" t="str">
        <f>VLOOKUP(E11328,dicionario!$A$1:$C11727,2,0)</f>
        <v>Cenchrus echinatus</v>
      </c>
      <c r="H11328" s="6" t="str">
        <f>VLOOKUP(E11328,dicionario!$A$1:$C11727,3,0)</f>
        <v>capim-carrapicho</v>
      </c>
    </row>
    <row r="11329">
      <c r="A11329" s="49">
        <v>45842.0</v>
      </c>
      <c r="B11329" s="4">
        <v>0.27708333333333335</v>
      </c>
      <c r="C11329" s="5" t="s">
        <v>8</v>
      </c>
      <c r="D11329" s="5" t="s">
        <v>1612</v>
      </c>
      <c r="E11329" s="8" t="s">
        <v>648</v>
      </c>
      <c r="F11329" s="5" t="s">
        <v>649</v>
      </c>
      <c r="G11329" s="6" t="str">
        <f>VLOOKUP(E11329,dicionario!$A$1:$C11728,2,0)</f>
        <v>Burnsius orcus</v>
      </c>
      <c r="H11329" s="6" t="str">
        <f>VLOOKUP(E11329,dicionario!$A$1:$C11728,3,0)</f>
        <v/>
      </c>
    </row>
    <row r="11330">
      <c r="A11330" s="49">
        <v>45842.0</v>
      </c>
      <c r="B11330" s="4">
        <v>0.2777777777777778</v>
      </c>
      <c r="C11330" s="5" t="s">
        <v>8</v>
      </c>
      <c r="D11330" s="5" t="s">
        <v>1612</v>
      </c>
      <c r="E11330" s="8" t="s">
        <v>503</v>
      </c>
      <c r="F11330" s="5" t="s">
        <v>414</v>
      </c>
      <c r="G11330" s="6" t="str">
        <f>VLOOKUP(E11330,dicionario!$A$1:$C11729,2,0)</f>
        <v>Orphulella punctata</v>
      </c>
      <c r="H11330" s="6" t="str">
        <f>VLOOKUP(E11330,dicionario!$A$1:$C11729,3,0)</f>
        <v>gafanhotinho</v>
      </c>
    </row>
    <row r="11331">
      <c r="A11331" s="49">
        <v>45842.0</v>
      </c>
      <c r="B11331" s="4">
        <v>0.2777777777777778</v>
      </c>
      <c r="C11331" s="5" t="s">
        <v>8</v>
      </c>
      <c r="D11331" s="5" t="s">
        <v>1612</v>
      </c>
      <c r="E11331" s="6" t="s">
        <v>14</v>
      </c>
      <c r="F11331" s="5" t="s">
        <v>254</v>
      </c>
      <c r="G11331" s="6" t="str">
        <f>VLOOKUP(E11331,dicionario!$A$1:$C11730,2,0)</f>
        <v>Spermacoce verticillata</v>
      </c>
      <c r="H11331" s="6" t="str">
        <f>VLOOKUP(E11331,dicionario!$A$1:$C11730,3,0)</f>
        <v>vassourinha-de-botão</v>
      </c>
    </row>
    <row r="11332">
      <c r="A11332" s="49">
        <v>45842.0</v>
      </c>
      <c r="B11332" s="4">
        <v>0.27847222222222223</v>
      </c>
      <c r="C11332" s="5" t="s">
        <v>8</v>
      </c>
      <c r="D11332" s="5" t="s">
        <v>1612</v>
      </c>
      <c r="E11332" s="12" t="s">
        <v>14</v>
      </c>
      <c r="F11332" s="5" t="s">
        <v>15</v>
      </c>
      <c r="G11332" s="6" t="str">
        <f>VLOOKUP(E11332,dicionario!$A$1:$C11731,2,0)</f>
        <v>Spermacoce verticillata</v>
      </c>
      <c r="H11332" s="6" t="str">
        <f>VLOOKUP(E11332,dicionario!$A$1:$C11731,3,0)</f>
        <v>vassourinha-de-botão</v>
      </c>
    </row>
    <row r="11333">
      <c r="A11333" s="49">
        <v>45842.0</v>
      </c>
      <c r="B11333" s="4">
        <v>0.27847222222222223</v>
      </c>
      <c r="C11333" s="5" t="s">
        <v>8</v>
      </c>
      <c r="D11333" s="5" t="s">
        <v>1612</v>
      </c>
      <c r="E11333" s="8" t="s">
        <v>154</v>
      </c>
      <c r="F11333" s="5" t="s">
        <v>155</v>
      </c>
      <c r="G11333" s="6" t="str">
        <f>VLOOKUP(E11333,dicionario!$A$1:$C11732,2,0)</f>
        <v>Cyperus rotundus</v>
      </c>
      <c r="H11333" s="6" t="str">
        <f>VLOOKUP(E11333,dicionario!$A$1:$C11732,3,0)</f>
        <v>tiririca</v>
      </c>
    </row>
    <row r="11334">
      <c r="A11334" s="49">
        <v>45842.0</v>
      </c>
      <c r="B11334" s="4">
        <v>0.2798611111111111</v>
      </c>
      <c r="C11334" s="5" t="s">
        <v>26</v>
      </c>
      <c r="D11334" s="5" t="s">
        <v>1612</v>
      </c>
      <c r="E11334" s="6" t="s">
        <v>217</v>
      </c>
      <c r="F11334" s="5" t="s">
        <v>218</v>
      </c>
      <c r="G11334" s="6" t="str">
        <f>VLOOKUP(E11334,dicionario!$A$1:$C11733,2,0)</f>
        <v>Athene cunicularia</v>
      </c>
      <c r="H11334" s="6" t="str">
        <f>VLOOKUP(E11334,dicionario!$A$1:$C11733,3,0)</f>
        <v>coruja-buraqueira</v>
      </c>
    </row>
    <row r="11335">
      <c r="A11335" s="49">
        <v>45842.0</v>
      </c>
      <c r="B11335" s="4">
        <v>0.2798611111111111</v>
      </c>
      <c r="C11335" s="5" t="s">
        <v>26</v>
      </c>
      <c r="D11335" s="5" t="s">
        <v>1612</v>
      </c>
      <c r="E11335" s="6" t="s">
        <v>60</v>
      </c>
      <c r="F11335" s="5" t="s">
        <v>61</v>
      </c>
      <c r="G11335" s="6" t="str">
        <f>VLOOKUP(E11335,dicionario!$A$1:$C11734,2,0)</f>
        <v>Vanellus chilensis</v>
      </c>
      <c r="H11335" s="6" t="str">
        <f>VLOOKUP(E11335,dicionario!$A$1:$C11734,3,0)</f>
        <v>quero-quero</v>
      </c>
    </row>
    <row r="11336">
      <c r="A11336" s="49">
        <v>45842.0</v>
      </c>
      <c r="B11336" s="4">
        <v>0.2798611111111111</v>
      </c>
      <c r="C11336" s="5" t="s">
        <v>26</v>
      </c>
      <c r="D11336" s="5" t="s">
        <v>1612</v>
      </c>
      <c r="E11336" s="6" t="s">
        <v>14</v>
      </c>
      <c r="F11336" s="5" t="s">
        <v>15</v>
      </c>
      <c r="G11336" s="6" t="str">
        <f>VLOOKUP(E11336,dicionario!$A$1:$C11735,2,0)</f>
        <v>Spermacoce verticillata</v>
      </c>
      <c r="H11336" s="6" t="str">
        <f>VLOOKUP(E11336,dicionario!$A$1:$C11735,3,0)</f>
        <v>vassourinha-de-botão</v>
      </c>
    </row>
    <row r="11337">
      <c r="A11337" s="49">
        <v>45842.0</v>
      </c>
      <c r="B11337" s="4">
        <v>0.2798611111111111</v>
      </c>
      <c r="C11337" s="5" t="s">
        <v>26</v>
      </c>
      <c r="D11337" s="5" t="s">
        <v>1612</v>
      </c>
      <c r="E11337" s="6" t="s">
        <v>191</v>
      </c>
      <c r="F11337" s="5" t="s">
        <v>192</v>
      </c>
      <c r="G11337" s="6" t="str">
        <f>VLOOKUP(E11337,dicionario!$A$1:$C11736,2,0)</f>
        <v>Patagioenas picazuro</v>
      </c>
      <c r="H11337" s="6" t="str">
        <f>VLOOKUP(E11337,dicionario!$A$1:$C11736,3,0)</f>
        <v>asa-branca; pomba-asa-branca; pocaçu</v>
      </c>
    </row>
    <row r="11338">
      <c r="A11338" s="49">
        <v>45842.0</v>
      </c>
      <c r="B11338" s="4">
        <v>0.28055555555555556</v>
      </c>
      <c r="C11338" s="5" t="s">
        <v>26</v>
      </c>
      <c r="D11338" s="5" t="s">
        <v>1612</v>
      </c>
      <c r="E11338" s="20" t="s">
        <v>676</v>
      </c>
      <c r="F11338" s="5" t="s">
        <v>677</v>
      </c>
      <c r="G11338" s="6" t="str">
        <f>VLOOKUP(E11338,dicionario!$A$1:$C11737,2,0)</f>
        <v>Zornia latifolia</v>
      </c>
      <c r="H11338" s="6" t="str">
        <f>VLOOKUP(E11338,dicionario!$A$1:$C11737,3,0)</f>
        <v>arrozinho-do-campo</v>
      </c>
    </row>
    <row r="11339">
      <c r="A11339" s="49">
        <v>45842.0</v>
      </c>
      <c r="B11339" s="4">
        <v>0.28055555555555556</v>
      </c>
      <c r="C11339" s="5" t="s">
        <v>26</v>
      </c>
      <c r="D11339" s="5" t="s">
        <v>1612</v>
      </c>
      <c r="E11339" s="6" t="s">
        <v>243</v>
      </c>
      <c r="F11339" s="5" t="s">
        <v>244</v>
      </c>
      <c r="G11339" s="6" t="str">
        <f>VLOOKUP(E11339,dicionario!$A$1:$C11738,2,0)</f>
        <v>Macroptilium atropurpureum</v>
      </c>
      <c r="H11339" s="6" t="str">
        <f>VLOOKUP(E11339,dicionario!$A$1:$C11738,3,0)</f>
        <v>feijão-de-pombo</v>
      </c>
    </row>
    <row r="11340">
      <c r="A11340" s="49">
        <v>45842.0</v>
      </c>
      <c r="B11340" s="4">
        <v>0.28055555555555556</v>
      </c>
      <c r="C11340" s="5" t="s">
        <v>26</v>
      </c>
      <c r="D11340" s="5" t="s">
        <v>1612</v>
      </c>
      <c r="E11340" s="8" t="s">
        <v>109</v>
      </c>
      <c r="F11340" s="5" t="s">
        <v>110</v>
      </c>
      <c r="G11340" s="6" t="str">
        <f>VLOOKUP(E11340,dicionario!$A$1:$C11739,2,0)</f>
        <v>Tillandsia stricta</v>
      </c>
      <c r="H11340" s="6" t="str">
        <f>VLOOKUP(E11340,dicionario!$A$1:$C11739,3,0)</f>
        <v>cravo-do-mato</v>
      </c>
    </row>
    <row r="11341">
      <c r="A11341" s="49">
        <v>45842.0</v>
      </c>
      <c r="B11341" s="4">
        <v>0.2881944444444444</v>
      </c>
      <c r="C11341" s="5" t="s">
        <v>33</v>
      </c>
      <c r="D11341" s="5" t="s">
        <v>1612</v>
      </c>
      <c r="E11341" s="6" t="s">
        <v>65</v>
      </c>
      <c r="F11341" s="5" t="s">
        <v>66</v>
      </c>
      <c r="G11341" s="6" t="str">
        <f>VLOOKUP(E11341,dicionario!$A$1:$C11740,2,0)</f>
        <v>Pitangus sulphutarus</v>
      </c>
      <c r="H11341" s="6" t="str">
        <f>VLOOKUP(E11341,dicionario!$A$1:$C11740,3,0)</f>
        <v>bem-te-vi</v>
      </c>
    </row>
    <row r="11342">
      <c r="A11342" s="49">
        <v>45842.0</v>
      </c>
      <c r="B11342" s="4">
        <v>0.2881944444444444</v>
      </c>
      <c r="C11342" s="5" t="s">
        <v>33</v>
      </c>
      <c r="D11342" s="5" t="s">
        <v>1612</v>
      </c>
      <c r="E11342" s="8" t="s">
        <v>109</v>
      </c>
      <c r="F11342" s="5" t="s">
        <v>110</v>
      </c>
      <c r="G11342" s="6" t="str">
        <f>VLOOKUP(E11342,dicionario!$A$1:$C11741,2,0)</f>
        <v>Tillandsia stricta</v>
      </c>
      <c r="H11342" s="6" t="str">
        <f>VLOOKUP(E11342,dicionario!$A$1:$C11741,3,0)</f>
        <v>cravo-do-mato</v>
      </c>
    </row>
    <row r="11343">
      <c r="A11343" s="49">
        <v>45842.0</v>
      </c>
      <c r="B11343" s="4">
        <v>0.28888888888888886</v>
      </c>
      <c r="C11343" s="5" t="s">
        <v>33</v>
      </c>
      <c r="D11343" s="5" t="s">
        <v>1612</v>
      </c>
      <c r="E11343" s="6" t="s">
        <v>702</v>
      </c>
      <c r="F11343" s="5" t="s">
        <v>703</v>
      </c>
      <c r="G11343" s="6" t="str">
        <f>VLOOKUP(E11343,dicionario!$A$1:$C11742,2,0)</f>
        <v>Acacia mangium</v>
      </c>
      <c r="H11343" s="6" t="str">
        <f>VLOOKUP(E11343,dicionario!$A$1:$C11742,3,0)</f>
        <v>acácia</v>
      </c>
    </row>
    <row r="11344">
      <c r="A11344" s="49">
        <v>45842.0</v>
      </c>
      <c r="B11344" s="4">
        <v>0.28958333333333336</v>
      </c>
      <c r="C11344" s="5" t="s">
        <v>33</v>
      </c>
      <c r="D11344" s="5" t="s">
        <v>1612</v>
      </c>
      <c r="E11344" s="8" t="s">
        <v>1084</v>
      </c>
      <c r="F11344" s="5"/>
      <c r="G11344" s="6" t="str">
        <f>VLOOKUP(E11344,dicionario!$A$1:$C11743,2,0)</f>
        <v>#N/A</v>
      </c>
      <c r="H11344" s="6" t="str">
        <f>VLOOKUP(E11344,dicionario!$A$1:$C11743,3,0)</f>
        <v>#N/A</v>
      </c>
    </row>
    <row r="11345">
      <c r="A11345" s="49">
        <v>45842.0</v>
      </c>
      <c r="B11345" s="4">
        <v>0.2902777777777778</v>
      </c>
      <c r="C11345" s="5" t="s">
        <v>33</v>
      </c>
      <c r="D11345" s="5" t="s">
        <v>1612</v>
      </c>
      <c r="E11345" s="8" t="s">
        <v>20</v>
      </c>
      <c r="F11345" s="5" t="s">
        <v>21</v>
      </c>
      <c r="G11345" s="6" t="str">
        <f>VLOOKUP(E11345,dicionario!$A$1:$C11744,2,0)</f>
        <v>Sicalis flaveola</v>
      </c>
      <c r="H11345" s="6" t="str">
        <f>VLOOKUP(E11345,dicionario!$A$1:$C11744,3,0)</f>
        <v>canário-da-terra</v>
      </c>
    </row>
    <row r="11346">
      <c r="A11346" s="49">
        <v>45842.0</v>
      </c>
      <c r="B11346" s="4">
        <v>0.2902777777777778</v>
      </c>
      <c r="C11346" s="5" t="s">
        <v>33</v>
      </c>
      <c r="D11346" s="5" t="s">
        <v>1612</v>
      </c>
      <c r="E11346" s="8" t="s">
        <v>624</v>
      </c>
      <c r="F11346" s="5" t="s">
        <v>133</v>
      </c>
      <c r="G11346" s="6" t="str">
        <f>VLOOKUP(E11346,dicionario!$A$1:$C11745,2,0)</f>
        <v>Euphonia violacea</v>
      </c>
      <c r="H11346" s="6" t="str">
        <f>VLOOKUP(E11346,dicionario!$A$1:$C11745,3,0)</f>
        <v>gaturamo-verdadeiro</v>
      </c>
    </row>
    <row r="11347">
      <c r="A11347" s="49">
        <v>45842.0</v>
      </c>
      <c r="B11347" s="4">
        <v>0.29097222222222224</v>
      </c>
      <c r="C11347" s="5" t="s">
        <v>33</v>
      </c>
      <c r="D11347" s="5" t="s">
        <v>1612</v>
      </c>
      <c r="E11347" s="8" t="s">
        <v>38</v>
      </c>
      <c r="F11347" s="5" t="s">
        <v>1251</v>
      </c>
      <c r="G11347" s="6" t="str">
        <f>VLOOKUP(E11347,dicionario!$A$1:$C11746,2,0)</f>
        <v>Troglodytes musculus</v>
      </c>
      <c r="H11347" s="6" t="str">
        <f>VLOOKUP(E11347,dicionario!$A$1:$C11746,3,0)</f>
        <v>curruíra</v>
      </c>
    </row>
    <row r="11348">
      <c r="A11348" s="49">
        <v>45842.0</v>
      </c>
      <c r="B11348" s="4">
        <v>0.2916666666666667</v>
      </c>
      <c r="C11348" s="5" t="s">
        <v>33</v>
      </c>
      <c r="D11348" s="5" t="s">
        <v>1612</v>
      </c>
      <c r="E11348" s="8" t="s">
        <v>719</v>
      </c>
      <c r="F11348" s="5" t="s">
        <v>720</v>
      </c>
      <c r="G11348" s="6" t="str">
        <f>VLOOKUP(E11348,dicionario!$A$1:$C11747,2,0)</f>
        <v>Dirinaria</v>
      </c>
      <c r="H11348" s="6" t="str">
        <f>VLOOKUP(E11348,dicionario!$A$1:$C11747,3,0)</f>
        <v>líquen-crostoso</v>
      </c>
    </row>
    <row r="11349">
      <c r="A11349" s="49">
        <v>45842.0</v>
      </c>
      <c r="B11349" s="4">
        <v>0.29305555555555557</v>
      </c>
      <c r="C11349" s="5" t="s">
        <v>33</v>
      </c>
      <c r="D11349" s="5" t="s">
        <v>1612</v>
      </c>
      <c r="E11349" s="8" t="s">
        <v>122</v>
      </c>
      <c r="F11349" s="5" t="s">
        <v>123</v>
      </c>
      <c r="G11349" s="6" t="str">
        <f>VLOOKUP(E11349,dicionario!$A$1:$C11748,2,0)</f>
        <v>Todirostrum cinereum</v>
      </c>
      <c r="H11349" s="6" t="str">
        <f>VLOOKUP(E11349,dicionario!$A$1:$C11748,3,0)</f>
        <v>ferreirinho-relógio</v>
      </c>
    </row>
    <row r="11350">
      <c r="A11350" s="49">
        <v>45842.0</v>
      </c>
      <c r="B11350" s="4">
        <v>0.29930555555555555</v>
      </c>
      <c r="C11350" s="5" t="s">
        <v>40</v>
      </c>
      <c r="D11350" s="5" t="s">
        <v>1612</v>
      </c>
      <c r="E11350" s="6" t="s">
        <v>53</v>
      </c>
      <c r="F11350" s="5" t="s">
        <v>54</v>
      </c>
      <c r="G11350" s="6" t="str">
        <f>VLOOKUP(E11350,dicionario!$A$1:$C11749,2,0)</f>
        <v>Turnera subulata</v>
      </c>
      <c r="H11350" s="6" t="str">
        <f>VLOOKUP(E11350,dicionario!$A$1:$C11749,3,0)</f>
        <v>xanana</v>
      </c>
    </row>
    <row r="11351">
      <c r="A11351" s="49">
        <v>45842.0</v>
      </c>
      <c r="B11351" s="4">
        <v>0.29930555555555555</v>
      </c>
      <c r="C11351" s="5" t="s">
        <v>40</v>
      </c>
      <c r="D11351" s="5" t="s">
        <v>1612</v>
      </c>
      <c r="E11351" s="6" t="s">
        <v>613</v>
      </c>
      <c r="F11351" s="5" t="s">
        <v>614</v>
      </c>
      <c r="G11351" s="6" t="str">
        <f>VLOOKUP(E11351,dicionario!$A$1:$C11750,2,0)</f>
        <v>Euphorbia hyssopifolia</v>
      </c>
      <c r="H11351" s="6" t="str">
        <f>VLOOKUP(E11351,dicionario!$A$1:$C11750,3,0)</f>
        <v>maria-leite</v>
      </c>
    </row>
    <row r="11352">
      <c r="A11352" s="49">
        <v>45842.0</v>
      </c>
      <c r="B11352" s="4">
        <v>0.29930555555555555</v>
      </c>
      <c r="C11352" s="5" t="s">
        <v>40</v>
      </c>
      <c r="D11352" s="5" t="s">
        <v>1612</v>
      </c>
      <c r="E11352" s="6" t="s">
        <v>247</v>
      </c>
      <c r="F11352" s="5" t="s">
        <v>387</v>
      </c>
      <c r="G11352" s="6" t="str">
        <f>VLOOKUP(E11352,dicionario!$A$1:$C11751,2,0)</f>
        <v>Emilia sonchifolia</v>
      </c>
      <c r="H11352" s="6" t="str">
        <f>VLOOKUP(E11352,dicionario!$A$1:$C11751,3,0)</f>
        <v>serralinha</v>
      </c>
    </row>
    <row r="11353">
      <c r="A11353" s="49">
        <v>45842.0</v>
      </c>
      <c r="B11353" s="4">
        <v>0.29930555555555555</v>
      </c>
      <c r="C11353" s="5" t="s">
        <v>40</v>
      </c>
      <c r="D11353" s="5" t="s">
        <v>1612</v>
      </c>
      <c r="E11353" s="8" t="s">
        <v>1087</v>
      </c>
      <c r="F11353" s="5" t="s">
        <v>1088</v>
      </c>
      <c r="G11353" s="6" t="str">
        <f>VLOOKUP(E11353,dicionario!$A$1:$C11752,2,0)</f>
        <v>Desmodium triflorum</v>
      </c>
      <c r="H11353" s="6" t="str">
        <f>VLOOKUP(E11353,dicionario!$A$1:$C11752,3,0)</f>
        <v/>
      </c>
    </row>
    <row r="11354">
      <c r="A11354" s="49">
        <v>45842.0</v>
      </c>
      <c r="B11354" s="4">
        <v>0.3</v>
      </c>
      <c r="C11354" s="5" t="s">
        <v>40</v>
      </c>
      <c r="D11354" s="5" t="s">
        <v>1612</v>
      </c>
      <c r="E11354" s="8" t="s">
        <v>732</v>
      </c>
      <c r="F11354" s="5"/>
      <c r="G11354" s="6" t="str">
        <f>VLOOKUP(E11354,dicionario!$A$1:$C11753,2,0)</f>
        <v>#N/A</v>
      </c>
      <c r="H11354" s="6" t="str">
        <f>VLOOKUP(E11354,dicionario!$A$1:$C11753,3,0)</f>
        <v>#N/A</v>
      </c>
    </row>
    <row r="11355">
      <c r="A11355" s="49">
        <v>45842.0</v>
      </c>
      <c r="B11355" s="4">
        <v>0.3</v>
      </c>
      <c r="C11355" s="5" t="s">
        <v>40</v>
      </c>
      <c r="D11355" s="5" t="s">
        <v>1612</v>
      </c>
      <c r="E11355" s="6" t="s">
        <v>93</v>
      </c>
      <c r="F11355" s="5" t="s">
        <v>73</v>
      </c>
      <c r="G11355" s="6" t="str">
        <f>VLOOKUP(E11355,dicionario!$A$1:$C11754,2,0)</f>
        <v>Thraupis sayaca</v>
      </c>
      <c r="H11355" s="6" t="str">
        <f>VLOOKUP(E11355,dicionario!$A$1:$C11754,3,0)</f>
        <v>sanhaçu-cinzento</v>
      </c>
    </row>
    <row r="11356">
      <c r="A11356" s="49">
        <v>45842.0</v>
      </c>
      <c r="B11356" s="4">
        <v>0.3</v>
      </c>
      <c r="C11356" s="5" t="s">
        <v>40</v>
      </c>
      <c r="D11356" s="5" t="s">
        <v>1612</v>
      </c>
      <c r="E11356" s="6" t="s">
        <v>489</v>
      </c>
      <c r="F11356" s="5" t="s">
        <v>521</v>
      </c>
      <c r="G11356" s="6" t="str">
        <f>VLOOKUP(E11356,dicionario!$A$1:$C11755,2,0)</f>
        <v>Cenchrus echinatus</v>
      </c>
      <c r="H11356" s="6" t="str">
        <f>VLOOKUP(E11356,dicionario!$A$1:$C11755,3,0)</f>
        <v>capim-carrapicho</v>
      </c>
    </row>
    <row r="11357">
      <c r="A11357" s="49">
        <v>45842.0</v>
      </c>
      <c r="B11357" s="4">
        <v>0.3</v>
      </c>
      <c r="C11357" s="5" t="s">
        <v>40</v>
      </c>
      <c r="D11357" s="5" t="s">
        <v>1612</v>
      </c>
      <c r="E11357" s="6" t="s">
        <v>296</v>
      </c>
      <c r="F11357" s="5" t="s">
        <v>297</v>
      </c>
      <c r="G11357" s="6" t="str">
        <f>VLOOKUP(E11357,dicionario!$A$1:$C11756,2,0)</f>
        <v>Richardia brasiliensis</v>
      </c>
      <c r="H11357" s="6" t="str">
        <f>VLOOKUP(E11357,dicionario!$A$1:$C11756,3,0)</f>
        <v>poaia-branca</v>
      </c>
    </row>
    <row r="11358">
      <c r="A11358" s="49">
        <v>45842.0</v>
      </c>
      <c r="B11358" s="4">
        <v>0.3</v>
      </c>
      <c r="C11358" s="5" t="s">
        <v>40</v>
      </c>
      <c r="D11358" s="5" t="s">
        <v>1612</v>
      </c>
      <c r="E11358" s="6" t="s">
        <v>467</v>
      </c>
      <c r="F11358" s="5" t="s">
        <v>468</v>
      </c>
      <c r="G11358" s="6" t="str">
        <f>VLOOKUP(E11358,dicionario!$A$1:$C11757,2,0)</f>
        <v>Eleusine indica</v>
      </c>
      <c r="H11358" s="6" t="str">
        <f>VLOOKUP(E11358,dicionario!$A$1:$C11757,3,0)</f>
        <v>capim-pé-de-galinha</v>
      </c>
    </row>
    <row r="11359">
      <c r="A11359" s="49">
        <v>45842.0</v>
      </c>
      <c r="B11359" s="4">
        <v>0.3</v>
      </c>
      <c r="C11359" s="5" t="s">
        <v>40</v>
      </c>
      <c r="D11359" s="5" t="s">
        <v>1612</v>
      </c>
      <c r="E11359" s="6" t="s">
        <v>366</v>
      </c>
      <c r="F11359" s="5" t="s">
        <v>367</v>
      </c>
      <c r="G11359" s="6" t="str">
        <f>VLOOKUP(E11359,dicionario!$A$1:$C11758,2,0)</f>
        <v>Alternanthera ficoidea</v>
      </c>
      <c r="H11359" s="6" t="str">
        <f>VLOOKUP(E11359,dicionario!$A$1:$C11758,3,0)</f>
        <v>quebra-panela</v>
      </c>
    </row>
    <row r="11360">
      <c r="A11360" s="49">
        <v>45842.0</v>
      </c>
      <c r="B11360" s="4">
        <v>0.30069444444444443</v>
      </c>
      <c r="C11360" s="5" t="s">
        <v>40</v>
      </c>
      <c r="D11360" s="5" t="s">
        <v>1612</v>
      </c>
      <c r="E11360" s="6" t="s">
        <v>141</v>
      </c>
      <c r="F11360" s="5" t="s">
        <v>142</v>
      </c>
      <c r="G11360" s="6" t="str">
        <f>VLOOKUP(E11360,dicionario!$A$1:$C11759,2,0)</f>
        <v>Ruellia blechum</v>
      </c>
      <c r="H11360" s="6" t="str">
        <f>VLOOKUP(E11360,dicionario!$A$1:$C11759,3,0)</f>
        <v>camarão-verde</v>
      </c>
    </row>
    <row r="11361">
      <c r="A11361" s="49">
        <v>45842.0</v>
      </c>
      <c r="B11361" s="4">
        <v>0.3013888888888889</v>
      </c>
      <c r="C11361" s="5" t="s">
        <v>40</v>
      </c>
      <c r="D11361" s="5" t="s">
        <v>1612</v>
      </c>
      <c r="E11361" s="8" t="s">
        <v>954</v>
      </c>
      <c r="F11361" s="5" t="s">
        <v>1614</v>
      </c>
      <c r="G11361" s="6" t="str">
        <f>VLOOKUP(E11361,dicionario!$A$1:$C11760,2,0)</f>
        <v>Euphorbia</v>
      </c>
      <c r="H11361" s="6" t="str">
        <f>VLOOKUP(E11361,dicionario!$A$1:$C11760,3,0)</f>
        <v/>
      </c>
    </row>
    <row r="11362">
      <c r="A11362" s="49">
        <v>45842.0</v>
      </c>
      <c r="B11362" s="4">
        <v>0.3013888888888889</v>
      </c>
      <c r="C11362" s="5" t="s">
        <v>40</v>
      </c>
      <c r="D11362" s="5" t="s">
        <v>1612</v>
      </c>
      <c r="E11362" s="29" t="s">
        <v>566</v>
      </c>
      <c r="F11362" s="5" t="s">
        <v>567</v>
      </c>
      <c r="G11362" s="6" t="str">
        <f>VLOOKUP(E11362,dicionario!$A$1:$C11761,2,0)</f>
        <v>Baccharis dracunculifolia</v>
      </c>
      <c r="H11362" s="6" t="str">
        <f>VLOOKUP(E11362,dicionario!$A$1:$C11761,3,0)</f>
        <v>vassoura</v>
      </c>
    </row>
    <row r="11363">
      <c r="A11363" s="49">
        <v>45842.0</v>
      </c>
      <c r="B11363" s="4">
        <v>0.3013888888888889</v>
      </c>
      <c r="C11363" s="5" t="s">
        <v>40</v>
      </c>
      <c r="D11363" s="5" t="s">
        <v>1612</v>
      </c>
      <c r="E11363" s="8" t="s">
        <v>20</v>
      </c>
      <c r="F11363" s="5" t="s">
        <v>21</v>
      </c>
      <c r="G11363" s="6" t="str">
        <f>VLOOKUP(E11363,dicionario!$A$1:$C11762,2,0)</f>
        <v>Sicalis flaveola</v>
      </c>
      <c r="H11363" s="6" t="str">
        <f>VLOOKUP(E11363,dicionario!$A$1:$C11762,3,0)</f>
        <v>canário-da-terra</v>
      </c>
    </row>
    <row r="11364">
      <c r="A11364" s="49">
        <v>45842.0</v>
      </c>
      <c r="B11364" s="4">
        <v>0.3013888888888889</v>
      </c>
      <c r="C11364" s="5" t="s">
        <v>40</v>
      </c>
      <c r="D11364" s="5" t="s">
        <v>1612</v>
      </c>
      <c r="E11364" s="6" t="s">
        <v>171</v>
      </c>
      <c r="F11364" s="5" t="s">
        <v>172</v>
      </c>
      <c r="G11364" s="6" t="str">
        <f>VLOOKUP(E11364,dicionario!$A$1:$C11763,2,0)</f>
        <v>Oxalis corniculata</v>
      </c>
      <c r="H11364" s="6" t="str">
        <f>VLOOKUP(E11364,dicionario!$A$1:$C11763,3,0)</f>
        <v>trevo-azedinho</v>
      </c>
    </row>
    <row r="11365">
      <c r="A11365" s="49">
        <v>45842.0</v>
      </c>
      <c r="B11365" s="4">
        <v>0.3013888888888889</v>
      </c>
      <c r="C11365" s="5" t="s">
        <v>40</v>
      </c>
      <c r="D11365" s="5" t="s">
        <v>1612</v>
      </c>
      <c r="E11365" s="8" t="s">
        <v>88</v>
      </c>
      <c r="F11365" s="5" t="s">
        <v>89</v>
      </c>
      <c r="G11365" s="6" t="str">
        <f>VLOOKUP(E11365,dicionario!$A$1:$C11764,2,0)</f>
        <v>Tyrannus melancolichus</v>
      </c>
      <c r="H11365" s="6" t="str">
        <f>VLOOKUP(E11365,dicionario!$A$1:$C11764,3,0)</f>
        <v>suiriri</v>
      </c>
    </row>
    <row r="11366">
      <c r="A11366" s="49">
        <v>45842.0</v>
      </c>
      <c r="B11366" s="4">
        <v>0.3020833333333333</v>
      </c>
      <c r="C11366" s="5" t="s">
        <v>40</v>
      </c>
      <c r="D11366" s="5" t="s">
        <v>1612</v>
      </c>
      <c r="E11366" s="8" t="s">
        <v>517</v>
      </c>
      <c r="F11366" s="5" t="s">
        <v>1446</v>
      </c>
      <c r="G11366" s="6" t="str">
        <f>VLOOKUP(E11366,dicionario!$A$1:$C11765,2,0)</f>
        <v>Evolvulus nummularius</v>
      </c>
      <c r="H11366" s="6" t="str">
        <f>VLOOKUP(E11366,dicionario!$A$1:$C11765,3,0)</f>
        <v/>
      </c>
    </row>
    <row r="11367">
      <c r="A11367" s="49">
        <v>45842.0</v>
      </c>
      <c r="B11367" s="4">
        <v>0.3020833333333333</v>
      </c>
      <c r="C11367" s="5" t="s">
        <v>40</v>
      </c>
      <c r="D11367" s="5" t="s">
        <v>1612</v>
      </c>
      <c r="E11367" s="6" t="s">
        <v>253</v>
      </c>
      <c r="F11367" s="5" t="s">
        <v>254</v>
      </c>
      <c r="G11367" s="6" t="str">
        <f>VLOOKUP(E11367,dicionario!$A$1:$C11766,2,0)</f>
        <v>Panicum maximum</v>
      </c>
      <c r="H11367" s="6" t="str">
        <f>VLOOKUP(E11367,dicionario!$A$1:$C11766,3,0)</f>
        <v>capim-colonião</v>
      </c>
    </row>
    <row r="11368">
      <c r="A11368" s="49">
        <v>45842.0</v>
      </c>
      <c r="B11368" s="4">
        <v>0.3020833333333333</v>
      </c>
      <c r="C11368" s="5" t="s">
        <v>40</v>
      </c>
      <c r="D11368" s="5" t="s">
        <v>1612</v>
      </c>
      <c r="E11368" s="8" t="s">
        <v>38</v>
      </c>
      <c r="F11368" s="5" t="s">
        <v>1251</v>
      </c>
      <c r="G11368" s="6" t="str">
        <f>VLOOKUP(E11368,dicionario!$A$1:$C11767,2,0)</f>
        <v>Troglodytes musculus</v>
      </c>
      <c r="H11368" s="6" t="str">
        <f>VLOOKUP(E11368,dicionario!$A$1:$C11767,3,0)</f>
        <v>curruíra</v>
      </c>
    </row>
    <row r="11369">
      <c r="A11369" s="49">
        <v>45842.0</v>
      </c>
      <c r="B11369" s="4">
        <v>0.3034722222222222</v>
      </c>
      <c r="C11369" s="5" t="s">
        <v>40</v>
      </c>
      <c r="D11369" s="5" t="s">
        <v>1612</v>
      </c>
      <c r="E11369" s="6" t="s">
        <v>65</v>
      </c>
      <c r="F11369" s="5" t="s">
        <v>66</v>
      </c>
      <c r="G11369" s="6" t="str">
        <f>VLOOKUP(E11369,dicionario!$A$1:$C11768,2,0)</f>
        <v>Pitangus sulphutarus</v>
      </c>
      <c r="H11369" s="6" t="str">
        <f>VLOOKUP(E11369,dicionario!$A$1:$C11768,3,0)</f>
        <v>bem-te-vi</v>
      </c>
    </row>
    <row r="11370">
      <c r="A11370" s="49">
        <v>45842.0</v>
      </c>
      <c r="B11370" s="4">
        <v>0.30416666666666664</v>
      </c>
      <c r="C11370" s="5" t="s">
        <v>40</v>
      </c>
      <c r="D11370" s="5" t="s">
        <v>1612</v>
      </c>
      <c r="E11370" s="6" t="s">
        <v>14</v>
      </c>
      <c r="F11370" s="5" t="s">
        <v>15</v>
      </c>
      <c r="G11370" s="6" t="str">
        <f>VLOOKUP(E11370,dicionario!$A$1:$C11769,2,0)</f>
        <v>Spermacoce verticillata</v>
      </c>
      <c r="H11370" s="6" t="str">
        <f>VLOOKUP(E11370,dicionario!$A$1:$C11769,3,0)</f>
        <v>vassourinha-de-botão</v>
      </c>
    </row>
    <row r="11371">
      <c r="A11371" s="49">
        <v>45842.0</v>
      </c>
      <c r="B11371" s="4">
        <v>0.30486111111111114</v>
      </c>
      <c r="C11371" s="5" t="s">
        <v>40</v>
      </c>
      <c r="D11371" s="5" t="s">
        <v>1612</v>
      </c>
      <c r="E11371" s="8" t="s">
        <v>109</v>
      </c>
      <c r="F11371" s="5" t="s">
        <v>110</v>
      </c>
      <c r="G11371" s="6" t="str">
        <f>VLOOKUP(E11371,dicionario!$A$1:$C11770,2,0)</f>
        <v>Tillandsia stricta</v>
      </c>
      <c r="H11371" s="6" t="str">
        <f>VLOOKUP(E11371,dicionario!$A$1:$C11770,3,0)</f>
        <v>cravo-do-mato</v>
      </c>
    </row>
    <row r="11372">
      <c r="A11372" s="49">
        <v>45842.0</v>
      </c>
      <c r="B11372" s="4">
        <v>0.3055555555555556</v>
      </c>
      <c r="C11372" s="5" t="s">
        <v>40</v>
      </c>
      <c r="D11372" s="5" t="s">
        <v>1612</v>
      </c>
      <c r="E11372" s="6" t="s">
        <v>163</v>
      </c>
      <c r="F11372" s="5" t="s">
        <v>164</v>
      </c>
      <c r="G11372" s="6" t="str">
        <f>VLOOKUP(E11372,dicionario!$A$1:$C11771,2,0)</f>
        <v>Coragyps atratus</v>
      </c>
      <c r="H11372" s="6" t="str">
        <f>VLOOKUP(E11372,dicionario!$A$1:$C11771,3,0)</f>
        <v>urubu-de-cabeça-preta</v>
      </c>
    </row>
    <row r="11373">
      <c r="A11373" s="49">
        <v>45842.0</v>
      </c>
      <c r="B11373" s="4">
        <v>0.3055555555555556</v>
      </c>
      <c r="C11373" s="5" t="s">
        <v>40</v>
      </c>
      <c r="D11373" s="5" t="s">
        <v>1612</v>
      </c>
      <c r="E11373" s="6" t="s">
        <v>334</v>
      </c>
      <c r="F11373" s="5" t="s">
        <v>335</v>
      </c>
      <c r="G11373" s="6" t="str">
        <f>VLOOKUP(E11373,dicionario!$A$1:$C11772,2,0)</f>
        <v>Eupsittula aurea</v>
      </c>
      <c r="H11373" s="6" t="str">
        <f>VLOOKUP(E11373,dicionario!$A$1:$C11772,3,0)</f>
        <v>periquito-rei</v>
      </c>
    </row>
    <row r="11374">
      <c r="A11374" s="49">
        <v>45842.0</v>
      </c>
      <c r="B11374" s="4">
        <v>0.3055555555555556</v>
      </c>
      <c r="C11374" s="5" t="s">
        <v>40</v>
      </c>
      <c r="D11374" s="5" t="s">
        <v>1612</v>
      </c>
      <c r="E11374" s="8" t="s">
        <v>938</v>
      </c>
      <c r="F11374" s="5" t="s">
        <v>737</v>
      </c>
      <c r="G11374" s="6" t="str">
        <f>VLOOKUP(E11374,dicionario!$A$1:$C11773,2,0)</f>
        <v>Chloris barbata</v>
      </c>
      <c r="H11374" s="6" t="str">
        <f>VLOOKUP(E11374,dicionario!$A$1:$C11773,3,0)</f>
        <v/>
      </c>
    </row>
    <row r="11375">
      <c r="A11375" s="49">
        <v>45842.0</v>
      </c>
      <c r="B11375" s="4">
        <v>0.3104166666666667</v>
      </c>
      <c r="C11375" s="5" t="s">
        <v>50</v>
      </c>
      <c r="D11375" s="5" t="s">
        <v>1612</v>
      </c>
      <c r="E11375" s="6" t="s">
        <v>209</v>
      </c>
      <c r="F11375" s="5" t="s">
        <v>210</v>
      </c>
      <c r="G11375" s="6" t="str">
        <f>VLOOKUP(E11375,dicionario!$A$1:$C11774,2,0)</f>
        <v>Furnarius figulus</v>
      </c>
      <c r="H11375" s="6" t="str">
        <f>VLOOKUP(E11375,dicionario!$A$1:$C11774,3,0)</f>
        <v>casaca-de-couro-da-lama</v>
      </c>
    </row>
    <row r="11376">
      <c r="A11376" s="49">
        <v>45842.0</v>
      </c>
      <c r="B11376" s="4">
        <v>0.3104166666666667</v>
      </c>
      <c r="C11376" s="5" t="s">
        <v>50</v>
      </c>
      <c r="D11376" s="5" t="s">
        <v>1612</v>
      </c>
      <c r="E11376" s="6" t="s">
        <v>93</v>
      </c>
      <c r="F11376" s="5" t="s">
        <v>73</v>
      </c>
      <c r="G11376" s="6" t="str">
        <f>VLOOKUP(E11376,dicionario!$A$1:$C11775,2,0)</f>
        <v>Thraupis sayaca</v>
      </c>
      <c r="H11376" s="6" t="str">
        <f>VLOOKUP(E11376,dicionario!$A$1:$C11775,3,0)</f>
        <v>sanhaçu-cinzento</v>
      </c>
    </row>
    <row r="11377">
      <c r="A11377" s="49">
        <v>45842.0</v>
      </c>
      <c r="B11377" s="4">
        <v>0.3104166666666667</v>
      </c>
      <c r="C11377" s="5" t="s">
        <v>50</v>
      </c>
      <c r="D11377" s="5" t="s">
        <v>1612</v>
      </c>
      <c r="E11377" s="6" t="s">
        <v>251</v>
      </c>
      <c r="F11377" s="5" t="s">
        <v>252</v>
      </c>
      <c r="G11377" s="6" t="str">
        <f>VLOOKUP(E11377,dicionario!$A$1:$C11776,2,0)</f>
        <v>Struthanthus flexicaulis</v>
      </c>
      <c r="H11377" s="6" t="str">
        <f>VLOOKUP(E11377,dicionario!$A$1:$C11776,3,0)</f>
        <v>erva-de-passarinho</v>
      </c>
    </row>
    <row r="11378">
      <c r="A11378" s="49">
        <v>45842.0</v>
      </c>
      <c r="B11378" s="4">
        <v>0.3111111111111111</v>
      </c>
      <c r="C11378" s="5" t="s">
        <v>50</v>
      </c>
      <c r="D11378" s="5" t="s">
        <v>1612</v>
      </c>
      <c r="E11378" s="6" t="s">
        <v>65</v>
      </c>
      <c r="F11378" s="5" t="s">
        <v>66</v>
      </c>
      <c r="G11378" s="6" t="str">
        <f>VLOOKUP(E11378,dicionario!$A$1:$C11777,2,0)</f>
        <v>Pitangus sulphutarus</v>
      </c>
      <c r="H11378" s="6" t="str">
        <f>VLOOKUP(E11378,dicionario!$A$1:$C11777,3,0)</f>
        <v>bem-te-vi</v>
      </c>
    </row>
    <row r="11379">
      <c r="A11379" s="49">
        <v>45842.0</v>
      </c>
      <c r="B11379" s="4">
        <v>0.3111111111111111</v>
      </c>
      <c r="C11379" s="5" t="s">
        <v>50</v>
      </c>
      <c r="D11379" s="5" t="s">
        <v>1612</v>
      </c>
      <c r="E11379" s="8" t="s">
        <v>1549</v>
      </c>
      <c r="F11379" s="5" t="s">
        <v>238</v>
      </c>
      <c r="G11379" s="6" t="str">
        <f>VLOOKUP(E11379,dicionario!$A$1:$C11778,2,0)</f>
        <v>Atta</v>
      </c>
      <c r="H11379" s="6" t="str">
        <f>VLOOKUP(E11379,dicionario!$A$1:$C11778,3,0)</f>
        <v>saúva</v>
      </c>
    </row>
    <row r="11380">
      <c r="A11380" s="49">
        <v>45842.0</v>
      </c>
      <c r="B11380" s="4">
        <v>0.3111111111111111</v>
      </c>
      <c r="C11380" s="5" t="s">
        <v>50</v>
      </c>
      <c r="D11380" s="5" t="s">
        <v>1612</v>
      </c>
      <c r="E11380" s="6" t="s">
        <v>193</v>
      </c>
      <c r="F11380" s="5" t="s">
        <v>194</v>
      </c>
      <c r="G11380" s="6" t="str">
        <f>VLOOKUP(E11380,dicionario!$A$1:$C11779,2,0)</f>
        <v>Conirostrum speciosum</v>
      </c>
      <c r="H11380" s="6" t="str">
        <f>VLOOKUP(E11380,dicionario!$A$1:$C11779,3,0)</f>
        <v>figuinha-de-rabo-castanho</v>
      </c>
    </row>
    <row r="11381">
      <c r="A11381" s="49">
        <v>45842.0</v>
      </c>
      <c r="B11381" s="4">
        <v>0.31180555555555556</v>
      </c>
      <c r="C11381" s="5" t="s">
        <v>50</v>
      </c>
      <c r="D11381" s="5" t="s">
        <v>1612</v>
      </c>
      <c r="E11381" s="8" t="s">
        <v>109</v>
      </c>
      <c r="F11381" s="5" t="s">
        <v>110</v>
      </c>
      <c r="G11381" s="6" t="str">
        <f>VLOOKUP(E11381,dicionario!$A$1:$C11780,2,0)</f>
        <v>Tillandsia stricta</v>
      </c>
      <c r="H11381" s="6" t="str">
        <f>VLOOKUP(E11381,dicionario!$A$1:$C11780,3,0)</f>
        <v>cravo-do-mato</v>
      </c>
    </row>
    <row r="11382">
      <c r="A11382" s="49">
        <v>45842.0</v>
      </c>
      <c r="B11382" s="4">
        <v>0.31180555555555556</v>
      </c>
      <c r="C11382" s="5" t="s">
        <v>50</v>
      </c>
      <c r="D11382" s="5" t="s">
        <v>1612</v>
      </c>
      <c r="E11382" s="8" t="s">
        <v>122</v>
      </c>
      <c r="F11382" s="5" t="s">
        <v>1615</v>
      </c>
      <c r="G11382" s="6" t="str">
        <f>VLOOKUP(E11382,dicionario!$A$1:$C11781,2,0)</f>
        <v>Todirostrum cinereum</v>
      </c>
      <c r="H11382" s="6" t="str">
        <f>VLOOKUP(E11382,dicionario!$A$1:$C11781,3,0)</f>
        <v>ferreirinho-relógio</v>
      </c>
    </row>
    <row r="11383">
      <c r="A11383" s="49">
        <v>45842.0</v>
      </c>
      <c r="B11383" s="4">
        <v>0.31180555555555556</v>
      </c>
      <c r="C11383" s="5" t="s">
        <v>50</v>
      </c>
      <c r="D11383" s="5" t="s">
        <v>1612</v>
      </c>
      <c r="E11383" s="6" t="s">
        <v>213</v>
      </c>
      <c r="F11383" s="5" t="s">
        <v>214</v>
      </c>
      <c r="G11383" s="6" t="str">
        <f>VLOOKUP(E11383,dicionario!$A$1:$C11782,2,0)</f>
        <v>Myiozetetes similis</v>
      </c>
      <c r="H11383" s="6" t="str">
        <f>VLOOKUP(E11383,dicionario!$A$1:$C11782,3,0)</f>
        <v>bentevizinho-de-penacho-vermelho</v>
      </c>
    </row>
    <row r="11384">
      <c r="A11384" s="49">
        <v>45842.0</v>
      </c>
      <c r="B11384" s="4">
        <v>0.3125</v>
      </c>
      <c r="C11384" s="5" t="s">
        <v>50</v>
      </c>
      <c r="D11384" s="5" t="s">
        <v>1612</v>
      </c>
      <c r="E11384" s="6" t="s">
        <v>148</v>
      </c>
      <c r="F11384" s="5" t="s">
        <v>149</v>
      </c>
      <c r="G11384" s="6" t="str">
        <f>VLOOKUP(E11384,dicionario!$A$1:$C11783,2,0)</f>
        <v>Parthenium hysterophorus</v>
      </c>
      <c r="H11384" s="6" t="str">
        <f>VLOOKUP(E11384,dicionario!$A$1:$C11783,3,0)</f>
        <v>losna-branca</v>
      </c>
    </row>
    <row r="11385">
      <c r="A11385" s="49">
        <v>45842.0</v>
      </c>
      <c r="B11385" s="4">
        <v>0.3125</v>
      </c>
      <c r="C11385" s="5" t="s">
        <v>50</v>
      </c>
      <c r="D11385" s="5" t="s">
        <v>1612</v>
      </c>
      <c r="E11385" s="8" t="s">
        <v>298</v>
      </c>
      <c r="F11385" s="5"/>
      <c r="G11385" s="6" t="str">
        <f>VLOOKUP(E11385,dicionario!$A$1:$C11784,2,0)</f>
        <v>Alysicarpus vaginalis</v>
      </c>
      <c r="H11385" s="6" t="str">
        <f>VLOOKUP(E11385,dicionario!$A$1:$C11784,3,0)</f>
        <v/>
      </c>
    </row>
    <row r="11386">
      <c r="A11386" s="49">
        <v>45842.0</v>
      </c>
      <c r="B11386" s="4">
        <v>0.3125</v>
      </c>
      <c r="C11386" s="5" t="s">
        <v>50</v>
      </c>
      <c r="D11386" s="5" t="s">
        <v>1612</v>
      </c>
      <c r="E11386" s="29" t="s">
        <v>566</v>
      </c>
      <c r="F11386" s="5" t="s">
        <v>567</v>
      </c>
      <c r="G11386" s="6" t="str">
        <f>VLOOKUP(E11386,dicionario!$A$1:$C11785,2,0)</f>
        <v>Baccharis dracunculifolia</v>
      </c>
      <c r="H11386" s="6" t="str">
        <f>VLOOKUP(E11386,dicionario!$A$1:$C11785,3,0)</f>
        <v>vassoura</v>
      </c>
    </row>
    <row r="11387">
      <c r="A11387" s="49">
        <v>45842.0</v>
      </c>
      <c r="B11387" s="4">
        <v>0.3125</v>
      </c>
      <c r="C11387" s="5" t="s">
        <v>50</v>
      </c>
      <c r="D11387" s="5" t="s">
        <v>1612</v>
      </c>
      <c r="E11387" s="6" t="s">
        <v>48</v>
      </c>
      <c r="F11387" s="5" t="s">
        <v>49</v>
      </c>
      <c r="G11387" s="6" t="str">
        <f>VLOOKUP(E11387,dicionario!$A$1:$C11786,2,0)</f>
        <v>Commelina erecta</v>
      </c>
      <c r="H11387" s="6" t="str">
        <f>VLOOKUP(E11387,dicionario!$A$1:$C11786,3,0)</f>
        <v>trapoeraba</v>
      </c>
    </row>
    <row r="11388">
      <c r="A11388" s="49">
        <v>45842.0</v>
      </c>
      <c r="B11388" s="4">
        <v>0.31319444444444444</v>
      </c>
      <c r="C11388" s="5" t="s">
        <v>50</v>
      </c>
      <c r="D11388" s="5" t="s">
        <v>1612</v>
      </c>
      <c r="E11388" s="8" t="s">
        <v>69</v>
      </c>
      <c r="F11388" s="5" t="s">
        <v>1246</v>
      </c>
      <c r="G11388" s="6" t="str">
        <f>VLOOKUP(E11388,dicionario!$A$1:$C11787,2,0)</f>
        <v>Talinum fruticosum</v>
      </c>
      <c r="H11388" s="6" t="str">
        <f>VLOOKUP(E11388,dicionario!$A$1:$C11787,3,0)</f>
        <v>beldroega-grande</v>
      </c>
    </row>
    <row r="11389">
      <c r="A11389" s="49">
        <v>45842.0</v>
      </c>
      <c r="B11389" s="4">
        <v>0.31319444444444444</v>
      </c>
      <c r="C11389" s="5" t="s">
        <v>50</v>
      </c>
      <c r="D11389" s="5" t="s">
        <v>1612</v>
      </c>
      <c r="E11389" s="8" t="s">
        <v>719</v>
      </c>
      <c r="F11389" s="5" t="s">
        <v>983</v>
      </c>
      <c r="G11389" s="6" t="str">
        <f>VLOOKUP(E11389,dicionario!$A$1:$C11788,2,0)</f>
        <v>Dirinaria</v>
      </c>
      <c r="H11389" s="6" t="str">
        <f>VLOOKUP(E11389,dicionario!$A$1:$C11788,3,0)</f>
        <v>líquen-crostoso</v>
      </c>
    </row>
    <row r="11390">
      <c r="A11390" s="49">
        <v>45842.0</v>
      </c>
      <c r="B11390" s="4">
        <v>0.31319444444444444</v>
      </c>
      <c r="C11390" s="5" t="s">
        <v>50</v>
      </c>
      <c r="D11390" s="5" t="s">
        <v>1612</v>
      </c>
      <c r="E11390" s="6" t="s">
        <v>191</v>
      </c>
      <c r="F11390" s="5" t="s">
        <v>192</v>
      </c>
      <c r="G11390" s="6" t="str">
        <f>VLOOKUP(E11390,dicionario!$A$1:$C11789,2,0)</f>
        <v>Patagioenas picazuro</v>
      </c>
      <c r="H11390" s="6" t="str">
        <f>VLOOKUP(E11390,dicionario!$A$1:$C11789,3,0)</f>
        <v>asa-branca; pomba-asa-branca; pocaçu</v>
      </c>
    </row>
    <row r="11391">
      <c r="A11391" s="49">
        <v>45842.0</v>
      </c>
      <c r="B11391" s="4">
        <v>0.31527777777777777</v>
      </c>
      <c r="C11391" s="5" t="s">
        <v>50</v>
      </c>
      <c r="D11391" s="5" t="s">
        <v>1612</v>
      </c>
      <c r="E11391" s="8" t="s">
        <v>1354</v>
      </c>
      <c r="F11391" s="5" t="s">
        <v>56</v>
      </c>
      <c r="G11391" s="6" t="str">
        <f>VLOOKUP(E11391,dicionario!$A$1:$C11790,2,0)</f>
        <v>#N/A</v>
      </c>
      <c r="H11391" s="6" t="str">
        <f>VLOOKUP(E11391,dicionario!$A$1:$C11790,3,0)</f>
        <v>#N/A</v>
      </c>
    </row>
    <row r="11392">
      <c r="A11392" s="49">
        <v>45842.0</v>
      </c>
      <c r="B11392" s="4">
        <v>0.31666666666666665</v>
      </c>
      <c r="C11392" s="5" t="s">
        <v>50</v>
      </c>
      <c r="D11392" s="5" t="s">
        <v>1612</v>
      </c>
      <c r="E11392" s="8" t="s">
        <v>16</v>
      </c>
      <c r="F11392" s="5" t="s">
        <v>17</v>
      </c>
      <c r="G11392" s="6" t="str">
        <f>VLOOKUP(E11392,dicionario!$A$1:$C11791,2,0)</f>
        <v>Eupetomena macroura</v>
      </c>
      <c r="H11392" s="6" t="str">
        <f>VLOOKUP(E11392,dicionario!$A$1:$C11791,3,0)</f>
        <v>beija-flor-tesoura</v>
      </c>
    </row>
    <row r="11393">
      <c r="A11393" s="49">
        <v>45842.0</v>
      </c>
      <c r="B11393" s="4">
        <v>0.31666666666666665</v>
      </c>
      <c r="C11393" s="5" t="s">
        <v>50</v>
      </c>
      <c r="D11393" s="5" t="s">
        <v>1612</v>
      </c>
      <c r="E11393" s="6" t="s">
        <v>111</v>
      </c>
      <c r="F11393" s="5" t="s">
        <v>112</v>
      </c>
      <c r="G11393" s="6" t="str">
        <f>VLOOKUP(E11393,dicionario!$A$1:$C11792,2,0)</f>
        <v>Trigona spinipes</v>
      </c>
      <c r="H11393" s="6" t="str">
        <f>VLOOKUP(E11393,dicionario!$A$1:$C11792,3,0)</f>
        <v>abelha-cachorro</v>
      </c>
    </row>
    <row r="11394">
      <c r="A11394" s="49">
        <v>45842.0</v>
      </c>
      <c r="B11394" s="4">
        <v>0.3173611111111111</v>
      </c>
      <c r="C11394" s="5" t="s">
        <v>59</v>
      </c>
      <c r="D11394" s="5" t="s">
        <v>1612</v>
      </c>
      <c r="E11394" s="8" t="s">
        <v>624</v>
      </c>
      <c r="F11394" s="5" t="s">
        <v>1616</v>
      </c>
      <c r="G11394" s="6" t="str">
        <f>VLOOKUP(E11394,dicionario!$A$1:$C11793,2,0)</f>
        <v>Euphonia violacea</v>
      </c>
      <c r="H11394" s="6" t="str">
        <f>VLOOKUP(E11394,dicionario!$A$1:$C11793,3,0)</f>
        <v>gaturamo-verdadeiro</v>
      </c>
    </row>
    <row r="11395">
      <c r="A11395" s="49">
        <v>45842.0</v>
      </c>
      <c r="B11395" s="4">
        <v>0.3173611111111111</v>
      </c>
      <c r="C11395" s="5" t="s">
        <v>59</v>
      </c>
      <c r="D11395" s="5" t="s">
        <v>1612</v>
      </c>
      <c r="E11395" s="8" t="s">
        <v>20</v>
      </c>
      <c r="F11395" s="5" t="s">
        <v>21</v>
      </c>
      <c r="G11395" s="6" t="str">
        <f>VLOOKUP(E11395,dicionario!$A$1:$C11794,2,0)</f>
        <v>Sicalis flaveola</v>
      </c>
      <c r="H11395" s="6" t="str">
        <f>VLOOKUP(E11395,dicionario!$A$1:$C11794,3,0)</f>
        <v>canário-da-terra</v>
      </c>
    </row>
    <row r="11396">
      <c r="A11396" s="49">
        <v>45842.0</v>
      </c>
      <c r="B11396" s="4">
        <v>0.31805555555555554</v>
      </c>
      <c r="C11396" s="5" t="s">
        <v>59</v>
      </c>
      <c r="D11396" s="5" t="s">
        <v>1612</v>
      </c>
      <c r="E11396" s="6" t="s">
        <v>86</v>
      </c>
      <c r="F11396" s="5" t="s">
        <v>502</v>
      </c>
      <c r="G11396" s="6" t="str">
        <f>VLOOKUP(E11396,dicionario!$A$1:$C11795,2,0)</f>
        <v>Coereba flaveola</v>
      </c>
      <c r="H11396" s="6" t="str">
        <f>VLOOKUP(E11396,dicionario!$A$1:$C11795,3,0)</f>
        <v>cambacica</v>
      </c>
    </row>
    <row r="11397">
      <c r="A11397" s="49">
        <v>45842.0</v>
      </c>
      <c r="B11397" s="4">
        <v>0.31805555555555554</v>
      </c>
      <c r="C11397" s="5" t="s">
        <v>59</v>
      </c>
      <c r="D11397" s="5" t="s">
        <v>1612</v>
      </c>
      <c r="E11397" s="6" t="s">
        <v>213</v>
      </c>
      <c r="F11397" s="5" t="s">
        <v>214</v>
      </c>
      <c r="G11397" s="6" t="str">
        <f>VLOOKUP(E11397,dicionario!$A$1:$C11796,2,0)</f>
        <v>Myiozetetes similis</v>
      </c>
      <c r="H11397" s="6" t="str">
        <f>VLOOKUP(E11397,dicionario!$A$1:$C11796,3,0)</f>
        <v>bentevizinho-de-penacho-vermelho</v>
      </c>
    </row>
    <row r="11398">
      <c r="A11398" s="49">
        <v>45842.0</v>
      </c>
      <c r="B11398" s="4">
        <v>0.31805555555555554</v>
      </c>
      <c r="C11398" s="5" t="s">
        <v>59</v>
      </c>
      <c r="D11398" s="5" t="s">
        <v>1612</v>
      </c>
      <c r="E11398" s="6" t="s">
        <v>191</v>
      </c>
      <c r="F11398" s="5" t="s">
        <v>192</v>
      </c>
      <c r="G11398" s="6" t="str">
        <f>VLOOKUP(E11398,dicionario!$A$1:$C11797,2,0)</f>
        <v>Patagioenas picazuro</v>
      </c>
      <c r="H11398" s="6" t="str">
        <f>VLOOKUP(E11398,dicionario!$A$1:$C11797,3,0)</f>
        <v>asa-branca; pomba-asa-branca; pocaçu</v>
      </c>
    </row>
    <row r="11399">
      <c r="A11399" s="49">
        <v>45842.0</v>
      </c>
      <c r="B11399" s="4">
        <v>0.31805555555555554</v>
      </c>
      <c r="C11399" s="5" t="s">
        <v>59</v>
      </c>
      <c r="D11399" s="5" t="s">
        <v>1612</v>
      </c>
      <c r="E11399" s="6" t="s">
        <v>65</v>
      </c>
      <c r="F11399" s="5" t="s">
        <v>66</v>
      </c>
      <c r="G11399" s="6" t="str">
        <f>VLOOKUP(E11399,dicionario!$A$1:$C11798,2,0)</f>
        <v>Pitangus sulphutarus</v>
      </c>
      <c r="H11399" s="6" t="str">
        <f>VLOOKUP(E11399,dicionario!$A$1:$C11798,3,0)</f>
        <v>bem-te-vi</v>
      </c>
    </row>
    <row r="11400">
      <c r="A11400" s="49">
        <v>45842.0</v>
      </c>
      <c r="B11400" s="4">
        <v>0.31875</v>
      </c>
      <c r="C11400" s="5" t="s">
        <v>59</v>
      </c>
      <c r="D11400" s="5" t="s">
        <v>1612</v>
      </c>
      <c r="E11400" s="8" t="s">
        <v>1127</v>
      </c>
      <c r="F11400" s="5" t="s">
        <v>1286</v>
      </c>
      <c r="G11400" s="6" t="str">
        <f>VLOOKUP(E11400,dicionario!$A$1:$C11799,2,0)</f>
        <v>Albizia lebbeck</v>
      </c>
      <c r="H11400" s="6" t="str">
        <f>VLOOKUP(E11400,dicionario!$A$1:$C11799,3,0)</f>
        <v>albízia</v>
      </c>
    </row>
    <row r="11401">
      <c r="A11401" s="49">
        <v>45842.0</v>
      </c>
      <c r="B11401" s="4">
        <v>0.31875</v>
      </c>
      <c r="C11401" s="5" t="s">
        <v>59</v>
      </c>
      <c r="D11401" s="5" t="s">
        <v>1612</v>
      </c>
      <c r="E11401" s="6" t="s">
        <v>53</v>
      </c>
      <c r="F11401" s="5" t="s">
        <v>54</v>
      </c>
      <c r="G11401" s="6" t="str">
        <f>VLOOKUP(E11401,dicionario!$A$1:$C11800,2,0)</f>
        <v>Turnera subulata</v>
      </c>
      <c r="H11401" s="6" t="str">
        <f>VLOOKUP(E11401,dicionario!$A$1:$C11800,3,0)</f>
        <v>xanana</v>
      </c>
    </row>
    <row r="11402">
      <c r="A11402" s="49">
        <v>45842.0</v>
      </c>
      <c r="B11402" s="4">
        <v>0.31875</v>
      </c>
      <c r="C11402" s="5" t="s">
        <v>59</v>
      </c>
      <c r="D11402" s="5" t="s">
        <v>1612</v>
      </c>
      <c r="E11402" s="8" t="s">
        <v>298</v>
      </c>
      <c r="F11402" s="5"/>
      <c r="G11402" s="6" t="str">
        <f>VLOOKUP(E11402,dicionario!$A$1:$C11801,2,0)</f>
        <v>Alysicarpus vaginalis</v>
      </c>
      <c r="H11402" s="6" t="str">
        <f>VLOOKUP(E11402,dicionario!$A$1:$C11801,3,0)</f>
        <v/>
      </c>
    </row>
    <row r="11403">
      <c r="A11403" s="49">
        <v>45842.0</v>
      </c>
      <c r="B11403" s="4">
        <v>0.31875</v>
      </c>
      <c r="C11403" s="5" t="s">
        <v>59</v>
      </c>
      <c r="D11403" s="5" t="s">
        <v>1612</v>
      </c>
      <c r="E11403" s="8" t="s">
        <v>135</v>
      </c>
      <c r="F11403" s="5" t="s">
        <v>136</v>
      </c>
      <c r="G11403" s="6" t="str">
        <f>VLOOKUP(E11403,dicionario!$A$1:$C11802,2,0)</f>
        <v>Tridax procumbens</v>
      </c>
      <c r="H11403" s="6" t="str">
        <f>VLOOKUP(E11403,dicionario!$A$1:$C11802,3,0)</f>
        <v>erva-de-touro</v>
      </c>
    </row>
    <row r="11404">
      <c r="A11404" s="49">
        <v>45842.0</v>
      </c>
      <c r="B11404" s="4">
        <v>0.31875</v>
      </c>
      <c r="C11404" s="5" t="s">
        <v>59</v>
      </c>
      <c r="D11404" s="5" t="s">
        <v>1612</v>
      </c>
      <c r="E11404" s="8" t="s">
        <v>109</v>
      </c>
      <c r="F11404" s="5" t="s">
        <v>110</v>
      </c>
      <c r="G11404" s="6" t="str">
        <f>VLOOKUP(E11404,dicionario!$A$1:$C11803,2,0)</f>
        <v>Tillandsia stricta</v>
      </c>
      <c r="H11404" s="6" t="str">
        <f>VLOOKUP(E11404,dicionario!$A$1:$C11803,3,0)</f>
        <v>cravo-do-mato</v>
      </c>
    </row>
    <row r="11405">
      <c r="A11405" s="49">
        <v>45842.0</v>
      </c>
      <c r="B11405" s="4">
        <v>0.31875</v>
      </c>
      <c r="C11405" s="5" t="s">
        <v>59</v>
      </c>
      <c r="D11405" s="5" t="s">
        <v>1612</v>
      </c>
      <c r="E11405" s="8" t="s">
        <v>712</v>
      </c>
      <c r="F11405" s="5" t="s">
        <v>718</v>
      </c>
      <c r="G11405" s="6" t="str">
        <f>VLOOKUP(E11405,dicionario!$A$1:$C11804,2,0)</f>
        <v>Flavopunctelia soredica</v>
      </c>
      <c r="H11405" s="6" t="str">
        <f>VLOOKUP(E11405,dicionario!$A$1:$C11804,3,0)</f>
        <v>líquen-folioso</v>
      </c>
    </row>
    <row r="11406">
      <c r="A11406" s="49">
        <v>45842.0</v>
      </c>
      <c r="B11406" s="4">
        <v>0.31875</v>
      </c>
      <c r="C11406" s="5" t="s">
        <v>59</v>
      </c>
      <c r="D11406" s="5" t="s">
        <v>1612</v>
      </c>
      <c r="E11406" s="8" t="s">
        <v>719</v>
      </c>
      <c r="F11406" s="5" t="s">
        <v>720</v>
      </c>
      <c r="G11406" s="6" t="str">
        <f>VLOOKUP(E11406,dicionario!$A$1:$C11805,2,0)</f>
        <v>Dirinaria</v>
      </c>
      <c r="H11406" s="6" t="str">
        <f>VLOOKUP(E11406,dicionario!$A$1:$C11805,3,0)</f>
        <v>líquen-crostoso</v>
      </c>
    </row>
    <row r="11407">
      <c r="A11407" s="49">
        <v>45842.0</v>
      </c>
      <c r="B11407" s="4">
        <v>0.31875</v>
      </c>
      <c r="C11407" s="5" t="s">
        <v>59</v>
      </c>
      <c r="D11407" s="5" t="s">
        <v>1612</v>
      </c>
      <c r="E11407" s="8" t="s">
        <v>1617</v>
      </c>
      <c r="F11407" s="5" t="s">
        <v>108</v>
      </c>
      <c r="G11407" s="6" t="str">
        <f>VLOOKUP(E11407,dicionario!$A$1:$C11806,2,0)</f>
        <v>#N/A</v>
      </c>
      <c r="H11407" s="6" t="str">
        <f>VLOOKUP(E11407,dicionario!$A$1:$C11806,3,0)</f>
        <v>#N/A</v>
      </c>
    </row>
    <row r="11408">
      <c r="A11408" s="49">
        <v>45842.0</v>
      </c>
      <c r="B11408" s="4">
        <v>0.3194444444444444</v>
      </c>
      <c r="C11408" s="5" t="s">
        <v>59</v>
      </c>
      <c r="D11408" s="5" t="s">
        <v>1612</v>
      </c>
      <c r="E11408" s="6" t="s">
        <v>31</v>
      </c>
      <c r="F11408" s="5" t="s">
        <v>32</v>
      </c>
      <c r="G11408" s="6" t="str">
        <f>VLOOKUP(E11408,dicionario!$A$1:$C11807,2,0)</f>
        <v>Furnarius rufus</v>
      </c>
      <c r="H11408" s="6" t="str">
        <f>VLOOKUP(E11408,dicionario!$A$1:$C11807,3,0)</f>
        <v>joão-de-barro</v>
      </c>
    </row>
    <row r="11409">
      <c r="A11409" s="49">
        <v>45842.0</v>
      </c>
      <c r="B11409" s="4">
        <v>0.3194444444444444</v>
      </c>
      <c r="C11409" s="5" t="s">
        <v>59</v>
      </c>
      <c r="D11409" s="5" t="s">
        <v>1612</v>
      </c>
      <c r="E11409" s="8" t="s">
        <v>909</v>
      </c>
      <c r="F11409" s="5" t="s">
        <v>910</v>
      </c>
      <c r="G11409" s="6" t="str">
        <f>VLOOKUP(E11409,dicionario!$A$1:$C11808,2,0)</f>
        <v>Chordeiles acutipennis</v>
      </c>
      <c r="H11409" s="6" t="str">
        <f>VLOOKUP(E11409,dicionario!$A$1:$C11808,3,0)</f>
        <v>bacurau-de-asa-fina</v>
      </c>
    </row>
    <row r="11410">
      <c r="A11410" s="49">
        <v>45842.0</v>
      </c>
      <c r="B11410" s="4">
        <v>0.3194444444444444</v>
      </c>
      <c r="C11410" s="5" t="s">
        <v>59</v>
      </c>
      <c r="D11410" s="5" t="s">
        <v>1612</v>
      </c>
      <c r="E11410" s="8" t="s">
        <v>109</v>
      </c>
      <c r="F11410" s="5" t="s">
        <v>1618</v>
      </c>
      <c r="G11410" s="6" t="str">
        <f>VLOOKUP(E11410,dicionario!$A$1:$C11809,2,0)</f>
        <v>Tillandsia stricta</v>
      </c>
      <c r="H11410" s="6" t="str">
        <f>VLOOKUP(E11410,dicionario!$A$1:$C11809,3,0)</f>
        <v>cravo-do-mato</v>
      </c>
    </row>
    <row r="11411">
      <c r="A11411" s="49">
        <v>45842.0</v>
      </c>
      <c r="B11411" s="4">
        <v>0.3194444444444444</v>
      </c>
      <c r="C11411" s="5" t="s">
        <v>59</v>
      </c>
      <c r="D11411" s="5" t="s">
        <v>1612</v>
      </c>
      <c r="E11411" s="6"/>
      <c r="F11411" s="52" t="s">
        <v>1619</v>
      </c>
      <c r="G11411" s="6" t="str">
        <f>VLOOKUP(E11411,dicionario!$A$1:$C11810,2,0)</f>
        <v>#N/A</v>
      </c>
      <c r="H11411" s="6" t="str">
        <f>VLOOKUP(E11411,dicionario!$A$1:$C11810,3,0)</f>
        <v>#N/A</v>
      </c>
    </row>
    <row r="11412">
      <c r="A11412" s="49">
        <v>45842.0</v>
      </c>
      <c r="B11412" s="4">
        <v>0.32013888888888886</v>
      </c>
      <c r="C11412" s="5" t="s">
        <v>59</v>
      </c>
      <c r="D11412" s="5" t="s">
        <v>1612</v>
      </c>
      <c r="E11412" s="8" t="s">
        <v>648</v>
      </c>
      <c r="F11412" s="5" t="s">
        <v>649</v>
      </c>
      <c r="G11412" s="6" t="str">
        <f>VLOOKUP(E11412,dicionario!$A$1:$C11811,2,0)</f>
        <v>Burnsius orcus</v>
      </c>
      <c r="H11412" s="6" t="str">
        <f>VLOOKUP(E11412,dicionario!$A$1:$C11811,3,0)</f>
        <v/>
      </c>
    </row>
    <row r="11413">
      <c r="A11413" s="49">
        <v>45842.0</v>
      </c>
      <c r="B11413" s="4">
        <v>0.32083333333333336</v>
      </c>
      <c r="C11413" s="5" t="s">
        <v>59</v>
      </c>
      <c r="D11413" s="5" t="s">
        <v>1612</v>
      </c>
      <c r="E11413" s="6" t="s">
        <v>227</v>
      </c>
      <c r="F11413" s="5" t="s">
        <v>228</v>
      </c>
      <c r="G11413" s="6" t="str">
        <f>VLOOKUP(E11413,dicionario!$A$1:$C11812,2,0)</f>
        <v>Indigofera hirsuta</v>
      </c>
      <c r="H11413" s="6" t="str">
        <f>VLOOKUP(E11413,dicionario!$A$1:$C11812,3,0)</f>
        <v>anileira</v>
      </c>
    </row>
    <row r="11414">
      <c r="A11414" s="49">
        <v>45842.0</v>
      </c>
      <c r="B11414" s="4">
        <v>0.32083333333333336</v>
      </c>
      <c r="C11414" s="5" t="s">
        <v>59</v>
      </c>
      <c r="D11414" s="5" t="s">
        <v>1612</v>
      </c>
      <c r="E11414" s="6" t="s">
        <v>682</v>
      </c>
      <c r="F11414" s="5" t="s">
        <v>683</v>
      </c>
      <c r="G11414" s="6" t="str">
        <f>VLOOKUP(E11414,dicionario!$A$1:$C11813,2,0)</f>
        <v>Lagria villosa</v>
      </c>
      <c r="H11414" s="6" t="str">
        <f>VLOOKUP(E11414,dicionario!$A$1:$C11813,3,0)</f>
        <v>bicho-capixaba</v>
      </c>
    </row>
    <row r="11415">
      <c r="A11415" s="49">
        <v>45842.0</v>
      </c>
      <c r="B11415" s="4">
        <v>0.32222222222222224</v>
      </c>
      <c r="C11415" s="5" t="s">
        <v>59</v>
      </c>
      <c r="D11415" s="5" t="s">
        <v>1612</v>
      </c>
      <c r="E11415" s="9" t="s">
        <v>105</v>
      </c>
      <c r="F11415" s="5" t="s">
        <v>106</v>
      </c>
      <c r="G11415" s="6" t="str">
        <f>VLOOKUP(E11415,dicionario!$A$1:$C11814,2,0)</f>
        <v>Progne tapera</v>
      </c>
      <c r="H11415" s="6" t="str">
        <f>VLOOKUP(E11415,dicionario!$A$1:$C11814,3,0)</f>
        <v>andorinha-do-campo</v>
      </c>
    </row>
    <row r="11416">
      <c r="A11416" s="49">
        <v>45842.0</v>
      </c>
      <c r="B11416" s="4">
        <v>0.32222222222222224</v>
      </c>
      <c r="C11416" s="5" t="s">
        <v>59</v>
      </c>
      <c r="D11416" s="5" t="s">
        <v>1612</v>
      </c>
      <c r="E11416" s="6"/>
      <c r="F11416" s="52" t="s">
        <v>1620</v>
      </c>
      <c r="G11416" s="6" t="str">
        <f>VLOOKUP(E11416,dicionario!$A$1:$C11815,2,0)</f>
        <v>#N/A</v>
      </c>
      <c r="H11416" s="6" t="str">
        <f>VLOOKUP(E11416,dicionario!$A$1:$C11815,3,0)</f>
        <v>#N/A</v>
      </c>
    </row>
    <row r="11417">
      <c r="A11417" s="49">
        <v>45842.0</v>
      </c>
      <c r="B11417" s="4">
        <v>0.32222222222222224</v>
      </c>
      <c r="C11417" s="5" t="s">
        <v>59</v>
      </c>
      <c r="D11417" s="5" t="s">
        <v>1612</v>
      </c>
      <c r="E11417" s="6" t="s">
        <v>144</v>
      </c>
      <c r="F11417" s="5" t="s">
        <v>145</v>
      </c>
      <c r="G11417" s="6" t="str">
        <f>VLOOKUP(E11417,dicionario!$A$1:$C11816,2,0)</f>
        <v>Gomphrena globosa</v>
      </c>
      <c r="H11417" s="6" t="str">
        <f>VLOOKUP(E11417,dicionario!$A$1:$C11816,3,0)</f>
        <v>perpétua-rosa</v>
      </c>
    </row>
    <row r="11418">
      <c r="A11418" s="49">
        <v>45842.0</v>
      </c>
      <c r="B11418" s="4">
        <v>0.32222222222222224</v>
      </c>
      <c r="C11418" s="5" t="s">
        <v>59</v>
      </c>
      <c r="D11418" s="5" t="s">
        <v>1612</v>
      </c>
      <c r="E11418" s="8" t="s">
        <v>239</v>
      </c>
      <c r="F11418" s="5" t="s">
        <v>240</v>
      </c>
      <c r="G11418" s="6" t="str">
        <f>VLOOKUP(E11418,dicionario!$A$1:$C11817,2,0)</f>
        <v>Gomphrena celosioides</v>
      </c>
      <c r="H11418" s="6" t="str">
        <f>VLOOKUP(E11418,dicionario!$A$1:$C11817,3,0)</f>
        <v>perpétua-branca</v>
      </c>
    </row>
    <row r="11419">
      <c r="A11419" s="49">
        <v>45842.0</v>
      </c>
      <c r="B11419" s="4">
        <v>0.3229166666666667</v>
      </c>
      <c r="C11419" s="5" t="s">
        <v>59</v>
      </c>
      <c r="D11419" s="5" t="s">
        <v>1612</v>
      </c>
      <c r="E11419" s="8" t="s">
        <v>503</v>
      </c>
      <c r="F11419" s="5" t="s">
        <v>414</v>
      </c>
      <c r="G11419" s="6" t="str">
        <f>VLOOKUP(E11419,dicionario!$A$1:$C11818,2,0)</f>
        <v>Orphulella punctata</v>
      </c>
      <c r="H11419" s="6" t="str">
        <f>VLOOKUP(E11419,dicionario!$A$1:$C11818,3,0)</f>
        <v>gafanhotinho</v>
      </c>
    </row>
    <row r="11420">
      <c r="A11420" s="49">
        <v>45842.0</v>
      </c>
      <c r="B11420" s="4">
        <v>0.3229166666666667</v>
      </c>
      <c r="C11420" s="5" t="s">
        <v>59</v>
      </c>
      <c r="D11420" s="5" t="s">
        <v>1612</v>
      </c>
      <c r="E11420" s="8" t="s">
        <v>1024</v>
      </c>
      <c r="F11420" s="5" t="s">
        <v>969</v>
      </c>
      <c r="G11420" s="6" t="str">
        <f>VLOOKUP(E11420,dicionario!$A$1:$C11819,2,0)</f>
        <v>Usnea barbata</v>
      </c>
      <c r="H11420" s="6" t="str">
        <f>VLOOKUP(E11420,dicionario!$A$1:$C11819,3,0)</f>
        <v>barba-de-velho</v>
      </c>
    </row>
    <row r="11421">
      <c r="A11421" s="49">
        <v>45842.0</v>
      </c>
      <c r="B11421" s="4">
        <v>0.325</v>
      </c>
      <c r="C11421" s="5" t="s">
        <v>64</v>
      </c>
      <c r="D11421" s="5" t="s">
        <v>1612</v>
      </c>
      <c r="E11421" s="6" t="s">
        <v>65</v>
      </c>
      <c r="F11421" s="5" t="s">
        <v>66</v>
      </c>
      <c r="G11421" s="6" t="str">
        <f>VLOOKUP(E11421,dicionario!$A$1:$C11820,2,0)</f>
        <v>Pitangus sulphutarus</v>
      </c>
      <c r="H11421" s="6" t="str">
        <f>VLOOKUP(E11421,dicionario!$A$1:$C11820,3,0)</f>
        <v>bem-te-vi</v>
      </c>
    </row>
    <row r="11422">
      <c r="A11422" s="49">
        <v>45842.0</v>
      </c>
      <c r="B11422" s="4">
        <v>0.3298611111111111</v>
      </c>
      <c r="C11422" s="5" t="s">
        <v>64</v>
      </c>
      <c r="D11422" s="5" t="s">
        <v>1612</v>
      </c>
      <c r="E11422" s="8" t="s">
        <v>1462</v>
      </c>
      <c r="F11422" s="5" t="s">
        <v>1463</v>
      </c>
      <c r="G11422" s="6" t="str">
        <f>VLOOKUP(E11422,dicionario!$A$1:$C11821,2,0)</f>
        <v>Primolius maracana</v>
      </c>
      <c r="H11422" s="6" t="str">
        <f>VLOOKUP(E11422,dicionario!$A$1:$C11821,3,0)</f>
        <v>maracanã</v>
      </c>
    </row>
    <row r="11423">
      <c r="A11423" s="49">
        <v>45842.0</v>
      </c>
      <c r="B11423" s="4">
        <v>0.3298611111111111</v>
      </c>
      <c r="C11423" s="5" t="s">
        <v>64</v>
      </c>
      <c r="D11423" s="5" t="s">
        <v>1612</v>
      </c>
      <c r="E11423" s="6" t="s">
        <v>290</v>
      </c>
      <c r="F11423" s="5" t="s">
        <v>291</v>
      </c>
      <c r="G11423" s="6" t="str">
        <f>VLOOKUP(E11423,dicionario!$A$1:$C11822,2,0)</f>
        <v>Drymaria cordata</v>
      </c>
      <c r="H11423" s="6" t="str">
        <f>VLOOKUP(E11423,dicionario!$A$1:$C11822,3,0)</f>
        <v>orelha-de-rato</v>
      </c>
    </row>
    <row r="11424">
      <c r="A11424" s="49">
        <v>45842.0</v>
      </c>
      <c r="B11424" s="4">
        <v>0.3298611111111111</v>
      </c>
      <c r="C11424" s="5" t="s">
        <v>64</v>
      </c>
      <c r="D11424" s="5" t="s">
        <v>1612</v>
      </c>
      <c r="E11424" s="8" t="s">
        <v>69</v>
      </c>
      <c r="F11424" s="5" t="s">
        <v>1246</v>
      </c>
      <c r="G11424" s="6" t="str">
        <f>VLOOKUP(E11424,dicionario!$A$1:$C11823,2,0)</f>
        <v>Talinum fruticosum</v>
      </c>
      <c r="H11424" s="6" t="str">
        <f>VLOOKUP(E11424,dicionario!$A$1:$C11823,3,0)</f>
        <v>beldroega-grande</v>
      </c>
    </row>
    <row r="11425">
      <c r="A11425" s="49">
        <v>45842.0</v>
      </c>
      <c r="B11425" s="4">
        <v>0.3298611111111111</v>
      </c>
      <c r="C11425" s="5" t="s">
        <v>64</v>
      </c>
      <c r="D11425" s="5" t="s">
        <v>1612</v>
      </c>
      <c r="E11425" s="6" t="s">
        <v>150</v>
      </c>
      <c r="F11425" s="5" t="s">
        <v>151</v>
      </c>
      <c r="G11425" s="6" t="str">
        <f>VLOOKUP(E11425,dicionario!$A$1:$C11824,2,0)</f>
        <v>Amaranthus viridis</v>
      </c>
      <c r="H11425" s="6" t="str">
        <f>VLOOKUP(E11425,dicionario!$A$1:$C11824,3,0)</f>
        <v>caruru-de-mancha</v>
      </c>
    </row>
    <row r="11426">
      <c r="A11426" s="49">
        <v>45842.0</v>
      </c>
      <c r="B11426" s="4">
        <v>0.3298611111111111</v>
      </c>
      <c r="C11426" s="5" t="s">
        <v>64</v>
      </c>
      <c r="D11426" s="5" t="s">
        <v>1612</v>
      </c>
      <c r="E11426" s="6" t="s">
        <v>171</v>
      </c>
      <c r="F11426" s="5" t="s">
        <v>172</v>
      </c>
      <c r="G11426" s="6" t="str">
        <f>VLOOKUP(E11426,dicionario!$A$1:$C11825,2,0)</f>
        <v>Oxalis corniculata</v>
      </c>
      <c r="H11426" s="6" t="str">
        <f>VLOOKUP(E11426,dicionario!$A$1:$C11825,3,0)</f>
        <v>trevo-azedinho</v>
      </c>
    </row>
    <row r="11427">
      <c r="A11427" s="49">
        <v>45842.0</v>
      </c>
      <c r="B11427" s="4">
        <v>0.3298611111111111</v>
      </c>
      <c r="C11427" s="5" t="s">
        <v>64</v>
      </c>
      <c r="D11427" s="5" t="s">
        <v>1612</v>
      </c>
      <c r="E11427" s="6" t="s">
        <v>251</v>
      </c>
      <c r="F11427" s="5" t="s">
        <v>252</v>
      </c>
      <c r="G11427" s="6" t="str">
        <f>VLOOKUP(E11427,dicionario!$A$1:$C11826,2,0)</f>
        <v>Struthanthus flexicaulis</v>
      </c>
      <c r="H11427" s="6" t="str">
        <f>VLOOKUP(E11427,dicionario!$A$1:$C11826,3,0)</f>
        <v>erva-de-passarinho</v>
      </c>
    </row>
    <row r="11428">
      <c r="A11428" s="49">
        <v>45842.0</v>
      </c>
      <c r="B11428" s="4">
        <v>0.3298611111111111</v>
      </c>
      <c r="C11428" s="5" t="s">
        <v>64</v>
      </c>
      <c r="D11428" s="5" t="s">
        <v>1612</v>
      </c>
      <c r="E11428" s="6" t="s">
        <v>253</v>
      </c>
      <c r="F11428" s="5" t="s">
        <v>254</v>
      </c>
      <c r="G11428" s="6" t="str">
        <f>VLOOKUP(E11428,dicionario!$A$1:$C11827,2,0)</f>
        <v>Panicum maximum</v>
      </c>
      <c r="H11428" s="6" t="str">
        <f>VLOOKUP(E11428,dicionario!$A$1:$C11827,3,0)</f>
        <v>capim-colonião</v>
      </c>
    </row>
    <row r="11429">
      <c r="A11429" s="49">
        <v>45842.0</v>
      </c>
      <c r="B11429" s="4">
        <v>0.3298611111111111</v>
      </c>
      <c r="C11429" s="5" t="s">
        <v>64</v>
      </c>
      <c r="D11429" s="5" t="s">
        <v>1612</v>
      </c>
      <c r="E11429" s="8" t="s">
        <v>1193</v>
      </c>
      <c r="F11429" s="5" t="s">
        <v>1194</v>
      </c>
      <c r="G11429" s="6" t="str">
        <f>VLOOKUP(E11429,dicionario!$A$1:$C11828,2,0)</f>
        <v>Milvago chimachima</v>
      </c>
      <c r="H11429" s="6" t="str">
        <f>VLOOKUP(E11429,dicionario!$A$1:$C11828,3,0)</f>
        <v>gavião-carrapateiro</v>
      </c>
    </row>
    <row r="11430">
      <c r="A11430" s="49">
        <v>45842.0</v>
      </c>
      <c r="B11430" s="4">
        <v>0.33055555555555555</v>
      </c>
      <c r="C11430" s="5" t="s">
        <v>64</v>
      </c>
      <c r="D11430" s="5" t="s">
        <v>1612</v>
      </c>
      <c r="E11430" s="8" t="s">
        <v>38</v>
      </c>
      <c r="F11430" s="5" t="s">
        <v>1251</v>
      </c>
      <c r="G11430" s="6" t="str">
        <f>VLOOKUP(E11430,dicionario!$A$1:$C11829,2,0)</f>
        <v>Troglodytes musculus</v>
      </c>
      <c r="H11430" s="6" t="str">
        <f>VLOOKUP(E11430,dicionario!$A$1:$C11829,3,0)</f>
        <v>curruíra</v>
      </c>
    </row>
    <row r="11431">
      <c r="A11431" s="49">
        <v>45842.0</v>
      </c>
      <c r="B11431" s="4">
        <v>0.33055555555555555</v>
      </c>
      <c r="C11431" s="5" t="s">
        <v>64</v>
      </c>
      <c r="D11431" s="5" t="s">
        <v>1612</v>
      </c>
      <c r="E11431" s="6" t="s">
        <v>141</v>
      </c>
      <c r="F11431" s="5" t="s">
        <v>142</v>
      </c>
      <c r="G11431" s="6" t="str">
        <f>VLOOKUP(E11431,dicionario!$A$1:$C11830,2,0)</f>
        <v>Ruellia blechum</v>
      </c>
      <c r="H11431" s="6" t="str">
        <f>VLOOKUP(E11431,dicionario!$A$1:$C11830,3,0)</f>
        <v>camarão-verde</v>
      </c>
    </row>
    <row r="11432">
      <c r="A11432" s="49">
        <v>45842.0</v>
      </c>
      <c r="B11432" s="4">
        <v>0.33055555555555555</v>
      </c>
      <c r="C11432" s="5" t="s">
        <v>64</v>
      </c>
      <c r="D11432" s="5" t="s">
        <v>1612</v>
      </c>
      <c r="E11432" s="8" t="s">
        <v>154</v>
      </c>
      <c r="F11432" s="5" t="s">
        <v>155</v>
      </c>
      <c r="G11432" s="6" t="str">
        <f>VLOOKUP(E11432,dicionario!$A$1:$C11831,2,0)</f>
        <v>Cyperus rotundus</v>
      </c>
      <c r="H11432" s="6" t="str">
        <f>VLOOKUP(E11432,dicionario!$A$1:$C11831,3,0)</f>
        <v>tiririca</v>
      </c>
    </row>
    <row r="11433">
      <c r="A11433" s="49">
        <v>45842.0</v>
      </c>
      <c r="B11433" s="4">
        <v>0.33055555555555555</v>
      </c>
      <c r="C11433" s="5" t="s">
        <v>64</v>
      </c>
      <c r="D11433" s="5" t="s">
        <v>1612</v>
      </c>
      <c r="E11433" s="8" t="s">
        <v>88</v>
      </c>
      <c r="F11433" s="5" t="s">
        <v>782</v>
      </c>
      <c r="G11433" s="6" t="str">
        <f>VLOOKUP(E11433,dicionario!$A$1:$C11832,2,0)</f>
        <v>Tyrannus melancolichus</v>
      </c>
      <c r="H11433" s="6" t="str">
        <f>VLOOKUP(E11433,dicionario!$A$1:$C11832,3,0)</f>
        <v>suiriri</v>
      </c>
    </row>
    <row r="11434">
      <c r="A11434" s="49">
        <v>45842.0</v>
      </c>
      <c r="B11434" s="4">
        <v>0.33055555555555555</v>
      </c>
      <c r="C11434" s="5" t="s">
        <v>64</v>
      </c>
      <c r="D11434" s="5" t="s">
        <v>1612</v>
      </c>
      <c r="E11434" s="6" t="s">
        <v>86</v>
      </c>
      <c r="F11434" s="5" t="s">
        <v>502</v>
      </c>
      <c r="G11434" s="6" t="str">
        <f>VLOOKUP(E11434,dicionario!$A$1:$C11833,2,0)</f>
        <v>Coereba flaveola</v>
      </c>
      <c r="H11434" s="6" t="str">
        <f>VLOOKUP(E11434,dicionario!$A$1:$C11833,3,0)</f>
        <v>cambacica</v>
      </c>
    </row>
    <row r="11435">
      <c r="A11435" s="49">
        <v>45842.0</v>
      </c>
      <c r="B11435" s="4">
        <v>0.33125</v>
      </c>
      <c r="C11435" s="5" t="s">
        <v>64</v>
      </c>
      <c r="D11435" s="5" t="s">
        <v>1612</v>
      </c>
      <c r="E11435" s="6" t="s">
        <v>191</v>
      </c>
      <c r="F11435" s="5" t="s">
        <v>192</v>
      </c>
      <c r="G11435" s="6" t="str">
        <f>VLOOKUP(E11435,dicionario!$A$1:$C11834,2,0)</f>
        <v>Patagioenas picazuro</v>
      </c>
      <c r="H11435" s="6" t="str">
        <f>VLOOKUP(E11435,dicionario!$A$1:$C11834,3,0)</f>
        <v>asa-branca; pomba-asa-branca; pocaçu</v>
      </c>
    </row>
    <row r="11436">
      <c r="A11436" s="49">
        <v>45842.0</v>
      </c>
      <c r="B11436" s="4">
        <v>0.33125</v>
      </c>
      <c r="C11436" s="5" t="s">
        <v>64</v>
      </c>
      <c r="D11436" s="5" t="s">
        <v>1612</v>
      </c>
      <c r="E11436" s="6" t="s">
        <v>113</v>
      </c>
      <c r="F11436" s="5" t="s">
        <v>114</v>
      </c>
      <c r="G11436" s="6" t="str">
        <f>VLOOKUP(E11436,dicionario!$A$1:$C11835,2,0)</f>
        <v>Columbina talpacoti</v>
      </c>
      <c r="H11436" s="6" t="str">
        <f>VLOOKUP(E11436,dicionario!$A$1:$C11835,3,0)</f>
        <v>rolinha-roxa</v>
      </c>
    </row>
    <row r="11437">
      <c r="A11437" s="49">
        <v>45842.0</v>
      </c>
      <c r="B11437" s="4">
        <v>0.33125</v>
      </c>
      <c r="C11437" s="5" t="s">
        <v>64</v>
      </c>
      <c r="D11437" s="5" t="s">
        <v>1612</v>
      </c>
      <c r="E11437" s="6" t="s">
        <v>489</v>
      </c>
      <c r="F11437" s="5" t="s">
        <v>521</v>
      </c>
      <c r="G11437" s="6" t="str">
        <f>VLOOKUP(E11437,dicionario!$A$1:$C11836,2,0)</f>
        <v>Cenchrus echinatus</v>
      </c>
      <c r="H11437" s="6" t="str">
        <f>VLOOKUP(E11437,dicionario!$A$1:$C11836,3,0)</f>
        <v>capim-carrapicho</v>
      </c>
    </row>
    <row r="11438">
      <c r="A11438" s="49">
        <v>45842.0</v>
      </c>
      <c r="B11438" s="4">
        <v>0.33125</v>
      </c>
      <c r="C11438" s="5" t="s">
        <v>64</v>
      </c>
      <c r="D11438" s="5" t="s">
        <v>1612</v>
      </c>
      <c r="E11438" s="6" t="s">
        <v>682</v>
      </c>
      <c r="F11438" s="5" t="s">
        <v>683</v>
      </c>
      <c r="G11438" s="6" t="str">
        <f>VLOOKUP(E11438,dicionario!$A$1:$C11837,2,0)</f>
        <v>Lagria villosa</v>
      </c>
      <c r="H11438" s="6" t="str">
        <f>VLOOKUP(E11438,dicionario!$A$1:$C11837,3,0)</f>
        <v>bicho-capixaba</v>
      </c>
    </row>
    <row r="11439">
      <c r="A11439" s="49">
        <v>45842.0</v>
      </c>
      <c r="B11439" s="4">
        <v>0.33125</v>
      </c>
      <c r="C11439" s="5" t="s">
        <v>64</v>
      </c>
      <c r="D11439" s="5" t="s">
        <v>1612</v>
      </c>
      <c r="E11439" s="6" t="s">
        <v>43</v>
      </c>
      <c r="F11439" s="5" t="s">
        <v>44</v>
      </c>
      <c r="G11439" s="6" t="str">
        <f>VLOOKUP(E11439,dicionario!$A$1:$C11838,2,0)</f>
        <v>Columba livia</v>
      </c>
      <c r="H11439" s="6" t="str">
        <f>VLOOKUP(E11439,dicionario!$A$1:$C11838,3,0)</f>
        <v>pombo-doméstico</v>
      </c>
    </row>
    <row r="11440">
      <c r="A11440" s="49">
        <v>45842.0</v>
      </c>
      <c r="B11440" s="4">
        <v>0.33194444444444443</v>
      </c>
      <c r="C11440" s="5" t="s">
        <v>64</v>
      </c>
      <c r="D11440" s="5" t="s">
        <v>1612</v>
      </c>
      <c r="E11440" s="8" t="s">
        <v>366</v>
      </c>
      <c r="F11440" s="5" t="s">
        <v>367</v>
      </c>
      <c r="G11440" s="6" t="str">
        <f>VLOOKUP(E11440,dicionario!$A$1:$C11839,2,0)</f>
        <v>Alternanthera ficoidea</v>
      </c>
      <c r="H11440" s="6" t="str">
        <f>VLOOKUP(E11440,dicionario!$A$1:$C11839,3,0)</f>
        <v>quebra-panela</v>
      </c>
    </row>
    <row r="11441">
      <c r="A11441" s="49">
        <v>45842.0</v>
      </c>
      <c r="B11441" s="4">
        <v>0.33194444444444443</v>
      </c>
      <c r="C11441" s="5" t="s">
        <v>64</v>
      </c>
      <c r="D11441" s="5" t="s">
        <v>1612</v>
      </c>
      <c r="E11441" s="11" t="s">
        <v>1509</v>
      </c>
      <c r="F11441" s="5" t="s">
        <v>1510</v>
      </c>
      <c r="G11441" s="6" t="str">
        <f>VLOOKUP(E11441,dicionario!$A$1:$C11840,2,0)</f>
        <v>Eriophora edax</v>
      </c>
      <c r="H11441" s="6" t="str">
        <f>VLOOKUP(E11441,dicionario!$A$1:$C11840,3,0)</f>
        <v>aranha-tecedeira</v>
      </c>
    </row>
    <row r="11442">
      <c r="A11442" s="49">
        <v>45842.0</v>
      </c>
      <c r="B11442" s="4">
        <v>0.33194444444444443</v>
      </c>
      <c r="C11442" s="5" t="s">
        <v>64</v>
      </c>
      <c r="D11442" s="5" t="s">
        <v>1612</v>
      </c>
      <c r="E11442" s="6" t="s">
        <v>57</v>
      </c>
      <c r="F11442" s="5" t="s">
        <v>475</v>
      </c>
      <c r="G11442" s="6" t="str">
        <f>VLOOKUP(E11442,dicionario!$A$1:$C11841,2,0)</f>
        <v>Juliformia</v>
      </c>
      <c r="H11442" s="6" t="str">
        <f>VLOOKUP(E11442,dicionario!$A$1:$C11841,3,0)</f>
        <v>gongolo; maria-café</v>
      </c>
    </row>
    <row r="11443">
      <c r="A11443" s="49">
        <v>45842.0</v>
      </c>
      <c r="B11443" s="4">
        <v>0.3368055555555556</v>
      </c>
      <c r="C11443" s="5" t="s">
        <v>76</v>
      </c>
      <c r="D11443" s="5" t="s">
        <v>1612</v>
      </c>
      <c r="E11443" s="6" t="s">
        <v>86</v>
      </c>
      <c r="F11443" s="5" t="s">
        <v>502</v>
      </c>
      <c r="G11443" s="6" t="str">
        <f>VLOOKUP(E11443,dicionario!$A$1:$C11842,2,0)</f>
        <v>Coereba flaveola</v>
      </c>
      <c r="H11443" s="6" t="str">
        <f>VLOOKUP(E11443,dicionario!$A$1:$C11842,3,0)</f>
        <v>cambacica</v>
      </c>
    </row>
    <row r="11444">
      <c r="A11444" s="49">
        <v>45842.0</v>
      </c>
      <c r="B11444" s="4">
        <v>0.3368055555555556</v>
      </c>
      <c r="C11444" s="5" t="s">
        <v>76</v>
      </c>
      <c r="D11444" s="5" t="s">
        <v>1612</v>
      </c>
      <c r="E11444" s="6" t="s">
        <v>65</v>
      </c>
      <c r="F11444" s="5" t="s">
        <v>66</v>
      </c>
      <c r="G11444" s="6" t="str">
        <f>VLOOKUP(E11444,dicionario!$A$1:$C11843,2,0)</f>
        <v>Pitangus sulphutarus</v>
      </c>
      <c r="H11444" s="6" t="str">
        <f>VLOOKUP(E11444,dicionario!$A$1:$C11843,3,0)</f>
        <v>bem-te-vi</v>
      </c>
    </row>
    <row r="11445">
      <c r="A11445" s="49">
        <v>45842.0</v>
      </c>
      <c r="B11445" s="4">
        <v>0.3368055555555556</v>
      </c>
      <c r="C11445" s="5" t="s">
        <v>76</v>
      </c>
      <c r="D11445" s="5" t="s">
        <v>1612</v>
      </c>
      <c r="E11445" s="6" t="s">
        <v>183</v>
      </c>
      <c r="F11445" s="5" t="s">
        <v>277</v>
      </c>
      <c r="G11445" s="6" t="str">
        <f>VLOOKUP(E11445,dicionario!$A$1:$C11844,2,0)</f>
        <v>Thunbergia alata</v>
      </c>
      <c r="H11445" s="6" t="str">
        <f>VLOOKUP(E11445,dicionario!$A$1:$C11844,3,0)</f>
        <v>susana-dos-olhos-negros</v>
      </c>
    </row>
    <row r="11446">
      <c r="A11446" s="49">
        <v>45842.0</v>
      </c>
      <c r="B11446" s="4">
        <v>0.3368055555555556</v>
      </c>
      <c r="C11446" s="5" t="s">
        <v>76</v>
      </c>
      <c r="D11446" s="5" t="s">
        <v>1612</v>
      </c>
      <c r="E11446" s="8" t="s">
        <v>891</v>
      </c>
      <c r="F11446" s="5" t="s">
        <v>1621</v>
      </c>
      <c r="G11446" s="6" t="str">
        <f>VLOOKUP(E11446,dicionario!$A$1:$C11845,2,0)</f>
        <v>Cymaenes tripunctus</v>
      </c>
      <c r="H11446" s="6" t="str">
        <f>VLOOKUP(E11446,dicionario!$A$1:$C11845,3,0)</f>
        <v>borboleta-de-três-pintas</v>
      </c>
    </row>
    <row r="11447">
      <c r="A11447" s="49">
        <v>45842.0</v>
      </c>
      <c r="B11447" s="4">
        <v>0.33819444444444446</v>
      </c>
      <c r="C11447" s="5" t="s">
        <v>76</v>
      </c>
      <c r="D11447" s="5" t="s">
        <v>1612</v>
      </c>
      <c r="E11447" s="6" t="s">
        <v>141</v>
      </c>
      <c r="F11447" s="5" t="s">
        <v>142</v>
      </c>
      <c r="G11447" s="6" t="str">
        <f>VLOOKUP(E11447,dicionario!$A$1:$C11846,2,0)</f>
        <v>Ruellia blechum</v>
      </c>
      <c r="H11447" s="6" t="str">
        <f>VLOOKUP(E11447,dicionario!$A$1:$C11846,3,0)</f>
        <v>camarão-verde</v>
      </c>
    </row>
    <row r="11448">
      <c r="A11448" s="49">
        <v>45842.0</v>
      </c>
      <c r="B11448" s="4">
        <v>0.33819444444444446</v>
      </c>
      <c r="C11448" s="5" t="s">
        <v>76</v>
      </c>
      <c r="D11448" s="5" t="s">
        <v>1612</v>
      </c>
      <c r="E11448" s="8" t="s">
        <v>548</v>
      </c>
      <c r="F11448" s="5" t="s">
        <v>549</v>
      </c>
      <c r="G11448" s="6" t="str">
        <f>VLOOKUP(E11448,dicionario!$A$1:$C11847,2,0)</f>
        <v>Ricinus communis</v>
      </c>
      <c r="H11448" s="6" t="str">
        <f>VLOOKUP(E11448,dicionario!$A$1:$C11847,3,0)</f>
        <v>mamona</v>
      </c>
    </row>
    <row r="11449">
      <c r="A11449" s="49">
        <v>45842.0</v>
      </c>
      <c r="B11449" s="4">
        <v>0.33819444444444446</v>
      </c>
      <c r="C11449" s="5" t="s">
        <v>76</v>
      </c>
      <c r="D11449" s="5" t="s">
        <v>1612</v>
      </c>
      <c r="E11449" s="6" t="s">
        <v>191</v>
      </c>
      <c r="F11449" s="5" t="s">
        <v>192</v>
      </c>
      <c r="G11449" s="6" t="str">
        <f>VLOOKUP(E11449,dicionario!$A$1:$C11848,2,0)</f>
        <v>Patagioenas picazuro</v>
      </c>
      <c r="H11449" s="6" t="str">
        <f>VLOOKUP(E11449,dicionario!$A$1:$C11848,3,0)</f>
        <v>asa-branca; pomba-asa-branca; pocaçu</v>
      </c>
    </row>
    <row r="11450">
      <c r="A11450" s="49">
        <v>45842.0</v>
      </c>
      <c r="B11450" s="4">
        <v>0.33819444444444446</v>
      </c>
      <c r="C11450" s="5" t="s">
        <v>76</v>
      </c>
      <c r="D11450" s="5" t="s">
        <v>1612</v>
      </c>
      <c r="E11450" s="6" t="s">
        <v>177</v>
      </c>
      <c r="F11450" s="5" t="s">
        <v>178</v>
      </c>
      <c r="G11450" s="6" t="str">
        <f>VLOOKUP(E11450,dicionario!$A$1:$C11849,2,0)</f>
        <v>Elaenia flavogaster</v>
      </c>
      <c r="H11450" s="6" t="str">
        <f>VLOOKUP(E11450,dicionario!$A$1:$C11849,3,0)</f>
        <v>guaracava-de-barriga-amarela</v>
      </c>
    </row>
    <row r="11451">
      <c r="A11451" s="49">
        <v>45842.0</v>
      </c>
      <c r="B11451" s="4">
        <v>0.33819444444444446</v>
      </c>
      <c r="C11451" s="5" t="s">
        <v>76</v>
      </c>
      <c r="D11451" s="5" t="s">
        <v>1612</v>
      </c>
      <c r="E11451" s="8" t="s">
        <v>69</v>
      </c>
      <c r="F11451" s="5" t="s">
        <v>1246</v>
      </c>
      <c r="G11451" s="6" t="str">
        <f>VLOOKUP(E11451,dicionario!$A$1:$C11850,2,0)</f>
        <v>Talinum fruticosum</v>
      </c>
      <c r="H11451" s="6" t="str">
        <f>VLOOKUP(E11451,dicionario!$A$1:$C11850,3,0)</f>
        <v>beldroega-grande</v>
      </c>
    </row>
    <row r="11452">
      <c r="A11452" s="49">
        <v>45842.0</v>
      </c>
      <c r="B11452" s="4">
        <v>0.3388888888888889</v>
      </c>
      <c r="C11452" s="5" t="s">
        <v>76</v>
      </c>
      <c r="D11452" s="5" t="s">
        <v>1612</v>
      </c>
      <c r="E11452" s="8" t="s">
        <v>20</v>
      </c>
      <c r="F11452" s="5" t="s">
        <v>21</v>
      </c>
      <c r="G11452" s="6" t="str">
        <f>VLOOKUP(E11452,dicionario!$A$1:$C11851,2,0)</f>
        <v>Sicalis flaveola</v>
      </c>
      <c r="H11452" s="6" t="str">
        <f>VLOOKUP(E11452,dicionario!$A$1:$C11851,3,0)</f>
        <v>canário-da-terra</v>
      </c>
    </row>
    <row r="11453">
      <c r="A11453" s="49">
        <v>45842.0</v>
      </c>
      <c r="B11453" s="4">
        <v>0.3388888888888889</v>
      </c>
      <c r="C11453" s="5" t="s">
        <v>76</v>
      </c>
      <c r="D11453" s="5" t="s">
        <v>1612</v>
      </c>
      <c r="E11453" s="8" t="s">
        <v>1501</v>
      </c>
      <c r="F11453" s="5" t="s">
        <v>1502</v>
      </c>
      <c r="G11453" s="6" t="str">
        <f>VLOOKUP(E11453,dicionario!$A$1:$C11852,2,0)</f>
        <v>Synallaxis frontalis</v>
      </c>
      <c r="H11453" s="6" t="str">
        <f>VLOOKUP(E11453,dicionario!$A$1:$C11852,3,0)</f>
        <v>petrim</v>
      </c>
    </row>
    <row r="11454">
      <c r="A11454" s="49">
        <v>45842.0</v>
      </c>
      <c r="B11454" s="4">
        <v>0.33958333333333335</v>
      </c>
      <c r="C11454" s="5" t="s">
        <v>76</v>
      </c>
      <c r="D11454" s="5" t="s">
        <v>1612</v>
      </c>
      <c r="E11454" s="8" t="s">
        <v>786</v>
      </c>
      <c r="F11454" s="5" t="s">
        <v>787</v>
      </c>
      <c r="G11454" s="6" t="str">
        <f>VLOOKUP(E11454,dicionario!$A$1:$C11853,2,0)</f>
        <v>Lycianthes asarifolia</v>
      </c>
      <c r="H11454" s="6" t="str">
        <f>VLOOKUP(E11454,dicionario!$A$1:$C11853,3,0)</f>
        <v>joá-rasteiro</v>
      </c>
    </row>
    <row r="11455">
      <c r="A11455" s="49">
        <v>45842.0</v>
      </c>
      <c r="B11455" s="4">
        <v>0.3402777777777778</v>
      </c>
      <c r="C11455" s="5" t="s">
        <v>76</v>
      </c>
      <c r="D11455" s="5" t="s">
        <v>1612</v>
      </c>
      <c r="E11455" s="8" t="s">
        <v>122</v>
      </c>
      <c r="F11455" s="5" t="s">
        <v>123</v>
      </c>
      <c r="G11455" s="6" t="str">
        <f>VLOOKUP(E11455,dicionario!$A$1:$C11854,2,0)</f>
        <v>Todirostrum cinereum</v>
      </c>
      <c r="H11455" s="6" t="str">
        <f>VLOOKUP(E11455,dicionario!$A$1:$C11854,3,0)</f>
        <v>ferreirinho-relógio</v>
      </c>
    </row>
    <row r="11456">
      <c r="A11456" s="49">
        <v>45842.0</v>
      </c>
      <c r="B11456" s="4">
        <v>0.3402777777777778</v>
      </c>
      <c r="C11456" s="5" t="s">
        <v>76</v>
      </c>
      <c r="D11456" s="5" t="s">
        <v>1612</v>
      </c>
      <c r="E11456" s="6" t="s">
        <v>93</v>
      </c>
      <c r="F11456" s="5" t="s">
        <v>73</v>
      </c>
      <c r="G11456" s="6" t="str">
        <f>VLOOKUP(E11456,dicionario!$A$1:$C11855,2,0)</f>
        <v>Thraupis sayaca</v>
      </c>
      <c r="H11456" s="6" t="str">
        <f>VLOOKUP(E11456,dicionario!$A$1:$C11855,3,0)</f>
        <v>sanhaçu-cinzento</v>
      </c>
    </row>
    <row r="11457">
      <c r="A11457" s="49">
        <v>45842.0</v>
      </c>
      <c r="B11457" s="4">
        <v>0.3402777777777778</v>
      </c>
      <c r="C11457" s="5" t="s">
        <v>76</v>
      </c>
      <c r="D11457" s="5" t="s">
        <v>1612</v>
      </c>
      <c r="E11457" s="8" t="s">
        <v>1344</v>
      </c>
      <c r="F11457" s="5" t="s">
        <v>47</v>
      </c>
      <c r="G11457" s="6" t="str">
        <f>VLOOKUP(E11457,dicionario!$A$1:$C11856,2,0)</f>
        <v>#N/A</v>
      </c>
      <c r="H11457" s="6" t="str">
        <f>VLOOKUP(E11457,dicionario!$A$1:$C11856,3,0)</f>
        <v>#N/A</v>
      </c>
    </row>
    <row r="11458">
      <c r="A11458" s="49">
        <v>45842.0</v>
      </c>
      <c r="B11458" s="4">
        <v>0.3402777777777778</v>
      </c>
      <c r="C11458" s="5" t="s">
        <v>76</v>
      </c>
      <c r="D11458" s="5" t="s">
        <v>1612</v>
      </c>
      <c r="E11458" s="6" t="s">
        <v>319</v>
      </c>
      <c r="F11458" s="5" t="s">
        <v>320</v>
      </c>
      <c r="G11458" s="6" t="str">
        <f>VLOOKUP(E11458,dicionario!$A$1:$C11857,2,0)</f>
        <v>Schinus terebinthifolia</v>
      </c>
      <c r="H11458" s="6" t="str">
        <f>VLOOKUP(E11458,dicionario!$A$1:$C11857,3,0)</f>
        <v>aroeira</v>
      </c>
    </row>
    <row r="11459">
      <c r="A11459" s="49">
        <v>45842.0</v>
      </c>
      <c r="B11459" s="4">
        <v>0.3402777777777778</v>
      </c>
      <c r="C11459" s="5" t="s">
        <v>76</v>
      </c>
      <c r="D11459" s="5" t="s">
        <v>1612</v>
      </c>
      <c r="E11459" s="6" t="s">
        <v>489</v>
      </c>
      <c r="F11459" s="5" t="s">
        <v>521</v>
      </c>
      <c r="G11459" s="6" t="str">
        <f>VLOOKUP(E11459,dicionario!$A$1:$C11858,2,0)</f>
        <v>Cenchrus echinatus</v>
      </c>
      <c r="H11459" s="6" t="str">
        <f>VLOOKUP(E11459,dicionario!$A$1:$C11858,3,0)</f>
        <v>capim-carrapicho</v>
      </c>
    </row>
    <row r="11460">
      <c r="A11460" s="49">
        <v>45842.0</v>
      </c>
      <c r="B11460" s="4">
        <v>0.34097222222222223</v>
      </c>
      <c r="C11460" s="5" t="s">
        <v>76</v>
      </c>
      <c r="D11460" s="5" t="s">
        <v>1612</v>
      </c>
      <c r="E11460" s="6" t="s">
        <v>48</v>
      </c>
      <c r="F11460" s="5" t="s">
        <v>49</v>
      </c>
      <c r="G11460" s="6" t="str">
        <f>VLOOKUP(E11460,dicionario!$A$1:$C11859,2,0)</f>
        <v>Commelina erecta</v>
      </c>
      <c r="H11460" s="6" t="str">
        <f>VLOOKUP(E11460,dicionario!$A$1:$C11859,3,0)</f>
        <v>trapoeraba</v>
      </c>
    </row>
    <row r="11461">
      <c r="A11461" s="49">
        <v>45842.0</v>
      </c>
      <c r="B11461" s="4">
        <v>0.34097222222222223</v>
      </c>
      <c r="C11461" s="5" t="s">
        <v>76</v>
      </c>
      <c r="D11461" s="5" t="s">
        <v>1612</v>
      </c>
      <c r="E11461" s="6" t="s">
        <v>146</v>
      </c>
      <c r="F11461" s="5" t="s">
        <v>147</v>
      </c>
      <c r="G11461" s="6" t="str">
        <f>VLOOKUP(E11461,dicionario!$A$1:$C11860,2,0)</f>
        <v>Euphorbia hirta</v>
      </c>
      <c r="H11461" s="6" t="str">
        <f>VLOOKUP(E11461,dicionario!$A$1:$C11860,3,0)</f>
        <v>erva-de-santa-luzia</v>
      </c>
    </row>
    <row r="11462">
      <c r="A11462" s="49">
        <v>45842.0</v>
      </c>
      <c r="B11462" s="4">
        <v>0.34097222222222223</v>
      </c>
      <c r="C11462" s="5" t="s">
        <v>76</v>
      </c>
      <c r="D11462" s="5" t="s">
        <v>1612</v>
      </c>
      <c r="E11462" s="29" t="s">
        <v>566</v>
      </c>
      <c r="F11462" s="5" t="s">
        <v>567</v>
      </c>
      <c r="G11462" s="6" t="str">
        <f>VLOOKUP(E11462,dicionario!$A$1:$C11861,2,0)</f>
        <v>Baccharis dracunculifolia</v>
      </c>
      <c r="H11462" s="6" t="str">
        <f>VLOOKUP(E11462,dicionario!$A$1:$C11861,3,0)</f>
        <v>vassoura</v>
      </c>
    </row>
    <row r="11463">
      <c r="A11463" s="49">
        <v>45842.0</v>
      </c>
      <c r="B11463" s="4">
        <v>0.3416666666666667</v>
      </c>
      <c r="C11463" s="5" t="s">
        <v>76</v>
      </c>
      <c r="D11463" s="5" t="s">
        <v>1612</v>
      </c>
      <c r="E11463" s="6" t="s">
        <v>253</v>
      </c>
      <c r="F11463" s="5" t="s">
        <v>254</v>
      </c>
      <c r="G11463" s="6" t="str">
        <f>VLOOKUP(E11463,dicionario!$A$1:$C11862,2,0)</f>
        <v>Panicum maximum</v>
      </c>
      <c r="H11463" s="6" t="str">
        <f>VLOOKUP(E11463,dicionario!$A$1:$C11862,3,0)</f>
        <v>capim-colonião</v>
      </c>
    </row>
    <row r="11464">
      <c r="A11464" s="49">
        <v>45842.0</v>
      </c>
      <c r="B11464" s="4">
        <v>0.3416666666666667</v>
      </c>
      <c r="C11464" s="5" t="s">
        <v>76</v>
      </c>
      <c r="D11464" s="5" t="s">
        <v>1612</v>
      </c>
      <c r="E11464" s="6" t="s">
        <v>290</v>
      </c>
      <c r="F11464" s="5" t="s">
        <v>291</v>
      </c>
      <c r="G11464" s="6" t="str">
        <f>VLOOKUP(E11464,dicionario!$A$1:$C11863,2,0)</f>
        <v>Drymaria cordata</v>
      </c>
      <c r="H11464" s="6" t="str">
        <f>VLOOKUP(E11464,dicionario!$A$1:$C11863,3,0)</f>
        <v>orelha-de-rato</v>
      </c>
    </row>
    <row r="11465">
      <c r="A11465" s="49">
        <v>45842.0</v>
      </c>
      <c r="B11465" s="4">
        <v>0.3416666666666667</v>
      </c>
      <c r="C11465" s="5" t="s">
        <v>76</v>
      </c>
      <c r="D11465" s="5" t="s">
        <v>1612</v>
      </c>
      <c r="E11465" s="6" t="s">
        <v>171</v>
      </c>
      <c r="F11465" s="5" t="s">
        <v>172</v>
      </c>
      <c r="G11465" s="6" t="str">
        <f>VLOOKUP(E11465,dicionario!$A$1:$C11864,2,0)</f>
        <v>Oxalis corniculata</v>
      </c>
      <c r="H11465" s="6" t="str">
        <f>VLOOKUP(E11465,dicionario!$A$1:$C11864,3,0)</f>
        <v>trevo-azedinho</v>
      </c>
    </row>
    <row r="11466">
      <c r="A11466" s="49">
        <v>45842.0</v>
      </c>
      <c r="B11466" s="4">
        <v>0.3416666666666667</v>
      </c>
      <c r="C11466" s="5" t="s">
        <v>76</v>
      </c>
      <c r="D11466" s="5" t="s">
        <v>1612</v>
      </c>
      <c r="E11466" s="8" t="s">
        <v>16</v>
      </c>
      <c r="F11466" s="5" t="s">
        <v>17</v>
      </c>
      <c r="G11466" s="6" t="str">
        <f>VLOOKUP(E11466,dicionario!$A$1:$C11865,2,0)</f>
        <v>Eupetomena macroura</v>
      </c>
      <c r="H11466" s="6" t="str">
        <f>VLOOKUP(E11466,dicionario!$A$1:$C11865,3,0)</f>
        <v>beija-flor-tesoura</v>
      </c>
    </row>
    <row r="11467">
      <c r="A11467" s="49">
        <v>45842.0</v>
      </c>
      <c r="B11467" s="4">
        <v>0.3416666666666667</v>
      </c>
      <c r="C11467" s="5" t="s">
        <v>76</v>
      </c>
      <c r="D11467" s="5" t="s">
        <v>1612</v>
      </c>
      <c r="E11467" s="8" t="s">
        <v>1344</v>
      </c>
      <c r="F11467" s="5" t="s">
        <v>1622</v>
      </c>
      <c r="G11467" s="6" t="str">
        <f>VLOOKUP(E11467,dicionario!$A$1:$C11866,2,0)</f>
        <v>#N/A</v>
      </c>
      <c r="H11467" s="6" t="str">
        <f>VLOOKUP(E11467,dicionario!$A$1:$C11866,3,0)</f>
        <v>#N/A</v>
      </c>
    </row>
    <row r="11468">
      <c r="A11468" s="49">
        <v>45842.0</v>
      </c>
      <c r="B11468" s="4">
        <v>0.3416666666666667</v>
      </c>
      <c r="C11468" s="5" t="s">
        <v>76</v>
      </c>
      <c r="D11468" s="5" t="s">
        <v>1612</v>
      </c>
      <c r="E11468" s="6" t="s">
        <v>251</v>
      </c>
      <c r="F11468" s="5" t="s">
        <v>252</v>
      </c>
      <c r="G11468" s="6" t="str">
        <f>VLOOKUP(E11468,dicionario!$A$1:$C11867,2,0)</f>
        <v>Struthanthus flexicaulis</v>
      </c>
      <c r="H11468" s="6" t="str">
        <f>VLOOKUP(E11468,dicionario!$A$1:$C11867,3,0)</f>
        <v>erva-de-passarinho</v>
      </c>
    </row>
    <row r="11469">
      <c r="A11469" s="49">
        <v>45842.0</v>
      </c>
      <c r="B11469" s="4">
        <v>0.3416666666666667</v>
      </c>
      <c r="C11469" s="5" t="s">
        <v>76</v>
      </c>
      <c r="D11469" s="5" t="s">
        <v>1612</v>
      </c>
      <c r="E11469" s="6" t="s">
        <v>286</v>
      </c>
      <c r="F11469" s="5" t="s">
        <v>287</v>
      </c>
      <c r="G11469" s="6" t="str">
        <f>VLOOKUP(E11469,dicionario!$A$1:$C11868,2,0)</f>
        <v>Setaria parviflora</v>
      </c>
      <c r="H11469" s="6" t="str">
        <f>VLOOKUP(E11469,dicionario!$A$1:$C11868,3,0)</f>
        <v>capim-rabo-de-raposa</v>
      </c>
    </row>
    <row r="11470">
      <c r="A11470" s="49">
        <v>45842.0</v>
      </c>
      <c r="B11470" s="4">
        <v>0.3423611111111111</v>
      </c>
      <c r="C11470" s="5" t="s">
        <v>76</v>
      </c>
      <c r="D11470" s="5" t="s">
        <v>1612</v>
      </c>
      <c r="E11470" s="6" t="s">
        <v>148</v>
      </c>
      <c r="F11470" s="5" t="s">
        <v>149</v>
      </c>
      <c r="G11470" s="6" t="str">
        <f>VLOOKUP(E11470,dicionario!$A$1:$C11869,2,0)</f>
        <v>Parthenium hysterophorus</v>
      </c>
      <c r="H11470" s="6" t="str">
        <f>VLOOKUP(E11470,dicionario!$A$1:$C11869,3,0)</f>
        <v>losna-branca</v>
      </c>
    </row>
    <row r="11471">
      <c r="A11471" s="49">
        <v>45842.0</v>
      </c>
      <c r="B11471" s="4">
        <v>0.3423611111111111</v>
      </c>
      <c r="C11471" s="5" t="s">
        <v>76</v>
      </c>
      <c r="D11471" s="5" t="s">
        <v>1612</v>
      </c>
      <c r="E11471" s="8" t="s">
        <v>738</v>
      </c>
      <c r="F11471" s="5" t="s">
        <v>967</v>
      </c>
      <c r="G11471" s="6" t="str">
        <f>VLOOKUP(E11471,dicionario!$A$1:$C11870,2,0)</f>
        <v>Portulaca</v>
      </c>
      <c r="H11471" s="6" t="str">
        <f>VLOOKUP(E11471,dicionario!$A$1:$C11870,3,0)</f>
        <v/>
      </c>
    </row>
    <row r="11472">
      <c r="A11472" s="49">
        <v>45842.0</v>
      </c>
      <c r="B11472" s="4">
        <v>0.3423611111111111</v>
      </c>
      <c r="C11472" s="5" t="s">
        <v>76</v>
      </c>
      <c r="D11472" s="5" t="s">
        <v>1612</v>
      </c>
      <c r="E11472" s="8" t="s">
        <v>298</v>
      </c>
      <c r="F11472" s="5"/>
      <c r="G11472" s="6" t="str">
        <f>VLOOKUP(E11472,dicionario!$A$1:$C11871,2,0)</f>
        <v>Alysicarpus vaginalis</v>
      </c>
      <c r="H11472" s="6" t="str">
        <f>VLOOKUP(E11472,dicionario!$A$1:$C11871,3,0)</f>
        <v/>
      </c>
    </row>
    <row r="11473">
      <c r="A11473" s="49">
        <v>45842.0</v>
      </c>
      <c r="B11473" s="4">
        <v>0.34375</v>
      </c>
      <c r="C11473" s="5" t="s">
        <v>76</v>
      </c>
      <c r="D11473" s="5" t="s">
        <v>1612</v>
      </c>
      <c r="E11473" s="6" t="s">
        <v>467</v>
      </c>
      <c r="F11473" s="5" t="s">
        <v>468</v>
      </c>
      <c r="G11473" s="6" t="str">
        <f>VLOOKUP(E11473,dicionario!$A$1:$C11872,2,0)</f>
        <v>Eleusine indica</v>
      </c>
      <c r="H11473" s="6" t="str">
        <f>VLOOKUP(E11473,dicionario!$A$1:$C11872,3,0)</f>
        <v>capim-pé-de-galinha</v>
      </c>
    </row>
    <row r="11474">
      <c r="A11474" s="49">
        <v>45842.0</v>
      </c>
      <c r="B11474" s="4">
        <v>0.34375</v>
      </c>
      <c r="C11474" s="5" t="s">
        <v>76</v>
      </c>
      <c r="D11474" s="5" t="s">
        <v>1612</v>
      </c>
      <c r="E11474" s="8" t="s">
        <v>403</v>
      </c>
      <c r="F11474" s="5" t="s">
        <v>404</v>
      </c>
      <c r="G11474" s="6" t="str">
        <f>VLOOKUP(E11474,dicionario!$A$1:$C11873,2,0)</f>
        <v>Trianthema portulacastrum</v>
      </c>
      <c r="H11474" s="6" t="str">
        <f>VLOOKUP(E11474,dicionario!$A$1:$C11873,3,0)</f>
        <v/>
      </c>
    </row>
    <row r="11475">
      <c r="A11475" s="49">
        <v>45842.0</v>
      </c>
      <c r="B11475" s="4">
        <v>0.34444444444444444</v>
      </c>
      <c r="C11475" s="5" t="s">
        <v>76</v>
      </c>
      <c r="D11475" s="5" t="s">
        <v>1612</v>
      </c>
      <c r="E11475" s="8" t="s">
        <v>1087</v>
      </c>
      <c r="F11475" s="5"/>
      <c r="G11475" s="6" t="str">
        <f>VLOOKUP(E11475,dicionario!$A$1:$C11874,2,0)</f>
        <v>Desmodium triflorum</v>
      </c>
      <c r="H11475" s="6" t="str">
        <f>VLOOKUP(E11475,dicionario!$A$1:$C11874,3,0)</f>
        <v/>
      </c>
    </row>
    <row r="11476">
      <c r="A11476" s="49">
        <v>45842.0</v>
      </c>
      <c r="B11476" s="4">
        <v>0.3451388888888889</v>
      </c>
      <c r="C11476" s="5" t="s">
        <v>76</v>
      </c>
      <c r="D11476" s="5" t="s">
        <v>1612</v>
      </c>
      <c r="E11476" s="6" t="s">
        <v>144</v>
      </c>
      <c r="F11476" s="5" t="s">
        <v>145</v>
      </c>
      <c r="G11476" s="6" t="str">
        <f>VLOOKUP(E11476,dicionario!$A$1:$C11875,2,0)</f>
        <v>Gomphrena globosa</v>
      </c>
      <c r="H11476" s="6" t="str">
        <f>VLOOKUP(E11476,dicionario!$A$1:$C11875,3,0)</f>
        <v>perpétua-rosa</v>
      </c>
    </row>
    <row r="11477">
      <c r="A11477" s="49">
        <v>45842.0</v>
      </c>
      <c r="B11477" s="4">
        <v>0.3451388888888889</v>
      </c>
      <c r="C11477" s="5" t="s">
        <v>76</v>
      </c>
      <c r="D11477" s="5" t="s">
        <v>1612</v>
      </c>
      <c r="E11477" s="6" t="s">
        <v>280</v>
      </c>
      <c r="F11477" s="5" t="s">
        <v>281</v>
      </c>
      <c r="G11477" s="6" t="str">
        <f>VLOOKUP(E11477,dicionario!$A$1:$C11876,2,0)</f>
        <v>Lepidium virginicum</v>
      </c>
      <c r="H11477" s="6" t="str">
        <f>VLOOKUP(E11477,dicionario!$A$1:$C11876,3,0)</f>
        <v>mastruz</v>
      </c>
    </row>
    <row r="11478">
      <c r="A11478" s="49">
        <v>45842.0</v>
      </c>
      <c r="B11478" s="4">
        <v>0.3451388888888889</v>
      </c>
      <c r="C11478" s="5" t="s">
        <v>76</v>
      </c>
      <c r="D11478" s="5" t="s">
        <v>1612</v>
      </c>
      <c r="E11478" s="8" t="s">
        <v>1503</v>
      </c>
      <c r="F11478" s="5" t="s">
        <v>1504</v>
      </c>
      <c r="G11478" s="6" t="str">
        <f>VLOOKUP(E11478,dicionario!$A$1:$C11877,2,0)</f>
        <v>#N/A</v>
      </c>
      <c r="H11478" s="6" t="str">
        <f>VLOOKUP(E11478,dicionario!$A$1:$C11877,3,0)</f>
        <v>#N/A</v>
      </c>
    </row>
    <row r="11479">
      <c r="A11479" s="49">
        <v>45842.0</v>
      </c>
      <c r="B11479" s="4">
        <v>0.3451388888888889</v>
      </c>
      <c r="C11479" s="5" t="s">
        <v>76</v>
      </c>
      <c r="D11479" s="5" t="s">
        <v>1612</v>
      </c>
      <c r="E11479" s="8" t="s">
        <v>135</v>
      </c>
      <c r="F11479" s="5" t="s">
        <v>136</v>
      </c>
      <c r="G11479" s="6" t="str">
        <f>VLOOKUP(E11479,dicionario!$A$1:$C11878,2,0)</f>
        <v>Tridax procumbens</v>
      </c>
      <c r="H11479" s="6" t="str">
        <f>VLOOKUP(E11479,dicionario!$A$1:$C11878,3,0)</f>
        <v>erva-de-touro</v>
      </c>
    </row>
    <row r="11480">
      <c r="A11480" s="49">
        <v>45842.0</v>
      </c>
      <c r="B11480" s="4">
        <v>0.3451388888888889</v>
      </c>
      <c r="C11480" s="5" t="s">
        <v>76</v>
      </c>
      <c r="D11480" s="5" t="s">
        <v>1612</v>
      </c>
      <c r="E11480" s="65" t="s">
        <v>1394</v>
      </c>
      <c r="F11480" s="5" t="s">
        <v>1395</v>
      </c>
      <c r="G11480" s="6" t="str">
        <f>VLOOKUP(E11480,dicionario!$A$1:$C11879,2,0)</f>
        <v>Cecropia glaziovii</v>
      </c>
      <c r="H11480" s="6" t="str">
        <f>VLOOKUP(E11480,dicionario!$A$1:$C11879,3,0)</f>
        <v>embaúba-vermelha-do-sul</v>
      </c>
    </row>
    <row r="11481">
      <c r="A11481" s="49">
        <v>45842.0</v>
      </c>
      <c r="B11481" s="4">
        <v>0.3472222222222222</v>
      </c>
      <c r="C11481" s="5" t="s">
        <v>85</v>
      </c>
      <c r="D11481" s="5" t="s">
        <v>1612</v>
      </c>
      <c r="E11481" s="8" t="s">
        <v>135</v>
      </c>
      <c r="F11481" s="5" t="s">
        <v>136</v>
      </c>
      <c r="G11481" s="6" t="str">
        <f>VLOOKUP(E11481,dicionario!$A$1:$C11880,2,0)</f>
        <v>Tridax procumbens</v>
      </c>
      <c r="H11481" s="6" t="str">
        <f>VLOOKUP(E11481,dicionario!$A$1:$C11880,3,0)</f>
        <v>erva-de-touro</v>
      </c>
    </row>
    <row r="11482">
      <c r="A11482" s="49">
        <v>45842.0</v>
      </c>
      <c r="B11482" s="4">
        <v>0.3472222222222222</v>
      </c>
      <c r="C11482" s="5" t="s">
        <v>85</v>
      </c>
      <c r="D11482" s="5" t="s">
        <v>1612</v>
      </c>
      <c r="E11482" s="8" t="s">
        <v>298</v>
      </c>
      <c r="F11482" s="5"/>
      <c r="G11482" s="6" t="str">
        <f>VLOOKUP(E11482,dicionario!$A$1:$C11881,2,0)</f>
        <v>Alysicarpus vaginalis</v>
      </c>
      <c r="H11482" s="6" t="str">
        <f>VLOOKUP(E11482,dicionario!$A$1:$C11881,3,0)</f>
        <v/>
      </c>
    </row>
    <row r="11483">
      <c r="A11483" s="49">
        <v>45842.0</v>
      </c>
      <c r="B11483" s="4">
        <v>0.3472222222222222</v>
      </c>
      <c r="C11483" s="5" t="s">
        <v>85</v>
      </c>
      <c r="D11483" s="5" t="s">
        <v>1612</v>
      </c>
      <c r="E11483" s="8" t="s">
        <v>1087</v>
      </c>
      <c r="F11483" s="5" t="s">
        <v>1088</v>
      </c>
      <c r="G11483" s="6" t="str">
        <f>VLOOKUP(E11483,dicionario!$A$1:$C11882,2,0)</f>
        <v>Desmodium triflorum</v>
      </c>
      <c r="H11483" s="6" t="str">
        <f>VLOOKUP(E11483,dicionario!$A$1:$C11882,3,0)</f>
        <v/>
      </c>
    </row>
    <row r="11484">
      <c r="A11484" s="49">
        <v>45842.0</v>
      </c>
      <c r="B11484" s="4">
        <v>0.34791666666666665</v>
      </c>
      <c r="C11484" s="5" t="s">
        <v>85</v>
      </c>
      <c r="D11484" s="5" t="s">
        <v>1612</v>
      </c>
      <c r="E11484" s="8" t="s">
        <v>109</v>
      </c>
      <c r="F11484" s="5" t="s">
        <v>110</v>
      </c>
      <c r="G11484" s="6" t="str">
        <f>VLOOKUP(E11484,dicionario!$A$1:$C11883,2,0)</f>
        <v>Tillandsia stricta</v>
      </c>
      <c r="H11484" s="6" t="str">
        <f>VLOOKUP(E11484,dicionario!$A$1:$C11883,3,0)</f>
        <v>cravo-do-mato</v>
      </c>
    </row>
    <row r="11485">
      <c r="A11485" s="49">
        <v>45842.0</v>
      </c>
      <c r="B11485" s="4">
        <v>0.34791666666666665</v>
      </c>
      <c r="C11485" s="5" t="s">
        <v>85</v>
      </c>
      <c r="D11485" s="5" t="s">
        <v>1612</v>
      </c>
      <c r="E11485" s="6" t="s">
        <v>247</v>
      </c>
      <c r="F11485" s="5" t="s">
        <v>387</v>
      </c>
      <c r="G11485" s="6" t="str">
        <f>VLOOKUP(E11485,dicionario!$A$1:$C11884,2,0)</f>
        <v>Emilia sonchifolia</v>
      </c>
      <c r="H11485" s="6" t="str">
        <f>VLOOKUP(E11485,dicionario!$A$1:$C11884,3,0)</f>
        <v>serralinha</v>
      </c>
    </row>
    <row r="11486">
      <c r="A11486" s="49">
        <v>45842.0</v>
      </c>
      <c r="B11486" s="4">
        <v>0.34791666666666665</v>
      </c>
      <c r="C11486" s="5" t="s">
        <v>85</v>
      </c>
      <c r="D11486" s="5" t="s">
        <v>1612</v>
      </c>
      <c r="E11486" s="6" t="s">
        <v>93</v>
      </c>
      <c r="F11486" s="5" t="s">
        <v>73</v>
      </c>
      <c r="G11486" s="6" t="str">
        <f>VLOOKUP(E11486,dicionario!$A$1:$C11885,2,0)</f>
        <v>Thraupis sayaca</v>
      </c>
      <c r="H11486" s="6" t="str">
        <f>VLOOKUP(E11486,dicionario!$A$1:$C11885,3,0)</f>
        <v>sanhaçu-cinzento</v>
      </c>
    </row>
    <row r="11487">
      <c r="A11487" s="49">
        <v>45842.0</v>
      </c>
      <c r="B11487" s="4">
        <v>0.3486111111111111</v>
      </c>
      <c r="C11487" s="5" t="s">
        <v>85</v>
      </c>
      <c r="D11487" s="5" t="s">
        <v>1612</v>
      </c>
      <c r="E11487" s="5" t="s">
        <v>1623</v>
      </c>
      <c r="F11487" s="5" t="s">
        <v>1605</v>
      </c>
      <c r="G11487" s="6" t="str">
        <f>VLOOKUP(E11487,dicionario!$A$1:$C11886,2,0)</f>
        <v>#N/A</v>
      </c>
      <c r="H11487" s="6" t="str">
        <f>VLOOKUP(E11487,dicionario!$A$1:$C11886,3,0)</f>
        <v>#N/A</v>
      </c>
    </row>
    <row r="11488">
      <c r="A11488" s="49">
        <v>45842.0</v>
      </c>
      <c r="B11488" s="4">
        <v>0.3486111111111111</v>
      </c>
      <c r="C11488" s="5" t="s">
        <v>85</v>
      </c>
      <c r="D11488" s="5" t="s">
        <v>1612</v>
      </c>
      <c r="E11488" s="6" t="s">
        <v>251</v>
      </c>
      <c r="F11488" s="5" t="s">
        <v>252</v>
      </c>
      <c r="G11488" s="6" t="str">
        <f>VLOOKUP(E11488,dicionario!$A$1:$C11887,2,0)</f>
        <v>Struthanthus flexicaulis</v>
      </c>
      <c r="H11488" s="6" t="str">
        <f>VLOOKUP(E11488,dicionario!$A$1:$C11887,3,0)</f>
        <v>erva-de-passarinho</v>
      </c>
    </row>
    <row r="11489">
      <c r="A11489" s="49">
        <v>45842.0</v>
      </c>
      <c r="B11489" s="4">
        <v>0.3486111111111111</v>
      </c>
      <c r="C11489" s="5" t="s">
        <v>85</v>
      </c>
      <c r="D11489" s="5" t="s">
        <v>1612</v>
      </c>
      <c r="E11489" s="6" t="s">
        <v>65</v>
      </c>
      <c r="F11489" s="5" t="s">
        <v>66</v>
      </c>
      <c r="G11489" s="6" t="str">
        <f>VLOOKUP(E11489,dicionario!$A$1:$C11888,2,0)</f>
        <v>Pitangus sulphutarus</v>
      </c>
      <c r="H11489" s="6" t="str">
        <f>VLOOKUP(E11489,dicionario!$A$1:$C11888,3,0)</f>
        <v>bem-te-vi</v>
      </c>
    </row>
    <row r="11490">
      <c r="A11490" s="49">
        <v>45842.0</v>
      </c>
      <c r="B11490" s="4">
        <v>0.3486111111111111</v>
      </c>
      <c r="C11490" s="5" t="s">
        <v>85</v>
      </c>
      <c r="D11490" s="5" t="s">
        <v>1612</v>
      </c>
      <c r="E11490" s="8" t="s">
        <v>122</v>
      </c>
      <c r="F11490" s="5" t="s">
        <v>123</v>
      </c>
      <c r="G11490" s="6" t="str">
        <f>VLOOKUP(E11490,dicionario!$A$1:$C11889,2,0)</f>
        <v>Todirostrum cinereum</v>
      </c>
      <c r="H11490" s="6" t="str">
        <f>VLOOKUP(E11490,dicionario!$A$1:$C11889,3,0)</f>
        <v>ferreirinho-relógio</v>
      </c>
    </row>
    <row r="11491">
      <c r="A11491" s="49">
        <v>45842.0</v>
      </c>
      <c r="B11491" s="4">
        <v>0.3486111111111111</v>
      </c>
      <c r="C11491" s="5" t="s">
        <v>85</v>
      </c>
      <c r="D11491" s="5" t="s">
        <v>1612</v>
      </c>
      <c r="E11491" s="6" t="s">
        <v>171</v>
      </c>
      <c r="F11491" s="5" t="s">
        <v>172</v>
      </c>
      <c r="G11491" s="6" t="str">
        <f>VLOOKUP(E11491,dicionario!$A$1:$C11890,2,0)</f>
        <v>Oxalis corniculata</v>
      </c>
      <c r="H11491" s="6" t="str">
        <f>VLOOKUP(E11491,dicionario!$A$1:$C11890,3,0)</f>
        <v>trevo-azedinho</v>
      </c>
    </row>
    <row r="11492">
      <c r="A11492" s="49">
        <v>45842.0</v>
      </c>
      <c r="B11492" s="4">
        <v>0.34930555555555554</v>
      </c>
      <c r="C11492" s="5" t="s">
        <v>85</v>
      </c>
      <c r="D11492" s="5" t="s">
        <v>1612</v>
      </c>
      <c r="E11492" s="6" t="s">
        <v>146</v>
      </c>
      <c r="F11492" s="5" t="s">
        <v>147</v>
      </c>
      <c r="G11492" s="6" t="str">
        <f>VLOOKUP(E11492,dicionario!$A$1:$C11891,2,0)</f>
        <v>Euphorbia hirta</v>
      </c>
      <c r="H11492" s="6" t="str">
        <f>VLOOKUP(E11492,dicionario!$A$1:$C11891,3,0)</f>
        <v>erva-de-santa-luzia</v>
      </c>
    </row>
    <row r="11493">
      <c r="A11493" s="49">
        <v>45842.0</v>
      </c>
      <c r="B11493" s="4">
        <v>0.34930555555555554</v>
      </c>
      <c r="C11493" s="5" t="s">
        <v>85</v>
      </c>
      <c r="D11493" s="5" t="s">
        <v>1612</v>
      </c>
      <c r="E11493" s="8" t="s">
        <v>338</v>
      </c>
      <c r="F11493" s="5" t="s">
        <v>238</v>
      </c>
      <c r="G11493" s="6" t="str">
        <f>VLOOKUP(E11493,dicionario!$A$1:$C11892,2,0)</f>
        <v>Atta</v>
      </c>
      <c r="H11493" s="6" t="str">
        <f>VLOOKUP(E11493,dicionario!$A$1:$C11892,3,0)</f>
        <v>saúva</v>
      </c>
    </row>
    <row r="11494">
      <c r="A11494" s="49">
        <v>45842.0</v>
      </c>
      <c r="B11494" s="4">
        <v>0.34930555555555554</v>
      </c>
      <c r="C11494" s="5" t="s">
        <v>85</v>
      </c>
      <c r="D11494" s="5" t="s">
        <v>1612</v>
      </c>
      <c r="E11494" s="8" t="s">
        <v>368</v>
      </c>
      <c r="F11494" s="5" t="s">
        <v>35</v>
      </c>
      <c r="G11494" s="6" t="str">
        <f>VLOOKUP(E11494,dicionario!$A$1:$C11893,2,0)</f>
        <v>#N/A</v>
      </c>
      <c r="H11494" s="6" t="str">
        <f>VLOOKUP(E11494,dicionario!$A$1:$C11893,3,0)</f>
        <v>#N/A</v>
      </c>
    </row>
    <row r="11495">
      <c r="A11495" s="49">
        <v>45842.0</v>
      </c>
      <c r="B11495" s="4">
        <v>0.35</v>
      </c>
      <c r="C11495" s="5" t="s">
        <v>85</v>
      </c>
      <c r="D11495" s="5" t="s">
        <v>1612</v>
      </c>
      <c r="E11495" s="8" t="s">
        <v>41</v>
      </c>
      <c r="F11495" s="5" t="s">
        <v>796</v>
      </c>
      <c r="G11495" s="6" t="str">
        <f>VLOOKUP(E11495,dicionario!$A$1:$C11894,2,0)</f>
        <v>Mimosa pudica</v>
      </c>
      <c r="H11495" s="6" t="str">
        <f>VLOOKUP(E11495,dicionario!$A$1:$C11894,3,0)</f>
        <v>dormideira</v>
      </c>
    </row>
    <row r="11496">
      <c r="A11496" s="49">
        <v>45842.0</v>
      </c>
      <c r="B11496" s="4">
        <v>0.35</v>
      </c>
      <c r="C11496" s="5" t="s">
        <v>85</v>
      </c>
      <c r="D11496" s="5" t="s">
        <v>1612</v>
      </c>
      <c r="E11496" s="8" t="s">
        <v>821</v>
      </c>
      <c r="F11496" s="5" t="s">
        <v>1583</v>
      </c>
      <c r="G11496" s="6" t="str">
        <f>VLOOKUP(E11496,dicionario!$A$1:$C11895,2,0)</f>
        <v>Schefflera actinophylla</v>
      </c>
      <c r="H11496" s="6" t="str">
        <f>VLOOKUP(E11496,dicionario!$A$1:$C11895,3,0)</f>
        <v>árvore-guarda-chuva</v>
      </c>
    </row>
    <row r="11497">
      <c r="A11497" s="49">
        <v>45842.0</v>
      </c>
      <c r="B11497" s="4">
        <v>0.35138888888888886</v>
      </c>
      <c r="C11497" s="5" t="s">
        <v>85</v>
      </c>
      <c r="D11497" s="5" t="s">
        <v>1612</v>
      </c>
      <c r="E11497" s="6" t="s">
        <v>353</v>
      </c>
      <c r="F11497" s="5" t="s">
        <v>354</v>
      </c>
      <c r="G11497" s="6" t="str">
        <f>VLOOKUP(E11497,dicionario!$A$1:$C11896,2,0)</f>
        <v>Desmodium incanum</v>
      </c>
      <c r="H11497" s="6" t="str">
        <f>VLOOKUP(E11497,dicionario!$A$1:$C11896,3,0)</f>
        <v>pega-pega</v>
      </c>
    </row>
    <row r="11498">
      <c r="A11498" s="49">
        <v>45842.0</v>
      </c>
      <c r="B11498" s="4">
        <v>0.35138888888888886</v>
      </c>
      <c r="C11498" s="5" t="s">
        <v>85</v>
      </c>
      <c r="D11498" s="5" t="s">
        <v>1612</v>
      </c>
      <c r="E11498" s="6" t="s">
        <v>53</v>
      </c>
      <c r="F11498" s="5" t="s">
        <v>54</v>
      </c>
      <c r="G11498" s="6" t="str">
        <f>VLOOKUP(E11498,dicionario!$A$1:$C11897,2,0)</f>
        <v>Turnera subulata</v>
      </c>
      <c r="H11498" s="6" t="str">
        <f>VLOOKUP(E11498,dicionario!$A$1:$C11897,3,0)</f>
        <v>xanana</v>
      </c>
    </row>
    <row r="11499">
      <c r="A11499" s="49">
        <v>45842.0</v>
      </c>
      <c r="B11499" s="4">
        <v>0.35208333333333336</v>
      </c>
      <c r="C11499" s="5" t="s">
        <v>90</v>
      </c>
      <c r="D11499" s="5" t="s">
        <v>1612</v>
      </c>
      <c r="E11499" s="8" t="s">
        <v>38</v>
      </c>
      <c r="F11499" s="5" t="s">
        <v>1251</v>
      </c>
      <c r="G11499" s="6" t="str">
        <f>VLOOKUP(E11499,dicionario!$A$1:$C11898,2,0)</f>
        <v>Troglodytes musculus</v>
      </c>
      <c r="H11499" s="6" t="str">
        <f>VLOOKUP(E11499,dicionario!$A$1:$C11898,3,0)</f>
        <v>curruíra</v>
      </c>
    </row>
    <row r="11500">
      <c r="A11500" s="49">
        <v>45842.0</v>
      </c>
      <c r="B11500" s="4">
        <v>0.3527777777777778</v>
      </c>
      <c r="C11500" s="5" t="s">
        <v>90</v>
      </c>
      <c r="D11500" s="5" t="s">
        <v>1612</v>
      </c>
      <c r="E11500" s="8" t="s">
        <v>719</v>
      </c>
      <c r="F11500" s="5" t="s">
        <v>720</v>
      </c>
      <c r="G11500" s="6" t="str">
        <f>VLOOKUP(E11500,dicionario!$A$1:$C11899,2,0)</f>
        <v>Dirinaria</v>
      </c>
      <c r="H11500" s="6" t="str">
        <f>VLOOKUP(E11500,dicionario!$A$1:$C11899,3,0)</f>
        <v>líquen-crostoso</v>
      </c>
    </row>
    <row r="11501">
      <c r="A11501" s="49">
        <v>45842.0</v>
      </c>
      <c r="B11501" s="4">
        <v>0.3527777777777778</v>
      </c>
      <c r="C11501" s="5" t="s">
        <v>90</v>
      </c>
      <c r="D11501" s="5" t="s">
        <v>1612</v>
      </c>
      <c r="E11501" s="8" t="s">
        <v>712</v>
      </c>
      <c r="F11501" s="5" t="s">
        <v>718</v>
      </c>
      <c r="G11501" s="6" t="str">
        <f>VLOOKUP(E11501,dicionario!$A$1:$C11900,2,0)</f>
        <v>Flavopunctelia soredica</v>
      </c>
      <c r="H11501" s="6" t="str">
        <f>VLOOKUP(E11501,dicionario!$A$1:$C11900,3,0)</f>
        <v>líquen-folioso</v>
      </c>
    </row>
    <row r="11502">
      <c r="A11502" s="49">
        <v>45842.0</v>
      </c>
      <c r="B11502" s="4">
        <v>0.3527777777777778</v>
      </c>
      <c r="C11502" s="5" t="s">
        <v>90</v>
      </c>
      <c r="D11502" s="5" t="s">
        <v>1612</v>
      </c>
      <c r="E11502" s="8" t="s">
        <v>1617</v>
      </c>
      <c r="F11502" s="5" t="s">
        <v>108</v>
      </c>
      <c r="G11502" s="6" t="str">
        <f>VLOOKUP(E11502,dicionario!$A$1:$C11901,2,0)</f>
        <v>#N/A</v>
      </c>
      <c r="H11502" s="6" t="str">
        <f>VLOOKUP(E11502,dicionario!$A$1:$C11901,3,0)</f>
        <v>#N/A</v>
      </c>
    </row>
    <row r="11503">
      <c r="A11503" s="49">
        <v>45842.0</v>
      </c>
      <c r="B11503" s="4">
        <v>0.35347222222222224</v>
      </c>
      <c r="C11503" s="5" t="s">
        <v>90</v>
      </c>
      <c r="D11503" s="5" t="s">
        <v>1612</v>
      </c>
      <c r="E11503" s="6" t="s">
        <v>86</v>
      </c>
      <c r="F11503" s="5" t="s">
        <v>502</v>
      </c>
      <c r="G11503" s="6" t="str">
        <f>VLOOKUP(E11503,dicionario!$A$1:$C11902,2,0)</f>
        <v>Coereba flaveola</v>
      </c>
      <c r="H11503" s="6" t="str">
        <f>VLOOKUP(E11503,dicionario!$A$1:$C11902,3,0)</f>
        <v>cambacica</v>
      </c>
    </row>
    <row r="11504">
      <c r="A11504" s="49">
        <v>45842.0</v>
      </c>
      <c r="B11504" s="4">
        <v>0.35347222222222224</v>
      </c>
      <c r="C11504" s="5" t="s">
        <v>90</v>
      </c>
      <c r="D11504" s="5" t="s">
        <v>1612</v>
      </c>
      <c r="E11504" s="8" t="s">
        <v>16</v>
      </c>
      <c r="F11504" s="5" t="s">
        <v>17</v>
      </c>
      <c r="G11504" s="6" t="str">
        <f>VLOOKUP(E11504,dicionario!$A$1:$C11903,2,0)</f>
        <v>Eupetomena macroura</v>
      </c>
      <c r="H11504" s="6" t="str">
        <f>VLOOKUP(E11504,dicionario!$A$1:$C11903,3,0)</f>
        <v>beija-flor-tesoura</v>
      </c>
    </row>
    <row r="11505">
      <c r="A11505" s="49">
        <v>45842.0</v>
      </c>
      <c r="B11505" s="4">
        <v>0.35347222222222224</v>
      </c>
      <c r="C11505" s="5" t="s">
        <v>90</v>
      </c>
      <c r="D11505" s="5" t="s">
        <v>1612</v>
      </c>
      <c r="E11505" s="6" t="s">
        <v>43</v>
      </c>
      <c r="F11505" s="5" t="s">
        <v>44</v>
      </c>
      <c r="G11505" s="6" t="str">
        <f>VLOOKUP(E11505,dicionario!$A$1:$C11904,2,0)</f>
        <v>Columba livia</v>
      </c>
      <c r="H11505" s="6" t="str">
        <f>VLOOKUP(E11505,dicionario!$A$1:$C11904,3,0)</f>
        <v>pombo-doméstico</v>
      </c>
    </row>
    <row r="11506">
      <c r="A11506" s="49">
        <v>45842.0</v>
      </c>
      <c r="B11506" s="4">
        <v>0.3541666666666667</v>
      </c>
      <c r="C11506" s="5" t="s">
        <v>90</v>
      </c>
      <c r="D11506" s="5" t="s">
        <v>1612</v>
      </c>
      <c r="E11506" s="8" t="s">
        <v>298</v>
      </c>
      <c r="F11506" s="5"/>
      <c r="G11506" s="6" t="str">
        <f>VLOOKUP(E11506,dicionario!$A$1:$C11905,2,0)</f>
        <v>Alysicarpus vaginalis</v>
      </c>
      <c r="H11506" s="6" t="str">
        <f>VLOOKUP(E11506,dicionario!$A$1:$C11905,3,0)</f>
        <v/>
      </c>
    </row>
    <row r="11507">
      <c r="A11507" s="49">
        <v>45842.0</v>
      </c>
      <c r="B11507" s="4">
        <v>0.3541666666666667</v>
      </c>
      <c r="C11507" s="5" t="s">
        <v>90</v>
      </c>
      <c r="D11507" s="5" t="s">
        <v>1612</v>
      </c>
      <c r="E11507" s="8" t="s">
        <v>154</v>
      </c>
      <c r="F11507" s="5" t="s">
        <v>155</v>
      </c>
      <c r="G11507" s="6" t="str">
        <f>VLOOKUP(E11507,dicionario!$A$1:$C11906,2,0)</f>
        <v>Cyperus rotundus</v>
      </c>
      <c r="H11507" s="6" t="str">
        <f>VLOOKUP(E11507,dicionario!$A$1:$C11906,3,0)</f>
        <v>tiririca</v>
      </c>
    </row>
    <row r="11508">
      <c r="A11508" s="49">
        <v>45842.0</v>
      </c>
      <c r="B11508" s="4">
        <v>0.3541666666666667</v>
      </c>
      <c r="C11508" s="5" t="s">
        <v>90</v>
      </c>
      <c r="D11508" s="5" t="s">
        <v>1612</v>
      </c>
      <c r="E11508" s="6" t="s">
        <v>353</v>
      </c>
      <c r="F11508" s="5" t="s">
        <v>354</v>
      </c>
      <c r="G11508" s="6" t="str">
        <f>VLOOKUP(E11508,dicionario!$A$1:$C11907,2,0)</f>
        <v>Desmodium incanum</v>
      </c>
      <c r="H11508" s="6" t="str">
        <f>VLOOKUP(E11508,dicionario!$A$1:$C11907,3,0)</f>
        <v>pega-pega</v>
      </c>
    </row>
    <row r="11509">
      <c r="A11509" s="49">
        <v>45842.0</v>
      </c>
      <c r="B11509" s="4">
        <v>0.3541666666666667</v>
      </c>
      <c r="C11509" s="5" t="s">
        <v>90</v>
      </c>
      <c r="D11509" s="5" t="s">
        <v>1612</v>
      </c>
      <c r="E11509" s="8" t="s">
        <v>1087</v>
      </c>
      <c r="F11509" s="5" t="s">
        <v>1088</v>
      </c>
      <c r="G11509" s="6" t="str">
        <f>VLOOKUP(E11509,dicionario!$A$1:$C11908,2,0)</f>
        <v>Desmodium triflorum</v>
      </c>
      <c r="H11509" s="6" t="str">
        <f>VLOOKUP(E11509,dicionario!$A$1:$C11908,3,0)</f>
        <v/>
      </c>
    </row>
    <row r="11510">
      <c r="A11510" s="49">
        <v>45842.0</v>
      </c>
      <c r="B11510" s="4">
        <v>0.3548611111111111</v>
      </c>
      <c r="C11510" s="5" t="s">
        <v>90</v>
      </c>
      <c r="D11510" s="5" t="s">
        <v>1612</v>
      </c>
      <c r="E11510" s="6" t="s">
        <v>141</v>
      </c>
      <c r="F11510" s="5" t="s">
        <v>142</v>
      </c>
      <c r="G11510" s="6" t="str">
        <f>VLOOKUP(E11510,dicionario!$A$1:$C11909,2,0)</f>
        <v>Ruellia blechum</v>
      </c>
      <c r="H11510" s="6" t="str">
        <f>VLOOKUP(E11510,dicionario!$A$1:$C11909,3,0)</f>
        <v>camarão-verde</v>
      </c>
    </row>
    <row r="11511">
      <c r="A11511" s="49">
        <v>45842.0</v>
      </c>
      <c r="B11511" s="4">
        <v>0.3548611111111111</v>
      </c>
      <c r="C11511" s="5" t="s">
        <v>90</v>
      </c>
      <c r="D11511" s="5" t="s">
        <v>1612</v>
      </c>
      <c r="E11511" s="6" t="s">
        <v>253</v>
      </c>
      <c r="F11511" s="5" t="s">
        <v>254</v>
      </c>
      <c r="G11511" s="6" t="str">
        <f>VLOOKUP(E11511,dicionario!$A$1:$C11910,2,0)</f>
        <v>Panicum maximum</v>
      </c>
      <c r="H11511" s="6" t="str">
        <f>VLOOKUP(E11511,dicionario!$A$1:$C11910,3,0)</f>
        <v>capim-colonião</v>
      </c>
    </row>
    <row r="11512">
      <c r="A11512" s="49">
        <v>45842.0</v>
      </c>
      <c r="B11512" s="4">
        <v>0.3548611111111111</v>
      </c>
      <c r="C11512" s="5" t="s">
        <v>90</v>
      </c>
      <c r="D11512" s="5" t="s">
        <v>1612</v>
      </c>
      <c r="E11512" s="6" t="s">
        <v>286</v>
      </c>
      <c r="F11512" s="5" t="s">
        <v>287</v>
      </c>
      <c r="G11512" s="6" t="str">
        <f>VLOOKUP(E11512,dicionario!$A$1:$C11911,2,0)</f>
        <v>Setaria parviflora</v>
      </c>
      <c r="H11512" s="6" t="str">
        <f>VLOOKUP(E11512,dicionario!$A$1:$C11911,3,0)</f>
        <v>capim-rabo-de-raposa</v>
      </c>
    </row>
    <row r="11513">
      <c r="A11513" s="49">
        <v>45842.0</v>
      </c>
      <c r="B11513" s="4">
        <v>0.3548611111111111</v>
      </c>
      <c r="C11513" s="5" t="s">
        <v>90</v>
      </c>
      <c r="D11513" s="5" t="s">
        <v>1612</v>
      </c>
      <c r="E11513" s="8" t="s">
        <v>712</v>
      </c>
      <c r="F11513" s="5" t="s">
        <v>238</v>
      </c>
      <c r="G11513" s="6" t="str">
        <f>VLOOKUP(E11513,dicionario!$A$1:$C11912,2,0)</f>
        <v>Flavopunctelia soredica</v>
      </c>
      <c r="H11513" s="6" t="str">
        <f>VLOOKUP(E11513,dicionario!$A$1:$C11912,3,0)</f>
        <v>líquen-folioso</v>
      </c>
    </row>
    <row r="11514">
      <c r="A11514" s="49">
        <v>45842.0</v>
      </c>
      <c r="B11514" s="4">
        <v>0.3548611111111111</v>
      </c>
      <c r="C11514" s="5" t="s">
        <v>90</v>
      </c>
      <c r="D11514" s="5" t="s">
        <v>1612</v>
      </c>
      <c r="E11514" s="8" t="s">
        <v>109</v>
      </c>
      <c r="F11514" s="5" t="s">
        <v>110</v>
      </c>
      <c r="G11514" s="6" t="str">
        <f>VLOOKUP(E11514,dicionario!$A$1:$C11913,2,0)</f>
        <v>Tillandsia stricta</v>
      </c>
      <c r="H11514" s="6" t="str">
        <f>VLOOKUP(E11514,dicionario!$A$1:$C11913,3,0)</f>
        <v>cravo-do-mato</v>
      </c>
    </row>
    <row r="11515">
      <c r="A11515" s="49">
        <v>45842.0</v>
      </c>
      <c r="B11515" s="4">
        <v>0.35555555555555557</v>
      </c>
      <c r="C11515" s="5" t="s">
        <v>90</v>
      </c>
      <c r="D11515" s="5" t="s">
        <v>1612</v>
      </c>
      <c r="E11515" s="8" t="s">
        <v>1024</v>
      </c>
      <c r="F11515" s="5" t="s">
        <v>1624</v>
      </c>
      <c r="G11515" s="6" t="str">
        <f>VLOOKUP(E11515,dicionario!$A$1:$C11914,2,0)</f>
        <v>Usnea barbata</v>
      </c>
      <c r="H11515" s="6" t="str">
        <f>VLOOKUP(E11515,dicionario!$A$1:$C11914,3,0)</f>
        <v>barba-de-velho</v>
      </c>
    </row>
    <row r="11516">
      <c r="A11516" s="49">
        <v>45842.0</v>
      </c>
      <c r="B11516" s="4">
        <v>0.35555555555555557</v>
      </c>
      <c r="C11516" s="5" t="s">
        <v>90</v>
      </c>
      <c r="D11516" s="5" t="s">
        <v>1612</v>
      </c>
      <c r="E11516" s="8" t="s">
        <v>503</v>
      </c>
      <c r="F11516" s="5" t="s">
        <v>414</v>
      </c>
      <c r="G11516" s="6" t="str">
        <f>VLOOKUP(E11516,dicionario!$A$1:$C11915,2,0)</f>
        <v>Orphulella punctata</v>
      </c>
      <c r="H11516" s="6" t="str">
        <f>VLOOKUP(E11516,dicionario!$A$1:$C11915,3,0)</f>
        <v>gafanhotinho</v>
      </c>
    </row>
    <row r="11517">
      <c r="A11517" s="49">
        <v>45842.0</v>
      </c>
      <c r="B11517" s="4">
        <v>0.35625</v>
      </c>
      <c r="C11517" s="5" t="s">
        <v>90</v>
      </c>
      <c r="D11517" s="5" t="s">
        <v>1612</v>
      </c>
      <c r="E11517" s="8" t="s">
        <v>57</v>
      </c>
      <c r="F11517" s="5" t="s">
        <v>475</v>
      </c>
      <c r="G11517" s="6" t="str">
        <f>VLOOKUP(E11517,dicionario!$A$1:$C11916,2,0)</f>
        <v>Juliformia</v>
      </c>
      <c r="H11517" s="6" t="str">
        <f>VLOOKUP(E11517,dicionario!$A$1:$C11916,3,0)</f>
        <v>gongolo; maria-café</v>
      </c>
    </row>
    <row r="11518">
      <c r="A11518" s="49">
        <v>45842.0</v>
      </c>
      <c r="B11518" s="4">
        <v>0.35625</v>
      </c>
      <c r="C11518" s="5" t="s">
        <v>90</v>
      </c>
      <c r="D11518" s="5" t="s">
        <v>1612</v>
      </c>
      <c r="E11518" s="6" t="s">
        <v>65</v>
      </c>
      <c r="F11518" s="5" t="s">
        <v>1028</v>
      </c>
      <c r="G11518" s="6" t="str">
        <f>VLOOKUP(E11518,dicionario!$A$1:$C11917,2,0)</f>
        <v>Pitangus sulphutarus</v>
      </c>
      <c r="H11518" s="6" t="str">
        <f>VLOOKUP(E11518,dicionario!$A$1:$C11917,3,0)</f>
        <v>bem-te-vi</v>
      </c>
    </row>
    <row r="11519">
      <c r="A11519" s="49">
        <v>45842.0</v>
      </c>
      <c r="B11519" s="4">
        <v>0.35694444444444445</v>
      </c>
      <c r="C11519" s="5" t="s">
        <v>90</v>
      </c>
      <c r="D11519" s="5" t="s">
        <v>1612</v>
      </c>
      <c r="E11519" s="6" t="s">
        <v>427</v>
      </c>
      <c r="F11519" s="5" t="s">
        <v>428</v>
      </c>
      <c r="G11519" s="6" t="str">
        <f>VLOOKUP(E11519,dicionario!$A$1:$C11918,2,0)</f>
        <v>Condylostylus longicornis</v>
      </c>
      <c r="H11519" s="6" t="str">
        <f>VLOOKUP(E11519,dicionario!$A$1:$C11918,3,0)</f>
        <v>mosca-de-pernas-longas</v>
      </c>
    </row>
    <row r="11520">
      <c r="A11520" s="49">
        <v>45842.0</v>
      </c>
      <c r="B11520" s="4">
        <v>0.35694444444444445</v>
      </c>
      <c r="C11520" s="5" t="s">
        <v>90</v>
      </c>
      <c r="D11520" s="5" t="s">
        <v>1612</v>
      </c>
      <c r="E11520" s="8" t="s">
        <v>51</v>
      </c>
      <c r="F11520" s="5" t="s">
        <v>77</v>
      </c>
      <c r="G11520" s="6" t="str">
        <f>VLOOKUP(E11520,dicionario!$A$1:$C11919,2,0)</f>
        <v>Solenopsis</v>
      </c>
      <c r="H11520" s="6" t="str">
        <f>VLOOKUP(E11520,dicionario!$A$1:$C11919,3,0)</f>
        <v>formiga-quente; formiga-lava-pés; formiga-de-fogo</v>
      </c>
    </row>
    <row r="11521">
      <c r="A11521" s="49">
        <v>45842.0</v>
      </c>
      <c r="B11521" s="4">
        <v>0.35694444444444445</v>
      </c>
      <c r="C11521" s="5" t="s">
        <v>90</v>
      </c>
      <c r="D11521" s="5" t="s">
        <v>1612</v>
      </c>
      <c r="E11521" s="6" t="s">
        <v>227</v>
      </c>
      <c r="F11521" s="5" t="s">
        <v>228</v>
      </c>
      <c r="G11521" s="6" t="str">
        <f>VLOOKUP(E11521,dicionario!$A$1:$C11920,2,0)</f>
        <v>Indigofera hirsuta</v>
      </c>
      <c r="H11521" s="6" t="str">
        <f>VLOOKUP(E11521,dicionario!$A$1:$C11920,3,0)</f>
        <v>anileira</v>
      </c>
    </row>
    <row r="11522">
      <c r="A11522" s="3">
        <v>45848.0</v>
      </c>
      <c r="B11522" s="4">
        <v>0.2638888888888889</v>
      </c>
      <c r="C11522" s="5" t="s">
        <v>90</v>
      </c>
      <c r="D11522" s="5" t="s">
        <v>1625</v>
      </c>
      <c r="E11522" s="6" t="s">
        <v>191</v>
      </c>
      <c r="F11522" s="5" t="s">
        <v>192</v>
      </c>
      <c r="G11522" s="6" t="str">
        <f>VLOOKUP(E11522,dicionario!$A$1:$C11921,2,0)</f>
        <v>Patagioenas picazuro</v>
      </c>
      <c r="H11522" s="6" t="str">
        <f>VLOOKUP(E11522,dicionario!$A$1:$C11921,3,0)</f>
        <v>asa-branca; pomba-asa-branca; pocaçu</v>
      </c>
    </row>
    <row r="11523">
      <c r="A11523" s="3">
        <v>45848.0</v>
      </c>
      <c r="B11523" s="4">
        <v>0.2638888888888889</v>
      </c>
      <c r="C11523" s="5" t="s">
        <v>90</v>
      </c>
      <c r="D11523" s="5" t="s">
        <v>1625</v>
      </c>
      <c r="E11523" s="8" t="s">
        <v>20</v>
      </c>
      <c r="F11523" s="5" t="s">
        <v>21</v>
      </c>
      <c r="G11523" s="6" t="str">
        <f>VLOOKUP(E11523,dicionario!$A$1:$C11922,2,0)</f>
        <v>Sicalis flaveola</v>
      </c>
      <c r="H11523" s="6" t="str">
        <f>VLOOKUP(E11523,dicionario!$A$1:$C11922,3,0)</f>
        <v>canário-da-terra</v>
      </c>
    </row>
    <row r="11524">
      <c r="A11524" s="3">
        <v>45848.0</v>
      </c>
      <c r="B11524" s="4">
        <v>0.2638888888888889</v>
      </c>
      <c r="C11524" s="5" t="s">
        <v>90</v>
      </c>
      <c r="D11524" s="5" t="s">
        <v>1625</v>
      </c>
      <c r="E11524" s="8" t="s">
        <v>16</v>
      </c>
      <c r="F11524" s="5" t="s">
        <v>17</v>
      </c>
      <c r="G11524" s="6" t="str">
        <f>VLOOKUP(E11524,dicionario!$A$1:$C11923,2,0)</f>
        <v>Eupetomena macroura</v>
      </c>
      <c r="H11524" s="6" t="str">
        <f>VLOOKUP(E11524,dicionario!$A$1:$C11923,3,0)</f>
        <v>beija-flor-tesoura</v>
      </c>
    </row>
    <row r="11525">
      <c r="A11525" s="3">
        <v>45848.0</v>
      </c>
      <c r="B11525" s="4">
        <v>0.26458333333333334</v>
      </c>
      <c r="C11525" s="5" t="s">
        <v>90</v>
      </c>
      <c r="D11525" s="5" t="s">
        <v>1625</v>
      </c>
      <c r="E11525" s="8" t="s">
        <v>38</v>
      </c>
      <c r="F11525" s="5" t="s">
        <v>1251</v>
      </c>
      <c r="G11525" s="6" t="str">
        <f>VLOOKUP(E11525,dicionario!$A$1:$C11924,2,0)</f>
        <v>Troglodytes musculus</v>
      </c>
      <c r="H11525" s="6" t="str">
        <f>VLOOKUP(E11525,dicionario!$A$1:$C11924,3,0)</f>
        <v>curruíra</v>
      </c>
    </row>
    <row r="11526">
      <c r="A11526" s="3">
        <v>45848.0</v>
      </c>
      <c r="B11526" s="4">
        <v>0.26458333333333334</v>
      </c>
      <c r="C11526" s="5" t="s">
        <v>90</v>
      </c>
      <c r="D11526" s="5" t="s">
        <v>1625</v>
      </c>
      <c r="E11526" s="6" t="s">
        <v>65</v>
      </c>
      <c r="F11526" s="5" t="s">
        <v>66</v>
      </c>
      <c r="G11526" s="6" t="str">
        <f>VLOOKUP(E11526,dicionario!$A$1:$C11925,2,0)</f>
        <v>Pitangus sulphutarus</v>
      </c>
      <c r="H11526" s="6" t="str">
        <f>VLOOKUP(E11526,dicionario!$A$1:$C11925,3,0)</f>
        <v>bem-te-vi</v>
      </c>
    </row>
    <row r="11527">
      <c r="A11527" s="3">
        <v>45848.0</v>
      </c>
      <c r="B11527" s="4">
        <v>0.26458333333333334</v>
      </c>
      <c r="C11527" s="5" t="s">
        <v>90</v>
      </c>
      <c r="D11527" s="5" t="s">
        <v>1625</v>
      </c>
      <c r="E11527" s="6" t="s">
        <v>111</v>
      </c>
      <c r="F11527" s="5" t="s">
        <v>112</v>
      </c>
      <c r="G11527" s="6" t="str">
        <f>VLOOKUP(E11527,dicionario!$A$1:$C11926,2,0)</f>
        <v>Trigona spinipes</v>
      </c>
      <c r="H11527" s="6" t="str">
        <f>VLOOKUP(E11527,dicionario!$A$1:$C11926,3,0)</f>
        <v>abelha-cachorro</v>
      </c>
    </row>
    <row r="11528">
      <c r="A11528" s="3">
        <v>45848.0</v>
      </c>
      <c r="B11528" s="4">
        <v>0.2652777777777778</v>
      </c>
      <c r="C11528" s="5" t="s">
        <v>90</v>
      </c>
      <c r="D11528" s="5" t="s">
        <v>1625</v>
      </c>
      <c r="E11528" s="8" t="s">
        <v>719</v>
      </c>
      <c r="F11528" s="5" t="s">
        <v>720</v>
      </c>
      <c r="G11528" s="6" t="str">
        <f>VLOOKUP(E11528,dicionario!$A$1:$C11927,2,0)</f>
        <v>Dirinaria</v>
      </c>
      <c r="H11528" s="6" t="str">
        <f>VLOOKUP(E11528,dicionario!$A$1:$C11927,3,0)</f>
        <v>líquen-crostoso</v>
      </c>
    </row>
    <row r="11529">
      <c r="A11529" s="3">
        <v>45848.0</v>
      </c>
      <c r="B11529" s="4">
        <v>0.2652777777777778</v>
      </c>
      <c r="C11529" s="5" t="s">
        <v>90</v>
      </c>
      <c r="D11529" s="5" t="s">
        <v>1625</v>
      </c>
      <c r="E11529" s="8" t="s">
        <v>712</v>
      </c>
      <c r="F11529" s="5" t="s">
        <v>718</v>
      </c>
      <c r="G11529" s="6" t="str">
        <f>VLOOKUP(E11529,dicionario!$A$1:$C11928,2,0)</f>
        <v>Flavopunctelia soredica</v>
      </c>
      <c r="H11529" s="6" t="str">
        <f>VLOOKUP(E11529,dicionario!$A$1:$C11928,3,0)</f>
        <v>líquen-folioso</v>
      </c>
    </row>
    <row r="11530">
      <c r="A11530" s="3">
        <v>45848.0</v>
      </c>
      <c r="B11530" s="4">
        <v>0.2652777777777778</v>
      </c>
      <c r="C11530" s="5" t="s">
        <v>90</v>
      </c>
      <c r="D11530" s="5" t="s">
        <v>1625</v>
      </c>
      <c r="E11530" s="8" t="s">
        <v>1617</v>
      </c>
      <c r="F11530" s="5" t="s">
        <v>108</v>
      </c>
      <c r="G11530" s="6" t="str">
        <f>VLOOKUP(E11530,dicionario!$A$1:$C11929,2,0)</f>
        <v>#N/A</v>
      </c>
      <c r="H11530" s="6" t="str">
        <f>VLOOKUP(E11530,dicionario!$A$1:$C11929,3,0)</f>
        <v>#N/A</v>
      </c>
    </row>
    <row r="11531">
      <c r="A11531" s="3">
        <v>45848.0</v>
      </c>
      <c r="B11531" s="4">
        <v>0.2659722222222222</v>
      </c>
      <c r="C11531" s="5" t="s">
        <v>90</v>
      </c>
      <c r="D11531" s="5" t="s">
        <v>1625</v>
      </c>
      <c r="E11531" s="8" t="s">
        <v>752</v>
      </c>
      <c r="F11531" s="5" t="s">
        <v>969</v>
      </c>
      <c r="G11531" s="6" t="str">
        <f>VLOOKUP(E11531,dicionario!$A$1:$C11930,2,0)</f>
        <v>#N/A</v>
      </c>
      <c r="H11531" s="6" t="str">
        <f>VLOOKUP(E11531,dicionario!$A$1:$C11930,3,0)</f>
        <v>#N/A</v>
      </c>
    </row>
    <row r="11532">
      <c r="A11532" s="3">
        <v>45848.0</v>
      </c>
      <c r="B11532" s="4">
        <v>0.2659722222222222</v>
      </c>
      <c r="C11532" s="5" t="s">
        <v>90</v>
      </c>
      <c r="D11532" s="5" t="s">
        <v>1625</v>
      </c>
      <c r="E11532" s="6" t="s">
        <v>213</v>
      </c>
      <c r="F11532" s="5" t="s">
        <v>214</v>
      </c>
      <c r="G11532" s="6" t="str">
        <f>VLOOKUP(E11532,dicionario!$A$1:$C11931,2,0)</f>
        <v>Myiozetetes similis</v>
      </c>
      <c r="H11532" s="6" t="str">
        <f>VLOOKUP(E11532,dicionario!$A$1:$C11931,3,0)</f>
        <v>bentevizinho-de-penacho-vermelho</v>
      </c>
    </row>
    <row r="11533">
      <c r="A11533" s="3">
        <v>45848.0</v>
      </c>
      <c r="B11533" s="4">
        <v>0.2659722222222222</v>
      </c>
      <c r="C11533" s="5" t="s">
        <v>90</v>
      </c>
      <c r="D11533" s="5" t="s">
        <v>1625</v>
      </c>
      <c r="E11533" s="6" t="s">
        <v>43</v>
      </c>
      <c r="F11533" s="5" t="s">
        <v>44</v>
      </c>
      <c r="G11533" s="6" t="str">
        <f>VLOOKUP(E11533,dicionario!$A$1:$C11932,2,0)</f>
        <v>Columba livia</v>
      </c>
      <c r="H11533" s="6" t="str">
        <f>VLOOKUP(E11533,dicionario!$A$1:$C11932,3,0)</f>
        <v>pombo-doméstico</v>
      </c>
    </row>
    <row r="11534">
      <c r="A11534" s="3">
        <v>45848.0</v>
      </c>
      <c r="B11534" s="4">
        <v>0.26666666666666666</v>
      </c>
      <c r="C11534" s="5" t="s">
        <v>90</v>
      </c>
      <c r="D11534" s="5" t="s">
        <v>1625</v>
      </c>
      <c r="E11534" s="8" t="s">
        <v>1344</v>
      </c>
      <c r="F11534" s="5" t="s">
        <v>47</v>
      </c>
      <c r="G11534" s="6" t="str">
        <f>VLOOKUP(E11534,dicionario!$A$1:$C11933,2,0)</f>
        <v>#N/A</v>
      </c>
      <c r="H11534" s="6" t="str">
        <f>VLOOKUP(E11534,dicionario!$A$1:$C11933,3,0)</f>
        <v>#N/A</v>
      </c>
    </row>
    <row r="11535">
      <c r="A11535" s="3">
        <v>45848.0</v>
      </c>
      <c r="B11535" s="4">
        <v>0.26944444444444443</v>
      </c>
      <c r="C11535" s="5" t="s">
        <v>90</v>
      </c>
      <c r="D11535" s="5" t="s">
        <v>1625</v>
      </c>
      <c r="E11535" s="6" t="s">
        <v>91</v>
      </c>
      <c r="F11535" s="5" t="s">
        <v>1385</v>
      </c>
      <c r="G11535" s="6" t="str">
        <f>VLOOKUP(E11535,dicionario!$A$1:$C11934,2,0)</f>
        <v>Picumnus cirratus</v>
      </c>
      <c r="H11535" s="6" t="str">
        <f>VLOOKUP(E11535,dicionario!$A$1:$C11934,3,0)</f>
        <v>picapauzinho-barrado</v>
      </c>
    </row>
    <row r="11536">
      <c r="A11536" s="3">
        <v>45848.0</v>
      </c>
      <c r="B11536" s="4">
        <v>0.26944444444444443</v>
      </c>
      <c r="C11536" s="5" t="s">
        <v>90</v>
      </c>
      <c r="D11536" s="5" t="s">
        <v>1625</v>
      </c>
      <c r="E11536" s="8" t="s">
        <v>109</v>
      </c>
      <c r="F11536" s="5" t="s">
        <v>110</v>
      </c>
      <c r="G11536" s="6" t="str">
        <f>VLOOKUP(E11536,dicionario!$A$1:$C11935,2,0)</f>
        <v>Tillandsia stricta</v>
      </c>
      <c r="H11536" s="6" t="str">
        <f>VLOOKUP(E11536,dicionario!$A$1:$C11935,3,0)</f>
        <v>cravo-do-mato</v>
      </c>
    </row>
    <row r="11537">
      <c r="A11537" s="3">
        <v>45848.0</v>
      </c>
      <c r="B11537" s="4">
        <v>0.26944444444444443</v>
      </c>
      <c r="C11537" s="5" t="s">
        <v>90</v>
      </c>
      <c r="D11537" s="5" t="s">
        <v>1625</v>
      </c>
      <c r="E11537" s="10" t="s">
        <v>101</v>
      </c>
      <c r="F11537" s="5" t="s">
        <v>1626</v>
      </c>
      <c r="G11537" s="6" t="str">
        <f>VLOOKUP(E11537,dicionario!$A$1:$C11936,2,0)</f>
        <v>Nemosia pileata</v>
      </c>
      <c r="H11537" s="6" t="str">
        <f>VLOOKUP(E11537,dicionario!$A$1:$C11936,3,0)</f>
        <v>saíra-de-chapéu-preto</v>
      </c>
    </row>
    <row r="11538">
      <c r="A11538" s="3">
        <v>45848.0</v>
      </c>
      <c r="B11538" s="4">
        <v>0.2708333333333333</v>
      </c>
      <c r="C11538" s="5" t="s">
        <v>90</v>
      </c>
      <c r="D11538" s="5" t="s">
        <v>1625</v>
      </c>
      <c r="E11538" s="6" t="s">
        <v>163</v>
      </c>
      <c r="F11538" s="5" t="s">
        <v>164</v>
      </c>
      <c r="G11538" s="6" t="str">
        <f>VLOOKUP(E11538,dicionario!$A$1:$C11937,2,0)</f>
        <v>Coragyps atratus</v>
      </c>
      <c r="H11538" s="6" t="str">
        <f>VLOOKUP(E11538,dicionario!$A$1:$C11937,3,0)</f>
        <v>urubu-de-cabeça-preta</v>
      </c>
    </row>
    <row r="11539">
      <c r="A11539" s="3">
        <v>45848.0</v>
      </c>
      <c r="B11539" s="4">
        <v>0.2708333333333333</v>
      </c>
      <c r="C11539" s="5" t="s">
        <v>90</v>
      </c>
      <c r="D11539" s="5" t="s">
        <v>1625</v>
      </c>
      <c r="E11539" s="6" t="s">
        <v>113</v>
      </c>
      <c r="F11539" s="5" t="s">
        <v>114</v>
      </c>
      <c r="G11539" s="6" t="str">
        <f>VLOOKUP(E11539,dicionario!$A$1:$C11938,2,0)</f>
        <v>Columbina talpacoti</v>
      </c>
      <c r="H11539" s="6" t="str">
        <f>VLOOKUP(E11539,dicionario!$A$1:$C11938,3,0)</f>
        <v>rolinha-roxa</v>
      </c>
    </row>
    <row r="11540">
      <c r="A11540" s="3">
        <v>45848.0</v>
      </c>
      <c r="B11540" s="4">
        <v>0.27152777777777776</v>
      </c>
      <c r="C11540" s="5" t="s">
        <v>90</v>
      </c>
      <c r="D11540" s="5" t="s">
        <v>1625</v>
      </c>
      <c r="E11540" s="6" t="s">
        <v>86</v>
      </c>
      <c r="F11540" s="5" t="s">
        <v>502</v>
      </c>
      <c r="G11540" s="6" t="str">
        <f>VLOOKUP(E11540,dicionario!$A$1:$C11939,2,0)</f>
        <v>Coereba flaveola</v>
      </c>
      <c r="H11540" s="6" t="str">
        <f>VLOOKUP(E11540,dicionario!$A$1:$C11939,3,0)</f>
        <v>cambacica</v>
      </c>
    </row>
    <row r="11541">
      <c r="A11541" s="3">
        <v>45848.0</v>
      </c>
      <c r="B11541" s="4">
        <v>0.275</v>
      </c>
      <c r="C11541" s="5" t="s">
        <v>85</v>
      </c>
      <c r="D11541" s="5" t="s">
        <v>1625</v>
      </c>
      <c r="E11541" s="8" t="s">
        <v>88</v>
      </c>
      <c r="F11541" s="5" t="s">
        <v>782</v>
      </c>
      <c r="G11541" s="6" t="str">
        <f>VLOOKUP(E11541,dicionario!$A$1:$C11940,2,0)</f>
        <v>Tyrannus melancolichus</v>
      </c>
      <c r="H11541" s="6" t="str">
        <f>VLOOKUP(E11541,dicionario!$A$1:$C11940,3,0)</f>
        <v>suiriri</v>
      </c>
    </row>
    <row r="11542">
      <c r="A11542" s="3">
        <v>45848.0</v>
      </c>
      <c r="B11542" s="4">
        <v>0.275</v>
      </c>
      <c r="C11542" s="5" t="s">
        <v>85</v>
      </c>
      <c r="D11542" s="5" t="s">
        <v>1625</v>
      </c>
      <c r="E11542" s="6" t="s">
        <v>177</v>
      </c>
      <c r="F11542" s="5" t="s">
        <v>178</v>
      </c>
      <c r="G11542" s="6" t="str">
        <f>VLOOKUP(E11542,dicionario!$A$1:$C11941,2,0)</f>
        <v>Elaenia flavogaster</v>
      </c>
      <c r="H11542" s="6" t="str">
        <f>VLOOKUP(E11542,dicionario!$A$1:$C11941,3,0)</f>
        <v>guaracava-de-barriga-amarela</v>
      </c>
    </row>
    <row r="11543">
      <c r="A11543" s="3">
        <v>45848.0</v>
      </c>
      <c r="B11543" s="4">
        <v>0.275</v>
      </c>
      <c r="C11543" s="5" t="s">
        <v>85</v>
      </c>
      <c r="D11543" s="5" t="s">
        <v>1625</v>
      </c>
      <c r="E11543" s="6" t="s">
        <v>93</v>
      </c>
      <c r="F11543" s="5" t="s">
        <v>73</v>
      </c>
      <c r="G11543" s="6" t="str">
        <f>VLOOKUP(E11543,dicionario!$A$1:$C11942,2,0)</f>
        <v>Thraupis sayaca</v>
      </c>
      <c r="H11543" s="6" t="str">
        <f>VLOOKUP(E11543,dicionario!$A$1:$C11942,3,0)</f>
        <v>sanhaçu-cinzento</v>
      </c>
    </row>
    <row r="11544">
      <c r="A11544" s="3">
        <v>45848.0</v>
      </c>
      <c r="B11544" s="4">
        <v>0.27569444444444446</v>
      </c>
      <c r="C11544" s="5" t="s">
        <v>85</v>
      </c>
      <c r="D11544" s="5" t="s">
        <v>1625</v>
      </c>
      <c r="E11544" s="8" t="s">
        <v>38</v>
      </c>
      <c r="F11544" s="5" t="s">
        <v>1251</v>
      </c>
      <c r="G11544" s="6" t="str">
        <f>VLOOKUP(E11544,dicionario!$A$1:$C11943,2,0)</f>
        <v>Troglodytes musculus</v>
      </c>
      <c r="H11544" s="6" t="str">
        <f>VLOOKUP(E11544,dicionario!$A$1:$C11943,3,0)</f>
        <v>curruíra</v>
      </c>
    </row>
    <row r="11545">
      <c r="A11545" s="3">
        <v>45848.0</v>
      </c>
      <c r="B11545" s="4">
        <v>0.27569444444444446</v>
      </c>
      <c r="C11545" s="5" t="s">
        <v>85</v>
      </c>
      <c r="D11545" s="5" t="s">
        <v>1625</v>
      </c>
      <c r="E11545" s="8" t="s">
        <v>122</v>
      </c>
      <c r="F11545" s="5" t="s">
        <v>123</v>
      </c>
      <c r="G11545" s="6" t="str">
        <f>VLOOKUP(E11545,dicionario!$A$1:$C11944,2,0)</f>
        <v>Todirostrum cinereum</v>
      </c>
      <c r="H11545" s="6" t="str">
        <f>VLOOKUP(E11545,dicionario!$A$1:$C11944,3,0)</f>
        <v>ferreirinho-relógio</v>
      </c>
    </row>
    <row r="11546">
      <c r="A11546" s="3">
        <v>45848.0</v>
      </c>
      <c r="B11546" s="4">
        <v>0.2763888888888889</v>
      </c>
      <c r="C11546" s="5" t="s">
        <v>85</v>
      </c>
      <c r="D11546" s="5" t="s">
        <v>1625</v>
      </c>
      <c r="E11546" s="8" t="s">
        <v>109</v>
      </c>
      <c r="F11546" s="5" t="s">
        <v>110</v>
      </c>
      <c r="G11546" s="6" t="str">
        <f>VLOOKUP(E11546,dicionario!$A$1:$C11945,2,0)</f>
        <v>Tillandsia stricta</v>
      </c>
      <c r="H11546" s="6" t="str">
        <f>VLOOKUP(E11546,dicionario!$A$1:$C11945,3,0)</f>
        <v>cravo-do-mato</v>
      </c>
    </row>
    <row r="11547">
      <c r="A11547" s="3">
        <v>45848.0</v>
      </c>
      <c r="B11547" s="4">
        <v>0.2763888888888889</v>
      </c>
      <c r="C11547" s="5" t="s">
        <v>85</v>
      </c>
      <c r="D11547" s="5" t="s">
        <v>1625</v>
      </c>
      <c r="E11547" s="8" t="s">
        <v>200</v>
      </c>
      <c r="F11547" s="5" t="s">
        <v>201</v>
      </c>
      <c r="G11547" s="6" t="str">
        <f>VLOOKUP(E11547,dicionario!$A$1:$C11946,2,0)</f>
        <v>Columbina picui </v>
      </c>
      <c r="H11547" s="6" t="str">
        <f>VLOOKUP(E11547,dicionario!$A$1:$C11946,3,0)</f>
        <v>rolinha-picuí</v>
      </c>
    </row>
    <row r="11548">
      <c r="A11548" s="3">
        <v>45848.0</v>
      </c>
      <c r="B11548" s="4">
        <v>0.2763888888888889</v>
      </c>
      <c r="C11548" s="5" t="s">
        <v>85</v>
      </c>
      <c r="D11548" s="5" t="s">
        <v>1625</v>
      </c>
      <c r="E11548" s="8" t="s">
        <v>732</v>
      </c>
      <c r="F11548" s="5"/>
      <c r="G11548" s="6" t="str">
        <f>VLOOKUP(E11548,dicionario!$A$1:$C11947,2,0)</f>
        <v>#N/A</v>
      </c>
      <c r="H11548" s="6" t="str">
        <f>VLOOKUP(E11548,dicionario!$A$1:$C11947,3,0)</f>
        <v>#N/A</v>
      </c>
    </row>
    <row r="11549">
      <c r="A11549" s="3">
        <v>45848.0</v>
      </c>
      <c r="B11549" s="4">
        <v>0.27708333333333335</v>
      </c>
      <c r="C11549" s="5" t="s">
        <v>85</v>
      </c>
      <c r="D11549" s="5" t="s">
        <v>1625</v>
      </c>
      <c r="E11549" s="8" t="s">
        <v>1167</v>
      </c>
      <c r="F11549" s="61" t="s">
        <v>1168</v>
      </c>
      <c r="G11549" s="6" t="str">
        <f>VLOOKUP(E11549,dicionario!$A$1:$C11948,2,0)</f>
        <v>Tillandsia recurvata</v>
      </c>
      <c r="H11549" s="6" t="str">
        <f>VLOOKUP(E11549,dicionario!$A$1:$C11948,3,0)</f>
        <v>cravo-do-mato sp2</v>
      </c>
    </row>
    <row r="11550">
      <c r="A11550" s="3">
        <v>45848.0</v>
      </c>
      <c r="B11550" s="4">
        <v>0.27708333333333335</v>
      </c>
      <c r="C11550" s="5" t="s">
        <v>85</v>
      </c>
      <c r="D11550" s="5" t="s">
        <v>1625</v>
      </c>
      <c r="E11550" s="6" t="s">
        <v>383</v>
      </c>
      <c r="F11550" s="5" t="s">
        <v>384</v>
      </c>
      <c r="G11550" s="6" t="str">
        <f>VLOOKUP(E11550,dicionario!$A$1:$C11949,2,0)</f>
        <v>Setophaga pitiayumi</v>
      </c>
      <c r="H11550" s="6" t="str">
        <f>VLOOKUP(E11550,dicionario!$A$1:$C11949,3,0)</f>
        <v>mariquita</v>
      </c>
    </row>
    <row r="11551">
      <c r="A11551" s="3">
        <v>45848.0</v>
      </c>
      <c r="B11551" s="4">
        <v>0.27708333333333335</v>
      </c>
      <c r="C11551" s="5" t="s">
        <v>85</v>
      </c>
      <c r="D11551" s="5" t="s">
        <v>1625</v>
      </c>
      <c r="E11551" s="8" t="s">
        <v>162</v>
      </c>
      <c r="F11551" s="5" t="s">
        <v>42</v>
      </c>
      <c r="G11551" s="6" t="str">
        <f>VLOOKUP(E11551,dicionario!$A$1:$C11950,2,0)</f>
        <v>Fluvicola nengeta</v>
      </c>
      <c r="H11551" s="6" t="str">
        <f>VLOOKUP(E11551,dicionario!$A$1:$C11950,3,0)</f>
        <v>lavadeira-mascarada</v>
      </c>
    </row>
    <row r="11552">
      <c r="A11552" s="3">
        <v>45848.0</v>
      </c>
      <c r="B11552" s="4">
        <v>0.27708333333333335</v>
      </c>
      <c r="C11552" s="5" t="s">
        <v>85</v>
      </c>
      <c r="D11552" s="5" t="s">
        <v>1625</v>
      </c>
      <c r="E11552" s="6" t="s">
        <v>213</v>
      </c>
      <c r="F11552" s="5" t="s">
        <v>1627</v>
      </c>
      <c r="G11552" s="6" t="str">
        <f>VLOOKUP(E11552,dicionario!$A$1:$C11951,2,0)</f>
        <v>Myiozetetes similis</v>
      </c>
      <c r="H11552" s="6" t="str">
        <f>VLOOKUP(E11552,dicionario!$A$1:$C11951,3,0)</f>
        <v>bentevizinho-de-penacho-vermelho</v>
      </c>
    </row>
    <row r="11553">
      <c r="A11553" s="3">
        <v>45848.0</v>
      </c>
      <c r="B11553" s="4">
        <v>0.27708333333333335</v>
      </c>
      <c r="C11553" s="5" t="s">
        <v>85</v>
      </c>
      <c r="D11553" s="5" t="s">
        <v>1625</v>
      </c>
      <c r="E11553" s="8" t="s">
        <v>20</v>
      </c>
      <c r="F11553" s="5" t="s">
        <v>21</v>
      </c>
      <c r="G11553" s="6" t="str">
        <f>VLOOKUP(E11553,dicionario!$A$1:$C11952,2,0)</f>
        <v>Sicalis flaveola</v>
      </c>
      <c r="H11553" s="6" t="str">
        <f>VLOOKUP(E11553,dicionario!$A$1:$C11952,3,0)</f>
        <v>canário-da-terra</v>
      </c>
    </row>
    <row r="11554">
      <c r="A11554" s="3">
        <v>45848.0</v>
      </c>
      <c r="B11554" s="4">
        <v>0.2777777777777778</v>
      </c>
      <c r="C11554" s="5" t="s">
        <v>85</v>
      </c>
      <c r="D11554" s="5" t="s">
        <v>1625</v>
      </c>
      <c r="E11554" s="6" t="s">
        <v>113</v>
      </c>
      <c r="F11554" s="5" t="s">
        <v>114</v>
      </c>
      <c r="G11554" s="6" t="str">
        <f>VLOOKUP(E11554,dicionario!$A$1:$C11953,2,0)</f>
        <v>Columbina talpacoti</v>
      </c>
      <c r="H11554" s="6" t="str">
        <f>VLOOKUP(E11554,dicionario!$A$1:$C11953,3,0)</f>
        <v>rolinha-roxa</v>
      </c>
    </row>
    <row r="11555">
      <c r="A11555" s="3">
        <v>45848.0</v>
      </c>
      <c r="B11555" s="4">
        <v>0.2798611111111111</v>
      </c>
      <c r="C11555" s="5" t="s">
        <v>85</v>
      </c>
      <c r="D11555" s="5" t="s">
        <v>1625</v>
      </c>
      <c r="E11555" s="8" t="s">
        <v>1112</v>
      </c>
      <c r="F11555" s="5" t="s">
        <v>1113</v>
      </c>
      <c r="G11555" s="6" t="str">
        <f>VLOOKUP(E11555,dicionario!$A$1:$C11954,2,0)</f>
        <v>Hylophilus thoracicus</v>
      </c>
      <c r="H11555" s="6" t="str">
        <f>VLOOKUP(E11555,dicionario!$A$1:$C11954,3,0)</f>
        <v>vite-vite</v>
      </c>
    </row>
    <row r="11556">
      <c r="A11556" s="3">
        <v>45848.0</v>
      </c>
      <c r="B11556" s="4">
        <v>0.28055555555555556</v>
      </c>
      <c r="C11556" s="5" t="s">
        <v>85</v>
      </c>
      <c r="D11556" s="5" t="s">
        <v>1625</v>
      </c>
      <c r="E11556" s="8" t="s">
        <v>909</v>
      </c>
      <c r="F11556" s="5" t="s">
        <v>910</v>
      </c>
      <c r="G11556" s="6" t="str">
        <f>VLOOKUP(E11556,dicionario!$A$1:$C11955,2,0)</f>
        <v>Chordeiles acutipennis</v>
      </c>
      <c r="H11556" s="6" t="str">
        <f>VLOOKUP(E11556,dicionario!$A$1:$C11955,3,0)</f>
        <v>bacurau-de-asa-fina</v>
      </c>
    </row>
    <row r="11557">
      <c r="A11557" s="3">
        <v>45848.0</v>
      </c>
      <c r="B11557" s="4">
        <v>0.28194444444444444</v>
      </c>
      <c r="C11557" s="5" t="s">
        <v>85</v>
      </c>
      <c r="D11557" s="5" t="s">
        <v>1625</v>
      </c>
      <c r="E11557" s="6" t="s">
        <v>53</v>
      </c>
      <c r="F11557" s="5" t="s">
        <v>54</v>
      </c>
      <c r="G11557" s="6" t="str">
        <f>VLOOKUP(E11557,dicionario!$A$1:$C11956,2,0)</f>
        <v>Turnera subulata</v>
      </c>
      <c r="H11557" s="6" t="str">
        <f>VLOOKUP(E11557,dicionario!$A$1:$C11956,3,0)</f>
        <v>xanana</v>
      </c>
    </row>
    <row r="11558">
      <c r="A11558" s="3">
        <v>45848.0</v>
      </c>
      <c r="B11558" s="4">
        <v>0.28402777777777777</v>
      </c>
      <c r="C11558" s="5" t="s">
        <v>76</v>
      </c>
      <c r="D11558" s="5" t="s">
        <v>1625</v>
      </c>
      <c r="E11558" s="8" t="s">
        <v>16</v>
      </c>
      <c r="F11558" s="5" t="s">
        <v>17</v>
      </c>
      <c r="G11558" s="6" t="str">
        <f>VLOOKUP(E11558,dicionario!$A$1:$C11957,2,0)</f>
        <v>Eupetomena macroura</v>
      </c>
      <c r="H11558" s="6" t="str">
        <f>VLOOKUP(E11558,dicionario!$A$1:$C11957,3,0)</f>
        <v>beija-flor-tesoura</v>
      </c>
    </row>
    <row r="11559">
      <c r="A11559" s="3">
        <v>45848.0</v>
      </c>
      <c r="B11559" s="4">
        <v>0.28402777777777777</v>
      </c>
      <c r="C11559" s="5" t="s">
        <v>76</v>
      </c>
      <c r="D11559" s="5" t="s">
        <v>1625</v>
      </c>
      <c r="E11559" s="28" t="s">
        <v>560</v>
      </c>
      <c r="F11559" s="5" t="s">
        <v>561</v>
      </c>
      <c r="G11559" s="6" t="str">
        <f>VLOOKUP(E11559,dicionario!$A$1:$C11958,2,0)</f>
        <v>Megarynchus pitangua</v>
      </c>
      <c r="H11559" s="6" t="str">
        <f>VLOOKUP(E11559,dicionario!$A$1:$C11958,3,0)</f>
        <v>neinei</v>
      </c>
    </row>
    <row r="11560">
      <c r="A11560" s="3">
        <v>45848.0</v>
      </c>
      <c r="B11560" s="4">
        <v>0.28402777777777777</v>
      </c>
      <c r="C11560" s="5" t="s">
        <v>76</v>
      </c>
      <c r="D11560" s="5" t="s">
        <v>1625</v>
      </c>
      <c r="E11560" s="6" t="s">
        <v>148</v>
      </c>
      <c r="F11560" s="5" t="s">
        <v>149</v>
      </c>
      <c r="G11560" s="6" t="str">
        <f>VLOOKUP(E11560,dicionario!$A$1:$C11959,2,0)</f>
        <v>Parthenium hysterophorus</v>
      </c>
      <c r="H11560" s="6" t="str">
        <f>VLOOKUP(E11560,dicionario!$A$1:$C11959,3,0)</f>
        <v>losna-branca</v>
      </c>
    </row>
    <row r="11561">
      <c r="A11561" s="3">
        <v>45848.0</v>
      </c>
      <c r="B11561" s="4">
        <v>0.28402777777777777</v>
      </c>
      <c r="C11561" s="5" t="s">
        <v>76</v>
      </c>
      <c r="D11561" s="5" t="s">
        <v>1625</v>
      </c>
      <c r="E11561" s="6" t="s">
        <v>141</v>
      </c>
      <c r="F11561" s="5" t="s">
        <v>142</v>
      </c>
      <c r="G11561" s="6" t="str">
        <f>VLOOKUP(E11561,dicionario!$A$1:$C11960,2,0)</f>
        <v>Ruellia blechum</v>
      </c>
      <c r="H11561" s="6" t="str">
        <f>VLOOKUP(E11561,dicionario!$A$1:$C11960,3,0)</f>
        <v>camarão-verde</v>
      </c>
    </row>
    <row r="11562">
      <c r="A11562" s="3">
        <v>45848.0</v>
      </c>
      <c r="B11562" s="4">
        <v>0.2847222222222222</v>
      </c>
      <c r="C11562" s="5" t="s">
        <v>76</v>
      </c>
      <c r="D11562" s="5" t="s">
        <v>1625</v>
      </c>
      <c r="E11562" s="8" t="s">
        <v>732</v>
      </c>
      <c r="F11562" s="5"/>
      <c r="G11562" s="6" t="str">
        <f>VLOOKUP(E11562,dicionario!$A$1:$C11961,2,0)</f>
        <v>#N/A</v>
      </c>
      <c r="H11562" s="6" t="str">
        <f>VLOOKUP(E11562,dicionario!$A$1:$C11961,3,0)</f>
        <v>#N/A</v>
      </c>
    </row>
    <row r="11563">
      <c r="A11563" s="3">
        <v>45848.0</v>
      </c>
      <c r="B11563" s="4">
        <v>0.2847222222222222</v>
      </c>
      <c r="C11563" s="5" t="s">
        <v>76</v>
      </c>
      <c r="D11563" s="5" t="s">
        <v>1625</v>
      </c>
      <c r="E11563" s="6" t="s">
        <v>146</v>
      </c>
      <c r="F11563" s="5" t="s">
        <v>147</v>
      </c>
      <c r="G11563" s="6" t="str">
        <f>VLOOKUP(E11563,dicionario!$A$1:$C11962,2,0)</f>
        <v>Euphorbia hirta</v>
      </c>
      <c r="H11563" s="6" t="str">
        <f>VLOOKUP(E11563,dicionario!$A$1:$C11962,3,0)</f>
        <v>erva-de-santa-luzia</v>
      </c>
    </row>
    <row r="11564">
      <c r="A11564" s="3">
        <v>45848.0</v>
      </c>
      <c r="B11564" s="4">
        <v>0.2847222222222222</v>
      </c>
      <c r="C11564" s="5" t="s">
        <v>76</v>
      </c>
      <c r="D11564" s="5" t="s">
        <v>1625</v>
      </c>
      <c r="E11564" s="6" t="s">
        <v>355</v>
      </c>
      <c r="F11564" s="5" t="s">
        <v>356</v>
      </c>
      <c r="G11564" s="6" t="str">
        <f>VLOOKUP(E11564,dicionario!$A$1:$C11963,2,0)</f>
        <v>Boerhavia diffusa</v>
      </c>
      <c r="H11564" s="6" t="str">
        <f>VLOOKUP(E11564,dicionario!$A$1:$C11963,3,0)</f>
        <v>erva-tostão</v>
      </c>
    </row>
    <row r="11565">
      <c r="A11565" s="3">
        <v>45848.0</v>
      </c>
      <c r="B11565" s="4">
        <v>0.2847222222222222</v>
      </c>
      <c r="C11565" s="5" t="s">
        <v>76</v>
      </c>
      <c r="D11565" s="5" t="s">
        <v>1625</v>
      </c>
      <c r="E11565" s="6" t="s">
        <v>225</v>
      </c>
      <c r="F11565" s="5" t="s">
        <v>226</v>
      </c>
      <c r="G11565" s="6" t="str">
        <f>VLOOKUP(E11565,dicionario!$A$1:$C11964,2,0)</f>
        <v>Passer domesticus</v>
      </c>
      <c r="H11565" s="6" t="str">
        <f>VLOOKUP(E11565,dicionario!$A$1:$C11964,3,0)</f>
        <v>pardal</v>
      </c>
    </row>
    <row r="11566">
      <c r="A11566" s="3">
        <v>45848.0</v>
      </c>
      <c r="B11566" s="4">
        <v>0.28541666666666665</v>
      </c>
      <c r="C11566" s="5" t="s">
        <v>76</v>
      </c>
      <c r="D11566" s="5" t="s">
        <v>1625</v>
      </c>
      <c r="E11566" s="8" t="s">
        <v>154</v>
      </c>
      <c r="F11566" s="5" t="s">
        <v>155</v>
      </c>
      <c r="G11566" s="6" t="str">
        <f>VLOOKUP(E11566,dicionario!$A$1:$C11965,2,0)</f>
        <v>Cyperus rotundus</v>
      </c>
      <c r="H11566" s="6" t="str">
        <f>VLOOKUP(E11566,dicionario!$A$1:$C11965,3,0)</f>
        <v>tiririca</v>
      </c>
    </row>
    <row r="11567">
      <c r="A11567" s="3">
        <v>45848.0</v>
      </c>
      <c r="B11567" s="4">
        <v>0.28541666666666665</v>
      </c>
      <c r="C11567" s="5" t="s">
        <v>76</v>
      </c>
      <c r="D11567" s="5" t="s">
        <v>1625</v>
      </c>
      <c r="E11567" s="6" t="s">
        <v>288</v>
      </c>
      <c r="F11567" s="5" t="s">
        <v>289</v>
      </c>
      <c r="G11567" s="6" t="str">
        <f>VLOOKUP(E11567,dicionario!$A$1:$C11966,2,0)</f>
        <v>Phyllanthus tenellus</v>
      </c>
      <c r="H11567" s="6" t="str">
        <f>VLOOKUP(E11567,dicionario!$A$1:$C11966,3,0)</f>
        <v>quebra-pedra</v>
      </c>
    </row>
    <row r="11568">
      <c r="A11568" s="3">
        <v>45848.0</v>
      </c>
      <c r="B11568" s="4">
        <v>0.28541666666666665</v>
      </c>
      <c r="C11568" s="5" t="s">
        <v>76</v>
      </c>
      <c r="D11568" s="5" t="s">
        <v>1625</v>
      </c>
      <c r="E11568" s="6" t="s">
        <v>48</v>
      </c>
      <c r="F11568" s="5" t="s">
        <v>49</v>
      </c>
      <c r="G11568" s="6" t="str">
        <f>VLOOKUP(E11568,dicionario!$A$1:$C11967,2,0)</f>
        <v>Commelina erecta</v>
      </c>
      <c r="H11568" s="6" t="str">
        <f>VLOOKUP(E11568,dicionario!$A$1:$C11967,3,0)</f>
        <v>trapoeraba</v>
      </c>
    </row>
    <row r="11569">
      <c r="A11569" s="3">
        <v>45848.0</v>
      </c>
      <c r="B11569" s="4">
        <v>0.28541666666666665</v>
      </c>
      <c r="C11569" s="5" t="s">
        <v>76</v>
      </c>
      <c r="D11569" s="5" t="s">
        <v>1625</v>
      </c>
      <c r="E11569" s="6" t="s">
        <v>177</v>
      </c>
      <c r="F11569" s="5" t="s">
        <v>178</v>
      </c>
      <c r="G11569" s="6" t="str">
        <f>VLOOKUP(E11569,dicionario!$A$1:$C11968,2,0)</f>
        <v>Elaenia flavogaster</v>
      </c>
      <c r="H11569" s="6" t="str">
        <f>VLOOKUP(E11569,dicionario!$A$1:$C11968,3,0)</f>
        <v>guaracava-de-barriga-amarela</v>
      </c>
    </row>
    <row r="11570">
      <c r="A11570" s="3">
        <v>45848.0</v>
      </c>
      <c r="B11570" s="4">
        <v>0.2861111111111111</v>
      </c>
      <c r="C11570" s="5" t="s">
        <v>76</v>
      </c>
      <c r="D11570" s="5" t="s">
        <v>1625</v>
      </c>
      <c r="E11570" s="8" t="s">
        <v>38</v>
      </c>
      <c r="F11570" s="5" t="s">
        <v>1251</v>
      </c>
      <c r="G11570" s="6" t="str">
        <f>VLOOKUP(E11570,dicionario!$A$1:$C11969,2,0)</f>
        <v>Troglodytes musculus</v>
      </c>
      <c r="H11570" s="6" t="str">
        <f>VLOOKUP(E11570,dicionario!$A$1:$C11969,3,0)</f>
        <v>curruíra</v>
      </c>
    </row>
    <row r="11571">
      <c r="A11571" s="3">
        <v>45848.0</v>
      </c>
      <c r="B11571" s="4">
        <v>0.2861111111111111</v>
      </c>
      <c r="C11571" s="5" t="s">
        <v>76</v>
      </c>
      <c r="D11571" s="5" t="s">
        <v>1625</v>
      </c>
      <c r="E11571" s="6" t="s">
        <v>319</v>
      </c>
      <c r="F11571" s="5" t="s">
        <v>320</v>
      </c>
      <c r="G11571" s="6" t="str">
        <f>VLOOKUP(E11571,dicionario!$A$1:$C11970,2,0)</f>
        <v>Schinus terebinthifolia</v>
      </c>
      <c r="H11571" s="6" t="str">
        <f>VLOOKUP(E11571,dicionario!$A$1:$C11970,3,0)</f>
        <v>aroeira</v>
      </c>
    </row>
    <row r="11572">
      <c r="A11572" s="3">
        <v>45848.0</v>
      </c>
      <c r="B11572" s="4">
        <v>0.2861111111111111</v>
      </c>
      <c r="C11572" s="5" t="s">
        <v>76</v>
      </c>
      <c r="D11572" s="5" t="s">
        <v>1625</v>
      </c>
      <c r="E11572" s="6" t="s">
        <v>247</v>
      </c>
      <c r="F11572" s="5" t="s">
        <v>387</v>
      </c>
      <c r="G11572" s="6" t="str">
        <f>VLOOKUP(E11572,dicionario!$A$1:$C11971,2,0)</f>
        <v>Emilia sonchifolia</v>
      </c>
      <c r="H11572" s="6" t="str">
        <f>VLOOKUP(E11572,dicionario!$A$1:$C11971,3,0)</f>
        <v>serralinha</v>
      </c>
    </row>
    <row r="11573">
      <c r="A11573" s="3">
        <v>45848.0</v>
      </c>
      <c r="B11573" s="4">
        <v>0.2861111111111111</v>
      </c>
      <c r="C11573" s="5" t="s">
        <v>76</v>
      </c>
      <c r="D11573" s="5" t="s">
        <v>1625</v>
      </c>
      <c r="E11573" s="6" t="s">
        <v>265</v>
      </c>
      <c r="F11573" s="5" t="s">
        <v>1628</v>
      </c>
      <c r="G11573" s="6" t="str">
        <f>VLOOKUP(E11573,dicionario!$A$1:$C11972,2,0)</f>
        <v>Sonchus oleraceus</v>
      </c>
      <c r="H11573" s="6" t="str">
        <f>VLOOKUP(E11573,dicionario!$A$1:$C11972,3,0)</f>
        <v>seralha</v>
      </c>
    </row>
    <row r="11574">
      <c r="A11574" s="3">
        <v>45848.0</v>
      </c>
      <c r="B11574" s="4">
        <v>0.2861111111111111</v>
      </c>
      <c r="C11574" s="5" t="s">
        <v>76</v>
      </c>
      <c r="D11574" s="5" t="s">
        <v>1625</v>
      </c>
      <c r="E11574" s="6" t="s">
        <v>74</v>
      </c>
      <c r="F11574" s="5" t="s">
        <v>1472</v>
      </c>
      <c r="G11574" s="6" t="str">
        <f>VLOOKUP(E11574,dicionario!$A$1:$C11973,2,0)</f>
        <v>Crotophaga ani</v>
      </c>
      <c r="H11574" s="6" t="str">
        <f>VLOOKUP(E11574,dicionario!$A$1:$C11973,3,0)</f>
        <v>anu-preto</v>
      </c>
    </row>
    <row r="11575">
      <c r="A11575" s="3">
        <v>45848.0</v>
      </c>
      <c r="B11575" s="4">
        <v>0.2875</v>
      </c>
      <c r="C11575" s="5" t="s">
        <v>76</v>
      </c>
      <c r="D11575" s="5" t="s">
        <v>1625</v>
      </c>
      <c r="E11575" s="6" t="s">
        <v>467</v>
      </c>
      <c r="F11575" s="5" t="s">
        <v>468</v>
      </c>
      <c r="G11575" s="6" t="str">
        <f>VLOOKUP(E11575,dicionario!$A$1:$C11974,2,0)</f>
        <v>Eleusine indica</v>
      </c>
      <c r="H11575" s="6" t="str">
        <f>VLOOKUP(E11575,dicionario!$A$1:$C11974,3,0)</f>
        <v>capim-pé-de-galinha</v>
      </c>
    </row>
    <row r="11576">
      <c r="A11576" s="3">
        <v>45848.0</v>
      </c>
      <c r="B11576" s="4">
        <v>0.2875</v>
      </c>
      <c r="C11576" s="5" t="s">
        <v>76</v>
      </c>
      <c r="D11576" s="5" t="s">
        <v>1625</v>
      </c>
      <c r="E11576" s="6" t="s">
        <v>613</v>
      </c>
      <c r="F11576" s="5" t="s">
        <v>614</v>
      </c>
      <c r="G11576" s="6" t="str">
        <f>VLOOKUP(E11576,dicionario!$A$1:$C11975,2,0)</f>
        <v>Euphorbia hyssopifolia</v>
      </c>
      <c r="H11576" s="6" t="str">
        <f>VLOOKUP(E11576,dicionario!$A$1:$C11975,3,0)</f>
        <v>maria-leite</v>
      </c>
    </row>
    <row r="11577">
      <c r="A11577" s="3">
        <v>45848.0</v>
      </c>
      <c r="B11577" s="4">
        <v>0.2875</v>
      </c>
      <c r="C11577" s="5" t="s">
        <v>76</v>
      </c>
      <c r="D11577" s="5" t="s">
        <v>1625</v>
      </c>
      <c r="E11577" s="6" t="s">
        <v>280</v>
      </c>
      <c r="F11577" s="5" t="s">
        <v>281</v>
      </c>
      <c r="G11577" s="6" t="str">
        <f>VLOOKUP(E11577,dicionario!$A$1:$C11976,2,0)</f>
        <v>Lepidium virginicum</v>
      </c>
      <c r="H11577" s="6" t="str">
        <f>VLOOKUP(E11577,dicionario!$A$1:$C11976,3,0)</f>
        <v>mastruz</v>
      </c>
    </row>
    <row r="11578">
      <c r="A11578" s="3">
        <v>45848.0</v>
      </c>
      <c r="B11578" s="4">
        <v>0.2875</v>
      </c>
      <c r="C11578" s="5" t="s">
        <v>76</v>
      </c>
      <c r="D11578" s="5" t="s">
        <v>1625</v>
      </c>
      <c r="E11578" s="6" t="s">
        <v>290</v>
      </c>
      <c r="F11578" s="5" t="s">
        <v>291</v>
      </c>
      <c r="G11578" s="6" t="str">
        <f>VLOOKUP(E11578,dicionario!$A$1:$C11977,2,0)</f>
        <v>Drymaria cordata</v>
      </c>
      <c r="H11578" s="6" t="str">
        <f>VLOOKUP(E11578,dicionario!$A$1:$C11977,3,0)</f>
        <v>orelha-de-rato</v>
      </c>
    </row>
    <row r="11579">
      <c r="A11579" s="3">
        <v>45848.0</v>
      </c>
      <c r="B11579" s="4">
        <v>0.2875</v>
      </c>
      <c r="C11579" s="5" t="s">
        <v>76</v>
      </c>
      <c r="D11579" s="5" t="s">
        <v>1625</v>
      </c>
      <c r="E11579" s="8" t="s">
        <v>271</v>
      </c>
      <c r="F11579" s="5" t="s">
        <v>1169</v>
      </c>
      <c r="G11579" s="6" t="str">
        <f>VLOOKUP(E11579,dicionario!$A$1:$C11978,2,0)</f>
        <v>Cyanthillium cinereum</v>
      </c>
      <c r="H11579" s="6" t="str">
        <f>VLOOKUP(E11579,dicionario!$A$1:$C11978,3,0)</f>
        <v>emília</v>
      </c>
    </row>
    <row r="11580">
      <c r="A11580" s="3">
        <v>45848.0</v>
      </c>
      <c r="B11580" s="4">
        <v>0.2875</v>
      </c>
      <c r="C11580" s="5" t="s">
        <v>76</v>
      </c>
      <c r="D11580" s="5" t="s">
        <v>1625</v>
      </c>
      <c r="E11580" s="8" t="s">
        <v>41</v>
      </c>
      <c r="F11580" s="5" t="s">
        <v>45</v>
      </c>
      <c r="G11580" s="6" t="str">
        <f>VLOOKUP(E11580,dicionario!$A$1:$C11979,2,0)</f>
        <v>Mimosa pudica</v>
      </c>
      <c r="H11580" s="6" t="str">
        <f>VLOOKUP(E11580,dicionario!$A$1:$C11979,3,0)</f>
        <v>dormideira</v>
      </c>
    </row>
    <row r="11581">
      <c r="A11581" s="3">
        <v>45848.0</v>
      </c>
      <c r="B11581" s="4">
        <v>0.2875</v>
      </c>
      <c r="C11581" s="5" t="s">
        <v>76</v>
      </c>
      <c r="D11581" s="5" t="s">
        <v>1625</v>
      </c>
      <c r="E11581" s="11" t="s">
        <v>1524</v>
      </c>
      <c r="F11581" s="5" t="s">
        <v>1525</v>
      </c>
      <c r="G11581" s="6" t="str">
        <f>VLOOKUP(E11581,dicionario!$A$1:$C11980,2,0)</f>
        <v>Tolmomyias flaviventris</v>
      </c>
      <c r="H11581" s="6" t="str">
        <f>VLOOKUP(E11581,dicionario!$A$1:$C11980,3,0)</f>
        <v>bico-chato-amarelo</v>
      </c>
    </row>
    <row r="11582">
      <c r="A11582" s="3">
        <v>45848.0</v>
      </c>
      <c r="B11582" s="4">
        <v>0.2881944444444444</v>
      </c>
      <c r="C11582" s="5" t="s">
        <v>76</v>
      </c>
      <c r="D11582" s="5" t="s">
        <v>1625</v>
      </c>
      <c r="E11582" s="6" t="s">
        <v>324</v>
      </c>
      <c r="F11582" s="5" t="s">
        <v>325</v>
      </c>
      <c r="G11582" s="6" t="str">
        <f>VLOOKUP(E11582,dicionario!$A$1:$C11981,2,0)</f>
        <v>#N/A</v>
      </c>
      <c r="H11582" s="6" t="str">
        <f>VLOOKUP(E11582,dicionario!$A$1:$C11981,3,0)</f>
        <v>#N/A</v>
      </c>
    </row>
    <row r="11583">
      <c r="A11583" s="3">
        <v>45848.0</v>
      </c>
      <c r="B11583" s="4">
        <v>0.2881944444444444</v>
      </c>
      <c r="C11583" s="5" t="s">
        <v>76</v>
      </c>
      <c r="D11583" s="5" t="s">
        <v>1625</v>
      </c>
      <c r="E11583" s="6" t="s">
        <v>253</v>
      </c>
      <c r="F11583" s="5" t="s">
        <v>254</v>
      </c>
      <c r="G11583" s="6" t="str">
        <f>VLOOKUP(E11583,dicionario!$A$1:$C11982,2,0)</f>
        <v>Panicum maximum</v>
      </c>
      <c r="H11583" s="6" t="str">
        <f>VLOOKUP(E11583,dicionario!$A$1:$C11982,3,0)</f>
        <v>capim-colonião</v>
      </c>
    </row>
    <row r="11584">
      <c r="A11584" s="3">
        <v>45848.0</v>
      </c>
      <c r="B11584" s="4">
        <v>0.28888888888888886</v>
      </c>
      <c r="C11584" s="5" t="s">
        <v>76</v>
      </c>
      <c r="D11584" s="5" t="s">
        <v>1625</v>
      </c>
      <c r="E11584" s="6" t="s">
        <v>86</v>
      </c>
      <c r="F11584" s="5" t="s">
        <v>502</v>
      </c>
      <c r="G11584" s="6" t="str">
        <f>VLOOKUP(E11584,dicionario!$A$1:$C11983,2,0)</f>
        <v>Coereba flaveola</v>
      </c>
      <c r="H11584" s="6" t="str">
        <f>VLOOKUP(E11584,dicionario!$A$1:$C11983,3,0)</f>
        <v>cambacica</v>
      </c>
    </row>
    <row r="11585">
      <c r="A11585" s="3">
        <v>45848.0</v>
      </c>
      <c r="B11585" s="4">
        <v>0.28888888888888886</v>
      </c>
      <c r="C11585" s="5" t="s">
        <v>76</v>
      </c>
      <c r="D11585" s="5" t="s">
        <v>1625</v>
      </c>
      <c r="E11585" s="6" t="s">
        <v>193</v>
      </c>
      <c r="F11585" s="5" t="s">
        <v>194</v>
      </c>
      <c r="G11585" s="6" t="str">
        <f>VLOOKUP(E11585,dicionario!$A$1:$C11984,2,0)</f>
        <v>Conirostrum speciosum</v>
      </c>
      <c r="H11585" s="6" t="str">
        <f>VLOOKUP(E11585,dicionario!$A$1:$C11984,3,0)</f>
        <v>figuinha-de-rabo-castanho</v>
      </c>
    </row>
    <row r="11586">
      <c r="A11586" s="3">
        <v>45848.0</v>
      </c>
      <c r="B11586" s="4">
        <v>0.28888888888888886</v>
      </c>
      <c r="C11586" s="5" t="s">
        <v>76</v>
      </c>
      <c r="D11586" s="5" t="s">
        <v>1625</v>
      </c>
      <c r="E11586" s="6" t="s">
        <v>334</v>
      </c>
      <c r="F11586" s="5" t="s">
        <v>335</v>
      </c>
      <c r="G11586" s="6" t="str">
        <f>VLOOKUP(E11586,dicionario!$A$1:$C11985,2,0)</f>
        <v>Eupsittula aurea</v>
      </c>
      <c r="H11586" s="6" t="str">
        <f>VLOOKUP(E11586,dicionario!$A$1:$C11985,3,0)</f>
        <v>periquito-rei</v>
      </c>
    </row>
    <row r="11587">
      <c r="A11587" s="3">
        <v>45848.0</v>
      </c>
      <c r="B11587" s="4">
        <v>0.28888888888888886</v>
      </c>
      <c r="C11587" s="5" t="s">
        <v>76</v>
      </c>
      <c r="D11587" s="5" t="s">
        <v>1625</v>
      </c>
      <c r="E11587" s="6" t="s">
        <v>93</v>
      </c>
      <c r="F11587" s="5" t="s">
        <v>73</v>
      </c>
      <c r="G11587" s="6" t="str">
        <f>VLOOKUP(E11587,dicionario!$A$1:$C11986,2,0)</f>
        <v>Thraupis sayaca</v>
      </c>
      <c r="H11587" s="6" t="str">
        <f>VLOOKUP(E11587,dicionario!$A$1:$C11986,3,0)</f>
        <v>sanhaçu-cinzento</v>
      </c>
    </row>
    <row r="11588">
      <c r="A11588" s="3">
        <v>45848.0</v>
      </c>
      <c r="B11588" s="4">
        <v>0.29097222222222224</v>
      </c>
      <c r="C11588" s="5" t="s">
        <v>76</v>
      </c>
      <c r="D11588" s="5" t="s">
        <v>1625</v>
      </c>
      <c r="E11588" s="8" t="s">
        <v>1344</v>
      </c>
      <c r="F11588" s="5" t="s">
        <v>47</v>
      </c>
      <c r="G11588" s="6" t="str">
        <f>VLOOKUP(E11588,dicionario!$A$1:$C11987,2,0)</f>
        <v>#N/A</v>
      </c>
      <c r="H11588" s="6" t="str">
        <f>VLOOKUP(E11588,dicionario!$A$1:$C11987,3,0)</f>
        <v>#N/A</v>
      </c>
    </row>
    <row r="11589">
      <c r="A11589" s="3">
        <v>45848.0</v>
      </c>
      <c r="B11589" s="4">
        <v>0.29097222222222224</v>
      </c>
      <c r="C11589" s="5" t="s">
        <v>76</v>
      </c>
      <c r="D11589" s="5" t="s">
        <v>1625</v>
      </c>
      <c r="E11589" s="76" t="s">
        <v>1579</v>
      </c>
      <c r="F11589" s="5" t="s">
        <v>1580</v>
      </c>
      <c r="G11589" s="6" t="str">
        <f>VLOOKUP(E11589,dicionario!$A$1:$C11988,2,0)</f>
        <v>Tersina viridis</v>
      </c>
      <c r="H11589" s="6" t="str">
        <f>VLOOKUP(E11589,dicionario!$A$1:$C11988,3,0)</f>
        <v>saí-andorinha</v>
      </c>
    </row>
    <row r="11590">
      <c r="A11590" s="3">
        <v>45848.0</v>
      </c>
      <c r="B11590" s="4">
        <v>0.2916666666666667</v>
      </c>
      <c r="C11590" s="5" t="s">
        <v>76</v>
      </c>
      <c r="D11590" s="5" t="s">
        <v>1625</v>
      </c>
      <c r="E11590" s="6" t="s">
        <v>448</v>
      </c>
      <c r="F11590" s="5" t="s">
        <v>462</v>
      </c>
      <c r="G11590" s="6" t="str">
        <f>VLOOKUP(E11590,dicionario!$A$1:$C11989,2,0)</f>
        <v>Mechanitis polymnia</v>
      </c>
      <c r="H11590" s="6" t="str">
        <f>VLOOKUP(E11590,dicionario!$A$1:$C11989,3,0)</f>
        <v>maria-boba</v>
      </c>
    </row>
    <row r="11591">
      <c r="A11591" s="3">
        <v>45848.0</v>
      </c>
      <c r="B11591" s="4">
        <v>0.2916666666666667</v>
      </c>
      <c r="C11591" s="5" t="s">
        <v>76</v>
      </c>
      <c r="D11591" s="5" t="s">
        <v>1625</v>
      </c>
      <c r="E11591" s="6" t="s">
        <v>213</v>
      </c>
      <c r="F11591" s="5" t="s">
        <v>214</v>
      </c>
      <c r="G11591" s="6" t="str">
        <f>VLOOKUP(E11591,dicionario!$A$1:$C11990,2,0)</f>
        <v>Myiozetetes similis</v>
      </c>
      <c r="H11591" s="6" t="str">
        <f>VLOOKUP(E11591,dicionario!$A$1:$C11990,3,0)</f>
        <v>bentevizinho-de-penacho-vermelho</v>
      </c>
    </row>
    <row r="11592">
      <c r="A11592" s="3">
        <v>45848.0</v>
      </c>
      <c r="B11592" s="4">
        <v>0.29930555555555555</v>
      </c>
      <c r="C11592" s="5" t="s">
        <v>64</v>
      </c>
      <c r="D11592" s="5" t="s">
        <v>1625</v>
      </c>
      <c r="E11592" s="8" t="s">
        <v>38</v>
      </c>
      <c r="F11592" s="5" t="s">
        <v>1251</v>
      </c>
      <c r="G11592" s="6" t="str">
        <f>VLOOKUP(E11592,dicionario!$A$1:$C11991,2,0)</f>
        <v>Troglodytes musculus</v>
      </c>
      <c r="H11592" s="6" t="str">
        <f>VLOOKUP(E11592,dicionario!$A$1:$C11991,3,0)</f>
        <v>curruíra</v>
      </c>
    </row>
    <row r="11593">
      <c r="A11593" s="3">
        <v>45848.0</v>
      </c>
      <c r="B11593" s="4">
        <v>0.29930555555555555</v>
      </c>
      <c r="C11593" s="5" t="s">
        <v>64</v>
      </c>
      <c r="D11593" s="5" t="s">
        <v>1625</v>
      </c>
      <c r="E11593" s="6" t="s">
        <v>171</v>
      </c>
      <c r="F11593" s="5" t="s">
        <v>172</v>
      </c>
      <c r="G11593" s="6" t="str">
        <f>VLOOKUP(E11593,dicionario!$A$1:$C11992,2,0)</f>
        <v>Oxalis corniculata</v>
      </c>
      <c r="H11593" s="6" t="str">
        <f>VLOOKUP(E11593,dicionario!$A$1:$C11992,3,0)</f>
        <v>trevo-azedinho</v>
      </c>
    </row>
    <row r="11594">
      <c r="A11594" s="3">
        <v>45848.0</v>
      </c>
      <c r="B11594" s="4">
        <v>0.29930555555555555</v>
      </c>
      <c r="C11594" s="5" t="s">
        <v>64</v>
      </c>
      <c r="D11594" s="5" t="s">
        <v>1625</v>
      </c>
      <c r="E11594" s="6" t="s">
        <v>290</v>
      </c>
      <c r="F11594" s="5" t="s">
        <v>291</v>
      </c>
      <c r="G11594" s="6" t="str">
        <f>VLOOKUP(E11594,dicionario!$A$1:$C11993,2,0)</f>
        <v>Drymaria cordata</v>
      </c>
      <c r="H11594" s="6" t="str">
        <f>VLOOKUP(E11594,dicionario!$A$1:$C11993,3,0)</f>
        <v>orelha-de-rato</v>
      </c>
    </row>
    <row r="11595">
      <c r="A11595" s="3">
        <v>45848.0</v>
      </c>
      <c r="B11595" s="4">
        <v>0.29930555555555555</v>
      </c>
      <c r="C11595" s="5" t="s">
        <v>64</v>
      </c>
      <c r="D11595" s="5" t="s">
        <v>1625</v>
      </c>
      <c r="E11595" s="6" t="s">
        <v>148</v>
      </c>
      <c r="F11595" s="5" t="s">
        <v>149</v>
      </c>
      <c r="G11595" s="6" t="str">
        <f>VLOOKUP(E11595,dicionario!$A$1:$C11994,2,0)</f>
        <v>Parthenium hysterophorus</v>
      </c>
      <c r="H11595" s="6" t="str">
        <f>VLOOKUP(E11595,dicionario!$A$1:$C11994,3,0)</f>
        <v>losna-branca</v>
      </c>
    </row>
    <row r="11596">
      <c r="A11596" s="3">
        <v>45848.0</v>
      </c>
      <c r="B11596" s="4">
        <v>0.3</v>
      </c>
      <c r="C11596" s="5" t="s">
        <v>64</v>
      </c>
      <c r="D11596" s="5" t="s">
        <v>1625</v>
      </c>
      <c r="E11596" s="6" t="s">
        <v>401</v>
      </c>
      <c r="F11596" s="5" t="s">
        <v>464</v>
      </c>
      <c r="G11596" s="6" t="str">
        <f>VLOOKUP(E11596,dicionario!$A$1:$C11995,2,0)</f>
        <v>Cissus verticillata</v>
      </c>
      <c r="H11596" s="6" t="str">
        <f>VLOOKUP(E11596,dicionario!$A$1:$C11995,3,0)</f>
        <v>uva-do-mato</v>
      </c>
    </row>
    <row r="11597">
      <c r="A11597" s="3">
        <v>45848.0</v>
      </c>
      <c r="B11597" s="4">
        <v>0.3</v>
      </c>
      <c r="C11597" s="5" t="s">
        <v>64</v>
      </c>
      <c r="D11597" s="5" t="s">
        <v>1625</v>
      </c>
      <c r="E11597" s="6" t="s">
        <v>141</v>
      </c>
      <c r="F11597" s="5" t="s">
        <v>142</v>
      </c>
      <c r="G11597" s="6" t="str">
        <f>VLOOKUP(E11597,dicionario!$A$1:$C11996,2,0)</f>
        <v>Ruellia blechum</v>
      </c>
      <c r="H11597" s="6" t="str">
        <f>VLOOKUP(E11597,dicionario!$A$1:$C11996,3,0)</f>
        <v>camarão-verde</v>
      </c>
    </row>
    <row r="11598">
      <c r="A11598" s="3">
        <v>45848.0</v>
      </c>
      <c r="B11598" s="4">
        <v>0.3</v>
      </c>
      <c r="C11598" s="5" t="s">
        <v>64</v>
      </c>
      <c r="D11598" s="5" t="s">
        <v>1625</v>
      </c>
      <c r="E11598" s="6" t="s">
        <v>195</v>
      </c>
      <c r="F11598" s="5" t="s">
        <v>196</v>
      </c>
      <c r="G11598" s="6" t="str">
        <f>VLOOKUP(E11598,dicionario!$A$1:$C11997,2,0)</f>
        <v>Priva lappulacea</v>
      </c>
      <c r="H11598" s="6" t="str">
        <f>VLOOKUP(E11598,dicionario!$A$1:$C11997,3,0)</f>
        <v>carrapicho</v>
      </c>
    </row>
    <row r="11599">
      <c r="A11599" s="3">
        <v>45848.0</v>
      </c>
      <c r="B11599" s="4">
        <v>0.3</v>
      </c>
      <c r="C11599" s="5" t="s">
        <v>64</v>
      </c>
      <c r="D11599" s="5" t="s">
        <v>1625</v>
      </c>
      <c r="E11599" s="6" t="s">
        <v>150</v>
      </c>
      <c r="F11599" s="5" t="s">
        <v>151</v>
      </c>
      <c r="G11599" s="6" t="str">
        <f>VLOOKUP(E11599,dicionario!$A$1:$C11998,2,0)</f>
        <v>Amaranthus viridis</v>
      </c>
      <c r="H11599" s="6" t="str">
        <f>VLOOKUP(E11599,dicionario!$A$1:$C11998,3,0)</f>
        <v>caruru-de-mancha</v>
      </c>
    </row>
    <row r="11600">
      <c r="A11600" s="3">
        <v>45848.0</v>
      </c>
      <c r="B11600" s="4">
        <v>0.3</v>
      </c>
      <c r="C11600" s="5" t="s">
        <v>64</v>
      </c>
      <c r="D11600" s="5" t="s">
        <v>1625</v>
      </c>
      <c r="E11600" s="6" t="s">
        <v>288</v>
      </c>
      <c r="F11600" s="5" t="s">
        <v>289</v>
      </c>
      <c r="G11600" s="6" t="str">
        <f>VLOOKUP(E11600,dicionario!$A$1:$C11999,2,0)</f>
        <v>Phyllanthus tenellus</v>
      </c>
      <c r="H11600" s="6" t="str">
        <f>VLOOKUP(E11600,dicionario!$A$1:$C11999,3,0)</f>
        <v>quebra-pedra</v>
      </c>
    </row>
    <row r="11601">
      <c r="A11601" s="3">
        <v>45848.0</v>
      </c>
      <c r="B11601" s="4">
        <v>0.3</v>
      </c>
      <c r="C11601" s="5" t="s">
        <v>64</v>
      </c>
      <c r="D11601" s="5" t="s">
        <v>1625</v>
      </c>
      <c r="E11601" s="6" t="s">
        <v>253</v>
      </c>
      <c r="F11601" s="5" t="s">
        <v>254</v>
      </c>
      <c r="G11601" s="6" t="str">
        <f>VLOOKUP(E11601,dicionario!$A$1:$C12000,2,0)</f>
        <v>Panicum maximum</v>
      </c>
      <c r="H11601" s="6" t="str">
        <f>VLOOKUP(E11601,dicionario!$A$1:$C12000,3,0)</f>
        <v>capim-colonião</v>
      </c>
    </row>
    <row r="11602">
      <c r="A11602" s="3">
        <v>45848.0</v>
      </c>
      <c r="B11602" s="4">
        <v>0.3</v>
      </c>
      <c r="C11602" s="5" t="s">
        <v>64</v>
      </c>
      <c r="D11602" s="5" t="s">
        <v>1625</v>
      </c>
      <c r="E11602" s="6" t="s">
        <v>467</v>
      </c>
      <c r="F11602" s="5" t="s">
        <v>468</v>
      </c>
      <c r="G11602" s="6" t="str">
        <f>VLOOKUP(E11602,dicionario!$A$1:$C12001,2,0)</f>
        <v>Eleusine indica</v>
      </c>
      <c r="H11602" s="6" t="str">
        <f>VLOOKUP(E11602,dicionario!$A$1:$C12001,3,0)</f>
        <v>capim-pé-de-galinha</v>
      </c>
    </row>
    <row r="11603">
      <c r="A11603" s="3">
        <v>45848.0</v>
      </c>
      <c r="B11603" s="4">
        <v>0.30069444444444443</v>
      </c>
      <c r="C11603" s="5" t="s">
        <v>64</v>
      </c>
      <c r="D11603" s="5" t="s">
        <v>1625</v>
      </c>
      <c r="E11603" s="6" t="s">
        <v>286</v>
      </c>
      <c r="F11603" s="5" t="s">
        <v>287</v>
      </c>
      <c r="G11603" s="6" t="str">
        <f>VLOOKUP(E11603,dicionario!$A$1:$C12002,2,0)</f>
        <v>Setaria parviflora</v>
      </c>
      <c r="H11603" s="6" t="str">
        <f>VLOOKUP(E11603,dicionario!$A$1:$C12002,3,0)</f>
        <v>capim-rabo-de-raposa</v>
      </c>
    </row>
    <row r="11604">
      <c r="A11604" s="3">
        <v>45848.0</v>
      </c>
      <c r="B11604" s="4">
        <v>0.30069444444444443</v>
      </c>
      <c r="C11604" s="5" t="s">
        <v>64</v>
      </c>
      <c r="D11604" s="5" t="s">
        <v>1625</v>
      </c>
      <c r="E11604" s="8" t="s">
        <v>69</v>
      </c>
      <c r="F11604" s="5" t="s">
        <v>1246</v>
      </c>
      <c r="G11604" s="6" t="str">
        <f>VLOOKUP(E11604,dicionario!$A$1:$C12003,2,0)</f>
        <v>Talinum fruticosum</v>
      </c>
      <c r="H11604" s="6" t="str">
        <f>VLOOKUP(E11604,dicionario!$A$1:$C12003,3,0)</f>
        <v>beldroega-grande</v>
      </c>
    </row>
    <row r="11605">
      <c r="A11605" s="3">
        <v>45848.0</v>
      </c>
      <c r="B11605" s="4">
        <v>0.30069444444444443</v>
      </c>
      <c r="C11605" s="5" t="s">
        <v>64</v>
      </c>
      <c r="D11605" s="5" t="s">
        <v>1625</v>
      </c>
      <c r="E11605" s="8" t="s">
        <v>956</v>
      </c>
      <c r="F11605" s="5" t="s">
        <v>957</v>
      </c>
      <c r="G11605" s="6" t="str">
        <f>VLOOKUP(E11605,dicionario!$A$1:$C12004,2,0)</f>
        <v>Pepsini</v>
      </c>
      <c r="H11605" s="6" t="str">
        <f>VLOOKUP(E11605,dicionario!$A$1:$C12004,3,0)</f>
        <v>vespa-caçadora</v>
      </c>
    </row>
    <row r="11606">
      <c r="A11606" s="3">
        <v>45848.0</v>
      </c>
      <c r="B11606" s="4">
        <v>0.30069444444444443</v>
      </c>
      <c r="C11606" s="5" t="s">
        <v>64</v>
      </c>
      <c r="D11606" s="5" t="s">
        <v>1625</v>
      </c>
      <c r="E11606" s="6" t="s">
        <v>113</v>
      </c>
      <c r="F11606" s="5" t="s">
        <v>114</v>
      </c>
      <c r="G11606" s="6" t="str">
        <f>VLOOKUP(E11606,dicionario!$A$1:$C12005,2,0)</f>
        <v>Columbina talpacoti</v>
      </c>
      <c r="H11606" s="6" t="str">
        <f>VLOOKUP(E11606,dicionario!$A$1:$C12005,3,0)</f>
        <v>rolinha-roxa</v>
      </c>
    </row>
    <row r="11607">
      <c r="A11607" s="3">
        <v>45848.0</v>
      </c>
      <c r="B11607" s="4">
        <v>0.30069444444444443</v>
      </c>
      <c r="C11607" s="5" t="s">
        <v>64</v>
      </c>
      <c r="D11607" s="5" t="s">
        <v>1625</v>
      </c>
      <c r="E11607" s="6" t="s">
        <v>65</v>
      </c>
      <c r="F11607" s="5" t="s">
        <v>66</v>
      </c>
      <c r="G11607" s="6" t="str">
        <f>VLOOKUP(E11607,dicionario!$A$1:$C12006,2,0)</f>
        <v>Pitangus sulphutarus</v>
      </c>
      <c r="H11607" s="6" t="str">
        <f>VLOOKUP(E11607,dicionario!$A$1:$C12006,3,0)</f>
        <v>bem-te-vi</v>
      </c>
    </row>
    <row r="11608">
      <c r="A11608" s="3">
        <v>45848.0</v>
      </c>
      <c r="B11608" s="4">
        <v>0.30069444444444443</v>
      </c>
      <c r="C11608" s="5" t="s">
        <v>64</v>
      </c>
      <c r="D11608" s="5" t="s">
        <v>1625</v>
      </c>
      <c r="E11608" s="6" t="s">
        <v>469</v>
      </c>
      <c r="F11608" s="5" t="s">
        <v>472</v>
      </c>
      <c r="G11608" s="6" t="str">
        <f>VLOOKUP(E11608,dicionario!$A$1:$C12007,2,0)</f>
        <v>#N/A</v>
      </c>
      <c r="H11608" s="6" t="str">
        <f>VLOOKUP(E11608,dicionario!$A$1:$C12007,3,0)</f>
        <v>#N/A</v>
      </c>
    </row>
    <row r="11609">
      <c r="A11609" s="3">
        <v>45848.0</v>
      </c>
      <c r="B11609" s="4">
        <v>0.3013888888888889</v>
      </c>
      <c r="C11609" s="5" t="s">
        <v>64</v>
      </c>
      <c r="D11609" s="5" t="s">
        <v>1625</v>
      </c>
      <c r="E11609" s="6" t="s">
        <v>48</v>
      </c>
      <c r="F11609" s="5" t="s">
        <v>49</v>
      </c>
      <c r="G11609" s="6" t="str">
        <f>VLOOKUP(E11609,dicionario!$A$1:$C12008,2,0)</f>
        <v>Commelina erecta</v>
      </c>
      <c r="H11609" s="6" t="str">
        <f>VLOOKUP(E11609,dicionario!$A$1:$C12008,3,0)</f>
        <v>trapoeraba</v>
      </c>
    </row>
    <row r="11610">
      <c r="A11610" s="3">
        <v>45848.0</v>
      </c>
      <c r="B11610" s="4">
        <v>0.3013888888888889</v>
      </c>
      <c r="C11610" s="5" t="s">
        <v>64</v>
      </c>
      <c r="D11610" s="5" t="s">
        <v>1625</v>
      </c>
      <c r="E11610" s="6" t="s">
        <v>251</v>
      </c>
      <c r="F11610" s="5" t="s">
        <v>252</v>
      </c>
      <c r="G11610" s="6" t="str">
        <f>VLOOKUP(E11610,dicionario!$A$1:$C12009,2,0)</f>
        <v>Struthanthus flexicaulis</v>
      </c>
      <c r="H11610" s="6" t="str">
        <f>VLOOKUP(E11610,dicionario!$A$1:$C12009,3,0)</f>
        <v>erva-de-passarinho</v>
      </c>
    </row>
    <row r="11611">
      <c r="A11611" s="3">
        <v>45848.0</v>
      </c>
      <c r="B11611" s="4">
        <v>0.3013888888888889</v>
      </c>
      <c r="C11611" s="5" t="s">
        <v>64</v>
      </c>
      <c r="D11611" s="5" t="s">
        <v>1625</v>
      </c>
      <c r="E11611" s="8" t="s">
        <v>109</v>
      </c>
      <c r="F11611" s="5" t="s">
        <v>110</v>
      </c>
      <c r="G11611" s="6" t="str">
        <f>VLOOKUP(E11611,dicionario!$A$1:$C12010,2,0)</f>
        <v>Tillandsia stricta</v>
      </c>
      <c r="H11611" s="6" t="str">
        <f>VLOOKUP(E11611,dicionario!$A$1:$C12010,3,0)</f>
        <v>cravo-do-mato</v>
      </c>
    </row>
    <row r="11612">
      <c r="A11612" s="3">
        <v>45848.0</v>
      </c>
      <c r="B11612" s="4">
        <v>0.3013888888888889</v>
      </c>
      <c r="C11612" s="5" t="s">
        <v>64</v>
      </c>
      <c r="D11612" s="5" t="s">
        <v>1625</v>
      </c>
      <c r="E11612" s="6" t="s">
        <v>498</v>
      </c>
      <c r="F11612" s="5" t="s">
        <v>1629</v>
      </c>
      <c r="G11612" s="6" t="str">
        <f>VLOOKUP(E11612,dicionario!$A$1:$C12011,2,0)</f>
        <v>Brachiaria decumbens</v>
      </c>
      <c r="H11612" s="6" t="str">
        <f>VLOOKUP(E11612,dicionario!$A$1:$C12011,3,0)</f>
        <v>capim-braquiária</v>
      </c>
    </row>
    <row r="11613">
      <c r="A11613" s="3">
        <v>45848.0</v>
      </c>
      <c r="B11613" s="4">
        <v>0.3013888888888889</v>
      </c>
      <c r="C11613" s="5" t="s">
        <v>64</v>
      </c>
      <c r="D11613" s="5" t="s">
        <v>1625</v>
      </c>
      <c r="E11613" s="8" t="s">
        <v>1167</v>
      </c>
      <c r="F11613" s="61" t="s">
        <v>1327</v>
      </c>
      <c r="G11613" s="6" t="str">
        <f>VLOOKUP(E11613,dicionario!$A$1:$C12012,2,0)</f>
        <v>Tillandsia recurvata</v>
      </c>
      <c r="H11613" s="6" t="str">
        <f>VLOOKUP(E11613,dicionario!$A$1:$C12012,3,0)</f>
        <v>cravo-do-mato sp2</v>
      </c>
    </row>
    <row r="11614">
      <c r="A11614" s="3">
        <v>45848.0</v>
      </c>
      <c r="B11614" s="4">
        <v>0.3020833333333333</v>
      </c>
      <c r="C11614" s="5" t="s">
        <v>64</v>
      </c>
      <c r="D11614" s="5" t="s">
        <v>1625</v>
      </c>
      <c r="E11614" s="6" t="s">
        <v>193</v>
      </c>
      <c r="F11614" s="5" t="s">
        <v>194</v>
      </c>
      <c r="G11614" s="6" t="str">
        <f>VLOOKUP(E11614,dicionario!$A$1:$C12013,2,0)</f>
        <v>Conirostrum speciosum</v>
      </c>
      <c r="H11614" s="6" t="str">
        <f>VLOOKUP(E11614,dicionario!$A$1:$C12013,3,0)</f>
        <v>figuinha-de-rabo-castanho</v>
      </c>
    </row>
    <row r="11615">
      <c r="A11615" s="3">
        <v>45848.0</v>
      </c>
      <c r="B11615" s="4">
        <v>0.3020833333333333</v>
      </c>
      <c r="C11615" s="5" t="s">
        <v>64</v>
      </c>
      <c r="D11615" s="5" t="s">
        <v>1625</v>
      </c>
      <c r="E11615" s="8" t="s">
        <v>122</v>
      </c>
      <c r="F11615" s="5" t="s">
        <v>123</v>
      </c>
      <c r="G11615" s="6" t="str">
        <f>VLOOKUP(E11615,dicionario!$A$1:$C12014,2,0)</f>
        <v>Todirostrum cinereum</v>
      </c>
      <c r="H11615" s="6" t="str">
        <f>VLOOKUP(E11615,dicionario!$A$1:$C12014,3,0)</f>
        <v>ferreirinho-relógio</v>
      </c>
    </row>
    <row r="11616">
      <c r="A11616" s="3">
        <v>45848.0</v>
      </c>
      <c r="B11616" s="4">
        <v>0.3020833333333333</v>
      </c>
      <c r="C11616" s="5" t="s">
        <v>64</v>
      </c>
      <c r="D11616" s="5" t="s">
        <v>1625</v>
      </c>
      <c r="E11616" s="6" t="s">
        <v>267</v>
      </c>
      <c r="F11616" s="5" t="s">
        <v>553</v>
      </c>
      <c r="G11616" s="6" t="str">
        <f>VLOOKUP(E11616,dicionario!$A$1:$C12015,2,0)</f>
        <v>Solanum americanum</v>
      </c>
      <c r="H11616" s="6" t="str">
        <f>VLOOKUP(E11616,dicionario!$A$1:$C12015,3,0)</f>
        <v>maria-pretinha</v>
      </c>
    </row>
    <row r="11617">
      <c r="A11617" s="3">
        <v>45848.0</v>
      </c>
      <c r="B11617" s="4">
        <v>0.30277777777777776</v>
      </c>
      <c r="C11617" s="5" t="s">
        <v>64</v>
      </c>
      <c r="D11617" s="5" t="s">
        <v>1625</v>
      </c>
      <c r="E11617" s="8" t="s">
        <v>719</v>
      </c>
      <c r="F11617" s="5" t="s">
        <v>720</v>
      </c>
      <c r="G11617" s="6" t="str">
        <f>VLOOKUP(E11617,dicionario!$A$1:$C12016,2,0)</f>
        <v>Dirinaria</v>
      </c>
      <c r="H11617" s="6" t="str">
        <f>VLOOKUP(E11617,dicionario!$A$1:$C12016,3,0)</f>
        <v>líquen-crostoso</v>
      </c>
    </row>
    <row r="11618">
      <c r="A11618" s="3">
        <v>45848.0</v>
      </c>
      <c r="B11618" s="4">
        <v>0.30277777777777776</v>
      </c>
      <c r="C11618" s="5" t="s">
        <v>64</v>
      </c>
      <c r="D11618" s="5" t="s">
        <v>1625</v>
      </c>
      <c r="E11618" s="8" t="s">
        <v>712</v>
      </c>
      <c r="F11618" s="5" t="s">
        <v>718</v>
      </c>
      <c r="G11618" s="6" t="str">
        <f>VLOOKUP(E11618,dicionario!$A$1:$C12017,2,0)</f>
        <v>Flavopunctelia soredica</v>
      </c>
      <c r="H11618" s="6" t="str">
        <f>VLOOKUP(E11618,dicionario!$A$1:$C12017,3,0)</f>
        <v>líquen-folioso</v>
      </c>
    </row>
    <row r="11619">
      <c r="A11619" s="3">
        <v>45848.0</v>
      </c>
      <c r="B11619" s="4">
        <v>0.30277777777777776</v>
      </c>
      <c r="C11619" s="5" t="s">
        <v>64</v>
      </c>
      <c r="D11619" s="5" t="s">
        <v>1625</v>
      </c>
      <c r="E11619" s="8" t="s">
        <v>1617</v>
      </c>
      <c r="F11619" s="5" t="s">
        <v>108</v>
      </c>
      <c r="G11619" s="6" t="str">
        <f>VLOOKUP(E11619,dicionario!$A$1:$C12018,2,0)</f>
        <v>#N/A</v>
      </c>
      <c r="H11619" s="6" t="str">
        <f>VLOOKUP(E11619,dicionario!$A$1:$C12018,3,0)</f>
        <v>#N/A</v>
      </c>
    </row>
    <row r="11620">
      <c r="A11620" s="3">
        <v>45848.0</v>
      </c>
      <c r="B11620" s="4">
        <v>0.30277777777777776</v>
      </c>
      <c r="C11620" s="5" t="s">
        <v>64</v>
      </c>
      <c r="D11620" s="5" t="s">
        <v>1625</v>
      </c>
      <c r="E11620" s="6" t="s">
        <v>247</v>
      </c>
      <c r="F11620" s="5" t="s">
        <v>387</v>
      </c>
      <c r="G11620" s="6" t="str">
        <f>VLOOKUP(E11620,dicionario!$A$1:$C12019,2,0)</f>
        <v>Emilia sonchifolia</v>
      </c>
      <c r="H11620" s="6" t="str">
        <f>VLOOKUP(E11620,dicionario!$A$1:$C12019,3,0)</f>
        <v>serralinha</v>
      </c>
    </row>
    <row r="11621">
      <c r="A11621" s="3">
        <v>45848.0</v>
      </c>
      <c r="B11621" s="4">
        <v>0.30277777777777776</v>
      </c>
      <c r="C11621" s="5" t="s">
        <v>64</v>
      </c>
      <c r="D11621" s="5" t="s">
        <v>1625</v>
      </c>
      <c r="E11621" s="6" t="s">
        <v>213</v>
      </c>
      <c r="F11621" s="5" t="s">
        <v>1630</v>
      </c>
      <c r="G11621" s="6" t="str">
        <f>VLOOKUP(E11621,dicionario!$A$1:$C12020,2,0)</f>
        <v>Myiozetetes similis</v>
      </c>
      <c r="H11621" s="6" t="str">
        <f>VLOOKUP(E11621,dicionario!$A$1:$C12020,3,0)</f>
        <v>bentevizinho-de-penacho-vermelho</v>
      </c>
    </row>
    <row r="11622">
      <c r="A11622" s="3">
        <v>45848.0</v>
      </c>
      <c r="B11622" s="4">
        <v>0.30416666666666664</v>
      </c>
      <c r="C11622" s="5" t="s">
        <v>937</v>
      </c>
      <c r="D11622" s="5" t="s">
        <v>1625</v>
      </c>
      <c r="E11622" s="8" t="s">
        <v>88</v>
      </c>
      <c r="F11622" s="5" t="s">
        <v>782</v>
      </c>
      <c r="G11622" s="6" t="str">
        <f>VLOOKUP(E11622,dicionario!$A$1:$C12021,2,0)</f>
        <v>Tyrannus melancolichus</v>
      </c>
      <c r="H11622" s="6" t="str">
        <f>VLOOKUP(E11622,dicionario!$A$1:$C12021,3,0)</f>
        <v>suiriri</v>
      </c>
    </row>
    <row r="11623">
      <c r="A11623" s="3">
        <v>45848.0</v>
      </c>
      <c r="B11623" s="4">
        <v>0.30416666666666664</v>
      </c>
      <c r="C11623" s="5" t="s">
        <v>937</v>
      </c>
      <c r="D11623" s="5" t="s">
        <v>1625</v>
      </c>
      <c r="E11623" s="8" t="s">
        <v>624</v>
      </c>
      <c r="F11623" s="5" t="s">
        <v>1616</v>
      </c>
      <c r="G11623" s="6" t="str">
        <f>VLOOKUP(E11623,dicionario!$A$1:$C12022,2,0)</f>
        <v>Euphonia violacea</v>
      </c>
      <c r="H11623" s="6" t="str">
        <f>VLOOKUP(E11623,dicionario!$A$1:$C12022,3,0)</f>
        <v>gaturamo-verdadeiro</v>
      </c>
    </row>
    <row r="11624">
      <c r="A11624" s="3">
        <v>45848.0</v>
      </c>
      <c r="B11624" s="4">
        <v>0.30416666666666664</v>
      </c>
      <c r="C11624" s="5" t="s">
        <v>937</v>
      </c>
      <c r="D11624" s="5" t="s">
        <v>1625</v>
      </c>
      <c r="E11624" s="6" t="s">
        <v>65</v>
      </c>
      <c r="F11624" s="5" t="s">
        <v>66</v>
      </c>
      <c r="G11624" s="6" t="str">
        <f>VLOOKUP(E11624,dicionario!$A$1:$C12023,2,0)</f>
        <v>Pitangus sulphutarus</v>
      </c>
      <c r="H11624" s="6" t="str">
        <f>VLOOKUP(E11624,dicionario!$A$1:$C12023,3,0)</f>
        <v>bem-te-vi</v>
      </c>
    </row>
    <row r="11625">
      <c r="A11625" s="3">
        <v>45848.0</v>
      </c>
      <c r="B11625" s="4">
        <v>0.3055555555555556</v>
      </c>
      <c r="C11625" s="5" t="s">
        <v>937</v>
      </c>
      <c r="D11625" s="5" t="s">
        <v>1625</v>
      </c>
      <c r="E11625" s="6" t="s">
        <v>22</v>
      </c>
      <c r="F11625" s="5" t="s">
        <v>97</v>
      </c>
      <c r="G11625" s="6" t="str">
        <f>VLOOKUP(E11625,dicionario!$A$1:$C12024,2,0)</f>
        <v>Zenaida auriculata</v>
      </c>
      <c r="H11625" s="6" t="str">
        <f>VLOOKUP(E11625,dicionario!$A$1:$C12024,3,0)</f>
        <v>pomba-de-bando; avoante</v>
      </c>
    </row>
    <row r="11626">
      <c r="A11626" s="3">
        <v>45848.0</v>
      </c>
      <c r="B11626" s="4">
        <v>0.3055555555555556</v>
      </c>
      <c r="C11626" s="5" t="s">
        <v>937</v>
      </c>
      <c r="D11626" s="5" t="s">
        <v>1625</v>
      </c>
      <c r="E11626" s="8" t="s">
        <v>109</v>
      </c>
      <c r="F11626" s="5" t="s">
        <v>1418</v>
      </c>
      <c r="G11626" s="6" t="str">
        <f>VLOOKUP(E11626,dicionario!$A$1:$C12025,2,0)</f>
        <v>Tillandsia stricta</v>
      </c>
      <c r="H11626" s="6" t="str">
        <f>VLOOKUP(E11626,dicionario!$A$1:$C12025,3,0)</f>
        <v>cravo-do-mato</v>
      </c>
    </row>
    <row r="11627">
      <c r="A11627" s="3">
        <v>45848.0</v>
      </c>
      <c r="B11627" s="4">
        <v>0.3055555555555556</v>
      </c>
      <c r="C11627" s="5" t="s">
        <v>937</v>
      </c>
      <c r="D11627" s="5" t="s">
        <v>1625</v>
      </c>
      <c r="E11627" s="8" t="s">
        <v>1167</v>
      </c>
      <c r="F11627" s="5" t="s">
        <v>1168</v>
      </c>
      <c r="G11627" s="6" t="str">
        <f>VLOOKUP(E11627,dicionario!$A$1:$C12026,2,0)</f>
        <v>Tillandsia recurvata</v>
      </c>
      <c r="H11627" s="6" t="str">
        <f>VLOOKUP(E11627,dicionario!$A$1:$C12026,3,0)</f>
        <v>cravo-do-mato sp2</v>
      </c>
    </row>
    <row r="11628">
      <c r="A11628" s="3">
        <v>45848.0</v>
      </c>
      <c r="B11628" s="4">
        <v>0.30625</v>
      </c>
      <c r="C11628" s="5" t="s">
        <v>937</v>
      </c>
      <c r="D11628" s="5" t="s">
        <v>1625</v>
      </c>
      <c r="E11628" s="8" t="s">
        <v>20</v>
      </c>
      <c r="F11628" s="5" t="s">
        <v>21</v>
      </c>
      <c r="G11628" s="6" t="str">
        <f>VLOOKUP(E11628,dicionario!$A$1:$C12027,2,0)</f>
        <v>Sicalis flaveola</v>
      </c>
      <c r="H11628" s="6" t="str">
        <f>VLOOKUP(E11628,dicionario!$A$1:$C12027,3,0)</f>
        <v>canário-da-terra</v>
      </c>
    </row>
    <row r="11629">
      <c r="A11629" s="3">
        <v>45848.0</v>
      </c>
      <c r="B11629" s="4">
        <v>0.30625</v>
      </c>
      <c r="C11629" s="5" t="s">
        <v>937</v>
      </c>
      <c r="D11629" s="5" t="s">
        <v>1625</v>
      </c>
      <c r="E11629" s="9" t="s">
        <v>103</v>
      </c>
      <c r="F11629" s="5" t="s">
        <v>104</v>
      </c>
      <c r="G11629" s="6" t="str">
        <f>VLOOKUP(E11629,dicionario!$A$1:$C12028,2,0)</f>
        <v>Caracara plancus</v>
      </c>
      <c r="H11629" s="6" t="str">
        <f>VLOOKUP(E11629,dicionario!$A$1:$C12028,3,0)</f>
        <v>carcará </v>
      </c>
    </row>
    <row r="11630">
      <c r="A11630" s="3">
        <v>45848.0</v>
      </c>
      <c r="B11630" s="4">
        <v>0.30625</v>
      </c>
      <c r="C11630" s="5" t="s">
        <v>937</v>
      </c>
      <c r="D11630" s="5" t="s">
        <v>1625</v>
      </c>
      <c r="E11630" s="8" t="s">
        <v>1127</v>
      </c>
      <c r="F11630" s="5" t="s">
        <v>1286</v>
      </c>
      <c r="G11630" s="6" t="str">
        <f>VLOOKUP(E11630,dicionario!$A$1:$C12029,2,0)</f>
        <v>Albizia lebbeck</v>
      </c>
      <c r="H11630" s="6" t="str">
        <f>VLOOKUP(E11630,dicionario!$A$1:$C12029,3,0)</f>
        <v>albízia</v>
      </c>
    </row>
    <row r="11631">
      <c r="A11631" s="3">
        <v>45848.0</v>
      </c>
      <c r="B11631" s="4">
        <v>0.30694444444444446</v>
      </c>
      <c r="C11631" s="5" t="s">
        <v>937</v>
      </c>
      <c r="D11631" s="5" t="s">
        <v>1625</v>
      </c>
      <c r="E11631" s="8" t="s">
        <v>223</v>
      </c>
      <c r="F11631" s="5"/>
      <c r="G11631" s="6" t="str">
        <f>VLOOKUP(E11631,dicionario!$A$1:$C12030,2,0)</f>
        <v>Rhipsalis lindbergiana</v>
      </c>
      <c r="H11631" s="6" t="str">
        <f>VLOOKUP(E11631,dicionario!$A$1:$C12030,3,0)</f>
        <v>cacto-macarrão</v>
      </c>
    </row>
    <row r="11632">
      <c r="A11632" s="3">
        <v>45848.0</v>
      </c>
      <c r="B11632" s="4">
        <v>0.30694444444444446</v>
      </c>
      <c r="C11632" s="5" t="s">
        <v>937</v>
      </c>
      <c r="D11632" s="5" t="s">
        <v>1625</v>
      </c>
      <c r="E11632" s="6" t="s">
        <v>43</v>
      </c>
      <c r="F11632" s="5" t="s">
        <v>44</v>
      </c>
      <c r="G11632" s="6" t="str">
        <f>VLOOKUP(E11632,dicionario!$A$1:$C12031,2,0)</f>
        <v>Columba livia</v>
      </c>
      <c r="H11632" s="6" t="str">
        <f>VLOOKUP(E11632,dicionario!$A$1:$C12031,3,0)</f>
        <v>pombo-doméstico</v>
      </c>
    </row>
    <row r="11633">
      <c r="A11633" s="3">
        <v>45848.0</v>
      </c>
      <c r="B11633" s="4">
        <v>0.30694444444444446</v>
      </c>
      <c r="C11633" s="5" t="s">
        <v>937</v>
      </c>
      <c r="D11633" s="5" t="s">
        <v>1625</v>
      </c>
      <c r="E11633" s="9" t="s">
        <v>105</v>
      </c>
      <c r="F11633" s="5" t="s">
        <v>106</v>
      </c>
      <c r="G11633" s="6" t="str">
        <f>VLOOKUP(E11633,dicionario!$A$1:$C12032,2,0)</f>
        <v>Progne tapera</v>
      </c>
      <c r="H11633" s="6" t="str">
        <f>VLOOKUP(E11633,dicionario!$A$1:$C12032,3,0)</f>
        <v>andorinha-do-campo</v>
      </c>
    </row>
    <row r="11634">
      <c r="A11634" s="3">
        <v>45848.0</v>
      </c>
      <c r="B11634" s="4">
        <v>0.3076388888888889</v>
      </c>
      <c r="C11634" s="5" t="s">
        <v>937</v>
      </c>
      <c r="D11634" s="5" t="s">
        <v>1625</v>
      </c>
      <c r="E11634" s="6" t="s">
        <v>93</v>
      </c>
      <c r="F11634" s="5" t="s">
        <v>73</v>
      </c>
      <c r="G11634" s="6" t="str">
        <f>VLOOKUP(E11634,dicionario!$A$1:$C12033,2,0)</f>
        <v>Thraupis sayaca</v>
      </c>
      <c r="H11634" s="6" t="str">
        <f>VLOOKUP(E11634,dicionario!$A$1:$C12033,3,0)</f>
        <v>sanhaçu-cinzento</v>
      </c>
    </row>
    <row r="11635">
      <c r="A11635" s="3">
        <v>45848.0</v>
      </c>
      <c r="B11635" s="4">
        <v>0.3076388888888889</v>
      </c>
      <c r="C11635" s="5" t="s">
        <v>937</v>
      </c>
      <c r="D11635" s="5" t="s">
        <v>1625</v>
      </c>
      <c r="E11635" s="6" t="s">
        <v>227</v>
      </c>
      <c r="F11635" s="5" t="s">
        <v>228</v>
      </c>
      <c r="G11635" s="6" t="str">
        <f>VLOOKUP(E11635,dicionario!$A$1:$C12034,2,0)</f>
        <v>Indigofera hirsuta</v>
      </c>
      <c r="H11635" s="6" t="str">
        <f>VLOOKUP(E11635,dicionario!$A$1:$C12034,3,0)</f>
        <v>anileira</v>
      </c>
    </row>
    <row r="11636">
      <c r="A11636" s="3">
        <v>45848.0</v>
      </c>
      <c r="B11636" s="4">
        <v>0.3076388888888889</v>
      </c>
      <c r="C11636" s="5" t="s">
        <v>937</v>
      </c>
      <c r="D11636" s="5" t="s">
        <v>1625</v>
      </c>
      <c r="E11636" s="8" t="s">
        <v>752</v>
      </c>
      <c r="F11636" s="5" t="s">
        <v>969</v>
      </c>
      <c r="G11636" s="6" t="str">
        <f>VLOOKUP(E11636,dicionario!$A$1:$C12035,2,0)</f>
        <v>#N/A</v>
      </c>
      <c r="H11636" s="6" t="str">
        <f>VLOOKUP(E11636,dicionario!$A$1:$C12035,3,0)</f>
        <v>#N/A</v>
      </c>
    </row>
    <row r="11637">
      <c r="A11637" s="3">
        <v>45848.0</v>
      </c>
      <c r="B11637" s="4">
        <v>0.3076388888888889</v>
      </c>
      <c r="C11637" s="5" t="s">
        <v>937</v>
      </c>
      <c r="D11637" s="5" t="s">
        <v>1625</v>
      </c>
      <c r="E11637" s="8" t="s">
        <v>1631</v>
      </c>
      <c r="F11637" s="5" t="s">
        <v>108</v>
      </c>
      <c r="G11637" s="6" t="str">
        <f>VLOOKUP(E11637,dicionario!$A$1:$C12036,2,0)</f>
        <v>#N/A</v>
      </c>
      <c r="H11637" s="6" t="str">
        <f>VLOOKUP(E11637,dicionario!$A$1:$C12036,3,0)</f>
        <v>#N/A</v>
      </c>
    </row>
    <row r="11638">
      <c r="A11638" s="3">
        <v>45848.0</v>
      </c>
      <c r="B11638" s="4">
        <v>0.30833333333333335</v>
      </c>
      <c r="C11638" s="5" t="s">
        <v>937</v>
      </c>
      <c r="D11638" s="5" t="s">
        <v>1625</v>
      </c>
      <c r="E11638" s="8" t="s">
        <v>719</v>
      </c>
      <c r="F11638" s="5" t="s">
        <v>720</v>
      </c>
      <c r="G11638" s="6" t="str">
        <f>VLOOKUP(E11638,dicionario!$A$1:$C12037,2,0)</f>
        <v>Dirinaria</v>
      </c>
      <c r="H11638" s="6" t="str">
        <f>VLOOKUP(E11638,dicionario!$A$1:$C12037,3,0)</f>
        <v>líquen-crostoso</v>
      </c>
    </row>
    <row r="11639">
      <c r="A11639" s="3">
        <v>45848.0</v>
      </c>
      <c r="B11639" s="4">
        <v>0.30833333333333335</v>
      </c>
      <c r="C11639" s="5" t="s">
        <v>937</v>
      </c>
      <c r="D11639" s="5" t="s">
        <v>1625</v>
      </c>
      <c r="E11639" s="8" t="s">
        <v>712</v>
      </c>
      <c r="F11639" s="5" t="s">
        <v>718</v>
      </c>
      <c r="G11639" s="6" t="str">
        <f>VLOOKUP(E11639,dicionario!$A$1:$C12038,2,0)</f>
        <v>Flavopunctelia soredica</v>
      </c>
      <c r="H11639" s="6" t="str">
        <f>VLOOKUP(E11639,dicionario!$A$1:$C12038,3,0)</f>
        <v>líquen-folioso</v>
      </c>
    </row>
    <row r="11640">
      <c r="A11640" s="3">
        <v>45848.0</v>
      </c>
      <c r="B11640" s="4">
        <v>0.30833333333333335</v>
      </c>
      <c r="C11640" s="5" t="s">
        <v>937</v>
      </c>
      <c r="D11640" s="5" t="s">
        <v>1625</v>
      </c>
      <c r="E11640" s="8" t="s">
        <v>517</v>
      </c>
      <c r="F11640" s="5" t="s">
        <v>1446</v>
      </c>
      <c r="G11640" s="6" t="str">
        <f>VLOOKUP(E11640,dicionario!$A$1:$C12039,2,0)</f>
        <v>Evolvulus nummularius</v>
      </c>
      <c r="H11640" s="6" t="str">
        <f>VLOOKUP(E11640,dicionario!$A$1:$C12039,3,0)</f>
        <v/>
      </c>
    </row>
    <row r="11641">
      <c r="A11641" s="3">
        <v>45848.0</v>
      </c>
      <c r="B11641" s="4">
        <v>0.30833333333333335</v>
      </c>
      <c r="C11641" s="5" t="s">
        <v>937</v>
      </c>
      <c r="D11641" s="5" t="s">
        <v>1625</v>
      </c>
      <c r="E11641" s="6" t="s">
        <v>14</v>
      </c>
      <c r="F11641" s="5" t="s">
        <v>15</v>
      </c>
      <c r="G11641" s="6" t="str">
        <f>VLOOKUP(E11641,dicionario!$A$1:$C12040,2,0)</f>
        <v>Spermacoce verticillata</v>
      </c>
      <c r="H11641" s="6" t="str">
        <f>VLOOKUP(E11641,dicionario!$A$1:$C12040,3,0)</f>
        <v>vassourinha-de-botão</v>
      </c>
    </row>
    <row r="11642">
      <c r="A11642" s="3">
        <v>45848.0</v>
      </c>
      <c r="B11642" s="4">
        <v>0.30833333333333335</v>
      </c>
      <c r="C11642" s="5" t="s">
        <v>937</v>
      </c>
      <c r="D11642" s="5" t="s">
        <v>1625</v>
      </c>
      <c r="E11642" s="6" t="s">
        <v>225</v>
      </c>
      <c r="F11642" s="5" t="s">
        <v>226</v>
      </c>
      <c r="G11642" s="6" t="str">
        <f>VLOOKUP(E11642,dicionario!$A$1:$C12041,2,0)</f>
        <v>Passer domesticus</v>
      </c>
      <c r="H11642" s="6" t="str">
        <f>VLOOKUP(E11642,dicionario!$A$1:$C12041,3,0)</f>
        <v>pardal</v>
      </c>
    </row>
    <row r="11643">
      <c r="A11643" s="3">
        <v>45848.0</v>
      </c>
      <c r="B11643" s="4">
        <v>0.3090277777777778</v>
      </c>
      <c r="C11643" s="5" t="s">
        <v>937</v>
      </c>
      <c r="D11643" s="5" t="s">
        <v>1625</v>
      </c>
      <c r="E11643" s="6" t="s">
        <v>191</v>
      </c>
      <c r="F11643" s="5" t="s">
        <v>192</v>
      </c>
      <c r="G11643" s="6" t="str">
        <f>VLOOKUP(E11643,dicionario!$A$1:$C12042,2,0)</f>
        <v>Patagioenas picazuro</v>
      </c>
      <c r="H11643" s="6" t="str">
        <f>VLOOKUP(E11643,dicionario!$A$1:$C12042,3,0)</f>
        <v>asa-branca; pomba-asa-branca; pocaçu</v>
      </c>
    </row>
    <row r="11644">
      <c r="A11644" s="3">
        <v>45848.0</v>
      </c>
      <c r="B11644" s="4">
        <v>0.30972222222222223</v>
      </c>
      <c r="C11644" s="5" t="s">
        <v>937</v>
      </c>
      <c r="D11644" s="5" t="s">
        <v>1625</v>
      </c>
      <c r="E11644" s="11" t="s">
        <v>1524</v>
      </c>
      <c r="F11644" s="5" t="s">
        <v>1525</v>
      </c>
      <c r="G11644" s="6" t="str">
        <f>VLOOKUP(E11644,dicionario!$A$1:$C12043,2,0)</f>
        <v>Tolmomyias flaviventris</v>
      </c>
      <c r="H11644" s="6" t="str">
        <f>VLOOKUP(E11644,dicionario!$A$1:$C12043,3,0)</f>
        <v>bico-chato-amarelo</v>
      </c>
    </row>
    <row r="11645">
      <c r="A11645" s="3">
        <v>45848.0</v>
      </c>
      <c r="B11645" s="4">
        <v>0.30972222222222223</v>
      </c>
      <c r="C11645" s="5" t="s">
        <v>937</v>
      </c>
      <c r="D11645" s="5" t="s">
        <v>1625</v>
      </c>
      <c r="E11645" s="65" t="s">
        <v>1632</v>
      </c>
      <c r="F11645" s="5" t="s">
        <v>1633</v>
      </c>
      <c r="G11645" s="6" t="str">
        <f>VLOOKUP(E11645,dicionario!$A$1:$C12044,2,0)</f>
        <v>Tillandsia loliacea</v>
      </c>
      <c r="H11645" s="6" t="str">
        <f>VLOOKUP(E11645,dicionario!$A$1:$C12044,3,0)</f>
        <v>cravo-do-mato sp4</v>
      </c>
    </row>
    <row r="11646">
      <c r="A11646" s="3">
        <v>45848.0</v>
      </c>
      <c r="B11646" s="4">
        <v>0.3111111111111111</v>
      </c>
      <c r="C11646" s="5" t="s">
        <v>50</v>
      </c>
      <c r="D11646" s="5" t="s">
        <v>1625</v>
      </c>
      <c r="E11646" s="76" t="s">
        <v>1579</v>
      </c>
      <c r="F11646" s="5" t="s">
        <v>1580</v>
      </c>
      <c r="G11646" s="6" t="str">
        <f>VLOOKUP(E11646,dicionario!$A$1:$C12045,2,0)</f>
        <v>Tersina viridis</v>
      </c>
      <c r="H11646" s="6" t="str">
        <f>VLOOKUP(E11646,dicionario!$A$1:$C12045,3,0)</f>
        <v>saí-andorinha</v>
      </c>
    </row>
    <row r="11647">
      <c r="A11647" s="3">
        <v>45848.0</v>
      </c>
      <c r="B11647" s="4">
        <v>0.3111111111111111</v>
      </c>
      <c r="C11647" s="5" t="s">
        <v>50</v>
      </c>
      <c r="D11647" s="5" t="s">
        <v>1625</v>
      </c>
      <c r="E11647" s="8" t="s">
        <v>16</v>
      </c>
      <c r="F11647" s="5" t="s">
        <v>17</v>
      </c>
      <c r="G11647" s="6" t="str">
        <f>VLOOKUP(E11647,dicionario!$A$1:$C12046,2,0)</f>
        <v>Eupetomena macroura</v>
      </c>
      <c r="H11647" s="6" t="str">
        <f>VLOOKUP(E11647,dicionario!$A$1:$C12046,3,0)</f>
        <v>beija-flor-tesoura</v>
      </c>
    </row>
    <row r="11648">
      <c r="A11648" s="3">
        <v>45848.0</v>
      </c>
      <c r="B11648" s="4">
        <v>0.3111111111111111</v>
      </c>
      <c r="C11648" s="5" t="s">
        <v>50</v>
      </c>
      <c r="D11648" s="5" t="s">
        <v>1625</v>
      </c>
      <c r="E11648" s="6" t="s">
        <v>65</v>
      </c>
      <c r="F11648" s="5" t="s">
        <v>66</v>
      </c>
      <c r="G11648" s="6" t="str">
        <f>VLOOKUP(E11648,dicionario!$A$1:$C12047,2,0)</f>
        <v>Pitangus sulphutarus</v>
      </c>
      <c r="H11648" s="6" t="str">
        <f>VLOOKUP(E11648,dicionario!$A$1:$C12047,3,0)</f>
        <v>bem-te-vi</v>
      </c>
    </row>
    <row r="11649">
      <c r="A11649" s="3">
        <v>45848.0</v>
      </c>
      <c r="B11649" s="4">
        <v>0.31180555555555556</v>
      </c>
      <c r="C11649" s="5" t="s">
        <v>50</v>
      </c>
      <c r="D11649" s="5" t="s">
        <v>1625</v>
      </c>
      <c r="E11649" s="8" t="s">
        <v>109</v>
      </c>
      <c r="F11649" s="5" t="s">
        <v>1418</v>
      </c>
      <c r="G11649" s="6" t="str">
        <f>VLOOKUP(E11649,dicionario!$A$1:$C12048,2,0)</f>
        <v>Tillandsia stricta</v>
      </c>
      <c r="H11649" s="6" t="str">
        <f>VLOOKUP(E11649,dicionario!$A$1:$C12048,3,0)</f>
        <v>cravo-do-mato</v>
      </c>
    </row>
    <row r="11650">
      <c r="A11650" s="3">
        <v>45848.0</v>
      </c>
      <c r="B11650" s="4">
        <v>0.3125</v>
      </c>
      <c r="C11650" s="5" t="s">
        <v>50</v>
      </c>
      <c r="D11650" s="5" t="s">
        <v>1625</v>
      </c>
      <c r="E11650" s="8" t="s">
        <v>38</v>
      </c>
      <c r="F11650" s="5" t="s">
        <v>1251</v>
      </c>
      <c r="G11650" s="6" t="str">
        <f>VLOOKUP(E11650,dicionario!$A$1:$C12049,2,0)</f>
        <v>Troglodytes musculus</v>
      </c>
      <c r="H11650" s="6" t="str">
        <f>VLOOKUP(E11650,dicionario!$A$1:$C12049,3,0)</f>
        <v>curruíra</v>
      </c>
    </row>
    <row r="11651">
      <c r="A11651" s="3">
        <v>45848.0</v>
      </c>
      <c r="B11651" s="4">
        <v>0.3125</v>
      </c>
      <c r="C11651" s="5" t="s">
        <v>50</v>
      </c>
      <c r="D11651" s="5" t="s">
        <v>1625</v>
      </c>
      <c r="E11651" s="8" t="s">
        <v>1354</v>
      </c>
      <c r="F11651" s="5" t="s">
        <v>56</v>
      </c>
      <c r="G11651" s="6" t="str">
        <f>VLOOKUP(E11651,dicionario!$A$1:$C12050,2,0)</f>
        <v>#N/A</v>
      </c>
      <c r="H11651" s="6" t="str">
        <f>VLOOKUP(E11651,dicionario!$A$1:$C12050,3,0)</f>
        <v>#N/A</v>
      </c>
    </row>
    <row r="11652">
      <c r="A11652" s="3">
        <v>45848.0</v>
      </c>
      <c r="B11652" s="4">
        <v>0.3125</v>
      </c>
      <c r="C11652" s="5" t="s">
        <v>50</v>
      </c>
      <c r="D11652" s="5" t="s">
        <v>1625</v>
      </c>
      <c r="E11652" s="8" t="s">
        <v>732</v>
      </c>
      <c r="F11652" s="5"/>
      <c r="G11652" s="6" t="str">
        <f>VLOOKUP(E11652,dicionario!$A$1:$C12051,2,0)</f>
        <v>#N/A</v>
      </c>
      <c r="H11652" s="6" t="str">
        <f>VLOOKUP(E11652,dicionario!$A$1:$C12051,3,0)</f>
        <v>#N/A</v>
      </c>
    </row>
    <row r="11653">
      <c r="A11653" s="3">
        <v>45848.0</v>
      </c>
      <c r="B11653" s="4">
        <v>0.31319444444444444</v>
      </c>
      <c r="C11653" s="5" t="s">
        <v>50</v>
      </c>
      <c r="D11653" s="5" t="s">
        <v>1625</v>
      </c>
      <c r="E11653" s="6" t="s">
        <v>253</v>
      </c>
      <c r="F11653" s="5" t="s">
        <v>254</v>
      </c>
      <c r="G11653" s="6" t="str">
        <f>VLOOKUP(E11653,dicionario!$A$1:$C12052,2,0)</f>
        <v>Panicum maximum</v>
      </c>
      <c r="H11653" s="6" t="str">
        <f>VLOOKUP(E11653,dicionario!$A$1:$C12052,3,0)</f>
        <v>capim-colonião</v>
      </c>
    </row>
    <row r="11654">
      <c r="A11654" s="3">
        <v>45848.0</v>
      </c>
      <c r="B11654" s="4">
        <v>0.31319444444444444</v>
      </c>
      <c r="C11654" s="5" t="s">
        <v>50</v>
      </c>
      <c r="D11654" s="5" t="s">
        <v>1625</v>
      </c>
      <c r="E11654" s="8" t="s">
        <v>20</v>
      </c>
      <c r="F11654" s="5" t="s">
        <v>21</v>
      </c>
      <c r="G11654" s="6" t="str">
        <f>VLOOKUP(E11654,dicionario!$A$1:$C12053,2,0)</f>
        <v>Sicalis flaveola</v>
      </c>
      <c r="H11654" s="6" t="str">
        <f>VLOOKUP(E11654,dicionario!$A$1:$C12053,3,0)</f>
        <v>canário-da-terra</v>
      </c>
    </row>
    <row r="11655">
      <c r="A11655" s="3">
        <v>45848.0</v>
      </c>
      <c r="B11655" s="4">
        <v>0.31319444444444444</v>
      </c>
      <c r="C11655" s="5" t="s">
        <v>50</v>
      </c>
      <c r="D11655" s="5" t="s">
        <v>1625</v>
      </c>
      <c r="E11655" s="6" t="s">
        <v>111</v>
      </c>
      <c r="F11655" s="5" t="s">
        <v>112</v>
      </c>
      <c r="G11655" s="6" t="str">
        <f>VLOOKUP(E11655,dicionario!$A$1:$C12054,2,0)</f>
        <v>Trigona spinipes</v>
      </c>
      <c r="H11655" s="6" t="str">
        <f>VLOOKUP(E11655,dicionario!$A$1:$C12054,3,0)</f>
        <v>abelha-cachorro</v>
      </c>
    </row>
    <row r="11656">
      <c r="A11656" s="3">
        <v>45848.0</v>
      </c>
      <c r="B11656" s="4">
        <v>0.31319444444444444</v>
      </c>
      <c r="C11656" s="5" t="s">
        <v>50</v>
      </c>
      <c r="D11656" s="5" t="s">
        <v>1625</v>
      </c>
      <c r="E11656" s="8" t="s">
        <v>223</v>
      </c>
      <c r="F11656" s="5"/>
      <c r="G11656" s="6" t="str">
        <f>VLOOKUP(E11656,dicionario!$A$1:$C12055,2,0)</f>
        <v>Rhipsalis lindbergiana</v>
      </c>
      <c r="H11656" s="6" t="str">
        <f>VLOOKUP(E11656,dicionario!$A$1:$C12055,3,0)</f>
        <v>cacto-macarrão</v>
      </c>
    </row>
    <row r="11657">
      <c r="A11657" s="3">
        <v>45848.0</v>
      </c>
      <c r="B11657" s="4">
        <v>0.3138888888888889</v>
      </c>
      <c r="C11657" s="5" t="s">
        <v>50</v>
      </c>
      <c r="D11657" s="5" t="s">
        <v>1625</v>
      </c>
      <c r="E11657" s="6" t="s">
        <v>113</v>
      </c>
      <c r="F11657" s="5" t="s">
        <v>114</v>
      </c>
      <c r="G11657" s="6" t="str">
        <f>VLOOKUP(E11657,dicionario!$A$1:$C12056,2,0)</f>
        <v>Columbina talpacoti</v>
      </c>
      <c r="H11657" s="6" t="str">
        <f>VLOOKUP(E11657,dicionario!$A$1:$C12056,3,0)</f>
        <v>rolinha-roxa</v>
      </c>
    </row>
    <row r="11658">
      <c r="A11658" s="3">
        <v>45848.0</v>
      </c>
      <c r="B11658" s="4">
        <v>0.3138888888888889</v>
      </c>
      <c r="C11658" s="5" t="s">
        <v>50</v>
      </c>
      <c r="D11658" s="5" t="s">
        <v>1625</v>
      </c>
      <c r="E11658" s="6" t="s">
        <v>209</v>
      </c>
      <c r="F11658" s="5" t="s">
        <v>210</v>
      </c>
      <c r="G11658" s="6" t="str">
        <f>VLOOKUP(E11658,dicionario!$A$1:$C12057,2,0)</f>
        <v>Furnarius figulus</v>
      </c>
      <c r="H11658" s="6" t="str">
        <f>VLOOKUP(E11658,dicionario!$A$1:$C12057,3,0)</f>
        <v>casaca-de-couro-da-lama</v>
      </c>
    </row>
    <row r="11659">
      <c r="A11659" s="3">
        <v>45848.0</v>
      </c>
      <c r="B11659" s="4">
        <v>0.3145833333333333</v>
      </c>
      <c r="C11659" s="5" t="s">
        <v>50</v>
      </c>
      <c r="D11659" s="5" t="s">
        <v>1625</v>
      </c>
      <c r="E11659" s="6" t="s">
        <v>60</v>
      </c>
      <c r="F11659" s="5" t="s">
        <v>61</v>
      </c>
      <c r="G11659" s="6" t="str">
        <f>VLOOKUP(E11659,dicionario!$A$1:$C12058,2,0)</f>
        <v>Vanellus chilensis</v>
      </c>
      <c r="H11659" s="6" t="str">
        <f>VLOOKUP(E11659,dicionario!$A$1:$C12058,3,0)</f>
        <v>quero-quero</v>
      </c>
    </row>
    <row r="11660">
      <c r="A11660" s="3">
        <v>45848.0</v>
      </c>
      <c r="B11660" s="4">
        <v>0.3145833333333333</v>
      </c>
      <c r="C11660" s="5" t="s">
        <v>50</v>
      </c>
      <c r="D11660" s="5" t="s">
        <v>1625</v>
      </c>
      <c r="E11660" s="6" t="s">
        <v>225</v>
      </c>
      <c r="F11660" s="5" t="s">
        <v>226</v>
      </c>
      <c r="G11660" s="6" t="str">
        <f>VLOOKUP(E11660,dicionario!$A$1:$C12059,2,0)</f>
        <v>Passer domesticus</v>
      </c>
      <c r="H11660" s="6" t="str">
        <f>VLOOKUP(E11660,dicionario!$A$1:$C12059,3,0)</f>
        <v>pardal</v>
      </c>
    </row>
    <row r="11661">
      <c r="A11661" s="3">
        <v>45848.0</v>
      </c>
      <c r="B11661" s="4">
        <v>0.31527777777777777</v>
      </c>
      <c r="C11661" s="5" t="s">
        <v>50</v>
      </c>
      <c r="D11661" s="5" t="s">
        <v>1625</v>
      </c>
      <c r="E11661" s="6" t="s">
        <v>215</v>
      </c>
      <c r="F11661" s="5" t="s">
        <v>216</v>
      </c>
      <c r="G11661" s="6" t="str">
        <f>VLOOKUP(E11661,dicionario!$A$1:$C12060,2,0)</f>
        <v>Pygochelidon cyanoleuca</v>
      </c>
      <c r="H11661" s="6" t="str">
        <f>VLOOKUP(E11661,dicionario!$A$1:$C12060,3,0)</f>
        <v>andorinha-pequena-de-casa</v>
      </c>
    </row>
    <row r="11662">
      <c r="A11662" s="3">
        <v>45848.0</v>
      </c>
      <c r="B11662" s="4">
        <v>0.31805555555555554</v>
      </c>
      <c r="C11662" s="5" t="s">
        <v>50</v>
      </c>
      <c r="D11662" s="5" t="s">
        <v>1625</v>
      </c>
      <c r="E11662" s="8" t="s">
        <v>1549</v>
      </c>
      <c r="F11662" s="5" t="s">
        <v>1454</v>
      </c>
      <c r="G11662" s="6" t="str">
        <f>VLOOKUP(E11662,dicionario!$A$1:$C12061,2,0)</f>
        <v>Atta</v>
      </c>
      <c r="H11662" s="6" t="str">
        <f>VLOOKUP(E11662,dicionario!$A$1:$C12061,3,0)</f>
        <v>saúva</v>
      </c>
    </row>
    <row r="11663">
      <c r="A11663" s="3">
        <v>45848.0</v>
      </c>
      <c r="B11663" s="4">
        <v>0.3215277777777778</v>
      </c>
      <c r="C11663" s="5" t="s">
        <v>40</v>
      </c>
      <c r="D11663" s="5" t="s">
        <v>1625</v>
      </c>
      <c r="E11663" s="8" t="s">
        <v>162</v>
      </c>
      <c r="F11663" s="5" t="s">
        <v>42</v>
      </c>
      <c r="G11663" s="6" t="str">
        <f>VLOOKUP(E11663,dicionario!$A$1:$C12062,2,0)</f>
        <v>Fluvicola nengeta</v>
      </c>
      <c r="H11663" s="6" t="str">
        <f>VLOOKUP(E11663,dicionario!$A$1:$C12062,3,0)</f>
        <v>lavadeira-mascarada</v>
      </c>
    </row>
    <row r="11664">
      <c r="A11664" s="3">
        <v>45848.0</v>
      </c>
      <c r="B11664" s="4">
        <v>0.3215277777777778</v>
      </c>
      <c r="C11664" s="5" t="s">
        <v>40</v>
      </c>
      <c r="D11664" s="5" t="s">
        <v>1625</v>
      </c>
      <c r="E11664" s="6" t="s">
        <v>65</v>
      </c>
      <c r="F11664" s="5" t="s">
        <v>66</v>
      </c>
      <c r="G11664" s="6" t="str">
        <f>VLOOKUP(E11664,dicionario!$A$1:$C12063,2,0)</f>
        <v>Pitangus sulphutarus</v>
      </c>
      <c r="H11664" s="6" t="str">
        <f>VLOOKUP(E11664,dicionario!$A$1:$C12063,3,0)</f>
        <v>bem-te-vi</v>
      </c>
    </row>
    <row r="11665">
      <c r="A11665" s="3">
        <v>45848.0</v>
      </c>
      <c r="B11665" s="4">
        <v>0.3229166666666667</v>
      </c>
      <c r="C11665" s="5" t="s">
        <v>40</v>
      </c>
      <c r="D11665" s="5" t="s">
        <v>1625</v>
      </c>
      <c r="E11665" s="6" t="s">
        <v>86</v>
      </c>
      <c r="F11665" s="5" t="s">
        <v>502</v>
      </c>
      <c r="G11665" s="6" t="str">
        <f>VLOOKUP(E11665,dicionario!$A$1:$C12064,2,0)</f>
        <v>Coereba flaveola</v>
      </c>
      <c r="H11665" s="6" t="str">
        <f>VLOOKUP(E11665,dicionario!$A$1:$C12064,3,0)</f>
        <v>cambacica</v>
      </c>
    </row>
    <row r="11666">
      <c r="A11666" s="3">
        <v>45848.0</v>
      </c>
      <c r="B11666" s="4">
        <v>0.3229166666666667</v>
      </c>
      <c r="C11666" s="5" t="s">
        <v>40</v>
      </c>
      <c r="D11666" s="5" t="s">
        <v>1625</v>
      </c>
      <c r="E11666" s="8" t="s">
        <v>38</v>
      </c>
      <c r="F11666" s="5" t="s">
        <v>1251</v>
      </c>
      <c r="G11666" s="6" t="str">
        <f>VLOOKUP(E11666,dicionario!$A$1:$C12065,2,0)</f>
        <v>Troglodytes musculus</v>
      </c>
      <c r="H11666" s="6" t="str">
        <f>VLOOKUP(E11666,dicionario!$A$1:$C12065,3,0)</f>
        <v>curruíra</v>
      </c>
    </row>
    <row r="11667">
      <c r="A11667" s="3">
        <v>45848.0</v>
      </c>
      <c r="B11667" s="4">
        <v>0.3229166666666667</v>
      </c>
      <c r="C11667" s="5" t="s">
        <v>40</v>
      </c>
      <c r="D11667" s="5" t="s">
        <v>1625</v>
      </c>
      <c r="E11667" s="6" t="s">
        <v>191</v>
      </c>
      <c r="F11667" s="5" t="s">
        <v>192</v>
      </c>
      <c r="G11667" s="6" t="str">
        <f>VLOOKUP(E11667,dicionario!$A$1:$C12066,2,0)</f>
        <v>Patagioenas picazuro</v>
      </c>
      <c r="H11667" s="6" t="str">
        <f>VLOOKUP(E11667,dicionario!$A$1:$C12066,3,0)</f>
        <v>asa-branca; pomba-asa-branca; pocaçu</v>
      </c>
    </row>
    <row r="11668">
      <c r="A11668" s="3">
        <v>45848.0</v>
      </c>
      <c r="B11668" s="4">
        <v>0.3236111111111111</v>
      </c>
      <c r="C11668" s="5" t="s">
        <v>40</v>
      </c>
      <c r="D11668" s="5" t="s">
        <v>1625</v>
      </c>
      <c r="E11668" s="8" t="s">
        <v>20</v>
      </c>
      <c r="F11668" s="5" t="s">
        <v>21</v>
      </c>
      <c r="G11668" s="6" t="str">
        <f>VLOOKUP(E11668,dicionario!$A$1:$C12067,2,0)</f>
        <v>Sicalis flaveola</v>
      </c>
      <c r="H11668" s="6" t="str">
        <f>VLOOKUP(E11668,dicionario!$A$1:$C12067,3,0)</f>
        <v>canário-da-terra</v>
      </c>
    </row>
    <row r="11669">
      <c r="A11669" s="3">
        <v>45848.0</v>
      </c>
      <c r="B11669" s="4">
        <v>0.32430555555555557</v>
      </c>
      <c r="C11669" s="5" t="s">
        <v>40</v>
      </c>
      <c r="D11669" s="5" t="s">
        <v>1625</v>
      </c>
      <c r="E11669" s="8" t="s">
        <v>298</v>
      </c>
      <c r="F11669" s="5"/>
      <c r="G11669" s="6" t="str">
        <f>VLOOKUP(E11669,dicionario!$A$1:$C12068,2,0)</f>
        <v>Alysicarpus vaginalis</v>
      </c>
      <c r="H11669" s="6" t="str">
        <f>VLOOKUP(E11669,dicionario!$A$1:$C12068,3,0)</f>
        <v/>
      </c>
    </row>
    <row r="11670">
      <c r="A11670" s="3">
        <v>45848.0</v>
      </c>
      <c r="B11670" s="4">
        <v>0.325</v>
      </c>
      <c r="C11670" s="5" t="s">
        <v>40</v>
      </c>
      <c r="D11670" s="5" t="s">
        <v>1625</v>
      </c>
      <c r="E11670" s="6" t="s">
        <v>53</v>
      </c>
      <c r="F11670" s="5" t="s">
        <v>54</v>
      </c>
      <c r="G11670" s="6" t="str">
        <f>VLOOKUP(E11670,dicionario!$A$1:$C12069,2,0)</f>
        <v>Turnera subulata</v>
      </c>
      <c r="H11670" s="6" t="str">
        <f>VLOOKUP(E11670,dicionario!$A$1:$C12069,3,0)</f>
        <v>xanana</v>
      </c>
    </row>
    <row r="11671">
      <c r="A11671" s="3">
        <v>45848.0</v>
      </c>
      <c r="B11671" s="4">
        <v>0.3263888888888889</v>
      </c>
      <c r="C11671" s="5" t="s">
        <v>40</v>
      </c>
      <c r="D11671" s="5" t="s">
        <v>1625</v>
      </c>
      <c r="E11671" s="6" t="s">
        <v>360</v>
      </c>
      <c r="F11671" s="5" t="s">
        <v>1634</v>
      </c>
      <c r="G11671" s="6" t="str">
        <f>VLOOKUP(E11671,dicionario!$A$1:$C12070,2,0)</f>
        <v>Chamaecrista rotundifolia</v>
      </c>
      <c r="H11671" s="6" t="str">
        <f>VLOOKUP(E11671,dicionario!$A$1:$C12070,3,0)</f>
        <v>alfafa-nativa</v>
      </c>
    </row>
    <row r="11672">
      <c r="A11672" s="3">
        <v>45848.0</v>
      </c>
      <c r="B11672" s="4">
        <v>0.3277777777777778</v>
      </c>
      <c r="C11672" s="5" t="s">
        <v>33</v>
      </c>
      <c r="D11672" s="5" t="s">
        <v>1625</v>
      </c>
      <c r="E11672" s="8" t="s">
        <v>20</v>
      </c>
      <c r="F11672" s="5" t="s">
        <v>21</v>
      </c>
      <c r="G11672" s="6" t="str">
        <f>VLOOKUP(E11672,dicionario!$A$1:$C12071,2,0)</f>
        <v>Sicalis flaveola</v>
      </c>
      <c r="H11672" s="6" t="str">
        <f>VLOOKUP(E11672,dicionario!$A$1:$C12071,3,0)</f>
        <v>canário-da-terra</v>
      </c>
    </row>
    <row r="11673">
      <c r="A11673" s="3">
        <v>45848.0</v>
      </c>
      <c r="B11673" s="4">
        <v>0.3277777777777778</v>
      </c>
      <c r="C11673" s="5" t="s">
        <v>33</v>
      </c>
      <c r="D11673" s="5" t="s">
        <v>1625</v>
      </c>
      <c r="E11673" s="8" t="s">
        <v>271</v>
      </c>
      <c r="F11673" s="5" t="s">
        <v>1169</v>
      </c>
      <c r="G11673" s="6" t="str">
        <f>VLOOKUP(E11673,dicionario!$A$1:$C12072,2,0)</f>
        <v>Cyanthillium cinereum</v>
      </c>
      <c r="H11673" s="6" t="str">
        <f>VLOOKUP(E11673,dicionario!$A$1:$C12072,3,0)</f>
        <v>emília</v>
      </c>
    </row>
    <row r="11674">
      <c r="A11674" s="3">
        <v>45848.0</v>
      </c>
      <c r="B11674" s="4">
        <v>0.3277777777777778</v>
      </c>
      <c r="C11674" s="5" t="s">
        <v>33</v>
      </c>
      <c r="D11674" s="5" t="s">
        <v>1625</v>
      </c>
      <c r="E11674" s="6" t="s">
        <v>286</v>
      </c>
      <c r="F11674" s="5" t="s">
        <v>287</v>
      </c>
      <c r="G11674" s="6" t="str">
        <f>VLOOKUP(E11674,dicionario!$A$1:$C12073,2,0)</f>
        <v>Setaria parviflora</v>
      </c>
      <c r="H11674" s="6" t="str">
        <f>VLOOKUP(E11674,dicionario!$A$1:$C12073,3,0)</f>
        <v>capim-rabo-de-raposa</v>
      </c>
    </row>
    <row r="11675">
      <c r="A11675" s="3">
        <v>45848.0</v>
      </c>
      <c r="B11675" s="4">
        <v>0.3277777777777778</v>
      </c>
      <c r="C11675" s="5" t="s">
        <v>33</v>
      </c>
      <c r="D11675" s="5" t="s">
        <v>1625</v>
      </c>
      <c r="E11675" s="6" t="s">
        <v>247</v>
      </c>
      <c r="F11675" s="5" t="s">
        <v>387</v>
      </c>
      <c r="G11675" s="6" t="str">
        <f>VLOOKUP(E11675,dicionario!$A$1:$C12074,2,0)</f>
        <v>Emilia sonchifolia</v>
      </c>
      <c r="H11675" s="6" t="str">
        <f>VLOOKUP(E11675,dicionario!$A$1:$C12074,3,0)</f>
        <v>serralinha</v>
      </c>
    </row>
    <row r="11676">
      <c r="A11676" s="3">
        <v>45848.0</v>
      </c>
      <c r="B11676" s="4">
        <v>0.3277777777777778</v>
      </c>
      <c r="C11676" s="5" t="s">
        <v>33</v>
      </c>
      <c r="D11676" s="5" t="s">
        <v>1625</v>
      </c>
      <c r="E11676" s="6" t="s">
        <v>467</v>
      </c>
      <c r="F11676" s="5" t="s">
        <v>468</v>
      </c>
      <c r="G11676" s="6" t="str">
        <f>VLOOKUP(E11676,dicionario!$A$1:$C12075,2,0)</f>
        <v>Eleusine indica</v>
      </c>
      <c r="H11676" s="6" t="str">
        <f>VLOOKUP(E11676,dicionario!$A$1:$C12075,3,0)</f>
        <v>capim-pé-de-galinha</v>
      </c>
    </row>
    <row r="11677">
      <c r="A11677" s="3">
        <v>45848.0</v>
      </c>
      <c r="B11677" s="4">
        <v>0.3284722222222222</v>
      </c>
      <c r="C11677" s="5" t="s">
        <v>33</v>
      </c>
      <c r="D11677" s="5" t="s">
        <v>1625</v>
      </c>
      <c r="E11677" s="8" t="s">
        <v>109</v>
      </c>
      <c r="F11677" s="5" t="s">
        <v>110</v>
      </c>
      <c r="G11677" s="6" t="str">
        <f>VLOOKUP(E11677,dicionario!$A$1:$C12076,2,0)</f>
        <v>Tillandsia stricta</v>
      </c>
      <c r="H11677" s="6" t="str">
        <f>VLOOKUP(E11677,dicionario!$A$1:$C12076,3,0)</f>
        <v>cravo-do-mato</v>
      </c>
    </row>
    <row r="11678">
      <c r="A11678" s="3">
        <v>45848.0</v>
      </c>
      <c r="B11678" s="4">
        <v>0.3284722222222222</v>
      </c>
      <c r="C11678" s="5" t="s">
        <v>33</v>
      </c>
      <c r="D11678" s="5" t="s">
        <v>1625</v>
      </c>
      <c r="E11678" s="8" t="s">
        <v>122</v>
      </c>
      <c r="F11678" s="5" t="s">
        <v>123</v>
      </c>
      <c r="G11678" s="6" t="str">
        <f>VLOOKUP(E11678,dicionario!$A$1:$C12077,2,0)</f>
        <v>Todirostrum cinereum</v>
      </c>
      <c r="H11678" s="6" t="str">
        <f>VLOOKUP(E11678,dicionario!$A$1:$C12077,3,0)</f>
        <v>ferreirinho-relógio</v>
      </c>
    </row>
    <row r="11679">
      <c r="A11679" s="3">
        <v>45848.0</v>
      </c>
      <c r="B11679" s="4">
        <v>0.3284722222222222</v>
      </c>
      <c r="C11679" s="5" t="s">
        <v>33</v>
      </c>
      <c r="D11679" s="5" t="s">
        <v>1625</v>
      </c>
      <c r="E11679" s="6" t="s">
        <v>253</v>
      </c>
      <c r="F11679" s="5" t="s">
        <v>254</v>
      </c>
      <c r="G11679" s="6" t="str">
        <f>VLOOKUP(E11679,dicionario!$A$1:$C12078,2,0)</f>
        <v>Panicum maximum</v>
      </c>
      <c r="H11679" s="6" t="str">
        <f>VLOOKUP(E11679,dicionario!$A$1:$C12078,3,0)</f>
        <v>capim-colonião</v>
      </c>
    </row>
    <row r="11680">
      <c r="A11680" s="3">
        <v>45848.0</v>
      </c>
      <c r="B11680" s="4">
        <v>0.3284722222222222</v>
      </c>
      <c r="C11680" s="5" t="s">
        <v>33</v>
      </c>
      <c r="D11680" s="5" t="s">
        <v>1625</v>
      </c>
      <c r="E11680" s="8" t="s">
        <v>88</v>
      </c>
      <c r="F11680" s="5" t="s">
        <v>89</v>
      </c>
      <c r="G11680" s="6" t="str">
        <f>VLOOKUP(E11680,dicionario!$A$1:$C12079,2,0)</f>
        <v>Tyrannus melancolichus</v>
      </c>
      <c r="H11680" s="6" t="str">
        <f>VLOOKUP(E11680,dicionario!$A$1:$C12079,3,0)</f>
        <v>suiriri</v>
      </c>
    </row>
    <row r="11681">
      <c r="A11681" s="3">
        <v>45848.0</v>
      </c>
      <c r="B11681" s="4">
        <v>0.3284722222222222</v>
      </c>
      <c r="C11681" s="5" t="s">
        <v>33</v>
      </c>
      <c r="D11681" s="5" t="s">
        <v>1625</v>
      </c>
      <c r="E11681" s="6" t="s">
        <v>53</v>
      </c>
      <c r="F11681" s="5" t="s">
        <v>54</v>
      </c>
      <c r="G11681" s="6" t="str">
        <f>VLOOKUP(E11681,dicionario!$A$1:$C12080,2,0)</f>
        <v>Turnera subulata</v>
      </c>
      <c r="H11681" s="6" t="str">
        <f>VLOOKUP(E11681,dicionario!$A$1:$C12080,3,0)</f>
        <v>xanana</v>
      </c>
    </row>
    <row r="11682">
      <c r="A11682" s="3">
        <v>45848.0</v>
      </c>
      <c r="B11682" s="4">
        <v>0.32916666666666666</v>
      </c>
      <c r="C11682" s="5" t="s">
        <v>33</v>
      </c>
      <c r="D11682" s="5" t="s">
        <v>1625</v>
      </c>
      <c r="E11682" s="8" t="s">
        <v>1167</v>
      </c>
      <c r="F11682" s="61" t="s">
        <v>1168</v>
      </c>
      <c r="G11682" s="6" t="str">
        <f>VLOOKUP(E11682,dicionario!$A$1:$C12081,2,0)</f>
        <v>Tillandsia recurvata</v>
      </c>
      <c r="H11682" s="6" t="str">
        <f>VLOOKUP(E11682,dicionario!$A$1:$C12081,3,0)</f>
        <v>cravo-do-mato sp2</v>
      </c>
    </row>
    <row r="11683">
      <c r="A11683" s="3">
        <v>45848.0</v>
      </c>
      <c r="B11683" s="4">
        <v>0.32916666666666666</v>
      </c>
      <c r="C11683" s="5" t="s">
        <v>33</v>
      </c>
      <c r="D11683" s="5" t="s">
        <v>1625</v>
      </c>
      <c r="E11683" s="8" t="s">
        <v>38</v>
      </c>
      <c r="F11683" s="5" t="s">
        <v>1251</v>
      </c>
      <c r="G11683" s="6" t="str">
        <f>VLOOKUP(E11683,dicionario!$A$1:$C12082,2,0)</f>
        <v>Troglodytes musculus</v>
      </c>
      <c r="H11683" s="6" t="str">
        <f>VLOOKUP(E11683,dicionario!$A$1:$C12082,3,0)</f>
        <v>curruíra</v>
      </c>
    </row>
    <row r="11684">
      <c r="A11684" s="3">
        <v>45848.0</v>
      </c>
      <c r="B11684" s="4">
        <v>0.33055555555555555</v>
      </c>
      <c r="C11684" s="5" t="s">
        <v>33</v>
      </c>
      <c r="D11684" s="5" t="s">
        <v>1625</v>
      </c>
      <c r="E11684" s="6" t="s">
        <v>113</v>
      </c>
      <c r="F11684" s="5" t="s">
        <v>114</v>
      </c>
      <c r="G11684" s="6" t="str">
        <f>VLOOKUP(E11684,dicionario!$A$1:$C12083,2,0)</f>
        <v>Columbina talpacoti</v>
      </c>
      <c r="H11684" s="6" t="str">
        <f>VLOOKUP(E11684,dicionario!$A$1:$C12083,3,0)</f>
        <v>rolinha-roxa</v>
      </c>
    </row>
    <row r="11685">
      <c r="A11685" s="3">
        <v>45848.0</v>
      </c>
      <c r="B11685" s="4">
        <v>0.33055555555555555</v>
      </c>
      <c r="C11685" s="5" t="s">
        <v>26</v>
      </c>
      <c r="D11685" s="5" t="s">
        <v>1625</v>
      </c>
      <c r="E11685" s="20" t="s">
        <v>676</v>
      </c>
      <c r="F11685" s="5" t="s">
        <v>677</v>
      </c>
      <c r="G11685" s="6" t="str">
        <f>VLOOKUP(E11685,dicionario!$A$1:$C12084,2,0)</f>
        <v>Zornia latifolia</v>
      </c>
      <c r="H11685" s="6" t="str">
        <f>VLOOKUP(E11685,dicionario!$A$1:$C12084,3,0)</f>
        <v>arrozinho-do-campo</v>
      </c>
    </row>
    <row r="11686">
      <c r="A11686" s="3">
        <v>45848.0</v>
      </c>
      <c r="B11686" s="4">
        <v>0.33055555555555555</v>
      </c>
      <c r="C11686" s="5" t="s">
        <v>26</v>
      </c>
      <c r="D11686" s="5" t="s">
        <v>1625</v>
      </c>
      <c r="E11686" s="8" t="s">
        <v>109</v>
      </c>
      <c r="F11686" s="5" t="s">
        <v>110</v>
      </c>
      <c r="G11686" s="6" t="str">
        <f>VLOOKUP(E11686,dicionario!$A$1:$C12085,2,0)</f>
        <v>Tillandsia stricta</v>
      </c>
      <c r="H11686" s="6" t="str">
        <f>VLOOKUP(E11686,dicionario!$A$1:$C12085,3,0)</f>
        <v>cravo-do-mato</v>
      </c>
    </row>
    <row r="11687">
      <c r="A11687" s="3">
        <v>45848.0</v>
      </c>
      <c r="B11687" s="4">
        <v>0.33055555555555555</v>
      </c>
      <c r="C11687" s="5" t="s">
        <v>26</v>
      </c>
      <c r="D11687" s="5" t="s">
        <v>1625</v>
      </c>
      <c r="E11687" s="6" t="s">
        <v>217</v>
      </c>
      <c r="F11687" s="5" t="s">
        <v>218</v>
      </c>
      <c r="G11687" s="6" t="str">
        <f>VLOOKUP(E11687,dicionario!$A$1:$C12086,2,0)</f>
        <v>Athene cunicularia</v>
      </c>
      <c r="H11687" s="6" t="str">
        <f>VLOOKUP(E11687,dicionario!$A$1:$C12086,3,0)</f>
        <v>coruja-buraqueira</v>
      </c>
    </row>
    <row r="11688">
      <c r="A11688" s="3">
        <v>45848.0</v>
      </c>
      <c r="B11688" s="4">
        <v>0.33055555555555555</v>
      </c>
      <c r="C11688" s="5" t="s">
        <v>26</v>
      </c>
      <c r="D11688" s="5" t="s">
        <v>1625</v>
      </c>
      <c r="E11688" s="9" t="s">
        <v>105</v>
      </c>
      <c r="F11688" s="5" t="s">
        <v>106</v>
      </c>
      <c r="G11688" s="6" t="str">
        <f>VLOOKUP(E11688,dicionario!$A$1:$C12087,2,0)</f>
        <v>Progne tapera</v>
      </c>
      <c r="H11688" s="6" t="str">
        <f>VLOOKUP(E11688,dicionario!$A$1:$C12087,3,0)</f>
        <v>andorinha-do-campo</v>
      </c>
    </row>
    <row r="11689">
      <c r="A11689" s="3">
        <v>45848.0</v>
      </c>
      <c r="B11689" s="4">
        <v>0.3326388888888889</v>
      </c>
      <c r="C11689" s="5" t="s">
        <v>26</v>
      </c>
      <c r="D11689" s="5" t="s">
        <v>1625</v>
      </c>
      <c r="E11689" s="6" t="s">
        <v>86</v>
      </c>
      <c r="F11689" s="5" t="s">
        <v>502</v>
      </c>
      <c r="G11689" s="6" t="str">
        <f>VLOOKUP(E11689,dicionario!$A$1:$C12088,2,0)</f>
        <v>Coereba flaveola</v>
      </c>
      <c r="H11689" s="6" t="str">
        <f>VLOOKUP(E11689,dicionario!$A$1:$C12088,3,0)</f>
        <v>cambacica</v>
      </c>
    </row>
    <row r="11690">
      <c r="A11690" s="3">
        <v>45848.0</v>
      </c>
      <c r="B11690" s="4">
        <v>0.3326388888888889</v>
      </c>
      <c r="C11690" s="5" t="s">
        <v>26</v>
      </c>
      <c r="D11690" s="5" t="s">
        <v>1625</v>
      </c>
      <c r="E11690" s="6" t="s">
        <v>65</v>
      </c>
      <c r="F11690" s="5" t="s">
        <v>66</v>
      </c>
      <c r="G11690" s="6" t="str">
        <f>VLOOKUP(E11690,dicionario!$A$1:$C12089,2,0)</f>
        <v>Pitangus sulphutarus</v>
      </c>
      <c r="H11690" s="6" t="str">
        <f>VLOOKUP(E11690,dicionario!$A$1:$C12089,3,0)</f>
        <v>bem-te-vi</v>
      </c>
    </row>
    <row r="11691">
      <c r="A11691" s="3">
        <v>45848.0</v>
      </c>
      <c r="B11691" s="4">
        <v>0.3326388888888889</v>
      </c>
      <c r="C11691" s="5" t="s">
        <v>26</v>
      </c>
      <c r="D11691" s="5" t="s">
        <v>1625</v>
      </c>
      <c r="E11691" s="8" t="s">
        <v>88</v>
      </c>
      <c r="F11691" s="5" t="s">
        <v>89</v>
      </c>
      <c r="G11691" s="6" t="str">
        <f>VLOOKUP(E11691,dicionario!$A$1:$C12090,2,0)</f>
        <v>Tyrannus melancolichus</v>
      </c>
      <c r="H11691" s="6" t="str">
        <f>VLOOKUP(E11691,dicionario!$A$1:$C12090,3,0)</f>
        <v>suiriri</v>
      </c>
    </row>
    <row r="11692">
      <c r="A11692" s="3">
        <v>45848.0</v>
      </c>
      <c r="B11692" s="4">
        <v>0.3333333333333333</v>
      </c>
      <c r="C11692" s="5" t="s">
        <v>26</v>
      </c>
      <c r="D11692" s="5" t="s">
        <v>1625</v>
      </c>
      <c r="E11692" s="8" t="s">
        <v>1175</v>
      </c>
      <c r="F11692" s="5" t="s">
        <v>1176</v>
      </c>
      <c r="G11692" s="6" t="str">
        <f>VLOOKUP(E11692,dicionario!$A$1:$C12091,2,0)</f>
        <v>Danaus erippus</v>
      </c>
      <c r="H11692" s="6" t="str">
        <f>VLOOKUP(E11692,dicionario!$A$1:$C12091,3,0)</f>
        <v>borboleta-monarca-do-sul</v>
      </c>
    </row>
    <row r="11693">
      <c r="A11693" s="3">
        <v>45848.0</v>
      </c>
      <c r="B11693" s="4">
        <v>0.3333333333333333</v>
      </c>
      <c r="C11693" s="5" t="s">
        <v>26</v>
      </c>
      <c r="D11693" s="5" t="s">
        <v>1625</v>
      </c>
      <c r="E11693" s="6" t="s">
        <v>163</v>
      </c>
      <c r="F11693" s="5" t="s">
        <v>164</v>
      </c>
      <c r="G11693" s="6" t="str">
        <f>VLOOKUP(E11693,dicionario!$A$1:$C12092,2,0)</f>
        <v>Coragyps atratus</v>
      </c>
      <c r="H11693" s="6" t="str">
        <f>VLOOKUP(E11693,dicionario!$A$1:$C12092,3,0)</f>
        <v>urubu-de-cabeça-preta</v>
      </c>
    </row>
    <row r="11694">
      <c r="A11694" s="3">
        <v>45848.0</v>
      </c>
      <c r="B11694" s="4">
        <v>0.33402777777777776</v>
      </c>
      <c r="C11694" s="5" t="s">
        <v>26</v>
      </c>
      <c r="D11694" s="5" t="s">
        <v>1625</v>
      </c>
      <c r="E11694" s="8" t="s">
        <v>732</v>
      </c>
      <c r="F11694" s="5"/>
      <c r="G11694" s="6" t="str">
        <f>VLOOKUP(E11694,dicionario!$A$1:$C12093,2,0)</f>
        <v>#N/A</v>
      </c>
      <c r="H11694" s="6" t="str">
        <f>VLOOKUP(E11694,dicionario!$A$1:$C12093,3,0)</f>
        <v>#N/A</v>
      </c>
    </row>
    <row r="11695">
      <c r="A11695" s="3">
        <v>45848.0</v>
      </c>
      <c r="B11695" s="4">
        <v>0.3347222222222222</v>
      </c>
      <c r="C11695" s="5" t="s">
        <v>26</v>
      </c>
      <c r="D11695" s="5" t="s">
        <v>1625</v>
      </c>
      <c r="E11695" s="8" t="s">
        <v>41</v>
      </c>
      <c r="F11695" s="5" t="s">
        <v>45</v>
      </c>
      <c r="G11695" s="6" t="str">
        <f>VLOOKUP(E11695,dicionario!$A$1:$C12094,2,0)</f>
        <v>Mimosa pudica</v>
      </c>
      <c r="H11695" s="6" t="str">
        <f>VLOOKUP(E11695,dicionario!$A$1:$C12094,3,0)</f>
        <v>dormideira</v>
      </c>
    </row>
    <row r="11696">
      <c r="A11696" s="3">
        <v>45848.0</v>
      </c>
      <c r="B11696" s="4">
        <v>0.33541666666666664</v>
      </c>
      <c r="C11696" s="5" t="s">
        <v>26</v>
      </c>
      <c r="D11696" s="5" t="s">
        <v>1625</v>
      </c>
      <c r="E11696" s="6" t="s">
        <v>360</v>
      </c>
      <c r="F11696" s="5" t="s">
        <v>361</v>
      </c>
      <c r="G11696" s="6" t="str">
        <f>VLOOKUP(E11696,dicionario!$A$1:$C12095,2,0)</f>
        <v>Chamaecrista rotundifolia</v>
      </c>
      <c r="H11696" s="6" t="str">
        <f>VLOOKUP(E11696,dicionario!$A$1:$C12095,3,0)</f>
        <v>alfafa-nativa</v>
      </c>
    </row>
    <row r="11697">
      <c r="A11697" s="3">
        <v>45848.0</v>
      </c>
      <c r="B11697" s="4">
        <v>0.33541666666666664</v>
      </c>
      <c r="C11697" s="5" t="s">
        <v>26</v>
      </c>
      <c r="D11697" s="5" t="s">
        <v>1625</v>
      </c>
      <c r="E11697" s="8" t="s">
        <v>915</v>
      </c>
      <c r="F11697" s="5" t="s">
        <v>1275</v>
      </c>
      <c r="G11697" s="6" t="str">
        <f>VLOOKUP(E11697,dicionario!$A$1:$C12096,2,0)</f>
        <v>Tachycineta albiventer</v>
      </c>
      <c r="H11697" s="6" t="str">
        <f>VLOOKUP(E11697,dicionario!$A$1:$C12096,3,0)</f>
        <v>andorinha-de-rio</v>
      </c>
    </row>
    <row r="11698">
      <c r="A11698" s="3">
        <v>45848.0</v>
      </c>
      <c r="B11698" s="4">
        <v>0.33611111111111114</v>
      </c>
      <c r="C11698" s="5" t="s">
        <v>26</v>
      </c>
      <c r="D11698" s="5" t="s">
        <v>1625</v>
      </c>
      <c r="E11698" s="6" t="s">
        <v>353</v>
      </c>
      <c r="F11698" s="5" t="s">
        <v>354</v>
      </c>
      <c r="G11698" s="6" t="str">
        <f>VLOOKUP(E11698,dicionario!$A$1:$C12097,2,0)</f>
        <v>Desmodium incanum</v>
      </c>
      <c r="H11698" s="6" t="str">
        <f>VLOOKUP(E11698,dicionario!$A$1:$C12097,3,0)</f>
        <v>pega-pega</v>
      </c>
    </row>
    <row r="11699">
      <c r="A11699" s="3">
        <v>45848.0</v>
      </c>
      <c r="B11699" s="4">
        <v>0.33611111111111114</v>
      </c>
      <c r="C11699" s="5" t="s">
        <v>26</v>
      </c>
      <c r="D11699" s="5" t="s">
        <v>1625</v>
      </c>
      <c r="E11699" s="8" t="s">
        <v>631</v>
      </c>
      <c r="F11699" s="5" t="s">
        <v>632</v>
      </c>
      <c r="G11699" s="6" t="str">
        <f>VLOOKUP(E11699,dicionario!$A$1:$C12098,2,0)</f>
        <v>Chamaecrista nictitans</v>
      </c>
      <c r="H11699" s="6" t="str">
        <f>VLOOKUP(E11699,dicionario!$A$1:$C12098,3,0)</f>
        <v>falsa-dormideira</v>
      </c>
    </row>
    <row r="11700">
      <c r="A11700" s="3">
        <v>45848.0</v>
      </c>
      <c r="B11700" s="4">
        <v>0.3368055555555556</v>
      </c>
      <c r="C11700" s="5" t="s">
        <v>906</v>
      </c>
      <c r="D11700" s="5" t="s">
        <v>1625</v>
      </c>
      <c r="E11700" s="8" t="s">
        <v>135</v>
      </c>
      <c r="F11700" s="5" t="s">
        <v>136</v>
      </c>
      <c r="G11700" s="6" t="str">
        <f>VLOOKUP(E11700,dicionario!$A$1:$C12099,2,0)</f>
        <v>Tridax procumbens</v>
      </c>
      <c r="H11700" s="6" t="str">
        <f>VLOOKUP(E11700,dicionario!$A$1:$C12099,3,0)</f>
        <v>erva-de-touro</v>
      </c>
    </row>
    <row r="11701">
      <c r="A11701" s="3">
        <v>45848.0</v>
      </c>
      <c r="B11701" s="4">
        <v>0.3368055555555556</v>
      </c>
      <c r="C11701" s="5" t="s">
        <v>906</v>
      </c>
      <c r="D11701" s="5" t="s">
        <v>1625</v>
      </c>
      <c r="E11701" s="6" t="s">
        <v>247</v>
      </c>
      <c r="F11701" s="5" t="s">
        <v>387</v>
      </c>
      <c r="G11701" s="6" t="str">
        <f>VLOOKUP(E11701,dicionario!$A$1:$C12100,2,0)</f>
        <v>Emilia sonchifolia</v>
      </c>
      <c r="H11701" s="6" t="str">
        <f>VLOOKUP(E11701,dicionario!$A$1:$C12100,3,0)</f>
        <v>serralinha</v>
      </c>
    </row>
    <row r="11702">
      <c r="A11702" s="3">
        <v>45848.0</v>
      </c>
      <c r="B11702" s="4">
        <v>0.3368055555555556</v>
      </c>
      <c r="C11702" s="5" t="s">
        <v>906</v>
      </c>
      <c r="D11702" s="5" t="s">
        <v>1625</v>
      </c>
      <c r="E11702" s="6" t="s">
        <v>14</v>
      </c>
      <c r="F11702" s="5" t="s">
        <v>15</v>
      </c>
      <c r="G11702" s="6" t="str">
        <f>VLOOKUP(E11702,dicionario!$A$1:$C12101,2,0)</f>
        <v>Spermacoce verticillata</v>
      </c>
      <c r="H11702" s="6" t="str">
        <f>VLOOKUP(E11702,dicionario!$A$1:$C12101,3,0)</f>
        <v>vassourinha-de-botão</v>
      </c>
    </row>
    <row r="11703">
      <c r="A11703" s="3">
        <v>45848.0</v>
      </c>
      <c r="B11703" s="4">
        <v>0.3368055555555556</v>
      </c>
      <c r="C11703" s="5" t="s">
        <v>906</v>
      </c>
      <c r="D11703" s="5" t="s">
        <v>1625</v>
      </c>
      <c r="E11703" s="8" t="s">
        <v>154</v>
      </c>
      <c r="F11703" s="5" t="s">
        <v>155</v>
      </c>
      <c r="G11703" s="6" t="str">
        <f>VLOOKUP(E11703,dicionario!$A$1:$C12102,2,0)</f>
        <v>Cyperus rotundus</v>
      </c>
      <c r="H11703" s="6" t="str">
        <f>VLOOKUP(E11703,dicionario!$A$1:$C12102,3,0)</f>
        <v>tiririca</v>
      </c>
    </row>
    <row r="11704">
      <c r="A11704" s="3">
        <v>45848.0</v>
      </c>
      <c r="B11704" s="4">
        <v>0.3375</v>
      </c>
      <c r="C11704" s="5" t="s">
        <v>906</v>
      </c>
      <c r="D11704" s="5" t="s">
        <v>1625</v>
      </c>
      <c r="E11704" s="6" t="s">
        <v>227</v>
      </c>
      <c r="F11704" s="5" t="s">
        <v>228</v>
      </c>
      <c r="G11704" s="6" t="str">
        <f>VLOOKUP(E11704,dicionario!$A$1:$C12103,2,0)</f>
        <v>Indigofera hirsuta</v>
      </c>
      <c r="H11704" s="6" t="str">
        <f>VLOOKUP(E11704,dicionario!$A$1:$C12103,3,0)</f>
        <v>anileira</v>
      </c>
    </row>
    <row r="11705">
      <c r="A11705" s="3">
        <v>45848.0</v>
      </c>
      <c r="B11705" s="4">
        <v>0.3375</v>
      </c>
      <c r="C11705" s="5" t="s">
        <v>906</v>
      </c>
      <c r="D11705" s="5" t="s">
        <v>1625</v>
      </c>
      <c r="E11705" s="8" t="s">
        <v>732</v>
      </c>
      <c r="F11705" s="5"/>
      <c r="G11705" s="6" t="str">
        <f>VLOOKUP(E11705,dicionario!$A$1:$C12104,2,0)</f>
        <v>#N/A</v>
      </c>
      <c r="H11705" s="6" t="str">
        <f>VLOOKUP(E11705,dicionario!$A$1:$C12104,3,0)</f>
        <v>#N/A</v>
      </c>
    </row>
    <row r="11706">
      <c r="A11706" s="3">
        <v>45848.0</v>
      </c>
      <c r="B11706" s="4">
        <v>0.3375</v>
      </c>
      <c r="C11706" s="5" t="s">
        <v>906</v>
      </c>
      <c r="D11706" s="5" t="s">
        <v>1625</v>
      </c>
      <c r="E11706" s="8" t="s">
        <v>719</v>
      </c>
      <c r="F11706" s="5" t="s">
        <v>720</v>
      </c>
      <c r="G11706" s="6" t="str">
        <f>VLOOKUP(E11706,dicionario!$A$1:$C12105,2,0)</f>
        <v>Dirinaria</v>
      </c>
      <c r="H11706" s="6" t="str">
        <f>VLOOKUP(E11706,dicionario!$A$1:$C12105,3,0)</f>
        <v>líquen-crostoso</v>
      </c>
    </row>
    <row r="11707">
      <c r="A11707" s="3">
        <v>45848.0</v>
      </c>
      <c r="B11707" s="4">
        <v>0.3375</v>
      </c>
      <c r="C11707" s="5" t="s">
        <v>906</v>
      </c>
      <c r="D11707" s="5" t="s">
        <v>1625</v>
      </c>
      <c r="E11707" s="8" t="s">
        <v>712</v>
      </c>
      <c r="F11707" s="5" t="s">
        <v>718</v>
      </c>
      <c r="G11707" s="6" t="str">
        <f>VLOOKUP(E11707,dicionario!$A$1:$C12106,2,0)</f>
        <v>Flavopunctelia soredica</v>
      </c>
      <c r="H11707" s="6" t="str">
        <f>VLOOKUP(E11707,dicionario!$A$1:$C12106,3,0)</f>
        <v>líquen-folioso</v>
      </c>
    </row>
    <row r="11708">
      <c r="A11708" s="3">
        <v>45848.0</v>
      </c>
      <c r="B11708" s="4">
        <v>0.3375</v>
      </c>
      <c r="C11708" s="5" t="s">
        <v>906</v>
      </c>
      <c r="D11708" s="5" t="s">
        <v>1625</v>
      </c>
      <c r="E11708" s="8" t="s">
        <v>107</v>
      </c>
      <c r="F11708" s="5" t="s">
        <v>108</v>
      </c>
      <c r="G11708" s="6" t="str">
        <f>VLOOKUP(E11708,dicionario!$A$1:$C12107,2,0)</f>
        <v>Ramalina complanata</v>
      </c>
      <c r="H11708" s="6" t="str">
        <f>VLOOKUP(E11708,dicionario!$A$1:$C12107,3,0)</f>
        <v>ramalina</v>
      </c>
    </row>
    <row r="11709">
      <c r="A11709" s="3">
        <v>45848.0</v>
      </c>
      <c r="B11709" s="4">
        <v>0.3375</v>
      </c>
      <c r="C11709" s="5" t="s">
        <v>906</v>
      </c>
      <c r="D11709" s="5" t="s">
        <v>1625</v>
      </c>
      <c r="E11709" s="6" t="s">
        <v>215</v>
      </c>
      <c r="F11709" s="5" t="s">
        <v>216</v>
      </c>
      <c r="G11709" s="6" t="str">
        <f>VLOOKUP(E11709,dicionario!$A$1:$C12108,2,0)</f>
        <v>Pygochelidon cyanoleuca</v>
      </c>
      <c r="H11709" s="6" t="str">
        <f>VLOOKUP(E11709,dicionario!$A$1:$C12108,3,0)</f>
        <v>andorinha-pequena-de-casa</v>
      </c>
    </row>
    <row r="11710">
      <c r="A11710" s="3">
        <v>45848.0</v>
      </c>
      <c r="B11710" s="4">
        <v>0.33819444444444446</v>
      </c>
      <c r="C11710" s="5" t="s">
        <v>906</v>
      </c>
      <c r="D11710" s="5" t="s">
        <v>1625</v>
      </c>
      <c r="E11710" s="8" t="s">
        <v>109</v>
      </c>
      <c r="F11710" s="5" t="s">
        <v>110</v>
      </c>
      <c r="G11710" s="6" t="str">
        <f>VLOOKUP(E11710,dicionario!$A$1:$C12109,2,0)</f>
        <v>Tillandsia stricta</v>
      </c>
      <c r="H11710" s="6" t="str">
        <f>VLOOKUP(E11710,dicionario!$A$1:$C12109,3,0)</f>
        <v>cravo-do-mato</v>
      </c>
    </row>
    <row r="11711">
      <c r="A11711" s="3">
        <v>45848.0</v>
      </c>
      <c r="B11711" s="4">
        <v>0.33819444444444446</v>
      </c>
      <c r="C11711" s="5" t="s">
        <v>906</v>
      </c>
      <c r="D11711" s="5" t="s">
        <v>1625</v>
      </c>
      <c r="E11711" s="6" t="s">
        <v>163</v>
      </c>
      <c r="F11711" s="5" t="s">
        <v>164</v>
      </c>
      <c r="G11711" s="6" t="str">
        <f>VLOOKUP(E11711,dicionario!$A$1:$C12110,2,0)</f>
        <v>Coragyps atratus</v>
      </c>
      <c r="H11711" s="6" t="str">
        <f>VLOOKUP(E11711,dicionario!$A$1:$C12110,3,0)</f>
        <v>urubu-de-cabeça-preta</v>
      </c>
    </row>
    <row r="11712">
      <c r="A11712" s="3">
        <v>45848.0</v>
      </c>
      <c r="B11712" s="4">
        <v>0.33819444444444446</v>
      </c>
      <c r="C11712" s="5" t="s">
        <v>906</v>
      </c>
      <c r="D11712" s="5" t="s">
        <v>1625</v>
      </c>
      <c r="E11712" s="6" t="s">
        <v>177</v>
      </c>
      <c r="F11712" s="5" t="s">
        <v>178</v>
      </c>
      <c r="G11712" s="6" t="str">
        <f>VLOOKUP(E11712,dicionario!$A$1:$C12111,2,0)</f>
        <v>Elaenia flavogaster</v>
      </c>
      <c r="H11712" s="6" t="str">
        <f>VLOOKUP(E11712,dicionario!$A$1:$C12111,3,0)</f>
        <v>guaracava-de-barriga-amarela</v>
      </c>
    </row>
    <row r="11713">
      <c r="A11713" s="3">
        <v>45848.0</v>
      </c>
      <c r="B11713" s="4">
        <v>0.33819444444444446</v>
      </c>
      <c r="C11713" s="5" t="s">
        <v>906</v>
      </c>
      <c r="D11713" s="5" t="s">
        <v>1625</v>
      </c>
      <c r="E11713" s="6" t="s">
        <v>65</v>
      </c>
      <c r="F11713" s="5" t="s">
        <v>66</v>
      </c>
      <c r="G11713" s="6" t="str">
        <f>VLOOKUP(E11713,dicionario!$A$1:$C12112,2,0)</f>
        <v>Pitangus sulphutarus</v>
      </c>
      <c r="H11713" s="6" t="str">
        <f>VLOOKUP(E11713,dicionario!$A$1:$C12112,3,0)</f>
        <v>bem-te-vi</v>
      </c>
    </row>
    <row r="11714">
      <c r="A11714" s="3">
        <v>45848.0</v>
      </c>
      <c r="B11714" s="4">
        <v>0.33819444444444446</v>
      </c>
      <c r="C11714" s="5" t="s">
        <v>906</v>
      </c>
      <c r="D11714" s="5" t="s">
        <v>1625</v>
      </c>
      <c r="E11714" s="8" t="s">
        <v>223</v>
      </c>
      <c r="F11714" s="5"/>
      <c r="G11714" s="6" t="str">
        <f>VLOOKUP(E11714,dicionario!$A$1:$C12113,2,0)</f>
        <v>Rhipsalis lindbergiana</v>
      </c>
      <c r="H11714" s="6" t="str">
        <f>VLOOKUP(E11714,dicionario!$A$1:$C12113,3,0)</f>
        <v>cacto-macarrão</v>
      </c>
    </row>
    <row r="11715">
      <c r="A11715" s="3">
        <v>45848.0</v>
      </c>
      <c r="B11715" s="4">
        <v>0.3388888888888889</v>
      </c>
      <c r="C11715" s="5" t="s">
        <v>906</v>
      </c>
      <c r="D11715" s="5" t="s">
        <v>1625</v>
      </c>
      <c r="E11715" s="8" t="s">
        <v>909</v>
      </c>
      <c r="F11715" s="5" t="s">
        <v>910</v>
      </c>
      <c r="G11715" s="6" t="str">
        <f>VLOOKUP(E11715,dicionario!$A$1:$C12114,2,0)</f>
        <v>Chordeiles acutipennis</v>
      </c>
      <c r="H11715" s="6" t="str">
        <f>VLOOKUP(E11715,dicionario!$A$1:$C12114,3,0)</f>
        <v>bacurau-de-asa-fina</v>
      </c>
    </row>
    <row r="11716">
      <c r="A11716" s="3">
        <v>45848.0</v>
      </c>
      <c r="B11716" s="4">
        <v>0.3388888888888889</v>
      </c>
      <c r="C11716" s="5" t="s">
        <v>906</v>
      </c>
      <c r="D11716" s="5" t="s">
        <v>1625</v>
      </c>
      <c r="E11716" s="8" t="s">
        <v>20</v>
      </c>
      <c r="F11716" s="5" t="s">
        <v>21</v>
      </c>
      <c r="G11716" s="6" t="str">
        <f>VLOOKUP(E11716,dicionario!$A$1:$C12115,2,0)</f>
        <v>Sicalis flaveola</v>
      </c>
      <c r="H11716" s="6" t="str">
        <f>VLOOKUP(E11716,dicionario!$A$1:$C12115,3,0)</f>
        <v>canário-da-terra</v>
      </c>
    </row>
    <row r="11717">
      <c r="A11717" s="3">
        <v>45848.0</v>
      </c>
      <c r="B11717" s="4">
        <v>0.3388888888888889</v>
      </c>
      <c r="C11717" s="5" t="s">
        <v>906</v>
      </c>
      <c r="D11717" s="5" t="s">
        <v>1625</v>
      </c>
      <c r="E11717" s="8" t="s">
        <v>245</v>
      </c>
      <c r="F11717" s="5" t="s">
        <v>246</v>
      </c>
      <c r="G11717" s="6" t="str">
        <f>VLOOKUP(E11717,dicionario!$A$1:$C12116,2,0)</f>
        <v>Hemiargus hanno</v>
      </c>
      <c r="H11717" s="6" t="str">
        <f>VLOOKUP(E11717,dicionario!$A$1:$C12116,3,0)</f>
        <v>borboleta-azulzinha-do-trevo</v>
      </c>
    </row>
    <row r="11718">
      <c r="A11718" s="3">
        <v>45848.0</v>
      </c>
      <c r="B11718" s="4">
        <v>0.33958333333333335</v>
      </c>
      <c r="C11718" s="5" t="s">
        <v>906</v>
      </c>
      <c r="D11718" s="5" t="s">
        <v>1625</v>
      </c>
      <c r="E11718" s="8" t="s">
        <v>1344</v>
      </c>
      <c r="F11718" s="5" t="s">
        <v>47</v>
      </c>
      <c r="G11718" s="6" t="str">
        <f>VLOOKUP(E11718,dicionario!$A$1:$C12117,2,0)</f>
        <v>#N/A</v>
      </c>
      <c r="H11718" s="6" t="str">
        <f>VLOOKUP(E11718,dicionario!$A$1:$C12117,3,0)</f>
        <v>#N/A</v>
      </c>
    </row>
    <row r="11719">
      <c r="A11719" s="3">
        <v>45848.0</v>
      </c>
      <c r="B11719" s="4">
        <v>0.33958333333333335</v>
      </c>
      <c r="C11719" s="5" t="s">
        <v>906</v>
      </c>
      <c r="D11719" s="5" t="s">
        <v>1625</v>
      </c>
      <c r="E11719" s="6" t="s">
        <v>111</v>
      </c>
      <c r="F11719" s="5" t="s">
        <v>112</v>
      </c>
      <c r="G11719" s="6" t="str">
        <f>VLOOKUP(E11719,dicionario!$A$1:$C12118,2,0)</f>
        <v>Trigona spinipes</v>
      </c>
      <c r="H11719" s="6" t="str">
        <f>VLOOKUP(E11719,dicionario!$A$1:$C12118,3,0)</f>
        <v>abelha-cachorro</v>
      </c>
    </row>
    <row r="11720">
      <c r="A11720" s="3">
        <v>45848.0</v>
      </c>
      <c r="B11720" s="4">
        <v>0.3416666666666667</v>
      </c>
      <c r="C11720" s="5" t="s">
        <v>906</v>
      </c>
      <c r="D11720" s="5" t="s">
        <v>1625</v>
      </c>
      <c r="E11720" s="8" t="s">
        <v>16</v>
      </c>
      <c r="F11720" s="5" t="s">
        <v>17</v>
      </c>
      <c r="G11720" s="6" t="str">
        <f>VLOOKUP(E11720,dicionario!$A$1:$C12119,2,0)</f>
        <v>Eupetomena macroura</v>
      </c>
      <c r="H11720" s="6" t="str">
        <f>VLOOKUP(E11720,dicionario!$A$1:$C12119,3,0)</f>
        <v>beija-flor-tesoura</v>
      </c>
    </row>
    <row r="11721">
      <c r="A11721" s="3">
        <v>45848.0</v>
      </c>
      <c r="B11721" s="4">
        <v>0.3416666666666667</v>
      </c>
      <c r="C11721" s="5" t="s">
        <v>906</v>
      </c>
      <c r="D11721" s="5" t="s">
        <v>1625</v>
      </c>
      <c r="E11721" s="6" t="s">
        <v>93</v>
      </c>
      <c r="F11721" s="5" t="s">
        <v>73</v>
      </c>
      <c r="G11721" s="6" t="str">
        <f>VLOOKUP(E11721,dicionario!$A$1:$C12120,2,0)</f>
        <v>Thraupis sayaca</v>
      </c>
      <c r="H11721" s="6" t="str">
        <f>VLOOKUP(E11721,dicionario!$A$1:$C12120,3,0)</f>
        <v>sanhaçu-cinzento</v>
      </c>
    </row>
    <row r="11722">
      <c r="A11722" s="3">
        <v>45848.0</v>
      </c>
      <c r="B11722" s="4">
        <v>0.3416666666666667</v>
      </c>
      <c r="C11722" s="5" t="s">
        <v>8</v>
      </c>
      <c r="D11722" s="5" t="s">
        <v>1625</v>
      </c>
      <c r="E11722" s="8" t="s">
        <v>1008</v>
      </c>
      <c r="F11722" s="5" t="s">
        <v>1013</v>
      </c>
      <c r="G11722" s="6" t="str">
        <f>VLOOKUP(E11722,dicionario!$A$1:$C12121,2,0)</f>
        <v>Syntermes molestus</v>
      </c>
      <c r="H11722" s="6" t="str">
        <f>VLOOKUP(E11722,dicionario!$A$1:$C12121,3,0)</f>
        <v>cupim-bate-cabeça</v>
      </c>
    </row>
    <row r="11723">
      <c r="A11723" s="3">
        <v>45855.0</v>
      </c>
      <c r="B11723" s="4">
        <v>0.25972222222222224</v>
      </c>
      <c r="C11723" s="5" t="s">
        <v>8</v>
      </c>
      <c r="D11723" s="5" t="s">
        <v>1635</v>
      </c>
      <c r="E11723" s="8" t="s">
        <v>38</v>
      </c>
      <c r="F11723" s="5" t="s">
        <v>1251</v>
      </c>
      <c r="G11723" s="6" t="str">
        <f>VLOOKUP(E11723,dicionario!$A$1:$C12122,2,0)</f>
        <v>Troglodytes musculus</v>
      </c>
      <c r="H11723" s="6" t="str">
        <f>VLOOKUP(E11723,dicionario!$A$1:$C12122,3,0)</f>
        <v>curruíra</v>
      </c>
    </row>
    <row r="11724">
      <c r="A11724" s="3">
        <v>45855.0</v>
      </c>
      <c r="B11724" s="4">
        <v>0.2604166666666667</v>
      </c>
      <c r="C11724" s="5" t="s">
        <v>8</v>
      </c>
      <c r="D11724" s="5" t="s">
        <v>1635</v>
      </c>
      <c r="E11724" s="6" t="s">
        <v>191</v>
      </c>
      <c r="F11724" s="5" t="s">
        <v>771</v>
      </c>
      <c r="G11724" s="6" t="str">
        <f>VLOOKUP(E11724,dicionario!$A$1:$C12123,2,0)</f>
        <v>Patagioenas picazuro</v>
      </c>
      <c r="H11724" s="6" t="str">
        <f>VLOOKUP(E11724,dicionario!$A$1:$C12123,3,0)</f>
        <v>asa-branca; pomba-asa-branca; pocaçu</v>
      </c>
    </row>
    <row r="11725">
      <c r="A11725" s="3">
        <v>45855.0</v>
      </c>
      <c r="B11725" s="4">
        <v>0.2604166666666667</v>
      </c>
      <c r="C11725" s="5" t="s">
        <v>8</v>
      </c>
      <c r="D11725" s="5" t="s">
        <v>1635</v>
      </c>
      <c r="E11725" s="8" t="s">
        <v>109</v>
      </c>
      <c r="F11725" s="5" t="s">
        <v>777</v>
      </c>
      <c r="G11725" s="6" t="str">
        <f>VLOOKUP(E11725,dicionario!$A$1:$C12124,2,0)</f>
        <v>Tillandsia stricta</v>
      </c>
      <c r="H11725" s="6" t="str">
        <f>VLOOKUP(E11725,dicionario!$A$1:$C12124,3,0)</f>
        <v>cravo-do-mato</v>
      </c>
    </row>
    <row r="11726">
      <c r="A11726" s="3">
        <v>45855.0</v>
      </c>
      <c r="B11726" s="4">
        <v>0.2604166666666667</v>
      </c>
      <c r="C11726" s="5" t="s">
        <v>8</v>
      </c>
      <c r="D11726" s="5" t="s">
        <v>1635</v>
      </c>
      <c r="E11726" s="8" t="s">
        <v>712</v>
      </c>
      <c r="F11726" s="5" t="s">
        <v>1602</v>
      </c>
      <c r="G11726" s="6" t="str">
        <f>VLOOKUP(E11726,dicionario!$A$1:$C12125,2,0)</f>
        <v>Flavopunctelia soredica</v>
      </c>
      <c r="H11726" s="6" t="str">
        <f>VLOOKUP(E11726,dicionario!$A$1:$C12125,3,0)</f>
        <v>líquen-folioso</v>
      </c>
    </row>
    <row r="11727">
      <c r="A11727" s="3">
        <v>45855.0</v>
      </c>
      <c r="B11727" s="4">
        <v>0.2604166666666667</v>
      </c>
      <c r="C11727" s="5" t="s">
        <v>8</v>
      </c>
      <c r="D11727" s="5" t="s">
        <v>1635</v>
      </c>
      <c r="E11727" s="8" t="s">
        <v>719</v>
      </c>
      <c r="F11727" s="5" t="s">
        <v>1593</v>
      </c>
      <c r="G11727" s="6" t="str">
        <f>VLOOKUP(E11727,dicionario!$A$1:$C12126,2,0)</f>
        <v>Dirinaria</v>
      </c>
      <c r="H11727" s="6" t="str">
        <f>VLOOKUP(E11727,dicionario!$A$1:$C12126,3,0)</f>
        <v>líquen-crostoso</v>
      </c>
    </row>
    <row r="11728">
      <c r="A11728" s="3">
        <v>45855.0</v>
      </c>
      <c r="B11728" s="4">
        <v>0.2611111111111111</v>
      </c>
      <c r="C11728" s="5" t="s">
        <v>8</v>
      </c>
      <c r="D11728" s="5" t="s">
        <v>1635</v>
      </c>
      <c r="E11728" s="8" t="s">
        <v>107</v>
      </c>
      <c r="F11728" s="5" t="s">
        <v>108</v>
      </c>
      <c r="G11728" s="6" t="str">
        <f>VLOOKUP(E11728,dicionario!$A$1:$C12127,2,0)</f>
        <v>Ramalina complanata</v>
      </c>
      <c r="H11728" s="6" t="str">
        <f>VLOOKUP(E11728,dicionario!$A$1:$C12127,3,0)</f>
        <v>ramalina</v>
      </c>
    </row>
    <row r="11729">
      <c r="A11729" s="3">
        <v>45855.0</v>
      </c>
      <c r="B11729" s="4">
        <v>0.2611111111111111</v>
      </c>
      <c r="C11729" s="5" t="s">
        <v>8</v>
      </c>
      <c r="D11729" s="5" t="s">
        <v>1635</v>
      </c>
      <c r="E11729" s="6" t="s">
        <v>22</v>
      </c>
      <c r="F11729" s="5" t="s">
        <v>97</v>
      </c>
      <c r="G11729" s="6" t="str">
        <f>VLOOKUP(E11729,dicionario!$A$1:$C12128,2,0)</f>
        <v>Zenaida auriculata</v>
      </c>
      <c r="H11729" s="6" t="str">
        <f>VLOOKUP(E11729,dicionario!$A$1:$C12128,3,0)</f>
        <v>pomba-de-bando; avoante</v>
      </c>
    </row>
    <row r="11730">
      <c r="A11730" s="3">
        <v>45855.0</v>
      </c>
      <c r="B11730" s="4">
        <v>0.2611111111111111</v>
      </c>
      <c r="C11730" s="5" t="s">
        <v>8</v>
      </c>
      <c r="D11730" s="5" t="s">
        <v>1635</v>
      </c>
      <c r="E11730" s="8" t="s">
        <v>909</v>
      </c>
      <c r="F11730" s="5" t="s">
        <v>1636</v>
      </c>
      <c r="G11730" s="6" t="str">
        <f>VLOOKUP(E11730,dicionario!$A$1:$C12129,2,0)</f>
        <v>Chordeiles acutipennis</v>
      </c>
      <c r="H11730" s="6" t="str">
        <f>VLOOKUP(E11730,dicionario!$A$1:$C12129,3,0)</f>
        <v>bacurau-de-asa-fina</v>
      </c>
    </row>
    <row r="11731">
      <c r="A11731" s="3">
        <v>45855.0</v>
      </c>
      <c r="B11731" s="4">
        <v>0.2611111111111111</v>
      </c>
      <c r="C11731" s="5" t="s">
        <v>8</v>
      </c>
      <c r="D11731" s="5" t="s">
        <v>1635</v>
      </c>
      <c r="E11731" s="8" t="s">
        <v>20</v>
      </c>
      <c r="F11731" s="5" t="s">
        <v>1637</v>
      </c>
      <c r="G11731" s="6" t="str">
        <f>VLOOKUP(E11731,dicionario!$A$1:$C12130,2,0)</f>
        <v>Sicalis flaveola</v>
      </c>
      <c r="H11731" s="6" t="str">
        <f>VLOOKUP(E11731,dicionario!$A$1:$C12130,3,0)</f>
        <v>canário-da-terra</v>
      </c>
    </row>
    <row r="11732">
      <c r="A11732" s="3">
        <v>45855.0</v>
      </c>
      <c r="B11732" s="4">
        <v>0.2611111111111111</v>
      </c>
      <c r="C11732" s="5" t="s">
        <v>8</v>
      </c>
      <c r="D11732" s="5" t="s">
        <v>1635</v>
      </c>
      <c r="E11732" s="8" t="s">
        <v>223</v>
      </c>
      <c r="F11732" s="5"/>
      <c r="G11732" s="6" t="str">
        <f>VLOOKUP(E11732,dicionario!$A$1:$C12131,2,0)</f>
        <v>Rhipsalis lindbergiana</v>
      </c>
      <c r="H11732" s="6" t="str">
        <f>VLOOKUP(E11732,dicionario!$A$1:$C12131,3,0)</f>
        <v>cacto-macarrão</v>
      </c>
    </row>
    <row r="11733">
      <c r="A11733" s="3">
        <v>45855.0</v>
      </c>
      <c r="B11733" s="4">
        <v>0.2611111111111111</v>
      </c>
      <c r="C11733" s="5" t="s">
        <v>8</v>
      </c>
      <c r="D11733" s="5" t="s">
        <v>1635</v>
      </c>
      <c r="E11733" s="8" t="s">
        <v>88</v>
      </c>
      <c r="F11733" s="5" t="s">
        <v>1603</v>
      </c>
      <c r="G11733" s="6" t="str">
        <f>VLOOKUP(E11733,dicionario!$A$1:$C12132,2,0)</f>
        <v>Tyrannus melancolichus</v>
      </c>
      <c r="H11733" s="6" t="str">
        <f>VLOOKUP(E11733,dicionario!$A$1:$C12132,3,0)</f>
        <v>suiriri</v>
      </c>
    </row>
    <row r="11734">
      <c r="A11734" s="3">
        <v>45855.0</v>
      </c>
      <c r="B11734" s="4">
        <v>0.26180555555555557</v>
      </c>
      <c r="C11734" s="5" t="s">
        <v>8</v>
      </c>
      <c r="D11734" s="5" t="s">
        <v>1635</v>
      </c>
      <c r="E11734" s="6" t="s">
        <v>65</v>
      </c>
      <c r="F11734" s="5" t="s">
        <v>819</v>
      </c>
      <c r="G11734" s="6" t="str">
        <f>VLOOKUP(E11734,dicionario!$A$1:$C12133,2,0)</f>
        <v>Pitangus sulphutarus</v>
      </c>
      <c r="H11734" s="6" t="str">
        <f>VLOOKUP(E11734,dicionario!$A$1:$C12133,3,0)</f>
        <v>bem-te-vi</v>
      </c>
    </row>
    <row r="11735">
      <c r="A11735" s="3">
        <v>45855.0</v>
      </c>
      <c r="B11735" s="4">
        <v>0.2625</v>
      </c>
      <c r="C11735" s="5" t="s">
        <v>8</v>
      </c>
      <c r="D11735" s="5" t="s">
        <v>1635</v>
      </c>
      <c r="E11735" s="8" t="s">
        <v>624</v>
      </c>
      <c r="F11735" s="5" t="s">
        <v>133</v>
      </c>
      <c r="G11735" s="6" t="str">
        <f>VLOOKUP(E11735,dicionario!$A$1:$C12134,2,0)</f>
        <v>Euphonia violacea</v>
      </c>
      <c r="H11735" s="6" t="str">
        <f>VLOOKUP(E11735,dicionario!$A$1:$C12134,3,0)</f>
        <v>gaturamo-verdadeiro</v>
      </c>
    </row>
    <row r="11736">
      <c r="A11736" s="3">
        <v>45855.0</v>
      </c>
      <c r="B11736" s="4">
        <v>0.26319444444444445</v>
      </c>
      <c r="C11736" s="5" t="s">
        <v>8</v>
      </c>
      <c r="D11736" s="5" t="s">
        <v>1635</v>
      </c>
      <c r="E11736" s="6" t="s">
        <v>177</v>
      </c>
      <c r="F11736" s="5" t="s">
        <v>178</v>
      </c>
      <c r="G11736" s="6" t="str">
        <f>VLOOKUP(E11736,dicionario!$A$1:$C12135,2,0)</f>
        <v>Elaenia flavogaster</v>
      </c>
      <c r="H11736" s="6" t="str">
        <f>VLOOKUP(E11736,dicionario!$A$1:$C12135,3,0)</f>
        <v>guaracava-de-barriga-amarela</v>
      </c>
    </row>
    <row r="11737">
      <c r="A11737" s="3">
        <v>45855.0</v>
      </c>
      <c r="B11737" s="4">
        <v>0.2638888888888889</v>
      </c>
      <c r="C11737" s="5" t="s">
        <v>8</v>
      </c>
      <c r="D11737" s="5" t="s">
        <v>1635</v>
      </c>
      <c r="E11737" s="6" t="s">
        <v>113</v>
      </c>
      <c r="F11737" s="5" t="s">
        <v>820</v>
      </c>
      <c r="G11737" s="6" t="str">
        <f>VLOOKUP(E11737,dicionario!$A$1:$C12136,2,0)</f>
        <v>Columbina talpacoti</v>
      </c>
      <c r="H11737" s="6" t="str">
        <f>VLOOKUP(E11737,dicionario!$A$1:$C12136,3,0)</f>
        <v>rolinha-roxa</v>
      </c>
    </row>
    <row r="11738">
      <c r="A11738" s="3">
        <v>45855.0</v>
      </c>
      <c r="B11738" s="4">
        <v>0.2638888888888889</v>
      </c>
      <c r="C11738" s="5" t="s">
        <v>8</v>
      </c>
      <c r="D11738" s="5" t="s">
        <v>1635</v>
      </c>
      <c r="E11738" s="8" t="s">
        <v>1008</v>
      </c>
      <c r="F11738" s="5" t="s">
        <v>1638</v>
      </c>
      <c r="G11738" s="6" t="str">
        <f>VLOOKUP(E11738,dicionario!$A$1:$C12137,2,0)</f>
        <v>Syntermes molestus</v>
      </c>
      <c r="H11738" s="6" t="str">
        <f>VLOOKUP(E11738,dicionario!$A$1:$C12137,3,0)</f>
        <v>cupim-bate-cabeça</v>
      </c>
    </row>
    <row r="11739">
      <c r="A11739" s="3">
        <v>45855.0</v>
      </c>
      <c r="B11739" s="4">
        <v>0.2638888888888889</v>
      </c>
      <c r="C11739" s="5" t="s">
        <v>8</v>
      </c>
      <c r="D11739" s="5" t="s">
        <v>1635</v>
      </c>
      <c r="E11739" s="6" t="s">
        <v>93</v>
      </c>
      <c r="F11739" s="5" t="s">
        <v>764</v>
      </c>
      <c r="G11739" s="6" t="str">
        <f>VLOOKUP(E11739,dicionario!$A$1:$C12138,2,0)</f>
        <v>Thraupis sayaca</v>
      </c>
      <c r="H11739" s="6" t="str">
        <f>VLOOKUP(E11739,dicionario!$A$1:$C12138,3,0)</f>
        <v>sanhaçu-cinzento</v>
      </c>
    </row>
    <row r="11740">
      <c r="A11740" s="3">
        <v>45855.0</v>
      </c>
      <c r="B11740" s="4">
        <v>0.26458333333333334</v>
      </c>
      <c r="C11740" s="5" t="s">
        <v>8</v>
      </c>
      <c r="D11740" s="5" t="s">
        <v>1635</v>
      </c>
      <c r="E11740" s="6" t="s">
        <v>93</v>
      </c>
      <c r="F11740" s="5" t="s">
        <v>570</v>
      </c>
      <c r="G11740" s="6" t="str">
        <f>VLOOKUP(E11740,dicionario!$A$1:$C12139,2,0)</f>
        <v>Thraupis sayaca</v>
      </c>
      <c r="H11740" s="6" t="str">
        <f>VLOOKUP(E11740,dicionario!$A$1:$C12139,3,0)</f>
        <v>sanhaçu-cinzento</v>
      </c>
    </row>
    <row r="11741">
      <c r="A11741" s="3">
        <v>45855.0</v>
      </c>
      <c r="B11741" s="4">
        <v>0.26458333333333334</v>
      </c>
      <c r="C11741" s="5" t="s">
        <v>8</v>
      </c>
      <c r="D11741" s="5" t="s">
        <v>1635</v>
      </c>
      <c r="E11741" s="6" t="s">
        <v>225</v>
      </c>
      <c r="F11741" s="5" t="s">
        <v>226</v>
      </c>
      <c r="G11741" s="6" t="str">
        <f>VLOOKUP(E11741,dicionario!$A$1:$C12140,2,0)</f>
        <v>Passer domesticus</v>
      </c>
      <c r="H11741" s="6" t="str">
        <f>VLOOKUP(E11741,dicionario!$A$1:$C12140,3,0)</f>
        <v>pardal</v>
      </c>
    </row>
    <row r="11742">
      <c r="A11742" s="3">
        <v>45855.0</v>
      </c>
      <c r="B11742" s="4">
        <v>0.2652777777777778</v>
      </c>
      <c r="C11742" s="5" t="s">
        <v>8</v>
      </c>
      <c r="D11742" s="5" t="s">
        <v>1635</v>
      </c>
      <c r="E11742" s="8" t="s">
        <v>154</v>
      </c>
      <c r="F11742" s="5" t="s">
        <v>1585</v>
      </c>
      <c r="G11742" s="6" t="str">
        <f>VLOOKUP(E11742,dicionario!$A$1:$C12141,2,0)</f>
        <v>Cyperus rotundus</v>
      </c>
      <c r="H11742" s="6" t="str">
        <f>VLOOKUP(E11742,dicionario!$A$1:$C12141,3,0)</f>
        <v>tiririca</v>
      </c>
    </row>
    <row r="11743">
      <c r="A11743" s="3">
        <v>45855.0</v>
      </c>
      <c r="B11743" s="4">
        <v>0.2659722222222222</v>
      </c>
      <c r="C11743" s="5" t="s">
        <v>8</v>
      </c>
      <c r="D11743" s="5" t="s">
        <v>1635</v>
      </c>
      <c r="E11743" s="6" t="s">
        <v>286</v>
      </c>
      <c r="F11743" s="5" t="s">
        <v>781</v>
      </c>
      <c r="G11743" s="6" t="str">
        <f>VLOOKUP(E11743,dicionario!$A$1:$C12142,2,0)</f>
        <v>Setaria parviflora</v>
      </c>
      <c r="H11743" s="6" t="str">
        <f>VLOOKUP(E11743,dicionario!$A$1:$C12142,3,0)</f>
        <v>capim-rabo-de-raposa</v>
      </c>
    </row>
    <row r="11744">
      <c r="A11744" s="3">
        <v>45855.0</v>
      </c>
      <c r="B11744" s="4">
        <v>0.2659722222222222</v>
      </c>
      <c r="C11744" s="5" t="s">
        <v>8</v>
      </c>
      <c r="D11744" s="5" t="s">
        <v>1635</v>
      </c>
      <c r="E11744" s="8" t="s">
        <v>298</v>
      </c>
      <c r="F11744" s="5"/>
      <c r="G11744" s="6" t="str">
        <f>VLOOKUP(E11744,dicionario!$A$1:$C12143,2,0)</f>
        <v>Alysicarpus vaginalis</v>
      </c>
      <c r="H11744" s="6" t="str">
        <f>VLOOKUP(E11744,dicionario!$A$1:$C12143,3,0)</f>
        <v/>
      </c>
    </row>
    <row r="11745">
      <c r="A11745" s="3">
        <v>45855.0</v>
      </c>
      <c r="B11745" s="4">
        <v>0.2659722222222222</v>
      </c>
      <c r="C11745" s="5" t="s">
        <v>8</v>
      </c>
      <c r="D11745" s="5" t="s">
        <v>1635</v>
      </c>
      <c r="E11745" s="6" t="s">
        <v>14</v>
      </c>
      <c r="F11745" s="5" t="s">
        <v>1599</v>
      </c>
      <c r="G11745" s="6" t="str">
        <f>VLOOKUP(E11745,dicionario!$A$1:$C12144,2,0)</f>
        <v>Spermacoce verticillata</v>
      </c>
      <c r="H11745" s="6" t="str">
        <f>VLOOKUP(E11745,dicionario!$A$1:$C12144,3,0)</f>
        <v>vassourinha-de-botão</v>
      </c>
    </row>
    <row r="11746">
      <c r="A11746" s="3">
        <v>45855.0</v>
      </c>
      <c r="B11746" s="4">
        <v>0.26666666666666666</v>
      </c>
      <c r="C11746" s="5" t="s">
        <v>8</v>
      </c>
      <c r="D11746" s="5" t="s">
        <v>1635</v>
      </c>
      <c r="E11746" s="6" t="s">
        <v>353</v>
      </c>
      <c r="F11746" s="5" t="s">
        <v>835</v>
      </c>
      <c r="G11746" s="6" t="str">
        <f>VLOOKUP(E11746,dicionario!$A$1:$C12145,2,0)</f>
        <v>Desmodium incanum</v>
      </c>
      <c r="H11746" s="6" t="str">
        <f>VLOOKUP(E11746,dicionario!$A$1:$C12145,3,0)</f>
        <v>pega-pega</v>
      </c>
    </row>
    <row r="11747">
      <c r="A11747" s="3">
        <v>45855.0</v>
      </c>
      <c r="B11747" s="4">
        <v>0.26666666666666666</v>
      </c>
      <c r="C11747" s="5" t="s">
        <v>8</v>
      </c>
      <c r="D11747" s="5" t="s">
        <v>1635</v>
      </c>
      <c r="E11747" s="6" t="s">
        <v>195</v>
      </c>
      <c r="F11747" s="5" t="s">
        <v>196</v>
      </c>
      <c r="G11747" s="6" t="str">
        <f>VLOOKUP(E11747,dicionario!$A$1:$C12146,2,0)</f>
        <v>Priva lappulacea</v>
      </c>
      <c r="H11747" s="6" t="str">
        <f>VLOOKUP(E11747,dicionario!$A$1:$C12146,3,0)</f>
        <v>carrapicho</v>
      </c>
    </row>
    <row r="11748">
      <c r="A11748" s="3">
        <v>45855.0</v>
      </c>
      <c r="B11748" s="4">
        <v>0.26666666666666666</v>
      </c>
      <c r="C11748" s="5" t="s">
        <v>8</v>
      </c>
      <c r="D11748" s="5" t="s">
        <v>1635</v>
      </c>
      <c r="E11748" s="6" t="s">
        <v>302</v>
      </c>
      <c r="F11748" s="5" t="s">
        <v>1639</v>
      </c>
      <c r="G11748" s="6" t="str">
        <f>VLOOKUP(E11748,dicionario!$A$1:$C12147,2,0)</f>
        <v>Machetornis rixosa</v>
      </c>
      <c r="H11748" s="6" t="str">
        <f>VLOOKUP(E11748,dicionario!$A$1:$C12147,3,0)</f>
        <v>suiriri-cavaleiro</v>
      </c>
    </row>
    <row r="11749">
      <c r="A11749" s="3">
        <v>45855.0</v>
      </c>
      <c r="B11749" s="4">
        <v>0.26666666666666666</v>
      </c>
      <c r="C11749" s="5" t="s">
        <v>26</v>
      </c>
      <c r="D11749" s="5" t="s">
        <v>1635</v>
      </c>
      <c r="E11749" s="6" t="s">
        <v>175</v>
      </c>
      <c r="F11749" s="5" t="s">
        <v>1640</v>
      </c>
      <c r="G11749" s="6" t="str">
        <f>VLOOKUP(E11749,dicionario!$A$1:$C12148,2,0)</f>
        <v>Turdus leucomelas</v>
      </c>
      <c r="H11749" s="6" t="str">
        <f>VLOOKUP(E11749,dicionario!$A$1:$C12148,3,0)</f>
        <v>sabiá-barranco</v>
      </c>
    </row>
    <row r="11750">
      <c r="A11750" s="3">
        <v>45855.0</v>
      </c>
      <c r="B11750" s="4">
        <v>0.26666666666666666</v>
      </c>
      <c r="C11750" s="5" t="s">
        <v>26</v>
      </c>
      <c r="D11750" s="5" t="s">
        <v>1635</v>
      </c>
      <c r="E11750" s="6" t="s">
        <v>217</v>
      </c>
      <c r="F11750" s="5" t="s">
        <v>1372</v>
      </c>
      <c r="G11750" s="6" t="str">
        <f>VLOOKUP(E11750,dicionario!$A$1:$C12149,2,0)</f>
        <v>Athene cunicularia</v>
      </c>
      <c r="H11750" s="6" t="str">
        <f>VLOOKUP(E11750,dicionario!$A$1:$C12149,3,0)</f>
        <v>coruja-buraqueira</v>
      </c>
    </row>
    <row r="11751">
      <c r="A11751" s="3">
        <v>45855.0</v>
      </c>
      <c r="B11751" s="4">
        <v>0.26666666666666666</v>
      </c>
      <c r="C11751" s="5" t="s">
        <v>26</v>
      </c>
      <c r="D11751" s="5" t="s">
        <v>1635</v>
      </c>
      <c r="E11751" s="20" t="s">
        <v>676</v>
      </c>
      <c r="F11751" s="5" t="s">
        <v>1370</v>
      </c>
      <c r="G11751" s="6" t="str">
        <f>VLOOKUP(E11751,dicionario!$A$1:$C12150,2,0)</f>
        <v>Zornia latifolia</v>
      </c>
      <c r="H11751" s="6" t="str">
        <f>VLOOKUP(E11751,dicionario!$A$1:$C12150,3,0)</f>
        <v>arrozinho-do-campo</v>
      </c>
    </row>
    <row r="11752">
      <c r="A11752" s="3">
        <v>45855.0</v>
      </c>
      <c r="B11752" s="4">
        <v>0.26666666666666666</v>
      </c>
      <c r="C11752" s="5" t="s">
        <v>26</v>
      </c>
      <c r="D11752" s="5" t="s">
        <v>1635</v>
      </c>
      <c r="E11752" s="8" t="s">
        <v>135</v>
      </c>
      <c r="F11752" s="5" t="s">
        <v>833</v>
      </c>
      <c r="G11752" s="6" t="str">
        <f>VLOOKUP(E11752,dicionario!$A$1:$C12151,2,0)</f>
        <v>Tridax procumbens</v>
      </c>
      <c r="H11752" s="6" t="str">
        <f>VLOOKUP(E11752,dicionario!$A$1:$C12151,3,0)</f>
        <v>erva-de-touro</v>
      </c>
    </row>
    <row r="11753">
      <c r="A11753" s="3">
        <v>45855.0</v>
      </c>
      <c r="B11753" s="4">
        <v>0.2673611111111111</v>
      </c>
      <c r="C11753" s="5" t="s">
        <v>26</v>
      </c>
      <c r="D11753" s="5" t="s">
        <v>1635</v>
      </c>
      <c r="E11753" s="6" t="s">
        <v>355</v>
      </c>
      <c r="F11753" s="5" t="s">
        <v>1548</v>
      </c>
      <c r="G11753" s="6" t="str">
        <f>VLOOKUP(E11753,dicionario!$A$1:$C12152,2,0)</f>
        <v>Boerhavia diffusa</v>
      </c>
      <c r="H11753" s="6" t="str">
        <f>VLOOKUP(E11753,dicionario!$A$1:$C12152,3,0)</f>
        <v>erva-tostão</v>
      </c>
    </row>
    <row r="11754">
      <c r="A11754" s="3">
        <v>45855.0</v>
      </c>
      <c r="B11754" s="4">
        <v>0.2673611111111111</v>
      </c>
      <c r="C11754" s="5" t="s">
        <v>26</v>
      </c>
      <c r="D11754" s="5" t="s">
        <v>1635</v>
      </c>
      <c r="E11754" s="6" t="s">
        <v>399</v>
      </c>
      <c r="F11754" s="5" t="s">
        <v>829</v>
      </c>
      <c r="G11754" s="6" t="str">
        <f>VLOOKUP(E11754,dicionario!$A$1:$C12153,2,0)</f>
        <v>Varronia curassavica</v>
      </c>
      <c r="H11754" s="6" t="str">
        <f>VLOOKUP(E11754,dicionario!$A$1:$C12153,3,0)</f>
        <v>erva-baleeira</v>
      </c>
    </row>
    <row r="11755">
      <c r="A11755" s="3">
        <v>45855.0</v>
      </c>
      <c r="B11755" s="4">
        <v>0.2673611111111111</v>
      </c>
      <c r="C11755" s="5" t="s">
        <v>26</v>
      </c>
      <c r="D11755" s="5" t="s">
        <v>1635</v>
      </c>
      <c r="E11755" s="6" t="s">
        <v>146</v>
      </c>
      <c r="F11755" s="5" t="s">
        <v>147</v>
      </c>
      <c r="G11755" s="6" t="str">
        <f>VLOOKUP(E11755,dicionario!$A$1:$C12154,2,0)</f>
        <v>Euphorbia hirta</v>
      </c>
      <c r="H11755" s="6" t="str">
        <f>VLOOKUP(E11755,dicionario!$A$1:$C12154,3,0)</f>
        <v>erva-de-santa-luzia</v>
      </c>
    </row>
    <row r="11756">
      <c r="A11756" s="3">
        <v>45855.0</v>
      </c>
      <c r="B11756" s="4">
        <v>0.2673611111111111</v>
      </c>
      <c r="C11756" s="5" t="s">
        <v>26</v>
      </c>
      <c r="D11756" s="5" t="s">
        <v>1635</v>
      </c>
      <c r="E11756" s="8" t="s">
        <v>1352</v>
      </c>
      <c r="F11756" s="5"/>
      <c r="G11756" s="6" t="str">
        <f>VLOOKUP(E11756,dicionario!$A$1:$C12155,2,0)</f>
        <v>#N/A</v>
      </c>
      <c r="H11756" s="6" t="str">
        <f>VLOOKUP(E11756,dicionario!$A$1:$C12155,3,0)</f>
        <v>#N/A</v>
      </c>
    </row>
    <row r="11757">
      <c r="A11757" s="3">
        <v>45855.0</v>
      </c>
      <c r="B11757" s="4">
        <v>0.26875</v>
      </c>
      <c r="C11757" s="5" t="s">
        <v>26</v>
      </c>
      <c r="D11757" s="5" t="s">
        <v>1635</v>
      </c>
      <c r="E11757" s="8" t="s">
        <v>624</v>
      </c>
      <c r="F11757" s="5" t="s">
        <v>133</v>
      </c>
      <c r="G11757" s="6" t="str">
        <f>VLOOKUP(E11757,dicionario!$A$1:$C12156,2,0)</f>
        <v>Euphonia violacea</v>
      </c>
      <c r="H11757" s="6" t="str">
        <f>VLOOKUP(E11757,dicionario!$A$1:$C12156,3,0)</f>
        <v>gaturamo-verdadeiro</v>
      </c>
    </row>
    <row r="11758">
      <c r="A11758" s="3">
        <v>45855.0</v>
      </c>
      <c r="B11758" s="4">
        <v>0.26875</v>
      </c>
      <c r="C11758" s="5" t="s">
        <v>26</v>
      </c>
      <c r="D11758" s="5" t="s">
        <v>1635</v>
      </c>
      <c r="E11758" s="6" t="s">
        <v>227</v>
      </c>
      <c r="F11758" s="5" t="s">
        <v>813</v>
      </c>
      <c r="G11758" s="6" t="str">
        <f>VLOOKUP(E11758,dicionario!$A$1:$C12157,2,0)</f>
        <v>Indigofera hirsuta</v>
      </c>
      <c r="H11758" s="6" t="str">
        <f>VLOOKUP(E11758,dicionario!$A$1:$C12157,3,0)</f>
        <v>anileira</v>
      </c>
    </row>
    <row r="11759">
      <c r="A11759" s="3">
        <v>45855.0</v>
      </c>
      <c r="B11759" s="4">
        <v>0.26875</v>
      </c>
      <c r="C11759" s="5" t="s">
        <v>26</v>
      </c>
      <c r="D11759" s="5" t="s">
        <v>1635</v>
      </c>
      <c r="E11759" s="8" t="s">
        <v>16</v>
      </c>
      <c r="F11759" s="5" t="s">
        <v>1641</v>
      </c>
      <c r="G11759" s="6" t="str">
        <f>VLOOKUP(E11759,dicionario!$A$1:$C12158,2,0)</f>
        <v>Eupetomena macroura</v>
      </c>
      <c r="H11759" s="6" t="str">
        <f>VLOOKUP(E11759,dicionario!$A$1:$C12158,3,0)</f>
        <v>beija-flor-tesoura</v>
      </c>
    </row>
    <row r="11760">
      <c r="A11760" s="3">
        <v>45855.0</v>
      </c>
      <c r="B11760" s="4">
        <v>0.26944444444444443</v>
      </c>
      <c r="C11760" s="5" t="s">
        <v>26</v>
      </c>
      <c r="D11760" s="5" t="s">
        <v>1635</v>
      </c>
      <c r="E11760" s="6" t="s">
        <v>360</v>
      </c>
      <c r="F11760" s="5" t="s">
        <v>1642</v>
      </c>
      <c r="G11760" s="6" t="str">
        <f>VLOOKUP(E11760,dicionario!$A$1:$C12159,2,0)</f>
        <v>Chamaecrista rotundifolia</v>
      </c>
      <c r="H11760" s="6" t="str">
        <f>VLOOKUP(E11760,dicionario!$A$1:$C12159,3,0)</f>
        <v>alfafa-nativa</v>
      </c>
    </row>
    <row r="11761">
      <c r="A11761" s="3">
        <v>45855.0</v>
      </c>
      <c r="B11761" s="4">
        <v>0.26944444444444443</v>
      </c>
      <c r="C11761" s="5" t="s">
        <v>26</v>
      </c>
      <c r="D11761" s="5" t="s">
        <v>1635</v>
      </c>
      <c r="E11761" s="8" t="s">
        <v>109</v>
      </c>
      <c r="F11761" s="5" t="s">
        <v>777</v>
      </c>
      <c r="G11761" s="6" t="str">
        <f>VLOOKUP(E11761,dicionario!$A$1:$C12160,2,0)</f>
        <v>Tillandsia stricta</v>
      </c>
      <c r="H11761" s="6" t="str">
        <f>VLOOKUP(E11761,dicionario!$A$1:$C12160,3,0)</f>
        <v>cravo-do-mato</v>
      </c>
    </row>
    <row r="11762">
      <c r="A11762" s="3">
        <v>45855.0</v>
      </c>
      <c r="B11762" s="4">
        <v>0.26944444444444443</v>
      </c>
      <c r="C11762" s="5" t="s">
        <v>26</v>
      </c>
      <c r="D11762" s="5" t="s">
        <v>1635</v>
      </c>
      <c r="E11762" s="8" t="s">
        <v>20</v>
      </c>
      <c r="F11762" s="5" t="s">
        <v>1637</v>
      </c>
      <c r="G11762" s="6" t="str">
        <f>VLOOKUP(E11762,dicionario!$A$1:$C12161,2,0)</f>
        <v>Sicalis flaveola</v>
      </c>
      <c r="H11762" s="6" t="str">
        <f>VLOOKUP(E11762,dicionario!$A$1:$C12161,3,0)</f>
        <v>canário-da-terra</v>
      </c>
    </row>
    <row r="11763">
      <c r="A11763" s="3">
        <v>45855.0</v>
      </c>
      <c r="B11763" s="4">
        <v>0.26944444444444443</v>
      </c>
      <c r="C11763" s="5" t="s">
        <v>26</v>
      </c>
      <c r="D11763" s="5" t="s">
        <v>1635</v>
      </c>
      <c r="E11763" s="9" t="s">
        <v>105</v>
      </c>
      <c r="F11763" s="5" t="s">
        <v>106</v>
      </c>
      <c r="G11763" s="6" t="str">
        <f>VLOOKUP(E11763,dicionario!$A$1:$C12162,2,0)</f>
        <v>Progne tapera</v>
      </c>
      <c r="H11763" s="6" t="str">
        <f>VLOOKUP(E11763,dicionario!$A$1:$C12162,3,0)</f>
        <v>andorinha-do-campo</v>
      </c>
    </row>
    <row r="11764">
      <c r="A11764" s="3">
        <v>45855.0</v>
      </c>
      <c r="B11764" s="4">
        <v>0.26944444444444443</v>
      </c>
      <c r="C11764" s="5" t="s">
        <v>26</v>
      </c>
      <c r="D11764" s="5" t="s">
        <v>1635</v>
      </c>
      <c r="E11764" s="6" t="s">
        <v>191</v>
      </c>
      <c r="F11764" s="5" t="s">
        <v>192</v>
      </c>
      <c r="G11764" s="6" t="str">
        <f>VLOOKUP(E11764,dicionario!$A$1:$C12163,2,0)</f>
        <v>Patagioenas picazuro</v>
      </c>
      <c r="H11764" s="6" t="str">
        <f>VLOOKUP(E11764,dicionario!$A$1:$C12163,3,0)</f>
        <v>asa-branca; pomba-asa-branca; pocaçu</v>
      </c>
    </row>
    <row r="11765">
      <c r="A11765" s="3">
        <v>45855.0</v>
      </c>
      <c r="B11765" s="4">
        <v>0.2701388888888889</v>
      </c>
      <c r="C11765" s="5" t="s">
        <v>26</v>
      </c>
      <c r="D11765" s="5" t="s">
        <v>1635</v>
      </c>
      <c r="E11765" s="8" t="s">
        <v>548</v>
      </c>
      <c r="F11765" s="5" t="s">
        <v>549</v>
      </c>
      <c r="G11765" s="6" t="str">
        <f>VLOOKUP(E11765,dicionario!$A$1:$C12164,2,0)</f>
        <v>Ricinus communis</v>
      </c>
      <c r="H11765" s="6" t="str">
        <f>VLOOKUP(E11765,dicionario!$A$1:$C12164,3,0)</f>
        <v>mamona</v>
      </c>
    </row>
    <row r="11766">
      <c r="A11766" s="3">
        <v>45855.0</v>
      </c>
      <c r="B11766" s="4">
        <v>0.2701388888888889</v>
      </c>
      <c r="C11766" s="5" t="s">
        <v>26</v>
      </c>
      <c r="D11766" s="5" t="s">
        <v>1635</v>
      </c>
      <c r="E11766" s="6" t="s">
        <v>113</v>
      </c>
      <c r="F11766" s="5" t="s">
        <v>820</v>
      </c>
      <c r="G11766" s="6" t="str">
        <f>VLOOKUP(E11766,dicionario!$A$1:$C12165,2,0)</f>
        <v>Columbina talpacoti</v>
      </c>
      <c r="H11766" s="6" t="str">
        <f>VLOOKUP(E11766,dicionario!$A$1:$C12165,3,0)</f>
        <v>rolinha-roxa</v>
      </c>
    </row>
    <row r="11767">
      <c r="A11767" s="3">
        <v>45855.0</v>
      </c>
      <c r="B11767" s="4">
        <v>0.2701388888888889</v>
      </c>
      <c r="C11767" s="5" t="s">
        <v>26</v>
      </c>
      <c r="D11767" s="5" t="s">
        <v>1635</v>
      </c>
      <c r="E11767" s="6" t="s">
        <v>22</v>
      </c>
      <c r="F11767" s="5" t="s">
        <v>776</v>
      </c>
      <c r="G11767" s="6" t="str">
        <f>VLOOKUP(E11767,dicionario!$A$1:$C12166,2,0)</f>
        <v>Zenaida auriculata</v>
      </c>
      <c r="H11767" s="6" t="str">
        <f>VLOOKUP(E11767,dicionario!$A$1:$C12166,3,0)</f>
        <v>pomba-de-bando; avoante</v>
      </c>
    </row>
    <row r="11768">
      <c r="A11768" s="3">
        <v>45855.0</v>
      </c>
      <c r="B11768" s="4">
        <v>0.2708333333333333</v>
      </c>
      <c r="C11768" s="5" t="s">
        <v>26</v>
      </c>
      <c r="D11768" s="5" t="s">
        <v>1635</v>
      </c>
      <c r="E11768" s="6" t="s">
        <v>150</v>
      </c>
      <c r="F11768" s="5" t="s">
        <v>769</v>
      </c>
      <c r="G11768" s="6" t="str">
        <f>VLOOKUP(E11768,dicionario!$A$1:$C12167,2,0)</f>
        <v>Amaranthus viridis</v>
      </c>
      <c r="H11768" s="6" t="str">
        <f>VLOOKUP(E11768,dicionario!$A$1:$C12167,3,0)</f>
        <v>caruru-de-mancha</v>
      </c>
    </row>
    <row r="11769">
      <c r="A11769" s="3">
        <v>45855.0</v>
      </c>
      <c r="B11769" s="4">
        <v>0.2708333333333333</v>
      </c>
      <c r="C11769" s="5" t="s">
        <v>26</v>
      </c>
      <c r="D11769" s="5" t="s">
        <v>1635</v>
      </c>
      <c r="E11769" s="6" t="s">
        <v>467</v>
      </c>
      <c r="F11769" s="5" t="s">
        <v>1643</v>
      </c>
      <c r="G11769" s="6" t="str">
        <f>VLOOKUP(E11769,dicionario!$A$1:$C12168,2,0)</f>
        <v>Eleusine indica</v>
      </c>
      <c r="H11769" s="6" t="str">
        <f>VLOOKUP(E11769,dicionario!$A$1:$C12168,3,0)</f>
        <v>capim-pé-de-galinha</v>
      </c>
    </row>
    <row r="11770">
      <c r="A11770" s="3">
        <v>45855.0</v>
      </c>
      <c r="B11770" s="4">
        <v>0.2708333333333333</v>
      </c>
      <c r="C11770" s="5" t="s">
        <v>26</v>
      </c>
      <c r="D11770" s="5" t="s">
        <v>1635</v>
      </c>
      <c r="E11770" s="6" t="s">
        <v>247</v>
      </c>
      <c r="F11770" s="5" t="s">
        <v>387</v>
      </c>
      <c r="G11770" s="6" t="str">
        <f>VLOOKUP(E11770,dicionario!$A$1:$C12169,2,0)</f>
        <v>Emilia sonchifolia</v>
      </c>
      <c r="H11770" s="6" t="str">
        <f>VLOOKUP(E11770,dicionario!$A$1:$C12169,3,0)</f>
        <v>serralinha</v>
      </c>
    </row>
    <row r="11771">
      <c r="A11771" s="3">
        <v>45855.0</v>
      </c>
      <c r="B11771" s="4">
        <v>0.27152777777777776</v>
      </c>
      <c r="C11771" s="5" t="s">
        <v>33</v>
      </c>
      <c r="D11771" s="5" t="s">
        <v>1635</v>
      </c>
      <c r="E11771" s="8" t="s">
        <v>624</v>
      </c>
      <c r="F11771" s="5" t="s">
        <v>808</v>
      </c>
      <c r="G11771" s="6" t="str">
        <f>VLOOKUP(E11771,dicionario!$A$1:$C12170,2,0)</f>
        <v>Euphonia violacea</v>
      </c>
      <c r="H11771" s="6" t="str">
        <f>VLOOKUP(E11771,dicionario!$A$1:$C12170,3,0)</f>
        <v>gaturamo-verdadeiro</v>
      </c>
    </row>
    <row r="11772">
      <c r="A11772" s="3">
        <v>45855.0</v>
      </c>
      <c r="B11772" s="4">
        <v>0.27152777777777776</v>
      </c>
      <c r="C11772" s="5" t="s">
        <v>33</v>
      </c>
      <c r="D11772" s="5" t="s">
        <v>1635</v>
      </c>
      <c r="E11772" s="8" t="s">
        <v>88</v>
      </c>
      <c r="F11772" s="5" t="s">
        <v>782</v>
      </c>
      <c r="G11772" s="6" t="str">
        <f>VLOOKUP(E11772,dicionario!$A$1:$C12171,2,0)</f>
        <v>Tyrannus melancolichus</v>
      </c>
      <c r="H11772" s="6" t="str">
        <f>VLOOKUP(E11772,dicionario!$A$1:$C12171,3,0)</f>
        <v>suiriri</v>
      </c>
    </row>
    <row r="11773">
      <c r="A11773" s="3">
        <v>45855.0</v>
      </c>
      <c r="B11773" s="4">
        <v>0.27152777777777776</v>
      </c>
      <c r="C11773" s="5" t="s">
        <v>33</v>
      </c>
      <c r="D11773" s="5" t="s">
        <v>1635</v>
      </c>
      <c r="E11773" s="9" t="s">
        <v>103</v>
      </c>
      <c r="F11773" s="5" t="s">
        <v>1597</v>
      </c>
      <c r="G11773" s="6" t="str">
        <f>VLOOKUP(E11773,dicionario!$A$1:$C12172,2,0)</f>
        <v>Caracara plancus</v>
      </c>
      <c r="H11773" s="6" t="str">
        <f>VLOOKUP(E11773,dicionario!$A$1:$C12172,3,0)</f>
        <v>carcará </v>
      </c>
    </row>
    <row r="11774">
      <c r="A11774" s="3">
        <v>45855.0</v>
      </c>
      <c r="B11774" s="4">
        <v>0.2722222222222222</v>
      </c>
      <c r="C11774" s="5" t="s">
        <v>33</v>
      </c>
      <c r="D11774" s="5" t="s">
        <v>1635</v>
      </c>
      <c r="E11774" s="6" t="s">
        <v>86</v>
      </c>
      <c r="F11774" s="5" t="s">
        <v>783</v>
      </c>
      <c r="G11774" s="6" t="str">
        <f>VLOOKUP(E11774,dicionario!$A$1:$C12173,2,0)</f>
        <v>Coereba flaveola</v>
      </c>
      <c r="H11774" s="6" t="str">
        <f>VLOOKUP(E11774,dicionario!$A$1:$C12173,3,0)</f>
        <v>cambacica</v>
      </c>
    </row>
    <row r="11775">
      <c r="A11775" s="3">
        <v>45855.0</v>
      </c>
      <c r="B11775" s="4">
        <v>0.2722222222222222</v>
      </c>
      <c r="C11775" s="5" t="s">
        <v>33</v>
      </c>
      <c r="D11775" s="5" t="s">
        <v>1635</v>
      </c>
      <c r="E11775" s="6" t="s">
        <v>93</v>
      </c>
      <c r="F11775" s="5" t="s">
        <v>764</v>
      </c>
      <c r="G11775" s="6" t="str">
        <f>VLOOKUP(E11775,dicionario!$A$1:$C12174,2,0)</f>
        <v>Thraupis sayaca</v>
      </c>
      <c r="H11775" s="6" t="str">
        <f>VLOOKUP(E11775,dicionario!$A$1:$C12174,3,0)</f>
        <v>sanhaçu-cinzento</v>
      </c>
    </row>
    <row r="11776">
      <c r="A11776" s="3">
        <v>45855.0</v>
      </c>
      <c r="B11776" s="4">
        <v>0.2722222222222222</v>
      </c>
      <c r="C11776" s="5" t="s">
        <v>33</v>
      </c>
      <c r="D11776" s="5" t="s">
        <v>1635</v>
      </c>
      <c r="E11776" s="8" t="s">
        <v>20</v>
      </c>
      <c r="F11776" s="5" t="s">
        <v>1637</v>
      </c>
      <c r="G11776" s="6" t="str">
        <f>VLOOKUP(E11776,dicionario!$A$1:$C12175,2,0)</f>
        <v>Sicalis flaveola</v>
      </c>
      <c r="H11776" s="6" t="str">
        <f>VLOOKUP(E11776,dicionario!$A$1:$C12175,3,0)</f>
        <v>canário-da-terra</v>
      </c>
    </row>
    <row r="11777">
      <c r="A11777" s="3">
        <v>45855.0</v>
      </c>
      <c r="B11777" s="4">
        <v>0.2722222222222222</v>
      </c>
      <c r="C11777" s="5" t="s">
        <v>33</v>
      </c>
      <c r="D11777" s="5" t="s">
        <v>1635</v>
      </c>
      <c r="E11777" s="8" t="s">
        <v>109</v>
      </c>
      <c r="F11777" s="5" t="s">
        <v>777</v>
      </c>
      <c r="G11777" s="6" t="str">
        <f>VLOOKUP(E11777,dicionario!$A$1:$C12176,2,0)</f>
        <v>Tillandsia stricta</v>
      </c>
      <c r="H11777" s="6" t="str">
        <f>VLOOKUP(E11777,dicionario!$A$1:$C12176,3,0)</f>
        <v>cravo-do-mato</v>
      </c>
    </row>
    <row r="11778">
      <c r="A11778" s="3">
        <v>45855.0</v>
      </c>
      <c r="B11778" s="4">
        <v>0.2722222222222222</v>
      </c>
      <c r="C11778" s="5" t="s">
        <v>33</v>
      </c>
      <c r="D11778" s="5" t="s">
        <v>1635</v>
      </c>
      <c r="E11778" s="6" t="s">
        <v>65</v>
      </c>
      <c r="F11778" s="5" t="s">
        <v>819</v>
      </c>
      <c r="G11778" s="6" t="str">
        <f>VLOOKUP(E11778,dicionario!$A$1:$C12177,2,0)</f>
        <v>Pitangus sulphutarus</v>
      </c>
      <c r="H11778" s="6" t="str">
        <f>VLOOKUP(E11778,dicionario!$A$1:$C12177,3,0)</f>
        <v>bem-te-vi</v>
      </c>
    </row>
    <row r="11779">
      <c r="A11779" s="3">
        <v>45855.0</v>
      </c>
      <c r="B11779" s="4">
        <v>0.2722222222222222</v>
      </c>
      <c r="C11779" s="5" t="s">
        <v>33</v>
      </c>
      <c r="D11779" s="5" t="s">
        <v>1635</v>
      </c>
      <c r="E11779" s="8" t="s">
        <v>38</v>
      </c>
      <c r="F11779" s="5" t="s">
        <v>1536</v>
      </c>
      <c r="G11779" s="6" t="str">
        <f>VLOOKUP(E11779,dicionario!$A$1:$C12178,2,0)</f>
        <v>Troglodytes musculus</v>
      </c>
      <c r="H11779" s="6" t="str">
        <f>VLOOKUP(E11779,dicionario!$A$1:$C12178,3,0)</f>
        <v>curruíra</v>
      </c>
    </row>
    <row r="11780">
      <c r="A11780" s="3">
        <v>45855.0</v>
      </c>
      <c r="B11780" s="4">
        <v>0.27291666666666664</v>
      </c>
      <c r="C11780" s="5" t="s">
        <v>33</v>
      </c>
      <c r="D11780" s="5" t="s">
        <v>1635</v>
      </c>
      <c r="E11780" s="8" t="s">
        <v>1644</v>
      </c>
      <c r="F11780" s="5"/>
      <c r="G11780" s="6" t="str">
        <f>VLOOKUP(E11780,dicionario!$A$1:$C12179,2,0)</f>
        <v>#N/A</v>
      </c>
      <c r="H11780" s="6" t="str">
        <f>VLOOKUP(E11780,dicionario!$A$1:$C12179,3,0)</f>
        <v>#N/A</v>
      </c>
    </row>
    <row r="11781">
      <c r="A11781" s="3">
        <v>45855.0</v>
      </c>
      <c r="B11781" s="4">
        <v>0.27291666666666664</v>
      </c>
      <c r="C11781" s="5" t="s">
        <v>33</v>
      </c>
      <c r="D11781" s="5" t="s">
        <v>1635</v>
      </c>
      <c r="E11781" s="6" t="s">
        <v>53</v>
      </c>
      <c r="F11781" s="5" t="s">
        <v>54</v>
      </c>
      <c r="G11781" s="6" t="str">
        <f>VLOOKUP(E11781,dicionario!$A$1:$C12180,2,0)</f>
        <v>Turnera subulata</v>
      </c>
      <c r="H11781" s="6" t="str">
        <f>VLOOKUP(E11781,dicionario!$A$1:$C12180,3,0)</f>
        <v>xanana</v>
      </c>
    </row>
    <row r="11782">
      <c r="A11782" s="3">
        <v>45855.0</v>
      </c>
      <c r="B11782" s="4">
        <v>0.27361111111111114</v>
      </c>
      <c r="C11782" s="5" t="s">
        <v>33</v>
      </c>
      <c r="D11782" s="5" t="s">
        <v>1635</v>
      </c>
      <c r="E11782" s="6" t="s">
        <v>215</v>
      </c>
      <c r="F11782" s="5" t="s">
        <v>1363</v>
      </c>
      <c r="G11782" s="6" t="str">
        <f>VLOOKUP(E11782,dicionario!$A$1:$C12181,2,0)</f>
        <v>Pygochelidon cyanoleuca</v>
      </c>
      <c r="H11782" s="6" t="str">
        <f>VLOOKUP(E11782,dicionario!$A$1:$C12181,3,0)</f>
        <v>andorinha-pequena-de-casa</v>
      </c>
    </row>
    <row r="11783">
      <c r="A11783" s="3">
        <v>45855.0</v>
      </c>
      <c r="B11783" s="4">
        <v>0.27361111111111114</v>
      </c>
      <c r="C11783" s="5" t="s">
        <v>33</v>
      </c>
      <c r="D11783" s="5" t="s">
        <v>1635</v>
      </c>
      <c r="E11783" s="8" t="s">
        <v>712</v>
      </c>
      <c r="F11783" s="5" t="s">
        <v>1602</v>
      </c>
      <c r="G11783" s="6" t="str">
        <f>VLOOKUP(E11783,dicionario!$A$1:$C12182,2,0)</f>
        <v>Flavopunctelia soredica</v>
      </c>
      <c r="H11783" s="6" t="str">
        <f>VLOOKUP(E11783,dicionario!$A$1:$C12182,3,0)</f>
        <v>líquen-folioso</v>
      </c>
    </row>
    <row r="11784">
      <c r="A11784" s="3">
        <v>45855.0</v>
      </c>
      <c r="B11784" s="4">
        <v>0.2743055555555556</v>
      </c>
      <c r="C11784" s="5" t="s">
        <v>33</v>
      </c>
      <c r="D11784" s="5" t="s">
        <v>1635</v>
      </c>
      <c r="E11784" s="8" t="s">
        <v>719</v>
      </c>
      <c r="F11784" s="5" t="s">
        <v>1593</v>
      </c>
      <c r="G11784" s="6" t="str">
        <f>VLOOKUP(E11784,dicionario!$A$1:$C12183,2,0)</f>
        <v>Dirinaria</v>
      </c>
      <c r="H11784" s="6" t="str">
        <f>VLOOKUP(E11784,dicionario!$A$1:$C12183,3,0)</f>
        <v>líquen-crostoso</v>
      </c>
    </row>
    <row r="11785">
      <c r="A11785" s="3">
        <v>45855.0</v>
      </c>
      <c r="B11785" s="4">
        <v>0.2743055555555556</v>
      </c>
      <c r="C11785" s="5" t="s">
        <v>33</v>
      </c>
      <c r="D11785" s="5" t="s">
        <v>1635</v>
      </c>
      <c r="E11785" s="8" t="s">
        <v>122</v>
      </c>
      <c r="F11785" s="5" t="s">
        <v>1582</v>
      </c>
      <c r="G11785" s="6" t="str">
        <f>VLOOKUP(E11785,dicionario!$A$1:$C12184,2,0)</f>
        <v>Todirostrum cinereum</v>
      </c>
      <c r="H11785" s="6" t="str">
        <f>VLOOKUP(E11785,dicionario!$A$1:$C12184,3,0)</f>
        <v>ferreirinho-relógio</v>
      </c>
    </row>
    <row r="11786">
      <c r="A11786" s="3">
        <v>45855.0</v>
      </c>
      <c r="B11786" s="4">
        <v>0.275</v>
      </c>
      <c r="C11786" s="5" t="s">
        <v>33</v>
      </c>
      <c r="D11786" s="5" t="s">
        <v>1635</v>
      </c>
      <c r="E11786" s="8" t="s">
        <v>1087</v>
      </c>
      <c r="F11786" s="5" t="s">
        <v>1088</v>
      </c>
      <c r="G11786" s="6" t="str">
        <f>VLOOKUP(E11786,dicionario!$A$1:$C12185,2,0)</f>
        <v>Desmodium triflorum</v>
      </c>
      <c r="H11786" s="6" t="str">
        <f>VLOOKUP(E11786,dicionario!$A$1:$C12185,3,0)</f>
        <v/>
      </c>
    </row>
    <row r="11787">
      <c r="A11787" s="3">
        <v>45855.0</v>
      </c>
      <c r="B11787" s="4">
        <v>0.275</v>
      </c>
      <c r="C11787" s="5" t="s">
        <v>33</v>
      </c>
      <c r="D11787" s="5" t="s">
        <v>1635</v>
      </c>
      <c r="E11787" s="8" t="s">
        <v>271</v>
      </c>
      <c r="F11787" s="5" t="s">
        <v>1514</v>
      </c>
      <c r="G11787" s="6" t="str">
        <f>VLOOKUP(E11787,dicionario!$A$1:$C12186,2,0)</f>
        <v>Cyanthillium cinereum</v>
      </c>
      <c r="H11787" s="6" t="str">
        <f>VLOOKUP(E11787,dicionario!$A$1:$C12186,3,0)</f>
        <v>emília</v>
      </c>
    </row>
    <row r="11788">
      <c r="A11788" s="3">
        <v>45855.0</v>
      </c>
      <c r="B11788" s="4">
        <v>0.275</v>
      </c>
      <c r="C11788" s="5" t="s">
        <v>33</v>
      </c>
      <c r="D11788" s="5" t="s">
        <v>1635</v>
      </c>
      <c r="E11788" s="6" t="s">
        <v>514</v>
      </c>
      <c r="F11788" s="5" t="s">
        <v>1595</v>
      </c>
      <c r="G11788" s="6" t="str">
        <f>VLOOKUP(E11788,dicionario!$A$1:$C12187,2,0)</f>
        <v>Aedes aegypti</v>
      </c>
      <c r="H11788" s="6" t="str">
        <f>VLOOKUP(E11788,dicionario!$A$1:$C12187,3,0)</f>
        <v>mosquito-da-dengue</v>
      </c>
    </row>
    <row r="11789">
      <c r="A11789" s="3">
        <v>45855.0</v>
      </c>
      <c r="B11789" s="4">
        <v>0.27569444444444446</v>
      </c>
      <c r="C11789" s="5" t="s">
        <v>33</v>
      </c>
      <c r="D11789" s="5" t="s">
        <v>1635</v>
      </c>
      <c r="E11789" s="9" t="s">
        <v>105</v>
      </c>
      <c r="F11789" s="5" t="s">
        <v>842</v>
      </c>
      <c r="G11789" s="6" t="str">
        <f>VLOOKUP(E11789,dicionario!$A$1:$C12188,2,0)</f>
        <v>Progne tapera</v>
      </c>
      <c r="H11789" s="6" t="str">
        <f>VLOOKUP(E11789,dicionario!$A$1:$C12188,3,0)</f>
        <v>andorinha-do-campo</v>
      </c>
    </row>
    <row r="11790">
      <c r="A11790" s="3">
        <v>45855.0</v>
      </c>
      <c r="B11790" s="4">
        <v>0.27569444444444446</v>
      </c>
      <c r="C11790" s="5" t="s">
        <v>33</v>
      </c>
      <c r="D11790" s="5" t="s">
        <v>1635</v>
      </c>
      <c r="E11790" s="6" t="s">
        <v>251</v>
      </c>
      <c r="F11790" s="5" t="s">
        <v>873</v>
      </c>
      <c r="G11790" s="6" t="str">
        <f>VLOOKUP(E11790,dicionario!$A$1:$C12189,2,0)</f>
        <v>Struthanthus flexicaulis</v>
      </c>
      <c r="H11790" s="6" t="str">
        <f>VLOOKUP(E11790,dicionario!$A$1:$C12189,3,0)</f>
        <v>erva-de-passarinho</v>
      </c>
    </row>
    <row r="11791">
      <c r="A11791" s="3">
        <v>45855.0</v>
      </c>
      <c r="B11791" s="4">
        <v>0.27708333333333335</v>
      </c>
      <c r="C11791" s="5" t="s">
        <v>33</v>
      </c>
      <c r="D11791" s="5" t="s">
        <v>1635</v>
      </c>
      <c r="E11791" s="6" t="s">
        <v>334</v>
      </c>
      <c r="F11791" s="5" t="s">
        <v>335</v>
      </c>
      <c r="G11791" s="6" t="str">
        <f>VLOOKUP(E11791,dicionario!$A$1:$C12190,2,0)</f>
        <v>Eupsittula aurea</v>
      </c>
      <c r="H11791" s="6" t="str">
        <f>VLOOKUP(E11791,dicionario!$A$1:$C12190,3,0)</f>
        <v>periquito-rei</v>
      </c>
    </row>
    <row r="11792">
      <c r="A11792" s="3">
        <v>45855.0</v>
      </c>
      <c r="B11792" s="4">
        <v>0.27708333333333335</v>
      </c>
      <c r="C11792" s="5" t="s">
        <v>40</v>
      </c>
      <c r="D11792" s="5" t="s">
        <v>1635</v>
      </c>
      <c r="E11792" s="6" t="s">
        <v>191</v>
      </c>
      <c r="F11792" s="5" t="s">
        <v>771</v>
      </c>
      <c r="G11792" s="6" t="str">
        <f>VLOOKUP(E11792,dicionario!$A$1:$C12191,2,0)</f>
        <v>Patagioenas picazuro</v>
      </c>
      <c r="H11792" s="6" t="str">
        <f>VLOOKUP(E11792,dicionario!$A$1:$C12191,3,0)</f>
        <v>asa-branca; pomba-asa-branca; pocaçu</v>
      </c>
    </row>
    <row r="11793">
      <c r="A11793" s="3">
        <v>45855.0</v>
      </c>
      <c r="B11793" s="4">
        <v>0.2777777777777778</v>
      </c>
      <c r="C11793" s="5" t="s">
        <v>40</v>
      </c>
      <c r="D11793" s="5" t="s">
        <v>1635</v>
      </c>
      <c r="E11793" s="6" t="s">
        <v>113</v>
      </c>
      <c r="F11793" s="5" t="s">
        <v>820</v>
      </c>
      <c r="G11793" s="6" t="str">
        <f>VLOOKUP(E11793,dicionario!$A$1:$C12192,2,0)</f>
        <v>Columbina talpacoti</v>
      </c>
      <c r="H11793" s="6" t="str">
        <f>VLOOKUP(E11793,dicionario!$A$1:$C12192,3,0)</f>
        <v>rolinha-roxa</v>
      </c>
    </row>
    <row r="11794">
      <c r="A11794" s="3">
        <v>45855.0</v>
      </c>
      <c r="B11794" s="4">
        <v>0.27847222222222223</v>
      </c>
      <c r="C11794" s="5" t="s">
        <v>40</v>
      </c>
      <c r="D11794" s="5" t="s">
        <v>1635</v>
      </c>
      <c r="E11794" s="6" t="s">
        <v>53</v>
      </c>
      <c r="F11794" s="5" t="s">
        <v>54</v>
      </c>
      <c r="G11794" s="6" t="str">
        <f>VLOOKUP(E11794,dicionario!$A$1:$C12193,2,0)</f>
        <v>Turnera subulata</v>
      </c>
      <c r="H11794" s="6" t="str">
        <f>VLOOKUP(E11794,dicionario!$A$1:$C12193,3,0)</f>
        <v>xanana</v>
      </c>
    </row>
    <row r="11795">
      <c r="A11795" s="3">
        <v>45855.0</v>
      </c>
      <c r="B11795" s="4">
        <v>0.27847222222222223</v>
      </c>
      <c r="C11795" s="5" t="s">
        <v>40</v>
      </c>
      <c r="D11795" s="5" t="s">
        <v>1635</v>
      </c>
      <c r="E11795" s="6" t="s">
        <v>225</v>
      </c>
      <c r="F11795" s="5" t="s">
        <v>226</v>
      </c>
      <c r="G11795" s="6" t="str">
        <f>VLOOKUP(E11795,dicionario!$A$1:$C12194,2,0)</f>
        <v>Passer domesticus</v>
      </c>
      <c r="H11795" s="6" t="str">
        <f>VLOOKUP(E11795,dicionario!$A$1:$C12194,3,0)</f>
        <v>pardal</v>
      </c>
    </row>
    <row r="11796">
      <c r="A11796" s="3">
        <v>45855.0</v>
      </c>
      <c r="B11796" s="4">
        <v>0.27847222222222223</v>
      </c>
      <c r="C11796" s="5" t="s">
        <v>40</v>
      </c>
      <c r="D11796" s="5" t="s">
        <v>1635</v>
      </c>
      <c r="E11796" s="8" t="s">
        <v>20</v>
      </c>
      <c r="F11796" s="5" t="s">
        <v>1637</v>
      </c>
      <c r="G11796" s="6" t="str">
        <f>VLOOKUP(E11796,dicionario!$A$1:$C12195,2,0)</f>
        <v>Sicalis flaveola</v>
      </c>
      <c r="H11796" s="6" t="str">
        <f>VLOOKUP(E11796,dicionario!$A$1:$C12195,3,0)</f>
        <v>canário-da-terra</v>
      </c>
    </row>
    <row r="11797">
      <c r="A11797" s="3">
        <v>45855.0</v>
      </c>
      <c r="B11797" s="4">
        <v>0.27847222222222223</v>
      </c>
      <c r="C11797" s="5" t="s">
        <v>40</v>
      </c>
      <c r="D11797" s="5" t="s">
        <v>1635</v>
      </c>
      <c r="E11797" s="6" t="s">
        <v>215</v>
      </c>
      <c r="F11797" s="5" t="s">
        <v>1363</v>
      </c>
      <c r="G11797" s="6" t="str">
        <f>VLOOKUP(E11797,dicionario!$A$1:$C12196,2,0)</f>
        <v>Pygochelidon cyanoleuca</v>
      </c>
      <c r="H11797" s="6" t="str">
        <f>VLOOKUP(E11797,dicionario!$A$1:$C12196,3,0)</f>
        <v>andorinha-pequena-de-casa</v>
      </c>
    </row>
    <row r="11798">
      <c r="A11798" s="3">
        <v>45855.0</v>
      </c>
      <c r="B11798" s="4">
        <v>0.2791666666666667</v>
      </c>
      <c r="C11798" s="5" t="s">
        <v>40</v>
      </c>
      <c r="D11798" s="5" t="s">
        <v>1635</v>
      </c>
      <c r="E11798" s="8" t="s">
        <v>1352</v>
      </c>
      <c r="F11798" s="5"/>
      <c r="G11798" s="6" t="str">
        <f>VLOOKUP(E11798,dicionario!$A$1:$C12197,2,0)</f>
        <v>#N/A</v>
      </c>
      <c r="H11798" s="6" t="str">
        <f>VLOOKUP(E11798,dicionario!$A$1:$C12197,3,0)</f>
        <v>#N/A</v>
      </c>
    </row>
    <row r="11799">
      <c r="A11799" s="3">
        <v>45855.0</v>
      </c>
      <c r="B11799" s="4">
        <v>0.2791666666666667</v>
      </c>
      <c r="C11799" s="5" t="s">
        <v>40</v>
      </c>
      <c r="D11799" s="5" t="s">
        <v>1635</v>
      </c>
      <c r="E11799" s="6" t="s">
        <v>227</v>
      </c>
      <c r="F11799" s="5" t="s">
        <v>813</v>
      </c>
      <c r="G11799" s="6" t="str">
        <f>VLOOKUP(E11799,dicionario!$A$1:$C12198,2,0)</f>
        <v>Indigofera hirsuta</v>
      </c>
      <c r="H11799" s="6" t="str">
        <f>VLOOKUP(E11799,dicionario!$A$1:$C12198,3,0)</f>
        <v>anileira</v>
      </c>
    </row>
    <row r="11800">
      <c r="A11800" s="3">
        <v>45855.0</v>
      </c>
      <c r="B11800" s="4">
        <v>0.2791666666666667</v>
      </c>
      <c r="C11800" s="5" t="s">
        <v>40</v>
      </c>
      <c r="D11800" s="5" t="s">
        <v>1635</v>
      </c>
      <c r="E11800" s="6" t="s">
        <v>150</v>
      </c>
      <c r="F11800" s="5" t="s">
        <v>769</v>
      </c>
      <c r="G11800" s="6" t="str">
        <f>VLOOKUP(E11800,dicionario!$A$1:$C12199,2,0)</f>
        <v>Amaranthus viridis</v>
      </c>
      <c r="H11800" s="6" t="str">
        <f>VLOOKUP(E11800,dicionario!$A$1:$C12199,3,0)</f>
        <v>caruru-de-mancha</v>
      </c>
    </row>
    <row r="11801">
      <c r="A11801" s="3">
        <v>45855.0</v>
      </c>
      <c r="B11801" s="4">
        <v>0.2798611111111111</v>
      </c>
      <c r="C11801" s="5" t="s">
        <v>40</v>
      </c>
      <c r="D11801" s="5" t="s">
        <v>1635</v>
      </c>
      <c r="E11801" s="6" t="s">
        <v>286</v>
      </c>
      <c r="F11801" s="5" t="s">
        <v>781</v>
      </c>
      <c r="G11801" s="6" t="str">
        <f>VLOOKUP(E11801,dicionario!$A$1:$C12200,2,0)</f>
        <v>Setaria parviflora</v>
      </c>
      <c r="H11801" s="6" t="str">
        <f>VLOOKUP(E11801,dicionario!$A$1:$C12200,3,0)</f>
        <v>capim-rabo-de-raposa</v>
      </c>
    </row>
    <row r="11802">
      <c r="A11802" s="3">
        <v>45855.0</v>
      </c>
      <c r="B11802" s="4">
        <v>0.2798611111111111</v>
      </c>
      <c r="C11802" s="5" t="s">
        <v>40</v>
      </c>
      <c r="D11802" s="5" t="s">
        <v>1635</v>
      </c>
      <c r="E11802" s="8" t="s">
        <v>154</v>
      </c>
      <c r="F11802" s="5" t="s">
        <v>1585</v>
      </c>
      <c r="G11802" s="6" t="str">
        <f>VLOOKUP(E11802,dicionario!$A$1:$C12201,2,0)</f>
        <v>Cyperus rotundus</v>
      </c>
      <c r="H11802" s="6" t="str">
        <f>VLOOKUP(E11802,dicionario!$A$1:$C12201,3,0)</f>
        <v>tiririca</v>
      </c>
    </row>
    <row r="11803">
      <c r="A11803" s="3">
        <v>45855.0</v>
      </c>
      <c r="B11803" s="4">
        <v>0.28055555555555556</v>
      </c>
      <c r="C11803" s="5" t="s">
        <v>40</v>
      </c>
      <c r="D11803" s="5" t="s">
        <v>1635</v>
      </c>
      <c r="E11803" s="6"/>
      <c r="F11803" s="52" t="s">
        <v>1645</v>
      </c>
      <c r="G11803" s="6" t="str">
        <f>VLOOKUP(E11803,dicionario!$A$1:$C12202,2,0)</f>
        <v>#N/A</v>
      </c>
      <c r="H11803" s="6" t="str">
        <f>VLOOKUP(E11803,dicionario!$A$1:$C12202,3,0)</f>
        <v>#N/A</v>
      </c>
    </row>
    <row r="11804">
      <c r="A11804" s="3">
        <v>45855.0</v>
      </c>
      <c r="B11804" s="4">
        <v>0.28055555555555556</v>
      </c>
      <c r="C11804" s="5" t="s">
        <v>40</v>
      </c>
      <c r="D11804" s="5" t="s">
        <v>1635</v>
      </c>
      <c r="E11804" s="6" t="s">
        <v>171</v>
      </c>
      <c r="F11804" s="5" t="s">
        <v>172</v>
      </c>
      <c r="G11804" s="6" t="str">
        <f>VLOOKUP(E11804,dicionario!$A$1:$C12203,2,0)</f>
        <v>Oxalis corniculata</v>
      </c>
      <c r="H11804" s="6" t="str">
        <f>VLOOKUP(E11804,dicionario!$A$1:$C12203,3,0)</f>
        <v>trevo-azedinho</v>
      </c>
    </row>
    <row r="11805">
      <c r="A11805" s="3">
        <v>45855.0</v>
      </c>
      <c r="B11805" s="4">
        <v>0.28055555555555556</v>
      </c>
      <c r="C11805" s="5" t="s">
        <v>40</v>
      </c>
      <c r="D11805" s="5" t="s">
        <v>1635</v>
      </c>
      <c r="E11805" s="8" t="s">
        <v>16</v>
      </c>
      <c r="F11805" s="5" t="s">
        <v>1641</v>
      </c>
      <c r="G11805" s="6" t="str">
        <f>VLOOKUP(E11805,dicionario!$A$1:$C12204,2,0)</f>
        <v>Eupetomena macroura</v>
      </c>
      <c r="H11805" s="6" t="str">
        <f>VLOOKUP(E11805,dicionario!$A$1:$C12204,3,0)</f>
        <v>beija-flor-tesoura</v>
      </c>
    </row>
    <row r="11806">
      <c r="A11806" s="3">
        <v>45855.0</v>
      </c>
      <c r="B11806" s="4">
        <v>0.2826388888888889</v>
      </c>
      <c r="C11806" s="5" t="s">
        <v>40</v>
      </c>
      <c r="D11806" s="5" t="s">
        <v>1635</v>
      </c>
      <c r="E11806" s="6" t="s">
        <v>225</v>
      </c>
      <c r="F11806" s="5" t="s">
        <v>226</v>
      </c>
      <c r="G11806" s="6" t="str">
        <f>VLOOKUP(E11806,dicionario!$A$1:$C12205,2,0)</f>
        <v>Passer domesticus</v>
      </c>
      <c r="H11806" s="6" t="str">
        <f>VLOOKUP(E11806,dicionario!$A$1:$C12205,3,0)</f>
        <v>pardal</v>
      </c>
    </row>
    <row r="11807">
      <c r="A11807" s="3">
        <v>45855.0</v>
      </c>
      <c r="B11807" s="4">
        <v>0.2826388888888889</v>
      </c>
      <c r="C11807" s="5" t="s">
        <v>40</v>
      </c>
      <c r="D11807" s="5" t="s">
        <v>1635</v>
      </c>
      <c r="E11807" s="6" t="s">
        <v>86</v>
      </c>
      <c r="F11807" s="5" t="s">
        <v>502</v>
      </c>
      <c r="G11807" s="6" t="str">
        <f>VLOOKUP(E11807,dicionario!$A$1:$C12206,2,0)</f>
        <v>Coereba flaveola</v>
      </c>
      <c r="H11807" s="6" t="str">
        <f>VLOOKUP(E11807,dicionario!$A$1:$C12206,3,0)</f>
        <v>cambacica</v>
      </c>
    </row>
    <row r="11808">
      <c r="A11808" s="3">
        <v>45855.0</v>
      </c>
      <c r="B11808" s="4">
        <v>0.2826388888888889</v>
      </c>
      <c r="C11808" s="5" t="s">
        <v>40</v>
      </c>
      <c r="D11808" s="5" t="s">
        <v>1635</v>
      </c>
      <c r="E11808" s="8" t="s">
        <v>271</v>
      </c>
      <c r="F11808" s="5" t="s">
        <v>1514</v>
      </c>
      <c r="G11808" s="6" t="str">
        <f>VLOOKUP(E11808,dicionario!$A$1:$C12207,2,0)</f>
        <v>Cyanthillium cinereum</v>
      </c>
      <c r="H11808" s="6" t="str">
        <f>VLOOKUP(E11808,dicionario!$A$1:$C12207,3,0)</f>
        <v>emília</v>
      </c>
    </row>
    <row r="11809">
      <c r="A11809" s="3">
        <v>45855.0</v>
      </c>
      <c r="B11809" s="4">
        <v>0.2833333333333333</v>
      </c>
      <c r="C11809" s="5" t="s">
        <v>40</v>
      </c>
      <c r="D11809" s="5" t="s">
        <v>1635</v>
      </c>
      <c r="E11809" s="6" t="s">
        <v>353</v>
      </c>
      <c r="F11809" s="5" t="s">
        <v>354</v>
      </c>
      <c r="G11809" s="6" t="str">
        <f>VLOOKUP(E11809,dicionario!$A$1:$C12208,2,0)</f>
        <v>Desmodium incanum</v>
      </c>
      <c r="H11809" s="6" t="str">
        <f>VLOOKUP(E11809,dicionario!$A$1:$C12208,3,0)</f>
        <v>pega-pega</v>
      </c>
    </row>
    <row r="11810">
      <c r="A11810" s="3">
        <v>45855.0</v>
      </c>
      <c r="B11810" s="4">
        <v>0.28402777777777777</v>
      </c>
      <c r="C11810" s="5" t="s">
        <v>40</v>
      </c>
      <c r="D11810" s="5" t="s">
        <v>1635</v>
      </c>
      <c r="E11810" s="6" t="s">
        <v>429</v>
      </c>
      <c r="F11810" s="5" t="s">
        <v>660</v>
      </c>
      <c r="G11810" s="6" t="str">
        <f>VLOOKUP(E11810,dicionario!$A$1:$C12209,2,0)</f>
        <v>Leonurus sibiricus</v>
      </c>
      <c r="H11810" s="6" t="str">
        <f>VLOOKUP(E11810,dicionario!$A$1:$C12209,3,0)</f>
        <v>erva-macaé</v>
      </c>
    </row>
    <row r="11811">
      <c r="A11811" s="3">
        <v>45855.0</v>
      </c>
      <c r="B11811" s="4">
        <v>0.28402777777777777</v>
      </c>
      <c r="C11811" s="5" t="s">
        <v>40</v>
      </c>
      <c r="D11811" s="5" t="s">
        <v>1635</v>
      </c>
      <c r="E11811" s="6" t="s">
        <v>296</v>
      </c>
      <c r="F11811" s="5" t="s">
        <v>297</v>
      </c>
      <c r="G11811" s="6" t="str">
        <f>VLOOKUP(E11811,dicionario!$A$1:$C12210,2,0)</f>
        <v>Richardia brasiliensis</v>
      </c>
      <c r="H11811" s="6" t="str">
        <f>VLOOKUP(E11811,dicionario!$A$1:$C12210,3,0)</f>
        <v>poaia-branca</v>
      </c>
    </row>
    <row r="11812">
      <c r="A11812" s="3">
        <v>45855.0</v>
      </c>
      <c r="B11812" s="4">
        <v>0.2847222222222222</v>
      </c>
      <c r="C11812" s="5" t="s">
        <v>40</v>
      </c>
      <c r="D11812" s="5" t="s">
        <v>1635</v>
      </c>
      <c r="E11812" s="30" t="s">
        <v>1646</v>
      </c>
      <c r="F11812" s="5"/>
      <c r="G11812" s="6" t="str">
        <f>VLOOKUP(E11812,dicionario!$A$1:$C12211,2,0)</f>
        <v>#N/A</v>
      </c>
      <c r="H11812" s="6" t="str">
        <f>VLOOKUP(E11812,dicionario!$A$1:$C12211,3,0)</f>
        <v>#N/A</v>
      </c>
    </row>
    <row r="11813">
      <c r="A11813" s="3">
        <v>45855.0</v>
      </c>
      <c r="B11813" s="4">
        <v>0.2847222222222222</v>
      </c>
      <c r="C11813" s="5" t="s">
        <v>40</v>
      </c>
      <c r="D11813" s="5" t="s">
        <v>1635</v>
      </c>
      <c r="E11813" s="6" t="s">
        <v>141</v>
      </c>
      <c r="F11813" s="5" t="s">
        <v>875</v>
      </c>
      <c r="G11813" s="6" t="str">
        <f>VLOOKUP(E11813,dicionario!$A$1:$C12212,2,0)</f>
        <v>Ruellia blechum</v>
      </c>
      <c r="H11813" s="6" t="str">
        <f>VLOOKUP(E11813,dicionario!$A$1:$C12212,3,0)</f>
        <v>camarão-verde</v>
      </c>
    </row>
    <row r="11814">
      <c r="A11814" s="3">
        <v>45855.0</v>
      </c>
      <c r="B11814" s="4">
        <v>0.2847222222222222</v>
      </c>
      <c r="C11814" s="5" t="s">
        <v>40</v>
      </c>
      <c r="D11814" s="5" t="s">
        <v>1635</v>
      </c>
      <c r="E11814" s="8" t="s">
        <v>162</v>
      </c>
      <c r="F11814" s="5" t="s">
        <v>1362</v>
      </c>
      <c r="G11814" s="6" t="str">
        <f>VLOOKUP(E11814,dicionario!$A$1:$C12213,2,0)</f>
        <v>Fluvicola nengeta</v>
      </c>
      <c r="H11814" s="6" t="str">
        <f>VLOOKUP(E11814,dicionario!$A$1:$C12213,3,0)</f>
        <v>lavadeira-mascarada</v>
      </c>
    </row>
    <row r="11815">
      <c r="A11815" s="3">
        <v>45855.0</v>
      </c>
      <c r="B11815" s="4">
        <v>0.2847222222222222</v>
      </c>
      <c r="C11815" s="5" t="s">
        <v>40</v>
      </c>
      <c r="D11815" s="5" t="s">
        <v>1635</v>
      </c>
      <c r="E11815" s="6" t="s">
        <v>175</v>
      </c>
      <c r="F11815" s="5" t="s">
        <v>1647</v>
      </c>
      <c r="G11815" s="6" t="str">
        <f>VLOOKUP(E11815,dicionario!$A$1:$C12214,2,0)</f>
        <v>Turdus leucomelas</v>
      </c>
      <c r="H11815" s="6" t="str">
        <f>VLOOKUP(E11815,dicionario!$A$1:$C12214,3,0)</f>
        <v>sabiá-barranco</v>
      </c>
    </row>
    <row r="11816">
      <c r="A11816" s="3">
        <v>45855.0</v>
      </c>
      <c r="B11816" s="4">
        <v>0.28541666666666665</v>
      </c>
      <c r="C11816" s="5" t="s">
        <v>40</v>
      </c>
      <c r="D11816" s="5" t="s">
        <v>1635</v>
      </c>
      <c r="E11816" s="6" t="s">
        <v>225</v>
      </c>
      <c r="F11816" s="5" t="s">
        <v>226</v>
      </c>
      <c r="G11816" s="6" t="str">
        <f>VLOOKUP(E11816,dicionario!$A$1:$C12215,2,0)</f>
        <v>Passer domesticus</v>
      </c>
      <c r="H11816" s="6" t="str">
        <f>VLOOKUP(E11816,dicionario!$A$1:$C12215,3,0)</f>
        <v>pardal</v>
      </c>
    </row>
    <row r="11817">
      <c r="A11817" s="3">
        <v>45855.0</v>
      </c>
      <c r="B11817" s="4">
        <v>0.2861111111111111</v>
      </c>
      <c r="C11817" s="5" t="s">
        <v>40</v>
      </c>
      <c r="D11817" s="5" t="s">
        <v>1635</v>
      </c>
      <c r="E11817" s="8" t="s">
        <v>122</v>
      </c>
      <c r="F11817" s="5" t="s">
        <v>1648</v>
      </c>
      <c r="G11817" s="6" t="str">
        <f>VLOOKUP(E11817,dicionario!$A$1:$C12216,2,0)</f>
        <v>Todirostrum cinereum</v>
      </c>
      <c r="H11817" s="6" t="str">
        <f>VLOOKUP(E11817,dicionario!$A$1:$C12216,3,0)</f>
        <v>ferreirinho-relógio</v>
      </c>
    </row>
    <row r="11818">
      <c r="A11818" s="3">
        <v>45855.0</v>
      </c>
      <c r="B11818" s="4">
        <v>0.2861111111111111</v>
      </c>
      <c r="C11818" s="5" t="s">
        <v>40</v>
      </c>
      <c r="D11818" s="5" t="s">
        <v>1635</v>
      </c>
      <c r="E11818" s="8" t="s">
        <v>200</v>
      </c>
      <c r="F11818" s="5" t="s">
        <v>201</v>
      </c>
      <c r="G11818" s="6" t="str">
        <f>VLOOKUP(E11818,dicionario!$A$1:$C12217,2,0)</f>
        <v>Columbina picui </v>
      </c>
      <c r="H11818" s="6" t="str">
        <f>VLOOKUP(E11818,dicionario!$A$1:$C12217,3,0)</f>
        <v>rolinha-picuí</v>
      </c>
    </row>
    <row r="11819">
      <c r="A11819" s="3">
        <v>45855.0</v>
      </c>
      <c r="B11819" s="4">
        <v>0.28888888888888886</v>
      </c>
      <c r="C11819" s="5" t="s">
        <v>50</v>
      </c>
      <c r="D11819" s="5" t="s">
        <v>1635</v>
      </c>
      <c r="E11819" s="6" t="s">
        <v>113</v>
      </c>
      <c r="F11819" s="5" t="s">
        <v>1649</v>
      </c>
      <c r="G11819" s="6" t="str">
        <f>VLOOKUP(E11819,dicionario!$A$1:$C12218,2,0)</f>
        <v>Columbina talpacoti</v>
      </c>
      <c r="H11819" s="6" t="str">
        <f>VLOOKUP(E11819,dicionario!$A$1:$C12218,3,0)</f>
        <v>rolinha-roxa</v>
      </c>
    </row>
    <row r="11820">
      <c r="A11820" s="3">
        <v>45855.0</v>
      </c>
      <c r="B11820" s="4">
        <v>0.28888888888888886</v>
      </c>
      <c r="C11820" s="5" t="s">
        <v>50</v>
      </c>
      <c r="D11820" s="5" t="s">
        <v>1635</v>
      </c>
      <c r="E11820" s="8" t="s">
        <v>187</v>
      </c>
      <c r="F11820" s="5" t="s">
        <v>1650</v>
      </c>
      <c r="G11820" s="6" t="str">
        <f>VLOOKUP(E11820,dicionario!$A$1:$C12219,2,0)</f>
        <v>Tangara cayana</v>
      </c>
      <c r="H11820" s="6" t="str">
        <f>VLOOKUP(E11820,dicionario!$A$1:$C12219,3,0)</f>
        <v>saíra-amarela</v>
      </c>
    </row>
    <row r="11821">
      <c r="A11821" s="3">
        <v>45855.0</v>
      </c>
      <c r="B11821" s="4">
        <v>0.28958333333333336</v>
      </c>
      <c r="C11821" s="5" t="s">
        <v>50</v>
      </c>
      <c r="D11821" s="5" t="s">
        <v>1635</v>
      </c>
      <c r="E11821" s="8" t="s">
        <v>109</v>
      </c>
      <c r="F11821" s="5" t="s">
        <v>777</v>
      </c>
      <c r="G11821" s="6" t="str">
        <f>VLOOKUP(E11821,dicionario!$A$1:$C12220,2,0)</f>
        <v>Tillandsia stricta</v>
      </c>
      <c r="H11821" s="6" t="str">
        <f>VLOOKUP(E11821,dicionario!$A$1:$C12220,3,0)</f>
        <v>cravo-do-mato</v>
      </c>
    </row>
    <row r="11822">
      <c r="A11822" s="3">
        <v>45855.0</v>
      </c>
      <c r="B11822" s="4">
        <v>0.28958333333333336</v>
      </c>
      <c r="C11822" s="5" t="s">
        <v>50</v>
      </c>
      <c r="D11822" s="5" t="s">
        <v>1635</v>
      </c>
      <c r="E11822" s="8" t="s">
        <v>122</v>
      </c>
      <c r="F11822" s="5" t="s">
        <v>1651</v>
      </c>
      <c r="G11822" s="6" t="str">
        <f>VLOOKUP(E11822,dicionario!$A$1:$C12221,2,0)</f>
        <v>Todirostrum cinereum</v>
      </c>
      <c r="H11822" s="6" t="str">
        <f>VLOOKUP(E11822,dicionario!$A$1:$C12221,3,0)</f>
        <v>ferreirinho-relógio</v>
      </c>
    </row>
    <row r="11823">
      <c r="A11823" s="3">
        <v>45855.0</v>
      </c>
      <c r="B11823" s="4">
        <v>0.28958333333333336</v>
      </c>
      <c r="C11823" s="5" t="s">
        <v>50</v>
      </c>
      <c r="D11823" s="5" t="s">
        <v>1635</v>
      </c>
      <c r="E11823" s="8" t="s">
        <v>1644</v>
      </c>
      <c r="F11823" s="5"/>
      <c r="G11823" s="6" t="str">
        <f>VLOOKUP(E11823,dicionario!$A$1:$C12222,2,0)</f>
        <v>#N/A</v>
      </c>
      <c r="H11823" s="6" t="str">
        <f>VLOOKUP(E11823,dicionario!$A$1:$C12222,3,0)</f>
        <v>#N/A</v>
      </c>
    </row>
    <row r="11824">
      <c r="A11824" s="3">
        <v>45855.0</v>
      </c>
      <c r="B11824" s="4">
        <v>0.28958333333333336</v>
      </c>
      <c r="C11824" s="5" t="s">
        <v>50</v>
      </c>
      <c r="D11824" s="5" t="s">
        <v>1635</v>
      </c>
      <c r="E11824" s="6" t="s">
        <v>401</v>
      </c>
      <c r="F11824" s="5" t="s">
        <v>770</v>
      </c>
      <c r="G11824" s="6" t="str">
        <f>VLOOKUP(E11824,dicionario!$A$1:$C12223,2,0)</f>
        <v>Cissus verticillata</v>
      </c>
      <c r="H11824" s="6" t="str">
        <f>VLOOKUP(E11824,dicionario!$A$1:$C12223,3,0)</f>
        <v>uva-do-mato</v>
      </c>
    </row>
    <row r="11825">
      <c r="A11825" s="3">
        <v>45855.0</v>
      </c>
      <c r="B11825" s="4">
        <v>0.28958333333333336</v>
      </c>
      <c r="C11825" s="5" t="s">
        <v>50</v>
      </c>
      <c r="D11825" s="5" t="s">
        <v>1635</v>
      </c>
      <c r="E11825" s="8" t="s">
        <v>271</v>
      </c>
      <c r="F11825" s="5" t="s">
        <v>1514</v>
      </c>
      <c r="G11825" s="6" t="str">
        <f>VLOOKUP(E11825,dicionario!$A$1:$C12224,2,0)</f>
        <v>Cyanthillium cinereum</v>
      </c>
      <c r="H11825" s="6" t="str">
        <f>VLOOKUP(E11825,dicionario!$A$1:$C12224,3,0)</f>
        <v>emília</v>
      </c>
    </row>
    <row r="11826">
      <c r="A11826" s="3">
        <v>45855.0</v>
      </c>
      <c r="B11826" s="4">
        <v>0.28958333333333336</v>
      </c>
      <c r="C11826" s="5" t="s">
        <v>50</v>
      </c>
      <c r="D11826" s="5" t="s">
        <v>1635</v>
      </c>
      <c r="E11826" s="8" t="s">
        <v>38</v>
      </c>
      <c r="F11826" s="5" t="s">
        <v>1604</v>
      </c>
      <c r="G11826" s="6" t="str">
        <f>VLOOKUP(E11826,dicionario!$A$1:$C12225,2,0)</f>
        <v>Troglodytes musculus</v>
      </c>
      <c r="H11826" s="6" t="str">
        <f>VLOOKUP(E11826,dicionario!$A$1:$C12225,3,0)</f>
        <v>curruíra</v>
      </c>
    </row>
    <row r="11827">
      <c r="A11827" s="3">
        <v>45855.0</v>
      </c>
      <c r="B11827" s="4">
        <v>0.2902777777777778</v>
      </c>
      <c r="C11827" s="5" t="s">
        <v>50</v>
      </c>
      <c r="D11827" s="5" t="s">
        <v>1635</v>
      </c>
      <c r="E11827" s="8" t="s">
        <v>1354</v>
      </c>
      <c r="F11827" s="5" t="s">
        <v>621</v>
      </c>
      <c r="G11827" s="6" t="str">
        <f>VLOOKUP(E11827,dicionario!$A$1:$C12226,2,0)</f>
        <v>#N/A</v>
      </c>
      <c r="H11827" s="6" t="str">
        <f>VLOOKUP(E11827,dicionario!$A$1:$C12226,3,0)</f>
        <v>#N/A</v>
      </c>
    </row>
    <row r="11828">
      <c r="A11828" s="3">
        <v>45855.0</v>
      </c>
      <c r="B11828" s="4">
        <v>0.2902777777777778</v>
      </c>
      <c r="C11828" s="5" t="s">
        <v>50</v>
      </c>
      <c r="D11828" s="5" t="s">
        <v>1635</v>
      </c>
      <c r="E11828" s="6" t="s">
        <v>65</v>
      </c>
      <c r="F11828" s="5" t="s">
        <v>819</v>
      </c>
      <c r="G11828" s="6" t="str">
        <f>VLOOKUP(E11828,dicionario!$A$1:$C12227,2,0)</f>
        <v>Pitangus sulphutarus</v>
      </c>
      <c r="H11828" s="6" t="str">
        <f>VLOOKUP(E11828,dicionario!$A$1:$C12227,3,0)</f>
        <v>bem-te-vi</v>
      </c>
    </row>
    <row r="11829">
      <c r="A11829" s="3">
        <v>45855.0</v>
      </c>
      <c r="B11829" s="4">
        <v>0.2902777777777778</v>
      </c>
      <c r="C11829" s="5" t="s">
        <v>50</v>
      </c>
      <c r="D11829" s="5" t="s">
        <v>1635</v>
      </c>
      <c r="E11829" s="6" t="s">
        <v>57</v>
      </c>
      <c r="F11829" s="5" t="s">
        <v>475</v>
      </c>
      <c r="G11829" s="6" t="str">
        <f>VLOOKUP(E11829,dicionario!$A$1:$C12228,2,0)</f>
        <v>Juliformia</v>
      </c>
      <c r="H11829" s="6" t="str">
        <f>VLOOKUP(E11829,dicionario!$A$1:$C12228,3,0)</f>
        <v>gongolo; maria-café</v>
      </c>
    </row>
    <row r="11830">
      <c r="A11830" s="3">
        <v>45855.0</v>
      </c>
      <c r="B11830" s="4">
        <v>0.2902777777777778</v>
      </c>
      <c r="C11830" s="5" t="s">
        <v>50</v>
      </c>
      <c r="D11830" s="5" t="s">
        <v>1635</v>
      </c>
      <c r="E11830" s="8" t="s">
        <v>1373</v>
      </c>
      <c r="F11830" s="5" t="s">
        <v>1652</v>
      </c>
      <c r="G11830" s="6" t="str">
        <f>VLOOKUP(E11830,dicionario!$A$1:$C12229,2,0)</f>
        <v>Ardea alba</v>
      </c>
      <c r="H11830" s="6" t="str">
        <f>VLOOKUP(E11830,dicionario!$A$1:$C12229,3,0)</f>
        <v>garça-branca-grande</v>
      </c>
    </row>
    <row r="11831">
      <c r="A11831" s="3">
        <v>45855.0</v>
      </c>
      <c r="B11831" s="4">
        <v>0.2902777777777778</v>
      </c>
      <c r="C11831" s="5" t="s">
        <v>59</v>
      </c>
      <c r="D11831" s="5" t="s">
        <v>1635</v>
      </c>
      <c r="E11831" s="6" t="s">
        <v>191</v>
      </c>
      <c r="F11831" s="5" t="s">
        <v>771</v>
      </c>
      <c r="G11831" s="6" t="str">
        <f>VLOOKUP(E11831,dicionario!$A$1:$C12230,2,0)</f>
        <v>Patagioenas picazuro</v>
      </c>
      <c r="H11831" s="6" t="str">
        <f>VLOOKUP(E11831,dicionario!$A$1:$C12230,3,0)</f>
        <v>asa-branca; pomba-asa-branca; pocaçu</v>
      </c>
    </row>
    <row r="11832">
      <c r="A11832" s="3">
        <v>45855.0</v>
      </c>
      <c r="B11832" s="4">
        <v>0.2902777777777778</v>
      </c>
      <c r="C11832" s="5" t="s">
        <v>59</v>
      </c>
      <c r="D11832" s="5" t="s">
        <v>1635</v>
      </c>
      <c r="E11832" s="6" t="s">
        <v>148</v>
      </c>
      <c r="F11832" s="5" t="s">
        <v>1653</v>
      </c>
      <c r="G11832" s="6" t="str">
        <f>VLOOKUP(E11832,dicionario!$A$1:$C12231,2,0)</f>
        <v>Parthenium hysterophorus</v>
      </c>
      <c r="H11832" s="6" t="str">
        <f>VLOOKUP(E11832,dicionario!$A$1:$C12231,3,0)</f>
        <v>losna-branca</v>
      </c>
    </row>
    <row r="11833">
      <c r="A11833" s="3">
        <v>45855.0</v>
      </c>
      <c r="B11833" s="4">
        <v>0.29097222222222224</v>
      </c>
      <c r="C11833" s="5" t="s">
        <v>59</v>
      </c>
      <c r="D11833" s="5" t="s">
        <v>1635</v>
      </c>
      <c r="E11833" s="6" t="s">
        <v>53</v>
      </c>
      <c r="F11833" s="5" t="s">
        <v>1376</v>
      </c>
      <c r="G11833" s="6" t="str">
        <f>VLOOKUP(E11833,dicionario!$A$1:$C12232,2,0)</f>
        <v>Turnera subulata</v>
      </c>
      <c r="H11833" s="6" t="str">
        <f>VLOOKUP(E11833,dicionario!$A$1:$C12232,3,0)</f>
        <v>xanana</v>
      </c>
    </row>
    <row r="11834">
      <c r="A11834" s="3">
        <v>45855.0</v>
      </c>
      <c r="B11834" s="4">
        <v>0.2916666666666667</v>
      </c>
      <c r="C11834" s="5" t="s">
        <v>59</v>
      </c>
      <c r="D11834" s="5" t="s">
        <v>1635</v>
      </c>
      <c r="E11834" s="8" t="s">
        <v>471</v>
      </c>
      <c r="F11834" s="5" t="s">
        <v>1654</v>
      </c>
      <c r="G11834" s="6" t="str">
        <f>VLOOKUP(E11834,dicionario!$A$1:$C12233,2,0)</f>
        <v>Sida acuta</v>
      </c>
      <c r="H11834" s="6" t="str">
        <f>VLOOKUP(E11834,dicionario!$A$1:$C12233,3,0)</f>
        <v>reloginho</v>
      </c>
    </row>
    <row r="11835">
      <c r="A11835" s="3">
        <v>45855.0</v>
      </c>
      <c r="B11835" s="4">
        <v>0.2916666666666667</v>
      </c>
      <c r="C11835" s="5" t="s">
        <v>59</v>
      </c>
      <c r="D11835" s="5" t="s">
        <v>1635</v>
      </c>
      <c r="E11835" s="8" t="s">
        <v>109</v>
      </c>
      <c r="F11835" s="5" t="s">
        <v>777</v>
      </c>
      <c r="G11835" s="6" t="str">
        <f>VLOOKUP(E11835,dicionario!$A$1:$C12234,2,0)</f>
        <v>Tillandsia stricta</v>
      </c>
      <c r="H11835" s="6" t="str">
        <f>VLOOKUP(E11835,dicionario!$A$1:$C12234,3,0)</f>
        <v>cravo-do-mato</v>
      </c>
    </row>
    <row r="11836">
      <c r="A11836" s="3">
        <v>45855.0</v>
      </c>
      <c r="B11836" s="4">
        <v>0.2916666666666667</v>
      </c>
      <c r="C11836" s="5" t="s">
        <v>59</v>
      </c>
      <c r="D11836" s="5" t="s">
        <v>1635</v>
      </c>
      <c r="E11836" s="8" t="s">
        <v>1167</v>
      </c>
      <c r="F11836" s="61" t="s">
        <v>1598</v>
      </c>
      <c r="G11836" s="6" t="str">
        <f>VLOOKUP(E11836,dicionario!$A$1:$C12235,2,0)</f>
        <v>Tillandsia recurvata</v>
      </c>
      <c r="H11836" s="6" t="str">
        <f>VLOOKUP(E11836,dicionario!$A$1:$C12235,3,0)</f>
        <v>cravo-do-mato sp2</v>
      </c>
    </row>
    <row r="11837">
      <c r="A11837" s="3">
        <v>45855.0</v>
      </c>
      <c r="B11837" s="4">
        <v>0.2916666666666667</v>
      </c>
      <c r="C11837" s="5" t="s">
        <v>59</v>
      </c>
      <c r="D11837" s="5" t="s">
        <v>1635</v>
      </c>
      <c r="E11837" s="6" t="s">
        <v>355</v>
      </c>
      <c r="F11837" s="5" t="s">
        <v>1655</v>
      </c>
      <c r="G11837" s="6" t="str">
        <f>VLOOKUP(E11837,dicionario!$A$1:$C12236,2,0)</f>
        <v>Boerhavia diffusa</v>
      </c>
      <c r="H11837" s="6" t="str">
        <f>VLOOKUP(E11837,dicionario!$A$1:$C12236,3,0)</f>
        <v>erva-tostão</v>
      </c>
    </row>
    <row r="11838">
      <c r="A11838" s="3">
        <v>45855.0</v>
      </c>
      <c r="B11838" s="4">
        <v>0.2972222222222222</v>
      </c>
      <c r="C11838" s="5" t="s">
        <v>59</v>
      </c>
      <c r="D11838" s="5" t="s">
        <v>1635</v>
      </c>
      <c r="E11838" s="8" t="s">
        <v>1352</v>
      </c>
      <c r="F11838" s="5"/>
      <c r="G11838" s="6" t="str">
        <f>VLOOKUP(E11838,dicionario!$A$1:$C12237,2,0)</f>
        <v>#N/A</v>
      </c>
      <c r="H11838" s="6" t="str">
        <f>VLOOKUP(E11838,dicionario!$A$1:$C12237,3,0)</f>
        <v>#N/A</v>
      </c>
    </row>
    <row r="11839">
      <c r="A11839" s="3">
        <v>45855.0</v>
      </c>
      <c r="B11839" s="4">
        <v>0.2972222222222222</v>
      </c>
      <c r="C11839" s="5" t="s">
        <v>59</v>
      </c>
      <c r="D11839" s="5" t="s">
        <v>1635</v>
      </c>
      <c r="E11839" s="8" t="s">
        <v>154</v>
      </c>
      <c r="F11839" s="5" t="s">
        <v>1585</v>
      </c>
      <c r="G11839" s="6" t="str">
        <f>VLOOKUP(E11839,dicionario!$A$1:$C12238,2,0)</f>
        <v>Cyperus rotundus</v>
      </c>
      <c r="H11839" s="6" t="str">
        <f>VLOOKUP(E11839,dicionario!$A$1:$C12238,3,0)</f>
        <v>tiririca</v>
      </c>
    </row>
    <row r="11840">
      <c r="A11840" s="3">
        <v>45855.0</v>
      </c>
      <c r="B11840" s="4">
        <v>0.2972222222222222</v>
      </c>
      <c r="C11840" s="5" t="s">
        <v>59</v>
      </c>
      <c r="D11840" s="5" t="s">
        <v>1635</v>
      </c>
      <c r="E11840" s="8" t="s">
        <v>712</v>
      </c>
      <c r="F11840" s="5" t="s">
        <v>1602</v>
      </c>
      <c r="G11840" s="6" t="str">
        <f>VLOOKUP(E11840,dicionario!$A$1:$C12239,2,0)</f>
        <v>Flavopunctelia soredica</v>
      </c>
      <c r="H11840" s="6" t="str">
        <f>VLOOKUP(E11840,dicionario!$A$1:$C12239,3,0)</f>
        <v>líquen-folioso</v>
      </c>
    </row>
    <row r="11841">
      <c r="A11841" s="3">
        <v>45855.0</v>
      </c>
      <c r="B11841" s="4">
        <v>0.29791666666666666</v>
      </c>
      <c r="C11841" s="5" t="s">
        <v>59</v>
      </c>
      <c r="D11841" s="5" t="s">
        <v>1635</v>
      </c>
      <c r="E11841" s="8" t="s">
        <v>719</v>
      </c>
      <c r="F11841" s="5" t="s">
        <v>1593</v>
      </c>
      <c r="G11841" s="6" t="str">
        <f>VLOOKUP(E11841,dicionario!$A$1:$C12240,2,0)</f>
        <v>Dirinaria</v>
      </c>
      <c r="H11841" s="6" t="str">
        <f>VLOOKUP(E11841,dicionario!$A$1:$C12240,3,0)</f>
        <v>líquen-crostoso</v>
      </c>
    </row>
    <row r="11842">
      <c r="A11842" s="3">
        <v>45855.0</v>
      </c>
      <c r="B11842" s="4">
        <v>0.2986111111111111</v>
      </c>
      <c r="C11842" s="5" t="s">
        <v>59</v>
      </c>
      <c r="D11842" s="5" t="s">
        <v>1635</v>
      </c>
      <c r="E11842" s="8" t="s">
        <v>366</v>
      </c>
      <c r="F11842" s="5" t="s">
        <v>367</v>
      </c>
      <c r="G11842" s="6" t="str">
        <f>VLOOKUP(E11842,dicionario!$A$1:$C12241,2,0)</f>
        <v>Alternanthera ficoidea</v>
      </c>
      <c r="H11842" s="6" t="str">
        <f>VLOOKUP(E11842,dicionario!$A$1:$C12241,3,0)</f>
        <v>quebra-panela</v>
      </c>
    </row>
    <row r="11843">
      <c r="A11843" s="3">
        <v>45855.0</v>
      </c>
      <c r="B11843" s="4">
        <v>0.2986111111111111</v>
      </c>
      <c r="C11843" s="5" t="s">
        <v>59</v>
      </c>
      <c r="D11843" s="5" t="s">
        <v>1635</v>
      </c>
      <c r="E11843" s="6"/>
      <c r="F11843" s="52" t="s">
        <v>1656</v>
      </c>
      <c r="G11843" s="6" t="str">
        <f>VLOOKUP(E11843,dicionario!$A$1:$C12242,2,0)</f>
        <v>#N/A</v>
      </c>
      <c r="H11843" s="6" t="str">
        <f>VLOOKUP(E11843,dicionario!$A$1:$C12242,3,0)</f>
        <v>#N/A</v>
      </c>
    </row>
    <row r="11844">
      <c r="A11844" s="3">
        <v>45855.0</v>
      </c>
      <c r="B11844" s="4">
        <v>0.2986111111111111</v>
      </c>
      <c r="C11844" s="5" t="s">
        <v>59</v>
      </c>
      <c r="D11844" s="5" t="s">
        <v>1635</v>
      </c>
      <c r="E11844" s="8" t="s">
        <v>107</v>
      </c>
      <c r="F11844" s="5" t="s">
        <v>108</v>
      </c>
      <c r="G11844" s="6" t="str">
        <f>VLOOKUP(E11844,dicionario!$A$1:$C12243,2,0)</f>
        <v>Ramalina complanata</v>
      </c>
      <c r="H11844" s="6" t="str">
        <f>VLOOKUP(E11844,dicionario!$A$1:$C12243,3,0)</f>
        <v>ramalina</v>
      </c>
    </row>
    <row r="11845">
      <c r="A11845" s="3">
        <v>45855.0</v>
      </c>
      <c r="B11845" s="4">
        <v>0.2986111111111111</v>
      </c>
      <c r="C11845" s="5" t="s">
        <v>59</v>
      </c>
      <c r="D11845" s="5" t="s">
        <v>1635</v>
      </c>
      <c r="E11845" s="8" t="s">
        <v>1571</v>
      </c>
      <c r="F11845" s="5" t="s">
        <v>969</v>
      </c>
      <c r="G11845" s="6" t="str">
        <f>VLOOKUP(E11845,dicionario!$A$1:$C12244,2,0)</f>
        <v>#N/A</v>
      </c>
      <c r="H11845" s="6" t="str">
        <f>VLOOKUP(E11845,dicionario!$A$1:$C12244,3,0)</f>
        <v>#N/A</v>
      </c>
    </row>
    <row r="11846">
      <c r="A11846" s="3">
        <v>45855.0</v>
      </c>
      <c r="B11846" s="4">
        <v>0.2986111111111111</v>
      </c>
      <c r="C11846" s="5" t="s">
        <v>59</v>
      </c>
      <c r="D11846" s="5" t="s">
        <v>1635</v>
      </c>
      <c r="E11846" s="8" t="s">
        <v>624</v>
      </c>
      <c r="F11846" s="5" t="s">
        <v>133</v>
      </c>
      <c r="G11846" s="6" t="str">
        <f>VLOOKUP(E11846,dicionario!$A$1:$C12245,2,0)</f>
        <v>Euphonia violacea</v>
      </c>
      <c r="H11846" s="6" t="str">
        <f>VLOOKUP(E11846,dicionario!$A$1:$C12245,3,0)</f>
        <v>gaturamo-verdadeiro</v>
      </c>
    </row>
    <row r="11847">
      <c r="A11847" s="3">
        <v>45855.0</v>
      </c>
      <c r="B11847" s="4">
        <v>0.29930555555555555</v>
      </c>
      <c r="C11847" s="5" t="s">
        <v>59</v>
      </c>
      <c r="D11847" s="5" t="s">
        <v>1635</v>
      </c>
      <c r="E11847" s="6" t="s">
        <v>65</v>
      </c>
      <c r="F11847" s="5" t="s">
        <v>819</v>
      </c>
      <c r="G11847" s="6" t="str">
        <f>VLOOKUP(E11847,dicionario!$A$1:$C12246,2,0)</f>
        <v>Pitangus sulphutarus</v>
      </c>
      <c r="H11847" s="6" t="str">
        <f>VLOOKUP(E11847,dicionario!$A$1:$C12246,3,0)</f>
        <v>bem-te-vi</v>
      </c>
    </row>
    <row r="11848">
      <c r="A11848" s="3">
        <v>45855.0</v>
      </c>
      <c r="B11848" s="4">
        <v>0.29930555555555555</v>
      </c>
      <c r="C11848" s="5" t="s">
        <v>59</v>
      </c>
      <c r="D11848" s="5" t="s">
        <v>1635</v>
      </c>
      <c r="E11848" s="6" t="s">
        <v>141</v>
      </c>
      <c r="F11848" s="5" t="s">
        <v>875</v>
      </c>
      <c r="G11848" s="6" t="str">
        <f>VLOOKUP(E11848,dicionario!$A$1:$C12247,2,0)</f>
        <v>Ruellia blechum</v>
      </c>
      <c r="H11848" s="6" t="str">
        <f>VLOOKUP(E11848,dicionario!$A$1:$C12247,3,0)</f>
        <v>camarão-verde</v>
      </c>
    </row>
    <row r="11849">
      <c r="A11849" s="3">
        <v>45855.0</v>
      </c>
      <c r="B11849" s="4">
        <v>0.29930555555555555</v>
      </c>
      <c r="C11849" s="5" t="s">
        <v>59</v>
      </c>
      <c r="D11849" s="5" t="s">
        <v>1635</v>
      </c>
      <c r="E11849" s="8" t="s">
        <v>200</v>
      </c>
      <c r="F11849" s="5" t="s">
        <v>854</v>
      </c>
      <c r="G11849" s="6" t="str">
        <f>VLOOKUP(E11849,dicionario!$A$1:$C12248,2,0)</f>
        <v>Columbina picui </v>
      </c>
      <c r="H11849" s="6" t="str">
        <f>VLOOKUP(E11849,dicionario!$A$1:$C12248,3,0)</f>
        <v>rolinha-picuí</v>
      </c>
    </row>
    <row r="11850">
      <c r="A11850" s="3">
        <v>45855.0</v>
      </c>
      <c r="B11850" s="4">
        <v>0.29930555555555555</v>
      </c>
      <c r="C11850" s="5" t="s">
        <v>59</v>
      </c>
      <c r="D11850" s="5" t="s">
        <v>1635</v>
      </c>
      <c r="E11850" s="8" t="s">
        <v>909</v>
      </c>
      <c r="F11850" s="5" t="s">
        <v>1636</v>
      </c>
      <c r="G11850" s="6" t="str">
        <f>VLOOKUP(E11850,dicionario!$A$1:$C12249,2,0)</f>
        <v>Chordeiles acutipennis</v>
      </c>
      <c r="H11850" s="6" t="str">
        <f>VLOOKUP(E11850,dicionario!$A$1:$C12249,3,0)</f>
        <v>bacurau-de-asa-fina</v>
      </c>
    </row>
    <row r="11851">
      <c r="A11851" s="3">
        <v>45855.0</v>
      </c>
      <c r="B11851" s="4">
        <v>0.29930555555555555</v>
      </c>
      <c r="C11851" s="5" t="s">
        <v>59</v>
      </c>
      <c r="D11851" s="5" t="s">
        <v>1635</v>
      </c>
      <c r="E11851" s="6" t="s">
        <v>225</v>
      </c>
      <c r="F11851" s="5" t="s">
        <v>226</v>
      </c>
      <c r="G11851" s="6" t="str">
        <f>VLOOKUP(E11851,dicionario!$A$1:$C12250,2,0)</f>
        <v>Passer domesticus</v>
      </c>
      <c r="H11851" s="6" t="str">
        <f>VLOOKUP(E11851,dicionario!$A$1:$C12250,3,0)</f>
        <v>pardal</v>
      </c>
    </row>
    <row r="11852">
      <c r="A11852" s="3">
        <v>45855.0</v>
      </c>
      <c r="B11852" s="4">
        <v>0.3</v>
      </c>
      <c r="C11852" s="5" t="s">
        <v>59</v>
      </c>
      <c r="D11852" s="5" t="s">
        <v>1635</v>
      </c>
      <c r="E11852" s="6" t="s">
        <v>227</v>
      </c>
      <c r="F11852" s="5" t="s">
        <v>813</v>
      </c>
      <c r="G11852" s="6" t="str">
        <f>VLOOKUP(E11852,dicionario!$A$1:$C12251,2,0)</f>
        <v>Indigofera hirsuta</v>
      </c>
      <c r="H11852" s="6" t="str">
        <f>VLOOKUP(E11852,dicionario!$A$1:$C12251,3,0)</f>
        <v>anileira</v>
      </c>
    </row>
    <row r="11853">
      <c r="A11853" s="3">
        <v>45855.0</v>
      </c>
      <c r="B11853" s="4">
        <v>0.3</v>
      </c>
      <c r="C11853" s="5" t="s">
        <v>59</v>
      </c>
      <c r="D11853" s="5" t="s">
        <v>1635</v>
      </c>
      <c r="E11853" s="8" t="s">
        <v>88</v>
      </c>
      <c r="F11853" s="5" t="s">
        <v>1603</v>
      </c>
      <c r="G11853" s="6" t="str">
        <f>VLOOKUP(E11853,dicionario!$A$1:$C12252,2,0)</f>
        <v>Tyrannus melancolichus</v>
      </c>
      <c r="H11853" s="6" t="str">
        <f>VLOOKUP(E11853,dicionario!$A$1:$C12252,3,0)</f>
        <v>suiriri</v>
      </c>
    </row>
    <row r="11854">
      <c r="A11854" s="3">
        <v>45855.0</v>
      </c>
      <c r="B11854" s="4">
        <v>0.3</v>
      </c>
      <c r="C11854" s="5" t="s">
        <v>59</v>
      </c>
      <c r="D11854" s="5" t="s">
        <v>1635</v>
      </c>
      <c r="E11854" s="8" t="s">
        <v>1127</v>
      </c>
      <c r="F11854" s="5" t="s">
        <v>1286</v>
      </c>
      <c r="G11854" s="6" t="str">
        <f>VLOOKUP(E11854,dicionario!$A$1:$C12253,2,0)</f>
        <v>Albizia lebbeck</v>
      </c>
      <c r="H11854" s="6" t="str">
        <f>VLOOKUP(E11854,dicionario!$A$1:$C12253,3,0)</f>
        <v>albízia</v>
      </c>
    </row>
    <row r="11855">
      <c r="A11855" s="3">
        <v>45855.0</v>
      </c>
      <c r="B11855" s="4">
        <v>0.3</v>
      </c>
      <c r="C11855" s="5" t="s">
        <v>59</v>
      </c>
      <c r="D11855" s="5" t="s">
        <v>1635</v>
      </c>
      <c r="E11855" s="6" t="s">
        <v>22</v>
      </c>
      <c r="F11855" s="5" t="s">
        <v>776</v>
      </c>
      <c r="G11855" s="6" t="str">
        <f>VLOOKUP(E11855,dicionario!$A$1:$C12254,2,0)</f>
        <v>Zenaida auriculata</v>
      </c>
      <c r="H11855" s="6" t="str">
        <f>VLOOKUP(E11855,dicionario!$A$1:$C12254,3,0)</f>
        <v>pomba-de-bando; avoante</v>
      </c>
    </row>
    <row r="11856">
      <c r="A11856" s="3">
        <v>45855.0</v>
      </c>
      <c r="B11856" s="4">
        <v>0.3</v>
      </c>
      <c r="C11856" s="5" t="s">
        <v>59</v>
      </c>
      <c r="D11856" s="5" t="s">
        <v>1635</v>
      </c>
      <c r="E11856" s="6" t="s">
        <v>213</v>
      </c>
      <c r="F11856" s="5" t="s">
        <v>214</v>
      </c>
      <c r="G11856" s="6" t="str">
        <f>VLOOKUP(E11856,dicionario!$A$1:$C12255,2,0)</f>
        <v>Myiozetetes similis</v>
      </c>
      <c r="H11856" s="6" t="str">
        <f>VLOOKUP(E11856,dicionario!$A$1:$C12255,3,0)</f>
        <v>bentevizinho-de-penacho-vermelho</v>
      </c>
    </row>
    <row r="11857">
      <c r="A11857" s="3">
        <v>45855.0</v>
      </c>
      <c r="B11857" s="4">
        <v>0.3</v>
      </c>
      <c r="C11857" s="5" t="s">
        <v>59</v>
      </c>
      <c r="D11857" s="5" t="s">
        <v>1635</v>
      </c>
      <c r="E11857" s="8" t="s">
        <v>122</v>
      </c>
      <c r="F11857" s="5" t="s">
        <v>1582</v>
      </c>
      <c r="G11857" s="6" t="str">
        <f>VLOOKUP(E11857,dicionario!$A$1:$C12256,2,0)</f>
        <v>Todirostrum cinereum</v>
      </c>
      <c r="H11857" s="6" t="str">
        <f>VLOOKUP(E11857,dicionario!$A$1:$C12256,3,0)</f>
        <v>ferreirinho-relógio</v>
      </c>
    </row>
    <row r="11858">
      <c r="A11858" s="3">
        <v>45855.0</v>
      </c>
      <c r="B11858" s="4">
        <v>0.3</v>
      </c>
      <c r="C11858" s="5" t="s">
        <v>59</v>
      </c>
      <c r="D11858" s="5" t="s">
        <v>1635</v>
      </c>
      <c r="E11858" s="6" t="s">
        <v>113</v>
      </c>
      <c r="F11858" s="5" t="s">
        <v>820</v>
      </c>
      <c r="G11858" s="6" t="str">
        <f>VLOOKUP(E11858,dicionario!$A$1:$C12257,2,0)</f>
        <v>Columbina talpacoti</v>
      </c>
      <c r="H11858" s="6" t="str">
        <f>VLOOKUP(E11858,dicionario!$A$1:$C12257,3,0)</f>
        <v>rolinha-roxa</v>
      </c>
    </row>
    <row r="11859">
      <c r="A11859" s="3">
        <v>45855.0</v>
      </c>
      <c r="B11859" s="4">
        <v>0.30069444444444443</v>
      </c>
      <c r="C11859" s="5" t="s">
        <v>59</v>
      </c>
      <c r="D11859" s="5" t="s">
        <v>1635</v>
      </c>
      <c r="E11859" s="8" t="s">
        <v>69</v>
      </c>
      <c r="F11859" s="5" t="s">
        <v>1657</v>
      </c>
      <c r="G11859" s="6" t="str">
        <f>VLOOKUP(E11859,dicionario!$A$1:$C12258,2,0)</f>
        <v>Talinum fruticosum</v>
      </c>
      <c r="H11859" s="6" t="str">
        <f>VLOOKUP(E11859,dicionario!$A$1:$C12258,3,0)</f>
        <v>beldroega-grande</v>
      </c>
    </row>
    <row r="11860">
      <c r="A11860" s="3">
        <v>45855.0</v>
      </c>
      <c r="B11860" s="4">
        <v>0.30069444444444443</v>
      </c>
      <c r="C11860" s="5" t="s">
        <v>59</v>
      </c>
      <c r="D11860" s="5" t="s">
        <v>1635</v>
      </c>
      <c r="E11860" s="6" t="s">
        <v>514</v>
      </c>
      <c r="F11860" s="5" t="s">
        <v>1595</v>
      </c>
      <c r="G11860" s="6" t="str">
        <f>VLOOKUP(E11860,dicionario!$A$1:$C12259,2,0)</f>
        <v>Aedes aegypti</v>
      </c>
      <c r="H11860" s="6" t="str">
        <f>VLOOKUP(E11860,dicionario!$A$1:$C12259,3,0)</f>
        <v>mosquito-da-dengue</v>
      </c>
    </row>
    <row r="11861">
      <c r="A11861" s="3">
        <v>45855.0</v>
      </c>
      <c r="B11861" s="4">
        <v>0.3013888888888889</v>
      </c>
      <c r="C11861" s="5" t="s">
        <v>59</v>
      </c>
      <c r="D11861" s="5" t="s">
        <v>1635</v>
      </c>
      <c r="E11861" s="6" t="s">
        <v>43</v>
      </c>
      <c r="F11861" s="5" t="s">
        <v>1658</v>
      </c>
      <c r="G11861" s="6" t="str">
        <f>VLOOKUP(E11861,dicionario!$A$1:$C12260,2,0)</f>
        <v>Columba livia</v>
      </c>
      <c r="H11861" s="6" t="str">
        <f>VLOOKUP(E11861,dicionario!$A$1:$C12260,3,0)</f>
        <v>pombo-doméstico</v>
      </c>
    </row>
    <row r="11862">
      <c r="A11862" s="3">
        <v>45855.0</v>
      </c>
      <c r="B11862" s="4">
        <v>0.3013888888888889</v>
      </c>
      <c r="C11862" s="5" t="s">
        <v>59</v>
      </c>
      <c r="D11862" s="5" t="s">
        <v>1635</v>
      </c>
      <c r="E11862" s="6" t="s">
        <v>60</v>
      </c>
      <c r="F11862" s="5" t="s">
        <v>1659</v>
      </c>
      <c r="G11862" s="6" t="str">
        <f>VLOOKUP(E11862,dicionario!$A$1:$C12261,2,0)</f>
        <v>Vanellus chilensis</v>
      </c>
      <c r="H11862" s="6" t="str">
        <f>VLOOKUP(E11862,dicionario!$A$1:$C12261,3,0)</f>
        <v>quero-quero</v>
      </c>
    </row>
    <row r="11863">
      <c r="A11863" s="3">
        <v>45855.0</v>
      </c>
      <c r="B11863" s="4">
        <v>0.3013888888888889</v>
      </c>
      <c r="C11863" s="5" t="s">
        <v>59</v>
      </c>
      <c r="D11863" s="5" t="s">
        <v>1635</v>
      </c>
      <c r="E11863" s="8" t="s">
        <v>38</v>
      </c>
      <c r="F11863" s="5" t="s">
        <v>1251</v>
      </c>
      <c r="G11863" s="6" t="str">
        <f>VLOOKUP(E11863,dicionario!$A$1:$C12262,2,0)</f>
        <v>Troglodytes musculus</v>
      </c>
      <c r="H11863" s="6" t="str">
        <f>VLOOKUP(E11863,dicionario!$A$1:$C12262,3,0)</f>
        <v>curruíra</v>
      </c>
    </row>
    <row r="11864">
      <c r="A11864" s="3">
        <v>45855.0</v>
      </c>
      <c r="B11864" s="4">
        <v>0.3013888888888889</v>
      </c>
      <c r="C11864" s="5" t="s">
        <v>64</v>
      </c>
      <c r="D11864" s="5" t="s">
        <v>1635</v>
      </c>
      <c r="E11864" s="6" t="s">
        <v>251</v>
      </c>
      <c r="F11864" s="5" t="s">
        <v>873</v>
      </c>
      <c r="G11864" s="6" t="str">
        <f>VLOOKUP(E11864,dicionario!$A$1:$C12263,2,0)</f>
        <v>Struthanthus flexicaulis</v>
      </c>
      <c r="H11864" s="6" t="str">
        <f>VLOOKUP(E11864,dicionario!$A$1:$C12263,3,0)</f>
        <v>erva-de-passarinho</v>
      </c>
    </row>
    <row r="11865">
      <c r="A11865" s="3">
        <v>45855.0</v>
      </c>
      <c r="B11865" s="4">
        <v>0.3020833333333333</v>
      </c>
      <c r="C11865" s="5" t="s">
        <v>64</v>
      </c>
      <c r="D11865" s="5" t="s">
        <v>1635</v>
      </c>
      <c r="E11865" s="8" t="s">
        <v>109</v>
      </c>
      <c r="F11865" s="5" t="s">
        <v>777</v>
      </c>
      <c r="G11865" s="6" t="str">
        <f>VLOOKUP(E11865,dicionario!$A$1:$C12264,2,0)</f>
        <v>Tillandsia stricta</v>
      </c>
      <c r="H11865" s="6" t="str">
        <f>VLOOKUP(E11865,dicionario!$A$1:$C12264,3,0)</f>
        <v>cravo-do-mato</v>
      </c>
    </row>
    <row r="11866">
      <c r="A11866" s="3">
        <v>45855.0</v>
      </c>
      <c r="B11866" s="4">
        <v>0.30416666666666664</v>
      </c>
      <c r="C11866" s="5" t="s">
        <v>64</v>
      </c>
      <c r="D11866" s="5" t="s">
        <v>1635</v>
      </c>
      <c r="E11866" s="6" t="s">
        <v>65</v>
      </c>
      <c r="F11866" s="5" t="s">
        <v>819</v>
      </c>
      <c r="G11866" s="6" t="str">
        <f>VLOOKUP(E11866,dicionario!$A$1:$C12265,2,0)</f>
        <v>Pitangus sulphutarus</v>
      </c>
      <c r="H11866" s="6" t="str">
        <f>VLOOKUP(E11866,dicionario!$A$1:$C12265,3,0)</f>
        <v>bem-te-vi</v>
      </c>
    </row>
    <row r="11867">
      <c r="A11867" s="3">
        <v>45855.0</v>
      </c>
      <c r="B11867" s="4">
        <v>0.30416666666666664</v>
      </c>
      <c r="C11867" s="5" t="s">
        <v>64</v>
      </c>
      <c r="D11867" s="5" t="s">
        <v>1635</v>
      </c>
      <c r="E11867" s="8" t="s">
        <v>712</v>
      </c>
      <c r="F11867" s="5" t="s">
        <v>1602</v>
      </c>
      <c r="G11867" s="6" t="str">
        <f>VLOOKUP(E11867,dicionario!$A$1:$C12266,2,0)</f>
        <v>Flavopunctelia soredica</v>
      </c>
      <c r="H11867" s="6" t="str">
        <f>VLOOKUP(E11867,dicionario!$A$1:$C12266,3,0)</f>
        <v>líquen-folioso</v>
      </c>
    </row>
    <row r="11868">
      <c r="A11868" s="3">
        <v>45855.0</v>
      </c>
      <c r="B11868" s="4">
        <v>0.30486111111111114</v>
      </c>
      <c r="C11868" s="5" t="s">
        <v>64</v>
      </c>
      <c r="D11868" s="5" t="s">
        <v>1635</v>
      </c>
      <c r="E11868" s="8" t="s">
        <v>122</v>
      </c>
      <c r="F11868" s="5" t="s">
        <v>1593</v>
      </c>
      <c r="G11868" s="6" t="str">
        <f>VLOOKUP(E11868,dicionario!$A$1:$C12267,2,0)</f>
        <v>Todirostrum cinereum</v>
      </c>
      <c r="H11868" s="6" t="str">
        <f>VLOOKUP(E11868,dicionario!$A$1:$C12267,3,0)</f>
        <v>ferreirinho-relógio</v>
      </c>
    </row>
    <row r="11869">
      <c r="A11869" s="3">
        <v>45855.0</v>
      </c>
      <c r="B11869" s="4">
        <v>0.30486111111111114</v>
      </c>
      <c r="C11869" s="5" t="s">
        <v>64</v>
      </c>
      <c r="D11869" s="5" t="s">
        <v>1635</v>
      </c>
      <c r="E11869" s="8" t="s">
        <v>135</v>
      </c>
      <c r="F11869" s="5" t="s">
        <v>833</v>
      </c>
      <c r="G11869" s="6" t="str">
        <f>VLOOKUP(E11869,dicionario!$A$1:$C12268,2,0)</f>
        <v>Tridax procumbens</v>
      </c>
      <c r="H11869" s="6" t="str">
        <f>VLOOKUP(E11869,dicionario!$A$1:$C12268,3,0)</f>
        <v>erva-de-touro</v>
      </c>
    </row>
    <row r="11870">
      <c r="A11870" s="3">
        <v>45855.0</v>
      </c>
      <c r="B11870" s="4">
        <v>0.30486111111111114</v>
      </c>
      <c r="C11870" s="5" t="s">
        <v>64</v>
      </c>
      <c r="D11870" s="5" t="s">
        <v>1635</v>
      </c>
      <c r="E11870" s="6" t="s">
        <v>171</v>
      </c>
      <c r="F11870" s="5" t="s">
        <v>766</v>
      </c>
      <c r="G11870" s="6" t="str">
        <f>VLOOKUP(E11870,dicionario!$A$1:$C12269,2,0)</f>
        <v>Oxalis corniculata</v>
      </c>
      <c r="H11870" s="6" t="str">
        <f>VLOOKUP(E11870,dicionario!$A$1:$C12269,3,0)</f>
        <v>trevo-azedinho</v>
      </c>
    </row>
    <row r="11871">
      <c r="A11871" s="3">
        <v>45855.0</v>
      </c>
      <c r="B11871" s="4">
        <v>0.30486111111111114</v>
      </c>
      <c r="C11871" s="5" t="s">
        <v>64</v>
      </c>
      <c r="D11871" s="5" t="s">
        <v>1635</v>
      </c>
      <c r="E11871" s="6" t="s">
        <v>288</v>
      </c>
      <c r="F11871" s="5" t="s">
        <v>1660</v>
      </c>
      <c r="G11871" s="6" t="str">
        <f>VLOOKUP(E11871,dicionario!$A$1:$C12270,2,0)</f>
        <v>Phyllanthus tenellus</v>
      </c>
      <c r="H11871" s="6" t="str">
        <f>VLOOKUP(E11871,dicionario!$A$1:$C12270,3,0)</f>
        <v>quebra-pedra</v>
      </c>
    </row>
    <row r="11872">
      <c r="A11872" s="3">
        <v>45855.0</v>
      </c>
      <c r="B11872" s="4">
        <v>0.30486111111111114</v>
      </c>
      <c r="C11872" s="5" t="s">
        <v>64</v>
      </c>
      <c r="D11872" s="5" t="s">
        <v>1635</v>
      </c>
      <c r="E11872" s="8" t="s">
        <v>1661</v>
      </c>
      <c r="F11872" s="5" t="s">
        <v>1662</v>
      </c>
      <c r="G11872" s="6" t="str">
        <f>VLOOKUP(E11872,dicionario!$A$1:$C12271,2,0)</f>
        <v>#N/A</v>
      </c>
      <c r="H11872" s="6" t="str">
        <f>VLOOKUP(E11872,dicionario!$A$1:$C12271,3,0)</f>
        <v>#N/A</v>
      </c>
    </row>
    <row r="11873">
      <c r="A11873" s="3">
        <v>45855.0</v>
      </c>
      <c r="B11873" s="4">
        <v>0.30486111111111114</v>
      </c>
      <c r="C11873" s="5" t="s">
        <v>64</v>
      </c>
      <c r="D11873" s="5" t="s">
        <v>1635</v>
      </c>
      <c r="E11873" s="8" t="s">
        <v>271</v>
      </c>
      <c r="F11873" s="5" t="s">
        <v>1575</v>
      </c>
      <c r="G11873" s="6" t="str">
        <f>VLOOKUP(E11873,dicionario!$A$1:$C12272,2,0)</f>
        <v>Cyanthillium cinereum</v>
      </c>
      <c r="H11873" s="6" t="str">
        <f>VLOOKUP(E11873,dicionario!$A$1:$C12272,3,0)</f>
        <v>emília</v>
      </c>
    </row>
    <row r="11874">
      <c r="A11874" s="3">
        <v>45855.0</v>
      </c>
      <c r="B11874" s="4">
        <v>0.3055555555555556</v>
      </c>
      <c r="C11874" s="5" t="s">
        <v>64</v>
      </c>
      <c r="D11874" s="5" t="s">
        <v>1635</v>
      </c>
      <c r="E11874" s="6" t="s">
        <v>150</v>
      </c>
      <c r="F11874" s="5" t="s">
        <v>1663</v>
      </c>
      <c r="G11874" s="6" t="str">
        <f>VLOOKUP(E11874,dicionario!$A$1:$C12273,2,0)</f>
        <v>Amaranthus viridis</v>
      </c>
      <c r="H11874" s="6" t="str">
        <f>VLOOKUP(E11874,dicionario!$A$1:$C12273,3,0)</f>
        <v>caruru-de-mancha</v>
      </c>
    </row>
    <row r="11875">
      <c r="A11875" s="3">
        <v>45855.0</v>
      </c>
      <c r="B11875" s="4">
        <v>0.3055555555555556</v>
      </c>
      <c r="C11875" s="5" t="s">
        <v>64</v>
      </c>
      <c r="D11875" s="5" t="s">
        <v>1635</v>
      </c>
      <c r="E11875" s="6" t="s">
        <v>195</v>
      </c>
      <c r="F11875" s="5" t="s">
        <v>679</v>
      </c>
      <c r="G11875" s="6" t="str">
        <f>VLOOKUP(E11875,dicionario!$A$1:$C12274,2,0)</f>
        <v>Priva lappulacea</v>
      </c>
      <c r="H11875" s="6" t="str">
        <f>VLOOKUP(E11875,dicionario!$A$1:$C12274,3,0)</f>
        <v>carrapicho</v>
      </c>
    </row>
    <row r="11876">
      <c r="A11876" s="3">
        <v>45855.0</v>
      </c>
      <c r="B11876" s="4">
        <v>0.3055555555555556</v>
      </c>
      <c r="C11876" s="5" t="s">
        <v>64</v>
      </c>
      <c r="D11876" s="5" t="s">
        <v>1635</v>
      </c>
      <c r="E11876" s="6" t="s">
        <v>247</v>
      </c>
      <c r="F11876" s="5" t="s">
        <v>1664</v>
      </c>
      <c r="G11876" s="6" t="str">
        <f>VLOOKUP(E11876,dicionario!$A$1:$C12275,2,0)</f>
        <v>Emilia sonchifolia</v>
      </c>
      <c r="H11876" s="6" t="str">
        <f>VLOOKUP(E11876,dicionario!$A$1:$C12275,3,0)</f>
        <v>serralinha</v>
      </c>
    </row>
    <row r="11877">
      <c r="A11877" s="3">
        <v>45855.0</v>
      </c>
      <c r="B11877" s="4">
        <v>0.3055555555555556</v>
      </c>
      <c r="C11877" s="5" t="s">
        <v>64</v>
      </c>
      <c r="D11877" s="5" t="s">
        <v>1635</v>
      </c>
      <c r="E11877" s="6" t="s">
        <v>267</v>
      </c>
      <c r="F11877" s="5" t="s">
        <v>765</v>
      </c>
      <c r="G11877" s="6" t="str">
        <f>VLOOKUP(E11877,dicionario!$A$1:$C12276,2,0)</f>
        <v>Solanum americanum</v>
      </c>
      <c r="H11877" s="6" t="str">
        <f>VLOOKUP(E11877,dicionario!$A$1:$C12276,3,0)</f>
        <v>maria-pretinha</v>
      </c>
    </row>
    <row r="11878">
      <c r="A11878" s="3">
        <v>45855.0</v>
      </c>
      <c r="B11878" s="4">
        <v>0.3055555555555556</v>
      </c>
      <c r="C11878" s="5" t="s">
        <v>64</v>
      </c>
      <c r="D11878" s="5" t="s">
        <v>1635</v>
      </c>
      <c r="E11878" s="8" t="s">
        <v>154</v>
      </c>
      <c r="F11878" s="5" t="s">
        <v>1585</v>
      </c>
      <c r="G11878" s="6" t="str">
        <f>VLOOKUP(E11878,dicionario!$A$1:$C12277,2,0)</f>
        <v>Cyperus rotundus</v>
      </c>
      <c r="H11878" s="6" t="str">
        <f>VLOOKUP(E11878,dicionario!$A$1:$C12277,3,0)</f>
        <v>tiririca</v>
      </c>
    </row>
    <row r="11879">
      <c r="A11879" s="3">
        <v>45855.0</v>
      </c>
      <c r="B11879" s="4">
        <v>0.30625</v>
      </c>
      <c r="C11879" s="5" t="s">
        <v>64</v>
      </c>
      <c r="D11879" s="5" t="s">
        <v>1635</v>
      </c>
      <c r="E11879" s="6" t="s">
        <v>83</v>
      </c>
      <c r="F11879" s="5" t="s">
        <v>84</v>
      </c>
      <c r="G11879" s="6" t="str">
        <f>VLOOKUP(E11879,dicionario!$A$1:$C12278,2,0)</f>
        <v>Anartia jatrophae</v>
      </c>
      <c r="H11879" s="6" t="str">
        <f>VLOOKUP(E11879,dicionario!$A$1:$C12278,3,0)</f>
        <v>borboleta-pavão-branco</v>
      </c>
    </row>
    <row r="11880">
      <c r="A11880" s="3">
        <v>45855.0</v>
      </c>
      <c r="B11880" s="4">
        <v>0.30625</v>
      </c>
      <c r="C11880" s="5" t="s">
        <v>64</v>
      </c>
      <c r="D11880" s="5" t="s">
        <v>1635</v>
      </c>
      <c r="E11880" s="6" t="s">
        <v>498</v>
      </c>
      <c r="F11880" s="5" t="s">
        <v>1629</v>
      </c>
      <c r="G11880" s="6" t="str">
        <f>VLOOKUP(E11880,dicionario!$A$1:$C12279,2,0)</f>
        <v>Brachiaria decumbens</v>
      </c>
      <c r="H11880" s="6" t="str">
        <f>VLOOKUP(E11880,dicionario!$A$1:$C12279,3,0)</f>
        <v>capim-braquiária</v>
      </c>
    </row>
    <row r="11881">
      <c r="A11881" s="3">
        <v>45855.0</v>
      </c>
      <c r="B11881" s="4">
        <v>0.30625</v>
      </c>
      <c r="C11881" s="5" t="s">
        <v>64</v>
      </c>
      <c r="D11881" s="5" t="s">
        <v>1635</v>
      </c>
      <c r="E11881" s="6" t="s">
        <v>148</v>
      </c>
      <c r="F11881" s="5" t="s">
        <v>149</v>
      </c>
      <c r="G11881" s="6" t="str">
        <f>VLOOKUP(E11881,dicionario!$A$1:$C12280,2,0)</f>
        <v>Parthenium hysterophorus</v>
      </c>
      <c r="H11881" s="6" t="str">
        <f>VLOOKUP(E11881,dicionario!$A$1:$C12280,3,0)</f>
        <v>losna-branca</v>
      </c>
    </row>
    <row r="11882">
      <c r="A11882" s="3">
        <v>45855.0</v>
      </c>
      <c r="B11882" s="4">
        <v>0.30694444444444446</v>
      </c>
      <c r="C11882" s="5" t="s">
        <v>76</v>
      </c>
      <c r="D11882" s="5" t="s">
        <v>1635</v>
      </c>
      <c r="E11882" s="6" t="s">
        <v>606</v>
      </c>
      <c r="F11882" s="5" t="s">
        <v>853</v>
      </c>
      <c r="G11882" s="6" t="str">
        <f>VLOOKUP(E11882,dicionario!$A$1:$C12281,2,0)</f>
        <v>Elaenia spectabilis</v>
      </c>
      <c r="H11882" s="6" t="str">
        <f>VLOOKUP(E11882,dicionario!$A$1:$C12281,3,0)</f>
        <v>guaracava-grande</v>
      </c>
    </row>
    <row r="11883">
      <c r="A11883" s="3">
        <v>45855.0</v>
      </c>
      <c r="B11883" s="4">
        <v>0.30694444444444446</v>
      </c>
      <c r="C11883" s="5" t="s">
        <v>76</v>
      </c>
      <c r="D11883" s="5" t="s">
        <v>1635</v>
      </c>
      <c r="E11883" s="6" t="s">
        <v>111</v>
      </c>
      <c r="F11883" s="5" t="s">
        <v>112</v>
      </c>
      <c r="G11883" s="6" t="str">
        <f>VLOOKUP(E11883,dicionario!$A$1:$C12282,2,0)</f>
        <v>Trigona spinipes</v>
      </c>
      <c r="H11883" s="6" t="str">
        <f>VLOOKUP(E11883,dicionario!$A$1:$C12282,3,0)</f>
        <v>abelha-cachorro</v>
      </c>
    </row>
    <row r="11884">
      <c r="A11884" s="3">
        <v>45855.0</v>
      </c>
      <c r="B11884" s="4">
        <v>0.30694444444444446</v>
      </c>
      <c r="C11884" s="5" t="s">
        <v>76</v>
      </c>
      <c r="D11884" s="5" t="s">
        <v>1635</v>
      </c>
      <c r="E11884" s="6" t="s">
        <v>229</v>
      </c>
      <c r="F11884" s="5" t="s">
        <v>230</v>
      </c>
      <c r="G11884" s="6" t="str">
        <f>VLOOKUP(E11884,dicionario!$A$1:$C12283,2,0)</f>
        <v>Apis mellifera</v>
      </c>
      <c r="H11884" s="6" t="str">
        <f>VLOOKUP(E11884,dicionario!$A$1:$C12283,3,0)</f>
        <v>abelha-do-mel</v>
      </c>
    </row>
    <row r="11885">
      <c r="A11885" s="3">
        <v>45855.0</v>
      </c>
      <c r="B11885" s="4">
        <v>0.30694444444444446</v>
      </c>
      <c r="C11885" s="5" t="s">
        <v>76</v>
      </c>
      <c r="D11885" s="5" t="s">
        <v>1635</v>
      </c>
      <c r="E11885" s="6" t="s">
        <v>65</v>
      </c>
      <c r="F11885" s="5" t="s">
        <v>819</v>
      </c>
      <c r="G11885" s="6" t="str">
        <f>VLOOKUP(E11885,dicionario!$A$1:$C12284,2,0)</f>
        <v>Pitangus sulphutarus</v>
      </c>
      <c r="H11885" s="6" t="str">
        <f>VLOOKUP(E11885,dicionario!$A$1:$C12284,3,0)</f>
        <v>bem-te-vi</v>
      </c>
    </row>
    <row r="11886">
      <c r="A11886" s="3">
        <v>45855.0</v>
      </c>
      <c r="B11886" s="4">
        <v>0.3076388888888889</v>
      </c>
      <c r="C11886" s="5" t="s">
        <v>76</v>
      </c>
      <c r="D11886" s="5" t="s">
        <v>1635</v>
      </c>
      <c r="E11886" s="8" t="s">
        <v>346</v>
      </c>
      <c r="F11886" s="5" t="s">
        <v>1665</v>
      </c>
      <c r="G11886" s="6" t="str">
        <f>VLOOKUP(E11886,dicionario!$A$1:$C12285,2,0)</f>
        <v>#N/A</v>
      </c>
      <c r="H11886" s="6" t="str">
        <f>VLOOKUP(E11886,dicionario!$A$1:$C12285,3,0)</f>
        <v>#N/A</v>
      </c>
    </row>
    <row r="11887">
      <c r="A11887" s="3">
        <v>45855.0</v>
      </c>
      <c r="B11887" s="4">
        <v>0.3076388888888889</v>
      </c>
      <c r="C11887" s="5" t="s">
        <v>76</v>
      </c>
      <c r="D11887" s="5" t="s">
        <v>1635</v>
      </c>
      <c r="E11887" s="6" t="s">
        <v>448</v>
      </c>
      <c r="F11887" s="5" t="s">
        <v>462</v>
      </c>
      <c r="G11887" s="6" t="str">
        <f>VLOOKUP(E11887,dicionario!$A$1:$C12286,2,0)</f>
        <v>Mechanitis polymnia</v>
      </c>
      <c r="H11887" s="6" t="str">
        <f>VLOOKUP(E11887,dicionario!$A$1:$C12286,3,0)</f>
        <v>maria-boba</v>
      </c>
    </row>
    <row r="11888">
      <c r="A11888" s="3">
        <v>45855.0</v>
      </c>
      <c r="B11888" s="4">
        <v>0.3076388888888889</v>
      </c>
      <c r="C11888" s="5" t="s">
        <v>76</v>
      </c>
      <c r="D11888" s="5" t="s">
        <v>1635</v>
      </c>
      <c r="E11888" s="8" t="s">
        <v>20</v>
      </c>
      <c r="F11888" s="5" t="s">
        <v>1637</v>
      </c>
      <c r="G11888" s="6" t="str">
        <f>VLOOKUP(E11888,dicionario!$A$1:$C12287,2,0)</f>
        <v>Sicalis flaveola</v>
      </c>
      <c r="H11888" s="6" t="str">
        <f>VLOOKUP(E11888,dicionario!$A$1:$C12287,3,0)</f>
        <v>canário-da-terra</v>
      </c>
    </row>
    <row r="11889">
      <c r="A11889" s="3">
        <v>45855.0</v>
      </c>
      <c r="B11889" s="4">
        <v>0.30833333333333335</v>
      </c>
      <c r="C11889" s="5" t="s">
        <v>76</v>
      </c>
      <c r="D11889" s="5" t="s">
        <v>1635</v>
      </c>
      <c r="E11889" s="6" t="s">
        <v>51</v>
      </c>
      <c r="F11889" s="5" t="s">
        <v>77</v>
      </c>
      <c r="G11889" s="6" t="str">
        <f>VLOOKUP(E11889,dicionario!$A$1:$C12288,2,0)</f>
        <v>Solenopsis</v>
      </c>
      <c r="H11889" s="6" t="str">
        <f>VLOOKUP(E11889,dicionario!$A$1:$C12288,3,0)</f>
        <v>formiga-quente; formiga-lava-pés; formiga-de-fogo</v>
      </c>
    </row>
    <row r="11890">
      <c r="A11890" s="3">
        <v>45855.0</v>
      </c>
      <c r="B11890" s="4">
        <v>0.30833333333333335</v>
      </c>
      <c r="C11890" s="5" t="s">
        <v>76</v>
      </c>
      <c r="D11890" s="5" t="s">
        <v>1635</v>
      </c>
      <c r="E11890" s="8" t="s">
        <v>1462</v>
      </c>
      <c r="F11890" s="5" t="s">
        <v>1666</v>
      </c>
      <c r="G11890" s="6" t="str">
        <f>VLOOKUP(E11890,dicionario!$A$1:$C12289,2,0)</f>
        <v>Primolius maracana</v>
      </c>
      <c r="H11890" s="6" t="str">
        <f>VLOOKUP(E11890,dicionario!$A$1:$C12289,3,0)</f>
        <v>maracanã</v>
      </c>
    </row>
    <row r="11891">
      <c r="A11891" s="3">
        <v>45855.0</v>
      </c>
      <c r="B11891" s="4">
        <v>0.3159722222222222</v>
      </c>
      <c r="C11891" s="5" t="s">
        <v>76</v>
      </c>
      <c r="D11891" s="5" t="s">
        <v>1635</v>
      </c>
      <c r="E11891" s="8" t="s">
        <v>271</v>
      </c>
      <c r="F11891" s="5" t="s">
        <v>1575</v>
      </c>
      <c r="G11891" s="6" t="str">
        <f>VLOOKUP(E11891,dicionario!$A$1:$C12290,2,0)</f>
        <v>Cyanthillium cinereum</v>
      </c>
      <c r="H11891" s="6" t="str">
        <f>VLOOKUP(E11891,dicionario!$A$1:$C12290,3,0)</f>
        <v>emília</v>
      </c>
    </row>
    <row r="11892">
      <c r="A11892" s="3">
        <v>45855.0</v>
      </c>
      <c r="B11892" s="4">
        <v>0.3159722222222222</v>
      </c>
      <c r="C11892" s="5" t="s">
        <v>76</v>
      </c>
      <c r="D11892" s="5" t="s">
        <v>1635</v>
      </c>
      <c r="E11892" s="6" t="s">
        <v>467</v>
      </c>
      <c r="F11892" s="5" t="s">
        <v>1643</v>
      </c>
      <c r="G11892" s="6" t="str">
        <f>VLOOKUP(E11892,dicionario!$A$1:$C12291,2,0)</f>
        <v>Eleusine indica</v>
      </c>
      <c r="H11892" s="6" t="str">
        <f>VLOOKUP(E11892,dicionario!$A$1:$C12291,3,0)</f>
        <v>capim-pé-de-galinha</v>
      </c>
    </row>
    <row r="11893">
      <c r="A11893" s="3">
        <v>45855.0</v>
      </c>
      <c r="B11893" s="4">
        <v>0.3159722222222222</v>
      </c>
      <c r="C11893" s="5" t="s">
        <v>76</v>
      </c>
      <c r="D11893" s="5" t="s">
        <v>1635</v>
      </c>
      <c r="E11893" s="6" t="s">
        <v>286</v>
      </c>
      <c r="F11893" s="5" t="s">
        <v>781</v>
      </c>
      <c r="G11893" s="6" t="str">
        <f>VLOOKUP(E11893,dicionario!$A$1:$C12292,2,0)</f>
        <v>Setaria parviflora</v>
      </c>
      <c r="H11893" s="6" t="str">
        <f>VLOOKUP(E11893,dicionario!$A$1:$C12292,3,0)</f>
        <v>capim-rabo-de-raposa</v>
      </c>
    </row>
    <row r="11894">
      <c r="A11894" s="3">
        <v>45855.0</v>
      </c>
      <c r="B11894" s="4">
        <v>0.3159722222222222</v>
      </c>
      <c r="C11894" s="5" t="s">
        <v>76</v>
      </c>
      <c r="D11894" s="5" t="s">
        <v>1635</v>
      </c>
      <c r="E11894" s="8" t="s">
        <v>135</v>
      </c>
      <c r="F11894" s="5" t="s">
        <v>833</v>
      </c>
      <c r="G11894" s="6" t="str">
        <f>VLOOKUP(E11894,dicionario!$A$1:$C12293,2,0)</f>
        <v>Tridax procumbens</v>
      </c>
      <c r="H11894" s="6" t="str">
        <f>VLOOKUP(E11894,dicionario!$A$1:$C12293,3,0)</f>
        <v>erva-de-touro</v>
      </c>
    </row>
    <row r="11895">
      <c r="A11895" s="3">
        <v>45855.0</v>
      </c>
      <c r="B11895" s="4">
        <v>0.31666666666666665</v>
      </c>
      <c r="C11895" s="5" t="s">
        <v>76</v>
      </c>
      <c r="D11895" s="5" t="s">
        <v>1635</v>
      </c>
      <c r="E11895" s="6" t="s">
        <v>355</v>
      </c>
      <c r="F11895" s="5" t="s">
        <v>1655</v>
      </c>
      <c r="G11895" s="6" t="str">
        <f>VLOOKUP(E11895,dicionario!$A$1:$C12294,2,0)</f>
        <v>Boerhavia diffusa</v>
      </c>
      <c r="H11895" s="6" t="str">
        <f>VLOOKUP(E11895,dicionario!$A$1:$C12294,3,0)</f>
        <v>erva-tostão</v>
      </c>
    </row>
    <row r="11896">
      <c r="A11896" s="3">
        <v>45855.0</v>
      </c>
      <c r="B11896" s="4">
        <v>0.31666666666666665</v>
      </c>
      <c r="C11896" s="5" t="s">
        <v>76</v>
      </c>
      <c r="D11896" s="5" t="s">
        <v>1635</v>
      </c>
      <c r="E11896" s="6" t="s">
        <v>144</v>
      </c>
      <c r="F11896" s="5" t="s">
        <v>145</v>
      </c>
      <c r="G11896" s="6" t="str">
        <f>VLOOKUP(E11896,dicionario!$A$1:$C12295,2,0)</f>
        <v>Gomphrena globosa</v>
      </c>
      <c r="H11896" s="6" t="str">
        <f>VLOOKUP(E11896,dicionario!$A$1:$C12295,3,0)</f>
        <v>perpétua-rosa</v>
      </c>
    </row>
    <row r="11897">
      <c r="A11897" s="3">
        <v>45855.0</v>
      </c>
      <c r="B11897" s="4">
        <v>0.31666666666666665</v>
      </c>
      <c r="C11897" s="5" t="s">
        <v>76</v>
      </c>
      <c r="D11897" s="5" t="s">
        <v>1635</v>
      </c>
      <c r="E11897" s="8" t="s">
        <v>239</v>
      </c>
      <c r="F11897" s="5" t="s">
        <v>816</v>
      </c>
      <c r="G11897" s="6" t="str">
        <f>VLOOKUP(E11897,dicionario!$A$1:$C12296,2,0)</f>
        <v>Gomphrena celosioides</v>
      </c>
      <c r="H11897" s="6" t="str">
        <f>VLOOKUP(E11897,dicionario!$A$1:$C12296,3,0)</f>
        <v>perpétua-branca</v>
      </c>
    </row>
    <row r="11898">
      <c r="A11898" s="3">
        <v>45855.0</v>
      </c>
      <c r="B11898" s="4">
        <v>0.31666666666666665</v>
      </c>
      <c r="C11898" s="5" t="s">
        <v>76</v>
      </c>
      <c r="D11898" s="5" t="s">
        <v>1635</v>
      </c>
      <c r="E11898" s="8" t="s">
        <v>298</v>
      </c>
      <c r="F11898" s="5"/>
      <c r="G11898" s="6" t="str">
        <f>VLOOKUP(E11898,dicionario!$A$1:$C12297,2,0)</f>
        <v>Alysicarpus vaginalis</v>
      </c>
      <c r="H11898" s="6" t="str">
        <f>VLOOKUP(E11898,dicionario!$A$1:$C12297,3,0)</f>
        <v/>
      </c>
    </row>
    <row r="11899">
      <c r="A11899" s="3">
        <v>45855.0</v>
      </c>
      <c r="B11899" s="4">
        <v>0.31666666666666665</v>
      </c>
      <c r="C11899" s="5" t="s">
        <v>76</v>
      </c>
      <c r="D11899" s="5" t="s">
        <v>1635</v>
      </c>
      <c r="E11899" s="72" t="s">
        <v>1087</v>
      </c>
      <c r="F11899" s="5" t="s">
        <v>1088</v>
      </c>
      <c r="G11899" s="6" t="str">
        <f>VLOOKUP(E11899,dicionario!$A$1:$C12298,2,0)</f>
        <v>Desmodium triflorum</v>
      </c>
      <c r="H11899" s="6" t="str">
        <f>VLOOKUP(E11899,dicionario!$A$1:$C12298,3,0)</f>
        <v/>
      </c>
    </row>
    <row r="11900">
      <c r="A11900" s="3">
        <v>45855.0</v>
      </c>
      <c r="B11900" s="4">
        <v>0.3173611111111111</v>
      </c>
      <c r="C11900" s="5" t="s">
        <v>76</v>
      </c>
      <c r="D11900" s="5" t="s">
        <v>1635</v>
      </c>
      <c r="E11900" s="6" t="s">
        <v>353</v>
      </c>
      <c r="F11900" s="5" t="s">
        <v>1667</v>
      </c>
      <c r="G11900" s="6" t="str">
        <f>VLOOKUP(E11900,dicionario!$A$1:$C12299,2,0)</f>
        <v>Desmodium incanum</v>
      </c>
      <c r="H11900" s="6" t="str">
        <f>VLOOKUP(E11900,dicionario!$A$1:$C12299,3,0)</f>
        <v>pega-pega</v>
      </c>
    </row>
    <row r="11901">
      <c r="A11901" s="3">
        <v>45855.0</v>
      </c>
      <c r="B11901" s="4">
        <v>0.3173611111111111</v>
      </c>
      <c r="C11901" s="5" t="s">
        <v>76</v>
      </c>
      <c r="D11901" s="5" t="s">
        <v>1635</v>
      </c>
      <c r="E11901" s="6" t="s">
        <v>227</v>
      </c>
      <c r="F11901" s="5" t="s">
        <v>813</v>
      </c>
      <c r="G11901" s="6" t="str">
        <f>VLOOKUP(E11901,dicionario!$A$1:$C12300,2,0)</f>
        <v>Indigofera hirsuta</v>
      </c>
      <c r="H11901" s="6" t="str">
        <f>VLOOKUP(E11901,dicionario!$A$1:$C12300,3,0)</f>
        <v>anileira</v>
      </c>
    </row>
    <row r="11902">
      <c r="A11902" s="3">
        <v>45855.0</v>
      </c>
      <c r="B11902" s="4">
        <v>0.3173611111111111</v>
      </c>
      <c r="C11902" s="5" t="s">
        <v>76</v>
      </c>
      <c r="D11902" s="5" t="s">
        <v>1635</v>
      </c>
      <c r="E11902" s="11" t="s">
        <v>1524</v>
      </c>
      <c r="F11902" s="5" t="s">
        <v>1525</v>
      </c>
      <c r="G11902" s="6" t="str">
        <f>VLOOKUP(E11902,dicionario!$A$1:$C12301,2,0)</f>
        <v>Tolmomyias flaviventris</v>
      </c>
      <c r="H11902" s="6" t="str">
        <f>VLOOKUP(E11902,dicionario!$A$1:$C12301,3,0)</f>
        <v>bico-chato-amarelo</v>
      </c>
    </row>
    <row r="11903">
      <c r="A11903" s="3">
        <v>45855.0</v>
      </c>
      <c r="B11903" s="4">
        <v>0.3173611111111111</v>
      </c>
      <c r="C11903" s="5" t="s">
        <v>76</v>
      </c>
      <c r="D11903" s="5" t="s">
        <v>1635</v>
      </c>
      <c r="E11903" s="6" t="s">
        <v>256</v>
      </c>
      <c r="F11903" s="5" t="s">
        <v>257</v>
      </c>
      <c r="G11903" s="6" t="str">
        <f>VLOOKUP(E11903,dicionario!$A$1:$C12302,2,0)</f>
        <v>Youngia japonica</v>
      </c>
      <c r="H11903" s="6" t="str">
        <f>VLOOKUP(E11903,dicionario!$A$1:$C12302,3,0)</f>
        <v>barba-de-falcão</v>
      </c>
    </row>
    <row r="11904">
      <c r="A11904" s="3">
        <v>45855.0</v>
      </c>
      <c r="B11904" s="4">
        <v>0.31805555555555554</v>
      </c>
      <c r="C11904" s="5" t="s">
        <v>76</v>
      </c>
      <c r="D11904" s="5" t="s">
        <v>1635</v>
      </c>
      <c r="E11904" s="6" t="s">
        <v>290</v>
      </c>
      <c r="F11904" s="5" t="s">
        <v>291</v>
      </c>
      <c r="G11904" s="6" t="str">
        <f>VLOOKUP(E11904,dicionario!$A$1:$C12303,2,0)</f>
        <v>Drymaria cordata</v>
      </c>
      <c r="H11904" s="6" t="str">
        <f>VLOOKUP(E11904,dicionario!$A$1:$C12303,3,0)</f>
        <v>orelha-de-rato</v>
      </c>
    </row>
    <row r="11905">
      <c r="A11905" s="3">
        <v>45855.0</v>
      </c>
      <c r="B11905" s="4">
        <v>0.31805555555555554</v>
      </c>
      <c r="C11905" s="5" t="s">
        <v>76</v>
      </c>
      <c r="D11905" s="5" t="s">
        <v>1635</v>
      </c>
      <c r="E11905" s="6" t="s">
        <v>267</v>
      </c>
      <c r="F11905" s="5" t="s">
        <v>553</v>
      </c>
      <c r="G11905" s="6" t="str">
        <f>VLOOKUP(E11905,dicionario!$A$1:$C12304,2,0)</f>
        <v>Solanum americanum</v>
      </c>
      <c r="H11905" s="6" t="str">
        <f>VLOOKUP(E11905,dicionario!$A$1:$C12304,3,0)</f>
        <v>maria-pretinha</v>
      </c>
    </row>
    <row r="11906">
      <c r="A11906" s="3">
        <v>45855.0</v>
      </c>
      <c r="B11906" s="4">
        <v>0.31805555555555554</v>
      </c>
      <c r="C11906" s="5" t="s">
        <v>76</v>
      </c>
      <c r="D11906" s="5" t="s">
        <v>1635</v>
      </c>
      <c r="E11906" s="6" t="s">
        <v>193</v>
      </c>
      <c r="F11906" s="5" t="s">
        <v>894</v>
      </c>
      <c r="G11906" s="6" t="str">
        <f>VLOOKUP(E11906,dicionario!$A$1:$C12305,2,0)</f>
        <v>Conirostrum speciosum</v>
      </c>
      <c r="H11906" s="6" t="str">
        <f>VLOOKUP(E11906,dicionario!$A$1:$C12305,3,0)</f>
        <v>figuinha-de-rabo-castanho</v>
      </c>
    </row>
    <row r="11907">
      <c r="A11907" s="3">
        <v>45855.0</v>
      </c>
      <c r="B11907" s="4">
        <v>0.31875</v>
      </c>
      <c r="C11907" s="5" t="s">
        <v>76</v>
      </c>
      <c r="D11907" s="5" t="s">
        <v>1635</v>
      </c>
      <c r="E11907" s="6" t="s">
        <v>141</v>
      </c>
      <c r="F11907" s="5" t="s">
        <v>875</v>
      </c>
      <c r="G11907" s="6" t="str">
        <f>VLOOKUP(E11907,dicionario!$A$1:$C12306,2,0)</f>
        <v>Ruellia blechum</v>
      </c>
      <c r="H11907" s="6" t="str">
        <f>VLOOKUP(E11907,dicionario!$A$1:$C12306,3,0)</f>
        <v>camarão-verde</v>
      </c>
    </row>
    <row r="11908">
      <c r="A11908" s="3">
        <v>45855.0</v>
      </c>
      <c r="B11908" s="4">
        <v>0.31875</v>
      </c>
      <c r="C11908" s="5" t="s">
        <v>76</v>
      </c>
      <c r="D11908" s="5" t="s">
        <v>1635</v>
      </c>
      <c r="E11908" s="8" t="s">
        <v>16</v>
      </c>
      <c r="F11908" s="5" t="s">
        <v>1641</v>
      </c>
      <c r="G11908" s="6" t="str">
        <f>VLOOKUP(E11908,dicionario!$A$1:$C12307,2,0)</f>
        <v>Eupetomena macroura</v>
      </c>
      <c r="H11908" s="6" t="str">
        <f>VLOOKUP(E11908,dicionario!$A$1:$C12307,3,0)</f>
        <v>beija-flor-tesoura</v>
      </c>
    </row>
    <row r="11909">
      <c r="A11909" s="3">
        <v>45855.0</v>
      </c>
      <c r="B11909" s="4">
        <v>0.31875</v>
      </c>
      <c r="C11909" s="5" t="s">
        <v>76</v>
      </c>
      <c r="D11909" s="5" t="s">
        <v>1635</v>
      </c>
      <c r="E11909" s="12" t="s">
        <v>152</v>
      </c>
      <c r="F11909" s="5" t="s">
        <v>789</v>
      </c>
      <c r="G11909" s="6" t="str">
        <f>VLOOKUP(E11909,dicionario!$A$1:$C12308,2,0)</f>
        <v>Cynodon dactylon</v>
      </c>
      <c r="H11909" s="6" t="str">
        <f>VLOOKUP(E11909,dicionario!$A$1:$C12308,3,0)</f>
        <v>grama-bermuda</v>
      </c>
    </row>
    <row r="11910">
      <c r="A11910" s="3">
        <v>45855.0</v>
      </c>
      <c r="B11910" s="4">
        <v>0.3194444444444444</v>
      </c>
      <c r="C11910" s="5" t="s">
        <v>76</v>
      </c>
      <c r="D11910" s="5" t="s">
        <v>1635</v>
      </c>
      <c r="E11910" s="6" t="s">
        <v>113</v>
      </c>
      <c r="F11910" s="5" t="s">
        <v>820</v>
      </c>
      <c r="G11910" s="6" t="str">
        <f>VLOOKUP(E11910,dicionario!$A$1:$C12309,2,0)</f>
        <v>Columbina talpacoti</v>
      </c>
      <c r="H11910" s="6" t="str">
        <f>VLOOKUP(E11910,dicionario!$A$1:$C12309,3,0)</f>
        <v>rolinha-roxa</v>
      </c>
    </row>
    <row r="11911">
      <c r="A11911" s="3">
        <v>45855.0</v>
      </c>
      <c r="B11911" s="4">
        <v>0.3194444444444444</v>
      </c>
      <c r="C11911" s="5" t="s">
        <v>76</v>
      </c>
      <c r="D11911" s="5" t="s">
        <v>1635</v>
      </c>
      <c r="E11911" s="6" t="s">
        <v>253</v>
      </c>
      <c r="F11911" s="5" t="s">
        <v>254</v>
      </c>
      <c r="G11911" s="6" t="str">
        <f>VLOOKUP(E11911,dicionario!$A$1:$C12310,2,0)</f>
        <v>Panicum maximum</v>
      </c>
      <c r="H11911" s="6" t="str">
        <f>VLOOKUP(E11911,dicionario!$A$1:$C12310,3,0)</f>
        <v>capim-colonião</v>
      </c>
    </row>
    <row r="11912">
      <c r="A11912" s="3">
        <v>45855.0</v>
      </c>
      <c r="B11912" s="4">
        <v>0.3194444444444444</v>
      </c>
      <c r="C11912" s="5" t="s">
        <v>76</v>
      </c>
      <c r="D11912" s="5" t="s">
        <v>1635</v>
      </c>
      <c r="E11912" s="6" t="s">
        <v>175</v>
      </c>
      <c r="F11912" s="5" t="s">
        <v>1668</v>
      </c>
      <c r="G11912" s="6" t="str">
        <f>VLOOKUP(E11912,dicionario!$A$1:$C12311,2,0)</f>
        <v>Turdus leucomelas</v>
      </c>
      <c r="H11912" s="6" t="str">
        <f>VLOOKUP(E11912,dicionario!$A$1:$C12311,3,0)</f>
        <v>sabiá-barranco</v>
      </c>
    </row>
    <row r="11913">
      <c r="A11913" s="3">
        <v>45855.0</v>
      </c>
      <c r="B11913" s="4">
        <v>0.32013888888888886</v>
      </c>
      <c r="C11913" s="5" t="s">
        <v>76</v>
      </c>
      <c r="D11913" s="5" t="s">
        <v>1635</v>
      </c>
      <c r="E11913" s="6" t="s">
        <v>319</v>
      </c>
      <c r="F11913" s="5" t="s">
        <v>320</v>
      </c>
      <c r="G11913" s="6" t="str">
        <f>VLOOKUP(E11913,dicionario!$A$1:$C12312,2,0)</f>
        <v>Schinus terebinthifolia</v>
      </c>
      <c r="H11913" s="6" t="str">
        <f>VLOOKUP(E11913,dicionario!$A$1:$C12312,3,0)</f>
        <v>aroeira</v>
      </c>
    </row>
    <row r="11914">
      <c r="A11914" s="3">
        <v>45855.0</v>
      </c>
      <c r="B11914" s="4">
        <v>0.32013888888888886</v>
      </c>
      <c r="C11914" s="5" t="s">
        <v>76</v>
      </c>
      <c r="D11914" s="5" t="s">
        <v>1635</v>
      </c>
      <c r="E11914" s="8" t="s">
        <v>109</v>
      </c>
      <c r="F11914" s="5" t="s">
        <v>777</v>
      </c>
      <c r="G11914" s="6" t="str">
        <f>VLOOKUP(E11914,dicionario!$A$1:$C12313,2,0)</f>
        <v>Tillandsia stricta</v>
      </c>
      <c r="H11914" s="6" t="str">
        <f>VLOOKUP(E11914,dicionario!$A$1:$C12313,3,0)</f>
        <v>cravo-do-mato</v>
      </c>
    </row>
    <row r="11915">
      <c r="A11915" s="3">
        <v>45855.0</v>
      </c>
      <c r="B11915" s="4">
        <v>0.32013888888888886</v>
      </c>
      <c r="C11915" s="5" t="s">
        <v>76</v>
      </c>
      <c r="D11915" s="5" t="s">
        <v>1635</v>
      </c>
      <c r="E11915" s="8" t="s">
        <v>517</v>
      </c>
      <c r="F11915" s="5" t="s">
        <v>1446</v>
      </c>
      <c r="G11915" s="6" t="str">
        <f>VLOOKUP(E11915,dicionario!$A$1:$C12314,2,0)</f>
        <v>Evolvulus nummularius</v>
      </c>
      <c r="H11915" s="6" t="str">
        <f>VLOOKUP(E11915,dicionario!$A$1:$C12314,3,0)</f>
        <v/>
      </c>
    </row>
    <row r="11916">
      <c r="A11916" s="3">
        <v>45855.0</v>
      </c>
      <c r="B11916" s="4">
        <v>0.32083333333333336</v>
      </c>
      <c r="C11916" s="5" t="s">
        <v>76</v>
      </c>
      <c r="D11916" s="5" t="s">
        <v>1635</v>
      </c>
      <c r="E11916" s="6" t="s">
        <v>191</v>
      </c>
      <c r="F11916" s="5" t="s">
        <v>771</v>
      </c>
      <c r="G11916" s="6" t="str">
        <f>VLOOKUP(E11916,dicionario!$A$1:$C12315,2,0)</f>
        <v>Patagioenas picazuro</v>
      </c>
      <c r="H11916" s="6" t="str">
        <f>VLOOKUP(E11916,dicionario!$A$1:$C12315,3,0)</f>
        <v>asa-branca; pomba-asa-branca; pocaçu</v>
      </c>
    </row>
    <row r="11917">
      <c r="A11917" s="3">
        <v>45855.0</v>
      </c>
      <c r="B11917" s="4">
        <v>0.32083333333333336</v>
      </c>
      <c r="C11917" s="5" t="s">
        <v>76</v>
      </c>
      <c r="D11917" s="5" t="s">
        <v>1635</v>
      </c>
      <c r="E11917" s="6" t="s">
        <v>65</v>
      </c>
      <c r="F11917" s="5" t="s">
        <v>819</v>
      </c>
      <c r="G11917" s="6" t="str">
        <f>VLOOKUP(E11917,dicionario!$A$1:$C12316,2,0)</f>
        <v>Pitangus sulphutarus</v>
      </c>
      <c r="H11917" s="6" t="str">
        <f>VLOOKUP(E11917,dicionario!$A$1:$C12316,3,0)</f>
        <v>bem-te-vi</v>
      </c>
    </row>
    <row r="11918">
      <c r="A11918" s="3">
        <v>45855.0</v>
      </c>
      <c r="B11918" s="4">
        <v>0.32083333333333336</v>
      </c>
      <c r="C11918" s="5" t="s">
        <v>85</v>
      </c>
      <c r="D11918" s="5" t="s">
        <v>1635</v>
      </c>
      <c r="E11918" s="8" t="s">
        <v>1352</v>
      </c>
      <c r="F11918" s="5"/>
      <c r="G11918" s="6" t="str">
        <f>VLOOKUP(E11918,dicionario!$A$1:$C12317,2,0)</f>
        <v>#N/A</v>
      </c>
      <c r="H11918" s="6" t="str">
        <f>VLOOKUP(E11918,dicionario!$A$1:$C12317,3,0)</f>
        <v>#N/A</v>
      </c>
    </row>
    <row r="11919">
      <c r="A11919" s="3">
        <v>45855.0</v>
      </c>
      <c r="B11919" s="4">
        <v>0.32083333333333336</v>
      </c>
      <c r="C11919" s="5" t="s">
        <v>85</v>
      </c>
      <c r="D11919" s="5" t="s">
        <v>1635</v>
      </c>
      <c r="E11919" s="8" t="s">
        <v>38</v>
      </c>
      <c r="F11919" s="5" t="s">
        <v>1251</v>
      </c>
      <c r="G11919" s="6" t="str">
        <f>VLOOKUP(E11919,dicionario!$A$1:$C12318,2,0)</f>
        <v>Troglodytes musculus</v>
      </c>
      <c r="H11919" s="6" t="str">
        <f>VLOOKUP(E11919,dicionario!$A$1:$C12318,3,0)</f>
        <v>curruíra</v>
      </c>
    </row>
    <row r="11920">
      <c r="A11920" s="3">
        <v>45855.0</v>
      </c>
      <c r="B11920" s="4">
        <v>0.32083333333333336</v>
      </c>
      <c r="C11920" s="5" t="s">
        <v>85</v>
      </c>
      <c r="D11920" s="5" t="s">
        <v>1635</v>
      </c>
      <c r="E11920" s="8" t="s">
        <v>88</v>
      </c>
      <c r="F11920" s="5" t="s">
        <v>782</v>
      </c>
      <c r="G11920" s="6" t="str">
        <f>VLOOKUP(E11920,dicionario!$A$1:$C12319,2,0)</f>
        <v>Tyrannus melancolichus</v>
      </c>
      <c r="H11920" s="6" t="str">
        <f>VLOOKUP(E11920,dicionario!$A$1:$C12319,3,0)</f>
        <v>suiriri</v>
      </c>
    </row>
    <row r="11921">
      <c r="A11921" s="3">
        <v>45855.0</v>
      </c>
      <c r="B11921" s="4">
        <v>0.3215277777777778</v>
      </c>
      <c r="C11921" s="5" t="s">
        <v>85</v>
      </c>
      <c r="D11921" s="5" t="s">
        <v>1635</v>
      </c>
      <c r="E11921" s="8" t="s">
        <v>909</v>
      </c>
      <c r="F11921" s="5" t="s">
        <v>1636</v>
      </c>
      <c r="G11921" s="6" t="str">
        <f>VLOOKUP(E11921,dicionario!$A$1:$C12320,2,0)</f>
        <v>Chordeiles acutipennis</v>
      </c>
      <c r="H11921" s="6" t="str">
        <f>VLOOKUP(E11921,dicionario!$A$1:$C12320,3,0)</f>
        <v>bacurau-de-asa-fina</v>
      </c>
    </row>
    <row r="11922">
      <c r="A11922" s="3">
        <v>45855.0</v>
      </c>
      <c r="B11922" s="4">
        <v>0.3215277777777778</v>
      </c>
      <c r="C11922" s="5" t="s">
        <v>85</v>
      </c>
      <c r="D11922" s="5" t="s">
        <v>1635</v>
      </c>
      <c r="E11922" s="8" t="s">
        <v>1127</v>
      </c>
      <c r="F11922" s="5" t="s">
        <v>1421</v>
      </c>
      <c r="G11922" s="6" t="str">
        <f>VLOOKUP(E11922,dicionario!$A$1:$C12321,2,0)</f>
        <v>Albizia lebbeck</v>
      </c>
      <c r="H11922" s="6" t="str">
        <f>VLOOKUP(E11922,dicionario!$A$1:$C12321,3,0)</f>
        <v>albízia</v>
      </c>
    </row>
    <row r="11923">
      <c r="A11923" s="3">
        <v>45855.0</v>
      </c>
      <c r="B11923" s="4">
        <v>0.3215277777777778</v>
      </c>
      <c r="C11923" s="5" t="s">
        <v>85</v>
      </c>
      <c r="D11923" s="5" t="s">
        <v>1635</v>
      </c>
      <c r="E11923" s="8" t="s">
        <v>271</v>
      </c>
      <c r="F11923" s="5" t="s">
        <v>1575</v>
      </c>
      <c r="G11923" s="6" t="str">
        <f>VLOOKUP(E11923,dicionario!$A$1:$C12322,2,0)</f>
        <v>Cyanthillium cinereum</v>
      </c>
      <c r="H11923" s="6" t="str">
        <f>VLOOKUP(E11923,dicionario!$A$1:$C12322,3,0)</f>
        <v>emília</v>
      </c>
    </row>
    <row r="11924">
      <c r="A11924" s="3">
        <v>45855.0</v>
      </c>
      <c r="B11924" s="4">
        <v>0.32222222222222224</v>
      </c>
      <c r="C11924" s="5" t="s">
        <v>85</v>
      </c>
      <c r="D11924" s="5" t="s">
        <v>1635</v>
      </c>
      <c r="E11924" s="30" t="s">
        <v>1669</v>
      </c>
      <c r="F11924" s="5"/>
      <c r="G11924" s="6" t="str">
        <f>VLOOKUP(E11924,dicionario!$A$1:$C12323,2,0)</f>
        <v>#N/A</v>
      </c>
      <c r="H11924" s="6" t="str">
        <f>VLOOKUP(E11924,dicionario!$A$1:$C12323,3,0)</f>
        <v>#N/A</v>
      </c>
    </row>
    <row r="11925">
      <c r="A11925" s="3">
        <v>45855.0</v>
      </c>
      <c r="B11925" s="4">
        <v>0.32569444444444445</v>
      </c>
      <c r="C11925" s="5" t="s">
        <v>85</v>
      </c>
      <c r="D11925" s="5" t="s">
        <v>1635</v>
      </c>
      <c r="E11925" s="6" t="s">
        <v>247</v>
      </c>
      <c r="F11925" s="5" t="s">
        <v>387</v>
      </c>
      <c r="G11925" s="6" t="str">
        <f>VLOOKUP(E11925,dicionario!$A$1:$C12324,2,0)</f>
        <v>Emilia sonchifolia</v>
      </c>
      <c r="H11925" s="6" t="str">
        <f>VLOOKUP(E11925,dicionario!$A$1:$C12324,3,0)</f>
        <v>serralinha</v>
      </c>
    </row>
    <row r="11926">
      <c r="A11926" s="3">
        <v>45855.0</v>
      </c>
      <c r="B11926" s="4">
        <v>0.32569444444444445</v>
      </c>
      <c r="C11926" s="5" t="s">
        <v>85</v>
      </c>
      <c r="D11926" s="5" t="s">
        <v>1635</v>
      </c>
      <c r="E11926" s="8" t="s">
        <v>122</v>
      </c>
      <c r="F11926" s="5" t="s">
        <v>1582</v>
      </c>
      <c r="G11926" s="6" t="str">
        <f>VLOOKUP(E11926,dicionario!$A$1:$C12325,2,0)</f>
        <v>Todirostrum cinereum</v>
      </c>
      <c r="H11926" s="6" t="str">
        <f>VLOOKUP(E11926,dicionario!$A$1:$C12325,3,0)</f>
        <v>ferreirinho-relógio</v>
      </c>
    </row>
    <row r="11927">
      <c r="A11927" s="3">
        <v>45855.0</v>
      </c>
      <c r="B11927" s="4">
        <v>0.32708333333333334</v>
      </c>
      <c r="C11927" s="5" t="s">
        <v>85</v>
      </c>
      <c r="D11927" s="5" t="s">
        <v>1635</v>
      </c>
      <c r="E11927" s="6" t="s">
        <v>383</v>
      </c>
      <c r="F11927" s="5" t="s">
        <v>1532</v>
      </c>
      <c r="G11927" s="6" t="str">
        <f>VLOOKUP(E11927,dicionario!$A$1:$C12326,2,0)</f>
        <v>Setophaga pitiayumi</v>
      </c>
      <c r="H11927" s="6" t="str">
        <f>VLOOKUP(E11927,dicionario!$A$1:$C12326,3,0)</f>
        <v>mariquita</v>
      </c>
    </row>
    <row r="11928">
      <c r="A11928" s="3">
        <v>45855.0</v>
      </c>
      <c r="B11928" s="4">
        <v>0.3277777777777778</v>
      </c>
      <c r="C11928" s="5" t="s">
        <v>85</v>
      </c>
      <c r="D11928" s="5" t="s">
        <v>1635</v>
      </c>
      <c r="E11928" s="6" t="s">
        <v>86</v>
      </c>
      <c r="F11928" s="5" t="s">
        <v>783</v>
      </c>
      <c r="G11928" s="6" t="str">
        <f>VLOOKUP(E11928,dicionario!$A$1:$C12327,2,0)</f>
        <v>Coereba flaveola</v>
      </c>
      <c r="H11928" s="6" t="str">
        <f>VLOOKUP(E11928,dicionario!$A$1:$C12327,3,0)</f>
        <v>cambacica</v>
      </c>
    </row>
    <row r="11929">
      <c r="A11929" s="3">
        <v>45855.0</v>
      </c>
      <c r="B11929" s="4">
        <v>0.33055555555555555</v>
      </c>
      <c r="C11929" s="5" t="s">
        <v>85</v>
      </c>
      <c r="D11929" s="5" t="s">
        <v>1635</v>
      </c>
      <c r="E11929" s="6" t="s">
        <v>399</v>
      </c>
      <c r="F11929" s="5" t="s">
        <v>829</v>
      </c>
      <c r="G11929" s="6" t="str">
        <f>VLOOKUP(E11929,dicionario!$A$1:$C12328,2,0)</f>
        <v>Varronia curassavica</v>
      </c>
      <c r="H11929" s="6" t="str">
        <f>VLOOKUP(E11929,dicionario!$A$1:$C12328,3,0)</f>
        <v>erva-baleeira</v>
      </c>
    </row>
    <row r="11930">
      <c r="A11930" s="3">
        <v>45855.0</v>
      </c>
      <c r="B11930" s="4">
        <v>0.33194444444444443</v>
      </c>
      <c r="C11930" s="5" t="s">
        <v>85</v>
      </c>
      <c r="D11930" s="5" t="s">
        <v>1635</v>
      </c>
      <c r="E11930" s="8" t="s">
        <v>122</v>
      </c>
      <c r="F11930" s="5" t="s">
        <v>1593</v>
      </c>
      <c r="G11930" s="6" t="str">
        <f>VLOOKUP(E11930,dicionario!$A$1:$C12329,2,0)</f>
        <v>Todirostrum cinereum</v>
      </c>
      <c r="H11930" s="6" t="str">
        <f>VLOOKUP(E11930,dicionario!$A$1:$C12329,3,0)</f>
        <v>ferreirinho-relógio</v>
      </c>
    </row>
    <row r="11931">
      <c r="A11931" s="3">
        <v>45855.0</v>
      </c>
      <c r="B11931" s="4">
        <v>0.3368055555555556</v>
      </c>
      <c r="C11931" s="5" t="s">
        <v>90</v>
      </c>
      <c r="D11931" s="5" t="s">
        <v>1635</v>
      </c>
      <c r="E11931" s="8" t="s">
        <v>109</v>
      </c>
      <c r="F11931" s="5" t="s">
        <v>777</v>
      </c>
      <c r="G11931" s="6" t="str">
        <f>VLOOKUP(E11931,dicionario!$A$1:$C12330,2,0)</f>
        <v>Tillandsia stricta</v>
      </c>
      <c r="H11931" s="6" t="str">
        <f>VLOOKUP(E11931,dicionario!$A$1:$C12330,3,0)</f>
        <v>cravo-do-mato</v>
      </c>
    </row>
    <row r="11932">
      <c r="A11932" s="3">
        <v>45855.0</v>
      </c>
      <c r="B11932" s="4">
        <v>0.3375</v>
      </c>
      <c r="C11932" s="5" t="s">
        <v>90</v>
      </c>
      <c r="D11932" s="5" t="s">
        <v>1635</v>
      </c>
      <c r="E11932" s="6" t="s">
        <v>489</v>
      </c>
      <c r="F11932" s="5" t="s">
        <v>521</v>
      </c>
      <c r="G11932" s="6" t="str">
        <f>VLOOKUP(E11932,dicionario!$A$1:$C12331,2,0)</f>
        <v>Cenchrus echinatus</v>
      </c>
      <c r="H11932" s="6" t="str">
        <f>VLOOKUP(E11932,dicionario!$A$1:$C12331,3,0)</f>
        <v>capim-carrapicho</v>
      </c>
    </row>
    <row r="11933">
      <c r="A11933" s="3">
        <v>45855.0</v>
      </c>
      <c r="B11933" s="4">
        <v>0.33819444444444446</v>
      </c>
      <c r="C11933" s="5" t="s">
        <v>90</v>
      </c>
      <c r="D11933" s="5" t="s">
        <v>1635</v>
      </c>
      <c r="E11933" s="6" t="s">
        <v>467</v>
      </c>
      <c r="F11933" s="5" t="s">
        <v>1643</v>
      </c>
      <c r="G11933" s="6" t="str">
        <f>VLOOKUP(E11933,dicionario!$A$1:$C12332,2,0)</f>
        <v>Eleusine indica</v>
      </c>
      <c r="H11933" s="6" t="str">
        <f>VLOOKUP(E11933,dicionario!$A$1:$C12332,3,0)</f>
        <v>capim-pé-de-galinha</v>
      </c>
    </row>
    <row r="11934">
      <c r="A11934" s="3">
        <v>45855.0</v>
      </c>
      <c r="B11934" s="4">
        <v>0.33819444444444446</v>
      </c>
      <c r="C11934" s="5" t="s">
        <v>90</v>
      </c>
      <c r="D11934" s="5" t="s">
        <v>1635</v>
      </c>
      <c r="E11934" s="6" t="s">
        <v>111</v>
      </c>
      <c r="F11934" s="5" t="s">
        <v>112</v>
      </c>
      <c r="G11934" s="6" t="str">
        <f>VLOOKUP(E11934,dicionario!$A$1:$C12333,2,0)</f>
        <v>Trigona spinipes</v>
      </c>
      <c r="H11934" s="6" t="str">
        <f>VLOOKUP(E11934,dicionario!$A$1:$C12333,3,0)</f>
        <v>abelha-cachorro</v>
      </c>
    </row>
    <row r="11935">
      <c r="A11935" s="3">
        <v>45855.0</v>
      </c>
      <c r="B11935" s="4">
        <v>0.3388888888888889</v>
      </c>
      <c r="C11935" s="5" t="s">
        <v>90</v>
      </c>
      <c r="D11935" s="5" t="s">
        <v>1635</v>
      </c>
      <c r="E11935" s="8" t="s">
        <v>712</v>
      </c>
      <c r="F11935" s="5" t="s">
        <v>1602</v>
      </c>
      <c r="G11935" s="6" t="str">
        <f>VLOOKUP(E11935,dicionario!$A$1:$C12334,2,0)</f>
        <v>Flavopunctelia soredica</v>
      </c>
      <c r="H11935" s="6" t="str">
        <f>VLOOKUP(E11935,dicionario!$A$1:$C12334,3,0)</f>
        <v>líquen-folioso</v>
      </c>
    </row>
    <row r="11936">
      <c r="A11936" s="3">
        <v>45855.0</v>
      </c>
      <c r="B11936" s="4">
        <v>0.33958333333333335</v>
      </c>
      <c r="C11936" s="5" t="s">
        <v>90</v>
      </c>
      <c r="D11936" s="5" t="s">
        <v>1635</v>
      </c>
      <c r="E11936" s="8" t="s">
        <v>1571</v>
      </c>
      <c r="F11936" s="5" t="s">
        <v>969</v>
      </c>
      <c r="G11936" s="6" t="str">
        <f>VLOOKUP(E11936,dicionario!$A$1:$C12335,2,0)</f>
        <v>#N/A</v>
      </c>
      <c r="H11936" s="6" t="str">
        <f>VLOOKUP(E11936,dicionario!$A$1:$C12335,3,0)</f>
        <v>#N/A</v>
      </c>
    </row>
    <row r="11937">
      <c r="A11937" s="3">
        <v>45855.0</v>
      </c>
      <c r="B11937" s="4">
        <v>0.33958333333333335</v>
      </c>
      <c r="C11937" s="5" t="s">
        <v>90</v>
      </c>
      <c r="D11937" s="5" t="s">
        <v>1635</v>
      </c>
      <c r="E11937" s="6" t="s">
        <v>736</v>
      </c>
      <c r="F11937" s="5" t="s">
        <v>737</v>
      </c>
      <c r="G11937" s="6" t="str">
        <f>VLOOKUP(E11937,dicionario!$A$1:$C12336,2,0)</f>
        <v>Chloris virgata</v>
      </c>
      <c r="H11937" s="6" t="str">
        <f>VLOOKUP(E11937,dicionario!$A$1:$C12336,3,0)</f>
        <v>capim-pavão</v>
      </c>
    </row>
    <row r="11938">
      <c r="A11938" s="3">
        <v>45855.0</v>
      </c>
      <c r="B11938" s="4">
        <v>0.3402777777777778</v>
      </c>
      <c r="C11938" s="5" t="s">
        <v>90</v>
      </c>
      <c r="D11938" s="5" t="s">
        <v>1635</v>
      </c>
      <c r="E11938" s="6" t="s">
        <v>53</v>
      </c>
      <c r="F11938" s="5" t="s">
        <v>54</v>
      </c>
      <c r="G11938" s="6" t="str">
        <f>VLOOKUP(E11938,dicionario!$A$1:$C12337,2,0)</f>
        <v>Turnera subulata</v>
      </c>
      <c r="H11938" s="6" t="str">
        <f>VLOOKUP(E11938,dicionario!$A$1:$C12337,3,0)</f>
        <v>xanana</v>
      </c>
    </row>
    <row r="11939">
      <c r="A11939" s="3">
        <v>45855.0</v>
      </c>
      <c r="B11939" s="4">
        <v>0.3402777777777778</v>
      </c>
      <c r="C11939" s="5" t="s">
        <v>90</v>
      </c>
      <c r="D11939" s="5" t="s">
        <v>1635</v>
      </c>
      <c r="E11939" s="6" t="s">
        <v>195</v>
      </c>
      <c r="F11939" s="5" t="s">
        <v>679</v>
      </c>
      <c r="G11939" s="6" t="str">
        <f>VLOOKUP(E11939,dicionario!$A$1:$C12338,2,0)</f>
        <v>Priva lappulacea</v>
      </c>
      <c r="H11939" s="6" t="str">
        <f>VLOOKUP(E11939,dicionario!$A$1:$C12338,3,0)</f>
        <v>carrapicho</v>
      </c>
    </row>
    <row r="11940">
      <c r="A11940" s="3">
        <v>45855.0</v>
      </c>
      <c r="B11940" s="4">
        <v>0.3402777777777778</v>
      </c>
      <c r="C11940" s="5" t="s">
        <v>90</v>
      </c>
      <c r="D11940" s="5" t="s">
        <v>1635</v>
      </c>
      <c r="E11940" s="6" t="s">
        <v>154</v>
      </c>
      <c r="F11940" s="5" t="s">
        <v>1585</v>
      </c>
      <c r="G11940" s="6" t="str">
        <f>VLOOKUP(E11940,dicionario!$A$1:$C12339,2,0)</f>
        <v>Cyperus rotundus</v>
      </c>
      <c r="H11940" s="6" t="str">
        <f>VLOOKUP(E11940,dicionario!$A$1:$C12339,3,0)</f>
        <v>tiririca</v>
      </c>
    </row>
    <row r="11941">
      <c r="A11941" s="3">
        <v>45855.0</v>
      </c>
      <c r="B11941" s="4">
        <v>0.34097222222222223</v>
      </c>
      <c r="C11941" s="5" t="s">
        <v>90</v>
      </c>
      <c r="D11941" s="5" t="s">
        <v>1635</v>
      </c>
      <c r="E11941" s="6" t="s">
        <v>65</v>
      </c>
      <c r="F11941" s="5" t="s">
        <v>819</v>
      </c>
      <c r="G11941" s="6" t="str">
        <f>VLOOKUP(E11941,dicionario!$A$1:$C12340,2,0)</f>
        <v>Pitangus sulphutarus</v>
      </c>
      <c r="H11941" s="6" t="str">
        <f>VLOOKUP(E11941,dicionario!$A$1:$C12340,3,0)</f>
        <v>bem-te-vi</v>
      </c>
    </row>
    <row r="11942">
      <c r="A11942" s="3">
        <v>45855.0</v>
      </c>
      <c r="B11942" s="4">
        <v>0.34097222222222223</v>
      </c>
      <c r="C11942" s="5" t="s">
        <v>90</v>
      </c>
      <c r="D11942" s="5" t="s">
        <v>1635</v>
      </c>
      <c r="E11942" s="8" t="s">
        <v>298</v>
      </c>
      <c r="F11942" s="5"/>
      <c r="G11942" s="6" t="str">
        <f>VLOOKUP(E11942,dicionario!$A$1:$C12341,2,0)</f>
        <v>Alysicarpus vaginalis</v>
      </c>
      <c r="H11942" s="6" t="str">
        <f>VLOOKUP(E11942,dicionario!$A$1:$C12341,3,0)</f>
        <v/>
      </c>
    </row>
    <row r="11943">
      <c r="A11943" s="3">
        <v>45855.0</v>
      </c>
      <c r="B11943" s="4">
        <v>0.34097222222222223</v>
      </c>
      <c r="C11943" s="5" t="s">
        <v>90</v>
      </c>
      <c r="D11943" s="5" t="s">
        <v>1635</v>
      </c>
      <c r="E11943" s="6" t="s">
        <v>606</v>
      </c>
      <c r="F11943" s="5" t="s">
        <v>607</v>
      </c>
      <c r="G11943" s="6" t="str">
        <f>VLOOKUP(E11943,dicionario!$A$1:$C12342,2,0)</f>
        <v>Elaenia spectabilis</v>
      </c>
      <c r="H11943" s="6" t="str">
        <f>VLOOKUP(E11943,dicionario!$A$1:$C12342,3,0)</f>
        <v>guaracava-grande</v>
      </c>
    </row>
    <row r="11944">
      <c r="A11944" s="3">
        <v>45855.0</v>
      </c>
      <c r="B11944" s="4">
        <v>0.3416666666666667</v>
      </c>
      <c r="C11944" s="5" t="s">
        <v>90</v>
      </c>
      <c r="D11944" s="5" t="s">
        <v>1635</v>
      </c>
      <c r="E11944" s="71" t="s">
        <v>1509</v>
      </c>
      <c r="F11944" s="5" t="s">
        <v>1670</v>
      </c>
      <c r="G11944" s="6" t="str">
        <f>VLOOKUP(E11944,dicionario!$A$1:$C12343,2,0)</f>
        <v>Eriophora edax</v>
      </c>
      <c r="H11944" s="6" t="str">
        <f>VLOOKUP(E11944,dicionario!$A$1:$C12343,3,0)</f>
        <v>aranha-tecedeira</v>
      </c>
    </row>
    <row r="11945">
      <c r="A11945" s="3">
        <v>45855.0</v>
      </c>
      <c r="B11945" s="4">
        <v>0.3423611111111111</v>
      </c>
      <c r="C11945" s="5" t="s">
        <v>90</v>
      </c>
      <c r="D11945" s="5" t="s">
        <v>1635</v>
      </c>
      <c r="E11945" s="8" t="s">
        <v>1671</v>
      </c>
      <c r="F11945" s="5" t="s">
        <v>414</v>
      </c>
      <c r="G11945" s="6" t="str">
        <f>VLOOKUP(E11945,dicionario!$A$1:$C12344,2,0)</f>
        <v>#N/A</v>
      </c>
      <c r="H11945" s="6" t="str">
        <f>VLOOKUP(E11945,dicionario!$A$1:$C12344,3,0)</f>
        <v>#N/A</v>
      </c>
    </row>
    <row r="11946">
      <c r="A11946" s="3">
        <v>45855.0</v>
      </c>
      <c r="B11946" s="4">
        <v>0.3423611111111111</v>
      </c>
      <c r="C11946" s="5" t="s">
        <v>90</v>
      </c>
      <c r="D11946" s="5" t="s">
        <v>1635</v>
      </c>
      <c r="E11946" s="6" t="s">
        <v>43</v>
      </c>
      <c r="F11946" s="5" t="s">
        <v>1600</v>
      </c>
      <c r="G11946" s="6" t="str">
        <f>VLOOKUP(E11946,dicionario!$A$1:$C12345,2,0)</f>
        <v>Columba livia</v>
      </c>
      <c r="H11946" s="6" t="str">
        <f>VLOOKUP(E11946,dicionario!$A$1:$C12345,3,0)</f>
        <v>pombo-doméstico</v>
      </c>
    </row>
    <row r="11947">
      <c r="A11947" s="3">
        <v>45855.0</v>
      </c>
      <c r="B11947" s="4">
        <v>0.3423611111111111</v>
      </c>
      <c r="C11947" s="5" t="s">
        <v>90</v>
      </c>
      <c r="D11947" s="5" t="s">
        <v>1635</v>
      </c>
      <c r="E11947" s="8" t="s">
        <v>38</v>
      </c>
      <c r="F11947" s="5" t="s">
        <v>1672</v>
      </c>
      <c r="G11947" s="6" t="str">
        <f>VLOOKUP(E11947,dicionario!$A$1:$C12346,2,0)</f>
        <v>Troglodytes musculus</v>
      </c>
      <c r="H11947" s="6" t="str">
        <f>VLOOKUP(E11947,dicionario!$A$1:$C12346,3,0)</f>
        <v>curruíra</v>
      </c>
    </row>
    <row r="11948">
      <c r="A11948" s="3">
        <v>45855.0</v>
      </c>
      <c r="B11948" s="4">
        <v>0.34375</v>
      </c>
      <c r="C11948" s="5" t="s">
        <v>90</v>
      </c>
      <c r="D11948" s="5" t="s">
        <v>1635</v>
      </c>
      <c r="E11948" s="20" t="s">
        <v>676</v>
      </c>
      <c r="F11948" s="5" t="s">
        <v>1370</v>
      </c>
      <c r="G11948" s="6" t="str">
        <f>VLOOKUP(E11948,dicionario!$A$1:$C12347,2,0)</f>
        <v>Zornia latifolia</v>
      </c>
      <c r="H11948" s="6" t="str">
        <f>VLOOKUP(E11948,dicionario!$A$1:$C12347,3,0)</f>
        <v>arrozinho-do-campo</v>
      </c>
    </row>
    <row r="11949">
      <c r="A11949" s="3">
        <v>45855.0</v>
      </c>
      <c r="B11949" s="4">
        <v>0.34375</v>
      </c>
      <c r="C11949" s="5" t="s">
        <v>90</v>
      </c>
      <c r="D11949" s="5" t="s">
        <v>1635</v>
      </c>
      <c r="E11949" s="6" t="s">
        <v>353</v>
      </c>
      <c r="F11949" s="5" t="s">
        <v>354</v>
      </c>
      <c r="G11949" s="6" t="str">
        <f>VLOOKUP(E11949,dicionario!$A$1:$C12348,2,0)</f>
        <v>Desmodium incanum</v>
      </c>
      <c r="H11949" s="6" t="str">
        <f>VLOOKUP(E11949,dicionario!$A$1:$C12348,3,0)</f>
        <v>pega-pega</v>
      </c>
    </row>
    <row r="11950">
      <c r="A11950" s="3">
        <v>45855.0</v>
      </c>
      <c r="B11950" s="4">
        <v>0.3458333333333333</v>
      </c>
      <c r="C11950" s="5" t="s">
        <v>90</v>
      </c>
      <c r="D11950" s="5" t="s">
        <v>1635</v>
      </c>
      <c r="E11950" s="6" t="s">
        <v>360</v>
      </c>
      <c r="F11950" s="5" t="s">
        <v>1642</v>
      </c>
      <c r="G11950" s="6" t="str">
        <f>VLOOKUP(E11950,dicionario!$A$1:$C12349,2,0)</f>
        <v>Chamaecrista rotundifolia</v>
      </c>
      <c r="H11950" s="6" t="str">
        <f>VLOOKUP(E11950,dicionario!$A$1:$C12349,3,0)</f>
        <v>alfafa-nativa</v>
      </c>
    </row>
    <row r="11951">
      <c r="A11951" s="3">
        <v>45855.0</v>
      </c>
      <c r="B11951" s="4">
        <v>0.3458333333333333</v>
      </c>
      <c r="C11951" s="5" t="s">
        <v>90</v>
      </c>
      <c r="D11951" s="5" t="s">
        <v>1635</v>
      </c>
      <c r="E11951" s="8" t="s">
        <v>1673</v>
      </c>
      <c r="F11951" s="5" t="s">
        <v>35</v>
      </c>
      <c r="G11951" s="6" t="str">
        <f>VLOOKUP(E11951,dicionario!$A$1:$C12350,2,0)</f>
        <v>Ectatomma</v>
      </c>
      <c r="H11951" s="6" t="str">
        <f>VLOOKUP(E11951,dicionario!$A$1:$C12350,3,0)</f>
        <v>formiga-preta</v>
      </c>
    </row>
    <row r="11952">
      <c r="A11952" s="3">
        <v>45862.0</v>
      </c>
      <c r="B11952" s="4">
        <v>0.2638888888888889</v>
      </c>
      <c r="C11952" s="5" t="s">
        <v>90</v>
      </c>
      <c r="D11952" s="5" t="s">
        <v>1674</v>
      </c>
      <c r="E11952" s="8" t="s">
        <v>38</v>
      </c>
      <c r="F11952" s="5" t="s">
        <v>1536</v>
      </c>
      <c r="G11952" s="6" t="str">
        <f>VLOOKUP(E11952,dicionario!$A$1:$C12351,2,0)</f>
        <v>Troglodytes musculus</v>
      </c>
      <c r="H11952" s="6" t="str">
        <f>VLOOKUP(E11952,dicionario!$A$1:$C12351,3,0)</f>
        <v>curruíra</v>
      </c>
    </row>
    <row r="11953">
      <c r="A11953" s="3">
        <v>45862.0</v>
      </c>
      <c r="B11953" s="4">
        <v>0.2638888888888889</v>
      </c>
      <c r="C11953" s="5" t="s">
        <v>90</v>
      </c>
      <c r="D11953" s="5" t="s">
        <v>1674</v>
      </c>
      <c r="E11953" s="6" t="s">
        <v>122</v>
      </c>
      <c r="F11953" s="5" t="s">
        <v>1582</v>
      </c>
      <c r="G11953" s="6" t="str">
        <f>VLOOKUP(E11953,dicionario!$A$1:$C12352,2,0)</f>
        <v>Todirostrum cinereum</v>
      </c>
      <c r="H11953" s="6" t="str">
        <f>VLOOKUP(E11953,dicionario!$A$1:$C12352,3,0)</f>
        <v>ferreirinho-relógio</v>
      </c>
    </row>
    <row r="11954">
      <c r="A11954" s="3">
        <v>45862.0</v>
      </c>
      <c r="B11954" s="4">
        <v>0.26458333333333334</v>
      </c>
      <c r="C11954" s="5" t="s">
        <v>90</v>
      </c>
      <c r="D11954" s="5" t="s">
        <v>1674</v>
      </c>
      <c r="E11954" s="8" t="s">
        <v>16</v>
      </c>
      <c r="F11954" s="5" t="s">
        <v>1641</v>
      </c>
      <c r="G11954" s="6" t="str">
        <f>VLOOKUP(E11954,dicionario!$A$1:$C12353,2,0)</f>
        <v>Eupetomena macroura</v>
      </c>
      <c r="H11954" s="6" t="str">
        <f>VLOOKUP(E11954,dicionario!$A$1:$C12353,3,0)</f>
        <v>beija-flor-tesoura</v>
      </c>
    </row>
    <row r="11955">
      <c r="A11955" s="3">
        <v>45862.0</v>
      </c>
      <c r="B11955" s="4">
        <v>0.2652777777777778</v>
      </c>
      <c r="C11955" s="5" t="s">
        <v>90</v>
      </c>
      <c r="D11955" s="5" t="s">
        <v>1674</v>
      </c>
      <c r="E11955" s="8" t="s">
        <v>20</v>
      </c>
      <c r="F11955" s="5" t="s">
        <v>1637</v>
      </c>
      <c r="G11955" s="6" t="str">
        <f>VLOOKUP(E11955,dicionario!$A$1:$C12354,2,0)</f>
        <v>Sicalis flaveola</v>
      </c>
      <c r="H11955" s="6" t="str">
        <f>VLOOKUP(E11955,dicionario!$A$1:$C12354,3,0)</f>
        <v>canário-da-terra</v>
      </c>
    </row>
    <row r="11956">
      <c r="A11956" s="3">
        <v>45862.0</v>
      </c>
      <c r="B11956" s="4">
        <v>0.2659722222222222</v>
      </c>
      <c r="C11956" s="5" t="s">
        <v>90</v>
      </c>
      <c r="D11956" s="5" t="s">
        <v>1674</v>
      </c>
      <c r="E11956" s="6" t="s">
        <v>88</v>
      </c>
      <c r="F11956" s="5" t="s">
        <v>89</v>
      </c>
      <c r="G11956" s="6" t="str">
        <f>VLOOKUP(E11956,dicionario!$A$1:$C12355,2,0)</f>
        <v>Tyrannus melancolichus</v>
      </c>
      <c r="H11956" s="6" t="str">
        <f>VLOOKUP(E11956,dicionario!$A$1:$C12355,3,0)</f>
        <v>suiriri</v>
      </c>
    </row>
    <row r="11957">
      <c r="A11957" s="3">
        <v>45862.0</v>
      </c>
      <c r="B11957" s="4">
        <v>0.2659722222222222</v>
      </c>
      <c r="C11957" s="5" t="s">
        <v>90</v>
      </c>
      <c r="D11957" s="5" t="s">
        <v>1674</v>
      </c>
      <c r="E11957" s="6" t="s">
        <v>65</v>
      </c>
      <c r="F11957" s="5" t="s">
        <v>819</v>
      </c>
      <c r="G11957" s="6" t="str">
        <f>VLOOKUP(E11957,dicionario!$A$1:$C12356,2,0)</f>
        <v>Pitangus sulphutarus</v>
      </c>
      <c r="H11957" s="6" t="str">
        <f>VLOOKUP(E11957,dicionario!$A$1:$C12356,3,0)</f>
        <v>bem-te-vi</v>
      </c>
    </row>
    <row r="11958">
      <c r="A11958" s="3">
        <v>45862.0</v>
      </c>
      <c r="B11958" s="4">
        <v>0.26666666666666666</v>
      </c>
      <c r="C11958" s="5" t="s">
        <v>90</v>
      </c>
      <c r="D11958" s="5" t="s">
        <v>1674</v>
      </c>
      <c r="E11958" s="6" t="s">
        <v>175</v>
      </c>
      <c r="F11958" s="5" t="s">
        <v>176</v>
      </c>
      <c r="G11958" s="6" t="str">
        <f>VLOOKUP(E11958,dicionario!$A$1:$C12357,2,0)</f>
        <v>Turdus leucomelas</v>
      </c>
      <c r="H11958" s="6" t="str">
        <f>VLOOKUP(E11958,dicionario!$A$1:$C12357,3,0)</f>
        <v>sabiá-barranco</v>
      </c>
    </row>
    <row r="11959">
      <c r="A11959" s="3">
        <v>45862.0</v>
      </c>
      <c r="B11959" s="4">
        <v>0.26666666666666666</v>
      </c>
      <c r="C11959" s="5" t="s">
        <v>90</v>
      </c>
      <c r="D11959" s="5" t="s">
        <v>1674</v>
      </c>
      <c r="E11959" s="6" t="s">
        <v>43</v>
      </c>
      <c r="F11959" s="5" t="s">
        <v>44</v>
      </c>
      <c r="G11959" s="6" t="str">
        <f>VLOOKUP(E11959,dicionario!$A$1:$C12358,2,0)</f>
        <v>Columba livia</v>
      </c>
      <c r="H11959" s="6" t="str">
        <f>VLOOKUP(E11959,dicionario!$A$1:$C12358,3,0)</f>
        <v>pombo-doméstico</v>
      </c>
    </row>
    <row r="11960">
      <c r="A11960" s="3">
        <v>45862.0</v>
      </c>
      <c r="B11960" s="4">
        <v>0.26666666666666666</v>
      </c>
      <c r="C11960" s="5" t="s">
        <v>90</v>
      </c>
      <c r="D11960" s="5" t="s">
        <v>1674</v>
      </c>
      <c r="E11960" s="6" t="s">
        <v>191</v>
      </c>
      <c r="F11960" s="5" t="s">
        <v>771</v>
      </c>
      <c r="G11960" s="6" t="str">
        <f>VLOOKUP(E11960,dicionario!$A$1:$C12359,2,0)</f>
        <v>Patagioenas picazuro</v>
      </c>
      <c r="H11960" s="6" t="str">
        <f>VLOOKUP(E11960,dicionario!$A$1:$C12359,3,0)</f>
        <v>asa-branca; pomba-asa-branca; pocaçu</v>
      </c>
    </row>
    <row r="11961">
      <c r="A11961" s="3">
        <v>45862.0</v>
      </c>
      <c r="B11961" s="4">
        <v>0.26666666666666666</v>
      </c>
      <c r="C11961" s="5" t="s">
        <v>90</v>
      </c>
      <c r="D11961" s="5" t="s">
        <v>1674</v>
      </c>
      <c r="E11961" s="8" t="s">
        <v>122</v>
      </c>
      <c r="F11961" s="5" t="s">
        <v>1593</v>
      </c>
      <c r="G11961" s="6" t="str">
        <f>VLOOKUP(E11961,dicionario!$A$1:$C12360,2,0)</f>
        <v>Todirostrum cinereum</v>
      </c>
      <c r="H11961" s="6" t="str">
        <f>VLOOKUP(E11961,dicionario!$A$1:$C12360,3,0)</f>
        <v>ferreirinho-relógio</v>
      </c>
    </row>
    <row r="11962">
      <c r="A11962" s="3">
        <v>45862.0</v>
      </c>
      <c r="B11962" s="5">
        <v>625.0</v>
      </c>
      <c r="C11962" s="5" t="s">
        <v>90</v>
      </c>
      <c r="D11962" s="5" t="s">
        <v>1674</v>
      </c>
      <c r="E11962" s="8" t="s">
        <v>712</v>
      </c>
      <c r="F11962" s="5" t="s">
        <v>1602</v>
      </c>
      <c r="G11962" s="6" t="str">
        <f>VLOOKUP(E11962,dicionario!$A$1:$C12361,2,0)</f>
        <v>Flavopunctelia soredica</v>
      </c>
      <c r="H11962" s="6" t="str">
        <f>VLOOKUP(E11962,dicionario!$A$1:$C12361,3,0)</f>
        <v>líquen-folioso</v>
      </c>
    </row>
    <row r="11963">
      <c r="A11963" s="3">
        <v>45862.0</v>
      </c>
      <c r="B11963" s="4">
        <v>0.2673611111111111</v>
      </c>
      <c r="C11963" s="5" t="s">
        <v>90</v>
      </c>
      <c r="D11963" s="5" t="s">
        <v>1674</v>
      </c>
      <c r="E11963" s="11" t="s">
        <v>107</v>
      </c>
      <c r="F11963" s="5" t="s">
        <v>108</v>
      </c>
      <c r="G11963" s="6" t="str">
        <f>VLOOKUP(E11963,dicionario!$A$1:$C12362,2,0)</f>
        <v>Ramalina complanata</v>
      </c>
      <c r="H11963" s="6" t="str">
        <f>VLOOKUP(E11963,dicionario!$A$1:$C12362,3,0)</f>
        <v>ramalina</v>
      </c>
    </row>
    <row r="11964">
      <c r="A11964" s="3">
        <v>45862.0</v>
      </c>
      <c r="B11964" s="4">
        <v>0.2673611111111111</v>
      </c>
      <c r="C11964" s="5" t="s">
        <v>90</v>
      </c>
      <c r="D11964" s="5" t="s">
        <v>1674</v>
      </c>
      <c r="E11964" s="8" t="s">
        <v>1571</v>
      </c>
      <c r="F11964" s="5" t="s">
        <v>1572</v>
      </c>
      <c r="G11964" s="6" t="str">
        <f>VLOOKUP(E11964,dicionario!$A$1:$C12363,2,0)</f>
        <v>#N/A</v>
      </c>
      <c r="H11964" s="6" t="str">
        <f>VLOOKUP(E11964,dicionario!$A$1:$C12363,3,0)</f>
        <v>#N/A</v>
      </c>
    </row>
    <row r="11965">
      <c r="A11965" s="3">
        <v>45862.0</v>
      </c>
      <c r="B11965" s="4">
        <v>0.2673611111111111</v>
      </c>
      <c r="C11965" s="5" t="s">
        <v>90</v>
      </c>
      <c r="D11965" s="5" t="s">
        <v>1674</v>
      </c>
      <c r="E11965" s="8" t="s">
        <v>245</v>
      </c>
      <c r="F11965" s="5" t="s">
        <v>246</v>
      </c>
      <c r="G11965" s="6" t="str">
        <f>VLOOKUP(E11965,dicionario!$A$1:$C12364,2,0)</f>
        <v>Hemiargus hanno</v>
      </c>
      <c r="H11965" s="6" t="str">
        <f>VLOOKUP(E11965,dicionario!$A$1:$C12364,3,0)</f>
        <v>borboleta-azulzinha-do-trevo</v>
      </c>
    </row>
    <row r="11966">
      <c r="A11966" s="3">
        <v>45862.0</v>
      </c>
      <c r="B11966" s="4">
        <v>0.26805555555555555</v>
      </c>
      <c r="C11966" s="5" t="s">
        <v>90</v>
      </c>
      <c r="D11966" s="5" t="s">
        <v>1674</v>
      </c>
      <c r="E11966" s="6" t="s">
        <v>113</v>
      </c>
      <c r="F11966" s="5" t="s">
        <v>114</v>
      </c>
      <c r="G11966" s="6" t="str">
        <f>VLOOKUP(E11966,dicionario!$A$1:$C12365,2,0)</f>
        <v>Columbina talpacoti</v>
      </c>
      <c r="H11966" s="6" t="str">
        <f>VLOOKUP(E11966,dicionario!$A$1:$C12365,3,0)</f>
        <v>rolinha-roxa</v>
      </c>
    </row>
    <row r="11967">
      <c r="A11967" s="3">
        <v>45862.0</v>
      </c>
      <c r="B11967" s="4">
        <v>0.26805555555555555</v>
      </c>
      <c r="C11967" s="5" t="s">
        <v>90</v>
      </c>
      <c r="D11967" s="5" t="s">
        <v>1674</v>
      </c>
      <c r="E11967" s="20" t="s">
        <v>676</v>
      </c>
      <c r="F11967" s="5" t="s">
        <v>1370</v>
      </c>
      <c r="G11967" s="6" t="str">
        <f>VLOOKUP(E11967,dicionario!$A$1:$C12366,2,0)</f>
        <v>Zornia latifolia</v>
      </c>
      <c r="H11967" s="6" t="str">
        <f>VLOOKUP(E11967,dicionario!$A$1:$C12366,3,0)</f>
        <v>arrozinho-do-campo</v>
      </c>
    </row>
    <row r="11968">
      <c r="A11968" s="3">
        <v>45862.0</v>
      </c>
      <c r="B11968" s="4">
        <v>0.26805555555555555</v>
      </c>
      <c r="C11968" s="5" t="s">
        <v>90</v>
      </c>
      <c r="D11968" s="5" t="s">
        <v>1674</v>
      </c>
      <c r="E11968" s="8" t="s">
        <v>298</v>
      </c>
      <c r="F11968" s="5"/>
      <c r="G11968" s="6" t="str">
        <f>VLOOKUP(E11968,dicionario!$A$1:$C12367,2,0)</f>
        <v>Alysicarpus vaginalis</v>
      </c>
      <c r="H11968" s="6" t="str">
        <f>VLOOKUP(E11968,dicionario!$A$1:$C12367,3,0)</f>
        <v/>
      </c>
    </row>
    <row r="11969">
      <c r="A11969" s="3">
        <v>45862.0</v>
      </c>
      <c r="B11969" s="4">
        <v>0.2708333333333333</v>
      </c>
      <c r="C11969" s="5" t="s">
        <v>90</v>
      </c>
      <c r="D11969" s="5" t="s">
        <v>1674</v>
      </c>
      <c r="E11969" s="8" t="s">
        <v>1192</v>
      </c>
      <c r="F11969" s="5" t="s">
        <v>92</v>
      </c>
      <c r="G11969" s="6" t="str">
        <f>VLOOKUP(E11969,dicionario!$A$1:$C12368,2,0)</f>
        <v>#N/A</v>
      </c>
      <c r="H11969" s="6" t="str">
        <f>VLOOKUP(E11969,dicionario!$A$1:$C12368,3,0)</f>
        <v>#N/A</v>
      </c>
    </row>
    <row r="11970">
      <c r="A11970" s="3">
        <v>45862.0</v>
      </c>
      <c r="B11970" s="4">
        <v>0.2708333333333333</v>
      </c>
      <c r="C11970" s="5" t="s">
        <v>90</v>
      </c>
      <c r="D11970" s="5" t="s">
        <v>1674</v>
      </c>
      <c r="E11970" s="10" t="s">
        <v>101</v>
      </c>
      <c r="F11970" s="5" t="s">
        <v>1675</v>
      </c>
      <c r="G11970" s="6" t="str">
        <f>VLOOKUP(E11970,dicionario!$A$1:$C12369,2,0)</f>
        <v>Nemosia pileata</v>
      </c>
      <c r="H11970" s="6" t="str">
        <f>VLOOKUP(E11970,dicionario!$A$1:$C12369,3,0)</f>
        <v>saíra-de-chapéu-preto</v>
      </c>
    </row>
    <row r="11971">
      <c r="A11971" s="3">
        <v>45862.0</v>
      </c>
      <c r="B11971" s="4">
        <v>0.2708333333333333</v>
      </c>
      <c r="C11971" s="5" t="s">
        <v>90</v>
      </c>
      <c r="D11971" s="5" t="s">
        <v>1674</v>
      </c>
      <c r="E11971" s="8" t="s">
        <v>302</v>
      </c>
      <c r="F11971" s="5" t="s">
        <v>303</v>
      </c>
      <c r="G11971" s="6" t="str">
        <f>VLOOKUP(E11971,dicionario!$A$1:$C12370,2,0)</f>
        <v>Machetornis rixosa</v>
      </c>
      <c r="H11971" s="6" t="str">
        <f>VLOOKUP(E11971,dicionario!$A$1:$C12370,3,0)</f>
        <v>suiriri-cavaleiro</v>
      </c>
    </row>
    <row r="11972">
      <c r="A11972" s="3">
        <v>45862.0</v>
      </c>
      <c r="B11972" s="4">
        <v>0.2708333333333333</v>
      </c>
      <c r="C11972" s="5" t="s">
        <v>90</v>
      </c>
      <c r="D11972" s="5" t="s">
        <v>1674</v>
      </c>
      <c r="E11972" s="6" t="s">
        <v>340</v>
      </c>
      <c r="F11972" s="5" t="s">
        <v>1597</v>
      </c>
      <c r="G11972" s="6" t="str">
        <f>VLOOKUP(E11972,dicionario!$A$1:$C12371,2,0)</f>
        <v>#N/A</v>
      </c>
      <c r="H11972" s="6" t="str">
        <f>VLOOKUP(E11972,dicionario!$A$1:$C12371,3,0)</f>
        <v>#N/A</v>
      </c>
    </row>
    <row r="11973">
      <c r="A11973" s="3">
        <v>45862.0</v>
      </c>
      <c r="B11973" s="4">
        <v>0.27569444444444446</v>
      </c>
      <c r="C11973" s="5" t="s">
        <v>85</v>
      </c>
      <c r="D11973" s="5" t="s">
        <v>1674</v>
      </c>
      <c r="E11973" s="8" t="s">
        <v>20</v>
      </c>
      <c r="F11973" s="5" t="s">
        <v>1369</v>
      </c>
      <c r="G11973" s="6" t="str">
        <f>VLOOKUP(E11973,dicionario!$A$1:$C12372,2,0)</f>
        <v>Sicalis flaveola</v>
      </c>
      <c r="H11973" s="6" t="str">
        <f>VLOOKUP(E11973,dicionario!$A$1:$C12372,3,0)</f>
        <v>canário-da-terra</v>
      </c>
    </row>
    <row r="11974">
      <c r="A11974" s="3">
        <v>45862.0</v>
      </c>
      <c r="B11974" s="4">
        <v>0.27569444444444446</v>
      </c>
      <c r="C11974" s="5" t="s">
        <v>85</v>
      </c>
      <c r="D11974" s="5" t="s">
        <v>1674</v>
      </c>
      <c r="E11974" s="6" t="s">
        <v>53</v>
      </c>
      <c r="F11974" s="5" t="s">
        <v>54</v>
      </c>
      <c r="G11974" s="6" t="str">
        <f>VLOOKUP(E11974,dicionario!$A$1:$C12373,2,0)</f>
        <v>Turnera subulata</v>
      </c>
      <c r="H11974" s="6" t="str">
        <f>VLOOKUP(E11974,dicionario!$A$1:$C12373,3,0)</f>
        <v>xanana</v>
      </c>
    </row>
    <row r="11975">
      <c r="A11975" s="3">
        <v>45862.0</v>
      </c>
      <c r="B11975" s="4">
        <v>0.27569444444444446</v>
      </c>
      <c r="C11975" s="5" t="s">
        <v>85</v>
      </c>
      <c r="D11975" s="5" t="s">
        <v>1674</v>
      </c>
      <c r="E11975" s="8" t="s">
        <v>1352</v>
      </c>
      <c r="F11975" s="5"/>
      <c r="G11975" s="6" t="str">
        <f>VLOOKUP(E11975,dicionario!$A$1:$C12374,2,0)</f>
        <v>#N/A</v>
      </c>
      <c r="H11975" s="6" t="str">
        <f>VLOOKUP(E11975,dicionario!$A$1:$C12374,3,0)</f>
        <v>#N/A</v>
      </c>
    </row>
    <row r="11976">
      <c r="A11976" s="3">
        <v>45862.0</v>
      </c>
      <c r="B11976" s="4">
        <v>0.27569444444444446</v>
      </c>
      <c r="C11976" s="5" t="s">
        <v>85</v>
      </c>
      <c r="D11976" s="5" t="s">
        <v>1674</v>
      </c>
      <c r="E11976" s="8" t="s">
        <v>135</v>
      </c>
      <c r="F11976" s="5" t="s">
        <v>833</v>
      </c>
      <c r="G11976" s="6" t="str">
        <f>VLOOKUP(E11976,dicionario!$A$1:$C12375,2,0)</f>
        <v>Tridax procumbens</v>
      </c>
      <c r="H11976" s="6" t="str">
        <f>VLOOKUP(E11976,dicionario!$A$1:$C12375,3,0)</f>
        <v>erva-de-touro</v>
      </c>
    </row>
    <row r="11977">
      <c r="A11977" s="3">
        <v>45862.0</v>
      </c>
      <c r="B11977" s="4">
        <v>0.27569444444444446</v>
      </c>
      <c r="C11977" s="5" t="s">
        <v>85</v>
      </c>
      <c r="D11977" s="5" t="s">
        <v>1674</v>
      </c>
      <c r="E11977" s="6" t="s">
        <v>88</v>
      </c>
      <c r="F11977" s="5" t="s">
        <v>89</v>
      </c>
      <c r="G11977" s="6" t="str">
        <f>VLOOKUP(E11977,dicionario!$A$1:$C12376,2,0)</f>
        <v>Tyrannus melancolichus</v>
      </c>
      <c r="H11977" s="6" t="str">
        <f>VLOOKUP(E11977,dicionario!$A$1:$C12376,3,0)</f>
        <v>suiriri</v>
      </c>
    </row>
    <row r="11978">
      <c r="A11978" s="3">
        <v>45862.0</v>
      </c>
      <c r="B11978" s="4">
        <v>0.2763888888888889</v>
      </c>
      <c r="C11978" s="5" t="s">
        <v>85</v>
      </c>
      <c r="D11978" s="5" t="s">
        <v>1674</v>
      </c>
      <c r="E11978" s="6" t="s">
        <v>51</v>
      </c>
      <c r="F11978" s="5" t="s">
        <v>321</v>
      </c>
      <c r="G11978" s="6" t="str">
        <f>VLOOKUP(E11978,dicionario!$A$1:$C12377,2,0)</f>
        <v>Solenopsis</v>
      </c>
      <c r="H11978" s="6" t="str">
        <f>VLOOKUP(E11978,dicionario!$A$1:$C12377,3,0)</f>
        <v>formiga-quente; formiga-lava-pés; formiga-de-fogo</v>
      </c>
    </row>
    <row r="11979">
      <c r="A11979" s="3">
        <v>45862.0</v>
      </c>
      <c r="B11979" s="4">
        <v>0.2763888888888889</v>
      </c>
      <c r="C11979" s="5" t="s">
        <v>85</v>
      </c>
      <c r="D11979" s="5" t="s">
        <v>1674</v>
      </c>
      <c r="E11979" s="6" t="s">
        <v>65</v>
      </c>
      <c r="F11979" s="5" t="s">
        <v>819</v>
      </c>
      <c r="G11979" s="6" t="str">
        <f>VLOOKUP(E11979,dicionario!$A$1:$C12378,2,0)</f>
        <v>Pitangus sulphutarus</v>
      </c>
      <c r="H11979" s="6" t="str">
        <f>VLOOKUP(E11979,dicionario!$A$1:$C12378,3,0)</f>
        <v>bem-te-vi</v>
      </c>
    </row>
    <row r="11980">
      <c r="A11980" s="3">
        <v>45862.0</v>
      </c>
      <c r="B11980" s="4">
        <v>0.2763888888888889</v>
      </c>
      <c r="C11980" s="5" t="s">
        <v>85</v>
      </c>
      <c r="D11980" s="5" t="s">
        <v>1674</v>
      </c>
      <c r="E11980" s="6" t="s">
        <v>72</v>
      </c>
      <c r="F11980" s="5" t="s">
        <v>764</v>
      </c>
      <c r="G11980" s="6" t="str">
        <f>VLOOKUP(E11980,dicionario!$A$1:$C12379,2,0)</f>
        <v>Thraupis palmarum</v>
      </c>
      <c r="H11980" s="6" t="str">
        <f>VLOOKUP(E11980,dicionario!$A$1:$C12379,3,0)</f>
        <v>sanhaço-do-coqueiro</v>
      </c>
    </row>
    <row r="11981">
      <c r="A11981" s="3">
        <v>45862.0</v>
      </c>
      <c r="B11981" s="4">
        <v>0.2763888888888889</v>
      </c>
      <c r="C11981" s="5" t="s">
        <v>85</v>
      </c>
      <c r="D11981" s="5" t="s">
        <v>1674</v>
      </c>
      <c r="E11981" s="8" t="s">
        <v>38</v>
      </c>
      <c r="F11981" s="5" t="s">
        <v>1251</v>
      </c>
      <c r="G11981" s="6" t="str">
        <f>VLOOKUP(E11981,dicionario!$A$1:$C12380,2,0)</f>
        <v>Troglodytes musculus</v>
      </c>
      <c r="H11981" s="6" t="str">
        <f>VLOOKUP(E11981,dicionario!$A$1:$C12380,3,0)</f>
        <v>curruíra</v>
      </c>
    </row>
    <row r="11982">
      <c r="A11982" s="3">
        <v>45862.0</v>
      </c>
      <c r="B11982" s="4">
        <v>0.2763888888888889</v>
      </c>
      <c r="C11982" s="5" t="s">
        <v>85</v>
      </c>
      <c r="D11982" s="5" t="s">
        <v>1674</v>
      </c>
      <c r="E11982" s="6" t="s">
        <v>86</v>
      </c>
      <c r="F11982" s="5" t="s">
        <v>783</v>
      </c>
      <c r="G11982" s="6" t="str">
        <f>VLOOKUP(E11982,dicionario!$A$1:$C12381,2,0)</f>
        <v>Coereba flaveola</v>
      </c>
      <c r="H11982" s="6" t="str">
        <f>VLOOKUP(E11982,dicionario!$A$1:$C12381,3,0)</f>
        <v>cambacica</v>
      </c>
    </row>
    <row r="11983">
      <c r="A11983" s="3">
        <v>45862.0</v>
      </c>
      <c r="B11983" s="4">
        <v>0.27708333333333335</v>
      </c>
      <c r="C11983" s="5" t="s">
        <v>85</v>
      </c>
      <c r="D11983" s="5" t="s">
        <v>1674</v>
      </c>
      <c r="E11983" s="8" t="s">
        <v>109</v>
      </c>
      <c r="F11983" s="5" t="s">
        <v>777</v>
      </c>
      <c r="G11983" s="6" t="str">
        <f>VLOOKUP(E11983,dicionario!$A$1:$C12382,2,0)</f>
        <v>Tillandsia stricta</v>
      </c>
      <c r="H11983" s="6" t="str">
        <f>VLOOKUP(E11983,dicionario!$A$1:$C12382,3,0)</f>
        <v>cravo-do-mato</v>
      </c>
    </row>
    <row r="11984">
      <c r="A11984" s="3">
        <v>45862.0</v>
      </c>
      <c r="B11984" s="4">
        <v>0.27708333333333335</v>
      </c>
      <c r="C11984" s="5" t="s">
        <v>85</v>
      </c>
      <c r="D11984" s="5" t="s">
        <v>1674</v>
      </c>
      <c r="E11984" s="6" t="s">
        <v>113</v>
      </c>
      <c r="F11984" s="5" t="s">
        <v>820</v>
      </c>
      <c r="G11984" s="6" t="str">
        <f>VLOOKUP(E11984,dicionario!$A$1:$C12383,2,0)</f>
        <v>Columbina talpacoti</v>
      </c>
      <c r="H11984" s="6" t="str">
        <f>VLOOKUP(E11984,dicionario!$A$1:$C12383,3,0)</f>
        <v>rolinha-roxa</v>
      </c>
    </row>
    <row r="11985">
      <c r="A11985" s="3">
        <v>45862.0</v>
      </c>
      <c r="B11985" s="4">
        <v>0.27708333333333335</v>
      </c>
      <c r="C11985" s="5" t="s">
        <v>85</v>
      </c>
      <c r="D11985" s="5" t="s">
        <v>1674</v>
      </c>
      <c r="E11985" s="6" t="s">
        <v>122</v>
      </c>
      <c r="F11985" s="5" t="s">
        <v>1582</v>
      </c>
      <c r="G11985" s="6" t="str">
        <f>VLOOKUP(E11985,dicionario!$A$1:$C12384,2,0)</f>
        <v>Todirostrum cinereum</v>
      </c>
      <c r="H11985" s="6" t="str">
        <f>VLOOKUP(E11985,dicionario!$A$1:$C12384,3,0)</f>
        <v>ferreirinho-relógio</v>
      </c>
    </row>
    <row r="11986">
      <c r="A11986" s="3">
        <v>45862.0</v>
      </c>
      <c r="B11986" s="4">
        <v>0.27708333333333335</v>
      </c>
      <c r="C11986" s="5" t="s">
        <v>85</v>
      </c>
      <c r="D11986" s="5" t="s">
        <v>1674</v>
      </c>
      <c r="E11986" s="8" t="s">
        <v>271</v>
      </c>
      <c r="F11986" s="5" t="s">
        <v>1575</v>
      </c>
      <c r="G11986" s="6" t="str">
        <f>VLOOKUP(E11986,dicionario!$A$1:$C12385,2,0)</f>
        <v>Cyanthillium cinereum</v>
      </c>
      <c r="H11986" s="6" t="str">
        <f>VLOOKUP(E11986,dicionario!$A$1:$C12385,3,0)</f>
        <v>emília</v>
      </c>
    </row>
    <row r="11987">
      <c r="A11987" s="3">
        <v>45862.0</v>
      </c>
      <c r="B11987" s="4">
        <v>0.27708333333333335</v>
      </c>
      <c r="C11987" s="5" t="s">
        <v>85</v>
      </c>
      <c r="D11987" s="5" t="s">
        <v>1674</v>
      </c>
      <c r="E11987" s="6" t="s">
        <v>14</v>
      </c>
      <c r="F11987" s="5" t="s">
        <v>1599</v>
      </c>
      <c r="G11987" s="6" t="str">
        <f>VLOOKUP(E11987,dicionario!$A$1:$C12386,2,0)</f>
        <v>Spermacoce verticillata</v>
      </c>
      <c r="H11987" s="6" t="str">
        <f>VLOOKUP(E11987,dicionario!$A$1:$C12386,3,0)</f>
        <v>vassourinha-de-botão</v>
      </c>
    </row>
    <row r="11988">
      <c r="A11988" s="3">
        <v>45862.0</v>
      </c>
      <c r="B11988" s="4">
        <v>0.2777777777777778</v>
      </c>
      <c r="C11988" s="5" t="s">
        <v>85</v>
      </c>
      <c r="D11988" s="5" t="s">
        <v>1674</v>
      </c>
      <c r="E11988" s="8" t="s">
        <v>1344</v>
      </c>
      <c r="F11988" s="5" t="s">
        <v>1360</v>
      </c>
      <c r="G11988" s="6" t="str">
        <f>VLOOKUP(E11988,dicionario!$A$1:$C12387,2,0)</f>
        <v>#N/A</v>
      </c>
      <c r="H11988" s="6" t="str">
        <f>VLOOKUP(E11988,dicionario!$A$1:$C12387,3,0)</f>
        <v>#N/A</v>
      </c>
    </row>
    <row r="11989">
      <c r="A11989" s="3">
        <v>45862.0</v>
      </c>
      <c r="B11989" s="4">
        <v>0.2777777777777778</v>
      </c>
      <c r="C11989" s="5" t="s">
        <v>85</v>
      </c>
      <c r="D11989" s="5" t="s">
        <v>1674</v>
      </c>
      <c r="E11989" s="6" t="s">
        <v>113</v>
      </c>
      <c r="F11989" s="5" t="s">
        <v>820</v>
      </c>
      <c r="G11989" s="6" t="str">
        <f>VLOOKUP(E11989,dicionario!$A$1:$C12388,2,0)</f>
        <v>Columbina talpacoti</v>
      </c>
      <c r="H11989" s="6" t="str">
        <f>VLOOKUP(E11989,dicionario!$A$1:$C12388,3,0)</f>
        <v>rolinha-roxa</v>
      </c>
    </row>
    <row r="11990">
      <c r="A11990" s="3">
        <v>45862.0</v>
      </c>
      <c r="B11990" s="4">
        <v>0.2798611111111111</v>
      </c>
      <c r="C11990" s="5" t="s">
        <v>85</v>
      </c>
      <c r="D11990" s="5" t="s">
        <v>1674</v>
      </c>
      <c r="E11990" s="8" t="s">
        <v>624</v>
      </c>
      <c r="F11990" s="5" t="s">
        <v>133</v>
      </c>
      <c r="G11990" s="6" t="str">
        <f>VLOOKUP(E11990,dicionario!$A$1:$C12389,2,0)</f>
        <v>Euphonia violacea</v>
      </c>
      <c r="H11990" s="6" t="str">
        <f>VLOOKUP(E11990,dicionario!$A$1:$C12389,3,0)</f>
        <v>gaturamo-verdadeiro</v>
      </c>
    </row>
    <row r="11991">
      <c r="A11991" s="3">
        <v>45862.0</v>
      </c>
      <c r="B11991" s="4">
        <v>0.2798611111111111</v>
      </c>
      <c r="C11991" s="5" t="s">
        <v>85</v>
      </c>
      <c r="D11991" s="5" t="s">
        <v>1674</v>
      </c>
      <c r="E11991" s="8" t="s">
        <v>909</v>
      </c>
      <c r="F11991" s="5" t="s">
        <v>1636</v>
      </c>
      <c r="G11991" s="6" t="str">
        <f>VLOOKUP(E11991,dicionario!$A$1:$C12390,2,0)</f>
        <v>Chordeiles acutipennis</v>
      </c>
      <c r="H11991" s="6" t="str">
        <f>VLOOKUP(E11991,dicionario!$A$1:$C12390,3,0)</f>
        <v>bacurau-de-asa-fina</v>
      </c>
    </row>
    <row r="11992">
      <c r="A11992" s="3">
        <v>45862.0</v>
      </c>
      <c r="B11992" s="4">
        <v>0.28055555555555556</v>
      </c>
      <c r="C11992" s="5" t="s">
        <v>85</v>
      </c>
      <c r="D11992" s="5" t="s">
        <v>1674</v>
      </c>
      <c r="E11992" s="8" t="s">
        <v>162</v>
      </c>
      <c r="F11992" s="5" t="s">
        <v>42</v>
      </c>
      <c r="G11992" s="6" t="str">
        <f>VLOOKUP(E11992,dicionario!$A$1:$C12391,2,0)</f>
        <v>Fluvicola nengeta</v>
      </c>
      <c r="H11992" s="6" t="str">
        <f>VLOOKUP(E11992,dicionario!$A$1:$C12391,3,0)</f>
        <v>lavadeira-mascarada</v>
      </c>
    </row>
    <row r="11993">
      <c r="A11993" s="3">
        <v>45862.0</v>
      </c>
      <c r="B11993" s="4">
        <v>0.28194444444444444</v>
      </c>
      <c r="C11993" s="5" t="s">
        <v>76</v>
      </c>
      <c r="D11993" s="5" t="s">
        <v>1674</v>
      </c>
      <c r="E11993" s="65" t="s">
        <v>1394</v>
      </c>
      <c r="F11993" s="5" t="s">
        <v>1395</v>
      </c>
      <c r="G11993" s="6" t="str">
        <f>VLOOKUP(E11993,dicionario!$A$1:$C12392,2,0)</f>
        <v>Cecropia glaziovii</v>
      </c>
      <c r="H11993" s="6" t="str">
        <f>VLOOKUP(E11993,dicionario!$A$1:$C12392,3,0)</f>
        <v>embaúba-vermelha-do-sul</v>
      </c>
    </row>
    <row r="11994">
      <c r="A11994" s="3">
        <v>45862.0</v>
      </c>
      <c r="B11994" s="4">
        <v>0.2826388888888889</v>
      </c>
      <c r="C11994" s="5" t="s">
        <v>76</v>
      </c>
      <c r="D11994" s="5" t="s">
        <v>1674</v>
      </c>
      <c r="E11994" s="6" t="s">
        <v>191</v>
      </c>
      <c r="F11994" s="5" t="s">
        <v>771</v>
      </c>
      <c r="G11994" s="6" t="str">
        <f>VLOOKUP(E11994,dicionario!$A$1:$C12393,2,0)</f>
        <v>Patagioenas picazuro</v>
      </c>
      <c r="H11994" s="6" t="str">
        <f>VLOOKUP(E11994,dicionario!$A$1:$C12393,3,0)</f>
        <v>asa-branca; pomba-asa-branca; pocaçu</v>
      </c>
    </row>
    <row r="11995">
      <c r="A11995" s="3">
        <v>45862.0</v>
      </c>
      <c r="B11995" s="4">
        <v>0.2826388888888889</v>
      </c>
      <c r="C11995" s="5" t="s">
        <v>76</v>
      </c>
      <c r="D11995" s="5" t="s">
        <v>1674</v>
      </c>
      <c r="E11995" s="6" t="s">
        <v>86</v>
      </c>
      <c r="F11995" s="5" t="s">
        <v>783</v>
      </c>
      <c r="G11995" s="6" t="str">
        <f>VLOOKUP(E11995,dicionario!$A$1:$C12394,2,0)</f>
        <v>Coereba flaveola</v>
      </c>
      <c r="H11995" s="6" t="str">
        <f>VLOOKUP(E11995,dicionario!$A$1:$C12394,3,0)</f>
        <v>cambacica</v>
      </c>
    </row>
    <row r="11996">
      <c r="A11996" s="3">
        <v>45862.0</v>
      </c>
      <c r="B11996" s="4">
        <v>0.2833333333333333</v>
      </c>
      <c r="C11996" s="5" t="s">
        <v>76</v>
      </c>
      <c r="D11996" s="5" t="s">
        <v>1674</v>
      </c>
      <c r="E11996" s="6" t="s">
        <v>65</v>
      </c>
      <c r="F11996" s="5" t="s">
        <v>819</v>
      </c>
      <c r="G11996" s="6" t="str">
        <f>VLOOKUP(E11996,dicionario!$A$1:$C12395,2,0)</f>
        <v>Pitangus sulphutarus</v>
      </c>
      <c r="H11996" s="6" t="str">
        <f>VLOOKUP(E11996,dicionario!$A$1:$C12395,3,0)</f>
        <v>bem-te-vi</v>
      </c>
    </row>
    <row r="11997">
      <c r="A11997" s="3">
        <v>45862.0</v>
      </c>
      <c r="B11997" s="4">
        <v>0.2833333333333333</v>
      </c>
      <c r="C11997" s="5" t="s">
        <v>76</v>
      </c>
      <c r="D11997" s="5" t="s">
        <v>1674</v>
      </c>
      <c r="E11997" s="6" t="s">
        <v>148</v>
      </c>
      <c r="F11997" s="5" t="s">
        <v>149</v>
      </c>
      <c r="G11997" s="6" t="str">
        <f>VLOOKUP(E11997,dicionario!$A$1:$C12396,2,0)</f>
        <v>Parthenium hysterophorus</v>
      </c>
      <c r="H11997" s="6" t="str">
        <f>VLOOKUP(E11997,dicionario!$A$1:$C12396,3,0)</f>
        <v>losna-branca</v>
      </c>
    </row>
    <row r="11998">
      <c r="A11998" s="3">
        <v>45862.0</v>
      </c>
      <c r="B11998" s="4">
        <v>0.2833333333333333</v>
      </c>
      <c r="C11998" s="5" t="s">
        <v>76</v>
      </c>
      <c r="D11998" s="5" t="s">
        <v>1674</v>
      </c>
      <c r="E11998" s="6" t="s">
        <v>141</v>
      </c>
      <c r="F11998" s="5" t="s">
        <v>875</v>
      </c>
      <c r="G11998" s="6" t="str">
        <f>VLOOKUP(E11998,dicionario!$A$1:$C12397,2,0)</f>
        <v>Ruellia blechum</v>
      </c>
      <c r="H11998" s="6" t="str">
        <f>VLOOKUP(E11998,dicionario!$A$1:$C12397,3,0)</f>
        <v>camarão-verde</v>
      </c>
    </row>
    <row r="11999">
      <c r="A11999" s="3">
        <v>45862.0</v>
      </c>
      <c r="B11999" s="4">
        <v>0.2833333333333333</v>
      </c>
      <c r="C11999" s="5" t="s">
        <v>76</v>
      </c>
      <c r="D11999" s="5" t="s">
        <v>1674</v>
      </c>
      <c r="E11999" s="72" t="s">
        <v>1087</v>
      </c>
      <c r="F11999" s="5" t="s">
        <v>1088</v>
      </c>
      <c r="G11999" s="6" t="str">
        <f>VLOOKUP(E11999,dicionario!$A$1:$C12398,2,0)</f>
        <v>Desmodium triflorum</v>
      </c>
      <c r="H11999" s="6" t="str">
        <f>VLOOKUP(E11999,dicionario!$A$1:$C12398,3,0)</f>
        <v/>
      </c>
    </row>
    <row r="12000">
      <c r="A12000" s="3">
        <v>45862.0</v>
      </c>
      <c r="B12000" s="4">
        <v>0.2833333333333333</v>
      </c>
      <c r="C12000" s="5" t="s">
        <v>76</v>
      </c>
      <c r="D12000" s="5" t="s">
        <v>1674</v>
      </c>
      <c r="E12000" s="6" t="s">
        <v>247</v>
      </c>
      <c r="F12000" s="5" t="s">
        <v>387</v>
      </c>
      <c r="G12000" s="6" t="str">
        <f>VLOOKUP(E12000,dicionario!$A$1:$C12399,2,0)</f>
        <v>Emilia sonchifolia</v>
      </c>
      <c r="H12000" s="6" t="str">
        <f>VLOOKUP(E12000,dicionario!$A$1:$C12399,3,0)</f>
        <v>serralinha</v>
      </c>
    </row>
    <row r="12001">
      <c r="A12001" s="3">
        <v>45862.0</v>
      </c>
      <c r="B12001" s="4">
        <v>0.2833333333333333</v>
      </c>
      <c r="C12001" s="5" t="s">
        <v>76</v>
      </c>
      <c r="D12001" s="5" t="s">
        <v>1674</v>
      </c>
      <c r="E12001" s="6" t="s">
        <v>154</v>
      </c>
      <c r="F12001" s="5" t="s">
        <v>1585</v>
      </c>
      <c r="G12001" s="6" t="str">
        <f>VLOOKUP(E12001,dicionario!$A$1:$C12400,2,0)</f>
        <v>Cyperus rotundus</v>
      </c>
      <c r="H12001" s="6" t="str">
        <f>VLOOKUP(E12001,dicionario!$A$1:$C12400,3,0)</f>
        <v>tiririca</v>
      </c>
    </row>
    <row r="12002">
      <c r="A12002" s="3">
        <v>45862.0</v>
      </c>
      <c r="B12002" s="4">
        <v>0.2833333333333333</v>
      </c>
      <c r="C12002" s="5" t="s">
        <v>76</v>
      </c>
      <c r="D12002" s="5" t="s">
        <v>1674</v>
      </c>
      <c r="E12002" s="18" t="s">
        <v>611</v>
      </c>
      <c r="F12002" s="5" t="s">
        <v>612</v>
      </c>
      <c r="G12002" s="6" t="str">
        <f>VLOOKUP(E12002,dicionario!$A$1:$C12401,2,0)</f>
        <v>Boehmeria cylindrica</v>
      </c>
      <c r="H12002" s="6" t="str">
        <f>VLOOKUP(E12002,dicionario!$A$1:$C12401,3,0)</f>
        <v>falsa-urtiga</v>
      </c>
    </row>
    <row r="12003">
      <c r="A12003" s="3">
        <v>45862.0</v>
      </c>
      <c r="B12003" s="4">
        <v>0.2833333333333333</v>
      </c>
      <c r="C12003" s="5" t="s">
        <v>76</v>
      </c>
      <c r="D12003" s="5" t="s">
        <v>1674</v>
      </c>
      <c r="E12003" s="6" t="s">
        <v>146</v>
      </c>
      <c r="F12003" s="5" t="s">
        <v>147</v>
      </c>
      <c r="G12003" s="6" t="str">
        <f>VLOOKUP(E12003,dicionario!$A$1:$C12402,2,0)</f>
        <v>Euphorbia hirta</v>
      </c>
      <c r="H12003" s="6" t="str">
        <f>VLOOKUP(E12003,dicionario!$A$1:$C12402,3,0)</f>
        <v>erva-de-santa-luzia</v>
      </c>
    </row>
    <row r="12004">
      <c r="A12004" s="3">
        <v>45862.0</v>
      </c>
      <c r="B12004" s="4">
        <v>0.28402777777777777</v>
      </c>
      <c r="C12004" s="5" t="s">
        <v>76</v>
      </c>
      <c r="D12004" s="5" t="s">
        <v>1674</v>
      </c>
      <c r="E12004" s="8" t="s">
        <v>1352</v>
      </c>
      <c r="F12004" s="5"/>
      <c r="G12004" s="6" t="str">
        <f>VLOOKUP(E12004,dicionario!$A$1:$C12403,2,0)</f>
        <v>#N/A</v>
      </c>
      <c r="H12004" s="6" t="str">
        <f>VLOOKUP(E12004,dicionario!$A$1:$C12403,3,0)</f>
        <v>#N/A</v>
      </c>
    </row>
    <row r="12005">
      <c r="A12005" s="3">
        <v>45862.0</v>
      </c>
      <c r="B12005" s="4">
        <v>0.28402777777777777</v>
      </c>
      <c r="C12005" s="5" t="s">
        <v>76</v>
      </c>
      <c r="D12005" s="5" t="s">
        <v>1674</v>
      </c>
      <c r="E12005" s="6" t="s">
        <v>296</v>
      </c>
      <c r="F12005" s="5" t="s">
        <v>1537</v>
      </c>
      <c r="G12005" s="6" t="str">
        <f>VLOOKUP(E12005,dicionario!$A$1:$C12404,2,0)</f>
        <v>Richardia brasiliensis</v>
      </c>
      <c r="H12005" s="6" t="str">
        <f>VLOOKUP(E12005,dicionario!$A$1:$C12404,3,0)</f>
        <v>poaia-branca</v>
      </c>
    </row>
    <row r="12006">
      <c r="A12006" s="3">
        <v>45862.0</v>
      </c>
      <c r="B12006" s="4">
        <v>0.28402777777777777</v>
      </c>
      <c r="C12006" s="5" t="s">
        <v>76</v>
      </c>
      <c r="D12006" s="5" t="s">
        <v>1674</v>
      </c>
      <c r="E12006" s="8" t="s">
        <v>271</v>
      </c>
      <c r="F12006" s="5" t="s">
        <v>1575</v>
      </c>
      <c r="G12006" s="6" t="str">
        <f>VLOOKUP(E12006,dicionario!$A$1:$C12405,2,0)</f>
        <v>Cyanthillium cinereum</v>
      </c>
      <c r="H12006" s="6" t="str">
        <f>VLOOKUP(E12006,dicionario!$A$1:$C12405,3,0)</f>
        <v>emília</v>
      </c>
    </row>
    <row r="12007">
      <c r="A12007" s="3">
        <v>45862.0</v>
      </c>
      <c r="B12007" s="4">
        <v>0.28402777777777777</v>
      </c>
      <c r="C12007" s="5" t="s">
        <v>76</v>
      </c>
      <c r="D12007" s="5" t="s">
        <v>1674</v>
      </c>
      <c r="E12007" s="8" t="s">
        <v>1328</v>
      </c>
      <c r="F12007" s="5" t="s">
        <v>1548</v>
      </c>
      <c r="G12007" s="6" t="str">
        <f>VLOOKUP(E12007,dicionario!$A$1:$C12406,2,0)</f>
        <v>#N/A</v>
      </c>
      <c r="H12007" s="6" t="str">
        <f>VLOOKUP(E12007,dicionario!$A$1:$C12406,3,0)</f>
        <v>#N/A</v>
      </c>
    </row>
    <row r="12008">
      <c r="A12008" s="3">
        <v>45862.0</v>
      </c>
      <c r="B12008" s="4">
        <v>0.28402777777777777</v>
      </c>
      <c r="C12008" s="5" t="s">
        <v>76</v>
      </c>
      <c r="D12008" s="5" t="s">
        <v>1674</v>
      </c>
      <c r="E12008" s="6" t="s">
        <v>267</v>
      </c>
      <c r="F12008" s="5" t="s">
        <v>553</v>
      </c>
      <c r="G12008" s="6" t="str">
        <f>VLOOKUP(E12008,dicionario!$A$1:$C12407,2,0)</f>
        <v>Solanum americanum</v>
      </c>
      <c r="H12008" s="6" t="str">
        <f>VLOOKUP(E12008,dicionario!$A$1:$C12407,3,0)</f>
        <v>maria-pretinha</v>
      </c>
    </row>
    <row r="12009">
      <c r="A12009" s="3">
        <v>45862.0</v>
      </c>
      <c r="B12009" s="4">
        <v>0.28402777777777777</v>
      </c>
      <c r="C12009" s="5" t="s">
        <v>76</v>
      </c>
      <c r="D12009" s="5" t="s">
        <v>1674</v>
      </c>
      <c r="E12009" s="6" t="s">
        <v>227</v>
      </c>
      <c r="F12009" s="5" t="s">
        <v>813</v>
      </c>
      <c r="G12009" s="6" t="str">
        <f>VLOOKUP(E12009,dicionario!$A$1:$C12408,2,0)</f>
        <v>Indigofera hirsuta</v>
      </c>
      <c r="H12009" s="6" t="str">
        <f>VLOOKUP(E12009,dicionario!$A$1:$C12408,3,0)</f>
        <v>anileira</v>
      </c>
    </row>
    <row r="12010">
      <c r="A12010" s="3">
        <v>45862.0</v>
      </c>
      <c r="B12010" s="4">
        <v>0.2847222222222222</v>
      </c>
      <c r="C12010" s="5" t="s">
        <v>76</v>
      </c>
      <c r="D12010" s="5" t="s">
        <v>1674</v>
      </c>
      <c r="E12010" s="6" t="s">
        <v>48</v>
      </c>
      <c r="F12010" s="5" t="s">
        <v>798</v>
      </c>
      <c r="G12010" s="6" t="str">
        <f>VLOOKUP(E12010,dicionario!$A$1:$C12409,2,0)</f>
        <v>Commelina erecta</v>
      </c>
      <c r="H12010" s="6" t="str">
        <f>VLOOKUP(E12010,dicionario!$A$1:$C12409,3,0)</f>
        <v>trapoeraba</v>
      </c>
    </row>
    <row r="12011">
      <c r="A12011" s="3">
        <v>45862.0</v>
      </c>
      <c r="B12011" s="4">
        <v>0.2847222222222222</v>
      </c>
      <c r="C12011" s="5" t="s">
        <v>76</v>
      </c>
      <c r="D12011" s="5" t="s">
        <v>1674</v>
      </c>
      <c r="E12011" s="6" t="s">
        <v>177</v>
      </c>
      <c r="F12011" s="5" t="s">
        <v>804</v>
      </c>
      <c r="G12011" s="6" t="str">
        <f>VLOOKUP(E12011,dicionario!$A$1:$C12410,2,0)</f>
        <v>Elaenia flavogaster</v>
      </c>
      <c r="H12011" s="6" t="str">
        <f>VLOOKUP(E12011,dicionario!$A$1:$C12410,3,0)</f>
        <v>guaracava-de-barriga-amarela</v>
      </c>
    </row>
    <row r="12012">
      <c r="A12012" s="3">
        <v>45862.0</v>
      </c>
      <c r="B12012" s="4">
        <v>0.2847222222222222</v>
      </c>
      <c r="C12012" s="5" t="s">
        <v>76</v>
      </c>
      <c r="D12012" s="5" t="s">
        <v>1674</v>
      </c>
      <c r="E12012" s="8" t="s">
        <v>1676</v>
      </c>
      <c r="F12012" s="5" t="s">
        <v>475</v>
      </c>
      <c r="G12012" s="6" t="str">
        <f>VLOOKUP(E12012,dicionario!$A$1:$C12411,2,0)</f>
        <v>#N/A</v>
      </c>
      <c r="H12012" s="6" t="str">
        <f>VLOOKUP(E12012,dicionario!$A$1:$C12411,3,0)</f>
        <v>#N/A</v>
      </c>
    </row>
    <row r="12013">
      <c r="A12013" s="3">
        <v>45862.0</v>
      </c>
      <c r="B12013" s="4">
        <v>0.28541666666666665</v>
      </c>
      <c r="C12013" s="5" t="s">
        <v>76</v>
      </c>
      <c r="D12013" s="5" t="s">
        <v>1674</v>
      </c>
      <c r="E12013" s="8" t="s">
        <v>624</v>
      </c>
      <c r="F12013" s="5" t="s">
        <v>133</v>
      </c>
      <c r="G12013" s="6" t="str">
        <f>VLOOKUP(E12013,dicionario!$A$1:$C12412,2,0)</f>
        <v>Euphonia violacea</v>
      </c>
      <c r="H12013" s="6" t="str">
        <f>VLOOKUP(E12013,dicionario!$A$1:$C12412,3,0)</f>
        <v>gaturamo-verdadeiro</v>
      </c>
    </row>
    <row r="12014">
      <c r="A12014" s="3">
        <v>45862.0</v>
      </c>
      <c r="B12014" s="4">
        <v>0.28541666666666665</v>
      </c>
      <c r="C12014" s="5" t="s">
        <v>76</v>
      </c>
      <c r="D12014" s="5" t="s">
        <v>1674</v>
      </c>
      <c r="E12014" s="6" t="s">
        <v>72</v>
      </c>
      <c r="F12014" s="5" t="s">
        <v>764</v>
      </c>
      <c r="G12014" s="6" t="str">
        <f>VLOOKUP(E12014,dicionario!$A$1:$C12413,2,0)</f>
        <v>Thraupis palmarum</v>
      </c>
      <c r="H12014" s="6" t="str">
        <f>VLOOKUP(E12014,dicionario!$A$1:$C12413,3,0)</f>
        <v>sanhaço-do-coqueiro</v>
      </c>
    </row>
    <row r="12015">
      <c r="A12015" s="3">
        <v>45862.0</v>
      </c>
      <c r="B12015" s="4">
        <v>0.28541666666666665</v>
      </c>
      <c r="C12015" s="5" t="s">
        <v>76</v>
      </c>
      <c r="D12015" s="5" t="s">
        <v>1674</v>
      </c>
      <c r="E12015" s="8" t="s">
        <v>135</v>
      </c>
      <c r="F12015" s="5" t="s">
        <v>833</v>
      </c>
      <c r="G12015" s="6" t="str">
        <f>VLOOKUP(E12015,dicionario!$A$1:$C12414,2,0)</f>
        <v>Tridax procumbens</v>
      </c>
      <c r="H12015" s="6" t="str">
        <f>VLOOKUP(E12015,dicionario!$A$1:$C12414,3,0)</f>
        <v>erva-de-touro</v>
      </c>
    </row>
    <row r="12016">
      <c r="A12016" s="3">
        <v>45862.0</v>
      </c>
      <c r="B12016" s="4">
        <v>0.28541666666666665</v>
      </c>
      <c r="C12016" s="5" t="s">
        <v>76</v>
      </c>
      <c r="D12016" s="5" t="s">
        <v>1674</v>
      </c>
      <c r="E12016" s="6" t="s">
        <v>319</v>
      </c>
      <c r="F12016" s="5" t="s">
        <v>320</v>
      </c>
      <c r="G12016" s="6" t="str">
        <f>VLOOKUP(E12016,dicionario!$A$1:$C12415,2,0)</f>
        <v>Schinus terebinthifolia</v>
      </c>
      <c r="H12016" s="6" t="str">
        <f>VLOOKUP(E12016,dicionario!$A$1:$C12415,3,0)</f>
        <v>aroeira</v>
      </c>
    </row>
    <row r="12017">
      <c r="A12017" s="3">
        <v>45862.0</v>
      </c>
      <c r="B12017" s="4">
        <v>0.28541666666666665</v>
      </c>
      <c r="C12017" s="5" t="s">
        <v>76</v>
      </c>
      <c r="D12017" s="5" t="s">
        <v>1674</v>
      </c>
      <c r="E12017" s="8" t="s">
        <v>69</v>
      </c>
      <c r="F12017" s="5" t="s">
        <v>1657</v>
      </c>
      <c r="G12017" s="6" t="str">
        <f>VLOOKUP(E12017,dicionario!$A$1:$C12416,2,0)</f>
        <v>Talinum fruticosum</v>
      </c>
      <c r="H12017" s="6" t="str">
        <f>VLOOKUP(E12017,dicionario!$A$1:$C12416,3,0)</f>
        <v>beldroega-grande</v>
      </c>
    </row>
    <row r="12018">
      <c r="A12018" s="3">
        <v>45862.0</v>
      </c>
      <c r="B12018" s="4">
        <v>0.28541666666666665</v>
      </c>
      <c r="C12018" s="5" t="s">
        <v>76</v>
      </c>
      <c r="D12018" s="5" t="s">
        <v>1674</v>
      </c>
      <c r="E12018" s="6" t="s">
        <v>467</v>
      </c>
      <c r="F12018" s="5" t="s">
        <v>1643</v>
      </c>
      <c r="G12018" s="6" t="str">
        <f>VLOOKUP(E12018,dicionario!$A$1:$C12417,2,0)</f>
        <v>Eleusine indica</v>
      </c>
      <c r="H12018" s="6" t="str">
        <f>VLOOKUP(E12018,dicionario!$A$1:$C12417,3,0)</f>
        <v>capim-pé-de-galinha</v>
      </c>
    </row>
    <row r="12019">
      <c r="A12019" s="3">
        <v>45862.0</v>
      </c>
      <c r="B12019" s="4">
        <v>0.2861111111111111</v>
      </c>
      <c r="C12019" s="5" t="s">
        <v>76</v>
      </c>
      <c r="D12019" s="5" t="s">
        <v>1674</v>
      </c>
      <c r="E12019" s="6" t="s">
        <v>471</v>
      </c>
      <c r="F12019" s="5" t="s">
        <v>884</v>
      </c>
      <c r="G12019" s="6" t="str">
        <f>VLOOKUP(E12019,dicionario!$A$1:$C12418,2,0)</f>
        <v>Sida acuta</v>
      </c>
      <c r="H12019" s="6" t="str">
        <f>VLOOKUP(E12019,dicionario!$A$1:$C12418,3,0)</f>
        <v>reloginho</v>
      </c>
    </row>
    <row r="12020">
      <c r="A12020" s="3">
        <v>45862.0</v>
      </c>
      <c r="B12020" s="4">
        <v>0.2861111111111111</v>
      </c>
      <c r="C12020" s="5" t="s">
        <v>76</v>
      </c>
      <c r="D12020" s="5" t="s">
        <v>1674</v>
      </c>
      <c r="E12020" s="6" t="s">
        <v>602</v>
      </c>
      <c r="F12020" s="5" t="s">
        <v>603</v>
      </c>
      <c r="G12020" s="6" t="str">
        <f>VLOOKUP(E12020,dicionario!$A$1:$C12419,2,0)</f>
        <v>Trametes sanguinea</v>
      </c>
      <c r="H12020" s="6" t="str">
        <f>VLOOKUP(E12020,dicionario!$A$1:$C12419,3,0)</f>
        <v>orelha-de-pau</v>
      </c>
    </row>
    <row r="12021">
      <c r="A12021" s="3">
        <v>45862.0</v>
      </c>
      <c r="B12021" s="4">
        <v>0.2861111111111111</v>
      </c>
      <c r="C12021" s="5" t="s">
        <v>76</v>
      </c>
      <c r="D12021" s="5" t="s">
        <v>1674</v>
      </c>
      <c r="E12021" s="8" t="s">
        <v>262</v>
      </c>
      <c r="F12021" s="5" t="s">
        <v>1256</v>
      </c>
      <c r="G12021" s="6" t="str">
        <f>VLOOKUP(E12021,dicionario!$A$1:$C12420,2,0)</f>
        <v>Portulaca oleracea</v>
      </c>
      <c r="H12021" s="6" t="str">
        <f>VLOOKUP(E12021,dicionario!$A$1:$C12420,3,0)</f>
        <v>beldroega</v>
      </c>
    </row>
    <row r="12022">
      <c r="A12022" s="3">
        <v>45862.0</v>
      </c>
      <c r="B12022" s="4">
        <v>0.2861111111111111</v>
      </c>
      <c r="C12022" s="5" t="s">
        <v>76</v>
      </c>
      <c r="D12022" s="5" t="s">
        <v>1674</v>
      </c>
      <c r="E12022" s="6" t="s">
        <v>288</v>
      </c>
      <c r="F12022" s="5" t="s">
        <v>289</v>
      </c>
      <c r="G12022" s="6" t="str">
        <f>VLOOKUP(E12022,dicionario!$A$1:$C12421,2,0)</f>
        <v>Phyllanthus tenellus</v>
      </c>
      <c r="H12022" s="6" t="str">
        <f>VLOOKUP(E12022,dicionario!$A$1:$C12421,3,0)</f>
        <v>quebra-pedra</v>
      </c>
    </row>
    <row r="12023">
      <c r="A12023" s="3">
        <v>45862.0</v>
      </c>
      <c r="B12023" s="4">
        <v>0.28680555555555554</v>
      </c>
      <c r="C12023" s="5" t="s">
        <v>76</v>
      </c>
      <c r="D12023" s="5" t="s">
        <v>1674</v>
      </c>
      <c r="E12023" s="6" t="s">
        <v>150</v>
      </c>
      <c r="F12023" s="5" t="s">
        <v>769</v>
      </c>
      <c r="G12023" s="6" t="str">
        <f>VLOOKUP(E12023,dicionario!$A$1:$C12422,2,0)</f>
        <v>Amaranthus viridis</v>
      </c>
      <c r="H12023" s="6" t="str">
        <f>VLOOKUP(E12023,dicionario!$A$1:$C12422,3,0)</f>
        <v>caruru-de-mancha</v>
      </c>
    </row>
    <row r="12024">
      <c r="A12024" s="3">
        <v>45862.0</v>
      </c>
      <c r="B12024" s="4">
        <v>0.28680555555555554</v>
      </c>
      <c r="C12024" s="5" t="s">
        <v>76</v>
      </c>
      <c r="D12024" s="5" t="s">
        <v>1674</v>
      </c>
      <c r="E12024" s="8" t="s">
        <v>20</v>
      </c>
      <c r="F12024" s="5" t="s">
        <v>1369</v>
      </c>
      <c r="G12024" s="6" t="str">
        <f>VLOOKUP(E12024,dicionario!$A$1:$C12423,2,0)</f>
        <v>Sicalis flaveola</v>
      </c>
      <c r="H12024" s="6" t="str">
        <f>VLOOKUP(E12024,dicionario!$A$1:$C12423,3,0)</f>
        <v>canário-da-terra</v>
      </c>
    </row>
    <row r="12025">
      <c r="A12025" s="3">
        <v>45862.0</v>
      </c>
      <c r="B12025" s="4">
        <v>0.28680555555555554</v>
      </c>
      <c r="C12025" s="5" t="s">
        <v>76</v>
      </c>
      <c r="D12025" s="5" t="s">
        <v>1674</v>
      </c>
      <c r="E12025" s="6" t="s">
        <v>290</v>
      </c>
      <c r="F12025" s="5" t="s">
        <v>291</v>
      </c>
      <c r="G12025" s="6" t="str">
        <f>VLOOKUP(E12025,dicionario!$A$1:$C12424,2,0)</f>
        <v>Drymaria cordata</v>
      </c>
      <c r="H12025" s="6" t="str">
        <f>VLOOKUP(E12025,dicionario!$A$1:$C12424,3,0)</f>
        <v>orelha-de-rato</v>
      </c>
    </row>
    <row r="12026">
      <c r="A12026" s="3">
        <v>45862.0</v>
      </c>
      <c r="B12026" s="4">
        <v>0.28680555555555554</v>
      </c>
      <c r="C12026" s="5" t="s">
        <v>76</v>
      </c>
      <c r="D12026" s="5" t="s">
        <v>1674</v>
      </c>
      <c r="E12026" s="6" t="s">
        <v>171</v>
      </c>
      <c r="F12026" s="5" t="s">
        <v>172</v>
      </c>
      <c r="G12026" s="6" t="str">
        <f>VLOOKUP(E12026,dicionario!$A$1:$C12425,2,0)</f>
        <v>Oxalis corniculata</v>
      </c>
      <c r="H12026" s="6" t="str">
        <f>VLOOKUP(E12026,dicionario!$A$1:$C12425,3,0)</f>
        <v>trevo-azedinho</v>
      </c>
    </row>
    <row r="12027">
      <c r="A12027" s="3">
        <v>45862.0</v>
      </c>
      <c r="B12027" s="4">
        <v>0.28680555555555554</v>
      </c>
      <c r="C12027" s="5" t="s">
        <v>76</v>
      </c>
      <c r="D12027" s="5" t="s">
        <v>1674</v>
      </c>
      <c r="E12027" s="8" t="s">
        <v>1503</v>
      </c>
      <c r="F12027" s="5" t="s">
        <v>1504</v>
      </c>
      <c r="G12027" s="6" t="str">
        <f>VLOOKUP(E12027,dicionario!$A$1:$C12426,2,0)</f>
        <v>#N/A</v>
      </c>
      <c r="H12027" s="6" t="str">
        <f>VLOOKUP(E12027,dicionario!$A$1:$C12426,3,0)</f>
        <v>#N/A</v>
      </c>
    </row>
    <row r="12028">
      <c r="A12028" s="3">
        <v>45862.0</v>
      </c>
      <c r="B12028" s="4">
        <v>0.28680555555555554</v>
      </c>
      <c r="C12028" s="5" t="s">
        <v>76</v>
      </c>
      <c r="D12028" s="5" t="s">
        <v>1674</v>
      </c>
      <c r="E12028" s="6" t="s">
        <v>613</v>
      </c>
      <c r="F12028" s="5" t="s">
        <v>614</v>
      </c>
      <c r="G12028" s="6" t="str">
        <f>VLOOKUP(E12028,dicionario!$A$1:$C12427,2,0)</f>
        <v>Euphorbia hyssopifolia</v>
      </c>
      <c r="H12028" s="6" t="str">
        <f>VLOOKUP(E12028,dicionario!$A$1:$C12427,3,0)</f>
        <v>maria-leite</v>
      </c>
    </row>
    <row r="12029">
      <c r="A12029" s="3">
        <v>45862.0</v>
      </c>
      <c r="B12029" s="4">
        <v>0.2875</v>
      </c>
      <c r="C12029" s="5" t="s">
        <v>76</v>
      </c>
      <c r="D12029" s="5" t="s">
        <v>1674</v>
      </c>
      <c r="E12029" s="6" t="s">
        <v>225</v>
      </c>
      <c r="F12029" s="5" t="s">
        <v>226</v>
      </c>
      <c r="G12029" s="6" t="str">
        <f>VLOOKUP(E12029,dicionario!$A$1:$C12428,2,0)</f>
        <v>Passer domesticus</v>
      </c>
      <c r="H12029" s="6" t="str">
        <f>VLOOKUP(E12029,dicionario!$A$1:$C12428,3,0)</f>
        <v>pardal</v>
      </c>
    </row>
    <row r="12030">
      <c r="A12030" s="3">
        <v>45862.0</v>
      </c>
      <c r="B12030" s="4">
        <v>0.2875</v>
      </c>
      <c r="C12030" s="5" t="s">
        <v>76</v>
      </c>
      <c r="D12030" s="5" t="s">
        <v>1674</v>
      </c>
      <c r="E12030" s="6" t="s">
        <v>736</v>
      </c>
      <c r="F12030" s="5" t="s">
        <v>737</v>
      </c>
      <c r="G12030" s="6" t="str">
        <f>VLOOKUP(E12030,dicionario!$A$1:$C12429,2,0)</f>
        <v>Chloris virgata</v>
      </c>
      <c r="H12030" s="6" t="str">
        <f>VLOOKUP(E12030,dicionario!$A$1:$C12429,3,0)</f>
        <v>capim-pavão</v>
      </c>
    </row>
    <row r="12031">
      <c r="A12031" s="3">
        <v>45862.0</v>
      </c>
      <c r="B12031" s="4">
        <v>0.28888888888888886</v>
      </c>
      <c r="C12031" s="5" t="s">
        <v>76</v>
      </c>
      <c r="D12031" s="5" t="s">
        <v>1674</v>
      </c>
      <c r="E12031" s="6" t="s">
        <v>324</v>
      </c>
      <c r="F12031" s="5" t="s">
        <v>325</v>
      </c>
      <c r="G12031" s="6" t="str">
        <f>VLOOKUP(E12031,dicionario!$A$1:$C12430,2,0)</f>
        <v>#N/A</v>
      </c>
      <c r="H12031" s="6" t="str">
        <f>VLOOKUP(E12031,dicionario!$A$1:$C12430,3,0)</f>
        <v>#N/A</v>
      </c>
    </row>
    <row r="12032">
      <c r="A12032" s="3">
        <v>45862.0</v>
      </c>
      <c r="B12032" s="4">
        <v>0.28888888888888886</v>
      </c>
      <c r="C12032" s="5" t="s">
        <v>76</v>
      </c>
      <c r="D12032" s="5" t="s">
        <v>1674</v>
      </c>
      <c r="E12032" s="77" t="s">
        <v>1492</v>
      </c>
      <c r="F12032" s="5" t="s">
        <v>1677</v>
      </c>
      <c r="G12032" s="6" t="str">
        <f>VLOOKUP(E12032,dicionario!$A$1:$C12431,2,0)</f>
        <v>Myiarchus tyrannulus</v>
      </c>
      <c r="H12032" s="6" t="str">
        <f>VLOOKUP(E12032,dicionario!$A$1:$C12431,3,0)</f>
        <v>maria-cavaleira-de-rabo-enferrujado</v>
      </c>
    </row>
    <row r="12033">
      <c r="A12033" s="3">
        <v>45862.0</v>
      </c>
      <c r="B12033" s="4">
        <v>0.28958333333333336</v>
      </c>
      <c r="C12033" s="5" t="s">
        <v>76</v>
      </c>
      <c r="D12033" s="5" t="s">
        <v>1674</v>
      </c>
      <c r="E12033" s="12" t="s">
        <v>221</v>
      </c>
      <c r="F12033" s="5" t="s">
        <v>797</v>
      </c>
      <c r="G12033" s="6" t="str">
        <f>VLOOKUP(E12033,dicionario!$A$1:$C12432,2,0)</f>
        <v>Volatinia jacarina</v>
      </c>
      <c r="H12033" s="6" t="str">
        <f>VLOOKUP(E12033,dicionario!$A$1:$C12432,3,0)</f>
        <v>tiziu</v>
      </c>
    </row>
    <row r="12034">
      <c r="A12034" s="3">
        <v>45862.0</v>
      </c>
      <c r="B12034" s="4">
        <v>0.28958333333333336</v>
      </c>
      <c r="C12034" s="5" t="s">
        <v>76</v>
      </c>
      <c r="D12034" s="5" t="s">
        <v>1674</v>
      </c>
      <c r="E12034" s="6" t="s">
        <v>113</v>
      </c>
      <c r="F12034" s="5" t="s">
        <v>114</v>
      </c>
      <c r="G12034" s="6" t="str">
        <f>VLOOKUP(E12034,dicionario!$A$1:$C12433,2,0)</f>
        <v>Columbina talpacoti</v>
      </c>
      <c r="H12034" s="6" t="str">
        <f>VLOOKUP(E12034,dicionario!$A$1:$C12433,3,0)</f>
        <v>rolinha-roxa</v>
      </c>
    </row>
    <row r="12035">
      <c r="A12035" s="3">
        <v>45862.0</v>
      </c>
      <c r="B12035" s="4">
        <v>0.2902777777777778</v>
      </c>
      <c r="C12035" s="5" t="s">
        <v>76</v>
      </c>
      <c r="D12035" s="5" t="s">
        <v>1674</v>
      </c>
      <c r="E12035" s="6" t="s">
        <v>481</v>
      </c>
      <c r="F12035" s="5" t="s">
        <v>482</v>
      </c>
      <c r="G12035" s="6" t="str">
        <f>VLOOKUP(E12035,dicionario!$A$1:$C12434,2,0)</f>
        <v>Camptostoma obsoletum</v>
      </c>
      <c r="H12035" s="6" t="str">
        <f>VLOOKUP(E12035,dicionario!$A$1:$C12434,3,0)</f>
        <v>risadinha</v>
      </c>
    </row>
    <row r="12036">
      <c r="A12036" s="3">
        <v>45862.0</v>
      </c>
      <c r="B12036" s="4">
        <v>0.2902777777777778</v>
      </c>
      <c r="C12036" s="5" t="s">
        <v>64</v>
      </c>
      <c r="D12036" s="5" t="s">
        <v>1674</v>
      </c>
      <c r="E12036" s="8" t="s">
        <v>109</v>
      </c>
      <c r="F12036" s="5" t="s">
        <v>777</v>
      </c>
      <c r="G12036" s="6" t="str">
        <f>VLOOKUP(E12036,dicionario!$A$1:$C12435,2,0)</f>
        <v>Tillandsia stricta</v>
      </c>
      <c r="H12036" s="6" t="str">
        <f>VLOOKUP(E12036,dicionario!$A$1:$C12435,3,0)</f>
        <v>cravo-do-mato</v>
      </c>
    </row>
    <row r="12037">
      <c r="A12037" s="3">
        <v>45862.0</v>
      </c>
      <c r="B12037" s="4">
        <v>0.29305555555555557</v>
      </c>
      <c r="C12037" s="5" t="s">
        <v>64</v>
      </c>
      <c r="D12037" s="5" t="s">
        <v>1674</v>
      </c>
      <c r="E12037" s="6" t="s">
        <v>251</v>
      </c>
      <c r="F12037" s="5" t="s">
        <v>873</v>
      </c>
      <c r="G12037" s="6" t="str">
        <f>VLOOKUP(E12037,dicionario!$A$1:$C12436,2,0)</f>
        <v>Struthanthus flexicaulis</v>
      </c>
      <c r="H12037" s="6" t="str">
        <f>VLOOKUP(E12037,dicionario!$A$1:$C12436,3,0)</f>
        <v>erva-de-passarinho</v>
      </c>
    </row>
    <row r="12038">
      <c r="A12038" s="3">
        <v>45862.0</v>
      </c>
      <c r="B12038" s="4">
        <v>0.29305555555555557</v>
      </c>
      <c r="C12038" s="5" t="s">
        <v>64</v>
      </c>
      <c r="D12038" s="5" t="s">
        <v>1674</v>
      </c>
      <c r="E12038" s="6" t="s">
        <v>113</v>
      </c>
      <c r="F12038" s="5" t="s">
        <v>820</v>
      </c>
      <c r="G12038" s="6" t="str">
        <f>VLOOKUP(E12038,dicionario!$A$1:$C12437,2,0)</f>
        <v>Columbina talpacoti</v>
      </c>
      <c r="H12038" s="6" t="str">
        <f>VLOOKUP(E12038,dicionario!$A$1:$C12437,3,0)</f>
        <v>rolinha-roxa</v>
      </c>
    </row>
    <row r="12039">
      <c r="A12039" s="3">
        <v>45862.0</v>
      </c>
      <c r="B12039" s="4">
        <v>0.29305555555555557</v>
      </c>
      <c r="C12039" s="5" t="s">
        <v>64</v>
      </c>
      <c r="D12039" s="5" t="s">
        <v>1674</v>
      </c>
      <c r="E12039" s="6" t="s">
        <v>88</v>
      </c>
      <c r="F12039" s="5" t="s">
        <v>89</v>
      </c>
      <c r="G12039" s="6" t="str">
        <f>VLOOKUP(E12039,dicionario!$A$1:$C12438,2,0)</f>
        <v>Tyrannus melancolichus</v>
      </c>
      <c r="H12039" s="6" t="str">
        <f>VLOOKUP(E12039,dicionario!$A$1:$C12438,3,0)</f>
        <v>suiriri</v>
      </c>
    </row>
    <row r="12040">
      <c r="A12040" s="3">
        <v>45862.0</v>
      </c>
      <c r="B12040" s="4">
        <v>0.29305555555555557</v>
      </c>
      <c r="C12040" s="5" t="s">
        <v>64</v>
      </c>
      <c r="D12040" s="5" t="s">
        <v>1674</v>
      </c>
      <c r="E12040" s="8" t="s">
        <v>135</v>
      </c>
      <c r="F12040" s="5" t="s">
        <v>833</v>
      </c>
      <c r="G12040" s="6" t="str">
        <f>VLOOKUP(E12040,dicionario!$A$1:$C12439,2,0)</f>
        <v>Tridax procumbens</v>
      </c>
      <c r="H12040" s="6" t="str">
        <f>VLOOKUP(E12040,dicionario!$A$1:$C12439,3,0)</f>
        <v>erva-de-touro</v>
      </c>
    </row>
    <row r="12041">
      <c r="A12041" s="3">
        <v>45862.0</v>
      </c>
      <c r="B12041" s="4">
        <v>0.29375</v>
      </c>
      <c r="C12041" s="5" t="s">
        <v>64</v>
      </c>
      <c r="D12041" s="5" t="s">
        <v>1674</v>
      </c>
      <c r="E12041" s="6" t="s">
        <v>65</v>
      </c>
      <c r="F12041" s="5" t="s">
        <v>819</v>
      </c>
      <c r="G12041" s="6" t="str">
        <f>VLOOKUP(E12041,dicionario!$A$1:$C12440,2,0)</f>
        <v>Pitangus sulphutarus</v>
      </c>
      <c r="H12041" s="6" t="str">
        <f>VLOOKUP(E12041,dicionario!$A$1:$C12440,3,0)</f>
        <v>bem-te-vi</v>
      </c>
    </row>
    <row r="12042">
      <c r="A12042" s="3">
        <v>45862.0</v>
      </c>
      <c r="B12042" s="4">
        <v>0.29375</v>
      </c>
      <c r="C12042" s="5" t="s">
        <v>64</v>
      </c>
      <c r="D12042" s="5" t="s">
        <v>1674</v>
      </c>
      <c r="E12042" s="6" t="s">
        <v>290</v>
      </c>
      <c r="F12042" s="5" t="s">
        <v>291</v>
      </c>
      <c r="G12042" s="6" t="str">
        <f>VLOOKUP(E12042,dicionario!$A$1:$C12441,2,0)</f>
        <v>Drymaria cordata</v>
      </c>
      <c r="H12042" s="6" t="str">
        <f>VLOOKUP(E12042,dicionario!$A$1:$C12441,3,0)</f>
        <v>orelha-de-rato</v>
      </c>
    </row>
    <row r="12043">
      <c r="A12043" s="3">
        <v>45862.0</v>
      </c>
      <c r="B12043" s="4">
        <v>0.29375</v>
      </c>
      <c r="C12043" s="5" t="s">
        <v>64</v>
      </c>
      <c r="D12043" s="5" t="s">
        <v>1674</v>
      </c>
      <c r="E12043" s="6" t="s">
        <v>148</v>
      </c>
      <c r="F12043" s="5" t="s">
        <v>149</v>
      </c>
      <c r="G12043" s="6" t="str">
        <f>VLOOKUP(E12043,dicionario!$A$1:$C12442,2,0)</f>
        <v>Parthenium hysterophorus</v>
      </c>
      <c r="H12043" s="6" t="str">
        <f>VLOOKUP(E12043,dicionario!$A$1:$C12442,3,0)</f>
        <v>losna-branca</v>
      </c>
    </row>
    <row r="12044">
      <c r="A12044" s="3">
        <v>45862.0</v>
      </c>
      <c r="B12044" s="4">
        <v>0.2951388888888889</v>
      </c>
      <c r="C12044" s="5" t="s">
        <v>64</v>
      </c>
      <c r="D12044" s="5" t="s">
        <v>1674</v>
      </c>
      <c r="E12044" s="6" t="s">
        <v>171</v>
      </c>
      <c r="F12044" s="5" t="s">
        <v>172</v>
      </c>
      <c r="G12044" s="6" t="str">
        <f>VLOOKUP(E12044,dicionario!$A$1:$C12443,2,0)</f>
        <v>Oxalis corniculata</v>
      </c>
      <c r="H12044" s="6" t="str">
        <f>VLOOKUP(E12044,dicionario!$A$1:$C12443,3,0)</f>
        <v>trevo-azedinho</v>
      </c>
    </row>
    <row r="12045">
      <c r="A12045" s="3">
        <v>45862.0</v>
      </c>
      <c r="B12045" s="4">
        <v>0.2951388888888889</v>
      </c>
      <c r="C12045" s="5" t="s">
        <v>64</v>
      </c>
      <c r="D12045" s="5" t="s">
        <v>1674</v>
      </c>
      <c r="E12045" s="6" t="s">
        <v>141</v>
      </c>
      <c r="F12045" s="5" t="s">
        <v>875</v>
      </c>
      <c r="G12045" s="6" t="str">
        <f>VLOOKUP(E12045,dicionario!$A$1:$C12444,2,0)</f>
        <v>Ruellia blechum</v>
      </c>
      <c r="H12045" s="6" t="str">
        <f>VLOOKUP(E12045,dicionario!$A$1:$C12444,3,0)</f>
        <v>camarão-verde</v>
      </c>
    </row>
    <row r="12046">
      <c r="A12046" s="3">
        <v>45862.0</v>
      </c>
      <c r="B12046" s="4">
        <v>0.2951388888888889</v>
      </c>
      <c r="C12046" s="5" t="s">
        <v>64</v>
      </c>
      <c r="D12046" s="5" t="s">
        <v>1674</v>
      </c>
      <c r="E12046" s="6" t="s">
        <v>514</v>
      </c>
      <c r="F12046" s="5" t="s">
        <v>515</v>
      </c>
      <c r="G12046" s="6" t="str">
        <f>VLOOKUP(E12046,dicionario!$A$1:$C12445,2,0)</f>
        <v>Aedes aegypti</v>
      </c>
      <c r="H12046" s="6" t="str">
        <f>VLOOKUP(E12046,dicionario!$A$1:$C12445,3,0)</f>
        <v>mosquito-da-dengue</v>
      </c>
    </row>
    <row r="12047">
      <c r="A12047" s="3">
        <v>45862.0</v>
      </c>
      <c r="B12047" s="4">
        <v>0.2951388888888889</v>
      </c>
      <c r="C12047" s="5" t="s">
        <v>64</v>
      </c>
      <c r="D12047" s="5" t="s">
        <v>1674</v>
      </c>
      <c r="E12047" s="6" t="s">
        <v>146</v>
      </c>
      <c r="F12047" s="5" t="s">
        <v>147</v>
      </c>
      <c r="G12047" s="6" t="str">
        <f>VLOOKUP(E12047,dicionario!$A$1:$C12446,2,0)</f>
        <v>Euphorbia hirta</v>
      </c>
      <c r="H12047" s="6" t="str">
        <f>VLOOKUP(E12047,dicionario!$A$1:$C12446,3,0)</f>
        <v>erva-de-santa-luzia</v>
      </c>
    </row>
    <row r="12048">
      <c r="A12048" s="3">
        <v>45862.0</v>
      </c>
      <c r="B12048" s="4">
        <v>0.29583333333333334</v>
      </c>
      <c r="C12048" s="5" t="s">
        <v>64</v>
      </c>
      <c r="D12048" s="5" t="s">
        <v>1674</v>
      </c>
      <c r="E12048" s="8" t="s">
        <v>740</v>
      </c>
      <c r="F12048" s="5" t="s">
        <v>1678</v>
      </c>
      <c r="G12048" s="6" t="str">
        <f>VLOOKUP(E12048,dicionario!$A$1:$C12447,2,0)</f>
        <v>Melothria cucumis</v>
      </c>
      <c r="H12048" s="6" t="str">
        <f>VLOOKUP(E12048,dicionario!$A$1:$C12447,3,0)</f>
        <v>pepino-do-mato</v>
      </c>
    </row>
    <row r="12049">
      <c r="A12049" s="3">
        <v>45862.0</v>
      </c>
      <c r="B12049" s="4">
        <v>0.29583333333333334</v>
      </c>
      <c r="C12049" s="5" t="s">
        <v>64</v>
      </c>
      <c r="D12049" s="5" t="s">
        <v>1674</v>
      </c>
      <c r="E12049" s="8" t="s">
        <v>69</v>
      </c>
      <c r="F12049" s="5" t="s">
        <v>1657</v>
      </c>
      <c r="G12049" s="6" t="str">
        <f>VLOOKUP(E12049,dicionario!$A$1:$C12448,2,0)</f>
        <v>Talinum fruticosum</v>
      </c>
      <c r="H12049" s="6" t="str">
        <f>VLOOKUP(E12049,dicionario!$A$1:$C12448,3,0)</f>
        <v>beldroega-grande</v>
      </c>
    </row>
    <row r="12050">
      <c r="A12050" s="3">
        <v>45862.0</v>
      </c>
      <c r="B12050" s="4">
        <v>0.29583333333333334</v>
      </c>
      <c r="C12050" s="5" t="s">
        <v>64</v>
      </c>
      <c r="D12050" s="5" t="s">
        <v>1674</v>
      </c>
      <c r="E12050" s="6" t="s">
        <v>319</v>
      </c>
      <c r="F12050" s="5" t="s">
        <v>320</v>
      </c>
      <c r="G12050" s="6" t="str">
        <f>VLOOKUP(E12050,dicionario!$A$1:$C12449,2,0)</f>
        <v>Schinus terebinthifolia</v>
      </c>
      <c r="H12050" s="6" t="str">
        <f>VLOOKUP(E12050,dicionario!$A$1:$C12449,3,0)</f>
        <v>aroeira</v>
      </c>
    </row>
    <row r="12051">
      <c r="A12051" s="3">
        <v>45862.0</v>
      </c>
      <c r="B12051" s="4">
        <v>0.29583333333333334</v>
      </c>
      <c r="C12051" s="5" t="s">
        <v>64</v>
      </c>
      <c r="D12051" s="5" t="s">
        <v>1674</v>
      </c>
      <c r="E12051" s="6" t="s">
        <v>177</v>
      </c>
      <c r="F12051" s="5" t="s">
        <v>178</v>
      </c>
      <c r="G12051" s="6" t="str">
        <f>VLOOKUP(E12051,dicionario!$A$1:$C12450,2,0)</f>
        <v>Elaenia flavogaster</v>
      </c>
      <c r="H12051" s="6" t="str">
        <f>VLOOKUP(E12051,dicionario!$A$1:$C12450,3,0)</f>
        <v>guaracava-de-barriga-amarela</v>
      </c>
    </row>
    <row r="12052">
      <c r="A12052" s="3">
        <v>45862.0</v>
      </c>
      <c r="B12052" s="4">
        <v>0.29583333333333334</v>
      </c>
      <c r="C12052" s="5" t="s">
        <v>64</v>
      </c>
      <c r="D12052" s="5" t="s">
        <v>1674</v>
      </c>
      <c r="E12052" s="6" t="s">
        <v>48</v>
      </c>
      <c r="F12052" s="5" t="s">
        <v>798</v>
      </c>
      <c r="G12052" s="6" t="str">
        <f>VLOOKUP(E12052,dicionario!$A$1:$C12451,2,0)</f>
        <v>Commelina erecta</v>
      </c>
      <c r="H12052" s="6" t="str">
        <f>VLOOKUP(E12052,dicionario!$A$1:$C12451,3,0)</f>
        <v>trapoeraba</v>
      </c>
    </row>
    <row r="12053">
      <c r="A12053" s="3">
        <v>45862.0</v>
      </c>
      <c r="B12053" s="4">
        <v>0.29583333333333334</v>
      </c>
      <c r="C12053" s="5" t="s">
        <v>64</v>
      </c>
      <c r="D12053" s="5" t="s">
        <v>1674</v>
      </c>
      <c r="E12053" s="6" t="s">
        <v>195</v>
      </c>
      <c r="F12053" s="5" t="s">
        <v>196</v>
      </c>
      <c r="G12053" s="6" t="str">
        <f>VLOOKUP(E12053,dicionario!$A$1:$C12452,2,0)</f>
        <v>Priva lappulacea</v>
      </c>
      <c r="H12053" s="6" t="str">
        <f>VLOOKUP(E12053,dicionario!$A$1:$C12452,3,0)</f>
        <v>carrapicho</v>
      </c>
    </row>
    <row r="12054">
      <c r="A12054" s="3">
        <v>45862.0</v>
      </c>
      <c r="B12054" s="4">
        <v>0.29583333333333334</v>
      </c>
      <c r="C12054" s="5" t="s">
        <v>64</v>
      </c>
      <c r="D12054" s="5" t="s">
        <v>1674</v>
      </c>
      <c r="E12054" s="6" t="s">
        <v>288</v>
      </c>
      <c r="F12054" s="5" t="s">
        <v>760</v>
      </c>
      <c r="G12054" s="6" t="str">
        <f>VLOOKUP(E12054,dicionario!$A$1:$C12453,2,0)</f>
        <v>Phyllanthus tenellus</v>
      </c>
      <c r="H12054" s="6" t="str">
        <f>VLOOKUP(E12054,dicionario!$A$1:$C12453,3,0)</f>
        <v>quebra-pedra</v>
      </c>
    </row>
    <row r="12055">
      <c r="A12055" s="3">
        <v>45862.0</v>
      </c>
      <c r="B12055" s="4">
        <v>0.29583333333333334</v>
      </c>
      <c r="C12055" s="5" t="s">
        <v>64</v>
      </c>
      <c r="D12055" s="5" t="s">
        <v>1674</v>
      </c>
      <c r="E12055" s="6" t="s">
        <v>267</v>
      </c>
      <c r="F12055" s="5" t="s">
        <v>553</v>
      </c>
      <c r="G12055" s="6" t="str">
        <f>VLOOKUP(E12055,dicionario!$A$1:$C12454,2,0)</f>
        <v>Solanum americanum</v>
      </c>
      <c r="H12055" s="6" t="str">
        <f>VLOOKUP(E12055,dicionario!$A$1:$C12454,3,0)</f>
        <v>maria-pretinha</v>
      </c>
    </row>
    <row r="12056">
      <c r="A12056" s="3">
        <v>45862.0</v>
      </c>
      <c r="B12056" s="4">
        <v>0.29583333333333334</v>
      </c>
      <c r="C12056" s="5" t="s">
        <v>64</v>
      </c>
      <c r="D12056" s="5" t="s">
        <v>1674</v>
      </c>
      <c r="E12056" s="8" t="s">
        <v>162</v>
      </c>
      <c r="F12056" s="5" t="s">
        <v>42</v>
      </c>
      <c r="G12056" s="6" t="str">
        <f>VLOOKUP(E12056,dicionario!$A$1:$C12455,2,0)</f>
        <v>Fluvicola nengeta</v>
      </c>
      <c r="H12056" s="6" t="str">
        <f>VLOOKUP(E12056,dicionario!$A$1:$C12455,3,0)</f>
        <v>lavadeira-mascarada</v>
      </c>
    </row>
    <row r="12057">
      <c r="A12057" s="3">
        <v>45862.0</v>
      </c>
      <c r="B12057" s="4">
        <v>0.2965277777777778</v>
      </c>
      <c r="C12057" s="5" t="s">
        <v>64</v>
      </c>
      <c r="D12057" s="5" t="s">
        <v>1674</v>
      </c>
      <c r="E12057" s="6" t="s">
        <v>60</v>
      </c>
      <c r="F12057" s="5" t="s">
        <v>1659</v>
      </c>
      <c r="G12057" s="6" t="str">
        <f>VLOOKUP(E12057,dicionario!$A$1:$C12456,2,0)</f>
        <v>Vanellus chilensis</v>
      </c>
      <c r="H12057" s="6" t="str">
        <f>VLOOKUP(E12057,dicionario!$A$1:$C12456,3,0)</f>
        <v>quero-quero</v>
      </c>
    </row>
    <row r="12058">
      <c r="A12058" s="3">
        <v>45862.0</v>
      </c>
      <c r="B12058" s="4">
        <v>0.2986111111111111</v>
      </c>
      <c r="C12058" s="5" t="s">
        <v>64</v>
      </c>
      <c r="D12058" s="5" t="s">
        <v>1674</v>
      </c>
      <c r="E12058" s="6" t="s">
        <v>175</v>
      </c>
      <c r="F12058" s="5" t="s">
        <v>176</v>
      </c>
      <c r="G12058" s="6" t="str">
        <f>VLOOKUP(E12058,dicionario!$A$1:$C12457,2,0)</f>
        <v>Turdus leucomelas</v>
      </c>
      <c r="H12058" s="6" t="str">
        <f>VLOOKUP(E12058,dicionario!$A$1:$C12457,3,0)</f>
        <v>sabiá-barranco</v>
      </c>
    </row>
    <row r="12059">
      <c r="A12059" s="3">
        <v>45862.0</v>
      </c>
      <c r="B12059" s="4">
        <v>0.3</v>
      </c>
      <c r="C12059" s="5" t="s">
        <v>59</v>
      </c>
      <c r="D12059" s="5" t="s">
        <v>1674</v>
      </c>
      <c r="E12059" s="8" t="s">
        <v>109</v>
      </c>
      <c r="F12059" s="5" t="s">
        <v>777</v>
      </c>
      <c r="G12059" s="6" t="str">
        <f>VLOOKUP(E12059,dicionario!$A$1:$C12458,2,0)</f>
        <v>Tillandsia stricta</v>
      </c>
      <c r="H12059" s="6" t="str">
        <f>VLOOKUP(E12059,dicionario!$A$1:$C12458,3,0)</f>
        <v>cravo-do-mato</v>
      </c>
    </row>
    <row r="12060">
      <c r="A12060" s="3">
        <v>45862.0</v>
      </c>
      <c r="B12060" s="4">
        <v>0.30277777777777776</v>
      </c>
      <c r="C12060" s="5" t="s">
        <v>59</v>
      </c>
      <c r="D12060" s="5" t="s">
        <v>1674</v>
      </c>
      <c r="E12060" s="8" t="s">
        <v>1167</v>
      </c>
      <c r="F12060" s="61" t="s">
        <v>1598</v>
      </c>
      <c r="G12060" s="6" t="str">
        <f>VLOOKUP(E12060,dicionario!$A$1:$C12459,2,0)</f>
        <v>Tillandsia recurvata</v>
      </c>
      <c r="H12060" s="6" t="str">
        <f>VLOOKUP(E12060,dicionario!$A$1:$C12459,3,0)</f>
        <v>cravo-do-mato sp2</v>
      </c>
    </row>
    <row r="12061">
      <c r="A12061" s="3">
        <v>45862.0</v>
      </c>
      <c r="B12061" s="4">
        <v>0.30277777777777776</v>
      </c>
      <c r="C12061" s="5" t="s">
        <v>59</v>
      </c>
      <c r="D12061" s="5" t="s">
        <v>1674</v>
      </c>
      <c r="E12061" s="6" t="s">
        <v>606</v>
      </c>
      <c r="F12061" s="5" t="s">
        <v>853</v>
      </c>
      <c r="G12061" s="6" t="str">
        <f>VLOOKUP(E12061,dicionario!$A$1:$C12460,2,0)</f>
        <v>Elaenia spectabilis</v>
      </c>
      <c r="H12061" s="6" t="str">
        <f>VLOOKUP(E12061,dicionario!$A$1:$C12460,3,0)</f>
        <v>guaracava-grande</v>
      </c>
    </row>
    <row r="12062">
      <c r="A12062" s="3">
        <v>45862.0</v>
      </c>
      <c r="B12062" s="4">
        <v>0.3034722222222222</v>
      </c>
      <c r="C12062" s="5" t="s">
        <v>59</v>
      </c>
      <c r="D12062" s="5" t="s">
        <v>1674</v>
      </c>
      <c r="E12062" s="8" t="s">
        <v>298</v>
      </c>
      <c r="F12062" s="5"/>
      <c r="G12062" s="6" t="str">
        <f>VLOOKUP(E12062,dicionario!$A$1:$C12461,2,0)</f>
        <v>Alysicarpus vaginalis</v>
      </c>
      <c r="H12062" s="6" t="str">
        <f>VLOOKUP(E12062,dicionario!$A$1:$C12461,3,0)</f>
        <v/>
      </c>
    </row>
    <row r="12063">
      <c r="A12063" s="3">
        <v>45862.0</v>
      </c>
      <c r="B12063" s="4">
        <v>0.3034722222222222</v>
      </c>
      <c r="C12063" s="5" t="s">
        <v>59</v>
      </c>
      <c r="D12063" s="5" t="s">
        <v>1674</v>
      </c>
      <c r="E12063" s="8" t="s">
        <v>135</v>
      </c>
      <c r="F12063" s="5" t="s">
        <v>833</v>
      </c>
      <c r="G12063" s="6" t="str">
        <f>VLOOKUP(E12063,dicionario!$A$1:$C12462,2,0)</f>
        <v>Tridax procumbens</v>
      </c>
      <c r="H12063" s="6" t="str">
        <f>VLOOKUP(E12063,dicionario!$A$1:$C12462,3,0)</f>
        <v>erva-de-touro</v>
      </c>
    </row>
    <row r="12064">
      <c r="A12064" s="3">
        <v>45862.0</v>
      </c>
      <c r="B12064" s="4">
        <v>0.3034722222222222</v>
      </c>
      <c r="C12064" s="5" t="s">
        <v>59</v>
      </c>
      <c r="D12064" s="5" t="s">
        <v>1674</v>
      </c>
      <c r="E12064" s="12" t="s">
        <v>152</v>
      </c>
      <c r="F12064" s="5" t="s">
        <v>789</v>
      </c>
      <c r="G12064" s="6" t="str">
        <f>VLOOKUP(E12064,dicionario!$A$1:$C12463,2,0)</f>
        <v>Cynodon dactylon</v>
      </c>
      <c r="H12064" s="6" t="str">
        <f>VLOOKUP(E12064,dicionario!$A$1:$C12463,3,0)</f>
        <v>grama-bermuda</v>
      </c>
    </row>
    <row r="12065">
      <c r="A12065" s="3">
        <v>45862.0</v>
      </c>
      <c r="B12065" s="4">
        <v>0.3034722222222222</v>
      </c>
      <c r="C12065" s="5" t="s">
        <v>59</v>
      </c>
      <c r="D12065" s="5" t="s">
        <v>1674</v>
      </c>
      <c r="E12065" s="8" t="s">
        <v>38</v>
      </c>
      <c r="F12065" s="5" t="s">
        <v>1251</v>
      </c>
      <c r="G12065" s="6" t="str">
        <f>VLOOKUP(E12065,dicionario!$A$1:$C12464,2,0)</f>
        <v>Troglodytes musculus</v>
      </c>
      <c r="H12065" s="6" t="str">
        <f>VLOOKUP(E12065,dicionario!$A$1:$C12464,3,0)</f>
        <v>curruíra</v>
      </c>
    </row>
    <row r="12066">
      <c r="A12066" s="3">
        <v>45862.0</v>
      </c>
      <c r="B12066" s="4">
        <v>0.30486111111111114</v>
      </c>
      <c r="C12066" s="5" t="s">
        <v>59</v>
      </c>
      <c r="D12066" s="5" t="s">
        <v>1674</v>
      </c>
      <c r="E12066" s="6" t="s">
        <v>22</v>
      </c>
      <c r="F12066" s="5" t="s">
        <v>97</v>
      </c>
      <c r="G12066" s="6" t="str">
        <f>VLOOKUP(E12066,dicionario!$A$1:$C12465,2,0)</f>
        <v>Zenaida auriculata</v>
      </c>
      <c r="H12066" s="6" t="str">
        <f>VLOOKUP(E12066,dicionario!$A$1:$C12465,3,0)</f>
        <v>pomba-de-bando; avoante</v>
      </c>
    </row>
    <row r="12067">
      <c r="A12067" s="3">
        <v>45862.0</v>
      </c>
      <c r="B12067" s="4">
        <v>0.30486111111111114</v>
      </c>
      <c r="C12067" s="5" t="s">
        <v>59</v>
      </c>
      <c r="D12067" s="5" t="s">
        <v>1674</v>
      </c>
      <c r="E12067" s="6" t="s">
        <v>113</v>
      </c>
      <c r="F12067" s="5" t="s">
        <v>820</v>
      </c>
      <c r="G12067" s="6" t="str">
        <f>VLOOKUP(E12067,dicionario!$A$1:$C12466,2,0)</f>
        <v>Columbina talpacoti</v>
      </c>
      <c r="H12067" s="6" t="str">
        <f>VLOOKUP(E12067,dicionario!$A$1:$C12466,3,0)</f>
        <v>rolinha-roxa</v>
      </c>
    </row>
    <row r="12068">
      <c r="A12068" s="3">
        <v>45862.0</v>
      </c>
      <c r="B12068" s="4">
        <v>0.30486111111111114</v>
      </c>
      <c r="C12068" s="5" t="s">
        <v>59</v>
      </c>
      <c r="D12068" s="5" t="s">
        <v>1674</v>
      </c>
      <c r="E12068" s="72" t="s">
        <v>1087</v>
      </c>
      <c r="F12068" s="5" t="s">
        <v>1088</v>
      </c>
      <c r="G12068" s="6" t="str">
        <f>VLOOKUP(E12068,dicionario!$A$1:$C12467,2,0)</f>
        <v>Desmodium triflorum</v>
      </c>
      <c r="H12068" s="6" t="str">
        <f>VLOOKUP(E12068,dicionario!$A$1:$C12467,3,0)</f>
        <v/>
      </c>
    </row>
    <row r="12069">
      <c r="A12069" s="3">
        <v>45862.0</v>
      </c>
      <c r="B12069" s="4">
        <v>0.30486111111111114</v>
      </c>
      <c r="C12069" s="5" t="s">
        <v>59</v>
      </c>
      <c r="D12069" s="5" t="s">
        <v>1674</v>
      </c>
      <c r="E12069" s="6" t="s">
        <v>53</v>
      </c>
      <c r="F12069" s="5" t="s">
        <v>54</v>
      </c>
      <c r="G12069" s="6" t="str">
        <f>VLOOKUP(E12069,dicionario!$A$1:$C12468,2,0)</f>
        <v>Turnera subulata</v>
      </c>
      <c r="H12069" s="6" t="str">
        <f>VLOOKUP(E12069,dicionario!$A$1:$C12468,3,0)</f>
        <v>xanana</v>
      </c>
    </row>
    <row r="12070">
      <c r="A12070" s="3">
        <v>45862.0</v>
      </c>
      <c r="B12070" s="4">
        <v>0.3055555555555556</v>
      </c>
      <c r="C12070" s="5" t="s">
        <v>59</v>
      </c>
      <c r="D12070" s="5" t="s">
        <v>1674</v>
      </c>
      <c r="E12070" s="6" t="s">
        <v>88</v>
      </c>
      <c r="F12070" s="5" t="s">
        <v>89</v>
      </c>
      <c r="G12070" s="6" t="str">
        <f>VLOOKUP(E12070,dicionario!$A$1:$C12469,2,0)</f>
        <v>Tyrannus melancolichus</v>
      </c>
      <c r="H12070" s="6" t="str">
        <f>VLOOKUP(E12070,dicionario!$A$1:$C12469,3,0)</f>
        <v>suiriri</v>
      </c>
    </row>
    <row r="12071">
      <c r="A12071" s="3">
        <v>45862.0</v>
      </c>
      <c r="B12071" s="4">
        <v>0.3055555555555556</v>
      </c>
      <c r="C12071" s="5" t="s">
        <v>59</v>
      </c>
      <c r="D12071" s="5" t="s">
        <v>1674</v>
      </c>
      <c r="E12071" s="6" t="s">
        <v>43</v>
      </c>
      <c r="F12071" s="5" t="s">
        <v>44</v>
      </c>
      <c r="G12071" s="6" t="str">
        <f>VLOOKUP(E12071,dicionario!$A$1:$C12470,2,0)</f>
        <v>Columba livia</v>
      </c>
      <c r="H12071" s="6" t="str">
        <f>VLOOKUP(E12071,dicionario!$A$1:$C12470,3,0)</f>
        <v>pombo-doméstico</v>
      </c>
    </row>
    <row r="12072">
      <c r="A12072" s="3">
        <v>45862.0</v>
      </c>
      <c r="B12072" s="4">
        <v>0.3055555555555556</v>
      </c>
      <c r="C12072" s="5" t="s">
        <v>59</v>
      </c>
      <c r="D12072" s="5" t="s">
        <v>1674</v>
      </c>
      <c r="E12072" s="6" t="s">
        <v>163</v>
      </c>
      <c r="F12072" s="5" t="s">
        <v>164</v>
      </c>
      <c r="G12072" s="6" t="str">
        <f>VLOOKUP(E12072,dicionario!$A$1:$C12471,2,0)</f>
        <v>Coragyps atratus</v>
      </c>
      <c r="H12072" s="6" t="str">
        <f>VLOOKUP(E12072,dicionario!$A$1:$C12471,3,0)</f>
        <v>urubu-de-cabeça-preta</v>
      </c>
    </row>
    <row r="12073">
      <c r="A12073" s="3">
        <v>45862.0</v>
      </c>
      <c r="B12073" s="4">
        <v>0.3055555555555556</v>
      </c>
      <c r="C12073" s="5" t="s">
        <v>59</v>
      </c>
      <c r="D12073" s="5" t="s">
        <v>1674</v>
      </c>
      <c r="E12073" s="8" t="s">
        <v>712</v>
      </c>
      <c r="F12073" s="5" t="s">
        <v>1602</v>
      </c>
      <c r="G12073" s="6" t="str">
        <f>VLOOKUP(E12073,dicionario!$A$1:$C12472,2,0)</f>
        <v>Flavopunctelia soredica</v>
      </c>
      <c r="H12073" s="6" t="str">
        <f>VLOOKUP(E12073,dicionario!$A$1:$C12472,3,0)</f>
        <v>líquen-folioso</v>
      </c>
    </row>
    <row r="12074">
      <c r="A12074" s="3">
        <v>45862.0</v>
      </c>
      <c r="B12074" s="4">
        <v>0.30625</v>
      </c>
      <c r="C12074" s="5" t="s">
        <v>59</v>
      </c>
      <c r="D12074" s="5" t="s">
        <v>1674</v>
      </c>
      <c r="E12074" s="8" t="s">
        <v>122</v>
      </c>
      <c r="F12074" s="5" t="s">
        <v>1593</v>
      </c>
      <c r="G12074" s="6" t="str">
        <f>VLOOKUP(E12074,dicionario!$A$1:$C12473,2,0)</f>
        <v>Todirostrum cinereum</v>
      </c>
      <c r="H12074" s="6" t="str">
        <f>VLOOKUP(E12074,dicionario!$A$1:$C12473,3,0)</f>
        <v>ferreirinho-relógio</v>
      </c>
    </row>
    <row r="12075">
      <c r="A12075" s="3">
        <v>45862.0</v>
      </c>
      <c r="B12075" s="4">
        <v>0.30625</v>
      </c>
      <c r="C12075" s="5" t="s">
        <v>59</v>
      </c>
      <c r="D12075" s="5" t="s">
        <v>1674</v>
      </c>
      <c r="E12075" s="11" t="s">
        <v>107</v>
      </c>
      <c r="F12075" s="5" t="s">
        <v>108</v>
      </c>
      <c r="G12075" s="6" t="str">
        <f>VLOOKUP(E12075,dicionario!$A$1:$C12474,2,0)</f>
        <v>Ramalina complanata</v>
      </c>
      <c r="H12075" s="6" t="str">
        <f>VLOOKUP(E12075,dicionario!$A$1:$C12474,3,0)</f>
        <v>ramalina</v>
      </c>
    </row>
    <row r="12076">
      <c r="A12076" s="3">
        <v>45862.0</v>
      </c>
      <c r="B12076" s="4">
        <v>0.30625</v>
      </c>
      <c r="C12076" s="5" t="s">
        <v>59</v>
      </c>
      <c r="D12076" s="5" t="s">
        <v>1674</v>
      </c>
      <c r="E12076" s="8" t="s">
        <v>1571</v>
      </c>
      <c r="F12076" s="5" t="s">
        <v>1572</v>
      </c>
      <c r="G12076" s="6" t="str">
        <f>VLOOKUP(E12076,dicionario!$A$1:$C12475,2,0)</f>
        <v>#N/A</v>
      </c>
      <c r="H12076" s="6" t="str">
        <f>VLOOKUP(E12076,dicionario!$A$1:$C12475,3,0)</f>
        <v>#N/A</v>
      </c>
    </row>
    <row r="12077">
      <c r="A12077" s="3">
        <v>45862.0</v>
      </c>
      <c r="B12077" s="4">
        <v>0.30625</v>
      </c>
      <c r="C12077" s="5" t="s">
        <v>59</v>
      </c>
      <c r="D12077" s="5" t="s">
        <v>1674</v>
      </c>
      <c r="E12077" s="6" t="s">
        <v>213</v>
      </c>
      <c r="F12077" s="5" t="s">
        <v>1573</v>
      </c>
      <c r="G12077" s="6" t="str">
        <f>VLOOKUP(E12077,dicionario!$A$1:$C12476,2,0)</f>
        <v>Myiozetetes similis</v>
      </c>
      <c r="H12077" s="6" t="str">
        <f>VLOOKUP(E12077,dicionario!$A$1:$C12476,3,0)</f>
        <v>bentevizinho-de-penacho-vermelho</v>
      </c>
    </row>
    <row r="12078">
      <c r="A12078" s="3">
        <v>45862.0</v>
      </c>
      <c r="B12078" s="4">
        <v>0.30625</v>
      </c>
      <c r="C12078" s="5" t="s">
        <v>59</v>
      </c>
      <c r="D12078" s="5" t="s">
        <v>1674</v>
      </c>
      <c r="E12078" s="8" t="s">
        <v>909</v>
      </c>
      <c r="F12078" s="5" t="s">
        <v>1636</v>
      </c>
      <c r="G12078" s="6" t="str">
        <f>VLOOKUP(E12078,dicionario!$A$1:$C12477,2,0)</f>
        <v>Chordeiles acutipennis</v>
      </c>
      <c r="H12078" s="6" t="str">
        <f>VLOOKUP(E12078,dicionario!$A$1:$C12477,3,0)</f>
        <v>bacurau-de-asa-fina</v>
      </c>
    </row>
    <row r="12079">
      <c r="A12079" s="3">
        <v>45862.0</v>
      </c>
      <c r="B12079" s="4">
        <v>0.30625</v>
      </c>
      <c r="C12079" s="5" t="s">
        <v>59</v>
      </c>
      <c r="D12079" s="5" t="s">
        <v>1674</v>
      </c>
      <c r="E12079" s="65" t="s">
        <v>1632</v>
      </c>
      <c r="F12079" s="61" t="s">
        <v>1633</v>
      </c>
      <c r="G12079" s="6" t="str">
        <f>VLOOKUP(E12079,dicionario!$A$1:$C12478,2,0)</f>
        <v>Tillandsia loliacea</v>
      </c>
      <c r="H12079" s="6" t="str">
        <f>VLOOKUP(E12079,dicionario!$A$1:$C12478,3,0)</f>
        <v>cravo-do-mato sp4</v>
      </c>
    </row>
    <row r="12080">
      <c r="A12080" s="3">
        <v>45862.0</v>
      </c>
      <c r="B12080" s="4">
        <v>0.30694444444444446</v>
      </c>
      <c r="C12080" s="5" t="s">
        <v>59</v>
      </c>
      <c r="D12080" s="5" t="s">
        <v>1674</v>
      </c>
      <c r="E12080" s="8" t="s">
        <v>1127</v>
      </c>
      <c r="F12080" s="5" t="s">
        <v>1421</v>
      </c>
      <c r="G12080" s="6" t="str">
        <f>VLOOKUP(E12080,dicionario!$A$1:$C12479,2,0)</f>
        <v>Albizia lebbeck</v>
      </c>
      <c r="H12080" s="6" t="str">
        <f>VLOOKUP(E12080,dicionario!$A$1:$C12479,3,0)</f>
        <v>albízia</v>
      </c>
    </row>
    <row r="12081">
      <c r="A12081" s="3">
        <v>45862.0</v>
      </c>
      <c r="B12081" s="4">
        <v>0.30694444444444446</v>
      </c>
      <c r="C12081" s="5" t="s">
        <v>50</v>
      </c>
      <c r="D12081" s="5" t="s">
        <v>1674</v>
      </c>
      <c r="E12081" s="6" t="s">
        <v>60</v>
      </c>
      <c r="F12081" s="5" t="s">
        <v>1659</v>
      </c>
      <c r="G12081" s="6" t="str">
        <f>VLOOKUP(E12081,dicionario!$A$1:$C12480,2,0)</f>
        <v>Vanellus chilensis</v>
      </c>
      <c r="H12081" s="6" t="str">
        <f>VLOOKUP(E12081,dicionario!$A$1:$C12480,3,0)</f>
        <v>quero-quero</v>
      </c>
    </row>
    <row r="12082">
      <c r="A12082" s="3">
        <v>45862.0</v>
      </c>
      <c r="B12082" s="4">
        <v>0.3076388888888889</v>
      </c>
      <c r="C12082" s="5" t="s">
        <v>50</v>
      </c>
      <c r="D12082" s="5" t="s">
        <v>1674</v>
      </c>
      <c r="E12082" s="8" t="s">
        <v>109</v>
      </c>
      <c r="F12082" s="5" t="s">
        <v>777</v>
      </c>
      <c r="G12082" s="6" t="str">
        <f>VLOOKUP(E12082,dicionario!$A$1:$C12481,2,0)</f>
        <v>Tillandsia stricta</v>
      </c>
      <c r="H12082" s="6" t="str">
        <f>VLOOKUP(E12082,dicionario!$A$1:$C12481,3,0)</f>
        <v>cravo-do-mato</v>
      </c>
    </row>
    <row r="12083">
      <c r="A12083" s="3">
        <v>45862.0</v>
      </c>
      <c r="B12083" s="4">
        <v>0.30972222222222223</v>
      </c>
      <c r="C12083" s="5" t="s">
        <v>50</v>
      </c>
      <c r="D12083" s="5" t="s">
        <v>1674</v>
      </c>
      <c r="E12083" s="8" t="s">
        <v>135</v>
      </c>
      <c r="F12083" s="5" t="s">
        <v>833</v>
      </c>
      <c r="G12083" s="6" t="str">
        <f>VLOOKUP(E12083,dicionario!$A$1:$C12482,2,0)</f>
        <v>Tridax procumbens</v>
      </c>
      <c r="H12083" s="6" t="str">
        <f>VLOOKUP(E12083,dicionario!$A$1:$C12482,3,0)</f>
        <v>erva-de-touro</v>
      </c>
    </row>
    <row r="12084">
      <c r="A12084" s="3">
        <v>45862.0</v>
      </c>
      <c r="B12084" s="4">
        <v>0.3111111111111111</v>
      </c>
      <c r="C12084" s="5" t="s">
        <v>50</v>
      </c>
      <c r="D12084" s="5" t="s">
        <v>1674</v>
      </c>
      <c r="E12084" s="6" t="s">
        <v>177</v>
      </c>
      <c r="F12084" s="5" t="s">
        <v>804</v>
      </c>
      <c r="G12084" s="6" t="str">
        <f>VLOOKUP(E12084,dicionario!$A$1:$C12483,2,0)</f>
        <v>Elaenia flavogaster</v>
      </c>
      <c r="H12084" s="6" t="str">
        <f>VLOOKUP(E12084,dicionario!$A$1:$C12483,3,0)</f>
        <v>guaracava-de-barriga-amarela</v>
      </c>
    </row>
    <row r="12085">
      <c r="A12085" s="3">
        <v>45862.0</v>
      </c>
      <c r="B12085" s="4">
        <v>0.3111111111111111</v>
      </c>
      <c r="C12085" s="5" t="s">
        <v>50</v>
      </c>
      <c r="D12085" s="5" t="s">
        <v>1674</v>
      </c>
      <c r="E12085" s="6" t="s">
        <v>498</v>
      </c>
      <c r="F12085" s="5" t="s">
        <v>1629</v>
      </c>
      <c r="G12085" s="6" t="str">
        <f>VLOOKUP(E12085,dicionario!$A$1:$C12484,2,0)</f>
        <v>Brachiaria decumbens</v>
      </c>
      <c r="H12085" s="6" t="str">
        <f>VLOOKUP(E12085,dicionario!$A$1:$C12484,3,0)</f>
        <v>capim-braquiária</v>
      </c>
    </row>
    <row r="12086">
      <c r="A12086" s="3">
        <v>45862.0</v>
      </c>
      <c r="B12086" s="4">
        <v>0.31180555555555556</v>
      </c>
      <c r="C12086" s="5" t="s">
        <v>50</v>
      </c>
      <c r="D12086" s="5" t="s">
        <v>1674</v>
      </c>
      <c r="E12086" s="6" t="s">
        <v>65</v>
      </c>
      <c r="F12086" s="5" t="s">
        <v>819</v>
      </c>
      <c r="G12086" s="6" t="str">
        <f>VLOOKUP(E12086,dicionario!$A$1:$C12485,2,0)</f>
        <v>Pitangus sulphutarus</v>
      </c>
      <c r="H12086" s="6" t="str">
        <f>VLOOKUP(E12086,dicionario!$A$1:$C12485,3,0)</f>
        <v>bem-te-vi</v>
      </c>
    </row>
    <row r="12087">
      <c r="A12087" s="3">
        <v>45862.0</v>
      </c>
      <c r="B12087" s="4">
        <v>0.3125</v>
      </c>
      <c r="C12087" s="5" t="s">
        <v>50</v>
      </c>
      <c r="D12087" s="5" t="s">
        <v>1674</v>
      </c>
      <c r="E12087" s="6" t="s">
        <v>191</v>
      </c>
      <c r="F12087" s="5" t="s">
        <v>771</v>
      </c>
      <c r="G12087" s="6" t="str">
        <f>VLOOKUP(E12087,dicionario!$A$1:$C12486,2,0)</f>
        <v>Patagioenas picazuro</v>
      </c>
      <c r="H12087" s="6" t="str">
        <f>VLOOKUP(E12087,dicionario!$A$1:$C12486,3,0)</f>
        <v>asa-branca; pomba-asa-branca; pocaçu</v>
      </c>
    </row>
    <row r="12088">
      <c r="A12088" s="3">
        <v>45862.0</v>
      </c>
      <c r="B12088" s="4">
        <v>0.3125</v>
      </c>
      <c r="C12088" s="5" t="s">
        <v>50</v>
      </c>
      <c r="D12088" s="5" t="s">
        <v>1674</v>
      </c>
      <c r="E12088" s="6" t="s">
        <v>43</v>
      </c>
      <c r="F12088" s="5" t="s">
        <v>1679</v>
      </c>
      <c r="G12088" s="6" t="str">
        <f>VLOOKUP(E12088,dicionario!$A$1:$C12487,2,0)</f>
        <v>Columba livia</v>
      </c>
      <c r="H12088" s="6" t="str">
        <f>VLOOKUP(E12088,dicionario!$A$1:$C12487,3,0)</f>
        <v>pombo-doméstico</v>
      </c>
    </row>
    <row r="12089">
      <c r="A12089" s="3">
        <v>45862.0</v>
      </c>
      <c r="B12089" s="4">
        <v>0.31319444444444444</v>
      </c>
      <c r="C12089" s="5" t="s">
        <v>50</v>
      </c>
      <c r="D12089" s="5" t="s">
        <v>1674</v>
      </c>
      <c r="E12089" s="8" t="s">
        <v>1549</v>
      </c>
      <c r="F12089" s="5" t="s">
        <v>1454</v>
      </c>
      <c r="G12089" s="6" t="str">
        <f>VLOOKUP(E12089,dicionario!$A$1:$C12488,2,0)</f>
        <v>Atta</v>
      </c>
      <c r="H12089" s="6" t="str">
        <f>VLOOKUP(E12089,dicionario!$A$1:$C12488,3,0)</f>
        <v>saúva</v>
      </c>
    </row>
    <row r="12090">
      <c r="A12090" s="3">
        <v>45862.0</v>
      </c>
      <c r="B12090" s="4">
        <v>0.3138888888888889</v>
      </c>
      <c r="C12090" s="5" t="s">
        <v>50</v>
      </c>
      <c r="D12090" s="5" t="s">
        <v>1674</v>
      </c>
      <c r="E12090" s="8" t="s">
        <v>38</v>
      </c>
      <c r="F12090" s="5" t="s">
        <v>1604</v>
      </c>
      <c r="G12090" s="6" t="str">
        <f>VLOOKUP(E12090,dicionario!$A$1:$C12489,2,0)</f>
        <v>Troglodytes musculus</v>
      </c>
      <c r="H12090" s="6" t="str">
        <f>VLOOKUP(E12090,dicionario!$A$1:$C12489,3,0)</f>
        <v>curruíra</v>
      </c>
    </row>
    <row r="12091">
      <c r="A12091" s="3">
        <v>45862.0</v>
      </c>
      <c r="B12091" s="4">
        <v>0.3138888888888889</v>
      </c>
      <c r="C12091" s="5" t="s">
        <v>50</v>
      </c>
      <c r="D12091" s="5" t="s">
        <v>1674</v>
      </c>
      <c r="E12091" s="6"/>
      <c r="F12091" s="5" t="s">
        <v>1644</v>
      </c>
      <c r="G12091" s="6" t="str">
        <f>VLOOKUP(E12091,dicionario!$A$1:$C12490,2,0)</f>
        <v>#N/A</v>
      </c>
      <c r="H12091" s="6" t="str">
        <f>VLOOKUP(E12091,dicionario!$A$1:$C12490,3,0)</f>
        <v>#N/A</v>
      </c>
    </row>
    <row r="12092">
      <c r="A12092" s="3">
        <v>45862.0</v>
      </c>
      <c r="B12092" s="4">
        <v>0.3138888888888889</v>
      </c>
      <c r="C12092" s="5" t="s">
        <v>50</v>
      </c>
      <c r="D12092" s="5" t="s">
        <v>1674</v>
      </c>
      <c r="E12092" s="8" t="s">
        <v>712</v>
      </c>
      <c r="F12092" s="5" t="s">
        <v>1602</v>
      </c>
      <c r="G12092" s="6" t="str">
        <f>VLOOKUP(E12092,dicionario!$A$1:$C12491,2,0)</f>
        <v>Flavopunctelia soredica</v>
      </c>
      <c r="H12092" s="6" t="str">
        <f>VLOOKUP(E12092,dicionario!$A$1:$C12491,3,0)</f>
        <v>líquen-folioso</v>
      </c>
    </row>
    <row r="12093">
      <c r="A12093" s="3">
        <v>45862.0</v>
      </c>
      <c r="B12093" s="4">
        <v>0.3138888888888889</v>
      </c>
      <c r="C12093" s="5" t="s">
        <v>50</v>
      </c>
      <c r="D12093" s="5" t="s">
        <v>1674</v>
      </c>
      <c r="E12093" s="8" t="s">
        <v>122</v>
      </c>
      <c r="F12093" s="5" t="s">
        <v>1593</v>
      </c>
      <c r="G12093" s="6" t="str">
        <f>VLOOKUP(E12093,dicionario!$A$1:$C12492,2,0)</f>
        <v>Todirostrum cinereum</v>
      </c>
      <c r="H12093" s="6" t="str">
        <f>VLOOKUP(E12093,dicionario!$A$1:$C12492,3,0)</f>
        <v>ferreirinho-relógio</v>
      </c>
    </row>
    <row r="12094">
      <c r="A12094" s="3">
        <v>45862.0</v>
      </c>
      <c r="B12094" s="4">
        <v>0.3138888888888889</v>
      </c>
      <c r="C12094" s="5" t="s">
        <v>50</v>
      </c>
      <c r="D12094" s="5" t="s">
        <v>1674</v>
      </c>
      <c r="E12094" s="53" t="s">
        <v>1680</v>
      </c>
      <c r="F12094" s="5" t="s">
        <v>1681</v>
      </c>
      <c r="G12094" s="6" t="str">
        <f>VLOOKUP(E12094,dicionario!$A$1:$C12493,2,0)</f>
        <v>Xanthoria parietina</v>
      </c>
      <c r="H12094" s="6" t="str">
        <f>VLOOKUP(E12094,dicionario!$A$1:$C12493,3,0)</f>
        <v>líquen-amarelo</v>
      </c>
    </row>
    <row r="12095">
      <c r="A12095" s="3">
        <v>45862.0</v>
      </c>
      <c r="B12095" s="4">
        <v>0.3138888888888889</v>
      </c>
      <c r="C12095" s="5" t="s">
        <v>50</v>
      </c>
      <c r="D12095" s="5" t="s">
        <v>1674</v>
      </c>
      <c r="E12095" s="6" t="s">
        <v>22</v>
      </c>
      <c r="F12095" s="5" t="s">
        <v>776</v>
      </c>
      <c r="G12095" s="6" t="str">
        <f>VLOOKUP(E12095,dicionario!$A$1:$C12494,2,0)</f>
        <v>Zenaida auriculata</v>
      </c>
      <c r="H12095" s="6" t="str">
        <f>VLOOKUP(E12095,dicionario!$A$1:$C12494,3,0)</f>
        <v>pomba-de-bando; avoante</v>
      </c>
    </row>
    <row r="12096">
      <c r="A12096" s="3">
        <v>45862.0</v>
      </c>
      <c r="B12096" s="4">
        <v>0.3138888888888889</v>
      </c>
      <c r="C12096" s="5" t="s">
        <v>50</v>
      </c>
      <c r="D12096" s="5" t="s">
        <v>1674</v>
      </c>
      <c r="E12096" s="6" t="s">
        <v>213</v>
      </c>
      <c r="F12096" s="5" t="s">
        <v>1577</v>
      </c>
      <c r="G12096" s="6" t="str">
        <f>VLOOKUP(E12096,dicionario!$A$1:$C12495,2,0)</f>
        <v>Myiozetetes similis</v>
      </c>
      <c r="H12096" s="6" t="str">
        <f>VLOOKUP(E12096,dicionario!$A$1:$C12495,3,0)</f>
        <v>bentevizinho-de-penacho-vermelho</v>
      </c>
    </row>
    <row r="12097">
      <c r="A12097" s="3">
        <v>45862.0</v>
      </c>
      <c r="B12097" s="4">
        <v>0.3145833333333333</v>
      </c>
      <c r="C12097" s="5" t="s">
        <v>50</v>
      </c>
      <c r="D12097" s="5" t="s">
        <v>1674</v>
      </c>
      <c r="E12097" s="8" t="s">
        <v>20</v>
      </c>
      <c r="F12097" s="5" t="s">
        <v>1637</v>
      </c>
      <c r="G12097" s="6" t="str">
        <f>VLOOKUP(E12097,dicionario!$A$1:$C12496,2,0)</f>
        <v>Sicalis flaveola</v>
      </c>
      <c r="H12097" s="6" t="str">
        <f>VLOOKUP(E12097,dicionario!$A$1:$C12496,3,0)</f>
        <v>canário-da-terra</v>
      </c>
    </row>
    <row r="12098">
      <c r="A12098" s="3">
        <v>45862.0</v>
      </c>
      <c r="B12098" s="4">
        <v>0.3145833333333333</v>
      </c>
      <c r="C12098" s="5" t="s">
        <v>50</v>
      </c>
      <c r="D12098" s="5" t="s">
        <v>1674</v>
      </c>
      <c r="E12098" s="6" t="s">
        <v>225</v>
      </c>
      <c r="F12098" s="5" t="s">
        <v>226</v>
      </c>
      <c r="G12098" s="6" t="str">
        <f>VLOOKUP(E12098,dicionario!$A$1:$C12497,2,0)</f>
        <v>Passer domesticus</v>
      </c>
      <c r="H12098" s="6" t="str">
        <f>VLOOKUP(E12098,dicionario!$A$1:$C12497,3,0)</f>
        <v>pardal</v>
      </c>
    </row>
    <row r="12099">
      <c r="A12099" s="3">
        <v>45862.0</v>
      </c>
      <c r="B12099" s="4">
        <v>0.3145833333333333</v>
      </c>
      <c r="C12099" s="5" t="s">
        <v>50</v>
      </c>
      <c r="D12099" s="5" t="s">
        <v>1674</v>
      </c>
      <c r="E12099" s="6" t="s">
        <v>111</v>
      </c>
      <c r="F12099" s="5" t="s">
        <v>112</v>
      </c>
      <c r="G12099" s="6" t="str">
        <f>VLOOKUP(E12099,dicionario!$A$1:$C12498,2,0)</f>
        <v>Trigona spinipes</v>
      </c>
      <c r="H12099" s="6" t="str">
        <f>VLOOKUP(E12099,dicionario!$A$1:$C12498,3,0)</f>
        <v>abelha-cachorro</v>
      </c>
    </row>
    <row r="12100">
      <c r="A12100" s="3">
        <v>45862.0</v>
      </c>
      <c r="B12100" s="4">
        <v>0.3145833333333333</v>
      </c>
      <c r="C12100" s="5" t="s">
        <v>50</v>
      </c>
      <c r="D12100" s="5" t="s">
        <v>1674</v>
      </c>
      <c r="E12100" s="8" t="s">
        <v>16</v>
      </c>
      <c r="F12100" s="5" t="s">
        <v>1641</v>
      </c>
      <c r="G12100" s="6" t="str">
        <f>VLOOKUP(E12100,dicionario!$A$1:$C12499,2,0)</f>
        <v>Eupetomena macroura</v>
      </c>
      <c r="H12100" s="6" t="str">
        <f>VLOOKUP(E12100,dicionario!$A$1:$C12499,3,0)</f>
        <v>beija-flor-tesoura</v>
      </c>
    </row>
    <row r="12101">
      <c r="A12101" s="3">
        <v>45862.0</v>
      </c>
      <c r="B12101" s="4">
        <v>0.3159722222222222</v>
      </c>
      <c r="C12101" s="5" t="s">
        <v>50</v>
      </c>
      <c r="D12101" s="5" t="s">
        <v>1674</v>
      </c>
      <c r="E12101" s="6" t="s">
        <v>99</v>
      </c>
      <c r="F12101" s="5" t="s">
        <v>508</v>
      </c>
      <c r="G12101" s="6" t="str">
        <f>VLOOKUP(E12101,dicionario!$A$1:$C12500,2,0)</f>
        <v>Molothrus bonariensis</v>
      </c>
      <c r="H12101" s="6" t="str">
        <f>VLOOKUP(E12101,dicionario!$A$1:$C12500,3,0)</f>
        <v>chupim</v>
      </c>
    </row>
    <row r="12102">
      <c r="A12102" s="3">
        <v>45862.0</v>
      </c>
      <c r="B12102" s="4">
        <v>0.3173611111111111</v>
      </c>
      <c r="C12102" s="5" t="s">
        <v>50</v>
      </c>
      <c r="D12102" s="5" t="s">
        <v>1674</v>
      </c>
      <c r="E12102" s="6" t="s">
        <v>448</v>
      </c>
      <c r="F12102" s="5" t="s">
        <v>462</v>
      </c>
      <c r="G12102" s="6" t="str">
        <f>VLOOKUP(E12102,dicionario!$A$1:$C12501,2,0)</f>
        <v>Mechanitis polymnia</v>
      </c>
      <c r="H12102" s="6" t="str">
        <f>VLOOKUP(E12102,dicionario!$A$1:$C12501,3,0)</f>
        <v>maria-boba</v>
      </c>
    </row>
    <row r="12103">
      <c r="A12103" s="3">
        <v>45862.0</v>
      </c>
      <c r="B12103" s="4">
        <v>0.3236111111111111</v>
      </c>
      <c r="C12103" s="5" t="s">
        <v>40</v>
      </c>
      <c r="D12103" s="5" t="s">
        <v>1674</v>
      </c>
      <c r="E12103" s="6" t="s">
        <v>113</v>
      </c>
      <c r="F12103" s="5" t="s">
        <v>820</v>
      </c>
      <c r="G12103" s="6" t="str">
        <f>VLOOKUP(E12103,dicionario!$A$1:$C12502,2,0)</f>
        <v>Columbina talpacoti</v>
      </c>
      <c r="H12103" s="6" t="str">
        <f>VLOOKUP(E12103,dicionario!$A$1:$C12502,3,0)</f>
        <v>rolinha-roxa</v>
      </c>
    </row>
    <row r="12104">
      <c r="A12104" s="3">
        <v>45862.0</v>
      </c>
      <c r="B12104" s="4">
        <v>0.3236111111111111</v>
      </c>
      <c r="C12104" s="5" t="s">
        <v>40</v>
      </c>
      <c r="D12104" s="5" t="s">
        <v>1674</v>
      </c>
      <c r="E12104" s="8" t="s">
        <v>109</v>
      </c>
      <c r="F12104" s="5" t="s">
        <v>777</v>
      </c>
      <c r="G12104" s="6" t="str">
        <f>VLOOKUP(E12104,dicionario!$A$1:$C12503,2,0)</f>
        <v>Tillandsia stricta</v>
      </c>
      <c r="H12104" s="6" t="str">
        <f>VLOOKUP(E12104,dicionario!$A$1:$C12503,3,0)</f>
        <v>cravo-do-mato</v>
      </c>
    </row>
    <row r="12105">
      <c r="A12105" s="3">
        <v>45862.0</v>
      </c>
      <c r="B12105" s="4">
        <v>0.3236111111111111</v>
      </c>
      <c r="C12105" s="5" t="s">
        <v>40</v>
      </c>
      <c r="D12105" s="5" t="s">
        <v>1674</v>
      </c>
      <c r="E12105" s="6" t="s">
        <v>225</v>
      </c>
      <c r="F12105" s="5" t="s">
        <v>226</v>
      </c>
      <c r="G12105" s="6" t="str">
        <f>VLOOKUP(E12105,dicionario!$A$1:$C12504,2,0)</f>
        <v>Passer domesticus</v>
      </c>
      <c r="H12105" s="6" t="str">
        <f>VLOOKUP(E12105,dicionario!$A$1:$C12504,3,0)</f>
        <v>pardal</v>
      </c>
    </row>
    <row r="12106">
      <c r="A12106" s="3">
        <v>45862.0</v>
      </c>
      <c r="B12106" s="4">
        <v>0.32430555555555557</v>
      </c>
      <c r="C12106" s="5" t="s">
        <v>40</v>
      </c>
      <c r="D12106" s="5" t="s">
        <v>1674</v>
      </c>
      <c r="E12106" s="6"/>
      <c r="F12106" s="5" t="s">
        <v>1352</v>
      </c>
      <c r="G12106" s="6" t="str">
        <f>VLOOKUP(E12106,dicionario!$A$1:$C12505,2,0)</f>
        <v>#N/A</v>
      </c>
      <c r="H12106" s="6" t="str">
        <f>VLOOKUP(E12106,dicionario!$A$1:$C12505,3,0)</f>
        <v>#N/A</v>
      </c>
    </row>
    <row r="12107">
      <c r="A12107" s="3">
        <v>45862.0</v>
      </c>
      <c r="B12107" s="4">
        <v>0.325</v>
      </c>
      <c r="C12107" s="5" t="s">
        <v>40</v>
      </c>
      <c r="D12107" s="5" t="s">
        <v>1674</v>
      </c>
      <c r="E12107" s="6" t="s">
        <v>144</v>
      </c>
      <c r="F12107" s="5" t="s">
        <v>145</v>
      </c>
      <c r="G12107" s="6" t="str">
        <f>VLOOKUP(E12107,dicionario!$A$1:$C12506,2,0)</f>
        <v>Gomphrena globosa</v>
      </c>
      <c r="H12107" s="6" t="str">
        <f>VLOOKUP(E12107,dicionario!$A$1:$C12506,3,0)</f>
        <v>perpétua-rosa</v>
      </c>
    </row>
    <row r="12108">
      <c r="A12108" s="3">
        <v>45862.0</v>
      </c>
      <c r="B12108" s="4">
        <v>0.325</v>
      </c>
      <c r="C12108" s="5" t="s">
        <v>40</v>
      </c>
      <c r="D12108" s="5" t="s">
        <v>1674</v>
      </c>
      <c r="E12108" s="8" t="s">
        <v>239</v>
      </c>
      <c r="F12108" s="5" t="s">
        <v>240</v>
      </c>
      <c r="G12108" s="6" t="str">
        <f>VLOOKUP(E12108,dicionario!$A$1:$C12507,2,0)</f>
        <v>Gomphrena celosioides</v>
      </c>
      <c r="H12108" s="6" t="str">
        <f>VLOOKUP(E12108,dicionario!$A$1:$C12507,3,0)</f>
        <v>perpétua-branca</v>
      </c>
    </row>
    <row r="12109">
      <c r="A12109" s="3">
        <v>45862.0</v>
      </c>
      <c r="B12109" s="4">
        <v>0.32569444444444445</v>
      </c>
      <c r="C12109" s="5" t="s">
        <v>40</v>
      </c>
      <c r="D12109" s="5" t="s">
        <v>1674</v>
      </c>
      <c r="E12109" s="72" t="s">
        <v>1087</v>
      </c>
      <c r="F12109" s="5" t="s">
        <v>1088</v>
      </c>
      <c r="G12109" s="6" t="str">
        <f>VLOOKUP(E12109,dicionario!$A$1:$C12508,2,0)</f>
        <v>Desmodium triflorum</v>
      </c>
      <c r="H12109" s="6" t="str">
        <f>VLOOKUP(E12109,dicionario!$A$1:$C12508,3,0)</f>
        <v/>
      </c>
    </row>
    <row r="12110">
      <c r="A12110" s="3">
        <v>45862.0</v>
      </c>
      <c r="B12110" s="4">
        <v>0.32569444444444445</v>
      </c>
      <c r="C12110" s="5" t="s">
        <v>40</v>
      </c>
      <c r="D12110" s="5" t="s">
        <v>1674</v>
      </c>
      <c r="E12110" s="6" t="s">
        <v>213</v>
      </c>
      <c r="F12110" s="5" t="s">
        <v>1577</v>
      </c>
      <c r="G12110" s="6" t="str">
        <f>VLOOKUP(E12110,dicionario!$A$1:$C12509,2,0)</f>
        <v>Myiozetetes similis</v>
      </c>
      <c r="H12110" s="6" t="str">
        <f>VLOOKUP(E12110,dicionario!$A$1:$C12509,3,0)</f>
        <v>bentevizinho-de-penacho-vermelho</v>
      </c>
    </row>
    <row r="12111">
      <c r="A12111" s="3">
        <v>45862.0</v>
      </c>
      <c r="B12111" s="4">
        <v>0.3263888888888889</v>
      </c>
      <c r="C12111" s="5" t="s">
        <v>40</v>
      </c>
      <c r="D12111" s="5" t="s">
        <v>1674</v>
      </c>
      <c r="E12111" s="8" t="s">
        <v>135</v>
      </c>
      <c r="F12111" s="5" t="s">
        <v>833</v>
      </c>
      <c r="G12111" s="6" t="str">
        <f>VLOOKUP(E12111,dicionario!$A$1:$C12510,2,0)</f>
        <v>Tridax procumbens</v>
      </c>
      <c r="H12111" s="6" t="str">
        <f>VLOOKUP(E12111,dicionario!$A$1:$C12510,3,0)</f>
        <v>erva-de-touro</v>
      </c>
    </row>
    <row r="12112">
      <c r="A12112" s="3">
        <v>45862.0</v>
      </c>
      <c r="B12112" s="4">
        <v>0.3263888888888889</v>
      </c>
      <c r="C12112" s="5" t="s">
        <v>40</v>
      </c>
      <c r="D12112" s="5" t="s">
        <v>1674</v>
      </c>
      <c r="E12112" s="8" t="s">
        <v>271</v>
      </c>
      <c r="F12112" s="5" t="s">
        <v>1575</v>
      </c>
      <c r="G12112" s="6" t="str">
        <f>VLOOKUP(E12112,dicionario!$A$1:$C12511,2,0)</f>
        <v>Cyanthillium cinereum</v>
      </c>
      <c r="H12112" s="6" t="str">
        <f>VLOOKUP(E12112,dicionario!$A$1:$C12511,3,0)</f>
        <v>emília</v>
      </c>
    </row>
    <row r="12113">
      <c r="A12113" s="3">
        <v>45862.0</v>
      </c>
      <c r="B12113" s="4">
        <v>0.3263888888888889</v>
      </c>
      <c r="C12113" s="5" t="s">
        <v>40</v>
      </c>
      <c r="D12113" s="5" t="s">
        <v>1674</v>
      </c>
      <c r="E12113" s="8" t="s">
        <v>38</v>
      </c>
      <c r="F12113" s="5" t="s">
        <v>1604</v>
      </c>
      <c r="G12113" s="6" t="str">
        <f>VLOOKUP(E12113,dicionario!$A$1:$C12512,2,0)</f>
        <v>Troglodytes musculus</v>
      </c>
      <c r="H12113" s="6" t="str">
        <f>VLOOKUP(E12113,dicionario!$A$1:$C12512,3,0)</f>
        <v>curruíra</v>
      </c>
    </row>
    <row r="12114">
      <c r="A12114" s="3">
        <v>45862.0</v>
      </c>
      <c r="B12114" s="4">
        <v>0.3263888888888889</v>
      </c>
      <c r="C12114" s="5" t="s">
        <v>40</v>
      </c>
      <c r="D12114" s="5" t="s">
        <v>1674</v>
      </c>
      <c r="E12114" s="6" t="s">
        <v>65</v>
      </c>
      <c r="F12114" s="5" t="s">
        <v>819</v>
      </c>
      <c r="G12114" s="6" t="str">
        <f>VLOOKUP(E12114,dicionario!$A$1:$C12513,2,0)</f>
        <v>Pitangus sulphutarus</v>
      </c>
      <c r="H12114" s="6" t="str">
        <f>VLOOKUP(E12114,dicionario!$A$1:$C12513,3,0)</f>
        <v>bem-te-vi</v>
      </c>
    </row>
    <row r="12115">
      <c r="A12115" s="3">
        <v>45862.0</v>
      </c>
      <c r="B12115" s="4">
        <v>0.3263888888888889</v>
      </c>
      <c r="C12115" s="5" t="s">
        <v>40</v>
      </c>
      <c r="D12115" s="5" t="s">
        <v>1674</v>
      </c>
      <c r="E12115" s="8" t="s">
        <v>20</v>
      </c>
      <c r="F12115" s="5" t="s">
        <v>1637</v>
      </c>
      <c r="G12115" s="6" t="str">
        <f>VLOOKUP(E12115,dicionario!$A$1:$C12514,2,0)</f>
        <v>Sicalis flaveola</v>
      </c>
      <c r="H12115" s="6" t="str">
        <f>VLOOKUP(E12115,dicionario!$A$1:$C12514,3,0)</f>
        <v>canário-da-terra</v>
      </c>
    </row>
    <row r="12116">
      <c r="A12116" s="3">
        <v>45862.0</v>
      </c>
      <c r="B12116" s="4">
        <v>0.3263888888888889</v>
      </c>
      <c r="C12116" s="5" t="s">
        <v>40</v>
      </c>
      <c r="D12116" s="5" t="s">
        <v>1674</v>
      </c>
      <c r="E12116" s="67" t="s">
        <v>1462</v>
      </c>
      <c r="F12116" s="5" t="s">
        <v>1682</v>
      </c>
      <c r="G12116" s="6" t="str">
        <f>VLOOKUP(E12116,dicionario!$A$1:$C12515,2,0)</f>
        <v>Primolius maracana</v>
      </c>
      <c r="H12116" s="6" t="str">
        <f>VLOOKUP(E12116,dicionario!$A$1:$C12515,3,0)</f>
        <v>maracanã</v>
      </c>
    </row>
    <row r="12117">
      <c r="A12117" s="3">
        <v>45862.0</v>
      </c>
      <c r="B12117" s="4">
        <v>0.3263888888888889</v>
      </c>
      <c r="C12117" s="5" t="s">
        <v>40</v>
      </c>
      <c r="D12117" s="5" t="s">
        <v>1674</v>
      </c>
      <c r="E12117" s="8" t="s">
        <v>162</v>
      </c>
      <c r="F12117" s="5" t="s">
        <v>1362</v>
      </c>
      <c r="G12117" s="6" t="str">
        <f>VLOOKUP(E12117,dicionario!$A$1:$C12516,2,0)</f>
        <v>Fluvicola nengeta</v>
      </c>
      <c r="H12117" s="6" t="str">
        <f>VLOOKUP(E12117,dicionario!$A$1:$C12516,3,0)</f>
        <v>lavadeira-mascarada</v>
      </c>
    </row>
    <row r="12118">
      <c r="A12118" s="3">
        <v>45862.0</v>
      </c>
      <c r="B12118" s="4">
        <v>0.3263888888888889</v>
      </c>
      <c r="C12118" s="5" t="s">
        <v>40</v>
      </c>
      <c r="D12118" s="5" t="s">
        <v>1674</v>
      </c>
      <c r="E12118" s="6" t="s">
        <v>429</v>
      </c>
      <c r="F12118" s="5" t="s">
        <v>660</v>
      </c>
      <c r="G12118" s="6" t="str">
        <f>VLOOKUP(E12118,dicionario!$A$1:$C12517,2,0)</f>
        <v>Leonurus sibiricus</v>
      </c>
      <c r="H12118" s="6" t="str">
        <f>VLOOKUP(E12118,dicionario!$A$1:$C12517,3,0)</f>
        <v>erva-macaé</v>
      </c>
    </row>
    <row r="12119">
      <c r="A12119" s="3">
        <v>45862.0</v>
      </c>
      <c r="B12119" s="4">
        <v>0.32708333333333334</v>
      </c>
      <c r="C12119" s="5" t="s">
        <v>40</v>
      </c>
      <c r="D12119" s="5" t="s">
        <v>1674</v>
      </c>
      <c r="E12119" s="5" t="s">
        <v>1623</v>
      </c>
      <c r="F12119" s="5" t="s">
        <v>1605</v>
      </c>
      <c r="G12119" s="6" t="str">
        <f>VLOOKUP(E12119,dicionario!$A$1:$C12518,2,0)</f>
        <v>#N/A</v>
      </c>
      <c r="H12119" s="6" t="str">
        <f>VLOOKUP(E12119,dicionario!$A$1:$C12518,3,0)</f>
        <v>#N/A</v>
      </c>
    </row>
    <row r="12120">
      <c r="A12120" s="3">
        <v>45862.0</v>
      </c>
      <c r="B12120" s="4">
        <v>0.32708333333333334</v>
      </c>
      <c r="C12120" s="5" t="s">
        <v>40</v>
      </c>
      <c r="D12120" s="5" t="s">
        <v>1674</v>
      </c>
      <c r="E12120" s="6" t="s">
        <v>296</v>
      </c>
      <c r="F12120" s="5" t="s">
        <v>823</v>
      </c>
      <c r="G12120" s="6" t="str">
        <f>VLOOKUP(E12120,dicionario!$A$1:$C12519,2,0)</f>
        <v>Richardia brasiliensis</v>
      </c>
      <c r="H12120" s="6" t="str">
        <f>VLOOKUP(E12120,dicionario!$A$1:$C12519,3,0)</f>
        <v>poaia-branca</v>
      </c>
    </row>
    <row r="12121">
      <c r="A12121" s="3">
        <v>45862.0</v>
      </c>
      <c r="B12121" s="4">
        <v>0.32708333333333334</v>
      </c>
      <c r="C12121" s="5" t="s">
        <v>40</v>
      </c>
      <c r="D12121" s="5" t="s">
        <v>1674</v>
      </c>
      <c r="E12121" s="8" t="s">
        <v>465</v>
      </c>
      <c r="F12121" s="5" t="s">
        <v>994</v>
      </c>
      <c r="G12121" s="6" t="str">
        <f>VLOOKUP(E12121,dicionario!$A$1:$C12520,2,0)</f>
        <v>Solanum diphyllum</v>
      </c>
      <c r="H12121" s="6" t="str">
        <f>VLOOKUP(E12121,dicionario!$A$1:$C12520,3,0)</f>
        <v>tomatinho-amarelo</v>
      </c>
    </row>
    <row r="12122">
      <c r="A12122" s="3">
        <v>45862.0</v>
      </c>
      <c r="B12122" s="4">
        <v>0.32708333333333334</v>
      </c>
      <c r="C12122" s="5" t="s">
        <v>40</v>
      </c>
      <c r="D12122" s="5" t="s">
        <v>1674</v>
      </c>
      <c r="E12122" s="8" t="s">
        <v>1167</v>
      </c>
      <c r="F12122" s="61" t="s">
        <v>1683</v>
      </c>
      <c r="G12122" s="6" t="str">
        <f>VLOOKUP(E12122,dicionario!$A$1:$C12521,2,0)</f>
        <v>Tillandsia recurvata</v>
      </c>
      <c r="H12122" s="6" t="str">
        <f>VLOOKUP(E12122,dicionario!$A$1:$C12521,3,0)</f>
        <v>cravo-do-mato sp2</v>
      </c>
    </row>
    <row r="12123">
      <c r="A12123" s="3">
        <v>45862.0</v>
      </c>
      <c r="B12123" s="4">
        <v>0.3277777777777778</v>
      </c>
      <c r="C12123" s="5" t="s">
        <v>40</v>
      </c>
      <c r="D12123" s="5" t="s">
        <v>1674</v>
      </c>
      <c r="E12123" s="8" t="s">
        <v>886</v>
      </c>
      <c r="F12123" s="5" t="s">
        <v>887</v>
      </c>
      <c r="G12123" s="6" t="str">
        <f>VLOOKUP(E12123,dicionario!$A$1:$C12522,2,0)</f>
        <v>Oldenlandia corymbosa</v>
      </c>
      <c r="H12123" s="6" t="str">
        <f>VLOOKUP(E12123,dicionario!$A$1:$C12522,3,0)</f>
        <v>erva-diamante</v>
      </c>
    </row>
    <row r="12124">
      <c r="A12124" s="3">
        <v>45862.0</v>
      </c>
      <c r="B12124" s="4">
        <v>0.33055555555555555</v>
      </c>
      <c r="C12124" s="5" t="s">
        <v>33</v>
      </c>
      <c r="D12124" s="5" t="s">
        <v>1674</v>
      </c>
      <c r="E12124" s="8" t="s">
        <v>109</v>
      </c>
      <c r="F12124" s="5" t="s">
        <v>777</v>
      </c>
      <c r="G12124" s="6" t="str">
        <f>VLOOKUP(E12124,dicionario!$A$1:$C12523,2,0)</f>
        <v>Tillandsia stricta</v>
      </c>
      <c r="H12124" s="6" t="str">
        <f>VLOOKUP(E12124,dicionario!$A$1:$C12523,3,0)</f>
        <v>cravo-do-mato</v>
      </c>
    </row>
    <row r="12125">
      <c r="A12125" s="3">
        <v>45862.0</v>
      </c>
      <c r="B12125" s="4">
        <v>0.33194444444444443</v>
      </c>
      <c r="C12125" s="5" t="s">
        <v>33</v>
      </c>
      <c r="D12125" s="5" t="s">
        <v>1674</v>
      </c>
      <c r="E12125" s="6" t="s">
        <v>225</v>
      </c>
      <c r="F12125" s="5" t="s">
        <v>226</v>
      </c>
      <c r="G12125" s="6" t="str">
        <f>VLOOKUP(E12125,dicionario!$A$1:$C12524,2,0)</f>
        <v>Passer domesticus</v>
      </c>
      <c r="H12125" s="6" t="str">
        <f>VLOOKUP(E12125,dicionario!$A$1:$C12524,3,0)</f>
        <v>pardal</v>
      </c>
    </row>
    <row r="12126">
      <c r="A12126" s="3">
        <v>45862.0</v>
      </c>
      <c r="B12126" s="4">
        <v>0.33194444444444443</v>
      </c>
      <c r="C12126" s="5" t="s">
        <v>33</v>
      </c>
      <c r="D12126" s="5" t="s">
        <v>1674</v>
      </c>
      <c r="E12126" s="8" t="s">
        <v>122</v>
      </c>
      <c r="F12126" s="5" t="s">
        <v>1593</v>
      </c>
      <c r="G12126" s="6" t="str">
        <f>VLOOKUP(E12126,dicionario!$A$1:$C12525,2,0)</f>
        <v>Todirostrum cinereum</v>
      </c>
      <c r="H12126" s="6" t="str">
        <f>VLOOKUP(E12126,dicionario!$A$1:$C12525,3,0)</f>
        <v>ferreirinho-relógio</v>
      </c>
    </row>
    <row r="12127">
      <c r="A12127" s="3">
        <v>45862.0</v>
      </c>
      <c r="B12127" s="4">
        <v>0.33194444444444443</v>
      </c>
      <c r="C12127" s="5" t="s">
        <v>33</v>
      </c>
      <c r="D12127" s="5" t="s">
        <v>1674</v>
      </c>
      <c r="E12127" s="8" t="s">
        <v>162</v>
      </c>
      <c r="F12127" s="5" t="s">
        <v>1362</v>
      </c>
      <c r="G12127" s="6" t="str">
        <f>VLOOKUP(E12127,dicionario!$A$1:$C12526,2,0)</f>
        <v>Fluvicola nengeta</v>
      </c>
      <c r="H12127" s="6" t="str">
        <f>VLOOKUP(E12127,dicionario!$A$1:$C12526,3,0)</f>
        <v>lavadeira-mascarada</v>
      </c>
    </row>
    <row r="12128">
      <c r="A12128" s="3">
        <v>45862.0</v>
      </c>
      <c r="B12128" s="4">
        <v>0.3326388888888889</v>
      </c>
      <c r="C12128" s="5" t="s">
        <v>33</v>
      </c>
      <c r="D12128" s="5" t="s">
        <v>1674</v>
      </c>
      <c r="E12128" s="8" t="s">
        <v>1344</v>
      </c>
      <c r="F12128" s="5" t="s">
        <v>1360</v>
      </c>
      <c r="G12128" s="6" t="str">
        <f>VLOOKUP(E12128,dicionario!$A$1:$C12527,2,0)</f>
        <v>#N/A</v>
      </c>
      <c r="H12128" s="6" t="str">
        <f>VLOOKUP(E12128,dicionario!$A$1:$C12527,3,0)</f>
        <v>#N/A</v>
      </c>
    </row>
    <row r="12129">
      <c r="A12129" s="3">
        <v>45862.0</v>
      </c>
      <c r="B12129" s="4">
        <v>0.3326388888888889</v>
      </c>
      <c r="C12129" s="5" t="s">
        <v>33</v>
      </c>
      <c r="D12129" s="5" t="s">
        <v>1674</v>
      </c>
      <c r="E12129" s="8" t="s">
        <v>849</v>
      </c>
      <c r="F12129" s="5" t="s">
        <v>1457</v>
      </c>
      <c r="G12129" s="6" t="str">
        <f>VLOOKUP(E12129,dicionario!$A$1:$C12528,2,0)</f>
        <v>#N/A</v>
      </c>
      <c r="H12129" s="6" t="str">
        <f>VLOOKUP(E12129,dicionario!$A$1:$C12528,3,0)</f>
        <v>#N/A</v>
      </c>
    </row>
    <row r="12130">
      <c r="A12130" s="3">
        <v>45862.0</v>
      </c>
      <c r="B12130" s="4">
        <v>0.3326388888888889</v>
      </c>
      <c r="C12130" s="5" t="s">
        <v>33</v>
      </c>
      <c r="D12130" s="5" t="s">
        <v>1674</v>
      </c>
      <c r="E12130" s="8" t="s">
        <v>135</v>
      </c>
      <c r="F12130" s="5" t="s">
        <v>833</v>
      </c>
      <c r="G12130" s="6" t="str">
        <f>VLOOKUP(E12130,dicionario!$A$1:$C12529,2,0)</f>
        <v>Tridax procumbens</v>
      </c>
      <c r="H12130" s="6" t="str">
        <f>VLOOKUP(E12130,dicionario!$A$1:$C12529,3,0)</f>
        <v>erva-de-touro</v>
      </c>
    </row>
    <row r="12131">
      <c r="A12131" s="3">
        <v>45862.0</v>
      </c>
      <c r="B12131" s="4">
        <v>0.3333333333333333</v>
      </c>
      <c r="C12131" s="5" t="s">
        <v>33</v>
      </c>
      <c r="D12131" s="5" t="s">
        <v>1674</v>
      </c>
      <c r="E12131" s="6" t="s">
        <v>191</v>
      </c>
      <c r="F12131" s="5" t="s">
        <v>771</v>
      </c>
      <c r="G12131" s="6" t="str">
        <f>VLOOKUP(E12131,dicionario!$A$1:$C12530,2,0)</f>
        <v>Patagioenas picazuro</v>
      </c>
      <c r="H12131" s="6" t="str">
        <f>VLOOKUP(E12131,dicionario!$A$1:$C12530,3,0)</f>
        <v>asa-branca; pomba-asa-branca; pocaçu</v>
      </c>
    </row>
    <row r="12132">
      <c r="A12132" s="3">
        <v>45862.0</v>
      </c>
      <c r="B12132" s="4">
        <v>0.33402777777777776</v>
      </c>
      <c r="C12132" s="5" t="s">
        <v>33</v>
      </c>
      <c r="D12132" s="5" t="s">
        <v>1674</v>
      </c>
      <c r="E12132" s="6" t="s">
        <v>340</v>
      </c>
      <c r="F12132" s="5" t="s">
        <v>1597</v>
      </c>
      <c r="G12132" s="6" t="str">
        <f>VLOOKUP(E12132,dicionario!$A$1:$C12531,2,0)</f>
        <v>#N/A</v>
      </c>
      <c r="H12132" s="6" t="str">
        <f>VLOOKUP(E12132,dicionario!$A$1:$C12531,3,0)</f>
        <v>#N/A</v>
      </c>
    </row>
    <row r="12133">
      <c r="A12133" s="3">
        <v>45862.0</v>
      </c>
      <c r="B12133" s="4">
        <v>0.3347222222222222</v>
      </c>
      <c r="C12133" s="5" t="s">
        <v>33</v>
      </c>
      <c r="D12133" s="5" t="s">
        <v>1674</v>
      </c>
      <c r="E12133" s="8" t="s">
        <v>271</v>
      </c>
      <c r="F12133" s="5" t="s">
        <v>1575</v>
      </c>
      <c r="G12133" s="6" t="str">
        <f>VLOOKUP(E12133,dicionario!$A$1:$C12532,2,0)</f>
        <v>Cyanthillium cinereum</v>
      </c>
      <c r="H12133" s="6" t="str">
        <f>VLOOKUP(E12133,dicionario!$A$1:$C12532,3,0)</f>
        <v>emília</v>
      </c>
    </row>
    <row r="12134">
      <c r="A12134" s="3">
        <v>45862.0</v>
      </c>
      <c r="B12134" s="4">
        <v>0.33541666666666664</v>
      </c>
      <c r="C12134" s="5" t="s">
        <v>33</v>
      </c>
      <c r="D12134" s="5" t="s">
        <v>1674</v>
      </c>
      <c r="E12134" s="8" t="s">
        <v>38</v>
      </c>
      <c r="F12134" s="5" t="s">
        <v>1604</v>
      </c>
      <c r="G12134" s="6" t="str">
        <f>VLOOKUP(E12134,dicionario!$A$1:$C12533,2,0)</f>
        <v>Troglodytes musculus</v>
      </c>
      <c r="H12134" s="6" t="str">
        <f>VLOOKUP(E12134,dicionario!$A$1:$C12533,3,0)</f>
        <v>curruíra</v>
      </c>
    </row>
    <row r="12135">
      <c r="A12135" s="3">
        <v>45862.0</v>
      </c>
      <c r="B12135" s="4">
        <v>0.33611111111111114</v>
      </c>
      <c r="C12135" s="5" t="s">
        <v>33</v>
      </c>
      <c r="D12135" s="5" t="s">
        <v>1674</v>
      </c>
      <c r="E12135" s="6"/>
      <c r="F12135" s="5" t="s">
        <v>1644</v>
      </c>
      <c r="G12135" s="6" t="str">
        <f>VLOOKUP(E12135,dicionario!$A$1:$C12534,2,0)</f>
        <v>#N/A</v>
      </c>
      <c r="H12135" s="6" t="str">
        <f>VLOOKUP(E12135,dicionario!$A$1:$C12534,3,0)</f>
        <v>#N/A</v>
      </c>
    </row>
    <row r="12136">
      <c r="A12136" s="3">
        <v>45862.0</v>
      </c>
      <c r="B12136" s="4">
        <v>0.33611111111111114</v>
      </c>
      <c r="C12136" s="5" t="s">
        <v>33</v>
      </c>
      <c r="D12136" s="5" t="s">
        <v>1674</v>
      </c>
      <c r="E12136" s="6" t="s">
        <v>163</v>
      </c>
      <c r="F12136" s="5" t="s">
        <v>1684</v>
      </c>
      <c r="G12136" s="6" t="str">
        <f>VLOOKUP(E12136,dicionario!$A$1:$C12535,2,0)</f>
        <v>Coragyps atratus</v>
      </c>
      <c r="H12136" s="6" t="str">
        <f>VLOOKUP(E12136,dicionario!$A$1:$C12535,3,0)</f>
        <v>urubu-de-cabeça-preta</v>
      </c>
    </row>
    <row r="12137">
      <c r="A12137" s="3">
        <v>45862.0</v>
      </c>
      <c r="B12137" s="4">
        <v>0.3368055555555556</v>
      </c>
      <c r="C12137" s="5" t="s">
        <v>33</v>
      </c>
      <c r="D12137" s="5" t="s">
        <v>1674</v>
      </c>
      <c r="E12137" s="6" t="s">
        <v>340</v>
      </c>
      <c r="F12137" s="5" t="s">
        <v>1597</v>
      </c>
      <c r="G12137" s="6" t="str">
        <f>VLOOKUP(E12137,dicionario!$A$1:$C12536,2,0)</f>
        <v>#N/A</v>
      </c>
      <c r="H12137" s="6" t="str">
        <f>VLOOKUP(E12137,dicionario!$A$1:$C12536,3,0)</f>
        <v>#N/A</v>
      </c>
    </row>
    <row r="12138">
      <c r="A12138" s="3">
        <v>45862.0</v>
      </c>
      <c r="B12138" s="4">
        <v>0.3375</v>
      </c>
      <c r="C12138" s="5" t="s">
        <v>26</v>
      </c>
      <c r="D12138" s="5" t="s">
        <v>1674</v>
      </c>
      <c r="E12138" s="6" t="s">
        <v>113</v>
      </c>
      <c r="F12138" s="5" t="s">
        <v>820</v>
      </c>
      <c r="G12138" s="6" t="str">
        <f>VLOOKUP(E12138,dicionario!$A$1:$C12537,2,0)</f>
        <v>Columbina talpacoti</v>
      </c>
      <c r="H12138" s="6" t="str">
        <f>VLOOKUP(E12138,dicionario!$A$1:$C12537,3,0)</f>
        <v>rolinha-roxa</v>
      </c>
    </row>
    <row r="12139">
      <c r="A12139" s="3">
        <v>45862.0</v>
      </c>
      <c r="B12139" s="4">
        <v>0.3375</v>
      </c>
      <c r="C12139" s="5" t="s">
        <v>26</v>
      </c>
      <c r="D12139" s="5" t="s">
        <v>1674</v>
      </c>
      <c r="E12139" s="8" t="s">
        <v>712</v>
      </c>
      <c r="F12139" s="5" t="s">
        <v>1602</v>
      </c>
      <c r="G12139" s="6" t="str">
        <f>VLOOKUP(E12139,dicionario!$A$1:$C12538,2,0)</f>
        <v>Flavopunctelia soredica</v>
      </c>
      <c r="H12139" s="6" t="str">
        <f>VLOOKUP(E12139,dicionario!$A$1:$C12538,3,0)</f>
        <v>líquen-folioso</v>
      </c>
    </row>
    <row r="12140">
      <c r="A12140" s="3">
        <v>45862.0</v>
      </c>
      <c r="B12140" s="4">
        <v>0.3375</v>
      </c>
      <c r="C12140" s="5" t="s">
        <v>26</v>
      </c>
      <c r="D12140" s="5" t="s">
        <v>1674</v>
      </c>
      <c r="E12140" s="8" t="s">
        <v>109</v>
      </c>
      <c r="F12140" s="5" t="s">
        <v>777</v>
      </c>
      <c r="G12140" s="6" t="str">
        <f>VLOOKUP(E12140,dicionario!$A$1:$C12539,2,0)</f>
        <v>Tillandsia stricta</v>
      </c>
      <c r="H12140" s="6" t="str">
        <f>VLOOKUP(E12140,dicionario!$A$1:$C12539,3,0)</f>
        <v>cravo-do-mato</v>
      </c>
    </row>
    <row r="12141">
      <c r="A12141" s="3">
        <v>45862.0</v>
      </c>
      <c r="B12141" s="4">
        <v>0.33819444444444446</v>
      </c>
      <c r="C12141" s="5" t="s">
        <v>26</v>
      </c>
      <c r="D12141" s="5" t="s">
        <v>1674</v>
      </c>
      <c r="E12141" s="6" t="s">
        <v>217</v>
      </c>
      <c r="F12141" s="5" t="s">
        <v>1372</v>
      </c>
      <c r="G12141" s="6" t="str">
        <f>VLOOKUP(E12141,dicionario!$A$1:$C12540,2,0)</f>
        <v>Athene cunicularia</v>
      </c>
      <c r="H12141" s="6" t="str">
        <f>VLOOKUP(E12141,dicionario!$A$1:$C12540,3,0)</f>
        <v>coruja-buraqueira</v>
      </c>
    </row>
    <row r="12142">
      <c r="A12142" s="3">
        <v>45862.0</v>
      </c>
      <c r="B12142" s="4">
        <v>0.33819444444444446</v>
      </c>
      <c r="C12142" s="5" t="s">
        <v>26</v>
      </c>
      <c r="D12142" s="5" t="s">
        <v>1674</v>
      </c>
      <c r="E12142" s="20" t="s">
        <v>676</v>
      </c>
      <c r="F12142" s="5" t="s">
        <v>1370</v>
      </c>
      <c r="G12142" s="6" t="str">
        <f>VLOOKUP(E12142,dicionario!$A$1:$C12541,2,0)</f>
        <v>Zornia latifolia</v>
      </c>
      <c r="H12142" s="6" t="str">
        <f>VLOOKUP(E12142,dicionario!$A$1:$C12541,3,0)</f>
        <v>arrozinho-do-campo</v>
      </c>
    </row>
    <row r="12143">
      <c r="A12143" s="3">
        <v>45862.0</v>
      </c>
      <c r="B12143" s="4">
        <v>0.33819444444444446</v>
      </c>
      <c r="C12143" s="5" t="s">
        <v>26</v>
      </c>
      <c r="D12143" s="5" t="s">
        <v>1674</v>
      </c>
      <c r="E12143" s="6" t="s">
        <v>360</v>
      </c>
      <c r="F12143" s="5" t="s">
        <v>1642</v>
      </c>
      <c r="G12143" s="6" t="str">
        <f>VLOOKUP(E12143,dicionario!$A$1:$C12542,2,0)</f>
        <v>Chamaecrista rotundifolia</v>
      </c>
      <c r="H12143" s="6" t="str">
        <f>VLOOKUP(E12143,dicionario!$A$1:$C12542,3,0)</f>
        <v>alfafa-nativa</v>
      </c>
    </row>
    <row r="12144">
      <c r="A12144" s="3">
        <v>45862.0</v>
      </c>
      <c r="B12144" s="4">
        <v>0.3388888888888889</v>
      </c>
      <c r="C12144" s="5" t="s">
        <v>26</v>
      </c>
      <c r="D12144" s="5" t="s">
        <v>1674</v>
      </c>
      <c r="E12144" s="8" t="s">
        <v>135</v>
      </c>
      <c r="F12144" s="5" t="s">
        <v>833</v>
      </c>
      <c r="G12144" s="6" t="str">
        <f>VLOOKUP(E12144,dicionario!$A$1:$C12543,2,0)</f>
        <v>Tridax procumbens</v>
      </c>
      <c r="H12144" s="6" t="str">
        <f>VLOOKUP(E12144,dicionario!$A$1:$C12543,3,0)</f>
        <v>erva-de-touro</v>
      </c>
    </row>
    <row r="12145">
      <c r="A12145" s="3">
        <v>45862.0</v>
      </c>
      <c r="B12145" s="4">
        <v>0.3388888888888889</v>
      </c>
      <c r="C12145" s="5" t="s">
        <v>26</v>
      </c>
      <c r="D12145" s="5" t="s">
        <v>1674</v>
      </c>
      <c r="E12145" s="8" t="s">
        <v>1352</v>
      </c>
      <c r="F12145" s="5"/>
      <c r="G12145" s="6" t="str">
        <f>VLOOKUP(E12145,dicionario!$A$1:$C12544,2,0)</f>
        <v>#N/A</v>
      </c>
      <c r="H12145" s="6" t="str">
        <f>VLOOKUP(E12145,dicionario!$A$1:$C12544,3,0)</f>
        <v>#N/A</v>
      </c>
    </row>
    <row r="12146">
      <c r="A12146" s="3">
        <v>45862.0</v>
      </c>
      <c r="B12146" s="4">
        <v>0.3388888888888889</v>
      </c>
      <c r="C12146" s="5" t="s">
        <v>26</v>
      </c>
      <c r="D12146" s="5" t="s">
        <v>1674</v>
      </c>
      <c r="E12146" s="9" t="s">
        <v>105</v>
      </c>
      <c r="F12146" s="5" t="s">
        <v>106</v>
      </c>
      <c r="G12146" s="6" t="str">
        <f>VLOOKUP(E12146,dicionario!$A$1:$C12545,2,0)</f>
        <v>Progne tapera</v>
      </c>
      <c r="H12146" s="6" t="str">
        <f>VLOOKUP(E12146,dicionario!$A$1:$C12545,3,0)</f>
        <v>andorinha-do-campo</v>
      </c>
    </row>
    <row r="12147">
      <c r="A12147" s="3">
        <v>45862.0</v>
      </c>
      <c r="B12147" s="4">
        <v>0.33958333333333335</v>
      </c>
      <c r="C12147" s="5" t="s">
        <v>26</v>
      </c>
      <c r="D12147" s="5" t="s">
        <v>1674</v>
      </c>
      <c r="E12147" s="8" t="s">
        <v>302</v>
      </c>
      <c r="F12147" s="5" t="s">
        <v>303</v>
      </c>
      <c r="G12147" s="6" t="str">
        <f>VLOOKUP(E12147,dicionario!$A$1:$C12546,2,0)</f>
        <v>Machetornis rixosa</v>
      </c>
      <c r="H12147" s="6" t="str">
        <f>VLOOKUP(E12147,dicionario!$A$1:$C12546,3,0)</f>
        <v>suiriri-cavaleiro</v>
      </c>
    </row>
    <row r="12148">
      <c r="A12148" s="3">
        <v>45862.0</v>
      </c>
      <c r="B12148" s="4">
        <v>0.3402777777777778</v>
      </c>
      <c r="C12148" s="5" t="s">
        <v>26</v>
      </c>
      <c r="D12148" s="5" t="s">
        <v>1674</v>
      </c>
      <c r="E12148" s="8" t="s">
        <v>20</v>
      </c>
      <c r="F12148" s="5" t="s">
        <v>1637</v>
      </c>
      <c r="G12148" s="6" t="str">
        <f>VLOOKUP(E12148,dicionario!$A$1:$C12547,2,0)</f>
        <v>Sicalis flaveola</v>
      </c>
      <c r="H12148" s="6" t="str">
        <f>VLOOKUP(E12148,dicionario!$A$1:$C12547,3,0)</f>
        <v>canário-da-terra</v>
      </c>
    </row>
    <row r="12149">
      <c r="A12149" s="3">
        <v>45862.0</v>
      </c>
      <c r="B12149" s="4">
        <v>0.3402777777777778</v>
      </c>
      <c r="C12149" s="5" t="s">
        <v>26</v>
      </c>
      <c r="D12149" s="5" t="s">
        <v>1674</v>
      </c>
      <c r="E12149" s="6" t="s">
        <v>60</v>
      </c>
      <c r="F12149" s="5" t="s">
        <v>1659</v>
      </c>
      <c r="G12149" s="6" t="str">
        <f>VLOOKUP(E12149,dicionario!$A$1:$C12548,2,0)</f>
        <v>Vanellus chilensis</v>
      </c>
      <c r="H12149" s="6" t="str">
        <f>VLOOKUP(E12149,dicionario!$A$1:$C12548,3,0)</f>
        <v>quero-quero</v>
      </c>
    </row>
    <row r="12150">
      <c r="A12150" s="3">
        <v>45862.0</v>
      </c>
      <c r="B12150" s="4">
        <v>0.34097222222222223</v>
      </c>
      <c r="C12150" s="5" t="s">
        <v>26</v>
      </c>
      <c r="D12150" s="5" t="s">
        <v>1674</v>
      </c>
      <c r="E12150" s="6" t="s">
        <v>154</v>
      </c>
      <c r="F12150" s="5" t="s">
        <v>1444</v>
      </c>
      <c r="G12150" s="6" t="str">
        <f>VLOOKUP(E12150,dicionario!$A$1:$C12549,2,0)</f>
        <v>Cyperus rotundus</v>
      </c>
      <c r="H12150" s="6" t="str">
        <f>VLOOKUP(E12150,dicionario!$A$1:$C12549,3,0)</f>
        <v>tiririca</v>
      </c>
    </row>
    <row r="12151">
      <c r="A12151" s="3">
        <v>45862.0</v>
      </c>
      <c r="B12151" s="4">
        <v>0.3416666666666667</v>
      </c>
      <c r="C12151" s="5" t="s">
        <v>26</v>
      </c>
      <c r="D12151" s="5" t="s">
        <v>1674</v>
      </c>
      <c r="E12151" s="6" t="s">
        <v>498</v>
      </c>
      <c r="F12151" s="5" t="s">
        <v>1629</v>
      </c>
      <c r="G12151" s="6" t="str">
        <f>VLOOKUP(E12151,dicionario!$A$1:$C12550,2,0)</f>
        <v>Brachiaria decumbens</v>
      </c>
      <c r="H12151" s="6" t="str">
        <f>VLOOKUP(E12151,dicionario!$A$1:$C12550,3,0)</f>
        <v>capim-braquiária</v>
      </c>
    </row>
    <row r="12152">
      <c r="A12152" s="3">
        <v>45862.0</v>
      </c>
      <c r="B12152" s="4">
        <v>0.3423611111111111</v>
      </c>
      <c r="C12152" s="5" t="s">
        <v>26</v>
      </c>
      <c r="D12152" s="5" t="s">
        <v>1674</v>
      </c>
      <c r="E12152" s="6" t="s">
        <v>14</v>
      </c>
      <c r="F12152" s="5" t="s">
        <v>1599</v>
      </c>
      <c r="G12152" s="6" t="str">
        <f>VLOOKUP(E12152,dicionario!$A$1:$C12551,2,0)</f>
        <v>Spermacoce verticillata</v>
      </c>
      <c r="H12152" s="6" t="str">
        <f>VLOOKUP(E12152,dicionario!$A$1:$C12551,3,0)</f>
        <v>vassourinha-de-botão</v>
      </c>
    </row>
    <row r="12153">
      <c r="A12153" s="3">
        <v>45862.0</v>
      </c>
      <c r="B12153" s="4">
        <v>0.34305555555555556</v>
      </c>
      <c r="C12153" s="5" t="s">
        <v>8</v>
      </c>
      <c r="D12153" s="5" t="s">
        <v>1674</v>
      </c>
      <c r="E12153" s="8" t="s">
        <v>712</v>
      </c>
      <c r="F12153" s="5" t="s">
        <v>1602</v>
      </c>
      <c r="G12153" s="6" t="str">
        <f>VLOOKUP(E12153,dicionario!$A$1:$C12552,2,0)</f>
        <v>Flavopunctelia soredica</v>
      </c>
      <c r="H12153" s="6" t="str">
        <f>VLOOKUP(E12153,dicionario!$A$1:$C12552,3,0)</f>
        <v>líquen-folioso</v>
      </c>
    </row>
    <row r="12154">
      <c r="A12154" s="3">
        <v>45862.0</v>
      </c>
      <c r="B12154" s="4">
        <v>0.34305555555555556</v>
      </c>
      <c r="C12154" s="5" t="s">
        <v>8</v>
      </c>
      <c r="D12154" s="5" t="s">
        <v>1674</v>
      </c>
      <c r="E12154" s="8" t="s">
        <v>122</v>
      </c>
      <c r="F12154" s="5" t="s">
        <v>1593</v>
      </c>
      <c r="G12154" s="6" t="str">
        <f>VLOOKUP(E12154,dicionario!$A$1:$C12553,2,0)</f>
        <v>Todirostrum cinereum</v>
      </c>
      <c r="H12154" s="6" t="str">
        <f>VLOOKUP(E12154,dicionario!$A$1:$C12553,3,0)</f>
        <v>ferreirinho-relógio</v>
      </c>
    </row>
    <row r="12155">
      <c r="A12155" s="3">
        <v>45862.0</v>
      </c>
      <c r="B12155" s="4">
        <v>0.34375</v>
      </c>
      <c r="C12155" s="5" t="s">
        <v>8</v>
      </c>
      <c r="D12155" s="5" t="s">
        <v>1674</v>
      </c>
      <c r="E12155" s="11" t="s">
        <v>107</v>
      </c>
      <c r="F12155" s="5" t="s">
        <v>108</v>
      </c>
      <c r="G12155" s="6" t="str">
        <f>VLOOKUP(E12155,dicionario!$A$1:$C12554,2,0)</f>
        <v>Ramalina complanata</v>
      </c>
      <c r="H12155" s="6" t="str">
        <f>VLOOKUP(E12155,dicionario!$A$1:$C12554,3,0)</f>
        <v>ramalina</v>
      </c>
    </row>
    <row r="12156">
      <c r="A12156" s="3">
        <v>45862.0</v>
      </c>
      <c r="B12156" s="4">
        <v>0.34444444444444444</v>
      </c>
      <c r="C12156" s="5" t="s">
        <v>8</v>
      </c>
      <c r="D12156" s="5" t="s">
        <v>1674</v>
      </c>
      <c r="E12156" s="8" t="s">
        <v>1058</v>
      </c>
      <c r="F12156" s="5" t="s">
        <v>1685</v>
      </c>
      <c r="G12156" s="6" t="str">
        <f>VLOOKUP(E12156,dicionario!$A$1:$C12555,2,0)</f>
        <v>Trachelopachys</v>
      </c>
      <c r="H12156" s="6" t="str">
        <f>VLOOKUP(E12156,dicionario!$A$1:$C12555,3,0)</f>
        <v>aranha-flamenguista </v>
      </c>
    </row>
    <row r="12157">
      <c r="A12157" s="3">
        <v>45862.0</v>
      </c>
      <c r="B12157" s="4">
        <v>0.34444444444444444</v>
      </c>
      <c r="C12157" s="5" t="s">
        <v>8</v>
      </c>
      <c r="D12157" s="5" t="s">
        <v>1674</v>
      </c>
      <c r="E12157" s="8" t="s">
        <v>135</v>
      </c>
      <c r="F12157" s="5" t="s">
        <v>833</v>
      </c>
      <c r="G12157" s="6" t="str">
        <f>VLOOKUP(E12157,dicionario!$A$1:$C12556,2,0)</f>
        <v>Tridax procumbens</v>
      </c>
      <c r="H12157" s="6" t="str">
        <f>VLOOKUP(E12157,dicionario!$A$1:$C12556,3,0)</f>
        <v>erva-de-touro</v>
      </c>
    </row>
    <row r="12158">
      <c r="A12158" s="3">
        <v>45862.0</v>
      </c>
      <c r="B12158" s="4">
        <v>0.34444444444444444</v>
      </c>
      <c r="C12158" s="5" t="s">
        <v>8</v>
      </c>
      <c r="D12158" s="5" t="s">
        <v>1674</v>
      </c>
      <c r="E12158" s="8" t="s">
        <v>271</v>
      </c>
      <c r="F12158" s="5" t="s">
        <v>1575</v>
      </c>
      <c r="G12158" s="6" t="str">
        <f>VLOOKUP(E12158,dicionario!$A$1:$C12557,2,0)</f>
        <v>Cyanthillium cinereum</v>
      </c>
      <c r="H12158" s="6" t="str">
        <f>VLOOKUP(E12158,dicionario!$A$1:$C12557,3,0)</f>
        <v>emília</v>
      </c>
    </row>
    <row r="12159">
      <c r="A12159" s="3">
        <v>45862.0</v>
      </c>
      <c r="B12159" s="4">
        <v>0.34444444444444444</v>
      </c>
      <c r="C12159" s="5" t="s">
        <v>8</v>
      </c>
      <c r="D12159" s="5" t="s">
        <v>1674</v>
      </c>
      <c r="E12159" s="8" t="s">
        <v>109</v>
      </c>
      <c r="F12159" s="5" t="s">
        <v>777</v>
      </c>
      <c r="G12159" s="6" t="str">
        <f>VLOOKUP(E12159,dicionario!$A$1:$C12558,2,0)</f>
        <v>Tillandsia stricta</v>
      </c>
      <c r="H12159" s="6" t="str">
        <f>VLOOKUP(E12159,dicionario!$A$1:$C12558,3,0)</f>
        <v>cravo-do-mato</v>
      </c>
    </row>
    <row r="12160">
      <c r="A12160" s="3">
        <v>45862.0</v>
      </c>
      <c r="B12160" s="4">
        <v>0.3451388888888889</v>
      </c>
      <c r="C12160" s="5" t="s">
        <v>8</v>
      </c>
      <c r="D12160" s="5" t="s">
        <v>1674</v>
      </c>
      <c r="E12160" s="6" t="s">
        <v>247</v>
      </c>
      <c r="F12160" s="5" t="s">
        <v>825</v>
      </c>
      <c r="G12160" s="6" t="str">
        <f>VLOOKUP(E12160,dicionario!$A$1:$C12559,2,0)</f>
        <v>Emilia sonchifolia</v>
      </c>
      <c r="H12160" s="6" t="str">
        <f>VLOOKUP(E12160,dicionario!$A$1:$C12559,3,0)</f>
        <v>serralinha</v>
      </c>
    </row>
    <row r="12161">
      <c r="A12161" s="3">
        <v>45862.0</v>
      </c>
      <c r="B12161" s="4">
        <v>0.3451388888888889</v>
      </c>
      <c r="C12161" s="5" t="s">
        <v>8</v>
      </c>
      <c r="D12161" s="5" t="s">
        <v>1674</v>
      </c>
      <c r="E12161" s="6" t="s">
        <v>154</v>
      </c>
      <c r="F12161" s="5" t="s">
        <v>155</v>
      </c>
      <c r="G12161" s="6" t="str">
        <f>VLOOKUP(E12161,dicionario!$A$1:$C12560,2,0)</f>
        <v>Cyperus rotundus</v>
      </c>
      <c r="H12161" s="6" t="str">
        <f>VLOOKUP(E12161,dicionario!$A$1:$C12560,3,0)</f>
        <v>tiririca</v>
      </c>
    </row>
    <row r="12162">
      <c r="A12162" s="3">
        <v>45862.0</v>
      </c>
      <c r="B12162" s="4">
        <v>0.3451388888888889</v>
      </c>
      <c r="C12162" s="5" t="s">
        <v>8</v>
      </c>
      <c r="D12162" s="5" t="s">
        <v>1674</v>
      </c>
      <c r="E12162" s="8" t="s">
        <v>1571</v>
      </c>
      <c r="F12162" s="5" t="s">
        <v>1572</v>
      </c>
      <c r="G12162" s="6" t="str">
        <f>VLOOKUP(E12162,dicionario!$A$1:$C12561,2,0)</f>
        <v>#N/A</v>
      </c>
      <c r="H12162" s="6" t="str">
        <f>VLOOKUP(E12162,dicionario!$A$1:$C12561,3,0)</f>
        <v>#N/A</v>
      </c>
    </row>
    <row r="12163">
      <c r="A12163" s="3">
        <v>45862.0</v>
      </c>
      <c r="B12163" s="4">
        <v>0.3451388888888889</v>
      </c>
      <c r="C12163" s="5" t="s">
        <v>8</v>
      </c>
      <c r="D12163" s="5" t="s">
        <v>1674</v>
      </c>
      <c r="E12163" s="6"/>
      <c r="F12163" s="5" t="s">
        <v>1644</v>
      </c>
      <c r="G12163" s="6" t="str">
        <f>VLOOKUP(E12163,dicionario!$A$1:$C12562,2,0)</f>
        <v>#N/A</v>
      </c>
      <c r="H12163" s="6" t="str">
        <f>VLOOKUP(E12163,dicionario!$A$1:$C12562,3,0)</f>
        <v>#N/A</v>
      </c>
    </row>
    <row r="12164">
      <c r="A12164" s="3">
        <v>45862.0</v>
      </c>
      <c r="B12164" s="4">
        <v>0.3458333333333333</v>
      </c>
      <c r="C12164" s="5" t="s">
        <v>8</v>
      </c>
      <c r="D12164" s="5" t="s">
        <v>1674</v>
      </c>
      <c r="E12164" s="6" t="s">
        <v>22</v>
      </c>
      <c r="F12164" s="5" t="s">
        <v>776</v>
      </c>
      <c r="G12164" s="6" t="str">
        <f>VLOOKUP(E12164,dicionario!$A$1:$C12563,2,0)</f>
        <v>Zenaida auriculata</v>
      </c>
      <c r="H12164" s="6" t="str">
        <f>VLOOKUP(E12164,dicionario!$A$1:$C12563,3,0)</f>
        <v>pomba-de-bando; avoante</v>
      </c>
    </row>
    <row r="12165">
      <c r="A12165" s="3">
        <v>45862.0</v>
      </c>
      <c r="B12165" s="4">
        <v>0.34652777777777777</v>
      </c>
      <c r="C12165" s="5" t="s">
        <v>8</v>
      </c>
      <c r="D12165" s="5" t="s">
        <v>1674</v>
      </c>
      <c r="E12165" s="6" t="s">
        <v>65</v>
      </c>
      <c r="F12165" s="5" t="s">
        <v>819</v>
      </c>
      <c r="G12165" s="6" t="str">
        <f>VLOOKUP(E12165,dicionario!$A$1:$C12564,2,0)</f>
        <v>Pitangus sulphutarus</v>
      </c>
      <c r="H12165" s="6" t="str">
        <f>VLOOKUP(E12165,dicionario!$A$1:$C12564,3,0)</f>
        <v>bem-te-vi</v>
      </c>
    </row>
    <row r="12166">
      <c r="A12166" s="3">
        <v>45862.0</v>
      </c>
      <c r="B12166" s="4">
        <v>0.34791666666666665</v>
      </c>
      <c r="C12166" s="5" t="s">
        <v>8</v>
      </c>
      <c r="D12166" s="5" t="s">
        <v>1674</v>
      </c>
      <c r="E12166" s="8" t="s">
        <v>1008</v>
      </c>
      <c r="F12166" s="5" t="s">
        <v>1638</v>
      </c>
      <c r="G12166" s="6" t="str">
        <f>VLOOKUP(E12166,dicionario!$A$1:$C12565,2,0)</f>
        <v>Syntermes molestus</v>
      </c>
      <c r="H12166" s="6" t="str">
        <f>VLOOKUP(E12166,dicionario!$A$1:$C12565,3,0)</f>
        <v>cupim-bate-cabeça</v>
      </c>
    </row>
    <row r="12167">
      <c r="A12167" s="3">
        <v>45869.0</v>
      </c>
      <c r="B12167" s="4">
        <v>0.2590277777777778</v>
      </c>
      <c r="C12167" s="5" t="s">
        <v>8</v>
      </c>
      <c r="D12167" s="5" t="s">
        <v>1686</v>
      </c>
      <c r="E12167" s="8" t="s">
        <v>20</v>
      </c>
      <c r="F12167" s="5" t="s">
        <v>1637</v>
      </c>
      <c r="G12167" s="6" t="str">
        <f>VLOOKUP(E12167,dicionario!$A$1:$C12566,2,0)</f>
        <v>Sicalis flaveola</v>
      </c>
      <c r="H12167" s="6" t="str">
        <f>VLOOKUP(E12167,dicionario!$A$1:$C12566,3,0)</f>
        <v>canário-da-terra</v>
      </c>
    </row>
    <row r="12168">
      <c r="A12168" s="3">
        <v>45869.0</v>
      </c>
      <c r="B12168" s="4">
        <v>0.2590277777777778</v>
      </c>
      <c r="C12168" s="5" t="s">
        <v>8</v>
      </c>
      <c r="D12168" s="5" t="s">
        <v>1686</v>
      </c>
      <c r="E12168" s="6" t="s">
        <v>65</v>
      </c>
      <c r="F12168" s="5" t="s">
        <v>819</v>
      </c>
      <c r="G12168" s="6" t="str">
        <f>VLOOKUP(E12168,dicionario!$A$1:$C12567,2,0)</f>
        <v>Pitangus sulphutarus</v>
      </c>
      <c r="H12168" s="6" t="str">
        <f>VLOOKUP(E12168,dicionario!$A$1:$C12567,3,0)</f>
        <v>bem-te-vi</v>
      </c>
    </row>
    <row r="12169">
      <c r="A12169" s="3">
        <v>45869.0</v>
      </c>
      <c r="B12169" s="4">
        <v>0.2590277777777778</v>
      </c>
      <c r="C12169" s="5" t="s">
        <v>8</v>
      </c>
      <c r="D12169" s="5" t="s">
        <v>1686</v>
      </c>
      <c r="E12169" s="11" t="s">
        <v>107</v>
      </c>
      <c r="F12169" s="5" t="s">
        <v>108</v>
      </c>
      <c r="G12169" s="6" t="str">
        <f>VLOOKUP(E12169,dicionario!$A$1:$C12568,2,0)</f>
        <v>Ramalina complanata</v>
      </c>
      <c r="H12169" s="6" t="str">
        <f>VLOOKUP(E12169,dicionario!$A$1:$C12568,3,0)</f>
        <v>ramalina</v>
      </c>
    </row>
    <row r="12170">
      <c r="A12170" s="3">
        <v>45869.0</v>
      </c>
      <c r="B12170" s="4">
        <v>0.2590277777777778</v>
      </c>
      <c r="C12170" s="5" t="s">
        <v>8</v>
      </c>
      <c r="D12170" s="5" t="s">
        <v>1686</v>
      </c>
      <c r="E12170" s="8" t="s">
        <v>1687</v>
      </c>
      <c r="F12170" s="5" t="s">
        <v>1572</v>
      </c>
      <c r="G12170" s="6" t="str">
        <f>VLOOKUP(E12170,dicionario!$A$1:$C12569,2,0)</f>
        <v>#N/A</v>
      </c>
      <c r="H12170" s="6" t="str">
        <f>VLOOKUP(E12170,dicionario!$A$1:$C12569,3,0)</f>
        <v>#N/A</v>
      </c>
    </row>
    <row r="12171">
      <c r="A12171" s="3">
        <v>45869.0</v>
      </c>
      <c r="B12171" s="4">
        <v>0.2590277777777778</v>
      </c>
      <c r="C12171" s="5" t="s">
        <v>8</v>
      </c>
      <c r="D12171" s="5" t="s">
        <v>1686</v>
      </c>
      <c r="E12171" s="8" t="s">
        <v>712</v>
      </c>
      <c r="F12171" s="5" t="s">
        <v>1602</v>
      </c>
      <c r="G12171" s="6" t="str">
        <f>VLOOKUP(E12171,dicionario!$A$1:$C12570,2,0)</f>
        <v>Flavopunctelia soredica</v>
      </c>
      <c r="H12171" s="6" t="str">
        <f>VLOOKUP(E12171,dicionario!$A$1:$C12570,3,0)</f>
        <v>líquen-folioso</v>
      </c>
    </row>
    <row r="12172">
      <c r="A12172" s="3">
        <v>45869.0</v>
      </c>
      <c r="B12172" s="4">
        <v>0.25972222222222224</v>
      </c>
      <c r="C12172" s="5" t="s">
        <v>8</v>
      </c>
      <c r="D12172" s="5" t="s">
        <v>1686</v>
      </c>
      <c r="E12172" s="8" t="s">
        <v>122</v>
      </c>
      <c r="F12172" s="5" t="s">
        <v>1593</v>
      </c>
      <c r="G12172" s="6" t="str">
        <f>VLOOKUP(E12172,dicionario!$A$1:$C12571,2,0)</f>
        <v>Todirostrum cinereum</v>
      </c>
      <c r="H12172" s="6" t="str">
        <f>VLOOKUP(E12172,dicionario!$A$1:$C12571,3,0)</f>
        <v>ferreirinho-relógio</v>
      </c>
    </row>
    <row r="12173">
      <c r="A12173" s="3">
        <v>45869.0</v>
      </c>
      <c r="B12173" s="4">
        <v>0.25972222222222224</v>
      </c>
      <c r="C12173" s="5" t="s">
        <v>8</v>
      </c>
      <c r="D12173" s="5" t="s">
        <v>1686</v>
      </c>
      <c r="E12173" s="6" t="s">
        <v>191</v>
      </c>
      <c r="F12173" s="5" t="s">
        <v>192</v>
      </c>
      <c r="G12173" s="6" t="str">
        <f>VLOOKUP(E12173,dicionario!$A$1:$C12572,2,0)</f>
        <v>Patagioenas picazuro</v>
      </c>
      <c r="H12173" s="6" t="str">
        <f>VLOOKUP(E12173,dicionario!$A$1:$C12572,3,0)</f>
        <v>asa-branca; pomba-asa-branca; pocaçu</v>
      </c>
    </row>
    <row r="12174">
      <c r="A12174" s="3">
        <v>45869.0</v>
      </c>
      <c r="B12174" s="4">
        <v>0.25972222222222224</v>
      </c>
      <c r="C12174" s="5" t="s">
        <v>8</v>
      </c>
      <c r="D12174" s="5" t="s">
        <v>1686</v>
      </c>
      <c r="E12174" s="8" t="s">
        <v>298</v>
      </c>
      <c r="F12174" s="5"/>
      <c r="G12174" s="6" t="str">
        <f>VLOOKUP(E12174,dicionario!$A$1:$C12573,2,0)</f>
        <v>Alysicarpus vaginalis</v>
      </c>
      <c r="H12174" s="6" t="str">
        <f>VLOOKUP(E12174,dicionario!$A$1:$C12573,3,0)</f>
        <v/>
      </c>
    </row>
    <row r="12175">
      <c r="A12175" s="3">
        <v>45869.0</v>
      </c>
      <c r="B12175" s="4">
        <v>0.25972222222222224</v>
      </c>
      <c r="C12175" s="5" t="s">
        <v>8</v>
      </c>
      <c r="D12175" s="5" t="s">
        <v>1686</v>
      </c>
      <c r="E12175" s="8" t="s">
        <v>271</v>
      </c>
      <c r="F12175" s="5" t="s">
        <v>1169</v>
      </c>
      <c r="G12175" s="6" t="str">
        <f>VLOOKUP(E12175,dicionario!$A$1:$C12574,2,0)</f>
        <v>Cyanthillium cinereum</v>
      </c>
      <c r="H12175" s="6" t="str">
        <f>VLOOKUP(E12175,dicionario!$A$1:$C12574,3,0)</f>
        <v>emília</v>
      </c>
    </row>
    <row r="12176">
      <c r="A12176" s="3">
        <v>45869.0</v>
      </c>
      <c r="B12176" s="4">
        <v>0.25972222222222224</v>
      </c>
      <c r="C12176" s="5" t="s">
        <v>8</v>
      </c>
      <c r="D12176" s="5" t="s">
        <v>1686</v>
      </c>
      <c r="E12176" s="8" t="s">
        <v>909</v>
      </c>
      <c r="F12176" s="5" t="s">
        <v>910</v>
      </c>
      <c r="G12176" s="6" t="str">
        <f>VLOOKUP(E12176,dicionario!$A$1:$C12575,2,0)</f>
        <v>Chordeiles acutipennis</v>
      </c>
      <c r="H12176" s="6" t="str">
        <f>VLOOKUP(E12176,dicionario!$A$1:$C12575,3,0)</f>
        <v>bacurau-de-asa-fina</v>
      </c>
    </row>
    <row r="12177">
      <c r="A12177" s="3">
        <v>45869.0</v>
      </c>
      <c r="B12177" s="4">
        <v>0.25972222222222224</v>
      </c>
      <c r="C12177" s="5" t="s">
        <v>8</v>
      </c>
      <c r="D12177" s="5" t="s">
        <v>1686</v>
      </c>
      <c r="E12177" s="6" t="s">
        <v>195</v>
      </c>
      <c r="F12177" s="5" t="s">
        <v>196</v>
      </c>
      <c r="G12177" s="6" t="str">
        <f>VLOOKUP(E12177,dicionario!$A$1:$C12576,2,0)</f>
        <v>Priva lappulacea</v>
      </c>
      <c r="H12177" s="6" t="str">
        <f>VLOOKUP(E12177,dicionario!$A$1:$C12576,3,0)</f>
        <v>carrapicho</v>
      </c>
    </row>
    <row r="12178">
      <c r="A12178" s="3">
        <v>45869.0</v>
      </c>
      <c r="B12178" s="4">
        <v>0.2604166666666667</v>
      </c>
      <c r="C12178" s="5" t="s">
        <v>8</v>
      </c>
      <c r="D12178" s="5" t="s">
        <v>1686</v>
      </c>
      <c r="E12178" s="8" t="s">
        <v>135</v>
      </c>
      <c r="F12178" s="5" t="s">
        <v>136</v>
      </c>
      <c r="G12178" s="6" t="str">
        <f>VLOOKUP(E12178,dicionario!$A$1:$C12577,2,0)</f>
        <v>Tridax procumbens</v>
      </c>
      <c r="H12178" s="6" t="str">
        <f>VLOOKUP(E12178,dicionario!$A$1:$C12577,3,0)</f>
        <v>erva-de-touro</v>
      </c>
    </row>
    <row r="12179">
      <c r="A12179" s="3">
        <v>45869.0</v>
      </c>
      <c r="B12179" s="4">
        <v>0.2604166666666667</v>
      </c>
      <c r="C12179" s="5" t="s">
        <v>8</v>
      </c>
      <c r="D12179" s="5" t="s">
        <v>1686</v>
      </c>
      <c r="E12179" s="8" t="s">
        <v>1344</v>
      </c>
      <c r="F12179" s="5" t="s">
        <v>47</v>
      </c>
      <c r="G12179" s="6" t="str">
        <f>VLOOKUP(E12179,dicionario!$A$1:$C12578,2,0)</f>
        <v>#N/A</v>
      </c>
      <c r="H12179" s="6" t="str">
        <f>VLOOKUP(E12179,dicionario!$A$1:$C12578,3,0)</f>
        <v>#N/A</v>
      </c>
    </row>
    <row r="12180">
      <c r="A12180" s="3">
        <v>45869.0</v>
      </c>
      <c r="B12180" s="4">
        <v>0.2604166666666667</v>
      </c>
      <c r="C12180" s="5" t="s">
        <v>8</v>
      </c>
      <c r="D12180" s="5" t="s">
        <v>1686</v>
      </c>
      <c r="E12180" s="8" t="s">
        <v>1008</v>
      </c>
      <c r="F12180" s="5" t="s">
        <v>1013</v>
      </c>
      <c r="G12180" s="6" t="str">
        <f>VLOOKUP(E12180,dicionario!$A$1:$C12579,2,0)</f>
        <v>Syntermes molestus</v>
      </c>
      <c r="H12180" s="6" t="str">
        <f>VLOOKUP(E12180,dicionario!$A$1:$C12579,3,0)</f>
        <v>cupim-bate-cabeça</v>
      </c>
    </row>
    <row r="12181">
      <c r="A12181" s="3">
        <v>45869.0</v>
      </c>
      <c r="B12181" s="4">
        <v>0.2611111111111111</v>
      </c>
      <c r="C12181" s="5" t="s">
        <v>8</v>
      </c>
      <c r="D12181" s="5" t="s">
        <v>1686</v>
      </c>
      <c r="E12181" s="6" t="s">
        <v>14</v>
      </c>
      <c r="F12181" s="5" t="s">
        <v>15</v>
      </c>
      <c r="G12181" s="6" t="str">
        <f>VLOOKUP(E12181,dicionario!$A$1:$C12580,2,0)</f>
        <v>Spermacoce verticillata</v>
      </c>
      <c r="H12181" s="6" t="str">
        <f>VLOOKUP(E12181,dicionario!$A$1:$C12580,3,0)</f>
        <v>vassourinha-de-botão</v>
      </c>
    </row>
    <row r="12182">
      <c r="A12182" s="3">
        <v>45869.0</v>
      </c>
      <c r="B12182" s="4">
        <v>0.26180555555555557</v>
      </c>
      <c r="C12182" s="5" t="s">
        <v>8</v>
      </c>
      <c r="D12182" s="5" t="s">
        <v>1686</v>
      </c>
      <c r="E12182" s="6" t="s">
        <v>225</v>
      </c>
      <c r="F12182" s="5" t="s">
        <v>226</v>
      </c>
      <c r="G12182" s="6" t="str">
        <f>VLOOKUP(E12182,dicionario!$A$1:$C12581,2,0)</f>
        <v>Passer domesticus</v>
      </c>
      <c r="H12182" s="6" t="str">
        <f>VLOOKUP(E12182,dicionario!$A$1:$C12581,3,0)</f>
        <v>pardal</v>
      </c>
    </row>
    <row r="12183">
      <c r="A12183" s="3">
        <v>45869.0</v>
      </c>
      <c r="B12183" s="4">
        <v>0.26180555555555557</v>
      </c>
      <c r="C12183" s="5" t="s">
        <v>8</v>
      </c>
      <c r="D12183" s="5" t="s">
        <v>1686</v>
      </c>
      <c r="E12183" s="6"/>
      <c r="F12183" s="5" t="s">
        <v>1688</v>
      </c>
      <c r="G12183" s="6" t="str">
        <f>VLOOKUP(E12183,dicionario!$A$1:$C12582,2,0)</f>
        <v>#N/A</v>
      </c>
      <c r="H12183" s="6" t="str">
        <f>VLOOKUP(E12183,dicionario!$A$1:$C12582,3,0)</f>
        <v>#N/A</v>
      </c>
    </row>
    <row r="12184">
      <c r="A12184" s="3">
        <v>45869.0</v>
      </c>
      <c r="B12184" s="4">
        <v>0.26180555555555557</v>
      </c>
      <c r="C12184" s="5" t="s">
        <v>8</v>
      </c>
      <c r="D12184" s="5" t="s">
        <v>1686</v>
      </c>
      <c r="E12184" s="6" t="s">
        <v>22</v>
      </c>
      <c r="F12184" s="5" t="s">
        <v>97</v>
      </c>
      <c r="G12184" s="6" t="str">
        <f>VLOOKUP(E12184,dicionario!$A$1:$C12583,2,0)</f>
        <v>Zenaida auriculata</v>
      </c>
      <c r="H12184" s="6" t="str">
        <f>VLOOKUP(E12184,dicionario!$A$1:$C12583,3,0)</f>
        <v>pomba-de-bando; avoante</v>
      </c>
    </row>
    <row r="12185">
      <c r="A12185" s="3">
        <v>45869.0</v>
      </c>
      <c r="B12185" s="4">
        <v>0.26180555555555557</v>
      </c>
      <c r="C12185" s="5" t="s">
        <v>8</v>
      </c>
      <c r="D12185" s="5" t="s">
        <v>1686</v>
      </c>
      <c r="E12185" s="8" t="s">
        <v>302</v>
      </c>
      <c r="F12185" s="5" t="s">
        <v>303</v>
      </c>
      <c r="G12185" s="6" t="str">
        <f>VLOOKUP(E12185,dicionario!$A$1:$C12584,2,0)</f>
        <v>Machetornis rixosa</v>
      </c>
      <c r="H12185" s="6" t="str">
        <f>VLOOKUP(E12185,dicionario!$A$1:$C12584,3,0)</f>
        <v>suiriri-cavaleiro</v>
      </c>
    </row>
    <row r="12186">
      <c r="A12186" s="3">
        <v>45869.0</v>
      </c>
      <c r="B12186" s="4">
        <v>0.26180555555555557</v>
      </c>
      <c r="C12186" s="5" t="s">
        <v>8</v>
      </c>
      <c r="D12186" s="5" t="s">
        <v>1686</v>
      </c>
      <c r="E12186" s="6" t="s">
        <v>86</v>
      </c>
      <c r="F12186" s="5" t="s">
        <v>502</v>
      </c>
      <c r="G12186" s="6" t="str">
        <f>VLOOKUP(E12186,dicionario!$A$1:$C12585,2,0)</f>
        <v>Coereba flaveola</v>
      </c>
      <c r="H12186" s="6" t="str">
        <f>VLOOKUP(E12186,dicionario!$A$1:$C12585,3,0)</f>
        <v>cambacica</v>
      </c>
    </row>
    <row r="12187">
      <c r="A12187" s="3">
        <v>45869.0</v>
      </c>
      <c r="B12187" s="4">
        <v>0.2625</v>
      </c>
      <c r="C12187" s="5" t="s">
        <v>8</v>
      </c>
      <c r="D12187" s="5" t="s">
        <v>1686</v>
      </c>
      <c r="E12187" s="8" t="s">
        <v>624</v>
      </c>
      <c r="F12187" s="5" t="s">
        <v>133</v>
      </c>
      <c r="G12187" s="6" t="str">
        <f>VLOOKUP(E12187,dicionario!$A$1:$C12586,2,0)</f>
        <v>Euphonia violacea</v>
      </c>
      <c r="H12187" s="6" t="str">
        <f>VLOOKUP(E12187,dicionario!$A$1:$C12586,3,0)</f>
        <v>gaturamo-verdadeiro</v>
      </c>
    </row>
    <row r="12188">
      <c r="A12188" s="3">
        <v>45869.0</v>
      </c>
      <c r="B12188" s="4">
        <v>0.2625</v>
      </c>
      <c r="C12188" s="5" t="s">
        <v>8</v>
      </c>
      <c r="D12188" s="5" t="s">
        <v>1686</v>
      </c>
      <c r="E12188" s="6" t="s">
        <v>353</v>
      </c>
      <c r="F12188" s="5" t="s">
        <v>1667</v>
      </c>
      <c r="G12188" s="6" t="str">
        <f>VLOOKUP(E12188,dicionario!$A$1:$C12587,2,0)</f>
        <v>Desmodium incanum</v>
      </c>
      <c r="H12188" s="6" t="str">
        <f>VLOOKUP(E12188,dicionario!$A$1:$C12587,3,0)</f>
        <v>pega-pega</v>
      </c>
    </row>
    <row r="12189">
      <c r="A12189" s="3">
        <v>45869.0</v>
      </c>
      <c r="B12189" s="4">
        <v>0.26319444444444445</v>
      </c>
      <c r="C12189" s="5" t="s">
        <v>8</v>
      </c>
      <c r="D12189" s="5" t="s">
        <v>1686</v>
      </c>
      <c r="E12189" s="6" t="s">
        <v>247</v>
      </c>
      <c r="F12189" s="5" t="s">
        <v>248</v>
      </c>
      <c r="G12189" s="6" t="str">
        <f>VLOOKUP(E12189,dicionario!$A$1:$C12588,2,0)</f>
        <v>Emilia sonchifolia</v>
      </c>
      <c r="H12189" s="6" t="str">
        <f>VLOOKUP(E12189,dicionario!$A$1:$C12588,3,0)</f>
        <v>serralinha</v>
      </c>
    </row>
    <row r="12190">
      <c r="A12190" s="3">
        <v>45869.0</v>
      </c>
      <c r="B12190" s="4">
        <v>0.2638888888888889</v>
      </c>
      <c r="C12190" s="5" t="s">
        <v>8</v>
      </c>
      <c r="D12190" s="5" t="s">
        <v>1686</v>
      </c>
      <c r="E12190" s="6" t="s">
        <v>163</v>
      </c>
      <c r="F12190" s="5" t="s">
        <v>164</v>
      </c>
      <c r="G12190" s="6" t="str">
        <f>VLOOKUP(E12190,dicionario!$A$1:$C12589,2,0)</f>
        <v>Coragyps atratus</v>
      </c>
      <c r="H12190" s="6" t="str">
        <f>VLOOKUP(E12190,dicionario!$A$1:$C12589,3,0)</f>
        <v>urubu-de-cabeça-preta</v>
      </c>
    </row>
    <row r="12191">
      <c r="A12191" s="3">
        <v>45869.0</v>
      </c>
      <c r="B12191" s="4">
        <v>0.26458333333333334</v>
      </c>
      <c r="C12191" s="5" t="s">
        <v>8</v>
      </c>
      <c r="D12191" s="5" t="s">
        <v>1686</v>
      </c>
      <c r="E12191" s="6" t="s">
        <v>340</v>
      </c>
      <c r="F12191" s="5" t="s">
        <v>104</v>
      </c>
      <c r="G12191" s="6" t="str">
        <f>VLOOKUP(E12191,dicionario!$A$1:$C12590,2,0)</f>
        <v>#N/A</v>
      </c>
      <c r="H12191" s="6" t="str">
        <f>VLOOKUP(E12191,dicionario!$A$1:$C12590,3,0)</f>
        <v>#N/A</v>
      </c>
    </row>
    <row r="12192">
      <c r="A12192" s="3">
        <v>45869.0</v>
      </c>
      <c r="B12192" s="4">
        <v>0.26458333333333334</v>
      </c>
      <c r="C12192" s="5" t="s">
        <v>26</v>
      </c>
      <c r="D12192" s="5" t="s">
        <v>1686</v>
      </c>
      <c r="E12192" s="6" t="s">
        <v>217</v>
      </c>
      <c r="F12192" s="5" t="s">
        <v>218</v>
      </c>
      <c r="G12192" s="6" t="str">
        <f>VLOOKUP(E12192,dicionario!$A$1:$C12591,2,0)</f>
        <v>Athene cunicularia</v>
      </c>
      <c r="H12192" s="6" t="str">
        <f>VLOOKUP(E12192,dicionario!$A$1:$C12591,3,0)</f>
        <v>coruja-buraqueira</v>
      </c>
    </row>
    <row r="12193">
      <c r="A12193" s="3">
        <v>45869.0</v>
      </c>
      <c r="B12193" s="4">
        <v>0.26458333333333334</v>
      </c>
      <c r="C12193" s="5" t="s">
        <v>26</v>
      </c>
      <c r="D12193" s="5" t="s">
        <v>1686</v>
      </c>
      <c r="E12193" s="20" t="s">
        <v>676</v>
      </c>
      <c r="F12193" s="5" t="s">
        <v>677</v>
      </c>
      <c r="G12193" s="6" t="str">
        <f>VLOOKUP(E12193,dicionario!$A$1:$C12592,2,0)</f>
        <v>Zornia latifolia</v>
      </c>
      <c r="H12193" s="6" t="str">
        <f>VLOOKUP(E12193,dicionario!$A$1:$C12592,3,0)</f>
        <v>arrozinho-do-campo</v>
      </c>
    </row>
    <row r="12194">
      <c r="A12194" s="3">
        <v>45869.0</v>
      </c>
      <c r="B12194" s="4">
        <v>0.2652777777777778</v>
      </c>
      <c r="C12194" s="5" t="s">
        <v>26</v>
      </c>
      <c r="D12194" s="5" t="s">
        <v>1686</v>
      </c>
      <c r="E12194" s="6" t="s">
        <v>14</v>
      </c>
      <c r="F12194" s="5" t="s">
        <v>15</v>
      </c>
      <c r="G12194" s="6" t="str">
        <f>VLOOKUP(E12194,dicionario!$A$1:$C12593,2,0)</f>
        <v>Spermacoce verticillata</v>
      </c>
      <c r="H12194" s="6" t="str">
        <f>VLOOKUP(E12194,dicionario!$A$1:$C12593,3,0)</f>
        <v>vassourinha-de-botão</v>
      </c>
    </row>
    <row r="12195">
      <c r="A12195" s="3">
        <v>45869.0</v>
      </c>
      <c r="B12195" s="4">
        <v>0.2659722222222222</v>
      </c>
      <c r="C12195" s="5" t="s">
        <v>26</v>
      </c>
      <c r="D12195" s="5" t="s">
        <v>1686</v>
      </c>
      <c r="E12195" s="6" t="s">
        <v>227</v>
      </c>
      <c r="F12195" s="5" t="s">
        <v>228</v>
      </c>
      <c r="G12195" s="6" t="str">
        <f>VLOOKUP(E12195,dicionario!$A$1:$C12594,2,0)</f>
        <v>Indigofera hirsuta</v>
      </c>
      <c r="H12195" s="6" t="str">
        <f>VLOOKUP(E12195,dicionario!$A$1:$C12594,3,0)</f>
        <v>anileira</v>
      </c>
    </row>
    <row r="12196">
      <c r="A12196" s="3">
        <v>45869.0</v>
      </c>
      <c r="B12196" s="4">
        <v>0.2659722222222222</v>
      </c>
      <c r="C12196" s="5" t="s">
        <v>26</v>
      </c>
      <c r="D12196" s="5" t="s">
        <v>1686</v>
      </c>
      <c r="E12196" s="8" t="s">
        <v>135</v>
      </c>
      <c r="F12196" s="5" t="s">
        <v>136</v>
      </c>
      <c r="G12196" s="6" t="str">
        <f>VLOOKUP(E12196,dicionario!$A$1:$C12595,2,0)</f>
        <v>Tridax procumbens</v>
      </c>
      <c r="H12196" s="6" t="str">
        <f>VLOOKUP(E12196,dicionario!$A$1:$C12595,3,0)</f>
        <v>erva-de-touro</v>
      </c>
    </row>
    <row r="12197">
      <c r="A12197" s="3">
        <v>45869.0</v>
      </c>
      <c r="B12197" s="4">
        <v>0.26666666666666666</v>
      </c>
      <c r="C12197" s="5" t="s">
        <v>26</v>
      </c>
      <c r="D12197" s="5" t="s">
        <v>1686</v>
      </c>
      <c r="E12197" s="8" t="s">
        <v>548</v>
      </c>
      <c r="F12197" s="5" t="s">
        <v>549</v>
      </c>
      <c r="G12197" s="6" t="str">
        <f>VLOOKUP(E12197,dicionario!$A$1:$C12596,2,0)</f>
        <v>Ricinus communis</v>
      </c>
      <c r="H12197" s="6" t="str">
        <f>VLOOKUP(E12197,dicionario!$A$1:$C12596,3,0)</f>
        <v>mamona</v>
      </c>
    </row>
    <row r="12198">
      <c r="A12198" s="3">
        <v>45869.0</v>
      </c>
      <c r="B12198" s="4">
        <v>0.26666666666666666</v>
      </c>
      <c r="C12198" s="5" t="s">
        <v>26</v>
      </c>
      <c r="D12198" s="5" t="s">
        <v>1686</v>
      </c>
      <c r="E12198" s="6" t="s">
        <v>360</v>
      </c>
      <c r="F12198" s="5" t="s">
        <v>361</v>
      </c>
      <c r="G12198" s="6" t="str">
        <f>VLOOKUP(E12198,dicionario!$A$1:$C12597,2,0)</f>
        <v>Chamaecrista rotundifolia</v>
      </c>
      <c r="H12198" s="6" t="str">
        <f>VLOOKUP(E12198,dicionario!$A$1:$C12597,3,0)</f>
        <v>alfafa-nativa</v>
      </c>
    </row>
    <row r="12199">
      <c r="A12199" s="3">
        <v>45869.0</v>
      </c>
      <c r="B12199" s="4">
        <v>0.26666666666666666</v>
      </c>
      <c r="C12199" s="5" t="s">
        <v>26</v>
      </c>
      <c r="D12199" s="5" t="s">
        <v>1686</v>
      </c>
      <c r="E12199" s="8" t="s">
        <v>1127</v>
      </c>
      <c r="F12199" s="5" t="s">
        <v>1128</v>
      </c>
      <c r="G12199" s="6" t="str">
        <f>VLOOKUP(E12199,dicionario!$A$1:$C12598,2,0)</f>
        <v>Albizia lebbeck</v>
      </c>
      <c r="H12199" s="6" t="str">
        <f>VLOOKUP(E12199,dicionario!$A$1:$C12598,3,0)</f>
        <v>albízia</v>
      </c>
    </row>
    <row r="12200">
      <c r="A12200" s="3">
        <v>45869.0</v>
      </c>
      <c r="B12200" s="4">
        <v>0.26666666666666666</v>
      </c>
      <c r="C12200" s="5" t="s">
        <v>26</v>
      </c>
      <c r="D12200" s="5" t="s">
        <v>1686</v>
      </c>
      <c r="E12200" s="6" t="s">
        <v>150</v>
      </c>
      <c r="F12200" s="5" t="s">
        <v>151</v>
      </c>
      <c r="G12200" s="6" t="str">
        <f>VLOOKUP(E12200,dicionario!$A$1:$C12599,2,0)</f>
        <v>Amaranthus viridis</v>
      </c>
      <c r="H12200" s="6" t="str">
        <f>VLOOKUP(E12200,dicionario!$A$1:$C12599,3,0)</f>
        <v>caruru-de-mancha</v>
      </c>
    </row>
    <row r="12201">
      <c r="A12201" s="3">
        <v>45869.0</v>
      </c>
      <c r="B12201" s="4">
        <v>0.2673611111111111</v>
      </c>
      <c r="C12201" s="5" t="s">
        <v>26</v>
      </c>
      <c r="D12201" s="5" t="s">
        <v>1686</v>
      </c>
      <c r="E12201" s="8" t="s">
        <v>1328</v>
      </c>
      <c r="F12201" s="5" t="s">
        <v>356</v>
      </c>
      <c r="G12201" s="6" t="str">
        <f>VLOOKUP(E12201,dicionario!$A$1:$C12600,2,0)</f>
        <v>#N/A</v>
      </c>
      <c r="H12201" s="6" t="str">
        <f>VLOOKUP(E12201,dicionario!$A$1:$C12600,3,0)</f>
        <v>#N/A</v>
      </c>
    </row>
    <row r="12202">
      <c r="A12202" s="3">
        <v>45869.0</v>
      </c>
      <c r="B12202" s="4">
        <v>0.2673611111111111</v>
      </c>
      <c r="C12202" s="5" t="s">
        <v>26</v>
      </c>
      <c r="D12202" s="5" t="s">
        <v>1686</v>
      </c>
      <c r="E12202" s="6" t="s">
        <v>88</v>
      </c>
      <c r="F12202" s="5" t="s">
        <v>89</v>
      </c>
      <c r="G12202" s="6" t="str">
        <f>VLOOKUP(E12202,dicionario!$A$1:$C12601,2,0)</f>
        <v>Tyrannus melancolichus</v>
      </c>
      <c r="H12202" s="6" t="str">
        <f>VLOOKUP(E12202,dicionario!$A$1:$C12601,3,0)</f>
        <v>suiriri</v>
      </c>
    </row>
    <row r="12203">
      <c r="A12203" s="3">
        <v>45869.0</v>
      </c>
      <c r="B12203" s="4">
        <v>0.2673611111111111</v>
      </c>
      <c r="C12203" s="5" t="s">
        <v>26</v>
      </c>
      <c r="D12203" s="5" t="s">
        <v>1686</v>
      </c>
      <c r="E12203" s="6" t="s">
        <v>72</v>
      </c>
      <c r="F12203" s="5" t="s">
        <v>73</v>
      </c>
      <c r="G12203" s="6" t="str">
        <f>VLOOKUP(E12203,dicionario!$A$1:$C12602,2,0)</f>
        <v>Thraupis palmarum</v>
      </c>
      <c r="H12203" s="6" t="str">
        <f>VLOOKUP(E12203,dicionario!$A$1:$C12602,3,0)</f>
        <v>sanhaço-do-coqueiro</v>
      </c>
    </row>
    <row r="12204">
      <c r="A12204" s="3">
        <v>45869.0</v>
      </c>
      <c r="B12204" s="4">
        <v>0.26805555555555555</v>
      </c>
      <c r="C12204" s="5" t="s">
        <v>26</v>
      </c>
      <c r="D12204" s="5" t="s">
        <v>1686</v>
      </c>
      <c r="E12204" s="8" t="s">
        <v>298</v>
      </c>
      <c r="F12204" s="5"/>
      <c r="G12204" s="6" t="str">
        <f>VLOOKUP(E12204,dicionario!$A$1:$C12603,2,0)</f>
        <v>Alysicarpus vaginalis</v>
      </c>
      <c r="H12204" s="6" t="str">
        <f>VLOOKUP(E12204,dicionario!$A$1:$C12603,3,0)</f>
        <v/>
      </c>
    </row>
    <row r="12205">
      <c r="A12205" s="3">
        <v>45869.0</v>
      </c>
      <c r="B12205" s="4">
        <v>0.26805555555555555</v>
      </c>
      <c r="C12205" s="5" t="s">
        <v>26</v>
      </c>
      <c r="D12205" s="5" t="s">
        <v>1686</v>
      </c>
      <c r="E12205" s="8" t="s">
        <v>109</v>
      </c>
      <c r="F12205" s="5" t="s">
        <v>110</v>
      </c>
      <c r="G12205" s="6" t="str">
        <f>VLOOKUP(E12205,dicionario!$A$1:$C12604,2,0)</f>
        <v>Tillandsia stricta</v>
      </c>
      <c r="H12205" s="6" t="str">
        <f>VLOOKUP(E12205,dicionario!$A$1:$C12604,3,0)</f>
        <v>cravo-do-mato</v>
      </c>
    </row>
    <row r="12206">
      <c r="A12206" s="3">
        <v>45869.0</v>
      </c>
      <c r="B12206" s="4">
        <v>0.26805555555555555</v>
      </c>
      <c r="C12206" s="5" t="s">
        <v>26</v>
      </c>
      <c r="D12206" s="5" t="s">
        <v>1686</v>
      </c>
      <c r="E12206" s="8" t="s">
        <v>122</v>
      </c>
      <c r="F12206" s="5" t="s">
        <v>911</v>
      </c>
      <c r="G12206" s="6" t="str">
        <f>VLOOKUP(E12206,dicionario!$A$1:$C12605,2,0)</f>
        <v>Todirostrum cinereum</v>
      </c>
      <c r="H12206" s="6" t="str">
        <f>VLOOKUP(E12206,dicionario!$A$1:$C12605,3,0)</f>
        <v>ferreirinho-relógio</v>
      </c>
    </row>
    <row r="12207">
      <c r="A12207" s="3">
        <v>45869.0</v>
      </c>
      <c r="B12207" s="4">
        <v>0.26875</v>
      </c>
      <c r="C12207" s="5" t="s">
        <v>26</v>
      </c>
      <c r="D12207" s="5" t="s">
        <v>1686</v>
      </c>
      <c r="E12207" s="6" t="s">
        <v>334</v>
      </c>
      <c r="F12207" s="5" t="s">
        <v>335</v>
      </c>
      <c r="G12207" s="6" t="str">
        <f>VLOOKUP(E12207,dicionario!$A$1:$C12606,2,0)</f>
        <v>Eupsittula aurea</v>
      </c>
      <c r="H12207" s="6" t="str">
        <f>VLOOKUP(E12207,dicionario!$A$1:$C12606,3,0)</f>
        <v>periquito-rei</v>
      </c>
    </row>
    <row r="12208">
      <c r="A12208" s="3">
        <v>45869.0</v>
      </c>
      <c r="B12208" s="4">
        <v>0.26875</v>
      </c>
      <c r="C12208" s="5" t="s">
        <v>26</v>
      </c>
      <c r="D12208" s="5" t="s">
        <v>1686</v>
      </c>
      <c r="E12208" s="6" t="s">
        <v>163</v>
      </c>
      <c r="F12208" s="5" t="s">
        <v>164</v>
      </c>
      <c r="G12208" s="6" t="str">
        <f>VLOOKUP(E12208,dicionario!$A$1:$C12607,2,0)</f>
        <v>Coragyps atratus</v>
      </c>
      <c r="H12208" s="6" t="str">
        <f>VLOOKUP(E12208,dicionario!$A$1:$C12607,3,0)</f>
        <v>urubu-de-cabeça-preta</v>
      </c>
    </row>
    <row r="12209">
      <c r="A12209" s="3">
        <v>45869.0</v>
      </c>
      <c r="B12209" s="4">
        <v>0.26875</v>
      </c>
      <c r="C12209" s="5" t="s">
        <v>26</v>
      </c>
      <c r="D12209" s="5" t="s">
        <v>1686</v>
      </c>
      <c r="E12209" s="6" t="s">
        <v>113</v>
      </c>
      <c r="F12209" s="5" t="s">
        <v>114</v>
      </c>
      <c r="G12209" s="6" t="str">
        <f>VLOOKUP(E12209,dicionario!$A$1:$C12608,2,0)</f>
        <v>Columbina talpacoti</v>
      </c>
      <c r="H12209" s="6" t="str">
        <f>VLOOKUP(E12209,dicionario!$A$1:$C12608,3,0)</f>
        <v>rolinha-roxa</v>
      </c>
    </row>
    <row r="12210">
      <c r="A12210" s="3">
        <v>45869.0</v>
      </c>
      <c r="B12210" s="4">
        <v>0.26875</v>
      </c>
      <c r="C12210" s="5" t="s">
        <v>26</v>
      </c>
      <c r="D12210" s="5" t="s">
        <v>1686</v>
      </c>
      <c r="E12210" s="8" t="s">
        <v>20</v>
      </c>
      <c r="F12210" s="5" t="s">
        <v>21</v>
      </c>
      <c r="G12210" s="6" t="str">
        <f>VLOOKUP(E12210,dicionario!$A$1:$C12609,2,0)</f>
        <v>Sicalis flaveola</v>
      </c>
      <c r="H12210" s="6" t="str">
        <f>VLOOKUP(E12210,dicionario!$A$1:$C12609,3,0)</f>
        <v>canário-da-terra</v>
      </c>
    </row>
    <row r="12211">
      <c r="A12211" s="3">
        <v>45869.0</v>
      </c>
      <c r="B12211" s="4">
        <v>0.26875</v>
      </c>
      <c r="C12211" s="5" t="s">
        <v>26</v>
      </c>
      <c r="D12211" s="5" t="s">
        <v>1686</v>
      </c>
      <c r="E12211" s="6" t="s">
        <v>225</v>
      </c>
      <c r="F12211" s="5" t="s">
        <v>226</v>
      </c>
      <c r="G12211" s="6" t="str">
        <f>VLOOKUP(E12211,dicionario!$A$1:$C12610,2,0)</f>
        <v>Passer domesticus</v>
      </c>
      <c r="H12211" s="6" t="str">
        <f>VLOOKUP(E12211,dicionario!$A$1:$C12610,3,0)</f>
        <v>pardal</v>
      </c>
    </row>
    <row r="12212">
      <c r="A12212" s="3">
        <v>45869.0</v>
      </c>
      <c r="B12212" s="4">
        <v>0.26944444444444443</v>
      </c>
      <c r="C12212" s="5" t="s">
        <v>26</v>
      </c>
      <c r="D12212" s="5" t="s">
        <v>1686</v>
      </c>
      <c r="E12212" s="6" t="s">
        <v>498</v>
      </c>
      <c r="F12212" s="5" t="s">
        <v>499</v>
      </c>
      <c r="G12212" s="6" t="str">
        <f>VLOOKUP(E12212,dicionario!$A$1:$C12611,2,0)</f>
        <v>Brachiaria decumbens</v>
      </c>
      <c r="H12212" s="6" t="str">
        <f>VLOOKUP(E12212,dicionario!$A$1:$C12611,3,0)</f>
        <v>capim-braquiária</v>
      </c>
    </row>
    <row r="12213">
      <c r="A12213" s="3">
        <v>45869.0</v>
      </c>
      <c r="B12213" s="4">
        <v>0.26944444444444443</v>
      </c>
      <c r="C12213" s="5" t="s">
        <v>26</v>
      </c>
      <c r="D12213" s="5" t="s">
        <v>1686</v>
      </c>
      <c r="E12213" s="6" t="s">
        <v>22</v>
      </c>
      <c r="F12213" s="5" t="s">
        <v>97</v>
      </c>
      <c r="G12213" s="6" t="str">
        <f>VLOOKUP(E12213,dicionario!$A$1:$C12612,2,0)</f>
        <v>Zenaida auriculata</v>
      </c>
      <c r="H12213" s="6" t="str">
        <f>VLOOKUP(E12213,dicionario!$A$1:$C12612,3,0)</f>
        <v>pomba-de-bando; avoante</v>
      </c>
    </row>
    <row r="12214">
      <c r="A12214" s="3">
        <v>45869.0</v>
      </c>
      <c r="B12214" s="4">
        <v>0.2701388888888889</v>
      </c>
      <c r="C12214" s="5" t="s">
        <v>26</v>
      </c>
      <c r="D12214" s="5" t="s">
        <v>1686</v>
      </c>
      <c r="E12214" s="6" t="s">
        <v>177</v>
      </c>
      <c r="F12214" s="5" t="s">
        <v>178</v>
      </c>
      <c r="G12214" s="6" t="str">
        <f>VLOOKUP(E12214,dicionario!$A$1:$C12613,2,0)</f>
        <v>Elaenia flavogaster</v>
      </c>
      <c r="H12214" s="6" t="str">
        <f>VLOOKUP(E12214,dicionario!$A$1:$C12613,3,0)</f>
        <v>guaracava-de-barriga-amarela</v>
      </c>
    </row>
    <row r="12215">
      <c r="A12215" s="3">
        <v>45869.0</v>
      </c>
      <c r="B12215" s="4">
        <v>0.2701388888888889</v>
      </c>
      <c r="C12215" s="5" t="s">
        <v>26</v>
      </c>
      <c r="D12215" s="5" t="s">
        <v>1686</v>
      </c>
      <c r="E12215" s="6" t="s">
        <v>340</v>
      </c>
      <c r="F12215" s="5" t="s">
        <v>104</v>
      </c>
      <c r="G12215" s="6" t="str">
        <f>VLOOKUP(E12215,dicionario!$A$1:$C12614,2,0)</f>
        <v>#N/A</v>
      </c>
      <c r="H12215" s="6" t="str">
        <f>VLOOKUP(E12215,dicionario!$A$1:$C12614,3,0)</f>
        <v>#N/A</v>
      </c>
    </row>
    <row r="12216">
      <c r="A12216" s="3">
        <v>45869.0</v>
      </c>
      <c r="B12216" s="4">
        <v>0.2708333333333333</v>
      </c>
      <c r="C12216" s="5" t="s">
        <v>26</v>
      </c>
      <c r="D12216" s="5" t="s">
        <v>1686</v>
      </c>
      <c r="E12216" s="6" t="s">
        <v>243</v>
      </c>
      <c r="F12216" s="5" t="s">
        <v>244</v>
      </c>
      <c r="G12216" s="6" t="str">
        <f>VLOOKUP(E12216,dicionario!$A$1:$C12615,2,0)</f>
        <v>Macroptilium atropurpureum</v>
      </c>
      <c r="H12216" s="6" t="str">
        <f>VLOOKUP(E12216,dicionario!$A$1:$C12615,3,0)</f>
        <v>feijão-de-pombo</v>
      </c>
    </row>
    <row r="12217">
      <c r="A12217" s="3">
        <v>45869.0</v>
      </c>
      <c r="B12217" s="4">
        <v>0.27152777777777776</v>
      </c>
      <c r="C12217" s="5" t="s">
        <v>26</v>
      </c>
      <c r="D12217" s="5" t="s">
        <v>1686</v>
      </c>
      <c r="E12217" s="8" t="s">
        <v>251</v>
      </c>
      <c r="F12217" s="5" t="s">
        <v>252</v>
      </c>
      <c r="G12217" s="6" t="str">
        <f>VLOOKUP(E12217,dicionario!$A$1:$C12616,2,0)</f>
        <v>Struthanthus flexicaulis</v>
      </c>
      <c r="H12217" s="6" t="str">
        <f>VLOOKUP(E12217,dicionario!$A$1:$C12616,3,0)</f>
        <v>erva-de-passarinho</v>
      </c>
    </row>
    <row r="12218">
      <c r="A12218" s="3">
        <v>45869.0</v>
      </c>
      <c r="B12218" s="4">
        <v>0.27152777777777776</v>
      </c>
      <c r="C12218" s="5" t="s">
        <v>26</v>
      </c>
      <c r="D12218" s="5" t="s">
        <v>1686</v>
      </c>
      <c r="E12218" s="6" t="s">
        <v>65</v>
      </c>
      <c r="F12218" s="5" t="s">
        <v>66</v>
      </c>
      <c r="G12218" s="6" t="str">
        <f>VLOOKUP(E12218,dicionario!$A$1:$C12617,2,0)</f>
        <v>Pitangus sulphutarus</v>
      </c>
      <c r="H12218" s="6" t="str">
        <f>VLOOKUP(E12218,dicionario!$A$1:$C12617,3,0)</f>
        <v>bem-te-vi</v>
      </c>
    </row>
    <row r="12219">
      <c r="A12219" s="3">
        <v>45869.0</v>
      </c>
      <c r="B12219" s="4">
        <v>0.2722222222222222</v>
      </c>
      <c r="C12219" s="5" t="s">
        <v>33</v>
      </c>
      <c r="D12219" s="5" t="s">
        <v>1686</v>
      </c>
      <c r="E12219" s="6" t="s">
        <v>65</v>
      </c>
      <c r="F12219" s="5" t="s">
        <v>66</v>
      </c>
      <c r="G12219" s="6" t="str">
        <f>VLOOKUP(E12219,dicionario!$A$1:$C12618,2,0)</f>
        <v>Pitangus sulphutarus</v>
      </c>
      <c r="H12219" s="6" t="str">
        <f>VLOOKUP(E12219,dicionario!$A$1:$C12618,3,0)</f>
        <v>bem-te-vi</v>
      </c>
    </row>
    <row r="12220">
      <c r="A12220" s="3">
        <v>45869.0</v>
      </c>
      <c r="B12220" s="4">
        <v>0.2722222222222222</v>
      </c>
      <c r="C12220" s="5" t="s">
        <v>33</v>
      </c>
      <c r="D12220" s="5" t="s">
        <v>1686</v>
      </c>
      <c r="E12220" s="8" t="s">
        <v>109</v>
      </c>
      <c r="F12220" s="5" t="s">
        <v>110</v>
      </c>
      <c r="G12220" s="6" t="str">
        <f>VLOOKUP(E12220,dicionario!$A$1:$C12619,2,0)</f>
        <v>Tillandsia stricta</v>
      </c>
      <c r="H12220" s="6" t="str">
        <f>VLOOKUP(E12220,dicionario!$A$1:$C12619,3,0)</f>
        <v>cravo-do-mato</v>
      </c>
    </row>
    <row r="12221">
      <c r="A12221" s="3">
        <v>45869.0</v>
      </c>
      <c r="B12221" s="4">
        <v>0.27291666666666664</v>
      </c>
      <c r="C12221" s="5" t="s">
        <v>33</v>
      </c>
      <c r="D12221" s="5" t="s">
        <v>1686</v>
      </c>
      <c r="E12221" s="6" t="s">
        <v>113</v>
      </c>
      <c r="F12221" s="5" t="s">
        <v>114</v>
      </c>
      <c r="G12221" s="6" t="str">
        <f>VLOOKUP(E12221,dicionario!$A$1:$C12620,2,0)</f>
        <v>Columbina talpacoti</v>
      </c>
      <c r="H12221" s="6" t="str">
        <f>VLOOKUP(E12221,dicionario!$A$1:$C12620,3,0)</f>
        <v>rolinha-roxa</v>
      </c>
    </row>
    <row r="12222">
      <c r="A12222" s="3">
        <v>45869.0</v>
      </c>
      <c r="B12222" s="4">
        <v>0.27291666666666664</v>
      </c>
      <c r="C12222" s="5" t="s">
        <v>33</v>
      </c>
      <c r="D12222" s="5" t="s">
        <v>1686</v>
      </c>
      <c r="E12222" s="8" t="s">
        <v>271</v>
      </c>
      <c r="F12222" s="5" t="s">
        <v>272</v>
      </c>
      <c r="G12222" s="6" t="str">
        <f>VLOOKUP(E12222,dicionario!$A$1:$C12621,2,0)</f>
        <v>Cyanthillium cinereum</v>
      </c>
      <c r="H12222" s="6" t="str">
        <f>VLOOKUP(E12222,dicionario!$A$1:$C12621,3,0)</f>
        <v>emília</v>
      </c>
    </row>
    <row r="12223">
      <c r="A12223" s="3">
        <v>45869.0</v>
      </c>
      <c r="B12223" s="4">
        <v>0.27361111111111114</v>
      </c>
      <c r="C12223" s="5" t="s">
        <v>33</v>
      </c>
      <c r="D12223" s="5" t="s">
        <v>1686</v>
      </c>
      <c r="E12223" s="6" t="s">
        <v>14</v>
      </c>
      <c r="F12223" s="5" t="s">
        <v>15</v>
      </c>
      <c r="G12223" s="6" t="str">
        <f>VLOOKUP(E12223,dicionario!$A$1:$C12622,2,0)</f>
        <v>Spermacoce verticillata</v>
      </c>
      <c r="H12223" s="6" t="str">
        <f>VLOOKUP(E12223,dicionario!$A$1:$C12622,3,0)</f>
        <v>vassourinha-de-botão</v>
      </c>
    </row>
    <row r="12224">
      <c r="A12224" s="3">
        <v>45869.0</v>
      </c>
      <c r="B12224" s="4">
        <v>0.2743055555555556</v>
      </c>
      <c r="C12224" s="5" t="s">
        <v>33</v>
      </c>
      <c r="D12224" s="5" t="s">
        <v>1686</v>
      </c>
      <c r="E12224" s="6"/>
      <c r="F12224" s="5" t="s">
        <v>1688</v>
      </c>
      <c r="G12224" s="6" t="str">
        <f>VLOOKUP(E12224,dicionario!$A$1:$C12623,2,0)</f>
        <v>#N/A</v>
      </c>
      <c r="H12224" s="6" t="str">
        <f>VLOOKUP(E12224,dicionario!$A$1:$C12623,3,0)</f>
        <v>#N/A</v>
      </c>
    </row>
    <row r="12225">
      <c r="A12225" s="3">
        <v>45869.0</v>
      </c>
      <c r="B12225" s="4">
        <v>0.2743055555555556</v>
      </c>
      <c r="C12225" s="5" t="s">
        <v>33</v>
      </c>
      <c r="D12225" s="5" t="s">
        <v>1686</v>
      </c>
      <c r="E12225" s="6" t="s">
        <v>122</v>
      </c>
      <c r="F12225" s="5" t="s">
        <v>123</v>
      </c>
      <c r="G12225" s="6" t="str">
        <f>VLOOKUP(E12225,dicionario!$A$1:$C12624,2,0)</f>
        <v>Todirostrum cinereum</v>
      </c>
      <c r="H12225" s="6" t="str">
        <f>VLOOKUP(E12225,dicionario!$A$1:$C12624,3,0)</f>
        <v>ferreirinho-relógio</v>
      </c>
    </row>
    <row r="12226">
      <c r="A12226" s="3">
        <v>45869.0</v>
      </c>
      <c r="B12226" s="4">
        <v>0.27569444444444446</v>
      </c>
      <c r="C12226" s="5" t="s">
        <v>33</v>
      </c>
      <c r="D12226" s="5" t="s">
        <v>1686</v>
      </c>
      <c r="E12226" s="6" t="s">
        <v>334</v>
      </c>
      <c r="F12226" s="5" t="s">
        <v>335</v>
      </c>
      <c r="G12226" s="6" t="str">
        <f>VLOOKUP(E12226,dicionario!$A$1:$C12625,2,0)</f>
        <v>Eupsittula aurea</v>
      </c>
      <c r="H12226" s="6" t="str">
        <f>VLOOKUP(E12226,dicionario!$A$1:$C12625,3,0)</f>
        <v>periquito-rei</v>
      </c>
    </row>
    <row r="12227">
      <c r="A12227" s="3">
        <v>45869.0</v>
      </c>
      <c r="B12227" s="4">
        <v>0.2763888888888889</v>
      </c>
      <c r="C12227" s="5" t="s">
        <v>33</v>
      </c>
      <c r="D12227" s="5" t="s">
        <v>1686</v>
      </c>
      <c r="E12227" s="6" t="s">
        <v>72</v>
      </c>
      <c r="F12227" s="5" t="s">
        <v>73</v>
      </c>
      <c r="G12227" s="6" t="str">
        <f>VLOOKUP(E12227,dicionario!$A$1:$C12626,2,0)</f>
        <v>Thraupis palmarum</v>
      </c>
      <c r="H12227" s="6" t="str">
        <f>VLOOKUP(E12227,dicionario!$A$1:$C12626,3,0)</f>
        <v>sanhaço-do-coqueiro</v>
      </c>
    </row>
    <row r="12228">
      <c r="A12228" s="3">
        <v>45869.0</v>
      </c>
      <c r="B12228" s="4">
        <v>0.2763888888888889</v>
      </c>
      <c r="C12228" s="5" t="s">
        <v>33</v>
      </c>
      <c r="D12228" s="5" t="s">
        <v>1686</v>
      </c>
      <c r="E12228" s="6" t="s">
        <v>340</v>
      </c>
      <c r="F12228" s="5" t="s">
        <v>104</v>
      </c>
      <c r="G12228" s="6" t="str">
        <f>VLOOKUP(E12228,dicionario!$A$1:$C12627,2,0)</f>
        <v>#N/A</v>
      </c>
      <c r="H12228" s="6" t="str">
        <f>VLOOKUP(E12228,dicionario!$A$1:$C12627,3,0)</f>
        <v>#N/A</v>
      </c>
    </row>
    <row r="12229">
      <c r="A12229" s="3">
        <v>45869.0</v>
      </c>
      <c r="B12229" s="4">
        <v>0.2763888888888889</v>
      </c>
      <c r="C12229" s="5" t="s">
        <v>33</v>
      </c>
      <c r="D12229" s="5" t="s">
        <v>1686</v>
      </c>
      <c r="E12229" s="6" t="s">
        <v>86</v>
      </c>
      <c r="F12229" s="5" t="s">
        <v>502</v>
      </c>
      <c r="G12229" s="6" t="str">
        <f>VLOOKUP(E12229,dicionario!$A$1:$C12628,2,0)</f>
        <v>Coereba flaveola</v>
      </c>
      <c r="H12229" s="6" t="str">
        <f>VLOOKUP(E12229,dicionario!$A$1:$C12628,3,0)</f>
        <v>cambacica</v>
      </c>
    </row>
    <row r="12230">
      <c r="A12230" s="3">
        <v>45869.0</v>
      </c>
      <c r="B12230" s="4">
        <v>0.2763888888888889</v>
      </c>
      <c r="C12230" s="5" t="s">
        <v>33</v>
      </c>
      <c r="D12230" s="5" t="s">
        <v>1686</v>
      </c>
      <c r="E12230" s="6" t="s">
        <v>251</v>
      </c>
      <c r="F12230" s="5" t="s">
        <v>252</v>
      </c>
      <c r="G12230" s="6" t="str">
        <f>VLOOKUP(E12230,dicionario!$A$1:$C12629,2,0)</f>
        <v>Struthanthus flexicaulis</v>
      </c>
      <c r="H12230" s="6" t="str">
        <f>VLOOKUP(E12230,dicionario!$A$1:$C12629,3,0)</f>
        <v>erva-de-passarinho</v>
      </c>
    </row>
    <row r="12231">
      <c r="A12231" s="3">
        <v>45869.0</v>
      </c>
      <c r="B12231" s="4">
        <v>0.2763888888888889</v>
      </c>
      <c r="C12231" s="5" t="s">
        <v>33</v>
      </c>
      <c r="D12231" s="5" t="s">
        <v>1686</v>
      </c>
      <c r="E12231" s="8" t="s">
        <v>38</v>
      </c>
      <c r="F12231" s="5" t="s">
        <v>39</v>
      </c>
      <c r="G12231" s="6" t="str">
        <f>VLOOKUP(E12231,dicionario!$A$1:$C12630,2,0)</f>
        <v>Troglodytes musculus</v>
      </c>
      <c r="H12231" s="6" t="str">
        <f>VLOOKUP(E12231,dicionario!$A$1:$C12630,3,0)</f>
        <v>curruíra</v>
      </c>
    </row>
    <row r="12232">
      <c r="A12232" s="3">
        <v>45869.0</v>
      </c>
      <c r="B12232" s="4">
        <v>0.27708333333333335</v>
      </c>
      <c r="C12232" s="5" t="s">
        <v>33</v>
      </c>
      <c r="D12232" s="5" t="s">
        <v>1686</v>
      </c>
      <c r="E12232" s="6" t="s">
        <v>88</v>
      </c>
      <c r="F12232" s="5" t="s">
        <v>89</v>
      </c>
      <c r="G12232" s="6" t="str">
        <f>VLOOKUP(E12232,dicionario!$A$1:$C12631,2,0)</f>
        <v>Tyrannus melancolichus</v>
      </c>
      <c r="H12232" s="6" t="str">
        <f>VLOOKUP(E12232,dicionario!$A$1:$C12631,3,0)</f>
        <v>suiriri</v>
      </c>
    </row>
    <row r="12233">
      <c r="A12233" s="3">
        <v>45869.0</v>
      </c>
      <c r="B12233" s="4">
        <v>0.2777777777777778</v>
      </c>
      <c r="C12233" s="5" t="s">
        <v>40</v>
      </c>
      <c r="D12233" s="5" t="s">
        <v>1686</v>
      </c>
      <c r="E12233" s="6" t="s">
        <v>340</v>
      </c>
      <c r="F12233" s="5" t="s">
        <v>104</v>
      </c>
      <c r="G12233" s="6" t="str">
        <f>VLOOKUP(E12233,dicionario!$A$1:$C12632,2,0)</f>
        <v>#N/A</v>
      </c>
      <c r="H12233" s="6" t="str">
        <f>VLOOKUP(E12233,dicionario!$A$1:$C12632,3,0)</f>
        <v>#N/A</v>
      </c>
    </row>
    <row r="12234">
      <c r="A12234" s="3">
        <v>45869.0</v>
      </c>
      <c r="B12234" s="4">
        <v>0.2777777777777778</v>
      </c>
      <c r="C12234" s="5" t="s">
        <v>40</v>
      </c>
      <c r="D12234" s="5" t="s">
        <v>1686</v>
      </c>
      <c r="E12234" s="6" t="s">
        <v>286</v>
      </c>
      <c r="F12234" s="5" t="s">
        <v>287</v>
      </c>
      <c r="G12234" s="6" t="str">
        <f>VLOOKUP(E12234,dicionario!$A$1:$C12633,2,0)</f>
        <v>Setaria parviflora</v>
      </c>
      <c r="H12234" s="6" t="str">
        <f>VLOOKUP(E12234,dicionario!$A$1:$C12633,3,0)</f>
        <v>capim-rabo-de-raposa</v>
      </c>
    </row>
    <row r="12235">
      <c r="A12235" s="3">
        <v>45869.0</v>
      </c>
      <c r="B12235" s="4">
        <v>0.27847222222222223</v>
      </c>
      <c r="C12235" s="5" t="s">
        <v>40</v>
      </c>
      <c r="D12235" s="5" t="s">
        <v>1686</v>
      </c>
      <c r="E12235" s="8" t="s">
        <v>1280</v>
      </c>
      <c r="F12235" s="5" t="s">
        <v>1156</v>
      </c>
      <c r="G12235" s="6" t="str">
        <f>VLOOKUP(E12235,dicionario!$A$1:$C12634,2,0)</f>
        <v>Paspalum notatum</v>
      </c>
      <c r="H12235" s="6" t="str">
        <f>VLOOKUP(E12235,dicionario!$A$1:$C12634,3,0)</f>
        <v>capim-forquilha</v>
      </c>
    </row>
    <row r="12236">
      <c r="A12236" s="3">
        <v>45869.0</v>
      </c>
      <c r="B12236" s="4">
        <v>0.27847222222222223</v>
      </c>
      <c r="C12236" s="5" t="s">
        <v>40</v>
      </c>
      <c r="D12236" s="5" t="s">
        <v>1686</v>
      </c>
      <c r="E12236" s="8" t="s">
        <v>298</v>
      </c>
      <c r="F12236" s="5"/>
      <c r="G12236" s="6" t="str">
        <f>VLOOKUP(E12236,dicionario!$A$1:$C12635,2,0)</f>
        <v>Alysicarpus vaginalis</v>
      </c>
      <c r="H12236" s="6" t="str">
        <f>VLOOKUP(E12236,dicionario!$A$1:$C12635,3,0)</f>
        <v/>
      </c>
    </row>
    <row r="12237">
      <c r="A12237" s="3">
        <v>45869.0</v>
      </c>
      <c r="B12237" s="4">
        <v>0.27847222222222223</v>
      </c>
      <c r="C12237" s="5" t="s">
        <v>40</v>
      </c>
      <c r="D12237" s="5" t="s">
        <v>1686</v>
      </c>
      <c r="E12237" s="8" t="s">
        <v>1328</v>
      </c>
      <c r="F12237" s="5" t="s">
        <v>356</v>
      </c>
      <c r="G12237" s="6" t="str">
        <f>VLOOKUP(E12237,dicionario!$A$1:$C12636,2,0)</f>
        <v>#N/A</v>
      </c>
      <c r="H12237" s="6" t="str">
        <f>VLOOKUP(E12237,dicionario!$A$1:$C12636,3,0)</f>
        <v>#N/A</v>
      </c>
    </row>
    <row r="12238">
      <c r="A12238" s="3">
        <v>45869.0</v>
      </c>
      <c r="B12238" s="4">
        <v>0.27847222222222223</v>
      </c>
      <c r="C12238" s="5" t="s">
        <v>40</v>
      </c>
      <c r="D12238" s="5" t="s">
        <v>1686</v>
      </c>
      <c r="E12238" s="6" t="s">
        <v>171</v>
      </c>
      <c r="F12238" s="5" t="s">
        <v>172</v>
      </c>
      <c r="G12238" s="6" t="str">
        <f>VLOOKUP(E12238,dicionario!$A$1:$C12637,2,0)</f>
        <v>Oxalis corniculata</v>
      </c>
      <c r="H12238" s="6" t="str">
        <f>VLOOKUP(E12238,dicionario!$A$1:$C12637,3,0)</f>
        <v>trevo-azedinho</v>
      </c>
    </row>
    <row r="12239">
      <c r="A12239" s="3">
        <v>45869.0</v>
      </c>
      <c r="B12239" s="4">
        <v>0.27847222222222223</v>
      </c>
      <c r="C12239" s="5" t="s">
        <v>40</v>
      </c>
      <c r="D12239" s="5" t="s">
        <v>1686</v>
      </c>
      <c r="E12239" s="6" t="s">
        <v>53</v>
      </c>
      <c r="F12239" s="5" t="s">
        <v>54</v>
      </c>
      <c r="G12239" s="6" t="str">
        <f>VLOOKUP(E12239,dicionario!$A$1:$C12638,2,0)</f>
        <v>Turnera subulata</v>
      </c>
      <c r="H12239" s="6" t="str">
        <f>VLOOKUP(E12239,dicionario!$A$1:$C12638,3,0)</f>
        <v>xanana</v>
      </c>
    </row>
    <row r="12240">
      <c r="A12240" s="3">
        <v>45869.0</v>
      </c>
      <c r="B12240" s="4">
        <v>0.2791666666666667</v>
      </c>
      <c r="C12240" s="5" t="s">
        <v>40</v>
      </c>
      <c r="D12240" s="5" t="s">
        <v>1686</v>
      </c>
      <c r="E12240" s="8" t="s">
        <v>1077</v>
      </c>
      <c r="F12240" s="5" t="s">
        <v>1078</v>
      </c>
      <c r="G12240" s="6" t="str">
        <f>VLOOKUP(E12240,dicionario!$A$1:$C12639,2,0)</f>
        <v>Sonchus asper</v>
      </c>
      <c r="H12240" s="6" t="str">
        <f>VLOOKUP(E12240,dicionario!$A$1:$C12639,3,0)</f>
        <v>serralha-crespa</v>
      </c>
    </row>
    <row r="12241">
      <c r="A12241" s="3">
        <v>45869.0</v>
      </c>
      <c r="B12241" s="4">
        <v>0.2791666666666667</v>
      </c>
      <c r="C12241" s="5" t="s">
        <v>40</v>
      </c>
      <c r="D12241" s="5" t="s">
        <v>1686</v>
      </c>
      <c r="E12241" s="6" t="s">
        <v>247</v>
      </c>
      <c r="F12241" s="5" t="s">
        <v>248</v>
      </c>
      <c r="G12241" s="6" t="str">
        <f>VLOOKUP(E12241,dicionario!$A$1:$C12640,2,0)</f>
        <v>Emilia sonchifolia</v>
      </c>
      <c r="H12241" s="6" t="str">
        <f>VLOOKUP(E12241,dicionario!$A$1:$C12640,3,0)</f>
        <v>serralinha</v>
      </c>
    </row>
    <row r="12242">
      <c r="A12242" s="3">
        <v>45869.0</v>
      </c>
      <c r="B12242" s="4">
        <v>0.2791666666666667</v>
      </c>
      <c r="C12242" s="5" t="s">
        <v>40</v>
      </c>
      <c r="D12242" s="5" t="s">
        <v>1686</v>
      </c>
      <c r="E12242" s="6"/>
      <c r="F12242" s="52" t="s">
        <v>1689</v>
      </c>
      <c r="G12242" s="6" t="str">
        <f>VLOOKUP(E12242,dicionario!$A$1:$C12641,2,0)</f>
        <v>#N/A</v>
      </c>
      <c r="H12242" s="6" t="str">
        <f>VLOOKUP(E12242,dicionario!$A$1:$C12641,3,0)</f>
        <v>#N/A</v>
      </c>
    </row>
    <row r="12243">
      <c r="A12243" s="3">
        <v>45869.0</v>
      </c>
      <c r="B12243" s="4">
        <v>0.2791666666666667</v>
      </c>
      <c r="C12243" s="5" t="s">
        <v>40</v>
      </c>
      <c r="D12243" s="5" t="s">
        <v>1686</v>
      </c>
      <c r="E12243" s="8" t="s">
        <v>271</v>
      </c>
      <c r="F12243" s="5" t="s">
        <v>272</v>
      </c>
      <c r="G12243" s="6" t="str">
        <f>VLOOKUP(E12243,dicionario!$A$1:$C12642,2,0)</f>
        <v>Cyanthillium cinereum</v>
      </c>
      <c r="H12243" s="6" t="str">
        <f>VLOOKUP(E12243,dicionario!$A$1:$C12642,3,0)</f>
        <v>emília</v>
      </c>
    </row>
    <row r="12244">
      <c r="A12244" s="3">
        <v>45869.0</v>
      </c>
      <c r="B12244" s="4">
        <v>0.2791666666666667</v>
      </c>
      <c r="C12244" s="5" t="s">
        <v>40</v>
      </c>
      <c r="D12244" s="5" t="s">
        <v>1686</v>
      </c>
      <c r="E12244" s="6" t="s">
        <v>296</v>
      </c>
      <c r="F12244" s="5" t="s">
        <v>297</v>
      </c>
      <c r="G12244" s="6" t="str">
        <f>VLOOKUP(E12244,dicionario!$A$1:$C12643,2,0)</f>
        <v>Richardia brasiliensis</v>
      </c>
      <c r="H12244" s="6" t="str">
        <f>VLOOKUP(E12244,dicionario!$A$1:$C12643,3,0)</f>
        <v>poaia-branca</v>
      </c>
    </row>
    <row r="12245">
      <c r="A12245" s="3">
        <v>45869.0</v>
      </c>
      <c r="B12245" s="4">
        <v>0.2798611111111111</v>
      </c>
      <c r="C12245" s="5" t="s">
        <v>40</v>
      </c>
      <c r="D12245" s="5" t="s">
        <v>1686</v>
      </c>
      <c r="E12245" s="6" t="s">
        <v>504</v>
      </c>
      <c r="F12245" s="5" t="s">
        <v>534</v>
      </c>
      <c r="G12245" s="6" t="str">
        <f>VLOOKUP(E12245,dicionario!$A$1:$C12644,2,0)</f>
        <v>Cleome aculeata</v>
      </c>
      <c r="H12245" s="6" t="str">
        <f>VLOOKUP(E12245,dicionario!$A$1:$C12644,3,0)</f>
        <v>cleome</v>
      </c>
    </row>
    <row r="12246">
      <c r="A12246" s="3">
        <v>45869.0</v>
      </c>
      <c r="B12246" s="4">
        <v>0.2798611111111111</v>
      </c>
      <c r="C12246" s="5" t="s">
        <v>40</v>
      </c>
      <c r="D12246" s="5" t="s">
        <v>1686</v>
      </c>
      <c r="E12246" s="6" t="s">
        <v>489</v>
      </c>
      <c r="F12246" s="5" t="s">
        <v>521</v>
      </c>
      <c r="G12246" s="6" t="str">
        <f>VLOOKUP(E12246,dicionario!$A$1:$C12645,2,0)</f>
        <v>Cenchrus echinatus</v>
      </c>
      <c r="H12246" s="6" t="str">
        <f>VLOOKUP(E12246,dicionario!$A$1:$C12645,3,0)</f>
        <v>capim-carrapicho</v>
      </c>
    </row>
    <row r="12247">
      <c r="A12247" s="3">
        <v>45869.0</v>
      </c>
      <c r="B12247" s="4">
        <v>0.2798611111111111</v>
      </c>
      <c r="C12247" s="5" t="s">
        <v>40</v>
      </c>
      <c r="D12247" s="5" t="s">
        <v>1686</v>
      </c>
      <c r="E12247" s="6" t="s">
        <v>227</v>
      </c>
      <c r="F12247" s="5" t="s">
        <v>228</v>
      </c>
      <c r="G12247" s="6" t="str">
        <f>VLOOKUP(E12247,dicionario!$A$1:$C12646,2,0)</f>
        <v>Indigofera hirsuta</v>
      </c>
      <c r="H12247" s="6" t="str">
        <f>VLOOKUP(E12247,dicionario!$A$1:$C12646,3,0)</f>
        <v>anileira</v>
      </c>
    </row>
    <row r="12248">
      <c r="A12248" s="3">
        <v>45869.0</v>
      </c>
      <c r="B12248" s="4">
        <v>0.28055555555555556</v>
      </c>
      <c r="C12248" s="5" t="s">
        <v>40</v>
      </c>
      <c r="D12248" s="5" t="s">
        <v>1686</v>
      </c>
      <c r="E12248" s="8" t="s">
        <v>135</v>
      </c>
      <c r="F12248" s="5" t="s">
        <v>136</v>
      </c>
      <c r="G12248" s="6" t="str">
        <f>VLOOKUP(E12248,dicionario!$A$1:$C12647,2,0)</f>
        <v>Tridax procumbens</v>
      </c>
      <c r="H12248" s="6" t="str">
        <f>VLOOKUP(E12248,dicionario!$A$1:$C12647,3,0)</f>
        <v>erva-de-touro</v>
      </c>
    </row>
    <row r="12249">
      <c r="A12249" s="3">
        <v>45869.0</v>
      </c>
      <c r="B12249" s="4">
        <v>0.28055555555555556</v>
      </c>
      <c r="C12249" s="5" t="s">
        <v>40</v>
      </c>
      <c r="D12249" s="5" t="s">
        <v>1686</v>
      </c>
      <c r="E12249" s="6" t="s">
        <v>191</v>
      </c>
      <c r="F12249" s="5" t="s">
        <v>192</v>
      </c>
      <c r="G12249" s="6" t="str">
        <f>VLOOKUP(E12249,dicionario!$A$1:$C12648,2,0)</f>
        <v>Patagioenas picazuro</v>
      </c>
      <c r="H12249" s="6" t="str">
        <f>VLOOKUP(E12249,dicionario!$A$1:$C12648,3,0)</f>
        <v>asa-branca; pomba-asa-branca; pocaçu</v>
      </c>
    </row>
    <row r="12250">
      <c r="A12250" s="3">
        <v>45869.0</v>
      </c>
      <c r="B12250" s="4">
        <v>0.28055555555555556</v>
      </c>
      <c r="C12250" s="5" t="s">
        <v>40</v>
      </c>
      <c r="D12250" s="5" t="s">
        <v>1686</v>
      </c>
      <c r="E12250" s="6" t="s">
        <v>113</v>
      </c>
      <c r="F12250" s="5" t="s">
        <v>114</v>
      </c>
      <c r="G12250" s="6" t="str">
        <f>VLOOKUP(E12250,dicionario!$A$1:$C12649,2,0)</f>
        <v>Columbina talpacoti</v>
      </c>
      <c r="H12250" s="6" t="str">
        <f>VLOOKUP(E12250,dicionario!$A$1:$C12649,3,0)</f>
        <v>rolinha-roxa</v>
      </c>
    </row>
    <row r="12251">
      <c r="A12251" s="3">
        <v>45869.0</v>
      </c>
      <c r="B12251" s="4">
        <v>0.28055555555555556</v>
      </c>
      <c r="C12251" s="5" t="s">
        <v>40</v>
      </c>
      <c r="D12251" s="5" t="s">
        <v>1686</v>
      </c>
      <c r="E12251" s="6" t="s">
        <v>215</v>
      </c>
      <c r="F12251" s="5" t="s">
        <v>216</v>
      </c>
      <c r="G12251" s="6" t="str">
        <f>VLOOKUP(E12251,dicionario!$A$1:$C12650,2,0)</f>
        <v>Pygochelidon cyanoleuca</v>
      </c>
      <c r="H12251" s="6" t="str">
        <f>VLOOKUP(E12251,dicionario!$A$1:$C12650,3,0)</f>
        <v>andorinha-pequena-de-casa</v>
      </c>
    </row>
    <row r="12252">
      <c r="A12252" s="3">
        <v>45869.0</v>
      </c>
      <c r="B12252" s="4">
        <v>0.28055555555555556</v>
      </c>
      <c r="C12252" s="5" t="s">
        <v>40</v>
      </c>
      <c r="D12252" s="5" t="s">
        <v>1686</v>
      </c>
      <c r="E12252" s="8" t="s">
        <v>20</v>
      </c>
      <c r="F12252" s="5" t="s">
        <v>21</v>
      </c>
      <c r="G12252" s="6" t="str">
        <f>VLOOKUP(E12252,dicionario!$A$1:$C12651,2,0)</f>
        <v>Sicalis flaveola</v>
      </c>
      <c r="H12252" s="6" t="str">
        <f>VLOOKUP(E12252,dicionario!$A$1:$C12651,3,0)</f>
        <v>canário-da-terra</v>
      </c>
    </row>
    <row r="12253">
      <c r="A12253" s="3">
        <v>45869.0</v>
      </c>
      <c r="B12253" s="4">
        <v>0.28125</v>
      </c>
      <c r="C12253" s="5" t="s">
        <v>40</v>
      </c>
      <c r="D12253" s="5" t="s">
        <v>1686</v>
      </c>
      <c r="E12253" s="6" t="s">
        <v>146</v>
      </c>
      <c r="F12253" s="5" t="s">
        <v>147</v>
      </c>
      <c r="G12253" s="6" t="str">
        <f>VLOOKUP(E12253,dicionario!$A$1:$C12652,2,0)</f>
        <v>Euphorbia hirta</v>
      </c>
      <c r="H12253" s="6" t="str">
        <f>VLOOKUP(E12253,dicionario!$A$1:$C12652,3,0)</f>
        <v>erva-de-santa-luzia</v>
      </c>
    </row>
    <row r="12254">
      <c r="A12254" s="3">
        <v>45869.0</v>
      </c>
      <c r="B12254" s="4">
        <v>0.28194444444444444</v>
      </c>
      <c r="C12254" s="5" t="s">
        <v>40</v>
      </c>
      <c r="D12254" s="5" t="s">
        <v>1686</v>
      </c>
      <c r="E12254" s="6" t="s">
        <v>225</v>
      </c>
      <c r="F12254" s="5" t="s">
        <v>226</v>
      </c>
      <c r="G12254" s="6" t="str">
        <f>VLOOKUP(E12254,dicionario!$A$1:$C12653,2,0)</f>
        <v>Passer domesticus</v>
      </c>
      <c r="H12254" s="6" t="str">
        <f>VLOOKUP(E12254,dicionario!$A$1:$C12653,3,0)</f>
        <v>pardal</v>
      </c>
    </row>
    <row r="12255">
      <c r="A12255" s="3">
        <v>45869.0</v>
      </c>
      <c r="B12255" s="4">
        <v>0.28194444444444444</v>
      </c>
      <c r="C12255" s="5" t="s">
        <v>40</v>
      </c>
      <c r="D12255" s="5" t="s">
        <v>1686</v>
      </c>
      <c r="E12255" s="6" t="s">
        <v>72</v>
      </c>
      <c r="F12255" s="5" t="s">
        <v>73</v>
      </c>
      <c r="G12255" s="6" t="str">
        <f>VLOOKUP(E12255,dicionario!$A$1:$C12654,2,0)</f>
        <v>Thraupis palmarum</v>
      </c>
      <c r="H12255" s="6" t="str">
        <f>VLOOKUP(E12255,dicionario!$A$1:$C12654,3,0)</f>
        <v>sanhaço-do-coqueiro</v>
      </c>
    </row>
    <row r="12256">
      <c r="A12256" s="3">
        <v>45869.0</v>
      </c>
      <c r="B12256" s="4">
        <v>0.2833333333333333</v>
      </c>
      <c r="C12256" s="5" t="s">
        <v>40</v>
      </c>
      <c r="D12256" s="5" t="s">
        <v>1686</v>
      </c>
      <c r="E12256" s="8" t="s">
        <v>849</v>
      </c>
      <c r="F12256" s="5" t="s">
        <v>1457</v>
      </c>
      <c r="G12256" s="6" t="str">
        <f>VLOOKUP(E12256,dicionario!$A$1:$C12655,2,0)</f>
        <v>#N/A</v>
      </c>
      <c r="H12256" s="6" t="str">
        <f>VLOOKUP(E12256,dicionario!$A$1:$C12655,3,0)</f>
        <v>#N/A</v>
      </c>
    </row>
    <row r="12257">
      <c r="A12257" s="3">
        <v>45869.0</v>
      </c>
      <c r="B12257" s="4">
        <v>0.2833333333333333</v>
      </c>
      <c r="C12257" s="5" t="s">
        <v>40</v>
      </c>
      <c r="D12257" s="5" t="s">
        <v>1686</v>
      </c>
      <c r="E12257" s="6" t="s">
        <v>177</v>
      </c>
      <c r="F12257" s="5" t="s">
        <v>178</v>
      </c>
      <c r="G12257" s="6" t="str">
        <f>VLOOKUP(E12257,dicionario!$A$1:$C12656,2,0)</f>
        <v>Elaenia flavogaster</v>
      </c>
      <c r="H12257" s="6" t="str">
        <f>VLOOKUP(E12257,dicionario!$A$1:$C12656,3,0)</f>
        <v>guaracava-de-barriga-amarela</v>
      </c>
    </row>
    <row r="12258">
      <c r="A12258" s="3">
        <v>45869.0</v>
      </c>
      <c r="B12258" s="4">
        <v>0.2833333333333333</v>
      </c>
      <c r="C12258" s="5" t="s">
        <v>40</v>
      </c>
      <c r="D12258" s="5" t="s">
        <v>1686</v>
      </c>
      <c r="E12258" s="6" t="s">
        <v>65</v>
      </c>
      <c r="F12258" s="5" t="s">
        <v>66</v>
      </c>
      <c r="G12258" s="6" t="str">
        <f>VLOOKUP(E12258,dicionario!$A$1:$C12657,2,0)</f>
        <v>Pitangus sulphutarus</v>
      </c>
      <c r="H12258" s="6" t="str">
        <f>VLOOKUP(E12258,dicionario!$A$1:$C12657,3,0)</f>
        <v>bem-te-vi</v>
      </c>
    </row>
    <row r="12259">
      <c r="A12259" s="3">
        <v>45869.0</v>
      </c>
      <c r="B12259" s="4">
        <v>0.29097222222222224</v>
      </c>
      <c r="C12259" s="5" t="s">
        <v>50</v>
      </c>
      <c r="D12259" s="5" t="s">
        <v>1686</v>
      </c>
      <c r="E12259" s="6" t="s">
        <v>65</v>
      </c>
      <c r="F12259" s="5" t="s">
        <v>66</v>
      </c>
      <c r="G12259" s="6" t="str">
        <f>VLOOKUP(E12259,dicionario!$A$1:$C12658,2,0)</f>
        <v>Pitangus sulphutarus</v>
      </c>
      <c r="H12259" s="6" t="str">
        <f>VLOOKUP(E12259,dicionario!$A$1:$C12658,3,0)</f>
        <v>bem-te-vi</v>
      </c>
    </row>
    <row r="12260">
      <c r="A12260" s="3">
        <v>45869.0</v>
      </c>
      <c r="B12260" s="4">
        <v>0.2916666666666667</v>
      </c>
      <c r="C12260" s="5" t="s">
        <v>50</v>
      </c>
      <c r="D12260" s="5" t="s">
        <v>1686</v>
      </c>
      <c r="E12260" s="6" t="s">
        <v>296</v>
      </c>
      <c r="F12260" s="5" t="s">
        <v>297</v>
      </c>
      <c r="G12260" s="6" t="str">
        <f>VLOOKUP(E12260,dicionario!$A$1:$C12659,2,0)</f>
        <v>Richardia brasiliensis</v>
      </c>
      <c r="H12260" s="6" t="str">
        <f>VLOOKUP(E12260,dicionario!$A$1:$C12659,3,0)</f>
        <v>poaia-branca</v>
      </c>
    </row>
    <row r="12261">
      <c r="A12261" s="3">
        <v>45869.0</v>
      </c>
      <c r="B12261" s="4">
        <v>0.2916666666666667</v>
      </c>
      <c r="C12261" s="5" t="s">
        <v>50</v>
      </c>
      <c r="D12261" s="5" t="s">
        <v>1686</v>
      </c>
      <c r="E12261" s="6" t="s">
        <v>86</v>
      </c>
      <c r="F12261" s="5" t="s">
        <v>502</v>
      </c>
      <c r="G12261" s="6" t="str">
        <f>VLOOKUP(E12261,dicionario!$A$1:$C12660,2,0)</f>
        <v>Coereba flaveola</v>
      </c>
      <c r="H12261" s="6" t="str">
        <f>VLOOKUP(E12261,dicionario!$A$1:$C12660,3,0)</f>
        <v>cambacica</v>
      </c>
    </row>
    <row r="12262">
      <c r="A12262" s="3">
        <v>45869.0</v>
      </c>
      <c r="B12262" s="4">
        <v>0.2916666666666667</v>
      </c>
      <c r="C12262" s="5" t="s">
        <v>50</v>
      </c>
      <c r="D12262" s="5" t="s">
        <v>1686</v>
      </c>
      <c r="E12262" s="8" t="s">
        <v>1690</v>
      </c>
      <c r="F12262" s="5"/>
      <c r="G12262" s="6" t="str">
        <f>VLOOKUP(E12262,dicionario!$A$1:$C12661,2,0)</f>
        <v>#N/A</v>
      </c>
      <c r="H12262" s="6" t="str">
        <f>VLOOKUP(E12262,dicionario!$A$1:$C12661,3,0)</f>
        <v>#N/A</v>
      </c>
    </row>
    <row r="12263">
      <c r="A12263" s="3">
        <v>45869.0</v>
      </c>
      <c r="B12263" s="4">
        <v>0.2916666666666667</v>
      </c>
      <c r="C12263" s="5" t="s">
        <v>50</v>
      </c>
      <c r="D12263" s="5" t="s">
        <v>1686</v>
      </c>
      <c r="E12263" s="6" t="s">
        <v>72</v>
      </c>
      <c r="F12263" s="5" t="s">
        <v>73</v>
      </c>
      <c r="G12263" s="6" t="str">
        <f>VLOOKUP(E12263,dicionario!$A$1:$C12662,2,0)</f>
        <v>Thraupis palmarum</v>
      </c>
      <c r="H12263" s="6" t="str">
        <f>VLOOKUP(E12263,dicionario!$A$1:$C12662,3,0)</f>
        <v>sanhaço-do-coqueiro</v>
      </c>
    </row>
    <row r="12264">
      <c r="A12264" s="3">
        <v>45869.0</v>
      </c>
      <c r="B12264" s="4">
        <v>0.2916666666666667</v>
      </c>
      <c r="C12264" s="5" t="s">
        <v>50</v>
      </c>
      <c r="D12264" s="5" t="s">
        <v>1686</v>
      </c>
      <c r="E12264" s="8" t="s">
        <v>109</v>
      </c>
      <c r="F12264" s="5" t="s">
        <v>1418</v>
      </c>
      <c r="G12264" s="6" t="str">
        <f>VLOOKUP(E12264,dicionario!$A$1:$C12663,2,0)</f>
        <v>Tillandsia stricta</v>
      </c>
      <c r="H12264" s="6" t="str">
        <f>VLOOKUP(E12264,dicionario!$A$1:$C12663,3,0)</f>
        <v>cravo-do-mato</v>
      </c>
    </row>
    <row r="12265">
      <c r="A12265" s="3">
        <v>45869.0</v>
      </c>
      <c r="B12265" s="4">
        <v>0.2923611111111111</v>
      </c>
      <c r="C12265" s="5" t="s">
        <v>50</v>
      </c>
      <c r="D12265" s="5" t="s">
        <v>1686</v>
      </c>
      <c r="E12265" s="6" t="s">
        <v>175</v>
      </c>
      <c r="F12265" s="5" t="s">
        <v>176</v>
      </c>
      <c r="G12265" s="6" t="str">
        <f>VLOOKUP(E12265,dicionario!$A$1:$C12664,2,0)</f>
        <v>Turdus leucomelas</v>
      </c>
      <c r="H12265" s="6" t="str">
        <f>VLOOKUP(E12265,dicionario!$A$1:$C12664,3,0)</f>
        <v>sabiá-barranco</v>
      </c>
    </row>
    <row r="12266">
      <c r="A12266" s="3">
        <v>45869.0</v>
      </c>
      <c r="B12266" s="4">
        <v>0.2923611111111111</v>
      </c>
      <c r="C12266" s="5" t="s">
        <v>50</v>
      </c>
      <c r="D12266" s="5" t="s">
        <v>1686</v>
      </c>
      <c r="E12266" s="6" t="s">
        <v>251</v>
      </c>
      <c r="F12266" s="5" t="s">
        <v>252</v>
      </c>
      <c r="G12266" s="6" t="str">
        <f>VLOOKUP(E12266,dicionario!$A$1:$C12665,2,0)</f>
        <v>Struthanthus flexicaulis</v>
      </c>
      <c r="H12266" s="6" t="str">
        <f>VLOOKUP(E12266,dicionario!$A$1:$C12665,3,0)</f>
        <v>erva-de-passarinho</v>
      </c>
    </row>
    <row r="12267">
      <c r="A12267" s="3">
        <v>45869.0</v>
      </c>
      <c r="B12267" s="4">
        <v>0.29305555555555557</v>
      </c>
      <c r="C12267" s="5" t="s">
        <v>50</v>
      </c>
      <c r="D12267" s="5" t="s">
        <v>1686</v>
      </c>
      <c r="E12267" s="6" t="s">
        <v>177</v>
      </c>
      <c r="F12267" s="5" t="s">
        <v>178</v>
      </c>
      <c r="G12267" s="6" t="str">
        <f>VLOOKUP(E12267,dicionario!$A$1:$C12666,2,0)</f>
        <v>Elaenia flavogaster</v>
      </c>
      <c r="H12267" s="6" t="str">
        <f>VLOOKUP(E12267,dicionario!$A$1:$C12666,3,0)</f>
        <v>guaracava-de-barriga-amarela</v>
      </c>
    </row>
    <row r="12268">
      <c r="A12268" s="3">
        <v>45869.0</v>
      </c>
      <c r="B12268" s="4">
        <v>0.29305555555555557</v>
      </c>
      <c r="C12268" s="5" t="s">
        <v>50</v>
      </c>
      <c r="D12268" s="5" t="s">
        <v>1686</v>
      </c>
      <c r="E12268" s="9" t="s">
        <v>105</v>
      </c>
      <c r="F12268" s="5" t="s">
        <v>106</v>
      </c>
      <c r="G12268" s="6" t="str">
        <f>VLOOKUP(E12268,dicionario!$A$1:$C12667,2,0)</f>
        <v>Progne tapera</v>
      </c>
      <c r="H12268" s="6" t="str">
        <f>VLOOKUP(E12268,dicionario!$A$1:$C12667,3,0)</f>
        <v>andorinha-do-campo</v>
      </c>
    </row>
    <row r="12269">
      <c r="A12269" s="3">
        <v>45869.0</v>
      </c>
      <c r="B12269" s="4">
        <v>0.29375</v>
      </c>
      <c r="C12269" s="5" t="s">
        <v>50</v>
      </c>
      <c r="D12269" s="5" t="s">
        <v>1686</v>
      </c>
      <c r="E12269" s="8" t="s">
        <v>338</v>
      </c>
      <c r="F12269" s="5" t="s">
        <v>238</v>
      </c>
      <c r="G12269" s="6" t="str">
        <f>VLOOKUP(E12269,dicionario!$A$1:$C12668,2,0)</f>
        <v>Atta</v>
      </c>
      <c r="H12269" s="6" t="str">
        <f>VLOOKUP(E12269,dicionario!$A$1:$C12668,3,0)</f>
        <v>saúva</v>
      </c>
    </row>
    <row r="12270">
      <c r="A12270" s="3">
        <v>45869.0</v>
      </c>
      <c r="B12270" s="4">
        <v>0.29444444444444445</v>
      </c>
      <c r="C12270" s="5" t="s">
        <v>50</v>
      </c>
      <c r="D12270" s="5" t="s">
        <v>1686</v>
      </c>
      <c r="E12270" s="6" t="s">
        <v>22</v>
      </c>
      <c r="F12270" s="5" t="s">
        <v>97</v>
      </c>
      <c r="G12270" s="6" t="str">
        <f>VLOOKUP(E12270,dicionario!$A$1:$C12669,2,0)</f>
        <v>Zenaida auriculata</v>
      </c>
      <c r="H12270" s="6" t="str">
        <f>VLOOKUP(E12270,dicionario!$A$1:$C12669,3,0)</f>
        <v>pomba-de-bando; avoante</v>
      </c>
    </row>
    <row r="12271">
      <c r="A12271" s="3">
        <v>45869.0</v>
      </c>
      <c r="B12271" s="4">
        <v>0.2951388888888889</v>
      </c>
      <c r="C12271" s="5" t="s">
        <v>50</v>
      </c>
      <c r="D12271" s="5" t="s">
        <v>1686</v>
      </c>
      <c r="E12271" s="6" t="s">
        <v>122</v>
      </c>
      <c r="F12271" s="5" t="s">
        <v>123</v>
      </c>
      <c r="G12271" s="6" t="str">
        <f>VLOOKUP(E12271,dicionario!$A$1:$C12670,2,0)</f>
        <v>Todirostrum cinereum</v>
      </c>
      <c r="H12271" s="6" t="str">
        <f>VLOOKUP(E12271,dicionario!$A$1:$C12670,3,0)</f>
        <v>ferreirinho-relógio</v>
      </c>
    </row>
    <row r="12272">
      <c r="A12272" s="3">
        <v>45869.0</v>
      </c>
      <c r="B12272" s="4">
        <v>0.2965277777777778</v>
      </c>
      <c r="C12272" s="5" t="s">
        <v>50</v>
      </c>
      <c r="D12272" s="5" t="s">
        <v>1686</v>
      </c>
      <c r="E12272" s="8" t="s">
        <v>38</v>
      </c>
      <c r="F12272" s="5" t="s">
        <v>39</v>
      </c>
      <c r="G12272" s="6" t="str">
        <f>VLOOKUP(E12272,dicionario!$A$1:$C12671,2,0)</f>
        <v>Troglodytes musculus</v>
      </c>
      <c r="H12272" s="6" t="str">
        <f>VLOOKUP(E12272,dicionario!$A$1:$C12671,3,0)</f>
        <v>curruíra</v>
      </c>
    </row>
    <row r="12273">
      <c r="A12273" s="3">
        <v>45869.0</v>
      </c>
      <c r="B12273" s="4">
        <v>0.2965277777777778</v>
      </c>
      <c r="C12273" s="5" t="s">
        <v>50</v>
      </c>
      <c r="D12273" s="5" t="s">
        <v>1686</v>
      </c>
      <c r="E12273" s="6" t="s">
        <v>55</v>
      </c>
      <c r="F12273" s="5" t="s">
        <v>621</v>
      </c>
      <c r="G12273" s="6" t="str">
        <f>VLOOKUP(E12273,dicionario!$A$1:$C12672,2,0)</f>
        <v>Cubaris murina</v>
      </c>
      <c r="H12273" s="6" t="str">
        <f>VLOOKUP(E12273,dicionario!$A$1:$C12672,3,0)</f>
        <v>tatuzinho-de-jardim</v>
      </c>
    </row>
    <row r="12274">
      <c r="A12274" s="3">
        <v>45869.0</v>
      </c>
      <c r="B12274" s="4">
        <v>0.2972222222222222</v>
      </c>
      <c r="C12274" s="5" t="s">
        <v>50</v>
      </c>
      <c r="D12274" s="5" t="s">
        <v>1686</v>
      </c>
      <c r="E12274" s="6" t="s">
        <v>225</v>
      </c>
      <c r="F12274" s="5" t="s">
        <v>226</v>
      </c>
      <c r="G12274" s="6" t="str">
        <f>VLOOKUP(E12274,dicionario!$A$1:$C12673,2,0)</f>
        <v>Passer domesticus</v>
      </c>
      <c r="H12274" s="6" t="str">
        <f>VLOOKUP(E12274,dicionario!$A$1:$C12673,3,0)</f>
        <v>pardal</v>
      </c>
    </row>
    <row r="12275">
      <c r="A12275" s="3">
        <v>45869.0</v>
      </c>
      <c r="B12275" s="4">
        <v>0.2972222222222222</v>
      </c>
      <c r="C12275" s="5" t="s">
        <v>50</v>
      </c>
      <c r="D12275" s="5" t="s">
        <v>1686</v>
      </c>
      <c r="E12275" s="6" t="s">
        <v>148</v>
      </c>
      <c r="F12275" s="5" t="s">
        <v>149</v>
      </c>
      <c r="G12275" s="6" t="str">
        <f>VLOOKUP(E12275,dicionario!$A$1:$C12674,2,0)</f>
        <v>Parthenium hysterophorus</v>
      </c>
      <c r="H12275" s="6" t="str">
        <f>VLOOKUP(E12275,dicionario!$A$1:$C12674,3,0)</f>
        <v>losna-branca</v>
      </c>
    </row>
    <row r="12276">
      <c r="A12276" s="3">
        <v>45869.0</v>
      </c>
      <c r="B12276" s="4">
        <v>0.2972222222222222</v>
      </c>
      <c r="C12276" s="5" t="s">
        <v>50</v>
      </c>
      <c r="D12276" s="5" t="s">
        <v>1686</v>
      </c>
      <c r="E12276" s="8" t="s">
        <v>200</v>
      </c>
      <c r="F12276" s="5" t="s">
        <v>201</v>
      </c>
      <c r="G12276" s="6" t="str">
        <f>VLOOKUP(E12276,dicionario!$A$1:$C12675,2,0)</f>
        <v>Columbina picui </v>
      </c>
      <c r="H12276" s="6" t="str">
        <f>VLOOKUP(E12276,dicionario!$A$1:$C12675,3,0)</f>
        <v>rolinha-picuí</v>
      </c>
    </row>
    <row r="12277">
      <c r="A12277" s="3">
        <v>45869.0</v>
      </c>
      <c r="B12277" s="4">
        <v>0.2972222222222222</v>
      </c>
      <c r="C12277" s="5" t="s">
        <v>50</v>
      </c>
      <c r="D12277" s="5" t="s">
        <v>1686</v>
      </c>
      <c r="E12277" s="6" t="s">
        <v>696</v>
      </c>
      <c r="F12277" s="5" t="s">
        <v>619</v>
      </c>
      <c r="G12277" s="6" t="str">
        <f>VLOOKUP(E12277,dicionario!$A$1:$C12676,2,0)</f>
        <v>Gryne</v>
      </c>
      <c r="H12277" s="6" t="str">
        <f>VLOOKUP(E12277,dicionario!$A$1:$C12676,3,0)</f>
        <v>opilião</v>
      </c>
    </row>
    <row r="12278">
      <c r="A12278" s="3">
        <v>45869.0</v>
      </c>
      <c r="B12278" s="4">
        <v>0.2972222222222222</v>
      </c>
      <c r="C12278" s="5" t="s">
        <v>50</v>
      </c>
      <c r="D12278" s="5" t="s">
        <v>1686</v>
      </c>
      <c r="E12278" s="8" t="s">
        <v>693</v>
      </c>
      <c r="F12278" s="5" t="s">
        <v>1162</v>
      </c>
      <c r="G12278" s="6" t="str">
        <f>VLOOKUP(E12278,dicionario!$A$1:$C12677,2,0)</f>
        <v>Sarasinula plebeia</v>
      </c>
      <c r="H12278" s="6" t="str">
        <f>VLOOKUP(E12278,dicionario!$A$1:$C12677,3,0)</f>
        <v>lesma-feijão</v>
      </c>
    </row>
    <row r="12279">
      <c r="A12279" s="3">
        <v>45869.0</v>
      </c>
      <c r="B12279" s="4">
        <v>0.30069444444444443</v>
      </c>
      <c r="C12279" s="5" t="s">
        <v>59</v>
      </c>
      <c r="D12279" s="5" t="s">
        <v>1686</v>
      </c>
      <c r="E12279" s="6" t="s">
        <v>296</v>
      </c>
      <c r="F12279" s="5" t="s">
        <v>297</v>
      </c>
      <c r="G12279" s="6" t="str">
        <f>VLOOKUP(E12279,dicionario!$A$1:$C12678,2,0)</f>
        <v>Richardia brasiliensis</v>
      </c>
      <c r="H12279" s="6" t="str">
        <f>VLOOKUP(E12279,dicionario!$A$1:$C12678,3,0)</f>
        <v>poaia-branca</v>
      </c>
    </row>
    <row r="12280">
      <c r="A12280" s="3">
        <v>45869.0</v>
      </c>
      <c r="B12280" s="4">
        <v>0.30069444444444443</v>
      </c>
      <c r="C12280" s="5" t="s">
        <v>59</v>
      </c>
      <c r="D12280" s="5" t="s">
        <v>1686</v>
      </c>
      <c r="E12280" s="6" t="s">
        <v>148</v>
      </c>
      <c r="F12280" s="5" t="s">
        <v>149</v>
      </c>
      <c r="G12280" s="6" t="str">
        <f>VLOOKUP(E12280,dicionario!$A$1:$C12679,2,0)</f>
        <v>Parthenium hysterophorus</v>
      </c>
      <c r="H12280" s="6" t="str">
        <f>VLOOKUP(E12280,dicionario!$A$1:$C12679,3,0)</f>
        <v>losna-branca</v>
      </c>
    </row>
    <row r="12281">
      <c r="A12281" s="3">
        <v>45869.0</v>
      </c>
      <c r="B12281" s="4">
        <v>0.30069444444444443</v>
      </c>
      <c r="C12281" s="5" t="s">
        <v>59</v>
      </c>
      <c r="D12281" s="5" t="s">
        <v>1686</v>
      </c>
      <c r="E12281" s="6" t="s">
        <v>146</v>
      </c>
      <c r="F12281" s="5" t="s">
        <v>147</v>
      </c>
      <c r="G12281" s="6" t="str">
        <f>VLOOKUP(E12281,dicionario!$A$1:$C12680,2,0)</f>
        <v>Euphorbia hirta</v>
      </c>
      <c r="H12281" s="6" t="str">
        <f>VLOOKUP(E12281,dicionario!$A$1:$C12680,3,0)</f>
        <v>erva-de-santa-luzia</v>
      </c>
    </row>
    <row r="12282">
      <c r="A12282" s="3">
        <v>45869.0</v>
      </c>
      <c r="B12282" s="4">
        <v>0.3020833333333333</v>
      </c>
      <c r="C12282" s="5" t="s">
        <v>59</v>
      </c>
      <c r="D12282" s="5" t="s">
        <v>1686</v>
      </c>
      <c r="E12282" s="6" t="s">
        <v>334</v>
      </c>
      <c r="F12282" s="5" t="s">
        <v>335</v>
      </c>
      <c r="G12282" s="6" t="str">
        <f>VLOOKUP(E12282,dicionario!$A$1:$C12681,2,0)</f>
        <v>Eupsittula aurea</v>
      </c>
      <c r="H12282" s="6" t="str">
        <f>VLOOKUP(E12282,dicionario!$A$1:$C12681,3,0)</f>
        <v>periquito-rei</v>
      </c>
    </row>
    <row r="12283">
      <c r="A12283" s="3">
        <v>45869.0</v>
      </c>
      <c r="B12283" s="4">
        <v>0.30277777777777776</v>
      </c>
      <c r="C12283" s="5" t="s">
        <v>59</v>
      </c>
      <c r="D12283" s="5" t="s">
        <v>1686</v>
      </c>
      <c r="E12283" s="8" t="s">
        <v>109</v>
      </c>
      <c r="F12283" s="5" t="s">
        <v>1418</v>
      </c>
      <c r="G12283" s="6" t="str">
        <f>VLOOKUP(E12283,dicionario!$A$1:$C12682,2,0)</f>
        <v>Tillandsia stricta</v>
      </c>
      <c r="H12283" s="6" t="str">
        <f>VLOOKUP(E12283,dicionario!$A$1:$C12682,3,0)</f>
        <v>cravo-do-mato</v>
      </c>
    </row>
    <row r="12284">
      <c r="A12284" s="3">
        <v>45869.0</v>
      </c>
      <c r="B12284" s="4">
        <v>0.30277777777777776</v>
      </c>
      <c r="C12284" s="5" t="s">
        <v>59</v>
      </c>
      <c r="D12284" s="5" t="s">
        <v>1686</v>
      </c>
      <c r="E12284" s="8" t="s">
        <v>1167</v>
      </c>
      <c r="F12284" s="61" t="s">
        <v>1168</v>
      </c>
      <c r="G12284" s="6" t="str">
        <f>VLOOKUP(E12284,dicionario!$A$1:$C12683,2,0)</f>
        <v>Tillandsia recurvata</v>
      </c>
      <c r="H12284" s="6" t="str">
        <f>VLOOKUP(E12284,dicionario!$A$1:$C12683,3,0)</f>
        <v>cravo-do-mato sp2</v>
      </c>
    </row>
    <row r="12285">
      <c r="A12285" s="3">
        <v>45869.0</v>
      </c>
      <c r="B12285" s="4">
        <v>0.30277777777777776</v>
      </c>
      <c r="C12285" s="5" t="s">
        <v>59</v>
      </c>
      <c r="D12285" s="5" t="s">
        <v>1686</v>
      </c>
      <c r="E12285" s="65" t="s">
        <v>1632</v>
      </c>
      <c r="F12285" s="61" t="s">
        <v>1633</v>
      </c>
      <c r="G12285" s="6" t="str">
        <f>VLOOKUP(E12285,dicionario!$A$1:$C12684,2,0)</f>
        <v>Tillandsia loliacea</v>
      </c>
      <c r="H12285" s="6" t="str">
        <f>VLOOKUP(E12285,dicionario!$A$1:$C12684,3,0)</f>
        <v>cravo-do-mato sp4</v>
      </c>
    </row>
    <row r="12286">
      <c r="A12286" s="3">
        <v>45869.0</v>
      </c>
      <c r="B12286" s="4">
        <v>0.30277777777777776</v>
      </c>
      <c r="C12286" s="5" t="s">
        <v>59</v>
      </c>
      <c r="D12286" s="5" t="s">
        <v>1686</v>
      </c>
      <c r="E12286" s="65" t="s">
        <v>1691</v>
      </c>
      <c r="F12286" s="61" t="s">
        <v>1692</v>
      </c>
      <c r="G12286" s="6" t="str">
        <f>VLOOKUP(E12286,dicionario!$A$1:$C12685,2,0)</f>
        <v>Tillandsia gardneri</v>
      </c>
      <c r="H12286" s="6" t="str">
        <f>VLOOKUP(E12286,dicionario!$A$1:$C12685,3,0)</f>
        <v>cravo-do-mato sp5</v>
      </c>
    </row>
    <row r="12287">
      <c r="A12287" s="3">
        <v>45869.0</v>
      </c>
      <c r="B12287" s="4">
        <v>0.30277777777777776</v>
      </c>
      <c r="C12287" s="5" t="s">
        <v>59</v>
      </c>
      <c r="D12287" s="5" t="s">
        <v>1686</v>
      </c>
      <c r="E12287" s="8" t="s">
        <v>909</v>
      </c>
      <c r="F12287" s="5" t="s">
        <v>910</v>
      </c>
      <c r="G12287" s="6" t="str">
        <f>VLOOKUP(E12287,dicionario!$A$1:$C12686,2,0)</f>
        <v>Chordeiles acutipennis</v>
      </c>
      <c r="H12287" s="6" t="str">
        <f>VLOOKUP(E12287,dicionario!$A$1:$C12686,3,0)</f>
        <v>bacurau-de-asa-fina</v>
      </c>
    </row>
    <row r="12288">
      <c r="A12288" s="3">
        <v>45869.0</v>
      </c>
      <c r="B12288" s="4">
        <v>0.30277777777777776</v>
      </c>
      <c r="C12288" s="5" t="s">
        <v>59</v>
      </c>
      <c r="D12288" s="5" t="s">
        <v>1686</v>
      </c>
      <c r="E12288" s="6" t="s">
        <v>191</v>
      </c>
      <c r="F12288" s="5" t="s">
        <v>192</v>
      </c>
      <c r="G12288" s="6" t="str">
        <f>VLOOKUP(E12288,dicionario!$A$1:$C12687,2,0)</f>
        <v>Patagioenas picazuro</v>
      </c>
      <c r="H12288" s="6" t="str">
        <f>VLOOKUP(E12288,dicionario!$A$1:$C12687,3,0)</f>
        <v>asa-branca; pomba-asa-branca; pocaçu</v>
      </c>
    </row>
    <row r="12289">
      <c r="A12289" s="3">
        <v>45869.0</v>
      </c>
      <c r="B12289" s="4">
        <v>0.3034722222222222</v>
      </c>
      <c r="C12289" s="5" t="s">
        <v>59</v>
      </c>
      <c r="D12289" s="5" t="s">
        <v>1686</v>
      </c>
      <c r="E12289" s="8" t="s">
        <v>135</v>
      </c>
      <c r="F12289" s="5" t="s">
        <v>136</v>
      </c>
      <c r="G12289" s="6" t="str">
        <f>VLOOKUP(E12289,dicionario!$A$1:$C12688,2,0)</f>
        <v>Tridax procumbens</v>
      </c>
      <c r="H12289" s="6" t="str">
        <f>VLOOKUP(E12289,dicionario!$A$1:$C12688,3,0)</f>
        <v>erva-de-touro</v>
      </c>
    </row>
    <row r="12290">
      <c r="A12290" s="3">
        <v>45869.0</v>
      </c>
      <c r="B12290" s="4">
        <v>0.3034722222222222</v>
      </c>
      <c r="C12290" s="5" t="s">
        <v>59</v>
      </c>
      <c r="D12290" s="5" t="s">
        <v>1686</v>
      </c>
      <c r="E12290" s="8" t="s">
        <v>1127</v>
      </c>
      <c r="F12290" s="5" t="s">
        <v>1128</v>
      </c>
      <c r="G12290" s="6" t="str">
        <f>VLOOKUP(E12290,dicionario!$A$1:$C12689,2,0)</f>
        <v>Albizia lebbeck</v>
      </c>
      <c r="H12290" s="6" t="str">
        <f>VLOOKUP(E12290,dicionario!$A$1:$C12689,3,0)</f>
        <v>albízia</v>
      </c>
    </row>
    <row r="12291">
      <c r="A12291" s="3">
        <v>45869.0</v>
      </c>
      <c r="B12291" s="4">
        <v>0.30416666666666664</v>
      </c>
      <c r="C12291" s="5" t="s">
        <v>59</v>
      </c>
      <c r="D12291" s="5" t="s">
        <v>1686</v>
      </c>
      <c r="E12291" s="8" t="s">
        <v>122</v>
      </c>
      <c r="F12291" s="5" t="s">
        <v>911</v>
      </c>
      <c r="G12291" s="6" t="str">
        <f>VLOOKUP(E12291,dicionario!$A$1:$C12690,2,0)</f>
        <v>Todirostrum cinereum</v>
      </c>
      <c r="H12291" s="6" t="str">
        <f>VLOOKUP(E12291,dicionario!$A$1:$C12690,3,0)</f>
        <v>ferreirinho-relógio</v>
      </c>
    </row>
    <row r="12292">
      <c r="A12292" s="3">
        <v>45869.0</v>
      </c>
      <c r="B12292" s="4">
        <v>0.30416666666666664</v>
      </c>
      <c r="C12292" s="5" t="s">
        <v>59</v>
      </c>
      <c r="D12292" s="5" t="s">
        <v>1686</v>
      </c>
      <c r="E12292" s="8" t="s">
        <v>712</v>
      </c>
      <c r="F12292" s="5" t="s">
        <v>912</v>
      </c>
      <c r="G12292" s="6" t="str">
        <f>VLOOKUP(E12292,dicionario!$A$1:$C12691,2,0)</f>
        <v>Flavopunctelia soredica</v>
      </c>
      <c r="H12292" s="6" t="str">
        <f>VLOOKUP(E12292,dicionario!$A$1:$C12691,3,0)</f>
        <v>líquen-folioso</v>
      </c>
    </row>
    <row r="12293">
      <c r="A12293" s="3">
        <v>45869.0</v>
      </c>
      <c r="B12293" s="4">
        <v>0.30416666666666664</v>
      </c>
      <c r="C12293" s="5" t="s">
        <v>59</v>
      </c>
      <c r="D12293" s="5" t="s">
        <v>1686</v>
      </c>
      <c r="E12293" s="11" t="s">
        <v>107</v>
      </c>
      <c r="F12293" s="5" t="s">
        <v>1693</v>
      </c>
      <c r="G12293" s="6" t="str">
        <f>VLOOKUP(E12293,dicionario!$A$1:$C12692,2,0)</f>
        <v>Ramalina complanata</v>
      </c>
      <c r="H12293" s="6" t="str">
        <f>VLOOKUP(E12293,dicionario!$A$1:$C12692,3,0)</f>
        <v>ramalina</v>
      </c>
    </row>
    <row r="12294">
      <c r="A12294" s="3">
        <v>45869.0</v>
      </c>
      <c r="B12294" s="4">
        <v>0.30416666666666664</v>
      </c>
      <c r="C12294" s="5" t="s">
        <v>59</v>
      </c>
      <c r="D12294" s="5" t="s">
        <v>1686</v>
      </c>
      <c r="E12294" s="8" t="s">
        <v>752</v>
      </c>
      <c r="F12294" s="5" t="s">
        <v>969</v>
      </c>
      <c r="G12294" s="6" t="str">
        <f>VLOOKUP(E12294,dicionario!$A$1:$C12693,2,0)</f>
        <v>#N/A</v>
      </c>
      <c r="H12294" s="6" t="str">
        <f>VLOOKUP(E12294,dicionario!$A$1:$C12693,3,0)</f>
        <v>#N/A</v>
      </c>
    </row>
    <row r="12295">
      <c r="A12295" s="3">
        <v>45869.0</v>
      </c>
      <c r="B12295" s="4">
        <v>0.30416666666666664</v>
      </c>
      <c r="C12295" s="5" t="s">
        <v>59</v>
      </c>
      <c r="D12295" s="5" t="s">
        <v>1686</v>
      </c>
      <c r="E12295" s="6" t="s">
        <v>14</v>
      </c>
      <c r="F12295" s="5" t="s">
        <v>15</v>
      </c>
      <c r="G12295" s="6" t="str">
        <f>VLOOKUP(E12295,dicionario!$A$1:$C12694,2,0)</f>
        <v>Spermacoce verticillata</v>
      </c>
      <c r="H12295" s="6" t="str">
        <f>VLOOKUP(E12295,dicionario!$A$1:$C12694,3,0)</f>
        <v>vassourinha-de-botão</v>
      </c>
    </row>
    <row r="12296">
      <c r="A12296" s="3">
        <v>45869.0</v>
      </c>
      <c r="B12296" s="4">
        <v>0.30416666666666664</v>
      </c>
      <c r="C12296" s="5" t="s">
        <v>59</v>
      </c>
      <c r="D12296" s="5" t="s">
        <v>1686</v>
      </c>
      <c r="E12296" s="6" t="s">
        <v>227</v>
      </c>
      <c r="F12296" s="5" t="s">
        <v>228</v>
      </c>
      <c r="G12296" s="6" t="str">
        <f>VLOOKUP(E12296,dicionario!$A$1:$C12695,2,0)</f>
        <v>Indigofera hirsuta</v>
      </c>
      <c r="H12296" s="6" t="str">
        <f>VLOOKUP(E12296,dicionario!$A$1:$C12695,3,0)</f>
        <v>anileira</v>
      </c>
    </row>
    <row r="12297">
      <c r="A12297" s="3">
        <v>45869.0</v>
      </c>
      <c r="B12297" s="4">
        <v>0.30416666666666664</v>
      </c>
      <c r="C12297" s="5" t="s">
        <v>59</v>
      </c>
      <c r="D12297" s="5" t="s">
        <v>1686</v>
      </c>
      <c r="E12297" s="6" t="s">
        <v>65</v>
      </c>
      <c r="F12297" s="5" t="s">
        <v>66</v>
      </c>
      <c r="G12297" s="6" t="str">
        <f>VLOOKUP(E12297,dicionario!$A$1:$C12696,2,0)</f>
        <v>Pitangus sulphutarus</v>
      </c>
      <c r="H12297" s="6" t="str">
        <f>VLOOKUP(E12297,dicionario!$A$1:$C12696,3,0)</f>
        <v>bem-te-vi</v>
      </c>
    </row>
    <row r="12298">
      <c r="A12298" s="3">
        <v>45869.0</v>
      </c>
      <c r="B12298" s="4">
        <v>0.30416666666666664</v>
      </c>
      <c r="C12298" s="5" t="s">
        <v>59</v>
      </c>
      <c r="D12298" s="5" t="s">
        <v>1686</v>
      </c>
      <c r="E12298" s="8" t="s">
        <v>298</v>
      </c>
      <c r="F12298" s="5"/>
      <c r="G12298" s="6" t="str">
        <f>VLOOKUP(E12298,dicionario!$A$1:$C12697,2,0)</f>
        <v>Alysicarpus vaginalis</v>
      </c>
      <c r="H12298" s="6" t="str">
        <f>VLOOKUP(E12298,dicionario!$A$1:$C12697,3,0)</f>
        <v/>
      </c>
    </row>
    <row r="12299">
      <c r="A12299" s="3">
        <v>45869.0</v>
      </c>
      <c r="B12299" s="4">
        <v>0.30486111111111114</v>
      </c>
      <c r="C12299" s="5" t="s">
        <v>59</v>
      </c>
      <c r="D12299" s="5" t="s">
        <v>1686</v>
      </c>
      <c r="E12299" s="6" t="s">
        <v>467</v>
      </c>
      <c r="F12299" s="5" t="s">
        <v>468</v>
      </c>
      <c r="G12299" s="6" t="str">
        <f>VLOOKUP(E12299,dicionario!$A$1:$C12698,2,0)</f>
        <v>Eleusine indica</v>
      </c>
      <c r="H12299" s="6" t="str">
        <f>VLOOKUP(E12299,dicionario!$A$1:$C12698,3,0)</f>
        <v>capim-pé-de-galinha</v>
      </c>
    </row>
    <row r="12300">
      <c r="A12300" s="3">
        <v>45869.0</v>
      </c>
      <c r="B12300" s="4">
        <v>0.30486111111111114</v>
      </c>
      <c r="C12300" s="5" t="s">
        <v>59</v>
      </c>
      <c r="D12300" s="5" t="s">
        <v>1686</v>
      </c>
      <c r="E12300" s="6" t="s">
        <v>253</v>
      </c>
      <c r="F12300" s="5" t="s">
        <v>254</v>
      </c>
      <c r="G12300" s="6" t="str">
        <f>VLOOKUP(E12300,dicionario!$A$1:$C12699,2,0)</f>
        <v>Panicum maximum</v>
      </c>
      <c r="H12300" s="6" t="str">
        <f>VLOOKUP(E12300,dicionario!$A$1:$C12699,3,0)</f>
        <v>capim-colonião</v>
      </c>
    </row>
    <row r="12301">
      <c r="A12301" s="3">
        <v>45869.0</v>
      </c>
      <c r="B12301" s="4">
        <v>0.30486111111111114</v>
      </c>
      <c r="C12301" s="5" t="s">
        <v>59</v>
      </c>
      <c r="D12301" s="5" t="s">
        <v>1686</v>
      </c>
      <c r="E12301" s="6" t="s">
        <v>213</v>
      </c>
      <c r="F12301" s="5" t="s">
        <v>214</v>
      </c>
      <c r="G12301" s="6" t="str">
        <f>VLOOKUP(E12301,dicionario!$A$1:$C12700,2,0)</f>
        <v>Myiozetetes similis</v>
      </c>
      <c r="H12301" s="6" t="str">
        <f>VLOOKUP(E12301,dicionario!$A$1:$C12700,3,0)</f>
        <v>bentevizinho-de-penacho-vermelho</v>
      </c>
    </row>
    <row r="12302">
      <c r="A12302" s="3">
        <v>45869.0</v>
      </c>
      <c r="B12302" s="4">
        <v>0.3055555555555556</v>
      </c>
      <c r="C12302" s="5" t="s">
        <v>59</v>
      </c>
      <c r="D12302" s="5" t="s">
        <v>1686</v>
      </c>
      <c r="E12302" s="6" t="s">
        <v>53</v>
      </c>
      <c r="F12302" s="5" t="s">
        <v>54</v>
      </c>
      <c r="G12302" s="6" t="str">
        <f>VLOOKUP(E12302,dicionario!$A$1:$C12701,2,0)</f>
        <v>Turnera subulata</v>
      </c>
      <c r="H12302" s="6" t="str">
        <f>VLOOKUP(E12302,dicionario!$A$1:$C12701,3,0)</f>
        <v>xanana</v>
      </c>
    </row>
    <row r="12303">
      <c r="A12303" s="3">
        <v>45869.0</v>
      </c>
      <c r="B12303" s="4">
        <v>0.3055555555555556</v>
      </c>
      <c r="C12303" s="5" t="s">
        <v>59</v>
      </c>
      <c r="D12303" s="5" t="s">
        <v>1686</v>
      </c>
      <c r="E12303" s="8" t="s">
        <v>271</v>
      </c>
      <c r="F12303" s="5" t="s">
        <v>272</v>
      </c>
      <c r="G12303" s="6" t="str">
        <f>VLOOKUP(E12303,dicionario!$A$1:$C12702,2,0)</f>
        <v>Cyanthillium cinereum</v>
      </c>
      <c r="H12303" s="6" t="str">
        <f>VLOOKUP(E12303,dicionario!$A$1:$C12702,3,0)</f>
        <v>emília</v>
      </c>
    </row>
    <row r="12304">
      <c r="A12304" s="3">
        <v>45869.0</v>
      </c>
      <c r="B12304" s="4">
        <v>0.3055555555555556</v>
      </c>
      <c r="C12304" s="5" t="s">
        <v>59</v>
      </c>
      <c r="D12304" s="5" t="s">
        <v>1686</v>
      </c>
      <c r="E12304" s="6" t="s">
        <v>225</v>
      </c>
      <c r="F12304" s="5" t="s">
        <v>226</v>
      </c>
      <c r="G12304" s="6" t="str">
        <f>VLOOKUP(E12304,dicionario!$A$1:$C12703,2,0)</f>
        <v>Passer domesticus</v>
      </c>
      <c r="H12304" s="6" t="str">
        <f>VLOOKUP(E12304,dicionario!$A$1:$C12703,3,0)</f>
        <v>pardal</v>
      </c>
    </row>
    <row r="12305">
      <c r="A12305" s="3">
        <v>45869.0</v>
      </c>
      <c r="B12305" s="4">
        <v>0.3055555555555556</v>
      </c>
      <c r="C12305" s="5" t="s">
        <v>59</v>
      </c>
      <c r="D12305" s="5" t="s">
        <v>1686</v>
      </c>
      <c r="E12305" s="6" t="s">
        <v>88</v>
      </c>
      <c r="F12305" s="5" t="s">
        <v>89</v>
      </c>
      <c r="G12305" s="6" t="str">
        <f>VLOOKUP(E12305,dicionario!$A$1:$C12704,2,0)</f>
        <v>Tyrannus melancolichus</v>
      </c>
      <c r="H12305" s="6" t="str">
        <f>VLOOKUP(E12305,dicionario!$A$1:$C12704,3,0)</f>
        <v>suiriri</v>
      </c>
    </row>
    <row r="12306">
      <c r="A12306" s="3">
        <v>45869.0</v>
      </c>
      <c r="B12306" s="4">
        <v>0.3055555555555556</v>
      </c>
      <c r="C12306" s="5" t="s">
        <v>59</v>
      </c>
      <c r="D12306" s="5" t="s">
        <v>1686</v>
      </c>
      <c r="E12306" s="8" t="s">
        <v>366</v>
      </c>
      <c r="F12306" s="5" t="s">
        <v>367</v>
      </c>
      <c r="G12306" s="6" t="str">
        <f>VLOOKUP(E12306,dicionario!$A$1:$C12705,2,0)</f>
        <v>Alternanthera ficoidea</v>
      </c>
      <c r="H12306" s="6" t="str">
        <f>VLOOKUP(E12306,dicionario!$A$1:$C12705,3,0)</f>
        <v>quebra-panela</v>
      </c>
    </row>
    <row r="12307">
      <c r="A12307" s="3">
        <v>45869.0</v>
      </c>
      <c r="B12307" s="4">
        <v>0.30625</v>
      </c>
      <c r="C12307" s="5" t="s">
        <v>59</v>
      </c>
      <c r="D12307" s="5" t="s">
        <v>1686</v>
      </c>
      <c r="E12307" s="8" t="s">
        <v>858</v>
      </c>
      <c r="F12307" s="5" t="s">
        <v>859</v>
      </c>
      <c r="G12307" s="6" t="str">
        <f>VLOOKUP(E12307,dicionario!$A$1:$C12706,2,0)</f>
        <v>Rumex obtusifolius</v>
      </c>
      <c r="H12307" s="6" t="str">
        <f>VLOOKUP(E12307,dicionario!$A$1:$C12706,3,0)</f>
        <v>lingua-de-vaca</v>
      </c>
    </row>
    <row r="12308">
      <c r="A12308" s="3">
        <v>45869.0</v>
      </c>
      <c r="B12308" s="4">
        <v>0.3076388888888889</v>
      </c>
      <c r="C12308" s="5" t="s">
        <v>59</v>
      </c>
      <c r="D12308" s="5" t="s">
        <v>1686</v>
      </c>
      <c r="E12308" s="6" t="s">
        <v>489</v>
      </c>
      <c r="F12308" s="5" t="s">
        <v>521</v>
      </c>
      <c r="G12308" s="6" t="str">
        <f>VLOOKUP(E12308,dicionario!$A$1:$C12707,2,0)</f>
        <v>Cenchrus echinatus</v>
      </c>
      <c r="H12308" s="6" t="str">
        <f>VLOOKUP(E12308,dicionario!$A$1:$C12707,3,0)</f>
        <v>capim-carrapicho</v>
      </c>
    </row>
    <row r="12309">
      <c r="A12309" s="3">
        <v>45869.0</v>
      </c>
      <c r="B12309" s="4">
        <v>0.3076388888888889</v>
      </c>
      <c r="C12309" s="5" t="s">
        <v>59</v>
      </c>
      <c r="D12309" s="5" t="s">
        <v>1686</v>
      </c>
      <c r="E12309" s="6" t="s">
        <v>150</v>
      </c>
      <c r="F12309" s="5" t="s">
        <v>151</v>
      </c>
      <c r="G12309" s="6" t="str">
        <f>VLOOKUP(E12309,dicionario!$A$1:$C12708,2,0)</f>
        <v>Amaranthus viridis</v>
      </c>
      <c r="H12309" s="6" t="str">
        <f>VLOOKUP(E12309,dicionario!$A$1:$C12708,3,0)</f>
        <v>caruru-de-mancha</v>
      </c>
    </row>
    <row r="12310">
      <c r="A12310" s="3">
        <v>45869.0</v>
      </c>
      <c r="B12310" s="4">
        <v>0.3076388888888889</v>
      </c>
      <c r="C12310" s="5" t="s">
        <v>59</v>
      </c>
      <c r="D12310" s="5" t="s">
        <v>1686</v>
      </c>
      <c r="E12310" s="6" t="s">
        <v>148</v>
      </c>
      <c r="F12310" s="5" t="s">
        <v>149</v>
      </c>
      <c r="G12310" s="6" t="str">
        <f>VLOOKUP(E12310,dicionario!$A$1:$C12709,2,0)</f>
        <v>Parthenium hysterophorus</v>
      </c>
      <c r="H12310" s="6" t="str">
        <f>VLOOKUP(E12310,dicionario!$A$1:$C12709,3,0)</f>
        <v>losna-branca</v>
      </c>
    </row>
    <row r="12311">
      <c r="A12311" s="3">
        <v>45869.0</v>
      </c>
      <c r="B12311" s="4">
        <v>0.3090277777777778</v>
      </c>
      <c r="C12311" s="5" t="s">
        <v>64</v>
      </c>
      <c r="D12311" s="5" t="s">
        <v>1686</v>
      </c>
      <c r="E12311" s="6" t="s">
        <v>195</v>
      </c>
      <c r="F12311" s="5" t="s">
        <v>196</v>
      </c>
      <c r="G12311" s="6" t="str">
        <f>VLOOKUP(E12311,dicionario!$A$1:$C12710,2,0)</f>
        <v>Priva lappulacea</v>
      </c>
      <c r="H12311" s="6" t="str">
        <f>VLOOKUP(E12311,dicionario!$A$1:$C12710,3,0)</f>
        <v>carrapicho</v>
      </c>
    </row>
    <row r="12312">
      <c r="A12312" s="3">
        <v>45869.0</v>
      </c>
      <c r="B12312" s="4">
        <v>0.3090277777777778</v>
      </c>
      <c r="C12312" s="5" t="s">
        <v>64</v>
      </c>
      <c r="D12312" s="5" t="s">
        <v>1686</v>
      </c>
      <c r="E12312" s="6" t="s">
        <v>154</v>
      </c>
      <c r="F12312" s="5" t="s">
        <v>155</v>
      </c>
      <c r="G12312" s="6" t="str">
        <f>VLOOKUP(E12312,dicionario!$A$1:$C12711,2,0)</f>
        <v>Cyperus rotundus</v>
      </c>
      <c r="H12312" s="6" t="str">
        <f>VLOOKUP(E12312,dicionario!$A$1:$C12711,3,0)</f>
        <v>tiririca</v>
      </c>
    </row>
    <row r="12313">
      <c r="A12313" s="3">
        <v>45869.0</v>
      </c>
      <c r="B12313" s="4">
        <v>0.3090277777777778</v>
      </c>
      <c r="C12313" s="5" t="s">
        <v>64</v>
      </c>
      <c r="D12313" s="5" t="s">
        <v>1686</v>
      </c>
      <c r="E12313" s="6" t="s">
        <v>467</v>
      </c>
      <c r="F12313" s="5" t="s">
        <v>468</v>
      </c>
      <c r="G12313" s="6" t="str">
        <f>VLOOKUP(E12313,dicionario!$A$1:$C12712,2,0)</f>
        <v>Eleusine indica</v>
      </c>
      <c r="H12313" s="6" t="str">
        <f>VLOOKUP(E12313,dicionario!$A$1:$C12712,3,0)</f>
        <v>capim-pé-de-galinha</v>
      </c>
    </row>
    <row r="12314">
      <c r="A12314" s="3">
        <v>45869.0</v>
      </c>
      <c r="B12314" s="4">
        <v>0.30972222222222223</v>
      </c>
      <c r="C12314" s="5" t="s">
        <v>64</v>
      </c>
      <c r="D12314" s="5" t="s">
        <v>1686</v>
      </c>
      <c r="E12314" s="8" t="s">
        <v>69</v>
      </c>
      <c r="F12314" s="5" t="s">
        <v>71</v>
      </c>
      <c r="G12314" s="6" t="str">
        <f>VLOOKUP(E12314,dicionario!$A$1:$C12713,2,0)</f>
        <v>Talinum fruticosum</v>
      </c>
      <c r="H12314" s="6" t="str">
        <f>VLOOKUP(E12314,dicionario!$A$1:$C12713,3,0)</f>
        <v>beldroega-grande</v>
      </c>
    </row>
    <row r="12315">
      <c r="A12315" s="3">
        <v>45869.0</v>
      </c>
      <c r="B12315" s="4">
        <v>0.30972222222222223</v>
      </c>
      <c r="C12315" s="5" t="s">
        <v>64</v>
      </c>
      <c r="D12315" s="5" t="s">
        <v>1686</v>
      </c>
      <c r="E12315" s="8" t="s">
        <v>909</v>
      </c>
      <c r="F12315" s="5" t="s">
        <v>910</v>
      </c>
      <c r="G12315" s="6" t="str">
        <f>VLOOKUP(E12315,dicionario!$A$1:$C12714,2,0)</f>
        <v>Chordeiles acutipennis</v>
      </c>
      <c r="H12315" s="6" t="str">
        <f>VLOOKUP(E12315,dicionario!$A$1:$C12714,3,0)</f>
        <v>bacurau-de-asa-fina</v>
      </c>
    </row>
    <row r="12316">
      <c r="A12316" s="3">
        <v>45869.0</v>
      </c>
      <c r="B12316" s="4">
        <v>0.30972222222222223</v>
      </c>
      <c r="C12316" s="5" t="s">
        <v>64</v>
      </c>
      <c r="D12316" s="5" t="s">
        <v>1686</v>
      </c>
      <c r="E12316" s="6" t="s">
        <v>141</v>
      </c>
      <c r="F12316" s="5" t="s">
        <v>142</v>
      </c>
      <c r="G12316" s="6" t="str">
        <f>VLOOKUP(E12316,dicionario!$A$1:$C12715,2,0)</f>
        <v>Ruellia blechum</v>
      </c>
      <c r="H12316" s="6" t="str">
        <f>VLOOKUP(E12316,dicionario!$A$1:$C12715,3,0)</f>
        <v>camarão-verde</v>
      </c>
    </row>
    <row r="12317">
      <c r="A12317" s="3">
        <v>45869.0</v>
      </c>
      <c r="B12317" s="4">
        <v>0.30972222222222223</v>
      </c>
      <c r="C12317" s="5" t="s">
        <v>64</v>
      </c>
      <c r="D12317" s="5" t="s">
        <v>1686</v>
      </c>
      <c r="E12317" s="6" t="s">
        <v>319</v>
      </c>
      <c r="F12317" s="5" t="s">
        <v>320</v>
      </c>
      <c r="G12317" s="6" t="str">
        <f>VLOOKUP(E12317,dicionario!$A$1:$C12716,2,0)</f>
        <v>Schinus terebinthifolia</v>
      </c>
      <c r="H12317" s="6" t="str">
        <f>VLOOKUP(E12317,dicionario!$A$1:$C12716,3,0)</f>
        <v>aroeira</v>
      </c>
    </row>
    <row r="12318">
      <c r="A12318" s="3">
        <v>45869.0</v>
      </c>
      <c r="B12318" s="4">
        <v>0.30972222222222223</v>
      </c>
      <c r="C12318" s="5" t="s">
        <v>64</v>
      </c>
      <c r="D12318" s="5" t="s">
        <v>1686</v>
      </c>
      <c r="E12318" s="6" t="s">
        <v>251</v>
      </c>
      <c r="F12318" s="5" t="s">
        <v>252</v>
      </c>
      <c r="G12318" s="6" t="str">
        <f>VLOOKUP(E12318,dicionario!$A$1:$C12717,2,0)</f>
        <v>Struthanthus flexicaulis</v>
      </c>
      <c r="H12318" s="6" t="str">
        <f>VLOOKUP(E12318,dicionario!$A$1:$C12717,3,0)</f>
        <v>erva-de-passarinho</v>
      </c>
    </row>
    <row r="12319">
      <c r="A12319" s="3">
        <v>45869.0</v>
      </c>
      <c r="B12319" s="4">
        <v>0.30972222222222223</v>
      </c>
      <c r="C12319" s="5" t="s">
        <v>64</v>
      </c>
      <c r="D12319" s="5" t="s">
        <v>1686</v>
      </c>
      <c r="E12319" s="6" t="s">
        <v>253</v>
      </c>
      <c r="F12319" s="5" t="s">
        <v>254</v>
      </c>
      <c r="G12319" s="6" t="str">
        <f>VLOOKUP(E12319,dicionario!$A$1:$C12718,2,0)</f>
        <v>Panicum maximum</v>
      </c>
      <c r="H12319" s="6" t="str">
        <f>VLOOKUP(E12319,dicionario!$A$1:$C12718,3,0)</f>
        <v>capim-colonião</v>
      </c>
    </row>
    <row r="12320">
      <c r="A12320" s="3">
        <v>45869.0</v>
      </c>
      <c r="B12320" s="4">
        <v>0.3104166666666667</v>
      </c>
      <c r="C12320" s="5" t="s">
        <v>64</v>
      </c>
      <c r="D12320" s="5" t="s">
        <v>1686</v>
      </c>
      <c r="E12320" s="6" t="s">
        <v>225</v>
      </c>
      <c r="F12320" s="5" t="s">
        <v>226</v>
      </c>
      <c r="G12320" s="6" t="str">
        <f>VLOOKUP(E12320,dicionario!$A$1:$C12719,2,0)</f>
        <v>Passer domesticus</v>
      </c>
      <c r="H12320" s="6" t="str">
        <f>VLOOKUP(E12320,dicionario!$A$1:$C12719,3,0)</f>
        <v>pardal</v>
      </c>
    </row>
    <row r="12321">
      <c r="A12321" s="3">
        <v>45869.0</v>
      </c>
      <c r="B12321" s="4">
        <v>0.31180555555555556</v>
      </c>
      <c r="C12321" s="5" t="s">
        <v>64</v>
      </c>
      <c r="D12321" s="5" t="s">
        <v>1686</v>
      </c>
      <c r="E12321" s="67" t="s">
        <v>1694</v>
      </c>
      <c r="F12321" s="5" t="s">
        <v>1695</v>
      </c>
      <c r="G12321" s="6" t="str">
        <f>VLOOKUP(E12321,dicionario!$A$1:$C12720,2,0)</f>
        <v>Conyza bonariensis</v>
      </c>
      <c r="H12321" s="6" t="str">
        <f>VLOOKUP(E12321,dicionario!$A$1:$C12720,3,0)</f>
        <v>buva</v>
      </c>
    </row>
    <row r="12322">
      <c r="A12322" s="3">
        <v>45869.0</v>
      </c>
      <c r="B12322" s="4">
        <v>0.31180555555555556</v>
      </c>
      <c r="C12322" s="5" t="s">
        <v>64</v>
      </c>
      <c r="D12322" s="5" t="s">
        <v>1686</v>
      </c>
      <c r="E12322" s="6" t="s">
        <v>175</v>
      </c>
      <c r="F12322" s="5" t="s">
        <v>176</v>
      </c>
      <c r="G12322" s="6" t="str">
        <f>VLOOKUP(E12322,dicionario!$A$1:$C12721,2,0)</f>
        <v>Turdus leucomelas</v>
      </c>
      <c r="H12322" s="6" t="str">
        <f>VLOOKUP(E12322,dicionario!$A$1:$C12721,3,0)</f>
        <v>sabiá-barranco</v>
      </c>
    </row>
    <row r="12323">
      <c r="A12323" s="3">
        <v>45869.0</v>
      </c>
      <c r="B12323" s="4">
        <v>0.31180555555555556</v>
      </c>
      <c r="C12323" s="5" t="s">
        <v>64</v>
      </c>
      <c r="D12323" s="5" t="s">
        <v>1686</v>
      </c>
      <c r="E12323" s="6" t="s">
        <v>65</v>
      </c>
      <c r="F12323" s="5" t="s">
        <v>66</v>
      </c>
      <c r="G12323" s="6" t="str">
        <f>VLOOKUP(E12323,dicionario!$A$1:$C12722,2,0)</f>
        <v>Pitangus sulphutarus</v>
      </c>
      <c r="H12323" s="6" t="str">
        <f>VLOOKUP(E12323,dicionario!$A$1:$C12722,3,0)</f>
        <v>bem-te-vi</v>
      </c>
    </row>
    <row r="12324">
      <c r="A12324" s="3">
        <v>45869.0</v>
      </c>
      <c r="B12324" s="4">
        <v>0.31180555555555556</v>
      </c>
      <c r="C12324" s="5" t="s">
        <v>64</v>
      </c>
      <c r="D12324" s="5" t="s">
        <v>1686</v>
      </c>
      <c r="E12324" s="6" t="s">
        <v>109</v>
      </c>
      <c r="F12324" s="5" t="s">
        <v>110</v>
      </c>
      <c r="G12324" s="6" t="str">
        <f>VLOOKUP(E12324,dicionario!$A$1:$C12723,2,0)</f>
        <v>Tillandsia stricta</v>
      </c>
      <c r="H12324" s="6" t="str">
        <f>VLOOKUP(E12324,dicionario!$A$1:$C12723,3,0)</f>
        <v>cravo-do-mato</v>
      </c>
    </row>
    <row r="12325">
      <c r="A12325" s="3">
        <v>45869.0</v>
      </c>
      <c r="B12325" s="4">
        <v>0.31180555555555556</v>
      </c>
      <c r="C12325" s="5" t="s">
        <v>64</v>
      </c>
      <c r="D12325" s="5" t="s">
        <v>1686</v>
      </c>
      <c r="E12325" s="6" t="s">
        <v>86</v>
      </c>
      <c r="F12325" s="5" t="s">
        <v>502</v>
      </c>
      <c r="G12325" s="6" t="str">
        <f>VLOOKUP(E12325,dicionario!$A$1:$C12724,2,0)</f>
        <v>Coereba flaveola</v>
      </c>
      <c r="H12325" s="6" t="str">
        <f>VLOOKUP(E12325,dicionario!$A$1:$C12724,3,0)</f>
        <v>cambacica</v>
      </c>
    </row>
    <row r="12326">
      <c r="A12326" s="3">
        <v>45869.0</v>
      </c>
      <c r="B12326" s="4">
        <v>0.31180555555555556</v>
      </c>
      <c r="C12326" s="5" t="s">
        <v>64</v>
      </c>
      <c r="D12326" s="5" t="s">
        <v>1686</v>
      </c>
      <c r="E12326" s="6" t="s">
        <v>150</v>
      </c>
      <c r="F12326" s="5" t="s">
        <v>769</v>
      </c>
      <c r="G12326" s="6" t="str">
        <f>VLOOKUP(E12326,dicionario!$A$1:$C12725,2,0)</f>
        <v>Amaranthus viridis</v>
      </c>
      <c r="H12326" s="6" t="str">
        <f>VLOOKUP(E12326,dicionario!$A$1:$C12725,3,0)</f>
        <v>caruru-de-mancha</v>
      </c>
    </row>
    <row r="12327">
      <c r="A12327" s="3">
        <v>45869.0</v>
      </c>
      <c r="B12327" s="4">
        <v>0.3125</v>
      </c>
      <c r="C12327" s="5" t="s">
        <v>64</v>
      </c>
      <c r="D12327" s="5" t="s">
        <v>1686</v>
      </c>
      <c r="E12327" s="6" t="s">
        <v>148</v>
      </c>
      <c r="F12327" s="5" t="s">
        <v>149</v>
      </c>
      <c r="G12327" s="6" t="str">
        <f>VLOOKUP(E12327,dicionario!$A$1:$C12726,2,0)</f>
        <v>Parthenium hysterophorus</v>
      </c>
      <c r="H12327" s="6" t="str">
        <f>VLOOKUP(E12327,dicionario!$A$1:$C12726,3,0)</f>
        <v>losna-branca</v>
      </c>
    </row>
    <row r="12328">
      <c r="A12328" s="3">
        <v>45869.0</v>
      </c>
      <c r="B12328" s="4">
        <v>0.3125</v>
      </c>
      <c r="C12328" s="5" t="s">
        <v>64</v>
      </c>
      <c r="D12328" s="5" t="s">
        <v>1686</v>
      </c>
      <c r="E12328" s="6" t="s">
        <v>122</v>
      </c>
      <c r="F12328" s="5" t="s">
        <v>1696</v>
      </c>
      <c r="G12328" s="6" t="str">
        <f>VLOOKUP(E12328,dicionario!$A$1:$C12727,2,0)</f>
        <v>Todirostrum cinereum</v>
      </c>
      <c r="H12328" s="6" t="str">
        <f>VLOOKUP(E12328,dicionario!$A$1:$C12727,3,0)</f>
        <v>ferreirinho-relógio</v>
      </c>
    </row>
    <row r="12329">
      <c r="A12329" s="3">
        <v>45869.0</v>
      </c>
      <c r="B12329" s="4">
        <v>0.3125</v>
      </c>
      <c r="C12329" s="5" t="s">
        <v>64</v>
      </c>
      <c r="D12329" s="5" t="s">
        <v>1686</v>
      </c>
      <c r="E12329" s="8" t="s">
        <v>821</v>
      </c>
      <c r="F12329" s="5" t="s">
        <v>876</v>
      </c>
      <c r="G12329" s="6" t="str">
        <f>VLOOKUP(E12329,dicionario!$A$1:$C12728,2,0)</f>
        <v>Schefflera actinophylla</v>
      </c>
      <c r="H12329" s="6" t="str">
        <f>VLOOKUP(E12329,dicionario!$A$1:$C12728,3,0)</f>
        <v>árvore-guarda-chuva</v>
      </c>
    </row>
    <row r="12330">
      <c r="A12330" s="3">
        <v>45869.0</v>
      </c>
      <c r="B12330" s="4">
        <v>0.3125</v>
      </c>
      <c r="C12330" s="5" t="s">
        <v>64</v>
      </c>
      <c r="D12330" s="5" t="s">
        <v>1686</v>
      </c>
      <c r="E12330" s="6" t="s">
        <v>191</v>
      </c>
      <c r="F12330" s="5" t="s">
        <v>192</v>
      </c>
      <c r="G12330" s="6" t="str">
        <f>VLOOKUP(E12330,dicionario!$A$1:$C12729,2,0)</f>
        <v>Patagioenas picazuro</v>
      </c>
      <c r="H12330" s="6" t="str">
        <f>VLOOKUP(E12330,dicionario!$A$1:$C12729,3,0)</f>
        <v>asa-branca; pomba-asa-branca; pocaçu</v>
      </c>
    </row>
    <row r="12331">
      <c r="A12331" s="3">
        <v>45869.0</v>
      </c>
      <c r="B12331" s="4">
        <v>0.31319444444444444</v>
      </c>
      <c r="C12331" s="5" t="s">
        <v>64</v>
      </c>
      <c r="D12331" s="5" t="s">
        <v>1686</v>
      </c>
      <c r="E12331" s="12" t="s">
        <v>152</v>
      </c>
      <c r="F12331" s="5" t="s">
        <v>153</v>
      </c>
      <c r="G12331" s="6" t="str">
        <f>VLOOKUP(E12331,dicionario!$A$1:$C12730,2,0)</f>
        <v>Cynodon dactylon</v>
      </c>
      <c r="H12331" s="6" t="str">
        <f>VLOOKUP(E12331,dicionario!$A$1:$C12730,3,0)</f>
        <v>grama-bermuda</v>
      </c>
    </row>
    <row r="12332">
      <c r="A12332" s="3">
        <v>45869.0</v>
      </c>
      <c r="B12332" s="4">
        <v>0.3138888888888889</v>
      </c>
      <c r="C12332" s="5" t="s">
        <v>64</v>
      </c>
      <c r="D12332" s="5" t="s">
        <v>1686</v>
      </c>
      <c r="E12332" s="6" t="s">
        <v>43</v>
      </c>
      <c r="F12332" s="5" t="s">
        <v>44</v>
      </c>
      <c r="G12332" s="6" t="str">
        <f>VLOOKUP(E12332,dicionario!$A$1:$C12731,2,0)</f>
        <v>Columba livia</v>
      </c>
      <c r="H12332" s="6" t="str">
        <f>VLOOKUP(E12332,dicionario!$A$1:$C12731,3,0)</f>
        <v>pombo-doméstico</v>
      </c>
    </row>
    <row r="12333">
      <c r="A12333" s="3">
        <v>45869.0</v>
      </c>
      <c r="B12333" s="4">
        <v>0.3159722222222222</v>
      </c>
      <c r="C12333" s="5" t="s">
        <v>64</v>
      </c>
      <c r="D12333" s="5" t="s">
        <v>1686</v>
      </c>
      <c r="E12333" s="8" t="s">
        <v>1282</v>
      </c>
      <c r="F12333" s="5" t="s">
        <v>182</v>
      </c>
      <c r="G12333" s="6" t="str">
        <f>VLOOKUP(E12333,dicionario!$A$1:$C12732,2,0)</f>
        <v>#N/A</v>
      </c>
      <c r="H12333" s="6" t="str">
        <f>VLOOKUP(E12333,dicionario!$A$1:$C12732,3,0)</f>
        <v>#N/A</v>
      </c>
    </row>
    <row r="12334">
      <c r="A12334" s="3">
        <v>45869.0</v>
      </c>
      <c r="B12334" s="4">
        <v>0.3159722222222222</v>
      </c>
      <c r="C12334" s="5" t="s">
        <v>64</v>
      </c>
      <c r="D12334" s="5" t="s">
        <v>1686</v>
      </c>
      <c r="E12334" s="6" t="s">
        <v>399</v>
      </c>
      <c r="F12334" s="5" t="s">
        <v>400</v>
      </c>
      <c r="G12334" s="6" t="str">
        <f>VLOOKUP(E12334,dicionario!$A$1:$C12733,2,0)</f>
        <v>Varronia curassavica</v>
      </c>
      <c r="H12334" s="6" t="str">
        <f>VLOOKUP(E12334,dicionario!$A$1:$C12733,3,0)</f>
        <v>erva-baleeira</v>
      </c>
    </row>
    <row r="12335">
      <c r="A12335" s="3">
        <v>45869.0</v>
      </c>
      <c r="B12335" s="4">
        <v>0.31666666666666665</v>
      </c>
      <c r="C12335" s="5" t="s">
        <v>64</v>
      </c>
      <c r="D12335" s="5" t="s">
        <v>1686</v>
      </c>
      <c r="E12335" s="6" t="s">
        <v>562</v>
      </c>
      <c r="F12335" s="5" t="s">
        <v>563</v>
      </c>
      <c r="G12335" s="6" t="str">
        <f>VLOOKUP(E12335,dicionario!$A$1:$C12734,2,0)</f>
        <v>Syzygium cumini</v>
      </c>
      <c r="H12335" s="6" t="str">
        <f>VLOOKUP(E12335,dicionario!$A$1:$C12734,3,0)</f>
        <v>jamelão</v>
      </c>
    </row>
    <row r="12336">
      <c r="A12336" s="3">
        <v>45869.0</v>
      </c>
      <c r="B12336" s="4">
        <v>0.31666666666666665</v>
      </c>
      <c r="C12336" s="5" t="s">
        <v>64</v>
      </c>
      <c r="D12336" s="5" t="s">
        <v>1686</v>
      </c>
      <c r="E12336" s="6" t="s">
        <v>48</v>
      </c>
      <c r="F12336" s="5" t="s">
        <v>49</v>
      </c>
      <c r="G12336" s="6" t="str">
        <f>VLOOKUP(E12336,dicionario!$A$1:$C12735,2,0)</f>
        <v>Commelina erecta</v>
      </c>
      <c r="H12336" s="6" t="str">
        <f>VLOOKUP(E12336,dicionario!$A$1:$C12735,3,0)</f>
        <v>trapoeraba</v>
      </c>
    </row>
    <row r="12337">
      <c r="A12337" s="3">
        <v>45869.0</v>
      </c>
      <c r="B12337" s="4">
        <v>0.31666666666666665</v>
      </c>
      <c r="C12337" s="5" t="s">
        <v>64</v>
      </c>
      <c r="D12337" s="5" t="s">
        <v>1686</v>
      </c>
      <c r="E12337" s="6" t="s">
        <v>267</v>
      </c>
      <c r="F12337" s="5" t="s">
        <v>553</v>
      </c>
      <c r="G12337" s="6" t="str">
        <f>VLOOKUP(E12337,dicionario!$A$1:$C12736,2,0)</f>
        <v>Solanum americanum</v>
      </c>
      <c r="H12337" s="6" t="str">
        <f>VLOOKUP(E12337,dicionario!$A$1:$C12736,3,0)</f>
        <v>maria-pretinha</v>
      </c>
    </row>
    <row r="12338">
      <c r="A12338" s="3">
        <v>45869.0</v>
      </c>
      <c r="B12338" s="4">
        <v>0.32083333333333336</v>
      </c>
      <c r="C12338" s="5" t="s">
        <v>76</v>
      </c>
      <c r="D12338" s="5" t="s">
        <v>1686</v>
      </c>
      <c r="E12338" s="6" t="s">
        <v>328</v>
      </c>
      <c r="F12338" s="5" t="s">
        <v>329</v>
      </c>
      <c r="G12338" s="6" t="str">
        <f>VLOOKUP(E12338,dicionario!$A$1:$C12737,2,0)</f>
        <v>Rivina humilis</v>
      </c>
      <c r="H12338" s="6" t="str">
        <f>VLOOKUP(E12338,dicionario!$A$1:$C12737,3,0)</f>
        <v>baga-de-sangue</v>
      </c>
    </row>
    <row r="12339">
      <c r="A12339" s="3">
        <v>45869.0</v>
      </c>
      <c r="B12339" s="4">
        <v>0.32083333333333336</v>
      </c>
      <c r="C12339" s="5" t="s">
        <v>76</v>
      </c>
      <c r="D12339" s="5" t="s">
        <v>1686</v>
      </c>
      <c r="E12339" s="6" t="s">
        <v>163</v>
      </c>
      <c r="F12339" s="5" t="s">
        <v>164</v>
      </c>
      <c r="G12339" s="6" t="str">
        <f>VLOOKUP(E12339,dicionario!$A$1:$C12738,2,0)</f>
        <v>Coragyps atratus</v>
      </c>
      <c r="H12339" s="6" t="str">
        <f>VLOOKUP(E12339,dicionario!$A$1:$C12738,3,0)</f>
        <v>urubu-de-cabeça-preta</v>
      </c>
    </row>
    <row r="12340">
      <c r="A12340" s="3">
        <v>45869.0</v>
      </c>
      <c r="B12340" s="4">
        <v>0.32083333333333336</v>
      </c>
      <c r="C12340" s="5" t="s">
        <v>76</v>
      </c>
      <c r="D12340" s="5" t="s">
        <v>1686</v>
      </c>
      <c r="E12340" s="6" t="s">
        <v>183</v>
      </c>
      <c r="F12340" s="5" t="s">
        <v>277</v>
      </c>
      <c r="G12340" s="6" t="str">
        <f>VLOOKUP(E12340,dicionario!$A$1:$C12739,2,0)</f>
        <v>Thunbergia alata</v>
      </c>
      <c r="H12340" s="6" t="str">
        <f>VLOOKUP(E12340,dicionario!$A$1:$C12739,3,0)</f>
        <v>susana-dos-olhos-negros</v>
      </c>
    </row>
    <row r="12341">
      <c r="A12341" s="3">
        <v>45869.0</v>
      </c>
      <c r="B12341" s="4">
        <v>0.32083333333333336</v>
      </c>
      <c r="C12341" s="5" t="s">
        <v>76</v>
      </c>
      <c r="D12341" s="5" t="s">
        <v>1686</v>
      </c>
      <c r="E12341" s="6" t="s">
        <v>86</v>
      </c>
      <c r="F12341" s="5" t="s">
        <v>502</v>
      </c>
      <c r="G12341" s="6" t="str">
        <f>VLOOKUP(E12341,dicionario!$A$1:$C12740,2,0)</f>
        <v>Coereba flaveola</v>
      </c>
      <c r="H12341" s="6" t="str">
        <f>VLOOKUP(E12341,dicionario!$A$1:$C12740,3,0)</f>
        <v>cambacica</v>
      </c>
    </row>
    <row r="12342">
      <c r="A12342" s="3">
        <v>45869.0</v>
      </c>
      <c r="B12342" s="4">
        <v>0.3215277777777778</v>
      </c>
      <c r="C12342" s="5" t="s">
        <v>76</v>
      </c>
      <c r="D12342" s="5" t="s">
        <v>1686</v>
      </c>
      <c r="E12342" s="53" t="s">
        <v>786</v>
      </c>
      <c r="F12342" s="5" t="s">
        <v>1697</v>
      </c>
      <c r="G12342" s="6" t="str">
        <f>VLOOKUP(E12342,dicionario!$A$1:$C12741,2,0)</f>
        <v>Lycianthes asarifolia</v>
      </c>
      <c r="H12342" s="6" t="str">
        <f>VLOOKUP(E12342,dicionario!$A$1:$C12741,3,0)</f>
        <v>joá-rasteiro</v>
      </c>
    </row>
    <row r="12343">
      <c r="A12343" s="3">
        <v>45869.0</v>
      </c>
      <c r="B12343" s="4">
        <v>0.3215277777777778</v>
      </c>
      <c r="C12343" s="5" t="s">
        <v>76</v>
      </c>
      <c r="D12343" s="5" t="s">
        <v>1686</v>
      </c>
      <c r="E12343" s="8" t="s">
        <v>18</v>
      </c>
      <c r="F12343" s="5" t="s">
        <v>219</v>
      </c>
      <c r="G12343" s="6" t="str">
        <f>VLOOKUP(E12343,dicionario!$A$1:$C12742,2,0)</f>
        <v>Xylocopa frontalis</v>
      </c>
      <c r="H12343" s="6" t="str">
        <f>VLOOKUP(E12343,dicionario!$A$1:$C12742,3,0)</f>
        <v>Mamangava; mangangá; abelha-carpinteira</v>
      </c>
    </row>
    <row r="12344">
      <c r="A12344" s="3">
        <v>45869.0</v>
      </c>
      <c r="B12344" s="4">
        <v>0.3215277777777778</v>
      </c>
      <c r="C12344" s="5" t="s">
        <v>76</v>
      </c>
      <c r="D12344" s="5" t="s">
        <v>1686</v>
      </c>
      <c r="E12344" s="6" t="s">
        <v>401</v>
      </c>
      <c r="F12344" s="5" t="s">
        <v>464</v>
      </c>
      <c r="G12344" s="6" t="str">
        <f>VLOOKUP(E12344,dicionario!$A$1:$C12743,2,0)</f>
        <v>Cissus verticillata</v>
      </c>
      <c r="H12344" s="6" t="str">
        <f>VLOOKUP(E12344,dicionario!$A$1:$C12743,3,0)</f>
        <v>uva-do-mato</v>
      </c>
    </row>
    <row r="12345">
      <c r="A12345" s="3">
        <v>45869.0</v>
      </c>
      <c r="B12345" s="4">
        <v>0.32222222222222224</v>
      </c>
      <c r="C12345" s="5" t="s">
        <v>76</v>
      </c>
      <c r="D12345" s="5" t="s">
        <v>1686</v>
      </c>
      <c r="E12345" s="6" t="s">
        <v>253</v>
      </c>
      <c r="F12345" s="5" t="s">
        <v>254</v>
      </c>
      <c r="G12345" s="6" t="str">
        <f>VLOOKUP(E12345,dicionario!$A$1:$C12744,2,0)</f>
        <v>Panicum maximum</v>
      </c>
      <c r="H12345" s="6" t="str">
        <f>VLOOKUP(E12345,dicionario!$A$1:$C12744,3,0)</f>
        <v>capim-colonião</v>
      </c>
    </row>
    <row r="12346">
      <c r="A12346" s="3">
        <v>45869.0</v>
      </c>
      <c r="B12346" s="4">
        <v>0.32222222222222224</v>
      </c>
      <c r="C12346" s="5" t="s">
        <v>76</v>
      </c>
      <c r="D12346" s="5" t="s">
        <v>1686</v>
      </c>
      <c r="E12346" s="6" t="s">
        <v>290</v>
      </c>
      <c r="F12346" s="5" t="s">
        <v>291</v>
      </c>
      <c r="G12346" s="6" t="str">
        <f>VLOOKUP(E12346,dicionario!$A$1:$C12745,2,0)</f>
        <v>Drymaria cordata</v>
      </c>
      <c r="H12346" s="6" t="str">
        <f>VLOOKUP(E12346,dicionario!$A$1:$C12745,3,0)</f>
        <v>orelha-de-rato</v>
      </c>
    </row>
    <row r="12347">
      <c r="A12347" s="3">
        <v>45869.0</v>
      </c>
      <c r="B12347" s="4">
        <v>0.32222222222222224</v>
      </c>
      <c r="C12347" s="5" t="s">
        <v>76</v>
      </c>
      <c r="D12347" s="5" t="s">
        <v>1686</v>
      </c>
      <c r="E12347" s="8" t="s">
        <v>891</v>
      </c>
      <c r="F12347" s="5" t="s">
        <v>1163</v>
      </c>
      <c r="G12347" s="6" t="str">
        <f>VLOOKUP(E12347,dicionario!$A$1:$C12746,2,0)</f>
        <v>Cymaenes tripunctus</v>
      </c>
      <c r="H12347" s="6" t="str">
        <f>VLOOKUP(E12347,dicionario!$A$1:$C12746,3,0)</f>
        <v>borboleta-de-três-pintas</v>
      </c>
    </row>
    <row r="12348">
      <c r="A12348" s="3">
        <v>45869.0</v>
      </c>
      <c r="B12348" s="4">
        <v>0.32222222222222224</v>
      </c>
      <c r="C12348" s="5" t="s">
        <v>76</v>
      </c>
      <c r="D12348" s="5" t="s">
        <v>1686</v>
      </c>
      <c r="E12348" s="6" t="s">
        <v>141</v>
      </c>
      <c r="F12348" s="5" t="s">
        <v>142</v>
      </c>
      <c r="G12348" s="6" t="str">
        <f>VLOOKUP(E12348,dicionario!$A$1:$C12747,2,0)</f>
        <v>Ruellia blechum</v>
      </c>
      <c r="H12348" s="6" t="str">
        <f>VLOOKUP(E12348,dicionario!$A$1:$C12747,3,0)</f>
        <v>camarão-verde</v>
      </c>
    </row>
    <row r="12349">
      <c r="A12349" s="3">
        <v>45869.0</v>
      </c>
      <c r="B12349" s="4">
        <v>0.32222222222222224</v>
      </c>
      <c r="C12349" s="5" t="s">
        <v>76</v>
      </c>
      <c r="D12349" s="5" t="s">
        <v>1686</v>
      </c>
      <c r="E12349" s="6" t="s">
        <v>193</v>
      </c>
      <c r="F12349" s="5" t="s">
        <v>194</v>
      </c>
      <c r="G12349" s="6" t="str">
        <f>VLOOKUP(E12349,dicionario!$A$1:$C12748,2,0)</f>
        <v>Conirostrum speciosum</v>
      </c>
      <c r="H12349" s="6" t="str">
        <f>VLOOKUP(E12349,dicionario!$A$1:$C12748,3,0)</f>
        <v>figuinha-de-rabo-castanho</v>
      </c>
    </row>
    <row r="12350">
      <c r="A12350" s="3">
        <v>45869.0</v>
      </c>
      <c r="B12350" s="4">
        <v>0.32222222222222224</v>
      </c>
      <c r="C12350" s="5" t="s">
        <v>76</v>
      </c>
      <c r="D12350" s="5" t="s">
        <v>1686</v>
      </c>
      <c r="E12350" s="8" t="s">
        <v>38</v>
      </c>
      <c r="F12350" s="5" t="s">
        <v>39</v>
      </c>
      <c r="G12350" s="6" t="str">
        <f>VLOOKUP(E12350,dicionario!$A$1:$C12749,2,0)</f>
        <v>Troglodytes musculus</v>
      </c>
      <c r="H12350" s="6" t="str">
        <f>VLOOKUP(E12350,dicionario!$A$1:$C12749,3,0)</f>
        <v>curruíra</v>
      </c>
    </row>
    <row r="12351">
      <c r="A12351" s="3">
        <v>45869.0</v>
      </c>
      <c r="B12351" s="4">
        <v>0.32222222222222224</v>
      </c>
      <c r="C12351" s="5" t="s">
        <v>76</v>
      </c>
      <c r="D12351" s="5" t="s">
        <v>1686</v>
      </c>
      <c r="E12351" s="6" t="s">
        <v>148</v>
      </c>
      <c r="F12351" s="5" t="s">
        <v>149</v>
      </c>
      <c r="G12351" s="6" t="str">
        <f>VLOOKUP(E12351,dicionario!$A$1:$C12750,2,0)</f>
        <v>Parthenium hysterophorus</v>
      </c>
      <c r="H12351" s="6" t="str">
        <f>VLOOKUP(E12351,dicionario!$A$1:$C12750,3,0)</f>
        <v>losna-branca</v>
      </c>
    </row>
    <row r="12352">
      <c r="A12352" s="3">
        <v>45869.0</v>
      </c>
      <c r="B12352" s="4">
        <v>0.32222222222222224</v>
      </c>
      <c r="C12352" s="5" t="s">
        <v>76</v>
      </c>
      <c r="D12352" s="5" t="s">
        <v>1686</v>
      </c>
      <c r="E12352" s="8" t="s">
        <v>271</v>
      </c>
      <c r="F12352" s="5" t="s">
        <v>272</v>
      </c>
      <c r="G12352" s="6" t="str">
        <f>VLOOKUP(E12352,dicionario!$A$1:$C12751,2,0)</f>
        <v>Cyanthillium cinereum</v>
      </c>
      <c r="H12352" s="6" t="str">
        <f>VLOOKUP(E12352,dicionario!$A$1:$C12751,3,0)</f>
        <v>emília</v>
      </c>
    </row>
    <row r="12353">
      <c r="A12353" s="3">
        <v>45869.0</v>
      </c>
      <c r="B12353" s="4">
        <v>0.32222222222222224</v>
      </c>
      <c r="C12353" s="5" t="s">
        <v>76</v>
      </c>
      <c r="D12353" s="5" t="s">
        <v>1686</v>
      </c>
      <c r="E12353" s="8" t="s">
        <v>1698</v>
      </c>
      <c r="F12353" s="5"/>
      <c r="G12353" s="6" t="str">
        <f>VLOOKUP(E12353,dicionario!$A$1:$C12752,2,0)</f>
        <v>#N/A</v>
      </c>
      <c r="H12353" s="6" t="str">
        <f>VLOOKUP(E12353,dicionario!$A$1:$C12752,3,0)</f>
        <v>#N/A</v>
      </c>
    </row>
    <row r="12354">
      <c r="A12354" s="3">
        <v>45869.0</v>
      </c>
      <c r="B12354" s="4">
        <v>0.3229166666666667</v>
      </c>
      <c r="C12354" s="5" t="s">
        <v>76</v>
      </c>
      <c r="D12354" s="5" t="s">
        <v>1686</v>
      </c>
      <c r="E12354" s="6"/>
      <c r="F12354" s="52" t="s">
        <v>1699</v>
      </c>
      <c r="G12354" s="6" t="str">
        <f>VLOOKUP(E12354,dicionario!$A$1:$C12753,2,0)</f>
        <v>#N/A</v>
      </c>
      <c r="H12354" s="6" t="str">
        <f>VLOOKUP(E12354,dicionario!$A$1:$C12753,3,0)</f>
        <v>#N/A</v>
      </c>
    </row>
    <row r="12355">
      <c r="A12355" s="3">
        <v>45869.0</v>
      </c>
      <c r="B12355" s="4">
        <v>0.3229166666666667</v>
      </c>
      <c r="C12355" s="5" t="s">
        <v>76</v>
      </c>
      <c r="D12355" s="5" t="s">
        <v>1686</v>
      </c>
      <c r="E12355" s="6" t="s">
        <v>256</v>
      </c>
      <c r="F12355" s="5" t="s">
        <v>257</v>
      </c>
      <c r="G12355" s="6" t="str">
        <f>VLOOKUP(E12355,dicionario!$A$1:$C12754,2,0)</f>
        <v>Youngia japonica</v>
      </c>
      <c r="H12355" s="6" t="str">
        <f>VLOOKUP(E12355,dicionario!$A$1:$C12754,3,0)</f>
        <v>barba-de-falcão</v>
      </c>
    </row>
    <row r="12356">
      <c r="A12356" s="3">
        <v>45869.0</v>
      </c>
      <c r="B12356" s="4">
        <v>0.3229166666666667</v>
      </c>
      <c r="C12356" s="5" t="s">
        <v>76</v>
      </c>
      <c r="D12356" s="5" t="s">
        <v>1686</v>
      </c>
      <c r="E12356" s="6" t="s">
        <v>360</v>
      </c>
      <c r="F12356" s="5" t="s">
        <v>361</v>
      </c>
      <c r="G12356" s="6" t="str">
        <f>VLOOKUP(E12356,dicionario!$A$1:$C12755,2,0)</f>
        <v>Chamaecrista rotundifolia</v>
      </c>
      <c r="H12356" s="6" t="str">
        <f>VLOOKUP(E12356,dicionario!$A$1:$C12755,3,0)</f>
        <v>alfafa-nativa</v>
      </c>
    </row>
    <row r="12357">
      <c r="A12357" s="3">
        <v>45869.0</v>
      </c>
      <c r="B12357" s="4">
        <v>0.3229166666666667</v>
      </c>
      <c r="C12357" s="5" t="s">
        <v>76</v>
      </c>
      <c r="D12357" s="5" t="s">
        <v>1686</v>
      </c>
      <c r="E12357" s="6" t="s">
        <v>290</v>
      </c>
      <c r="F12357" s="5" t="s">
        <v>291</v>
      </c>
      <c r="G12357" s="6" t="str">
        <f>VLOOKUP(E12357,dicionario!$A$1:$C12756,2,0)</f>
        <v>Drymaria cordata</v>
      </c>
      <c r="H12357" s="6" t="str">
        <f>VLOOKUP(E12357,dicionario!$A$1:$C12756,3,0)</f>
        <v>orelha-de-rato</v>
      </c>
    </row>
    <row r="12358">
      <c r="A12358" s="3">
        <v>45869.0</v>
      </c>
      <c r="B12358" s="4">
        <v>0.3236111111111111</v>
      </c>
      <c r="C12358" s="5" t="s">
        <v>76</v>
      </c>
      <c r="D12358" s="5" t="s">
        <v>1686</v>
      </c>
      <c r="E12358" s="72" t="s">
        <v>1700</v>
      </c>
      <c r="F12358" s="5" t="s">
        <v>1088</v>
      </c>
      <c r="G12358" s="6" t="str">
        <f>VLOOKUP(E12358,dicionario!$A$1:$C12757,2,0)</f>
        <v>#N/A</v>
      </c>
      <c r="H12358" s="6" t="str">
        <f>VLOOKUP(E12358,dicionario!$A$1:$C12757,3,0)</f>
        <v>#N/A</v>
      </c>
    </row>
    <row r="12359">
      <c r="A12359" s="3">
        <v>45869.0</v>
      </c>
      <c r="B12359" s="4">
        <v>0.3236111111111111</v>
      </c>
      <c r="C12359" s="5" t="s">
        <v>76</v>
      </c>
      <c r="D12359" s="5" t="s">
        <v>1686</v>
      </c>
      <c r="E12359" s="6" t="s">
        <v>340</v>
      </c>
      <c r="F12359" s="5" t="s">
        <v>104</v>
      </c>
      <c r="G12359" s="6" t="str">
        <f>VLOOKUP(E12359,dicionario!$A$1:$C12758,2,0)</f>
        <v>#N/A</v>
      </c>
      <c r="H12359" s="6" t="str">
        <f>VLOOKUP(E12359,dicionario!$A$1:$C12758,3,0)</f>
        <v>#N/A</v>
      </c>
    </row>
    <row r="12360">
      <c r="A12360" s="3">
        <v>45869.0</v>
      </c>
      <c r="B12360" s="4">
        <v>0.3236111111111111</v>
      </c>
      <c r="C12360" s="5" t="s">
        <v>76</v>
      </c>
      <c r="D12360" s="5" t="s">
        <v>1686</v>
      </c>
      <c r="E12360" s="28" t="s">
        <v>560</v>
      </c>
      <c r="F12360" s="5" t="s">
        <v>561</v>
      </c>
      <c r="G12360" s="6" t="str">
        <f>VLOOKUP(E12360,dicionario!$A$1:$C12759,2,0)</f>
        <v>Megarynchus pitangua</v>
      </c>
      <c r="H12360" s="6" t="str">
        <f>VLOOKUP(E12360,dicionario!$A$1:$C12759,3,0)</f>
        <v>neinei</v>
      </c>
    </row>
    <row r="12361">
      <c r="A12361" s="3">
        <v>45869.0</v>
      </c>
      <c r="B12361" s="4">
        <v>0.3236111111111111</v>
      </c>
      <c r="C12361" s="5" t="s">
        <v>76</v>
      </c>
      <c r="D12361" s="5" t="s">
        <v>1686</v>
      </c>
      <c r="E12361" s="6" t="s">
        <v>48</v>
      </c>
      <c r="F12361" s="5" t="s">
        <v>49</v>
      </c>
      <c r="G12361" s="6" t="str">
        <f>VLOOKUP(E12361,dicionario!$A$1:$C12760,2,0)</f>
        <v>Commelina erecta</v>
      </c>
      <c r="H12361" s="6" t="str">
        <f>VLOOKUP(E12361,dicionario!$A$1:$C12760,3,0)</f>
        <v>trapoeraba</v>
      </c>
    </row>
    <row r="12362">
      <c r="A12362" s="3">
        <v>45869.0</v>
      </c>
      <c r="B12362" s="4">
        <v>0.3236111111111111</v>
      </c>
      <c r="C12362" s="5" t="s">
        <v>76</v>
      </c>
      <c r="D12362" s="5" t="s">
        <v>1686</v>
      </c>
      <c r="E12362" s="8" t="s">
        <v>1386</v>
      </c>
      <c r="F12362" s="5" t="s">
        <v>484</v>
      </c>
      <c r="G12362" s="6" t="str">
        <f>VLOOKUP(E12362,dicionario!$A$1:$C12761,2,0)</f>
        <v>#N/A</v>
      </c>
      <c r="H12362" s="6" t="str">
        <f>VLOOKUP(E12362,dicionario!$A$1:$C12761,3,0)</f>
        <v>#N/A</v>
      </c>
    </row>
    <row r="12363">
      <c r="A12363" s="3">
        <v>45869.0</v>
      </c>
      <c r="B12363" s="4">
        <v>0.3236111111111111</v>
      </c>
      <c r="C12363" s="5" t="s">
        <v>76</v>
      </c>
      <c r="D12363" s="5" t="s">
        <v>1686</v>
      </c>
      <c r="E12363" s="8" t="s">
        <v>1694</v>
      </c>
      <c r="F12363" s="5" t="s">
        <v>1695</v>
      </c>
      <c r="G12363" s="6" t="str">
        <f>VLOOKUP(E12363,dicionario!$A$1:$C12762,2,0)</f>
        <v>Conyza bonariensis</v>
      </c>
      <c r="H12363" s="6" t="str">
        <f>VLOOKUP(E12363,dicionario!$A$1:$C12762,3,0)</f>
        <v>buva</v>
      </c>
    </row>
    <row r="12364">
      <c r="A12364" s="3">
        <v>45869.0</v>
      </c>
      <c r="B12364" s="4">
        <v>0.32430555555555557</v>
      </c>
      <c r="C12364" s="5" t="s">
        <v>76</v>
      </c>
      <c r="D12364" s="5" t="s">
        <v>1686</v>
      </c>
      <c r="E12364" s="6" t="s">
        <v>150</v>
      </c>
      <c r="F12364" s="5" t="s">
        <v>151</v>
      </c>
      <c r="G12364" s="6" t="str">
        <f>VLOOKUP(E12364,dicionario!$A$1:$C12763,2,0)</f>
        <v>Amaranthus viridis</v>
      </c>
      <c r="H12364" s="6" t="str">
        <f>VLOOKUP(E12364,dicionario!$A$1:$C12763,3,0)</f>
        <v>caruru-de-mancha</v>
      </c>
    </row>
    <row r="12365">
      <c r="A12365" s="3">
        <v>45869.0</v>
      </c>
      <c r="B12365" s="4">
        <v>0.32430555555555557</v>
      </c>
      <c r="C12365" s="5" t="s">
        <v>76</v>
      </c>
      <c r="D12365" s="5" t="s">
        <v>1686</v>
      </c>
      <c r="E12365" s="6" t="s">
        <v>195</v>
      </c>
      <c r="F12365" s="5" t="s">
        <v>196</v>
      </c>
      <c r="G12365" s="6" t="str">
        <f>VLOOKUP(E12365,dicionario!$A$1:$C12764,2,0)</f>
        <v>Priva lappulacea</v>
      </c>
      <c r="H12365" s="6" t="str">
        <f>VLOOKUP(E12365,dicionario!$A$1:$C12764,3,0)</f>
        <v>carrapicho</v>
      </c>
    </row>
    <row r="12366">
      <c r="A12366" s="3">
        <v>45869.0</v>
      </c>
      <c r="B12366" s="4">
        <v>0.325</v>
      </c>
      <c r="C12366" s="5" t="s">
        <v>76</v>
      </c>
      <c r="D12366" s="5" t="s">
        <v>1686</v>
      </c>
      <c r="E12366" s="8" t="s">
        <v>1217</v>
      </c>
      <c r="F12366" s="5" t="s">
        <v>1701</v>
      </c>
      <c r="G12366" s="6" t="str">
        <f>VLOOKUP(E12366,dicionario!$A$1:$C12765,2,0)</f>
        <v>Passiflora alata</v>
      </c>
      <c r="H12366" s="6" t="str">
        <f>VLOOKUP(E12366,dicionario!$A$1:$C12765,3,0)</f>
        <v>maracujá</v>
      </c>
    </row>
    <row r="12367">
      <c r="A12367" s="3">
        <v>45869.0</v>
      </c>
      <c r="B12367" s="4">
        <v>0.325</v>
      </c>
      <c r="C12367" s="5" t="s">
        <v>76</v>
      </c>
      <c r="D12367" s="5" t="s">
        <v>1686</v>
      </c>
      <c r="E12367" s="8" t="s">
        <v>631</v>
      </c>
      <c r="F12367" s="5" t="s">
        <v>45</v>
      </c>
      <c r="G12367" s="6" t="str">
        <f>VLOOKUP(E12367,dicionario!$A$1:$C12766,2,0)</f>
        <v>Chamaecrista nictitans</v>
      </c>
      <c r="H12367" s="6" t="str">
        <f>VLOOKUP(E12367,dicionario!$A$1:$C12766,3,0)</f>
        <v>falsa-dormideira</v>
      </c>
    </row>
    <row r="12368">
      <c r="A12368" s="3">
        <v>45869.0</v>
      </c>
      <c r="B12368" s="4">
        <v>0.325</v>
      </c>
      <c r="C12368" s="5" t="s">
        <v>76</v>
      </c>
      <c r="D12368" s="5" t="s">
        <v>1686</v>
      </c>
      <c r="E12368" s="11" t="s">
        <v>392</v>
      </c>
      <c r="F12368" s="5" t="s">
        <v>393</v>
      </c>
      <c r="G12368" s="6" t="str">
        <f>VLOOKUP(E12368,dicionario!$A$1:$C12767,2,0)</f>
        <v>Triplaris americana</v>
      </c>
      <c r="H12368" s="6" t="str">
        <f>VLOOKUP(E12368,dicionario!$A$1:$C12767,3,0)</f>
        <v>pau-formiga </v>
      </c>
    </row>
    <row r="12369">
      <c r="A12369" s="3">
        <v>45869.0</v>
      </c>
      <c r="B12369" s="4">
        <v>0.32569444444444445</v>
      </c>
      <c r="C12369" s="5" t="s">
        <v>76</v>
      </c>
      <c r="D12369" s="5" t="s">
        <v>1686</v>
      </c>
      <c r="E12369" s="6" t="s">
        <v>148</v>
      </c>
      <c r="F12369" s="5" t="s">
        <v>149</v>
      </c>
      <c r="G12369" s="6" t="str">
        <f>VLOOKUP(E12369,dicionario!$A$1:$C12768,2,0)</f>
        <v>Parthenium hysterophorus</v>
      </c>
      <c r="H12369" s="6" t="str">
        <f>VLOOKUP(E12369,dicionario!$A$1:$C12768,3,0)</f>
        <v>losna-branca</v>
      </c>
    </row>
    <row r="12370">
      <c r="A12370" s="3">
        <v>45869.0</v>
      </c>
      <c r="B12370" s="4">
        <v>0.32569444444444445</v>
      </c>
      <c r="C12370" s="5" t="s">
        <v>76</v>
      </c>
      <c r="D12370" s="5" t="s">
        <v>1686</v>
      </c>
      <c r="E12370" s="6" t="s">
        <v>280</v>
      </c>
      <c r="F12370" s="5" t="s">
        <v>281</v>
      </c>
      <c r="G12370" s="6" t="str">
        <f>VLOOKUP(E12370,dicionario!$A$1:$C12769,2,0)</f>
        <v>Lepidium virginicum</v>
      </c>
      <c r="H12370" s="6" t="str">
        <f>VLOOKUP(E12370,dicionario!$A$1:$C12769,3,0)</f>
        <v>mastruz</v>
      </c>
    </row>
    <row r="12371">
      <c r="A12371" s="3">
        <v>45869.0</v>
      </c>
      <c r="B12371" s="4">
        <v>0.32569444444444445</v>
      </c>
      <c r="C12371" s="5" t="s">
        <v>76</v>
      </c>
      <c r="D12371" s="5" t="s">
        <v>1686</v>
      </c>
      <c r="E12371" s="6" t="s">
        <v>171</v>
      </c>
      <c r="F12371" s="5" t="s">
        <v>172</v>
      </c>
      <c r="G12371" s="6" t="str">
        <f>VLOOKUP(E12371,dicionario!$A$1:$C12770,2,0)</f>
        <v>Oxalis corniculata</v>
      </c>
      <c r="H12371" s="6" t="str">
        <f>VLOOKUP(E12371,dicionario!$A$1:$C12770,3,0)</f>
        <v>trevo-azedinho</v>
      </c>
    </row>
    <row r="12372">
      <c r="A12372" s="3">
        <v>45869.0</v>
      </c>
      <c r="B12372" s="4">
        <v>0.32569444444444445</v>
      </c>
      <c r="C12372" s="5" t="s">
        <v>76</v>
      </c>
      <c r="D12372" s="5" t="s">
        <v>1686</v>
      </c>
      <c r="E12372" s="8" t="s">
        <v>1702</v>
      </c>
      <c r="F12372" s="5" t="s">
        <v>414</v>
      </c>
      <c r="G12372" s="6" t="str">
        <f>VLOOKUP(E12372,dicionario!$A$1:$C12771,2,0)</f>
        <v>#N/A</v>
      </c>
      <c r="H12372" s="6" t="str">
        <f>VLOOKUP(E12372,dicionario!$A$1:$C12771,3,0)</f>
        <v>#N/A</v>
      </c>
    </row>
    <row r="12373">
      <c r="A12373" s="3">
        <v>45869.0</v>
      </c>
      <c r="B12373" s="4">
        <v>0.32569444444444445</v>
      </c>
      <c r="C12373" s="5" t="s">
        <v>76</v>
      </c>
      <c r="D12373" s="5" t="s">
        <v>1686</v>
      </c>
      <c r="E12373" s="6" t="s">
        <v>154</v>
      </c>
      <c r="F12373" s="5" t="s">
        <v>155</v>
      </c>
      <c r="G12373" s="6" t="str">
        <f>VLOOKUP(E12373,dicionario!$A$1:$C12772,2,0)</f>
        <v>Cyperus rotundus</v>
      </c>
      <c r="H12373" s="6" t="str">
        <f>VLOOKUP(E12373,dicionario!$A$1:$C12772,3,0)</f>
        <v>tiririca</v>
      </c>
    </row>
    <row r="12374">
      <c r="A12374" s="3">
        <v>45869.0</v>
      </c>
      <c r="B12374" s="4">
        <v>0.3263888888888889</v>
      </c>
      <c r="C12374" s="5" t="s">
        <v>76</v>
      </c>
      <c r="D12374" s="5" t="s">
        <v>1686</v>
      </c>
      <c r="E12374" s="6" t="s">
        <v>489</v>
      </c>
      <c r="F12374" s="5" t="s">
        <v>521</v>
      </c>
      <c r="G12374" s="6" t="str">
        <f>VLOOKUP(E12374,dicionario!$A$1:$C12773,2,0)</f>
        <v>Cenchrus echinatus</v>
      </c>
      <c r="H12374" s="6" t="str">
        <f>VLOOKUP(E12374,dicionario!$A$1:$C12773,3,0)</f>
        <v>capim-carrapicho</v>
      </c>
    </row>
    <row r="12375">
      <c r="A12375" s="3">
        <v>45869.0</v>
      </c>
      <c r="B12375" s="4">
        <v>0.3263888888888889</v>
      </c>
      <c r="C12375" s="5" t="s">
        <v>76</v>
      </c>
      <c r="D12375" s="5" t="s">
        <v>1686</v>
      </c>
      <c r="E12375" s="8" t="s">
        <v>1219</v>
      </c>
      <c r="F12375" s="5" t="s">
        <v>1703</v>
      </c>
      <c r="G12375" s="6" t="str">
        <f>VLOOKUP(E12375,dicionario!$A$1:$C12774,2,0)</f>
        <v>#N/A</v>
      </c>
      <c r="H12375" s="6" t="str">
        <f>VLOOKUP(E12375,dicionario!$A$1:$C12774,3,0)</f>
        <v>#N/A</v>
      </c>
    </row>
    <row r="12376">
      <c r="A12376" s="3">
        <v>45869.0</v>
      </c>
      <c r="B12376" s="4">
        <v>0.32708333333333334</v>
      </c>
      <c r="C12376" s="5" t="s">
        <v>76</v>
      </c>
      <c r="D12376" s="5" t="s">
        <v>1686</v>
      </c>
      <c r="E12376" s="6" t="s">
        <v>154</v>
      </c>
      <c r="F12376" s="5" t="s">
        <v>759</v>
      </c>
      <c r="G12376" s="6" t="str">
        <f>VLOOKUP(E12376,dicionario!$A$1:$C12775,2,0)</f>
        <v>Cyperus rotundus</v>
      </c>
      <c r="H12376" s="6" t="str">
        <f>VLOOKUP(E12376,dicionario!$A$1:$C12775,3,0)</f>
        <v>tiririca</v>
      </c>
    </row>
    <row r="12377">
      <c r="A12377" s="3">
        <v>45869.0</v>
      </c>
      <c r="B12377" s="4">
        <v>0.3277777777777778</v>
      </c>
      <c r="C12377" s="5" t="s">
        <v>76</v>
      </c>
      <c r="D12377" s="5" t="s">
        <v>1686</v>
      </c>
      <c r="E12377" s="8" t="s">
        <v>16</v>
      </c>
      <c r="F12377" s="5" t="s">
        <v>17</v>
      </c>
      <c r="G12377" s="6" t="str">
        <f>VLOOKUP(E12377,dicionario!$A$1:$C12776,2,0)</f>
        <v>Eupetomena macroura</v>
      </c>
      <c r="H12377" s="6" t="str">
        <f>VLOOKUP(E12377,dicionario!$A$1:$C12776,3,0)</f>
        <v>beija-flor-tesoura</v>
      </c>
    </row>
    <row r="12378">
      <c r="A12378" s="3">
        <v>45869.0</v>
      </c>
      <c r="B12378" s="4">
        <v>0.3277777777777778</v>
      </c>
      <c r="C12378" s="5" t="s">
        <v>76</v>
      </c>
      <c r="D12378" s="5" t="s">
        <v>1686</v>
      </c>
      <c r="E12378" s="6" t="s">
        <v>144</v>
      </c>
      <c r="F12378" s="5" t="s">
        <v>145</v>
      </c>
      <c r="G12378" s="6" t="str">
        <f>VLOOKUP(E12378,dicionario!$A$1:$C12777,2,0)</f>
        <v>Gomphrena globosa</v>
      </c>
      <c r="H12378" s="6" t="str">
        <f>VLOOKUP(E12378,dicionario!$A$1:$C12777,3,0)</f>
        <v>perpétua-rosa</v>
      </c>
    </row>
    <row r="12379">
      <c r="A12379" s="3">
        <v>45869.0</v>
      </c>
      <c r="B12379" s="4">
        <v>0.3277777777777778</v>
      </c>
      <c r="C12379" s="5" t="s">
        <v>76</v>
      </c>
      <c r="D12379" s="5" t="s">
        <v>1686</v>
      </c>
      <c r="E12379" s="6" t="s">
        <v>467</v>
      </c>
      <c r="F12379" s="5" t="s">
        <v>468</v>
      </c>
      <c r="G12379" s="6" t="str">
        <f>VLOOKUP(E12379,dicionario!$A$1:$C12778,2,0)</f>
        <v>Eleusine indica</v>
      </c>
      <c r="H12379" s="6" t="str">
        <f>VLOOKUP(E12379,dicionario!$A$1:$C12778,3,0)</f>
        <v>capim-pé-de-galinha</v>
      </c>
    </row>
    <row r="12380">
      <c r="A12380" s="3">
        <v>45869.0</v>
      </c>
      <c r="B12380" s="4">
        <v>0.3284722222222222</v>
      </c>
      <c r="C12380" s="5" t="s">
        <v>76</v>
      </c>
      <c r="D12380" s="5" t="s">
        <v>1686</v>
      </c>
      <c r="E12380" s="8" t="s">
        <v>1503</v>
      </c>
      <c r="F12380" s="5" t="s">
        <v>1504</v>
      </c>
      <c r="G12380" s="6" t="str">
        <f>VLOOKUP(E12380,dicionario!$A$1:$C12779,2,0)</f>
        <v>#N/A</v>
      </c>
      <c r="H12380" s="6" t="str">
        <f>VLOOKUP(E12380,dicionario!$A$1:$C12779,3,0)</f>
        <v>#N/A</v>
      </c>
    </row>
    <row r="12381">
      <c r="A12381" s="3">
        <v>45869.0</v>
      </c>
      <c r="B12381" s="4">
        <v>0.3284722222222222</v>
      </c>
      <c r="C12381" s="5" t="s">
        <v>76</v>
      </c>
      <c r="D12381" s="5" t="s">
        <v>1686</v>
      </c>
      <c r="E12381" s="8" t="s">
        <v>1328</v>
      </c>
      <c r="F12381" s="5" t="s">
        <v>356</v>
      </c>
      <c r="G12381" s="6" t="str">
        <f>VLOOKUP(E12381,dicionario!$A$1:$C12780,2,0)</f>
        <v>#N/A</v>
      </c>
      <c r="H12381" s="6" t="str">
        <f>VLOOKUP(E12381,dicionario!$A$1:$C12780,3,0)</f>
        <v>#N/A</v>
      </c>
    </row>
    <row r="12382">
      <c r="A12382" s="3">
        <v>45869.0</v>
      </c>
      <c r="B12382" s="4">
        <v>0.3284722222222222</v>
      </c>
      <c r="C12382" s="5" t="s">
        <v>76</v>
      </c>
      <c r="D12382" s="5" t="s">
        <v>1686</v>
      </c>
      <c r="E12382" s="8" t="s">
        <v>69</v>
      </c>
      <c r="F12382" s="5" t="s">
        <v>263</v>
      </c>
      <c r="G12382" s="6" t="str">
        <f>VLOOKUP(E12382,dicionario!$A$1:$C12781,2,0)</f>
        <v>Talinum fruticosum</v>
      </c>
      <c r="H12382" s="6" t="str">
        <f>VLOOKUP(E12382,dicionario!$A$1:$C12781,3,0)</f>
        <v>beldroega-grande</v>
      </c>
    </row>
    <row r="12383">
      <c r="A12383" s="3">
        <v>45869.0</v>
      </c>
      <c r="B12383" s="4">
        <v>0.3284722222222222</v>
      </c>
      <c r="C12383" s="5" t="s">
        <v>76</v>
      </c>
      <c r="D12383" s="5" t="s">
        <v>1686</v>
      </c>
      <c r="E12383" s="6" t="s">
        <v>247</v>
      </c>
      <c r="F12383" s="5" t="s">
        <v>248</v>
      </c>
      <c r="G12383" s="6" t="str">
        <f>VLOOKUP(E12383,dicionario!$A$1:$C12782,2,0)</f>
        <v>Emilia sonchifolia</v>
      </c>
      <c r="H12383" s="6" t="str">
        <f>VLOOKUP(E12383,dicionario!$A$1:$C12782,3,0)</f>
        <v>serralinha</v>
      </c>
    </row>
    <row r="12384">
      <c r="A12384" s="3">
        <v>45869.0</v>
      </c>
      <c r="B12384" s="4">
        <v>0.32916666666666666</v>
      </c>
      <c r="C12384" s="5" t="s">
        <v>76</v>
      </c>
      <c r="D12384" s="5" t="s">
        <v>1686</v>
      </c>
      <c r="E12384" s="6" t="s">
        <v>288</v>
      </c>
      <c r="F12384" s="5" t="s">
        <v>289</v>
      </c>
      <c r="G12384" s="6" t="str">
        <f>VLOOKUP(E12384,dicionario!$A$1:$C12783,2,0)</f>
        <v>Phyllanthus tenellus</v>
      </c>
      <c r="H12384" s="6" t="str">
        <f>VLOOKUP(E12384,dicionario!$A$1:$C12783,3,0)</f>
        <v>quebra-pedra</v>
      </c>
    </row>
    <row r="12385">
      <c r="A12385" s="3">
        <v>45869.0</v>
      </c>
      <c r="B12385" s="4">
        <v>0.32916666666666666</v>
      </c>
      <c r="C12385" s="5" t="s">
        <v>76</v>
      </c>
      <c r="D12385" s="5" t="s">
        <v>1686</v>
      </c>
      <c r="E12385" s="6" t="s">
        <v>326</v>
      </c>
      <c r="F12385" s="5" t="s">
        <v>327</v>
      </c>
      <c r="G12385" s="6" t="str">
        <f>VLOOKUP(E12385,dicionario!$A$1:$C12784,2,0)</f>
        <v>Amaranthus spinosus</v>
      </c>
      <c r="H12385" s="6" t="str">
        <f>VLOOKUP(E12385,dicionario!$A$1:$C12784,3,0)</f>
        <v>caruru-de-espinho</v>
      </c>
    </row>
    <row r="12386">
      <c r="A12386" s="3">
        <v>45869.0</v>
      </c>
      <c r="B12386" s="4">
        <v>0.32916666666666666</v>
      </c>
      <c r="C12386" s="5" t="s">
        <v>76</v>
      </c>
      <c r="D12386" s="5" t="s">
        <v>1686</v>
      </c>
      <c r="E12386" s="8" t="s">
        <v>171</v>
      </c>
      <c r="F12386" s="5" t="s">
        <v>172</v>
      </c>
      <c r="G12386" s="6" t="str">
        <f>VLOOKUP(E12386,dicionario!$A$1:$C12785,2,0)</f>
        <v>Oxalis corniculata</v>
      </c>
      <c r="H12386" s="6" t="str">
        <f>VLOOKUP(E12386,dicionario!$A$1:$C12785,3,0)</f>
        <v>trevo-azedinho</v>
      </c>
    </row>
    <row r="12387">
      <c r="A12387" s="3">
        <v>45869.0</v>
      </c>
      <c r="B12387" s="4">
        <v>0.3298611111111111</v>
      </c>
      <c r="C12387" s="5" t="s">
        <v>76</v>
      </c>
      <c r="D12387" s="5" t="s">
        <v>1686</v>
      </c>
      <c r="E12387" s="6" t="s">
        <v>267</v>
      </c>
      <c r="F12387" s="5" t="s">
        <v>553</v>
      </c>
      <c r="G12387" s="6" t="str">
        <f>VLOOKUP(E12387,dicionario!$A$1:$C12786,2,0)</f>
        <v>Solanum americanum</v>
      </c>
      <c r="H12387" s="6" t="str">
        <f>VLOOKUP(E12387,dicionario!$A$1:$C12786,3,0)</f>
        <v>maria-pretinha</v>
      </c>
    </row>
    <row r="12388">
      <c r="A12388" s="3">
        <v>45869.0</v>
      </c>
      <c r="B12388" s="4">
        <v>0.3298611111111111</v>
      </c>
      <c r="C12388" s="5" t="s">
        <v>76</v>
      </c>
      <c r="D12388" s="5" t="s">
        <v>1686</v>
      </c>
      <c r="E12388" s="6" t="s">
        <v>319</v>
      </c>
      <c r="F12388" s="5" t="s">
        <v>320</v>
      </c>
      <c r="G12388" s="6" t="str">
        <f>VLOOKUP(E12388,dicionario!$A$1:$C12787,2,0)</f>
        <v>Schinus terebinthifolia</v>
      </c>
      <c r="H12388" s="6" t="str">
        <f>VLOOKUP(E12388,dicionario!$A$1:$C12787,3,0)</f>
        <v>aroeira</v>
      </c>
    </row>
    <row r="12389">
      <c r="A12389" s="3">
        <v>45869.0</v>
      </c>
      <c r="B12389" s="4">
        <v>0.3298611111111111</v>
      </c>
      <c r="C12389" s="5" t="s">
        <v>76</v>
      </c>
      <c r="D12389" s="5" t="s">
        <v>1686</v>
      </c>
      <c r="E12389" s="8" t="s">
        <v>1344</v>
      </c>
      <c r="F12389" s="5" t="s">
        <v>47</v>
      </c>
      <c r="G12389" s="6" t="str">
        <f>VLOOKUP(E12389,dicionario!$A$1:$C12788,2,0)</f>
        <v>#N/A</v>
      </c>
      <c r="H12389" s="6" t="str">
        <f>VLOOKUP(E12389,dicionario!$A$1:$C12788,3,0)</f>
        <v>#N/A</v>
      </c>
    </row>
    <row r="12390">
      <c r="A12390" s="3">
        <v>45869.0</v>
      </c>
      <c r="B12390" s="4">
        <v>0.3298611111111111</v>
      </c>
      <c r="C12390" s="5" t="s">
        <v>76</v>
      </c>
      <c r="D12390" s="5" t="s">
        <v>1686</v>
      </c>
      <c r="E12390" s="6" t="s">
        <v>177</v>
      </c>
      <c r="F12390" s="5" t="s">
        <v>178</v>
      </c>
      <c r="G12390" s="6" t="str">
        <f>VLOOKUP(E12390,dicionario!$A$1:$C12789,2,0)</f>
        <v>Elaenia flavogaster</v>
      </c>
      <c r="H12390" s="6" t="str">
        <f>VLOOKUP(E12390,dicionario!$A$1:$C12789,3,0)</f>
        <v>guaracava-de-barriga-amarela</v>
      </c>
    </row>
    <row r="12391">
      <c r="A12391" s="3">
        <v>45869.0</v>
      </c>
      <c r="B12391" s="4">
        <v>0.33125</v>
      </c>
      <c r="C12391" s="5" t="s">
        <v>76</v>
      </c>
      <c r="D12391" s="5" t="s">
        <v>1686</v>
      </c>
      <c r="E12391" s="6" t="s">
        <v>116</v>
      </c>
      <c r="F12391" s="5" t="s">
        <v>117</v>
      </c>
      <c r="G12391" s="6" t="str">
        <f>VLOOKUP(E12391,dicionario!$A$1:$C12790,2,0)</f>
        <v>Argiope argentata</v>
      </c>
      <c r="H12391" s="6" t="str">
        <f>VLOOKUP(E12391,dicionario!$A$1:$C12790,3,0)</f>
        <v>aranha-de-prata</v>
      </c>
    </row>
    <row r="12392">
      <c r="A12392" s="3">
        <v>45869.0</v>
      </c>
      <c r="B12392" s="4">
        <v>0.33125</v>
      </c>
      <c r="C12392" s="5" t="s">
        <v>76</v>
      </c>
      <c r="D12392" s="5" t="s">
        <v>1686</v>
      </c>
      <c r="E12392" s="65" t="s">
        <v>1394</v>
      </c>
      <c r="F12392" s="5" t="s">
        <v>1395</v>
      </c>
      <c r="G12392" s="6" t="str">
        <f>VLOOKUP(E12392,dicionario!$A$1:$C12791,2,0)</f>
        <v>Cecropia glaziovii</v>
      </c>
      <c r="H12392" s="6" t="str">
        <f>VLOOKUP(E12392,dicionario!$A$1:$C12791,3,0)</f>
        <v>embaúba-vermelha-do-sul</v>
      </c>
    </row>
    <row r="12393">
      <c r="A12393" s="3">
        <v>45869.0</v>
      </c>
      <c r="B12393" s="4">
        <v>0.3326388888888889</v>
      </c>
      <c r="C12393" s="5" t="s">
        <v>76</v>
      </c>
      <c r="D12393" s="5" t="s">
        <v>1686</v>
      </c>
      <c r="E12393" s="8" t="s">
        <v>821</v>
      </c>
      <c r="F12393" s="5" t="s">
        <v>876</v>
      </c>
      <c r="G12393" s="6" t="str">
        <f>VLOOKUP(E12393,dicionario!$A$1:$C12792,2,0)</f>
        <v>Schefflera actinophylla</v>
      </c>
      <c r="H12393" s="6" t="str">
        <f>VLOOKUP(E12393,dicionario!$A$1:$C12792,3,0)</f>
        <v>árvore-guarda-chuva</v>
      </c>
    </row>
    <row r="12394">
      <c r="A12394" s="3">
        <v>45869.0</v>
      </c>
      <c r="B12394" s="4">
        <v>0.33541666666666664</v>
      </c>
      <c r="C12394" s="5" t="s">
        <v>85</v>
      </c>
      <c r="D12394" s="5" t="s">
        <v>1686</v>
      </c>
      <c r="E12394" s="6" t="s">
        <v>65</v>
      </c>
      <c r="F12394" s="5" t="s">
        <v>66</v>
      </c>
      <c r="G12394" s="6" t="str">
        <f>VLOOKUP(E12394,dicionario!$A$1:$C12793,2,0)</f>
        <v>Pitangus sulphutarus</v>
      </c>
      <c r="H12394" s="6" t="str">
        <f>VLOOKUP(E12394,dicionario!$A$1:$C12793,3,0)</f>
        <v>bem-te-vi</v>
      </c>
    </row>
    <row r="12395">
      <c r="A12395" s="3">
        <v>45869.0</v>
      </c>
      <c r="B12395" s="4">
        <v>0.33541666666666664</v>
      </c>
      <c r="C12395" s="5" t="s">
        <v>85</v>
      </c>
      <c r="D12395" s="5" t="s">
        <v>1686</v>
      </c>
      <c r="E12395" s="8" t="s">
        <v>109</v>
      </c>
      <c r="F12395" s="5" t="s">
        <v>1418</v>
      </c>
      <c r="G12395" s="6" t="str">
        <f>VLOOKUP(E12395,dicionario!$A$1:$C12794,2,0)</f>
        <v>Tillandsia stricta</v>
      </c>
      <c r="H12395" s="6" t="str">
        <f>VLOOKUP(E12395,dicionario!$A$1:$C12794,3,0)</f>
        <v>cravo-do-mato</v>
      </c>
    </row>
    <row r="12396">
      <c r="A12396" s="3">
        <v>45869.0</v>
      </c>
      <c r="B12396" s="4">
        <v>0.33541666666666664</v>
      </c>
      <c r="C12396" s="5" t="s">
        <v>85</v>
      </c>
      <c r="D12396" s="5" t="s">
        <v>1686</v>
      </c>
      <c r="E12396" s="6" t="s">
        <v>383</v>
      </c>
      <c r="F12396" s="5" t="s">
        <v>384</v>
      </c>
      <c r="G12396" s="6" t="str">
        <f>VLOOKUP(E12396,dicionario!$A$1:$C12795,2,0)</f>
        <v>Setophaga pitiayumi</v>
      </c>
      <c r="H12396" s="6" t="str">
        <f>VLOOKUP(E12396,dicionario!$A$1:$C12795,3,0)</f>
        <v>mariquita</v>
      </c>
    </row>
    <row r="12397">
      <c r="A12397" s="3">
        <v>45869.0</v>
      </c>
      <c r="B12397" s="4">
        <v>0.33541666666666664</v>
      </c>
      <c r="C12397" s="5" t="s">
        <v>85</v>
      </c>
      <c r="D12397" s="5" t="s">
        <v>1686</v>
      </c>
      <c r="E12397" s="6" t="s">
        <v>86</v>
      </c>
      <c r="F12397" s="5" t="s">
        <v>502</v>
      </c>
      <c r="G12397" s="6" t="str">
        <f>VLOOKUP(E12397,dicionario!$A$1:$C12796,2,0)</f>
        <v>Coereba flaveola</v>
      </c>
      <c r="H12397" s="6" t="str">
        <f>VLOOKUP(E12397,dicionario!$A$1:$C12796,3,0)</f>
        <v>cambacica</v>
      </c>
    </row>
    <row r="12398">
      <c r="A12398" s="3">
        <v>45869.0</v>
      </c>
      <c r="B12398" s="4">
        <v>0.33541666666666664</v>
      </c>
      <c r="C12398" s="5" t="s">
        <v>85</v>
      </c>
      <c r="D12398" s="5" t="s">
        <v>1686</v>
      </c>
      <c r="E12398" s="8" t="s">
        <v>566</v>
      </c>
      <c r="F12398" s="5" t="s">
        <v>567</v>
      </c>
      <c r="G12398" s="6" t="str">
        <f>VLOOKUP(E12398,dicionario!$A$1:$C12797,2,0)</f>
        <v>Baccharis dracunculifolia</v>
      </c>
      <c r="H12398" s="6" t="str">
        <f>VLOOKUP(E12398,dicionario!$A$1:$C12797,3,0)</f>
        <v>vassoura</v>
      </c>
    </row>
    <row r="12399">
      <c r="A12399" s="3">
        <v>45869.0</v>
      </c>
      <c r="B12399" s="4">
        <v>0.33541666666666664</v>
      </c>
      <c r="C12399" s="5" t="s">
        <v>85</v>
      </c>
      <c r="D12399" s="5" t="s">
        <v>1686</v>
      </c>
      <c r="E12399" s="6" t="s">
        <v>191</v>
      </c>
      <c r="F12399" s="5" t="s">
        <v>192</v>
      </c>
      <c r="G12399" s="6" t="str">
        <f>VLOOKUP(E12399,dicionario!$A$1:$C12798,2,0)</f>
        <v>Patagioenas picazuro</v>
      </c>
      <c r="H12399" s="6" t="str">
        <f>VLOOKUP(E12399,dicionario!$A$1:$C12798,3,0)</f>
        <v>asa-branca; pomba-asa-branca; pocaçu</v>
      </c>
    </row>
    <row r="12400">
      <c r="A12400" s="3">
        <v>45869.0</v>
      </c>
      <c r="B12400" s="4">
        <v>0.33541666666666664</v>
      </c>
      <c r="C12400" s="5" t="s">
        <v>85</v>
      </c>
      <c r="D12400" s="5" t="s">
        <v>1686</v>
      </c>
      <c r="E12400" s="8" t="s">
        <v>271</v>
      </c>
      <c r="F12400" s="5" t="s">
        <v>272</v>
      </c>
      <c r="G12400" s="6" t="str">
        <f>VLOOKUP(E12400,dicionario!$A$1:$C12799,2,0)</f>
        <v>Cyanthillium cinereum</v>
      </c>
      <c r="H12400" s="6" t="str">
        <f>VLOOKUP(E12400,dicionario!$A$1:$C12799,3,0)</f>
        <v>emília</v>
      </c>
    </row>
    <row r="12401">
      <c r="A12401" s="3">
        <v>45869.0</v>
      </c>
      <c r="B12401" s="4">
        <v>0.33541666666666664</v>
      </c>
      <c r="C12401" s="5" t="s">
        <v>85</v>
      </c>
      <c r="D12401" s="5" t="s">
        <v>1686</v>
      </c>
      <c r="E12401" s="8" t="s">
        <v>135</v>
      </c>
      <c r="F12401" s="5" t="s">
        <v>136</v>
      </c>
      <c r="G12401" s="6" t="str">
        <f>VLOOKUP(E12401,dicionario!$A$1:$C12800,2,0)</f>
        <v>Tridax procumbens</v>
      </c>
      <c r="H12401" s="6" t="str">
        <f>VLOOKUP(E12401,dicionario!$A$1:$C12800,3,0)</f>
        <v>erva-de-touro</v>
      </c>
    </row>
    <row r="12402">
      <c r="A12402" s="3">
        <v>45869.0</v>
      </c>
      <c r="B12402" s="4">
        <v>0.33541666666666664</v>
      </c>
      <c r="C12402" s="5" t="s">
        <v>85</v>
      </c>
      <c r="D12402" s="5" t="s">
        <v>1686</v>
      </c>
      <c r="E12402" s="8" t="s">
        <v>38</v>
      </c>
      <c r="F12402" s="5" t="s">
        <v>39</v>
      </c>
      <c r="G12402" s="6" t="str">
        <f>VLOOKUP(E12402,dicionario!$A$1:$C12801,2,0)</f>
        <v>Troglodytes musculus</v>
      </c>
      <c r="H12402" s="6" t="str">
        <f>VLOOKUP(E12402,dicionario!$A$1:$C12801,3,0)</f>
        <v>curruíra</v>
      </c>
    </row>
    <row r="12403">
      <c r="A12403" s="3">
        <v>45869.0</v>
      </c>
      <c r="B12403" s="4">
        <v>0.33611111111111114</v>
      </c>
      <c r="C12403" s="5" t="s">
        <v>85</v>
      </c>
      <c r="D12403" s="5" t="s">
        <v>1686</v>
      </c>
      <c r="E12403" s="8" t="s">
        <v>928</v>
      </c>
      <c r="F12403" s="5" t="s">
        <v>418</v>
      </c>
      <c r="G12403" s="6" t="str">
        <f>VLOOKUP(E12403,dicionario!$A$1:$C12802,2,0)</f>
        <v>Camponotus</v>
      </c>
      <c r="H12403" s="6" t="str">
        <f>VLOOKUP(E12403,dicionario!$A$1:$C12802,3,0)</f>
        <v>formiga-preta</v>
      </c>
    </row>
    <row r="12404">
      <c r="A12404" s="3">
        <v>45869.0</v>
      </c>
      <c r="B12404" s="4">
        <v>0.3368055555555556</v>
      </c>
      <c r="C12404" s="5" t="s">
        <v>85</v>
      </c>
      <c r="D12404" s="5" t="s">
        <v>1686</v>
      </c>
      <c r="E12404" s="8" t="s">
        <v>849</v>
      </c>
      <c r="F12404" s="5" t="s">
        <v>1457</v>
      </c>
      <c r="G12404" s="6" t="str">
        <f>VLOOKUP(E12404,dicionario!$A$1:$C12803,2,0)</f>
        <v>#N/A</v>
      </c>
      <c r="H12404" s="6" t="str">
        <f>VLOOKUP(E12404,dicionario!$A$1:$C12803,3,0)</f>
        <v>#N/A</v>
      </c>
    </row>
    <row r="12405">
      <c r="A12405" s="3">
        <v>45869.0</v>
      </c>
      <c r="B12405" s="4">
        <v>0.3368055555555556</v>
      </c>
      <c r="C12405" s="5" t="s">
        <v>85</v>
      </c>
      <c r="D12405" s="5" t="s">
        <v>1686</v>
      </c>
      <c r="E12405" s="8" t="s">
        <v>298</v>
      </c>
      <c r="F12405" s="7"/>
      <c r="G12405" s="6" t="str">
        <f>VLOOKUP(E12405,dicionario!$A$1:$C12804,2,0)</f>
        <v>Alysicarpus vaginalis</v>
      </c>
      <c r="H12405" s="6" t="str">
        <f>VLOOKUP(E12405,dicionario!$A$1:$C12804,3,0)</f>
        <v/>
      </c>
    </row>
    <row r="12406">
      <c r="A12406" s="3">
        <v>45869.0</v>
      </c>
      <c r="B12406" s="4">
        <v>0.3368055555555556</v>
      </c>
      <c r="C12406" s="5" t="s">
        <v>85</v>
      </c>
      <c r="D12406" s="5" t="s">
        <v>1686</v>
      </c>
      <c r="E12406" s="6" t="s">
        <v>14</v>
      </c>
      <c r="F12406" s="5" t="s">
        <v>15</v>
      </c>
      <c r="G12406" s="6" t="str">
        <f>VLOOKUP(E12406,dicionario!$A$1:$C12805,2,0)</f>
        <v>Spermacoce verticillata</v>
      </c>
      <c r="H12406" s="6" t="str">
        <f>VLOOKUP(E12406,dicionario!$A$1:$C12805,3,0)</f>
        <v>vassourinha-de-botão</v>
      </c>
    </row>
    <row r="12407">
      <c r="A12407" s="3">
        <v>45869.0</v>
      </c>
      <c r="B12407" s="4">
        <v>0.3368055555555556</v>
      </c>
      <c r="C12407" s="5" t="s">
        <v>85</v>
      </c>
      <c r="D12407" s="5" t="s">
        <v>1686</v>
      </c>
      <c r="E12407" s="8" t="s">
        <v>909</v>
      </c>
      <c r="F12407" s="5" t="s">
        <v>910</v>
      </c>
      <c r="G12407" s="6" t="str">
        <f>VLOOKUP(E12407,dicionario!$A$1:$C12806,2,0)</f>
        <v>Chordeiles acutipennis</v>
      </c>
      <c r="H12407" s="6" t="str">
        <f>VLOOKUP(E12407,dicionario!$A$1:$C12806,3,0)</f>
        <v>bacurau-de-asa-fina</v>
      </c>
    </row>
    <row r="12408">
      <c r="A12408" s="3">
        <v>45869.0</v>
      </c>
      <c r="B12408" s="4">
        <v>0.3375</v>
      </c>
      <c r="C12408" s="5" t="s">
        <v>85</v>
      </c>
      <c r="D12408" s="5" t="s">
        <v>1686</v>
      </c>
      <c r="E12408" s="6" t="s">
        <v>399</v>
      </c>
      <c r="F12408" s="5" t="s">
        <v>400</v>
      </c>
      <c r="G12408" s="6" t="str">
        <f>VLOOKUP(E12408,dicionario!$A$1:$C12807,2,0)</f>
        <v>Varronia curassavica</v>
      </c>
      <c r="H12408" s="6" t="str">
        <f>VLOOKUP(E12408,dicionario!$A$1:$C12807,3,0)</f>
        <v>erva-baleeira</v>
      </c>
    </row>
    <row r="12409">
      <c r="A12409" s="3">
        <v>45869.0</v>
      </c>
      <c r="B12409" s="4">
        <v>0.3423611111111111</v>
      </c>
      <c r="C12409" s="5" t="s">
        <v>90</v>
      </c>
      <c r="D12409" s="5" t="s">
        <v>1686</v>
      </c>
      <c r="E12409" s="6" t="s">
        <v>88</v>
      </c>
      <c r="F12409" s="5" t="s">
        <v>89</v>
      </c>
      <c r="G12409" s="6" t="str">
        <f>VLOOKUP(E12409,dicionario!$A$1:$C12808,2,0)</f>
        <v>Tyrannus melancolichus</v>
      </c>
      <c r="H12409" s="6" t="str">
        <f>VLOOKUP(E12409,dicionario!$A$1:$C12808,3,0)</f>
        <v>suiriri</v>
      </c>
    </row>
    <row r="12410">
      <c r="A12410" s="3">
        <v>45869.0</v>
      </c>
      <c r="B12410" s="4">
        <v>0.3423611111111111</v>
      </c>
      <c r="C12410" s="5" t="s">
        <v>90</v>
      </c>
      <c r="D12410" s="5" t="s">
        <v>1686</v>
      </c>
      <c r="E12410" s="8" t="s">
        <v>109</v>
      </c>
      <c r="F12410" s="5" t="s">
        <v>110</v>
      </c>
      <c r="G12410" s="6" t="str">
        <f>VLOOKUP(E12410,dicionario!$A$1:$C12809,2,0)</f>
        <v>Tillandsia stricta</v>
      </c>
      <c r="H12410" s="6" t="str">
        <f>VLOOKUP(E12410,dicionario!$A$1:$C12809,3,0)</f>
        <v>cravo-do-mato</v>
      </c>
    </row>
    <row r="12411">
      <c r="A12411" s="3">
        <v>45869.0</v>
      </c>
      <c r="B12411" s="4">
        <v>0.3423611111111111</v>
      </c>
      <c r="C12411" s="5" t="s">
        <v>90</v>
      </c>
      <c r="D12411" s="5" t="s">
        <v>1686</v>
      </c>
      <c r="E12411" s="8" t="s">
        <v>122</v>
      </c>
      <c r="F12411" s="5" t="s">
        <v>911</v>
      </c>
      <c r="G12411" s="6" t="str">
        <f>VLOOKUP(E12411,dicionario!$A$1:$C12810,2,0)</f>
        <v>Todirostrum cinereum</v>
      </c>
      <c r="H12411" s="6" t="str">
        <f>VLOOKUP(E12411,dicionario!$A$1:$C12810,3,0)</f>
        <v>ferreirinho-relógio</v>
      </c>
    </row>
    <row r="12412">
      <c r="A12412" s="3">
        <v>45869.0</v>
      </c>
      <c r="B12412" s="4">
        <v>0.3423611111111111</v>
      </c>
      <c r="C12412" s="5" t="s">
        <v>90</v>
      </c>
      <c r="D12412" s="5" t="s">
        <v>1686</v>
      </c>
      <c r="E12412" s="8" t="s">
        <v>712</v>
      </c>
      <c r="F12412" s="5" t="s">
        <v>912</v>
      </c>
      <c r="G12412" s="6" t="str">
        <f>VLOOKUP(E12412,dicionario!$A$1:$C12811,2,0)</f>
        <v>Flavopunctelia soredica</v>
      </c>
      <c r="H12412" s="6" t="str">
        <f>VLOOKUP(E12412,dicionario!$A$1:$C12811,3,0)</f>
        <v>líquen-folioso</v>
      </c>
    </row>
    <row r="12413">
      <c r="A12413" s="3">
        <v>45869.0</v>
      </c>
      <c r="B12413" s="4">
        <v>0.3423611111111111</v>
      </c>
      <c r="C12413" s="5" t="s">
        <v>90</v>
      </c>
      <c r="D12413" s="5" t="s">
        <v>1686</v>
      </c>
      <c r="E12413" s="11" t="s">
        <v>107</v>
      </c>
      <c r="F12413" s="5" t="s">
        <v>108</v>
      </c>
      <c r="G12413" s="6" t="str">
        <f>VLOOKUP(E12413,dicionario!$A$1:$C12812,2,0)</f>
        <v>Ramalina complanata</v>
      </c>
      <c r="H12413" s="6" t="str">
        <f>VLOOKUP(E12413,dicionario!$A$1:$C12812,3,0)</f>
        <v>ramalina</v>
      </c>
    </row>
    <row r="12414">
      <c r="A12414" s="3">
        <v>45869.0</v>
      </c>
      <c r="B12414" s="4">
        <v>0.3423611111111111</v>
      </c>
      <c r="C12414" s="5" t="s">
        <v>90</v>
      </c>
      <c r="D12414" s="5" t="s">
        <v>1686</v>
      </c>
      <c r="E12414" s="8" t="s">
        <v>752</v>
      </c>
      <c r="F12414" s="5" t="s">
        <v>969</v>
      </c>
      <c r="G12414" s="6" t="str">
        <f>VLOOKUP(E12414,dicionario!$A$1:$C12813,2,0)</f>
        <v>#N/A</v>
      </c>
      <c r="H12414" s="6" t="str">
        <f>VLOOKUP(E12414,dicionario!$A$1:$C12813,3,0)</f>
        <v>#N/A</v>
      </c>
    </row>
    <row r="12415">
      <c r="A12415" s="3">
        <v>45869.0</v>
      </c>
      <c r="B12415" s="4">
        <v>0.34305555555555556</v>
      </c>
      <c r="C12415" s="5" t="s">
        <v>90</v>
      </c>
      <c r="D12415" s="5" t="s">
        <v>1686</v>
      </c>
      <c r="E12415" s="6" t="s">
        <v>736</v>
      </c>
      <c r="F12415" s="5" t="s">
        <v>737</v>
      </c>
      <c r="G12415" s="6" t="str">
        <f>VLOOKUP(E12415,dicionario!$A$1:$C12814,2,0)</f>
        <v>Chloris virgata</v>
      </c>
      <c r="H12415" s="6" t="str">
        <f>VLOOKUP(E12415,dicionario!$A$1:$C12814,3,0)</f>
        <v>capim-pavão</v>
      </c>
    </row>
    <row r="12416">
      <c r="A12416" s="3">
        <v>45869.0</v>
      </c>
      <c r="B12416" s="4">
        <v>0.34305555555555556</v>
      </c>
      <c r="C12416" s="5" t="s">
        <v>90</v>
      </c>
      <c r="D12416" s="5" t="s">
        <v>1686</v>
      </c>
      <c r="E12416" s="8" t="s">
        <v>135</v>
      </c>
      <c r="F12416" s="5" t="s">
        <v>136</v>
      </c>
      <c r="G12416" s="6" t="str">
        <f>VLOOKUP(E12416,dicionario!$A$1:$C12815,2,0)</f>
        <v>Tridax procumbens</v>
      </c>
      <c r="H12416" s="6" t="str">
        <f>VLOOKUP(E12416,dicionario!$A$1:$C12815,3,0)</f>
        <v>erva-de-touro</v>
      </c>
    </row>
    <row r="12417">
      <c r="A12417" s="3">
        <v>45869.0</v>
      </c>
      <c r="B12417" s="4">
        <v>0.34375</v>
      </c>
      <c r="C12417" s="5" t="s">
        <v>90</v>
      </c>
      <c r="D12417" s="5" t="s">
        <v>1686</v>
      </c>
      <c r="E12417" s="6" t="s">
        <v>353</v>
      </c>
      <c r="F12417" s="5" t="s">
        <v>354</v>
      </c>
      <c r="G12417" s="6" t="str">
        <f>VLOOKUP(E12417,dicionario!$A$1:$C12816,2,0)</f>
        <v>Desmodium incanum</v>
      </c>
      <c r="H12417" s="6" t="str">
        <f>VLOOKUP(E12417,dicionario!$A$1:$C12816,3,0)</f>
        <v>pega-pega</v>
      </c>
    </row>
    <row r="12418">
      <c r="A12418" s="3">
        <v>45869.0</v>
      </c>
      <c r="B12418" s="4">
        <v>0.34444444444444444</v>
      </c>
      <c r="C12418" s="5" t="s">
        <v>90</v>
      </c>
      <c r="D12418" s="5" t="s">
        <v>1686</v>
      </c>
      <c r="E12418" s="6" t="s">
        <v>14</v>
      </c>
      <c r="F12418" s="5" t="s">
        <v>922</v>
      </c>
      <c r="G12418" s="6" t="str">
        <f>VLOOKUP(E12418,dicionario!$A$1:$C12817,2,0)</f>
        <v>Spermacoce verticillata</v>
      </c>
      <c r="H12418" s="6" t="str">
        <f>VLOOKUP(E12418,dicionario!$A$1:$C12817,3,0)</f>
        <v>vassourinha-de-botão</v>
      </c>
    </row>
    <row r="12419">
      <c r="A12419" s="3">
        <v>45869.0</v>
      </c>
      <c r="B12419" s="4">
        <v>0.3451388888888889</v>
      </c>
      <c r="C12419" s="5" t="s">
        <v>90</v>
      </c>
      <c r="D12419" s="5" t="s">
        <v>1686</v>
      </c>
      <c r="E12419" s="6" t="s">
        <v>148</v>
      </c>
      <c r="F12419" s="5" t="s">
        <v>149</v>
      </c>
      <c r="G12419" s="6" t="str">
        <f>VLOOKUP(E12419,dicionario!$A$1:$C12818,2,0)</f>
        <v>Parthenium hysterophorus</v>
      </c>
      <c r="H12419" s="6" t="str">
        <f>VLOOKUP(E12419,dicionario!$A$1:$C12818,3,0)</f>
        <v>losna-branca</v>
      </c>
    </row>
    <row r="12420">
      <c r="A12420" s="3">
        <v>45869.0</v>
      </c>
      <c r="B12420" s="4">
        <v>0.3458333333333333</v>
      </c>
      <c r="C12420" s="5" t="s">
        <v>90</v>
      </c>
      <c r="D12420" s="5" t="s">
        <v>1686</v>
      </c>
      <c r="E12420" s="6" t="s">
        <v>53</v>
      </c>
      <c r="F12420" s="5" t="s">
        <v>54</v>
      </c>
      <c r="G12420" s="6" t="str">
        <f>VLOOKUP(E12420,dicionario!$A$1:$C12819,2,0)</f>
        <v>Turnera subulata</v>
      </c>
      <c r="H12420" s="6" t="str">
        <f>VLOOKUP(E12420,dicionario!$A$1:$C12819,3,0)</f>
        <v>xanana</v>
      </c>
    </row>
    <row r="12421">
      <c r="A12421" s="3">
        <v>45869.0</v>
      </c>
      <c r="B12421" s="4">
        <v>0.3472222222222222</v>
      </c>
      <c r="C12421" s="5" t="s">
        <v>90</v>
      </c>
      <c r="D12421" s="5" t="s">
        <v>1686</v>
      </c>
      <c r="E12421" s="8" t="s">
        <v>298</v>
      </c>
      <c r="F12421" s="5"/>
      <c r="G12421" s="6" t="str">
        <f>VLOOKUP(E12421,dicionario!$A$1:$C12820,2,0)</f>
        <v>Alysicarpus vaginalis</v>
      </c>
      <c r="H12421" s="6" t="str">
        <f>VLOOKUP(E12421,dicionario!$A$1:$C12820,3,0)</f>
        <v/>
      </c>
    </row>
    <row r="12422">
      <c r="A12422" s="3">
        <v>45876.0</v>
      </c>
      <c r="B12422" s="4">
        <v>0.2604166666666667</v>
      </c>
      <c r="C12422" s="5" t="s">
        <v>90</v>
      </c>
      <c r="D12422" s="5" t="s">
        <v>1704</v>
      </c>
      <c r="E12422" s="8" t="s">
        <v>712</v>
      </c>
      <c r="F12422" s="5" t="s">
        <v>1602</v>
      </c>
      <c r="G12422" s="6" t="str">
        <f>VLOOKUP(E12422,dicionario!$A$1:$C12821,2,0)</f>
        <v>Flavopunctelia soredica</v>
      </c>
      <c r="H12422" s="6" t="str">
        <f>VLOOKUP(E12422,dicionario!$A$1:$C12821,3,0)</f>
        <v>líquen-folioso</v>
      </c>
    </row>
    <row r="12423">
      <c r="A12423" s="3">
        <v>45876.0</v>
      </c>
      <c r="B12423" s="4">
        <v>0.2604166666666667</v>
      </c>
      <c r="C12423" s="5" t="s">
        <v>90</v>
      </c>
      <c r="D12423" s="5" t="s">
        <v>1704</v>
      </c>
      <c r="E12423" s="8" t="s">
        <v>122</v>
      </c>
      <c r="F12423" s="5" t="s">
        <v>1593</v>
      </c>
      <c r="G12423" s="6" t="str">
        <f>VLOOKUP(E12423,dicionario!$A$1:$C12822,2,0)</f>
        <v>Todirostrum cinereum</v>
      </c>
      <c r="H12423" s="6" t="str">
        <f>VLOOKUP(E12423,dicionario!$A$1:$C12822,3,0)</f>
        <v>ferreirinho-relógio</v>
      </c>
    </row>
    <row r="12424">
      <c r="A12424" s="3">
        <v>45876.0</v>
      </c>
      <c r="B12424" s="4">
        <v>0.2604166666666667</v>
      </c>
      <c r="C12424" s="5" t="s">
        <v>90</v>
      </c>
      <c r="D12424" s="5" t="s">
        <v>1704</v>
      </c>
      <c r="E12424" s="8" t="s">
        <v>107</v>
      </c>
      <c r="F12424" s="5" t="s">
        <v>834</v>
      </c>
      <c r="G12424" s="6" t="str">
        <f>VLOOKUP(E12424,dicionario!$A$1:$C12823,2,0)</f>
        <v>Ramalina complanata</v>
      </c>
      <c r="H12424" s="6" t="str">
        <f>VLOOKUP(E12424,dicionario!$A$1:$C12823,3,0)</f>
        <v>ramalina</v>
      </c>
    </row>
    <row r="12425">
      <c r="A12425" s="3">
        <v>45876.0</v>
      </c>
      <c r="B12425" s="4">
        <v>0.2604166666666667</v>
      </c>
      <c r="C12425" s="5" t="s">
        <v>90</v>
      </c>
      <c r="D12425" s="5" t="s">
        <v>1704</v>
      </c>
      <c r="E12425" s="8" t="s">
        <v>1571</v>
      </c>
      <c r="F12425" s="5" t="s">
        <v>1572</v>
      </c>
      <c r="G12425" s="6" t="str">
        <f>VLOOKUP(E12425,dicionario!$A$1:$C12824,2,0)</f>
        <v>#N/A</v>
      </c>
      <c r="H12425" s="6" t="str">
        <f>VLOOKUP(E12425,dicionario!$A$1:$C12824,3,0)</f>
        <v>#N/A</v>
      </c>
    </row>
    <row r="12426">
      <c r="A12426" s="3">
        <v>45876.0</v>
      </c>
      <c r="B12426" s="4">
        <v>0.26180555555555557</v>
      </c>
      <c r="C12426" s="5" t="s">
        <v>90</v>
      </c>
      <c r="D12426" s="5" t="s">
        <v>1704</v>
      </c>
      <c r="E12426" s="8" t="s">
        <v>624</v>
      </c>
      <c r="F12426" s="5" t="s">
        <v>133</v>
      </c>
      <c r="G12426" s="6" t="str">
        <f>VLOOKUP(E12426,dicionario!$A$1:$C12825,2,0)</f>
        <v>Euphonia violacea</v>
      </c>
      <c r="H12426" s="6" t="str">
        <f>VLOOKUP(E12426,dicionario!$A$1:$C12825,3,0)</f>
        <v>gaturamo-verdadeiro</v>
      </c>
    </row>
    <row r="12427">
      <c r="A12427" s="3">
        <v>45876.0</v>
      </c>
      <c r="B12427" s="4">
        <v>0.26180555555555557</v>
      </c>
      <c r="C12427" s="5" t="s">
        <v>90</v>
      </c>
      <c r="D12427" s="5" t="s">
        <v>1704</v>
      </c>
      <c r="E12427" s="6" t="s">
        <v>60</v>
      </c>
      <c r="F12427" s="5" t="s">
        <v>1659</v>
      </c>
      <c r="G12427" s="6" t="str">
        <f>VLOOKUP(E12427,dicionario!$A$1:$C12826,2,0)</f>
        <v>Vanellus chilensis</v>
      </c>
      <c r="H12427" s="6" t="str">
        <f>VLOOKUP(E12427,dicionario!$A$1:$C12826,3,0)</f>
        <v>quero-quero</v>
      </c>
    </row>
    <row r="12428">
      <c r="A12428" s="3">
        <v>45876.0</v>
      </c>
      <c r="B12428" s="4">
        <v>0.26180555555555557</v>
      </c>
      <c r="C12428" s="5" t="s">
        <v>90</v>
      </c>
      <c r="D12428" s="5" t="s">
        <v>1704</v>
      </c>
      <c r="E12428" s="8" t="s">
        <v>38</v>
      </c>
      <c r="F12428" s="5" t="s">
        <v>1251</v>
      </c>
      <c r="G12428" s="6" t="str">
        <f>VLOOKUP(E12428,dicionario!$A$1:$C12827,2,0)</f>
        <v>Troglodytes musculus</v>
      </c>
      <c r="H12428" s="6" t="str">
        <f>VLOOKUP(E12428,dicionario!$A$1:$C12827,3,0)</f>
        <v>curruíra</v>
      </c>
    </row>
    <row r="12429">
      <c r="A12429" s="3">
        <v>45876.0</v>
      </c>
      <c r="B12429" s="4">
        <v>0.26180555555555557</v>
      </c>
      <c r="C12429" s="5" t="s">
        <v>90</v>
      </c>
      <c r="D12429" s="5" t="s">
        <v>1704</v>
      </c>
      <c r="E12429" s="8" t="s">
        <v>1352</v>
      </c>
      <c r="F12429" s="5"/>
      <c r="G12429" s="6" t="str">
        <f>VLOOKUP(E12429,dicionario!$A$1:$C12828,2,0)</f>
        <v>#N/A</v>
      </c>
      <c r="H12429" s="6" t="str">
        <f>VLOOKUP(E12429,dicionario!$A$1:$C12828,3,0)</f>
        <v>#N/A</v>
      </c>
    </row>
    <row r="12430">
      <c r="A12430" s="3">
        <v>45876.0</v>
      </c>
      <c r="B12430" s="4">
        <v>0.26180555555555557</v>
      </c>
      <c r="C12430" s="5" t="s">
        <v>90</v>
      </c>
      <c r="D12430" s="5" t="s">
        <v>1704</v>
      </c>
      <c r="E12430" s="8" t="s">
        <v>135</v>
      </c>
      <c r="F12430" s="5" t="s">
        <v>833</v>
      </c>
      <c r="G12430" s="6" t="str">
        <f>VLOOKUP(E12430,dicionario!$A$1:$C12829,2,0)</f>
        <v>Tridax procumbens</v>
      </c>
      <c r="H12430" s="6" t="str">
        <f>VLOOKUP(E12430,dicionario!$A$1:$C12829,3,0)</f>
        <v>erva-de-touro</v>
      </c>
    </row>
    <row r="12431">
      <c r="A12431" s="3">
        <v>45876.0</v>
      </c>
      <c r="B12431" s="4">
        <v>0.26180555555555557</v>
      </c>
      <c r="C12431" s="5" t="s">
        <v>90</v>
      </c>
      <c r="D12431" s="5" t="s">
        <v>1704</v>
      </c>
      <c r="E12431" s="6" t="s">
        <v>383</v>
      </c>
      <c r="F12431" s="5" t="s">
        <v>1532</v>
      </c>
      <c r="G12431" s="6" t="str">
        <f>VLOOKUP(E12431,dicionario!$A$1:$C12830,2,0)</f>
        <v>Setophaga pitiayumi</v>
      </c>
      <c r="H12431" s="6" t="str">
        <f>VLOOKUP(E12431,dicionario!$A$1:$C12830,3,0)</f>
        <v>mariquita</v>
      </c>
    </row>
    <row r="12432">
      <c r="A12432" s="3">
        <v>45876.0</v>
      </c>
      <c r="B12432" s="4">
        <v>0.2625</v>
      </c>
      <c r="C12432" s="5" t="s">
        <v>90</v>
      </c>
      <c r="D12432" s="5" t="s">
        <v>1704</v>
      </c>
      <c r="E12432" s="8" t="s">
        <v>909</v>
      </c>
      <c r="F12432" s="5" t="s">
        <v>1636</v>
      </c>
      <c r="G12432" s="6" t="str">
        <f>VLOOKUP(E12432,dicionario!$A$1:$C12831,2,0)</f>
        <v>Chordeiles acutipennis</v>
      </c>
      <c r="H12432" s="6" t="str">
        <f>VLOOKUP(E12432,dicionario!$A$1:$C12831,3,0)</f>
        <v>bacurau-de-asa-fina</v>
      </c>
    </row>
    <row r="12433">
      <c r="A12433" s="3">
        <v>45876.0</v>
      </c>
      <c r="B12433" s="4">
        <v>0.2625</v>
      </c>
      <c r="C12433" s="5" t="s">
        <v>90</v>
      </c>
      <c r="D12433" s="5" t="s">
        <v>1704</v>
      </c>
      <c r="E12433" s="8" t="s">
        <v>109</v>
      </c>
      <c r="F12433" s="5" t="s">
        <v>110</v>
      </c>
      <c r="G12433" s="6" t="str">
        <f>VLOOKUP(E12433,dicionario!$A$1:$C12832,2,0)</f>
        <v>Tillandsia stricta</v>
      </c>
      <c r="H12433" s="6" t="str">
        <f>VLOOKUP(E12433,dicionario!$A$1:$C12832,3,0)</f>
        <v>cravo-do-mato</v>
      </c>
    </row>
    <row r="12434">
      <c r="A12434" s="3">
        <v>45876.0</v>
      </c>
      <c r="B12434" s="4">
        <v>0.2625</v>
      </c>
      <c r="C12434" s="5" t="s">
        <v>90</v>
      </c>
      <c r="D12434" s="5" t="s">
        <v>1704</v>
      </c>
      <c r="E12434" s="8" t="s">
        <v>1705</v>
      </c>
      <c r="F12434" s="5" t="s">
        <v>1454</v>
      </c>
      <c r="G12434" s="6" t="str">
        <f>VLOOKUP(E12434,dicionario!$A$1:$C12833,2,0)</f>
        <v>#N/A</v>
      </c>
      <c r="H12434" s="6" t="str">
        <f>VLOOKUP(E12434,dicionario!$A$1:$C12833,3,0)</f>
        <v>#N/A</v>
      </c>
    </row>
    <row r="12435">
      <c r="A12435" s="3">
        <v>45876.0</v>
      </c>
      <c r="B12435" s="4">
        <v>0.2625</v>
      </c>
      <c r="C12435" s="5" t="s">
        <v>90</v>
      </c>
      <c r="D12435" s="5" t="s">
        <v>1704</v>
      </c>
      <c r="E12435" s="6" t="s">
        <v>14</v>
      </c>
      <c r="F12435" s="5" t="s">
        <v>1599</v>
      </c>
      <c r="G12435" s="6" t="str">
        <f>VLOOKUP(E12435,dicionario!$A$1:$C12834,2,0)</f>
        <v>Spermacoce verticillata</v>
      </c>
      <c r="H12435" s="6" t="str">
        <f>VLOOKUP(E12435,dicionario!$A$1:$C12834,3,0)</f>
        <v>vassourinha-de-botão</v>
      </c>
    </row>
    <row r="12436">
      <c r="A12436" s="3">
        <v>45876.0</v>
      </c>
      <c r="B12436" s="4">
        <v>0.2625</v>
      </c>
      <c r="C12436" s="5" t="s">
        <v>90</v>
      </c>
      <c r="D12436" s="5" t="s">
        <v>1704</v>
      </c>
      <c r="E12436" s="6" t="s">
        <v>489</v>
      </c>
      <c r="F12436" s="5" t="s">
        <v>521</v>
      </c>
      <c r="G12436" s="6" t="str">
        <f>VLOOKUP(E12436,dicionario!$A$1:$C12835,2,0)</f>
        <v>Cenchrus echinatus</v>
      </c>
      <c r="H12436" s="6" t="str">
        <f>VLOOKUP(E12436,dicionario!$A$1:$C12835,3,0)</f>
        <v>capim-carrapicho</v>
      </c>
    </row>
    <row r="12437">
      <c r="A12437" s="3">
        <v>45876.0</v>
      </c>
      <c r="B12437" s="4">
        <v>0.26319444444444445</v>
      </c>
      <c r="C12437" s="5" t="s">
        <v>90</v>
      </c>
      <c r="D12437" s="5" t="s">
        <v>1704</v>
      </c>
      <c r="E12437" s="6" t="s">
        <v>467</v>
      </c>
      <c r="F12437" s="5" t="s">
        <v>1643</v>
      </c>
      <c r="G12437" s="6" t="str">
        <f>VLOOKUP(E12437,dicionario!$A$1:$C12836,2,0)</f>
        <v>Eleusine indica</v>
      </c>
      <c r="H12437" s="6" t="str">
        <f>VLOOKUP(E12437,dicionario!$A$1:$C12836,3,0)</f>
        <v>capim-pé-de-galinha</v>
      </c>
    </row>
    <row r="12438">
      <c r="A12438" s="3">
        <v>45876.0</v>
      </c>
      <c r="B12438" s="4">
        <v>0.26319444444444445</v>
      </c>
      <c r="C12438" s="5" t="s">
        <v>90</v>
      </c>
      <c r="D12438" s="5" t="s">
        <v>1704</v>
      </c>
      <c r="E12438" s="6" t="s">
        <v>286</v>
      </c>
      <c r="F12438" s="5" t="s">
        <v>781</v>
      </c>
      <c r="G12438" s="6" t="str">
        <f>VLOOKUP(E12438,dicionario!$A$1:$C12837,2,0)</f>
        <v>Setaria parviflora</v>
      </c>
      <c r="H12438" s="6" t="str">
        <f>VLOOKUP(E12438,dicionario!$A$1:$C12837,3,0)</f>
        <v>capim-rabo-de-raposa</v>
      </c>
    </row>
    <row r="12439">
      <c r="A12439" s="3">
        <v>45876.0</v>
      </c>
      <c r="B12439" s="4">
        <v>0.2638888888888889</v>
      </c>
      <c r="C12439" s="5" t="s">
        <v>90</v>
      </c>
      <c r="D12439" s="5" t="s">
        <v>1704</v>
      </c>
      <c r="E12439" s="6" t="s">
        <v>150</v>
      </c>
      <c r="F12439" s="5" t="s">
        <v>769</v>
      </c>
      <c r="G12439" s="6" t="str">
        <f>VLOOKUP(E12439,dicionario!$A$1:$C12838,2,0)</f>
        <v>Amaranthus viridis</v>
      </c>
      <c r="H12439" s="6" t="str">
        <f>VLOOKUP(E12439,dicionario!$A$1:$C12838,3,0)</f>
        <v>caruru-de-mancha</v>
      </c>
    </row>
    <row r="12440">
      <c r="A12440" s="3">
        <v>45876.0</v>
      </c>
      <c r="B12440" s="4">
        <v>0.2638888888888889</v>
      </c>
      <c r="C12440" s="5" t="s">
        <v>90</v>
      </c>
      <c r="D12440" s="5" t="s">
        <v>1704</v>
      </c>
      <c r="E12440" s="8" t="s">
        <v>146</v>
      </c>
      <c r="F12440" s="5" t="s">
        <v>794</v>
      </c>
      <c r="G12440" s="6" t="str">
        <f>VLOOKUP(E12440,dicionario!$A$1:$C12839,2,0)</f>
        <v>Euphorbia hirta</v>
      </c>
      <c r="H12440" s="6" t="str">
        <f>VLOOKUP(E12440,dicionario!$A$1:$C12839,3,0)</f>
        <v>erva-de-santa-luzia</v>
      </c>
    </row>
    <row r="12441">
      <c r="A12441" s="3">
        <v>45876.0</v>
      </c>
      <c r="B12441" s="4">
        <v>0.2652777777777778</v>
      </c>
      <c r="C12441" s="5" t="s">
        <v>90</v>
      </c>
      <c r="D12441" s="5" t="s">
        <v>1704</v>
      </c>
      <c r="E12441" s="8" t="s">
        <v>1706</v>
      </c>
      <c r="F12441" s="5" t="s">
        <v>1512</v>
      </c>
      <c r="G12441" s="6" t="str">
        <f>VLOOKUP(E12441,dicionario!$A$1:$C12840,2,0)</f>
        <v>#N/A</v>
      </c>
      <c r="H12441" s="6" t="str">
        <f>VLOOKUP(E12441,dicionario!$A$1:$C12840,3,0)</f>
        <v>#N/A</v>
      </c>
    </row>
    <row r="12442">
      <c r="A12442" s="3">
        <v>45876.0</v>
      </c>
      <c r="B12442" s="4">
        <v>0.2659722222222222</v>
      </c>
      <c r="C12442" s="5" t="s">
        <v>90</v>
      </c>
      <c r="D12442" s="5" t="s">
        <v>1704</v>
      </c>
      <c r="E12442" s="6" t="s">
        <v>498</v>
      </c>
      <c r="F12442" s="5" t="s">
        <v>1629</v>
      </c>
      <c r="G12442" s="6" t="str">
        <f>VLOOKUP(E12442,dicionario!$A$1:$C12841,2,0)</f>
        <v>Brachiaria decumbens</v>
      </c>
      <c r="H12442" s="6" t="str">
        <f>VLOOKUP(E12442,dicionario!$A$1:$C12841,3,0)</f>
        <v>capim-braquiária</v>
      </c>
    </row>
    <row r="12443">
      <c r="A12443" s="3">
        <v>45876.0</v>
      </c>
      <c r="B12443" s="4">
        <v>0.26875</v>
      </c>
      <c r="C12443" s="5" t="s">
        <v>90</v>
      </c>
      <c r="D12443" s="5" t="s">
        <v>1704</v>
      </c>
      <c r="E12443" s="8" t="s">
        <v>1694</v>
      </c>
      <c r="F12443" s="5" t="s">
        <v>1707</v>
      </c>
      <c r="G12443" s="6" t="str">
        <f>VLOOKUP(E12443,dicionario!$A$1:$C12842,2,0)</f>
        <v>Conyza bonariensis</v>
      </c>
      <c r="H12443" s="6" t="str">
        <f>VLOOKUP(E12443,dicionario!$A$1:$C12842,3,0)</f>
        <v>buva</v>
      </c>
    </row>
    <row r="12444">
      <c r="A12444" s="3">
        <v>45876.0</v>
      </c>
      <c r="B12444" s="4">
        <v>0.26875</v>
      </c>
      <c r="C12444" s="5" t="s">
        <v>85</v>
      </c>
      <c r="D12444" s="5" t="s">
        <v>1704</v>
      </c>
      <c r="E12444" s="8" t="s">
        <v>109</v>
      </c>
      <c r="F12444" s="5" t="s">
        <v>777</v>
      </c>
      <c r="G12444" s="6" t="str">
        <f>VLOOKUP(E12444,dicionario!$A$1:$C12843,2,0)</f>
        <v>Tillandsia stricta</v>
      </c>
      <c r="H12444" s="6" t="str">
        <f>VLOOKUP(E12444,dicionario!$A$1:$C12843,3,0)</f>
        <v>cravo-do-mato</v>
      </c>
    </row>
    <row r="12445">
      <c r="A12445" s="3">
        <v>45876.0</v>
      </c>
      <c r="B12445" s="4">
        <v>0.26875</v>
      </c>
      <c r="C12445" s="5" t="s">
        <v>85</v>
      </c>
      <c r="D12445" s="5" t="s">
        <v>1704</v>
      </c>
      <c r="E12445" s="8" t="s">
        <v>1352</v>
      </c>
      <c r="F12445" s="5"/>
      <c r="G12445" s="6" t="str">
        <f>VLOOKUP(E12445,dicionario!$A$1:$C12844,2,0)</f>
        <v>#N/A</v>
      </c>
      <c r="H12445" s="6" t="str">
        <f>VLOOKUP(E12445,dicionario!$A$1:$C12844,3,0)</f>
        <v>#N/A</v>
      </c>
    </row>
    <row r="12446">
      <c r="A12446" s="3">
        <v>45876.0</v>
      </c>
      <c r="B12446" s="4">
        <v>0.26875</v>
      </c>
      <c r="C12446" s="5" t="s">
        <v>85</v>
      </c>
      <c r="D12446" s="5" t="s">
        <v>1704</v>
      </c>
      <c r="E12446" s="6" t="s">
        <v>53</v>
      </c>
      <c r="F12446" s="5" t="s">
        <v>54</v>
      </c>
      <c r="G12446" s="6" t="str">
        <f>VLOOKUP(E12446,dicionario!$A$1:$C12845,2,0)</f>
        <v>Turnera subulata</v>
      </c>
      <c r="H12446" s="6" t="str">
        <f>VLOOKUP(E12446,dicionario!$A$1:$C12845,3,0)</f>
        <v>xanana</v>
      </c>
    </row>
    <row r="12447">
      <c r="A12447" s="3">
        <v>45876.0</v>
      </c>
      <c r="B12447" s="4">
        <v>0.26875</v>
      </c>
      <c r="C12447" s="5" t="s">
        <v>85</v>
      </c>
      <c r="D12447" s="5" t="s">
        <v>1704</v>
      </c>
      <c r="E12447" s="8" t="s">
        <v>20</v>
      </c>
      <c r="F12447" s="5" t="s">
        <v>1637</v>
      </c>
      <c r="G12447" s="6" t="str">
        <f>VLOOKUP(E12447,dicionario!$A$1:$C12846,2,0)</f>
        <v>Sicalis flaveola</v>
      </c>
      <c r="H12447" s="6" t="str">
        <f>VLOOKUP(E12447,dicionario!$A$1:$C12846,3,0)</f>
        <v>canário-da-terra</v>
      </c>
    </row>
    <row r="12448">
      <c r="A12448" s="3">
        <v>45876.0</v>
      </c>
      <c r="B12448" s="4">
        <v>0.26944444444444443</v>
      </c>
      <c r="C12448" s="5" t="s">
        <v>85</v>
      </c>
      <c r="D12448" s="5" t="s">
        <v>1704</v>
      </c>
      <c r="E12448" s="6" t="s">
        <v>296</v>
      </c>
      <c r="F12448" s="5" t="s">
        <v>297</v>
      </c>
      <c r="G12448" s="6" t="str">
        <f>VLOOKUP(E12448,dicionario!$A$1:$C12847,2,0)</f>
        <v>Richardia brasiliensis</v>
      </c>
      <c r="H12448" s="6" t="str">
        <f>VLOOKUP(E12448,dicionario!$A$1:$C12847,3,0)</f>
        <v>poaia-branca</v>
      </c>
    </row>
    <row r="12449">
      <c r="A12449" s="3">
        <v>45876.0</v>
      </c>
      <c r="B12449" s="4">
        <v>0.26944444444444443</v>
      </c>
      <c r="C12449" s="5" t="s">
        <v>85</v>
      </c>
      <c r="D12449" s="5" t="s">
        <v>1704</v>
      </c>
      <c r="E12449" s="6" t="s">
        <v>154</v>
      </c>
      <c r="F12449" s="5" t="s">
        <v>1585</v>
      </c>
      <c r="G12449" s="6" t="str">
        <f>VLOOKUP(E12449,dicionario!$A$1:$C12848,2,0)</f>
        <v>Cyperus rotundus</v>
      </c>
      <c r="H12449" s="6" t="str">
        <f>VLOOKUP(E12449,dicionario!$A$1:$C12848,3,0)</f>
        <v>tiririca</v>
      </c>
    </row>
    <row r="12450">
      <c r="A12450" s="3">
        <v>45876.0</v>
      </c>
      <c r="B12450" s="4">
        <v>0.2701388888888889</v>
      </c>
      <c r="C12450" s="5" t="s">
        <v>85</v>
      </c>
      <c r="D12450" s="5" t="s">
        <v>1704</v>
      </c>
      <c r="E12450" s="8" t="s">
        <v>14</v>
      </c>
      <c r="F12450" s="5" t="s">
        <v>1599</v>
      </c>
      <c r="G12450" s="6" t="str">
        <f>VLOOKUP(E12450,dicionario!$A$1:$C12849,2,0)</f>
        <v>Spermacoce verticillata</v>
      </c>
      <c r="H12450" s="6" t="str">
        <f>VLOOKUP(E12450,dicionario!$A$1:$C12849,3,0)</f>
        <v>vassourinha-de-botão</v>
      </c>
    </row>
    <row r="12451">
      <c r="A12451" s="3">
        <v>45876.0</v>
      </c>
      <c r="B12451" s="4">
        <v>0.2701388888888889</v>
      </c>
      <c r="C12451" s="5" t="s">
        <v>85</v>
      </c>
      <c r="D12451" s="5" t="s">
        <v>1704</v>
      </c>
      <c r="E12451" s="6" t="s">
        <v>29</v>
      </c>
      <c r="F12451" s="5" t="s">
        <v>30</v>
      </c>
      <c r="G12451" s="6" t="str">
        <f>VLOOKUP(E12451,dicionario!$A$1:$C12850,2,0)</f>
        <v>Pycnoscelus surinamensis</v>
      </c>
      <c r="H12451" s="6" t="str">
        <f>VLOOKUP(E12451,dicionario!$A$1:$C12850,3,0)</f>
        <v>Barata-de-jardim</v>
      </c>
    </row>
    <row r="12452">
      <c r="A12452" s="3">
        <v>45876.0</v>
      </c>
      <c r="B12452" s="4">
        <v>0.2701388888888889</v>
      </c>
      <c r="C12452" s="5" t="s">
        <v>85</v>
      </c>
      <c r="D12452" s="5" t="s">
        <v>1704</v>
      </c>
      <c r="E12452" s="6" t="s">
        <v>353</v>
      </c>
      <c r="F12452" s="5" t="s">
        <v>354</v>
      </c>
      <c r="G12452" s="6" t="str">
        <f>VLOOKUP(E12452,dicionario!$A$1:$C12851,2,0)</f>
        <v>Desmodium incanum</v>
      </c>
      <c r="H12452" s="6" t="str">
        <f>VLOOKUP(E12452,dicionario!$A$1:$C12851,3,0)</f>
        <v>pega-pega</v>
      </c>
    </row>
    <row r="12453">
      <c r="A12453" s="3">
        <v>45876.0</v>
      </c>
      <c r="B12453" s="4">
        <v>0.2701388888888889</v>
      </c>
      <c r="C12453" s="5" t="s">
        <v>85</v>
      </c>
      <c r="D12453" s="5" t="s">
        <v>1704</v>
      </c>
      <c r="E12453" s="6" t="s">
        <v>227</v>
      </c>
      <c r="F12453" s="5" t="s">
        <v>228</v>
      </c>
      <c r="G12453" s="6" t="str">
        <f>VLOOKUP(E12453,dicionario!$A$1:$C12852,2,0)</f>
        <v>Indigofera hirsuta</v>
      </c>
      <c r="H12453" s="6" t="str">
        <f>VLOOKUP(E12453,dicionario!$A$1:$C12852,3,0)</f>
        <v>anileira</v>
      </c>
    </row>
    <row r="12454">
      <c r="A12454" s="3">
        <v>45876.0</v>
      </c>
      <c r="B12454" s="4">
        <v>0.2701388888888889</v>
      </c>
      <c r="C12454" s="5" t="s">
        <v>85</v>
      </c>
      <c r="D12454" s="5" t="s">
        <v>1704</v>
      </c>
      <c r="E12454" s="6" t="s">
        <v>399</v>
      </c>
      <c r="F12454" s="5" t="s">
        <v>829</v>
      </c>
      <c r="G12454" s="6" t="str">
        <f>VLOOKUP(E12454,dicionario!$A$1:$C12853,2,0)</f>
        <v>Varronia curassavica</v>
      </c>
      <c r="H12454" s="6" t="str">
        <f>VLOOKUP(E12454,dicionario!$A$1:$C12853,3,0)</f>
        <v>erva-baleeira</v>
      </c>
    </row>
    <row r="12455">
      <c r="A12455" s="3">
        <v>45876.0</v>
      </c>
      <c r="B12455" s="4">
        <v>0.2708333333333333</v>
      </c>
      <c r="C12455" s="5" t="s">
        <v>85</v>
      </c>
      <c r="D12455" s="5" t="s">
        <v>1704</v>
      </c>
      <c r="E12455" s="6" t="s">
        <v>65</v>
      </c>
      <c r="F12455" s="5" t="s">
        <v>819</v>
      </c>
      <c r="G12455" s="6" t="str">
        <f>VLOOKUP(E12455,dicionario!$A$1:$C12854,2,0)</f>
        <v>Pitangus sulphutarus</v>
      </c>
      <c r="H12455" s="6" t="str">
        <f>VLOOKUP(E12455,dicionario!$A$1:$C12854,3,0)</f>
        <v>bem-te-vi</v>
      </c>
    </row>
    <row r="12456">
      <c r="A12456" s="3">
        <v>45876.0</v>
      </c>
      <c r="B12456" s="4">
        <v>0.2708333333333333</v>
      </c>
      <c r="C12456" s="5" t="s">
        <v>85</v>
      </c>
      <c r="D12456" s="5" t="s">
        <v>1704</v>
      </c>
      <c r="E12456" s="12" t="s">
        <v>152</v>
      </c>
      <c r="F12456" s="5" t="s">
        <v>789</v>
      </c>
      <c r="G12456" s="6" t="str">
        <f>VLOOKUP(E12456,dicionario!$A$1:$C12855,2,0)</f>
        <v>Cynodon dactylon</v>
      </c>
      <c r="H12456" s="6" t="str">
        <f>VLOOKUP(E12456,dicionario!$A$1:$C12855,3,0)</f>
        <v>grama-bermuda</v>
      </c>
    </row>
    <row r="12457">
      <c r="A12457" s="3">
        <v>45876.0</v>
      </c>
      <c r="B12457" s="4">
        <v>0.27152777777777776</v>
      </c>
      <c r="C12457" s="5" t="s">
        <v>85</v>
      </c>
      <c r="D12457" s="5" t="s">
        <v>1704</v>
      </c>
      <c r="E12457" s="8" t="s">
        <v>821</v>
      </c>
      <c r="F12457" s="5" t="s">
        <v>1583</v>
      </c>
      <c r="G12457" s="6" t="str">
        <f>VLOOKUP(E12457,dicionario!$A$1:$C12856,2,0)</f>
        <v>Schefflera actinophylla</v>
      </c>
      <c r="H12457" s="6" t="str">
        <f>VLOOKUP(E12457,dicionario!$A$1:$C12856,3,0)</f>
        <v>árvore-guarda-chuva</v>
      </c>
    </row>
    <row r="12458">
      <c r="A12458" s="3">
        <v>45876.0</v>
      </c>
      <c r="B12458" s="4">
        <v>0.2722222222222222</v>
      </c>
      <c r="C12458" s="5" t="s">
        <v>85</v>
      </c>
      <c r="D12458" s="5" t="s">
        <v>1704</v>
      </c>
      <c r="E12458" s="6" t="s">
        <v>122</v>
      </c>
      <c r="F12458" s="5" t="s">
        <v>1582</v>
      </c>
      <c r="G12458" s="6" t="str">
        <f>VLOOKUP(E12458,dicionario!$A$1:$C12857,2,0)</f>
        <v>Todirostrum cinereum</v>
      </c>
      <c r="H12458" s="6" t="str">
        <f>VLOOKUP(E12458,dicionario!$A$1:$C12857,3,0)</f>
        <v>ferreirinho-relógio</v>
      </c>
    </row>
    <row r="12459">
      <c r="A12459" s="3">
        <v>45876.0</v>
      </c>
      <c r="B12459" s="4">
        <v>0.2722222222222222</v>
      </c>
      <c r="C12459" s="5" t="s">
        <v>85</v>
      </c>
      <c r="D12459" s="5" t="s">
        <v>1704</v>
      </c>
      <c r="E12459" s="6" t="s">
        <v>191</v>
      </c>
      <c r="F12459" s="5" t="s">
        <v>771</v>
      </c>
      <c r="G12459" s="6" t="str">
        <f>VLOOKUP(E12459,dicionario!$A$1:$C12858,2,0)</f>
        <v>Patagioenas picazuro</v>
      </c>
      <c r="H12459" s="6" t="str">
        <f>VLOOKUP(E12459,dicionario!$A$1:$C12858,3,0)</f>
        <v>asa-branca; pomba-asa-branca; pocaçu</v>
      </c>
    </row>
    <row r="12460">
      <c r="A12460" s="3">
        <v>45876.0</v>
      </c>
      <c r="B12460" s="4">
        <v>0.2722222222222222</v>
      </c>
      <c r="C12460" s="5" t="s">
        <v>85</v>
      </c>
      <c r="D12460" s="5" t="s">
        <v>1704</v>
      </c>
      <c r="E12460" s="6" t="s">
        <v>60</v>
      </c>
      <c r="F12460" s="5" t="s">
        <v>1659</v>
      </c>
      <c r="G12460" s="6" t="str">
        <f>VLOOKUP(E12460,dicionario!$A$1:$C12859,2,0)</f>
        <v>Vanellus chilensis</v>
      </c>
      <c r="H12460" s="6" t="str">
        <f>VLOOKUP(E12460,dicionario!$A$1:$C12859,3,0)</f>
        <v>quero-quero</v>
      </c>
    </row>
    <row r="12461">
      <c r="A12461" s="3">
        <v>45876.0</v>
      </c>
      <c r="B12461" s="4">
        <v>0.2722222222222222</v>
      </c>
      <c r="C12461" s="5" t="s">
        <v>85</v>
      </c>
      <c r="D12461" s="5" t="s">
        <v>1704</v>
      </c>
      <c r="E12461" s="8" t="s">
        <v>271</v>
      </c>
      <c r="F12461" s="5" t="s">
        <v>1708</v>
      </c>
      <c r="G12461" s="6" t="str">
        <f>VLOOKUP(E12461,dicionario!$A$1:$C12860,2,0)</f>
        <v>Cyanthillium cinereum</v>
      </c>
      <c r="H12461" s="6" t="str">
        <f>VLOOKUP(E12461,dicionario!$A$1:$C12860,3,0)</f>
        <v>emília</v>
      </c>
    </row>
    <row r="12462">
      <c r="A12462" s="3">
        <v>45876.0</v>
      </c>
      <c r="B12462" s="4">
        <v>0.2722222222222222</v>
      </c>
      <c r="C12462" s="5" t="s">
        <v>85</v>
      </c>
      <c r="D12462" s="5" t="s">
        <v>1704</v>
      </c>
      <c r="E12462" s="5" t="s">
        <v>1623</v>
      </c>
      <c r="F12462" s="5" t="s">
        <v>1605</v>
      </c>
      <c r="G12462" s="6" t="str">
        <f>VLOOKUP(E12462,dicionario!$A$1:$C12861,2,0)</f>
        <v>#N/A</v>
      </c>
      <c r="H12462" s="6" t="str">
        <f>VLOOKUP(E12462,dicionario!$A$1:$C12861,3,0)</f>
        <v>#N/A</v>
      </c>
    </row>
    <row r="12463">
      <c r="A12463" s="3">
        <v>45876.0</v>
      </c>
      <c r="B12463" s="4">
        <v>0.27361111111111114</v>
      </c>
      <c r="C12463" s="5" t="s">
        <v>85</v>
      </c>
      <c r="D12463" s="5" t="s">
        <v>1704</v>
      </c>
      <c r="E12463" s="6" t="s">
        <v>606</v>
      </c>
      <c r="F12463" s="5" t="s">
        <v>607</v>
      </c>
      <c r="G12463" s="6" t="str">
        <f>VLOOKUP(E12463,dicionario!$A$1:$C12862,2,0)</f>
        <v>Elaenia spectabilis</v>
      </c>
      <c r="H12463" s="6" t="str">
        <f>VLOOKUP(E12463,dicionario!$A$1:$C12862,3,0)</f>
        <v>guaracava-grande</v>
      </c>
    </row>
    <row r="12464">
      <c r="A12464" s="3">
        <v>45876.0</v>
      </c>
      <c r="B12464" s="4">
        <v>0.2743055555555556</v>
      </c>
      <c r="C12464" s="5" t="s">
        <v>85</v>
      </c>
      <c r="D12464" s="5" t="s">
        <v>1704</v>
      </c>
      <c r="E12464" s="6" t="s">
        <v>383</v>
      </c>
      <c r="F12464" s="5" t="s">
        <v>1532</v>
      </c>
      <c r="G12464" s="6" t="str">
        <f>VLOOKUP(E12464,dicionario!$A$1:$C12863,2,0)</f>
        <v>Setophaga pitiayumi</v>
      </c>
      <c r="H12464" s="6" t="str">
        <f>VLOOKUP(E12464,dicionario!$A$1:$C12863,3,0)</f>
        <v>mariquita</v>
      </c>
    </row>
    <row r="12465">
      <c r="A12465" s="3">
        <v>45876.0</v>
      </c>
      <c r="B12465" s="4">
        <v>0.27708333333333335</v>
      </c>
      <c r="C12465" s="5" t="s">
        <v>85</v>
      </c>
      <c r="D12465" s="5" t="s">
        <v>1704</v>
      </c>
      <c r="E12465" s="8" t="s">
        <v>38</v>
      </c>
      <c r="F12465" s="5" t="s">
        <v>1604</v>
      </c>
      <c r="G12465" s="6" t="str">
        <f>VLOOKUP(E12465,dicionario!$A$1:$C12864,2,0)</f>
        <v>Troglodytes musculus</v>
      </c>
      <c r="H12465" s="6" t="str">
        <f>VLOOKUP(E12465,dicionario!$A$1:$C12864,3,0)</f>
        <v>curruíra</v>
      </c>
    </row>
    <row r="12466">
      <c r="A12466" s="3">
        <v>45876.0</v>
      </c>
      <c r="B12466" s="4">
        <v>0.27708333333333335</v>
      </c>
      <c r="C12466" s="5" t="s">
        <v>85</v>
      </c>
      <c r="D12466" s="5" t="s">
        <v>1704</v>
      </c>
      <c r="E12466" s="8" t="s">
        <v>200</v>
      </c>
      <c r="F12466" s="5" t="s">
        <v>201</v>
      </c>
      <c r="G12466" s="6" t="str">
        <f>VLOOKUP(E12466,dicionario!$A$1:$C12865,2,0)</f>
        <v>Columbina picui </v>
      </c>
      <c r="H12466" s="6" t="str">
        <f>VLOOKUP(E12466,dicionario!$A$1:$C12865,3,0)</f>
        <v>rolinha-picuí</v>
      </c>
    </row>
    <row r="12467">
      <c r="A12467" s="3">
        <v>45876.0</v>
      </c>
      <c r="B12467" s="4">
        <v>0.27708333333333335</v>
      </c>
      <c r="C12467" s="5" t="s">
        <v>85</v>
      </c>
      <c r="D12467" s="5" t="s">
        <v>1704</v>
      </c>
      <c r="E12467" s="6" t="s">
        <v>72</v>
      </c>
      <c r="F12467" s="5" t="s">
        <v>764</v>
      </c>
      <c r="G12467" s="6" t="str">
        <f>VLOOKUP(E12467,dicionario!$A$1:$C12866,2,0)</f>
        <v>Thraupis palmarum</v>
      </c>
      <c r="H12467" s="6" t="str">
        <f>VLOOKUP(E12467,dicionario!$A$1:$C12866,3,0)</f>
        <v>sanhaço-do-coqueiro</v>
      </c>
    </row>
    <row r="12468">
      <c r="A12468" s="3">
        <v>45876.0</v>
      </c>
      <c r="B12468" s="4">
        <v>0.27708333333333335</v>
      </c>
      <c r="C12468" s="5" t="s">
        <v>85</v>
      </c>
      <c r="D12468" s="5" t="s">
        <v>1704</v>
      </c>
      <c r="E12468" s="6" t="s">
        <v>177</v>
      </c>
      <c r="F12468" s="5" t="s">
        <v>804</v>
      </c>
      <c r="G12468" s="6" t="str">
        <f>VLOOKUP(E12468,dicionario!$A$1:$C12867,2,0)</f>
        <v>Elaenia flavogaster</v>
      </c>
      <c r="H12468" s="6" t="str">
        <f>VLOOKUP(E12468,dicionario!$A$1:$C12867,3,0)</f>
        <v>guaracava-de-barriga-amarela</v>
      </c>
    </row>
    <row r="12469">
      <c r="A12469" s="3">
        <v>45876.0</v>
      </c>
      <c r="B12469" s="4">
        <v>0.2777777777777778</v>
      </c>
      <c r="C12469" s="5" t="s">
        <v>76</v>
      </c>
      <c r="D12469" s="5" t="s">
        <v>1704</v>
      </c>
      <c r="E12469" s="6" t="s">
        <v>148</v>
      </c>
      <c r="F12469" s="5" t="s">
        <v>772</v>
      </c>
      <c r="G12469" s="6" t="str">
        <f>VLOOKUP(E12469,dicionario!$A$1:$C12868,2,0)</f>
        <v>Parthenium hysterophorus</v>
      </c>
      <c r="H12469" s="6" t="str">
        <f>VLOOKUP(E12469,dicionario!$A$1:$C12868,3,0)</f>
        <v>losna-branca</v>
      </c>
    </row>
    <row r="12470">
      <c r="A12470" s="3">
        <v>45876.0</v>
      </c>
      <c r="B12470" s="4">
        <v>0.2777777777777778</v>
      </c>
      <c r="C12470" s="5" t="s">
        <v>76</v>
      </c>
      <c r="D12470" s="5" t="s">
        <v>1704</v>
      </c>
      <c r="E12470" s="8" t="s">
        <v>135</v>
      </c>
      <c r="F12470" s="5" t="s">
        <v>833</v>
      </c>
      <c r="G12470" s="6" t="str">
        <f>VLOOKUP(E12470,dicionario!$A$1:$C12869,2,0)</f>
        <v>Tridax procumbens</v>
      </c>
      <c r="H12470" s="6" t="str">
        <f>VLOOKUP(E12470,dicionario!$A$1:$C12869,3,0)</f>
        <v>erva-de-touro</v>
      </c>
    </row>
    <row r="12471">
      <c r="A12471" s="3">
        <v>45876.0</v>
      </c>
      <c r="B12471" s="4">
        <v>0.27847222222222223</v>
      </c>
      <c r="C12471" s="5" t="s">
        <v>76</v>
      </c>
      <c r="D12471" s="5" t="s">
        <v>1704</v>
      </c>
      <c r="E12471" s="8" t="s">
        <v>1352</v>
      </c>
      <c r="F12471" s="5"/>
      <c r="G12471" s="6" t="str">
        <f>VLOOKUP(E12471,dicionario!$A$1:$C12870,2,0)</f>
        <v>#N/A</v>
      </c>
      <c r="H12471" s="6" t="str">
        <f>VLOOKUP(E12471,dicionario!$A$1:$C12870,3,0)</f>
        <v>#N/A</v>
      </c>
    </row>
    <row r="12472">
      <c r="A12472" s="3">
        <v>45876.0</v>
      </c>
      <c r="B12472" s="4">
        <v>0.27847222222222223</v>
      </c>
      <c r="C12472" s="5" t="s">
        <v>76</v>
      </c>
      <c r="D12472" s="5" t="s">
        <v>1704</v>
      </c>
      <c r="E12472" s="6" t="s">
        <v>247</v>
      </c>
      <c r="F12472" s="5" t="s">
        <v>825</v>
      </c>
      <c r="G12472" s="6" t="str">
        <f>VLOOKUP(E12472,dicionario!$A$1:$C12871,2,0)</f>
        <v>Emilia sonchifolia</v>
      </c>
      <c r="H12472" s="6" t="str">
        <f>VLOOKUP(E12472,dicionario!$A$1:$C12871,3,0)</f>
        <v>serralinha</v>
      </c>
    </row>
    <row r="12473">
      <c r="A12473" s="3">
        <v>45876.0</v>
      </c>
      <c r="B12473" s="4">
        <v>0.27847222222222223</v>
      </c>
      <c r="C12473" s="5" t="s">
        <v>76</v>
      </c>
      <c r="D12473" s="5" t="s">
        <v>1704</v>
      </c>
      <c r="E12473" s="8" t="s">
        <v>146</v>
      </c>
      <c r="F12473" s="5" t="s">
        <v>794</v>
      </c>
      <c r="G12473" s="6" t="str">
        <f>VLOOKUP(E12473,dicionario!$A$1:$C12872,2,0)</f>
        <v>Euphorbia hirta</v>
      </c>
      <c r="H12473" s="6" t="str">
        <f>VLOOKUP(E12473,dicionario!$A$1:$C12872,3,0)</f>
        <v>erva-de-santa-luzia</v>
      </c>
    </row>
    <row r="12474">
      <c r="A12474" s="3">
        <v>45876.0</v>
      </c>
      <c r="B12474" s="4">
        <v>0.27847222222222223</v>
      </c>
      <c r="C12474" s="5" t="s">
        <v>76</v>
      </c>
      <c r="D12474" s="5" t="s">
        <v>1704</v>
      </c>
      <c r="E12474" s="6" t="s">
        <v>288</v>
      </c>
      <c r="F12474" s="5" t="s">
        <v>289</v>
      </c>
      <c r="G12474" s="6" t="str">
        <f>VLOOKUP(E12474,dicionario!$A$1:$C12873,2,0)</f>
        <v>Phyllanthus tenellus</v>
      </c>
      <c r="H12474" s="6" t="str">
        <f>VLOOKUP(E12474,dicionario!$A$1:$C12873,3,0)</f>
        <v>quebra-pedra</v>
      </c>
    </row>
    <row r="12475">
      <c r="A12475" s="3">
        <v>45876.0</v>
      </c>
      <c r="B12475" s="4">
        <v>0.27847222222222223</v>
      </c>
      <c r="C12475" s="5" t="s">
        <v>76</v>
      </c>
      <c r="D12475" s="5" t="s">
        <v>1704</v>
      </c>
      <c r="E12475" s="6" t="s">
        <v>141</v>
      </c>
      <c r="F12475" s="5" t="s">
        <v>142</v>
      </c>
      <c r="G12475" s="6" t="str">
        <f>VLOOKUP(E12475,dicionario!$A$1:$C12874,2,0)</f>
        <v>Ruellia blechum</v>
      </c>
      <c r="H12475" s="6" t="str">
        <f>VLOOKUP(E12475,dicionario!$A$1:$C12874,3,0)</f>
        <v>camarão-verde</v>
      </c>
    </row>
    <row r="12476">
      <c r="A12476" s="3">
        <v>45876.0</v>
      </c>
      <c r="B12476" s="4">
        <v>0.2791666666666667</v>
      </c>
      <c r="C12476" s="5" t="s">
        <v>76</v>
      </c>
      <c r="D12476" s="5" t="s">
        <v>1704</v>
      </c>
      <c r="E12476" s="6" t="s">
        <v>267</v>
      </c>
      <c r="F12476" s="5" t="s">
        <v>765</v>
      </c>
      <c r="G12476" s="6" t="str">
        <f>VLOOKUP(E12476,dicionario!$A$1:$C12875,2,0)</f>
        <v>Solanum americanum</v>
      </c>
      <c r="H12476" s="6" t="str">
        <f>VLOOKUP(E12476,dicionario!$A$1:$C12875,3,0)</f>
        <v>maria-pretinha</v>
      </c>
    </row>
    <row r="12477">
      <c r="A12477" s="3">
        <v>45876.0</v>
      </c>
      <c r="B12477" s="4">
        <v>0.2798611111111111</v>
      </c>
      <c r="C12477" s="5" t="s">
        <v>76</v>
      </c>
      <c r="D12477" s="5" t="s">
        <v>1704</v>
      </c>
      <c r="E12477" s="6" t="s">
        <v>154</v>
      </c>
      <c r="F12477" s="5" t="s">
        <v>155</v>
      </c>
      <c r="G12477" s="6" t="str">
        <f>VLOOKUP(E12477,dicionario!$A$1:$C12876,2,0)</f>
        <v>Cyperus rotundus</v>
      </c>
      <c r="H12477" s="6" t="str">
        <f>VLOOKUP(E12477,dicionario!$A$1:$C12876,3,0)</f>
        <v>tiririca</v>
      </c>
    </row>
    <row r="12478">
      <c r="A12478" s="3">
        <v>45876.0</v>
      </c>
      <c r="B12478" s="4">
        <v>0.2798611111111111</v>
      </c>
      <c r="C12478" s="5" t="s">
        <v>76</v>
      </c>
      <c r="D12478" s="5" t="s">
        <v>1704</v>
      </c>
      <c r="E12478" s="8" t="s">
        <v>1709</v>
      </c>
      <c r="F12478" s="5"/>
      <c r="G12478" s="6" t="str">
        <f>VLOOKUP(E12478,dicionario!$A$1:$C12877,2,0)</f>
        <v>#N/A</v>
      </c>
      <c r="H12478" s="6" t="str">
        <f>VLOOKUP(E12478,dicionario!$A$1:$C12877,3,0)</f>
        <v>#N/A</v>
      </c>
    </row>
    <row r="12479">
      <c r="A12479" s="3">
        <v>45876.0</v>
      </c>
      <c r="B12479" s="4">
        <v>0.28055555555555556</v>
      </c>
      <c r="C12479" s="5" t="s">
        <v>76</v>
      </c>
      <c r="D12479" s="5" t="s">
        <v>1704</v>
      </c>
      <c r="E12479" s="8" t="s">
        <v>611</v>
      </c>
      <c r="F12479" s="5" t="s">
        <v>865</v>
      </c>
      <c r="G12479" s="6" t="str">
        <f>VLOOKUP(E12479,dicionario!$A$1:$C12878,2,0)</f>
        <v>Boehmeria cylindrica</v>
      </c>
      <c r="H12479" s="6" t="str">
        <f>VLOOKUP(E12479,dicionario!$A$1:$C12878,3,0)</f>
        <v>falsa-urtiga</v>
      </c>
    </row>
    <row r="12480">
      <c r="A12480" s="3">
        <v>45876.0</v>
      </c>
      <c r="B12480" s="4">
        <v>0.28055555555555556</v>
      </c>
      <c r="C12480" s="5" t="s">
        <v>76</v>
      </c>
      <c r="D12480" s="5" t="s">
        <v>1704</v>
      </c>
      <c r="E12480" s="6" t="s">
        <v>195</v>
      </c>
      <c r="F12480" s="5" t="s">
        <v>679</v>
      </c>
      <c r="G12480" s="6" t="str">
        <f>VLOOKUP(E12480,dicionario!$A$1:$C12879,2,0)</f>
        <v>Priva lappulacea</v>
      </c>
      <c r="H12480" s="6" t="str">
        <f>VLOOKUP(E12480,dicionario!$A$1:$C12879,3,0)</f>
        <v>carrapicho</v>
      </c>
    </row>
    <row r="12481">
      <c r="A12481" s="3">
        <v>45876.0</v>
      </c>
      <c r="B12481" s="4">
        <v>0.28055555555555556</v>
      </c>
      <c r="C12481" s="5" t="s">
        <v>76</v>
      </c>
      <c r="D12481" s="5" t="s">
        <v>1704</v>
      </c>
      <c r="E12481" s="8" t="s">
        <v>1328</v>
      </c>
      <c r="F12481" s="5" t="s">
        <v>356</v>
      </c>
      <c r="G12481" s="6" t="str">
        <f>VLOOKUP(E12481,dicionario!$A$1:$C12880,2,0)</f>
        <v>#N/A</v>
      </c>
      <c r="H12481" s="6" t="str">
        <f>VLOOKUP(E12481,dicionario!$A$1:$C12880,3,0)</f>
        <v>#N/A</v>
      </c>
    </row>
    <row r="12482">
      <c r="A12482" s="3">
        <v>45876.0</v>
      </c>
      <c r="B12482" s="4">
        <v>0.28055555555555556</v>
      </c>
      <c r="C12482" s="5" t="s">
        <v>76</v>
      </c>
      <c r="D12482" s="5" t="s">
        <v>1704</v>
      </c>
      <c r="E12482" s="8" t="s">
        <v>271</v>
      </c>
      <c r="F12482" s="5" t="s">
        <v>1575</v>
      </c>
      <c r="G12482" s="6" t="str">
        <f>VLOOKUP(E12482,dicionario!$A$1:$C12881,2,0)</f>
        <v>Cyanthillium cinereum</v>
      </c>
      <c r="H12482" s="6" t="str">
        <f>VLOOKUP(E12482,dicionario!$A$1:$C12881,3,0)</f>
        <v>emília</v>
      </c>
    </row>
    <row r="12483">
      <c r="A12483" s="3">
        <v>45876.0</v>
      </c>
      <c r="B12483" s="4">
        <v>0.28125</v>
      </c>
      <c r="C12483" s="5" t="s">
        <v>76</v>
      </c>
      <c r="D12483" s="5" t="s">
        <v>1704</v>
      </c>
      <c r="E12483" s="6" t="s">
        <v>227</v>
      </c>
      <c r="F12483" s="5" t="s">
        <v>813</v>
      </c>
      <c r="G12483" s="6" t="str">
        <f>VLOOKUP(E12483,dicionario!$A$1:$C12882,2,0)</f>
        <v>Indigofera hirsuta</v>
      </c>
      <c r="H12483" s="6" t="str">
        <f>VLOOKUP(E12483,dicionario!$A$1:$C12882,3,0)</f>
        <v>anileira</v>
      </c>
    </row>
    <row r="12484">
      <c r="A12484" s="3">
        <v>45876.0</v>
      </c>
      <c r="B12484" s="4">
        <v>0.28125</v>
      </c>
      <c r="C12484" s="5" t="s">
        <v>76</v>
      </c>
      <c r="D12484" s="5" t="s">
        <v>1704</v>
      </c>
      <c r="E12484" s="6" t="s">
        <v>286</v>
      </c>
      <c r="F12484" s="5" t="s">
        <v>781</v>
      </c>
      <c r="G12484" s="6" t="str">
        <f>VLOOKUP(E12484,dicionario!$A$1:$C12883,2,0)</f>
        <v>Setaria parviflora</v>
      </c>
      <c r="H12484" s="6" t="str">
        <f>VLOOKUP(E12484,dicionario!$A$1:$C12883,3,0)</f>
        <v>capim-rabo-de-raposa</v>
      </c>
    </row>
    <row r="12485">
      <c r="A12485" s="3">
        <v>45876.0</v>
      </c>
      <c r="B12485" s="4">
        <v>0.28125</v>
      </c>
      <c r="C12485" s="5" t="s">
        <v>76</v>
      </c>
      <c r="D12485" s="5" t="s">
        <v>1704</v>
      </c>
      <c r="E12485" s="29" t="s">
        <v>566</v>
      </c>
      <c r="F12485" s="5" t="s">
        <v>832</v>
      </c>
      <c r="G12485" s="6" t="str">
        <f>VLOOKUP(E12485,dicionario!$A$1:$C12884,2,0)</f>
        <v>Baccharis dracunculifolia</v>
      </c>
      <c r="H12485" s="6" t="str">
        <f>VLOOKUP(E12485,dicionario!$A$1:$C12884,3,0)</f>
        <v>vassoura</v>
      </c>
    </row>
    <row r="12486">
      <c r="A12486" s="3">
        <v>45876.0</v>
      </c>
      <c r="B12486" s="4">
        <v>0.2826388888888889</v>
      </c>
      <c r="C12486" s="5" t="s">
        <v>76</v>
      </c>
      <c r="D12486" s="5" t="s">
        <v>1704</v>
      </c>
      <c r="E12486" s="6" t="s">
        <v>48</v>
      </c>
      <c r="F12486" s="5" t="s">
        <v>798</v>
      </c>
      <c r="G12486" s="6" t="str">
        <f>VLOOKUP(E12486,dicionario!$A$1:$C12885,2,0)</f>
        <v>Commelina erecta</v>
      </c>
      <c r="H12486" s="6" t="str">
        <f>VLOOKUP(E12486,dicionario!$A$1:$C12885,3,0)</f>
        <v>trapoeraba</v>
      </c>
    </row>
    <row r="12487">
      <c r="A12487" s="3">
        <v>45876.0</v>
      </c>
      <c r="B12487" s="4">
        <v>0.2826388888888889</v>
      </c>
      <c r="C12487" s="5" t="s">
        <v>76</v>
      </c>
      <c r="D12487" s="5" t="s">
        <v>1704</v>
      </c>
      <c r="E12487" s="6" t="s">
        <v>88</v>
      </c>
      <c r="F12487" s="5" t="s">
        <v>89</v>
      </c>
      <c r="G12487" s="6" t="str">
        <f>VLOOKUP(E12487,dicionario!$A$1:$C12886,2,0)</f>
        <v>Tyrannus melancolichus</v>
      </c>
      <c r="H12487" s="6" t="str">
        <f>VLOOKUP(E12487,dicionario!$A$1:$C12886,3,0)</f>
        <v>suiriri</v>
      </c>
    </row>
    <row r="12488">
      <c r="A12488" s="3">
        <v>45876.0</v>
      </c>
      <c r="B12488" s="4">
        <v>0.2833333333333333</v>
      </c>
      <c r="C12488" s="5" t="s">
        <v>76</v>
      </c>
      <c r="D12488" s="5" t="s">
        <v>1704</v>
      </c>
      <c r="E12488" s="6" t="s">
        <v>137</v>
      </c>
      <c r="F12488" s="5" t="s">
        <v>138</v>
      </c>
      <c r="G12488" s="6" t="str">
        <f>VLOOKUP(E12488,dicionario!$A$1:$C12887,2,0)</f>
        <v>Tapera naevia</v>
      </c>
      <c r="H12488" s="6" t="str">
        <f>VLOOKUP(E12488,dicionario!$A$1:$C12887,3,0)</f>
        <v>saci</v>
      </c>
    </row>
    <row r="12489">
      <c r="A12489" s="3">
        <v>45876.0</v>
      </c>
      <c r="B12489" s="4">
        <v>0.2833333333333333</v>
      </c>
      <c r="C12489" s="5" t="s">
        <v>76</v>
      </c>
      <c r="D12489" s="5" t="s">
        <v>1704</v>
      </c>
      <c r="E12489" s="6" t="s">
        <v>225</v>
      </c>
      <c r="F12489" s="5" t="s">
        <v>226</v>
      </c>
      <c r="G12489" s="6" t="str">
        <f>VLOOKUP(E12489,dicionario!$A$1:$C12888,2,0)</f>
        <v>Passer domesticus</v>
      </c>
      <c r="H12489" s="6" t="str">
        <f>VLOOKUP(E12489,dicionario!$A$1:$C12888,3,0)</f>
        <v>pardal</v>
      </c>
    </row>
    <row r="12490">
      <c r="A12490" s="3">
        <v>45876.0</v>
      </c>
      <c r="B12490" s="4">
        <v>0.2833333333333333</v>
      </c>
      <c r="C12490" s="5" t="s">
        <v>76</v>
      </c>
      <c r="D12490" s="5" t="s">
        <v>1704</v>
      </c>
      <c r="E12490" s="8" t="s">
        <v>109</v>
      </c>
      <c r="F12490" s="5" t="s">
        <v>777</v>
      </c>
      <c r="G12490" s="6" t="str">
        <f>VLOOKUP(E12490,dicionario!$A$1:$C12889,2,0)</f>
        <v>Tillandsia stricta</v>
      </c>
      <c r="H12490" s="6" t="str">
        <f>VLOOKUP(E12490,dicionario!$A$1:$C12889,3,0)</f>
        <v>cravo-do-mato</v>
      </c>
    </row>
    <row r="12491">
      <c r="A12491" s="3">
        <v>45876.0</v>
      </c>
      <c r="B12491" s="4">
        <v>0.2833333333333333</v>
      </c>
      <c r="C12491" s="5" t="s">
        <v>76</v>
      </c>
      <c r="D12491" s="5" t="s">
        <v>1704</v>
      </c>
      <c r="E12491" s="8" t="s">
        <v>20</v>
      </c>
      <c r="F12491" s="5" t="s">
        <v>1637</v>
      </c>
      <c r="G12491" s="6" t="str">
        <f>VLOOKUP(E12491,dicionario!$A$1:$C12890,2,0)</f>
        <v>Sicalis flaveola</v>
      </c>
      <c r="H12491" s="6" t="str">
        <f>VLOOKUP(E12491,dicionario!$A$1:$C12890,3,0)</f>
        <v>canário-da-terra</v>
      </c>
    </row>
    <row r="12492">
      <c r="A12492" s="3">
        <v>45876.0</v>
      </c>
      <c r="B12492" s="4">
        <v>0.2833333333333333</v>
      </c>
      <c r="C12492" s="5" t="s">
        <v>76</v>
      </c>
      <c r="D12492" s="5" t="s">
        <v>1704</v>
      </c>
      <c r="E12492" s="6" t="s">
        <v>113</v>
      </c>
      <c r="F12492" s="5" t="s">
        <v>820</v>
      </c>
      <c r="G12492" s="6" t="str">
        <f>VLOOKUP(E12492,dicionario!$A$1:$C12891,2,0)</f>
        <v>Columbina talpacoti</v>
      </c>
      <c r="H12492" s="6" t="str">
        <f>VLOOKUP(E12492,dicionario!$A$1:$C12891,3,0)</f>
        <v>rolinha-roxa</v>
      </c>
    </row>
    <row r="12493">
      <c r="A12493" s="3">
        <v>45876.0</v>
      </c>
      <c r="B12493" s="4">
        <v>0.2833333333333333</v>
      </c>
      <c r="C12493" s="5" t="s">
        <v>76</v>
      </c>
      <c r="D12493" s="5" t="s">
        <v>1704</v>
      </c>
      <c r="E12493" s="6" t="s">
        <v>319</v>
      </c>
      <c r="F12493" s="5" t="s">
        <v>320</v>
      </c>
      <c r="G12493" s="6" t="str">
        <f>VLOOKUP(E12493,dicionario!$A$1:$C12892,2,0)</f>
        <v>Schinus terebinthifolia</v>
      </c>
      <c r="H12493" s="6" t="str">
        <f>VLOOKUP(E12493,dicionario!$A$1:$C12892,3,0)</f>
        <v>aroeira</v>
      </c>
    </row>
    <row r="12494">
      <c r="A12494" s="3">
        <v>45876.0</v>
      </c>
      <c r="B12494" s="4">
        <v>0.2833333333333333</v>
      </c>
      <c r="C12494" s="5" t="s">
        <v>76</v>
      </c>
      <c r="D12494" s="5" t="s">
        <v>1704</v>
      </c>
      <c r="E12494" s="6" t="s">
        <v>290</v>
      </c>
      <c r="F12494" s="5" t="s">
        <v>779</v>
      </c>
      <c r="G12494" s="6" t="str">
        <f>VLOOKUP(E12494,dicionario!$A$1:$C12893,2,0)</f>
        <v>Drymaria cordata</v>
      </c>
      <c r="H12494" s="6" t="str">
        <f>VLOOKUP(E12494,dicionario!$A$1:$C12893,3,0)</f>
        <v>orelha-de-rato</v>
      </c>
    </row>
    <row r="12495">
      <c r="A12495" s="3">
        <v>45876.0</v>
      </c>
      <c r="B12495" s="4">
        <v>0.2833333333333333</v>
      </c>
      <c r="C12495" s="5" t="s">
        <v>76</v>
      </c>
      <c r="D12495" s="5" t="s">
        <v>1704</v>
      </c>
      <c r="E12495" s="6" t="s">
        <v>280</v>
      </c>
      <c r="F12495" s="5" t="s">
        <v>856</v>
      </c>
      <c r="G12495" s="6" t="str">
        <f>VLOOKUP(E12495,dicionario!$A$1:$C12894,2,0)</f>
        <v>Lepidium virginicum</v>
      </c>
      <c r="H12495" s="6" t="str">
        <f>VLOOKUP(E12495,dicionario!$A$1:$C12894,3,0)</f>
        <v>mastruz</v>
      </c>
    </row>
    <row r="12496">
      <c r="A12496" s="3">
        <v>45876.0</v>
      </c>
      <c r="B12496" s="4">
        <v>0.2833333333333333</v>
      </c>
      <c r="C12496" s="5" t="s">
        <v>76</v>
      </c>
      <c r="D12496" s="5" t="s">
        <v>1704</v>
      </c>
      <c r="E12496" s="8" t="s">
        <v>69</v>
      </c>
      <c r="F12496" s="5" t="s">
        <v>1256</v>
      </c>
      <c r="G12496" s="6" t="str">
        <f>VLOOKUP(E12496,dicionario!$A$1:$C12895,2,0)</f>
        <v>Talinum fruticosum</v>
      </c>
      <c r="H12496" s="6" t="str">
        <f>VLOOKUP(E12496,dicionario!$A$1:$C12895,3,0)</f>
        <v>beldroega-grande</v>
      </c>
    </row>
    <row r="12497">
      <c r="A12497" s="3">
        <v>45876.0</v>
      </c>
      <c r="B12497" s="4">
        <v>0.28402777777777777</v>
      </c>
      <c r="C12497" s="5" t="s">
        <v>76</v>
      </c>
      <c r="D12497" s="5" t="s">
        <v>1704</v>
      </c>
      <c r="E12497" s="8" t="s">
        <v>296</v>
      </c>
      <c r="F12497" s="5" t="s">
        <v>823</v>
      </c>
      <c r="G12497" s="6" t="str">
        <f>VLOOKUP(E12497,dicionario!$A$1:$C12896,2,0)</f>
        <v>Richardia brasiliensis</v>
      </c>
      <c r="H12497" s="6" t="str">
        <f>VLOOKUP(E12497,dicionario!$A$1:$C12896,3,0)</f>
        <v>poaia-branca</v>
      </c>
    </row>
    <row r="12498">
      <c r="A12498" s="3">
        <v>45876.0</v>
      </c>
      <c r="B12498" s="4">
        <v>0.28402777777777777</v>
      </c>
      <c r="C12498" s="5" t="s">
        <v>76</v>
      </c>
      <c r="D12498" s="5" t="s">
        <v>1704</v>
      </c>
      <c r="E12498" s="8" t="s">
        <v>1503</v>
      </c>
      <c r="F12498" s="5" t="s">
        <v>1504</v>
      </c>
      <c r="G12498" s="6" t="str">
        <f>VLOOKUP(E12498,dicionario!$A$1:$C12897,2,0)</f>
        <v>#N/A</v>
      </c>
      <c r="H12498" s="6" t="str">
        <f>VLOOKUP(E12498,dicionario!$A$1:$C12897,3,0)</f>
        <v>#N/A</v>
      </c>
    </row>
    <row r="12499">
      <c r="A12499" s="3">
        <v>45876.0</v>
      </c>
      <c r="B12499" s="4">
        <v>0.28402777777777777</v>
      </c>
      <c r="C12499" s="5" t="s">
        <v>76</v>
      </c>
      <c r="D12499" s="5" t="s">
        <v>1704</v>
      </c>
      <c r="E12499" s="6" t="s">
        <v>613</v>
      </c>
      <c r="F12499" s="5" t="s">
        <v>614</v>
      </c>
      <c r="G12499" s="6" t="str">
        <f>VLOOKUP(E12499,dicionario!$A$1:$C12898,2,0)</f>
        <v>Euphorbia hyssopifolia</v>
      </c>
      <c r="H12499" s="6" t="str">
        <f>VLOOKUP(E12499,dicionario!$A$1:$C12898,3,0)</f>
        <v>maria-leite</v>
      </c>
    </row>
    <row r="12500">
      <c r="A12500" s="3">
        <v>45876.0</v>
      </c>
      <c r="B12500" s="4">
        <v>0.28402777777777777</v>
      </c>
      <c r="C12500" s="5" t="s">
        <v>76</v>
      </c>
      <c r="D12500" s="5" t="s">
        <v>1704</v>
      </c>
      <c r="E12500" s="6" t="s">
        <v>144</v>
      </c>
      <c r="F12500" s="5" t="s">
        <v>145</v>
      </c>
      <c r="G12500" s="6" t="str">
        <f>VLOOKUP(E12500,dicionario!$A$1:$C12899,2,0)</f>
        <v>Gomphrena globosa</v>
      </c>
      <c r="H12500" s="6" t="str">
        <f>VLOOKUP(E12500,dicionario!$A$1:$C12899,3,0)</f>
        <v>perpétua-rosa</v>
      </c>
    </row>
    <row r="12501">
      <c r="A12501" s="3">
        <v>45876.0</v>
      </c>
      <c r="B12501" s="4">
        <v>0.28402777777777777</v>
      </c>
      <c r="C12501" s="5" t="s">
        <v>76</v>
      </c>
      <c r="D12501" s="5" t="s">
        <v>1704</v>
      </c>
      <c r="E12501" s="6" t="s">
        <v>86</v>
      </c>
      <c r="F12501" s="5" t="s">
        <v>783</v>
      </c>
      <c r="G12501" s="6" t="str">
        <f>VLOOKUP(E12501,dicionario!$A$1:$C12900,2,0)</f>
        <v>Coereba flaveola</v>
      </c>
      <c r="H12501" s="6" t="str">
        <f>VLOOKUP(E12501,dicionario!$A$1:$C12900,3,0)</f>
        <v>cambacica</v>
      </c>
    </row>
    <row r="12502">
      <c r="A12502" s="3">
        <v>45876.0</v>
      </c>
      <c r="B12502" s="4">
        <v>0.28402777777777777</v>
      </c>
      <c r="C12502" s="5" t="s">
        <v>76</v>
      </c>
      <c r="D12502" s="5" t="s">
        <v>1704</v>
      </c>
      <c r="E12502" s="6" t="s">
        <v>606</v>
      </c>
      <c r="F12502" s="5" t="s">
        <v>853</v>
      </c>
      <c r="G12502" s="6" t="str">
        <f>VLOOKUP(E12502,dicionario!$A$1:$C12901,2,0)</f>
        <v>Elaenia spectabilis</v>
      </c>
      <c r="H12502" s="6" t="str">
        <f>VLOOKUP(E12502,dicionario!$A$1:$C12901,3,0)</f>
        <v>guaracava-grande</v>
      </c>
    </row>
    <row r="12503">
      <c r="A12503" s="3">
        <v>45876.0</v>
      </c>
      <c r="B12503" s="4">
        <v>0.28402777777777777</v>
      </c>
      <c r="C12503" s="5" t="s">
        <v>76</v>
      </c>
      <c r="D12503" s="5" t="s">
        <v>1704</v>
      </c>
      <c r="E12503" s="67" t="s">
        <v>1710</v>
      </c>
      <c r="F12503" s="5" t="s">
        <v>1711</v>
      </c>
      <c r="G12503" s="6" t="str">
        <f>VLOOKUP(E12503,dicionario!$A$1:$C12902,2,0)</f>
        <v>Hirundinidae</v>
      </c>
      <c r="H12503" s="6" t="str">
        <f>VLOOKUP(E12503,dicionario!$A$1:$C12902,3,0)</f>
        <v>andorinha </v>
      </c>
    </row>
    <row r="12504">
      <c r="A12504" s="3">
        <v>45876.0</v>
      </c>
      <c r="B12504" s="4">
        <v>0.2847222222222222</v>
      </c>
      <c r="C12504" s="5" t="s">
        <v>76</v>
      </c>
      <c r="D12504" s="5" t="s">
        <v>1704</v>
      </c>
      <c r="E12504" s="11" t="s">
        <v>1524</v>
      </c>
      <c r="F12504" s="5" t="s">
        <v>1525</v>
      </c>
      <c r="G12504" s="6" t="str">
        <f>VLOOKUP(E12504,dicionario!$A$1:$C12903,2,0)</f>
        <v>Tolmomyias flaviventris</v>
      </c>
      <c r="H12504" s="6" t="str">
        <f>VLOOKUP(E12504,dicionario!$A$1:$C12903,3,0)</f>
        <v>bico-chato-amarelo</v>
      </c>
    </row>
    <row r="12505">
      <c r="A12505" s="3">
        <v>45876.0</v>
      </c>
      <c r="B12505" s="4">
        <v>0.2847222222222222</v>
      </c>
      <c r="C12505" s="5" t="s">
        <v>76</v>
      </c>
      <c r="D12505" s="5" t="s">
        <v>1704</v>
      </c>
      <c r="E12505" s="6" t="s">
        <v>65</v>
      </c>
      <c r="F12505" s="5" t="s">
        <v>819</v>
      </c>
      <c r="G12505" s="6" t="str">
        <f>VLOOKUP(E12505,dicionario!$A$1:$C12904,2,0)</f>
        <v>Pitangus sulphutarus</v>
      </c>
      <c r="H12505" s="6" t="str">
        <f>VLOOKUP(E12505,dicionario!$A$1:$C12904,3,0)</f>
        <v>bem-te-vi</v>
      </c>
    </row>
    <row r="12506">
      <c r="A12506" s="3">
        <v>45876.0</v>
      </c>
      <c r="B12506" s="4">
        <v>0.2847222222222222</v>
      </c>
      <c r="C12506" s="5" t="s">
        <v>76</v>
      </c>
      <c r="D12506" s="5" t="s">
        <v>1704</v>
      </c>
      <c r="E12506" s="8" t="s">
        <v>38</v>
      </c>
      <c r="F12506" s="5" t="s">
        <v>1604</v>
      </c>
      <c r="G12506" s="6" t="str">
        <f>VLOOKUP(E12506,dicionario!$A$1:$C12905,2,0)</f>
        <v>Troglodytes musculus</v>
      </c>
      <c r="H12506" s="6" t="str">
        <f>VLOOKUP(E12506,dicionario!$A$1:$C12905,3,0)</f>
        <v>curruíra</v>
      </c>
    </row>
    <row r="12507">
      <c r="A12507" s="3">
        <v>45876.0</v>
      </c>
      <c r="B12507" s="4">
        <v>0.2847222222222222</v>
      </c>
      <c r="C12507" s="5" t="s">
        <v>76</v>
      </c>
      <c r="D12507" s="5" t="s">
        <v>1704</v>
      </c>
      <c r="E12507" s="8" t="s">
        <v>419</v>
      </c>
      <c r="F12507" s="5" t="s">
        <v>1712</v>
      </c>
      <c r="G12507" s="6" t="str">
        <f>VLOOKUP(E12507,dicionario!$A$1:$C12906,2,0)</f>
        <v>#N/A</v>
      </c>
      <c r="H12507" s="6" t="str">
        <f>VLOOKUP(E12507,dicionario!$A$1:$C12906,3,0)</f>
        <v>#N/A</v>
      </c>
    </row>
    <row r="12508">
      <c r="A12508" s="3">
        <v>45876.0</v>
      </c>
      <c r="B12508" s="4">
        <v>0.28541666666666665</v>
      </c>
      <c r="C12508" s="5" t="s">
        <v>76</v>
      </c>
      <c r="D12508" s="5" t="s">
        <v>1704</v>
      </c>
      <c r="E12508" s="8" t="s">
        <v>1344</v>
      </c>
      <c r="F12508" s="5" t="s">
        <v>1360</v>
      </c>
      <c r="G12508" s="6" t="str">
        <f>VLOOKUP(E12508,dicionario!$A$1:$C12907,2,0)</f>
        <v>#N/A</v>
      </c>
      <c r="H12508" s="6" t="str">
        <f>VLOOKUP(E12508,dicionario!$A$1:$C12907,3,0)</f>
        <v>#N/A</v>
      </c>
    </row>
    <row r="12509">
      <c r="A12509" s="3">
        <v>45876.0</v>
      </c>
      <c r="B12509" s="4">
        <v>0.28541666666666665</v>
      </c>
      <c r="C12509" s="5" t="s">
        <v>76</v>
      </c>
      <c r="D12509" s="5" t="s">
        <v>1704</v>
      </c>
      <c r="E12509" s="6" t="s">
        <v>99</v>
      </c>
      <c r="F12509" s="5" t="s">
        <v>508</v>
      </c>
      <c r="G12509" s="6" t="str">
        <f>VLOOKUP(E12509,dicionario!$A$1:$C12908,2,0)</f>
        <v>Molothrus bonariensis</v>
      </c>
      <c r="H12509" s="6" t="str">
        <f>VLOOKUP(E12509,dicionario!$A$1:$C12908,3,0)</f>
        <v>chupim</v>
      </c>
    </row>
    <row r="12510">
      <c r="A12510" s="3">
        <v>45876.0</v>
      </c>
      <c r="B12510" s="4">
        <v>0.28541666666666665</v>
      </c>
      <c r="C12510" s="5" t="s">
        <v>76</v>
      </c>
      <c r="D12510" s="5" t="s">
        <v>1704</v>
      </c>
      <c r="E12510" s="6"/>
      <c r="F12510" s="52" t="s">
        <v>1713</v>
      </c>
      <c r="G12510" s="6" t="str">
        <f>VLOOKUP(E12510,dicionario!$A$1:$C12909,2,0)</f>
        <v>#N/A</v>
      </c>
      <c r="H12510" s="6" t="str">
        <f>VLOOKUP(E12510,dicionario!$A$1:$C12909,3,0)</f>
        <v>#N/A</v>
      </c>
    </row>
    <row r="12511">
      <c r="A12511" s="3">
        <v>45876.0</v>
      </c>
      <c r="B12511" s="4">
        <v>0.28888888888888886</v>
      </c>
      <c r="C12511" s="5" t="s">
        <v>64</v>
      </c>
      <c r="D12511" s="5" t="s">
        <v>1704</v>
      </c>
      <c r="E12511" s="6" t="s">
        <v>175</v>
      </c>
      <c r="F12511" s="5" t="s">
        <v>176</v>
      </c>
      <c r="G12511" s="6" t="str">
        <f>VLOOKUP(E12511,dicionario!$A$1:$C12910,2,0)</f>
        <v>Turdus leucomelas</v>
      </c>
      <c r="H12511" s="6" t="str">
        <f>VLOOKUP(E12511,dicionario!$A$1:$C12910,3,0)</f>
        <v>sabiá-barranco</v>
      </c>
    </row>
    <row r="12512">
      <c r="A12512" s="3">
        <v>45876.0</v>
      </c>
      <c r="B12512" s="4">
        <v>0.28888888888888886</v>
      </c>
      <c r="C12512" s="5" t="s">
        <v>64</v>
      </c>
      <c r="D12512" s="5" t="s">
        <v>1704</v>
      </c>
      <c r="E12512" s="6" t="s">
        <v>251</v>
      </c>
      <c r="F12512" s="5" t="s">
        <v>873</v>
      </c>
      <c r="G12512" s="6" t="str">
        <f>VLOOKUP(E12512,dicionario!$A$1:$C12911,2,0)</f>
        <v>Struthanthus flexicaulis</v>
      </c>
      <c r="H12512" s="6" t="str">
        <f>VLOOKUP(E12512,dicionario!$A$1:$C12911,3,0)</f>
        <v>erva-de-passarinho</v>
      </c>
    </row>
    <row r="12513">
      <c r="A12513" s="3">
        <v>45876.0</v>
      </c>
      <c r="B12513" s="4">
        <v>0.28888888888888886</v>
      </c>
      <c r="C12513" s="5" t="s">
        <v>64</v>
      </c>
      <c r="D12513" s="5" t="s">
        <v>1704</v>
      </c>
      <c r="E12513" s="6" t="s">
        <v>65</v>
      </c>
      <c r="F12513" s="5" t="s">
        <v>819</v>
      </c>
      <c r="G12513" s="6" t="str">
        <f>VLOOKUP(E12513,dicionario!$A$1:$C12912,2,0)</f>
        <v>Pitangus sulphutarus</v>
      </c>
      <c r="H12513" s="6" t="str">
        <f>VLOOKUP(E12513,dicionario!$A$1:$C12912,3,0)</f>
        <v>bem-te-vi</v>
      </c>
    </row>
    <row r="12514">
      <c r="A12514" s="3">
        <v>45876.0</v>
      </c>
      <c r="B12514" s="4">
        <v>0.28888888888888886</v>
      </c>
      <c r="C12514" s="5" t="s">
        <v>64</v>
      </c>
      <c r="D12514" s="5" t="s">
        <v>1704</v>
      </c>
      <c r="E12514" s="6" t="s">
        <v>290</v>
      </c>
      <c r="F12514" s="5" t="s">
        <v>779</v>
      </c>
      <c r="G12514" s="6" t="str">
        <f>VLOOKUP(E12514,dicionario!$A$1:$C12913,2,0)</f>
        <v>Drymaria cordata</v>
      </c>
      <c r="H12514" s="6" t="str">
        <f>VLOOKUP(E12514,dicionario!$A$1:$C12913,3,0)</f>
        <v>orelha-de-rato</v>
      </c>
    </row>
    <row r="12515">
      <c r="A12515" s="3">
        <v>45876.0</v>
      </c>
      <c r="B12515" s="4">
        <v>0.28888888888888886</v>
      </c>
      <c r="C12515" s="5" t="s">
        <v>64</v>
      </c>
      <c r="D12515" s="5" t="s">
        <v>1704</v>
      </c>
      <c r="E12515" s="6" t="s">
        <v>288</v>
      </c>
      <c r="F12515" s="5" t="s">
        <v>760</v>
      </c>
      <c r="G12515" s="6" t="str">
        <f>VLOOKUP(E12515,dicionario!$A$1:$C12914,2,0)</f>
        <v>Phyllanthus tenellus</v>
      </c>
      <c r="H12515" s="6" t="str">
        <f>VLOOKUP(E12515,dicionario!$A$1:$C12914,3,0)</f>
        <v>quebra-pedra</v>
      </c>
    </row>
    <row r="12516">
      <c r="A12516" s="3">
        <v>45876.0</v>
      </c>
      <c r="B12516" s="4">
        <v>0.28888888888888886</v>
      </c>
      <c r="C12516" s="5" t="s">
        <v>64</v>
      </c>
      <c r="D12516" s="5" t="s">
        <v>1704</v>
      </c>
      <c r="E12516" s="6" t="s">
        <v>141</v>
      </c>
      <c r="F12516" s="5" t="s">
        <v>142</v>
      </c>
      <c r="G12516" s="6" t="str">
        <f>VLOOKUP(E12516,dicionario!$A$1:$C12915,2,0)</f>
        <v>Ruellia blechum</v>
      </c>
      <c r="H12516" s="6" t="str">
        <f>VLOOKUP(E12516,dicionario!$A$1:$C12915,3,0)</f>
        <v>camarão-verde</v>
      </c>
    </row>
    <row r="12517">
      <c r="A12517" s="3">
        <v>45876.0</v>
      </c>
      <c r="B12517" s="4">
        <v>0.28888888888888886</v>
      </c>
      <c r="C12517" s="5" t="s">
        <v>64</v>
      </c>
      <c r="D12517" s="5" t="s">
        <v>1704</v>
      </c>
      <c r="E12517" s="6" t="s">
        <v>267</v>
      </c>
      <c r="F12517" s="5" t="s">
        <v>765</v>
      </c>
      <c r="G12517" s="6" t="str">
        <f>VLOOKUP(E12517,dicionario!$A$1:$C12916,2,0)</f>
        <v>Solanum americanum</v>
      </c>
      <c r="H12517" s="6" t="str">
        <f>VLOOKUP(E12517,dicionario!$A$1:$C12916,3,0)</f>
        <v>maria-pretinha</v>
      </c>
    </row>
    <row r="12518">
      <c r="A12518" s="3">
        <v>45876.0</v>
      </c>
      <c r="B12518" s="4">
        <v>0.28888888888888886</v>
      </c>
      <c r="C12518" s="5" t="s">
        <v>64</v>
      </c>
      <c r="D12518" s="5" t="s">
        <v>1704</v>
      </c>
      <c r="E12518" s="8" t="s">
        <v>1352</v>
      </c>
      <c r="F12518" s="5"/>
      <c r="G12518" s="6" t="str">
        <f>VLOOKUP(E12518,dicionario!$A$1:$C12917,2,0)</f>
        <v>#N/A</v>
      </c>
      <c r="H12518" s="6" t="str">
        <f>VLOOKUP(E12518,dicionario!$A$1:$C12917,3,0)</f>
        <v>#N/A</v>
      </c>
    </row>
    <row r="12519">
      <c r="A12519" s="3">
        <v>45876.0</v>
      </c>
      <c r="B12519" s="4">
        <v>0.28888888888888886</v>
      </c>
      <c r="C12519" s="5" t="s">
        <v>64</v>
      </c>
      <c r="D12519" s="5" t="s">
        <v>1704</v>
      </c>
      <c r="E12519" s="6" t="s">
        <v>247</v>
      </c>
      <c r="F12519" s="5" t="s">
        <v>825</v>
      </c>
      <c r="G12519" s="6" t="str">
        <f>VLOOKUP(E12519,dicionario!$A$1:$C12918,2,0)</f>
        <v>Emilia sonchifolia</v>
      </c>
      <c r="H12519" s="6" t="str">
        <f>VLOOKUP(E12519,dicionario!$A$1:$C12918,3,0)</f>
        <v>serralinha</v>
      </c>
    </row>
    <row r="12520">
      <c r="A12520" s="3">
        <v>45876.0</v>
      </c>
      <c r="B12520" s="4">
        <v>0.29097222222222224</v>
      </c>
      <c r="C12520" s="5" t="s">
        <v>64</v>
      </c>
      <c r="D12520" s="5" t="s">
        <v>1704</v>
      </c>
      <c r="E12520" s="6" t="s">
        <v>401</v>
      </c>
      <c r="F12520" s="5" t="s">
        <v>770</v>
      </c>
      <c r="G12520" s="6" t="str">
        <f>VLOOKUP(E12520,dicionario!$A$1:$C12919,2,0)</f>
        <v>Cissus verticillata</v>
      </c>
      <c r="H12520" s="6" t="str">
        <f>VLOOKUP(E12520,dicionario!$A$1:$C12919,3,0)</f>
        <v>uva-do-mato</v>
      </c>
    </row>
    <row r="12521">
      <c r="A12521" s="3">
        <v>45876.0</v>
      </c>
      <c r="B12521" s="4">
        <v>0.29097222222222224</v>
      </c>
      <c r="C12521" s="5" t="s">
        <v>64</v>
      </c>
      <c r="D12521" s="5" t="s">
        <v>1704</v>
      </c>
      <c r="E12521" s="8" t="s">
        <v>20</v>
      </c>
      <c r="F12521" s="5" t="s">
        <v>1637</v>
      </c>
      <c r="G12521" s="6" t="str">
        <f>VLOOKUP(E12521,dicionario!$A$1:$C12920,2,0)</f>
        <v>Sicalis flaveola</v>
      </c>
      <c r="H12521" s="6" t="str">
        <f>VLOOKUP(E12521,dicionario!$A$1:$C12920,3,0)</f>
        <v>canário-da-terra</v>
      </c>
    </row>
    <row r="12522">
      <c r="A12522" s="3">
        <v>45876.0</v>
      </c>
      <c r="B12522" s="4">
        <v>0.29097222222222224</v>
      </c>
      <c r="C12522" s="5" t="s">
        <v>64</v>
      </c>
      <c r="D12522" s="5" t="s">
        <v>1704</v>
      </c>
      <c r="E12522" s="6" t="s">
        <v>86</v>
      </c>
      <c r="F12522" s="5" t="s">
        <v>783</v>
      </c>
      <c r="G12522" s="6" t="str">
        <f>VLOOKUP(E12522,dicionario!$A$1:$C12921,2,0)</f>
        <v>Coereba flaveola</v>
      </c>
      <c r="H12522" s="6" t="str">
        <f>VLOOKUP(E12522,dicionario!$A$1:$C12921,3,0)</f>
        <v>cambacica</v>
      </c>
    </row>
    <row r="12523">
      <c r="A12523" s="3">
        <v>45876.0</v>
      </c>
      <c r="B12523" s="4">
        <v>0.29097222222222224</v>
      </c>
      <c r="C12523" s="5" t="s">
        <v>64</v>
      </c>
      <c r="D12523" s="5" t="s">
        <v>1704</v>
      </c>
      <c r="E12523" s="8" t="s">
        <v>38</v>
      </c>
      <c r="F12523" s="5" t="s">
        <v>1604</v>
      </c>
      <c r="G12523" s="6" t="str">
        <f>VLOOKUP(E12523,dicionario!$A$1:$C12922,2,0)</f>
        <v>Troglodytes musculus</v>
      </c>
      <c r="H12523" s="6" t="str">
        <f>VLOOKUP(E12523,dicionario!$A$1:$C12922,3,0)</f>
        <v>curruíra</v>
      </c>
    </row>
    <row r="12524">
      <c r="A12524" s="3">
        <v>45876.0</v>
      </c>
      <c r="B12524" s="4">
        <v>0.29097222222222224</v>
      </c>
      <c r="C12524" s="5" t="s">
        <v>64</v>
      </c>
      <c r="D12524" s="5" t="s">
        <v>1704</v>
      </c>
      <c r="E12524" s="6" t="s">
        <v>213</v>
      </c>
      <c r="F12524" s="5" t="s">
        <v>214</v>
      </c>
      <c r="G12524" s="6" t="str">
        <f>VLOOKUP(E12524,dicionario!$A$1:$C12923,2,0)</f>
        <v>Myiozetetes similis</v>
      </c>
      <c r="H12524" s="6" t="str">
        <f>VLOOKUP(E12524,dicionario!$A$1:$C12923,3,0)</f>
        <v>bentevizinho-de-penacho-vermelho</v>
      </c>
    </row>
    <row r="12525">
      <c r="A12525" s="3">
        <v>45876.0</v>
      </c>
      <c r="B12525" s="4">
        <v>0.29097222222222224</v>
      </c>
      <c r="C12525" s="5" t="s">
        <v>64</v>
      </c>
      <c r="D12525" s="5" t="s">
        <v>1704</v>
      </c>
      <c r="E12525" s="6" t="s">
        <v>193</v>
      </c>
      <c r="F12525" s="5" t="s">
        <v>894</v>
      </c>
      <c r="G12525" s="6" t="str">
        <f>VLOOKUP(E12525,dicionario!$A$1:$C12924,2,0)</f>
        <v>Conirostrum speciosum</v>
      </c>
      <c r="H12525" s="6" t="str">
        <f>VLOOKUP(E12525,dicionario!$A$1:$C12924,3,0)</f>
        <v>figuinha-de-rabo-castanho</v>
      </c>
    </row>
    <row r="12526">
      <c r="A12526" s="3">
        <v>45876.0</v>
      </c>
      <c r="B12526" s="4">
        <v>0.29097222222222224</v>
      </c>
      <c r="C12526" s="5" t="s">
        <v>64</v>
      </c>
      <c r="D12526" s="5" t="s">
        <v>1704</v>
      </c>
      <c r="E12526" s="8" t="s">
        <v>69</v>
      </c>
      <c r="F12526" s="5" t="s">
        <v>1657</v>
      </c>
      <c r="G12526" s="6" t="str">
        <f>VLOOKUP(E12526,dicionario!$A$1:$C12925,2,0)</f>
        <v>Talinum fruticosum</v>
      </c>
      <c r="H12526" s="6" t="str">
        <f>VLOOKUP(E12526,dicionario!$A$1:$C12925,3,0)</f>
        <v>beldroega-grande</v>
      </c>
    </row>
    <row r="12527">
      <c r="A12527" s="3">
        <v>45876.0</v>
      </c>
      <c r="B12527" s="4">
        <v>0.29097222222222224</v>
      </c>
      <c r="C12527" s="5" t="s">
        <v>64</v>
      </c>
      <c r="D12527" s="5" t="s">
        <v>1704</v>
      </c>
      <c r="E12527" s="76" t="s">
        <v>514</v>
      </c>
      <c r="F12527" s="5" t="s">
        <v>1714</v>
      </c>
      <c r="G12527" s="6" t="str">
        <f>VLOOKUP(E12527,dicionario!$A$1:$C12926,2,0)</f>
        <v>Aedes aegypti</v>
      </c>
      <c r="H12527" s="6" t="str">
        <f>VLOOKUP(E12527,dicionario!$A$1:$C12926,3,0)</f>
        <v>mosquito-da-dengue</v>
      </c>
    </row>
    <row r="12528">
      <c r="A12528" s="3">
        <v>45876.0</v>
      </c>
      <c r="B12528" s="4">
        <v>0.2916666666666667</v>
      </c>
      <c r="C12528" s="5" t="s">
        <v>64</v>
      </c>
      <c r="D12528" s="5" t="s">
        <v>1704</v>
      </c>
      <c r="E12528" s="8" t="s">
        <v>792</v>
      </c>
      <c r="F12528" s="5" t="s">
        <v>1014</v>
      </c>
      <c r="G12528" s="6" t="str">
        <f>VLOOKUP(E12528,dicionario!$A$1:$C12927,2,0)</f>
        <v>Musca domestica</v>
      </c>
      <c r="H12528" s="6" t="str">
        <f>VLOOKUP(E12528,dicionario!$A$1:$C12927,3,0)</f>
        <v>mosca-doméstica</v>
      </c>
    </row>
    <row r="12529">
      <c r="A12529" s="3">
        <v>45876.0</v>
      </c>
      <c r="B12529" s="4">
        <v>0.2916666666666667</v>
      </c>
      <c r="C12529" s="5" t="s">
        <v>64</v>
      </c>
      <c r="D12529" s="5" t="s">
        <v>1704</v>
      </c>
      <c r="E12529" s="6" t="s">
        <v>171</v>
      </c>
      <c r="F12529" s="5" t="s">
        <v>766</v>
      </c>
      <c r="G12529" s="6" t="str">
        <f>VLOOKUP(E12529,dicionario!$A$1:$C12928,2,0)</f>
        <v>Oxalis corniculata</v>
      </c>
      <c r="H12529" s="6" t="str">
        <f>VLOOKUP(E12529,dicionario!$A$1:$C12928,3,0)</f>
        <v>trevo-azedinho</v>
      </c>
    </row>
    <row r="12530">
      <c r="A12530" s="3">
        <v>45876.0</v>
      </c>
      <c r="B12530" s="4">
        <v>0.2916666666666667</v>
      </c>
      <c r="C12530" s="5" t="s">
        <v>64</v>
      </c>
      <c r="D12530" s="5" t="s">
        <v>1704</v>
      </c>
      <c r="E12530" s="8" t="s">
        <v>122</v>
      </c>
      <c r="F12530" s="5" t="s">
        <v>1593</v>
      </c>
      <c r="G12530" s="6" t="str">
        <f>VLOOKUP(E12530,dicionario!$A$1:$C12929,2,0)</f>
        <v>Todirostrum cinereum</v>
      </c>
      <c r="H12530" s="6" t="str">
        <f>VLOOKUP(E12530,dicionario!$A$1:$C12929,3,0)</f>
        <v>ferreirinho-relógio</v>
      </c>
    </row>
    <row r="12531">
      <c r="A12531" s="3">
        <v>45876.0</v>
      </c>
      <c r="B12531" s="4">
        <v>0.2916666666666667</v>
      </c>
      <c r="C12531" s="5" t="s">
        <v>64</v>
      </c>
      <c r="D12531" s="5" t="s">
        <v>1704</v>
      </c>
      <c r="E12531" s="8" t="s">
        <v>712</v>
      </c>
      <c r="F12531" s="5" t="s">
        <v>1602</v>
      </c>
      <c r="G12531" s="6" t="str">
        <f>VLOOKUP(E12531,dicionario!$A$1:$C12930,2,0)</f>
        <v>Flavopunctelia soredica</v>
      </c>
      <c r="H12531" s="6" t="str">
        <f>VLOOKUP(E12531,dicionario!$A$1:$C12930,3,0)</f>
        <v>líquen-folioso</v>
      </c>
    </row>
    <row r="12532">
      <c r="A12532" s="3">
        <v>45876.0</v>
      </c>
      <c r="B12532" s="4">
        <v>0.2916666666666667</v>
      </c>
      <c r="C12532" s="5" t="s">
        <v>64</v>
      </c>
      <c r="D12532" s="5" t="s">
        <v>1704</v>
      </c>
      <c r="E12532" s="8" t="s">
        <v>265</v>
      </c>
      <c r="F12532" s="5" t="s">
        <v>266</v>
      </c>
      <c r="G12532" s="6" t="str">
        <f>VLOOKUP(E12532,dicionario!$A$1:$C12931,2,0)</f>
        <v>Sonchus oleraceus</v>
      </c>
      <c r="H12532" s="6" t="str">
        <f>VLOOKUP(E12532,dicionario!$A$1:$C12931,3,0)</f>
        <v>seralha</v>
      </c>
    </row>
    <row r="12533">
      <c r="A12533" s="3">
        <v>45876.0</v>
      </c>
      <c r="B12533" s="4">
        <v>0.2916666666666667</v>
      </c>
      <c r="C12533" s="5" t="s">
        <v>64</v>
      </c>
      <c r="D12533" s="5" t="s">
        <v>1704</v>
      </c>
      <c r="E12533" s="6" t="s">
        <v>319</v>
      </c>
      <c r="F12533" s="5" t="s">
        <v>320</v>
      </c>
      <c r="G12533" s="6" t="str">
        <f>VLOOKUP(E12533,dicionario!$A$1:$C12932,2,0)</f>
        <v>Schinus terebinthifolia</v>
      </c>
      <c r="H12533" s="6" t="str">
        <f>VLOOKUP(E12533,dicionario!$A$1:$C12932,3,0)</f>
        <v>aroeira</v>
      </c>
    </row>
    <row r="12534">
      <c r="A12534" s="3">
        <v>45876.0</v>
      </c>
      <c r="B12534" s="4">
        <v>0.2916666666666667</v>
      </c>
      <c r="C12534" s="5" t="s">
        <v>64</v>
      </c>
      <c r="D12534" s="5" t="s">
        <v>1704</v>
      </c>
      <c r="E12534" s="6" t="s">
        <v>88</v>
      </c>
      <c r="F12534" s="5" t="s">
        <v>782</v>
      </c>
      <c r="G12534" s="6" t="str">
        <f>VLOOKUP(E12534,dicionario!$A$1:$C12933,2,0)</f>
        <v>Tyrannus melancolichus</v>
      </c>
      <c r="H12534" s="6" t="str">
        <f>VLOOKUP(E12534,dicionario!$A$1:$C12933,3,0)</f>
        <v>suiriri</v>
      </c>
    </row>
    <row r="12535">
      <c r="A12535" s="3">
        <v>45876.0</v>
      </c>
      <c r="B12535" s="4">
        <v>0.2923611111111111</v>
      </c>
      <c r="C12535" s="5" t="s">
        <v>64</v>
      </c>
      <c r="D12535" s="5" t="s">
        <v>1704</v>
      </c>
      <c r="E12535" s="6" t="s">
        <v>195</v>
      </c>
      <c r="F12535" s="5" t="s">
        <v>679</v>
      </c>
      <c r="G12535" s="6" t="str">
        <f>VLOOKUP(E12535,dicionario!$A$1:$C12934,2,0)</f>
        <v>Priva lappulacea</v>
      </c>
      <c r="H12535" s="6" t="str">
        <f>VLOOKUP(E12535,dicionario!$A$1:$C12934,3,0)</f>
        <v>carrapicho</v>
      </c>
    </row>
    <row r="12536">
      <c r="A12536" s="3">
        <v>45876.0</v>
      </c>
      <c r="B12536" s="4">
        <v>0.2923611111111111</v>
      </c>
      <c r="C12536" s="5" t="s">
        <v>64</v>
      </c>
      <c r="D12536" s="5" t="s">
        <v>1704</v>
      </c>
      <c r="E12536" s="6" t="s">
        <v>253</v>
      </c>
      <c r="F12536" s="5" t="s">
        <v>254</v>
      </c>
      <c r="G12536" s="6" t="str">
        <f>VLOOKUP(E12536,dicionario!$A$1:$C12935,2,0)</f>
        <v>Panicum maximum</v>
      </c>
      <c r="H12536" s="6" t="str">
        <f>VLOOKUP(E12536,dicionario!$A$1:$C12935,3,0)</f>
        <v>capim-colonião</v>
      </c>
    </row>
    <row r="12537">
      <c r="A12537" s="3">
        <v>45876.0</v>
      </c>
      <c r="B12537" s="4">
        <v>0.29305555555555557</v>
      </c>
      <c r="C12537" s="5" t="s">
        <v>64</v>
      </c>
      <c r="D12537" s="5" t="s">
        <v>1704</v>
      </c>
      <c r="E12537" s="6" t="s">
        <v>150</v>
      </c>
      <c r="F12537" s="5" t="s">
        <v>769</v>
      </c>
      <c r="G12537" s="6" t="str">
        <f>VLOOKUP(E12537,dicionario!$A$1:$C12936,2,0)</f>
        <v>Amaranthus viridis</v>
      </c>
      <c r="H12537" s="6" t="str">
        <f>VLOOKUP(E12537,dicionario!$A$1:$C12936,3,0)</f>
        <v>caruru-de-mancha</v>
      </c>
    </row>
    <row r="12538">
      <c r="A12538" s="3">
        <v>45876.0</v>
      </c>
      <c r="B12538" s="4">
        <v>0.29305555555555557</v>
      </c>
      <c r="C12538" s="5" t="s">
        <v>64</v>
      </c>
      <c r="D12538" s="5" t="s">
        <v>1704</v>
      </c>
      <c r="E12538" s="8" t="s">
        <v>740</v>
      </c>
      <c r="F12538" s="5" t="s">
        <v>1678</v>
      </c>
      <c r="G12538" s="6" t="str">
        <f>VLOOKUP(E12538,dicionario!$A$1:$C12937,2,0)</f>
        <v>Melothria cucumis</v>
      </c>
      <c r="H12538" s="6" t="str">
        <f>VLOOKUP(E12538,dicionario!$A$1:$C12937,3,0)</f>
        <v>pepino-do-mato</v>
      </c>
    </row>
    <row r="12539">
      <c r="A12539" s="3">
        <v>45876.0</v>
      </c>
      <c r="B12539" s="4">
        <v>0.29305555555555557</v>
      </c>
      <c r="C12539" s="5" t="s">
        <v>64</v>
      </c>
      <c r="D12539" s="5" t="s">
        <v>1704</v>
      </c>
      <c r="E12539" s="8" t="s">
        <v>1715</v>
      </c>
      <c r="F12539" s="5" t="s">
        <v>1716</v>
      </c>
      <c r="G12539" s="6" t="str">
        <f>VLOOKUP(E12539,dicionario!$A$1:$C12938,2,0)</f>
        <v>#N/A</v>
      </c>
      <c r="H12539" s="6" t="str">
        <f>VLOOKUP(E12539,dicionario!$A$1:$C12938,3,0)</f>
        <v>#N/A</v>
      </c>
    </row>
    <row r="12540">
      <c r="A12540" s="3">
        <v>45876.0</v>
      </c>
      <c r="B12540" s="4">
        <v>0.29305555555555557</v>
      </c>
      <c r="C12540" s="5" t="s">
        <v>64</v>
      </c>
      <c r="D12540" s="5" t="s">
        <v>1704</v>
      </c>
      <c r="E12540" s="6" t="s">
        <v>48</v>
      </c>
      <c r="F12540" s="5" t="s">
        <v>798</v>
      </c>
      <c r="G12540" s="6" t="str">
        <f>VLOOKUP(E12540,dicionario!$A$1:$C12939,2,0)</f>
        <v>Commelina erecta</v>
      </c>
      <c r="H12540" s="6" t="str">
        <f>VLOOKUP(E12540,dicionario!$A$1:$C12939,3,0)</f>
        <v>trapoeraba</v>
      </c>
    </row>
    <row r="12541">
      <c r="A12541" s="3">
        <v>45876.0</v>
      </c>
      <c r="B12541" s="4">
        <v>0.29305555555555557</v>
      </c>
      <c r="C12541" s="5" t="s">
        <v>64</v>
      </c>
      <c r="D12541" s="5" t="s">
        <v>1704</v>
      </c>
      <c r="E12541" s="8" t="s">
        <v>38</v>
      </c>
      <c r="F12541" s="5" t="s">
        <v>1604</v>
      </c>
      <c r="G12541" s="6" t="str">
        <f>VLOOKUP(E12541,dicionario!$A$1:$C12940,2,0)</f>
        <v>Troglodytes musculus</v>
      </c>
      <c r="H12541" s="6" t="str">
        <f>VLOOKUP(E12541,dicionario!$A$1:$C12940,3,0)</f>
        <v>curruíra</v>
      </c>
    </row>
    <row r="12542">
      <c r="A12542" s="3">
        <v>45876.0</v>
      </c>
      <c r="B12542" s="4">
        <v>0.29305555555555557</v>
      </c>
      <c r="C12542" s="5" t="s">
        <v>64</v>
      </c>
      <c r="D12542" s="5" t="s">
        <v>1704</v>
      </c>
      <c r="E12542" s="8" t="s">
        <v>20</v>
      </c>
      <c r="F12542" s="5" t="s">
        <v>1637</v>
      </c>
      <c r="G12542" s="6" t="str">
        <f>VLOOKUP(E12542,dicionario!$A$1:$C12941,2,0)</f>
        <v>Sicalis flaveola</v>
      </c>
      <c r="H12542" s="6" t="str">
        <f>VLOOKUP(E12542,dicionario!$A$1:$C12941,3,0)</f>
        <v>canário-da-terra</v>
      </c>
    </row>
    <row r="12543">
      <c r="A12543" s="3">
        <v>45876.0</v>
      </c>
      <c r="B12543" s="4">
        <v>0.29305555555555557</v>
      </c>
      <c r="C12543" s="5" t="s">
        <v>64</v>
      </c>
      <c r="D12543" s="5" t="s">
        <v>1704</v>
      </c>
      <c r="E12543" s="53" t="s">
        <v>1717</v>
      </c>
      <c r="F12543" s="5" t="s">
        <v>1718</v>
      </c>
      <c r="G12543" s="6" t="str">
        <f>VLOOKUP(E12543,dicionario!$A$1:$C12942,2,0)</f>
        <v>Membracis trimaculata</v>
      </c>
      <c r="H12543" s="6" t="str">
        <f>VLOOKUP(E12543,dicionario!$A$1:$C12942,3,0)</f>
        <v>soldadinho-mímico</v>
      </c>
    </row>
    <row r="12544">
      <c r="A12544" s="3">
        <v>45876.0</v>
      </c>
      <c r="B12544" s="4">
        <v>0.29375</v>
      </c>
      <c r="C12544" s="5" t="s">
        <v>64</v>
      </c>
      <c r="D12544" s="5" t="s">
        <v>1704</v>
      </c>
      <c r="E12544" s="53" t="s">
        <v>111</v>
      </c>
      <c r="F12544" s="5" t="s">
        <v>1719</v>
      </c>
      <c r="G12544" s="6" t="str">
        <f>VLOOKUP(E12544,dicionario!$A$1:$C12943,2,0)</f>
        <v>Trigona spinipes</v>
      </c>
      <c r="H12544" s="6" t="str">
        <f>VLOOKUP(E12544,dicionario!$A$1:$C12943,3,0)</f>
        <v>abelha-cachorro</v>
      </c>
    </row>
    <row r="12545">
      <c r="A12545" s="3">
        <v>45876.0</v>
      </c>
      <c r="B12545" s="4">
        <v>0.29444444444444445</v>
      </c>
      <c r="C12545" s="5" t="s">
        <v>64</v>
      </c>
      <c r="D12545" s="5" t="s">
        <v>1704</v>
      </c>
      <c r="E12545" s="6" t="s">
        <v>467</v>
      </c>
      <c r="F12545" s="5" t="s">
        <v>1643</v>
      </c>
      <c r="G12545" s="6" t="str">
        <f>VLOOKUP(E12545,dicionario!$A$1:$C12944,2,0)</f>
        <v>Eleusine indica</v>
      </c>
      <c r="H12545" s="6" t="str">
        <f>VLOOKUP(E12545,dicionario!$A$1:$C12944,3,0)</f>
        <v>capim-pé-de-galinha</v>
      </c>
    </row>
    <row r="12546">
      <c r="A12546" s="3">
        <v>45876.0</v>
      </c>
      <c r="B12546" s="4">
        <v>0.29583333333333334</v>
      </c>
      <c r="C12546" s="5" t="s">
        <v>59</v>
      </c>
      <c r="D12546" s="5" t="s">
        <v>1704</v>
      </c>
      <c r="E12546" s="6" t="s">
        <v>22</v>
      </c>
      <c r="F12546" s="5" t="s">
        <v>97</v>
      </c>
      <c r="G12546" s="6" t="str">
        <f>VLOOKUP(E12546,dicionario!$A$1:$C12945,2,0)</f>
        <v>Zenaida auriculata</v>
      </c>
      <c r="H12546" s="6" t="str">
        <f>VLOOKUP(E12546,dicionario!$A$1:$C12945,3,0)</f>
        <v>pomba-de-bando; avoante</v>
      </c>
    </row>
    <row r="12547">
      <c r="A12547" s="3">
        <v>45876.0</v>
      </c>
      <c r="B12547" s="4">
        <v>0.29583333333333334</v>
      </c>
      <c r="C12547" s="5" t="s">
        <v>59</v>
      </c>
      <c r="D12547" s="5" t="s">
        <v>1704</v>
      </c>
      <c r="E12547" s="8" t="s">
        <v>909</v>
      </c>
      <c r="F12547" s="5" t="s">
        <v>1636</v>
      </c>
      <c r="G12547" s="6" t="str">
        <f>VLOOKUP(E12547,dicionario!$A$1:$C12946,2,0)</f>
        <v>Chordeiles acutipennis</v>
      </c>
      <c r="H12547" s="6" t="str">
        <f>VLOOKUP(E12547,dicionario!$A$1:$C12946,3,0)</f>
        <v>bacurau-de-asa-fina</v>
      </c>
    </row>
    <row r="12548">
      <c r="A12548" s="3">
        <v>45876.0</v>
      </c>
      <c r="B12548" s="4">
        <v>0.29583333333333334</v>
      </c>
      <c r="C12548" s="5" t="s">
        <v>59</v>
      </c>
      <c r="D12548" s="5" t="s">
        <v>1704</v>
      </c>
      <c r="E12548" s="6" t="s">
        <v>213</v>
      </c>
      <c r="F12548" s="5" t="s">
        <v>1456</v>
      </c>
      <c r="G12548" s="6" t="str">
        <f>VLOOKUP(E12548,dicionario!$A$1:$C12947,2,0)</f>
        <v>Myiozetetes similis</v>
      </c>
      <c r="H12548" s="6" t="str">
        <f>VLOOKUP(E12548,dicionario!$A$1:$C12947,3,0)</f>
        <v>bentevizinho-de-penacho-vermelho</v>
      </c>
    </row>
    <row r="12549">
      <c r="A12549" s="3">
        <v>45876.0</v>
      </c>
      <c r="B12549" s="4">
        <v>0.29583333333333334</v>
      </c>
      <c r="C12549" s="5" t="s">
        <v>59</v>
      </c>
      <c r="D12549" s="5" t="s">
        <v>1704</v>
      </c>
      <c r="E12549" s="8" t="s">
        <v>109</v>
      </c>
      <c r="F12549" s="5" t="s">
        <v>777</v>
      </c>
      <c r="G12549" s="6" t="str">
        <f>VLOOKUP(E12549,dicionario!$A$1:$C12948,2,0)</f>
        <v>Tillandsia stricta</v>
      </c>
      <c r="H12549" s="6" t="str">
        <f>VLOOKUP(E12549,dicionario!$A$1:$C12948,3,0)</f>
        <v>cravo-do-mato</v>
      </c>
    </row>
    <row r="12550">
      <c r="A12550" s="3">
        <v>45876.0</v>
      </c>
      <c r="B12550" s="4">
        <v>0.29583333333333334</v>
      </c>
      <c r="C12550" s="5" t="s">
        <v>59</v>
      </c>
      <c r="D12550" s="5" t="s">
        <v>1704</v>
      </c>
      <c r="E12550" s="8" t="s">
        <v>1167</v>
      </c>
      <c r="F12550" s="61" t="s">
        <v>1598</v>
      </c>
      <c r="G12550" s="6" t="str">
        <f>VLOOKUP(E12550,dicionario!$A$1:$C12949,2,0)</f>
        <v>Tillandsia recurvata</v>
      </c>
      <c r="H12550" s="6" t="str">
        <f>VLOOKUP(E12550,dicionario!$A$1:$C12949,3,0)</f>
        <v>cravo-do-mato sp2</v>
      </c>
    </row>
    <row r="12551">
      <c r="A12551" s="3">
        <v>45876.0</v>
      </c>
      <c r="B12551" s="4">
        <v>0.29583333333333334</v>
      </c>
      <c r="C12551" s="5" t="s">
        <v>59</v>
      </c>
      <c r="D12551" s="5" t="s">
        <v>1704</v>
      </c>
      <c r="E12551" s="65" t="s">
        <v>1632</v>
      </c>
      <c r="F12551" s="61" t="s">
        <v>1633</v>
      </c>
      <c r="G12551" s="6" t="str">
        <f>VLOOKUP(E12551,dicionario!$A$1:$C12950,2,0)</f>
        <v>Tillandsia loliacea</v>
      </c>
      <c r="H12551" s="6" t="str">
        <f>VLOOKUP(E12551,dicionario!$A$1:$C12950,3,0)</f>
        <v>cravo-do-mato sp4</v>
      </c>
    </row>
    <row r="12552">
      <c r="A12552" s="3">
        <v>45876.0</v>
      </c>
      <c r="B12552" s="4">
        <v>0.29583333333333334</v>
      </c>
      <c r="C12552" s="5" t="s">
        <v>59</v>
      </c>
      <c r="D12552" s="5" t="s">
        <v>1704</v>
      </c>
      <c r="E12552" s="8" t="s">
        <v>1344</v>
      </c>
      <c r="F12552" s="5" t="s">
        <v>1360</v>
      </c>
      <c r="G12552" s="6" t="str">
        <f>VLOOKUP(E12552,dicionario!$A$1:$C12951,2,0)</f>
        <v>#N/A</v>
      </c>
      <c r="H12552" s="6" t="str">
        <f>VLOOKUP(E12552,dicionario!$A$1:$C12951,3,0)</f>
        <v>#N/A</v>
      </c>
    </row>
    <row r="12553">
      <c r="A12553" s="3">
        <v>45876.0</v>
      </c>
      <c r="B12553" s="4">
        <v>0.29791666666666666</v>
      </c>
      <c r="C12553" s="5" t="s">
        <v>59</v>
      </c>
      <c r="D12553" s="5" t="s">
        <v>1704</v>
      </c>
      <c r="E12553" s="6" t="s">
        <v>225</v>
      </c>
      <c r="F12553" s="5" t="s">
        <v>226</v>
      </c>
      <c r="G12553" s="6" t="str">
        <f>VLOOKUP(E12553,dicionario!$A$1:$C12952,2,0)</f>
        <v>Passer domesticus</v>
      </c>
      <c r="H12553" s="6" t="str">
        <f>VLOOKUP(E12553,dicionario!$A$1:$C12952,3,0)</f>
        <v>pardal</v>
      </c>
    </row>
    <row r="12554">
      <c r="A12554" s="3">
        <v>45876.0</v>
      </c>
      <c r="B12554" s="4">
        <v>0.29791666666666666</v>
      </c>
      <c r="C12554" s="5" t="s">
        <v>59</v>
      </c>
      <c r="D12554" s="5" t="s">
        <v>1704</v>
      </c>
      <c r="E12554" s="6" t="s">
        <v>72</v>
      </c>
      <c r="F12554" s="5" t="s">
        <v>764</v>
      </c>
      <c r="G12554" s="6" t="str">
        <f>VLOOKUP(E12554,dicionario!$A$1:$C12953,2,0)</f>
        <v>Thraupis palmarum</v>
      </c>
      <c r="H12554" s="6" t="str">
        <f>VLOOKUP(E12554,dicionario!$A$1:$C12953,3,0)</f>
        <v>sanhaço-do-coqueiro</v>
      </c>
    </row>
    <row r="12555">
      <c r="A12555" s="3">
        <v>45876.0</v>
      </c>
      <c r="B12555" s="4">
        <v>0.29791666666666666</v>
      </c>
      <c r="C12555" s="5" t="s">
        <v>59</v>
      </c>
      <c r="D12555" s="5" t="s">
        <v>1704</v>
      </c>
      <c r="E12555" s="6" t="s">
        <v>65</v>
      </c>
      <c r="F12555" s="5" t="s">
        <v>819</v>
      </c>
      <c r="G12555" s="6" t="str">
        <f>VLOOKUP(E12555,dicionario!$A$1:$C12954,2,0)</f>
        <v>Pitangus sulphutarus</v>
      </c>
      <c r="H12555" s="6" t="str">
        <f>VLOOKUP(E12555,dicionario!$A$1:$C12954,3,0)</f>
        <v>bem-te-vi</v>
      </c>
    </row>
    <row r="12556">
      <c r="A12556" s="3">
        <v>45876.0</v>
      </c>
      <c r="B12556" s="4">
        <v>0.29791666666666666</v>
      </c>
      <c r="C12556" s="5" t="s">
        <v>59</v>
      </c>
      <c r="D12556" s="5" t="s">
        <v>1704</v>
      </c>
      <c r="E12556" s="8" t="s">
        <v>14</v>
      </c>
      <c r="F12556" s="5" t="s">
        <v>1599</v>
      </c>
      <c r="G12556" s="6" t="str">
        <f>VLOOKUP(E12556,dicionario!$A$1:$C12955,2,0)</f>
        <v>Spermacoce verticillata</v>
      </c>
      <c r="H12556" s="6" t="str">
        <f>VLOOKUP(E12556,dicionario!$A$1:$C12955,3,0)</f>
        <v>vassourinha-de-botão</v>
      </c>
    </row>
    <row r="12557">
      <c r="A12557" s="3">
        <v>45876.0</v>
      </c>
      <c r="B12557" s="4">
        <v>0.29791666666666666</v>
      </c>
      <c r="C12557" s="5" t="s">
        <v>59</v>
      </c>
      <c r="D12557" s="5" t="s">
        <v>1704</v>
      </c>
      <c r="E12557" s="6" t="s">
        <v>22</v>
      </c>
      <c r="F12557" s="5" t="s">
        <v>776</v>
      </c>
      <c r="G12557" s="6" t="str">
        <f>VLOOKUP(E12557,dicionario!$A$1:$C12956,2,0)</f>
        <v>Zenaida auriculata</v>
      </c>
      <c r="H12557" s="6" t="str">
        <f>VLOOKUP(E12557,dicionario!$A$1:$C12956,3,0)</f>
        <v>pomba-de-bando; avoante</v>
      </c>
    </row>
    <row r="12558">
      <c r="A12558" s="3">
        <v>45876.0</v>
      </c>
      <c r="B12558" s="4">
        <v>0.29791666666666666</v>
      </c>
      <c r="C12558" s="5" t="s">
        <v>59</v>
      </c>
      <c r="D12558" s="5" t="s">
        <v>1704</v>
      </c>
      <c r="E12558" s="8" t="s">
        <v>1352</v>
      </c>
      <c r="F12558" s="5"/>
      <c r="G12558" s="6" t="str">
        <f>VLOOKUP(E12558,dicionario!$A$1:$C12957,2,0)</f>
        <v>#N/A</v>
      </c>
      <c r="H12558" s="6" t="str">
        <f>VLOOKUP(E12558,dicionario!$A$1:$C12957,3,0)</f>
        <v>#N/A</v>
      </c>
    </row>
    <row r="12559">
      <c r="A12559" s="3">
        <v>45876.0</v>
      </c>
      <c r="B12559" s="4">
        <v>0.29791666666666666</v>
      </c>
      <c r="C12559" s="5" t="s">
        <v>59</v>
      </c>
      <c r="D12559" s="5" t="s">
        <v>1704</v>
      </c>
      <c r="E12559" s="6" t="s">
        <v>163</v>
      </c>
      <c r="F12559" s="5" t="s">
        <v>164</v>
      </c>
      <c r="G12559" s="6" t="str">
        <f>VLOOKUP(E12559,dicionario!$A$1:$C12958,2,0)</f>
        <v>Coragyps atratus</v>
      </c>
      <c r="H12559" s="6" t="str">
        <f>VLOOKUP(E12559,dicionario!$A$1:$C12958,3,0)</f>
        <v>urubu-de-cabeça-preta</v>
      </c>
    </row>
    <row r="12560">
      <c r="A12560" s="3">
        <v>45876.0</v>
      </c>
      <c r="B12560" s="4">
        <v>0.29791666666666666</v>
      </c>
      <c r="C12560" s="5" t="s">
        <v>59</v>
      </c>
      <c r="D12560" s="5" t="s">
        <v>1704</v>
      </c>
      <c r="E12560" s="6" t="s">
        <v>148</v>
      </c>
      <c r="F12560" s="5" t="s">
        <v>772</v>
      </c>
      <c r="G12560" s="6" t="str">
        <f>VLOOKUP(E12560,dicionario!$A$1:$C12959,2,0)</f>
        <v>Parthenium hysterophorus</v>
      </c>
      <c r="H12560" s="6" t="str">
        <f>VLOOKUP(E12560,dicionario!$A$1:$C12959,3,0)</f>
        <v>losna-branca</v>
      </c>
    </row>
    <row r="12561">
      <c r="A12561" s="3">
        <v>45876.0</v>
      </c>
      <c r="B12561" s="4">
        <v>0.29791666666666666</v>
      </c>
      <c r="C12561" s="5" t="s">
        <v>59</v>
      </c>
      <c r="D12561" s="5" t="s">
        <v>1704</v>
      </c>
      <c r="E12561" s="6" t="s">
        <v>353</v>
      </c>
      <c r="F12561" s="5" t="s">
        <v>835</v>
      </c>
      <c r="G12561" s="6" t="str">
        <f>VLOOKUP(E12561,dicionario!$A$1:$C12960,2,0)</f>
        <v>Desmodium incanum</v>
      </c>
      <c r="H12561" s="6" t="str">
        <f>VLOOKUP(E12561,dicionario!$A$1:$C12960,3,0)</f>
        <v>pega-pega</v>
      </c>
    </row>
    <row r="12562">
      <c r="A12562" s="3">
        <v>45876.0</v>
      </c>
      <c r="B12562" s="4">
        <v>0.29930555555555555</v>
      </c>
      <c r="C12562" s="5" t="s">
        <v>59</v>
      </c>
      <c r="D12562" s="5" t="s">
        <v>1704</v>
      </c>
      <c r="E12562" s="6" t="s">
        <v>53</v>
      </c>
      <c r="F12562" s="5" t="s">
        <v>54</v>
      </c>
      <c r="G12562" s="6" t="str">
        <f>VLOOKUP(E12562,dicionario!$A$1:$C12961,2,0)</f>
        <v>Turnera subulata</v>
      </c>
      <c r="H12562" s="6" t="str">
        <f>VLOOKUP(E12562,dicionario!$A$1:$C12961,3,0)</f>
        <v>xanana</v>
      </c>
    </row>
    <row r="12563">
      <c r="A12563" s="3">
        <v>45876.0</v>
      </c>
      <c r="B12563" s="4">
        <v>0.29930555555555555</v>
      </c>
      <c r="C12563" s="5" t="s">
        <v>59</v>
      </c>
      <c r="D12563" s="5" t="s">
        <v>1704</v>
      </c>
      <c r="E12563" s="8" t="s">
        <v>135</v>
      </c>
      <c r="F12563" s="5" t="s">
        <v>833</v>
      </c>
      <c r="G12563" s="6" t="str">
        <f>VLOOKUP(E12563,dicionario!$A$1:$C12962,2,0)</f>
        <v>Tridax procumbens</v>
      </c>
      <c r="H12563" s="6" t="str">
        <f>VLOOKUP(E12563,dicionario!$A$1:$C12962,3,0)</f>
        <v>erva-de-touro</v>
      </c>
    </row>
    <row r="12564">
      <c r="A12564" s="3">
        <v>45876.0</v>
      </c>
      <c r="B12564" s="4">
        <v>0.29930555555555555</v>
      </c>
      <c r="C12564" s="5" t="s">
        <v>59</v>
      </c>
      <c r="D12564" s="5" t="s">
        <v>1704</v>
      </c>
      <c r="E12564" s="6" t="s">
        <v>286</v>
      </c>
      <c r="F12564" s="5" t="s">
        <v>781</v>
      </c>
      <c r="G12564" s="6" t="str">
        <f>VLOOKUP(E12564,dicionario!$A$1:$C12963,2,0)</f>
        <v>Setaria parviflora</v>
      </c>
      <c r="H12564" s="6" t="str">
        <f>VLOOKUP(E12564,dicionario!$A$1:$C12963,3,0)</f>
        <v>capim-rabo-de-raposa</v>
      </c>
    </row>
    <row r="12565">
      <c r="A12565" s="3">
        <v>45876.0</v>
      </c>
      <c r="B12565" s="4">
        <v>0.29930555555555555</v>
      </c>
      <c r="C12565" s="5" t="s">
        <v>59</v>
      </c>
      <c r="D12565" s="5" t="s">
        <v>1704</v>
      </c>
      <c r="E12565" s="6" t="s">
        <v>425</v>
      </c>
      <c r="F12565" s="5" t="s">
        <v>426</v>
      </c>
      <c r="G12565" s="6" t="str">
        <f>VLOOKUP(E12565,dicionario!$A$1:$C12964,2,0)</f>
        <v>Digitaria insularis</v>
      </c>
      <c r="H12565" s="6" t="str">
        <f>VLOOKUP(E12565,dicionario!$A$1:$C12964,3,0)</f>
        <v>capim-amargoso</v>
      </c>
    </row>
    <row r="12566">
      <c r="A12566" s="3">
        <v>45876.0</v>
      </c>
      <c r="B12566" s="4">
        <v>0.29930555555555555</v>
      </c>
      <c r="C12566" s="5" t="s">
        <v>59</v>
      </c>
      <c r="D12566" s="5" t="s">
        <v>1704</v>
      </c>
      <c r="E12566" s="6" t="s">
        <v>360</v>
      </c>
      <c r="F12566" s="5" t="s">
        <v>1642</v>
      </c>
      <c r="G12566" s="6" t="str">
        <f>VLOOKUP(E12566,dicionario!$A$1:$C12965,2,0)</f>
        <v>Chamaecrista rotundifolia</v>
      </c>
      <c r="H12566" s="6" t="str">
        <f>VLOOKUP(E12566,dicionario!$A$1:$C12965,3,0)</f>
        <v>alfafa-nativa</v>
      </c>
    </row>
    <row r="12567">
      <c r="A12567" s="3">
        <v>45876.0</v>
      </c>
      <c r="B12567" s="4">
        <v>0.29930555555555555</v>
      </c>
      <c r="C12567" s="5" t="s">
        <v>59</v>
      </c>
      <c r="D12567" s="5" t="s">
        <v>1704</v>
      </c>
      <c r="E12567" s="8" t="s">
        <v>366</v>
      </c>
      <c r="F12567" s="5" t="s">
        <v>367</v>
      </c>
      <c r="G12567" s="6" t="str">
        <f>VLOOKUP(E12567,dicionario!$A$1:$C12966,2,0)</f>
        <v>Alternanthera ficoidea</v>
      </c>
      <c r="H12567" s="6" t="str">
        <f>VLOOKUP(E12567,dicionario!$A$1:$C12966,3,0)</f>
        <v>quebra-panela</v>
      </c>
    </row>
    <row r="12568">
      <c r="A12568" s="3">
        <v>45876.0</v>
      </c>
      <c r="B12568" s="4">
        <v>0.30069444444444443</v>
      </c>
      <c r="C12568" s="5" t="s">
        <v>59</v>
      </c>
      <c r="D12568" s="5" t="s">
        <v>1704</v>
      </c>
      <c r="E12568" s="8" t="s">
        <v>858</v>
      </c>
      <c r="F12568" s="5" t="s">
        <v>1051</v>
      </c>
      <c r="G12568" s="6" t="str">
        <f>VLOOKUP(E12568,dicionario!$A$1:$C12967,2,0)</f>
        <v>Rumex obtusifolius</v>
      </c>
      <c r="H12568" s="6" t="str">
        <f>VLOOKUP(E12568,dicionario!$A$1:$C12967,3,0)</f>
        <v>lingua-de-vaca</v>
      </c>
    </row>
    <row r="12569">
      <c r="A12569" s="3">
        <v>45876.0</v>
      </c>
      <c r="B12569" s="4">
        <v>0.30069444444444443</v>
      </c>
      <c r="C12569" s="5" t="s">
        <v>59</v>
      </c>
      <c r="D12569" s="5" t="s">
        <v>1704</v>
      </c>
      <c r="E12569" s="8" t="s">
        <v>271</v>
      </c>
      <c r="F12569" s="5" t="s">
        <v>1169</v>
      </c>
      <c r="G12569" s="6" t="str">
        <f>VLOOKUP(E12569,dicionario!$A$1:$C12968,2,0)</f>
        <v>Cyanthillium cinereum</v>
      </c>
      <c r="H12569" s="6" t="str">
        <f>VLOOKUP(E12569,dicionario!$A$1:$C12968,3,0)</f>
        <v>emília</v>
      </c>
    </row>
    <row r="12570">
      <c r="A12570" s="3">
        <v>45876.0</v>
      </c>
      <c r="B12570" s="4">
        <v>0.30069444444444443</v>
      </c>
      <c r="C12570" s="5" t="s">
        <v>59</v>
      </c>
      <c r="D12570" s="5" t="s">
        <v>1704</v>
      </c>
      <c r="E12570" s="8" t="s">
        <v>385</v>
      </c>
      <c r="F12570" s="5" t="s">
        <v>1720</v>
      </c>
      <c r="G12570" s="6" t="str">
        <f>VLOOKUP(E12570,dicionario!$A$1:$C12969,2,0)</f>
        <v>Psidium guajava</v>
      </c>
      <c r="H12570" s="6" t="str">
        <f>VLOOKUP(E12570,dicionario!$A$1:$C12969,3,0)</f>
        <v>goiaba</v>
      </c>
    </row>
    <row r="12571">
      <c r="A12571" s="3">
        <v>45876.0</v>
      </c>
      <c r="B12571" s="4">
        <v>0.30069444444444443</v>
      </c>
      <c r="C12571" s="5" t="s">
        <v>59</v>
      </c>
      <c r="D12571" s="5" t="s">
        <v>1704</v>
      </c>
      <c r="E12571" s="8" t="s">
        <v>712</v>
      </c>
      <c r="F12571" s="5" t="s">
        <v>1602</v>
      </c>
      <c r="G12571" s="6" t="str">
        <f>VLOOKUP(E12571,dicionario!$A$1:$C12970,2,0)</f>
        <v>Flavopunctelia soredica</v>
      </c>
      <c r="H12571" s="6" t="str">
        <f>VLOOKUP(E12571,dicionario!$A$1:$C12970,3,0)</f>
        <v>líquen-folioso</v>
      </c>
    </row>
    <row r="12572">
      <c r="A12572" s="3">
        <v>45876.0</v>
      </c>
      <c r="B12572" s="4">
        <v>0.30069444444444443</v>
      </c>
      <c r="C12572" s="5" t="s">
        <v>59</v>
      </c>
      <c r="D12572" s="5" t="s">
        <v>1704</v>
      </c>
      <c r="E12572" s="8" t="s">
        <v>122</v>
      </c>
      <c r="F12572" s="5" t="s">
        <v>1593</v>
      </c>
      <c r="G12572" s="6" t="str">
        <f>VLOOKUP(E12572,dicionario!$A$1:$C12971,2,0)</f>
        <v>Todirostrum cinereum</v>
      </c>
      <c r="H12572" s="6" t="str">
        <f>VLOOKUP(E12572,dicionario!$A$1:$C12971,3,0)</f>
        <v>ferreirinho-relógio</v>
      </c>
    </row>
    <row r="12573">
      <c r="A12573" s="3">
        <v>45876.0</v>
      </c>
      <c r="B12573" s="4">
        <v>0.30069444444444443</v>
      </c>
      <c r="C12573" s="5" t="s">
        <v>59</v>
      </c>
      <c r="D12573" s="5" t="s">
        <v>1704</v>
      </c>
      <c r="E12573" s="8" t="s">
        <v>107</v>
      </c>
      <c r="F12573" s="5" t="s">
        <v>834</v>
      </c>
      <c r="G12573" s="6" t="str">
        <f>VLOOKUP(E12573,dicionario!$A$1:$C12972,2,0)</f>
        <v>Ramalina complanata</v>
      </c>
      <c r="H12573" s="6" t="str">
        <f>VLOOKUP(E12573,dicionario!$A$1:$C12972,3,0)</f>
        <v>ramalina</v>
      </c>
    </row>
    <row r="12574">
      <c r="A12574" s="3">
        <v>45876.0</v>
      </c>
      <c r="B12574" s="4">
        <v>0.3013888888888889</v>
      </c>
      <c r="C12574" s="5" t="s">
        <v>59</v>
      </c>
      <c r="D12574" s="5" t="s">
        <v>1704</v>
      </c>
      <c r="E12574" s="8" t="s">
        <v>1721</v>
      </c>
      <c r="F12574" s="5" t="s">
        <v>1572</v>
      </c>
      <c r="G12574" s="6" t="str">
        <f>VLOOKUP(E12574,dicionario!$A$1:$C12973,2,0)</f>
        <v>#N/A</v>
      </c>
      <c r="H12574" s="6" t="str">
        <f>VLOOKUP(E12574,dicionario!$A$1:$C12973,3,0)</f>
        <v>#N/A</v>
      </c>
    </row>
    <row r="12575">
      <c r="A12575" s="3">
        <v>45876.0</v>
      </c>
      <c r="B12575" s="4">
        <v>0.3013888888888889</v>
      </c>
      <c r="C12575" s="5" t="s">
        <v>59</v>
      </c>
      <c r="D12575" s="5" t="s">
        <v>1704</v>
      </c>
      <c r="E12575" s="8" t="s">
        <v>187</v>
      </c>
      <c r="F12575" s="5" t="s">
        <v>70</v>
      </c>
      <c r="G12575" s="6" t="str">
        <f>VLOOKUP(E12575,dicionario!$A$1:$C12974,2,0)</f>
        <v>Tangara cayana</v>
      </c>
      <c r="H12575" s="6" t="str">
        <f>VLOOKUP(E12575,dicionario!$A$1:$C12974,3,0)</f>
        <v>saíra-amarela</v>
      </c>
    </row>
    <row r="12576">
      <c r="A12576" s="3">
        <v>45876.0</v>
      </c>
      <c r="B12576" s="4">
        <v>0.3013888888888889</v>
      </c>
      <c r="C12576" s="5" t="s">
        <v>59</v>
      </c>
      <c r="D12576" s="5" t="s">
        <v>1704</v>
      </c>
      <c r="E12576" s="8" t="s">
        <v>245</v>
      </c>
      <c r="F12576" s="5" t="s">
        <v>1106</v>
      </c>
      <c r="G12576" s="6" t="str">
        <f>VLOOKUP(E12576,dicionario!$A$1:$C12975,2,0)</f>
        <v>Hemiargus hanno</v>
      </c>
      <c r="H12576" s="6" t="str">
        <f>VLOOKUP(E12576,dicionario!$A$1:$C12975,3,0)</f>
        <v>borboleta-azulzinha-do-trevo</v>
      </c>
    </row>
    <row r="12577">
      <c r="A12577" s="3">
        <v>45876.0</v>
      </c>
      <c r="B12577" s="4">
        <v>0.3013888888888889</v>
      </c>
      <c r="C12577" s="5" t="s">
        <v>59</v>
      </c>
      <c r="D12577" s="5" t="s">
        <v>1704</v>
      </c>
      <c r="E12577" s="8" t="s">
        <v>1127</v>
      </c>
      <c r="F12577" s="5" t="s">
        <v>1722</v>
      </c>
      <c r="G12577" s="6" t="str">
        <f>VLOOKUP(E12577,dicionario!$A$1:$C12976,2,0)</f>
        <v>Albizia lebbeck</v>
      </c>
      <c r="H12577" s="6" t="str">
        <f>VLOOKUP(E12577,dicionario!$A$1:$C12976,3,0)</f>
        <v>albízia</v>
      </c>
    </row>
    <row r="12578">
      <c r="A12578" s="3">
        <v>45876.0</v>
      </c>
      <c r="B12578" s="4">
        <v>0.3013888888888889</v>
      </c>
      <c r="C12578" s="5" t="s">
        <v>59</v>
      </c>
      <c r="D12578" s="5" t="s">
        <v>1704</v>
      </c>
      <c r="E12578" s="6" t="s">
        <v>141</v>
      </c>
      <c r="F12578" s="5" t="s">
        <v>142</v>
      </c>
      <c r="G12578" s="6" t="str">
        <f>VLOOKUP(E12578,dicionario!$A$1:$C12977,2,0)</f>
        <v>Ruellia blechum</v>
      </c>
      <c r="H12578" s="6" t="str">
        <f>VLOOKUP(E12578,dicionario!$A$1:$C12977,3,0)</f>
        <v>camarão-verde</v>
      </c>
    </row>
    <row r="12579">
      <c r="A12579" s="3">
        <v>45876.0</v>
      </c>
      <c r="B12579" s="4">
        <v>0.3013888888888889</v>
      </c>
      <c r="C12579" s="5" t="s">
        <v>59</v>
      </c>
      <c r="D12579" s="5" t="s">
        <v>1704</v>
      </c>
      <c r="E12579" s="28" t="s">
        <v>560</v>
      </c>
      <c r="F12579" s="5" t="s">
        <v>561</v>
      </c>
      <c r="G12579" s="6" t="str">
        <f>VLOOKUP(E12579,dicionario!$A$1:$C12978,2,0)</f>
        <v>Megarynchus pitangua</v>
      </c>
      <c r="H12579" s="6" t="str">
        <f>VLOOKUP(E12579,dicionario!$A$1:$C12978,3,0)</f>
        <v>neinei</v>
      </c>
    </row>
    <row r="12580">
      <c r="A12580" s="3">
        <v>45876.0</v>
      </c>
      <c r="B12580" s="4">
        <v>0.3013888888888889</v>
      </c>
      <c r="C12580" s="5" t="s">
        <v>59</v>
      </c>
      <c r="D12580" s="5" t="s">
        <v>1704</v>
      </c>
      <c r="E12580" s="6" t="s">
        <v>195</v>
      </c>
      <c r="F12580" s="5" t="s">
        <v>679</v>
      </c>
      <c r="G12580" s="6" t="str">
        <f>VLOOKUP(E12580,dicionario!$A$1:$C12979,2,0)</f>
        <v>Priva lappulacea</v>
      </c>
      <c r="H12580" s="6" t="str">
        <f>VLOOKUP(E12580,dicionario!$A$1:$C12979,3,0)</f>
        <v>carrapicho</v>
      </c>
    </row>
    <row r="12581">
      <c r="A12581" s="3">
        <v>45876.0</v>
      </c>
      <c r="B12581" s="4">
        <v>0.3013888888888889</v>
      </c>
      <c r="C12581" s="5" t="s">
        <v>59</v>
      </c>
      <c r="D12581" s="5" t="s">
        <v>1704</v>
      </c>
      <c r="E12581" s="6" t="s">
        <v>253</v>
      </c>
      <c r="F12581" s="5" t="s">
        <v>780</v>
      </c>
      <c r="G12581" s="6" t="str">
        <f>VLOOKUP(E12581,dicionario!$A$1:$C12980,2,0)</f>
        <v>Panicum maximum</v>
      </c>
      <c r="H12581" s="6" t="str">
        <f>VLOOKUP(E12581,dicionario!$A$1:$C12980,3,0)</f>
        <v>capim-colonião</v>
      </c>
    </row>
    <row r="12582">
      <c r="A12582" s="3">
        <v>45876.0</v>
      </c>
      <c r="B12582" s="4">
        <v>0.3013888888888889</v>
      </c>
      <c r="C12582" s="5" t="s">
        <v>59</v>
      </c>
      <c r="D12582" s="5" t="s">
        <v>1704</v>
      </c>
      <c r="E12582" s="6" t="s">
        <v>646</v>
      </c>
      <c r="F12582" s="5" t="s">
        <v>647</v>
      </c>
      <c r="G12582" s="6" t="str">
        <f>VLOOKUP(E12582,dicionario!$A$1:$C12981,2,0)</f>
        <v>Palpada mexicana</v>
      </c>
      <c r="H12582" s="6" t="str">
        <f>VLOOKUP(E12582,dicionario!$A$1:$C12981,3,0)</f>
        <v>mosca-das-flores</v>
      </c>
    </row>
    <row r="12583">
      <c r="A12583" s="3">
        <v>45876.0</v>
      </c>
      <c r="B12583" s="4">
        <v>0.3013888888888889</v>
      </c>
      <c r="C12583" s="5" t="s">
        <v>59</v>
      </c>
      <c r="D12583" s="5" t="s">
        <v>1704</v>
      </c>
      <c r="E12583" s="8" t="s">
        <v>1280</v>
      </c>
      <c r="F12583" s="5" t="s">
        <v>1156</v>
      </c>
      <c r="G12583" s="6" t="str">
        <f>VLOOKUP(E12583,dicionario!$A$1:$C12982,2,0)</f>
        <v>Paspalum notatum</v>
      </c>
      <c r="H12583" s="6" t="str">
        <f>VLOOKUP(E12583,dicionario!$A$1:$C12982,3,0)</f>
        <v>capim-forquilha</v>
      </c>
    </row>
    <row r="12584">
      <c r="A12584" s="3">
        <v>45876.0</v>
      </c>
      <c r="B12584" s="4">
        <v>0.30277777777777776</v>
      </c>
      <c r="C12584" s="5" t="s">
        <v>59</v>
      </c>
      <c r="D12584" s="5" t="s">
        <v>1704</v>
      </c>
      <c r="E12584" s="8" t="s">
        <v>135</v>
      </c>
      <c r="F12584" s="5" t="s">
        <v>833</v>
      </c>
      <c r="G12584" s="6" t="str">
        <f>VLOOKUP(E12584,dicionario!$A$1:$C12983,2,0)</f>
        <v>Tridax procumbens</v>
      </c>
      <c r="H12584" s="6" t="str">
        <f>VLOOKUP(E12584,dicionario!$A$1:$C12983,3,0)</f>
        <v>erva-de-touro</v>
      </c>
    </row>
    <row r="12585">
      <c r="A12585" s="3">
        <v>45876.0</v>
      </c>
      <c r="B12585" s="4">
        <v>0.30277777777777776</v>
      </c>
      <c r="C12585" s="5" t="s">
        <v>50</v>
      </c>
      <c r="D12585" s="5" t="s">
        <v>1704</v>
      </c>
      <c r="E12585" s="6" t="s">
        <v>148</v>
      </c>
      <c r="F12585" s="5" t="s">
        <v>772</v>
      </c>
      <c r="G12585" s="6" t="str">
        <f>VLOOKUP(E12585,dicionario!$A$1:$C12984,2,0)</f>
        <v>Parthenium hysterophorus</v>
      </c>
      <c r="H12585" s="6" t="str">
        <f>VLOOKUP(E12585,dicionario!$A$1:$C12984,3,0)</f>
        <v>losna-branca</v>
      </c>
    </row>
    <row r="12586">
      <c r="A12586" s="3">
        <v>45876.0</v>
      </c>
      <c r="B12586" s="4">
        <v>0.30277777777777776</v>
      </c>
      <c r="C12586" s="5" t="s">
        <v>50</v>
      </c>
      <c r="D12586" s="5" t="s">
        <v>1704</v>
      </c>
      <c r="E12586" s="6" t="s">
        <v>86</v>
      </c>
      <c r="F12586" s="5" t="s">
        <v>783</v>
      </c>
      <c r="G12586" s="6" t="str">
        <f>VLOOKUP(E12586,dicionario!$A$1:$C12985,2,0)</f>
        <v>Coereba flaveola</v>
      </c>
      <c r="H12586" s="6" t="str">
        <f>VLOOKUP(E12586,dicionario!$A$1:$C12985,3,0)</f>
        <v>cambacica</v>
      </c>
    </row>
    <row r="12587">
      <c r="A12587" s="3">
        <v>45876.0</v>
      </c>
      <c r="B12587" s="4">
        <v>0.30277777777777776</v>
      </c>
      <c r="C12587" s="5" t="s">
        <v>50</v>
      </c>
      <c r="D12587" s="5" t="s">
        <v>1704</v>
      </c>
      <c r="E12587" s="6" t="s">
        <v>72</v>
      </c>
      <c r="F12587" s="5" t="s">
        <v>764</v>
      </c>
      <c r="G12587" s="6" t="str">
        <f>VLOOKUP(E12587,dicionario!$A$1:$C12986,2,0)</f>
        <v>Thraupis palmarum</v>
      </c>
      <c r="H12587" s="6" t="str">
        <f>VLOOKUP(E12587,dicionario!$A$1:$C12986,3,0)</f>
        <v>sanhaço-do-coqueiro</v>
      </c>
    </row>
    <row r="12588">
      <c r="A12588" s="3">
        <v>45876.0</v>
      </c>
      <c r="B12588" s="4">
        <v>0.30277777777777776</v>
      </c>
      <c r="C12588" s="5" t="s">
        <v>50</v>
      </c>
      <c r="D12588" s="5" t="s">
        <v>1704</v>
      </c>
      <c r="E12588" s="6" t="s">
        <v>253</v>
      </c>
      <c r="F12588" s="5" t="s">
        <v>780</v>
      </c>
      <c r="G12588" s="6" t="str">
        <f>VLOOKUP(E12588,dicionario!$A$1:$C12987,2,0)</f>
        <v>Panicum maximum</v>
      </c>
      <c r="H12588" s="6" t="str">
        <f>VLOOKUP(E12588,dicionario!$A$1:$C12987,3,0)</f>
        <v>capim-colonião</v>
      </c>
    </row>
    <row r="12589">
      <c r="A12589" s="3">
        <v>45876.0</v>
      </c>
      <c r="B12589" s="4">
        <v>0.30277777777777776</v>
      </c>
      <c r="C12589" s="5" t="s">
        <v>50</v>
      </c>
      <c r="D12589" s="5" t="s">
        <v>1704</v>
      </c>
      <c r="E12589" s="8" t="s">
        <v>1549</v>
      </c>
      <c r="F12589" s="5" t="s">
        <v>1454</v>
      </c>
      <c r="G12589" s="6" t="str">
        <f>VLOOKUP(E12589,dicionario!$A$1:$C12988,2,0)</f>
        <v>Atta</v>
      </c>
      <c r="H12589" s="6" t="str">
        <f>VLOOKUP(E12589,dicionario!$A$1:$C12988,3,0)</f>
        <v>saúva</v>
      </c>
    </row>
    <row r="12590">
      <c r="A12590" s="3">
        <v>45876.0</v>
      </c>
      <c r="B12590" s="4">
        <v>0.30625</v>
      </c>
      <c r="C12590" s="5" t="s">
        <v>50</v>
      </c>
      <c r="D12590" s="5" t="s">
        <v>1704</v>
      </c>
      <c r="E12590" s="6" t="s">
        <v>113</v>
      </c>
      <c r="F12590" s="5" t="s">
        <v>820</v>
      </c>
      <c r="G12590" s="6" t="str">
        <f>VLOOKUP(E12590,dicionario!$A$1:$C12989,2,0)</f>
        <v>Columbina talpacoti</v>
      </c>
      <c r="H12590" s="6" t="str">
        <f>VLOOKUP(E12590,dicionario!$A$1:$C12989,3,0)</f>
        <v>rolinha-roxa</v>
      </c>
    </row>
    <row r="12591">
      <c r="A12591" s="3">
        <v>45876.0</v>
      </c>
      <c r="B12591" s="4">
        <v>0.30694444444444446</v>
      </c>
      <c r="C12591" s="5" t="s">
        <v>50</v>
      </c>
      <c r="D12591" s="5" t="s">
        <v>1704</v>
      </c>
      <c r="E12591" s="9" t="s">
        <v>105</v>
      </c>
      <c r="F12591" s="5" t="s">
        <v>842</v>
      </c>
      <c r="G12591" s="6" t="str">
        <f>VLOOKUP(E12591,dicionario!$A$1:$C12990,2,0)</f>
        <v>Progne tapera</v>
      </c>
      <c r="H12591" s="6" t="str">
        <f>VLOOKUP(E12591,dicionario!$A$1:$C12990,3,0)</f>
        <v>andorinha-do-campo</v>
      </c>
    </row>
    <row r="12592">
      <c r="A12592" s="3">
        <v>45876.0</v>
      </c>
      <c r="B12592" s="4">
        <v>0.30694444444444446</v>
      </c>
      <c r="C12592" s="5" t="s">
        <v>50</v>
      </c>
      <c r="D12592" s="5" t="s">
        <v>1704</v>
      </c>
      <c r="E12592" s="6" t="s">
        <v>65</v>
      </c>
      <c r="F12592" s="5" t="s">
        <v>819</v>
      </c>
      <c r="G12592" s="6" t="str">
        <f>VLOOKUP(E12592,dicionario!$A$1:$C12991,2,0)</f>
        <v>Pitangus sulphutarus</v>
      </c>
      <c r="H12592" s="6" t="str">
        <f>VLOOKUP(E12592,dicionario!$A$1:$C12991,3,0)</f>
        <v>bem-te-vi</v>
      </c>
    </row>
    <row r="12593">
      <c r="A12593" s="3">
        <v>45876.0</v>
      </c>
      <c r="B12593" s="4">
        <v>0.3076388888888889</v>
      </c>
      <c r="C12593" s="5" t="s">
        <v>50</v>
      </c>
      <c r="D12593" s="5" t="s">
        <v>1704</v>
      </c>
      <c r="E12593" s="8" t="s">
        <v>122</v>
      </c>
      <c r="F12593" s="5" t="s">
        <v>1593</v>
      </c>
      <c r="G12593" s="6" t="str">
        <f>VLOOKUP(E12593,dicionario!$A$1:$C12992,2,0)</f>
        <v>Todirostrum cinereum</v>
      </c>
      <c r="H12593" s="6" t="str">
        <f>VLOOKUP(E12593,dicionario!$A$1:$C12992,3,0)</f>
        <v>ferreirinho-relógio</v>
      </c>
    </row>
    <row r="12594">
      <c r="A12594" s="3">
        <v>45876.0</v>
      </c>
      <c r="B12594" s="4">
        <v>0.3076388888888889</v>
      </c>
      <c r="C12594" s="5" t="s">
        <v>50</v>
      </c>
      <c r="D12594" s="5" t="s">
        <v>1704</v>
      </c>
      <c r="E12594" s="8" t="s">
        <v>712</v>
      </c>
      <c r="F12594" s="5" t="s">
        <v>1602</v>
      </c>
      <c r="G12594" s="6" t="str">
        <f>VLOOKUP(E12594,dicionario!$A$1:$C12993,2,0)</f>
        <v>Flavopunctelia soredica</v>
      </c>
      <c r="H12594" s="6" t="str">
        <f>VLOOKUP(E12594,dicionario!$A$1:$C12993,3,0)</f>
        <v>líquen-folioso</v>
      </c>
    </row>
    <row r="12595">
      <c r="A12595" s="3">
        <v>45876.0</v>
      </c>
      <c r="B12595" s="4">
        <v>0.30833333333333335</v>
      </c>
      <c r="C12595" s="5" t="s">
        <v>50</v>
      </c>
      <c r="D12595" s="5" t="s">
        <v>1704</v>
      </c>
      <c r="E12595" s="8" t="s">
        <v>1644</v>
      </c>
      <c r="F12595" s="5"/>
      <c r="G12595" s="6" t="str">
        <f>VLOOKUP(E12595,dicionario!$A$1:$C12994,2,0)</f>
        <v>#N/A</v>
      </c>
      <c r="H12595" s="6" t="str">
        <f>VLOOKUP(E12595,dicionario!$A$1:$C12994,3,0)</f>
        <v>#N/A</v>
      </c>
    </row>
    <row r="12596">
      <c r="A12596" s="3">
        <v>45876.0</v>
      </c>
      <c r="B12596" s="4">
        <v>0.30833333333333335</v>
      </c>
      <c r="C12596" s="5" t="s">
        <v>50</v>
      </c>
      <c r="D12596" s="5" t="s">
        <v>1704</v>
      </c>
      <c r="E12596" s="8" t="s">
        <v>109</v>
      </c>
      <c r="F12596" s="5" t="s">
        <v>777</v>
      </c>
      <c r="G12596" s="6" t="str">
        <f>VLOOKUP(E12596,dicionario!$A$1:$C12995,2,0)</f>
        <v>Tillandsia stricta</v>
      </c>
      <c r="H12596" s="6" t="str">
        <f>VLOOKUP(E12596,dicionario!$A$1:$C12995,3,0)</f>
        <v>cravo-do-mato</v>
      </c>
    </row>
    <row r="12597">
      <c r="A12597" s="3">
        <v>45876.0</v>
      </c>
      <c r="B12597" s="4">
        <v>0.3090277777777778</v>
      </c>
      <c r="C12597" s="5" t="s">
        <v>50</v>
      </c>
      <c r="D12597" s="5" t="s">
        <v>1704</v>
      </c>
      <c r="E12597" s="6" t="s">
        <v>177</v>
      </c>
      <c r="F12597" s="5" t="s">
        <v>804</v>
      </c>
      <c r="G12597" s="6" t="str">
        <f>VLOOKUP(E12597,dicionario!$A$1:$C12996,2,0)</f>
        <v>Elaenia flavogaster</v>
      </c>
      <c r="H12597" s="6" t="str">
        <f>VLOOKUP(E12597,dicionario!$A$1:$C12996,3,0)</f>
        <v>guaracava-de-barriga-amarela</v>
      </c>
    </row>
    <row r="12598">
      <c r="A12598" s="3">
        <v>45876.0</v>
      </c>
      <c r="B12598" s="4">
        <v>0.3090277777777778</v>
      </c>
      <c r="C12598" s="5" t="s">
        <v>50</v>
      </c>
      <c r="D12598" s="5" t="s">
        <v>1704</v>
      </c>
      <c r="E12598" s="6" t="s">
        <v>93</v>
      </c>
      <c r="F12598" s="5" t="s">
        <v>570</v>
      </c>
      <c r="G12598" s="6" t="str">
        <f>VLOOKUP(E12598,dicionario!$A$1:$C12997,2,0)</f>
        <v>Thraupis sayaca</v>
      </c>
      <c r="H12598" s="6" t="str">
        <f>VLOOKUP(E12598,dicionario!$A$1:$C12997,3,0)</f>
        <v>sanhaçu-cinzento</v>
      </c>
    </row>
    <row r="12599">
      <c r="A12599" s="3">
        <v>45876.0</v>
      </c>
      <c r="B12599" s="4">
        <v>0.3090277777777778</v>
      </c>
      <c r="C12599" s="5" t="s">
        <v>50</v>
      </c>
      <c r="D12599" s="5" t="s">
        <v>1704</v>
      </c>
      <c r="E12599" s="8" t="s">
        <v>1352</v>
      </c>
      <c r="F12599" s="5"/>
      <c r="G12599" s="6" t="str">
        <f>VLOOKUP(E12599,dicionario!$A$1:$C12998,2,0)</f>
        <v>#N/A</v>
      </c>
      <c r="H12599" s="6" t="str">
        <f>VLOOKUP(E12599,dicionario!$A$1:$C12998,3,0)</f>
        <v>#N/A</v>
      </c>
    </row>
    <row r="12600">
      <c r="A12600" s="3">
        <v>45876.0</v>
      </c>
      <c r="B12600" s="4">
        <v>0.30972222222222223</v>
      </c>
      <c r="C12600" s="5" t="s">
        <v>50</v>
      </c>
      <c r="D12600" s="5" t="s">
        <v>1704</v>
      </c>
      <c r="E12600" s="8" t="s">
        <v>158</v>
      </c>
      <c r="F12600" s="5" t="s">
        <v>159</v>
      </c>
      <c r="G12600" s="6" t="str">
        <f>VLOOKUP(E12600,dicionario!$A$1:$C12999,2,0)</f>
        <v>Nephilingis cruentata</v>
      </c>
      <c r="H12600" s="6" t="str">
        <f>VLOOKUP(E12600,dicionario!$A$1:$C12999,3,0)</f>
        <v>maria-bola</v>
      </c>
    </row>
    <row r="12601">
      <c r="A12601" s="3">
        <v>45876.0</v>
      </c>
      <c r="B12601" s="4">
        <v>0.30972222222222223</v>
      </c>
      <c r="C12601" s="5" t="s">
        <v>50</v>
      </c>
      <c r="D12601" s="5" t="s">
        <v>1704</v>
      </c>
      <c r="E12601" s="8" t="s">
        <v>200</v>
      </c>
      <c r="F12601" s="5" t="s">
        <v>854</v>
      </c>
      <c r="G12601" s="6" t="str">
        <f>VLOOKUP(E12601,dicionario!$A$1:$C13000,2,0)</f>
        <v>Columbina picui </v>
      </c>
      <c r="H12601" s="6" t="str">
        <f>VLOOKUP(E12601,dicionario!$A$1:$C13000,3,0)</f>
        <v>rolinha-picuí</v>
      </c>
    </row>
    <row r="12602">
      <c r="A12602" s="3">
        <v>45876.0</v>
      </c>
      <c r="B12602" s="4">
        <v>0.30972222222222223</v>
      </c>
      <c r="C12602" s="5" t="s">
        <v>50</v>
      </c>
      <c r="D12602" s="5" t="s">
        <v>1704</v>
      </c>
      <c r="E12602" s="6" t="s">
        <v>411</v>
      </c>
      <c r="F12602" s="5" t="s">
        <v>412</v>
      </c>
      <c r="G12602" s="6" t="str">
        <f>VLOOKUP(E12602,dicionario!$A$1:$C13001,2,0)</f>
        <v>Chilopoda</v>
      </c>
      <c r="H12602" s="6" t="str">
        <f>VLOOKUP(E12602,dicionario!$A$1:$C13001,3,0)</f>
        <v>lacraia</v>
      </c>
    </row>
    <row r="12603">
      <c r="A12603" s="3">
        <v>45876.0</v>
      </c>
      <c r="B12603" s="4">
        <v>0.3111111111111111</v>
      </c>
      <c r="C12603" s="5" t="s">
        <v>50</v>
      </c>
      <c r="D12603" s="5" t="s">
        <v>1704</v>
      </c>
      <c r="E12603" s="8" t="s">
        <v>491</v>
      </c>
      <c r="F12603" s="5" t="s">
        <v>1425</v>
      </c>
      <c r="G12603" s="6" t="str">
        <f>VLOOKUP(E12603,dicionario!$A$1:$C13002,2,0)</f>
        <v>Oxidus gracilis</v>
      </c>
      <c r="H12603" s="6" t="str">
        <f>VLOOKUP(E12603,dicionario!$A$1:$C13002,3,0)</f>
        <v>mil-pés</v>
      </c>
    </row>
    <row r="12604">
      <c r="A12604" s="3">
        <v>45876.0</v>
      </c>
      <c r="B12604" s="4">
        <v>0.3125</v>
      </c>
      <c r="C12604" s="5" t="s">
        <v>50</v>
      </c>
      <c r="D12604" s="5" t="s">
        <v>1704</v>
      </c>
      <c r="E12604" s="8" t="s">
        <v>1723</v>
      </c>
      <c r="F12604" s="5" t="s">
        <v>1724</v>
      </c>
      <c r="G12604" s="6" t="str">
        <f>VLOOKUP(E12604,dicionario!$A$1:$C13003,2,0)</f>
        <v>#N/A</v>
      </c>
      <c r="H12604" s="6" t="str">
        <f>VLOOKUP(E12604,dicionario!$A$1:$C13003,3,0)</f>
        <v>#N/A</v>
      </c>
    </row>
    <row r="12605">
      <c r="A12605" s="3">
        <v>45876.0</v>
      </c>
      <c r="B12605" s="4">
        <v>0.31319444444444444</v>
      </c>
      <c r="C12605" s="5" t="s">
        <v>50</v>
      </c>
      <c r="D12605" s="5" t="s">
        <v>1704</v>
      </c>
      <c r="E12605" s="67" t="s">
        <v>1725</v>
      </c>
      <c r="F12605" s="5" t="s">
        <v>1120</v>
      </c>
      <c r="G12605" s="6" t="str">
        <f>VLOOKUP(E12605,dicionario!$A$1:$C13004,2,0)</f>
        <v>Scolopendridae</v>
      </c>
      <c r="H12605" s="6" t="str">
        <f>VLOOKUP(E12605,dicionario!$A$1:$C13004,3,0)</f>
        <v>lacraia</v>
      </c>
    </row>
    <row r="12606">
      <c r="A12606" s="3">
        <v>45876.0</v>
      </c>
      <c r="B12606" s="4">
        <v>0.3145833333333333</v>
      </c>
      <c r="C12606" s="5" t="s">
        <v>50</v>
      </c>
      <c r="D12606" s="5" t="s">
        <v>1704</v>
      </c>
      <c r="E12606" s="8" t="s">
        <v>1726</v>
      </c>
      <c r="F12606" s="5" t="s">
        <v>1727</v>
      </c>
      <c r="G12606" s="6" t="str">
        <f>VLOOKUP(E12606,dicionario!$A$1:$C13005,2,0)</f>
        <v>#N/A</v>
      </c>
      <c r="H12606" s="6" t="str">
        <f>VLOOKUP(E12606,dicionario!$A$1:$C13005,3,0)</f>
        <v>#N/A</v>
      </c>
    </row>
    <row r="12607">
      <c r="A12607" s="3">
        <v>45876.0</v>
      </c>
      <c r="B12607" s="4">
        <v>0.3145833333333333</v>
      </c>
      <c r="C12607" s="5" t="s">
        <v>50</v>
      </c>
      <c r="D12607" s="5" t="s">
        <v>1704</v>
      </c>
      <c r="E12607" s="30" t="s">
        <v>1728</v>
      </c>
      <c r="F12607" s="5"/>
      <c r="G12607" s="6" t="str">
        <f>VLOOKUP(E12607,dicionario!$A$1:$C13006,2,0)</f>
        <v>#N/A</v>
      </c>
      <c r="H12607" s="6" t="str">
        <f>VLOOKUP(E12607,dicionario!$A$1:$C13006,3,0)</f>
        <v>#N/A</v>
      </c>
    </row>
    <row r="12608">
      <c r="A12608" s="3">
        <v>45876.0</v>
      </c>
      <c r="B12608" s="4">
        <v>0.31527777777777777</v>
      </c>
      <c r="C12608" s="5" t="s">
        <v>50</v>
      </c>
      <c r="D12608" s="5" t="s">
        <v>1704</v>
      </c>
      <c r="E12608" s="8" t="s">
        <v>1729</v>
      </c>
      <c r="F12608" s="5" t="s">
        <v>1730</v>
      </c>
      <c r="G12608" s="6" t="str">
        <f>VLOOKUP(E12608,dicionario!$A$1:$C13007,2,0)</f>
        <v>#N/A</v>
      </c>
      <c r="H12608" s="6" t="str">
        <f>VLOOKUP(E12608,dicionario!$A$1:$C13007,3,0)</f>
        <v>#N/A</v>
      </c>
    </row>
    <row r="12609">
      <c r="A12609" s="3">
        <v>45876.0</v>
      </c>
      <c r="B12609" s="4">
        <v>0.31527777777777777</v>
      </c>
      <c r="C12609" s="5" t="s">
        <v>50</v>
      </c>
      <c r="D12609" s="5" t="s">
        <v>1704</v>
      </c>
      <c r="E12609" s="8" t="s">
        <v>38</v>
      </c>
      <c r="F12609" s="5" t="s">
        <v>1604</v>
      </c>
      <c r="G12609" s="6" t="str">
        <f>VLOOKUP(E12609,dicionario!$A$1:$C13008,2,0)</f>
        <v>Troglodytes musculus</v>
      </c>
      <c r="H12609" s="6" t="str">
        <f>VLOOKUP(E12609,dicionario!$A$1:$C13008,3,0)</f>
        <v>curruíra</v>
      </c>
    </row>
    <row r="12610">
      <c r="A12610" s="3">
        <v>45876.0</v>
      </c>
      <c r="B12610" s="4">
        <v>0.3159722222222222</v>
      </c>
      <c r="C12610" s="5" t="s">
        <v>50</v>
      </c>
      <c r="D12610" s="5" t="s">
        <v>1704</v>
      </c>
      <c r="E12610" s="67" t="s">
        <v>1731</v>
      </c>
      <c r="F12610" s="5" t="s">
        <v>1732</v>
      </c>
      <c r="G12610" s="6" t="str">
        <f>VLOOKUP(E12610,dicionario!$A$1:$C13009,2,0)</f>
        <v>Oniscidea</v>
      </c>
      <c r="H12610" s="6" t="str">
        <f>VLOOKUP(E12610,dicionario!$A$1:$C13009,3,0)</f>
        <v>tatuzinho-de-jardim</v>
      </c>
    </row>
    <row r="12611">
      <c r="A12611" s="3">
        <v>45876.0</v>
      </c>
      <c r="B12611" s="4">
        <v>0.31805555555555554</v>
      </c>
      <c r="C12611" s="5" t="s">
        <v>40</v>
      </c>
      <c r="D12611" s="5" t="s">
        <v>1704</v>
      </c>
      <c r="E12611" s="8" t="s">
        <v>20</v>
      </c>
      <c r="F12611" s="5" t="s">
        <v>1637</v>
      </c>
      <c r="G12611" s="6" t="str">
        <f>VLOOKUP(E12611,dicionario!$A$1:$C13010,2,0)</f>
        <v>Sicalis flaveola</v>
      </c>
      <c r="H12611" s="6" t="str">
        <f>VLOOKUP(E12611,dicionario!$A$1:$C13010,3,0)</f>
        <v>canário-da-terra</v>
      </c>
    </row>
    <row r="12612">
      <c r="A12612" s="3">
        <v>45876.0</v>
      </c>
      <c r="B12612" s="4">
        <v>0.31805555555555554</v>
      </c>
      <c r="C12612" s="5" t="s">
        <v>40</v>
      </c>
      <c r="D12612" s="5" t="s">
        <v>1704</v>
      </c>
      <c r="E12612" s="67" t="s">
        <v>1462</v>
      </c>
      <c r="F12612" s="5" t="s">
        <v>1682</v>
      </c>
      <c r="G12612" s="6" t="str">
        <f>VLOOKUP(E12612,dicionario!$A$1:$C13011,2,0)</f>
        <v>Primolius maracana</v>
      </c>
      <c r="H12612" s="6" t="str">
        <f>VLOOKUP(E12612,dicionario!$A$1:$C13011,3,0)</f>
        <v>maracanã</v>
      </c>
    </row>
    <row r="12613">
      <c r="A12613" s="3">
        <v>45876.0</v>
      </c>
      <c r="B12613" s="4">
        <v>0.3215277777777778</v>
      </c>
      <c r="C12613" s="5" t="s">
        <v>40</v>
      </c>
      <c r="D12613" s="5" t="s">
        <v>1704</v>
      </c>
      <c r="E12613" s="6" t="s">
        <v>60</v>
      </c>
      <c r="F12613" s="5" t="s">
        <v>1659</v>
      </c>
      <c r="G12613" s="6" t="str">
        <f>VLOOKUP(E12613,dicionario!$A$1:$C13012,2,0)</f>
        <v>Vanellus chilensis</v>
      </c>
      <c r="H12613" s="6" t="str">
        <f>VLOOKUP(E12613,dicionario!$A$1:$C13012,3,0)</f>
        <v>quero-quero</v>
      </c>
    </row>
    <row r="12614">
      <c r="A12614" s="3">
        <v>45876.0</v>
      </c>
      <c r="B12614" s="4">
        <v>0.3215277777777778</v>
      </c>
      <c r="C12614" s="5" t="s">
        <v>40</v>
      </c>
      <c r="D12614" s="5" t="s">
        <v>1704</v>
      </c>
      <c r="E12614" s="6" t="s">
        <v>86</v>
      </c>
      <c r="F12614" s="5" t="s">
        <v>783</v>
      </c>
      <c r="G12614" s="6" t="str">
        <f>VLOOKUP(E12614,dicionario!$A$1:$C13013,2,0)</f>
        <v>Coereba flaveola</v>
      </c>
      <c r="H12614" s="6" t="str">
        <f>VLOOKUP(E12614,dicionario!$A$1:$C13013,3,0)</f>
        <v>cambacica</v>
      </c>
    </row>
    <row r="12615">
      <c r="A12615" s="3">
        <v>45876.0</v>
      </c>
      <c r="B12615" s="4">
        <v>0.3215277777777778</v>
      </c>
      <c r="C12615" s="5" t="s">
        <v>40</v>
      </c>
      <c r="D12615" s="5" t="s">
        <v>1704</v>
      </c>
      <c r="E12615" s="6" t="s">
        <v>65</v>
      </c>
      <c r="F12615" s="5" t="s">
        <v>819</v>
      </c>
      <c r="G12615" s="6" t="str">
        <f>VLOOKUP(E12615,dicionario!$A$1:$C13014,2,0)</f>
        <v>Pitangus sulphutarus</v>
      </c>
      <c r="H12615" s="6" t="str">
        <f>VLOOKUP(E12615,dicionario!$A$1:$C13014,3,0)</f>
        <v>bem-te-vi</v>
      </c>
    </row>
    <row r="12616">
      <c r="A12616" s="3">
        <v>45876.0</v>
      </c>
      <c r="B12616" s="4">
        <v>0.3229166666666667</v>
      </c>
      <c r="C12616" s="5" t="s">
        <v>40</v>
      </c>
      <c r="D12616" s="5" t="s">
        <v>1704</v>
      </c>
      <c r="E12616" s="8" t="s">
        <v>1352</v>
      </c>
      <c r="F12616" s="5"/>
      <c r="G12616" s="6" t="str">
        <f>VLOOKUP(E12616,dicionario!$A$1:$C13015,2,0)</f>
        <v>#N/A</v>
      </c>
      <c r="H12616" s="6" t="str">
        <f>VLOOKUP(E12616,dicionario!$A$1:$C13015,3,0)</f>
        <v>#N/A</v>
      </c>
    </row>
    <row r="12617">
      <c r="A12617" s="3">
        <v>45876.0</v>
      </c>
      <c r="B12617" s="4">
        <v>0.3229166666666667</v>
      </c>
      <c r="C12617" s="5" t="s">
        <v>40</v>
      </c>
      <c r="D12617" s="5" t="s">
        <v>1704</v>
      </c>
      <c r="E12617" s="6" t="s">
        <v>22</v>
      </c>
      <c r="F12617" s="5" t="s">
        <v>776</v>
      </c>
      <c r="G12617" s="6" t="str">
        <f>VLOOKUP(E12617,dicionario!$A$1:$C13016,2,0)</f>
        <v>Zenaida auriculata</v>
      </c>
      <c r="H12617" s="6" t="str">
        <f>VLOOKUP(E12617,dicionario!$A$1:$C13016,3,0)</f>
        <v>pomba-de-bando; avoante</v>
      </c>
    </row>
    <row r="12618">
      <c r="A12618" s="3">
        <v>45876.0</v>
      </c>
      <c r="B12618" s="4">
        <v>0.3236111111111111</v>
      </c>
      <c r="C12618" s="5" t="s">
        <v>40</v>
      </c>
      <c r="D12618" s="5" t="s">
        <v>1704</v>
      </c>
      <c r="E12618" s="6" t="s">
        <v>225</v>
      </c>
      <c r="F12618" s="5" t="s">
        <v>226</v>
      </c>
      <c r="G12618" s="6" t="str">
        <f>VLOOKUP(E12618,dicionario!$A$1:$C13017,2,0)</f>
        <v>Passer domesticus</v>
      </c>
      <c r="H12618" s="6" t="str">
        <f>VLOOKUP(E12618,dicionario!$A$1:$C13017,3,0)</f>
        <v>pardal</v>
      </c>
    </row>
    <row r="12619">
      <c r="A12619" s="3">
        <v>45876.0</v>
      </c>
      <c r="B12619" s="4">
        <v>0.3236111111111111</v>
      </c>
      <c r="C12619" s="5" t="s">
        <v>40</v>
      </c>
      <c r="D12619" s="5" t="s">
        <v>1704</v>
      </c>
      <c r="E12619" s="6" t="s">
        <v>154</v>
      </c>
      <c r="F12619" s="5" t="s">
        <v>1585</v>
      </c>
      <c r="G12619" s="6" t="str">
        <f>VLOOKUP(E12619,dicionario!$A$1:$C13018,2,0)</f>
        <v>Cyperus rotundus</v>
      </c>
      <c r="H12619" s="6" t="str">
        <f>VLOOKUP(E12619,dicionario!$A$1:$C13018,3,0)</f>
        <v>tiririca</v>
      </c>
    </row>
    <row r="12620">
      <c r="A12620" s="3">
        <v>45876.0</v>
      </c>
      <c r="B12620" s="4">
        <v>0.3236111111111111</v>
      </c>
      <c r="C12620" s="5" t="s">
        <v>40</v>
      </c>
      <c r="D12620" s="5" t="s">
        <v>1704</v>
      </c>
      <c r="E12620" s="8" t="s">
        <v>1694</v>
      </c>
      <c r="F12620" s="5" t="s">
        <v>1695</v>
      </c>
      <c r="G12620" s="6" t="str">
        <f>VLOOKUP(E12620,dicionario!$A$1:$C13019,2,0)</f>
        <v>Conyza bonariensis</v>
      </c>
      <c r="H12620" s="6" t="str">
        <f>VLOOKUP(E12620,dicionario!$A$1:$C13019,3,0)</f>
        <v>buva</v>
      </c>
    </row>
    <row r="12621">
      <c r="A12621" s="3">
        <v>45876.0</v>
      </c>
      <c r="B12621" s="4">
        <v>0.3236111111111111</v>
      </c>
      <c r="C12621" s="5" t="s">
        <v>40</v>
      </c>
      <c r="D12621" s="5" t="s">
        <v>1704</v>
      </c>
      <c r="E12621" s="8" t="s">
        <v>886</v>
      </c>
      <c r="F12621" s="5" t="s">
        <v>887</v>
      </c>
      <c r="G12621" s="6" t="str">
        <f>VLOOKUP(E12621,dicionario!$A$1:$C13020,2,0)</f>
        <v>Oldenlandia corymbosa</v>
      </c>
      <c r="H12621" s="6" t="str">
        <f>VLOOKUP(E12621,dicionario!$A$1:$C13020,3,0)</f>
        <v>erva-diamante</v>
      </c>
    </row>
    <row r="12622">
      <c r="A12622" s="3">
        <v>45876.0</v>
      </c>
      <c r="B12622" s="4">
        <v>0.325</v>
      </c>
      <c r="C12622" s="5" t="s">
        <v>40</v>
      </c>
      <c r="D12622" s="5" t="s">
        <v>1704</v>
      </c>
      <c r="E12622" s="8" t="s">
        <v>579</v>
      </c>
      <c r="F12622" s="5" t="s">
        <v>580</v>
      </c>
      <c r="G12622" s="6" t="str">
        <f>VLOOKUP(E12622,dicionario!$A$1:$C13021,2,0)</f>
        <v>Piper tuberculatum</v>
      </c>
      <c r="H12622" s="6" t="str">
        <f>VLOOKUP(E12622,dicionario!$A$1:$C13021,3,0)</f>
        <v/>
      </c>
    </row>
    <row r="12623">
      <c r="A12623" s="3">
        <v>45876.0</v>
      </c>
      <c r="B12623" s="4">
        <v>0.325</v>
      </c>
      <c r="C12623" s="5" t="s">
        <v>40</v>
      </c>
      <c r="D12623" s="5" t="s">
        <v>1704</v>
      </c>
      <c r="E12623" s="8" t="s">
        <v>1733</v>
      </c>
      <c r="F12623" s="5" t="s">
        <v>1734</v>
      </c>
      <c r="G12623" s="6" t="str">
        <f>VLOOKUP(E12623,dicionario!$A$1:$C13022,2,0)</f>
        <v>#N/A</v>
      </c>
      <c r="H12623" s="6" t="str">
        <f>VLOOKUP(E12623,dicionario!$A$1:$C13022,3,0)</f>
        <v>#N/A</v>
      </c>
    </row>
    <row r="12624">
      <c r="A12624" s="3">
        <v>45876.0</v>
      </c>
      <c r="B12624" s="4">
        <v>0.325</v>
      </c>
      <c r="C12624" s="5" t="s">
        <v>40</v>
      </c>
      <c r="D12624" s="5" t="s">
        <v>1704</v>
      </c>
      <c r="E12624" s="5" t="s">
        <v>1623</v>
      </c>
      <c r="F12624" s="5" t="s">
        <v>1605</v>
      </c>
      <c r="G12624" s="6" t="str">
        <f>VLOOKUP(E12624,dicionario!$A$1:$C13023,2,0)</f>
        <v>#N/A</v>
      </c>
      <c r="H12624" s="6" t="str">
        <f>VLOOKUP(E12624,dicionario!$A$1:$C13023,3,0)</f>
        <v>#N/A</v>
      </c>
    </row>
    <row r="12625">
      <c r="A12625" s="3">
        <v>45876.0</v>
      </c>
      <c r="B12625" s="4">
        <v>0.325</v>
      </c>
      <c r="C12625" s="5" t="s">
        <v>40</v>
      </c>
      <c r="D12625" s="5" t="s">
        <v>1704</v>
      </c>
      <c r="E12625" s="8" t="s">
        <v>271</v>
      </c>
      <c r="F12625" s="5" t="s">
        <v>1169</v>
      </c>
      <c r="G12625" s="6" t="str">
        <f>VLOOKUP(E12625,dicionario!$A$1:$C13024,2,0)</f>
        <v>Cyanthillium cinereum</v>
      </c>
      <c r="H12625" s="6" t="str">
        <f>VLOOKUP(E12625,dicionario!$A$1:$C13024,3,0)</f>
        <v>emília</v>
      </c>
    </row>
    <row r="12626">
      <c r="A12626" s="3">
        <v>45876.0</v>
      </c>
      <c r="B12626" s="4">
        <v>0.32569444444444445</v>
      </c>
      <c r="C12626" s="5" t="s">
        <v>40</v>
      </c>
      <c r="D12626" s="5" t="s">
        <v>1704</v>
      </c>
      <c r="E12626" s="6" t="s">
        <v>286</v>
      </c>
      <c r="F12626" s="5" t="s">
        <v>781</v>
      </c>
      <c r="G12626" s="6" t="str">
        <f>VLOOKUP(E12626,dicionario!$A$1:$C13025,2,0)</f>
        <v>Setaria parviflora</v>
      </c>
      <c r="H12626" s="6" t="str">
        <f>VLOOKUP(E12626,dicionario!$A$1:$C13025,3,0)</f>
        <v>capim-rabo-de-raposa</v>
      </c>
    </row>
    <row r="12627">
      <c r="A12627" s="3">
        <v>45876.0</v>
      </c>
      <c r="B12627" s="4">
        <v>0.32569444444444445</v>
      </c>
      <c r="C12627" s="5" t="s">
        <v>40</v>
      </c>
      <c r="D12627" s="5" t="s">
        <v>1704</v>
      </c>
      <c r="E12627" s="8" t="s">
        <v>1344</v>
      </c>
      <c r="F12627" s="5" t="s">
        <v>1360</v>
      </c>
      <c r="G12627" s="6" t="str">
        <f>VLOOKUP(E12627,dicionario!$A$1:$C13026,2,0)</f>
        <v>#N/A</v>
      </c>
      <c r="H12627" s="6" t="str">
        <f>VLOOKUP(E12627,dicionario!$A$1:$C13026,3,0)</f>
        <v>#N/A</v>
      </c>
    </row>
    <row r="12628">
      <c r="A12628" s="3">
        <v>45876.0</v>
      </c>
      <c r="B12628" s="4">
        <v>0.32569444444444445</v>
      </c>
      <c r="C12628" s="5" t="s">
        <v>40</v>
      </c>
      <c r="D12628" s="5" t="s">
        <v>1704</v>
      </c>
      <c r="E12628" s="6" t="s">
        <v>53</v>
      </c>
      <c r="F12628" s="5" t="s">
        <v>54</v>
      </c>
      <c r="G12628" s="6" t="str">
        <f>VLOOKUP(E12628,dicionario!$A$1:$C13027,2,0)</f>
        <v>Turnera subulata</v>
      </c>
      <c r="H12628" s="6" t="str">
        <f>VLOOKUP(E12628,dicionario!$A$1:$C13027,3,0)</f>
        <v>xanana</v>
      </c>
    </row>
    <row r="12629">
      <c r="A12629" s="3">
        <v>45876.0</v>
      </c>
      <c r="B12629" s="4">
        <v>0.3263888888888889</v>
      </c>
      <c r="C12629" s="5" t="s">
        <v>40</v>
      </c>
      <c r="D12629" s="5" t="s">
        <v>1704</v>
      </c>
      <c r="E12629" s="6" t="s">
        <v>177</v>
      </c>
      <c r="F12629" s="5" t="s">
        <v>804</v>
      </c>
      <c r="G12629" s="6" t="str">
        <f>VLOOKUP(E12629,dicionario!$A$1:$C13028,2,0)</f>
        <v>Elaenia flavogaster</v>
      </c>
      <c r="H12629" s="6" t="str">
        <f>VLOOKUP(E12629,dicionario!$A$1:$C13028,3,0)</f>
        <v>guaracava-de-barriga-amarela</v>
      </c>
    </row>
    <row r="12630">
      <c r="A12630" s="3">
        <v>45876.0</v>
      </c>
      <c r="B12630" s="4">
        <v>0.3263888888888889</v>
      </c>
      <c r="C12630" s="5" t="s">
        <v>33</v>
      </c>
      <c r="D12630" s="5" t="s">
        <v>1704</v>
      </c>
      <c r="E12630" s="8" t="s">
        <v>109</v>
      </c>
      <c r="F12630" s="5" t="s">
        <v>777</v>
      </c>
      <c r="G12630" s="6" t="str">
        <f>VLOOKUP(E12630,dicionario!$A$1:$C13029,2,0)</f>
        <v>Tillandsia stricta</v>
      </c>
      <c r="H12630" s="6" t="str">
        <f>VLOOKUP(E12630,dicionario!$A$1:$C13029,3,0)</f>
        <v>cravo-do-mato</v>
      </c>
    </row>
    <row r="12631">
      <c r="A12631" s="3">
        <v>45876.0</v>
      </c>
      <c r="B12631" s="4">
        <v>0.3298611111111111</v>
      </c>
      <c r="C12631" s="5" t="s">
        <v>33</v>
      </c>
      <c r="D12631" s="5" t="s">
        <v>1704</v>
      </c>
      <c r="E12631" s="8" t="s">
        <v>1735</v>
      </c>
      <c r="F12631" s="5" t="s">
        <v>1605</v>
      </c>
      <c r="G12631" s="6" t="str">
        <f>VLOOKUP(E12631,dicionario!$A$1:$C13030,2,0)</f>
        <v>#N/A</v>
      </c>
      <c r="H12631" s="6" t="str">
        <f>VLOOKUP(E12631,dicionario!$A$1:$C13030,3,0)</f>
        <v>#N/A</v>
      </c>
    </row>
    <row r="12632">
      <c r="A12632" s="3">
        <v>45876.0</v>
      </c>
      <c r="B12632" s="4">
        <v>0.3298611111111111</v>
      </c>
      <c r="C12632" s="5" t="s">
        <v>33</v>
      </c>
      <c r="D12632" s="5" t="s">
        <v>1704</v>
      </c>
      <c r="E12632" s="8" t="s">
        <v>711</v>
      </c>
      <c r="F12632" s="5" t="s">
        <v>224</v>
      </c>
      <c r="G12632" s="6" t="str">
        <f>VLOOKUP(E12632,dicionario!$A$1:$C13031,2,0)</f>
        <v>#N/A</v>
      </c>
      <c r="H12632" s="6" t="str">
        <f>VLOOKUP(E12632,dicionario!$A$1:$C13031,3,0)</f>
        <v>#N/A</v>
      </c>
    </row>
    <row r="12633">
      <c r="A12633" s="3">
        <v>45876.0</v>
      </c>
      <c r="B12633" s="4">
        <v>0.3298611111111111</v>
      </c>
      <c r="C12633" s="5" t="s">
        <v>33</v>
      </c>
      <c r="D12633" s="5" t="s">
        <v>1704</v>
      </c>
      <c r="E12633" s="8" t="s">
        <v>271</v>
      </c>
      <c r="F12633" s="5" t="s">
        <v>1575</v>
      </c>
      <c r="G12633" s="6" t="str">
        <f>VLOOKUP(E12633,dicionario!$A$1:$C13032,2,0)</f>
        <v>Cyanthillium cinereum</v>
      </c>
      <c r="H12633" s="6" t="str">
        <f>VLOOKUP(E12633,dicionario!$A$1:$C13032,3,0)</f>
        <v>emília</v>
      </c>
    </row>
    <row r="12634">
      <c r="A12634" s="3">
        <v>45876.0</v>
      </c>
      <c r="B12634" s="4">
        <v>0.33125</v>
      </c>
      <c r="C12634" s="5" t="s">
        <v>33</v>
      </c>
      <c r="D12634" s="5" t="s">
        <v>1704</v>
      </c>
      <c r="E12634" s="6" t="s">
        <v>150</v>
      </c>
      <c r="F12634" s="5" t="s">
        <v>769</v>
      </c>
      <c r="G12634" s="6" t="str">
        <f>VLOOKUP(E12634,dicionario!$A$1:$C13033,2,0)</f>
        <v>Amaranthus viridis</v>
      </c>
      <c r="H12634" s="6" t="str">
        <f>VLOOKUP(E12634,dicionario!$A$1:$C13033,3,0)</f>
        <v>caruru-de-mancha</v>
      </c>
    </row>
    <row r="12635">
      <c r="A12635" s="3">
        <v>45876.0</v>
      </c>
      <c r="B12635" s="4">
        <v>0.33125</v>
      </c>
      <c r="C12635" s="5" t="s">
        <v>33</v>
      </c>
      <c r="D12635" s="5" t="s">
        <v>1704</v>
      </c>
      <c r="E12635" s="6" t="s">
        <v>122</v>
      </c>
      <c r="F12635" s="5" t="s">
        <v>1736</v>
      </c>
      <c r="G12635" s="6" t="str">
        <f>VLOOKUP(E12635,dicionario!$A$1:$C13034,2,0)</f>
        <v>Todirostrum cinereum</v>
      </c>
      <c r="H12635" s="6" t="str">
        <f>VLOOKUP(E12635,dicionario!$A$1:$C13034,3,0)</f>
        <v>ferreirinho-relógio</v>
      </c>
    </row>
    <row r="12636">
      <c r="A12636" s="3">
        <v>45876.0</v>
      </c>
      <c r="B12636" s="4">
        <v>0.33125</v>
      </c>
      <c r="C12636" s="5" t="s">
        <v>33</v>
      </c>
      <c r="D12636" s="5" t="s">
        <v>1704</v>
      </c>
      <c r="E12636" s="8" t="s">
        <v>38</v>
      </c>
      <c r="F12636" s="5" t="s">
        <v>1604</v>
      </c>
      <c r="G12636" s="6" t="str">
        <f>VLOOKUP(E12636,dicionario!$A$1:$C13035,2,0)</f>
        <v>Troglodytes musculus</v>
      </c>
      <c r="H12636" s="6" t="str">
        <f>VLOOKUP(E12636,dicionario!$A$1:$C13035,3,0)</f>
        <v>curruíra</v>
      </c>
    </row>
    <row r="12637">
      <c r="A12637" s="3">
        <v>45876.0</v>
      </c>
      <c r="B12637" s="4">
        <v>0.33125</v>
      </c>
      <c r="C12637" s="5" t="s">
        <v>33</v>
      </c>
      <c r="D12637" s="5" t="s">
        <v>1704</v>
      </c>
      <c r="E12637" s="6" t="s">
        <v>113</v>
      </c>
      <c r="F12637" s="5" t="s">
        <v>820</v>
      </c>
      <c r="G12637" s="6" t="str">
        <f>VLOOKUP(E12637,dicionario!$A$1:$C13036,2,0)</f>
        <v>Columbina talpacoti</v>
      </c>
      <c r="H12637" s="6" t="str">
        <f>VLOOKUP(E12637,dicionario!$A$1:$C13036,3,0)</f>
        <v>rolinha-roxa</v>
      </c>
    </row>
    <row r="12638">
      <c r="A12638" s="3">
        <v>45876.0</v>
      </c>
      <c r="B12638" s="4">
        <v>0.33125</v>
      </c>
      <c r="C12638" s="5" t="s">
        <v>33</v>
      </c>
      <c r="D12638" s="5" t="s">
        <v>1704</v>
      </c>
      <c r="E12638" s="8" t="s">
        <v>122</v>
      </c>
      <c r="F12638" s="5" t="s">
        <v>1593</v>
      </c>
      <c r="G12638" s="6" t="str">
        <f>VLOOKUP(E12638,dicionario!$A$1:$C13037,2,0)</f>
        <v>Todirostrum cinereum</v>
      </c>
      <c r="H12638" s="6" t="str">
        <f>VLOOKUP(E12638,dicionario!$A$1:$C13037,3,0)</f>
        <v>ferreirinho-relógio</v>
      </c>
    </row>
    <row r="12639">
      <c r="A12639" s="3">
        <v>45876.0</v>
      </c>
      <c r="B12639" s="4">
        <v>0.3326388888888889</v>
      </c>
      <c r="C12639" s="5" t="s">
        <v>33</v>
      </c>
      <c r="D12639" s="5" t="s">
        <v>1704</v>
      </c>
      <c r="E12639" s="8" t="s">
        <v>712</v>
      </c>
      <c r="F12639" s="5" t="s">
        <v>1602</v>
      </c>
      <c r="G12639" s="6" t="str">
        <f>VLOOKUP(E12639,dicionario!$A$1:$C13038,2,0)</f>
        <v>Flavopunctelia soredica</v>
      </c>
      <c r="H12639" s="6" t="str">
        <f>VLOOKUP(E12639,dicionario!$A$1:$C13038,3,0)</f>
        <v>líquen-folioso</v>
      </c>
    </row>
    <row r="12640">
      <c r="A12640" s="3">
        <v>45876.0</v>
      </c>
      <c r="B12640" s="4">
        <v>0.3333333333333333</v>
      </c>
      <c r="C12640" s="5" t="s">
        <v>26</v>
      </c>
      <c r="D12640" s="5" t="s">
        <v>1704</v>
      </c>
      <c r="E12640" s="6" t="s">
        <v>217</v>
      </c>
      <c r="F12640" s="5" t="s">
        <v>1372</v>
      </c>
      <c r="G12640" s="6" t="str">
        <f>VLOOKUP(E12640,dicionario!$A$1:$C13039,2,0)</f>
        <v>Athene cunicularia</v>
      </c>
      <c r="H12640" s="6" t="str">
        <f>VLOOKUP(E12640,dicionario!$A$1:$C13039,3,0)</f>
        <v>coruja-buraqueira</v>
      </c>
    </row>
    <row r="12641">
      <c r="A12641" s="3">
        <v>45876.0</v>
      </c>
      <c r="B12641" s="4">
        <v>0.3333333333333333</v>
      </c>
      <c r="C12641" s="5" t="s">
        <v>26</v>
      </c>
      <c r="D12641" s="5" t="s">
        <v>1704</v>
      </c>
      <c r="E12641" s="8" t="s">
        <v>122</v>
      </c>
      <c r="F12641" s="5" t="s">
        <v>1593</v>
      </c>
      <c r="G12641" s="6" t="str">
        <f>VLOOKUP(E12641,dicionario!$A$1:$C13040,2,0)</f>
        <v>Todirostrum cinereum</v>
      </c>
      <c r="H12641" s="6" t="str">
        <f>VLOOKUP(E12641,dicionario!$A$1:$C13040,3,0)</f>
        <v>ferreirinho-relógio</v>
      </c>
    </row>
    <row r="12642">
      <c r="A12642" s="3">
        <v>45876.0</v>
      </c>
      <c r="B12642" s="4">
        <v>0.3333333333333333</v>
      </c>
      <c r="C12642" s="5" t="s">
        <v>26</v>
      </c>
      <c r="D12642" s="5" t="s">
        <v>1704</v>
      </c>
      <c r="E12642" s="8" t="s">
        <v>712</v>
      </c>
      <c r="F12642" s="5" t="s">
        <v>1602</v>
      </c>
      <c r="G12642" s="6" t="str">
        <f>VLOOKUP(E12642,dicionario!$A$1:$C13041,2,0)</f>
        <v>Flavopunctelia soredica</v>
      </c>
      <c r="H12642" s="6" t="str">
        <f>VLOOKUP(E12642,dicionario!$A$1:$C13041,3,0)</f>
        <v>líquen-folioso</v>
      </c>
    </row>
    <row r="12643">
      <c r="A12643" s="3">
        <v>45876.0</v>
      </c>
      <c r="B12643" s="4">
        <v>0.3333333333333333</v>
      </c>
      <c r="C12643" s="5" t="s">
        <v>26</v>
      </c>
      <c r="D12643" s="5" t="s">
        <v>1704</v>
      </c>
      <c r="E12643" s="8" t="s">
        <v>271</v>
      </c>
      <c r="F12643" s="5" t="s">
        <v>1575</v>
      </c>
      <c r="G12643" s="6" t="str">
        <f>VLOOKUP(E12643,dicionario!$A$1:$C13042,2,0)</f>
        <v>Cyanthillium cinereum</v>
      </c>
      <c r="H12643" s="6" t="str">
        <f>VLOOKUP(E12643,dicionario!$A$1:$C13042,3,0)</f>
        <v>emília</v>
      </c>
    </row>
    <row r="12644">
      <c r="A12644" s="3">
        <v>45876.0</v>
      </c>
      <c r="B12644" s="4">
        <v>0.3333333333333333</v>
      </c>
      <c r="C12644" s="5" t="s">
        <v>26</v>
      </c>
      <c r="D12644" s="5" t="s">
        <v>1704</v>
      </c>
      <c r="E12644" s="8" t="s">
        <v>20</v>
      </c>
      <c r="F12644" s="5" t="s">
        <v>1637</v>
      </c>
      <c r="G12644" s="6" t="str">
        <f>VLOOKUP(E12644,dicionario!$A$1:$C13043,2,0)</f>
        <v>Sicalis flaveola</v>
      </c>
      <c r="H12644" s="6" t="str">
        <f>VLOOKUP(E12644,dicionario!$A$1:$C13043,3,0)</f>
        <v>canário-da-terra</v>
      </c>
    </row>
    <row r="12645">
      <c r="A12645" s="3">
        <v>45876.0</v>
      </c>
      <c r="B12645" s="4">
        <v>0.3347222222222222</v>
      </c>
      <c r="C12645" s="5" t="s">
        <v>26</v>
      </c>
      <c r="D12645" s="5" t="s">
        <v>1704</v>
      </c>
      <c r="E12645" s="6" t="s">
        <v>113</v>
      </c>
      <c r="F12645" s="5" t="s">
        <v>820</v>
      </c>
      <c r="G12645" s="6" t="str">
        <f>VLOOKUP(E12645,dicionario!$A$1:$C13044,2,0)</f>
        <v>Columbina talpacoti</v>
      </c>
      <c r="H12645" s="6" t="str">
        <f>VLOOKUP(E12645,dicionario!$A$1:$C13044,3,0)</f>
        <v>rolinha-roxa</v>
      </c>
    </row>
    <row r="12646">
      <c r="A12646" s="3">
        <v>45876.0</v>
      </c>
      <c r="B12646" s="4">
        <v>0.3347222222222222</v>
      </c>
      <c r="C12646" s="5" t="s">
        <v>26</v>
      </c>
      <c r="D12646" s="5" t="s">
        <v>1704</v>
      </c>
      <c r="E12646" s="8" t="s">
        <v>38</v>
      </c>
      <c r="F12646" s="5" t="s">
        <v>1604</v>
      </c>
      <c r="G12646" s="6" t="str">
        <f>VLOOKUP(E12646,dicionario!$A$1:$C13045,2,0)</f>
        <v>Troglodytes musculus</v>
      </c>
      <c r="H12646" s="6" t="str">
        <f>VLOOKUP(E12646,dicionario!$A$1:$C13045,3,0)</f>
        <v>curruíra</v>
      </c>
    </row>
    <row r="12647">
      <c r="A12647" s="3">
        <v>45876.0</v>
      </c>
      <c r="B12647" s="4">
        <v>0.3347222222222222</v>
      </c>
      <c r="C12647" s="5" t="s">
        <v>26</v>
      </c>
      <c r="D12647" s="5" t="s">
        <v>1704</v>
      </c>
      <c r="E12647" s="6" t="s">
        <v>498</v>
      </c>
      <c r="F12647" s="5" t="s">
        <v>1629</v>
      </c>
      <c r="G12647" s="6" t="str">
        <f>VLOOKUP(E12647,dicionario!$A$1:$C13046,2,0)</f>
        <v>Brachiaria decumbens</v>
      </c>
      <c r="H12647" s="6" t="str">
        <f>VLOOKUP(E12647,dicionario!$A$1:$C13046,3,0)</f>
        <v>capim-braquiária</v>
      </c>
    </row>
    <row r="12648">
      <c r="A12648" s="3">
        <v>45876.0</v>
      </c>
      <c r="B12648" s="4">
        <v>0.33541666666666664</v>
      </c>
      <c r="C12648" s="5" t="s">
        <v>26</v>
      </c>
      <c r="D12648" s="5" t="s">
        <v>1704</v>
      </c>
      <c r="E12648" s="6" t="s">
        <v>65</v>
      </c>
      <c r="F12648" s="5" t="s">
        <v>819</v>
      </c>
      <c r="G12648" s="6" t="str">
        <f>VLOOKUP(E12648,dicionario!$A$1:$C13047,2,0)</f>
        <v>Pitangus sulphutarus</v>
      </c>
      <c r="H12648" s="6" t="str">
        <f>VLOOKUP(E12648,dicionario!$A$1:$C13047,3,0)</f>
        <v>bem-te-vi</v>
      </c>
    </row>
    <row r="12649">
      <c r="A12649" s="3">
        <v>45876.0</v>
      </c>
      <c r="B12649" s="4">
        <v>0.33541666666666664</v>
      </c>
      <c r="C12649" s="5" t="s">
        <v>26</v>
      </c>
      <c r="D12649" s="5" t="s">
        <v>1704</v>
      </c>
      <c r="E12649" s="8" t="s">
        <v>109</v>
      </c>
      <c r="F12649" s="5" t="s">
        <v>777</v>
      </c>
      <c r="G12649" s="6" t="str">
        <f>VLOOKUP(E12649,dicionario!$A$1:$C13048,2,0)</f>
        <v>Tillandsia stricta</v>
      </c>
      <c r="H12649" s="6" t="str">
        <f>VLOOKUP(E12649,dicionario!$A$1:$C13048,3,0)</f>
        <v>cravo-do-mato</v>
      </c>
    </row>
    <row r="12650">
      <c r="A12650" s="3">
        <v>45876.0</v>
      </c>
      <c r="B12650" s="4">
        <v>0.33541666666666664</v>
      </c>
      <c r="C12650" s="5" t="s">
        <v>26</v>
      </c>
      <c r="D12650" s="5" t="s">
        <v>1704</v>
      </c>
      <c r="E12650" s="6" t="s">
        <v>251</v>
      </c>
      <c r="F12650" s="5" t="s">
        <v>873</v>
      </c>
      <c r="G12650" s="6" t="str">
        <f>VLOOKUP(E12650,dicionario!$A$1:$C13049,2,0)</f>
        <v>Struthanthus flexicaulis</v>
      </c>
      <c r="H12650" s="6" t="str">
        <f>VLOOKUP(E12650,dicionario!$A$1:$C13049,3,0)</f>
        <v>erva-de-passarinho</v>
      </c>
    </row>
    <row r="12651">
      <c r="A12651" s="3">
        <v>45876.0</v>
      </c>
      <c r="B12651" s="4">
        <v>0.33541666666666664</v>
      </c>
      <c r="C12651" s="5" t="s">
        <v>26</v>
      </c>
      <c r="D12651" s="5" t="s">
        <v>1704</v>
      </c>
      <c r="E12651" s="6" t="s">
        <v>51</v>
      </c>
      <c r="F12651" s="5" t="s">
        <v>1737</v>
      </c>
      <c r="G12651" s="6" t="str">
        <f>VLOOKUP(E12651,dicionario!$A$1:$C13050,2,0)</f>
        <v>Solenopsis</v>
      </c>
      <c r="H12651" s="6" t="str">
        <f>VLOOKUP(E12651,dicionario!$A$1:$C13050,3,0)</f>
        <v>formiga-quente; formiga-lava-pés; formiga-de-fogo</v>
      </c>
    </row>
    <row r="12652">
      <c r="A12652" s="3">
        <v>45876.0</v>
      </c>
      <c r="B12652" s="4">
        <v>0.3368055555555556</v>
      </c>
      <c r="C12652" s="5" t="s">
        <v>26</v>
      </c>
      <c r="D12652" s="5" t="s">
        <v>1704</v>
      </c>
      <c r="E12652" s="8" t="s">
        <v>915</v>
      </c>
      <c r="F12652" s="5" t="s">
        <v>1275</v>
      </c>
      <c r="G12652" s="6" t="str">
        <f>VLOOKUP(E12652,dicionario!$A$1:$C13051,2,0)</f>
        <v>Tachycineta albiventer</v>
      </c>
      <c r="H12652" s="6" t="str">
        <f>VLOOKUP(E12652,dicionario!$A$1:$C13051,3,0)</f>
        <v>andorinha-de-rio</v>
      </c>
    </row>
    <row r="12653">
      <c r="A12653" s="3">
        <v>45876.0</v>
      </c>
      <c r="B12653" s="4">
        <v>0.3375</v>
      </c>
      <c r="C12653" s="5" t="s">
        <v>26</v>
      </c>
      <c r="D12653" s="5" t="s">
        <v>1704</v>
      </c>
      <c r="E12653" s="9" t="s">
        <v>105</v>
      </c>
      <c r="F12653" s="5" t="s">
        <v>842</v>
      </c>
      <c r="G12653" s="6" t="str">
        <f>VLOOKUP(E12653,dicionario!$A$1:$C13052,2,0)</f>
        <v>Progne tapera</v>
      </c>
      <c r="H12653" s="6" t="str">
        <f>VLOOKUP(E12653,dicionario!$A$1:$C13052,3,0)</f>
        <v>andorinha-do-campo</v>
      </c>
    </row>
    <row r="12654">
      <c r="A12654" s="3">
        <v>45876.0</v>
      </c>
      <c r="B12654" s="4">
        <v>0.33958333333333335</v>
      </c>
      <c r="C12654" s="5" t="s">
        <v>26</v>
      </c>
      <c r="D12654" s="5" t="s">
        <v>1704</v>
      </c>
      <c r="E12654" s="53" t="s">
        <v>1175</v>
      </c>
      <c r="F12654" s="5" t="s">
        <v>1738</v>
      </c>
      <c r="G12654" s="6" t="str">
        <f>VLOOKUP(E12654,dicionario!$A$1:$C13053,2,0)</f>
        <v>Danaus erippus</v>
      </c>
      <c r="H12654" s="6" t="str">
        <f>VLOOKUP(E12654,dicionario!$A$1:$C13053,3,0)</f>
        <v>borboleta-monarca-do-sul</v>
      </c>
    </row>
    <row r="12655">
      <c r="A12655" s="3">
        <v>45876.0</v>
      </c>
      <c r="B12655" s="4">
        <v>0.33958333333333335</v>
      </c>
      <c r="C12655" s="5" t="s">
        <v>26</v>
      </c>
      <c r="D12655" s="5" t="s">
        <v>1704</v>
      </c>
      <c r="E12655" s="6" t="s">
        <v>290</v>
      </c>
      <c r="F12655" s="5" t="s">
        <v>779</v>
      </c>
      <c r="G12655" s="6" t="str">
        <f>VLOOKUP(E12655,dicionario!$A$1:$C13054,2,0)</f>
        <v>Drymaria cordata</v>
      </c>
      <c r="H12655" s="6" t="str">
        <f>VLOOKUP(E12655,dicionario!$A$1:$C13054,3,0)</f>
        <v>orelha-de-rato</v>
      </c>
    </row>
    <row r="12656">
      <c r="A12656" s="3">
        <v>45876.0</v>
      </c>
      <c r="B12656" s="4">
        <v>0.3402777777777778</v>
      </c>
      <c r="C12656" s="5" t="s">
        <v>8</v>
      </c>
      <c r="D12656" s="5" t="s">
        <v>1704</v>
      </c>
      <c r="E12656" s="8" t="s">
        <v>122</v>
      </c>
      <c r="F12656" s="5" t="s">
        <v>1593</v>
      </c>
      <c r="G12656" s="6" t="str">
        <f>VLOOKUP(E12656,dicionario!$A$1:$C13055,2,0)</f>
        <v>Todirostrum cinereum</v>
      </c>
      <c r="H12656" s="6" t="str">
        <f>VLOOKUP(E12656,dicionario!$A$1:$C13055,3,0)</f>
        <v>ferreirinho-relógio</v>
      </c>
    </row>
    <row r="12657">
      <c r="A12657" s="3">
        <v>45876.0</v>
      </c>
      <c r="B12657" s="4">
        <v>0.3402777777777778</v>
      </c>
      <c r="C12657" s="5" t="s">
        <v>8</v>
      </c>
      <c r="D12657" s="5" t="s">
        <v>1704</v>
      </c>
      <c r="E12657" s="8" t="s">
        <v>712</v>
      </c>
      <c r="F12657" s="5" t="s">
        <v>1602</v>
      </c>
      <c r="G12657" s="6" t="str">
        <f>VLOOKUP(E12657,dicionario!$A$1:$C13056,2,0)</f>
        <v>Flavopunctelia soredica</v>
      </c>
      <c r="H12657" s="6" t="str">
        <f>VLOOKUP(E12657,dicionario!$A$1:$C13056,3,0)</f>
        <v>líquen-folioso</v>
      </c>
    </row>
    <row r="12658">
      <c r="A12658" s="3">
        <v>45876.0</v>
      </c>
      <c r="B12658" s="4">
        <v>0.3402777777777778</v>
      </c>
      <c r="C12658" s="5" t="s">
        <v>8</v>
      </c>
      <c r="D12658" s="5" t="s">
        <v>1704</v>
      </c>
      <c r="E12658" s="8" t="s">
        <v>107</v>
      </c>
      <c r="F12658" s="5" t="s">
        <v>834</v>
      </c>
      <c r="G12658" s="6" t="str">
        <f>VLOOKUP(E12658,dicionario!$A$1:$C13057,2,0)</f>
        <v>Ramalina complanata</v>
      </c>
      <c r="H12658" s="6" t="str">
        <f>VLOOKUP(E12658,dicionario!$A$1:$C13057,3,0)</f>
        <v>ramalina</v>
      </c>
    </row>
    <row r="12659">
      <c r="A12659" s="3">
        <v>45876.0</v>
      </c>
      <c r="B12659" s="4">
        <v>0.3402777777777778</v>
      </c>
      <c r="C12659" s="5" t="s">
        <v>8</v>
      </c>
      <c r="D12659" s="5" t="s">
        <v>1704</v>
      </c>
      <c r="E12659" s="8" t="s">
        <v>1571</v>
      </c>
      <c r="F12659" s="5" t="s">
        <v>1572</v>
      </c>
      <c r="G12659" s="6" t="str">
        <f>VLOOKUP(E12659,dicionario!$A$1:$C13058,2,0)</f>
        <v>#N/A</v>
      </c>
      <c r="H12659" s="6" t="str">
        <f>VLOOKUP(E12659,dicionario!$A$1:$C13058,3,0)</f>
        <v>#N/A</v>
      </c>
    </row>
    <row r="12660">
      <c r="A12660" s="3">
        <v>45876.0</v>
      </c>
      <c r="B12660" s="4">
        <v>0.3402777777777778</v>
      </c>
      <c r="C12660" s="5" t="s">
        <v>8</v>
      </c>
      <c r="D12660" s="5" t="s">
        <v>1704</v>
      </c>
      <c r="E12660" s="8" t="s">
        <v>109</v>
      </c>
      <c r="F12660" s="5" t="s">
        <v>777</v>
      </c>
      <c r="G12660" s="6" t="str">
        <f>VLOOKUP(E12660,dicionario!$A$1:$C13059,2,0)</f>
        <v>Tillandsia stricta</v>
      </c>
      <c r="H12660" s="6" t="str">
        <f>VLOOKUP(E12660,dicionario!$A$1:$C13059,3,0)</f>
        <v>cravo-do-mato</v>
      </c>
    </row>
    <row r="12661">
      <c r="A12661" s="3">
        <v>45876.0</v>
      </c>
      <c r="B12661" s="4">
        <v>0.3402777777777778</v>
      </c>
      <c r="C12661" s="5" t="s">
        <v>8</v>
      </c>
      <c r="D12661" s="5" t="s">
        <v>1704</v>
      </c>
      <c r="E12661" s="8" t="s">
        <v>271</v>
      </c>
      <c r="F12661" s="5" t="s">
        <v>1575</v>
      </c>
      <c r="G12661" s="6" t="str">
        <f>VLOOKUP(E12661,dicionario!$A$1:$C13060,2,0)</f>
        <v>Cyanthillium cinereum</v>
      </c>
      <c r="H12661" s="6" t="str">
        <f>VLOOKUP(E12661,dicionario!$A$1:$C13060,3,0)</f>
        <v>emília</v>
      </c>
    </row>
    <row r="12662">
      <c r="A12662" s="3">
        <v>45876.0</v>
      </c>
      <c r="B12662" s="4">
        <v>0.3402777777777778</v>
      </c>
      <c r="C12662" s="5" t="s">
        <v>8</v>
      </c>
      <c r="D12662" s="5" t="s">
        <v>1704</v>
      </c>
      <c r="E12662" s="6" t="s">
        <v>489</v>
      </c>
      <c r="F12662" s="5" t="s">
        <v>521</v>
      </c>
      <c r="G12662" s="6" t="str">
        <f>VLOOKUP(E12662,dicionario!$A$1:$C13061,2,0)</f>
        <v>Cenchrus echinatus</v>
      </c>
      <c r="H12662" s="6" t="str">
        <f>VLOOKUP(E12662,dicionario!$A$1:$C13061,3,0)</f>
        <v>capim-carrapicho</v>
      </c>
    </row>
    <row r="12663">
      <c r="A12663" s="3">
        <v>45876.0</v>
      </c>
      <c r="B12663" s="4">
        <v>0.34097222222222223</v>
      </c>
      <c r="C12663" s="5" t="s">
        <v>8</v>
      </c>
      <c r="D12663" s="5" t="s">
        <v>1704</v>
      </c>
      <c r="E12663" s="8" t="s">
        <v>1352</v>
      </c>
      <c r="F12663" s="5"/>
      <c r="G12663" s="6" t="str">
        <f>VLOOKUP(E12663,dicionario!$A$1:$C13062,2,0)</f>
        <v>#N/A</v>
      </c>
      <c r="H12663" s="6" t="str">
        <f>VLOOKUP(E12663,dicionario!$A$1:$C13062,3,0)</f>
        <v>#N/A</v>
      </c>
    </row>
    <row r="12664">
      <c r="A12664" s="3">
        <v>45876.0</v>
      </c>
      <c r="B12664" s="4">
        <v>0.34097222222222223</v>
      </c>
      <c r="C12664" s="5" t="s">
        <v>8</v>
      </c>
      <c r="D12664" s="5" t="s">
        <v>1704</v>
      </c>
      <c r="E12664" s="6" t="s">
        <v>353</v>
      </c>
      <c r="F12664" s="5" t="s">
        <v>354</v>
      </c>
      <c r="G12664" s="6" t="str">
        <f>VLOOKUP(E12664,dicionario!$A$1:$C13063,2,0)</f>
        <v>Desmodium incanum</v>
      </c>
      <c r="H12664" s="6" t="str">
        <f>VLOOKUP(E12664,dicionario!$A$1:$C13063,3,0)</f>
        <v>pega-pega</v>
      </c>
    </row>
    <row r="12665">
      <c r="A12665" s="3">
        <v>45876.0</v>
      </c>
      <c r="B12665" s="4">
        <v>0.34097222222222223</v>
      </c>
      <c r="C12665" s="5" t="s">
        <v>8</v>
      </c>
      <c r="D12665" s="5" t="s">
        <v>1704</v>
      </c>
      <c r="E12665" s="6" t="s">
        <v>253</v>
      </c>
      <c r="F12665" s="5" t="s">
        <v>780</v>
      </c>
      <c r="G12665" s="6" t="str">
        <f>VLOOKUP(E12665,dicionario!$A$1:$C13064,2,0)</f>
        <v>Panicum maximum</v>
      </c>
      <c r="H12665" s="6" t="str">
        <f>VLOOKUP(E12665,dicionario!$A$1:$C13064,3,0)</f>
        <v>capim-colonião</v>
      </c>
    </row>
    <row r="12666">
      <c r="A12666" s="3">
        <v>45876.0</v>
      </c>
      <c r="B12666" s="4">
        <v>0.34097222222222223</v>
      </c>
      <c r="C12666" s="5" t="s">
        <v>8</v>
      </c>
      <c r="D12666" s="5" t="s">
        <v>1704</v>
      </c>
      <c r="E12666" s="6" t="s">
        <v>111</v>
      </c>
      <c r="F12666" s="5" t="s">
        <v>112</v>
      </c>
      <c r="G12666" s="6" t="str">
        <f>VLOOKUP(E12666,dicionario!$A$1:$C13065,2,0)</f>
        <v>Trigona spinipes</v>
      </c>
      <c r="H12666" s="6" t="str">
        <f>VLOOKUP(E12666,dicionario!$A$1:$C13065,3,0)</f>
        <v>abelha-cachorro</v>
      </c>
    </row>
    <row r="12667">
      <c r="A12667" s="3">
        <v>45876.0</v>
      </c>
      <c r="B12667" s="4">
        <v>0.34097222222222223</v>
      </c>
      <c r="C12667" s="5" t="s">
        <v>8</v>
      </c>
      <c r="D12667" s="5" t="s">
        <v>1704</v>
      </c>
      <c r="E12667" s="8" t="s">
        <v>18</v>
      </c>
      <c r="F12667" s="5" t="s">
        <v>219</v>
      </c>
      <c r="G12667" s="6" t="str">
        <f>VLOOKUP(E12667,dicionario!$A$1:$C13066,2,0)</f>
        <v>Xylocopa frontalis</v>
      </c>
      <c r="H12667" s="6" t="str">
        <f>VLOOKUP(E12667,dicionario!$A$1:$C13066,3,0)</f>
        <v>Mamangava; mangangá; abelha-carpinteira</v>
      </c>
    </row>
    <row r="12668">
      <c r="A12668" s="3">
        <v>45876.0</v>
      </c>
      <c r="B12668" s="4">
        <v>0.3423611111111111</v>
      </c>
      <c r="C12668" s="5" t="s">
        <v>8</v>
      </c>
      <c r="D12668" s="5" t="s">
        <v>1704</v>
      </c>
      <c r="E12668" s="8" t="s">
        <v>624</v>
      </c>
      <c r="F12668" s="5" t="s">
        <v>133</v>
      </c>
      <c r="G12668" s="6" t="str">
        <f>VLOOKUP(E12668,dicionario!$A$1:$C13067,2,0)</f>
        <v>Euphonia violacea</v>
      </c>
      <c r="H12668" s="6" t="str">
        <f>VLOOKUP(E12668,dicionario!$A$1:$C13067,3,0)</f>
        <v>gaturamo-verdadeiro</v>
      </c>
    </row>
    <row r="12669">
      <c r="A12669" s="3">
        <v>45876.0</v>
      </c>
      <c r="B12669" s="4">
        <v>0.3423611111111111</v>
      </c>
      <c r="C12669" s="5" t="s">
        <v>8</v>
      </c>
      <c r="D12669" s="5" t="s">
        <v>1704</v>
      </c>
      <c r="E12669" s="8" t="s">
        <v>16</v>
      </c>
      <c r="F12669" s="5" t="s">
        <v>1641</v>
      </c>
      <c r="G12669" s="6" t="str">
        <f>VLOOKUP(E12669,dicionario!$A$1:$C13068,2,0)</f>
        <v>Eupetomena macroura</v>
      </c>
      <c r="H12669" s="6" t="str">
        <f>VLOOKUP(E12669,dicionario!$A$1:$C13068,3,0)</f>
        <v>beija-flor-tesoura</v>
      </c>
    </row>
    <row r="12670">
      <c r="A12670" s="3">
        <v>45876.0</v>
      </c>
      <c r="B12670" s="4">
        <v>0.34444444444444444</v>
      </c>
      <c r="C12670" s="5" t="s">
        <v>8</v>
      </c>
      <c r="D12670" s="5" t="s">
        <v>1704</v>
      </c>
      <c r="E12670" s="9" t="s">
        <v>105</v>
      </c>
      <c r="F12670" s="5" t="s">
        <v>842</v>
      </c>
      <c r="G12670" s="6" t="str">
        <f>VLOOKUP(E12670,dicionario!$A$1:$C13069,2,0)</f>
        <v>Progne tapera</v>
      </c>
      <c r="H12670" s="6" t="str">
        <f>VLOOKUP(E12670,dicionario!$A$1:$C13069,3,0)</f>
        <v>andorinha-do-campo</v>
      </c>
    </row>
    <row r="12671">
      <c r="A12671" s="3">
        <v>45876.0</v>
      </c>
      <c r="B12671" s="4">
        <v>0.3451388888888889</v>
      </c>
      <c r="C12671" s="5" t="s">
        <v>8</v>
      </c>
      <c r="D12671" s="5" t="s">
        <v>1704</v>
      </c>
      <c r="E12671" s="8" t="s">
        <v>146</v>
      </c>
      <c r="F12671" s="5" t="s">
        <v>794</v>
      </c>
      <c r="G12671" s="6" t="str">
        <f>VLOOKUP(E12671,dicionario!$A$1:$C13070,2,0)</f>
        <v>Euphorbia hirta</v>
      </c>
      <c r="H12671" s="6" t="str">
        <f>VLOOKUP(E12671,dicionario!$A$1:$C13070,3,0)</f>
        <v>erva-de-santa-luzia</v>
      </c>
    </row>
    <row r="12672">
      <c r="A12672" s="3">
        <v>45876.0</v>
      </c>
      <c r="B12672" s="4">
        <v>0.3451388888888889</v>
      </c>
      <c r="C12672" s="5" t="s">
        <v>8</v>
      </c>
      <c r="D12672" s="5" t="s">
        <v>1704</v>
      </c>
      <c r="E12672" s="8" t="s">
        <v>135</v>
      </c>
      <c r="F12672" s="5" t="s">
        <v>833</v>
      </c>
      <c r="G12672" s="6" t="str">
        <f>VLOOKUP(E12672,dicionario!$A$1:$C13071,2,0)</f>
        <v>Tridax procumbens</v>
      </c>
      <c r="H12672" s="6" t="str">
        <f>VLOOKUP(E12672,dicionario!$A$1:$C13071,3,0)</f>
        <v>erva-de-touro</v>
      </c>
    </row>
    <row r="12673">
      <c r="A12673" s="3">
        <v>45876.0</v>
      </c>
      <c r="B12673" s="4">
        <v>0.3458333333333333</v>
      </c>
      <c r="C12673" s="5" t="s">
        <v>8</v>
      </c>
      <c r="D12673" s="5" t="s">
        <v>1704</v>
      </c>
      <c r="E12673" s="8" t="s">
        <v>909</v>
      </c>
      <c r="F12673" s="5" t="s">
        <v>1636</v>
      </c>
      <c r="G12673" s="6" t="str">
        <f>VLOOKUP(E12673,dicionario!$A$1:$C13072,2,0)</f>
        <v>Chordeiles acutipennis</v>
      </c>
      <c r="H12673" s="6" t="str">
        <f>VLOOKUP(E12673,dicionario!$A$1:$C13072,3,0)</f>
        <v>bacurau-de-asa-fina</v>
      </c>
    </row>
    <row r="12674">
      <c r="A12674" s="3">
        <v>45876.0</v>
      </c>
      <c r="B12674" s="4">
        <v>0.3472222222222222</v>
      </c>
      <c r="C12674" s="5" t="s">
        <v>8</v>
      </c>
      <c r="D12674" s="5" t="s">
        <v>1704</v>
      </c>
      <c r="E12674" s="6" t="s">
        <v>163</v>
      </c>
      <c r="F12674" s="5" t="s">
        <v>1684</v>
      </c>
      <c r="G12674" s="6" t="str">
        <f>VLOOKUP(E12674,dicionario!$A$1:$C13073,2,0)</f>
        <v>Coragyps atratus</v>
      </c>
      <c r="H12674" s="6" t="str">
        <f>VLOOKUP(E12674,dicionario!$A$1:$C13073,3,0)</f>
        <v>urubu-de-cabeça-preta</v>
      </c>
    </row>
    <row r="12675">
      <c r="A12675" s="3">
        <v>45884.0</v>
      </c>
      <c r="B12675" s="4">
        <v>0.2701388888888889</v>
      </c>
      <c r="C12675" s="5" t="s">
        <v>8</v>
      </c>
      <c r="D12675" s="5" t="s">
        <v>1739</v>
      </c>
      <c r="E12675" s="8" t="s">
        <v>258</v>
      </c>
      <c r="F12675" s="5" t="s">
        <v>1740</v>
      </c>
      <c r="G12675" s="6" t="str">
        <f>VLOOKUP(E12675,dicionario!$A$1:$C13074,2,0)</f>
        <v>Lantana camara</v>
      </c>
      <c r="H12675" s="6" t="str">
        <f>VLOOKUP(E12675,dicionario!$A$1:$C13074,3,0)</f>
        <v>lantana</v>
      </c>
    </row>
    <row r="12676">
      <c r="A12676" s="3">
        <v>45884.0</v>
      </c>
      <c r="B12676" s="4">
        <v>0.2701388888888889</v>
      </c>
      <c r="C12676" s="5" t="s">
        <v>8</v>
      </c>
      <c r="D12676" s="5" t="s">
        <v>1739</v>
      </c>
      <c r="E12676" s="8" t="s">
        <v>302</v>
      </c>
      <c r="F12676" s="5" t="s">
        <v>1741</v>
      </c>
      <c r="G12676" s="6" t="str">
        <f>VLOOKUP(E12676,dicionario!$A$1:$C13075,2,0)</f>
        <v>Machetornis rixosa</v>
      </c>
      <c r="H12676" s="6" t="str">
        <f>VLOOKUP(E12676,dicionario!$A$1:$C13075,3,0)</f>
        <v>suiriri-cavaleiro</v>
      </c>
    </row>
    <row r="12677">
      <c r="A12677" s="3">
        <v>45884.0</v>
      </c>
      <c r="B12677" s="4">
        <v>0.2701388888888889</v>
      </c>
      <c r="C12677" s="5" t="s">
        <v>8</v>
      </c>
      <c r="D12677" s="5" t="s">
        <v>1739</v>
      </c>
      <c r="E12677" s="8" t="s">
        <v>712</v>
      </c>
      <c r="F12677" s="5" t="s">
        <v>1742</v>
      </c>
      <c r="G12677" s="6" t="str">
        <f>VLOOKUP(E12677,dicionario!$A$1:$C13076,2,0)</f>
        <v>Flavopunctelia soredica</v>
      </c>
      <c r="H12677" s="6" t="str">
        <f>VLOOKUP(E12677,dicionario!$A$1:$C13076,3,0)</f>
        <v>líquen-folioso</v>
      </c>
    </row>
    <row r="12678">
      <c r="A12678" s="3">
        <v>45884.0</v>
      </c>
      <c r="B12678" s="4">
        <v>0.2701388888888889</v>
      </c>
      <c r="C12678" s="5" t="s">
        <v>8</v>
      </c>
      <c r="D12678" s="5" t="s">
        <v>1739</v>
      </c>
      <c r="E12678" s="8" t="s">
        <v>122</v>
      </c>
      <c r="F12678" s="5" t="s">
        <v>1528</v>
      </c>
      <c r="G12678" s="6" t="str">
        <f>VLOOKUP(E12678,dicionario!$A$1:$C13077,2,0)</f>
        <v>Todirostrum cinereum</v>
      </c>
      <c r="H12678" s="6" t="str">
        <f>VLOOKUP(E12678,dicionario!$A$1:$C13077,3,0)</f>
        <v>ferreirinho-relógio</v>
      </c>
    </row>
    <row r="12679">
      <c r="A12679" s="3">
        <v>45884.0</v>
      </c>
      <c r="B12679" s="4">
        <v>0.2701388888888889</v>
      </c>
      <c r="C12679" s="5" t="s">
        <v>8</v>
      </c>
      <c r="D12679" s="5" t="s">
        <v>1739</v>
      </c>
      <c r="E12679" s="8" t="s">
        <v>107</v>
      </c>
      <c r="F12679" s="5" t="s">
        <v>834</v>
      </c>
      <c r="G12679" s="6" t="str">
        <f>VLOOKUP(E12679,dicionario!$A$1:$C13078,2,0)</f>
        <v>Ramalina complanata</v>
      </c>
      <c r="H12679" s="6" t="str">
        <f>VLOOKUP(E12679,dicionario!$A$1:$C13078,3,0)</f>
        <v>ramalina</v>
      </c>
    </row>
    <row r="12680">
      <c r="A12680" s="3">
        <v>45884.0</v>
      </c>
      <c r="B12680" s="4">
        <v>0.2701388888888889</v>
      </c>
      <c r="C12680" s="5" t="s">
        <v>8</v>
      </c>
      <c r="D12680" s="5" t="s">
        <v>1739</v>
      </c>
      <c r="E12680" s="8" t="s">
        <v>844</v>
      </c>
      <c r="F12680" s="5" t="s">
        <v>969</v>
      </c>
      <c r="G12680" s="6" t="str">
        <f>VLOOKUP(E12680,dicionario!$A$1:$C13079,2,0)</f>
        <v>#N/A</v>
      </c>
      <c r="H12680" s="6" t="str">
        <f>VLOOKUP(E12680,dicionario!$A$1:$C13079,3,0)</f>
        <v>#N/A</v>
      </c>
    </row>
    <row r="12681">
      <c r="A12681" s="3">
        <v>45884.0</v>
      </c>
      <c r="B12681" s="4">
        <v>0.2701388888888889</v>
      </c>
      <c r="C12681" s="5" t="s">
        <v>8</v>
      </c>
      <c r="D12681" s="5" t="s">
        <v>1739</v>
      </c>
      <c r="E12681" s="6" t="s">
        <v>286</v>
      </c>
      <c r="F12681" s="5" t="s">
        <v>287</v>
      </c>
      <c r="G12681" s="6" t="str">
        <f>VLOOKUP(E12681,dicionario!$A$1:$C13080,2,0)</f>
        <v>Setaria parviflora</v>
      </c>
      <c r="H12681" s="6" t="str">
        <f>VLOOKUP(E12681,dicionario!$A$1:$C13080,3,0)</f>
        <v>capim-rabo-de-raposa</v>
      </c>
    </row>
    <row r="12682">
      <c r="A12682" s="3">
        <v>45884.0</v>
      </c>
      <c r="B12682" s="4">
        <v>0.2701388888888889</v>
      </c>
      <c r="C12682" s="5" t="s">
        <v>8</v>
      </c>
      <c r="D12682" s="5" t="s">
        <v>1739</v>
      </c>
      <c r="E12682" s="6" t="s">
        <v>177</v>
      </c>
      <c r="F12682" s="5" t="s">
        <v>178</v>
      </c>
      <c r="G12682" s="6" t="str">
        <f>VLOOKUP(E12682,dicionario!$A$1:$C13081,2,0)</f>
        <v>Elaenia flavogaster</v>
      </c>
      <c r="H12682" s="6" t="str">
        <f>VLOOKUP(E12682,dicionario!$A$1:$C13081,3,0)</f>
        <v>guaracava-de-barriga-amarela</v>
      </c>
    </row>
    <row r="12683">
      <c r="A12683" s="3">
        <v>45884.0</v>
      </c>
      <c r="B12683" s="4">
        <v>0.2701388888888889</v>
      </c>
      <c r="C12683" s="5" t="s">
        <v>8</v>
      </c>
      <c r="D12683" s="5" t="s">
        <v>1739</v>
      </c>
      <c r="E12683" s="8" t="s">
        <v>22</v>
      </c>
      <c r="F12683" s="5" t="s">
        <v>1743</v>
      </c>
      <c r="G12683" s="6" t="str">
        <f>VLOOKUP(E12683,dicionario!$A$1:$C13082,2,0)</f>
        <v>Zenaida auriculata</v>
      </c>
      <c r="H12683" s="6" t="str">
        <f>VLOOKUP(E12683,dicionario!$A$1:$C13082,3,0)</f>
        <v>pomba-de-bando; avoante</v>
      </c>
    </row>
    <row r="12684">
      <c r="A12684" s="3">
        <v>45884.0</v>
      </c>
      <c r="B12684" s="4">
        <v>0.27152777777777776</v>
      </c>
      <c r="C12684" s="5" t="s">
        <v>8</v>
      </c>
      <c r="D12684" s="5" t="s">
        <v>1739</v>
      </c>
      <c r="E12684" s="8" t="s">
        <v>390</v>
      </c>
      <c r="F12684" s="5" t="s">
        <v>1744</v>
      </c>
      <c r="G12684" s="6" t="str">
        <f>VLOOKUP(E12684,dicionario!$A$1:$C13083,2,0)</f>
        <v>Oxalis barrelieri</v>
      </c>
      <c r="H12684" s="6" t="str">
        <f>VLOOKUP(E12684,dicionario!$A$1:$C13083,3,0)</f>
        <v>erva-azeda; azedinha </v>
      </c>
    </row>
    <row r="12685">
      <c r="A12685" s="3">
        <v>45884.0</v>
      </c>
      <c r="B12685" s="4">
        <v>0.27152777777777776</v>
      </c>
      <c r="C12685" s="5" t="s">
        <v>8</v>
      </c>
      <c r="D12685" s="5" t="s">
        <v>1739</v>
      </c>
      <c r="E12685" s="8" t="s">
        <v>20</v>
      </c>
      <c r="F12685" s="5" t="s">
        <v>21</v>
      </c>
      <c r="G12685" s="6" t="str">
        <f>VLOOKUP(E12685,dicionario!$A$1:$C13084,2,0)</f>
        <v>Sicalis flaveola</v>
      </c>
      <c r="H12685" s="6" t="str">
        <f>VLOOKUP(E12685,dicionario!$A$1:$C13084,3,0)</f>
        <v>canário-da-terra</v>
      </c>
    </row>
    <row r="12686">
      <c r="A12686" s="3">
        <v>45884.0</v>
      </c>
      <c r="B12686" s="4">
        <v>0.27152777777777776</v>
      </c>
      <c r="C12686" s="5" t="s">
        <v>8</v>
      </c>
      <c r="D12686" s="5" t="s">
        <v>1739</v>
      </c>
      <c r="E12686" s="72" t="s">
        <v>223</v>
      </c>
      <c r="F12686" s="5"/>
      <c r="G12686" s="6" t="str">
        <f>VLOOKUP(E12686,dicionario!$A$1:$C13085,2,0)</f>
        <v>Rhipsalis lindbergiana</v>
      </c>
      <c r="H12686" s="6" t="str">
        <f>VLOOKUP(E12686,dicionario!$A$1:$C13085,3,0)</f>
        <v>cacto-macarrão</v>
      </c>
    </row>
    <row r="12687">
      <c r="A12687" s="3">
        <v>45884.0</v>
      </c>
      <c r="B12687" s="4">
        <v>0.27152777777777776</v>
      </c>
      <c r="C12687" s="5" t="s">
        <v>8</v>
      </c>
      <c r="D12687" s="5" t="s">
        <v>1739</v>
      </c>
      <c r="E12687" s="8" t="s">
        <v>162</v>
      </c>
      <c r="F12687" s="5" t="s">
        <v>1362</v>
      </c>
      <c r="G12687" s="6" t="str">
        <f>VLOOKUP(E12687,dicionario!$A$1:$C13086,2,0)</f>
        <v>Fluvicola nengeta</v>
      </c>
      <c r="H12687" s="6" t="str">
        <f>VLOOKUP(E12687,dicionario!$A$1:$C13086,3,0)</f>
        <v>lavadeira-mascarada</v>
      </c>
    </row>
    <row r="12688">
      <c r="A12688" s="3">
        <v>45884.0</v>
      </c>
      <c r="B12688" s="4">
        <v>0.27152777777777776</v>
      </c>
      <c r="C12688" s="5" t="s">
        <v>8</v>
      </c>
      <c r="D12688" s="5" t="s">
        <v>1739</v>
      </c>
      <c r="E12688" s="8" t="s">
        <v>14</v>
      </c>
      <c r="F12688" s="5" t="s">
        <v>15</v>
      </c>
      <c r="G12688" s="6" t="str">
        <f>VLOOKUP(E12688,dicionario!$A$1:$C13087,2,0)</f>
        <v>Spermacoce verticillata</v>
      </c>
      <c r="H12688" s="6" t="str">
        <f>VLOOKUP(E12688,dicionario!$A$1:$C13087,3,0)</f>
        <v>vassourinha-de-botão</v>
      </c>
    </row>
    <row r="12689">
      <c r="A12689" s="3">
        <v>45884.0</v>
      </c>
      <c r="B12689" s="4">
        <v>0.27152777777777776</v>
      </c>
      <c r="C12689" s="5" t="s">
        <v>8</v>
      </c>
      <c r="D12689" s="5" t="s">
        <v>1739</v>
      </c>
      <c r="E12689" s="8" t="s">
        <v>1344</v>
      </c>
      <c r="F12689" s="5" t="s">
        <v>1360</v>
      </c>
      <c r="G12689" s="6" t="str">
        <f>VLOOKUP(E12689,dicionario!$A$1:$C13088,2,0)</f>
        <v>#N/A</v>
      </c>
      <c r="H12689" s="6" t="str">
        <f>VLOOKUP(E12689,dicionario!$A$1:$C13088,3,0)</f>
        <v>#N/A</v>
      </c>
    </row>
    <row r="12690">
      <c r="A12690" s="3">
        <v>45884.0</v>
      </c>
      <c r="B12690" s="4">
        <v>0.27152777777777776</v>
      </c>
      <c r="C12690" s="5" t="s">
        <v>8</v>
      </c>
      <c r="D12690" s="5" t="s">
        <v>1739</v>
      </c>
      <c r="E12690" s="6" t="s">
        <v>86</v>
      </c>
      <c r="F12690" s="5" t="s">
        <v>502</v>
      </c>
      <c r="G12690" s="6" t="str">
        <f>VLOOKUP(E12690,dicionario!$A$1:$C13089,2,0)</f>
        <v>Coereba flaveola</v>
      </c>
      <c r="H12690" s="6" t="str">
        <f>VLOOKUP(E12690,dicionario!$A$1:$C13089,3,0)</f>
        <v>cambacica</v>
      </c>
    </row>
    <row r="12691">
      <c r="A12691" s="3">
        <v>45884.0</v>
      </c>
      <c r="B12691" s="4">
        <v>0.27152777777777776</v>
      </c>
      <c r="C12691" s="5" t="s">
        <v>8</v>
      </c>
      <c r="D12691" s="5" t="s">
        <v>1739</v>
      </c>
      <c r="E12691" s="8" t="s">
        <v>109</v>
      </c>
      <c r="F12691" s="5" t="s">
        <v>110</v>
      </c>
      <c r="G12691" s="6" t="str">
        <f>VLOOKUP(E12691,dicionario!$A$1:$C13090,2,0)</f>
        <v>Tillandsia stricta</v>
      </c>
      <c r="H12691" s="6" t="str">
        <f>VLOOKUP(E12691,dicionario!$A$1:$C13090,3,0)</f>
        <v>cravo-do-mato</v>
      </c>
    </row>
    <row r="12692">
      <c r="A12692" s="3">
        <v>45884.0</v>
      </c>
      <c r="B12692" s="4">
        <v>0.2722222222222222</v>
      </c>
      <c r="C12692" s="5" t="s">
        <v>8</v>
      </c>
      <c r="D12692" s="5" t="s">
        <v>1739</v>
      </c>
      <c r="E12692" s="8" t="s">
        <v>909</v>
      </c>
      <c r="F12692" s="5" t="s">
        <v>1636</v>
      </c>
      <c r="G12692" s="6" t="str">
        <f>VLOOKUP(E12692,dicionario!$A$1:$C13091,2,0)</f>
        <v>Chordeiles acutipennis</v>
      </c>
      <c r="H12692" s="6" t="str">
        <f>VLOOKUP(E12692,dicionario!$A$1:$C13091,3,0)</f>
        <v>bacurau-de-asa-fina</v>
      </c>
    </row>
    <row r="12693">
      <c r="A12693" s="3">
        <v>45884.0</v>
      </c>
      <c r="B12693" s="4">
        <v>0.2722222222222222</v>
      </c>
      <c r="C12693" s="5" t="s">
        <v>8</v>
      </c>
      <c r="D12693" s="5" t="s">
        <v>1739</v>
      </c>
      <c r="E12693" s="6" t="s">
        <v>489</v>
      </c>
      <c r="F12693" s="5" t="s">
        <v>521</v>
      </c>
      <c r="G12693" s="6" t="str">
        <f>VLOOKUP(E12693,dicionario!$A$1:$C13092,2,0)</f>
        <v>Cenchrus echinatus</v>
      </c>
      <c r="H12693" s="6" t="str">
        <f>VLOOKUP(E12693,dicionario!$A$1:$C13092,3,0)</f>
        <v>capim-carrapicho</v>
      </c>
    </row>
    <row r="12694">
      <c r="A12694" s="3">
        <v>45884.0</v>
      </c>
      <c r="B12694" s="4">
        <v>0.2722222222222222</v>
      </c>
      <c r="C12694" s="5" t="s">
        <v>8</v>
      </c>
      <c r="D12694" s="5" t="s">
        <v>1739</v>
      </c>
      <c r="E12694" s="72" t="s">
        <v>298</v>
      </c>
      <c r="F12694" s="5"/>
      <c r="G12694" s="6" t="str">
        <f>VLOOKUP(E12694,dicionario!$A$1:$C13093,2,0)</f>
        <v>Alysicarpus vaginalis</v>
      </c>
      <c r="H12694" s="6" t="str">
        <f>VLOOKUP(E12694,dicionario!$A$1:$C13093,3,0)</f>
        <v/>
      </c>
    </row>
    <row r="12695">
      <c r="A12695" s="3">
        <v>45884.0</v>
      </c>
      <c r="B12695" s="4">
        <v>0.2722222222222222</v>
      </c>
      <c r="C12695" s="5" t="s">
        <v>8</v>
      </c>
      <c r="D12695" s="5" t="s">
        <v>1739</v>
      </c>
      <c r="E12695" s="6" t="s">
        <v>353</v>
      </c>
      <c r="F12695" s="5" t="s">
        <v>354</v>
      </c>
      <c r="G12695" s="6" t="str">
        <f>VLOOKUP(E12695,dicionario!$A$1:$C13094,2,0)</f>
        <v>Desmodium incanum</v>
      </c>
      <c r="H12695" s="6" t="str">
        <f>VLOOKUP(E12695,dicionario!$A$1:$C13094,3,0)</f>
        <v>pega-pega</v>
      </c>
    </row>
    <row r="12696">
      <c r="A12696" s="3">
        <v>45884.0</v>
      </c>
      <c r="B12696" s="4">
        <v>0.2722222222222222</v>
      </c>
      <c r="C12696" s="5" t="s">
        <v>8</v>
      </c>
      <c r="D12696" s="5" t="s">
        <v>1739</v>
      </c>
      <c r="E12696" s="6" t="s">
        <v>60</v>
      </c>
      <c r="F12696" s="5" t="s">
        <v>61</v>
      </c>
      <c r="G12696" s="6" t="str">
        <f>VLOOKUP(E12696,dicionario!$A$1:$C13095,2,0)</f>
        <v>Vanellus chilensis</v>
      </c>
      <c r="H12696" s="6" t="str">
        <f>VLOOKUP(E12696,dicionario!$A$1:$C13095,3,0)</f>
        <v>quero-quero</v>
      </c>
    </row>
    <row r="12697">
      <c r="A12697" s="3">
        <v>45884.0</v>
      </c>
      <c r="B12697" s="4">
        <v>0.2722222222222222</v>
      </c>
      <c r="C12697" s="5" t="s">
        <v>8</v>
      </c>
      <c r="D12697" s="5" t="s">
        <v>1739</v>
      </c>
      <c r="E12697" s="6" t="s">
        <v>65</v>
      </c>
      <c r="F12697" s="5" t="s">
        <v>66</v>
      </c>
      <c r="G12697" s="6" t="str">
        <f>VLOOKUP(E12697,dicionario!$A$1:$C13096,2,0)</f>
        <v>Pitangus sulphutarus</v>
      </c>
      <c r="H12697" s="6" t="str">
        <f>VLOOKUP(E12697,dicionario!$A$1:$C13096,3,0)</f>
        <v>bem-te-vi</v>
      </c>
    </row>
    <row r="12698">
      <c r="A12698" s="3">
        <v>45884.0</v>
      </c>
      <c r="B12698" s="4">
        <v>0.27291666666666664</v>
      </c>
      <c r="C12698" s="5" t="s">
        <v>8</v>
      </c>
      <c r="D12698" s="5" t="s">
        <v>1739</v>
      </c>
      <c r="E12698" s="6" t="s">
        <v>163</v>
      </c>
      <c r="F12698" s="5" t="s">
        <v>1684</v>
      </c>
      <c r="G12698" s="6" t="str">
        <f>VLOOKUP(E12698,dicionario!$A$1:$C13097,2,0)</f>
        <v>Coragyps atratus</v>
      </c>
      <c r="H12698" s="6" t="str">
        <f>VLOOKUP(E12698,dicionario!$A$1:$C13097,3,0)</f>
        <v>urubu-de-cabeça-preta</v>
      </c>
    </row>
    <row r="12699">
      <c r="A12699" s="3">
        <v>45884.0</v>
      </c>
      <c r="B12699" s="4">
        <v>0.27291666666666664</v>
      </c>
      <c r="C12699" s="5" t="s">
        <v>8</v>
      </c>
      <c r="D12699" s="5" t="s">
        <v>1739</v>
      </c>
      <c r="E12699" s="8" t="s">
        <v>135</v>
      </c>
      <c r="F12699" s="5" t="s">
        <v>833</v>
      </c>
      <c r="G12699" s="6" t="str">
        <f>VLOOKUP(E12699,dicionario!$A$1:$C13098,2,0)</f>
        <v>Tridax procumbens</v>
      </c>
      <c r="H12699" s="6" t="str">
        <f>VLOOKUP(E12699,dicionario!$A$1:$C13098,3,0)</f>
        <v>erva-de-touro</v>
      </c>
    </row>
    <row r="12700">
      <c r="A12700" s="3">
        <v>45884.0</v>
      </c>
      <c r="B12700" s="4">
        <v>0.27291666666666664</v>
      </c>
      <c r="C12700" s="5" t="s">
        <v>8</v>
      </c>
      <c r="D12700" s="5" t="s">
        <v>1739</v>
      </c>
      <c r="E12700" s="6" t="s">
        <v>227</v>
      </c>
      <c r="F12700" s="5" t="s">
        <v>228</v>
      </c>
      <c r="G12700" s="6" t="str">
        <f>VLOOKUP(E12700,dicionario!$A$1:$C13099,2,0)</f>
        <v>Indigofera hirsuta</v>
      </c>
      <c r="H12700" s="6" t="str">
        <f>VLOOKUP(E12700,dicionario!$A$1:$C13099,3,0)</f>
        <v>anileira</v>
      </c>
    </row>
    <row r="12701">
      <c r="A12701" s="3">
        <v>45884.0</v>
      </c>
      <c r="B12701" s="4">
        <v>0.27291666666666664</v>
      </c>
      <c r="C12701" s="5" t="s">
        <v>8</v>
      </c>
      <c r="D12701" s="5" t="s">
        <v>1739</v>
      </c>
      <c r="E12701" s="6" t="s">
        <v>191</v>
      </c>
      <c r="F12701" s="5" t="s">
        <v>771</v>
      </c>
      <c r="G12701" s="6" t="str">
        <f>VLOOKUP(E12701,dicionario!$A$1:$C13100,2,0)</f>
        <v>Patagioenas picazuro</v>
      </c>
      <c r="H12701" s="6" t="str">
        <f>VLOOKUP(E12701,dicionario!$A$1:$C13100,3,0)</f>
        <v>asa-branca; pomba-asa-branca; pocaçu</v>
      </c>
    </row>
    <row r="12702">
      <c r="A12702" s="3">
        <v>45884.0</v>
      </c>
      <c r="B12702" s="4">
        <v>0.2743055555555556</v>
      </c>
      <c r="C12702" s="5" t="s">
        <v>8</v>
      </c>
      <c r="D12702" s="5" t="s">
        <v>1739</v>
      </c>
      <c r="E12702" s="8" t="s">
        <v>1008</v>
      </c>
      <c r="F12702" s="5" t="s">
        <v>1013</v>
      </c>
      <c r="G12702" s="6" t="str">
        <f>VLOOKUP(E12702,dicionario!$A$1:$C13101,2,0)</f>
        <v>Syntermes molestus</v>
      </c>
      <c r="H12702" s="6" t="str">
        <f>VLOOKUP(E12702,dicionario!$A$1:$C13101,3,0)</f>
        <v>cupim-bate-cabeça</v>
      </c>
    </row>
    <row r="12703">
      <c r="A12703" s="3">
        <v>45884.0</v>
      </c>
      <c r="B12703" s="4">
        <v>0.2743055555555556</v>
      </c>
      <c r="C12703" s="5" t="s">
        <v>8</v>
      </c>
      <c r="D12703" s="5" t="s">
        <v>1739</v>
      </c>
      <c r="E12703" s="53" t="s">
        <v>111</v>
      </c>
      <c r="F12703" s="5" t="s">
        <v>1719</v>
      </c>
      <c r="G12703" s="6" t="str">
        <f>VLOOKUP(E12703,dicionario!$A$1:$C13102,2,0)</f>
        <v>Trigona spinipes</v>
      </c>
      <c r="H12703" s="6" t="str">
        <f>VLOOKUP(E12703,dicionario!$A$1:$C13102,3,0)</f>
        <v>abelha-cachorro</v>
      </c>
    </row>
    <row r="12704">
      <c r="A12704" s="3">
        <v>45884.0</v>
      </c>
      <c r="B12704" s="4">
        <v>0.2743055555555556</v>
      </c>
      <c r="C12704" s="5" t="s">
        <v>26</v>
      </c>
      <c r="D12704" s="5" t="s">
        <v>1739</v>
      </c>
      <c r="E12704" s="6" t="s">
        <v>217</v>
      </c>
      <c r="F12704" s="5" t="s">
        <v>1372</v>
      </c>
      <c r="G12704" s="6" t="str">
        <f>VLOOKUP(E12704,dicionario!$A$1:$C13103,2,0)</f>
        <v>Athene cunicularia</v>
      </c>
      <c r="H12704" s="6" t="str">
        <f>VLOOKUP(E12704,dicionario!$A$1:$C13103,3,0)</f>
        <v>coruja-buraqueira</v>
      </c>
    </row>
    <row r="12705">
      <c r="A12705" s="3">
        <v>45884.0</v>
      </c>
      <c r="B12705" s="4">
        <v>0.27569444444444446</v>
      </c>
      <c r="C12705" s="5" t="s">
        <v>26</v>
      </c>
      <c r="D12705" s="5" t="s">
        <v>1739</v>
      </c>
      <c r="E12705" s="6" t="s">
        <v>60</v>
      </c>
      <c r="F12705" s="5" t="s">
        <v>61</v>
      </c>
      <c r="G12705" s="6" t="str">
        <f>VLOOKUP(E12705,dicionario!$A$1:$C13104,2,0)</f>
        <v>Vanellus chilensis</v>
      </c>
      <c r="H12705" s="6" t="str">
        <f>VLOOKUP(E12705,dicionario!$A$1:$C13104,3,0)</f>
        <v>quero-quero</v>
      </c>
    </row>
    <row r="12706">
      <c r="A12706" s="3">
        <v>45884.0</v>
      </c>
      <c r="B12706" s="4">
        <v>0.27569444444444446</v>
      </c>
      <c r="C12706" s="5" t="s">
        <v>26</v>
      </c>
      <c r="D12706" s="5" t="s">
        <v>1739</v>
      </c>
      <c r="E12706" s="6" t="s">
        <v>334</v>
      </c>
      <c r="F12706" s="5" t="s">
        <v>335</v>
      </c>
      <c r="G12706" s="6" t="str">
        <f>VLOOKUP(E12706,dicionario!$A$1:$C13105,2,0)</f>
        <v>Eupsittula aurea</v>
      </c>
      <c r="H12706" s="6" t="str">
        <f>VLOOKUP(E12706,dicionario!$A$1:$C13105,3,0)</f>
        <v>periquito-rei</v>
      </c>
    </row>
    <row r="12707">
      <c r="A12707" s="3">
        <v>45884.0</v>
      </c>
      <c r="B12707" s="4">
        <v>0.27569444444444446</v>
      </c>
      <c r="C12707" s="5" t="s">
        <v>26</v>
      </c>
      <c r="D12707" s="5" t="s">
        <v>1739</v>
      </c>
      <c r="E12707" s="8" t="s">
        <v>135</v>
      </c>
      <c r="F12707" s="5" t="s">
        <v>833</v>
      </c>
      <c r="G12707" s="6" t="str">
        <f>VLOOKUP(E12707,dicionario!$A$1:$C13106,2,0)</f>
        <v>Tridax procumbens</v>
      </c>
      <c r="H12707" s="6" t="str">
        <f>VLOOKUP(E12707,dicionario!$A$1:$C13106,3,0)</f>
        <v>erva-de-touro</v>
      </c>
    </row>
    <row r="12708">
      <c r="A12708" s="3">
        <v>45884.0</v>
      </c>
      <c r="B12708" s="4">
        <v>0.27569444444444446</v>
      </c>
      <c r="C12708" s="5" t="s">
        <v>26</v>
      </c>
      <c r="D12708" s="5" t="s">
        <v>1739</v>
      </c>
      <c r="E12708" s="8" t="s">
        <v>14</v>
      </c>
      <c r="F12708" s="5" t="s">
        <v>15</v>
      </c>
      <c r="G12708" s="6" t="str">
        <f>VLOOKUP(E12708,dicionario!$A$1:$C13107,2,0)</f>
        <v>Spermacoce verticillata</v>
      </c>
      <c r="H12708" s="6" t="str">
        <f>VLOOKUP(E12708,dicionario!$A$1:$C13107,3,0)</f>
        <v>vassourinha-de-botão</v>
      </c>
    </row>
    <row r="12709">
      <c r="A12709" s="3">
        <v>45884.0</v>
      </c>
      <c r="B12709" s="4">
        <v>0.2763888888888889</v>
      </c>
      <c r="C12709" s="5" t="s">
        <v>26</v>
      </c>
      <c r="D12709" s="5" t="s">
        <v>1739</v>
      </c>
      <c r="E12709" s="8" t="s">
        <v>498</v>
      </c>
      <c r="F12709" s="5" t="s">
        <v>499</v>
      </c>
      <c r="G12709" s="6" t="str">
        <f>VLOOKUP(E12709,dicionario!$A$1:$C13108,2,0)</f>
        <v>Brachiaria decumbens</v>
      </c>
      <c r="H12709" s="6" t="str">
        <f>VLOOKUP(E12709,dicionario!$A$1:$C13108,3,0)</f>
        <v>capim-braquiária</v>
      </c>
    </row>
    <row r="12710">
      <c r="A12710" s="3">
        <v>45884.0</v>
      </c>
      <c r="B12710" s="4">
        <v>0.2763888888888889</v>
      </c>
      <c r="C12710" s="5" t="s">
        <v>26</v>
      </c>
      <c r="D12710" s="5" t="s">
        <v>1739</v>
      </c>
      <c r="E12710" s="6" t="s">
        <v>154</v>
      </c>
      <c r="F12710" s="5" t="s">
        <v>155</v>
      </c>
      <c r="G12710" s="6" t="str">
        <f>VLOOKUP(E12710,dicionario!$A$1:$C13109,2,0)</f>
        <v>Cyperus rotundus</v>
      </c>
      <c r="H12710" s="6" t="str">
        <f>VLOOKUP(E12710,dicionario!$A$1:$C13109,3,0)</f>
        <v>tiririca</v>
      </c>
    </row>
    <row r="12711">
      <c r="A12711" s="3">
        <v>45884.0</v>
      </c>
      <c r="B12711" s="4">
        <v>0.2763888888888889</v>
      </c>
      <c r="C12711" s="5" t="s">
        <v>26</v>
      </c>
      <c r="D12711" s="5" t="s">
        <v>1739</v>
      </c>
      <c r="E12711" s="8" t="s">
        <v>109</v>
      </c>
      <c r="F12711" s="5" t="s">
        <v>110</v>
      </c>
      <c r="G12711" s="6" t="str">
        <f>VLOOKUP(E12711,dicionario!$A$1:$C13110,2,0)</f>
        <v>Tillandsia stricta</v>
      </c>
      <c r="H12711" s="6" t="str">
        <f>VLOOKUP(E12711,dicionario!$A$1:$C13110,3,0)</f>
        <v>cravo-do-mato</v>
      </c>
    </row>
    <row r="12712">
      <c r="A12712" s="3">
        <v>45884.0</v>
      </c>
      <c r="B12712" s="4">
        <v>0.2763888888888889</v>
      </c>
      <c r="C12712" s="5" t="s">
        <v>26</v>
      </c>
      <c r="D12712" s="5" t="s">
        <v>1739</v>
      </c>
      <c r="E12712" s="8" t="s">
        <v>122</v>
      </c>
      <c r="F12712" s="5" t="s">
        <v>1458</v>
      </c>
      <c r="G12712" s="6" t="str">
        <f>VLOOKUP(E12712,dicionario!$A$1:$C13111,2,0)</f>
        <v>Todirostrum cinereum</v>
      </c>
      <c r="H12712" s="6" t="str">
        <f>VLOOKUP(E12712,dicionario!$A$1:$C13111,3,0)</f>
        <v>ferreirinho-relógio</v>
      </c>
    </row>
    <row r="12713">
      <c r="A12713" s="3">
        <v>45884.0</v>
      </c>
      <c r="B12713" s="4">
        <v>0.27708333333333335</v>
      </c>
      <c r="C12713" s="5" t="s">
        <v>26</v>
      </c>
      <c r="D12713" s="5" t="s">
        <v>1739</v>
      </c>
      <c r="E12713" s="6" t="s">
        <v>360</v>
      </c>
      <c r="F12713" s="5" t="s">
        <v>361</v>
      </c>
      <c r="G12713" s="6" t="str">
        <f>VLOOKUP(E12713,dicionario!$A$1:$C13112,2,0)</f>
        <v>Chamaecrista rotundifolia</v>
      </c>
      <c r="H12713" s="6" t="str">
        <f>VLOOKUP(E12713,dicionario!$A$1:$C13112,3,0)</f>
        <v>alfafa-nativa</v>
      </c>
    </row>
    <row r="12714">
      <c r="A12714" s="3">
        <v>45884.0</v>
      </c>
      <c r="B12714" s="4">
        <v>0.27708333333333335</v>
      </c>
      <c r="C12714" s="5" t="s">
        <v>26</v>
      </c>
      <c r="D12714" s="5" t="s">
        <v>1739</v>
      </c>
      <c r="E12714" s="8" t="s">
        <v>1127</v>
      </c>
      <c r="F12714" s="5" t="s">
        <v>1286</v>
      </c>
      <c r="G12714" s="6" t="str">
        <f>VLOOKUP(E12714,dicionario!$A$1:$C13113,2,0)</f>
        <v>Albizia lebbeck</v>
      </c>
      <c r="H12714" s="6" t="str">
        <f>VLOOKUP(E12714,dicionario!$A$1:$C13113,3,0)</f>
        <v>albízia</v>
      </c>
    </row>
    <row r="12715">
      <c r="A12715" s="3">
        <v>45884.0</v>
      </c>
      <c r="B12715" s="4">
        <v>0.27708333333333335</v>
      </c>
      <c r="C12715" s="5" t="s">
        <v>26</v>
      </c>
      <c r="D12715" s="5" t="s">
        <v>1739</v>
      </c>
      <c r="E12715" s="72" t="s">
        <v>298</v>
      </c>
      <c r="F12715" s="5"/>
      <c r="G12715" s="6" t="str">
        <f>VLOOKUP(E12715,dicionario!$A$1:$C13114,2,0)</f>
        <v>Alysicarpus vaginalis</v>
      </c>
      <c r="H12715" s="6" t="str">
        <f>VLOOKUP(E12715,dicionario!$A$1:$C13114,3,0)</f>
        <v/>
      </c>
    </row>
    <row r="12716">
      <c r="A12716" s="3">
        <v>45884.0</v>
      </c>
      <c r="B12716" s="4">
        <v>0.27708333333333335</v>
      </c>
      <c r="C12716" s="5" t="s">
        <v>26</v>
      </c>
      <c r="D12716" s="5" t="s">
        <v>1739</v>
      </c>
      <c r="E12716" s="20" t="s">
        <v>676</v>
      </c>
      <c r="F12716" s="5" t="s">
        <v>677</v>
      </c>
      <c r="G12716" s="6" t="str">
        <f>VLOOKUP(E12716,dicionario!$A$1:$C13115,2,0)</f>
        <v>Zornia latifolia</v>
      </c>
      <c r="H12716" s="6" t="str">
        <f>VLOOKUP(E12716,dicionario!$A$1:$C13115,3,0)</f>
        <v>arrozinho-do-campo</v>
      </c>
    </row>
    <row r="12717">
      <c r="A12717" s="3">
        <v>45884.0</v>
      </c>
      <c r="B12717" s="4">
        <v>0.27708333333333335</v>
      </c>
      <c r="C12717" s="5" t="s">
        <v>26</v>
      </c>
      <c r="D12717" s="5" t="s">
        <v>1739</v>
      </c>
      <c r="E12717" s="8" t="s">
        <v>146</v>
      </c>
      <c r="F12717" s="5" t="s">
        <v>794</v>
      </c>
      <c r="G12717" s="6" t="str">
        <f>VLOOKUP(E12717,dicionario!$A$1:$C13116,2,0)</f>
        <v>Euphorbia hirta</v>
      </c>
      <c r="H12717" s="6" t="str">
        <f>VLOOKUP(E12717,dicionario!$A$1:$C13116,3,0)</f>
        <v>erva-de-santa-luzia</v>
      </c>
    </row>
    <row r="12718">
      <c r="A12718" s="3">
        <v>45884.0</v>
      </c>
      <c r="B12718" s="4">
        <v>0.27708333333333335</v>
      </c>
      <c r="C12718" s="5" t="s">
        <v>26</v>
      </c>
      <c r="D12718" s="5" t="s">
        <v>1739</v>
      </c>
      <c r="E12718" s="6" t="s">
        <v>353</v>
      </c>
      <c r="F12718" s="5" t="s">
        <v>354</v>
      </c>
      <c r="G12718" s="6" t="str">
        <f>VLOOKUP(E12718,dicionario!$A$1:$C13117,2,0)</f>
        <v>Desmodium incanum</v>
      </c>
      <c r="H12718" s="6" t="str">
        <f>VLOOKUP(E12718,dicionario!$A$1:$C13117,3,0)</f>
        <v>pega-pega</v>
      </c>
    </row>
    <row r="12719">
      <c r="A12719" s="3">
        <v>45884.0</v>
      </c>
      <c r="B12719" s="4">
        <v>0.27708333333333335</v>
      </c>
      <c r="C12719" s="5" t="s">
        <v>26</v>
      </c>
      <c r="D12719" s="5" t="s">
        <v>1739</v>
      </c>
      <c r="E12719" s="6" t="s">
        <v>148</v>
      </c>
      <c r="F12719" s="5" t="s">
        <v>149</v>
      </c>
      <c r="G12719" s="6" t="str">
        <f>VLOOKUP(E12719,dicionario!$A$1:$C13118,2,0)</f>
        <v>Parthenium hysterophorus</v>
      </c>
      <c r="H12719" s="6" t="str">
        <f>VLOOKUP(E12719,dicionario!$A$1:$C13118,3,0)</f>
        <v>losna-branca</v>
      </c>
    </row>
    <row r="12720">
      <c r="A12720" s="3">
        <v>45884.0</v>
      </c>
      <c r="B12720" s="4">
        <v>0.2777777777777778</v>
      </c>
      <c r="C12720" s="5" t="s">
        <v>26</v>
      </c>
      <c r="D12720" s="5" t="s">
        <v>1739</v>
      </c>
      <c r="E12720" s="53" t="s">
        <v>111</v>
      </c>
      <c r="F12720" s="5" t="s">
        <v>1719</v>
      </c>
      <c r="G12720" s="6" t="str">
        <f>VLOOKUP(E12720,dicionario!$A$1:$C13119,2,0)</f>
        <v>Trigona spinipes</v>
      </c>
      <c r="H12720" s="6" t="str">
        <f>VLOOKUP(E12720,dicionario!$A$1:$C13119,3,0)</f>
        <v>abelha-cachorro</v>
      </c>
    </row>
    <row r="12721">
      <c r="A12721" s="3">
        <v>45884.0</v>
      </c>
      <c r="B12721" s="4">
        <v>0.2777777777777778</v>
      </c>
      <c r="C12721" s="5" t="s">
        <v>26</v>
      </c>
      <c r="D12721" s="5" t="s">
        <v>1739</v>
      </c>
      <c r="E12721" s="6" t="s">
        <v>65</v>
      </c>
      <c r="F12721" s="5" t="s">
        <v>66</v>
      </c>
      <c r="G12721" s="6" t="str">
        <f>VLOOKUP(E12721,dicionario!$A$1:$C13120,2,0)</f>
        <v>Pitangus sulphutarus</v>
      </c>
      <c r="H12721" s="6" t="str">
        <f>VLOOKUP(E12721,dicionario!$A$1:$C13120,3,0)</f>
        <v>bem-te-vi</v>
      </c>
    </row>
    <row r="12722">
      <c r="A12722" s="3">
        <v>45884.0</v>
      </c>
      <c r="B12722" s="4">
        <v>0.2777777777777778</v>
      </c>
      <c r="C12722" s="5" t="s">
        <v>26</v>
      </c>
      <c r="D12722" s="5" t="s">
        <v>1739</v>
      </c>
      <c r="E12722" s="8" t="s">
        <v>20</v>
      </c>
      <c r="F12722" s="5" t="s">
        <v>21</v>
      </c>
      <c r="G12722" s="6" t="str">
        <f>VLOOKUP(E12722,dicionario!$A$1:$C13121,2,0)</f>
        <v>Sicalis flaveola</v>
      </c>
      <c r="H12722" s="6" t="str">
        <f>VLOOKUP(E12722,dicionario!$A$1:$C13121,3,0)</f>
        <v>canário-da-terra</v>
      </c>
    </row>
    <row r="12723">
      <c r="A12723" s="3">
        <v>45884.0</v>
      </c>
      <c r="B12723" s="4">
        <v>0.2777777777777778</v>
      </c>
      <c r="C12723" s="5" t="s">
        <v>26</v>
      </c>
      <c r="D12723" s="5" t="s">
        <v>1739</v>
      </c>
      <c r="E12723" s="6" t="s">
        <v>74</v>
      </c>
      <c r="F12723" s="5" t="s">
        <v>1472</v>
      </c>
      <c r="G12723" s="6" t="str">
        <f>VLOOKUP(E12723,dicionario!$A$1:$C13122,2,0)</f>
        <v>Crotophaga ani</v>
      </c>
      <c r="H12723" s="6" t="str">
        <f>VLOOKUP(E12723,dicionario!$A$1:$C13122,3,0)</f>
        <v>anu-preto</v>
      </c>
    </row>
    <row r="12724">
      <c r="A12724" s="3">
        <v>45884.0</v>
      </c>
      <c r="B12724" s="4">
        <v>0.2777777777777778</v>
      </c>
      <c r="C12724" s="5" t="s">
        <v>26</v>
      </c>
      <c r="D12724" s="5" t="s">
        <v>1739</v>
      </c>
      <c r="E12724" s="9" t="s">
        <v>105</v>
      </c>
      <c r="F12724" s="5" t="s">
        <v>842</v>
      </c>
      <c r="G12724" s="6" t="str">
        <f>VLOOKUP(E12724,dicionario!$A$1:$C13123,2,0)</f>
        <v>Progne tapera</v>
      </c>
      <c r="H12724" s="6" t="str">
        <f>VLOOKUP(E12724,dicionario!$A$1:$C13123,3,0)</f>
        <v>andorinha-do-campo</v>
      </c>
    </row>
    <row r="12725">
      <c r="A12725" s="3">
        <v>45884.0</v>
      </c>
      <c r="B12725" s="4">
        <v>0.2777777777777778</v>
      </c>
      <c r="C12725" s="5" t="s">
        <v>26</v>
      </c>
      <c r="D12725" s="5" t="s">
        <v>1739</v>
      </c>
      <c r="E12725" s="8" t="s">
        <v>338</v>
      </c>
      <c r="F12725" s="5" t="s">
        <v>1454</v>
      </c>
      <c r="G12725" s="6" t="str">
        <f>VLOOKUP(E12725,dicionario!$A$1:$C13124,2,0)</f>
        <v>Atta</v>
      </c>
      <c r="H12725" s="6" t="str">
        <f>VLOOKUP(E12725,dicionario!$A$1:$C13124,3,0)</f>
        <v>saúva</v>
      </c>
    </row>
    <row r="12726">
      <c r="A12726" s="3">
        <v>45884.0</v>
      </c>
      <c r="B12726" s="4">
        <v>0.28055555555555556</v>
      </c>
      <c r="C12726" s="5" t="s">
        <v>26</v>
      </c>
      <c r="D12726" s="5" t="s">
        <v>1739</v>
      </c>
      <c r="E12726" s="8" t="s">
        <v>366</v>
      </c>
      <c r="F12726" s="5" t="s">
        <v>367</v>
      </c>
      <c r="G12726" s="6" t="str">
        <f>VLOOKUP(E12726,dicionario!$A$1:$C13125,2,0)</f>
        <v>Alternanthera ficoidea</v>
      </c>
      <c r="H12726" s="6" t="str">
        <f>VLOOKUP(E12726,dicionario!$A$1:$C13125,3,0)</f>
        <v>quebra-panela</v>
      </c>
    </row>
    <row r="12727">
      <c r="A12727" s="3">
        <v>45884.0</v>
      </c>
      <c r="B12727" s="4">
        <v>0.28194444444444444</v>
      </c>
      <c r="C12727" s="5" t="s">
        <v>26</v>
      </c>
      <c r="D12727" s="5" t="s">
        <v>1739</v>
      </c>
      <c r="E12727" s="8" t="s">
        <v>271</v>
      </c>
      <c r="F12727" s="5" t="s">
        <v>1169</v>
      </c>
      <c r="G12727" s="6" t="str">
        <f>VLOOKUP(E12727,dicionario!$A$1:$C13126,2,0)</f>
        <v>Cyanthillium cinereum</v>
      </c>
      <c r="H12727" s="6" t="str">
        <f>VLOOKUP(E12727,dicionario!$A$1:$C13126,3,0)</f>
        <v>emília</v>
      </c>
    </row>
    <row r="12728">
      <c r="A12728" s="3">
        <v>45884.0</v>
      </c>
      <c r="B12728" s="4">
        <v>0.28194444444444444</v>
      </c>
      <c r="C12728" s="5" t="s">
        <v>26</v>
      </c>
      <c r="D12728" s="5" t="s">
        <v>1739</v>
      </c>
      <c r="E12728" s="6" t="s">
        <v>53</v>
      </c>
      <c r="F12728" s="5" t="s">
        <v>54</v>
      </c>
      <c r="G12728" s="6" t="str">
        <f>VLOOKUP(E12728,dicionario!$A$1:$C13127,2,0)</f>
        <v>Turnera subulata</v>
      </c>
      <c r="H12728" s="6" t="str">
        <f>VLOOKUP(E12728,dicionario!$A$1:$C13127,3,0)</f>
        <v>xanana</v>
      </c>
    </row>
    <row r="12729">
      <c r="A12729" s="3">
        <v>45884.0</v>
      </c>
      <c r="B12729" s="4">
        <v>0.28194444444444444</v>
      </c>
      <c r="C12729" s="5" t="s">
        <v>26</v>
      </c>
      <c r="D12729" s="5" t="s">
        <v>1739</v>
      </c>
      <c r="E12729" s="6" t="s">
        <v>247</v>
      </c>
      <c r="F12729" s="5" t="s">
        <v>825</v>
      </c>
      <c r="G12729" s="6" t="str">
        <f>VLOOKUP(E12729,dicionario!$A$1:$C13128,2,0)</f>
        <v>Emilia sonchifolia</v>
      </c>
      <c r="H12729" s="6" t="str">
        <f>VLOOKUP(E12729,dicionario!$A$1:$C13128,3,0)</f>
        <v>serralinha</v>
      </c>
    </row>
    <row r="12730">
      <c r="A12730" s="3">
        <v>45884.0</v>
      </c>
      <c r="B12730" s="4">
        <v>0.2826388888888889</v>
      </c>
      <c r="C12730" s="5" t="s">
        <v>26</v>
      </c>
      <c r="D12730" s="5" t="s">
        <v>1739</v>
      </c>
      <c r="E12730" s="6" t="s">
        <v>51</v>
      </c>
      <c r="F12730" s="5" t="s">
        <v>77</v>
      </c>
      <c r="G12730" s="6" t="str">
        <f>VLOOKUP(E12730,dicionario!$A$1:$C13129,2,0)</f>
        <v>Solenopsis</v>
      </c>
      <c r="H12730" s="6" t="str">
        <f>VLOOKUP(E12730,dicionario!$A$1:$C13129,3,0)</f>
        <v>formiga-quente; formiga-lava-pés; formiga-de-fogo</v>
      </c>
    </row>
    <row r="12731">
      <c r="A12731" s="3">
        <v>45884.0</v>
      </c>
      <c r="B12731" s="4">
        <v>0.2826388888888889</v>
      </c>
      <c r="C12731" s="5" t="s">
        <v>26</v>
      </c>
      <c r="D12731" s="5" t="s">
        <v>1739</v>
      </c>
      <c r="E12731" s="8" t="s">
        <v>41</v>
      </c>
      <c r="F12731" s="5" t="s">
        <v>45</v>
      </c>
      <c r="G12731" s="6" t="str">
        <f>VLOOKUP(E12731,dicionario!$A$1:$C13130,2,0)</f>
        <v>Mimosa pudica</v>
      </c>
      <c r="H12731" s="6" t="str">
        <f>VLOOKUP(E12731,dicionario!$A$1:$C13130,3,0)</f>
        <v>dormideira</v>
      </c>
    </row>
    <row r="12732">
      <c r="A12732" s="3">
        <v>45884.0</v>
      </c>
      <c r="B12732" s="4">
        <v>0.2826388888888889</v>
      </c>
      <c r="C12732" s="5" t="s">
        <v>26</v>
      </c>
      <c r="D12732" s="5" t="s">
        <v>1739</v>
      </c>
      <c r="E12732" s="6" t="s">
        <v>243</v>
      </c>
      <c r="F12732" s="5" t="s">
        <v>244</v>
      </c>
      <c r="G12732" s="6" t="str">
        <f>VLOOKUP(E12732,dicionario!$A$1:$C13131,2,0)</f>
        <v>Macroptilium atropurpureum</v>
      </c>
      <c r="H12732" s="6" t="str">
        <f>VLOOKUP(E12732,dicionario!$A$1:$C13131,3,0)</f>
        <v>feijão-de-pombo</v>
      </c>
    </row>
    <row r="12733">
      <c r="A12733" s="3">
        <v>45884.0</v>
      </c>
      <c r="B12733" s="4">
        <v>0.2833333333333333</v>
      </c>
      <c r="C12733" s="5" t="s">
        <v>26</v>
      </c>
      <c r="D12733" s="5" t="s">
        <v>1739</v>
      </c>
      <c r="E12733" s="6" t="s">
        <v>251</v>
      </c>
      <c r="F12733" s="5" t="s">
        <v>252</v>
      </c>
      <c r="G12733" s="6" t="str">
        <f>VLOOKUP(E12733,dicionario!$A$1:$C13132,2,0)</f>
        <v>Struthanthus flexicaulis</v>
      </c>
      <c r="H12733" s="6" t="str">
        <f>VLOOKUP(E12733,dicionario!$A$1:$C13132,3,0)</f>
        <v>erva-de-passarinho</v>
      </c>
    </row>
    <row r="12734">
      <c r="A12734" s="3">
        <v>45884.0</v>
      </c>
      <c r="B12734" s="4">
        <v>0.28402777777777777</v>
      </c>
      <c r="C12734" s="5" t="s">
        <v>33</v>
      </c>
      <c r="D12734" s="5" t="s">
        <v>1739</v>
      </c>
      <c r="E12734" s="8" t="s">
        <v>109</v>
      </c>
      <c r="F12734" s="5" t="s">
        <v>110</v>
      </c>
      <c r="G12734" s="6" t="str">
        <f>VLOOKUP(E12734,dicionario!$A$1:$C13133,2,0)</f>
        <v>Tillandsia stricta</v>
      </c>
      <c r="H12734" s="6" t="str">
        <f>VLOOKUP(E12734,dicionario!$A$1:$C13133,3,0)</f>
        <v>cravo-do-mato</v>
      </c>
    </row>
    <row r="12735">
      <c r="A12735" s="3">
        <v>45884.0</v>
      </c>
      <c r="B12735" s="4">
        <v>0.28402777777777777</v>
      </c>
      <c r="C12735" s="5" t="s">
        <v>33</v>
      </c>
      <c r="D12735" s="5" t="s">
        <v>1739</v>
      </c>
      <c r="E12735" s="6" t="s">
        <v>171</v>
      </c>
      <c r="F12735" s="5" t="s">
        <v>172</v>
      </c>
      <c r="G12735" s="6" t="str">
        <f>VLOOKUP(E12735,dicionario!$A$1:$C13134,2,0)</f>
        <v>Oxalis corniculata</v>
      </c>
      <c r="H12735" s="6" t="str">
        <f>VLOOKUP(E12735,dicionario!$A$1:$C13134,3,0)</f>
        <v>trevo-azedinho</v>
      </c>
    </row>
    <row r="12736">
      <c r="A12736" s="3">
        <v>45884.0</v>
      </c>
      <c r="B12736" s="4">
        <v>0.28402777777777777</v>
      </c>
      <c r="C12736" s="5" t="s">
        <v>33</v>
      </c>
      <c r="D12736" s="5" t="s">
        <v>1739</v>
      </c>
      <c r="E12736" s="6" t="s">
        <v>86</v>
      </c>
      <c r="F12736" s="5" t="s">
        <v>502</v>
      </c>
      <c r="G12736" s="6" t="str">
        <f>VLOOKUP(E12736,dicionario!$A$1:$C13135,2,0)</f>
        <v>Coereba flaveola</v>
      </c>
      <c r="H12736" s="6" t="str">
        <f>VLOOKUP(E12736,dicionario!$A$1:$C13135,3,0)</f>
        <v>cambacica</v>
      </c>
    </row>
    <row r="12737">
      <c r="A12737" s="3">
        <v>45884.0</v>
      </c>
      <c r="B12737" s="4">
        <v>0.28402777777777777</v>
      </c>
      <c r="C12737" s="5" t="s">
        <v>33</v>
      </c>
      <c r="D12737" s="5" t="s">
        <v>1739</v>
      </c>
      <c r="E12737" s="6" t="s">
        <v>286</v>
      </c>
      <c r="F12737" s="5" t="s">
        <v>287</v>
      </c>
      <c r="G12737" s="6" t="str">
        <f>VLOOKUP(E12737,dicionario!$A$1:$C13136,2,0)</f>
        <v>Setaria parviflora</v>
      </c>
      <c r="H12737" s="6" t="str">
        <f>VLOOKUP(E12737,dicionario!$A$1:$C13136,3,0)</f>
        <v>capim-rabo-de-raposa</v>
      </c>
    </row>
    <row r="12738">
      <c r="A12738" s="3">
        <v>45884.0</v>
      </c>
      <c r="B12738" s="4">
        <v>0.28402777777777777</v>
      </c>
      <c r="C12738" s="5" t="s">
        <v>33</v>
      </c>
      <c r="D12738" s="5" t="s">
        <v>1739</v>
      </c>
      <c r="E12738" s="6" t="s">
        <v>606</v>
      </c>
      <c r="F12738" s="5" t="s">
        <v>607</v>
      </c>
      <c r="G12738" s="6" t="str">
        <f>VLOOKUP(E12738,dicionario!$A$1:$C13137,2,0)</f>
        <v>Elaenia spectabilis</v>
      </c>
      <c r="H12738" s="6" t="str">
        <f>VLOOKUP(E12738,dicionario!$A$1:$C13137,3,0)</f>
        <v>guaracava-grande</v>
      </c>
    </row>
    <row r="12739">
      <c r="A12739" s="3">
        <v>45884.0</v>
      </c>
      <c r="B12739" s="4">
        <v>0.28402777777777777</v>
      </c>
      <c r="C12739" s="5" t="s">
        <v>33</v>
      </c>
      <c r="D12739" s="5" t="s">
        <v>1739</v>
      </c>
      <c r="E12739" s="8" t="s">
        <v>712</v>
      </c>
      <c r="F12739" s="5" t="s">
        <v>1742</v>
      </c>
      <c r="G12739" s="6" t="str">
        <f>VLOOKUP(E12739,dicionario!$A$1:$C13138,2,0)</f>
        <v>Flavopunctelia soredica</v>
      </c>
      <c r="H12739" s="6" t="str">
        <f>VLOOKUP(E12739,dicionario!$A$1:$C13138,3,0)</f>
        <v>líquen-folioso</v>
      </c>
    </row>
    <row r="12740">
      <c r="A12740" s="3">
        <v>45884.0</v>
      </c>
      <c r="B12740" s="4">
        <v>0.28402777777777777</v>
      </c>
      <c r="C12740" s="5" t="s">
        <v>33</v>
      </c>
      <c r="D12740" s="5" t="s">
        <v>1739</v>
      </c>
      <c r="E12740" s="8" t="s">
        <v>122</v>
      </c>
      <c r="F12740" s="5" t="s">
        <v>911</v>
      </c>
      <c r="G12740" s="6" t="str">
        <f>VLOOKUP(E12740,dicionario!$A$1:$C13139,2,0)</f>
        <v>Todirostrum cinereum</v>
      </c>
      <c r="H12740" s="6" t="str">
        <f>VLOOKUP(E12740,dicionario!$A$1:$C13139,3,0)</f>
        <v>ferreirinho-relógio</v>
      </c>
    </row>
    <row r="12741">
      <c r="A12741" s="3">
        <v>45884.0</v>
      </c>
      <c r="B12741" s="4">
        <v>0.2847222222222222</v>
      </c>
      <c r="C12741" s="5" t="s">
        <v>33</v>
      </c>
      <c r="D12741" s="5" t="s">
        <v>1739</v>
      </c>
      <c r="E12741" s="72" t="s">
        <v>298</v>
      </c>
      <c r="F12741" s="5"/>
      <c r="G12741" s="6" t="str">
        <f>VLOOKUP(E12741,dicionario!$A$1:$C13140,2,0)</f>
        <v>Alysicarpus vaginalis</v>
      </c>
      <c r="H12741" s="6" t="str">
        <f>VLOOKUP(E12741,dicionario!$A$1:$C13140,3,0)</f>
        <v/>
      </c>
    </row>
    <row r="12742">
      <c r="A12742" s="3">
        <v>45884.0</v>
      </c>
      <c r="B12742" s="4">
        <v>0.2847222222222222</v>
      </c>
      <c r="C12742" s="5" t="s">
        <v>33</v>
      </c>
      <c r="D12742" s="5" t="s">
        <v>1739</v>
      </c>
      <c r="E12742" s="6" t="s">
        <v>22</v>
      </c>
      <c r="F12742" s="5" t="s">
        <v>97</v>
      </c>
      <c r="G12742" s="6" t="str">
        <f>VLOOKUP(E12742,dicionario!$A$1:$C13141,2,0)</f>
        <v>Zenaida auriculata</v>
      </c>
      <c r="H12742" s="6" t="str">
        <f>VLOOKUP(E12742,dicionario!$A$1:$C13141,3,0)</f>
        <v>pomba-de-bando; avoante</v>
      </c>
    </row>
    <row r="12743">
      <c r="A12743" s="3">
        <v>45884.0</v>
      </c>
      <c r="B12743" s="4">
        <v>0.2847222222222222</v>
      </c>
      <c r="C12743" s="5" t="s">
        <v>33</v>
      </c>
      <c r="D12743" s="5" t="s">
        <v>1739</v>
      </c>
      <c r="E12743" s="29" t="s">
        <v>566</v>
      </c>
      <c r="F12743" s="5" t="s">
        <v>567</v>
      </c>
      <c r="G12743" s="6" t="str">
        <f>VLOOKUP(E12743,dicionario!$A$1:$C13142,2,0)</f>
        <v>Baccharis dracunculifolia</v>
      </c>
      <c r="H12743" s="6" t="str">
        <f>VLOOKUP(E12743,dicionario!$A$1:$C13142,3,0)</f>
        <v>vassoura</v>
      </c>
    </row>
    <row r="12744">
      <c r="A12744" s="3">
        <v>45884.0</v>
      </c>
      <c r="B12744" s="4">
        <v>0.2847222222222222</v>
      </c>
      <c r="C12744" s="5" t="s">
        <v>33</v>
      </c>
      <c r="D12744" s="5" t="s">
        <v>1739</v>
      </c>
      <c r="E12744" s="8" t="s">
        <v>849</v>
      </c>
      <c r="F12744" s="5" t="s">
        <v>1457</v>
      </c>
      <c r="G12744" s="6" t="str">
        <f>VLOOKUP(E12744,dicionario!$A$1:$C13143,2,0)</f>
        <v>#N/A</v>
      </c>
      <c r="H12744" s="6" t="str">
        <f>VLOOKUP(E12744,dicionario!$A$1:$C13143,3,0)</f>
        <v>#N/A</v>
      </c>
    </row>
    <row r="12745">
      <c r="A12745" s="3">
        <v>45884.0</v>
      </c>
      <c r="B12745" s="4">
        <v>0.28541666666666665</v>
      </c>
      <c r="C12745" s="5" t="s">
        <v>33</v>
      </c>
      <c r="D12745" s="5" t="s">
        <v>1739</v>
      </c>
      <c r="E12745" s="6" t="s">
        <v>122</v>
      </c>
      <c r="F12745" s="5" t="s">
        <v>123</v>
      </c>
      <c r="G12745" s="6" t="str">
        <f>VLOOKUP(E12745,dicionario!$A$1:$C13144,2,0)</f>
        <v>Todirostrum cinereum</v>
      </c>
      <c r="H12745" s="6" t="str">
        <f>VLOOKUP(E12745,dicionario!$A$1:$C13144,3,0)</f>
        <v>ferreirinho-relógio</v>
      </c>
    </row>
    <row r="12746">
      <c r="A12746" s="3">
        <v>45884.0</v>
      </c>
      <c r="B12746" s="4">
        <v>0.28541666666666665</v>
      </c>
      <c r="C12746" s="5" t="s">
        <v>33</v>
      </c>
      <c r="D12746" s="5" t="s">
        <v>1739</v>
      </c>
      <c r="E12746" s="53" t="s">
        <v>1745</v>
      </c>
      <c r="F12746" s="5" t="s">
        <v>170</v>
      </c>
      <c r="G12746" s="6" t="str">
        <f>VLOOKUP(E12746,dicionario!$A$1:$C13145,2,0)</f>
        <v>Camponotus pennsylvanicus</v>
      </c>
      <c r="H12746" s="6" t="str">
        <f>VLOOKUP(E12746,dicionario!$A$1:$C13145,3,0)</f>
        <v>formiga-carpinteira</v>
      </c>
    </row>
    <row r="12747">
      <c r="A12747" s="3">
        <v>45884.0</v>
      </c>
      <c r="B12747" s="4">
        <v>0.28541666666666665</v>
      </c>
      <c r="C12747" s="5" t="s">
        <v>33</v>
      </c>
      <c r="D12747" s="5" t="s">
        <v>1739</v>
      </c>
      <c r="E12747" s="8" t="s">
        <v>271</v>
      </c>
      <c r="F12747" s="5" t="s">
        <v>1169</v>
      </c>
      <c r="G12747" s="6" t="str">
        <f>VLOOKUP(E12747,dicionario!$A$1:$C13146,2,0)</f>
        <v>Cyanthillium cinereum</v>
      </c>
      <c r="H12747" s="6" t="str">
        <f>VLOOKUP(E12747,dicionario!$A$1:$C13146,3,0)</f>
        <v>emília</v>
      </c>
    </row>
    <row r="12748">
      <c r="A12748" s="3">
        <v>45884.0</v>
      </c>
      <c r="B12748" s="4">
        <v>0.28541666666666665</v>
      </c>
      <c r="C12748" s="5" t="s">
        <v>33</v>
      </c>
      <c r="D12748" s="5" t="s">
        <v>1739</v>
      </c>
      <c r="E12748" s="6" t="s">
        <v>175</v>
      </c>
      <c r="F12748" s="5" t="s">
        <v>176</v>
      </c>
      <c r="G12748" s="6" t="str">
        <f>VLOOKUP(E12748,dicionario!$A$1:$C13147,2,0)</f>
        <v>Turdus leucomelas</v>
      </c>
      <c r="H12748" s="6" t="str">
        <f>VLOOKUP(E12748,dicionario!$A$1:$C13147,3,0)</f>
        <v>sabiá-barranco</v>
      </c>
    </row>
    <row r="12749">
      <c r="A12749" s="3">
        <v>45884.0</v>
      </c>
      <c r="B12749" s="4">
        <v>0.2875</v>
      </c>
      <c r="C12749" s="5" t="s">
        <v>33</v>
      </c>
      <c r="D12749" s="5" t="s">
        <v>1739</v>
      </c>
      <c r="E12749" s="8" t="s">
        <v>10</v>
      </c>
      <c r="F12749" s="5" t="s">
        <v>1545</v>
      </c>
      <c r="G12749" s="6" t="str">
        <f>VLOOKUP(E12749,dicionario!$A$1:$C13148,2,0)</f>
        <v>Guira guira</v>
      </c>
      <c r="H12749" s="6" t="str">
        <f>VLOOKUP(E12749,dicionario!$A$1:$C13148,3,0)</f>
        <v>anu-branco</v>
      </c>
    </row>
    <row r="12750">
      <c r="A12750" s="3">
        <v>45884.0</v>
      </c>
      <c r="B12750" s="4">
        <v>0.28888888888888886</v>
      </c>
      <c r="C12750" s="5" t="s">
        <v>33</v>
      </c>
      <c r="D12750" s="5" t="s">
        <v>1739</v>
      </c>
      <c r="E12750" s="6" t="s">
        <v>53</v>
      </c>
      <c r="F12750" s="5" t="s">
        <v>54</v>
      </c>
      <c r="G12750" s="6" t="str">
        <f>VLOOKUP(E12750,dicionario!$A$1:$C13149,2,0)</f>
        <v>Turnera subulata</v>
      </c>
      <c r="H12750" s="6" t="str">
        <f>VLOOKUP(E12750,dicionario!$A$1:$C13149,3,0)</f>
        <v>xanana</v>
      </c>
    </row>
    <row r="12751">
      <c r="A12751" s="3">
        <v>45884.0</v>
      </c>
      <c r="B12751" s="4">
        <v>0.28888888888888886</v>
      </c>
      <c r="C12751" s="5" t="s">
        <v>33</v>
      </c>
      <c r="D12751" s="5" t="s">
        <v>1739</v>
      </c>
      <c r="E12751" s="53" t="s">
        <v>111</v>
      </c>
      <c r="F12751" s="5" t="s">
        <v>1719</v>
      </c>
      <c r="G12751" s="6" t="str">
        <f>VLOOKUP(E12751,dicionario!$A$1:$C13150,2,0)</f>
        <v>Trigona spinipes</v>
      </c>
      <c r="H12751" s="6" t="str">
        <f>VLOOKUP(E12751,dicionario!$A$1:$C13150,3,0)</f>
        <v>abelha-cachorro</v>
      </c>
    </row>
    <row r="12752">
      <c r="A12752" s="3">
        <v>45884.0</v>
      </c>
      <c r="B12752" s="4">
        <v>0.28888888888888886</v>
      </c>
      <c r="C12752" s="5" t="s">
        <v>33</v>
      </c>
      <c r="D12752" s="5" t="s">
        <v>1739</v>
      </c>
      <c r="E12752" s="6" t="s">
        <v>65</v>
      </c>
      <c r="F12752" s="5" t="s">
        <v>66</v>
      </c>
      <c r="G12752" s="6" t="str">
        <f>VLOOKUP(E12752,dicionario!$A$1:$C13151,2,0)</f>
        <v>Pitangus sulphutarus</v>
      </c>
      <c r="H12752" s="6" t="str">
        <f>VLOOKUP(E12752,dicionario!$A$1:$C13151,3,0)</f>
        <v>bem-te-vi</v>
      </c>
    </row>
    <row r="12753">
      <c r="A12753" s="3">
        <v>45884.0</v>
      </c>
      <c r="B12753" s="4">
        <v>0.28888888888888886</v>
      </c>
      <c r="C12753" s="5" t="s">
        <v>33</v>
      </c>
      <c r="D12753" s="5" t="s">
        <v>1739</v>
      </c>
      <c r="E12753" s="6" t="s">
        <v>251</v>
      </c>
      <c r="F12753" s="5" t="s">
        <v>252</v>
      </c>
      <c r="G12753" s="6" t="str">
        <f>VLOOKUP(E12753,dicionario!$A$1:$C13152,2,0)</f>
        <v>Struthanthus flexicaulis</v>
      </c>
      <c r="H12753" s="6" t="str">
        <f>VLOOKUP(E12753,dicionario!$A$1:$C13152,3,0)</f>
        <v>erva-de-passarinho</v>
      </c>
    </row>
    <row r="12754">
      <c r="A12754" s="3">
        <v>45884.0</v>
      </c>
      <c r="B12754" s="4">
        <v>0.28888888888888886</v>
      </c>
      <c r="C12754" s="5" t="s">
        <v>33</v>
      </c>
      <c r="D12754" s="5" t="s">
        <v>1739</v>
      </c>
      <c r="E12754" s="72" t="s">
        <v>223</v>
      </c>
      <c r="F12754" s="5" t="s">
        <v>224</v>
      </c>
      <c r="G12754" s="6" t="str">
        <f>VLOOKUP(E12754,dicionario!$A$1:$C13153,2,0)</f>
        <v>Rhipsalis lindbergiana</v>
      </c>
      <c r="H12754" s="6" t="str">
        <f>VLOOKUP(E12754,dicionario!$A$1:$C13153,3,0)</f>
        <v>cacto-macarrão</v>
      </c>
    </row>
    <row r="12755">
      <c r="A12755" s="3">
        <v>45884.0</v>
      </c>
      <c r="B12755" s="4">
        <v>0.29097222222222224</v>
      </c>
      <c r="C12755" s="5" t="s">
        <v>40</v>
      </c>
      <c r="D12755" s="5" t="s">
        <v>1739</v>
      </c>
      <c r="E12755" s="72" t="s">
        <v>298</v>
      </c>
      <c r="F12755" s="5"/>
      <c r="G12755" s="6" t="str">
        <f>VLOOKUP(E12755,dicionario!$A$1:$C13154,2,0)</f>
        <v>Alysicarpus vaginalis</v>
      </c>
      <c r="H12755" s="6" t="str">
        <f>VLOOKUP(E12755,dicionario!$A$1:$C13154,3,0)</f>
        <v/>
      </c>
    </row>
    <row r="12756">
      <c r="A12756" s="3">
        <v>45884.0</v>
      </c>
      <c r="B12756" s="4">
        <v>0.2916666666666667</v>
      </c>
      <c r="C12756" s="5" t="s">
        <v>40</v>
      </c>
      <c r="D12756" s="5" t="s">
        <v>1739</v>
      </c>
      <c r="E12756" s="8" t="s">
        <v>498</v>
      </c>
      <c r="F12756" s="5" t="s">
        <v>499</v>
      </c>
      <c r="G12756" s="6" t="str">
        <f>VLOOKUP(E12756,dicionario!$A$1:$C13155,2,0)</f>
        <v>Brachiaria decumbens</v>
      </c>
      <c r="H12756" s="6" t="str">
        <f>VLOOKUP(E12756,dicionario!$A$1:$C13155,3,0)</f>
        <v>capim-braquiária</v>
      </c>
    </row>
    <row r="12757">
      <c r="A12757" s="3">
        <v>45884.0</v>
      </c>
      <c r="B12757" s="4">
        <v>0.2916666666666667</v>
      </c>
      <c r="C12757" s="5" t="s">
        <v>40</v>
      </c>
      <c r="D12757" s="5" t="s">
        <v>1739</v>
      </c>
      <c r="E12757" s="6" t="s">
        <v>227</v>
      </c>
      <c r="F12757" s="5" t="s">
        <v>228</v>
      </c>
      <c r="G12757" s="6" t="str">
        <f>VLOOKUP(E12757,dicionario!$A$1:$C13156,2,0)</f>
        <v>Indigofera hirsuta</v>
      </c>
      <c r="H12757" s="6" t="str">
        <f>VLOOKUP(E12757,dicionario!$A$1:$C13156,3,0)</f>
        <v>anileira</v>
      </c>
    </row>
    <row r="12758">
      <c r="A12758" s="3">
        <v>45884.0</v>
      </c>
      <c r="B12758" s="4">
        <v>0.2916666666666667</v>
      </c>
      <c r="C12758" s="5" t="s">
        <v>40</v>
      </c>
      <c r="D12758" s="5" t="s">
        <v>1739</v>
      </c>
      <c r="E12758" s="6" t="s">
        <v>302</v>
      </c>
      <c r="F12758" s="5" t="s">
        <v>1741</v>
      </c>
      <c r="G12758" s="6" t="str">
        <f>VLOOKUP(E12758,dicionario!$A$1:$C13157,2,0)</f>
        <v>Machetornis rixosa</v>
      </c>
      <c r="H12758" s="6" t="str">
        <f>VLOOKUP(E12758,dicionario!$A$1:$C13157,3,0)</f>
        <v>suiriri-cavaleiro</v>
      </c>
    </row>
    <row r="12759">
      <c r="A12759" s="3">
        <v>45884.0</v>
      </c>
      <c r="B12759" s="4">
        <v>0.2916666666666667</v>
      </c>
      <c r="C12759" s="5" t="s">
        <v>40</v>
      </c>
      <c r="D12759" s="5" t="s">
        <v>1739</v>
      </c>
      <c r="E12759" s="6" t="s">
        <v>65</v>
      </c>
      <c r="F12759" s="5" t="s">
        <v>66</v>
      </c>
      <c r="G12759" s="6" t="str">
        <f>VLOOKUP(E12759,dicionario!$A$1:$C13158,2,0)</f>
        <v>Pitangus sulphutarus</v>
      </c>
      <c r="H12759" s="6" t="str">
        <f>VLOOKUP(E12759,dicionario!$A$1:$C13158,3,0)</f>
        <v>bem-te-vi</v>
      </c>
    </row>
    <row r="12760">
      <c r="A12760" s="3">
        <v>45884.0</v>
      </c>
      <c r="B12760" s="4">
        <v>0.2916666666666667</v>
      </c>
      <c r="C12760" s="5" t="s">
        <v>40</v>
      </c>
      <c r="D12760" s="5" t="s">
        <v>1739</v>
      </c>
      <c r="E12760" s="8" t="s">
        <v>135</v>
      </c>
      <c r="F12760" s="5" t="s">
        <v>833</v>
      </c>
      <c r="G12760" s="6" t="str">
        <f>VLOOKUP(E12760,dicionario!$A$1:$C13159,2,0)</f>
        <v>Tridax procumbens</v>
      </c>
      <c r="H12760" s="6" t="str">
        <f>VLOOKUP(E12760,dicionario!$A$1:$C13159,3,0)</f>
        <v>erva-de-touro</v>
      </c>
    </row>
    <row r="12761">
      <c r="A12761" s="3">
        <v>45884.0</v>
      </c>
      <c r="B12761" s="4">
        <v>0.2916666666666667</v>
      </c>
      <c r="C12761" s="5" t="s">
        <v>40</v>
      </c>
      <c r="D12761" s="5" t="s">
        <v>1739</v>
      </c>
      <c r="E12761" s="6" t="s">
        <v>148</v>
      </c>
      <c r="F12761" s="5" t="s">
        <v>149</v>
      </c>
      <c r="G12761" s="6" t="str">
        <f>VLOOKUP(E12761,dicionario!$A$1:$C13160,2,0)</f>
        <v>Parthenium hysterophorus</v>
      </c>
      <c r="H12761" s="6" t="str">
        <f>VLOOKUP(E12761,dicionario!$A$1:$C13160,3,0)</f>
        <v>losna-branca</v>
      </c>
    </row>
    <row r="12762">
      <c r="A12762" s="3">
        <v>45884.0</v>
      </c>
      <c r="B12762" s="4">
        <v>0.2916666666666667</v>
      </c>
      <c r="C12762" s="5" t="s">
        <v>40</v>
      </c>
      <c r="D12762" s="5" t="s">
        <v>1739</v>
      </c>
      <c r="E12762" s="6" t="s">
        <v>53</v>
      </c>
      <c r="F12762" s="5" t="s">
        <v>54</v>
      </c>
      <c r="G12762" s="6" t="str">
        <f>VLOOKUP(E12762,dicionario!$A$1:$C13161,2,0)</f>
        <v>Turnera subulata</v>
      </c>
      <c r="H12762" s="6" t="str">
        <f>VLOOKUP(E12762,dicionario!$A$1:$C13161,3,0)</f>
        <v>xanana</v>
      </c>
    </row>
    <row r="12763">
      <c r="A12763" s="3">
        <v>45884.0</v>
      </c>
      <c r="B12763" s="4">
        <v>0.2916666666666667</v>
      </c>
      <c r="C12763" s="5" t="s">
        <v>40</v>
      </c>
      <c r="D12763" s="5" t="s">
        <v>1739</v>
      </c>
      <c r="E12763" s="8" t="s">
        <v>1127</v>
      </c>
      <c r="F12763" s="5" t="s">
        <v>1286</v>
      </c>
      <c r="G12763" s="6" t="str">
        <f>VLOOKUP(E12763,dicionario!$A$1:$C13162,2,0)</f>
        <v>Albizia lebbeck</v>
      </c>
      <c r="H12763" s="6" t="str">
        <f>VLOOKUP(E12763,dicionario!$A$1:$C13162,3,0)</f>
        <v>albízia</v>
      </c>
    </row>
    <row r="12764">
      <c r="A12764" s="3">
        <v>45884.0</v>
      </c>
      <c r="B12764" s="4">
        <v>0.2916666666666667</v>
      </c>
      <c r="C12764" s="5" t="s">
        <v>40</v>
      </c>
      <c r="D12764" s="5" t="s">
        <v>1739</v>
      </c>
      <c r="E12764" s="6" t="s">
        <v>150</v>
      </c>
      <c r="F12764" s="5" t="s">
        <v>151</v>
      </c>
      <c r="G12764" s="6" t="str">
        <f>VLOOKUP(E12764,dicionario!$A$1:$C13163,2,0)</f>
        <v>Amaranthus viridis</v>
      </c>
      <c r="H12764" s="6" t="str">
        <f>VLOOKUP(E12764,dicionario!$A$1:$C13163,3,0)</f>
        <v>caruru-de-mancha</v>
      </c>
    </row>
    <row r="12765">
      <c r="A12765" s="3">
        <v>45884.0</v>
      </c>
      <c r="B12765" s="4">
        <v>0.2916666666666667</v>
      </c>
      <c r="C12765" s="5" t="s">
        <v>40</v>
      </c>
      <c r="D12765" s="5" t="s">
        <v>1739</v>
      </c>
      <c r="E12765" s="6" t="s">
        <v>247</v>
      </c>
      <c r="F12765" s="5" t="s">
        <v>825</v>
      </c>
      <c r="G12765" s="6" t="str">
        <f>VLOOKUP(E12765,dicionario!$A$1:$C13164,2,0)</f>
        <v>Emilia sonchifolia</v>
      </c>
      <c r="H12765" s="6" t="str">
        <f>VLOOKUP(E12765,dicionario!$A$1:$C13164,3,0)</f>
        <v>serralinha</v>
      </c>
    </row>
    <row r="12766">
      <c r="A12766" s="3">
        <v>45884.0</v>
      </c>
      <c r="B12766" s="4">
        <v>0.2923611111111111</v>
      </c>
      <c r="C12766" s="5" t="s">
        <v>40</v>
      </c>
      <c r="D12766" s="5" t="s">
        <v>1739</v>
      </c>
      <c r="E12766" s="6" t="s">
        <v>286</v>
      </c>
      <c r="F12766" s="5" t="s">
        <v>287</v>
      </c>
      <c r="G12766" s="6" t="str">
        <f>VLOOKUP(E12766,dicionario!$A$1:$C13165,2,0)</f>
        <v>Setaria parviflora</v>
      </c>
      <c r="H12766" s="6" t="str">
        <f>VLOOKUP(E12766,dicionario!$A$1:$C13165,3,0)</f>
        <v>capim-rabo-de-raposa</v>
      </c>
    </row>
    <row r="12767">
      <c r="A12767" s="3">
        <v>45884.0</v>
      </c>
      <c r="B12767" s="4">
        <v>0.2923611111111111</v>
      </c>
      <c r="C12767" s="5" t="s">
        <v>40</v>
      </c>
      <c r="D12767" s="5" t="s">
        <v>1739</v>
      </c>
      <c r="E12767" s="8" t="s">
        <v>1746</v>
      </c>
      <c r="F12767" s="5" t="s">
        <v>1747</v>
      </c>
      <c r="G12767" s="6" t="str">
        <f>VLOOKUP(E12767,dicionario!$A$1:$C13166,2,0)</f>
        <v>#N/A</v>
      </c>
      <c r="H12767" s="6" t="str">
        <f>VLOOKUP(E12767,dicionario!$A$1:$C13166,3,0)</f>
        <v>#N/A</v>
      </c>
    </row>
    <row r="12768">
      <c r="A12768" s="3">
        <v>45884.0</v>
      </c>
      <c r="B12768" s="4">
        <v>0.29375</v>
      </c>
      <c r="C12768" s="5" t="s">
        <v>40</v>
      </c>
      <c r="D12768" s="5" t="s">
        <v>1739</v>
      </c>
      <c r="E12768" s="6" t="s">
        <v>290</v>
      </c>
      <c r="F12768" s="5" t="s">
        <v>291</v>
      </c>
      <c r="G12768" s="6" t="str">
        <f>VLOOKUP(E12768,dicionario!$A$1:$C13167,2,0)</f>
        <v>Drymaria cordata</v>
      </c>
      <c r="H12768" s="6" t="str">
        <f>VLOOKUP(E12768,dicionario!$A$1:$C13167,3,0)</f>
        <v>orelha-de-rato</v>
      </c>
    </row>
    <row r="12769">
      <c r="A12769" s="3">
        <v>45884.0</v>
      </c>
      <c r="B12769" s="4">
        <v>0.29375</v>
      </c>
      <c r="C12769" s="5" t="s">
        <v>40</v>
      </c>
      <c r="D12769" s="5" t="s">
        <v>1739</v>
      </c>
      <c r="E12769" s="8" t="s">
        <v>265</v>
      </c>
      <c r="F12769" s="5" t="s">
        <v>266</v>
      </c>
      <c r="G12769" s="6" t="str">
        <f>VLOOKUP(E12769,dicionario!$A$1:$C13168,2,0)</f>
        <v>Sonchus oleraceus</v>
      </c>
      <c r="H12769" s="6" t="str">
        <f>VLOOKUP(E12769,dicionario!$A$1:$C13168,3,0)</f>
        <v>seralha</v>
      </c>
    </row>
    <row r="12770">
      <c r="A12770" s="3">
        <v>45884.0</v>
      </c>
      <c r="B12770" s="4">
        <v>0.29375</v>
      </c>
      <c r="C12770" s="5" t="s">
        <v>40</v>
      </c>
      <c r="D12770" s="5" t="s">
        <v>1739</v>
      </c>
      <c r="E12770" s="8" t="s">
        <v>1748</v>
      </c>
      <c r="F12770" s="5" t="s">
        <v>1088</v>
      </c>
      <c r="G12770" s="6" t="str">
        <f>VLOOKUP(E12770,dicionario!$A$1:$C13169,2,0)</f>
        <v>Desmodium triflorum</v>
      </c>
      <c r="H12770" s="6" t="str">
        <f>VLOOKUP(E12770,dicionario!$A$1:$C13169,3,0)</f>
        <v/>
      </c>
    </row>
    <row r="12771">
      <c r="A12771" s="3">
        <v>45884.0</v>
      </c>
      <c r="B12771" s="4">
        <v>0.29375</v>
      </c>
      <c r="C12771" s="5" t="s">
        <v>40</v>
      </c>
      <c r="D12771" s="5" t="s">
        <v>1739</v>
      </c>
      <c r="E12771" s="6" t="s">
        <v>568</v>
      </c>
      <c r="F12771" s="5" t="s">
        <v>458</v>
      </c>
      <c r="G12771" s="6" t="str">
        <f>VLOOKUP(E12771,dicionario!$A$1:$C13170,2,0)</f>
        <v>#N/A</v>
      </c>
      <c r="H12771" s="6" t="str">
        <f>VLOOKUP(E12771,dicionario!$A$1:$C13170,3,0)</f>
        <v>#N/A</v>
      </c>
    </row>
    <row r="12772">
      <c r="A12772" s="3">
        <v>45884.0</v>
      </c>
      <c r="B12772" s="4">
        <v>0.29375</v>
      </c>
      <c r="C12772" s="5" t="s">
        <v>40</v>
      </c>
      <c r="D12772" s="5" t="s">
        <v>1739</v>
      </c>
      <c r="E12772" s="6" t="s">
        <v>154</v>
      </c>
      <c r="F12772" s="5" t="s">
        <v>155</v>
      </c>
      <c r="G12772" s="6" t="str">
        <f>VLOOKUP(E12772,dicionario!$A$1:$C13171,2,0)</f>
        <v>Cyperus rotundus</v>
      </c>
      <c r="H12772" s="6" t="str">
        <f>VLOOKUP(E12772,dicionario!$A$1:$C13171,3,0)</f>
        <v>tiririca</v>
      </c>
    </row>
    <row r="12773">
      <c r="A12773" s="3">
        <v>45884.0</v>
      </c>
      <c r="B12773" s="4">
        <v>0.29375</v>
      </c>
      <c r="C12773" s="5" t="s">
        <v>40</v>
      </c>
      <c r="D12773" s="5" t="s">
        <v>1739</v>
      </c>
      <c r="E12773" s="6" t="s">
        <v>225</v>
      </c>
      <c r="F12773" s="5" t="s">
        <v>226</v>
      </c>
      <c r="G12773" s="6" t="str">
        <f>VLOOKUP(E12773,dicionario!$A$1:$C13172,2,0)</f>
        <v>Passer domesticus</v>
      </c>
      <c r="H12773" s="6" t="str">
        <f>VLOOKUP(E12773,dicionario!$A$1:$C13172,3,0)</f>
        <v>pardal</v>
      </c>
    </row>
    <row r="12774">
      <c r="A12774" s="3">
        <v>45884.0</v>
      </c>
      <c r="B12774" s="4">
        <v>0.29444444444444445</v>
      </c>
      <c r="C12774" s="5" t="s">
        <v>40</v>
      </c>
      <c r="D12774" s="5" t="s">
        <v>1739</v>
      </c>
      <c r="E12774" s="53" t="s">
        <v>111</v>
      </c>
      <c r="F12774" s="5" t="s">
        <v>1719</v>
      </c>
      <c r="G12774" s="6" t="str">
        <f>VLOOKUP(E12774,dicionario!$A$1:$C13173,2,0)</f>
        <v>Trigona spinipes</v>
      </c>
      <c r="H12774" s="6" t="str">
        <f>VLOOKUP(E12774,dicionario!$A$1:$C13173,3,0)</f>
        <v>abelha-cachorro</v>
      </c>
    </row>
    <row r="12775">
      <c r="A12775" s="3">
        <v>45884.0</v>
      </c>
      <c r="B12775" s="4">
        <v>0.29444444444444445</v>
      </c>
      <c r="C12775" s="5" t="s">
        <v>40</v>
      </c>
      <c r="D12775" s="5" t="s">
        <v>1739</v>
      </c>
      <c r="E12775" s="8" t="s">
        <v>146</v>
      </c>
      <c r="F12775" s="5" t="s">
        <v>147</v>
      </c>
      <c r="G12775" s="6" t="str">
        <f>VLOOKUP(E12775,dicionario!$A$1:$C13174,2,0)</f>
        <v>Euphorbia hirta</v>
      </c>
      <c r="H12775" s="6" t="str">
        <f>VLOOKUP(E12775,dicionario!$A$1:$C13174,3,0)</f>
        <v>erva-de-santa-luzia</v>
      </c>
    </row>
    <row r="12776">
      <c r="A12776" s="3">
        <v>45884.0</v>
      </c>
      <c r="B12776" s="4">
        <v>0.29444444444444445</v>
      </c>
      <c r="C12776" s="5" t="s">
        <v>40</v>
      </c>
      <c r="D12776" s="5" t="s">
        <v>1739</v>
      </c>
      <c r="E12776" s="6" t="s">
        <v>334</v>
      </c>
      <c r="F12776" s="5" t="s">
        <v>335</v>
      </c>
      <c r="G12776" s="6" t="str">
        <f>VLOOKUP(E12776,dicionario!$A$1:$C13175,2,0)</f>
        <v>Eupsittula aurea</v>
      </c>
      <c r="H12776" s="6" t="str">
        <f>VLOOKUP(E12776,dicionario!$A$1:$C13175,3,0)</f>
        <v>periquito-rei</v>
      </c>
    </row>
    <row r="12777">
      <c r="A12777" s="3">
        <v>45884.0</v>
      </c>
      <c r="B12777" s="4">
        <v>0.29444444444444445</v>
      </c>
      <c r="C12777" s="5" t="s">
        <v>40</v>
      </c>
      <c r="D12777" s="5" t="s">
        <v>1739</v>
      </c>
      <c r="E12777" s="6" t="s">
        <v>489</v>
      </c>
      <c r="F12777" s="5" t="s">
        <v>521</v>
      </c>
      <c r="G12777" s="6" t="str">
        <f>VLOOKUP(E12777,dicionario!$A$1:$C13176,2,0)</f>
        <v>Cenchrus echinatus</v>
      </c>
      <c r="H12777" s="6" t="str">
        <f>VLOOKUP(E12777,dicionario!$A$1:$C13176,3,0)</f>
        <v>capim-carrapicho</v>
      </c>
    </row>
    <row r="12778">
      <c r="A12778" s="3">
        <v>45884.0</v>
      </c>
      <c r="B12778" s="4">
        <v>0.29444444444444445</v>
      </c>
      <c r="C12778" s="5" t="s">
        <v>40</v>
      </c>
      <c r="D12778" s="5" t="s">
        <v>1739</v>
      </c>
      <c r="E12778" s="6" t="s">
        <v>113</v>
      </c>
      <c r="F12778" s="5" t="s">
        <v>114</v>
      </c>
      <c r="G12778" s="6" t="str">
        <f>VLOOKUP(E12778,dicionario!$A$1:$C13177,2,0)</f>
        <v>Columbina talpacoti</v>
      </c>
      <c r="H12778" s="6" t="str">
        <f>VLOOKUP(E12778,dicionario!$A$1:$C13177,3,0)</f>
        <v>rolinha-roxa</v>
      </c>
    </row>
    <row r="12779">
      <c r="A12779" s="3">
        <v>45884.0</v>
      </c>
      <c r="B12779" s="4">
        <v>0.29583333333333334</v>
      </c>
      <c r="C12779" s="5" t="s">
        <v>40</v>
      </c>
      <c r="D12779" s="5" t="s">
        <v>1739</v>
      </c>
      <c r="E12779" s="8" t="s">
        <v>239</v>
      </c>
      <c r="F12779" s="5" t="s">
        <v>1749</v>
      </c>
      <c r="G12779" s="6" t="str">
        <f>VLOOKUP(E12779,dicionario!$A$1:$C13178,2,0)</f>
        <v>Gomphrena celosioides</v>
      </c>
      <c r="H12779" s="6" t="str">
        <f>VLOOKUP(E12779,dicionario!$A$1:$C13178,3,0)</f>
        <v>perpétua-branca</v>
      </c>
    </row>
    <row r="12780">
      <c r="A12780" s="3">
        <v>45884.0</v>
      </c>
      <c r="B12780" s="4">
        <v>0.29583333333333334</v>
      </c>
      <c r="C12780" s="5" t="s">
        <v>40</v>
      </c>
      <c r="D12780" s="5" t="s">
        <v>1739</v>
      </c>
      <c r="E12780" s="6" t="s">
        <v>144</v>
      </c>
      <c r="F12780" s="5" t="s">
        <v>1750</v>
      </c>
      <c r="G12780" s="6" t="str">
        <f>VLOOKUP(E12780,dicionario!$A$1:$C13179,2,0)</f>
        <v>Gomphrena globosa</v>
      </c>
      <c r="H12780" s="6" t="str">
        <f>VLOOKUP(E12780,dicionario!$A$1:$C13179,3,0)</f>
        <v>perpétua-rosa</v>
      </c>
    </row>
    <row r="12781">
      <c r="A12781" s="3">
        <v>45884.0</v>
      </c>
      <c r="B12781" s="4">
        <v>0.29583333333333334</v>
      </c>
      <c r="C12781" s="5" t="s">
        <v>40</v>
      </c>
      <c r="D12781" s="5" t="s">
        <v>1739</v>
      </c>
      <c r="E12781" s="8" t="s">
        <v>1751</v>
      </c>
      <c r="F12781" s="5" t="s">
        <v>1457</v>
      </c>
      <c r="G12781" s="6" t="str">
        <f>VLOOKUP(E12781,dicionario!$A$1:$C13180,2,0)</f>
        <v>#N/A</v>
      </c>
      <c r="H12781" s="6" t="str">
        <f>VLOOKUP(E12781,dicionario!$A$1:$C13180,3,0)</f>
        <v>#N/A</v>
      </c>
    </row>
    <row r="12782">
      <c r="A12782" s="3">
        <v>45884.0</v>
      </c>
      <c r="B12782" s="4">
        <v>0.29583333333333334</v>
      </c>
      <c r="C12782" s="5" t="s">
        <v>40</v>
      </c>
      <c r="D12782" s="5" t="s">
        <v>1739</v>
      </c>
      <c r="E12782" s="8" t="s">
        <v>390</v>
      </c>
      <c r="F12782" s="5" t="s">
        <v>391</v>
      </c>
      <c r="G12782" s="6" t="str">
        <f>VLOOKUP(E12782,dicionario!$A$1:$C13181,2,0)</f>
        <v>Oxalis barrelieri</v>
      </c>
      <c r="H12782" s="6" t="str">
        <f>VLOOKUP(E12782,dicionario!$A$1:$C13181,3,0)</f>
        <v>erva-azeda; azedinha </v>
      </c>
    </row>
    <row r="12783">
      <c r="A12783" s="3">
        <v>45884.0</v>
      </c>
      <c r="B12783" s="4">
        <v>0.29583333333333334</v>
      </c>
      <c r="C12783" s="5" t="s">
        <v>40</v>
      </c>
      <c r="D12783" s="5" t="s">
        <v>1739</v>
      </c>
      <c r="E12783" s="8" t="s">
        <v>1694</v>
      </c>
      <c r="F12783" s="5" t="s">
        <v>1695</v>
      </c>
      <c r="G12783" s="6" t="str">
        <f>VLOOKUP(E12783,dicionario!$A$1:$C13182,2,0)</f>
        <v>Conyza bonariensis</v>
      </c>
      <c r="H12783" s="6" t="str">
        <f>VLOOKUP(E12783,dicionario!$A$1:$C13182,3,0)</f>
        <v>buva</v>
      </c>
    </row>
    <row r="12784">
      <c r="A12784" s="3">
        <v>45884.0</v>
      </c>
      <c r="B12784" s="4">
        <v>0.29583333333333334</v>
      </c>
      <c r="C12784" s="5" t="s">
        <v>40</v>
      </c>
      <c r="D12784" s="5" t="s">
        <v>1739</v>
      </c>
      <c r="E12784" s="6" t="s">
        <v>215</v>
      </c>
      <c r="F12784" s="5" t="s">
        <v>216</v>
      </c>
      <c r="G12784" s="6" t="str">
        <f>VLOOKUP(E12784,dicionario!$A$1:$C13183,2,0)</f>
        <v>Pygochelidon cyanoleuca</v>
      </c>
      <c r="H12784" s="6" t="str">
        <f>VLOOKUP(E12784,dicionario!$A$1:$C13183,3,0)</f>
        <v>andorinha-pequena-de-casa</v>
      </c>
    </row>
    <row r="12785">
      <c r="A12785" s="3">
        <v>45884.0</v>
      </c>
      <c r="B12785" s="4">
        <v>0.2972222222222222</v>
      </c>
      <c r="C12785" s="5" t="s">
        <v>40</v>
      </c>
      <c r="D12785" s="5" t="s">
        <v>1739</v>
      </c>
      <c r="E12785" s="6" t="s">
        <v>191</v>
      </c>
      <c r="F12785" s="5" t="s">
        <v>192</v>
      </c>
      <c r="G12785" s="6" t="str">
        <f>VLOOKUP(E12785,dicionario!$A$1:$C13184,2,0)</f>
        <v>Patagioenas picazuro</v>
      </c>
      <c r="H12785" s="6" t="str">
        <f>VLOOKUP(E12785,dicionario!$A$1:$C13184,3,0)</f>
        <v>asa-branca; pomba-asa-branca; pocaçu</v>
      </c>
    </row>
    <row r="12786">
      <c r="A12786" s="3">
        <v>45884.0</v>
      </c>
      <c r="B12786" s="4">
        <v>0.29791666666666666</v>
      </c>
      <c r="C12786" s="5" t="s">
        <v>40</v>
      </c>
      <c r="D12786" s="5" t="s">
        <v>1739</v>
      </c>
      <c r="E12786" s="6" t="s">
        <v>193</v>
      </c>
      <c r="F12786" s="5" t="s">
        <v>194</v>
      </c>
      <c r="G12786" s="6" t="str">
        <f>VLOOKUP(E12786,dicionario!$A$1:$C13185,2,0)</f>
        <v>Conirostrum speciosum</v>
      </c>
      <c r="H12786" s="6" t="str">
        <f>VLOOKUP(E12786,dicionario!$A$1:$C13185,3,0)</f>
        <v>figuinha-de-rabo-castanho</v>
      </c>
    </row>
    <row r="12787">
      <c r="A12787" s="3">
        <v>45884.0</v>
      </c>
      <c r="B12787" s="4">
        <v>0.29791666666666666</v>
      </c>
      <c r="C12787" s="5" t="s">
        <v>40</v>
      </c>
      <c r="D12787" s="5" t="s">
        <v>1739</v>
      </c>
      <c r="E12787" s="6" t="s">
        <v>65</v>
      </c>
      <c r="F12787" s="5" t="s">
        <v>66</v>
      </c>
      <c r="G12787" s="6" t="str">
        <f>VLOOKUP(E12787,dicionario!$A$1:$C13186,2,0)</f>
        <v>Pitangus sulphutarus</v>
      </c>
      <c r="H12787" s="6" t="str">
        <f>VLOOKUP(E12787,dicionario!$A$1:$C13186,3,0)</f>
        <v>bem-te-vi</v>
      </c>
    </row>
    <row r="12788">
      <c r="A12788" s="3">
        <v>45884.0</v>
      </c>
      <c r="B12788" s="4">
        <v>0.2986111111111111</v>
      </c>
      <c r="C12788" s="5" t="s">
        <v>40</v>
      </c>
      <c r="D12788" s="5" t="s">
        <v>1739</v>
      </c>
      <c r="E12788" s="8" t="s">
        <v>20</v>
      </c>
      <c r="F12788" s="5" t="s">
        <v>21</v>
      </c>
      <c r="G12788" s="6" t="str">
        <f>VLOOKUP(E12788,dicionario!$A$1:$C13187,2,0)</f>
        <v>Sicalis flaveola</v>
      </c>
      <c r="H12788" s="6" t="str">
        <f>VLOOKUP(E12788,dicionario!$A$1:$C13187,3,0)</f>
        <v>canário-da-terra</v>
      </c>
    </row>
    <row r="12789">
      <c r="A12789" s="3">
        <v>45884.0</v>
      </c>
      <c r="B12789" s="4">
        <v>0.2986111111111111</v>
      </c>
      <c r="C12789" s="5" t="s">
        <v>40</v>
      </c>
      <c r="D12789" s="5" t="s">
        <v>1739</v>
      </c>
      <c r="E12789" s="6" t="s">
        <v>86</v>
      </c>
      <c r="F12789" s="5" t="s">
        <v>502</v>
      </c>
      <c r="G12789" s="6" t="str">
        <f>VLOOKUP(E12789,dicionario!$A$1:$C13188,2,0)</f>
        <v>Coereba flaveola</v>
      </c>
      <c r="H12789" s="6" t="str">
        <f>VLOOKUP(E12789,dicionario!$A$1:$C13188,3,0)</f>
        <v>cambacica</v>
      </c>
    </row>
    <row r="12790">
      <c r="A12790" s="3">
        <v>45884.0</v>
      </c>
      <c r="B12790" s="4">
        <v>0.2986111111111111</v>
      </c>
      <c r="C12790" s="5" t="s">
        <v>40</v>
      </c>
      <c r="D12790" s="5" t="s">
        <v>1739</v>
      </c>
      <c r="E12790" s="8" t="s">
        <v>213</v>
      </c>
      <c r="F12790" s="5" t="s">
        <v>214</v>
      </c>
      <c r="G12790" s="6" t="str">
        <f>VLOOKUP(E12790,dicionario!$A$1:$C13189,2,0)</f>
        <v>Myiozetetes similis</v>
      </c>
      <c r="H12790" s="6" t="str">
        <f>VLOOKUP(E12790,dicionario!$A$1:$C13189,3,0)</f>
        <v>bentevizinho-de-penacho-vermelho</v>
      </c>
    </row>
    <row r="12791">
      <c r="A12791" s="3">
        <v>45884.0</v>
      </c>
      <c r="B12791" s="4">
        <v>0.29930555555555555</v>
      </c>
      <c r="C12791" s="5" t="s">
        <v>40</v>
      </c>
      <c r="D12791" s="5" t="s">
        <v>1739</v>
      </c>
      <c r="E12791" s="6" t="s">
        <v>72</v>
      </c>
      <c r="F12791" s="5" t="s">
        <v>1043</v>
      </c>
      <c r="G12791" s="6" t="str">
        <f>VLOOKUP(E12791,dicionario!$A$1:$C13190,2,0)</f>
        <v>Thraupis palmarum</v>
      </c>
      <c r="H12791" s="6" t="str">
        <f>VLOOKUP(E12791,dicionario!$A$1:$C13190,3,0)</f>
        <v>sanhaço-do-coqueiro</v>
      </c>
    </row>
    <row r="12792">
      <c r="A12792" s="3">
        <v>45884.0</v>
      </c>
      <c r="B12792" s="4">
        <v>0.29930555555555555</v>
      </c>
      <c r="C12792" s="5" t="s">
        <v>40</v>
      </c>
      <c r="D12792" s="5" t="s">
        <v>1739</v>
      </c>
      <c r="E12792" s="6" t="s">
        <v>148</v>
      </c>
      <c r="F12792" s="5" t="s">
        <v>149</v>
      </c>
      <c r="G12792" s="6" t="str">
        <f>VLOOKUP(E12792,dicionario!$A$1:$C13191,2,0)</f>
        <v>Parthenium hysterophorus</v>
      </c>
      <c r="H12792" s="6" t="str">
        <f>VLOOKUP(E12792,dicionario!$A$1:$C13191,3,0)</f>
        <v>losna-branca</v>
      </c>
    </row>
    <row r="12793">
      <c r="A12793" s="3">
        <v>45884.0</v>
      </c>
      <c r="B12793" s="4">
        <v>0.29930555555555555</v>
      </c>
      <c r="C12793" s="5" t="s">
        <v>40</v>
      </c>
      <c r="D12793" s="5" t="s">
        <v>1739</v>
      </c>
      <c r="E12793" s="8" t="s">
        <v>271</v>
      </c>
      <c r="F12793" s="5" t="s">
        <v>1169</v>
      </c>
      <c r="G12793" s="6" t="str">
        <f>VLOOKUP(E12793,dicionario!$A$1:$C13192,2,0)</f>
        <v>Cyanthillium cinereum</v>
      </c>
      <c r="H12793" s="6" t="str">
        <f>VLOOKUP(E12793,dicionario!$A$1:$C13192,3,0)</f>
        <v>emília</v>
      </c>
    </row>
    <row r="12794">
      <c r="A12794" s="3">
        <v>45884.0</v>
      </c>
      <c r="B12794" s="4">
        <v>0.29930555555555555</v>
      </c>
      <c r="C12794" s="5" t="s">
        <v>40</v>
      </c>
      <c r="D12794" s="5" t="s">
        <v>1739</v>
      </c>
      <c r="E12794" s="8" t="s">
        <v>162</v>
      </c>
      <c r="F12794" s="5" t="s">
        <v>42</v>
      </c>
      <c r="G12794" s="6" t="str">
        <f>VLOOKUP(E12794,dicionario!$A$1:$C13193,2,0)</f>
        <v>Fluvicola nengeta</v>
      </c>
      <c r="H12794" s="6" t="str">
        <f>VLOOKUP(E12794,dicionario!$A$1:$C13193,3,0)</f>
        <v>lavadeira-mascarada</v>
      </c>
    </row>
    <row r="12795">
      <c r="A12795" s="3">
        <v>45884.0</v>
      </c>
      <c r="B12795" s="4">
        <v>0.3</v>
      </c>
      <c r="C12795" s="5" t="s">
        <v>40</v>
      </c>
      <c r="D12795" s="5" t="s">
        <v>1739</v>
      </c>
      <c r="E12795" s="6" t="s">
        <v>93</v>
      </c>
      <c r="F12795" s="5" t="s">
        <v>570</v>
      </c>
      <c r="G12795" s="6" t="str">
        <f>VLOOKUP(E12795,dicionario!$A$1:$C13194,2,0)</f>
        <v>Thraupis sayaca</v>
      </c>
      <c r="H12795" s="6" t="str">
        <f>VLOOKUP(E12795,dicionario!$A$1:$C13194,3,0)</f>
        <v>sanhaçu-cinzento</v>
      </c>
    </row>
    <row r="12796">
      <c r="A12796" s="3">
        <v>45884.0</v>
      </c>
      <c r="B12796" s="4">
        <v>0.3</v>
      </c>
      <c r="C12796" s="5" t="s">
        <v>40</v>
      </c>
      <c r="D12796" s="5" t="s">
        <v>1739</v>
      </c>
      <c r="E12796" s="6"/>
      <c r="F12796" s="52" t="s">
        <v>1752</v>
      </c>
      <c r="G12796" s="6" t="str">
        <f>VLOOKUP(E12796,dicionario!$A$1:$C13195,2,0)</f>
        <v>#N/A</v>
      </c>
      <c r="H12796" s="6" t="str">
        <f>VLOOKUP(E12796,dicionario!$A$1:$C13195,3,0)</f>
        <v>#N/A</v>
      </c>
    </row>
    <row r="12797">
      <c r="A12797" s="3">
        <v>45884.0</v>
      </c>
      <c r="B12797" s="4">
        <v>0.3034722222222222</v>
      </c>
      <c r="C12797" s="5" t="s">
        <v>50</v>
      </c>
      <c r="D12797" s="5" t="s">
        <v>1739</v>
      </c>
      <c r="E12797" s="8" t="s">
        <v>338</v>
      </c>
      <c r="F12797" s="5" t="s">
        <v>1454</v>
      </c>
      <c r="G12797" s="6" t="str">
        <f>VLOOKUP(E12797,dicionario!$A$1:$C13196,2,0)</f>
        <v>Atta</v>
      </c>
      <c r="H12797" s="6" t="str">
        <f>VLOOKUP(E12797,dicionario!$A$1:$C13196,3,0)</f>
        <v>saúva</v>
      </c>
    </row>
    <row r="12798">
      <c r="A12798" s="3">
        <v>45884.0</v>
      </c>
      <c r="B12798" s="4">
        <v>0.3034722222222222</v>
      </c>
      <c r="C12798" s="5" t="s">
        <v>50</v>
      </c>
      <c r="D12798" s="5" t="s">
        <v>1739</v>
      </c>
      <c r="E12798" s="8" t="s">
        <v>51</v>
      </c>
      <c r="F12798" s="5" t="s">
        <v>77</v>
      </c>
      <c r="G12798" s="6" t="str">
        <f>VLOOKUP(E12798,dicionario!$A$1:$C13197,2,0)</f>
        <v>Solenopsis</v>
      </c>
      <c r="H12798" s="6" t="str">
        <f>VLOOKUP(E12798,dicionario!$A$1:$C13197,3,0)</f>
        <v>formiga-quente; formiga-lava-pés; formiga-de-fogo</v>
      </c>
    </row>
    <row r="12799">
      <c r="A12799" s="3">
        <v>45884.0</v>
      </c>
      <c r="B12799" s="4">
        <v>0.3034722222222222</v>
      </c>
      <c r="C12799" s="5" t="s">
        <v>50</v>
      </c>
      <c r="D12799" s="5" t="s">
        <v>1739</v>
      </c>
      <c r="E12799" s="72" t="s">
        <v>1352</v>
      </c>
      <c r="F12799" s="5"/>
      <c r="G12799" s="6" t="str">
        <f>VLOOKUP(E12799,dicionario!$A$1:$C13198,2,0)</f>
        <v>#N/A</v>
      </c>
      <c r="H12799" s="6" t="str">
        <f>VLOOKUP(E12799,dicionario!$A$1:$C13198,3,0)</f>
        <v>#N/A</v>
      </c>
    </row>
    <row r="12800">
      <c r="A12800" s="3">
        <v>45884.0</v>
      </c>
      <c r="B12800" s="4">
        <v>0.3034722222222222</v>
      </c>
      <c r="C12800" s="5" t="s">
        <v>50</v>
      </c>
      <c r="D12800" s="5" t="s">
        <v>1739</v>
      </c>
      <c r="E12800" s="8" t="s">
        <v>1694</v>
      </c>
      <c r="F12800" s="5" t="s">
        <v>1695</v>
      </c>
      <c r="G12800" s="6" t="str">
        <f>VLOOKUP(E12800,dicionario!$A$1:$C13199,2,0)</f>
        <v>Conyza bonariensis</v>
      </c>
      <c r="H12800" s="6" t="str">
        <f>VLOOKUP(E12800,dicionario!$A$1:$C13199,3,0)</f>
        <v>buva</v>
      </c>
    </row>
    <row r="12801">
      <c r="A12801" s="3">
        <v>45884.0</v>
      </c>
      <c r="B12801" s="4">
        <v>0.3034722222222222</v>
      </c>
      <c r="C12801" s="5" t="s">
        <v>50</v>
      </c>
      <c r="D12801" s="5" t="s">
        <v>1739</v>
      </c>
      <c r="E12801" s="6" t="s">
        <v>177</v>
      </c>
      <c r="F12801" s="5" t="s">
        <v>178</v>
      </c>
      <c r="G12801" s="6" t="str">
        <f>VLOOKUP(E12801,dicionario!$A$1:$C13200,2,0)</f>
        <v>Elaenia flavogaster</v>
      </c>
      <c r="H12801" s="6" t="str">
        <f>VLOOKUP(E12801,dicionario!$A$1:$C13200,3,0)</f>
        <v>guaracava-de-barriga-amarela</v>
      </c>
    </row>
    <row r="12802">
      <c r="A12802" s="3">
        <v>45884.0</v>
      </c>
      <c r="B12802" s="4">
        <v>0.3034722222222222</v>
      </c>
      <c r="C12802" s="5" t="s">
        <v>50</v>
      </c>
      <c r="D12802" s="5" t="s">
        <v>1739</v>
      </c>
      <c r="E12802" s="6" t="s">
        <v>251</v>
      </c>
      <c r="F12802" s="5" t="s">
        <v>873</v>
      </c>
      <c r="G12802" s="6" t="str">
        <f>VLOOKUP(E12802,dicionario!$A$1:$C13201,2,0)</f>
        <v>Struthanthus flexicaulis</v>
      </c>
      <c r="H12802" s="6" t="str">
        <f>VLOOKUP(E12802,dicionario!$A$1:$C13201,3,0)</f>
        <v>erva-de-passarinho</v>
      </c>
    </row>
    <row r="12803">
      <c r="A12803" s="3">
        <v>45884.0</v>
      </c>
      <c r="B12803" s="4">
        <v>0.3034722222222222</v>
      </c>
      <c r="C12803" s="5" t="s">
        <v>50</v>
      </c>
      <c r="D12803" s="5" t="s">
        <v>1739</v>
      </c>
      <c r="E12803" s="8" t="s">
        <v>109</v>
      </c>
      <c r="F12803" s="5" t="s">
        <v>110</v>
      </c>
      <c r="G12803" s="6" t="str">
        <f>VLOOKUP(E12803,dicionario!$A$1:$C13202,2,0)</f>
        <v>Tillandsia stricta</v>
      </c>
      <c r="H12803" s="6" t="str">
        <f>VLOOKUP(E12803,dicionario!$A$1:$C13202,3,0)</f>
        <v>cravo-do-mato</v>
      </c>
    </row>
    <row r="12804">
      <c r="A12804" s="3">
        <v>45884.0</v>
      </c>
      <c r="B12804" s="4">
        <v>0.3034722222222222</v>
      </c>
      <c r="C12804" s="5" t="s">
        <v>50</v>
      </c>
      <c r="D12804" s="5" t="s">
        <v>1739</v>
      </c>
      <c r="E12804" s="6" t="s">
        <v>122</v>
      </c>
      <c r="F12804" s="5" t="s">
        <v>123</v>
      </c>
      <c r="G12804" s="6" t="str">
        <f>VLOOKUP(E12804,dicionario!$A$1:$C13203,2,0)</f>
        <v>Todirostrum cinereum</v>
      </c>
      <c r="H12804" s="6" t="str">
        <f>VLOOKUP(E12804,dicionario!$A$1:$C13203,3,0)</f>
        <v>ferreirinho-relógio</v>
      </c>
    </row>
    <row r="12805">
      <c r="A12805" s="3">
        <v>45884.0</v>
      </c>
      <c r="B12805" s="4">
        <v>0.3034722222222222</v>
      </c>
      <c r="C12805" s="5" t="s">
        <v>50</v>
      </c>
      <c r="D12805" s="5" t="s">
        <v>1739</v>
      </c>
      <c r="E12805" s="6" t="s">
        <v>65</v>
      </c>
      <c r="F12805" s="5" t="s">
        <v>66</v>
      </c>
      <c r="G12805" s="6" t="str">
        <f>VLOOKUP(E12805,dicionario!$A$1:$C13204,2,0)</f>
        <v>Pitangus sulphutarus</v>
      </c>
      <c r="H12805" s="6" t="str">
        <f>VLOOKUP(E12805,dicionario!$A$1:$C13204,3,0)</f>
        <v>bem-te-vi</v>
      </c>
    </row>
    <row r="12806">
      <c r="A12806" s="3">
        <v>45884.0</v>
      </c>
      <c r="B12806" s="4">
        <v>0.3034722222222222</v>
      </c>
      <c r="C12806" s="5" t="s">
        <v>50</v>
      </c>
      <c r="D12806" s="5" t="s">
        <v>1739</v>
      </c>
      <c r="E12806" s="6" t="s">
        <v>191</v>
      </c>
      <c r="F12806" s="5" t="s">
        <v>192</v>
      </c>
      <c r="G12806" s="6" t="str">
        <f>VLOOKUP(E12806,dicionario!$A$1:$C13205,2,0)</f>
        <v>Patagioenas picazuro</v>
      </c>
      <c r="H12806" s="6" t="str">
        <f>VLOOKUP(E12806,dicionario!$A$1:$C13205,3,0)</f>
        <v>asa-branca; pomba-asa-branca; pocaçu</v>
      </c>
    </row>
    <row r="12807">
      <c r="A12807" s="3">
        <v>45884.0</v>
      </c>
      <c r="B12807" s="4">
        <v>0.30416666666666664</v>
      </c>
      <c r="C12807" s="5" t="s">
        <v>50</v>
      </c>
      <c r="D12807" s="5" t="s">
        <v>1739</v>
      </c>
      <c r="E12807" s="8" t="s">
        <v>712</v>
      </c>
      <c r="F12807" s="5" t="s">
        <v>912</v>
      </c>
      <c r="G12807" s="6" t="str">
        <f>VLOOKUP(E12807,dicionario!$A$1:$C13206,2,0)</f>
        <v>Flavopunctelia soredica</v>
      </c>
      <c r="H12807" s="6" t="str">
        <f>VLOOKUP(E12807,dicionario!$A$1:$C13206,3,0)</f>
        <v>líquen-folioso</v>
      </c>
    </row>
    <row r="12808">
      <c r="A12808" s="3">
        <v>45884.0</v>
      </c>
      <c r="B12808" s="4">
        <v>0.30416666666666664</v>
      </c>
      <c r="C12808" s="5" t="s">
        <v>50</v>
      </c>
      <c r="D12808" s="5" t="s">
        <v>1739</v>
      </c>
      <c r="E12808" s="8" t="s">
        <v>122</v>
      </c>
      <c r="F12808" s="5" t="s">
        <v>911</v>
      </c>
      <c r="G12808" s="6" t="str">
        <f>VLOOKUP(E12808,dicionario!$A$1:$C13207,2,0)</f>
        <v>Todirostrum cinereum</v>
      </c>
      <c r="H12808" s="6" t="str">
        <f>VLOOKUP(E12808,dicionario!$A$1:$C13207,3,0)</f>
        <v>ferreirinho-relógio</v>
      </c>
    </row>
    <row r="12809">
      <c r="A12809" s="3">
        <v>45884.0</v>
      </c>
      <c r="B12809" s="4">
        <v>0.30416666666666664</v>
      </c>
      <c r="C12809" s="5" t="s">
        <v>50</v>
      </c>
      <c r="D12809" s="5" t="s">
        <v>1739</v>
      </c>
      <c r="E12809" s="8" t="s">
        <v>20</v>
      </c>
      <c r="F12809" s="5" t="s">
        <v>21</v>
      </c>
      <c r="G12809" s="6" t="str">
        <f>VLOOKUP(E12809,dicionario!$A$1:$C13208,2,0)</f>
        <v>Sicalis flaveola</v>
      </c>
      <c r="H12809" s="6" t="str">
        <f>VLOOKUP(E12809,dicionario!$A$1:$C13208,3,0)</f>
        <v>canário-da-terra</v>
      </c>
    </row>
    <row r="12810">
      <c r="A12810" s="3">
        <v>45884.0</v>
      </c>
      <c r="B12810" s="4">
        <v>0.30416666666666664</v>
      </c>
      <c r="C12810" s="5" t="s">
        <v>50</v>
      </c>
      <c r="D12810" s="5" t="s">
        <v>1739</v>
      </c>
      <c r="E12810" s="9" t="s">
        <v>105</v>
      </c>
      <c r="F12810" s="5" t="s">
        <v>106</v>
      </c>
      <c r="G12810" s="6" t="str">
        <f>VLOOKUP(E12810,dicionario!$A$1:$C13209,2,0)</f>
        <v>Progne tapera</v>
      </c>
      <c r="H12810" s="6" t="str">
        <f>VLOOKUP(E12810,dicionario!$A$1:$C13209,3,0)</f>
        <v>andorinha-do-campo</v>
      </c>
    </row>
    <row r="12811">
      <c r="A12811" s="3">
        <v>45884.0</v>
      </c>
      <c r="B12811" s="4">
        <v>0.30833333333333335</v>
      </c>
      <c r="C12811" s="5" t="s">
        <v>59</v>
      </c>
      <c r="D12811" s="5" t="s">
        <v>1739</v>
      </c>
      <c r="E12811" s="8" t="s">
        <v>109</v>
      </c>
      <c r="F12811" s="5" t="s">
        <v>1753</v>
      </c>
      <c r="G12811" s="6" t="str">
        <f>VLOOKUP(E12811,dicionario!$A$1:$C13210,2,0)</f>
        <v>Tillandsia stricta</v>
      </c>
      <c r="H12811" s="6" t="str">
        <f>VLOOKUP(E12811,dicionario!$A$1:$C13210,3,0)</f>
        <v>cravo-do-mato</v>
      </c>
    </row>
    <row r="12812">
      <c r="A12812" s="3">
        <v>45884.0</v>
      </c>
      <c r="B12812" s="4">
        <v>0.30833333333333335</v>
      </c>
      <c r="C12812" s="5" t="s">
        <v>59</v>
      </c>
      <c r="D12812" s="5" t="s">
        <v>1739</v>
      </c>
      <c r="E12812" s="6"/>
      <c r="F12812" s="52" t="s">
        <v>983</v>
      </c>
      <c r="G12812" s="6" t="str">
        <f>VLOOKUP(E12812,dicionario!$A$1:$C13211,2,0)</f>
        <v>#N/A</v>
      </c>
      <c r="H12812" s="6" t="str">
        <f>VLOOKUP(E12812,dicionario!$A$1:$C13211,3,0)</f>
        <v>#N/A</v>
      </c>
    </row>
    <row r="12813">
      <c r="A12813" s="3">
        <v>45884.0</v>
      </c>
      <c r="B12813" s="4">
        <v>0.3138888888888889</v>
      </c>
      <c r="C12813" s="5" t="s">
        <v>59</v>
      </c>
      <c r="D12813" s="5" t="s">
        <v>1739</v>
      </c>
      <c r="E12813" s="6"/>
      <c r="F12813" s="52" t="s">
        <v>1754</v>
      </c>
      <c r="G12813" s="6" t="str">
        <f>VLOOKUP(E12813,dicionario!$A$1:$C13212,2,0)</f>
        <v>#N/A</v>
      </c>
      <c r="H12813" s="6" t="str">
        <f>VLOOKUP(E12813,dicionario!$A$1:$C13212,3,0)</f>
        <v>#N/A</v>
      </c>
    </row>
    <row r="12814">
      <c r="A12814" s="3">
        <v>45884.0</v>
      </c>
      <c r="B12814" s="4">
        <v>0.3138888888888889</v>
      </c>
      <c r="C12814" s="5" t="s">
        <v>59</v>
      </c>
      <c r="D12814" s="5" t="s">
        <v>1739</v>
      </c>
      <c r="E12814" s="6"/>
      <c r="F12814" s="52" t="s">
        <v>1755</v>
      </c>
      <c r="G12814" s="6" t="str">
        <f>VLOOKUP(E12814,dicionario!$A$1:$C13213,2,0)</f>
        <v>#N/A</v>
      </c>
      <c r="H12814" s="6" t="str">
        <f>VLOOKUP(E12814,dicionario!$A$1:$C13213,3,0)</f>
        <v>#N/A</v>
      </c>
    </row>
    <row r="12815">
      <c r="A12815" s="3">
        <v>45884.0</v>
      </c>
      <c r="B12815" s="4">
        <v>0.3138888888888889</v>
      </c>
      <c r="C12815" s="5" t="s">
        <v>59</v>
      </c>
      <c r="D12815" s="5" t="s">
        <v>1739</v>
      </c>
      <c r="E12815" s="8" t="s">
        <v>909</v>
      </c>
      <c r="F12815" s="5" t="s">
        <v>910</v>
      </c>
      <c r="G12815" s="6" t="str">
        <f>VLOOKUP(E12815,dicionario!$A$1:$C13214,2,0)</f>
        <v>Chordeiles acutipennis</v>
      </c>
      <c r="H12815" s="6" t="str">
        <f>VLOOKUP(E12815,dicionario!$A$1:$C13214,3,0)</f>
        <v>bacurau-de-asa-fina</v>
      </c>
    </row>
    <row r="12816">
      <c r="A12816" s="3">
        <v>45884.0</v>
      </c>
      <c r="B12816" s="4">
        <v>0.3138888888888889</v>
      </c>
      <c r="C12816" s="5" t="s">
        <v>59</v>
      </c>
      <c r="D12816" s="5" t="s">
        <v>1739</v>
      </c>
      <c r="E12816" s="8" t="s">
        <v>38</v>
      </c>
      <c r="F12816" s="5" t="s">
        <v>1672</v>
      </c>
      <c r="G12816" s="6" t="str">
        <f>VLOOKUP(E12816,dicionario!$A$1:$C13215,2,0)</f>
        <v>Troglodytes musculus</v>
      </c>
      <c r="H12816" s="6" t="str">
        <f>VLOOKUP(E12816,dicionario!$A$1:$C13215,3,0)</f>
        <v>curruíra</v>
      </c>
    </row>
    <row r="12817">
      <c r="A12817" s="3">
        <v>45884.0</v>
      </c>
      <c r="B12817" s="4">
        <v>0.3138888888888889</v>
      </c>
      <c r="C12817" s="5" t="s">
        <v>59</v>
      </c>
      <c r="D12817" s="5" t="s">
        <v>1739</v>
      </c>
      <c r="E12817" s="8" t="s">
        <v>1694</v>
      </c>
      <c r="F12817" s="5" t="s">
        <v>1695</v>
      </c>
      <c r="G12817" s="6" t="str">
        <f>VLOOKUP(E12817,dicionario!$A$1:$C13216,2,0)</f>
        <v>Conyza bonariensis</v>
      </c>
      <c r="H12817" s="6" t="str">
        <f>VLOOKUP(E12817,dicionario!$A$1:$C13216,3,0)</f>
        <v>buva</v>
      </c>
    </row>
    <row r="12818">
      <c r="A12818" s="3">
        <v>45884.0</v>
      </c>
      <c r="B12818" s="4">
        <v>0.3145833333333333</v>
      </c>
      <c r="C12818" s="5" t="s">
        <v>59</v>
      </c>
      <c r="D12818" s="5" t="s">
        <v>1739</v>
      </c>
      <c r="E12818" s="6" t="s">
        <v>148</v>
      </c>
      <c r="F12818" s="5" t="s">
        <v>149</v>
      </c>
      <c r="G12818" s="6" t="str">
        <f>VLOOKUP(E12818,dicionario!$A$1:$C13217,2,0)</f>
        <v>Parthenium hysterophorus</v>
      </c>
      <c r="H12818" s="6" t="str">
        <f>VLOOKUP(E12818,dicionario!$A$1:$C13217,3,0)</f>
        <v>losna-branca</v>
      </c>
    </row>
    <row r="12819">
      <c r="A12819" s="3">
        <v>45884.0</v>
      </c>
      <c r="B12819" s="4">
        <v>0.3145833333333333</v>
      </c>
      <c r="C12819" s="5" t="s">
        <v>59</v>
      </c>
      <c r="D12819" s="5" t="s">
        <v>1739</v>
      </c>
      <c r="E12819" s="6" t="s">
        <v>53</v>
      </c>
      <c r="F12819" s="5" t="s">
        <v>54</v>
      </c>
      <c r="G12819" s="6" t="str">
        <f>VLOOKUP(E12819,dicionario!$A$1:$C13218,2,0)</f>
        <v>Turnera subulata</v>
      </c>
      <c r="H12819" s="6" t="str">
        <f>VLOOKUP(E12819,dicionario!$A$1:$C13218,3,0)</f>
        <v>xanana</v>
      </c>
    </row>
    <row r="12820">
      <c r="A12820" s="3">
        <v>45884.0</v>
      </c>
      <c r="B12820" s="4">
        <v>0.3145833333333333</v>
      </c>
      <c r="C12820" s="5" t="s">
        <v>59</v>
      </c>
      <c r="D12820" s="5" t="s">
        <v>1739</v>
      </c>
      <c r="E12820" s="8" t="s">
        <v>498</v>
      </c>
      <c r="F12820" s="5" t="s">
        <v>499</v>
      </c>
      <c r="G12820" s="6" t="str">
        <f>VLOOKUP(E12820,dicionario!$A$1:$C13219,2,0)</f>
        <v>Brachiaria decumbens</v>
      </c>
      <c r="H12820" s="6" t="str">
        <f>VLOOKUP(E12820,dicionario!$A$1:$C13219,3,0)</f>
        <v>capim-braquiária</v>
      </c>
    </row>
    <row r="12821">
      <c r="A12821" s="3">
        <v>45884.0</v>
      </c>
      <c r="B12821" s="4">
        <v>0.3145833333333333</v>
      </c>
      <c r="C12821" s="5" t="s">
        <v>59</v>
      </c>
      <c r="D12821" s="5" t="s">
        <v>1739</v>
      </c>
      <c r="E12821" s="8" t="s">
        <v>107</v>
      </c>
      <c r="F12821" s="5" t="s">
        <v>108</v>
      </c>
      <c r="G12821" s="6" t="str">
        <f>VLOOKUP(E12821,dicionario!$A$1:$C13220,2,0)</f>
        <v>Ramalina complanata</v>
      </c>
      <c r="H12821" s="6" t="str">
        <f>VLOOKUP(E12821,dicionario!$A$1:$C13220,3,0)</f>
        <v>ramalina</v>
      </c>
    </row>
    <row r="12822">
      <c r="A12822" s="3">
        <v>45884.0</v>
      </c>
      <c r="B12822" s="4">
        <v>0.3145833333333333</v>
      </c>
      <c r="C12822" s="5" t="s">
        <v>59</v>
      </c>
      <c r="D12822" s="5" t="s">
        <v>1739</v>
      </c>
      <c r="E12822" s="8" t="s">
        <v>712</v>
      </c>
      <c r="F12822" s="5" t="s">
        <v>912</v>
      </c>
      <c r="G12822" s="6" t="str">
        <f>VLOOKUP(E12822,dicionario!$A$1:$C13221,2,0)</f>
        <v>Flavopunctelia soredica</v>
      </c>
      <c r="H12822" s="6" t="str">
        <f>VLOOKUP(E12822,dicionario!$A$1:$C13221,3,0)</f>
        <v>líquen-folioso</v>
      </c>
    </row>
    <row r="12823">
      <c r="A12823" s="3">
        <v>45884.0</v>
      </c>
      <c r="B12823" s="4">
        <v>0.3159722222222222</v>
      </c>
      <c r="C12823" s="5" t="s">
        <v>59</v>
      </c>
      <c r="D12823" s="5" t="s">
        <v>1739</v>
      </c>
      <c r="E12823" s="8" t="s">
        <v>719</v>
      </c>
      <c r="F12823" s="5" t="s">
        <v>911</v>
      </c>
      <c r="G12823" s="6" t="str">
        <f>VLOOKUP(E12823,dicionario!$A$1:$C13222,2,0)</f>
        <v>Dirinaria</v>
      </c>
      <c r="H12823" s="6" t="str">
        <f>VLOOKUP(E12823,dicionario!$A$1:$C13222,3,0)</f>
        <v>líquen-crostoso</v>
      </c>
    </row>
    <row r="12824">
      <c r="A12824" s="3">
        <v>45884.0</v>
      </c>
      <c r="B12824" s="4">
        <v>0.3159722222222222</v>
      </c>
      <c r="C12824" s="5" t="s">
        <v>59</v>
      </c>
      <c r="D12824" s="5" t="s">
        <v>1739</v>
      </c>
      <c r="E12824" s="8" t="s">
        <v>14</v>
      </c>
      <c r="F12824" s="5" t="s">
        <v>15</v>
      </c>
      <c r="G12824" s="6" t="str">
        <f>VLOOKUP(E12824,dicionario!$A$1:$C13223,2,0)</f>
        <v>Spermacoce verticillata</v>
      </c>
      <c r="H12824" s="6" t="str">
        <f>VLOOKUP(E12824,dicionario!$A$1:$C13223,3,0)</f>
        <v>vassourinha-de-botão</v>
      </c>
    </row>
    <row r="12825">
      <c r="A12825" s="3">
        <v>45884.0</v>
      </c>
      <c r="B12825" s="4">
        <v>0.3159722222222222</v>
      </c>
      <c r="C12825" s="5" t="s">
        <v>59</v>
      </c>
      <c r="D12825" s="5" t="s">
        <v>1739</v>
      </c>
      <c r="E12825" s="6"/>
      <c r="F12825" s="52" t="s">
        <v>1752</v>
      </c>
      <c r="G12825" s="6" t="str">
        <f>VLOOKUP(E12825,dicionario!$A$1:$C13224,2,0)</f>
        <v>#N/A</v>
      </c>
      <c r="H12825" s="6" t="str">
        <f>VLOOKUP(E12825,dicionario!$A$1:$C13224,3,0)</f>
        <v>#N/A</v>
      </c>
    </row>
    <row r="12826">
      <c r="A12826" s="3">
        <v>45884.0</v>
      </c>
      <c r="B12826" s="4">
        <v>0.3159722222222222</v>
      </c>
      <c r="C12826" s="5" t="s">
        <v>59</v>
      </c>
      <c r="D12826" s="5" t="s">
        <v>1739</v>
      </c>
      <c r="E12826" s="8" t="s">
        <v>1344</v>
      </c>
      <c r="F12826" s="5" t="s">
        <v>47</v>
      </c>
      <c r="G12826" s="6" t="str">
        <f>VLOOKUP(E12826,dicionario!$A$1:$C13225,2,0)</f>
        <v>#N/A</v>
      </c>
      <c r="H12826" s="6" t="str">
        <f>VLOOKUP(E12826,dicionario!$A$1:$C13225,3,0)</f>
        <v>#N/A</v>
      </c>
    </row>
    <row r="12827">
      <c r="A12827" s="3">
        <v>45884.0</v>
      </c>
      <c r="B12827" s="4">
        <v>0.3159722222222222</v>
      </c>
      <c r="C12827" s="5" t="s">
        <v>59</v>
      </c>
      <c r="D12827" s="5" t="s">
        <v>1739</v>
      </c>
      <c r="E12827" s="6" t="s">
        <v>177</v>
      </c>
      <c r="F12827" s="5" t="s">
        <v>178</v>
      </c>
      <c r="G12827" s="6" t="str">
        <f>VLOOKUP(E12827,dicionario!$A$1:$C13226,2,0)</f>
        <v>Elaenia flavogaster</v>
      </c>
      <c r="H12827" s="6" t="str">
        <f>VLOOKUP(E12827,dicionario!$A$1:$C13226,3,0)</f>
        <v>guaracava-de-barriga-amarela</v>
      </c>
    </row>
    <row r="12828">
      <c r="A12828" s="3">
        <v>45884.0</v>
      </c>
      <c r="B12828" s="4">
        <v>0.3159722222222222</v>
      </c>
      <c r="C12828" s="5" t="s">
        <v>59</v>
      </c>
      <c r="D12828" s="5" t="s">
        <v>1739</v>
      </c>
      <c r="E12828" s="6" t="s">
        <v>353</v>
      </c>
      <c r="F12828" s="5" t="s">
        <v>354</v>
      </c>
      <c r="G12828" s="6" t="str">
        <f>VLOOKUP(E12828,dicionario!$A$1:$C13227,2,0)</f>
        <v>Desmodium incanum</v>
      </c>
      <c r="H12828" s="6" t="str">
        <f>VLOOKUP(E12828,dicionario!$A$1:$C13227,3,0)</f>
        <v>pega-pega</v>
      </c>
    </row>
    <row r="12829">
      <c r="A12829" s="3">
        <v>45884.0</v>
      </c>
      <c r="B12829" s="4">
        <v>0.3159722222222222</v>
      </c>
      <c r="C12829" s="5" t="s">
        <v>59</v>
      </c>
      <c r="D12829" s="5" t="s">
        <v>1739</v>
      </c>
      <c r="E12829" s="6" t="s">
        <v>340</v>
      </c>
      <c r="F12829" s="5" t="s">
        <v>1756</v>
      </c>
      <c r="G12829" s="6" t="str">
        <f>VLOOKUP(E12829,dicionario!$A$1:$C13228,2,0)</f>
        <v>#N/A</v>
      </c>
      <c r="H12829" s="6" t="str">
        <f>VLOOKUP(E12829,dicionario!$A$1:$C13228,3,0)</f>
        <v>#N/A</v>
      </c>
    </row>
    <row r="12830">
      <c r="A12830" s="3">
        <v>45884.0</v>
      </c>
      <c r="B12830" s="4">
        <v>0.31875</v>
      </c>
      <c r="C12830" s="5" t="s">
        <v>59</v>
      </c>
      <c r="D12830" s="5" t="s">
        <v>1739</v>
      </c>
      <c r="E12830" s="6" t="s">
        <v>60</v>
      </c>
      <c r="F12830" s="5" t="s">
        <v>61</v>
      </c>
      <c r="G12830" s="6" t="str">
        <f>VLOOKUP(E12830,dicionario!$A$1:$C13229,2,0)</f>
        <v>Vanellus chilensis</v>
      </c>
      <c r="H12830" s="6" t="str">
        <f>VLOOKUP(E12830,dicionario!$A$1:$C13229,3,0)</f>
        <v>quero-quero</v>
      </c>
    </row>
    <row r="12831">
      <c r="A12831" s="3">
        <v>45884.0</v>
      </c>
      <c r="B12831" s="4">
        <v>0.31875</v>
      </c>
      <c r="C12831" s="5" t="s">
        <v>59</v>
      </c>
      <c r="D12831" s="5" t="s">
        <v>1739</v>
      </c>
      <c r="E12831" s="6" t="s">
        <v>65</v>
      </c>
      <c r="F12831" s="5" t="s">
        <v>66</v>
      </c>
      <c r="G12831" s="6" t="str">
        <f>VLOOKUP(E12831,dicionario!$A$1:$C13230,2,0)</f>
        <v>Pitangus sulphutarus</v>
      </c>
      <c r="H12831" s="6" t="str">
        <f>VLOOKUP(E12831,dicionario!$A$1:$C13230,3,0)</f>
        <v>bem-te-vi</v>
      </c>
    </row>
    <row r="12832">
      <c r="A12832" s="3">
        <v>45884.0</v>
      </c>
      <c r="B12832" s="4">
        <v>0.31875</v>
      </c>
      <c r="C12832" s="5" t="s">
        <v>59</v>
      </c>
      <c r="D12832" s="5" t="s">
        <v>1739</v>
      </c>
      <c r="E12832" s="6" t="s">
        <v>213</v>
      </c>
      <c r="F12832" s="5" t="s">
        <v>214</v>
      </c>
      <c r="G12832" s="6" t="str">
        <f>VLOOKUP(E12832,dicionario!$A$1:$C13231,2,0)</f>
        <v>Myiozetetes similis</v>
      </c>
      <c r="H12832" s="6" t="str">
        <f>VLOOKUP(E12832,dicionario!$A$1:$C13231,3,0)</f>
        <v>bentevizinho-de-penacho-vermelho</v>
      </c>
    </row>
    <row r="12833">
      <c r="A12833" s="3">
        <v>45884.0</v>
      </c>
      <c r="B12833" s="4">
        <v>0.31875</v>
      </c>
      <c r="C12833" s="5" t="s">
        <v>59</v>
      </c>
      <c r="D12833" s="5" t="s">
        <v>1739</v>
      </c>
      <c r="E12833" s="6" t="s">
        <v>113</v>
      </c>
      <c r="F12833" s="5" t="s">
        <v>114</v>
      </c>
      <c r="G12833" s="6" t="str">
        <f>VLOOKUP(E12833,dicionario!$A$1:$C13232,2,0)</f>
        <v>Columbina talpacoti</v>
      </c>
      <c r="H12833" s="6" t="str">
        <f>VLOOKUP(E12833,dicionario!$A$1:$C13232,3,0)</f>
        <v>rolinha-roxa</v>
      </c>
    </row>
    <row r="12834">
      <c r="A12834" s="3">
        <v>45884.0</v>
      </c>
      <c r="B12834" s="4">
        <v>0.31875</v>
      </c>
      <c r="C12834" s="5" t="s">
        <v>59</v>
      </c>
      <c r="D12834" s="5" t="s">
        <v>1739</v>
      </c>
      <c r="E12834" s="6" t="s">
        <v>22</v>
      </c>
      <c r="F12834" s="5" t="s">
        <v>97</v>
      </c>
      <c r="G12834" s="6" t="str">
        <f>VLOOKUP(E12834,dicionario!$A$1:$C13233,2,0)</f>
        <v>Zenaida auriculata</v>
      </c>
      <c r="H12834" s="6" t="str">
        <f>VLOOKUP(E12834,dicionario!$A$1:$C13233,3,0)</f>
        <v>pomba-de-bando; avoante</v>
      </c>
    </row>
    <row r="12835">
      <c r="A12835" s="3">
        <v>45884.0</v>
      </c>
      <c r="B12835" s="4">
        <v>0.32013888888888886</v>
      </c>
      <c r="C12835" s="5" t="s">
        <v>59</v>
      </c>
      <c r="D12835" s="5" t="s">
        <v>1739</v>
      </c>
      <c r="E12835" s="6" t="s">
        <v>88</v>
      </c>
      <c r="F12835" s="5" t="s">
        <v>89</v>
      </c>
      <c r="G12835" s="6" t="str">
        <f>VLOOKUP(E12835,dicionario!$A$1:$C13234,2,0)</f>
        <v>Tyrannus melancolichus</v>
      </c>
      <c r="H12835" s="6" t="str">
        <f>VLOOKUP(E12835,dicionario!$A$1:$C13234,3,0)</f>
        <v>suiriri</v>
      </c>
    </row>
    <row r="12836">
      <c r="A12836" s="3">
        <v>45884.0</v>
      </c>
      <c r="B12836" s="4">
        <v>0.3215277777777778</v>
      </c>
      <c r="C12836" s="5" t="s">
        <v>59</v>
      </c>
      <c r="D12836" s="5" t="s">
        <v>1739</v>
      </c>
      <c r="E12836" s="6" t="s">
        <v>86</v>
      </c>
      <c r="F12836" s="5" t="s">
        <v>502</v>
      </c>
      <c r="G12836" s="6" t="str">
        <f>VLOOKUP(E12836,dicionario!$A$1:$C13235,2,0)</f>
        <v>Coereba flaveola</v>
      </c>
      <c r="H12836" s="6" t="str">
        <f>VLOOKUP(E12836,dicionario!$A$1:$C13235,3,0)</f>
        <v>cambacica</v>
      </c>
    </row>
    <row r="12837">
      <c r="A12837" s="3">
        <v>45884.0</v>
      </c>
      <c r="B12837" s="4">
        <v>0.3215277777777778</v>
      </c>
      <c r="C12837" s="5" t="s">
        <v>59</v>
      </c>
      <c r="D12837" s="5" t="s">
        <v>1739</v>
      </c>
      <c r="E12837" s="8" t="s">
        <v>16</v>
      </c>
      <c r="F12837" s="5" t="s">
        <v>17</v>
      </c>
      <c r="G12837" s="6" t="str">
        <f>VLOOKUP(E12837,dicionario!$A$1:$C13236,2,0)</f>
        <v>Eupetomena macroura</v>
      </c>
      <c r="H12837" s="6" t="str">
        <f>VLOOKUP(E12837,dicionario!$A$1:$C13236,3,0)</f>
        <v>beija-flor-tesoura</v>
      </c>
    </row>
    <row r="12838">
      <c r="A12838" s="3">
        <v>45884.0</v>
      </c>
      <c r="B12838" s="4">
        <v>0.3215277777777778</v>
      </c>
      <c r="C12838" s="5" t="s">
        <v>64</v>
      </c>
      <c r="D12838" s="5" t="s">
        <v>1739</v>
      </c>
      <c r="E12838" s="6" t="s">
        <v>251</v>
      </c>
      <c r="F12838" s="5" t="s">
        <v>873</v>
      </c>
      <c r="G12838" s="6" t="str">
        <f>VLOOKUP(E12838,dicionario!$A$1:$C13237,2,0)</f>
        <v>Struthanthus flexicaulis</v>
      </c>
      <c r="H12838" s="6" t="str">
        <f>VLOOKUP(E12838,dicionario!$A$1:$C13237,3,0)</f>
        <v>erva-de-passarinho</v>
      </c>
    </row>
    <row r="12839">
      <c r="A12839" s="3">
        <v>45884.0</v>
      </c>
      <c r="B12839" s="4">
        <v>0.3215277777777778</v>
      </c>
      <c r="C12839" s="5" t="s">
        <v>64</v>
      </c>
      <c r="D12839" s="5" t="s">
        <v>1739</v>
      </c>
      <c r="E12839" s="8" t="s">
        <v>69</v>
      </c>
      <c r="F12839" s="5" t="s">
        <v>71</v>
      </c>
      <c r="G12839" s="6" t="str">
        <f>VLOOKUP(E12839,dicionario!$A$1:$C13238,2,0)</f>
        <v>Talinum fruticosum</v>
      </c>
      <c r="H12839" s="6" t="str">
        <f>VLOOKUP(E12839,dicionario!$A$1:$C13238,3,0)</f>
        <v>beldroega-grande</v>
      </c>
    </row>
    <row r="12840">
      <c r="A12840" s="3">
        <v>45884.0</v>
      </c>
      <c r="B12840" s="4">
        <v>0.3215277777777778</v>
      </c>
      <c r="C12840" s="5" t="s">
        <v>64</v>
      </c>
      <c r="D12840" s="5" t="s">
        <v>1739</v>
      </c>
      <c r="E12840" s="6" t="s">
        <v>489</v>
      </c>
      <c r="F12840" s="5" t="s">
        <v>521</v>
      </c>
      <c r="G12840" s="6" t="str">
        <f>VLOOKUP(E12840,dicionario!$A$1:$C13239,2,0)</f>
        <v>Cenchrus echinatus</v>
      </c>
      <c r="H12840" s="6" t="str">
        <f>VLOOKUP(E12840,dicionario!$A$1:$C13239,3,0)</f>
        <v>capim-carrapicho</v>
      </c>
    </row>
    <row r="12841">
      <c r="A12841" s="3">
        <v>45884.0</v>
      </c>
      <c r="B12841" s="4">
        <v>0.32222222222222224</v>
      </c>
      <c r="C12841" s="5" t="s">
        <v>64</v>
      </c>
      <c r="D12841" s="5" t="s">
        <v>1739</v>
      </c>
      <c r="E12841" s="8" t="s">
        <v>498</v>
      </c>
      <c r="F12841" s="5" t="s">
        <v>499</v>
      </c>
      <c r="G12841" s="6" t="str">
        <f>VLOOKUP(E12841,dicionario!$A$1:$C13240,2,0)</f>
        <v>Brachiaria decumbens</v>
      </c>
      <c r="H12841" s="6" t="str">
        <f>VLOOKUP(E12841,dicionario!$A$1:$C13240,3,0)</f>
        <v>capim-braquiária</v>
      </c>
    </row>
    <row r="12842">
      <c r="A12842" s="3">
        <v>45884.0</v>
      </c>
      <c r="B12842" s="4">
        <v>0.32222222222222224</v>
      </c>
      <c r="C12842" s="5" t="s">
        <v>64</v>
      </c>
      <c r="D12842" s="5" t="s">
        <v>1739</v>
      </c>
      <c r="E12842" s="6" t="s">
        <v>141</v>
      </c>
      <c r="F12842" s="5" t="s">
        <v>142</v>
      </c>
      <c r="G12842" s="6" t="str">
        <f>VLOOKUP(E12842,dicionario!$A$1:$C13241,2,0)</f>
        <v>Ruellia blechum</v>
      </c>
      <c r="H12842" s="6" t="str">
        <f>VLOOKUP(E12842,dicionario!$A$1:$C13241,3,0)</f>
        <v>camarão-verde</v>
      </c>
    </row>
    <row r="12843">
      <c r="A12843" s="3">
        <v>45884.0</v>
      </c>
      <c r="B12843" s="4">
        <v>0.32222222222222224</v>
      </c>
      <c r="C12843" s="5" t="s">
        <v>64</v>
      </c>
      <c r="D12843" s="5" t="s">
        <v>1739</v>
      </c>
      <c r="E12843" s="6" t="s">
        <v>319</v>
      </c>
      <c r="F12843" s="5" t="s">
        <v>320</v>
      </c>
      <c r="G12843" s="6" t="str">
        <f>VLOOKUP(E12843,dicionario!$A$1:$C13242,2,0)</f>
        <v>Schinus terebinthifolia</v>
      </c>
      <c r="H12843" s="6" t="str">
        <f>VLOOKUP(E12843,dicionario!$A$1:$C13242,3,0)</f>
        <v>aroeira</v>
      </c>
    </row>
    <row r="12844">
      <c r="A12844" s="3">
        <v>45884.0</v>
      </c>
      <c r="B12844" s="4">
        <v>0.32222222222222224</v>
      </c>
      <c r="C12844" s="5" t="s">
        <v>64</v>
      </c>
      <c r="D12844" s="5" t="s">
        <v>1739</v>
      </c>
      <c r="E12844" s="6" t="s">
        <v>175</v>
      </c>
      <c r="F12844" s="5" t="s">
        <v>176</v>
      </c>
      <c r="G12844" s="6" t="str">
        <f>VLOOKUP(E12844,dicionario!$A$1:$C13243,2,0)</f>
        <v>Turdus leucomelas</v>
      </c>
      <c r="H12844" s="6" t="str">
        <f>VLOOKUP(E12844,dicionario!$A$1:$C13243,3,0)</f>
        <v>sabiá-barranco</v>
      </c>
    </row>
    <row r="12845">
      <c r="A12845" s="3">
        <v>45884.0</v>
      </c>
      <c r="B12845" s="4">
        <v>0.32222222222222224</v>
      </c>
      <c r="C12845" s="5" t="s">
        <v>64</v>
      </c>
      <c r="D12845" s="5" t="s">
        <v>1739</v>
      </c>
      <c r="E12845" s="6" t="s">
        <v>290</v>
      </c>
      <c r="F12845" s="5" t="s">
        <v>291</v>
      </c>
      <c r="G12845" s="6" t="str">
        <f>VLOOKUP(E12845,dicionario!$A$1:$C13244,2,0)</f>
        <v>Drymaria cordata</v>
      </c>
      <c r="H12845" s="6" t="str">
        <f>VLOOKUP(E12845,dicionario!$A$1:$C13244,3,0)</f>
        <v>orelha-de-rato</v>
      </c>
    </row>
    <row r="12846">
      <c r="A12846" s="3">
        <v>45884.0</v>
      </c>
      <c r="B12846" s="4">
        <v>0.32222222222222224</v>
      </c>
      <c r="C12846" s="5" t="s">
        <v>64</v>
      </c>
      <c r="D12846" s="5" t="s">
        <v>1739</v>
      </c>
      <c r="E12846" s="6" t="s">
        <v>65</v>
      </c>
      <c r="F12846" s="5" t="s">
        <v>66</v>
      </c>
      <c r="G12846" s="6" t="str">
        <f>VLOOKUP(E12846,dicionario!$A$1:$C13245,2,0)</f>
        <v>Pitangus sulphutarus</v>
      </c>
      <c r="H12846" s="6" t="str">
        <f>VLOOKUP(E12846,dicionario!$A$1:$C13245,3,0)</f>
        <v>bem-te-vi</v>
      </c>
    </row>
    <row r="12847">
      <c r="A12847" s="3">
        <v>45884.0</v>
      </c>
      <c r="B12847" s="4">
        <v>0.32222222222222224</v>
      </c>
      <c r="C12847" s="5" t="s">
        <v>64</v>
      </c>
      <c r="D12847" s="5" t="s">
        <v>1739</v>
      </c>
      <c r="E12847" s="6" t="s">
        <v>113</v>
      </c>
      <c r="F12847" s="5" t="s">
        <v>114</v>
      </c>
      <c r="G12847" s="6" t="str">
        <f>VLOOKUP(E12847,dicionario!$A$1:$C13246,2,0)</f>
        <v>Columbina talpacoti</v>
      </c>
      <c r="H12847" s="6" t="str">
        <f>VLOOKUP(E12847,dicionario!$A$1:$C13246,3,0)</f>
        <v>rolinha-roxa</v>
      </c>
    </row>
    <row r="12848">
      <c r="A12848" s="3">
        <v>45884.0</v>
      </c>
      <c r="B12848" s="4">
        <v>0.32222222222222224</v>
      </c>
      <c r="C12848" s="5" t="s">
        <v>64</v>
      </c>
      <c r="D12848" s="5" t="s">
        <v>1739</v>
      </c>
      <c r="E12848" s="6" t="s">
        <v>193</v>
      </c>
      <c r="F12848" s="5" t="s">
        <v>194</v>
      </c>
      <c r="G12848" s="6" t="str">
        <f>VLOOKUP(E12848,dicionario!$A$1:$C13247,2,0)</f>
        <v>Conirostrum speciosum</v>
      </c>
      <c r="H12848" s="6" t="str">
        <f>VLOOKUP(E12848,dicionario!$A$1:$C13247,3,0)</f>
        <v>figuinha-de-rabo-castanho</v>
      </c>
    </row>
    <row r="12849">
      <c r="A12849" s="3">
        <v>45884.0</v>
      </c>
      <c r="B12849" s="4">
        <v>0.32222222222222224</v>
      </c>
      <c r="C12849" s="5" t="s">
        <v>64</v>
      </c>
      <c r="D12849" s="5" t="s">
        <v>1739</v>
      </c>
      <c r="E12849" s="6" t="s">
        <v>148</v>
      </c>
      <c r="F12849" s="5" t="s">
        <v>149</v>
      </c>
      <c r="G12849" s="6" t="str">
        <f>VLOOKUP(E12849,dicionario!$A$1:$C13248,2,0)</f>
        <v>Parthenium hysterophorus</v>
      </c>
      <c r="H12849" s="6" t="str">
        <f>VLOOKUP(E12849,dicionario!$A$1:$C13248,3,0)</f>
        <v>losna-branca</v>
      </c>
    </row>
    <row r="12850">
      <c r="A12850" s="3">
        <v>45884.0</v>
      </c>
      <c r="B12850" s="4">
        <v>0.32222222222222224</v>
      </c>
      <c r="C12850" s="5" t="s">
        <v>64</v>
      </c>
      <c r="D12850" s="5" t="s">
        <v>1739</v>
      </c>
      <c r="E12850" s="6" t="s">
        <v>72</v>
      </c>
      <c r="F12850" s="5" t="s">
        <v>1043</v>
      </c>
      <c r="G12850" s="6" t="str">
        <f>VLOOKUP(E12850,dicionario!$A$1:$C13249,2,0)</f>
        <v>Thraupis palmarum</v>
      </c>
      <c r="H12850" s="6" t="str">
        <f>VLOOKUP(E12850,dicionario!$A$1:$C13249,3,0)</f>
        <v>sanhaço-do-coqueiro</v>
      </c>
    </row>
    <row r="12851">
      <c r="A12851" s="3">
        <v>45884.0</v>
      </c>
      <c r="B12851" s="4">
        <v>0.3229166666666667</v>
      </c>
      <c r="C12851" s="5" t="s">
        <v>64</v>
      </c>
      <c r="D12851" s="5" t="s">
        <v>1739</v>
      </c>
      <c r="E12851" s="8" t="s">
        <v>43</v>
      </c>
      <c r="F12851" s="5" t="s">
        <v>1040</v>
      </c>
      <c r="G12851" s="6" t="str">
        <f>VLOOKUP(E12851,dicionario!$A$1:$C13250,2,0)</f>
        <v>Columba livia</v>
      </c>
      <c r="H12851" s="6" t="str">
        <f>VLOOKUP(E12851,dicionario!$A$1:$C13250,3,0)</f>
        <v>pombo-doméstico</v>
      </c>
    </row>
    <row r="12852">
      <c r="A12852" s="3">
        <v>45884.0</v>
      </c>
      <c r="B12852" s="4">
        <v>0.3229166666666667</v>
      </c>
      <c r="C12852" s="5" t="s">
        <v>64</v>
      </c>
      <c r="D12852" s="5" t="s">
        <v>1739</v>
      </c>
      <c r="E12852" s="8" t="s">
        <v>886</v>
      </c>
      <c r="F12852" s="5" t="s">
        <v>887</v>
      </c>
      <c r="G12852" s="6" t="str">
        <f>VLOOKUP(E12852,dicionario!$A$1:$C13251,2,0)</f>
        <v>Oldenlandia corymbosa</v>
      </c>
      <c r="H12852" s="6" t="str">
        <f>VLOOKUP(E12852,dicionario!$A$1:$C13251,3,0)</f>
        <v>erva-diamante</v>
      </c>
    </row>
    <row r="12853">
      <c r="A12853" s="3">
        <v>45884.0</v>
      </c>
      <c r="B12853" s="4">
        <v>0.3229166666666667</v>
      </c>
      <c r="C12853" s="5" t="s">
        <v>64</v>
      </c>
      <c r="D12853" s="5" t="s">
        <v>1739</v>
      </c>
      <c r="E12853" s="8" t="s">
        <v>150</v>
      </c>
      <c r="F12853" s="5" t="s">
        <v>151</v>
      </c>
      <c r="G12853" s="6" t="str">
        <f>VLOOKUP(E12853,dicionario!$A$1:$C13252,2,0)</f>
        <v>Amaranthus viridis</v>
      </c>
      <c r="H12853" s="6" t="str">
        <f>VLOOKUP(E12853,dicionario!$A$1:$C13252,3,0)</f>
        <v>caruru-de-mancha</v>
      </c>
    </row>
    <row r="12854">
      <c r="A12854" s="3">
        <v>45884.0</v>
      </c>
      <c r="B12854" s="4">
        <v>0.3229166666666667</v>
      </c>
      <c r="C12854" s="5" t="s">
        <v>64</v>
      </c>
      <c r="D12854" s="5" t="s">
        <v>1739</v>
      </c>
      <c r="E12854" s="8" t="s">
        <v>366</v>
      </c>
      <c r="F12854" s="5" t="s">
        <v>367</v>
      </c>
      <c r="G12854" s="6" t="str">
        <f>VLOOKUP(E12854,dicionario!$A$1:$C13253,2,0)</f>
        <v>Alternanthera ficoidea</v>
      </c>
      <c r="H12854" s="6" t="str">
        <f>VLOOKUP(E12854,dicionario!$A$1:$C13253,3,0)</f>
        <v>quebra-panela</v>
      </c>
    </row>
    <row r="12855">
      <c r="A12855" s="3">
        <v>45884.0</v>
      </c>
      <c r="B12855" s="4">
        <v>0.3236111111111111</v>
      </c>
      <c r="C12855" s="5" t="s">
        <v>64</v>
      </c>
      <c r="D12855" s="5" t="s">
        <v>1739</v>
      </c>
      <c r="E12855" s="6" t="s">
        <v>177</v>
      </c>
      <c r="F12855" s="5" t="s">
        <v>178</v>
      </c>
      <c r="G12855" s="6" t="str">
        <f>VLOOKUP(E12855,dicionario!$A$1:$C13254,2,0)</f>
        <v>Elaenia flavogaster</v>
      </c>
      <c r="H12855" s="6" t="str">
        <f>VLOOKUP(E12855,dicionario!$A$1:$C13254,3,0)</f>
        <v>guaracava-de-barriga-amarela</v>
      </c>
    </row>
    <row r="12856">
      <c r="A12856" s="3">
        <v>45884.0</v>
      </c>
      <c r="B12856" s="4">
        <v>0.3236111111111111</v>
      </c>
      <c r="C12856" s="5" t="s">
        <v>64</v>
      </c>
      <c r="D12856" s="5" t="s">
        <v>1739</v>
      </c>
      <c r="E12856" s="8" t="s">
        <v>20</v>
      </c>
      <c r="F12856" s="5" t="s">
        <v>21</v>
      </c>
      <c r="G12856" s="6" t="str">
        <f>VLOOKUP(E12856,dicionario!$A$1:$C13255,2,0)</f>
        <v>Sicalis flaveola</v>
      </c>
      <c r="H12856" s="6" t="str">
        <f>VLOOKUP(E12856,dicionario!$A$1:$C13255,3,0)</f>
        <v>canário-da-terra</v>
      </c>
    </row>
    <row r="12857">
      <c r="A12857" s="3">
        <v>45884.0</v>
      </c>
      <c r="B12857" s="4">
        <v>0.3236111111111111</v>
      </c>
      <c r="C12857" s="5" t="s">
        <v>64</v>
      </c>
      <c r="D12857" s="5" t="s">
        <v>1739</v>
      </c>
      <c r="E12857" s="6" t="s">
        <v>88</v>
      </c>
      <c r="F12857" s="5" t="s">
        <v>89</v>
      </c>
      <c r="G12857" s="6" t="str">
        <f>VLOOKUP(E12857,dicionario!$A$1:$C13256,2,0)</f>
        <v>Tyrannus melancolichus</v>
      </c>
      <c r="H12857" s="6" t="str">
        <f>VLOOKUP(E12857,dicionario!$A$1:$C13256,3,0)</f>
        <v>suiriri</v>
      </c>
    </row>
    <row r="12858">
      <c r="A12858" s="3">
        <v>45884.0</v>
      </c>
      <c r="B12858" s="4">
        <v>0.3236111111111111</v>
      </c>
      <c r="C12858" s="5" t="s">
        <v>64</v>
      </c>
      <c r="D12858" s="5" t="s">
        <v>1739</v>
      </c>
      <c r="E12858" s="53" t="s">
        <v>111</v>
      </c>
      <c r="F12858" s="5" t="s">
        <v>1719</v>
      </c>
      <c r="G12858" s="6" t="str">
        <f>VLOOKUP(E12858,dicionario!$A$1:$C13257,2,0)</f>
        <v>Trigona spinipes</v>
      </c>
      <c r="H12858" s="6" t="str">
        <f>VLOOKUP(E12858,dicionario!$A$1:$C13257,3,0)</f>
        <v>abelha-cachorro</v>
      </c>
    </row>
    <row r="12859">
      <c r="A12859" s="3">
        <v>45884.0</v>
      </c>
      <c r="B12859" s="4">
        <v>0.3236111111111111</v>
      </c>
      <c r="C12859" s="5" t="s">
        <v>64</v>
      </c>
      <c r="D12859" s="5" t="s">
        <v>1739</v>
      </c>
      <c r="E12859" s="6" t="s">
        <v>191</v>
      </c>
      <c r="F12859" s="5" t="s">
        <v>192</v>
      </c>
      <c r="G12859" s="6" t="str">
        <f>VLOOKUP(E12859,dicionario!$A$1:$C13258,2,0)</f>
        <v>Patagioenas picazuro</v>
      </c>
      <c r="H12859" s="6" t="str">
        <f>VLOOKUP(E12859,dicionario!$A$1:$C13258,3,0)</f>
        <v>asa-branca; pomba-asa-branca; pocaçu</v>
      </c>
    </row>
    <row r="12860">
      <c r="A12860" s="3">
        <v>45884.0</v>
      </c>
      <c r="B12860" s="4">
        <v>0.32430555555555557</v>
      </c>
      <c r="C12860" s="5" t="s">
        <v>64</v>
      </c>
      <c r="D12860" s="5" t="s">
        <v>1739</v>
      </c>
      <c r="E12860" s="6" t="s">
        <v>467</v>
      </c>
      <c r="F12860" s="5" t="s">
        <v>1365</v>
      </c>
      <c r="G12860" s="6" t="str">
        <f>VLOOKUP(E12860,dicionario!$A$1:$C13259,2,0)</f>
        <v>Eleusine indica</v>
      </c>
      <c r="H12860" s="6" t="str">
        <f>VLOOKUP(E12860,dicionario!$A$1:$C13259,3,0)</f>
        <v>capim-pé-de-galinha</v>
      </c>
    </row>
    <row r="12861">
      <c r="A12861" s="3">
        <v>45884.0</v>
      </c>
      <c r="B12861" s="4">
        <v>0.325</v>
      </c>
      <c r="C12861" s="5" t="s">
        <v>64</v>
      </c>
      <c r="D12861" s="5" t="s">
        <v>1739</v>
      </c>
      <c r="E12861" s="8" t="s">
        <v>740</v>
      </c>
      <c r="F12861" s="5" t="s">
        <v>741</v>
      </c>
      <c r="G12861" s="6" t="str">
        <f>VLOOKUP(E12861,dicionario!$A$1:$C13260,2,0)</f>
        <v>Melothria cucumis</v>
      </c>
      <c r="H12861" s="6" t="str">
        <f>VLOOKUP(E12861,dicionario!$A$1:$C13260,3,0)</f>
        <v>pepino-do-mato</v>
      </c>
    </row>
    <row r="12862">
      <c r="A12862" s="3">
        <v>45884.0</v>
      </c>
      <c r="B12862" s="4">
        <v>0.325</v>
      </c>
      <c r="C12862" s="5" t="s">
        <v>64</v>
      </c>
      <c r="D12862" s="5" t="s">
        <v>1739</v>
      </c>
      <c r="E12862" s="6" t="s">
        <v>171</v>
      </c>
      <c r="F12862" s="5" t="s">
        <v>172</v>
      </c>
      <c r="G12862" s="6" t="str">
        <f>VLOOKUP(E12862,dicionario!$A$1:$C13261,2,0)</f>
        <v>Oxalis corniculata</v>
      </c>
      <c r="H12862" s="6" t="str">
        <f>VLOOKUP(E12862,dicionario!$A$1:$C13261,3,0)</f>
        <v>trevo-azedinho</v>
      </c>
    </row>
    <row r="12863">
      <c r="A12863" s="3">
        <v>45884.0</v>
      </c>
      <c r="B12863" s="4">
        <v>0.325</v>
      </c>
      <c r="C12863" s="5" t="s">
        <v>64</v>
      </c>
      <c r="D12863" s="5" t="s">
        <v>1739</v>
      </c>
      <c r="E12863" s="8" t="s">
        <v>271</v>
      </c>
      <c r="F12863" s="5" t="s">
        <v>1169</v>
      </c>
      <c r="G12863" s="6" t="str">
        <f>VLOOKUP(E12863,dicionario!$A$1:$C13262,2,0)</f>
        <v>Cyanthillium cinereum</v>
      </c>
      <c r="H12863" s="6" t="str">
        <f>VLOOKUP(E12863,dicionario!$A$1:$C13262,3,0)</f>
        <v>emília</v>
      </c>
    </row>
    <row r="12864">
      <c r="A12864" s="3">
        <v>45884.0</v>
      </c>
      <c r="B12864" s="4">
        <v>0.325</v>
      </c>
      <c r="C12864" s="5" t="s">
        <v>64</v>
      </c>
      <c r="D12864" s="5" t="s">
        <v>1739</v>
      </c>
      <c r="E12864" s="6" t="s">
        <v>288</v>
      </c>
      <c r="F12864" s="5" t="s">
        <v>289</v>
      </c>
      <c r="G12864" s="6" t="str">
        <f>VLOOKUP(E12864,dicionario!$A$1:$C13263,2,0)</f>
        <v>Phyllanthus tenellus</v>
      </c>
      <c r="H12864" s="6" t="str">
        <f>VLOOKUP(E12864,dicionario!$A$1:$C13263,3,0)</f>
        <v>quebra-pedra</v>
      </c>
    </row>
    <row r="12865">
      <c r="A12865" s="3">
        <v>45884.0</v>
      </c>
      <c r="B12865" s="4">
        <v>0.32569444444444445</v>
      </c>
      <c r="C12865" s="5" t="s">
        <v>64</v>
      </c>
      <c r="D12865" s="5" t="s">
        <v>1739</v>
      </c>
      <c r="E12865" s="6" t="s">
        <v>267</v>
      </c>
      <c r="F12865" s="5" t="s">
        <v>765</v>
      </c>
      <c r="G12865" s="6" t="str">
        <f>VLOOKUP(E12865,dicionario!$A$1:$C13264,2,0)</f>
        <v>Solanum americanum</v>
      </c>
      <c r="H12865" s="6" t="str">
        <f>VLOOKUP(E12865,dicionario!$A$1:$C13264,3,0)</f>
        <v>maria-pretinha</v>
      </c>
    </row>
    <row r="12866">
      <c r="A12866" s="3">
        <v>45884.0</v>
      </c>
      <c r="B12866" s="4">
        <v>0.32569444444444445</v>
      </c>
      <c r="C12866" s="5" t="s">
        <v>64</v>
      </c>
      <c r="D12866" s="5" t="s">
        <v>1739</v>
      </c>
      <c r="E12866" s="6" t="s">
        <v>154</v>
      </c>
      <c r="F12866" s="5" t="s">
        <v>155</v>
      </c>
      <c r="G12866" s="6" t="str">
        <f>VLOOKUP(E12866,dicionario!$A$1:$C13265,2,0)</f>
        <v>Cyperus rotundus</v>
      </c>
      <c r="H12866" s="6" t="str">
        <f>VLOOKUP(E12866,dicionario!$A$1:$C13265,3,0)</f>
        <v>tiririca</v>
      </c>
    </row>
    <row r="12867">
      <c r="A12867" s="3">
        <v>45884.0</v>
      </c>
      <c r="B12867" s="4">
        <v>0.32708333333333334</v>
      </c>
      <c r="C12867" s="5" t="s">
        <v>64</v>
      </c>
      <c r="D12867" s="5" t="s">
        <v>1739</v>
      </c>
      <c r="E12867" s="8" t="s">
        <v>385</v>
      </c>
      <c r="F12867" s="5" t="s">
        <v>1720</v>
      </c>
      <c r="G12867" s="6" t="str">
        <f>VLOOKUP(E12867,dicionario!$A$1:$C13266,2,0)</f>
        <v>Psidium guajava</v>
      </c>
      <c r="H12867" s="6" t="str">
        <f>VLOOKUP(E12867,dicionario!$A$1:$C13266,3,0)</f>
        <v>goiaba</v>
      </c>
    </row>
    <row r="12868">
      <c r="A12868" s="3">
        <v>45884.0</v>
      </c>
      <c r="B12868" s="4">
        <v>0.32708333333333334</v>
      </c>
      <c r="C12868" s="5" t="s">
        <v>64</v>
      </c>
      <c r="D12868" s="5" t="s">
        <v>1739</v>
      </c>
      <c r="E12868" s="6" t="s">
        <v>523</v>
      </c>
      <c r="F12868" s="5" t="s">
        <v>1757</v>
      </c>
      <c r="G12868" s="6" t="str">
        <f>VLOOKUP(E12868,dicionario!$A$1:$C13267,2,0)</f>
        <v>Coccinellidae</v>
      </c>
      <c r="H12868" s="6" t="str">
        <f>VLOOKUP(E12868,dicionario!$A$1:$C13267,3,0)</f>
        <v>joaninha </v>
      </c>
    </row>
    <row r="12869">
      <c r="A12869" s="3">
        <v>45884.0</v>
      </c>
      <c r="B12869" s="4">
        <v>0.3277777777777778</v>
      </c>
      <c r="C12869" s="5" t="s">
        <v>64</v>
      </c>
      <c r="D12869" s="5" t="s">
        <v>1739</v>
      </c>
      <c r="E12869" s="6" t="s">
        <v>427</v>
      </c>
      <c r="F12869" s="5" t="s">
        <v>1758</v>
      </c>
      <c r="G12869" s="6" t="str">
        <f>VLOOKUP(E12869,dicionario!$A$1:$C13268,2,0)</f>
        <v>Condylostylus longicornis</v>
      </c>
      <c r="H12869" s="6" t="str">
        <f>VLOOKUP(E12869,dicionario!$A$1:$C13268,3,0)</f>
        <v>mosca-de-pernas-longas</v>
      </c>
    </row>
    <row r="12870">
      <c r="A12870" s="3">
        <v>45884.0</v>
      </c>
      <c r="B12870" s="4">
        <v>0.3277777777777778</v>
      </c>
      <c r="C12870" s="5" t="s">
        <v>64</v>
      </c>
      <c r="D12870" s="5" t="s">
        <v>1739</v>
      </c>
      <c r="E12870" s="6" t="s">
        <v>48</v>
      </c>
      <c r="F12870" s="5" t="s">
        <v>798</v>
      </c>
      <c r="G12870" s="6" t="str">
        <f>VLOOKUP(E12870,dicionario!$A$1:$C13269,2,0)</f>
        <v>Commelina erecta</v>
      </c>
      <c r="H12870" s="6" t="str">
        <f>VLOOKUP(E12870,dicionario!$A$1:$C13269,3,0)</f>
        <v>trapoeraba</v>
      </c>
    </row>
    <row r="12871">
      <c r="A12871" s="3">
        <v>45884.0</v>
      </c>
      <c r="B12871" s="4">
        <v>0.33125</v>
      </c>
      <c r="C12871" s="5" t="s">
        <v>76</v>
      </c>
      <c r="D12871" s="5" t="s">
        <v>1739</v>
      </c>
      <c r="E12871" s="8" t="s">
        <v>18</v>
      </c>
      <c r="F12871" s="5" t="s">
        <v>219</v>
      </c>
      <c r="G12871" s="6" t="str">
        <f>VLOOKUP(E12871,dicionario!$A$1:$C13270,2,0)</f>
        <v>Xylocopa frontalis</v>
      </c>
      <c r="H12871" s="6" t="str">
        <f>VLOOKUP(E12871,dicionario!$A$1:$C13270,3,0)</f>
        <v>Mamangava; mangangá; abelha-carpinteira</v>
      </c>
    </row>
    <row r="12872">
      <c r="A12872" s="3">
        <v>45884.0</v>
      </c>
      <c r="B12872" s="4">
        <v>0.33125</v>
      </c>
      <c r="C12872" s="5" t="s">
        <v>76</v>
      </c>
      <c r="D12872" s="5" t="s">
        <v>1739</v>
      </c>
      <c r="E12872" s="6" t="s">
        <v>86</v>
      </c>
      <c r="F12872" s="5" t="s">
        <v>502</v>
      </c>
      <c r="G12872" s="6" t="str">
        <f>VLOOKUP(E12872,dicionario!$A$1:$C13271,2,0)</f>
        <v>Coereba flaveola</v>
      </c>
      <c r="H12872" s="6" t="str">
        <f>VLOOKUP(E12872,dicionario!$A$1:$C13271,3,0)</f>
        <v>cambacica</v>
      </c>
    </row>
    <row r="12873">
      <c r="A12873" s="3">
        <v>45884.0</v>
      </c>
      <c r="B12873" s="4">
        <v>0.33125</v>
      </c>
      <c r="C12873" s="5" t="s">
        <v>76</v>
      </c>
      <c r="D12873" s="5" t="s">
        <v>1739</v>
      </c>
      <c r="E12873" s="8" t="s">
        <v>1383</v>
      </c>
      <c r="F12873" s="5" t="s">
        <v>1430</v>
      </c>
      <c r="G12873" s="6" t="str">
        <f>VLOOKUP(E12873,dicionario!$A$1:$C13272,2,0)</f>
        <v>#N/A</v>
      </c>
      <c r="H12873" s="6" t="str">
        <f>VLOOKUP(E12873,dicionario!$A$1:$C13272,3,0)</f>
        <v>#N/A</v>
      </c>
    </row>
    <row r="12874">
      <c r="A12874" s="3">
        <v>45884.0</v>
      </c>
      <c r="B12874" s="4">
        <v>0.33125</v>
      </c>
      <c r="C12874" s="5" t="s">
        <v>76</v>
      </c>
      <c r="D12874" s="5" t="s">
        <v>1739</v>
      </c>
      <c r="E12874" s="6" t="s">
        <v>606</v>
      </c>
      <c r="F12874" s="5" t="s">
        <v>607</v>
      </c>
      <c r="G12874" s="6" t="str">
        <f>VLOOKUP(E12874,dicionario!$A$1:$C13273,2,0)</f>
        <v>Elaenia spectabilis</v>
      </c>
      <c r="H12874" s="6" t="str">
        <f>VLOOKUP(E12874,dicionario!$A$1:$C13273,3,0)</f>
        <v>guaracava-grande</v>
      </c>
    </row>
    <row r="12875">
      <c r="A12875" s="3">
        <v>45884.0</v>
      </c>
      <c r="B12875" s="4">
        <v>0.33125</v>
      </c>
      <c r="C12875" s="5" t="s">
        <v>76</v>
      </c>
      <c r="D12875" s="5" t="s">
        <v>1739</v>
      </c>
      <c r="E12875" s="6" t="s">
        <v>122</v>
      </c>
      <c r="F12875" s="5" t="s">
        <v>123</v>
      </c>
      <c r="G12875" s="6" t="str">
        <f>VLOOKUP(E12875,dicionario!$A$1:$C13274,2,0)</f>
        <v>Todirostrum cinereum</v>
      </c>
      <c r="H12875" s="6" t="str">
        <f>VLOOKUP(E12875,dicionario!$A$1:$C13274,3,0)</f>
        <v>ferreirinho-relógio</v>
      </c>
    </row>
    <row r="12876">
      <c r="A12876" s="3">
        <v>45884.0</v>
      </c>
      <c r="B12876" s="4">
        <v>0.33125</v>
      </c>
      <c r="C12876" s="5" t="s">
        <v>76</v>
      </c>
      <c r="D12876" s="5" t="s">
        <v>1739</v>
      </c>
      <c r="E12876" s="6" t="s">
        <v>175</v>
      </c>
      <c r="F12876" s="5" t="s">
        <v>176</v>
      </c>
      <c r="G12876" s="6" t="str">
        <f>VLOOKUP(E12876,dicionario!$A$1:$C13275,2,0)</f>
        <v>Turdus leucomelas</v>
      </c>
      <c r="H12876" s="6" t="str">
        <f>VLOOKUP(E12876,dicionario!$A$1:$C13275,3,0)</f>
        <v>sabiá-barranco</v>
      </c>
    </row>
    <row r="12877">
      <c r="A12877" s="3">
        <v>45884.0</v>
      </c>
      <c r="B12877" s="4">
        <v>0.33125</v>
      </c>
      <c r="C12877" s="5" t="s">
        <v>76</v>
      </c>
      <c r="D12877" s="5" t="s">
        <v>1739</v>
      </c>
      <c r="E12877" s="6" t="s">
        <v>65</v>
      </c>
      <c r="F12877" s="5" t="s">
        <v>66</v>
      </c>
      <c r="G12877" s="6" t="str">
        <f>VLOOKUP(E12877,dicionario!$A$1:$C13276,2,0)</f>
        <v>Pitangus sulphutarus</v>
      </c>
      <c r="H12877" s="6" t="str">
        <f>VLOOKUP(E12877,dicionario!$A$1:$C13276,3,0)</f>
        <v>bem-te-vi</v>
      </c>
    </row>
    <row r="12878">
      <c r="A12878" s="3">
        <v>45884.0</v>
      </c>
      <c r="B12878" s="4">
        <v>0.33125</v>
      </c>
      <c r="C12878" s="5" t="s">
        <v>76</v>
      </c>
      <c r="D12878" s="5" t="s">
        <v>1739</v>
      </c>
      <c r="E12878" s="6" t="s">
        <v>144</v>
      </c>
      <c r="F12878" s="5" t="s">
        <v>1750</v>
      </c>
      <c r="G12878" s="6" t="str">
        <f>VLOOKUP(E12878,dicionario!$A$1:$C13277,2,0)</f>
        <v>Gomphrena globosa</v>
      </c>
      <c r="H12878" s="6" t="str">
        <f>VLOOKUP(E12878,dicionario!$A$1:$C13277,3,0)</f>
        <v>perpétua-rosa</v>
      </c>
    </row>
    <row r="12879">
      <c r="A12879" s="3">
        <v>45884.0</v>
      </c>
      <c r="B12879" s="4">
        <v>0.33125</v>
      </c>
      <c r="C12879" s="5" t="s">
        <v>76</v>
      </c>
      <c r="D12879" s="5" t="s">
        <v>1739</v>
      </c>
      <c r="E12879" s="6" t="s">
        <v>229</v>
      </c>
      <c r="F12879" s="5" t="s">
        <v>230</v>
      </c>
      <c r="G12879" s="6" t="str">
        <f>VLOOKUP(E12879,dicionario!$A$1:$C13278,2,0)</f>
        <v>Apis mellifera</v>
      </c>
      <c r="H12879" s="6" t="str">
        <f>VLOOKUP(E12879,dicionario!$A$1:$C13278,3,0)</f>
        <v>abelha-do-mel</v>
      </c>
    </row>
    <row r="12880">
      <c r="A12880" s="3">
        <v>45884.0</v>
      </c>
      <c r="B12880" s="4">
        <v>0.3333333333333333</v>
      </c>
      <c r="C12880" s="5" t="s">
        <v>76</v>
      </c>
      <c r="D12880" s="5" t="s">
        <v>1739</v>
      </c>
      <c r="E12880" s="6" t="s">
        <v>191</v>
      </c>
      <c r="F12880" s="5" t="s">
        <v>192</v>
      </c>
      <c r="G12880" s="6" t="str">
        <f>VLOOKUP(E12880,dicionario!$A$1:$C13279,2,0)</f>
        <v>Patagioenas picazuro</v>
      </c>
      <c r="H12880" s="6" t="str">
        <f>VLOOKUP(E12880,dicionario!$A$1:$C13279,3,0)</f>
        <v>asa-branca; pomba-asa-branca; pocaçu</v>
      </c>
    </row>
    <row r="12881">
      <c r="A12881" s="3">
        <v>45884.0</v>
      </c>
      <c r="B12881" s="4">
        <v>0.3333333333333333</v>
      </c>
      <c r="C12881" s="5" t="s">
        <v>76</v>
      </c>
      <c r="D12881" s="5" t="s">
        <v>1739</v>
      </c>
      <c r="E12881" s="6" t="s">
        <v>328</v>
      </c>
      <c r="F12881" s="5" t="s">
        <v>872</v>
      </c>
      <c r="G12881" s="6" t="str">
        <f>VLOOKUP(E12881,dicionario!$A$1:$C13280,2,0)</f>
        <v>Rivina humilis</v>
      </c>
      <c r="H12881" s="6" t="str">
        <f>VLOOKUP(E12881,dicionario!$A$1:$C13280,3,0)</f>
        <v>baga-de-sangue</v>
      </c>
    </row>
    <row r="12882">
      <c r="A12882" s="3">
        <v>45884.0</v>
      </c>
      <c r="B12882" s="4">
        <v>0.3333333333333333</v>
      </c>
      <c r="C12882" s="5" t="s">
        <v>76</v>
      </c>
      <c r="D12882" s="5" t="s">
        <v>1739</v>
      </c>
      <c r="E12882" s="6" t="s">
        <v>401</v>
      </c>
      <c r="F12882" s="5" t="s">
        <v>464</v>
      </c>
      <c r="G12882" s="6" t="str">
        <f>VLOOKUP(E12882,dicionario!$A$1:$C13281,2,0)</f>
        <v>Cissus verticillata</v>
      </c>
      <c r="H12882" s="6" t="str">
        <f>VLOOKUP(E12882,dicionario!$A$1:$C13281,3,0)</f>
        <v>uva-do-mato</v>
      </c>
    </row>
    <row r="12883">
      <c r="A12883" s="3">
        <v>45884.0</v>
      </c>
      <c r="B12883" s="4">
        <v>0.3333333333333333</v>
      </c>
      <c r="C12883" s="5" t="s">
        <v>76</v>
      </c>
      <c r="D12883" s="5" t="s">
        <v>1739</v>
      </c>
      <c r="E12883" s="6" t="s">
        <v>183</v>
      </c>
      <c r="F12883" s="5" t="s">
        <v>277</v>
      </c>
      <c r="G12883" s="6" t="str">
        <f>VLOOKUP(E12883,dicionario!$A$1:$C13282,2,0)</f>
        <v>Thunbergia alata</v>
      </c>
      <c r="H12883" s="6" t="str">
        <f>VLOOKUP(E12883,dicionario!$A$1:$C13282,3,0)</f>
        <v>susana-dos-olhos-negros</v>
      </c>
    </row>
    <row r="12884">
      <c r="A12884" s="3">
        <v>45884.0</v>
      </c>
      <c r="B12884" s="4">
        <v>0.3333333333333333</v>
      </c>
      <c r="C12884" s="5" t="s">
        <v>76</v>
      </c>
      <c r="D12884" s="5" t="s">
        <v>1739</v>
      </c>
      <c r="E12884" s="72" t="s">
        <v>298</v>
      </c>
      <c r="F12884" s="5"/>
      <c r="G12884" s="6" t="str">
        <f>VLOOKUP(E12884,dicionario!$A$1:$C13283,2,0)</f>
        <v>Alysicarpus vaginalis</v>
      </c>
      <c r="H12884" s="6" t="str">
        <f>VLOOKUP(E12884,dicionario!$A$1:$C13283,3,0)</f>
        <v/>
      </c>
    </row>
    <row r="12885">
      <c r="A12885" s="3">
        <v>45884.0</v>
      </c>
      <c r="B12885" s="4">
        <v>0.3333333333333333</v>
      </c>
      <c r="C12885" s="5" t="s">
        <v>76</v>
      </c>
      <c r="D12885" s="5" t="s">
        <v>1739</v>
      </c>
      <c r="E12885" s="8" t="s">
        <v>150</v>
      </c>
      <c r="F12885" s="5" t="s">
        <v>151</v>
      </c>
      <c r="G12885" s="6" t="str">
        <f>VLOOKUP(E12885,dicionario!$A$1:$C13284,2,0)</f>
        <v>Amaranthus viridis</v>
      </c>
      <c r="H12885" s="6" t="str">
        <f>VLOOKUP(E12885,dicionario!$A$1:$C13284,3,0)</f>
        <v>caruru-de-mancha</v>
      </c>
    </row>
    <row r="12886">
      <c r="A12886" s="3">
        <v>45884.0</v>
      </c>
      <c r="B12886" s="4">
        <v>0.3333333333333333</v>
      </c>
      <c r="C12886" s="5" t="s">
        <v>76</v>
      </c>
      <c r="D12886" s="5" t="s">
        <v>1739</v>
      </c>
      <c r="E12886" s="6" t="s">
        <v>148</v>
      </c>
      <c r="F12886" s="5" t="s">
        <v>149</v>
      </c>
      <c r="G12886" s="6" t="str">
        <f>VLOOKUP(E12886,dicionario!$A$1:$C13285,2,0)</f>
        <v>Parthenium hysterophorus</v>
      </c>
      <c r="H12886" s="6" t="str">
        <f>VLOOKUP(E12886,dicionario!$A$1:$C13285,3,0)</f>
        <v>losna-branca</v>
      </c>
    </row>
    <row r="12887">
      <c r="A12887" s="3">
        <v>45884.0</v>
      </c>
      <c r="B12887" s="4">
        <v>0.3333333333333333</v>
      </c>
      <c r="C12887" s="5" t="s">
        <v>76</v>
      </c>
      <c r="D12887" s="5" t="s">
        <v>1739</v>
      </c>
      <c r="E12887" s="6" t="s">
        <v>613</v>
      </c>
      <c r="F12887" s="5" t="s">
        <v>614</v>
      </c>
      <c r="G12887" s="6" t="str">
        <f>VLOOKUP(E12887,dicionario!$A$1:$C13286,2,0)</f>
        <v>Euphorbia hyssopifolia</v>
      </c>
      <c r="H12887" s="6" t="str">
        <f>VLOOKUP(E12887,dicionario!$A$1:$C13286,3,0)</f>
        <v>maria-leite</v>
      </c>
    </row>
    <row r="12888">
      <c r="A12888" s="3">
        <v>45884.0</v>
      </c>
      <c r="B12888" s="4">
        <v>0.33402777777777776</v>
      </c>
      <c r="C12888" s="5" t="s">
        <v>76</v>
      </c>
      <c r="D12888" s="5" t="s">
        <v>1739</v>
      </c>
      <c r="E12888" s="6" t="s">
        <v>141</v>
      </c>
      <c r="F12888" s="5" t="s">
        <v>142</v>
      </c>
      <c r="G12888" s="6" t="str">
        <f>VLOOKUP(E12888,dicionario!$A$1:$C13287,2,0)</f>
        <v>Ruellia blechum</v>
      </c>
      <c r="H12888" s="6" t="str">
        <f>VLOOKUP(E12888,dicionario!$A$1:$C13287,3,0)</f>
        <v>camarão-verde</v>
      </c>
    </row>
    <row r="12889">
      <c r="A12889" s="3">
        <v>45884.0</v>
      </c>
      <c r="B12889" s="4">
        <v>0.33402777777777776</v>
      </c>
      <c r="C12889" s="5" t="s">
        <v>76</v>
      </c>
      <c r="D12889" s="5" t="s">
        <v>1739</v>
      </c>
      <c r="E12889" s="8" t="s">
        <v>69</v>
      </c>
      <c r="F12889" s="5" t="s">
        <v>71</v>
      </c>
      <c r="G12889" s="6" t="str">
        <f>VLOOKUP(E12889,dicionario!$A$1:$C13288,2,0)</f>
        <v>Talinum fruticosum</v>
      </c>
      <c r="H12889" s="6" t="str">
        <f>VLOOKUP(E12889,dicionario!$A$1:$C13288,3,0)</f>
        <v>beldroega-grande</v>
      </c>
    </row>
    <row r="12890">
      <c r="A12890" s="3">
        <v>45884.0</v>
      </c>
      <c r="B12890" s="4">
        <v>0.33402777777777776</v>
      </c>
      <c r="C12890" s="5" t="s">
        <v>76</v>
      </c>
      <c r="D12890" s="5" t="s">
        <v>1739</v>
      </c>
      <c r="E12890" s="8" t="s">
        <v>498</v>
      </c>
      <c r="F12890" s="5" t="s">
        <v>499</v>
      </c>
      <c r="G12890" s="6" t="str">
        <f>VLOOKUP(E12890,dicionario!$A$1:$C13289,2,0)</f>
        <v>Brachiaria decumbens</v>
      </c>
      <c r="H12890" s="6" t="str">
        <f>VLOOKUP(E12890,dicionario!$A$1:$C13289,3,0)</f>
        <v>capim-braquiária</v>
      </c>
    </row>
    <row r="12891">
      <c r="A12891" s="3">
        <v>45884.0</v>
      </c>
      <c r="B12891" s="4">
        <v>0.33402777777777776</v>
      </c>
      <c r="C12891" s="5" t="s">
        <v>76</v>
      </c>
      <c r="D12891" s="5" t="s">
        <v>1739</v>
      </c>
      <c r="E12891" s="8" t="s">
        <v>135</v>
      </c>
      <c r="F12891" s="5" t="s">
        <v>136</v>
      </c>
      <c r="G12891" s="6" t="str">
        <f>VLOOKUP(E12891,dicionario!$A$1:$C13290,2,0)</f>
        <v>Tridax procumbens</v>
      </c>
      <c r="H12891" s="6" t="str">
        <f>VLOOKUP(E12891,dicionario!$A$1:$C13290,3,0)</f>
        <v>erva-de-touro</v>
      </c>
    </row>
    <row r="12892">
      <c r="A12892" s="3">
        <v>45884.0</v>
      </c>
      <c r="B12892" s="4">
        <v>0.33402777777777776</v>
      </c>
      <c r="C12892" s="5" t="s">
        <v>76</v>
      </c>
      <c r="D12892" s="5" t="s">
        <v>1739</v>
      </c>
      <c r="E12892" s="6" t="s">
        <v>251</v>
      </c>
      <c r="F12892" s="5" t="s">
        <v>873</v>
      </c>
      <c r="G12892" s="6" t="str">
        <f>VLOOKUP(E12892,dicionario!$A$1:$C13291,2,0)</f>
        <v>Struthanthus flexicaulis</v>
      </c>
      <c r="H12892" s="6" t="str">
        <f>VLOOKUP(E12892,dicionario!$A$1:$C13291,3,0)</f>
        <v>erva-de-passarinho</v>
      </c>
    </row>
    <row r="12893">
      <c r="A12893" s="3">
        <v>45884.0</v>
      </c>
      <c r="B12893" s="4">
        <v>0.3347222222222222</v>
      </c>
      <c r="C12893" s="5" t="s">
        <v>76</v>
      </c>
      <c r="D12893" s="5" t="s">
        <v>1739</v>
      </c>
      <c r="E12893" s="8" t="s">
        <v>891</v>
      </c>
      <c r="F12893" s="5" t="s">
        <v>1163</v>
      </c>
      <c r="G12893" s="6" t="str">
        <f>VLOOKUP(E12893,dicionario!$A$1:$C13292,2,0)</f>
        <v>Cymaenes tripunctus</v>
      </c>
      <c r="H12893" s="6" t="str">
        <f>VLOOKUP(E12893,dicionario!$A$1:$C13292,3,0)</f>
        <v>borboleta-de-três-pintas</v>
      </c>
    </row>
    <row r="12894">
      <c r="A12894" s="3">
        <v>45884.0</v>
      </c>
      <c r="B12894" s="4">
        <v>0.3347222222222222</v>
      </c>
      <c r="C12894" s="5" t="s">
        <v>76</v>
      </c>
      <c r="D12894" s="5" t="s">
        <v>1739</v>
      </c>
      <c r="E12894" s="8" t="s">
        <v>260</v>
      </c>
      <c r="F12894" s="5" t="s">
        <v>1759</v>
      </c>
      <c r="G12894" s="6" t="str">
        <f>VLOOKUP(E12894,dicionario!$A$1:$C13293,2,0)</f>
        <v>Ruellia paniculata</v>
      </c>
      <c r="H12894" s="6" t="str">
        <f>VLOOKUP(E12894,dicionario!$A$1:$C13293,3,0)</f>
        <v>ruélia</v>
      </c>
    </row>
    <row r="12895">
      <c r="A12895" s="3">
        <v>45884.0</v>
      </c>
      <c r="B12895" s="4">
        <v>0.3347222222222222</v>
      </c>
      <c r="C12895" s="5" t="s">
        <v>76</v>
      </c>
      <c r="D12895" s="5" t="s">
        <v>1739</v>
      </c>
      <c r="E12895" s="6" t="s">
        <v>319</v>
      </c>
      <c r="F12895" s="5" t="s">
        <v>320</v>
      </c>
      <c r="G12895" s="6" t="str">
        <f>VLOOKUP(E12895,dicionario!$A$1:$C13294,2,0)</f>
        <v>Schinus terebinthifolia</v>
      </c>
      <c r="H12895" s="6" t="str">
        <f>VLOOKUP(E12895,dicionario!$A$1:$C13294,3,0)</f>
        <v>aroeira</v>
      </c>
    </row>
    <row r="12896">
      <c r="A12896" s="3">
        <v>45884.0</v>
      </c>
      <c r="B12896" s="4">
        <v>0.3347222222222222</v>
      </c>
      <c r="C12896" s="5" t="s">
        <v>76</v>
      </c>
      <c r="D12896" s="5" t="s">
        <v>1739</v>
      </c>
      <c r="E12896" s="6" t="s">
        <v>163</v>
      </c>
      <c r="F12896" s="5" t="s">
        <v>164</v>
      </c>
      <c r="G12896" s="6" t="str">
        <f>VLOOKUP(E12896,dicionario!$A$1:$C13295,2,0)</f>
        <v>Coragyps atratus</v>
      </c>
      <c r="H12896" s="6" t="str">
        <f>VLOOKUP(E12896,dicionario!$A$1:$C13295,3,0)</f>
        <v>urubu-de-cabeça-preta</v>
      </c>
    </row>
    <row r="12897">
      <c r="A12897" s="3">
        <v>45884.0</v>
      </c>
      <c r="B12897" s="4">
        <v>0.3347222222222222</v>
      </c>
      <c r="C12897" s="5" t="s">
        <v>76</v>
      </c>
      <c r="D12897" s="5" t="s">
        <v>1739</v>
      </c>
      <c r="E12897" s="8" t="s">
        <v>1694</v>
      </c>
      <c r="F12897" s="5" t="s">
        <v>1695</v>
      </c>
      <c r="G12897" s="6" t="str">
        <f>VLOOKUP(E12897,dicionario!$A$1:$C13296,2,0)</f>
        <v>Conyza bonariensis</v>
      </c>
      <c r="H12897" s="6" t="str">
        <f>VLOOKUP(E12897,dicionario!$A$1:$C13296,3,0)</f>
        <v>buva</v>
      </c>
    </row>
    <row r="12898">
      <c r="A12898" s="3">
        <v>45884.0</v>
      </c>
      <c r="B12898" s="4">
        <v>0.3347222222222222</v>
      </c>
      <c r="C12898" s="5" t="s">
        <v>76</v>
      </c>
      <c r="D12898" s="5" t="s">
        <v>1739</v>
      </c>
      <c r="E12898" s="6" t="s">
        <v>489</v>
      </c>
      <c r="F12898" s="5" t="s">
        <v>521</v>
      </c>
      <c r="G12898" s="6" t="str">
        <f>VLOOKUP(E12898,dicionario!$A$1:$C13297,2,0)</f>
        <v>Cenchrus echinatus</v>
      </c>
      <c r="H12898" s="6" t="str">
        <f>VLOOKUP(E12898,dicionario!$A$1:$C13297,3,0)</f>
        <v>capim-carrapicho</v>
      </c>
    </row>
    <row r="12899">
      <c r="A12899" s="3">
        <v>45884.0</v>
      </c>
      <c r="B12899" s="4">
        <v>0.3347222222222222</v>
      </c>
      <c r="C12899" s="5" t="s">
        <v>76</v>
      </c>
      <c r="D12899" s="5" t="s">
        <v>1739</v>
      </c>
      <c r="E12899" s="6" t="s">
        <v>360</v>
      </c>
      <c r="F12899" s="5" t="s">
        <v>361</v>
      </c>
      <c r="G12899" s="6" t="str">
        <f>VLOOKUP(E12899,dicionario!$A$1:$C13298,2,0)</f>
        <v>Chamaecrista rotundifolia</v>
      </c>
      <c r="H12899" s="6" t="str">
        <f>VLOOKUP(E12899,dicionario!$A$1:$C13298,3,0)</f>
        <v>alfafa-nativa</v>
      </c>
    </row>
    <row r="12900">
      <c r="A12900" s="3">
        <v>45884.0</v>
      </c>
      <c r="B12900" s="4">
        <v>0.3347222222222222</v>
      </c>
      <c r="C12900" s="5" t="s">
        <v>76</v>
      </c>
      <c r="D12900" s="5" t="s">
        <v>1739</v>
      </c>
      <c r="E12900" s="6" t="s">
        <v>290</v>
      </c>
      <c r="F12900" s="5" t="s">
        <v>291</v>
      </c>
      <c r="G12900" s="6" t="str">
        <f>VLOOKUP(E12900,dicionario!$A$1:$C13299,2,0)</f>
        <v>Drymaria cordata</v>
      </c>
      <c r="H12900" s="6" t="str">
        <f>VLOOKUP(E12900,dicionario!$A$1:$C13299,3,0)</f>
        <v>orelha-de-rato</v>
      </c>
    </row>
    <row r="12901">
      <c r="A12901" s="3">
        <v>45884.0</v>
      </c>
      <c r="B12901" s="4">
        <v>0.3347222222222222</v>
      </c>
      <c r="C12901" s="5" t="s">
        <v>76</v>
      </c>
      <c r="D12901" s="5" t="s">
        <v>1739</v>
      </c>
      <c r="E12901" s="6" t="s">
        <v>267</v>
      </c>
      <c r="F12901" s="5" t="s">
        <v>765</v>
      </c>
      <c r="G12901" s="6" t="str">
        <f>VLOOKUP(E12901,dicionario!$A$1:$C13300,2,0)</f>
        <v>Solanum americanum</v>
      </c>
      <c r="H12901" s="6" t="str">
        <f>VLOOKUP(E12901,dicionario!$A$1:$C13300,3,0)</f>
        <v>maria-pretinha</v>
      </c>
    </row>
    <row r="12902">
      <c r="A12902" s="3">
        <v>45884.0</v>
      </c>
      <c r="B12902" s="4">
        <v>0.3347222222222222</v>
      </c>
      <c r="C12902" s="5" t="s">
        <v>76</v>
      </c>
      <c r="D12902" s="5" t="s">
        <v>1739</v>
      </c>
      <c r="E12902" s="6" t="s">
        <v>113</v>
      </c>
      <c r="F12902" s="5" t="s">
        <v>114</v>
      </c>
      <c r="G12902" s="6" t="str">
        <f>VLOOKUP(E12902,dicionario!$A$1:$C13301,2,0)</f>
        <v>Columbina talpacoti</v>
      </c>
      <c r="H12902" s="6" t="str">
        <f>VLOOKUP(E12902,dicionario!$A$1:$C13301,3,0)</f>
        <v>rolinha-roxa</v>
      </c>
    </row>
    <row r="12903">
      <c r="A12903" s="3">
        <v>45884.0</v>
      </c>
      <c r="B12903" s="4">
        <v>0.3368055555555556</v>
      </c>
      <c r="C12903" s="5" t="s">
        <v>76</v>
      </c>
      <c r="D12903" s="5" t="s">
        <v>1739</v>
      </c>
      <c r="E12903" s="11" t="s">
        <v>1524</v>
      </c>
      <c r="F12903" s="5" t="s">
        <v>1525</v>
      </c>
      <c r="G12903" s="6" t="str">
        <f>VLOOKUP(E12903,dicionario!$A$1:$C13302,2,0)</f>
        <v>Tolmomyias flaviventris</v>
      </c>
      <c r="H12903" s="6" t="str">
        <f>VLOOKUP(E12903,dicionario!$A$1:$C13302,3,0)</f>
        <v>bico-chato-amarelo</v>
      </c>
    </row>
    <row r="12904">
      <c r="A12904" s="3">
        <v>45884.0</v>
      </c>
      <c r="B12904" s="4">
        <v>0.3368055555555556</v>
      </c>
      <c r="C12904" s="5" t="s">
        <v>76</v>
      </c>
      <c r="D12904" s="5" t="s">
        <v>1739</v>
      </c>
      <c r="E12904" s="8" t="s">
        <v>38</v>
      </c>
      <c r="F12904" s="5" t="s">
        <v>1672</v>
      </c>
      <c r="G12904" s="6" t="str">
        <f>VLOOKUP(E12904,dicionario!$A$1:$C13303,2,0)</f>
        <v>Troglodytes musculus</v>
      </c>
      <c r="H12904" s="6" t="str">
        <f>VLOOKUP(E12904,dicionario!$A$1:$C13303,3,0)</f>
        <v>curruíra</v>
      </c>
    </row>
    <row r="12905">
      <c r="A12905" s="3">
        <v>45884.0</v>
      </c>
      <c r="B12905" s="4">
        <v>0.3368055555555556</v>
      </c>
      <c r="C12905" s="5" t="s">
        <v>76</v>
      </c>
      <c r="D12905" s="5" t="s">
        <v>1739</v>
      </c>
      <c r="E12905" s="6" t="s">
        <v>225</v>
      </c>
      <c r="F12905" s="5" t="s">
        <v>226</v>
      </c>
      <c r="G12905" s="6" t="str">
        <f>VLOOKUP(E12905,dicionario!$A$1:$C13304,2,0)</f>
        <v>Passer domesticus</v>
      </c>
      <c r="H12905" s="6" t="str">
        <f>VLOOKUP(E12905,dicionario!$A$1:$C13304,3,0)</f>
        <v>pardal</v>
      </c>
    </row>
    <row r="12906">
      <c r="A12906" s="3">
        <v>45884.0</v>
      </c>
      <c r="B12906" s="4">
        <v>0.3368055555555556</v>
      </c>
      <c r="C12906" s="5" t="s">
        <v>76</v>
      </c>
      <c r="D12906" s="5" t="s">
        <v>1739</v>
      </c>
      <c r="E12906" s="8" t="s">
        <v>20</v>
      </c>
      <c r="F12906" s="5" t="s">
        <v>21</v>
      </c>
      <c r="G12906" s="6" t="str">
        <f>VLOOKUP(E12906,dicionario!$A$1:$C13305,2,0)</f>
        <v>Sicalis flaveola</v>
      </c>
      <c r="H12906" s="6" t="str">
        <f>VLOOKUP(E12906,dicionario!$A$1:$C13305,3,0)</f>
        <v>canário-da-terra</v>
      </c>
    </row>
    <row r="12907">
      <c r="A12907" s="3">
        <v>45884.0</v>
      </c>
      <c r="B12907" s="4">
        <v>0.3368055555555556</v>
      </c>
      <c r="C12907" s="5" t="s">
        <v>76</v>
      </c>
      <c r="D12907" s="5" t="s">
        <v>1739</v>
      </c>
      <c r="E12907" s="8" t="s">
        <v>1104</v>
      </c>
      <c r="F12907" s="5" t="s">
        <v>1105</v>
      </c>
      <c r="G12907" s="6" t="str">
        <f>VLOOKUP(E12907,dicionario!$A$1:$C13306,2,0)</f>
        <v>Rhynchospora speciosa</v>
      </c>
      <c r="H12907" s="6" t="str">
        <f>VLOOKUP(E12907,dicionario!$A$1:$C13306,3,0)</f>
        <v>capim-estrela</v>
      </c>
    </row>
    <row r="12908">
      <c r="A12908" s="3">
        <v>45884.0</v>
      </c>
      <c r="B12908" s="4">
        <v>0.3375</v>
      </c>
      <c r="C12908" s="5" t="s">
        <v>76</v>
      </c>
      <c r="D12908" s="5" t="s">
        <v>1739</v>
      </c>
      <c r="E12908" s="6" t="s">
        <v>177</v>
      </c>
      <c r="F12908" s="5" t="s">
        <v>178</v>
      </c>
      <c r="G12908" s="6" t="str">
        <f>VLOOKUP(E12908,dicionario!$A$1:$C13307,2,0)</f>
        <v>Elaenia flavogaster</v>
      </c>
      <c r="H12908" s="6" t="str">
        <f>VLOOKUP(E12908,dicionario!$A$1:$C13307,3,0)</f>
        <v>guaracava-de-barriga-amarela</v>
      </c>
    </row>
    <row r="12909">
      <c r="A12909" s="3">
        <v>45884.0</v>
      </c>
      <c r="B12909" s="4">
        <v>0.3375</v>
      </c>
      <c r="C12909" s="5" t="s">
        <v>76</v>
      </c>
      <c r="D12909" s="5" t="s">
        <v>1739</v>
      </c>
      <c r="E12909" s="8" t="s">
        <v>14</v>
      </c>
      <c r="F12909" s="5" t="s">
        <v>15</v>
      </c>
      <c r="G12909" s="6" t="str">
        <f>VLOOKUP(E12909,dicionario!$A$1:$C13308,2,0)</f>
        <v>Spermacoce verticillata</v>
      </c>
      <c r="H12909" s="6" t="str">
        <f>VLOOKUP(E12909,dicionario!$A$1:$C13308,3,0)</f>
        <v>vassourinha-de-botão</v>
      </c>
    </row>
    <row r="12910">
      <c r="A12910" s="3">
        <v>45884.0</v>
      </c>
      <c r="B12910" s="4">
        <v>0.3375</v>
      </c>
      <c r="C12910" s="5" t="s">
        <v>76</v>
      </c>
      <c r="D12910" s="5" t="s">
        <v>1739</v>
      </c>
      <c r="E12910" s="6" t="s">
        <v>253</v>
      </c>
      <c r="F12910" s="5" t="s">
        <v>254</v>
      </c>
      <c r="G12910" s="6" t="str">
        <f>VLOOKUP(E12910,dicionario!$A$1:$C13309,2,0)</f>
        <v>Panicum maximum</v>
      </c>
      <c r="H12910" s="6" t="str">
        <f>VLOOKUP(E12910,dicionario!$A$1:$C13309,3,0)</f>
        <v>capim-colonião</v>
      </c>
    </row>
    <row r="12911">
      <c r="A12911" s="3">
        <v>45884.0</v>
      </c>
      <c r="B12911" s="4">
        <v>0.3375</v>
      </c>
      <c r="C12911" s="5" t="s">
        <v>76</v>
      </c>
      <c r="D12911" s="5" t="s">
        <v>1739</v>
      </c>
      <c r="E12911" s="8" t="s">
        <v>1503</v>
      </c>
      <c r="F12911" s="5" t="s">
        <v>1504</v>
      </c>
      <c r="G12911" s="6" t="str">
        <f>VLOOKUP(E12911,dicionario!$A$1:$C13310,2,0)</f>
        <v>#N/A</v>
      </c>
      <c r="H12911" s="6" t="str">
        <f>VLOOKUP(E12911,dicionario!$A$1:$C13310,3,0)</f>
        <v>#N/A</v>
      </c>
    </row>
    <row r="12912">
      <c r="A12912" s="3">
        <v>45884.0</v>
      </c>
      <c r="B12912" s="4">
        <v>0.33819444444444446</v>
      </c>
      <c r="C12912" s="5" t="s">
        <v>76</v>
      </c>
      <c r="D12912" s="5" t="s">
        <v>1739</v>
      </c>
      <c r="E12912" s="8" t="s">
        <v>162</v>
      </c>
      <c r="F12912" s="5" t="s">
        <v>42</v>
      </c>
      <c r="G12912" s="6" t="str">
        <f>VLOOKUP(E12912,dicionario!$A$1:$C13311,2,0)</f>
        <v>Fluvicola nengeta</v>
      </c>
      <c r="H12912" s="6" t="str">
        <f>VLOOKUP(E12912,dicionario!$A$1:$C13311,3,0)</f>
        <v>lavadeira-mascarada</v>
      </c>
    </row>
    <row r="12913">
      <c r="A12913" s="3">
        <v>45884.0</v>
      </c>
      <c r="B12913" s="4">
        <v>0.33819444444444446</v>
      </c>
      <c r="C12913" s="5" t="s">
        <v>76</v>
      </c>
      <c r="D12913" s="5" t="s">
        <v>1739</v>
      </c>
      <c r="E12913" s="12" t="s">
        <v>152</v>
      </c>
      <c r="F12913" s="5" t="s">
        <v>153</v>
      </c>
      <c r="G12913" s="6" t="str">
        <f>VLOOKUP(E12913,dicionario!$A$1:$C13312,2,0)</f>
        <v>Cynodon dactylon</v>
      </c>
      <c r="H12913" s="6" t="str">
        <f>VLOOKUP(E12913,dicionario!$A$1:$C13312,3,0)</f>
        <v>grama-bermuda</v>
      </c>
    </row>
    <row r="12914">
      <c r="A12914" s="3">
        <v>45884.0</v>
      </c>
      <c r="B12914" s="4">
        <v>0.33819444444444446</v>
      </c>
      <c r="C12914" s="5" t="s">
        <v>76</v>
      </c>
      <c r="D12914" s="5" t="s">
        <v>1739</v>
      </c>
      <c r="E12914" s="6" t="s">
        <v>280</v>
      </c>
      <c r="F12914" s="5" t="s">
        <v>281</v>
      </c>
      <c r="G12914" s="6" t="str">
        <f>VLOOKUP(E12914,dicionario!$A$1:$C13313,2,0)</f>
        <v>Lepidium virginicum</v>
      </c>
      <c r="H12914" s="6" t="str">
        <f>VLOOKUP(E12914,dicionario!$A$1:$C13313,3,0)</f>
        <v>mastruz</v>
      </c>
    </row>
    <row r="12915">
      <c r="A12915" s="3">
        <v>45884.0</v>
      </c>
      <c r="B12915" s="4">
        <v>0.33819444444444446</v>
      </c>
      <c r="C12915" s="5" t="s">
        <v>76</v>
      </c>
      <c r="D12915" s="5" t="s">
        <v>1739</v>
      </c>
      <c r="E12915" s="6" t="s">
        <v>504</v>
      </c>
      <c r="F12915" s="5" t="s">
        <v>534</v>
      </c>
      <c r="G12915" s="6" t="str">
        <f>VLOOKUP(E12915,dicionario!$A$1:$C13314,2,0)</f>
        <v>Cleome aculeata</v>
      </c>
      <c r="H12915" s="6" t="str">
        <f>VLOOKUP(E12915,dicionario!$A$1:$C13314,3,0)</f>
        <v>cleome</v>
      </c>
    </row>
    <row r="12916">
      <c r="A12916" s="3">
        <v>45884.0</v>
      </c>
      <c r="B12916" s="4">
        <v>0.33958333333333335</v>
      </c>
      <c r="C12916" s="5" t="s">
        <v>76</v>
      </c>
      <c r="D12916" s="5" t="s">
        <v>1739</v>
      </c>
      <c r="E12916" s="8" t="s">
        <v>1193</v>
      </c>
      <c r="F12916" s="5" t="s">
        <v>1194</v>
      </c>
      <c r="G12916" s="6" t="str">
        <f>VLOOKUP(E12916,dicionario!$A$1:$C13315,2,0)</f>
        <v>Milvago chimachima</v>
      </c>
      <c r="H12916" s="6" t="str">
        <f>VLOOKUP(E12916,dicionario!$A$1:$C13315,3,0)</f>
        <v>gavião-carrapateiro</v>
      </c>
    </row>
    <row r="12917">
      <c r="A12917" s="3">
        <v>45884.0</v>
      </c>
      <c r="B12917" s="4">
        <v>0.33958333333333335</v>
      </c>
      <c r="C12917" s="5" t="s">
        <v>76</v>
      </c>
      <c r="D12917" s="5" t="s">
        <v>1739</v>
      </c>
      <c r="E12917" s="8" t="s">
        <v>1328</v>
      </c>
      <c r="F12917" s="5" t="s">
        <v>356</v>
      </c>
      <c r="G12917" s="6" t="str">
        <f>VLOOKUP(E12917,dicionario!$A$1:$C13316,2,0)</f>
        <v>#N/A</v>
      </c>
      <c r="H12917" s="6" t="str">
        <f>VLOOKUP(E12917,dicionario!$A$1:$C13316,3,0)</f>
        <v>#N/A</v>
      </c>
    </row>
    <row r="12918">
      <c r="A12918" s="3">
        <v>45884.0</v>
      </c>
      <c r="B12918" s="4">
        <v>0.33958333333333335</v>
      </c>
      <c r="C12918" s="5" t="s">
        <v>76</v>
      </c>
      <c r="D12918" s="5" t="s">
        <v>1739</v>
      </c>
      <c r="E12918" s="8" t="s">
        <v>41</v>
      </c>
      <c r="F12918" s="5" t="s">
        <v>45</v>
      </c>
      <c r="G12918" s="6" t="str">
        <f>VLOOKUP(E12918,dicionario!$A$1:$C13317,2,0)</f>
        <v>Mimosa pudica</v>
      </c>
      <c r="H12918" s="6" t="str">
        <f>VLOOKUP(E12918,dicionario!$A$1:$C13317,3,0)</f>
        <v>dormideira</v>
      </c>
    </row>
    <row r="12919">
      <c r="A12919" s="3">
        <v>45884.0</v>
      </c>
      <c r="B12919" s="4">
        <v>0.33958333333333335</v>
      </c>
      <c r="C12919" s="5" t="s">
        <v>76</v>
      </c>
      <c r="D12919" s="5" t="s">
        <v>1739</v>
      </c>
      <c r="E12919" s="6" t="s">
        <v>227</v>
      </c>
      <c r="F12919" s="5" t="s">
        <v>228</v>
      </c>
      <c r="G12919" s="6" t="str">
        <f>VLOOKUP(E12919,dicionario!$A$1:$C13318,2,0)</f>
        <v>Indigofera hirsuta</v>
      </c>
      <c r="H12919" s="6" t="str">
        <f>VLOOKUP(E12919,dicionario!$A$1:$C13318,3,0)</f>
        <v>anileira</v>
      </c>
    </row>
    <row r="12920">
      <c r="A12920" s="3">
        <v>45884.0</v>
      </c>
      <c r="B12920" s="4">
        <v>0.33958333333333335</v>
      </c>
      <c r="C12920" s="5" t="s">
        <v>76</v>
      </c>
      <c r="D12920" s="5" t="s">
        <v>1739</v>
      </c>
      <c r="E12920" s="6" t="s">
        <v>613</v>
      </c>
      <c r="F12920" s="5" t="s">
        <v>614</v>
      </c>
      <c r="G12920" s="6" t="str">
        <f>VLOOKUP(E12920,dicionario!$A$1:$C13319,2,0)</f>
        <v>Euphorbia hyssopifolia</v>
      </c>
      <c r="H12920" s="6" t="str">
        <f>VLOOKUP(E12920,dicionario!$A$1:$C13319,3,0)</f>
        <v>maria-leite</v>
      </c>
    </row>
    <row r="12921">
      <c r="A12921" s="3">
        <v>45884.0</v>
      </c>
      <c r="B12921" s="4">
        <v>0.33958333333333335</v>
      </c>
      <c r="C12921" s="5" t="s">
        <v>76</v>
      </c>
      <c r="D12921" s="5" t="s">
        <v>1739</v>
      </c>
      <c r="E12921" s="8" t="s">
        <v>111</v>
      </c>
      <c r="F12921" s="5" t="s">
        <v>1719</v>
      </c>
      <c r="G12921" s="6" t="str">
        <f>VLOOKUP(E12921,dicionario!$A$1:$C13320,2,0)</f>
        <v>Trigona spinipes</v>
      </c>
      <c r="H12921" s="6" t="str">
        <f>VLOOKUP(E12921,dicionario!$A$1:$C13320,3,0)</f>
        <v>abelha-cachorro</v>
      </c>
    </row>
    <row r="12922">
      <c r="A12922" s="3">
        <v>45884.0</v>
      </c>
      <c r="B12922" s="4">
        <v>0.34097222222222223</v>
      </c>
      <c r="C12922" s="5" t="s">
        <v>76</v>
      </c>
      <c r="D12922" s="5" t="s">
        <v>1739</v>
      </c>
      <c r="E12922" s="8" t="s">
        <v>69</v>
      </c>
      <c r="F12922" s="5" t="s">
        <v>71</v>
      </c>
      <c r="G12922" s="6" t="str">
        <f>VLOOKUP(E12922,dicionario!$A$1:$C13321,2,0)</f>
        <v>Talinum fruticosum</v>
      </c>
      <c r="H12922" s="6" t="str">
        <f>VLOOKUP(E12922,dicionario!$A$1:$C13321,3,0)</f>
        <v>beldroega-grande</v>
      </c>
    </row>
    <row r="12923">
      <c r="A12923" s="3">
        <v>45884.0</v>
      </c>
      <c r="B12923" s="4">
        <v>0.34097222222222223</v>
      </c>
      <c r="C12923" s="5" t="s">
        <v>76</v>
      </c>
      <c r="D12923" s="5" t="s">
        <v>1739</v>
      </c>
      <c r="E12923" s="8" t="s">
        <v>1282</v>
      </c>
      <c r="F12923" s="5" t="s">
        <v>182</v>
      </c>
      <c r="G12923" s="6" t="str">
        <f>VLOOKUP(E12923,dicionario!$A$1:$C13322,2,0)</f>
        <v>#N/A</v>
      </c>
      <c r="H12923" s="6" t="str">
        <f>VLOOKUP(E12923,dicionario!$A$1:$C13322,3,0)</f>
        <v>#N/A</v>
      </c>
    </row>
    <row r="12924">
      <c r="A12924" s="3">
        <v>45884.0</v>
      </c>
      <c r="B12924" s="4">
        <v>0.34097222222222223</v>
      </c>
      <c r="C12924" s="5" t="s">
        <v>76</v>
      </c>
      <c r="D12924" s="5" t="s">
        <v>1739</v>
      </c>
      <c r="E12924" s="6" t="s">
        <v>317</v>
      </c>
      <c r="F12924" s="5" t="s">
        <v>318</v>
      </c>
      <c r="G12924" s="6" t="str">
        <f>VLOOKUP(E12924,dicionario!$A$1:$C13323,2,0)</f>
        <v>Leucauge argyra</v>
      </c>
      <c r="H12924" s="6" t="str">
        <f>VLOOKUP(E12924,dicionario!$A$1:$C13323,3,0)</f>
        <v>aranha-de-mandibula-longa</v>
      </c>
    </row>
    <row r="12925">
      <c r="A12925" s="3">
        <v>45884.0</v>
      </c>
      <c r="B12925" s="4">
        <v>0.34097222222222223</v>
      </c>
      <c r="C12925" s="5" t="s">
        <v>76</v>
      </c>
      <c r="D12925" s="5" t="s">
        <v>1739</v>
      </c>
      <c r="E12925" s="6" t="s">
        <v>116</v>
      </c>
      <c r="F12925" s="5" t="s">
        <v>117</v>
      </c>
      <c r="G12925" s="6" t="str">
        <f>VLOOKUP(E12925,dicionario!$A$1:$C13324,2,0)</f>
        <v>Argiope argentata</v>
      </c>
      <c r="H12925" s="6" t="str">
        <f>VLOOKUP(E12925,dicionario!$A$1:$C13324,3,0)</f>
        <v>aranha-de-prata</v>
      </c>
    </row>
    <row r="12926">
      <c r="A12926" s="3">
        <v>45884.0</v>
      </c>
      <c r="B12926" s="4">
        <v>0.34305555555555556</v>
      </c>
      <c r="C12926" s="5" t="s">
        <v>76</v>
      </c>
      <c r="D12926" s="5" t="s">
        <v>1739</v>
      </c>
      <c r="E12926" s="65" t="s">
        <v>1394</v>
      </c>
      <c r="F12926" s="5" t="s">
        <v>1395</v>
      </c>
      <c r="G12926" s="6" t="str">
        <f>VLOOKUP(E12926,dicionario!$A$1:$C13325,2,0)</f>
        <v>Cecropia glaziovii</v>
      </c>
      <c r="H12926" s="6" t="str">
        <f>VLOOKUP(E12926,dicionario!$A$1:$C13325,3,0)</f>
        <v>embaúba-vermelha-do-sul</v>
      </c>
    </row>
    <row r="12927">
      <c r="A12927" s="3">
        <v>45884.0</v>
      </c>
      <c r="B12927" s="4">
        <v>0.34305555555555556</v>
      </c>
      <c r="C12927" s="5" t="s">
        <v>76</v>
      </c>
      <c r="D12927" s="5" t="s">
        <v>1739</v>
      </c>
      <c r="E12927" s="8" t="s">
        <v>821</v>
      </c>
      <c r="F12927" s="5" t="s">
        <v>876</v>
      </c>
      <c r="G12927" s="6" t="str">
        <f>VLOOKUP(E12927,dicionario!$A$1:$C13326,2,0)</f>
        <v>Schefflera actinophylla</v>
      </c>
      <c r="H12927" s="6" t="str">
        <f>VLOOKUP(E12927,dicionario!$A$1:$C13326,3,0)</f>
        <v>árvore-guarda-chuva</v>
      </c>
    </row>
    <row r="12928">
      <c r="A12928" s="3">
        <v>45884.0</v>
      </c>
      <c r="B12928" s="4">
        <v>0.34444444444444444</v>
      </c>
      <c r="C12928" s="5" t="s">
        <v>76</v>
      </c>
      <c r="D12928" s="5" t="s">
        <v>1739</v>
      </c>
      <c r="E12928" s="8" t="s">
        <v>952</v>
      </c>
      <c r="F12928" s="5" t="s">
        <v>953</v>
      </c>
      <c r="G12928" s="6" t="str">
        <f>VLOOKUP(E12928,dicionario!$A$1:$C13327,2,0)</f>
        <v>Christella dentata</v>
      </c>
      <c r="H12928" s="6" t="str">
        <f>VLOOKUP(E12928,dicionario!$A$1:$C13327,3,0)</f>
        <v>samambaia-rabo-de-gato</v>
      </c>
    </row>
    <row r="12929">
      <c r="A12929" s="3">
        <v>45884.0</v>
      </c>
      <c r="B12929" s="4">
        <v>0.3472222222222222</v>
      </c>
      <c r="C12929" s="5" t="s">
        <v>85</v>
      </c>
      <c r="D12929" s="5" t="s">
        <v>1739</v>
      </c>
      <c r="E12929" s="8" t="s">
        <v>109</v>
      </c>
      <c r="F12929" s="5" t="s">
        <v>110</v>
      </c>
      <c r="G12929" s="6" t="str">
        <f>VLOOKUP(E12929,dicionario!$A$1:$C13328,2,0)</f>
        <v>Tillandsia stricta</v>
      </c>
      <c r="H12929" s="6" t="str">
        <f>VLOOKUP(E12929,dicionario!$A$1:$C13328,3,0)</f>
        <v>cravo-do-mato</v>
      </c>
    </row>
    <row r="12930">
      <c r="A12930" s="3">
        <v>45884.0</v>
      </c>
      <c r="B12930" s="4">
        <v>0.3472222222222222</v>
      </c>
      <c r="C12930" s="5" t="s">
        <v>85</v>
      </c>
      <c r="D12930" s="5" t="s">
        <v>1739</v>
      </c>
      <c r="E12930" s="72" t="s">
        <v>298</v>
      </c>
      <c r="F12930" s="5"/>
      <c r="G12930" s="6" t="str">
        <f>VLOOKUP(E12930,dicionario!$A$1:$C13329,2,0)</f>
        <v>Alysicarpus vaginalis</v>
      </c>
      <c r="H12930" s="6" t="str">
        <f>VLOOKUP(E12930,dicionario!$A$1:$C13329,3,0)</f>
        <v/>
      </c>
    </row>
    <row r="12931">
      <c r="A12931" s="3">
        <v>45884.0</v>
      </c>
      <c r="B12931" s="4">
        <v>0.34791666666666665</v>
      </c>
      <c r="C12931" s="5" t="s">
        <v>85</v>
      </c>
      <c r="D12931" s="5" t="s">
        <v>1739</v>
      </c>
      <c r="E12931" s="8" t="s">
        <v>20</v>
      </c>
      <c r="F12931" s="5" t="s">
        <v>21</v>
      </c>
      <c r="G12931" s="6" t="str">
        <f>VLOOKUP(E12931,dicionario!$A$1:$C13330,2,0)</f>
        <v>Sicalis flaveola</v>
      </c>
      <c r="H12931" s="6" t="str">
        <f>VLOOKUP(E12931,dicionario!$A$1:$C13330,3,0)</f>
        <v>canário-da-terra</v>
      </c>
    </row>
    <row r="12932">
      <c r="A12932" s="3">
        <v>45884.0</v>
      </c>
      <c r="B12932" s="4">
        <v>0.34791666666666665</v>
      </c>
      <c r="C12932" s="5" t="s">
        <v>85</v>
      </c>
      <c r="D12932" s="5" t="s">
        <v>1739</v>
      </c>
      <c r="E12932" s="6" t="s">
        <v>227</v>
      </c>
      <c r="F12932" s="5" t="s">
        <v>228</v>
      </c>
      <c r="G12932" s="6" t="str">
        <f>VLOOKUP(E12932,dicionario!$A$1:$C13331,2,0)</f>
        <v>Indigofera hirsuta</v>
      </c>
      <c r="H12932" s="6" t="str">
        <f>VLOOKUP(E12932,dicionario!$A$1:$C13331,3,0)</f>
        <v>anileira</v>
      </c>
    </row>
    <row r="12933">
      <c r="A12933" s="3">
        <v>45884.0</v>
      </c>
      <c r="B12933" s="4">
        <v>0.34791666666666665</v>
      </c>
      <c r="C12933" s="5" t="s">
        <v>85</v>
      </c>
      <c r="D12933" s="5" t="s">
        <v>1739</v>
      </c>
      <c r="E12933" s="6" t="s">
        <v>353</v>
      </c>
      <c r="F12933" s="5" t="s">
        <v>354</v>
      </c>
      <c r="G12933" s="6" t="str">
        <f>VLOOKUP(E12933,dicionario!$A$1:$C13332,2,0)</f>
        <v>Desmodium incanum</v>
      </c>
      <c r="H12933" s="6" t="str">
        <f>VLOOKUP(E12933,dicionario!$A$1:$C13332,3,0)</f>
        <v>pega-pega</v>
      </c>
    </row>
    <row r="12934">
      <c r="A12934" s="3">
        <v>45884.0</v>
      </c>
      <c r="B12934" s="4">
        <v>0.34791666666666665</v>
      </c>
      <c r="C12934" s="5" t="s">
        <v>85</v>
      </c>
      <c r="D12934" s="5" t="s">
        <v>1739</v>
      </c>
      <c r="E12934" s="8" t="s">
        <v>719</v>
      </c>
      <c r="F12934" s="5" t="s">
        <v>911</v>
      </c>
      <c r="G12934" s="6" t="str">
        <f>VLOOKUP(E12934,dicionario!$A$1:$C13333,2,0)</f>
        <v>Dirinaria</v>
      </c>
      <c r="H12934" s="6" t="str">
        <f>VLOOKUP(E12934,dicionario!$A$1:$C13333,3,0)</f>
        <v>líquen-crostoso</v>
      </c>
    </row>
    <row r="12935">
      <c r="A12935" s="3">
        <v>45884.0</v>
      </c>
      <c r="B12935" s="4">
        <v>0.34791666666666665</v>
      </c>
      <c r="C12935" s="5" t="s">
        <v>85</v>
      </c>
      <c r="D12935" s="5" t="s">
        <v>1739</v>
      </c>
      <c r="E12935" s="8" t="s">
        <v>712</v>
      </c>
      <c r="F12935" s="5" t="s">
        <v>912</v>
      </c>
      <c r="G12935" s="6" t="str">
        <f>VLOOKUP(E12935,dicionario!$A$1:$C13334,2,0)</f>
        <v>Flavopunctelia soredica</v>
      </c>
      <c r="H12935" s="6" t="str">
        <f>VLOOKUP(E12935,dicionario!$A$1:$C13334,3,0)</f>
        <v>líquen-folioso</v>
      </c>
    </row>
    <row r="12936">
      <c r="A12936" s="3">
        <v>45884.0</v>
      </c>
      <c r="B12936" s="4">
        <v>0.34930555555555554</v>
      </c>
      <c r="C12936" s="5" t="s">
        <v>85</v>
      </c>
      <c r="D12936" s="5" t="s">
        <v>1739</v>
      </c>
      <c r="E12936" s="8" t="s">
        <v>271</v>
      </c>
      <c r="F12936" s="5" t="s">
        <v>1169</v>
      </c>
      <c r="G12936" s="6" t="str">
        <f>VLOOKUP(E12936,dicionario!$A$1:$C13335,2,0)</f>
        <v>Cyanthillium cinereum</v>
      </c>
      <c r="H12936" s="6" t="str">
        <f>VLOOKUP(E12936,dicionario!$A$1:$C13335,3,0)</f>
        <v>emília</v>
      </c>
    </row>
    <row r="12937">
      <c r="A12937" s="3">
        <v>45884.0</v>
      </c>
      <c r="B12937" s="4">
        <v>0.34930555555555554</v>
      </c>
      <c r="C12937" s="5" t="s">
        <v>85</v>
      </c>
      <c r="D12937" s="5" t="s">
        <v>1739</v>
      </c>
      <c r="E12937" s="8" t="s">
        <v>909</v>
      </c>
      <c r="F12937" s="5" t="s">
        <v>910</v>
      </c>
      <c r="G12937" s="6" t="str">
        <f>VLOOKUP(E12937,dicionario!$A$1:$C13336,2,0)</f>
        <v>Chordeiles acutipennis</v>
      </c>
      <c r="H12937" s="6" t="str">
        <f>VLOOKUP(E12937,dicionario!$A$1:$C13336,3,0)</f>
        <v>bacurau-de-asa-fina</v>
      </c>
    </row>
    <row r="12938">
      <c r="A12938" s="3">
        <v>45884.0</v>
      </c>
      <c r="B12938" s="4">
        <v>0.34930555555555554</v>
      </c>
      <c r="C12938" s="5" t="s">
        <v>85</v>
      </c>
      <c r="D12938" s="5" t="s">
        <v>1739</v>
      </c>
      <c r="E12938" s="6" t="s">
        <v>65</v>
      </c>
      <c r="F12938" s="5" t="s">
        <v>66</v>
      </c>
      <c r="G12938" s="6" t="str">
        <f>VLOOKUP(E12938,dicionario!$A$1:$C13337,2,0)</f>
        <v>Pitangus sulphutarus</v>
      </c>
      <c r="H12938" s="6" t="str">
        <f>VLOOKUP(E12938,dicionario!$A$1:$C13337,3,0)</f>
        <v>bem-te-vi</v>
      </c>
    </row>
    <row r="12939">
      <c r="A12939" s="3">
        <v>45884.0</v>
      </c>
      <c r="B12939" s="4">
        <v>0.3506944444444444</v>
      </c>
      <c r="C12939" s="5" t="s">
        <v>90</v>
      </c>
      <c r="D12939" s="5" t="s">
        <v>1739</v>
      </c>
      <c r="E12939" s="6" t="s">
        <v>88</v>
      </c>
      <c r="F12939" s="5" t="s">
        <v>89</v>
      </c>
      <c r="G12939" s="6" t="str">
        <f>VLOOKUP(E12939,dicionario!$A$1:$C13338,2,0)</f>
        <v>Tyrannus melancolichus</v>
      </c>
      <c r="H12939" s="6" t="str">
        <f>VLOOKUP(E12939,dicionario!$A$1:$C13338,3,0)</f>
        <v>suiriri</v>
      </c>
    </row>
    <row r="12940">
      <c r="A12940" s="3">
        <v>45884.0</v>
      </c>
      <c r="B12940" s="4">
        <v>0.3506944444444444</v>
      </c>
      <c r="C12940" s="5" t="s">
        <v>90</v>
      </c>
      <c r="D12940" s="5" t="s">
        <v>1739</v>
      </c>
      <c r="E12940" s="8" t="s">
        <v>38</v>
      </c>
      <c r="F12940" s="5" t="s">
        <v>1672</v>
      </c>
      <c r="G12940" s="6" t="str">
        <f>VLOOKUP(E12940,dicionario!$A$1:$C13339,2,0)</f>
        <v>Troglodytes musculus</v>
      </c>
      <c r="H12940" s="6" t="str">
        <f>VLOOKUP(E12940,dicionario!$A$1:$C13339,3,0)</f>
        <v>curruíra</v>
      </c>
    </row>
    <row r="12941">
      <c r="A12941" s="3">
        <v>45884.0</v>
      </c>
      <c r="B12941" s="4">
        <v>0.3506944444444444</v>
      </c>
      <c r="C12941" s="5" t="s">
        <v>90</v>
      </c>
      <c r="D12941" s="5" t="s">
        <v>1739</v>
      </c>
      <c r="E12941" s="6" t="s">
        <v>736</v>
      </c>
      <c r="F12941" s="5" t="s">
        <v>737</v>
      </c>
      <c r="G12941" s="6" t="str">
        <f>VLOOKUP(E12941,dicionario!$A$1:$C13340,2,0)</f>
        <v>Chloris virgata</v>
      </c>
      <c r="H12941" s="6" t="str">
        <f>VLOOKUP(E12941,dicionario!$A$1:$C13340,3,0)</f>
        <v>capim-pavão</v>
      </c>
    </row>
    <row r="12942">
      <c r="A12942" s="3">
        <v>45884.0</v>
      </c>
      <c r="B12942" s="4">
        <v>0.3506944444444444</v>
      </c>
      <c r="C12942" s="5" t="s">
        <v>90</v>
      </c>
      <c r="D12942" s="5" t="s">
        <v>1739</v>
      </c>
      <c r="E12942" s="8" t="s">
        <v>107</v>
      </c>
      <c r="F12942" s="5" t="s">
        <v>834</v>
      </c>
      <c r="G12942" s="6" t="str">
        <f>VLOOKUP(E12942,dicionario!$A$1:$C13341,2,0)</f>
        <v>Ramalina complanata</v>
      </c>
      <c r="H12942" s="6" t="str">
        <f>VLOOKUP(E12942,dicionario!$A$1:$C13341,3,0)</f>
        <v>ramalina</v>
      </c>
    </row>
    <row r="12943">
      <c r="A12943" s="3">
        <v>45884.0</v>
      </c>
      <c r="B12943" s="4">
        <v>0.3506944444444444</v>
      </c>
      <c r="C12943" s="5" t="s">
        <v>90</v>
      </c>
      <c r="D12943" s="5" t="s">
        <v>1739</v>
      </c>
      <c r="E12943" s="8" t="s">
        <v>752</v>
      </c>
      <c r="F12943" s="5" t="s">
        <v>969</v>
      </c>
      <c r="G12943" s="6" t="str">
        <f>VLOOKUP(E12943,dicionario!$A$1:$C13342,2,0)</f>
        <v>#N/A</v>
      </c>
      <c r="H12943" s="6" t="str">
        <f>VLOOKUP(E12943,dicionario!$A$1:$C13342,3,0)</f>
        <v>#N/A</v>
      </c>
    </row>
    <row r="12944">
      <c r="A12944" s="3">
        <v>45884.0</v>
      </c>
      <c r="B12944" s="4">
        <v>0.3506944444444444</v>
      </c>
      <c r="C12944" s="5" t="s">
        <v>90</v>
      </c>
      <c r="D12944" s="5" t="s">
        <v>1739</v>
      </c>
      <c r="E12944" s="6" t="s">
        <v>191</v>
      </c>
      <c r="F12944" s="5" t="s">
        <v>192</v>
      </c>
      <c r="G12944" s="6" t="str">
        <f>VLOOKUP(E12944,dicionario!$A$1:$C13343,2,0)</f>
        <v>Patagioenas picazuro</v>
      </c>
      <c r="H12944" s="6" t="str">
        <f>VLOOKUP(E12944,dicionario!$A$1:$C13343,3,0)</f>
        <v>asa-branca; pomba-asa-branca; pocaçu</v>
      </c>
    </row>
    <row r="12945">
      <c r="A12945" s="3">
        <v>45884.0</v>
      </c>
      <c r="B12945" s="4">
        <v>0.35208333333333336</v>
      </c>
      <c r="C12945" s="5" t="s">
        <v>90</v>
      </c>
      <c r="D12945" s="5" t="s">
        <v>1739</v>
      </c>
      <c r="E12945" s="72" t="s">
        <v>298</v>
      </c>
      <c r="F12945" s="5"/>
      <c r="G12945" s="6" t="str">
        <f>VLOOKUP(E12945,dicionario!$A$1:$C13344,2,0)</f>
        <v>Alysicarpus vaginalis</v>
      </c>
      <c r="H12945" s="6" t="str">
        <f>VLOOKUP(E12945,dicionario!$A$1:$C13344,3,0)</f>
        <v/>
      </c>
    </row>
    <row r="12946">
      <c r="A12946" s="3">
        <v>45891.0</v>
      </c>
      <c r="B12946" s="4">
        <v>0.27569444444444446</v>
      </c>
      <c r="C12946" s="5" t="s">
        <v>90</v>
      </c>
      <c r="D12946" s="5" t="s">
        <v>1760</v>
      </c>
      <c r="E12946" s="8" t="s">
        <v>107</v>
      </c>
      <c r="F12946" s="5" t="s">
        <v>108</v>
      </c>
      <c r="G12946" s="6" t="str">
        <f>VLOOKUP(E12946,dicionario!$A$1:$C13345,2,0)</f>
        <v>Ramalina complanata</v>
      </c>
      <c r="H12946" s="6" t="str">
        <f>VLOOKUP(E12946,dicionario!$A$1:$C13345,3,0)</f>
        <v>ramalina</v>
      </c>
    </row>
    <row r="12947">
      <c r="A12947" s="3">
        <v>45891.0</v>
      </c>
      <c r="B12947" s="4">
        <v>0.27569444444444446</v>
      </c>
      <c r="C12947" s="5" t="s">
        <v>90</v>
      </c>
      <c r="D12947" s="5" t="s">
        <v>1760</v>
      </c>
      <c r="E12947" s="8" t="s">
        <v>712</v>
      </c>
      <c r="F12947" s="5" t="s">
        <v>912</v>
      </c>
      <c r="G12947" s="6" t="str">
        <f>VLOOKUP(E12947,dicionario!$A$1:$C13346,2,0)</f>
        <v>Flavopunctelia soredica</v>
      </c>
      <c r="H12947" s="6" t="str">
        <f>VLOOKUP(E12947,dicionario!$A$1:$C13346,3,0)</f>
        <v>líquen-folioso</v>
      </c>
    </row>
    <row r="12948">
      <c r="A12948" s="3">
        <v>45891.0</v>
      </c>
      <c r="B12948" s="4">
        <v>0.27569444444444446</v>
      </c>
      <c r="C12948" s="5" t="s">
        <v>90</v>
      </c>
      <c r="D12948" s="5" t="s">
        <v>1760</v>
      </c>
      <c r="E12948" s="8" t="s">
        <v>719</v>
      </c>
      <c r="F12948" s="5" t="s">
        <v>1458</v>
      </c>
      <c r="G12948" s="6" t="str">
        <f>VLOOKUP(E12948,dicionario!$A$1:$C13347,2,0)</f>
        <v>Dirinaria</v>
      </c>
      <c r="H12948" s="6" t="str">
        <f>VLOOKUP(E12948,dicionario!$A$1:$C13347,3,0)</f>
        <v>líquen-crostoso</v>
      </c>
    </row>
    <row r="12949">
      <c r="A12949" s="3">
        <v>45891.0</v>
      </c>
      <c r="B12949" s="4">
        <v>0.27569444444444446</v>
      </c>
      <c r="C12949" s="5" t="s">
        <v>90</v>
      </c>
      <c r="D12949" s="5" t="s">
        <v>1760</v>
      </c>
      <c r="E12949" s="6" t="s">
        <v>65</v>
      </c>
      <c r="F12949" s="5" t="s">
        <v>66</v>
      </c>
      <c r="G12949" s="6" t="str">
        <f>VLOOKUP(E12949,dicionario!$A$1:$C13348,2,0)</f>
        <v>Pitangus sulphutarus</v>
      </c>
      <c r="H12949" s="6" t="str">
        <f>VLOOKUP(E12949,dicionario!$A$1:$C13348,3,0)</f>
        <v>bem-te-vi</v>
      </c>
    </row>
    <row r="12950">
      <c r="A12950" s="3">
        <v>45891.0</v>
      </c>
      <c r="B12950" s="4">
        <v>0.27569444444444446</v>
      </c>
      <c r="C12950" s="5" t="s">
        <v>90</v>
      </c>
      <c r="D12950" s="5" t="s">
        <v>1760</v>
      </c>
      <c r="E12950" s="8" t="s">
        <v>38</v>
      </c>
      <c r="F12950" s="5" t="s">
        <v>1672</v>
      </c>
      <c r="G12950" s="6" t="str">
        <f>VLOOKUP(E12950,dicionario!$A$1:$C13349,2,0)</f>
        <v>Troglodytes musculus</v>
      </c>
      <c r="H12950" s="6" t="str">
        <f>VLOOKUP(E12950,dicionario!$A$1:$C13349,3,0)</f>
        <v>curruíra</v>
      </c>
    </row>
    <row r="12951">
      <c r="A12951" s="3">
        <v>45891.0</v>
      </c>
      <c r="B12951" s="4">
        <v>0.27569444444444446</v>
      </c>
      <c r="C12951" s="5" t="s">
        <v>90</v>
      </c>
      <c r="D12951" s="5" t="s">
        <v>1760</v>
      </c>
      <c r="E12951" s="6" t="s">
        <v>177</v>
      </c>
      <c r="F12951" s="5" t="s">
        <v>178</v>
      </c>
      <c r="G12951" s="6" t="str">
        <f>VLOOKUP(E12951,dicionario!$A$1:$C13350,2,0)</f>
        <v>Elaenia flavogaster</v>
      </c>
      <c r="H12951" s="6" t="str">
        <f>VLOOKUP(E12951,dicionario!$A$1:$C13350,3,0)</f>
        <v>guaracava-de-barriga-amarela</v>
      </c>
    </row>
    <row r="12952">
      <c r="A12952" s="3">
        <v>45891.0</v>
      </c>
      <c r="B12952" s="4">
        <v>0.27569444444444446</v>
      </c>
      <c r="C12952" s="5" t="s">
        <v>90</v>
      </c>
      <c r="D12952" s="5" t="s">
        <v>1760</v>
      </c>
      <c r="E12952" s="8" t="s">
        <v>20</v>
      </c>
      <c r="F12952" s="5" t="s">
        <v>21</v>
      </c>
      <c r="G12952" s="6" t="str">
        <f>VLOOKUP(E12952,dicionario!$A$1:$C13351,2,0)</f>
        <v>Sicalis flaveola</v>
      </c>
      <c r="H12952" s="6" t="str">
        <f>VLOOKUP(E12952,dicionario!$A$1:$C13351,3,0)</f>
        <v>canário-da-terra</v>
      </c>
    </row>
    <row r="12953">
      <c r="A12953" s="3">
        <v>45891.0</v>
      </c>
      <c r="B12953" s="4">
        <v>0.27569444444444446</v>
      </c>
      <c r="C12953" s="5" t="s">
        <v>90</v>
      </c>
      <c r="D12953" s="5" t="s">
        <v>1760</v>
      </c>
      <c r="E12953" s="72" t="s">
        <v>1352</v>
      </c>
      <c r="F12953" s="5"/>
      <c r="G12953" s="6" t="str">
        <f>VLOOKUP(E12953,dicionario!$A$1:$C13352,2,0)</f>
        <v>#N/A</v>
      </c>
      <c r="H12953" s="6" t="str">
        <f>VLOOKUP(E12953,dicionario!$A$1:$C13352,3,0)</f>
        <v>#N/A</v>
      </c>
    </row>
    <row r="12954">
      <c r="A12954" s="3">
        <v>45891.0</v>
      </c>
      <c r="B12954" s="4">
        <v>0.2763888888888889</v>
      </c>
      <c r="C12954" s="5" t="s">
        <v>90</v>
      </c>
      <c r="D12954" s="5" t="s">
        <v>1760</v>
      </c>
      <c r="E12954" s="8" t="s">
        <v>271</v>
      </c>
      <c r="F12954" s="5" t="s">
        <v>272</v>
      </c>
      <c r="G12954" s="6" t="str">
        <f>VLOOKUP(E12954,dicionario!$A$1:$C13353,2,0)</f>
        <v>Cyanthillium cinereum</v>
      </c>
      <c r="H12954" s="6" t="str">
        <f>VLOOKUP(E12954,dicionario!$A$1:$C13353,3,0)</f>
        <v>emília</v>
      </c>
    </row>
    <row r="12955">
      <c r="A12955" s="3">
        <v>45891.0</v>
      </c>
      <c r="B12955" s="4">
        <v>0.2763888888888889</v>
      </c>
      <c r="C12955" s="5" t="s">
        <v>90</v>
      </c>
      <c r="D12955" s="5" t="s">
        <v>1760</v>
      </c>
      <c r="E12955" s="8" t="s">
        <v>109</v>
      </c>
      <c r="F12955" s="5" t="s">
        <v>110</v>
      </c>
      <c r="G12955" s="6" t="str">
        <f>VLOOKUP(E12955,dicionario!$A$1:$C13354,2,0)</f>
        <v>Tillandsia stricta</v>
      </c>
      <c r="H12955" s="6" t="str">
        <f>VLOOKUP(E12955,dicionario!$A$1:$C13354,3,0)</f>
        <v>cravo-do-mato</v>
      </c>
    </row>
    <row r="12956">
      <c r="A12956" s="3">
        <v>45891.0</v>
      </c>
      <c r="B12956" s="4">
        <v>0.2763888888888889</v>
      </c>
      <c r="C12956" s="5" t="s">
        <v>90</v>
      </c>
      <c r="D12956" s="5" t="s">
        <v>1760</v>
      </c>
      <c r="E12956" s="8" t="s">
        <v>909</v>
      </c>
      <c r="F12956" s="5" t="s">
        <v>910</v>
      </c>
      <c r="G12956" s="6" t="str">
        <f>VLOOKUP(E12956,dicionario!$A$1:$C13355,2,0)</f>
        <v>Chordeiles acutipennis</v>
      </c>
      <c r="H12956" s="6" t="str">
        <f>VLOOKUP(E12956,dicionario!$A$1:$C13355,3,0)</f>
        <v>bacurau-de-asa-fina</v>
      </c>
    </row>
    <row r="12957">
      <c r="A12957" s="3">
        <v>45891.0</v>
      </c>
      <c r="B12957" s="4">
        <v>0.2763888888888889</v>
      </c>
      <c r="C12957" s="5" t="s">
        <v>90</v>
      </c>
      <c r="D12957" s="5" t="s">
        <v>1760</v>
      </c>
      <c r="E12957" s="8" t="s">
        <v>338</v>
      </c>
      <c r="F12957" s="5" t="s">
        <v>1454</v>
      </c>
      <c r="G12957" s="6" t="str">
        <f>VLOOKUP(E12957,dicionario!$A$1:$C13356,2,0)</f>
        <v>Atta</v>
      </c>
      <c r="H12957" s="6" t="str">
        <f>VLOOKUP(E12957,dicionario!$A$1:$C13356,3,0)</f>
        <v>saúva</v>
      </c>
    </row>
    <row r="12958">
      <c r="A12958" s="3">
        <v>45891.0</v>
      </c>
      <c r="B12958" s="4">
        <v>0.2763888888888889</v>
      </c>
      <c r="C12958" s="5" t="s">
        <v>90</v>
      </c>
      <c r="D12958" s="5" t="s">
        <v>1760</v>
      </c>
      <c r="E12958" s="6" t="s">
        <v>489</v>
      </c>
      <c r="F12958" s="5" t="s">
        <v>521</v>
      </c>
      <c r="G12958" s="6" t="str">
        <f>VLOOKUP(E12958,dicionario!$A$1:$C13357,2,0)</f>
        <v>Cenchrus echinatus</v>
      </c>
      <c r="H12958" s="6" t="str">
        <f>VLOOKUP(E12958,dicionario!$A$1:$C13357,3,0)</f>
        <v>capim-carrapicho</v>
      </c>
    </row>
    <row r="12959">
      <c r="A12959" s="3">
        <v>45891.0</v>
      </c>
      <c r="B12959" s="4">
        <v>0.27708333333333335</v>
      </c>
      <c r="C12959" s="5" t="s">
        <v>90</v>
      </c>
      <c r="D12959" s="5" t="s">
        <v>1760</v>
      </c>
      <c r="E12959" s="8" t="s">
        <v>14</v>
      </c>
      <c r="F12959" s="5" t="s">
        <v>15</v>
      </c>
      <c r="G12959" s="6" t="str">
        <f>VLOOKUP(E12959,dicionario!$A$1:$C13358,2,0)</f>
        <v>Spermacoce verticillata</v>
      </c>
      <c r="H12959" s="6" t="str">
        <f>VLOOKUP(E12959,dicionario!$A$1:$C13358,3,0)</f>
        <v>vassourinha-de-botão</v>
      </c>
    </row>
    <row r="12960">
      <c r="A12960" s="3">
        <v>45891.0</v>
      </c>
      <c r="B12960" s="4">
        <v>0.27708333333333335</v>
      </c>
      <c r="C12960" s="5" t="s">
        <v>90</v>
      </c>
      <c r="D12960" s="5" t="s">
        <v>1760</v>
      </c>
      <c r="E12960" s="6" t="s">
        <v>253</v>
      </c>
      <c r="F12960" s="5" t="s">
        <v>254</v>
      </c>
      <c r="G12960" s="6" t="str">
        <f>VLOOKUP(E12960,dicionario!$A$1:$C13359,2,0)</f>
        <v>Panicum maximum</v>
      </c>
      <c r="H12960" s="6" t="str">
        <f>VLOOKUP(E12960,dicionario!$A$1:$C13359,3,0)</f>
        <v>capim-colonião</v>
      </c>
    </row>
    <row r="12961">
      <c r="A12961" s="3">
        <v>45891.0</v>
      </c>
      <c r="B12961" s="4">
        <v>0.27847222222222223</v>
      </c>
      <c r="C12961" s="5" t="s">
        <v>90</v>
      </c>
      <c r="D12961" s="5" t="s">
        <v>1760</v>
      </c>
      <c r="E12961" s="6" t="s">
        <v>191</v>
      </c>
      <c r="F12961" s="5" t="s">
        <v>192</v>
      </c>
      <c r="G12961" s="6" t="str">
        <f>VLOOKUP(E12961,dicionario!$A$1:$C13360,2,0)</f>
        <v>Patagioenas picazuro</v>
      </c>
      <c r="H12961" s="6" t="str">
        <f>VLOOKUP(E12961,dicionario!$A$1:$C13360,3,0)</f>
        <v>asa-branca; pomba-asa-branca; pocaçu</v>
      </c>
    </row>
    <row r="12962">
      <c r="A12962" s="3">
        <v>45891.0</v>
      </c>
      <c r="B12962" s="4">
        <v>0.27847222222222223</v>
      </c>
      <c r="C12962" s="5" t="s">
        <v>90</v>
      </c>
      <c r="D12962" s="5" t="s">
        <v>1760</v>
      </c>
      <c r="E12962" s="6" t="s">
        <v>148</v>
      </c>
      <c r="F12962" s="5" t="s">
        <v>149</v>
      </c>
      <c r="G12962" s="6" t="str">
        <f>VLOOKUP(E12962,dicionario!$A$1:$C13361,2,0)</f>
        <v>Parthenium hysterophorus</v>
      </c>
      <c r="H12962" s="6" t="str">
        <f>VLOOKUP(E12962,dicionario!$A$1:$C13361,3,0)</f>
        <v>losna-branca</v>
      </c>
    </row>
    <row r="12963">
      <c r="A12963" s="3">
        <v>45891.0</v>
      </c>
      <c r="B12963" s="4">
        <v>0.27847222222222223</v>
      </c>
      <c r="C12963" s="5" t="s">
        <v>90</v>
      </c>
      <c r="D12963" s="5" t="s">
        <v>1760</v>
      </c>
      <c r="E12963" s="8" t="s">
        <v>150</v>
      </c>
      <c r="F12963" s="5" t="s">
        <v>151</v>
      </c>
      <c r="G12963" s="6" t="str">
        <f>VLOOKUP(E12963,dicionario!$A$1:$C13362,2,0)</f>
        <v>Amaranthus viridis</v>
      </c>
      <c r="H12963" s="6" t="str">
        <f>VLOOKUP(E12963,dicionario!$A$1:$C13362,3,0)</f>
        <v>caruru-de-mancha</v>
      </c>
    </row>
    <row r="12964">
      <c r="A12964" s="3">
        <v>45891.0</v>
      </c>
      <c r="B12964" s="4">
        <v>0.27847222222222223</v>
      </c>
      <c r="C12964" s="5" t="s">
        <v>90</v>
      </c>
      <c r="D12964" s="5" t="s">
        <v>1760</v>
      </c>
      <c r="E12964" s="6" t="s">
        <v>72</v>
      </c>
      <c r="F12964" s="5" t="s">
        <v>73</v>
      </c>
      <c r="G12964" s="6" t="str">
        <f>VLOOKUP(E12964,dicionario!$A$1:$C13363,2,0)</f>
        <v>Thraupis palmarum</v>
      </c>
      <c r="H12964" s="6" t="str">
        <f>VLOOKUP(E12964,dicionario!$A$1:$C13363,3,0)</f>
        <v>sanhaço-do-coqueiro</v>
      </c>
    </row>
    <row r="12965">
      <c r="A12965" s="3">
        <v>45891.0</v>
      </c>
      <c r="B12965" s="4">
        <v>0.27847222222222223</v>
      </c>
      <c r="C12965" s="5" t="s">
        <v>90</v>
      </c>
      <c r="D12965" s="5" t="s">
        <v>1760</v>
      </c>
      <c r="E12965" s="6" t="s">
        <v>93</v>
      </c>
      <c r="F12965" s="5" t="s">
        <v>570</v>
      </c>
      <c r="G12965" s="6" t="str">
        <f>VLOOKUP(E12965,dicionario!$A$1:$C13364,2,0)</f>
        <v>Thraupis sayaca</v>
      </c>
      <c r="H12965" s="6" t="str">
        <f>VLOOKUP(E12965,dicionario!$A$1:$C13364,3,0)</f>
        <v>sanhaçu-cinzento</v>
      </c>
    </row>
    <row r="12966">
      <c r="A12966" s="3">
        <v>45891.0</v>
      </c>
      <c r="B12966" s="4">
        <v>0.27847222222222223</v>
      </c>
      <c r="C12966" s="5" t="s">
        <v>90</v>
      </c>
      <c r="D12966" s="5" t="s">
        <v>1760</v>
      </c>
      <c r="E12966" s="6" t="s">
        <v>286</v>
      </c>
      <c r="F12966" s="5" t="s">
        <v>287</v>
      </c>
      <c r="G12966" s="6" t="str">
        <f>VLOOKUP(E12966,dicionario!$A$1:$C13365,2,0)</f>
        <v>Setaria parviflora</v>
      </c>
      <c r="H12966" s="6" t="str">
        <f>VLOOKUP(E12966,dicionario!$A$1:$C13365,3,0)</f>
        <v>capim-rabo-de-raposa</v>
      </c>
    </row>
    <row r="12967">
      <c r="A12967" s="3">
        <v>45891.0</v>
      </c>
      <c r="B12967" s="4">
        <v>0.28055555555555556</v>
      </c>
      <c r="C12967" s="5" t="s">
        <v>90</v>
      </c>
      <c r="D12967" s="5" t="s">
        <v>1760</v>
      </c>
      <c r="E12967" s="6" t="s">
        <v>489</v>
      </c>
      <c r="F12967" s="5" t="s">
        <v>196</v>
      </c>
      <c r="G12967" s="6" t="str">
        <f>VLOOKUP(E12967,dicionario!$A$1:$C13366,2,0)</f>
        <v>Cenchrus echinatus</v>
      </c>
      <c r="H12967" s="6" t="str">
        <f>VLOOKUP(E12967,dicionario!$A$1:$C13366,3,0)</f>
        <v>capim-carrapicho</v>
      </c>
    </row>
    <row r="12968">
      <c r="A12968" s="3">
        <v>45891.0</v>
      </c>
      <c r="B12968" s="4">
        <v>0.28055555555555556</v>
      </c>
      <c r="C12968" s="5" t="s">
        <v>90</v>
      </c>
      <c r="D12968" s="5" t="s">
        <v>1760</v>
      </c>
      <c r="E12968" s="8" t="s">
        <v>366</v>
      </c>
      <c r="F12968" s="5" t="s">
        <v>367</v>
      </c>
      <c r="G12968" s="6" t="str">
        <f>VLOOKUP(E12968,dicionario!$A$1:$C13367,2,0)</f>
        <v>Alternanthera ficoidea</v>
      </c>
      <c r="H12968" s="6" t="str">
        <f>VLOOKUP(E12968,dicionario!$A$1:$C13367,3,0)</f>
        <v>quebra-panela</v>
      </c>
    </row>
    <row r="12969">
      <c r="A12969" s="3">
        <v>45891.0</v>
      </c>
      <c r="B12969" s="4">
        <v>0.2833333333333333</v>
      </c>
      <c r="C12969" s="5" t="s">
        <v>90</v>
      </c>
      <c r="D12969" s="5" t="s">
        <v>1760</v>
      </c>
      <c r="E12969" s="8" t="s">
        <v>1761</v>
      </c>
      <c r="F12969" s="5" t="s">
        <v>1762</v>
      </c>
      <c r="G12969" s="6" t="str">
        <f>VLOOKUP(E12969,dicionario!$A$1:$C13368,2,0)</f>
        <v>#N/A</v>
      </c>
      <c r="H12969" s="6" t="str">
        <f>VLOOKUP(E12969,dicionario!$A$1:$C13368,3,0)</f>
        <v>#N/A</v>
      </c>
    </row>
    <row r="12970">
      <c r="A12970" s="3">
        <v>45891.0</v>
      </c>
      <c r="B12970" s="4">
        <v>0.2833333333333333</v>
      </c>
      <c r="C12970" s="5" t="s">
        <v>90</v>
      </c>
      <c r="D12970" s="5" t="s">
        <v>1760</v>
      </c>
      <c r="E12970" s="76" t="s">
        <v>514</v>
      </c>
      <c r="F12970" s="5" t="s">
        <v>1714</v>
      </c>
      <c r="G12970" s="6" t="str">
        <f>VLOOKUP(E12970,dicionario!$A$1:$C13369,2,0)</f>
        <v>Aedes aegypti</v>
      </c>
      <c r="H12970" s="6" t="str">
        <f>VLOOKUP(E12970,dicionario!$A$1:$C13369,3,0)</f>
        <v>mosquito-da-dengue</v>
      </c>
    </row>
    <row r="12971">
      <c r="A12971" s="3">
        <v>45891.0</v>
      </c>
      <c r="B12971" s="4">
        <v>0.28402777777777777</v>
      </c>
      <c r="C12971" s="5" t="s">
        <v>85</v>
      </c>
      <c r="D12971" s="5" t="s">
        <v>1760</v>
      </c>
      <c r="E12971" s="72" t="s">
        <v>298</v>
      </c>
      <c r="F12971" s="5"/>
      <c r="G12971" s="6" t="str">
        <f>VLOOKUP(E12971,dicionario!$A$1:$C13370,2,0)</f>
        <v>Alysicarpus vaginalis</v>
      </c>
      <c r="H12971" s="6" t="str">
        <f>VLOOKUP(E12971,dicionario!$A$1:$C13370,3,0)</f>
        <v/>
      </c>
    </row>
    <row r="12972">
      <c r="A12972" s="3">
        <v>45891.0</v>
      </c>
      <c r="B12972" s="4">
        <v>0.28402777777777777</v>
      </c>
      <c r="C12972" s="5" t="s">
        <v>85</v>
      </c>
      <c r="D12972" s="5" t="s">
        <v>1760</v>
      </c>
      <c r="E12972" s="8" t="s">
        <v>271</v>
      </c>
      <c r="F12972" s="5" t="s">
        <v>272</v>
      </c>
      <c r="G12972" s="6" t="str">
        <f>VLOOKUP(E12972,dicionario!$A$1:$C13371,2,0)</f>
        <v>Cyanthillium cinereum</v>
      </c>
      <c r="H12972" s="6" t="str">
        <f>VLOOKUP(E12972,dicionario!$A$1:$C13371,3,0)</f>
        <v>emília</v>
      </c>
    </row>
    <row r="12973">
      <c r="A12973" s="3">
        <v>45891.0</v>
      </c>
      <c r="B12973" s="4">
        <v>0.28402777777777777</v>
      </c>
      <c r="C12973" s="5" t="s">
        <v>85</v>
      </c>
      <c r="D12973" s="5" t="s">
        <v>1760</v>
      </c>
      <c r="E12973" s="8" t="s">
        <v>849</v>
      </c>
      <c r="F12973" s="5" t="s">
        <v>1457</v>
      </c>
      <c r="G12973" s="6" t="str">
        <f>VLOOKUP(E12973,dicionario!$A$1:$C13372,2,0)</f>
        <v>#N/A</v>
      </c>
      <c r="H12973" s="6" t="str">
        <f>VLOOKUP(E12973,dicionario!$A$1:$C13372,3,0)</f>
        <v>#N/A</v>
      </c>
    </row>
    <row r="12974">
      <c r="A12974" s="3">
        <v>45891.0</v>
      </c>
      <c r="B12974" s="4">
        <v>0.28402777777777777</v>
      </c>
      <c r="C12974" s="5" t="s">
        <v>85</v>
      </c>
      <c r="D12974" s="5" t="s">
        <v>1760</v>
      </c>
      <c r="E12974" s="8" t="s">
        <v>109</v>
      </c>
      <c r="F12974" s="5" t="s">
        <v>110</v>
      </c>
      <c r="G12974" s="6" t="str">
        <f>VLOOKUP(E12974,dicionario!$A$1:$C13373,2,0)</f>
        <v>Tillandsia stricta</v>
      </c>
      <c r="H12974" s="6" t="str">
        <f>VLOOKUP(E12974,dicionario!$A$1:$C13373,3,0)</f>
        <v>cravo-do-mato</v>
      </c>
    </row>
    <row r="12975">
      <c r="A12975" s="3">
        <v>45891.0</v>
      </c>
      <c r="B12975" s="4">
        <v>0.28402777777777777</v>
      </c>
      <c r="C12975" s="5" t="s">
        <v>85</v>
      </c>
      <c r="D12975" s="5" t="s">
        <v>1760</v>
      </c>
      <c r="E12975" s="6" t="s">
        <v>489</v>
      </c>
      <c r="F12975" s="5" t="s">
        <v>521</v>
      </c>
      <c r="G12975" s="6" t="str">
        <f>VLOOKUP(E12975,dicionario!$A$1:$C13374,2,0)</f>
        <v>Cenchrus echinatus</v>
      </c>
      <c r="H12975" s="6" t="str">
        <f>VLOOKUP(E12975,dicionario!$A$1:$C13374,3,0)</f>
        <v>capim-carrapicho</v>
      </c>
    </row>
    <row r="12976">
      <c r="A12976" s="3">
        <v>45891.0</v>
      </c>
      <c r="B12976" s="4">
        <v>0.28402777777777777</v>
      </c>
      <c r="C12976" s="5" t="s">
        <v>85</v>
      </c>
      <c r="D12976" s="5" t="s">
        <v>1760</v>
      </c>
      <c r="E12976" s="8" t="s">
        <v>38</v>
      </c>
      <c r="F12976" s="5" t="s">
        <v>1672</v>
      </c>
      <c r="G12976" s="6" t="str">
        <f>VLOOKUP(E12976,dicionario!$A$1:$C13375,2,0)</f>
        <v>Troglodytes musculus</v>
      </c>
      <c r="H12976" s="6" t="str">
        <f>VLOOKUP(E12976,dicionario!$A$1:$C13375,3,0)</f>
        <v>curruíra</v>
      </c>
    </row>
    <row r="12977">
      <c r="A12977" s="3">
        <v>45891.0</v>
      </c>
      <c r="B12977" s="4">
        <v>0.28402777777777777</v>
      </c>
      <c r="C12977" s="5" t="s">
        <v>85</v>
      </c>
      <c r="D12977" s="5" t="s">
        <v>1760</v>
      </c>
      <c r="E12977" s="6" t="s">
        <v>65</v>
      </c>
      <c r="F12977" s="5" t="s">
        <v>66</v>
      </c>
      <c r="G12977" s="6" t="str">
        <f>VLOOKUP(E12977,dicionario!$A$1:$C13376,2,0)</f>
        <v>Pitangus sulphutarus</v>
      </c>
      <c r="H12977" s="6" t="str">
        <f>VLOOKUP(E12977,dicionario!$A$1:$C13376,3,0)</f>
        <v>bem-te-vi</v>
      </c>
    </row>
    <row r="12978">
      <c r="A12978" s="3">
        <v>45891.0</v>
      </c>
      <c r="B12978" s="4">
        <v>0.28402777777777777</v>
      </c>
      <c r="C12978" s="5" t="s">
        <v>85</v>
      </c>
      <c r="D12978" s="5" t="s">
        <v>1760</v>
      </c>
      <c r="E12978" s="6" t="s">
        <v>383</v>
      </c>
      <c r="F12978" s="5" t="s">
        <v>384</v>
      </c>
      <c r="G12978" s="6" t="str">
        <f>VLOOKUP(E12978,dicionario!$A$1:$C13377,2,0)</f>
        <v>Setophaga pitiayumi</v>
      </c>
      <c r="H12978" s="6" t="str">
        <f>VLOOKUP(E12978,dicionario!$A$1:$C13377,3,0)</f>
        <v>mariquita</v>
      </c>
    </row>
    <row r="12979">
      <c r="A12979" s="3">
        <v>45891.0</v>
      </c>
      <c r="B12979" s="4">
        <v>0.28402777777777777</v>
      </c>
      <c r="C12979" s="5" t="s">
        <v>85</v>
      </c>
      <c r="D12979" s="5" t="s">
        <v>1760</v>
      </c>
      <c r="E12979" s="6" t="s">
        <v>243</v>
      </c>
      <c r="F12979" s="5" t="s">
        <v>244</v>
      </c>
      <c r="G12979" s="6" t="str">
        <f>VLOOKUP(E12979,dicionario!$A$1:$C13378,2,0)</f>
        <v>Macroptilium atropurpureum</v>
      </c>
      <c r="H12979" s="6" t="str">
        <f>VLOOKUP(E12979,dicionario!$A$1:$C13378,3,0)</f>
        <v>feijão-de-pombo</v>
      </c>
    </row>
    <row r="12980">
      <c r="A12980" s="3">
        <v>45891.0</v>
      </c>
      <c r="B12980" s="4">
        <v>0.28402777777777777</v>
      </c>
      <c r="C12980" s="5" t="s">
        <v>85</v>
      </c>
      <c r="D12980" s="5" t="s">
        <v>1760</v>
      </c>
      <c r="E12980" s="8" t="s">
        <v>719</v>
      </c>
      <c r="F12980" s="5" t="s">
        <v>911</v>
      </c>
      <c r="G12980" s="6" t="str">
        <f>VLOOKUP(E12980,dicionario!$A$1:$C13379,2,0)</f>
        <v>Dirinaria</v>
      </c>
      <c r="H12980" s="6" t="str">
        <f>VLOOKUP(E12980,dicionario!$A$1:$C13379,3,0)</f>
        <v>líquen-crostoso</v>
      </c>
    </row>
    <row r="12981">
      <c r="A12981" s="3">
        <v>45891.0</v>
      </c>
      <c r="B12981" s="4">
        <v>0.28402777777777777</v>
      </c>
      <c r="C12981" s="5" t="s">
        <v>85</v>
      </c>
      <c r="D12981" s="5" t="s">
        <v>1760</v>
      </c>
      <c r="E12981" s="8" t="s">
        <v>20</v>
      </c>
      <c r="F12981" s="5" t="s">
        <v>21</v>
      </c>
      <c r="G12981" s="6" t="str">
        <f>VLOOKUP(E12981,dicionario!$A$1:$C13380,2,0)</f>
        <v>Sicalis flaveola</v>
      </c>
      <c r="H12981" s="6" t="str">
        <f>VLOOKUP(E12981,dicionario!$A$1:$C13380,3,0)</f>
        <v>canário-da-terra</v>
      </c>
    </row>
    <row r="12982">
      <c r="A12982" s="3">
        <v>45891.0</v>
      </c>
      <c r="B12982" s="4">
        <v>0.28402777777777777</v>
      </c>
      <c r="C12982" s="5" t="s">
        <v>85</v>
      </c>
      <c r="D12982" s="5" t="s">
        <v>1760</v>
      </c>
      <c r="E12982" s="8" t="s">
        <v>150</v>
      </c>
      <c r="F12982" s="5" t="s">
        <v>151</v>
      </c>
      <c r="G12982" s="6" t="str">
        <f>VLOOKUP(E12982,dicionario!$A$1:$C13381,2,0)</f>
        <v>Amaranthus viridis</v>
      </c>
      <c r="H12982" s="6" t="str">
        <f>VLOOKUP(E12982,dicionario!$A$1:$C13381,3,0)</f>
        <v>caruru-de-mancha</v>
      </c>
    </row>
    <row r="12983">
      <c r="A12983" s="3">
        <v>45891.0</v>
      </c>
      <c r="B12983" s="4">
        <v>0.2847222222222222</v>
      </c>
      <c r="C12983" s="5" t="s">
        <v>85</v>
      </c>
      <c r="D12983" s="5" t="s">
        <v>1760</v>
      </c>
      <c r="E12983" s="6"/>
      <c r="F12983" s="52" t="s">
        <v>1763</v>
      </c>
      <c r="G12983" s="6" t="str">
        <f>VLOOKUP(E12983,dicionario!$A$1:$C13382,2,0)</f>
        <v>#N/A</v>
      </c>
      <c r="H12983" s="6" t="str">
        <f>VLOOKUP(E12983,dicionario!$A$1:$C13382,3,0)</f>
        <v>#N/A</v>
      </c>
    </row>
    <row r="12984">
      <c r="A12984" s="3">
        <v>45891.0</v>
      </c>
      <c r="B12984" s="4">
        <v>0.28541666666666665</v>
      </c>
      <c r="C12984" s="5" t="s">
        <v>85</v>
      </c>
      <c r="D12984" s="5" t="s">
        <v>1760</v>
      </c>
      <c r="E12984" s="6" t="s">
        <v>154</v>
      </c>
      <c r="F12984" s="5" t="s">
        <v>155</v>
      </c>
      <c r="G12984" s="6" t="str">
        <f>VLOOKUP(E12984,dicionario!$A$1:$C13383,2,0)</f>
        <v>Cyperus rotundus</v>
      </c>
      <c r="H12984" s="6" t="str">
        <f>VLOOKUP(E12984,dicionario!$A$1:$C13383,3,0)</f>
        <v>tiririca</v>
      </c>
    </row>
    <row r="12985">
      <c r="A12985" s="3">
        <v>45891.0</v>
      </c>
      <c r="B12985" s="4">
        <v>0.2861111111111111</v>
      </c>
      <c r="C12985" s="5" t="s">
        <v>85</v>
      </c>
      <c r="D12985" s="5" t="s">
        <v>1760</v>
      </c>
      <c r="E12985" s="6" t="s">
        <v>606</v>
      </c>
      <c r="F12985" s="5" t="s">
        <v>607</v>
      </c>
      <c r="G12985" s="6" t="str">
        <f>VLOOKUP(E12985,dicionario!$A$1:$C13384,2,0)</f>
        <v>Elaenia spectabilis</v>
      </c>
      <c r="H12985" s="6" t="str">
        <f>VLOOKUP(E12985,dicionario!$A$1:$C13384,3,0)</f>
        <v>guaracava-grande</v>
      </c>
    </row>
    <row r="12986">
      <c r="A12986" s="3">
        <v>45891.0</v>
      </c>
      <c r="B12986" s="4">
        <v>0.2902777777777778</v>
      </c>
      <c r="C12986" s="5" t="s">
        <v>76</v>
      </c>
      <c r="D12986" s="5" t="s">
        <v>1760</v>
      </c>
      <c r="E12986" s="8" t="s">
        <v>821</v>
      </c>
      <c r="F12986" s="5" t="s">
        <v>876</v>
      </c>
      <c r="G12986" s="6" t="str">
        <f>VLOOKUP(E12986,dicionario!$A$1:$C13385,2,0)</f>
        <v>Schefflera actinophylla</v>
      </c>
      <c r="H12986" s="6" t="str">
        <f>VLOOKUP(E12986,dicionario!$A$1:$C13385,3,0)</f>
        <v>árvore-guarda-chuva</v>
      </c>
    </row>
    <row r="12987">
      <c r="A12987" s="3">
        <v>45891.0</v>
      </c>
      <c r="B12987" s="4">
        <v>0.2902777777777778</v>
      </c>
      <c r="C12987" s="5" t="s">
        <v>76</v>
      </c>
      <c r="D12987" s="5" t="s">
        <v>1760</v>
      </c>
      <c r="E12987" s="6" t="s">
        <v>319</v>
      </c>
      <c r="F12987" s="5" t="s">
        <v>320</v>
      </c>
      <c r="G12987" s="6" t="str">
        <f>VLOOKUP(E12987,dicionario!$A$1:$C13386,2,0)</f>
        <v>Schinus terebinthifolia</v>
      </c>
      <c r="H12987" s="6" t="str">
        <f>VLOOKUP(E12987,dicionario!$A$1:$C13386,3,0)</f>
        <v>aroeira</v>
      </c>
    </row>
    <row r="12988">
      <c r="A12988" s="3">
        <v>45891.0</v>
      </c>
      <c r="B12988" s="4">
        <v>0.2916666666666667</v>
      </c>
      <c r="C12988" s="5" t="s">
        <v>76</v>
      </c>
      <c r="D12988" s="5" t="s">
        <v>1760</v>
      </c>
      <c r="E12988" s="8" t="s">
        <v>150</v>
      </c>
      <c r="F12988" s="5" t="s">
        <v>151</v>
      </c>
      <c r="G12988" s="6" t="str">
        <f>VLOOKUP(E12988,dicionario!$A$1:$C13387,2,0)</f>
        <v>Amaranthus viridis</v>
      </c>
      <c r="H12988" s="6" t="str">
        <f>VLOOKUP(E12988,dicionario!$A$1:$C13387,3,0)</f>
        <v>caruru-de-mancha</v>
      </c>
    </row>
    <row r="12989">
      <c r="A12989" s="3">
        <v>45891.0</v>
      </c>
      <c r="B12989" s="4">
        <v>0.2916666666666667</v>
      </c>
      <c r="C12989" s="5" t="s">
        <v>76</v>
      </c>
      <c r="D12989" s="5" t="s">
        <v>1760</v>
      </c>
      <c r="E12989" s="6" t="s">
        <v>65</v>
      </c>
      <c r="F12989" s="5" t="s">
        <v>66</v>
      </c>
      <c r="G12989" s="6" t="str">
        <f>VLOOKUP(E12989,dicionario!$A$1:$C13388,2,0)</f>
        <v>Pitangus sulphutarus</v>
      </c>
      <c r="H12989" s="6" t="str">
        <f>VLOOKUP(E12989,dicionario!$A$1:$C13388,3,0)</f>
        <v>bem-te-vi</v>
      </c>
    </row>
    <row r="12990">
      <c r="A12990" s="3">
        <v>45891.0</v>
      </c>
      <c r="B12990" s="4">
        <v>0.2916666666666667</v>
      </c>
      <c r="C12990" s="5" t="s">
        <v>76</v>
      </c>
      <c r="D12990" s="5" t="s">
        <v>1760</v>
      </c>
      <c r="E12990" s="6" t="s">
        <v>86</v>
      </c>
      <c r="F12990" s="5" t="s">
        <v>502</v>
      </c>
      <c r="G12990" s="6" t="str">
        <f>VLOOKUP(E12990,dicionario!$A$1:$C13389,2,0)</f>
        <v>Coereba flaveola</v>
      </c>
      <c r="H12990" s="6" t="str">
        <f>VLOOKUP(E12990,dicionario!$A$1:$C13389,3,0)</f>
        <v>cambacica</v>
      </c>
    </row>
    <row r="12991">
      <c r="A12991" s="3">
        <v>45891.0</v>
      </c>
      <c r="B12991" s="4">
        <v>0.2916666666666667</v>
      </c>
      <c r="C12991" s="5" t="s">
        <v>76</v>
      </c>
      <c r="D12991" s="5" t="s">
        <v>1760</v>
      </c>
      <c r="E12991" s="8" t="s">
        <v>38</v>
      </c>
      <c r="F12991" s="5" t="s">
        <v>1672</v>
      </c>
      <c r="G12991" s="6" t="str">
        <f>VLOOKUP(E12991,dicionario!$A$1:$C13390,2,0)</f>
        <v>Troglodytes musculus</v>
      </c>
      <c r="H12991" s="6" t="str">
        <f>VLOOKUP(E12991,dicionario!$A$1:$C13390,3,0)</f>
        <v>curruíra</v>
      </c>
    </row>
    <row r="12992">
      <c r="A12992" s="3">
        <v>45891.0</v>
      </c>
      <c r="B12992" s="4">
        <v>0.2923611111111111</v>
      </c>
      <c r="C12992" s="5" t="s">
        <v>76</v>
      </c>
      <c r="D12992" s="5" t="s">
        <v>1760</v>
      </c>
      <c r="E12992" s="6" t="s">
        <v>225</v>
      </c>
      <c r="F12992" s="5" t="s">
        <v>226</v>
      </c>
      <c r="G12992" s="6" t="str">
        <f>VLOOKUP(E12992,dicionario!$A$1:$C13391,2,0)</f>
        <v>Passer domesticus</v>
      </c>
      <c r="H12992" s="6" t="str">
        <f>VLOOKUP(E12992,dicionario!$A$1:$C13391,3,0)</f>
        <v>pardal</v>
      </c>
    </row>
    <row r="12993">
      <c r="A12993" s="3">
        <v>45891.0</v>
      </c>
      <c r="B12993" s="4">
        <v>0.2923611111111111</v>
      </c>
      <c r="C12993" s="5" t="s">
        <v>76</v>
      </c>
      <c r="D12993" s="5" t="s">
        <v>1760</v>
      </c>
      <c r="E12993" s="6" t="s">
        <v>177</v>
      </c>
      <c r="F12993" s="5" t="s">
        <v>804</v>
      </c>
      <c r="G12993" s="6" t="str">
        <f>VLOOKUP(E12993,dicionario!$A$1:$C13392,2,0)</f>
        <v>Elaenia flavogaster</v>
      </c>
      <c r="H12993" s="6" t="str">
        <f>VLOOKUP(E12993,dicionario!$A$1:$C13392,3,0)</f>
        <v>guaracava-de-barriga-amarela</v>
      </c>
    </row>
    <row r="12994">
      <c r="A12994" s="3">
        <v>45891.0</v>
      </c>
      <c r="B12994" s="4">
        <v>0.2923611111111111</v>
      </c>
      <c r="C12994" s="5" t="s">
        <v>76</v>
      </c>
      <c r="D12994" s="5" t="s">
        <v>1760</v>
      </c>
      <c r="E12994" s="6" t="s">
        <v>122</v>
      </c>
      <c r="F12994" s="5" t="s">
        <v>1453</v>
      </c>
      <c r="G12994" s="6" t="str">
        <f>VLOOKUP(E12994,dicionario!$A$1:$C13393,2,0)</f>
        <v>Todirostrum cinereum</v>
      </c>
      <c r="H12994" s="6" t="str">
        <f>VLOOKUP(E12994,dicionario!$A$1:$C13393,3,0)</f>
        <v>ferreirinho-relógio</v>
      </c>
    </row>
    <row r="12995">
      <c r="A12995" s="3">
        <v>45891.0</v>
      </c>
      <c r="B12995" s="4">
        <v>0.2923611111111111</v>
      </c>
      <c r="C12995" s="5" t="s">
        <v>76</v>
      </c>
      <c r="D12995" s="5" t="s">
        <v>1760</v>
      </c>
      <c r="E12995" s="6" t="s">
        <v>302</v>
      </c>
      <c r="F12995" s="5" t="s">
        <v>303</v>
      </c>
      <c r="G12995" s="6" t="str">
        <f>VLOOKUP(E12995,dicionario!$A$1:$C13394,2,0)</f>
        <v>Machetornis rixosa</v>
      </c>
      <c r="H12995" s="6" t="str">
        <f>VLOOKUP(E12995,dicionario!$A$1:$C13394,3,0)</f>
        <v>suiriri-cavaleiro</v>
      </c>
    </row>
    <row r="12996">
      <c r="A12996" s="3">
        <v>45891.0</v>
      </c>
      <c r="B12996" s="4">
        <v>0.29375</v>
      </c>
      <c r="C12996" s="5" t="s">
        <v>76</v>
      </c>
      <c r="D12996" s="5" t="s">
        <v>1760</v>
      </c>
      <c r="E12996" s="6" t="s">
        <v>148</v>
      </c>
      <c r="F12996" s="5" t="s">
        <v>149</v>
      </c>
      <c r="G12996" s="6" t="str">
        <f>VLOOKUP(E12996,dicionario!$A$1:$C13395,2,0)</f>
        <v>Parthenium hysterophorus</v>
      </c>
      <c r="H12996" s="6" t="str">
        <f>VLOOKUP(E12996,dicionario!$A$1:$C13395,3,0)</f>
        <v>losna-branca</v>
      </c>
    </row>
    <row r="12997">
      <c r="A12997" s="3">
        <v>45891.0</v>
      </c>
      <c r="B12997" s="4">
        <v>0.29375</v>
      </c>
      <c r="C12997" s="5" t="s">
        <v>76</v>
      </c>
      <c r="D12997" s="5" t="s">
        <v>1760</v>
      </c>
      <c r="E12997" s="8" t="s">
        <v>271</v>
      </c>
      <c r="F12997" s="5" t="s">
        <v>272</v>
      </c>
      <c r="G12997" s="6" t="str">
        <f>VLOOKUP(E12997,dicionario!$A$1:$C13396,2,0)</f>
        <v>Cyanthillium cinereum</v>
      </c>
      <c r="H12997" s="6" t="str">
        <f>VLOOKUP(E12997,dicionario!$A$1:$C13396,3,0)</f>
        <v>emília</v>
      </c>
    </row>
    <row r="12998">
      <c r="A12998" s="3">
        <v>45891.0</v>
      </c>
      <c r="B12998" s="4">
        <v>0.29375</v>
      </c>
      <c r="C12998" s="5" t="s">
        <v>76</v>
      </c>
      <c r="D12998" s="5" t="s">
        <v>1760</v>
      </c>
      <c r="E12998" s="6" t="s">
        <v>154</v>
      </c>
      <c r="F12998" s="5" t="s">
        <v>155</v>
      </c>
      <c r="G12998" s="6" t="str">
        <f>VLOOKUP(E12998,dicionario!$A$1:$C13397,2,0)</f>
        <v>Cyperus rotundus</v>
      </c>
      <c r="H12998" s="6" t="str">
        <f>VLOOKUP(E12998,dicionario!$A$1:$C13397,3,0)</f>
        <v>tiririca</v>
      </c>
    </row>
    <row r="12999">
      <c r="A12999" s="3">
        <v>45891.0</v>
      </c>
      <c r="B12999" s="4">
        <v>0.29375</v>
      </c>
      <c r="C12999" s="5" t="s">
        <v>76</v>
      </c>
      <c r="D12999" s="5" t="s">
        <v>1760</v>
      </c>
      <c r="E12999" s="8" t="s">
        <v>1694</v>
      </c>
      <c r="F12999" s="5" t="s">
        <v>1695</v>
      </c>
      <c r="G12999" s="6" t="str">
        <f>VLOOKUP(E12999,dicionario!$A$1:$C13398,2,0)</f>
        <v>Conyza bonariensis</v>
      </c>
      <c r="H12999" s="6" t="str">
        <f>VLOOKUP(E12999,dicionario!$A$1:$C13398,3,0)</f>
        <v>buva</v>
      </c>
    </row>
    <row r="13000">
      <c r="A13000" s="3">
        <v>45891.0</v>
      </c>
      <c r="B13000" s="4">
        <v>0.29375</v>
      </c>
      <c r="C13000" s="5" t="s">
        <v>76</v>
      </c>
      <c r="D13000" s="5" t="s">
        <v>1760</v>
      </c>
      <c r="E13000" s="6" t="s">
        <v>141</v>
      </c>
      <c r="F13000" s="5" t="s">
        <v>142</v>
      </c>
      <c r="G13000" s="6" t="str">
        <f>VLOOKUP(E13000,dicionario!$A$1:$C13399,2,0)</f>
        <v>Ruellia blechum</v>
      </c>
      <c r="H13000" s="6" t="str">
        <f>VLOOKUP(E13000,dicionario!$A$1:$C13399,3,0)</f>
        <v>camarão-verde</v>
      </c>
    </row>
    <row r="13001">
      <c r="A13001" s="3">
        <v>45891.0</v>
      </c>
      <c r="B13001" s="4">
        <v>0.29375</v>
      </c>
      <c r="C13001" s="5" t="s">
        <v>76</v>
      </c>
      <c r="D13001" s="5" t="s">
        <v>1760</v>
      </c>
      <c r="E13001" s="6" t="s">
        <v>290</v>
      </c>
      <c r="F13001" s="5" t="s">
        <v>291</v>
      </c>
      <c r="G13001" s="6" t="str">
        <f>VLOOKUP(E13001,dicionario!$A$1:$C13400,2,0)</f>
        <v>Drymaria cordata</v>
      </c>
      <c r="H13001" s="6" t="str">
        <f>VLOOKUP(E13001,dicionario!$A$1:$C13400,3,0)</f>
        <v>orelha-de-rato</v>
      </c>
    </row>
    <row r="13002">
      <c r="A13002" s="3">
        <v>45891.0</v>
      </c>
      <c r="B13002" s="4">
        <v>0.29375</v>
      </c>
      <c r="C13002" s="5" t="s">
        <v>76</v>
      </c>
      <c r="D13002" s="5" t="s">
        <v>1760</v>
      </c>
      <c r="E13002" s="8" t="s">
        <v>150</v>
      </c>
      <c r="F13002" s="5" t="s">
        <v>151</v>
      </c>
      <c r="G13002" s="6" t="str">
        <f>VLOOKUP(E13002,dicionario!$A$1:$C13401,2,0)</f>
        <v>Amaranthus viridis</v>
      </c>
      <c r="H13002" s="6" t="str">
        <f>VLOOKUP(E13002,dicionario!$A$1:$C13401,3,0)</f>
        <v>caruru-de-mancha</v>
      </c>
    </row>
    <row r="13003">
      <c r="A13003" s="3">
        <v>45891.0</v>
      </c>
      <c r="B13003" s="4">
        <v>0.29375</v>
      </c>
      <c r="C13003" s="5" t="s">
        <v>76</v>
      </c>
      <c r="D13003" s="5" t="s">
        <v>1760</v>
      </c>
      <c r="E13003" s="6" t="s">
        <v>326</v>
      </c>
      <c r="F13003" s="5" t="s">
        <v>327</v>
      </c>
      <c r="G13003" s="6" t="str">
        <f>VLOOKUP(E13003,dicionario!$A$1:$C13402,2,0)</f>
        <v>Amaranthus spinosus</v>
      </c>
      <c r="H13003" s="6" t="str">
        <f>VLOOKUP(E13003,dicionario!$A$1:$C13402,3,0)</f>
        <v>caruru-de-espinho</v>
      </c>
    </row>
    <row r="13004">
      <c r="A13004" s="3">
        <v>45891.0</v>
      </c>
      <c r="B13004" s="4">
        <v>0.29375</v>
      </c>
      <c r="C13004" s="5" t="s">
        <v>76</v>
      </c>
      <c r="D13004" s="5" t="s">
        <v>1760</v>
      </c>
      <c r="E13004" s="6" t="s">
        <v>606</v>
      </c>
      <c r="F13004" s="5" t="s">
        <v>607</v>
      </c>
      <c r="G13004" s="6" t="str">
        <f>VLOOKUP(E13004,dicionario!$A$1:$C13403,2,0)</f>
        <v>Elaenia spectabilis</v>
      </c>
      <c r="H13004" s="6" t="str">
        <f>VLOOKUP(E13004,dicionario!$A$1:$C13403,3,0)</f>
        <v>guaracava-grande</v>
      </c>
    </row>
    <row r="13005">
      <c r="A13005" s="3">
        <v>45891.0</v>
      </c>
      <c r="B13005" s="4">
        <v>0.29375</v>
      </c>
      <c r="C13005" s="5" t="s">
        <v>76</v>
      </c>
      <c r="D13005" s="5" t="s">
        <v>1760</v>
      </c>
      <c r="E13005" s="8" t="s">
        <v>1503</v>
      </c>
      <c r="F13005" s="5" t="s">
        <v>1504</v>
      </c>
      <c r="G13005" s="6" t="str">
        <f>VLOOKUP(E13005,dicionario!$A$1:$C13404,2,0)</f>
        <v>#N/A</v>
      </c>
      <c r="H13005" s="6" t="str">
        <f>VLOOKUP(E13005,dicionario!$A$1:$C13404,3,0)</f>
        <v>#N/A</v>
      </c>
    </row>
    <row r="13006">
      <c r="A13006" s="3">
        <v>45891.0</v>
      </c>
      <c r="B13006" s="4">
        <v>0.29444444444444445</v>
      </c>
      <c r="C13006" s="5" t="s">
        <v>76</v>
      </c>
      <c r="D13006" s="5" t="s">
        <v>1760</v>
      </c>
      <c r="E13006" s="72" t="s">
        <v>1764</v>
      </c>
      <c r="F13006" s="61" t="s">
        <v>1088</v>
      </c>
      <c r="G13006" s="6" t="str">
        <f>VLOOKUP(E13006,dicionario!$A$1:$C13405,2,0)</f>
        <v>#N/A</v>
      </c>
      <c r="H13006" s="6" t="str">
        <f>VLOOKUP(E13006,dicionario!$A$1:$C13405,3,0)</f>
        <v>#N/A</v>
      </c>
    </row>
    <row r="13007">
      <c r="A13007" s="3">
        <v>45891.0</v>
      </c>
      <c r="B13007" s="4">
        <v>0.29444444444444445</v>
      </c>
      <c r="C13007" s="5" t="s">
        <v>76</v>
      </c>
      <c r="D13007" s="5" t="s">
        <v>1760</v>
      </c>
      <c r="E13007" s="6" t="s">
        <v>60</v>
      </c>
      <c r="F13007" s="5" t="s">
        <v>61</v>
      </c>
      <c r="G13007" s="6" t="str">
        <f>VLOOKUP(E13007,dicionario!$A$1:$C13406,2,0)</f>
        <v>Vanellus chilensis</v>
      </c>
      <c r="H13007" s="6" t="str">
        <f>VLOOKUP(E13007,dicionario!$A$1:$C13406,3,0)</f>
        <v>quero-quero</v>
      </c>
    </row>
    <row r="13008">
      <c r="A13008" s="3">
        <v>45891.0</v>
      </c>
      <c r="B13008" s="4">
        <v>0.29444444444444445</v>
      </c>
      <c r="C13008" s="5" t="s">
        <v>76</v>
      </c>
      <c r="D13008" s="5" t="s">
        <v>1760</v>
      </c>
      <c r="E13008" s="6" t="s">
        <v>227</v>
      </c>
      <c r="F13008" s="5" t="s">
        <v>228</v>
      </c>
      <c r="G13008" s="6" t="str">
        <f>VLOOKUP(E13008,dicionario!$A$1:$C13407,2,0)</f>
        <v>Indigofera hirsuta</v>
      </c>
      <c r="H13008" s="6" t="str">
        <f>VLOOKUP(E13008,dicionario!$A$1:$C13407,3,0)</f>
        <v>anileira</v>
      </c>
    </row>
    <row r="13009">
      <c r="A13009" s="3">
        <v>45891.0</v>
      </c>
      <c r="B13009" s="4">
        <v>0.2951388888888889</v>
      </c>
      <c r="C13009" s="5" t="s">
        <v>76</v>
      </c>
      <c r="D13009" s="5" t="s">
        <v>1760</v>
      </c>
      <c r="E13009" s="8" t="s">
        <v>1386</v>
      </c>
      <c r="F13009" s="5" t="s">
        <v>484</v>
      </c>
      <c r="G13009" s="6" t="str">
        <f>VLOOKUP(E13009,dicionario!$A$1:$C13408,2,0)</f>
        <v>#N/A</v>
      </c>
      <c r="H13009" s="6" t="str">
        <f>VLOOKUP(E13009,dicionario!$A$1:$C13408,3,0)</f>
        <v>#N/A</v>
      </c>
    </row>
    <row r="13010">
      <c r="A13010" s="3">
        <v>45891.0</v>
      </c>
      <c r="B13010" s="4">
        <v>0.2951388888888889</v>
      </c>
      <c r="C13010" s="5" t="s">
        <v>76</v>
      </c>
      <c r="D13010" s="5" t="s">
        <v>1760</v>
      </c>
      <c r="E13010" s="6" t="s">
        <v>467</v>
      </c>
      <c r="F13010" s="5" t="s">
        <v>1365</v>
      </c>
      <c r="G13010" s="6" t="str">
        <f>VLOOKUP(E13010,dicionario!$A$1:$C13409,2,0)</f>
        <v>Eleusine indica</v>
      </c>
      <c r="H13010" s="6" t="str">
        <f>VLOOKUP(E13010,dicionario!$A$1:$C13409,3,0)</f>
        <v>capim-pé-de-galinha</v>
      </c>
    </row>
    <row r="13011">
      <c r="A13011" s="3">
        <v>45891.0</v>
      </c>
      <c r="B13011" s="4">
        <v>0.2951388888888889</v>
      </c>
      <c r="C13011" s="5" t="s">
        <v>76</v>
      </c>
      <c r="D13011" s="5" t="s">
        <v>1760</v>
      </c>
      <c r="E13011" s="6" t="s">
        <v>736</v>
      </c>
      <c r="F13011" s="5" t="s">
        <v>737</v>
      </c>
      <c r="G13011" s="6" t="str">
        <f>VLOOKUP(E13011,dicionario!$A$1:$C13410,2,0)</f>
        <v>Chloris virgata</v>
      </c>
      <c r="H13011" s="6" t="str">
        <f>VLOOKUP(E13011,dicionario!$A$1:$C13410,3,0)</f>
        <v>capim-pavão</v>
      </c>
    </row>
    <row r="13012">
      <c r="A13012" s="3">
        <v>45891.0</v>
      </c>
      <c r="B13012" s="4">
        <v>0.2951388888888889</v>
      </c>
      <c r="C13012" s="5" t="s">
        <v>76</v>
      </c>
      <c r="D13012" s="5" t="s">
        <v>1760</v>
      </c>
      <c r="E13012" s="6" t="s">
        <v>489</v>
      </c>
      <c r="F13012" s="5" t="s">
        <v>521</v>
      </c>
      <c r="G13012" s="6" t="str">
        <f>VLOOKUP(E13012,dicionario!$A$1:$C13411,2,0)</f>
        <v>Cenchrus echinatus</v>
      </c>
      <c r="H13012" s="6" t="str">
        <f>VLOOKUP(E13012,dicionario!$A$1:$C13411,3,0)</f>
        <v>capim-carrapicho</v>
      </c>
    </row>
    <row r="13013">
      <c r="A13013" s="3">
        <v>45891.0</v>
      </c>
      <c r="B13013" s="4">
        <v>0.2951388888888889</v>
      </c>
      <c r="C13013" s="5" t="s">
        <v>76</v>
      </c>
      <c r="D13013" s="5" t="s">
        <v>1760</v>
      </c>
      <c r="E13013" s="8" t="s">
        <v>262</v>
      </c>
      <c r="F13013" s="5" t="s">
        <v>263</v>
      </c>
      <c r="G13013" s="6" t="str">
        <f>VLOOKUP(E13013,dicionario!$A$1:$C13412,2,0)</f>
        <v>Portulaca oleracea</v>
      </c>
      <c r="H13013" s="6" t="str">
        <f>VLOOKUP(E13013,dicionario!$A$1:$C13412,3,0)</f>
        <v>beldroega</v>
      </c>
    </row>
    <row r="13014">
      <c r="A13014" s="3">
        <v>45891.0</v>
      </c>
      <c r="B13014" s="4">
        <v>0.29583333333333334</v>
      </c>
      <c r="C13014" s="5" t="s">
        <v>76</v>
      </c>
      <c r="D13014" s="5" t="s">
        <v>1760</v>
      </c>
      <c r="E13014" s="8" t="s">
        <v>69</v>
      </c>
      <c r="F13014" s="5" t="s">
        <v>71</v>
      </c>
      <c r="G13014" s="6" t="str">
        <f>VLOOKUP(E13014,dicionario!$A$1:$C13413,2,0)</f>
        <v>Talinum fruticosum</v>
      </c>
      <c r="H13014" s="6" t="str">
        <f>VLOOKUP(E13014,dicionario!$A$1:$C13413,3,0)</f>
        <v>beldroega-grande</v>
      </c>
    </row>
    <row r="13015">
      <c r="A13015" s="3">
        <v>45891.0</v>
      </c>
      <c r="B13015" s="4">
        <v>0.29583333333333334</v>
      </c>
      <c r="C13015" s="5" t="s">
        <v>76</v>
      </c>
      <c r="D13015" s="5" t="s">
        <v>1760</v>
      </c>
      <c r="E13015" s="6" t="s">
        <v>113</v>
      </c>
      <c r="F13015" s="5" t="s">
        <v>114</v>
      </c>
      <c r="G13015" s="6" t="str">
        <f>VLOOKUP(E13015,dicionario!$A$1:$C13414,2,0)</f>
        <v>Columbina talpacoti</v>
      </c>
      <c r="H13015" s="6" t="str">
        <f>VLOOKUP(E13015,dicionario!$A$1:$C13414,3,0)</f>
        <v>rolinha-roxa</v>
      </c>
    </row>
    <row r="13016">
      <c r="A13016" s="3">
        <v>45891.0</v>
      </c>
      <c r="B13016" s="4">
        <v>0.29583333333333334</v>
      </c>
      <c r="C13016" s="5" t="s">
        <v>76</v>
      </c>
      <c r="D13016" s="5" t="s">
        <v>1760</v>
      </c>
      <c r="E13016" s="8" t="s">
        <v>624</v>
      </c>
      <c r="F13016" s="5" t="s">
        <v>133</v>
      </c>
      <c r="G13016" s="6" t="str">
        <f>VLOOKUP(E13016,dicionario!$A$1:$C13415,2,0)</f>
        <v>Euphonia violacea</v>
      </c>
      <c r="H13016" s="6" t="str">
        <f>VLOOKUP(E13016,dicionario!$A$1:$C13415,3,0)</f>
        <v>gaturamo-verdadeiro</v>
      </c>
    </row>
    <row r="13017">
      <c r="A13017" s="3">
        <v>45891.0</v>
      </c>
      <c r="B13017" s="4">
        <v>0.29583333333333334</v>
      </c>
      <c r="C13017" s="5" t="s">
        <v>76</v>
      </c>
      <c r="D13017" s="5" t="s">
        <v>1760</v>
      </c>
      <c r="E13017" s="6" t="s">
        <v>144</v>
      </c>
      <c r="F13017" s="5" t="s">
        <v>145</v>
      </c>
      <c r="G13017" s="6" t="str">
        <f>VLOOKUP(E13017,dicionario!$A$1:$C13416,2,0)</f>
        <v>Gomphrena globosa</v>
      </c>
      <c r="H13017" s="6" t="str">
        <f>VLOOKUP(E13017,dicionario!$A$1:$C13416,3,0)</f>
        <v>perpétua-rosa</v>
      </c>
    </row>
    <row r="13018">
      <c r="A13018" s="3">
        <v>45891.0</v>
      </c>
      <c r="B13018" s="4">
        <v>0.2972222222222222</v>
      </c>
      <c r="C13018" s="5" t="s">
        <v>76</v>
      </c>
      <c r="D13018" s="5" t="s">
        <v>1760</v>
      </c>
      <c r="E13018" s="8" t="s">
        <v>239</v>
      </c>
      <c r="F13018" s="5" t="s">
        <v>816</v>
      </c>
      <c r="G13018" s="6" t="str">
        <f>VLOOKUP(E13018,dicionario!$A$1:$C13417,2,0)</f>
        <v>Gomphrena celosioides</v>
      </c>
      <c r="H13018" s="6" t="str">
        <f>VLOOKUP(E13018,dicionario!$A$1:$C13417,3,0)</f>
        <v>perpétua-branca</v>
      </c>
    </row>
    <row r="13019">
      <c r="A13019" s="3">
        <v>45891.0</v>
      </c>
      <c r="B13019" s="4">
        <v>0.2972222222222222</v>
      </c>
      <c r="C13019" s="5" t="s">
        <v>76</v>
      </c>
      <c r="D13019" s="5" t="s">
        <v>1760</v>
      </c>
      <c r="E13019" s="6" t="s">
        <v>191</v>
      </c>
      <c r="F13019" s="5" t="s">
        <v>192</v>
      </c>
      <c r="G13019" s="6" t="str">
        <f>VLOOKUP(E13019,dicionario!$A$1:$C13418,2,0)</f>
        <v>Patagioenas picazuro</v>
      </c>
      <c r="H13019" s="6" t="str">
        <f>VLOOKUP(E13019,dicionario!$A$1:$C13418,3,0)</f>
        <v>asa-branca; pomba-asa-branca; pocaçu</v>
      </c>
    </row>
    <row r="13020">
      <c r="A13020" s="3">
        <v>45891.0</v>
      </c>
      <c r="B13020" s="4">
        <v>0.2972222222222222</v>
      </c>
      <c r="C13020" s="5" t="s">
        <v>76</v>
      </c>
      <c r="D13020" s="5" t="s">
        <v>1760</v>
      </c>
      <c r="E13020" s="6" t="s">
        <v>253</v>
      </c>
      <c r="F13020" s="5" t="s">
        <v>254</v>
      </c>
      <c r="G13020" s="6" t="str">
        <f>VLOOKUP(E13020,dicionario!$A$1:$C13419,2,0)</f>
        <v>Panicum maximum</v>
      </c>
      <c r="H13020" s="6" t="str">
        <f>VLOOKUP(E13020,dicionario!$A$1:$C13419,3,0)</f>
        <v>capim-colonião</v>
      </c>
    </row>
    <row r="13021">
      <c r="A13021" s="3">
        <v>45891.0</v>
      </c>
      <c r="B13021" s="4">
        <v>0.2972222222222222</v>
      </c>
      <c r="C13021" s="5" t="s">
        <v>76</v>
      </c>
      <c r="D13021" s="5" t="s">
        <v>1760</v>
      </c>
      <c r="E13021" s="8" t="s">
        <v>498</v>
      </c>
      <c r="F13021" s="5" t="s">
        <v>499</v>
      </c>
      <c r="G13021" s="6" t="str">
        <f>VLOOKUP(E13021,dicionario!$A$1:$C13420,2,0)</f>
        <v>Brachiaria decumbens</v>
      </c>
      <c r="H13021" s="6" t="str">
        <f>VLOOKUP(E13021,dicionario!$A$1:$C13420,3,0)</f>
        <v>capim-braquiária</v>
      </c>
    </row>
    <row r="13022">
      <c r="A13022" s="3">
        <v>45891.0</v>
      </c>
      <c r="B13022" s="4">
        <v>0.29791666666666666</v>
      </c>
      <c r="C13022" s="5" t="s">
        <v>76</v>
      </c>
      <c r="D13022" s="5" t="s">
        <v>1760</v>
      </c>
      <c r="E13022" s="8" t="s">
        <v>41</v>
      </c>
      <c r="F13022" s="5" t="s">
        <v>45</v>
      </c>
      <c r="G13022" s="6" t="str">
        <f>VLOOKUP(E13022,dicionario!$A$1:$C13421,2,0)</f>
        <v>Mimosa pudica</v>
      </c>
      <c r="H13022" s="6" t="str">
        <f>VLOOKUP(E13022,dicionario!$A$1:$C13421,3,0)</f>
        <v>dormideira</v>
      </c>
    </row>
    <row r="13023">
      <c r="A13023" s="3">
        <v>45891.0</v>
      </c>
      <c r="B13023" s="4">
        <v>0.29791666666666666</v>
      </c>
      <c r="C13023" s="5" t="s">
        <v>76</v>
      </c>
      <c r="D13023" s="5" t="s">
        <v>1760</v>
      </c>
      <c r="E13023" s="6" t="s">
        <v>251</v>
      </c>
      <c r="F13023" s="5" t="s">
        <v>252</v>
      </c>
      <c r="G13023" s="6" t="str">
        <f>VLOOKUP(E13023,dicionario!$A$1:$C13422,2,0)</f>
        <v>Struthanthus flexicaulis</v>
      </c>
      <c r="H13023" s="6" t="str">
        <f>VLOOKUP(E13023,dicionario!$A$1:$C13422,3,0)</f>
        <v>erva-de-passarinho</v>
      </c>
    </row>
    <row r="13024">
      <c r="A13024" s="3">
        <v>45891.0</v>
      </c>
      <c r="B13024" s="4">
        <v>0.3</v>
      </c>
      <c r="C13024" s="5" t="s">
        <v>76</v>
      </c>
      <c r="D13024" s="5" t="s">
        <v>1760</v>
      </c>
      <c r="E13024" s="12" t="s">
        <v>221</v>
      </c>
      <c r="F13024" s="5" t="s">
        <v>222</v>
      </c>
      <c r="G13024" s="6" t="str">
        <f>VLOOKUP(E13024,dicionario!$A$1:$C13423,2,0)</f>
        <v>Volatinia jacarina</v>
      </c>
      <c r="H13024" s="6" t="str">
        <f>VLOOKUP(E13024,dicionario!$A$1:$C13423,3,0)</f>
        <v>tiziu</v>
      </c>
    </row>
    <row r="13025">
      <c r="A13025" s="3">
        <v>45891.0</v>
      </c>
      <c r="B13025" s="4">
        <v>0.30069444444444443</v>
      </c>
      <c r="C13025" s="5" t="s">
        <v>76</v>
      </c>
      <c r="D13025" s="5" t="s">
        <v>1760</v>
      </c>
      <c r="E13025" s="11" t="s">
        <v>1524</v>
      </c>
      <c r="F13025" s="5" t="s">
        <v>1525</v>
      </c>
      <c r="G13025" s="6" t="str">
        <f>VLOOKUP(E13025,dicionario!$A$1:$C13424,2,0)</f>
        <v>Tolmomyias flaviventris</v>
      </c>
      <c r="H13025" s="6" t="str">
        <f>VLOOKUP(E13025,dicionario!$A$1:$C13424,3,0)</f>
        <v>bico-chato-amarelo</v>
      </c>
    </row>
    <row r="13026">
      <c r="A13026" s="3">
        <v>45891.0</v>
      </c>
      <c r="B13026" s="4">
        <v>0.30069444444444443</v>
      </c>
      <c r="C13026" s="5" t="s">
        <v>76</v>
      </c>
      <c r="D13026" s="5" t="s">
        <v>1760</v>
      </c>
      <c r="E13026" s="8" t="s">
        <v>18</v>
      </c>
      <c r="F13026" s="5" t="s">
        <v>219</v>
      </c>
      <c r="G13026" s="6" t="str">
        <f>VLOOKUP(E13026,dicionario!$A$1:$C13425,2,0)</f>
        <v>Xylocopa frontalis</v>
      </c>
      <c r="H13026" s="6" t="str">
        <f>VLOOKUP(E13026,dicionario!$A$1:$C13425,3,0)</f>
        <v>Mamangava; mangangá; abelha-carpinteira</v>
      </c>
    </row>
    <row r="13027">
      <c r="A13027" s="3">
        <v>45891.0</v>
      </c>
      <c r="B13027" s="4">
        <v>0.3020833333333333</v>
      </c>
      <c r="C13027" s="5" t="s">
        <v>76</v>
      </c>
      <c r="D13027" s="5" t="s">
        <v>1760</v>
      </c>
      <c r="E13027" s="6" t="s">
        <v>213</v>
      </c>
      <c r="F13027" s="5" t="s">
        <v>1456</v>
      </c>
      <c r="G13027" s="6" t="str">
        <f>VLOOKUP(E13027,dicionario!$A$1:$C13426,2,0)</f>
        <v>Myiozetetes similis</v>
      </c>
      <c r="H13027" s="6" t="str">
        <f>VLOOKUP(E13027,dicionario!$A$1:$C13426,3,0)</f>
        <v>bentevizinho-de-penacho-vermelho</v>
      </c>
    </row>
    <row r="13028">
      <c r="A13028" s="3">
        <v>45891.0</v>
      </c>
      <c r="B13028" s="4">
        <v>0.3020833333333333</v>
      </c>
      <c r="C13028" s="5" t="s">
        <v>76</v>
      </c>
      <c r="D13028" s="5" t="s">
        <v>1760</v>
      </c>
      <c r="E13028" s="6" t="s">
        <v>83</v>
      </c>
      <c r="F13028" s="5" t="s">
        <v>84</v>
      </c>
      <c r="G13028" s="6" t="str">
        <f>VLOOKUP(E13028,dicionario!$A$1:$C13427,2,0)</f>
        <v>Anartia jatrophae</v>
      </c>
      <c r="H13028" s="6" t="str">
        <f>VLOOKUP(E13028,dicionario!$A$1:$C13427,3,0)</f>
        <v>borboleta-pavão-branco</v>
      </c>
    </row>
    <row r="13029">
      <c r="A13029" s="3">
        <v>45891.0</v>
      </c>
      <c r="B13029" s="4">
        <v>0.30416666666666664</v>
      </c>
      <c r="C13029" s="5" t="s">
        <v>76</v>
      </c>
      <c r="D13029" s="5" t="s">
        <v>1760</v>
      </c>
      <c r="E13029" s="6"/>
      <c r="F13029" s="52" t="s">
        <v>1765</v>
      </c>
      <c r="G13029" s="6" t="str">
        <f>VLOOKUP(E13029,dicionario!$A$1:$C13428,2,0)</f>
        <v>#N/A</v>
      </c>
      <c r="H13029" s="6" t="str">
        <f>VLOOKUP(E13029,dicionario!$A$1:$C13428,3,0)</f>
        <v>#N/A</v>
      </c>
    </row>
    <row r="13030">
      <c r="A13030" s="3">
        <v>45891.0</v>
      </c>
      <c r="B13030" s="4">
        <v>0.3055555555555556</v>
      </c>
      <c r="C13030" s="5" t="s">
        <v>64</v>
      </c>
      <c r="D13030" s="5" t="s">
        <v>1760</v>
      </c>
      <c r="E13030" s="6" t="s">
        <v>113</v>
      </c>
      <c r="F13030" s="5" t="s">
        <v>114</v>
      </c>
      <c r="G13030" s="6" t="str">
        <f>VLOOKUP(E13030,dicionario!$A$1:$C13429,2,0)</f>
        <v>Columbina talpacoti</v>
      </c>
      <c r="H13030" s="6" t="str">
        <f>VLOOKUP(E13030,dicionario!$A$1:$C13429,3,0)</f>
        <v>rolinha-roxa</v>
      </c>
    </row>
    <row r="13031">
      <c r="A13031" s="3">
        <v>45891.0</v>
      </c>
      <c r="B13031" s="4">
        <v>0.3055555555555556</v>
      </c>
      <c r="C13031" s="5" t="s">
        <v>64</v>
      </c>
      <c r="D13031" s="5" t="s">
        <v>1760</v>
      </c>
      <c r="E13031" s="6" t="s">
        <v>251</v>
      </c>
      <c r="F13031" s="5" t="s">
        <v>252</v>
      </c>
      <c r="G13031" s="6" t="str">
        <f>VLOOKUP(E13031,dicionario!$A$1:$C13430,2,0)</f>
        <v>Struthanthus flexicaulis</v>
      </c>
      <c r="H13031" s="6" t="str">
        <f>VLOOKUP(E13031,dicionario!$A$1:$C13430,3,0)</f>
        <v>erva-de-passarinho</v>
      </c>
    </row>
    <row r="13032">
      <c r="A13032" s="3">
        <v>45891.0</v>
      </c>
      <c r="B13032" s="4">
        <v>0.3055555555555556</v>
      </c>
      <c r="C13032" s="5" t="s">
        <v>64</v>
      </c>
      <c r="D13032" s="5" t="s">
        <v>1760</v>
      </c>
      <c r="E13032" s="6" t="s">
        <v>290</v>
      </c>
      <c r="F13032" s="5" t="s">
        <v>291</v>
      </c>
      <c r="G13032" s="6" t="str">
        <f>VLOOKUP(E13032,dicionario!$A$1:$C13431,2,0)</f>
        <v>Drymaria cordata</v>
      </c>
      <c r="H13032" s="6" t="str">
        <f>VLOOKUP(E13032,dicionario!$A$1:$C13431,3,0)</f>
        <v>orelha-de-rato</v>
      </c>
    </row>
    <row r="13033">
      <c r="A13033" s="3">
        <v>45891.0</v>
      </c>
      <c r="B13033" s="4">
        <v>0.3055555555555556</v>
      </c>
      <c r="C13033" s="5" t="s">
        <v>64</v>
      </c>
      <c r="D13033" s="5" t="s">
        <v>1760</v>
      </c>
      <c r="E13033" s="6" t="s">
        <v>141</v>
      </c>
      <c r="F13033" s="5" t="s">
        <v>142</v>
      </c>
      <c r="G13033" s="6" t="str">
        <f>VLOOKUP(E13033,dicionario!$A$1:$C13432,2,0)</f>
        <v>Ruellia blechum</v>
      </c>
      <c r="H13033" s="6" t="str">
        <f>VLOOKUP(E13033,dicionario!$A$1:$C13432,3,0)</f>
        <v>camarão-verde</v>
      </c>
    </row>
    <row r="13034">
      <c r="A13034" s="3">
        <v>45891.0</v>
      </c>
      <c r="B13034" s="4">
        <v>0.30625</v>
      </c>
      <c r="C13034" s="5" t="s">
        <v>64</v>
      </c>
      <c r="D13034" s="5" t="s">
        <v>1760</v>
      </c>
      <c r="E13034" s="6" t="s">
        <v>148</v>
      </c>
      <c r="F13034" s="5" t="s">
        <v>149</v>
      </c>
      <c r="G13034" s="6" t="str">
        <f>VLOOKUP(E13034,dicionario!$A$1:$C13433,2,0)</f>
        <v>Parthenium hysterophorus</v>
      </c>
      <c r="H13034" s="6" t="str">
        <f>VLOOKUP(E13034,dicionario!$A$1:$C13433,3,0)</f>
        <v>losna-branca</v>
      </c>
    </row>
    <row r="13035">
      <c r="A13035" s="3">
        <v>45891.0</v>
      </c>
      <c r="B13035" s="4">
        <v>0.30625</v>
      </c>
      <c r="C13035" s="5" t="s">
        <v>64</v>
      </c>
      <c r="D13035" s="5" t="s">
        <v>1760</v>
      </c>
      <c r="E13035" s="8" t="s">
        <v>43</v>
      </c>
      <c r="F13035" s="5" t="s">
        <v>1040</v>
      </c>
      <c r="G13035" s="6" t="str">
        <f>VLOOKUP(E13035,dicionario!$A$1:$C13434,2,0)</f>
        <v>Columba livia</v>
      </c>
      <c r="H13035" s="6" t="str">
        <f>VLOOKUP(E13035,dicionario!$A$1:$C13434,3,0)</f>
        <v>pombo-doméstico</v>
      </c>
    </row>
    <row r="13036">
      <c r="A13036" s="3">
        <v>45891.0</v>
      </c>
      <c r="B13036" s="4">
        <v>0.30694444444444446</v>
      </c>
      <c r="C13036" s="5" t="s">
        <v>64</v>
      </c>
      <c r="D13036" s="5" t="s">
        <v>1760</v>
      </c>
      <c r="E13036" s="8" t="s">
        <v>271</v>
      </c>
      <c r="F13036" s="5" t="s">
        <v>272</v>
      </c>
      <c r="G13036" s="6" t="str">
        <f>VLOOKUP(E13036,dicionario!$A$1:$C13435,2,0)</f>
        <v>Cyanthillium cinereum</v>
      </c>
      <c r="H13036" s="6" t="str">
        <f>VLOOKUP(E13036,dicionario!$A$1:$C13435,3,0)</f>
        <v>emília</v>
      </c>
    </row>
    <row r="13037">
      <c r="A13037" s="3">
        <v>45891.0</v>
      </c>
      <c r="B13037" s="4">
        <v>0.30694444444444446</v>
      </c>
      <c r="C13037" s="5" t="s">
        <v>64</v>
      </c>
      <c r="D13037" s="5" t="s">
        <v>1760</v>
      </c>
      <c r="E13037" s="6" t="s">
        <v>467</v>
      </c>
      <c r="F13037" s="5" t="s">
        <v>1365</v>
      </c>
      <c r="G13037" s="6" t="str">
        <f>VLOOKUP(E13037,dicionario!$A$1:$C13436,2,0)</f>
        <v>Eleusine indica</v>
      </c>
      <c r="H13037" s="6" t="str">
        <f>VLOOKUP(E13037,dicionario!$A$1:$C13436,3,0)</f>
        <v>capim-pé-de-galinha</v>
      </c>
    </row>
    <row r="13038">
      <c r="A13038" s="3">
        <v>45891.0</v>
      </c>
      <c r="B13038" s="4">
        <v>0.30694444444444446</v>
      </c>
      <c r="C13038" s="5" t="s">
        <v>64</v>
      </c>
      <c r="D13038" s="5" t="s">
        <v>1760</v>
      </c>
      <c r="E13038" s="72" t="s">
        <v>298</v>
      </c>
      <c r="F13038" s="5"/>
      <c r="G13038" s="6" t="str">
        <f>VLOOKUP(E13038,dicionario!$A$1:$C13437,2,0)</f>
        <v>Alysicarpus vaginalis</v>
      </c>
      <c r="H13038" s="6" t="str">
        <f>VLOOKUP(E13038,dicionario!$A$1:$C13437,3,0)</f>
        <v/>
      </c>
    </row>
    <row r="13039">
      <c r="A13039" s="3">
        <v>45891.0</v>
      </c>
      <c r="B13039" s="4">
        <v>0.30694444444444446</v>
      </c>
      <c r="C13039" s="5" t="s">
        <v>64</v>
      </c>
      <c r="D13039" s="5" t="s">
        <v>1760</v>
      </c>
      <c r="E13039" s="72" t="s">
        <v>1764</v>
      </c>
      <c r="F13039" s="61" t="s">
        <v>1088</v>
      </c>
      <c r="G13039" s="6" t="str">
        <f>VLOOKUP(E13039,dicionario!$A$1:$C13438,2,0)</f>
        <v>#N/A</v>
      </c>
      <c r="H13039" s="6" t="str">
        <f>VLOOKUP(E13039,dicionario!$A$1:$C13438,3,0)</f>
        <v>#N/A</v>
      </c>
    </row>
    <row r="13040">
      <c r="A13040" s="3">
        <v>45891.0</v>
      </c>
      <c r="B13040" s="4">
        <v>0.30694444444444446</v>
      </c>
      <c r="C13040" s="5" t="s">
        <v>64</v>
      </c>
      <c r="D13040" s="5" t="s">
        <v>1760</v>
      </c>
      <c r="E13040" s="76" t="s">
        <v>514</v>
      </c>
      <c r="F13040" s="5" t="s">
        <v>515</v>
      </c>
      <c r="G13040" s="6" t="str">
        <f>VLOOKUP(E13040,dicionario!$A$1:$C13439,2,0)</f>
        <v>Aedes aegypti</v>
      </c>
      <c r="H13040" s="6" t="str">
        <f>VLOOKUP(E13040,dicionario!$A$1:$C13439,3,0)</f>
        <v>mosquito-da-dengue</v>
      </c>
    </row>
    <row r="13041">
      <c r="A13041" s="3">
        <v>45891.0</v>
      </c>
      <c r="B13041" s="4">
        <v>0.30694444444444446</v>
      </c>
      <c r="C13041" s="5" t="s">
        <v>64</v>
      </c>
      <c r="D13041" s="5" t="s">
        <v>1760</v>
      </c>
      <c r="E13041" s="6" t="s">
        <v>427</v>
      </c>
      <c r="F13041" s="5" t="s">
        <v>428</v>
      </c>
      <c r="G13041" s="6" t="str">
        <f>VLOOKUP(E13041,dicionario!$A$1:$C13440,2,0)</f>
        <v>Condylostylus longicornis</v>
      </c>
      <c r="H13041" s="6" t="str">
        <f>VLOOKUP(E13041,dicionario!$A$1:$C13440,3,0)</f>
        <v>mosca-de-pernas-longas</v>
      </c>
    </row>
    <row r="13042">
      <c r="A13042" s="3">
        <v>45891.0</v>
      </c>
      <c r="B13042" s="4">
        <v>0.30694444444444446</v>
      </c>
      <c r="C13042" s="5" t="s">
        <v>64</v>
      </c>
      <c r="D13042" s="5" t="s">
        <v>1760</v>
      </c>
      <c r="E13042" s="6" t="s">
        <v>86</v>
      </c>
      <c r="F13042" s="5" t="s">
        <v>502</v>
      </c>
      <c r="G13042" s="6" t="str">
        <f>VLOOKUP(E13042,dicionario!$A$1:$C13441,2,0)</f>
        <v>Coereba flaveola</v>
      </c>
      <c r="H13042" s="6" t="str">
        <f>VLOOKUP(E13042,dicionario!$A$1:$C13441,3,0)</f>
        <v>cambacica</v>
      </c>
    </row>
    <row r="13043">
      <c r="A13043" s="3">
        <v>45891.0</v>
      </c>
      <c r="B13043" s="4">
        <v>0.30694444444444446</v>
      </c>
      <c r="C13043" s="5" t="s">
        <v>64</v>
      </c>
      <c r="D13043" s="5" t="s">
        <v>1760</v>
      </c>
      <c r="E13043" s="8" t="s">
        <v>20</v>
      </c>
      <c r="F13043" s="5" t="s">
        <v>21</v>
      </c>
      <c r="G13043" s="6" t="str">
        <f>VLOOKUP(E13043,dicionario!$A$1:$C13442,2,0)</f>
        <v>Sicalis flaveola</v>
      </c>
      <c r="H13043" s="6" t="str">
        <f>VLOOKUP(E13043,dicionario!$A$1:$C13442,3,0)</f>
        <v>canário-da-terra</v>
      </c>
    </row>
    <row r="13044">
      <c r="A13044" s="3">
        <v>45891.0</v>
      </c>
      <c r="B13044" s="4">
        <v>0.30694444444444446</v>
      </c>
      <c r="C13044" s="5" t="s">
        <v>64</v>
      </c>
      <c r="D13044" s="5" t="s">
        <v>1760</v>
      </c>
      <c r="E13044" s="6" t="s">
        <v>72</v>
      </c>
      <c r="F13044" s="5" t="s">
        <v>73</v>
      </c>
      <c r="G13044" s="6" t="str">
        <f>VLOOKUP(E13044,dicionario!$A$1:$C13443,2,0)</f>
        <v>Thraupis palmarum</v>
      </c>
      <c r="H13044" s="6" t="str">
        <f>VLOOKUP(E13044,dicionario!$A$1:$C13443,3,0)</f>
        <v>sanhaço-do-coqueiro</v>
      </c>
    </row>
    <row r="13045">
      <c r="A13045" s="3">
        <v>45891.0</v>
      </c>
      <c r="B13045" s="4">
        <v>0.30694444444444446</v>
      </c>
      <c r="C13045" s="5" t="s">
        <v>64</v>
      </c>
      <c r="D13045" s="5" t="s">
        <v>1760</v>
      </c>
      <c r="E13045" s="6" t="s">
        <v>177</v>
      </c>
      <c r="F13045" s="5" t="s">
        <v>804</v>
      </c>
      <c r="G13045" s="6" t="str">
        <f>VLOOKUP(E13045,dicionario!$A$1:$C13444,2,0)</f>
        <v>Elaenia flavogaster</v>
      </c>
      <c r="H13045" s="6" t="str">
        <f>VLOOKUP(E13045,dicionario!$A$1:$C13444,3,0)</f>
        <v>guaracava-de-barriga-amarela</v>
      </c>
    </row>
    <row r="13046">
      <c r="A13046" s="3">
        <v>45891.0</v>
      </c>
      <c r="B13046" s="4">
        <v>0.30694444444444446</v>
      </c>
      <c r="C13046" s="5" t="s">
        <v>64</v>
      </c>
      <c r="D13046" s="5" t="s">
        <v>1760</v>
      </c>
      <c r="E13046" s="6" t="s">
        <v>65</v>
      </c>
      <c r="F13046" s="5" t="s">
        <v>66</v>
      </c>
      <c r="G13046" s="6" t="str">
        <f>VLOOKUP(E13046,dicionario!$A$1:$C13445,2,0)</f>
        <v>Pitangus sulphutarus</v>
      </c>
      <c r="H13046" s="6" t="str">
        <f>VLOOKUP(E13046,dicionario!$A$1:$C13445,3,0)</f>
        <v>bem-te-vi</v>
      </c>
    </row>
    <row r="13047">
      <c r="A13047" s="3">
        <v>45891.0</v>
      </c>
      <c r="B13047" s="4">
        <v>0.30833333333333335</v>
      </c>
      <c r="C13047" s="5" t="s">
        <v>64</v>
      </c>
      <c r="D13047" s="5" t="s">
        <v>1760</v>
      </c>
      <c r="E13047" s="6" t="s">
        <v>122</v>
      </c>
      <c r="F13047" s="5" t="s">
        <v>1453</v>
      </c>
      <c r="G13047" s="6" t="str">
        <f>VLOOKUP(E13047,dicionario!$A$1:$C13446,2,0)</f>
        <v>Todirostrum cinereum</v>
      </c>
      <c r="H13047" s="6" t="str">
        <f>VLOOKUP(E13047,dicionario!$A$1:$C13446,3,0)</f>
        <v>ferreirinho-relógio</v>
      </c>
    </row>
    <row r="13048">
      <c r="A13048" s="3">
        <v>45891.0</v>
      </c>
      <c r="B13048" s="4">
        <v>0.30833333333333335</v>
      </c>
      <c r="C13048" s="5" t="s">
        <v>64</v>
      </c>
      <c r="D13048" s="5" t="s">
        <v>1760</v>
      </c>
      <c r="E13048" s="6" t="s">
        <v>253</v>
      </c>
      <c r="F13048" s="5" t="s">
        <v>254</v>
      </c>
      <c r="G13048" s="6" t="str">
        <f>VLOOKUP(E13048,dicionario!$A$1:$C13447,2,0)</f>
        <v>Panicum maximum</v>
      </c>
      <c r="H13048" s="6" t="str">
        <f>VLOOKUP(E13048,dicionario!$A$1:$C13447,3,0)</f>
        <v>capim-colonião</v>
      </c>
    </row>
    <row r="13049">
      <c r="A13049" s="3">
        <v>45891.0</v>
      </c>
      <c r="B13049" s="4">
        <v>0.30833333333333335</v>
      </c>
      <c r="C13049" s="5" t="s">
        <v>64</v>
      </c>
      <c r="D13049" s="5" t="s">
        <v>1760</v>
      </c>
      <c r="E13049" s="8" t="s">
        <v>150</v>
      </c>
      <c r="F13049" s="5" t="s">
        <v>151</v>
      </c>
      <c r="G13049" s="6" t="str">
        <f>VLOOKUP(E13049,dicionario!$A$1:$C13448,2,0)</f>
        <v>Amaranthus viridis</v>
      </c>
      <c r="H13049" s="6" t="str">
        <f>VLOOKUP(E13049,dicionario!$A$1:$C13448,3,0)</f>
        <v>caruru-de-mancha</v>
      </c>
    </row>
    <row r="13050">
      <c r="A13050" s="3">
        <v>45891.0</v>
      </c>
      <c r="B13050" s="4">
        <v>0.30833333333333335</v>
      </c>
      <c r="C13050" s="5" t="s">
        <v>64</v>
      </c>
      <c r="D13050" s="5" t="s">
        <v>1760</v>
      </c>
      <c r="E13050" s="8" t="s">
        <v>1694</v>
      </c>
      <c r="F13050" s="5" t="s">
        <v>1695</v>
      </c>
      <c r="G13050" s="6" t="str">
        <f>VLOOKUP(E13050,dicionario!$A$1:$C13449,2,0)</f>
        <v>Conyza bonariensis</v>
      </c>
      <c r="H13050" s="6" t="str">
        <f>VLOOKUP(E13050,dicionario!$A$1:$C13449,3,0)</f>
        <v>buva</v>
      </c>
    </row>
    <row r="13051">
      <c r="A13051" s="3">
        <v>45891.0</v>
      </c>
      <c r="B13051" s="4">
        <v>0.30833333333333335</v>
      </c>
      <c r="C13051" s="5" t="s">
        <v>64</v>
      </c>
      <c r="D13051" s="5" t="s">
        <v>1760</v>
      </c>
      <c r="E13051" s="8" t="s">
        <v>385</v>
      </c>
      <c r="F13051" s="5" t="s">
        <v>386</v>
      </c>
      <c r="G13051" s="6" t="str">
        <f>VLOOKUP(E13051,dicionario!$A$1:$C13450,2,0)</f>
        <v>Psidium guajava</v>
      </c>
      <c r="H13051" s="6" t="str">
        <f>VLOOKUP(E13051,dicionario!$A$1:$C13450,3,0)</f>
        <v>goiaba</v>
      </c>
    </row>
    <row r="13052">
      <c r="A13052" s="3">
        <v>45891.0</v>
      </c>
      <c r="B13052" s="4">
        <v>0.30833333333333335</v>
      </c>
      <c r="C13052" s="5" t="s">
        <v>64</v>
      </c>
      <c r="D13052" s="5" t="s">
        <v>1760</v>
      </c>
      <c r="E13052" s="6" t="s">
        <v>489</v>
      </c>
      <c r="F13052" s="5" t="s">
        <v>521</v>
      </c>
      <c r="G13052" s="6" t="str">
        <f>VLOOKUP(E13052,dicionario!$A$1:$C13451,2,0)</f>
        <v>Cenchrus echinatus</v>
      </c>
      <c r="H13052" s="6" t="str">
        <f>VLOOKUP(E13052,dicionario!$A$1:$C13451,3,0)</f>
        <v>capim-carrapicho</v>
      </c>
    </row>
    <row r="13053">
      <c r="A13053" s="3">
        <v>45891.0</v>
      </c>
      <c r="B13053" s="4">
        <v>0.30833333333333335</v>
      </c>
      <c r="C13053" s="5" t="s">
        <v>64</v>
      </c>
      <c r="D13053" s="5" t="s">
        <v>1760</v>
      </c>
      <c r="E13053" s="8" t="s">
        <v>712</v>
      </c>
      <c r="F13053" s="5" t="s">
        <v>912</v>
      </c>
      <c r="G13053" s="6" t="str">
        <f>VLOOKUP(E13053,dicionario!$A$1:$C13452,2,0)</f>
        <v>Flavopunctelia soredica</v>
      </c>
      <c r="H13053" s="6" t="str">
        <f>VLOOKUP(E13053,dicionario!$A$1:$C13452,3,0)</f>
        <v>líquen-folioso</v>
      </c>
    </row>
    <row r="13054">
      <c r="A13054" s="3">
        <v>45891.0</v>
      </c>
      <c r="B13054" s="4">
        <v>0.30833333333333335</v>
      </c>
      <c r="C13054" s="5" t="s">
        <v>64</v>
      </c>
      <c r="D13054" s="5" t="s">
        <v>1760</v>
      </c>
      <c r="E13054" s="8" t="s">
        <v>719</v>
      </c>
      <c r="F13054" s="5" t="s">
        <v>911</v>
      </c>
      <c r="G13054" s="6" t="str">
        <f>VLOOKUP(E13054,dicionario!$A$1:$C13453,2,0)</f>
        <v>Dirinaria</v>
      </c>
      <c r="H13054" s="6" t="str">
        <f>VLOOKUP(E13054,dicionario!$A$1:$C13453,3,0)</f>
        <v>líquen-crostoso</v>
      </c>
    </row>
    <row r="13055">
      <c r="A13055" s="3">
        <v>45891.0</v>
      </c>
      <c r="B13055" s="4">
        <v>0.3111111111111111</v>
      </c>
      <c r="C13055" s="5" t="s">
        <v>64</v>
      </c>
      <c r="D13055" s="5" t="s">
        <v>1760</v>
      </c>
      <c r="E13055" s="8" t="s">
        <v>107</v>
      </c>
      <c r="F13055" s="5" t="s">
        <v>834</v>
      </c>
      <c r="G13055" s="6" t="str">
        <f>VLOOKUP(E13055,dicionario!$A$1:$C13454,2,0)</f>
        <v>Ramalina complanata</v>
      </c>
      <c r="H13055" s="6" t="str">
        <f>VLOOKUP(E13055,dicionario!$A$1:$C13454,3,0)</f>
        <v>ramalina</v>
      </c>
    </row>
    <row r="13056">
      <c r="A13056" s="3">
        <v>45891.0</v>
      </c>
      <c r="B13056" s="4">
        <v>0.31180555555555556</v>
      </c>
      <c r="C13056" s="5" t="s">
        <v>64</v>
      </c>
      <c r="D13056" s="5" t="s">
        <v>1760</v>
      </c>
      <c r="E13056" s="8" t="s">
        <v>109</v>
      </c>
      <c r="F13056" s="5" t="s">
        <v>777</v>
      </c>
      <c r="G13056" s="6" t="str">
        <f>VLOOKUP(E13056,dicionario!$A$1:$C13455,2,0)</f>
        <v>Tillandsia stricta</v>
      </c>
      <c r="H13056" s="6" t="str">
        <f>VLOOKUP(E13056,dicionario!$A$1:$C13455,3,0)</f>
        <v>cravo-do-mato</v>
      </c>
    </row>
    <row r="13057">
      <c r="A13057" s="3">
        <v>45891.0</v>
      </c>
      <c r="B13057" s="4">
        <v>0.31180555555555556</v>
      </c>
      <c r="C13057" s="5" t="s">
        <v>64</v>
      </c>
      <c r="D13057" s="5" t="s">
        <v>1760</v>
      </c>
      <c r="E13057" s="8" t="s">
        <v>1766</v>
      </c>
      <c r="F13057" s="5" t="s">
        <v>1767</v>
      </c>
      <c r="G13057" s="6" t="str">
        <f>VLOOKUP(E13057,dicionario!$A$1:$C13456,2,0)</f>
        <v>Serpophaga subcristata</v>
      </c>
      <c r="H13057" s="6" t="str">
        <f>VLOOKUP(E13057,dicionario!$A$1:$C13456,3,0)</f>
        <v>alegrinho</v>
      </c>
    </row>
    <row r="13058">
      <c r="A13058" s="3">
        <v>45891.0</v>
      </c>
      <c r="B13058" s="4">
        <v>0.31180555555555556</v>
      </c>
      <c r="C13058" s="5" t="s">
        <v>64</v>
      </c>
      <c r="D13058" s="5" t="s">
        <v>1760</v>
      </c>
      <c r="E13058" s="8" t="s">
        <v>624</v>
      </c>
      <c r="F13058" s="5" t="s">
        <v>133</v>
      </c>
      <c r="G13058" s="6" t="str">
        <f>VLOOKUP(E13058,dicionario!$A$1:$C13457,2,0)</f>
        <v>Euphonia violacea</v>
      </c>
      <c r="H13058" s="6" t="str">
        <f>VLOOKUP(E13058,dicionario!$A$1:$C13457,3,0)</f>
        <v>gaturamo-verdadeiro</v>
      </c>
    </row>
    <row r="13059">
      <c r="A13059" s="3">
        <v>45891.0</v>
      </c>
      <c r="B13059" s="4">
        <v>0.31319444444444444</v>
      </c>
      <c r="C13059" s="5" t="s">
        <v>64</v>
      </c>
      <c r="D13059" s="5" t="s">
        <v>1760</v>
      </c>
      <c r="E13059" s="6" t="s">
        <v>213</v>
      </c>
      <c r="F13059" s="5" t="s">
        <v>1456</v>
      </c>
      <c r="G13059" s="6" t="str">
        <f>VLOOKUP(E13059,dicionario!$A$1:$C13458,2,0)</f>
        <v>Myiozetetes similis</v>
      </c>
      <c r="H13059" s="6" t="str">
        <f>VLOOKUP(E13059,dicionario!$A$1:$C13458,3,0)</f>
        <v>bentevizinho-de-penacho-vermelho</v>
      </c>
    </row>
    <row r="13060">
      <c r="A13060" s="3">
        <v>45891.0</v>
      </c>
      <c r="B13060" s="4">
        <v>0.31319444444444444</v>
      </c>
      <c r="C13060" s="5" t="s">
        <v>64</v>
      </c>
      <c r="D13060" s="5" t="s">
        <v>1760</v>
      </c>
      <c r="E13060" s="6" t="s">
        <v>154</v>
      </c>
      <c r="F13060" s="5" t="s">
        <v>155</v>
      </c>
      <c r="G13060" s="6" t="str">
        <f>VLOOKUP(E13060,dicionario!$A$1:$C13459,2,0)</f>
        <v>Cyperus rotundus</v>
      </c>
      <c r="H13060" s="6" t="str">
        <f>VLOOKUP(E13060,dicionario!$A$1:$C13459,3,0)</f>
        <v>tiririca</v>
      </c>
    </row>
    <row r="13061">
      <c r="A13061" s="3">
        <v>45891.0</v>
      </c>
      <c r="B13061" s="4">
        <v>0.31319444444444444</v>
      </c>
      <c r="C13061" s="5" t="s">
        <v>64</v>
      </c>
      <c r="D13061" s="5" t="s">
        <v>1760</v>
      </c>
      <c r="E13061" s="8" t="s">
        <v>498</v>
      </c>
      <c r="F13061" s="5" t="s">
        <v>869</v>
      </c>
      <c r="G13061" s="6" t="str">
        <f>VLOOKUP(E13061,dicionario!$A$1:$C13460,2,0)</f>
        <v>Brachiaria decumbens</v>
      </c>
      <c r="H13061" s="6" t="str">
        <f>VLOOKUP(E13061,dicionario!$A$1:$C13460,3,0)</f>
        <v>capim-braquiária</v>
      </c>
    </row>
    <row r="13062">
      <c r="A13062" s="3">
        <v>45891.0</v>
      </c>
      <c r="B13062" s="4">
        <v>0.3145833333333333</v>
      </c>
      <c r="C13062" s="5" t="s">
        <v>59</v>
      </c>
      <c r="D13062" s="5" t="s">
        <v>1760</v>
      </c>
      <c r="E13062" s="8" t="s">
        <v>162</v>
      </c>
      <c r="F13062" s="5" t="s">
        <v>42</v>
      </c>
      <c r="G13062" s="6" t="str">
        <f>VLOOKUP(E13062,dicionario!$A$1:$C13461,2,0)</f>
        <v>Fluvicola nengeta</v>
      </c>
      <c r="H13062" s="6" t="str">
        <f>VLOOKUP(E13062,dicionario!$A$1:$C13461,3,0)</f>
        <v>lavadeira-mascarada</v>
      </c>
    </row>
    <row r="13063">
      <c r="A13063" s="3">
        <v>45891.0</v>
      </c>
      <c r="B13063" s="4">
        <v>0.3145833333333333</v>
      </c>
      <c r="C13063" s="5" t="s">
        <v>59</v>
      </c>
      <c r="D13063" s="5" t="s">
        <v>1760</v>
      </c>
      <c r="E13063" s="8" t="s">
        <v>20</v>
      </c>
      <c r="F13063" s="5" t="s">
        <v>21</v>
      </c>
      <c r="G13063" s="6" t="str">
        <f>VLOOKUP(E13063,dicionario!$A$1:$C13462,2,0)</f>
        <v>Sicalis flaveola</v>
      </c>
      <c r="H13063" s="6" t="str">
        <f>VLOOKUP(E13063,dicionario!$A$1:$C13462,3,0)</f>
        <v>canário-da-terra</v>
      </c>
    </row>
    <row r="13064">
      <c r="A13064" s="3">
        <v>45891.0</v>
      </c>
      <c r="B13064" s="4">
        <v>0.3145833333333333</v>
      </c>
      <c r="C13064" s="5" t="s">
        <v>59</v>
      </c>
      <c r="D13064" s="5" t="s">
        <v>1760</v>
      </c>
      <c r="E13064" s="6" t="s">
        <v>113</v>
      </c>
      <c r="F13064" s="5" t="s">
        <v>820</v>
      </c>
      <c r="G13064" s="6" t="str">
        <f>VLOOKUP(E13064,dicionario!$A$1:$C13463,2,0)</f>
        <v>Columbina talpacoti</v>
      </c>
      <c r="H13064" s="6" t="str">
        <f>VLOOKUP(E13064,dicionario!$A$1:$C13463,3,0)</f>
        <v>rolinha-roxa</v>
      </c>
    </row>
    <row r="13065">
      <c r="A13065" s="3">
        <v>45891.0</v>
      </c>
      <c r="B13065" s="4">
        <v>0.3145833333333333</v>
      </c>
      <c r="C13065" s="5" t="s">
        <v>59</v>
      </c>
      <c r="D13065" s="5" t="s">
        <v>1760</v>
      </c>
      <c r="E13065" s="8" t="s">
        <v>109</v>
      </c>
      <c r="F13065" s="5" t="s">
        <v>110</v>
      </c>
      <c r="G13065" s="6" t="str">
        <f>VLOOKUP(E13065,dicionario!$A$1:$C13464,2,0)</f>
        <v>Tillandsia stricta</v>
      </c>
      <c r="H13065" s="6" t="str">
        <f>VLOOKUP(E13065,dicionario!$A$1:$C13464,3,0)</f>
        <v>cravo-do-mato</v>
      </c>
    </row>
    <row r="13066">
      <c r="A13066" s="3">
        <v>45891.0</v>
      </c>
      <c r="B13066" s="4">
        <v>0.3145833333333333</v>
      </c>
      <c r="C13066" s="5" t="s">
        <v>59</v>
      </c>
      <c r="D13066" s="5" t="s">
        <v>1760</v>
      </c>
      <c r="E13066" s="8" t="s">
        <v>1167</v>
      </c>
      <c r="F13066" s="61" t="s">
        <v>1768</v>
      </c>
      <c r="G13066" s="6" t="str">
        <f>VLOOKUP(E13066,dicionario!$A$1:$C13465,2,0)</f>
        <v>Tillandsia recurvata</v>
      </c>
      <c r="H13066" s="6" t="str">
        <f>VLOOKUP(E13066,dicionario!$A$1:$C13465,3,0)</f>
        <v>cravo-do-mato sp2</v>
      </c>
    </row>
    <row r="13067">
      <c r="A13067" s="3">
        <v>45891.0</v>
      </c>
      <c r="B13067" s="4">
        <v>0.3145833333333333</v>
      </c>
      <c r="C13067" s="5" t="s">
        <v>59</v>
      </c>
      <c r="D13067" s="5" t="s">
        <v>1760</v>
      </c>
      <c r="E13067" s="8"/>
      <c r="F13067" s="61" t="s">
        <v>1769</v>
      </c>
      <c r="G13067" s="6" t="str">
        <f>VLOOKUP(E13067,dicionario!$A$1:$C13466,2,0)</f>
        <v>#N/A</v>
      </c>
      <c r="H13067" s="6" t="str">
        <f>VLOOKUP(E13067,dicionario!$A$1:$C13466,3,0)</f>
        <v>#N/A</v>
      </c>
    </row>
    <row r="13068">
      <c r="A13068" s="3">
        <v>45891.0</v>
      </c>
      <c r="B13068" s="4">
        <v>0.3145833333333333</v>
      </c>
      <c r="C13068" s="5" t="s">
        <v>59</v>
      </c>
      <c r="D13068" s="5" t="s">
        <v>1760</v>
      </c>
      <c r="E13068" s="6"/>
      <c r="F13068" s="52" t="s">
        <v>1770</v>
      </c>
      <c r="G13068" s="6" t="str">
        <f>VLOOKUP(E13068,dicionario!$A$1:$C13467,2,0)</f>
        <v>#N/A</v>
      </c>
      <c r="H13068" s="6" t="str">
        <f>VLOOKUP(E13068,dicionario!$A$1:$C13467,3,0)</f>
        <v>#N/A</v>
      </c>
    </row>
    <row r="13069">
      <c r="A13069" s="3">
        <v>45891.0</v>
      </c>
      <c r="B13069" s="4">
        <v>0.3159722222222222</v>
      </c>
      <c r="C13069" s="5" t="s">
        <v>59</v>
      </c>
      <c r="D13069" s="5" t="s">
        <v>1760</v>
      </c>
      <c r="E13069" s="6" t="s">
        <v>280</v>
      </c>
      <c r="F13069" s="5" t="s">
        <v>281</v>
      </c>
      <c r="G13069" s="6" t="str">
        <f>VLOOKUP(E13069,dicionario!$A$1:$C13468,2,0)</f>
        <v>Lepidium virginicum</v>
      </c>
      <c r="H13069" s="6" t="str">
        <f>VLOOKUP(E13069,dicionario!$A$1:$C13468,3,0)</f>
        <v>mastruz</v>
      </c>
    </row>
    <row r="13070">
      <c r="A13070" s="3">
        <v>45891.0</v>
      </c>
      <c r="B13070" s="4">
        <v>0.3159722222222222</v>
      </c>
      <c r="C13070" s="5" t="s">
        <v>59</v>
      </c>
      <c r="D13070" s="5" t="s">
        <v>1760</v>
      </c>
      <c r="E13070" s="6" t="s">
        <v>65</v>
      </c>
      <c r="F13070" s="5" t="s">
        <v>66</v>
      </c>
      <c r="G13070" s="6" t="str">
        <f>VLOOKUP(E13070,dicionario!$A$1:$C13469,2,0)</f>
        <v>Pitangus sulphutarus</v>
      </c>
      <c r="H13070" s="6" t="str">
        <f>VLOOKUP(E13070,dicionario!$A$1:$C13469,3,0)</f>
        <v>bem-te-vi</v>
      </c>
    </row>
    <row r="13071">
      <c r="A13071" s="3">
        <v>45891.0</v>
      </c>
      <c r="B13071" s="4">
        <v>0.3159722222222222</v>
      </c>
      <c r="C13071" s="5" t="s">
        <v>59</v>
      </c>
      <c r="D13071" s="5" t="s">
        <v>1760</v>
      </c>
      <c r="E13071" s="6" t="s">
        <v>148</v>
      </c>
      <c r="F13071" s="5" t="s">
        <v>149</v>
      </c>
      <c r="G13071" s="6" t="str">
        <f>VLOOKUP(E13071,dicionario!$A$1:$C13470,2,0)</f>
        <v>Parthenium hysterophorus</v>
      </c>
      <c r="H13071" s="6" t="str">
        <f>VLOOKUP(E13071,dicionario!$A$1:$C13470,3,0)</f>
        <v>losna-branca</v>
      </c>
    </row>
    <row r="13072">
      <c r="A13072" s="3">
        <v>45891.0</v>
      </c>
      <c r="B13072" s="4">
        <v>0.3159722222222222</v>
      </c>
      <c r="C13072" s="5" t="s">
        <v>59</v>
      </c>
      <c r="D13072" s="5" t="s">
        <v>1760</v>
      </c>
      <c r="E13072" s="8" t="s">
        <v>14</v>
      </c>
      <c r="F13072" s="5" t="s">
        <v>818</v>
      </c>
      <c r="G13072" s="6" t="str">
        <f>VLOOKUP(E13072,dicionario!$A$1:$C13471,2,0)</f>
        <v>Spermacoce verticillata</v>
      </c>
      <c r="H13072" s="6" t="str">
        <f>VLOOKUP(E13072,dicionario!$A$1:$C13471,3,0)</f>
        <v>vassourinha-de-botão</v>
      </c>
    </row>
    <row r="13073">
      <c r="A13073" s="3">
        <v>45891.0</v>
      </c>
      <c r="B13073" s="4">
        <v>0.3159722222222222</v>
      </c>
      <c r="C13073" s="5" t="s">
        <v>59</v>
      </c>
      <c r="D13073" s="5" t="s">
        <v>1760</v>
      </c>
      <c r="E13073" s="72" t="s">
        <v>298</v>
      </c>
      <c r="F13073" s="5"/>
      <c r="G13073" s="6" t="str">
        <f>VLOOKUP(E13073,dicionario!$A$1:$C13472,2,0)</f>
        <v>Alysicarpus vaginalis</v>
      </c>
      <c r="H13073" s="6" t="str">
        <f>VLOOKUP(E13073,dicionario!$A$1:$C13472,3,0)</f>
        <v/>
      </c>
    </row>
    <row r="13074">
      <c r="A13074" s="3">
        <v>45891.0</v>
      </c>
      <c r="B13074" s="4">
        <v>0.3159722222222222</v>
      </c>
      <c r="C13074" s="5" t="s">
        <v>59</v>
      </c>
      <c r="D13074" s="5" t="s">
        <v>1760</v>
      </c>
      <c r="E13074" s="6" t="s">
        <v>360</v>
      </c>
      <c r="F13074" s="5" t="s">
        <v>361</v>
      </c>
      <c r="G13074" s="6" t="str">
        <f>VLOOKUP(E13074,dicionario!$A$1:$C13473,2,0)</f>
        <v>Chamaecrista rotundifolia</v>
      </c>
      <c r="H13074" s="6" t="str">
        <f>VLOOKUP(E13074,dicionario!$A$1:$C13473,3,0)</f>
        <v>alfafa-nativa</v>
      </c>
    </row>
    <row r="13075">
      <c r="A13075" s="3">
        <v>45891.0</v>
      </c>
      <c r="B13075" s="4">
        <v>0.3159722222222222</v>
      </c>
      <c r="C13075" s="5" t="s">
        <v>59</v>
      </c>
      <c r="D13075" s="5" t="s">
        <v>1760</v>
      </c>
      <c r="E13075" s="8" t="s">
        <v>271</v>
      </c>
      <c r="F13075" s="5" t="s">
        <v>272</v>
      </c>
      <c r="G13075" s="6" t="str">
        <f>VLOOKUP(E13075,dicionario!$A$1:$C13474,2,0)</f>
        <v>Cyanthillium cinereum</v>
      </c>
      <c r="H13075" s="6" t="str">
        <f>VLOOKUP(E13075,dicionario!$A$1:$C13474,3,0)</f>
        <v>emília</v>
      </c>
    </row>
    <row r="13076">
      <c r="A13076" s="3">
        <v>45891.0</v>
      </c>
      <c r="B13076" s="4">
        <v>0.31666666666666665</v>
      </c>
      <c r="C13076" s="5" t="s">
        <v>59</v>
      </c>
      <c r="D13076" s="5" t="s">
        <v>1760</v>
      </c>
      <c r="E13076" s="8" t="s">
        <v>107</v>
      </c>
      <c r="F13076" s="5" t="s">
        <v>108</v>
      </c>
      <c r="G13076" s="6" t="str">
        <f>VLOOKUP(E13076,dicionario!$A$1:$C13475,2,0)</f>
        <v>Ramalina complanata</v>
      </c>
      <c r="H13076" s="6" t="str">
        <f>VLOOKUP(E13076,dicionario!$A$1:$C13475,3,0)</f>
        <v>ramalina</v>
      </c>
    </row>
    <row r="13077">
      <c r="A13077" s="3">
        <v>45891.0</v>
      </c>
      <c r="B13077" s="4">
        <v>0.31666666666666665</v>
      </c>
      <c r="C13077" s="5" t="s">
        <v>59</v>
      </c>
      <c r="D13077" s="5" t="s">
        <v>1760</v>
      </c>
      <c r="E13077" s="8" t="s">
        <v>712</v>
      </c>
      <c r="F13077" s="5" t="s">
        <v>912</v>
      </c>
      <c r="G13077" s="6" t="str">
        <f>VLOOKUP(E13077,dicionario!$A$1:$C13476,2,0)</f>
        <v>Flavopunctelia soredica</v>
      </c>
      <c r="H13077" s="6" t="str">
        <f>VLOOKUP(E13077,dicionario!$A$1:$C13476,3,0)</f>
        <v>líquen-folioso</v>
      </c>
    </row>
    <row r="13078">
      <c r="A13078" s="3">
        <v>45891.0</v>
      </c>
      <c r="B13078" s="4">
        <v>0.31666666666666665</v>
      </c>
      <c r="C13078" s="5" t="s">
        <v>59</v>
      </c>
      <c r="D13078" s="5" t="s">
        <v>1760</v>
      </c>
      <c r="E13078" s="8" t="s">
        <v>719</v>
      </c>
      <c r="F13078" s="5" t="s">
        <v>911</v>
      </c>
      <c r="G13078" s="6" t="str">
        <f>VLOOKUP(E13078,dicionario!$A$1:$C13477,2,0)</f>
        <v>Dirinaria</v>
      </c>
      <c r="H13078" s="6" t="str">
        <f>VLOOKUP(E13078,dicionario!$A$1:$C13477,3,0)</f>
        <v>líquen-crostoso</v>
      </c>
    </row>
    <row r="13079">
      <c r="A13079" s="3">
        <v>45891.0</v>
      </c>
      <c r="B13079" s="4">
        <v>0.31666666666666665</v>
      </c>
      <c r="C13079" s="5" t="s">
        <v>59</v>
      </c>
      <c r="D13079" s="5" t="s">
        <v>1760</v>
      </c>
      <c r="E13079" s="6" t="s">
        <v>606</v>
      </c>
      <c r="F13079" s="5" t="s">
        <v>607</v>
      </c>
      <c r="G13079" s="6" t="str">
        <f>VLOOKUP(E13079,dicionario!$A$1:$C13478,2,0)</f>
        <v>Elaenia spectabilis</v>
      </c>
      <c r="H13079" s="6" t="str">
        <f>VLOOKUP(E13079,dicionario!$A$1:$C13478,3,0)</f>
        <v>guaracava-grande</v>
      </c>
    </row>
    <row r="13080">
      <c r="A13080" s="3">
        <v>45891.0</v>
      </c>
      <c r="B13080" s="4">
        <v>0.31666666666666665</v>
      </c>
      <c r="C13080" s="5" t="s">
        <v>59</v>
      </c>
      <c r="D13080" s="5" t="s">
        <v>1760</v>
      </c>
      <c r="E13080" s="8" t="s">
        <v>909</v>
      </c>
      <c r="F13080" s="5" t="s">
        <v>910</v>
      </c>
      <c r="G13080" s="6" t="str">
        <f>VLOOKUP(E13080,dicionario!$A$1:$C13479,2,0)</f>
        <v>Chordeiles acutipennis</v>
      </c>
      <c r="H13080" s="6" t="str">
        <f>VLOOKUP(E13080,dicionario!$A$1:$C13479,3,0)</f>
        <v>bacurau-de-asa-fina</v>
      </c>
    </row>
    <row r="13081">
      <c r="A13081" s="3">
        <v>45891.0</v>
      </c>
      <c r="B13081" s="4">
        <v>0.3194444444444444</v>
      </c>
      <c r="C13081" s="5" t="s">
        <v>59</v>
      </c>
      <c r="D13081" s="5" t="s">
        <v>1760</v>
      </c>
      <c r="E13081" s="6" t="s">
        <v>481</v>
      </c>
      <c r="F13081" s="5" t="s">
        <v>482</v>
      </c>
      <c r="G13081" s="6" t="str">
        <f>VLOOKUP(E13081,dicionario!$A$1:$C13480,2,0)</f>
        <v>Camptostoma obsoletum</v>
      </c>
      <c r="H13081" s="6" t="str">
        <f>VLOOKUP(E13081,dicionario!$A$1:$C13480,3,0)</f>
        <v>risadinha</v>
      </c>
    </row>
    <row r="13082">
      <c r="A13082" s="3">
        <v>45891.0</v>
      </c>
      <c r="B13082" s="4">
        <v>0.3194444444444444</v>
      </c>
      <c r="C13082" s="5" t="s">
        <v>59</v>
      </c>
      <c r="D13082" s="5" t="s">
        <v>1760</v>
      </c>
      <c r="E13082" s="8" t="s">
        <v>38</v>
      </c>
      <c r="F13082" s="5" t="s">
        <v>1672</v>
      </c>
      <c r="G13082" s="6" t="str">
        <f>VLOOKUP(E13082,dicionario!$A$1:$C13481,2,0)</f>
        <v>Troglodytes musculus</v>
      </c>
      <c r="H13082" s="6" t="str">
        <f>VLOOKUP(E13082,dicionario!$A$1:$C13481,3,0)</f>
        <v>curruíra</v>
      </c>
    </row>
    <row r="13083">
      <c r="A13083" s="3">
        <v>45891.0</v>
      </c>
      <c r="B13083" s="4">
        <v>0.3194444444444444</v>
      </c>
      <c r="C13083" s="5" t="s">
        <v>59</v>
      </c>
      <c r="D13083" s="5" t="s">
        <v>1760</v>
      </c>
      <c r="E13083" s="6" t="s">
        <v>213</v>
      </c>
      <c r="F13083" s="5" t="s">
        <v>214</v>
      </c>
      <c r="G13083" s="6" t="str">
        <f>VLOOKUP(E13083,dicionario!$A$1:$C13482,2,0)</f>
        <v>Myiozetetes similis</v>
      </c>
      <c r="H13083" s="6" t="str">
        <f>VLOOKUP(E13083,dicionario!$A$1:$C13482,3,0)</f>
        <v>bentevizinho-de-penacho-vermelho</v>
      </c>
    </row>
    <row r="13084">
      <c r="A13084" s="3">
        <v>45891.0</v>
      </c>
      <c r="B13084" s="4">
        <v>0.3194444444444444</v>
      </c>
      <c r="C13084" s="5" t="s">
        <v>59</v>
      </c>
      <c r="D13084" s="5" t="s">
        <v>1760</v>
      </c>
      <c r="E13084" s="6" t="s">
        <v>191</v>
      </c>
      <c r="F13084" s="5" t="s">
        <v>192</v>
      </c>
      <c r="G13084" s="6" t="str">
        <f>VLOOKUP(E13084,dicionario!$A$1:$C13483,2,0)</f>
        <v>Patagioenas picazuro</v>
      </c>
      <c r="H13084" s="6" t="str">
        <f>VLOOKUP(E13084,dicionario!$A$1:$C13483,3,0)</f>
        <v>asa-branca; pomba-asa-branca; pocaçu</v>
      </c>
    </row>
    <row r="13085">
      <c r="A13085" s="3">
        <v>45891.0</v>
      </c>
      <c r="B13085" s="4">
        <v>0.3194444444444444</v>
      </c>
      <c r="C13085" s="5" t="s">
        <v>59</v>
      </c>
      <c r="D13085" s="5" t="s">
        <v>1760</v>
      </c>
      <c r="E13085" s="8" t="s">
        <v>245</v>
      </c>
      <c r="F13085" s="5" t="s">
        <v>246</v>
      </c>
      <c r="G13085" s="6" t="str">
        <f>VLOOKUP(E13085,dicionario!$A$1:$C13484,2,0)</f>
        <v>Hemiargus hanno</v>
      </c>
      <c r="H13085" s="6" t="str">
        <f>VLOOKUP(E13085,dicionario!$A$1:$C13484,3,0)</f>
        <v>borboleta-azulzinha-do-trevo</v>
      </c>
    </row>
    <row r="13086">
      <c r="A13086" s="3">
        <v>45891.0</v>
      </c>
      <c r="B13086" s="4">
        <v>0.32013888888888886</v>
      </c>
      <c r="C13086" s="5" t="s">
        <v>59</v>
      </c>
      <c r="D13086" s="5" t="s">
        <v>1760</v>
      </c>
      <c r="E13086" s="6" t="s">
        <v>148</v>
      </c>
      <c r="F13086" s="5" t="s">
        <v>149</v>
      </c>
      <c r="G13086" s="6" t="str">
        <f>VLOOKUP(E13086,dicionario!$A$1:$C13485,2,0)</f>
        <v>Parthenium hysterophorus</v>
      </c>
      <c r="H13086" s="6" t="str">
        <f>VLOOKUP(E13086,dicionario!$A$1:$C13485,3,0)</f>
        <v>losna-branca</v>
      </c>
    </row>
    <row r="13087">
      <c r="A13087" s="3">
        <v>45891.0</v>
      </c>
      <c r="B13087" s="4">
        <v>0.32013888888888886</v>
      </c>
      <c r="C13087" s="5" t="s">
        <v>59</v>
      </c>
      <c r="D13087" s="5" t="s">
        <v>1760</v>
      </c>
      <c r="E13087" s="8" t="s">
        <v>296</v>
      </c>
      <c r="F13087" s="5" t="s">
        <v>297</v>
      </c>
      <c r="G13087" s="6" t="str">
        <f>VLOOKUP(E13087,dicionario!$A$1:$C13486,2,0)</f>
        <v>Richardia brasiliensis</v>
      </c>
      <c r="H13087" s="6" t="str">
        <f>VLOOKUP(E13087,dicionario!$A$1:$C13486,3,0)</f>
        <v>poaia-branca</v>
      </c>
    </row>
    <row r="13088">
      <c r="A13088" s="3">
        <v>45891.0</v>
      </c>
      <c r="B13088" s="4">
        <v>0.32013888888888886</v>
      </c>
      <c r="C13088" s="5" t="s">
        <v>59</v>
      </c>
      <c r="D13088" s="5" t="s">
        <v>1760</v>
      </c>
      <c r="E13088" s="8" t="s">
        <v>135</v>
      </c>
      <c r="F13088" s="5" t="s">
        <v>136</v>
      </c>
      <c r="G13088" s="6" t="str">
        <f>VLOOKUP(E13088,dicionario!$A$1:$C13487,2,0)</f>
        <v>Tridax procumbens</v>
      </c>
      <c r="H13088" s="6" t="str">
        <f>VLOOKUP(E13088,dicionario!$A$1:$C13487,3,0)</f>
        <v>erva-de-touro</v>
      </c>
    </row>
    <row r="13089">
      <c r="A13089" s="3">
        <v>45891.0</v>
      </c>
      <c r="B13089" s="4">
        <v>0.32013888888888886</v>
      </c>
      <c r="C13089" s="5" t="s">
        <v>59</v>
      </c>
      <c r="D13089" s="5" t="s">
        <v>1760</v>
      </c>
      <c r="E13089" s="8" t="s">
        <v>146</v>
      </c>
      <c r="F13089" s="5" t="s">
        <v>147</v>
      </c>
      <c r="G13089" s="6" t="str">
        <f>VLOOKUP(E13089,dicionario!$A$1:$C13488,2,0)</f>
        <v>Euphorbia hirta</v>
      </c>
      <c r="H13089" s="6" t="str">
        <f>VLOOKUP(E13089,dicionario!$A$1:$C13488,3,0)</f>
        <v>erva-de-santa-luzia</v>
      </c>
    </row>
    <row r="13090">
      <c r="A13090" s="3">
        <v>45891.0</v>
      </c>
      <c r="B13090" s="4">
        <v>0.32083333333333336</v>
      </c>
      <c r="C13090" s="5" t="s">
        <v>50</v>
      </c>
      <c r="D13090" s="5" t="s">
        <v>1760</v>
      </c>
      <c r="E13090" s="8" t="s">
        <v>712</v>
      </c>
      <c r="F13090" s="5" t="s">
        <v>912</v>
      </c>
      <c r="G13090" s="6" t="str">
        <f>VLOOKUP(E13090,dicionario!$A$1:$C13489,2,0)</f>
        <v>Flavopunctelia soredica</v>
      </c>
      <c r="H13090" s="6" t="str">
        <f>VLOOKUP(E13090,dicionario!$A$1:$C13489,3,0)</f>
        <v>líquen-folioso</v>
      </c>
    </row>
    <row r="13091">
      <c r="A13091" s="3">
        <v>45891.0</v>
      </c>
      <c r="B13091" s="4">
        <v>0.32083333333333336</v>
      </c>
      <c r="C13091" s="5" t="s">
        <v>50</v>
      </c>
      <c r="D13091" s="5" t="s">
        <v>1760</v>
      </c>
      <c r="E13091" s="8" t="s">
        <v>719</v>
      </c>
      <c r="F13091" s="5" t="s">
        <v>911</v>
      </c>
      <c r="G13091" s="6" t="str">
        <f>VLOOKUP(E13091,dicionario!$A$1:$C13490,2,0)</f>
        <v>Dirinaria</v>
      </c>
      <c r="H13091" s="6" t="str">
        <f>VLOOKUP(E13091,dicionario!$A$1:$C13490,3,0)</f>
        <v>líquen-crostoso</v>
      </c>
    </row>
    <row r="13092">
      <c r="A13092" s="3">
        <v>45891.0</v>
      </c>
      <c r="B13092" s="4">
        <v>0.32083333333333336</v>
      </c>
      <c r="C13092" s="5" t="s">
        <v>50</v>
      </c>
      <c r="D13092" s="5" t="s">
        <v>1760</v>
      </c>
      <c r="E13092" s="53" t="s">
        <v>1680</v>
      </c>
      <c r="F13092" s="5" t="s">
        <v>1771</v>
      </c>
      <c r="G13092" s="6" t="str">
        <f>VLOOKUP(E13092,dicionario!$A$1:$C13491,2,0)</f>
        <v>Xanthoria parietina</v>
      </c>
      <c r="H13092" s="6" t="str">
        <f>VLOOKUP(E13092,dicionario!$A$1:$C13491,3,0)</f>
        <v>líquen-amarelo</v>
      </c>
    </row>
    <row r="13093">
      <c r="A13093" s="3">
        <v>45891.0</v>
      </c>
      <c r="B13093" s="4">
        <v>0.32083333333333336</v>
      </c>
      <c r="C13093" s="5" t="s">
        <v>50</v>
      </c>
      <c r="D13093" s="5" t="s">
        <v>1760</v>
      </c>
      <c r="E13093" s="6" t="s">
        <v>163</v>
      </c>
      <c r="F13093" s="5" t="s">
        <v>164</v>
      </c>
      <c r="G13093" s="6" t="str">
        <f>VLOOKUP(E13093,dicionario!$A$1:$C13492,2,0)</f>
        <v>Coragyps atratus</v>
      </c>
      <c r="H13093" s="6" t="str">
        <f>VLOOKUP(E13093,dicionario!$A$1:$C13492,3,0)</f>
        <v>urubu-de-cabeça-preta</v>
      </c>
    </row>
    <row r="13094">
      <c r="A13094" s="3">
        <v>45891.0</v>
      </c>
      <c r="B13094" s="4">
        <v>0.32083333333333336</v>
      </c>
      <c r="C13094" s="5" t="s">
        <v>50</v>
      </c>
      <c r="D13094" s="5" t="s">
        <v>1760</v>
      </c>
      <c r="E13094" s="67" t="s">
        <v>1772</v>
      </c>
      <c r="F13094" s="5" t="s">
        <v>1773</v>
      </c>
      <c r="G13094" s="6" t="str">
        <f>VLOOKUP(E13094,dicionario!$A$1:$C13493,2,0)</f>
        <v>#N/A</v>
      </c>
      <c r="H13094" s="6" t="str">
        <f>VLOOKUP(E13094,dicionario!$A$1:$C13493,3,0)</f>
        <v>#N/A</v>
      </c>
    </row>
    <row r="13095">
      <c r="A13095" s="3">
        <v>45891.0</v>
      </c>
      <c r="B13095" s="4">
        <v>0.32083333333333336</v>
      </c>
      <c r="C13095" s="5" t="s">
        <v>50</v>
      </c>
      <c r="D13095" s="5" t="s">
        <v>1760</v>
      </c>
      <c r="E13095" s="8" t="s">
        <v>20</v>
      </c>
      <c r="F13095" s="5" t="s">
        <v>1369</v>
      </c>
      <c r="G13095" s="6" t="str">
        <f>VLOOKUP(E13095,dicionario!$A$1:$C13494,2,0)</f>
        <v>Sicalis flaveola</v>
      </c>
      <c r="H13095" s="6" t="str">
        <f>VLOOKUP(E13095,dicionario!$A$1:$C13494,3,0)</f>
        <v>canário-da-terra</v>
      </c>
    </row>
    <row r="13096">
      <c r="A13096" s="3">
        <v>45891.0</v>
      </c>
      <c r="B13096" s="4">
        <v>0.32083333333333336</v>
      </c>
      <c r="C13096" s="5" t="s">
        <v>50</v>
      </c>
      <c r="D13096" s="5" t="s">
        <v>1760</v>
      </c>
      <c r="E13096" s="6" t="s">
        <v>113</v>
      </c>
      <c r="F13096" s="5" t="s">
        <v>114</v>
      </c>
      <c r="G13096" s="6" t="str">
        <f>VLOOKUP(E13096,dicionario!$A$1:$C13495,2,0)</f>
        <v>Columbina talpacoti</v>
      </c>
      <c r="H13096" s="6" t="str">
        <f>VLOOKUP(E13096,dicionario!$A$1:$C13495,3,0)</f>
        <v>rolinha-roxa</v>
      </c>
    </row>
    <row r="13097">
      <c r="A13097" s="3">
        <v>45891.0</v>
      </c>
      <c r="B13097" s="4">
        <v>0.32083333333333336</v>
      </c>
      <c r="C13097" s="5" t="s">
        <v>50</v>
      </c>
      <c r="D13097" s="5" t="s">
        <v>1760</v>
      </c>
      <c r="E13097" s="8" t="s">
        <v>271</v>
      </c>
      <c r="F13097" s="5" t="s">
        <v>272</v>
      </c>
      <c r="G13097" s="6" t="str">
        <f>VLOOKUP(E13097,dicionario!$A$1:$C13496,2,0)</f>
        <v>Cyanthillium cinereum</v>
      </c>
      <c r="H13097" s="6" t="str">
        <f>VLOOKUP(E13097,dicionario!$A$1:$C13496,3,0)</f>
        <v>emília</v>
      </c>
    </row>
    <row r="13098">
      <c r="A13098" s="3">
        <v>45891.0</v>
      </c>
      <c r="B13098" s="4">
        <v>0.32083333333333336</v>
      </c>
      <c r="C13098" s="5" t="s">
        <v>50</v>
      </c>
      <c r="D13098" s="5" t="s">
        <v>1760</v>
      </c>
      <c r="E13098" s="8" t="s">
        <v>14</v>
      </c>
      <c r="F13098" s="5" t="s">
        <v>15</v>
      </c>
      <c r="G13098" s="6" t="str">
        <f>VLOOKUP(E13098,dicionario!$A$1:$C13497,2,0)</f>
        <v>Spermacoce verticillata</v>
      </c>
      <c r="H13098" s="6" t="str">
        <f>VLOOKUP(E13098,dicionario!$A$1:$C13497,3,0)</f>
        <v>vassourinha-de-botão</v>
      </c>
    </row>
    <row r="13099">
      <c r="A13099" s="3">
        <v>45891.0</v>
      </c>
      <c r="B13099" s="4">
        <v>0.32083333333333336</v>
      </c>
      <c r="C13099" s="5" t="s">
        <v>50</v>
      </c>
      <c r="D13099" s="5" t="s">
        <v>1760</v>
      </c>
      <c r="E13099" s="8" t="s">
        <v>109</v>
      </c>
      <c r="F13099" s="5" t="s">
        <v>110</v>
      </c>
      <c r="G13099" s="6" t="str">
        <f>VLOOKUP(E13099,dicionario!$A$1:$C13498,2,0)</f>
        <v>Tillandsia stricta</v>
      </c>
      <c r="H13099" s="6" t="str">
        <f>VLOOKUP(E13099,dicionario!$A$1:$C13498,3,0)</f>
        <v>cravo-do-mato</v>
      </c>
    </row>
    <row r="13100">
      <c r="A13100" s="3">
        <v>45891.0</v>
      </c>
      <c r="B13100" s="4">
        <v>0.32083333333333336</v>
      </c>
      <c r="C13100" s="5" t="s">
        <v>50</v>
      </c>
      <c r="D13100" s="5" t="s">
        <v>1760</v>
      </c>
      <c r="E13100" s="72" t="s">
        <v>298</v>
      </c>
      <c r="F13100" s="5"/>
      <c r="G13100" s="6" t="str">
        <f>VLOOKUP(E13100,dicionario!$A$1:$C13499,2,0)</f>
        <v>Alysicarpus vaginalis</v>
      </c>
      <c r="H13100" s="6" t="str">
        <f>VLOOKUP(E13100,dicionario!$A$1:$C13499,3,0)</f>
        <v/>
      </c>
    </row>
    <row r="13101">
      <c r="A13101" s="3">
        <v>45891.0</v>
      </c>
      <c r="B13101" s="4">
        <v>0.3215277777777778</v>
      </c>
      <c r="C13101" s="5" t="s">
        <v>50</v>
      </c>
      <c r="D13101" s="5" t="s">
        <v>1760</v>
      </c>
      <c r="E13101" s="8" t="s">
        <v>498</v>
      </c>
      <c r="F13101" s="5" t="s">
        <v>499</v>
      </c>
      <c r="G13101" s="6" t="str">
        <f>VLOOKUP(E13101,dicionario!$A$1:$C13500,2,0)</f>
        <v>Brachiaria decumbens</v>
      </c>
      <c r="H13101" s="6" t="str">
        <f>VLOOKUP(E13101,dicionario!$A$1:$C13500,3,0)</f>
        <v>capim-braquiária</v>
      </c>
    </row>
    <row r="13102">
      <c r="A13102" s="3">
        <v>45891.0</v>
      </c>
      <c r="B13102" s="4">
        <v>0.3215277777777778</v>
      </c>
      <c r="C13102" s="5" t="s">
        <v>50</v>
      </c>
      <c r="D13102" s="5" t="s">
        <v>1760</v>
      </c>
      <c r="E13102" s="6" t="s">
        <v>606</v>
      </c>
      <c r="F13102" s="5" t="s">
        <v>607</v>
      </c>
      <c r="G13102" s="6" t="str">
        <f>VLOOKUP(E13102,dicionario!$A$1:$C13501,2,0)</f>
        <v>Elaenia spectabilis</v>
      </c>
      <c r="H13102" s="6" t="str">
        <f>VLOOKUP(E13102,dicionario!$A$1:$C13501,3,0)</f>
        <v>guaracava-grande</v>
      </c>
    </row>
    <row r="13103">
      <c r="A13103" s="3">
        <v>45891.0</v>
      </c>
      <c r="B13103" s="4">
        <v>0.3215277777777778</v>
      </c>
      <c r="C13103" s="5" t="s">
        <v>50</v>
      </c>
      <c r="D13103" s="5" t="s">
        <v>1760</v>
      </c>
      <c r="E13103" s="6" t="s">
        <v>65</v>
      </c>
      <c r="F13103" s="5" t="s">
        <v>66</v>
      </c>
      <c r="G13103" s="6" t="str">
        <f>VLOOKUP(E13103,dicionario!$A$1:$C13502,2,0)</f>
        <v>Pitangus sulphutarus</v>
      </c>
      <c r="H13103" s="6" t="str">
        <f>VLOOKUP(E13103,dicionario!$A$1:$C13502,3,0)</f>
        <v>bem-te-vi</v>
      </c>
    </row>
    <row r="13104">
      <c r="A13104" s="3">
        <v>45891.0</v>
      </c>
      <c r="B13104" s="4">
        <v>0.3215277777777778</v>
      </c>
      <c r="C13104" s="5" t="s">
        <v>50</v>
      </c>
      <c r="D13104" s="5" t="s">
        <v>1760</v>
      </c>
      <c r="E13104" s="8" t="s">
        <v>38</v>
      </c>
      <c r="F13104" s="5" t="s">
        <v>1672</v>
      </c>
      <c r="G13104" s="6" t="str">
        <f>VLOOKUP(E13104,dicionario!$A$1:$C13503,2,0)</f>
        <v>Troglodytes musculus</v>
      </c>
      <c r="H13104" s="6" t="str">
        <f>VLOOKUP(E13104,dicionario!$A$1:$C13503,3,0)</f>
        <v>curruíra</v>
      </c>
    </row>
    <row r="13105">
      <c r="A13105" s="3">
        <v>45891.0</v>
      </c>
      <c r="B13105" s="4">
        <v>0.3215277777777778</v>
      </c>
      <c r="C13105" s="5" t="s">
        <v>50</v>
      </c>
      <c r="D13105" s="5" t="s">
        <v>1760</v>
      </c>
      <c r="E13105" s="6" t="s">
        <v>60</v>
      </c>
      <c r="F13105" s="5" t="s">
        <v>61</v>
      </c>
      <c r="G13105" s="6" t="str">
        <f>VLOOKUP(E13105,dicionario!$A$1:$C13504,2,0)</f>
        <v>Vanellus chilensis</v>
      </c>
      <c r="H13105" s="6" t="str">
        <f>VLOOKUP(E13105,dicionario!$A$1:$C13504,3,0)</f>
        <v>quero-quero</v>
      </c>
    </row>
    <row r="13106">
      <c r="A13106" s="3">
        <v>45891.0</v>
      </c>
      <c r="B13106" s="4">
        <v>0.32222222222222224</v>
      </c>
      <c r="C13106" s="5" t="s">
        <v>50</v>
      </c>
      <c r="D13106" s="5" t="s">
        <v>1760</v>
      </c>
      <c r="E13106" s="8" t="s">
        <v>1344</v>
      </c>
      <c r="F13106" s="5" t="s">
        <v>47</v>
      </c>
      <c r="G13106" s="6" t="str">
        <f>VLOOKUP(E13106,dicionario!$A$1:$C13505,2,0)</f>
        <v>#N/A</v>
      </c>
      <c r="H13106" s="6" t="str">
        <f>VLOOKUP(E13106,dicionario!$A$1:$C13505,3,0)</f>
        <v>#N/A</v>
      </c>
    </row>
    <row r="13107">
      <c r="A13107" s="3">
        <v>45891.0</v>
      </c>
      <c r="B13107" s="4">
        <v>0.32222222222222224</v>
      </c>
      <c r="C13107" s="5" t="s">
        <v>50</v>
      </c>
      <c r="D13107" s="5" t="s">
        <v>1760</v>
      </c>
      <c r="E13107" s="6" t="s">
        <v>225</v>
      </c>
      <c r="F13107" s="5" t="s">
        <v>226</v>
      </c>
      <c r="G13107" s="6" t="str">
        <f>VLOOKUP(E13107,dicionario!$A$1:$C13506,2,0)</f>
        <v>Passer domesticus</v>
      </c>
      <c r="H13107" s="6" t="str">
        <f>VLOOKUP(E13107,dicionario!$A$1:$C13506,3,0)</f>
        <v>pardal</v>
      </c>
    </row>
    <row r="13108">
      <c r="A13108" s="3">
        <v>45891.0</v>
      </c>
      <c r="B13108" s="4">
        <v>0.3229166666666667</v>
      </c>
      <c r="C13108" s="5" t="s">
        <v>50</v>
      </c>
      <c r="D13108" s="5" t="s">
        <v>1760</v>
      </c>
      <c r="E13108" s="8" t="s">
        <v>1774</v>
      </c>
      <c r="F13108" s="5" t="s">
        <v>1775</v>
      </c>
      <c r="G13108" s="6" t="str">
        <f>VLOOKUP(E13108,dicionario!$A$1:$C13507,2,0)</f>
        <v>#N/A</v>
      </c>
      <c r="H13108" s="6" t="str">
        <f>VLOOKUP(E13108,dicionario!$A$1:$C13507,3,0)</f>
        <v>#N/A</v>
      </c>
    </row>
    <row r="13109">
      <c r="A13109" s="3">
        <v>45891.0</v>
      </c>
      <c r="B13109" s="4">
        <v>0.3229166666666667</v>
      </c>
      <c r="C13109" s="5" t="s">
        <v>50</v>
      </c>
      <c r="D13109" s="5" t="s">
        <v>1760</v>
      </c>
      <c r="E13109" s="6" t="s">
        <v>213</v>
      </c>
      <c r="F13109" s="5" t="s">
        <v>214</v>
      </c>
      <c r="G13109" s="6" t="str">
        <f>VLOOKUP(E13109,dicionario!$A$1:$C13508,2,0)</f>
        <v>Myiozetetes similis</v>
      </c>
      <c r="H13109" s="6" t="str">
        <f>VLOOKUP(E13109,dicionario!$A$1:$C13508,3,0)</f>
        <v>bentevizinho-de-penacho-vermelho</v>
      </c>
    </row>
    <row r="13110">
      <c r="A13110" s="3">
        <v>45891.0</v>
      </c>
      <c r="B13110" s="4">
        <v>0.3229166666666667</v>
      </c>
      <c r="C13110" s="5" t="s">
        <v>50</v>
      </c>
      <c r="D13110" s="5" t="s">
        <v>1760</v>
      </c>
      <c r="E13110" s="67" t="s">
        <v>1725</v>
      </c>
      <c r="F13110" s="5" t="s">
        <v>1120</v>
      </c>
      <c r="G13110" s="6" t="str">
        <f>VLOOKUP(E13110,dicionario!$A$1:$C13509,2,0)</f>
        <v>Scolopendridae</v>
      </c>
      <c r="H13110" s="6" t="str">
        <f>VLOOKUP(E13110,dicionario!$A$1:$C13509,3,0)</f>
        <v>lacraia</v>
      </c>
    </row>
    <row r="13111">
      <c r="A13111" s="3">
        <v>45891.0</v>
      </c>
      <c r="B13111" s="4">
        <v>0.3229166666666667</v>
      </c>
      <c r="C13111" s="5" t="s">
        <v>50</v>
      </c>
      <c r="D13111" s="5" t="s">
        <v>1760</v>
      </c>
      <c r="E13111" s="6" t="s">
        <v>57</v>
      </c>
      <c r="F13111" s="5" t="s">
        <v>559</v>
      </c>
      <c r="G13111" s="6" t="str">
        <f>VLOOKUP(E13111,dicionario!$A$1:$C13510,2,0)</f>
        <v>Juliformia</v>
      </c>
      <c r="H13111" s="6" t="str">
        <f>VLOOKUP(E13111,dicionario!$A$1:$C13510,3,0)</f>
        <v>gongolo; maria-café</v>
      </c>
    </row>
    <row r="13112">
      <c r="A13112" s="3">
        <v>45891.0</v>
      </c>
      <c r="B13112" s="4">
        <v>0.3229166666666667</v>
      </c>
      <c r="C13112" s="5" t="s">
        <v>50</v>
      </c>
      <c r="D13112" s="5" t="s">
        <v>1760</v>
      </c>
      <c r="E13112" s="8" t="s">
        <v>421</v>
      </c>
      <c r="F13112" s="5" t="s">
        <v>433</v>
      </c>
      <c r="G13112" s="6" t="str">
        <f>VLOOKUP(E13112,dicionario!$A$1:$C13511,2,0)</f>
        <v>Subulina octona</v>
      </c>
      <c r="H13112" s="6" t="str">
        <f>VLOOKUP(E13112,dicionario!$A$1:$C13511,3,0)</f>
        <v>caracol-de-jardim</v>
      </c>
    </row>
    <row r="13113">
      <c r="A13113" s="3">
        <v>45891.0</v>
      </c>
      <c r="B13113" s="4">
        <v>0.3229166666666667</v>
      </c>
      <c r="C13113" s="5" t="s">
        <v>50</v>
      </c>
      <c r="D13113" s="5" t="s">
        <v>1760</v>
      </c>
      <c r="E13113" s="6" t="s">
        <v>55</v>
      </c>
      <c r="F13113" s="5" t="s">
        <v>621</v>
      </c>
      <c r="G13113" s="6" t="str">
        <f>VLOOKUP(E13113,dicionario!$A$1:$C13512,2,0)</f>
        <v>Cubaris murina</v>
      </c>
      <c r="H13113" s="6" t="str">
        <f>VLOOKUP(E13113,dicionario!$A$1:$C13512,3,0)</f>
        <v>tatuzinho-de-jardim</v>
      </c>
    </row>
    <row r="13114">
      <c r="A13114" s="3">
        <v>45891.0</v>
      </c>
      <c r="B13114" s="4">
        <v>0.325</v>
      </c>
      <c r="C13114" s="5" t="s">
        <v>50</v>
      </c>
      <c r="D13114" s="5" t="s">
        <v>1760</v>
      </c>
      <c r="E13114" s="8" t="s">
        <v>909</v>
      </c>
      <c r="F13114" s="5" t="s">
        <v>910</v>
      </c>
      <c r="G13114" s="6" t="str">
        <f>VLOOKUP(E13114,dicionario!$A$1:$C13513,2,0)</f>
        <v>Chordeiles acutipennis</v>
      </c>
      <c r="H13114" s="6" t="str">
        <f>VLOOKUP(E13114,dicionario!$A$1:$C13513,3,0)</f>
        <v>bacurau-de-asa-fina</v>
      </c>
    </row>
    <row r="13115">
      <c r="A13115" s="3">
        <v>45891.0</v>
      </c>
      <c r="B13115" s="4">
        <v>0.3263888888888889</v>
      </c>
      <c r="C13115" s="5" t="s">
        <v>50</v>
      </c>
      <c r="D13115" s="5" t="s">
        <v>1760</v>
      </c>
      <c r="E13115" s="8" t="s">
        <v>1404</v>
      </c>
      <c r="F13115" s="5" t="s">
        <v>685</v>
      </c>
      <c r="G13115" s="6" t="str">
        <f>VLOOKUP(E13115,dicionario!$A$1:$C13514,2,0)</f>
        <v>#N/A</v>
      </c>
      <c r="H13115" s="6" t="str">
        <f>VLOOKUP(E13115,dicionario!$A$1:$C13514,3,0)</f>
        <v>#N/A</v>
      </c>
    </row>
    <row r="13116">
      <c r="A13116" s="3">
        <v>45891.0</v>
      </c>
      <c r="B13116" s="4">
        <v>0.3277777777777778</v>
      </c>
      <c r="C13116" s="5" t="s">
        <v>50</v>
      </c>
      <c r="D13116" s="5" t="s">
        <v>1760</v>
      </c>
      <c r="E13116" s="8" t="s">
        <v>624</v>
      </c>
      <c r="F13116" s="5" t="s">
        <v>133</v>
      </c>
      <c r="G13116" s="6" t="str">
        <f>VLOOKUP(E13116,dicionario!$A$1:$C13515,2,0)</f>
        <v>Euphonia violacea</v>
      </c>
      <c r="H13116" s="6" t="str">
        <f>VLOOKUP(E13116,dicionario!$A$1:$C13515,3,0)</f>
        <v>gaturamo-verdadeiro</v>
      </c>
    </row>
    <row r="13117">
      <c r="A13117" s="3">
        <v>45891.0</v>
      </c>
      <c r="B13117" s="4">
        <v>0.3277777777777778</v>
      </c>
      <c r="C13117" s="5" t="s">
        <v>50</v>
      </c>
      <c r="D13117" s="5" t="s">
        <v>1760</v>
      </c>
      <c r="E13117" s="6" t="s">
        <v>111</v>
      </c>
      <c r="F13117" s="5" t="s">
        <v>112</v>
      </c>
      <c r="G13117" s="6" t="str">
        <f>VLOOKUP(E13117,dicionario!$A$1:$C13516,2,0)</f>
        <v>Trigona spinipes</v>
      </c>
      <c r="H13117" s="6" t="str">
        <f>VLOOKUP(E13117,dicionario!$A$1:$C13516,3,0)</f>
        <v>abelha-cachorro</v>
      </c>
    </row>
    <row r="13118">
      <c r="A13118" s="3">
        <v>45891.0</v>
      </c>
      <c r="B13118" s="4">
        <v>0.33055555555555555</v>
      </c>
      <c r="C13118" s="5" t="s">
        <v>40</v>
      </c>
      <c r="D13118" s="5" t="s">
        <v>1760</v>
      </c>
      <c r="E13118" s="6" t="s">
        <v>60</v>
      </c>
      <c r="F13118" s="5" t="s">
        <v>61</v>
      </c>
      <c r="G13118" s="6" t="str">
        <f>VLOOKUP(E13118,dicionario!$A$1:$C13517,2,0)</f>
        <v>Vanellus chilensis</v>
      </c>
      <c r="H13118" s="6" t="str">
        <f>VLOOKUP(E13118,dicionario!$A$1:$C13517,3,0)</f>
        <v>quero-quero</v>
      </c>
    </row>
    <row r="13119">
      <c r="A13119" s="3">
        <v>45891.0</v>
      </c>
      <c r="B13119" s="4">
        <v>0.33055555555555555</v>
      </c>
      <c r="C13119" s="5" t="s">
        <v>40</v>
      </c>
      <c r="D13119" s="5" t="s">
        <v>1760</v>
      </c>
      <c r="E13119" s="6" t="s">
        <v>191</v>
      </c>
      <c r="F13119" s="5" t="s">
        <v>192</v>
      </c>
      <c r="G13119" s="6" t="str">
        <f>VLOOKUP(E13119,dicionario!$A$1:$C13518,2,0)</f>
        <v>Patagioenas picazuro</v>
      </c>
      <c r="H13119" s="6" t="str">
        <f>VLOOKUP(E13119,dicionario!$A$1:$C13518,3,0)</f>
        <v>asa-branca; pomba-asa-branca; pocaçu</v>
      </c>
    </row>
    <row r="13120">
      <c r="A13120" s="3">
        <v>45891.0</v>
      </c>
      <c r="B13120" s="4">
        <v>0.33194444444444443</v>
      </c>
      <c r="C13120" s="5" t="s">
        <v>40</v>
      </c>
      <c r="D13120" s="5" t="s">
        <v>1760</v>
      </c>
      <c r="E13120" s="8" t="s">
        <v>109</v>
      </c>
      <c r="F13120" s="5" t="s">
        <v>110</v>
      </c>
      <c r="G13120" s="6" t="str">
        <f>VLOOKUP(E13120,dicionario!$A$1:$C13519,2,0)</f>
        <v>Tillandsia stricta</v>
      </c>
      <c r="H13120" s="6" t="str">
        <f>VLOOKUP(E13120,dicionario!$A$1:$C13519,3,0)</f>
        <v>cravo-do-mato</v>
      </c>
    </row>
    <row r="13121">
      <c r="A13121" s="3">
        <v>45891.0</v>
      </c>
      <c r="B13121" s="4">
        <v>0.33194444444444443</v>
      </c>
      <c r="C13121" s="5" t="s">
        <v>40</v>
      </c>
      <c r="D13121" s="5" t="s">
        <v>1760</v>
      </c>
      <c r="E13121" s="6" t="s">
        <v>65</v>
      </c>
      <c r="F13121" s="5" t="s">
        <v>66</v>
      </c>
      <c r="G13121" s="6" t="str">
        <f>VLOOKUP(E13121,dicionario!$A$1:$C13520,2,0)</f>
        <v>Pitangus sulphutarus</v>
      </c>
      <c r="H13121" s="6" t="str">
        <f>VLOOKUP(E13121,dicionario!$A$1:$C13520,3,0)</f>
        <v>bem-te-vi</v>
      </c>
    </row>
    <row r="13122">
      <c r="A13122" s="3">
        <v>45891.0</v>
      </c>
      <c r="B13122" s="4">
        <v>0.33194444444444443</v>
      </c>
      <c r="C13122" s="5" t="s">
        <v>40</v>
      </c>
      <c r="D13122" s="5" t="s">
        <v>1760</v>
      </c>
      <c r="E13122" s="72" t="s">
        <v>298</v>
      </c>
      <c r="F13122" s="5"/>
      <c r="G13122" s="6" t="str">
        <f>VLOOKUP(E13122,dicionario!$A$1:$C13521,2,0)</f>
        <v>Alysicarpus vaginalis</v>
      </c>
      <c r="H13122" s="6" t="str">
        <f>VLOOKUP(E13122,dicionario!$A$1:$C13521,3,0)</f>
        <v/>
      </c>
    </row>
    <row r="13123">
      <c r="A13123" s="3">
        <v>45891.0</v>
      </c>
      <c r="B13123" s="4">
        <v>0.33194444444444443</v>
      </c>
      <c r="C13123" s="5" t="s">
        <v>40</v>
      </c>
      <c r="D13123" s="5" t="s">
        <v>1760</v>
      </c>
      <c r="E13123" s="6" t="s">
        <v>286</v>
      </c>
      <c r="F13123" s="5" t="s">
        <v>287</v>
      </c>
      <c r="G13123" s="6" t="str">
        <f>VLOOKUP(E13123,dicionario!$A$1:$C13522,2,0)</f>
        <v>Setaria parviflora</v>
      </c>
      <c r="H13123" s="6" t="str">
        <f>VLOOKUP(E13123,dicionario!$A$1:$C13522,3,0)</f>
        <v>capim-rabo-de-raposa</v>
      </c>
    </row>
    <row r="13124">
      <c r="A13124" s="3">
        <v>45891.0</v>
      </c>
      <c r="B13124" s="4">
        <v>0.33194444444444443</v>
      </c>
      <c r="C13124" s="5" t="s">
        <v>40</v>
      </c>
      <c r="D13124" s="5" t="s">
        <v>1760</v>
      </c>
      <c r="E13124" s="8" t="s">
        <v>271</v>
      </c>
      <c r="F13124" s="5" t="s">
        <v>272</v>
      </c>
      <c r="G13124" s="6" t="str">
        <f>VLOOKUP(E13124,dicionario!$A$1:$C13523,2,0)</f>
        <v>Cyanthillium cinereum</v>
      </c>
      <c r="H13124" s="6" t="str">
        <f>VLOOKUP(E13124,dicionario!$A$1:$C13523,3,0)</f>
        <v>emília</v>
      </c>
    </row>
    <row r="13125">
      <c r="A13125" s="3">
        <v>45891.0</v>
      </c>
      <c r="B13125" s="4">
        <v>0.33194444444444443</v>
      </c>
      <c r="C13125" s="5" t="s">
        <v>40</v>
      </c>
      <c r="D13125" s="5" t="s">
        <v>1760</v>
      </c>
      <c r="E13125" s="6" t="s">
        <v>467</v>
      </c>
      <c r="F13125" s="5" t="s">
        <v>1365</v>
      </c>
      <c r="G13125" s="6" t="str">
        <f>VLOOKUP(E13125,dicionario!$A$1:$C13524,2,0)</f>
        <v>Eleusine indica</v>
      </c>
      <c r="H13125" s="6" t="str">
        <f>VLOOKUP(E13125,dicionario!$A$1:$C13524,3,0)</f>
        <v>capim-pé-de-galinha</v>
      </c>
    </row>
    <row r="13126">
      <c r="A13126" s="3">
        <v>45891.0</v>
      </c>
      <c r="B13126" s="4">
        <v>0.33194444444444443</v>
      </c>
      <c r="C13126" s="5" t="s">
        <v>40</v>
      </c>
      <c r="D13126" s="5" t="s">
        <v>1760</v>
      </c>
      <c r="E13126" s="8" t="s">
        <v>14</v>
      </c>
      <c r="F13126" s="5" t="s">
        <v>15</v>
      </c>
      <c r="G13126" s="6" t="str">
        <f>VLOOKUP(E13126,dicionario!$A$1:$C13525,2,0)</f>
        <v>Spermacoce verticillata</v>
      </c>
      <c r="H13126" s="6" t="str">
        <f>VLOOKUP(E13126,dicionario!$A$1:$C13525,3,0)</f>
        <v>vassourinha-de-botão</v>
      </c>
    </row>
    <row r="13127">
      <c r="A13127" s="3">
        <v>45891.0</v>
      </c>
      <c r="B13127" s="4">
        <v>0.33194444444444443</v>
      </c>
      <c r="C13127" s="5" t="s">
        <v>40</v>
      </c>
      <c r="D13127" s="5" t="s">
        <v>1760</v>
      </c>
      <c r="E13127" s="6" t="s">
        <v>225</v>
      </c>
      <c r="F13127" s="5" t="s">
        <v>226</v>
      </c>
      <c r="G13127" s="6" t="str">
        <f>VLOOKUP(E13127,dicionario!$A$1:$C13526,2,0)</f>
        <v>Passer domesticus</v>
      </c>
      <c r="H13127" s="6" t="str">
        <f>VLOOKUP(E13127,dicionario!$A$1:$C13526,3,0)</f>
        <v>pardal</v>
      </c>
    </row>
    <row r="13128">
      <c r="A13128" s="3">
        <v>45891.0</v>
      </c>
      <c r="B13128" s="4">
        <v>0.33194444444444443</v>
      </c>
      <c r="C13128" s="5" t="s">
        <v>40</v>
      </c>
      <c r="D13128" s="5" t="s">
        <v>1760</v>
      </c>
      <c r="E13128" s="8" t="s">
        <v>20</v>
      </c>
      <c r="F13128" s="5" t="s">
        <v>21</v>
      </c>
      <c r="G13128" s="6" t="str">
        <f>VLOOKUP(E13128,dicionario!$A$1:$C13527,2,0)</f>
        <v>Sicalis flaveola</v>
      </c>
      <c r="H13128" s="6" t="str">
        <f>VLOOKUP(E13128,dicionario!$A$1:$C13527,3,0)</f>
        <v>canário-da-terra</v>
      </c>
    </row>
    <row r="13129">
      <c r="A13129" s="3">
        <v>45891.0</v>
      </c>
      <c r="B13129" s="4">
        <v>0.3326388888888889</v>
      </c>
      <c r="C13129" s="5" t="s">
        <v>40</v>
      </c>
      <c r="D13129" s="5" t="s">
        <v>1760</v>
      </c>
      <c r="E13129" s="6" t="s">
        <v>113</v>
      </c>
      <c r="F13129" s="5" t="s">
        <v>114</v>
      </c>
      <c r="G13129" s="6" t="str">
        <f>VLOOKUP(E13129,dicionario!$A$1:$C13528,2,0)</f>
        <v>Columbina talpacoti</v>
      </c>
      <c r="H13129" s="6" t="str">
        <f>VLOOKUP(E13129,dicionario!$A$1:$C13528,3,0)</f>
        <v>rolinha-roxa</v>
      </c>
    </row>
    <row r="13130">
      <c r="A13130" s="3">
        <v>45891.0</v>
      </c>
      <c r="B13130" s="4">
        <v>0.3333333333333333</v>
      </c>
      <c r="C13130" s="5" t="s">
        <v>40</v>
      </c>
      <c r="D13130" s="5" t="s">
        <v>1760</v>
      </c>
      <c r="E13130" s="8" t="s">
        <v>1386</v>
      </c>
      <c r="F13130" s="5" t="s">
        <v>484</v>
      </c>
      <c r="G13130" s="6" t="str">
        <f>VLOOKUP(E13130,dicionario!$A$1:$C13529,2,0)</f>
        <v>#N/A</v>
      </c>
      <c r="H13130" s="6" t="str">
        <f>VLOOKUP(E13130,dicionario!$A$1:$C13529,3,0)</f>
        <v>#N/A</v>
      </c>
    </row>
    <row r="13131">
      <c r="A13131" s="3">
        <v>45891.0</v>
      </c>
      <c r="B13131" s="4">
        <v>0.3333333333333333</v>
      </c>
      <c r="C13131" s="5" t="s">
        <v>40</v>
      </c>
      <c r="D13131" s="5" t="s">
        <v>1760</v>
      </c>
      <c r="E13131" s="8" t="s">
        <v>498</v>
      </c>
      <c r="F13131" s="5" t="s">
        <v>499</v>
      </c>
      <c r="G13131" s="6" t="str">
        <f>VLOOKUP(E13131,dicionario!$A$1:$C13530,2,0)</f>
        <v>Brachiaria decumbens</v>
      </c>
      <c r="H13131" s="6" t="str">
        <f>VLOOKUP(E13131,dicionario!$A$1:$C13530,3,0)</f>
        <v>capim-braquiária</v>
      </c>
    </row>
    <row r="13132">
      <c r="A13132" s="3">
        <v>45891.0</v>
      </c>
      <c r="B13132" s="4">
        <v>0.3333333333333333</v>
      </c>
      <c r="C13132" s="5" t="s">
        <v>40</v>
      </c>
      <c r="D13132" s="5" t="s">
        <v>1760</v>
      </c>
      <c r="E13132" s="8" t="s">
        <v>51</v>
      </c>
      <c r="F13132" s="5" t="s">
        <v>77</v>
      </c>
      <c r="G13132" s="6" t="str">
        <f>VLOOKUP(E13132,dicionario!$A$1:$C13531,2,0)</f>
        <v>Solenopsis</v>
      </c>
      <c r="H13132" s="6" t="str">
        <f>VLOOKUP(E13132,dicionario!$A$1:$C13531,3,0)</f>
        <v>formiga-quente; formiga-lava-pés; formiga-de-fogo</v>
      </c>
    </row>
    <row r="13133">
      <c r="A13133" s="3">
        <v>45891.0</v>
      </c>
      <c r="B13133" s="4">
        <v>0.33402777777777776</v>
      </c>
      <c r="C13133" s="5" t="s">
        <v>40</v>
      </c>
      <c r="D13133" s="5" t="s">
        <v>1760</v>
      </c>
      <c r="E13133" s="6" t="s">
        <v>280</v>
      </c>
      <c r="F13133" s="5" t="s">
        <v>856</v>
      </c>
      <c r="G13133" s="6" t="str">
        <f>VLOOKUP(E13133,dicionario!$A$1:$C13532,2,0)</f>
        <v>Lepidium virginicum</v>
      </c>
      <c r="H13133" s="6" t="str">
        <f>VLOOKUP(E13133,dicionario!$A$1:$C13532,3,0)</f>
        <v>mastruz</v>
      </c>
    </row>
    <row r="13134">
      <c r="A13134" s="3">
        <v>45891.0</v>
      </c>
      <c r="B13134" s="4">
        <v>0.3347222222222222</v>
      </c>
      <c r="C13134" s="5" t="s">
        <v>40</v>
      </c>
      <c r="D13134" s="5" t="s">
        <v>1760</v>
      </c>
      <c r="E13134" s="8" t="s">
        <v>150</v>
      </c>
      <c r="F13134" s="5" t="s">
        <v>151</v>
      </c>
      <c r="G13134" s="6" t="str">
        <f>VLOOKUP(E13134,dicionario!$A$1:$C13533,2,0)</f>
        <v>Amaranthus viridis</v>
      </c>
      <c r="H13134" s="6" t="str">
        <f>VLOOKUP(E13134,dicionario!$A$1:$C13533,3,0)</f>
        <v>caruru-de-mancha</v>
      </c>
    </row>
    <row r="13135">
      <c r="A13135" s="3">
        <v>45891.0</v>
      </c>
      <c r="B13135" s="4">
        <v>0.3347222222222222</v>
      </c>
      <c r="C13135" s="5" t="s">
        <v>40</v>
      </c>
      <c r="D13135" s="5" t="s">
        <v>1760</v>
      </c>
      <c r="E13135" s="6" t="s">
        <v>175</v>
      </c>
      <c r="F13135" s="5" t="s">
        <v>176</v>
      </c>
      <c r="G13135" s="6" t="str">
        <f>VLOOKUP(E13135,dicionario!$A$1:$C13534,2,0)</f>
        <v>Turdus leucomelas</v>
      </c>
      <c r="H13135" s="6" t="str">
        <f>VLOOKUP(E13135,dicionario!$A$1:$C13534,3,0)</f>
        <v>sabiá-barranco</v>
      </c>
    </row>
    <row r="13136">
      <c r="A13136" s="3">
        <v>45891.0</v>
      </c>
      <c r="B13136" s="4">
        <v>0.33541666666666664</v>
      </c>
      <c r="C13136" s="5" t="s">
        <v>40</v>
      </c>
      <c r="D13136" s="5" t="s">
        <v>1760</v>
      </c>
      <c r="E13136" s="6" t="s">
        <v>639</v>
      </c>
      <c r="F13136" s="5" t="s">
        <v>640</v>
      </c>
      <c r="G13136" s="6" t="str">
        <f>VLOOKUP(E13136,dicionario!$A$1:$C13535,2,0)</f>
        <v>Egretta thula</v>
      </c>
      <c r="H13136" s="6" t="str">
        <f>VLOOKUP(E13136,dicionario!$A$1:$C13535,3,0)</f>
        <v>garça-branca-pequena</v>
      </c>
    </row>
    <row r="13137">
      <c r="A13137" s="3">
        <v>45891.0</v>
      </c>
      <c r="B13137" s="4">
        <v>0.33541666666666664</v>
      </c>
      <c r="C13137" s="5" t="s">
        <v>40</v>
      </c>
      <c r="D13137" s="5" t="s">
        <v>1760</v>
      </c>
      <c r="E13137" s="6" t="s">
        <v>606</v>
      </c>
      <c r="F13137" s="5" t="s">
        <v>607</v>
      </c>
      <c r="G13137" s="6" t="str">
        <f>VLOOKUP(E13137,dicionario!$A$1:$C13536,2,0)</f>
        <v>Elaenia spectabilis</v>
      </c>
      <c r="H13137" s="6" t="str">
        <f>VLOOKUP(E13137,dicionario!$A$1:$C13536,3,0)</f>
        <v>guaracava-grande</v>
      </c>
    </row>
    <row r="13138">
      <c r="A13138" s="3">
        <v>45891.0</v>
      </c>
      <c r="B13138" s="4">
        <v>0.33541666666666664</v>
      </c>
      <c r="C13138" s="5" t="s">
        <v>40</v>
      </c>
      <c r="D13138" s="5" t="s">
        <v>1760</v>
      </c>
      <c r="E13138" s="8" t="s">
        <v>135</v>
      </c>
      <c r="F13138" s="5" t="s">
        <v>136</v>
      </c>
      <c r="G13138" s="6" t="str">
        <f>VLOOKUP(E13138,dicionario!$A$1:$C13537,2,0)</f>
        <v>Tridax procumbens</v>
      </c>
      <c r="H13138" s="6" t="str">
        <f>VLOOKUP(E13138,dicionario!$A$1:$C13537,3,0)</f>
        <v>erva-de-touro</v>
      </c>
    </row>
    <row r="13139">
      <c r="A13139" s="3">
        <v>45891.0</v>
      </c>
      <c r="B13139" s="4">
        <v>0.33541666666666664</v>
      </c>
      <c r="C13139" s="5" t="s">
        <v>40</v>
      </c>
      <c r="D13139" s="5" t="s">
        <v>1760</v>
      </c>
      <c r="E13139" s="6" t="s">
        <v>141</v>
      </c>
      <c r="F13139" s="5" t="s">
        <v>142</v>
      </c>
      <c r="G13139" s="6" t="str">
        <f>VLOOKUP(E13139,dicionario!$A$1:$C13538,2,0)</f>
        <v>Ruellia blechum</v>
      </c>
      <c r="H13139" s="6" t="str">
        <f>VLOOKUP(E13139,dicionario!$A$1:$C13538,3,0)</f>
        <v>camarão-verde</v>
      </c>
    </row>
    <row r="13140">
      <c r="A13140" s="3">
        <v>45891.0</v>
      </c>
      <c r="B13140" s="4">
        <v>0.33541666666666664</v>
      </c>
      <c r="C13140" s="5" t="s">
        <v>40</v>
      </c>
      <c r="D13140" s="5" t="s">
        <v>1760</v>
      </c>
      <c r="E13140" s="8" t="s">
        <v>1344</v>
      </c>
      <c r="F13140" s="5" t="s">
        <v>47</v>
      </c>
      <c r="G13140" s="6" t="str">
        <f>VLOOKUP(E13140,dicionario!$A$1:$C13539,2,0)</f>
        <v>#N/A</v>
      </c>
      <c r="H13140" s="6" t="str">
        <f>VLOOKUP(E13140,dicionario!$A$1:$C13539,3,0)</f>
        <v>#N/A</v>
      </c>
    </row>
    <row r="13141">
      <c r="A13141" s="3">
        <v>45891.0</v>
      </c>
      <c r="B13141" s="4">
        <v>0.3368055555555556</v>
      </c>
      <c r="C13141" s="5" t="s">
        <v>40</v>
      </c>
      <c r="D13141" s="5" t="s">
        <v>1760</v>
      </c>
      <c r="E13141" s="6" t="s">
        <v>65</v>
      </c>
      <c r="F13141" s="5" t="s">
        <v>66</v>
      </c>
      <c r="G13141" s="6" t="str">
        <f>VLOOKUP(E13141,dicionario!$A$1:$C13540,2,0)</f>
        <v>Pitangus sulphutarus</v>
      </c>
      <c r="H13141" s="6" t="str">
        <f>VLOOKUP(E13141,dicionario!$A$1:$C13540,3,0)</f>
        <v>bem-te-vi</v>
      </c>
    </row>
    <row r="13142">
      <c r="A13142" s="3">
        <v>45891.0</v>
      </c>
      <c r="B13142" s="4">
        <v>0.3368055555555556</v>
      </c>
      <c r="C13142" s="5" t="s">
        <v>40</v>
      </c>
      <c r="D13142" s="5" t="s">
        <v>1760</v>
      </c>
      <c r="E13142" s="6" t="s">
        <v>144</v>
      </c>
      <c r="F13142" s="5" t="s">
        <v>145</v>
      </c>
      <c r="G13142" s="6" t="str">
        <f>VLOOKUP(E13142,dicionario!$A$1:$C13541,2,0)</f>
        <v>Gomphrena globosa</v>
      </c>
      <c r="H13142" s="6" t="str">
        <f>VLOOKUP(E13142,dicionario!$A$1:$C13541,3,0)</f>
        <v>perpétua-rosa</v>
      </c>
    </row>
    <row r="13143">
      <c r="A13143" s="3">
        <v>45891.0</v>
      </c>
      <c r="B13143" s="4">
        <v>0.3368055555555556</v>
      </c>
      <c r="C13143" s="5" t="s">
        <v>40</v>
      </c>
      <c r="D13143" s="5" t="s">
        <v>1760</v>
      </c>
      <c r="E13143" s="8" t="s">
        <v>239</v>
      </c>
      <c r="F13143" s="5" t="s">
        <v>240</v>
      </c>
      <c r="G13143" s="6" t="str">
        <f>VLOOKUP(E13143,dicionario!$A$1:$C13542,2,0)</f>
        <v>Gomphrena celosioides</v>
      </c>
      <c r="H13143" s="6" t="str">
        <f>VLOOKUP(E13143,dicionario!$A$1:$C13542,3,0)</f>
        <v>perpétua-branca</v>
      </c>
    </row>
    <row r="13144">
      <c r="A13144" s="3">
        <v>45891.0</v>
      </c>
      <c r="B13144" s="4">
        <v>0.3368055555555556</v>
      </c>
      <c r="C13144" s="5" t="s">
        <v>40</v>
      </c>
      <c r="D13144" s="5" t="s">
        <v>1760</v>
      </c>
      <c r="E13144" s="8" t="s">
        <v>38</v>
      </c>
      <c r="F13144" s="5" t="s">
        <v>1672</v>
      </c>
      <c r="G13144" s="6" t="str">
        <f>VLOOKUP(E13144,dicionario!$A$1:$C13543,2,0)</f>
        <v>Troglodytes musculus</v>
      </c>
      <c r="H13144" s="6" t="str">
        <f>VLOOKUP(E13144,dicionario!$A$1:$C13543,3,0)</f>
        <v>curruíra</v>
      </c>
    </row>
    <row r="13145">
      <c r="A13145" s="3">
        <v>45891.0</v>
      </c>
      <c r="B13145" s="4">
        <v>0.3375</v>
      </c>
      <c r="C13145" s="5" t="s">
        <v>40</v>
      </c>
      <c r="D13145" s="5" t="s">
        <v>1760</v>
      </c>
      <c r="E13145" s="6" t="s">
        <v>213</v>
      </c>
      <c r="F13145" s="5" t="s">
        <v>214</v>
      </c>
      <c r="G13145" s="6" t="str">
        <f>VLOOKUP(E13145,dicionario!$A$1:$C13544,2,0)</f>
        <v>Myiozetetes similis</v>
      </c>
      <c r="H13145" s="6" t="str">
        <f>VLOOKUP(E13145,dicionario!$A$1:$C13544,3,0)</f>
        <v>bentevizinho-de-penacho-vermelho</v>
      </c>
    </row>
    <row r="13146">
      <c r="A13146" s="3">
        <v>45891.0</v>
      </c>
      <c r="B13146" s="4">
        <v>0.3375</v>
      </c>
      <c r="C13146" s="5" t="s">
        <v>40</v>
      </c>
      <c r="D13146" s="5" t="s">
        <v>1760</v>
      </c>
      <c r="E13146" s="6" t="s">
        <v>177</v>
      </c>
      <c r="F13146" s="5" t="s">
        <v>178</v>
      </c>
      <c r="G13146" s="6" t="str">
        <f>VLOOKUP(E13146,dicionario!$A$1:$C13545,2,0)</f>
        <v>Elaenia flavogaster</v>
      </c>
      <c r="H13146" s="6" t="str">
        <f>VLOOKUP(E13146,dicionario!$A$1:$C13545,3,0)</f>
        <v>guaracava-de-barriga-amarela</v>
      </c>
    </row>
    <row r="13147">
      <c r="A13147" s="3">
        <v>45891.0</v>
      </c>
      <c r="B13147" s="4">
        <v>0.33819444444444446</v>
      </c>
      <c r="C13147" s="5" t="s">
        <v>40</v>
      </c>
      <c r="D13147" s="5" t="s">
        <v>1760</v>
      </c>
      <c r="E13147" s="6" t="s">
        <v>111</v>
      </c>
      <c r="F13147" s="5" t="s">
        <v>112</v>
      </c>
      <c r="G13147" s="6" t="str">
        <f>VLOOKUP(E13147,dicionario!$A$1:$C13546,2,0)</f>
        <v>Trigona spinipes</v>
      </c>
      <c r="H13147" s="6" t="str">
        <f>VLOOKUP(E13147,dicionario!$A$1:$C13546,3,0)</f>
        <v>abelha-cachorro</v>
      </c>
    </row>
    <row r="13148">
      <c r="A13148" s="3">
        <v>45891.0</v>
      </c>
      <c r="B13148" s="4">
        <v>0.3388888888888889</v>
      </c>
      <c r="C13148" s="5" t="s">
        <v>904</v>
      </c>
      <c r="D13148" s="5" t="s">
        <v>1760</v>
      </c>
      <c r="E13148" s="8" t="s">
        <v>1404</v>
      </c>
      <c r="F13148" s="5" t="s">
        <v>685</v>
      </c>
      <c r="G13148" s="6" t="str">
        <f>VLOOKUP(E13148,dicionario!$A$1:$C13547,2,0)</f>
        <v>#N/A</v>
      </c>
      <c r="H13148" s="6" t="str">
        <f>VLOOKUP(E13148,dicionario!$A$1:$C13547,3,0)</f>
        <v>#N/A</v>
      </c>
    </row>
    <row r="13149">
      <c r="A13149" s="3">
        <v>45891.0</v>
      </c>
      <c r="B13149" s="4">
        <v>0.3388888888888889</v>
      </c>
      <c r="C13149" s="5" t="s">
        <v>904</v>
      </c>
      <c r="D13149" s="5" t="s">
        <v>1760</v>
      </c>
      <c r="E13149" s="8" t="s">
        <v>498</v>
      </c>
      <c r="F13149" s="5" t="s">
        <v>499</v>
      </c>
      <c r="G13149" s="6" t="str">
        <f>VLOOKUP(E13149,dicionario!$A$1:$C13548,2,0)</f>
        <v>Brachiaria decumbens</v>
      </c>
      <c r="H13149" s="6" t="str">
        <f>VLOOKUP(E13149,dicionario!$A$1:$C13548,3,0)</f>
        <v>capim-braquiária</v>
      </c>
    </row>
    <row r="13150">
      <c r="A13150" s="3">
        <v>45891.0</v>
      </c>
      <c r="B13150" s="4">
        <v>0.3388888888888889</v>
      </c>
      <c r="C13150" s="5" t="s">
        <v>904</v>
      </c>
      <c r="D13150" s="5" t="s">
        <v>1760</v>
      </c>
      <c r="E13150" s="8" t="s">
        <v>150</v>
      </c>
      <c r="F13150" s="5" t="s">
        <v>151</v>
      </c>
      <c r="G13150" s="6" t="str">
        <f>VLOOKUP(E13150,dicionario!$A$1:$C13549,2,0)</f>
        <v>Amaranthus viridis</v>
      </c>
      <c r="H13150" s="6" t="str">
        <f>VLOOKUP(E13150,dicionario!$A$1:$C13549,3,0)</f>
        <v>caruru-de-mancha</v>
      </c>
    </row>
    <row r="13151">
      <c r="A13151" s="3">
        <v>45891.0</v>
      </c>
      <c r="B13151" s="4">
        <v>0.3388888888888889</v>
      </c>
      <c r="C13151" s="5" t="s">
        <v>904</v>
      </c>
      <c r="D13151" s="5" t="s">
        <v>1760</v>
      </c>
      <c r="E13151" s="8" t="s">
        <v>271</v>
      </c>
      <c r="F13151" s="5" t="s">
        <v>272</v>
      </c>
      <c r="G13151" s="6" t="str">
        <f>VLOOKUP(E13151,dicionario!$A$1:$C13550,2,0)</f>
        <v>Cyanthillium cinereum</v>
      </c>
      <c r="H13151" s="6" t="str">
        <f>VLOOKUP(E13151,dicionario!$A$1:$C13550,3,0)</f>
        <v>emília</v>
      </c>
    </row>
    <row r="13152">
      <c r="A13152" s="3">
        <v>45891.0</v>
      </c>
      <c r="B13152" s="4">
        <v>0.3388888888888889</v>
      </c>
      <c r="C13152" s="5" t="s">
        <v>904</v>
      </c>
      <c r="D13152" s="5" t="s">
        <v>1760</v>
      </c>
      <c r="E13152" s="8" t="s">
        <v>135</v>
      </c>
      <c r="F13152" s="5" t="s">
        <v>136</v>
      </c>
      <c r="G13152" s="6" t="str">
        <f>VLOOKUP(E13152,dicionario!$A$1:$C13551,2,0)</f>
        <v>Tridax procumbens</v>
      </c>
      <c r="H13152" s="6" t="str">
        <f>VLOOKUP(E13152,dicionario!$A$1:$C13551,3,0)</f>
        <v>erva-de-touro</v>
      </c>
    </row>
    <row r="13153">
      <c r="A13153" s="3">
        <v>45891.0</v>
      </c>
      <c r="B13153" s="4">
        <v>0.3388888888888889</v>
      </c>
      <c r="C13153" s="5" t="s">
        <v>904</v>
      </c>
      <c r="D13153" s="5" t="s">
        <v>1760</v>
      </c>
      <c r="E13153" s="72" t="s">
        <v>298</v>
      </c>
      <c r="F13153" s="5"/>
      <c r="G13153" s="6" t="str">
        <f>VLOOKUP(E13153,dicionario!$A$1:$C13552,2,0)</f>
        <v>Alysicarpus vaginalis</v>
      </c>
      <c r="H13153" s="6" t="str">
        <f>VLOOKUP(E13153,dicionario!$A$1:$C13552,3,0)</f>
        <v/>
      </c>
    </row>
    <row r="13154">
      <c r="A13154" s="3">
        <v>45891.0</v>
      </c>
      <c r="B13154" s="4">
        <v>0.3388888888888889</v>
      </c>
      <c r="C13154" s="5" t="s">
        <v>904</v>
      </c>
      <c r="D13154" s="5" t="s">
        <v>1760</v>
      </c>
      <c r="E13154" s="8" t="s">
        <v>14</v>
      </c>
      <c r="F13154" s="5" t="s">
        <v>15</v>
      </c>
      <c r="G13154" s="6" t="str">
        <f>VLOOKUP(E13154,dicionario!$A$1:$C13553,2,0)</f>
        <v>Spermacoce verticillata</v>
      </c>
      <c r="H13154" s="6" t="str">
        <f>VLOOKUP(E13154,dicionario!$A$1:$C13553,3,0)</f>
        <v>vassourinha-de-botão</v>
      </c>
    </row>
    <row r="13155">
      <c r="A13155" s="3">
        <v>45891.0</v>
      </c>
      <c r="B13155" s="4">
        <v>0.3388888888888889</v>
      </c>
      <c r="C13155" s="5" t="s">
        <v>904</v>
      </c>
      <c r="D13155" s="5" t="s">
        <v>1760</v>
      </c>
      <c r="E13155" s="6" t="s">
        <v>489</v>
      </c>
      <c r="F13155" s="5" t="s">
        <v>521</v>
      </c>
      <c r="G13155" s="6" t="str">
        <f>VLOOKUP(E13155,dicionario!$A$1:$C13554,2,0)</f>
        <v>Cenchrus echinatus</v>
      </c>
      <c r="H13155" s="6" t="str">
        <f>VLOOKUP(E13155,dicionario!$A$1:$C13554,3,0)</f>
        <v>capim-carrapicho</v>
      </c>
    </row>
    <row r="13156">
      <c r="A13156" s="3">
        <v>45891.0</v>
      </c>
      <c r="B13156" s="4">
        <v>0.3388888888888889</v>
      </c>
      <c r="C13156" s="5" t="s">
        <v>904</v>
      </c>
      <c r="D13156" s="5" t="s">
        <v>1760</v>
      </c>
      <c r="E13156" s="6" t="s">
        <v>65</v>
      </c>
      <c r="F13156" s="5" t="s">
        <v>66</v>
      </c>
      <c r="G13156" s="6" t="str">
        <f>VLOOKUP(E13156,dicionario!$A$1:$C13555,2,0)</f>
        <v>Pitangus sulphutarus</v>
      </c>
      <c r="H13156" s="6" t="str">
        <f>VLOOKUP(E13156,dicionario!$A$1:$C13555,3,0)</f>
        <v>bem-te-vi</v>
      </c>
    </row>
    <row r="13157">
      <c r="A13157" s="3">
        <v>45891.0</v>
      </c>
      <c r="B13157" s="4">
        <v>0.3388888888888889</v>
      </c>
      <c r="C13157" s="5" t="s">
        <v>904</v>
      </c>
      <c r="D13157" s="5" t="s">
        <v>1760</v>
      </c>
      <c r="E13157" s="6" t="s">
        <v>191</v>
      </c>
      <c r="F13157" s="5" t="s">
        <v>192</v>
      </c>
      <c r="G13157" s="6" t="str">
        <f>VLOOKUP(E13157,dicionario!$A$1:$C13556,2,0)</f>
        <v>Patagioenas picazuro</v>
      </c>
      <c r="H13157" s="6" t="str">
        <f>VLOOKUP(E13157,dicionario!$A$1:$C13556,3,0)</f>
        <v>asa-branca; pomba-asa-branca; pocaçu</v>
      </c>
    </row>
    <row r="13158">
      <c r="A13158" s="3">
        <v>45891.0</v>
      </c>
      <c r="B13158" s="4">
        <v>0.3388888888888889</v>
      </c>
      <c r="C13158" s="5" t="s">
        <v>904</v>
      </c>
      <c r="D13158" s="5" t="s">
        <v>1760</v>
      </c>
      <c r="E13158" s="8" t="s">
        <v>849</v>
      </c>
      <c r="F13158" s="5" t="s">
        <v>1457</v>
      </c>
      <c r="G13158" s="6" t="str">
        <f>VLOOKUP(E13158,dicionario!$A$1:$C13557,2,0)</f>
        <v>#N/A</v>
      </c>
      <c r="H13158" s="6" t="str">
        <f>VLOOKUP(E13158,dicionario!$A$1:$C13557,3,0)</f>
        <v>#N/A</v>
      </c>
    </row>
    <row r="13159">
      <c r="A13159" s="3">
        <v>45891.0</v>
      </c>
      <c r="B13159" s="4">
        <v>0.33958333333333335</v>
      </c>
      <c r="C13159" s="5" t="s">
        <v>904</v>
      </c>
      <c r="D13159" s="5" t="s">
        <v>1760</v>
      </c>
      <c r="E13159" s="72" t="s">
        <v>223</v>
      </c>
      <c r="F13159" s="5"/>
      <c r="G13159" s="6" t="str">
        <f>VLOOKUP(E13159,dicionario!$A$1:$C13558,2,0)</f>
        <v>Rhipsalis lindbergiana</v>
      </c>
      <c r="H13159" s="6" t="str">
        <f>VLOOKUP(E13159,dicionario!$A$1:$C13558,3,0)</f>
        <v>cacto-macarrão</v>
      </c>
    </row>
    <row r="13160">
      <c r="A13160" s="3">
        <v>45891.0</v>
      </c>
      <c r="B13160" s="4">
        <v>0.33958333333333335</v>
      </c>
      <c r="C13160" s="5" t="s">
        <v>904</v>
      </c>
      <c r="D13160" s="5" t="s">
        <v>1760</v>
      </c>
      <c r="E13160" s="8" t="s">
        <v>38</v>
      </c>
      <c r="F13160" s="5" t="s">
        <v>1672</v>
      </c>
      <c r="G13160" s="6" t="str">
        <f>VLOOKUP(E13160,dicionario!$A$1:$C13559,2,0)</f>
        <v>Troglodytes musculus</v>
      </c>
      <c r="H13160" s="6" t="str">
        <f>VLOOKUP(E13160,dicionario!$A$1:$C13559,3,0)</f>
        <v>curruíra</v>
      </c>
    </row>
    <row r="13161">
      <c r="A13161" s="3">
        <v>45891.0</v>
      </c>
      <c r="B13161" s="4">
        <v>0.33958333333333335</v>
      </c>
      <c r="C13161" s="5" t="s">
        <v>904</v>
      </c>
      <c r="D13161" s="5" t="s">
        <v>1760</v>
      </c>
      <c r="E13161" s="8" t="s">
        <v>712</v>
      </c>
      <c r="F13161" s="5" t="s">
        <v>912</v>
      </c>
      <c r="G13161" s="6" t="str">
        <f>VLOOKUP(E13161,dicionario!$A$1:$C13560,2,0)</f>
        <v>Flavopunctelia soredica</v>
      </c>
      <c r="H13161" s="6" t="str">
        <f>VLOOKUP(E13161,dicionario!$A$1:$C13560,3,0)</f>
        <v>líquen-folioso</v>
      </c>
    </row>
    <row r="13162">
      <c r="A13162" s="3">
        <v>45891.0</v>
      </c>
      <c r="B13162" s="4">
        <v>0.33958333333333335</v>
      </c>
      <c r="C13162" s="5" t="s">
        <v>904</v>
      </c>
      <c r="D13162" s="5" t="s">
        <v>1760</v>
      </c>
      <c r="E13162" s="8" t="s">
        <v>719</v>
      </c>
      <c r="F13162" s="5" t="s">
        <v>911</v>
      </c>
      <c r="G13162" s="6" t="str">
        <f>VLOOKUP(E13162,dicionario!$A$1:$C13561,2,0)</f>
        <v>Dirinaria</v>
      </c>
      <c r="H13162" s="6" t="str">
        <f>VLOOKUP(E13162,dicionario!$A$1:$C13561,3,0)</f>
        <v>líquen-crostoso</v>
      </c>
    </row>
    <row r="13163">
      <c r="A13163" s="3">
        <v>45891.0</v>
      </c>
      <c r="B13163" s="4">
        <v>0.34097222222222223</v>
      </c>
      <c r="C13163" s="5" t="s">
        <v>904</v>
      </c>
      <c r="D13163" s="5" t="s">
        <v>1760</v>
      </c>
      <c r="E13163" s="6" t="s">
        <v>65</v>
      </c>
      <c r="F13163" s="5" t="s">
        <v>66</v>
      </c>
      <c r="G13163" s="6" t="str">
        <f>VLOOKUP(E13163,dicionario!$A$1:$C13562,2,0)</f>
        <v>Pitangus sulphutarus</v>
      </c>
      <c r="H13163" s="6" t="str">
        <f>VLOOKUP(E13163,dicionario!$A$1:$C13562,3,0)</f>
        <v>bem-te-vi</v>
      </c>
    </row>
    <row r="13164">
      <c r="A13164" s="3">
        <v>45891.0</v>
      </c>
      <c r="B13164" s="4">
        <v>0.34097222222222223</v>
      </c>
      <c r="C13164" s="5" t="s">
        <v>33</v>
      </c>
      <c r="D13164" s="5" t="s">
        <v>1760</v>
      </c>
      <c r="E13164" s="6" t="s">
        <v>122</v>
      </c>
      <c r="F13164" s="5" t="s">
        <v>123</v>
      </c>
      <c r="G13164" s="6" t="str">
        <f>VLOOKUP(E13164,dicionario!$A$1:$C13563,2,0)</f>
        <v>Todirostrum cinereum</v>
      </c>
      <c r="H13164" s="6" t="str">
        <f>VLOOKUP(E13164,dicionario!$A$1:$C13563,3,0)</f>
        <v>ferreirinho-relógio</v>
      </c>
    </row>
    <row r="13165">
      <c r="A13165" s="3">
        <v>45891.0</v>
      </c>
      <c r="B13165" s="4">
        <v>0.34097222222222223</v>
      </c>
      <c r="C13165" s="5" t="s">
        <v>26</v>
      </c>
      <c r="D13165" s="5" t="s">
        <v>1760</v>
      </c>
      <c r="E13165" s="6" t="s">
        <v>60</v>
      </c>
      <c r="F13165" s="5" t="s">
        <v>61</v>
      </c>
      <c r="G13165" s="6" t="str">
        <f>VLOOKUP(E13165,dicionario!$A$1:$C13564,2,0)</f>
        <v>Vanellus chilensis</v>
      </c>
      <c r="H13165" s="6" t="str">
        <f>VLOOKUP(E13165,dicionario!$A$1:$C13564,3,0)</f>
        <v>quero-quero</v>
      </c>
    </row>
    <row r="13166">
      <c r="A13166" s="3">
        <v>45891.0</v>
      </c>
      <c r="B13166" s="4">
        <v>0.34097222222222223</v>
      </c>
      <c r="C13166" s="5" t="s">
        <v>26</v>
      </c>
      <c r="D13166" s="5" t="s">
        <v>1760</v>
      </c>
      <c r="E13166" s="6" t="s">
        <v>217</v>
      </c>
      <c r="F13166" s="5" t="s">
        <v>218</v>
      </c>
      <c r="G13166" s="6" t="str">
        <f>VLOOKUP(E13166,dicionario!$A$1:$C13565,2,0)</f>
        <v>Athene cunicularia</v>
      </c>
      <c r="H13166" s="6" t="str">
        <f>VLOOKUP(E13166,dicionario!$A$1:$C13565,3,0)</f>
        <v>coruja-buraqueira</v>
      </c>
    </row>
    <row r="13167">
      <c r="A13167" s="3">
        <v>45891.0</v>
      </c>
      <c r="B13167" s="4">
        <v>0.34097222222222223</v>
      </c>
      <c r="C13167" s="5" t="s">
        <v>26</v>
      </c>
      <c r="D13167" s="5" t="s">
        <v>1760</v>
      </c>
      <c r="E13167" s="8" t="s">
        <v>712</v>
      </c>
      <c r="F13167" s="5" t="s">
        <v>912</v>
      </c>
      <c r="G13167" s="6" t="str">
        <f>VLOOKUP(E13167,dicionario!$A$1:$C13566,2,0)</f>
        <v>Flavopunctelia soredica</v>
      </c>
      <c r="H13167" s="6" t="str">
        <f>VLOOKUP(E13167,dicionario!$A$1:$C13566,3,0)</f>
        <v>líquen-folioso</v>
      </c>
    </row>
    <row r="13168">
      <c r="A13168" s="3">
        <v>45891.0</v>
      </c>
      <c r="B13168" s="4">
        <v>0.34097222222222223</v>
      </c>
      <c r="C13168" s="5" t="s">
        <v>26</v>
      </c>
      <c r="D13168" s="5" t="s">
        <v>1760</v>
      </c>
      <c r="E13168" s="8" t="s">
        <v>719</v>
      </c>
      <c r="F13168" s="5" t="s">
        <v>911</v>
      </c>
      <c r="G13168" s="6" t="str">
        <f>VLOOKUP(E13168,dicionario!$A$1:$C13567,2,0)</f>
        <v>Dirinaria</v>
      </c>
      <c r="H13168" s="6" t="str">
        <f>VLOOKUP(E13168,dicionario!$A$1:$C13567,3,0)</f>
        <v>líquen-crostoso</v>
      </c>
    </row>
    <row r="13169">
      <c r="A13169" s="3">
        <v>45891.0</v>
      </c>
      <c r="B13169" s="4">
        <v>0.34097222222222223</v>
      </c>
      <c r="C13169" s="5" t="s">
        <v>26</v>
      </c>
      <c r="D13169" s="5" t="s">
        <v>1760</v>
      </c>
      <c r="E13169" s="8" t="s">
        <v>109</v>
      </c>
      <c r="F13169" s="5" t="s">
        <v>110</v>
      </c>
      <c r="G13169" s="6" t="str">
        <f>VLOOKUP(E13169,dicionario!$A$1:$C13568,2,0)</f>
        <v>Tillandsia stricta</v>
      </c>
      <c r="H13169" s="6" t="str">
        <f>VLOOKUP(E13169,dicionario!$A$1:$C13568,3,0)</f>
        <v>cravo-do-mato</v>
      </c>
    </row>
    <row r="13170">
      <c r="A13170" s="3">
        <v>45891.0</v>
      </c>
      <c r="B13170" s="4">
        <v>0.34097222222222223</v>
      </c>
      <c r="C13170" s="5" t="s">
        <v>26</v>
      </c>
      <c r="D13170" s="5" t="s">
        <v>1760</v>
      </c>
      <c r="E13170" s="8" t="s">
        <v>41</v>
      </c>
      <c r="F13170" s="5" t="s">
        <v>45</v>
      </c>
      <c r="G13170" s="6" t="str">
        <f>VLOOKUP(E13170,dicionario!$A$1:$C13569,2,0)</f>
        <v>Mimosa pudica</v>
      </c>
      <c r="H13170" s="6" t="str">
        <f>VLOOKUP(E13170,dicionario!$A$1:$C13569,3,0)</f>
        <v>dormideira</v>
      </c>
    </row>
    <row r="13171">
      <c r="A13171" s="3">
        <v>45891.0</v>
      </c>
      <c r="B13171" s="4">
        <v>0.34097222222222223</v>
      </c>
      <c r="C13171" s="5" t="s">
        <v>26</v>
      </c>
      <c r="D13171" s="5" t="s">
        <v>1760</v>
      </c>
      <c r="E13171" s="6" t="s">
        <v>360</v>
      </c>
      <c r="F13171" s="5" t="s">
        <v>361</v>
      </c>
      <c r="G13171" s="6" t="str">
        <f>VLOOKUP(E13171,dicionario!$A$1:$C13570,2,0)</f>
        <v>Chamaecrista rotundifolia</v>
      </c>
      <c r="H13171" s="6" t="str">
        <f>VLOOKUP(E13171,dicionario!$A$1:$C13570,3,0)</f>
        <v>alfafa-nativa</v>
      </c>
    </row>
    <row r="13172">
      <c r="A13172" s="3">
        <v>45891.0</v>
      </c>
      <c r="B13172" s="4">
        <v>0.3423611111111111</v>
      </c>
      <c r="C13172" s="5" t="s">
        <v>26</v>
      </c>
      <c r="D13172" s="5" t="s">
        <v>1760</v>
      </c>
      <c r="E13172" s="8" t="s">
        <v>14</v>
      </c>
      <c r="F13172" s="5" t="s">
        <v>15</v>
      </c>
      <c r="G13172" s="6" t="str">
        <f>VLOOKUP(E13172,dicionario!$A$1:$C13571,2,0)</f>
        <v>Spermacoce verticillata</v>
      </c>
      <c r="H13172" s="6" t="str">
        <f>VLOOKUP(E13172,dicionario!$A$1:$C13571,3,0)</f>
        <v>vassourinha-de-botão</v>
      </c>
    </row>
    <row r="13173">
      <c r="A13173" s="3">
        <v>45891.0</v>
      </c>
      <c r="B13173" s="4">
        <v>0.3423611111111111</v>
      </c>
      <c r="C13173" s="5" t="s">
        <v>26</v>
      </c>
      <c r="D13173" s="5" t="s">
        <v>1760</v>
      </c>
      <c r="E13173" s="8" t="s">
        <v>20</v>
      </c>
      <c r="F13173" s="5" t="s">
        <v>21</v>
      </c>
      <c r="G13173" s="6" t="str">
        <f>VLOOKUP(E13173,dicionario!$A$1:$C13572,2,0)</f>
        <v>Sicalis flaveola</v>
      </c>
      <c r="H13173" s="6" t="str">
        <f>VLOOKUP(E13173,dicionario!$A$1:$C13572,3,0)</f>
        <v>canário-da-terra</v>
      </c>
    </row>
    <row r="13174">
      <c r="A13174" s="3">
        <v>45891.0</v>
      </c>
      <c r="B13174" s="4">
        <v>0.34305555555555556</v>
      </c>
      <c r="C13174" s="5" t="s">
        <v>26</v>
      </c>
      <c r="D13174" s="5" t="s">
        <v>1760</v>
      </c>
      <c r="E13174" s="8" t="s">
        <v>225</v>
      </c>
      <c r="F13174" s="5" t="s">
        <v>226</v>
      </c>
      <c r="G13174" s="6" t="str">
        <f>VLOOKUP(E13174,dicionario!$A$1:$C13573,2,0)</f>
        <v>Passer domesticus</v>
      </c>
      <c r="H13174" s="6" t="str">
        <f>VLOOKUP(E13174,dicionario!$A$1:$C13573,3,0)</f>
        <v>pardal</v>
      </c>
    </row>
    <row r="13175">
      <c r="A13175" s="3">
        <v>45891.0</v>
      </c>
      <c r="B13175" s="4">
        <v>0.34305555555555556</v>
      </c>
      <c r="C13175" s="5" t="s">
        <v>26</v>
      </c>
      <c r="D13175" s="5" t="s">
        <v>1760</v>
      </c>
      <c r="E13175" s="6" t="s">
        <v>606</v>
      </c>
      <c r="F13175" s="5" t="s">
        <v>607</v>
      </c>
      <c r="G13175" s="6" t="str">
        <f>VLOOKUP(E13175,dicionario!$A$1:$C13574,2,0)</f>
        <v>Elaenia spectabilis</v>
      </c>
      <c r="H13175" s="6" t="str">
        <f>VLOOKUP(E13175,dicionario!$A$1:$C13574,3,0)</f>
        <v>guaracava-grande</v>
      </c>
    </row>
    <row r="13176">
      <c r="A13176" s="3">
        <v>45891.0</v>
      </c>
      <c r="B13176" s="4">
        <v>0.34305555555555556</v>
      </c>
      <c r="C13176" s="5" t="s">
        <v>26</v>
      </c>
      <c r="D13176" s="5" t="s">
        <v>1760</v>
      </c>
      <c r="E13176" s="6" t="s">
        <v>302</v>
      </c>
      <c r="F13176" s="5" t="s">
        <v>303</v>
      </c>
      <c r="G13176" s="6" t="str">
        <f>VLOOKUP(E13176,dicionario!$A$1:$C13575,2,0)</f>
        <v>Machetornis rixosa</v>
      </c>
      <c r="H13176" s="6" t="str">
        <f>VLOOKUP(E13176,dicionario!$A$1:$C13575,3,0)</f>
        <v>suiriri-cavaleiro</v>
      </c>
    </row>
    <row r="13177">
      <c r="A13177" s="3">
        <v>45891.0</v>
      </c>
      <c r="B13177" s="4">
        <v>0.34305555555555556</v>
      </c>
      <c r="C13177" s="5" t="s">
        <v>26</v>
      </c>
      <c r="D13177" s="5" t="s">
        <v>1760</v>
      </c>
      <c r="E13177" s="6" t="s">
        <v>154</v>
      </c>
      <c r="F13177" s="5" t="s">
        <v>155</v>
      </c>
      <c r="G13177" s="6" t="str">
        <f>VLOOKUP(E13177,dicionario!$A$1:$C13576,2,0)</f>
        <v>Cyperus rotundus</v>
      </c>
      <c r="H13177" s="6" t="str">
        <f>VLOOKUP(E13177,dicionario!$A$1:$C13576,3,0)</f>
        <v>tiririca</v>
      </c>
    </row>
    <row r="13178">
      <c r="A13178" s="3">
        <v>45891.0</v>
      </c>
      <c r="B13178" s="4">
        <v>0.34305555555555556</v>
      </c>
      <c r="C13178" s="5" t="s">
        <v>26</v>
      </c>
      <c r="D13178" s="5" t="s">
        <v>1760</v>
      </c>
      <c r="E13178" s="8" t="s">
        <v>498</v>
      </c>
      <c r="F13178" s="5" t="s">
        <v>499</v>
      </c>
      <c r="G13178" s="6" t="str">
        <f>VLOOKUP(E13178,dicionario!$A$1:$C13577,2,0)</f>
        <v>Brachiaria decumbens</v>
      </c>
      <c r="H13178" s="6" t="str">
        <f>VLOOKUP(E13178,dicionario!$A$1:$C13577,3,0)</f>
        <v>capim-braquiária</v>
      </c>
    </row>
    <row r="13179">
      <c r="A13179" s="3">
        <v>45891.0</v>
      </c>
      <c r="B13179" s="4">
        <v>0.3451388888888889</v>
      </c>
      <c r="C13179" s="5" t="s">
        <v>905</v>
      </c>
      <c r="D13179" s="5" t="s">
        <v>1760</v>
      </c>
      <c r="E13179" s="8" t="s">
        <v>51</v>
      </c>
      <c r="F13179" s="5" t="s">
        <v>77</v>
      </c>
      <c r="G13179" s="6" t="str">
        <f>VLOOKUP(E13179,dicionario!$A$1:$C13578,2,0)</f>
        <v>Solenopsis</v>
      </c>
      <c r="H13179" s="6" t="str">
        <f>VLOOKUP(E13179,dicionario!$A$1:$C13578,3,0)</f>
        <v>formiga-quente; formiga-lava-pés; formiga-de-fogo</v>
      </c>
    </row>
    <row r="13180">
      <c r="A13180" s="3">
        <v>45891.0</v>
      </c>
      <c r="B13180" s="4">
        <v>0.3458333333333333</v>
      </c>
      <c r="C13180" s="5" t="s">
        <v>8</v>
      </c>
      <c r="D13180" s="5" t="s">
        <v>1760</v>
      </c>
      <c r="E13180" s="8" t="s">
        <v>719</v>
      </c>
      <c r="F13180" s="5" t="s">
        <v>911</v>
      </c>
      <c r="G13180" s="6" t="str">
        <f>VLOOKUP(E13180,dicionario!$A$1:$C13579,2,0)</f>
        <v>Dirinaria</v>
      </c>
      <c r="H13180" s="6" t="str">
        <f>VLOOKUP(E13180,dicionario!$A$1:$C13579,3,0)</f>
        <v>líquen-crostoso</v>
      </c>
    </row>
    <row r="13181">
      <c r="A13181" s="3">
        <v>45891.0</v>
      </c>
      <c r="B13181" s="4">
        <v>0.3458333333333333</v>
      </c>
      <c r="C13181" s="5" t="s">
        <v>8</v>
      </c>
      <c r="D13181" s="5" t="s">
        <v>1760</v>
      </c>
      <c r="E13181" s="8" t="s">
        <v>712</v>
      </c>
      <c r="F13181" s="5" t="s">
        <v>912</v>
      </c>
      <c r="G13181" s="6" t="str">
        <f>VLOOKUP(E13181,dicionario!$A$1:$C13580,2,0)</f>
        <v>Flavopunctelia soredica</v>
      </c>
      <c r="H13181" s="6" t="str">
        <f>VLOOKUP(E13181,dicionario!$A$1:$C13580,3,0)</f>
        <v>líquen-folioso</v>
      </c>
    </row>
    <row r="13182">
      <c r="A13182" s="3">
        <v>45891.0</v>
      </c>
      <c r="B13182" s="4">
        <v>0.3458333333333333</v>
      </c>
      <c r="C13182" s="5" t="s">
        <v>8</v>
      </c>
      <c r="D13182" s="5" t="s">
        <v>1760</v>
      </c>
      <c r="E13182" s="8" t="s">
        <v>107</v>
      </c>
      <c r="F13182" s="5" t="s">
        <v>108</v>
      </c>
      <c r="G13182" s="6" t="str">
        <f>VLOOKUP(E13182,dicionario!$A$1:$C13581,2,0)</f>
        <v>Ramalina complanata</v>
      </c>
      <c r="H13182" s="6" t="str">
        <f>VLOOKUP(E13182,dicionario!$A$1:$C13581,3,0)</f>
        <v>ramalina</v>
      </c>
    </row>
    <row r="13183">
      <c r="A13183" s="3">
        <v>45891.0</v>
      </c>
      <c r="B13183" s="4">
        <v>0.3458333333333333</v>
      </c>
      <c r="C13183" s="5" t="s">
        <v>8</v>
      </c>
      <c r="D13183" s="5" t="s">
        <v>1760</v>
      </c>
      <c r="E13183" s="8" t="s">
        <v>109</v>
      </c>
      <c r="F13183" s="5" t="s">
        <v>110</v>
      </c>
      <c r="G13183" s="6" t="str">
        <f>VLOOKUP(E13183,dicionario!$A$1:$C13582,2,0)</f>
        <v>Tillandsia stricta</v>
      </c>
      <c r="H13183" s="6" t="str">
        <f>VLOOKUP(E13183,dicionario!$A$1:$C13582,3,0)</f>
        <v>cravo-do-mato</v>
      </c>
    </row>
    <row r="13184">
      <c r="A13184" s="3">
        <v>45891.0</v>
      </c>
      <c r="B13184" s="4">
        <v>0.34652777777777777</v>
      </c>
      <c r="C13184" s="5" t="s">
        <v>8</v>
      </c>
      <c r="D13184" s="5" t="s">
        <v>1760</v>
      </c>
      <c r="E13184" s="72" t="s">
        <v>298</v>
      </c>
      <c r="F13184" s="5"/>
      <c r="G13184" s="6" t="str">
        <f>VLOOKUP(E13184,dicionario!$A$1:$C13583,2,0)</f>
        <v>Alysicarpus vaginalis</v>
      </c>
      <c r="H13184" s="6" t="str">
        <f>VLOOKUP(E13184,dicionario!$A$1:$C13583,3,0)</f>
        <v/>
      </c>
    </row>
    <row r="13185">
      <c r="A13185" s="3">
        <v>45891.0</v>
      </c>
      <c r="B13185" s="4">
        <v>0.34652777777777777</v>
      </c>
      <c r="C13185" s="5" t="s">
        <v>8</v>
      </c>
      <c r="D13185" s="5" t="s">
        <v>1760</v>
      </c>
      <c r="E13185" s="8" t="s">
        <v>41</v>
      </c>
      <c r="F13185" s="5" t="s">
        <v>45</v>
      </c>
      <c r="G13185" s="6" t="str">
        <f>VLOOKUP(E13185,dicionario!$A$1:$C13584,2,0)</f>
        <v>Mimosa pudica</v>
      </c>
      <c r="H13185" s="6" t="str">
        <f>VLOOKUP(E13185,dicionario!$A$1:$C13584,3,0)</f>
        <v>dormideira</v>
      </c>
    </row>
    <row r="13186">
      <c r="A13186" s="3">
        <v>45891.0</v>
      </c>
      <c r="B13186" s="4">
        <v>0.34652777777777777</v>
      </c>
      <c r="C13186" s="5" t="s">
        <v>8</v>
      </c>
      <c r="D13186" s="5" t="s">
        <v>1760</v>
      </c>
      <c r="E13186" s="8" t="s">
        <v>271</v>
      </c>
      <c r="F13186" s="5" t="s">
        <v>272</v>
      </c>
      <c r="G13186" s="6" t="str">
        <f>VLOOKUP(E13186,dicionario!$A$1:$C13585,2,0)</f>
        <v>Cyanthillium cinereum</v>
      </c>
      <c r="H13186" s="6" t="str">
        <f>VLOOKUP(E13186,dicionario!$A$1:$C13585,3,0)</f>
        <v>emília</v>
      </c>
    </row>
    <row r="13187">
      <c r="A13187" s="3">
        <v>45891.0</v>
      </c>
      <c r="B13187" s="4">
        <v>0.34652777777777777</v>
      </c>
      <c r="C13187" s="5" t="s">
        <v>8</v>
      </c>
      <c r="D13187" s="5" t="s">
        <v>1760</v>
      </c>
      <c r="E13187" s="6" t="s">
        <v>65</v>
      </c>
      <c r="F13187" s="5" t="s">
        <v>66</v>
      </c>
      <c r="G13187" s="6" t="str">
        <f>VLOOKUP(E13187,dicionario!$A$1:$C13586,2,0)</f>
        <v>Pitangus sulphutarus</v>
      </c>
      <c r="H13187" s="6" t="str">
        <f>VLOOKUP(E13187,dicionario!$A$1:$C13586,3,0)</f>
        <v>bem-te-vi</v>
      </c>
    </row>
    <row r="13188">
      <c r="A13188" s="3">
        <v>45891.0</v>
      </c>
      <c r="B13188" s="4">
        <v>0.34652777777777777</v>
      </c>
      <c r="C13188" s="5" t="s">
        <v>8</v>
      </c>
      <c r="D13188" s="5" t="s">
        <v>1760</v>
      </c>
      <c r="E13188" s="6" t="s">
        <v>213</v>
      </c>
      <c r="F13188" s="5" t="s">
        <v>1573</v>
      </c>
      <c r="G13188" s="6" t="str">
        <f>VLOOKUP(E13188,dicionario!$A$1:$C13587,2,0)</f>
        <v>Myiozetetes similis</v>
      </c>
      <c r="H13188" s="6" t="str">
        <f>VLOOKUP(E13188,dicionario!$A$1:$C13587,3,0)</f>
        <v>bentevizinho-de-penacho-vermelho</v>
      </c>
    </row>
    <row r="13189">
      <c r="A13189" s="3">
        <v>45891.0</v>
      </c>
      <c r="B13189" s="4">
        <v>0.3472222222222222</v>
      </c>
      <c r="C13189" s="5" t="s">
        <v>8</v>
      </c>
      <c r="D13189" s="5" t="s">
        <v>1760</v>
      </c>
      <c r="E13189" s="6" t="s">
        <v>225</v>
      </c>
      <c r="F13189" s="5" t="s">
        <v>226</v>
      </c>
      <c r="G13189" s="6" t="str">
        <f>VLOOKUP(E13189,dicionario!$A$1:$C13588,2,0)</f>
        <v>Passer domesticus</v>
      </c>
      <c r="H13189" s="6" t="str">
        <f>VLOOKUP(E13189,dicionario!$A$1:$C13588,3,0)</f>
        <v>pardal</v>
      </c>
    </row>
    <row r="13190">
      <c r="A13190" s="3">
        <v>45891.0</v>
      </c>
      <c r="B13190" s="4">
        <v>0.3472222222222222</v>
      </c>
      <c r="C13190" s="5" t="s">
        <v>8</v>
      </c>
      <c r="D13190" s="5" t="s">
        <v>1760</v>
      </c>
      <c r="E13190" s="8" t="s">
        <v>14</v>
      </c>
      <c r="F13190" s="5" t="s">
        <v>15</v>
      </c>
      <c r="G13190" s="6" t="str">
        <f>VLOOKUP(E13190,dicionario!$A$1:$C13589,2,0)</f>
        <v>Spermacoce verticillata</v>
      </c>
      <c r="H13190" s="6" t="str">
        <f>VLOOKUP(E13190,dicionario!$A$1:$C13589,3,0)</f>
        <v>vassourinha-de-botão</v>
      </c>
    </row>
    <row r="13191">
      <c r="A13191" s="3">
        <v>45891.0</v>
      </c>
      <c r="B13191" s="4">
        <v>0.3472222222222222</v>
      </c>
      <c r="C13191" s="5" t="s">
        <v>8</v>
      </c>
      <c r="D13191" s="5" t="s">
        <v>1760</v>
      </c>
      <c r="E13191" s="8" t="s">
        <v>10</v>
      </c>
      <c r="F13191" s="5" t="s">
        <v>1545</v>
      </c>
      <c r="G13191" s="6" t="str">
        <f>VLOOKUP(E13191,dicionario!$A$1:$C13590,2,0)</f>
        <v>Guira guira</v>
      </c>
      <c r="H13191" s="6" t="str">
        <f>VLOOKUP(E13191,dicionario!$A$1:$C13590,3,0)</f>
        <v>anu-branco</v>
      </c>
    </row>
    <row r="13192">
      <c r="A13192" s="3">
        <v>45891.0</v>
      </c>
      <c r="B13192" s="4">
        <v>0.34791666666666665</v>
      </c>
      <c r="C13192" s="5" t="s">
        <v>8</v>
      </c>
      <c r="D13192" s="5" t="s">
        <v>1760</v>
      </c>
      <c r="E13192" s="6" t="s">
        <v>175</v>
      </c>
      <c r="F13192" s="5" t="s">
        <v>176</v>
      </c>
      <c r="G13192" s="6" t="str">
        <f>VLOOKUP(E13192,dicionario!$A$1:$C13591,2,0)</f>
        <v>Turdus leucomelas</v>
      </c>
      <c r="H13192" s="6" t="str">
        <f>VLOOKUP(E13192,dicionario!$A$1:$C13591,3,0)</f>
        <v>sabiá-barranco</v>
      </c>
    </row>
    <row r="13193">
      <c r="A13193" s="3">
        <v>45891.0</v>
      </c>
      <c r="B13193" s="4">
        <v>0.34791666666666665</v>
      </c>
      <c r="C13193" s="5" t="s">
        <v>8</v>
      </c>
      <c r="D13193" s="5" t="s">
        <v>1760</v>
      </c>
      <c r="E13193" s="6" t="s">
        <v>606</v>
      </c>
      <c r="F13193" s="5" t="s">
        <v>607</v>
      </c>
      <c r="G13193" s="6" t="str">
        <f>VLOOKUP(E13193,dicionario!$A$1:$C13592,2,0)</f>
        <v>Elaenia spectabilis</v>
      </c>
      <c r="H13193" s="6" t="str">
        <f>VLOOKUP(E13193,dicionario!$A$1:$C13592,3,0)</f>
        <v>guaracava-grande</v>
      </c>
    </row>
    <row r="13194">
      <c r="A13194" s="3">
        <v>45891.0</v>
      </c>
      <c r="B13194" s="4">
        <v>0.34791666666666665</v>
      </c>
      <c r="C13194" s="5" t="s">
        <v>8</v>
      </c>
      <c r="D13194" s="5" t="s">
        <v>1760</v>
      </c>
      <c r="E13194" s="6" t="s">
        <v>215</v>
      </c>
      <c r="F13194" s="5" t="s">
        <v>216</v>
      </c>
      <c r="G13194" s="6" t="str">
        <f>VLOOKUP(E13194,dicionario!$A$1:$C13593,2,0)</f>
        <v>Pygochelidon cyanoleuca</v>
      </c>
      <c r="H13194" s="6" t="str">
        <f>VLOOKUP(E13194,dicionario!$A$1:$C13593,3,0)</f>
        <v>andorinha-pequena-de-casa</v>
      </c>
    </row>
    <row r="13195">
      <c r="A13195" s="3">
        <v>45891.0</v>
      </c>
      <c r="B13195" s="4">
        <v>0.34930555555555554</v>
      </c>
      <c r="C13195" s="5" t="s">
        <v>8</v>
      </c>
      <c r="D13195" s="5" t="s">
        <v>1760</v>
      </c>
      <c r="E13195" s="8" t="s">
        <v>360</v>
      </c>
      <c r="F13195" s="5" t="s">
        <v>361</v>
      </c>
      <c r="G13195" s="6" t="str">
        <f>VLOOKUP(E13195,dicionario!$A$1:$C13594,2,0)</f>
        <v>Chamaecrista rotundifolia</v>
      </c>
      <c r="H13195" s="6" t="str">
        <f>VLOOKUP(E13195,dicionario!$A$1:$C13594,3,0)</f>
        <v>alfafa-nativa</v>
      </c>
    </row>
    <row r="13196">
      <c r="A13196" s="3">
        <v>45891.0</v>
      </c>
      <c r="B13196" s="4">
        <v>0.34930555555555554</v>
      </c>
      <c r="C13196" s="5" t="s">
        <v>8</v>
      </c>
      <c r="D13196" s="5" t="s">
        <v>1760</v>
      </c>
      <c r="E13196" s="8" t="s">
        <v>18</v>
      </c>
      <c r="F13196" s="5" t="s">
        <v>219</v>
      </c>
      <c r="G13196" s="6" t="str">
        <f>VLOOKUP(E13196,dicionario!$A$1:$C13595,2,0)</f>
        <v>Xylocopa frontalis</v>
      </c>
      <c r="H13196" s="6" t="str">
        <f>VLOOKUP(E13196,dicionario!$A$1:$C13595,3,0)</f>
        <v>Mamangava; mangangá; abelha-carpinteira</v>
      </c>
    </row>
    <row r="13197">
      <c r="A13197" s="3">
        <v>45897.0</v>
      </c>
      <c r="B13197" s="4">
        <v>0.2625</v>
      </c>
      <c r="C13197" s="5" t="s">
        <v>8</v>
      </c>
      <c r="D13197" s="5" t="s">
        <v>1776</v>
      </c>
      <c r="E13197" s="6" t="s">
        <v>86</v>
      </c>
      <c r="F13197" s="5" t="s">
        <v>502</v>
      </c>
      <c r="G13197" s="6" t="str">
        <f>VLOOKUP(E13197,dicionario!$A$1:$C13596,2,0)</f>
        <v>Coereba flaveola</v>
      </c>
      <c r="H13197" s="6" t="str">
        <f>VLOOKUP(E13197,dicionario!$A$1:$C13596,3,0)</f>
        <v>cambacica</v>
      </c>
    </row>
    <row r="13198">
      <c r="A13198" s="3">
        <v>45897.0</v>
      </c>
      <c r="B13198" s="4">
        <v>0.2625</v>
      </c>
      <c r="C13198" s="5" t="s">
        <v>8</v>
      </c>
      <c r="D13198" s="5" t="s">
        <v>1776</v>
      </c>
      <c r="E13198" s="9" t="s">
        <v>105</v>
      </c>
      <c r="F13198" s="5" t="s">
        <v>106</v>
      </c>
      <c r="G13198" s="6" t="str">
        <f>VLOOKUP(E13198,dicionario!$A$1:$C13597,2,0)</f>
        <v>Progne tapera</v>
      </c>
      <c r="H13198" s="6" t="str">
        <f>VLOOKUP(E13198,dicionario!$A$1:$C13597,3,0)</f>
        <v>andorinha-do-campo</v>
      </c>
    </row>
    <row r="13199">
      <c r="A13199" s="3">
        <v>45897.0</v>
      </c>
      <c r="B13199" s="4">
        <v>0.2625</v>
      </c>
      <c r="C13199" s="5" t="s">
        <v>8</v>
      </c>
      <c r="D13199" s="5" t="s">
        <v>1776</v>
      </c>
      <c r="E13199" s="8" t="s">
        <v>20</v>
      </c>
      <c r="F13199" s="5" t="s">
        <v>21</v>
      </c>
      <c r="G13199" s="6" t="str">
        <f>VLOOKUP(E13199,dicionario!$A$1:$C13598,2,0)</f>
        <v>Sicalis flaveola</v>
      </c>
      <c r="H13199" s="6" t="str">
        <f>VLOOKUP(E13199,dicionario!$A$1:$C13598,3,0)</f>
        <v>canário-da-terra</v>
      </c>
    </row>
    <row r="13200">
      <c r="A13200" s="3">
        <v>45897.0</v>
      </c>
      <c r="B13200" s="4">
        <v>0.2625</v>
      </c>
      <c r="C13200" s="5" t="s">
        <v>8</v>
      </c>
      <c r="D13200" s="5" t="s">
        <v>1776</v>
      </c>
      <c r="E13200" s="8" t="s">
        <v>200</v>
      </c>
      <c r="F13200" s="5" t="s">
        <v>201</v>
      </c>
      <c r="G13200" s="6" t="str">
        <f>VLOOKUP(E13200,dicionario!$A$1:$C13599,2,0)</f>
        <v>Columbina picui </v>
      </c>
      <c r="H13200" s="6" t="str">
        <f>VLOOKUP(E13200,dicionario!$A$1:$C13599,3,0)</f>
        <v>rolinha-picuí</v>
      </c>
    </row>
    <row r="13201">
      <c r="A13201" s="3">
        <v>45897.0</v>
      </c>
      <c r="B13201" s="4">
        <v>0.2625</v>
      </c>
      <c r="C13201" s="5" t="s">
        <v>8</v>
      </c>
      <c r="D13201" s="5" t="s">
        <v>1776</v>
      </c>
      <c r="E13201" s="8" t="s">
        <v>109</v>
      </c>
      <c r="F13201" s="5" t="s">
        <v>110</v>
      </c>
      <c r="G13201" s="6" t="str">
        <f>VLOOKUP(E13201,dicionario!$A$1:$C13600,2,0)</f>
        <v>Tillandsia stricta</v>
      </c>
      <c r="H13201" s="6" t="str">
        <f>VLOOKUP(E13201,dicionario!$A$1:$C13600,3,0)</f>
        <v>cravo-do-mato</v>
      </c>
    </row>
    <row r="13202">
      <c r="A13202" s="3">
        <v>45897.0</v>
      </c>
      <c r="B13202" s="4">
        <v>0.2625</v>
      </c>
      <c r="C13202" s="5" t="s">
        <v>8</v>
      </c>
      <c r="D13202" s="5" t="s">
        <v>1776</v>
      </c>
      <c r="E13202" s="6" t="s">
        <v>72</v>
      </c>
      <c r="F13202" s="5" t="s">
        <v>73</v>
      </c>
      <c r="G13202" s="6" t="str">
        <f>VLOOKUP(E13202,dicionario!$A$1:$C13601,2,0)</f>
        <v>Thraupis palmarum</v>
      </c>
      <c r="H13202" s="6" t="str">
        <f>VLOOKUP(E13202,dicionario!$A$1:$C13601,3,0)</f>
        <v>sanhaço-do-coqueiro</v>
      </c>
    </row>
    <row r="13203">
      <c r="A13203" s="3">
        <v>45897.0</v>
      </c>
      <c r="B13203" s="4">
        <v>0.2625</v>
      </c>
      <c r="C13203" s="5" t="s">
        <v>8</v>
      </c>
      <c r="D13203" s="5" t="s">
        <v>1776</v>
      </c>
      <c r="E13203" s="8" t="s">
        <v>719</v>
      </c>
      <c r="F13203" s="5" t="s">
        <v>911</v>
      </c>
      <c r="G13203" s="6" t="str">
        <f>VLOOKUP(E13203,dicionario!$A$1:$C13602,2,0)</f>
        <v>Dirinaria</v>
      </c>
      <c r="H13203" s="6" t="str">
        <f>VLOOKUP(E13203,dicionario!$A$1:$C13602,3,0)</f>
        <v>líquen-crostoso</v>
      </c>
    </row>
    <row r="13204">
      <c r="A13204" s="3">
        <v>45897.0</v>
      </c>
      <c r="B13204" s="4">
        <v>0.26319444444444445</v>
      </c>
      <c r="C13204" s="5" t="s">
        <v>8</v>
      </c>
      <c r="D13204" s="5" t="s">
        <v>1776</v>
      </c>
      <c r="E13204" s="8" t="s">
        <v>107</v>
      </c>
      <c r="F13204" s="5" t="s">
        <v>834</v>
      </c>
      <c r="G13204" s="6" t="str">
        <f>VLOOKUP(E13204,dicionario!$A$1:$C13603,2,0)</f>
        <v>Ramalina complanata</v>
      </c>
      <c r="H13204" s="6" t="str">
        <f>VLOOKUP(E13204,dicionario!$A$1:$C13603,3,0)</f>
        <v>ramalina</v>
      </c>
    </row>
    <row r="13205">
      <c r="A13205" s="3">
        <v>45897.0</v>
      </c>
      <c r="B13205" s="4">
        <v>0.26319444444444445</v>
      </c>
      <c r="C13205" s="5" t="s">
        <v>8</v>
      </c>
      <c r="D13205" s="5" t="s">
        <v>1776</v>
      </c>
      <c r="E13205" s="8" t="s">
        <v>162</v>
      </c>
      <c r="F13205" s="5" t="s">
        <v>42</v>
      </c>
      <c r="G13205" s="6" t="str">
        <f>VLOOKUP(E13205,dicionario!$A$1:$C13604,2,0)</f>
        <v>Fluvicola nengeta</v>
      </c>
      <c r="H13205" s="6" t="str">
        <f>VLOOKUP(E13205,dicionario!$A$1:$C13604,3,0)</f>
        <v>lavadeira-mascarada</v>
      </c>
    </row>
    <row r="13206">
      <c r="A13206" s="3">
        <v>45897.0</v>
      </c>
      <c r="B13206" s="4">
        <v>0.26319444444444445</v>
      </c>
      <c r="C13206" s="5" t="s">
        <v>8</v>
      </c>
      <c r="D13206" s="5" t="s">
        <v>1776</v>
      </c>
      <c r="E13206" s="6" t="s">
        <v>99</v>
      </c>
      <c r="F13206" s="5" t="s">
        <v>508</v>
      </c>
      <c r="G13206" s="6" t="str">
        <f>VLOOKUP(E13206,dicionario!$A$1:$C13605,2,0)</f>
        <v>Molothrus bonariensis</v>
      </c>
      <c r="H13206" s="6" t="str">
        <f>VLOOKUP(E13206,dicionario!$A$1:$C13605,3,0)</f>
        <v>chupim</v>
      </c>
    </row>
    <row r="13207">
      <c r="A13207" s="3">
        <v>45897.0</v>
      </c>
      <c r="B13207" s="4">
        <v>0.26319444444444445</v>
      </c>
      <c r="C13207" s="5" t="s">
        <v>8</v>
      </c>
      <c r="D13207" s="5" t="s">
        <v>1776</v>
      </c>
      <c r="E13207" s="6" t="s">
        <v>175</v>
      </c>
      <c r="F13207" s="5" t="s">
        <v>176</v>
      </c>
      <c r="G13207" s="6" t="str">
        <f>VLOOKUP(E13207,dicionario!$A$1:$C13606,2,0)</f>
        <v>Turdus leucomelas</v>
      </c>
      <c r="H13207" s="6" t="str">
        <f>VLOOKUP(E13207,dicionario!$A$1:$C13606,3,0)</f>
        <v>sabiá-barranco</v>
      </c>
    </row>
    <row r="13208">
      <c r="A13208" s="3">
        <v>45897.0</v>
      </c>
      <c r="B13208" s="4">
        <v>0.26319444444444445</v>
      </c>
      <c r="C13208" s="5" t="s">
        <v>8</v>
      </c>
      <c r="D13208" s="5" t="s">
        <v>1776</v>
      </c>
      <c r="E13208" s="6" t="s">
        <v>353</v>
      </c>
      <c r="F13208" s="5" t="s">
        <v>354</v>
      </c>
      <c r="G13208" s="6" t="str">
        <f>VLOOKUP(E13208,dicionario!$A$1:$C13607,2,0)</f>
        <v>Desmodium incanum</v>
      </c>
      <c r="H13208" s="6" t="str">
        <f>VLOOKUP(E13208,dicionario!$A$1:$C13607,3,0)</f>
        <v>pega-pega</v>
      </c>
    </row>
    <row r="13209">
      <c r="A13209" s="3">
        <v>45897.0</v>
      </c>
      <c r="B13209" s="4">
        <v>0.26319444444444445</v>
      </c>
      <c r="C13209" s="5" t="s">
        <v>8</v>
      </c>
      <c r="D13209" s="5" t="s">
        <v>1776</v>
      </c>
      <c r="E13209" s="8" t="s">
        <v>909</v>
      </c>
      <c r="F13209" s="5" t="s">
        <v>910</v>
      </c>
      <c r="G13209" s="6" t="str">
        <f>VLOOKUP(E13209,dicionario!$A$1:$C13608,2,0)</f>
        <v>Chordeiles acutipennis</v>
      </c>
      <c r="H13209" s="6" t="str">
        <f>VLOOKUP(E13209,dicionario!$A$1:$C13608,3,0)</f>
        <v>bacurau-de-asa-fina</v>
      </c>
    </row>
    <row r="13210">
      <c r="A13210" s="3">
        <v>45897.0</v>
      </c>
      <c r="B13210" s="4">
        <v>0.26319444444444445</v>
      </c>
      <c r="C13210" s="5" t="s">
        <v>8</v>
      </c>
      <c r="D13210" s="5" t="s">
        <v>1776</v>
      </c>
      <c r="E13210" s="6" t="s">
        <v>213</v>
      </c>
      <c r="F13210" s="5" t="s">
        <v>214</v>
      </c>
      <c r="G13210" s="6" t="str">
        <f>VLOOKUP(E13210,dicionario!$A$1:$C13609,2,0)</f>
        <v>Myiozetetes similis</v>
      </c>
      <c r="H13210" s="6" t="str">
        <f>VLOOKUP(E13210,dicionario!$A$1:$C13609,3,0)</f>
        <v>bentevizinho-de-penacho-vermelho</v>
      </c>
    </row>
    <row r="13211">
      <c r="A13211" s="3">
        <v>45897.0</v>
      </c>
      <c r="B13211" s="4">
        <v>0.2638888888888889</v>
      </c>
      <c r="C13211" s="5" t="s">
        <v>8</v>
      </c>
      <c r="D13211" s="5" t="s">
        <v>1776</v>
      </c>
      <c r="E13211" s="8" t="s">
        <v>14</v>
      </c>
      <c r="F13211" s="5" t="s">
        <v>15</v>
      </c>
      <c r="G13211" s="6" t="str">
        <f>VLOOKUP(E13211,dicionario!$A$1:$C13610,2,0)</f>
        <v>Spermacoce verticillata</v>
      </c>
      <c r="H13211" s="6" t="str">
        <f>VLOOKUP(E13211,dicionario!$A$1:$C13610,3,0)</f>
        <v>vassourinha-de-botão</v>
      </c>
    </row>
    <row r="13212">
      <c r="A13212" s="3">
        <v>45897.0</v>
      </c>
      <c r="B13212" s="4">
        <v>0.2638888888888889</v>
      </c>
      <c r="C13212" s="5" t="s">
        <v>8</v>
      </c>
      <c r="D13212" s="5" t="s">
        <v>1776</v>
      </c>
      <c r="E13212" s="6" t="s">
        <v>163</v>
      </c>
      <c r="F13212" s="5" t="s">
        <v>164</v>
      </c>
      <c r="G13212" s="6" t="str">
        <f>VLOOKUP(E13212,dicionario!$A$1:$C13611,2,0)</f>
        <v>Coragyps atratus</v>
      </c>
      <c r="H13212" s="6" t="str">
        <f>VLOOKUP(E13212,dicionario!$A$1:$C13611,3,0)</f>
        <v>urubu-de-cabeça-preta</v>
      </c>
    </row>
    <row r="13213">
      <c r="A13213" s="3">
        <v>45897.0</v>
      </c>
      <c r="B13213" s="4">
        <v>0.26458333333333334</v>
      </c>
      <c r="C13213" s="5" t="s">
        <v>8</v>
      </c>
      <c r="D13213" s="5" t="s">
        <v>1776</v>
      </c>
      <c r="E13213" s="6" t="s">
        <v>65</v>
      </c>
      <c r="F13213" s="5" t="s">
        <v>66</v>
      </c>
      <c r="G13213" s="6" t="str">
        <f>VLOOKUP(E13213,dicionario!$A$1:$C13612,2,0)</f>
        <v>Pitangus sulphutarus</v>
      </c>
      <c r="H13213" s="6" t="str">
        <f>VLOOKUP(E13213,dicionario!$A$1:$C13612,3,0)</f>
        <v>bem-te-vi</v>
      </c>
    </row>
    <row r="13214">
      <c r="A13214" s="3">
        <v>45897.0</v>
      </c>
      <c r="B13214" s="4">
        <v>0.26458333333333334</v>
      </c>
      <c r="C13214" s="5" t="s">
        <v>8</v>
      </c>
      <c r="D13214" s="5" t="s">
        <v>1776</v>
      </c>
      <c r="E13214" s="8" t="s">
        <v>1344</v>
      </c>
      <c r="F13214" s="5" t="s">
        <v>47</v>
      </c>
      <c r="G13214" s="6" t="str">
        <f>VLOOKUP(E13214,dicionario!$A$1:$C13613,2,0)</f>
        <v>#N/A</v>
      </c>
      <c r="H13214" s="6" t="str">
        <f>VLOOKUP(E13214,dicionario!$A$1:$C13613,3,0)</f>
        <v>#N/A</v>
      </c>
    </row>
    <row r="13215">
      <c r="A13215" s="3">
        <v>45897.0</v>
      </c>
      <c r="B13215" s="4">
        <v>0.26458333333333334</v>
      </c>
      <c r="C13215" s="5" t="s">
        <v>8</v>
      </c>
      <c r="D13215" s="5" t="s">
        <v>1776</v>
      </c>
      <c r="E13215" s="6" t="s">
        <v>227</v>
      </c>
      <c r="F13215" s="5" t="s">
        <v>228</v>
      </c>
      <c r="G13215" s="6" t="str">
        <f>VLOOKUP(E13215,dicionario!$A$1:$C13614,2,0)</f>
        <v>Indigofera hirsuta</v>
      </c>
      <c r="H13215" s="6" t="str">
        <f>VLOOKUP(E13215,dicionario!$A$1:$C13614,3,0)</f>
        <v>anileira</v>
      </c>
    </row>
    <row r="13216">
      <c r="A13216" s="3">
        <v>45897.0</v>
      </c>
      <c r="B13216" s="4">
        <v>0.26458333333333334</v>
      </c>
      <c r="C13216" s="5" t="s">
        <v>8</v>
      </c>
      <c r="D13216" s="5" t="s">
        <v>1776</v>
      </c>
      <c r="E13216" s="8" t="s">
        <v>223</v>
      </c>
      <c r="F13216" s="5"/>
      <c r="G13216" s="6" t="str">
        <f>VLOOKUP(E13216,dicionario!$A$1:$C13615,2,0)</f>
        <v>Rhipsalis lindbergiana</v>
      </c>
      <c r="H13216" s="6" t="str">
        <f>VLOOKUP(E13216,dicionario!$A$1:$C13615,3,0)</f>
        <v>cacto-macarrão</v>
      </c>
    </row>
    <row r="13217">
      <c r="A13217" s="3">
        <v>45897.0</v>
      </c>
      <c r="B13217" s="4">
        <v>0.2652777777777778</v>
      </c>
      <c r="C13217" s="5" t="s">
        <v>8</v>
      </c>
      <c r="D13217" s="5" t="s">
        <v>1776</v>
      </c>
      <c r="E13217" s="20" t="s">
        <v>676</v>
      </c>
      <c r="F13217" s="5" t="s">
        <v>677</v>
      </c>
      <c r="G13217" s="6" t="str">
        <f>VLOOKUP(E13217,dicionario!$A$1:$C13616,2,0)</f>
        <v>Zornia latifolia</v>
      </c>
      <c r="H13217" s="6" t="str">
        <f>VLOOKUP(E13217,dicionario!$A$1:$C13616,3,0)</f>
        <v>arrozinho-do-campo</v>
      </c>
    </row>
    <row r="13218">
      <c r="A13218" s="3">
        <v>45897.0</v>
      </c>
      <c r="B13218" s="4">
        <v>0.2652777777777778</v>
      </c>
      <c r="C13218" s="5" t="s">
        <v>8</v>
      </c>
      <c r="D13218" s="5" t="s">
        <v>1776</v>
      </c>
      <c r="E13218" s="8" t="s">
        <v>298</v>
      </c>
      <c r="F13218" s="5"/>
      <c r="G13218" s="6" t="str">
        <f>VLOOKUP(E13218,dicionario!$A$1:$C13617,2,0)</f>
        <v>Alysicarpus vaginalis</v>
      </c>
      <c r="H13218" s="6" t="str">
        <f>VLOOKUP(E13218,dicionario!$A$1:$C13617,3,0)</f>
        <v/>
      </c>
    </row>
    <row r="13219">
      <c r="A13219" s="3">
        <v>45897.0</v>
      </c>
      <c r="B13219" s="4">
        <v>0.2659722222222222</v>
      </c>
      <c r="C13219" s="5" t="s">
        <v>8</v>
      </c>
      <c r="D13219" s="5" t="s">
        <v>1776</v>
      </c>
      <c r="E13219" s="8" t="s">
        <v>360</v>
      </c>
      <c r="F13219" s="5" t="s">
        <v>361</v>
      </c>
      <c r="G13219" s="6" t="str">
        <f>VLOOKUP(E13219,dicionario!$A$1:$C13618,2,0)</f>
        <v>Chamaecrista rotundifolia</v>
      </c>
      <c r="H13219" s="6" t="str">
        <f>VLOOKUP(E13219,dicionario!$A$1:$C13618,3,0)</f>
        <v>alfafa-nativa</v>
      </c>
    </row>
    <row r="13220">
      <c r="A13220" s="3">
        <v>45897.0</v>
      </c>
      <c r="B13220" s="4">
        <v>0.2659722222222222</v>
      </c>
      <c r="C13220" s="5" t="s">
        <v>8</v>
      </c>
      <c r="D13220" s="5" t="s">
        <v>1776</v>
      </c>
      <c r="E13220" s="8" t="s">
        <v>1386</v>
      </c>
      <c r="F13220" s="5" t="s">
        <v>484</v>
      </c>
      <c r="G13220" s="6" t="str">
        <f>VLOOKUP(E13220,dicionario!$A$1:$C13619,2,0)</f>
        <v>#N/A</v>
      </c>
      <c r="H13220" s="6" t="str">
        <f>VLOOKUP(E13220,dicionario!$A$1:$C13619,3,0)</f>
        <v>#N/A</v>
      </c>
    </row>
    <row r="13221">
      <c r="A13221" s="3">
        <v>45897.0</v>
      </c>
      <c r="B13221" s="4">
        <v>0.2659722222222222</v>
      </c>
      <c r="C13221" s="5" t="s">
        <v>8</v>
      </c>
      <c r="D13221" s="5" t="s">
        <v>1776</v>
      </c>
      <c r="E13221" s="6" t="s">
        <v>215</v>
      </c>
      <c r="F13221" s="5" t="s">
        <v>216</v>
      </c>
      <c r="G13221" s="6" t="str">
        <f>VLOOKUP(E13221,dicionario!$A$1:$C13620,2,0)</f>
        <v>Pygochelidon cyanoleuca</v>
      </c>
      <c r="H13221" s="6" t="str">
        <f>VLOOKUP(E13221,dicionario!$A$1:$C13620,3,0)</f>
        <v>andorinha-pequena-de-casa</v>
      </c>
    </row>
    <row r="13222">
      <c r="A13222" s="3">
        <v>45897.0</v>
      </c>
      <c r="B13222" s="4">
        <v>0.26666666666666666</v>
      </c>
      <c r="C13222" s="5" t="s">
        <v>8</v>
      </c>
      <c r="D13222" s="5" t="s">
        <v>1776</v>
      </c>
      <c r="E13222" s="6" t="s">
        <v>193</v>
      </c>
      <c r="F13222" s="5" t="s">
        <v>194</v>
      </c>
      <c r="G13222" s="6" t="str">
        <f>VLOOKUP(E13222,dicionario!$A$1:$C13621,2,0)</f>
        <v>Conirostrum speciosum</v>
      </c>
      <c r="H13222" s="6" t="str">
        <f>VLOOKUP(E13222,dicionario!$A$1:$C13621,3,0)</f>
        <v>figuinha-de-rabo-castanho</v>
      </c>
    </row>
    <row r="13223">
      <c r="A13223" s="3">
        <v>45897.0</v>
      </c>
      <c r="B13223" s="4">
        <v>0.26666666666666666</v>
      </c>
      <c r="C13223" s="5" t="s">
        <v>8</v>
      </c>
      <c r="D13223" s="5" t="s">
        <v>1776</v>
      </c>
      <c r="E13223" s="8" t="s">
        <v>624</v>
      </c>
      <c r="F13223" s="5" t="s">
        <v>133</v>
      </c>
      <c r="G13223" s="6" t="str">
        <f>VLOOKUP(E13223,dicionario!$A$1:$C13622,2,0)</f>
        <v>Euphonia violacea</v>
      </c>
      <c r="H13223" s="6" t="str">
        <f>VLOOKUP(E13223,dicionario!$A$1:$C13622,3,0)</f>
        <v>gaturamo-verdadeiro</v>
      </c>
    </row>
    <row r="13224">
      <c r="A13224" s="3">
        <v>45897.0</v>
      </c>
      <c r="B13224" s="4">
        <v>0.2673611111111111</v>
      </c>
      <c r="C13224" s="5" t="s">
        <v>8</v>
      </c>
      <c r="D13224" s="5" t="s">
        <v>1776</v>
      </c>
      <c r="E13224" s="6" t="s">
        <v>60</v>
      </c>
      <c r="F13224" s="5" t="s">
        <v>61</v>
      </c>
      <c r="G13224" s="6" t="str">
        <f>VLOOKUP(E13224,dicionario!$A$1:$C13623,2,0)</f>
        <v>Vanellus chilensis</v>
      </c>
      <c r="H13224" s="6" t="str">
        <f>VLOOKUP(E13224,dicionario!$A$1:$C13623,3,0)</f>
        <v>quero-quero</v>
      </c>
    </row>
    <row r="13225">
      <c r="A13225" s="3">
        <v>45897.0</v>
      </c>
      <c r="B13225" s="4">
        <v>0.2673611111111111</v>
      </c>
      <c r="C13225" s="5" t="s">
        <v>8</v>
      </c>
      <c r="D13225" s="5" t="s">
        <v>1776</v>
      </c>
      <c r="E13225" s="6" t="s">
        <v>624</v>
      </c>
      <c r="F13225" s="5" t="s">
        <v>625</v>
      </c>
      <c r="G13225" s="6" t="str">
        <f>VLOOKUP(E13225,dicionario!$A$1:$C13624,2,0)</f>
        <v>Euphonia violacea</v>
      </c>
      <c r="H13225" s="6" t="str">
        <f>VLOOKUP(E13225,dicionario!$A$1:$C13624,3,0)</f>
        <v>gaturamo-verdadeiro</v>
      </c>
    </row>
    <row r="13226">
      <c r="A13226" s="3">
        <v>45897.0</v>
      </c>
      <c r="B13226" s="4">
        <v>0.2673611111111111</v>
      </c>
      <c r="C13226" s="5" t="s">
        <v>8</v>
      </c>
      <c r="D13226" s="5" t="s">
        <v>1776</v>
      </c>
      <c r="E13226" s="6" t="s">
        <v>606</v>
      </c>
      <c r="F13226" s="5" t="s">
        <v>607</v>
      </c>
      <c r="G13226" s="6" t="str">
        <f>VLOOKUP(E13226,dicionario!$A$1:$C13625,2,0)</f>
        <v>Elaenia spectabilis</v>
      </c>
      <c r="H13226" s="6" t="str">
        <f>VLOOKUP(E13226,dicionario!$A$1:$C13625,3,0)</f>
        <v>guaracava-grande</v>
      </c>
    </row>
    <row r="13227">
      <c r="A13227" s="3">
        <v>45897.0</v>
      </c>
      <c r="B13227" s="4">
        <v>0.26805555555555555</v>
      </c>
      <c r="C13227" s="5" t="s">
        <v>8</v>
      </c>
      <c r="D13227" s="5" t="s">
        <v>1776</v>
      </c>
      <c r="E13227" s="6" t="s">
        <v>191</v>
      </c>
      <c r="F13227" s="5" t="s">
        <v>192</v>
      </c>
      <c r="G13227" s="6" t="str">
        <f>VLOOKUP(E13227,dicionario!$A$1:$C13626,2,0)</f>
        <v>Patagioenas picazuro</v>
      </c>
      <c r="H13227" s="6" t="str">
        <f>VLOOKUP(E13227,dicionario!$A$1:$C13626,3,0)</f>
        <v>asa-branca; pomba-asa-branca; pocaçu</v>
      </c>
    </row>
    <row r="13228">
      <c r="A13228" s="3">
        <v>45897.0</v>
      </c>
      <c r="B13228" s="4">
        <v>0.26805555555555555</v>
      </c>
      <c r="C13228" s="5" t="s">
        <v>8</v>
      </c>
      <c r="D13228" s="5" t="s">
        <v>1776</v>
      </c>
      <c r="E13228" s="6" t="s">
        <v>448</v>
      </c>
      <c r="F13228" s="5" t="s">
        <v>462</v>
      </c>
      <c r="G13228" s="6" t="str">
        <f>VLOOKUP(E13228,dicionario!$A$1:$C13627,2,0)</f>
        <v>Mechanitis polymnia</v>
      </c>
      <c r="H13228" s="6" t="str">
        <f>VLOOKUP(E13228,dicionario!$A$1:$C13627,3,0)</f>
        <v>maria-boba</v>
      </c>
    </row>
    <row r="13229">
      <c r="A13229" s="3">
        <v>45897.0</v>
      </c>
      <c r="B13229" s="4">
        <v>0.26805555555555555</v>
      </c>
      <c r="C13229" s="5" t="s">
        <v>8</v>
      </c>
      <c r="D13229" s="5" t="s">
        <v>1776</v>
      </c>
      <c r="E13229" s="8" t="s">
        <v>239</v>
      </c>
      <c r="F13229" s="5" t="s">
        <v>240</v>
      </c>
      <c r="G13229" s="6" t="str">
        <f>VLOOKUP(E13229,dicionario!$A$1:$C13628,2,0)</f>
        <v>Gomphrena celosioides</v>
      </c>
      <c r="H13229" s="6" t="str">
        <f>VLOOKUP(E13229,dicionario!$A$1:$C13628,3,0)</f>
        <v>perpétua-branca</v>
      </c>
    </row>
    <row r="13230">
      <c r="A13230" s="3">
        <v>45897.0</v>
      </c>
      <c r="B13230" s="4">
        <v>0.26805555555555555</v>
      </c>
      <c r="C13230" s="5" t="s">
        <v>8</v>
      </c>
      <c r="D13230" s="5" t="s">
        <v>1776</v>
      </c>
      <c r="E13230" s="8" t="s">
        <v>16</v>
      </c>
      <c r="F13230" s="5" t="s">
        <v>17</v>
      </c>
      <c r="G13230" s="6" t="str">
        <f>VLOOKUP(E13230,dicionario!$A$1:$C13629,2,0)</f>
        <v>Eupetomena macroura</v>
      </c>
      <c r="H13230" s="6" t="str">
        <f>VLOOKUP(E13230,dicionario!$A$1:$C13629,3,0)</f>
        <v>beija-flor-tesoura</v>
      </c>
    </row>
    <row r="13231">
      <c r="A13231" s="3">
        <v>45897.0</v>
      </c>
      <c r="B13231" s="4">
        <v>0.26875</v>
      </c>
      <c r="C13231" s="5" t="s">
        <v>26</v>
      </c>
      <c r="D13231" s="5" t="s">
        <v>1776</v>
      </c>
      <c r="E13231" s="8" t="s">
        <v>135</v>
      </c>
      <c r="F13231" s="5" t="s">
        <v>136</v>
      </c>
      <c r="G13231" s="6" t="str">
        <f>VLOOKUP(E13231,dicionario!$A$1:$C13630,2,0)</f>
        <v>Tridax procumbens</v>
      </c>
      <c r="H13231" s="6" t="str">
        <f>VLOOKUP(E13231,dicionario!$A$1:$C13630,3,0)</f>
        <v>erva-de-touro</v>
      </c>
    </row>
    <row r="13232">
      <c r="A13232" s="3">
        <v>45897.0</v>
      </c>
      <c r="B13232" s="4">
        <v>0.2701388888888889</v>
      </c>
      <c r="C13232" s="5" t="s">
        <v>26</v>
      </c>
      <c r="D13232" s="5" t="s">
        <v>1776</v>
      </c>
      <c r="E13232" s="6" t="s">
        <v>217</v>
      </c>
      <c r="F13232" s="5" t="s">
        <v>218</v>
      </c>
      <c r="G13232" s="6" t="str">
        <f>VLOOKUP(E13232,dicionario!$A$1:$C13631,2,0)</f>
        <v>Athene cunicularia</v>
      </c>
      <c r="H13232" s="6" t="str">
        <f>VLOOKUP(E13232,dicionario!$A$1:$C13631,3,0)</f>
        <v>coruja-buraqueira</v>
      </c>
    </row>
    <row r="13233">
      <c r="A13233" s="3">
        <v>45897.0</v>
      </c>
      <c r="B13233" s="4">
        <v>0.2708333333333333</v>
      </c>
      <c r="C13233" s="5" t="s">
        <v>26</v>
      </c>
      <c r="D13233" s="5" t="s">
        <v>1776</v>
      </c>
      <c r="E13233" s="8" t="s">
        <v>1328</v>
      </c>
      <c r="F13233" s="5" t="s">
        <v>356</v>
      </c>
      <c r="G13233" s="6" t="str">
        <f>VLOOKUP(E13233,dicionario!$A$1:$C13632,2,0)</f>
        <v>#N/A</v>
      </c>
      <c r="H13233" s="6" t="str">
        <f>VLOOKUP(E13233,dicionario!$A$1:$C13632,3,0)</f>
        <v>#N/A</v>
      </c>
    </row>
    <row r="13234">
      <c r="A13234" s="3">
        <v>45897.0</v>
      </c>
      <c r="B13234" s="4">
        <v>0.2708333333333333</v>
      </c>
      <c r="C13234" s="5" t="s">
        <v>26</v>
      </c>
      <c r="D13234" s="5" t="s">
        <v>1776</v>
      </c>
      <c r="E13234" s="8" t="s">
        <v>41</v>
      </c>
      <c r="F13234" s="5" t="s">
        <v>45</v>
      </c>
      <c r="G13234" s="6" t="str">
        <f>VLOOKUP(E13234,dicionario!$A$1:$C13633,2,0)</f>
        <v>Mimosa pudica</v>
      </c>
      <c r="H13234" s="6" t="str">
        <f>VLOOKUP(E13234,dicionario!$A$1:$C13633,3,0)</f>
        <v>dormideira</v>
      </c>
    </row>
    <row r="13235">
      <c r="A13235" s="3">
        <v>45897.0</v>
      </c>
      <c r="B13235" s="4">
        <v>0.27152777777777776</v>
      </c>
      <c r="C13235" s="5" t="s">
        <v>26</v>
      </c>
      <c r="D13235" s="5" t="s">
        <v>1776</v>
      </c>
      <c r="E13235" s="8" t="s">
        <v>849</v>
      </c>
      <c r="F13235" s="5" t="s">
        <v>1457</v>
      </c>
      <c r="G13235" s="6" t="str">
        <f>VLOOKUP(E13235,dicionario!$A$1:$C13634,2,0)</f>
        <v>#N/A</v>
      </c>
      <c r="H13235" s="6" t="str">
        <f>VLOOKUP(E13235,dicionario!$A$1:$C13634,3,0)</f>
        <v>#N/A</v>
      </c>
    </row>
    <row r="13236">
      <c r="A13236" s="3">
        <v>45897.0</v>
      </c>
      <c r="B13236" s="4">
        <v>0.27152777777777776</v>
      </c>
      <c r="C13236" s="5" t="s">
        <v>26</v>
      </c>
      <c r="D13236" s="5" t="s">
        <v>1776</v>
      </c>
      <c r="E13236" s="8" t="s">
        <v>146</v>
      </c>
      <c r="F13236" s="5" t="s">
        <v>147</v>
      </c>
      <c r="G13236" s="6" t="str">
        <f>VLOOKUP(E13236,dicionario!$A$1:$C13635,2,0)</f>
        <v>Euphorbia hirta</v>
      </c>
      <c r="H13236" s="6" t="str">
        <f>VLOOKUP(E13236,dicionario!$A$1:$C13635,3,0)</f>
        <v>erva-de-santa-luzia</v>
      </c>
    </row>
    <row r="13237">
      <c r="A13237" s="3">
        <v>45897.0</v>
      </c>
      <c r="B13237" s="4">
        <v>0.27152777777777776</v>
      </c>
      <c r="C13237" s="5" t="s">
        <v>26</v>
      </c>
      <c r="D13237" s="5" t="s">
        <v>1776</v>
      </c>
      <c r="E13237" s="8" t="s">
        <v>296</v>
      </c>
      <c r="F13237" s="5" t="s">
        <v>297</v>
      </c>
      <c r="G13237" s="6" t="str">
        <f>VLOOKUP(E13237,dicionario!$A$1:$C13636,2,0)</f>
        <v>Richardia brasiliensis</v>
      </c>
      <c r="H13237" s="6" t="str">
        <f>VLOOKUP(E13237,dicionario!$A$1:$C13636,3,0)</f>
        <v>poaia-branca</v>
      </c>
    </row>
    <row r="13238">
      <c r="A13238" s="3">
        <v>45897.0</v>
      </c>
      <c r="B13238" s="4">
        <v>0.27152777777777776</v>
      </c>
      <c r="C13238" s="5" t="s">
        <v>26</v>
      </c>
      <c r="D13238" s="5" t="s">
        <v>1776</v>
      </c>
      <c r="E13238" s="8" t="s">
        <v>1386</v>
      </c>
      <c r="F13238" s="5" t="s">
        <v>1547</v>
      </c>
      <c r="G13238" s="6" t="str">
        <f>VLOOKUP(E13238,dicionario!$A$1:$C13637,2,0)</f>
        <v>#N/A</v>
      </c>
      <c r="H13238" s="6" t="str">
        <f>VLOOKUP(E13238,dicionario!$A$1:$C13637,3,0)</f>
        <v>#N/A</v>
      </c>
    </row>
    <row r="13239">
      <c r="A13239" s="3">
        <v>45897.0</v>
      </c>
      <c r="B13239" s="4">
        <v>0.2722222222222222</v>
      </c>
      <c r="C13239" s="5" t="s">
        <v>26</v>
      </c>
      <c r="D13239" s="5" t="s">
        <v>1776</v>
      </c>
      <c r="E13239" s="8" t="s">
        <v>14</v>
      </c>
      <c r="F13239" s="5" t="s">
        <v>15</v>
      </c>
      <c r="G13239" s="6" t="str">
        <f>VLOOKUP(E13239,dicionario!$A$1:$C13638,2,0)</f>
        <v>Spermacoce verticillata</v>
      </c>
      <c r="H13239" s="6" t="str">
        <f>VLOOKUP(E13239,dicionario!$A$1:$C13638,3,0)</f>
        <v>vassourinha-de-botão</v>
      </c>
    </row>
    <row r="13240">
      <c r="A13240" s="3">
        <v>45897.0</v>
      </c>
      <c r="B13240" s="4">
        <v>0.2722222222222222</v>
      </c>
      <c r="C13240" s="5" t="s">
        <v>26</v>
      </c>
      <c r="D13240" s="5" t="s">
        <v>1776</v>
      </c>
      <c r="E13240" s="8" t="s">
        <v>360</v>
      </c>
      <c r="F13240" s="5" t="s">
        <v>361</v>
      </c>
      <c r="G13240" s="6" t="str">
        <f>VLOOKUP(E13240,dicionario!$A$1:$C13639,2,0)</f>
        <v>Chamaecrista rotundifolia</v>
      </c>
      <c r="H13240" s="6" t="str">
        <f>VLOOKUP(E13240,dicionario!$A$1:$C13639,3,0)</f>
        <v>alfafa-nativa</v>
      </c>
    </row>
    <row r="13241">
      <c r="A13241" s="3">
        <v>45897.0</v>
      </c>
      <c r="B13241" s="4">
        <v>0.2722222222222222</v>
      </c>
      <c r="C13241" s="5" t="s">
        <v>26</v>
      </c>
      <c r="D13241" s="5" t="s">
        <v>1776</v>
      </c>
      <c r="E13241" s="6" t="s">
        <v>60</v>
      </c>
      <c r="F13241" s="5" t="s">
        <v>61</v>
      </c>
      <c r="G13241" s="6" t="str">
        <f>VLOOKUP(E13241,dicionario!$A$1:$C13640,2,0)</f>
        <v>Vanellus chilensis</v>
      </c>
      <c r="H13241" s="6" t="str">
        <f>VLOOKUP(E13241,dicionario!$A$1:$C13640,3,0)</f>
        <v>quero-quero</v>
      </c>
    </row>
    <row r="13242">
      <c r="A13242" s="3">
        <v>45897.0</v>
      </c>
      <c r="B13242" s="4">
        <v>0.2722222222222222</v>
      </c>
      <c r="C13242" s="5" t="s">
        <v>26</v>
      </c>
      <c r="D13242" s="5" t="s">
        <v>1776</v>
      </c>
      <c r="E13242" s="6" t="s">
        <v>88</v>
      </c>
      <c r="F13242" s="5" t="s">
        <v>89</v>
      </c>
      <c r="G13242" s="6" t="str">
        <f>VLOOKUP(E13242,dicionario!$A$1:$C13641,2,0)</f>
        <v>Tyrannus melancolichus</v>
      </c>
      <c r="H13242" s="6" t="str">
        <f>VLOOKUP(E13242,dicionario!$A$1:$C13641,3,0)</f>
        <v>suiriri</v>
      </c>
    </row>
    <row r="13243">
      <c r="A13243" s="3">
        <v>45897.0</v>
      </c>
      <c r="B13243" s="4">
        <v>0.2722222222222222</v>
      </c>
      <c r="C13243" s="5" t="s">
        <v>26</v>
      </c>
      <c r="D13243" s="5" t="s">
        <v>1776</v>
      </c>
      <c r="E13243" s="8" t="s">
        <v>20</v>
      </c>
      <c r="F13243" s="5" t="s">
        <v>21</v>
      </c>
      <c r="G13243" s="6" t="str">
        <f>VLOOKUP(E13243,dicionario!$A$1:$C13642,2,0)</f>
        <v>Sicalis flaveola</v>
      </c>
      <c r="H13243" s="6" t="str">
        <f>VLOOKUP(E13243,dicionario!$A$1:$C13642,3,0)</f>
        <v>canário-da-terra</v>
      </c>
    </row>
    <row r="13244">
      <c r="A13244" s="3">
        <v>45897.0</v>
      </c>
      <c r="B13244" s="4">
        <v>0.2722222222222222</v>
      </c>
      <c r="C13244" s="5" t="s">
        <v>26</v>
      </c>
      <c r="D13244" s="5" t="s">
        <v>1776</v>
      </c>
      <c r="E13244" s="6" t="s">
        <v>302</v>
      </c>
      <c r="F13244" s="5" t="s">
        <v>303</v>
      </c>
      <c r="G13244" s="6" t="str">
        <f>VLOOKUP(E13244,dicionario!$A$1:$C13643,2,0)</f>
        <v>Machetornis rixosa</v>
      </c>
      <c r="H13244" s="6" t="str">
        <f>VLOOKUP(E13244,dicionario!$A$1:$C13643,3,0)</f>
        <v>suiriri-cavaleiro</v>
      </c>
    </row>
    <row r="13245">
      <c r="A13245" s="3">
        <v>45897.0</v>
      </c>
      <c r="B13245" s="4">
        <v>0.27361111111111114</v>
      </c>
      <c r="C13245" s="5" t="s">
        <v>26</v>
      </c>
      <c r="D13245" s="5" t="s">
        <v>1776</v>
      </c>
      <c r="E13245" s="6" t="s">
        <v>253</v>
      </c>
      <c r="F13245" s="5" t="s">
        <v>254</v>
      </c>
      <c r="G13245" s="6" t="str">
        <f>VLOOKUP(E13245,dicionario!$A$1:$C13644,2,0)</f>
        <v>Panicum maximum</v>
      </c>
      <c r="H13245" s="6" t="str">
        <f>VLOOKUP(E13245,dicionario!$A$1:$C13644,3,0)</f>
        <v>capim-colonião</v>
      </c>
    </row>
    <row r="13246">
      <c r="A13246" s="3">
        <v>45897.0</v>
      </c>
      <c r="B13246" s="4">
        <v>0.27361111111111114</v>
      </c>
      <c r="C13246" s="5" t="s">
        <v>26</v>
      </c>
      <c r="D13246" s="5" t="s">
        <v>1776</v>
      </c>
      <c r="E13246" s="9" t="s">
        <v>105</v>
      </c>
      <c r="F13246" s="5" t="s">
        <v>106</v>
      </c>
      <c r="G13246" s="6" t="str">
        <f>VLOOKUP(E13246,dicionario!$A$1:$C13645,2,0)</f>
        <v>Progne tapera</v>
      </c>
      <c r="H13246" s="6" t="str">
        <f>VLOOKUP(E13246,dicionario!$A$1:$C13645,3,0)</f>
        <v>andorinha-do-campo</v>
      </c>
    </row>
    <row r="13247">
      <c r="A13247" s="3">
        <v>45897.0</v>
      </c>
      <c r="B13247" s="4">
        <v>0.2743055555555556</v>
      </c>
      <c r="C13247" s="5" t="s">
        <v>26</v>
      </c>
      <c r="D13247" s="5" t="s">
        <v>1776</v>
      </c>
      <c r="E13247" s="6" t="s">
        <v>99</v>
      </c>
      <c r="F13247" s="5" t="s">
        <v>508</v>
      </c>
      <c r="G13247" s="6" t="str">
        <f>VLOOKUP(E13247,dicionario!$A$1:$C13646,2,0)</f>
        <v>Molothrus bonariensis</v>
      </c>
      <c r="H13247" s="6" t="str">
        <f>VLOOKUP(E13247,dicionario!$A$1:$C13646,3,0)</f>
        <v>chupim</v>
      </c>
    </row>
    <row r="13248">
      <c r="A13248" s="3">
        <v>45897.0</v>
      </c>
      <c r="B13248" s="4">
        <v>0.275</v>
      </c>
      <c r="C13248" s="5" t="s">
        <v>26</v>
      </c>
      <c r="D13248" s="5" t="s">
        <v>1776</v>
      </c>
      <c r="E13248" s="6" t="s">
        <v>191</v>
      </c>
      <c r="F13248" s="5" t="s">
        <v>771</v>
      </c>
      <c r="G13248" s="6" t="str">
        <f>VLOOKUP(E13248,dicionario!$A$1:$C13647,2,0)</f>
        <v>Patagioenas picazuro</v>
      </c>
      <c r="H13248" s="6" t="str">
        <f>VLOOKUP(E13248,dicionario!$A$1:$C13647,3,0)</f>
        <v>asa-branca; pomba-asa-branca; pocaçu</v>
      </c>
    </row>
    <row r="13249">
      <c r="A13249" s="3">
        <v>45897.0</v>
      </c>
      <c r="B13249" s="4">
        <v>0.275</v>
      </c>
      <c r="C13249" s="5" t="s">
        <v>26</v>
      </c>
      <c r="D13249" s="5" t="s">
        <v>1776</v>
      </c>
      <c r="E13249" s="6" t="s">
        <v>353</v>
      </c>
      <c r="F13249" s="5" t="s">
        <v>354</v>
      </c>
      <c r="G13249" s="6" t="str">
        <f>VLOOKUP(E13249,dicionario!$A$1:$C13648,2,0)</f>
        <v>Desmodium incanum</v>
      </c>
      <c r="H13249" s="6" t="str">
        <f>VLOOKUP(E13249,dicionario!$A$1:$C13648,3,0)</f>
        <v>pega-pega</v>
      </c>
    </row>
    <row r="13250">
      <c r="A13250" s="3">
        <v>45897.0</v>
      </c>
      <c r="B13250" s="4">
        <v>0.27569444444444446</v>
      </c>
      <c r="C13250" s="5" t="s">
        <v>26</v>
      </c>
      <c r="D13250" s="5" t="s">
        <v>1776</v>
      </c>
      <c r="E13250" s="8" t="s">
        <v>366</v>
      </c>
      <c r="F13250" s="5" t="s">
        <v>367</v>
      </c>
      <c r="G13250" s="6" t="str">
        <f>VLOOKUP(E13250,dicionario!$A$1:$C13649,2,0)</f>
        <v>Alternanthera ficoidea</v>
      </c>
      <c r="H13250" s="6" t="str">
        <f>VLOOKUP(E13250,dicionario!$A$1:$C13649,3,0)</f>
        <v>quebra-panela</v>
      </c>
    </row>
    <row r="13251">
      <c r="A13251" s="3">
        <v>45897.0</v>
      </c>
      <c r="B13251" s="4">
        <v>0.2763888888888889</v>
      </c>
      <c r="C13251" s="5" t="s">
        <v>26</v>
      </c>
      <c r="D13251" s="5" t="s">
        <v>1776</v>
      </c>
      <c r="E13251" s="8" t="s">
        <v>239</v>
      </c>
      <c r="F13251" s="5" t="s">
        <v>240</v>
      </c>
      <c r="G13251" s="6" t="str">
        <f>VLOOKUP(E13251,dicionario!$A$1:$C13650,2,0)</f>
        <v>Gomphrena celosioides</v>
      </c>
      <c r="H13251" s="6" t="str">
        <f>VLOOKUP(E13251,dicionario!$A$1:$C13650,3,0)</f>
        <v>perpétua-branca</v>
      </c>
    </row>
    <row r="13252">
      <c r="A13252" s="3">
        <v>45897.0</v>
      </c>
      <c r="B13252" s="4">
        <v>0.2763888888888889</v>
      </c>
      <c r="C13252" s="5" t="s">
        <v>26</v>
      </c>
      <c r="D13252" s="5" t="s">
        <v>1776</v>
      </c>
      <c r="E13252" s="6" t="s">
        <v>53</v>
      </c>
      <c r="F13252" s="5" t="s">
        <v>54</v>
      </c>
      <c r="G13252" s="6" t="str">
        <f>VLOOKUP(E13252,dicionario!$A$1:$C13651,2,0)</f>
        <v>Turnera subulata</v>
      </c>
      <c r="H13252" s="6" t="str">
        <f>VLOOKUP(E13252,dicionario!$A$1:$C13651,3,0)</f>
        <v>xanana</v>
      </c>
    </row>
    <row r="13253">
      <c r="A13253" s="3">
        <v>45897.0</v>
      </c>
      <c r="B13253" s="4">
        <v>0.2763888888888889</v>
      </c>
      <c r="C13253" s="5" t="s">
        <v>26</v>
      </c>
      <c r="D13253" s="5" t="s">
        <v>1776</v>
      </c>
      <c r="E13253" s="8" t="s">
        <v>271</v>
      </c>
      <c r="F13253" s="5" t="s">
        <v>272</v>
      </c>
      <c r="G13253" s="6" t="str">
        <f>VLOOKUP(E13253,dicionario!$A$1:$C13652,2,0)</f>
        <v>Cyanthillium cinereum</v>
      </c>
      <c r="H13253" s="6" t="str">
        <f>VLOOKUP(E13253,dicionario!$A$1:$C13652,3,0)</f>
        <v>emília</v>
      </c>
    </row>
    <row r="13254">
      <c r="A13254" s="3">
        <v>45897.0</v>
      </c>
      <c r="B13254" s="4">
        <v>0.27708333333333335</v>
      </c>
      <c r="C13254" s="5" t="s">
        <v>26</v>
      </c>
      <c r="D13254" s="5" t="s">
        <v>1776</v>
      </c>
      <c r="E13254" s="6" t="s">
        <v>471</v>
      </c>
      <c r="F13254" s="5" t="s">
        <v>472</v>
      </c>
      <c r="G13254" s="6" t="str">
        <f>VLOOKUP(E13254,dicionario!$A$1:$C13653,2,0)</f>
        <v>Sida acuta</v>
      </c>
      <c r="H13254" s="6" t="str">
        <f>VLOOKUP(E13254,dicionario!$A$1:$C13653,3,0)</f>
        <v>reloginho</v>
      </c>
    </row>
    <row r="13255">
      <c r="A13255" s="3">
        <v>45897.0</v>
      </c>
      <c r="B13255" s="4">
        <v>0.2777777777777778</v>
      </c>
      <c r="C13255" s="5" t="s">
        <v>26</v>
      </c>
      <c r="D13255" s="5" t="s">
        <v>1776</v>
      </c>
      <c r="E13255" s="8" t="s">
        <v>1008</v>
      </c>
      <c r="F13255" s="5" t="s">
        <v>1013</v>
      </c>
      <c r="G13255" s="6" t="str">
        <f>VLOOKUP(E13255,dicionario!$A$1:$C13654,2,0)</f>
        <v>Syntermes molestus</v>
      </c>
      <c r="H13255" s="6" t="str">
        <f>VLOOKUP(E13255,dicionario!$A$1:$C13654,3,0)</f>
        <v>cupim-bate-cabeça</v>
      </c>
    </row>
    <row r="13256">
      <c r="A13256" s="3">
        <v>45897.0</v>
      </c>
      <c r="B13256" s="4">
        <v>0.2777777777777778</v>
      </c>
      <c r="C13256" s="5" t="s">
        <v>26</v>
      </c>
      <c r="D13256" s="5" t="s">
        <v>1776</v>
      </c>
      <c r="E13256" s="6" t="s">
        <v>243</v>
      </c>
      <c r="F13256" s="5" t="s">
        <v>244</v>
      </c>
      <c r="G13256" s="6" t="str">
        <f>VLOOKUP(E13256,dicionario!$A$1:$C13655,2,0)</f>
        <v>Macroptilium atropurpureum</v>
      </c>
      <c r="H13256" s="6" t="str">
        <f>VLOOKUP(E13256,dicionario!$A$1:$C13655,3,0)</f>
        <v>feijão-de-pombo</v>
      </c>
    </row>
    <row r="13257">
      <c r="A13257" s="3">
        <v>45897.0</v>
      </c>
      <c r="B13257" s="4">
        <v>0.27847222222222223</v>
      </c>
      <c r="C13257" s="5" t="s">
        <v>26</v>
      </c>
      <c r="D13257" s="5" t="s">
        <v>1776</v>
      </c>
      <c r="E13257" s="6" t="s">
        <v>154</v>
      </c>
      <c r="F13257" s="5" t="s">
        <v>155</v>
      </c>
      <c r="G13257" s="6" t="str">
        <f>VLOOKUP(E13257,dicionario!$A$1:$C13656,2,0)</f>
        <v>Cyperus rotundus</v>
      </c>
      <c r="H13257" s="6" t="str">
        <f>VLOOKUP(E13257,dicionario!$A$1:$C13656,3,0)</f>
        <v>tiririca</v>
      </c>
    </row>
    <row r="13258">
      <c r="A13258" s="3">
        <v>45897.0</v>
      </c>
      <c r="B13258" s="21">
        <v>0.2791666666666667</v>
      </c>
      <c r="C13258" s="5" t="s">
        <v>26</v>
      </c>
      <c r="D13258" s="5" t="s">
        <v>1776</v>
      </c>
      <c r="E13258" s="6" t="s">
        <v>144</v>
      </c>
      <c r="F13258" s="5" t="s">
        <v>145</v>
      </c>
      <c r="G13258" s="6" t="str">
        <f>VLOOKUP(E13258,dicionario!$A$1:$C13657,2,0)</f>
        <v>Gomphrena globosa</v>
      </c>
      <c r="H13258" s="6" t="str">
        <f>VLOOKUP(E13258,dicionario!$A$1:$C13657,3,0)</f>
        <v>perpétua-rosa</v>
      </c>
    </row>
    <row r="13259">
      <c r="A13259" s="3">
        <v>45897.0</v>
      </c>
      <c r="B13259" s="21">
        <v>0.2791666666666667</v>
      </c>
      <c r="C13259" s="5" t="s">
        <v>26</v>
      </c>
      <c r="D13259" s="5" t="s">
        <v>1776</v>
      </c>
      <c r="E13259" s="8" t="s">
        <v>109</v>
      </c>
      <c r="F13259" s="5" t="s">
        <v>110</v>
      </c>
      <c r="G13259" s="6" t="str">
        <f>VLOOKUP(E13259,dicionario!$A$1:$C13658,2,0)</f>
        <v>Tillandsia stricta</v>
      </c>
      <c r="H13259" s="6" t="str">
        <f>VLOOKUP(E13259,dicionario!$A$1:$C13658,3,0)</f>
        <v>cravo-do-mato</v>
      </c>
    </row>
    <row r="13260">
      <c r="A13260" s="3">
        <v>45897.0</v>
      </c>
      <c r="B13260" s="21">
        <v>0.2791666666666667</v>
      </c>
      <c r="C13260" s="5" t="s">
        <v>26</v>
      </c>
      <c r="D13260" s="5" t="s">
        <v>1776</v>
      </c>
      <c r="E13260" s="8" t="s">
        <v>1167</v>
      </c>
      <c r="F13260" s="52" t="s">
        <v>1777</v>
      </c>
      <c r="G13260" s="6" t="str">
        <f>VLOOKUP(E13260,dicionario!$A$1:$C13659,2,0)</f>
        <v>Tillandsia recurvata</v>
      </c>
      <c r="H13260" s="6" t="str">
        <f>VLOOKUP(E13260,dicionario!$A$1:$C13659,3,0)</f>
        <v>cravo-do-mato sp2</v>
      </c>
    </row>
    <row r="13261">
      <c r="A13261" s="3">
        <v>45897.0</v>
      </c>
      <c r="B13261" s="63">
        <v>0.28055555555555556</v>
      </c>
      <c r="C13261" s="5" t="s">
        <v>33</v>
      </c>
      <c r="D13261" s="5" t="s">
        <v>1776</v>
      </c>
      <c r="E13261" s="6" t="s">
        <v>86</v>
      </c>
      <c r="F13261" s="5" t="s">
        <v>502</v>
      </c>
      <c r="G13261" s="6" t="str">
        <f>VLOOKUP(E13261,dicionario!$A$1:$C13660,2,0)</f>
        <v>Coereba flaveola</v>
      </c>
      <c r="H13261" s="6" t="str">
        <f>VLOOKUP(E13261,dicionario!$A$1:$C13660,3,0)</f>
        <v>cambacica</v>
      </c>
    </row>
    <row r="13262">
      <c r="A13262" s="3">
        <v>45897.0</v>
      </c>
      <c r="B13262" s="4">
        <v>0.28194444444444444</v>
      </c>
      <c r="C13262" s="5" t="s">
        <v>33</v>
      </c>
      <c r="D13262" s="5" t="s">
        <v>1776</v>
      </c>
      <c r="E13262" s="8" t="s">
        <v>849</v>
      </c>
      <c r="F13262" s="5" t="s">
        <v>1457</v>
      </c>
      <c r="G13262" s="6" t="str">
        <f>VLOOKUP(E13262,dicionario!$A$1:$C13661,2,0)</f>
        <v>#N/A</v>
      </c>
      <c r="H13262" s="6" t="str">
        <f>VLOOKUP(E13262,dicionario!$A$1:$C13661,3,0)</f>
        <v>#N/A</v>
      </c>
    </row>
    <row r="13263">
      <c r="A13263" s="3">
        <v>45897.0</v>
      </c>
      <c r="B13263" s="4">
        <v>0.28194444444444444</v>
      </c>
      <c r="C13263" s="5" t="s">
        <v>33</v>
      </c>
      <c r="D13263" s="5" t="s">
        <v>1776</v>
      </c>
      <c r="E13263" s="6" t="s">
        <v>286</v>
      </c>
      <c r="F13263" s="5" t="s">
        <v>287</v>
      </c>
      <c r="G13263" s="6" t="str">
        <f>VLOOKUP(E13263,dicionario!$A$1:$C13662,2,0)</f>
        <v>Setaria parviflora</v>
      </c>
      <c r="H13263" s="6" t="str">
        <f>VLOOKUP(E13263,dicionario!$A$1:$C13662,3,0)</f>
        <v>capim-rabo-de-raposa</v>
      </c>
    </row>
    <row r="13264">
      <c r="A13264" s="3">
        <v>45897.0</v>
      </c>
      <c r="B13264" s="4">
        <v>0.28194444444444444</v>
      </c>
      <c r="C13264" s="5" t="s">
        <v>33</v>
      </c>
      <c r="D13264" s="5" t="s">
        <v>1776</v>
      </c>
      <c r="E13264" s="29" t="s">
        <v>566</v>
      </c>
      <c r="F13264" s="5" t="s">
        <v>567</v>
      </c>
      <c r="G13264" s="6" t="str">
        <f>VLOOKUP(E13264,dicionario!$A$1:$C13663,2,0)</f>
        <v>Baccharis dracunculifolia</v>
      </c>
      <c r="H13264" s="6" t="str">
        <f>VLOOKUP(E13264,dicionario!$A$1:$C13663,3,0)</f>
        <v>vassoura</v>
      </c>
    </row>
    <row r="13265">
      <c r="A13265" s="3">
        <v>45897.0</v>
      </c>
      <c r="B13265" s="4">
        <v>0.2826388888888889</v>
      </c>
      <c r="C13265" s="5" t="s">
        <v>33</v>
      </c>
      <c r="D13265" s="5" t="s">
        <v>1776</v>
      </c>
      <c r="E13265" s="8" t="s">
        <v>20</v>
      </c>
      <c r="F13265" s="5" t="s">
        <v>21</v>
      </c>
      <c r="G13265" s="6" t="str">
        <f>VLOOKUP(E13265,dicionario!$A$1:$C13664,2,0)</f>
        <v>Sicalis flaveola</v>
      </c>
      <c r="H13265" s="6" t="str">
        <f>VLOOKUP(E13265,dicionario!$A$1:$C13664,3,0)</f>
        <v>canário-da-terra</v>
      </c>
    </row>
    <row r="13266">
      <c r="A13266" s="3">
        <v>45897.0</v>
      </c>
      <c r="B13266" s="4">
        <v>0.2826388888888889</v>
      </c>
      <c r="C13266" s="5" t="s">
        <v>33</v>
      </c>
      <c r="D13266" s="5" t="s">
        <v>1776</v>
      </c>
      <c r="E13266" s="8" t="s">
        <v>38</v>
      </c>
      <c r="F13266" s="5" t="s">
        <v>1672</v>
      </c>
      <c r="G13266" s="6" t="str">
        <f>VLOOKUP(E13266,dicionario!$A$1:$C13665,2,0)</f>
        <v>Troglodytes musculus</v>
      </c>
      <c r="H13266" s="6" t="str">
        <f>VLOOKUP(E13266,dicionario!$A$1:$C13665,3,0)</f>
        <v>curruíra</v>
      </c>
    </row>
    <row r="13267">
      <c r="A13267" s="3">
        <v>45897.0</v>
      </c>
      <c r="B13267" s="4">
        <v>0.2833333333333333</v>
      </c>
      <c r="C13267" s="5" t="s">
        <v>33</v>
      </c>
      <c r="D13267" s="5" t="s">
        <v>1776</v>
      </c>
      <c r="E13267" s="8" t="s">
        <v>271</v>
      </c>
      <c r="F13267" s="5" t="s">
        <v>1169</v>
      </c>
      <c r="G13267" s="6" t="str">
        <f>VLOOKUP(E13267,dicionario!$A$1:$C13666,2,0)</f>
        <v>Cyanthillium cinereum</v>
      </c>
      <c r="H13267" s="6" t="str">
        <f>VLOOKUP(E13267,dicionario!$A$1:$C13666,3,0)</f>
        <v>emília</v>
      </c>
    </row>
    <row r="13268">
      <c r="A13268" s="3">
        <v>45897.0</v>
      </c>
      <c r="B13268" s="4">
        <v>0.2833333333333333</v>
      </c>
      <c r="C13268" s="5" t="s">
        <v>33</v>
      </c>
      <c r="D13268" s="5" t="s">
        <v>1776</v>
      </c>
      <c r="E13268" s="8" t="s">
        <v>109</v>
      </c>
      <c r="F13268" s="5" t="s">
        <v>110</v>
      </c>
      <c r="G13268" s="6" t="str">
        <f>VLOOKUP(E13268,dicionario!$A$1:$C13667,2,0)</f>
        <v>Tillandsia stricta</v>
      </c>
      <c r="H13268" s="6" t="str">
        <f>VLOOKUP(E13268,dicionario!$A$1:$C13667,3,0)</f>
        <v>cravo-do-mato</v>
      </c>
    </row>
    <row r="13269">
      <c r="A13269" s="3">
        <v>45897.0</v>
      </c>
      <c r="B13269" s="4">
        <v>0.2833333333333333</v>
      </c>
      <c r="C13269" s="5" t="s">
        <v>33</v>
      </c>
      <c r="D13269" s="5" t="s">
        <v>1776</v>
      </c>
      <c r="E13269" s="6" t="s">
        <v>65</v>
      </c>
      <c r="F13269" s="5" t="s">
        <v>66</v>
      </c>
      <c r="G13269" s="6" t="str">
        <f>VLOOKUP(E13269,dicionario!$A$1:$C13668,2,0)</f>
        <v>Pitangus sulphutarus</v>
      </c>
      <c r="H13269" s="6" t="str">
        <f>VLOOKUP(E13269,dicionario!$A$1:$C13668,3,0)</f>
        <v>bem-te-vi</v>
      </c>
    </row>
    <row r="13270">
      <c r="A13270" s="3">
        <v>45897.0</v>
      </c>
      <c r="B13270" s="4">
        <v>0.2833333333333333</v>
      </c>
      <c r="C13270" s="5" t="s">
        <v>33</v>
      </c>
      <c r="D13270" s="5" t="s">
        <v>1776</v>
      </c>
      <c r="E13270" s="8" t="s">
        <v>1112</v>
      </c>
      <c r="F13270" s="5" t="s">
        <v>1113</v>
      </c>
      <c r="G13270" s="6" t="str">
        <f>VLOOKUP(E13270,dicionario!$A$1:$C13669,2,0)</f>
        <v>Hylophilus thoracicus</v>
      </c>
      <c r="H13270" s="6" t="str">
        <f>VLOOKUP(E13270,dicionario!$A$1:$C13669,3,0)</f>
        <v>vite-vite</v>
      </c>
    </row>
    <row r="13271">
      <c r="A13271" s="3">
        <v>45897.0</v>
      </c>
      <c r="B13271" s="4">
        <v>0.2847222222222222</v>
      </c>
      <c r="C13271" s="5" t="s">
        <v>33</v>
      </c>
      <c r="D13271" s="5" t="s">
        <v>1776</v>
      </c>
      <c r="E13271" s="8" t="s">
        <v>1127</v>
      </c>
      <c r="F13271" s="5" t="s">
        <v>1128</v>
      </c>
      <c r="G13271" s="6" t="str">
        <f>VLOOKUP(E13271,dicionario!$A$1:$C13670,2,0)</f>
        <v>Albizia lebbeck</v>
      </c>
      <c r="H13271" s="6" t="str">
        <f>VLOOKUP(E13271,dicionario!$A$1:$C13670,3,0)</f>
        <v>albízia</v>
      </c>
    </row>
    <row r="13272">
      <c r="A13272" s="3">
        <v>45897.0</v>
      </c>
      <c r="B13272" s="4">
        <v>0.2847222222222222</v>
      </c>
      <c r="C13272" s="5" t="s">
        <v>33</v>
      </c>
      <c r="D13272" s="5" t="s">
        <v>1776</v>
      </c>
      <c r="E13272" s="6" t="s">
        <v>175</v>
      </c>
      <c r="F13272" s="5" t="s">
        <v>176</v>
      </c>
      <c r="G13272" s="6" t="str">
        <f>VLOOKUP(E13272,dicionario!$A$1:$C13671,2,0)</f>
        <v>Turdus leucomelas</v>
      </c>
      <c r="H13272" s="6" t="str">
        <f>VLOOKUP(E13272,dicionario!$A$1:$C13671,3,0)</f>
        <v>sabiá-barranco</v>
      </c>
    </row>
    <row r="13273">
      <c r="A13273" s="3">
        <v>45897.0</v>
      </c>
      <c r="B13273" s="4">
        <v>0.2847222222222222</v>
      </c>
      <c r="C13273" s="5" t="s">
        <v>33</v>
      </c>
      <c r="D13273" s="5" t="s">
        <v>1776</v>
      </c>
      <c r="E13273" s="8" t="s">
        <v>223</v>
      </c>
      <c r="F13273" s="5" t="s">
        <v>224</v>
      </c>
      <c r="G13273" s="6" t="str">
        <f>VLOOKUP(E13273,dicionario!$A$1:$C13672,2,0)</f>
        <v>Rhipsalis lindbergiana</v>
      </c>
      <c r="H13273" s="6" t="str">
        <f>VLOOKUP(E13273,dicionario!$A$1:$C13672,3,0)</f>
        <v>cacto-macarrão</v>
      </c>
    </row>
    <row r="13274">
      <c r="A13274" s="3">
        <v>45897.0</v>
      </c>
      <c r="B13274" s="4">
        <v>0.2847222222222222</v>
      </c>
      <c r="C13274" s="5" t="s">
        <v>33</v>
      </c>
      <c r="D13274" s="5" t="s">
        <v>1776</v>
      </c>
      <c r="E13274" s="6" t="s">
        <v>191</v>
      </c>
      <c r="F13274" s="5" t="s">
        <v>192</v>
      </c>
      <c r="G13274" s="6" t="str">
        <f>VLOOKUP(E13274,dicionario!$A$1:$C13673,2,0)</f>
        <v>Patagioenas picazuro</v>
      </c>
      <c r="H13274" s="6" t="str">
        <f>VLOOKUP(E13274,dicionario!$A$1:$C13673,3,0)</f>
        <v>asa-branca; pomba-asa-branca; pocaçu</v>
      </c>
    </row>
    <row r="13275">
      <c r="A13275" s="3">
        <v>45897.0</v>
      </c>
      <c r="B13275" s="4">
        <v>0.28541666666666665</v>
      </c>
      <c r="C13275" s="5" t="s">
        <v>33</v>
      </c>
      <c r="D13275" s="5" t="s">
        <v>1776</v>
      </c>
      <c r="E13275" s="6" t="s">
        <v>251</v>
      </c>
      <c r="F13275" s="5" t="s">
        <v>252</v>
      </c>
      <c r="G13275" s="6" t="str">
        <f>VLOOKUP(E13275,dicionario!$A$1:$C13674,2,0)</f>
        <v>Struthanthus flexicaulis</v>
      </c>
      <c r="H13275" s="6" t="str">
        <f>VLOOKUP(E13275,dicionario!$A$1:$C13674,3,0)</f>
        <v>erva-de-passarinho</v>
      </c>
    </row>
    <row r="13276">
      <c r="A13276" s="3">
        <v>45897.0</v>
      </c>
      <c r="B13276" s="4">
        <v>0.28541666666666665</v>
      </c>
      <c r="C13276" s="5" t="s">
        <v>33</v>
      </c>
      <c r="D13276" s="5" t="s">
        <v>1776</v>
      </c>
      <c r="E13276" s="8" t="s">
        <v>624</v>
      </c>
      <c r="F13276" s="5" t="s">
        <v>133</v>
      </c>
      <c r="G13276" s="6" t="str">
        <f>VLOOKUP(E13276,dicionario!$A$1:$C13675,2,0)</f>
        <v>Euphonia violacea</v>
      </c>
      <c r="H13276" s="6" t="str">
        <f>VLOOKUP(E13276,dicionario!$A$1:$C13675,3,0)</f>
        <v>gaturamo-verdadeiro</v>
      </c>
    </row>
    <row r="13277">
      <c r="A13277" s="3">
        <v>45897.0</v>
      </c>
      <c r="B13277" s="4">
        <v>0.28541666666666665</v>
      </c>
      <c r="C13277" s="5" t="s">
        <v>33</v>
      </c>
      <c r="D13277" s="5" t="s">
        <v>1776</v>
      </c>
      <c r="E13277" s="6" t="s">
        <v>177</v>
      </c>
      <c r="F13277" s="5" t="s">
        <v>178</v>
      </c>
      <c r="G13277" s="6" t="str">
        <f>VLOOKUP(E13277,dicionario!$A$1:$C13676,2,0)</f>
        <v>Elaenia flavogaster</v>
      </c>
      <c r="H13277" s="6" t="str">
        <f>VLOOKUP(E13277,dicionario!$A$1:$C13676,3,0)</f>
        <v>guaracava-de-barriga-amarela</v>
      </c>
    </row>
    <row r="13278">
      <c r="A13278" s="3">
        <v>45897.0</v>
      </c>
      <c r="B13278" s="4">
        <v>0.2861111111111111</v>
      </c>
      <c r="C13278" s="5" t="s">
        <v>33</v>
      </c>
      <c r="D13278" s="5" t="s">
        <v>1776</v>
      </c>
      <c r="E13278" s="6" t="s">
        <v>53</v>
      </c>
      <c r="F13278" s="5" t="s">
        <v>54</v>
      </c>
      <c r="G13278" s="6" t="str">
        <f>VLOOKUP(E13278,dicionario!$A$1:$C13677,2,0)</f>
        <v>Turnera subulata</v>
      </c>
      <c r="H13278" s="6" t="str">
        <f>VLOOKUP(E13278,dicionario!$A$1:$C13677,3,0)</f>
        <v>xanana</v>
      </c>
    </row>
    <row r="13279">
      <c r="A13279" s="3">
        <v>45897.0</v>
      </c>
      <c r="B13279" s="4">
        <v>0.28680555555555554</v>
      </c>
      <c r="C13279" s="5" t="s">
        <v>40</v>
      </c>
      <c r="D13279" s="5" t="s">
        <v>1776</v>
      </c>
      <c r="E13279" s="8" t="s">
        <v>20</v>
      </c>
      <c r="F13279" s="5" t="s">
        <v>21</v>
      </c>
      <c r="G13279" s="6" t="str">
        <f>VLOOKUP(E13279,dicionario!$A$1:$C13678,2,0)</f>
        <v>Sicalis flaveola</v>
      </c>
      <c r="H13279" s="6" t="str">
        <f>VLOOKUP(E13279,dicionario!$A$1:$C13678,3,0)</f>
        <v>canário-da-terra</v>
      </c>
    </row>
    <row r="13280">
      <c r="A13280" s="3">
        <v>45897.0</v>
      </c>
      <c r="B13280" s="4">
        <v>0.2875</v>
      </c>
      <c r="C13280" s="5" t="s">
        <v>40</v>
      </c>
      <c r="D13280" s="5" t="s">
        <v>1776</v>
      </c>
      <c r="E13280" s="8" t="s">
        <v>53</v>
      </c>
      <c r="F13280" s="5" t="s">
        <v>54</v>
      </c>
      <c r="G13280" s="6" t="str">
        <f>VLOOKUP(E13280,dicionario!$A$1:$C13679,2,0)</f>
        <v>Turnera subulata</v>
      </c>
      <c r="H13280" s="6" t="str">
        <f>VLOOKUP(E13280,dicionario!$A$1:$C13679,3,0)</f>
        <v>xanana</v>
      </c>
    </row>
    <row r="13281">
      <c r="A13281" s="3">
        <v>45897.0</v>
      </c>
      <c r="B13281" s="4">
        <v>0.2881944444444444</v>
      </c>
      <c r="C13281" s="5" t="s">
        <v>40</v>
      </c>
      <c r="D13281" s="5" t="s">
        <v>1776</v>
      </c>
      <c r="E13281" s="8" t="s">
        <v>298</v>
      </c>
      <c r="F13281" s="5"/>
      <c r="G13281" s="6" t="str">
        <f>VLOOKUP(E13281,dicionario!$A$1:$C13680,2,0)</f>
        <v>Alysicarpus vaginalis</v>
      </c>
      <c r="H13281" s="6" t="str">
        <f>VLOOKUP(E13281,dicionario!$A$1:$C13680,3,0)</f>
        <v/>
      </c>
    </row>
    <row r="13282">
      <c r="A13282" s="3">
        <v>45897.0</v>
      </c>
      <c r="B13282" s="4">
        <v>0.2881944444444444</v>
      </c>
      <c r="C13282" s="5" t="s">
        <v>40</v>
      </c>
      <c r="D13282" s="5" t="s">
        <v>1776</v>
      </c>
      <c r="E13282" s="8" t="s">
        <v>1127</v>
      </c>
      <c r="F13282" s="5" t="s">
        <v>1128</v>
      </c>
      <c r="G13282" s="6" t="str">
        <f>VLOOKUP(E13282,dicionario!$A$1:$C13681,2,0)</f>
        <v>Albizia lebbeck</v>
      </c>
      <c r="H13282" s="6" t="str">
        <f>VLOOKUP(E13282,dicionario!$A$1:$C13681,3,0)</f>
        <v>albízia</v>
      </c>
    </row>
    <row r="13283">
      <c r="A13283" s="3">
        <v>45897.0</v>
      </c>
      <c r="B13283" s="4">
        <v>0.2881944444444444</v>
      </c>
      <c r="C13283" s="5" t="s">
        <v>40</v>
      </c>
      <c r="D13283" s="5" t="s">
        <v>1776</v>
      </c>
      <c r="E13283" s="6" t="s">
        <v>247</v>
      </c>
      <c r="F13283" s="5" t="s">
        <v>387</v>
      </c>
      <c r="G13283" s="6" t="str">
        <f>VLOOKUP(E13283,dicionario!$A$1:$C13682,2,0)</f>
        <v>Emilia sonchifolia</v>
      </c>
      <c r="H13283" s="6" t="str">
        <f>VLOOKUP(E13283,dicionario!$A$1:$C13682,3,0)</f>
        <v>serralinha</v>
      </c>
    </row>
    <row r="13284">
      <c r="A13284" s="3">
        <v>45897.0</v>
      </c>
      <c r="B13284" s="4">
        <v>0.28888888888888886</v>
      </c>
      <c r="C13284" s="5" t="s">
        <v>40</v>
      </c>
      <c r="D13284" s="5" t="s">
        <v>1776</v>
      </c>
      <c r="E13284" s="6" t="s">
        <v>171</v>
      </c>
      <c r="F13284" s="5" t="s">
        <v>172</v>
      </c>
      <c r="G13284" s="6" t="str">
        <f>VLOOKUP(E13284,dicionario!$A$1:$C13683,2,0)</f>
        <v>Oxalis corniculata</v>
      </c>
      <c r="H13284" s="6" t="str">
        <f>VLOOKUP(E13284,dicionario!$A$1:$C13683,3,0)</f>
        <v>trevo-azedinho</v>
      </c>
    </row>
    <row r="13285">
      <c r="A13285" s="3">
        <v>45897.0</v>
      </c>
      <c r="B13285" s="4">
        <v>0.28888888888888886</v>
      </c>
      <c r="C13285" s="5" t="s">
        <v>40</v>
      </c>
      <c r="D13285" s="5" t="s">
        <v>1776</v>
      </c>
      <c r="E13285" s="6" t="s">
        <v>215</v>
      </c>
      <c r="F13285" s="5" t="s">
        <v>216</v>
      </c>
      <c r="G13285" s="6" t="str">
        <f>VLOOKUP(E13285,dicionario!$A$1:$C13684,2,0)</f>
        <v>Pygochelidon cyanoleuca</v>
      </c>
      <c r="H13285" s="6" t="str">
        <f>VLOOKUP(E13285,dicionario!$A$1:$C13684,3,0)</f>
        <v>andorinha-pequena-de-casa</v>
      </c>
    </row>
    <row r="13286">
      <c r="A13286" s="3">
        <v>45897.0</v>
      </c>
      <c r="B13286" s="4">
        <v>0.28888888888888886</v>
      </c>
      <c r="C13286" s="5" t="s">
        <v>40</v>
      </c>
      <c r="D13286" s="5" t="s">
        <v>1776</v>
      </c>
      <c r="E13286" s="8" t="s">
        <v>265</v>
      </c>
      <c r="F13286" s="5" t="s">
        <v>266</v>
      </c>
      <c r="G13286" s="6" t="str">
        <f>VLOOKUP(E13286,dicionario!$A$1:$C13685,2,0)</f>
        <v>Sonchus oleraceus</v>
      </c>
      <c r="H13286" s="6" t="str">
        <f>VLOOKUP(E13286,dicionario!$A$1:$C13685,3,0)</f>
        <v>seralha</v>
      </c>
    </row>
    <row r="13287">
      <c r="A13287" s="3">
        <v>45897.0</v>
      </c>
      <c r="B13287" s="4">
        <v>0.28888888888888886</v>
      </c>
      <c r="C13287" s="5" t="s">
        <v>40</v>
      </c>
      <c r="D13287" s="5" t="s">
        <v>1776</v>
      </c>
      <c r="E13287" s="8" t="s">
        <v>1328</v>
      </c>
      <c r="F13287" s="5" t="s">
        <v>356</v>
      </c>
      <c r="G13287" s="6" t="str">
        <f>VLOOKUP(E13287,dicionario!$A$1:$C13686,2,0)</f>
        <v>#N/A</v>
      </c>
      <c r="H13287" s="6" t="str">
        <f>VLOOKUP(E13287,dicionario!$A$1:$C13686,3,0)</f>
        <v>#N/A</v>
      </c>
    </row>
    <row r="13288">
      <c r="A13288" s="3">
        <v>45897.0</v>
      </c>
      <c r="B13288" s="4">
        <v>0.28888888888888886</v>
      </c>
      <c r="C13288" s="5" t="s">
        <v>40</v>
      </c>
      <c r="D13288" s="5" t="s">
        <v>1776</v>
      </c>
      <c r="E13288" s="6" t="s">
        <v>191</v>
      </c>
      <c r="F13288" s="5" t="s">
        <v>192</v>
      </c>
      <c r="G13288" s="6" t="str">
        <f>VLOOKUP(E13288,dicionario!$A$1:$C13687,2,0)</f>
        <v>Patagioenas picazuro</v>
      </c>
      <c r="H13288" s="6" t="str">
        <f>VLOOKUP(E13288,dicionario!$A$1:$C13687,3,0)</f>
        <v>asa-branca; pomba-asa-branca; pocaçu</v>
      </c>
    </row>
    <row r="13289">
      <c r="A13289" s="3">
        <v>45897.0</v>
      </c>
      <c r="B13289" s="4">
        <v>0.28888888888888886</v>
      </c>
      <c r="C13289" s="5" t="s">
        <v>40</v>
      </c>
      <c r="D13289" s="5" t="s">
        <v>1776</v>
      </c>
      <c r="E13289" s="6" t="s">
        <v>225</v>
      </c>
      <c r="F13289" s="5" t="s">
        <v>226</v>
      </c>
      <c r="G13289" s="6" t="str">
        <f>VLOOKUP(E13289,dicionario!$A$1:$C13688,2,0)</f>
        <v>Passer domesticus</v>
      </c>
      <c r="H13289" s="6" t="str">
        <f>VLOOKUP(E13289,dicionario!$A$1:$C13688,3,0)</f>
        <v>pardal</v>
      </c>
    </row>
    <row r="13290">
      <c r="A13290" s="3">
        <v>45897.0</v>
      </c>
      <c r="B13290" s="4">
        <v>0.28888888888888886</v>
      </c>
      <c r="C13290" s="5" t="s">
        <v>40</v>
      </c>
      <c r="D13290" s="5" t="s">
        <v>1776</v>
      </c>
      <c r="E13290" s="6" t="s">
        <v>113</v>
      </c>
      <c r="F13290" s="5" t="s">
        <v>114</v>
      </c>
      <c r="G13290" s="6" t="str">
        <f>VLOOKUP(E13290,dicionario!$A$1:$C13689,2,0)</f>
        <v>Columbina talpacoti</v>
      </c>
      <c r="H13290" s="6" t="str">
        <f>VLOOKUP(E13290,dicionario!$A$1:$C13689,3,0)</f>
        <v>rolinha-roxa</v>
      </c>
    </row>
    <row r="13291">
      <c r="A13291" s="3">
        <v>45897.0</v>
      </c>
      <c r="B13291" s="4">
        <v>0.28958333333333336</v>
      </c>
      <c r="C13291" s="5" t="s">
        <v>40</v>
      </c>
      <c r="D13291" s="5" t="s">
        <v>1776</v>
      </c>
      <c r="E13291" s="6" t="s">
        <v>177</v>
      </c>
      <c r="F13291" s="5" t="s">
        <v>178</v>
      </c>
      <c r="G13291" s="6" t="str">
        <f>VLOOKUP(E13291,dicionario!$A$1:$C13690,2,0)</f>
        <v>Elaenia flavogaster</v>
      </c>
      <c r="H13291" s="6" t="str">
        <f>VLOOKUP(E13291,dicionario!$A$1:$C13690,3,0)</f>
        <v>guaracava-de-barriga-amarela</v>
      </c>
    </row>
    <row r="13292">
      <c r="A13292" s="3">
        <v>45897.0</v>
      </c>
      <c r="B13292" s="4">
        <v>0.28958333333333336</v>
      </c>
      <c r="C13292" s="5" t="s">
        <v>40</v>
      </c>
      <c r="D13292" s="5" t="s">
        <v>1776</v>
      </c>
      <c r="E13292" s="6" t="s">
        <v>163</v>
      </c>
      <c r="F13292" s="5" t="s">
        <v>164</v>
      </c>
      <c r="G13292" s="6" t="str">
        <f>VLOOKUP(E13292,dicionario!$A$1:$C13691,2,0)</f>
        <v>Coragyps atratus</v>
      </c>
      <c r="H13292" s="6" t="str">
        <f>VLOOKUP(E13292,dicionario!$A$1:$C13691,3,0)</f>
        <v>urubu-de-cabeça-preta</v>
      </c>
    </row>
    <row r="13293">
      <c r="A13293" s="3">
        <v>45897.0</v>
      </c>
      <c r="B13293" s="4">
        <v>0.28958333333333336</v>
      </c>
      <c r="C13293" s="5" t="s">
        <v>40</v>
      </c>
      <c r="D13293" s="5" t="s">
        <v>1776</v>
      </c>
      <c r="E13293" s="6" t="s">
        <v>489</v>
      </c>
      <c r="F13293" s="5" t="s">
        <v>521</v>
      </c>
      <c r="G13293" s="6" t="str">
        <f>VLOOKUP(E13293,dicionario!$A$1:$C13692,2,0)</f>
        <v>Cenchrus echinatus</v>
      </c>
      <c r="H13293" s="6" t="str">
        <f>VLOOKUP(E13293,dicionario!$A$1:$C13692,3,0)</f>
        <v>capim-carrapicho</v>
      </c>
    </row>
    <row r="13294">
      <c r="A13294" s="3">
        <v>45897.0</v>
      </c>
      <c r="B13294" s="4">
        <v>0.28958333333333336</v>
      </c>
      <c r="C13294" s="5" t="s">
        <v>40</v>
      </c>
      <c r="D13294" s="5" t="s">
        <v>1776</v>
      </c>
      <c r="E13294" s="8" t="s">
        <v>388</v>
      </c>
      <c r="F13294" s="5" t="s">
        <v>389</v>
      </c>
      <c r="G13294" s="6" t="str">
        <f>VLOOKUP(E13294,dicionario!$A$1:$C13693,2,0)</f>
        <v>Bulimulus tenuissimus</v>
      </c>
      <c r="H13294" s="6" t="str">
        <f>VLOOKUP(E13294,dicionario!$A$1:$C13693,3,0)</f>
        <v>caracol-fantasma</v>
      </c>
    </row>
    <row r="13295">
      <c r="A13295" s="3">
        <v>45897.0</v>
      </c>
      <c r="B13295" s="4">
        <v>0.28958333333333336</v>
      </c>
      <c r="C13295" s="5" t="s">
        <v>40</v>
      </c>
      <c r="D13295" s="5" t="s">
        <v>1776</v>
      </c>
      <c r="E13295" s="6" t="s">
        <v>154</v>
      </c>
      <c r="F13295" s="5" t="s">
        <v>155</v>
      </c>
      <c r="G13295" s="6" t="str">
        <f>VLOOKUP(E13295,dicionario!$A$1:$C13694,2,0)</f>
        <v>Cyperus rotundus</v>
      </c>
      <c r="H13295" s="6" t="str">
        <f>VLOOKUP(E13295,dicionario!$A$1:$C13694,3,0)</f>
        <v>tiririca</v>
      </c>
    </row>
    <row r="13296">
      <c r="A13296" s="3">
        <v>45897.0</v>
      </c>
      <c r="B13296" s="4">
        <v>0.2902777777777778</v>
      </c>
      <c r="C13296" s="5" t="s">
        <v>40</v>
      </c>
      <c r="D13296" s="5" t="s">
        <v>1776</v>
      </c>
      <c r="E13296" s="6" t="s">
        <v>227</v>
      </c>
      <c r="F13296" s="5" t="s">
        <v>228</v>
      </c>
      <c r="G13296" s="6" t="str">
        <f>VLOOKUP(E13296,dicionario!$A$1:$C13695,2,0)</f>
        <v>Indigofera hirsuta</v>
      </c>
      <c r="H13296" s="6" t="str">
        <f>VLOOKUP(E13296,dicionario!$A$1:$C13695,3,0)</f>
        <v>anileira</v>
      </c>
    </row>
    <row r="13297">
      <c r="A13297" s="3">
        <v>45897.0</v>
      </c>
      <c r="B13297" s="4">
        <v>0.2902777777777778</v>
      </c>
      <c r="C13297" s="5" t="s">
        <v>40</v>
      </c>
      <c r="D13297" s="5" t="s">
        <v>1776</v>
      </c>
      <c r="E13297" s="8" t="s">
        <v>239</v>
      </c>
      <c r="F13297" s="5" t="s">
        <v>240</v>
      </c>
      <c r="G13297" s="6" t="str">
        <f>VLOOKUP(E13297,dicionario!$A$1:$C13696,2,0)</f>
        <v>Gomphrena celosioides</v>
      </c>
      <c r="H13297" s="6" t="str">
        <f>VLOOKUP(E13297,dicionario!$A$1:$C13696,3,0)</f>
        <v>perpétua-branca</v>
      </c>
    </row>
    <row r="13298">
      <c r="A13298" s="3">
        <v>45897.0</v>
      </c>
      <c r="B13298" s="4">
        <v>0.2902777777777778</v>
      </c>
      <c r="C13298" s="5" t="s">
        <v>40</v>
      </c>
      <c r="D13298" s="5" t="s">
        <v>1776</v>
      </c>
      <c r="E13298" s="8" t="s">
        <v>135</v>
      </c>
      <c r="F13298" s="5" t="s">
        <v>136</v>
      </c>
      <c r="G13298" s="6" t="str">
        <f>VLOOKUP(E13298,dicionario!$A$1:$C13697,2,0)</f>
        <v>Tridax procumbens</v>
      </c>
      <c r="H13298" s="6" t="str">
        <f>VLOOKUP(E13298,dicionario!$A$1:$C13697,3,0)</f>
        <v>erva-de-touro</v>
      </c>
    </row>
    <row r="13299">
      <c r="A13299" s="3">
        <v>45897.0</v>
      </c>
      <c r="B13299" s="4">
        <v>0.2902777777777778</v>
      </c>
      <c r="C13299" s="5" t="s">
        <v>40</v>
      </c>
      <c r="D13299" s="5" t="s">
        <v>1776</v>
      </c>
      <c r="E13299" s="8" t="s">
        <v>150</v>
      </c>
      <c r="F13299" s="5" t="s">
        <v>151</v>
      </c>
      <c r="G13299" s="6" t="str">
        <f>VLOOKUP(E13299,dicionario!$A$1:$C13698,2,0)</f>
        <v>Amaranthus viridis</v>
      </c>
      <c r="H13299" s="6" t="str">
        <f>VLOOKUP(E13299,dicionario!$A$1:$C13698,3,0)</f>
        <v>caruru-de-mancha</v>
      </c>
    </row>
    <row r="13300">
      <c r="A13300" s="3">
        <v>45897.0</v>
      </c>
      <c r="B13300" s="4">
        <v>0.2902777777777778</v>
      </c>
      <c r="C13300" s="5" t="s">
        <v>40</v>
      </c>
      <c r="D13300" s="5" t="s">
        <v>1776</v>
      </c>
      <c r="E13300" s="6" t="s">
        <v>111</v>
      </c>
      <c r="F13300" s="5" t="s">
        <v>112</v>
      </c>
      <c r="G13300" s="6" t="str">
        <f>VLOOKUP(E13300,dicionario!$A$1:$C13699,2,0)</f>
        <v>Trigona spinipes</v>
      </c>
      <c r="H13300" s="6" t="str">
        <f>VLOOKUP(E13300,dicionario!$A$1:$C13699,3,0)</f>
        <v>abelha-cachorro</v>
      </c>
    </row>
    <row r="13301">
      <c r="A13301" s="3">
        <v>45897.0</v>
      </c>
      <c r="B13301" s="4">
        <v>0.29097222222222224</v>
      </c>
      <c r="C13301" s="5" t="s">
        <v>40</v>
      </c>
      <c r="D13301" s="5" t="s">
        <v>1776</v>
      </c>
      <c r="E13301" s="8" t="s">
        <v>146</v>
      </c>
      <c r="F13301" s="5" t="s">
        <v>147</v>
      </c>
      <c r="G13301" s="6" t="str">
        <f>VLOOKUP(E13301,dicionario!$A$1:$C13700,2,0)</f>
        <v>Euphorbia hirta</v>
      </c>
      <c r="H13301" s="6" t="str">
        <f>VLOOKUP(E13301,dicionario!$A$1:$C13700,3,0)</f>
        <v>erva-de-santa-luzia</v>
      </c>
    </row>
    <row r="13302">
      <c r="A13302" s="3">
        <v>45897.0</v>
      </c>
      <c r="B13302" s="4">
        <v>0.2916666666666667</v>
      </c>
      <c r="C13302" s="5" t="s">
        <v>40</v>
      </c>
      <c r="D13302" s="5" t="s">
        <v>1776</v>
      </c>
      <c r="E13302" s="6" t="s">
        <v>148</v>
      </c>
      <c r="F13302" s="5" t="s">
        <v>149</v>
      </c>
      <c r="G13302" s="6" t="str">
        <f>VLOOKUP(E13302,dicionario!$A$1:$C13701,2,0)</f>
        <v>Parthenium hysterophorus</v>
      </c>
      <c r="H13302" s="6" t="str">
        <f>VLOOKUP(E13302,dicionario!$A$1:$C13701,3,0)</f>
        <v>losna-branca</v>
      </c>
    </row>
    <row r="13303">
      <c r="A13303" s="3">
        <v>45897.0</v>
      </c>
      <c r="B13303" s="4">
        <v>0.2916666666666667</v>
      </c>
      <c r="C13303" s="5" t="s">
        <v>40</v>
      </c>
      <c r="D13303" s="5" t="s">
        <v>1776</v>
      </c>
      <c r="E13303" s="8" t="s">
        <v>38</v>
      </c>
      <c r="F13303" s="5" t="s">
        <v>1672</v>
      </c>
      <c r="G13303" s="6" t="str">
        <f>VLOOKUP(E13303,dicionario!$A$1:$C13702,2,0)</f>
        <v>Troglodytes musculus</v>
      </c>
      <c r="H13303" s="6" t="str">
        <f>VLOOKUP(E13303,dicionario!$A$1:$C13702,3,0)</f>
        <v>curruíra</v>
      </c>
    </row>
    <row r="13304">
      <c r="A13304" s="3">
        <v>45897.0</v>
      </c>
      <c r="B13304" s="4">
        <v>0.2923611111111111</v>
      </c>
      <c r="C13304" s="5" t="s">
        <v>40</v>
      </c>
      <c r="D13304" s="5" t="s">
        <v>1776</v>
      </c>
      <c r="E13304" s="6" t="s">
        <v>65</v>
      </c>
      <c r="F13304" s="5" t="s">
        <v>66</v>
      </c>
      <c r="G13304" s="6" t="str">
        <f>VLOOKUP(E13304,dicionario!$A$1:$C13703,2,0)</f>
        <v>Pitangus sulphutarus</v>
      </c>
      <c r="H13304" s="6" t="str">
        <f>VLOOKUP(E13304,dicionario!$A$1:$C13703,3,0)</f>
        <v>bem-te-vi</v>
      </c>
    </row>
    <row r="13305">
      <c r="A13305" s="3">
        <v>45897.0</v>
      </c>
      <c r="B13305" s="4">
        <v>0.2923611111111111</v>
      </c>
      <c r="C13305" s="5" t="s">
        <v>40</v>
      </c>
      <c r="D13305" s="5" t="s">
        <v>1776</v>
      </c>
      <c r="E13305" s="6" t="s">
        <v>286</v>
      </c>
      <c r="F13305" s="5" t="s">
        <v>287</v>
      </c>
      <c r="G13305" s="6" t="str">
        <f>VLOOKUP(E13305,dicionario!$A$1:$C13704,2,0)</f>
        <v>Setaria parviflora</v>
      </c>
      <c r="H13305" s="6" t="str">
        <f>VLOOKUP(E13305,dicionario!$A$1:$C13704,3,0)</f>
        <v>capim-rabo-de-raposa</v>
      </c>
    </row>
    <row r="13306">
      <c r="A13306" s="3">
        <v>45897.0</v>
      </c>
      <c r="B13306" s="4">
        <v>0.2923611111111111</v>
      </c>
      <c r="C13306" s="5" t="s">
        <v>40</v>
      </c>
      <c r="D13306" s="5" t="s">
        <v>1776</v>
      </c>
      <c r="E13306" s="8" t="s">
        <v>162</v>
      </c>
      <c r="F13306" s="5" t="s">
        <v>42</v>
      </c>
      <c r="G13306" s="6" t="str">
        <f>VLOOKUP(E13306,dicionario!$A$1:$C13705,2,0)</f>
        <v>Fluvicola nengeta</v>
      </c>
      <c r="H13306" s="6" t="str">
        <f>VLOOKUP(E13306,dicionario!$A$1:$C13705,3,0)</f>
        <v>lavadeira-mascarada</v>
      </c>
    </row>
    <row r="13307">
      <c r="A13307" s="3">
        <v>45897.0</v>
      </c>
      <c r="B13307" s="4">
        <v>0.2923611111111111</v>
      </c>
      <c r="C13307" s="5" t="s">
        <v>40</v>
      </c>
      <c r="D13307" s="5" t="s">
        <v>1776</v>
      </c>
      <c r="E13307" s="6" t="s">
        <v>86</v>
      </c>
      <c r="F13307" s="5" t="s">
        <v>502</v>
      </c>
      <c r="G13307" s="6" t="str">
        <f>VLOOKUP(E13307,dicionario!$A$1:$C13706,2,0)</f>
        <v>Coereba flaveola</v>
      </c>
      <c r="H13307" s="6" t="str">
        <f>VLOOKUP(E13307,dicionario!$A$1:$C13706,3,0)</f>
        <v>cambacica</v>
      </c>
    </row>
    <row r="13308">
      <c r="A13308" s="3">
        <v>45897.0</v>
      </c>
      <c r="B13308" s="4">
        <v>0.29305555555555557</v>
      </c>
      <c r="C13308" s="5" t="s">
        <v>40</v>
      </c>
      <c r="D13308" s="5" t="s">
        <v>1776</v>
      </c>
      <c r="E13308" s="6" t="s">
        <v>213</v>
      </c>
      <c r="F13308" s="5" t="s">
        <v>214</v>
      </c>
      <c r="G13308" s="6" t="str">
        <f>VLOOKUP(E13308,dicionario!$A$1:$C13707,2,0)</f>
        <v>Myiozetetes similis</v>
      </c>
      <c r="H13308" s="6" t="str">
        <f>VLOOKUP(E13308,dicionario!$A$1:$C13707,3,0)</f>
        <v>bentevizinho-de-penacho-vermelho</v>
      </c>
    </row>
    <row r="13309">
      <c r="A13309" s="3">
        <v>45897.0</v>
      </c>
      <c r="B13309" s="4">
        <v>0.29305555555555557</v>
      </c>
      <c r="C13309" s="5" t="s">
        <v>40</v>
      </c>
      <c r="D13309" s="5" t="s">
        <v>1776</v>
      </c>
      <c r="E13309" s="6" t="s">
        <v>72</v>
      </c>
      <c r="F13309" s="5" t="s">
        <v>73</v>
      </c>
      <c r="G13309" s="6" t="str">
        <f>VLOOKUP(E13309,dicionario!$A$1:$C13708,2,0)</f>
        <v>Thraupis palmarum</v>
      </c>
      <c r="H13309" s="6" t="str">
        <f>VLOOKUP(E13309,dicionario!$A$1:$C13708,3,0)</f>
        <v>sanhaço-do-coqueiro</v>
      </c>
    </row>
    <row r="13310">
      <c r="A13310" s="3">
        <v>45897.0</v>
      </c>
      <c r="B13310" s="4">
        <v>0.29375</v>
      </c>
      <c r="C13310" s="5" t="s">
        <v>40</v>
      </c>
      <c r="D13310" s="5" t="s">
        <v>1776</v>
      </c>
      <c r="E13310" s="8" t="s">
        <v>271</v>
      </c>
      <c r="F13310" s="5" t="s">
        <v>1169</v>
      </c>
      <c r="G13310" s="6" t="str">
        <f>VLOOKUP(E13310,dicionario!$A$1:$C13709,2,0)</f>
        <v>Cyanthillium cinereum</v>
      </c>
      <c r="H13310" s="6" t="str">
        <f>VLOOKUP(E13310,dicionario!$A$1:$C13709,3,0)</f>
        <v>emília</v>
      </c>
    </row>
    <row r="13311">
      <c r="A13311" s="3">
        <v>45897.0</v>
      </c>
      <c r="B13311" s="4">
        <v>0.29375</v>
      </c>
      <c r="C13311" s="5" t="s">
        <v>40</v>
      </c>
      <c r="D13311" s="5" t="s">
        <v>1776</v>
      </c>
      <c r="E13311" s="8" t="s">
        <v>849</v>
      </c>
      <c r="F13311" s="5" t="s">
        <v>1457</v>
      </c>
      <c r="G13311" s="6" t="str">
        <f>VLOOKUP(E13311,dicionario!$A$1:$C13710,2,0)</f>
        <v>#N/A</v>
      </c>
      <c r="H13311" s="6" t="str">
        <f>VLOOKUP(E13311,dicionario!$A$1:$C13710,3,0)</f>
        <v>#N/A</v>
      </c>
    </row>
    <row r="13312">
      <c r="A13312" s="3">
        <v>45897.0</v>
      </c>
      <c r="B13312" s="4">
        <v>0.29375</v>
      </c>
      <c r="C13312" s="5" t="s">
        <v>40</v>
      </c>
      <c r="D13312" s="5" t="s">
        <v>1776</v>
      </c>
      <c r="E13312" s="6" t="s">
        <v>471</v>
      </c>
      <c r="F13312" s="5" t="s">
        <v>472</v>
      </c>
      <c r="G13312" s="6" t="str">
        <f>VLOOKUP(E13312,dicionario!$A$1:$C13711,2,0)</f>
        <v>Sida acuta</v>
      </c>
      <c r="H13312" s="6" t="str">
        <f>VLOOKUP(E13312,dicionario!$A$1:$C13711,3,0)</f>
        <v>reloginho</v>
      </c>
    </row>
    <row r="13313">
      <c r="A13313" s="3">
        <v>45897.0</v>
      </c>
      <c r="B13313" s="4">
        <v>0.29375</v>
      </c>
      <c r="C13313" s="5" t="s">
        <v>40</v>
      </c>
      <c r="D13313" s="5" t="s">
        <v>1776</v>
      </c>
      <c r="E13313" s="8" t="s">
        <v>1694</v>
      </c>
      <c r="F13313" s="5" t="s">
        <v>1695</v>
      </c>
      <c r="G13313" s="6" t="str">
        <f>VLOOKUP(E13313,dicionario!$A$1:$C13712,2,0)</f>
        <v>Conyza bonariensis</v>
      </c>
      <c r="H13313" s="6" t="str">
        <f>VLOOKUP(E13313,dicionario!$A$1:$C13712,3,0)</f>
        <v>buva</v>
      </c>
    </row>
    <row r="13314">
      <c r="A13314" s="3">
        <v>45897.0</v>
      </c>
      <c r="B13314" s="4">
        <v>0.29375</v>
      </c>
      <c r="C13314" s="5" t="s">
        <v>40</v>
      </c>
      <c r="D13314" s="5" t="s">
        <v>1776</v>
      </c>
      <c r="E13314" s="6" t="s">
        <v>141</v>
      </c>
      <c r="F13314" s="5" t="s">
        <v>142</v>
      </c>
      <c r="G13314" s="6" t="str">
        <f>VLOOKUP(E13314,dicionario!$A$1:$C13713,2,0)</f>
        <v>Ruellia blechum</v>
      </c>
      <c r="H13314" s="6" t="str">
        <f>VLOOKUP(E13314,dicionario!$A$1:$C13713,3,0)</f>
        <v>camarão-verde</v>
      </c>
    </row>
    <row r="13315">
      <c r="A13315" s="3">
        <v>45897.0</v>
      </c>
      <c r="B13315" s="4">
        <v>0.29375</v>
      </c>
      <c r="C13315" s="5" t="s">
        <v>40</v>
      </c>
      <c r="D13315" s="5" t="s">
        <v>1776</v>
      </c>
      <c r="E13315" s="6" t="s">
        <v>319</v>
      </c>
      <c r="F13315" s="5" t="s">
        <v>320</v>
      </c>
      <c r="G13315" s="6" t="str">
        <f>VLOOKUP(E13315,dicionario!$A$1:$C13714,2,0)</f>
        <v>Schinus terebinthifolia</v>
      </c>
      <c r="H13315" s="6" t="str">
        <f>VLOOKUP(E13315,dicionario!$A$1:$C13714,3,0)</f>
        <v>aroeira</v>
      </c>
    </row>
    <row r="13316">
      <c r="A13316" s="3">
        <v>45897.0</v>
      </c>
      <c r="B13316" s="4">
        <v>0.29375</v>
      </c>
      <c r="C13316" s="5" t="s">
        <v>40</v>
      </c>
      <c r="D13316" s="5" t="s">
        <v>1776</v>
      </c>
      <c r="E13316" s="8" t="s">
        <v>886</v>
      </c>
      <c r="F13316" s="5" t="s">
        <v>887</v>
      </c>
      <c r="G13316" s="6" t="str">
        <f>VLOOKUP(E13316,dicionario!$A$1:$C13715,2,0)</f>
        <v>Oldenlandia corymbosa</v>
      </c>
      <c r="H13316" s="6" t="str">
        <f>VLOOKUP(E13316,dicionario!$A$1:$C13715,3,0)</f>
        <v>erva-diamante</v>
      </c>
    </row>
    <row r="13317">
      <c r="A13317" s="3">
        <v>45897.0</v>
      </c>
      <c r="B13317" s="4">
        <v>0.29444444444444445</v>
      </c>
      <c r="C13317" s="5" t="s">
        <v>40</v>
      </c>
      <c r="D13317" s="5" t="s">
        <v>1776</v>
      </c>
      <c r="E13317" s="6" t="s">
        <v>467</v>
      </c>
      <c r="F13317" s="5" t="s">
        <v>468</v>
      </c>
      <c r="G13317" s="6" t="str">
        <f>VLOOKUP(E13317,dicionario!$A$1:$C13716,2,0)</f>
        <v>Eleusine indica</v>
      </c>
      <c r="H13317" s="6" t="str">
        <f>VLOOKUP(E13317,dicionario!$A$1:$C13716,3,0)</f>
        <v>capim-pé-de-galinha</v>
      </c>
    </row>
    <row r="13318">
      <c r="A13318" s="3">
        <v>45897.0</v>
      </c>
      <c r="B13318" s="4">
        <v>0.29444444444444445</v>
      </c>
      <c r="C13318" s="5" t="s">
        <v>40</v>
      </c>
      <c r="D13318" s="5" t="s">
        <v>1776</v>
      </c>
      <c r="E13318" s="8" t="s">
        <v>895</v>
      </c>
      <c r="F13318" s="5" t="s">
        <v>603</v>
      </c>
      <c r="G13318" s="6" t="str">
        <f>VLOOKUP(E13318,dicionario!$A$1:$C13717,2,0)</f>
        <v>Trametes cubensis</v>
      </c>
      <c r="H13318" s="6" t="str">
        <f>VLOOKUP(E13318,dicionario!$A$1:$C13717,3,0)</f>
        <v/>
      </c>
    </row>
    <row r="13319">
      <c r="A13319" s="3">
        <v>45897.0</v>
      </c>
      <c r="B13319" s="4">
        <v>0.29444444444444445</v>
      </c>
      <c r="C13319" s="5" t="s">
        <v>40</v>
      </c>
      <c r="D13319" s="5" t="s">
        <v>1776</v>
      </c>
      <c r="E13319" s="6" t="s">
        <v>280</v>
      </c>
      <c r="F13319" s="5" t="s">
        <v>281</v>
      </c>
      <c r="G13319" s="6" t="str">
        <f>VLOOKUP(E13319,dicionario!$A$1:$C13718,2,0)</f>
        <v>Lepidium virginicum</v>
      </c>
      <c r="H13319" s="6" t="str">
        <f>VLOOKUP(E13319,dicionario!$A$1:$C13718,3,0)</f>
        <v>mastruz</v>
      </c>
    </row>
    <row r="13320">
      <c r="A13320" s="3">
        <v>45897.0</v>
      </c>
      <c r="B13320" s="4">
        <v>0.29444444444444445</v>
      </c>
      <c r="C13320" s="5" t="s">
        <v>40</v>
      </c>
      <c r="D13320" s="5" t="s">
        <v>1776</v>
      </c>
      <c r="E13320" s="8" t="s">
        <v>1778</v>
      </c>
      <c r="F13320" s="5" t="s">
        <v>1779</v>
      </c>
      <c r="G13320" s="6" t="str">
        <f>VLOOKUP(E13320,dicionario!$A$1:$C13719,2,0)</f>
        <v>Piper tuberculatum</v>
      </c>
      <c r="H13320" s="6" t="str">
        <f>VLOOKUP(E13320,dicionario!$A$1:$C13719,3,0)</f>
        <v/>
      </c>
    </row>
    <row r="13321">
      <c r="A13321" s="3">
        <v>45897.0</v>
      </c>
      <c r="B13321" s="4">
        <v>0.2951388888888889</v>
      </c>
      <c r="C13321" s="5" t="s">
        <v>40</v>
      </c>
      <c r="D13321" s="5" t="s">
        <v>1776</v>
      </c>
      <c r="E13321" s="8" t="s">
        <v>296</v>
      </c>
      <c r="F13321" s="5" t="s">
        <v>297</v>
      </c>
      <c r="G13321" s="6" t="str">
        <f>VLOOKUP(E13321,dicionario!$A$1:$C13720,2,0)</f>
        <v>Richardia brasiliensis</v>
      </c>
      <c r="H13321" s="6" t="str">
        <f>VLOOKUP(E13321,dicionario!$A$1:$C13720,3,0)</f>
        <v>poaia-branca</v>
      </c>
    </row>
    <row r="13322">
      <c r="A13322" s="3">
        <v>45897.0</v>
      </c>
      <c r="B13322" s="4">
        <v>0.2951388888888889</v>
      </c>
      <c r="C13322" s="5" t="s">
        <v>40</v>
      </c>
      <c r="D13322" s="5" t="s">
        <v>1776</v>
      </c>
      <c r="E13322" s="8" t="s">
        <v>1386</v>
      </c>
      <c r="F13322" s="5" t="s">
        <v>1547</v>
      </c>
      <c r="G13322" s="6" t="str">
        <f>VLOOKUP(E13322,dicionario!$A$1:$C13721,2,0)</f>
        <v>#N/A</v>
      </c>
      <c r="H13322" s="6" t="str">
        <f>VLOOKUP(E13322,dicionario!$A$1:$C13721,3,0)</f>
        <v>#N/A</v>
      </c>
    </row>
    <row r="13323">
      <c r="A13323" s="3">
        <v>45897.0</v>
      </c>
      <c r="B13323" s="4">
        <v>0.2951388888888889</v>
      </c>
      <c r="C13323" s="5" t="s">
        <v>40</v>
      </c>
      <c r="D13323" s="5" t="s">
        <v>1776</v>
      </c>
      <c r="E13323" s="6" t="s">
        <v>399</v>
      </c>
      <c r="F13323" s="5" t="s">
        <v>400</v>
      </c>
      <c r="G13323" s="6" t="str">
        <f>VLOOKUP(E13323,dicionario!$A$1:$C13722,2,0)</f>
        <v>Varronia curassavica</v>
      </c>
      <c r="H13323" s="6" t="str">
        <f>VLOOKUP(E13323,dicionario!$A$1:$C13722,3,0)</f>
        <v>erva-baleeira</v>
      </c>
    </row>
    <row r="13324">
      <c r="A13324" s="3">
        <v>45897.0</v>
      </c>
      <c r="B13324" s="4">
        <v>0.2951388888888889</v>
      </c>
      <c r="C13324" s="5" t="s">
        <v>40</v>
      </c>
      <c r="D13324" s="5" t="s">
        <v>1776</v>
      </c>
      <c r="E13324" s="8" t="s">
        <v>338</v>
      </c>
      <c r="F13324" s="5" t="s">
        <v>238</v>
      </c>
      <c r="G13324" s="6" t="str">
        <f>VLOOKUP(E13324,dicionario!$A$1:$C13723,2,0)</f>
        <v>Atta</v>
      </c>
      <c r="H13324" s="6" t="str">
        <f>VLOOKUP(E13324,dicionario!$A$1:$C13723,3,0)</f>
        <v>saúva</v>
      </c>
    </row>
    <row r="13325">
      <c r="A13325" s="3">
        <v>45897.0</v>
      </c>
      <c r="B13325" s="4">
        <v>0.29583333333333334</v>
      </c>
      <c r="C13325" s="5" t="s">
        <v>50</v>
      </c>
      <c r="D13325" s="5" t="s">
        <v>1776</v>
      </c>
      <c r="E13325" s="6" t="s">
        <v>65</v>
      </c>
      <c r="F13325" s="5" t="s">
        <v>66</v>
      </c>
      <c r="G13325" s="6" t="str">
        <f>VLOOKUP(E13325,dicionario!$A$1:$C13724,2,0)</f>
        <v>Pitangus sulphutarus</v>
      </c>
      <c r="H13325" s="6" t="str">
        <f>VLOOKUP(E13325,dicionario!$A$1:$C13724,3,0)</f>
        <v>bem-te-vi</v>
      </c>
    </row>
    <row r="13326">
      <c r="A13326" s="3">
        <v>45897.0</v>
      </c>
      <c r="B13326" s="4">
        <v>0.2965277777777778</v>
      </c>
      <c r="C13326" s="5" t="s">
        <v>50</v>
      </c>
      <c r="D13326" s="5" t="s">
        <v>1776</v>
      </c>
      <c r="E13326" s="8" t="s">
        <v>223</v>
      </c>
      <c r="F13326" s="5"/>
      <c r="G13326" s="6" t="str">
        <f>VLOOKUP(E13326,dicionario!$A$1:$C13725,2,0)</f>
        <v>Rhipsalis lindbergiana</v>
      </c>
      <c r="H13326" s="6" t="str">
        <f>VLOOKUP(E13326,dicionario!$A$1:$C13725,3,0)</f>
        <v>cacto-macarrão</v>
      </c>
    </row>
    <row r="13327">
      <c r="A13327" s="3">
        <v>45897.0</v>
      </c>
      <c r="B13327" s="4">
        <v>0.2972222222222222</v>
      </c>
      <c r="C13327" s="5" t="s">
        <v>50</v>
      </c>
      <c r="D13327" s="5" t="s">
        <v>1776</v>
      </c>
      <c r="E13327" s="6" t="s">
        <v>251</v>
      </c>
      <c r="F13327" s="5" t="s">
        <v>252</v>
      </c>
      <c r="G13327" s="6" t="str">
        <f>VLOOKUP(E13327,dicionario!$A$1:$C13726,2,0)</f>
        <v>Struthanthus flexicaulis</v>
      </c>
      <c r="H13327" s="6" t="str">
        <f>VLOOKUP(E13327,dicionario!$A$1:$C13726,3,0)</f>
        <v>erva-de-passarinho</v>
      </c>
    </row>
    <row r="13328">
      <c r="A13328" s="3">
        <v>45897.0</v>
      </c>
      <c r="B13328" s="4">
        <v>0.29791666666666666</v>
      </c>
      <c r="C13328" s="5" t="s">
        <v>50</v>
      </c>
      <c r="D13328" s="5" t="s">
        <v>1776</v>
      </c>
      <c r="E13328" s="6" t="s">
        <v>86</v>
      </c>
      <c r="F13328" s="5" t="s">
        <v>502</v>
      </c>
      <c r="G13328" s="6" t="str">
        <f>VLOOKUP(E13328,dicionario!$A$1:$C13727,2,0)</f>
        <v>Coereba flaveola</v>
      </c>
      <c r="H13328" s="6" t="str">
        <f>VLOOKUP(E13328,dicionario!$A$1:$C13727,3,0)</f>
        <v>cambacica</v>
      </c>
    </row>
    <row r="13329">
      <c r="A13329" s="3">
        <v>45897.0</v>
      </c>
      <c r="B13329" s="4">
        <v>0.30069444444444443</v>
      </c>
      <c r="C13329" s="5" t="s">
        <v>50</v>
      </c>
      <c r="D13329" s="5" t="s">
        <v>1776</v>
      </c>
      <c r="E13329" s="8" t="s">
        <v>200</v>
      </c>
      <c r="F13329" s="5" t="s">
        <v>201</v>
      </c>
      <c r="G13329" s="6" t="str">
        <f>VLOOKUP(E13329,dicionario!$A$1:$C13728,2,0)</f>
        <v>Columbina picui </v>
      </c>
      <c r="H13329" s="6" t="str">
        <f>VLOOKUP(E13329,dicionario!$A$1:$C13728,3,0)</f>
        <v>rolinha-picuí</v>
      </c>
    </row>
    <row r="13330">
      <c r="A13330" s="3">
        <v>45897.0</v>
      </c>
      <c r="B13330" s="4">
        <v>0.3013888888888889</v>
      </c>
      <c r="C13330" s="5" t="s">
        <v>50</v>
      </c>
      <c r="D13330" s="5" t="s">
        <v>1776</v>
      </c>
      <c r="E13330" s="6" t="s">
        <v>148</v>
      </c>
      <c r="F13330" s="5" t="s">
        <v>149</v>
      </c>
      <c r="G13330" s="6" t="str">
        <f>VLOOKUP(E13330,dicionario!$A$1:$C13729,2,0)</f>
        <v>Parthenium hysterophorus</v>
      </c>
      <c r="H13330" s="6" t="str">
        <f>VLOOKUP(E13330,dicionario!$A$1:$C13729,3,0)</f>
        <v>losna-branca</v>
      </c>
    </row>
    <row r="13331">
      <c r="A13331" s="3">
        <v>45897.0</v>
      </c>
      <c r="B13331" s="4">
        <v>0.3013888888888889</v>
      </c>
      <c r="C13331" s="5" t="s">
        <v>50</v>
      </c>
      <c r="D13331" s="5" t="s">
        <v>1776</v>
      </c>
      <c r="E13331" s="6" t="s">
        <v>177</v>
      </c>
      <c r="F13331" s="5" t="s">
        <v>178</v>
      </c>
      <c r="G13331" s="6" t="str">
        <f>VLOOKUP(E13331,dicionario!$A$1:$C13730,2,0)</f>
        <v>Elaenia flavogaster</v>
      </c>
      <c r="H13331" s="6" t="str">
        <f>VLOOKUP(E13331,dicionario!$A$1:$C13730,3,0)</f>
        <v>guaracava-de-barriga-amarela</v>
      </c>
    </row>
    <row r="13332">
      <c r="A13332" s="3">
        <v>45897.0</v>
      </c>
      <c r="B13332" s="4">
        <v>0.3013888888888889</v>
      </c>
      <c r="C13332" s="5" t="s">
        <v>50</v>
      </c>
      <c r="D13332" s="5" t="s">
        <v>1776</v>
      </c>
      <c r="E13332" s="6" t="s">
        <v>175</v>
      </c>
      <c r="F13332" s="5" t="s">
        <v>176</v>
      </c>
      <c r="G13332" s="6" t="str">
        <f>VLOOKUP(E13332,dicionario!$A$1:$C13731,2,0)</f>
        <v>Turdus leucomelas</v>
      </c>
      <c r="H13332" s="6" t="str">
        <f>VLOOKUP(E13332,dicionario!$A$1:$C13731,3,0)</f>
        <v>sabiá-barranco</v>
      </c>
    </row>
    <row r="13333">
      <c r="A13333" s="3">
        <v>45897.0</v>
      </c>
      <c r="B13333" s="4">
        <v>0.3013888888888889</v>
      </c>
      <c r="C13333" s="5" t="s">
        <v>50</v>
      </c>
      <c r="D13333" s="5" t="s">
        <v>1776</v>
      </c>
      <c r="E13333" s="8" t="s">
        <v>10</v>
      </c>
      <c r="F13333" s="5" t="s">
        <v>1545</v>
      </c>
      <c r="G13333" s="6" t="str">
        <f>VLOOKUP(E13333,dicionario!$A$1:$C13732,2,0)</f>
        <v>Guira guira</v>
      </c>
      <c r="H13333" s="6" t="str">
        <f>VLOOKUP(E13333,dicionario!$A$1:$C13732,3,0)</f>
        <v>anu-branco</v>
      </c>
    </row>
    <row r="13334">
      <c r="A13334" s="3">
        <v>45897.0</v>
      </c>
      <c r="B13334" s="4">
        <v>0.3020833333333333</v>
      </c>
      <c r="C13334" s="5" t="s">
        <v>50</v>
      </c>
      <c r="D13334" s="5" t="s">
        <v>1776</v>
      </c>
      <c r="E13334" s="8" t="s">
        <v>338</v>
      </c>
      <c r="F13334" s="5" t="s">
        <v>238</v>
      </c>
      <c r="G13334" s="6" t="str">
        <f>VLOOKUP(E13334,dicionario!$A$1:$C13733,2,0)</f>
        <v>Atta</v>
      </c>
      <c r="H13334" s="6" t="str">
        <f>VLOOKUP(E13334,dicionario!$A$1:$C13733,3,0)</f>
        <v>saúva</v>
      </c>
    </row>
    <row r="13335">
      <c r="A13335" s="3">
        <v>45897.0</v>
      </c>
      <c r="B13335" s="4">
        <v>0.3034722222222222</v>
      </c>
      <c r="C13335" s="5" t="s">
        <v>50</v>
      </c>
      <c r="D13335" s="5" t="s">
        <v>1776</v>
      </c>
      <c r="E13335" s="8" t="s">
        <v>1780</v>
      </c>
      <c r="F13335" s="5" t="s">
        <v>580</v>
      </c>
      <c r="G13335" s="6" t="str">
        <f>VLOOKUP(E13335,dicionario!$A$1:$C13734,2,0)</f>
        <v>#N/A</v>
      </c>
      <c r="H13335" s="6" t="str">
        <f>VLOOKUP(E13335,dicionario!$A$1:$C13734,3,0)</f>
        <v>#N/A</v>
      </c>
    </row>
    <row r="13336">
      <c r="A13336" s="3">
        <v>45897.0</v>
      </c>
      <c r="B13336" s="4">
        <v>0.30486111111111114</v>
      </c>
      <c r="C13336" s="5" t="s">
        <v>50</v>
      </c>
      <c r="D13336" s="5" t="s">
        <v>1776</v>
      </c>
      <c r="E13336" s="6" t="s">
        <v>225</v>
      </c>
      <c r="F13336" s="5" t="s">
        <v>226</v>
      </c>
      <c r="G13336" s="6" t="str">
        <f>VLOOKUP(E13336,dicionario!$A$1:$C13735,2,0)</f>
        <v>Passer domesticus</v>
      </c>
      <c r="H13336" s="6" t="str">
        <f>VLOOKUP(E13336,dicionario!$A$1:$C13735,3,0)</f>
        <v>pardal</v>
      </c>
    </row>
    <row r="13337">
      <c r="A13337" s="3">
        <v>45897.0</v>
      </c>
      <c r="B13337" s="4">
        <v>0.31180555555555556</v>
      </c>
      <c r="C13337" s="5" t="s">
        <v>59</v>
      </c>
      <c r="D13337" s="5" t="s">
        <v>1776</v>
      </c>
      <c r="E13337" s="8" t="s">
        <v>109</v>
      </c>
      <c r="F13337" s="5" t="s">
        <v>777</v>
      </c>
      <c r="G13337" s="6" t="str">
        <f>VLOOKUP(E13337,dicionario!$A$1:$C13736,2,0)</f>
        <v>Tillandsia stricta</v>
      </c>
      <c r="H13337" s="6" t="str">
        <f>VLOOKUP(E13337,dicionario!$A$1:$C13736,3,0)</f>
        <v>cravo-do-mato</v>
      </c>
    </row>
    <row r="13338">
      <c r="A13338" s="3">
        <v>45897.0</v>
      </c>
      <c r="B13338" s="4">
        <v>0.3125</v>
      </c>
      <c r="C13338" s="5" t="s">
        <v>59</v>
      </c>
      <c r="D13338" s="5" t="s">
        <v>1776</v>
      </c>
      <c r="E13338" s="8" t="s">
        <v>1167</v>
      </c>
      <c r="F13338" s="61" t="s">
        <v>1168</v>
      </c>
      <c r="G13338" s="6" t="str">
        <f>VLOOKUP(E13338,dicionario!$A$1:$C13737,2,0)</f>
        <v>Tillandsia recurvata</v>
      </c>
      <c r="H13338" s="6" t="str">
        <f>VLOOKUP(E13338,dicionario!$A$1:$C13737,3,0)</f>
        <v>cravo-do-mato sp2</v>
      </c>
    </row>
    <row r="13339">
      <c r="A13339" s="3">
        <v>45897.0</v>
      </c>
      <c r="B13339" s="4">
        <v>0.3125</v>
      </c>
      <c r="C13339" s="5" t="s">
        <v>59</v>
      </c>
      <c r="D13339" s="5" t="s">
        <v>1776</v>
      </c>
      <c r="E13339" s="65" t="s">
        <v>1632</v>
      </c>
      <c r="F13339" s="61" t="s">
        <v>1781</v>
      </c>
      <c r="G13339" s="6" t="str">
        <f>VLOOKUP(E13339,dicionario!$A$1:$C13738,2,0)</f>
        <v>Tillandsia loliacea</v>
      </c>
      <c r="H13339" s="6" t="str">
        <f>VLOOKUP(E13339,dicionario!$A$1:$C13738,3,0)</f>
        <v>cravo-do-mato sp4</v>
      </c>
    </row>
    <row r="13340">
      <c r="A13340" s="3">
        <v>45897.0</v>
      </c>
      <c r="B13340" s="4">
        <v>0.3125</v>
      </c>
      <c r="C13340" s="5" t="s">
        <v>59</v>
      </c>
      <c r="D13340" s="5" t="s">
        <v>1776</v>
      </c>
      <c r="E13340" s="65" t="s">
        <v>1691</v>
      </c>
      <c r="F13340" s="61" t="s">
        <v>1692</v>
      </c>
      <c r="G13340" s="6" t="str">
        <f>VLOOKUP(E13340,dicionario!$A$1:$C13739,2,0)</f>
        <v>Tillandsia gardneri</v>
      </c>
      <c r="H13340" s="6" t="str">
        <f>VLOOKUP(E13340,dicionario!$A$1:$C13739,3,0)</f>
        <v>cravo-do-mato sp5</v>
      </c>
    </row>
    <row r="13341">
      <c r="A13341" s="3">
        <v>45897.0</v>
      </c>
      <c r="B13341" s="4">
        <v>0.3125</v>
      </c>
      <c r="C13341" s="5" t="s">
        <v>59</v>
      </c>
      <c r="D13341" s="5" t="s">
        <v>1776</v>
      </c>
      <c r="E13341" s="8" t="s">
        <v>202</v>
      </c>
      <c r="F13341" s="5" t="s">
        <v>203</v>
      </c>
      <c r="G13341" s="6" t="str">
        <f>VLOOKUP(E13341,dicionario!$A$1:$C13740,2,0)</f>
        <v>Dysdercus</v>
      </c>
      <c r="H13341" s="6" t="str">
        <f>VLOOKUP(E13341,dicionario!$A$1:$C13740,3,0)</f>
        <v>percevejo-manchador</v>
      </c>
    </row>
    <row r="13342">
      <c r="A13342" s="3">
        <v>45897.0</v>
      </c>
      <c r="B13342" s="4">
        <v>0.3125</v>
      </c>
      <c r="C13342" s="5" t="s">
        <v>59</v>
      </c>
      <c r="D13342" s="5" t="s">
        <v>1776</v>
      </c>
      <c r="E13342" s="6" t="s">
        <v>148</v>
      </c>
      <c r="F13342" s="5" t="s">
        <v>149</v>
      </c>
      <c r="G13342" s="6" t="str">
        <f>VLOOKUP(E13342,dicionario!$A$1:$C13741,2,0)</f>
        <v>Parthenium hysterophorus</v>
      </c>
      <c r="H13342" s="6" t="str">
        <f>VLOOKUP(E13342,dicionario!$A$1:$C13741,3,0)</f>
        <v>losna-branca</v>
      </c>
    </row>
    <row r="13343">
      <c r="A13343" s="3">
        <v>45897.0</v>
      </c>
      <c r="B13343" s="4">
        <v>0.3125</v>
      </c>
      <c r="C13343" s="5" t="s">
        <v>59</v>
      </c>
      <c r="D13343" s="5" t="s">
        <v>1776</v>
      </c>
      <c r="E13343" s="8" t="s">
        <v>1328</v>
      </c>
      <c r="F13343" s="5" t="s">
        <v>356</v>
      </c>
      <c r="G13343" s="6" t="str">
        <f>VLOOKUP(E13343,dicionario!$A$1:$C13742,2,0)</f>
        <v>#N/A</v>
      </c>
      <c r="H13343" s="6" t="str">
        <f>VLOOKUP(E13343,dicionario!$A$1:$C13742,3,0)</f>
        <v>#N/A</v>
      </c>
    </row>
    <row r="13344">
      <c r="A13344" s="3">
        <v>45897.0</v>
      </c>
      <c r="B13344" s="4">
        <v>0.3125</v>
      </c>
      <c r="C13344" s="5" t="s">
        <v>59</v>
      </c>
      <c r="D13344" s="5" t="s">
        <v>1776</v>
      </c>
      <c r="E13344" s="8" t="s">
        <v>909</v>
      </c>
      <c r="F13344" s="5" t="s">
        <v>910</v>
      </c>
      <c r="G13344" s="6" t="str">
        <f>VLOOKUP(E13344,dicionario!$A$1:$C13743,2,0)</f>
        <v>Chordeiles acutipennis</v>
      </c>
      <c r="H13344" s="6" t="str">
        <f>VLOOKUP(E13344,dicionario!$A$1:$C13743,3,0)</f>
        <v>bacurau-de-asa-fina</v>
      </c>
    </row>
    <row r="13345">
      <c r="A13345" s="3">
        <v>45897.0</v>
      </c>
      <c r="B13345" s="4">
        <v>0.3125</v>
      </c>
      <c r="C13345" s="5" t="s">
        <v>59</v>
      </c>
      <c r="D13345" s="5" t="s">
        <v>1776</v>
      </c>
      <c r="E13345" s="8" t="s">
        <v>1127</v>
      </c>
      <c r="F13345" s="5" t="s">
        <v>1286</v>
      </c>
      <c r="G13345" s="6" t="str">
        <f>VLOOKUP(E13345,dicionario!$A$1:$C13744,2,0)</f>
        <v>Albizia lebbeck</v>
      </c>
      <c r="H13345" s="6" t="str">
        <f>VLOOKUP(E13345,dicionario!$A$1:$C13744,3,0)</f>
        <v>albízia</v>
      </c>
    </row>
    <row r="13346">
      <c r="A13346" s="3">
        <v>45897.0</v>
      </c>
      <c r="B13346" s="4">
        <v>0.3125</v>
      </c>
      <c r="C13346" s="5" t="s">
        <v>59</v>
      </c>
      <c r="D13346" s="5" t="s">
        <v>1776</v>
      </c>
      <c r="E13346" s="6" t="s">
        <v>213</v>
      </c>
      <c r="F13346" s="5" t="s">
        <v>214</v>
      </c>
      <c r="G13346" s="6" t="str">
        <f>VLOOKUP(E13346,dicionario!$A$1:$C13745,2,0)</f>
        <v>Myiozetetes similis</v>
      </c>
      <c r="H13346" s="6" t="str">
        <f>VLOOKUP(E13346,dicionario!$A$1:$C13745,3,0)</f>
        <v>bentevizinho-de-penacho-vermelho</v>
      </c>
    </row>
    <row r="13347">
      <c r="A13347" s="3">
        <v>45897.0</v>
      </c>
      <c r="B13347" s="4">
        <v>0.3145833333333333</v>
      </c>
      <c r="C13347" s="5" t="s">
        <v>59</v>
      </c>
      <c r="D13347" s="5" t="s">
        <v>1776</v>
      </c>
      <c r="E13347" s="8" t="s">
        <v>298</v>
      </c>
      <c r="F13347" s="5"/>
      <c r="G13347" s="6" t="str">
        <f>VLOOKUP(E13347,dicionario!$A$1:$C13746,2,0)</f>
        <v>Alysicarpus vaginalis</v>
      </c>
      <c r="H13347" s="6" t="str">
        <f>VLOOKUP(E13347,dicionario!$A$1:$C13746,3,0)</f>
        <v/>
      </c>
    </row>
    <row r="13348">
      <c r="A13348" s="3">
        <v>45897.0</v>
      </c>
      <c r="B13348" s="4">
        <v>0.3145833333333333</v>
      </c>
      <c r="C13348" s="5" t="s">
        <v>59</v>
      </c>
      <c r="D13348" s="5" t="s">
        <v>1776</v>
      </c>
      <c r="E13348" s="6" t="s">
        <v>111</v>
      </c>
      <c r="F13348" s="5" t="s">
        <v>112</v>
      </c>
      <c r="G13348" s="6" t="str">
        <f>VLOOKUP(E13348,dicionario!$A$1:$C13747,2,0)</f>
        <v>Trigona spinipes</v>
      </c>
      <c r="H13348" s="6" t="str">
        <f>VLOOKUP(E13348,dicionario!$A$1:$C13747,3,0)</f>
        <v>abelha-cachorro</v>
      </c>
    </row>
    <row r="13349">
      <c r="A13349" s="3">
        <v>45897.0</v>
      </c>
      <c r="B13349" s="4">
        <v>0.31527777777777777</v>
      </c>
      <c r="C13349" s="5" t="s">
        <v>59</v>
      </c>
      <c r="D13349" s="5" t="s">
        <v>1776</v>
      </c>
      <c r="E13349" s="8" t="s">
        <v>980</v>
      </c>
      <c r="F13349" s="5" t="s">
        <v>414</v>
      </c>
      <c r="G13349" s="6" t="str">
        <f>VLOOKUP(E13349,dicionario!$A$1:$C13748,2,0)</f>
        <v>#N/A</v>
      </c>
      <c r="H13349" s="6" t="str">
        <f>VLOOKUP(E13349,dicionario!$A$1:$C13748,3,0)</f>
        <v>#N/A</v>
      </c>
    </row>
    <row r="13350">
      <c r="A13350" s="3">
        <v>45897.0</v>
      </c>
      <c r="B13350" s="4">
        <v>0.31527777777777777</v>
      </c>
      <c r="C13350" s="5" t="s">
        <v>59</v>
      </c>
      <c r="D13350" s="5" t="s">
        <v>1776</v>
      </c>
      <c r="E13350" s="8" t="s">
        <v>498</v>
      </c>
      <c r="F13350" s="5" t="s">
        <v>499</v>
      </c>
      <c r="G13350" s="6" t="str">
        <f>VLOOKUP(E13350,dicionario!$A$1:$C13749,2,0)</f>
        <v>Brachiaria decumbens</v>
      </c>
      <c r="H13350" s="6" t="str">
        <f>VLOOKUP(E13350,dicionario!$A$1:$C13749,3,0)</f>
        <v>capim-braquiária</v>
      </c>
    </row>
    <row r="13351">
      <c r="A13351" s="3">
        <v>45897.0</v>
      </c>
      <c r="B13351" s="4">
        <v>0.31527777777777777</v>
      </c>
      <c r="C13351" s="5" t="s">
        <v>59</v>
      </c>
      <c r="D13351" s="5" t="s">
        <v>1776</v>
      </c>
      <c r="E13351" s="8" t="s">
        <v>712</v>
      </c>
      <c r="F13351" s="5" t="s">
        <v>912</v>
      </c>
      <c r="G13351" s="6" t="str">
        <f>VLOOKUP(E13351,dicionario!$A$1:$C13750,2,0)</f>
        <v>Flavopunctelia soredica</v>
      </c>
      <c r="H13351" s="6" t="str">
        <f>VLOOKUP(E13351,dicionario!$A$1:$C13750,3,0)</f>
        <v>líquen-folioso</v>
      </c>
    </row>
    <row r="13352">
      <c r="A13352" s="3">
        <v>45897.0</v>
      </c>
      <c r="B13352" s="4">
        <v>0.31527777777777777</v>
      </c>
      <c r="C13352" s="5" t="s">
        <v>59</v>
      </c>
      <c r="D13352" s="5" t="s">
        <v>1776</v>
      </c>
      <c r="E13352" s="8" t="s">
        <v>719</v>
      </c>
      <c r="F13352" s="5" t="s">
        <v>911</v>
      </c>
      <c r="G13352" s="6" t="str">
        <f>VLOOKUP(E13352,dicionario!$A$1:$C13751,2,0)</f>
        <v>Dirinaria</v>
      </c>
      <c r="H13352" s="6" t="str">
        <f>VLOOKUP(E13352,dicionario!$A$1:$C13751,3,0)</f>
        <v>líquen-crostoso</v>
      </c>
    </row>
    <row r="13353">
      <c r="A13353" s="3">
        <v>45897.0</v>
      </c>
      <c r="B13353" s="4">
        <v>0.31527777777777777</v>
      </c>
      <c r="C13353" s="5" t="s">
        <v>59</v>
      </c>
      <c r="D13353" s="5" t="s">
        <v>1776</v>
      </c>
      <c r="E13353" s="8" t="s">
        <v>107</v>
      </c>
      <c r="F13353" s="5" t="s">
        <v>834</v>
      </c>
      <c r="G13353" s="6" t="str">
        <f>VLOOKUP(E13353,dicionario!$A$1:$C13752,2,0)</f>
        <v>Ramalina complanata</v>
      </c>
      <c r="H13353" s="6" t="str">
        <f>VLOOKUP(E13353,dicionario!$A$1:$C13752,3,0)</f>
        <v>ramalina</v>
      </c>
    </row>
    <row r="13354">
      <c r="A13354" s="3">
        <v>45897.0</v>
      </c>
      <c r="B13354" s="4">
        <v>0.3159722222222222</v>
      </c>
      <c r="C13354" s="5" t="s">
        <v>59</v>
      </c>
      <c r="D13354" s="5" t="s">
        <v>1776</v>
      </c>
      <c r="E13354" s="8" t="s">
        <v>752</v>
      </c>
      <c r="F13354" s="5" t="s">
        <v>969</v>
      </c>
      <c r="G13354" s="6" t="str">
        <f>VLOOKUP(E13354,dicionario!$A$1:$C13753,2,0)</f>
        <v>#N/A</v>
      </c>
      <c r="H13354" s="6" t="str">
        <f>VLOOKUP(E13354,dicionario!$A$1:$C13753,3,0)</f>
        <v>#N/A</v>
      </c>
    </row>
    <row r="13355">
      <c r="A13355" s="3">
        <v>45897.0</v>
      </c>
      <c r="B13355" s="4">
        <v>0.3159722222222222</v>
      </c>
      <c r="C13355" s="5" t="s">
        <v>59</v>
      </c>
      <c r="D13355" s="5" t="s">
        <v>1776</v>
      </c>
      <c r="E13355" s="6" t="s">
        <v>154</v>
      </c>
      <c r="F13355" s="5" t="s">
        <v>155</v>
      </c>
      <c r="G13355" s="6" t="str">
        <f>VLOOKUP(E13355,dicionario!$A$1:$C13754,2,0)</f>
        <v>Cyperus rotundus</v>
      </c>
      <c r="H13355" s="6" t="str">
        <f>VLOOKUP(E13355,dicionario!$A$1:$C13754,3,0)</f>
        <v>tiririca</v>
      </c>
    </row>
    <row r="13356">
      <c r="A13356" s="3">
        <v>45897.0</v>
      </c>
      <c r="B13356" s="4">
        <v>0.31666666666666665</v>
      </c>
      <c r="C13356" s="5" t="s">
        <v>59</v>
      </c>
      <c r="D13356" s="5" t="s">
        <v>1776</v>
      </c>
      <c r="E13356" s="8" t="s">
        <v>135</v>
      </c>
      <c r="F13356" s="5" t="s">
        <v>136</v>
      </c>
      <c r="G13356" s="6" t="str">
        <f>VLOOKUP(E13356,dicionario!$A$1:$C13755,2,0)</f>
        <v>Tridax procumbens</v>
      </c>
      <c r="H13356" s="6" t="str">
        <f>VLOOKUP(E13356,dicionario!$A$1:$C13755,3,0)</f>
        <v>erva-de-touro</v>
      </c>
    </row>
    <row r="13357">
      <c r="A13357" s="3">
        <v>45897.0</v>
      </c>
      <c r="B13357" s="4">
        <v>0.31666666666666665</v>
      </c>
      <c r="C13357" s="5" t="s">
        <v>59</v>
      </c>
      <c r="D13357" s="5" t="s">
        <v>1776</v>
      </c>
      <c r="E13357" s="6" t="s">
        <v>22</v>
      </c>
      <c r="F13357" s="5" t="s">
        <v>97</v>
      </c>
      <c r="G13357" s="6" t="str">
        <f>VLOOKUP(E13357,dicionario!$A$1:$C13756,2,0)</f>
        <v>Zenaida auriculata</v>
      </c>
      <c r="H13357" s="6" t="str">
        <f>VLOOKUP(E13357,dicionario!$A$1:$C13756,3,0)</f>
        <v>pomba-de-bando; avoante</v>
      </c>
    </row>
    <row r="13358">
      <c r="A13358" s="3">
        <v>45897.0</v>
      </c>
      <c r="B13358" s="4">
        <v>0.31666666666666665</v>
      </c>
      <c r="C13358" s="5" t="s">
        <v>59</v>
      </c>
      <c r="D13358" s="5" t="s">
        <v>1776</v>
      </c>
      <c r="E13358" s="6" t="s">
        <v>43</v>
      </c>
      <c r="F13358" s="5" t="s">
        <v>44</v>
      </c>
      <c r="G13358" s="6" t="str">
        <f>VLOOKUP(E13358,dicionario!$A$1:$C13757,2,0)</f>
        <v>Columba livia</v>
      </c>
      <c r="H13358" s="6" t="str">
        <f>VLOOKUP(E13358,dicionario!$A$1:$C13757,3,0)</f>
        <v>pombo-doméstico</v>
      </c>
    </row>
    <row r="13359">
      <c r="A13359" s="3">
        <v>45897.0</v>
      </c>
      <c r="B13359" s="4">
        <v>0.31666666666666665</v>
      </c>
      <c r="C13359" s="5" t="s">
        <v>59</v>
      </c>
      <c r="D13359" s="5" t="s">
        <v>1776</v>
      </c>
      <c r="E13359" s="6" t="s">
        <v>227</v>
      </c>
      <c r="F13359" s="5" t="s">
        <v>228</v>
      </c>
      <c r="G13359" s="6" t="str">
        <f>VLOOKUP(E13359,dicionario!$A$1:$C13758,2,0)</f>
        <v>Indigofera hirsuta</v>
      </c>
      <c r="H13359" s="6" t="str">
        <f>VLOOKUP(E13359,dicionario!$A$1:$C13758,3,0)</f>
        <v>anileira</v>
      </c>
    </row>
    <row r="13360">
      <c r="A13360" s="3">
        <v>45897.0</v>
      </c>
      <c r="B13360" s="4">
        <v>0.31805555555555554</v>
      </c>
      <c r="C13360" s="5" t="s">
        <v>59</v>
      </c>
      <c r="D13360" s="5" t="s">
        <v>1776</v>
      </c>
      <c r="E13360" s="8" t="s">
        <v>14</v>
      </c>
      <c r="F13360" s="5" t="s">
        <v>15</v>
      </c>
      <c r="G13360" s="6" t="str">
        <f>VLOOKUP(E13360,dicionario!$A$1:$C13759,2,0)</f>
        <v>Spermacoce verticillata</v>
      </c>
      <c r="H13360" s="6" t="str">
        <f>VLOOKUP(E13360,dicionario!$A$1:$C13759,3,0)</f>
        <v>vassourinha-de-botão</v>
      </c>
    </row>
    <row r="13361">
      <c r="A13361" s="3">
        <v>45897.0</v>
      </c>
      <c r="B13361" s="4">
        <v>0.31805555555555554</v>
      </c>
      <c r="C13361" s="5" t="s">
        <v>59</v>
      </c>
      <c r="D13361" s="5" t="s">
        <v>1776</v>
      </c>
      <c r="E13361" s="6" t="s">
        <v>286</v>
      </c>
      <c r="F13361" s="5" t="s">
        <v>287</v>
      </c>
      <c r="G13361" s="6" t="str">
        <f>VLOOKUP(E13361,dicionario!$A$1:$C13760,2,0)</f>
        <v>Setaria parviflora</v>
      </c>
      <c r="H13361" s="6" t="str">
        <f>VLOOKUP(E13361,dicionario!$A$1:$C13760,3,0)</f>
        <v>capim-rabo-de-raposa</v>
      </c>
    </row>
    <row r="13362">
      <c r="A13362" s="3">
        <v>45897.0</v>
      </c>
      <c r="B13362" s="4">
        <v>0.31805555555555554</v>
      </c>
      <c r="C13362" s="5" t="s">
        <v>59</v>
      </c>
      <c r="D13362" s="5" t="s">
        <v>1776</v>
      </c>
      <c r="E13362" s="8" t="s">
        <v>360</v>
      </c>
      <c r="F13362" s="5" t="s">
        <v>361</v>
      </c>
      <c r="G13362" s="6" t="str">
        <f>VLOOKUP(E13362,dicionario!$A$1:$C13761,2,0)</f>
        <v>Chamaecrista rotundifolia</v>
      </c>
      <c r="H13362" s="6" t="str">
        <f>VLOOKUP(E13362,dicionario!$A$1:$C13761,3,0)</f>
        <v>alfafa-nativa</v>
      </c>
    </row>
    <row r="13363">
      <c r="A13363" s="3">
        <v>45897.0</v>
      </c>
      <c r="B13363" s="4">
        <v>0.31805555555555554</v>
      </c>
      <c r="C13363" s="5" t="s">
        <v>59</v>
      </c>
      <c r="D13363" s="5" t="s">
        <v>1776</v>
      </c>
      <c r="E13363" s="8" t="s">
        <v>366</v>
      </c>
      <c r="F13363" s="5" t="s">
        <v>367</v>
      </c>
      <c r="G13363" s="6" t="str">
        <f>VLOOKUP(E13363,dicionario!$A$1:$C13762,2,0)</f>
        <v>Alternanthera ficoidea</v>
      </c>
      <c r="H13363" s="6" t="str">
        <f>VLOOKUP(E13363,dicionario!$A$1:$C13762,3,0)</f>
        <v>quebra-panela</v>
      </c>
    </row>
    <row r="13364">
      <c r="A13364" s="3">
        <v>45897.0</v>
      </c>
      <c r="B13364" s="4">
        <v>0.31805555555555554</v>
      </c>
      <c r="C13364" s="5" t="s">
        <v>59</v>
      </c>
      <c r="D13364" s="5" t="s">
        <v>1776</v>
      </c>
      <c r="E13364" s="6" t="s">
        <v>467</v>
      </c>
      <c r="F13364" s="5" t="s">
        <v>1365</v>
      </c>
      <c r="G13364" s="6" t="str">
        <f>VLOOKUP(E13364,dicionario!$A$1:$C13763,2,0)</f>
        <v>Eleusine indica</v>
      </c>
      <c r="H13364" s="6" t="str">
        <f>VLOOKUP(E13364,dicionario!$A$1:$C13763,3,0)</f>
        <v>capim-pé-de-galinha</v>
      </c>
    </row>
    <row r="13365">
      <c r="A13365" s="3">
        <v>45897.0</v>
      </c>
      <c r="B13365" s="4">
        <v>0.3194444444444444</v>
      </c>
      <c r="C13365" s="5" t="s">
        <v>59</v>
      </c>
      <c r="D13365" s="5" t="s">
        <v>1776</v>
      </c>
      <c r="E13365" s="8" t="s">
        <v>1782</v>
      </c>
      <c r="F13365" s="5" t="s">
        <v>737</v>
      </c>
      <c r="G13365" s="6" t="str">
        <f>VLOOKUP(E13365,dicionario!$A$1:$C13764,2,0)</f>
        <v>#N/A</v>
      </c>
      <c r="H13365" s="6" t="str">
        <f>VLOOKUP(E13365,dicionario!$A$1:$C13764,3,0)</f>
        <v>#N/A</v>
      </c>
    </row>
    <row r="13366">
      <c r="A13366" s="3">
        <v>45897.0</v>
      </c>
      <c r="B13366" s="4">
        <v>0.3194444444444444</v>
      </c>
      <c r="C13366" s="5" t="s">
        <v>59</v>
      </c>
      <c r="D13366" s="5" t="s">
        <v>1776</v>
      </c>
      <c r="E13366" s="6" t="s">
        <v>53</v>
      </c>
      <c r="F13366" s="5" t="s">
        <v>54</v>
      </c>
      <c r="G13366" s="6" t="str">
        <f>VLOOKUP(E13366,dicionario!$A$1:$C13765,2,0)</f>
        <v>Turnera subulata</v>
      </c>
      <c r="H13366" s="6" t="str">
        <f>VLOOKUP(E13366,dicionario!$A$1:$C13765,3,0)</f>
        <v>xanana</v>
      </c>
    </row>
    <row r="13367">
      <c r="A13367" s="3">
        <v>45897.0</v>
      </c>
      <c r="B13367" s="4">
        <v>0.3194444444444444</v>
      </c>
      <c r="C13367" s="5" t="s">
        <v>59</v>
      </c>
      <c r="D13367" s="5" t="s">
        <v>1776</v>
      </c>
      <c r="E13367" s="8" t="s">
        <v>271</v>
      </c>
      <c r="F13367" s="5" t="s">
        <v>1169</v>
      </c>
      <c r="G13367" s="6" t="str">
        <f>VLOOKUP(E13367,dicionario!$A$1:$C13766,2,0)</f>
        <v>Cyanthillium cinereum</v>
      </c>
      <c r="H13367" s="6" t="str">
        <f>VLOOKUP(E13367,dicionario!$A$1:$C13766,3,0)</f>
        <v>emília</v>
      </c>
    </row>
    <row r="13368">
      <c r="A13368" s="3">
        <v>45897.0</v>
      </c>
      <c r="B13368" s="4">
        <v>0.3194444444444444</v>
      </c>
      <c r="C13368" s="5" t="s">
        <v>59</v>
      </c>
      <c r="D13368" s="5" t="s">
        <v>1776</v>
      </c>
      <c r="E13368" s="72" t="s">
        <v>1783</v>
      </c>
      <c r="F13368" s="61" t="s">
        <v>1088</v>
      </c>
      <c r="G13368" s="6" t="str">
        <f>VLOOKUP(E13368,dicionario!$A$1:$C13767,2,0)</f>
        <v>#N/A</v>
      </c>
      <c r="H13368" s="6" t="str">
        <f>VLOOKUP(E13368,dicionario!$A$1:$C13767,3,0)</f>
        <v>#N/A</v>
      </c>
    </row>
    <row r="13369">
      <c r="A13369" s="3">
        <v>45897.0</v>
      </c>
      <c r="B13369" s="4">
        <v>0.3194444444444444</v>
      </c>
      <c r="C13369" s="5" t="s">
        <v>59</v>
      </c>
      <c r="D13369" s="5" t="s">
        <v>1776</v>
      </c>
      <c r="E13369" s="6" t="s">
        <v>448</v>
      </c>
      <c r="F13369" s="5" t="s">
        <v>462</v>
      </c>
      <c r="G13369" s="6" t="str">
        <f>VLOOKUP(E13369,dicionario!$A$1:$C13768,2,0)</f>
        <v>Mechanitis polymnia</v>
      </c>
      <c r="H13369" s="6" t="str">
        <f>VLOOKUP(E13369,dicionario!$A$1:$C13768,3,0)</f>
        <v>maria-boba</v>
      </c>
    </row>
    <row r="13370">
      <c r="A13370" s="3">
        <v>45897.0</v>
      </c>
      <c r="B13370" s="4">
        <v>0.3194444444444444</v>
      </c>
      <c r="C13370" s="5" t="s">
        <v>59</v>
      </c>
      <c r="D13370" s="5" t="s">
        <v>1776</v>
      </c>
      <c r="E13370" s="6" t="s">
        <v>401</v>
      </c>
      <c r="F13370" s="5" t="s">
        <v>464</v>
      </c>
      <c r="G13370" s="6" t="str">
        <f>VLOOKUP(E13370,dicionario!$A$1:$C13769,2,0)</f>
        <v>Cissus verticillata</v>
      </c>
      <c r="H13370" s="6" t="str">
        <f>VLOOKUP(E13370,dicionario!$A$1:$C13769,3,0)</f>
        <v>uva-do-mato</v>
      </c>
    </row>
    <row r="13371">
      <c r="A13371" s="3">
        <v>45897.0</v>
      </c>
      <c r="B13371" s="4">
        <v>0.32013888888888886</v>
      </c>
      <c r="C13371" s="5" t="s">
        <v>59</v>
      </c>
      <c r="D13371" s="5" t="s">
        <v>1776</v>
      </c>
      <c r="E13371" s="6" t="s">
        <v>111</v>
      </c>
      <c r="F13371" s="5" t="s">
        <v>112</v>
      </c>
      <c r="G13371" s="6" t="str">
        <f>VLOOKUP(E13371,dicionario!$A$1:$C13770,2,0)</f>
        <v>Trigona spinipes</v>
      </c>
      <c r="H13371" s="6" t="str">
        <f>VLOOKUP(E13371,dicionario!$A$1:$C13770,3,0)</f>
        <v>abelha-cachorro</v>
      </c>
    </row>
    <row r="13372">
      <c r="A13372" s="3">
        <v>45897.0</v>
      </c>
      <c r="B13372" s="4">
        <v>0.32013888888888886</v>
      </c>
      <c r="C13372" s="5" t="s">
        <v>59</v>
      </c>
      <c r="D13372" s="5" t="s">
        <v>1776</v>
      </c>
      <c r="E13372" s="6" t="s">
        <v>86</v>
      </c>
      <c r="F13372" s="5" t="s">
        <v>502</v>
      </c>
      <c r="G13372" s="6" t="str">
        <f>VLOOKUP(E13372,dicionario!$A$1:$C13771,2,0)</f>
        <v>Coereba flaveola</v>
      </c>
      <c r="H13372" s="6" t="str">
        <f>VLOOKUP(E13372,dicionario!$A$1:$C13771,3,0)</f>
        <v>cambacica</v>
      </c>
    </row>
    <row r="13373">
      <c r="A13373" s="3">
        <v>45897.0</v>
      </c>
      <c r="B13373" s="4">
        <v>0.32013888888888886</v>
      </c>
      <c r="C13373" s="5" t="s">
        <v>59</v>
      </c>
      <c r="D13373" s="5" t="s">
        <v>1776</v>
      </c>
      <c r="E13373" s="8" t="s">
        <v>858</v>
      </c>
      <c r="F13373" s="5" t="s">
        <v>859</v>
      </c>
      <c r="G13373" s="6" t="str">
        <f>VLOOKUP(E13373,dicionario!$A$1:$C13772,2,0)</f>
        <v>Rumex obtusifolius</v>
      </c>
      <c r="H13373" s="6" t="str">
        <f>VLOOKUP(E13373,dicionario!$A$1:$C13772,3,0)</f>
        <v>lingua-de-vaca</v>
      </c>
    </row>
    <row r="13374">
      <c r="A13374" s="3">
        <v>45897.0</v>
      </c>
      <c r="B13374" s="4">
        <v>0.32013888888888886</v>
      </c>
      <c r="C13374" s="5" t="s">
        <v>59</v>
      </c>
      <c r="D13374" s="5" t="s">
        <v>1776</v>
      </c>
      <c r="E13374" s="6" t="s">
        <v>290</v>
      </c>
      <c r="F13374" s="5" t="s">
        <v>291</v>
      </c>
      <c r="G13374" s="6" t="str">
        <f>VLOOKUP(E13374,dicionario!$A$1:$C13773,2,0)</f>
        <v>Drymaria cordata</v>
      </c>
      <c r="H13374" s="6" t="str">
        <f>VLOOKUP(E13374,dicionario!$A$1:$C13773,3,0)</f>
        <v>orelha-de-rato</v>
      </c>
    </row>
    <row r="13375">
      <c r="A13375" s="3">
        <v>45897.0</v>
      </c>
      <c r="B13375" s="4">
        <v>0.32013888888888886</v>
      </c>
      <c r="C13375" s="5" t="s">
        <v>59</v>
      </c>
      <c r="D13375" s="5" t="s">
        <v>1776</v>
      </c>
      <c r="E13375" s="6" t="s">
        <v>599</v>
      </c>
      <c r="F13375" s="5" t="s">
        <v>600</v>
      </c>
      <c r="G13375" s="6" t="str">
        <f>VLOOKUP(E13375,dicionario!$A$1:$C13774,2,0)</f>
        <v>Emilia fosbergii</v>
      </c>
      <c r="H13375" s="6" t="str">
        <f>VLOOKUP(E13375,dicionario!$A$1:$C13774,3,0)</f>
        <v>algodão-de-preá</v>
      </c>
    </row>
    <row r="13376">
      <c r="A13376" s="3">
        <v>45897.0</v>
      </c>
      <c r="B13376" s="4">
        <v>0.32013888888888886</v>
      </c>
      <c r="C13376" s="5" t="s">
        <v>59</v>
      </c>
      <c r="D13376" s="5" t="s">
        <v>1776</v>
      </c>
      <c r="E13376" s="6" t="s">
        <v>141</v>
      </c>
      <c r="F13376" s="5" t="s">
        <v>142</v>
      </c>
      <c r="G13376" s="6" t="str">
        <f>VLOOKUP(E13376,dicionario!$A$1:$C13775,2,0)</f>
        <v>Ruellia blechum</v>
      </c>
      <c r="H13376" s="6" t="str">
        <f>VLOOKUP(E13376,dicionario!$A$1:$C13775,3,0)</f>
        <v>camarão-verde</v>
      </c>
    </row>
    <row r="13377">
      <c r="A13377" s="3">
        <v>45897.0</v>
      </c>
      <c r="B13377" s="4">
        <v>0.32013888888888886</v>
      </c>
      <c r="C13377" s="5" t="s">
        <v>59</v>
      </c>
      <c r="D13377" s="5" t="s">
        <v>1776</v>
      </c>
      <c r="E13377" s="8" t="s">
        <v>143</v>
      </c>
      <c r="F13377" s="5" t="s">
        <v>936</v>
      </c>
      <c r="G13377" s="6" t="str">
        <f>VLOOKUP(E13377,dicionario!$A$1:$C13776,2,0)</f>
        <v>Polybia</v>
      </c>
      <c r="H13377" s="6" t="str">
        <f>VLOOKUP(E13377,dicionario!$A$1:$C13776,3,0)</f>
        <v>vespa</v>
      </c>
    </row>
    <row r="13378">
      <c r="A13378" s="3">
        <v>45897.0</v>
      </c>
      <c r="B13378" s="4">
        <v>0.32013888888888886</v>
      </c>
      <c r="C13378" s="5" t="s">
        <v>59</v>
      </c>
      <c r="D13378" s="5" t="s">
        <v>1776</v>
      </c>
      <c r="E13378" s="6" t="s">
        <v>258</v>
      </c>
      <c r="F13378" s="5" t="s">
        <v>259</v>
      </c>
      <c r="G13378" s="6" t="str">
        <f>VLOOKUP(E13378,dicionario!$A$1:$C13777,2,0)</f>
        <v>Lantana camara</v>
      </c>
      <c r="H13378" s="6" t="str">
        <f>VLOOKUP(E13378,dicionario!$A$1:$C13777,3,0)</f>
        <v>lantana</v>
      </c>
    </row>
    <row r="13379">
      <c r="A13379" s="3">
        <v>45897.0</v>
      </c>
      <c r="B13379" s="4">
        <v>0.32013888888888886</v>
      </c>
      <c r="C13379" s="5" t="s">
        <v>59</v>
      </c>
      <c r="D13379" s="5" t="s">
        <v>1776</v>
      </c>
      <c r="E13379" s="8" t="s">
        <v>245</v>
      </c>
      <c r="F13379" s="5" t="s">
        <v>246</v>
      </c>
      <c r="G13379" s="6" t="str">
        <f>VLOOKUP(E13379,dicionario!$A$1:$C13778,2,0)</f>
        <v>Hemiargus hanno</v>
      </c>
      <c r="H13379" s="6" t="str">
        <f>VLOOKUP(E13379,dicionario!$A$1:$C13778,3,0)</f>
        <v>borboleta-azulzinha-do-trevo</v>
      </c>
    </row>
    <row r="13380">
      <c r="A13380" s="3">
        <v>45897.0</v>
      </c>
      <c r="B13380" s="4">
        <v>0.32013888888888886</v>
      </c>
      <c r="C13380" s="5" t="s">
        <v>59</v>
      </c>
      <c r="D13380" s="5" t="s">
        <v>1776</v>
      </c>
      <c r="E13380" s="8" t="s">
        <v>1784</v>
      </c>
      <c r="F13380" s="5" t="s">
        <v>1068</v>
      </c>
      <c r="G13380" s="6" t="str">
        <f>VLOOKUP(E13380,dicionario!$A$1:$C13779,2,0)</f>
        <v>Burnsius orcynoides</v>
      </c>
      <c r="H13380" s="6" t="str">
        <f>VLOOKUP(E13380,dicionario!$A$1:$C13779,3,0)</f>
        <v/>
      </c>
    </row>
    <row r="13381">
      <c r="A13381" s="3">
        <v>45897.0</v>
      </c>
      <c r="B13381" s="4">
        <v>0.32013888888888886</v>
      </c>
      <c r="C13381" s="5" t="s">
        <v>59</v>
      </c>
      <c r="D13381" s="5" t="s">
        <v>1776</v>
      </c>
      <c r="E13381" s="8" t="s">
        <v>1785</v>
      </c>
      <c r="F13381" s="5" t="s">
        <v>1786</v>
      </c>
      <c r="G13381" s="6" t="str">
        <f>VLOOKUP(E13381,dicionario!$A$1:$C13780,2,0)</f>
        <v>#N/A</v>
      </c>
      <c r="H13381" s="6" t="str">
        <f>VLOOKUP(E13381,dicionario!$A$1:$C13780,3,0)</f>
        <v>#N/A</v>
      </c>
    </row>
    <row r="13382">
      <c r="A13382" s="3">
        <v>45897.0</v>
      </c>
      <c r="B13382" s="4">
        <v>0.3215277777777778</v>
      </c>
      <c r="C13382" s="5" t="s">
        <v>64</v>
      </c>
      <c r="D13382" s="5" t="s">
        <v>1776</v>
      </c>
      <c r="E13382" s="6" t="s">
        <v>65</v>
      </c>
      <c r="F13382" s="5" t="s">
        <v>66</v>
      </c>
      <c r="G13382" s="6" t="str">
        <f>VLOOKUP(E13382,dicionario!$A$1:$C13781,2,0)</f>
        <v>Pitangus sulphutarus</v>
      </c>
      <c r="H13382" s="6" t="str">
        <f>VLOOKUP(E13382,dicionario!$A$1:$C13781,3,0)</f>
        <v>bem-te-vi</v>
      </c>
    </row>
    <row r="13383">
      <c r="A13383" s="3">
        <v>45897.0</v>
      </c>
      <c r="B13383" s="4">
        <v>0.3215277777777778</v>
      </c>
      <c r="C13383" s="5" t="s">
        <v>64</v>
      </c>
      <c r="D13383" s="5" t="s">
        <v>1776</v>
      </c>
      <c r="E13383" s="6" t="s">
        <v>253</v>
      </c>
      <c r="F13383" s="5" t="s">
        <v>254</v>
      </c>
      <c r="G13383" s="6" t="str">
        <f>VLOOKUP(E13383,dicionario!$A$1:$C13782,2,0)</f>
        <v>Panicum maximum</v>
      </c>
      <c r="H13383" s="6" t="str">
        <f>VLOOKUP(E13383,dicionario!$A$1:$C13782,3,0)</f>
        <v>capim-colonião</v>
      </c>
    </row>
    <row r="13384">
      <c r="A13384" s="3">
        <v>45897.0</v>
      </c>
      <c r="B13384" s="4">
        <v>0.3215277777777778</v>
      </c>
      <c r="C13384" s="5" t="s">
        <v>64</v>
      </c>
      <c r="D13384" s="5" t="s">
        <v>1776</v>
      </c>
      <c r="E13384" s="8" t="s">
        <v>69</v>
      </c>
      <c r="F13384" s="5" t="s">
        <v>71</v>
      </c>
      <c r="G13384" s="6" t="str">
        <f>VLOOKUP(E13384,dicionario!$A$1:$C13783,2,0)</f>
        <v>Talinum fruticosum</v>
      </c>
      <c r="H13384" s="6" t="str">
        <f>VLOOKUP(E13384,dicionario!$A$1:$C13783,3,0)</f>
        <v>beldroega-grande</v>
      </c>
    </row>
    <row r="13385">
      <c r="A13385" s="3">
        <v>45897.0</v>
      </c>
      <c r="B13385" s="4">
        <v>0.3215277777777778</v>
      </c>
      <c r="C13385" s="5" t="s">
        <v>64</v>
      </c>
      <c r="D13385" s="5" t="s">
        <v>1776</v>
      </c>
      <c r="E13385" s="6" t="s">
        <v>154</v>
      </c>
      <c r="F13385" s="5" t="s">
        <v>155</v>
      </c>
      <c r="G13385" s="6" t="str">
        <f>VLOOKUP(E13385,dicionario!$A$1:$C13784,2,0)</f>
        <v>Cyperus rotundus</v>
      </c>
      <c r="H13385" s="6" t="str">
        <f>VLOOKUP(E13385,dicionario!$A$1:$C13784,3,0)</f>
        <v>tiririca</v>
      </c>
    </row>
    <row r="13386">
      <c r="A13386" s="3">
        <v>45897.0</v>
      </c>
      <c r="B13386" s="4">
        <v>0.3215277777777778</v>
      </c>
      <c r="C13386" s="5" t="s">
        <v>64</v>
      </c>
      <c r="D13386" s="5" t="s">
        <v>1776</v>
      </c>
      <c r="E13386" s="8" t="s">
        <v>150</v>
      </c>
      <c r="F13386" s="5" t="s">
        <v>151</v>
      </c>
      <c r="G13386" s="6" t="str">
        <f>VLOOKUP(E13386,dicionario!$A$1:$C13785,2,0)</f>
        <v>Amaranthus viridis</v>
      </c>
      <c r="H13386" s="6" t="str">
        <f>VLOOKUP(E13386,dicionario!$A$1:$C13785,3,0)</f>
        <v>caruru-de-mancha</v>
      </c>
    </row>
    <row r="13387">
      <c r="A13387" s="3">
        <v>45897.0</v>
      </c>
      <c r="B13387" s="4">
        <v>0.3215277777777778</v>
      </c>
      <c r="C13387" s="5" t="s">
        <v>64</v>
      </c>
      <c r="D13387" s="5" t="s">
        <v>1776</v>
      </c>
      <c r="E13387" s="6" t="s">
        <v>467</v>
      </c>
      <c r="F13387" s="5" t="s">
        <v>1365</v>
      </c>
      <c r="G13387" s="6" t="str">
        <f>VLOOKUP(E13387,dicionario!$A$1:$C13786,2,0)</f>
        <v>Eleusine indica</v>
      </c>
      <c r="H13387" s="6" t="str">
        <f>VLOOKUP(E13387,dicionario!$A$1:$C13786,3,0)</f>
        <v>capim-pé-de-galinha</v>
      </c>
    </row>
    <row r="13388">
      <c r="A13388" s="3">
        <v>45897.0</v>
      </c>
      <c r="B13388" s="4">
        <v>0.3215277777777778</v>
      </c>
      <c r="C13388" s="5" t="s">
        <v>64</v>
      </c>
      <c r="D13388" s="5" t="s">
        <v>1776</v>
      </c>
      <c r="E13388" s="8" t="s">
        <v>20</v>
      </c>
      <c r="F13388" s="5" t="s">
        <v>21</v>
      </c>
      <c r="G13388" s="6" t="str">
        <f>VLOOKUP(E13388,dicionario!$A$1:$C13787,2,0)</f>
        <v>Sicalis flaveola</v>
      </c>
      <c r="H13388" s="6" t="str">
        <f>VLOOKUP(E13388,dicionario!$A$1:$C13787,3,0)</f>
        <v>canário-da-terra</v>
      </c>
    </row>
    <row r="13389">
      <c r="A13389" s="3">
        <v>45897.0</v>
      </c>
      <c r="B13389" s="4">
        <v>0.3215277777777778</v>
      </c>
      <c r="C13389" s="5" t="s">
        <v>64</v>
      </c>
      <c r="D13389" s="5" t="s">
        <v>1776</v>
      </c>
      <c r="E13389" s="6" t="s">
        <v>141</v>
      </c>
      <c r="F13389" s="5" t="s">
        <v>142</v>
      </c>
      <c r="G13389" s="6" t="str">
        <f>VLOOKUP(E13389,dicionario!$A$1:$C13788,2,0)</f>
        <v>Ruellia blechum</v>
      </c>
      <c r="H13389" s="6" t="str">
        <f>VLOOKUP(E13389,dicionario!$A$1:$C13788,3,0)</f>
        <v>camarão-verde</v>
      </c>
    </row>
    <row r="13390">
      <c r="A13390" s="3">
        <v>45897.0</v>
      </c>
      <c r="B13390" s="4">
        <v>0.3215277777777778</v>
      </c>
      <c r="C13390" s="5" t="s">
        <v>64</v>
      </c>
      <c r="D13390" s="5" t="s">
        <v>1776</v>
      </c>
      <c r="E13390" s="6" t="s">
        <v>489</v>
      </c>
      <c r="F13390" s="5" t="s">
        <v>521</v>
      </c>
      <c r="G13390" s="6" t="str">
        <f>VLOOKUP(E13390,dicionario!$A$1:$C13789,2,0)</f>
        <v>Cenchrus echinatus</v>
      </c>
      <c r="H13390" s="6" t="str">
        <f>VLOOKUP(E13390,dicionario!$A$1:$C13789,3,0)</f>
        <v>capim-carrapicho</v>
      </c>
    </row>
    <row r="13391">
      <c r="A13391" s="3">
        <v>45897.0</v>
      </c>
      <c r="B13391" s="4">
        <v>0.3236111111111111</v>
      </c>
      <c r="C13391" s="5" t="s">
        <v>64</v>
      </c>
      <c r="D13391" s="5" t="s">
        <v>1776</v>
      </c>
      <c r="E13391" s="6" t="s">
        <v>177</v>
      </c>
      <c r="F13391" s="5" t="s">
        <v>178</v>
      </c>
      <c r="G13391" s="6" t="str">
        <f>VLOOKUP(E13391,dicionario!$A$1:$C13790,2,0)</f>
        <v>Elaenia flavogaster</v>
      </c>
      <c r="H13391" s="6" t="str">
        <f>VLOOKUP(E13391,dicionario!$A$1:$C13790,3,0)</f>
        <v>guaracava-de-barriga-amarela</v>
      </c>
    </row>
    <row r="13392">
      <c r="A13392" s="3">
        <v>45897.0</v>
      </c>
      <c r="B13392" s="4">
        <v>0.3236111111111111</v>
      </c>
      <c r="C13392" s="5" t="s">
        <v>64</v>
      </c>
      <c r="D13392" s="5" t="s">
        <v>1776</v>
      </c>
      <c r="E13392" s="12" t="s">
        <v>152</v>
      </c>
      <c r="F13392" s="5" t="s">
        <v>153</v>
      </c>
      <c r="G13392" s="6" t="str">
        <f>VLOOKUP(E13392,dicionario!$A$1:$C13791,2,0)</f>
        <v>Cynodon dactylon</v>
      </c>
      <c r="H13392" s="6" t="str">
        <f>VLOOKUP(E13392,dicionario!$A$1:$C13791,3,0)</f>
        <v>grama-bermuda</v>
      </c>
    </row>
    <row r="13393">
      <c r="A13393" s="3">
        <v>45897.0</v>
      </c>
      <c r="B13393" s="4">
        <v>0.3236111111111111</v>
      </c>
      <c r="C13393" s="5" t="s">
        <v>64</v>
      </c>
      <c r="D13393" s="5" t="s">
        <v>1776</v>
      </c>
      <c r="E13393" s="6" t="s">
        <v>251</v>
      </c>
      <c r="F13393" s="5" t="s">
        <v>252</v>
      </c>
      <c r="G13393" s="6" t="str">
        <f>VLOOKUP(E13393,dicionario!$A$1:$C13792,2,0)</f>
        <v>Struthanthus flexicaulis</v>
      </c>
      <c r="H13393" s="6" t="str">
        <f>VLOOKUP(E13393,dicionario!$A$1:$C13792,3,0)</f>
        <v>erva-de-passarinho</v>
      </c>
    </row>
    <row r="13394">
      <c r="A13394" s="3">
        <v>45897.0</v>
      </c>
      <c r="B13394" s="4">
        <v>0.3236111111111111</v>
      </c>
      <c r="C13394" s="5" t="s">
        <v>64</v>
      </c>
      <c r="D13394" s="5" t="s">
        <v>1776</v>
      </c>
      <c r="E13394" s="6" t="s">
        <v>267</v>
      </c>
      <c r="F13394" s="5" t="s">
        <v>553</v>
      </c>
      <c r="G13394" s="6" t="str">
        <f>VLOOKUP(E13394,dicionario!$A$1:$C13793,2,0)</f>
        <v>Solanum americanum</v>
      </c>
      <c r="H13394" s="6" t="str">
        <f>VLOOKUP(E13394,dicionario!$A$1:$C13793,3,0)</f>
        <v>maria-pretinha</v>
      </c>
    </row>
    <row r="13395">
      <c r="A13395" s="3">
        <v>45897.0</v>
      </c>
      <c r="B13395" s="4">
        <v>0.3263888888888889</v>
      </c>
      <c r="C13395" s="5" t="s">
        <v>64</v>
      </c>
      <c r="D13395" s="5" t="s">
        <v>1776</v>
      </c>
      <c r="E13395" s="8" t="s">
        <v>1787</v>
      </c>
      <c r="F13395" s="5" t="s">
        <v>418</v>
      </c>
      <c r="G13395" s="6" t="str">
        <f>VLOOKUP(E13395,dicionario!$A$1:$C13794,2,0)</f>
        <v>Camponotus</v>
      </c>
      <c r="H13395" s="6" t="str">
        <f>VLOOKUP(E13395,dicionario!$A$1:$C13794,3,0)</f>
        <v>formiga-preta</v>
      </c>
    </row>
    <row r="13396">
      <c r="A13396" s="3">
        <v>45897.0</v>
      </c>
      <c r="B13396" s="4">
        <v>0.3263888888888889</v>
      </c>
      <c r="C13396" s="5" t="s">
        <v>64</v>
      </c>
      <c r="D13396" s="5" t="s">
        <v>1776</v>
      </c>
      <c r="E13396" s="6" t="s">
        <v>43</v>
      </c>
      <c r="F13396" s="5" t="s">
        <v>44</v>
      </c>
      <c r="G13396" s="6" t="str">
        <f>VLOOKUP(E13396,dicionario!$A$1:$C13795,2,0)</f>
        <v>Columba livia</v>
      </c>
      <c r="H13396" s="6" t="str">
        <f>VLOOKUP(E13396,dicionario!$A$1:$C13795,3,0)</f>
        <v>pombo-doméstico</v>
      </c>
    </row>
    <row r="13397">
      <c r="A13397" s="3">
        <v>45897.0</v>
      </c>
      <c r="B13397" s="4">
        <v>0.3263888888888889</v>
      </c>
      <c r="C13397" s="5" t="s">
        <v>64</v>
      </c>
      <c r="D13397" s="5" t="s">
        <v>1776</v>
      </c>
      <c r="E13397" s="8" t="s">
        <v>624</v>
      </c>
      <c r="F13397" s="5" t="s">
        <v>133</v>
      </c>
      <c r="G13397" s="6" t="str">
        <f>VLOOKUP(E13397,dicionario!$A$1:$C13796,2,0)</f>
        <v>Euphonia violacea</v>
      </c>
      <c r="H13397" s="6" t="str">
        <f>VLOOKUP(E13397,dicionario!$A$1:$C13796,3,0)</f>
        <v>gaturamo-verdadeiro</v>
      </c>
    </row>
    <row r="13398">
      <c r="A13398" s="3">
        <v>45897.0</v>
      </c>
      <c r="B13398" s="4">
        <v>0.3263888888888889</v>
      </c>
      <c r="C13398" s="5" t="s">
        <v>64</v>
      </c>
      <c r="D13398" s="5" t="s">
        <v>1776</v>
      </c>
      <c r="E13398" s="6" t="s">
        <v>171</v>
      </c>
      <c r="F13398" s="5" t="s">
        <v>172</v>
      </c>
      <c r="G13398" s="6" t="str">
        <f>VLOOKUP(E13398,dicionario!$A$1:$C13797,2,0)</f>
        <v>Oxalis corniculata</v>
      </c>
      <c r="H13398" s="6" t="str">
        <f>VLOOKUP(E13398,dicionario!$A$1:$C13797,3,0)</f>
        <v>trevo-azedinho</v>
      </c>
    </row>
    <row r="13399">
      <c r="A13399" s="3">
        <v>45897.0</v>
      </c>
      <c r="B13399" s="4">
        <v>0.3263888888888889</v>
      </c>
      <c r="C13399" s="5" t="s">
        <v>64</v>
      </c>
      <c r="D13399" s="5" t="s">
        <v>1776</v>
      </c>
      <c r="E13399" s="6" t="s">
        <v>175</v>
      </c>
      <c r="F13399" s="5" t="s">
        <v>176</v>
      </c>
      <c r="G13399" s="6" t="str">
        <f>VLOOKUP(E13399,dicionario!$A$1:$C13798,2,0)</f>
        <v>Turdus leucomelas</v>
      </c>
      <c r="H13399" s="6" t="str">
        <f>VLOOKUP(E13399,dicionario!$A$1:$C13798,3,0)</f>
        <v>sabiá-barranco</v>
      </c>
    </row>
    <row r="13400">
      <c r="A13400" s="3">
        <v>45897.0</v>
      </c>
      <c r="B13400" s="4">
        <v>0.3263888888888889</v>
      </c>
      <c r="C13400" s="5" t="s">
        <v>64</v>
      </c>
      <c r="D13400" s="5" t="s">
        <v>1776</v>
      </c>
      <c r="E13400" s="6" t="s">
        <v>163</v>
      </c>
      <c r="F13400" s="5" t="s">
        <v>164</v>
      </c>
      <c r="G13400" s="6" t="str">
        <f>VLOOKUP(E13400,dicionario!$A$1:$C13799,2,0)</f>
        <v>Coragyps atratus</v>
      </c>
      <c r="H13400" s="6" t="str">
        <f>VLOOKUP(E13400,dicionario!$A$1:$C13799,3,0)</f>
        <v>urubu-de-cabeça-preta</v>
      </c>
    </row>
    <row r="13401">
      <c r="A13401" s="3">
        <v>45897.0</v>
      </c>
      <c r="B13401" s="4">
        <v>0.3263888888888889</v>
      </c>
      <c r="C13401" s="5" t="s">
        <v>64</v>
      </c>
      <c r="D13401" s="5" t="s">
        <v>1776</v>
      </c>
      <c r="E13401" s="8" t="s">
        <v>271</v>
      </c>
      <c r="F13401" s="5" t="s">
        <v>1169</v>
      </c>
      <c r="G13401" s="6" t="str">
        <f>VLOOKUP(E13401,dicionario!$A$1:$C13800,2,0)</f>
        <v>Cyanthillium cinereum</v>
      </c>
      <c r="H13401" s="6" t="str">
        <f>VLOOKUP(E13401,dicionario!$A$1:$C13800,3,0)</f>
        <v>emília</v>
      </c>
    </row>
    <row r="13402">
      <c r="A13402" s="3">
        <v>45897.0</v>
      </c>
      <c r="B13402" s="4">
        <v>0.3263888888888889</v>
      </c>
      <c r="C13402" s="5" t="s">
        <v>64</v>
      </c>
      <c r="D13402" s="5" t="s">
        <v>1776</v>
      </c>
      <c r="E13402" s="6" t="s">
        <v>227</v>
      </c>
      <c r="F13402" s="5" t="s">
        <v>228</v>
      </c>
      <c r="G13402" s="6" t="str">
        <f>VLOOKUP(E13402,dicionario!$A$1:$C13801,2,0)</f>
        <v>Indigofera hirsuta</v>
      </c>
      <c r="H13402" s="6" t="str">
        <f>VLOOKUP(E13402,dicionario!$A$1:$C13801,3,0)</f>
        <v>anileira</v>
      </c>
    </row>
    <row r="13403">
      <c r="A13403" s="3">
        <v>45897.0</v>
      </c>
      <c r="B13403" s="4">
        <v>0.3263888888888889</v>
      </c>
      <c r="C13403" s="5" t="s">
        <v>64</v>
      </c>
      <c r="D13403" s="5" t="s">
        <v>1776</v>
      </c>
      <c r="E13403" s="6" t="s">
        <v>148</v>
      </c>
      <c r="F13403" s="5" t="s">
        <v>149</v>
      </c>
      <c r="G13403" s="6" t="str">
        <f>VLOOKUP(E13403,dicionario!$A$1:$C13802,2,0)</f>
        <v>Parthenium hysterophorus</v>
      </c>
      <c r="H13403" s="6" t="str">
        <f>VLOOKUP(E13403,dicionario!$A$1:$C13802,3,0)</f>
        <v>losna-branca</v>
      </c>
    </row>
    <row r="13404">
      <c r="A13404" s="3">
        <v>45897.0</v>
      </c>
      <c r="B13404" s="4">
        <v>0.3263888888888889</v>
      </c>
      <c r="C13404" s="5" t="s">
        <v>64</v>
      </c>
      <c r="D13404" s="5" t="s">
        <v>1776</v>
      </c>
      <c r="E13404" s="76" t="s">
        <v>514</v>
      </c>
      <c r="F13404" s="5" t="s">
        <v>515</v>
      </c>
      <c r="G13404" s="6" t="str">
        <f>VLOOKUP(E13404,dicionario!$A$1:$C13803,2,0)</f>
        <v>Aedes aegypti</v>
      </c>
      <c r="H13404" s="6" t="str">
        <f>VLOOKUP(E13404,dicionario!$A$1:$C13803,3,0)</f>
        <v>mosquito-da-dengue</v>
      </c>
    </row>
    <row r="13405">
      <c r="A13405" s="3">
        <v>45897.0</v>
      </c>
      <c r="B13405" s="4">
        <v>0.32916666666666666</v>
      </c>
      <c r="C13405" s="5" t="s">
        <v>64</v>
      </c>
      <c r="D13405" s="5" t="s">
        <v>1776</v>
      </c>
      <c r="E13405" s="11" t="s">
        <v>1524</v>
      </c>
      <c r="F13405" s="5" t="s">
        <v>1525</v>
      </c>
      <c r="G13405" s="6" t="str">
        <f>VLOOKUP(E13405,dicionario!$A$1:$C13804,2,0)</f>
        <v>Tolmomyias flaviventris</v>
      </c>
      <c r="H13405" s="6" t="str">
        <f>VLOOKUP(E13405,dicionario!$A$1:$C13804,3,0)</f>
        <v>bico-chato-amarelo</v>
      </c>
    </row>
    <row r="13406">
      <c r="A13406" s="3">
        <v>45897.0</v>
      </c>
      <c r="B13406" s="4">
        <v>0.32916666666666666</v>
      </c>
      <c r="C13406" s="5" t="s">
        <v>64</v>
      </c>
      <c r="D13406" s="5" t="s">
        <v>1776</v>
      </c>
      <c r="E13406" s="8" t="s">
        <v>109</v>
      </c>
      <c r="F13406" s="5" t="s">
        <v>110</v>
      </c>
      <c r="G13406" s="6" t="str">
        <f>VLOOKUP(E13406,dicionario!$A$1:$C13805,2,0)</f>
        <v>Tillandsia stricta</v>
      </c>
      <c r="H13406" s="6" t="str">
        <f>VLOOKUP(E13406,dicionario!$A$1:$C13805,3,0)</f>
        <v>cravo-do-mato</v>
      </c>
    </row>
    <row r="13407">
      <c r="A13407" s="3">
        <v>45897.0</v>
      </c>
      <c r="B13407" s="4">
        <v>0.32916666666666666</v>
      </c>
      <c r="C13407" s="5" t="s">
        <v>64</v>
      </c>
      <c r="D13407" s="5" t="s">
        <v>1776</v>
      </c>
      <c r="E13407" s="8" t="s">
        <v>150</v>
      </c>
      <c r="F13407" s="5" t="s">
        <v>151</v>
      </c>
      <c r="G13407" s="6" t="str">
        <f>VLOOKUP(E13407,dicionario!$A$1:$C13806,2,0)</f>
        <v>Amaranthus viridis</v>
      </c>
      <c r="H13407" s="6" t="str">
        <f>VLOOKUP(E13407,dicionario!$A$1:$C13806,3,0)</f>
        <v>caruru-de-mancha</v>
      </c>
    </row>
    <row r="13408">
      <c r="A13408" s="3">
        <v>45897.0</v>
      </c>
      <c r="B13408" s="4">
        <v>0.32916666666666666</v>
      </c>
      <c r="C13408" s="5" t="s">
        <v>64</v>
      </c>
      <c r="D13408" s="5" t="s">
        <v>1776</v>
      </c>
      <c r="E13408" s="6" t="s">
        <v>247</v>
      </c>
      <c r="F13408" s="5" t="s">
        <v>387</v>
      </c>
      <c r="G13408" s="6" t="str">
        <f>VLOOKUP(E13408,dicionario!$A$1:$C13807,2,0)</f>
        <v>Emilia sonchifolia</v>
      </c>
      <c r="H13408" s="6" t="str">
        <f>VLOOKUP(E13408,dicionario!$A$1:$C13807,3,0)</f>
        <v>serralinha</v>
      </c>
    </row>
    <row r="13409">
      <c r="A13409" s="3">
        <v>45897.0</v>
      </c>
      <c r="B13409" s="4">
        <v>0.32916666666666666</v>
      </c>
      <c r="C13409" s="5" t="s">
        <v>64</v>
      </c>
      <c r="D13409" s="5" t="s">
        <v>1776</v>
      </c>
      <c r="E13409" s="6" t="s">
        <v>72</v>
      </c>
      <c r="F13409" s="5" t="s">
        <v>73</v>
      </c>
      <c r="G13409" s="6" t="str">
        <f>VLOOKUP(E13409,dicionario!$A$1:$C13808,2,0)</f>
        <v>Thraupis palmarum</v>
      </c>
      <c r="H13409" s="6" t="str">
        <f>VLOOKUP(E13409,dicionario!$A$1:$C13808,3,0)</f>
        <v>sanhaço-do-coqueiro</v>
      </c>
    </row>
    <row r="13410">
      <c r="A13410" s="3">
        <v>45897.0</v>
      </c>
      <c r="B13410" s="4">
        <v>0.33055555555555555</v>
      </c>
      <c r="C13410" s="5" t="s">
        <v>64</v>
      </c>
      <c r="D13410" s="5" t="s">
        <v>1776</v>
      </c>
      <c r="E13410" s="8" t="s">
        <v>1386</v>
      </c>
      <c r="F13410" s="5" t="s">
        <v>484</v>
      </c>
      <c r="G13410" s="6" t="str">
        <f>VLOOKUP(E13410,dicionario!$A$1:$C13809,2,0)</f>
        <v>#N/A</v>
      </c>
      <c r="H13410" s="6" t="str">
        <f>VLOOKUP(E13410,dicionario!$A$1:$C13809,3,0)</f>
        <v>#N/A</v>
      </c>
    </row>
    <row r="13411">
      <c r="A13411" s="3">
        <v>45897.0</v>
      </c>
      <c r="B13411" s="4">
        <v>0.33055555555555555</v>
      </c>
      <c r="C13411" s="5" t="s">
        <v>64</v>
      </c>
      <c r="D13411" s="5" t="s">
        <v>1776</v>
      </c>
      <c r="E13411" s="6" t="s">
        <v>448</v>
      </c>
      <c r="F13411" s="5" t="s">
        <v>462</v>
      </c>
      <c r="G13411" s="6" t="str">
        <f>VLOOKUP(E13411,dicionario!$A$1:$C13810,2,0)</f>
        <v>Mechanitis polymnia</v>
      </c>
      <c r="H13411" s="6" t="str">
        <f>VLOOKUP(E13411,dicionario!$A$1:$C13810,3,0)</f>
        <v>maria-boba</v>
      </c>
    </row>
    <row r="13412">
      <c r="A13412" s="3">
        <v>45897.0</v>
      </c>
      <c r="B13412" s="4">
        <v>0.33125</v>
      </c>
      <c r="C13412" s="5" t="s">
        <v>64</v>
      </c>
      <c r="D13412" s="5" t="s">
        <v>1776</v>
      </c>
      <c r="E13412" s="8" t="s">
        <v>532</v>
      </c>
      <c r="F13412" s="5" t="s">
        <v>533</v>
      </c>
      <c r="G13412" s="6" t="str">
        <f>VLOOKUP(E13412,dicionario!$A$1:$C13811,2,0)</f>
        <v>Euphorbia heterophylla</v>
      </c>
      <c r="H13412" s="6" t="str">
        <f>VLOOKUP(E13412,dicionario!$A$1:$C13811,3,0)</f>
        <v>amendoim-bravo</v>
      </c>
    </row>
    <row r="13413">
      <c r="A13413" s="3">
        <v>45897.0</v>
      </c>
      <c r="B13413" s="4">
        <v>0.33125</v>
      </c>
      <c r="C13413" s="5" t="s">
        <v>64</v>
      </c>
      <c r="D13413" s="5" t="s">
        <v>1776</v>
      </c>
      <c r="E13413" s="6" t="s">
        <v>399</v>
      </c>
      <c r="F13413" s="5" t="s">
        <v>400</v>
      </c>
      <c r="G13413" s="6" t="str">
        <f>VLOOKUP(E13413,dicionario!$A$1:$C13812,2,0)</f>
        <v>Varronia curassavica</v>
      </c>
      <c r="H13413" s="6" t="str">
        <f>VLOOKUP(E13413,dicionario!$A$1:$C13812,3,0)</f>
        <v>erva-baleeira</v>
      </c>
    </row>
    <row r="13414">
      <c r="A13414" s="3">
        <v>45897.0</v>
      </c>
      <c r="B13414" s="4">
        <v>0.33125</v>
      </c>
      <c r="C13414" s="5" t="s">
        <v>64</v>
      </c>
      <c r="D13414" s="5" t="s">
        <v>1776</v>
      </c>
      <c r="E13414" s="8" t="s">
        <v>265</v>
      </c>
      <c r="F13414" s="5" t="s">
        <v>266</v>
      </c>
      <c r="G13414" s="6" t="str">
        <f>VLOOKUP(E13414,dicionario!$A$1:$C13813,2,0)</f>
        <v>Sonchus oleraceus</v>
      </c>
      <c r="H13414" s="6" t="str">
        <f>VLOOKUP(E13414,dicionario!$A$1:$C13813,3,0)</f>
        <v>seralha</v>
      </c>
    </row>
    <row r="13415">
      <c r="A13415" s="3">
        <v>45897.0</v>
      </c>
      <c r="B13415" s="4">
        <v>0.33125</v>
      </c>
      <c r="C13415" s="5" t="s">
        <v>64</v>
      </c>
      <c r="D13415" s="5" t="s">
        <v>1776</v>
      </c>
      <c r="E13415" s="6" t="s">
        <v>111</v>
      </c>
      <c r="F13415" s="5" t="s">
        <v>112</v>
      </c>
      <c r="G13415" s="6" t="str">
        <f>VLOOKUP(E13415,dicionario!$A$1:$C13814,2,0)</f>
        <v>Trigona spinipes</v>
      </c>
      <c r="H13415" s="6" t="str">
        <f>VLOOKUP(E13415,dicionario!$A$1:$C13814,3,0)</f>
        <v>abelha-cachorro</v>
      </c>
    </row>
    <row r="13416">
      <c r="A13416" s="3">
        <v>45897.0</v>
      </c>
      <c r="B13416" s="4">
        <v>0.33125</v>
      </c>
      <c r="C13416" s="5" t="s">
        <v>64</v>
      </c>
      <c r="D13416" s="5" t="s">
        <v>1776</v>
      </c>
      <c r="E13416" s="6" t="s">
        <v>48</v>
      </c>
      <c r="F13416" s="5" t="s">
        <v>49</v>
      </c>
      <c r="G13416" s="6" t="str">
        <f>VLOOKUP(E13416,dicionario!$A$1:$C13815,2,0)</f>
        <v>Commelina erecta</v>
      </c>
      <c r="H13416" s="6" t="str">
        <f>VLOOKUP(E13416,dicionario!$A$1:$C13815,3,0)</f>
        <v>trapoeraba</v>
      </c>
    </row>
    <row r="13417">
      <c r="A13417" s="3">
        <v>45897.0</v>
      </c>
      <c r="B13417" s="4">
        <v>0.33194444444444443</v>
      </c>
      <c r="C13417" s="5" t="s">
        <v>64</v>
      </c>
      <c r="D13417" s="5" t="s">
        <v>1776</v>
      </c>
      <c r="E13417" s="6" t="s">
        <v>319</v>
      </c>
      <c r="F13417" s="5" t="s">
        <v>320</v>
      </c>
      <c r="G13417" s="6" t="str">
        <f>VLOOKUP(E13417,dicionario!$A$1:$C13816,2,0)</f>
        <v>Schinus terebinthifolia</v>
      </c>
      <c r="H13417" s="6" t="str">
        <f>VLOOKUP(E13417,dicionario!$A$1:$C13816,3,0)</f>
        <v>aroeira</v>
      </c>
    </row>
    <row r="13418">
      <c r="A13418" s="3">
        <v>45897.0</v>
      </c>
      <c r="B13418" s="4">
        <v>0.33194444444444443</v>
      </c>
      <c r="C13418" s="5" t="s">
        <v>64</v>
      </c>
      <c r="D13418" s="5" t="s">
        <v>1776</v>
      </c>
      <c r="E13418" s="8" t="s">
        <v>821</v>
      </c>
      <c r="F13418" s="5" t="s">
        <v>876</v>
      </c>
      <c r="G13418" s="6" t="str">
        <f>VLOOKUP(E13418,dicionario!$A$1:$C13817,2,0)</f>
        <v>Schefflera actinophylla</v>
      </c>
      <c r="H13418" s="6" t="str">
        <f>VLOOKUP(E13418,dicionario!$A$1:$C13817,3,0)</f>
        <v>árvore-guarda-chuva</v>
      </c>
    </row>
    <row r="13419">
      <c r="A13419" s="3">
        <v>45897.0</v>
      </c>
      <c r="B13419" s="4">
        <v>0.33194444444444443</v>
      </c>
      <c r="C13419" s="5" t="s">
        <v>64</v>
      </c>
      <c r="D13419" s="5" t="s">
        <v>1776</v>
      </c>
      <c r="E13419" s="8" t="s">
        <v>1282</v>
      </c>
      <c r="F13419" s="5" t="s">
        <v>182</v>
      </c>
      <c r="G13419" s="6" t="str">
        <f>VLOOKUP(E13419,dicionario!$A$1:$C13818,2,0)</f>
        <v>#N/A</v>
      </c>
      <c r="H13419" s="6" t="str">
        <f>VLOOKUP(E13419,dicionario!$A$1:$C13818,3,0)</f>
        <v>#N/A</v>
      </c>
    </row>
    <row r="13420">
      <c r="A13420" s="3">
        <v>45897.0</v>
      </c>
      <c r="B13420" s="4">
        <v>0.33194444444444443</v>
      </c>
      <c r="C13420" s="5" t="s">
        <v>64</v>
      </c>
      <c r="D13420" s="5" t="s">
        <v>1776</v>
      </c>
      <c r="E13420" s="8" t="s">
        <v>740</v>
      </c>
      <c r="F13420" s="5" t="s">
        <v>741</v>
      </c>
      <c r="G13420" s="6" t="str">
        <f>VLOOKUP(E13420,dicionario!$A$1:$C13819,2,0)</f>
        <v>Melothria cucumis</v>
      </c>
      <c r="H13420" s="6" t="str">
        <f>VLOOKUP(E13420,dicionario!$A$1:$C13819,3,0)</f>
        <v>pepino-do-mato</v>
      </c>
    </row>
    <row r="13421">
      <c r="A13421" s="3">
        <v>45897.0</v>
      </c>
      <c r="B13421" s="4">
        <v>0.3333333333333333</v>
      </c>
      <c r="C13421" s="5" t="s">
        <v>64</v>
      </c>
      <c r="D13421" s="5" t="s">
        <v>1776</v>
      </c>
      <c r="E13421" s="6" t="s">
        <v>448</v>
      </c>
      <c r="F13421" s="5" t="s">
        <v>1788</v>
      </c>
      <c r="G13421" s="6" t="str">
        <f>VLOOKUP(E13421,dicionario!$A$1:$C13820,2,0)</f>
        <v>Mechanitis polymnia</v>
      </c>
      <c r="H13421" s="6" t="str">
        <f>VLOOKUP(E13421,dicionario!$A$1:$C13820,3,0)</f>
        <v>maria-boba</v>
      </c>
    </row>
    <row r="13422">
      <c r="A13422" s="3">
        <v>45897.0</v>
      </c>
      <c r="B13422" s="4">
        <v>0.3333333333333333</v>
      </c>
      <c r="C13422" s="5" t="s">
        <v>64</v>
      </c>
      <c r="D13422" s="5" t="s">
        <v>1776</v>
      </c>
      <c r="E13422" s="28" t="s">
        <v>560</v>
      </c>
      <c r="F13422" s="5" t="s">
        <v>1430</v>
      </c>
      <c r="G13422" s="6" t="str">
        <f>VLOOKUP(E13422,dicionario!$A$1:$C13821,2,0)</f>
        <v>Megarynchus pitangua</v>
      </c>
      <c r="H13422" s="6" t="str">
        <f>VLOOKUP(E13422,dicionario!$A$1:$C13821,3,0)</f>
        <v>neinei</v>
      </c>
    </row>
    <row r="13423">
      <c r="A13423" s="3">
        <v>45897.0</v>
      </c>
      <c r="B13423" s="4">
        <v>0.3333333333333333</v>
      </c>
      <c r="C13423" s="5" t="s">
        <v>64</v>
      </c>
      <c r="D13423" s="5" t="s">
        <v>1776</v>
      </c>
      <c r="E13423" s="6" t="s">
        <v>294</v>
      </c>
      <c r="F13423" s="5" t="s">
        <v>295</v>
      </c>
      <c r="G13423" s="6" t="str">
        <f>VLOOKUP(E13423,dicionario!$A$1:$C13822,2,0)</f>
        <v>Cycloneda sanguinea</v>
      </c>
      <c r="H13423" s="6" t="str">
        <f>VLOOKUP(E13423,dicionario!$A$1:$C13822,3,0)</f>
        <v>joaninha-sem-pintas</v>
      </c>
    </row>
    <row r="13424">
      <c r="A13424" s="3">
        <v>45897.0</v>
      </c>
      <c r="B13424" s="4">
        <v>0.3333333333333333</v>
      </c>
      <c r="C13424" s="5" t="s">
        <v>64</v>
      </c>
      <c r="D13424" s="5" t="s">
        <v>1776</v>
      </c>
      <c r="E13424" s="6" t="s">
        <v>280</v>
      </c>
      <c r="F13424" s="5" t="s">
        <v>281</v>
      </c>
      <c r="G13424" s="6" t="str">
        <f>VLOOKUP(E13424,dicionario!$A$1:$C13823,2,0)</f>
        <v>Lepidium virginicum</v>
      </c>
      <c r="H13424" s="6" t="str">
        <f>VLOOKUP(E13424,dicionario!$A$1:$C13823,3,0)</f>
        <v>mastruz</v>
      </c>
    </row>
    <row r="13425">
      <c r="A13425" s="3">
        <v>45897.0</v>
      </c>
      <c r="B13425" s="4">
        <v>0.3333333333333333</v>
      </c>
      <c r="C13425" s="5" t="s">
        <v>64</v>
      </c>
      <c r="D13425" s="5" t="s">
        <v>1776</v>
      </c>
      <c r="E13425" s="8" t="s">
        <v>139</v>
      </c>
      <c r="F13425" s="5" t="s">
        <v>140</v>
      </c>
      <c r="G13425" s="6" t="str">
        <f>VLOOKUP(E13425,dicionario!$A$1:$C13824,2,0)</f>
        <v>Tropidurus torquatus</v>
      </c>
      <c r="H13425" s="6" t="str">
        <f>VLOOKUP(E13425,dicionario!$A$1:$C13824,3,0)</f>
        <v>calango; tropiduro-comum</v>
      </c>
    </row>
    <row r="13426">
      <c r="A13426" s="3">
        <v>45897.0</v>
      </c>
      <c r="B13426" s="4">
        <v>0.3333333333333333</v>
      </c>
      <c r="C13426" s="5" t="s">
        <v>64</v>
      </c>
      <c r="D13426" s="5" t="s">
        <v>1776</v>
      </c>
      <c r="E13426" s="6" t="s">
        <v>213</v>
      </c>
      <c r="F13426" s="5" t="s">
        <v>214</v>
      </c>
      <c r="G13426" s="6" t="str">
        <f>VLOOKUP(E13426,dicionario!$A$1:$C13825,2,0)</f>
        <v>Myiozetetes similis</v>
      </c>
      <c r="H13426" s="6" t="str">
        <f>VLOOKUP(E13426,dicionario!$A$1:$C13825,3,0)</f>
        <v>bentevizinho-de-penacho-vermelho</v>
      </c>
    </row>
    <row r="13427">
      <c r="A13427" s="3">
        <v>45897.0</v>
      </c>
      <c r="B13427" s="4">
        <v>0.3333333333333333</v>
      </c>
      <c r="C13427" s="5" t="s">
        <v>64</v>
      </c>
      <c r="D13427" s="5" t="s">
        <v>1776</v>
      </c>
      <c r="E13427" s="8" t="s">
        <v>135</v>
      </c>
      <c r="F13427" s="5" t="s">
        <v>136</v>
      </c>
      <c r="G13427" s="6" t="str">
        <f>VLOOKUP(E13427,dicionario!$A$1:$C13826,2,0)</f>
        <v>Tridax procumbens</v>
      </c>
      <c r="H13427" s="6" t="str">
        <f>VLOOKUP(E13427,dicionario!$A$1:$C13826,3,0)</f>
        <v>erva-de-touro</v>
      </c>
    </row>
    <row r="13428">
      <c r="A13428" s="3">
        <v>45897.0</v>
      </c>
      <c r="B13428" s="4">
        <v>0.33541666666666664</v>
      </c>
      <c r="C13428" s="5" t="s">
        <v>64</v>
      </c>
      <c r="D13428" s="5" t="s">
        <v>1776</v>
      </c>
      <c r="E13428" s="6" t="s">
        <v>122</v>
      </c>
      <c r="F13428" s="5" t="s">
        <v>123</v>
      </c>
      <c r="G13428" s="6" t="str">
        <f>VLOOKUP(E13428,dicionario!$A$1:$C13827,2,0)</f>
        <v>Todirostrum cinereum</v>
      </c>
      <c r="H13428" s="6" t="str">
        <f>VLOOKUP(E13428,dicionario!$A$1:$C13827,3,0)</f>
        <v>ferreirinho-relógio</v>
      </c>
    </row>
    <row r="13429">
      <c r="A13429" s="3">
        <v>45897.0</v>
      </c>
      <c r="B13429" s="4">
        <v>0.3388888888888889</v>
      </c>
      <c r="C13429" s="5" t="s">
        <v>76</v>
      </c>
      <c r="D13429" s="5" t="s">
        <v>1776</v>
      </c>
      <c r="E13429" s="6" t="s">
        <v>401</v>
      </c>
      <c r="F13429" s="5" t="s">
        <v>464</v>
      </c>
      <c r="G13429" s="6" t="str">
        <f>VLOOKUP(E13429,dicionario!$A$1:$C13828,2,0)</f>
        <v>Cissus verticillata</v>
      </c>
      <c r="H13429" s="6" t="str">
        <f>VLOOKUP(E13429,dicionario!$A$1:$C13828,3,0)</f>
        <v>uva-do-mato</v>
      </c>
    </row>
    <row r="13430">
      <c r="A13430" s="3">
        <v>45897.0</v>
      </c>
      <c r="B13430" s="4">
        <v>0.3388888888888889</v>
      </c>
      <c r="C13430" s="5" t="s">
        <v>76</v>
      </c>
      <c r="D13430" s="5" t="s">
        <v>1776</v>
      </c>
      <c r="E13430" s="8" t="s">
        <v>18</v>
      </c>
      <c r="F13430" s="5" t="s">
        <v>219</v>
      </c>
      <c r="G13430" s="6" t="str">
        <f>VLOOKUP(E13430,dicionario!$A$1:$C13829,2,0)</f>
        <v>Xylocopa frontalis</v>
      </c>
      <c r="H13430" s="6" t="str">
        <f>VLOOKUP(E13430,dicionario!$A$1:$C13829,3,0)</f>
        <v>Mamangava; mangangá; abelha-carpinteira</v>
      </c>
    </row>
    <row r="13431">
      <c r="A13431" s="3">
        <v>45897.0</v>
      </c>
      <c r="B13431" s="4">
        <v>0.3388888888888889</v>
      </c>
      <c r="C13431" s="5" t="s">
        <v>76</v>
      </c>
      <c r="D13431" s="5" t="s">
        <v>1776</v>
      </c>
      <c r="E13431" s="6" t="s">
        <v>328</v>
      </c>
      <c r="F13431" s="5" t="s">
        <v>329</v>
      </c>
      <c r="G13431" s="6" t="str">
        <f>VLOOKUP(E13431,dicionario!$A$1:$C13830,2,0)</f>
        <v>Rivina humilis</v>
      </c>
      <c r="H13431" s="6" t="str">
        <f>VLOOKUP(E13431,dicionario!$A$1:$C13830,3,0)</f>
        <v>baga-de-sangue</v>
      </c>
    </row>
    <row r="13432">
      <c r="A13432" s="3">
        <v>45897.0</v>
      </c>
      <c r="B13432" s="4">
        <v>0.3388888888888889</v>
      </c>
      <c r="C13432" s="5" t="s">
        <v>76</v>
      </c>
      <c r="D13432" s="5" t="s">
        <v>1776</v>
      </c>
      <c r="E13432" s="8" t="s">
        <v>624</v>
      </c>
      <c r="F13432" s="5" t="s">
        <v>133</v>
      </c>
      <c r="G13432" s="6" t="str">
        <f>VLOOKUP(E13432,dicionario!$A$1:$C13831,2,0)</f>
        <v>Euphonia violacea</v>
      </c>
      <c r="H13432" s="6" t="str">
        <f>VLOOKUP(E13432,dicionario!$A$1:$C13831,3,0)</f>
        <v>gaturamo-verdadeiro</v>
      </c>
    </row>
    <row r="13433">
      <c r="A13433" s="3">
        <v>45897.0</v>
      </c>
      <c r="B13433" s="4">
        <v>0.3388888888888889</v>
      </c>
      <c r="C13433" s="5" t="s">
        <v>76</v>
      </c>
      <c r="D13433" s="5" t="s">
        <v>1776</v>
      </c>
      <c r="E13433" s="6" t="s">
        <v>144</v>
      </c>
      <c r="F13433" s="5" t="s">
        <v>145</v>
      </c>
      <c r="G13433" s="6" t="str">
        <f>VLOOKUP(E13433,dicionario!$A$1:$C13832,2,0)</f>
        <v>Gomphrena globosa</v>
      </c>
      <c r="H13433" s="6" t="str">
        <f>VLOOKUP(E13433,dicionario!$A$1:$C13832,3,0)</f>
        <v>perpétua-rosa</v>
      </c>
    </row>
    <row r="13434">
      <c r="A13434" s="3">
        <v>45897.0</v>
      </c>
      <c r="B13434" s="4">
        <v>0.3388888888888889</v>
      </c>
      <c r="C13434" s="5" t="s">
        <v>76</v>
      </c>
      <c r="D13434" s="5" t="s">
        <v>1776</v>
      </c>
      <c r="E13434" s="6" t="s">
        <v>183</v>
      </c>
      <c r="F13434" s="5" t="s">
        <v>277</v>
      </c>
      <c r="G13434" s="6" t="str">
        <f>VLOOKUP(E13434,dicionario!$A$1:$C13833,2,0)</f>
        <v>Thunbergia alata</v>
      </c>
      <c r="H13434" s="6" t="str">
        <f>VLOOKUP(E13434,dicionario!$A$1:$C13833,3,0)</f>
        <v>susana-dos-olhos-negros</v>
      </c>
    </row>
    <row r="13435">
      <c r="A13435" s="3">
        <v>45897.0</v>
      </c>
      <c r="B13435" s="4">
        <v>0.3388888888888889</v>
      </c>
      <c r="C13435" s="5" t="s">
        <v>76</v>
      </c>
      <c r="D13435" s="5" t="s">
        <v>1776</v>
      </c>
      <c r="E13435" s="6" t="s">
        <v>191</v>
      </c>
      <c r="F13435" s="5" t="s">
        <v>192</v>
      </c>
      <c r="G13435" s="6" t="str">
        <f>VLOOKUP(E13435,dicionario!$A$1:$C13834,2,0)</f>
        <v>Patagioenas picazuro</v>
      </c>
      <c r="H13435" s="6" t="str">
        <f>VLOOKUP(E13435,dicionario!$A$1:$C13834,3,0)</f>
        <v>asa-branca; pomba-asa-branca; pocaçu</v>
      </c>
    </row>
    <row r="13436">
      <c r="A13436" s="3">
        <v>45897.0</v>
      </c>
      <c r="B13436" s="4">
        <v>0.3388888888888889</v>
      </c>
      <c r="C13436" s="5" t="s">
        <v>76</v>
      </c>
      <c r="D13436" s="5" t="s">
        <v>1776</v>
      </c>
      <c r="E13436" s="8" t="s">
        <v>38</v>
      </c>
      <c r="F13436" s="5" t="s">
        <v>1672</v>
      </c>
      <c r="G13436" s="6" t="str">
        <f>VLOOKUP(E13436,dicionario!$A$1:$C13835,2,0)</f>
        <v>Troglodytes musculus</v>
      </c>
      <c r="H13436" s="6" t="str">
        <f>VLOOKUP(E13436,dicionario!$A$1:$C13835,3,0)</f>
        <v>curruíra</v>
      </c>
    </row>
    <row r="13437">
      <c r="A13437" s="3">
        <v>45897.0</v>
      </c>
      <c r="B13437" s="4">
        <v>0.3388888888888889</v>
      </c>
      <c r="C13437" s="5" t="s">
        <v>76</v>
      </c>
      <c r="D13437" s="5" t="s">
        <v>1776</v>
      </c>
      <c r="E13437" s="6" t="s">
        <v>489</v>
      </c>
      <c r="F13437" s="5" t="s">
        <v>521</v>
      </c>
      <c r="G13437" s="6" t="str">
        <f>VLOOKUP(E13437,dicionario!$A$1:$C13836,2,0)</f>
        <v>Cenchrus echinatus</v>
      </c>
      <c r="H13437" s="6" t="str">
        <f>VLOOKUP(E13437,dicionario!$A$1:$C13836,3,0)</f>
        <v>capim-carrapicho</v>
      </c>
    </row>
    <row r="13438">
      <c r="A13438" s="3">
        <v>45897.0</v>
      </c>
      <c r="B13438" s="4">
        <v>0.3402777777777778</v>
      </c>
      <c r="C13438" s="5" t="s">
        <v>76</v>
      </c>
      <c r="D13438" s="5" t="s">
        <v>1776</v>
      </c>
      <c r="E13438" s="6" t="s">
        <v>290</v>
      </c>
      <c r="F13438" s="5" t="s">
        <v>291</v>
      </c>
      <c r="G13438" s="6" t="str">
        <f>VLOOKUP(E13438,dicionario!$A$1:$C13837,2,0)</f>
        <v>Drymaria cordata</v>
      </c>
      <c r="H13438" s="6" t="str">
        <f>VLOOKUP(E13438,dicionario!$A$1:$C13837,3,0)</f>
        <v>orelha-de-rato</v>
      </c>
    </row>
    <row r="13439">
      <c r="A13439" s="3">
        <v>45897.0</v>
      </c>
      <c r="B13439" s="4">
        <v>0.3402777777777778</v>
      </c>
      <c r="C13439" s="5" t="s">
        <v>76</v>
      </c>
      <c r="D13439" s="5" t="s">
        <v>1776</v>
      </c>
      <c r="E13439" s="8" t="s">
        <v>146</v>
      </c>
      <c r="F13439" s="5" t="s">
        <v>147</v>
      </c>
      <c r="G13439" s="6" t="str">
        <f>VLOOKUP(E13439,dicionario!$A$1:$C13838,2,0)</f>
        <v>Euphorbia hirta</v>
      </c>
      <c r="H13439" s="6" t="str">
        <f>VLOOKUP(E13439,dicionario!$A$1:$C13838,3,0)</f>
        <v>erva-de-santa-luzia</v>
      </c>
    </row>
    <row r="13440">
      <c r="A13440" s="3">
        <v>45897.0</v>
      </c>
      <c r="B13440" s="4">
        <v>0.3402777777777778</v>
      </c>
      <c r="C13440" s="5" t="s">
        <v>76</v>
      </c>
      <c r="D13440" s="5" t="s">
        <v>1776</v>
      </c>
      <c r="E13440" s="8" t="s">
        <v>1344</v>
      </c>
      <c r="F13440" s="5" t="s">
        <v>47</v>
      </c>
      <c r="G13440" s="6" t="str">
        <f>VLOOKUP(E13440,dicionario!$A$1:$C13839,2,0)</f>
        <v>#N/A</v>
      </c>
      <c r="H13440" s="6" t="str">
        <f>VLOOKUP(E13440,dicionario!$A$1:$C13839,3,0)</f>
        <v>#N/A</v>
      </c>
    </row>
    <row r="13441">
      <c r="A13441" s="3">
        <v>45897.0</v>
      </c>
      <c r="B13441" s="4">
        <v>0.3402777777777778</v>
      </c>
      <c r="C13441" s="5" t="s">
        <v>76</v>
      </c>
      <c r="D13441" s="5" t="s">
        <v>1776</v>
      </c>
      <c r="E13441" s="8" t="s">
        <v>1422</v>
      </c>
      <c r="F13441" s="5" t="s">
        <v>1423</v>
      </c>
      <c r="G13441" s="6" t="str">
        <f>VLOOKUP(E13441,dicionario!$A$1:$C13840,2,0)</f>
        <v>Chroicocephalus cirrocephalus</v>
      </c>
      <c r="H13441" s="6" t="str">
        <f>VLOOKUP(E13441,dicionario!$A$1:$C13840,3,0)</f>
        <v>gaivota-de-cabeça-cinza</v>
      </c>
    </row>
    <row r="13442">
      <c r="A13442" s="3">
        <v>45897.0</v>
      </c>
      <c r="B13442" s="4">
        <v>0.3402777777777778</v>
      </c>
      <c r="C13442" s="5" t="s">
        <v>76</v>
      </c>
      <c r="D13442" s="5" t="s">
        <v>1776</v>
      </c>
      <c r="E13442" s="8" t="s">
        <v>792</v>
      </c>
      <c r="F13442" s="5" t="s">
        <v>1014</v>
      </c>
      <c r="G13442" s="6" t="str">
        <f>VLOOKUP(E13442,dicionario!$A$1:$C13841,2,0)</f>
        <v>Musca domestica</v>
      </c>
      <c r="H13442" s="6" t="str">
        <f>VLOOKUP(E13442,dicionario!$A$1:$C13841,3,0)</f>
        <v>mosca-doméstica</v>
      </c>
    </row>
    <row r="13443">
      <c r="A13443" s="3">
        <v>45897.0</v>
      </c>
      <c r="B13443" s="4">
        <v>0.3402777777777778</v>
      </c>
      <c r="C13443" s="5" t="s">
        <v>76</v>
      </c>
      <c r="D13443" s="5" t="s">
        <v>1776</v>
      </c>
      <c r="E13443" s="6" t="s">
        <v>504</v>
      </c>
      <c r="F13443" s="5" t="s">
        <v>534</v>
      </c>
      <c r="G13443" s="6" t="str">
        <f>VLOOKUP(E13443,dicionario!$A$1:$C13842,2,0)</f>
        <v>Cleome aculeata</v>
      </c>
      <c r="H13443" s="6" t="str">
        <f>VLOOKUP(E13443,dicionario!$A$1:$C13842,3,0)</f>
        <v>cleome</v>
      </c>
    </row>
    <row r="13444">
      <c r="A13444" s="3">
        <v>45897.0</v>
      </c>
      <c r="B13444" s="4">
        <v>0.3402777777777778</v>
      </c>
      <c r="C13444" s="5" t="s">
        <v>76</v>
      </c>
      <c r="D13444" s="5" t="s">
        <v>1776</v>
      </c>
      <c r="E13444" s="6" t="s">
        <v>141</v>
      </c>
      <c r="F13444" s="5" t="s">
        <v>142</v>
      </c>
      <c r="G13444" s="6" t="str">
        <f>VLOOKUP(E13444,dicionario!$A$1:$C13843,2,0)</f>
        <v>Ruellia blechum</v>
      </c>
      <c r="H13444" s="6" t="str">
        <f>VLOOKUP(E13444,dicionario!$A$1:$C13843,3,0)</f>
        <v>camarão-verde</v>
      </c>
    </row>
    <row r="13445">
      <c r="A13445" s="3">
        <v>45897.0</v>
      </c>
      <c r="B13445" s="4">
        <v>0.3416666666666667</v>
      </c>
      <c r="C13445" s="5" t="s">
        <v>76</v>
      </c>
      <c r="D13445" s="5" t="s">
        <v>1776</v>
      </c>
      <c r="E13445" s="6" t="s">
        <v>253</v>
      </c>
      <c r="F13445" s="5" t="s">
        <v>254</v>
      </c>
      <c r="G13445" s="6" t="str">
        <f>VLOOKUP(E13445,dicionario!$A$1:$C13844,2,0)</f>
        <v>Panicum maximum</v>
      </c>
      <c r="H13445" s="6" t="str">
        <f>VLOOKUP(E13445,dicionario!$A$1:$C13844,3,0)</f>
        <v>capim-colonião</v>
      </c>
    </row>
    <row r="13446">
      <c r="A13446" s="3">
        <v>45897.0</v>
      </c>
      <c r="B13446" s="4">
        <v>0.3416666666666667</v>
      </c>
      <c r="C13446" s="5" t="s">
        <v>76</v>
      </c>
      <c r="D13446" s="5" t="s">
        <v>1776</v>
      </c>
      <c r="E13446" s="6" t="s">
        <v>154</v>
      </c>
      <c r="F13446" s="5" t="s">
        <v>155</v>
      </c>
      <c r="G13446" s="6" t="str">
        <f>VLOOKUP(E13446,dicionario!$A$1:$C13845,2,0)</f>
        <v>Cyperus rotundus</v>
      </c>
      <c r="H13446" s="6" t="str">
        <f>VLOOKUP(E13446,dicionario!$A$1:$C13845,3,0)</f>
        <v>tiririca</v>
      </c>
    </row>
    <row r="13447">
      <c r="A13447" s="3">
        <v>45897.0</v>
      </c>
      <c r="B13447" s="4">
        <v>0.3416666666666667</v>
      </c>
      <c r="C13447" s="5" t="s">
        <v>76</v>
      </c>
      <c r="D13447" s="5" t="s">
        <v>1776</v>
      </c>
      <c r="E13447" s="6" t="s">
        <v>83</v>
      </c>
      <c r="F13447" s="5" t="s">
        <v>84</v>
      </c>
      <c r="G13447" s="6" t="str">
        <f>VLOOKUP(E13447,dicionario!$A$1:$C13846,2,0)</f>
        <v>Anartia jatrophae</v>
      </c>
      <c r="H13447" s="6" t="str">
        <f>VLOOKUP(E13447,dicionario!$A$1:$C13846,3,0)</f>
        <v>borboleta-pavão-branco</v>
      </c>
    </row>
    <row r="13448">
      <c r="A13448" s="3">
        <v>45897.0</v>
      </c>
      <c r="B13448" s="4">
        <v>0.3416666666666667</v>
      </c>
      <c r="C13448" s="5" t="s">
        <v>76</v>
      </c>
      <c r="D13448" s="5" t="s">
        <v>1776</v>
      </c>
      <c r="E13448" s="6" t="s">
        <v>489</v>
      </c>
      <c r="F13448" s="5" t="s">
        <v>521</v>
      </c>
      <c r="G13448" s="6" t="str">
        <f>VLOOKUP(E13448,dicionario!$A$1:$C13847,2,0)</f>
        <v>Cenchrus echinatus</v>
      </c>
      <c r="H13448" s="6" t="str">
        <f>VLOOKUP(E13448,dicionario!$A$1:$C13847,3,0)</f>
        <v>capim-carrapicho</v>
      </c>
    </row>
    <row r="13449">
      <c r="A13449" s="3">
        <v>45897.0</v>
      </c>
      <c r="B13449" s="4">
        <v>0.3416666666666667</v>
      </c>
      <c r="C13449" s="5" t="s">
        <v>76</v>
      </c>
      <c r="D13449" s="5" t="s">
        <v>1776</v>
      </c>
      <c r="E13449" s="8" t="s">
        <v>69</v>
      </c>
      <c r="F13449" s="5" t="s">
        <v>71</v>
      </c>
      <c r="G13449" s="6" t="str">
        <f>VLOOKUP(E13449,dicionario!$A$1:$C13848,2,0)</f>
        <v>Talinum fruticosum</v>
      </c>
      <c r="H13449" s="6" t="str">
        <f>VLOOKUP(E13449,dicionario!$A$1:$C13848,3,0)</f>
        <v>beldroega-grande</v>
      </c>
    </row>
    <row r="13450">
      <c r="A13450" s="3">
        <v>45897.0</v>
      </c>
      <c r="B13450" s="4">
        <v>0.3416666666666667</v>
      </c>
      <c r="C13450" s="5" t="s">
        <v>76</v>
      </c>
      <c r="D13450" s="5" t="s">
        <v>1776</v>
      </c>
      <c r="E13450" s="6" t="s">
        <v>260</v>
      </c>
      <c r="F13450" s="5" t="s">
        <v>261</v>
      </c>
      <c r="G13450" s="6" t="str">
        <f>VLOOKUP(E13450,dicionario!$A$1:$C13849,2,0)</f>
        <v>Ruellia paniculata</v>
      </c>
      <c r="H13450" s="6" t="str">
        <f>VLOOKUP(E13450,dicionario!$A$1:$C13849,3,0)</f>
        <v>ruélia</v>
      </c>
    </row>
    <row r="13451">
      <c r="A13451" s="3">
        <v>45897.0</v>
      </c>
      <c r="B13451" s="4">
        <v>0.3416666666666667</v>
      </c>
      <c r="C13451" s="5" t="s">
        <v>76</v>
      </c>
      <c r="D13451" s="5" t="s">
        <v>1776</v>
      </c>
      <c r="E13451" s="8" t="s">
        <v>271</v>
      </c>
      <c r="F13451" s="5" t="s">
        <v>1169</v>
      </c>
      <c r="G13451" s="6" t="str">
        <f>VLOOKUP(E13451,dicionario!$A$1:$C13850,2,0)</f>
        <v>Cyanthillium cinereum</v>
      </c>
      <c r="H13451" s="6" t="str">
        <f>VLOOKUP(E13451,dicionario!$A$1:$C13850,3,0)</f>
        <v>emília</v>
      </c>
    </row>
    <row r="13452">
      <c r="A13452" s="3">
        <v>45897.0</v>
      </c>
      <c r="B13452" s="4">
        <v>0.3416666666666667</v>
      </c>
      <c r="C13452" s="5" t="s">
        <v>76</v>
      </c>
      <c r="D13452" s="5" t="s">
        <v>1776</v>
      </c>
      <c r="E13452" s="6" t="s">
        <v>286</v>
      </c>
      <c r="F13452" s="5" t="s">
        <v>287</v>
      </c>
      <c r="G13452" s="6" t="str">
        <f>VLOOKUP(E13452,dicionario!$A$1:$C13851,2,0)</f>
        <v>Setaria parviflora</v>
      </c>
      <c r="H13452" s="6" t="str">
        <f>VLOOKUP(E13452,dicionario!$A$1:$C13851,3,0)</f>
        <v>capim-rabo-de-raposa</v>
      </c>
    </row>
    <row r="13453">
      <c r="A13453" s="3">
        <v>45897.0</v>
      </c>
      <c r="B13453" s="4">
        <v>0.3416666666666667</v>
      </c>
      <c r="C13453" s="5" t="s">
        <v>76</v>
      </c>
      <c r="D13453" s="5" t="s">
        <v>1776</v>
      </c>
      <c r="E13453" s="8" t="s">
        <v>498</v>
      </c>
      <c r="F13453" s="5" t="s">
        <v>499</v>
      </c>
      <c r="G13453" s="6" t="str">
        <f>VLOOKUP(E13453,dicionario!$A$1:$C13852,2,0)</f>
        <v>Brachiaria decumbens</v>
      </c>
      <c r="H13453" s="6" t="str">
        <f>VLOOKUP(E13453,dicionario!$A$1:$C13852,3,0)</f>
        <v>capim-braquiária</v>
      </c>
    </row>
    <row r="13454">
      <c r="A13454" s="3">
        <v>45897.0</v>
      </c>
      <c r="B13454" s="4">
        <v>0.3416666666666667</v>
      </c>
      <c r="C13454" s="5" t="s">
        <v>76</v>
      </c>
      <c r="D13454" s="5" t="s">
        <v>1776</v>
      </c>
      <c r="E13454" s="76" t="s">
        <v>514</v>
      </c>
      <c r="F13454" s="5" t="s">
        <v>515</v>
      </c>
      <c r="G13454" s="6" t="str">
        <f>VLOOKUP(E13454,dicionario!$A$1:$C13853,2,0)</f>
        <v>Aedes aegypti</v>
      </c>
      <c r="H13454" s="6" t="str">
        <f>VLOOKUP(E13454,dicionario!$A$1:$C13853,3,0)</f>
        <v>mosquito-da-dengue</v>
      </c>
    </row>
    <row r="13455">
      <c r="A13455" s="3">
        <v>45897.0</v>
      </c>
      <c r="B13455" s="4">
        <v>0.3416666666666667</v>
      </c>
      <c r="C13455" s="5" t="s">
        <v>76</v>
      </c>
      <c r="D13455" s="5" t="s">
        <v>1776</v>
      </c>
      <c r="E13455" s="8" t="s">
        <v>150</v>
      </c>
      <c r="F13455" s="5" t="s">
        <v>151</v>
      </c>
      <c r="G13455" s="6" t="str">
        <f>VLOOKUP(E13455,dicionario!$A$1:$C13854,2,0)</f>
        <v>Amaranthus viridis</v>
      </c>
      <c r="H13455" s="6" t="str">
        <f>VLOOKUP(E13455,dicionario!$A$1:$C13854,3,0)</f>
        <v>caruru-de-mancha</v>
      </c>
    </row>
    <row r="13456">
      <c r="A13456" s="3">
        <v>45897.0</v>
      </c>
      <c r="B13456" s="4">
        <v>0.3416666666666667</v>
      </c>
      <c r="C13456" s="5" t="s">
        <v>76</v>
      </c>
      <c r="D13456" s="5" t="s">
        <v>1776</v>
      </c>
      <c r="E13456" s="6" t="s">
        <v>324</v>
      </c>
      <c r="F13456" s="5" t="s">
        <v>325</v>
      </c>
      <c r="G13456" s="6" t="str">
        <f>VLOOKUP(E13456,dicionario!$A$1:$C13855,2,0)</f>
        <v>#N/A</v>
      </c>
      <c r="H13456" s="6" t="str">
        <f>VLOOKUP(E13456,dicionario!$A$1:$C13855,3,0)</f>
        <v>#N/A</v>
      </c>
    </row>
    <row r="13457">
      <c r="A13457" s="3">
        <v>45897.0</v>
      </c>
      <c r="B13457" s="4">
        <v>0.3416666666666667</v>
      </c>
      <c r="C13457" s="5" t="s">
        <v>76</v>
      </c>
      <c r="D13457" s="5" t="s">
        <v>1776</v>
      </c>
      <c r="E13457" s="6" t="s">
        <v>290</v>
      </c>
      <c r="F13457" s="5" t="s">
        <v>291</v>
      </c>
      <c r="G13457" s="6" t="str">
        <f>VLOOKUP(E13457,dicionario!$A$1:$C13856,2,0)</f>
        <v>Drymaria cordata</v>
      </c>
      <c r="H13457" s="6" t="str">
        <f>VLOOKUP(E13457,dicionario!$A$1:$C13856,3,0)</f>
        <v>orelha-de-rato</v>
      </c>
    </row>
    <row r="13458">
      <c r="A13458" s="3">
        <v>45897.0</v>
      </c>
      <c r="B13458" s="4">
        <v>0.3416666666666667</v>
      </c>
      <c r="C13458" s="5" t="s">
        <v>76</v>
      </c>
      <c r="D13458" s="5" t="s">
        <v>1776</v>
      </c>
      <c r="E13458" s="8" t="s">
        <v>388</v>
      </c>
      <c r="F13458" s="5" t="s">
        <v>389</v>
      </c>
      <c r="G13458" s="6" t="str">
        <f>VLOOKUP(E13458,dicionario!$A$1:$C13857,2,0)</f>
        <v>Bulimulus tenuissimus</v>
      </c>
      <c r="H13458" s="6" t="str">
        <f>VLOOKUP(E13458,dicionario!$A$1:$C13857,3,0)</f>
        <v>caracol-fantasma</v>
      </c>
    </row>
    <row r="13459">
      <c r="A13459" s="3">
        <v>45897.0</v>
      </c>
      <c r="B13459" s="4">
        <v>0.3451388888888889</v>
      </c>
      <c r="C13459" s="5" t="s">
        <v>76</v>
      </c>
      <c r="D13459" s="5" t="s">
        <v>1776</v>
      </c>
      <c r="E13459" s="8" t="s">
        <v>139</v>
      </c>
      <c r="F13459" s="5" t="s">
        <v>140</v>
      </c>
      <c r="G13459" s="6" t="str">
        <f>VLOOKUP(E13459,dicionario!$A$1:$C13858,2,0)</f>
        <v>Tropidurus torquatus</v>
      </c>
      <c r="H13459" s="6" t="str">
        <f>VLOOKUP(E13459,dicionario!$A$1:$C13858,3,0)</f>
        <v>calango; tropiduro-comum</v>
      </c>
    </row>
    <row r="13460">
      <c r="A13460" s="3">
        <v>45897.0</v>
      </c>
      <c r="B13460" s="4">
        <v>0.3451388888888889</v>
      </c>
      <c r="C13460" s="5" t="s">
        <v>76</v>
      </c>
      <c r="D13460" s="5" t="s">
        <v>1776</v>
      </c>
      <c r="E13460" s="8" t="s">
        <v>41</v>
      </c>
      <c r="F13460" s="5" t="s">
        <v>45</v>
      </c>
      <c r="G13460" s="6" t="str">
        <f>VLOOKUP(E13460,dicionario!$A$1:$C13859,2,0)</f>
        <v>Mimosa pudica</v>
      </c>
      <c r="H13460" s="6" t="str">
        <f>VLOOKUP(E13460,dicionario!$A$1:$C13859,3,0)</f>
        <v>dormideira</v>
      </c>
    </row>
    <row r="13461">
      <c r="A13461" s="3">
        <v>45897.0</v>
      </c>
      <c r="B13461" s="4">
        <v>0.3451388888888889</v>
      </c>
      <c r="C13461" s="5" t="s">
        <v>76</v>
      </c>
      <c r="D13461" s="5" t="s">
        <v>1776</v>
      </c>
      <c r="E13461" s="12" t="s">
        <v>152</v>
      </c>
      <c r="F13461" s="5" t="s">
        <v>153</v>
      </c>
      <c r="G13461" s="6" t="str">
        <f>VLOOKUP(E13461,dicionario!$A$1:$C13860,2,0)</f>
        <v>Cynodon dactylon</v>
      </c>
      <c r="H13461" s="6" t="str">
        <f>VLOOKUP(E13461,dicionario!$A$1:$C13860,3,0)</f>
        <v>grama-bermuda</v>
      </c>
    </row>
    <row r="13462">
      <c r="A13462" s="3">
        <v>45897.0</v>
      </c>
      <c r="B13462" s="4">
        <v>0.3451388888888889</v>
      </c>
      <c r="C13462" s="5" t="s">
        <v>76</v>
      </c>
      <c r="D13462" s="5" t="s">
        <v>1776</v>
      </c>
      <c r="E13462" s="6" t="s">
        <v>122</v>
      </c>
      <c r="F13462" s="5" t="s">
        <v>123</v>
      </c>
      <c r="G13462" s="6" t="str">
        <f>VLOOKUP(E13462,dicionario!$A$1:$C13861,2,0)</f>
        <v>Todirostrum cinereum</v>
      </c>
      <c r="H13462" s="6" t="str">
        <f>VLOOKUP(E13462,dicionario!$A$1:$C13861,3,0)</f>
        <v>ferreirinho-relógio</v>
      </c>
    </row>
    <row r="13463">
      <c r="A13463" s="3">
        <v>45897.0</v>
      </c>
      <c r="B13463" s="4">
        <v>0.3451388888888889</v>
      </c>
      <c r="C13463" s="5" t="s">
        <v>76</v>
      </c>
      <c r="D13463" s="5" t="s">
        <v>1776</v>
      </c>
      <c r="E13463" s="6" t="s">
        <v>148</v>
      </c>
      <c r="F13463" s="5" t="s">
        <v>149</v>
      </c>
      <c r="G13463" s="6" t="str">
        <f>VLOOKUP(E13463,dicionario!$A$1:$C13862,2,0)</f>
        <v>Parthenium hysterophorus</v>
      </c>
      <c r="H13463" s="6" t="str">
        <f>VLOOKUP(E13463,dicionario!$A$1:$C13862,3,0)</f>
        <v>losna-branca</v>
      </c>
    </row>
    <row r="13464">
      <c r="A13464" s="3">
        <v>45897.0</v>
      </c>
      <c r="B13464" s="4">
        <v>0.3451388888888889</v>
      </c>
      <c r="C13464" s="5" t="s">
        <v>76</v>
      </c>
      <c r="D13464" s="5" t="s">
        <v>1776</v>
      </c>
      <c r="E13464" s="6" t="s">
        <v>256</v>
      </c>
      <c r="F13464" s="5" t="s">
        <v>257</v>
      </c>
      <c r="G13464" s="6" t="str">
        <f>VLOOKUP(E13464,dicionario!$A$1:$C13863,2,0)</f>
        <v>Youngia japonica</v>
      </c>
      <c r="H13464" s="6" t="str">
        <f>VLOOKUP(E13464,dicionario!$A$1:$C13863,3,0)</f>
        <v>barba-de-falcão</v>
      </c>
    </row>
    <row r="13465">
      <c r="A13465" s="3">
        <v>45897.0</v>
      </c>
      <c r="B13465" s="4">
        <v>0.3451388888888889</v>
      </c>
      <c r="C13465" s="5" t="s">
        <v>76</v>
      </c>
      <c r="D13465" s="5" t="s">
        <v>1776</v>
      </c>
      <c r="E13465" s="8" t="s">
        <v>304</v>
      </c>
      <c r="F13465" s="5" t="s">
        <v>305</v>
      </c>
      <c r="G13465" s="6" t="str">
        <f>VLOOKUP(E13465,dicionario!$A$1:$C13864,2,0)</f>
        <v>Sarcophaga</v>
      </c>
      <c r="H13465" s="6" t="str">
        <f>VLOOKUP(E13465,dicionario!$A$1:$C13864,3,0)</f>
        <v>mosca-varejeira</v>
      </c>
    </row>
    <row r="13466">
      <c r="A13466" s="3">
        <v>45897.0</v>
      </c>
      <c r="B13466" s="4">
        <v>0.3451388888888889</v>
      </c>
      <c r="C13466" s="5" t="s">
        <v>76</v>
      </c>
      <c r="D13466" s="5" t="s">
        <v>1776</v>
      </c>
      <c r="E13466" s="8" t="s">
        <v>135</v>
      </c>
      <c r="F13466" s="5" t="s">
        <v>136</v>
      </c>
      <c r="G13466" s="6" t="str">
        <f>VLOOKUP(E13466,dicionario!$A$1:$C13865,2,0)</f>
        <v>Tridax procumbens</v>
      </c>
      <c r="H13466" s="6" t="str">
        <f>VLOOKUP(E13466,dicionario!$A$1:$C13865,3,0)</f>
        <v>erva-de-touro</v>
      </c>
    </row>
    <row r="13467">
      <c r="A13467" s="3">
        <v>45897.0</v>
      </c>
      <c r="B13467" s="4">
        <v>0.3451388888888889</v>
      </c>
      <c r="C13467" s="5" t="s">
        <v>76</v>
      </c>
      <c r="D13467" s="5" t="s">
        <v>1776</v>
      </c>
      <c r="E13467" s="6" t="s">
        <v>65</v>
      </c>
      <c r="F13467" s="5" t="s">
        <v>66</v>
      </c>
      <c r="G13467" s="6" t="str">
        <f>VLOOKUP(E13467,dicionario!$A$1:$C13866,2,0)</f>
        <v>Pitangus sulphutarus</v>
      </c>
      <c r="H13467" s="6" t="str">
        <f>VLOOKUP(E13467,dicionario!$A$1:$C13866,3,0)</f>
        <v>bem-te-vi</v>
      </c>
    </row>
    <row r="13468">
      <c r="A13468" s="3">
        <v>45897.0</v>
      </c>
      <c r="B13468" s="4">
        <v>0.3451388888888889</v>
      </c>
      <c r="C13468" s="5" t="s">
        <v>76</v>
      </c>
      <c r="D13468" s="5" t="s">
        <v>1776</v>
      </c>
      <c r="E13468" s="6" t="s">
        <v>489</v>
      </c>
      <c r="F13468" s="5" t="s">
        <v>521</v>
      </c>
      <c r="G13468" s="6" t="str">
        <f>VLOOKUP(E13468,dicionario!$A$1:$C13867,2,0)</f>
        <v>Cenchrus echinatus</v>
      </c>
      <c r="H13468" s="6" t="str">
        <f>VLOOKUP(E13468,dicionario!$A$1:$C13867,3,0)</f>
        <v>capim-carrapicho</v>
      </c>
    </row>
    <row r="13469">
      <c r="A13469" s="3">
        <v>45897.0</v>
      </c>
      <c r="B13469" s="4">
        <v>0.3451388888888889</v>
      </c>
      <c r="C13469" s="5" t="s">
        <v>76</v>
      </c>
      <c r="D13469" s="5" t="s">
        <v>1776</v>
      </c>
      <c r="E13469" s="11" t="s">
        <v>1524</v>
      </c>
      <c r="F13469" s="5" t="s">
        <v>1525</v>
      </c>
      <c r="G13469" s="6" t="str">
        <f>VLOOKUP(E13469,dicionario!$A$1:$C13868,2,0)</f>
        <v>Tolmomyias flaviventris</v>
      </c>
      <c r="H13469" s="6" t="str">
        <f>VLOOKUP(E13469,dicionario!$A$1:$C13868,3,0)</f>
        <v>bico-chato-amarelo</v>
      </c>
    </row>
    <row r="13470">
      <c r="A13470" s="3">
        <v>45897.0</v>
      </c>
      <c r="B13470" s="4">
        <v>0.3458333333333333</v>
      </c>
      <c r="C13470" s="5" t="s">
        <v>76</v>
      </c>
      <c r="D13470" s="5" t="s">
        <v>1776</v>
      </c>
      <c r="E13470" s="8" t="s">
        <v>1219</v>
      </c>
      <c r="F13470" s="5" t="s">
        <v>186</v>
      </c>
      <c r="G13470" s="6" t="str">
        <f>VLOOKUP(E13470,dicionario!$A$1:$C13869,2,0)</f>
        <v>#N/A</v>
      </c>
      <c r="H13470" s="6" t="str">
        <f>VLOOKUP(E13470,dicionario!$A$1:$C13869,3,0)</f>
        <v>#N/A</v>
      </c>
    </row>
    <row r="13471">
      <c r="A13471" s="3">
        <v>45897.0</v>
      </c>
      <c r="B13471" s="4">
        <v>0.3451388888888889</v>
      </c>
      <c r="C13471" s="5" t="s">
        <v>76</v>
      </c>
      <c r="D13471" s="5" t="s">
        <v>1776</v>
      </c>
      <c r="E13471" s="6" t="s">
        <v>227</v>
      </c>
      <c r="F13471" s="5" t="s">
        <v>228</v>
      </c>
      <c r="G13471" s="6" t="str">
        <f>VLOOKUP(E13471,dicionario!$A$1:$C13870,2,0)</f>
        <v>Indigofera hirsuta</v>
      </c>
      <c r="H13471" s="6" t="str">
        <f>VLOOKUP(E13471,dicionario!$A$1:$C13870,3,0)</f>
        <v>anileira</v>
      </c>
    </row>
    <row r="13472">
      <c r="A13472" s="3">
        <v>45897.0</v>
      </c>
      <c r="B13472" s="4">
        <v>0.3451388888888889</v>
      </c>
      <c r="C13472" s="5" t="s">
        <v>76</v>
      </c>
      <c r="D13472" s="5" t="s">
        <v>1776</v>
      </c>
      <c r="E13472" s="6" t="s">
        <v>225</v>
      </c>
      <c r="F13472" s="5" t="s">
        <v>226</v>
      </c>
      <c r="G13472" s="6" t="str">
        <f>VLOOKUP(E13472,dicionario!$A$1:$C13871,2,0)</f>
        <v>Passer domesticus</v>
      </c>
      <c r="H13472" s="6" t="str">
        <f>VLOOKUP(E13472,dicionario!$A$1:$C13871,3,0)</f>
        <v>pardal</v>
      </c>
    </row>
    <row r="13473">
      <c r="A13473" s="3">
        <v>45897.0</v>
      </c>
      <c r="B13473" s="4">
        <v>0.3451388888888889</v>
      </c>
      <c r="C13473" s="5" t="s">
        <v>76</v>
      </c>
      <c r="D13473" s="5" t="s">
        <v>1776</v>
      </c>
      <c r="E13473" s="6" t="s">
        <v>471</v>
      </c>
      <c r="F13473" s="5" t="s">
        <v>472</v>
      </c>
      <c r="G13473" s="6" t="str">
        <f>VLOOKUP(E13473,dicionario!$A$1:$C13872,2,0)</f>
        <v>Sida acuta</v>
      </c>
      <c r="H13473" s="6" t="str">
        <f>VLOOKUP(E13473,dicionario!$A$1:$C13872,3,0)</f>
        <v>reloginho</v>
      </c>
    </row>
    <row r="13474">
      <c r="A13474" s="3">
        <v>45897.0</v>
      </c>
      <c r="B13474" s="4">
        <v>0.3451388888888889</v>
      </c>
      <c r="C13474" s="5" t="s">
        <v>76</v>
      </c>
      <c r="D13474" s="5" t="s">
        <v>1776</v>
      </c>
      <c r="E13474" s="8" t="s">
        <v>239</v>
      </c>
      <c r="F13474" s="5" t="s">
        <v>240</v>
      </c>
      <c r="G13474" s="6" t="str">
        <f>VLOOKUP(E13474,dicionario!$A$1:$C13873,2,0)</f>
        <v>Gomphrena celosioides</v>
      </c>
      <c r="H13474" s="6" t="str">
        <f>VLOOKUP(E13474,dicionario!$A$1:$C13873,3,0)</f>
        <v>perpétua-branca</v>
      </c>
    </row>
    <row r="13475">
      <c r="A13475" s="3">
        <v>45897.0</v>
      </c>
      <c r="B13475" s="4">
        <v>0.3451388888888889</v>
      </c>
      <c r="C13475" s="5" t="s">
        <v>76</v>
      </c>
      <c r="D13475" s="5" t="s">
        <v>1776</v>
      </c>
      <c r="E13475" s="6" t="s">
        <v>99</v>
      </c>
      <c r="F13475" s="5" t="s">
        <v>508</v>
      </c>
      <c r="G13475" s="6" t="str">
        <f>VLOOKUP(E13475,dicionario!$A$1:$C13874,2,0)</f>
        <v>Molothrus bonariensis</v>
      </c>
      <c r="H13475" s="6" t="str">
        <f>VLOOKUP(E13475,dicionario!$A$1:$C13874,3,0)</f>
        <v>chupim</v>
      </c>
    </row>
    <row r="13476">
      <c r="A13476" s="3">
        <v>45897.0</v>
      </c>
      <c r="B13476" s="4">
        <v>0.3451388888888889</v>
      </c>
      <c r="C13476" s="5" t="s">
        <v>76</v>
      </c>
      <c r="D13476" s="5" t="s">
        <v>1776</v>
      </c>
      <c r="E13476" s="8" t="s">
        <v>43</v>
      </c>
      <c r="F13476" s="5" t="s">
        <v>1040</v>
      </c>
      <c r="G13476" s="6" t="str">
        <f>VLOOKUP(E13476,dicionario!$A$1:$C13875,2,0)</f>
        <v>Columba livia</v>
      </c>
      <c r="H13476" s="6" t="str">
        <f>VLOOKUP(E13476,dicionario!$A$1:$C13875,3,0)</f>
        <v>pombo-doméstico</v>
      </c>
    </row>
    <row r="13477">
      <c r="A13477" s="3">
        <v>45897.0</v>
      </c>
      <c r="B13477" s="4">
        <v>0.34652777777777777</v>
      </c>
      <c r="C13477" s="5" t="s">
        <v>76</v>
      </c>
      <c r="D13477" s="5" t="s">
        <v>1776</v>
      </c>
      <c r="E13477" s="6" t="s">
        <v>280</v>
      </c>
      <c r="F13477" s="5" t="s">
        <v>281</v>
      </c>
      <c r="G13477" s="6" t="str">
        <f>VLOOKUP(E13477,dicionario!$A$1:$C13876,2,0)</f>
        <v>Lepidium virginicum</v>
      </c>
      <c r="H13477" s="6" t="str">
        <f>VLOOKUP(E13477,dicionario!$A$1:$C13876,3,0)</f>
        <v>mastruz</v>
      </c>
    </row>
    <row r="13478">
      <c r="A13478" s="3">
        <v>45897.0</v>
      </c>
      <c r="B13478" s="4">
        <v>0.34652777777777777</v>
      </c>
      <c r="C13478" s="5" t="s">
        <v>76</v>
      </c>
      <c r="D13478" s="5" t="s">
        <v>1776</v>
      </c>
      <c r="E13478" s="8" t="s">
        <v>1503</v>
      </c>
      <c r="F13478" s="5" t="s">
        <v>1504</v>
      </c>
      <c r="G13478" s="6" t="str">
        <f>VLOOKUP(E13478,dicionario!$A$1:$C13877,2,0)</f>
        <v>#N/A</v>
      </c>
      <c r="H13478" s="6" t="str">
        <f>VLOOKUP(E13478,dicionario!$A$1:$C13877,3,0)</f>
        <v>#N/A</v>
      </c>
    </row>
    <row r="13479">
      <c r="A13479" s="3">
        <v>45897.0</v>
      </c>
      <c r="B13479" s="4">
        <v>0.3472222222222222</v>
      </c>
      <c r="C13479" s="5" t="s">
        <v>76</v>
      </c>
      <c r="D13479" s="5" t="s">
        <v>1776</v>
      </c>
      <c r="E13479" s="8" t="s">
        <v>821</v>
      </c>
      <c r="F13479" s="5" t="s">
        <v>876</v>
      </c>
      <c r="G13479" s="6" t="str">
        <f>VLOOKUP(E13479,dicionario!$A$1:$C13878,2,0)</f>
        <v>Schefflera actinophylla</v>
      </c>
      <c r="H13479" s="6" t="str">
        <f>VLOOKUP(E13479,dicionario!$A$1:$C13878,3,0)</f>
        <v>árvore-guarda-chuva</v>
      </c>
    </row>
    <row r="13480">
      <c r="A13480" s="3">
        <v>45897.0</v>
      </c>
      <c r="B13480" s="4">
        <v>0.3472222222222222</v>
      </c>
      <c r="C13480" s="5" t="s">
        <v>76</v>
      </c>
      <c r="D13480" s="5" t="s">
        <v>1776</v>
      </c>
      <c r="E13480" s="6" t="s">
        <v>613</v>
      </c>
      <c r="F13480" s="5" t="s">
        <v>614</v>
      </c>
      <c r="G13480" s="6" t="str">
        <f>VLOOKUP(E13480,dicionario!$A$1:$C13879,2,0)</f>
        <v>Euphorbia hyssopifolia</v>
      </c>
      <c r="H13480" s="6" t="str">
        <f>VLOOKUP(E13480,dicionario!$A$1:$C13879,3,0)</f>
        <v>maria-leite</v>
      </c>
    </row>
    <row r="13481">
      <c r="A13481" s="3">
        <v>45897.0</v>
      </c>
      <c r="B13481" s="4">
        <v>0.3472222222222222</v>
      </c>
      <c r="C13481" s="5" t="s">
        <v>76</v>
      </c>
      <c r="D13481" s="5" t="s">
        <v>1776</v>
      </c>
      <c r="E13481" s="8" t="s">
        <v>296</v>
      </c>
      <c r="F13481" s="5" t="s">
        <v>297</v>
      </c>
      <c r="G13481" s="6" t="str">
        <f>VLOOKUP(E13481,dicionario!$A$1:$C13880,2,0)</f>
        <v>Richardia brasiliensis</v>
      </c>
      <c r="H13481" s="6" t="str">
        <f>VLOOKUP(E13481,dicionario!$A$1:$C13880,3,0)</f>
        <v>poaia-branca</v>
      </c>
    </row>
    <row r="13482">
      <c r="A13482" s="3">
        <v>45897.0</v>
      </c>
      <c r="B13482" s="4">
        <v>0.3472222222222222</v>
      </c>
      <c r="C13482" s="5" t="s">
        <v>76</v>
      </c>
      <c r="D13482" s="5" t="s">
        <v>1776</v>
      </c>
      <c r="E13482" s="6" t="s">
        <v>191</v>
      </c>
      <c r="F13482" s="5" t="s">
        <v>192</v>
      </c>
      <c r="G13482" s="6" t="str">
        <f>VLOOKUP(E13482,dicionario!$A$1:$C13881,2,0)</f>
        <v>Patagioenas picazuro</v>
      </c>
      <c r="H13482" s="6" t="str">
        <f>VLOOKUP(E13482,dicionario!$A$1:$C13881,3,0)</f>
        <v>asa-branca; pomba-asa-branca; pocaçu</v>
      </c>
    </row>
    <row r="13483">
      <c r="A13483" s="3">
        <v>45897.0</v>
      </c>
      <c r="B13483" s="4">
        <v>0.34791666666666665</v>
      </c>
      <c r="C13483" s="5" t="s">
        <v>76</v>
      </c>
      <c r="D13483" s="5" t="s">
        <v>1776</v>
      </c>
      <c r="E13483" s="6" t="s">
        <v>88</v>
      </c>
      <c r="F13483" s="5" t="s">
        <v>89</v>
      </c>
      <c r="G13483" s="6" t="str">
        <f>VLOOKUP(E13483,dicionario!$A$1:$C13882,2,0)</f>
        <v>Tyrannus melancolichus</v>
      </c>
      <c r="H13483" s="6" t="str">
        <f>VLOOKUP(E13483,dicionario!$A$1:$C13882,3,0)</f>
        <v>suiriri</v>
      </c>
    </row>
    <row r="13484">
      <c r="A13484" s="3">
        <v>45897.0</v>
      </c>
      <c r="B13484" s="4">
        <v>0.34791666666666665</v>
      </c>
      <c r="C13484" s="5" t="s">
        <v>76</v>
      </c>
      <c r="D13484" s="5" t="s">
        <v>1776</v>
      </c>
      <c r="E13484" s="8" t="s">
        <v>1328</v>
      </c>
      <c r="F13484" s="5" t="s">
        <v>356</v>
      </c>
      <c r="G13484" s="6" t="str">
        <f>VLOOKUP(E13484,dicionario!$A$1:$C13883,2,0)</f>
        <v>#N/A</v>
      </c>
      <c r="H13484" s="6" t="str">
        <f>VLOOKUP(E13484,dicionario!$A$1:$C13883,3,0)</f>
        <v>#N/A</v>
      </c>
    </row>
    <row r="13485">
      <c r="A13485" s="3">
        <v>45897.0</v>
      </c>
      <c r="B13485" s="4">
        <v>0.34791666666666665</v>
      </c>
      <c r="C13485" s="5" t="s">
        <v>76</v>
      </c>
      <c r="D13485" s="5" t="s">
        <v>1776</v>
      </c>
      <c r="E13485" s="8" t="s">
        <v>143</v>
      </c>
      <c r="F13485" s="5" t="s">
        <v>205</v>
      </c>
      <c r="G13485" s="6" t="str">
        <f>VLOOKUP(E13485,dicionario!$A$1:$C13884,2,0)</f>
        <v>Polybia</v>
      </c>
      <c r="H13485" s="6" t="str">
        <f>VLOOKUP(E13485,dicionario!$A$1:$C13884,3,0)</f>
        <v>vespa</v>
      </c>
    </row>
    <row r="13486">
      <c r="A13486" s="3">
        <v>45897.0</v>
      </c>
      <c r="B13486" s="4">
        <v>0.34791666666666665</v>
      </c>
      <c r="C13486" s="5" t="s">
        <v>76</v>
      </c>
      <c r="D13486" s="5" t="s">
        <v>1776</v>
      </c>
      <c r="E13486" s="6" t="s">
        <v>48</v>
      </c>
      <c r="F13486" s="5" t="s">
        <v>49</v>
      </c>
      <c r="G13486" s="6" t="str">
        <f>VLOOKUP(E13486,dicionario!$A$1:$C13885,2,0)</f>
        <v>Commelina erecta</v>
      </c>
      <c r="H13486" s="6" t="str">
        <f>VLOOKUP(E13486,dicionario!$A$1:$C13885,3,0)</f>
        <v>trapoeraba</v>
      </c>
    </row>
    <row r="13487">
      <c r="A13487" s="3">
        <v>45897.0</v>
      </c>
      <c r="B13487" s="4">
        <v>0.34791666666666665</v>
      </c>
      <c r="C13487" s="5" t="s">
        <v>76</v>
      </c>
      <c r="D13487" s="5" t="s">
        <v>1776</v>
      </c>
      <c r="E13487" s="6" t="s">
        <v>171</v>
      </c>
      <c r="F13487" s="5" t="s">
        <v>172</v>
      </c>
      <c r="G13487" s="6" t="str">
        <f>VLOOKUP(E13487,dicionario!$A$1:$C13886,2,0)</f>
        <v>Oxalis corniculata</v>
      </c>
      <c r="H13487" s="6" t="str">
        <f>VLOOKUP(E13487,dicionario!$A$1:$C13886,3,0)</f>
        <v>trevo-azedinho</v>
      </c>
    </row>
    <row r="13488">
      <c r="A13488" s="3">
        <v>45897.0</v>
      </c>
      <c r="B13488" s="4">
        <v>0.34791666666666665</v>
      </c>
      <c r="C13488" s="5" t="s">
        <v>76</v>
      </c>
      <c r="D13488" s="5" t="s">
        <v>1776</v>
      </c>
      <c r="E13488" s="53" t="s">
        <v>1789</v>
      </c>
      <c r="F13488" s="5" t="s">
        <v>1790</v>
      </c>
      <c r="G13488" s="6" t="str">
        <f>VLOOKUP(E13488,dicionario!$A$1:$C13887,2,0)</f>
        <v>#N/A</v>
      </c>
      <c r="H13488" s="6" t="str">
        <f>VLOOKUP(E13488,dicionario!$A$1:$C13887,3,0)</f>
        <v>#N/A</v>
      </c>
    </row>
    <row r="13489">
      <c r="A13489" s="3">
        <v>45897.0</v>
      </c>
      <c r="B13489" s="4">
        <v>0.34791666666666665</v>
      </c>
      <c r="C13489" s="5" t="s">
        <v>76</v>
      </c>
      <c r="D13489" s="5" t="s">
        <v>1776</v>
      </c>
      <c r="E13489" s="6" t="s">
        <v>504</v>
      </c>
      <c r="F13489" s="5" t="s">
        <v>534</v>
      </c>
      <c r="G13489" s="6" t="str">
        <f>VLOOKUP(E13489,dicionario!$A$1:$C13888,2,0)</f>
        <v>Cleome aculeata</v>
      </c>
      <c r="H13489" s="6" t="str">
        <f>VLOOKUP(E13489,dicionario!$A$1:$C13888,3,0)</f>
        <v>cleome</v>
      </c>
    </row>
    <row r="13490">
      <c r="A13490" s="3">
        <v>45897.0</v>
      </c>
      <c r="B13490" s="4">
        <v>0.34791666666666665</v>
      </c>
      <c r="C13490" s="5" t="s">
        <v>76</v>
      </c>
      <c r="D13490" s="5" t="s">
        <v>1776</v>
      </c>
      <c r="E13490" s="6" t="s">
        <v>489</v>
      </c>
      <c r="F13490" s="5" t="s">
        <v>521</v>
      </c>
      <c r="G13490" s="6" t="str">
        <f>VLOOKUP(E13490,dicionario!$A$1:$C13889,2,0)</f>
        <v>Cenchrus echinatus</v>
      </c>
      <c r="H13490" s="6" t="str">
        <f>VLOOKUP(E13490,dicionario!$A$1:$C13889,3,0)</f>
        <v>capim-carrapicho</v>
      </c>
    </row>
    <row r="13491">
      <c r="A13491" s="3">
        <v>45897.0</v>
      </c>
      <c r="B13491" s="4">
        <v>0.3486111111111111</v>
      </c>
      <c r="C13491" s="5" t="s">
        <v>76</v>
      </c>
      <c r="D13491" s="5" t="s">
        <v>1776</v>
      </c>
      <c r="E13491" s="6" t="s">
        <v>86</v>
      </c>
      <c r="F13491" s="5" t="s">
        <v>502</v>
      </c>
      <c r="G13491" s="6" t="str">
        <f>VLOOKUP(E13491,dicionario!$A$1:$C13890,2,0)</f>
        <v>Coereba flaveola</v>
      </c>
      <c r="H13491" s="6" t="str">
        <f>VLOOKUP(E13491,dicionario!$A$1:$C13890,3,0)</f>
        <v>cambacica</v>
      </c>
    </row>
    <row r="13492">
      <c r="A13492" s="3">
        <v>45897.0</v>
      </c>
      <c r="B13492" s="4">
        <v>0.3486111111111111</v>
      </c>
      <c r="C13492" s="5" t="s">
        <v>76</v>
      </c>
      <c r="D13492" s="5" t="s">
        <v>1776</v>
      </c>
      <c r="E13492" s="53" t="s">
        <v>786</v>
      </c>
      <c r="F13492" s="5" t="s">
        <v>787</v>
      </c>
      <c r="G13492" s="6" t="str">
        <f>VLOOKUP(E13492,dicionario!$A$1:$C13891,2,0)</f>
        <v>Lycianthes asarifolia</v>
      </c>
      <c r="H13492" s="6" t="str">
        <f>VLOOKUP(E13492,dicionario!$A$1:$C13891,3,0)</f>
        <v>joá-rasteiro</v>
      </c>
    </row>
    <row r="13493">
      <c r="A13493" s="3">
        <v>45897.0</v>
      </c>
      <c r="B13493" s="4">
        <v>0.34930555555555554</v>
      </c>
      <c r="C13493" s="5" t="s">
        <v>76</v>
      </c>
      <c r="D13493" s="5" t="s">
        <v>1776</v>
      </c>
      <c r="E13493" s="6" t="s">
        <v>93</v>
      </c>
      <c r="F13493" s="5" t="s">
        <v>570</v>
      </c>
      <c r="G13493" s="6" t="str">
        <f>VLOOKUP(E13493,dicionario!$A$1:$C13892,2,0)</f>
        <v>Thraupis sayaca</v>
      </c>
      <c r="H13493" s="6" t="str">
        <f>VLOOKUP(E13493,dicionario!$A$1:$C13892,3,0)</f>
        <v>sanhaçu-cinzento</v>
      </c>
    </row>
    <row r="13494">
      <c r="A13494" s="3">
        <v>45897.0</v>
      </c>
      <c r="B13494" s="4">
        <v>0.34930555555555554</v>
      </c>
      <c r="C13494" s="5" t="s">
        <v>76</v>
      </c>
      <c r="D13494" s="5" t="s">
        <v>1776</v>
      </c>
      <c r="E13494" s="65" t="s">
        <v>1394</v>
      </c>
      <c r="F13494" s="5" t="s">
        <v>1395</v>
      </c>
      <c r="G13494" s="6" t="str">
        <f>VLOOKUP(E13494,dicionario!$A$1:$C13893,2,0)</f>
        <v>Cecropia glaziovii</v>
      </c>
      <c r="H13494" s="6" t="str">
        <f>VLOOKUP(E13494,dicionario!$A$1:$C13893,3,0)</f>
        <v>embaúba-vermelha-do-sul</v>
      </c>
    </row>
    <row r="13495">
      <c r="A13495" s="3">
        <v>45897.0</v>
      </c>
      <c r="B13495" s="4">
        <v>0.35</v>
      </c>
      <c r="C13495" s="5" t="s">
        <v>76</v>
      </c>
      <c r="D13495" s="5" t="s">
        <v>1776</v>
      </c>
      <c r="E13495" s="8" t="s">
        <v>338</v>
      </c>
      <c r="F13495" s="5" t="s">
        <v>238</v>
      </c>
      <c r="G13495" s="6" t="str">
        <f>VLOOKUP(E13495,dicionario!$A$1:$C13894,2,0)</f>
        <v>Atta</v>
      </c>
      <c r="H13495" s="6" t="str">
        <f>VLOOKUP(E13495,dicionario!$A$1:$C13894,3,0)</f>
        <v>saúva</v>
      </c>
    </row>
    <row r="13496">
      <c r="A13496" s="3">
        <v>45897.0</v>
      </c>
      <c r="B13496" s="4">
        <v>0.3506944444444444</v>
      </c>
      <c r="C13496" s="5" t="s">
        <v>76</v>
      </c>
      <c r="D13496" s="5" t="s">
        <v>1776</v>
      </c>
      <c r="E13496" s="8" t="s">
        <v>109</v>
      </c>
      <c r="F13496" s="5" t="s">
        <v>110</v>
      </c>
      <c r="G13496" s="6" t="str">
        <f>VLOOKUP(E13496,dicionario!$A$1:$C13895,2,0)</f>
        <v>Tillandsia stricta</v>
      </c>
      <c r="H13496" s="6" t="str">
        <f>VLOOKUP(E13496,dicionario!$A$1:$C13895,3,0)</f>
        <v>cravo-do-mato</v>
      </c>
    </row>
    <row r="13497">
      <c r="A13497" s="3">
        <v>45897.0</v>
      </c>
      <c r="B13497" s="4">
        <v>0.3506944444444444</v>
      </c>
      <c r="C13497" s="5" t="s">
        <v>85</v>
      </c>
      <c r="D13497" s="5" t="s">
        <v>1776</v>
      </c>
      <c r="E13497" s="8" t="s">
        <v>624</v>
      </c>
      <c r="F13497" s="5" t="s">
        <v>133</v>
      </c>
      <c r="G13497" s="6" t="str">
        <f>VLOOKUP(E13497,dicionario!$A$1:$C13896,2,0)</f>
        <v>Euphonia violacea</v>
      </c>
      <c r="H13497" s="6" t="str">
        <f>VLOOKUP(E13497,dicionario!$A$1:$C13896,3,0)</f>
        <v>gaturamo-verdadeiro</v>
      </c>
    </row>
    <row r="13498">
      <c r="A13498" s="3">
        <v>45897.0</v>
      </c>
      <c r="B13498" s="4">
        <v>0.3506944444444444</v>
      </c>
      <c r="C13498" s="5" t="s">
        <v>85</v>
      </c>
      <c r="D13498" s="5" t="s">
        <v>1776</v>
      </c>
      <c r="E13498" s="8" t="s">
        <v>909</v>
      </c>
      <c r="F13498" s="5" t="s">
        <v>910</v>
      </c>
      <c r="G13498" s="6" t="str">
        <f>VLOOKUP(E13498,dicionario!$A$1:$C13897,2,0)</f>
        <v>Chordeiles acutipennis</v>
      </c>
      <c r="H13498" s="6" t="str">
        <f>VLOOKUP(E13498,dicionario!$A$1:$C13897,3,0)</f>
        <v>bacurau-de-asa-fina</v>
      </c>
    </row>
    <row r="13499">
      <c r="A13499" s="3">
        <v>45897.0</v>
      </c>
      <c r="B13499" s="4">
        <v>0.3527777777777778</v>
      </c>
      <c r="C13499" s="5" t="s">
        <v>85</v>
      </c>
      <c r="D13499" s="5" t="s">
        <v>1776</v>
      </c>
      <c r="E13499" s="6" t="s">
        <v>383</v>
      </c>
      <c r="F13499" s="5" t="s">
        <v>384</v>
      </c>
      <c r="G13499" s="6" t="str">
        <f>VLOOKUP(E13499,dicionario!$A$1:$C13898,2,0)</f>
        <v>Setophaga pitiayumi</v>
      </c>
      <c r="H13499" s="6" t="str">
        <f>VLOOKUP(E13499,dicionario!$A$1:$C13898,3,0)</f>
        <v>mariquita</v>
      </c>
    </row>
    <row r="13500">
      <c r="A13500" s="3">
        <v>45897.0</v>
      </c>
      <c r="B13500" s="4">
        <v>0.3527777777777778</v>
      </c>
      <c r="C13500" s="5" t="s">
        <v>85</v>
      </c>
      <c r="D13500" s="5" t="s">
        <v>1776</v>
      </c>
      <c r="E13500" s="12" t="s">
        <v>221</v>
      </c>
      <c r="F13500" s="5" t="s">
        <v>222</v>
      </c>
      <c r="G13500" s="6" t="str">
        <f>VLOOKUP(E13500,dicionario!$A$1:$C13899,2,0)</f>
        <v>Volatinia jacarina</v>
      </c>
      <c r="H13500" s="6" t="str">
        <f>VLOOKUP(E13500,dicionario!$A$1:$C13899,3,0)</f>
        <v>tiziu</v>
      </c>
    </row>
    <row r="13501">
      <c r="A13501" s="3">
        <v>45897.0</v>
      </c>
      <c r="B13501" s="4">
        <v>0.3527777777777778</v>
      </c>
      <c r="C13501" s="5" t="s">
        <v>85</v>
      </c>
      <c r="D13501" s="5" t="s">
        <v>1776</v>
      </c>
      <c r="E13501" s="8" t="s">
        <v>143</v>
      </c>
      <c r="F13501" s="5" t="s">
        <v>205</v>
      </c>
      <c r="G13501" s="6" t="str">
        <f>VLOOKUP(E13501,dicionario!$A$1:$C13900,2,0)</f>
        <v>Polybia</v>
      </c>
      <c r="H13501" s="6" t="str">
        <f>VLOOKUP(E13501,dicionario!$A$1:$C13900,3,0)</f>
        <v>vespa</v>
      </c>
    </row>
    <row r="13502">
      <c r="A13502" s="3">
        <v>45897.0</v>
      </c>
      <c r="B13502" s="4">
        <v>0.3527777777777778</v>
      </c>
      <c r="C13502" s="5" t="s">
        <v>85</v>
      </c>
      <c r="D13502" s="5" t="s">
        <v>1776</v>
      </c>
      <c r="E13502" s="8" t="s">
        <v>849</v>
      </c>
      <c r="F13502" s="5" t="s">
        <v>1457</v>
      </c>
      <c r="G13502" s="6" t="str">
        <f>VLOOKUP(E13502,dicionario!$A$1:$C13901,2,0)</f>
        <v>#N/A</v>
      </c>
      <c r="H13502" s="6" t="str">
        <f>VLOOKUP(E13502,dicionario!$A$1:$C13901,3,0)</f>
        <v>#N/A</v>
      </c>
    </row>
    <row r="13503">
      <c r="A13503" s="3">
        <v>45897.0</v>
      </c>
      <c r="B13503" s="4">
        <v>0.3527777777777778</v>
      </c>
      <c r="C13503" s="5" t="s">
        <v>85</v>
      </c>
      <c r="D13503" s="5" t="s">
        <v>1776</v>
      </c>
      <c r="E13503" s="6" t="s">
        <v>213</v>
      </c>
      <c r="F13503" s="5" t="s">
        <v>214</v>
      </c>
      <c r="G13503" s="6" t="str">
        <f>VLOOKUP(E13503,dicionario!$A$1:$C13902,2,0)</f>
        <v>Myiozetetes similis</v>
      </c>
      <c r="H13503" s="6" t="str">
        <f>VLOOKUP(E13503,dicionario!$A$1:$C13902,3,0)</f>
        <v>bentevizinho-de-penacho-vermelho</v>
      </c>
    </row>
    <row r="13504">
      <c r="A13504" s="3">
        <v>45897.0</v>
      </c>
      <c r="B13504" s="4">
        <v>0.3527777777777778</v>
      </c>
      <c r="C13504" s="5" t="s">
        <v>85</v>
      </c>
      <c r="D13504" s="5" t="s">
        <v>1776</v>
      </c>
      <c r="E13504" s="6" t="s">
        <v>65</v>
      </c>
      <c r="F13504" s="5" t="s">
        <v>66</v>
      </c>
      <c r="G13504" s="6" t="str">
        <f>VLOOKUP(E13504,dicionario!$A$1:$C13903,2,0)</f>
        <v>Pitangus sulphutarus</v>
      </c>
      <c r="H13504" s="6" t="str">
        <f>VLOOKUP(E13504,dicionario!$A$1:$C13903,3,0)</f>
        <v>bem-te-vi</v>
      </c>
    </row>
    <row r="13505">
      <c r="A13505" s="3">
        <v>45897.0</v>
      </c>
      <c r="B13505" s="4">
        <v>0.3527777777777778</v>
      </c>
      <c r="C13505" s="5" t="s">
        <v>85</v>
      </c>
      <c r="D13505" s="5" t="s">
        <v>1776</v>
      </c>
      <c r="E13505" s="8" t="s">
        <v>271</v>
      </c>
      <c r="F13505" s="5" t="s">
        <v>1169</v>
      </c>
      <c r="G13505" s="6" t="str">
        <f>VLOOKUP(E13505,dicionario!$A$1:$C13904,2,0)</f>
        <v>Cyanthillium cinereum</v>
      </c>
      <c r="H13505" s="6" t="str">
        <f>VLOOKUP(E13505,dicionario!$A$1:$C13904,3,0)</f>
        <v>emília</v>
      </c>
    </row>
    <row r="13506">
      <c r="A13506" s="3">
        <v>45897.0</v>
      </c>
      <c r="B13506" s="4">
        <v>0.3527777777777778</v>
      </c>
      <c r="C13506" s="5" t="s">
        <v>85</v>
      </c>
      <c r="D13506" s="5" t="s">
        <v>1776</v>
      </c>
      <c r="E13506" s="8" t="s">
        <v>298</v>
      </c>
      <c r="F13506" s="5"/>
      <c r="G13506" s="6" t="str">
        <f>VLOOKUP(E13506,dicionario!$A$1:$C13905,2,0)</f>
        <v>Alysicarpus vaginalis</v>
      </c>
      <c r="H13506" s="6" t="str">
        <f>VLOOKUP(E13506,dicionario!$A$1:$C13905,3,0)</f>
        <v/>
      </c>
    </row>
    <row r="13507">
      <c r="A13507" s="3">
        <v>45897.0</v>
      </c>
      <c r="B13507" s="4">
        <v>0.3527777777777778</v>
      </c>
      <c r="C13507" s="5" t="s">
        <v>85</v>
      </c>
      <c r="D13507" s="5" t="s">
        <v>1776</v>
      </c>
      <c r="E13507" s="8" t="s">
        <v>38</v>
      </c>
      <c r="F13507" s="5" t="s">
        <v>1672</v>
      </c>
      <c r="G13507" s="6" t="str">
        <f>VLOOKUP(E13507,dicionario!$A$1:$C13906,2,0)</f>
        <v>Troglodytes musculus</v>
      </c>
      <c r="H13507" s="6" t="str">
        <f>VLOOKUP(E13507,dicionario!$A$1:$C13906,3,0)</f>
        <v>curruíra</v>
      </c>
    </row>
    <row r="13508">
      <c r="A13508" s="3">
        <v>45897.0</v>
      </c>
      <c r="B13508" s="4">
        <v>0.3548611111111111</v>
      </c>
      <c r="C13508" s="5" t="s">
        <v>85</v>
      </c>
      <c r="D13508" s="5" t="s">
        <v>1776</v>
      </c>
      <c r="E13508" s="8" t="s">
        <v>20</v>
      </c>
      <c r="F13508" s="5" t="s">
        <v>21</v>
      </c>
      <c r="G13508" s="6" t="str">
        <f>VLOOKUP(E13508,dicionario!$A$1:$C13907,2,0)</f>
        <v>Sicalis flaveola</v>
      </c>
      <c r="H13508" s="6" t="str">
        <f>VLOOKUP(E13508,dicionario!$A$1:$C13907,3,0)</f>
        <v>canário-da-terra</v>
      </c>
    </row>
    <row r="13509">
      <c r="A13509" s="3">
        <v>45897.0</v>
      </c>
      <c r="B13509" s="4">
        <v>0.3548611111111111</v>
      </c>
      <c r="C13509" s="5" t="s">
        <v>85</v>
      </c>
      <c r="D13509" s="5" t="s">
        <v>1776</v>
      </c>
      <c r="E13509" s="6" t="s">
        <v>243</v>
      </c>
      <c r="F13509" s="5" t="s">
        <v>244</v>
      </c>
      <c r="G13509" s="6" t="str">
        <f>VLOOKUP(E13509,dicionario!$A$1:$C13908,2,0)</f>
        <v>Macroptilium atropurpureum</v>
      </c>
      <c r="H13509" s="6" t="str">
        <f>VLOOKUP(E13509,dicionario!$A$1:$C13908,3,0)</f>
        <v>feijão-de-pombo</v>
      </c>
    </row>
    <row r="13510">
      <c r="A13510" s="3">
        <v>45897.0</v>
      </c>
      <c r="B13510" s="4">
        <v>0.3548611111111111</v>
      </c>
      <c r="C13510" s="5" t="s">
        <v>85</v>
      </c>
      <c r="D13510" s="5" t="s">
        <v>1776</v>
      </c>
      <c r="E13510" s="6" t="s">
        <v>148</v>
      </c>
      <c r="F13510" s="5" t="s">
        <v>149</v>
      </c>
      <c r="G13510" s="6" t="str">
        <f>VLOOKUP(E13510,dicionario!$A$1:$C13909,2,0)</f>
        <v>Parthenium hysterophorus</v>
      </c>
      <c r="H13510" s="6" t="str">
        <f>VLOOKUP(E13510,dicionario!$A$1:$C13909,3,0)</f>
        <v>losna-branca</v>
      </c>
    </row>
    <row r="13511">
      <c r="A13511" s="3">
        <v>45897.0</v>
      </c>
      <c r="B13511" s="4">
        <v>0.3548611111111111</v>
      </c>
      <c r="C13511" s="5" t="s">
        <v>85</v>
      </c>
      <c r="D13511" s="5" t="s">
        <v>1776</v>
      </c>
      <c r="E13511" s="6" t="s">
        <v>122</v>
      </c>
      <c r="F13511" s="5" t="s">
        <v>123</v>
      </c>
      <c r="G13511" s="6" t="str">
        <f>VLOOKUP(E13511,dicionario!$A$1:$C13910,2,0)</f>
        <v>Todirostrum cinereum</v>
      </c>
      <c r="H13511" s="6" t="str">
        <f>VLOOKUP(E13511,dicionario!$A$1:$C13910,3,0)</f>
        <v>ferreirinho-relógio</v>
      </c>
    </row>
    <row r="13512">
      <c r="A13512" s="3">
        <v>45897.0</v>
      </c>
      <c r="B13512" s="4">
        <v>0.3548611111111111</v>
      </c>
      <c r="C13512" s="5" t="s">
        <v>85</v>
      </c>
      <c r="D13512" s="5" t="s">
        <v>1776</v>
      </c>
      <c r="E13512" s="8" t="s">
        <v>225</v>
      </c>
      <c r="F13512" s="5" t="s">
        <v>226</v>
      </c>
      <c r="G13512" s="6" t="str">
        <f>VLOOKUP(E13512,dicionario!$A$1:$C13911,2,0)</f>
        <v>Passer domesticus</v>
      </c>
      <c r="H13512" s="6" t="str">
        <f>VLOOKUP(E13512,dicionario!$A$1:$C13911,3,0)</f>
        <v>pardal</v>
      </c>
    </row>
    <row r="13513">
      <c r="A13513" s="3">
        <v>45897.0</v>
      </c>
      <c r="B13513" s="4">
        <v>0.35555555555555557</v>
      </c>
      <c r="C13513" s="5" t="s">
        <v>85</v>
      </c>
      <c r="D13513" s="5" t="s">
        <v>1776</v>
      </c>
      <c r="E13513" s="6" t="s">
        <v>86</v>
      </c>
      <c r="F13513" s="5" t="s">
        <v>502</v>
      </c>
      <c r="G13513" s="6" t="str">
        <f>VLOOKUP(E13513,dicionario!$A$1:$C13912,2,0)</f>
        <v>Coereba flaveola</v>
      </c>
      <c r="H13513" s="6" t="str">
        <f>VLOOKUP(E13513,dicionario!$A$1:$C13912,3,0)</f>
        <v>cambacica</v>
      </c>
    </row>
    <row r="13514">
      <c r="A13514" s="3">
        <v>45897.0</v>
      </c>
      <c r="B13514" s="4">
        <v>0.35555555555555557</v>
      </c>
      <c r="C13514" s="5" t="s">
        <v>85</v>
      </c>
      <c r="D13514" s="5" t="s">
        <v>1776</v>
      </c>
      <c r="E13514" s="8" t="s">
        <v>1344</v>
      </c>
      <c r="F13514" s="5" t="s">
        <v>1791</v>
      </c>
      <c r="G13514" s="6" t="str">
        <f>VLOOKUP(E13514,dicionario!$A$1:$C13913,2,0)</f>
        <v>#N/A</v>
      </c>
      <c r="H13514" s="6" t="str">
        <f>VLOOKUP(E13514,dicionario!$A$1:$C13913,3,0)</f>
        <v>#N/A</v>
      </c>
    </row>
    <row r="13515">
      <c r="A13515" s="3">
        <v>45897.0</v>
      </c>
      <c r="B13515" s="4">
        <v>0.35555555555555557</v>
      </c>
      <c r="C13515" s="5" t="s">
        <v>85</v>
      </c>
      <c r="D13515" s="5" t="s">
        <v>1776</v>
      </c>
      <c r="E13515" s="6" t="s">
        <v>193</v>
      </c>
      <c r="F13515" s="5" t="s">
        <v>194</v>
      </c>
      <c r="G13515" s="6" t="str">
        <f>VLOOKUP(E13515,dicionario!$A$1:$C13914,2,0)</f>
        <v>Conirostrum speciosum</v>
      </c>
      <c r="H13515" s="6" t="str">
        <f>VLOOKUP(E13515,dicionario!$A$1:$C13914,3,0)</f>
        <v>figuinha-de-rabo-castanho</v>
      </c>
    </row>
    <row r="13516">
      <c r="A13516" s="3">
        <v>45897.0</v>
      </c>
      <c r="B13516" s="4">
        <v>0.35555555555555557</v>
      </c>
      <c r="C13516" s="5" t="s">
        <v>85</v>
      </c>
      <c r="D13516" s="5" t="s">
        <v>1776</v>
      </c>
      <c r="E13516" s="6" t="s">
        <v>111</v>
      </c>
      <c r="F13516" s="5" t="s">
        <v>112</v>
      </c>
      <c r="G13516" s="6" t="str">
        <f>VLOOKUP(E13516,dicionario!$A$1:$C13915,2,0)</f>
        <v>Trigona spinipes</v>
      </c>
      <c r="H13516" s="6" t="str">
        <f>VLOOKUP(E13516,dicionario!$A$1:$C13915,3,0)</f>
        <v>abelha-cachorro</v>
      </c>
    </row>
    <row r="13517">
      <c r="A13517" s="3">
        <v>45897.0</v>
      </c>
      <c r="B13517" s="4">
        <v>0.36041666666666666</v>
      </c>
      <c r="C13517" s="5" t="s">
        <v>90</v>
      </c>
      <c r="D13517" s="5" t="s">
        <v>1776</v>
      </c>
      <c r="E13517" s="8" t="s">
        <v>109</v>
      </c>
      <c r="F13517" s="5" t="s">
        <v>110</v>
      </c>
      <c r="G13517" s="6" t="str">
        <f>VLOOKUP(E13517,dicionario!$A$1:$C13916,2,0)</f>
        <v>Tillandsia stricta</v>
      </c>
      <c r="H13517" s="6" t="str">
        <f>VLOOKUP(E13517,dicionario!$A$1:$C13916,3,0)</f>
        <v>cravo-do-mato</v>
      </c>
    </row>
    <row r="13518">
      <c r="A13518" s="3">
        <v>45897.0</v>
      </c>
      <c r="B13518" s="4">
        <v>0.36041666666666666</v>
      </c>
      <c r="C13518" s="5" t="s">
        <v>90</v>
      </c>
      <c r="D13518" s="5" t="s">
        <v>1776</v>
      </c>
      <c r="E13518" s="8" t="s">
        <v>719</v>
      </c>
      <c r="F13518" s="5" t="s">
        <v>911</v>
      </c>
      <c r="G13518" s="6" t="str">
        <f>VLOOKUP(E13518,dicionario!$A$1:$C13917,2,0)</f>
        <v>Dirinaria</v>
      </c>
      <c r="H13518" s="6" t="str">
        <f>VLOOKUP(E13518,dicionario!$A$1:$C13917,3,0)</f>
        <v>líquen-crostoso</v>
      </c>
    </row>
    <row r="13519">
      <c r="A13519" s="3">
        <v>45897.0</v>
      </c>
      <c r="B13519" s="4">
        <v>0.36041666666666666</v>
      </c>
      <c r="C13519" s="5" t="s">
        <v>90</v>
      </c>
      <c r="D13519" s="5" t="s">
        <v>1776</v>
      </c>
      <c r="E13519" s="8" t="s">
        <v>712</v>
      </c>
      <c r="F13519" s="5" t="s">
        <v>912</v>
      </c>
      <c r="G13519" s="6" t="str">
        <f>VLOOKUP(E13519,dicionario!$A$1:$C13918,2,0)</f>
        <v>Flavopunctelia soredica</v>
      </c>
      <c r="H13519" s="6" t="str">
        <f>VLOOKUP(E13519,dicionario!$A$1:$C13918,3,0)</f>
        <v>líquen-folioso</v>
      </c>
    </row>
    <row r="13520">
      <c r="A13520" s="3">
        <v>45897.0</v>
      </c>
      <c r="B13520" s="4">
        <v>0.36041666666666666</v>
      </c>
      <c r="C13520" s="5" t="s">
        <v>90</v>
      </c>
      <c r="D13520" s="5" t="s">
        <v>1776</v>
      </c>
      <c r="E13520" s="8" t="s">
        <v>107</v>
      </c>
      <c r="F13520" s="5" t="s">
        <v>834</v>
      </c>
      <c r="G13520" s="6" t="str">
        <f>VLOOKUP(E13520,dicionario!$A$1:$C13919,2,0)</f>
        <v>Ramalina complanata</v>
      </c>
      <c r="H13520" s="6" t="str">
        <f>VLOOKUP(E13520,dicionario!$A$1:$C13919,3,0)</f>
        <v>ramalina</v>
      </c>
    </row>
    <row r="13521">
      <c r="A13521" s="3">
        <v>45897.0</v>
      </c>
      <c r="B13521" s="4">
        <v>0.36041666666666666</v>
      </c>
      <c r="C13521" s="5" t="s">
        <v>90</v>
      </c>
      <c r="D13521" s="5" t="s">
        <v>1776</v>
      </c>
      <c r="E13521" s="6" t="s">
        <v>65</v>
      </c>
      <c r="F13521" s="5" t="s">
        <v>66</v>
      </c>
      <c r="G13521" s="6" t="str">
        <f>VLOOKUP(E13521,dicionario!$A$1:$C13920,2,0)</f>
        <v>Pitangus sulphutarus</v>
      </c>
      <c r="H13521" s="6" t="str">
        <f>VLOOKUP(E13521,dicionario!$A$1:$C13920,3,0)</f>
        <v>bem-te-vi</v>
      </c>
    </row>
    <row r="13522">
      <c r="A13522" s="3">
        <v>45897.0</v>
      </c>
      <c r="B13522" s="4">
        <v>0.36041666666666666</v>
      </c>
      <c r="C13522" s="5" t="s">
        <v>90</v>
      </c>
      <c r="D13522" s="5" t="s">
        <v>1776</v>
      </c>
      <c r="E13522" s="8" t="s">
        <v>271</v>
      </c>
      <c r="F13522" s="5" t="s">
        <v>1169</v>
      </c>
      <c r="G13522" s="6" t="str">
        <f>VLOOKUP(E13522,dicionario!$A$1:$C13921,2,0)</f>
        <v>Cyanthillium cinereum</v>
      </c>
      <c r="H13522" s="6" t="str">
        <f>VLOOKUP(E13522,dicionario!$A$1:$C13921,3,0)</f>
        <v>emília</v>
      </c>
    </row>
    <row r="13523">
      <c r="A13523" s="3">
        <v>45897.0</v>
      </c>
      <c r="B13523" s="4">
        <v>0.36041666666666666</v>
      </c>
      <c r="C13523" s="5" t="s">
        <v>90</v>
      </c>
      <c r="D13523" s="5" t="s">
        <v>1776</v>
      </c>
      <c r="E13523" s="8" t="s">
        <v>150</v>
      </c>
      <c r="F13523" s="5" t="s">
        <v>151</v>
      </c>
      <c r="G13523" s="6" t="str">
        <f>VLOOKUP(E13523,dicionario!$A$1:$C13922,2,0)</f>
        <v>Amaranthus viridis</v>
      </c>
      <c r="H13523" s="6" t="str">
        <f>VLOOKUP(E13523,dicionario!$A$1:$C13922,3,0)</f>
        <v>caruru-de-mancha</v>
      </c>
    </row>
    <row r="13524">
      <c r="A13524" s="3">
        <v>45897.0</v>
      </c>
      <c r="B13524" s="4">
        <v>0.36041666666666666</v>
      </c>
      <c r="C13524" s="5" t="s">
        <v>90</v>
      </c>
      <c r="D13524" s="5" t="s">
        <v>1776</v>
      </c>
      <c r="E13524" s="6" t="s">
        <v>489</v>
      </c>
      <c r="F13524" s="5" t="s">
        <v>521</v>
      </c>
      <c r="G13524" s="6" t="str">
        <f>VLOOKUP(E13524,dicionario!$A$1:$C13923,2,0)</f>
        <v>Cenchrus echinatus</v>
      </c>
      <c r="H13524" s="6" t="str">
        <f>VLOOKUP(E13524,dicionario!$A$1:$C13923,3,0)</f>
        <v>capim-carrapicho</v>
      </c>
    </row>
    <row r="13525">
      <c r="A13525" s="3">
        <v>45897.0</v>
      </c>
      <c r="B13525" s="4">
        <v>0.3611111111111111</v>
      </c>
      <c r="C13525" s="5" t="s">
        <v>90</v>
      </c>
      <c r="D13525" s="5" t="s">
        <v>1776</v>
      </c>
      <c r="E13525" s="6" t="s">
        <v>290</v>
      </c>
      <c r="F13525" s="5" t="s">
        <v>291</v>
      </c>
      <c r="G13525" s="6" t="str">
        <f>VLOOKUP(E13525,dicionario!$A$1:$C13924,2,0)</f>
        <v>Drymaria cordata</v>
      </c>
      <c r="H13525" s="6" t="str">
        <f>VLOOKUP(E13525,dicionario!$A$1:$C13924,3,0)</f>
        <v>orelha-de-rato</v>
      </c>
    </row>
    <row r="13526">
      <c r="A13526" s="3">
        <v>45897.0</v>
      </c>
      <c r="B13526" s="4">
        <v>0.3611111111111111</v>
      </c>
      <c r="C13526" s="5" t="s">
        <v>90</v>
      </c>
      <c r="D13526" s="5" t="s">
        <v>1776</v>
      </c>
      <c r="E13526" s="8" t="s">
        <v>20</v>
      </c>
      <c r="F13526" s="5" t="s">
        <v>21</v>
      </c>
      <c r="G13526" s="6" t="str">
        <f>VLOOKUP(E13526,dicionario!$A$1:$C13925,2,0)</f>
        <v>Sicalis flaveola</v>
      </c>
      <c r="H13526" s="6" t="str">
        <f>VLOOKUP(E13526,dicionario!$A$1:$C13925,3,0)</f>
        <v>canário-da-terra</v>
      </c>
    </row>
    <row r="13527">
      <c r="A13527" s="3">
        <v>45897.0</v>
      </c>
      <c r="B13527" s="4">
        <v>0.3611111111111111</v>
      </c>
      <c r="C13527" s="5" t="s">
        <v>90</v>
      </c>
      <c r="D13527" s="5" t="s">
        <v>1776</v>
      </c>
      <c r="E13527" s="8" t="s">
        <v>498</v>
      </c>
      <c r="F13527" s="5" t="s">
        <v>499</v>
      </c>
      <c r="G13527" s="6" t="str">
        <f>VLOOKUP(E13527,dicionario!$A$1:$C13926,2,0)</f>
        <v>Brachiaria decumbens</v>
      </c>
      <c r="H13527" s="6" t="str">
        <f>VLOOKUP(E13527,dicionario!$A$1:$C13926,3,0)</f>
        <v>capim-braquiária</v>
      </c>
    </row>
    <row r="13528">
      <c r="A13528" s="3">
        <v>45897.0</v>
      </c>
      <c r="B13528" s="4">
        <v>0.3611111111111111</v>
      </c>
      <c r="C13528" s="5" t="s">
        <v>90</v>
      </c>
      <c r="D13528" s="5" t="s">
        <v>1776</v>
      </c>
      <c r="E13528" s="8" t="s">
        <v>135</v>
      </c>
      <c r="F13528" s="5" t="s">
        <v>136</v>
      </c>
      <c r="G13528" s="6" t="str">
        <f>VLOOKUP(E13528,dicionario!$A$1:$C13927,2,0)</f>
        <v>Tridax procumbens</v>
      </c>
      <c r="H13528" s="6" t="str">
        <f>VLOOKUP(E13528,dicionario!$A$1:$C13927,3,0)</f>
        <v>erva-de-touro</v>
      </c>
    </row>
    <row r="13529">
      <c r="A13529" s="3">
        <v>45897.0</v>
      </c>
      <c r="B13529" s="4">
        <v>0.3611111111111111</v>
      </c>
      <c r="C13529" s="5" t="s">
        <v>90</v>
      </c>
      <c r="D13529" s="5" t="s">
        <v>1776</v>
      </c>
      <c r="E13529" s="6" t="s">
        <v>88</v>
      </c>
      <c r="F13529" s="5" t="s">
        <v>89</v>
      </c>
      <c r="G13529" s="6" t="str">
        <f>VLOOKUP(E13529,dicionario!$A$1:$C13928,2,0)</f>
        <v>Tyrannus melancolichus</v>
      </c>
      <c r="H13529" s="6" t="str">
        <f>VLOOKUP(E13529,dicionario!$A$1:$C13928,3,0)</f>
        <v>suiriri</v>
      </c>
    </row>
    <row r="13530">
      <c r="A13530" s="3">
        <v>45897.0</v>
      </c>
      <c r="B13530" s="4">
        <v>0.3611111111111111</v>
      </c>
      <c r="C13530" s="5" t="s">
        <v>90</v>
      </c>
      <c r="D13530" s="5" t="s">
        <v>1776</v>
      </c>
      <c r="E13530" s="6" t="s">
        <v>302</v>
      </c>
      <c r="F13530" s="5" t="s">
        <v>303</v>
      </c>
      <c r="G13530" s="6" t="str">
        <f>VLOOKUP(E13530,dicionario!$A$1:$C13929,2,0)</f>
        <v>Machetornis rixosa</v>
      </c>
      <c r="H13530" s="6" t="str">
        <f>VLOOKUP(E13530,dicionario!$A$1:$C13929,3,0)</f>
        <v>suiriri-cavaleiro</v>
      </c>
    </row>
    <row r="13531">
      <c r="A13531" s="3">
        <v>45897.0</v>
      </c>
      <c r="B13531" s="4">
        <v>0.3611111111111111</v>
      </c>
      <c r="C13531" s="5" t="s">
        <v>90</v>
      </c>
      <c r="D13531" s="5" t="s">
        <v>1776</v>
      </c>
      <c r="E13531" s="8" t="s">
        <v>298</v>
      </c>
      <c r="F13531" s="5"/>
      <c r="G13531" s="6" t="str">
        <f>VLOOKUP(E13531,dicionario!$A$1:$C13930,2,0)</f>
        <v>Alysicarpus vaginalis</v>
      </c>
      <c r="H13531" s="6" t="str">
        <f>VLOOKUP(E13531,dicionario!$A$1:$C13930,3,0)</f>
        <v/>
      </c>
    </row>
    <row r="13532">
      <c r="A13532" s="3">
        <v>45897.0</v>
      </c>
      <c r="B13532" s="4">
        <v>0.3611111111111111</v>
      </c>
      <c r="C13532" s="5" t="s">
        <v>90</v>
      </c>
      <c r="D13532" s="5" t="s">
        <v>1776</v>
      </c>
      <c r="E13532" s="6" t="s">
        <v>215</v>
      </c>
      <c r="F13532" s="5" t="s">
        <v>216</v>
      </c>
      <c r="G13532" s="6" t="str">
        <f>VLOOKUP(E13532,dicionario!$A$1:$C13931,2,0)</f>
        <v>Pygochelidon cyanoleuca</v>
      </c>
      <c r="H13532" s="6" t="str">
        <f>VLOOKUP(E13532,dicionario!$A$1:$C13931,3,0)</f>
        <v>andorinha-pequena-de-casa</v>
      </c>
    </row>
    <row r="13533">
      <c r="A13533" s="3">
        <v>45897.0</v>
      </c>
      <c r="B13533" s="4">
        <v>0.3611111111111111</v>
      </c>
      <c r="C13533" s="5" t="s">
        <v>90</v>
      </c>
      <c r="D13533" s="5" t="s">
        <v>1776</v>
      </c>
      <c r="E13533" s="8" t="s">
        <v>338</v>
      </c>
      <c r="F13533" s="5" t="s">
        <v>238</v>
      </c>
      <c r="G13533" s="6" t="str">
        <f>VLOOKUP(E13533,dicionario!$A$1:$C13932,2,0)</f>
        <v>Atta</v>
      </c>
      <c r="H13533" s="6" t="str">
        <f>VLOOKUP(E13533,dicionario!$A$1:$C13932,3,0)</f>
        <v>saúva</v>
      </c>
    </row>
    <row r="13534">
      <c r="A13534" s="3">
        <v>45897.0</v>
      </c>
      <c r="B13534" s="4">
        <v>0.3611111111111111</v>
      </c>
      <c r="C13534" s="5" t="s">
        <v>90</v>
      </c>
      <c r="D13534" s="5" t="s">
        <v>1776</v>
      </c>
      <c r="E13534" s="8" t="s">
        <v>1503</v>
      </c>
      <c r="F13534" s="5" t="s">
        <v>1504</v>
      </c>
      <c r="G13534" s="6" t="str">
        <f>VLOOKUP(E13534,dicionario!$A$1:$C13933,2,0)</f>
        <v>#N/A</v>
      </c>
      <c r="H13534" s="6" t="str">
        <f>VLOOKUP(E13534,dicionario!$A$1:$C13933,3,0)</f>
        <v>#N/A</v>
      </c>
    </row>
    <row r="13535">
      <c r="A13535" s="3">
        <v>45897.0</v>
      </c>
      <c r="B13535" s="4">
        <v>0.36319444444444443</v>
      </c>
      <c r="C13535" s="5" t="s">
        <v>90</v>
      </c>
      <c r="D13535" s="5" t="s">
        <v>1776</v>
      </c>
      <c r="E13535" s="6" t="s">
        <v>227</v>
      </c>
      <c r="F13535" s="5" t="s">
        <v>228</v>
      </c>
      <c r="G13535" s="6" t="str">
        <f>VLOOKUP(E13535,dicionario!$A$1:$C13934,2,0)</f>
        <v>Indigofera hirsuta</v>
      </c>
      <c r="H13535" s="6" t="str">
        <f>VLOOKUP(E13535,dicionario!$A$1:$C13934,3,0)</f>
        <v>anileira</v>
      </c>
    </row>
    <row r="13536">
      <c r="A13536" s="3">
        <v>45897.0</v>
      </c>
      <c r="B13536" s="4">
        <v>0.36319444444444443</v>
      </c>
      <c r="C13536" s="5" t="s">
        <v>90</v>
      </c>
      <c r="D13536" s="5" t="s">
        <v>1776</v>
      </c>
      <c r="E13536" s="8" t="s">
        <v>14</v>
      </c>
      <c r="F13536" s="5" t="s">
        <v>15</v>
      </c>
      <c r="G13536" s="6" t="str">
        <f>VLOOKUP(E13536,dicionario!$A$1:$C13935,2,0)</f>
        <v>Spermacoce verticillata</v>
      </c>
      <c r="H13536" s="6" t="str">
        <f>VLOOKUP(E13536,dicionario!$A$1:$C13935,3,0)</f>
        <v>vassourinha-de-botão</v>
      </c>
    </row>
    <row r="13537">
      <c r="A13537" s="3">
        <v>45897.0</v>
      </c>
      <c r="B13537" s="4">
        <v>0.36319444444444443</v>
      </c>
      <c r="C13537" s="5" t="s">
        <v>90</v>
      </c>
      <c r="D13537" s="5" t="s">
        <v>1776</v>
      </c>
      <c r="E13537" s="6" t="s">
        <v>353</v>
      </c>
      <c r="F13537" s="5" t="s">
        <v>354</v>
      </c>
      <c r="G13537" s="6" t="str">
        <f>VLOOKUP(E13537,dicionario!$A$1:$C13936,2,0)</f>
        <v>Desmodium incanum</v>
      </c>
      <c r="H13537" s="6" t="str">
        <f>VLOOKUP(E13537,dicionario!$A$1:$C13936,3,0)</f>
        <v>pega-pega</v>
      </c>
    </row>
    <row r="13538">
      <c r="A13538" s="3">
        <v>45897.0</v>
      </c>
      <c r="B13538" s="4">
        <v>0.36319444444444443</v>
      </c>
      <c r="C13538" s="5" t="s">
        <v>90</v>
      </c>
      <c r="D13538" s="5" t="s">
        <v>1776</v>
      </c>
      <c r="E13538" s="6" t="s">
        <v>148</v>
      </c>
      <c r="F13538" s="5" t="s">
        <v>149</v>
      </c>
      <c r="G13538" s="6" t="str">
        <f>VLOOKUP(E13538,dicionario!$A$1:$C13937,2,0)</f>
        <v>Parthenium hysterophorus</v>
      </c>
      <c r="H13538" s="6" t="str">
        <f>VLOOKUP(E13538,dicionario!$A$1:$C13937,3,0)</f>
        <v>losna-branca</v>
      </c>
    </row>
    <row r="13539">
      <c r="A13539" s="3">
        <v>45897.0</v>
      </c>
      <c r="B13539" s="4">
        <v>0.36319444444444443</v>
      </c>
      <c r="C13539" s="5" t="s">
        <v>90</v>
      </c>
      <c r="D13539" s="5" t="s">
        <v>1776</v>
      </c>
      <c r="E13539" s="8" t="s">
        <v>752</v>
      </c>
      <c r="F13539" s="5" t="s">
        <v>969</v>
      </c>
      <c r="G13539" s="6" t="str">
        <f>VLOOKUP(E13539,dicionario!$A$1:$C13938,2,0)</f>
        <v>#N/A</v>
      </c>
      <c r="H13539" s="6" t="str">
        <f>VLOOKUP(E13539,dicionario!$A$1:$C13938,3,0)</f>
        <v>#N/A</v>
      </c>
    </row>
    <row r="13540">
      <c r="A13540" s="3">
        <v>45897.0</v>
      </c>
      <c r="B13540" s="4">
        <v>0.36319444444444443</v>
      </c>
      <c r="C13540" s="5" t="s">
        <v>90</v>
      </c>
      <c r="D13540" s="5" t="s">
        <v>1776</v>
      </c>
      <c r="E13540" s="6" t="s">
        <v>111</v>
      </c>
      <c r="F13540" s="5" t="s">
        <v>112</v>
      </c>
      <c r="G13540" s="6" t="str">
        <f>VLOOKUP(E13540,dicionario!$A$1:$C13939,2,0)</f>
        <v>Trigona spinipes</v>
      </c>
      <c r="H13540" s="6" t="str">
        <f>VLOOKUP(E13540,dicionario!$A$1:$C13939,3,0)</f>
        <v>abelha-cachorro</v>
      </c>
    </row>
    <row r="13541">
      <c r="A13541" s="3">
        <v>45897.0</v>
      </c>
      <c r="B13541" s="4">
        <v>0.36319444444444443</v>
      </c>
      <c r="C13541" s="5" t="s">
        <v>90</v>
      </c>
      <c r="D13541" s="5" t="s">
        <v>1776</v>
      </c>
      <c r="E13541" s="8" t="s">
        <v>360</v>
      </c>
      <c r="F13541" s="5" t="s">
        <v>361</v>
      </c>
      <c r="G13541" s="6" t="str">
        <f>VLOOKUP(E13541,dicionario!$A$1:$C13940,2,0)</f>
        <v>Chamaecrista rotundifolia</v>
      </c>
      <c r="H13541" s="6" t="str">
        <f>VLOOKUP(E13541,dicionario!$A$1:$C13940,3,0)</f>
        <v>alfafa-nativa</v>
      </c>
    </row>
    <row r="13542">
      <c r="A13542" s="3">
        <v>45897.0</v>
      </c>
      <c r="B13542" s="4">
        <v>0.36319444444444443</v>
      </c>
      <c r="C13542" s="5" t="s">
        <v>90</v>
      </c>
      <c r="D13542" s="5" t="s">
        <v>1776</v>
      </c>
      <c r="E13542" s="6" t="s">
        <v>53</v>
      </c>
      <c r="F13542" s="5" t="s">
        <v>54</v>
      </c>
      <c r="G13542" s="6" t="str">
        <f>VLOOKUP(E13542,dicionario!$A$1:$C13941,2,0)</f>
        <v>Turnera subulata</v>
      </c>
      <c r="H13542" s="6" t="str">
        <f>VLOOKUP(E13542,dicionario!$A$1:$C13941,3,0)</f>
        <v>xanana</v>
      </c>
    </row>
    <row r="13543">
      <c r="A13543" s="3">
        <v>45897.0</v>
      </c>
      <c r="B13543" s="4">
        <v>0.36319444444444443</v>
      </c>
      <c r="C13543" s="5" t="s">
        <v>90</v>
      </c>
      <c r="D13543" s="5" t="s">
        <v>1776</v>
      </c>
      <c r="E13543" s="6" t="s">
        <v>247</v>
      </c>
      <c r="F13543" s="5" t="s">
        <v>387</v>
      </c>
      <c r="G13543" s="6" t="str">
        <f>VLOOKUP(E13543,dicionario!$A$1:$C13942,2,0)</f>
        <v>Emilia sonchifolia</v>
      </c>
      <c r="H13543" s="6" t="str">
        <f>VLOOKUP(E13543,dicionario!$A$1:$C13942,3,0)</f>
        <v>serralinha</v>
      </c>
    </row>
    <row r="13544">
      <c r="A13544" s="3">
        <v>45897.0</v>
      </c>
      <c r="B13544" s="4">
        <v>0.3645833333333333</v>
      </c>
      <c r="C13544" s="5" t="s">
        <v>90</v>
      </c>
      <c r="D13544" s="5" t="s">
        <v>1776</v>
      </c>
      <c r="E13544" s="8" t="s">
        <v>271</v>
      </c>
      <c r="F13544" s="5" t="s">
        <v>1169</v>
      </c>
      <c r="G13544" s="6" t="str">
        <f>VLOOKUP(E13544,dicionario!$A$1:$C13943,2,0)</f>
        <v>Cyanthillium cinereum</v>
      </c>
      <c r="H13544" s="6" t="str">
        <f>VLOOKUP(E13544,dicionario!$A$1:$C13943,3,0)</f>
        <v>emília</v>
      </c>
    </row>
    <row r="13545">
      <c r="A13545" s="3">
        <v>45897.0</v>
      </c>
      <c r="B13545" s="4">
        <v>0.3645833333333333</v>
      </c>
      <c r="C13545" s="5" t="s">
        <v>90</v>
      </c>
      <c r="D13545" s="5" t="s">
        <v>1776</v>
      </c>
      <c r="E13545" s="6" t="s">
        <v>489</v>
      </c>
      <c r="F13545" s="5" t="s">
        <v>521</v>
      </c>
      <c r="G13545" s="6" t="str">
        <f>VLOOKUP(E13545,dicionario!$A$1:$C13944,2,0)</f>
        <v>Cenchrus echinatus</v>
      </c>
      <c r="H13545" s="6" t="str">
        <f>VLOOKUP(E13545,dicionario!$A$1:$C13944,3,0)</f>
        <v>capim-carrapicho</v>
      </c>
    </row>
    <row r="13546">
      <c r="A13546" s="3">
        <v>45897.0</v>
      </c>
      <c r="B13546" s="4">
        <v>0.3645833333333333</v>
      </c>
      <c r="C13546" s="5" t="s">
        <v>90</v>
      </c>
      <c r="D13546" s="5" t="s">
        <v>1776</v>
      </c>
      <c r="E13546" s="8" t="s">
        <v>16</v>
      </c>
      <c r="F13546" s="5" t="s">
        <v>17</v>
      </c>
      <c r="G13546" s="6" t="str">
        <f>VLOOKUP(E13546,dicionario!$A$1:$C13945,2,0)</f>
        <v>Eupetomena macroura</v>
      </c>
      <c r="H13546" s="6" t="str">
        <f>VLOOKUP(E13546,dicionario!$A$1:$C13945,3,0)</f>
        <v>beija-flor-tesoura</v>
      </c>
    </row>
    <row r="13547">
      <c r="A13547" s="3">
        <v>45904.0</v>
      </c>
      <c r="B13547" s="4">
        <v>0.2625</v>
      </c>
      <c r="C13547" s="5" t="s">
        <v>1792</v>
      </c>
      <c r="D13547" s="5" t="s">
        <v>1793</v>
      </c>
      <c r="E13547" s="8" t="s">
        <v>712</v>
      </c>
      <c r="F13547" s="5" t="s">
        <v>912</v>
      </c>
      <c r="G13547" s="6" t="str">
        <f>VLOOKUP(E13547,dicionario!$A$1:$C13946,2,0)</f>
        <v>Flavopunctelia soredica</v>
      </c>
      <c r="H13547" s="6" t="str">
        <f>VLOOKUP(E13547,dicionario!$A$1:$C13946,3,0)</f>
        <v>líquen-folioso</v>
      </c>
    </row>
    <row r="13548">
      <c r="A13548" s="3">
        <v>45904.0</v>
      </c>
      <c r="B13548" s="4">
        <v>0.2625</v>
      </c>
      <c r="C13548" s="5" t="s">
        <v>90</v>
      </c>
      <c r="D13548" s="5" t="s">
        <v>1793</v>
      </c>
      <c r="E13548" s="8" t="s">
        <v>719</v>
      </c>
      <c r="F13548" s="5" t="s">
        <v>911</v>
      </c>
      <c r="G13548" s="6" t="str">
        <f>VLOOKUP(E13548,dicionario!$A$1:$C13947,2,0)</f>
        <v>Dirinaria</v>
      </c>
      <c r="H13548" s="6" t="str">
        <f>VLOOKUP(E13548,dicionario!$A$1:$C13947,3,0)</f>
        <v>líquen-crostoso</v>
      </c>
    </row>
    <row r="13549">
      <c r="A13549" s="3">
        <v>45904.0</v>
      </c>
      <c r="B13549" s="4">
        <v>0.2625</v>
      </c>
      <c r="C13549" s="5" t="s">
        <v>90</v>
      </c>
      <c r="D13549" s="5" t="s">
        <v>1793</v>
      </c>
      <c r="E13549" s="8" t="s">
        <v>107</v>
      </c>
      <c r="F13549" s="5" t="s">
        <v>834</v>
      </c>
      <c r="G13549" s="6" t="str">
        <f>VLOOKUP(E13549,dicionario!$A$1:$C13948,2,0)</f>
        <v>Ramalina complanata</v>
      </c>
      <c r="H13549" s="6" t="str">
        <f>VLOOKUP(E13549,dicionario!$A$1:$C13948,3,0)</f>
        <v>ramalina</v>
      </c>
    </row>
    <row r="13550">
      <c r="A13550" s="3">
        <v>45904.0</v>
      </c>
      <c r="B13550" s="4">
        <v>0.2625</v>
      </c>
      <c r="C13550" s="5" t="s">
        <v>90</v>
      </c>
      <c r="D13550" s="5" t="s">
        <v>1793</v>
      </c>
      <c r="E13550" s="8" t="s">
        <v>38</v>
      </c>
      <c r="F13550" s="5" t="s">
        <v>1672</v>
      </c>
      <c r="G13550" s="6" t="str">
        <f>VLOOKUP(E13550,dicionario!$A$1:$C13949,2,0)</f>
        <v>Troglodytes musculus</v>
      </c>
      <c r="H13550" s="6" t="str">
        <f>VLOOKUP(E13550,dicionario!$A$1:$C13949,3,0)</f>
        <v>curruíra</v>
      </c>
    </row>
    <row r="13551">
      <c r="A13551" s="3">
        <v>45904.0</v>
      </c>
      <c r="B13551" s="4">
        <v>0.2625</v>
      </c>
      <c r="C13551" s="5" t="s">
        <v>90</v>
      </c>
      <c r="D13551" s="5" t="s">
        <v>1793</v>
      </c>
      <c r="E13551" s="8" t="s">
        <v>109</v>
      </c>
      <c r="F13551" s="5" t="s">
        <v>110</v>
      </c>
      <c r="G13551" s="6" t="str">
        <f>VLOOKUP(E13551,dicionario!$A$1:$C13950,2,0)</f>
        <v>Tillandsia stricta</v>
      </c>
      <c r="H13551" s="6" t="str">
        <f>VLOOKUP(E13551,dicionario!$A$1:$C13950,3,0)</f>
        <v>cravo-do-mato</v>
      </c>
    </row>
    <row r="13552">
      <c r="A13552" s="3">
        <v>45904.0</v>
      </c>
      <c r="B13552" s="4">
        <v>0.2625</v>
      </c>
      <c r="C13552" s="5" t="s">
        <v>90</v>
      </c>
      <c r="D13552" s="5" t="s">
        <v>1793</v>
      </c>
      <c r="E13552" s="6" t="s">
        <v>65</v>
      </c>
      <c r="F13552" s="5" t="s">
        <v>66</v>
      </c>
      <c r="G13552" s="6" t="str">
        <f>VLOOKUP(E13552,dicionario!$A$1:$C13951,2,0)</f>
        <v>Pitangus sulphutarus</v>
      </c>
      <c r="H13552" s="6" t="str">
        <f>VLOOKUP(E13552,dicionario!$A$1:$C13951,3,0)</f>
        <v>bem-te-vi</v>
      </c>
    </row>
    <row r="13553">
      <c r="A13553" s="3">
        <v>45904.0</v>
      </c>
      <c r="B13553" s="4">
        <v>0.26319444444444445</v>
      </c>
      <c r="C13553" s="5" t="s">
        <v>90</v>
      </c>
      <c r="D13553" s="5" t="s">
        <v>1793</v>
      </c>
      <c r="E13553" s="6" t="s">
        <v>88</v>
      </c>
      <c r="F13553" s="5" t="s">
        <v>89</v>
      </c>
      <c r="G13553" s="6" t="str">
        <f>VLOOKUP(E13553,dicionario!$A$1:$C13952,2,0)</f>
        <v>Tyrannus melancolichus</v>
      </c>
      <c r="H13553" s="6" t="str">
        <f>VLOOKUP(E13553,dicionario!$A$1:$C13952,3,0)</f>
        <v>suiriri</v>
      </c>
    </row>
    <row r="13554">
      <c r="A13554" s="3">
        <v>45904.0</v>
      </c>
      <c r="B13554" s="4">
        <v>0.26319444444444445</v>
      </c>
      <c r="C13554" s="5" t="s">
        <v>90</v>
      </c>
      <c r="D13554" s="5" t="s">
        <v>1793</v>
      </c>
      <c r="E13554" s="6" t="s">
        <v>22</v>
      </c>
      <c r="F13554" s="5" t="s">
        <v>97</v>
      </c>
      <c r="G13554" s="6" t="str">
        <f>VLOOKUP(E13554,dicionario!$A$1:$C13953,2,0)</f>
        <v>Zenaida auriculata</v>
      </c>
      <c r="H13554" s="6" t="str">
        <f>VLOOKUP(E13554,dicionario!$A$1:$C13953,3,0)</f>
        <v>pomba-de-bando; avoante</v>
      </c>
    </row>
    <row r="13555">
      <c r="A13555" s="3">
        <v>45904.0</v>
      </c>
      <c r="B13555" s="4">
        <v>0.26319444444444445</v>
      </c>
      <c r="C13555" s="5" t="s">
        <v>90</v>
      </c>
      <c r="D13555" s="5" t="s">
        <v>1793</v>
      </c>
      <c r="E13555" s="6" t="s">
        <v>72</v>
      </c>
      <c r="F13555" s="5" t="s">
        <v>73</v>
      </c>
      <c r="G13555" s="6" t="str">
        <f>VLOOKUP(E13555,dicionario!$A$1:$C13954,2,0)</f>
        <v>Thraupis palmarum</v>
      </c>
      <c r="H13555" s="6" t="str">
        <f>VLOOKUP(E13555,dicionario!$A$1:$C13954,3,0)</f>
        <v>sanhaço-do-coqueiro</v>
      </c>
    </row>
    <row r="13556">
      <c r="A13556" s="3">
        <v>45904.0</v>
      </c>
      <c r="B13556" s="4">
        <v>0.2638888888888889</v>
      </c>
      <c r="C13556" s="5" t="s">
        <v>90</v>
      </c>
      <c r="D13556" s="5" t="s">
        <v>1793</v>
      </c>
      <c r="E13556" s="28" t="s">
        <v>560</v>
      </c>
      <c r="F13556" s="5" t="s">
        <v>561</v>
      </c>
      <c r="G13556" s="6" t="str">
        <f>VLOOKUP(E13556,dicionario!$A$1:$C13955,2,0)</f>
        <v>Megarynchus pitangua</v>
      </c>
      <c r="H13556" s="6" t="str">
        <f>VLOOKUP(E13556,dicionario!$A$1:$C13955,3,0)</f>
        <v>neinei</v>
      </c>
    </row>
    <row r="13557">
      <c r="A13557" s="3">
        <v>45904.0</v>
      </c>
      <c r="B13557" s="4">
        <v>0.2638888888888889</v>
      </c>
      <c r="C13557" s="5" t="s">
        <v>90</v>
      </c>
      <c r="D13557" s="5" t="s">
        <v>1793</v>
      </c>
      <c r="E13557" s="6" t="s">
        <v>122</v>
      </c>
      <c r="F13557" s="5" t="s">
        <v>123</v>
      </c>
      <c r="G13557" s="6" t="str">
        <f>VLOOKUP(E13557,dicionario!$A$1:$C13956,2,0)</f>
        <v>Todirostrum cinereum</v>
      </c>
      <c r="H13557" s="6" t="str">
        <f>VLOOKUP(E13557,dicionario!$A$1:$C13956,3,0)</f>
        <v>ferreirinho-relógio</v>
      </c>
    </row>
    <row r="13558">
      <c r="A13558" s="3">
        <v>45904.0</v>
      </c>
      <c r="B13558" s="4">
        <v>0.2638888888888889</v>
      </c>
      <c r="C13558" s="5" t="s">
        <v>90</v>
      </c>
      <c r="D13558" s="5" t="s">
        <v>1793</v>
      </c>
      <c r="E13558" s="6" t="s">
        <v>191</v>
      </c>
      <c r="F13558" s="5" t="s">
        <v>192</v>
      </c>
      <c r="G13558" s="6" t="str">
        <f>VLOOKUP(E13558,dicionario!$A$1:$C13957,2,0)</f>
        <v>Patagioenas picazuro</v>
      </c>
      <c r="H13558" s="6" t="str">
        <f>VLOOKUP(E13558,dicionario!$A$1:$C13957,3,0)</f>
        <v>asa-branca; pomba-asa-branca; pocaçu</v>
      </c>
    </row>
    <row r="13559">
      <c r="A13559" s="3">
        <v>45904.0</v>
      </c>
      <c r="B13559" s="4">
        <v>0.2638888888888889</v>
      </c>
      <c r="C13559" s="5" t="s">
        <v>90</v>
      </c>
      <c r="D13559" s="5" t="s">
        <v>1793</v>
      </c>
      <c r="E13559" s="8" t="s">
        <v>43</v>
      </c>
      <c r="F13559" s="5" t="s">
        <v>1040</v>
      </c>
      <c r="G13559" s="6" t="str">
        <f>VLOOKUP(E13559,dicionario!$A$1:$C13958,2,0)</f>
        <v>Columba livia</v>
      </c>
      <c r="H13559" s="6" t="str">
        <f>VLOOKUP(E13559,dicionario!$A$1:$C13958,3,0)</f>
        <v>pombo-doméstico</v>
      </c>
    </row>
    <row r="13560">
      <c r="A13560" s="3">
        <v>45904.0</v>
      </c>
      <c r="B13560" s="4">
        <v>0.2638888888888889</v>
      </c>
      <c r="C13560" s="5" t="s">
        <v>90</v>
      </c>
      <c r="D13560" s="5" t="s">
        <v>1793</v>
      </c>
      <c r="E13560" s="8" t="s">
        <v>48</v>
      </c>
      <c r="F13560" s="5" t="s">
        <v>49</v>
      </c>
      <c r="G13560" s="6" t="str">
        <f>VLOOKUP(E13560,dicionario!$A$1:$C13959,2,0)</f>
        <v>Commelina erecta</v>
      </c>
      <c r="H13560" s="6" t="str">
        <f>VLOOKUP(E13560,dicionario!$A$1:$C13959,3,0)</f>
        <v>trapoeraba</v>
      </c>
    </row>
    <row r="13561">
      <c r="A13561" s="3">
        <v>45904.0</v>
      </c>
      <c r="B13561" s="4">
        <v>0.26458333333333334</v>
      </c>
      <c r="C13561" s="5" t="s">
        <v>90</v>
      </c>
      <c r="D13561" s="5" t="s">
        <v>1793</v>
      </c>
      <c r="E13561" s="8" t="s">
        <v>498</v>
      </c>
      <c r="F13561" s="5" t="s">
        <v>499</v>
      </c>
      <c r="G13561" s="6" t="str">
        <f>VLOOKUP(E13561,dicionario!$A$1:$C13960,2,0)</f>
        <v>Brachiaria decumbens</v>
      </c>
      <c r="H13561" s="6" t="str">
        <f>VLOOKUP(E13561,dicionario!$A$1:$C13960,3,0)</f>
        <v>capim-braquiária</v>
      </c>
    </row>
    <row r="13562">
      <c r="A13562" s="3">
        <v>45904.0</v>
      </c>
      <c r="B13562" s="4">
        <v>0.26458333333333334</v>
      </c>
      <c r="C13562" s="5" t="s">
        <v>90</v>
      </c>
      <c r="D13562" s="5" t="s">
        <v>1793</v>
      </c>
      <c r="E13562" s="8" t="s">
        <v>298</v>
      </c>
      <c r="F13562" s="5"/>
      <c r="G13562" s="6" t="str">
        <f>VLOOKUP(E13562,dicionario!$A$1:$C13961,2,0)</f>
        <v>Alysicarpus vaginalis</v>
      </c>
      <c r="H13562" s="6" t="str">
        <f>VLOOKUP(E13562,dicionario!$A$1:$C13961,3,0)</f>
        <v/>
      </c>
    </row>
    <row r="13563">
      <c r="A13563" s="3">
        <v>45904.0</v>
      </c>
      <c r="B13563" s="4">
        <v>0.26458333333333334</v>
      </c>
      <c r="C13563" s="5" t="s">
        <v>90</v>
      </c>
      <c r="D13563" s="5" t="s">
        <v>1793</v>
      </c>
      <c r="E13563" s="8" t="s">
        <v>611</v>
      </c>
      <c r="F13563" s="5" t="s">
        <v>940</v>
      </c>
      <c r="G13563" s="6" t="str">
        <f>VLOOKUP(E13563,dicionario!$A$1:$C13962,2,0)</f>
        <v>Boehmeria cylindrica</v>
      </c>
      <c r="H13563" s="6" t="str">
        <f>VLOOKUP(E13563,dicionario!$A$1:$C13962,3,0)</f>
        <v>falsa-urtiga</v>
      </c>
    </row>
    <row r="13564">
      <c r="A13564" s="3">
        <v>45904.0</v>
      </c>
      <c r="B13564" s="4">
        <v>0.26458333333333334</v>
      </c>
      <c r="C13564" s="5" t="s">
        <v>90</v>
      </c>
      <c r="D13564" s="5" t="s">
        <v>1793</v>
      </c>
      <c r="E13564" s="12" t="s">
        <v>152</v>
      </c>
      <c r="F13564" s="5" t="s">
        <v>153</v>
      </c>
      <c r="G13564" s="6" t="str">
        <f>VLOOKUP(E13564,dicionario!$A$1:$C13963,2,0)</f>
        <v>Cynodon dactylon</v>
      </c>
      <c r="H13564" s="6" t="str">
        <f>VLOOKUP(E13564,dicionario!$A$1:$C13963,3,0)</f>
        <v>grama-bermuda</v>
      </c>
    </row>
    <row r="13565">
      <c r="A13565" s="3">
        <v>45904.0</v>
      </c>
      <c r="B13565" s="4">
        <v>0.2652777777777778</v>
      </c>
      <c r="C13565" s="5" t="s">
        <v>90</v>
      </c>
      <c r="D13565" s="5" t="s">
        <v>1793</v>
      </c>
      <c r="E13565" s="6" t="s">
        <v>116</v>
      </c>
      <c r="F13565" s="5" t="s">
        <v>117</v>
      </c>
      <c r="G13565" s="6" t="str">
        <f>VLOOKUP(E13565,dicionario!$A$1:$C13964,2,0)</f>
        <v>Argiope argentata</v>
      </c>
      <c r="H13565" s="6" t="str">
        <f>VLOOKUP(E13565,dicionario!$A$1:$C13964,3,0)</f>
        <v>aranha-de-prata</v>
      </c>
    </row>
    <row r="13566">
      <c r="A13566" s="3">
        <v>45904.0</v>
      </c>
      <c r="B13566" s="4">
        <v>0.2652777777777778</v>
      </c>
      <c r="C13566" s="5" t="s">
        <v>90</v>
      </c>
      <c r="D13566" s="5" t="s">
        <v>1793</v>
      </c>
      <c r="E13566" s="6" t="s">
        <v>317</v>
      </c>
      <c r="F13566" s="5" t="s">
        <v>318</v>
      </c>
      <c r="G13566" s="6" t="str">
        <f>VLOOKUP(E13566,dicionario!$A$1:$C13965,2,0)</f>
        <v>Leucauge argyra</v>
      </c>
      <c r="H13566" s="6" t="str">
        <f>VLOOKUP(E13566,dicionario!$A$1:$C13965,3,0)</f>
        <v>aranha-de-mandibula-longa</v>
      </c>
    </row>
    <row r="13567">
      <c r="A13567" s="3">
        <v>45904.0</v>
      </c>
      <c r="B13567" s="4">
        <v>0.2652777777777778</v>
      </c>
      <c r="C13567" s="5" t="s">
        <v>90</v>
      </c>
      <c r="D13567" s="5" t="s">
        <v>1793</v>
      </c>
      <c r="E13567" s="6" t="s">
        <v>141</v>
      </c>
      <c r="F13567" s="5" t="s">
        <v>142</v>
      </c>
      <c r="G13567" s="6" t="str">
        <f>VLOOKUP(E13567,dicionario!$A$1:$C13966,2,0)</f>
        <v>Ruellia blechum</v>
      </c>
      <c r="H13567" s="6" t="str">
        <f>VLOOKUP(E13567,dicionario!$A$1:$C13966,3,0)</f>
        <v>camarão-verde</v>
      </c>
    </row>
    <row r="13568">
      <c r="A13568" s="3">
        <v>45904.0</v>
      </c>
      <c r="B13568" s="4">
        <v>0.2652777777777778</v>
      </c>
      <c r="C13568" s="5" t="s">
        <v>90</v>
      </c>
      <c r="D13568" s="5" t="s">
        <v>1793</v>
      </c>
      <c r="E13568" s="6" t="s">
        <v>225</v>
      </c>
      <c r="F13568" s="5" t="s">
        <v>226</v>
      </c>
      <c r="G13568" s="6" t="str">
        <f>VLOOKUP(E13568,dicionario!$A$1:$C13967,2,0)</f>
        <v>Passer domesticus</v>
      </c>
      <c r="H13568" s="6" t="str">
        <f>VLOOKUP(E13568,dicionario!$A$1:$C13967,3,0)</f>
        <v>pardal</v>
      </c>
    </row>
    <row r="13569">
      <c r="A13569" s="3">
        <v>45904.0</v>
      </c>
      <c r="B13569" s="4">
        <v>0.2652777777777778</v>
      </c>
      <c r="C13569" s="5" t="s">
        <v>90</v>
      </c>
      <c r="D13569" s="5" t="s">
        <v>1793</v>
      </c>
      <c r="E13569" s="6" t="s">
        <v>213</v>
      </c>
      <c r="F13569" s="5" t="s">
        <v>1573</v>
      </c>
      <c r="G13569" s="6" t="str">
        <f>VLOOKUP(E13569,dicionario!$A$1:$C13968,2,0)</f>
        <v>Myiozetetes similis</v>
      </c>
      <c r="H13569" s="6" t="str">
        <f>VLOOKUP(E13569,dicionario!$A$1:$C13968,3,0)</f>
        <v>bentevizinho-de-penacho-vermelho</v>
      </c>
    </row>
    <row r="13570">
      <c r="A13570" s="3">
        <v>45904.0</v>
      </c>
      <c r="B13570" s="4">
        <v>0.2652777777777778</v>
      </c>
      <c r="C13570" s="5" t="s">
        <v>90</v>
      </c>
      <c r="D13570" s="5" t="s">
        <v>1793</v>
      </c>
      <c r="E13570" s="8" t="s">
        <v>162</v>
      </c>
      <c r="F13570" s="5" t="s">
        <v>42</v>
      </c>
      <c r="G13570" s="6" t="str">
        <f>VLOOKUP(E13570,dicionario!$A$1:$C13969,2,0)</f>
        <v>Fluvicola nengeta</v>
      </c>
      <c r="H13570" s="6" t="str">
        <f>VLOOKUP(E13570,dicionario!$A$1:$C13969,3,0)</f>
        <v>lavadeira-mascarada</v>
      </c>
    </row>
    <row r="13571">
      <c r="A13571" s="3">
        <v>45904.0</v>
      </c>
      <c r="B13571" s="4">
        <v>0.26666666666666666</v>
      </c>
      <c r="C13571" s="5" t="s">
        <v>90</v>
      </c>
      <c r="D13571" s="5" t="s">
        <v>1793</v>
      </c>
      <c r="E13571" s="6" t="s">
        <v>113</v>
      </c>
      <c r="F13571" s="5" t="s">
        <v>114</v>
      </c>
      <c r="G13571" s="6" t="str">
        <f>VLOOKUP(E13571,dicionario!$A$1:$C13970,2,0)</f>
        <v>Columbina talpacoti</v>
      </c>
      <c r="H13571" s="6" t="str">
        <f>VLOOKUP(E13571,dicionario!$A$1:$C13970,3,0)</f>
        <v>rolinha-roxa</v>
      </c>
    </row>
    <row r="13572">
      <c r="A13572" s="3">
        <v>45904.0</v>
      </c>
      <c r="B13572" s="4">
        <v>0.26666666666666666</v>
      </c>
      <c r="C13572" s="5" t="s">
        <v>90</v>
      </c>
      <c r="D13572" s="5" t="s">
        <v>1793</v>
      </c>
      <c r="E13572" s="6" t="s">
        <v>60</v>
      </c>
      <c r="F13572" s="5" t="s">
        <v>61</v>
      </c>
      <c r="G13572" s="6" t="str">
        <f>VLOOKUP(E13572,dicionario!$A$1:$C13971,2,0)</f>
        <v>Vanellus chilensis</v>
      </c>
      <c r="H13572" s="6" t="str">
        <f>VLOOKUP(E13572,dicionario!$A$1:$C13971,3,0)</f>
        <v>quero-quero</v>
      </c>
    </row>
    <row r="13573">
      <c r="A13573" s="3">
        <v>45904.0</v>
      </c>
      <c r="B13573" s="4">
        <v>0.2673611111111111</v>
      </c>
      <c r="C13573" s="5" t="s">
        <v>90</v>
      </c>
      <c r="D13573" s="5" t="s">
        <v>1793</v>
      </c>
      <c r="E13573" s="8" t="s">
        <v>1344</v>
      </c>
      <c r="F13573" s="5" t="s">
        <v>47</v>
      </c>
      <c r="G13573" s="6" t="str">
        <f>VLOOKUP(E13573,dicionario!$A$1:$C13972,2,0)</f>
        <v>#N/A</v>
      </c>
      <c r="H13573" s="6" t="str">
        <f>VLOOKUP(E13573,dicionario!$A$1:$C13972,3,0)</f>
        <v>#N/A</v>
      </c>
    </row>
    <row r="13574">
      <c r="A13574" s="3">
        <v>45904.0</v>
      </c>
      <c r="B13574" s="4">
        <v>0.2673611111111111</v>
      </c>
      <c r="C13574" s="5" t="s">
        <v>90</v>
      </c>
      <c r="D13574" s="5" t="s">
        <v>1793</v>
      </c>
      <c r="E13574" s="8" t="s">
        <v>1192</v>
      </c>
      <c r="F13574" s="5" t="s">
        <v>92</v>
      </c>
      <c r="G13574" s="6" t="str">
        <f>VLOOKUP(E13574,dicionario!$A$1:$C13973,2,0)</f>
        <v>#N/A</v>
      </c>
      <c r="H13574" s="6" t="str">
        <f>VLOOKUP(E13574,dicionario!$A$1:$C13973,3,0)</f>
        <v>#N/A</v>
      </c>
    </row>
    <row r="13575">
      <c r="A13575" s="3">
        <v>45904.0</v>
      </c>
      <c r="B13575" s="4">
        <v>0.26875</v>
      </c>
      <c r="C13575" s="5" t="s">
        <v>90</v>
      </c>
      <c r="D13575" s="5" t="s">
        <v>1793</v>
      </c>
      <c r="E13575" s="6" t="s">
        <v>86</v>
      </c>
      <c r="F13575" s="5" t="s">
        <v>502</v>
      </c>
      <c r="G13575" s="6" t="str">
        <f>VLOOKUP(E13575,dicionario!$A$1:$C13974,2,0)</f>
        <v>Coereba flaveola</v>
      </c>
      <c r="H13575" s="6" t="str">
        <f>VLOOKUP(E13575,dicionario!$A$1:$C13974,3,0)</f>
        <v>cambacica</v>
      </c>
    </row>
    <row r="13576">
      <c r="A13576" s="3">
        <v>45904.0</v>
      </c>
      <c r="B13576" s="4">
        <v>0.26875</v>
      </c>
      <c r="C13576" s="5" t="s">
        <v>90</v>
      </c>
      <c r="D13576" s="5" t="s">
        <v>1793</v>
      </c>
      <c r="E13576" s="8" t="s">
        <v>1018</v>
      </c>
      <c r="F13576" s="5" t="s">
        <v>414</v>
      </c>
      <c r="G13576" s="6" t="str">
        <f>VLOOKUP(E13576,dicionario!$A$1:$C13975,2,0)</f>
        <v>#N/A</v>
      </c>
      <c r="H13576" s="6" t="str">
        <f>VLOOKUP(E13576,dicionario!$A$1:$C13975,3,0)</f>
        <v>#N/A</v>
      </c>
    </row>
    <row r="13577">
      <c r="A13577" s="3">
        <v>45904.0</v>
      </c>
      <c r="B13577" s="4">
        <v>0.26875</v>
      </c>
      <c r="C13577" s="5" t="s">
        <v>90</v>
      </c>
      <c r="D13577" s="5" t="s">
        <v>1793</v>
      </c>
      <c r="E13577" s="6" t="s">
        <v>177</v>
      </c>
      <c r="F13577" s="5" t="s">
        <v>178</v>
      </c>
      <c r="G13577" s="6" t="str">
        <f>VLOOKUP(E13577,dicionario!$A$1:$C13976,2,0)</f>
        <v>Elaenia flavogaster</v>
      </c>
      <c r="H13577" s="6" t="str">
        <f>VLOOKUP(E13577,dicionario!$A$1:$C13976,3,0)</f>
        <v>guaracava-de-barriga-amarela</v>
      </c>
    </row>
    <row r="13578">
      <c r="A13578" s="3">
        <v>45904.0</v>
      </c>
      <c r="B13578" s="4">
        <v>0.26875</v>
      </c>
      <c r="C13578" s="5" t="s">
        <v>90</v>
      </c>
      <c r="D13578" s="5" t="s">
        <v>1793</v>
      </c>
      <c r="E13578" s="8" t="s">
        <v>245</v>
      </c>
      <c r="F13578" s="5" t="s">
        <v>1794</v>
      </c>
      <c r="G13578" s="6" t="str">
        <f>VLOOKUP(E13578,dicionario!$A$1:$C13977,2,0)</f>
        <v>Hemiargus hanno</v>
      </c>
      <c r="H13578" s="6" t="str">
        <f>VLOOKUP(E13578,dicionario!$A$1:$C13977,3,0)</f>
        <v>borboleta-azulzinha-do-trevo</v>
      </c>
    </row>
    <row r="13579">
      <c r="A13579" s="3">
        <v>45904.0</v>
      </c>
      <c r="B13579" s="4">
        <v>0.2701388888888889</v>
      </c>
      <c r="C13579" s="5" t="s">
        <v>90</v>
      </c>
      <c r="D13579" s="5" t="s">
        <v>1793</v>
      </c>
      <c r="E13579" s="6" t="s">
        <v>215</v>
      </c>
      <c r="F13579" s="5" t="s">
        <v>216</v>
      </c>
      <c r="G13579" s="6" t="str">
        <f>VLOOKUP(E13579,dicionario!$A$1:$C13978,2,0)</f>
        <v>Pygochelidon cyanoleuca</v>
      </c>
      <c r="H13579" s="6" t="str">
        <f>VLOOKUP(E13579,dicionario!$A$1:$C13978,3,0)</f>
        <v>andorinha-pequena-de-casa</v>
      </c>
    </row>
    <row r="13580">
      <c r="A13580" s="3">
        <v>45904.0</v>
      </c>
      <c r="B13580" s="4">
        <v>0.2701388888888889</v>
      </c>
      <c r="C13580" s="5" t="s">
        <v>90</v>
      </c>
      <c r="D13580" s="5" t="s">
        <v>1793</v>
      </c>
      <c r="E13580" s="8" t="s">
        <v>20</v>
      </c>
      <c r="F13580" s="5" t="s">
        <v>21</v>
      </c>
      <c r="G13580" s="6" t="str">
        <f>VLOOKUP(E13580,dicionario!$A$1:$C13979,2,0)</f>
        <v>Sicalis flaveola</v>
      </c>
      <c r="H13580" s="6" t="str">
        <f>VLOOKUP(E13580,dicionario!$A$1:$C13979,3,0)</f>
        <v>canário-da-terra</v>
      </c>
    </row>
    <row r="13581">
      <c r="A13581" s="3">
        <v>45904.0</v>
      </c>
      <c r="B13581" s="4">
        <v>0.2701388888888889</v>
      </c>
      <c r="C13581" s="5" t="s">
        <v>90</v>
      </c>
      <c r="D13581" s="5" t="s">
        <v>1793</v>
      </c>
      <c r="E13581" s="6" t="s">
        <v>191</v>
      </c>
      <c r="F13581" s="5" t="s">
        <v>192</v>
      </c>
      <c r="G13581" s="6" t="str">
        <f>VLOOKUP(E13581,dicionario!$A$1:$C13980,2,0)</f>
        <v>Patagioenas picazuro</v>
      </c>
      <c r="H13581" s="6" t="str">
        <f>VLOOKUP(E13581,dicionario!$A$1:$C13980,3,0)</f>
        <v>asa-branca; pomba-asa-branca; pocaçu</v>
      </c>
    </row>
    <row r="13582">
      <c r="A13582" s="3">
        <v>45904.0</v>
      </c>
      <c r="B13582" s="4">
        <v>0.2701388888888889</v>
      </c>
      <c r="C13582" s="5" t="s">
        <v>85</v>
      </c>
      <c r="D13582" s="5" t="s">
        <v>1793</v>
      </c>
      <c r="E13582" s="8" t="s">
        <v>109</v>
      </c>
      <c r="F13582" s="5" t="s">
        <v>110</v>
      </c>
      <c r="G13582" s="6" t="str">
        <f>VLOOKUP(E13582,dicionario!$A$1:$C13981,2,0)</f>
        <v>Tillandsia stricta</v>
      </c>
      <c r="H13582" s="6" t="str">
        <f>VLOOKUP(E13582,dicionario!$A$1:$C13981,3,0)</f>
        <v>cravo-do-mato</v>
      </c>
    </row>
    <row r="13583">
      <c r="A13583" s="3">
        <v>45904.0</v>
      </c>
      <c r="B13583" s="4">
        <v>0.2708333333333333</v>
      </c>
      <c r="C13583" s="5" t="s">
        <v>85</v>
      </c>
      <c r="D13583" s="5" t="s">
        <v>1793</v>
      </c>
      <c r="E13583" s="8" t="s">
        <v>1352</v>
      </c>
      <c r="F13583" s="5"/>
      <c r="G13583" s="6" t="str">
        <f>VLOOKUP(E13583,dicionario!$A$1:$C13982,2,0)</f>
        <v>#N/A</v>
      </c>
      <c r="H13583" s="6" t="str">
        <f>VLOOKUP(E13583,dicionario!$A$1:$C13982,3,0)</f>
        <v>#N/A</v>
      </c>
    </row>
    <row r="13584">
      <c r="A13584" s="3">
        <v>45904.0</v>
      </c>
      <c r="B13584" s="4">
        <v>0.2708333333333333</v>
      </c>
      <c r="C13584" s="5" t="s">
        <v>85</v>
      </c>
      <c r="D13584" s="5" t="s">
        <v>1793</v>
      </c>
      <c r="E13584" s="8" t="s">
        <v>271</v>
      </c>
      <c r="F13584" s="5" t="s">
        <v>1575</v>
      </c>
      <c r="G13584" s="6" t="str">
        <f>VLOOKUP(E13584,dicionario!$A$1:$C13983,2,0)</f>
        <v>Cyanthillium cinereum</v>
      </c>
      <c r="H13584" s="6" t="str">
        <f>VLOOKUP(E13584,dicionario!$A$1:$C13983,3,0)</f>
        <v>emília</v>
      </c>
    </row>
    <row r="13585">
      <c r="A13585" s="3">
        <v>45904.0</v>
      </c>
      <c r="B13585" s="4">
        <v>0.2708333333333333</v>
      </c>
      <c r="C13585" s="5" t="s">
        <v>85</v>
      </c>
      <c r="D13585" s="5" t="s">
        <v>1793</v>
      </c>
      <c r="E13585" s="8" t="s">
        <v>135</v>
      </c>
      <c r="F13585" s="5" t="s">
        <v>136</v>
      </c>
      <c r="G13585" s="6" t="str">
        <f>VLOOKUP(E13585,dicionario!$A$1:$C13984,2,0)</f>
        <v>Tridax procumbens</v>
      </c>
      <c r="H13585" s="6" t="str">
        <f>VLOOKUP(E13585,dicionario!$A$1:$C13984,3,0)</f>
        <v>erva-de-touro</v>
      </c>
    </row>
    <row r="13586">
      <c r="A13586" s="3">
        <v>45904.0</v>
      </c>
      <c r="B13586" s="4">
        <v>0.27152777777777776</v>
      </c>
      <c r="C13586" s="5" t="s">
        <v>85</v>
      </c>
      <c r="D13586" s="5" t="s">
        <v>1793</v>
      </c>
      <c r="E13586" s="8" t="s">
        <v>38</v>
      </c>
      <c r="F13586" s="5" t="s">
        <v>1672</v>
      </c>
      <c r="G13586" s="6" t="str">
        <f>VLOOKUP(E13586,dicionario!$A$1:$C13985,2,0)</f>
        <v>Troglodytes musculus</v>
      </c>
      <c r="H13586" s="6" t="str">
        <f>VLOOKUP(E13586,dicionario!$A$1:$C13985,3,0)</f>
        <v>curruíra</v>
      </c>
    </row>
    <row r="13587">
      <c r="A13587" s="3">
        <v>45904.0</v>
      </c>
      <c r="B13587" s="4">
        <v>0.27152777777777776</v>
      </c>
      <c r="C13587" s="5" t="s">
        <v>85</v>
      </c>
      <c r="D13587" s="5" t="s">
        <v>1793</v>
      </c>
      <c r="E13587" s="8" t="s">
        <v>712</v>
      </c>
      <c r="F13587" s="5" t="s">
        <v>912</v>
      </c>
      <c r="G13587" s="6" t="str">
        <f>VLOOKUP(E13587,dicionario!$A$1:$C13986,2,0)</f>
        <v>Flavopunctelia soredica</v>
      </c>
      <c r="H13587" s="6" t="str">
        <f>VLOOKUP(E13587,dicionario!$A$1:$C13986,3,0)</f>
        <v>líquen-folioso</v>
      </c>
    </row>
    <row r="13588">
      <c r="A13588" s="3">
        <v>45904.0</v>
      </c>
      <c r="B13588" s="4">
        <v>0.27152777777777776</v>
      </c>
      <c r="C13588" s="5" t="s">
        <v>85</v>
      </c>
      <c r="D13588" s="5" t="s">
        <v>1793</v>
      </c>
      <c r="E13588" s="8" t="s">
        <v>719</v>
      </c>
      <c r="F13588" s="5" t="s">
        <v>911</v>
      </c>
      <c r="G13588" s="6" t="str">
        <f>VLOOKUP(E13588,dicionario!$A$1:$C13987,2,0)</f>
        <v>Dirinaria</v>
      </c>
      <c r="H13588" s="6" t="str">
        <f>VLOOKUP(E13588,dicionario!$A$1:$C13987,3,0)</f>
        <v>líquen-crostoso</v>
      </c>
    </row>
    <row r="13589">
      <c r="A13589" s="3">
        <v>45904.0</v>
      </c>
      <c r="B13589" s="4">
        <v>0.27152777777777776</v>
      </c>
      <c r="C13589" s="5" t="s">
        <v>85</v>
      </c>
      <c r="D13589" s="5" t="s">
        <v>1793</v>
      </c>
      <c r="E13589" s="6" t="s">
        <v>72</v>
      </c>
      <c r="F13589" s="5" t="s">
        <v>764</v>
      </c>
      <c r="G13589" s="6" t="str">
        <f>VLOOKUP(E13589,dicionario!$A$1:$C13988,2,0)</f>
        <v>Thraupis palmarum</v>
      </c>
      <c r="H13589" s="6" t="str">
        <f>VLOOKUP(E13589,dicionario!$A$1:$C13988,3,0)</f>
        <v>sanhaço-do-coqueiro</v>
      </c>
    </row>
    <row r="13590">
      <c r="A13590" s="3">
        <v>45904.0</v>
      </c>
      <c r="B13590" s="4">
        <v>0.2722222222222222</v>
      </c>
      <c r="C13590" s="5" t="s">
        <v>85</v>
      </c>
      <c r="D13590" s="5" t="s">
        <v>1793</v>
      </c>
      <c r="E13590" s="8" t="s">
        <v>10</v>
      </c>
      <c r="F13590" s="5" t="s">
        <v>1545</v>
      </c>
      <c r="G13590" s="6" t="str">
        <f>VLOOKUP(E13590,dicionario!$A$1:$C13989,2,0)</f>
        <v>Guira guira</v>
      </c>
      <c r="H13590" s="6" t="str">
        <f>VLOOKUP(E13590,dicionario!$A$1:$C13989,3,0)</f>
        <v>anu-branco</v>
      </c>
    </row>
    <row r="13591">
      <c r="A13591" s="3">
        <v>45904.0</v>
      </c>
      <c r="B13591" s="4">
        <v>0.2722222222222222</v>
      </c>
      <c r="C13591" s="5" t="s">
        <v>85</v>
      </c>
      <c r="D13591" s="5" t="s">
        <v>1793</v>
      </c>
      <c r="E13591" s="8" t="s">
        <v>849</v>
      </c>
      <c r="F13591" s="5" t="s">
        <v>1457</v>
      </c>
      <c r="G13591" s="6" t="str">
        <f>VLOOKUP(E13591,dicionario!$A$1:$C13990,2,0)</f>
        <v>#N/A</v>
      </c>
      <c r="H13591" s="6" t="str">
        <f>VLOOKUP(E13591,dicionario!$A$1:$C13990,3,0)</f>
        <v>#N/A</v>
      </c>
    </row>
    <row r="13592">
      <c r="A13592" s="3">
        <v>45904.0</v>
      </c>
      <c r="B13592" s="4">
        <v>0.2722222222222222</v>
      </c>
      <c r="C13592" s="5" t="s">
        <v>85</v>
      </c>
      <c r="D13592" s="5" t="s">
        <v>1793</v>
      </c>
      <c r="E13592" s="8" t="s">
        <v>14</v>
      </c>
      <c r="F13592" s="5" t="s">
        <v>818</v>
      </c>
      <c r="G13592" s="6" t="str">
        <f>VLOOKUP(E13592,dicionario!$A$1:$C13991,2,0)</f>
        <v>Spermacoce verticillata</v>
      </c>
      <c r="H13592" s="6" t="str">
        <f>VLOOKUP(E13592,dicionario!$A$1:$C13991,3,0)</f>
        <v>vassourinha-de-botão</v>
      </c>
    </row>
    <row r="13593">
      <c r="A13593" s="3">
        <v>45904.0</v>
      </c>
      <c r="B13593" s="4">
        <v>0.27291666666666664</v>
      </c>
      <c r="C13593" s="5" t="s">
        <v>85</v>
      </c>
      <c r="D13593" s="5" t="s">
        <v>1793</v>
      </c>
      <c r="E13593" s="6" t="s">
        <v>154</v>
      </c>
      <c r="F13593" s="5" t="s">
        <v>155</v>
      </c>
      <c r="G13593" s="6" t="str">
        <f>VLOOKUP(E13593,dicionario!$A$1:$C13992,2,0)</f>
        <v>Cyperus rotundus</v>
      </c>
      <c r="H13593" s="6" t="str">
        <f>VLOOKUP(E13593,dicionario!$A$1:$C13992,3,0)</f>
        <v>tiririca</v>
      </c>
    </row>
    <row r="13594">
      <c r="A13594" s="3">
        <v>45904.0</v>
      </c>
      <c r="B13594" s="4">
        <v>0.27291666666666664</v>
      </c>
      <c r="C13594" s="5" t="s">
        <v>85</v>
      </c>
      <c r="D13594" s="5" t="s">
        <v>1793</v>
      </c>
      <c r="E13594" s="6" t="s">
        <v>86</v>
      </c>
      <c r="F13594" s="5" t="s">
        <v>502</v>
      </c>
      <c r="G13594" s="6" t="str">
        <f>VLOOKUP(E13594,dicionario!$A$1:$C13993,2,0)</f>
        <v>Coereba flaveola</v>
      </c>
      <c r="H13594" s="6" t="str">
        <f>VLOOKUP(E13594,dicionario!$A$1:$C13993,3,0)</f>
        <v>cambacica</v>
      </c>
    </row>
    <row r="13595">
      <c r="A13595" s="3">
        <v>45904.0</v>
      </c>
      <c r="B13595" s="4">
        <v>0.2743055555555556</v>
      </c>
      <c r="C13595" s="5" t="s">
        <v>85</v>
      </c>
      <c r="D13595" s="5" t="s">
        <v>1793</v>
      </c>
      <c r="E13595" s="20" t="s">
        <v>676</v>
      </c>
      <c r="F13595" s="5" t="s">
        <v>677</v>
      </c>
      <c r="G13595" s="6" t="str">
        <f>VLOOKUP(E13595,dicionario!$A$1:$C13994,2,0)</f>
        <v>Zornia latifolia</v>
      </c>
      <c r="H13595" s="6" t="str">
        <f>VLOOKUP(E13595,dicionario!$A$1:$C13994,3,0)</f>
        <v>arrozinho-do-campo</v>
      </c>
    </row>
    <row r="13596">
      <c r="A13596" s="3">
        <v>45904.0</v>
      </c>
      <c r="B13596" s="4">
        <v>0.275</v>
      </c>
      <c r="C13596" s="5" t="s">
        <v>85</v>
      </c>
      <c r="D13596" s="5" t="s">
        <v>1793</v>
      </c>
      <c r="E13596" s="6" t="s">
        <v>53</v>
      </c>
      <c r="F13596" s="5" t="s">
        <v>54</v>
      </c>
      <c r="G13596" s="6" t="str">
        <f>VLOOKUP(E13596,dicionario!$A$1:$C13995,2,0)</f>
        <v>Turnera subulata</v>
      </c>
      <c r="H13596" s="6" t="str">
        <f>VLOOKUP(E13596,dicionario!$A$1:$C13995,3,0)</f>
        <v>xanana</v>
      </c>
    </row>
    <row r="13597">
      <c r="A13597" s="3">
        <v>45904.0</v>
      </c>
      <c r="B13597" s="4">
        <v>0.275</v>
      </c>
      <c r="C13597" s="5" t="s">
        <v>85</v>
      </c>
      <c r="D13597" s="5" t="s">
        <v>1793</v>
      </c>
      <c r="E13597" s="6" t="s">
        <v>122</v>
      </c>
      <c r="F13597" s="5" t="s">
        <v>1453</v>
      </c>
      <c r="G13597" s="6" t="str">
        <f>VLOOKUP(E13597,dicionario!$A$1:$C13996,2,0)</f>
        <v>Todirostrum cinereum</v>
      </c>
      <c r="H13597" s="6" t="str">
        <f>VLOOKUP(E13597,dicionario!$A$1:$C13996,3,0)</f>
        <v>ferreirinho-relógio</v>
      </c>
    </row>
    <row r="13598">
      <c r="A13598" s="3">
        <v>45904.0</v>
      </c>
      <c r="B13598" s="4">
        <v>0.275</v>
      </c>
      <c r="C13598" s="5" t="s">
        <v>85</v>
      </c>
      <c r="D13598" s="5" t="s">
        <v>1793</v>
      </c>
      <c r="E13598" s="6" t="s">
        <v>111</v>
      </c>
      <c r="F13598" s="5" t="s">
        <v>112</v>
      </c>
      <c r="G13598" s="6" t="str">
        <f>VLOOKUP(E13598,dicionario!$A$1:$C13997,2,0)</f>
        <v>Trigona spinipes</v>
      </c>
      <c r="H13598" s="6" t="str">
        <f>VLOOKUP(E13598,dicionario!$A$1:$C13997,3,0)</f>
        <v>abelha-cachorro</v>
      </c>
    </row>
    <row r="13599">
      <c r="A13599" s="3">
        <v>45904.0</v>
      </c>
      <c r="B13599" s="4">
        <v>0.275</v>
      </c>
      <c r="C13599" s="5" t="s">
        <v>85</v>
      </c>
      <c r="D13599" s="5" t="s">
        <v>1793</v>
      </c>
      <c r="E13599" s="8" t="s">
        <v>20</v>
      </c>
      <c r="F13599" s="5" t="s">
        <v>21</v>
      </c>
      <c r="G13599" s="6" t="str">
        <f>VLOOKUP(E13599,dicionario!$A$1:$C13998,2,0)</f>
        <v>Sicalis flaveola</v>
      </c>
      <c r="H13599" s="6" t="str">
        <f>VLOOKUP(E13599,dicionario!$A$1:$C13998,3,0)</f>
        <v>canário-da-terra</v>
      </c>
    </row>
    <row r="13600">
      <c r="A13600" s="3">
        <v>45904.0</v>
      </c>
      <c r="B13600" s="4">
        <v>0.275</v>
      </c>
      <c r="C13600" s="5" t="s">
        <v>85</v>
      </c>
      <c r="D13600" s="5" t="s">
        <v>1793</v>
      </c>
      <c r="E13600" s="6" t="s">
        <v>383</v>
      </c>
      <c r="F13600" s="5" t="s">
        <v>384</v>
      </c>
      <c r="G13600" s="6" t="str">
        <f>VLOOKUP(E13600,dicionario!$A$1:$C13999,2,0)</f>
        <v>Setophaga pitiayumi</v>
      </c>
      <c r="H13600" s="6" t="str">
        <f>VLOOKUP(E13600,dicionario!$A$1:$C13999,3,0)</f>
        <v>mariquita</v>
      </c>
    </row>
    <row r="13601">
      <c r="A13601" s="3">
        <v>45904.0</v>
      </c>
      <c r="B13601" s="4">
        <v>0.275</v>
      </c>
      <c r="C13601" s="5" t="s">
        <v>85</v>
      </c>
      <c r="D13601" s="5" t="s">
        <v>1793</v>
      </c>
      <c r="E13601" s="6" t="s">
        <v>177</v>
      </c>
      <c r="F13601" s="5" t="s">
        <v>804</v>
      </c>
      <c r="G13601" s="6" t="str">
        <f>VLOOKUP(E13601,dicionario!$A$1:$C14000,2,0)</f>
        <v>Elaenia flavogaster</v>
      </c>
      <c r="H13601" s="6" t="str">
        <f>VLOOKUP(E13601,dicionario!$A$1:$C14000,3,0)</f>
        <v>guaracava-de-barriga-amarela</v>
      </c>
    </row>
    <row r="13602">
      <c r="A13602" s="3">
        <v>45904.0</v>
      </c>
      <c r="B13602" s="4">
        <v>0.275</v>
      </c>
      <c r="C13602" s="5" t="s">
        <v>85</v>
      </c>
      <c r="D13602" s="5" t="s">
        <v>1793</v>
      </c>
      <c r="E13602" s="8" t="s">
        <v>1344</v>
      </c>
      <c r="F13602" s="5" t="s">
        <v>47</v>
      </c>
      <c r="G13602" s="6" t="str">
        <f>VLOOKUP(E13602,dicionario!$A$1:$C14001,2,0)</f>
        <v>#N/A</v>
      </c>
      <c r="H13602" s="6" t="str">
        <f>VLOOKUP(E13602,dicionario!$A$1:$C14001,3,0)</f>
        <v>#N/A</v>
      </c>
    </row>
    <row r="13603">
      <c r="A13603" s="3">
        <v>45904.0</v>
      </c>
      <c r="B13603" s="4">
        <v>0.275</v>
      </c>
      <c r="C13603" s="5" t="s">
        <v>85</v>
      </c>
      <c r="D13603" s="5" t="s">
        <v>1793</v>
      </c>
      <c r="E13603" s="8" t="s">
        <v>200</v>
      </c>
      <c r="F13603" s="5" t="s">
        <v>201</v>
      </c>
      <c r="G13603" s="6" t="str">
        <f>VLOOKUP(E13603,dicionario!$A$1:$C14002,2,0)</f>
        <v>Columbina picui </v>
      </c>
      <c r="H13603" s="6" t="str">
        <f>VLOOKUP(E13603,dicionario!$A$1:$C14002,3,0)</f>
        <v>rolinha-picuí</v>
      </c>
    </row>
    <row r="13604">
      <c r="A13604" s="3">
        <v>45904.0</v>
      </c>
      <c r="B13604" s="4">
        <v>0.275</v>
      </c>
      <c r="C13604" s="5" t="s">
        <v>85</v>
      </c>
      <c r="D13604" s="5" t="s">
        <v>1793</v>
      </c>
      <c r="E13604" s="8" t="s">
        <v>360</v>
      </c>
      <c r="F13604" s="5" t="s">
        <v>361</v>
      </c>
      <c r="G13604" s="6" t="str">
        <f>VLOOKUP(E13604,dicionario!$A$1:$C14003,2,0)</f>
        <v>Chamaecrista rotundifolia</v>
      </c>
      <c r="H13604" s="6" t="str">
        <f>VLOOKUP(E13604,dicionario!$A$1:$C14003,3,0)</f>
        <v>alfafa-nativa</v>
      </c>
    </row>
    <row r="13605">
      <c r="A13605" s="3">
        <v>45904.0</v>
      </c>
      <c r="B13605" s="4">
        <v>0.27708333333333335</v>
      </c>
      <c r="C13605" s="5" t="s">
        <v>76</v>
      </c>
      <c r="D13605" s="5" t="s">
        <v>1793</v>
      </c>
      <c r="E13605" s="8" t="s">
        <v>821</v>
      </c>
      <c r="F13605" s="5" t="s">
        <v>876</v>
      </c>
      <c r="G13605" s="6" t="str">
        <f>VLOOKUP(E13605,dicionario!$A$1:$C14004,2,0)</f>
        <v>Schefflera actinophylla</v>
      </c>
      <c r="H13605" s="6" t="str">
        <f>VLOOKUP(E13605,dicionario!$A$1:$C14004,3,0)</f>
        <v>árvore-guarda-chuva</v>
      </c>
    </row>
    <row r="13606">
      <c r="A13606" s="3">
        <v>45904.0</v>
      </c>
      <c r="B13606" s="4">
        <v>0.27708333333333335</v>
      </c>
      <c r="C13606" s="5" t="s">
        <v>76</v>
      </c>
      <c r="D13606" s="5" t="s">
        <v>1793</v>
      </c>
      <c r="E13606" s="8" t="s">
        <v>1503</v>
      </c>
      <c r="F13606" s="5" t="s">
        <v>1504</v>
      </c>
      <c r="G13606" s="6" t="str">
        <f>VLOOKUP(E13606,dicionario!$A$1:$C14005,2,0)</f>
        <v>#N/A</v>
      </c>
      <c r="H13606" s="6" t="str">
        <f>VLOOKUP(E13606,dicionario!$A$1:$C14005,3,0)</f>
        <v>#N/A</v>
      </c>
    </row>
    <row r="13607">
      <c r="A13607" s="3">
        <v>45904.0</v>
      </c>
      <c r="B13607" s="4">
        <v>0.27708333333333335</v>
      </c>
      <c r="C13607" s="5" t="s">
        <v>76</v>
      </c>
      <c r="D13607" s="5" t="s">
        <v>1793</v>
      </c>
      <c r="E13607" s="6" t="s">
        <v>148</v>
      </c>
      <c r="F13607" s="5" t="s">
        <v>149</v>
      </c>
      <c r="G13607" s="6" t="str">
        <f>VLOOKUP(E13607,dicionario!$A$1:$C14006,2,0)</f>
        <v>Parthenium hysterophorus</v>
      </c>
      <c r="H13607" s="6" t="str">
        <f>VLOOKUP(E13607,dicionario!$A$1:$C14006,3,0)</f>
        <v>losna-branca</v>
      </c>
    </row>
    <row r="13608">
      <c r="A13608" s="3">
        <v>45904.0</v>
      </c>
      <c r="B13608" s="4">
        <v>0.27708333333333335</v>
      </c>
      <c r="C13608" s="5" t="s">
        <v>76</v>
      </c>
      <c r="D13608" s="5" t="s">
        <v>1793</v>
      </c>
      <c r="E13608" s="8" t="s">
        <v>1694</v>
      </c>
      <c r="F13608" s="5" t="s">
        <v>1695</v>
      </c>
      <c r="G13608" s="6" t="str">
        <f>VLOOKUP(E13608,dicionario!$A$1:$C14007,2,0)</f>
        <v>Conyza bonariensis</v>
      </c>
      <c r="H13608" s="6" t="str">
        <f>VLOOKUP(E13608,dicionario!$A$1:$C14007,3,0)</f>
        <v>buva</v>
      </c>
    </row>
    <row r="13609">
      <c r="A13609" s="3">
        <v>45904.0</v>
      </c>
      <c r="B13609" s="4">
        <v>0.27847222222222223</v>
      </c>
      <c r="C13609" s="5" t="s">
        <v>76</v>
      </c>
      <c r="D13609" s="5" t="s">
        <v>1793</v>
      </c>
      <c r="E13609" s="6" t="s">
        <v>141</v>
      </c>
      <c r="F13609" s="5" t="s">
        <v>142</v>
      </c>
      <c r="G13609" s="6" t="str">
        <f>VLOOKUP(E13609,dicionario!$A$1:$C14008,2,0)</f>
        <v>Ruellia blechum</v>
      </c>
      <c r="H13609" s="6" t="str">
        <f>VLOOKUP(E13609,dicionario!$A$1:$C14008,3,0)</f>
        <v>camarão-verde</v>
      </c>
    </row>
    <row r="13610">
      <c r="A13610" s="3">
        <v>45904.0</v>
      </c>
      <c r="B13610" s="4">
        <v>0.27847222222222223</v>
      </c>
      <c r="C13610" s="5" t="s">
        <v>76</v>
      </c>
      <c r="D13610" s="5" t="s">
        <v>1793</v>
      </c>
      <c r="E13610" s="6" t="s">
        <v>86</v>
      </c>
      <c r="F13610" s="5" t="s">
        <v>502</v>
      </c>
      <c r="G13610" s="6" t="str">
        <f>VLOOKUP(E13610,dicionario!$A$1:$C14009,2,0)</f>
        <v>Coereba flaveola</v>
      </c>
      <c r="H13610" s="6" t="str">
        <f>VLOOKUP(E13610,dicionario!$A$1:$C14009,3,0)</f>
        <v>cambacica</v>
      </c>
    </row>
    <row r="13611">
      <c r="A13611" s="3">
        <v>45904.0</v>
      </c>
      <c r="B13611" s="4">
        <v>0.27847222222222223</v>
      </c>
      <c r="C13611" s="5" t="s">
        <v>76</v>
      </c>
      <c r="D13611" s="5" t="s">
        <v>1793</v>
      </c>
      <c r="E13611" s="8" t="s">
        <v>1499</v>
      </c>
      <c r="F13611" s="5" t="s">
        <v>1500</v>
      </c>
      <c r="G13611" s="6" t="str">
        <f>VLOOKUP(E13611,dicionario!$A$1:$C14010,2,0)</f>
        <v>#N/A</v>
      </c>
      <c r="H13611" s="6" t="str">
        <f>VLOOKUP(E13611,dicionario!$A$1:$C14010,3,0)</f>
        <v>#N/A</v>
      </c>
    </row>
    <row r="13612">
      <c r="A13612" s="3">
        <v>45904.0</v>
      </c>
      <c r="B13612" s="4">
        <v>0.27847222222222223</v>
      </c>
      <c r="C13612" s="5" t="s">
        <v>76</v>
      </c>
      <c r="D13612" s="5" t="s">
        <v>1793</v>
      </c>
      <c r="E13612" s="6" t="s">
        <v>175</v>
      </c>
      <c r="F13612" s="5" t="s">
        <v>176</v>
      </c>
      <c r="G13612" s="6" t="str">
        <f>VLOOKUP(E13612,dicionario!$A$1:$C14011,2,0)</f>
        <v>Turdus leucomelas</v>
      </c>
      <c r="H13612" s="6" t="str">
        <f>VLOOKUP(E13612,dicionario!$A$1:$C14011,3,0)</f>
        <v>sabiá-barranco</v>
      </c>
    </row>
    <row r="13613">
      <c r="A13613" s="3">
        <v>45904.0</v>
      </c>
      <c r="B13613" s="4">
        <v>0.27847222222222223</v>
      </c>
      <c r="C13613" s="5" t="s">
        <v>76</v>
      </c>
      <c r="D13613" s="5" t="s">
        <v>1793</v>
      </c>
      <c r="E13613" s="8" t="s">
        <v>366</v>
      </c>
      <c r="F13613" s="5" t="s">
        <v>367</v>
      </c>
      <c r="G13613" s="6" t="str">
        <f>VLOOKUP(E13613,dicionario!$A$1:$C14012,2,0)</f>
        <v>Alternanthera ficoidea</v>
      </c>
      <c r="H13613" s="6" t="str">
        <f>VLOOKUP(E13613,dicionario!$A$1:$C14012,3,0)</f>
        <v>quebra-panela</v>
      </c>
    </row>
    <row r="13614">
      <c r="A13614" s="3">
        <v>45904.0</v>
      </c>
      <c r="B13614" s="4">
        <v>0.27847222222222223</v>
      </c>
      <c r="C13614" s="5" t="s">
        <v>76</v>
      </c>
      <c r="D13614" s="5" t="s">
        <v>1793</v>
      </c>
      <c r="E13614" s="6" t="s">
        <v>65</v>
      </c>
      <c r="F13614" s="5" t="s">
        <v>66</v>
      </c>
      <c r="G13614" s="6" t="str">
        <f>VLOOKUP(E13614,dicionario!$A$1:$C14013,2,0)</f>
        <v>Pitangus sulphutarus</v>
      </c>
      <c r="H13614" s="6" t="str">
        <f>VLOOKUP(E13614,dicionario!$A$1:$C14013,3,0)</f>
        <v>bem-te-vi</v>
      </c>
    </row>
    <row r="13615">
      <c r="A13615" s="3">
        <v>45904.0</v>
      </c>
      <c r="B13615" s="4">
        <v>0.2791666666666667</v>
      </c>
      <c r="C13615" s="5" t="s">
        <v>76</v>
      </c>
      <c r="D13615" s="5" t="s">
        <v>1793</v>
      </c>
      <c r="E13615" s="8" t="s">
        <v>20</v>
      </c>
      <c r="F13615" s="5" t="s">
        <v>21</v>
      </c>
      <c r="G13615" s="6" t="str">
        <f>VLOOKUP(E13615,dicionario!$A$1:$C14014,2,0)</f>
        <v>Sicalis flaveola</v>
      </c>
      <c r="H13615" s="6" t="str">
        <f>VLOOKUP(E13615,dicionario!$A$1:$C14014,3,0)</f>
        <v>canário-da-terra</v>
      </c>
    </row>
    <row r="13616">
      <c r="A13616" s="3">
        <v>45904.0</v>
      </c>
      <c r="B13616" s="4">
        <v>0.2791666666666667</v>
      </c>
      <c r="C13616" s="5" t="s">
        <v>76</v>
      </c>
      <c r="D13616" s="5" t="s">
        <v>1793</v>
      </c>
      <c r="E13616" s="8" t="s">
        <v>38</v>
      </c>
      <c r="F13616" s="5" t="s">
        <v>1672</v>
      </c>
      <c r="G13616" s="6" t="str">
        <f>VLOOKUP(E13616,dicionario!$A$1:$C14015,2,0)</f>
        <v>Troglodytes musculus</v>
      </c>
      <c r="H13616" s="6" t="str">
        <f>VLOOKUP(E13616,dicionario!$A$1:$C14015,3,0)</f>
        <v>curruíra</v>
      </c>
    </row>
    <row r="13617">
      <c r="A13617" s="3">
        <v>45904.0</v>
      </c>
      <c r="B13617" s="4">
        <v>0.2791666666666667</v>
      </c>
      <c r="C13617" s="5" t="s">
        <v>76</v>
      </c>
      <c r="D13617" s="5" t="s">
        <v>1793</v>
      </c>
      <c r="E13617" s="8" t="s">
        <v>271</v>
      </c>
      <c r="F13617" s="5" t="s">
        <v>1575</v>
      </c>
      <c r="G13617" s="6" t="str">
        <f>VLOOKUP(E13617,dicionario!$A$1:$C14016,2,0)</f>
        <v>Cyanthillium cinereum</v>
      </c>
      <c r="H13617" s="6" t="str">
        <f>VLOOKUP(E13617,dicionario!$A$1:$C14016,3,0)</f>
        <v>emília</v>
      </c>
    </row>
    <row r="13618">
      <c r="A13618" s="3">
        <v>45904.0</v>
      </c>
      <c r="B13618" s="4">
        <v>0.2791666666666667</v>
      </c>
      <c r="C13618" s="5" t="s">
        <v>76</v>
      </c>
      <c r="D13618" s="5" t="s">
        <v>1793</v>
      </c>
      <c r="E13618" s="8" t="s">
        <v>1344</v>
      </c>
      <c r="F13618" s="5" t="s">
        <v>47</v>
      </c>
      <c r="G13618" s="6" t="str">
        <f>VLOOKUP(E13618,dicionario!$A$1:$C14017,2,0)</f>
        <v>#N/A</v>
      </c>
      <c r="H13618" s="6" t="str">
        <f>VLOOKUP(E13618,dicionario!$A$1:$C14017,3,0)</f>
        <v>#N/A</v>
      </c>
    </row>
    <row r="13619">
      <c r="A13619" s="3">
        <v>45904.0</v>
      </c>
      <c r="B13619" s="4">
        <v>0.2791666666666667</v>
      </c>
      <c r="C13619" s="5" t="s">
        <v>76</v>
      </c>
      <c r="D13619" s="5" t="s">
        <v>1793</v>
      </c>
      <c r="E13619" s="6" t="s">
        <v>163</v>
      </c>
      <c r="F13619" s="5" t="s">
        <v>164</v>
      </c>
      <c r="G13619" s="6" t="str">
        <f>VLOOKUP(E13619,dicionario!$A$1:$C14018,2,0)</f>
        <v>Coragyps atratus</v>
      </c>
      <c r="H13619" s="6" t="str">
        <f>VLOOKUP(E13619,dicionario!$A$1:$C14018,3,0)</f>
        <v>urubu-de-cabeça-preta</v>
      </c>
    </row>
    <row r="13620">
      <c r="A13620" s="3">
        <v>45904.0</v>
      </c>
      <c r="B13620" s="4">
        <v>0.2798611111111111</v>
      </c>
      <c r="C13620" s="5" t="s">
        <v>76</v>
      </c>
      <c r="D13620" s="5" t="s">
        <v>1793</v>
      </c>
      <c r="E13620" s="53" t="s">
        <v>786</v>
      </c>
      <c r="F13620" s="5" t="s">
        <v>787</v>
      </c>
      <c r="G13620" s="6" t="str">
        <f>VLOOKUP(E13620,dicionario!$A$1:$C14019,2,0)</f>
        <v>Lycianthes asarifolia</v>
      </c>
      <c r="H13620" s="6" t="str">
        <f>VLOOKUP(E13620,dicionario!$A$1:$C14019,3,0)</f>
        <v>joá-rasteiro</v>
      </c>
    </row>
    <row r="13621">
      <c r="A13621" s="3">
        <v>45904.0</v>
      </c>
      <c r="B13621" s="4">
        <v>0.28125</v>
      </c>
      <c r="C13621" s="5" t="s">
        <v>76</v>
      </c>
      <c r="D13621" s="5" t="s">
        <v>1793</v>
      </c>
      <c r="E13621" s="6" t="s">
        <v>448</v>
      </c>
      <c r="F13621" s="5" t="s">
        <v>462</v>
      </c>
      <c r="G13621" s="6" t="str">
        <f>VLOOKUP(E13621,dicionario!$A$1:$C14020,2,0)</f>
        <v>Mechanitis polymnia</v>
      </c>
      <c r="H13621" s="6" t="str">
        <f>VLOOKUP(E13621,dicionario!$A$1:$C14020,3,0)</f>
        <v>maria-boba</v>
      </c>
    </row>
    <row r="13622">
      <c r="A13622" s="3">
        <v>45904.0</v>
      </c>
      <c r="B13622" s="4">
        <v>0.28125</v>
      </c>
      <c r="C13622" s="5" t="s">
        <v>76</v>
      </c>
      <c r="D13622" s="5" t="s">
        <v>1793</v>
      </c>
      <c r="E13622" s="8" t="s">
        <v>139</v>
      </c>
      <c r="F13622" s="5" t="s">
        <v>140</v>
      </c>
      <c r="G13622" s="6" t="str">
        <f>VLOOKUP(E13622,dicionario!$A$1:$C14021,2,0)</f>
        <v>Tropidurus torquatus</v>
      </c>
      <c r="H13622" s="6" t="str">
        <f>VLOOKUP(E13622,dicionario!$A$1:$C14021,3,0)</f>
        <v>calango; tropiduro-comum</v>
      </c>
    </row>
    <row r="13623">
      <c r="A13623" s="3">
        <v>45904.0</v>
      </c>
      <c r="B13623" s="4">
        <v>0.28125</v>
      </c>
      <c r="C13623" s="5" t="s">
        <v>76</v>
      </c>
      <c r="D13623" s="5" t="s">
        <v>1793</v>
      </c>
      <c r="E13623" s="6" t="s">
        <v>154</v>
      </c>
      <c r="F13623" s="5" t="s">
        <v>155</v>
      </c>
      <c r="G13623" s="6" t="str">
        <f>VLOOKUP(E13623,dicionario!$A$1:$C14022,2,0)</f>
        <v>Cyperus rotundus</v>
      </c>
      <c r="H13623" s="6" t="str">
        <f>VLOOKUP(E13623,dicionario!$A$1:$C14022,3,0)</f>
        <v>tiririca</v>
      </c>
    </row>
    <row r="13624">
      <c r="A13624" s="3">
        <v>45904.0</v>
      </c>
      <c r="B13624" s="4">
        <v>0.28125</v>
      </c>
      <c r="C13624" s="5" t="s">
        <v>76</v>
      </c>
      <c r="D13624" s="5" t="s">
        <v>1793</v>
      </c>
      <c r="E13624" s="6" t="s">
        <v>286</v>
      </c>
      <c r="F13624" s="5" t="s">
        <v>287</v>
      </c>
      <c r="G13624" s="6" t="str">
        <f>VLOOKUP(E13624,dicionario!$A$1:$C14023,2,0)</f>
        <v>Setaria parviflora</v>
      </c>
      <c r="H13624" s="6" t="str">
        <f>VLOOKUP(E13624,dicionario!$A$1:$C14023,3,0)</f>
        <v>capim-rabo-de-raposa</v>
      </c>
    </row>
    <row r="13625">
      <c r="A13625" s="3">
        <v>45904.0</v>
      </c>
      <c r="B13625" s="4">
        <v>0.28125</v>
      </c>
      <c r="C13625" s="5" t="s">
        <v>76</v>
      </c>
      <c r="D13625" s="5" t="s">
        <v>1793</v>
      </c>
      <c r="E13625" s="8" t="s">
        <v>1112</v>
      </c>
      <c r="F13625" s="5" t="s">
        <v>1113</v>
      </c>
      <c r="G13625" s="6" t="str">
        <f>VLOOKUP(E13625,dicionario!$A$1:$C14024,2,0)</f>
        <v>Hylophilus thoracicus</v>
      </c>
      <c r="H13625" s="6" t="str">
        <f>VLOOKUP(E13625,dicionario!$A$1:$C14024,3,0)</f>
        <v>vite-vite</v>
      </c>
    </row>
    <row r="13626">
      <c r="A13626" s="3">
        <v>45904.0</v>
      </c>
      <c r="B13626" s="4">
        <v>0.28125</v>
      </c>
      <c r="C13626" s="5" t="s">
        <v>76</v>
      </c>
      <c r="D13626" s="5" t="s">
        <v>1793</v>
      </c>
      <c r="E13626" s="6" t="s">
        <v>247</v>
      </c>
      <c r="F13626" s="5" t="s">
        <v>387</v>
      </c>
      <c r="G13626" s="6" t="str">
        <f>VLOOKUP(E13626,dicionario!$A$1:$C14025,2,0)</f>
        <v>Emilia sonchifolia</v>
      </c>
      <c r="H13626" s="6" t="str">
        <f>VLOOKUP(E13626,dicionario!$A$1:$C14025,3,0)</f>
        <v>serralinha</v>
      </c>
    </row>
    <row r="13627">
      <c r="A13627" s="3">
        <v>45904.0</v>
      </c>
      <c r="B13627" s="4">
        <v>0.28194444444444444</v>
      </c>
      <c r="C13627" s="5" t="s">
        <v>76</v>
      </c>
      <c r="D13627" s="5" t="s">
        <v>1793</v>
      </c>
      <c r="E13627" s="8" t="s">
        <v>1328</v>
      </c>
      <c r="F13627" s="5" t="s">
        <v>356</v>
      </c>
      <c r="G13627" s="6" t="str">
        <f>VLOOKUP(E13627,dicionario!$A$1:$C14026,2,0)</f>
        <v>#N/A</v>
      </c>
      <c r="H13627" s="6" t="str">
        <f>VLOOKUP(E13627,dicionario!$A$1:$C14026,3,0)</f>
        <v>#N/A</v>
      </c>
    </row>
    <row r="13628">
      <c r="A13628" s="3">
        <v>45904.0</v>
      </c>
      <c r="B13628" s="4">
        <v>0.28194444444444444</v>
      </c>
      <c r="C13628" s="5" t="s">
        <v>76</v>
      </c>
      <c r="D13628" s="5" t="s">
        <v>1793</v>
      </c>
      <c r="E13628" s="8" t="s">
        <v>298</v>
      </c>
      <c r="F13628" s="5"/>
      <c r="G13628" s="6" t="str">
        <f>VLOOKUP(E13628,dicionario!$A$1:$C14027,2,0)</f>
        <v>Alysicarpus vaginalis</v>
      </c>
      <c r="H13628" s="6" t="str">
        <f>VLOOKUP(E13628,dicionario!$A$1:$C14027,3,0)</f>
        <v/>
      </c>
    </row>
    <row r="13629">
      <c r="A13629" s="3">
        <v>45904.0</v>
      </c>
      <c r="B13629" s="4">
        <v>0.28194444444444444</v>
      </c>
      <c r="C13629" s="5" t="s">
        <v>76</v>
      </c>
      <c r="D13629" s="5" t="s">
        <v>1793</v>
      </c>
      <c r="E13629" s="6" t="s">
        <v>467</v>
      </c>
      <c r="F13629" s="5" t="s">
        <v>1365</v>
      </c>
      <c r="G13629" s="6" t="str">
        <f>VLOOKUP(E13629,dicionario!$A$1:$C14028,2,0)</f>
        <v>Eleusine indica</v>
      </c>
      <c r="H13629" s="6" t="str">
        <f>VLOOKUP(E13629,dicionario!$A$1:$C14028,3,0)</f>
        <v>capim-pé-de-galinha</v>
      </c>
    </row>
    <row r="13630">
      <c r="A13630" s="3">
        <v>45904.0</v>
      </c>
      <c r="B13630" s="4">
        <v>0.2826388888888889</v>
      </c>
      <c r="C13630" s="5" t="s">
        <v>76</v>
      </c>
      <c r="D13630" s="5" t="s">
        <v>1793</v>
      </c>
      <c r="E13630" s="6" t="s">
        <v>48</v>
      </c>
      <c r="F13630" s="5" t="s">
        <v>49</v>
      </c>
      <c r="G13630" s="6" t="str">
        <f>VLOOKUP(E13630,dicionario!$A$1:$C14029,2,0)</f>
        <v>Commelina erecta</v>
      </c>
      <c r="H13630" s="6" t="str">
        <f>VLOOKUP(E13630,dicionario!$A$1:$C14029,3,0)</f>
        <v>trapoeraba</v>
      </c>
    </row>
    <row r="13631">
      <c r="A13631" s="3">
        <v>45904.0</v>
      </c>
      <c r="B13631" s="4">
        <v>0.2826388888888889</v>
      </c>
      <c r="C13631" s="5" t="s">
        <v>76</v>
      </c>
      <c r="D13631" s="5" t="s">
        <v>1793</v>
      </c>
      <c r="E13631" s="8" t="s">
        <v>146</v>
      </c>
      <c r="F13631" s="5" t="s">
        <v>147</v>
      </c>
      <c r="G13631" s="6" t="str">
        <f>VLOOKUP(E13631,dicionario!$A$1:$C14030,2,0)</f>
        <v>Euphorbia hirta</v>
      </c>
      <c r="H13631" s="6" t="str">
        <f>VLOOKUP(E13631,dicionario!$A$1:$C14030,3,0)</f>
        <v>erva-de-santa-luzia</v>
      </c>
    </row>
    <row r="13632">
      <c r="A13632" s="3">
        <v>45904.0</v>
      </c>
      <c r="B13632" s="4">
        <v>0.2826388888888889</v>
      </c>
      <c r="C13632" s="5" t="s">
        <v>76</v>
      </c>
      <c r="D13632" s="5" t="s">
        <v>1793</v>
      </c>
      <c r="E13632" s="6" t="s">
        <v>267</v>
      </c>
      <c r="F13632" s="5" t="s">
        <v>553</v>
      </c>
      <c r="G13632" s="6" t="str">
        <f>VLOOKUP(E13632,dicionario!$A$1:$C14031,2,0)</f>
        <v>Solanum americanum</v>
      </c>
      <c r="H13632" s="6" t="str">
        <f>VLOOKUP(E13632,dicionario!$A$1:$C14031,3,0)</f>
        <v>maria-pretinha</v>
      </c>
    </row>
    <row r="13633">
      <c r="A13633" s="3">
        <v>45904.0</v>
      </c>
      <c r="B13633" s="4">
        <v>0.2826388888888889</v>
      </c>
      <c r="C13633" s="5" t="s">
        <v>76</v>
      </c>
      <c r="D13633" s="5" t="s">
        <v>1793</v>
      </c>
      <c r="E13633" s="6" t="s">
        <v>471</v>
      </c>
      <c r="F13633" s="5" t="s">
        <v>472</v>
      </c>
      <c r="G13633" s="6" t="str">
        <f>VLOOKUP(E13633,dicionario!$A$1:$C14032,2,0)</f>
        <v>Sida acuta</v>
      </c>
      <c r="H13633" s="6" t="str">
        <f>VLOOKUP(E13633,dicionario!$A$1:$C14032,3,0)</f>
        <v>reloginho</v>
      </c>
    </row>
    <row r="13634">
      <c r="A13634" s="3">
        <v>45904.0</v>
      </c>
      <c r="B13634" s="4">
        <v>0.2826388888888889</v>
      </c>
      <c r="C13634" s="5" t="s">
        <v>76</v>
      </c>
      <c r="D13634" s="5" t="s">
        <v>1793</v>
      </c>
      <c r="E13634" s="6" t="s">
        <v>116</v>
      </c>
      <c r="F13634" s="5" t="s">
        <v>117</v>
      </c>
      <c r="G13634" s="6" t="str">
        <f>VLOOKUP(E13634,dicionario!$A$1:$C14033,2,0)</f>
        <v>Argiope argentata</v>
      </c>
      <c r="H13634" s="6" t="str">
        <f>VLOOKUP(E13634,dicionario!$A$1:$C14033,3,0)</f>
        <v>aranha-de-prata</v>
      </c>
    </row>
    <row r="13635">
      <c r="A13635" s="3">
        <v>45904.0</v>
      </c>
      <c r="B13635" s="4">
        <v>0.2826388888888889</v>
      </c>
      <c r="C13635" s="5" t="s">
        <v>76</v>
      </c>
      <c r="D13635" s="5" t="s">
        <v>1793</v>
      </c>
      <c r="E13635" s="6" t="s">
        <v>317</v>
      </c>
      <c r="F13635" s="5" t="s">
        <v>318</v>
      </c>
      <c r="G13635" s="6" t="str">
        <f>VLOOKUP(E13635,dicionario!$A$1:$C14034,2,0)</f>
        <v>Leucauge argyra</v>
      </c>
      <c r="H13635" s="6" t="str">
        <f>VLOOKUP(E13635,dicionario!$A$1:$C14034,3,0)</f>
        <v>aranha-de-mandibula-longa</v>
      </c>
    </row>
    <row r="13636">
      <c r="A13636" s="3">
        <v>45904.0</v>
      </c>
      <c r="B13636" s="4">
        <v>0.2833333333333333</v>
      </c>
      <c r="C13636" s="5" t="s">
        <v>76</v>
      </c>
      <c r="D13636" s="5" t="s">
        <v>1793</v>
      </c>
      <c r="E13636" s="8" t="s">
        <v>265</v>
      </c>
      <c r="F13636" s="5" t="s">
        <v>266</v>
      </c>
      <c r="G13636" s="6" t="str">
        <f>VLOOKUP(E13636,dicionario!$A$1:$C14035,2,0)</f>
        <v>Sonchus oleraceus</v>
      </c>
      <c r="H13636" s="6" t="str">
        <f>VLOOKUP(E13636,dicionario!$A$1:$C14035,3,0)</f>
        <v>seralha</v>
      </c>
    </row>
    <row r="13637">
      <c r="A13637" s="3">
        <v>45904.0</v>
      </c>
      <c r="B13637" s="4">
        <v>0.2833333333333333</v>
      </c>
      <c r="C13637" s="5" t="s">
        <v>76</v>
      </c>
      <c r="D13637" s="5" t="s">
        <v>1793</v>
      </c>
      <c r="E13637" s="6" t="s">
        <v>401</v>
      </c>
      <c r="F13637" s="5" t="s">
        <v>464</v>
      </c>
      <c r="G13637" s="6" t="str">
        <f>VLOOKUP(E13637,dicionario!$A$1:$C14036,2,0)</f>
        <v>Cissus verticillata</v>
      </c>
      <c r="H13637" s="6" t="str">
        <f>VLOOKUP(E13637,dicionario!$A$1:$C14036,3,0)</f>
        <v>uva-do-mato</v>
      </c>
    </row>
    <row r="13638">
      <c r="A13638" s="3">
        <v>45904.0</v>
      </c>
      <c r="B13638" s="4">
        <v>0.2833333333333333</v>
      </c>
      <c r="C13638" s="5" t="s">
        <v>76</v>
      </c>
      <c r="D13638" s="5" t="s">
        <v>1793</v>
      </c>
      <c r="E13638" s="6" t="s">
        <v>606</v>
      </c>
      <c r="F13638" s="5" t="s">
        <v>853</v>
      </c>
      <c r="G13638" s="6" t="str">
        <f>VLOOKUP(E13638,dicionario!$A$1:$C14037,2,0)</f>
        <v>Elaenia spectabilis</v>
      </c>
      <c r="H13638" s="6" t="str">
        <f>VLOOKUP(E13638,dicionario!$A$1:$C14037,3,0)</f>
        <v>guaracava-grande</v>
      </c>
    </row>
    <row r="13639">
      <c r="A13639" s="3">
        <v>45904.0</v>
      </c>
      <c r="B13639" s="4">
        <v>0.28402777777777777</v>
      </c>
      <c r="C13639" s="5" t="s">
        <v>76</v>
      </c>
      <c r="D13639" s="5" t="s">
        <v>1793</v>
      </c>
      <c r="E13639" s="8" t="s">
        <v>1795</v>
      </c>
      <c r="F13639" s="5" t="s">
        <v>1796</v>
      </c>
      <c r="G13639" s="6" t="str">
        <f>VLOOKUP(E13639,dicionario!$A$1:$C14038,2,0)</f>
        <v>Canna indica</v>
      </c>
      <c r="H13639" s="6" t="str">
        <f>VLOOKUP(E13639,dicionario!$A$1:$C14038,3,0)</f>
        <v>cana-da-índia</v>
      </c>
    </row>
    <row r="13640">
      <c r="A13640" s="3">
        <v>45904.0</v>
      </c>
      <c r="B13640" s="4">
        <v>0.28402777777777777</v>
      </c>
      <c r="C13640" s="5" t="s">
        <v>76</v>
      </c>
      <c r="D13640" s="5" t="s">
        <v>1793</v>
      </c>
      <c r="E13640" s="11" t="s">
        <v>1524</v>
      </c>
      <c r="F13640" s="5" t="s">
        <v>1525</v>
      </c>
      <c r="G13640" s="6" t="str">
        <f>VLOOKUP(E13640,dicionario!$A$1:$C14039,2,0)</f>
        <v>Tolmomyias flaviventris</v>
      </c>
      <c r="H13640" s="6" t="str">
        <f>VLOOKUP(E13640,dicionario!$A$1:$C14039,3,0)</f>
        <v>bico-chato-amarelo</v>
      </c>
    </row>
    <row r="13641">
      <c r="A13641" s="3">
        <v>45904.0</v>
      </c>
      <c r="B13641" s="4">
        <v>0.28402777777777777</v>
      </c>
      <c r="C13641" s="5" t="s">
        <v>76</v>
      </c>
      <c r="D13641" s="5" t="s">
        <v>1793</v>
      </c>
      <c r="E13641" s="8" t="s">
        <v>262</v>
      </c>
      <c r="F13641" s="5" t="s">
        <v>263</v>
      </c>
      <c r="G13641" s="6" t="str">
        <f>VLOOKUP(E13641,dicionario!$A$1:$C14040,2,0)</f>
        <v>Portulaca oleracea</v>
      </c>
      <c r="H13641" s="6" t="str">
        <f>VLOOKUP(E13641,dicionario!$A$1:$C14040,3,0)</f>
        <v>beldroega</v>
      </c>
    </row>
    <row r="13642">
      <c r="A13642" s="3">
        <v>45904.0</v>
      </c>
      <c r="B13642" s="4">
        <v>0.28402777777777777</v>
      </c>
      <c r="C13642" s="5" t="s">
        <v>76</v>
      </c>
      <c r="D13642" s="5" t="s">
        <v>1793</v>
      </c>
      <c r="E13642" s="6" t="s">
        <v>481</v>
      </c>
      <c r="F13642" s="5" t="s">
        <v>482</v>
      </c>
      <c r="G13642" s="6" t="str">
        <f>VLOOKUP(E13642,dicionario!$A$1:$C14041,2,0)</f>
        <v>Camptostoma obsoletum</v>
      </c>
      <c r="H13642" s="6" t="str">
        <f>VLOOKUP(E13642,dicionario!$A$1:$C14041,3,0)</f>
        <v>risadinha</v>
      </c>
    </row>
    <row r="13643">
      <c r="A13643" s="3">
        <v>45904.0</v>
      </c>
      <c r="B13643" s="4">
        <v>0.28402777777777777</v>
      </c>
      <c r="C13643" s="5" t="s">
        <v>76</v>
      </c>
      <c r="D13643" s="5" t="s">
        <v>1793</v>
      </c>
      <c r="E13643" s="6" t="s">
        <v>319</v>
      </c>
      <c r="F13643" s="5" t="s">
        <v>320</v>
      </c>
      <c r="G13643" s="6" t="str">
        <f>VLOOKUP(E13643,dicionario!$A$1:$C14042,2,0)</f>
        <v>Schinus terebinthifolia</v>
      </c>
      <c r="H13643" s="6" t="str">
        <f>VLOOKUP(E13643,dicionario!$A$1:$C14042,3,0)</f>
        <v>aroeira</v>
      </c>
    </row>
    <row r="13644">
      <c r="A13644" s="3">
        <v>45904.0</v>
      </c>
      <c r="B13644" s="4">
        <v>0.28402777777777777</v>
      </c>
      <c r="C13644" s="5" t="s">
        <v>76</v>
      </c>
      <c r="D13644" s="5" t="s">
        <v>1793</v>
      </c>
      <c r="E13644" s="6" t="s">
        <v>253</v>
      </c>
      <c r="F13644" s="5" t="s">
        <v>254</v>
      </c>
      <c r="G13644" s="6" t="str">
        <f>VLOOKUP(E13644,dicionario!$A$1:$C14043,2,0)</f>
        <v>Panicum maximum</v>
      </c>
      <c r="H13644" s="6" t="str">
        <f>VLOOKUP(E13644,dicionario!$A$1:$C14043,3,0)</f>
        <v>capim-colonião</v>
      </c>
    </row>
    <row r="13645">
      <c r="A13645" s="3">
        <v>45904.0</v>
      </c>
      <c r="B13645" s="4">
        <v>0.28402777777777777</v>
      </c>
      <c r="C13645" s="5" t="s">
        <v>76</v>
      </c>
      <c r="D13645" s="5" t="s">
        <v>1793</v>
      </c>
      <c r="E13645" s="8" t="s">
        <v>200</v>
      </c>
      <c r="F13645" s="5" t="s">
        <v>201</v>
      </c>
      <c r="G13645" s="6" t="str">
        <f>VLOOKUP(E13645,dicionario!$A$1:$C14044,2,0)</f>
        <v>Columbina picui </v>
      </c>
      <c r="H13645" s="6" t="str">
        <f>VLOOKUP(E13645,dicionario!$A$1:$C14044,3,0)</f>
        <v>rolinha-picuí</v>
      </c>
    </row>
    <row r="13646">
      <c r="A13646" s="3">
        <v>45904.0</v>
      </c>
      <c r="B13646" s="4">
        <v>0.28402777777777777</v>
      </c>
      <c r="C13646" s="5" t="s">
        <v>76</v>
      </c>
      <c r="D13646" s="5" t="s">
        <v>1793</v>
      </c>
      <c r="E13646" s="8" t="s">
        <v>150</v>
      </c>
      <c r="F13646" s="5" t="s">
        <v>151</v>
      </c>
      <c r="G13646" s="6" t="str">
        <f>VLOOKUP(E13646,dicionario!$A$1:$C14045,2,0)</f>
        <v>Amaranthus viridis</v>
      </c>
      <c r="H13646" s="6" t="str">
        <f>VLOOKUP(E13646,dicionario!$A$1:$C14045,3,0)</f>
        <v>caruru-de-mancha</v>
      </c>
    </row>
    <row r="13647">
      <c r="A13647" s="3">
        <v>45904.0</v>
      </c>
      <c r="B13647" s="4">
        <v>0.28402777777777777</v>
      </c>
      <c r="C13647" s="5" t="s">
        <v>76</v>
      </c>
      <c r="D13647" s="5" t="s">
        <v>1793</v>
      </c>
      <c r="E13647" s="8" t="s">
        <v>611</v>
      </c>
      <c r="F13647" s="5" t="s">
        <v>940</v>
      </c>
      <c r="G13647" s="6" t="str">
        <f>VLOOKUP(E13647,dicionario!$A$1:$C14046,2,0)</f>
        <v>Boehmeria cylindrica</v>
      </c>
      <c r="H13647" s="6" t="str">
        <f>VLOOKUP(E13647,dicionario!$A$1:$C14046,3,0)</f>
        <v>falsa-urtiga</v>
      </c>
    </row>
    <row r="13648">
      <c r="A13648" s="3">
        <v>45904.0</v>
      </c>
      <c r="B13648" s="4">
        <v>0.28402777777777777</v>
      </c>
      <c r="C13648" s="5" t="s">
        <v>76</v>
      </c>
      <c r="D13648" s="5" t="s">
        <v>1793</v>
      </c>
      <c r="E13648" s="6" t="s">
        <v>280</v>
      </c>
      <c r="F13648" s="5" t="s">
        <v>856</v>
      </c>
      <c r="G13648" s="6" t="str">
        <f>VLOOKUP(E13648,dicionario!$A$1:$C14047,2,0)</f>
        <v>Lepidium virginicum</v>
      </c>
      <c r="H13648" s="6" t="str">
        <f>VLOOKUP(E13648,dicionario!$A$1:$C14047,3,0)</f>
        <v>mastruz</v>
      </c>
    </row>
    <row r="13649">
      <c r="A13649" s="3">
        <v>45904.0</v>
      </c>
      <c r="B13649" s="4">
        <v>0.28402777777777777</v>
      </c>
      <c r="C13649" s="5" t="s">
        <v>76</v>
      </c>
      <c r="D13649" s="5" t="s">
        <v>1793</v>
      </c>
      <c r="E13649" s="8" t="s">
        <v>866</v>
      </c>
      <c r="F13649" s="5" t="s">
        <v>867</v>
      </c>
      <c r="G13649" s="6" t="str">
        <f>VLOOKUP(E13649,dicionario!$A$1:$C14048,2,0)</f>
        <v>Laportea aestuans</v>
      </c>
      <c r="H13649" s="6" t="str">
        <f>VLOOKUP(E13649,dicionario!$A$1:$C14048,3,0)</f>
        <v>urtiga-vermelha</v>
      </c>
    </row>
    <row r="13650">
      <c r="A13650" s="3">
        <v>45904.0</v>
      </c>
      <c r="B13650" s="4">
        <v>0.28541666666666665</v>
      </c>
      <c r="C13650" s="5" t="s">
        <v>76</v>
      </c>
      <c r="D13650" s="5" t="s">
        <v>1793</v>
      </c>
      <c r="E13650" s="53" t="s">
        <v>1789</v>
      </c>
      <c r="F13650" s="5" t="s">
        <v>1790</v>
      </c>
      <c r="G13650" s="6" t="str">
        <f>VLOOKUP(E13650,dicionario!$A$1:$C14049,2,0)</f>
        <v>#N/A</v>
      </c>
      <c r="H13650" s="6" t="str">
        <f>VLOOKUP(E13650,dicionario!$A$1:$C14049,3,0)</f>
        <v>#N/A</v>
      </c>
    </row>
    <row r="13651">
      <c r="A13651" s="3">
        <v>45904.0</v>
      </c>
      <c r="B13651" s="4">
        <v>0.28541666666666665</v>
      </c>
      <c r="C13651" s="5" t="s">
        <v>76</v>
      </c>
      <c r="D13651" s="5" t="s">
        <v>1793</v>
      </c>
      <c r="E13651" s="8" t="s">
        <v>1386</v>
      </c>
      <c r="F13651" s="5" t="s">
        <v>1547</v>
      </c>
      <c r="G13651" s="6" t="str">
        <f>VLOOKUP(E13651,dicionario!$A$1:$C14050,2,0)</f>
        <v>#N/A</v>
      </c>
      <c r="H13651" s="6" t="str">
        <f>VLOOKUP(E13651,dicionario!$A$1:$C14050,3,0)</f>
        <v>#N/A</v>
      </c>
    </row>
    <row r="13652">
      <c r="A13652" s="3">
        <v>45904.0</v>
      </c>
      <c r="B13652" s="4">
        <v>0.28541666666666665</v>
      </c>
      <c r="C13652" s="5" t="s">
        <v>76</v>
      </c>
      <c r="D13652" s="5" t="s">
        <v>1793</v>
      </c>
      <c r="E13652" s="8" t="s">
        <v>171</v>
      </c>
      <c r="F13652" s="5" t="s">
        <v>172</v>
      </c>
      <c r="G13652" s="6" t="str">
        <f>VLOOKUP(E13652,dicionario!$A$1:$C14051,2,0)</f>
        <v>Oxalis corniculata</v>
      </c>
      <c r="H13652" s="6" t="str">
        <f>VLOOKUP(E13652,dicionario!$A$1:$C14051,3,0)</f>
        <v>trevo-azedinho</v>
      </c>
    </row>
    <row r="13653">
      <c r="A13653" s="3">
        <v>45904.0</v>
      </c>
      <c r="B13653" s="4">
        <v>0.28541666666666665</v>
      </c>
      <c r="C13653" s="5" t="s">
        <v>76</v>
      </c>
      <c r="D13653" s="5" t="s">
        <v>1793</v>
      </c>
      <c r="E13653" s="6" t="s">
        <v>290</v>
      </c>
      <c r="F13653" s="5" t="s">
        <v>291</v>
      </c>
      <c r="G13653" s="6" t="str">
        <f>VLOOKUP(E13653,dicionario!$A$1:$C14052,2,0)</f>
        <v>Drymaria cordata</v>
      </c>
      <c r="H13653" s="6" t="str">
        <f>VLOOKUP(E13653,dicionario!$A$1:$C14052,3,0)</f>
        <v>orelha-de-rato</v>
      </c>
    </row>
    <row r="13654">
      <c r="A13654" s="3">
        <v>45904.0</v>
      </c>
      <c r="B13654" s="4">
        <v>0.28541666666666665</v>
      </c>
      <c r="C13654" s="5" t="s">
        <v>76</v>
      </c>
      <c r="D13654" s="5" t="s">
        <v>1793</v>
      </c>
      <c r="E13654" s="6" t="s">
        <v>144</v>
      </c>
      <c r="F13654" s="5" t="s">
        <v>145</v>
      </c>
      <c r="G13654" s="6" t="str">
        <f>VLOOKUP(E13654,dicionario!$A$1:$C14053,2,0)</f>
        <v>Gomphrena globosa</v>
      </c>
      <c r="H13654" s="6" t="str">
        <f>VLOOKUP(E13654,dicionario!$A$1:$C14053,3,0)</f>
        <v>perpétua-rosa</v>
      </c>
    </row>
    <row r="13655">
      <c r="A13655" s="3">
        <v>45904.0</v>
      </c>
      <c r="B13655" s="4">
        <v>0.28541666666666665</v>
      </c>
      <c r="C13655" s="5" t="s">
        <v>76</v>
      </c>
      <c r="D13655" s="5" t="s">
        <v>1793</v>
      </c>
      <c r="E13655" s="8" t="s">
        <v>239</v>
      </c>
      <c r="F13655" s="5" t="s">
        <v>240</v>
      </c>
      <c r="G13655" s="6" t="str">
        <f>VLOOKUP(E13655,dicionario!$A$1:$C14054,2,0)</f>
        <v>Gomphrena celosioides</v>
      </c>
      <c r="H13655" s="6" t="str">
        <f>VLOOKUP(E13655,dicionario!$A$1:$C14054,3,0)</f>
        <v>perpétua-branca</v>
      </c>
    </row>
    <row r="13656">
      <c r="A13656" s="3">
        <v>45904.0</v>
      </c>
      <c r="B13656" s="4">
        <v>0.2861111111111111</v>
      </c>
      <c r="C13656" s="5" t="s">
        <v>76</v>
      </c>
      <c r="D13656" s="5" t="s">
        <v>1793</v>
      </c>
      <c r="E13656" s="6" t="s">
        <v>613</v>
      </c>
      <c r="F13656" s="5" t="s">
        <v>614</v>
      </c>
      <c r="G13656" s="6" t="str">
        <f>VLOOKUP(E13656,dicionario!$A$1:$C14055,2,0)</f>
        <v>Euphorbia hyssopifolia</v>
      </c>
      <c r="H13656" s="6" t="str">
        <f>VLOOKUP(E13656,dicionario!$A$1:$C14055,3,0)</f>
        <v>maria-leite</v>
      </c>
    </row>
    <row r="13657">
      <c r="A13657" s="3">
        <v>45904.0</v>
      </c>
      <c r="B13657" s="4">
        <v>0.2861111111111111</v>
      </c>
      <c r="C13657" s="5" t="s">
        <v>76</v>
      </c>
      <c r="D13657" s="5" t="s">
        <v>1793</v>
      </c>
      <c r="E13657" s="20" t="s">
        <v>676</v>
      </c>
      <c r="F13657" s="5" t="s">
        <v>677</v>
      </c>
      <c r="G13657" s="6" t="str">
        <f>VLOOKUP(E13657,dicionario!$A$1:$C14056,2,0)</f>
        <v>Zornia latifolia</v>
      </c>
      <c r="H13657" s="6" t="str">
        <f>VLOOKUP(E13657,dicionario!$A$1:$C14056,3,0)</f>
        <v>arrozinho-do-campo</v>
      </c>
    </row>
    <row r="13658">
      <c r="A13658" s="3">
        <v>45904.0</v>
      </c>
      <c r="B13658" s="4">
        <v>0.2861111111111111</v>
      </c>
      <c r="C13658" s="5" t="s">
        <v>76</v>
      </c>
      <c r="D13658" s="5" t="s">
        <v>1793</v>
      </c>
      <c r="E13658" s="6" t="s">
        <v>227</v>
      </c>
      <c r="F13658" s="5" t="s">
        <v>228</v>
      </c>
      <c r="G13658" s="6" t="str">
        <f>VLOOKUP(E13658,dicionario!$A$1:$C14057,2,0)</f>
        <v>Indigofera hirsuta</v>
      </c>
      <c r="H13658" s="6" t="str">
        <f>VLOOKUP(E13658,dicionario!$A$1:$C14057,3,0)</f>
        <v>anileira</v>
      </c>
    </row>
    <row r="13659">
      <c r="A13659" s="3">
        <v>45904.0</v>
      </c>
      <c r="B13659" s="4">
        <v>0.2861111111111111</v>
      </c>
      <c r="C13659" s="5" t="s">
        <v>76</v>
      </c>
      <c r="D13659" s="5" t="s">
        <v>1793</v>
      </c>
      <c r="E13659" s="6" t="s">
        <v>154</v>
      </c>
      <c r="F13659" s="5" t="s">
        <v>155</v>
      </c>
      <c r="G13659" s="6" t="str">
        <f>VLOOKUP(E13659,dicionario!$A$1:$C14058,2,0)</f>
        <v>Cyperus rotundus</v>
      </c>
      <c r="H13659" s="6" t="str">
        <f>VLOOKUP(E13659,dicionario!$A$1:$C14058,3,0)</f>
        <v>tiririca</v>
      </c>
    </row>
    <row r="13660">
      <c r="A13660" s="3">
        <v>45904.0</v>
      </c>
      <c r="B13660" s="4">
        <v>0.2861111111111111</v>
      </c>
      <c r="C13660" s="5" t="s">
        <v>76</v>
      </c>
      <c r="D13660" s="5" t="s">
        <v>1793</v>
      </c>
      <c r="E13660" s="6" t="s">
        <v>504</v>
      </c>
      <c r="F13660" s="5" t="s">
        <v>534</v>
      </c>
      <c r="G13660" s="6" t="str">
        <f>VLOOKUP(E13660,dicionario!$A$1:$C14059,2,0)</f>
        <v>Cleome aculeata</v>
      </c>
      <c r="H13660" s="6" t="str">
        <f>VLOOKUP(E13660,dicionario!$A$1:$C14059,3,0)</f>
        <v>cleome</v>
      </c>
    </row>
    <row r="13661">
      <c r="A13661" s="3">
        <v>45904.0</v>
      </c>
      <c r="B13661" s="4">
        <v>0.2875</v>
      </c>
      <c r="C13661" s="5" t="s">
        <v>76</v>
      </c>
      <c r="D13661" s="5" t="s">
        <v>1793</v>
      </c>
      <c r="E13661" s="8" t="s">
        <v>498</v>
      </c>
      <c r="F13661" s="5" t="s">
        <v>499</v>
      </c>
      <c r="G13661" s="6" t="str">
        <f>VLOOKUP(E13661,dicionario!$A$1:$C14060,2,0)</f>
        <v>Brachiaria decumbens</v>
      </c>
      <c r="H13661" s="6" t="str">
        <f>VLOOKUP(E13661,dicionario!$A$1:$C14060,3,0)</f>
        <v>capim-braquiária</v>
      </c>
    </row>
    <row r="13662">
      <c r="A13662" s="3">
        <v>45904.0</v>
      </c>
      <c r="B13662" s="4">
        <v>0.2875</v>
      </c>
      <c r="C13662" s="5" t="s">
        <v>76</v>
      </c>
      <c r="D13662" s="5" t="s">
        <v>1793</v>
      </c>
      <c r="E13662" s="65" t="s">
        <v>1797</v>
      </c>
      <c r="F13662" s="5" t="s">
        <v>325</v>
      </c>
      <c r="G13662" s="6" t="str">
        <f>VLOOKUP(E13662,dicionario!$A$1:$C14061,2,0)</f>
        <v>Estrilda astrild</v>
      </c>
      <c r="H13662" s="6" t="str">
        <f>VLOOKUP(E13662,dicionario!$A$1:$C14061,3,0)</f>
        <v>bico-de-lacre</v>
      </c>
    </row>
    <row r="13663">
      <c r="A13663" s="3">
        <v>45904.0</v>
      </c>
      <c r="B13663" s="4">
        <v>0.2881944444444444</v>
      </c>
      <c r="C13663" s="5" t="s">
        <v>76</v>
      </c>
      <c r="D13663" s="5" t="s">
        <v>1793</v>
      </c>
      <c r="E13663" s="6" t="s">
        <v>256</v>
      </c>
      <c r="F13663" s="5" t="s">
        <v>257</v>
      </c>
      <c r="G13663" s="6" t="str">
        <f>VLOOKUP(E13663,dicionario!$A$1:$C14062,2,0)</f>
        <v>Youngia japonica</v>
      </c>
      <c r="H13663" s="6" t="str">
        <f>VLOOKUP(E13663,dicionario!$A$1:$C14062,3,0)</f>
        <v>barba-de-falcão</v>
      </c>
    </row>
    <row r="13664">
      <c r="A13664" s="3">
        <v>45904.0</v>
      </c>
      <c r="B13664" s="4">
        <v>0.2881944444444444</v>
      </c>
      <c r="C13664" s="5" t="s">
        <v>76</v>
      </c>
      <c r="D13664" s="5" t="s">
        <v>1793</v>
      </c>
      <c r="E13664" s="6" t="s">
        <v>489</v>
      </c>
      <c r="F13664" s="5" t="s">
        <v>521</v>
      </c>
      <c r="G13664" s="6" t="str">
        <f>VLOOKUP(E13664,dicionario!$A$1:$C14063,2,0)</f>
        <v>Cenchrus echinatus</v>
      </c>
      <c r="H13664" s="6" t="str">
        <f>VLOOKUP(E13664,dicionario!$A$1:$C14063,3,0)</f>
        <v>capim-carrapicho</v>
      </c>
    </row>
    <row r="13665">
      <c r="A13665" s="3">
        <v>45904.0</v>
      </c>
      <c r="B13665" s="4">
        <v>0.2902777777777778</v>
      </c>
      <c r="C13665" s="5" t="s">
        <v>76</v>
      </c>
      <c r="D13665" s="5" t="s">
        <v>1793</v>
      </c>
      <c r="E13665" s="8" t="s">
        <v>1283</v>
      </c>
      <c r="F13665" s="5" t="s">
        <v>1269</v>
      </c>
      <c r="G13665" s="6" t="str">
        <f>VLOOKUP(E13665,dicionario!$A$1:$C14064,2,0)</f>
        <v>Marasmius</v>
      </c>
      <c r="H13665" s="6" t="str">
        <f>VLOOKUP(E13665,dicionario!$A$1:$C14064,3,0)</f>
        <v/>
      </c>
    </row>
    <row r="13666">
      <c r="A13666" s="3">
        <v>45904.0</v>
      </c>
      <c r="B13666" s="4">
        <v>0.2902777777777778</v>
      </c>
      <c r="C13666" s="5" t="s">
        <v>76</v>
      </c>
      <c r="D13666" s="5" t="s">
        <v>1793</v>
      </c>
      <c r="E13666" s="8" t="s">
        <v>1798</v>
      </c>
      <c r="F13666" s="7" t="s">
        <v>321</v>
      </c>
      <c r="G13666" s="6" t="str">
        <f>VLOOKUP(E13666,dicionario!$A$1:$C14065,2,0)</f>
        <v>Solenopsis</v>
      </c>
      <c r="H13666" s="6" t="str">
        <f>VLOOKUP(E13666,dicionario!$A$1:$C14065,3,0)</f>
        <v>formiga-quente; formiga-lava-pés; formiga-de-fogo</v>
      </c>
    </row>
    <row r="13667">
      <c r="A13667" s="3">
        <v>45904.0</v>
      </c>
      <c r="B13667" s="4">
        <v>0.2902777777777778</v>
      </c>
      <c r="C13667" s="5" t="s">
        <v>76</v>
      </c>
      <c r="D13667" s="5" t="s">
        <v>1793</v>
      </c>
      <c r="E13667" s="8" t="s">
        <v>1799</v>
      </c>
      <c r="F13667" s="5" t="s">
        <v>649</v>
      </c>
      <c r="G13667" s="6" t="str">
        <f>VLOOKUP(E13667,dicionario!$A$1:$C14066,2,0)</f>
        <v>Burnsius orcus</v>
      </c>
      <c r="H13667" s="6" t="str">
        <f>VLOOKUP(E13667,dicionario!$A$1:$C14066,3,0)</f>
        <v/>
      </c>
    </row>
    <row r="13668">
      <c r="A13668" s="3">
        <v>45904.0</v>
      </c>
      <c r="B13668" s="4">
        <v>0.29444444444444445</v>
      </c>
      <c r="C13668" s="5" t="s">
        <v>64</v>
      </c>
      <c r="D13668" s="5" t="s">
        <v>1793</v>
      </c>
      <c r="E13668" s="6" t="s">
        <v>148</v>
      </c>
      <c r="F13668" s="5" t="s">
        <v>149</v>
      </c>
      <c r="G13668" s="6" t="str">
        <f>VLOOKUP(E13668,dicionario!$A$1:$C14067,2,0)</f>
        <v>Parthenium hysterophorus</v>
      </c>
      <c r="H13668" s="6" t="str">
        <f>VLOOKUP(E13668,dicionario!$A$1:$C14067,3,0)</f>
        <v>losna-branca</v>
      </c>
    </row>
    <row r="13669">
      <c r="A13669" s="3">
        <v>45904.0</v>
      </c>
      <c r="B13669" s="4">
        <v>0.29444444444444445</v>
      </c>
      <c r="C13669" s="5" t="s">
        <v>64</v>
      </c>
      <c r="D13669" s="5" t="s">
        <v>1793</v>
      </c>
      <c r="E13669" s="8" t="s">
        <v>271</v>
      </c>
      <c r="F13669" s="5" t="s">
        <v>1169</v>
      </c>
      <c r="G13669" s="6" t="str">
        <f>VLOOKUP(E13669,dicionario!$A$1:$C14068,2,0)</f>
        <v>Cyanthillium cinereum</v>
      </c>
      <c r="H13669" s="6" t="str">
        <f>VLOOKUP(E13669,dicionario!$A$1:$C14068,3,0)</f>
        <v>emília</v>
      </c>
    </row>
    <row r="13670">
      <c r="A13670" s="3">
        <v>45904.0</v>
      </c>
      <c r="B13670" s="4">
        <v>0.29444444444444445</v>
      </c>
      <c r="C13670" s="5" t="s">
        <v>64</v>
      </c>
      <c r="D13670" s="5" t="s">
        <v>1793</v>
      </c>
      <c r="E13670" s="8" t="s">
        <v>69</v>
      </c>
      <c r="F13670" s="5" t="s">
        <v>71</v>
      </c>
      <c r="G13670" s="6" t="str">
        <f>VLOOKUP(E13670,dicionario!$A$1:$C14069,2,0)</f>
        <v>Talinum fruticosum</v>
      </c>
      <c r="H13670" s="6" t="str">
        <f>VLOOKUP(E13670,dicionario!$A$1:$C14069,3,0)</f>
        <v>beldroega-grande</v>
      </c>
    </row>
    <row r="13671">
      <c r="A13671" s="3">
        <v>45904.0</v>
      </c>
      <c r="B13671" s="4">
        <v>0.29444444444444445</v>
      </c>
      <c r="C13671" s="5" t="s">
        <v>64</v>
      </c>
      <c r="D13671" s="5" t="s">
        <v>1793</v>
      </c>
      <c r="E13671" s="6" t="s">
        <v>267</v>
      </c>
      <c r="F13671" s="5" t="s">
        <v>553</v>
      </c>
      <c r="G13671" s="6" t="str">
        <f>VLOOKUP(E13671,dicionario!$A$1:$C14070,2,0)</f>
        <v>Solanum americanum</v>
      </c>
      <c r="H13671" s="6" t="str">
        <f>VLOOKUP(E13671,dicionario!$A$1:$C14070,3,0)</f>
        <v>maria-pretinha</v>
      </c>
    </row>
    <row r="13672">
      <c r="A13672" s="3">
        <v>45904.0</v>
      </c>
      <c r="B13672" s="4">
        <v>0.29444444444444445</v>
      </c>
      <c r="C13672" s="5" t="s">
        <v>64</v>
      </c>
      <c r="D13672" s="5" t="s">
        <v>1793</v>
      </c>
      <c r="E13672" s="6" t="s">
        <v>141</v>
      </c>
      <c r="F13672" s="5" t="s">
        <v>142</v>
      </c>
      <c r="G13672" s="6" t="str">
        <f>VLOOKUP(E13672,dicionario!$A$1:$C14071,2,0)</f>
        <v>Ruellia blechum</v>
      </c>
      <c r="H13672" s="6" t="str">
        <f>VLOOKUP(E13672,dicionario!$A$1:$C14071,3,0)</f>
        <v>camarão-verde</v>
      </c>
    </row>
    <row r="13673">
      <c r="A13673" s="3">
        <v>45904.0</v>
      </c>
      <c r="B13673" s="4">
        <v>0.29444444444444445</v>
      </c>
      <c r="C13673" s="5" t="s">
        <v>64</v>
      </c>
      <c r="D13673" s="5" t="s">
        <v>1793</v>
      </c>
      <c r="E13673" s="8" t="s">
        <v>1386</v>
      </c>
      <c r="F13673" s="5" t="s">
        <v>1547</v>
      </c>
      <c r="G13673" s="6" t="str">
        <f>VLOOKUP(E13673,dicionario!$A$1:$C14072,2,0)</f>
        <v>#N/A</v>
      </c>
      <c r="H13673" s="6" t="str">
        <f>VLOOKUP(E13673,dicionario!$A$1:$C14072,3,0)</f>
        <v>#N/A</v>
      </c>
    </row>
    <row r="13674">
      <c r="A13674" s="3">
        <v>45904.0</v>
      </c>
      <c r="B13674" s="4">
        <v>0.29583333333333334</v>
      </c>
      <c r="C13674" s="5" t="s">
        <v>64</v>
      </c>
      <c r="D13674" s="5" t="s">
        <v>1793</v>
      </c>
      <c r="E13674" s="6" t="s">
        <v>319</v>
      </c>
      <c r="F13674" s="5" t="s">
        <v>320</v>
      </c>
      <c r="G13674" s="6" t="str">
        <f>VLOOKUP(E13674,dicionario!$A$1:$C14073,2,0)</f>
        <v>Schinus terebinthifolia</v>
      </c>
      <c r="H13674" s="6" t="str">
        <f>VLOOKUP(E13674,dicionario!$A$1:$C14073,3,0)</f>
        <v>aroeira</v>
      </c>
    </row>
    <row r="13675">
      <c r="A13675" s="3">
        <v>45904.0</v>
      </c>
      <c r="B13675" s="4">
        <v>0.29583333333333334</v>
      </c>
      <c r="C13675" s="5" t="s">
        <v>64</v>
      </c>
      <c r="D13675" s="5" t="s">
        <v>1793</v>
      </c>
      <c r="E13675" s="6" t="s">
        <v>294</v>
      </c>
      <c r="F13675" s="5" t="s">
        <v>1800</v>
      </c>
      <c r="G13675" s="6" t="str">
        <f>VLOOKUP(E13675,dicionario!$A$1:$C14074,2,0)</f>
        <v>Cycloneda sanguinea</v>
      </c>
      <c r="H13675" s="6" t="str">
        <f>VLOOKUP(E13675,dicionario!$A$1:$C14074,3,0)</f>
        <v>joaninha-sem-pintas</v>
      </c>
    </row>
    <row r="13676">
      <c r="A13676" s="3">
        <v>45904.0</v>
      </c>
      <c r="B13676" s="4">
        <v>0.29583333333333334</v>
      </c>
      <c r="C13676" s="5" t="s">
        <v>64</v>
      </c>
      <c r="D13676" s="5" t="s">
        <v>1793</v>
      </c>
      <c r="E13676" s="6" t="s">
        <v>253</v>
      </c>
      <c r="F13676" s="5" t="s">
        <v>254</v>
      </c>
      <c r="G13676" s="6" t="str">
        <f>VLOOKUP(E13676,dicionario!$A$1:$C14075,2,0)</f>
        <v>Panicum maximum</v>
      </c>
      <c r="H13676" s="6" t="str">
        <f>VLOOKUP(E13676,dicionario!$A$1:$C14075,3,0)</f>
        <v>capim-colonião</v>
      </c>
    </row>
    <row r="13677">
      <c r="A13677" s="3">
        <v>45904.0</v>
      </c>
      <c r="B13677" s="4">
        <v>0.29583333333333334</v>
      </c>
      <c r="C13677" s="5" t="s">
        <v>64</v>
      </c>
      <c r="D13677" s="5" t="s">
        <v>1793</v>
      </c>
      <c r="E13677" s="8" t="s">
        <v>109</v>
      </c>
      <c r="F13677" s="5" t="s">
        <v>110</v>
      </c>
      <c r="G13677" s="6" t="str">
        <f>VLOOKUP(E13677,dicionario!$A$1:$C14076,2,0)</f>
        <v>Tillandsia stricta</v>
      </c>
      <c r="H13677" s="6" t="str">
        <f>VLOOKUP(E13677,dicionario!$A$1:$C14076,3,0)</f>
        <v>cravo-do-mato</v>
      </c>
    </row>
    <row r="13678">
      <c r="A13678" s="3">
        <v>45904.0</v>
      </c>
      <c r="B13678" s="4">
        <v>0.29583333333333334</v>
      </c>
      <c r="C13678" s="5" t="s">
        <v>64</v>
      </c>
      <c r="D13678" s="5" t="s">
        <v>1793</v>
      </c>
      <c r="E13678" s="6" t="s">
        <v>88</v>
      </c>
      <c r="F13678" s="5" t="s">
        <v>89</v>
      </c>
      <c r="G13678" s="6" t="str">
        <f>VLOOKUP(E13678,dicionario!$A$1:$C14077,2,0)</f>
        <v>Tyrannus melancolichus</v>
      </c>
      <c r="H13678" s="6" t="str">
        <f>VLOOKUP(E13678,dicionario!$A$1:$C14077,3,0)</f>
        <v>suiriri</v>
      </c>
    </row>
    <row r="13679">
      <c r="A13679" s="3">
        <v>45904.0</v>
      </c>
      <c r="B13679" s="4">
        <v>0.29583333333333334</v>
      </c>
      <c r="C13679" s="5" t="s">
        <v>64</v>
      </c>
      <c r="D13679" s="5" t="s">
        <v>1793</v>
      </c>
      <c r="E13679" s="8" t="s">
        <v>740</v>
      </c>
      <c r="F13679" s="5" t="s">
        <v>741</v>
      </c>
      <c r="G13679" s="6" t="str">
        <f>VLOOKUP(E13679,dicionario!$A$1:$C14078,2,0)</f>
        <v>Melothria cucumis</v>
      </c>
      <c r="H13679" s="6" t="str">
        <f>VLOOKUP(E13679,dicionario!$A$1:$C14078,3,0)</f>
        <v>pepino-do-mato</v>
      </c>
    </row>
    <row r="13680">
      <c r="A13680" s="3">
        <v>45904.0</v>
      </c>
      <c r="B13680" s="4">
        <v>0.29583333333333334</v>
      </c>
      <c r="C13680" s="5" t="s">
        <v>64</v>
      </c>
      <c r="D13680" s="5" t="s">
        <v>1793</v>
      </c>
      <c r="E13680" s="8" t="s">
        <v>719</v>
      </c>
      <c r="F13680" s="5" t="s">
        <v>911</v>
      </c>
      <c r="G13680" s="6" t="str">
        <f>VLOOKUP(E13680,dicionario!$A$1:$C14079,2,0)</f>
        <v>Dirinaria</v>
      </c>
      <c r="H13680" s="6" t="str">
        <f>VLOOKUP(E13680,dicionario!$A$1:$C14079,3,0)</f>
        <v>líquen-crostoso</v>
      </c>
    </row>
    <row r="13681">
      <c r="A13681" s="3">
        <v>45904.0</v>
      </c>
      <c r="B13681" s="4">
        <v>0.2965277777777778</v>
      </c>
      <c r="C13681" s="5" t="s">
        <v>64</v>
      </c>
      <c r="D13681" s="5" t="s">
        <v>1793</v>
      </c>
      <c r="E13681" s="8" t="s">
        <v>712</v>
      </c>
      <c r="F13681" s="5" t="s">
        <v>912</v>
      </c>
      <c r="G13681" s="6" t="str">
        <f>VLOOKUP(E13681,dicionario!$A$1:$C14080,2,0)</f>
        <v>Flavopunctelia soredica</v>
      </c>
      <c r="H13681" s="6" t="str">
        <f>VLOOKUP(E13681,dicionario!$A$1:$C14080,3,0)</f>
        <v>líquen-folioso</v>
      </c>
    </row>
    <row r="13682">
      <c r="A13682" s="3">
        <v>45904.0</v>
      </c>
      <c r="B13682" s="4">
        <v>0.2965277777777778</v>
      </c>
      <c r="C13682" s="5" t="s">
        <v>64</v>
      </c>
      <c r="D13682" s="5" t="s">
        <v>1793</v>
      </c>
      <c r="E13682" s="6" t="s">
        <v>340</v>
      </c>
      <c r="F13682" s="5" t="s">
        <v>104</v>
      </c>
      <c r="G13682" s="6" t="str">
        <f>VLOOKUP(E13682,dicionario!$A$1:$C14081,2,0)</f>
        <v>#N/A</v>
      </c>
      <c r="H13682" s="6" t="str">
        <f>VLOOKUP(E13682,dicionario!$A$1:$C14081,3,0)</f>
        <v>#N/A</v>
      </c>
    </row>
    <row r="13683">
      <c r="A13683" s="3">
        <v>45904.0</v>
      </c>
      <c r="B13683" s="4">
        <v>0.2965277777777778</v>
      </c>
      <c r="C13683" s="5" t="s">
        <v>64</v>
      </c>
      <c r="D13683" s="5" t="s">
        <v>1793</v>
      </c>
      <c r="E13683" s="8" t="s">
        <v>986</v>
      </c>
      <c r="F13683" s="5" t="s">
        <v>987</v>
      </c>
      <c r="G13683" s="6" t="str">
        <f>VLOOKUP(E13683,dicionario!$A$1:$C14082,2,0)</f>
        <v>Uroleucon</v>
      </c>
      <c r="H13683" s="6" t="str">
        <f>VLOOKUP(E13683,dicionario!$A$1:$C14082,3,0)</f>
        <v>pulgão-vermelho</v>
      </c>
    </row>
    <row r="13684">
      <c r="A13684" s="3">
        <v>45904.0</v>
      </c>
      <c r="B13684" s="4">
        <v>0.2965277777777778</v>
      </c>
      <c r="C13684" s="5" t="s">
        <v>64</v>
      </c>
      <c r="D13684" s="5" t="s">
        <v>1793</v>
      </c>
      <c r="E13684" s="6" t="s">
        <v>122</v>
      </c>
      <c r="F13684" s="5" t="s">
        <v>123</v>
      </c>
      <c r="G13684" s="6" t="str">
        <f>VLOOKUP(E13684,dicionario!$A$1:$C14083,2,0)</f>
        <v>Todirostrum cinereum</v>
      </c>
      <c r="H13684" s="6" t="str">
        <f>VLOOKUP(E13684,dicionario!$A$1:$C14083,3,0)</f>
        <v>ferreirinho-relógio</v>
      </c>
    </row>
    <row r="13685">
      <c r="A13685" s="3">
        <v>45904.0</v>
      </c>
      <c r="B13685" s="4">
        <v>0.2965277777777778</v>
      </c>
      <c r="C13685" s="5" t="s">
        <v>64</v>
      </c>
      <c r="D13685" s="5" t="s">
        <v>1793</v>
      </c>
      <c r="E13685" s="6" t="s">
        <v>606</v>
      </c>
      <c r="F13685" s="5" t="s">
        <v>607</v>
      </c>
      <c r="G13685" s="6" t="str">
        <f>VLOOKUP(E13685,dicionario!$A$1:$C14084,2,0)</f>
        <v>Elaenia spectabilis</v>
      </c>
      <c r="H13685" s="6" t="str">
        <f>VLOOKUP(E13685,dicionario!$A$1:$C14084,3,0)</f>
        <v>guaracava-grande</v>
      </c>
    </row>
    <row r="13686">
      <c r="A13686" s="3">
        <v>45904.0</v>
      </c>
      <c r="B13686" s="4">
        <v>0.2965277777777778</v>
      </c>
      <c r="C13686" s="5" t="s">
        <v>64</v>
      </c>
      <c r="D13686" s="5" t="s">
        <v>1793</v>
      </c>
      <c r="E13686" s="6" t="s">
        <v>213</v>
      </c>
      <c r="F13686" s="5" t="s">
        <v>1456</v>
      </c>
      <c r="G13686" s="6" t="str">
        <f>VLOOKUP(E13686,dicionario!$A$1:$C14085,2,0)</f>
        <v>Myiozetetes similis</v>
      </c>
      <c r="H13686" s="6" t="str">
        <f>VLOOKUP(E13686,dicionario!$A$1:$C14085,3,0)</f>
        <v>bentevizinho-de-penacho-vermelho</v>
      </c>
    </row>
    <row r="13687">
      <c r="A13687" s="3">
        <v>45904.0</v>
      </c>
      <c r="B13687" s="4">
        <v>0.2972222222222222</v>
      </c>
      <c r="C13687" s="5" t="s">
        <v>64</v>
      </c>
      <c r="D13687" s="5" t="s">
        <v>1793</v>
      </c>
      <c r="E13687" s="6" t="s">
        <v>253</v>
      </c>
      <c r="F13687" s="5" t="s">
        <v>254</v>
      </c>
      <c r="G13687" s="6" t="str">
        <f>VLOOKUP(E13687,dicionario!$A$1:$C14086,2,0)</f>
        <v>Panicum maximum</v>
      </c>
      <c r="H13687" s="6" t="str">
        <f>VLOOKUP(E13687,dicionario!$A$1:$C14086,3,0)</f>
        <v>capim-colonião</v>
      </c>
    </row>
    <row r="13688">
      <c r="A13688" s="3">
        <v>45904.0</v>
      </c>
      <c r="B13688" s="4">
        <v>0.2972222222222222</v>
      </c>
      <c r="C13688" s="5" t="s">
        <v>64</v>
      </c>
      <c r="D13688" s="5" t="s">
        <v>1793</v>
      </c>
      <c r="E13688" s="8" t="s">
        <v>1801</v>
      </c>
      <c r="F13688" s="5" t="s">
        <v>603</v>
      </c>
      <c r="G13688" s="6" t="str">
        <f>VLOOKUP(E13688,dicionario!$A$1:$C14087,2,0)</f>
        <v>#N/A</v>
      </c>
      <c r="H13688" s="6" t="str">
        <f>VLOOKUP(E13688,dicionario!$A$1:$C14087,3,0)</f>
        <v>#N/A</v>
      </c>
    </row>
    <row r="13689">
      <c r="A13689" s="3">
        <v>45904.0</v>
      </c>
      <c r="B13689" s="4">
        <v>0.2972222222222222</v>
      </c>
      <c r="C13689" s="5" t="s">
        <v>64</v>
      </c>
      <c r="D13689" s="5" t="s">
        <v>1793</v>
      </c>
      <c r="E13689" s="8" t="s">
        <v>1798</v>
      </c>
      <c r="F13689" s="7" t="s">
        <v>321</v>
      </c>
      <c r="G13689" s="6" t="str">
        <f>VLOOKUP(E13689,dicionario!$A$1:$C14088,2,0)</f>
        <v>Solenopsis</v>
      </c>
      <c r="H13689" s="6" t="str">
        <f>VLOOKUP(E13689,dicionario!$A$1:$C14088,3,0)</f>
        <v>formiga-quente; formiga-lava-pés; formiga-de-fogo</v>
      </c>
    </row>
    <row r="13690">
      <c r="A13690" s="3">
        <v>45904.0</v>
      </c>
      <c r="B13690" s="4">
        <v>0.29791666666666666</v>
      </c>
      <c r="C13690" s="5" t="s">
        <v>64</v>
      </c>
      <c r="D13690" s="5" t="s">
        <v>1793</v>
      </c>
      <c r="E13690" s="6" t="s">
        <v>65</v>
      </c>
      <c r="F13690" s="5" t="s">
        <v>66</v>
      </c>
      <c r="G13690" s="6" t="str">
        <f>VLOOKUP(E13690,dicionario!$A$1:$C14089,2,0)</f>
        <v>Pitangus sulphutarus</v>
      </c>
      <c r="H13690" s="6" t="str">
        <f>VLOOKUP(E13690,dicionario!$A$1:$C14089,3,0)</f>
        <v>bem-te-vi</v>
      </c>
    </row>
    <row r="13691">
      <c r="A13691" s="3">
        <v>45904.0</v>
      </c>
      <c r="B13691" s="4">
        <v>0.29791666666666666</v>
      </c>
      <c r="C13691" s="5" t="s">
        <v>64</v>
      </c>
      <c r="D13691" s="5" t="s">
        <v>1793</v>
      </c>
      <c r="E13691" s="28" t="s">
        <v>560</v>
      </c>
      <c r="F13691" s="5" t="s">
        <v>1430</v>
      </c>
      <c r="G13691" s="6" t="str">
        <f>VLOOKUP(E13691,dicionario!$A$1:$C14090,2,0)</f>
        <v>Megarynchus pitangua</v>
      </c>
      <c r="H13691" s="6" t="str">
        <f>VLOOKUP(E13691,dicionario!$A$1:$C14090,3,0)</f>
        <v>neinei</v>
      </c>
    </row>
    <row r="13692">
      <c r="A13692" s="3">
        <v>45904.0</v>
      </c>
      <c r="B13692" s="4">
        <v>0.29791666666666666</v>
      </c>
      <c r="C13692" s="5" t="s">
        <v>64</v>
      </c>
      <c r="D13692" s="5" t="s">
        <v>1793</v>
      </c>
      <c r="E13692" s="8" t="s">
        <v>1344</v>
      </c>
      <c r="F13692" s="5" t="s">
        <v>47</v>
      </c>
      <c r="G13692" s="6" t="str">
        <f>VLOOKUP(E13692,dicionario!$A$1:$C14091,2,0)</f>
        <v>#N/A</v>
      </c>
      <c r="H13692" s="6" t="str">
        <f>VLOOKUP(E13692,dicionario!$A$1:$C14091,3,0)</f>
        <v>#N/A</v>
      </c>
    </row>
    <row r="13693">
      <c r="A13693" s="3">
        <v>45904.0</v>
      </c>
      <c r="B13693" s="4">
        <v>0.29791666666666666</v>
      </c>
      <c r="C13693" s="5" t="s">
        <v>64</v>
      </c>
      <c r="D13693" s="5" t="s">
        <v>1793</v>
      </c>
      <c r="E13693" s="6" t="s">
        <v>467</v>
      </c>
      <c r="F13693" s="5" t="s">
        <v>468</v>
      </c>
      <c r="G13693" s="6" t="str">
        <f>VLOOKUP(E13693,dicionario!$A$1:$C14092,2,0)</f>
        <v>Eleusine indica</v>
      </c>
      <c r="H13693" s="6" t="str">
        <f>VLOOKUP(E13693,dicionario!$A$1:$C14092,3,0)</f>
        <v>capim-pé-de-galinha</v>
      </c>
    </row>
    <row r="13694">
      <c r="A13694" s="3">
        <v>45904.0</v>
      </c>
      <c r="B13694" s="4">
        <v>0.29791666666666666</v>
      </c>
      <c r="C13694" s="5" t="s">
        <v>64</v>
      </c>
      <c r="D13694" s="5" t="s">
        <v>1793</v>
      </c>
      <c r="E13694" s="6" t="s">
        <v>225</v>
      </c>
      <c r="F13694" s="5" t="s">
        <v>226</v>
      </c>
      <c r="G13694" s="6" t="str">
        <f>VLOOKUP(E13694,dicionario!$A$1:$C14093,2,0)</f>
        <v>Passer domesticus</v>
      </c>
      <c r="H13694" s="6" t="str">
        <f>VLOOKUP(E13694,dicionario!$A$1:$C14093,3,0)</f>
        <v>pardal</v>
      </c>
    </row>
    <row r="13695">
      <c r="A13695" s="3">
        <v>45904.0</v>
      </c>
      <c r="B13695" s="4">
        <v>0.29791666666666666</v>
      </c>
      <c r="C13695" s="5" t="s">
        <v>64</v>
      </c>
      <c r="D13695" s="5" t="s">
        <v>1793</v>
      </c>
      <c r="E13695" s="6" t="s">
        <v>251</v>
      </c>
      <c r="F13695" s="5" t="s">
        <v>252</v>
      </c>
      <c r="G13695" s="6" t="str">
        <f>VLOOKUP(E13695,dicionario!$A$1:$C14094,2,0)</f>
        <v>Struthanthus flexicaulis</v>
      </c>
      <c r="H13695" s="6" t="str">
        <f>VLOOKUP(E13695,dicionario!$A$1:$C14094,3,0)</f>
        <v>erva-de-passarinho</v>
      </c>
    </row>
    <row r="13696">
      <c r="A13696" s="3">
        <v>45904.0</v>
      </c>
      <c r="B13696" s="4">
        <v>0.29791666666666666</v>
      </c>
      <c r="C13696" s="5" t="s">
        <v>64</v>
      </c>
      <c r="D13696" s="5" t="s">
        <v>1793</v>
      </c>
      <c r="E13696" s="8" t="s">
        <v>280</v>
      </c>
      <c r="F13696" s="5" t="s">
        <v>281</v>
      </c>
      <c r="G13696" s="6" t="str">
        <f>VLOOKUP(E13696,dicionario!$A$1:$C14095,2,0)</f>
        <v>Lepidium virginicum</v>
      </c>
      <c r="H13696" s="6" t="str">
        <f>VLOOKUP(E13696,dicionario!$A$1:$C14095,3,0)</f>
        <v>mastruz</v>
      </c>
    </row>
    <row r="13697">
      <c r="A13697" s="3">
        <v>45904.0</v>
      </c>
      <c r="B13697" s="4">
        <v>0.29930555555555555</v>
      </c>
      <c r="C13697" s="5" t="s">
        <v>64</v>
      </c>
      <c r="D13697" s="5" t="s">
        <v>1793</v>
      </c>
      <c r="E13697" s="8" t="s">
        <v>135</v>
      </c>
      <c r="F13697" s="5" t="s">
        <v>136</v>
      </c>
      <c r="G13697" s="6" t="str">
        <f>VLOOKUP(E13697,dicionario!$A$1:$C14096,2,0)</f>
        <v>Tridax procumbens</v>
      </c>
      <c r="H13697" s="6" t="str">
        <f>VLOOKUP(E13697,dicionario!$A$1:$C14096,3,0)</f>
        <v>erva-de-touro</v>
      </c>
    </row>
    <row r="13698">
      <c r="A13698" s="3">
        <v>45904.0</v>
      </c>
      <c r="B13698" s="4">
        <v>0.29930555555555555</v>
      </c>
      <c r="C13698" s="5" t="s">
        <v>64</v>
      </c>
      <c r="D13698" s="5" t="s">
        <v>1793</v>
      </c>
      <c r="E13698" s="8" t="s">
        <v>471</v>
      </c>
      <c r="F13698" s="5" t="s">
        <v>472</v>
      </c>
      <c r="G13698" s="6" t="str">
        <f>VLOOKUP(E13698,dicionario!$A$1:$C14097,2,0)</f>
        <v>Sida acuta</v>
      </c>
      <c r="H13698" s="6" t="str">
        <f>VLOOKUP(E13698,dicionario!$A$1:$C14097,3,0)</f>
        <v>reloginho</v>
      </c>
    </row>
    <row r="13699">
      <c r="A13699" s="3">
        <v>45904.0</v>
      </c>
      <c r="B13699" s="4">
        <v>0.3</v>
      </c>
      <c r="C13699" s="5" t="s">
        <v>64</v>
      </c>
      <c r="D13699" s="5" t="s">
        <v>1793</v>
      </c>
      <c r="E13699" s="6" t="s">
        <v>399</v>
      </c>
      <c r="F13699" s="5" t="s">
        <v>400</v>
      </c>
      <c r="G13699" s="6" t="str">
        <f>VLOOKUP(E13699,dicionario!$A$1:$C14098,2,0)</f>
        <v>Varronia curassavica</v>
      </c>
      <c r="H13699" s="6" t="str">
        <f>VLOOKUP(E13699,dicionario!$A$1:$C14098,3,0)</f>
        <v>erva-baleeira</v>
      </c>
    </row>
    <row r="13700">
      <c r="A13700" s="3">
        <v>45904.0</v>
      </c>
      <c r="B13700" s="4">
        <v>0.3</v>
      </c>
      <c r="C13700" s="5" t="s">
        <v>64</v>
      </c>
      <c r="D13700" s="5" t="s">
        <v>1793</v>
      </c>
      <c r="E13700" s="6" t="s">
        <v>193</v>
      </c>
      <c r="F13700" s="5" t="s">
        <v>194</v>
      </c>
      <c r="G13700" s="6" t="str">
        <f>VLOOKUP(E13700,dicionario!$A$1:$C14099,2,0)</f>
        <v>Conirostrum speciosum</v>
      </c>
      <c r="H13700" s="6" t="str">
        <f>VLOOKUP(E13700,dicionario!$A$1:$C14099,3,0)</f>
        <v>figuinha-de-rabo-castanho</v>
      </c>
    </row>
    <row r="13701">
      <c r="A13701" s="3">
        <v>45904.0</v>
      </c>
      <c r="B13701" s="4">
        <v>0.3</v>
      </c>
      <c r="C13701" s="5" t="s">
        <v>64</v>
      </c>
      <c r="D13701" s="5" t="s">
        <v>1793</v>
      </c>
      <c r="E13701" s="8" t="s">
        <v>150</v>
      </c>
      <c r="F13701" s="5" t="s">
        <v>151</v>
      </c>
      <c r="G13701" s="6" t="str">
        <f>VLOOKUP(E13701,dicionario!$A$1:$C14100,2,0)</f>
        <v>Amaranthus viridis</v>
      </c>
      <c r="H13701" s="6" t="str">
        <f>VLOOKUP(E13701,dicionario!$A$1:$C14100,3,0)</f>
        <v>caruru-de-mancha</v>
      </c>
    </row>
    <row r="13702">
      <c r="A13702" s="3">
        <v>45904.0</v>
      </c>
      <c r="B13702" s="4">
        <v>0.3</v>
      </c>
      <c r="C13702" s="5" t="s">
        <v>64</v>
      </c>
      <c r="D13702" s="5" t="s">
        <v>1793</v>
      </c>
      <c r="E13702" s="8" t="s">
        <v>385</v>
      </c>
      <c r="F13702" s="5" t="s">
        <v>386</v>
      </c>
      <c r="G13702" s="6" t="str">
        <f>VLOOKUP(E13702,dicionario!$A$1:$C14101,2,0)</f>
        <v>Psidium guajava</v>
      </c>
      <c r="H13702" s="6" t="str">
        <f>VLOOKUP(E13702,dicionario!$A$1:$C14101,3,0)</f>
        <v>goiaba</v>
      </c>
    </row>
    <row r="13703">
      <c r="A13703" s="3">
        <v>45904.0</v>
      </c>
      <c r="B13703" s="4">
        <v>0.30069444444444443</v>
      </c>
      <c r="C13703" s="5" t="s">
        <v>64</v>
      </c>
      <c r="D13703" s="5" t="s">
        <v>1793</v>
      </c>
      <c r="E13703" s="6" t="s">
        <v>229</v>
      </c>
      <c r="F13703" s="78" t="s">
        <v>230</v>
      </c>
      <c r="G13703" s="6" t="str">
        <f>VLOOKUP(E13703,dicionario!$A$1:$C14102,2,0)</f>
        <v>Apis mellifera</v>
      </c>
      <c r="H13703" s="6" t="str">
        <f>VLOOKUP(E13703,dicionario!$A$1:$C14102,3,0)</f>
        <v>abelha-do-mel</v>
      </c>
    </row>
    <row r="13704">
      <c r="A13704" s="3">
        <v>45904.0</v>
      </c>
      <c r="B13704" s="4">
        <v>0.30069444444444443</v>
      </c>
      <c r="C13704" s="5" t="s">
        <v>64</v>
      </c>
      <c r="D13704" s="5" t="s">
        <v>1793</v>
      </c>
      <c r="E13704" s="6" t="s">
        <v>682</v>
      </c>
      <c r="F13704" s="5" t="s">
        <v>683</v>
      </c>
      <c r="G13704" s="6" t="str">
        <f>VLOOKUP(E13704,dicionario!$A$1:$C14103,2,0)</f>
        <v>Lagria villosa</v>
      </c>
      <c r="H13704" s="6" t="str">
        <f>VLOOKUP(E13704,dicionario!$A$1:$C14103,3,0)</f>
        <v>bicho-capixaba</v>
      </c>
    </row>
    <row r="13705">
      <c r="A13705" s="3">
        <v>45904.0</v>
      </c>
      <c r="B13705" s="4">
        <v>0.3020833333333333</v>
      </c>
      <c r="C13705" s="5" t="s">
        <v>64</v>
      </c>
      <c r="D13705" s="5" t="s">
        <v>1793</v>
      </c>
      <c r="E13705" s="6" t="s">
        <v>22</v>
      </c>
      <c r="F13705" s="5" t="s">
        <v>97</v>
      </c>
      <c r="G13705" s="6" t="str">
        <f>VLOOKUP(E13705,dicionario!$A$1:$C14104,2,0)</f>
        <v>Zenaida auriculata</v>
      </c>
      <c r="H13705" s="6" t="str">
        <f>VLOOKUP(E13705,dicionario!$A$1:$C14104,3,0)</f>
        <v>pomba-de-bando; avoante</v>
      </c>
    </row>
    <row r="13706">
      <c r="A13706" s="3">
        <v>45904.0</v>
      </c>
      <c r="B13706" s="4">
        <v>0.3020833333333333</v>
      </c>
      <c r="C13706" s="5" t="s">
        <v>64</v>
      </c>
      <c r="D13706" s="5" t="s">
        <v>1793</v>
      </c>
      <c r="E13706" s="6" t="s">
        <v>191</v>
      </c>
      <c r="F13706" s="5" t="s">
        <v>192</v>
      </c>
      <c r="G13706" s="6" t="str">
        <f>VLOOKUP(E13706,dicionario!$A$1:$C14105,2,0)</f>
        <v>Patagioenas picazuro</v>
      </c>
      <c r="H13706" s="6" t="str">
        <f>VLOOKUP(E13706,dicionario!$A$1:$C14105,3,0)</f>
        <v>asa-branca; pomba-asa-branca; pocaçu</v>
      </c>
    </row>
    <row r="13707">
      <c r="A13707" s="3">
        <v>45904.0</v>
      </c>
      <c r="B13707" s="4">
        <v>0.30277777777777776</v>
      </c>
      <c r="C13707" s="5" t="s">
        <v>59</v>
      </c>
      <c r="D13707" s="5" t="s">
        <v>1793</v>
      </c>
      <c r="E13707" s="8" t="s">
        <v>109</v>
      </c>
      <c r="F13707" s="5" t="s">
        <v>110</v>
      </c>
      <c r="G13707" s="6" t="str">
        <f>VLOOKUP(E13707,dicionario!$A$1:$C14106,2,0)</f>
        <v>Tillandsia stricta</v>
      </c>
      <c r="H13707" s="6" t="str">
        <f>VLOOKUP(E13707,dicionario!$A$1:$C14106,3,0)</f>
        <v>cravo-do-mato</v>
      </c>
    </row>
    <row r="13708">
      <c r="A13708" s="3">
        <v>45904.0</v>
      </c>
      <c r="B13708" s="4">
        <v>0.30277777777777776</v>
      </c>
      <c r="C13708" s="5" t="s">
        <v>59</v>
      </c>
      <c r="D13708" s="5" t="s">
        <v>1793</v>
      </c>
      <c r="E13708" s="8" t="s">
        <v>1167</v>
      </c>
      <c r="F13708" s="61" t="s">
        <v>1598</v>
      </c>
      <c r="G13708" s="6" t="str">
        <f>VLOOKUP(E13708,dicionario!$A$1:$C14107,2,0)</f>
        <v>Tillandsia recurvata</v>
      </c>
      <c r="H13708" s="6" t="str">
        <f>VLOOKUP(E13708,dicionario!$A$1:$C14107,3,0)</f>
        <v>cravo-do-mato sp2</v>
      </c>
    </row>
    <row r="13709">
      <c r="A13709" s="3">
        <v>45904.0</v>
      </c>
      <c r="B13709" s="4">
        <v>0.30277777777777776</v>
      </c>
      <c r="C13709" s="5" t="s">
        <v>59</v>
      </c>
      <c r="D13709" s="5" t="s">
        <v>1793</v>
      </c>
      <c r="E13709" s="8"/>
      <c r="F13709" s="61" t="s">
        <v>1802</v>
      </c>
      <c r="G13709" s="6" t="str">
        <f>VLOOKUP(E13709,dicionario!$A$1:$C14108,2,0)</f>
        <v>#N/A</v>
      </c>
      <c r="H13709" s="6" t="str">
        <f>VLOOKUP(E13709,dicionario!$A$1:$C14108,3,0)</f>
        <v>#N/A</v>
      </c>
    </row>
    <row r="13710">
      <c r="A13710" s="3">
        <v>45904.0</v>
      </c>
      <c r="B13710" s="4">
        <v>0.30277777777777776</v>
      </c>
      <c r="C13710" s="5" t="s">
        <v>59</v>
      </c>
      <c r="D13710" s="5" t="s">
        <v>1793</v>
      </c>
      <c r="E13710" s="6"/>
      <c r="F13710" s="52" t="s">
        <v>1803</v>
      </c>
      <c r="G13710" s="6" t="str">
        <f>VLOOKUP(E13710,dicionario!$A$1:$C14109,2,0)</f>
        <v>#N/A</v>
      </c>
      <c r="H13710" s="6" t="str">
        <f>VLOOKUP(E13710,dicionario!$A$1:$C14109,3,0)</f>
        <v>#N/A</v>
      </c>
    </row>
    <row r="13711">
      <c r="A13711" s="3">
        <v>45904.0</v>
      </c>
      <c r="B13711" s="4">
        <v>0.30277777777777776</v>
      </c>
      <c r="C13711" s="5" t="s">
        <v>59</v>
      </c>
      <c r="D13711" s="5" t="s">
        <v>1793</v>
      </c>
      <c r="E13711" s="8" t="s">
        <v>135</v>
      </c>
      <c r="F13711" s="5" t="s">
        <v>136</v>
      </c>
      <c r="G13711" s="6" t="str">
        <f>VLOOKUP(E13711,dicionario!$A$1:$C14110,2,0)</f>
        <v>Tridax procumbens</v>
      </c>
      <c r="H13711" s="6" t="str">
        <f>VLOOKUP(E13711,dicionario!$A$1:$C14110,3,0)</f>
        <v>erva-de-touro</v>
      </c>
    </row>
    <row r="13712">
      <c r="A13712" s="3">
        <v>45904.0</v>
      </c>
      <c r="B13712" s="4">
        <v>0.3034722222222222</v>
      </c>
      <c r="C13712" s="5" t="s">
        <v>59</v>
      </c>
      <c r="D13712" s="5" t="s">
        <v>1793</v>
      </c>
      <c r="E13712" s="6" t="s">
        <v>72</v>
      </c>
      <c r="F13712" s="5" t="s">
        <v>73</v>
      </c>
      <c r="G13712" s="6" t="str">
        <f>VLOOKUP(E13712,dicionario!$A$1:$C14111,2,0)</f>
        <v>Thraupis palmarum</v>
      </c>
      <c r="H13712" s="6" t="str">
        <f>VLOOKUP(E13712,dicionario!$A$1:$C14111,3,0)</f>
        <v>sanhaço-do-coqueiro</v>
      </c>
    </row>
    <row r="13713">
      <c r="A13713" s="3">
        <v>45904.0</v>
      </c>
      <c r="B13713" s="4">
        <v>0.3034722222222222</v>
      </c>
      <c r="C13713" s="5" t="s">
        <v>59</v>
      </c>
      <c r="D13713" s="5" t="s">
        <v>1793</v>
      </c>
      <c r="E13713" s="8" t="s">
        <v>14</v>
      </c>
      <c r="F13713" s="5" t="s">
        <v>15</v>
      </c>
      <c r="G13713" s="6" t="str">
        <f>VLOOKUP(E13713,dicionario!$A$1:$C14112,2,0)</f>
        <v>Spermacoce verticillata</v>
      </c>
      <c r="H13713" s="6" t="str">
        <f>VLOOKUP(E13713,dicionario!$A$1:$C14112,3,0)</f>
        <v>vassourinha-de-botão</v>
      </c>
    </row>
    <row r="13714">
      <c r="A13714" s="3">
        <v>45904.0</v>
      </c>
      <c r="B13714" s="4">
        <v>0.3034722222222222</v>
      </c>
      <c r="C13714" s="5" t="s">
        <v>59</v>
      </c>
      <c r="D13714" s="5" t="s">
        <v>1793</v>
      </c>
      <c r="E13714" s="8" t="s">
        <v>271</v>
      </c>
      <c r="F13714" s="5" t="s">
        <v>1169</v>
      </c>
      <c r="G13714" s="6" t="str">
        <f>VLOOKUP(E13714,dicionario!$A$1:$C14113,2,0)</f>
        <v>Cyanthillium cinereum</v>
      </c>
      <c r="H13714" s="6" t="str">
        <f>VLOOKUP(E13714,dicionario!$A$1:$C14113,3,0)</f>
        <v>emília</v>
      </c>
    </row>
    <row r="13715">
      <c r="A13715" s="3">
        <v>45904.0</v>
      </c>
      <c r="B13715" s="4">
        <v>0.3034722222222222</v>
      </c>
      <c r="C13715" s="5" t="s">
        <v>59</v>
      </c>
      <c r="D13715" s="5" t="s">
        <v>1793</v>
      </c>
      <c r="E13715" s="8" t="s">
        <v>298</v>
      </c>
      <c r="F13715" s="7"/>
      <c r="G13715" s="6" t="str">
        <f>VLOOKUP(E13715,dicionario!$A$1:$C14114,2,0)</f>
        <v>Alysicarpus vaginalis</v>
      </c>
      <c r="H13715" s="6" t="str">
        <f>VLOOKUP(E13715,dicionario!$A$1:$C14114,3,0)</f>
        <v/>
      </c>
    </row>
    <row r="13716">
      <c r="A13716" s="3">
        <v>45904.0</v>
      </c>
      <c r="B13716" s="4">
        <v>0.3034722222222222</v>
      </c>
      <c r="C13716" s="5" t="s">
        <v>59</v>
      </c>
      <c r="D13716" s="5" t="s">
        <v>1793</v>
      </c>
      <c r="E13716" s="6" t="s">
        <v>53</v>
      </c>
      <c r="F13716" s="5" t="s">
        <v>54</v>
      </c>
      <c r="G13716" s="6" t="str">
        <f>VLOOKUP(E13716,dicionario!$A$1:$C14115,2,0)</f>
        <v>Turnera subulata</v>
      </c>
      <c r="H13716" s="6" t="str">
        <f>VLOOKUP(E13716,dicionario!$A$1:$C14115,3,0)</f>
        <v>xanana</v>
      </c>
    </row>
    <row r="13717">
      <c r="A13717" s="3">
        <v>45904.0</v>
      </c>
      <c r="B13717" s="4">
        <v>0.3034722222222222</v>
      </c>
      <c r="C13717" s="5" t="s">
        <v>59</v>
      </c>
      <c r="D13717" s="5" t="s">
        <v>1793</v>
      </c>
      <c r="E13717" s="6" t="s">
        <v>243</v>
      </c>
      <c r="F13717" s="5" t="s">
        <v>244</v>
      </c>
      <c r="G13717" s="6" t="str">
        <f>VLOOKUP(E13717,dicionario!$A$1:$C14116,2,0)</f>
        <v>Macroptilium atropurpureum</v>
      </c>
      <c r="H13717" s="6" t="str">
        <f>VLOOKUP(E13717,dicionario!$A$1:$C14116,3,0)</f>
        <v>feijão-de-pombo</v>
      </c>
    </row>
    <row r="13718">
      <c r="A13718" s="3">
        <v>45904.0</v>
      </c>
      <c r="B13718" s="4">
        <v>0.30416666666666664</v>
      </c>
      <c r="C13718" s="5" t="s">
        <v>59</v>
      </c>
      <c r="D13718" s="5" t="s">
        <v>1793</v>
      </c>
      <c r="E13718" s="6" t="s">
        <v>253</v>
      </c>
      <c r="F13718" s="5" t="s">
        <v>254</v>
      </c>
      <c r="G13718" s="6" t="str">
        <f>VLOOKUP(E13718,dicionario!$A$1:$C14117,2,0)</f>
        <v>Panicum maximum</v>
      </c>
      <c r="H13718" s="6" t="str">
        <f>VLOOKUP(E13718,dicionario!$A$1:$C14117,3,0)</f>
        <v>capim-colonião</v>
      </c>
    </row>
    <row r="13719">
      <c r="A13719" s="3">
        <v>45904.0</v>
      </c>
      <c r="B13719" s="4">
        <v>0.30416666666666664</v>
      </c>
      <c r="C13719" s="5" t="s">
        <v>59</v>
      </c>
      <c r="D13719" s="5" t="s">
        <v>1793</v>
      </c>
      <c r="E13719" s="6" t="s">
        <v>340</v>
      </c>
      <c r="F13719" s="5" t="s">
        <v>104</v>
      </c>
      <c r="G13719" s="6" t="str">
        <f>VLOOKUP(E13719,dicionario!$A$1:$C14118,2,0)</f>
        <v>#N/A</v>
      </c>
      <c r="H13719" s="6" t="str">
        <f>VLOOKUP(E13719,dicionario!$A$1:$C14118,3,0)</f>
        <v>#N/A</v>
      </c>
    </row>
    <row r="13720">
      <c r="A13720" s="3">
        <v>45904.0</v>
      </c>
      <c r="B13720" s="4">
        <v>0.30416666666666664</v>
      </c>
      <c r="C13720" s="5" t="s">
        <v>59</v>
      </c>
      <c r="D13720" s="5" t="s">
        <v>1793</v>
      </c>
      <c r="E13720" s="6" t="s">
        <v>290</v>
      </c>
      <c r="F13720" s="5" t="s">
        <v>291</v>
      </c>
      <c r="G13720" s="6" t="str">
        <f>VLOOKUP(E13720,dicionario!$A$1:$C14119,2,0)</f>
        <v>Drymaria cordata</v>
      </c>
      <c r="H13720" s="6" t="str">
        <f>VLOOKUP(E13720,dicionario!$A$1:$C14119,3,0)</f>
        <v>orelha-de-rato</v>
      </c>
    </row>
    <row r="13721">
      <c r="A13721" s="3">
        <v>45904.0</v>
      </c>
      <c r="B13721" s="4">
        <v>0.30416666666666664</v>
      </c>
      <c r="C13721" s="5" t="s">
        <v>59</v>
      </c>
      <c r="D13721" s="5" t="s">
        <v>1793</v>
      </c>
      <c r="E13721" s="6" t="s">
        <v>213</v>
      </c>
      <c r="F13721" s="5" t="s">
        <v>1456</v>
      </c>
      <c r="G13721" s="6" t="str">
        <f>VLOOKUP(E13721,dicionario!$A$1:$C14120,2,0)</f>
        <v>Myiozetetes similis</v>
      </c>
      <c r="H13721" s="6" t="str">
        <f>VLOOKUP(E13721,dicionario!$A$1:$C14120,3,0)</f>
        <v>bentevizinho-de-penacho-vermelho</v>
      </c>
    </row>
    <row r="13722">
      <c r="A13722" s="3">
        <v>45904.0</v>
      </c>
      <c r="B13722" s="4">
        <v>0.30486111111111114</v>
      </c>
      <c r="C13722" s="5" t="s">
        <v>59</v>
      </c>
      <c r="D13722" s="5" t="s">
        <v>1793</v>
      </c>
      <c r="E13722" s="6" t="s">
        <v>193</v>
      </c>
      <c r="F13722" s="5" t="s">
        <v>894</v>
      </c>
      <c r="G13722" s="6" t="str">
        <f>VLOOKUP(E13722,dicionario!$A$1:$C14121,2,0)</f>
        <v>Conirostrum speciosum</v>
      </c>
      <c r="H13722" s="6" t="str">
        <f>VLOOKUP(E13722,dicionario!$A$1:$C14121,3,0)</f>
        <v>figuinha-de-rabo-castanho</v>
      </c>
    </row>
    <row r="13723">
      <c r="A13723" s="3">
        <v>45904.0</v>
      </c>
      <c r="B13723" s="4">
        <v>0.30486111111111114</v>
      </c>
      <c r="C13723" s="5" t="s">
        <v>59</v>
      </c>
      <c r="D13723" s="5" t="s">
        <v>1793</v>
      </c>
      <c r="E13723" s="10" t="s">
        <v>101</v>
      </c>
      <c r="F13723" s="5" t="s">
        <v>1804</v>
      </c>
      <c r="G13723" s="6" t="str">
        <f>VLOOKUP(E13723,dicionario!$A$1:$C14122,2,0)</f>
        <v>Nemosia pileata</v>
      </c>
      <c r="H13723" s="6" t="str">
        <f>VLOOKUP(E13723,dicionario!$A$1:$C14122,3,0)</f>
        <v>saíra-de-chapéu-preto</v>
      </c>
    </row>
    <row r="13724">
      <c r="A13724" s="3">
        <v>45904.0</v>
      </c>
      <c r="B13724" s="4">
        <v>0.30486111111111114</v>
      </c>
      <c r="C13724" s="5" t="s">
        <v>59</v>
      </c>
      <c r="D13724" s="5" t="s">
        <v>1793</v>
      </c>
      <c r="E13724" s="8" t="s">
        <v>366</v>
      </c>
      <c r="F13724" s="5" t="s">
        <v>367</v>
      </c>
      <c r="G13724" s="6" t="str">
        <f>VLOOKUP(E13724,dicionario!$A$1:$C14123,2,0)</f>
        <v>Alternanthera ficoidea</v>
      </c>
      <c r="H13724" s="6" t="str">
        <f>VLOOKUP(E13724,dicionario!$A$1:$C14123,3,0)</f>
        <v>quebra-panela</v>
      </c>
    </row>
    <row r="13725">
      <c r="A13725" s="3">
        <v>45904.0</v>
      </c>
      <c r="B13725" s="4">
        <v>0.30486111111111114</v>
      </c>
      <c r="C13725" s="5" t="s">
        <v>59</v>
      </c>
      <c r="D13725" s="5" t="s">
        <v>1793</v>
      </c>
      <c r="E13725" s="8" t="s">
        <v>849</v>
      </c>
      <c r="F13725" s="5" t="s">
        <v>1457</v>
      </c>
      <c r="G13725" s="6" t="str">
        <f>VLOOKUP(E13725,dicionario!$A$1:$C14124,2,0)</f>
        <v>#N/A</v>
      </c>
      <c r="H13725" s="6" t="str">
        <f>VLOOKUP(E13725,dicionario!$A$1:$C14124,3,0)</f>
        <v>#N/A</v>
      </c>
    </row>
    <row r="13726">
      <c r="A13726" s="3">
        <v>45904.0</v>
      </c>
      <c r="B13726" s="4">
        <v>0.30625</v>
      </c>
      <c r="C13726" s="5" t="s">
        <v>59</v>
      </c>
      <c r="D13726" s="5" t="s">
        <v>1793</v>
      </c>
      <c r="E13726" s="6" t="s">
        <v>60</v>
      </c>
      <c r="F13726" s="5" t="s">
        <v>61</v>
      </c>
      <c r="G13726" s="6" t="str">
        <f>VLOOKUP(E13726,dicionario!$A$1:$C14125,2,0)</f>
        <v>Vanellus chilensis</v>
      </c>
      <c r="H13726" s="6" t="str">
        <f>VLOOKUP(E13726,dicionario!$A$1:$C14125,3,0)</f>
        <v>quero-quero</v>
      </c>
    </row>
    <row r="13727">
      <c r="A13727" s="3">
        <v>45904.0</v>
      </c>
      <c r="B13727" s="4">
        <v>0.30625</v>
      </c>
      <c r="C13727" s="5" t="s">
        <v>59</v>
      </c>
      <c r="D13727" s="5" t="s">
        <v>1793</v>
      </c>
      <c r="E13727" s="6" t="s">
        <v>286</v>
      </c>
      <c r="F13727" s="5" t="s">
        <v>287</v>
      </c>
      <c r="G13727" s="6" t="str">
        <f>VLOOKUP(E13727,dicionario!$A$1:$C14126,2,0)</f>
        <v>Setaria parviflora</v>
      </c>
      <c r="H13727" s="6" t="str">
        <f>VLOOKUP(E13727,dicionario!$A$1:$C14126,3,0)</f>
        <v>capim-rabo-de-raposa</v>
      </c>
    </row>
    <row r="13728">
      <c r="A13728" s="3">
        <v>45904.0</v>
      </c>
      <c r="B13728" s="4">
        <v>0.30625</v>
      </c>
      <c r="C13728" s="5" t="s">
        <v>59</v>
      </c>
      <c r="D13728" s="5" t="s">
        <v>1793</v>
      </c>
      <c r="E13728" s="6" t="s">
        <v>111</v>
      </c>
      <c r="F13728" s="5" t="s">
        <v>112</v>
      </c>
      <c r="G13728" s="6" t="str">
        <f>VLOOKUP(E13728,dicionario!$A$1:$C14127,2,0)</f>
        <v>Trigona spinipes</v>
      </c>
      <c r="H13728" s="6" t="str">
        <f>VLOOKUP(E13728,dicionario!$A$1:$C14127,3,0)</f>
        <v>abelha-cachorro</v>
      </c>
    </row>
    <row r="13729">
      <c r="A13729" s="3">
        <v>45904.0</v>
      </c>
      <c r="B13729" s="4">
        <v>0.30625</v>
      </c>
      <c r="C13729" s="5" t="s">
        <v>59</v>
      </c>
      <c r="D13729" s="5" t="s">
        <v>1793</v>
      </c>
      <c r="E13729" s="8" t="s">
        <v>1123</v>
      </c>
      <c r="F13729" s="5" t="s">
        <v>737</v>
      </c>
      <c r="G13729" s="6" t="str">
        <f>VLOOKUP(E13729,dicionario!$A$1:$C14128,2,0)</f>
        <v>#N/A</v>
      </c>
      <c r="H13729" s="6" t="str">
        <f>VLOOKUP(E13729,dicionario!$A$1:$C14128,3,0)</f>
        <v>#N/A</v>
      </c>
    </row>
    <row r="13730">
      <c r="A13730" s="3">
        <v>45904.0</v>
      </c>
      <c r="B13730" s="4">
        <v>0.30694444444444446</v>
      </c>
      <c r="C13730" s="5" t="s">
        <v>59</v>
      </c>
      <c r="D13730" s="5" t="s">
        <v>1793</v>
      </c>
      <c r="E13730" s="6" t="s">
        <v>99</v>
      </c>
      <c r="F13730" s="5" t="s">
        <v>508</v>
      </c>
      <c r="G13730" s="6" t="str">
        <f>VLOOKUP(E13730,dicionario!$A$1:$C14129,2,0)</f>
        <v>Molothrus bonariensis</v>
      </c>
      <c r="H13730" s="6" t="str">
        <f>VLOOKUP(E13730,dicionario!$A$1:$C14129,3,0)</f>
        <v>chupim</v>
      </c>
    </row>
    <row r="13731">
      <c r="A13731" s="3">
        <v>45904.0</v>
      </c>
      <c r="B13731" s="4">
        <v>0.30694444444444446</v>
      </c>
      <c r="C13731" s="5" t="s">
        <v>59</v>
      </c>
      <c r="D13731" s="5" t="s">
        <v>1793</v>
      </c>
      <c r="E13731" s="8" t="s">
        <v>1127</v>
      </c>
      <c r="F13731" s="5" t="s">
        <v>1286</v>
      </c>
      <c r="G13731" s="6" t="str">
        <f>VLOOKUP(E13731,dicionario!$A$1:$C14130,2,0)</f>
        <v>Albizia lebbeck</v>
      </c>
      <c r="H13731" s="6" t="str">
        <f>VLOOKUP(E13731,dicionario!$A$1:$C14130,3,0)</f>
        <v>albízia</v>
      </c>
    </row>
    <row r="13732">
      <c r="A13732" s="3">
        <v>45904.0</v>
      </c>
      <c r="B13732" s="4">
        <v>0.30694444444444446</v>
      </c>
      <c r="C13732" s="5" t="s">
        <v>59</v>
      </c>
      <c r="D13732" s="5" t="s">
        <v>1793</v>
      </c>
      <c r="E13732" s="8" t="s">
        <v>107</v>
      </c>
      <c r="F13732" s="5" t="s">
        <v>834</v>
      </c>
      <c r="G13732" s="6" t="str">
        <f>VLOOKUP(E13732,dicionario!$A$1:$C14131,2,0)</f>
        <v>Ramalina complanata</v>
      </c>
      <c r="H13732" s="6" t="str">
        <f>VLOOKUP(E13732,dicionario!$A$1:$C14131,3,0)</f>
        <v>ramalina</v>
      </c>
    </row>
    <row r="13733">
      <c r="A13733" s="3">
        <v>45904.0</v>
      </c>
      <c r="B13733" s="4">
        <v>0.30694444444444446</v>
      </c>
      <c r="C13733" s="5" t="s">
        <v>59</v>
      </c>
      <c r="D13733" s="5" t="s">
        <v>1793</v>
      </c>
      <c r="E13733" s="6" t="s">
        <v>48</v>
      </c>
      <c r="F13733" s="5" t="s">
        <v>49</v>
      </c>
      <c r="G13733" s="6" t="str">
        <f>VLOOKUP(E13733,dicionario!$A$1:$C14132,2,0)</f>
        <v>Commelina erecta</v>
      </c>
      <c r="H13733" s="6" t="str">
        <f>VLOOKUP(E13733,dicionario!$A$1:$C14132,3,0)</f>
        <v>trapoeraba</v>
      </c>
    </row>
    <row r="13734">
      <c r="A13734" s="3">
        <v>45904.0</v>
      </c>
      <c r="B13734" s="4">
        <v>0.30694444444444446</v>
      </c>
      <c r="C13734" s="5" t="s">
        <v>59</v>
      </c>
      <c r="D13734" s="5" t="s">
        <v>1793</v>
      </c>
      <c r="E13734" s="6" t="s">
        <v>191</v>
      </c>
      <c r="F13734" s="5" t="s">
        <v>192</v>
      </c>
      <c r="G13734" s="6" t="str">
        <f>VLOOKUP(E13734,dicionario!$A$1:$C14133,2,0)</f>
        <v>Patagioenas picazuro</v>
      </c>
      <c r="H13734" s="6" t="str">
        <f>VLOOKUP(E13734,dicionario!$A$1:$C14133,3,0)</f>
        <v>asa-branca; pomba-asa-branca; pocaçu</v>
      </c>
    </row>
    <row r="13735">
      <c r="A13735" s="3">
        <v>45904.0</v>
      </c>
      <c r="B13735" s="4">
        <v>0.3090277777777778</v>
      </c>
      <c r="C13735" s="5" t="s">
        <v>50</v>
      </c>
      <c r="D13735" s="5" t="s">
        <v>1793</v>
      </c>
      <c r="E13735" s="53" t="s">
        <v>1680</v>
      </c>
      <c r="F13735" s="5" t="s">
        <v>1771</v>
      </c>
      <c r="G13735" s="6" t="str">
        <f>VLOOKUP(E13735,dicionario!$A$1:$C14134,2,0)</f>
        <v>Xanthoria parietina</v>
      </c>
      <c r="H13735" s="6" t="str">
        <f>VLOOKUP(E13735,dicionario!$A$1:$C14134,3,0)</f>
        <v>líquen-amarelo</v>
      </c>
    </row>
    <row r="13736">
      <c r="A13736" s="3">
        <v>45904.0</v>
      </c>
      <c r="B13736" s="4">
        <v>0.3090277777777778</v>
      </c>
      <c r="C13736" s="5" t="s">
        <v>50</v>
      </c>
      <c r="D13736" s="5" t="s">
        <v>1793</v>
      </c>
      <c r="E13736" s="8" t="s">
        <v>719</v>
      </c>
      <c r="F13736" s="5" t="s">
        <v>911</v>
      </c>
      <c r="G13736" s="6" t="str">
        <f>VLOOKUP(E13736,dicionario!$A$1:$C14135,2,0)</f>
        <v>Dirinaria</v>
      </c>
      <c r="H13736" s="6" t="str">
        <f>VLOOKUP(E13736,dicionario!$A$1:$C14135,3,0)</f>
        <v>líquen-crostoso</v>
      </c>
    </row>
    <row r="13737">
      <c r="A13737" s="3">
        <v>45904.0</v>
      </c>
      <c r="B13737" s="4">
        <v>0.3090277777777778</v>
      </c>
      <c r="C13737" s="5" t="s">
        <v>50</v>
      </c>
      <c r="D13737" s="5" t="s">
        <v>1793</v>
      </c>
      <c r="E13737" s="8" t="s">
        <v>712</v>
      </c>
      <c r="F13737" s="5" t="s">
        <v>912</v>
      </c>
      <c r="G13737" s="6" t="str">
        <f>VLOOKUP(E13737,dicionario!$A$1:$C14136,2,0)</f>
        <v>Flavopunctelia soredica</v>
      </c>
      <c r="H13737" s="6" t="str">
        <f>VLOOKUP(E13737,dicionario!$A$1:$C14136,3,0)</f>
        <v>líquen-folioso</v>
      </c>
    </row>
    <row r="13738">
      <c r="A13738" s="3">
        <v>45904.0</v>
      </c>
      <c r="B13738" s="4">
        <v>0.3090277777777778</v>
      </c>
      <c r="C13738" s="5" t="s">
        <v>50</v>
      </c>
      <c r="D13738" s="5" t="s">
        <v>1793</v>
      </c>
      <c r="E13738" s="8" t="s">
        <v>107</v>
      </c>
      <c r="F13738" s="5" t="s">
        <v>834</v>
      </c>
      <c r="G13738" s="6" t="str">
        <f>VLOOKUP(E13738,dicionario!$A$1:$C14137,2,0)</f>
        <v>Ramalina complanata</v>
      </c>
      <c r="H13738" s="6" t="str">
        <f>VLOOKUP(E13738,dicionario!$A$1:$C14137,3,0)</f>
        <v>ramalina</v>
      </c>
    </row>
    <row r="13739">
      <c r="A13739" s="3">
        <v>45904.0</v>
      </c>
      <c r="B13739" s="4">
        <v>0.3090277777777778</v>
      </c>
      <c r="C13739" s="5" t="s">
        <v>50</v>
      </c>
      <c r="D13739" s="5" t="s">
        <v>1793</v>
      </c>
      <c r="E13739" s="8" t="s">
        <v>792</v>
      </c>
      <c r="F13739" s="5" t="s">
        <v>1014</v>
      </c>
      <c r="G13739" s="6" t="str">
        <f>VLOOKUP(E13739,dicionario!$A$1:$C14138,2,0)</f>
        <v>Musca domestica</v>
      </c>
      <c r="H13739" s="6" t="str">
        <f>VLOOKUP(E13739,dicionario!$A$1:$C14138,3,0)</f>
        <v>mosca-doméstica</v>
      </c>
    </row>
    <row r="13740">
      <c r="A13740" s="3">
        <v>45904.0</v>
      </c>
      <c r="B13740" s="4">
        <v>0.3111111111111111</v>
      </c>
      <c r="C13740" s="5" t="s">
        <v>50</v>
      </c>
      <c r="D13740" s="5" t="s">
        <v>1793</v>
      </c>
      <c r="E13740" s="12" t="s">
        <v>152</v>
      </c>
      <c r="F13740" s="5" t="s">
        <v>153</v>
      </c>
      <c r="G13740" s="6" t="str">
        <f>VLOOKUP(E13740,dicionario!$A$1:$C14139,2,0)</f>
        <v>Cynodon dactylon</v>
      </c>
      <c r="H13740" s="6" t="str">
        <f>VLOOKUP(E13740,dicionario!$A$1:$C14139,3,0)</f>
        <v>grama-bermuda</v>
      </c>
    </row>
    <row r="13741">
      <c r="A13741" s="3">
        <v>45904.0</v>
      </c>
      <c r="B13741" s="4">
        <v>0.3111111111111111</v>
      </c>
      <c r="C13741" s="5" t="s">
        <v>50</v>
      </c>
      <c r="D13741" s="5" t="s">
        <v>1793</v>
      </c>
      <c r="E13741" s="6" t="s">
        <v>148</v>
      </c>
      <c r="F13741" s="5" t="s">
        <v>149</v>
      </c>
      <c r="G13741" s="6" t="str">
        <f>VLOOKUP(E13741,dicionario!$A$1:$C14140,2,0)</f>
        <v>Parthenium hysterophorus</v>
      </c>
      <c r="H13741" s="6" t="str">
        <f>VLOOKUP(E13741,dicionario!$A$1:$C14140,3,0)</f>
        <v>losna-branca</v>
      </c>
    </row>
    <row r="13742">
      <c r="A13742" s="3">
        <v>45904.0</v>
      </c>
      <c r="B13742" s="4">
        <v>0.3111111111111111</v>
      </c>
      <c r="C13742" s="5" t="s">
        <v>50</v>
      </c>
      <c r="D13742" s="5" t="s">
        <v>1793</v>
      </c>
      <c r="E13742" s="8" t="s">
        <v>262</v>
      </c>
      <c r="F13742" s="5" t="s">
        <v>263</v>
      </c>
      <c r="G13742" s="6" t="str">
        <f>VLOOKUP(E13742,dicionario!$A$1:$C14141,2,0)</f>
        <v>Portulaca oleracea</v>
      </c>
      <c r="H13742" s="6" t="str">
        <f>VLOOKUP(E13742,dicionario!$A$1:$C14141,3,0)</f>
        <v>beldroega</v>
      </c>
    </row>
    <row r="13743">
      <c r="A13743" s="3">
        <v>45904.0</v>
      </c>
      <c r="B13743" s="4">
        <v>0.3111111111111111</v>
      </c>
      <c r="C13743" s="5" t="s">
        <v>50</v>
      </c>
      <c r="D13743" s="5" t="s">
        <v>1793</v>
      </c>
      <c r="E13743" s="6" t="s">
        <v>57</v>
      </c>
      <c r="F13743" s="5" t="s">
        <v>559</v>
      </c>
      <c r="G13743" s="6" t="str">
        <f>VLOOKUP(E13743,dicionario!$A$1:$C14142,2,0)</f>
        <v>Juliformia</v>
      </c>
      <c r="H13743" s="6" t="str">
        <f>VLOOKUP(E13743,dicionario!$A$1:$C14142,3,0)</f>
        <v>gongolo; maria-café</v>
      </c>
    </row>
    <row r="13744">
      <c r="A13744" s="3">
        <v>45904.0</v>
      </c>
      <c r="B13744" s="4">
        <v>0.3111111111111111</v>
      </c>
      <c r="C13744" s="5" t="s">
        <v>50</v>
      </c>
      <c r="D13744" s="5" t="s">
        <v>1793</v>
      </c>
      <c r="E13744" s="6" t="s">
        <v>55</v>
      </c>
      <c r="F13744" s="5" t="s">
        <v>773</v>
      </c>
      <c r="G13744" s="6" t="str">
        <f>VLOOKUP(E13744,dicionario!$A$1:$C14143,2,0)</f>
        <v>Cubaris murina</v>
      </c>
      <c r="H13744" s="6" t="str">
        <f>VLOOKUP(E13744,dicionario!$A$1:$C14143,3,0)</f>
        <v>tatuzinho-de-jardim</v>
      </c>
    </row>
    <row r="13745">
      <c r="A13745" s="3">
        <v>45904.0</v>
      </c>
      <c r="B13745" s="4">
        <v>0.3111111111111111</v>
      </c>
      <c r="C13745" s="5" t="s">
        <v>50</v>
      </c>
      <c r="D13745" s="5" t="s">
        <v>1793</v>
      </c>
      <c r="E13745" s="6" t="s">
        <v>60</v>
      </c>
      <c r="F13745" s="5" t="s">
        <v>61</v>
      </c>
      <c r="G13745" s="6" t="str">
        <f>VLOOKUP(E13745,dicionario!$A$1:$C14144,2,0)</f>
        <v>Vanellus chilensis</v>
      </c>
      <c r="H13745" s="6" t="str">
        <f>VLOOKUP(E13745,dicionario!$A$1:$C14144,3,0)</f>
        <v>quero-quero</v>
      </c>
    </row>
    <row r="13746">
      <c r="A13746" s="3">
        <v>45904.0</v>
      </c>
      <c r="B13746" s="4">
        <v>0.3111111111111111</v>
      </c>
      <c r="C13746" s="5" t="s">
        <v>50</v>
      </c>
      <c r="D13746" s="5" t="s">
        <v>1793</v>
      </c>
      <c r="E13746" s="6" t="s">
        <v>163</v>
      </c>
      <c r="F13746" s="5" t="s">
        <v>164</v>
      </c>
      <c r="G13746" s="6" t="str">
        <f>VLOOKUP(E13746,dicionario!$A$1:$C14145,2,0)</f>
        <v>Coragyps atratus</v>
      </c>
      <c r="H13746" s="6" t="str">
        <f>VLOOKUP(E13746,dicionario!$A$1:$C14145,3,0)</f>
        <v>urubu-de-cabeça-preta</v>
      </c>
    </row>
    <row r="13747">
      <c r="A13747" s="3">
        <v>45904.0</v>
      </c>
      <c r="B13747" s="4">
        <v>0.3111111111111111</v>
      </c>
      <c r="C13747" s="5" t="s">
        <v>50</v>
      </c>
      <c r="D13747" s="5" t="s">
        <v>1793</v>
      </c>
      <c r="E13747" s="6" t="s">
        <v>253</v>
      </c>
      <c r="F13747" s="5" t="s">
        <v>254</v>
      </c>
      <c r="G13747" s="6" t="str">
        <f>VLOOKUP(E13747,dicionario!$A$1:$C14146,2,0)</f>
        <v>Panicum maximum</v>
      </c>
      <c r="H13747" s="6" t="str">
        <f>VLOOKUP(E13747,dicionario!$A$1:$C14146,3,0)</f>
        <v>capim-colonião</v>
      </c>
    </row>
    <row r="13748">
      <c r="A13748" s="3">
        <v>45904.0</v>
      </c>
      <c r="B13748" s="4">
        <v>0.31319444444444444</v>
      </c>
      <c r="C13748" s="5" t="s">
        <v>50</v>
      </c>
      <c r="D13748" s="5" t="s">
        <v>1793</v>
      </c>
      <c r="E13748" s="8" t="s">
        <v>22</v>
      </c>
      <c r="F13748" s="5" t="s">
        <v>902</v>
      </c>
      <c r="G13748" s="6" t="str">
        <f>VLOOKUP(E13748,dicionario!$A$1:$C14147,2,0)</f>
        <v>Zenaida auriculata</v>
      </c>
      <c r="H13748" s="6" t="str">
        <f>VLOOKUP(E13748,dicionario!$A$1:$C14147,3,0)</f>
        <v>pomba-de-bando; avoante</v>
      </c>
    </row>
    <row r="13749">
      <c r="A13749" s="3">
        <v>45904.0</v>
      </c>
      <c r="B13749" s="4">
        <v>0.31319444444444444</v>
      </c>
      <c r="C13749" s="5" t="s">
        <v>50</v>
      </c>
      <c r="D13749" s="5" t="s">
        <v>1793</v>
      </c>
      <c r="E13749" s="6" t="s">
        <v>113</v>
      </c>
      <c r="F13749" s="5" t="s">
        <v>114</v>
      </c>
      <c r="G13749" s="6" t="str">
        <f>VLOOKUP(E13749,dicionario!$A$1:$C14148,2,0)</f>
        <v>Columbina talpacoti</v>
      </c>
      <c r="H13749" s="6" t="str">
        <f>VLOOKUP(E13749,dicionario!$A$1:$C14148,3,0)</f>
        <v>rolinha-roxa</v>
      </c>
    </row>
    <row r="13750">
      <c r="A13750" s="3">
        <v>45904.0</v>
      </c>
      <c r="B13750" s="4">
        <v>0.31319444444444444</v>
      </c>
      <c r="C13750" s="5" t="s">
        <v>50</v>
      </c>
      <c r="D13750" s="5" t="s">
        <v>1793</v>
      </c>
      <c r="E13750" s="6" t="s">
        <v>175</v>
      </c>
      <c r="F13750" s="5" t="s">
        <v>176</v>
      </c>
      <c r="G13750" s="6" t="str">
        <f>VLOOKUP(E13750,dicionario!$A$1:$C14149,2,0)</f>
        <v>Turdus leucomelas</v>
      </c>
      <c r="H13750" s="6" t="str">
        <f>VLOOKUP(E13750,dicionario!$A$1:$C14149,3,0)</f>
        <v>sabiá-barranco</v>
      </c>
    </row>
    <row r="13751">
      <c r="A13751" s="3">
        <v>45904.0</v>
      </c>
      <c r="B13751" s="4">
        <v>0.31319444444444444</v>
      </c>
      <c r="C13751" s="5" t="s">
        <v>50</v>
      </c>
      <c r="D13751" s="5" t="s">
        <v>1793</v>
      </c>
      <c r="E13751" s="6" t="s">
        <v>122</v>
      </c>
      <c r="F13751" s="5" t="s">
        <v>1453</v>
      </c>
      <c r="G13751" s="6" t="str">
        <f>VLOOKUP(E13751,dicionario!$A$1:$C14150,2,0)</f>
        <v>Todirostrum cinereum</v>
      </c>
      <c r="H13751" s="6" t="str">
        <f>VLOOKUP(E13751,dicionario!$A$1:$C14150,3,0)</f>
        <v>ferreirinho-relógio</v>
      </c>
    </row>
    <row r="13752">
      <c r="A13752" s="3">
        <v>45904.0</v>
      </c>
      <c r="B13752" s="4">
        <v>0.3145833333333333</v>
      </c>
      <c r="C13752" s="5" t="s">
        <v>50</v>
      </c>
      <c r="D13752" s="5" t="s">
        <v>1793</v>
      </c>
      <c r="E13752" s="6" t="s">
        <v>467</v>
      </c>
      <c r="F13752" s="5" t="s">
        <v>1365</v>
      </c>
      <c r="G13752" s="6" t="str">
        <f>VLOOKUP(E13752,dicionario!$A$1:$C14151,2,0)</f>
        <v>Eleusine indica</v>
      </c>
      <c r="H13752" s="6" t="str">
        <f>VLOOKUP(E13752,dicionario!$A$1:$C14151,3,0)</f>
        <v>capim-pé-de-galinha</v>
      </c>
    </row>
    <row r="13753">
      <c r="A13753" s="3">
        <v>45904.0</v>
      </c>
      <c r="B13753" s="4">
        <v>0.3145833333333333</v>
      </c>
      <c r="C13753" s="5" t="s">
        <v>50</v>
      </c>
      <c r="D13753" s="5" t="s">
        <v>1793</v>
      </c>
      <c r="E13753" s="67" t="s">
        <v>338</v>
      </c>
      <c r="F13753" s="5" t="s">
        <v>238</v>
      </c>
      <c r="G13753" s="6" t="str">
        <f>VLOOKUP(E13753,dicionario!$A$1:$C14152,2,0)</f>
        <v>Atta</v>
      </c>
      <c r="H13753" s="6" t="str">
        <f>VLOOKUP(E13753,dicionario!$A$1:$C14152,3,0)</f>
        <v>saúva</v>
      </c>
    </row>
    <row r="13754">
      <c r="A13754" s="3">
        <v>45904.0</v>
      </c>
      <c r="B13754" s="4">
        <v>0.31666666666666665</v>
      </c>
      <c r="C13754" s="5" t="s">
        <v>40</v>
      </c>
      <c r="D13754" s="5" t="s">
        <v>1793</v>
      </c>
      <c r="E13754" s="6" t="s">
        <v>302</v>
      </c>
      <c r="F13754" s="5" t="s">
        <v>303</v>
      </c>
      <c r="G13754" s="6" t="str">
        <f>VLOOKUP(E13754,dicionario!$A$1:$C14153,2,0)</f>
        <v>Machetornis rixosa</v>
      </c>
      <c r="H13754" s="6" t="str">
        <f>VLOOKUP(E13754,dicionario!$A$1:$C14153,3,0)</f>
        <v>suiriri-cavaleiro</v>
      </c>
    </row>
    <row r="13755">
      <c r="A13755" s="3">
        <v>45904.0</v>
      </c>
      <c r="B13755" s="4">
        <v>0.31805555555555554</v>
      </c>
      <c r="C13755" s="5" t="s">
        <v>40</v>
      </c>
      <c r="D13755" s="5" t="s">
        <v>1793</v>
      </c>
      <c r="E13755" s="8" t="s">
        <v>298</v>
      </c>
      <c r="F13755" s="5"/>
      <c r="G13755" s="6" t="str">
        <f>VLOOKUP(E13755,dicionario!$A$1:$C14154,2,0)</f>
        <v>Alysicarpus vaginalis</v>
      </c>
      <c r="H13755" s="6" t="str">
        <f>VLOOKUP(E13755,dicionario!$A$1:$C14154,3,0)</f>
        <v/>
      </c>
    </row>
    <row r="13756">
      <c r="A13756" s="3">
        <v>45904.0</v>
      </c>
      <c r="B13756" s="4">
        <v>0.31805555555555554</v>
      </c>
      <c r="C13756" s="5" t="s">
        <v>40</v>
      </c>
      <c r="D13756" s="5" t="s">
        <v>1793</v>
      </c>
      <c r="E13756" s="72" t="s">
        <v>1783</v>
      </c>
      <c r="F13756" s="61" t="s">
        <v>1088</v>
      </c>
      <c r="G13756" s="6" t="str">
        <f>VLOOKUP(E13756,dicionario!$A$1:$C14155,2,0)</f>
        <v>#N/A</v>
      </c>
      <c r="H13756" s="6" t="str">
        <f>VLOOKUP(E13756,dicionario!$A$1:$C14155,3,0)</f>
        <v>#N/A</v>
      </c>
    </row>
    <row r="13757">
      <c r="A13757" s="3">
        <v>45904.0</v>
      </c>
      <c r="B13757" s="4">
        <v>0.31805555555555554</v>
      </c>
      <c r="C13757" s="5" t="s">
        <v>40</v>
      </c>
      <c r="D13757" s="5" t="s">
        <v>1793</v>
      </c>
      <c r="E13757" s="8" t="s">
        <v>135</v>
      </c>
      <c r="F13757" s="5" t="s">
        <v>136</v>
      </c>
      <c r="G13757" s="6" t="str">
        <f>VLOOKUP(E13757,dicionario!$A$1:$C14156,2,0)</f>
        <v>Tridax procumbens</v>
      </c>
      <c r="H13757" s="6" t="str">
        <f>VLOOKUP(E13757,dicionario!$A$1:$C14156,3,0)</f>
        <v>erva-de-touro</v>
      </c>
    </row>
    <row r="13758">
      <c r="A13758" s="3">
        <v>45904.0</v>
      </c>
      <c r="B13758" s="4">
        <v>0.31805555555555554</v>
      </c>
      <c r="C13758" s="5" t="s">
        <v>40</v>
      </c>
      <c r="D13758" s="5" t="s">
        <v>1793</v>
      </c>
      <c r="E13758" s="8" t="s">
        <v>146</v>
      </c>
      <c r="F13758" s="5" t="s">
        <v>147</v>
      </c>
      <c r="G13758" s="6" t="str">
        <f>VLOOKUP(E13758,dicionario!$A$1:$C14157,2,0)</f>
        <v>Euphorbia hirta</v>
      </c>
      <c r="H13758" s="6" t="str">
        <f>VLOOKUP(E13758,dicionario!$A$1:$C14157,3,0)</f>
        <v>erva-de-santa-luzia</v>
      </c>
    </row>
    <row r="13759">
      <c r="A13759" s="3">
        <v>45904.0</v>
      </c>
      <c r="B13759" s="4">
        <v>0.31805555555555554</v>
      </c>
      <c r="C13759" s="5" t="s">
        <v>40</v>
      </c>
      <c r="D13759" s="5" t="s">
        <v>1793</v>
      </c>
      <c r="E13759" s="6" t="s">
        <v>113</v>
      </c>
      <c r="F13759" s="5" t="s">
        <v>114</v>
      </c>
      <c r="G13759" s="6" t="str">
        <f>VLOOKUP(E13759,dicionario!$A$1:$C14158,2,0)</f>
        <v>Columbina talpacoti</v>
      </c>
      <c r="H13759" s="6" t="str">
        <f>VLOOKUP(E13759,dicionario!$A$1:$C14158,3,0)</f>
        <v>rolinha-roxa</v>
      </c>
    </row>
    <row r="13760">
      <c r="A13760" s="3">
        <v>45904.0</v>
      </c>
      <c r="B13760" s="4">
        <v>0.31805555555555554</v>
      </c>
      <c r="C13760" s="5" t="s">
        <v>40</v>
      </c>
      <c r="D13760" s="5" t="s">
        <v>1793</v>
      </c>
      <c r="E13760" s="8" t="s">
        <v>20</v>
      </c>
      <c r="F13760" s="5" t="s">
        <v>21</v>
      </c>
      <c r="G13760" s="6" t="str">
        <f>VLOOKUP(E13760,dicionario!$A$1:$C14159,2,0)</f>
        <v>Sicalis flaveola</v>
      </c>
      <c r="H13760" s="6" t="str">
        <f>VLOOKUP(E13760,dicionario!$A$1:$C14159,3,0)</f>
        <v>canário-da-terra</v>
      </c>
    </row>
    <row r="13761">
      <c r="A13761" s="3">
        <v>45904.0</v>
      </c>
      <c r="B13761" s="4">
        <v>0.31805555555555554</v>
      </c>
      <c r="C13761" s="5" t="s">
        <v>40</v>
      </c>
      <c r="D13761" s="5" t="s">
        <v>1793</v>
      </c>
      <c r="E13761" s="6" t="s">
        <v>88</v>
      </c>
      <c r="F13761" s="5" t="s">
        <v>89</v>
      </c>
      <c r="G13761" s="6" t="str">
        <f>VLOOKUP(E13761,dicionario!$A$1:$C14160,2,0)</f>
        <v>Tyrannus melancolichus</v>
      </c>
      <c r="H13761" s="6" t="str">
        <f>VLOOKUP(E13761,dicionario!$A$1:$C14160,3,0)</f>
        <v>suiriri</v>
      </c>
    </row>
    <row r="13762">
      <c r="A13762" s="3">
        <v>45904.0</v>
      </c>
      <c r="B13762" s="4">
        <v>0.31805555555555554</v>
      </c>
      <c r="C13762" s="5" t="s">
        <v>40</v>
      </c>
      <c r="D13762" s="5" t="s">
        <v>1793</v>
      </c>
      <c r="E13762" s="6" t="s">
        <v>357</v>
      </c>
      <c r="F13762" s="5" t="s">
        <v>1805</v>
      </c>
      <c r="G13762" s="6" t="str">
        <f>VLOOKUP(E13762,dicionario!$A$1:$C14161,2,0)</f>
        <v>#N/A</v>
      </c>
      <c r="H13762" s="6" t="str">
        <f>VLOOKUP(E13762,dicionario!$A$1:$C14161,3,0)</f>
        <v>#N/A</v>
      </c>
    </row>
    <row r="13763">
      <c r="A13763" s="3">
        <v>45904.0</v>
      </c>
      <c r="B13763" s="4">
        <v>0.31805555555555554</v>
      </c>
      <c r="C13763" s="5" t="s">
        <v>40</v>
      </c>
      <c r="D13763" s="5" t="s">
        <v>1793</v>
      </c>
      <c r="E13763" s="8" t="s">
        <v>150</v>
      </c>
      <c r="F13763" s="5" t="s">
        <v>151</v>
      </c>
      <c r="G13763" s="6" t="str">
        <f>VLOOKUP(E13763,dicionario!$A$1:$C14162,2,0)</f>
        <v>Amaranthus viridis</v>
      </c>
      <c r="H13763" s="6" t="str">
        <f>VLOOKUP(E13763,dicionario!$A$1:$C14162,3,0)</f>
        <v>caruru-de-mancha</v>
      </c>
    </row>
    <row r="13764">
      <c r="A13764" s="3">
        <v>45904.0</v>
      </c>
      <c r="B13764" s="4">
        <v>0.31805555555555554</v>
      </c>
      <c r="C13764" s="5" t="s">
        <v>40</v>
      </c>
      <c r="D13764" s="5" t="s">
        <v>1793</v>
      </c>
      <c r="E13764" s="6" t="s">
        <v>489</v>
      </c>
      <c r="F13764" s="5" t="s">
        <v>521</v>
      </c>
      <c r="G13764" s="6" t="str">
        <f>VLOOKUP(E13764,dicionario!$A$1:$C14163,2,0)</f>
        <v>Cenchrus echinatus</v>
      </c>
      <c r="H13764" s="6" t="str">
        <f>VLOOKUP(E13764,dicionario!$A$1:$C14163,3,0)</f>
        <v>capim-carrapicho</v>
      </c>
    </row>
    <row r="13765">
      <c r="A13765" s="3">
        <v>45904.0</v>
      </c>
      <c r="B13765" s="4">
        <v>0.31805555555555554</v>
      </c>
      <c r="C13765" s="5" t="s">
        <v>40</v>
      </c>
      <c r="D13765" s="5" t="s">
        <v>1793</v>
      </c>
      <c r="E13765" s="12" t="s">
        <v>152</v>
      </c>
      <c r="F13765" s="5" t="s">
        <v>153</v>
      </c>
      <c r="G13765" s="6" t="str">
        <f>VLOOKUP(E13765,dicionario!$A$1:$C14164,2,0)</f>
        <v>Cynodon dactylon</v>
      </c>
      <c r="H13765" s="6" t="str">
        <f>VLOOKUP(E13765,dicionario!$A$1:$C14164,3,0)</f>
        <v>grama-bermuda</v>
      </c>
    </row>
    <row r="13766">
      <c r="A13766" s="3">
        <v>45904.0</v>
      </c>
      <c r="B13766" s="4">
        <v>0.31805555555555554</v>
      </c>
      <c r="C13766" s="5" t="s">
        <v>40</v>
      </c>
      <c r="D13766" s="5" t="s">
        <v>1793</v>
      </c>
      <c r="E13766" s="6" t="s">
        <v>467</v>
      </c>
      <c r="F13766" s="5" t="s">
        <v>1365</v>
      </c>
      <c r="G13766" s="6" t="str">
        <f>VLOOKUP(E13766,dicionario!$A$1:$C14165,2,0)</f>
        <v>Eleusine indica</v>
      </c>
      <c r="H13766" s="6" t="str">
        <f>VLOOKUP(E13766,dicionario!$A$1:$C14165,3,0)</f>
        <v>capim-pé-de-galinha</v>
      </c>
    </row>
    <row r="13767">
      <c r="A13767" s="3">
        <v>45904.0</v>
      </c>
      <c r="B13767" s="4">
        <v>0.31805555555555554</v>
      </c>
      <c r="C13767" s="5" t="s">
        <v>40</v>
      </c>
      <c r="D13767" s="5" t="s">
        <v>1793</v>
      </c>
      <c r="E13767" s="6" t="s">
        <v>326</v>
      </c>
      <c r="F13767" s="5" t="s">
        <v>327</v>
      </c>
      <c r="G13767" s="6" t="str">
        <f>VLOOKUP(E13767,dicionario!$A$1:$C14166,2,0)</f>
        <v>Amaranthus spinosus</v>
      </c>
      <c r="H13767" s="6" t="str">
        <f>VLOOKUP(E13767,dicionario!$A$1:$C14166,3,0)</f>
        <v>caruru-de-espinho</v>
      </c>
    </row>
    <row r="13768">
      <c r="A13768" s="3">
        <v>45904.0</v>
      </c>
      <c r="B13768" s="4">
        <v>0.31805555555555554</v>
      </c>
      <c r="C13768" s="5" t="s">
        <v>40</v>
      </c>
      <c r="D13768" s="5" t="s">
        <v>1793</v>
      </c>
      <c r="E13768" s="6" t="s">
        <v>48</v>
      </c>
      <c r="F13768" s="5" t="s">
        <v>49</v>
      </c>
      <c r="G13768" s="6" t="str">
        <f>VLOOKUP(E13768,dicionario!$A$1:$C14167,2,0)</f>
        <v>Commelina erecta</v>
      </c>
      <c r="H13768" s="6" t="str">
        <f>VLOOKUP(E13768,dicionario!$A$1:$C14167,3,0)</f>
        <v>trapoeraba</v>
      </c>
    </row>
    <row r="13769">
      <c r="A13769" s="3">
        <v>45904.0</v>
      </c>
      <c r="B13769" s="4">
        <v>0.31805555555555554</v>
      </c>
      <c r="C13769" s="5" t="s">
        <v>40</v>
      </c>
      <c r="D13769" s="5" t="s">
        <v>1793</v>
      </c>
      <c r="E13769" s="6" t="s">
        <v>72</v>
      </c>
      <c r="F13769" s="5" t="s">
        <v>73</v>
      </c>
      <c r="G13769" s="6" t="str">
        <f>VLOOKUP(E13769,dicionario!$A$1:$C14168,2,0)</f>
        <v>Thraupis palmarum</v>
      </c>
      <c r="H13769" s="6" t="str">
        <f>VLOOKUP(E13769,dicionario!$A$1:$C14168,3,0)</f>
        <v>sanhaço-do-coqueiro</v>
      </c>
    </row>
    <row r="13770">
      <c r="A13770" s="3">
        <v>45904.0</v>
      </c>
      <c r="B13770" s="4">
        <v>0.32083333333333336</v>
      </c>
      <c r="C13770" s="5" t="s">
        <v>40</v>
      </c>
      <c r="D13770" s="5" t="s">
        <v>1793</v>
      </c>
      <c r="E13770" s="6" t="s">
        <v>191</v>
      </c>
      <c r="F13770" s="5" t="s">
        <v>192</v>
      </c>
      <c r="G13770" s="6" t="str">
        <f>VLOOKUP(E13770,dicionario!$A$1:$C14169,2,0)</f>
        <v>Patagioenas picazuro</v>
      </c>
      <c r="H13770" s="6" t="str">
        <f>VLOOKUP(E13770,dicionario!$A$1:$C14169,3,0)</f>
        <v>asa-branca; pomba-asa-branca; pocaçu</v>
      </c>
    </row>
    <row r="13771">
      <c r="A13771" s="3">
        <v>45904.0</v>
      </c>
      <c r="B13771" s="4">
        <v>0.32083333333333336</v>
      </c>
      <c r="C13771" s="5" t="s">
        <v>40</v>
      </c>
      <c r="D13771" s="5" t="s">
        <v>1793</v>
      </c>
      <c r="E13771" s="8" t="s">
        <v>498</v>
      </c>
      <c r="F13771" s="5" t="s">
        <v>499</v>
      </c>
      <c r="G13771" s="6" t="str">
        <f>VLOOKUP(E13771,dicionario!$A$1:$C14170,2,0)</f>
        <v>Brachiaria decumbens</v>
      </c>
      <c r="H13771" s="6" t="str">
        <f>VLOOKUP(E13771,dicionario!$A$1:$C14170,3,0)</f>
        <v>capim-braquiária</v>
      </c>
    </row>
    <row r="13772">
      <c r="A13772" s="3">
        <v>45904.0</v>
      </c>
      <c r="B13772" s="4">
        <v>0.32083333333333336</v>
      </c>
      <c r="C13772" s="5" t="s">
        <v>40</v>
      </c>
      <c r="D13772" s="5" t="s">
        <v>1793</v>
      </c>
      <c r="E13772" s="6" t="s">
        <v>253</v>
      </c>
      <c r="F13772" s="5" t="s">
        <v>254</v>
      </c>
      <c r="G13772" s="6" t="str">
        <f>VLOOKUP(E13772,dicionario!$A$1:$C14171,2,0)</f>
        <v>Panicum maximum</v>
      </c>
      <c r="H13772" s="6" t="str">
        <f>VLOOKUP(E13772,dicionario!$A$1:$C14171,3,0)</f>
        <v>capim-colonião</v>
      </c>
    </row>
    <row r="13773">
      <c r="A13773" s="3">
        <v>45904.0</v>
      </c>
      <c r="B13773" s="4">
        <v>0.32083333333333336</v>
      </c>
      <c r="C13773" s="5" t="s">
        <v>40</v>
      </c>
      <c r="D13773" s="5" t="s">
        <v>1793</v>
      </c>
      <c r="E13773" s="6" t="s">
        <v>286</v>
      </c>
      <c r="F13773" s="5" t="s">
        <v>287</v>
      </c>
      <c r="G13773" s="6" t="str">
        <f>VLOOKUP(E13773,dicionario!$A$1:$C14172,2,0)</f>
        <v>Setaria parviflora</v>
      </c>
      <c r="H13773" s="6" t="str">
        <f>VLOOKUP(E13773,dicionario!$A$1:$C14172,3,0)</f>
        <v>capim-rabo-de-raposa</v>
      </c>
    </row>
    <row r="13774">
      <c r="A13774" s="3">
        <v>45904.0</v>
      </c>
      <c r="B13774" s="4">
        <v>0.32083333333333336</v>
      </c>
      <c r="C13774" s="5" t="s">
        <v>40</v>
      </c>
      <c r="D13774" s="5" t="s">
        <v>1793</v>
      </c>
      <c r="E13774" s="6" t="s">
        <v>227</v>
      </c>
      <c r="F13774" s="5" t="s">
        <v>228</v>
      </c>
      <c r="G13774" s="6" t="str">
        <f>VLOOKUP(E13774,dicionario!$A$1:$C14173,2,0)</f>
        <v>Indigofera hirsuta</v>
      </c>
      <c r="H13774" s="6" t="str">
        <f>VLOOKUP(E13774,dicionario!$A$1:$C14173,3,0)</f>
        <v>anileira</v>
      </c>
    </row>
    <row r="13775">
      <c r="A13775" s="3">
        <v>45904.0</v>
      </c>
      <c r="B13775" s="4">
        <v>0.32083333333333336</v>
      </c>
      <c r="C13775" s="5" t="s">
        <v>40</v>
      </c>
      <c r="D13775" s="5" t="s">
        <v>1793</v>
      </c>
      <c r="E13775" s="8" t="s">
        <v>69</v>
      </c>
      <c r="F13775" s="5" t="s">
        <v>71</v>
      </c>
      <c r="G13775" s="6" t="str">
        <f>VLOOKUP(E13775,dicionario!$A$1:$C14174,2,0)</f>
        <v>Talinum fruticosum</v>
      </c>
      <c r="H13775" s="6" t="str">
        <f>VLOOKUP(E13775,dicionario!$A$1:$C14174,3,0)</f>
        <v>beldroega-grande</v>
      </c>
    </row>
    <row r="13776">
      <c r="A13776" s="3">
        <v>45904.0</v>
      </c>
      <c r="B13776" s="4">
        <v>0.32083333333333336</v>
      </c>
      <c r="C13776" s="5" t="s">
        <v>40</v>
      </c>
      <c r="D13776" s="5" t="s">
        <v>1793</v>
      </c>
      <c r="E13776" s="6" t="s">
        <v>141</v>
      </c>
      <c r="F13776" s="5" t="s">
        <v>142</v>
      </c>
      <c r="G13776" s="6" t="str">
        <f>VLOOKUP(E13776,dicionario!$A$1:$C14175,2,0)</f>
        <v>Ruellia blechum</v>
      </c>
      <c r="H13776" s="6" t="str">
        <f>VLOOKUP(E13776,dicionario!$A$1:$C14175,3,0)</f>
        <v>camarão-verde</v>
      </c>
    </row>
    <row r="13777">
      <c r="A13777" s="3">
        <v>45904.0</v>
      </c>
      <c r="B13777" s="4">
        <v>0.32083333333333336</v>
      </c>
      <c r="C13777" s="5" t="s">
        <v>40</v>
      </c>
      <c r="D13777" s="5" t="s">
        <v>1793</v>
      </c>
      <c r="E13777" s="6" t="s">
        <v>144</v>
      </c>
      <c r="F13777" s="5" t="s">
        <v>145</v>
      </c>
      <c r="G13777" s="6" t="str">
        <f>VLOOKUP(E13777,dicionario!$A$1:$C14176,2,0)</f>
        <v>Gomphrena globosa</v>
      </c>
      <c r="H13777" s="6" t="str">
        <f>VLOOKUP(E13777,dicionario!$A$1:$C14176,3,0)</f>
        <v>perpétua-rosa</v>
      </c>
    </row>
    <row r="13778">
      <c r="A13778" s="3">
        <v>45904.0</v>
      </c>
      <c r="B13778" s="4">
        <v>0.3215277777777778</v>
      </c>
      <c r="C13778" s="5" t="s">
        <v>40</v>
      </c>
      <c r="D13778" s="5" t="s">
        <v>1793</v>
      </c>
      <c r="E13778" s="8" t="s">
        <v>239</v>
      </c>
      <c r="F13778" s="5" t="s">
        <v>240</v>
      </c>
      <c r="G13778" s="6" t="str">
        <f>VLOOKUP(E13778,dicionario!$A$1:$C14177,2,0)</f>
        <v>Gomphrena celosioides</v>
      </c>
      <c r="H13778" s="6" t="str">
        <f>VLOOKUP(E13778,dicionario!$A$1:$C14177,3,0)</f>
        <v>perpétua-branca</v>
      </c>
    </row>
    <row r="13779">
      <c r="A13779" s="3">
        <v>45904.0</v>
      </c>
      <c r="B13779" s="4">
        <v>0.3215277777777778</v>
      </c>
      <c r="C13779" s="5" t="s">
        <v>40</v>
      </c>
      <c r="D13779" s="5" t="s">
        <v>1793</v>
      </c>
      <c r="E13779" s="72" t="s">
        <v>1783</v>
      </c>
      <c r="F13779" s="5" t="s">
        <v>1088</v>
      </c>
      <c r="G13779" s="6" t="str">
        <f>VLOOKUP(E13779,dicionario!$A$1:$C14178,2,0)</f>
        <v>#N/A</v>
      </c>
      <c r="H13779" s="6" t="str">
        <f>VLOOKUP(E13779,dicionario!$A$1:$C14178,3,0)</f>
        <v>#N/A</v>
      </c>
    </row>
    <row r="13780">
      <c r="A13780" s="3">
        <v>45904.0</v>
      </c>
      <c r="B13780" s="4">
        <v>0.3215277777777778</v>
      </c>
      <c r="C13780" s="5" t="s">
        <v>40</v>
      </c>
      <c r="D13780" s="5" t="s">
        <v>1793</v>
      </c>
      <c r="E13780" s="20" t="s">
        <v>676</v>
      </c>
      <c r="F13780" s="5" t="s">
        <v>677</v>
      </c>
      <c r="G13780" s="6" t="str">
        <f>VLOOKUP(E13780,dicionario!$A$1:$C14179,2,0)</f>
        <v>Zornia latifolia</v>
      </c>
      <c r="H13780" s="6" t="str">
        <f>VLOOKUP(E13780,dicionario!$A$1:$C14179,3,0)</f>
        <v>arrozinho-do-campo</v>
      </c>
    </row>
    <row r="13781">
      <c r="A13781" s="3">
        <v>45904.0</v>
      </c>
      <c r="B13781" s="4">
        <v>0.32222222222222224</v>
      </c>
      <c r="C13781" s="5" t="s">
        <v>40</v>
      </c>
      <c r="D13781" s="5" t="s">
        <v>1793</v>
      </c>
      <c r="E13781" s="6" t="s">
        <v>631</v>
      </c>
      <c r="F13781" s="5" t="s">
        <v>632</v>
      </c>
      <c r="G13781" s="6" t="str">
        <f>VLOOKUP(E13781,dicionario!$A$1:$C14180,2,0)</f>
        <v>Chamaecrista nictitans</v>
      </c>
      <c r="H13781" s="6" t="str">
        <f>VLOOKUP(E13781,dicionario!$A$1:$C14180,3,0)</f>
        <v>falsa-dormideira</v>
      </c>
    </row>
    <row r="13782">
      <c r="A13782" s="3">
        <v>45904.0</v>
      </c>
      <c r="B13782" s="4">
        <v>0.3236111111111111</v>
      </c>
      <c r="C13782" s="5" t="s">
        <v>40</v>
      </c>
      <c r="D13782" s="5" t="s">
        <v>1793</v>
      </c>
      <c r="E13782" s="79" t="s">
        <v>1806</v>
      </c>
      <c r="F13782" s="5" t="s">
        <v>1807</v>
      </c>
      <c r="G13782" s="6" t="str">
        <f>VLOOKUP(E13782,dicionario!$A$1:$C14181,2,0)</f>
        <v>Streptoprocne zonaris</v>
      </c>
      <c r="H13782" s="6" t="str">
        <f>VLOOKUP(E13782,dicionario!$A$1:$C14181,3,0)</f>
        <v>taperuçu-de-coleira-branca</v>
      </c>
    </row>
    <row r="13783">
      <c r="A13783" s="3">
        <v>45904.0</v>
      </c>
      <c r="B13783" s="4">
        <v>0.3236111111111111</v>
      </c>
      <c r="C13783" s="5" t="s">
        <v>33</v>
      </c>
      <c r="D13783" s="5" t="s">
        <v>1793</v>
      </c>
      <c r="E13783" s="8" t="s">
        <v>41</v>
      </c>
      <c r="F13783" s="5" t="s">
        <v>45</v>
      </c>
      <c r="G13783" s="6" t="str">
        <f>VLOOKUP(E13783,dicionario!$A$1:$C14182,2,0)</f>
        <v>Mimosa pudica</v>
      </c>
      <c r="H13783" s="6" t="str">
        <f>VLOOKUP(E13783,dicionario!$A$1:$C14182,3,0)</f>
        <v>dormideira</v>
      </c>
    </row>
    <row r="13784">
      <c r="A13784" s="3">
        <v>45904.0</v>
      </c>
      <c r="B13784" s="4">
        <v>0.3236111111111111</v>
      </c>
      <c r="C13784" s="5" t="s">
        <v>33</v>
      </c>
      <c r="D13784" s="5" t="s">
        <v>1793</v>
      </c>
      <c r="E13784" s="6" t="s">
        <v>53</v>
      </c>
      <c r="F13784" s="5" t="s">
        <v>54</v>
      </c>
      <c r="G13784" s="6" t="str">
        <f>VLOOKUP(E13784,dicionario!$A$1:$C14183,2,0)</f>
        <v>Turnera subulata</v>
      </c>
      <c r="H13784" s="6" t="str">
        <f>VLOOKUP(E13784,dicionario!$A$1:$C14183,3,0)</f>
        <v>xanana</v>
      </c>
    </row>
    <row r="13785">
      <c r="A13785" s="3">
        <v>45904.0</v>
      </c>
      <c r="B13785" s="4">
        <v>0.3236111111111111</v>
      </c>
      <c r="C13785" s="5" t="s">
        <v>33</v>
      </c>
      <c r="D13785" s="5" t="s">
        <v>1793</v>
      </c>
      <c r="E13785" s="8" t="s">
        <v>150</v>
      </c>
      <c r="F13785" s="5" t="s">
        <v>151</v>
      </c>
      <c r="G13785" s="6" t="str">
        <f>VLOOKUP(E13785,dicionario!$A$1:$C14184,2,0)</f>
        <v>Amaranthus viridis</v>
      </c>
      <c r="H13785" s="6" t="str">
        <f>VLOOKUP(E13785,dicionario!$A$1:$C14184,3,0)</f>
        <v>caruru-de-mancha</v>
      </c>
    </row>
    <row r="13786">
      <c r="A13786" s="3">
        <v>45904.0</v>
      </c>
      <c r="B13786" s="4">
        <v>0.325</v>
      </c>
      <c r="C13786" s="5" t="s">
        <v>33</v>
      </c>
      <c r="D13786" s="5" t="s">
        <v>1793</v>
      </c>
      <c r="E13786" s="8" t="s">
        <v>1798</v>
      </c>
      <c r="F13786" s="7" t="s">
        <v>321</v>
      </c>
      <c r="G13786" s="6" t="str">
        <f>VLOOKUP(E13786,dicionario!$A$1:$C14185,2,0)</f>
        <v>Solenopsis</v>
      </c>
      <c r="H13786" s="6" t="str">
        <f>VLOOKUP(E13786,dicionario!$A$1:$C14185,3,0)</f>
        <v>formiga-quente; formiga-lava-pés; formiga-de-fogo</v>
      </c>
    </row>
    <row r="13787">
      <c r="A13787" s="3">
        <v>45904.0</v>
      </c>
      <c r="B13787" s="4">
        <v>0.325</v>
      </c>
      <c r="C13787" s="5" t="s">
        <v>33</v>
      </c>
      <c r="D13787" s="5" t="s">
        <v>1793</v>
      </c>
      <c r="E13787" s="8" t="s">
        <v>676</v>
      </c>
      <c r="F13787" s="5" t="s">
        <v>677</v>
      </c>
      <c r="G13787" s="6" t="str">
        <f>VLOOKUP(E13787,dicionario!$A$1:$C14186,2,0)</f>
        <v>Zornia latifolia</v>
      </c>
      <c r="H13787" s="6" t="str">
        <f>VLOOKUP(E13787,dicionario!$A$1:$C14186,3,0)</f>
        <v>arrozinho-do-campo</v>
      </c>
    </row>
    <row r="13788">
      <c r="A13788" s="3">
        <v>45904.0</v>
      </c>
      <c r="B13788" s="4">
        <v>0.325</v>
      </c>
      <c r="C13788" s="5" t="s">
        <v>33</v>
      </c>
      <c r="D13788" s="5" t="s">
        <v>1793</v>
      </c>
      <c r="E13788" s="8" t="s">
        <v>296</v>
      </c>
      <c r="F13788" s="5" t="s">
        <v>297</v>
      </c>
      <c r="G13788" s="6" t="str">
        <f>VLOOKUP(E13788,dicionario!$A$1:$C14187,2,0)</f>
        <v>Richardia brasiliensis</v>
      </c>
      <c r="H13788" s="6" t="str">
        <f>VLOOKUP(E13788,dicionario!$A$1:$C14187,3,0)</f>
        <v>poaia-branca</v>
      </c>
    </row>
    <row r="13789">
      <c r="A13789" s="3">
        <v>45904.0</v>
      </c>
      <c r="B13789" s="4">
        <v>0.325</v>
      </c>
      <c r="C13789" s="5" t="s">
        <v>33</v>
      </c>
      <c r="D13789" s="5" t="s">
        <v>1793</v>
      </c>
      <c r="E13789" s="8" t="s">
        <v>298</v>
      </c>
      <c r="F13789" s="5"/>
      <c r="G13789" s="6" t="str">
        <f>VLOOKUP(E13789,dicionario!$A$1:$C14188,2,0)</f>
        <v>Alysicarpus vaginalis</v>
      </c>
      <c r="H13789" s="6" t="str">
        <f>VLOOKUP(E13789,dicionario!$A$1:$C14188,3,0)</f>
        <v/>
      </c>
    </row>
    <row r="13790">
      <c r="A13790" s="3">
        <v>45904.0</v>
      </c>
      <c r="B13790" s="4">
        <v>0.325</v>
      </c>
      <c r="C13790" s="5" t="s">
        <v>33</v>
      </c>
      <c r="D13790" s="5" t="s">
        <v>1793</v>
      </c>
      <c r="E13790" s="8" t="s">
        <v>109</v>
      </c>
      <c r="F13790" s="5" t="s">
        <v>110</v>
      </c>
      <c r="G13790" s="6" t="str">
        <f>VLOOKUP(E13790,dicionario!$A$1:$C14189,2,0)</f>
        <v>Tillandsia stricta</v>
      </c>
      <c r="H13790" s="6" t="str">
        <f>VLOOKUP(E13790,dicionario!$A$1:$C14189,3,0)</f>
        <v>cravo-do-mato</v>
      </c>
    </row>
    <row r="13791">
      <c r="A13791" s="3">
        <v>45904.0</v>
      </c>
      <c r="B13791" s="4">
        <v>0.325</v>
      </c>
      <c r="C13791" s="5" t="s">
        <v>33</v>
      </c>
      <c r="D13791" s="5" t="s">
        <v>1793</v>
      </c>
      <c r="E13791" s="8" t="s">
        <v>712</v>
      </c>
      <c r="F13791" s="5" t="s">
        <v>912</v>
      </c>
      <c r="G13791" s="6" t="str">
        <f>VLOOKUP(E13791,dicionario!$A$1:$C14190,2,0)</f>
        <v>Flavopunctelia soredica</v>
      </c>
      <c r="H13791" s="6" t="str">
        <f>VLOOKUP(E13791,dicionario!$A$1:$C14190,3,0)</f>
        <v>líquen-folioso</v>
      </c>
    </row>
    <row r="13792">
      <c r="A13792" s="3">
        <v>45904.0</v>
      </c>
      <c r="B13792" s="4">
        <v>0.325</v>
      </c>
      <c r="C13792" s="5" t="s">
        <v>33</v>
      </c>
      <c r="D13792" s="5" t="s">
        <v>1793</v>
      </c>
      <c r="E13792" s="8" t="s">
        <v>719</v>
      </c>
      <c r="F13792" s="5" t="s">
        <v>911</v>
      </c>
      <c r="G13792" s="6" t="str">
        <f>VLOOKUP(E13792,dicionario!$A$1:$C14191,2,0)</f>
        <v>Dirinaria</v>
      </c>
      <c r="H13792" s="6" t="str">
        <f>VLOOKUP(E13792,dicionario!$A$1:$C14191,3,0)</f>
        <v>líquen-crostoso</v>
      </c>
    </row>
    <row r="13793">
      <c r="A13793" s="3">
        <v>45904.0</v>
      </c>
      <c r="B13793" s="4">
        <v>0.3263888888888889</v>
      </c>
      <c r="C13793" s="5" t="s">
        <v>33</v>
      </c>
      <c r="D13793" s="5" t="s">
        <v>1793</v>
      </c>
      <c r="E13793" s="8" t="s">
        <v>849</v>
      </c>
      <c r="F13793" s="5" t="s">
        <v>1457</v>
      </c>
      <c r="G13793" s="6" t="str">
        <f>VLOOKUP(E13793,dicionario!$A$1:$C14192,2,0)</f>
        <v>#N/A</v>
      </c>
      <c r="H13793" s="6" t="str">
        <f>VLOOKUP(E13793,dicionario!$A$1:$C14192,3,0)</f>
        <v>#N/A</v>
      </c>
    </row>
    <row r="13794">
      <c r="A13794" s="3">
        <v>45904.0</v>
      </c>
      <c r="B13794" s="4">
        <v>0.3263888888888889</v>
      </c>
      <c r="C13794" s="5" t="s">
        <v>33</v>
      </c>
      <c r="D13794" s="5" t="s">
        <v>1793</v>
      </c>
      <c r="E13794" s="8" t="s">
        <v>271</v>
      </c>
      <c r="F13794" s="5" t="s">
        <v>1169</v>
      </c>
      <c r="G13794" s="6" t="str">
        <f>VLOOKUP(E13794,dicionario!$A$1:$C14193,2,0)</f>
        <v>Cyanthillium cinereum</v>
      </c>
      <c r="H13794" s="6" t="str">
        <f>VLOOKUP(E13794,dicionario!$A$1:$C14193,3,0)</f>
        <v>emília</v>
      </c>
    </row>
    <row r="13795">
      <c r="A13795" s="3">
        <v>45904.0</v>
      </c>
      <c r="B13795" s="4">
        <v>0.3263888888888889</v>
      </c>
      <c r="C13795" s="5" t="s">
        <v>33</v>
      </c>
      <c r="D13795" s="5" t="s">
        <v>1793</v>
      </c>
      <c r="E13795" s="6" t="s">
        <v>154</v>
      </c>
      <c r="F13795" s="5" t="s">
        <v>155</v>
      </c>
      <c r="G13795" s="6" t="str">
        <f>VLOOKUP(E13795,dicionario!$A$1:$C14194,2,0)</f>
        <v>Cyperus rotundus</v>
      </c>
      <c r="H13795" s="6" t="str">
        <f>VLOOKUP(E13795,dicionario!$A$1:$C14194,3,0)</f>
        <v>tiririca</v>
      </c>
    </row>
    <row r="13796">
      <c r="A13796" s="3">
        <v>45904.0</v>
      </c>
      <c r="B13796" s="4">
        <v>0.32708333333333334</v>
      </c>
      <c r="C13796" s="5" t="s">
        <v>33</v>
      </c>
      <c r="D13796" s="5" t="s">
        <v>1793</v>
      </c>
      <c r="E13796" s="6" t="s">
        <v>122</v>
      </c>
      <c r="F13796" s="5" t="s">
        <v>123</v>
      </c>
      <c r="G13796" s="6" t="str">
        <f>VLOOKUP(E13796,dicionario!$A$1:$C14195,2,0)</f>
        <v>Todirostrum cinereum</v>
      </c>
      <c r="H13796" s="6" t="str">
        <f>VLOOKUP(E13796,dicionario!$A$1:$C14195,3,0)</f>
        <v>ferreirinho-relógio</v>
      </c>
    </row>
    <row r="13797">
      <c r="A13797" s="3">
        <v>45904.0</v>
      </c>
      <c r="B13797" s="4">
        <v>0.32708333333333334</v>
      </c>
      <c r="C13797" s="5" t="s">
        <v>33</v>
      </c>
      <c r="D13797" s="5" t="s">
        <v>1793</v>
      </c>
      <c r="E13797" s="6" t="s">
        <v>65</v>
      </c>
      <c r="F13797" s="5" t="s">
        <v>66</v>
      </c>
      <c r="G13797" s="6" t="str">
        <f>VLOOKUP(E13797,dicionario!$A$1:$C14196,2,0)</f>
        <v>Pitangus sulphutarus</v>
      </c>
      <c r="H13797" s="6" t="str">
        <f>VLOOKUP(E13797,dicionario!$A$1:$C14196,3,0)</f>
        <v>bem-te-vi</v>
      </c>
    </row>
    <row r="13798">
      <c r="A13798" s="3">
        <v>45904.0</v>
      </c>
      <c r="B13798" s="4">
        <v>0.3284722222222222</v>
      </c>
      <c r="C13798" s="5" t="s">
        <v>33</v>
      </c>
      <c r="D13798" s="5" t="s">
        <v>1793</v>
      </c>
      <c r="E13798" s="6" t="s">
        <v>86</v>
      </c>
      <c r="F13798" s="5" t="s">
        <v>502</v>
      </c>
      <c r="G13798" s="6" t="str">
        <f>VLOOKUP(E13798,dicionario!$A$1:$C14197,2,0)</f>
        <v>Coereba flaveola</v>
      </c>
      <c r="H13798" s="6" t="str">
        <f>VLOOKUP(E13798,dicionario!$A$1:$C14197,3,0)</f>
        <v>cambacica</v>
      </c>
    </row>
    <row r="13799">
      <c r="A13799" s="3">
        <v>45904.0</v>
      </c>
      <c r="B13799" s="4">
        <v>0.3284722222222222</v>
      </c>
      <c r="C13799" s="5" t="s">
        <v>33</v>
      </c>
      <c r="D13799" s="5" t="s">
        <v>1793</v>
      </c>
      <c r="E13799" s="8" t="s">
        <v>109</v>
      </c>
      <c r="F13799" s="5" t="s">
        <v>110</v>
      </c>
      <c r="G13799" s="6" t="str">
        <f>VLOOKUP(E13799,dicionario!$A$1:$C14198,2,0)</f>
        <v>Tillandsia stricta</v>
      </c>
      <c r="H13799" s="6" t="str">
        <f>VLOOKUP(E13799,dicionario!$A$1:$C14198,3,0)</f>
        <v>cravo-do-mato</v>
      </c>
    </row>
    <row r="13800">
      <c r="A13800" s="3">
        <v>45904.0</v>
      </c>
      <c r="B13800" s="4">
        <v>0.3284722222222222</v>
      </c>
      <c r="C13800" s="5" t="s">
        <v>33</v>
      </c>
      <c r="D13800" s="5" t="s">
        <v>1793</v>
      </c>
      <c r="E13800" s="8" t="s">
        <v>223</v>
      </c>
      <c r="F13800" s="5" t="s">
        <v>224</v>
      </c>
      <c r="G13800" s="6" t="str">
        <f>VLOOKUP(E13800,dicionario!$A$1:$C14199,2,0)</f>
        <v>Rhipsalis lindbergiana</v>
      </c>
      <c r="H13800" s="6" t="str">
        <f>VLOOKUP(E13800,dicionario!$A$1:$C14199,3,0)</f>
        <v>cacto-macarrão</v>
      </c>
    </row>
    <row r="13801">
      <c r="A13801" s="3">
        <v>45904.0</v>
      </c>
      <c r="B13801" s="4">
        <v>0.3284722222222222</v>
      </c>
      <c r="C13801" s="5" t="s">
        <v>33</v>
      </c>
      <c r="D13801" s="5" t="s">
        <v>1793</v>
      </c>
      <c r="E13801" s="8" t="s">
        <v>712</v>
      </c>
      <c r="F13801" s="5" t="s">
        <v>912</v>
      </c>
      <c r="G13801" s="6" t="str">
        <f>VLOOKUP(E13801,dicionario!$A$1:$C14200,2,0)</f>
        <v>Flavopunctelia soredica</v>
      </c>
      <c r="H13801" s="6" t="str">
        <f>VLOOKUP(E13801,dicionario!$A$1:$C14200,3,0)</f>
        <v>líquen-folioso</v>
      </c>
    </row>
    <row r="13802">
      <c r="A13802" s="3">
        <v>45904.0</v>
      </c>
      <c r="B13802" s="4">
        <v>0.3284722222222222</v>
      </c>
      <c r="C13802" s="5" t="s">
        <v>33</v>
      </c>
      <c r="D13802" s="5" t="s">
        <v>1793</v>
      </c>
      <c r="E13802" s="8" t="s">
        <v>719</v>
      </c>
      <c r="F13802" s="5" t="s">
        <v>911</v>
      </c>
      <c r="G13802" s="6" t="str">
        <f>VLOOKUP(E13802,dicionario!$A$1:$C14201,2,0)</f>
        <v>Dirinaria</v>
      </c>
      <c r="H13802" s="6" t="str">
        <f>VLOOKUP(E13802,dicionario!$A$1:$C14201,3,0)</f>
        <v>líquen-crostoso</v>
      </c>
    </row>
    <row r="13803">
      <c r="A13803" s="3">
        <v>45904.0</v>
      </c>
      <c r="B13803" s="4">
        <v>0.3284722222222222</v>
      </c>
      <c r="C13803" s="5" t="s">
        <v>33</v>
      </c>
      <c r="D13803" s="5" t="s">
        <v>1793</v>
      </c>
      <c r="E13803" s="8" t="s">
        <v>849</v>
      </c>
      <c r="F13803" s="5" t="s">
        <v>1457</v>
      </c>
      <c r="G13803" s="6" t="str">
        <f>VLOOKUP(E13803,dicionario!$A$1:$C14202,2,0)</f>
        <v>#N/A</v>
      </c>
      <c r="H13803" s="6" t="str">
        <f>VLOOKUP(E13803,dicionario!$A$1:$C14202,3,0)</f>
        <v>#N/A</v>
      </c>
    </row>
    <row r="13804">
      <c r="A13804" s="3">
        <v>45904.0</v>
      </c>
      <c r="B13804" s="4">
        <v>0.3284722222222222</v>
      </c>
      <c r="C13804" s="5" t="s">
        <v>33</v>
      </c>
      <c r="D13804" s="5" t="s">
        <v>1793</v>
      </c>
      <c r="E13804" s="8" t="s">
        <v>271</v>
      </c>
      <c r="F13804" s="5" t="s">
        <v>1169</v>
      </c>
      <c r="G13804" s="6" t="str">
        <f>VLOOKUP(E13804,dicionario!$A$1:$C14203,2,0)</f>
        <v>Cyanthillium cinereum</v>
      </c>
      <c r="H13804" s="6" t="str">
        <f>VLOOKUP(E13804,dicionario!$A$1:$C14203,3,0)</f>
        <v>emília</v>
      </c>
    </row>
    <row r="13805">
      <c r="A13805" s="3">
        <v>45904.0</v>
      </c>
      <c r="B13805" s="4">
        <v>0.3284722222222222</v>
      </c>
      <c r="C13805" s="5" t="s">
        <v>33</v>
      </c>
      <c r="D13805" s="5" t="s">
        <v>1793</v>
      </c>
      <c r="E13805" s="6" t="s">
        <v>154</v>
      </c>
      <c r="F13805" s="5" t="s">
        <v>155</v>
      </c>
      <c r="G13805" s="6" t="str">
        <f>VLOOKUP(E13805,dicionario!$A$1:$C14204,2,0)</f>
        <v>Cyperus rotundus</v>
      </c>
      <c r="H13805" s="6" t="str">
        <f>VLOOKUP(E13805,dicionario!$A$1:$C14204,3,0)</f>
        <v>tiririca</v>
      </c>
    </row>
    <row r="13806">
      <c r="A13806" s="3">
        <v>45904.0</v>
      </c>
      <c r="B13806" s="4">
        <v>0.3284722222222222</v>
      </c>
      <c r="C13806" s="5" t="s">
        <v>33</v>
      </c>
      <c r="D13806" s="5" t="s">
        <v>1793</v>
      </c>
      <c r="E13806" s="6" t="s">
        <v>122</v>
      </c>
      <c r="F13806" s="5" t="s">
        <v>123</v>
      </c>
      <c r="G13806" s="6" t="str">
        <f>VLOOKUP(E13806,dicionario!$A$1:$C14205,2,0)</f>
        <v>Todirostrum cinereum</v>
      </c>
      <c r="H13806" s="6" t="str">
        <f>VLOOKUP(E13806,dicionario!$A$1:$C14205,3,0)</f>
        <v>ferreirinho-relógio</v>
      </c>
    </row>
    <row r="13807">
      <c r="A13807" s="3">
        <v>45904.0</v>
      </c>
      <c r="B13807" s="4">
        <v>0.3284722222222222</v>
      </c>
      <c r="C13807" s="5" t="s">
        <v>33</v>
      </c>
      <c r="D13807" s="5" t="s">
        <v>1793</v>
      </c>
      <c r="E13807" s="6" t="s">
        <v>65</v>
      </c>
      <c r="F13807" s="5" t="s">
        <v>66</v>
      </c>
      <c r="G13807" s="6" t="str">
        <f>VLOOKUP(E13807,dicionario!$A$1:$C14206,2,0)</f>
        <v>Pitangus sulphutarus</v>
      </c>
      <c r="H13807" s="6" t="str">
        <f>VLOOKUP(E13807,dicionario!$A$1:$C14206,3,0)</f>
        <v>bem-te-vi</v>
      </c>
    </row>
    <row r="13808">
      <c r="A13808" s="3">
        <v>45904.0</v>
      </c>
      <c r="B13808" s="4">
        <v>0.3284722222222222</v>
      </c>
      <c r="C13808" s="5" t="s">
        <v>33</v>
      </c>
      <c r="D13808" s="5" t="s">
        <v>1793</v>
      </c>
      <c r="E13808" s="6" t="s">
        <v>86</v>
      </c>
      <c r="F13808" s="5" t="s">
        <v>502</v>
      </c>
      <c r="G13808" s="6" t="str">
        <f>VLOOKUP(E13808,dicionario!$A$1:$C14207,2,0)</f>
        <v>Coereba flaveola</v>
      </c>
      <c r="H13808" s="6" t="str">
        <f>VLOOKUP(E13808,dicionario!$A$1:$C14207,3,0)</f>
        <v>cambacica</v>
      </c>
    </row>
    <row r="13809">
      <c r="A13809" s="3">
        <v>45904.0</v>
      </c>
      <c r="B13809" s="4">
        <v>0.3284722222222222</v>
      </c>
      <c r="C13809" s="5" t="s">
        <v>33</v>
      </c>
      <c r="D13809" s="5" t="s">
        <v>1793</v>
      </c>
      <c r="E13809" s="8" t="s">
        <v>109</v>
      </c>
      <c r="F13809" s="5" t="s">
        <v>110</v>
      </c>
      <c r="G13809" s="6" t="str">
        <f>VLOOKUP(E13809,dicionario!$A$1:$C14208,2,0)</f>
        <v>Tillandsia stricta</v>
      </c>
      <c r="H13809" s="6" t="str">
        <f>VLOOKUP(E13809,dicionario!$A$1:$C14208,3,0)</f>
        <v>cravo-do-mato</v>
      </c>
    </row>
    <row r="13810">
      <c r="A13810" s="3">
        <v>45904.0</v>
      </c>
      <c r="B13810" s="4">
        <v>0.3284722222222222</v>
      </c>
      <c r="C13810" s="5" t="s">
        <v>33</v>
      </c>
      <c r="D13810" s="5" t="s">
        <v>1793</v>
      </c>
      <c r="E13810" s="8" t="s">
        <v>223</v>
      </c>
      <c r="F13810" s="5" t="s">
        <v>224</v>
      </c>
      <c r="G13810" s="6" t="str">
        <f>VLOOKUP(E13810,dicionario!$A$1:$C14209,2,0)</f>
        <v>Rhipsalis lindbergiana</v>
      </c>
      <c r="H13810" s="6" t="str">
        <f>VLOOKUP(E13810,dicionario!$A$1:$C14209,3,0)</f>
        <v>cacto-macarrão</v>
      </c>
    </row>
    <row r="13811">
      <c r="A13811" s="3">
        <v>45904.0</v>
      </c>
      <c r="B13811" s="4">
        <v>0.3298611111111111</v>
      </c>
      <c r="C13811" s="5" t="s">
        <v>26</v>
      </c>
      <c r="D13811" s="5" t="s">
        <v>1793</v>
      </c>
      <c r="E13811" s="8" t="s">
        <v>712</v>
      </c>
      <c r="F13811" s="5" t="s">
        <v>912</v>
      </c>
      <c r="G13811" s="6" t="str">
        <f>VLOOKUP(E13811,dicionario!$A$1:$C14210,2,0)</f>
        <v>Flavopunctelia soredica</v>
      </c>
      <c r="H13811" s="6" t="str">
        <f>VLOOKUP(E13811,dicionario!$A$1:$C14210,3,0)</f>
        <v>líquen-folioso</v>
      </c>
    </row>
    <row r="13812">
      <c r="A13812" s="3">
        <v>45904.0</v>
      </c>
      <c r="B13812" s="4">
        <v>0.3298611111111111</v>
      </c>
      <c r="C13812" s="5" t="s">
        <v>26</v>
      </c>
      <c r="D13812" s="5" t="s">
        <v>1793</v>
      </c>
      <c r="E13812" s="8" t="s">
        <v>719</v>
      </c>
      <c r="F13812" s="5" t="s">
        <v>911</v>
      </c>
      <c r="G13812" s="6" t="str">
        <f>VLOOKUP(E13812,dicionario!$A$1:$C14211,2,0)</f>
        <v>Dirinaria</v>
      </c>
      <c r="H13812" s="6" t="str">
        <f>VLOOKUP(E13812,dicionario!$A$1:$C14211,3,0)</f>
        <v>líquen-crostoso</v>
      </c>
    </row>
    <row r="13813">
      <c r="A13813" s="3">
        <v>45904.0</v>
      </c>
      <c r="B13813" s="4">
        <v>0.3298611111111111</v>
      </c>
      <c r="C13813" s="5" t="s">
        <v>26</v>
      </c>
      <c r="D13813" s="5" t="s">
        <v>1793</v>
      </c>
      <c r="E13813" s="8" t="s">
        <v>109</v>
      </c>
      <c r="F13813" s="5" t="s">
        <v>110</v>
      </c>
      <c r="G13813" s="6" t="str">
        <f>VLOOKUP(E13813,dicionario!$A$1:$C14212,2,0)</f>
        <v>Tillandsia stricta</v>
      </c>
      <c r="H13813" s="6" t="str">
        <f>VLOOKUP(E13813,dicionario!$A$1:$C14212,3,0)</f>
        <v>cravo-do-mato</v>
      </c>
    </row>
    <row r="13814">
      <c r="A13814" s="3">
        <v>45904.0</v>
      </c>
      <c r="B13814" s="4">
        <v>0.3298611111111111</v>
      </c>
      <c r="C13814" s="5" t="s">
        <v>26</v>
      </c>
      <c r="D13814" s="5" t="s">
        <v>1793</v>
      </c>
      <c r="E13814" s="6" t="s">
        <v>217</v>
      </c>
      <c r="F13814" s="5" t="s">
        <v>218</v>
      </c>
      <c r="G13814" s="6" t="str">
        <f>VLOOKUP(E13814,dicionario!$A$1:$C14213,2,0)</f>
        <v>Athene cunicularia</v>
      </c>
      <c r="H13814" s="6" t="str">
        <f>VLOOKUP(E13814,dicionario!$A$1:$C14213,3,0)</f>
        <v>coruja-buraqueira</v>
      </c>
    </row>
    <row r="13815">
      <c r="A13815" s="3">
        <v>45904.0</v>
      </c>
      <c r="B13815" s="4">
        <v>0.3298611111111111</v>
      </c>
      <c r="C13815" s="5" t="s">
        <v>26</v>
      </c>
      <c r="D13815" s="5" t="s">
        <v>1793</v>
      </c>
      <c r="E13815" s="20" t="s">
        <v>676</v>
      </c>
      <c r="F13815" s="5" t="s">
        <v>677</v>
      </c>
      <c r="G13815" s="6" t="str">
        <f>VLOOKUP(E13815,dicionario!$A$1:$C14214,2,0)</f>
        <v>Zornia latifolia</v>
      </c>
      <c r="H13815" s="6" t="str">
        <f>VLOOKUP(E13815,dicionario!$A$1:$C14214,3,0)</f>
        <v>arrozinho-do-campo</v>
      </c>
    </row>
    <row r="13816">
      <c r="A13816" s="3">
        <v>45904.0</v>
      </c>
      <c r="B13816" s="4">
        <v>0.3298611111111111</v>
      </c>
      <c r="C13816" s="5" t="s">
        <v>26</v>
      </c>
      <c r="D13816" s="5" t="s">
        <v>1793</v>
      </c>
      <c r="E13816" s="8" t="s">
        <v>886</v>
      </c>
      <c r="F13816" s="5" t="s">
        <v>887</v>
      </c>
      <c r="G13816" s="6" t="str">
        <f>VLOOKUP(E13816,dicionario!$A$1:$C14215,2,0)</f>
        <v>Oldenlandia corymbosa</v>
      </c>
      <c r="H13816" s="6" t="str">
        <f>VLOOKUP(E13816,dicionario!$A$1:$C14215,3,0)</f>
        <v>erva-diamante</v>
      </c>
    </row>
    <row r="13817">
      <c r="A13817" s="3">
        <v>45904.0</v>
      </c>
      <c r="B13817" s="4">
        <v>0.3298611111111111</v>
      </c>
      <c r="C13817" s="5" t="s">
        <v>26</v>
      </c>
      <c r="D13817" s="5" t="s">
        <v>1793</v>
      </c>
      <c r="E13817" s="6" t="s">
        <v>215</v>
      </c>
      <c r="F13817" s="5" t="s">
        <v>216</v>
      </c>
      <c r="G13817" s="6" t="str">
        <f>VLOOKUP(E13817,dicionario!$A$1:$C14216,2,0)</f>
        <v>Pygochelidon cyanoleuca</v>
      </c>
      <c r="H13817" s="6" t="str">
        <f>VLOOKUP(E13817,dicionario!$A$1:$C14216,3,0)</f>
        <v>andorinha-pequena-de-casa</v>
      </c>
    </row>
    <row r="13818">
      <c r="A13818" s="3">
        <v>45904.0</v>
      </c>
      <c r="B13818" s="4">
        <v>0.3298611111111111</v>
      </c>
      <c r="C13818" s="5" t="s">
        <v>26</v>
      </c>
      <c r="D13818" s="5" t="s">
        <v>1793</v>
      </c>
      <c r="E13818" s="67" t="s">
        <v>1808</v>
      </c>
      <c r="F13818" s="5" t="s">
        <v>1809</v>
      </c>
      <c r="G13818" s="6" t="str">
        <f>VLOOKUP(E13818,dicionario!$A$1:$C14217,2,0)</f>
        <v>Andropogon virginicus</v>
      </c>
      <c r="H13818" s="6" t="str">
        <f>VLOOKUP(E13818,dicionario!$A$1:$C14217,3,0)</f>
        <v>barba-de-bode; capim-barba-de-bode</v>
      </c>
    </row>
    <row r="13819">
      <c r="A13819" s="3">
        <v>45904.0</v>
      </c>
      <c r="B13819" s="4">
        <v>0.3298611111111111</v>
      </c>
      <c r="C13819" s="5" t="s">
        <v>26</v>
      </c>
      <c r="D13819" s="5" t="s">
        <v>1793</v>
      </c>
      <c r="E13819" s="6" t="s">
        <v>251</v>
      </c>
      <c r="F13819" s="5" t="s">
        <v>252</v>
      </c>
      <c r="G13819" s="6" t="str">
        <f>VLOOKUP(E13819,dicionario!$A$1:$C14218,2,0)</f>
        <v>Struthanthus flexicaulis</v>
      </c>
      <c r="H13819" s="6" t="str">
        <f>VLOOKUP(E13819,dicionario!$A$1:$C14218,3,0)</f>
        <v>erva-de-passarinho</v>
      </c>
    </row>
    <row r="13820">
      <c r="A13820" s="3">
        <v>45904.0</v>
      </c>
      <c r="B13820" s="4">
        <v>0.3298611111111111</v>
      </c>
      <c r="C13820" s="5" t="s">
        <v>26</v>
      </c>
      <c r="D13820" s="5" t="s">
        <v>1793</v>
      </c>
      <c r="E13820" s="6" t="s">
        <v>243</v>
      </c>
      <c r="F13820" s="5" t="s">
        <v>244</v>
      </c>
      <c r="G13820" s="6" t="str">
        <f>VLOOKUP(E13820,dicionario!$A$1:$C14219,2,0)</f>
        <v>Macroptilium atropurpureum</v>
      </c>
      <c r="H13820" s="6" t="str">
        <f>VLOOKUP(E13820,dicionario!$A$1:$C14219,3,0)</f>
        <v>feijão-de-pombo</v>
      </c>
    </row>
    <row r="13821">
      <c r="A13821" s="3">
        <v>45904.0</v>
      </c>
      <c r="B13821" s="4">
        <v>0.3298611111111111</v>
      </c>
      <c r="C13821" s="5" t="s">
        <v>26</v>
      </c>
      <c r="D13821" s="5" t="s">
        <v>1793</v>
      </c>
      <c r="E13821" s="8" t="s">
        <v>41</v>
      </c>
      <c r="F13821" s="5" t="s">
        <v>45</v>
      </c>
      <c r="G13821" s="6" t="str">
        <f>VLOOKUP(E13821,dicionario!$A$1:$C14220,2,0)</f>
        <v>Mimosa pudica</v>
      </c>
      <c r="H13821" s="6" t="str">
        <f>VLOOKUP(E13821,dicionario!$A$1:$C14220,3,0)</f>
        <v>dormideira</v>
      </c>
    </row>
    <row r="13822">
      <c r="A13822" s="3">
        <v>45904.0</v>
      </c>
      <c r="B13822" s="4">
        <v>0.3298611111111111</v>
      </c>
      <c r="C13822" s="5" t="s">
        <v>26</v>
      </c>
      <c r="D13822" s="5" t="s">
        <v>1793</v>
      </c>
      <c r="E13822" s="8" t="s">
        <v>1694</v>
      </c>
      <c r="F13822" s="5" t="s">
        <v>1695</v>
      </c>
      <c r="G13822" s="6" t="str">
        <f>VLOOKUP(E13822,dicionario!$A$1:$C14221,2,0)</f>
        <v>Conyza bonariensis</v>
      </c>
      <c r="H13822" s="6" t="str">
        <f>VLOOKUP(E13822,dicionario!$A$1:$C14221,3,0)</f>
        <v>buva</v>
      </c>
    </row>
    <row r="13823">
      <c r="A13823" s="3">
        <v>45904.0</v>
      </c>
      <c r="B13823" s="4">
        <v>0.3298611111111111</v>
      </c>
      <c r="C13823" s="5" t="s">
        <v>26</v>
      </c>
      <c r="D13823" s="5" t="s">
        <v>1793</v>
      </c>
      <c r="E13823" s="8" t="s">
        <v>360</v>
      </c>
      <c r="F13823" s="5" t="s">
        <v>361</v>
      </c>
      <c r="G13823" s="6" t="str">
        <f>VLOOKUP(E13823,dicionario!$A$1:$C14222,2,0)</f>
        <v>Chamaecrista rotundifolia</v>
      </c>
      <c r="H13823" s="6" t="str">
        <f>VLOOKUP(E13823,dicionario!$A$1:$C14222,3,0)</f>
        <v>alfafa-nativa</v>
      </c>
    </row>
    <row r="13824">
      <c r="A13824" s="3">
        <v>45904.0</v>
      </c>
      <c r="B13824" s="4">
        <v>0.3298611111111111</v>
      </c>
      <c r="C13824" s="5" t="s">
        <v>26</v>
      </c>
      <c r="D13824" s="5" t="s">
        <v>1793</v>
      </c>
      <c r="E13824" s="80" t="s">
        <v>1467</v>
      </c>
      <c r="F13824" s="5" t="s">
        <v>1810</v>
      </c>
      <c r="G13824" s="6" t="str">
        <f>VLOOKUP(E13824,dicionario!$A$1:$C14223,2,0)</f>
        <v>Lycoperdon</v>
      </c>
      <c r="H13824" s="6" t="str">
        <f>VLOOKUP(E13824,dicionario!$A$1:$C14223,3,0)</f>
        <v>cogumelo-bufa-de-lobo</v>
      </c>
    </row>
    <row r="13825">
      <c r="A13825" s="3">
        <v>45904.0</v>
      </c>
      <c r="B13825" s="4">
        <v>0.33125</v>
      </c>
      <c r="C13825" s="5" t="s">
        <v>26</v>
      </c>
      <c r="D13825" s="5" t="s">
        <v>1793</v>
      </c>
      <c r="E13825" s="8" t="s">
        <v>271</v>
      </c>
      <c r="F13825" s="5" t="s">
        <v>1169</v>
      </c>
      <c r="G13825" s="6" t="str">
        <f>VLOOKUP(E13825,dicionario!$A$1:$C14224,2,0)</f>
        <v>Cyanthillium cinereum</v>
      </c>
      <c r="H13825" s="6" t="str">
        <f>VLOOKUP(E13825,dicionario!$A$1:$C14224,3,0)</f>
        <v>emília</v>
      </c>
    </row>
    <row r="13826">
      <c r="A13826" s="3">
        <v>45904.0</v>
      </c>
      <c r="B13826" s="4">
        <v>0.33125</v>
      </c>
      <c r="C13826" s="5" t="s">
        <v>26</v>
      </c>
      <c r="D13826" s="5" t="s">
        <v>1793</v>
      </c>
      <c r="E13826" s="8" t="s">
        <v>298</v>
      </c>
      <c r="F13826" s="5"/>
      <c r="G13826" s="6" t="str">
        <f>VLOOKUP(E13826,dicionario!$A$1:$C14225,2,0)</f>
        <v>Alysicarpus vaginalis</v>
      </c>
      <c r="H13826" s="6" t="str">
        <f>VLOOKUP(E13826,dicionario!$A$1:$C14225,3,0)</f>
        <v/>
      </c>
    </row>
    <row r="13827">
      <c r="A13827" s="3">
        <v>45904.0</v>
      </c>
      <c r="B13827" s="4">
        <v>0.33125</v>
      </c>
      <c r="C13827" s="5" t="s">
        <v>26</v>
      </c>
      <c r="D13827" s="5" t="s">
        <v>1793</v>
      </c>
      <c r="E13827" s="8" t="s">
        <v>338</v>
      </c>
      <c r="F13827" s="5" t="s">
        <v>1454</v>
      </c>
      <c r="G13827" s="6" t="str">
        <f>VLOOKUP(E13827,dicionario!$A$1:$C14226,2,0)</f>
        <v>Atta</v>
      </c>
      <c r="H13827" s="6" t="str">
        <f>VLOOKUP(E13827,dicionario!$A$1:$C14226,3,0)</f>
        <v>saúva</v>
      </c>
    </row>
    <row r="13828">
      <c r="A13828" s="3">
        <v>45904.0</v>
      </c>
      <c r="B13828" s="4">
        <v>0.33125</v>
      </c>
      <c r="C13828" s="5" t="s">
        <v>26</v>
      </c>
      <c r="D13828" s="5" t="s">
        <v>1793</v>
      </c>
      <c r="E13828" s="8" t="s">
        <v>1798</v>
      </c>
      <c r="F13828" s="7" t="s">
        <v>321</v>
      </c>
      <c r="G13828" s="6" t="str">
        <f>VLOOKUP(E13828,dicionario!$A$1:$C14227,2,0)</f>
        <v>Solenopsis</v>
      </c>
      <c r="H13828" s="6" t="str">
        <f>VLOOKUP(E13828,dicionario!$A$1:$C14227,3,0)</f>
        <v>formiga-quente; formiga-lava-pés; formiga-de-fogo</v>
      </c>
    </row>
    <row r="13829">
      <c r="A13829" s="3">
        <v>45904.0</v>
      </c>
      <c r="B13829" s="4">
        <v>0.3333333333333333</v>
      </c>
      <c r="C13829" s="5" t="s">
        <v>26</v>
      </c>
      <c r="D13829" s="5" t="s">
        <v>1793</v>
      </c>
      <c r="E13829" s="8" t="s">
        <v>498</v>
      </c>
      <c r="F13829" s="5" t="s">
        <v>499</v>
      </c>
      <c r="G13829" s="6" t="str">
        <f>VLOOKUP(E13829,dicionario!$A$1:$C14228,2,0)</f>
        <v>Brachiaria decumbens</v>
      </c>
      <c r="H13829" s="6" t="str">
        <f>VLOOKUP(E13829,dicionario!$A$1:$C14228,3,0)</f>
        <v>capim-braquiária</v>
      </c>
    </row>
    <row r="13830">
      <c r="A13830" s="3">
        <v>45904.0</v>
      </c>
      <c r="B13830" s="4">
        <v>0.3333333333333333</v>
      </c>
      <c r="C13830" s="5" t="s">
        <v>26</v>
      </c>
      <c r="D13830" s="5" t="s">
        <v>1793</v>
      </c>
      <c r="E13830" s="53" t="s">
        <v>1175</v>
      </c>
      <c r="F13830" s="5" t="s">
        <v>1738</v>
      </c>
      <c r="G13830" s="6" t="str">
        <f>VLOOKUP(E13830,dicionario!$A$1:$C14229,2,0)</f>
        <v>Danaus erippus</v>
      </c>
      <c r="H13830" s="6" t="str">
        <f>VLOOKUP(E13830,dicionario!$A$1:$C14229,3,0)</f>
        <v>borboleta-monarca-do-sul</v>
      </c>
    </row>
    <row r="13831">
      <c r="A13831" s="3">
        <v>45904.0</v>
      </c>
      <c r="B13831" s="4">
        <v>0.3333333333333333</v>
      </c>
      <c r="C13831" s="5" t="s">
        <v>26</v>
      </c>
      <c r="D13831" s="5" t="s">
        <v>1793</v>
      </c>
      <c r="E13831" s="8" t="s">
        <v>20</v>
      </c>
      <c r="F13831" s="5" t="s">
        <v>21</v>
      </c>
      <c r="G13831" s="6" t="str">
        <f>VLOOKUP(E13831,dicionario!$A$1:$C14230,2,0)</f>
        <v>Sicalis flaveola</v>
      </c>
      <c r="H13831" s="6" t="str">
        <f>VLOOKUP(E13831,dicionario!$A$1:$C14230,3,0)</f>
        <v>canário-da-terra</v>
      </c>
    </row>
    <row r="13832">
      <c r="A13832" s="3">
        <v>45904.0</v>
      </c>
      <c r="B13832" s="4">
        <v>0.3333333333333333</v>
      </c>
      <c r="C13832" s="5" t="s">
        <v>26</v>
      </c>
      <c r="D13832" s="5" t="s">
        <v>1793</v>
      </c>
      <c r="E13832" s="6" t="s">
        <v>334</v>
      </c>
      <c r="F13832" s="5" t="s">
        <v>335</v>
      </c>
      <c r="G13832" s="6" t="str">
        <f>VLOOKUP(E13832,dicionario!$A$1:$C14231,2,0)</f>
        <v>Eupsittula aurea</v>
      </c>
      <c r="H13832" s="6" t="str">
        <f>VLOOKUP(E13832,dicionario!$A$1:$C14231,3,0)</f>
        <v>periquito-rei</v>
      </c>
    </row>
    <row r="13833">
      <c r="A13833" s="3">
        <v>45904.0</v>
      </c>
      <c r="B13833" s="4">
        <v>0.3333333333333333</v>
      </c>
      <c r="C13833" s="5" t="s">
        <v>26</v>
      </c>
      <c r="D13833" s="5" t="s">
        <v>1793</v>
      </c>
      <c r="E13833" s="8" t="s">
        <v>1328</v>
      </c>
      <c r="F13833" s="5" t="s">
        <v>356</v>
      </c>
      <c r="G13833" s="6" t="str">
        <f>VLOOKUP(E13833,dicionario!$A$1:$C14232,2,0)</f>
        <v>#N/A</v>
      </c>
      <c r="H13833" s="6" t="str">
        <f>VLOOKUP(E13833,dicionario!$A$1:$C14232,3,0)</f>
        <v>#N/A</v>
      </c>
    </row>
    <row r="13834">
      <c r="A13834" s="3">
        <v>45904.0</v>
      </c>
      <c r="B13834" s="4">
        <v>0.3333333333333333</v>
      </c>
      <c r="C13834" s="5" t="s">
        <v>26</v>
      </c>
      <c r="D13834" s="5" t="s">
        <v>1793</v>
      </c>
      <c r="E13834" s="8" t="s">
        <v>478</v>
      </c>
      <c r="F13834" s="5" t="s">
        <v>479</v>
      </c>
      <c r="G13834" s="6" t="str">
        <f>VLOOKUP(E13834,dicionario!$A$1:$C14233,2,0)</f>
        <v>Cathartes burrovianus</v>
      </c>
      <c r="H13834" s="6" t="str">
        <f>VLOOKUP(E13834,dicionario!$A$1:$C14233,3,0)</f>
        <v>urubu-de-cabeça-amarela</v>
      </c>
    </row>
    <row r="13835">
      <c r="A13835" s="3">
        <v>45904.0</v>
      </c>
      <c r="B13835" s="4">
        <v>0.3333333333333333</v>
      </c>
      <c r="C13835" s="5" t="s">
        <v>26</v>
      </c>
      <c r="D13835" s="5" t="s">
        <v>1793</v>
      </c>
      <c r="E13835" s="8" t="s">
        <v>1386</v>
      </c>
      <c r="F13835" s="5" t="s">
        <v>1547</v>
      </c>
      <c r="G13835" s="6" t="str">
        <f>VLOOKUP(E13835,dicionario!$A$1:$C14234,2,0)</f>
        <v>#N/A</v>
      </c>
      <c r="H13835" s="6" t="str">
        <f>VLOOKUP(E13835,dicionario!$A$1:$C14234,3,0)</f>
        <v>#N/A</v>
      </c>
    </row>
    <row r="13836">
      <c r="A13836" s="3">
        <v>45904.0</v>
      </c>
      <c r="B13836" s="4">
        <v>0.33541666666666664</v>
      </c>
      <c r="C13836" s="5" t="s">
        <v>8</v>
      </c>
      <c r="D13836" s="5" t="s">
        <v>1793</v>
      </c>
      <c r="E13836" s="8" t="s">
        <v>1344</v>
      </c>
      <c r="F13836" s="5" t="s">
        <v>47</v>
      </c>
      <c r="G13836" s="6" t="str">
        <f>VLOOKUP(E13836,dicionario!$A$1:$C14235,2,0)</f>
        <v>#N/A</v>
      </c>
      <c r="H13836" s="6" t="str">
        <f>VLOOKUP(E13836,dicionario!$A$1:$C14235,3,0)</f>
        <v>#N/A</v>
      </c>
    </row>
    <row r="13837">
      <c r="A13837" s="3">
        <v>45904.0</v>
      </c>
      <c r="B13837" s="4">
        <v>0.33541666666666664</v>
      </c>
      <c r="C13837" s="5" t="s">
        <v>8</v>
      </c>
      <c r="D13837" s="5" t="s">
        <v>1793</v>
      </c>
      <c r="E13837" s="8" t="s">
        <v>109</v>
      </c>
      <c r="F13837" s="5" t="s">
        <v>110</v>
      </c>
      <c r="G13837" s="6" t="str">
        <f>VLOOKUP(E13837,dicionario!$A$1:$C14236,2,0)</f>
        <v>Tillandsia stricta</v>
      </c>
      <c r="H13837" s="6" t="str">
        <f>VLOOKUP(E13837,dicionario!$A$1:$C14236,3,0)</f>
        <v>cravo-do-mato</v>
      </c>
    </row>
    <row r="13838">
      <c r="A13838" s="3">
        <v>45904.0</v>
      </c>
      <c r="B13838" s="4">
        <v>0.33541666666666664</v>
      </c>
      <c r="C13838" s="5" t="s">
        <v>8</v>
      </c>
      <c r="D13838" s="5" t="s">
        <v>1793</v>
      </c>
      <c r="E13838" s="8" t="s">
        <v>719</v>
      </c>
      <c r="F13838" s="5" t="s">
        <v>911</v>
      </c>
      <c r="G13838" s="6" t="str">
        <f>VLOOKUP(E13838,dicionario!$A$1:$C14237,2,0)</f>
        <v>Dirinaria</v>
      </c>
      <c r="H13838" s="6" t="str">
        <f>VLOOKUP(E13838,dicionario!$A$1:$C14237,3,0)</f>
        <v>líquen-crostoso</v>
      </c>
    </row>
    <row r="13839">
      <c r="A13839" s="3">
        <v>45904.0</v>
      </c>
      <c r="B13839" s="4">
        <v>0.33541666666666664</v>
      </c>
      <c r="C13839" s="5" t="s">
        <v>8</v>
      </c>
      <c r="D13839" s="5" t="s">
        <v>1793</v>
      </c>
      <c r="E13839" s="8" t="s">
        <v>712</v>
      </c>
      <c r="F13839" s="5" t="s">
        <v>912</v>
      </c>
      <c r="G13839" s="6" t="str">
        <f>VLOOKUP(E13839,dicionario!$A$1:$C14238,2,0)</f>
        <v>Flavopunctelia soredica</v>
      </c>
      <c r="H13839" s="6" t="str">
        <f>VLOOKUP(E13839,dicionario!$A$1:$C14238,3,0)</f>
        <v>líquen-folioso</v>
      </c>
    </row>
    <row r="13840">
      <c r="A13840" s="3">
        <v>45904.0</v>
      </c>
      <c r="B13840" s="4">
        <v>0.33541666666666664</v>
      </c>
      <c r="C13840" s="5" t="s">
        <v>8</v>
      </c>
      <c r="D13840" s="5" t="s">
        <v>1793</v>
      </c>
      <c r="E13840" s="8" t="s">
        <v>107</v>
      </c>
      <c r="F13840" s="5" t="s">
        <v>834</v>
      </c>
      <c r="G13840" s="6" t="str">
        <f>VLOOKUP(E13840,dicionario!$A$1:$C14239,2,0)</f>
        <v>Ramalina complanata</v>
      </c>
      <c r="H13840" s="6" t="str">
        <f>VLOOKUP(E13840,dicionario!$A$1:$C14239,3,0)</f>
        <v>ramalina</v>
      </c>
    </row>
    <row r="13841">
      <c r="A13841" s="3">
        <v>45904.0</v>
      </c>
      <c r="B13841" s="4">
        <v>0.33611111111111114</v>
      </c>
      <c r="C13841" s="5" t="s">
        <v>8</v>
      </c>
      <c r="D13841" s="5" t="s">
        <v>1793</v>
      </c>
      <c r="E13841" s="8" t="s">
        <v>18</v>
      </c>
      <c r="F13841" s="5" t="s">
        <v>1811</v>
      </c>
      <c r="G13841" s="6" t="str">
        <f>VLOOKUP(E13841,dicionario!$A$1:$C14240,2,0)</f>
        <v>Xylocopa frontalis</v>
      </c>
      <c r="H13841" s="6" t="str">
        <f>VLOOKUP(E13841,dicionario!$A$1:$C14240,3,0)</f>
        <v>Mamangava; mangangá; abelha-carpinteira</v>
      </c>
    </row>
    <row r="13842">
      <c r="A13842" s="3">
        <v>45904.0</v>
      </c>
      <c r="B13842" s="4">
        <v>0.33611111111111114</v>
      </c>
      <c r="C13842" s="5" t="s">
        <v>8</v>
      </c>
      <c r="D13842" s="5" t="s">
        <v>1793</v>
      </c>
      <c r="E13842" s="8" t="s">
        <v>143</v>
      </c>
      <c r="F13842" s="5" t="s">
        <v>1812</v>
      </c>
      <c r="G13842" s="6" t="str">
        <f>VLOOKUP(E13842,dicionario!$A$1:$C14241,2,0)</f>
        <v>Polybia</v>
      </c>
      <c r="H13842" s="6" t="str">
        <f>VLOOKUP(E13842,dicionario!$A$1:$C14241,3,0)</f>
        <v>vespa</v>
      </c>
    </row>
    <row r="13843">
      <c r="A13843" s="3">
        <v>45904.0</v>
      </c>
      <c r="B13843" s="4">
        <v>0.33611111111111114</v>
      </c>
      <c r="C13843" s="5" t="s">
        <v>8</v>
      </c>
      <c r="D13843" s="5" t="s">
        <v>1793</v>
      </c>
      <c r="E13843" s="6" t="s">
        <v>229</v>
      </c>
      <c r="F13843" s="5" t="s">
        <v>809</v>
      </c>
      <c r="G13843" s="6" t="str">
        <f>VLOOKUP(E13843,dicionario!$A$1:$C14242,2,0)</f>
        <v>Apis mellifera</v>
      </c>
      <c r="H13843" s="6" t="str">
        <f>VLOOKUP(E13843,dicionario!$A$1:$C14242,3,0)</f>
        <v>abelha-do-mel</v>
      </c>
    </row>
    <row r="13844">
      <c r="A13844" s="3">
        <v>45904.0</v>
      </c>
      <c r="B13844" s="4">
        <v>0.33611111111111114</v>
      </c>
      <c r="C13844" s="5" t="s">
        <v>8</v>
      </c>
      <c r="D13844" s="5" t="s">
        <v>1793</v>
      </c>
      <c r="E13844" s="8" t="s">
        <v>20</v>
      </c>
      <c r="F13844" s="5" t="s">
        <v>21</v>
      </c>
      <c r="G13844" s="6" t="str">
        <f>VLOOKUP(E13844,dicionario!$A$1:$C14243,2,0)</f>
        <v>Sicalis flaveola</v>
      </c>
      <c r="H13844" s="6" t="str">
        <f>VLOOKUP(E13844,dicionario!$A$1:$C14243,3,0)</f>
        <v>canário-da-terra</v>
      </c>
    </row>
    <row r="13845">
      <c r="A13845" s="3">
        <v>45904.0</v>
      </c>
      <c r="B13845" s="4">
        <v>0.3368055555555556</v>
      </c>
      <c r="C13845" s="5" t="s">
        <v>8</v>
      </c>
      <c r="D13845" s="5" t="s">
        <v>1793</v>
      </c>
      <c r="E13845" s="8" t="s">
        <v>135</v>
      </c>
      <c r="F13845" s="5" t="s">
        <v>136</v>
      </c>
      <c r="G13845" s="6" t="str">
        <f>VLOOKUP(E13845,dicionario!$A$1:$C14244,2,0)</f>
        <v>Tridax procumbens</v>
      </c>
      <c r="H13845" s="6" t="str">
        <f>VLOOKUP(E13845,dicionario!$A$1:$C14244,3,0)</f>
        <v>erva-de-touro</v>
      </c>
    </row>
    <row r="13846">
      <c r="A13846" s="3">
        <v>45904.0</v>
      </c>
      <c r="B13846" s="4">
        <v>0.3368055555555556</v>
      </c>
      <c r="C13846" s="5" t="s">
        <v>8</v>
      </c>
      <c r="D13846" s="5" t="s">
        <v>1793</v>
      </c>
      <c r="E13846" s="8" t="s">
        <v>16</v>
      </c>
      <c r="F13846" s="5" t="s">
        <v>17</v>
      </c>
      <c r="G13846" s="6" t="str">
        <f>VLOOKUP(E13846,dicionario!$A$1:$C14245,2,0)</f>
        <v>Eupetomena macroura</v>
      </c>
      <c r="H13846" s="6" t="str">
        <f>VLOOKUP(E13846,dicionario!$A$1:$C14245,3,0)</f>
        <v>beija-flor-tesoura</v>
      </c>
    </row>
    <row r="13847">
      <c r="A13847" s="3">
        <v>45904.0</v>
      </c>
      <c r="B13847" s="4">
        <v>0.3368055555555556</v>
      </c>
      <c r="C13847" s="5" t="s">
        <v>8</v>
      </c>
      <c r="D13847" s="5" t="s">
        <v>1793</v>
      </c>
      <c r="E13847" s="6" t="s">
        <v>111</v>
      </c>
      <c r="F13847" s="5" t="s">
        <v>112</v>
      </c>
      <c r="G13847" s="6" t="str">
        <f>VLOOKUP(E13847,dicionario!$A$1:$C14246,2,0)</f>
        <v>Trigona spinipes</v>
      </c>
      <c r="H13847" s="6" t="str">
        <f>VLOOKUP(E13847,dicionario!$A$1:$C14246,3,0)</f>
        <v>abelha-cachorro</v>
      </c>
    </row>
    <row r="13848">
      <c r="A13848" s="3">
        <v>45904.0</v>
      </c>
      <c r="B13848" s="4">
        <v>0.33819444444444446</v>
      </c>
      <c r="C13848" s="5" t="s">
        <v>8</v>
      </c>
      <c r="D13848" s="5" t="s">
        <v>1793</v>
      </c>
      <c r="E13848" s="8" t="s">
        <v>909</v>
      </c>
      <c r="F13848" s="5" t="s">
        <v>1813</v>
      </c>
      <c r="G13848" s="6" t="str">
        <f>VLOOKUP(E13848,dicionario!$A$1:$C14247,2,0)</f>
        <v>Chordeiles acutipennis</v>
      </c>
      <c r="H13848" s="6" t="str">
        <f>VLOOKUP(E13848,dicionario!$A$1:$C14247,3,0)</f>
        <v>bacurau-de-asa-fina</v>
      </c>
    </row>
    <row r="13849">
      <c r="A13849" s="3">
        <v>45904.0</v>
      </c>
      <c r="B13849" s="4">
        <v>0.33819444444444446</v>
      </c>
      <c r="C13849" s="5" t="s">
        <v>8</v>
      </c>
      <c r="D13849" s="5" t="s">
        <v>1793</v>
      </c>
      <c r="E13849" s="6" t="s">
        <v>65</v>
      </c>
      <c r="F13849" s="5" t="s">
        <v>66</v>
      </c>
      <c r="G13849" s="6" t="str">
        <f>VLOOKUP(E13849,dicionario!$A$1:$C14248,2,0)</f>
        <v>Pitangus sulphutarus</v>
      </c>
      <c r="H13849" s="6" t="str">
        <f>VLOOKUP(E13849,dicionario!$A$1:$C14248,3,0)</f>
        <v>bem-te-vi</v>
      </c>
    </row>
    <row r="13850">
      <c r="A13850" s="3">
        <v>45911.0</v>
      </c>
      <c r="B13850" s="4">
        <v>0.26180555555555557</v>
      </c>
      <c r="C13850" s="5" t="s">
        <v>1814</v>
      </c>
      <c r="D13850" s="5" t="s">
        <v>1815</v>
      </c>
      <c r="E13850" s="8" t="s">
        <v>712</v>
      </c>
      <c r="F13850" s="5" t="s">
        <v>912</v>
      </c>
      <c r="G13850" s="6" t="str">
        <f>VLOOKUP(E13850,dicionario!$A$1:$C14249,2,0)</f>
        <v>Flavopunctelia soredica</v>
      </c>
      <c r="H13850" s="6" t="str">
        <f>VLOOKUP(E13850,dicionario!$A$1:$C14249,3,0)</f>
        <v>líquen-folioso</v>
      </c>
    </row>
    <row r="13851">
      <c r="A13851" s="3">
        <v>45911.0</v>
      </c>
      <c r="B13851" s="4">
        <v>0.26180555555555557</v>
      </c>
      <c r="C13851" s="5" t="s">
        <v>1814</v>
      </c>
      <c r="D13851" s="5" t="s">
        <v>1815</v>
      </c>
      <c r="E13851" s="8" t="s">
        <v>719</v>
      </c>
      <c r="F13851" s="5" t="s">
        <v>911</v>
      </c>
      <c r="G13851" s="6" t="str">
        <f>VLOOKUP(E13851,dicionario!$A$1:$C14250,2,0)</f>
        <v>Dirinaria</v>
      </c>
      <c r="H13851" s="6" t="str">
        <f>VLOOKUP(E13851,dicionario!$A$1:$C14250,3,0)</f>
        <v>líquen-crostoso</v>
      </c>
    </row>
    <row r="13852">
      <c r="A13852" s="3">
        <v>45911.0</v>
      </c>
      <c r="B13852" s="4">
        <v>0.26180555555555557</v>
      </c>
      <c r="C13852" s="5" t="s">
        <v>1814</v>
      </c>
      <c r="D13852" s="5" t="s">
        <v>1815</v>
      </c>
      <c r="E13852" s="8" t="s">
        <v>107</v>
      </c>
      <c r="F13852" s="5" t="s">
        <v>834</v>
      </c>
      <c r="G13852" s="6" t="str">
        <f>VLOOKUP(E13852,dicionario!$A$1:$C14251,2,0)</f>
        <v>Ramalina complanata</v>
      </c>
      <c r="H13852" s="6" t="str">
        <f>VLOOKUP(E13852,dicionario!$A$1:$C14251,3,0)</f>
        <v>ramalina</v>
      </c>
    </row>
    <row r="13853">
      <c r="A13853" s="3">
        <v>45911.0</v>
      </c>
      <c r="B13853" s="4">
        <v>0.26180555555555557</v>
      </c>
      <c r="C13853" s="5" t="s">
        <v>1814</v>
      </c>
      <c r="D13853" s="5" t="s">
        <v>1815</v>
      </c>
      <c r="E13853" s="8" t="s">
        <v>1816</v>
      </c>
      <c r="F13853" s="5" t="s">
        <v>969</v>
      </c>
      <c r="G13853" s="6" t="str">
        <f>VLOOKUP(E13853,dicionario!$A$1:$C14252,2,0)</f>
        <v>#N/A</v>
      </c>
      <c r="H13853" s="6" t="str">
        <f>VLOOKUP(E13853,dicionario!$A$1:$C14252,3,0)</f>
        <v>#N/A</v>
      </c>
    </row>
    <row r="13854">
      <c r="A13854" s="3">
        <v>45911.0</v>
      </c>
      <c r="B13854" s="4">
        <v>0.26180555555555557</v>
      </c>
      <c r="C13854" s="5" t="s">
        <v>1814</v>
      </c>
      <c r="D13854" s="5" t="s">
        <v>1815</v>
      </c>
      <c r="E13854" s="6" t="s">
        <v>72</v>
      </c>
      <c r="F13854" s="5" t="s">
        <v>73</v>
      </c>
      <c r="G13854" s="6" t="str">
        <f>VLOOKUP(E13854,dicionario!$A$1:$C14253,2,0)</f>
        <v>Thraupis palmarum</v>
      </c>
      <c r="H13854" s="6" t="str">
        <f>VLOOKUP(E13854,dicionario!$A$1:$C14253,3,0)</f>
        <v>sanhaço-do-coqueiro</v>
      </c>
    </row>
    <row r="13855">
      <c r="A13855" s="3">
        <v>45911.0</v>
      </c>
      <c r="B13855" s="4">
        <v>0.26180555555555557</v>
      </c>
      <c r="C13855" s="5" t="s">
        <v>1814</v>
      </c>
      <c r="D13855" s="5" t="s">
        <v>1815</v>
      </c>
      <c r="E13855" s="6" t="s">
        <v>65</v>
      </c>
      <c r="F13855" s="5" t="s">
        <v>66</v>
      </c>
      <c r="G13855" s="6" t="str">
        <f>VLOOKUP(E13855,dicionario!$A$1:$C14254,2,0)</f>
        <v>Pitangus sulphutarus</v>
      </c>
      <c r="H13855" s="6" t="str">
        <f>VLOOKUP(E13855,dicionario!$A$1:$C14254,3,0)</f>
        <v>bem-te-vi</v>
      </c>
    </row>
    <row r="13856">
      <c r="A13856" s="3">
        <v>45911.0</v>
      </c>
      <c r="B13856" s="4">
        <v>0.2625</v>
      </c>
      <c r="C13856" s="5" t="s">
        <v>1814</v>
      </c>
      <c r="D13856" s="5" t="s">
        <v>1815</v>
      </c>
      <c r="E13856" s="6" t="s">
        <v>113</v>
      </c>
      <c r="F13856" s="5" t="s">
        <v>114</v>
      </c>
      <c r="G13856" s="6" t="str">
        <f>VLOOKUP(E13856,dicionario!$A$1:$C14255,2,0)</f>
        <v>Columbina talpacoti</v>
      </c>
      <c r="H13856" s="6" t="str">
        <f>VLOOKUP(E13856,dicionario!$A$1:$C14255,3,0)</f>
        <v>rolinha-roxa</v>
      </c>
    </row>
    <row r="13857">
      <c r="A13857" s="3">
        <v>45911.0</v>
      </c>
      <c r="B13857" s="4">
        <v>0.2625</v>
      </c>
      <c r="C13857" s="5" t="s">
        <v>1814</v>
      </c>
      <c r="D13857" s="5" t="s">
        <v>1815</v>
      </c>
      <c r="E13857" s="6" t="s">
        <v>12</v>
      </c>
      <c r="F13857" s="5" t="s">
        <v>13</v>
      </c>
      <c r="G13857" s="6" t="str">
        <f>VLOOKUP(E13857,dicionario!$A$1:$C14256,2,0)</f>
        <v>Eulaema nigrita</v>
      </c>
      <c r="H13857" s="6" t="str">
        <f>VLOOKUP(E13857,dicionario!$A$1:$C14256,3,0)</f>
        <v>abelha-de-orquídea</v>
      </c>
    </row>
    <row r="13858">
      <c r="A13858" s="3">
        <v>45911.0</v>
      </c>
      <c r="B13858" s="4">
        <v>0.2625</v>
      </c>
      <c r="C13858" s="5" t="s">
        <v>1814</v>
      </c>
      <c r="D13858" s="5" t="s">
        <v>1815</v>
      </c>
      <c r="E13858" s="6" t="s">
        <v>111</v>
      </c>
      <c r="F13858" s="5" t="s">
        <v>112</v>
      </c>
      <c r="G13858" s="6" t="str">
        <f>VLOOKUP(E13858,dicionario!$A$1:$C14257,2,0)</f>
        <v>Trigona spinipes</v>
      </c>
      <c r="H13858" s="6" t="str">
        <f>VLOOKUP(E13858,dicionario!$A$1:$C14257,3,0)</f>
        <v>abelha-cachorro</v>
      </c>
    </row>
    <row r="13859">
      <c r="A13859" s="3">
        <v>45911.0</v>
      </c>
      <c r="B13859" s="4">
        <v>0.2625</v>
      </c>
      <c r="C13859" s="5" t="s">
        <v>1814</v>
      </c>
      <c r="D13859" s="5" t="s">
        <v>1815</v>
      </c>
      <c r="E13859" s="8" t="s">
        <v>18</v>
      </c>
      <c r="F13859" s="5" t="s">
        <v>1811</v>
      </c>
      <c r="G13859" s="6" t="str">
        <f>VLOOKUP(E13859,dicionario!$A$1:$C14258,2,0)</f>
        <v>Xylocopa frontalis</v>
      </c>
      <c r="H13859" s="6" t="str">
        <f>VLOOKUP(E13859,dicionario!$A$1:$C14258,3,0)</f>
        <v>Mamangava; mangangá; abelha-carpinteira</v>
      </c>
    </row>
    <row r="13860">
      <c r="A13860" s="3">
        <v>45911.0</v>
      </c>
      <c r="B13860" s="4">
        <v>0.2625</v>
      </c>
      <c r="C13860" s="5" t="s">
        <v>1814</v>
      </c>
      <c r="D13860" s="5" t="s">
        <v>1815</v>
      </c>
      <c r="E13860" s="6" t="s">
        <v>302</v>
      </c>
      <c r="F13860" s="5" t="s">
        <v>303</v>
      </c>
      <c r="G13860" s="6" t="str">
        <f>VLOOKUP(E13860,dicionario!$A$1:$C14259,2,0)</f>
        <v>Machetornis rixosa</v>
      </c>
      <c r="H13860" s="6" t="str">
        <f>VLOOKUP(E13860,dicionario!$A$1:$C14259,3,0)</f>
        <v>suiriri-cavaleiro</v>
      </c>
    </row>
    <row r="13861">
      <c r="A13861" s="3">
        <v>45911.0</v>
      </c>
      <c r="B13861" s="4">
        <v>0.2625</v>
      </c>
      <c r="C13861" s="5" t="s">
        <v>1814</v>
      </c>
      <c r="D13861" s="5" t="s">
        <v>1815</v>
      </c>
      <c r="E13861" s="6" t="s">
        <v>86</v>
      </c>
      <c r="F13861" s="5" t="s">
        <v>502</v>
      </c>
      <c r="G13861" s="6" t="str">
        <f>VLOOKUP(E13861,dicionario!$A$1:$C14260,2,0)</f>
        <v>Coereba flaveola</v>
      </c>
      <c r="H13861" s="6" t="str">
        <f>VLOOKUP(E13861,dicionario!$A$1:$C14260,3,0)</f>
        <v>cambacica</v>
      </c>
    </row>
    <row r="13862">
      <c r="A13862" s="3">
        <v>45911.0</v>
      </c>
      <c r="B13862" s="4">
        <v>0.2625</v>
      </c>
      <c r="C13862" s="5" t="s">
        <v>1814</v>
      </c>
      <c r="D13862" s="5" t="s">
        <v>1815</v>
      </c>
      <c r="E13862" s="6" t="s">
        <v>215</v>
      </c>
      <c r="F13862" s="5" t="s">
        <v>216</v>
      </c>
      <c r="G13862" s="6" t="str">
        <f>VLOOKUP(E13862,dicionario!$A$1:$C14261,2,0)</f>
        <v>Pygochelidon cyanoleuca</v>
      </c>
      <c r="H13862" s="6" t="str">
        <f>VLOOKUP(E13862,dicionario!$A$1:$C14261,3,0)</f>
        <v>andorinha-pequena-de-casa</v>
      </c>
    </row>
    <row r="13863">
      <c r="A13863" s="3">
        <v>45911.0</v>
      </c>
      <c r="B13863" s="4">
        <v>0.2638888888888889</v>
      </c>
      <c r="C13863" s="5" t="s">
        <v>1814</v>
      </c>
      <c r="D13863" s="5" t="s">
        <v>1815</v>
      </c>
      <c r="E13863" s="6" t="s">
        <v>489</v>
      </c>
      <c r="F13863" s="5" t="s">
        <v>521</v>
      </c>
      <c r="G13863" s="6" t="str">
        <f>VLOOKUP(E13863,dicionario!$A$1:$C14262,2,0)</f>
        <v>Cenchrus echinatus</v>
      </c>
      <c r="H13863" s="6" t="str">
        <f>VLOOKUP(E13863,dicionario!$A$1:$C14262,3,0)</f>
        <v>capim-carrapicho</v>
      </c>
    </row>
    <row r="13864">
      <c r="A13864" s="3">
        <v>45911.0</v>
      </c>
      <c r="B13864" s="4">
        <v>0.2638888888888889</v>
      </c>
      <c r="C13864" s="5" t="s">
        <v>1814</v>
      </c>
      <c r="D13864" s="5" t="s">
        <v>1815</v>
      </c>
      <c r="E13864" s="8" t="s">
        <v>162</v>
      </c>
      <c r="F13864" s="5" t="s">
        <v>42</v>
      </c>
      <c r="G13864" s="6" t="str">
        <f>VLOOKUP(E13864,dicionario!$A$1:$C14263,2,0)</f>
        <v>Fluvicola nengeta</v>
      </c>
      <c r="H13864" s="6" t="str">
        <f>VLOOKUP(E13864,dicionario!$A$1:$C14263,3,0)</f>
        <v>lavadeira-mascarada</v>
      </c>
    </row>
    <row r="13865">
      <c r="A13865" s="3">
        <v>45911.0</v>
      </c>
      <c r="B13865" s="4">
        <v>0.2638888888888889</v>
      </c>
      <c r="C13865" s="5" t="s">
        <v>1814</v>
      </c>
      <c r="D13865" s="5" t="s">
        <v>1815</v>
      </c>
      <c r="E13865" s="8" t="s">
        <v>109</v>
      </c>
      <c r="F13865" s="5" t="s">
        <v>110</v>
      </c>
      <c r="G13865" s="6" t="str">
        <f>VLOOKUP(E13865,dicionario!$A$1:$C14264,2,0)</f>
        <v>Tillandsia stricta</v>
      </c>
      <c r="H13865" s="6" t="str">
        <f>VLOOKUP(E13865,dicionario!$A$1:$C14264,3,0)</f>
        <v>cravo-do-mato</v>
      </c>
    </row>
    <row r="13866">
      <c r="A13866" s="3">
        <v>45911.0</v>
      </c>
      <c r="B13866" s="4">
        <v>0.2638888888888889</v>
      </c>
      <c r="C13866" s="5" t="s">
        <v>1814</v>
      </c>
      <c r="D13866" s="5" t="s">
        <v>1815</v>
      </c>
      <c r="E13866" s="6" t="s">
        <v>334</v>
      </c>
      <c r="F13866" s="5" t="s">
        <v>335</v>
      </c>
      <c r="G13866" s="6" t="str">
        <f>VLOOKUP(E13866,dicionario!$A$1:$C14265,2,0)</f>
        <v>Eupsittula aurea</v>
      </c>
      <c r="H13866" s="6" t="str">
        <f>VLOOKUP(E13866,dicionario!$A$1:$C14265,3,0)</f>
        <v>periquito-rei</v>
      </c>
    </row>
    <row r="13867">
      <c r="A13867" s="3">
        <v>45911.0</v>
      </c>
      <c r="B13867" s="4">
        <v>0.2638888888888889</v>
      </c>
      <c r="C13867" s="5" t="s">
        <v>1814</v>
      </c>
      <c r="D13867" s="5" t="s">
        <v>1815</v>
      </c>
      <c r="E13867" s="8" t="s">
        <v>143</v>
      </c>
      <c r="F13867" s="5" t="s">
        <v>1812</v>
      </c>
      <c r="G13867" s="6" t="str">
        <f>VLOOKUP(E13867,dicionario!$A$1:$C14266,2,0)</f>
        <v>Polybia</v>
      </c>
      <c r="H13867" s="6" t="str">
        <f>VLOOKUP(E13867,dicionario!$A$1:$C14266,3,0)</f>
        <v>vespa</v>
      </c>
    </row>
    <row r="13868">
      <c r="A13868" s="3">
        <v>45911.0</v>
      </c>
      <c r="B13868" s="4">
        <v>0.2652777777777778</v>
      </c>
      <c r="C13868" s="5" t="s">
        <v>1814</v>
      </c>
      <c r="D13868" s="5" t="s">
        <v>1815</v>
      </c>
      <c r="E13868" s="8" t="s">
        <v>909</v>
      </c>
      <c r="F13868" s="5" t="s">
        <v>1636</v>
      </c>
      <c r="G13868" s="6" t="str">
        <f>VLOOKUP(E13868,dicionario!$A$1:$C14267,2,0)</f>
        <v>Chordeiles acutipennis</v>
      </c>
      <c r="H13868" s="6" t="str">
        <f>VLOOKUP(E13868,dicionario!$A$1:$C14267,3,0)</f>
        <v>bacurau-de-asa-fina</v>
      </c>
    </row>
    <row r="13869">
      <c r="A13869" s="3">
        <v>45911.0</v>
      </c>
      <c r="B13869" s="4">
        <v>0.2652777777777778</v>
      </c>
      <c r="C13869" s="5" t="s">
        <v>1814</v>
      </c>
      <c r="D13869" s="5" t="s">
        <v>1815</v>
      </c>
      <c r="E13869" s="6"/>
      <c r="F13869" s="52" t="s">
        <v>1817</v>
      </c>
      <c r="G13869" s="6" t="str">
        <f>VLOOKUP(E13869,dicionario!$A$1:$C14268,2,0)</f>
        <v>#N/A</v>
      </c>
      <c r="H13869" s="6" t="str">
        <f>VLOOKUP(E13869,dicionario!$A$1:$C14268,3,0)</f>
        <v>#N/A</v>
      </c>
    </row>
    <row r="13870">
      <c r="A13870" s="3">
        <v>45911.0</v>
      </c>
      <c r="B13870" s="4">
        <v>0.2652777777777778</v>
      </c>
      <c r="C13870" s="5" t="s">
        <v>1814</v>
      </c>
      <c r="D13870" s="5" t="s">
        <v>1815</v>
      </c>
      <c r="E13870" s="6" t="s">
        <v>154</v>
      </c>
      <c r="F13870" s="5" t="s">
        <v>155</v>
      </c>
      <c r="G13870" s="6" t="str">
        <f>VLOOKUP(E13870,dicionario!$A$1:$C14269,2,0)</f>
        <v>Cyperus rotundus</v>
      </c>
      <c r="H13870" s="6" t="str">
        <f>VLOOKUP(E13870,dicionario!$A$1:$C14269,3,0)</f>
        <v>tiririca</v>
      </c>
    </row>
    <row r="13871">
      <c r="A13871" s="3">
        <v>45911.0</v>
      </c>
      <c r="B13871" s="4">
        <v>0.2659722222222222</v>
      </c>
      <c r="C13871" s="5" t="s">
        <v>1814</v>
      </c>
      <c r="D13871" s="5" t="s">
        <v>1815</v>
      </c>
      <c r="E13871" s="8" t="s">
        <v>1352</v>
      </c>
      <c r="F13871" s="5"/>
      <c r="G13871" s="6" t="str">
        <f>VLOOKUP(E13871,dicionario!$A$1:$C14270,2,0)</f>
        <v>#N/A</v>
      </c>
      <c r="H13871" s="6" t="str">
        <f>VLOOKUP(E13871,dicionario!$A$1:$C14270,3,0)</f>
        <v>#N/A</v>
      </c>
    </row>
    <row r="13872">
      <c r="A13872" s="3">
        <v>45911.0</v>
      </c>
      <c r="B13872" s="4">
        <v>0.26666666666666666</v>
      </c>
      <c r="C13872" s="5" t="s">
        <v>1814</v>
      </c>
      <c r="D13872" s="5" t="s">
        <v>1815</v>
      </c>
      <c r="E13872" s="8" t="s">
        <v>14</v>
      </c>
      <c r="F13872" s="5" t="s">
        <v>15</v>
      </c>
      <c r="G13872" s="6" t="str">
        <f>VLOOKUP(E13872,dicionario!$A$1:$C14271,2,0)</f>
        <v>Spermacoce verticillata</v>
      </c>
      <c r="H13872" s="6" t="str">
        <f>VLOOKUP(E13872,dicionario!$A$1:$C14271,3,0)</f>
        <v>vassourinha-de-botão</v>
      </c>
    </row>
    <row r="13873">
      <c r="A13873" s="3">
        <v>45911.0</v>
      </c>
      <c r="B13873" s="4">
        <v>0.2673611111111111</v>
      </c>
      <c r="C13873" s="5" t="s">
        <v>1814</v>
      </c>
      <c r="D13873" s="5" t="s">
        <v>1815</v>
      </c>
      <c r="E13873" s="6" t="s">
        <v>286</v>
      </c>
      <c r="F13873" s="5" t="s">
        <v>287</v>
      </c>
      <c r="G13873" s="6" t="str">
        <f>VLOOKUP(E13873,dicionario!$A$1:$C14272,2,0)</f>
        <v>Setaria parviflora</v>
      </c>
      <c r="H13873" s="6" t="str">
        <f>VLOOKUP(E13873,dicionario!$A$1:$C14272,3,0)</f>
        <v>capim-rabo-de-raposa</v>
      </c>
    </row>
    <row r="13874">
      <c r="A13874" s="3">
        <v>45911.0</v>
      </c>
      <c r="B13874" s="4">
        <v>0.2673611111111111</v>
      </c>
      <c r="C13874" s="5" t="s">
        <v>1814</v>
      </c>
      <c r="D13874" s="5" t="s">
        <v>1815</v>
      </c>
      <c r="E13874" s="6" t="s">
        <v>247</v>
      </c>
      <c r="F13874" s="5" t="s">
        <v>387</v>
      </c>
      <c r="G13874" s="6" t="str">
        <f>VLOOKUP(E13874,dicionario!$A$1:$C14273,2,0)</f>
        <v>Emilia sonchifolia</v>
      </c>
      <c r="H13874" s="6" t="str">
        <f>VLOOKUP(E13874,dicionario!$A$1:$C14273,3,0)</f>
        <v>serralinha</v>
      </c>
    </row>
    <row r="13875">
      <c r="A13875" s="3">
        <v>45911.0</v>
      </c>
      <c r="B13875" s="4">
        <v>0.2673611111111111</v>
      </c>
      <c r="C13875" s="5" t="s">
        <v>1814</v>
      </c>
      <c r="D13875" s="5" t="s">
        <v>1815</v>
      </c>
      <c r="E13875" s="6" t="s">
        <v>93</v>
      </c>
      <c r="F13875" s="5" t="s">
        <v>570</v>
      </c>
      <c r="G13875" s="6" t="str">
        <f>VLOOKUP(E13875,dicionario!$A$1:$C14274,2,0)</f>
        <v>Thraupis sayaca</v>
      </c>
      <c r="H13875" s="6" t="str">
        <f>VLOOKUP(E13875,dicionario!$A$1:$C14274,3,0)</f>
        <v>sanhaçu-cinzento</v>
      </c>
    </row>
    <row r="13876">
      <c r="A13876" s="3">
        <v>45911.0</v>
      </c>
      <c r="B13876" s="4">
        <v>0.2673611111111111</v>
      </c>
      <c r="C13876" s="5" t="s">
        <v>1814</v>
      </c>
      <c r="D13876" s="5" t="s">
        <v>1815</v>
      </c>
      <c r="E13876" s="6" t="s">
        <v>340</v>
      </c>
      <c r="F13876" s="5" t="s">
        <v>104</v>
      </c>
      <c r="G13876" s="6" t="str">
        <f>VLOOKUP(E13876,dicionario!$A$1:$C14275,2,0)</f>
        <v>#N/A</v>
      </c>
      <c r="H13876" s="6" t="str">
        <f>VLOOKUP(E13876,dicionario!$A$1:$C14275,3,0)</f>
        <v>#N/A</v>
      </c>
    </row>
    <row r="13877">
      <c r="A13877" s="3">
        <v>45911.0</v>
      </c>
      <c r="B13877" s="4">
        <v>0.2673611111111111</v>
      </c>
      <c r="C13877" s="5" t="s">
        <v>1814</v>
      </c>
      <c r="D13877" s="5" t="s">
        <v>1815</v>
      </c>
      <c r="E13877" s="8" t="s">
        <v>10</v>
      </c>
      <c r="F13877" s="5" t="s">
        <v>1545</v>
      </c>
      <c r="G13877" s="6" t="str">
        <f>VLOOKUP(E13877,dicionario!$A$1:$C14276,2,0)</f>
        <v>Guira guira</v>
      </c>
      <c r="H13877" s="6" t="str">
        <f>VLOOKUP(E13877,dicionario!$A$1:$C14276,3,0)</f>
        <v>anu-branco</v>
      </c>
    </row>
    <row r="13878">
      <c r="A13878" s="3">
        <v>45911.0</v>
      </c>
      <c r="B13878" s="4">
        <v>0.26805555555555555</v>
      </c>
      <c r="C13878" s="5" t="s">
        <v>26</v>
      </c>
      <c r="D13878" s="5" t="s">
        <v>1815</v>
      </c>
      <c r="E13878" s="6" t="s">
        <v>217</v>
      </c>
      <c r="F13878" s="5" t="s">
        <v>218</v>
      </c>
      <c r="G13878" s="6" t="str">
        <f>VLOOKUP(E13878,dicionario!$A$1:$C14277,2,0)</f>
        <v>Athene cunicularia</v>
      </c>
      <c r="H13878" s="6" t="str">
        <f>VLOOKUP(E13878,dicionario!$A$1:$C14277,3,0)</f>
        <v>coruja-buraqueira</v>
      </c>
    </row>
    <row r="13879">
      <c r="A13879" s="3">
        <v>45911.0</v>
      </c>
      <c r="B13879" s="4">
        <v>0.26805555555555555</v>
      </c>
      <c r="C13879" s="5" t="s">
        <v>26</v>
      </c>
      <c r="D13879" s="5" t="s">
        <v>1815</v>
      </c>
      <c r="E13879" s="8" t="s">
        <v>20</v>
      </c>
      <c r="F13879" s="5" t="s">
        <v>21</v>
      </c>
      <c r="G13879" s="6" t="str">
        <f>VLOOKUP(E13879,dicionario!$A$1:$C14278,2,0)</f>
        <v>Sicalis flaveola</v>
      </c>
      <c r="H13879" s="6" t="str">
        <f>VLOOKUP(E13879,dicionario!$A$1:$C14278,3,0)</f>
        <v>canário-da-terra</v>
      </c>
    </row>
    <row r="13880">
      <c r="A13880" s="3">
        <v>45911.0</v>
      </c>
      <c r="B13880" s="4">
        <v>0.26805555555555555</v>
      </c>
      <c r="C13880" s="5" t="s">
        <v>26</v>
      </c>
      <c r="D13880" s="5" t="s">
        <v>1815</v>
      </c>
      <c r="E13880" s="6" t="s">
        <v>113</v>
      </c>
      <c r="F13880" s="5" t="s">
        <v>114</v>
      </c>
      <c r="G13880" s="6" t="str">
        <f>VLOOKUP(E13880,dicionario!$A$1:$C14279,2,0)</f>
        <v>Columbina talpacoti</v>
      </c>
      <c r="H13880" s="6" t="str">
        <f>VLOOKUP(E13880,dicionario!$A$1:$C14279,3,0)</f>
        <v>rolinha-roxa</v>
      </c>
    </row>
    <row r="13881">
      <c r="A13881" s="3">
        <v>45911.0</v>
      </c>
      <c r="B13881" s="4">
        <v>0.26805555555555555</v>
      </c>
      <c r="C13881" s="5" t="s">
        <v>26</v>
      </c>
      <c r="D13881" s="5" t="s">
        <v>1815</v>
      </c>
      <c r="E13881" s="8" t="s">
        <v>712</v>
      </c>
      <c r="F13881" s="5" t="s">
        <v>912</v>
      </c>
      <c r="G13881" s="6" t="str">
        <f>VLOOKUP(E13881,dicionario!$A$1:$C14280,2,0)</f>
        <v>Flavopunctelia soredica</v>
      </c>
      <c r="H13881" s="6" t="str">
        <f>VLOOKUP(E13881,dicionario!$A$1:$C14280,3,0)</f>
        <v>líquen-folioso</v>
      </c>
    </row>
    <row r="13882">
      <c r="A13882" s="3">
        <v>45911.0</v>
      </c>
      <c r="B13882" s="4">
        <v>0.26805555555555555</v>
      </c>
      <c r="C13882" s="5" t="s">
        <v>26</v>
      </c>
      <c r="D13882" s="5" t="s">
        <v>1815</v>
      </c>
      <c r="E13882" s="8" t="s">
        <v>719</v>
      </c>
      <c r="F13882" s="5" t="s">
        <v>911</v>
      </c>
      <c r="G13882" s="6" t="str">
        <f>VLOOKUP(E13882,dicionario!$A$1:$C14281,2,0)</f>
        <v>Dirinaria</v>
      </c>
      <c r="H13882" s="6" t="str">
        <f>VLOOKUP(E13882,dicionario!$A$1:$C14281,3,0)</f>
        <v>líquen-crostoso</v>
      </c>
    </row>
    <row r="13883">
      <c r="A13883" s="3">
        <v>45911.0</v>
      </c>
      <c r="B13883" s="4">
        <v>0.26805555555555555</v>
      </c>
      <c r="C13883" s="5" t="s">
        <v>26</v>
      </c>
      <c r="D13883" s="5" t="s">
        <v>1815</v>
      </c>
      <c r="E13883" s="8" t="s">
        <v>298</v>
      </c>
      <c r="F13883" s="5"/>
      <c r="G13883" s="6" t="str">
        <f>VLOOKUP(E13883,dicionario!$A$1:$C14282,2,0)</f>
        <v>Alysicarpus vaginalis</v>
      </c>
      <c r="H13883" s="6" t="str">
        <f>VLOOKUP(E13883,dicionario!$A$1:$C14282,3,0)</f>
        <v/>
      </c>
    </row>
    <row r="13884">
      <c r="A13884" s="3">
        <v>45911.0</v>
      </c>
      <c r="B13884" s="4">
        <v>0.26875</v>
      </c>
      <c r="C13884" s="5" t="s">
        <v>26</v>
      </c>
      <c r="D13884" s="5" t="s">
        <v>1815</v>
      </c>
      <c r="E13884" s="6" t="s">
        <v>53</v>
      </c>
      <c r="F13884" s="5" t="s">
        <v>54</v>
      </c>
      <c r="G13884" s="6" t="str">
        <f>VLOOKUP(E13884,dicionario!$A$1:$C14283,2,0)</f>
        <v>Turnera subulata</v>
      </c>
      <c r="H13884" s="6" t="str">
        <f>VLOOKUP(E13884,dicionario!$A$1:$C14283,3,0)</f>
        <v>xanana</v>
      </c>
    </row>
    <row r="13885">
      <c r="A13885" s="3">
        <v>45911.0</v>
      </c>
      <c r="B13885" s="4">
        <v>0.26875</v>
      </c>
      <c r="C13885" s="5" t="s">
        <v>26</v>
      </c>
      <c r="D13885" s="5" t="s">
        <v>1815</v>
      </c>
      <c r="E13885" s="8" t="s">
        <v>14</v>
      </c>
      <c r="F13885" s="5" t="s">
        <v>15</v>
      </c>
      <c r="G13885" s="6" t="str">
        <f>VLOOKUP(E13885,dicionario!$A$1:$C14284,2,0)</f>
        <v>Spermacoce verticillata</v>
      </c>
      <c r="H13885" s="6" t="str">
        <f>VLOOKUP(E13885,dicionario!$A$1:$C14284,3,0)</f>
        <v>vassourinha-de-botão</v>
      </c>
    </row>
    <row r="13886">
      <c r="A13886" s="3">
        <v>45911.0</v>
      </c>
      <c r="B13886" s="4">
        <v>0.26875</v>
      </c>
      <c r="C13886" s="5" t="s">
        <v>26</v>
      </c>
      <c r="D13886" s="5" t="s">
        <v>1815</v>
      </c>
      <c r="E13886" s="8" t="s">
        <v>498</v>
      </c>
      <c r="F13886" s="5" t="s">
        <v>499</v>
      </c>
      <c r="G13886" s="6" t="str">
        <f>VLOOKUP(E13886,dicionario!$A$1:$C14285,2,0)</f>
        <v>Brachiaria decumbens</v>
      </c>
      <c r="H13886" s="6" t="str">
        <f>VLOOKUP(E13886,dicionario!$A$1:$C14285,3,0)</f>
        <v>capim-braquiária</v>
      </c>
    </row>
    <row r="13887">
      <c r="A13887" s="3">
        <v>45911.0</v>
      </c>
      <c r="B13887" s="4">
        <v>0.26875</v>
      </c>
      <c r="C13887" s="5" t="s">
        <v>26</v>
      </c>
      <c r="D13887" s="5" t="s">
        <v>1815</v>
      </c>
      <c r="E13887" s="8" t="s">
        <v>150</v>
      </c>
      <c r="F13887" s="5" t="s">
        <v>151</v>
      </c>
      <c r="G13887" s="6" t="str">
        <f>VLOOKUP(E13887,dicionario!$A$1:$C14286,2,0)</f>
        <v>Amaranthus viridis</v>
      </c>
      <c r="H13887" s="6" t="str">
        <f>VLOOKUP(E13887,dicionario!$A$1:$C14286,3,0)</f>
        <v>caruru-de-mancha</v>
      </c>
    </row>
    <row r="13888">
      <c r="A13888" s="3">
        <v>45911.0</v>
      </c>
      <c r="B13888" s="4">
        <v>0.26875</v>
      </c>
      <c r="C13888" s="5" t="s">
        <v>26</v>
      </c>
      <c r="D13888" s="5" t="s">
        <v>1815</v>
      </c>
      <c r="E13888" s="8" t="s">
        <v>360</v>
      </c>
      <c r="F13888" s="5" t="s">
        <v>361</v>
      </c>
      <c r="G13888" s="6" t="str">
        <f>VLOOKUP(E13888,dicionario!$A$1:$C14287,2,0)</f>
        <v>Chamaecrista rotundifolia</v>
      </c>
      <c r="H13888" s="6" t="str">
        <f>VLOOKUP(E13888,dicionario!$A$1:$C14287,3,0)</f>
        <v>alfafa-nativa</v>
      </c>
    </row>
    <row r="13889">
      <c r="A13889" s="3">
        <v>45911.0</v>
      </c>
      <c r="B13889" s="4">
        <v>0.26875</v>
      </c>
      <c r="C13889" s="5" t="s">
        <v>26</v>
      </c>
      <c r="D13889" s="5" t="s">
        <v>1815</v>
      </c>
      <c r="E13889" s="6" t="s">
        <v>489</v>
      </c>
      <c r="F13889" s="5" t="s">
        <v>521</v>
      </c>
      <c r="G13889" s="6" t="str">
        <f>VLOOKUP(E13889,dicionario!$A$1:$C14288,2,0)</f>
        <v>Cenchrus echinatus</v>
      </c>
      <c r="H13889" s="6" t="str">
        <f>VLOOKUP(E13889,dicionario!$A$1:$C14288,3,0)</f>
        <v>capim-carrapicho</v>
      </c>
    </row>
    <row r="13890">
      <c r="A13890" s="3">
        <v>45911.0</v>
      </c>
      <c r="B13890" s="4">
        <v>0.26875</v>
      </c>
      <c r="C13890" s="5" t="s">
        <v>26</v>
      </c>
      <c r="D13890" s="5" t="s">
        <v>1815</v>
      </c>
      <c r="E13890" s="8" t="s">
        <v>1386</v>
      </c>
      <c r="F13890" s="5" t="s">
        <v>1547</v>
      </c>
      <c r="G13890" s="6" t="str">
        <f>VLOOKUP(E13890,dicionario!$A$1:$C14289,2,0)</f>
        <v>#N/A</v>
      </c>
      <c r="H13890" s="6" t="str">
        <f>VLOOKUP(E13890,dicionario!$A$1:$C14289,3,0)</f>
        <v>#N/A</v>
      </c>
    </row>
    <row r="13891">
      <c r="A13891" s="3">
        <v>45911.0</v>
      </c>
      <c r="B13891" s="4">
        <v>0.26944444444444443</v>
      </c>
      <c r="C13891" s="5" t="s">
        <v>26</v>
      </c>
      <c r="D13891" s="5" t="s">
        <v>1815</v>
      </c>
      <c r="E13891" s="8" t="s">
        <v>41</v>
      </c>
      <c r="F13891" s="5" t="s">
        <v>45</v>
      </c>
      <c r="G13891" s="6" t="str">
        <f>VLOOKUP(E13891,dicionario!$A$1:$C14290,2,0)</f>
        <v>Mimosa pudica</v>
      </c>
      <c r="H13891" s="6" t="str">
        <f>VLOOKUP(E13891,dicionario!$A$1:$C14290,3,0)</f>
        <v>dormideira</v>
      </c>
    </row>
    <row r="13892">
      <c r="A13892" s="3">
        <v>45911.0</v>
      </c>
      <c r="B13892" s="4">
        <v>0.26944444444444443</v>
      </c>
      <c r="C13892" s="5" t="s">
        <v>26</v>
      </c>
      <c r="D13892" s="5" t="s">
        <v>1815</v>
      </c>
      <c r="E13892" s="8" t="s">
        <v>109</v>
      </c>
      <c r="F13892" s="5" t="s">
        <v>110</v>
      </c>
      <c r="G13892" s="6" t="str">
        <f>VLOOKUP(E13892,dicionario!$A$1:$C14291,2,0)</f>
        <v>Tillandsia stricta</v>
      </c>
      <c r="H13892" s="6" t="str">
        <f>VLOOKUP(E13892,dicionario!$A$1:$C14291,3,0)</f>
        <v>cravo-do-mato</v>
      </c>
    </row>
    <row r="13893">
      <c r="A13893" s="3">
        <v>45911.0</v>
      </c>
      <c r="B13893" s="4">
        <v>0.26944444444444443</v>
      </c>
      <c r="C13893" s="5" t="s">
        <v>26</v>
      </c>
      <c r="D13893" s="5" t="s">
        <v>1815</v>
      </c>
      <c r="E13893" s="6" t="s">
        <v>154</v>
      </c>
      <c r="F13893" s="5" t="s">
        <v>155</v>
      </c>
      <c r="G13893" s="6" t="str">
        <f>VLOOKUP(E13893,dicionario!$A$1:$C14292,2,0)</f>
        <v>Cyperus rotundus</v>
      </c>
      <c r="H13893" s="6" t="str">
        <f>VLOOKUP(E13893,dicionario!$A$1:$C14292,3,0)</f>
        <v>tiririca</v>
      </c>
    </row>
    <row r="13894">
      <c r="A13894" s="3">
        <v>45911.0</v>
      </c>
      <c r="B13894" s="4">
        <v>0.26944444444444443</v>
      </c>
      <c r="C13894" s="5" t="s">
        <v>26</v>
      </c>
      <c r="D13894" s="5" t="s">
        <v>1815</v>
      </c>
      <c r="E13894" s="8" t="s">
        <v>1798</v>
      </c>
      <c r="F13894" s="7" t="s">
        <v>321</v>
      </c>
      <c r="G13894" s="6" t="str">
        <f>VLOOKUP(E13894,dicionario!$A$1:$C14293,2,0)</f>
        <v>Solenopsis</v>
      </c>
      <c r="H13894" s="6" t="str">
        <f>VLOOKUP(E13894,dicionario!$A$1:$C14293,3,0)</f>
        <v>formiga-quente; formiga-lava-pés; formiga-de-fogo</v>
      </c>
    </row>
    <row r="13895">
      <c r="A13895" s="3">
        <v>45911.0</v>
      </c>
      <c r="B13895" s="4">
        <v>0.2701388888888889</v>
      </c>
      <c r="C13895" s="5" t="s">
        <v>26</v>
      </c>
      <c r="D13895" s="5" t="s">
        <v>1815</v>
      </c>
      <c r="E13895" s="8" t="s">
        <v>1549</v>
      </c>
      <c r="F13895" s="5" t="s">
        <v>1454</v>
      </c>
      <c r="G13895" s="6" t="str">
        <f>VLOOKUP(E13895,dicionario!$A$1:$C14294,2,0)</f>
        <v>Atta</v>
      </c>
      <c r="H13895" s="6" t="str">
        <f>VLOOKUP(E13895,dicionario!$A$1:$C14294,3,0)</f>
        <v>saúva</v>
      </c>
    </row>
    <row r="13896">
      <c r="A13896" s="3">
        <v>45911.0</v>
      </c>
      <c r="B13896" s="4">
        <v>0.2701388888888889</v>
      </c>
      <c r="C13896" s="5" t="s">
        <v>26</v>
      </c>
      <c r="D13896" s="5" t="s">
        <v>1815</v>
      </c>
      <c r="E13896" s="6" t="s">
        <v>60</v>
      </c>
      <c r="F13896" s="5" t="s">
        <v>61</v>
      </c>
      <c r="G13896" s="6" t="str">
        <f>VLOOKUP(E13896,dicionario!$A$1:$C14295,2,0)</f>
        <v>Vanellus chilensis</v>
      </c>
      <c r="H13896" s="6" t="str">
        <f>VLOOKUP(E13896,dicionario!$A$1:$C14295,3,0)</f>
        <v>quero-quero</v>
      </c>
    </row>
    <row r="13897">
      <c r="A13897" s="3">
        <v>45911.0</v>
      </c>
      <c r="B13897" s="4">
        <v>0.2708333333333333</v>
      </c>
      <c r="C13897" s="5" t="s">
        <v>26</v>
      </c>
      <c r="D13897" s="5" t="s">
        <v>1815</v>
      </c>
      <c r="E13897" s="8" t="s">
        <v>1554</v>
      </c>
      <c r="F13897" s="5" t="s">
        <v>1512</v>
      </c>
      <c r="G13897" s="6" t="str">
        <f>VLOOKUP(E13897,dicionario!$A$1:$C14296,2,0)</f>
        <v>Agaricus</v>
      </c>
      <c r="H13897" s="6" t="str">
        <f>VLOOKUP(E13897,dicionario!$A$1:$C14296,3,0)</f>
        <v>cogumelo</v>
      </c>
    </row>
    <row r="13898">
      <c r="A13898" s="3">
        <v>45911.0</v>
      </c>
      <c r="B13898" s="4">
        <v>0.27291666666666664</v>
      </c>
      <c r="C13898" s="5" t="s">
        <v>26</v>
      </c>
      <c r="D13898" s="5" t="s">
        <v>1815</v>
      </c>
      <c r="E13898" s="20" t="s">
        <v>676</v>
      </c>
      <c r="F13898" s="5" t="s">
        <v>677</v>
      </c>
      <c r="G13898" s="6" t="str">
        <f>VLOOKUP(E13898,dicionario!$A$1:$C14297,2,0)</f>
        <v>Zornia latifolia</v>
      </c>
      <c r="H13898" s="6" t="str">
        <f>VLOOKUP(E13898,dicionario!$A$1:$C14297,3,0)</f>
        <v>arrozinho-do-campo</v>
      </c>
    </row>
    <row r="13899">
      <c r="A13899" s="3">
        <v>45911.0</v>
      </c>
      <c r="B13899" s="4">
        <v>0.27291666666666664</v>
      </c>
      <c r="C13899" s="5" t="s">
        <v>26</v>
      </c>
      <c r="D13899" s="5" t="s">
        <v>1815</v>
      </c>
      <c r="E13899" s="6" t="s">
        <v>111</v>
      </c>
      <c r="F13899" s="5" t="s">
        <v>112</v>
      </c>
      <c r="G13899" s="6" t="str">
        <f>VLOOKUP(E13899,dicionario!$A$1:$C14298,2,0)</f>
        <v>Trigona spinipes</v>
      </c>
      <c r="H13899" s="6" t="str">
        <f>VLOOKUP(E13899,dicionario!$A$1:$C14298,3,0)</f>
        <v>abelha-cachorro</v>
      </c>
    </row>
    <row r="13900">
      <c r="A13900" s="3">
        <v>45911.0</v>
      </c>
      <c r="B13900" s="4">
        <v>0.27291666666666664</v>
      </c>
      <c r="C13900" s="5" t="s">
        <v>26</v>
      </c>
      <c r="D13900" s="5" t="s">
        <v>1815</v>
      </c>
      <c r="E13900" s="6" t="s">
        <v>251</v>
      </c>
      <c r="F13900" s="5" t="s">
        <v>252</v>
      </c>
      <c r="G13900" s="6" t="str">
        <f>VLOOKUP(E13900,dicionario!$A$1:$C14299,2,0)</f>
        <v>Struthanthus flexicaulis</v>
      </c>
      <c r="H13900" s="6" t="str">
        <f>VLOOKUP(E13900,dicionario!$A$1:$C14299,3,0)</f>
        <v>erva-de-passarinho</v>
      </c>
    </row>
    <row r="13901">
      <c r="A13901" s="3">
        <v>45911.0</v>
      </c>
      <c r="B13901" s="4">
        <v>0.275</v>
      </c>
      <c r="C13901" s="5" t="s">
        <v>33</v>
      </c>
      <c r="D13901" s="5" t="s">
        <v>1815</v>
      </c>
      <c r="E13901" s="8" t="s">
        <v>719</v>
      </c>
      <c r="F13901" s="5" t="s">
        <v>911</v>
      </c>
      <c r="G13901" s="6" t="str">
        <f>VLOOKUP(E13901,dicionario!$A$1:$C14300,2,0)</f>
        <v>Dirinaria</v>
      </c>
      <c r="H13901" s="6" t="str">
        <f>VLOOKUP(E13901,dicionario!$A$1:$C14300,3,0)</f>
        <v>líquen-crostoso</v>
      </c>
    </row>
    <row r="13902">
      <c r="A13902" s="3">
        <v>45911.0</v>
      </c>
      <c r="B13902" s="4">
        <v>0.275</v>
      </c>
      <c r="C13902" s="5" t="s">
        <v>33</v>
      </c>
      <c r="D13902" s="5" t="s">
        <v>1815</v>
      </c>
      <c r="E13902" s="8" t="s">
        <v>712</v>
      </c>
      <c r="F13902" s="5" t="s">
        <v>912</v>
      </c>
      <c r="G13902" s="6" t="str">
        <f>VLOOKUP(E13902,dicionario!$A$1:$C14301,2,0)</f>
        <v>Flavopunctelia soredica</v>
      </c>
      <c r="H13902" s="6" t="str">
        <f>VLOOKUP(E13902,dicionario!$A$1:$C14301,3,0)</f>
        <v>líquen-folioso</v>
      </c>
    </row>
    <row r="13903">
      <c r="A13903" s="3">
        <v>45911.0</v>
      </c>
      <c r="B13903" s="4">
        <v>0.275</v>
      </c>
      <c r="C13903" s="5" t="s">
        <v>33</v>
      </c>
      <c r="D13903" s="5" t="s">
        <v>1815</v>
      </c>
      <c r="E13903" s="8" t="s">
        <v>1818</v>
      </c>
      <c r="F13903" s="5" t="s">
        <v>969</v>
      </c>
      <c r="G13903" s="6" t="str">
        <f>VLOOKUP(E13903,dicionario!$A$1:$C14302,2,0)</f>
        <v>#N/A</v>
      </c>
      <c r="H13903" s="6" t="str">
        <f>VLOOKUP(E13903,dicionario!$A$1:$C14302,3,0)</f>
        <v>#N/A</v>
      </c>
    </row>
    <row r="13904">
      <c r="A13904" s="3">
        <v>45911.0</v>
      </c>
      <c r="B13904" s="4">
        <v>0.27569444444444446</v>
      </c>
      <c r="C13904" s="5" t="s">
        <v>33</v>
      </c>
      <c r="D13904" s="5" t="s">
        <v>1815</v>
      </c>
      <c r="E13904" s="8" t="s">
        <v>109</v>
      </c>
      <c r="F13904" s="5" t="s">
        <v>110</v>
      </c>
      <c r="G13904" s="6" t="str">
        <f>VLOOKUP(E13904,dicionario!$A$1:$C14303,2,0)</f>
        <v>Tillandsia stricta</v>
      </c>
      <c r="H13904" s="6" t="str">
        <f>VLOOKUP(E13904,dicionario!$A$1:$C14303,3,0)</f>
        <v>cravo-do-mato</v>
      </c>
    </row>
    <row r="13905">
      <c r="A13905" s="3">
        <v>45911.0</v>
      </c>
      <c r="B13905" s="4">
        <v>0.27569444444444446</v>
      </c>
      <c r="C13905" s="5" t="s">
        <v>33</v>
      </c>
      <c r="D13905" s="5" t="s">
        <v>1815</v>
      </c>
      <c r="E13905" s="8" t="s">
        <v>298</v>
      </c>
      <c r="F13905" s="5"/>
      <c r="G13905" s="6" t="str">
        <f>VLOOKUP(E13905,dicionario!$A$1:$C14304,2,0)</f>
        <v>Alysicarpus vaginalis</v>
      </c>
      <c r="H13905" s="6" t="str">
        <f>VLOOKUP(E13905,dicionario!$A$1:$C14304,3,0)</f>
        <v/>
      </c>
    </row>
    <row r="13906">
      <c r="A13906" s="3">
        <v>45911.0</v>
      </c>
      <c r="B13906" s="4">
        <v>0.27569444444444446</v>
      </c>
      <c r="C13906" s="5" t="s">
        <v>33</v>
      </c>
      <c r="D13906" s="5" t="s">
        <v>1815</v>
      </c>
      <c r="E13906" s="6" t="s">
        <v>191</v>
      </c>
      <c r="F13906" s="5" t="s">
        <v>192</v>
      </c>
      <c r="G13906" s="6" t="str">
        <f>VLOOKUP(E13906,dicionario!$A$1:$C14305,2,0)</f>
        <v>Patagioenas picazuro</v>
      </c>
      <c r="H13906" s="6" t="str">
        <f>VLOOKUP(E13906,dicionario!$A$1:$C14305,3,0)</f>
        <v>asa-branca; pomba-asa-branca; pocaçu</v>
      </c>
    </row>
    <row r="13907">
      <c r="A13907" s="3">
        <v>45911.0</v>
      </c>
      <c r="B13907" s="4">
        <v>0.27569444444444446</v>
      </c>
      <c r="C13907" s="5" t="s">
        <v>33</v>
      </c>
      <c r="D13907" s="5" t="s">
        <v>1815</v>
      </c>
      <c r="E13907" s="8" t="s">
        <v>271</v>
      </c>
      <c r="F13907" s="5" t="s">
        <v>1169</v>
      </c>
      <c r="G13907" s="6" t="str">
        <f>VLOOKUP(E13907,dicionario!$A$1:$C14306,2,0)</f>
        <v>Cyanthillium cinereum</v>
      </c>
      <c r="H13907" s="6" t="str">
        <f>VLOOKUP(E13907,dicionario!$A$1:$C14306,3,0)</f>
        <v>emília</v>
      </c>
    </row>
    <row r="13908">
      <c r="A13908" s="3">
        <v>45911.0</v>
      </c>
      <c r="B13908" s="4">
        <v>0.27569444444444446</v>
      </c>
      <c r="C13908" s="5" t="s">
        <v>33</v>
      </c>
      <c r="D13908" s="5" t="s">
        <v>1815</v>
      </c>
      <c r="E13908" s="6" t="s">
        <v>122</v>
      </c>
      <c r="F13908" s="5" t="s">
        <v>123</v>
      </c>
      <c r="G13908" s="6" t="str">
        <f>VLOOKUP(E13908,dicionario!$A$1:$C14307,2,0)</f>
        <v>Todirostrum cinereum</v>
      </c>
      <c r="H13908" s="6" t="str">
        <f>VLOOKUP(E13908,dicionario!$A$1:$C14307,3,0)</f>
        <v>ferreirinho-relógio</v>
      </c>
    </row>
    <row r="13909">
      <c r="A13909" s="3">
        <v>45911.0</v>
      </c>
      <c r="B13909" s="4">
        <v>0.2763888888888889</v>
      </c>
      <c r="C13909" s="5" t="s">
        <v>33</v>
      </c>
      <c r="D13909" s="5" t="s">
        <v>1815</v>
      </c>
      <c r="E13909" s="6" t="s">
        <v>53</v>
      </c>
      <c r="F13909" s="5" t="s">
        <v>54</v>
      </c>
      <c r="G13909" s="6" t="str">
        <f>VLOOKUP(E13909,dicionario!$A$1:$C14308,2,0)</f>
        <v>Turnera subulata</v>
      </c>
      <c r="H13909" s="6" t="str">
        <f>VLOOKUP(E13909,dicionario!$A$1:$C14308,3,0)</f>
        <v>xanana</v>
      </c>
    </row>
    <row r="13910">
      <c r="A13910" s="3">
        <v>45911.0</v>
      </c>
      <c r="B13910" s="4">
        <v>0.2763888888888889</v>
      </c>
      <c r="C13910" s="5" t="s">
        <v>33</v>
      </c>
      <c r="D13910" s="5" t="s">
        <v>1815</v>
      </c>
      <c r="E13910" s="6" t="s">
        <v>302</v>
      </c>
      <c r="F13910" s="5" t="s">
        <v>303</v>
      </c>
      <c r="G13910" s="6" t="str">
        <f>VLOOKUP(E13910,dicionario!$A$1:$C14309,2,0)</f>
        <v>Machetornis rixosa</v>
      </c>
      <c r="H13910" s="6" t="str">
        <f>VLOOKUP(E13910,dicionario!$A$1:$C14309,3,0)</f>
        <v>suiriri-cavaleiro</v>
      </c>
    </row>
    <row r="13911">
      <c r="A13911" s="3">
        <v>45911.0</v>
      </c>
      <c r="B13911" s="4">
        <v>0.2763888888888889</v>
      </c>
      <c r="C13911" s="5" t="s">
        <v>33</v>
      </c>
      <c r="D13911" s="5" t="s">
        <v>1815</v>
      </c>
      <c r="E13911" s="6" t="s">
        <v>65</v>
      </c>
      <c r="F13911" s="5" t="s">
        <v>66</v>
      </c>
      <c r="G13911" s="6" t="str">
        <f>VLOOKUP(E13911,dicionario!$A$1:$C14310,2,0)</f>
        <v>Pitangus sulphutarus</v>
      </c>
      <c r="H13911" s="6" t="str">
        <f>VLOOKUP(E13911,dicionario!$A$1:$C14310,3,0)</f>
        <v>bem-te-vi</v>
      </c>
    </row>
    <row r="13912">
      <c r="A13912" s="3">
        <v>45911.0</v>
      </c>
      <c r="B13912" s="4">
        <v>0.2763888888888889</v>
      </c>
      <c r="C13912" s="5" t="s">
        <v>33</v>
      </c>
      <c r="D13912" s="5" t="s">
        <v>1815</v>
      </c>
      <c r="E13912" s="8" t="s">
        <v>385</v>
      </c>
      <c r="F13912" s="5" t="s">
        <v>386</v>
      </c>
      <c r="G13912" s="6" t="str">
        <f>VLOOKUP(E13912,dicionario!$A$1:$C14311,2,0)</f>
        <v>Psidium guajava</v>
      </c>
      <c r="H13912" s="6" t="str">
        <f>VLOOKUP(E13912,dicionario!$A$1:$C14311,3,0)</f>
        <v>goiaba</v>
      </c>
    </row>
    <row r="13913">
      <c r="A13913" s="3">
        <v>45911.0</v>
      </c>
      <c r="B13913" s="4">
        <v>0.2763888888888889</v>
      </c>
      <c r="C13913" s="5" t="s">
        <v>33</v>
      </c>
      <c r="D13913" s="5" t="s">
        <v>1815</v>
      </c>
      <c r="E13913" s="8" t="s">
        <v>223</v>
      </c>
      <c r="F13913" s="5"/>
      <c r="G13913" s="6" t="str">
        <f>VLOOKUP(E13913,dicionario!$A$1:$C14312,2,0)</f>
        <v>Rhipsalis lindbergiana</v>
      </c>
      <c r="H13913" s="6" t="str">
        <f>VLOOKUP(E13913,dicionario!$A$1:$C14312,3,0)</f>
        <v>cacto-macarrão</v>
      </c>
    </row>
    <row r="13914">
      <c r="A13914" s="3">
        <v>45911.0</v>
      </c>
      <c r="B13914" s="4">
        <v>0.27708333333333335</v>
      </c>
      <c r="C13914" s="5" t="s">
        <v>33</v>
      </c>
      <c r="D13914" s="5" t="s">
        <v>1815</v>
      </c>
      <c r="E13914" s="53" t="s">
        <v>1745</v>
      </c>
      <c r="F13914" s="5" t="s">
        <v>170</v>
      </c>
      <c r="G13914" s="6" t="str">
        <f>VLOOKUP(E13914,dicionario!$A$1:$C14313,2,0)</f>
        <v>Camponotus pennsylvanicus</v>
      </c>
      <c r="H13914" s="6" t="str">
        <f>VLOOKUP(E13914,dicionario!$A$1:$C14313,3,0)</f>
        <v>formiga-carpinteira</v>
      </c>
    </row>
    <row r="13915">
      <c r="A13915" s="3">
        <v>45911.0</v>
      </c>
      <c r="B13915" s="4">
        <v>0.27708333333333335</v>
      </c>
      <c r="C13915" s="5" t="s">
        <v>33</v>
      </c>
      <c r="D13915" s="5" t="s">
        <v>1815</v>
      </c>
      <c r="E13915" s="6" t="s">
        <v>86</v>
      </c>
      <c r="F13915" s="5" t="s">
        <v>502</v>
      </c>
      <c r="G13915" s="6" t="str">
        <f>VLOOKUP(E13915,dicionario!$A$1:$C14314,2,0)</f>
        <v>Coereba flaveola</v>
      </c>
      <c r="H13915" s="6" t="str">
        <f>VLOOKUP(E13915,dicionario!$A$1:$C14314,3,0)</f>
        <v>cambacica</v>
      </c>
    </row>
    <row r="13916">
      <c r="A13916" s="3">
        <v>45911.0</v>
      </c>
      <c r="B13916" s="4">
        <v>0.27708333333333335</v>
      </c>
      <c r="C13916" s="5" t="s">
        <v>33</v>
      </c>
      <c r="D13916" s="5" t="s">
        <v>1815</v>
      </c>
      <c r="E13916" s="8" t="s">
        <v>1457</v>
      </c>
      <c r="F13916" s="5" t="s">
        <v>1457</v>
      </c>
      <c r="G13916" s="6" t="str">
        <f>VLOOKUP(E13916,dicionario!$A$1:$C14315,2,0)</f>
        <v>#N/A</v>
      </c>
      <c r="H13916" s="6" t="str">
        <f>VLOOKUP(E13916,dicionario!$A$1:$C14315,3,0)</f>
        <v>#N/A</v>
      </c>
    </row>
    <row r="13917">
      <c r="A13917" s="3">
        <v>45911.0</v>
      </c>
      <c r="B13917" s="4">
        <v>0.27847222222222223</v>
      </c>
      <c r="C13917" s="5" t="s">
        <v>33</v>
      </c>
      <c r="D13917" s="5" t="s">
        <v>1815</v>
      </c>
      <c r="E13917" s="8" t="s">
        <v>1112</v>
      </c>
      <c r="F13917" s="5" t="s">
        <v>1113</v>
      </c>
      <c r="G13917" s="6" t="str">
        <f>VLOOKUP(E13917,dicionario!$A$1:$C14316,2,0)</f>
        <v>Hylophilus thoracicus</v>
      </c>
      <c r="H13917" s="6" t="str">
        <f>VLOOKUP(E13917,dicionario!$A$1:$C14316,3,0)</f>
        <v>vite-vite</v>
      </c>
    </row>
    <row r="13918">
      <c r="A13918" s="3">
        <v>45911.0</v>
      </c>
      <c r="B13918" s="4">
        <v>0.28055555555555556</v>
      </c>
      <c r="C13918" s="5" t="s">
        <v>33</v>
      </c>
      <c r="D13918" s="5" t="s">
        <v>1815</v>
      </c>
      <c r="E13918" s="6" t="s">
        <v>113</v>
      </c>
      <c r="F13918" s="5" t="s">
        <v>114</v>
      </c>
      <c r="G13918" s="6" t="str">
        <f>VLOOKUP(E13918,dicionario!$A$1:$C14317,2,0)</f>
        <v>Columbina talpacoti</v>
      </c>
      <c r="H13918" s="6" t="str">
        <f>VLOOKUP(E13918,dicionario!$A$1:$C14317,3,0)</f>
        <v>rolinha-roxa</v>
      </c>
    </row>
    <row r="13919">
      <c r="A13919" s="3">
        <v>45911.0</v>
      </c>
      <c r="B13919" s="4">
        <v>0.28055555555555556</v>
      </c>
      <c r="C13919" s="5" t="s">
        <v>33</v>
      </c>
      <c r="D13919" s="5" t="s">
        <v>1815</v>
      </c>
      <c r="E13919" s="8" t="s">
        <v>946</v>
      </c>
      <c r="F13919" s="5" t="s">
        <v>947</v>
      </c>
      <c r="G13919" s="6" t="str">
        <f>VLOOKUP(E13919,dicionario!$A$1:$C14318,2,0)</f>
        <v>Thorybes dorantes</v>
      </c>
      <c r="H13919" s="6" t="str">
        <f>VLOOKUP(E13919,dicionario!$A$1:$C14318,3,0)</f>
        <v>mariposa-de-cauda-lilás</v>
      </c>
    </row>
    <row r="13920">
      <c r="A13920" s="3">
        <v>45911.0</v>
      </c>
      <c r="B13920" s="4">
        <v>0.28055555555555556</v>
      </c>
      <c r="C13920" s="5" t="s">
        <v>33</v>
      </c>
      <c r="D13920" s="5" t="s">
        <v>1815</v>
      </c>
      <c r="E13920" s="8" t="s">
        <v>471</v>
      </c>
      <c r="F13920" s="5" t="s">
        <v>472</v>
      </c>
      <c r="G13920" s="6" t="str">
        <f>VLOOKUP(E13920,dicionario!$A$1:$C14319,2,0)</f>
        <v>Sida acuta</v>
      </c>
      <c r="H13920" s="6" t="str">
        <f>VLOOKUP(E13920,dicionario!$A$1:$C14319,3,0)</f>
        <v>reloginho</v>
      </c>
    </row>
    <row r="13921">
      <c r="A13921" s="3">
        <v>45911.0</v>
      </c>
      <c r="B13921" s="4">
        <v>0.28055555555555556</v>
      </c>
      <c r="C13921" s="5" t="s">
        <v>33</v>
      </c>
      <c r="D13921" s="5" t="s">
        <v>1815</v>
      </c>
      <c r="E13921" s="6" t="s">
        <v>258</v>
      </c>
      <c r="F13921" s="5" t="s">
        <v>259</v>
      </c>
      <c r="G13921" s="6" t="str">
        <f>VLOOKUP(E13921,dicionario!$A$1:$C14320,2,0)</f>
        <v>Lantana camara</v>
      </c>
      <c r="H13921" s="6" t="str">
        <f>VLOOKUP(E13921,dicionario!$A$1:$C14320,3,0)</f>
        <v>lantana</v>
      </c>
    </row>
    <row r="13922">
      <c r="A13922" s="3">
        <v>45911.0</v>
      </c>
      <c r="B13922" s="4">
        <v>0.28125</v>
      </c>
      <c r="C13922" s="5" t="s">
        <v>40</v>
      </c>
      <c r="D13922" s="5" t="s">
        <v>1815</v>
      </c>
      <c r="E13922" s="6" t="s">
        <v>88</v>
      </c>
      <c r="F13922" s="5" t="s">
        <v>89</v>
      </c>
      <c r="G13922" s="6" t="str">
        <f>VLOOKUP(E13922,dicionario!$A$1:$C14321,2,0)</f>
        <v>Tyrannus melancolichus</v>
      </c>
      <c r="H13922" s="6" t="str">
        <f>VLOOKUP(E13922,dicionario!$A$1:$C14321,3,0)</f>
        <v>suiriri</v>
      </c>
    </row>
    <row r="13923">
      <c r="A13923" s="3">
        <v>45911.0</v>
      </c>
      <c r="B13923" s="4">
        <v>0.28125</v>
      </c>
      <c r="C13923" s="5" t="s">
        <v>40</v>
      </c>
      <c r="D13923" s="5" t="s">
        <v>1815</v>
      </c>
      <c r="E13923" s="6" t="s">
        <v>489</v>
      </c>
      <c r="F13923" s="5" t="s">
        <v>521</v>
      </c>
      <c r="G13923" s="6" t="str">
        <f>VLOOKUP(E13923,dicionario!$A$1:$C14322,2,0)</f>
        <v>Cenchrus echinatus</v>
      </c>
      <c r="H13923" s="6" t="str">
        <f>VLOOKUP(E13923,dicionario!$A$1:$C14322,3,0)</f>
        <v>capim-carrapicho</v>
      </c>
    </row>
    <row r="13924">
      <c r="A13924" s="3">
        <v>45911.0</v>
      </c>
      <c r="B13924" s="4">
        <v>0.28125</v>
      </c>
      <c r="C13924" s="5" t="s">
        <v>40</v>
      </c>
      <c r="D13924" s="5" t="s">
        <v>1815</v>
      </c>
      <c r="E13924" s="6" t="s">
        <v>227</v>
      </c>
      <c r="F13924" s="5" t="s">
        <v>228</v>
      </c>
      <c r="G13924" s="6" t="str">
        <f>VLOOKUP(E13924,dicionario!$A$1:$C14323,2,0)</f>
        <v>Indigofera hirsuta</v>
      </c>
      <c r="H13924" s="6" t="str">
        <f>VLOOKUP(E13924,dicionario!$A$1:$C14323,3,0)</f>
        <v>anileira</v>
      </c>
    </row>
    <row r="13925">
      <c r="A13925" s="3">
        <v>45911.0</v>
      </c>
      <c r="B13925" s="4">
        <v>0.28125</v>
      </c>
      <c r="C13925" s="5" t="s">
        <v>40</v>
      </c>
      <c r="D13925" s="5" t="s">
        <v>1815</v>
      </c>
      <c r="E13925" s="6" t="s">
        <v>141</v>
      </c>
      <c r="F13925" s="5" t="s">
        <v>142</v>
      </c>
      <c r="G13925" s="6" t="str">
        <f>VLOOKUP(E13925,dicionario!$A$1:$C14324,2,0)</f>
        <v>Ruellia blechum</v>
      </c>
      <c r="H13925" s="6" t="str">
        <f>VLOOKUP(E13925,dicionario!$A$1:$C14324,3,0)</f>
        <v>camarão-verde</v>
      </c>
    </row>
    <row r="13926">
      <c r="A13926" s="3">
        <v>45911.0</v>
      </c>
      <c r="B13926" s="4">
        <v>0.28125</v>
      </c>
      <c r="C13926" s="5" t="s">
        <v>40</v>
      </c>
      <c r="D13926" s="5" t="s">
        <v>1815</v>
      </c>
      <c r="E13926" s="6" t="s">
        <v>154</v>
      </c>
      <c r="F13926" s="5" t="s">
        <v>155</v>
      </c>
      <c r="G13926" s="6" t="str">
        <f>VLOOKUP(E13926,dicionario!$A$1:$C14325,2,0)</f>
        <v>Cyperus rotundus</v>
      </c>
      <c r="H13926" s="6" t="str">
        <f>VLOOKUP(E13926,dicionario!$A$1:$C14325,3,0)</f>
        <v>tiririca</v>
      </c>
    </row>
    <row r="13927">
      <c r="A13927" s="3">
        <v>45911.0</v>
      </c>
      <c r="B13927" s="4">
        <v>0.28125</v>
      </c>
      <c r="C13927" s="5" t="s">
        <v>40</v>
      </c>
      <c r="D13927" s="5" t="s">
        <v>1815</v>
      </c>
      <c r="E13927" s="8" t="s">
        <v>498</v>
      </c>
      <c r="F13927" s="5" t="s">
        <v>499</v>
      </c>
      <c r="G13927" s="6" t="str">
        <f>VLOOKUP(E13927,dicionario!$A$1:$C14326,2,0)</f>
        <v>Brachiaria decumbens</v>
      </c>
      <c r="H13927" s="6" t="str">
        <f>VLOOKUP(E13927,dicionario!$A$1:$C14326,3,0)</f>
        <v>capim-braquiária</v>
      </c>
    </row>
    <row r="13928">
      <c r="A13928" s="3">
        <v>45911.0</v>
      </c>
      <c r="B13928" s="4">
        <v>0.28125</v>
      </c>
      <c r="C13928" s="5" t="s">
        <v>40</v>
      </c>
      <c r="D13928" s="5" t="s">
        <v>1815</v>
      </c>
      <c r="E13928" s="6" t="s">
        <v>111</v>
      </c>
      <c r="F13928" s="5" t="s">
        <v>112</v>
      </c>
      <c r="G13928" s="6" t="str">
        <f>VLOOKUP(E13928,dicionario!$A$1:$C14327,2,0)</f>
        <v>Trigona spinipes</v>
      </c>
      <c r="H13928" s="6" t="str">
        <f>VLOOKUP(E13928,dicionario!$A$1:$C14327,3,0)</f>
        <v>abelha-cachorro</v>
      </c>
    </row>
    <row r="13929">
      <c r="A13929" s="3">
        <v>45911.0</v>
      </c>
      <c r="B13929" s="4">
        <v>0.28125</v>
      </c>
      <c r="C13929" s="5" t="s">
        <v>40</v>
      </c>
      <c r="D13929" s="5" t="s">
        <v>1815</v>
      </c>
      <c r="E13929" s="8" t="s">
        <v>162</v>
      </c>
      <c r="F13929" s="5" t="s">
        <v>42</v>
      </c>
      <c r="G13929" s="6" t="str">
        <f>VLOOKUP(E13929,dicionario!$A$1:$C14328,2,0)</f>
        <v>Fluvicola nengeta</v>
      </c>
      <c r="H13929" s="6" t="str">
        <f>VLOOKUP(E13929,dicionario!$A$1:$C14328,3,0)</f>
        <v>lavadeira-mascarada</v>
      </c>
    </row>
    <row r="13930">
      <c r="A13930" s="3">
        <v>45911.0</v>
      </c>
      <c r="B13930" s="4">
        <v>0.28125</v>
      </c>
      <c r="C13930" s="5" t="s">
        <v>40</v>
      </c>
      <c r="D13930" s="5" t="s">
        <v>1815</v>
      </c>
      <c r="E13930" s="8" t="s">
        <v>1127</v>
      </c>
      <c r="F13930" s="5" t="s">
        <v>1286</v>
      </c>
      <c r="G13930" s="6" t="str">
        <f>VLOOKUP(E13930,dicionario!$A$1:$C14329,2,0)</f>
        <v>Albizia lebbeck</v>
      </c>
      <c r="H13930" s="6" t="str">
        <f>VLOOKUP(E13930,dicionario!$A$1:$C14329,3,0)</f>
        <v>albízia</v>
      </c>
    </row>
    <row r="13931">
      <c r="A13931" s="3">
        <v>45911.0</v>
      </c>
      <c r="B13931" s="4">
        <v>0.28194444444444444</v>
      </c>
      <c r="C13931" s="5" t="s">
        <v>40</v>
      </c>
      <c r="D13931" s="5" t="s">
        <v>1815</v>
      </c>
      <c r="E13931" s="6" t="s">
        <v>113</v>
      </c>
      <c r="F13931" s="5" t="s">
        <v>114</v>
      </c>
      <c r="G13931" s="6" t="str">
        <f>VLOOKUP(E13931,dicionario!$A$1:$C14330,2,0)</f>
        <v>Columbina talpacoti</v>
      </c>
      <c r="H13931" s="6" t="str">
        <f>VLOOKUP(E13931,dicionario!$A$1:$C14330,3,0)</f>
        <v>rolinha-roxa</v>
      </c>
    </row>
    <row r="13932">
      <c r="A13932" s="3">
        <v>45911.0</v>
      </c>
      <c r="B13932" s="4">
        <v>0.28194444444444444</v>
      </c>
      <c r="C13932" s="5" t="s">
        <v>40</v>
      </c>
      <c r="D13932" s="5" t="s">
        <v>1815</v>
      </c>
      <c r="E13932" s="8" t="s">
        <v>298</v>
      </c>
      <c r="F13932" s="5"/>
      <c r="G13932" s="6" t="str">
        <f>VLOOKUP(E13932,dicionario!$A$1:$C14331,2,0)</f>
        <v>Alysicarpus vaginalis</v>
      </c>
      <c r="H13932" s="6" t="str">
        <f>VLOOKUP(E13932,dicionario!$A$1:$C14331,3,0)</f>
        <v/>
      </c>
    </row>
    <row r="13933">
      <c r="A13933" s="3">
        <v>45911.0</v>
      </c>
      <c r="B13933" s="4">
        <v>0.28194444444444444</v>
      </c>
      <c r="C13933" s="5" t="s">
        <v>40</v>
      </c>
      <c r="D13933" s="5" t="s">
        <v>1815</v>
      </c>
      <c r="E13933" s="6" t="s">
        <v>215</v>
      </c>
      <c r="F13933" s="5" t="s">
        <v>216</v>
      </c>
      <c r="G13933" s="6" t="str">
        <f>VLOOKUP(E13933,dicionario!$A$1:$C14332,2,0)</f>
        <v>Pygochelidon cyanoleuca</v>
      </c>
      <c r="H13933" s="6" t="str">
        <f>VLOOKUP(E13933,dicionario!$A$1:$C14332,3,0)</f>
        <v>andorinha-pequena-de-casa</v>
      </c>
    </row>
    <row r="13934">
      <c r="A13934" s="3">
        <v>45911.0</v>
      </c>
      <c r="B13934" s="4">
        <v>0.28194444444444444</v>
      </c>
      <c r="C13934" s="5" t="s">
        <v>40</v>
      </c>
      <c r="D13934" s="5" t="s">
        <v>1815</v>
      </c>
      <c r="E13934" s="8" t="s">
        <v>265</v>
      </c>
      <c r="F13934" s="5" t="s">
        <v>266</v>
      </c>
      <c r="G13934" s="6" t="str">
        <f>VLOOKUP(E13934,dicionario!$A$1:$C14333,2,0)</f>
        <v>Sonchus oleraceus</v>
      </c>
      <c r="H13934" s="6" t="str">
        <f>VLOOKUP(E13934,dicionario!$A$1:$C14333,3,0)</f>
        <v>seralha</v>
      </c>
    </row>
    <row r="13935">
      <c r="A13935" s="3">
        <v>45911.0</v>
      </c>
      <c r="B13935" s="4">
        <v>0.28194444444444444</v>
      </c>
      <c r="C13935" s="5" t="s">
        <v>40</v>
      </c>
      <c r="D13935" s="5" t="s">
        <v>1815</v>
      </c>
      <c r="E13935" s="6" t="s">
        <v>290</v>
      </c>
      <c r="F13935" s="5" t="s">
        <v>291</v>
      </c>
      <c r="G13935" s="6" t="str">
        <f>VLOOKUP(E13935,dicionario!$A$1:$C14334,2,0)</f>
        <v>Drymaria cordata</v>
      </c>
      <c r="H13935" s="6" t="str">
        <f>VLOOKUP(E13935,dicionario!$A$1:$C14334,3,0)</f>
        <v>orelha-de-rato</v>
      </c>
    </row>
    <row r="13936">
      <c r="A13936" s="3">
        <v>45911.0</v>
      </c>
      <c r="B13936" s="4">
        <v>0.2826388888888889</v>
      </c>
      <c r="C13936" s="5" t="s">
        <v>40</v>
      </c>
      <c r="D13936" s="5" t="s">
        <v>1815</v>
      </c>
      <c r="E13936" s="6" t="s">
        <v>225</v>
      </c>
      <c r="F13936" s="5" t="s">
        <v>226</v>
      </c>
      <c r="G13936" s="6" t="str">
        <f>VLOOKUP(E13936,dicionario!$A$1:$C14335,2,0)</f>
        <v>Passer domesticus</v>
      </c>
      <c r="H13936" s="6" t="str">
        <f>VLOOKUP(E13936,dicionario!$A$1:$C14335,3,0)</f>
        <v>pardal</v>
      </c>
    </row>
    <row r="13937">
      <c r="A13937" s="3">
        <v>45911.0</v>
      </c>
      <c r="B13937" s="4">
        <v>0.2826388888888889</v>
      </c>
      <c r="C13937" s="5" t="s">
        <v>40</v>
      </c>
      <c r="D13937" s="5" t="s">
        <v>1815</v>
      </c>
      <c r="E13937" s="6" t="s">
        <v>294</v>
      </c>
      <c r="F13937" s="5" t="s">
        <v>295</v>
      </c>
      <c r="G13937" s="6" t="str">
        <f>VLOOKUP(E13937,dicionario!$A$1:$C14336,2,0)</f>
        <v>Cycloneda sanguinea</v>
      </c>
      <c r="H13937" s="6" t="str">
        <f>VLOOKUP(E13937,dicionario!$A$1:$C14336,3,0)</f>
        <v>joaninha-sem-pintas</v>
      </c>
    </row>
    <row r="13938">
      <c r="A13938" s="3">
        <v>45911.0</v>
      </c>
      <c r="B13938" s="4">
        <v>0.2826388888888889</v>
      </c>
      <c r="C13938" s="5" t="s">
        <v>40</v>
      </c>
      <c r="D13938" s="5" t="s">
        <v>1815</v>
      </c>
      <c r="E13938" s="8" t="s">
        <v>296</v>
      </c>
      <c r="F13938" s="5" t="s">
        <v>297</v>
      </c>
      <c r="G13938" s="6" t="str">
        <f>VLOOKUP(E13938,dicionario!$A$1:$C14337,2,0)</f>
        <v>Richardia brasiliensis</v>
      </c>
      <c r="H13938" s="6" t="str">
        <f>VLOOKUP(E13938,dicionario!$A$1:$C14337,3,0)</f>
        <v>poaia-branca</v>
      </c>
    </row>
    <row r="13939">
      <c r="A13939" s="3">
        <v>45911.0</v>
      </c>
      <c r="B13939" s="4">
        <v>0.2826388888888889</v>
      </c>
      <c r="C13939" s="5" t="s">
        <v>40</v>
      </c>
      <c r="D13939" s="5" t="s">
        <v>1815</v>
      </c>
      <c r="E13939" s="8" t="s">
        <v>262</v>
      </c>
      <c r="F13939" s="5" t="s">
        <v>263</v>
      </c>
      <c r="G13939" s="6" t="str">
        <f>VLOOKUP(E13939,dicionario!$A$1:$C14338,2,0)</f>
        <v>Portulaca oleracea</v>
      </c>
      <c r="H13939" s="6" t="str">
        <f>VLOOKUP(E13939,dicionario!$A$1:$C14338,3,0)</f>
        <v>beldroega</v>
      </c>
    </row>
    <row r="13940">
      <c r="A13940" s="3">
        <v>45911.0</v>
      </c>
      <c r="B13940" s="4">
        <v>0.2826388888888889</v>
      </c>
      <c r="C13940" s="5" t="s">
        <v>40</v>
      </c>
      <c r="D13940" s="5" t="s">
        <v>1815</v>
      </c>
      <c r="E13940" s="8" t="s">
        <v>150</v>
      </c>
      <c r="F13940" s="5" t="s">
        <v>151</v>
      </c>
      <c r="G13940" s="6" t="str">
        <f>VLOOKUP(E13940,dicionario!$A$1:$C14339,2,0)</f>
        <v>Amaranthus viridis</v>
      </c>
      <c r="H13940" s="6" t="str">
        <f>VLOOKUP(E13940,dicionario!$A$1:$C14339,3,0)</f>
        <v>caruru-de-mancha</v>
      </c>
    </row>
    <row r="13941">
      <c r="A13941" s="3">
        <v>45911.0</v>
      </c>
      <c r="B13941" s="4">
        <v>0.2826388888888889</v>
      </c>
      <c r="C13941" s="5" t="s">
        <v>40</v>
      </c>
      <c r="D13941" s="5" t="s">
        <v>1815</v>
      </c>
      <c r="E13941" s="8" t="s">
        <v>1077</v>
      </c>
      <c r="F13941" s="5" t="s">
        <v>1078</v>
      </c>
      <c r="G13941" s="6" t="str">
        <f>VLOOKUP(E13941,dicionario!$A$1:$C14340,2,0)</f>
        <v>Sonchus asper</v>
      </c>
      <c r="H13941" s="6" t="str">
        <f>VLOOKUP(E13941,dicionario!$A$1:$C14340,3,0)</f>
        <v>serralha-crespa</v>
      </c>
    </row>
    <row r="13942">
      <c r="A13942" s="3">
        <v>45911.0</v>
      </c>
      <c r="B13942" s="4">
        <v>0.2826388888888889</v>
      </c>
      <c r="C13942" s="5" t="s">
        <v>40</v>
      </c>
      <c r="D13942" s="5" t="s">
        <v>1815</v>
      </c>
      <c r="E13942" s="6" t="s">
        <v>286</v>
      </c>
      <c r="F13942" s="5" t="s">
        <v>287</v>
      </c>
      <c r="G13942" s="6" t="str">
        <f>VLOOKUP(E13942,dicionario!$A$1:$C14341,2,0)</f>
        <v>Setaria parviflora</v>
      </c>
      <c r="H13942" s="6" t="str">
        <f>VLOOKUP(E13942,dicionario!$A$1:$C14341,3,0)</f>
        <v>capim-rabo-de-raposa</v>
      </c>
    </row>
    <row r="13943">
      <c r="A13943" s="3">
        <v>45911.0</v>
      </c>
      <c r="B13943" s="4">
        <v>0.2826388888888889</v>
      </c>
      <c r="C13943" s="5" t="s">
        <v>40</v>
      </c>
      <c r="D13943" s="5" t="s">
        <v>1815</v>
      </c>
      <c r="E13943" s="8" t="s">
        <v>239</v>
      </c>
      <c r="F13943" s="5" t="s">
        <v>240</v>
      </c>
      <c r="G13943" s="6" t="str">
        <f>VLOOKUP(E13943,dicionario!$A$1:$C14342,2,0)</f>
        <v>Gomphrena celosioides</v>
      </c>
      <c r="H13943" s="6" t="str">
        <f>VLOOKUP(E13943,dicionario!$A$1:$C14342,3,0)</f>
        <v>perpétua-branca</v>
      </c>
    </row>
    <row r="13944">
      <c r="A13944" s="3">
        <v>45911.0</v>
      </c>
      <c r="B13944" s="4">
        <v>0.2833333333333333</v>
      </c>
      <c r="C13944" s="5" t="s">
        <v>40</v>
      </c>
      <c r="D13944" s="5" t="s">
        <v>1815</v>
      </c>
      <c r="E13944" s="8" t="s">
        <v>146</v>
      </c>
      <c r="F13944" s="5" t="s">
        <v>147</v>
      </c>
      <c r="G13944" s="6" t="str">
        <f>VLOOKUP(E13944,dicionario!$A$1:$C14343,2,0)</f>
        <v>Euphorbia hirta</v>
      </c>
      <c r="H13944" s="6" t="str">
        <f>VLOOKUP(E13944,dicionario!$A$1:$C14343,3,0)</f>
        <v>erva-de-santa-luzia</v>
      </c>
    </row>
    <row r="13945">
      <c r="A13945" s="3">
        <v>45911.0</v>
      </c>
      <c r="B13945" s="4">
        <v>0.2833333333333333</v>
      </c>
      <c r="C13945" s="5" t="s">
        <v>40</v>
      </c>
      <c r="D13945" s="5" t="s">
        <v>1815</v>
      </c>
      <c r="E13945" s="8" t="s">
        <v>20</v>
      </c>
      <c r="F13945" s="5" t="s">
        <v>21</v>
      </c>
      <c r="G13945" s="6" t="str">
        <f>VLOOKUP(E13945,dicionario!$A$1:$C14344,2,0)</f>
        <v>Sicalis flaveola</v>
      </c>
      <c r="H13945" s="6" t="str">
        <f>VLOOKUP(E13945,dicionario!$A$1:$C14344,3,0)</f>
        <v>canário-da-terra</v>
      </c>
    </row>
    <row r="13946">
      <c r="A13946" s="3">
        <v>45911.0</v>
      </c>
      <c r="B13946" s="4">
        <v>0.28402777777777777</v>
      </c>
      <c r="C13946" s="5" t="s">
        <v>40</v>
      </c>
      <c r="D13946" s="5" t="s">
        <v>1815</v>
      </c>
      <c r="E13946" s="6" t="s">
        <v>302</v>
      </c>
      <c r="F13946" s="5" t="s">
        <v>303</v>
      </c>
      <c r="G13946" s="6" t="str">
        <f>VLOOKUP(E13946,dicionario!$A$1:$C14345,2,0)</f>
        <v>Machetornis rixosa</v>
      </c>
      <c r="H13946" s="6" t="str">
        <f>VLOOKUP(E13946,dicionario!$A$1:$C14345,3,0)</f>
        <v>suiriri-cavaleiro</v>
      </c>
    </row>
    <row r="13947">
      <c r="A13947" s="3">
        <v>45911.0</v>
      </c>
      <c r="B13947" s="4">
        <v>0.28402777777777777</v>
      </c>
      <c r="C13947" s="5" t="s">
        <v>40</v>
      </c>
      <c r="D13947" s="5" t="s">
        <v>1815</v>
      </c>
      <c r="E13947" s="8" t="s">
        <v>135</v>
      </c>
      <c r="F13947" s="5" t="s">
        <v>136</v>
      </c>
      <c r="G13947" s="6" t="str">
        <f>VLOOKUP(E13947,dicionario!$A$1:$C14346,2,0)</f>
        <v>Tridax procumbens</v>
      </c>
      <c r="H13947" s="6" t="str">
        <f>VLOOKUP(E13947,dicionario!$A$1:$C14346,3,0)</f>
        <v>erva-de-touro</v>
      </c>
    </row>
    <row r="13948">
      <c r="A13948" s="3">
        <v>45911.0</v>
      </c>
      <c r="B13948" s="4">
        <v>0.28402777777777777</v>
      </c>
      <c r="C13948" s="5" t="s">
        <v>40</v>
      </c>
      <c r="D13948" s="5" t="s">
        <v>1815</v>
      </c>
      <c r="E13948" s="6" t="s">
        <v>267</v>
      </c>
      <c r="F13948" s="5" t="s">
        <v>553</v>
      </c>
      <c r="G13948" s="6" t="str">
        <f>VLOOKUP(E13948,dicionario!$A$1:$C14347,2,0)</f>
        <v>Solanum americanum</v>
      </c>
      <c r="H13948" s="6" t="str">
        <f>VLOOKUP(E13948,dicionario!$A$1:$C14347,3,0)</f>
        <v>maria-pretinha</v>
      </c>
    </row>
    <row r="13949">
      <c r="A13949" s="3">
        <v>45911.0</v>
      </c>
      <c r="B13949" s="4">
        <v>0.28402777777777777</v>
      </c>
      <c r="C13949" s="5" t="s">
        <v>40</v>
      </c>
      <c r="D13949" s="5" t="s">
        <v>1815</v>
      </c>
      <c r="E13949" s="6" t="s">
        <v>22</v>
      </c>
      <c r="F13949" s="5" t="s">
        <v>97</v>
      </c>
      <c r="G13949" s="6" t="str">
        <f>VLOOKUP(E13949,dicionario!$A$1:$C14348,2,0)</f>
        <v>Zenaida auriculata</v>
      </c>
      <c r="H13949" s="6" t="str">
        <f>VLOOKUP(E13949,dicionario!$A$1:$C14348,3,0)</f>
        <v>pomba-de-bando; avoante</v>
      </c>
    </row>
    <row r="13950">
      <c r="A13950" s="3">
        <v>45911.0</v>
      </c>
      <c r="B13950" s="4">
        <v>0.28402777777777777</v>
      </c>
      <c r="C13950" s="5" t="s">
        <v>40</v>
      </c>
      <c r="D13950" s="5" t="s">
        <v>1815</v>
      </c>
      <c r="E13950" s="8" t="s">
        <v>1328</v>
      </c>
      <c r="F13950" s="5" t="s">
        <v>356</v>
      </c>
      <c r="G13950" s="6" t="str">
        <f>VLOOKUP(E13950,dicionario!$A$1:$C14349,2,0)</f>
        <v>#N/A</v>
      </c>
      <c r="H13950" s="6" t="str">
        <f>VLOOKUP(E13950,dicionario!$A$1:$C14349,3,0)</f>
        <v>#N/A</v>
      </c>
    </row>
    <row r="13951">
      <c r="A13951" s="3">
        <v>45911.0</v>
      </c>
      <c r="B13951" s="4">
        <v>0.2847222222222222</v>
      </c>
      <c r="C13951" s="5" t="s">
        <v>40</v>
      </c>
      <c r="D13951" s="5" t="s">
        <v>1815</v>
      </c>
      <c r="E13951" s="6" t="s">
        <v>353</v>
      </c>
      <c r="F13951" s="5" t="s">
        <v>354</v>
      </c>
      <c r="G13951" s="6" t="str">
        <f>VLOOKUP(E13951,dicionario!$A$1:$C14350,2,0)</f>
        <v>Desmodium incanum</v>
      </c>
      <c r="H13951" s="6" t="str">
        <f>VLOOKUP(E13951,dicionario!$A$1:$C14350,3,0)</f>
        <v>pega-pega</v>
      </c>
    </row>
    <row r="13952">
      <c r="A13952" s="3">
        <v>45911.0</v>
      </c>
      <c r="B13952" s="4">
        <v>0.2847222222222222</v>
      </c>
      <c r="C13952" s="5" t="s">
        <v>40</v>
      </c>
      <c r="D13952" s="5" t="s">
        <v>1815</v>
      </c>
      <c r="E13952" s="8" t="s">
        <v>280</v>
      </c>
      <c r="F13952" s="5" t="s">
        <v>281</v>
      </c>
      <c r="G13952" s="6" t="str">
        <f>VLOOKUP(E13952,dicionario!$A$1:$C14351,2,0)</f>
        <v>Lepidium virginicum</v>
      </c>
      <c r="H13952" s="6" t="str">
        <f>VLOOKUP(E13952,dicionario!$A$1:$C14351,3,0)</f>
        <v>mastruz</v>
      </c>
    </row>
    <row r="13953">
      <c r="A13953" s="3">
        <v>45911.0</v>
      </c>
      <c r="B13953" s="4">
        <v>0.2847222222222222</v>
      </c>
      <c r="C13953" s="5" t="s">
        <v>40</v>
      </c>
      <c r="D13953" s="5" t="s">
        <v>1815</v>
      </c>
      <c r="E13953" s="6" t="s">
        <v>213</v>
      </c>
      <c r="F13953" s="5" t="s">
        <v>214</v>
      </c>
      <c r="G13953" s="6" t="str">
        <f>VLOOKUP(E13953,dicionario!$A$1:$C14352,2,0)</f>
        <v>Myiozetetes similis</v>
      </c>
      <c r="H13953" s="6" t="str">
        <f>VLOOKUP(E13953,dicionario!$A$1:$C14352,3,0)</f>
        <v>bentevizinho-de-penacho-vermelho</v>
      </c>
    </row>
    <row r="13954">
      <c r="A13954" s="3">
        <v>45911.0</v>
      </c>
      <c r="B13954" s="4">
        <v>0.2847222222222222</v>
      </c>
      <c r="C13954" s="5" t="s">
        <v>40</v>
      </c>
      <c r="D13954" s="5" t="s">
        <v>1815</v>
      </c>
      <c r="E13954" s="8" t="s">
        <v>38</v>
      </c>
      <c r="F13954" s="5" t="s">
        <v>1672</v>
      </c>
      <c r="G13954" s="6" t="str">
        <f>VLOOKUP(E13954,dicionario!$A$1:$C14353,2,0)</f>
        <v>Troglodytes musculus</v>
      </c>
      <c r="H13954" s="6" t="str">
        <f>VLOOKUP(E13954,dicionario!$A$1:$C14353,3,0)</f>
        <v>curruíra</v>
      </c>
    </row>
    <row r="13955">
      <c r="A13955" s="3">
        <v>45911.0</v>
      </c>
      <c r="B13955" s="4">
        <v>0.2847222222222222</v>
      </c>
      <c r="C13955" s="5" t="s">
        <v>40</v>
      </c>
      <c r="D13955" s="5" t="s">
        <v>1815</v>
      </c>
      <c r="E13955" s="8" t="s">
        <v>1783</v>
      </c>
      <c r="F13955" s="5" t="s">
        <v>1088</v>
      </c>
      <c r="G13955" s="6" t="str">
        <f>VLOOKUP(E13955,dicionario!$A$1:$C14354,2,0)</f>
        <v>#N/A</v>
      </c>
      <c r="H13955" s="6" t="str">
        <f>VLOOKUP(E13955,dicionario!$A$1:$C14354,3,0)</f>
        <v>#N/A</v>
      </c>
    </row>
    <row r="13956">
      <c r="A13956" s="3">
        <v>45911.0</v>
      </c>
      <c r="B13956" s="4">
        <v>0.28541666666666665</v>
      </c>
      <c r="C13956" s="5" t="s">
        <v>40</v>
      </c>
      <c r="D13956" s="5" t="s">
        <v>1815</v>
      </c>
      <c r="E13956" s="8" t="s">
        <v>109</v>
      </c>
      <c r="F13956" s="5" t="s">
        <v>110</v>
      </c>
      <c r="G13956" s="6" t="str">
        <f>VLOOKUP(E13956,dicionario!$A$1:$C14355,2,0)</f>
        <v>Tillandsia stricta</v>
      </c>
      <c r="H13956" s="6" t="str">
        <f>VLOOKUP(E13956,dicionario!$A$1:$C14355,3,0)</f>
        <v>cravo-do-mato</v>
      </c>
    </row>
    <row r="13957">
      <c r="A13957" s="3">
        <v>45911.0</v>
      </c>
      <c r="B13957" s="4">
        <v>0.28541666666666665</v>
      </c>
      <c r="C13957" s="5" t="s">
        <v>40</v>
      </c>
      <c r="D13957" s="5" t="s">
        <v>1815</v>
      </c>
      <c r="E13957" s="8" t="s">
        <v>471</v>
      </c>
      <c r="F13957" s="5" t="s">
        <v>472</v>
      </c>
      <c r="G13957" s="6" t="str">
        <f>VLOOKUP(E13957,dicionario!$A$1:$C14356,2,0)</f>
        <v>Sida acuta</v>
      </c>
      <c r="H13957" s="6" t="str">
        <f>VLOOKUP(E13957,dicionario!$A$1:$C14356,3,0)</f>
        <v>reloginho</v>
      </c>
    </row>
    <row r="13958">
      <c r="A13958" s="3">
        <v>45911.0</v>
      </c>
      <c r="B13958" s="4">
        <v>0.2861111111111111</v>
      </c>
      <c r="C13958" s="5" t="s">
        <v>40</v>
      </c>
      <c r="D13958" s="5" t="s">
        <v>1815</v>
      </c>
      <c r="E13958" s="6" t="s">
        <v>48</v>
      </c>
      <c r="F13958" s="5" t="s">
        <v>49</v>
      </c>
      <c r="G13958" s="6" t="str">
        <f>VLOOKUP(E13958,dicionario!$A$1:$C14357,2,0)</f>
        <v>Commelina erecta</v>
      </c>
      <c r="H13958" s="6" t="str">
        <f>VLOOKUP(E13958,dicionario!$A$1:$C14357,3,0)</f>
        <v>trapoeraba</v>
      </c>
    </row>
    <row r="13959">
      <c r="A13959" s="3">
        <v>45911.0</v>
      </c>
      <c r="B13959" s="4">
        <v>0.2861111111111111</v>
      </c>
      <c r="C13959" s="5" t="s">
        <v>40</v>
      </c>
      <c r="D13959" s="5" t="s">
        <v>1815</v>
      </c>
      <c r="E13959" s="6" t="s">
        <v>467</v>
      </c>
      <c r="F13959" s="5" t="s">
        <v>1365</v>
      </c>
      <c r="G13959" s="6" t="str">
        <f>VLOOKUP(E13959,dicionario!$A$1:$C14358,2,0)</f>
        <v>Eleusine indica</v>
      </c>
      <c r="H13959" s="6" t="str">
        <f>VLOOKUP(E13959,dicionario!$A$1:$C14358,3,0)</f>
        <v>capim-pé-de-galinha</v>
      </c>
    </row>
    <row r="13960">
      <c r="A13960" s="3">
        <v>45911.0</v>
      </c>
      <c r="B13960" s="4">
        <v>0.2875</v>
      </c>
      <c r="C13960" s="5" t="s">
        <v>40</v>
      </c>
      <c r="D13960" s="5" t="s">
        <v>1815</v>
      </c>
      <c r="E13960" s="6" t="s">
        <v>319</v>
      </c>
      <c r="F13960" s="5" t="s">
        <v>320</v>
      </c>
      <c r="G13960" s="6" t="str">
        <f>VLOOKUP(E13960,dicionario!$A$1:$C14359,2,0)</f>
        <v>Schinus terebinthifolia</v>
      </c>
      <c r="H13960" s="6" t="str">
        <f>VLOOKUP(E13960,dicionario!$A$1:$C14359,3,0)</f>
        <v>aroeira</v>
      </c>
    </row>
    <row r="13961">
      <c r="A13961" s="3">
        <v>45911.0</v>
      </c>
      <c r="B13961" s="4">
        <v>0.2875</v>
      </c>
      <c r="C13961" s="5" t="s">
        <v>40</v>
      </c>
      <c r="D13961" s="5" t="s">
        <v>1815</v>
      </c>
      <c r="E13961" s="6" t="s">
        <v>60</v>
      </c>
      <c r="F13961" s="5" t="s">
        <v>61</v>
      </c>
      <c r="G13961" s="6" t="str">
        <f>VLOOKUP(E13961,dicionario!$A$1:$C14360,2,0)</f>
        <v>Vanellus chilensis</v>
      </c>
      <c r="H13961" s="6" t="str">
        <f>VLOOKUP(E13961,dicionario!$A$1:$C14360,3,0)</f>
        <v>quero-quero</v>
      </c>
    </row>
    <row r="13962">
      <c r="A13962" s="3">
        <v>45911.0</v>
      </c>
      <c r="B13962" s="4">
        <v>0.2875</v>
      </c>
      <c r="C13962" s="5" t="s">
        <v>40</v>
      </c>
      <c r="D13962" s="5" t="s">
        <v>1815</v>
      </c>
      <c r="E13962" s="8" t="s">
        <v>465</v>
      </c>
      <c r="F13962" s="5" t="s">
        <v>994</v>
      </c>
      <c r="G13962" s="6" t="str">
        <f>VLOOKUP(E13962,dicionario!$A$1:$C14361,2,0)</f>
        <v>Solanum diphyllum</v>
      </c>
      <c r="H13962" s="6" t="str">
        <f>VLOOKUP(E13962,dicionario!$A$1:$C14361,3,0)</f>
        <v>tomatinho-amarelo</v>
      </c>
    </row>
    <row r="13963">
      <c r="A13963" s="3">
        <v>45911.0</v>
      </c>
      <c r="B13963" s="4">
        <v>0.2881944444444444</v>
      </c>
      <c r="C13963" s="5" t="s">
        <v>40</v>
      </c>
      <c r="D13963" s="5" t="s">
        <v>1815</v>
      </c>
      <c r="E13963" s="8" t="s">
        <v>1167</v>
      </c>
      <c r="F13963" s="5" t="s">
        <v>1598</v>
      </c>
      <c r="G13963" s="6" t="str">
        <f>VLOOKUP(E13963,dicionario!$A$1:$C14363,2,0)</f>
        <v>Tillandsia recurvata</v>
      </c>
      <c r="H13963" s="6" t="str">
        <f>VLOOKUP(E13963,dicionario!$A$1:$C14363,3,0)</f>
        <v>cravo-do-mato sp2</v>
      </c>
    </row>
    <row r="13964">
      <c r="A13964" s="3">
        <v>45911.0</v>
      </c>
      <c r="B13964" s="4">
        <v>0.28958333333333336</v>
      </c>
      <c r="C13964" s="5" t="s">
        <v>40</v>
      </c>
      <c r="D13964" s="5" t="s">
        <v>1815</v>
      </c>
      <c r="E13964" s="53" t="s">
        <v>1819</v>
      </c>
      <c r="F13964" s="5" t="s">
        <v>1820</v>
      </c>
      <c r="G13964" s="6" t="str">
        <f>VLOOKUP(E13964,dicionario!$A$1:$C14364,2,0)</f>
        <v>Bystropogon maderensis</v>
      </c>
      <c r="H13964" s="6" t="str">
        <f>VLOOKUP(E13964,dicionario!$A$1:$C14364,3,0)</f>
        <v>quebra-panela </v>
      </c>
    </row>
    <row r="13965">
      <c r="A13965" s="3">
        <v>45911.0</v>
      </c>
      <c r="B13965" s="4">
        <v>0.28958333333333336</v>
      </c>
      <c r="C13965" s="5" t="s">
        <v>40</v>
      </c>
      <c r="D13965" s="5" t="s">
        <v>1815</v>
      </c>
      <c r="E13965" s="8" t="s">
        <v>1798</v>
      </c>
      <c r="F13965" s="7" t="s">
        <v>321</v>
      </c>
      <c r="G13965" s="6" t="str">
        <f>VLOOKUP(E13965,dicionario!$A$1:$C14365,2,0)</f>
        <v>Solenopsis</v>
      </c>
      <c r="H13965" s="6" t="str">
        <f>VLOOKUP(E13965,dicionario!$A$1:$C14365,3,0)</f>
        <v>formiga-quente; formiga-lava-pés; formiga-de-fogo</v>
      </c>
    </row>
    <row r="13966">
      <c r="A13966" s="3">
        <v>45911.0</v>
      </c>
      <c r="B13966" s="4">
        <v>0.28958333333333336</v>
      </c>
      <c r="C13966" s="5" t="s">
        <v>40</v>
      </c>
      <c r="D13966" s="5" t="s">
        <v>1815</v>
      </c>
      <c r="E13966" s="6" t="s">
        <v>399</v>
      </c>
      <c r="F13966" s="5" t="s">
        <v>400</v>
      </c>
      <c r="G13966" s="6" t="str">
        <f>VLOOKUP(E13966,dicionario!$A$1:$C14366,2,0)</f>
        <v>Varronia curassavica</v>
      </c>
      <c r="H13966" s="6" t="str">
        <f>VLOOKUP(E13966,dicionario!$A$1:$C14366,3,0)</f>
        <v>erva-baleeira</v>
      </c>
    </row>
    <row r="13967">
      <c r="A13967" s="3">
        <v>45911.0</v>
      </c>
      <c r="B13967" s="4">
        <v>0.28958333333333336</v>
      </c>
      <c r="C13967" s="5" t="s">
        <v>40</v>
      </c>
      <c r="D13967" s="5" t="s">
        <v>1815</v>
      </c>
      <c r="E13967" s="6" t="s">
        <v>606</v>
      </c>
      <c r="F13967" s="5" t="s">
        <v>607</v>
      </c>
      <c r="G13967" s="6" t="str">
        <f>VLOOKUP(E13967,dicionario!$A$1:$C14367,2,0)</f>
        <v>Elaenia spectabilis</v>
      </c>
      <c r="H13967" s="6" t="str">
        <f>VLOOKUP(E13967,dicionario!$A$1:$C14367,3,0)</f>
        <v>guaracava-grande</v>
      </c>
    </row>
    <row r="13968">
      <c r="A13968" s="3">
        <v>45911.0</v>
      </c>
      <c r="B13968" s="4">
        <v>0.29444444444444445</v>
      </c>
      <c r="C13968" s="5" t="s">
        <v>1821</v>
      </c>
      <c r="D13968" s="5" t="s">
        <v>1815</v>
      </c>
      <c r="E13968" s="8" t="s">
        <v>296</v>
      </c>
      <c r="F13968" s="5" t="s">
        <v>297</v>
      </c>
      <c r="G13968" s="6" t="str">
        <f>VLOOKUP(E13968,dicionario!$A$1:$C14368,2,0)</f>
        <v>Richardia brasiliensis</v>
      </c>
      <c r="H13968" s="6" t="str">
        <f>VLOOKUP(E13968,dicionario!$A$1:$C14368,3,0)</f>
        <v>poaia-branca</v>
      </c>
    </row>
    <row r="13969">
      <c r="A13969" s="3">
        <v>45911.0</v>
      </c>
      <c r="B13969" s="4">
        <v>0.29444444444444445</v>
      </c>
      <c r="C13969" s="5" t="s">
        <v>1821</v>
      </c>
      <c r="D13969" s="5" t="s">
        <v>1815</v>
      </c>
      <c r="E13969" s="6" t="s">
        <v>113</v>
      </c>
      <c r="F13969" s="5" t="s">
        <v>114</v>
      </c>
      <c r="G13969" s="6" t="str">
        <f>VLOOKUP(E13969,dicionario!$A$1:$C14369,2,0)</f>
        <v>Columbina talpacoti</v>
      </c>
      <c r="H13969" s="6" t="str">
        <f>VLOOKUP(E13969,dicionario!$A$1:$C14369,3,0)</f>
        <v>rolinha-roxa</v>
      </c>
    </row>
    <row r="13970">
      <c r="A13970" s="3">
        <v>45911.0</v>
      </c>
      <c r="B13970" s="4">
        <v>0.29444444444444445</v>
      </c>
      <c r="C13970" s="5" t="s">
        <v>1821</v>
      </c>
      <c r="D13970" s="5" t="s">
        <v>1815</v>
      </c>
      <c r="E13970" s="8" t="s">
        <v>200</v>
      </c>
      <c r="F13970" s="5" t="s">
        <v>201</v>
      </c>
      <c r="G13970" s="6" t="str">
        <f>VLOOKUP(E13970,dicionario!$A$1:$C14370,2,0)</f>
        <v>Columbina picui </v>
      </c>
      <c r="H13970" s="6" t="str">
        <f>VLOOKUP(E13970,dicionario!$A$1:$C14370,3,0)</f>
        <v>rolinha-picuí</v>
      </c>
    </row>
    <row r="13971">
      <c r="A13971" s="3">
        <v>45911.0</v>
      </c>
      <c r="B13971" s="4">
        <v>0.29444444444444445</v>
      </c>
      <c r="C13971" s="5" t="s">
        <v>1821</v>
      </c>
      <c r="D13971" s="5" t="s">
        <v>1815</v>
      </c>
      <c r="E13971" s="6" t="s">
        <v>175</v>
      </c>
      <c r="F13971" s="5" t="s">
        <v>176</v>
      </c>
      <c r="G13971" s="6" t="str">
        <f>VLOOKUP(E13971,dicionario!$A$1:$C14371,2,0)</f>
        <v>Turdus leucomelas</v>
      </c>
      <c r="H13971" s="6" t="str">
        <f>VLOOKUP(E13971,dicionario!$A$1:$C14371,3,0)</f>
        <v>sabiá-barranco</v>
      </c>
    </row>
    <row r="13972">
      <c r="A13972" s="3">
        <v>45911.0</v>
      </c>
      <c r="B13972" s="4">
        <v>0.29444444444444445</v>
      </c>
      <c r="C13972" s="5" t="s">
        <v>1821</v>
      </c>
      <c r="D13972" s="5" t="s">
        <v>1815</v>
      </c>
      <c r="E13972" s="8" t="s">
        <v>719</v>
      </c>
      <c r="F13972" s="5" t="s">
        <v>911</v>
      </c>
      <c r="G13972" s="6" t="str">
        <f>VLOOKUP(E13972,dicionario!$A$1:$C14372,2,0)</f>
        <v>Dirinaria</v>
      </c>
      <c r="H13972" s="6" t="str">
        <f>VLOOKUP(E13972,dicionario!$A$1:$C14372,3,0)</f>
        <v>líquen-crostoso</v>
      </c>
    </row>
    <row r="13973">
      <c r="A13973" s="3">
        <v>45911.0</v>
      </c>
      <c r="B13973" s="4">
        <v>0.29444444444444445</v>
      </c>
      <c r="C13973" s="5" t="s">
        <v>1821</v>
      </c>
      <c r="D13973" s="5" t="s">
        <v>1815</v>
      </c>
      <c r="E13973" s="8" t="s">
        <v>712</v>
      </c>
      <c r="F13973" s="5" t="s">
        <v>912</v>
      </c>
      <c r="G13973" s="6" t="str">
        <f>VLOOKUP(E13973,dicionario!$A$1:$C14373,2,0)</f>
        <v>Flavopunctelia soredica</v>
      </c>
      <c r="H13973" s="6" t="str">
        <f>VLOOKUP(E13973,dicionario!$A$1:$C14373,3,0)</f>
        <v>líquen-folioso</v>
      </c>
    </row>
    <row r="13974">
      <c r="A13974" s="3">
        <v>45911.0</v>
      </c>
      <c r="B13974" s="4">
        <v>0.29583333333333334</v>
      </c>
      <c r="C13974" s="5" t="s">
        <v>1821</v>
      </c>
      <c r="D13974" s="5" t="s">
        <v>1815</v>
      </c>
      <c r="E13974" s="8" t="s">
        <v>107</v>
      </c>
      <c r="F13974" s="5" t="s">
        <v>834</v>
      </c>
      <c r="G13974" s="6" t="str">
        <f>VLOOKUP(E13974,dicionario!$A$1:$C14374,2,0)</f>
        <v>Ramalina complanata</v>
      </c>
      <c r="H13974" s="6" t="str">
        <f>VLOOKUP(E13974,dicionario!$A$1:$C14374,3,0)</f>
        <v>ramalina</v>
      </c>
    </row>
    <row r="13975">
      <c r="A13975" s="3">
        <v>45911.0</v>
      </c>
      <c r="B13975" s="4">
        <v>0.29583333333333334</v>
      </c>
      <c r="C13975" s="5" t="s">
        <v>1821</v>
      </c>
      <c r="D13975" s="5" t="s">
        <v>1815</v>
      </c>
      <c r="E13975" s="53" t="s">
        <v>1680</v>
      </c>
      <c r="F13975" s="5" t="s">
        <v>1822</v>
      </c>
      <c r="G13975" s="6" t="str">
        <f>VLOOKUP(E13975,dicionario!$A$1:$C14375,2,0)</f>
        <v>Xanthoria parietina</v>
      </c>
      <c r="H13975" s="6" t="str">
        <f>VLOOKUP(E13975,dicionario!$A$1:$C14375,3,0)</f>
        <v>líquen-amarelo</v>
      </c>
    </row>
    <row r="13976">
      <c r="A13976" s="3">
        <v>45911.0</v>
      </c>
      <c r="B13976" s="4">
        <v>0.29583333333333334</v>
      </c>
      <c r="C13976" s="5" t="s">
        <v>1821</v>
      </c>
      <c r="D13976" s="5" t="s">
        <v>1815</v>
      </c>
      <c r="E13976" s="6" t="s">
        <v>65</v>
      </c>
      <c r="F13976" s="5" t="s">
        <v>66</v>
      </c>
      <c r="G13976" s="6" t="str">
        <f>VLOOKUP(E13976,dicionario!$A$1:$C14376,2,0)</f>
        <v>Pitangus sulphutarus</v>
      </c>
      <c r="H13976" s="6" t="str">
        <f>VLOOKUP(E13976,dicionario!$A$1:$C14376,3,0)</f>
        <v>bem-te-vi</v>
      </c>
    </row>
    <row r="13977">
      <c r="A13977" s="3">
        <v>45911.0</v>
      </c>
      <c r="B13977" s="4">
        <v>0.29583333333333334</v>
      </c>
      <c r="C13977" s="5" t="s">
        <v>1821</v>
      </c>
      <c r="D13977" s="5" t="s">
        <v>1815</v>
      </c>
      <c r="E13977" s="8" t="s">
        <v>338</v>
      </c>
      <c r="F13977" s="5" t="s">
        <v>238</v>
      </c>
      <c r="G13977" s="6" t="str">
        <f>VLOOKUP(E13977,dicionario!$A$1:$C14377,2,0)</f>
        <v>Atta</v>
      </c>
      <c r="H13977" s="6" t="str">
        <f>VLOOKUP(E13977,dicionario!$A$1:$C14377,3,0)</f>
        <v>saúva</v>
      </c>
    </row>
    <row r="13978">
      <c r="A13978" s="3">
        <v>45911.0</v>
      </c>
      <c r="B13978" s="4">
        <v>0.29583333333333334</v>
      </c>
      <c r="C13978" s="5" t="s">
        <v>1821</v>
      </c>
      <c r="D13978" s="5" t="s">
        <v>1815</v>
      </c>
      <c r="E13978" s="6" t="s">
        <v>88</v>
      </c>
      <c r="F13978" s="5" t="s">
        <v>89</v>
      </c>
      <c r="G13978" s="6" t="str">
        <f>VLOOKUP(E13978,dicionario!$A$1:$C14378,2,0)</f>
        <v>Tyrannus melancolichus</v>
      </c>
      <c r="H13978" s="6" t="str">
        <f>VLOOKUP(E13978,dicionario!$A$1:$C14378,3,0)</f>
        <v>suiriri</v>
      </c>
    </row>
    <row r="13979">
      <c r="A13979" s="3">
        <v>45911.0</v>
      </c>
      <c r="B13979" s="4">
        <v>0.29583333333333334</v>
      </c>
      <c r="C13979" s="5" t="s">
        <v>1821</v>
      </c>
      <c r="D13979" s="5" t="s">
        <v>1815</v>
      </c>
      <c r="E13979" s="8" t="s">
        <v>1282</v>
      </c>
      <c r="F13979" s="5" t="s">
        <v>778</v>
      </c>
      <c r="G13979" s="6" t="str">
        <f>VLOOKUP(E13979,dicionario!$A$1:$C14379,2,0)</f>
        <v>#N/A</v>
      </c>
      <c r="H13979" s="6" t="str">
        <f>VLOOKUP(E13979,dicionario!$A$1:$C14379,3,0)</f>
        <v>#N/A</v>
      </c>
    </row>
    <row r="13980">
      <c r="A13980" s="3">
        <v>45911.0</v>
      </c>
      <c r="B13980" s="4">
        <v>0.29583333333333334</v>
      </c>
      <c r="C13980" s="5" t="s">
        <v>1821</v>
      </c>
      <c r="D13980" s="5" t="s">
        <v>1815</v>
      </c>
      <c r="E13980" s="8" t="s">
        <v>109</v>
      </c>
      <c r="F13980" s="5" t="s">
        <v>110</v>
      </c>
      <c r="G13980" s="6" t="str">
        <f>VLOOKUP(E13980,dicionario!$A$1:$C14380,2,0)</f>
        <v>Tillandsia stricta</v>
      </c>
      <c r="H13980" s="6" t="str">
        <f>VLOOKUP(E13980,dicionario!$A$1:$C14380,3,0)</f>
        <v>cravo-do-mato</v>
      </c>
    </row>
    <row r="13981">
      <c r="A13981" s="3">
        <v>45911.0</v>
      </c>
      <c r="B13981" s="4">
        <v>0.2972222222222222</v>
      </c>
      <c r="C13981" s="5" t="s">
        <v>1821</v>
      </c>
      <c r="D13981" s="5" t="s">
        <v>1815</v>
      </c>
      <c r="E13981" s="8" t="s">
        <v>223</v>
      </c>
      <c r="F13981" s="5"/>
      <c r="G13981" s="6" t="str">
        <f>VLOOKUP(E13981,dicionario!$A$1:$C14381,2,0)</f>
        <v>Rhipsalis lindbergiana</v>
      </c>
      <c r="H13981" s="6" t="str">
        <f>VLOOKUP(E13981,dicionario!$A$1:$C14381,3,0)</f>
        <v>cacto-macarrão</v>
      </c>
    </row>
    <row r="13982">
      <c r="A13982" s="3">
        <v>45911.0</v>
      </c>
      <c r="B13982" s="4">
        <v>0.2972222222222222</v>
      </c>
      <c r="C13982" s="5" t="s">
        <v>1821</v>
      </c>
      <c r="D13982" s="5" t="s">
        <v>1815</v>
      </c>
      <c r="E13982" s="6" t="s">
        <v>122</v>
      </c>
      <c r="F13982" s="5" t="s">
        <v>123</v>
      </c>
      <c r="G13982" s="6" t="str">
        <f>VLOOKUP(E13982,dicionario!$A$1:$C14382,2,0)</f>
        <v>Todirostrum cinereum</v>
      </c>
      <c r="H13982" s="6" t="str">
        <f>VLOOKUP(E13982,dicionario!$A$1:$C14382,3,0)</f>
        <v>ferreirinho-relógio</v>
      </c>
    </row>
    <row r="13983">
      <c r="A13983" s="3">
        <v>45911.0</v>
      </c>
      <c r="B13983" s="4">
        <v>0.2986111111111111</v>
      </c>
      <c r="C13983" s="5" t="s">
        <v>1821</v>
      </c>
      <c r="D13983" s="5" t="s">
        <v>1815</v>
      </c>
      <c r="E13983" s="6" t="s">
        <v>154</v>
      </c>
      <c r="F13983" s="5" t="s">
        <v>155</v>
      </c>
      <c r="G13983" s="6" t="str">
        <f>VLOOKUP(E13983,dicionario!$A$1:$C14383,2,0)</f>
        <v>Cyperus rotundus</v>
      </c>
      <c r="H13983" s="6" t="str">
        <f>VLOOKUP(E13983,dicionario!$A$1:$C14383,3,0)</f>
        <v>tiririca</v>
      </c>
    </row>
    <row r="13984">
      <c r="A13984" s="3">
        <v>45911.0</v>
      </c>
      <c r="B13984" s="4">
        <v>0.2986111111111111</v>
      </c>
      <c r="C13984" s="5" t="s">
        <v>1821</v>
      </c>
      <c r="D13984" s="5" t="s">
        <v>1815</v>
      </c>
      <c r="E13984" s="8" t="s">
        <v>498</v>
      </c>
      <c r="F13984" s="5" t="s">
        <v>499</v>
      </c>
      <c r="G13984" s="6" t="str">
        <f>VLOOKUP(E13984,dicionario!$A$1:$C14384,2,0)</f>
        <v>Brachiaria decumbens</v>
      </c>
      <c r="H13984" s="6" t="str">
        <f>VLOOKUP(E13984,dicionario!$A$1:$C14384,3,0)</f>
        <v>capim-braquiária</v>
      </c>
    </row>
    <row r="13985">
      <c r="A13985" s="3">
        <v>45911.0</v>
      </c>
      <c r="B13985" s="4">
        <v>0.2986111111111111</v>
      </c>
      <c r="C13985" s="5" t="s">
        <v>1821</v>
      </c>
      <c r="D13985" s="5" t="s">
        <v>1815</v>
      </c>
      <c r="E13985" s="8" t="s">
        <v>38</v>
      </c>
      <c r="F13985" s="5" t="s">
        <v>1672</v>
      </c>
      <c r="G13985" s="6" t="str">
        <f>VLOOKUP(E13985,dicionario!$A$1:$C14385,2,0)</f>
        <v>Troglodytes musculus</v>
      </c>
      <c r="H13985" s="6" t="str">
        <f>VLOOKUP(E13985,dicionario!$A$1:$C14385,3,0)</f>
        <v>curruíra</v>
      </c>
    </row>
    <row r="13986">
      <c r="A13986" s="3">
        <v>45911.0</v>
      </c>
      <c r="B13986" s="4">
        <v>0.3</v>
      </c>
      <c r="C13986" s="5" t="s">
        <v>1821</v>
      </c>
      <c r="D13986" s="5" t="s">
        <v>1815</v>
      </c>
      <c r="E13986" s="6" t="s">
        <v>22</v>
      </c>
      <c r="F13986" s="5" t="s">
        <v>97</v>
      </c>
      <c r="G13986" s="6" t="str">
        <f>VLOOKUP(E13986,dicionario!$A$1:$C14386,2,0)</f>
        <v>Zenaida auriculata</v>
      </c>
      <c r="H13986" s="6" t="str">
        <f>VLOOKUP(E13986,dicionario!$A$1:$C14386,3,0)</f>
        <v>pomba-de-bando; avoante</v>
      </c>
    </row>
    <row r="13987">
      <c r="A13987" s="3">
        <v>45911.0</v>
      </c>
      <c r="B13987" s="4">
        <v>0.3</v>
      </c>
      <c r="C13987" s="5" t="s">
        <v>1821</v>
      </c>
      <c r="D13987" s="5" t="s">
        <v>1815</v>
      </c>
      <c r="E13987" s="6" t="s">
        <v>55</v>
      </c>
      <c r="F13987" s="5" t="s">
        <v>773</v>
      </c>
      <c r="G13987" s="6" t="str">
        <f>VLOOKUP(E13987,dicionario!$A$1:$C14387,2,0)</f>
        <v>Cubaris murina</v>
      </c>
      <c r="H13987" s="6" t="str">
        <f>VLOOKUP(E13987,dicionario!$A$1:$C14387,3,0)</f>
        <v>tatuzinho-de-jardim</v>
      </c>
    </row>
    <row r="13988">
      <c r="A13988" s="3">
        <v>45911.0</v>
      </c>
      <c r="B13988" s="4">
        <v>0.3</v>
      </c>
      <c r="C13988" s="5" t="s">
        <v>1821</v>
      </c>
      <c r="D13988" s="5" t="s">
        <v>1815</v>
      </c>
      <c r="E13988" s="6" t="s">
        <v>57</v>
      </c>
      <c r="F13988" s="5" t="s">
        <v>559</v>
      </c>
      <c r="G13988" s="6" t="str">
        <f>VLOOKUP(E13988,dicionario!$A$1:$C14388,2,0)</f>
        <v>Juliformia</v>
      </c>
      <c r="H13988" s="6" t="str">
        <f>VLOOKUP(E13988,dicionario!$A$1:$C14388,3,0)</f>
        <v>gongolo; maria-café</v>
      </c>
    </row>
    <row r="13989">
      <c r="A13989" s="3">
        <v>45911.0</v>
      </c>
      <c r="B13989" s="4">
        <v>0.3</v>
      </c>
      <c r="C13989" s="5" t="s">
        <v>1821</v>
      </c>
      <c r="D13989" s="5" t="s">
        <v>1815</v>
      </c>
      <c r="E13989" s="53" t="s">
        <v>1175</v>
      </c>
      <c r="F13989" s="5" t="s">
        <v>1738</v>
      </c>
      <c r="G13989" s="6" t="str">
        <f>VLOOKUP(E13989,dicionario!$A$1:$C14389,2,0)</f>
        <v>Danaus erippus</v>
      </c>
      <c r="H13989" s="6" t="str">
        <f>VLOOKUP(E13989,dicionario!$A$1:$C14389,3,0)</f>
        <v>borboleta-monarca-do-sul</v>
      </c>
    </row>
    <row r="13990">
      <c r="A13990" s="3">
        <v>45911.0</v>
      </c>
      <c r="B13990" s="4">
        <v>0.3020833333333333</v>
      </c>
      <c r="C13990" s="5" t="s">
        <v>59</v>
      </c>
      <c r="D13990" s="5" t="s">
        <v>1815</v>
      </c>
      <c r="E13990" s="6" t="s">
        <v>53</v>
      </c>
      <c r="F13990" s="5" t="s">
        <v>54</v>
      </c>
      <c r="G13990" s="6" t="str">
        <f>VLOOKUP(E13990,dicionario!$A$1:$C14390,2,0)</f>
        <v>Turnera subulata</v>
      </c>
      <c r="H13990" s="6" t="str">
        <f>VLOOKUP(E13990,dicionario!$A$1:$C14390,3,0)</f>
        <v>xanana</v>
      </c>
    </row>
    <row r="13991">
      <c r="A13991" s="3">
        <v>45911.0</v>
      </c>
      <c r="B13991" s="4">
        <v>0.3020833333333333</v>
      </c>
      <c r="C13991" s="5" t="s">
        <v>59</v>
      </c>
      <c r="D13991" s="5" t="s">
        <v>1815</v>
      </c>
      <c r="E13991" s="8" t="s">
        <v>135</v>
      </c>
      <c r="F13991" s="5" t="s">
        <v>136</v>
      </c>
      <c r="G13991" s="6" t="str">
        <f>VLOOKUP(E13991,dicionario!$A$1:$C14391,2,0)</f>
        <v>Tridax procumbens</v>
      </c>
      <c r="H13991" s="6" t="str">
        <f>VLOOKUP(E13991,dicionario!$A$1:$C14391,3,0)</f>
        <v>erva-de-touro</v>
      </c>
    </row>
    <row r="13992">
      <c r="A13992" s="3">
        <v>45911.0</v>
      </c>
      <c r="B13992" s="4">
        <v>0.3020833333333333</v>
      </c>
      <c r="C13992" s="5" t="s">
        <v>59</v>
      </c>
      <c r="D13992" s="5" t="s">
        <v>1815</v>
      </c>
      <c r="E13992" s="6" t="s">
        <v>227</v>
      </c>
      <c r="F13992" s="5" t="s">
        <v>228</v>
      </c>
      <c r="G13992" s="6" t="str">
        <f>VLOOKUP(E13992,dicionario!$A$1:$C14392,2,0)</f>
        <v>Indigofera hirsuta</v>
      </c>
      <c r="H13992" s="6" t="str">
        <f>VLOOKUP(E13992,dicionario!$A$1:$C14392,3,0)</f>
        <v>anileira</v>
      </c>
    </row>
    <row r="13993">
      <c r="A13993" s="3">
        <v>45911.0</v>
      </c>
      <c r="B13993" s="4">
        <v>0.3020833333333333</v>
      </c>
      <c r="C13993" s="5" t="s">
        <v>59</v>
      </c>
      <c r="D13993" s="5" t="s">
        <v>1815</v>
      </c>
      <c r="E13993" s="8" t="s">
        <v>1167</v>
      </c>
      <c r="F13993" s="5" t="s">
        <v>1598</v>
      </c>
      <c r="G13993" s="6" t="str">
        <f>VLOOKUP(E13993,dicionario!$A$1:$C14393,2,0)</f>
        <v>Tillandsia recurvata</v>
      </c>
      <c r="H13993" s="6" t="str">
        <f>VLOOKUP(E13993,dicionario!$A$1:$C14393,3,0)</f>
        <v>cravo-do-mato sp2</v>
      </c>
    </row>
    <row r="13994">
      <c r="A13994" s="3">
        <v>45911.0</v>
      </c>
      <c r="B13994" s="4">
        <v>0.3020833333333333</v>
      </c>
      <c r="C13994" s="5" t="s">
        <v>59</v>
      </c>
      <c r="D13994" s="5" t="s">
        <v>1815</v>
      </c>
      <c r="E13994" s="65" t="s">
        <v>1632</v>
      </c>
      <c r="F13994" s="5" t="s">
        <v>1633</v>
      </c>
      <c r="G13994" s="6" t="str">
        <f>VLOOKUP(E13994,dicionario!$A$1:$C14394,2,0)</f>
        <v>Tillandsia loliacea</v>
      </c>
      <c r="H13994" s="6" t="str">
        <f>VLOOKUP(E13994,dicionario!$A$1:$C14394,3,0)</f>
        <v>cravo-do-mato sp4</v>
      </c>
    </row>
    <row r="13995">
      <c r="A13995" s="3">
        <v>45911.0</v>
      </c>
      <c r="B13995" s="4">
        <v>0.3020833333333333</v>
      </c>
      <c r="C13995" s="5" t="s">
        <v>59</v>
      </c>
      <c r="D13995" s="5" t="s">
        <v>1815</v>
      </c>
      <c r="E13995" s="65" t="s">
        <v>1691</v>
      </c>
      <c r="F13995" s="61" t="s">
        <v>1692</v>
      </c>
      <c r="G13995" s="6" t="str">
        <f>VLOOKUP(E13995,dicionario!$A$1:$C14395,2,0)</f>
        <v>Tillandsia gardneri</v>
      </c>
      <c r="H13995" s="6" t="str">
        <f>VLOOKUP(E13995,dicionario!$A$1:$C14395,3,0)</f>
        <v>cravo-do-mato sp5</v>
      </c>
    </row>
    <row r="13996">
      <c r="A13996" s="3">
        <v>45911.0</v>
      </c>
      <c r="B13996" s="4">
        <v>0.30486111111111114</v>
      </c>
      <c r="C13996" s="5" t="s">
        <v>59</v>
      </c>
      <c r="D13996" s="5" t="s">
        <v>1815</v>
      </c>
      <c r="E13996" s="8" t="s">
        <v>146</v>
      </c>
      <c r="F13996" s="5" t="s">
        <v>147</v>
      </c>
      <c r="G13996" s="6" t="str">
        <f>VLOOKUP(E13996,dicionario!$A$1:$C14396,2,0)</f>
        <v>Euphorbia hirta</v>
      </c>
      <c r="H13996" s="6" t="str">
        <f>VLOOKUP(E13996,dicionario!$A$1:$C14396,3,0)</f>
        <v>erva-de-santa-luzia</v>
      </c>
    </row>
    <row r="13997">
      <c r="A13997" s="3">
        <v>45911.0</v>
      </c>
      <c r="B13997" s="4">
        <v>0.30486111111111114</v>
      </c>
      <c r="C13997" s="5" t="s">
        <v>59</v>
      </c>
      <c r="D13997" s="5" t="s">
        <v>1815</v>
      </c>
      <c r="E13997" s="6" t="s">
        <v>353</v>
      </c>
      <c r="F13997" s="5" t="s">
        <v>354</v>
      </c>
      <c r="G13997" s="6" t="str">
        <f>VLOOKUP(E13997,dicionario!$A$1:$C14397,2,0)</f>
        <v>Desmodium incanum</v>
      </c>
      <c r="H13997" s="6" t="str">
        <f>VLOOKUP(E13997,dicionario!$A$1:$C14397,3,0)</f>
        <v>pega-pega</v>
      </c>
    </row>
    <row r="13998">
      <c r="A13998" s="3">
        <v>45911.0</v>
      </c>
      <c r="B13998" s="4">
        <v>0.30486111111111114</v>
      </c>
      <c r="C13998" s="5" t="s">
        <v>59</v>
      </c>
      <c r="D13998" s="5" t="s">
        <v>1815</v>
      </c>
      <c r="E13998" s="6" t="s">
        <v>154</v>
      </c>
      <c r="F13998" s="5" t="s">
        <v>155</v>
      </c>
      <c r="G13998" s="6" t="str">
        <f>VLOOKUP(E13998,dicionario!$A$1:$C14398,2,0)</f>
        <v>Cyperus rotundus</v>
      </c>
      <c r="H13998" s="6" t="str">
        <f>VLOOKUP(E13998,dicionario!$A$1:$C14398,3,0)</f>
        <v>tiririca</v>
      </c>
    </row>
    <row r="13999">
      <c r="A13999" s="3">
        <v>45911.0</v>
      </c>
      <c r="B13999" s="4">
        <v>0.30486111111111114</v>
      </c>
      <c r="C13999" s="5" t="s">
        <v>59</v>
      </c>
      <c r="D13999" s="5" t="s">
        <v>1815</v>
      </c>
      <c r="E13999" s="8" t="s">
        <v>298</v>
      </c>
      <c r="F13999" s="5"/>
      <c r="G13999" s="6" t="str">
        <f>VLOOKUP(E13999,dicionario!$A$1:$C14399,2,0)</f>
        <v>Alysicarpus vaginalis</v>
      </c>
      <c r="H13999" s="6" t="str">
        <f>VLOOKUP(E13999,dicionario!$A$1:$C14399,3,0)</f>
        <v/>
      </c>
    </row>
    <row r="14000">
      <c r="A14000" s="3">
        <v>45911.0</v>
      </c>
      <c r="B14000" s="4">
        <v>0.30486111111111114</v>
      </c>
      <c r="C14000" s="5" t="s">
        <v>59</v>
      </c>
      <c r="D14000" s="5" t="s">
        <v>1815</v>
      </c>
      <c r="E14000" s="53" t="s">
        <v>1823</v>
      </c>
      <c r="F14000" s="5" t="s">
        <v>1824</v>
      </c>
      <c r="G14000" s="6" t="str">
        <f>VLOOKUP(E14000,dicionario!$A$1:$C14400,2,0)</f>
        <v>#N/A</v>
      </c>
      <c r="H14000" s="6" t="str">
        <f>VLOOKUP(E14000,dicionario!$A$1:$C14400,3,0)</f>
        <v>#N/A</v>
      </c>
    </row>
    <row r="14001">
      <c r="A14001" s="3">
        <v>45911.0</v>
      </c>
      <c r="B14001" s="4">
        <v>0.30486111111111114</v>
      </c>
      <c r="C14001" s="5" t="s">
        <v>59</v>
      </c>
      <c r="D14001" s="5" t="s">
        <v>1815</v>
      </c>
      <c r="E14001" s="8" t="s">
        <v>262</v>
      </c>
      <c r="F14001" s="5" t="s">
        <v>263</v>
      </c>
      <c r="G14001" s="6" t="str">
        <f>VLOOKUP(E14001,dicionario!$A$1:$C14401,2,0)</f>
        <v>Portulaca oleracea</v>
      </c>
      <c r="H14001" s="6" t="str">
        <f>VLOOKUP(E14001,dicionario!$A$1:$C14401,3,0)</f>
        <v>beldroega</v>
      </c>
    </row>
    <row r="14002">
      <c r="A14002" s="3">
        <v>45911.0</v>
      </c>
      <c r="B14002" s="4">
        <v>0.3055555555555556</v>
      </c>
      <c r="C14002" s="5" t="s">
        <v>59</v>
      </c>
      <c r="D14002" s="5" t="s">
        <v>1815</v>
      </c>
      <c r="E14002" s="6" t="s">
        <v>286</v>
      </c>
      <c r="F14002" s="5" t="s">
        <v>287</v>
      </c>
      <c r="G14002" s="6" t="str">
        <f>VLOOKUP(E14002,dicionario!$A$1:$C14402,2,0)</f>
        <v>Setaria parviflora</v>
      </c>
      <c r="H14002" s="6" t="str">
        <f>VLOOKUP(E14002,dicionario!$A$1:$C14402,3,0)</f>
        <v>capim-rabo-de-raposa</v>
      </c>
    </row>
    <row r="14003">
      <c r="A14003" s="3">
        <v>45911.0</v>
      </c>
      <c r="B14003" s="4">
        <v>0.3055555555555556</v>
      </c>
      <c r="C14003" s="5" t="s">
        <v>59</v>
      </c>
      <c r="D14003" s="5" t="s">
        <v>1815</v>
      </c>
      <c r="E14003" s="8" t="s">
        <v>712</v>
      </c>
      <c r="F14003" s="5" t="s">
        <v>912</v>
      </c>
      <c r="G14003" s="6" t="str">
        <f>VLOOKUP(E14003,dicionario!$A$1:$C14403,2,0)</f>
        <v>Flavopunctelia soredica</v>
      </c>
      <c r="H14003" s="6" t="str">
        <f>VLOOKUP(E14003,dicionario!$A$1:$C14403,3,0)</f>
        <v>líquen-folioso</v>
      </c>
    </row>
    <row r="14004">
      <c r="A14004" s="3">
        <v>45911.0</v>
      </c>
      <c r="B14004" s="4">
        <v>0.3055555555555556</v>
      </c>
      <c r="C14004" s="5" t="s">
        <v>59</v>
      </c>
      <c r="D14004" s="5" t="s">
        <v>1815</v>
      </c>
      <c r="E14004" s="8" t="s">
        <v>719</v>
      </c>
      <c r="F14004" s="5" t="s">
        <v>911</v>
      </c>
      <c r="G14004" s="6" t="str">
        <f>VLOOKUP(E14004,dicionario!$A$1:$C14404,2,0)</f>
        <v>Dirinaria</v>
      </c>
      <c r="H14004" s="6" t="str">
        <f>VLOOKUP(E14004,dicionario!$A$1:$C14404,3,0)</f>
        <v>líquen-crostoso</v>
      </c>
    </row>
    <row r="14005">
      <c r="A14005" s="3">
        <v>45911.0</v>
      </c>
      <c r="B14005" s="4">
        <v>0.3055555555555556</v>
      </c>
      <c r="C14005" s="5" t="s">
        <v>59</v>
      </c>
      <c r="D14005" s="5" t="s">
        <v>1815</v>
      </c>
      <c r="E14005" s="8" t="s">
        <v>107</v>
      </c>
      <c r="F14005" s="5" t="s">
        <v>834</v>
      </c>
      <c r="G14005" s="6" t="str">
        <f>VLOOKUP(E14005,dicionario!$A$1:$C14405,2,0)</f>
        <v>Ramalina complanata</v>
      </c>
      <c r="H14005" s="6" t="str">
        <f>VLOOKUP(E14005,dicionario!$A$1:$C14405,3,0)</f>
        <v>ramalina</v>
      </c>
    </row>
    <row r="14006">
      <c r="A14006" s="3">
        <v>45911.0</v>
      </c>
      <c r="B14006" s="4">
        <v>0.30625</v>
      </c>
      <c r="C14006" s="5" t="s">
        <v>59</v>
      </c>
      <c r="D14006" s="5" t="s">
        <v>1815</v>
      </c>
      <c r="E14006" s="8" t="s">
        <v>38</v>
      </c>
      <c r="F14006" s="5" t="s">
        <v>1672</v>
      </c>
      <c r="G14006" s="6" t="str">
        <f>VLOOKUP(E14006,dicionario!$A$1:$C14406,2,0)</f>
        <v>Troglodytes musculus</v>
      </c>
      <c r="H14006" s="6" t="str">
        <f>VLOOKUP(E14006,dicionario!$A$1:$C14406,3,0)</f>
        <v>curruíra</v>
      </c>
    </row>
    <row r="14007">
      <c r="A14007" s="3">
        <v>45911.0</v>
      </c>
      <c r="B14007" s="4">
        <v>0.30625</v>
      </c>
      <c r="C14007" s="5" t="s">
        <v>59</v>
      </c>
      <c r="D14007" s="5" t="s">
        <v>1815</v>
      </c>
      <c r="E14007" s="6" t="s">
        <v>489</v>
      </c>
      <c r="F14007" s="5" t="s">
        <v>521</v>
      </c>
      <c r="G14007" s="6" t="str">
        <f>VLOOKUP(E14007,dicionario!$A$1:$C14407,2,0)</f>
        <v>Cenchrus echinatus</v>
      </c>
      <c r="H14007" s="6" t="str">
        <f>VLOOKUP(E14007,dicionario!$A$1:$C14407,3,0)</f>
        <v>capim-carrapicho</v>
      </c>
    </row>
    <row r="14008">
      <c r="A14008" s="3">
        <v>45911.0</v>
      </c>
      <c r="B14008" s="4">
        <v>0.30625</v>
      </c>
      <c r="C14008" s="5" t="s">
        <v>59</v>
      </c>
      <c r="D14008" s="5" t="s">
        <v>1815</v>
      </c>
      <c r="E14008" s="8" t="s">
        <v>271</v>
      </c>
      <c r="F14008" s="5" t="s">
        <v>1169</v>
      </c>
      <c r="G14008" s="6" t="str">
        <f>VLOOKUP(E14008,dicionario!$A$1:$C14408,2,0)</f>
        <v>Cyanthillium cinereum</v>
      </c>
      <c r="H14008" s="6" t="str">
        <f>VLOOKUP(E14008,dicionario!$A$1:$C14408,3,0)</f>
        <v>emília</v>
      </c>
    </row>
    <row r="14009">
      <c r="A14009" s="3">
        <v>45911.0</v>
      </c>
      <c r="B14009" s="4">
        <v>0.30625</v>
      </c>
      <c r="C14009" s="5" t="s">
        <v>59</v>
      </c>
      <c r="D14009" s="5" t="s">
        <v>1815</v>
      </c>
      <c r="E14009" s="53" t="s">
        <v>1819</v>
      </c>
      <c r="F14009" s="5" t="s">
        <v>1820</v>
      </c>
      <c r="G14009" s="6" t="str">
        <f>VLOOKUP(E14009,dicionario!$A$1:$C14409,2,0)</f>
        <v>Bystropogon maderensis</v>
      </c>
      <c r="H14009" s="6" t="str">
        <f>VLOOKUP(E14009,dicionario!$A$1:$C14409,3,0)</f>
        <v>quebra-panela </v>
      </c>
    </row>
    <row r="14010">
      <c r="A14010" s="3">
        <v>45911.0</v>
      </c>
      <c r="B14010" s="4">
        <v>0.30625</v>
      </c>
      <c r="C14010" s="5" t="s">
        <v>59</v>
      </c>
      <c r="D14010" s="5" t="s">
        <v>1815</v>
      </c>
      <c r="E14010" s="8" t="s">
        <v>1478</v>
      </c>
      <c r="F14010" s="5" t="s">
        <v>309</v>
      </c>
      <c r="G14010" s="6" t="str">
        <f>VLOOKUP(E14010,dicionario!$A$1:$C14410,2,0)</f>
        <v>Lycosa</v>
      </c>
      <c r="H14010" s="6" t="str">
        <f>VLOOKUP(E14010,dicionario!$A$1:$C14410,3,0)</f>
        <v>aranha-lobo</v>
      </c>
    </row>
    <row r="14011">
      <c r="A14011" s="3">
        <v>45911.0</v>
      </c>
      <c r="B14011" s="4">
        <v>0.30694444444444446</v>
      </c>
      <c r="C14011" s="5" t="s">
        <v>59</v>
      </c>
      <c r="D14011" s="5" t="s">
        <v>1815</v>
      </c>
      <c r="E14011" s="8" t="s">
        <v>20</v>
      </c>
      <c r="F14011" s="5" t="s">
        <v>21</v>
      </c>
      <c r="G14011" s="6" t="str">
        <f>VLOOKUP(E14011,dicionario!$A$1:$C14411,2,0)</f>
        <v>Sicalis flaveola</v>
      </c>
      <c r="H14011" s="6" t="str">
        <f>VLOOKUP(E14011,dicionario!$A$1:$C14411,3,0)</f>
        <v>canário-da-terra</v>
      </c>
    </row>
    <row r="14012">
      <c r="A14012" s="3">
        <v>45911.0</v>
      </c>
      <c r="B14012" s="4">
        <v>0.3076388888888889</v>
      </c>
      <c r="C14012" s="5" t="s">
        <v>59</v>
      </c>
      <c r="D14012" s="5" t="s">
        <v>1815</v>
      </c>
      <c r="E14012" s="8" t="s">
        <v>1798</v>
      </c>
      <c r="F14012" s="7" t="s">
        <v>321</v>
      </c>
      <c r="G14012" s="6" t="str">
        <f>VLOOKUP(E14012,dicionario!$A$1:$C14412,2,0)</f>
        <v>Solenopsis</v>
      </c>
      <c r="H14012" s="6" t="str">
        <f>VLOOKUP(E14012,dicionario!$A$1:$C14412,3,0)</f>
        <v>formiga-quente; formiga-lava-pés; formiga-de-fogo</v>
      </c>
    </row>
    <row r="14013">
      <c r="A14013" s="3">
        <v>45911.0</v>
      </c>
      <c r="B14013" s="4">
        <v>0.3076388888888889</v>
      </c>
      <c r="C14013" s="5" t="s">
        <v>59</v>
      </c>
      <c r="D14013" s="5" t="s">
        <v>1815</v>
      </c>
      <c r="E14013" s="6" t="s">
        <v>227</v>
      </c>
      <c r="F14013" s="5" t="s">
        <v>228</v>
      </c>
      <c r="G14013" s="6" t="str">
        <f>VLOOKUP(E14013,dicionario!$A$1:$C14413,2,0)</f>
        <v>Indigofera hirsuta</v>
      </c>
      <c r="H14013" s="6" t="str">
        <f>VLOOKUP(E14013,dicionario!$A$1:$C14413,3,0)</f>
        <v>anileira</v>
      </c>
    </row>
    <row r="14014">
      <c r="A14014" s="3">
        <v>45911.0</v>
      </c>
      <c r="B14014" s="4">
        <v>0.3076388888888889</v>
      </c>
      <c r="C14014" s="5" t="s">
        <v>59</v>
      </c>
      <c r="D14014" s="5" t="s">
        <v>1815</v>
      </c>
      <c r="E14014" s="6" t="s">
        <v>99</v>
      </c>
      <c r="F14014" s="5" t="s">
        <v>508</v>
      </c>
      <c r="G14014" s="6" t="str">
        <f>VLOOKUP(E14014,dicionario!$A$1:$C14414,2,0)</f>
        <v>Molothrus bonariensis</v>
      </c>
      <c r="H14014" s="6" t="str">
        <f>VLOOKUP(E14014,dicionario!$A$1:$C14414,3,0)</f>
        <v>chupim</v>
      </c>
    </row>
    <row r="14015">
      <c r="A14015" s="3">
        <v>45911.0</v>
      </c>
      <c r="B14015" s="4">
        <v>0.30833333333333335</v>
      </c>
      <c r="C14015" s="5" t="s">
        <v>59</v>
      </c>
      <c r="D14015" s="5" t="s">
        <v>1815</v>
      </c>
      <c r="E14015" s="6" t="s">
        <v>163</v>
      </c>
      <c r="F14015" s="5" t="s">
        <v>164</v>
      </c>
      <c r="G14015" s="6" t="str">
        <f>VLOOKUP(E14015,dicionario!$A$1:$C14415,2,0)</f>
        <v>Coragyps atratus</v>
      </c>
      <c r="H14015" s="6" t="str">
        <f>VLOOKUP(E14015,dicionario!$A$1:$C14415,3,0)</f>
        <v>urubu-de-cabeça-preta</v>
      </c>
    </row>
    <row r="14016">
      <c r="A14016" s="3">
        <v>45911.0</v>
      </c>
      <c r="B14016" s="4">
        <v>0.30833333333333335</v>
      </c>
      <c r="C14016" s="5" t="s">
        <v>59</v>
      </c>
      <c r="D14016" s="5" t="s">
        <v>1815</v>
      </c>
      <c r="E14016" s="6" t="s">
        <v>154</v>
      </c>
      <c r="F14016" s="5" t="s">
        <v>155</v>
      </c>
      <c r="G14016" s="6" t="str">
        <f>VLOOKUP(E14016,dicionario!$A$1:$C14416,2,0)</f>
        <v>Cyperus rotundus</v>
      </c>
      <c r="H14016" s="6" t="str">
        <f>VLOOKUP(E14016,dicionario!$A$1:$C14416,3,0)</f>
        <v>tiririca</v>
      </c>
    </row>
    <row r="14017">
      <c r="A14017" s="3">
        <v>45911.0</v>
      </c>
      <c r="B14017" s="4">
        <v>0.30833333333333335</v>
      </c>
      <c r="C14017" s="5" t="s">
        <v>59</v>
      </c>
      <c r="D14017" s="5" t="s">
        <v>1815</v>
      </c>
      <c r="E14017" s="8" t="s">
        <v>14</v>
      </c>
      <c r="F14017" s="5" t="s">
        <v>15</v>
      </c>
      <c r="G14017" s="6" t="str">
        <f>VLOOKUP(E14017,dicionario!$A$1:$C14417,2,0)</f>
        <v>Spermacoce verticillata</v>
      </c>
      <c r="H14017" s="6" t="str">
        <f>VLOOKUP(E14017,dicionario!$A$1:$C14417,3,0)</f>
        <v>vassourinha-de-botão</v>
      </c>
    </row>
    <row r="14018">
      <c r="A14018" s="3">
        <v>45911.0</v>
      </c>
      <c r="B14018" s="4">
        <v>0.30833333333333335</v>
      </c>
      <c r="C14018" s="5" t="s">
        <v>59</v>
      </c>
      <c r="D14018" s="5" t="s">
        <v>1815</v>
      </c>
      <c r="E14018" s="6" t="s">
        <v>48</v>
      </c>
      <c r="F14018" s="5" t="s">
        <v>49</v>
      </c>
      <c r="G14018" s="6" t="str">
        <f>VLOOKUP(E14018,dicionario!$A$1:$C14418,2,0)</f>
        <v>Commelina erecta</v>
      </c>
      <c r="H14018" s="6" t="str">
        <f>VLOOKUP(E14018,dicionario!$A$1:$C14418,3,0)</f>
        <v>trapoeraba</v>
      </c>
    </row>
    <row r="14019">
      <c r="A14019" s="3">
        <v>45911.0</v>
      </c>
      <c r="B14019" s="4">
        <v>0.3090277777777778</v>
      </c>
      <c r="C14019" s="5" t="s">
        <v>59</v>
      </c>
      <c r="D14019" s="5" t="s">
        <v>1815</v>
      </c>
      <c r="E14019" s="6" t="s">
        <v>253</v>
      </c>
      <c r="F14019" s="5" t="s">
        <v>254</v>
      </c>
      <c r="G14019" s="6" t="str">
        <f>VLOOKUP(E14019,dicionario!$A$1:$C14419,2,0)</f>
        <v>Panicum maximum</v>
      </c>
      <c r="H14019" s="6" t="str">
        <f>VLOOKUP(E14019,dicionario!$A$1:$C14419,3,0)</f>
        <v>capim-colonião</v>
      </c>
    </row>
    <row r="14020">
      <c r="A14020" s="3">
        <v>45911.0</v>
      </c>
      <c r="B14020" s="4">
        <v>0.3090277777777778</v>
      </c>
      <c r="C14020" s="5" t="s">
        <v>59</v>
      </c>
      <c r="D14020" s="5" t="s">
        <v>1815</v>
      </c>
      <c r="E14020" s="8" t="s">
        <v>1127</v>
      </c>
      <c r="F14020" s="5" t="s">
        <v>1286</v>
      </c>
      <c r="G14020" s="6" t="str">
        <f>VLOOKUP(E14020,dicionario!$A$1:$C14420,2,0)</f>
        <v>Albizia lebbeck</v>
      </c>
      <c r="H14020" s="6" t="str">
        <f>VLOOKUP(E14020,dicionario!$A$1:$C14420,3,0)</f>
        <v>albízia</v>
      </c>
    </row>
    <row r="14021">
      <c r="A14021" s="3">
        <v>45911.0</v>
      </c>
      <c r="B14021" s="4">
        <v>0.3090277777777778</v>
      </c>
      <c r="C14021" s="5" t="s">
        <v>59</v>
      </c>
      <c r="D14021" s="5" t="s">
        <v>1815</v>
      </c>
      <c r="E14021" s="8" t="s">
        <v>1671</v>
      </c>
      <c r="F14021" s="5" t="s">
        <v>414</v>
      </c>
      <c r="G14021" s="6" t="str">
        <f>VLOOKUP(E14021,dicionario!$A$1:$C14421,2,0)</f>
        <v>#N/A</v>
      </c>
      <c r="H14021" s="6" t="str">
        <f>VLOOKUP(E14021,dicionario!$A$1:$C14421,3,0)</f>
        <v>#N/A</v>
      </c>
    </row>
    <row r="14022">
      <c r="A14022" s="3">
        <v>45911.0</v>
      </c>
      <c r="B14022" s="4">
        <v>0.30972222222222223</v>
      </c>
      <c r="C14022" s="5" t="s">
        <v>59</v>
      </c>
      <c r="D14022" s="5" t="s">
        <v>1815</v>
      </c>
      <c r="E14022" s="6" t="s">
        <v>213</v>
      </c>
      <c r="F14022" s="5" t="s">
        <v>1573</v>
      </c>
      <c r="G14022" s="6" t="str">
        <f>VLOOKUP(E14022,dicionario!$A$1:$C14422,2,0)</f>
        <v>Myiozetetes similis</v>
      </c>
      <c r="H14022" s="6" t="str">
        <f>VLOOKUP(E14022,dicionario!$A$1:$C14422,3,0)</f>
        <v>bentevizinho-de-penacho-vermelho</v>
      </c>
    </row>
    <row r="14023">
      <c r="A14023" s="3">
        <v>45911.0</v>
      </c>
      <c r="B14023" s="4">
        <v>0.30972222222222223</v>
      </c>
      <c r="C14023" s="5" t="s">
        <v>59</v>
      </c>
      <c r="D14023" s="5" t="s">
        <v>1815</v>
      </c>
      <c r="E14023" s="8" t="s">
        <v>858</v>
      </c>
      <c r="F14023" s="5" t="s">
        <v>859</v>
      </c>
      <c r="G14023" s="6" t="str">
        <f>VLOOKUP(E14023,dicionario!$A$1:$C14423,2,0)</f>
        <v>Rumex obtusifolius</v>
      </c>
      <c r="H14023" s="6" t="str">
        <f>VLOOKUP(E14023,dicionario!$A$1:$C14423,3,0)</f>
        <v>lingua-de-vaca</v>
      </c>
    </row>
    <row r="14024">
      <c r="A14024" s="3">
        <v>45911.0</v>
      </c>
      <c r="B14024" s="4">
        <v>0.30972222222222223</v>
      </c>
      <c r="C14024" s="5" t="s">
        <v>59</v>
      </c>
      <c r="D14024" s="5" t="s">
        <v>1815</v>
      </c>
      <c r="E14024" s="6" t="s">
        <v>122</v>
      </c>
      <c r="F14024" s="5" t="s">
        <v>123</v>
      </c>
      <c r="G14024" s="6" t="str">
        <f>VLOOKUP(E14024,dicionario!$A$1:$C14424,2,0)</f>
        <v>Todirostrum cinereum</v>
      </c>
      <c r="H14024" s="6" t="str">
        <f>VLOOKUP(E14024,dicionario!$A$1:$C14424,3,0)</f>
        <v>ferreirinho-relógio</v>
      </c>
    </row>
    <row r="14025">
      <c r="A14025" s="3">
        <v>45911.0</v>
      </c>
      <c r="B14025" s="4">
        <v>0.3104166666666667</v>
      </c>
      <c r="C14025" s="5" t="s">
        <v>59</v>
      </c>
      <c r="D14025" s="5" t="s">
        <v>1815</v>
      </c>
      <c r="E14025" s="6" t="s">
        <v>22</v>
      </c>
      <c r="F14025" s="5" t="s">
        <v>97</v>
      </c>
      <c r="G14025" s="6" t="str">
        <f>VLOOKUP(E14025,dicionario!$A$1:$C14425,2,0)</f>
        <v>Zenaida auriculata</v>
      </c>
      <c r="H14025" s="6" t="str">
        <f>VLOOKUP(E14025,dicionario!$A$1:$C14425,3,0)</f>
        <v>pomba-de-bando; avoante</v>
      </c>
    </row>
    <row r="14026">
      <c r="A14026" s="3">
        <v>45911.0</v>
      </c>
      <c r="B14026" s="4">
        <v>0.3104166666666667</v>
      </c>
      <c r="C14026" s="5" t="s">
        <v>59</v>
      </c>
      <c r="D14026" s="5" t="s">
        <v>1815</v>
      </c>
      <c r="E14026" s="8" t="s">
        <v>171</v>
      </c>
      <c r="F14026" s="5" t="s">
        <v>172</v>
      </c>
      <c r="G14026" s="6" t="str">
        <f>VLOOKUP(E14026,dicionario!$A$1:$C14426,2,0)</f>
        <v>Oxalis corniculata</v>
      </c>
      <c r="H14026" s="6" t="str">
        <f>VLOOKUP(E14026,dicionario!$A$1:$C14426,3,0)</f>
        <v>trevo-azedinho</v>
      </c>
    </row>
    <row r="14027">
      <c r="A14027" s="3">
        <v>45911.0</v>
      </c>
      <c r="B14027" s="4">
        <v>0.3111111111111111</v>
      </c>
      <c r="C14027" s="5" t="s">
        <v>59</v>
      </c>
      <c r="D14027" s="5" t="s">
        <v>1815</v>
      </c>
      <c r="E14027" s="6" t="s">
        <v>86</v>
      </c>
      <c r="F14027" s="5" t="s">
        <v>502</v>
      </c>
      <c r="G14027" s="6" t="str">
        <f>VLOOKUP(E14027,dicionario!$A$1:$C14427,2,0)</f>
        <v>Coereba flaveola</v>
      </c>
      <c r="H14027" s="6" t="str">
        <f>VLOOKUP(E14027,dicionario!$A$1:$C14427,3,0)</f>
        <v>cambacica</v>
      </c>
    </row>
    <row r="14028">
      <c r="A14028" s="3">
        <v>45911.0</v>
      </c>
      <c r="B14028" s="4">
        <v>0.31180555555555556</v>
      </c>
      <c r="C14028" s="5" t="s">
        <v>59</v>
      </c>
      <c r="D14028" s="5" t="s">
        <v>1815</v>
      </c>
      <c r="E14028" s="8" t="s">
        <v>206</v>
      </c>
      <c r="F14028" s="5" t="s">
        <v>968</v>
      </c>
      <c r="G14028" s="6" t="str">
        <f>VLOOKUP(E14028,dicionario!$A$1:$C14428,2,0)</f>
        <v>Falco sparverius</v>
      </c>
      <c r="H14028" s="6" t="str">
        <f>VLOOKUP(E14028,dicionario!$A$1:$C14428,3,0)</f>
        <v>quiriquiri</v>
      </c>
    </row>
    <row r="14029">
      <c r="A14029" s="3">
        <v>45911.0</v>
      </c>
      <c r="B14029" s="4">
        <v>0.31180555555555556</v>
      </c>
      <c r="C14029" s="5" t="s">
        <v>59</v>
      </c>
      <c r="D14029" s="5" t="s">
        <v>1815</v>
      </c>
      <c r="E14029" s="6" t="s">
        <v>177</v>
      </c>
      <c r="F14029" s="5" t="s">
        <v>178</v>
      </c>
      <c r="G14029" s="6" t="str">
        <f>VLOOKUP(E14029,dicionario!$A$1:$C14429,2,0)</f>
        <v>Elaenia flavogaster</v>
      </c>
      <c r="H14029" s="6" t="str">
        <f>VLOOKUP(E14029,dicionario!$A$1:$C14429,3,0)</f>
        <v>guaracava-de-barriga-amarela</v>
      </c>
    </row>
    <row r="14030">
      <c r="A14030" s="3">
        <v>45911.0</v>
      </c>
      <c r="B14030" s="4">
        <v>0.3125</v>
      </c>
      <c r="C14030" s="5" t="s">
        <v>59</v>
      </c>
      <c r="D14030" s="5" t="s">
        <v>1815</v>
      </c>
      <c r="E14030" s="10" t="s">
        <v>101</v>
      </c>
      <c r="F14030" s="5" t="s">
        <v>102</v>
      </c>
      <c r="G14030" s="6" t="str">
        <f>VLOOKUP(E14030,dicionario!$A$1:$C14430,2,0)</f>
        <v>Nemosia pileata</v>
      </c>
      <c r="H14030" s="6" t="str">
        <f>VLOOKUP(E14030,dicionario!$A$1:$C14430,3,0)</f>
        <v>saíra-de-chapéu-preto</v>
      </c>
    </row>
    <row r="14031">
      <c r="A14031" s="3">
        <v>45911.0</v>
      </c>
      <c r="B14031" s="4">
        <v>0.3125</v>
      </c>
      <c r="C14031" s="5" t="s">
        <v>59</v>
      </c>
      <c r="D14031" s="5" t="s">
        <v>1815</v>
      </c>
      <c r="E14031" s="6" t="s">
        <v>225</v>
      </c>
      <c r="F14031" s="5" t="s">
        <v>226</v>
      </c>
      <c r="G14031" s="6" t="str">
        <f>VLOOKUP(E14031,dicionario!$A$1:$C14431,2,0)</f>
        <v>Passer domesticus</v>
      </c>
      <c r="H14031" s="6" t="str">
        <f>VLOOKUP(E14031,dicionario!$A$1:$C14431,3,0)</f>
        <v>pardal</v>
      </c>
    </row>
    <row r="14032">
      <c r="A14032" s="3">
        <v>45911.0</v>
      </c>
      <c r="B14032" s="4">
        <v>0.3125</v>
      </c>
      <c r="C14032" s="5" t="s">
        <v>59</v>
      </c>
      <c r="D14032" s="5" t="s">
        <v>1815</v>
      </c>
      <c r="E14032" s="6" t="s">
        <v>401</v>
      </c>
      <c r="F14032" s="5" t="s">
        <v>464</v>
      </c>
      <c r="G14032" s="6" t="str">
        <f>VLOOKUP(E14032,dicionario!$A$1:$C14432,2,0)</f>
        <v>Cissus verticillata</v>
      </c>
      <c r="H14032" s="6" t="str">
        <f>VLOOKUP(E14032,dicionario!$A$1:$C14432,3,0)</f>
        <v>uva-do-mato</v>
      </c>
    </row>
    <row r="14033">
      <c r="A14033" s="3">
        <v>45911.0</v>
      </c>
      <c r="B14033" s="4">
        <v>0.3125</v>
      </c>
      <c r="C14033" s="5" t="s">
        <v>59</v>
      </c>
      <c r="D14033" s="5" t="s">
        <v>1815</v>
      </c>
      <c r="E14033" s="6" t="s">
        <v>213</v>
      </c>
      <c r="F14033" s="5" t="s">
        <v>1825</v>
      </c>
      <c r="G14033" s="6" t="str">
        <f>VLOOKUP(E14033,dicionario!$A$1:$C14433,2,0)</f>
        <v>Myiozetetes similis</v>
      </c>
      <c r="H14033" s="6" t="str">
        <f>VLOOKUP(E14033,dicionario!$A$1:$C14433,3,0)</f>
        <v>bentevizinho-de-penacho-vermelho</v>
      </c>
    </row>
    <row r="14034">
      <c r="A14034" s="3">
        <v>45911.0</v>
      </c>
      <c r="B14034" s="4">
        <v>0.3125</v>
      </c>
      <c r="C14034" s="5" t="s">
        <v>59</v>
      </c>
      <c r="D14034" s="5" t="s">
        <v>1815</v>
      </c>
      <c r="E14034" s="8" t="s">
        <v>1344</v>
      </c>
      <c r="F14034" s="5" t="s">
        <v>47</v>
      </c>
      <c r="G14034" s="6" t="str">
        <f>VLOOKUP(E14034,dicionario!$A$1:$C14434,2,0)</f>
        <v>#N/A</v>
      </c>
      <c r="H14034" s="6" t="str">
        <f>VLOOKUP(E14034,dicionario!$A$1:$C14434,3,0)</f>
        <v>#N/A</v>
      </c>
    </row>
    <row r="14035">
      <c r="A14035" s="3">
        <v>45911.0</v>
      </c>
      <c r="B14035" s="4">
        <v>0.31319444444444444</v>
      </c>
      <c r="C14035" s="5" t="s">
        <v>64</v>
      </c>
      <c r="D14035" s="5" t="s">
        <v>1815</v>
      </c>
      <c r="E14035" s="6" t="s">
        <v>290</v>
      </c>
      <c r="F14035" s="5" t="s">
        <v>291</v>
      </c>
      <c r="G14035" s="6" t="str">
        <f>VLOOKUP(E14035,dicionario!$A$1:$C14435,2,0)</f>
        <v>Drymaria cordata</v>
      </c>
      <c r="H14035" s="6" t="str">
        <f>VLOOKUP(E14035,dicionario!$A$1:$C14435,3,0)</f>
        <v>orelha-de-rato</v>
      </c>
    </row>
    <row r="14036">
      <c r="A14036" s="3">
        <v>45911.0</v>
      </c>
      <c r="B14036" s="4">
        <v>0.31319444444444444</v>
      </c>
      <c r="C14036" s="5" t="s">
        <v>64</v>
      </c>
      <c r="D14036" s="5" t="s">
        <v>1815</v>
      </c>
      <c r="E14036" s="6" t="s">
        <v>74</v>
      </c>
      <c r="F14036" s="5" t="s">
        <v>1472</v>
      </c>
      <c r="G14036" s="6" t="str">
        <f>VLOOKUP(E14036,dicionario!$A$1:$C14436,2,0)</f>
        <v>Crotophaga ani</v>
      </c>
      <c r="H14036" s="6" t="str">
        <f>VLOOKUP(E14036,dicionario!$A$1:$C14436,3,0)</f>
        <v>anu-preto</v>
      </c>
    </row>
    <row r="14037">
      <c r="A14037" s="3">
        <v>45911.0</v>
      </c>
      <c r="B14037" s="4">
        <v>0.31319444444444444</v>
      </c>
      <c r="C14037" s="5" t="s">
        <v>64</v>
      </c>
      <c r="D14037" s="5" t="s">
        <v>1815</v>
      </c>
      <c r="E14037" s="8" t="s">
        <v>109</v>
      </c>
      <c r="F14037" s="5" t="s">
        <v>110</v>
      </c>
      <c r="G14037" s="6" t="str">
        <f>VLOOKUP(E14037,dicionario!$A$1:$C14437,2,0)</f>
        <v>Tillandsia stricta</v>
      </c>
      <c r="H14037" s="6" t="str">
        <f>VLOOKUP(E14037,dicionario!$A$1:$C14437,3,0)</f>
        <v>cravo-do-mato</v>
      </c>
    </row>
    <row r="14038">
      <c r="A14038" s="3">
        <v>45911.0</v>
      </c>
      <c r="B14038" s="4">
        <v>0.31319444444444444</v>
      </c>
      <c r="C14038" s="5" t="s">
        <v>64</v>
      </c>
      <c r="D14038" s="5" t="s">
        <v>1815</v>
      </c>
      <c r="E14038" s="6" t="s">
        <v>65</v>
      </c>
      <c r="F14038" s="5" t="s">
        <v>66</v>
      </c>
      <c r="G14038" s="6" t="str">
        <f>VLOOKUP(E14038,dicionario!$A$1:$C14438,2,0)</f>
        <v>Pitangus sulphutarus</v>
      </c>
      <c r="H14038" s="6" t="str">
        <f>VLOOKUP(E14038,dicionario!$A$1:$C14438,3,0)</f>
        <v>bem-te-vi</v>
      </c>
    </row>
    <row r="14039">
      <c r="A14039" s="3">
        <v>45911.0</v>
      </c>
      <c r="B14039" s="4">
        <v>0.3145833333333333</v>
      </c>
      <c r="C14039" s="5" t="s">
        <v>64</v>
      </c>
      <c r="D14039" s="5" t="s">
        <v>1815</v>
      </c>
      <c r="E14039" s="6" t="s">
        <v>253</v>
      </c>
      <c r="F14039" s="5" t="s">
        <v>254</v>
      </c>
      <c r="G14039" s="6" t="str">
        <f>VLOOKUP(E14039,dicionario!$A$1:$C14439,2,0)</f>
        <v>Panicum maximum</v>
      </c>
      <c r="H14039" s="6" t="str">
        <f>VLOOKUP(E14039,dicionario!$A$1:$C14439,3,0)</f>
        <v>capim-colonião</v>
      </c>
    </row>
    <row r="14040">
      <c r="A14040" s="3">
        <v>45911.0</v>
      </c>
      <c r="B14040" s="4">
        <v>0.3145833333333333</v>
      </c>
      <c r="C14040" s="5" t="s">
        <v>64</v>
      </c>
      <c r="D14040" s="5" t="s">
        <v>1815</v>
      </c>
      <c r="E14040" s="6" t="s">
        <v>154</v>
      </c>
      <c r="F14040" s="5" t="s">
        <v>155</v>
      </c>
      <c r="G14040" s="6" t="str">
        <f>VLOOKUP(E14040,dicionario!$A$1:$C14440,2,0)</f>
        <v>Cyperus rotundus</v>
      </c>
      <c r="H14040" s="6" t="str">
        <f>VLOOKUP(E14040,dicionario!$A$1:$C14440,3,0)</f>
        <v>tiririca</v>
      </c>
    </row>
    <row r="14041">
      <c r="A14041" s="3">
        <v>45911.0</v>
      </c>
      <c r="B14041" s="4">
        <v>0.3145833333333333</v>
      </c>
      <c r="C14041" s="5" t="s">
        <v>64</v>
      </c>
      <c r="D14041" s="5" t="s">
        <v>1815</v>
      </c>
      <c r="E14041" s="6" t="s">
        <v>175</v>
      </c>
      <c r="F14041" s="5" t="s">
        <v>176</v>
      </c>
      <c r="G14041" s="6" t="str">
        <f>VLOOKUP(E14041,dicionario!$A$1:$C14441,2,0)</f>
        <v>Turdus leucomelas</v>
      </c>
      <c r="H14041" s="6" t="str">
        <f>VLOOKUP(E14041,dicionario!$A$1:$C14441,3,0)</f>
        <v>sabiá-barranco</v>
      </c>
    </row>
    <row r="14042">
      <c r="A14042" s="3">
        <v>45911.0</v>
      </c>
      <c r="B14042" s="4">
        <v>0.3145833333333333</v>
      </c>
      <c r="C14042" s="5" t="s">
        <v>64</v>
      </c>
      <c r="D14042" s="5" t="s">
        <v>1815</v>
      </c>
      <c r="E14042" s="8" t="s">
        <v>38</v>
      </c>
      <c r="F14042" s="5" t="s">
        <v>1672</v>
      </c>
      <c r="G14042" s="6" t="str">
        <f>VLOOKUP(E14042,dicionario!$A$1:$C14442,2,0)</f>
        <v>Troglodytes musculus</v>
      </c>
      <c r="H14042" s="6" t="str">
        <f>VLOOKUP(E14042,dicionario!$A$1:$C14442,3,0)</f>
        <v>curruíra</v>
      </c>
    </row>
    <row r="14043">
      <c r="A14043" s="3">
        <v>45911.0</v>
      </c>
      <c r="B14043" s="4">
        <v>0.31527777777777777</v>
      </c>
      <c r="C14043" s="5" t="s">
        <v>64</v>
      </c>
      <c r="D14043" s="5" t="s">
        <v>1815</v>
      </c>
      <c r="E14043" s="6" t="s">
        <v>448</v>
      </c>
      <c r="F14043" s="5" t="s">
        <v>462</v>
      </c>
      <c r="G14043" s="6" t="str">
        <f>VLOOKUP(E14043,dicionario!$A$1:$C14443,2,0)</f>
        <v>Mechanitis polymnia</v>
      </c>
      <c r="H14043" s="6" t="str">
        <f>VLOOKUP(E14043,dicionario!$A$1:$C14443,3,0)</f>
        <v>maria-boba</v>
      </c>
    </row>
    <row r="14044">
      <c r="A14044" s="3">
        <v>45911.0</v>
      </c>
      <c r="B14044" s="4">
        <v>0.31527777777777777</v>
      </c>
      <c r="C14044" s="5" t="s">
        <v>64</v>
      </c>
      <c r="D14044" s="5" t="s">
        <v>1815</v>
      </c>
      <c r="E14044" s="8" t="s">
        <v>821</v>
      </c>
      <c r="F14044" s="5" t="s">
        <v>876</v>
      </c>
      <c r="G14044" s="6" t="str">
        <f>VLOOKUP(E14044,dicionario!$A$1:$C14444,2,0)</f>
        <v>Schefflera actinophylla</v>
      </c>
      <c r="H14044" s="6" t="str">
        <f>VLOOKUP(E14044,dicionario!$A$1:$C14444,3,0)</f>
        <v>árvore-guarda-chuva</v>
      </c>
    </row>
    <row r="14045">
      <c r="A14045" s="3">
        <v>45911.0</v>
      </c>
      <c r="B14045" s="4">
        <v>0.31527777777777777</v>
      </c>
      <c r="C14045" s="5" t="s">
        <v>64</v>
      </c>
      <c r="D14045" s="5" t="s">
        <v>1815</v>
      </c>
      <c r="E14045" s="6" t="s">
        <v>251</v>
      </c>
      <c r="F14045" s="5" t="s">
        <v>252</v>
      </c>
      <c r="G14045" s="6" t="str">
        <f>VLOOKUP(E14045,dicionario!$A$1:$C14445,2,0)</f>
        <v>Struthanthus flexicaulis</v>
      </c>
      <c r="H14045" s="6" t="str">
        <f>VLOOKUP(E14045,dicionario!$A$1:$C14445,3,0)</f>
        <v>erva-de-passarinho</v>
      </c>
    </row>
    <row r="14046">
      <c r="A14046" s="3">
        <v>45911.0</v>
      </c>
      <c r="B14046" s="4">
        <v>0.31527777777777777</v>
      </c>
      <c r="C14046" s="5" t="s">
        <v>64</v>
      </c>
      <c r="D14046" s="5" t="s">
        <v>1815</v>
      </c>
      <c r="E14046" s="6" t="s">
        <v>113</v>
      </c>
      <c r="F14046" s="5" t="s">
        <v>114</v>
      </c>
      <c r="G14046" s="6" t="str">
        <f>VLOOKUP(E14046,dicionario!$A$1:$C14446,2,0)</f>
        <v>Columbina talpacoti</v>
      </c>
      <c r="H14046" s="6" t="str">
        <f>VLOOKUP(E14046,dicionario!$A$1:$C14446,3,0)</f>
        <v>rolinha-roxa</v>
      </c>
    </row>
    <row r="14047">
      <c r="A14047" s="3">
        <v>45911.0</v>
      </c>
      <c r="B14047" s="4">
        <v>0.31527777777777777</v>
      </c>
      <c r="C14047" s="5" t="s">
        <v>64</v>
      </c>
      <c r="D14047" s="5" t="s">
        <v>1815</v>
      </c>
      <c r="E14047" s="6" t="s">
        <v>141</v>
      </c>
      <c r="F14047" s="5" t="s">
        <v>142</v>
      </c>
      <c r="G14047" s="6" t="str">
        <f>VLOOKUP(E14047,dicionario!$A$1:$C14447,2,0)</f>
        <v>Ruellia blechum</v>
      </c>
      <c r="H14047" s="6" t="str">
        <f>VLOOKUP(E14047,dicionario!$A$1:$C14447,3,0)</f>
        <v>camarão-verde</v>
      </c>
    </row>
    <row r="14048">
      <c r="A14048" s="3">
        <v>45911.0</v>
      </c>
      <c r="B14048" s="4">
        <v>0.3159722222222222</v>
      </c>
      <c r="C14048" s="5" t="s">
        <v>64</v>
      </c>
      <c r="D14048" s="5" t="s">
        <v>1815</v>
      </c>
      <c r="E14048" s="6" t="s">
        <v>328</v>
      </c>
      <c r="F14048" s="5" t="s">
        <v>329</v>
      </c>
      <c r="G14048" s="6" t="str">
        <f>VLOOKUP(E14048,dicionario!$A$1:$C14448,2,0)</f>
        <v>Rivina humilis</v>
      </c>
      <c r="H14048" s="6" t="str">
        <f>VLOOKUP(E14048,dicionario!$A$1:$C14448,3,0)</f>
        <v>baga-de-sangue</v>
      </c>
    </row>
    <row r="14049">
      <c r="A14049" s="3">
        <v>45911.0</v>
      </c>
      <c r="B14049" s="4">
        <v>0.3159722222222222</v>
      </c>
      <c r="C14049" s="5" t="s">
        <v>64</v>
      </c>
      <c r="D14049" s="5" t="s">
        <v>1815</v>
      </c>
      <c r="E14049" s="8" t="s">
        <v>150</v>
      </c>
      <c r="F14049" s="5" t="s">
        <v>151</v>
      </c>
      <c r="G14049" s="6" t="str">
        <f>VLOOKUP(E14049,dicionario!$A$1:$C14449,2,0)</f>
        <v>Amaranthus viridis</v>
      </c>
      <c r="H14049" s="6" t="str">
        <f>VLOOKUP(E14049,dicionario!$A$1:$C14449,3,0)</f>
        <v>caruru-de-mancha</v>
      </c>
    </row>
    <row r="14050">
      <c r="A14050" s="3">
        <v>45911.0</v>
      </c>
      <c r="B14050" s="4">
        <v>0.3159722222222222</v>
      </c>
      <c r="C14050" s="5" t="s">
        <v>64</v>
      </c>
      <c r="D14050" s="5" t="s">
        <v>1815</v>
      </c>
      <c r="E14050" s="8" t="s">
        <v>69</v>
      </c>
      <c r="F14050" s="5" t="s">
        <v>71</v>
      </c>
      <c r="G14050" s="6" t="str">
        <f>VLOOKUP(E14050,dicionario!$A$1:$C14450,2,0)</f>
        <v>Talinum fruticosum</v>
      </c>
      <c r="H14050" s="6" t="str">
        <f>VLOOKUP(E14050,dicionario!$A$1:$C14450,3,0)</f>
        <v>beldroega-grande</v>
      </c>
    </row>
    <row r="14051">
      <c r="A14051" s="3">
        <v>45911.0</v>
      </c>
      <c r="B14051" s="4">
        <v>0.3159722222222222</v>
      </c>
      <c r="C14051" s="5" t="s">
        <v>64</v>
      </c>
      <c r="D14051" s="5" t="s">
        <v>1815</v>
      </c>
      <c r="E14051" s="76" t="s">
        <v>514</v>
      </c>
      <c r="F14051" s="5" t="s">
        <v>515</v>
      </c>
      <c r="G14051" s="6" t="str">
        <f>VLOOKUP(E14051,dicionario!$A$1:$C14451,2,0)</f>
        <v>Aedes aegypti</v>
      </c>
      <c r="H14051" s="6" t="str">
        <f>VLOOKUP(E14051,dicionario!$A$1:$C14451,3,0)</f>
        <v>mosquito-da-dengue</v>
      </c>
    </row>
    <row r="14052">
      <c r="A14052" s="3">
        <v>45911.0</v>
      </c>
      <c r="B14052" s="4">
        <v>0.3159722222222222</v>
      </c>
      <c r="C14052" s="5" t="s">
        <v>64</v>
      </c>
      <c r="D14052" s="5" t="s">
        <v>1815</v>
      </c>
      <c r="E14052" s="6" t="s">
        <v>213</v>
      </c>
      <c r="F14052" s="5" t="s">
        <v>1825</v>
      </c>
      <c r="G14052" s="6" t="str">
        <f>VLOOKUP(E14052,dicionario!$A$1:$C14452,2,0)</f>
        <v>Myiozetetes similis</v>
      </c>
      <c r="H14052" s="6" t="str">
        <f>VLOOKUP(E14052,dicionario!$A$1:$C14452,3,0)</f>
        <v>bentevizinho-de-penacho-vermelho</v>
      </c>
    </row>
    <row r="14053">
      <c r="A14053" s="3">
        <v>45911.0</v>
      </c>
      <c r="B14053" s="4">
        <v>0.3159722222222222</v>
      </c>
      <c r="C14053" s="5" t="s">
        <v>64</v>
      </c>
      <c r="D14053" s="5" t="s">
        <v>1815</v>
      </c>
      <c r="E14053" s="8" t="s">
        <v>143</v>
      </c>
      <c r="F14053" s="5" t="s">
        <v>936</v>
      </c>
      <c r="G14053" s="6" t="str">
        <f>VLOOKUP(E14053,dicionario!$A$1:$C14453,2,0)</f>
        <v>Polybia</v>
      </c>
      <c r="H14053" s="6" t="str">
        <f>VLOOKUP(E14053,dicionario!$A$1:$C14453,3,0)</f>
        <v>vespa</v>
      </c>
    </row>
    <row r="14054">
      <c r="A14054" s="3">
        <v>45911.0</v>
      </c>
      <c r="B14054" s="4">
        <v>0.3159722222222222</v>
      </c>
      <c r="C14054" s="5" t="s">
        <v>64</v>
      </c>
      <c r="D14054" s="5" t="s">
        <v>1815</v>
      </c>
      <c r="E14054" s="8" t="s">
        <v>10</v>
      </c>
      <c r="F14054" s="5" t="s">
        <v>1545</v>
      </c>
      <c r="G14054" s="6" t="str">
        <f>VLOOKUP(E14054,dicionario!$A$1:$C14454,2,0)</f>
        <v>Guira guira</v>
      </c>
      <c r="H14054" s="6" t="str">
        <f>VLOOKUP(E14054,dicionario!$A$1:$C14454,3,0)</f>
        <v>anu-branco</v>
      </c>
    </row>
    <row r="14055">
      <c r="A14055" s="3">
        <v>45911.0</v>
      </c>
      <c r="B14055" s="4">
        <v>0.31666666666666665</v>
      </c>
      <c r="C14055" s="5" t="s">
        <v>64</v>
      </c>
      <c r="D14055" s="5" t="s">
        <v>1815</v>
      </c>
      <c r="E14055" s="8" t="s">
        <v>20</v>
      </c>
      <c r="F14055" s="5" t="s">
        <v>21</v>
      </c>
      <c r="G14055" s="6" t="str">
        <f>VLOOKUP(E14055,dicionario!$A$1:$C14455,2,0)</f>
        <v>Sicalis flaveola</v>
      </c>
      <c r="H14055" s="6" t="str">
        <f>VLOOKUP(E14055,dicionario!$A$1:$C14455,3,0)</f>
        <v>canário-da-terra</v>
      </c>
    </row>
    <row r="14056">
      <c r="A14056" s="3">
        <v>45911.0</v>
      </c>
      <c r="B14056" s="4">
        <v>0.3173611111111111</v>
      </c>
      <c r="C14056" s="5" t="s">
        <v>64</v>
      </c>
      <c r="D14056" s="5" t="s">
        <v>1815</v>
      </c>
      <c r="E14056" s="8" t="s">
        <v>298</v>
      </c>
      <c r="F14056" s="5"/>
      <c r="G14056" s="6" t="str">
        <f>VLOOKUP(E14056,dicionario!$A$1:$C14456,2,0)</f>
        <v>Alysicarpus vaginalis</v>
      </c>
      <c r="H14056" s="6" t="str">
        <f>VLOOKUP(E14056,dicionario!$A$1:$C14456,3,0)</f>
        <v/>
      </c>
    </row>
    <row r="14057">
      <c r="A14057" s="3">
        <v>45911.0</v>
      </c>
      <c r="B14057" s="4">
        <v>0.3173611111111111</v>
      </c>
      <c r="C14057" s="5" t="s">
        <v>64</v>
      </c>
      <c r="D14057" s="5" t="s">
        <v>1815</v>
      </c>
      <c r="E14057" s="8" t="s">
        <v>171</v>
      </c>
      <c r="F14057" s="5" t="s">
        <v>172</v>
      </c>
      <c r="G14057" s="6" t="str">
        <f>VLOOKUP(E14057,dicionario!$A$1:$C14457,2,0)</f>
        <v>Oxalis corniculata</v>
      </c>
      <c r="H14057" s="6" t="str">
        <f>VLOOKUP(E14057,dicionario!$A$1:$C14457,3,0)</f>
        <v>trevo-azedinho</v>
      </c>
    </row>
    <row r="14058">
      <c r="A14058" s="3">
        <v>45911.0</v>
      </c>
      <c r="B14058" s="4">
        <v>0.3173611111111111</v>
      </c>
      <c r="C14058" s="5" t="s">
        <v>64</v>
      </c>
      <c r="D14058" s="5" t="s">
        <v>1815</v>
      </c>
      <c r="E14058" s="6" t="s">
        <v>467</v>
      </c>
      <c r="F14058" s="5" t="s">
        <v>1365</v>
      </c>
      <c r="G14058" s="6" t="str">
        <f>VLOOKUP(E14058,dicionario!$A$1:$C14458,2,0)</f>
        <v>Eleusine indica</v>
      </c>
      <c r="H14058" s="6" t="str">
        <f>VLOOKUP(E14058,dicionario!$A$1:$C14458,3,0)</f>
        <v>capim-pé-de-galinha</v>
      </c>
    </row>
    <row r="14059">
      <c r="A14059" s="3">
        <v>45911.0</v>
      </c>
      <c r="B14059" s="4">
        <v>0.3173611111111111</v>
      </c>
      <c r="C14059" s="5" t="s">
        <v>64</v>
      </c>
      <c r="D14059" s="5" t="s">
        <v>1815</v>
      </c>
      <c r="E14059" s="6" t="s">
        <v>302</v>
      </c>
      <c r="F14059" s="5" t="s">
        <v>303</v>
      </c>
      <c r="G14059" s="6" t="str">
        <f>VLOOKUP(E14059,dicionario!$A$1:$C14459,2,0)</f>
        <v>Machetornis rixosa</v>
      </c>
      <c r="H14059" s="6" t="str">
        <f>VLOOKUP(E14059,dicionario!$A$1:$C14459,3,0)</f>
        <v>suiriri-cavaleiro</v>
      </c>
    </row>
    <row r="14060">
      <c r="A14060" s="3">
        <v>45911.0</v>
      </c>
      <c r="B14060" s="4">
        <v>0.3173611111111111</v>
      </c>
      <c r="C14060" s="5" t="s">
        <v>64</v>
      </c>
      <c r="D14060" s="5" t="s">
        <v>1815</v>
      </c>
      <c r="E14060" s="6" t="s">
        <v>148</v>
      </c>
      <c r="F14060" s="5" t="s">
        <v>149</v>
      </c>
      <c r="G14060" s="6" t="str">
        <f>VLOOKUP(E14060,dicionario!$A$1:$C14460,2,0)</f>
        <v>Parthenium hysterophorus</v>
      </c>
      <c r="H14060" s="6" t="str">
        <f>VLOOKUP(E14060,dicionario!$A$1:$C14460,3,0)</f>
        <v>losna-branca</v>
      </c>
    </row>
    <row r="14061">
      <c r="A14061" s="3">
        <v>45911.0</v>
      </c>
      <c r="B14061" s="4">
        <v>0.31875</v>
      </c>
      <c r="C14061" s="5" t="s">
        <v>64</v>
      </c>
      <c r="D14061" s="5" t="s">
        <v>1815</v>
      </c>
      <c r="E14061" s="6" t="s">
        <v>319</v>
      </c>
      <c r="F14061" s="5" t="s">
        <v>320</v>
      </c>
      <c r="G14061" s="6" t="str">
        <f>VLOOKUP(E14061,dicionario!$A$1:$C14461,2,0)</f>
        <v>Schinus terebinthifolia</v>
      </c>
      <c r="H14061" s="6" t="str">
        <f>VLOOKUP(E14061,dicionario!$A$1:$C14461,3,0)</f>
        <v>aroeira</v>
      </c>
    </row>
    <row r="14062">
      <c r="A14062" s="3">
        <v>45911.0</v>
      </c>
      <c r="B14062" s="4">
        <v>0.31875</v>
      </c>
      <c r="C14062" s="5" t="s">
        <v>64</v>
      </c>
      <c r="D14062" s="5" t="s">
        <v>1815</v>
      </c>
      <c r="E14062" s="8" t="s">
        <v>271</v>
      </c>
      <c r="F14062" s="5" t="s">
        <v>1169</v>
      </c>
      <c r="G14062" s="6" t="str">
        <f>VLOOKUP(E14062,dicionario!$A$1:$C14462,2,0)</f>
        <v>Cyanthillium cinereum</v>
      </c>
      <c r="H14062" s="6" t="str">
        <f>VLOOKUP(E14062,dicionario!$A$1:$C14462,3,0)</f>
        <v>emília</v>
      </c>
    </row>
    <row r="14063">
      <c r="A14063" s="3">
        <v>45911.0</v>
      </c>
      <c r="B14063" s="4">
        <v>0.31875</v>
      </c>
      <c r="C14063" s="5" t="s">
        <v>64</v>
      </c>
      <c r="D14063" s="5" t="s">
        <v>1815</v>
      </c>
      <c r="E14063" s="8" t="s">
        <v>740</v>
      </c>
      <c r="F14063" s="5" t="s">
        <v>741</v>
      </c>
      <c r="G14063" s="6" t="str">
        <f>VLOOKUP(E14063,dicionario!$A$1:$C14463,2,0)</f>
        <v>Melothria cucumis</v>
      </c>
      <c r="H14063" s="6" t="str">
        <f>VLOOKUP(E14063,dicionario!$A$1:$C14463,3,0)</f>
        <v>pepino-do-mato</v>
      </c>
    </row>
    <row r="14064">
      <c r="A14064" s="3">
        <v>45911.0</v>
      </c>
      <c r="B14064" s="4">
        <v>0.31875</v>
      </c>
      <c r="C14064" s="5" t="s">
        <v>64</v>
      </c>
      <c r="D14064" s="5" t="s">
        <v>1815</v>
      </c>
      <c r="E14064" s="8" t="s">
        <v>1282</v>
      </c>
      <c r="F14064" s="5" t="s">
        <v>182</v>
      </c>
      <c r="G14064" s="6" t="str">
        <f>VLOOKUP(E14064,dicionario!$A$1:$C14464,2,0)</f>
        <v>#N/A</v>
      </c>
      <c r="H14064" s="6" t="str">
        <f>VLOOKUP(E14064,dicionario!$A$1:$C14464,3,0)</f>
        <v>#N/A</v>
      </c>
    </row>
    <row r="14065">
      <c r="A14065" s="3">
        <v>45911.0</v>
      </c>
      <c r="B14065" s="4">
        <v>0.31875</v>
      </c>
      <c r="C14065" s="5" t="s">
        <v>64</v>
      </c>
      <c r="D14065" s="5" t="s">
        <v>1815</v>
      </c>
      <c r="E14065" s="8" t="s">
        <v>1748</v>
      </c>
      <c r="F14065" s="5" t="s">
        <v>1088</v>
      </c>
      <c r="G14065" s="6" t="str">
        <f>VLOOKUP(E14065,dicionario!$A$1:$C14465,2,0)</f>
        <v>Desmodium triflorum</v>
      </c>
      <c r="H14065" s="6" t="str">
        <f>VLOOKUP(E14065,dicionario!$A$1:$C14465,3,0)</f>
        <v/>
      </c>
    </row>
    <row r="14066">
      <c r="A14066" s="3">
        <v>45911.0</v>
      </c>
      <c r="B14066" s="4">
        <v>0.31875</v>
      </c>
      <c r="C14066" s="5" t="s">
        <v>64</v>
      </c>
      <c r="D14066" s="5" t="s">
        <v>1815</v>
      </c>
      <c r="E14066" s="53" t="s">
        <v>1819</v>
      </c>
      <c r="F14066" s="5" t="s">
        <v>367</v>
      </c>
      <c r="G14066" s="6" t="str">
        <f>VLOOKUP(E14066,dicionario!$A$1:$C14466,2,0)</f>
        <v>Bystropogon maderensis</v>
      </c>
      <c r="H14066" s="6" t="str">
        <f>VLOOKUP(E14066,dicionario!$A$1:$C14466,3,0)</f>
        <v>quebra-panela </v>
      </c>
    </row>
    <row r="14067">
      <c r="A14067" s="3">
        <v>45911.0</v>
      </c>
      <c r="B14067" s="4">
        <v>0.3194444444444444</v>
      </c>
      <c r="C14067" s="5" t="s">
        <v>64</v>
      </c>
      <c r="D14067" s="5" t="s">
        <v>1815</v>
      </c>
      <c r="E14067" s="6" t="s">
        <v>446</v>
      </c>
      <c r="F14067" s="5" t="s">
        <v>447</v>
      </c>
      <c r="G14067" s="6" t="str">
        <f>VLOOKUP(E14067,dicionario!$A$1:$C14467,2,0)</f>
        <v>Cyanerpes cyaneus</v>
      </c>
      <c r="H14067" s="6" t="str">
        <f>VLOOKUP(E14067,dicionario!$A$1:$C14467,3,0)</f>
        <v>saíra-beija-flor</v>
      </c>
    </row>
    <row r="14068">
      <c r="A14068" s="3">
        <v>45911.0</v>
      </c>
      <c r="B14068" s="4">
        <v>0.3194444444444444</v>
      </c>
      <c r="C14068" s="5" t="s">
        <v>76</v>
      </c>
      <c r="D14068" s="5" t="s">
        <v>1815</v>
      </c>
      <c r="E14068" s="6" t="s">
        <v>448</v>
      </c>
      <c r="F14068" s="5" t="s">
        <v>462</v>
      </c>
      <c r="G14068" s="6" t="str">
        <f>VLOOKUP(E14068,dicionario!$A$1:$C14468,2,0)</f>
        <v>Mechanitis polymnia</v>
      </c>
      <c r="H14068" s="6" t="str">
        <f>VLOOKUP(E14068,dicionario!$A$1:$C14468,3,0)</f>
        <v>maria-boba</v>
      </c>
    </row>
    <row r="14069">
      <c r="A14069" s="3">
        <v>45911.0</v>
      </c>
      <c r="B14069" s="4">
        <v>0.3194444444444444</v>
      </c>
      <c r="C14069" s="5" t="s">
        <v>76</v>
      </c>
      <c r="D14069" s="5" t="s">
        <v>1815</v>
      </c>
      <c r="E14069" s="53" t="s">
        <v>1175</v>
      </c>
      <c r="F14069" s="5" t="s">
        <v>1738</v>
      </c>
      <c r="G14069" s="6" t="str">
        <f>VLOOKUP(E14069,dicionario!$A$1:$C14469,2,0)</f>
        <v>Danaus erippus</v>
      </c>
      <c r="H14069" s="6" t="str">
        <f>VLOOKUP(E14069,dicionario!$A$1:$C14469,3,0)</f>
        <v>borboleta-monarca-do-sul</v>
      </c>
    </row>
    <row r="14070">
      <c r="A14070" s="3">
        <v>45911.0</v>
      </c>
      <c r="B14070" s="4">
        <v>0.3194444444444444</v>
      </c>
      <c r="C14070" s="5" t="s">
        <v>76</v>
      </c>
      <c r="D14070" s="5" t="s">
        <v>1815</v>
      </c>
      <c r="E14070" s="6" t="s">
        <v>183</v>
      </c>
      <c r="F14070" s="5" t="s">
        <v>277</v>
      </c>
      <c r="G14070" s="6" t="str">
        <f>VLOOKUP(E14070,dicionario!$A$1:$C14470,2,0)</f>
        <v>Thunbergia alata</v>
      </c>
      <c r="H14070" s="6" t="str">
        <f>VLOOKUP(E14070,dicionario!$A$1:$C14470,3,0)</f>
        <v>susana-dos-olhos-negros</v>
      </c>
    </row>
    <row r="14071">
      <c r="A14071" s="3">
        <v>45911.0</v>
      </c>
      <c r="B14071" s="4">
        <v>0.32222222222222224</v>
      </c>
      <c r="C14071" s="5" t="s">
        <v>76</v>
      </c>
      <c r="D14071" s="5" t="s">
        <v>1815</v>
      </c>
      <c r="E14071" s="6" t="s">
        <v>328</v>
      </c>
      <c r="F14071" s="5" t="s">
        <v>329</v>
      </c>
      <c r="G14071" s="6" t="str">
        <f>VLOOKUP(E14071,dicionario!$A$1:$C14471,2,0)</f>
        <v>Rivina humilis</v>
      </c>
      <c r="H14071" s="6" t="str">
        <f>VLOOKUP(E14071,dicionario!$A$1:$C14471,3,0)</f>
        <v>baga-de-sangue</v>
      </c>
    </row>
    <row r="14072">
      <c r="A14072" s="3">
        <v>45911.0</v>
      </c>
      <c r="B14072" s="4">
        <v>0.32222222222222224</v>
      </c>
      <c r="C14072" s="5" t="s">
        <v>76</v>
      </c>
      <c r="D14072" s="5" t="s">
        <v>1815</v>
      </c>
      <c r="E14072" s="6" t="s">
        <v>74</v>
      </c>
      <c r="F14072" s="5" t="s">
        <v>1472</v>
      </c>
      <c r="G14072" s="6" t="str">
        <f>VLOOKUP(E14072,dicionario!$A$1:$C14472,2,0)</f>
        <v>Crotophaga ani</v>
      </c>
      <c r="H14072" s="6" t="str">
        <f>VLOOKUP(E14072,dicionario!$A$1:$C14472,3,0)</f>
        <v>anu-preto</v>
      </c>
    </row>
    <row r="14073">
      <c r="A14073" s="3">
        <v>45911.0</v>
      </c>
      <c r="B14073" s="4">
        <v>0.32222222222222224</v>
      </c>
      <c r="C14073" s="5" t="s">
        <v>76</v>
      </c>
      <c r="D14073" s="5" t="s">
        <v>1815</v>
      </c>
      <c r="E14073" s="6" t="s">
        <v>86</v>
      </c>
      <c r="F14073" s="5" t="s">
        <v>502</v>
      </c>
      <c r="G14073" s="6" t="str">
        <f>VLOOKUP(E14073,dicionario!$A$1:$C14473,2,0)</f>
        <v>Coereba flaveola</v>
      </c>
      <c r="H14073" s="6" t="str">
        <f>VLOOKUP(E14073,dicionario!$A$1:$C14473,3,0)</f>
        <v>cambacica</v>
      </c>
    </row>
    <row r="14074">
      <c r="A14074" s="3">
        <v>45911.0</v>
      </c>
      <c r="B14074" s="4">
        <v>0.32222222222222224</v>
      </c>
      <c r="C14074" s="5" t="s">
        <v>76</v>
      </c>
      <c r="D14074" s="5" t="s">
        <v>1815</v>
      </c>
      <c r="E14074" s="8" t="s">
        <v>1127</v>
      </c>
      <c r="F14074" s="5" t="s">
        <v>1286</v>
      </c>
      <c r="G14074" s="6" t="str">
        <f>VLOOKUP(E14074,dicionario!$A$1:$C14474,2,0)</f>
        <v>Albizia lebbeck</v>
      </c>
      <c r="H14074" s="6" t="str">
        <f>VLOOKUP(E14074,dicionario!$A$1:$C14474,3,0)</f>
        <v>albízia</v>
      </c>
    </row>
    <row r="14075">
      <c r="A14075" s="3">
        <v>45911.0</v>
      </c>
      <c r="B14075" s="4">
        <v>0.3229166666666667</v>
      </c>
      <c r="C14075" s="5" t="s">
        <v>76</v>
      </c>
      <c r="D14075" s="5" t="s">
        <v>1815</v>
      </c>
      <c r="E14075" s="8" t="s">
        <v>14</v>
      </c>
      <c r="F14075" s="5" t="s">
        <v>15</v>
      </c>
      <c r="G14075" s="6" t="str">
        <f>VLOOKUP(E14075,dicionario!$A$1:$C14475,2,0)</f>
        <v>Spermacoce verticillata</v>
      </c>
      <c r="H14075" s="6" t="str">
        <f>VLOOKUP(E14075,dicionario!$A$1:$C14475,3,0)</f>
        <v>vassourinha-de-botão</v>
      </c>
    </row>
    <row r="14076">
      <c r="A14076" s="3">
        <v>45911.0</v>
      </c>
      <c r="B14076" s="4">
        <v>0.3229166666666667</v>
      </c>
      <c r="C14076" s="5" t="s">
        <v>76</v>
      </c>
      <c r="D14076" s="5" t="s">
        <v>1815</v>
      </c>
      <c r="E14076" s="6" t="s">
        <v>489</v>
      </c>
      <c r="F14076" s="5" t="s">
        <v>521</v>
      </c>
      <c r="G14076" s="6" t="str">
        <f>VLOOKUP(E14076,dicionario!$A$1:$C14476,2,0)</f>
        <v>Cenchrus echinatus</v>
      </c>
      <c r="H14076" s="6" t="str">
        <f>VLOOKUP(E14076,dicionario!$A$1:$C14476,3,0)</f>
        <v>capim-carrapicho</v>
      </c>
    </row>
    <row r="14077">
      <c r="A14077" s="3">
        <v>45911.0</v>
      </c>
      <c r="B14077" s="4">
        <v>0.3229166666666667</v>
      </c>
      <c r="C14077" s="5" t="s">
        <v>76</v>
      </c>
      <c r="D14077" s="5" t="s">
        <v>1815</v>
      </c>
      <c r="E14077" s="8" t="s">
        <v>271</v>
      </c>
      <c r="F14077" s="5" t="s">
        <v>1169</v>
      </c>
      <c r="G14077" s="6" t="str">
        <f>VLOOKUP(E14077,dicionario!$A$1:$C14477,2,0)</f>
        <v>Cyanthillium cinereum</v>
      </c>
      <c r="H14077" s="6" t="str">
        <f>VLOOKUP(E14077,dicionario!$A$1:$C14477,3,0)</f>
        <v>emília</v>
      </c>
    </row>
    <row r="14078">
      <c r="A14078" s="3">
        <v>45911.0</v>
      </c>
      <c r="B14078" s="4">
        <v>0.3229166666666667</v>
      </c>
      <c r="C14078" s="5" t="s">
        <v>76</v>
      </c>
      <c r="D14078" s="5" t="s">
        <v>1815</v>
      </c>
      <c r="E14078" s="6" t="s">
        <v>467</v>
      </c>
      <c r="F14078" s="5" t="s">
        <v>1365</v>
      </c>
      <c r="G14078" s="6" t="str">
        <f>VLOOKUP(E14078,dicionario!$A$1:$C14478,2,0)</f>
        <v>Eleusine indica</v>
      </c>
      <c r="H14078" s="6" t="str">
        <f>VLOOKUP(E14078,dicionario!$A$1:$C14478,3,0)</f>
        <v>capim-pé-de-galinha</v>
      </c>
    </row>
    <row r="14079">
      <c r="A14079" s="3">
        <v>45911.0</v>
      </c>
      <c r="B14079" s="4">
        <v>0.3229166666666667</v>
      </c>
      <c r="C14079" s="5" t="s">
        <v>76</v>
      </c>
      <c r="D14079" s="5" t="s">
        <v>1815</v>
      </c>
      <c r="E14079" s="6" t="s">
        <v>290</v>
      </c>
      <c r="F14079" s="5" t="s">
        <v>291</v>
      </c>
      <c r="G14079" s="6" t="str">
        <f>VLOOKUP(E14079,dicionario!$A$1:$C14479,2,0)</f>
        <v>Drymaria cordata</v>
      </c>
      <c r="H14079" s="6" t="str">
        <f>VLOOKUP(E14079,dicionario!$A$1:$C14479,3,0)</f>
        <v>orelha-de-rato</v>
      </c>
    </row>
    <row r="14080">
      <c r="A14080" s="3">
        <v>45911.0</v>
      </c>
      <c r="B14080" s="4">
        <v>0.3236111111111111</v>
      </c>
      <c r="C14080" s="5" t="s">
        <v>76</v>
      </c>
      <c r="D14080" s="5" t="s">
        <v>1815</v>
      </c>
      <c r="E14080" s="6" t="s">
        <v>682</v>
      </c>
      <c r="F14080" s="5" t="s">
        <v>757</v>
      </c>
      <c r="G14080" s="6" t="str">
        <f>VLOOKUP(E14080,dicionario!$A$1:$C14480,2,0)</f>
        <v>Lagria villosa</v>
      </c>
      <c r="H14080" s="6" t="str">
        <f>VLOOKUP(E14080,dicionario!$A$1:$C14480,3,0)</f>
        <v>bicho-capixaba</v>
      </c>
    </row>
    <row r="14081">
      <c r="A14081" s="3">
        <v>45911.0</v>
      </c>
      <c r="B14081" s="4">
        <v>0.3236111111111111</v>
      </c>
      <c r="C14081" s="5" t="s">
        <v>76</v>
      </c>
      <c r="D14081" s="5" t="s">
        <v>1815</v>
      </c>
      <c r="E14081" s="6" t="s">
        <v>175</v>
      </c>
      <c r="F14081" s="5" t="s">
        <v>176</v>
      </c>
      <c r="G14081" s="6" t="str">
        <f>VLOOKUP(E14081,dicionario!$A$1:$C14481,2,0)</f>
        <v>Turdus leucomelas</v>
      </c>
      <c r="H14081" s="6" t="str">
        <f>VLOOKUP(E14081,dicionario!$A$1:$C14481,3,0)</f>
        <v>sabiá-barranco</v>
      </c>
    </row>
    <row r="14082">
      <c r="A14082" s="3">
        <v>45911.0</v>
      </c>
      <c r="B14082" s="4">
        <v>0.3236111111111111</v>
      </c>
      <c r="C14082" s="5" t="s">
        <v>76</v>
      </c>
      <c r="D14082" s="5" t="s">
        <v>1815</v>
      </c>
      <c r="E14082" s="6" t="s">
        <v>154</v>
      </c>
      <c r="F14082" s="5" t="s">
        <v>155</v>
      </c>
      <c r="G14082" s="6" t="str">
        <f>VLOOKUP(E14082,dicionario!$A$1:$C14482,2,0)</f>
        <v>Cyperus rotundus</v>
      </c>
      <c r="H14082" s="6" t="str">
        <f>VLOOKUP(E14082,dicionario!$A$1:$C14482,3,0)</f>
        <v>tiririca</v>
      </c>
    </row>
    <row r="14083">
      <c r="A14083" s="3">
        <v>45911.0</v>
      </c>
      <c r="B14083" s="4">
        <v>0.3236111111111111</v>
      </c>
      <c r="C14083" s="5" t="s">
        <v>76</v>
      </c>
      <c r="D14083" s="5" t="s">
        <v>1815</v>
      </c>
      <c r="E14083" s="8" t="s">
        <v>245</v>
      </c>
      <c r="F14083" s="5" t="s">
        <v>246</v>
      </c>
      <c r="G14083" s="6" t="str">
        <f>VLOOKUP(E14083,dicionario!$A$1:$C14483,2,0)</f>
        <v>Hemiargus hanno</v>
      </c>
      <c r="H14083" s="6" t="str">
        <f>VLOOKUP(E14083,dicionario!$A$1:$C14483,3,0)</f>
        <v>borboleta-azulzinha-do-trevo</v>
      </c>
    </row>
    <row r="14084">
      <c r="A14084" s="3">
        <v>45911.0</v>
      </c>
      <c r="B14084" s="4">
        <v>0.3236111111111111</v>
      </c>
      <c r="C14084" s="5" t="s">
        <v>76</v>
      </c>
      <c r="D14084" s="5" t="s">
        <v>1815</v>
      </c>
      <c r="E14084" s="8" t="s">
        <v>360</v>
      </c>
      <c r="F14084" s="5" t="s">
        <v>361</v>
      </c>
      <c r="G14084" s="6" t="str">
        <f>VLOOKUP(E14084,dicionario!$A$1:$C14484,2,0)</f>
        <v>Chamaecrista rotundifolia</v>
      </c>
      <c r="H14084" s="6" t="str">
        <f>VLOOKUP(E14084,dicionario!$A$1:$C14484,3,0)</f>
        <v>alfafa-nativa</v>
      </c>
    </row>
    <row r="14085">
      <c r="A14085" s="3">
        <v>45911.0</v>
      </c>
      <c r="B14085" s="4">
        <v>0.3236111111111111</v>
      </c>
      <c r="C14085" s="5" t="s">
        <v>76</v>
      </c>
      <c r="D14085" s="5" t="s">
        <v>1815</v>
      </c>
      <c r="E14085" s="6" t="s">
        <v>504</v>
      </c>
      <c r="F14085" s="5" t="s">
        <v>534</v>
      </c>
      <c r="G14085" s="6" t="str">
        <f>VLOOKUP(E14085,dicionario!$A$1:$C14485,2,0)</f>
        <v>Cleome aculeata</v>
      </c>
      <c r="H14085" s="6" t="str">
        <f>VLOOKUP(E14085,dicionario!$A$1:$C14485,3,0)</f>
        <v>cleome</v>
      </c>
    </row>
    <row r="14086">
      <c r="A14086" s="3">
        <v>45911.0</v>
      </c>
      <c r="B14086" s="4">
        <v>0.3236111111111111</v>
      </c>
      <c r="C14086" s="5" t="s">
        <v>76</v>
      </c>
      <c r="D14086" s="5" t="s">
        <v>1815</v>
      </c>
      <c r="E14086" s="8" t="s">
        <v>239</v>
      </c>
      <c r="F14086" s="5" t="s">
        <v>240</v>
      </c>
      <c r="G14086" s="6" t="str">
        <f>VLOOKUP(E14086,dicionario!$A$1:$C14486,2,0)</f>
        <v>Gomphrena celosioides</v>
      </c>
      <c r="H14086" s="6" t="str">
        <f>VLOOKUP(E14086,dicionario!$A$1:$C14486,3,0)</f>
        <v>perpétua-branca</v>
      </c>
    </row>
    <row r="14087">
      <c r="A14087" s="3">
        <v>45911.0</v>
      </c>
      <c r="B14087" s="4">
        <v>0.3236111111111111</v>
      </c>
      <c r="C14087" s="5" t="s">
        <v>76</v>
      </c>
      <c r="D14087" s="5" t="s">
        <v>1815</v>
      </c>
      <c r="E14087" s="6" t="s">
        <v>144</v>
      </c>
      <c r="F14087" s="5" t="s">
        <v>145</v>
      </c>
      <c r="G14087" s="6" t="str">
        <f>VLOOKUP(E14087,dicionario!$A$1:$C14487,2,0)</f>
        <v>Gomphrena globosa</v>
      </c>
      <c r="H14087" s="6" t="str">
        <f>VLOOKUP(E14087,dicionario!$A$1:$C14487,3,0)</f>
        <v>perpétua-rosa</v>
      </c>
    </row>
    <row r="14088">
      <c r="A14088" s="3">
        <v>45911.0</v>
      </c>
      <c r="B14088" s="4">
        <v>0.32430555555555557</v>
      </c>
      <c r="C14088" s="5" t="s">
        <v>76</v>
      </c>
      <c r="D14088" s="5" t="s">
        <v>1815</v>
      </c>
      <c r="E14088" s="8" t="s">
        <v>69</v>
      </c>
      <c r="F14088" s="5" t="s">
        <v>71</v>
      </c>
      <c r="G14088" s="6" t="str">
        <f>VLOOKUP(E14088,dicionario!$A$1:$C14488,2,0)</f>
        <v>Talinum fruticosum</v>
      </c>
      <c r="H14088" s="6" t="str">
        <f>VLOOKUP(E14088,dicionario!$A$1:$C14488,3,0)</f>
        <v>beldroega-grande</v>
      </c>
    </row>
    <row r="14089">
      <c r="A14089" s="3">
        <v>45911.0</v>
      </c>
      <c r="B14089" s="4">
        <v>0.32430555555555557</v>
      </c>
      <c r="C14089" s="5" t="s">
        <v>76</v>
      </c>
      <c r="D14089" s="5" t="s">
        <v>1815</v>
      </c>
      <c r="E14089" s="8" t="s">
        <v>20</v>
      </c>
      <c r="F14089" s="5" t="s">
        <v>21</v>
      </c>
      <c r="G14089" s="6" t="str">
        <f>VLOOKUP(E14089,dicionario!$A$1:$C14489,2,0)</f>
        <v>Sicalis flaveola</v>
      </c>
      <c r="H14089" s="6" t="str">
        <f>VLOOKUP(E14089,dicionario!$A$1:$C14489,3,0)</f>
        <v>canário-da-terra</v>
      </c>
    </row>
    <row r="14090">
      <c r="A14090" s="3">
        <v>45911.0</v>
      </c>
      <c r="B14090" s="4">
        <v>0.32430555555555557</v>
      </c>
      <c r="C14090" s="5" t="s">
        <v>76</v>
      </c>
      <c r="D14090" s="5" t="s">
        <v>1815</v>
      </c>
      <c r="E14090" s="6" t="s">
        <v>141</v>
      </c>
      <c r="F14090" s="5" t="s">
        <v>142</v>
      </c>
      <c r="G14090" s="6" t="str">
        <f>VLOOKUP(E14090,dicionario!$A$1:$C14490,2,0)</f>
        <v>Ruellia blechum</v>
      </c>
      <c r="H14090" s="6" t="str">
        <f>VLOOKUP(E14090,dicionario!$A$1:$C14490,3,0)</f>
        <v>camarão-verde</v>
      </c>
    </row>
    <row r="14091">
      <c r="A14091" s="3">
        <v>45911.0</v>
      </c>
      <c r="B14091" s="4">
        <v>0.32430555555555557</v>
      </c>
      <c r="C14091" s="5" t="s">
        <v>76</v>
      </c>
      <c r="D14091" s="5" t="s">
        <v>1815</v>
      </c>
      <c r="E14091" s="6" t="s">
        <v>160</v>
      </c>
      <c r="F14091" s="5" t="s">
        <v>161</v>
      </c>
      <c r="G14091" s="6" t="str">
        <f>VLOOKUP(E14091,dicionario!$A$1:$C14491,2,0)</f>
        <v>Gryllidae</v>
      </c>
      <c r="H14091" s="6" t="str">
        <f>VLOOKUP(E14091,dicionario!$A$1:$C14491,3,0)</f>
        <v>grilo</v>
      </c>
    </row>
    <row r="14092">
      <c r="A14092" s="3">
        <v>45911.0</v>
      </c>
      <c r="B14092" s="4">
        <v>0.32430555555555557</v>
      </c>
      <c r="C14092" s="5" t="s">
        <v>76</v>
      </c>
      <c r="D14092" s="5" t="s">
        <v>1815</v>
      </c>
      <c r="E14092" s="6" t="s">
        <v>253</v>
      </c>
      <c r="F14092" s="5" t="s">
        <v>254</v>
      </c>
      <c r="G14092" s="6" t="str">
        <f>VLOOKUP(E14092,dicionario!$A$1:$C14492,2,0)</f>
        <v>Panicum maximum</v>
      </c>
      <c r="H14092" s="6" t="str">
        <f>VLOOKUP(E14092,dicionario!$A$1:$C14492,3,0)</f>
        <v>capim-colonião</v>
      </c>
    </row>
    <row r="14093">
      <c r="A14093" s="3">
        <v>45911.0</v>
      </c>
      <c r="B14093" s="4">
        <v>0.32430555555555557</v>
      </c>
      <c r="C14093" s="5" t="s">
        <v>76</v>
      </c>
      <c r="D14093" s="5" t="s">
        <v>1815</v>
      </c>
      <c r="E14093" s="8" t="s">
        <v>271</v>
      </c>
      <c r="F14093" s="5" t="s">
        <v>1169</v>
      </c>
      <c r="G14093" s="6" t="str">
        <f>VLOOKUP(E14093,dicionario!$A$1:$C14493,2,0)</f>
        <v>Cyanthillium cinereum</v>
      </c>
      <c r="H14093" s="6" t="str">
        <f>VLOOKUP(E14093,dicionario!$A$1:$C14493,3,0)</f>
        <v>emília</v>
      </c>
    </row>
    <row r="14094">
      <c r="A14094" s="3">
        <v>45911.0</v>
      </c>
      <c r="B14094" s="4">
        <v>0.32430555555555557</v>
      </c>
      <c r="C14094" s="5" t="s">
        <v>76</v>
      </c>
      <c r="D14094" s="5" t="s">
        <v>1815</v>
      </c>
      <c r="E14094" s="8" t="s">
        <v>624</v>
      </c>
      <c r="F14094" s="5" t="s">
        <v>133</v>
      </c>
      <c r="G14094" s="6" t="str">
        <f>VLOOKUP(E14094,dicionario!$A$1:$C14494,2,0)</f>
        <v>Euphonia violacea</v>
      </c>
      <c r="H14094" s="6" t="str">
        <f>VLOOKUP(E14094,dicionario!$A$1:$C14494,3,0)</f>
        <v>gaturamo-verdadeiro</v>
      </c>
    </row>
    <row r="14095">
      <c r="A14095" s="3">
        <v>45911.0</v>
      </c>
      <c r="B14095" s="4">
        <v>0.32430555555555557</v>
      </c>
      <c r="C14095" s="5" t="s">
        <v>76</v>
      </c>
      <c r="D14095" s="5" t="s">
        <v>1815</v>
      </c>
      <c r="E14095" s="6" t="s">
        <v>489</v>
      </c>
      <c r="F14095" s="5" t="s">
        <v>521</v>
      </c>
      <c r="G14095" s="6" t="str">
        <f>VLOOKUP(E14095,dicionario!$A$1:$C14495,2,0)</f>
        <v>Cenchrus echinatus</v>
      </c>
      <c r="H14095" s="6" t="str">
        <f>VLOOKUP(E14095,dicionario!$A$1:$C14495,3,0)</f>
        <v>capim-carrapicho</v>
      </c>
    </row>
    <row r="14096">
      <c r="A14096" s="3">
        <v>45911.0</v>
      </c>
      <c r="B14096" s="4">
        <v>0.32430555555555557</v>
      </c>
      <c r="C14096" s="5" t="s">
        <v>76</v>
      </c>
      <c r="D14096" s="5" t="s">
        <v>1815</v>
      </c>
      <c r="E14096" s="6" t="s">
        <v>286</v>
      </c>
      <c r="F14096" s="5" t="s">
        <v>287</v>
      </c>
      <c r="G14096" s="6" t="str">
        <f>VLOOKUP(E14096,dicionario!$A$1:$C14496,2,0)</f>
        <v>Setaria parviflora</v>
      </c>
      <c r="H14096" s="6" t="str">
        <f>VLOOKUP(E14096,dicionario!$A$1:$C14496,3,0)</f>
        <v>capim-rabo-de-raposa</v>
      </c>
    </row>
    <row r="14097">
      <c r="A14097" s="3">
        <v>45911.0</v>
      </c>
      <c r="B14097" s="4">
        <v>0.32430555555555557</v>
      </c>
      <c r="C14097" s="5" t="s">
        <v>76</v>
      </c>
      <c r="D14097" s="5" t="s">
        <v>1815</v>
      </c>
      <c r="E14097" s="8" t="s">
        <v>498</v>
      </c>
      <c r="F14097" s="5" t="s">
        <v>499</v>
      </c>
      <c r="G14097" s="6" t="str">
        <f>VLOOKUP(E14097,dicionario!$A$1:$C14497,2,0)</f>
        <v>Brachiaria decumbens</v>
      </c>
      <c r="H14097" s="6" t="str">
        <f>VLOOKUP(E14097,dicionario!$A$1:$C14497,3,0)</f>
        <v>capim-braquiária</v>
      </c>
    </row>
    <row r="14098">
      <c r="A14098" s="3">
        <v>45911.0</v>
      </c>
      <c r="B14098" s="4">
        <v>0.32569444444444445</v>
      </c>
      <c r="C14098" s="5" t="s">
        <v>76</v>
      </c>
      <c r="D14098" s="5" t="s">
        <v>1815</v>
      </c>
      <c r="E14098" s="6" t="s">
        <v>372</v>
      </c>
      <c r="F14098" s="5" t="s">
        <v>373</v>
      </c>
      <c r="G14098" s="6" t="str">
        <f>VLOOKUP(E14098,dicionario!$A$1:$C14498,2,0)</f>
        <v>Rupornis magnirostris</v>
      </c>
      <c r="H14098" s="6" t="str">
        <f>VLOOKUP(E14098,dicionario!$A$1:$C14498,3,0)</f>
        <v>gavião-carijó</v>
      </c>
    </row>
    <row r="14099">
      <c r="A14099" s="3">
        <v>45911.0</v>
      </c>
      <c r="B14099" s="4">
        <v>0.32569444444444445</v>
      </c>
      <c r="C14099" s="5" t="s">
        <v>76</v>
      </c>
      <c r="D14099" s="5" t="s">
        <v>1815</v>
      </c>
      <c r="E14099" s="6" t="s">
        <v>175</v>
      </c>
      <c r="F14099" s="5" t="s">
        <v>176</v>
      </c>
      <c r="G14099" s="6" t="str">
        <f>VLOOKUP(E14099,dicionario!$A$1:$C14499,2,0)</f>
        <v>Turdus leucomelas</v>
      </c>
      <c r="H14099" s="6" t="str">
        <f>VLOOKUP(E14099,dicionario!$A$1:$C14499,3,0)</f>
        <v>sabiá-barranco</v>
      </c>
    </row>
    <row r="14100">
      <c r="A14100" s="3">
        <v>45911.0</v>
      </c>
      <c r="B14100" s="4">
        <v>0.32569444444444445</v>
      </c>
      <c r="C14100" s="5" t="s">
        <v>76</v>
      </c>
      <c r="D14100" s="5" t="s">
        <v>1815</v>
      </c>
      <c r="E14100" s="8" t="s">
        <v>1344</v>
      </c>
      <c r="F14100" s="5" t="s">
        <v>47</v>
      </c>
      <c r="G14100" s="6" t="str">
        <f>VLOOKUP(E14100,dicionario!$A$1:$C14500,2,0)</f>
        <v>#N/A</v>
      </c>
      <c r="H14100" s="6" t="str">
        <f>VLOOKUP(E14100,dicionario!$A$1:$C14500,3,0)</f>
        <v>#N/A</v>
      </c>
    </row>
    <row r="14101">
      <c r="A14101" s="3">
        <v>45911.0</v>
      </c>
      <c r="B14101" s="4">
        <v>0.3263888888888889</v>
      </c>
      <c r="C14101" s="5" t="s">
        <v>76</v>
      </c>
      <c r="D14101" s="5" t="s">
        <v>1815</v>
      </c>
      <c r="E14101" s="8" t="s">
        <v>280</v>
      </c>
      <c r="F14101" s="5" t="s">
        <v>281</v>
      </c>
      <c r="G14101" s="6" t="str">
        <f>VLOOKUP(E14101,dicionario!$A$1:$C14501,2,0)</f>
        <v>Lepidium virginicum</v>
      </c>
      <c r="H14101" s="6" t="str">
        <f>VLOOKUP(E14101,dicionario!$A$1:$C14501,3,0)</f>
        <v>mastruz</v>
      </c>
    </row>
    <row r="14102">
      <c r="A14102" s="3">
        <v>45911.0</v>
      </c>
      <c r="B14102" s="4">
        <v>0.3263888888888889</v>
      </c>
      <c r="C14102" s="5" t="s">
        <v>76</v>
      </c>
      <c r="D14102" s="5" t="s">
        <v>1815</v>
      </c>
      <c r="E14102" s="8" t="s">
        <v>41</v>
      </c>
      <c r="F14102" s="5" t="s">
        <v>45</v>
      </c>
      <c r="G14102" s="6" t="str">
        <f>VLOOKUP(E14102,dicionario!$A$1:$C14502,2,0)</f>
        <v>Mimosa pudica</v>
      </c>
      <c r="H14102" s="6" t="str">
        <f>VLOOKUP(E14102,dicionario!$A$1:$C14502,3,0)</f>
        <v>dormideira</v>
      </c>
    </row>
    <row r="14103">
      <c r="A14103" s="3">
        <v>45911.0</v>
      </c>
      <c r="B14103" s="4">
        <v>0.3277777777777778</v>
      </c>
      <c r="C14103" s="5" t="s">
        <v>76</v>
      </c>
      <c r="D14103" s="5" t="s">
        <v>1815</v>
      </c>
      <c r="E14103" s="6" t="s">
        <v>251</v>
      </c>
      <c r="F14103" s="5" t="s">
        <v>252</v>
      </c>
      <c r="G14103" s="6" t="str">
        <f>VLOOKUP(E14103,dicionario!$A$1:$C14503,2,0)</f>
        <v>Struthanthus flexicaulis</v>
      </c>
      <c r="H14103" s="6" t="str">
        <f>VLOOKUP(E14103,dicionario!$A$1:$C14503,3,0)</f>
        <v>erva-de-passarinho</v>
      </c>
    </row>
    <row r="14104">
      <c r="A14104" s="3">
        <v>45911.0</v>
      </c>
      <c r="B14104" s="4">
        <v>0.3277777777777778</v>
      </c>
      <c r="C14104" s="5" t="s">
        <v>76</v>
      </c>
      <c r="D14104" s="5" t="s">
        <v>1815</v>
      </c>
      <c r="E14104" s="6" t="s">
        <v>111</v>
      </c>
      <c r="F14104" s="5" t="s">
        <v>112</v>
      </c>
      <c r="G14104" s="6" t="str">
        <f>VLOOKUP(E14104,dicionario!$A$1:$C14504,2,0)</f>
        <v>Trigona spinipes</v>
      </c>
      <c r="H14104" s="6" t="str">
        <f>VLOOKUP(E14104,dicionario!$A$1:$C14504,3,0)</f>
        <v>abelha-cachorro</v>
      </c>
    </row>
    <row r="14105">
      <c r="A14105" s="3">
        <v>45911.0</v>
      </c>
      <c r="B14105" s="4">
        <v>0.3277777777777778</v>
      </c>
      <c r="C14105" s="5" t="s">
        <v>76</v>
      </c>
      <c r="D14105" s="5" t="s">
        <v>1815</v>
      </c>
      <c r="E14105" s="8" t="s">
        <v>18</v>
      </c>
      <c r="F14105" s="5" t="s">
        <v>219</v>
      </c>
      <c r="G14105" s="6" t="str">
        <f>VLOOKUP(E14105,dicionario!$A$1:$C14505,2,0)</f>
        <v>Xylocopa frontalis</v>
      </c>
      <c r="H14105" s="6" t="str">
        <f>VLOOKUP(E14105,dicionario!$A$1:$C14505,3,0)</f>
        <v>Mamangava; mangangá; abelha-carpinteira</v>
      </c>
    </row>
    <row r="14106">
      <c r="A14106" s="3">
        <v>45911.0</v>
      </c>
      <c r="B14106" s="4">
        <v>0.3277777777777778</v>
      </c>
      <c r="C14106" s="5" t="s">
        <v>76</v>
      </c>
      <c r="D14106" s="5" t="s">
        <v>1815</v>
      </c>
      <c r="E14106" s="53" t="s">
        <v>786</v>
      </c>
      <c r="F14106" s="5" t="s">
        <v>787</v>
      </c>
      <c r="G14106" s="6" t="str">
        <f>VLOOKUP(E14106,dicionario!$A$1:$C14506,2,0)</f>
        <v>Lycianthes asarifolia</v>
      </c>
      <c r="H14106" s="6" t="str">
        <f>VLOOKUP(E14106,dicionario!$A$1:$C14506,3,0)</f>
        <v>joá-rasteiro</v>
      </c>
    </row>
    <row r="14107">
      <c r="A14107" s="3">
        <v>45911.0</v>
      </c>
      <c r="B14107" s="4">
        <v>0.3277777777777778</v>
      </c>
      <c r="C14107" s="5" t="s">
        <v>76</v>
      </c>
      <c r="D14107" s="5" t="s">
        <v>1815</v>
      </c>
      <c r="E14107" s="8" t="s">
        <v>821</v>
      </c>
      <c r="F14107" s="5" t="s">
        <v>876</v>
      </c>
      <c r="G14107" s="6" t="str">
        <f>VLOOKUP(E14107,dicionario!$A$1:$C14507,2,0)</f>
        <v>Schefflera actinophylla</v>
      </c>
      <c r="H14107" s="6" t="str">
        <f>VLOOKUP(E14107,dicionario!$A$1:$C14507,3,0)</f>
        <v>árvore-guarda-chuva</v>
      </c>
    </row>
    <row r="14108">
      <c r="A14108" s="3">
        <v>45911.0</v>
      </c>
      <c r="B14108" s="4">
        <v>0.3277777777777778</v>
      </c>
      <c r="C14108" s="5" t="s">
        <v>76</v>
      </c>
      <c r="D14108" s="5" t="s">
        <v>1815</v>
      </c>
      <c r="E14108" s="8" t="s">
        <v>150</v>
      </c>
      <c r="F14108" s="5" t="s">
        <v>151</v>
      </c>
      <c r="G14108" s="6" t="str">
        <f>VLOOKUP(E14108,dicionario!$A$1:$C14508,2,0)</f>
        <v>Amaranthus viridis</v>
      </c>
      <c r="H14108" s="6" t="str">
        <f>VLOOKUP(E14108,dicionario!$A$1:$C14508,3,0)</f>
        <v>caruru-de-mancha</v>
      </c>
    </row>
    <row r="14109">
      <c r="A14109" s="3">
        <v>45911.0</v>
      </c>
      <c r="B14109" s="4">
        <v>0.3284722222222222</v>
      </c>
      <c r="C14109" s="5" t="s">
        <v>76</v>
      </c>
      <c r="D14109" s="5" t="s">
        <v>1815</v>
      </c>
      <c r="E14109" s="6" t="s">
        <v>65</v>
      </c>
      <c r="F14109" s="5" t="s">
        <v>66</v>
      </c>
      <c r="G14109" s="6" t="str">
        <f>VLOOKUP(E14109,dicionario!$A$1:$C14509,2,0)</f>
        <v>Pitangus sulphutarus</v>
      </c>
      <c r="H14109" s="6" t="str">
        <f>VLOOKUP(E14109,dicionario!$A$1:$C14509,3,0)</f>
        <v>bem-te-vi</v>
      </c>
    </row>
    <row r="14110">
      <c r="A14110" s="3">
        <v>45911.0</v>
      </c>
      <c r="B14110" s="4">
        <v>0.3284722222222222</v>
      </c>
      <c r="C14110" s="5" t="s">
        <v>76</v>
      </c>
      <c r="D14110" s="5" t="s">
        <v>1815</v>
      </c>
      <c r="E14110" s="8" t="s">
        <v>14</v>
      </c>
      <c r="F14110" s="5" t="s">
        <v>15</v>
      </c>
      <c r="G14110" s="6" t="str">
        <f>VLOOKUP(E14110,dicionario!$A$1:$C14510,2,0)</f>
        <v>Spermacoce verticillata</v>
      </c>
      <c r="H14110" s="6" t="str">
        <f>VLOOKUP(E14110,dicionario!$A$1:$C14510,3,0)</f>
        <v>vassourinha-de-botão</v>
      </c>
    </row>
    <row r="14111">
      <c r="A14111" s="3">
        <v>45911.0</v>
      </c>
      <c r="B14111" s="4">
        <v>0.3284722222222222</v>
      </c>
      <c r="C14111" s="5" t="s">
        <v>76</v>
      </c>
      <c r="D14111" s="5" t="s">
        <v>1815</v>
      </c>
      <c r="E14111" s="6" t="s">
        <v>606</v>
      </c>
      <c r="F14111" s="5" t="s">
        <v>607</v>
      </c>
      <c r="G14111" s="6" t="str">
        <f>VLOOKUP(E14111,dicionario!$A$1:$C14511,2,0)</f>
        <v>Elaenia spectabilis</v>
      </c>
      <c r="H14111" s="6" t="str">
        <f>VLOOKUP(E14111,dicionario!$A$1:$C14511,3,0)</f>
        <v>guaracava-grande</v>
      </c>
    </row>
    <row r="14112">
      <c r="A14112" s="3">
        <v>45911.0</v>
      </c>
      <c r="B14112" s="4">
        <v>0.3298611111111111</v>
      </c>
      <c r="C14112" s="5" t="s">
        <v>76</v>
      </c>
      <c r="D14112" s="5" t="s">
        <v>1815</v>
      </c>
      <c r="E14112" s="8" t="s">
        <v>143</v>
      </c>
      <c r="F14112" s="5" t="s">
        <v>205</v>
      </c>
      <c r="G14112" s="6" t="str">
        <f>VLOOKUP(E14112,dicionario!$A$1:$C14512,2,0)</f>
        <v>Polybia</v>
      </c>
      <c r="H14112" s="6" t="str">
        <f>VLOOKUP(E14112,dicionario!$A$1:$C14512,3,0)</f>
        <v>vespa</v>
      </c>
    </row>
    <row r="14113">
      <c r="A14113" s="3">
        <v>45911.0</v>
      </c>
      <c r="B14113" s="4">
        <v>0.3298611111111111</v>
      </c>
      <c r="C14113" s="5" t="s">
        <v>76</v>
      </c>
      <c r="D14113" s="5" t="s">
        <v>1815</v>
      </c>
      <c r="E14113" s="8" t="s">
        <v>1328</v>
      </c>
      <c r="F14113" s="5" t="s">
        <v>356</v>
      </c>
      <c r="G14113" s="6" t="str">
        <f>VLOOKUP(E14113,dicionario!$A$1:$C14513,2,0)</f>
        <v>#N/A</v>
      </c>
      <c r="H14113" s="6" t="str">
        <f>VLOOKUP(E14113,dicionario!$A$1:$C14513,3,0)</f>
        <v>#N/A</v>
      </c>
    </row>
    <row r="14114">
      <c r="A14114" s="3">
        <v>45911.0</v>
      </c>
      <c r="B14114" s="4">
        <v>0.3298611111111111</v>
      </c>
      <c r="C14114" s="5" t="s">
        <v>76</v>
      </c>
      <c r="D14114" s="5" t="s">
        <v>1815</v>
      </c>
      <c r="E14114" s="53" t="s">
        <v>1789</v>
      </c>
      <c r="F14114" s="5" t="s">
        <v>1790</v>
      </c>
      <c r="G14114" s="6" t="str">
        <f>VLOOKUP(E14114,dicionario!$A$1:$C14514,2,0)</f>
        <v>#N/A</v>
      </c>
      <c r="H14114" s="6" t="str">
        <f>VLOOKUP(E14114,dicionario!$A$1:$C14514,3,0)</f>
        <v>#N/A</v>
      </c>
    </row>
    <row r="14115">
      <c r="A14115" s="3">
        <v>45911.0</v>
      </c>
      <c r="B14115" s="4">
        <v>0.3298611111111111</v>
      </c>
      <c r="C14115" s="5" t="s">
        <v>76</v>
      </c>
      <c r="D14115" s="5" t="s">
        <v>1815</v>
      </c>
      <c r="E14115" s="8" t="s">
        <v>1503</v>
      </c>
      <c r="F14115" s="5" t="s">
        <v>1504</v>
      </c>
      <c r="G14115" s="6" t="str">
        <f>VLOOKUP(E14115,dicionario!$A$1:$C14515,2,0)</f>
        <v>#N/A</v>
      </c>
      <c r="H14115" s="6" t="str">
        <f>VLOOKUP(E14115,dicionario!$A$1:$C14515,3,0)</f>
        <v>#N/A</v>
      </c>
    </row>
    <row r="14116">
      <c r="A14116" s="3">
        <v>45911.0</v>
      </c>
      <c r="B14116" s="4">
        <v>0.3298611111111111</v>
      </c>
      <c r="C14116" s="5" t="s">
        <v>76</v>
      </c>
      <c r="D14116" s="5" t="s">
        <v>1815</v>
      </c>
      <c r="E14116" s="6" t="s">
        <v>613</v>
      </c>
      <c r="F14116" s="5" t="s">
        <v>614</v>
      </c>
      <c r="G14116" s="6" t="str">
        <f>VLOOKUP(E14116,dicionario!$A$1:$C14516,2,0)</f>
        <v>Euphorbia hyssopifolia</v>
      </c>
      <c r="H14116" s="6" t="str">
        <f>VLOOKUP(E14116,dicionario!$A$1:$C14516,3,0)</f>
        <v>maria-leite</v>
      </c>
    </row>
    <row r="14117">
      <c r="A14117" s="3">
        <v>45911.0</v>
      </c>
      <c r="B14117" s="4">
        <v>0.3298611111111111</v>
      </c>
      <c r="C14117" s="5" t="s">
        <v>76</v>
      </c>
      <c r="D14117" s="5" t="s">
        <v>1815</v>
      </c>
      <c r="E14117" s="8" t="s">
        <v>1127</v>
      </c>
      <c r="F14117" s="5" t="s">
        <v>1286</v>
      </c>
      <c r="G14117" s="6" t="str">
        <f>VLOOKUP(E14117,dicionario!$A$1:$C14517,2,0)</f>
        <v>Albizia lebbeck</v>
      </c>
      <c r="H14117" s="6" t="str">
        <f>VLOOKUP(E14117,dicionario!$A$1:$C14517,3,0)</f>
        <v>albízia</v>
      </c>
    </row>
    <row r="14118">
      <c r="A14118" s="3">
        <v>45911.0</v>
      </c>
      <c r="B14118" s="4">
        <v>0.33194444444444443</v>
      </c>
      <c r="C14118" s="5" t="s">
        <v>76</v>
      </c>
      <c r="D14118" s="5" t="s">
        <v>1815</v>
      </c>
      <c r="E14118" s="6" t="s">
        <v>163</v>
      </c>
      <c r="F14118" s="5" t="s">
        <v>164</v>
      </c>
      <c r="G14118" s="6" t="str">
        <f>VLOOKUP(E14118,dicionario!$A$1:$C14518,2,0)</f>
        <v>Coragyps atratus</v>
      </c>
      <c r="H14118" s="6" t="str">
        <f>VLOOKUP(E14118,dicionario!$A$1:$C14518,3,0)</f>
        <v>urubu-de-cabeça-preta</v>
      </c>
    </row>
    <row r="14119">
      <c r="A14119" s="3">
        <v>45911.0</v>
      </c>
      <c r="B14119" s="4">
        <v>0.33194444444444443</v>
      </c>
      <c r="C14119" s="5" t="s">
        <v>76</v>
      </c>
      <c r="D14119" s="5" t="s">
        <v>1815</v>
      </c>
      <c r="E14119" s="6" t="s">
        <v>177</v>
      </c>
      <c r="F14119" s="5" t="s">
        <v>178</v>
      </c>
      <c r="G14119" s="6" t="str">
        <f>VLOOKUP(E14119,dicionario!$A$1:$C14519,2,0)</f>
        <v>Elaenia flavogaster</v>
      </c>
      <c r="H14119" s="6" t="str">
        <f>VLOOKUP(E14119,dicionario!$A$1:$C14519,3,0)</f>
        <v>guaracava-de-barriga-amarela</v>
      </c>
    </row>
    <row r="14120">
      <c r="A14120" s="3">
        <v>45911.0</v>
      </c>
      <c r="B14120" s="4">
        <v>0.3333333333333333</v>
      </c>
      <c r="C14120" s="5" t="s">
        <v>76</v>
      </c>
      <c r="D14120" s="5" t="s">
        <v>1815</v>
      </c>
      <c r="E14120" s="6" t="s">
        <v>116</v>
      </c>
      <c r="F14120" s="5" t="s">
        <v>117</v>
      </c>
      <c r="G14120" s="6" t="str">
        <f>VLOOKUP(E14120,dicionario!$A$1:$C14520,2,0)</f>
        <v>Argiope argentata</v>
      </c>
      <c r="H14120" s="6" t="str">
        <f>VLOOKUP(E14120,dicionario!$A$1:$C14520,3,0)</f>
        <v>aranha-de-prata</v>
      </c>
    </row>
    <row r="14121">
      <c r="A14121" s="3">
        <v>45911.0</v>
      </c>
      <c r="B14121" s="4">
        <v>0.3333333333333333</v>
      </c>
      <c r="C14121" s="5" t="s">
        <v>76</v>
      </c>
      <c r="D14121" s="5" t="s">
        <v>1815</v>
      </c>
      <c r="E14121" s="65" t="s">
        <v>1394</v>
      </c>
      <c r="F14121" s="5" t="s">
        <v>1395</v>
      </c>
      <c r="G14121" s="6" t="str">
        <f>VLOOKUP(E14121,dicionario!$A$1:$C14521,2,0)</f>
        <v>Cecropia glaziovii</v>
      </c>
      <c r="H14121" s="6" t="str">
        <f>VLOOKUP(E14121,dicionario!$A$1:$C14521,3,0)</f>
        <v>embaúba-vermelha-do-sul</v>
      </c>
    </row>
    <row r="14122">
      <c r="A14122" s="3">
        <v>45911.0</v>
      </c>
      <c r="B14122" s="4">
        <v>0.3333333333333333</v>
      </c>
      <c r="C14122" s="5" t="s">
        <v>76</v>
      </c>
      <c r="D14122" s="5" t="s">
        <v>1815</v>
      </c>
      <c r="E14122" s="6" t="s">
        <v>193</v>
      </c>
      <c r="F14122" s="5" t="s">
        <v>194</v>
      </c>
      <c r="G14122" s="6" t="str">
        <f>VLOOKUP(E14122,dicionario!$A$1:$C14522,2,0)</f>
        <v>Conirostrum speciosum</v>
      </c>
      <c r="H14122" s="6" t="str">
        <f>VLOOKUP(E14122,dicionario!$A$1:$C14522,3,0)</f>
        <v>figuinha-de-rabo-castanho</v>
      </c>
    </row>
    <row r="14123">
      <c r="A14123" s="3">
        <v>45911.0</v>
      </c>
      <c r="B14123" s="4">
        <v>0.3333333333333333</v>
      </c>
      <c r="C14123" s="5" t="s">
        <v>85</v>
      </c>
      <c r="D14123" s="5" t="s">
        <v>1815</v>
      </c>
      <c r="E14123" s="8" t="s">
        <v>298</v>
      </c>
      <c r="F14123" s="5"/>
      <c r="G14123" s="6" t="str">
        <f>VLOOKUP(E14123,dicionario!$A$1:$C14523,2,0)</f>
        <v>Alysicarpus vaginalis</v>
      </c>
      <c r="H14123" s="6" t="str">
        <f>VLOOKUP(E14123,dicionario!$A$1:$C14523,3,0)</f>
        <v/>
      </c>
    </row>
    <row r="14124">
      <c r="A14124" s="3">
        <v>45911.0</v>
      </c>
      <c r="B14124" s="4">
        <v>0.33402777777777776</v>
      </c>
      <c r="C14124" s="5" t="s">
        <v>85</v>
      </c>
      <c r="D14124" s="5" t="s">
        <v>1815</v>
      </c>
      <c r="E14124" s="8" t="s">
        <v>109</v>
      </c>
      <c r="F14124" s="5" t="s">
        <v>110</v>
      </c>
      <c r="G14124" s="6" t="str">
        <f>VLOOKUP(E14124,dicionario!$A$1:$C14524,2,0)</f>
        <v>Tillandsia stricta</v>
      </c>
      <c r="H14124" s="6" t="str">
        <f>VLOOKUP(E14124,dicionario!$A$1:$C14524,3,0)</f>
        <v>cravo-do-mato</v>
      </c>
    </row>
    <row r="14125">
      <c r="A14125" s="3">
        <v>45911.0</v>
      </c>
      <c r="B14125" s="4">
        <v>0.33402777777777776</v>
      </c>
      <c r="C14125" s="5" t="s">
        <v>85</v>
      </c>
      <c r="D14125" s="5" t="s">
        <v>1815</v>
      </c>
      <c r="E14125" s="8" t="s">
        <v>271</v>
      </c>
      <c r="F14125" s="5" t="s">
        <v>1169</v>
      </c>
      <c r="G14125" s="6" t="str">
        <f>VLOOKUP(E14125,dicionario!$A$1:$C14525,2,0)</f>
        <v>Cyanthillium cinereum</v>
      </c>
      <c r="H14125" s="6" t="str">
        <f>VLOOKUP(E14125,dicionario!$A$1:$C14525,3,0)</f>
        <v>emília</v>
      </c>
    </row>
    <row r="14126">
      <c r="A14126" s="3">
        <v>45911.0</v>
      </c>
      <c r="B14126" s="4">
        <v>0.33402777777777776</v>
      </c>
      <c r="C14126" s="5" t="s">
        <v>85</v>
      </c>
      <c r="D14126" s="5" t="s">
        <v>1815</v>
      </c>
      <c r="E14126" s="8" t="s">
        <v>712</v>
      </c>
      <c r="F14126" s="5" t="s">
        <v>912</v>
      </c>
      <c r="G14126" s="6" t="str">
        <f>VLOOKUP(E14126,dicionario!$A$1:$C14526,2,0)</f>
        <v>Flavopunctelia soredica</v>
      </c>
      <c r="H14126" s="6" t="str">
        <f>VLOOKUP(E14126,dicionario!$A$1:$C14526,3,0)</f>
        <v>líquen-folioso</v>
      </c>
    </row>
    <row r="14127">
      <c r="A14127" s="3">
        <v>45911.0</v>
      </c>
      <c r="B14127" s="4">
        <v>0.33402777777777776</v>
      </c>
      <c r="C14127" s="5" t="s">
        <v>85</v>
      </c>
      <c r="D14127" s="5" t="s">
        <v>1815</v>
      </c>
      <c r="E14127" s="8" t="s">
        <v>719</v>
      </c>
      <c r="F14127" s="5" t="s">
        <v>911</v>
      </c>
      <c r="G14127" s="6" t="str">
        <f>VLOOKUP(E14127,dicionario!$A$1:$C14527,2,0)</f>
        <v>Dirinaria</v>
      </c>
      <c r="H14127" s="6" t="str">
        <f>VLOOKUP(E14127,dicionario!$A$1:$C14527,3,0)</f>
        <v>líquen-crostoso</v>
      </c>
    </row>
    <row r="14128">
      <c r="A14128" s="3">
        <v>45911.0</v>
      </c>
      <c r="B14128" s="4">
        <v>0.33402777777777776</v>
      </c>
      <c r="C14128" s="5" t="s">
        <v>85</v>
      </c>
      <c r="D14128" s="5" t="s">
        <v>1815</v>
      </c>
      <c r="E14128" s="8" t="s">
        <v>135</v>
      </c>
      <c r="F14128" s="5" t="s">
        <v>136</v>
      </c>
      <c r="G14128" s="6" t="str">
        <f>VLOOKUP(E14128,dicionario!$A$1:$C14528,2,0)</f>
        <v>Tridax procumbens</v>
      </c>
      <c r="H14128" s="6" t="str">
        <f>VLOOKUP(E14128,dicionario!$A$1:$C14528,3,0)</f>
        <v>erva-de-touro</v>
      </c>
    </row>
    <row r="14129">
      <c r="A14129" s="3">
        <v>45911.0</v>
      </c>
      <c r="B14129" s="4">
        <v>0.3368055555555556</v>
      </c>
      <c r="C14129" s="5" t="s">
        <v>85</v>
      </c>
      <c r="D14129" s="5" t="s">
        <v>1815</v>
      </c>
      <c r="E14129" s="6" t="s">
        <v>88</v>
      </c>
      <c r="F14129" s="5" t="s">
        <v>89</v>
      </c>
      <c r="G14129" s="6" t="str">
        <f>VLOOKUP(E14129,dicionario!$A$1:$C14529,2,0)</f>
        <v>Tyrannus melancolichus</v>
      </c>
      <c r="H14129" s="6" t="str">
        <f>VLOOKUP(E14129,dicionario!$A$1:$C14529,3,0)</f>
        <v>suiriri</v>
      </c>
    </row>
    <row r="14130">
      <c r="A14130" s="3">
        <v>45911.0</v>
      </c>
      <c r="B14130" s="4">
        <v>0.3375</v>
      </c>
      <c r="C14130" s="5" t="s">
        <v>85</v>
      </c>
      <c r="D14130" s="5" t="s">
        <v>1815</v>
      </c>
      <c r="E14130" s="8" t="s">
        <v>162</v>
      </c>
      <c r="F14130" s="5" t="s">
        <v>42</v>
      </c>
      <c r="G14130" s="6" t="str">
        <f>VLOOKUP(E14130,dicionario!$A$1:$C14530,2,0)</f>
        <v>Fluvicola nengeta</v>
      </c>
      <c r="H14130" s="6" t="str">
        <f>VLOOKUP(E14130,dicionario!$A$1:$C14530,3,0)</f>
        <v>lavadeira-mascarada</v>
      </c>
    </row>
    <row r="14131">
      <c r="A14131" s="3">
        <v>45911.0</v>
      </c>
      <c r="B14131" s="4">
        <v>0.3375</v>
      </c>
      <c r="C14131" s="5" t="s">
        <v>85</v>
      </c>
      <c r="D14131" s="5" t="s">
        <v>1815</v>
      </c>
      <c r="E14131" s="8" t="s">
        <v>20</v>
      </c>
      <c r="F14131" s="5" t="s">
        <v>21</v>
      </c>
      <c r="G14131" s="6" t="str">
        <f>VLOOKUP(E14131,dicionario!$A$1:$C14531,2,0)</f>
        <v>Sicalis flaveola</v>
      </c>
      <c r="H14131" s="6" t="str">
        <f>VLOOKUP(E14131,dicionario!$A$1:$C14531,3,0)</f>
        <v>canário-da-terra</v>
      </c>
    </row>
    <row r="14132">
      <c r="A14132" s="3">
        <v>45911.0</v>
      </c>
      <c r="B14132" s="4">
        <v>0.3375</v>
      </c>
      <c r="C14132" s="5" t="s">
        <v>85</v>
      </c>
      <c r="D14132" s="5" t="s">
        <v>1815</v>
      </c>
      <c r="E14132" s="8" t="s">
        <v>1457</v>
      </c>
      <c r="F14132" s="5" t="s">
        <v>1457</v>
      </c>
      <c r="G14132" s="6" t="str">
        <f>VLOOKUP(E14132,dicionario!$A$1:$C14532,2,0)</f>
        <v>#N/A</v>
      </c>
      <c r="H14132" s="6" t="str">
        <f>VLOOKUP(E14132,dicionario!$A$1:$C14532,3,0)</f>
        <v>#N/A</v>
      </c>
    </row>
    <row r="14133">
      <c r="A14133" s="3">
        <v>45911.0</v>
      </c>
      <c r="B14133" s="4">
        <v>0.3375</v>
      </c>
      <c r="C14133" s="5" t="s">
        <v>85</v>
      </c>
      <c r="D14133" s="5" t="s">
        <v>1815</v>
      </c>
      <c r="E14133" s="8" t="s">
        <v>223</v>
      </c>
      <c r="F14133" s="5"/>
      <c r="G14133" s="6" t="str">
        <f>VLOOKUP(E14133,dicionario!$A$1:$C14533,2,0)</f>
        <v>Rhipsalis lindbergiana</v>
      </c>
      <c r="H14133" s="6" t="str">
        <f>VLOOKUP(E14133,dicionario!$A$1:$C14533,3,0)</f>
        <v>cacto-macarrão</v>
      </c>
    </row>
    <row r="14134">
      <c r="A14134" s="3">
        <v>45911.0</v>
      </c>
      <c r="B14134" s="4">
        <v>0.3375</v>
      </c>
      <c r="C14134" s="5" t="s">
        <v>85</v>
      </c>
      <c r="D14134" s="5" t="s">
        <v>1815</v>
      </c>
      <c r="E14134" s="8" t="s">
        <v>150</v>
      </c>
      <c r="F14134" s="5" t="s">
        <v>151</v>
      </c>
      <c r="G14134" s="6" t="str">
        <f>VLOOKUP(E14134,dicionario!$A$1:$C14534,2,0)</f>
        <v>Amaranthus viridis</v>
      </c>
      <c r="H14134" s="6" t="str">
        <f>VLOOKUP(E14134,dicionario!$A$1:$C14534,3,0)</f>
        <v>caruru-de-mancha</v>
      </c>
    </row>
    <row r="14135">
      <c r="A14135" s="3">
        <v>45911.0</v>
      </c>
      <c r="B14135" s="4">
        <v>0.3375</v>
      </c>
      <c r="C14135" s="5" t="s">
        <v>85</v>
      </c>
      <c r="D14135" s="5" t="s">
        <v>1815</v>
      </c>
      <c r="E14135" s="8" t="s">
        <v>1798</v>
      </c>
      <c r="F14135" s="7" t="s">
        <v>321</v>
      </c>
      <c r="G14135" s="6" t="str">
        <f>VLOOKUP(E14135,dicionario!$A$1:$C14535,2,0)</f>
        <v>Solenopsis</v>
      </c>
      <c r="H14135" s="6" t="str">
        <f>VLOOKUP(E14135,dicionario!$A$1:$C14535,3,0)</f>
        <v>formiga-quente; formiga-lava-pés; formiga-de-fogo</v>
      </c>
    </row>
    <row r="14136">
      <c r="A14136" s="3">
        <v>45911.0</v>
      </c>
      <c r="B14136" s="4">
        <v>0.3375</v>
      </c>
      <c r="C14136" s="5" t="s">
        <v>85</v>
      </c>
      <c r="D14136" s="5" t="s">
        <v>1815</v>
      </c>
      <c r="E14136" s="6" t="s">
        <v>113</v>
      </c>
      <c r="F14136" s="5" t="s">
        <v>114</v>
      </c>
      <c r="G14136" s="6" t="str">
        <f>VLOOKUP(E14136,dicionario!$A$1:$C14536,2,0)</f>
        <v>Columbina talpacoti</v>
      </c>
      <c r="H14136" s="6" t="str">
        <f>VLOOKUP(E14136,dicionario!$A$1:$C14536,3,0)</f>
        <v>rolinha-roxa</v>
      </c>
    </row>
    <row r="14137">
      <c r="A14137" s="3">
        <v>45911.0</v>
      </c>
      <c r="B14137" s="4">
        <v>0.3375</v>
      </c>
      <c r="C14137" s="5" t="s">
        <v>85</v>
      </c>
      <c r="D14137" s="5" t="s">
        <v>1815</v>
      </c>
      <c r="E14137" s="8" t="s">
        <v>200</v>
      </c>
      <c r="F14137" s="5" t="s">
        <v>201</v>
      </c>
      <c r="G14137" s="6" t="str">
        <f>VLOOKUP(E14137,dicionario!$A$1:$C14537,2,0)</f>
        <v>Columbina picui </v>
      </c>
      <c r="H14137" s="6" t="str">
        <f>VLOOKUP(E14137,dicionario!$A$1:$C14537,3,0)</f>
        <v>rolinha-picuí</v>
      </c>
    </row>
    <row r="14138">
      <c r="A14138" s="3">
        <v>45911.0</v>
      </c>
      <c r="B14138" s="4">
        <v>0.3375</v>
      </c>
      <c r="C14138" s="5" t="s">
        <v>85</v>
      </c>
      <c r="D14138" s="5" t="s">
        <v>1815</v>
      </c>
      <c r="E14138" s="6" t="s">
        <v>383</v>
      </c>
      <c r="F14138" s="5" t="s">
        <v>384</v>
      </c>
      <c r="G14138" s="6" t="str">
        <f>VLOOKUP(E14138,dicionario!$A$1:$C14538,2,0)</f>
        <v>Setophaga pitiayumi</v>
      </c>
      <c r="H14138" s="6" t="str">
        <f>VLOOKUP(E14138,dicionario!$A$1:$C14538,3,0)</f>
        <v>mariquita</v>
      </c>
    </row>
    <row r="14139">
      <c r="A14139" s="3">
        <v>45911.0</v>
      </c>
      <c r="B14139" s="4">
        <v>0.3388888888888889</v>
      </c>
      <c r="C14139" s="5" t="s">
        <v>85</v>
      </c>
      <c r="D14139" s="5" t="s">
        <v>1815</v>
      </c>
      <c r="E14139" s="6" t="s">
        <v>65</v>
      </c>
      <c r="F14139" s="5" t="s">
        <v>66</v>
      </c>
      <c r="G14139" s="6" t="str">
        <f>VLOOKUP(E14139,dicionario!$A$1:$C14539,2,0)</f>
        <v>Pitangus sulphutarus</v>
      </c>
      <c r="H14139" s="6" t="str">
        <f>VLOOKUP(E14139,dicionario!$A$1:$C14539,3,0)</f>
        <v>bem-te-vi</v>
      </c>
    </row>
    <row r="14140">
      <c r="A14140" s="3">
        <v>45911.0</v>
      </c>
      <c r="B14140" s="4">
        <v>0.3388888888888889</v>
      </c>
      <c r="C14140" s="5" t="s">
        <v>85</v>
      </c>
      <c r="D14140" s="5" t="s">
        <v>1815</v>
      </c>
      <c r="E14140" s="6" t="s">
        <v>148</v>
      </c>
      <c r="F14140" s="5" t="s">
        <v>149</v>
      </c>
      <c r="G14140" s="6" t="str">
        <f>VLOOKUP(E14140,dicionario!$A$1:$C14540,2,0)</f>
        <v>Parthenium hysterophorus</v>
      </c>
      <c r="H14140" s="6" t="str">
        <f>VLOOKUP(E14140,dicionario!$A$1:$C14540,3,0)</f>
        <v>losna-branca</v>
      </c>
    </row>
    <row r="14141">
      <c r="A14141" s="3">
        <v>45911.0</v>
      </c>
      <c r="B14141" s="4">
        <v>0.3388888888888889</v>
      </c>
      <c r="C14141" s="5" t="s">
        <v>85</v>
      </c>
      <c r="D14141" s="5" t="s">
        <v>1815</v>
      </c>
      <c r="E14141" s="6" t="s">
        <v>243</v>
      </c>
      <c r="F14141" s="5" t="s">
        <v>244</v>
      </c>
      <c r="G14141" s="6" t="str">
        <f>VLOOKUP(E14141,dicionario!$A$1:$C14541,2,0)</f>
        <v>Macroptilium atropurpureum</v>
      </c>
      <c r="H14141" s="6" t="str">
        <f>VLOOKUP(E14141,dicionario!$A$1:$C14541,3,0)</f>
        <v>feijão-de-pombo</v>
      </c>
    </row>
    <row r="14142">
      <c r="A14142" s="3">
        <v>45911.0</v>
      </c>
      <c r="B14142" s="4">
        <v>0.3388888888888889</v>
      </c>
      <c r="C14142" s="5" t="s">
        <v>85</v>
      </c>
      <c r="D14142" s="5" t="s">
        <v>1815</v>
      </c>
      <c r="E14142" s="6" t="s">
        <v>253</v>
      </c>
      <c r="F14142" s="5" t="s">
        <v>254</v>
      </c>
      <c r="G14142" s="6" t="str">
        <f>VLOOKUP(E14142,dicionario!$A$1:$C14542,2,0)</f>
        <v>Panicum maximum</v>
      </c>
      <c r="H14142" s="6" t="str">
        <f>VLOOKUP(E14142,dicionario!$A$1:$C14542,3,0)</f>
        <v>capim-colonião</v>
      </c>
    </row>
    <row r="14143">
      <c r="A14143" s="3">
        <v>45911.0</v>
      </c>
      <c r="B14143" s="4">
        <v>0.3388888888888889</v>
      </c>
      <c r="C14143" s="5" t="s">
        <v>85</v>
      </c>
      <c r="D14143" s="5" t="s">
        <v>1815</v>
      </c>
      <c r="E14143" s="8" t="s">
        <v>107</v>
      </c>
      <c r="F14143" s="5" t="s">
        <v>108</v>
      </c>
      <c r="G14143" s="6" t="str">
        <f>VLOOKUP(E14143,dicionario!$A$1:$C14543,2,0)</f>
        <v>Ramalina complanata</v>
      </c>
      <c r="H14143" s="6" t="str">
        <f>VLOOKUP(E14143,dicionario!$A$1:$C14543,3,0)</f>
        <v>ramalina</v>
      </c>
    </row>
    <row r="14144">
      <c r="A14144" s="3">
        <v>45911.0</v>
      </c>
      <c r="B14144" s="4">
        <v>0.3388888888888889</v>
      </c>
      <c r="C14144" s="5" t="s">
        <v>85</v>
      </c>
      <c r="D14144" s="5" t="s">
        <v>1815</v>
      </c>
      <c r="E14144" s="8" t="s">
        <v>624</v>
      </c>
      <c r="F14144" s="5" t="s">
        <v>133</v>
      </c>
      <c r="G14144" s="6" t="str">
        <f>VLOOKUP(E14144,dicionario!$A$1:$C14544,2,0)</f>
        <v>Euphonia violacea</v>
      </c>
      <c r="H14144" s="6" t="str">
        <f>VLOOKUP(E14144,dicionario!$A$1:$C14544,3,0)</f>
        <v>gaturamo-verdadeiro</v>
      </c>
    </row>
    <row r="14145">
      <c r="A14145" s="3">
        <v>45911.0</v>
      </c>
      <c r="B14145" s="4">
        <v>0.3388888888888889</v>
      </c>
      <c r="C14145" s="5" t="s">
        <v>85</v>
      </c>
      <c r="D14145" s="5" t="s">
        <v>1815</v>
      </c>
      <c r="E14145" s="6" t="s">
        <v>53</v>
      </c>
      <c r="F14145" s="5" t="s">
        <v>54</v>
      </c>
      <c r="G14145" s="6" t="str">
        <f>VLOOKUP(E14145,dicionario!$A$1:$C14545,2,0)</f>
        <v>Turnera subulata</v>
      </c>
      <c r="H14145" s="6" t="str">
        <f>VLOOKUP(E14145,dicionario!$A$1:$C14545,3,0)</f>
        <v>xanana</v>
      </c>
    </row>
    <row r="14146">
      <c r="A14146" s="3">
        <v>45911.0</v>
      </c>
      <c r="B14146" s="4">
        <v>0.3388888888888889</v>
      </c>
      <c r="C14146" s="5" t="s">
        <v>85</v>
      </c>
      <c r="D14146" s="5" t="s">
        <v>1815</v>
      </c>
      <c r="E14146" s="8" t="s">
        <v>271</v>
      </c>
      <c r="F14146" s="5" t="s">
        <v>1169</v>
      </c>
      <c r="G14146" s="6" t="str">
        <f>VLOOKUP(E14146,dicionario!$A$1:$C14546,2,0)</f>
        <v>Cyanthillium cinereum</v>
      </c>
      <c r="H14146" s="6" t="str">
        <f>VLOOKUP(E14146,dicionario!$A$1:$C14546,3,0)</f>
        <v>emília</v>
      </c>
    </row>
    <row r="14147">
      <c r="A14147" s="3">
        <v>45911.0</v>
      </c>
      <c r="B14147" s="4">
        <v>0.3388888888888889</v>
      </c>
      <c r="C14147" s="5" t="s">
        <v>85</v>
      </c>
      <c r="D14147" s="5" t="s">
        <v>1815</v>
      </c>
      <c r="E14147" s="6" t="s">
        <v>519</v>
      </c>
      <c r="F14147" s="5" t="s">
        <v>1826</v>
      </c>
      <c r="G14147" s="6" t="str">
        <f>VLOOKUP(E14147,dicionario!$A$1:$C14547,2,0)</f>
        <v>Drosophila melanogaster</v>
      </c>
      <c r="H14147" s="6" t="str">
        <f>VLOOKUP(E14147,dicionario!$A$1:$C14547,3,0)</f>
        <v>mitinga/mosca-da-fruta</v>
      </c>
    </row>
    <row r="14148">
      <c r="A14148" s="3">
        <v>45911.0</v>
      </c>
      <c r="B14148" s="4">
        <v>0.3388888888888889</v>
      </c>
      <c r="C14148" s="5" t="s">
        <v>85</v>
      </c>
      <c r="D14148" s="5" t="s">
        <v>1815</v>
      </c>
      <c r="E14148" s="8" t="s">
        <v>135</v>
      </c>
      <c r="F14148" s="5" t="s">
        <v>136</v>
      </c>
      <c r="G14148" s="6" t="str">
        <f>VLOOKUP(E14148,dicionario!$A$1:$C14548,2,0)</f>
        <v>Tridax procumbens</v>
      </c>
      <c r="H14148" s="6" t="str">
        <f>VLOOKUP(E14148,dicionario!$A$1:$C14548,3,0)</f>
        <v>erva-de-touro</v>
      </c>
    </row>
    <row r="14149">
      <c r="A14149" s="3">
        <v>45911.0</v>
      </c>
      <c r="B14149" s="4">
        <v>0.3388888888888889</v>
      </c>
      <c r="C14149" s="5" t="s">
        <v>85</v>
      </c>
      <c r="D14149" s="5" t="s">
        <v>1815</v>
      </c>
      <c r="E14149" s="8" t="s">
        <v>14</v>
      </c>
      <c r="F14149" s="5" t="s">
        <v>15</v>
      </c>
      <c r="G14149" s="6" t="str">
        <f>VLOOKUP(E14149,dicionario!$A$1:$C14549,2,0)</f>
        <v>Spermacoce verticillata</v>
      </c>
      <c r="H14149" s="6" t="str">
        <f>VLOOKUP(E14149,dicionario!$A$1:$C14549,3,0)</f>
        <v>vassourinha-de-botão</v>
      </c>
    </row>
    <row r="14150">
      <c r="A14150" s="3">
        <v>45911.0</v>
      </c>
      <c r="B14150" s="4">
        <v>0.3402777777777778</v>
      </c>
      <c r="C14150" s="5" t="s">
        <v>85</v>
      </c>
      <c r="D14150" s="5" t="s">
        <v>1815</v>
      </c>
      <c r="E14150" s="8" t="s">
        <v>1787</v>
      </c>
      <c r="F14150" s="5" t="s">
        <v>418</v>
      </c>
      <c r="G14150" s="6" t="str">
        <f>VLOOKUP(E14150,dicionario!$A$1:$C14550,2,0)</f>
        <v>Camponotus</v>
      </c>
      <c r="H14150" s="6" t="str">
        <f>VLOOKUP(E14150,dicionario!$A$1:$C14550,3,0)</f>
        <v>formiga-preta</v>
      </c>
    </row>
    <row r="14151">
      <c r="A14151" s="3">
        <v>45911.0</v>
      </c>
      <c r="B14151" s="4">
        <v>0.3402777777777778</v>
      </c>
      <c r="C14151" s="5" t="s">
        <v>90</v>
      </c>
      <c r="D14151" s="5" t="s">
        <v>1815</v>
      </c>
      <c r="E14151" s="8" t="s">
        <v>109</v>
      </c>
      <c r="F14151" s="5" t="s">
        <v>110</v>
      </c>
      <c r="G14151" s="6" t="str">
        <f>VLOOKUP(E14151,dicionario!$A$1:$C14551,2,0)</f>
        <v>Tillandsia stricta</v>
      </c>
      <c r="H14151" s="6" t="str">
        <f>VLOOKUP(E14151,dicionario!$A$1:$C14551,3,0)</f>
        <v>cravo-do-mato</v>
      </c>
    </row>
    <row r="14152">
      <c r="A14152" s="3">
        <v>45911.0</v>
      </c>
      <c r="B14152" s="4">
        <v>0.3402777777777778</v>
      </c>
      <c r="C14152" s="5" t="s">
        <v>90</v>
      </c>
      <c r="D14152" s="5" t="s">
        <v>1815</v>
      </c>
      <c r="E14152" s="8" t="s">
        <v>712</v>
      </c>
      <c r="F14152" s="5" t="s">
        <v>912</v>
      </c>
      <c r="G14152" s="6" t="str">
        <f>VLOOKUP(E14152,dicionario!$A$1:$C14552,2,0)</f>
        <v>Flavopunctelia soredica</v>
      </c>
      <c r="H14152" s="6" t="str">
        <f>VLOOKUP(E14152,dicionario!$A$1:$C14552,3,0)</f>
        <v>líquen-folioso</v>
      </c>
    </row>
    <row r="14153">
      <c r="A14153" s="3">
        <v>45911.0</v>
      </c>
      <c r="B14153" s="4">
        <v>0.3423611111111111</v>
      </c>
      <c r="C14153" s="5" t="s">
        <v>90</v>
      </c>
      <c r="D14153" s="5" t="s">
        <v>1815</v>
      </c>
      <c r="E14153" s="8" t="s">
        <v>719</v>
      </c>
      <c r="F14153" s="5" t="s">
        <v>911</v>
      </c>
      <c r="G14153" s="6" t="str">
        <f>VLOOKUP(E14153,dicionario!$A$1:$C14553,2,0)</f>
        <v>Dirinaria</v>
      </c>
      <c r="H14153" s="6" t="str">
        <f>VLOOKUP(E14153,dicionario!$A$1:$C14553,3,0)</f>
        <v>líquen-crostoso</v>
      </c>
    </row>
    <row r="14154">
      <c r="A14154" s="3">
        <v>45911.0</v>
      </c>
      <c r="B14154" s="4">
        <v>0.3423611111111111</v>
      </c>
      <c r="C14154" s="5" t="s">
        <v>90</v>
      </c>
      <c r="D14154" s="5" t="s">
        <v>1815</v>
      </c>
      <c r="E14154" s="65" t="s">
        <v>1024</v>
      </c>
      <c r="F14154" s="5" t="s">
        <v>969</v>
      </c>
      <c r="G14154" s="6" t="str">
        <f>VLOOKUP(E14154,dicionario!$A$1:$C14554,2,0)</f>
        <v>Usnea barbata</v>
      </c>
      <c r="H14154" s="6" t="str">
        <f>VLOOKUP(E14154,dicionario!$A$1:$C14554,3,0)</f>
        <v>barba-de-velho</v>
      </c>
    </row>
    <row r="14155">
      <c r="A14155" s="3">
        <v>45911.0</v>
      </c>
      <c r="B14155" s="4">
        <v>0.3423611111111111</v>
      </c>
      <c r="C14155" s="5" t="s">
        <v>90</v>
      </c>
      <c r="D14155" s="5" t="s">
        <v>1815</v>
      </c>
      <c r="E14155" s="8" t="s">
        <v>107</v>
      </c>
      <c r="F14155" s="5" t="s">
        <v>834</v>
      </c>
      <c r="G14155" s="6" t="str">
        <f>VLOOKUP(E14155,dicionario!$A$1:$C14555,2,0)</f>
        <v>Ramalina complanata</v>
      </c>
      <c r="H14155" s="6" t="str">
        <f>VLOOKUP(E14155,dicionario!$A$1:$C14555,3,0)</f>
        <v>ramalina</v>
      </c>
    </row>
    <row r="14156">
      <c r="A14156" s="3">
        <v>45911.0</v>
      </c>
      <c r="B14156" s="4">
        <v>0.3423611111111111</v>
      </c>
      <c r="C14156" s="5" t="s">
        <v>90</v>
      </c>
      <c r="D14156" s="5" t="s">
        <v>1815</v>
      </c>
      <c r="E14156" s="6" t="s">
        <v>302</v>
      </c>
      <c r="F14156" s="5" t="s">
        <v>303</v>
      </c>
      <c r="G14156" s="6" t="str">
        <f>VLOOKUP(E14156,dicionario!$A$1:$C14556,2,0)</f>
        <v>Machetornis rixosa</v>
      </c>
      <c r="H14156" s="6" t="str">
        <f>VLOOKUP(E14156,dicionario!$A$1:$C14556,3,0)</f>
        <v>suiriri-cavaleiro</v>
      </c>
    </row>
    <row r="14157">
      <c r="A14157" s="3">
        <v>45911.0</v>
      </c>
      <c r="B14157" s="4">
        <v>0.3423611111111111</v>
      </c>
      <c r="C14157" s="5" t="s">
        <v>90</v>
      </c>
      <c r="D14157" s="5" t="s">
        <v>1815</v>
      </c>
      <c r="E14157" s="6" t="s">
        <v>65</v>
      </c>
      <c r="F14157" s="5" t="s">
        <v>66</v>
      </c>
      <c r="G14157" s="6" t="str">
        <f>VLOOKUP(E14157,dicionario!$A$1:$C14557,2,0)</f>
        <v>Pitangus sulphutarus</v>
      </c>
      <c r="H14157" s="6" t="str">
        <f>VLOOKUP(E14157,dicionario!$A$1:$C14557,3,0)</f>
        <v>bem-te-vi</v>
      </c>
    </row>
    <row r="14158">
      <c r="A14158" s="3">
        <v>45911.0</v>
      </c>
      <c r="B14158" s="4">
        <v>0.3423611111111111</v>
      </c>
      <c r="C14158" s="5" t="s">
        <v>90</v>
      </c>
      <c r="D14158" s="5" t="s">
        <v>1815</v>
      </c>
      <c r="E14158" s="8" t="s">
        <v>298</v>
      </c>
      <c r="F14158" s="5"/>
      <c r="G14158" s="6" t="str">
        <f>VLOOKUP(E14158,dicionario!$A$1:$C14558,2,0)</f>
        <v>Alysicarpus vaginalis</v>
      </c>
      <c r="H14158" s="6" t="str">
        <f>VLOOKUP(E14158,dicionario!$A$1:$C14558,3,0)</f>
        <v/>
      </c>
    </row>
    <row r="14159">
      <c r="A14159" s="3">
        <v>45911.0</v>
      </c>
      <c r="B14159" s="4">
        <v>0.3423611111111111</v>
      </c>
      <c r="C14159" s="5" t="s">
        <v>90</v>
      </c>
      <c r="D14159" s="5" t="s">
        <v>1815</v>
      </c>
      <c r="E14159" s="8" t="s">
        <v>1503</v>
      </c>
      <c r="F14159" s="5" t="s">
        <v>1504</v>
      </c>
      <c r="G14159" s="6" t="str">
        <f>VLOOKUP(E14159,dicionario!$A$1:$C14559,2,0)</f>
        <v>#N/A</v>
      </c>
      <c r="H14159" s="6" t="str">
        <f>VLOOKUP(E14159,dicionario!$A$1:$C14559,3,0)</f>
        <v>#N/A</v>
      </c>
    </row>
    <row r="14160">
      <c r="A14160" s="3">
        <v>45911.0</v>
      </c>
      <c r="B14160" s="4">
        <v>0.34305555555555556</v>
      </c>
      <c r="C14160" s="5" t="s">
        <v>90</v>
      </c>
      <c r="D14160" s="5" t="s">
        <v>1815</v>
      </c>
      <c r="E14160" s="8" t="s">
        <v>498</v>
      </c>
      <c r="F14160" s="5" t="s">
        <v>499</v>
      </c>
      <c r="G14160" s="6" t="str">
        <f>VLOOKUP(E14160,dicionario!$A$1:$C14560,2,0)</f>
        <v>Brachiaria decumbens</v>
      </c>
      <c r="H14160" s="6" t="str">
        <f>VLOOKUP(E14160,dicionario!$A$1:$C14560,3,0)</f>
        <v>capim-braquiária</v>
      </c>
    </row>
    <row r="14161">
      <c r="A14161" s="3">
        <v>45911.0</v>
      </c>
      <c r="B14161" s="4">
        <v>0.34305555555555556</v>
      </c>
      <c r="C14161" s="5" t="s">
        <v>90</v>
      </c>
      <c r="D14161" s="5" t="s">
        <v>1815</v>
      </c>
      <c r="E14161" s="6" t="s">
        <v>286</v>
      </c>
      <c r="F14161" s="5" t="s">
        <v>287</v>
      </c>
      <c r="G14161" s="6" t="str">
        <f>VLOOKUP(E14161,dicionario!$A$1:$C14561,2,0)</f>
        <v>Setaria parviflora</v>
      </c>
      <c r="H14161" s="6" t="str">
        <f>VLOOKUP(E14161,dicionario!$A$1:$C14561,3,0)</f>
        <v>capim-rabo-de-raposa</v>
      </c>
    </row>
    <row r="14162">
      <c r="A14162" s="3">
        <v>45911.0</v>
      </c>
      <c r="B14162" s="4">
        <v>0.34305555555555556</v>
      </c>
      <c r="C14162" s="5" t="s">
        <v>90</v>
      </c>
      <c r="D14162" s="5" t="s">
        <v>1815</v>
      </c>
      <c r="E14162" s="8" t="s">
        <v>1798</v>
      </c>
      <c r="F14162" s="7" t="s">
        <v>321</v>
      </c>
      <c r="G14162" s="6" t="str">
        <f>VLOOKUP(E14162,dicionario!$A$1:$C14562,2,0)</f>
        <v>Solenopsis</v>
      </c>
      <c r="H14162" s="6" t="str">
        <f>VLOOKUP(E14162,dicionario!$A$1:$C14562,3,0)</f>
        <v>formiga-quente; formiga-lava-pés; formiga-de-fogo</v>
      </c>
    </row>
    <row r="14163">
      <c r="A14163" s="3">
        <v>45911.0</v>
      </c>
      <c r="B14163" s="4">
        <v>0.34305555555555556</v>
      </c>
      <c r="C14163" s="5" t="s">
        <v>90</v>
      </c>
      <c r="D14163" s="5" t="s">
        <v>1815</v>
      </c>
      <c r="E14163" s="6" t="s">
        <v>48</v>
      </c>
      <c r="F14163" s="5" t="s">
        <v>49</v>
      </c>
      <c r="G14163" s="6" t="str">
        <f>VLOOKUP(E14163,dicionario!$A$1:$C14563,2,0)</f>
        <v>Commelina erecta</v>
      </c>
      <c r="H14163" s="6" t="str">
        <f>VLOOKUP(E14163,dicionario!$A$1:$C14563,3,0)</f>
        <v>trapoeraba</v>
      </c>
    </row>
    <row r="14164">
      <c r="A14164" s="3">
        <v>45911.0</v>
      </c>
      <c r="B14164" s="4">
        <v>0.34305555555555556</v>
      </c>
      <c r="C14164" s="5" t="s">
        <v>90</v>
      </c>
      <c r="D14164" s="5" t="s">
        <v>1815</v>
      </c>
      <c r="E14164" s="8" t="s">
        <v>135</v>
      </c>
      <c r="F14164" s="5" t="s">
        <v>136</v>
      </c>
      <c r="G14164" s="6" t="str">
        <f>VLOOKUP(E14164,dicionario!$A$1:$C14564,2,0)</f>
        <v>Tridax procumbens</v>
      </c>
      <c r="H14164" s="6" t="str">
        <f>VLOOKUP(E14164,dicionario!$A$1:$C14564,3,0)</f>
        <v>erva-de-touro</v>
      </c>
    </row>
    <row r="14165">
      <c r="A14165" s="3">
        <v>45911.0</v>
      </c>
      <c r="B14165" s="4">
        <v>0.34305555555555556</v>
      </c>
      <c r="C14165" s="5" t="s">
        <v>90</v>
      </c>
      <c r="D14165" s="5" t="s">
        <v>1815</v>
      </c>
      <c r="E14165" s="6" t="s">
        <v>467</v>
      </c>
      <c r="F14165" s="5" t="s">
        <v>1365</v>
      </c>
      <c r="G14165" s="6" t="str">
        <f>VLOOKUP(E14165,dicionario!$A$1:$C14565,2,0)</f>
        <v>Eleusine indica</v>
      </c>
      <c r="H14165" s="6" t="str">
        <f>VLOOKUP(E14165,dicionario!$A$1:$C14565,3,0)</f>
        <v>capim-pé-de-galinha</v>
      </c>
    </row>
    <row r="14166">
      <c r="A14166" s="3">
        <v>45911.0</v>
      </c>
      <c r="B14166" s="4">
        <v>0.34305555555555556</v>
      </c>
      <c r="C14166" s="5" t="s">
        <v>90</v>
      </c>
      <c r="D14166" s="5" t="s">
        <v>1815</v>
      </c>
      <c r="E14166" s="6" t="s">
        <v>225</v>
      </c>
      <c r="F14166" s="5" t="s">
        <v>226</v>
      </c>
      <c r="G14166" s="6" t="str">
        <f>VLOOKUP(E14166,dicionario!$A$1:$C14566,2,0)</f>
        <v>Passer domesticus</v>
      </c>
      <c r="H14166" s="6" t="str">
        <f>VLOOKUP(E14166,dicionario!$A$1:$C14566,3,0)</f>
        <v>pardal</v>
      </c>
    </row>
    <row r="14167">
      <c r="A14167" s="3">
        <v>45911.0</v>
      </c>
      <c r="B14167" s="4">
        <v>0.34375</v>
      </c>
      <c r="C14167" s="5" t="s">
        <v>90</v>
      </c>
      <c r="D14167" s="5" t="s">
        <v>1815</v>
      </c>
      <c r="E14167" s="6" t="s">
        <v>43</v>
      </c>
      <c r="F14167" s="5" t="s">
        <v>44</v>
      </c>
      <c r="G14167" s="6" t="str">
        <f>VLOOKUP(E14167,dicionario!$A$1:$C14567,2,0)</f>
        <v>Columba livia</v>
      </c>
      <c r="H14167" s="6" t="str">
        <f>VLOOKUP(E14167,dicionario!$A$1:$C14567,3,0)</f>
        <v>pombo-doméstico</v>
      </c>
    </row>
    <row r="14168">
      <c r="A14168" s="3">
        <v>45911.0</v>
      </c>
      <c r="B14168" s="4">
        <v>0.34444444444444444</v>
      </c>
      <c r="C14168" s="5" t="s">
        <v>90</v>
      </c>
      <c r="D14168" s="5" t="s">
        <v>1815</v>
      </c>
      <c r="E14168" s="6" t="s">
        <v>88</v>
      </c>
      <c r="F14168" s="5" t="s">
        <v>89</v>
      </c>
      <c r="G14168" s="6" t="str">
        <f>VLOOKUP(E14168,dicionario!$A$1:$C14568,2,0)</f>
        <v>Tyrannus melancolichus</v>
      </c>
      <c r="H14168" s="6" t="str">
        <f>VLOOKUP(E14168,dicionario!$A$1:$C14568,3,0)</f>
        <v>suiriri</v>
      </c>
    </row>
    <row r="14169">
      <c r="A14169" s="3">
        <v>45911.0</v>
      </c>
      <c r="B14169" s="4">
        <v>0.34444444444444444</v>
      </c>
      <c r="C14169" s="5" t="s">
        <v>90</v>
      </c>
      <c r="D14169" s="5" t="s">
        <v>1815</v>
      </c>
      <c r="E14169" s="6" t="s">
        <v>53</v>
      </c>
      <c r="F14169" s="5" t="s">
        <v>54</v>
      </c>
      <c r="G14169" s="6" t="str">
        <f>VLOOKUP(E14169,dicionario!$A$1:$C14569,2,0)</f>
        <v>Turnera subulata</v>
      </c>
      <c r="H14169" s="6" t="str">
        <f>VLOOKUP(E14169,dicionario!$A$1:$C14569,3,0)</f>
        <v>xanana</v>
      </c>
    </row>
    <row r="14170">
      <c r="A14170" s="3">
        <v>45911.0</v>
      </c>
      <c r="B14170" s="4">
        <v>0.34444444444444444</v>
      </c>
      <c r="C14170" s="5" t="s">
        <v>90</v>
      </c>
      <c r="D14170" s="5" t="s">
        <v>1815</v>
      </c>
      <c r="E14170" s="6" t="s">
        <v>631</v>
      </c>
      <c r="F14170" s="5" t="s">
        <v>632</v>
      </c>
      <c r="G14170" s="6" t="str">
        <f>VLOOKUP(E14170,dicionario!$A$1:$C14570,2,0)</f>
        <v>Chamaecrista nictitans</v>
      </c>
      <c r="H14170" s="6" t="str">
        <f>VLOOKUP(E14170,dicionario!$A$1:$C14570,3,0)</f>
        <v>falsa-dormideira</v>
      </c>
    </row>
    <row r="14171">
      <c r="A14171" s="3">
        <v>45911.0</v>
      </c>
      <c r="B14171" s="4">
        <v>0.3451388888888889</v>
      </c>
      <c r="C14171" s="5" t="s">
        <v>90</v>
      </c>
      <c r="D14171" s="5" t="s">
        <v>1815</v>
      </c>
      <c r="E14171" s="6" t="s">
        <v>113</v>
      </c>
      <c r="F14171" s="5" t="s">
        <v>114</v>
      </c>
      <c r="G14171" s="6" t="str">
        <f>VLOOKUP(E14171,dicionario!$A$1:$C14571,2,0)</f>
        <v>Columbina talpacoti</v>
      </c>
      <c r="H14171" s="6" t="str">
        <f>VLOOKUP(E14171,dicionario!$A$1:$C14571,3,0)</f>
        <v>rolinha-roxa</v>
      </c>
    </row>
    <row r="14172">
      <c r="A14172" s="3">
        <v>45911.0</v>
      </c>
      <c r="B14172" s="4">
        <v>0.3451388888888889</v>
      </c>
      <c r="C14172" s="5" t="s">
        <v>90</v>
      </c>
      <c r="D14172" s="5" t="s">
        <v>1815</v>
      </c>
      <c r="E14172" s="6" t="s">
        <v>353</v>
      </c>
      <c r="F14172" s="5" t="s">
        <v>354</v>
      </c>
      <c r="G14172" s="6" t="str">
        <f>VLOOKUP(E14172,dicionario!$A$1:$C14572,2,0)</f>
        <v>Desmodium incanum</v>
      </c>
      <c r="H14172" s="6" t="str">
        <f>VLOOKUP(E14172,dicionario!$A$1:$C14572,3,0)</f>
        <v>pega-pega</v>
      </c>
    </row>
    <row r="14173">
      <c r="A14173" s="3">
        <v>45911.0</v>
      </c>
      <c r="B14173" s="4">
        <v>0.3458333333333333</v>
      </c>
      <c r="C14173" s="5" t="s">
        <v>90</v>
      </c>
      <c r="D14173" s="5" t="s">
        <v>1815</v>
      </c>
      <c r="E14173" s="6" t="s">
        <v>144</v>
      </c>
      <c r="F14173" s="5" t="s">
        <v>145</v>
      </c>
      <c r="G14173" s="6" t="str">
        <f>VLOOKUP(E14173,dicionario!$A$1:$C14573,2,0)</f>
        <v>Gomphrena globosa</v>
      </c>
      <c r="H14173" s="6" t="str">
        <f>VLOOKUP(E14173,dicionario!$A$1:$C14573,3,0)</f>
        <v>perpétua-rosa</v>
      </c>
    </row>
    <row r="14174">
      <c r="A14174" s="3">
        <v>45911.0</v>
      </c>
      <c r="B14174" s="4">
        <v>0.3458333333333333</v>
      </c>
      <c r="C14174" s="5" t="s">
        <v>90</v>
      </c>
      <c r="D14174" s="5" t="s">
        <v>1815</v>
      </c>
      <c r="E14174" s="6" t="s">
        <v>215</v>
      </c>
      <c r="F14174" s="5" t="s">
        <v>216</v>
      </c>
      <c r="G14174" s="6" t="str">
        <f>VLOOKUP(E14174,dicionario!$A$1:$C14574,2,0)</f>
        <v>Pygochelidon cyanoleuca</v>
      </c>
      <c r="H14174" s="6" t="str">
        <f>VLOOKUP(E14174,dicionario!$A$1:$C14574,3,0)</f>
        <v>andorinha-pequena-de-casa</v>
      </c>
    </row>
    <row r="14175">
      <c r="A14175" s="3">
        <v>45911.0</v>
      </c>
      <c r="B14175" s="4">
        <v>0.3458333333333333</v>
      </c>
      <c r="C14175" s="5" t="s">
        <v>90</v>
      </c>
      <c r="D14175" s="5" t="s">
        <v>1815</v>
      </c>
      <c r="E14175" s="6" t="s">
        <v>111</v>
      </c>
      <c r="F14175" s="5" t="s">
        <v>112</v>
      </c>
      <c r="G14175" s="6" t="str">
        <f>VLOOKUP(E14175,dicionario!$A$1:$C14575,2,0)</f>
        <v>Trigona spinipes</v>
      </c>
      <c r="H14175" s="6" t="str">
        <f>VLOOKUP(E14175,dicionario!$A$1:$C14575,3,0)</f>
        <v>abelha-cachorro</v>
      </c>
    </row>
    <row r="14176">
      <c r="A14176" s="3">
        <v>45911.0</v>
      </c>
      <c r="B14176" s="4">
        <v>0.3458333333333333</v>
      </c>
      <c r="C14176" s="5" t="s">
        <v>90</v>
      </c>
      <c r="D14176" s="5" t="s">
        <v>1815</v>
      </c>
      <c r="E14176" s="8" t="s">
        <v>20</v>
      </c>
      <c r="F14176" s="5" t="s">
        <v>21</v>
      </c>
      <c r="G14176" s="6" t="str">
        <f>VLOOKUP(E14176,dicionario!$A$1:$C14576,2,0)</f>
        <v>Sicalis flaveola</v>
      </c>
      <c r="H14176" s="6" t="str">
        <f>VLOOKUP(E14176,dicionario!$A$1:$C14576,3,0)</f>
        <v>canário-da-terra</v>
      </c>
    </row>
    <row r="14177">
      <c r="A14177" s="3">
        <v>45911.0</v>
      </c>
      <c r="B14177" s="4">
        <v>0.34652777777777777</v>
      </c>
      <c r="C14177" s="5" t="s">
        <v>90</v>
      </c>
      <c r="D14177" s="5" t="s">
        <v>1815</v>
      </c>
      <c r="E14177" s="6" t="s">
        <v>86</v>
      </c>
      <c r="F14177" s="5" t="s">
        <v>502</v>
      </c>
      <c r="G14177" s="6" t="str">
        <f>VLOOKUP(E14177,dicionario!$A$1:$C14577,2,0)</f>
        <v>Coereba flaveola</v>
      </c>
      <c r="H14177" s="6" t="str">
        <f>VLOOKUP(E14177,dicionario!$A$1:$C14577,3,0)</f>
        <v>cambacica</v>
      </c>
    </row>
    <row r="14178">
      <c r="A14178" s="3">
        <v>45911.0</v>
      </c>
      <c r="B14178" s="4">
        <v>0.3472222222222222</v>
      </c>
      <c r="C14178" s="5" t="s">
        <v>90</v>
      </c>
      <c r="D14178" s="5" t="s">
        <v>1815</v>
      </c>
      <c r="E14178" s="8" t="s">
        <v>38</v>
      </c>
      <c r="F14178" s="5" t="s">
        <v>1672</v>
      </c>
      <c r="G14178" s="6" t="str">
        <f>VLOOKUP(E14178,dicionario!$A$1:$C14578,2,0)</f>
        <v>Troglodytes musculus</v>
      </c>
      <c r="H14178" s="6" t="str">
        <f>VLOOKUP(E14178,dicionario!$A$1:$C14578,3,0)</f>
        <v>curruíra</v>
      </c>
    </row>
    <row r="14179">
      <c r="A14179" s="3">
        <v>45911.0</v>
      </c>
      <c r="B14179" s="4">
        <v>0.3472222222222222</v>
      </c>
      <c r="C14179" s="5" t="s">
        <v>90</v>
      </c>
      <c r="D14179" s="5" t="s">
        <v>1815</v>
      </c>
      <c r="E14179" s="8" t="s">
        <v>1344</v>
      </c>
      <c r="F14179" s="5" t="s">
        <v>47</v>
      </c>
      <c r="G14179" s="6" t="str">
        <f>VLOOKUP(E14179,dicionario!$A$1:$C14579,2,0)</f>
        <v>#N/A</v>
      </c>
      <c r="H14179" s="6" t="str">
        <f>VLOOKUP(E14179,dicionario!$A$1:$C14579,3,0)</f>
        <v>#N/A</v>
      </c>
    </row>
    <row r="14180">
      <c r="A14180" s="3">
        <v>45911.0</v>
      </c>
      <c r="B14180" s="4">
        <v>0.3472222222222222</v>
      </c>
      <c r="C14180" s="5" t="s">
        <v>90</v>
      </c>
      <c r="D14180" s="5" t="s">
        <v>1815</v>
      </c>
      <c r="E14180" s="8" t="s">
        <v>16</v>
      </c>
      <c r="F14180" s="5" t="s">
        <v>17</v>
      </c>
      <c r="G14180" s="6" t="str">
        <f>VLOOKUP(E14180,dicionario!$A$1:$C14580,2,0)</f>
        <v>Eupetomena macroura</v>
      </c>
      <c r="H14180" s="6" t="str">
        <f>VLOOKUP(E14180,dicionario!$A$1:$C14580,3,0)</f>
        <v>beija-flor-tesoura</v>
      </c>
    </row>
    <row r="14181">
      <c r="A14181" s="3">
        <v>45918.0</v>
      </c>
      <c r="B14181" s="4">
        <v>0.2673611111111111</v>
      </c>
      <c r="C14181" s="5" t="s">
        <v>90</v>
      </c>
      <c r="D14181" s="5" t="s">
        <v>1827</v>
      </c>
      <c r="E14181" s="8" t="s">
        <v>20</v>
      </c>
      <c r="F14181" s="5" t="s">
        <v>21</v>
      </c>
      <c r="G14181" s="6" t="str">
        <f>VLOOKUP(E14181,dicionario!$A$1:$C14581,2,0)</f>
        <v>Sicalis flaveola</v>
      </c>
      <c r="H14181" s="6" t="str">
        <f>VLOOKUP(E14181,dicionario!$A$1:$C14581,3,0)</f>
        <v>canário-da-terra</v>
      </c>
    </row>
    <row r="14182">
      <c r="A14182" s="3">
        <v>45918.0</v>
      </c>
      <c r="B14182" s="4">
        <v>0.2673611111111111</v>
      </c>
      <c r="C14182" s="5" t="s">
        <v>90</v>
      </c>
      <c r="D14182" s="5" t="s">
        <v>1827</v>
      </c>
      <c r="E14182" s="6" t="s">
        <v>113</v>
      </c>
      <c r="F14182" s="5" t="s">
        <v>114</v>
      </c>
      <c r="G14182" s="6" t="str">
        <f>VLOOKUP(E14182,dicionario!$A$1:$C14582,2,0)</f>
        <v>Columbina talpacoti</v>
      </c>
      <c r="H14182" s="6" t="str">
        <f>VLOOKUP(E14182,dicionario!$A$1:$C14582,3,0)</f>
        <v>rolinha-roxa</v>
      </c>
    </row>
    <row r="14183">
      <c r="A14183" s="3">
        <v>45918.0</v>
      </c>
      <c r="B14183" s="4">
        <v>0.2673611111111111</v>
      </c>
      <c r="C14183" s="5" t="s">
        <v>90</v>
      </c>
      <c r="D14183" s="5" t="s">
        <v>1827</v>
      </c>
      <c r="E14183" s="8" t="s">
        <v>38</v>
      </c>
      <c r="F14183" s="5" t="s">
        <v>1672</v>
      </c>
      <c r="G14183" s="6" t="str">
        <f>VLOOKUP(E14183,dicionario!$A$1:$C14583,2,0)</f>
        <v>Troglodytes musculus</v>
      </c>
      <c r="H14183" s="6" t="str">
        <f>VLOOKUP(E14183,dicionario!$A$1:$C14583,3,0)</f>
        <v>curruíra</v>
      </c>
    </row>
    <row r="14184">
      <c r="A14184" s="3">
        <v>45918.0</v>
      </c>
      <c r="B14184" s="4">
        <v>0.2673611111111111</v>
      </c>
      <c r="C14184" s="5" t="s">
        <v>90</v>
      </c>
      <c r="D14184" s="5" t="s">
        <v>1827</v>
      </c>
      <c r="E14184" s="6" t="s">
        <v>65</v>
      </c>
      <c r="F14184" s="5" t="s">
        <v>66</v>
      </c>
      <c r="G14184" s="6" t="str">
        <f>VLOOKUP(E14184,dicionario!$A$1:$C14584,2,0)</f>
        <v>Pitangus sulphutarus</v>
      </c>
      <c r="H14184" s="6" t="str">
        <f>VLOOKUP(E14184,dicionario!$A$1:$C14584,3,0)</f>
        <v>bem-te-vi</v>
      </c>
    </row>
    <row r="14185">
      <c r="A14185" s="3">
        <v>45918.0</v>
      </c>
      <c r="B14185" s="4">
        <v>0.2673611111111111</v>
      </c>
      <c r="C14185" s="5" t="s">
        <v>90</v>
      </c>
      <c r="D14185" s="5" t="s">
        <v>1827</v>
      </c>
      <c r="E14185" s="8" t="s">
        <v>150</v>
      </c>
      <c r="F14185" s="5" t="s">
        <v>151</v>
      </c>
      <c r="G14185" s="6" t="str">
        <f>VLOOKUP(E14185,dicionario!$A$1:$C14585,2,0)</f>
        <v>Amaranthus viridis</v>
      </c>
      <c r="H14185" s="6" t="str">
        <f>VLOOKUP(E14185,dicionario!$A$1:$C14585,3,0)</f>
        <v>caruru-de-mancha</v>
      </c>
    </row>
    <row r="14186">
      <c r="A14186" s="3">
        <v>45918.0</v>
      </c>
      <c r="B14186" s="4">
        <v>0.2673611111111111</v>
      </c>
      <c r="C14186" s="5" t="s">
        <v>90</v>
      </c>
      <c r="D14186" s="5" t="s">
        <v>1827</v>
      </c>
      <c r="E14186" s="8" t="s">
        <v>498</v>
      </c>
      <c r="F14186" s="5" t="s">
        <v>499</v>
      </c>
      <c r="G14186" s="6" t="str">
        <f>VLOOKUP(E14186,dicionario!$A$1:$C14586,2,0)</f>
        <v>Brachiaria decumbens</v>
      </c>
      <c r="H14186" s="6" t="str">
        <f>VLOOKUP(E14186,dicionario!$A$1:$C14586,3,0)</f>
        <v>capim-braquiária</v>
      </c>
    </row>
    <row r="14187">
      <c r="A14187" s="3">
        <v>45918.0</v>
      </c>
      <c r="B14187" s="4">
        <v>0.2673611111111111</v>
      </c>
      <c r="C14187" s="5" t="s">
        <v>90</v>
      </c>
      <c r="D14187" s="5" t="s">
        <v>1827</v>
      </c>
      <c r="E14187" s="8" t="s">
        <v>719</v>
      </c>
      <c r="F14187" s="5" t="s">
        <v>911</v>
      </c>
      <c r="G14187" s="6" t="str">
        <f>VLOOKUP(E14187,dicionario!$A$1:$C14587,2,0)</f>
        <v>Dirinaria</v>
      </c>
      <c r="H14187" s="6" t="str">
        <f>VLOOKUP(E14187,dicionario!$A$1:$C14587,3,0)</f>
        <v>líquen-crostoso</v>
      </c>
    </row>
    <row r="14188">
      <c r="A14188" s="3">
        <v>45918.0</v>
      </c>
      <c r="B14188" s="4">
        <v>0.2673611111111111</v>
      </c>
      <c r="C14188" s="5" t="s">
        <v>90</v>
      </c>
      <c r="D14188" s="5" t="s">
        <v>1827</v>
      </c>
      <c r="E14188" s="8" t="s">
        <v>712</v>
      </c>
      <c r="F14188" s="5" t="s">
        <v>912</v>
      </c>
      <c r="G14188" s="6" t="str">
        <f>VLOOKUP(E14188,dicionario!$A$1:$C14588,2,0)</f>
        <v>Flavopunctelia soredica</v>
      </c>
      <c r="H14188" s="6" t="str">
        <f>VLOOKUP(E14188,dicionario!$A$1:$C14588,3,0)</f>
        <v>líquen-folioso</v>
      </c>
    </row>
    <row r="14189">
      <c r="A14189" s="3">
        <v>45918.0</v>
      </c>
      <c r="B14189" s="4">
        <v>0.26875</v>
      </c>
      <c r="C14189" s="5" t="s">
        <v>90</v>
      </c>
      <c r="D14189" s="5" t="s">
        <v>1827</v>
      </c>
      <c r="E14189" s="8" t="s">
        <v>107</v>
      </c>
      <c r="F14189" s="5" t="s">
        <v>834</v>
      </c>
      <c r="G14189" s="6" t="str">
        <f>VLOOKUP(E14189,dicionario!$A$1:$C14589,2,0)</f>
        <v>Ramalina complanata</v>
      </c>
      <c r="H14189" s="6" t="str">
        <f>VLOOKUP(E14189,dicionario!$A$1:$C14589,3,0)</f>
        <v>ramalina</v>
      </c>
    </row>
    <row r="14190">
      <c r="A14190" s="3">
        <v>45918.0</v>
      </c>
      <c r="B14190" s="4">
        <v>0.26875</v>
      </c>
      <c r="C14190" s="5" t="s">
        <v>90</v>
      </c>
      <c r="D14190" s="5" t="s">
        <v>1827</v>
      </c>
      <c r="E14190" s="65" t="s">
        <v>1024</v>
      </c>
      <c r="F14190" s="5" t="s">
        <v>969</v>
      </c>
      <c r="G14190" s="6" t="str">
        <f>VLOOKUP(E14190,dicionario!$A$1:$C14590,2,0)</f>
        <v>Usnea barbata</v>
      </c>
      <c r="H14190" s="6" t="str">
        <f>VLOOKUP(E14190,dicionario!$A$1:$C14590,3,0)</f>
        <v>barba-de-velho</v>
      </c>
    </row>
    <row r="14191">
      <c r="A14191" s="3">
        <v>45918.0</v>
      </c>
      <c r="B14191" s="4">
        <v>0.26875</v>
      </c>
      <c r="C14191" s="5" t="s">
        <v>90</v>
      </c>
      <c r="D14191" s="5" t="s">
        <v>1827</v>
      </c>
      <c r="E14191" s="8" t="s">
        <v>109</v>
      </c>
      <c r="F14191" s="5" t="s">
        <v>110</v>
      </c>
      <c r="G14191" s="6" t="str">
        <f>VLOOKUP(E14191,dicionario!$A$1:$C14591,2,0)</f>
        <v>Tillandsia stricta</v>
      </c>
      <c r="H14191" s="6" t="str">
        <f>VLOOKUP(E14191,dicionario!$A$1:$C14591,3,0)</f>
        <v>cravo-do-mato</v>
      </c>
    </row>
    <row r="14192">
      <c r="A14192" s="3">
        <v>45918.0</v>
      </c>
      <c r="B14192" s="4">
        <v>0.26875</v>
      </c>
      <c r="C14192" s="5" t="s">
        <v>90</v>
      </c>
      <c r="D14192" s="5" t="s">
        <v>1827</v>
      </c>
      <c r="E14192" s="8" t="s">
        <v>298</v>
      </c>
      <c r="F14192" s="5"/>
      <c r="G14192" s="6" t="str">
        <f>VLOOKUP(E14192,dicionario!$A$1:$C14592,2,0)</f>
        <v>Alysicarpus vaginalis</v>
      </c>
      <c r="H14192" s="6" t="str">
        <f>VLOOKUP(E14192,dicionario!$A$1:$C14592,3,0)</f>
        <v/>
      </c>
    </row>
    <row r="14193">
      <c r="A14193" s="3">
        <v>45918.0</v>
      </c>
      <c r="B14193" s="4">
        <v>0.26875</v>
      </c>
      <c r="C14193" s="5" t="s">
        <v>90</v>
      </c>
      <c r="D14193" s="5" t="s">
        <v>1827</v>
      </c>
      <c r="E14193" s="8" t="s">
        <v>163</v>
      </c>
      <c r="F14193" s="5" t="s">
        <v>164</v>
      </c>
      <c r="G14193" s="6" t="str">
        <f>VLOOKUP(E14193,dicionario!$A$1:$C14593,2,0)</f>
        <v>Coragyps atratus</v>
      </c>
      <c r="H14193" s="6" t="str">
        <f>VLOOKUP(E14193,dicionario!$A$1:$C14593,3,0)</f>
        <v>urubu-de-cabeça-preta</v>
      </c>
    </row>
    <row r="14194">
      <c r="A14194" s="3">
        <v>45918.0</v>
      </c>
      <c r="B14194" s="4">
        <v>0.26875</v>
      </c>
      <c r="C14194" s="5" t="s">
        <v>90</v>
      </c>
      <c r="D14194" s="5" t="s">
        <v>1827</v>
      </c>
      <c r="E14194" s="6" t="s">
        <v>154</v>
      </c>
      <c r="F14194" s="5" t="s">
        <v>155</v>
      </c>
      <c r="G14194" s="6" t="str">
        <f>VLOOKUP(E14194,dicionario!$A$1:$C14594,2,0)</f>
        <v>Cyperus rotundus</v>
      </c>
      <c r="H14194" s="6" t="str">
        <f>VLOOKUP(E14194,dicionario!$A$1:$C14594,3,0)</f>
        <v>tiririca</v>
      </c>
    </row>
    <row r="14195">
      <c r="A14195" s="3">
        <v>45918.0</v>
      </c>
      <c r="B14195" s="4">
        <v>0.26875</v>
      </c>
      <c r="C14195" s="5" t="s">
        <v>90</v>
      </c>
      <c r="D14195" s="5" t="s">
        <v>1827</v>
      </c>
      <c r="E14195" s="8" t="s">
        <v>338</v>
      </c>
      <c r="F14195" s="5" t="s">
        <v>238</v>
      </c>
      <c r="G14195" s="6" t="str">
        <f>VLOOKUP(E14195,dicionario!$A$1:$C14595,2,0)</f>
        <v>Atta</v>
      </c>
      <c r="H14195" s="6" t="str">
        <f>VLOOKUP(E14195,dicionario!$A$1:$C14595,3,0)</f>
        <v>saúva</v>
      </c>
    </row>
    <row r="14196">
      <c r="A14196" s="3">
        <v>45918.0</v>
      </c>
      <c r="B14196" s="4">
        <v>0.26875</v>
      </c>
      <c r="C14196" s="5" t="s">
        <v>90</v>
      </c>
      <c r="D14196" s="5" t="s">
        <v>1827</v>
      </c>
      <c r="E14196" s="6" t="s">
        <v>86</v>
      </c>
      <c r="F14196" s="5" t="s">
        <v>502</v>
      </c>
      <c r="G14196" s="6" t="str">
        <f>VLOOKUP(E14196,dicionario!$A$1:$C14596,2,0)</f>
        <v>Coereba flaveola</v>
      </c>
      <c r="H14196" s="6" t="str">
        <f>VLOOKUP(E14196,dicionario!$A$1:$C14596,3,0)</f>
        <v>cambacica</v>
      </c>
    </row>
    <row r="14197">
      <c r="A14197" s="3">
        <v>45918.0</v>
      </c>
      <c r="B14197" s="4">
        <v>0.26944444444444443</v>
      </c>
      <c r="C14197" s="5" t="s">
        <v>90</v>
      </c>
      <c r="D14197" s="5" t="s">
        <v>1827</v>
      </c>
      <c r="E14197" s="8" t="s">
        <v>69</v>
      </c>
      <c r="F14197" s="5" t="s">
        <v>71</v>
      </c>
      <c r="G14197" s="6" t="str">
        <f>VLOOKUP(E14197,dicionario!$A$1:$C14597,2,0)</f>
        <v>Talinum fruticosum</v>
      </c>
      <c r="H14197" s="6" t="str">
        <f>VLOOKUP(E14197,dicionario!$A$1:$C14597,3,0)</f>
        <v>beldroega-grande</v>
      </c>
    </row>
    <row r="14198">
      <c r="A14198" s="3">
        <v>45918.0</v>
      </c>
      <c r="B14198" s="4">
        <v>0.26944444444444443</v>
      </c>
      <c r="C14198" s="5" t="s">
        <v>90</v>
      </c>
      <c r="D14198" s="5" t="s">
        <v>1827</v>
      </c>
      <c r="E14198" s="8" t="s">
        <v>1503</v>
      </c>
      <c r="F14198" s="5" t="s">
        <v>1504</v>
      </c>
      <c r="G14198" s="6" t="str">
        <f>VLOOKUP(E14198,dicionario!$A$1:$C14598,2,0)</f>
        <v>#N/A</v>
      </c>
      <c r="H14198" s="6" t="str">
        <f>VLOOKUP(E14198,dicionario!$A$1:$C14598,3,0)</f>
        <v>#N/A</v>
      </c>
    </row>
    <row r="14199">
      <c r="A14199" s="3">
        <v>45918.0</v>
      </c>
      <c r="B14199" s="4">
        <v>0.26944444444444443</v>
      </c>
      <c r="C14199" s="5" t="s">
        <v>90</v>
      </c>
      <c r="D14199" s="5" t="s">
        <v>1827</v>
      </c>
      <c r="E14199" s="8" t="s">
        <v>14</v>
      </c>
      <c r="F14199" s="5" t="s">
        <v>15</v>
      </c>
      <c r="G14199" s="6" t="str">
        <f>VLOOKUP(E14199,dicionario!$A$1:$C14599,2,0)</f>
        <v>Spermacoce verticillata</v>
      </c>
      <c r="H14199" s="6" t="str">
        <f>VLOOKUP(E14199,dicionario!$A$1:$C14599,3,0)</f>
        <v>vassourinha-de-botão</v>
      </c>
    </row>
    <row r="14200">
      <c r="A14200" s="3">
        <v>45918.0</v>
      </c>
      <c r="B14200" s="4">
        <v>0.26944444444444443</v>
      </c>
      <c r="C14200" s="5" t="s">
        <v>90</v>
      </c>
      <c r="D14200" s="5" t="s">
        <v>1827</v>
      </c>
      <c r="E14200" s="6" t="s">
        <v>489</v>
      </c>
      <c r="F14200" s="5" t="s">
        <v>521</v>
      </c>
      <c r="G14200" s="6" t="str">
        <f>VLOOKUP(E14200,dicionario!$A$1:$C14600,2,0)</f>
        <v>Cenchrus echinatus</v>
      </c>
      <c r="H14200" s="6" t="str">
        <f>VLOOKUP(E14200,dicionario!$A$1:$C14600,3,0)</f>
        <v>capim-carrapicho</v>
      </c>
    </row>
    <row r="14201">
      <c r="A14201" s="3">
        <v>45918.0</v>
      </c>
      <c r="B14201" s="4">
        <v>0.2701388888888889</v>
      </c>
      <c r="C14201" s="5" t="s">
        <v>90</v>
      </c>
      <c r="D14201" s="5" t="s">
        <v>1827</v>
      </c>
      <c r="E14201" s="6" t="s">
        <v>88</v>
      </c>
      <c r="F14201" s="5" t="s">
        <v>89</v>
      </c>
      <c r="G14201" s="6" t="str">
        <f>VLOOKUP(E14201,dicionario!$A$1:$C14601,2,0)</f>
        <v>Tyrannus melancolichus</v>
      </c>
      <c r="H14201" s="6" t="str">
        <f>VLOOKUP(E14201,dicionario!$A$1:$C14601,3,0)</f>
        <v>suiriri</v>
      </c>
    </row>
    <row r="14202">
      <c r="A14202" s="3">
        <v>45918.0</v>
      </c>
      <c r="B14202" s="4">
        <v>0.2701388888888889</v>
      </c>
      <c r="C14202" s="5" t="s">
        <v>90</v>
      </c>
      <c r="D14202" s="5" t="s">
        <v>1827</v>
      </c>
      <c r="E14202" s="6" t="s">
        <v>48</v>
      </c>
      <c r="F14202" s="5" t="s">
        <v>49</v>
      </c>
      <c r="G14202" s="6" t="str">
        <f>VLOOKUP(E14202,dicionario!$A$1:$C14602,2,0)</f>
        <v>Commelina erecta</v>
      </c>
      <c r="H14202" s="6" t="str">
        <f>VLOOKUP(E14202,dicionario!$A$1:$C14602,3,0)</f>
        <v>trapoeraba</v>
      </c>
    </row>
    <row r="14203">
      <c r="A14203" s="3">
        <v>45918.0</v>
      </c>
      <c r="B14203" s="4">
        <v>0.27152777777777776</v>
      </c>
      <c r="C14203" s="5" t="s">
        <v>90</v>
      </c>
      <c r="D14203" s="5" t="s">
        <v>1827</v>
      </c>
      <c r="E14203" s="8" t="s">
        <v>271</v>
      </c>
      <c r="F14203" s="5" t="s">
        <v>1169</v>
      </c>
      <c r="G14203" s="6" t="str">
        <f>VLOOKUP(E14203,dicionario!$A$1:$C14603,2,0)</f>
        <v>Cyanthillium cinereum</v>
      </c>
      <c r="H14203" s="6" t="str">
        <f>VLOOKUP(E14203,dicionario!$A$1:$C14603,3,0)</f>
        <v>emília</v>
      </c>
    </row>
    <row r="14204">
      <c r="A14204" s="3">
        <v>45918.0</v>
      </c>
      <c r="B14204" s="4">
        <v>0.27152777777777776</v>
      </c>
      <c r="C14204" s="5" t="s">
        <v>90</v>
      </c>
      <c r="D14204" s="5" t="s">
        <v>1827</v>
      </c>
      <c r="E14204" s="6" t="s">
        <v>353</v>
      </c>
      <c r="F14204" s="5" t="s">
        <v>1259</v>
      </c>
      <c r="G14204" s="6" t="str">
        <f>VLOOKUP(E14204,dicionario!$A$1:$C14604,2,0)</f>
        <v>Desmodium incanum</v>
      </c>
      <c r="H14204" s="6" t="str">
        <f>VLOOKUP(E14204,dicionario!$A$1:$C14604,3,0)</f>
        <v>pega-pega</v>
      </c>
    </row>
    <row r="14205">
      <c r="A14205" s="3">
        <v>45918.0</v>
      </c>
      <c r="B14205" s="4">
        <v>0.27152777777777776</v>
      </c>
      <c r="C14205" s="5" t="s">
        <v>90</v>
      </c>
      <c r="D14205" s="5" t="s">
        <v>1827</v>
      </c>
      <c r="E14205" s="6" t="s">
        <v>191</v>
      </c>
      <c r="F14205" s="5" t="s">
        <v>192</v>
      </c>
      <c r="G14205" s="6" t="str">
        <f>VLOOKUP(E14205,dicionario!$A$1:$C14605,2,0)</f>
        <v>Patagioenas picazuro</v>
      </c>
      <c r="H14205" s="6" t="str">
        <f>VLOOKUP(E14205,dicionario!$A$1:$C14605,3,0)</f>
        <v>asa-branca; pomba-asa-branca; pocaçu</v>
      </c>
    </row>
    <row r="14206">
      <c r="A14206" s="3">
        <v>45918.0</v>
      </c>
      <c r="B14206" s="4">
        <v>0.27152777777777776</v>
      </c>
      <c r="C14206" s="5" t="s">
        <v>90</v>
      </c>
      <c r="D14206" s="5" t="s">
        <v>1827</v>
      </c>
      <c r="E14206" s="6" t="s">
        <v>225</v>
      </c>
      <c r="F14206" s="5" t="s">
        <v>226</v>
      </c>
      <c r="G14206" s="6" t="str">
        <f>VLOOKUP(E14206,dicionario!$A$1:$C14606,2,0)</f>
        <v>Passer domesticus</v>
      </c>
      <c r="H14206" s="6" t="str">
        <f>VLOOKUP(E14206,dicionario!$A$1:$C14606,3,0)</f>
        <v>pardal</v>
      </c>
    </row>
    <row r="14207">
      <c r="A14207" s="3">
        <v>45918.0</v>
      </c>
      <c r="B14207" s="4">
        <v>0.275</v>
      </c>
      <c r="C14207" s="5" t="s">
        <v>85</v>
      </c>
      <c r="D14207" s="5" t="s">
        <v>1827</v>
      </c>
      <c r="E14207" s="8" t="s">
        <v>712</v>
      </c>
      <c r="F14207" s="5" t="s">
        <v>912</v>
      </c>
      <c r="G14207" s="6" t="str">
        <f>VLOOKUP(E14207,dicionario!$A$1:$C14607,2,0)</f>
        <v>Flavopunctelia soredica</v>
      </c>
      <c r="H14207" s="6" t="str">
        <f>VLOOKUP(E14207,dicionario!$A$1:$C14607,3,0)</f>
        <v>líquen-folioso</v>
      </c>
    </row>
    <row r="14208">
      <c r="A14208" s="3">
        <v>45918.0</v>
      </c>
      <c r="B14208" s="4">
        <v>0.275</v>
      </c>
      <c r="C14208" s="5" t="s">
        <v>85</v>
      </c>
      <c r="D14208" s="5" t="s">
        <v>1827</v>
      </c>
      <c r="E14208" s="8" t="s">
        <v>719</v>
      </c>
      <c r="F14208" s="5" t="s">
        <v>911</v>
      </c>
      <c r="G14208" s="6" t="str">
        <f>VLOOKUP(E14208,dicionario!$A$1:$C14608,2,0)</f>
        <v>Dirinaria</v>
      </c>
      <c r="H14208" s="6" t="str">
        <f>VLOOKUP(E14208,dicionario!$A$1:$C14608,3,0)</f>
        <v>líquen-crostoso</v>
      </c>
    </row>
    <row r="14209">
      <c r="A14209" s="3">
        <v>45918.0</v>
      </c>
      <c r="B14209" s="4">
        <v>0.275</v>
      </c>
      <c r="C14209" s="5" t="s">
        <v>85</v>
      </c>
      <c r="D14209" s="5" t="s">
        <v>1827</v>
      </c>
      <c r="E14209" s="6" t="s">
        <v>122</v>
      </c>
      <c r="F14209" s="5" t="s">
        <v>123</v>
      </c>
      <c r="G14209" s="6" t="str">
        <f>VLOOKUP(E14209,dicionario!$A$1:$C14609,2,0)</f>
        <v>Todirostrum cinereum</v>
      </c>
      <c r="H14209" s="6" t="str">
        <f>VLOOKUP(E14209,dicionario!$A$1:$C14609,3,0)</f>
        <v>ferreirinho-relógio</v>
      </c>
    </row>
    <row r="14210">
      <c r="A14210" s="3">
        <v>45918.0</v>
      </c>
      <c r="B14210" s="4">
        <v>0.275</v>
      </c>
      <c r="C14210" s="5" t="s">
        <v>85</v>
      </c>
      <c r="D14210" s="5" t="s">
        <v>1827</v>
      </c>
      <c r="E14210" s="8" t="s">
        <v>150</v>
      </c>
      <c r="F14210" s="5" t="s">
        <v>151</v>
      </c>
      <c r="G14210" s="6" t="str">
        <f>VLOOKUP(E14210,dicionario!$A$1:$C14610,2,0)</f>
        <v>Amaranthus viridis</v>
      </c>
      <c r="H14210" s="6" t="str">
        <f>VLOOKUP(E14210,dicionario!$A$1:$C14610,3,0)</f>
        <v>caruru-de-mancha</v>
      </c>
    </row>
    <row r="14211">
      <c r="A14211" s="3">
        <v>45918.0</v>
      </c>
      <c r="B14211" s="4">
        <v>0.275</v>
      </c>
      <c r="C14211" s="5" t="s">
        <v>85</v>
      </c>
      <c r="D14211" s="5" t="s">
        <v>1827</v>
      </c>
      <c r="E14211" s="8" t="s">
        <v>498</v>
      </c>
      <c r="F14211" s="5" t="s">
        <v>499</v>
      </c>
      <c r="G14211" s="6" t="str">
        <f>VLOOKUP(E14211,dicionario!$A$1:$C14611,2,0)</f>
        <v>Brachiaria decumbens</v>
      </c>
      <c r="H14211" s="6" t="str">
        <f>VLOOKUP(E14211,dicionario!$A$1:$C14611,3,0)</f>
        <v>capim-braquiária</v>
      </c>
    </row>
    <row r="14212">
      <c r="A14212" s="3">
        <v>45918.0</v>
      </c>
      <c r="B14212" s="4">
        <v>0.275</v>
      </c>
      <c r="C14212" s="5" t="s">
        <v>85</v>
      </c>
      <c r="D14212" s="5" t="s">
        <v>1827</v>
      </c>
      <c r="E14212" s="8" t="s">
        <v>135</v>
      </c>
      <c r="F14212" s="5" t="s">
        <v>136</v>
      </c>
      <c r="G14212" s="6" t="str">
        <f>VLOOKUP(E14212,dicionario!$A$1:$C14612,2,0)</f>
        <v>Tridax procumbens</v>
      </c>
      <c r="H14212" s="6" t="str">
        <f>VLOOKUP(E14212,dicionario!$A$1:$C14612,3,0)</f>
        <v>erva-de-touro</v>
      </c>
    </row>
    <row r="14213">
      <c r="A14213" s="3">
        <v>45918.0</v>
      </c>
      <c r="B14213" s="4">
        <v>0.275</v>
      </c>
      <c r="C14213" s="5" t="s">
        <v>85</v>
      </c>
      <c r="D14213" s="5" t="s">
        <v>1827</v>
      </c>
      <c r="E14213" s="8" t="s">
        <v>271</v>
      </c>
      <c r="F14213" s="5" t="s">
        <v>1169</v>
      </c>
      <c r="G14213" s="6" t="str">
        <f>VLOOKUP(E14213,dicionario!$A$1:$C14613,2,0)</f>
        <v>Cyanthillium cinereum</v>
      </c>
      <c r="H14213" s="6" t="str">
        <f>VLOOKUP(E14213,dicionario!$A$1:$C14613,3,0)</f>
        <v>emília</v>
      </c>
    </row>
    <row r="14214">
      <c r="A14214" s="3">
        <v>45918.0</v>
      </c>
      <c r="B14214" s="4">
        <v>0.275</v>
      </c>
      <c r="C14214" s="5" t="s">
        <v>85</v>
      </c>
      <c r="D14214" s="5" t="s">
        <v>1827</v>
      </c>
      <c r="E14214" s="6" t="s">
        <v>227</v>
      </c>
      <c r="F14214" s="5" t="s">
        <v>228</v>
      </c>
      <c r="G14214" s="6" t="str">
        <f>VLOOKUP(E14214,dicionario!$A$1:$C14614,2,0)</f>
        <v>Indigofera hirsuta</v>
      </c>
      <c r="H14214" s="6" t="str">
        <f>VLOOKUP(E14214,dicionario!$A$1:$C14614,3,0)</f>
        <v>anileira</v>
      </c>
    </row>
    <row r="14215">
      <c r="A14215" s="3">
        <v>45918.0</v>
      </c>
      <c r="B14215" s="4">
        <v>0.27569444444444446</v>
      </c>
      <c r="C14215" s="5" t="s">
        <v>85</v>
      </c>
      <c r="D14215" s="5" t="s">
        <v>1827</v>
      </c>
      <c r="E14215" s="8" t="s">
        <v>14</v>
      </c>
      <c r="F14215" s="5" t="s">
        <v>15</v>
      </c>
      <c r="G14215" s="6" t="str">
        <f>VLOOKUP(E14215,dicionario!$A$1:$C14615,2,0)</f>
        <v>Spermacoce verticillata</v>
      </c>
      <c r="H14215" s="6" t="str">
        <f>VLOOKUP(E14215,dicionario!$A$1:$C14615,3,0)</f>
        <v>vassourinha-de-botão</v>
      </c>
    </row>
    <row r="14216">
      <c r="A14216" s="3">
        <v>45918.0</v>
      </c>
      <c r="B14216" s="4">
        <v>0.27569444444444446</v>
      </c>
      <c r="C14216" s="5" t="s">
        <v>85</v>
      </c>
      <c r="D14216" s="5" t="s">
        <v>1827</v>
      </c>
      <c r="E14216" s="8" t="s">
        <v>1828</v>
      </c>
      <c r="F14216" s="5" t="s">
        <v>35</v>
      </c>
      <c r="G14216" s="6" t="str">
        <f>VLOOKUP(E14216,dicionario!$A$1:$C14616,2,0)</f>
        <v>#N/A</v>
      </c>
      <c r="H14216" s="6" t="str">
        <f>VLOOKUP(E14216,dicionario!$A$1:$C14616,3,0)</f>
        <v>#N/A</v>
      </c>
    </row>
    <row r="14217">
      <c r="A14217" s="3">
        <v>45918.0</v>
      </c>
      <c r="B14217" s="4">
        <v>0.27569444444444446</v>
      </c>
      <c r="C14217" s="5" t="s">
        <v>85</v>
      </c>
      <c r="D14217" s="5" t="s">
        <v>1827</v>
      </c>
      <c r="E14217" s="9" t="s">
        <v>105</v>
      </c>
      <c r="F14217" s="5" t="s">
        <v>106</v>
      </c>
      <c r="G14217" s="6" t="str">
        <f>VLOOKUP(E14217,dicionario!$A$1:$C14617,2,0)</f>
        <v>Progne tapera</v>
      </c>
      <c r="H14217" s="6" t="str">
        <f>VLOOKUP(E14217,dicionario!$A$1:$C14617,3,0)</f>
        <v>andorinha-do-campo</v>
      </c>
    </row>
    <row r="14218">
      <c r="A14218" s="3">
        <v>45918.0</v>
      </c>
      <c r="B14218" s="4">
        <v>0.27569444444444446</v>
      </c>
      <c r="C14218" s="5" t="s">
        <v>85</v>
      </c>
      <c r="D14218" s="5" t="s">
        <v>1827</v>
      </c>
      <c r="E14218" s="8" t="s">
        <v>109</v>
      </c>
      <c r="F14218" s="5" t="s">
        <v>110</v>
      </c>
      <c r="G14218" s="6" t="str">
        <f>VLOOKUP(E14218,dicionario!$A$1:$C14618,2,0)</f>
        <v>Tillandsia stricta</v>
      </c>
      <c r="H14218" s="6" t="str">
        <f>VLOOKUP(E14218,dicionario!$A$1:$C14618,3,0)</f>
        <v>cravo-do-mato</v>
      </c>
    </row>
    <row r="14219">
      <c r="A14219" s="3">
        <v>45918.0</v>
      </c>
      <c r="B14219" s="4">
        <v>0.27569444444444446</v>
      </c>
      <c r="C14219" s="5" t="s">
        <v>85</v>
      </c>
      <c r="D14219" s="5" t="s">
        <v>1827</v>
      </c>
      <c r="E14219" s="6" t="s">
        <v>225</v>
      </c>
      <c r="F14219" s="5" t="s">
        <v>226</v>
      </c>
      <c r="G14219" s="6" t="str">
        <f>VLOOKUP(E14219,dicionario!$A$1:$C14619,2,0)</f>
        <v>Passer domesticus</v>
      </c>
      <c r="H14219" s="6" t="str">
        <f>VLOOKUP(E14219,dicionario!$A$1:$C14619,3,0)</f>
        <v>pardal</v>
      </c>
    </row>
    <row r="14220">
      <c r="A14220" s="3">
        <v>45918.0</v>
      </c>
      <c r="B14220" s="4">
        <v>0.2763888888888889</v>
      </c>
      <c r="C14220" s="5" t="s">
        <v>85</v>
      </c>
      <c r="D14220" s="5" t="s">
        <v>1827</v>
      </c>
      <c r="E14220" s="8" t="s">
        <v>1457</v>
      </c>
      <c r="F14220" s="5" t="s">
        <v>1457</v>
      </c>
      <c r="G14220" s="6" t="str">
        <f>VLOOKUP(E14220,dicionario!$A$1:$C14620,2,0)</f>
        <v>#N/A</v>
      </c>
      <c r="H14220" s="6" t="str">
        <f>VLOOKUP(E14220,dicionario!$A$1:$C14620,3,0)</f>
        <v>#N/A</v>
      </c>
    </row>
    <row r="14221">
      <c r="A14221" s="3">
        <v>45918.0</v>
      </c>
      <c r="B14221" s="4">
        <v>0.2763888888888889</v>
      </c>
      <c r="C14221" s="5" t="s">
        <v>85</v>
      </c>
      <c r="D14221" s="5" t="s">
        <v>1827</v>
      </c>
      <c r="E14221" s="6" t="s">
        <v>53</v>
      </c>
      <c r="F14221" s="5" t="s">
        <v>54</v>
      </c>
      <c r="G14221" s="6" t="str">
        <f>VLOOKUP(E14221,dicionario!$A$1:$C14621,2,0)</f>
        <v>Turnera subulata</v>
      </c>
      <c r="H14221" s="6" t="str">
        <f>VLOOKUP(E14221,dicionario!$A$1:$C14621,3,0)</f>
        <v>xanana</v>
      </c>
    </row>
    <row r="14222">
      <c r="A14222" s="3">
        <v>45918.0</v>
      </c>
      <c r="B14222" s="4">
        <v>0.27708333333333335</v>
      </c>
      <c r="C14222" s="5" t="s">
        <v>85</v>
      </c>
      <c r="D14222" s="5" t="s">
        <v>1827</v>
      </c>
      <c r="E14222" s="6" t="s">
        <v>243</v>
      </c>
      <c r="F14222" s="5" t="s">
        <v>244</v>
      </c>
      <c r="G14222" s="6" t="str">
        <f>VLOOKUP(E14222,dicionario!$A$1:$C14622,2,0)</f>
        <v>Macroptilium atropurpureum</v>
      </c>
      <c r="H14222" s="6" t="str">
        <f>VLOOKUP(E14222,dicionario!$A$1:$C14622,3,0)</f>
        <v>feijão-de-pombo</v>
      </c>
    </row>
    <row r="14223">
      <c r="A14223" s="3">
        <v>45918.0</v>
      </c>
      <c r="B14223" s="4">
        <v>0.27708333333333335</v>
      </c>
      <c r="C14223" s="5" t="s">
        <v>85</v>
      </c>
      <c r="D14223" s="5" t="s">
        <v>1827</v>
      </c>
      <c r="E14223" s="8" t="s">
        <v>41</v>
      </c>
      <c r="F14223" s="5" t="s">
        <v>45</v>
      </c>
      <c r="G14223" s="6" t="str">
        <f>VLOOKUP(E14223,dicionario!$A$1:$C14623,2,0)</f>
        <v>Mimosa pudica</v>
      </c>
      <c r="H14223" s="6" t="str">
        <f>VLOOKUP(E14223,dicionario!$A$1:$C14623,3,0)</f>
        <v>dormideira</v>
      </c>
    </row>
    <row r="14224">
      <c r="A14224" s="3">
        <v>45918.0</v>
      </c>
      <c r="B14224" s="4">
        <v>0.27708333333333335</v>
      </c>
      <c r="C14224" s="5" t="s">
        <v>85</v>
      </c>
      <c r="D14224" s="5" t="s">
        <v>1827</v>
      </c>
      <c r="E14224" s="8" t="s">
        <v>1798</v>
      </c>
      <c r="F14224" s="7" t="s">
        <v>321</v>
      </c>
      <c r="G14224" s="6" t="str">
        <f>VLOOKUP(E14224,dicionario!$A$1:$C14624,2,0)</f>
        <v>Solenopsis</v>
      </c>
      <c r="H14224" s="6" t="str">
        <f>VLOOKUP(E14224,dicionario!$A$1:$C14624,3,0)</f>
        <v>formiga-quente; formiga-lava-pés; formiga-de-fogo</v>
      </c>
    </row>
    <row r="14225">
      <c r="A14225" s="3">
        <v>45918.0</v>
      </c>
      <c r="B14225" s="4">
        <v>0.2777777777777778</v>
      </c>
      <c r="C14225" s="5" t="s">
        <v>85</v>
      </c>
      <c r="D14225" s="5" t="s">
        <v>1827</v>
      </c>
      <c r="E14225" s="6" t="s">
        <v>448</v>
      </c>
      <c r="F14225" s="5" t="s">
        <v>462</v>
      </c>
      <c r="G14225" s="6" t="str">
        <f>VLOOKUP(E14225,dicionario!$A$1:$C14625,2,0)</f>
        <v>Mechanitis polymnia</v>
      </c>
      <c r="H14225" s="6" t="str">
        <f>VLOOKUP(E14225,dicionario!$A$1:$C14625,3,0)</f>
        <v>maria-boba</v>
      </c>
    </row>
    <row r="14226">
      <c r="A14226" s="3">
        <v>45918.0</v>
      </c>
      <c r="B14226" s="4">
        <v>0.27847222222222223</v>
      </c>
      <c r="C14226" s="5" t="s">
        <v>85</v>
      </c>
      <c r="D14226" s="5" t="s">
        <v>1827</v>
      </c>
      <c r="E14226" s="6" t="s">
        <v>177</v>
      </c>
      <c r="F14226" s="5" t="s">
        <v>178</v>
      </c>
      <c r="G14226" s="6" t="str">
        <f>VLOOKUP(E14226,dicionario!$A$1:$C14626,2,0)</f>
        <v>Elaenia flavogaster</v>
      </c>
      <c r="H14226" s="6" t="str">
        <f>VLOOKUP(E14226,dicionario!$A$1:$C14626,3,0)</f>
        <v>guaracava-de-barriga-amarela</v>
      </c>
    </row>
    <row r="14227">
      <c r="A14227" s="3">
        <v>45918.0</v>
      </c>
      <c r="B14227" s="4">
        <v>0.27847222222222223</v>
      </c>
      <c r="C14227" s="5" t="s">
        <v>85</v>
      </c>
      <c r="D14227" s="5" t="s">
        <v>1827</v>
      </c>
      <c r="E14227" s="8" t="s">
        <v>38</v>
      </c>
      <c r="F14227" s="5" t="s">
        <v>1672</v>
      </c>
      <c r="G14227" s="6" t="str">
        <f>VLOOKUP(E14227,dicionario!$A$1:$C14627,2,0)</f>
        <v>Troglodytes musculus</v>
      </c>
      <c r="H14227" s="6" t="str">
        <f>VLOOKUP(E14227,dicionario!$A$1:$C14627,3,0)</f>
        <v>curruíra</v>
      </c>
    </row>
    <row r="14228">
      <c r="A14228" s="3">
        <v>45918.0</v>
      </c>
      <c r="B14228" s="4">
        <v>0.2798611111111111</v>
      </c>
      <c r="C14228" s="5" t="s">
        <v>85</v>
      </c>
      <c r="D14228" s="5" t="s">
        <v>1827</v>
      </c>
      <c r="E14228" s="6" t="s">
        <v>401</v>
      </c>
      <c r="F14228" s="5" t="s">
        <v>464</v>
      </c>
      <c r="G14228" s="6" t="str">
        <f>VLOOKUP(E14228,dicionario!$A$1:$C14628,2,0)</f>
        <v>Cissus verticillata</v>
      </c>
      <c r="H14228" s="6" t="str">
        <f>VLOOKUP(E14228,dicionario!$A$1:$C14628,3,0)</f>
        <v>uva-do-mato</v>
      </c>
    </row>
    <row r="14229">
      <c r="A14229" s="3">
        <v>45918.0</v>
      </c>
      <c r="B14229" s="4">
        <v>0.28194444444444444</v>
      </c>
      <c r="C14229" s="5" t="s">
        <v>85</v>
      </c>
      <c r="D14229" s="5" t="s">
        <v>1827</v>
      </c>
      <c r="E14229" s="6" t="s">
        <v>191</v>
      </c>
      <c r="F14229" s="5" t="s">
        <v>192</v>
      </c>
      <c r="G14229" s="6" t="str">
        <f>VLOOKUP(E14229,dicionario!$A$1:$C14629,2,0)</f>
        <v>Patagioenas picazuro</v>
      </c>
      <c r="H14229" s="6" t="str">
        <f>VLOOKUP(E14229,dicionario!$A$1:$C14629,3,0)</f>
        <v>asa-branca; pomba-asa-branca; pocaçu</v>
      </c>
    </row>
    <row r="14230">
      <c r="A14230" s="3">
        <v>45918.0</v>
      </c>
      <c r="B14230" s="4">
        <v>0.28194444444444444</v>
      </c>
      <c r="C14230" s="5" t="s">
        <v>85</v>
      </c>
      <c r="D14230" s="5" t="s">
        <v>1827</v>
      </c>
      <c r="E14230" s="6" t="s">
        <v>86</v>
      </c>
      <c r="F14230" s="5" t="s">
        <v>502</v>
      </c>
      <c r="G14230" s="6" t="str">
        <f>VLOOKUP(E14230,dicionario!$A$1:$C14630,2,0)</f>
        <v>Coereba flaveola</v>
      </c>
      <c r="H14230" s="6" t="str">
        <f>VLOOKUP(E14230,dicionario!$A$1:$C14630,3,0)</f>
        <v>cambacica</v>
      </c>
    </row>
    <row r="14231">
      <c r="A14231" s="3">
        <v>45918.0</v>
      </c>
      <c r="B14231" s="4">
        <v>0.2826388888888889</v>
      </c>
      <c r="C14231" s="5" t="s">
        <v>76</v>
      </c>
      <c r="D14231" s="5" t="s">
        <v>1827</v>
      </c>
      <c r="E14231" s="8" t="s">
        <v>20</v>
      </c>
      <c r="F14231" s="5" t="s">
        <v>21</v>
      </c>
      <c r="G14231" s="6" t="str">
        <f>VLOOKUP(E14231,dicionario!$A$1:$C14631,2,0)</f>
        <v>Sicalis flaveola</v>
      </c>
      <c r="H14231" s="6" t="str">
        <f>VLOOKUP(E14231,dicionario!$A$1:$C14631,3,0)</f>
        <v>canário-da-terra</v>
      </c>
    </row>
    <row r="14232">
      <c r="A14232" s="3">
        <v>45918.0</v>
      </c>
      <c r="B14232" s="4">
        <v>0.2826388888888889</v>
      </c>
      <c r="C14232" s="5" t="s">
        <v>76</v>
      </c>
      <c r="D14232" s="5" t="s">
        <v>1827</v>
      </c>
      <c r="E14232" s="6" t="s">
        <v>141</v>
      </c>
      <c r="F14232" s="5" t="s">
        <v>142</v>
      </c>
      <c r="G14232" s="6" t="str">
        <f>VLOOKUP(E14232,dicionario!$A$1:$C14632,2,0)</f>
        <v>Ruellia blechum</v>
      </c>
      <c r="H14232" s="6" t="str">
        <f>VLOOKUP(E14232,dicionario!$A$1:$C14632,3,0)</f>
        <v>camarão-verde</v>
      </c>
    </row>
    <row r="14233">
      <c r="A14233" s="3">
        <v>45918.0</v>
      </c>
      <c r="B14233" s="4">
        <v>0.2826388888888889</v>
      </c>
      <c r="C14233" s="5" t="s">
        <v>76</v>
      </c>
      <c r="D14233" s="5" t="s">
        <v>1827</v>
      </c>
      <c r="E14233" s="8" t="s">
        <v>821</v>
      </c>
      <c r="F14233" s="5" t="s">
        <v>876</v>
      </c>
      <c r="G14233" s="6" t="str">
        <f>VLOOKUP(E14233,dicionario!$A$1:$C14633,2,0)</f>
        <v>Schefflera actinophylla</v>
      </c>
      <c r="H14233" s="6" t="str">
        <f>VLOOKUP(E14233,dicionario!$A$1:$C14633,3,0)</f>
        <v>árvore-guarda-chuva</v>
      </c>
    </row>
    <row r="14234">
      <c r="A14234" s="3">
        <v>45918.0</v>
      </c>
      <c r="B14234" s="4">
        <v>0.2833333333333333</v>
      </c>
      <c r="C14234" s="5" t="s">
        <v>76</v>
      </c>
      <c r="D14234" s="5" t="s">
        <v>1827</v>
      </c>
      <c r="E14234" s="6" t="s">
        <v>53</v>
      </c>
      <c r="F14234" s="5" t="s">
        <v>54</v>
      </c>
      <c r="G14234" s="6" t="str">
        <f>VLOOKUP(E14234,dicionario!$A$1:$C14634,2,0)</f>
        <v>Turnera subulata</v>
      </c>
      <c r="H14234" s="6" t="str">
        <f>VLOOKUP(E14234,dicionario!$A$1:$C14634,3,0)</f>
        <v>xanana</v>
      </c>
    </row>
    <row r="14235">
      <c r="A14235" s="3">
        <v>45918.0</v>
      </c>
      <c r="B14235" s="4">
        <v>0.2833333333333333</v>
      </c>
      <c r="C14235" s="5" t="s">
        <v>76</v>
      </c>
      <c r="D14235" s="5" t="s">
        <v>1827</v>
      </c>
      <c r="E14235" s="6" t="s">
        <v>225</v>
      </c>
      <c r="F14235" s="5" t="s">
        <v>226</v>
      </c>
      <c r="G14235" s="6" t="str">
        <f>VLOOKUP(E14235,dicionario!$A$1:$C14635,2,0)</f>
        <v>Passer domesticus</v>
      </c>
      <c r="H14235" s="6" t="str">
        <f>VLOOKUP(E14235,dicionario!$A$1:$C14635,3,0)</f>
        <v>pardal</v>
      </c>
    </row>
    <row r="14236">
      <c r="A14236" s="3">
        <v>45918.0</v>
      </c>
      <c r="B14236" s="4">
        <v>0.2833333333333333</v>
      </c>
      <c r="C14236" s="5" t="s">
        <v>76</v>
      </c>
      <c r="D14236" s="5" t="s">
        <v>1827</v>
      </c>
      <c r="E14236" s="6" t="s">
        <v>191</v>
      </c>
      <c r="F14236" s="5" t="s">
        <v>192</v>
      </c>
      <c r="G14236" s="6" t="str">
        <f>VLOOKUP(E14236,dicionario!$A$1:$C14636,2,0)</f>
        <v>Patagioenas picazuro</v>
      </c>
      <c r="H14236" s="6" t="str">
        <f>VLOOKUP(E14236,dicionario!$A$1:$C14636,3,0)</f>
        <v>asa-branca; pomba-asa-branca; pocaçu</v>
      </c>
    </row>
    <row r="14237">
      <c r="A14237" s="3">
        <v>45918.0</v>
      </c>
      <c r="B14237" s="4">
        <v>0.2833333333333333</v>
      </c>
      <c r="C14237" s="5" t="s">
        <v>76</v>
      </c>
      <c r="D14237" s="5" t="s">
        <v>1827</v>
      </c>
      <c r="E14237" s="8" t="s">
        <v>1404</v>
      </c>
      <c r="F14237" s="5" t="s">
        <v>1829</v>
      </c>
      <c r="G14237" s="6" t="str">
        <f>VLOOKUP(E14237,dicionario!$A$1:$C14637,2,0)</f>
        <v>#N/A</v>
      </c>
      <c r="H14237" s="6" t="str">
        <f>VLOOKUP(E14237,dicionario!$A$1:$C14637,3,0)</f>
        <v>#N/A</v>
      </c>
    </row>
    <row r="14238">
      <c r="A14238" s="3">
        <v>45918.0</v>
      </c>
      <c r="B14238" s="4">
        <v>0.2833333333333333</v>
      </c>
      <c r="C14238" s="5" t="s">
        <v>76</v>
      </c>
      <c r="D14238" s="5" t="s">
        <v>1827</v>
      </c>
      <c r="E14238" s="6" t="s">
        <v>148</v>
      </c>
      <c r="F14238" s="5" t="s">
        <v>149</v>
      </c>
      <c r="G14238" s="6" t="str">
        <f>VLOOKUP(E14238,dicionario!$A$1:$C14638,2,0)</f>
        <v>Parthenium hysterophorus</v>
      </c>
      <c r="H14238" s="6" t="str">
        <f>VLOOKUP(E14238,dicionario!$A$1:$C14638,3,0)</f>
        <v>losna-branca</v>
      </c>
    </row>
    <row r="14239">
      <c r="A14239" s="3">
        <v>45918.0</v>
      </c>
      <c r="B14239" s="4">
        <v>0.28402777777777777</v>
      </c>
      <c r="C14239" s="5" t="s">
        <v>76</v>
      </c>
      <c r="D14239" s="5" t="s">
        <v>1827</v>
      </c>
      <c r="E14239" s="6" t="s">
        <v>111</v>
      </c>
      <c r="F14239" s="5" t="s">
        <v>112</v>
      </c>
      <c r="G14239" s="6" t="str">
        <f>VLOOKUP(E14239,dicionario!$A$1:$C14639,2,0)</f>
        <v>Trigona spinipes</v>
      </c>
      <c r="H14239" s="6" t="str">
        <f>VLOOKUP(E14239,dicionario!$A$1:$C14639,3,0)</f>
        <v>abelha-cachorro</v>
      </c>
    </row>
    <row r="14240">
      <c r="A14240" s="3">
        <v>45918.0</v>
      </c>
      <c r="B14240" s="4">
        <v>0.28402777777777777</v>
      </c>
      <c r="C14240" s="5" t="s">
        <v>76</v>
      </c>
      <c r="D14240" s="5" t="s">
        <v>1827</v>
      </c>
      <c r="E14240" s="8" t="s">
        <v>38</v>
      </c>
      <c r="F14240" s="5" t="s">
        <v>1672</v>
      </c>
      <c r="G14240" s="6" t="str">
        <f>VLOOKUP(E14240,dicionario!$A$1:$C14640,2,0)</f>
        <v>Troglodytes musculus</v>
      </c>
      <c r="H14240" s="6" t="str">
        <f>VLOOKUP(E14240,dicionario!$A$1:$C14640,3,0)</f>
        <v>curruíra</v>
      </c>
    </row>
    <row r="14241">
      <c r="A14241" s="3">
        <v>45918.0</v>
      </c>
      <c r="B14241" s="4">
        <v>0.28402777777777777</v>
      </c>
      <c r="C14241" s="5" t="s">
        <v>76</v>
      </c>
      <c r="D14241" s="5" t="s">
        <v>1827</v>
      </c>
      <c r="E14241" s="6" t="s">
        <v>496</v>
      </c>
      <c r="F14241" s="5" t="s">
        <v>497</v>
      </c>
      <c r="G14241" s="6" t="str">
        <f>VLOOKUP(E14241,dicionario!$A$1:$C14641,2,0)</f>
        <v>Eclipta prostrata</v>
      </c>
      <c r="H14241" s="6" t="str">
        <f>VLOOKUP(E14241,dicionario!$A$1:$C14641,3,0)</f>
        <v>falsa-margarida</v>
      </c>
    </row>
    <row r="14242">
      <c r="A14242" s="3">
        <v>45918.0</v>
      </c>
      <c r="B14242" s="4">
        <v>0.28402777777777777</v>
      </c>
      <c r="C14242" s="5" t="s">
        <v>76</v>
      </c>
      <c r="D14242" s="5" t="s">
        <v>1827</v>
      </c>
      <c r="E14242" s="6" t="s">
        <v>215</v>
      </c>
      <c r="F14242" s="5" t="s">
        <v>216</v>
      </c>
      <c r="G14242" s="6" t="str">
        <f>VLOOKUP(E14242,dicionario!$A$1:$C14642,2,0)</f>
        <v>Pygochelidon cyanoleuca</v>
      </c>
      <c r="H14242" s="6" t="str">
        <f>VLOOKUP(E14242,dicionario!$A$1:$C14642,3,0)</f>
        <v>andorinha-pequena-de-casa</v>
      </c>
    </row>
    <row r="14243">
      <c r="A14243" s="3">
        <v>45918.0</v>
      </c>
      <c r="B14243" s="4">
        <v>0.28402777777777777</v>
      </c>
      <c r="C14243" s="5" t="s">
        <v>76</v>
      </c>
      <c r="D14243" s="5" t="s">
        <v>1827</v>
      </c>
      <c r="E14243" s="6" t="s">
        <v>290</v>
      </c>
      <c r="F14243" s="5" t="s">
        <v>291</v>
      </c>
      <c r="G14243" s="6" t="str">
        <f>VLOOKUP(E14243,dicionario!$A$1:$C14643,2,0)</f>
        <v>Drymaria cordata</v>
      </c>
      <c r="H14243" s="6" t="str">
        <f>VLOOKUP(E14243,dicionario!$A$1:$C14643,3,0)</f>
        <v>orelha-de-rato</v>
      </c>
    </row>
    <row r="14244">
      <c r="A14244" s="3">
        <v>45918.0</v>
      </c>
      <c r="B14244" s="4">
        <v>0.28402777777777777</v>
      </c>
      <c r="C14244" s="5" t="s">
        <v>76</v>
      </c>
      <c r="D14244" s="5" t="s">
        <v>1827</v>
      </c>
      <c r="E14244" s="6" t="s">
        <v>286</v>
      </c>
      <c r="F14244" s="5" t="s">
        <v>287</v>
      </c>
      <c r="G14244" s="6" t="str">
        <f>VLOOKUP(E14244,dicionario!$A$1:$C14644,2,0)</f>
        <v>Setaria parviflora</v>
      </c>
      <c r="H14244" s="6" t="str">
        <f>VLOOKUP(E14244,dicionario!$A$1:$C14644,3,0)</f>
        <v>capim-rabo-de-raposa</v>
      </c>
    </row>
    <row r="14245">
      <c r="A14245" s="3">
        <v>45918.0</v>
      </c>
      <c r="B14245" s="4">
        <v>0.28402777777777777</v>
      </c>
      <c r="C14245" s="5" t="s">
        <v>76</v>
      </c>
      <c r="D14245" s="5" t="s">
        <v>1827</v>
      </c>
      <c r="E14245" s="6" t="s">
        <v>489</v>
      </c>
      <c r="F14245" s="5" t="s">
        <v>521</v>
      </c>
      <c r="G14245" s="6" t="str">
        <f>VLOOKUP(E14245,dicionario!$A$1:$C14645,2,0)</f>
        <v>Cenchrus echinatus</v>
      </c>
      <c r="H14245" s="6" t="str">
        <f>VLOOKUP(E14245,dicionario!$A$1:$C14645,3,0)</f>
        <v>capim-carrapicho</v>
      </c>
    </row>
    <row r="14246">
      <c r="A14246" s="3">
        <v>45918.0</v>
      </c>
      <c r="B14246" s="4">
        <v>0.28402777777777777</v>
      </c>
      <c r="C14246" s="5" t="s">
        <v>76</v>
      </c>
      <c r="D14246" s="5" t="s">
        <v>1827</v>
      </c>
      <c r="E14246" s="8" t="s">
        <v>150</v>
      </c>
      <c r="F14246" s="5" t="s">
        <v>151</v>
      </c>
      <c r="G14246" s="6" t="str">
        <f>VLOOKUP(E14246,dicionario!$A$1:$C14646,2,0)</f>
        <v>Amaranthus viridis</v>
      </c>
      <c r="H14246" s="6" t="str">
        <f>VLOOKUP(E14246,dicionario!$A$1:$C14646,3,0)</f>
        <v>caruru-de-mancha</v>
      </c>
    </row>
    <row r="14247">
      <c r="A14247" s="3">
        <v>45918.0</v>
      </c>
      <c r="B14247" s="4">
        <v>0.28402777777777777</v>
      </c>
      <c r="C14247" s="5" t="s">
        <v>76</v>
      </c>
      <c r="D14247" s="5" t="s">
        <v>1827</v>
      </c>
      <c r="E14247" s="6" t="s">
        <v>48</v>
      </c>
      <c r="F14247" s="5" t="s">
        <v>49</v>
      </c>
      <c r="G14247" s="6" t="str">
        <f>VLOOKUP(E14247,dicionario!$A$1:$C14647,2,0)</f>
        <v>Commelina erecta</v>
      </c>
      <c r="H14247" s="6" t="str">
        <f>VLOOKUP(E14247,dicionario!$A$1:$C14647,3,0)</f>
        <v>trapoeraba</v>
      </c>
    </row>
    <row r="14248">
      <c r="A14248" s="3">
        <v>45918.0</v>
      </c>
      <c r="B14248" s="4">
        <v>0.28402777777777777</v>
      </c>
      <c r="C14248" s="5" t="s">
        <v>76</v>
      </c>
      <c r="D14248" s="5" t="s">
        <v>1827</v>
      </c>
      <c r="E14248" s="8" t="s">
        <v>298</v>
      </c>
      <c r="F14248" s="5"/>
      <c r="G14248" s="6" t="str">
        <f>VLOOKUP(E14248,dicionario!$A$1:$C14648,2,0)</f>
        <v>Alysicarpus vaginalis</v>
      </c>
      <c r="H14248" s="6" t="str">
        <f>VLOOKUP(E14248,dicionario!$A$1:$C14648,3,0)</f>
        <v/>
      </c>
    </row>
    <row r="14249">
      <c r="A14249" s="3">
        <v>45918.0</v>
      </c>
      <c r="B14249" s="4">
        <v>0.28541666666666665</v>
      </c>
      <c r="C14249" s="5" t="s">
        <v>76</v>
      </c>
      <c r="D14249" s="5" t="s">
        <v>1827</v>
      </c>
      <c r="E14249" s="6" t="s">
        <v>467</v>
      </c>
      <c r="F14249" s="5" t="s">
        <v>1365</v>
      </c>
      <c r="G14249" s="6" t="str">
        <f>VLOOKUP(E14249,dicionario!$A$1:$C14649,2,0)</f>
        <v>Eleusine indica</v>
      </c>
      <c r="H14249" s="6" t="str">
        <f>VLOOKUP(E14249,dicionario!$A$1:$C14649,3,0)</f>
        <v>capim-pé-de-galinha</v>
      </c>
    </row>
    <row r="14250">
      <c r="A14250" s="3">
        <v>45918.0</v>
      </c>
      <c r="B14250" s="4">
        <v>0.28541666666666665</v>
      </c>
      <c r="C14250" s="5" t="s">
        <v>76</v>
      </c>
      <c r="D14250" s="5" t="s">
        <v>1827</v>
      </c>
      <c r="E14250" s="8" t="s">
        <v>135</v>
      </c>
      <c r="F14250" s="5" t="s">
        <v>136</v>
      </c>
      <c r="G14250" s="6" t="str">
        <f>VLOOKUP(E14250,dicionario!$A$1:$C14650,2,0)</f>
        <v>Tridax procumbens</v>
      </c>
      <c r="H14250" s="6" t="str">
        <f>VLOOKUP(E14250,dicionario!$A$1:$C14650,3,0)</f>
        <v>erva-de-touro</v>
      </c>
    </row>
    <row r="14251">
      <c r="A14251" s="3">
        <v>45918.0</v>
      </c>
      <c r="B14251" s="4">
        <v>0.28541666666666665</v>
      </c>
      <c r="C14251" s="5" t="s">
        <v>76</v>
      </c>
      <c r="D14251" s="5" t="s">
        <v>1827</v>
      </c>
      <c r="E14251" s="8" t="s">
        <v>146</v>
      </c>
      <c r="F14251" s="5" t="s">
        <v>147</v>
      </c>
      <c r="G14251" s="6" t="str">
        <f>VLOOKUP(E14251,dicionario!$A$1:$C14651,2,0)</f>
        <v>Euphorbia hirta</v>
      </c>
      <c r="H14251" s="6" t="str">
        <f>VLOOKUP(E14251,dicionario!$A$1:$C14651,3,0)</f>
        <v>erva-de-santa-luzia</v>
      </c>
    </row>
    <row r="14252">
      <c r="A14252" s="3">
        <v>45918.0</v>
      </c>
      <c r="B14252" s="4">
        <v>0.28541666666666665</v>
      </c>
      <c r="C14252" s="5" t="s">
        <v>76</v>
      </c>
      <c r="D14252" s="5" t="s">
        <v>1827</v>
      </c>
      <c r="E14252" s="6" t="s">
        <v>122</v>
      </c>
      <c r="F14252" s="5" t="s">
        <v>123</v>
      </c>
      <c r="G14252" s="6" t="str">
        <f>VLOOKUP(E14252,dicionario!$A$1:$C14652,2,0)</f>
        <v>Todirostrum cinereum</v>
      </c>
      <c r="H14252" s="6" t="str">
        <f>VLOOKUP(E14252,dicionario!$A$1:$C14652,3,0)</f>
        <v>ferreirinho-relógio</v>
      </c>
    </row>
    <row r="14253">
      <c r="A14253" s="3">
        <v>45918.0</v>
      </c>
      <c r="B14253" s="4">
        <v>0.28541666666666665</v>
      </c>
      <c r="C14253" s="5" t="s">
        <v>76</v>
      </c>
      <c r="D14253" s="5" t="s">
        <v>1827</v>
      </c>
      <c r="E14253" s="8" t="s">
        <v>109</v>
      </c>
      <c r="F14253" s="5" t="s">
        <v>110</v>
      </c>
      <c r="G14253" s="6" t="str">
        <f>VLOOKUP(E14253,dicionario!$A$1:$C14653,2,0)</f>
        <v>Tillandsia stricta</v>
      </c>
      <c r="H14253" s="6" t="str">
        <f>VLOOKUP(E14253,dicionario!$A$1:$C14653,3,0)</f>
        <v>cravo-do-mato</v>
      </c>
    </row>
    <row r="14254">
      <c r="A14254" s="3">
        <v>45918.0</v>
      </c>
      <c r="B14254" s="4">
        <v>0.28541666666666665</v>
      </c>
      <c r="C14254" s="5" t="s">
        <v>76</v>
      </c>
      <c r="D14254" s="5" t="s">
        <v>1827</v>
      </c>
      <c r="E14254" s="8" t="s">
        <v>1282</v>
      </c>
      <c r="F14254" s="5" t="s">
        <v>182</v>
      </c>
      <c r="G14254" s="6" t="str">
        <f>VLOOKUP(E14254,dicionario!$A$1:$C14654,2,0)</f>
        <v>#N/A</v>
      </c>
      <c r="H14254" s="6" t="str">
        <f>VLOOKUP(E14254,dicionario!$A$1:$C14654,3,0)</f>
        <v>#N/A</v>
      </c>
    </row>
    <row r="14255">
      <c r="A14255" s="3">
        <v>45918.0</v>
      </c>
      <c r="B14255" s="4">
        <v>0.28541666666666665</v>
      </c>
      <c r="C14255" s="5" t="s">
        <v>76</v>
      </c>
      <c r="D14255" s="5" t="s">
        <v>1827</v>
      </c>
      <c r="E14255" s="6" t="s">
        <v>144</v>
      </c>
      <c r="F14255" s="5" t="s">
        <v>145</v>
      </c>
      <c r="G14255" s="6" t="str">
        <f>VLOOKUP(E14255,dicionario!$A$1:$C14655,2,0)</f>
        <v>Gomphrena globosa</v>
      </c>
      <c r="H14255" s="6" t="str">
        <f>VLOOKUP(E14255,dicionario!$A$1:$C14655,3,0)</f>
        <v>perpétua-rosa</v>
      </c>
    </row>
    <row r="14256">
      <c r="A14256" s="3">
        <v>45918.0</v>
      </c>
      <c r="B14256" s="4">
        <v>0.2861111111111111</v>
      </c>
      <c r="C14256" s="5" t="s">
        <v>76</v>
      </c>
      <c r="D14256" s="5" t="s">
        <v>1827</v>
      </c>
      <c r="E14256" s="8" t="s">
        <v>239</v>
      </c>
      <c r="F14256" s="5" t="s">
        <v>240</v>
      </c>
      <c r="G14256" s="6" t="str">
        <f>VLOOKUP(E14256,dicionario!$A$1:$C14656,2,0)</f>
        <v>Gomphrena celosioides</v>
      </c>
      <c r="H14256" s="6" t="str">
        <f>VLOOKUP(E14256,dicionario!$A$1:$C14656,3,0)</f>
        <v>perpétua-branca</v>
      </c>
    </row>
    <row r="14257">
      <c r="A14257" s="3">
        <v>45918.0</v>
      </c>
      <c r="B14257" s="4">
        <v>0.2861111111111111</v>
      </c>
      <c r="C14257" s="5" t="s">
        <v>76</v>
      </c>
      <c r="D14257" s="5" t="s">
        <v>1827</v>
      </c>
      <c r="E14257" s="8" t="s">
        <v>280</v>
      </c>
      <c r="F14257" s="5" t="s">
        <v>281</v>
      </c>
      <c r="G14257" s="6" t="str">
        <f>VLOOKUP(E14257,dicionario!$A$1:$C14657,2,0)</f>
        <v>Lepidium virginicum</v>
      </c>
      <c r="H14257" s="6" t="str">
        <f>VLOOKUP(E14257,dicionario!$A$1:$C14657,3,0)</f>
        <v>mastruz</v>
      </c>
    </row>
    <row r="14258">
      <c r="A14258" s="3">
        <v>45918.0</v>
      </c>
      <c r="B14258" s="4">
        <v>0.2861111111111111</v>
      </c>
      <c r="C14258" s="5" t="s">
        <v>76</v>
      </c>
      <c r="D14258" s="5" t="s">
        <v>1827</v>
      </c>
      <c r="E14258" s="6" t="s">
        <v>177</v>
      </c>
      <c r="F14258" s="5" t="s">
        <v>804</v>
      </c>
      <c r="G14258" s="6" t="str">
        <f>VLOOKUP(E14258,dicionario!$A$1:$C14658,2,0)</f>
        <v>Elaenia flavogaster</v>
      </c>
      <c r="H14258" s="6" t="str">
        <f>VLOOKUP(E14258,dicionario!$A$1:$C14658,3,0)</f>
        <v>guaracava-de-barriga-amarela</v>
      </c>
    </row>
    <row r="14259">
      <c r="A14259" s="3">
        <v>45918.0</v>
      </c>
      <c r="B14259" s="4">
        <v>0.2861111111111111</v>
      </c>
      <c r="C14259" s="5" t="s">
        <v>76</v>
      </c>
      <c r="D14259" s="5" t="s">
        <v>1827</v>
      </c>
      <c r="E14259" s="6" t="s">
        <v>227</v>
      </c>
      <c r="F14259" s="5" t="s">
        <v>228</v>
      </c>
      <c r="G14259" s="6" t="str">
        <f>VLOOKUP(E14259,dicionario!$A$1:$C14659,2,0)</f>
        <v>Indigofera hirsuta</v>
      </c>
      <c r="H14259" s="6" t="str">
        <f>VLOOKUP(E14259,dicionario!$A$1:$C14659,3,0)</f>
        <v>anileira</v>
      </c>
    </row>
    <row r="14260">
      <c r="A14260" s="3">
        <v>45918.0</v>
      </c>
      <c r="B14260" s="4">
        <v>0.2861111111111111</v>
      </c>
      <c r="C14260" s="5" t="s">
        <v>76</v>
      </c>
      <c r="D14260" s="5" t="s">
        <v>1827</v>
      </c>
      <c r="E14260" s="6" t="s">
        <v>111</v>
      </c>
      <c r="F14260" s="5" t="s">
        <v>112</v>
      </c>
      <c r="G14260" s="6" t="str">
        <f>VLOOKUP(E14260,dicionario!$A$1:$C14660,2,0)</f>
        <v>Trigona spinipes</v>
      </c>
      <c r="H14260" s="6" t="str">
        <f>VLOOKUP(E14260,dicionario!$A$1:$C14660,3,0)</f>
        <v>abelha-cachorro</v>
      </c>
    </row>
    <row r="14261">
      <c r="A14261" s="3">
        <v>45918.0</v>
      </c>
      <c r="B14261" s="4">
        <v>0.2875</v>
      </c>
      <c r="C14261" s="5" t="s">
        <v>76</v>
      </c>
      <c r="D14261" s="5" t="s">
        <v>1827</v>
      </c>
      <c r="E14261" s="8" t="s">
        <v>1798</v>
      </c>
      <c r="F14261" s="7" t="s">
        <v>321</v>
      </c>
      <c r="G14261" s="6" t="str">
        <f>VLOOKUP(E14261,dicionario!$A$1:$C14661,2,0)</f>
        <v>Solenopsis</v>
      </c>
      <c r="H14261" s="6" t="str">
        <f>VLOOKUP(E14261,dicionario!$A$1:$C14661,3,0)</f>
        <v>formiga-quente; formiga-lava-pés; formiga-de-fogo</v>
      </c>
    </row>
    <row r="14262">
      <c r="A14262" s="3">
        <v>45918.0</v>
      </c>
      <c r="B14262" s="4">
        <v>0.2875</v>
      </c>
      <c r="C14262" s="5" t="s">
        <v>76</v>
      </c>
      <c r="D14262" s="5" t="s">
        <v>1827</v>
      </c>
      <c r="E14262" s="6" t="s">
        <v>253</v>
      </c>
      <c r="F14262" s="5" t="s">
        <v>254</v>
      </c>
      <c r="G14262" s="6" t="str">
        <f>VLOOKUP(E14262,dicionario!$A$1:$C14662,2,0)</f>
        <v>Panicum maximum</v>
      </c>
      <c r="H14262" s="6" t="str">
        <f>VLOOKUP(E14262,dicionario!$A$1:$C14662,3,0)</f>
        <v>capim-colonião</v>
      </c>
    </row>
    <row r="14263">
      <c r="A14263" s="3">
        <v>45918.0</v>
      </c>
      <c r="B14263" s="4">
        <v>0.2875</v>
      </c>
      <c r="C14263" s="5" t="s">
        <v>76</v>
      </c>
      <c r="D14263" s="5" t="s">
        <v>1827</v>
      </c>
      <c r="E14263" s="65" t="s">
        <v>1797</v>
      </c>
      <c r="F14263" s="5" t="s">
        <v>325</v>
      </c>
      <c r="G14263" s="6" t="str">
        <f>VLOOKUP(E14263,dicionario!$A$1:$C14663,2,0)</f>
        <v>Estrilda astrild</v>
      </c>
      <c r="H14263" s="6" t="str">
        <f>VLOOKUP(E14263,dicionario!$A$1:$C14663,3,0)</f>
        <v>bico-de-lacre</v>
      </c>
    </row>
    <row r="14264">
      <c r="A14264" s="3">
        <v>45918.0</v>
      </c>
      <c r="B14264" s="4">
        <v>0.2881944444444444</v>
      </c>
      <c r="C14264" s="5" t="s">
        <v>76</v>
      </c>
      <c r="D14264" s="5" t="s">
        <v>1827</v>
      </c>
      <c r="E14264" s="6" t="s">
        <v>65</v>
      </c>
      <c r="F14264" s="5" t="s">
        <v>66</v>
      </c>
      <c r="G14264" s="6" t="str">
        <f>VLOOKUP(E14264,dicionario!$A$1:$C14664,2,0)</f>
        <v>Pitangus sulphutarus</v>
      </c>
      <c r="H14264" s="6" t="str">
        <f>VLOOKUP(E14264,dicionario!$A$1:$C14664,3,0)</f>
        <v>bem-te-vi</v>
      </c>
    </row>
    <row r="14265">
      <c r="A14265" s="3">
        <v>45918.0</v>
      </c>
      <c r="B14265" s="4">
        <v>0.2881944444444444</v>
      </c>
      <c r="C14265" s="5" t="s">
        <v>76</v>
      </c>
      <c r="D14265" s="5" t="s">
        <v>1827</v>
      </c>
      <c r="E14265" s="8" t="s">
        <v>886</v>
      </c>
      <c r="F14265" s="5" t="s">
        <v>887</v>
      </c>
      <c r="G14265" s="6" t="str">
        <f>VLOOKUP(E14265,dicionario!$A$1:$C14665,2,0)</f>
        <v>Oldenlandia corymbosa</v>
      </c>
      <c r="H14265" s="6" t="str">
        <f>VLOOKUP(E14265,dicionario!$A$1:$C14665,3,0)</f>
        <v>erva-diamante</v>
      </c>
    </row>
    <row r="14266">
      <c r="A14266" s="3">
        <v>45918.0</v>
      </c>
      <c r="B14266" s="4">
        <v>0.28888888888888886</v>
      </c>
      <c r="C14266" s="5" t="s">
        <v>76</v>
      </c>
      <c r="D14266" s="5" t="s">
        <v>1827</v>
      </c>
      <c r="E14266" s="74" t="s">
        <v>1830</v>
      </c>
      <c r="F14266" s="5" t="s">
        <v>1831</v>
      </c>
      <c r="G14266" s="6" t="str">
        <f>VLOOKUP(E14266,dicionario!$A$1:$C14666,2,0)</f>
        <v>#N/A</v>
      </c>
      <c r="H14266" s="6" t="str">
        <f>VLOOKUP(E14266,dicionario!$A$1:$C14666,3,0)</f>
        <v>#N/A</v>
      </c>
    </row>
    <row r="14267">
      <c r="A14267" s="3">
        <v>45918.0</v>
      </c>
      <c r="B14267" s="4">
        <v>0.28888888888888886</v>
      </c>
      <c r="C14267" s="5" t="s">
        <v>76</v>
      </c>
      <c r="D14267" s="5" t="s">
        <v>1827</v>
      </c>
      <c r="E14267" s="6" t="s">
        <v>88</v>
      </c>
      <c r="F14267" s="5" t="s">
        <v>1832</v>
      </c>
      <c r="G14267" s="6" t="str">
        <f>VLOOKUP(E14267,dicionario!$A$1:$C14667,2,0)</f>
        <v>Tyrannus melancolichus</v>
      </c>
      <c r="H14267" s="6" t="str">
        <f>VLOOKUP(E14267,dicionario!$A$1:$C14667,3,0)</f>
        <v>suiriri</v>
      </c>
    </row>
    <row r="14268">
      <c r="A14268" s="3">
        <v>45918.0</v>
      </c>
      <c r="B14268" s="4">
        <v>0.28888888888888886</v>
      </c>
      <c r="C14268" s="5" t="s">
        <v>76</v>
      </c>
      <c r="D14268" s="5" t="s">
        <v>1827</v>
      </c>
      <c r="E14268" s="6" t="s">
        <v>183</v>
      </c>
      <c r="F14268" s="5" t="s">
        <v>1833</v>
      </c>
      <c r="G14268" s="6" t="str">
        <f>VLOOKUP(E14268,dicionario!$A$1:$C14668,2,0)</f>
        <v>Thunbergia alata</v>
      </c>
      <c r="H14268" s="6" t="str">
        <f>VLOOKUP(E14268,dicionario!$A$1:$C14668,3,0)</f>
        <v>susana-dos-olhos-negros</v>
      </c>
    </row>
    <row r="14269">
      <c r="A14269" s="3">
        <v>45918.0</v>
      </c>
      <c r="B14269" s="4">
        <v>0.29305555555555557</v>
      </c>
      <c r="C14269" s="5" t="s">
        <v>64</v>
      </c>
      <c r="D14269" s="5" t="s">
        <v>1827</v>
      </c>
      <c r="E14269" s="6" t="s">
        <v>251</v>
      </c>
      <c r="F14269" s="5" t="s">
        <v>252</v>
      </c>
      <c r="G14269" s="6" t="str">
        <f>VLOOKUP(E14269,dicionario!$A$1:$C14669,2,0)</f>
        <v>Struthanthus flexicaulis</v>
      </c>
      <c r="H14269" s="6" t="str">
        <f>VLOOKUP(E14269,dicionario!$A$1:$C14669,3,0)</f>
        <v>erva-de-passarinho</v>
      </c>
    </row>
    <row r="14270">
      <c r="A14270" s="3">
        <v>45918.0</v>
      </c>
      <c r="B14270" s="4">
        <v>0.29305555555555557</v>
      </c>
      <c r="C14270" s="5" t="s">
        <v>64</v>
      </c>
      <c r="D14270" s="5" t="s">
        <v>1827</v>
      </c>
      <c r="E14270" s="6" t="s">
        <v>148</v>
      </c>
      <c r="F14270" s="5" t="s">
        <v>149</v>
      </c>
      <c r="G14270" s="6" t="str">
        <f>VLOOKUP(E14270,dicionario!$A$1:$C14670,2,0)</f>
        <v>Parthenium hysterophorus</v>
      </c>
      <c r="H14270" s="6" t="str">
        <f>VLOOKUP(E14270,dicionario!$A$1:$C14670,3,0)</f>
        <v>losna-branca</v>
      </c>
    </row>
    <row r="14271">
      <c r="A14271" s="3">
        <v>45918.0</v>
      </c>
      <c r="B14271" s="4">
        <v>0.29305555555555557</v>
      </c>
      <c r="C14271" s="5" t="s">
        <v>64</v>
      </c>
      <c r="D14271" s="5" t="s">
        <v>1827</v>
      </c>
      <c r="E14271" s="6" t="s">
        <v>290</v>
      </c>
      <c r="F14271" s="5" t="s">
        <v>291</v>
      </c>
      <c r="G14271" s="6" t="str">
        <f>VLOOKUP(E14271,dicionario!$A$1:$C14671,2,0)</f>
        <v>Drymaria cordata</v>
      </c>
      <c r="H14271" s="6" t="str">
        <f>VLOOKUP(E14271,dicionario!$A$1:$C14671,3,0)</f>
        <v>orelha-de-rato</v>
      </c>
    </row>
    <row r="14272">
      <c r="A14272" s="3">
        <v>45918.0</v>
      </c>
      <c r="B14272" s="4">
        <v>0.29305555555555557</v>
      </c>
      <c r="C14272" s="5" t="s">
        <v>64</v>
      </c>
      <c r="D14272" s="5" t="s">
        <v>1827</v>
      </c>
      <c r="E14272" s="6" t="s">
        <v>253</v>
      </c>
      <c r="F14272" s="5" t="s">
        <v>254</v>
      </c>
      <c r="G14272" s="6" t="str">
        <f>VLOOKUP(E14272,dicionario!$A$1:$C14672,2,0)</f>
        <v>Panicum maximum</v>
      </c>
      <c r="H14272" s="6" t="str">
        <f>VLOOKUP(E14272,dicionario!$A$1:$C14672,3,0)</f>
        <v>capim-colonião</v>
      </c>
    </row>
    <row r="14273">
      <c r="A14273" s="3">
        <v>45918.0</v>
      </c>
      <c r="B14273" s="4">
        <v>0.29305555555555557</v>
      </c>
      <c r="C14273" s="5" t="s">
        <v>64</v>
      </c>
      <c r="D14273" s="5" t="s">
        <v>1827</v>
      </c>
      <c r="E14273" s="8" t="s">
        <v>719</v>
      </c>
      <c r="F14273" s="5" t="s">
        <v>911</v>
      </c>
      <c r="G14273" s="6" t="str">
        <f>VLOOKUP(E14273,dicionario!$A$1:$C14673,2,0)</f>
        <v>Dirinaria</v>
      </c>
      <c r="H14273" s="6" t="str">
        <f>VLOOKUP(E14273,dicionario!$A$1:$C14673,3,0)</f>
        <v>líquen-crostoso</v>
      </c>
    </row>
    <row r="14274">
      <c r="A14274" s="3">
        <v>45918.0</v>
      </c>
      <c r="B14274" s="4">
        <v>0.29305555555555557</v>
      </c>
      <c r="C14274" s="5" t="s">
        <v>64</v>
      </c>
      <c r="D14274" s="5" t="s">
        <v>1827</v>
      </c>
      <c r="E14274" s="8" t="s">
        <v>712</v>
      </c>
      <c r="F14274" s="5" t="s">
        <v>912</v>
      </c>
      <c r="G14274" s="6" t="str">
        <f>VLOOKUP(E14274,dicionario!$A$1:$C14674,2,0)</f>
        <v>Flavopunctelia soredica</v>
      </c>
      <c r="H14274" s="6" t="str">
        <f>VLOOKUP(E14274,dicionario!$A$1:$C14674,3,0)</f>
        <v>líquen-folioso</v>
      </c>
    </row>
    <row r="14275">
      <c r="A14275" s="3">
        <v>45918.0</v>
      </c>
      <c r="B14275" s="4">
        <v>0.29305555555555557</v>
      </c>
      <c r="C14275" s="5" t="s">
        <v>64</v>
      </c>
      <c r="D14275" s="5" t="s">
        <v>1827</v>
      </c>
      <c r="E14275" s="8" t="s">
        <v>821</v>
      </c>
      <c r="F14275" s="5" t="s">
        <v>876</v>
      </c>
      <c r="G14275" s="6" t="str">
        <f>VLOOKUP(E14275,dicionario!$A$1:$C14675,2,0)</f>
        <v>Schefflera actinophylla</v>
      </c>
      <c r="H14275" s="6" t="str">
        <f>VLOOKUP(E14275,dicionario!$A$1:$C14675,3,0)</f>
        <v>árvore-guarda-chuva</v>
      </c>
    </row>
    <row r="14276">
      <c r="A14276" s="3">
        <v>45918.0</v>
      </c>
      <c r="B14276" s="4">
        <v>0.29305555555555557</v>
      </c>
      <c r="C14276" s="5" t="s">
        <v>64</v>
      </c>
      <c r="D14276" s="5" t="s">
        <v>1827</v>
      </c>
      <c r="E14276" s="8" t="s">
        <v>109</v>
      </c>
      <c r="F14276" s="5" t="s">
        <v>110</v>
      </c>
      <c r="G14276" s="6" t="str">
        <f>VLOOKUP(E14276,dicionario!$A$1:$C14676,2,0)</f>
        <v>Tillandsia stricta</v>
      </c>
      <c r="H14276" s="6" t="str">
        <f>VLOOKUP(E14276,dicionario!$A$1:$C14676,3,0)</f>
        <v>cravo-do-mato</v>
      </c>
    </row>
    <row r="14277">
      <c r="A14277" s="3">
        <v>45918.0</v>
      </c>
      <c r="B14277" s="4">
        <v>0.29305555555555557</v>
      </c>
      <c r="C14277" s="5" t="s">
        <v>64</v>
      </c>
      <c r="D14277" s="5" t="s">
        <v>1827</v>
      </c>
      <c r="E14277" s="6" t="s">
        <v>65</v>
      </c>
      <c r="F14277" s="5" t="s">
        <v>66</v>
      </c>
      <c r="G14277" s="6" t="str">
        <f>VLOOKUP(E14277,dicionario!$A$1:$C14677,2,0)</f>
        <v>Pitangus sulphutarus</v>
      </c>
      <c r="H14277" s="6" t="str">
        <f>VLOOKUP(E14277,dicionario!$A$1:$C14677,3,0)</f>
        <v>bem-te-vi</v>
      </c>
    </row>
    <row r="14278">
      <c r="A14278" s="3">
        <v>45918.0</v>
      </c>
      <c r="B14278" s="4">
        <v>0.29305555555555557</v>
      </c>
      <c r="C14278" s="5" t="s">
        <v>64</v>
      </c>
      <c r="D14278" s="5" t="s">
        <v>1827</v>
      </c>
      <c r="E14278" s="6" t="s">
        <v>43</v>
      </c>
      <c r="F14278" s="5" t="s">
        <v>44</v>
      </c>
      <c r="G14278" s="6" t="str">
        <f>VLOOKUP(E14278,dicionario!$A$1:$C14678,2,0)</f>
        <v>Columba livia</v>
      </c>
      <c r="H14278" s="6" t="str">
        <f>VLOOKUP(E14278,dicionario!$A$1:$C14678,3,0)</f>
        <v>pombo-doméstico</v>
      </c>
    </row>
    <row r="14279">
      <c r="A14279" s="3">
        <v>45918.0</v>
      </c>
      <c r="B14279" s="4">
        <v>0.29305555555555557</v>
      </c>
      <c r="C14279" s="5" t="s">
        <v>64</v>
      </c>
      <c r="D14279" s="5" t="s">
        <v>1827</v>
      </c>
      <c r="E14279" s="6" t="s">
        <v>88</v>
      </c>
      <c r="F14279" s="5" t="s">
        <v>1832</v>
      </c>
      <c r="G14279" s="6" t="str">
        <f>VLOOKUP(E14279,dicionario!$A$1:$C14679,2,0)</f>
        <v>Tyrannus melancolichus</v>
      </c>
      <c r="H14279" s="6" t="str">
        <f>VLOOKUP(E14279,dicionario!$A$1:$C14679,3,0)</f>
        <v>suiriri</v>
      </c>
    </row>
    <row r="14280">
      <c r="A14280" s="3">
        <v>45918.0</v>
      </c>
      <c r="B14280" s="4">
        <v>0.29305555555555557</v>
      </c>
      <c r="C14280" s="5" t="s">
        <v>64</v>
      </c>
      <c r="D14280" s="5" t="s">
        <v>1827</v>
      </c>
      <c r="E14280" s="6" t="s">
        <v>213</v>
      </c>
      <c r="F14280" s="5" t="s">
        <v>214</v>
      </c>
      <c r="G14280" s="6" t="str">
        <f>VLOOKUP(E14280,dicionario!$A$1:$C14680,2,0)</f>
        <v>Myiozetetes similis</v>
      </c>
      <c r="H14280" s="6" t="str">
        <f>VLOOKUP(E14280,dicionario!$A$1:$C14680,3,0)</f>
        <v>bentevizinho-de-penacho-vermelho</v>
      </c>
    </row>
    <row r="14281">
      <c r="A14281" s="3">
        <v>45918.0</v>
      </c>
      <c r="B14281" s="4">
        <v>0.29305555555555557</v>
      </c>
      <c r="C14281" s="5" t="s">
        <v>64</v>
      </c>
      <c r="D14281" s="5" t="s">
        <v>1827</v>
      </c>
      <c r="E14281" s="6" t="s">
        <v>154</v>
      </c>
      <c r="F14281" s="5" t="s">
        <v>155</v>
      </c>
      <c r="G14281" s="6" t="str">
        <f>VLOOKUP(E14281,dicionario!$A$1:$C14681,2,0)</f>
        <v>Cyperus rotundus</v>
      </c>
      <c r="H14281" s="6" t="str">
        <f>VLOOKUP(E14281,dicionario!$A$1:$C14681,3,0)</f>
        <v>tiririca</v>
      </c>
    </row>
    <row r="14282">
      <c r="A14282" s="3">
        <v>45918.0</v>
      </c>
      <c r="B14282" s="4">
        <v>0.29305555555555557</v>
      </c>
      <c r="C14282" s="5" t="s">
        <v>64</v>
      </c>
      <c r="D14282" s="5" t="s">
        <v>1827</v>
      </c>
      <c r="E14282" s="8" t="s">
        <v>385</v>
      </c>
      <c r="F14282" s="5" t="s">
        <v>386</v>
      </c>
      <c r="G14282" s="6" t="str">
        <f>VLOOKUP(E14282,dicionario!$A$1:$C14682,2,0)</f>
        <v>Psidium guajava</v>
      </c>
      <c r="H14282" s="6" t="str">
        <f>VLOOKUP(E14282,dicionario!$A$1:$C14682,3,0)</f>
        <v>goiaba</v>
      </c>
    </row>
    <row r="14283">
      <c r="A14283" s="3">
        <v>45918.0</v>
      </c>
      <c r="B14283" s="4">
        <v>0.2951388888888889</v>
      </c>
      <c r="C14283" s="5" t="s">
        <v>64</v>
      </c>
      <c r="D14283" s="5" t="s">
        <v>1827</v>
      </c>
      <c r="E14283" s="6" t="s">
        <v>294</v>
      </c>
      <c r="F14283" s="5" t="s">
        <v>295</v>
      </c>
      <c r="G14283" s="6" t="str">
        <f>VLOOKUP(E14283,dicionario!$A$1:$C14683,2,0)</f>
        <v>Cycloneda sanguinea</v>
      </c>
      <c r="H14283" s="6" t="str">
        <f>VLOOKUP(E14283,dicionario!$A$1:$C14683,3,0)</f>
        <v>joaninha-sem-pintas</v>
      </c>
    </row>
    <row r="14284">
      <c r="A14284" s="3">
        <v>45918.0</v>
      </c>
      <c r="B14284" s="4">
        <v>0.2951388888888889</v>
      </c>
      <c r="C14284" s="5" t="s">
        <v>64</v>
      </c>
      <c r="D14284" s="5" t="s">
        <v>1827</v>
      </c>
      <c r="E14284" s="8" t="s">
        <v>20</v>
      </c>
      <c r="F14284" s="5" t="s">
        <v>21</v>
      </c>
      <c r="G14284" s="6" t="str">
        <f>VLOOKUP(E14284,dicionario!$A$1:$C14684,2,0)</f>
        <v>Sicalis flaveola</v>
      </c>
      <c r="H14284" s="6" t="str">
        <f>VLOOKUP(E14284,dicionario!$A$1:$C14684,3,0)</f>
        <v>canário-da-terra</v>
      </c>
    </row>
    <row r="14285">
      <c r="A14285" s="3">
        <v>45918.0</v>
      </c>
      <c r="B14285" s="4">
        <v>0.2951388888888889</v>
      </c>
      <c r="C14285" s="5" t="s">
        <v>64</v>
      </c>
      <c r="D14285" s="5" t="s">
        <v>1827</v>
      </c>
      <c r="E14285" s="6" t="s">
        <v>177</v>
      </c>
      <c r="F14285" s="5" t="s">
        <v>804</v>
      </c>
      <c r="G14285" s="6" t="str">
        <f>VLOOKUP(E14285,dicionario!$A$1:$C14685,2,0)</f>
        <v>Elaenia flavogaster</v>
      </c>
      <c r="H14285" s="6" t="str">
        <f>VLOOKUP(E14285,dicionario!$A$1:$C14685,3,0)</f>
        <v>guaracava-de-barriga-amarela</v>
      </c>
    </row>
    <row r="14286">
      <c r="A14286" s="3">
        <v>45918.0</v>
      </c>
      <c r="B14286" s="4">
        <v>0.29583333333333334</v>
      </c>
      <c r="C14286" s="5" t="s">
        <v>64</v>
      </c>
      <c r="D14286" s="5" t="s">
        <v>1827</v>
      </c>
      <c r="E14286" s="8" t="s">
        <v>171</v>
      </c>
      <c r="F14286" s="5" t="s">
        <v>172</v>
      </c>
      <c r="G14286" s="6" t="str">
        <f>VLOOKUP(E14286,dicionario!$A$1:$C14686,2,0)</f>
        <v>Oxalis corniculata</v>
      </c>
      <c r="H14286" s="6" t="str">
        <f>VLOOKUP(E14286,dicionario!$A$1:$C14686,3,0)</f>
        <v>trevo-azedinho</v>
      </c>
    </row>
    <row r="14287">
      <c r="A14287" s="3">
        <v>45918.0</v>
      </c>
      <c r="B14287" s="4">
        <v>0.29583333333333334</v>
      </c>
      <c r="C14287" s="5" t="s">
        <v>64</v>
      </c>
      <c r="D14287" s="5" t="s">
        <v>1827</v>
      </c>
      <c r="E14287" s="6" t="s">
        <v>122</v>
      </c>
      <c r="F14287" s="5" t="s">
        <v>123</v>
      </c>
      <c r="G14287" s="6" t="str">
        <f>VLOOKUP(E14287,dicionario!$A$1:$C14687,2,0)</f>
        <v>Todirostrum cinereum</v>
      </c>
      <c r="H14287" s="6" t="str">
        <f>VLOOKUP(E14287,dicionario!$A$1:$C14687,3,0)</f>
        <v>ferreirinho-relógio</v>
      </c>
    </row>
    <row r="14288">
      <c r="A14288" s="3">
        <v>45918.0</v>
      </c>
      <c r="B14288" s="4">
        <v>0.29583333333333334</v>
      </c>
      <c r="C14288" s="5" t="s">
        <v>64</v>
      </c>
      <c r="D14288" s="5" t="s">
        <v>1827</v>
      </c>
      <c r="E14288" s="8" t="s">
        <v>14</v>
      </c>
      <c r="F14288" s="5" t="s">
        <v>15</v>
      </c>
      <c r="G14288" s="6" t="str">
        <f>VLOOKUP(E14288,dicionario!$A$1:$C14688,2,0)</f>
        <v>Spermacoce verticillata</v>
      </c>
      <c r="H14288" s="6" t="str">
        <f>VLOOKUP(E14288,dicionario!$A$1:$C14688,3,0)</f>
        <v>vassourinha-de-botão</v>
      </c>
    </row>
    <row r="14289">
      <c r="A14289" s="3">
        <v>45918.0</v>
      </c>
      <c r="B14289" s="4">
        <v>0.2965277777777778</v>
      </c>
      <c r="C14289" s="5" t="s">
        <v>64</v>
      </c>
      <c r="D14289" s="5" t="s">
        <v>1827</v>
      </c>
      <c r="E14289" s="76" t="s">
        <v>514</v>
      </c>
      <c r="F14289" s="5" t="s">
        <v>515</v>
      </c>
      <c r="G14289" s="6" t="str">
        <f>VLOOKUP(E14289,dicionario!$A$1:$C14689,2,0)</f>
        <v>Aedes aegypti</v>
      </c>
      <c r="H14289" s="6" t="str">
        <f>VLOOKUP(E14289,dicionario!$A$1:$C14689,3,0)</f>
        <v>mosquito-da-dengue</v>
      </c>
    </row>
    <row r="14290">
      <c r="A14290" s="3">
        <v>45918.0</v>
      </c>
      <c r="B14290" s="4">
        <v>0.2965277777777778</v>
      </c>
      <c r="C14290" s="5" t="s">
        <v>64</v>
      </c>
      <c r="D14290" s="5" t="s">
        <v>1827</v>
      </c>
      <c r="E14290" s="6" t="s">
        <v>286</v>
      </c>
      <c r="F14290" s="5" t="s">
        <v>287</v>
      </c>
      <c r="G14290" s="6" t="str">
        <f>VLOOKUP(E14290,dicionario!$A$1:$C14690,2,0)</f>
        <v>Setaria parviflora</v>
      </c>
      <c r="H14290" s="6" t="str">
        <f>VLOOKUP(E14290,dicionario!$A$1:$C14690,3,0)</f>
        <v>capim-rabo-de-raposa</v>
      </c>
    </row>
    <row r="14291">
      <c r="A14291" s="3">
        <v>45918.0</v>
      </c>
      <c r="B14291" s="4">
        <v>0.29791666666666666</v>
      </c>
      <c r="C14291" s="5" t="s">
        <v>64</v>
      </c>
      <c r="D14291" s="5" t="s">
        <v>1827</v>
      </c>
      <c r="E14291" s="6" t="s">
        <v>467</v>
      </c>
      <c r="F14291" s="5" t="s">
        <v>468</v>
      </c>
      <c r="G14291" s="6" t="str">
        <f>VLOOKUP(E14291,dicionario!$A$1:$C14691,2,0)</f>
        <v>Eleusine indica</v>
      </c>
      <c r="H14291" s="6" t="str">
        <f>VLOOKUP(E14291,dicionario!$A$1:$C14691,3,0)</f>
        <v>capim-pé-de-galinha</v>
      </c>
    </row>
    <row r="14292">
      <c r="A14292" s="3">
        <v>45918.0</v>
      </c>
      <c r="B14292" s="4">
        <v>0.3013888888888889</v>
      </c>
      <c r="C14292" s="5" t="s">
        <v>59</v>
      </c>
      <c r="D14292" s="5" t="s">
        <v>1827</v>
      </c>
      <c r="E14292" s="8" t="s">
        <v>20</v>
      </c>
      <c r="F14292" s="5" t="s">
        <v>21</v>
      </c>
      <c r="G14292" s="6" t="str">
        <f>VLOOKUP(E14292,dicionario!$A$1:$C14692,2,0)</f>
        <v>Sicalis flaveola</v>
      </c>
      <c r="H14292" s="6" t="str">
        <f>VLOOKUP(E14292,dicionario!$A$1:$C14692,3,0)</f>
        <v>canário-da-terra</v>
      </c>
    </row>
    <row r="14293">
      <c r="A14293" s="3">
        <v>45918.0</v>
      </c>
      <c r="B14293" s="4">
        <v>0.3013888888888889</v>
      </c>
      <c r="C14293" s="5" t="s">
        <v>59</v>
      </c>
      <c r="D14293" s="5" t="s">
        <v>1827</v>
      </c>
      <c r="E14293" s="8" t="s">
        <v>1783</v>
      </c>
      <c r="F14293" s="5" t="s">
        <v>1088</v>
      </c>
      <c r="G14293" s="6" t="str">
        <f>VLOOKUP(E14293,dicionario!$A$1:$C14693,2,0)</f>
        <v>#N/A</v>
      </c>
      <c r="H14293" s="6" t="str">
        <f>VLOOKUP(E14293,dicionario!$A$1:$C14693,3,0)</f>
        <v>#N/A</v>
      </c>
    </row>
    <row r="14294">
      <c r="A14294" s="3">
        <v>45918.0</v>
      </c>
      <c r="B14294" s="4">
        <v>0.3013888888888889</v>
      </c>
      <c r="C14294" s="5" t="s">
        <v>59</v>
      </c>
      <c r="D14294" s="5" t="s">
        <v>1827</v>
      </c>
      <c r="E14294" s="6" t="s">
        <v>353</v>
      </c>
      <c r="F14294" s="5" t="s">
        <v>354</v>
      </c>
      <c r="G14294" s="6" t="str">
        <f>VLOOKUP(E14294,dicionario!$A$1:$C14694,2,0)</f>
        <v>Desmodium incanum</v>
      </c>
      <c r="H14294" s="6" t="str">
        <f>VLOOKUP(E14294,dicionario!$A$1:$C14694,3,0)</f>
        <v>pega-pega</v>
      </c>
    </row>
    <row r="14295">
      <c r="A14295" s="3">
        <v>45918.0</v>
      </c>
      <c r="B14295" s="4">
        <v>0.3013888888888889</v>
      </c>
      <c r="C14295" s="5" t="s">
        <v>59</v>
      </c>
      <c r="D14295" s="5" t="s">
        <v>1827</v>
      </c>
      <c r="E14295" s="6" t="s">
        <v>286</v>
      </c>
      <c r="F14295" s="5" t="s">
        <v>287</v>
      </c>
      <c r="G14295" s="6" t="str">
        <f>VLOOKUP(E14295,dicionario!$A$1:$C14695,2,0)</f>
        <v>Setaria parviflora</v>
      </c>
      <c r="H14295" s="6" t="str">
        <f>VLOOKUP(E14295,dicionario!$A$1:$C14695,3,0)</f>
        <v>capim-rabo-de-raposa</v>
      </c>
    </row>
    <row r="14296">
      <c r="A14296" s="3">
        <v>45918.0</v>
      </c>
      <c r="B14296" s="4">
        <v>0.3013888888888889</v>
      </c>
      <c r="C14296" s="5" t="s">
        <v>59</v>
      </c>
      <c r="D14296" s="5" t="s">
        <v>1827</v>
      </c>
      <c r="E14296" s="6" t="s">
        <v>177</v>
      </c>
      <c r="F14296" s="5" t="s">
        <v>178</v>
      </c>
      <c r="G14296" s="6" t="str">
        <f>VLOOKUP(E14296,dicionario!$A$1:$C14696,2,0)</f>
        <v>Elaenia flavogaster</v>
      </c>
      <c r="H14296" s="6" t="str">
        <f>VLOOKUP(E14296,dicionario!$A$1:$C14696,3,0)</f>
        <v>guaracava-de-barriga-amarela</v>
      </c>
    </row>
    <row r="14297">
      <c r="A14297" s="3">
        <v>45918.0</v>
      </c>
      <c r="B14297" s="4">
        <v>0.30277777777777776</v>
      </c>
      <c r="C14297" s="5" t="s">
        <v>59</v>
      </c>
      <c r="D14297" s="5" t="s">
        <v>1827</v>
      </c>
      <c r="E14297" s="6" t="s">
        <v>88</v>
      </c>
      <c r="F14297" s="5" t="s">
        <v>1832</v>
      </c>
      <c r="G14297" s="6" t="str">
        <f>VLOOKUP(E14297,dicionario!$A$1:$C14697,2,0)</f>
        <v>Tyrannus melancolichus</v>
      </c>
      <c r="H14297" s="6" t="str">
        <f>VLOOKUP(E14297,dicionario!$A$1:$C14697,3,0)</f>
        <v>suiriri</v>
      </c>
    </row>
    <row r="14298">
      <c r="A14298" s="3">
        <v>45918.0</v>
      </c>
      <c r="B14298" s="4">
        <v>0.30277777777777776</v>
      </c>
      <c r="C14298" s="5" t="s">
        <v>59</v>
      </c>
      <c r="D14298" s="5" t="s">
        <v>1827</v>
      </c>
      <c r="E14298" s="8" t="s">
        <v>271</v>
      </c>
      <c r="F14298" s="5" t="s">
        <v>1169</v>
      </c>
      <c r="G14298" s="6" t="str">
        <f>VLOOKUP(E14298,dicionario!$A$1:$C14698,2,0)</f>
        <v>Cyanthillium cinereum</v>
      </c>
      <c r="H14298" s="6" t="str">
        <f>VLOOKUP(E14298,dicionario!$A$1:$C14698,3,0)</f>
        <v>emília</v>
      </c>
    </row>
    <row r="14299">
      <c r="A14299" s="3">
        <v>45918.0</v>
      </c>
      <c r="B14299" s="4">
        <v>0.30277777777777776</v>
      </c>
      <c r="C14299" s="5" t="s">
        <v>59</v>
      </c>
      <c r="D14299" s="5" t="s">
        <v>1827</v>
      </c>
      <c r="E14299" s="8" t="s">
        <v>712</v>
      </c>
      <c r="F14299" s="5" t="s">
        <v>912</v>
      </c>
      <c r="G14299" s="6" t="str">
        <f>VLOOKUP(E14299,dicionario!$A$1:$C14699,2,0)</f>
        <v>Flavopunctelia soredica</v>
      </c>
      <c r="H14299" s="6" t="str">
        <f>VLOOKUP(E14299,dicionario!$A$1:$C14699,3,0)</f>
        <v>líquen-folioso</v>
      </c>
    </row>
    <row r="14300">
      <c r="A14300" s="3">
        <v>45918.0</v>
      </c>
      <c r="B14300" s="4">
        <v>0.30277777777777776</v>
      </c>
      <c r="C14300" s="5" t="s">
        <v>59</v>
      </c>
      <c r="D14300" s="5" t="s">
        <v>1827</v>
      </c>
      <c r="E14300" s="8" t="s">
        <v>719</v>
      </c>
      <c r="F14300" s="5" t="s">
        <v>911</v>
      </c>
      <c r="G14300" s="6" t="str">
        <f>VLOOKUP(E14300,dicionario!$A$1:$C14700,2,0)</f>
        <v>Dirinaria</v>
      </c>
      <c r="H14300" s="6" t="str">
        <f>VLOOKUP(E14300,dicionario!$A$1:$C14700,3,0)</f>
        <v>líquen-crostoso</v>
      </c>
    </row>
    <row r="14301">
      <c r="A14301" s="3">
        <v>45918.0</v>
      </c>
      <c r="B14301" s="4">
        <v>0.30277777777777776</v>
      </c>
      <c r="C14301" s="5" t="s">
        <v>59</v>
      </c>
      <c r="D14301" s="5" t="s">
        <v>1827</v>
      </c>
      <c r="E14301" s="8" t="s">
        <v>109</v>
      </c>
      <c r="F14301" s="5" t="s">
        <v>777</v>
      </c>
      <c r="G14301" s="6" t="str">
        <f>VLOOKUP(E14301,dicionario!$A$1:$C14701,2,0)</f>
        <v>Tillandsia stricta</v>
      </c>
      <c r="H14301" s="6" t="str">
        <f>VLOOKUP(E14301,dicionario!$A$1:$C14701,3,0)</f>
        <v>cravo-do-mato</v>
      </c>
    </row>
    <row r="14302">
      <c r="A14302" s="3">
        <v>45918.0</v>
      </c>
      <c r="B14302" s="4">
        <v>0.3034722222222222</v>
      </c>
      <c r="C14302" s="5" t="s">
        <v>59</v>
      </c>
      <c r="D14302" s="5" t="s">
        <v>1827</v>
      </c>
      <c r="E14302" s="8" t="s">
        <v>1167</v>
      </c>
      <c r="F14302" s="5" t="s">
        <v>1168</v>
      </c>
      <c r="G14302" s="6" t="str">
        <f>VLOOKUP(E14302,dicionario!$A$1:$C14702,2,0)</f>
        <v>Tillandsia recurvata</v>
      </c>
      <c r="H14302" s="6" t="str">
        <f>VLOOKUP(E14302,dicionario!$A$1:$C14702,3,0)</f>
        <v>cravo-do-mato sp2</v>
      </c>
    </row>
    <row r="14303">
      <c r="A14303" s="3">
        <v>45918.0</v>
      </c>
      <c r="B14303" s="4">
        <v>0.3034722222222222</v>
      </c>
      <c r="C14303" s="5" t="s">
        <v>59</v>
      </c>
      <c r="D14303" s="5" t="s">
        <v>1827</v>
      </c>
      <c r="E14303" s="65" t="s">
        <v>1632</v>
      </c>
      <c r="F14303" s="5" t="s">
        <v>1633</v>
      </c>
      <c r="G14303" s="6" t="str">
        <f>VLOOKUP(E14303,dicionario!$A$1:$C14703,2,0)</f>
        <v>Tillandsia loliacea</v>
      </c>
      <c r="H14303" s="6" t="str">
        <f>VLOOKUP(E14303,dicionario!$A$1:$C14703,3,0)</f>
        <v>cravo-do-mato sp4</v>
      </c>
    </row>
    <row r="14304">
      <c r="A14304" s="3">
        <v>45918.0</v>
      </c>
      <c r="B14304" s="4">
        <v>0.30416666666666664</v>
      </c>
      <c r="C14304" s="5" t="s">
        <v>59</v>
      </c>
      <c r="D14304" s="5" t="s">
        <v>1827</v>
      </c>
      <c r="E14304" s="65" t="s">
        <v>1691</v>
      </c>
      <c r="F14304" s="61" t="s">
        <v>1692</v>
      </c>
      <c r="G14304" s="6" t="str">
        <f>VLOOKUP(E14304,dicionario!$A$1:$C14704,2,0)</f>
        <v>Tillandsia gardneri</v>
      </c>
      <c r="H14304" s="6" t="str">
        <f>VLOOKUP(E14304,dicionario!$A$1:$C14704,3,0)</f>
        <v>cravo-do-mato sp5</v>
      </c>
    </row>
    <row r="14305">
      <c r="A14305" s="3">
        <v>45918.0</v>
      </c>
      <c r="B14305" s="4">
        <v>0.3055555555555556</v>
      </c>
      <c r="C14305" s="5" t="s">
        <v>59</v>
      </c>
      <c r="D14305" s="5" t="s">
        <v>1827</v>
      </c>
      <c r="E14305" s="53" t="s">
        <v>1823</v>
      </c>
      <c r="F14305" s="5" t="s">
        <v>203</v>
      </c>
      <c r="G14305" s="6" t="str">
        <f>VLOOKUP(E14305,dicionario!$A$1:$C14705,2,0)</f>
        <v>#N/A</v>
      </c>
      <c r="H14305" s="6" t="str">
        <f>VLOOKUP(E14305,dicionario!$A$1:$C14705,3,0)</f>
        <v>#N/A</v>
      </c>
    </row>
    <row r="14306">
      <c r="A14306" s="3">
        <v>45918.0</v>
      </c>
      <c r="B14306" s="4">
        <v>0.3055555555555556</v>
      </c>
      <c r="C14306" s="5" t="s">
        <v>59</v>
      </c>
      <c r="D14306" s="5" t="s">
        <v>1827</v>
      </c>
      <c r="E14306" s="6" t="s">
        <v>253</v>
      </c>
      <c r="F14306" s="5" t="s">
        <v>254</v>
      </c>
      <c r="G14306" s="6" t="str">
        <f>VLOOKUP(E14306,dicionario!$A$1:$C14706,2,0)</f>
        <v>Panicum maximum</v>
      </c>
      <c r="H14306" s="6" t="str">
        <f>VLOOKUP(E14306,dicionario!$A$1:$C14706,3,0)</f>
        <v>capim-colonião</v>
      </c>
    </row>
    <row r="14307">
      <c r="A14307" s="3">
        <v>45918.0</v>
      </c>
      <c r="B14307" s="4">
        <v>0.3055555555555556</v>
      </c>
      <c r="C14307" s="5" t="s">
        <v>59</v>
      </c>
      <c r="D14307" s="5" t="s">
        <v>1827</v>
      </c>
      <c r="E14307" s="6" t="s">
        <v>53</v>
      </c>
      <c r="F14307" s="5" t="s">
        <v>54</v>
      </c>
      <c r="G14307" s="6" t="str">
        <f>VLOOKUP(E14307,dicionario!$A$1:$C14707,2,0)</f>
        <v>Turnera subulata</v>
      </c>
      <c r="H14307" s="6" t="str">
        <f>VLOOKUP(E14307,dicionario!$A$1:$C14707,3,0)</f>
        <v>xanana</v>
      </c>
    </row>
    <row r="14308">
      <c r="A14308" s="3">
        <v>45918.0</v>
      </c>
      <c r="B14308" s="4">
        <v>0.3055555555555556</v>
      </c>
      <c r="C14308" s="5" t="s">
        <v>59</v>
      </c>
      <c r="D14308" s="5" t="s">
        <v>1827</v>
      </c>
      <c r="E14308" s="6" t="s">
        <v>48</v>
      </c>
      <c r="F14308" s="5" t="s">
        <v>49</v>
      </c>
      <c r="G14308" s="6" t="str">
        <f>VLOOKUP(E14308,dicionario!$A$1:$C14708,2,0)</f>
        <v>Commelina erecta</v>
      </c>
      <c r="H14308" s="6" t="str">
        <f>VLOOKUP(E14308,dicionario!$A$1:$C14708,3,0)</f>
        <v>trapoeraba</v>
      </c>
    </row>
    <row r="14309">
      <c r="A14309" s="3">
        <v>45918.0</v>
      </c>
      <c r="B14309" s="4">
        <v>0.3055555555555556</v>
      </c>
      <c r="C14309" s="5" t="s">
        <v>59</v>
      </c>
      <c r="D14309" s="5" t="s">
        <v>1827</v>
      </c>
      <c r="E14309" s="6" t="s">
        <v>191</v>
      </c>
      <c r="F14309" s="5" t="s">
        <v>192</v>
      </c>
      <c r="G14309" s="6" t="str">
        <f>VLOOKUP(E14309,dicionario!$A$1:$C14709,2,0)</f>
        <v>Patagioenas picazuro</v>
      </c>
      <c r="H14309" s="6" t="str">
        <f>VLOOKUP(E14309,dicionario!$A$1:$C14709,3,0)</f>
        <v>asa-branca; pomba-asa-branca; pocaçu</v>
      </c>
    </row>
    <row r="14310">
      <c r="A14310" s="3">
        <v>45918.0</v>
      </c>
      <c r="B14310" s="4">
        <v>0.3055555555555556</v>
      </c>
      <c r="C14310" s="5" t="s">
        <v>59</v>
      </c>
      <c r="D14310" s="5" t="s">
        <v>1827</v>
      </c>
      <c r="E14310" s="28" t="s">
        <v>560</v>
      </c>
      <c r="F14310" s="5" t="s">
        <v>1430</v>
      </c>
      <c r="G14310" s="6" t="str">
        <f>VLOOKUP(E14310,dicionario!$A$1:$C14710,2,0)</f>
        <v>Megarynchus pitangua</v>
      </c>
      <c r="H14310" s="6" t="str">
        <f>VLOOKUP(E14310,dicionario!$A$1:$C14710,3,0)</f>
        <v>neinei</v>
      </c>
    </row>
    <row r="14311">
      <c r="A14311" s="3">
        <v>45918.0</v>
      </c>
      <c r="B14311" s="4">
        <v>0.3055555555555556</v>
      </c>
      <c r="C14311" s="5" t="s">
        <v>59</v>
      </c>
      <c r="D14311" s="5" t="s">
        <v>1827</v>
      </c>
      <c r="E14311" s="6" t="s">
        <v>65</v>
      </c>
      <c r="F14311" s="5" t="s">
        <v>66</v>
      </c>
      <c r="G14311" s="6" t="str">
        <f>VLOOKUP(E14311,dicionario!$A$1:$C14711,2,0)</f>
        <v>Pitangus sulphutarus</v>
      </c>
      <c r="H14311" s="6" t="str">
        <f>VLOOKUP(E14311,dicionario!$A$1:$C14711,3,0)</f>
        <v>bem-te-vi</v>
      </c>
    </row>
    <row r="14312">
      <c r="A14312" s="3">
        <v>45918.0</v>
      </c>
      <c r="B14312" s="4">
        <v>0.30625</v>
      </c>
      <c r="C14312" s="5" t="s">
        <v>59</v>
      </c>
      <c r="D14312" s="5" t="s">
        <v>1827</v>
      </c>
      <c r="E14312" s="6" t="s">
        <v>215</v>
      </c>
      <c r="F14312" s="5" t="s">
        <v>216</v>
      </c>
      <c r="G14312" s="6" t="str">
        <f>VLOOKUP(E14312,dicionario!$A$1:$C14712,2,0)</f>
        <v>Pygochelidon cyanoleuca</v>
      </c>
      <c r="H14312" s="6" t="str">
        <f>VLOOKUP(E14312,dicionario!$A$1:$C14712,3,0)</f>
        <v>andorinha-pequena-de-casa</v>
      </c>
    </row>
    <row r="14313">
      <c r="A14313" s="3">
        <v>45918.0</v>
      </c>
      <c r="B14313" s="4">
        <v>0.30625</v>
      </c>
      <c r="C14313" s="5" t="s">
        <v>59</v>
      </c>
      <c r="D14313" s="5" t="s">
        <v>1827</v>
      </c>
      <c r="E14313" s="6" t="s">
        <v>227</v>
      </c>
      <c r="F14313" s="5" t="s">
        <v>228</v>
      </c>
      <c r="G14313" s="6" t="str">
        <f>VLOOKUP(E14313,dicionario!$A$1:$C14713,2,0)</f>
        <v>Indigofera hirsuta</v>
      </c>
      <c r="H14313" s="6" t="str">
        <f>VLOOKUP(E14313,dicionario!$A$1:$C14713,3,0)</f>
        <v>anileira</v>
      </c>
    </row>
    <row r="14314">
      <c r="A14314" s="3">
        <v>45918.0</v>
      </c>
      <c r="B14314" s="4">
        <v>0.30625</v>
      </c>
      <c r="C14314" s="5" t="s">
        <v>59</v>
      </c>
      <c r="D14314" s="5" t="s">
        <v>1827</v>
      </c>
      <c r="E14314" s="8" t="s">
        <v>38</v>
      </c>
      <c r="F14314" s="5" t="s">
        <v>1672</v>
      </c>
      <c r="G14314" s="6" t="str">
        <f>VLOOKUP(E14314,dicionario!$A$1:$C14714,2,0)</f>
        <v>Troglodytes musculus</v>
      </c>
      <c r="H14314" s="6" t="str">
        <f>VLOOKUP(E14314,dicionario!$A$1:$C14714,3,0)</f>
        <v>curruíra</v>
      </c>
    </row>
    <row r="14315">
      <c r="A14315" s="3">
        <v>45918.0</v>
      </c>
      <c r="B14315" s="4">
        <v>0.30625</v>
      </c>
      <c r="C14315" s="5" t="s">
        <v>59</v>
      </c>
      <c r="D14315" s="5" t="s">
        <v>1827</v>
      </c>
      <c r="E14315" s="6" t="s">
        <v>175</v>
      </c>
      <c r="F14315" s="5" t="s">
        <v>176</v>
      </c>
      <c r="G14315" s="6" t="str">
        <f>VLOOKUP(E14315,dicionario!$A$1:$C14715,2,0)</f>
        <v>Turdus leucomelas</v>
      </c>
      <c r="H14315" s="6" t="str">
        <f>VLOOKUP(E14315,dicionario!$A$1:$C14715,3,0)</f>
        <v>sabiá-barranco</v>
      </c>
    </row>
    <row r="14316">
      <c r="A14316" s="3">
        <v>45918.0</v>
      </c>
      <c r="B14316" s="4">
        <v>0.30694444444444446</v>
      </c>
      <c r="C14316" s="5" t="s">
        <v>59</v>
      </c>
      <c r="D14316" s="5" t="s">
        <v>1827</v>
      </c>
      <c r="E14316" s="6" t="s">
        <v>72</v>
      </c>
      <c r="F14316" s="5" t="s">
        <v>73</v>
      </c>
      <c r="G14316" s="6" t="str">
        <f>VLOOKUP(E14316,dicionario!$A$1:$C14716,2,0)</f>
        <v>Thraupis palmarum</v>
      </c>
      <c r="H14316" s="6" t="str">
        <f>VLOOKUP(E14316,dicionario!$A$1:$C14716,3,0)</f>
        <v>sanhaço-do-coqueiro</v>
      </c>
    </row>
    <row r="14317">
      <c r="A14317" s="3">
        <v>45918.0</v>
      </c>
      <c r="B14317" s="4">
        <v>0.30694444444444446</v>
      </c>
      <c r="C14317" s="5" t="s">
        <v>59</v>
      </c>
      <c r="D14317" s="5" t="s">
        <v>1827</v>
      </c>
      <c r="E14317" s="6" t="s">
        <v>43</v>
      </c>
      <c r="F14317" s="5" t="s">
        <v>44</v>
      </c>
      <c r="G14317" s="6" t="str">
        <f>VLOOKUP(E14317,dicionario!$A$1:$C14717,2,0)</f>
        <v>Columba livia</v>
      </c>
      <c r="H14317" s="6" t="str">
        <f>VLOOKUP(E14317,dicionario!$A$1:$C14717,3,0)</f>
        <v>pombo-doméstico</v>
      </c>
    </row>
    <row r="14318">
      <c r="A14318" s="3">
        <v>45918.0</v>
      </c>
      <c r="B14318" s="4">
        <v>0.30694444444444446</v>
      </c>
      <c r="C14318" s="5" t="s">
        <v>59</v>
      </c>
      <c r="D14318" s="5" t="s">
        <v>1827</v>
      </c>
      <c r="E14318" s="6" t="s">
        <v>163</v>
      </c>
      <c r="F14318" s="5" t="s">
        <v>164</v>
      </c>
      <c r="G14318" s="6" t="str">
        <f>VLOOKUP(E14318,dicionario!$A$1:$C14718,2,0)</f>
        <v>Coragyps atratus</v>
      </c>
      <c r="H14318" s="6" t="str">
        <f>VLOOKUP(E14318,dicionario!$A$1:$C14718,3,0)</f>
        <v>urubu-de-cabeça-preta</v>
      </c>
    </row>
    <row r="14319">
      <c r="A14319" s="3">
        <v>45918.0</v>
      </c>
      <c r="B14319" s="4">
        <v>0.3076388888888889</v>
      </c>
      <c r="C14319" s="5" t="s">
        <v>59</v>
      </c>
      <c r="D14319" s="5" t="s">
        <v>1827</v>
      </c>
      <c r="E14319" s="6" t="s">
        <v>122</v>
      </c>
      <c r="F14319" s="5" t="s">
        <v>123</v>
      </c>
      <c r="G14319" s="6" t="str">
        <f>VLOOKUP(E14319,dicionario!$A$1:$C14719,2,0)</f>
        <v>Todirostrum cinereum</v>
      </c>
      <c r="H14319" s="6" t="str">
        <f>VLOOKUP(E14319,dicionario!$A$1:$C14719,3,0)</f>
        <v>ferreirinho-relógio</v>
      </c>
    </row>
    <row r="14320">
      <c r="A14320" s="3">
        <v>45918.0</v>
      </c>
      <c r="B14320" s="4">
        <v>0.3076388888888889</v>
      </c>
      <c r="C14320" s="5" t="s">
        <v>59</v>
      </c>
      <c r="D14320" s="5" t="s">
        <v>1827</v>
      </c>
      <c r="E14320" s="8" t="s">
        <v>146</v>
      </c>
      <c r="F14320" s="5" t="s">
        <v>147</v>
      </c>
      <c r="G14320" s="6" t="str">
        <f>VLOOKUP(E14320,dicionario!$A$1:$C14720,2,0)</f>
        <v>Euphorbia hirta</v>
      </c>
      <c r="H14320" s="6" t="str">
        <f>VLOOKUP(E14320,dicionario!$A$1:$C14720,3,0)</f>
        <v>erva-de-santa-luzia</v>
      </c>
    </row>
    <row r="14321">
      <c r="A14321" s="3">
        <v>45918.0</v>
      </c>
      <c r="B14321" s="4">
        <v>0.3076388888888889</v>
      </c>
      <c r="C14321" s="5" t="s">
        <v>59</v>
      </c>
      <c r="D14321" s="5" t="s">
        <v>1827</v>
      </c>
      <c r="E14321" s="8" t="s">
        <v>20</v>
      </c>
      <c r="F14321" s="5" t="s">
        <v>21</v>
      </c>
      <c r="G14321" s="6" t="str">
        <f>VLOOKUP(E14321,dicionario!$A$1:$C14721,2,0)</f>
        <v>Sicalis flaveola</v>
      </c>
      <c r="H14321" s="6" t="str">
        <f>VLOOKUP(E14321,dicionario!$A$1:$C14721,3,0)</f>
        <v>canário-da-terra</v>
      </c>
    </row>
    <row r="14322">
      <c r="A14322" s="3">
        <v>45918.0</v>
      </c>
      <c r="B14322" s="4">
        <v>0.3076388888888889</v>
      </c>
      <c r="C14322" s="5" t="s">
        <v>59</v>
      </c>
      <c r="D14322" s="5" t="s">
        <v>1827</v>
      </c>
      <c r="E14322" s="8" t="s">
        <v>14</v>
      </c>
      <c r="F14322" s="5" t="s">
        <v>15</v>
      </c>
      <c r="G14322" s="6" t="str">
        <f>VLOOKUP(E14322,dicionario!$A$1:$C14722,2,0)</f>
        <v>Spermacoce verticillata</v>
      </c>
      <c r="H14322" s="6" t="str">
        <f>VLOOKUP(E14322,dicionario!$A$1:$C14722,3,0)</f>
        <v>vassourinha-de-botão</v>
      </c>
    </row>
    <row r="14323">
      <c r="A14323" s="3">
        <v>45918.0</v>
      </c>
      <c r="B14323" s="4">
        <v>0.3090277777777778</v>
      </c>
      <c r="C14323" s="5" t="s">
        <v>50</v>
      </c>
      <c r="D14323" s="5" t="s">
        <v>1827</v>
      </c>
      <c r="E14323" s="8" t="s">
        <v>712</v>
      </c>
      <c r="F14323" s="5" t="s">
        <v>912</v>
      </c>
      <c r="G14323" s="6" t="str">
        <f>VLOOKUP(E14323,dicionario!$A$1:$C14723,2,0)</f>
        <v>Flavopunctelia soredica</v>
      </c>
      <c r="H14323" s="6" t="str">
        <f>VLOOKUP(E14323,dicionario!$A$1:$C14723,3,0)</f>
        <v>líquen-folioso</v>
      </c>
    </row>
    <row r="14324">
      <c r="A14324" s="3">
        <v>45918.0</v>
      </c>
      <c r="B14324" s="4">
        <v>0.3090277777777778</v>
      </c>
      <c r="C14324" s="5" t="s">
        <v>50</v>
      </c>
      <c r="D14324" s="5" t="s">
        <v>1827</v>
      </c>
      <c r="E14324" s="8" t="s">
        <v>719</v>
      </c>
      <c r="F14324" s="5" t="s">
        <v>911</v>
      </c>
      <c r="G14324" s="6" t="str">
        <f>VLOOKUP(E14324,dicionario!$A$1:$C14724,2,0)</f>
        <v>Dirinaria</v>
      </c>
      <c r="H14324" s="6" t="str">
        <f>VLOOKUP(E14324,dicionario!$A$1:$C14724,3,0)</f>
        <v>líquen-crostoso</v>
      </c>
    </row>
    <row r="14325">
      <c r="A14325" s="3">
        <v>45918.0</v>
      </c>
      <c r="B14325" s="4">
        <v>0.3090277777777778</v>
      </c>
      <c r="C14325" s="5" t="s">
        <v>50</v>
      </c>
      <c r="D14325" s="5" t="s">
        <v>1827</v>
      </c>
      <c r="E14325" s="53" t="s">
        <v>1680</v>
      </c>
      <c r="F14325" s="5" t="s">
        <v>1771</v>
      </c>
      <c r="G14325" s="6" t="str">
        <f>VLOOKUP(E14325,dicionario!$A$1:$C14725,2,0)</f>
        <v>Xanthoria parietina</v>
      </c>
      <c r="H14325" s="6" t="str">
        <f>VLOOKUP(E14325,dicionario!$A$1:$C14725,3,0)</f>
        <v>líquen-amarelo</v>
      </c>
    </row>
    <row r="14326">
      <c r="A14326" s="3">
        <v>45918.0</v>
      </c>
      <c r="B14326" s="4">
        <v>0.3090277777777778</v>
      </c>
      <c r="C14326" s="5" t="s">
        <v>50</v>
      </c>
      <c r="D14326" s="5" t="s">
        <v>1827</v>
      </c>
      <c r="E14326" s="6" t="s">
        <v>148</v>
      </c>
      <c r="F14326" s="5" t="s">
        <v>149</v>
      </c>
      <c r="G14326" s="6" t="str">
        <f>VLOOKUP(E14326,dicionario!$A$1:$C14726,2,0)</f>
        <v>Parthenium hysterophorus</v>
      </c>
      <c r="H14326" s="6" t="str">
        <f>VLOOKUP(E14326,dicionario!$A$1:$C14726,3,0)</f>
        <v>losna-branca</v>
      </c>
    </row>
    <row r="14327">
      <c r="A14327" s="3">
        <v>45918.0</v>
      </c>
      <c r="B14327" s="4">
        <v>0.3090277777777778</v>
      </c>
      <c r="C14327" s="5" t="s">
        <v>50</v>
      </c>
      <c r="D14327" s="5" t="s">
        <v>1827</v>
      </c>
      <c r="E14327" s="6" t="s">
        <v>88</v>
      </c>
      <c r="F14327" s="5" t="s">
        <v>1832</v>
      </c>
      <c r="G14327" s="6" t="str">
        <f>VLOOKUP(E14327,dicionario!$A$1:$C14727,2,0)</f>
        <v>Tyrannus melancolichus</v>
      </c>
      <c r="H14327" s="6" t="str">
        <f>VLOOKUP(E14327,dicionario!$A$1:$C14727,3,0)</f>
        <v>suiriri</v>
      </c>
    </row>
    <row r="14328">
      <c r="A14328" s="3">
        <v>45918.0</v>
      </c>
      <c r="B14328" s="4">
        <v>0.3090277777777778</v>
      </c>
      <c r="C14328" s="5" t="s">
        <v>50</v>
      </c>
      <c r="D14328" s="5" t="s">
        <v>1827</v>
      </c>
      <c r="E14328" s="8" t="s">
        <v>20</v>
      </c>
      <c r="F14328" s="5" t="s">
        <v>21</v>
      </c>
      <c r="G14328" s="6" t="str">
        <f>VLOOKUP(E14328,dicionario!$A$1:$C14728,2,0)</f>
        <v>Sicalis flaveola</v>
      </c>
      <c r="H14328" s="6" t="str">
        <f>VLOOKUP(E14328,dicionario!$A$1:$C14728,3,0)</f>
        <v>canário-da-terra</v>
      </c>
    </row>
    <row r="14329">
      <c r="A14329" s="3">
        <v>45918.0</v>
      </c>
      <c r="B14329" s="4">
        <v>0.3090277777777778</v>
      </c>
      <c r="C14329" s="5" t="s">
        <v>50</v>
      </c>
      <c r="D14329" s="5" t="s">
        <v>1827</v>
      </c>
      <c r="E14329" s="6" t="s">
        <v>175</v>
      </c>
      <c r="F14329" s="5" t="s">
        <v>176</v>
      </c>
      <c r="G14329" s="6" t="str">
        <f>VLOOKUP(E14329,dicionario!$A$1:$C14729,2,0)</f>
        <v>Turdus leucomelas</v>
      </c>
      <c r="H14329" s="6" t="str">
        <f>VLOOKUP(E14329,dicionario!$A$1:$C14729,3,0)</f>
        <v>sabiá-barranco</v>
      </c>
    </row>
    <row r="14330">
      <c r="A14330" s="3">
        <v>45918.0</v>
      </c>
      <c r="B14330" s="4">
        <v>0.3090277777777778</v>
      </c>
      <c r="C14330" s="5" t="s">
        <v>50</v>
      </c>
      <c r="D14330" s="5" t="s">
        <v>1827</v>
      </c>
      <c r="E14330" s="8" t="s">
        <v>1676</v>
      </c>
      <c r="F14330" s="5" t="s">
        <v>475</v>
      </c>
      <c r="G14330" s="6" t="str">
        <f>VLOOKUP(E14330,dicionario!$A$1:$C14730,2,0)</f>
        <v>#N/A</v>
      </c>
      <c r="H14330" s="6" t="str">
        <f>VLOOKUP(E14330,dicionario!$A$1:$C14730,3,0)</f>
        <v>#N/A</v>
      </c>
    </row>
    <row r="14331">
      <c r="A14331" s="3">
        <v>45918.0</v>
      </c>
      <c r="B14331" s="4">
        <v>0.30972222222222223</v>
      </c>
      <c r="C14331" s="5" t="s">
        <v>50</v>
      </c>
      <c r="D14331" s="5" t="s">
        <v>1827</v>
      </c>
      <c r="E14331" s="6" t="s">
        <v>55</v>
      </c>
      <c r="F14331" s="5" t="s">
        <v>621</v>
      </c>
      <c r="G14331" s="6" t="str">
        <f>VLOOKUP(E14331,dicionario!$A$1:$C14731,2,0)</f>
        <v>Cubaris murina</v>
      </c>
      <c r="H14331" s="6" t="str">
        <f>VLOOKUP(E14331,dicionario!$A$1:$C14731,3,0)</f>
        <v>tatuzinho-de-jardim</v>
      </c>
    </row>
    <row r="14332">
      <c r="A14332" s="3">
        <v>45918.0</v>
      </c>
      <c r="B14332" s="4">
        <v>0.30972222222222223</v>
      </c>
      <c r="C14332" s="5" t="s">
        <v>50</v>
      </c>
      <c r="D14332" s="5" t="s">
        <v>1827</v>
      </c>
      <c r="E14332" s="6" t="s">
        <v>215</v>
      </c>
      <c r="F14332" s="5" t="s">
        <v>216</v>
      </c>
      <c r="G14332" s="6" t="str">
        <f>VLOOKUP(E14332,dicionario!$A$1:$C14732,2,0)</f>
        <v>Pygochelidon cyanoleuca</v>
      </c>
      <c r="H14332" s="6" t="str">
        <f>VLOOKUP(E14332,dicionario!$A$1:$C14732,3,0)</f>
        <v>andorinha-pequena-de-casa</v>
      </c>
    </row>
    <row r="14333">
      <c r="A14333" s="3">
        <v>45918.0</v>
      </c>
      <c r="B14333" s="4">
        <v>0.30972222222222223</v>
      </c>
      <c r="C14333" s="5" t="s">
        <v>50</v>
      </c>
      <c r="D14333" s="5" t="s">
        <v>1827</v>
      </c>
      <c r="E14333" s="6" t="s">
        <v>113</v>
      </c>
      <c r="F14333" s="5" t="s">
        <v>114</v>
      </c>
      <c r="G14333" s="6" t="str">
        <f>VLOOKUP(E14333,dicionario!$A$1:$C14733,2,0)</f>
        <v>Columbina talpacoti</v>
      </c>
      <c r="H14333" s="6" t="str">
        <f>VLOOKUP(E14333,dicionario!$A$1:$C14733,3,0)</f>
        <v>rolinha-roxa</v>
      </c>
    </row>
    <row r="14334">
      <c r="A14334" s="3">
        <v>45918.0</v>
      </c>
      <c r="B14334" s="4">
        <v>0.30972222222222223</v>
      </c>
      <c r="C14334" s="5" t="s">
        <v>50</v>
      </c>
      <c r="D14334" s="5" t="s">
        <v>1827</v>
      </c>
      <c r="E14334" s="6" t="s">
        <v>65</v>
      </c>
      <c r="F14334" s="5" t="s">
        <v>66</v>
      </c>
      <c r="G14334" s="6" t="str">
        <f>VLOOKUP(E14334,dicionario!$A$1:$C14734,2,0)</f>
        <v>Pitangus sulphutarus</v>
      </c>
      <c r="H14334" s="6" t="str">
        <f>VLOOKUP(E14334,dicionario!$A$1:$C14734,3,0)</f>
        <v>bem-te-vi</v>
      </c>
    </row>
    <row r="14335">
      <c r="A14335" s="3">
        <v>45918.0</v>
      </c>
      <c r="B14335" s="4">
        <v>0.30972222222222223</v>
      </c>
      <c r="C14335" s="5" t="s">
        <v>50</v>
      </c>
      <c r="D14335" s="5" t="s">
        <v>1827</v>
      </c>
      <c r="E14335" s="8" t="s">
        <v>38</v>
      </c>
      <c r="F14335" s="5" t="s">
        <v>1672</v>
      </c>
      <c r="G14335" s="6" t="str">
        <f>VLOOKUP(E14335,dicionario!$A$1:$C14735,2,0)</f>
        <v>Troglodytes musculus</v>
      </c>
      <c r="H14335" s="6" t="str">
        <f>VLOOKUP(E14335,dicionario!$A$1:$C14735,3,0)</f>
        <v>curruíra</v>
      </c>
    </row>
    <row r="14336">
      <c r="A14336" s="3">
        <v>45918.0</v>
      </c>
      <c r="B14336" s="4">
        <v>0.31180555555555556</v>
      </c>
      <c r="C14336" s="5" t="s">
        <v>50</v>
      </c>
      <c r="D14336" s="5" t="s">
        <v>1827</v>
      </c>
      <c r="E14336" s="6" t="s">
        <v>22</v>
      </c>
      <c r="F14336" s="5" t="s">
        <v>97</v>
      </c>
      <c r="G14336" s="6" t="str">
        <f>VLOOKUP(E14336,dicionario!$A$1:$C14736,2,0)</f>
        <v>Zenaida auriculata</v>
      </c>
      <c r="H14336" s="6" t="str">
        <f>VLOOKUP(E14336,dicionario!$A$1:$C14736,3,0)</f>
        <v>pomba-de-bando; avoante</v>
      </c>
    </row>
    <row r="14337">
      <c r="A14337" s="3">
        <v>45918.0</v>
      </c>
      <c r="B14337" s="4">
        <v>0.31180555555555556</v>
      </c>
      <c r="C14337" s="5" t="s">
        <v>50</v>
      </c>
      <c r="D14337" s="5" t="s">
        <v>1827</v>
      </c>
      <c r="E14337" s="6" t="s">
        <v>448</v>
      </c>
      <c r="F14337" s="5" t="s">
        <v>462</v>
      </c>
      <c r="G14337" s="6" t="str">
        <f>VLOOKUP(E14337,dicionario!$A$1:$C14737,2,0)</f>
        <v>Mechanitis polymnia</v>
      </c>
      <c r="H14337" s="6" t="str">
        <f>VLOOKUP(E14337,dicionario!$A$1:$C14737,3,0)</f>
        <v>maria-boba</v>
      </c>
    </row>
    <row r="14338">
      <c r="A14338" s="3">
        <v>45918.0</v>
      </c>
      <c r="B14338" s="4">
        <v>0.3138888888888889</v>
      </c>
      <c r="C14338" s="5" t="s">
        <v>50</v>
      </c>
      <c r="D14338" s="5" t="s">
        <v>1827</v>
      </c>
      <c r="E14338" s="8" t="s">
        <v>1828</v>
      </c>
      <c r="F14338" s="5" t="s">
        <v>35</v>
      </c>
      <c r="G14338" s="6" t="str">
        <f>VLOOKUP(E14338,dicionario!$A$1:$C14738,2,0)</f>
        <v>#N/A</v>
      </c>
      <c r="H14338" s="6" t="str">
        <f>VLOOKUP(E14338,dicionario!$A$1:$C14738,3,0)</f>
        <v>#N/A</v>
      </c>
    </row>
    <row r="14339">
      <c r="A14339" s="3">
        <v>45918.0</v>
      </c>
      <c r="B14339" s="4">
        <v>0.31666666666666665</v>
      </c>
      <c r="C14339" s="5" t="s">
        <v>50</v>
      </c>
      <c r="D14339" s="5" t="s">
        <v>1827</v>
      </c>
      <c r="E14339" s="6" t="s">
        <v>191</v>
      </c>
      <c r="F14339" s="5" t="s">
        <v>192</v>
      </c>
      <c r="G14339" s="6" t="str">
        <f>VLOOKUP(E14339,dicionario!$A$1:$C14739,2,0)</f>
        <v>Patagioenas picazuro</v>
      </c>
      <c r="H14339" s="6" t="str">
        <f>VLOOKUP(E14339,dicionario!$A$1:$C14739,3,0)</f>
        <v>asa-branca; pomba-asa-branca; pocaçu</v>
      </c>
    </row>
    <row r="14340">
      <c r="A14340" s="3">
        <v>45918.0</v>
      </c>
      <c r="B14340" s="4">
        <v>0.31666666666666665</v>
      </c>
      <c r="C14340" s="5" t="s">
        <v>50</v>
      </c>
      <c r="D14340" s="5" t="s">
        <v>1827</v>
      </c>
      <c r="E14340" s="8" t="s">
        <v>624</v>
      </c>
      <c r="F14340" s="5" t="s">
        <v>133</v>
      </c>
      <c r="G14340" s="6" t="str">
        <f>VLOOKUP(E14340,dicionario!$A$1:$C14740,2,0)</f>
        <v>Euphonia violacea</v>
      </c>
      <c r="H14340" s="6" t="str">
        <f>VLOOKUP(E14340,dicionario!$A$1:$C14740,3,0)</f>
        <v>gaturamo-verdadeiro</v>
      </c>
    </row>
    <row r="14341">
      <c r="A14341" s="3">
        <v>45918.0</v>
      </c>
      <c r="B14341" s="4">
        <v>0.31666666666666665</v>
      </c>
      <c r="C14341" s="5" t="s">
        <v>50</v>
      </c>
      <c r="D14341" s="5" t="s">
        <v>1827</v>
      </c>
      <c r="E14341" s="6" t="s">
        <v>213</v>
      </c>
      <c r="F14341" s="5" t="s">
        <v>214</v>
      </c>
      <c r="G14341" s="6" t="str">
        <f>VLOOKUP(E14341,dicionario!$A$1:$C14741,2,0)</f>
        <v>Myiozetetes similis</v>
      </c>
      <c r="H14341" s="6" t="str">
        <f>VLOOKUP(E14341,dicionario!$A$1:$C14741,3,0)</f>
        <v>bentevizinho-de-penacho-vermelho</v>
      </c>
    </row>
    <row r="14342">
      <c r="A14342" s="3">
        <v>45918.0</v>
      </c>
      <c r="B14342" s="4">
        <v>0.31666666666666665</v>
      </c>
      <c r="C14342" s="5" t="s">
        <v>50</v>
      </c>
      <c r="D14342" s="5" t="s">
        <v>1827</v>
      </c>
      <c r="E14342" s="8" t="s">
        <v>1404</v>
      </c>
      <c r="F14342" s="5" t="s">
        <v>685</v>
      </c>
      <c r="G14342" s="6" t="str">
        <f>VLOOKUP(E14342,dicionario!$A$1:$C14742,2,0)</f>
        <v>#N/A</v>
      </c>
      <c r="H14342" s="6" t="str">
        <f>VLOOKUP(E14342,dicionario!$A$1:$C14742,3,0)</f>
        <v>#N/A</v>
      </c>
    </row>
    <row r="14343">
      <c r="A14343" s="3">
        <v>45918.0</v>
      </c>
      <c r="B14343" s="4">
        <v>0.325</v>
      </c>
      <c r="C14343" s="5" t="s">
        <v>40</v>
      </c>
      <c r="D14343" s="5" t="s">
        <v>1827</v>
      </c>
      <c r="E14343" s="8" t="s">
        <v>139</v>
      </c>
      <c r="F14343" s="5" t="s">
        <v>140</v>
      </c>
      <c r="G14343" s="6" t="str">
        <f>VLOOKUP(E14343,dicionario!$A$1:$C14743,2,0)</f>
        <v>Tropidurus torquatus</v>
      </c>
      <c r="H14343" s="6" t="str">
        <f>VLOOKUP(E14343,dicionario!$A$1:$C14743,3,0)</f>
        <v>calango; tropiduro-comum</v>
      </c>
    </row>
    <row r="14344">
      <c r="A14344" s="3">
        <v>45918.0</v>
      </c>
      <c r="B14344" s="4">
        <v>0.325</v>
      </c>
      <c r="C14344" s="5" t="s">
        <v>40</v>
      </c>
      <c r="D14344" s="5" t="s">
        <v>1827</v>
      </c>
      <c r="E14344" s="8" t="s">
        <v>109</v>
      </c>
      <c r="F14344" s="5" t="s">
        <v>110</v>
      </c>
      <c r="G14344" s="6" t="str">
        <f>VLOOKUP(E14344,dicionario!$A$1:$C14744,2,0)</f>
        <v>Tillandsia stricta</v>
      </c>
      <c r="H14344" s="6" t="str">
        <f>VLOOKUP(E14344,dicionario!$A$1:$C14744,3,0)</f>
        <v>cravo-do-mato</v>
      </c>
    </row>
    <row r="14345">
      <c r="A14345" s="3">
        <v>45918.0</v>
      </c>
      <c r="B14345" s="4">
        <v>0.325</v>
      </c>
      <c r="C14345" s="5" t="s">
        <v>40</v>
      </c>
      <c r="D14345" s="5" t="s">
        <v>1827</v>
      </c>
      <c r="E14345" s="6" t="s">
        <v>53</v>
      </c>
      <c r="F14345" s="5" t="s">
        <v>54</v>
      </c>
      <c r="G14345" s="6" t="str">
        <f>VLOOKUP(E14345,dicionario!$A$1:$C14745,2,0)</f>
        <v>Turnera subulata</v>
      </c>
      <c r="H14345" s="6" t="str">
        <f>VLOOKUP(E14345,dicionario!$A$1:$C14745,3,0)</f>
        <v>xanana</v>
      </c>
    </row>
    <row r="14346">
      <c r="A14346" s="3">
        <v>45918.0</v>
      </c>
      <c r="B14346" s="4">
        <v>0.325</v>
      </c>
      <c r="C14346" s="5" t="s">
        <v>40</v>
      </c>
      <c r="D14346" s="5" t="s">
        <v>1827</v>
      </c>
      <c r="E14346" s="6" t="s">
        <v>489</v>
      </c>
      <c r="F14346" s="5" t="s">
        <v>521</v>
      </c>
      <c r="G14346" s="6" t="str">
        <f>VLOOKUP(E14346,dicionario!$A$1:$C14746,2,0)</f>
        <v>Cenchrus echinatus</v>
      </c>
      <c r="H14346" s="6" t="str">
        <f>VLOOKUP(E14346,dicionario!$A$1:$C14746,3,0)</f>
        <v>capim-carrapicho</v>
      </c>
    </row>
    <row r="14347">
      <c r="A14347" s="3">
        <v>45918.0</v>
      </c>
      <c r="B14347" s="4">
        <v>0.325</v>
      </c>
      <c r="C14347" s="5" t="s">
        <v>40</v>
      </c>
      <c r="D14347" s="5" t="s">
        <v>1827</v>
      </c>
      <c r="E14347" s="53" t="s">
        <v>1819</v>
      </c>
      <c r="F14347" s="5" t="s">
        <v>367</v>
      </c>
      <c r="G14347" s="6" t="str">
        <f>VLOOKUP(E14347,dicionario!$A$1:$C14747,2,0)</f>
        <v>Bystropogon maderensis</v>
      </c>
      <c r="H14347" s="6" t="str">
        <f>VLOOKUP(E14347,dicionario!$A$1:$C14747,3,0)</f>
        <v>quebra-panela </v>
      </c>
    </row>
    <row r="14348">
      <c r="A14348" s="3">
        <v>45918.0</v>
      </c>
      <c r="B14348" s="4">
        <v>0.325</v>
      </c>
      <c r="C14348" s="5" t="s">
        <v>40</v>
      </c>
      <c r="D14348" s="5" t="s">
        <v>1827</v>
      </c>
      <c r="E14348" s="6" t="s">
        <v>286</v>
      </c>
      <c r="F14348" s="5" t="s">
        <v>287</v>
      </c>
      <c r="G14348" s="6" t="str">
        <f>VLOOKUP(E14348,dicionario!$A$1:$C14748,2,0)</f>
        <v>Setaria parviflora</v>
      </c>
      <c r="H14348" s="6" t="str">
        <f>VLOOKUP(E14348,dicionario!$A$1:$C14748,3,0)</f>
        <v>capim-rabo-de-raposa</v>
      </c>
    </row>
    <row r="14349">
      <c r="A14349" s="3">
        <v>45918.0</v>
      </c>
      <c r="B14349" s="4">
        <v>0.325</v>
      </c>
      <c r="C14349" s="5" t="s">
        <v>40</v>
      </c>
      <c r="D14349" s="5" t="s">
        <v>1827</v>
      </c>
      <c r="E14349" s="6" t="s">
        <v>353</v>
      </c>
      <c r="F14349" s="5" t="s">
        <v>354</v>
      </c>
      <c r="G14349" s="6" t="str">
        <f>VLOOKUP(E14349,dicionario!$A$1:$C14749,2,0)</f>
        <v>Desmodium incanum</v>
      </c>
      <c r="H14349" s="6" t="str">
        <f>VLOOKUP(E14349,dicionario!$A$1:$C14749,3,0)</f>
        <v>pega-pega</v>
      </c>
    </row>
    <row r="14350">
      <c r="A14350" s="3">
        <v>45918.0</v>
      </c>
      <c r="B14350" s="4">
        <v>0.325</v>
      </c>
      <c r="C14350" s="5" t="s">
        <v>40</v>
      </c>
      <c r="D14350" s="5" t="s">
        <v>1827</v>
      </c>
      <c r="E14350" s="8" t="s">
        <v>150</v>
      </c>
      <c r="F14350" s="5" t="s">
        <v>151</v>
      </c>
      <c r="G14350" s="6" t="str">
        <f>VLOOKUP(E14350,dicionario!$A$1:$C14750,2,0)</f>
        <v>Amaranthus viridis</v>
      </c>
      <c r="H14350" s="6" t="str">
        <f>VLOOKUP(E14350,dicionario!$A$1:$C14750,3,0)</f>
        <v>caruru-de-mancha</v>
      </c>
    </row>
    <row r="14351">
      <c r="A14351" s="3">
        <v>45918.0</v>
      </c>
      <c r="B14351" s="4">
        <v>0.325</v>
      </c>
      <c r="C14351" s="5" t="s">
        <v>40</v>
      </c>
      <c r="D14351" s="5" t="s">
        <v>1827</v>
      </c>
      <c r="E14351" s="6" t="s">
        <v>326</v>
      </c>
      <c r="F14351" s="5" t="s">
        <v>327</v>
      </c>
      <c r="G14351" s="6" t="str">
        <f>VLOOKUP(E14351,dicionario!$A$1:$C14751,2,0)</f>
        <v>Amaranthus spinosus</v>
      </c>
      <c r="H14351" s="6" t="str">
        <f>VLOOKUP(E14351,dicionario!$A$1:$C14751,3,0)</f>
        <v>caruru-de-espinho</v>
      </c>
    </row>
    <row r="14352">
      <c r="A14352" s="3">
        <v>45918.0</v>
      </c>
      <c r="B14352" s="4">
        <v>0.325</v>
      </c>
      <c r="C14352" s="5" t="s">
        <v>40</v>
      </c>
      <c r="D14352" s="5" t="s">
        <v>1827</v>
      </c>
      <c r="E14352" s="8" t="s">
        <v>271</v>
      </c>
      <c r="F14352" s="5" t="s">
        <v>1169</v>
      </c>
      <c r="G14352" s="6" t="str">
        <f>VLOOKUP(E14352,dicionario!$A$1:$C14752,2,0)</f>
        <v>Cyanthillium cinereum</v>
      </c>
      <c r="H14352" s="6" t="str">
        <f>VLOOKUP(E14352,dicionario!$A$1:$C14752,3,0)</f>
        <v>emília</v>
      </c>
    </row>
    <row r="14353">
      <c r="A14353" s="3">
        <v>45918.0</v>
      </c>
      <c r="B14353" s="4">
        <v>0.325</v>
      </c>
      <c r="C14353" s="5" t="s">
        <v>40</v>
      </c>
      <c r="D14353" s="5" t="s">
        <v>1827</v>
      </c>
      <c r="E14353" s="8" t="s">
        <v>1457</v>
      </c>
      <c r="F14353" s="5" t="s">
        <v>1457</v>
      </c>
      <c r="G14353" s="6" t="str">
        <f>VLOOKUP(E14353,dicionario!$A$1:$C14753,2,0)</f>
        <v>#N/A</v>
      </c>
      <c r="H14353" s="6" t="str">
        <f>VLOOKUP(E14353,dicionario!$A$1:$C14753,3,0)</f>
        <v>#N/A</v>
      </c>
    </row>
    <row r="14354">
      <c r="A14354" s="3">
        <v>45918.0</v>
      </c>
      <c r="B14354" s="4">
        <v>0.3263888888888889</v>
      </c>
      <c r="C14354" s="5" t="s">
        <v>40</v>
      </c>
      <c r="D14354" s="5" t="s">
        <v>1827</v>
      </c>
      <c r="E14354" s="8" t="s">
        <v>1783</v>
      </c>
      <c r="F14354" s="5" t="s">
        <v>1088</v>
      </c>
      <c r="G14354" s="6" t="str">
        <f>VLOOKUP(E14354,dicionario!$A$1:$C14754,2,0)</f>
        <v>#N/A</v>
      </c>
      <c r="H14354" s="6" t="str">
        <f>VLOOKUP(E14354,dicionario!$A$1:$C14754,3,0)</f>
        <v>#N/A</v>
      </c>
    </row>
    <row r="14355">
      <c r="A14355" s="3">
        <v>45918.0</v>
      </c>
      <c r="B14355" s="4">
        <v>0.3263888888888889</v>
      </c>
      <c r="C14355" s="5" t="s">
        <v>40</v>
      </c>
      <c r="D14355" s="5" t="s">
        <v>1827</v>
      </c>
      <c r="E14355" s="6" t="s">
        <v>148</v>
      </c>
      <c r="F14355" s="5" t="s">
        <v>149</v>
      </c>
      <c r="G14355" s="6" t="str">
        <f>VLOOKUP(E14355,dicionario!$A$1:$C14755,2,0)</f>
        <v>Parthenium hysterophorus</v>
      </c>
      <c r="H14355" s="6" t="str">
        <f>VLOOKUP(E14355,dicionario!$A$1:$C14755,3,0)</f>
        <v>losna-branca</v>
      </c>
    </row>
    <row r="14356">
      <c r="A14356" s="3">
        <v>45918.0</v>
      </c>
      <c r="B14356" s="4">
        <v>0.3263888888888889</v>
      </c>
      <c r="C14356" s="5" t="s">
        <v>40</v>
      </c>
      <c r="D14356" s="5" t="s">
        <v>1827</v>
      </c>
      <c r="E14356" s="8" t="s">
        <v>20</v>
      </c>
      <c r="F14356" s="5" t="s">
        <v>21</v>
      </c>
      <c r="G14356" s="6" t="str">
        <f>VLOOKUP(E14356,dicionario!$A$1:$C14756,2,0)</f>
        <v>Sicalis flaveola</v>
      </c>
      <c r="H14356" s="6" t="str">
        <f>VLOOKUP(E14356,dicionario!$A$1:$C14756,3,0)</f>
        <v>canário-da-terra</v>
      </c>
    </row>
    <row r="14357">
      <c r="A14357" s="3">
        <v>45918.0</v>
      </c>
      <c r="B14357" s="4">
        <v>0.3263888888888889</v>
      </c>
      <c r="C14357" s="5" t="s">
        <v>40</v>
      </c>
      <c r="D14357" s="5" t="s">
        <v>1827</v>
      </c>
      <c r="E14357" s="8" t="s">
        <v>43</v>
      </c>
      <c r="F14357" s="5" t="s">
        <v>1040</v>
      </c>
      <c r="G14357" s="6" t="str">
        <f>VLOOKUP(E14357,dicionario!$A$1:$C14757,2,0)</f>
        <v>Columba livia</v>
      </c>
      <c r="H14357" s="6" t="str">
        <f>VLOOKUP(E14357,dicionario!$A$1:$C14757,3,0)</f>
        <v>pombo-doméstico</v>
      </c>
    </row>
    <row r="14358">
      <c r="A14358" s="3">
        <v>45918.0</v>
      </c>
      <c r="B14358" s="4">
        <v>0.3263888888888889</v>
      </c>
      <c r="C14358" s="5" t="s">
        <v>40</v>
      </c>
      <c r="D14358" s="5" t="s">
        <v>1827</v>
      </c>
      <c r="E14358" s="6" t="s">
        <v>215</v>
      </c>
      <c r="F14358" s="5" t="s">
        <v>216</v>
      </c>
      <c r="G14358" s="6" t="str">
        <f>VLOOKUP(E14358,dicionario!$A$1:$C14758,2,0)</f>
        <v>Pygochelidon cyanoleuca</v>
      </c>
      <c r="H14358" s="6" t="str">
        <f>VLOOKUP(E14358,dicionario!$A$1:$C14758,3,0)</f>
        <v>andorinha-pequena-de-casa</v>
      </c>
    </row>
    <row r="14359">
      <c r="A14359" s="3">
        <v>45918.0</v>
      </c>
      <c r="B14359" s="4">
        <v>0.32708333333333334</v>
      </c>
      <c r="C14359" s="5" t="s">
        <v>40</v>
      </c>
      <c r="D14359" s="5" t="s">
        <v>1827</v>
      </c>
      <c r="E14359" s="6" t="s">
        <v>225</v>
      </c>
      <c r="F14359" s="5" t="s">
        <v>226</v>
      </c>
      <c r="G14359" s="6" t="str">
        <f>VLOOKUP(E14359,dicionario!$A$1:$C14759,2,0)</f>
        <v>Passer domesticus</v>
      </c>
      <c r="H14359" s="6" t="str">
        <f>VLOOKUP(E14359,dicionario!$A$1:$C14759,3,0)</f>
        <v>pardal</v>
      </c>
    </row>
    <row r="14360">
      <c r="A14360" s="3">
        <v>45918.0</v>
      </c>
      <c r="B14360" s="4">
        <v>0.32708333333333334</v>
      </c>
      <c r="C14360" s="5" t="s">
        <v>40</v>
      </c>
      <c r="D14360" s="5" t="s">
        <v>1827</v>
      </c>
      <c r="E14360" s="8" t="s">
        <v>886</v>
      </c>
      <c r="F14360" s="5" t="s">
        <v>1834</v>
      </c>
      <c r="G14360" s="6" t="str">
        <f>VLOOKUP(E14360,dicionario!$A$1:$C14760,2,0)</f>
        <v>Oldenlandia corymbosa</v>
      </c>
      <c r="H14360" s="6" t="str">
        <f>VLOOKUP(E14360,dicionario!$A$1:$C14760,3,0)</f>
        <v>erva-diamante</v>
      </c>
    </row>
    <row r="14361">
      <c r="A14361" s="3">
        <v>45918.0</v>
      </c>
      <c r="B14361" s="4">
        <v>0.32708333333333334</v>
      </c>
      <c r="C14361" s="5" t="s">
        <v>40</v>
      </c>
      <c r="D14361" s="5" t="s">
        <v>1827</v>
      </c>
      <c r="E14361" s="6" t="s">
        <v>65</v>
      </c>
      <c r="F14361" s="5" t="s">
        <v>66</v>
      </c>
      <c r="G14361" s="6" t="str">
        <f>VLOOKUP(E14361,dicionario!$A$1:$C14761,2,0)</f>
        <v>Pitangus sulphutarus</v>
      </c>
      <c r="H14361" s="6" t="str">
        <f>VLOOKUP(E14361,dicionario!$A$1:$C14761,3,0)</f>
        <v>bem-te-vi</v>
      </c>
    </row>
    <row r="14362">
      <c r="A14362" s="3">
        <v>45918.0</v>
      </c>
      <c r="B14362" s="4">
        <v>0.32708333333333334</v>
      </c>
      <c r="C14362" s="5" t="s">
        <v>40</v>
      </c>
      <c r="D14362" s="5" t="s">
        <v>1827</v>
      </c>
      <c r="E14362" s="6" t="s">
        <v>662</v>
      </c>
      <c r="F14362" s="5" t="s">
        <v>663</v>
      </c>
      <c r="G14362" s="6" t="str">
        <f>VLOOKUP(E14362,dicionario!$A$1:$C14762,2,0)</f>
        <v>Zonotrichia capensis</v>
      </c>
      <c r="H14362" s="6" t="str">
        <f>VLOOKUP(E14362,dicionario!$A$1:$C14762,3,0)</f>
        <v>tico-tico</v>
      </c>
    </row>
    <row r="14363">
      <c r="A14363" s="3">
        <v>45918.0</v>
      </c>
      <c r="B14363" s="4">
        <v>0.3277777777777778</v>
      </c>
      <c r="C14363" s="5" t="s">
        <v>40</v>
      </c>
      <c r="D14363" s="5" t="s">
        <v>1827</v>
      </c>
      <c r="E14363" s="6" t="s">
        <v>113</v>
      </c>
      <c r="F14363" s="5" t="s">
        <v>114</v>
      </c>
      <c r="G14363" s="6" t="str">
        <f>VLOOKUP(E14363,dicionario!$A$1:$C14763,2,0)</f>
        <v>Columbina talpacoti</v>
      </c>
      <c r="H14363" s="6" t="str">
        <f>VLOOKUP(E14363,dicionario!$A$1:$C14763,3,0)</f>
        <v>rolinha-roxa</v>
      </c>
    </row>
    <row r="14364">
      <c r="A14364" s="3">
        <v>45918.0</v>
      </c>
      <c r="B14364" s="4">
        <v>0.32916666666666666</v>
      </c>
      <c r="C14364" s="5" t="s">
        <v>40</v>
      </c>
      <c r="D14364" s="5" t="s">
        <v>1827</v>
      </c>
      <c r="E14364" s="6" t="s">
        <v>48</v>
      </c>
      <c r="F14364" s="5" t="s">
        <v>49</v>
      </c>
      <c r="G14364" s="6" t="str">
        <f>VLOOKUP(E14364,dicionario!$A$1:$C14764,2,0)</f>
        <v>Commelina erecta</v>
      </c>
      <c r="H14364" s="6" t="str">
        <f>VLOOKUP(E14364,dicionario!$A$1:$C14764,3,0)</f>
        <v>trapoeraba</v>
      </c>
    </row>
    <row r="14365">
      <c r="A14365" s="3">
        <v>45918.0</v>
      </c>
      <c r="B14365" s="4">
        <v>0.32916666666666666</v>
      </c>
      <c r="C14365" s="5" t="s">
        <v>40</v>
      </c>
      <c r="D14365" s="5" t="s">
        <v>1827</v>
      </c>
      <c r="E14365" s="65" t="s">
        <v>132</v>
      </c>
      <c r="F14365" s="5" t="s">
        <v>133</v>
      </c>
      <c r="G14365" s="6" t="str">
        <f>VLOOKUP(E14365,dicionario!$A$1:$C14765,2,0)</f>
        <v>Euphonia chlorotica</v>
      </c>
      <c r="H14365" s="6" t="str">
        <f>VLOOKUP(E14365,dicionario!$A$1:$C14765,3,0)</f>
        <v>fim-fim</v>
      </c>
    </row>
    <row r="14366">
      <c r="A14366" s="3">
        <v>45918.0</v>
      </c>
      <c r="B14366" s="4">
        <v>0.3298611111111111</v>
      </c>
      <c r="C14366" s="5" t="s">
        <v>40</v>
      </c>
      <c r="D14366" s="5" t="s">
        <v>1827</v>
      </c>
      <c r="E14366" s="6" t="s">
        <v>290</v>
      </c>
      <c r="F14366" s="5" t="s">
        <v>291</v>
      </c>
      <c r="G14366" s="6" t="str">
        <f>VLOOKUP(E14366,dicionario!$A$1:$C14766,2,0)</f>
        <v>Drymaria cordata</v>
      </c>
      <c r="H14366" s="6" t="str">
        <f>VLOOKUP(E14366,dicionario!$A$1:$C14766,3,0)</f>
        <v>orelha-de-rato</v>
      </c>
    </row>
    <row r="14367">
      <c r="A14367" s="3">
        <v>45918.0</v>
      </c>
      <c r="B14367" s="4">
        <v>0.3298611111111111</v>
      </c>
      <c r="C14367" s="5" t="s">
        <v>40</v>
      </c>
      <c r="D14367" s="5" t="s">
        <v>1827</v>
      </c>
      <c r="E14367" s="6" t="s">
        <v>227</v>
      </c>
      <c r="F14367" s="5" t="s">
        <v>228</v>
      </c>
      <c r="G14367" s="6" t="str">
        <f>VLOOKUP(E14367,dicionario!$A$1:$C14767,2,0)</f>
        <v>Indigofera hirsuta</v>
      </c>
      <c r="H14367" s="6" t="str">
        <f>VLOOKUP(E14367,dicionario!$A$1:$C14767,3,0)</f>
        <v>anileira</v>
      </c>
    </row>
    <row r="14368">
      <c r="A14368" s="3">
        <v>45918.0</v>
      </c>
      <c r="B14368" s="4">
        <v>0.33055555555555555</v>
      </c>
      <c r="C14368" s="5" t="s">
        <v>40</v>
      </c>
      <c r="D14368" s="5" t="s">
        <v>1827</v>
      </c>
      <c r="E14368" s="8" t="s">
        <v>239</v>
      </c>
      <c r="F14368" s="5" t="s">
        <v>240</v>
      </c>
      <c r="G14368" s="6" t="str">
        <f>VLOOKUP(E14368,dicionario!$A$1:$C14768,2,0)</f>
        <v>Gomphrena celosioides</v>
      </c>
      <c r="H14368" s="6" t="str">
        <f>VLOOKUP(E14368,dicionario!$A$1:$C14768,3,0)</f>
        <v>perpétua-branca</v>
      </c>
    </row>
    <row r="14369">
      <c r="A14369" s="3">
        <v>45918.0</v>
      </c>
      <c r="B14369" s="4">
        <v>0.33055555555555555</v>
      </c>
      <c r="C14369" s="5" t="s">
        <v>40</v>
      </c>
      <c r="D14369" s="5" t="s">
        <v>1827</v>
      </c>
      <c r="E14369" s="6" t="s">
        <v>489</v>
      </c>
      <c r="F14369" s="5" t="s">
        <v>521</v>
      </c>
      <c r="G14369" s="6" t="str">
        <f>VLOOKUP(E14369,dicionario!$A$1:$C14769,2,0)</f>
        <v>Cenchrus echinatus</v>
      </c>
      <c r="H14369" s="6" t="str">
        <f>VLOOKUP(E14369,dicionario!$A$1:$C14769,3,0)</f>
        <v>capim-carrapicho</v>
      </c>
    </row>
    <row r="14370">
      <c r="A14370" s="3">
        <v>45918.0</v>
      </c>
      <c r="B14370" s="4">
        <v>0.33125</v>
      </c>
      <c r="C14370" s="5" t="s">
        <v>904</v>
      </c>
      <c r="D14370" s="5" t="s">
        <v>1827</v>
      </c>
      <c r="E14370" s="6" t="s">
        <v>53</v>
      </c>
      <c r="F14370" s="5" t="s">
        <v>54</v>
      </c>
      <c r="G14370" s="6" t="str">
        <f>VLOOKUP(E14370,dicionario!$A$1:$C14770,2,0)</f>
        <v>Turnera subulata</v>
      </c>
      <c r="H14370" s="6" t="str">
        <f>VLOOKUP(E14370,dicionario!$A$1:$C14770,3,0)</f>
        <v>xanana</v>
      </c>
    </row>
    <row r="14371">
      <c r="A14371" s="3">
        <v>45918.0</v>
      </c>
      <c r="B14371" s="4">
        <v>0.33125</v>
      </c>
      <c r="C14371" s="5" t="s">
        <v>904</v>
      </c>
      <c r="D14371" s="5" t="s">
        <v>1827</v>
      </c>
      <c r="E14371" s="8" t="s">
        <v>150</v>
      </c>
      <c r="F14371" s="5" t="s">
        <v>151</v>
      </c>
      <c r="G14371" s="6" t="str">
        <f>VLOOKUP(E14371,dicionario!$A$1:$C14771,2,0)</f>
        <v>Amaranthus viridis</v>
      </c>
      <c r="H14371" s="6" t="str">
        <f>VLOOKUP(E14371,dicionario!$A$1:$C14771,3,0)</f>
        <v>caruru-de-mancha</v>
      </c>
    </row>
    <row r="14372">
      <c r="A14372" s="3">
        <v>45918.0</v>
      </c>
      <c r="B14372" s="4">
        <v>0.33125</v>
      </c>
      <c r="C14372" s="5" t="s">
        <v>904</v>
      </c>
      <c r="D14372" s="5" t="s">
        <v>1827</v>
      </c>
      <c r="E14372" s="8" t="s">
        <v>360</v>
      </c>
      <c r="F14372" s="5" t="s">
        <v>361</v>
      </c>
      <c r="G14372" s="6" t="str">
        <f>VLOOKUP(E14372,dicionario!$A$1:$C14772,2,0)</f>
        <v>Chamaecrista rotundifolia</v>
      </c>
      <c r="H14372" s="6" t="str">
        <f>VLOOKUP(E14372,dicionario!$A$1:$C14772,3,0)</f>
        <v>alfafa-nativa</v>
      </c>
    </row>
    <row r="14373">
      <c r="A14373" s="3">
        <v>45918.0</v>
      </c>
      <c r="B14373" s="4">
        <v>0.33125</v>
      </c>
      <c r="C14373" s="5" t="s">
        <v>904</v>
      </c>
      <c r="D14373" s="5" t="s">
        <v>1827</v>
      </c>
      <c r="E14373" s="8" t="s">
        <v>298</v>
      </c>
      <c r="F14373" s="5"/>
      <c r="G14373" s="6" t="str">
        <f>VLOOKUP(E14373,dicionario!$A$1:$C14773,2,0)</f>
        <v>Alysicarpus vaginalis</v>
      </c>
      <c r="H14373" s="6" t="str">
        <f>VLOOKUP(E14373,dicionario!$A$1:$C14773,3,0)</f>
        <v/>
      </c>
    </row>
    <row r="14374">
      <c r="A14374" s="3">
        <v>45918.0</v>
      </c>
      <c r="B14374" s="4">
        <v>0.33125</v>
      </c>
      <c r="C14374" s="5" t="s">
        <v>904</v>
      </c>
      <c r="D14374" s="5" t="s">
        <v>1827</v>
      </c>
      <c r="E14374" s="6" t="s">
        <v>154</v>
      </c>
      <c r="F14374" s="5" t="s">
        <v>155</v>
      </c>
      <c r="G14374" s="6" t="str">
        <f>VLOOKUP(E14374,dicionario!$A$1:$C14774,2,0)</f>
        <v>Cyperus rotundus</v>
      </c>
      <c r="H14374" s="6" t="str">
        <f>VLOOKUP(E14374,dicionario!$A$1:$C14774,3,0)</f>
        <v>tiririca</v>
      </c>
    </row>
    <row r="14375">
      <c r="A14375" s="3">
        <v>45918.0</v>
      </c>
      <c r="B14375" s="4">
        <v>0.33125</v>
      </c>
      <c r="C14375" s="5" t="s">
        <v>904</v>
      </c>
      <c r="D14375" s="5" t="s">
        <v>1827</v>
      </c>
      <c r="E14375" s="8" t="s">
        <v>135</v>
      </c>
      <c r="F14375" s="5" t="s">
        <v>136</v>
      </c>
      <c r="G14375" s="6" t="str">
        <f>VLOOKUP(E14375,dicionario!$A$1:$C14775,2,0)</f>
        <v>Tridax procumbens</v>
      </c>
      <c r="H14375" s="6" t="str">
        <f>VLOOKUP(E14375,dicionario!$A$1:$C14775,3,0)</f>
        <v>erva-de-touro</v>
      </c>
    </row>
    <row r="14376">
      <c r="A14376" s="3">
        <v>45918.0</v>
      </c>
      <c r="B14376" s="4">
        <v>0.33125</v>
      </c>
      <c r="C14376" s="5" t="s">
        <v>904</v>
      </c>
      <c r="D14376" s="5" t="s">
        <v>1827</v>
      </c>
      <c r="E14376" s="6" t="s">
        <v>353</v>
      </c>
      <c r="F14376" s="5" t="s">
        <v>354</v>
      </c>
      <c r="G14376" s="6" t="str">
        <f>VLOOKUP(E14376,dicionario!$A$1:$C14776,2,0)</f>
        <v>Desmodium incanum</v>
      </c>
      <c r="H14376" s="6" t="str">
        <f>VLOOKUP(E14376,dicionario!$A$1:$C14776,3,0)</f>
        <v>pega-pega</v>
      </c>
    </row>
    <row r="14377">
      <c r="A14377" s="3">
        <v>45918.0</v>
      </c>
      <c r="B14377" s="4">
        <v>0.3326388888888889</v>
      </c>
      <c r="C14377" s="5" t="s">
        <v>904</v>
      </c>
      <c r="D14377" s="5" t="s">
        <v>1827</v>
      </c>
      <c r="E14377" s="8" t="s">
        <v>14</v>
      </c>
      <c r="F14377" s="5" t="s">
        <v>15</v>
      </c>
      <c r="G14377" s="6" t="str">
        <f>VLOOKUP(E14377,dicionario!$A$1:$C14777,2,0)</f>
        <v>Spermacoce verticillata</v>
      </c>
      <c r="H14377" s="6" t="str">
        <f>VLOOKUP(E14377,dicionario!$A$1:$C14777,3,0)</f>
        <v>vassourinha-de-botão</v>
      </c>
    </row>
    <row r="14378">
      <c r="A14378" s="3">
        <v>45918.0</v>
      </c>
      <c r="B14378" s="4">
        <v>0.3326388888888889</v>
      </c>
      <c r="C14378" s="5" t="s">
        <v>904</v>
      </c>
      <c r="D14378" s="5" t="s">
        <v>1827</v>
      </c>
      <c r="E14378" s="6" t="s">
        <v>290</v>
      </c>
      <c r="F14378" s="5" t="s">
        <v>291</v>
      </c>
      <c r="G14378" s="6" t="str">
        <f>VLOOKUP(E14378,dicionario!$A$1:$C14778,2,0)</f>
        <v>Drymaria cordata</v>
      </c>
      <c r="H14378" s="6" t="str">
        <f>VLOOKUP(E14378,dicionario!$A$1:$C14778,3,0)</f>
        <v>orelha-de-rato</v>
      </c>
    </row>
    <row r="14379">
      <c r="A14379" s="3">
        <v>45918.0</v>
      </c>
      <c r="B14379" s="4">
        <v>0.3326388888888889</v>
      </c>
      <c r="C14379" s="5" t="s">
        <v>904</v>
      </c>
      <c r="D14379" s="5" t="s">
        <v>1827</v>
      </c>
      <c r="E14379" s="8" t="s">
        <v>109</v>
      </c>
      <c r="F14379" s="5" t="s">
        <v>110</v>
      </c>
      <c r="G14379" s="6" t="str">
        <f>VLOOKUP(E14379,dicionario!$A$1:$C14779,2,0)</f>
        <v>Tillandsia stricta</v>
      </c>
      <c r="H14379" s="6" t="str">
        <f>VLOOKUP(E14379,dicionario!$A$1:$C14779,3,0)</f>
        <v>cravo-do-mato</v>
      </c>
    </row>
    <row r="14380">
      <c r="A14380" s="3">
        <v>45918.0</v>
      </c>
      <c r="B14380" s="4">
        <v>0.3326388888888889</v>
      </c>
      <c r="C14380" s="5" t="s">
        <v>904</v>
      </c>
      <c r="D14380" s="5" t="s">
        <v>1827</v>
      </c>
      <c r="E14380" s="8" t="s">
        <v>1457</v>
      </c>
      <c r="F14380" s="5" t="s">
        <v>1457</v>
      </c>
      <c r="G14380" s="6" t="str">
        <f>VLOOKUP(E14380,dicionario!$A$1:$C14780,2,0)</f>
        <v>#N/A</v>
      </c>
      <c r="H14380" s="6" t="str">
        <f>VLOOKUP(E14380,dicionario!$A$1:$C14780,3,0)</f>
        <v>#N/A</v>
      </c>
    </row>
    <row r="14381">
      <c r="A14381" s="3">
        <v>45918.0</v>
      </c>
      <c r="B14381" s="4">
        <v>0.3326388888888889</v>
      </c>
      <c r="C14381" s="5" t="s">
        <v>904</v>
      </c>
      <c r="D14381" s="5" t="s">
        <v>1827</v>
      </c>
      <c r="E14381" s="8" t="s">
        <v>271</v>
      </c>
      <c r="F14381" s="5" t="s">
        <v>1169</v>
      </c>
      <c r="G14381" s="6" t="str">
        <f>VLOOKUP(E14381,dicionario!$A$1:$C14781,2,0)</f>
        <v>Cyanthillium cinereum</v>
      </c>
      <c r="H14381" s="6" t="str">
        <f>VLOOKUP(E14381,dicionario!$A$1:$C14781,3,0)</f>
        <v>emília</v>
      </c>
    </row>
    <row r="14382">
      <c r="A14382" s="3">
        <v>45918.0</v>
      </c>
      <c r="B14382" s="4">
        <v>0.3333333333333333</v>
      </c>
      <c r="C14382" s="5" t="s">
        <v>904</v>
      </c>
      <c r="D14382" s="5" t="s">
        <v>1827</v>
      </c>
      <c r="E14382" s="6" t="s">
        <v>177</v>
      </c>
      <c r="F14382" s="5" t="s">
        <v>178</v>
      </c>
      <c r="G14382" s="6" t="str">
        <f>VLOOKUP(E14382,dicionario!$A$1:$C14782,2,0)</f>
        <v>Elaenia flavogaster</v>
      </c>
      <c r="H14382" s="6" t="str">
        <f>VLOOKUP(E14382,dicionario!$A$1:$C14782,3,0)</f>
        <v>guaracava-de-barriga-amarela</v>
      </c>
    </row>
    <row r="14383">
      <c r="A14383" s="3">
        <v>45918.0</v>
      </c>
      <c r="B14383" s="4">
        <v>0.3333333333333333</v>
      </c>
      <c r="C14383" s="5" t="s">
        <v>904</v>
      </c>
      <c r="D14383" s="5" t="s">
        <v>1827</v>
      </c>
      <c r="E14383" s="8" t="s">
        <v>65</v>
      </c>
      <c r="F14383" s="5" t="s">
        <v>66</v>
      </c>
      <c r="G14383" s="6" t="str">
        <f>VLOOKUP(E14383,dicionario!$A$1:$C14783,2,0)</f>
        <v>Pitangus sulphutarus</v>
      </c>
      <c r="H14383" s="6" t="str">
        <f>VLOOKUP(E14383,dicionario!$A$1:$C14783,3,0)</f>
        <v>bem-te-vi</v>
      </c>
    </row>
    <row r="14384">
      <c r="A14384" s="3">
        <v>45918.0</v>
      </c>
      <c r="B14384" s="4">
        <v>0.33402777777777776</v>
      </c>
      <c r="C14384" s="5" t="s">
        <v>904</v>
      </c>
      <c r="D14384" s="5" t="s">
        <v>1827</v>
      </c>
      <c r="E14384" s="8" t="s">
        <v>719</v>
      </c>
      <c r="F14384" s="5" t="s">
        <v>911</v>
      </c>
      <c r="G14384" s="6" t="str">
        <f>VLOOKUP(E14384,dicionario!$A$1:$C14784,2,0)</f>
        <v>Dirinaria</v>
      </c>
      <c r="H14384" s="6" t="str">
        <f>VLOOKUP(E14384,dicionario!$A$1:$C14784,3,0)</f>
        <v>líquen-crostoso</v>
      </c>
    </row>
    <row r="14385">
      <c r="A14385" s="3">
        <v>45918.0</v>
      </c>
      <c r="B14385" s="4">
        <v>0.33402777777777776</v>
      </c>
      <c r="C14385" s="5" t="s">
        <v>904</v>
      </c>
      <c r="D14385" s="5" t="s">
        <v>1827</v>
      </c>
      <c r="E14385" s="8" t="s">
        <v>712</v>
      </c>
      <c r="F14385" s="5" t="s">
        <v>912</v>
      </c>
      <c r="G14385" s="6" t="str">
        <f>VLOOKUP(E14385,dicionario!$A$1:$C14785,2,0)</f>
        <v>Flavopunctelia soredica</v>
      </c>
      <c r="H14385" s="6" t="str">
        <f>VLOOKUP(E14385,dicionario!$A$1:$C14785,3,0)</f>
        <v>líquen-folioso</v>
      </c>
    </row>
    <row r="14386">
      <c r="A14386" s="3">
        <v>45918.0</v>
      </c>
      <c r="B14386" s="4">
        <v>0.3347222222222222</v>
      </c>
      <c r="C14386" s="5" t="s">
        <v>904</v>
      </c>
      <c r="D14386" s="5" t="s">
        <v>1827</v>
      </c>
      <c r="E14386" s="6" t="s">
        <v>122</v>
      </c>
      <c r="F14386" s="5" t="s">
        <v>123</v>
      </c>
      <c r="G14386" s="6" t="str">
        <f>VLOOKUP(E14386,dicionario!$A$1:$C14786,2,0)</f>
        <v>Todirostrum cinereum</v>
      </c>
      <c r="H14386" s="6" t="str">
        <f>VLOOKUP(E14386,dicionario!$A$1:$C14786,3,0)</f>
        <v>ferreirinho-relógio</v>
      </c>
    </row>
    <row r="14387">
      <c r="A14387" s="3">
        <v>45918.0</v>
      </c>
      <c r="B14387" s="4">
        <v>0.3347222222222222</v>
      </c>
      <c r="C14387" s="5" t="s">
        <v>904</v>
      </c>
      <c r="D14387" s="5" t="s">
        <v>1827</v>
      </c>
      <c r="E14387" s="6" t="s">
        <v>113</v>
      </c>
      <c r="F14387" s="5" t="s">
        <v>114</v>
      </c>
      <c r="G14387" s="6" t="str">
        <f>VLOOKUP(E14387,dicionario!$A$1:$C14787,2,0)</f>
        <v>Columbina talpacoti</v>
      </c>
      <c r="H14387" s="6" t="str">
        <f>VLOOKUP(E14387,dicionario!$A$1:$C14787,3,0)</f>
        <v>rolinha-roxa</v>
      </c>
    </row>
    <row r="14388">
      <c r="A14388" s="3">
        <v>45918.0</v>
      </c>
      <c r="B14388" s="4">
        <v>0.3347222222222222</v>
      </c>
      <c r="C14388" s="5" t="s">
        <v>904</v>
      </c>
      <c r="D14388" s="5" t="s">
        <v>1827</v>
      </c>
      <c r="E14388" s="8" t="s">
        <v>1798</v>
      </c>
      <c r="F14388" s="7" t="s">
        <v>321</v>
      </c>
      <c r="G14388" s="6" t="str">
        <f>VLOOKUP(E14388,dicionario!$A$1:$C14788,2,0)</f>
        <v>Solenopsis</v>
      </c>
      <c r="H14388" s="6" t="str">
        <f>VLOOKUP(E14388,dicionario!$A$1:$C14788,3,0)</f>
        <v>formiga-quente; formiga-lava-pés; formiga-de-fogo</v>
      </c>
    </row>
    <row r="14389">
      <c r="A14389" s="3">
        <v>45918.0</v>
      </c>
      <c r="B14389" s="4">
        <v>0.33611111111111114</v>
      </c>
      <c r="C14389" s="5" t="s">
        <v>904</v>
      </c>
      <c r="D14389" s="5" t="s">
        <v>1827</v>
      </c>
      <c r="E14389" s="6" t="s">
        <v>606</v>
      </c>
      <c r="F14389" s="5" t="s">
        <v>853</v>
      </c>
      <c r="G14389" s="6" t="str">
        <f>VLOOKUP(E14389,dicionario!$A$1:$C14789,2,0)</f>
        <v>Elaenia spectabilis</v>
      </c>
      <c r="H14389" s="6" t="str">
        <f>VLOOKUP(E14389,dicionario!$A$1:$C14789,3,0)</f>
        <v>guaracava-grande</v>
      </c>
    </row>
    <row r="14390">
      <c r="A14390" s="3">
        <v>45918.0</v>
      </c>
      <c r="B14390" s="4">
        <v>0.3388888888888889</v>
      </c>
      <c r="C14390" s="5" t="s">
        <v>905</v>
      </c>
      <c r="D14390" s="5" t="s">
        <v>1827</v>
      </c>
      <c r="E14390" s="8" t="s">
        <v>20</v>
      </c>
      <c r="F14390" s="5" t="s">
        <v>21</v>
      </c>
      <c r="G14390" s="6" t="str">
        <f>VLOOKUP(E14390,dicionario!$A$1:$C14790,2,0)</f>
        <v>Sicalis flaveola</v>
      </c>
      <c r="H14390" s="6" t="str">
        <f>VLOOKUP(E14390,dicionario!$A$1:$C14790,3,0)</f>
        <v>canário-da-terra</v>
      </c>
    </row>
    <row r="14391">
      <c r="A14391" s="3">
        <v>45918.0</v>
      </c>
      <c r="B14391" s="4">
        <v>0.3388888888888889</v>
      </c>
      <c r="C14391" s="5" t="s">
        <v>905</v>
      </c>
      <c r="D14391" s="5" t="s">
        <v>1827</v>
      </c>
      <c r="E14391" s="8" t="s">
        <v>360</v>
      </c>
      <c r="F14391" s="5" t="s">
        <v>361</v>
      </c>
      <c r="G14391" s="6" t="str">
        <f>VLOOKUP(E14391,dicionario!$A$1:$C14791,2,0)</f>
        <v>Chamaecrista rotundifolia</v>
      </c>
      <c r="H14391" s="6" t="str">
        <f>VLOOKUP(E14391,dicionario!$A$1:$C14791,3,0)</f>
        <v>alfafa-nativa</v>
      </c>
    </row>
    <row r="14392">
      <c r="A14392" s="3">
        <v>45918.0</v>
      </c>
      <c r="B14392" s="4">
        <v>0.3388888888888889</v>
      </c>
      <c r="C14392" s="5" t="s">
        <v>905</v>
      </c>
      <c r="D14392" s="5" t="s">
        <v>1827</v>
      </c>
      <c r="E14392" s="8" t="s">
        <v>1798</v>
      </c>
      <c r="F14392" s="7" t="s">
        <v>321</v>
      </c>
      <c r="G14392" s="6" t="str">
        <f>VLOOKUP(E14392,dicionario!$A$1:$C14792,2,0)</f>
        <v>Solenopsis</v>
      </c>
      <c r="H14392" s="6" t="str">
        <f>VLOOKUP(E14392,dicionario!$A$1:$C14792,3,0)</f>
        <v>formiga-quente; formiga-lava-pés; formiga-de-fogo</v>
      </c>
    </row>
    <row r="14393">
      <c r="A14393" s="3">
        <v>45918.0</v>
      </c>
      <c r="B14393" s="4">
        <v>0.3388888888888889</v>
      </c>
      <c r="C14393" s="5" t="s">
        <v>905</v>
      </c>
      <c r="D14393" s="5" t="s">
        <v>1827</v>
      </c>
      <c r="E14393" s="8" t="s">
        <v>109</v>
      </c>
      <c r="F14393" s="5" t="s">
        <v>110</v>
      </c>
      <c r="G14393" s="6" t="str">
        <f>VLOOKUP(E14393,dicionario!$A$1:$C14793,2,0)</f>
        <v>Tillandsia stricta</v>
      </c>
      <c r="H14393" s="6" t="str">
        <f>VLOOKUP(E14393,dicionario!$A$1:$C14793,3,0)</f>
        <v>cravo-do-mato</v>
      </c>
    </row>
    <row r="14394">
      <c r="A14394" s="3">
        <v>45918.0</v>
      </c>
      <c r="B14394" s="4">
        <v>0.3388888888888889</v>
      </c>
      <c r="C14394" s="5" t="s">
        <v>905</v>
      </c>
      <c r="D14394" s="5" t="s">
        <v>1827</v>
      </c>
      <c r="E14394" s="8" t="s">
        <v>271</v>
      </c>
      <c r="F14394" s="5" t="s">
        <v>1169</v>
      </c>
      <c r="G14394" s="6" t="str">
        <f>VLOOKUP(E14394,dicionario!$A$1:$C14794,2,0)</f>
        <v>Cyanthillium cinereum</v>
      </c>
      <c r="H14394" s="6" t="str">
        <f>VLOOKUP(E14394,dicionario!$A$1:$C14794,3,0)</f>
        <v>emília</v>
      </c>
    </row>
    <row r="14395">
      <c r="A14395" s="3">
        <v>45918.0</v>
      </c>
      <c r="B14395" s="4">
        <v>0.3388888888888889</v>
      </c>
      <c r="C14395" s="5" t="s">
        <v>905</v>
      </c>
      <c r="D14395" s="5" t="s">
        <v>1827</v>
      </c>
      <c r="E14395" s="8" t="s">
        <v>41</v>
      </c>
      <c r="F14395" s="5" t="s">
        <v>45</v>
      </c>
      <c r="G14395" s="6" t="str">
        <f>VLOOKUP(E14395,dicionario!$A$1:$C14795,2,0)</f>
        <v>Mimosa pudica</v>
      </c>
      <c r="H14395" s="6" t="str">
        <f>VLOOKUP(E14395,dicionario!$A$1:$C14795,3,0)</f>
        <v>dormideira</v>
      </c>
    </row>
    <row r="14396">
      <c r="A14396" s="3">
        <v>45918.0</v>
      </c>
      <c r="B14396" s="4">
        <v>0.3388888888888889</v>
      </c>
      <c r="C14396" s="5" t="s">
        <v>905</v>
      </c>
      <c r="D14396" s="5" t="s">
        <v>1827</v>
      </c>
      <c r="E14396" s="6" t="s">
        <v>243</v>
      </c>
      <c r="F14396" s="5" t="s">
        <v>244</v>
      </c>
      <c r="G14396" s="6" t="str">
        <f>VLOOKUP(E14396,dicionario!$A$1:$C14796,2,0)</f>
        <v>Macroptilium atropurpureum</v>
      </c>
      <c r="H14396" s="6" t="str">
        <f>VLOOKUP(E14396,dicionario!$A$1:$C14796,3,0)</f>
        <v>feijão-de-pombo</v>
      </c>
    </row>
    <row r="14397">
      <c r="A14397" s="3">
        <v>45918.0</v>
      </c>
      <c r="B14397" s="4">
        <v>0.3388888888888889</v>
      </c>
      <c r="C14397" s="5" t="s">
        <v>905</v>
      </c>
      <c r="D14397" s="5" t="s">
        <v>1827</v>
      </c>
      <c r="E14397" s="6" t="s">
        <v>251</v>
      </c>
      <c r="F14397" s="5" t="s">
        <v>252</v>
      </c>
      <c r="G14397" s="6" t="str">
        <f>VLOOKUP(E14397,dicionario!$A$1:$C14797,2,0)</f>
        <v>Struthanthus flexicaulis</v>
      </c>
      <c r="H14397" s="6" t="str">
        <f>VLOOKUP(E14397,dicionario!$A$1:$C14797,3,0)</f>
        <v>erva-de-passarinho</v>
      </c>
    </row>
    <row r="14398">
      <c r="A14398" s="3">
        <v>45918.0</v>
      </c>
      <c r="B14398" s="4">
        <v>0.3388888888888889</v>
      </c>
      <c r="C14398" s="5" t="s">
        <v>905</v>
      </c>
      <c r="D14398" s="5" t="s">
        <v>1827</v>
      </c>
      <c r="E14398" s="8" t="s">
        <v>498</v>
      </c>
      <c r="F14398" s="5" t="s">
        <v>499</v>
      </c>
      <c r="G14398" s="6" t="str">
        <f>VLOOKUP(E14398,dicionario!$A$1:$C14798,2,0)</f>
        <v>Brachiaria decumbens</v>
      </c>
      <c r="H14398" s="6" t="str">
        <f>VLOOKUP(E14398,dicionario!$A$1:$C14798,3,0)</f>
        <v>capim-braquiária</v>
      </c>
    </row>
    <row r="14399">
      <c r="A14399" s="3">
        <v>45918.0</v>
      </c>
      <c r="B14399" s="4">
        <v>0.3388888888888889</v>
      </c>
      <c r="C14399" s="5" t="s">
        <v>905</v>
      </c>
      <c r="D14399" s="5" t="s">
        <v>1827</v>
      </c>
      <c r="E14399" s="8" t="s">
        <v>712</v>
      </c>
      <c r="F14399" s="5" t="s">
        <v>912</v>
      </c>
      <c r="G14399" s="6" t="str">
        <f>VLOOKUP(E14399,dicionario!$A$1:$C14799,2,0)</f>
        <v>Flavopunctelia soredica</v>
      </c>
      <c r="H14399" s="6" t="str">
        <f>VLOOKUP(E14399,dicionario!$A$1:$C14799,3,0)</f>
        <v>líquen-folioso</v>
      </c>
    </row>
    <row r="14400">
      <c r="A14400" s="3">
        <v>45918.0</v>
      </c>
      <c r="B14400" s="4">
        <v>0.3388888888888889</v>
      </c>
      <c r="C14400" s="5" t="s">
        <v>905</v>
      </c>
      <c r="D14400" s="5" t="s">
        <v>1827</v>
      </c>
      <c r="E14400" s="8" t="s">
        <v>719</v>
      </c>
      <c r="F14400" s="5" t="s">
        <v>911</v>
      </c>
      <c r="G14400" s="6" t="str">
        <f>VLOOKUP(E14400,dicionario!$A$1:$C14800,2,0)</f>
        <v>Dirinaria</v>
      </c>
      <c r="H14400" s="6" t="str">
        <f>VLOOKUP(E14400,dicionario!$A$1:$C14800,3,0)</f>
        <v>líquen-crostoso</v>
      </c>
    </row>
    <row r="14401">
      <c r="A14401" s="3">
        <v>45918.0</v>
      </c>
      <c r="B14401" s="4">
        <v>0.3402777777777778</v>
      </c>
      <c r="C14401" s="5" t="s">
        <v>905</v>
      </c>
      <c r="D14401" s="5" t="s">
        <v>1827</v>
      </c>
      <c r="E14401" s="6" t="s">
        <v>217</v>
      </c>
      <c r="F14401" s="5" t="s">
        <v>218</v>
      </c>
      <c r="G14401" s="6" t="str">
        <f>VLOOKUP(E14401,dicionario!$A$1:$C14801,2,0)</f>
        <v>Athene cunicularia</v>
      </c>
      <c r="H14401" s="6" t="str">
        <f>VLOOKUP(E14401,dicionario!$A$1:$C14801,3,0)</f>
        <v>coruja-buraqueira</v>
      </c>
    </row>
    <row r="14402">
      <c r="A14402" s="3">
        <v>45918.0</v>
      </c>
      <c r="B14402" s="4">
        <v>0.3402777777777778</v>
      </c>
      <c r="C14402" s="5" t="s">
        <v>905</v>
      </c>
      <c r="D14402" s="5" t="s">
        <v>1827</v>
      </c>
      <c r="E14402" s="8" t="s">
        <v>162</v>
      </c>
      <c r="F14402" s="5" t="s">
        <v>42</v>
      </c>
      <c r="G14402" s="6" t="str">
        <f>VLOOKUP(E14402,dicionario!$A$1:$C14802,2,0)</f>
        <v>Fluvicola nengeta</v>
      </c>
      <c r="H14402" s="6" t="str">
        <f>VLOOKUP(E14402,dicionario!$A$1:$C14802,3,0)</f>
        <v>lavadeira-mascarada</v>
      </c>
    </row>
    <row r="14403">
      <c r="A14403" s="3">
        <v>45918.0</v>
      </c>
      <c r="B14403" s="4">
        <v>0.3416666666666667</v>
      </c>
      <c r="C14403" s="5" t="s">
        <v>905</v>
      </c>
      <c r="D14403" s="5" t="s">
        <v>1827</v>
      </c>
      <c r="E14403" s="8" t="s">
        <v>915</v>
      </c>
      <c r="F14403" s="5" t="s">
        <v>1275</v>
      </c>
      <c r="G14403" s="6" t="str">
        <f>VLOOKUP(E14403,dicionario!$A$1:$C14803,2,0)</f>
        <v>Tachycineta albiventer</v>
      </c>
      <c r="H14403" s="6" t="str">
        <f>VLOOKUP(E14403,dicionario!$A$1:$C14803,3,0)</f>
        <v>andorinha-de-rio</v>
      </c>
    </row>
    <row r="14404">
      <c r="A14404" s="3">
        <v>45918.0</v>
      </c>
      <c r="B14404" s="4">
        <v>0.3416666666666667</v>
      </c>
      <c r="C14404" s="5" t="s">
        <v>905</v>
      </c>
      <c r="D14404" s="5" t="s">
        <v>1827</v>
      </c>
      <c r="E14404" s="8" t="s">
        <v>135</v>
      </c>
      <c r="F14404" s="5" t="s">
        <v>136</v>
      </c>
      <c r="G14404" s="6" t="str">
        <f>VLOOKUP(E14404,dicionario!$A$1:$C14804,2,0)</f>
        <v>Tridax procumbens</v>
      </c>
      <c r="H14404" s="6" t="str">
        <f>VLOOKUP(E14404,dicionario!$A$1:$C14804,3,0)</f>
        <v>erva-de-touro</v>
      </c>
    </row>
    <row r="14405">
      <c r="A14405" s="3">
        <v>45918.0</v>
      </c>
      <c r="B14405" s="4">
        <v>0.3416666666666667</v>
      </c>
      <c r="C14405" s="5" t="s">
        <v>905</v>
      </c>
      <c r="D14405" s="5" t="s">
        <v>1827</v>
      </c>
      <c r="E14405" s="8" t="s">
        <v>146</v>
      </c>
      <c r="F14405" s="5" t="s">
        <v>147</v>
      </c>
      <c r="G14405" s="6" t="str">
        <f>VLOOKUP(E14405,dicionario!$A$1:$C14805,2,0)</f>
        <v>Euphorbia hirta</v>
      </c>
      <c r="H14405" s="6" t="str">
        <f>VLOOKUP(E14405,dicionario!$A$1:$C14805,3,0)</f>
        <v>erva-de-santa-luzia</v>
      </c>
    </row>
    <row r="14406">
      <c r="A14406" s="3">
        <v>45918.0</v>
      </c>
      <c r="B14406" s="4">
        <v>0.3416666666666667</v>
      </c>
      <c r="C14406" s="5" t="s">
        <v>905</v>
      </c>
      <c r="D14406" s="5" t="s">
        <v>1827</v>
      </c>
      <c r="E14406" s="8" t="s">
        <v>150</v>
      </c>
      <c r="F14406" s="5" t="s">
        <v>151</v>
      </c>
      <c r="G14406" s="6" t="str">
        <f>VLOOKUP(E14406,dicionario!$A$1:$C14806,2,0)</f>
        <v>Amaranthus viridis</v>
      </c>
      <c r="H14406" s="6" t="str">
        <f>VLOOKUP(E14406,dicionario!$A$1:$C14806,3,0)</f>
        <v>caruru-de-mancha</v>
      </c>
    </row>
    <row r="14407">
      <c r="A14407" s="3">
        <v>45918.0</v>
      </c>
      <c r="B14407" s="4">
        <v>0.3416666666666667</v>
      </c>
      <c r="C14407" s="5" t="s">
        <v>905</v>
      </c>
      <c r="D14407" s="5" t="s">
        <v>1827</v>
      </c>
      <c r="E14407" s="8" t="s">
        <v>1554</v>
      </c>
      <c r="F14407" s="5" t="s">
        <v>119</v>
      </c>
      <c r="G14407" s="6" t="str">
        <f>VLOOKUP(E14407,dicionario!$A$1:$C14807,2,0)</f>
        <v>Agaricus</v>
      </c>
      <c r="H14407" s="6" t="str">
        <f>VLOOKUP(E14407,dicionario!$A$1:$C14807,3,0)</f>
        <v>cogumelo</v>
      </c>
    </row>
    <row r="14408">
      <c r="A14408" s="3">
        <v>45918.0</v>
      </c>
      <c r="B14408" s="4">
        <v>0.3423611111111111</v>
      </c>
      <c r="C14408" s="5" t="s">
        <v>905</v>
      </c>
      <c r="D14408" s="5" t="s">
        <v>1827</v>
      </c>
      <c r="E14408" s="8" t="s">
        <v>14</v>
      </c>
      <c r="F14408" s="5" t="s">
        <v>15</v>
      </c>
      <c r="G14408" s="6" t="str">
        <f>VLOOKUP(E14408,dicionario!$A$1:$C14808,2,0)</f>
        <v>Spermacoce verticillata</v>
      </c>
      <c r="H14408" s="6" t="str">
        <f>VLOOKUP(E14408,dicionario!$A$1:$C14808,3,0)</f>
        <v>vassourinha-de-botão</v>
      </c>
    </row>
    <row r="14409">
      <c r="A14409" s="3">
        <v>45918.0</v>
      </c>
      <c r="B14409" s="4">
        <v>0.34444444444444444</v>
      </c>
      <c r="C14409" s="5" t="s">
        <v>905</v>
      </c>
      <c r="D14409" s="5" t="s">
        <v>1827</v>
      </c>
      <c r="E14409" s="6" t="s">
        <v>65</v>
      </c>
      <c r="F14409" s="5" t="s">
        <v>66</v>
      </c>
      <c r="G14409" s="6" t="str">
        <f>VLOOKUP(E14409,dicionario!$A$1:$C14809,2,0)</f>
        <v>Pitangus sulphutarus</v>
      </c>
      <c r="H14409" s="6" t="str">
        <f>VLOOKUP(E14409,dicionario!$A$1:$C14809,3,0)</f>
        <v>bem-te-vi</v>
      </c>
    </row>
    <row r="14410">
      <c r="A14410" s="3">
        <v>45918.0</v>
      </c>
      <c r="B14410" s="4">
        <v>0.3451388888888889</v>
      </c>
      <c r="C14410" s="5" t="s">
        <v>905</v>
      </c>
      <c r="D14410" s="5" t="s">
        <v>1827</v>
      </c>
      <c r="E14410" s="6" t="s">
        <v>111</v>
      </c>
      <c r="F14410" s="5" t="s">
        <v>112</v>
      </c>
      <c r="G14410" s="6" t="str">
        <f>VLOOKUP(E14410,dicionario!$A$1:$C14810,2,0)</f>
        <v>Trigona spinipes</v>
      </c>
      <c r="H14410" s="6" t="str">
        <f>VLOOKUP(E14410,dicionario!$A$1:$C14810,3,0)</f>
        <v>abelha-cachorro</v>
      </c>
    </row>
    <row r="14411">
      <c r="A14411" s="3">
        <v>45918.0</v>
      </c>
      <c r="B14411" s="4">
        <v>0.3451388888888889</v>
      </c>
      <c r="C14411" s="5" t="s">
        <v>905</v>
      </c>
      <c r="D14411" s="5" t="s">
        <v>1827</v>
      </c>
      <c r="E14411" s="6" t="s">
        <v>154</v>
      </c>
      <c r="F14411" s="5" t="s">
        <v>155</v>
      </c>
      <c r="G14411" s="6" t="str">
        <f>VLOOKUP(E14411,dicionario!$A$1:$C14811,2,0)</f>
        <v>Cyperus rotundus</v>
      </c>
      <c r="H14411" s="6" t="str">
        <f>VLOOKUP(E14411,dicionario!$A$1:$C14811,3,0)</f>
        <v>tiririca</v>
      </c>
    </row>
    <row r="14412">
      <c r="A14412" s="3">
        <v>45918.0</v>
      </c>
      <c r="B14412" s="4">
        <v>0.3458333333333333</v>
      </c>
      <c r="C14412" s="5" t="s">
        <v>905</v>
      </c>
      <c r="D14412" s="5" t="s">
        <v>1827</v>
      </c>
      <c r="E14412" s="8" t="s">
        <v>886</v>
      </c>
      <c r="F14412" s="5" t="s">
        <v>887</v>
      </c>
      <c r="G14412" s="6" t="str">
        <f>VLOOKUP(E14412,dicionario!$A$1:$C14812,2,0)</f>
        <v>Oldenlandia corymbosa</v>
      </c>
      <c r="H14412" s="6" t="str">
        <f>VLOOKUP(E14412,dicionario!$A$1:$C14812,3,0)</f>
        <v>erva-diamante</v>
      </c>
    </row>
    <row r="14413">
      <c r="A14413" s="3">
        <v>45918.0</v>
      </c>
      <c r="B14413" s="4">
        <v>0.3458333333333333</v>
      </c>
      <c r="C14413" s="5" t="s">
        <v>905</v>
      </c>
      <c r="D14413" s="5" t="s">
        <v>1827</v>
      </c>
      <c r="E14413" s="6" t="s">
        <v>227</v>
      </c>
      <c r="F14413" s="5" t="s">
        <v>228</v>
      </c>
      <c r="G14413" s="6" t="str">
        <f>VLOOKUP(E14413,dicionario!$A$1:$C14813,2,0)</f>
        <v>Indigofera hirsuta</v>
      </c>
      <c r="H14413" s="6" t="str">
        <f>VLOOKUP(E14413,dicionario!$A$1:$C14813,3,0)</f>
        <v>anileira</v>
      </c>
    </row>
    <row r="14414">
      <c r="A14414" s="3">
        <v>45918.0</v>
      </c>
      <c r="B14414" s="4">
        <v>0.3472222222222222</v>
      </c>
      <c r="C14414" s="5" t="s">
        <v>906</v>
      </c>
      <c r="D14414" s="5" t="s">
        <v>1827</v>
      </c>
      <c r="E14414" s="8" t="s">
        <v>712</v>
      </c>
      <c r="F14414" s="5" t="s">
        <v>912</v>
      </c>
      <c r="G14414" s="6" t="str">
        <f>VLOOKUP(E14414,dicionario!$A$1:$C14814,2,0)</f>
        <v>Flavopunctelia soredica</v>
      </c>
      <c r="H14414" s="6" t="str">
        <f>VLOOKUP(E14414,dicionario!$A$1:$C14814,3,0)</f>
        <v>líquen-folioso</v>
      </c>
    </row>
    <row r="14415">
      <c r="A14415" s="3">
        <v>45918.0</v>
      </c>
      <c r="B14415" s="4">
        <v>0.3472222222222222</v>
      </c>
      <c r="C14415" s="5" t="s">
        <v>906</v>
      </c>
      <c r="D14415" s="5" t="s">
        <v>1827</v>
      </c>
      <c r="E14415" s="8" t="s">
        <v>719</v>
      </c>
      <c r="F14415" s="5" t="s">
        <v>911</v>
      </c>
      <c r="G14415" s="6" t="str">
        <f>VLOOKUP(E14415,dicionario!$A$1:$C14815,2,0)</f>
        <v>Dirinaria</v>
      </c>
      <c r="H14415" s="6" t="str">
        <f>VLOOKUP(E14415,dicionario!$A$1:$C14815,3,0)</f>
        <v>líquen-crostoso</v>
      </c>
    </row>
    <row r="14416">
      <c r="A14416" s="3">
        <v>45918.0</v>
      </c>
      <c r="B14416" s="4">
        <v>0.3472222222222222</v>
      </c>
      <c r="C14416" s="5" t="s">
        <v>906</v>
      </c>
      <c r="D14416" s="5" t="s">
        <v>1827</v>
      </c>
      <c r="E14416" s="8" t="s">
        <v>107</v>
      </c>
      <c r="F14416" s="5" t="s">
        <v>108</v>
      </c>
      <c r="G14416" s="6" t="str">
        <f>VLOOKUP(E14416,dicionario!$A$1:$C14816,2,0)</f>
        <v>Ramalina complanata</v>
      </c>
      <c r="H14416" s="6" t="str">
        <f>VLOOKUP(E14416,dicionario!$A$1:$C14816,3,0)</f>
        <v>ramalina</v>
      </c>
    </row>
    <row r="14417">
      <c r="A14417" s="3">
        <v>45918.0</v>
      </c>
      <c r="B14417" s="4">
        <v>0.3472222222222222</v>
      </c>
      <c r="C14417" s="5" t="s">
        <v>906</v>
      </c>
      <c r="D14417" s="5" t="s">
        <v>1827</v>
      </c>
      <c r="E14417" s="8" t="s">
        <v>1818</v>
      </c>
      <c r="F14417" s="5" t="s">
        <v>969</v>
      </c>
      <c r="G14417" s="6" t="str">
        <f>VLOOKUP(E14417,dicionario!$A$1:$C14817,2,0)</f>
        <v>#N/A</v>
      </c>
      <c r="H14417" s="6" t="str">
        <f>VLOOKUP(E14417,dicionario!$A$1:$C14817,3,0)</f>
        <v>#N/A</v>
      </c>
    </row>
    <row r="14418">
      <c r="A14418" s="3">
        <v>45918.0</v>
      </c>
      <c r="B14418" s="4">
        <v>0.34791666666666665</v>
      </c>
      <c r="C14418" s="5" t="s">
        <v>906</v>
      </c>
      <c r="D14418" s="5" t="s">
        <v>1827</v>
      </c>
      <c r="E14418" s="8" t="s">
        <v>109</v>
      </c>
      <c r="F14418" s="5" t="s">
        <v>110</v>
      </c>
      <c r="G14418" s="6" t="str">
        <f>VLOOKUP(E14418,dicionario!$A$1:$C14818,2,0)</f>
        <v>Tillandsia stricta</v>
      </c>
      <c r="H14418" s="6" t="str">
        <f>VLOOKUP(E14418,dicionario!$A$1:$C14818,3,0)</f>
        <v>cravo-do-mato</v>
      </c>
    </row>
    <row r="14419">
      <c r="A14419" s="3">
        <v>45918.0</v>
      </c>
      <c r="B14419" s="4">
        <v>0.34791666666666665</v>
      </c>
      <c r="C14419" s="5" t="s">
        <v>906</v>
      </c>
      <c r="D14419" s="5" t="s">
        <v>1827</v>
      </c>
      <c r="E14419" s="6" t="s">
        <v>88</v>
      </c>
      <c r="F14419" s="5" t="s">
        <v>89</v>
      </c>
      <c r="G14419" s="6" t="str">
        <f>VLOOKUP(E14419,dicionario!$A$1:$C14819,2,0)</f>
        <v>Tyrannus melancolichus</v>
      </c>
      <c r="H14419" s="6" t="str">
        <f>VLOOKUP(E14419,dicionario!$A$1:$C14819,3,0)</f>
        <v>suiriri</v>
      </c>
    </row>
    <row r="14420">
      <c r="A14420" s="3">
        <v>45918.0</v>
      </c>
      <c r="B14420" s="4">
        <v>0.34791666666666665</v>
      </c>
      <c r="C14420" s="5" t="s">
        <v>906</v>
      </c>
      <c r="D14420" s="5" t="s">
        <v>1827</v>
      </c>
      <c r="E14420" s="6" t="s">
        <v>225</v>
      </c>
      <c r="F14420" s="5" t="s">
        <v>226</v>
      </c>
      <c r="G14420" s="6" t="str">
        <f>VLOOKUP(E14420,dicionario!$A$1:$C14820,2,0)</f>
        <v>Passer domesticus</v>
      </c>
      <c r="H14420" s="6" t="str">
        <f>VLOOKUP(E14420,dicionario!$A$1:$C14820,3,0)</f>
        <v>pardal</v>
      </c>
    </row>
    <row r="14421">
      <c r="A14421" s="3">
        <v>45918.0</v>
      </c>
      <c r="B14421" s="4">
        <v>0.34791666666666665</v>
      </c>
      <c r="C14421" s="5" t="s">
        <v>906</v>
      </c>
      <c r="D14421" s="5" t="s">
        <v>1827</v>
      </c>
      <c r="E14421" s="8" t="s">
        <v>1783</v>
      </c>
      <c r="F14421" s="5" t="s">
        <v>1088</v>
      </c>
      <c r="G14421" s="6" t="str">
        <f>VLOOKUP(E14421,dicionario!$A$1:$C14821,2,0)</f>
        <v>#N/A</v>
      </c>
      <c r="H14421" s="6" t="str">
        <f>VLOOKUP(E14421,dicionario!$A$1:$C14821,3,0)</f>
        <v>#N/A</v>
      </c>
    </row>
    <row r="14422">
      <c r="A14422" s="3">
        <v>45918.0</v>
      </c>
      <c r="B14422" s="4">
        <v>0.3486111111111111</v>
      </c>
      <c r="C14422" s="5" t="s">
        <v>906</v>
      </c>
      <c r="D14422" s="5" t="s">
        <v>1827</v>
      </c>
      <c r="E14422" s="8" t="s">
        <v>146</v>
      </c>
      <c r="F14422" s="5" t="s">
        <v>147</v>
      </c>
      <c r="G14422" s="6" t="str">
        <f>VLOOKUP(E14422,dicionario!$A$1:$C14822,2,0)</f>
        <v>Euphorbia hirta</v>
      </c>
      <c r="H14422" s="6" t="str">
        <f>VLOOKUP(E14422,dicionario!$A$1:$C14822,3,0)</f>
        <v>erva-de-santa-luzia</v>
      </c>
    </row>
    <row r="14423">
      <c r="A14423" s="3">
        <v>45918.0</v>
      </c>
      <c r="B14423" s="4">
        <v>0.3486111111111111</v>
      </c>
      <c r="C14423" s="5" t="s">
        <v>906</v>
      </c>
      <c r="D14423" s="5" t="s">
        <v>1827</v>
      </c>
      <c r="E14423" s="6" t="s">
        <v>215</v>
      </c>
      <c r="F14423" s="5" t="s">
        <v>216</v>
      </c>
      <c r="G14423" s="6" t="str">
        <f>VLOOKUP(E14423,dicionario!$A$1:$C14823,2,0)</f>
        <v>Pygochelidon cyanoleuca</v>
      </c>
      <c r="H14423" s="6" t="str">
        <f>VLOOKUP(E14423,dicionario!$A$1:$C14823,3,0)</f>
        <v>andorinha-pequena-de-casa</v>
      </c>
    </row>
    <row r="14424">
      <c r="A14424" s="3">
        <v>45918.0</v>
      </c>
      <c r="B14424" s="4">
        <v>0.3486111111111111</v>
      </c>
      <c r="C14424" s="5" t="s">
        <v>906</v>
      </c>
      <c r="D14424" s="5" t="s">
        <v>1827</v>
      </c>
      <c r="E14424" s="6" t="s">
        <v>22</v>
      </c>
      <c r="F14424" s="5" t="s">
        <v>97</v>
      </c>
      <c r="G14424" s="6" t="str">
        <f>VLOOKUP(E14424,dicionario!$A$1:$C14824,2,0)</f>
        <v>Zenaida auriculata</v>
      </c>
      <c r="H14424" s="6" t="str">
        <f>VLOOKUP(E14424,dicionario!$A$1:$C14824,3,0)</f>
        <v>pomba-de-bando; avoante</v>
      </c>
    </row>
    <row r="14425">
      <c r="A14425" s="3">
        <v>45918.0</v>
      </c>
      <c r="B14425" s="4">
        <v>0.34930555555555554</v>
      </c>
      <c r="C14425" s="5" t="s">
        <v>906</v>
      </c>
      <c r="D14425" s="5" t="s">
        <v>1827</v>
      </c>
      <c r="E14425" s="8" t="s">
        <v>38</v>
      </c>
      <c r="F14425" s="5" t="s">
        <v>1672</v>
      </c>
      <c r="G14425" s="6" t="str">
        <f>VLOOKUP(E14425,dicionario!$A$1:$C14825,2,0)</f>
        <v>Troglodytes musculus</v>
      </c>
      <c r="H14425" s="6" t="str">
        <f>VLOOKUP(E14425,dicionario!$A$1:$C14825,3,0)</f>
        <v>curruíra</v>
      </c>
    </row>
    <row r="14426">
      <c r="A14426" s="3">
        <v>45918.0</v>
      </c>
      <c r="B14426" s="4">
        <v>0.34930555555555554</v>
      </c>
      <c r="C14426" s="5" t="s">
        <v>906</v>
      </c>
      <c r="D14426" s="5" t="s">
        <v>1827</v>
      </c>
      <c r="E14426" s="6" t="s">
        <v>163</v>
      </c>
      <c r="F14426" s="5" t="s">
        <v>164</v>
      </c>
      <c r="G14426" s="6" t="str">
        <f>VLOOKUP(E14426,dicionario!$A$1:$C14826,2,0)</f>
        <v>Coragyps atratus</v>
      </c>
      <c r="H14426" s="6" t="str">
        <f>VLOOKUP(E14426,dicionario!$A$1:$C14826,3,0)</f>
        <v>urubu-de-cabeça-preta</v>
      </c>
    </row>
    <row r="14427">
      <c r="A14427" s="3">
        <v>45918.0</v>
      </c>
      <c r="B14427" s="4">
        <v>0.34930555555555554</v>
      </c>
      <c r="C14427" s="5" t="s">
        <v>906</v>
      </c>
      <c r="D14427" s="5" t="s">
        <v>1827</v>
      </c>
      <c r="E14427" s="6" t="s">
        <v>48</v>
      </c>
      <c r="F14427" s="5" t="s">
        <v>49</v>
      </c>
      <c r="G14427" s="6" t="str">
        <f>VLOOKUP(E14427,dicionario!$A$1:$C14827,2,0)</f>
        <v>Commelina erecta</v>
      </c>
      <c r="H14427" s="6" t="str">
        <f>VLOOKUP(E14427,dicionario!$A$1:$C14827,3,0)</f>
        <v>trapoeraba</v>
      </c>
    </row>
    <row r="14428">
      <c r="A14428" s="3">
        <v>45918.0</v>
      </c>
      <c r="B14428" s="4">
        <v>0.34930555555555554</v>
      </c>
      <c r="C14428" s="5" t="s">
        <v>906</v>
      </c>
      <c r="D14428" s="5" t="s">
        <v>1827</v>
      </c>
      <c r="E14428" s="8" t="s">
        <v>20</v>
      </c>
      <c r="F14428" s="5" t="s">
        <v>21</v>
      </c>
      <c r="G14428" s="6" t="str">
        <f>VLOOKUP(E14428,dicionario!$A$1:$C14828,2,0)</f>
        <v>Sicalis flaveola</v>
      </c>
      <c r="H14428" s="6" t="str">
        <f>VLOOKUP(E14428,dicionario!$A$1:$C14828,3,0)</f>
        <v>canário-da-terra</v>
      </c>
    </row>
    <row r="14429">
      <c r="A14429" s="3">
        <v>45918.0</v>
      </c>
      <c r="B14429" s="4">
        <v>0.35</v>
      </c>
      <c r="C14429" s="5" t="s">
        <v>906</v>
      </c>
      <c r="D14429" s="5" t="s">
        <v>1827</v>
      </c>
      <c r="E14429" s="6" t="s">
        <v>113</v>
      </c>
      <c r="F14429" s="5" t="s">
        <v>114</v>
      </c>
      <c r="G14429" s="6" t="str">
        <f>VLOOKUP(E14429,dicionario!$A$1:$C14829,2,0)</f>
        <v>Columbina talpacoti</v>
      </c>
      <c r="H14429" s="6" t="str">
        <f>VLOOKUP(E14429,dicionario!$A$1:$C14829,3,0)</f>
        <v>rolinha-roxa</v>
      </c>
    </row>
    <row r="14430">
      <c r="A14430" s="3">
        <v>45918.0</v>
      </c>
      <c r="B14430" s="4">
        <v>0.35</v>
      </c>
      <c r="C14430" s="5" t="s">
        <v>906</v>
      </c>
      <c r="D14430" s="5" t="s">
        <v>1827</v>
      </c>
      <c r="E14430" s="6" t="s">
        <v>191</v>
      </c>
      <c r="F14430" s="5" t="s">
        <v>192</v>
      </c>
      <c r="G14430" s="6" t="str">
        <f>VLOOKUP(E14430,dicionario!$A$1:$C14830,2,0)</f>
        <v>Patagioenas picazuro</v>
      </c>
      <c r="H14430" s="6" t="str">
        <f>VLOOKUP(E14430,dicionario!$A$1:$C14830,3,0)</f>
        <v>asa-branca; pomba-asa-branca; pocaçu</v>
      </c>
    </row>
    <row r="14431">
      <c r="A14431" s="3">
        <v>45918.0</v>
      </c>
      <c r="B14431" s="4">
        <v>0.35</v>
      </c>
      <c r="C14431" s="5" t="s">
        <v>906</v>
      </c>
      <c r="D14431" s="5" t="s">
        <v>1827</v>
      </c>
      <c r="E14431" s="8" t="s">
        <v>498</v>
      </c>
      <c r="F14431" s="5" t="s">
        <v>499</v>
      </c>
      <c r="G14431" s="6" t="str">
        <f>VLOOKUP(E14431,dicionario!$A$1:$C14831,2,0)</f>
        <v>Brachiaria decumbens</v>
      </c>
      <c r="H14431" s="6" t="str">
        <f>VLOOKUP(E14431,dicionario!$A$1:$C14831,3,0)</f>
        <v>capim-braquiária</v>
      </c>
    </row>
    <row r="14432">
      <c r="A14432" s="3">
        <v>45918.0</v>
      </c>
      <c r="B14432" s="4">
        <v>0.35</v>
      </c>
      <c r="C14432" s="5" t="s">
        <v>906</v>
      </c>
      <c r="D14432" s="5" t="s">
        <v>1827</v>
      </c>
      <c r="E14432" s="8" t="s">
        <v>14</v>
      </c>
      <c r="F14432" s="5" t="s">
        <v>15</v>
      </c>
      <c r="G14432" s="6" t="str">
        <f>VLOOKUP(E14432,dicionario!$A$1:$C14832,2,0)</f>
        <v>Spermacoce verticillata</v>
      </c>
      <c r="H14432" s="6" t="str">
        <f>VLOOKUP(E14432,dicionario!$A$1:$C14832,3,0)</f>
        <v>vassourinha-de-botão</v>
      </c>
    </row>
    <row r="14433">
      <c r="A14433" s="3">
        <v>45918.0</v>
      </c>
      <c r="B14433" s="4">
        <v>0.3506944444444444</v>
      </c>
      <c r="C14433" s="5" t="s">
        <v>906</v>
      </c>
      <c r="D14433" s="5" t="s">
        <v>1827</v>
      </c>
      <c r="E14433" s="53" t="s">
        <v>1823</v>
      </c>
      <c r="F14433" s="5" t="s">
        <v>203</v>
      </c>
      <c r="G14433" s="6" t="str">
        <f>VLOOKUP(E14433,dicionario!$A$1:$C14833,2,0)</f>
        <v>#N/A</v>
      </c>
      <c r="H14433" s="6" t="str">
        <f>VLOOKUP(E14433,dicionario!$A$1:$C14833,3,0)</f>
        <v>#N/A</v>
      </c>
    </row>
    <row r="14434">
      <c r="A14434" s="3">
        <v>45918.0</v>
      </c>
      <c r="B14434" s="4">
        <v>0.3506944444444444</v>
      </c>
      <c r="C14434" s="5" t="s">
        <v>906</v>
      </c>
      <c r="D14434" s="5" t="s">
        <v>1827</v>
      </c>
      <c r="E14434" s="8" t="s">
        <v>1008</v>
      </c>
      <c r="F14434" s="5" t="s">
        <v>1013</v>
      </c>
      <c r="G14434" s="6" t="str">
        <f>VLOOKUP(E14434,dicionario!$A$1:$C14834,2,0)</f>
        <v>Syntermes molestus</v>
      </c>
      <c r="H14434" s="6" t="str">
        <f>VLOOKUP(E14434,dicionario!$A$1:$C14834,3,0)</f>
        <v>cupim-bate-cabeça</v>
      </c>
    </row>
    <row r="14435">
      <c r="A14435" s="3">
        <v>45918.0</v>
      </c>
      <c r="B14435" s="4">
        <v>0.3506944444444444</v>
      </c>
      <c r="C14435" s="5" t="s">
        <v>906</v>
      </c>
      <c r="D14435" s="5" t="s">
        <v>1827</v>
      </c>
      <c r="E14435" s="8" t="s">
        <v>1828</v>
      </c>
      <c r="F14435" s="5" t="s">
        <v>35</v>
      </c>
      <c r="G14435" s="6" t="str">
        <f>VLOOKUP(E14435,dicionario!$A$1:$C14835,2,0)</f>
        <v>#N/A</v>
      </c>
      <c r="H14435" s="6" t="str">
        <f>VLOOKUP(E14435,dicionario!$A$1:$C14835,3,0)</f>
        <v>#N/A</v>
      </c>
    </row>
    <row r="14436">
      <c r="A14436" s="3">
        <v>45918.0</v>
      </c>
      <c r="B14436" s="4">
        <v>0.3506944444444444</v>
      </c>
      <c r="C14436" s="5" t="s">
        <v>906</v>
      </c>
      <c r="D14436" s="5" t="s">
        <v>1827</v>
      </c>
      <c r="E14436" s="6" t="s">
        <v>177</v>
      </c>
      <c r="F14436" s="5" t="s">
        <v>178</v>
      </c>
      <c r="G14436" s="6" t="str">
        <f>VLOOKUP(E14436,dicionario!$A$1:$C14836,2,0)</f>
        <v>Elaenia flavogaster</v>
      </c>
      <c r="H14436" s="6" t="str">
        <f>VLOOKUP(E14436,dicionario!$A$1:$C14836,3,0)</f>
        <v>guaracava-de-barriga-amarela</v>
      </c>
    </row>
    <row r="14437">
      <c r="A14437" s="3">
        <v>45918.0</v>
      </c>
      <c r="B14437" s="4">
        <v>0.3506944444444444</v>
      </c>
      <c r="C14437" s="5" t="s">
        <v>906</v>
      </c>
      <c r="D14437" s="5" t="s">
        <v>1827</v>
      </c>
      <c r="E14437" s="8" t="s">
        <v>909</v>
      </c>
      <c r="F14437" s="5" t="s">
        <v>910</v>
      </c>
      <c r="G14437" s="6" t="str">
        <f>VLOOKUP(E14437,dicionario!$A$1:$C14837,2,0)</f>
        <v>Chordeiles acutipennis</v>
      </c>
      <c r="H14437" s="6" t="str">
        <f>VLOOKUP(E14437,dicionario!$A$1:$C14837,3,0)</f>
        <v>bacurau-de-asa-fina</v>
      </c>
    </row>
    <row r="14438">
      <c r="A14438" s="3">
        <v>45918.0</v>
      </c>
      <c r="B14438" s="4">
        <v>0.3506944444444444</v>
      </c>
      <c r="C14438" s="5" t="s">
        <v>906</v>
      </c>
      <c r="D14438" s="5" t="s">
        <v>1827</v>
      </c>
      <c r="E14438" s="6" t="s">
        <v>88</v>
      </c>
      <c r="F14438" s="5" t="s">
        <v>303</v>
      </c>
      <c r="G14438" s="6" t="str">
        <f>VLOOKUP(E14438,dicionario!$A$1:$C14838,2,0)</f>
        <v>Tyrannus melancolichus</v>
      </c>
      <c r="H14438" s="6" t="str">
        <f>VLOOKUP(E14438,dicionario!$A$1:$C14838,3,0)</f>
        <v>suiriri</v>
      </c>
    </row>
    <row r="14439">
      <c r="A14439" s="3">
        <v>45918.0</v>
      </c>
      <c r="B14439" s="4">
        <v>0.35138888888888886</v>
      </c>
      <c r="C14439" s="5" t="s">
        <v>906</v>
      </c>
      <c r="D14439" s="5" t="s">
        <v>1827</v>
      </c>
      <c r="E14439" s="6" t="s">
        <v>93</v>
      </c>
      <c r="F14439" s="5" t="s">
        <v>94</v>
      </c>
      <c r="G14439" s="6" t="str">
        <f>VLOOKUP(E14439,dicionario!$A$1:$C14839,2,0)</f>
        <v>Thraupis sayaca</v>
      </c>
      <c r="H14439" s="6" t="str">
        <f>VLOOKUP(E14439,dicionario!$A$1:$C14839,3,0)</f>
        <v>sanhaçu-cinzento</v>
      </c>
    </row>
    <row r="14440">
      <c r="A14440" s="3">
        <v>45918.0</v>
      </c>
      <c r="B14440" s="4">
        <v>0.35138888888888886</v>
      </c>
      <c r="C14440" s="5" t="s">
        <v>906</v>
      </c>
      <c r="D14440" s="5" t="s">
        <v>1827</v>
      </c>
      <c r="E14440" s="6" t="s">
        <v>72</v>
      </c>
      <c r="F14440" s="5" t="s">
        <v>1835</v>
      </c>
      <c r="G14440" s="6" t="str">
        <f>VLOOKUP(E14440,dicionario!$A$1:$C14840,2,0)</f>
        <v>Thraupis palmarum</v>
      </c>
      <c r="H14440" s="6" t="str">
        <f>VLOOKUP(E14440,dicionario!$A$1:$C14840,3,0)</f>
        <v>sanhaço-do-coqueiro</v>
      </c>
    </row>
    <row r="14441">
      <c r="A14441" s="3">
        <v>45918.0</v>
      </c>
      <c r="B14441" s="4">
        <v>0.3527777777777778</v>
      </c>
      <c r="C14441" s="5" t="s">
        <v>906</v>
      </c>
      <c r="D14441" s="5" t="s">
        <v>1827</v>
      </c>
      <c r="E14441" s="6" t="s">
        <v>111</v>
      </c>
      <c r="F14441" s="5" t="s">
        <v>112</v>
      </c>
      <c r="G14441" s="6" t="str">
        <f>VLOOKUP(E14441,dicionario!$A$1:$C14841,2,0)</f>
        <v>Trigona spinipes</v>
      </c>
      <c r="H14441" s="6" t="str">
        <f>VLOOKUP(E14441,dicionario!$A$1:$C14841,3,0)</f>
        <v>abelha-cachorro</v>
      </c>
    </row>
    <row r="14442">
      <c r="A14442" s="3">
        <v>45918.0</v>
      </c>
      <c r="B14442" s="4">
        <v>0.3527777777777778</v>
      </c>
      <c r="C14442" s="5" t="s">
        <v>906</v>
      </c>
      <c r="D14442" s="5" t="s">
        <v>1827</v>
      </c>
      <c r="E14442" s="6" t="s">
        <v>448</v>
      </c>
      <c r="F14442" s="5" t="s">
        <v>462</v>
      </c>
      <c r="G14442" s="6" t="str">
        <f>VLOOKUP(E14442,dicionario!$A$1:$C14842,2,0)</f>
        <v>Mechanitis polymnia</v>
      </c>
      <c r="H14442" s="6" t="str">
        <f>VLOOKUP(E14442,dicionario!$A$1:$C14842,3,0)</f>
        <v>maria-boba</v>
      </c>
    </row>
    <row r="14443">
      <c r="A14443" s="3">
        <v>45918.0</v>
      </c>
      <c r="B14443" s="4">
        <v>0.35347222222222224</v>
      </c>
      <c r="C14443" s="5" t="s">
        <v>906</v>
      </c>
      <c r="D14443" s="5" t="s">
        <v>1827</v>
      </c>
      <c r="E14443" s="8" t="s">
        <v>1798</v>
      </c>
      <c r="F14443" s="7" t="s">
        <v>321</v>
      </c>
      <c r="G14443" s="6" t="str">
        <f>VLOOKUP(E14443,dicionario!$A$1:$C14843,2,0)</f>
        <v>Solenopsis</v>
      </c>
      <c r="H14443" s="6" t="str">
        <f>VLOOKUP(E14443,dicionario!$A$1:$C14843,3,0)</f>
        <v>formiga-quente; formiga-lava-pés; formiga-de-fogo</v>
      </c>
    </row>
    <row r="14444">
      <c r="A14444" s="3">
        <v>45918.0</v>
      </c>
      <c r="B14444" s="4">
        <v>0.35347222222222224</v>
      </c>
      <c r="C14444" s="5" t="s">
        <v>906</v>
      </c>
      <c r="D14444" s="5" t="s">
        <v>1827</v>
      </c>
      <c r="E14444" s="6" t="s">
        <v>163</v>
      </c>
      <c r="F14444" s="5" t="s">
        <v>164</v>
      </c>
      <c r="G14444" s="6" t="str">
        <f>VLOOKUP(E14444,dicionario!$A$1:$C14844,2,0)</f>
        <v>Coragyps atratus</v>
      </c>
      <c r="H14444" s="6" t="str">
        <f>VLOOKUP(E14444,dicionario!$A$1:$C14844,3,0)</f>
        <v>urubu-de-cabeça-preta</v>
      </c>
    </row>
    <row r="14445">
      <c r="A14445" s="3">
        <v>45918.0</v>
      </c>
      <c r="B14445" s="4">
        <v>0.35347222222222224</v>
      </c>
      <c r="C14445" s="5" t="s">
        <v>906</v>
      </c>
      <c r="D14445" s="5" t="s">
        <v>1827</v>
      </c>
      <c r="E14445" s="76" t="s">
        <v>514</v>
      </c>
      <c r="F14445" s="5" t="s">
        <v>515</v>
      </c>
      <c r="G14445" s="6" t="str">
        <f>VLOOKUP(E14445,dicionario!$A$1:$C14845,2,0)</f>
        <v>Aedes aegypti</v>
      </c>
      <c r="H14445" s="6" t="str">
        <f>VLOOKUP(E14445,dicionario!$A$1:$C14845,3,0)</f>
        <v>mosquito-da-dengue</v>
      </c>
    </row>
    <row r="14446">
      <c r="A14446" s="3">
        <v>45926.0</v>
      </c>
      <c r="B14446" s="4">
        <v>0.2673611111111111</v>
      </c>
      <c r="C14446" s="5" t="s">
        <v>906</v>
      </c>
      <c r="D14446" s="5" t="s">
        <v>1836</v>
      </c>
      <c r="E14446" s="9" t="s">
        <v>105</v>
      </c>
      <c r="F14446" s="5" t="s">
        <v>106</v>
      </c>
      <c r="G14446" s="6" t="str">
        <f>VLOOKUP(E14446,dicionario!$A$1:$C14846,2,0)</f>
        <v>Progne tapera</v>
      </c>
      <c r="H14446" s="6" t="str">
        <f>VLOOKUP(E14446,dicionario!$A$1:$C14846,3,0)</f>
        <v>andorinha-do-campo</v>
      </c>
    </row>
    <row r="14447">
      <c r="A14447" s="3">
        <v>45926.0</v>
      </c>
      <c r="B14447" s="4">
        <v>0.2673611111111111</v>
      </c>
      <c r="C14447" s="5" t="s">
        <v>906</v>
      </c>
      <c r="D14447" s="5" t="s">
        <v>1836</v>
      </c>
      <c r="E14447" s="8" t="s">
        <v>20</v>
      </c>
      <c r="F14447" s="5" t="s">
        <v>21</v>
      </c>
      <c r="G14447" s="6" t="str">
        <f>VLOOKUP(E14447,dicionario!$A$1:$C14847,2,0)</f>
        <v>Sicalis flaveola</v>
      </c>
      <c r="H14447" s="6" t="str">
        <f>VLOOKUP(E14447,dicionario!$A$1:$C14847,3,0)</f>
        <v>canário-da-terra</v>
      </c>
    </row>
    <row r="14448">
      <c r="A14448" s="3">
        <v>45926.0</v>
      </c>
      <c r="B14448" s="4">
        <v>0.2673611111111111</v>
      </c>
      <c r="C14448" s="5" t="s">
        <v>906</v>
      </c>
      <c r="D14448" s="5" t="s">
        <v>1836</v>
      </c>
      <c r="E14448" s="8" t="s">
        <v>909</v>
      </c>
      <c r="F14448" s="5" t="s">
        <v>910</v>
      </c>
      <c r="G14448" s="6" t="str">
        <f>VLOOKUP(E14448,dicionario!$A$1:$C14848,2,0)</f>
        <v>Chordeiles acutipennis</v>
      </c>
      <c r="H14448" s="6" t="str">
        <f>VLOOKUP(E14448,dicionario!$A$1:$C14848,3,0)</f>
        <v>bacurau-de-asa-fina</v>
      </c>
    </row>
    <row r="14449">
      <c r="A14449" s="3">
        <v>45926.0</v>
      </c>
      <c r="B14449" s="4">
        <v>0.2673611111111111</v>
      </c>
      <c r="C14449" s="5" t="s">
        <v>906</v>
      </c>
      <c r="D14449" s="5" t="s">
        <v>1836</v>
      </c>
      <c r="E14449" s="8" t="s">
        <v>271</v>
      </c>
      <c r="F14449" s="5" t="s">
        <v>1169</v>
      </c>
      <c r="G14449" s="6" t="str">
        <f>VLOOKUP(E14449,dicionario!$A$1:$C14849,2,0)</f>
        <v>Cyanthillium cinereum</v>
      </c>
      <c r="H14449" s="6" t="str">
        <f>VLOOKUP(E14449,dicionario!$A$1:$C14849,3,0)</f>
        <v>emília</v>
      </c>
    </row>
    <row r="14450">
      <c r="A14450" s="3">
        <v>45926.0</v>
      </c>
      <c r="B14450" s="4">
        <v>0.2673611111111111</v>
      </c>
      <c r="C14450" s="5" t="s">
        <v>906</v>
      </c>
      <c r="D14450" s="5" t="s">
        <v>1836</v>
      </c>
      <c r="E14450" s="8" t="s">
        <v>14</v>
      </c>
      <c r="F14450" s="5" t="s">
        <v>15</v>
      </c>
      <c r="G14450" s="6" t="str">
        <f>VLOOKUP(E14450,dicionario!$A$1:$C14850,2,0)</f>
        <v>Spermacoce verticillata</v>
      </c>
      <c r="H14450" s="6" t="str">
        <f>VLOOKUP(E14450,dicionario!$A$1:$C14850,3,0)</f>
        <v>vassourinha-de-botão</v>
      </c>
    </row>
    <row r="14451">
      <c r="A14451" s="3">
        <v>45926.0</v>
      </c>
      <c r="B14451" s="4">
        <v>0.2673611111111111</v>
      </c>
      <c r="C14451" s="5" t="s">
        <v>906</v>
      </c>
      <c r="D14451" s="5" t="s">
        <v>1836</v>
      </c>
      <c r="E14451" s="6" t="s">
        <v>286</v>
      </c>
      <c r="F14451" s="5" t="s">
        <v>287</v>
      </c>
      <c r="G14451" s="6" t="str">
        <f>VLOOKUP(E14451,dicionario!$A$1:$C14851,2,0)</f>
        <v>Setaria parviflora</v>
      </c>
      <c r="H14451" s="6" t="str">
        <f>VLOOKUP(E14451,dicionario!$A$1:$C14851,3,0)</f>
        <v>capim-rabo-de-raposa</v>
      </c>
    </row>
    <row r="14452">
      <c r="A14452" s="3">
        <v>45926.0</v>
      </c>
      <c r="B14452" s="4">
        <v>0.26805555555555555</v>
      </c>
      <c r="C14452" s="5" t="s">
        <v>906</v>
      </c>
      <c r="D14452" s="5" t="s">
        <v>1836</v>
      </c>
      <c r="E14452" s="8" t="s">
        <v>135</v>
      </c>
      <c r="F14452" s="5" t="s">
        <v>136</v>
      </c>
      <c r="G14452" s="6" t="str">
        <f>VLOOKUP(E14452,dicionario!$A$1:$C14852,2,0)</f>
        <v>Tridax procumbens</v>
      </c>
      <c r="H14452" s="6" t="str">
        <f>VLOOKUP(E14452,dicionario!$A$1:$C14852,3,0)</f>
        <v>erva-de-touro</v>
      </c>
    </row>
    <row r="14453">
      <c r="A14453" s="3">
        <v>45926.0</v>
      </c>
      <c r="B14453" s="4">
        <v>0.26805555555555555</v>
      </c>
      <c r="C14453" s="5" t="s">
        <v>906</v>
      </c>
      <c r="D14453" s="5" t="s">
        <v>1836</v>
      </c>
      <c r="E14453" s="8" t="s">
        <v>1280</v>
      </c>
      <c r="F14453" s="5" t="s">
        <v>1156</v>
      </c>
      <c r="G14453" s="6" t="str">
        <f>VLOOKUP(E14453,dicionario!$A$1:$C14853,2,0)</f>
        <v>Paspalum notatum</v>
      </c>
      <c r="H14453" s="6" t="str">
        <f>VLOOKUP(E14453,dicionario!$A$1:$C14853,3,0)</f>
        <v>capim-forquilha</v>
      </c>
    </row>
    <row r="14454">
      <c r="A14454" s="3">
        <v>45926.0</v>
      </c>
      <c r="B14454" s="4">
        <v>0.26805555555555555</v>
      </c>
      <c r="C14454" s="5" t="s">
        <v>906</v>
      </c>
      <c r="D14454" s="5" t="s">
        <v>1836</v>
      </c>
      <c r="E14454" s="8" t="s">
        <v>719</v>
      </c>
      <c r="F14454" s="5" t="s">
        <v>911</v>
      </c>
      <c r="G14454" s="6" t="str">
        <f>VLOOKUP(E14454,dicionario!$A$1:$C14854,2,0)</f>
        <v>Dirinaria</v>
      </c>
      <c r="H14454" s="6" t="str">
        <f>VLOOKUP(E14454,dicionario!$A$1:$C14854,3,0)</f>
        <v>líquen-crostoso</v>
      </c>
    </row>
    <row r="14455">
      <c r="A14455" s="3">
        <v>45926.0</v>
      </c>
      <c r="B14455" s="4">
        <v>0.26805555555555555</v>
      </c>
      <c r="C14455" s="5" t="s">
        <v>906</v>
      </c>
      <c r="D14455" s="5" t="s">
        <v>1836</v>
      </c>
      <c r="E14455" s="8" t="s">
        <v>712</v>
      </c>
      <c r="F14455" s="5" t="s">
        <v>912</v>
      </c>
      <c r="G14455" s="6" t="str">
        <f>VLOOKUP(E14455,dicionario!$A$1:$C14855,2,0)</f>
        <v>Flavopunctelia soredica</v>
      </c>
      <c r="H14455" s="6" t="str">
        <f>VLOOKUP(E14455,dicionario!$A$1:$C14855,3,0)</f>
        <v>líquen-folioso</v>
      </c>
    </row>
    <row r="14456">
      <c r="A14456" s="3">
        <v>45926.0</v>
      </c>
      <c r="B14456" s="4">
        <v>0.26805555555555555</v>
      </c>
      <c r="C14456" s="5" t="s">
        <v>906</v>
      </c>
      <c r="D14456" s="5" t="s">
        <v>1836</v>
      </c>
      <c r="E14456" s="8" t="s">
        <v>107</v>
      </c>
      <c r="F14456" s="5" t="s">
        <v>834</v>
      </c>
      <c r="G14456" s="6" t="str">
        <f>VLOOKUP(E14456,dicionario!$A$1:$C14856,2,0)</f>
        <v>Ramalina complanata</v>
      </c>
      <c r="H14456" s="6" t="str">
        <f>VLOOKUP(E14456,dicionario!$A$1:$C14856,3,0)</f>
        <v>ramalina</v>
      </c>
    </row>
    <row r="14457">
      <c r="A14457" s="3">
        <v>45926.0</v>
      </c>
      <c r="B14457" s="4">
        <v>0.26805555555555555</v>
      </c>
      <c r="C14457" s="5" t="s">
        <v>906</v>
      </c>
      <c r="D14457" s="5" t="s">
        <v>1836</v>
      </c>
      <c r="E14457" s="8" t="s">
        <v>1818</v>
      </c>
      <c r="F14457" s="5" t="s">
        <v>969</v>
      </c>
      <c r="G14457" s="6" t="str">
        <f>VLOOKUP(E14457,dicionario!$A$1:$C14857,2,0)</f>
        <v>#N/A</v>
      </c>
      <c r="H14457" s="6" t="str">
        <f>VLOOKUP(E14457,dicionario!$A$1:$C14857,3,0)</f>
        <v>#N/A</v>
      </c>
    </row>
    <row r="14458">
      <c r="A14458" s="3">
        <v>45926.0</v>
      </c>
      <c r="B14458" s="4">
        <v>0.26805555555555555</v>
      </c>
      <c r="C14458" s="5" t="s">
        <v>906</v>
      </c>
      <c r="D14458" s="5" t="s">
        <v>1836</v>
      </c>
      <c r="E14458" s="53" t="s">
        <v>1680</v>
      </c>
      <c r="F14458" s="5" t="s">
        <v>1771</v>
      </c>
      <c r="G14458" s="6" t="str">
        <f>VLOOKUP(E14458,dicionario!$A$1:$C14858,2,0)</f>
        <v>Xanthoria parietina</v>
      </c>
      <c r="H14458" s="6" t="str">
        <f>VLOOKUP(E14458,dicionario!$A$1:$C14858,3,0)</f>
        <v>líquen-amarelo</v>
      </c>
    </row>
    <row r="14459">
      <c r="A14459" s="3">
        <v>45926.0</v>
      </c>
      <c r="B14459" s="4">
        <v>0.26805555555555555</v>
      </c>
      <c r="C14459" s="5" t="s">
        <v>906</v>
      </c>
      <c r="D14459" s="5" t="s">
        <v>1836</v>
      </c>
      <c r="E14459" s="8" t="s">
        <v>298</v>
      </c>
      <c r="F14459" s="5"/>
      <c r="G14459" s="6" t="str">
        <f>VLOOKUP(E14459,dicionario!$A$1:$C14859,2,0)</f>
        <v>Alysicarpus vaginalis</v>
      </c>
      <c r="H14459" s="6" t="str">
        <f>VLOOKUP(E14459,dicionario!$A$1:$C14859,3,0)</f>
        <v/>
      </c>
    </row>
    <row r="14460">
      <c r="A14460" s="3">
        <v>45926.0</v>
      </c>
      <c r="B14460" s="4">
        <v>0.26805555555555555</v>
      </c>
      <c r="C14460" s="5" t="s">
        <v>906</v>
      </c>
      <c r="D14460" s="5" t="s">
        <v>1836</v>
      </c>
      <c r="E14460" s="6" t="s">
        <v>227</v>
      </c>
      <c r="F14460" s="5" t="s">
        <v>228</v>
      </c>
      <c r="G14460" s="6" t="str">
        <f>VLOOKUP(E14460,dicionario!$A$1:$C14860,2,0)</f>
        <v>Indigofera hirsuta</v>
      </c>
      <c r="H14460" s="6" t="str">
        <f>VLOOKUP(E14460,dicionario!$A$1:$C14860,3,0)</f>
        <v>anileira</v>
      </c>
    </row>
    <row r="14461">
      <c r="A14461" s="3">
        <v>45926.0</v>
      </c>
      <c r="B14461" s="4">
        <v>0.26805555555555555</v>
      </c>
      <c r="C14461" s="5" t="s">
        <v>906</v>
      </c>
      <c r="D14461" s="5" t="s">
        <v>1836</v>
      </c>
      <c r="E14461" s="8" t="s">
        <v>109</v>
      </c>
      <c r="F14461" s="5" t="s">
        <v>110</v>
      </c>
      <c r="G14461" s="6" t="str">
        <f>VLOOKUP(E14461,dicionario!$A$1:$C14861,2,0)</f>
        <v>Tillandsia stricta</v>
      </c>
      <c r="H14461" s="6" t="str">
        <f>VLOOKUP(E14461,dicionario!$A$1:$C14861,3,0)</f>
        <v>cravo-do-mato</v>
      </c>
    </row>
    <row r="14462">
      <c r="A14462" s="3">
        <v>45926.0</v>
      </c>
      <c r="B14462" s="4">
        <v>0.26944444444444443</v>
      </c>
      <c r="C14462" s="5" t="s">
        <v>906</v>
      </c>
      <c r="D14462" s="5" t="s">
        <v>1836</v>
      </c>
      <c r="E14462" s="8" t="s">
        <v>498</v>
      </c>
      <c r="F14462" s="5" t="s">
        <v>499</v>
      </c>
      <c r="G14462" s="6" t="str">
        <f>VLOOKUP(E14462,dicionario!$A$1:$C14862,2,0)</f>
        <v>Brachiaria decumbens</v>
      </c>
      <c r="H14462" s="6" t="str">
        <f>VLOOKUP(E14462,dicionario!$A$1:$C14862,3,0)</f>
        <v>capim-braquiária</v>
      </c>
    </row>
    <row r="14463">
      <c r="A14463" s="3">
        <v>45926.0</v>
      </c>
      <c r="B14463" s="4">
        <v>0.26944444444444443</v>
      </c>
      <c r="C14463" s="5" t="s">
        <v>906</v>
      </c>
      <c r="D14463" s="5" t="s">
        <v>1836</v>
      </c>
      <c r="E14463" s="6" t="s">
        <v>99</v>
      </c>
      <c r="F14463" s="5" t="s">
        <v>508</v>
      </c>
      <c r="G14463" s="6" t="str">
        <f>VLOOKUP(E14463,dicionario!$A$1:$C14863,2,0)</f>
        <v>Molothrus bonariensis</v>
      </c>
      <c r="H14463" s="6" t="str">
        <f>VLOOKUP(E14463,dicionario!$A$1:$C14863,3,0)</f>
        <v>chupim</v>
      </c>
    </row>
    <row r="14464">
      <c r="A14464" s="3">
        <v>45926.0</v>
      </c>
      <c r="B14464" s="4">
        <v>0.26944444444444443</v>
      </c>
      <c r="C14464" s="5" t="s">
        <v>906</v>
      </c>
      <c r="D14464" s="5" t="s">
        <v>1836</v>
      </c>
      <c r="E14464" s="8" t="s">
        <v>1008</v>
      </c>
      <c r="F14464" s="5" t="s">
        <v>1013</v>
      </c>
      <c r="G14464" s="6" t="str">
        <f>VLOOKUP(E14464,dicionario!$A$1:$C14864,2,0)</f>
        <v>Syntermes molestus</v>
      </c>
      <c r="H14464" s="6" t="str">
        <f>VLOOKUP(E14464,dicionario!$A$1:$C14864,3,0)</f>
        <v>cupim-bate-cabeça</v>
      </c>
    </row>
    <row r="14465">
      <c r="A14465" s="3">
        <v>45926.0</v>
      </c>
      <c r="B14465" s="4">
        <v>0.2708333333333333</v>
      </c>
      <c r="C14465" s="5" t="s">
        <v>906</v>
      </c>
      <c r="D14465" s="5" t="s">
        <v>1836</v>
      </c>
      <c r="E14465" s="6" t="s">
        <v>191</v>
      </c>
      <c r="F14465" s="5" t="s">
        <v>192</v>
      </c>
      <c r="G14465" s="6" t="str">
        <f>VLOOKUP(E14465,dicionario!$A$1:$C14865,2,0)</f>
        <v>Patagioenas picazuro</v>
      </c>
      <c r="H14465" s="6" t="str">
        <f>VLOOKUP(E14465,dicionario!$A$1:$C14865,3,0)</f>
        <v>asa-branca; pomba-asa-branca; pocaçu</v>
      </c>
    </row>
    <row r="14466">
      <c r="A14466" s="3">
        <v>45926.0</v>
      </c>
      <c r="B14466" s="4">
        <v>0.2708333333333333</v>
      </c>
      <c r="C14466" s="5" t="s">
        <v>906</v>
      </c>
      <c r="D14466" s="5" t="s">
        <v>1836</v>
      </c>
      <c r="E14466" s="6" t="s">
        <v>88</v>
      </c>
      <c r="F14466" s="5" t="s">
        <v>303</v>
      </c>
      <c r="G14466" s="6" t="str">
        <f>VLOOKUP(E14466,dicionario!$A$1:$C14866,2,0)</f>
        <v>Tyrannus melancolichus</v>
      </c>
      <c r="H14466" s="6" t="str">
        <f>VLOOKUP(E14466,dicionario!$A$1:$C14866,3,0)</f>
        <v>suiriri</v>
      </c>
    </row>
    <row r="14467">
      <c r="A14467" s="3">
        <v>45926.0</v>
      </c>
      <c r="B14467" s="4">
        <v>0.2708333333333333</v>
      </c>
      <c r="C14467" s="5" t="s">
        <v>906</v>
      </c>
      <c r="D14467" s="5" t="s">
        <v>1836</v>
      </c>
      <c r="E14467" s="53" t="s">
        <v>838</v>
      </c>
      <c r="F14467" s="5" t="s">
        <v>1837</v>
      </c>
      <c r="G14467" s="6" t="str">
        <f>VLOOKUP(E14467,dicionario!$A$1:$C14867,2,0)</f>
        <v>Plexippus paykulli</v>
      </c>
      <c r="H14467" s="6" t="str">
        <f>VLOOKUP(E14467,dicionario!$A$1:$C14867,3,0)</f>
        <v>aranha-saltadora-pantropical</v>
      </c>
    </row>
    <row r="14468">
      <c r="A14468" s="3">
        <v>45926.0</v>
      </c>
      <c r="B14468" s="4">
        <v>0.27152777777777776</v>
      </c>
      <c r="C14468" s="5" t="s">
        <v>906</v>
      </c>
      <c r="D14468" s="5" t="s">
        <v>1836</v>
      </c>
      <c r="E14468" s="6" t="s">
        <v>113</v>
      </c>
      <c r="F14468" s="5" t="s">
        <v>114</v>
      </c>
      <c r="G14468" s="6" t="str">
        <f>VLOOKUP(E14468,dicionario!$A$1:$C14868,2,0)</f>
        <v>Columbina talpacoti</v>
      </c>
      <c r="H14468" s="6" t="str">
        <f>VLOOKUP(E14468,dicionario!$A$1:$C14868,3,0)</f>
        <v>rolinha-roxa</v>
      </c>
    </row>
    <row r="14469">
      <c r="A14469" s="3">
        <v>45926.0</v>
      </c>
      <c r="B14469" s="4">
        <v>0.27152777777777776</v>
      </c>
      <c r="C14469" s="5" t="s">
        <v>906</v>
      </c>
      <c r="D14469" s="5" t="s">
        <v>1836</v>
      </c>
      <c r="E14469" s="6" t="s">
        <v>215</v>
      </c>
      <c r="F14469" s="5" t="s">
        <v>216</v>
      </c>
      <c r="G14469" s="6" t="str">
        <f>VLOOKUP(E14469,dicionario!$A$1:$C14869,2,0)</f>
        <v>Pygochelidon cyanoleuca</v>
      </c>
      <c r="H14469" s="6" t="str">
        <f>VLOOKUP(E14469,dicionario!$A$1:$C14869,3,0)</f>
        <v>andorinha-pequena-de-casa</v>
      </c>
    </row>
    <row r="14470">
      <c r="A14470" s="3">
        <v>45926.0</v>
      </c>
      <c r="B14470" s="4">
        <v>0.27152777777777776</v>
      </c>
      <c r="C14470" s="5" t="s">
        <v>906</v>
      </c>
      <c r="D14470" s="5" t="s">
        <v>1836</v>
      </c>
      <c r="E14470" s="6" t="s">
        <v>163</v>
      </c>
      <c r="F14470" s="5" t="s">
        <v>164</v>
      </c>
      <c r="G14470" s="6" t="str">
        <f>VLOOKUP(E14470,dicionario!$A$1:$C14870,2,0)</f>
        <v>Coragyps atratus</v>
      </c>
      <c r="H14470" s="6" t="str">
        <f>VLOOKUP(E14470,dicionario!$A$1:$C14870,3,0)</f>
        <v>urubu-de-cabeça-preta</v>
      </c>
    </row>
    <row r="14471">
      <c r="A14471" s="3">
        <v>45926.0</v>
      </c>
      <c r="B14471" s="4">
        <v>0.27152777777777776</v>
      </c>
      <c r="C14471" s="5" t="s">
        <v>906</v>
      </c>
      <c r="D14471" s="5" t="s">
        <v>1836</v>
      </c>
      <c r="E14471" s="6" t="s">
        <v>144</v>
      </c>
      <c r="F14471" s="5" t="s">
        <v>145</v>
      </c>
      <c r="G14471" s="6" t="str">
        <f>VLOOKUP(E14471,dicionario!$A$1:$C14871,2,0)</f>
        <v>Gomphrena globosa</v>
      </c>
      <c r="H14471" s="6" t="str">
        <f>VLOOKUP(E14471,dicionario!$A$1:$C14871,3,0)</f>
        <v>perpétua-rosa</v>
      </c>
    </row>
    <row r="14472">
      <c r="A14472" s="3">
        <v>45926.0</v>
      </c>
      <c r="B14472" s="4">
        <v>0.27152777777777776</v>
      </c>
      <c r="C14472" s="5" t="s">
        <v>906</v>
      </c>
      <c r="D14472" s="5" t="s">
        <v>1836</v>
      </c>
      <c r="E14472" s="8" t="s">
        <v>41</v>
      </c>
      <c r="F14472" s="5" t="s">
        <v>45</v>
      </c>
      <c r="G14472" s="6" t="str">
        <f>VLOOKUP(E14472,dicionario!$A$1:$C14872,2,0)</f>
        <v>Mimosa pudica</v>
      </c>
      <c r="H14472" s="6" t="str">
        <f>VLOOKUP(E14472,dicionario!$A$1:$C14872,3,0)</f>
        <v>dormideira</v>
      </c>
    </row>
    <row r="14473">
      <c r="A14473" s="3">
        <v>45926.0</v>
      </c>
      <c r="B14473" s="4">
        <v>0.27152777777777776</v>
      </c>
      <c r="C14473" s="5" t="s">
        <v>906</v>
      </c>
      <c r="D14473" s="5" t="s">
        <v>1836</v>
      </c>
      <c r="E14473" s="6" t="s">
        <v>353</v>
      </c>
      <c r="F14473" s="5" t="s">
        <v>354</v>
      </c>
      <c r="G14473" s="6" t="str">
        <f>VLOOKUP(E14473,dicionario!$A$1:$C14873,2,0)</f>
        <v>Desmodium incanum</v>
      </c>
      <c r="H14473" s="6" t="str">
        <f>VLOOKUP(E14473,dicionario!$A$1:$C14873,3,0)</f>
        <v>pega-pega</v>
      </c>
    </row>
    <row r="14474">
      <c r="A14474" s="3">
        <v>45926.0</v>
      </c>
      <c r="B14474" s="4">
        <v>0.27291666666666664</v>
      </c>
      <c r="C14474" s="5" t="s">
        <v>906</v>
      </c>
      <c r="D14474" s="5" t="s">
        <v>1836</v>
      </c>
      <c r="E14474" s="6" t="s">
        <v>60</v>
      </c>
      <c r="F14474" s="5" t="s">
        <v>61</v>
      </c>
      <c r="G14474" s="6" t="str">
        <f>VLOOKUP(E14474,dicionario!$A$1:$C14874,2,0)</f>
        <v>Vanellus chilensis</v>
      </c>
      <c r="H14474" s="6" t="str">
        <f>VLOOKUP(E14474,dicionario!$A$1:$C14874,3,0)</f>
        <v>quero-quero</v>
      </c>
    </row>
    <row r="14475">
      <c r="A14475" s="3">
        <v>45926.0</v>
      </c>
      <c r="B14475" s="4">
        <v>0.27291666666666664</v>
      </c>
      <c r="C14475" s="5" t="s">
        <v>906</v>
      </c>
      <c r="D14475" s="5" t="s">
        <v>1836</v>
      </c>
      <c r="E14475" s="8" t="s">
        <v>1328</v>
      </c>
      <c r="F14475" s="5" t="s">
        <v>356</v>
      </c>
      <c r="G14475" s="6" t="str">
        <f>VLOOKUP(E14475,dicionario!$A$1:$C14875,2,0)</f>
        <v>#N/A</v>
      </c>
      <c r="H14475" s="6" t="str">
        <f>VLOOKUP(E14475,dicionario!$A$1:$C14875,3,0)</f>
        <v>#N/A</v>
      </c>
    </row>
    <row r="14476">
      <c r="A14476" s="3">
        <v>45926.0</v>
      </c>
      <c r="B14476" s="4">
        <v>0.2743055555555556</v>
      </c>
      <c r="C14476" s="5" t="s">
        <v>906</v>
      </c>
      <c r="D14476" s="5" t="s">
        <v>1836</v>
      </c>
      <c r="E14476" s="67" t="s">
        <v>1808</v>
      </c>
      <c r="F14476" s="5" t="s">
        <v>1838</v>
      </c>
      <c r="G14476" s="6" t="str">
        <f>VLOOKUP(E14476,dicionario!$A$1:$C14876,2,0)</f>
        <v>Andropogon virginicus</v>
      </c>
      <c r="H14476" s="6" t="str">
        <f>VLOOKUP(E14476,dicionario!$A$1:$C14876,3,0)</f>
        <v>barba-de-bode; capim-barba-de-bode</v>
      </c>
    </row>
    <row r="14477">
      <c r="A14477" s="3">
        <v>45926.0</v>
      </c>
      <c r="B14477" s="4">
        <v>0.275</v>
      </c>
      <c r="C14477" s="5" t="s">
        <v>26</v>
      </c>
      <c r="D14477" s="5" t="s">
        <v>1836</v>
      </c>
      <c r="E14477" s="6" t="s">
        <v>353</v>
      </c>
      <c r="F14477" s="5" t="s">
        <v>354</v>
      </c>
      <c r="G14477" s="6" t="str">
        <f>VLOOKUP(E14477,dicionario!$A$1:$C14877,2,0)</f>
        <v>Desmodium incanum</v>
      </c>
      <c r="H14477" s="6" t="str">
        <f>VLOOKUP(E14477,dicionario!$A$1:$C14877,3,0)</f>
        <v>pega-pega</v>
      </c>
    </row>
    <row r="14478">
      <c r="A14478" s="3">
        <v>45926.0</v>
      </c>
      <c r="B14478" s="4">
        <v>0.275</v>
      </c>
      <c r="C14478" s="5" t="s">
        <v>26</v>
      </c>
      <c r="D14478" s="5" t="s">
        <v>1836</v>
      </c>
      <c r="E14478" s="6" t="s">
        <v>48</v>
      </c>
      <c r="F14478" s="5" t="s">
        <v>49</v>
      </c>
      <c r="G14478" s="6" t="str">
        <f>VLOOKUP(E14478,dicionario!$A$1:$C14878,2,0)</f>
        <v>Commelina erecta</v>
      </c>
      <c r="H14478" s="6" t="str">
        <f>VLOOKUP(E14478,dicionario!$A$1:$C14878,3,0)</f>
        <v>trapoeraba</v>
      </c>
    </row>
    <row r="14479">
      <c r="A14479" s="3">
        <v>45926.0</v>
      </c>
      <c r="B14479" s="4">
        <v>0.275</v>
      </c>
      <c r="C14479" s="5" t="s">
        <v>26</v>
      </c>
      <c r="D14479" s="5" t="s">
        <v>1836</v>
      </c>
      <c r="E14479" s="8" t="s">
        <v>135</v>
      </c>
      <c r="F14479" s="5" t="s">
        <v>136</v>
      </c>
      <c r="G14479" s="6" t="str">
        <f>VLOOKUP(E14479,dicionario!$A$1:$C14879,2,0)</f>
        <v>Tridax procumbens</v>
      </c>
      <c r="H14479" s="6" t="str">
        <f>VLOOKUP(E14479,dicionario!$A$1:$C14879,3,0)</f>
        <v>erva-de-touro</v>
      </c>
    </row>
    <row r="14480">
      <c r="A14480" s="3">
        <v>45926.0</v>
      </c>
      <c r="B14480" s="4">
        <v>0.275</v>
      </c>
      <c r="C14480" s="5" t="s">
        <v>26</v>
      </c>
      <c r="D14480" s="5" t="s">
        <v>1836</v>
      </c>
      <c r="E14480" s="8" t="s">
        <v>150</v>
      </c>
      <c r="F14480" s="5" t="s">
        <v>151</v>
      </c>
      <c r="G14480" s="6" t="str">
        <f>VLOOKUP(E14480,dicionario!$A$1:$C14880,2,0)</f>
        <v>Amaranthus viridis</v>
      </c>
      <c r="H14480" s="6" t="str">
        <f>VLOOKUP(E14480,dicionario!$A$1:$C14880,3,0)</f>
        <v>caruru-de-mancha</v>
      </c>
    </row>
    <row r="14481">
      <c r="A14481" s="3">
        <v>45926.0</v>
      </c>
      <c r="B14481" s="4">
        <v>0.275</v>
      </c>
      <c r="C14481" s="5" t="s">
        <v>26</v>
      </c>
      <c r="D14481" s="5" t="s">
        <v>1836</v>
      </c>
      <c r="E14481" s="6" t="s">
        <v>215</v>
      </c>
      <c r="F14481" s="5" t="s">
        <v>216</v>
      </c>
      <c r="G14481" s="6" t="str">
        <f>VLOOKUP(E14481,dicionario!$A$1:$C14881,2,0)</f>
        <v>Pygochelidon cyanoleuca</v>
      </c>
      <c r="H14481" s="6" t="str">
        <f>VLOOKUP(E14481,dicionario!$A$1:$C14881,3,0)</f>
        <v>andorinha-pequena-de-casa</v>
      </c>
    </row>
    <row r="14482">
      <c r="A14482" s="3">
        <v>45926.0</v>
      </c>
      <c r="B14482" s="4">
        <v>0.275</v>
      </c>
      <c r="C14482" s="5" t="s">
        <v>26</v>
      </c>
      <c r="D14482" s="5" t="s">
        <v>1836</v>
      </c>
      <c r="E14482" s="6" t="s">
        <v>60</v>
      </c>
      <c r="F14482" s="5" t="s">
        <v>61</v>
      </c>
      <c r="G14482" s="6" t="str">
        <f>VLOOKUP(E14482,dicionario!$A$1:$C14882,2,0)</f>
        <v>Vanellus chilensis</v>
      </c>
      <c r="H14482" s="6" t="str">
        <f>VLOOKUP(E14482,dicionario!$A$1:$C14882,3,0)</f>
        <v>quero-quero</v>
      </c>
    </row>
    <row r="14483">
      <c r="A14483" s="3">
        <v>45926.0</v>
      </c>
      <c r="B14483" s="4">
        <v>0.275</v>
      </c>
      <c r="C14483" s="5" t="s">
        <v>26</v>
      </c>
      <c r="D14483" s="5" t="s">
        <v>1836</v>
      </c>
      <c r="E14483" s="8" t="s">
        <v>20</v>
      </c>
      <c r="F14483" s="5" t="s">
        <v>21</v>
      </c>
      <c r="G14483" s="6" t="str">
        <f>VLOOKUP(E14483,dicionario!$A$1:$C14883,2,0)</f>
        <v>Sicalis flaveola</v>
      </c>
      <c r="H14483" s="6" t="str">
        <f>VLOOKUP(E14483,dicionario!$A$1:$C14883,3,0)</f>
        <v>canário-da-terra</v>
      </c>
    </row>
    <row r="14484">
      <c r="A14484" s="3">
        <v>45926.0</v>
      </c>
      <c r="B14484" s="4">
        <v>0.275</v>
      </c>
      <c r="C14484" s="5" t="s">
        <v>26</v>
      </c>
      <c r="D14484" s="5" t="s">
        <v>1836</v>
      </c>
      <c r="E14484" s="6" t="s">
        <v>217</v>
      </c>
      <c r="F14484" s="5" t="s">
        <v>218</v>
      </c>
      <c r="G14484" s="6" t="str">
        <f>VLOOKUP(E14484,dicionario!$A$1:$C14884,2,0)</f>
        <v>Athene cunicularia</v>
      </c>
      <c r="H14484" s="6" t="str">
        <f>VLOOKUP(E14484,dicionario!$A$1:$C14884,3,0)</f>
        <v>coruja-buraqueira</v>
      </c>
    </row>
    <row r="14485">
      <c r="A14485" s="3">
        <v>45926.0</v>
      </c>
      <c r="B14485" s="4">
        <v>0.27569444444444446</v>
      </c>
      <c r="C14485" s="5" t="s">
        <v>26</v>
      </c>
      <c r="D14485" s="5" t="s">
        <v>1836</v>
      </c>
      <c r="E14485" s="6" t="s">
        <v>191</v>
      </c>
      <c r="F14485" s="5" t="s">
        <v>192</v>
      </c>
      <c r="G14485" s="6" t="str">
        <f>VLOOKUP(E14485,dicionario!$A$1:$C14885,2,0)</f>
        <v>Patagioenas picazuro</v>
      </c>
      <c r="H14485" s="6" t="str">
        <f>VLOOKUP(E14485,dicionario!$A$1:$C14885,3,0)</f>
        <v>asa-branca; pomba-asa-branca; pocaçu</v>
      </c>
    </row>
    <row r="14486">
      <c r="A14486" s="3">
        <v>45926.0</v>
      </c>
      <c r="B14486" s="4">
        <v>0.27569444444444446</v>
      </c>
      <c r="C14486" s="5" t="s">
        <v>26</v>
      </c>
      <c r="D14486" s="5" t="s">
        <v>1836</v>
      </c>
      <c r="E14486" s="8" t="s">
        <v>1457</v>
      </c>
      <c r="F14486" s="5" t="s">
        <v>1457</v>
      </c>
      <c r="G14486" s="6" t="str">
        <f>VLOOKUP(E14486,dicionario!$A$1:$C14886,2,0)</f>
        <v>#N/A</v>
      </c>
      <c r="H14486" s="6" t="str">
        <f>VLOOKUP(E14486,dicionario!$A$1:$C14886,3,0)</f>
        <v>#N/A</v>
      </c>
    </row>
    <row r="14487">
      <c r="A14487" s="3">
        <v>45926.0</v>
      </c>
      <c r="B14487" s="4">
        <v>0.27569444444444446</v>
      </c>
      <c r="C14487" s="5" t="s">
        <v>26</v>
      </c>
      <c r="D14487" s="5" t="s">
        <v>1836</v>
      </c>
      <c r="E14487" s="8" t="s">
        <v>498</v>
      </c>
      <c r="F14487" s="5" t="s">
        <v>499</v>
      </c>
      <c r="G14487" s="6" t="str">
        <f>VLOOKUP(E14487,dicionario!$A$1:$C14887,2,0)</f>
        <v>Brachiaria decumbens</v>
      </c>
      <c r="H14487" s="6" t="str">
        <f>VLOOKUP(E14487,dicionario!$A$1:$C14887,3,0)</f>
        <v>capim-braquiária</v>
      </c>
    </row>
    <row r="14488">
      <c r="A14488" s="3">
        <v>45926.0</v>
      </c>
      <c r="B14488" s="4">
        <v>0.27569444444444446</v>
      </c>
      <c r="C14488" s="5" t="s">
        <v>26</v>
      </c>
      <c r="D14488" s="5" t="s">
        <v>1836</v>
      </c>
      <c r="E14488" s="8" t="s">
        <v>41</v>
      </c>
      <c r="F14488" s="5" t="s">
        <v>45</v>
      </c>
      <c r="G14488" s="6" t="str">
        <f>VLOOKUP(E14488,dicionario!$A$1:$C14888,2,0)</f>
        <v>Mimosa pudica</v>
      </c>
      <c r="H14488" s="6" t="str">
        <f>VLOOKUP(E14488,dicionario!$A$1:$C14888,3,0)</f>
        <v>dormideira</v>
      </c>
    </row>
    <row r="14489">
      <c r="A14489" s="3">
        <v>45926.0</v>
      </c>
      <c r="B14489" s="4">
        <v>0.27569444444444446</v>
      </c>
      <c r="C14489" s="5" t="s">
        <v>26</v>
      </c>
      <c r="D14489" s="5" t="s">
        <v>1836</v>
      </c>
      <c r="E14489" s="8" t="s">
        <v>109</v>
      </c>
      <c r="F14489" s="5" t="s">
        <v>110</v>
      </c>
      <c r="G14489" s="6" t="str">
        <f>VLOOKUP(E14489,dicionario!$A$1:$C14889,2,0)</f>
        <v>Tillandsia stricta</v>
      </c>
      <c r="H14489" s="6" t="str">
        <f>VLOOKUP(E14489,dicionario!$A$1:$C14889,3,0)</f>
        <v>cravo-do-mato</v>
      </c>
    </row>
    <row r="14490">
      <c r="A14490" s="3">
        <v>45926.0</v>
      </c>
      <c r="B14490" s="4">
        <v>0.27569444444444446</v>
      </c>
      <c r="C14490" s="5" t="s">
        <v>26</v>
      </c>
      <c r="D14490" s="5" t="s">
        <v>1836</v>
      </c>
      <c r="E14490" s="8" t="s">
        <v>719</v>
      </c>
      <c r="F14490" s="5" t="s">
        <v>911</v>
      </c>
      <c r="G14490" s="6" t="str">
        <f>VLOOKUP(E14490,dicionario!$A$1:$C14890,2,0)</f>
        <v>Dirinaria</v>
      </c>
      <c r="H14490" s="6" t="str">
        <f>VLOOKUP(E14490,dicionario!$A$1:$C14890,3,0)</f>
        <v>líquen-crostoso</v>
      </c>
    </row>
    <row r="14491">
      <c r="A14491" s="3">
        <v>45926.0</v>
      </c>
      <c r="B14491" s="4">
        <v>0.27569444444444446</v>
      </c>
      <c r="C14491" s="5" t="s">
        <v>26</v>
      </c>
      <c r="D14491" s="5" t="s">
        <v>1836</v>
      </c>
      <c r="E14491" s="8" t="s">
        <v>712</v>
      </c>
      <c r="F14491" s="5" t="s">
        <v>912</v>
      </c>
      <c r="G14491" s="6" t="str">
        <f>VLOOKUP(E14491,dicionario!$A$1:$C14891,2,0)</f>
        <v>Flavopunctelia soredica</v>
      </c>
      <c r="H14491" s="6" t="str">
        <f>VLOOKUP(E14491,dicionario!$A$1:$C14891,3,0)</f>
        <v>líquen-folioso</v>
      </c>
    </row>
    <row r="14492">
      <c r="A14492" s="3">
        <v>45926.0</v>
      </c>
      <c r="B14492" s="4">
        <v>0.27569444444444446</v>
      </c>
      <c r="C14492" s="5" t="s">
        <v>26</v>
      </c>
      <c r="D14492" s="5" t="s">
        <v>1836</v>
      </c>
      <c r="E14492" s="9" t="s">
        <v>105</v>
      </c>
      <c r="F14492" s="5" t="s">
        <v>106</v>
      </c>
      <c r="G14492" s="6" t="str">
        <f>VLOOKUP(E14492,dicionario!$A$1:$C14892,2,0)</f>
        <v>Progne tapera</v>
      </c>
      <c r="H14492" s="6" t="str">
        <f>VLOOKUP(E14492,dicionario!$A$1:$C14892,3,0)</f>
        <v>andorinha-do-campo</v>
      </c>
    </row>
    <row r="14493">
      <c r="A14493" s="3">
        <v>45926.0</v>
      </c>
      <c r="B14493" s="4">
        <v>0.2763888888888889</v>
      </c>
      <c r="C14493" s="5" t="s">
        <v>26</v>
      </c>
      <c r="D14493" s="5" t="s">
        <v>1836</v>
      </c>
      <c r="E14493" s="8" t="s">
        <v>1549</v>
      </c>
      <c r="F14493" s="5" t="s">
        <v>238</v>
      </c>
      <c r="G14493" s="6" t="str">
        <f>VLOOKUP(E14493,dicionario!$A$1:$C14893,2,0)</f>
        <v>Atta</v>
      </c>
      <c r="H14493" s="6" t="str">
        <f>VLOOKUP(E14493,dicionario!$A$1:$C14893,3,0)</f>
        <v>saúva</v>
      </c>
    </row>
    <row r="14494">
      <c r="A14494" s="3">
        <v>45926.0</v>
      </c>
      <c r="B14494" s="4">
        <v>0.2763888888888889</v>
      </c>
      <c r="C14494" s="5" t="s">
        <v>26</v>
      </c>
      <c r="D14494" s="5" t="s">
        <v>1836</v>
      </c>
      <c r="E14494" s="8" t="s">
        <v>1798</v>
      </c>
      <c r="F14494" s="7" t="s">
        <v>321</v>
      </c>
      <c r="G14494" s="6" t="str">
        <f>VLOOKUP(E14494,dicionario!$A$1:$C14894,2,0)</f>
        <v>Solenopsis</v>
      </c>
      <c r="H14494" s="6" t="str">
        <f>VLOOKUP(E14494,dicionario!$A$1:$C14894,3,0)</f>
        <v>formiga-quente; formiga-lava-pés; formiga-de-fogo</v>
      </c>
    </row>
    <row r="14495">
      <c r="A14495" s="3">
        <v>45926.0</v>
      </c>
      <c r="B14495" s="4">
        <v>0.2763888888888889</v>
      </c>
      <c r="C14495" s="5" t="s">
        <v>26</v>
      </c>
      <c r="D14495" s="5" t="s">
        <v>1836</v>
      </c>
      <c r="E14495" s="8" t="s">
        <v>360</v>
      </c>
      <c r="F14495" s="5" t="s">
        <v>361</v>
      </c>
      <c r="G14495" s="6" t="str">
        <f>VLOOKUP(E14495,dicionario!$A$1:$C14895,2,0)</f>
        <v>Chamaecrista rotundifolia</v>
      </c>
      <c r="H14495" s="6" t="str">
        <f>VLOOKUP(E14495,dicionario!$A$1:$C14895,3,0)</f>
        <v>alfafa-nativa</v>
      </c>
    </row>
    <row r="14496">
      <c r="A14496" s="3">
        <v>45926.0</v>
      </c>
      <c r="B14496" s="4">
        <v>0.2763888888888889</v>
      </c>
      <c r="C14496" s="5" t="s">
        <v>26</v>
      </c>
      <c r="D14496" s="5" t="s">
        <v>1836</v>
      </c>
      <c r="E14496" s="20" t="s">
        <v>676</v>
      </c>
      <c r="F14496" s="5" t="s">
        <v>677</v>
      </c>
      <c r="G14496" s="6" t="str">
        <f>VLOOKUP(E14496,dicionario!$A$1:$C14896,2,0)</f>
        <v>Zornia latifolia</v>
      </c>
      <c r="H14496" s="6" t="str">
        <f>VLOOKUP(E14496,dicionario!$A$1:$C14896,3,0)</f>
        <v>arrozinho-do-campo</v>
      </c>
    </row>
    <row r="14497">
      <c r="A14497" s="3">
        <v>45926.0</v>
      </c>
      <c r="B14497" s="4">
        <v>0.27708333333333335</v>
      </c>
      <c r="C14497" s="5" t="s">
        <v>26</v>
      </c>
      <c r="D14497" s="5" t="s">
        <v>1836</v>
      </c>
      <c r="E14497" s="8" t="s">
        <v>162</v>
      </c>
      <c r="F14497" s="5" t="s">
        <v>42</v>
      </c>
      <c r="G14497" s="6" t="str">
        <f>VLOOKUP(E14497,dicionario!$A$1:$C14897,2,0)</f>
        <v>Fluvicola nengeta</v>
      </c>
      <c r="H14497" s="6" t="str">
        <f>VLOOKUP(E14497,dicionario!$A$1:$C14897,3,0)</f>
        <v>lavadeira-mascarada</v>
      </c>
    </row>
    <row r="14498">
      <c r="A14498" s="3">
        <v>45926.0</v>
      </c>
      <c r="B14498" s="4">
        <v>0.2777777777777778</v>
      </c>
      <c r="C14498" s="5" t="s">
        <v>26</v>
      </c>
      <c r="D14498" s="5" t="s">
        <v>1836</v>
      </c>
      <c r="E14498" s="6" t="s">
        <v>163</v>
      </c>
      <c r="F14498" s="5" t="s">
        <v>164</v>
      </c>
      <c r="G14498" s="6" t="str">
        <f>VLOOKUP(E14498,dicionario!$A$1:$C14898,2,0)</f>
        <v>Coragyps atratus</v>
      </c>
      <c r="H14498" s="6" t="str">
        <f>VLOOKUP(E14498,dicionario!$A$1:$C14898,3,0)</f>
        <v>urubu-de-cabeça-preta</v>
      </c>
    </row>
    <row r="14499">
      <c r="A14499" s="3">
        <v>45926.0</v>
      </c>
      <c r="B14499" s="4">
        <v>0.2777777777777778</v>
      </c>
      <c r="C14499" s="5" t="s">
        <v>26</v>
      </c>
      <c r="D14499" s="5" t="s">
        <v>1836</v>
      </c>
      <c r="E14499" s="67" t="s">
        <v>1808</v>
      </c>
      <c r="F14499" s="5" t="s">
        <v>1838</v>
      </c>
      <c r="G14499" s="6" t="str">
        <f>VLOOKUP(E14499,dicionario!$A$1:$C14899,2,0)</f>
        <v>Andropogon virginicus</v>
      </c>
      <c r="H14499" s="6" t="str">
        <f>VLOOKUP(E14499,dicionario!$A$1:$C14899,3,0)</f>
        <v>barba-de-bode; capim-barba-de-bode</v>
      </c>
    </row>
    <row r="14500">
      <c r="A14500" s="3">
        <v>45926.0</v>
      </c>
      <c r="B14500" s="4">
        <v>0.2777777777777778</v>
      </c>
      <c r="C14500" s="5" t="s">
        <v>26</v>
      </c>
      <c r="D14500" s="5" t="s">
        <v>1836</v>
      </c>
      <c r="E14500" s="6" t="s">
        <v>243</v>
      </c>
      <c r="F14500" s="5" t="s">
        <v>244</v>
      </c>
      <c r="G14500" s="6" t="str">
        <f>VLOOKUP(E14500,dicionario!$A$1:$C14900,2,0)</f>
        <v>Macroptilium atropurpureum</v>
      </c>
      <c r="H14500" s="6" t="str">
        <f>VLOOKUP(E14500,dicionario!$A$1:$C14900,3,0)</f>
        <v>feijão-de-pombo</v>
      </c>
    </row>
    <row r="14501">
      <c r="A14501" s="3">
        <v>45926.0</v>
      </c>
      <c r="B14501" s="4">
        <v>0.27847222222222223</v>
      </c>
      <c r="C14501" s="5" t="s">
        <v>26</v>
      </c>
      <c r="D14501" s="5" t="s">
        <v>1836</v>
      </c>
      <c r="E14501" s="6" t="s">
        <v>144</v>
      </c>
      <c r="F14501" s="5" t="s">
        <v>145</v>
      </c>
      <c r="G14501" s="6" t="str">
        <f>VLOOKUP(E14501,dicionario!$A$1:$C14901,2,0)</f>
        <v>Gomphrena globosa</v>
      </c>
      <c r="H14501" s="6" t="str">
        <f>VLOOKUP(E14501,dicionario!$A$1:$C14901,3,0)</f>
        <v>perpétua-rosa</v>
      </c>
    </row>
    <row r="14502">
      <c r="A14502" s="3">
        <v>45926.0</v>
      </c>
      <c r="B14502" s="4">
        <v>0.27847222222222223</v>
      </c>
      <c r="C14502" s="5" t="s">
        <v>26</v>
      </c>
      <c r="D14502" s="5" t="s">
        <v>1836</v>
      </c>
      <c r="E14502" s="80" t="s">
        <v>1467</v>
      </c>
      <c r="F14502" s="5" t="s">
        <v>1810</v>
      </c>
      <c r="G14502" s="6" t="str">
        <f>VLOOKUP(E14502,dicionario!$A$1:$C14902,2,0)</f>
        <v>Lycoperdon</v>
      </c>
      <c r="H14502" s="6" t="str">
        <f>VLOOKUP(E14502,dicionario!$A$1:$C14902,3,0)</f>
        <v>cogumelo-bufa-de-lobo</v>
      </c>
    </row>
    <row r="14503">
      <c r="A14503" s="3">
        <v>45926.0</v>
      </c>
      <c r="B14503" s="4">
        <v>0.27847222222222223</v>
      </c>
      <c r="C14503" s="5" t="s">
        <v>26</v>
      </c>
      <c r="D14503" s="5" t="s">
        <v>1836</v>
      </c>
      <c r="E14503" s="6" t="s">
        <v>370</v>
      </c>
      <c r="F14503" s="5" t="s">
        <v>371</v>
      </c>
      <c r="G14503" s="6" t="str">
        <f>VLOOKUP(E14503,dicionario!$A$1:$C14903,2,0)</f>
        <v>Mimus saturninus</v>
      </c>
      <c r="H14503" s="6" t="str">
        <f>VLOOKUP(E14503,dicionario!$A$1:$C14903,3,0)</f>
        <v>sabiá-do-campo</v>
      </c>
    </row>
    <row r="14504">
      <c r="A14504" s="3">
        <v>45926.0</v>
      </c>
      <c r="B14504" s="4">
        <v>0.2798611111111111</v>
      </c>
      <c r="C14504" s="5" t="s">
        <v>26</v>
      </c>
      <c r="D14504" s="5" t="s">
        <v>1836</v>
      </c>
      <c r="E14504" s="6" t="s">
        <v>251</v>
      </c>
      <c r="F14504" s="5" t="s">
        <v>252</v>
      </c>
      <c r="G14504" s="6" t="str">
        <f>VLOOKUP(E14504,dicionario!$A$1:$C14904,2,0)</f>
        <v>Struthanthus flexicaulis</v>
      </c>
      <c r="H14504" s="6" t="str">
        <f>VLOOKUP(E14504,dicionario!$A$1:$C14904,3,0)</f>
        <v>erva-de-passarinho</v>
      </c>
    </row>
    <row r="14505">
      <c r="A14505" s="3">
        <v>45926.0</v>
      </c>
      <c r="B14505" s="4">
        <v>0.28194444444444444</v>
      </c>
      <c r="C14505" s="5" t="s">
        <v>26</v>
      </c>
      <c r="D14505" s="5" t="s">
        <v>1836</v>
      </c>
      <c r="E14505" s="6" t="s">
        <v>65</v>
      </c>
      <c r="F14505" s="5" t="s">
        <v>66</v>
      </c>
      <c r="G14505" s="6" t="str">
        <f>VLOOKUP(E14505,dicionario!$A$1:$C14905,2,0)</f>
        <v>Pitangus sulphutarus</v>
      </c>
      <c r="H14505" s="6" t="str">
        <f>VLOOKUP(E14505,dicionario!$A$1:$C14905,3,0)</f>
        <v>bem-te-vi</v>
      </c>
    </row>
    <row r="14506">
      <c r="A14506" s="3">
        <v>45926.0</v>
      </c>
      <c r="B14506" s="4">
        <v>0.28194444444444444</v>
      </c>
      <c r="C14506" s="5" t="s">
        <v>26</v>
      </c>
      <c r="D14506" s="5" t="s">
        <v>1836</v>
      </c>
      <c r="E14506" s="8" t="s">
        <v>1554</v>
      </c>
      <c r="F14506" s="5" t="s">
        <v>1269</v>
      </c>
      <c r="G14506" s="6" t="str">
        <f>VLOOKUP(E14506,dicionario!$A$1:$C14906,2,0)</f>
        <v>Agaricus</v>
      </c>
      <c r="H14506" s="6" t="str">
        <f>VLOOKUP(E14506,dicionario!$A$1:$C14906,3,0)</f>
        <v>cogumelo</v>
      </c>
    </row>
    <row r="14507">
      <c r="A14507" s="3">
        <v>45926.0</v>
      </c>
      <c r="B14507" s="4">
        <v>0.2833333333333333</v>
      </c>
      <c r="C14507" s="5" t="s">
        <v>904</v>
      </c>
      <c r="D14507" s="5" t="s">
        <v>1836</v>
      </c>
      <c r="E14507" s="6" t="s">
        <v>65</v>
      </c>
      <c r="F14507" s="5" t="s">
        <v>66</v>
      </c>
      <c r="G14507" s="6" t="str">
        <f>VLOOKUP(E14507,dicionario!$A$1:$C14907,2,0)</f>
        <v>Pitangus sulphutarus</v>
      </c>
      <c r="H14507" s="6" t="str">
        <f>VLOOKUP(E14507,dicionario!$A$1:$C14907,3,0)</f>
        <v>bem-te-vi</v>
      </c>
    </row>
    <row r="14508">
      <c r="A14508" s="3">
        <v>45926.0</v>
      </c>
      <c r="B14508" s="4">
        <v>0.2833333333333333</v>
      </c>
      <c r="C14508" s="5" t="s">
        <v>904</v>
      </c>
      <c r="D14508" s="5" t="s">
        <v>1836</v>
      </c>
      <c r="E14508" s="8" t="s">
        <v>109</v>
      </c>
      <c r="F14508" s="5" t="s">
        <v>110</v>
      </c>
      <c r="G14508" s="6" t="str">
        <f>VLOOKUP(E14508,dicionario!$A$1:$C14908,2,0)</f>
        <v>Tillandsia stricta</v>
      </c>
      <c r="H14508" s="6" t="str">
        <f>VLOOKUP(E14508,dicionario!$A$1:$C14908,3,0)</f>
        <v>cravo-do-mato</v>
      </c>
    </row>
    <row r="14509">
      <c r="A14509" s="3">
        <v>45926.0</v>
      </c>
      <c r="B14509" s="4">
        <v>0.2833333333333333</v>
      </c>
      <c r="C14509" s="5" t="s">
        <v>904</v>
      </c>
      <c r="D14509" s="5" t="s">
        <v>1836</v>
      </c>
      <c r="E14509" s="8" t="s">
        <v>712</v>
      </c>
      <c r="F14509" s="5" t="s">
        <v>912</v>
      </c>
      <c r="G14509" s="6" t="str">
        <f>VLOOKUP(E14509,dicionario!$A$1:$C14909,2,0)</f>
        <v>Flavopunctelia soredica</v>
      </c>
      <c r="H14509" s="6" t="str">
        <f>VLOOKUP(E14509,dicionario!$A$1:$C14909,3,0)</f>
        <v>líquen-folioso</v>
      </c>
    </row>
    <row r="14510">
      <c r="A14510" s="3">
        <v>45926.0</v>
      </c>
      <c r="B14510" s="4">
        <v>0.2847222222222222</v>
      </c>
      <c r="C14510" s="5" t="s">
        <v>904</v>
      </c>
      <c r="D14510" s="5" t="s">
        <v>1836</v>
      </c>
      <c r="E14510" s="8" t="s">
        <v>719</v>
      </c>
      <c r="F14510" s="5" t="s">
        <v>911</v>
      </c>
      <c r="G14510" s="6" t="str">
        <f>VLOOKUP(E14510,dicionario!$A$1:$C14910,2,0)</f>
        <v>Dirinaria</v>
      </c>
      <c r="H14510" s="6" t="str">
        <f>VLOOKUP(E14510,dicionario!$A$1:$C14910,3,0)</f>
        <v>líquen-crostoso</v>
      </c>
    </row>
    <row r="14511">
      <c r="A14511" s="3">
        <v>45926.0</v>
      </c>
      <c r="B14511" s="4">
        <v>0.2847222222222222</v>
      </c>
      <c r="C14511" s="5" t="s">
        <v>904</v>
      </c>
      <c r="D14511" s="5" t="s">
        <v>1836</v>
      </c>
      <c r="E14511" s="8" t="s">
        <v>20</v>
      </c>
      <c r="F14511" s="5" t="s">
        <v>21</v>
      </c>
      <c r="G14511" s="6" t="str">
        <f>VLOOKUP(E14511,dicionario!$A$1:$C14911,2,0)</f>
        <v>Sicalis flaveola</v>
      </c>
      <c r="H14511" s="6" t="str">
        <f>VLOOKUP(E14511,dicionario!$A$1:$C14911,3,0)</f>
        <v>canário-da-terra</v>
      </c>
    </row>
    <row r="14512">
      <c r="A14512" s="3">
        <v>45926.0</v>
      </c>
      <c r="B14512" s="4">
        <v>0.2847222222222222</v>
      </c>
      <c r="C14512" s="5" t="s">
        <v>904</v>
      </c>
      <c r="D14512" s="5" t="s">
        <v>1836</v>
      </c>
      <c r="E14512" s="6" t="s">
        <v>446</v>
      </c>
      <c r="F14512" s="5" t="s">
        <v>447</v>
      </c>
      <c r="G14512" s="6" t="str">
        <f>VLOOKUP(E14512,dicionario!$A$1:$C14912,2,0)</f>
        <v>Cyanerpes cyaneus</v>
      </c>
      <c r="H14512" s="6" t="str">
        <f>VLOOKUP(E14512,dicionario!$A$1:$C14912,3,0)</f>
        <v>saíra-beija-flor</v>
      </c>
    </row>
    <row r="14513">
      <c r="A14513" s="3">
        <v>45926.0</v>
      </c>
      <c r="B14513" s="4">
        <v>0.2861111111111111</v>
      </c>
      <c r="C14513" s="5" t="s">
        <v>904</v>
      </c>
      <c r="D14513" s="5" t="s">
        <v>1836</v>
      </c>
      <c r="E14513" s="6" t="s">
        <v>122</v>
      </c>
      <c r="F14513" s="5" t="s">
        <v>123</v>
      </c>
      <c r="G14513" s="6" t="str">
        <f>VLOOKUP(E14513,dicionario!$A$1:$C14913,2,0)</f>
        <v>Todirostrum cinereum</v>
      </c>
      <c r="H14513" s="6" t="str">
        <f>VLOOKUP(E14513,dicionario!$A$1:$C14913,3,0)</f>
        <v>ferreirinho-relógio</v>
      </c>
    </row>
    <row r="14514">
      <c r="A14514" s="3">
        <v>45926.0</v>
      </c>
      <c r="B14514" s="4">
        <v>0.2861111111111111</v>
      </c>
      <c r="C14514" s="5" t="s">
        <v>904</v>
      </c>
      <c r="D14514" s="5" t="s">
        <v>1836</v>
      </c>
      <c r="E14514" s="6" t="s">
        <v>191</v>
      </c>
      <c r="F14514" s="5" t="s">
        <v>192</v>
      </c>
      <c r="G14514" s="6" t="str">
        <f>VLOOKUP(E14514,dicionario!$A$1:$C14914,2,0)</f>
        <v>Patagioenas picazuro</v>
      </c>
      <c r="H14514" s="6" t="str">
        <f>VLOOKUP(E14514,dicionario!$A$1:$C14914,3,0)</f>
        <v>asa-branca; pomba-asa-branca; pocaçu</v>
      </c>
    </row>
    <row r="14515">
      <c r="A14515" s="3">
        <v>45926.0</v>
      </c>
      <c r="B14515" s="4">
        <v>0.2861111111111111</v>
      </c>
      <c r="C14515" s="5" t="s">
        <v>904</v>
      </c>
      <c r="D14515" s="5" t="s">
        <v>1836</v>
      </c>
      <c r="E14515" s="8" t="s">
        <v>1798</v>
      </c>
      <c r="F14515" s="7" t="s">
        <v>321</v>
      </c>
      <c r="G14515" s="6" t="str">
        <f>VLOOKUP(E14515,dicionario!$A$1:$C14915,2,0)</f>
        <v>Solenopsis</v>
      </c>
      <c r="H14515" s="6" t="str">
        <f>VLOOKUP(E14515,dicionario!$A$1:$C14915,3,0)</f>
        <v>formiga-quente; formiga-lava-pés; formiga-de-fogo</v>
      </c>
    </row>
    <row r="14516">
      <c r="A14516" s="3">
        <v>45926.0</v>
      </c>
      <c r="B14516" s="4">
        <v>0.2875</v>
      </c>
      <c r="C14516" s="5" t="s">
        <v>904</v>
      </c>
      <c r="D14516" s="5" t="s">
        <v>1836</v>
      </c>
      <c r="E14516" s="6" t="s">
        <v>229</v>
      </c>
      <c r="F14516" s="5" t="s">
        <v>230</v>
      </c>
      <c r="G14516" s="6" t="str">
        <f>VLOOKUP(E14516,dicionario!$A$1:$C14916,2,0)</f>
        <v>Apis mellifera</v>
      </c>
      <c r="H14516" s="6" t="str">
        <f>VLOOKUP(E14516,dicionario!$A$1:$C14916,3,0)</f>
        <v>abelha-do-mel</v>
      </c>
    </row>
    <row r="14517">
      <c r="A14517" s="3">
        <v>45926.0</v>
      </c>
      <c r="B14517" s="4">
        <v>0.2875</v>
      </c>
      <c r="C14517" s="5" t="s">
        <v>904</v>
      </c>
      <c r="D14517" s="5" t="s">
        <v>1836</v>
      </c>
      <c r="E14517" s="8" t="s">
        <v>126</v>
      </c>
      <c r="F14517" s="5" t="s">
        <v>1839</v>
      </c>
      <c r="G14517" s="6" t="str">
        <f>VLOOKUP(E14517,dicionario!$A$1:$C14917,2,0)</f>
        <v>Bryophyta</v>
      </c>
      <c r="H14517" s="6" t="str">
        <f>VLOOKUP(E14517,dicionario!$A$1:$C14917,3,0)</f>
        <v>musgo</v>
      </c>
    </row>
    <row r="14518">
      <c r="A14518" s="3">
        <v>45926.0</v>
      </c>
      <c r="B14518" s="4">
        <v>0.2881944444444444</v>
      </c>
      <c r="C14518" s="5" t="s">
        <v>904</v>
      </c>
      <c r="D14518" s="5" t="s">
        <v>1836</v>
      </c>
      <c r="E14518" s="6" t="s">
        <v>86</v>
      </c>
      <c r="F14518" s="5" t="s">
        <v>502</v>
      </c>
      <c r="G14518" s="6" t="str">
        <f>VLOOKUP(E14518,dicionario!$A$1:$C14918,2,0)</f>
        <v>Coereba flaveola</v>
      </c>
      <c r="H14518" s="6" t="str">
        <f>VLOOKUP(E14518,dicionario!$A$1:$C14918,3,0)</f>
        <v>cambacica</v>
      </c>
    </row>
    <row r="14519">
      <c r="A14519" s="3">
        <v>45926.0</v>
      </c>
      <c r="B14519" s="4">
        <v>0.2881944444444444</v>
      </c>
      <c r="C14519" s="5" t="s">
        <v>904</v>
      </c>
      <c r="D14519" s="5" t="s">
        <v>1836</v>
      </c>
      <c r="E14519" s="8" t="s">
        <v>271</v>
      </c>
      <c r="F14519" s="5" t="s">
        <v>1169</v>
      </c>
      <c r="G14519" s="6" t="str">
        <f>VLOOKUP(E14519,dicionario!$A$1:$C14919,2,0)</f>
        <v>Cyanthillium cinereum</v>
      </c>
      <c r="H14519" s="6" t="str">
        <f>VLOOKUP(E14519,dicionario!$A$1:$C14919,3,0)</f>
        <v>emília</v>
      </c>
    </row>
    <row r="14520">
      <c r="A14520" s="3">
        <v>45926.0</v>
      </c>
      <c r="B14520" s="4">
        <v>0.2881944444444444</v>
      </c>
      <c r="C14520" s="5" t="s">
        <v>904</v>
      </c>
      <c r="D14520" s="5" t="s">
        <v>1836</v>
      </c>
      <c r="E14520" s="8" t="s">
        <v>38</v>
      </c>
      <c r="F14520" s="5" t="s">
        <v>1672</v>
      </c>
      <c r="G14520" s="6" t="str">
        <f>VLOOKUP(E14520,dicionario!$A$1:$C14920,2,0)</f>
        <v>Troglodytes musculus</v>
      </c>
      <c r="H14520" s="6" t="str">
        <f>VLOOKUP(E14520,dicionario!$A$1:$C14920,3,0)</f>
        <v>curruíra</v>
      </c>
    </row>
    <row r="14521">
      <c r="A14521" s="3">
        <v>45926.0</v>
      </c>
      <c r="B14521" s="4">
        <v>0.28888888888888886</v>
      </c>
      <c r="C14521" s="5" t="s">
        <v>904</v>
      </c>
      <c r="D14521" s="5" t="s">
        <v>1836</v>
      </c>
      <c r="E14521" s="8" t="s">
        <v>1215</v>
      </c>
      <c r="F14521" s="5" t="s">
        <v>121</v>
      </c>
      <c r="G14521" s="6" t="str">
        <f>VLOOKUP(E14521,dicionario!$A$1:$C14921,2,0)</f>
        <v>#N/A</v>
      </c>
      <c r="H14521" s="6" t="str">
        <f>VLOOKUP(E14521,dicionario!$A$1:$C14921,3,0)</f>
        <v>#N/A</v>
      </c>
    </row>
    <row r="14522">
      <c r="A14522" s="3">
        <v>45926.0</v>
      </c>
      <c r="B14522" s="4">
        <v>0.28888888888888886</v>
      </c>
      <c r="C14522" s="5" t="s">
        <v>904</v>
      </c>
      <c r="D14522" s="5" t="s">
        <v>1836</v>
      </c>
      <c r="E14522" s="6" t="s">
        <v>448</v>
      </c>
      <c r="F14522" s="5" t="s">
        <v>462</v>
      </c>
      <c r="G14522" s="6" t="str">
        <f>VLOOKUP(E14522,dicionario!$A$1:$C14922,2,0)</f>
        <v>Mechanitis polymnia</v>
      </c>
      <c r="H14522" s="6" t="str">
        <f>VLOOKUP(E14522,dicionario!$A$1:$C14922,3,0)</f>
        <v>maria-boba</v>
      </c>
    </row>
    <row r="14523">
      <c r="A14523" s="3">
        <v>45926.0</v>
      </c>
      <c r="B14523" s="4">
        <v>0.2902777777777778</v>
      </c>
      <c r="C14523" s="5" t="s">
        <v>904</v>
      </c>
      <c r="D14523" s="5" t="s">
        <v>1836</v>
      </c>
      <c r="E14523" s="6" t="s">
        <v>215</v>
      </c>
      <c r="F14523" s="5" t="s">
        <v>216</v>
      </c>
      <c r="G14523" s="6" t="str">
        <f>VLOOKUP(E14523,dicionario!$A$1:$C14923,2,0)</f>
        <v>Pygochelidon cyanoleuca</v>
      </c>
      <c r="H14523" s="6" t="str">
        <f>VLOOKUP(E14523,dicionario!$A$1:$C14923,3,0)</f>
        <v>andorinha-pequena-de-casa</v>
      </c>
    </row>
    <row r="14524">
      <c r="A14524" s="3">
        <v>45926.0</v>
      </c>
      <c r="B14524" s="4">
        <v>0.2902777777777778</v>
      </c>
      <c r="C14524" s="5" t="s">
        <v>904</v>
      </c>
      <c r="D14524" s="5" t="s">
        <v>1836</v>
      </c>
      <c r="E14524" s="8" t="s">
        <v>1167</v>
      </c>
      <c r="F14524" s="5" t="s">
        <v>1168</v>
      </c>
      <c r="G14524" s="6" t="str">
        <f>VLOOKUP(E14524,dicionario!$A$1:$C14924,2,0)</f>
        <v>Tillandsia recurvata</v>
      </c>
      <c r="H14524" s="6" t="str">
        <f>VLOOKUP(E14524,dicionario!$A$1:$C14924,3,0)</f>
        <v>cravo-do-mato sp2</v>
      </c>
    </row>
    <row r="14525">
      <c r="A14525" s="3">
        <v>45926.0</v>
      </c>
      <c r="B14525" s="4">
        <v>0.2902777777777778</v>
      </c>
      <c r="C14525" s="5" t="s">
        <v>904</v>
      </c>
      <c r="D14525" s="5" t="s">
        <v>1836</v>
      </c>
      <c r="E14525" s="8" t="s">
        <v>1840</v>
      </c>
      <c r="F14525" s="5"/>
      <c r="G14525" s="6" t="str">
        <f>VLOOKUP(E14525,dicionario!$A$1:$C14925,2,0)</f>
        <v>Rhipsalis lindbergiana</v>
      </c>
      <c r="H14525" s="6" t="str">
        <f>VLOOKUP(E14525,dicionario!$A$1:$C14925,3,0)</f>
        <v>cacto-macarrão</v>
      </c>
    </row>
    <row r="14526">
      <c r="A14526" s="3">
        <v>45926.0</v>
      </c>
      <c r="B14526" s="4">
        <v>0.2902777777777778</v>
      </c>
      <c r="C14526" s="5" t="s">
        <v>904</v>
      </c>
      <c r="D14526" s="5" t="s">
        <v>1836</v>
      </c>
      <c r="E14526" s="6" t="s">
        <v>251</v>
      </c>
      <c r="F14526" s="5" t="s">
        <v>252</v>
      </c>
      <c r="G14526" s="6" t="str">
        <f>VLOOKUP(E14526,dicionario!$A$1:$C14926,2,0)</f>
        <v>Struthanthus flexicaulis</v>
      </c>
      <c r="H14526" s="6" t="str">
        <f>VLOOKUP(E14526,dicionario!$A$1:$C14926,3,0)</f>
        <v>erva-de-passarinho</v>
      </c>
    </row>
    <row r="14527">
      <c r="A14527" s="3">
        <v>45926.0</v>
      </c>
      <c r="B14527" s="4">
        <v>0.29097222222222224</v>
      </c>
      <c r="C14527" s="5" t="s">
        <v>904</v>
      </c>
      <c r="D14527" s="5" t="s">
        <v>1836</v>
      </c>
      <c r="E14527" s="67" t="s">
        <v>1841</v>
      </c>
      <c r="F14527" s="5" t="s">
        <v>1842</v>
      </c>
      <c r="G14527" s="6" t="str">
        <f>VLOOKUP(E14527,dicionario!$A$1:$C14927,2,0)</f>
        <v>Syagrus romanzoffiana</v>
      </c>
      <c r="H14527" s="6" t="str">
        <f>VLOOKUP(E14527,dicionario!$A$1:$C14927,3,0)</f>
        <v>jerivá</v>
      </c>
    </row>
    <row r="14528">
      <c r="A14528" s="3">
        <v>45926.0</v>
      </c>
      <c r="B14528" s="4">
        <v>0.2916666666666667</v>
      </c>
      <c r="C14528" s="5" t="s">
        <v>926</v>
      </c>
      <c r="D14528" s="5" t="s">
        <v>1836</v>
      </c>
      <c r="E14528" s="6" t="s">
        <v>215</v>
      </c>
      <c r="F14528" s="5" t="s">
        <v>216</v>
      </c>
      <c r="G14528" s="6" t="str">
        <f>VLOOKUP(E14528,dicionario!$A$1:$C14928,2,0)</f>
        <v>Pygochelidon cyanoleuca</v>
      </c>
      <c r="H14528" s="6" t="str">
        <f>VLOOKUP(E14528,dicionario!$A$1:$C14928,3,0)</f>
        <v>andorinha-pequena-de-casa</v>
      </c>
    </row>
    <row r="14529">
      <c r="A14529" s="3">
        <v>45926.0</v>
      </c>
      <c r="B14529" s="4">
        <v>0.2916666666666667</v>
      </c>
      <c r="C14529" s="5" t="s">
        <v>926</v>
      </c>
      <c r="D14529" s="5" t="s">
        <v>1836</v>
      </c>
      <c r="E14529" s="8" t="s">
        <v>20</v>
      </c>
      <c r="F14529" s="5" t="s">
        <v>21</v>
      </c>
      <c r="G14529" s="6" t="str">
        <f>VLOOKUP(E14529,dicionario!$A$1:$C14929,2,0)</f>
        <v>Sicalis flaveola</v>
      </c>
      <c r="H14529" s="6" t="str">
        <f>VLOOKUP(E14529,dicionario!$A$1:$C14929,3,0)</f>
        <v>canário-da-terra</v>
      </c>
    </row>
    <row r="14530">
      <c r="A14530" s="3">
        <v>45926.0</v>
      </c>
      <c r="B14530" s="4">
        <v>0.2916666666666667</v>
      </c>
      <c r="C14530" s="5" t="s">
        <v>926</v>
      </c>
      <c r="D14530" s="5" t="s">
        <v>1836</v>
      </c>
      <c r="E14530" s="8" t="s">
        <v>265</v>
      </c>
      <c r="F14530" s="5" t="s">
        <v>266</v>
      </c>
      <c r="G14530" s="6" t="str">
        <f>VLOOKUP(E14530,dicionario!$A$1:$C14930,2,0)</f>
        <v>Sonchus oleraceus</v>
      </c>
      <c r="H14530" s="6" t="str">
        <f>VLOOKUP(E14530,dicionario!$A$1:$C14930,3,0)</f>
        <v>seralha</v>
      </c>
    </row>
    <row r="14531">
      <c r="A14531" s="3">
        <v>45926.0</v>
      </c>
      <c r="B14531" s="4">
        <v>0.2916666666666667</v>
      </c>
      <c r="C14531" s="5" t="s">
        <v>926</v>
      </c>
      <c r="D14531" s="5" t="s">
        <v>1836</v>
      </c>
      <c r="E14531" s="6" t="s">
        <v>247</v>
      </c>
      <c r="F14531" s="5" t="s">
        <v>387</v>
      </c>
      <c r="G14531" s="6" t="str">
        <f>VLOOKUP(E14531,dicionario!$A$1:$C14931,2,0)</f>
        <v>Emilia sonchifolia</v>
      </c>
      <c r="H14531" s="6" t="str">
        <f>VLOOKUP(E14531,dicionario!$A$1:$C14931,3,0)</f>
        <v>serralinha</v>
      </c>
    </row>
    <row r="14532">
      <c r="A14532" s="3">
        <v>45926.0</v>
      </c>
      <c r="B14532" s="4">
        <v>0.2916666666666667</v>
      </c>
      <c r="C14532" s="5" t="s">
        <v>926</v>
      </c>
      <c r="D14532" s="5" t="s">
        <v>1836</v>
      </c>
      <c r="E14532" s="6" t="s">
        <v>227</v>
      </c>
      <c r="F14532" s="5" t="s">
        <v>228</v>
      </c>
      <c r="G14532" s="6" t="str">
        <f>VLOOKUP(E14532,dicionario!$A$1:$C14932,2,0)</f>
        <v>Indigofera hirsuta</v>
      </c>
      <c r="H14532" s="6" t="str">
        <f>VLOOKUP(E14532,dicionario!$A$1:$C14932,3,0)</f>
        <v>anileira</v>
      </c>
    </row>
    <row r="14533">
      <c r="A14533" s="3">
        <v>45926.0</v>
      </c>
      <c r="B14533" s="4">
        <v>0.2916666666666667</v>
      </c>
      <c r="C14533" s="5" t="s">
        <v>926</v>
      </c>
      <c r="D14533" s="5" t="s">
        <v>1836</v>
      </c>
      <c r="E14533" s="8" t="s">
        <v>271</v>
      </c>
      <c r="F14533" s="5" t="s">
        <v>1169</v>
      </c>
      <c r="G14533" s="6" t="str">
        <f>VLOOKUP(E14533,dicionario!$A$1:$C14933,2,0)</f>
        <v>Cyanthillium cinereum</v>
      </c>
      <c r="H14533" s="6" t="str">
        <f>VLOOKUP(E14533,dicionario!$A$1:$C14933,3,0)</f>
        <v>emília</v>
      </c>
    </row>
    <row r="14534">
      <c r="A14534" s="3">
        <v>45926.0</v>
      </c>
      <c r="B14534" s="4">
        <v>0.2923611111111111</v>
      </c>
      <c r="C14534" s="5" t="s">
        <v>926</v>
      </c>
      <c r="D14534" s="5" t="s">
        <v>1836</v>
      </c>
      <c r="E14534" s="6" t="s">
        <v>353</v>
      </c>
      <c r="F14534" s="5" t="s">
        <v>354</v>
      </c>
      <c r="G14534" s="6" t="str">
        <f>VLOOKUP(E14534,dicionario!$A$1:$C14934,2,0)</f>
        <v>Desmodium incanum</v>
      </c>
      <c r="H14534" s="6" t="str">
        <f>VLOOKUP(E14534,dicionario!$A$1:$C14934,3,0)</f>
        <v>pega-pega</v>
      </c>
    </row>
    <row r="14535">
      <c r="A14535" s="3">
        <v>45926.0</v>
      </c>
      <c r="B14535" s="4">
        <v>0.2923611111111111</v>
      </c>
      <c r="C14535" s="5" t="s">
        <v>926</v>
      </c>
      <c r="D14535" s="5" t="s">
        <v>1836</v>
      </c>
      <c r="E14535" s="8" t="s">
        <v>150</v>
      </c>
      <c r="F14535" s="5" t="s">
        <v>151</v>
      </c>
      <c r="G14535" s="6" t="str">
        <f>VLOOKUP(E14535,dicionario!$A$1:$C14935,2,0)</f>
        <v>Amaranthus viridis</v>
      </c>
      <c r="H14535" s="6" t="str">
        <f>VLOOKUP(E14535,dicionario!$A$1:$C14935,3,0)</f>
        <v>caruru-de-mancha</v>
      </c>
    </row>
    <row r="14536">
      <c r="A14536" s="3">
        <v>45926.0</v>
      </c>
      <c r="B14536" s="4">
        <v>0.2923611111111111</v>
      </c>
      <c r="C14536" s="5" t="s">
        <v>926</v>
      </c>
      <c r="D14536" s="5" t="s">
        <v>1836</v>
      </c>
      <c r="E14536" s="8" t="s">
        <v>135</v>
      </c>
      <c r="F14536" s="5" t="s">
        <v>136</v>
      </c>
      <c r="G14536" s="6" t="str">
        <f>VLOOKUP(E14536,dicionario!$A$1:$C14936,2,0)</f>
        <v>Tridax procumbens</v>
      </c>
      <c r="H14536" s="6" t="str">
        <f>VLOOKUP(E14536,dicionario!$A$1:$C14936,3,0)</f>
        <v>erva-de-touro</v>
      </c>
    </row>
    <row r="14537">
      <c r="A14537" s="3">
        <v>45926.0</v>
      </c>
      <c r="B14537" s="4">
        <v>0.2923611111111111</v>
      </c>
      <c r="C14537" s="5" t="s">
        <v>926</v>
      </c>
      <c r="D14537" s="5" t="s">
        <v>1836</v>
      </c>
      <c r="E14537" s="8" t="s">
        <v>296</v>
      </c>
      <c r="F14537" s="5" t="s">
        <v>297</v>
      </c>
      <c r="G14537" s="6" t="str">
        <f>VLOOKUP(E14537,dicionario!$A$1:$C14937,2,0)</f>
        <v>Richardia brasiliensis</v>
      </c>
      <c r="H14537" s="6" t="str">
        <f>VLOOKUP(E14537,dicionario!$A$1:$C14937,3,0)</f>
        <v>poaia-branca</v>
      </c>
    </row>
    <row r="14538">
      <c r="A14538" s="3">
        <v>45926.0</v>
      </c>
      <c r="B14538" s="4">
        <v>0.2923611111111111</v>
      </c>
      <c r="C14538" s="5" t="s">
        <v>926</v>
      </c>
      <c r="D14538" s="5" t="s">
        <v>1836</v>
      </c>
      <c r="E14538" s="8" t="s">
        <v>14</v>
      </c>
      <c r="F14538" s="5" t="s">
        <v>15</v>
      </c>
      <c r="G14538" s="6" t="str">
        <f>VLOOKUP(E14538,dicionario!$A$1:$C14938,2,0)</f>
        <v>Spermacoce verticillata</v>
      </c>
      <c r="H14538" s="6" t="str">
        <f>VLOOKUP(E14538,dicionario!$A$1:$C14938,3,0)</f>
        <v>vassourinha-de-botão</v>
      </c>
    </row>
    <row r="14539">
      <c r="A14539" s="3">
        <v>45926.0</v>
      </c>
      <c r="B14539" s="4">
        <v>0.2923611111111111</v>
      </c>
      <c r="C14539" s="5" t="s">
        <v>926</v>
      </c>
      <c r="D14539" s="5" t="s">
        <v>1836</v>
      </c>
      <c r="E14539" s="6" t="s">
        <v>286</v>
      </c>
      <c r="F14539" s="5" t="s">
        <v>287</v>
      </c>
      <c r="G14539" s="6" t="str">
        <f>VLOOKUP(E14539,dicionario!$A$1:$C14939,2,0)</f>
        <v>Setaria parviflora</v>
      </c>
      <c r="H14539" s="6" t="str">
        <f>VLOOKUP(E14539,dicionario!$A$1:$C14939,3,0)</f>
        <v>capim-rabo-de-raposa</v>
      </c>
    </row>
    <row r="14540">
      <c r="A14540" s="3">
        <v>45926.0</v>
      </c>
      <c r="B14540" s="4">
        <v>0.2923611111111111</v>
      </c>
      <c r="C14540" s="5" t="s">
        <v>926</v>
      </c>
      <c r="D14540" s="5" t="s">
        <v>1836</v>
      </c>
      <c r="E14540" s="8" t="s">
        <v>239</v>
      </c>
      <c r="F14540" s="5" t="s">
        <v>240</v>
      </c>
      <c r="G14540" s="6" t="str">
        <f>VLOOKUP(E14540,dicionario!$A$1:$C14940,2,0)</f>
        <v>Gomphrena celosioides</v>
      </c>
      <c r="H14540" s="6" t="str">
        <f>VLOOKUP(E14540,dicionario!$A$1:$C14940,3,0)</f>
        <v>perpétua-branca</v>
      </c>
    </row>
    <row r="14541">
      <c r="A14541" s="3">
        <v>45926.0</v>
      </c>
      <c r="B14541" s="4">
        <v>0.2923611111111111</v>
      </c>
      <c r="C14541" s="5" t="s">
        <v>926</v>
      </c>
      <c r="D14541" s="5" t="s">
        <v>1836</v>
      </c>
      <c r="E14541" s="6" t="s">
        <v>467</v>
      </c>
      <c r="F14541" s="5" t="s">
        <v>1365</v>
      </c>
      <c r="G14541" s="6" t="str">
        <f>VLOOKUP(E14541,dicionario!$A$1:$C14941,2,0)</f>
        <v>Eleusine indica</v>
      </c>
      <c r="H14541" s="6" t="str">
        <f>VLOOKUP(E14541,dicionario!$A$1:$C14941,3,0)</f>
        <v>capim-pé-de-galinha</v>
      </c>
    </row>
    <row r="14542">
      <c r="A14542" s="3">
        <v>45926.0</v>
      </c>
      <c r="B14542" s="4">
        <v>0.2923611111111111</v>
      </c>
      <c r="C14542" s="5" t="s">
        <v>926</v>
      </c>
      <c r="D14542" s="5" t="s">
        <v>1836</v>
      </c>
      <c r="E14542" s="6" t="s">
        <v>489</v>
      </c>
      <c r="F14542" s="5" t="s">
        <v>521</v>
      </c>
      <c r="G14542" s="6" t="str">
        <f>VLOOKUP(E14542,dicionario!$A$1:$C14942,2,0)</f>
        <v>Cenchrus echinatus</v>
      </c>
      <c r="H14542" s="6" t="str">
        <f>VLOOKUP(E14542,dicionario!$A$1:$C14942,3,0)</f>
        <v>capim-carrapicho</v>
      </c>
    </row>
    <row r="14543">
      <c r="A14543" s="3">
        <v>45926.0</v>
      </c>
      <c r="B14543" s="4">
        <v>0.29305555555555557</v>
      </c>
      <c r="C14543" s="5" t="s">
        <v>926</v>
      </c>
      <c r="D14543" s="5" t="s">
        <v>1836</v>
      </c>
      <c r="E14543" s="8" t="s">
        <v>1328</v>
      </c>
      <c r="F14543" s="5" t="s">
        <v>356</v>
      </c>
      <c r="G14543" s="6" t="str">
        <f>VLOOKUP(E14543,dicionario!$A$1:$C14943,2,0)</f>
        <v>#N/A</v>
      </c>
      <c r="H14543" s="6" t="str">
        <f>VLOOKUP(E14543,dicionario!$A$1:$C14943,3,0)</f>
        <v>#N/A</v>
      </c>
    </row>
    <row r="14544">
      <c r="A14544" s="3">
        <v>45926.0</v>
      </c>
      <c r="B14544" s="4">
        <v>0.29305555555555557</v>
      </c>
      <c r="C14544" s="5" t="s">
        <v>926</v>
      </c>
      <c r="D14544" s="5" t="s">
        <v>1836</v>
      </c>
      <c r="E14544" s="6" t="s">
        <v>53</v>
      </c>
      <c r="F14544" s="5" t="s">
        <v>54</v>
      </c>
      <c r="G14544" s="6" t="str">
        <f>VLOOKUP(E14544,dicionario!$A$1:$C14944,2,0)</f>
        <v>Turnera subulata</v>
      </c>
      <c r="H14544" s="6" t="str">
        <f>VLOOKUP(E14544,dicionario!$A$1:$C14944,3,0)</f>
        <v>xanana</v>
      </c>
    </row>
    <row r="14545">
      <c r="A14545" s="3">
        <v>45926.0</v>
      </c>
      <c r="B14545" s="4">
        <v>0.29305555555555557</v>
      </c>
      <c r="C14545" s="5" t="s">
        <v>926</v>
      </c>
      <c r="D14545" s="5" t="s">
        <v>1836</v>
      </c>
      <c r="E14545" s="6" t="s">
        <v>253</v>
      </c>
      <c r="F14545" s="5" t="s">
        <v>254</v>
      </c>
      <c r="G14545" s="6" t="str">
        <f>VLOOKUP(E14545,dicionario!$A$1:$C14945,2,0)</f>
        <v>Panicum maximum</v>
      </c>
      <c r="H14545" s="6" t="str">
        <f>VLOOKUP(E14545,dicionario!$A$1:$C14945,3,0)</f>
        <v>capim-colonião</v>
      </c>
    </row>
    <row r="14546">
      <c r="A14546" s="3">
        <v>45926.0</v>
      </c>
      <c r="B14546" s="4">
        <v>0.29305555555555557</v>
      </c>
      <c r="C14546" s="5" t="s">
        <v>926</v>
      </c>
      <c r="D14546" s="5" t="s">
        <v>1836</v>
      </c>
      <c r="E14546" s="6" t="s">
        <v>319</v>
      </c>
      <c r="F14546" s="5" t="s">
        <v>320</v>
      </c>
      <c r="G14546" s="6" t="str">
        <f>VLOOKUP(E14546,dicionario!$A$1:$C14946,2,0)</f>
        <v>Schinus terebinthifolia</v>
      </c>
      <c r="H14546" s="6" t="str">
        <f>VLOOKUP(E14546,dicionario!$A$1:$C14946,3,0)</f>
        <v>aroeira</v>
      </c>
    </row>
    <row r="14547">
      <c r="A14547" s="3">
        <v>45926.0</v>
      </c>
      <c r="B14547" s="4">
        <v>0.29375</v>
      </c>
      <c r="C14547" s="5" t="s">
        <v>926</v>
      </c>
      <c r="D14547" s="5" t="s">
        <v>1836</v>
      </c>
      <c r="E14547" s="20" t="s">
        <v>676</v>
      </c>
      <c r="F14547" s="5" t="s">
        <v>677</v>
      </c>
      <c r="G14547" s="6" t="str">
        <f>VLOOKUP(E14547,dicionario!$A$1:$C14947,2,0)</f>
        <v>Zornia latifolia</v>
      </c>
      <c r="H14547" s="6" t="str">
        <f>VLOOKUP(E14547,dicionario!$A$1:$C14947,3,0)</f>
        <v>arrozinho-do-campo</v>
      </c>
    </row>
    <row r="14548">
      <c r="A14548" s="3">
        <v>45926.0</v>
      </c>
      <c r="B14548" s="4">
        <v>0.29444444444444445</v>
      </c>
      <c r="C14548" s="5" t="s">
        <v>926</v>
      </c>
      <c r="D14548" s="5" t="s">
        <v>1836</v>
      </c>
      <c r="E14548" s="8" t="s">
        <v>1798</v>
      </c>
      <c r="F14548" s="7" t="s">
        <v>321</v>
      </c>
      <c r="G14548" s="6" t="str">
        <f>VLOOKUP(E14548,dicionario!$A$1:$C14948,2,0)</f>
        <v>Solenopsis</v>
      </c>
      <c r="H14548" s="6" t="str">
        <f>VLOOKUP(E14548,dicionario!$A$1:$C14948,3,0)</f>
        <v>formiga-quente; formiga-lava-pés; formiga-de-fogo</v>
      </c>
    </row>
    <row r="14549">
      <c r="A14549" s="3">
        <v>45926.0</v>
      </c>
      <c r="B14549" s="4">
        <v>0.29444444444444445</v>
      </c>
      <c r="C14549" s="5" t="s">
        <v>926</v>
      </c>
      <c r="D14549" s="5" t="s">
        <v>1836</v>
      </c>
      <c r="E14549" s="8" t="s">
        <v>498</v>
      </c>
      <c r="F14549" s="5" t="s">
        <v>499</v>
      </c>
      <c r="G14549" s="6" t="str">
        <f>VLOOKUP(E14549,dicionario!$A$1:$C14949,2,0)</f>
        <v>Brachiaria decumbens</v>
      </c>
      <c r="H14549" s="6" t="str">
        <f>VLOOKUP(E14549,dicionario!$A$1:$C14949,3,0)</f>
        <v>capim-braquiária</v>
      </c>
    </row>
    <row r="14550">
      <c r="A14550" s="3">
        <v>45926.0</v>
      </c>
      <c r="B14550" s="4">
        <v>0.29444444444444445</v>
      </c>
      <c r="C14550" s="5" t="s">
        <v>926</v>
      </c>
      <c r="D14550" s="5" t="s">
        <v>1836</v>
      </c>
      <c r="E14550" s="12" t="s">
        <v>152</v>
      </c>
      <c r="F14550" s="5" t="s">
        <v>153</v>
      </c>
      <c r="G14550" s="6" t="str">
        <f>VLOOKUP(E14550,dicionario!$A$1:$C14950,2,0)</f>
        <v>Cynodon dactylon</v>
      </c>
      <c r="H14550" s="6" t="str">
        <f>VLOOKUP(E14550,dicionario!$A$1:$C14950,3,0)</f>
        <v>grama-bermuda</v>
      </c>
    </row>
    <row r="14551">
      <c r="A14551" s="3">
        <v>45926.0</v>
      </c>
      <c r="B14551" s="4">
        <v>0.29444444444444445</v>
      </c>
      <c r="C14551" s="5" t="s">
        <v>926</v>
      </c>
      <c r="D14551" s="5" t="s">
        <v>1836</v>
      </c>
      <c r="E14551" s="6" t="s">
        <v>113</v>
      </c>
      <c r="F14551" s="5" t="s">
        <v>114</v>
      </c>
      <c r="G14551" s="6" t="str">
        <f>VLOOKUP(E14551,dicionario!$A$1:$C14951,2,0)</f>
        <v>Columbina talpacoti</v>
      </c>
      <c r="H14551" s="6" t="str">
        <f>VLOOKUP(E14551,dicionario!$A$1:$C14951,3,0)</f>
        <v>rolinha-roxa</v>
      </c>
    </row>
    <row r="14552">
      <c r="A14552" s="3">
        <v>45926.0</v>
      </c>
      <c r="B14552" s="4">
        <v>0.29583333333333334</v>
      </c>
      <c r="C14552" s="5" t="s">
        <v>926</v>
      </c>
      <c r="D14552" s="5" t="s">
        <v>1836</v>
      </c>
      <c r="E14552" s="8" t="s">
        <v>280</v>
      </c>
      <c r="F14552" s="5" t="s">
        <v>281</v>
      </c>
      <c r="G14552" s="6" t="str">
        <f>VLOOKUP(E14552,dicionario!$A$1:$C14952,2,0)</f>
        <v>Lepidium virginicum</v>
      </c>
      <c r="H14552" s="6" t="str">
        <f>VLOOKUP(E14552,dicionario!$A$1:$C14952,3,0)</f>
        <v>mastruz</v>
      </c>
    </row>
    <row r="14553">
      <c r="A14553" s="3">
        <v>45926.0</v>
      </c>
      <c r="B14553" s="4">
        <v>0.29583333333333334</v>
      </c>
      <c r="C14553" s="5" t="s">
        <v>926</v>
      </c>
      <c r="D14553" s="5" t="s">
        <v>1836</v>
      </c>
      <c r="E14553" s="8" t="s">
        <v>1694</v>
      </c>
      <c r="F14553" s="5" t="s">
        <v>1695</v>
      </c>
      <c r="G14553" s="6" t="str">
        <f>VLOOKUP(E14553,dicionario!$A$1:$C14953,2,0)</f>
        <v>Conyza bonariensis</v>
      </c>
      <c r="H14553" s="6" t="str">
        <f>VLOOKUP(E14553,dicionario!$A$1:$C14953,3,0)</f>
        <v>buva</v>
      </c>
    </row>
    <row r="14554">
      <c r="A14554" s="3">
        <v>45926.0</v>
      </c>
      <c r="B14554" s="4">
        <v>0.29583333333333334</v>
      </c>
      <c r="C14554" s="5" t="s">
        <v>926</v>
      </c>
      <c r="D14554" s="5" t="s">
        <v>1836</v>
      </c>
      <c r="E14554" s="6" t="s">
        <v>175</v>
      </c>
      <c r="F14554" s="5" t="s">
        <v>176</v>
      </c>
      <c r="G14554" s="6" t="str">
        <f>VLOOKUP(E14554,dicionario!$A$1:$C14954,2,0)</f>
        <v>Turdus leucomelas</v>
      </c>
      <c r="H14554" s="6" t="str">
        <f>VLOOKUP(E14554,dicionario!$A$1:$C14954,3,0)</f>
        <v>sabiá-barranco</v>
      </c>
    </row>
    <row r="14555">
      <c r="A14555" s="3">
        <v>45926.0</v>
      </c>
      <c r="B14555" s="4">
        <v>0.29583333333333334</v>
      </c>
      <c r="C14555" s="5" t="s">
        <v>926</v>
      </c>
      <c r="D14555" s="5" t="s">
        <v>1836</v>
      </c>
      <c r="E14555" s="6" t="s">
        <v>213</v>
      </c>
      <c r="F14555" s="5" t="s">
        <v>214</v>
      </c>
      <c r="G14555" s="6" t="str">
        <f>VLOOKUP(E14555,dicionario!$A$1:$C14955,2,0)</f>
        <v>Myiozetetes similis</v>
      </c>
      <c r="H14555" s="6" t="str">
        <f>VLOOKUP(E14555,dicionario!$A$1:$C14955,3,0)</f>
        <v>bentevizinho-de-penacho-vermelho</v>
      </c>
    </row>
    <row r="14556">
      <c r="A14556" s="3">
        <v>45926.0</v>
      </c>
      <c r="B14556" s="4">
        <v>0.29583333333333334</v>
      </c>
      <c r="C14556" s="5" t="s">
        <v>926</v>
      </c>
      <c r="D14556" s="5" t="s">
        <v>1836</v>
      </c>
      <c r="E14556" s="8" t="s">
        <v>1457</v>
      </c>
      <c r="F14556" s="5" t="s">
        <v>1457</v>
      </c>
      <c r="G14556" s="6" t="str">
        <f>VLOOKUP(E14556,dicionario!$A$1:$C14956,2,0)</f>
        <v>#N/A</v>
      </c>
      <c r="H14556" s="6" t="str">
        <f>VLOOKUP(E14556,dicionario!$A$1:$C14956,3,0)</f>
        <v>#N/A</v>
      </c>
    </row>
    <row r="14557">
      <c r="A14557" s="3">
        <v>45926.0</v>
      </c>
      <c r="B14557" s="4">
        <v>0.2965277777777778</v>
      </c>
      <c r="C14557" s="5" t="s">
        <v>926</v>
      </c>
      <c r="D14557" s="5" t="s">
        <v>1836</v>
      </c>
      <c r="E14557" s="8" t="s">
        <v>38</v>
      </c>
      <c r="F14557" s="5" t="s">
        <v>1672</v>
      </c>
      <c r="G14557" s="6" t="str">
        <f>VLOOKUP(E14557,dicionario!$A$1:$C14957,2,0)</f>
        <v>Troglodytes musculus</v>
      </c>
      <c r="H14557" s="6" t="str">
        <f>VLOOKUP(E14557,dicionario!$A$1:$C14957,3,0)</f>
        <v>curruíra</v>
      </c>
    </row>
    <row r="14558">
      <c r="A14558" s="3">
        <v>45926.0</v>
      </c>
      <c r="B14558" s="4">
        <v>0.2965277777777778</v>
      </c>
      <c r="C14558" s="5" t="s">
        <v>926</v>
      </c>
      <c r="D14558" s="5" t="s">
        <v>1836</v>
      </c>
      <c r="E14558" s="6" t="s">
        <v>60</v>
      </c>
      <c r="F14558" s="5" t="s">
        <v>61</v>
      </c>
      <c r="G14558" s="6" t="str">
        <f>VLOOKUP(E14558,dicionario!$A$1:$C14958,2,0)</f>
        <v>Vanellus chilensis</v>
      </c>
      <c r="H14558" s="6" t="str">
        <f>VLOOKUP(E14558,dicionario!$A$1:$C14958,3,0)</f>
        <v>quero-quero</v>
      </c>
    </row>
    <row r="14559">
      <c r="A14559" s="3">
        <v>45926.0</v>
      </c>
      <c r="B14559" s="4">
        <v>0.2965277777777778</v>
      </c>
      <c r="C14559" s="5" t="s">
        <v>926</v>
      </c>
      <c r="D14559" s="5" t="s">
        <v>1836</v>
      </c>
      <c r="E14559" s="8" t="s">
        <v>360</v>
      </c>
      <c r="F14559" s="5" t="s">
        <v>361</v>
      </c>
      <c r="G14559" s="6" t="str">
        <f>VLOOKUP(E14559,dicionario!$A$1:$C14959,2,0)</f>
        <v>Chamaecrista rotundifolia</v>
      </c>
      <c r="H14559" s="6" t="str">
        <f>VLOOKUP(E14559,dicionario!$A$1:$C14959,3,0)</f>
        <v>alfafa-nativa</v>
      </c>
    </row>
    <row r="14560">
      <c r="A14560" s="3">
        <v>45926.0</v>
      </c>
      <c r="B14560" s="4">
        <v>0.2972222222222222</v>
      </c>
      <c r="C14560" s="5" t="s">
        <v>926</v>
      </c>
      <c r="D14560" s="5" t="s">
        <v>1836</v>
      </c>
      <c r="E14560" s="8" t="s">
        <v>1783</v>
      </c>
      <c r="F14560" s="5" t="s">
        <v>1088</v>
      </c>
      <c r="G14560" s="6" t="str">
        <f>VLOOKUP(E14560,dicionario!$A$1:$C14960,2,0)</f>
        <v>#N/A</v>
      </c>
      <c r="H14560" s="6" t="str">
        <f>VLOOKUP(E14560,dicionario!$A$1:$C14960,3,0)</f>
        <v>#N/A</v>
      </c>
    </row>
    <row r="14561">
      <c r="A14561" s="3">
        <v>45926.0</v>
      </c>
      <c r="B14561" s="4">
        <v>0.2972222222222222</v>
      </c>
      <c r="C14561" s="5" t="s">
        <v>926</v>
      </c>
      <c r="D14561" s="5" t="s">
        <v>1836</v>
      </c>
      <c r="E14561" s="8" t="s">
        <v>1344</v>
      </c>
      <c r="F14561" s="5" t="s">
        <v>47</v>
      </c>
      <c r="G14561" s="6" t="str">
        <f>VLOOKUP(E14561,dicionario!$A$1:$C14961,2,0)</f>
        <v>#N/A</v>
      </c>
      <c r="H14561" s="6" t="str">
        <f>VLOOKUP(E14561,dicionario!$A$1:$C14961,3,0)</f>
        <v>#N/A</v>
      </c>
    </row>
    <row r="14562">
      <c r="A14562" s="3">
        <v>45926.0</v>
      </c>
      <c r="B14562" s="4">
        <v>0.29791666666666666</v>
      </c>
      <c r="C14562" s="5" t="s">
        <v>926</v>
      </c>
      <c r="D14562" s="5" t="s">
        <v>1836</v>
      </c>
      <c r="E14562" s="65" t="s">
        <v>298</v>
      </c>
      <c r="F14562" s="5"/>
      <c r="G14562" s="6" t="str">
        <f>VLOOKUP(E14562,dicionario!$A$1:$C14962,2,0)</f>
        <v>Alysicarpus vaginalis</v>
      </c>
      <c r="H14562" s="6" t="str">
        <f>VLOOKUP(E14562,dicionario!$A$1:$C14962,3,0)</f>
        <v/>
      </c>
    </row>
    <row r="14563">
      <c r="A14563" s="3">
        <v>45926.0</v>
      </c>
      <c r="B14563" s="4">
        <v>0.29791666666666666</v>
      </c>
      <c r="C14563" s="5" t="s">
        <v>926</v>
      </c>
      <c r="D14563" s="5" t="s">
        <v>1836</v>
      </c>
      <c r="E14563" s="6" t="s">
        <v>319</v>
      </c>
      <c r="F14563" s="5" t="s">
        <v>320</v>
      </c>
      <c r="G14563" s="6" t="str">
        <f>VLOOKUP(E14563,dicionario!$A$1:$C14963,2,0)</f>
        <v>Schinus terebinthifolia</v>
      </c>
      <c r="H14563" s="6" t="str">
        <f>VLOOKUP(E14563,dicionario!$A$1:$C14963,3,0)</f>
        <v>aroeira</v>
      </c>
    </row>
    <row r="14564">
      <c r="A14564" s="3">
        <v>45926.0</v>
      </c>
      <c r="B14564" s="4">
        <v>0.29791666666666666</v>
      </c>
      <c r="C14564" s="5" t="s">
        <v>926</v>
      </c>
      <c r="D14564" s="5" t="s">
        <v>1836</v>
      </c>
      <c r="E14564" s="8" t="s">
        <v>1778</v>
      </c>
      <c r="F14564" s="5" t="s">
        <v>580</v>
      </c>
      <c r="G14564" s="6" t="str">
        <f>VLOOKUP(E14564,dicionario!$A$1:$C14964,2,0)</f>
        <v>Piper tuberculatum</v>
      </c>
      <c r="H14564" s="6" t="str">
        <f>VLOOKUP(E14564,dicionario!$A$1:$C14964,3,0)</f>
        <v/>
      </c>
    </row>
    <row r="14565">
      <c r="A14565" s="3">
        <v>45926.0</v>
      </c>
      <c r="B14565" s="4">
        <v>0.2986111111111111</v>
      </c>
      <c r="C14565" s="5" t="s">
        <v>926</v>
      </c>
      <c r="D14565" s="5" t="s">
        <v>1836</v>
      </c>
      <c r="E14565" s="6" t="s">
        <v>141</v>
      </c>
      <c r="F14565" s="5" t="s">
        <v>142</v>
      </c>
      <c r="G14565" s="6" t="str">
        <f>VLOOKUP(E14565,dicionario!$A$1:$C14965,2,0)</f>
        <v>Ruellia blechum</v>
      </c>
      <c r="H14565" s="6" t="str">
        <f>VLOOKUP(E14565,dicionario!$A$1:$C14965,3,0)</f>
        <v>camarão-verde</v>
      </c>
    </row>
    <row r="14566">
      <c r="A14566" s="3">
        <v>45926.0</v>
      </c>
      <c r="B14566" s="4">
        <v>0.2986111111111111</v>
      </c>
      <c r="C14566" s="5" t="s">
        <v>926</v>
      </c>
      <c r="D14566" s="5" t="s">
        <v>1836</v>
      </c>
      <c r="E14566" s="6" t="s">
        <v>177</v>
      </c>
      <c r="F14566" s="5" t="s">
        <v>178</v>
      </c>
      <c r="G14566" s="6" t="str">
        <f>VLOOKUP(E14566,dicionario!$A$1:$C14966,2,0)</f>
        <v>Elaenia flavogaster</v>
      </c>
      <c r="H14566" s="6" t="str">
        <f>VLOOKUP(E14566,dicionario!$A$1:$C14966,3,0)</f>
        <v>guaracava-de-barriga-amarela</v>
      </c>
    </row>
    <row r="14567">
      <c r="A14567" s="3">
        <v>45926.0</v>
      </c>
      <c r="B14567" s="4">
        <v>0.29930555555555555</v>
      </c>
      <c r="C14567" s="5" t="s">
        <v>926</v>
      </c>
      <c r="D14567" s="5" t="s">
        <v>1836</v>
      </c>
      <c r="E14567" s="8" t="s">
        <v>271</v>
      </c>
      <c r="F14567" s="5" t="s">
        <v>1169</v>
      </c>
      <c r="G14567" s="6" t="str">
        <f>VLOOKUP(E14567,dicionario!$A$1:$C14967,2,0)</f>
        <v>Cyanthillium cinereum</v>
      </c>
      <c r="H14567" s="6" t="str">
        <f>VLOOKUP(E14567,dicionario!$A$1:$C14967,3,0)</f>
        <v>emília</v>
      </c>
    </row>
    <row r="14568">
      <c r="A14568" s="3">
        <v>45926.0</v>
      </c>
      <c r="B14568" s="4">
        <v>0.3020833333333333</v>
      </c>
      <c r="C14568" s="5" t="s">
        <v>926</v>
      </c>
      <c r="D14568" s="5" t="s">
        <v>1836</v>
      </c>
      <c r="E14568" s="6" t="s">
        <v>99</v>
      </c>
      <c r="F14568" s="5" t="s">
        <v>508</v>
      </c>
      <c r="G14568" s="6" t="str">
        <f>VLOOKUP(E14568,dicionario!$A$1:$C14968,2,0)</f>
        <v>Molothrus bonariensis</v>
      </c>
      <c r="H14568" s="6" t="str">
        <f>VLOOKUP(E14568,dicionario!$A$1:$C14968,3,0)</f>
        <v>chupim</v>
      </c>
    </row>
    <row r="14569">
      <c r="A14569" s="3">
        <v>45926.0</v>
      </c>
      <c r="B14569" s="4">
        <v>0.3020833333333333</v>
      </c>
      <c r="C14569" s="5" t="s">
        <v>926</v>
      </c>
      <c r="D14569" s="5" t="s">
        <v>1836</v>
      </c>
      <c r="E14569" s="8" t="s">
        <v>1192</v>
      </c>
      <c r="F14569" s="5" t="s">
        <v>92</v>
      </c>
      <c r="G14569" s="6" t="str">
        <f>VLOOKUP(E14569,dicionario!$A$1:$C14969,2,0)</f>
        <v>#N/A</v>
      </c>
      <c r="H14569" s="6" t="str">
        <f>VLOOKUP(E14569,dicionario!$A$1:$C14969,3,0)</f>
        <v>#N/A</v>
      </c>
    </row>
    <row r="14570">
      <c r="A14570" s="3">
        <v>45926.0</v>
      </c>
      <c r="B14570" s="4">
        <v>0.3020833333333333</v>
      </c>
      <c r="C14570" s="5" t="s">
        <v>926</v>
      </c>
      <c r="D14570" s="5" t="s">
        <v>1836</v>
      </c>
      <c r="E14570" s="53" t="s">
        <v>1819</v>
      </c>
      <c r="F14570" s="5" t="s">
        <v>367</v>
      </c>
      <c r="G14570" s="6" t="str">
        <f>VLOOKUP(E14570,dicionario!$A$1:$C14970,2,0)</f>
        <v>Bystropogon maderensis</v>
      </c>
      <c r="H14570" s="6" t="str">
        <f>VLOOKUP(E14570,dicionario!$A$1:$C14970,3,0)</f>
        <v>quebra-panela </v>
      </c>
    </row>
    <row r="14571">
      <c r="A14571" s="3">
        <v>45926.0</v>
      </c>
      <c r="B14571" s="4">
        <v>0.30694444444444446</v>
      </c>
      <c r="C14571" s="5" t="s">
        <v>50</v>
      </c>
      <c r="D14571" s="5" t="s">
        <v>1836</v>
      </c>
      <c r="E14571" s="6" t="s">
        <v>55</v>
      </c>
      <c r="F14571" s="5" t="s">
        <v>621</v>
      </c>
      <c r="G14571" s="6" t="str">
        <f>VLOOKUP(E14571,dicionario!$A$1:$C14971,2,0)</f>
        <v>Cubaris murina</v>
      </c>
      <c r="H14571" s="6" t="str">
        <f>VLOOKUP(E14571,dicionario!$A$1:$C14971,3,0)</f>
        <v>tatuzinho-de-jardim</v>
      </c>
    </row>
    <row r="14572">
      <c r="A14572" s="3">
        <v>45926.0</v>
      </c>
      <c r="B14572" s="4">
        <v>0.30694444444444446</v>
      </c>
      <c r="C14572" s="5" t="s">
        <v>50</v>
      </c>
      <c r="D14572" s="5" t="s">
        <v>1836</v>
      </c>
      <c r="E14572" s="6" t="s">
        <v>163</v>
      </c>
      <c r="F14572" s="5" t="s">
        <v>164</v>
      </c>
      <c r="G14572" s="6" t="str">
        <f>VLOOKUP(E14572,dicionario!$A$1:$C14972,2,0)</f>
        <v>Coragyps atratus</v>
      </c>
      <c r="H14572" s="6" t="str">
        <f>VLOOKUP(E14572,dicionario!$A$1:$C14972,3,0)</f>
        <v>urubu-de-cabeça-preta</v>
      </c>
    </row>
    <row r="14573">
      <c r="A14573" s="3">
        <v>45926.0</v>
      </c>
      <c r="B14573" s="4">
        <v>0.30694444444444446</v>
      </c>
      <c r="C14573" s="5" t="s">
        <v>50</v>
      </c>
      <c r="D14573" s="5" t="s">
        <v>1836</v>
      </c>
      <c r="E14573" s="8" t="s">
        <v>1840</v>
      </c>
      <c r="F14573" s="5"/>
      <c r="G14573" s="6" t="str">
        <f>VLOOKUP(E14573,dicionario!$A$1:$C14973,2,0)</f>
        <v>Rhipsalis lindbergiana</v>
      </c>
      <c r="H14573" s="6" t="str">
        <f>VLOOKUP(E14573,dicionario!$A$1:$C14973,3,0)</f>
        <v>cacto-macarrão</v>
      </c>
    </row>
    <row r="14574">
      <c r="A14574" s="3">
        <v>45926.0</v>
      </c>
      <c r="B14574" s="4">
        <v>0.30694444444444446</v>
      </c>
      <c r="C14574" s="5" t="s">
        <v>50</v>
      </c>
      <c r="D14574" s="5" t="s">
        <v>1836</v>
      </c>
      <c r="E14574" s="8" t="s">
        <v>109</v>
      </c>
      <c r="F14574" s="5" t="s">
        <v>110</v>
      </c>
      <c r="G14574" s="6" t="str">
        <f>VLOOKUP(E14574,dicionario!$A$1:$C14974,2,0)</f>
        <v>Tillandsia stricta</v>
      </c>
      <c r="H14574" s="6" t="str">
        <f>VLOOKUP(E14574,dicionario!$A$1:$C14974,3,0)</f>
        <v>cravo-do-mato</v>
      </c>
    </row>
    <row r="14575">
      <c r="A14575" s="3">
        <v>45926.0</v>
      </c>
      <c r="B14575" s="4">
        <v>0.30694444444444446</v>
      </c>
      <c r="C14575" s="5" t="s">
        <v>50</v>
      </c>
      <c r="D14575" s="5" t="s">
        <v>1836</v>
      </c>
      <c r="E14575" s="8" t="s">
        <v>200</v>
      </c>
      <c r="F14575" s="5" t="s">
        <v>201</v>
      </c>
      <c r="G14575" s="6" t="str">
        <f>VLOOKUP(E14575,dicionario!$A$1:$C14975,2,0)</f>
        <v>Columbina picui </v>
      </c>
      <c r="H14575" s="6" t="str">
        <f>VLOOKUP(E14575,dicionario!$A$1:$C14975,3,0)</f>
        <v>rolinha-picuí</v>
      </c>
    </row>
    <row r="14576">
      <c r="A14576" s="3">
        <v>45926.0</v>
      </c>
      <c r="B14576" s="4">
        <v>0.30694444444444446</v>
      </c>
      <c r="C14576" s="5" t="s">
        <v>50</v>
      </c>
      <c r="D14576" s="5" t="s">
        <v>1836</v>
      </c>
      <c r="E14576" s="8" t="s">
        <v>162</v>
      </c>
      <c r="F14576" s="5" t="s">
        <v>42</v>
      </c>
      <c r="G14576" s="6" t="str">
        <f>VLOOKUP(E14576,dicionario!$A$1:$C14976,2,0)</f>
        <v>Fluvicola nengeta</v>
      </c>
      <c r="H14576" s="6" t="str">
        <f>VLOOKUP(E14576,dicionario!$A$1:$C14976,3,0)</f>
        <v>lavadeira-mascarada</v>
      </c>
    </row>
    <row r="14577">
      <c r="A14577" s="3">
        <v>45926.0</v>
      </c>
      <c r="B14577" s="4">
        <v>0.30694444444444446</v>
      </c>
      <c r="C14577" s="5" t="s">
        <v>50</v>
      </c>
      <c r="D14577" s="5" t="s">
        <v>1836</v>
      </c>
      <c r="E14577" s="8" t="s">
        <v>1676</v>
      </c>
      <c r="F14577" s="5" t="s">
        <v>475</v>
      </c>
      <c r="G14577" s="6" t="str">
        <f>VLOOKUP(E14577,dicionario!$A$1:$C14977,2,0)</f>
        <v>#N/A</v>
      </c>
      <c r="H14577" s="6" t="str">
        <f>VLOOKUP(E14577,dicionario!$A$1:$C14977,3,0)</f>
        <v>#N/A</v>
      </c>
    </row>
    <row r="14578">
      <c r="A14578" s="3">
        <v>45926.0</v>
      </c>
      <c r="B14578" s="4">
        <v>0.30694444444444446</v>
      </c>
      <c r="C14578" s="5" t="s">
        <v>50</v>
      </c>
      <c r="D14578" s="5" t="s">
        <v>1836</v>
      </c>
      <c r="E14578" s="8" t="s">
        <v>135</v>
      </c>
      <c r="F14578" s="5" t="s">
        <v>136</v>
      </c>
      <c r="G14578" s="6" t="str">
        <f>VLOOKUP(E14578,dicionario!$A$1:$C14978,2,0)</f>
        <v>Tridax procumbens</v>
      </c>
      <c r="H14578" s="6" t="str">
        <f>VLOOKUP(E14578,dicionario!$A$1:$C14978,3,0)</f>
        <v>erva-de-touro</v>
      </c>
    </row>
    <row r="14579">
      <c r="A14579" s="3">
        <v>45926.0</v>
      </c>
      <c r="B14579" s="4">
        <v>0.30694444444444446</v>
      </c>
      <c r="C14579" s="5" t="s">
        <v>50</v>
      </c>
      <c r="D14579" s="5" t="s">
        <v>1836</v>
      </c>
      <c r="E14579" s="8" t="s">
        <v>1282</v>
      </c>
      <c r="F14579" s="5" t="s">
        <v>182</v>
      </c>
      <c r="G14579" s="6" t="str">
        <f>VLOOKUP(E14579,dicionario!$A$1:$C14979,2,0)</f>
        <v>#N/A</v>
      </c>
      <c r="H14579" s="6" t="str">
        <f>VLOOKUP(E14579,dicionario!$A$1:$C14979,3,0)</f>
        <v>#N/A</v>
      </c>
    </row>
    <row r="14580">
      <c r="A14580" s="3">
        <v>45926.0</v>
      </c>
      <c r="B14580" s="4">
        <v>0.30694444444444446</v>
      </c>
      <c r="C14580" s="5" t="s">
        <v>50</v>
      </c>
      <c r="D14580" s="5" t="s">
        <v>1836</v>
      </c>
      <c r="E14580" s="8" t="s">
        <v>1778</v>
      </c>
      <c r="F14580" s="5" t="s">
        <v>580</v>
      </c>
      <c r="G14580" s="6" t="str">
        <f>VLOOKUP(E14580,dicionario!$A$1:$C14980,2,0)</f>
        <v>Piper tuberculatum</v>
      </c>
      <c r="H14580" s="6" t="str">
        <f>VLOOKUP(E14580,dicionario!$A$1:$C14980,3,0)</f>
        <v/>
      </c>
    </row>
    <row r="14581">
      <c r="A14581" s="3">
        <v>45926.0</v>
      </c>
      <c r="B14581" s="4">
        <v>0.30694444444444446</v>
      </c>
      <c r="C14581" s="5" t="s">
        <v>50</v>
      </c>
      <c r="D14581" s="5" t="s">
        <v>1836</v>
      </c>
      <c r="E14581" s="53" t="s">
        <v>1680</v>
      </c>
      <c r="F14581" s="5" t="s">
        <v>1771</v>
      </c>
      <c r="G14581" s="6" t="str">
        <f>VLOOKUP(E14581,dicionario!$A$1:$C14981,2,0)</f>
        <v>Xanthoria parietina</v>
      </c>
      <c r="H14581" s="6" t="str">
        <f>VLOOKUP(E14581,dicionario!$A$1:$C14981,3,0)</f>
        <v>líquen-amarelo</v>
      </c>
    </row>
    <row r="14582">
      <c r="A14582" s="3">
        <v>45926.0</v>
      </c>
      <c r="B14582" s="4">
        <v>0.30833333333333335</v>
      </c>
      <c r="C14582" s="5" t="s">
        <v>50</v>
      </c>
      <c r="D14582" s="5" t="s">
        <v>1836</v>
      </c>
      <c r="E14582" s="8" t="s">
        <v>296</v>
      </c>
      <c r="F14582" s="5" t="s">
        <v>297</v>
      </c>
      <c r="G14582" s="6" t="str">
        <f>VLOOKUP(E14582,dicionario!$A$1:$C14982,2,0)</f>
        <v>Richardia brasiliensis</v>
      </c>
      <c r="H14582" s="6" t="str">
        <f>VLOOKUP(E14582,dicionario!$A$1:$C14982,3,0)</f>
        <v>poaia-branca</v>
      </c>
    </row>
    <row r="14583">
      <c r="A14583" s="3">
        <v>45926.0</v>
      </c>
      <c r="B14583" s="4">
        <v>0.30833333333333335</v>
      </c>
      <c r="C14583" s="5" t="s">
        <v>50</v>
      </c>
      <c r="D14583" s="5" t="s">
        <v>1836</v>
      </c>
      <c r="E14583" s="8" t="s">
        <v>465</v>
      </c>
      <c r="F14583" s="5" t="s">
        <v>994</v>
      </c>
      <c r="G14583" s="6" t="str">
        <f>VLOOKUP(E14583,dicionario!$A$1:$C14983,2,0)</f>
        <v>Solanum diphyllum</v>
      </c>
      <c r="H14583" s="6" t="str">
        <f>VLOOKUP(E14583,dicionario!$A$1:$C14983,3,0)</f>
        <v>tomatinho-amarelo</v>
      </c>
    </row>
    <row r="14584">
      <c r="A14584" s="3">
        <v>45926.0</v>
      </c>
      <c r="B14584" s="4">
        <v>0.30833333333333335</v>
      </c>
      <c r="C14584" s="5" t="s">
        <v>50</v>
      </c>
      <c r="D14584" s="5" t="s">
        <v>1836</v>
      </c>
      <c r="E14584" s="6" t="s">
        <v>267</v>
      </c>
      <c r="F14584" s="5" t="s">
        <v>553</v>
      </c>
      <c r="G14584" s="6" t="str">
        <f>VLOOKUP(E14584,dicionario!$A$1:$C14984,2,0)</f>
        <v>Solanum americanum</v>
      </c>
      <c r="H14584" s="6" t="str">
        <f>VLOOKUP(E14584,dicionario!$A$1:$C14984,3,0)</f>
        <v>maria-pretinha</v>
      </c>
    </row>
    <row r="14585">
      <c r="A14585" s="3">
        <v>45926.0</v>
      </c>
      <c r="B14585" s="4">
        <v>0.30833333333333335</v>
      </c>
      <c r="C14585" s="5" t="s">
        <v>50</v>
      </c>
      <c r="D14585" s="5" t="s">
        <v>1836</v>
      </c>
      <c r="E14585" s="6" t="s">
        <v>141</v>
      </c>
      <c r="F14585" s="5" t="s">
        <v>142</v>
      </c>
      <c r="G14585" s="6" t="str">
        <f>VLOOKUP(E14585,dicionario!$A$1:$C14985,2,0)</f>
        <v>Ruellia blechum</v>
      </c>
      <c r="H14585" s="6" t="str">
        <f>VLOOKUP(E14585,dicionario!$A$1:$C14985,3,0)</f>
        <v>camarão-verde</v>
      </c>
    </row>
    <row r="14586">
      <c r="A14586" s="3">
        <v>45926.0</v>
      </c>
      <c r="B14586" s="4">
        <v>0.3090277777777778</v>
      </c>
      <c r="C14586" s="5" t="s">
        <v>50</v>
      </c>
      <c r="D14586" s="5" t="s">
        <v>1836</v>
      </c>
      <c r="E14586" s="8" t="s">
        <v>821</v>
      </c>
      <c r="F14586" s="5" t="s">
        <v>876</v>
      </c>
      <c r="G14586" s="6" t="str">
        <f>VLOOKUP(E14586,dicionario!$A$1:$C14986,2,0)</f>
        <v>Schefflera actinophylla</v>
      </c>
      <c r="H14586" s="6" t="str">
        <f>VLOOKUP(E14586,dicionario!$A$1:$C14986,3,0)</f>
        <v>árvore-guarda-chuva</v>
      </c>
    </row>
    <row r="14587">
      <c r="A14587" s="3">
        <v>45926.0</v>
      </c>
      <c r="B14587" s="4">
        <v>0.3090277777777778</v>
      </c>
      <c r="C14587" s="5" t="s">
        <v>50</v>
      </c>
      <c r="D14587" s="5" t="s">
        <v>1836</v>
      </c>
      <c r="E14587" s="6" t="s">
        <v>319</v>
      </c>
      <c r="F14587" s="5" t="s">
        <v>320</v>
      </c>
      <c r="G14587" s="6" t="str">
        <f>VLOOKUP(E14587,dicionario!$A$1:$C14987,2,0)</f>
        <v>Schinus terebinthifolia</v>
      </c>
      <c r="H14587" s="6" t="str">
        <f>VLOOKUP(E14587,dicionario!$A$1:$C14987,3,0)</f>
        <v>aroeira</v>
      </c>
    </row>
    <row r="14588">
      <c r="A14588" s="3">
        <v>45926.0</v>
      </c>
      <c r="B14588" s="4">
        <v>0.3090277777777778</v>
      </c>
      <c r="C14588" s="5" t="s">
        <v>50</v>
      </c>
      <c r="D14588" s="5" t="s">
        <v>1836</v>
      </c>
      <c r="E14588" s="6" t="s">
        <v>122</v>
      </c>
      <c r="F14588" s="5" t="s">
        <v>123</v>
      </c>
      <c r="G14588" s="6" t="str">
        <f>VLOOKUP(E14588,dicionario!$A$1:$C14988,2,0)</f>
        <v>Todirostrum cinereum</v>
      </c>
      <c r="H14588" s="6" t="str">
        <f>VLOOKUP(E14588,dicionario!$A$1:$C14988,3,0)</f>
        <v>ferreirinho-relógio</v>
      </c>
    </row>
    <row r="14589">
      <c r="A14589" s="3">
        <v>45926.0</v>
      </c>
      <c r="B14589" s="4">
        <v>0.3090277777777778</v>
      </c>
      <c r="C14589" s="5" t="s">
        <v>50</v>
      </c>
      <c r="D14589" s="5" t="s">
        <v>1836</v>
      </c>
      <c r="E14589" s="6" t="s">
        <v>401</v>
      </c>
      <c r="F14589" s="5" t="s">
        <v>464</v>
      </c>
      <c r="G14589" s="6" t="str">
        <f>VLOOKUP(E14589,dicionario!$A$1:$C14989,2,0)</f>
        <v>Cissus verticillata</v>
      </c>
      <c r="H14589" s="6" t="str">
        <f>VLOOKUP(E14589,dicionario!$A$1:$C14989,3,0)</f>
        <v>uva-do-mato</v>
      </c>
    </row>
    <row r="14590">
      <c r="A14590" s="3">
        <v>45926.0</v>
      </c>
      <c r="B14590" s="4">
        <v>0.31180555555555556</v>
      </c>
      <c r="C14590" s="5" t="s">
        <v>50</v>
      </c>
      <c r="D14590" s="5" t="s">
        <v>1836</v>
      </c>
      <c r="E14590" s="12" t="s">
        <v>152</v>
      </c>
      <c r="F14590" s="5" t="s">
        <v>153</v>
      </c>
      <c r="G14590" s="6" t="str">
        <f>VLOOKUP(E14590,dicionario!$A$1:$C14990,2,0)</f>
        <v>Cynodon dactylon</v>
      </c>
      <c r="H14590" s="6" t="str">
        <f>VLOOKUP(E14590,dicionario!$A$1:$C14990,3,0)</f>
        <v>grama-bermuda</v>
      </c>
    </row>
    <row r="14591">
      <c r="A14591" s="3">
        <v>45926.0</v>
      </c>
      <c r="B14591" s="4">
        <v>0.3159722222222222</v>
      </c>
      <c r="C14591" s="5" t="s">
        <v>937</v>
      </c>
      <c r="D14591" s="5" t="s">
        <v>1836</v>
      </c>
      <c r="E14591" s="6" t="s">
        <v>53</v>
      </c>
      <c r="F14591" s="5" t="s">
        <v>54</v>
      </c>
      <c r="G14591" s="6" t="str">
        <f>VLOOKUP(E14591,dicionario!$A$1:$C14991,2,0)</f>
        <v>Turnera subulata</v>
      </c>
      <c r="H14591" s="6" t="str">
        <f>VLOOKUP(E14591,dicionario!$A$1:$C14991,3,0)</f>
        <v>xanana</v>
      </c>
    </row>
    <row r="14592">
      <c r="A14592" s="3">
        <v>45926.0</v>
      </c>
      <c r="B14592" s="4">
        <v>0.3159722222222222</v>
      </c>
      <c r="C14592" s="5" t="s">
        <v>937</v>
      </c>
      <c r="D14592" s="5" t="s">
        <v>1836</v>
      </c>
      <c r="E14592" s="6" t="s">
        <v>148</v>
      </c>
      <c r="F14592" s="5" t="s">
        <v>149</v>
      </c>
      <c r="G14592" s="6" t="str">
        <f>VLOOKUP(E14592,dicionario!$A$1:$C14992,2,0)</f>
        <v>Parthenium hysterophorus</v>
      </c>
      <c r="H14592" s="6" t="str">
        <f>VLOOKUP(E14592,dicionario!$A$1:$C14992,3,0)</f>
        <v>losna-branca</v>
      </c>
    </row>
    <row r="14593">
      <c r="A14593" s="3">
        <v>45926.0</v>
      </c>
      <c r="B14593" s="4">
        <v>0.3159722222222222</v>
      </c>
      <c r="C14593" s="5" t="s">
        <v>937</v>
      </c>
      <c r="D14593" s="5" t="s">
        <v>1836</v>
      </c>
      <c r="E14593" s="6" t="s">
        <v>93</v>
      </c>
      <c r="F14593" s="5" t="s">
        <v>94</v>
      </c>
      <c r="G14593" s="6" t="str">
        <f>VLOOKUP(E14593,dicionario!$A$1:$C14993,2,0)</f>
        <v>Thraupis sayaca</v>
      </c>
      <c r="H14593" s="6" t="str">
        <f>VLOOKUP(E14593,dicionario!$A$1:$C14993,3,0)</f>
        <v>sanhaçu-cinzento</v>
      </c>
    </row>
    <row r="14594">
      <c r="A14594" s="3">
        <v>45926.0</v>
      </c>
      <c r="B14594" s="4">
        <v>0.3159722222222222</v>
      </c>
      <c r="C14594" s="5" t="s">
        <v>937</v>
      </c>
      <c r="D14594" s="5" t="s">
        <v>1836</v>
      </c>
      <c r="E14594" s="8" t="s">
        <v>38</v>
      </c>
      <c r="F14594" s="5" t="s">
        <v>1672</v>
      </c>
      <c r="G14594" s="6" t="str">
        <f>VLOOKUP(E14594,dicionario!$A$1:$C14994,2,0)</f>
        <v>Troglodytes musculus</v>
      </c>
      <c r="H14594" s="6" t="str">
        <f>VLOOKUP(E14594,dicionario!$A$1:$C14994,3,0)</f>
        <v>curruíra</v>
      </c>
    </row>
    <row r="14595">
      <c r="A14595" s="3">
        <v>45926.0</v>
      </c>
      <c r="B14595" s="4">
        <v>0.3159722222222222</v>
      </c>
      <c r="C14595" s="5" t="s">
        <v>937</v>
      </c>
      <c r="D14595" s="5" t="s">
        <v>1836</v>
      </c>
      <c r="E14595" s="8" t="s">
        <v>14</v>
      </c>
      <c r="F14595" s="5" t="s">
        <v>15</v>
      </c>
      <c r="G14595" s="6" t="str">
        <f>VLOOKUP(E14595,dicionario!$A$1:$C14995,2,0)</f>
        <v>Spermacoce verticillata</v>
      </c>
      <c r="H14595" s="6" t="str">
        <f>VLOOKUP(E14595,dicionario!$A$1:$C14995,3,0)</f>
        <v>vassourinha-de-botão</v>
      </c>
    </row>
    <row r="14596">
      <c r="A14596" s="3">
        <v>45926.0</v>
      </c>
      <c r="B14596" s="4">
        <v>0.3159722222222222</v>
      </c>
      <c r="C14596" s="5" t="s">
        <v>937</v>
      </c>
      <c r="D14596" s="5" t="s">
        <v>1836</v>
      </c>
      <c r="E14596" s="79" t="s">
        <v>1806</v>
      </c>
      <c r="F14596" s="5" t="s">
        <v>1807</v>
      </c>
      <c r="G14596" s="6" t="str">
        <f>VLOOKUP(E14596,dicionario!$A$1:$C14996,2,0)</f>
        <v>Streptoprocne zonaris</v>
      </c>
      <c r="H14596" s="6" t="str">
        <f>VLOOKUP(E14596,dicionario!$A$1:$C14996,3,0)</f>
        <v>taperuçu-de-coleira-branca</v>
      </c>
    </row>
    <row r="14597">
      <c r="A14597" s="3">
        <v>45926.0</v>
      </c>
      <c r="B14597" s="4">
        <v>0.3159722222222222</v>
      </c>
      <c r="C14597" s="5" t="s">
        <v>937</v>
      </c>
      <c r="D14597" s="5" t="s">
        <v>1836</v>
      </c>
      <c r="E14597" s="9" t="s">
        <v>105</v>
      </c>
      <c r="F14597" s="5" t="s">
        <v>106</v>
      </c>
      <c r="G14597" s="6" t="str">
        <f>VLOOKUP(E14597,dicionario!$A$1:$C14997,2,0)</f>
        <v>Progne tapera</v>
      </c>
      <c r="H14597" s="6" t="str">
        <f>VLOOKUP(E14597,dicionario!$A$1:$C14997,3,0)</f>
        <v>andorinha-do-campo</v>
      </c>
    </row>
    <row r="14598">
      <c r="A14598" s="3">
        <v>45926.0</v>
      </c>
      <c r="B14598" s="4">
        <v>0.31666666666666665</v>
      </c>
      <c r="C14598" s="5" t="s">
        <v>937</v>
      </c>
      <c r="D14598" s="5" t="s">
        <v>1836</v>
      </c>
      <c r="E14598" s="6" t="s">
        <v>191</v>
      </c>
      <c r="F14598" s="5" t="s">
        <v>192</v>
      </c>
      <c r="G14598" s="6" t="str">
        <f>VLOOKUP(E14598,dicionario!$A$1:$C14998,2,0)</f>
        <v>Patagioenas picazuro</v>
      </c>
      <c r="H14598" s="6" t="str">
        <f>VLOOKUP(E14598,dicionario!$A$1:$C14998,3,0)</f>
        <v>asa-branca; pomba-asa-branca; pocaçu</v>
      </c>
    </row>
    <row r="14599">
      <c r="A14599" s="3">
        <v>45926.0</v>
      </c>
      <c r="B14599" s="4">
        <v>0.31666666666666665</v>
      </c>
      <c r="C14599" s="5" t="s">
        <v>937</v>
      </c>
      <c r="D14599" s="5" t="s">
        <v>1836</v>
      </c>
      <c r="E14599" s="6" t="s">
        <v>193</v>
      </c>
      <c r="F14599" s="5" t="s">
        <v>194</v>
      </c>
      <c r="G14599" s="6" t="str">
        <f>VLOOKUP(E14599,dicionario!$A$1:$C14999,2,0)</f>
        <v>Conirostrum speciosum</v>
      </c>
      <c r="H14599" s="6" t="str">
        <f>VLOOKUP(E14599,dicionario!$A$1:$C14999,3,0)</f>
        <v>figuinha-de-rabo-castanho</v>
      </c>
    </row>
    <row r="14600">
      <c r="A14600" s="3">
        <v>45926.0</v>
      </c>
      <c r="B14600" s="4">
        <v>0.31666666666666665</v>
      </c>
      <c r="C14600" s="5" t="s">
        <v>937</v>
      </c>
      <c r="D14600" s="5" t="s">
        <v>1836</v>
      </c>
      <c r="E14600" s="8" t="s">
        <v>109</v>
      </c>
      <c r="F14600" s="5" t="s">
        <v>110</v>
      </c>
      <c r="G14600" s="6" t="str">
        <f>VLOOKUP(E14600,dicionario!$A$1:$C15000,2,0)</f>
        <v>Tillandsia stricta</v>
      </c>
      <c r="H14600" s="6" t="str">
        <f>VLOOKUP(E14600,dicionario!$A$1:$C15000,3,0)</f>
        <v>cravo-do-mato</v>
      </c>
    </row>
    <row r="14601">
      <c r="A14601" s="3">
        <v>45926.0</v>
      </c>
      <c r="B14601" s="4">
        <v>0.31666666666666665</v>
      </c>
      <c r="C14601" s="5" t="s">
        <v>937</v>
      </c>
      <c r="D14601" s="5" t="s">
        <v>1836</v>
      </c>
      <c r="E14601" s="8" t="s">
        <v>1167</v>
      </c>
      <c r="F14601" s="5" t="s">
        <v>1843</v>
      </c>
      <c r="G14601" s="6" t="str">
        <f>VLOOKUP(E14601,dicionario!$A$1:$C15001,2,0)</f>
        <v>Tillandsia recurvata</v>
      </c>
      <c r="H14601" s="6" t="str">
        <f>VLOOKUP(E14601,dicionario!$A$1:$C15001,3,0)</f>
        <v>cravo-do-mato sp2</v>
      </c>
    </row>
    <row r="14602">
      <c r="A14602" s="3">
        <v>45926.0</v>
      </c>
      <c r="B14602" s="4">
        <v>0.3173611111111111</v>
      </c>
      <c r="C14602" s="5" t="s">
        <v>937</v>
      </c>
      <c r="D14602" s="5" t="s">
        <v>1836</v>
      </c>
      <c r="E14602" s="65" t="s">
        <v>1632</v>
      </c>
      <c r="F14602" s="5" t="s">
        <v>1781</v>
      </c>
      <c r="G14602" s="6" t="str">
        <f>VLOOKUP(E14602,dicionario!$A$1:$C15002,2,0)</f>
        <v>Tillandsia loliacea</v>
      </c>
      <c r="H14602" s="6" t="str">
        <f>VLOOKUP(E14602,dicionario!$A$1:$C15002,3,0)</f>
        <v>cravo-do-mato sp4</v>
      </c>
    </row>
    <row r="14603">
      <c r="A14603" s="3">
        <v>45926.0</v>
      </c>
      <c r="B14603" s="4">
        <v>0.3173611111111111</v>
      </c>
      <c r="C14603" s="5" t="s">
        <v>937</v>
      </c>
      <c r="D14603" s="5" t="s">
        <v>1836</v>
      </c>
      <c r="E14603" s="65" t="s">
        <v>1691</v>
      </c>
      <c r="F14603" s="5" t="s">
        <v>1844</v>
      </c>
      <c r="G14603" s="6" t="str">
        <f>VLOOKUP(E14603,dicionario!$A$1:$C15003,2,0)</f>
        <v>Tillandsia gardneri</v>
      </c>
      <c r="H14603" s="6" t="str">
        <f>VLOOKUP(E14603,dicionario!$A$1:$C15003,3,0)</f>
        <v>cravo-do-mato sp5</v>
      </c>
    </row>
    <row r="14604">
      <c r="A14604" s="3">
        <v>45926.0</v>
      </c>
      <c r="B14604" s="4">
        <v>0.3173611111111111</v>
      </c>
      <c r="C14604" s="5" t="s">
        <v>937</v>
      </c>
      <c r="D14604" s="5" t="s">
        <v>1836</v>
      </c>
      <c r="E14604" s="6" t="s">
        <v>209</v>
      </c>
      <c r="F14604" s="5" t="s">
        <v>210</v>
      </c>
      <c r="G14604" s="6" t="str">
        <f>VLOOKUP(E14604,dicionario!$A$1:$C15004,2,0)</f>
        <v>Furnarius figulus</v>
      </c>
      <c r="H14604" s="6" t="str">
        <f>VLOOKUP(E14604,dicionario!$A$1:$C15004,3,0)</f>
        <v>casaca-de-couro-da-lama</v>
      </c>
    </row>
    <row r="14605">
      <c r="A14605" s="3">
        <v>45926.0</v>
      </c>
      <c r="B14605" s="4">
        <v>0.3173611111111111</v>
      </c>
      <c r="C14605" s="5" t="s">
        <v>937</v>
      </c>
      <c r="D14605" s="5" t="s">
        <v>1836</v>
      </c>
      <c r="E14605" s="8" t="s">
        <v>135</v>
      </c>
      <c r="F14605" s="5" t="s">
        <v>136</v>
      </c>
      <c r="G14605" s="6" t="str">
        <f>VLOOKUP(E14605,dicionario!$A$1:$C15005,2,0)</f>
        <v>Tridax procumbens</v>
      </c>
      <c r="H14605" s="6" t="str">
        <f>VLOOKUP(E14605,dicionario!$A$1:$C15005,3,0)</f>
        <v>erva-de-touro</v>
      </c>
    </row>
    <row r="14606">
      <c r="A14606" s="3">
        <v>45926.0</v>
      </c>
      <c r="B14606" s="4">
        <v>0.3173611111111111</v>
      </c>
      <c r="C14606" s="5" t="s">
        <v>937</v>
      </c>
      <c r="D14606" s="5" t="s">
        <v>1836</v>
      </c>
      <c r="E14606" s="8" t="s">
        <v>1328</v>
      </c>
      <c r="F14606" s="5" t="s">
        <v>356</v>
      </c>
      <c r="G14606" s="6" t="str">
        <f>VLOOKUP(E14606,dicionario!$A$1:$C15006,2,0)</f>
        <v>#N/A</v>
      </c>
      <c r="H14606" s="6" t="str">
        <f>VLOOKUP(E14606,dicionario!$A$1:$C15006,3,0)</f>
        <v>#N/A</v>
      </c>
    </row>
    <row r="14607">
      <c r="A14607" s="3">
        <v>45926.0</v>
      </c>
      <c r="B14607" s="4">
        <v>0.31805555555555554</v>
      </c>
      <c r="C14607" s="5" t="s">
        <v>937</v>
      </c>
      <c r="D14607" s="5" t="s">
        <v>1836</v>
      </c>
      <c r="E14607" s="6" t="s">
        <v>489</v>
      </c>
      <c r="F14607" s="5" t="s">
        <v>521</v>
      </c>
      <c r="G14607" s="6" t="str">
        <f>VLOOKUP(E14607,dicionario!$A$1:$C15007,2,0)</f>
        <v>Cenchrus echinatus</v>
      </c>
      <c r="H14607" s="6" t="str">
        <f>VLOOKUP(E14607,dicionario!$A$1:$C15007,3,0)</f>
        <v>capim-carrapicho</v>
      </c>
    </row>
    <row r="14608">
      <c r="A14608" s="3">
        <v>45926.0</v>
      </c>
      <c r="B14608" s="4">
        <v>0.31805555555555554</v>
      </c>
      <c r="C14608" s="5" t="s">
        <v>937</v>
      </c>
      <c r="D14608" s="5" t="s">
        <v>1836</v>
      </c>
      <c r="E14608" s="77" t="s">
        <v>1808</v>
      </c>
      <c r="F14608" s="5" t="s">
        <v>1838</v>
      </c>
      <c r="G14608" s="6" t="str">
        <f>VLOOKUP(E14608,dicionario!$A$1:$C15008,2,0)</f>
        <v>Andropogon virginicus</v>
      </c>
      <c r="H14608" s="6" t="str">
        <f>VLOOKUP(E14608,dicionario!$A$1:$C15008,3,0)</f>
        <v>barba-de-bode; capim-barba-de-bode</v>
      </c>
    </row>
    <row r="14609">
      <c r="A14609" s="3">
        <v>45926.0</v>
      </c>
      <c r="B14609" s="4">
        <v>0.31805555555555554</v>
      </c>
      <c r="C14609" s="5" t="s">
        <v>937</v>
      </c>
      <c r="D14609" s="5" t="s">
        <v>1836</v>
      </c>
      <c r="E14609" s="6" t="s">
        <v>448</v>
      </c>
      <c r="F14609" s="5" t="s">
        <v>1788</v>
      </c>
      <c r="G14609" s="6" t="str">
        <f>VLOOKUP(E14609,dicionario!$A$1:$C15009,2,0)</f>
        <v>Mechanitis polymnia</v>
      </c>
      <c r="H14609" s="6" t="str">
        <f>VLOOKUP(E14609,dicionario!$A$1:$C15009,3,0)</f>
        <v>maria-boba</v>
      </c>
    </row>
    <row r="14610">
      <c r="A14610" s="3">
        <v>45926.0</v>
      </c>
      <c r="B14610" s="4">
        <v>0.31805555555555554</v>
      </c>
      <c r="C14610" s="5" t="s">
        <v>937</v>
      </c>
      <c r="D14610" s="5" t="s">
        <v>1836</v>
      </c>
      <c r="E14610" s="6" t="s">
        <v>163</v>
      </c>
      <c r="F14610" s="5" t="s">
        <v>164</v>
      </c>
      <c r="G14610" s="6" t="str">
        <f>VLOOKUP(E14610,dicionario!$A$1:$C15010,2,0)</f>
        <v>Coragyps atratus</v>
      </c>
      <c r="H14610" s="6" t="str">
        <f>VLOOKUP(E14610,dicionario!$A$1:$C15010,3,0)</f>
        <v>urubu-de-cabeça-preta</v>
      </c>
    </row>
    <row r="14611">
      <c r="A14611" s="3">
        <v>45926.0</v>
      </c>
      <c r="B14611" s="4">
        <v>0.31805555555555554</v>
      </c>
      <c r="C14611" s="5" t="s">
        <v>937</v>
      </c>
      <c r="D14611" s="5" t="s">
        <v>1836</v>
      </c>
      <c r="E14611" s="8" t="s">
        <v>271</v>
      </c>
      <c r="F14611" s="5" t="s">
        <v>1169</v>
      </c>
      <c r="G14611" s="6" t="str">
        <f>VLOOKUP(E14611,dicionario!$A$1:$C15011,2,0)</f>
        <v>Cyanthillium cinereum</v>
      </c>
      <c r="H14611" s="6" t="str">
        <f>VLOOKUP(E14611,dicionario!$A$1:$C15011,3,0)</f>
        <v>emília</v>
      </c>
    </row>
    <row r="14612">
      <c r="A14612" s="3">
        <v>45926.0</v>
      </c>
      <c r="B14612" s="4">
        <v>0.3194444444444444</v>
      </c>
      <c r="C14612" s="5" t="s">
        <v>937</v>
      </c>
      <c r="D14612" s="5" t="s">
        <v>1836</v>
      </c>
      <c r="E14612" s="8" t="s">
        <v>245</v>
      </c>
      <c r="F14612" s="5" t="s">
        <v>246</v>
      </c>
      <c r="G14612" s="6" t="str">
        <f>VLOOKUP(E14612,dicionario!$A$1:$C15012,2,0)</f>
        <v>Hemiargus hanno</v>
      </c>
      <c r="H14612" s="6" t="str">
        <f>VLOOKUP(E14612,dicionario!$A$1:$C15012,3,0)</f>
        <v>borboleta-azulzinha-do-trevo</v>
      </c>
    </row>
    <row r="14613">
      <c r="A14613" s="3">
        <v>45926.0</v>
      </c>
      <c r="B14613" s="4">
        <v>0.32013888888888886</v>
      </c>
      <c r="C14613" s="5" t="s">
        <v>937</v>
      </c>
      <c r="D14613" s="5" t="s">
        <v>1836</v>
      </c>
      <c r="E14613" s="12" t="s">
        <v>152</v>
      </c>
      <c r="F14613" s="5" t="s">
        <v>153</v>
      </c>
      <c r="G14613" s="6" t="str">
        <f>VLOOKUP(E14613,dicionario!$A$1:$C15013,2,0)</f>
        <v>Cynodon dactylon</v>
      </c>
      <c r="H14613" s="6" t="str">
        <f>VLOOKUP(E14613,dicionario!$A$1:$C15013,3,0)</f>
        <v>grama-bermuda</v>
      </c>
    </row>
    <row r="14614">
      <c r="A14614" s="3">
        <v>45926.0</v>
      </c>
      <c r="B14614" s="4">
        <v>0.32013888888888886</v>
      </c>
      <c r="C14614" s="5" t="s">
        <v>937</v>
      </c>
      <c r="D14614" s="5" t="s">
        <v>1836</v>
      </c>
      <c r="E14614" s="8" t="s">
        <v>1344</v>
      </c>
      <c r="F14614" s="5" t="s">
        <v>47</v>
      </c>
      <c r="G14614" s="6" t="str">
        <f>VLOOKUP(E14614,dicionario!$A$1:$C15014,2,0)</f>
        <v>#N/A</v>
      </c>
      <c r="H14614" s="6" t="str">
        <f>VLOOKUP(E14614,dicionario!$A$1:$C15014,3,0)</f>
        <v>#N/A</v>
      </c>
    </row>
    <row r="14615">
      <c r="A14615" s="3">
        <v>45926.0</v>
      </c>
      <c r="B14615" s="4">
        <v>0.32013888888888886</v>
      </c>
      <c r="C14615" s="5" t="s">
        <v>937</v>
      </c>
      <c r="D14615" s="5" t="s">
        <v>1836</v>
      </c>
      <c r="E14615" s="8" t="s">
        <v>719</v>
      </c>
      <c r="F14615" s="5" t="s">
        <v>911</v>
      </c>
      <c r="G14615" s="6" t="str">
        <f>VLOOKUP(E14615,dicionario!$A$1:$C15015,2,0)</f>
        <v>Dirinaria</v>
      </c>
      <c r="H14615" s="6" t="str">
        <f>VLOOKUP(E14615,dicionario!$A$1:$C15015,3,0)</f>
        <v>líquen-crostoso</v>
      </c>
    </row>
    <row r="14616">
      <c r="A14616" s="3">
        <v>45926.0</v>
      </c>
      <c r="B14616" s="4">
        <v>0.32013888888888886</v>
      </c>
      <c r="C14616" s="5" t="s">
        <v>937</v>
      </c>
      <c r="D14616" s="5" t="s">
        <v>1836</v>
      </c>
      <c r="E14616" s="8" t="s">
        <v>712</v>
      </c>
      <c r="F14616" s="5" t="s">
        <v>912</v>
      </c>
      <c r="G14616" s="6" t="str">
        <f>VLOOKUP(E14616,dicionario!$A$1:$C15016,2,0)</f>
        <v>Flavopunctelia soredica</v>
      </c>
      <c r="H14616" s="6" t="str">
        <f>VLOOKUP(E14616,dicionario!$A$1:$C15016,3,0)</f>
        <v>líquen-folioso</v>
      </c>
    </row>
    <row r="14617">
      <c r="A14617" s="3">
        <v>45926.0</v>
      </c>
      <c r="B14617" s="4">
        <v>0.32083333333333336</v>
      </c>
      <c r="C14617" s="5" t="s">
        <v>937</v>
      </c>
      <c r="D14617" s="5" t="s">
        <v>1836</v>
      </c>
      <c r="E14617" s="8" t="s">
        <v>107</v>
      </c>
      <c r="F14617" s="5" t="s">
        <v>108</v>
      </c>
      <c r="G14617" s="6" t="str">
        <f>VLOOKUP(E14617,dicionario!$A$1:$C15017,2,0)</f>
        <v>Ramalina complanata</v>
      </c>
      <c r="H14617" s="6" t="str">
        <f>VLOOKUP(E14617,dicionario!$A$1:$C15017,3,0)</f>
        <v>ramalina</v>
      </c>
    </row>
    <row r="14618">
      <c r="A14618" s="3">
        <v>45926.0</v>
      </c>
      <c r="B14618" s="4">
        <v>0.32083333333333336</v>
      </c>
      <c r="C14618" s="5" t="s">
        <v>937</v>
      </c>
      <c r="D14618" s="5" t="s">
        <v>1836</v>
      </c>
      <c r="E14618" s="65" t="s">
        <v>1024</v>
      </c>
      <c r="F14618" s="5" t="s">
        <v>969</v>
      </c>
      <c r="G14618" s="6" t="str">
        <f>VLOOKUP(E14618,dicionario!$A$1:$C15018,2,0)</f>
        <v>Usnea barbata</v>
      </c>
      <c r="H14618" s="6" t="str">
        <f>VLOOKUP(E14618,dicionario!$A$1:$C15018,3,0)</f>
        <v>barba-de-velho</v>
      </c>
    </row>
    <row r="14619">
      <c r="A14619" s="3">
        <v>45926.0</v>
      </c>
      <c r="B14619" s="4">
        <v>0.32083333333333336</v>
      </c>
      <c r="C14619" s="5" t="s">
        <v>937</v>
      </c>
      <c r="D14619" s="5" t="s">
        <v>1836</v>
      </c>
      <c r="E14619" s="8" t="s">
        <v>792</v>
      </c>
      <c r="F14619" s="5" t="s">
        <v>1014</v>
      </c>
      <c r="G14619" s="6" t="str">
        <f>VLOOKUP(E14619,dicionario!$A$1:$C15019,2,0)</f>
        <v>Musca domestica</v>
      </c>
      <c r="H14619" s="6" t="str">
        <f>VLOOKUP(E14619,dicionario!$A$1:$C15019,3,0)</f>
        <v>mosca-doméstica</v>
      </c>
    </row>
    <row r="14620">
      <c r="A14620" s="3">
        <v>45926.0</v>
      </c>
      <c r="B14620" s="4">
        <v>0.32083333333333336</v>
      </c>
      <c r="C14620" s="5" t="s">
        <v>937</v>
      </c>
      <c r="D14620" s="5" t="s">
        <v>1836</v>
      </c>
      <c r="E14620" s="6" t="s">
        <v>467</v>
      </c>
      <c r="F14620" s="5" t="s">
        <v>468</v>
      </c>
      <c r="G14620" s="6" t="str">
        <f>VLOOKUP(E14620,dicionario!$A$1:$C15020,2,0)</f>
        <v>Eleusine indica</v>
      </c>
      <c r="H14620" s="6" t="str">
        <f>VLOOKUP(E14620,dicionario!$A$1:$C15020,3,0)</f>
        <v>capim-pé-de-galinha</v>
      </c>
    </row>
    <row r="14621">
      <c r="A14621" s="3">
        <v>45926.0</v>
      </c>
      <c r="B14621" s="4">
        <v>0.3215277777777778</v>
      </c>
      <c r="C14621" s="5" t="s">
        <v>937</v>
      </c>
      <c r="D14621" s="5" t="s">
        <v>1836</v>
      </c>
      <c r="E14621" s="6" t="s">
        <v>227</v>
      </c>
      <c r="F14621" s="5" t="s">
        <v>228</v>
      </c>
      <c r="G14621" s="6" t="str">
        <f>VLOOKUP(E14621,dicionario!$A$1:$C15021,2,0)</f>
        <v>Indigofera hirsuta</v>
      </c>
      <c r="H14621" s="6" t="str">
        <f>VLOOKUP(E14621,dicionario!$A$1:$C15021,3,0)</f>
        <v>anileira</v>
      </c>
    </row>
    <row r="14622">
      <c r="A14622" s="3">
        <v>45926.0</v>
      </c>
      <c r="B14622" s="4">
        <v>0.3215277777777778</v>
      </c>
      <c r="C14622" s="5" t="s">
        <v>937</v>
      </c>
      <c r="D14622" s="5" t="s">
        <v>1836</v>
      </c>
      <c r="E14622" s="65" t="s">
        <v>202</v>
      </c>
      <c r="F14622" s="5" t="s">
        <v>203</v>
      </c>
      <c r="G14622" s="6" t="str">
        <f>VLOOKUP(E14622,dicionario!$A$1:$C15022,2,0)</f>
        <v>Dysdercus</v>
      </c>
      <c r="H14622" s="6" t="str">
        <f>VLOOKUP(E14622,dicionario!$A$1:$C15022,3,0)</f>
        <v>percevejo-manchador</v>
      </c>
    </row>
    <row r="14623">
      <c r="A14623" s="3">
        <v>45926.0</v>
      </c>
      <c r="B14623" s="4">
        <v>0.3215277777777778</v>
      </c>
      <c r="C14623" s="5" t="s">
        <v>937</v>
      </c>
      <c r="D14623" s="5" t="s">
        <v>1836</v>
      </c>
      <c r="E14623" s="65" t="s">
        <v>298</v>
      </c>
      <c r="F14623" s="5"/>
      <c r="G14623" s="6" t="str">
        <f>VLOOKUP(E14623,dicionario!$A$1:$C15023,2,0)</f>
        <v>Alysicarpus vaginalis</v>
      </c>
      <c r="H14623" s="6" t="str">
        <f>VLOOKUP(E14623,dicionario!$A$1:$C15023,3,0)</f>
        <v/>
      </c>
    </row>
    <row r="14624">
      <c r="A14624" s="3">
        <v>45926.0</v>
      </c>
      <c r="B14624" s="4">
        <v>0.3215277777777778</v>
      </c>
      <c r="C14624" s="5" t="s">
        <v>937</v>
      </c>
      <c r="D14624" s="5" t="s">
        <v>1836</v>
      </c>
      <c r="E14624" s="6" t="s">
        <v>253</v>
      </c>
      <c r="F14624" s="5" t="s">
        <v>254</v>
      </c>
      <c r="G14624" s="6" t="str">
        <f>VLOOKUP(E14624,dicionario!$A$1:$C15024,2,0)</f>
        <v>Panicum maximum</v>
      </c>
      <c r="H14624" s="6" t="str">
        <f>VLOOKUP(E14624,dicionario!$A$1:$C15024,3,0)</f>
        <v>capim-colonião</v>
      </c>
    </row>
    <row r="14625">
      <c r="A14625" s="3">
        <v>45926.0</v>
      </c>
      <c r="B14625" s="4">
        <v>0.32222222222222224</v>
      </c>
      <c r="C14625" s="5" t="s">
        <v>937</v>
      </c>
      <c r="D14625" s="5" t="s">
        <v>1836</v>
      </c>
      <c r="E14625" s="6" t="s">
        <v>65</v>
      </c>
      <c r="F14625" s="5" t="s">
        <v>66</v>
      </c>
      <c r="G14625" s="6" t="str">
        <f>VLOOKUP(E14625,dicionario!$A$1:$C15025,2,0)</f>
        <v>Pitangus sulphutarus</v>
      </c>
      <c r="H14625" s="6" t="str">
        <f>VLOOKUP(E14625,dicionario!$A$1:$C15025,3,0)</f>
        <v>bem-te-vi</v>
      </c>
    </row>
    <row r="14626">
      <c r="A14626" s="3">
        <v>45926.0</v>
      </c>
      <c r="B14626" s="4">
        <v>0.32222222222222224</v>
      </c>
      <c r="C14626" s="5" t="s">
        <v>937</v>
      </c>
      <c r="D14626" s="5" t="s">
        <v>1836</v>
      </c>
      <c r="E14626" s="6" t="s">
        <v>213</v>
      </c>
      <c r="F14626" s="5" t="s">
        <v>214</v>
      </c>
      <c r="G14626" s="6" t="str">
        <f>VLOOKUP(E14626,dicionario!$A$1:$C15026,2,0)</f>
        <v>Myiozetetes similis</v>
      </c>
      <c r="H14626" s="6" t="str">
        <f>VLOOKUP(E14626,dicionario!$A$1:$C15026,3,0)</f>
        <v>bentevizinho-de-penacho-vermelho</v>
      </c>
    </row>
    <row r="14627">
      <c r="A14627" s="3">
        <v>45926.0</v>
      </c>
      <c r="B14627" s="4">
        <v>0.32222222222222224</v>
      </c>
      <c r="C14627" s="5" t="s">
        <v>937</v>
      </c>
      <c r="D14627" s="5" t="s">
        <v>1836</v>
      </c>
      <c r="E14627" s="28" t="s">
        <v>560</v>
      </c>
      <c r="F14627" s="5" t="s">
        <v>1430</v>
      </c>
      <c r="G14627" s="6" t="str">
        <f>VLOOKUP(E14627,dicionario!$A$1:$C15027,2,0)</f>
        <v>Megarynchus pitangua</v>
      </c>
      <c r="H14627" s="6" t="str">
        <f>VLOOKUP(E14627,dicionario!$A$1:$C15027,3,0)</f>
        <v>neinei</v>
      </c>
    </row>
    <row r="14628">
      <c r="A14628" s="3">
        <v>45926.0</v>
      </c>
      <c r="B14628" s="4">
        <v>0.32222222222222224</v>
      </c>
      <c r="C14628" s="5" t="s">
        <v>937</v>
      </c>
      <c r="D14628" s="5" t="s">
        <v>1836</v>
      </c>
      <c r="E14628" s="10" t="s">
        <v>101</v>
      </c>
      <c r="F14628" s="5" t="s">
        <v>102</v>
      </c>
      <c r="G14628" s="6" t="str">
        <f>VLOOKUP(E14628,dicionario!$A$1:$C15028,2,0)</f>
        <v>Nemosia pileata</v>
      </c>
      <c r="H14628" s="6" t="str">
        <f>VLOOKUP(E14628,dicionario!$A$1:$C15028,3,0)</f>
        <v>saíra-de-chapéu-preto</v>
      </c>
    </row>
    <row r="14629">
      <c r="A14629" s="3">
        <v>45926.0</v>
      </c>
      <c r="B14629" s="4">
        <v>0.3229166666666667</v>
      </c>
      <c r="C14629" s="5" t="s">
        <v>937</v>
      </c>
      <c r="D14629" s="5" t="s">
        <v>1836</v>
      </c>
      <c r="E14629" s="6" t="s">
        <v>353</v>
      </c>
      <c r="F14629" s="5" t="s">
        <v>354</v>
      </c>
      <c r="G14629" s="6" t="str">
        <f>VLOOKUP(E14629,dicionario!$A$1:$C15029,2,0)</f>
        <v>Desmodium incanum</v>
      </c>
      <c r="H14629" s="6" t="str">
        <f>VLOOKUP(E14629,dicionario!$A$1:$C15029,3,0)</f>
        <v>pega-pega</v>
      </c>
    </row>
    <row r="14630">
      <c r="A14630" s="3">
        <v>45926.0</v>
      </c>
      <c r="B14630" s="4">
        <v>0.32430555555555557</v>
      </c>
      <c r="C14630" s="5" t="s">
        <v>937</v>
      </c>
      <c r="D14630" s="5" t="s">
        <v>1836</v>
      </c>
      <c r="E14630" s="53" t="s">
        <v>1819</v>
      </c>
      <c r="F14630" s="5" t="s">
        <v>367</v>
      </c>
      <c r="G14630" s="6" t="str">
        <f>VLOOKUP(E14630,dicionario!$A$1:$C15030,2,0)</f>
        <v>Bystropogon maderensis</v>
      </c>
      <c r="H14630" s="6" t="str">
        <f>VLOOKUP(E14630,dicionario!$A$1:$C15030,3,0)</f>
        <v>quebra-panela </v>
      </c>
    </row>
    <row r="14631">
      <c r="A14631" s="3">
        <v>45926.0</v>
      </c>
      <c r="B14631" s="4">
        <v>0.32430555555555557</v>
      </c>
      <c r="C14631" s="5" t="s">
        <v>937</v>
      </c>
      <c r="D14631" s="5" t="s">
        <v>1836</v>
      </c>
      <c r="E14631" s="8" t="s">
        <v>858</v>
      </c>
      <c r="F14631" s="5" t="s">
        <v>859</v>
      </c>
      <c r="G14631" s="6" t="str">
        <f>VLOOKUP(E14631,dicionario!$A$1:$C15031,2,0)</f>
        <v>Rumex obtusifolius</v>
      </c>
      <c r="H14631" s="6" t="str">
        <f>VLOOKUP(E14631,dicionario!$A$1:$C15031,3,0)</f>
        <v>lingua-de-vaca</v>
      </c>
    </row>
    <row r="14632">
      <c r="A14632" s="3">
        <v>45926.0</v>
      </c>
      <c r="B14632" s="4">
        <v>0.32430555555555557</v>
      </c>
      <c r="C14632" s="5" t="s">
        <v>937</v>
      </c>
      <c r="D14632" s="5" t="s">
        <v>1836</v>
      </c>
      <c r="E14632" s="8" t="s">
        <v>895</v>
      </c>
      <c r="F14632" s="5" t="s">
        <v>603</v>
      </c>
      <c r="G14632" s="6" t="str">
        <f>VLOOKUP(E14632,dicionario!$A$1:$C15032,2,0)</f>
        <v>Trametes cubensis</v>
      </c>
      <c r="H14632" s="6" t="str">
        <f>VLOOKUP(E14632,dicionario!$A$1:$C15032,3,0)</f>
        <v/>
      </c>
    </row>
    <row r="14633">
      <c r="A14633" s="3">
        <v>45926.0</v>
      </c>
      <c r="B14633" s="4">
        <v>0.32708333333333334</v>
      </c>
      <c r="C14633" s="5" t="s">
        <v>937</v>
      </c>
      <c r="D14633" s="5" t="s">
        <v>1836</v>
      </c>
      <c r="E14633" s="6" t="s">
        <v>247</v>
      </c>
      <c r="F14633" s="5" t="s">
        <v>387</v>
      </c>
      <c r="G14633" s="6" t="str">
        <f>VLOOKUP(E14633,dicionario!$A$1:$C15033,2,0)</f>
        <v>Emilia sonchifolia</v>
      </c>
      <c r="H14633" s="6" t="str">
        <f>VLOOKUP(E14633,dicionario!$A$1:$C15033,3,0)</f>
        <v>serralinha</v>
      </c>
    </row>
    <row r="14634">
      <c r="A14634" s="3">
        <v>45926.0</v>
      </c>
      <c r="B14634" s="4">
        <v>0.32708333333333334</v>
      </c>
      <c r="C14634" s="5" t="s">
        <v>937</v>
      </c>
      <c r="D14634" s="5" t="s">
        <v>1836</v>
      </c>
      <c r="E14634" s="81" t="s">
        <v>1845</v>
      </c>
      <c r="F14634" s="52"/>
      <c r="G14634" s="6" t="str">
        <f>VLOOKUP(E14634,dicionario!$A$1:$C15034,2,0)</f>
        <v>Automeris</v>
      </c>
      <c r="H14634" s="6" t="str">
        <f>VLOOKUP(E14634,dicionario!$A$1:$C15034,3,0)</f>
        <v/>
      </c>
    </row>
    <row r="14635">
      <c r="A14635" s="3">
        <v>45926.0</v>
      </c>
      <c r="B14635" s="4">
        <v>0.32708333333333334</v>
      </c>
      <c r="C14635" s="5" t="s">
        <v>937</v>
      </c>
      <c r="D14635" s="5" t="s">
        <v>1836</v>
      </c>
      <c r="E14635" s="6" t="s">
        <v>141</v>
      </c>
      <c r="F14635" s="5" t="s">
        <v>142</v>
      </c>
      <c r="G14635" s="6" t="str">
        <f>VLOOKUP(E14635,dicionario!$A$1:$C15035,2,0)</f>
        <v>Ruellia blechum</v>
      </c>
      <c r="H14635" s="6" t="str">
        <f>VLOOKUP(E14635,dicionario!$A$1:$C15035,3,0)</f>
        <v>camarão-verde</v>
      </c>
    </row>
    <row r="14636">
      <c r="A14636" s="3">
        <v>45926.0</v>
      </c>
      <c r="B14636" s="4">
        <v>0.32708333333333334</v>
      </c>
      <c r="C14636" s="5" t="s">
        <v>937</v>
      </c>
      <c r="D14636" s="5" t="s">
        <v>1836</v>
      </c>
      <c r="E14636" s="8" t="s">
        <v>126</v>
      </c>
      <c r="F14636" s="5" t="s">
        <v>127</v>
      </c>
      <c r="G14636" s="6" t="str">
        <f>VLOOKUP(E14636,dicionario!$A$1:$C15036,2,0)</f>
        <v>Bryophyta</v>
      </c>
      <c r="H14636" s="6" t="str">
        <f>VLOOKUP(E14636,dicionario!$A$1:$C15036,3,0)</f>
        <v>musgo</v>
      </c>
    </row>
    <row r="14637">
      <c r="A14637" s="3">
        <v>45926.0</v>
      </c>
      <c r="B14637" s="4">
        <v>0.3298611111111111</v>
      </c>
      <c r="C14637" s="5" t="s">
        <v>948</v>
      </c>
      <c r="D14637" s="5" t="s">
        <v>1836</v>
      </c>
      <c r="E14637" s="6" t="s">
        <v>467</v>
      </c>
      <c r="F14637" s="5" t="s">
        <v>468</v>
      </c>
      <c r="G14637" s="6" t="str">
        <f>VLOOKUP(E14637,dicionario!$A$1:$C15037,2,0)</f>
        <v>Eleusine indica</v>
      </c>
      <c r="H14637" s="6" t="str">
        <f>VLOOKUP(E14637,dicionario!$A$1:$C15037,3,0)</f>
        <v>capim-pé-de-galinha</v>
      </c>
    </row>
    <row r="14638">
      <c r="A14638" s="3">
        <v>45926.0</v>
      </c>
      <c r="B14638" s="4">
        <v>0.3298611111111111</v>
      </c>
      <c r="C14638" s="5" t="s">
        <v>948</v>
      </c>
      <c r="D14638" s="5" t="s">
        <v>1836</v>
      </c>
      <c r="E14638" s="8" t="s">
        <v>69</v>
      </c>
      <c r="F14638" s="5" t="s">
        <v>71</v>
      </c>
      <c r="G14638" s="6" t="str">
        <f>VLOOKUP(E14638,dicionario!$A$1:$C15038,2,0)</f>
        <v>Talinum fruticosum</v>
      </c>
      <c r="H14638" s="6" t="str">
        <f>VLOOKUP(E14638,dicionario!$A$1:$C15038,3,0)</f>
        <v>beldroega-grande</v>
      </c>
    </row>
    <row r="14639">
      <c r="A14639" s="3">
        <v>45926.0</v>
      </c>
      <c r="B14639" s="4">
        <v>0.3298611111111111</v>
      </c>
      <c r="C14639" s="5" t="s">
        <v>948</v>
      </c>
      <c r="D14639" s="5" t="s">
        <v>1836</v>
      </c>
      <c r="E14639" s="6" t="s">
        <v>65</v>
      </c>
      <c r="F14639" s="5" t="s">
        <v>66</v>
      </c>
      <c r="G14639" s="6" t="str">
        <f>VLOOKUP(E14639,dicionario!$A$1:$C15039,2,0)</f>
        <v>Pitangus sulphutarus</v>
      </c>
      <c r="H14639" s="6" t="str">
        <f>VLOOKUP(E14639,dicionario!$A$1:$C15039,3,0)</f>
        <v>bem-te-vi</v>
      </c>
    </row>
    <row r="14640">
      <c r="A14640" s="3">
        <v>45926.0</v>
      </c>
      <c r="B14640" s="4">
        <v>0.3298611111111111</v>
      </c>
      <c r="C14640" s="5" t="s">
        <v>948</v>
      </c>
      <c r="D14640" s="5" t="s">
        <v>1836</v>
      </c>
      <c r="E14640" s="6" t="s">
        <v>253</v>
      </c>
      <c r="F14640" s="5" t="s">
        <v>254</v>
      </c>
      <c r="G14640" s="6" t="str">
        <f>VLOOKUP(E14640,dicionario!$A$1:$C15040,2,0)</f>
        <v>Panicum maximum</v>
      </c>
      <c r="H14640" s="6" t="str">
        <f>VLOOKUP(E14640,dicionario!$A$1:$C15040,3,0)</f>
        <v>capim-colonião</v>
      </c>
    </row>
    <row r="14641">
      <c r="A14641" s="3">
        <v>45926.0</v>
      </c>
      <c r="B14641" s="4">
        <v>0.3298611111111111</v>
      </c>
      <c r="C14641" s="5" t="s">
        <v>948</v>
      </c>
      <c r="D14641" s="5" t="s">
        <v>1836</v>
      </c>
      <c r="E14641" s="6" t="s">
        <v>247</v>
      </c>
      <c r="F14641" s="5" t="s">
        <v>387</v>
      </c>
      <c r="G14641" s="6" t="str">
        <f>VLOOKUP(E14641,dicionario!$A$1:$C15041,2,0)</f>
        <v>Emilia sonchifolia</v>
      </c>
      <c r="H14641" s="6" t="str">
        <f>VLOOKUP(E14641,dicionario!$A$1:$C15041,3,0)</f>
        <v>serralinha</v>
      </c>
    </row>
    <row r="14642">
      <c r="A14642" s="3">
        <v>45926.0</v>
      </c>
      <c r="B14642" s="4">
        <v>0.3298611111111111</v>
      </c>
      <c r="C14642" s="5" t="s">
        <v>948</v>
      </c>
      <c r="D14642" s="5" t="s">
        <v>1836</v>
      </c>
      <c r="E14642" s="6" t="s">
        <v>154</v>
      </c>
      <c r="F14642" s="5" t="s">
        <v>155</v>
      </c>
      <c r="G14642" s="6" t="str">
        <f>VLOOKUP(E14642,dicionario!$A$1:$C15042,2,0)</f>
        <v>Cyperus rotundus</v>
      </c>
      <c r="H14642" s="6" t="str">
        <f>VLOOKUP(E14642,dicionario!$A$1:$C15042,3,0)</f>
        <v>tiririca</v>
      </c>
    </row>
    <row r="14643">
      <c r="A14643" s="3">
        <v>45926.0</v>
      </c>
      <c r="B14643" s="4">
        <v>0.3298611111111111</v>
      </c>
      <c r="C14643" s="5" t="s">
        <v>948</v>
      </c>
      <c r="D14643" s="5" t="s">
        <v>1836</v>
      </c>
      <c r="E14643" s="6" t="s">
        <v>251</v>
      </c>
      <c r="F14643" s="5" t="s">
        <v>252</v>
      </c>
      <c r="G14643" s="6" t="str">
        <f>VLOOKUP(E14643,dicionario!$A$1:$C15043,2,0)</f>
        <v>Struthanthus flexicaulis</v>
      </c>
      <c r="H14643" s="6" t="str">
        <f>VLOOKUP(E14643,dicionario!$A$1:$C15043,3,0)</f>
        <v>erva-de-passarinho</v>
      </c>
    </row>
    <row r="14644">
      <c r="A14644" s="3">
        <v>45926.0</v>
      </c>
      <c r="B14644" s="4">
        <v>0.3298611111111111</v>
      </c>
      <c r="C14644" s="5" t="s">
        <v>948</v>
      </c>
      <c r="D14644" s="5" t="s">
        <v>1836</v>
      </c>
      <c r="E14644" s="65" t="s">
        <v>132</v>
      </c>
      <c r="F14644" s="5" t="s">
        <v>133</v>
      </c>
      <c r="G14644" s="6" t="str">
        <f>VLOOKUP(E14644,dicionario!$A$1:$C15044,2,0)</f>
        <v>Euphonia chlorotica</v>
      </c>
      <c r="H14644" s="6" t="str">
        <f>VLOOKUP(E14644,dicionario!$A$1:$C15044,3,0)</f>
        <v>fim-fim</v>
      </c>
    </row>
    <row r="14645">
      <c r="A14645" s="3">
        <v>45926.0</v>
      </c>
      <c r="B14645" s="4">
        <v>0.3298611111111111</v>
      </c>
      <c r="C14645" s="5" t="s">
        <v>948</v>
      </c>
      <c r="D14645" s="5" t="s">
        <v>1836</v>
      </c>
      <c r="E14645" s="6" t="s">
        <v>215</v>
      </c>
      <c r="F14645" s="5" t="s">
        <v>216</v>
      </c>
      <c r="G14645" s="6" t="str">
        <f>VLOOKUP(E14645,dicionario!$A$1:$C15045,2,0)</f>
        <v>Pygochelidon cyanoleuca</v>
      </c>
      <c r="H14645" s="6" t="str">
        <f>VLOOKUP(E14645,dicionario!$A$1:$C15045,3,0)</f>
        <v>andorinha-pequena-de-casa</v>
      </c>
    </row>
    <row r="14646">
      <c r="A14646" s="3">
        <v>45926.0</v>
      </c>
      <c r="B14646" s="4">
        <v>0.33055555555555555</v>
      </c>
      <c r="C14646" s="5" t="s">
        <v>948</v>
      </c>
      <c r="D14646" s="5" t="s">
        <v>1836</v>
      </c>
      <c r="E14646" s="6" t="s">
        <v>86</v>
      </c>
      <c r="F14646" s="5" t="s">
        <v>502</v>
      </c>
      <c r="G14646" s="6" t="str">
        <f>VLOOKUP(E14646,dicionario!$A$1:$C15046,2,0)</f>
        <v>Coereba flaveola</v>
      </c>
      <c r="H14646" s="6" t="str">
        <f>VLOOKUP(E14646,dicionario!$A$1:$C15046,3,0)</f>
        <v>cambacica</v>
      </c>
    </row>
    <row r="14647">
      <c r="A14647" s="3">
        <v>45926.0</v>
      </c>
      <c r="B14647" s="4">
        <v>0.33055555555555555</v>
      </c>
      <c r="C14647" s="5" t="s">
        <v>948</v>
      </c>
      <c r="D14647" s="5" t="s">
        <v>1836</v>
      </c>
      <c r="E14647" s="6" t="s">
        <v>163</v>
      </c>
      <c r="F14647" s="5" t="s">
        <v>164</v>
      </c>
      <c r="G14647" s="6" t="str">
        <f>VLOOKUP(E14647,dicionario!$A$1:$C15047,2,0)</f>
        <v>Coragyps atratus</v>
      </c>
      <c r="H14647" s="6" t="str">
        <f>VLOOKUP(E14647,dicionario!$A$1:$C15047,3,0)</f>
        <v>urubu-de-cabeça-preta</v>
      </c>
    </row>
    <row r="14648">
      <c r="A14648" s="3">
        <v>45926.0</v>
      </c>
      <c r="B14648" s="4">
        <v>0.33055555555555555</v>
      </c>
      <c r="C14648" s="5" t="s">
        <v>948</v>
      </c>
      <c r="D14648" s="5" t="s">
        <v>1836</v>
      </c>
      <c r="E14648" s="8" t="s">
        <v>150</v>
      </c>
      <c r="F14648" s="5" t="s">
        <v>769</v>
      </c>
      <c r="G14648" s="6" t="str">
        <f>VLOOKUP(E14648,dicionario!$A$1:$C15048,2,0)</f>
        <v>Amaranthus viridis</v>
      </c>
      <c r="H14648" s="6" t="str">
        <f>VLOOKUP(E14648,dicionario!$A$1:$C15048,3,0)</f>
        <v>caruru-de-mancha</v>
      </c>
    </row>
    <row r="14649">
      <c r="A14649" s="3">
        <v>45926.0</v>
      </c>
      <c r="B14649" s="4">
        <v>0.33055555555555555</v>
      </c>
      <c r="C14649" s="5" t="s">
        <v>948</v>
      </c>
      <c r="D14649" s="5" t="s">
        <v>1836</v>
      </c>
      <c r="E14649" s="8" t="s">
        <v>146</v>
      </c>
      <c r="F14649" s="5" t="s">
        <v>147</v>
      </c>
      <c r="G14649" s="6" t="str">
        <f>VLOOKUP(E14649,dicionario!$A$1:$C15049,2,0)</f>
        <v>Euphorbia hirta</v>
      </c>
      <c r="H14649" s="6" t="str">
        <f>VLOOKUP(E14649,dicionario!$A$1:$C15049,3,0)</f>
        <v>erva-de-santa-luzia</v>
      </c>
    </row>
    <row r="14650">
      <c r="A14650" s="3">
        <v>45926.0</v>
      </c>
      <c r="B14650" s="4">
        <v>0.33055555555555555</v>
      </c>
      <c r="C14650" s="5" t="s">
        <v>948</v>
      </c>
      <c r="D14650" s="5" t="s">
        <v>1836</v>
      </c>
      <c r="E14650" s="65" t="s">
        <v>355</v>
      </c>
      <c r="F14650" s="5" t="s">
        <v>356</v>
      </c>
      <c r="G14650" s="6" t="str">
        <f>VLOOKUP(E14650,dicionario!$A$1:$C15050,2,0)</f>
        <v>Boerhavia diffusa</v>
      </c>
      <c r="H14650" s="6" t="str">
        <f>VLOOKUP(E14650,dicionario!$A$1:$C15050,3,0)</f>
        <v>erva-tostão</v>
      </c>
    </row>
    <row r="14651">
      <c r="A14651" s="3">
        <v>45926.0</v>
      </c>
      <c r="B14651" s="4">
        <v>0.33055555555555555</v>
      </c>
      <c r="C14651" s="5" t="s">
        <v>948</v>
      </c>
      <c r="D14651" s="5" t="s">
        <v>1836</v>
      </c>
      <c r="E14651" s="6" t="s">
        <v>290</v>
      </c>
      <c r="F14651" s="5" t="s">
        <v>291</v>
      </c>
      <c r="G14651" s="6" t="str">
        <f>VLOOKUP(E14651,dicionario!$A$1:$C15051,2,0)</f>
        <v>Drymaria cordata</v>
      </c>
      <c r="H14651" s="6" t="str">
        <f>VLOOKUP(E14651,dicionario!$A$1:$C15051,3,0)</f>
        <v>orelha-de-rato</v>
      </c>
    </row>
    <row r="14652">
      <c r="A14652" s="3">
        <v>45926.0</v>
      </c>
      <c r="B14652" s="4">
        <v>0.33055555555555555</v>
      </c>
      <c r="C14652" s="5" t="s">
        <v>948</v>
      </c>
      <c r="D14652" s="5" t="s">
        <v>1836</v>
      </c>
      <c r="E14652" s="6" t="s">
        <v>141</v>
      </c>
      <c r="F14652" s="5" t="s">
        <v>142</v>
      </c>
      <c r="G14652" s="6" t="str">
        <f>VLOOKUP(E14652,dicionario!$A$1:$C15052,2,0)</f>
        <v>Ruellia blechum</v>
      </c>
      <c r="H14652" s="6" t="str">
        <f>VLOOKUP(E14652,dicionario!$A$1:$C15052,3,0)</f>
        <v>camarão-verde</v>
      </c>
    </row>
    <row r="14653">
      <c r="A14653" s="3">
        <v>45926.0</v>
      </c>
      <c r="B14653" s="4">
        <v>0.33055555555555555</v>
      </c>
      <c r="C14653" s="5" t="s">
        <v>948</v>
      </c>
      <c r="D14653" s="5" t="s">
        <v>1836</v>
      </c>
      <c r="E14653" s="65" t="s">
        <v>88</v>
      </c>
      <c r="F14653" s="5" t="s">
        <v>89</v>
      </c>
      <c r="G14653" s="6" t="str">
        <f>VLOOKUP(E14653,dicionario!$A$1:$C15053,2,0)</f>
        <v>Tyrannus melancolichus</v>
      </c>
      <c r="H14653" s="6" t="str">
        <f>VLOOKUP(E14653,dicionario!$A$1:$C15053,3,0)</f>
        <v>suiriri</v>
      </c>
    </row>
    <row r="14654">
      <c r="A14654" s="3">
        <v>45926.0</v>
      </c>
      <c r="B14654" s="4">
        <v>0.33055555555555555</v>
      </c>
      <c r="C14654" s="5" t="s">
        <v>948</v>
      </c>
      <c r="D14654" s="5" t="s">
        <v>1836</v>
      </c>
      <c r="E14654" s="6" t="s">
        <v>319</v>
      </c>
      <c r="F14654" s="5" t="s">
        <v>320</v>
      </c>
      <c r="G14654" s="6" t="str">
        <f>VLOOKUP(E14654,dicionario!$A$1:$C15054,2,0)</f>
        <v>Schinus terebinthifolia</v>
      </c>
      <c r="H14654" s="6" t="str">
        <f>VLOOKUP(E14654,dicionario!$A$1:$C15054,3,0)</f>
        <v>aroeira</v>
      </c>
    </row>
    <row r="14655">
      <c r="A14655" s="3">
        <v>45926.0</v>
      </c>
      <c r="B14655" s="4">
        <v>0.33055555555555555</v>
      </c>
      <c r="C14655" s="5" t="s">
        <v>948</v>
      </c>
      <c r="D14655" s="5" t="s">
        <v>1836</v>
      </c>
      <c r="E14655" s="8" t="s">
        <v>171</v>
      </c>
      <c r="F14655" s="5" t="s">
        <v>172</v>
      </c>
      <c r="G14655" s="6" t="str">
        <f>VLOOKUP(E14655,dicionario!$A$1:$C15055,2,0)</f>
        <v>Oxalis corniculata</v>
      </c>
      <c r="H14655" s="6" t="str">
        <f>VLOOKUP(E14655,dicionario!$A$1:$C15055,3,0)</f>
        <v>trevo-azedinho</v>
      </c>
    </row>
    <row r="14656">
      <c r="A14656" s="3">
        <v>45926.0</v>
      </c>
      <c r="B14656" s="4">
        <v>0.33055555555555555</v>
      </c>
      <c r="C14656" s="5" t="s">
        <v>948</v>
      </c>
      <c r="D14656" s="5" t="s">
        <v>1836</v>
      </c>
      <c r="E14656" s="6" t="s">
        <v>193</v>
      </c>
      <c r="F14656" s="5" t="s">
        <v>194</v>
      </c>
      <c r="G14656" s="6" t="str">
        <f>VLOOKUP(E14656,dicionario!$A$1:$C15056,2,0)</f>
        <v>Conirostrum speciosum</v>
      </c>
      <c r="H14656" s="6" t="str">
        <f>VLOOKUP(E14656,dicionario!$A$1:$C15056,3,0)</f>
        <v>figuinha-de-rabo-castanho</v>
      </c>
    </row>
    <row r="14657">
      <c r="A14657" s="3">
        <v>45926.0</v>
      </c>
      <c r="B14657" s="4">
        <v>0.33055555555555555</v>
      </c>
      <c r="C14657" s="5" t="s">
        <v>948</v>
      </c>
      <c r="D14657" s="5" t="s">
        <v>1836</v>
      </c>
      <c r="E14657" s="65" t="s">
        <v>16</v>
      </c>
      <c r="F14657" s="5" t="s">
        <v>17</v>
      </c>
      <c r="G14657" s="6" t="str">
        <f>VLOOKUP(E14657,dicionario!$A$1:$C15057,2,0)</f>
        <v>Eupetomena macroura</v>
      </c>
      <c r="H14657" s="6" t="str">
        <f>VLOOKUP(E14657,dicionario!$A$1:$C15057,3,0)</f>
        <v>beija-flor-tesoura</v>
      </c>
    </row>
    <row r="14658">
      <c r="A14658" s="3">
        <v>45926.0</v>
      </c>
      <c r="B14658" s="4">
        <v>0.33194444444444443</v>
      </c>
      <c r="C14658" s="5" t="s">
        <v>948</v>
      </c>
      <c r="D14658" s="5" t="s">
        <v>1836</v>
      </c>
      <c r="E14658" s="65" t="s">
        <v>46</v>
      </c>
      <c r="F14658" s="5" t="s">
        <v>47</v>
      </c>
      <c r="G14658" s="6" t="str">
        <f>VLOOKUP(E14658,dicionario!$A$1:$C15058,2,0)</f>
        <v>Chionomesa fimbriata</v>
      </c>
      <c r="H14658" s="6" t="str">
        <f>VLOOKUP(E14658,dicionario!$A$1:$C15058,3,0)</f>
        <v>beija-flor-de-garganta-verde</v>
      </c>
    </row>
    <row r="14659">
      <c r="A14659" s="3">
        <v>45926.0</v>
      </c>
      <c r="B14659" s="4">
        <v>0.33194444444444443</v>
      </c>
      <c r="C14659" s="5" t="s">
        <v>948</v>
      </c>
      <c r="D14659" s="5" t="s">
        <v>1836</v>
      </c>
      <c r="E14659" s="65" t="s">
        <v>606</v>
      </c>
      <c r="F14659" s="5" t="s">
        <v>607</v>
      </c>
      <c r="G14659" s="6" t="str">
        <f>VLOOKUP(E14659,dicionario!$A$1:$C15059,2,0)</f>
        <v>Elaenia spectabilis</v>
      </c>
      <c r="H14659" s="6" t="str">
        <f>VLOOKUP(E14659,dicionario!$A$1:$C15059,3,0)</f>
        <v>guaracava-grande</v>
      </c>
    </row>
    <row r="14660">
      <c r="A14660" s="3">
        <v>45926.0</v>
      </c>
      <c r="B14660" s="4">
        <v>0.33194444444444443</v>
      </c>
      <c r="C14660" s="5" t="s">
        <v>948</v>
      </c>
      <c r="D14660" s="5" t="s">
        <v>1836</v>
      </c>
      <c r="E14660" s="6" t="s">
        <v>191</v>
      </c>
      <c r="F14660" s="5" t="s">
        <v>192</v>
      </c>
      <c r="G14660" s="6" t="str">
        <f>VLOOKUP(E14660,dicionario!$A$1:$C15060,2,0)</f>
        <v>Patagioenas picazuro</v>
      </c>
      <c r="H14660" s="6" t="str">
        <f>VLOOKUP(E14660,dicionario!$A$1:$C15060,3,0)</f>
        <v>asa-branca; pomba-asa-branca; pocaçu</v>
      </c>
    </row>
    <row r="14661">
      <c r="A14661" s="3">
        <v>45926.0</v>
      </c>
      <c r="B14661" s="4">
        <v>0.33194444444444443</v>
      </c>
      <c r="C14661" s="5" t="s">
        <v>948</v>
      </c>
      <c r="D14661" s="5" t="s">
        <v>1836</v>
      </c>
      <c r="E14661" s="6" t="s">
        <v>22</v>
      </c>
      <c r="F14661" s="5" t="s">
        <v>97</v>
      </c>
      <c r="G14661" s="6" t="str">
        <f>VLOOKUP(E14661,dicionario!$A$1:$C15061,2,0)</f>
        <v>Zenaida auriculata</v>
      </c>
      <c r="H14661" s="6" t="str">
        <f>VLOOKUP(E14661,dicionario!$A$1:$C15061,3,0)</f>
        <v>pomba-de-bando; avoante</v>
      </c>
    </row>
    <row r="14662">
      <c r="A14662" s="3">
        <v>45926.0</v>
      </c>
      <c r="B14662" s="4">
        <v>0.33194444444444443</v>
      </c>
      <c r="C14662" s="5" t="s">
        <v>948</v>
      </c>
      <c r="D14662" s="5" t="s">
        <v>1836</v>
      </c>
      <c r="E14662" s="6" t="s">
        <v>267</v>
      </c>
      <c r="F14662" s="5" t="s">
        <v>553</v>
      </c>
      <c r="G14662" s="6" t="str">
        <f>VLOOKUP(E14662,dicionario!$A$1:$C15062,2,0)</f>
        <v>Solanum americanum</v>
      </c>
      <c r="H14662" s="6" t="str">
        <f>VLOOKUP(E14662,dicionario!$A$1:$C15062,3,0)</f>
        <v>maria-pretinha</v>
      </c>
    </row>
    <row r="14663">
      <c r="A14663" s="3">
        <v>45926.0</v>
      </c>
      <c r="B14663" s="4">
        <v>0.33194444444444443</v>
      </c>
      <c r="C14663" s="5" t="s">
        <v>948</v>
      </c>
      <c r="D14663" s="5" t="s">
        <v>1836</v>
      </c>
      <c r="E14663" s="6" t="s">
        <v>401</v>
      </c>
      <c r="F14663" s="5" t="s">
        <v>464</v>
      </c>
      <c r="G14663" s="6" t="str">
        <f>VLOOKUP(E14663,dicionario!$A$1:$C15063,2,0)</f>
        <v>Cissus verticillata</v>
      </c>
      <c r="H14663" s="6" t="str">
        <f>VLOOKUP(E14663,dicionario!$A$1:$C15063,3,0)</f>
        <v>uva-do-mato</v>
      </c>
    </row>
    <row r="14664">
      <c r="A14664" s="3">
        <v>45926.0</v>
      </c>
      <c r="B14664" s="4">
        <v>0.33194444444444443</v>
      </c>
      <c r="C14664" s="5" t="s">
        <v>948</v>
      </c>
      <c r="D14664" s="5" t="s">
        <v>1836</v>
      </c>
      <c r="E14664" s="65" t="s">
        <v>385</v>
      </c>
      <c r="F14664" s="5" t="s">
        <v>386</v>
      </c>
      <c r="G14664" s="6" t="str">
        <f>VLOOKUP(E14664,dicionario!$A$1:$C15064,2,0)</f>
        <v>Psidium guajava</v>
      </c>
      <c r="H14664" s="6" t="str">
        <f>VLOOKUP(E14664,dicionario!$A$1:$C15064,3,0)</f>
        <v>goiaba</v>
      </c>
    </row>
    <row r="14665">
      <c r="A14665" s="3">
        <v>45926.0</v>
      </c>
      <c r="B14665" s="4">
        <v>0.33194444444444443</v>
      </c>
      <c r="C14665" s="5" t="s">
        <v>948</v>
      </c>
      <c r="D14665" s="5" t="s">
        <v>1836</v>
      </c>
      <c r="E14665" s="6" t="s">
        <v>328</v>
      </c>
      <c r="F14665" s="5" t="s">
        <v>329</v>
      </c>
      <c r="G14665" s="6" t="str">
        <f>VLOOKUP(E14665,dicionario!$A$1:$C15065,2,0)</f>
        <v>Rivina humilis</v>
      </c>
      <c r="H14665" s="6" t="str">
        <f>VLOOKUP(E14665,dicionario!$A$1:$C15065,3,0)</f>
        <v>baga-de-sangue</v>
      </c>
    </row>
    <row r="14666">
      <c r="A14666" s="3">
        <v>45926.0</v>
      </c>
      <c r="B14666" s="4">
        <v>0.33194444444444443</v>
      </c>
      <c r="C14666" s="5" t="s">
        <v>948</v>
      </c>
      <c r="D14666" s="5" t="s">
        <v>1836</v>
      </c>
      <c r="E14666" s="65" t="s">
        <v>1846</v>
      </c>
      <c r="F14666" s="5" t="s">
        <v>182</v>
      </c>
      <c r="G14666" s="6" t="str">
        <f>VLOOKUP(E14666,dicionario!$A$1:$C15066,2,0)</f>
        <v>Momordica charantia</v>
      </c>
      <c r="H14666" s="6" t="str">
        <f>VLOOKUP(E14666,dicionario!$A$1:$C15066,3,0)</f>
        <v>melão-de-são-caetano</v>
      </c>
    </row>
    <row r="14667">
      <c r="A14667" s="3">
        <v>45926.0</v>
      </c>
      <c r="B14667" s="4">
        <v>0.33194444444444443</v>
      </c>
      <c r="C14667" s="5" t="s">
        <v>948</v>
      </c>
      <c r="D14667" s="5" t="s">
        <v>1836</v>
      </c>
      <c r="E14667" s="6" t="s">
        <v>489</v>
      </c>
      <c r="F14667" s="5" t="s">
        <v>521</v>
      </c>
      <c r="G14667" s="6" t="str">
        <f>VLOOKUP(E14667,dicionario!$A$1:$C15067,2,0)</f>
        <v>Cenchrus echinatus</v>
      </c>
      <c r="H14667" s="6" t="str">
        <f>VLOOKUP(E14667,dicionario!$A$1:$C15067,3,0)</f>
        <v>capim-carrapicho</v>
      </c>
    </row>
    <row r="14668">
      <c r="A14668" s="3">
        <v>45926.0</v>
      </c>
      <c r="B14668" s="4">
        <v>0.33194444444444443</v>
      </c>
      <c r="C14668" s="5" t="s">
        <v>948</v>
      </c>
      <c r="D14668" s="5" t="s">
        <v>1836</v>
      </c>
      <c r="E14668" s="6" t="s">
        <v>148</v>
      </c>
      <c r="F14668" s="5" t="s">
        <v>149</v>
      </c>
      <c r="G14668" s="6" t="str">
        <f>VLOOKUP(E14668,dicionario!$A$1:$C15068,2,0)</f>
        <v>Parthenium hysterophorus</v>
      </c>
      <c r="H14668" s="6" t="str">
        <f>VLOOKUP(E14668,dicionario!$A$1:$C15068,3,0)</f>
        <v>losna-branca</v>
      </c>
    </row>
    <row r="14669">
      <c r="A14669" s="3">
        <v>45926.0</v>
      </c>
      <c r="B14669" s="4">
        <v>0.33194444444444443</v>
      </c>
      <c r="C14669" s="5" t="s">
        <v>948</v>
      </c>
      <c r="D14669" s="5" t="s">
        <v>1836</v>
      </c>
      <c r="E14669" s="65" t="s">
        <v>288</v>
      </c>
      <c r="F14669" s="5" t="s">
        <v>289</v>
      </c>
      <c r="G14669" s="6" t="str">
        <f>VLOOKUP(E14669,dicionario!$A$1:$C15069,2,0)</f>
        <v>Phyllanthus tenellus</v>
      </c>
      <c r="H14669" s="6" t="str">
        <f>VLOOKUP(E14669,dicionario!$A$1:$C15069,3,0)</f>
        <v>quebra-pedra</v>
      </c>
    </row>
    <row r="14670">
      <c r="A14670" s="3">
        <v>45926.0</v>
      </c>
      <c r="B14670" s="4">
        <v>0.33194444444444443</v>
      </c>
      <c r="C14670" s="5" t="s">
        <v>948</v>
      </c>
      <c r="D14670" s="5" t="s">
        <v>1836</v>
      </c>
      <c r="E14670" s="11" t="s">
        <v>1524</v>
      </c>
      <c r="F14670" s="5" t="s">
        <v>1525</v>
      </c>
      <c r="G14670" s="6" t="str">
        <f>VLOOKUP(E14670,dicionario!$A$1:$C15070,2,0)</f>
        <v>Tolmomyias flaviventris</v>
      </c>
      <c r="H14670" s="6" t="str">
        <f>VLOOKUP(E14670,dicionario!$A$1:$C15070,3,0)</f>
        <v>bico-chato-amarelo</v>
      </c>
    </row>
    <row r="14671">
      <c r="A14671" s="3">
        <v>45926.0</v>
      </c>
      <c r="B14671" s="4">
        <v>0.33194444444444443</v>
      </c>
      <c r="C14671" s="5" t="s">
        <v>948</v>
      </c>
      <c r="D14671" s="5" t="s">
        <v>1836</v>
      </c>
      <c r="E14671" s="8" t="s">
        <v>1087</v>
      </c>
      <c r="F14671" s="5"/>
      <c r="G14671" s="6" t="str">
        <f>VLOOKUP(E14671,dicionario!$A$1:$C15071,2,0)</f>
        <v>Desmodium triflorum</v>
      </c>
      <c r="H14671" s="6" t="str">
        <f>VLOOKUP(E14671,dicionario!$A$1:$C15071,3,0)</f>
        <v/>
      </c>
    </row>
    <row r="14672">
      <c r="A14672" s="3">
        <v>45926.0</v>
      </c>
      <c r="B14672" s="4">
        <v>0.33194444444444443</v>
      </c>
      <c r="C14672" s="5" t="s">
        <v>948</v>
      </c>
      <c r="D14672" s="5" t="s">
        <v>1836</v>
      </c>
      <c r="E14672" s="6" t="s">
        <v>163</v>
      </c>
      <c r="F14672" s="5" t="s">
        <v>164</v>
      </c>
      <c r="G14672" s="6" t="str">
        <f>VLOOKUP(E14672,dicionario!$A$1:$C15072,2,0)</f>
        <v>Coragyps atratus</v>
      </c>
      <c r="H14672" s="6" t="str">
        <f>VLOOKUP(E14672,dicionario!$A$1:$C15072,3,0)</f>
        <v>urubu-de-cabeça-preta</v>
      </c>
    </row>
    <row r="14673">
      <c r="A14673" s="3">
        <v>45926.0</v>
      </c>
      <c r="B14673" s="4">
        <v>0.3326388888888889</v>
      </c>
      <c r="C14673" s="5" t="s">
        <v>948</v>
      </c>
      <c r="D14673" s="5" t="s">
        <v>1836</v>
      </c>
      <c r="E14673" s="6" t="s">
        <v>682</v>
      </c>
      <c r="F14673" s="5" t="s">
        <v>683</v>
      </c>
      <c r="G14673" s="6" t="str">
        <f>VLOOKUP(E14673,dicionario!$A$1:$C15073,2,0)</f>
        <v>Lagria villosa</v>
      </c>
      <c r="H14673" s="6" t="str">
        <f>VLOOKUP(E14673,dicionario!$A$1:$C15073,3,0)</f>
        <v>bicho-capixaba</v>
      </c>
    </row>
    <row r="14674">
      <c r="A14674" s="3">
        <v>45926.0</v>
      </c>
      <c r="B14674" s="4">
        <v>0.33402777777777776</v>
      </c>
      <c r="C14674" s="5" t="s">
        <v>948</v>
      </c>
      <c r="D14674" s="5" t="s">
        <v>1836</v>
      </c>
      <c r="E14674" s="6" t="s">
        <v>55</v>
      </c>
      <c r="F14674" s="5" t="s">
        <v>621</v>
      </c>
      <c r="G14674" s="6" t="str">
        <f>VLOOKUP(E14674,dicionario!$A$1:$C15074,2,0)</f>
        <v>Cubaris murina</v>
      </c>
      <c r="H14674" s="6" t="str">
        <f>VLOOKUP(E14674,dicionario!$A$1:$C15074,3,0)</f>
        <v>tatuzinho-de-jardim</v>
      </c>
    </row>
    <row r="14675">
      <c r="A14675" s="3">
        <v>45926.0</v>
      </c>
      <c r="B14675" s="4">
        <v>0.33402777777777776</v>
      </c>
      <c r="C14675" s="5" t="s">
        <v>948</v>
      </c>
      <c r="D14675" s="5" t="s">
        <v>1836</v>
      </c>
      <c r="E14675" s="8" t="s">
        <v>171</v>
      </c>
      <c r="F14675" s="5" t="s">
        <v>172</v>
      </c>
      <c r="G14675" s="6" t="str">
        <f>VLOOKUP(E14675,dicionario!$A$1:$C15075,2,0)</f>
        <v>Oxalis corniculata</v>
      </c>
      <c r="H14675" s="6" t="str">
        <f>VLOOKUP(E14675,dicionario!$A$1:$C15075,3,0)</f>
        <v>trevo-azedinho</v>
      </c>
    </row>
    <row r="14676">
      <c r="A14676" s="3">
        <v>45926.0</v>
      </c>
      <c r="B14676" s="4">
        <v>0.33541666666666664</v>
      </c>
      <c r="C14676" s="5" t="s">
        <v>948</v>
      </c>
      <c r="D14676" s="5" t="s">
        <v>1836</v>
      </c>
      <c r="E14676" s="6" t="s">
        <v>446</v>
      </c>
      <c r="F14676" s="5" t="s">
        <v>447</v>
      </c>
      <c r="G14676" s="6" t="str">
        <f>VLOOKUP(E14676,dicionario!$A$1:$C15076,2,0)</f>
        <v>Cyanerpes cyaneus</v>
      </c>
      <c r="H14676" s="6" t="str">
        <f>VLOOKUP(E14676,dicionario!$A$1:$C15076,3,0)</f>
        <v>saíra-beija-flor</v>
      </c>
    </row>
    <row r="14677">
      <c r="A14677" s="3">
        <v>45926.0</v>
      </c>
      <c r="B14677" s="4">
        <v>0.33541666666666664</v>
      </c>
      <c r="C14677" s="5" t="s">
        <v>948</v>
      </c>
      <c r="D14677" s="5" t="s">
        <v>1836</v>
      </c>
      <c r="E14677" s="65" t="s">
        <v>91</v>
      </c>
      <c r="F14677" s="5" t="s">
        <v>92</v>
      </c>
      <c r="G14677" s="6" t="str">
        <f>VLOOKUP(E14677,dicionario!$A$1:$C15077,2,0)</f>
        <v>Picumnus cirratus</v>
      </c>
      <c r="H14677" s="6" t="str">
        <f>VLOOKUP(E14677,dicionario!$A$1:$C15077,3,0)</f>
        <v>picapauzinho-barrado</v>
      </c>
    </row>
    <row r="14678">
      <c r="A14678" s="3">
        <v>45926.0</v>
      </c>
      <c r="B14678" s="4">
        <v>0.33819444444444446</v>
      </c>
      <c r="C14678" s="5" t="s">
        <v>76</v>
      </c>
      <c r="D14678" s="5" t="s">
        <v>1836</v>
      </c>
      <c r="E14678" s="8" t="s">
        <v>821</v>
      </c>
      <c r="F14678" s="5" t="s">
        <v>876</v>
      </c>
      <c r="G14678" s="6" t="str">
        <f>VLOOKUP(E14678,dicionario!$A$1:$C15078,2,0)</f>
        <v>Schefflera actinophylla</v>
      </c>
      <c r="H14678" s="6" t="str">
        <f>VLOOKUP(E14678,dicionario!$A$1:$C15078,3,0)</f>
        <v>árvore-guarda-chuva</v>
      </c>
    </row>
    <row r="14679">
      <c r="A14679" s="3">
        <v>45926.0</v>
      </c>
      <c r="B14679" s="4">
        <v>0.33819444444444446</v>
      </c>
      <c r="C14679" s="5" t="s">
        <v>76</v>
      </c>
      <c r="D14679" s="5" t="s">
        <v>1836</v>
      </c>
      <c r="E14679" s="6" t="s">
        <v>163</v>
      </c>
      <c r="F14679" s="5" t="s">
        <v>164</v>
      </c>
      <c r="G14679" s="6" t="str">
        <f>VLOOKUP(E14679,dicionario!$A$1:$C15079,2,0)</f>
        <v>Coragyps atratus</v>
      </c>
      <c r="H14679" s="6" t="str">
        <f>VLOOKUP(E14679,dicionario!$A$1:$C15079,3,0)</f>
        <v>urubu-de-cabeça-preta</v>
      </c>
    </row>
    <row r="14680">
      <c r="A14680" s="3">
        <v>45926.0</v>
      </c>
      <c r="B14680" s="4">
        <v>0.33819444444444446</v>
      </c>
      <c r="C14680" s="5" t="s">
        <v>76</v>
      </c>
      <c r="D14680" s="5" t="s">
        <v>1836</v>
      </c>
      <c r="E14680" s="6" t="s">
        <v>253</v>
      </c>
      <c r="F14680" s="5" t="s">
        <v>254</v>
      </c>
      <c r="G14680" s="6" t="str">
        <f>VLOOKUP(E14680,dicionario!$A$1:$C15080,2,0)</f>
        <v>Panicum maximum</v>
      </c>
      <c r="H14680" s="6" t="str">
        <f>VLOOKUP(E14680,dicionario!$A$1:$C15080,3,0)</f>
        <v>capim-colonião</v>
      </c>
    </row>
    <row r="14681">
      <c r="A14681" s="3">
        <v>45926.0</v>
      </c>
      <c r="B14681" s="4">
        <v>0.33819444444444446</v>
      </c>
      <c r="C14681" s="5" t="s">
        <v>76</v>
      </c>
      <c r="D14681" s="5" t="s">
        <v>1836</v>
      </c>
      <c r="E14681" s="8" t="s">
        <v>360</v>
      </c>
      <c r="F14681" s="5" t="s">
        <v>361</v>
      </c>
      <c r="G14681" s="6" t="str">
        <f>VLOOKUP(E14681,dicionario!$A$1:$C15081,2,0)</f>
        <v>Chamaecrista rotundifolia</v>
      </c>
      <c r="H14681" s="6" t="str">
        <f>VLOOKUP(E14681,dicionario!$A$1:$C15081,3,0)</f>
        <v>alfafa-nativa</v>
      </c>
    </row>
    <row r="14682">
      <c r="A14682" s="3">
        <v>45926.0</v>
      </c>
      <c r="B14682" s="4">
        <v>0.33819444444444446</v>
      </c>
      <c r="C14682" s="5" t="s">
        <v>76</v>
      </c>
      <c r="D14682" s="5" t="s">
        <v>1836</v>
      </c>
      <c r="E14682" s="6" t="s">
        <v>148</v>
      </c>
      <c r="F14682" s="5" t="s">
        <v>149</v>
      </c>
      <c r="G14682" s="6" t="str">
        <f>VLOOKUP(E14682,dicionario!$A$1:$C15082,2,0)</f>
        <v>Parthenium hysterophorus</v>
      </c>
      <c r="H14682" s="6" t="str">
        <f>VLOOKUP(E14682,dicionario!$A$1:$C15082,3,0)</f>
        <v>losna-branca</v>
      </c>
    </row>
    <row r="14683">
      <c r="A14683" s="3">
        <v>45926.0</v>
      </c>
      <c r="B14683" s="4">
        <v>0.33819444444444446</v>
      </c>
      <c r="C14683" s="5" t="s">
        <v>76</v>
      </c>
      <c r="D14683" s="5" t="s">
        <v>1836</v>
      </c>
      <c r="E14683" s="6" t="s">
        <v>154</v>
      </c>
      <c r="F14683" s="5" t="s">
        <v>155</v>
      </c>
      <c r="G14683" s="6" t="str">
        <f>VLOOKUP(E14683,dicionario!$A$1:$C15083,2,0)</f>
        <v>Cyperus rotundus</v>
      </c>
      <c r="H14683" s="6" t="str">
        <f>VLOOKUP(E14683,dicionario!$A$1:$C15083,3,0)</f>
        <v>tiririca</v>
      </c>
    </row>
    <row r="14684">
      <c r="A14684" s="3">
        <v>45926.0</v>
      </c>
      <c r="B14684" s="4">
        <v>0.34097222222222223</v>
      </c>
      <c r="C14684" s="5" t="s">
        <v>76</v>
      </c>
      <c r="D14684" s="5" t="s">
        <v>1836</v>
      </c>
      <c r="E14684" s="6" t="s">
        <v>290</v>
      </c>
      <c r="F14684" s="5" t="s">
        <v>291</v>
      </c>
      <c r="G14684" s="6" t="str">
        <f>VLOOKUP(E14684,dicionario!$A$1:$C15084,2,0)</f>
        <v>Drymaria cordata</v>
      </c>
      <c r="H14684" s="6" t="str">
        <f>VLOOKUP(E14684,dicionario!$A$1:$C15084,3,0)</f>
        <v>orelha-de-rato</v>
      </c>
    </row>
    <row r="14685">
      <c r="A14685" s="3">
        <v>45926.0</v>
      </c>
      <c r="B14685" s="4">
        <v>0.34097222222222223</v>
      </c>
      <c r="C14685" s="5" t="s">
        <v>76</v>
      </c>
      <c r="D14685" s="5" t="s">
        <v>1836</v>
      </c>
      <c r="E14685" s="8" t="s">
        <v>150</v>
      </c>
      <c r="F14685" s="5" t="s">
        <v>151</v>
      </c>
      <c r="G14685" s="6" t="str">
        <f>VLOOKUP(E14685,dicionario!$A$1:$C15085,2,0)</f>
        <v>Amaranthus viridis</v>
      </c>
      <c r="H14685" s="6" t="str">
        <f>VLOOKUP(E14685,dicionario!$A$1:$C15085,3,0)</f>
        <v>caruru-de-mancha</v>
      </c>
    </row>
    <row r="14686">
      <c r="A14686" s="3">
        <v>45926.0</v>
      </c>
      <c r="B14686" s="4">
        <v>0.34097222222222223</v>
      </c>
      <c r="C14686" s="5" t="s">
        <v>76</v>
      </c>
      <c r="D14686" s="5" t="s">
        <v>1836</v>
      </c>
      <c r="E14686" s="8" t="s">
        <v>298</v>
      </c>
      <c r="F14686" s="5"/>
      <c r="G14686" s="6" t="str">
        <f>VLOOKUP(E14686,dicionario!$A$1:$C15086,2,0)</f>
        <v>Alysicarpus vaginalis</v>
      </c>
      <c r="H14686" s="6" t="str">
        <f>VLOOKUP(E14686,dicionario!$A$1:$C15086,3,0)</f>
        <v/>
      </c>
    </row>
    <row r="14687">
      <c r="A14687" s="3">
        <v>45926.0</v>
      </c>
      <c r="B14687" s="4">
        <v>0.34097222222222223</v>
      </c>
      <c r="C14687" s="5" t="s">
        <v>76</v>
      </c>
      <c r="D14687" s="5" t="s">
        <v>1836</v>
      </c>
      <c r="E14687" s="8" t="s">
        <v>135</v>
      </c>
      <c r="F14687" s="5" t="s">
        <v>136</v>
      </c>
      <c r="G14687" s="6" t="str">
        <f>VLOOKUP(E14687,dicionario!$A$1:$C15087,2,0)</f>
        <v>Tridax procumbens</v>
      </c>
      <c r="H14687" s="6" t="str">
        <f>VLOOKUP(E14687,dicionario!$A$1:$C15087,3,0)</f>
        <v>erva-de-touro</v>
      </c>
    </row>
    <row r="14688">
      <c r="A14688" s="3">
        <v>45926.0</v>
      </c>
      <c r="B14688" s="4">
        <v>0.34097222222222223</v>
      </c>
      <c r="C14688" s="5" t="s">
        <v>76</v>
      </c>
      <c r="D14688" s="5" t="s">
        <v>1836</v>
      </c>
      <c r="E14688" s="8" t="s">
        <v>146</v>
      </c>
      <c r="F14688" s="5" t="s">
        <v>147</v>
      </c>
      <c r="G14688" s="6" t="str">
        <f>VLOOKUP(E14688,dicionario!$A$1:$C15088,2,0)</f>
        <v>Euphorbia hirta</v>
      </c>
      <c r="H14688" s="6" t="str">
        <f>VLOOKUP(E14688,dicionario!$A$1:$C15088,3,0)</f>
        <v>erva-de-santa-luzia</v>
      </c>
    </row>
    <row r="14689">
      <c r="A14689" s="3">
        <v>45926.0</v>
      </c>
      <c r="B14689" s="4">
        <v>0.34097222222222223</v>
      </c>
      <c r="C14689" s="5" t="s">
        <v>76</v>
      </c>
      <c r="D14689" s="5" t="s">
        <v>1836</v>
      </c>
      <c r="E14689" s="8" t="s">
        <v>109</v>
      </c>
      <c r="F14689" s="5" t="s">
        <v>110</v>
      </c>
      <c r="G14689" s="6" t="str">
        <f>VLOOKUP(E14689,dicionario!$A$1:$C15089,2,0)</f>
        <v>Tillandsia stricta</v>
      </c>
      <c r="H14689" s="6" t="str">
        <f>VLOOKUP(E14689,dicionario!$A$1:$C15089,3,0)</f>
        <v>cravo-do-mato</v>
      </c>
    </row>
    <row r="14690">
      <c r="A14690" s="3">
        <v>45926.0</v>
      </c>
      <c r="B14690" s="4">
        <v>0.34097222222222223</v>
      </c>
      <c r="C14690" s="5" t="s">
        <v>76</v>
      </c>
      <c r="D14690" s="5" t="s">
        <v>1836</v>
      </c>
      <c r="E14690" s="65" t="s">
        <v>1797</v>
      </c>
      <c r="F14690" s="5" t="s">
        <v>325</v>
      </c>
      <c r="G14690" s="6" t="str">
        <f>VLOOKUP(E14690,dicionario!$A$1:$C15090,2,0)</f>
        <v>Estrilda astrild</v>
      </c>
      <c r="H14690" s="6" t="str">
        <f>VLOOKUP(E14690,dicionario!$A$1:$C15090,3,0)</f>
        <v>bico-de-lacre</v>
      </c>
    </row>
    <row r="14691">
      <c r="A14691" s="3">
        <v>45926.0</v>
      </c>
      <c r="B14691" s="4">
        <v>0.3423611111111111</v>
      </c>
      <c r="C14691" s="5" t="s">
        <v>76</v>
      </c>
      <c r="D14691" s="5" t="s">
        <v>1836</v>
      </c>
      <c r="E14691" s="6" t="s">
        <v>83</v>
      </c>
      <c r="F14691" s="5" t="s">
        <v>84</v>
      </c>
      <c r="G14691" s="6" t="str">
        <f>VLOOKUP(E14691,dicionario!$A$1:$C15091,2,0)</f>
        <v>Anartia jatrophae</v>
      </c>
      <c r="H14691" s="6" t="str">
        <f>VLOOKUP(E14691,dicionario!$A$1:$C15091,3,0)</f>
        <v>borboleta-pavão-branco</v>
      </c>
    </row>
    <row r="14692">
      <c r="A14692" s="3">
        <v>45926.0</v>
      </c>
      <c r="B14692" s="4">
        <v>0.3423611111111111</v>
      </c>
      <c r="C14692" s="5" t="s">
        <v>76</v>
      </c>
      <c r="D14692" s="5" t="s">
        <v>1836</v>
      </c>
      <c r="E14692" s="6" t="s">
        <v>448</v>
      </c>
      <c r="F14692" s="5" t="s">
        <v>1847</v>
      </c>
      <c r="G14692" s="6" t="str">
        <f>VLOOKUP(E14692,dicionario!$A$1:$C15092,2,0)</f>
        <v>Mechanitis polymnia</v>
      </c>
      <c r="H14692" s="6" t="str">
        <f>VLOOKUP(E14692,dicionario!$A$1:$C15092,3,0)</f>
        <v>maria-boba</v>
      </c>
    </row>
    <row r="14693">
      <c r="A14693" s="3">
        <v>45926.0</v>
      </c>
      <c r="B14693" s="4">
        <v>0.3423611111111111</v>
      </c>
      <c r="C14693" s="5" t="s">
        <v>76</v>
      </c>
      <c r="D14693" s="5" t="s">
        <v>1836</v>
      </c>
      <c r="E14693" s="67" t="s">
        <v>1808</v>
      </c>
      <c r="F14693" s="5" t="s">
        <v>1838</v>
      </c>
      <c r="G14693" s="6" t="str">
        <f>VLOOKUP(E14693,dicionario!$A$1:$C15093,2,0)</f>
        <v>Andropogon virginicus</v>
      </c>
      <c r="H14693" s="6" t="str">
        <f>VLOOKUP(E14693,dicionario!$A$1:$C15093,3,0)</f>
        <v>barba-de-bode; capim-barba-de-bode</v>
      </c>
    </row>
    <row r="14694">
      <c r="A14694" s="3">
        <v>45926.0</v>
      </c>
      <c r="B14694" s="4">
        <v>0.3423611111111111</v>
      </c>
      <c r="C14694" s="5" t="s">
        <v>76</v>
      </c>
      <c r="D14694" s="5" t="s">
        <v>1836</v>
      </c>
      <c r="E14694" s="8" t="s">
        <v>1127</v>
      </c>
      <c r="F14694" s="5" t="s">
        <v>1286</v>
      </c>
      <c r="G14694" s="6" t="str">
        <f>VLOOKUP(E14694,dicionario!$A$1:$C15094,2,0)</f>
        <v>Albizia lebbeck</v>
      </c>
      <c r="H14694" s="6" t="str">
        <f>VLOOKUP(E14694,dicionario!$A$1:$C15094,3,0)</f>
        <v>albízia</v>
      </c>
    </row>
    <row r="14695">
      <c r="A14695" s="3">
        <v>45926.0</v>
      </c>
      <c r="B14695" s="4">
        <v>0.3423611111111111</v>
      </c>
      <c r="C14695" s="5" t="s">
        <v>76</v>
      </c>
      <c r="D14695" s="5" t="s">
        <v>1836</v>
      </c>
      <c r="E14695" s="6" t="s">
        <v>122</v>
      </c>
      <c r="F14695" s="5" t="s">
        <v>123</v>
      </c>
      <c r="G14695" s="6" t="str">
        <f>VLOOKUP(E14695,dicionario!$A$1:$C15095,2,0)</f>
        <v>Todirostrum cinereum</v>
      </c>
      <c r="H14695" s="6" t="str">
        <f>VLOOKUP(E14695,dicionario!$A$1:$C15095,3,0)</f>
        <v>ferreirinho-relógio</v>
      </c>
    </row>
    <row r="14696">
      <c r="A14696" s="3">
        <v>45926.0</v>
      </c>
      <c r="B14696" s="4">
        <v>0.3423611111111111</v>
      </c>
      <c r="C14696" s="5" t="s">
        <v>76</v>
      </c>
      <c r="D14696" s="5" t="s">
        <v>1836</v>
      </c>
      <c r="E14696" s="6" t="s">
        <v>292</v>
      </c>
      <c r="F14696" s="5" t="s">
        <v>339</v>
      </c>
      <c r="G14696" s="6" t="str">
        <f>VLOOKUP(E14696,dicionario!$A$1:$C15096,2,0)</f>
        <v>Ascia monuste</v>
      </c>
      <c r="H14696" s="6" t="str">
        <f>VLOOKUP(E14696,dicionario!$A$1:$C15096,3,0)</f>
        <v>borboleta-da-couve</v>
      </c>
    </row>
    <row r="14697">
      <c r="A14697" s="3">
        <v>45926.0</v>
      </c>
      <c r="B14697" s="4">
        <v>0.3423611111111111</v>
      </c>
      <c r="C14697" s="5" t="s">
        <v>76</v>
      </c>
      <c r="D14697" s="5" t="s">
        <v>1836</v>
      </c>
      <c r="E14697" s="6" t="s">
        <v>144</v>
      </c>
      <c r="F14697" s="5" t="s">
        <v>145</v>
      </c>
      <c r="G14697" s="6" t="str">
        <f>VLOOKUP(E14697,dicionario!$A$1:$C15097,2,0)</f>
        <v>Gomphrena globosa</v>
      </c>
      <c r="H14697" s="6" t="str">
        <f>VLOOKUP(E14697,dicionario!$A$1:$C15097,3,0)</f>
        <v>perpétua-rosa</v>
      </c>
    </row>
    <row r="14698">
      <c r="A14698" s="3">
        <v>45926.0</v>
      </c>
      <c r="B14698" s="4">
        <v>0.3423611111111111</v>
      </c>
      <c r="C14698" s="5" t="s">
        <v>76</v>
      </c>
      <c r="D14698" s="5" t="s">
        <v>1836</v>
      </c>
      <c r="E14698" s="6" t="s">
        <v>247</v>
      </c>
      <c r="F14698" s="5" t="s">
        <v>387</v>
      </c>
      <c r="G14698" s="6" t="str">
        <f>VLOOKUP(E14698,dicionario!$A$1:$C15098,2,0)</f>
        <v>Emilia sonchifolia</v>
      </c>
      <c r="H14698" s="6" t="str">
        <f>VLOOKUP(E14698,dicionario!$A$1:$C15098,3,0)</f>
        <v>serralinha</v>
      </c>
    </row>
    <row r="14699">
      <c r="A14699" s="3">
        <v>45926.0</v>
      </c>
      <c r="B14699" s="4">
        <v>0.34305555555555556</v>
      </c>
      <c r="C14699" s="5" t="s">
        <v>76</v>
      </c>
      <c r="D14699" s="5" t="s">
        <v>1836</v>
      </c>
      <c r="E14699" s="65" t="s">
        <v>88</v>
      </c>
      <c r="F14699" s="5" t="s">
        <v>89</v>
      </c>
      <c r="G14699" s="6" t="str">
        <f>VLOOKUP(E14699,dicionario!$A$1:$C15099,2,0)</f>
        <v>Tyrannus melancolichus</v>
      </c>
      <c r="H14699" s="6" t="str">
        <f>VLOOKUP(E14699,dicionario!$A$1:$C15099,3,0)</f>
        <v>suiriri</v>
      </c>
    </row>
    <row r="14700">
      <c r="A14700" s="3">
        <v>45926.0</v>
      </c>
      <c r="B14700" s="4">
        <v>0.34305555555555556</v>
      </c>
      <c r="C14700" s="5" t="s">
        <v>76</v>
      </c>
      <c r="D14700" s="5" t="s">
        <v>1836</v>
      </c>
      <c r="E14700" s="6" t="s">
        <v>286</v>
      </c>
      <c r="F14700" s="5" t="s">
        <v>287</v>
      </c>
      <c r="G14700" s="6" t="str">
        <f>VLOOKUP(E14700,dicionario!$A$1:$C15100,2,0)</f>
        <v>Setaria parviflora</v>
      </c>
      <c r="H14700" s="6" t="str">
        <f>VLOOKUP(E14700,dicionario!$A$1:$C15100,3,0)</f>
        <v>capim-rabo-de-raposa</v>
      </c>
    </row>
    <row r="14701">
      <c r="A14701" s="3">
        <v>45926.0</v>
      </c>
      <c r="B14701" s="4">
        <v>0.34305555555555556</v>
      </c>
      <c r="C14701" s="5" t="s">
        <v>76</v>
      </c>
      <c r="D14701" s="5" t="s">
        <v>1836</v>
      </c>
      <c r="E14701" s="65" t="s">
        <v>271</v>
      </c>
      <c r="F14701" s="5" t="s">
        <v>1169</v>
      </c>
      <c r="G14701" s="6" t="str">
        <f>VLOOKUP(E14701,dicionario!$A$1:$C15101,2,0)</f>
        <v>Cyanthillium cinereum</v>
      </c>
      <c r="H14701" s="6" t="str">
        <f>VLOOKUP(E14701,dicionario!$A$1:$C15101,3,0)</f>
        <v>emília</v>
      </c>
    </row>
    <row r="14702">
      <c r="A14702" s="3">
        <v>45926.0</v>
      </c>
      <c r="B14702" s="4">
        <v>0.34305555555555556</v>
      </c>
      <c r="C14702" s="5" t="s">
        <v>76</v>
      </c>
      <c r="D14702" s="5" t="s">
        <v>1836</v>
      </c>
      <c r="E14702" s="6" t="s">
        <v>353</v>
      </c>
      <c r="F14702" s="5" t="s">
        <v>354</v>
      </c>
      <c r="G14702" s="6" t="str">
        <f>VLOOKUP(E14702,dicionario!$A$1:$C15102,2,0)</f>
        <v>Desmodium incanum</v>
      </c>
      <c r="H14702" s="6" t="str">
        <f>VLOOKUP(E14702,dicionario!$A$1:$C15102,3,0)</f>
        <v>pega-pega</v>
      </c>
    </row>
    <row r="14703">
      <c r="A14703" s="3">
        <v>45926.0</v>
      </c>
      <c r="B14703" s="4">
        <v>0.34305555555555556</v>
      </c>
      <c r="C14703" s="5" t="s">
        <v>76</v>
      </c>
      <c r="D14703" s="5" t="s">
        <v>1836</v>
      </c>
      <c r="E14703" s="8" t="s">
        <v>1087</v>
      </c>
      <c r="F14703" s="5"/>
      <c r="G14703" s="6" t="str">
        <f>VLOOKUP(E14703,dicionario!$A$1:$C15103,2,0)</f>
        <v>Desmodium triflorum</v>
      </c>
      <c r="H14703" s="6" t="str">
        <f>VLOOKUP(E14703,dicionario!$A$1:$C15103,3,0)</f>
        <v/>
      </c>
    </row>
    <row r="14704">
      <c r="A14704" s="3">
        <v>45926.0</v>
      </c>
      <c r="B14704" s="4">
        <v>0.34305555555555556</v>
      </c>
      <c r="C14704" s="5" t="s">
        <v>76</v>
      </c>
      <c r="D14704" s="5" t="s">
        <v>1836</v>
      </c>
      <c r="E14704" s="6" t="s">
        <v>183</v>
      </c>
      <c r="F14704" s="5" t="s">
        <v>277</v>
      </c>
      <c r="G14704" s="6" t="str">
        <f>VLOOKUP(E14704,dicionario!$A$1:$C15104,2,0)</f>
        <v>Thunbergia alata</v>
      </c>
      <c r="H14704" s="6" t="str">
        <f>VLOOKUP(E14704,dicionario!$A$1:$C15104,3,0)</f>
        <v>susana-dos-olhos-negros</v>
      </c>
    </row>
    <row r="14705">
      <c r="A14705" s="3">
        <v>45926.0</v>
      </c>
      <c r="B14705" s="4">
        <v>0.34305555555555556</v>
      </c>
      <c r="C14705" s="5" t="s">
        <v>76</v>
      </c>
      <c r="D14705" s="5" t="s">
        <v>1836</v>
      </c>
      <c r="E14705" s="53" t="s">
        <v>1175</v>
      </c>
      <c r="F14705" s="5" t="s">
        <v>1738</v>
      </c>
      <c r="G14705" s="6" t="str">
        <f>VLOOKUP(E14705,dicionario!$A$1:$C15105,2,0)</f>
        <v>Danaus erippus</v>
      </c>
      <c r="H14705" s="6" t="str">
        <f>VLOOKUP(E14705,dicionario!$A$1:$C15105,3,0)</f>
        <v>borboleta-monarca-do-sul</v>
      </c>
    </row>
    <row r="14706">
      <c r="A14706" s="3">
        <v>45926.0</v>
      </c>
      <c r="B14706" s="4">
        <v>0.34305555555555556</v>
      </c>
      <c r="C14706" s="5" t="s">
        <v>76</v>
      </c>
      <c r="D14706" s="5" t="s">
        <v>1836</v>
      </c>
      <c r="E14706" s="6" t="s">
        <v>328</v>
      </c>
      <c r="F14706" s="5" t="s">
        <v>329</v>
      </c>
      <c r="G14706" s="6" t="str">
        <f>VLOOKUP(E14706,dicionario!$A$1:$C15106,2,0)</f>
        <v>Rivina humilis</v>
      </c>
      <c r="H14706" s="6" t="str">
        <f>VLOOKUP(E14706,dicionario!$A$1:$C15106,3,0)</f>
        <v>baga-de-sangue</v>
      </c>
    </row>
    <row r="14707">
      <c r="A14707" s="3">
        <v>45926.0</v>
      </c>
      <c r="B14707" s="4">
        <v>0.34305555555555556</v>
      </c>
      <c r="C14707" s="5" t="s">
        <v>76</v>
      </c>
      <c r="D14707" s="5" t="s">
        <v>1836</v>
      </c>
      <c r="E14707" s="6" t="s">
        <v>427</v>
      </c>
      <c r="F14707" s="5" t="s">
        <v>428</v>
      </c>
      <c r="G14707" s="6" t="str">
        <f>VLOOKUP(E14707,dicionario!$A$1:$C15107,2,0)</f>
        <v>Condylostylus longicornis</v>
      </c>
      <c r="H14707" s="6" t="str">
        <f>VLOOKUP(E14707,dicionario!$A$1:$C15107,3,0)</f>
        <v>mosca-de-pernas-longas</v>
      </c>
    </row>
    <row r="14708">
      <c r="A14708" s="3">
        <v>45926.0</v>
      </c>
      <c r="B14708" s="4">
        <v>0.34305555555555556</v>
      </c>
      <c r="C14708" s="5" t="s">
        <v>76</v>
      </c>
      <c r="D14708" s="5" t="s">
        <v>1836</v>
      </c>
      <c r="E14708" s="6" t="s">
        <v>227</v>
      </c>
      <c r="F14708" s="5" t="s">
        <v>228</v>
      </c>
      <c r="G14708" s="6" t="str">
        <f>VLOOKUP(E14708,dicionario!$A$1:$C15108,2,0)</f>
        <v>Indigofera hirsuta</v>
      </c>
      <c r="H14708" s="6" t="str">
        <f>VLOOKUP(E14708,dicionario!$A$1:$C15108,3,0)</f>
        <v>anileira</v>
      </c>
    </row>
    <row r="14709">
      <c r="A14709" s="3">
        <v>45926.0</v>
      </c>
      <c r="B14709" s="4">
        <v>0.34305555555555556</v>
      </c>
      <c r="C14709" s="5" t="s">
        <v>76</v>
      </c>
      <c r="D14709" s="5" t="s">
        <v>1836</v>
      </c>
      <c r="E14709" s="8" t="s">
        <v>498</v>
      </c>
      <c r="F14709" s="5" t="s">
        <v>499</v>
      </c>
      <c r="G14709" s="6" t="str">
        <f>VLOOKUP(E14709,dicionario!$A$1:$C15109,2,0)</f>
        <v>Brachiaria decumbens</v>
      </c>
      <c r="H14709" s="6" t="str">
        <f>VLOOKUP(E14709,dicionario!$A$1:$C15109,3,0)</f>
        <v>capim-braquiária</v>
      </c>
    </row>
    <row r="14710">
      <c r="A14710" s="3">
        <v>45926.0</v>
      </c>
      <c r="B14710" s="4">
        <v>0.34305555555555556</v>
      </c>
      <c r="C14710" s="5" t="s">
        <v>76</v>
      </c>
      <c r="D14710" s="5" t="s">
        <v>1836</v>
      </c>
      <c r="E14710" s="8" t="s">
        <v>280</v>
      </c>
      <c r="F14710" s="5" t="s">
        <v>281</v>
      </c>
      <c r="G14710" s="6" t="str">
        <f>VLOOKUP(E14710,dicionario!$A$1:$C15110,2,0)</f>
        <v>Lepidium virginicum</v>
      </c>
      <c r="H14710" s="6" t="str">
        <f>VLOOKUP(E14710,dicionario!$A$1:$C15110,3,0)</f>
        <v>mastruz</v>
      </c>
    </row>
    <row r="14711">
      <c r="A14711" s="3">
        <v>45926.0</v>
      </c>
      <c r="B14711" s="4">
        <v>0.34305555555555556</v>
      </c>
      <c r="C14711" s="5" t="s">
        <v>76</v>
      </c>
      <c r="D14711" s="5" t="s">
        <v>1836</v>
      </c>
      <c r="E14711" s="6"/>
      <c r="F14711" s="5" t="s">
        <v>1848</v>
      </c>
      <c r="G14711" s="6" t="str">
        <f>VLOOKUP(E14711,dicionario!$A$1:$C15111,2,0)</f>
        <v>#N/A</v>
      </c>
      <c r="H14711" s="6" t="str">
        <f>VLOOKUP(E14711,dicionario!$A$1:$C15111,3,0)</f>
        <v>#N/A</v>
      </c>
    </row>
    <row r="14712">
      <c r="A14712" s="3">
        <v>45926.0</v>
      </c>
      <c r="B14712" s="4">
        <v>0.34444444444444444</v>
      </c>
      <c r="C14712" s="5" t="s">
        <v>76</v>
      </c>
      <c r="D14712" s="5" t="s">
        <v>1836</v>
      </c>
      <c r="E14712" s="8" t="s">
        <v>239</v>
      </c>
      <c r="F14712" s="5" t="s">
        <v>240</v>
      </c>
      <c r="G14712" s="6" t="str">
        <f>VLOOKUP(E14712,dicionario!$A$1:$C15112,2,0)</f>
        <v>Gomphrena celosioides</v>
      </c>
      <c r="H14712" s="6" t="str">
        <f>VLOOKUP(E14712,dicionario!$A$1:$C15112,3,0)</f>
        <v>perpétua-branca</v>
      </c>
    </row>
    <row r="14713">
      <c r="A14713" s="3">
        <v>45926.0</v>
      </c>
      <c r="B14713" s="4">
        <v>0.34444444444444444</v>
      </c>
      <c r="C14713" s="5" t="s">
        <v>76</v>
      </c>
      <c r="D14713" s="5" t="s">
        <v>1836</v>
      </c>
      <c r="E14713" s="77" t="s">
        <v>1492</v>
      </c>
      <c r="F14713" s="5" t="s">
        <v>1677</v>
      </c>
      <c r="G14713" s="6" t="str">
        <f>VLOOKUP(E14713,dicionario!$A$1:$C15113,2,0)</f>
        <v>Myiarchus tyrannulus</v>
      </c>
      <c r="H14713" s="6" t="str">
        <f>VLOOKUP(E14713,dicionario!$A$1:$C15113,3,0)</f>
        <v>maria-cavaleira-de-rabo-enferrujado</v>
      </c>
    </row>
    <row r="14714">
      <c r="A14714" s="3">
        <v>45926.0</v>
      </c>
      <c r="B14714" s="4">
        <v>0.34444444444444444</v>
      </c>
      <c r="C14714" s="5" t="s">
        <v>76</v>
      </c>
      <c r="D14714" s="5" t="s">
        <v>1836</v>
      </c>
      <c r="E14714" s="8" t="s">
        <v>245</v>
      </c>
      <c r="F14714" s="5" t="s">
        <v>246</v>
      </c>
      <c r="G14714" s="6" t="str">
        <f>VLOOKUP(E14714,dicionario!$A$1:$C15114,2,0)</f>
        <v>Hemiargus hanno</v>
      </c>
      <c r="H14714" s="6" t="str">
        <f>VLOOKUP(E14714,dicionario!$A$1:$C15114,3,0)</f>
        <v>borboleta-azulzinha-do-trevo</v>
      </c>
    </row>
    <row r="14715">
      <c r="A14715" s="3">
        <v>45926.0</v>
      </c>
      <c r="B14715" s="4">
        <v>0.34444444444444444</v>
      </c>
      <c r="C14715" s="5" t="s">
        <v>76</v>
      </c>
      <c r="D14715" s="5" t="s">
        <v>1836</v>
      </c>
      <c r="E14715" s="72" t="s">
        <v>535</v>
      </c>
      <c r="F14715" s="82" t="s">
        <v>395</v>
      </c>
      <c r="G14715" s="6" t="str">
        <f>VLOOKUP(E14715,dicionario!$A$1:$C15115,2,0)</f>
        <v>Odonata</v>
      </c>
      <c r="H14715" s="6" t="str">
        <f>VLOOKUP(E14715,dicionario!$A$1:$C15115,3,0)</f>
        <v>libélula</v>
      </c>
    </row>
    <row r="14716">
      <c r="A14716" s="3">
        <v>45926.0</v>
      </c>
      <c r="B14716" s="4">
        <v>0.3451388888888889</v>
      </c>
      <c r="C14716" s="5" t="s">
        <v>76</v>
      </c>
      <c r="D14716" s="5" t="s">
        <v>1836</v>
      </c>
      <c r="E14716" s="6" t="s">
        <v>294</v>
      </c>
      <c r="F14716" s="5" t="s">
        <v>295</v>
      </c>
      <c r="G14716" s="6" t="str">
        <f>VLOOKUP(E14716,dicionario!$A$1:$C15116,2,0)</f>
        <v>Cycloneda sanguinea</v>
      </c>
      <c r="H14716" s="6" t="str">
        <f>VLOOKUP(E14716,dicionario!$A$1:$C15116,3,0)</f>
        <v>joaninha-sem-pintas</v>
      </c>
    </row>
    <row r="14717">
      <c r="A14717" s="3">
        <v>45926.0</v>
      </c>
      <c r="B14717" s="4">
        <v>0.3451388888888889</v>
      </c>
      <c r="C14717" s="5" t="s">
        <v>76</v>
      </c>
      <c r="D14717" s="5" t="s">
        <v>1836</v>
      </c>
      <c r="E14717" s="53" t="s">
        <v>786</v>
      </c>
      <c r="F14717" s="5" t="s">
        <v>787</v>
      </c>
      <c r="G14717" s="6" t="str">
        <f>VLOOKUP(E14717,dicionario!$A$1:$C15117,2,0)</f>
        <v>Lycianthes asarifolia</v>
      </c>
      <c r="H14717" s="6" t="str">
        <f>VLOOKUP(E14717,dicionario!$A$1:$C15117,3,0)</f>
        <v>joá-rasteiro</v>
      </c>
    </row>
    <row r="14718">
      <c r="A14718" s="3">
        <v>45926.0</v>
      </c>
      <c r="B14718" s="4">
        <v>0.3451388888888889</v>
      </c>
      <c r="C14718" s="5" t="s">
        <v>76</v>
      </c>
      <c r="D14718" s="5" t="s">
        <v>1836</v>
      </c>
      <c r="E14718" s="65" t="s">
        <v>1849</v>
      </c>
      <c r="F14718" s="5" t="s">
        <v>1504</v>
      </c>
      <c r="G14718" s="6" t="str">
        <f>VLOOKUP(E14718,dicionario!$A$1:$C15118,2,0)</f>
        <v>Nicotiana plumbaginifolia</v>
      </c>
      <c r="H14718" s="6" t="str">
        <f>VLOOKUP(E14718,dicionario!$A$1:$C15118,3,0)</f>
        <v>tabaco</v>
      </c>
    </row>
    <row r="14719">
      <c r="A14719" s="3">
        <v>45926.0</v>
      </c>
      <c r="B14719" s="4">
        <v>0.3451388888888889</v>
      </c>
      <c r="C14719" s="5" t="s">
        <v>76</v>
      </c>
      <c r="D14719" s="5" t="s">
        <v>1836</v>
      </c>
      <c r="E14719" s="8" t="s">
        <v>952</v>
      </c>
      <c r="F14719" s="5" t="s">
        <v>953</v>
      </c>
      <c r="G14719" s="6" t="str">
        <f>VLOOKUP(E14719,dicionario!$A$1:$C15119,2,0)</f>
        <v>Christella dentata</v>
      </c>
      <c r="H14719" s="6" t="str">
        <f>VLOOKUP(E14719,dicionario!$A$1:$C15119,3,0)</f>
        <v>samambaia-rabo-de-gato</v>
      </c>
    </row>
    <row r="14720">
      <c r="A14720" s="3">
        <v>45926.0</v>
      </c>
      <c r="B14720" s="4">
        <v>0.3451388888888889</v>
      </c>
      <c r="C14720" s="5" t="s">
        <v>76</v>
      </c>
      <c r="D14720" s="5" t="s">
        <v>1836</v>
      </c>
      <c r="E14720" s="6" t="s">
        <v>113</v>
      </c>
      <c r="F14720" s="5" t="s">
        <v>114</v>
      </c>
      <c r="G14720" s="6" t="str">
        <f>VLOOKUP(E14720,dicionario!$A$1:$C15120,2,0)</f>
        <v>Columbina talpacoti</v>
      </c>
      <c r="H14720" s="6" t="str">
        <f>VLOOKUP(E14720,dicionario!$A$1:$C15120,3,0)</f>
        <v>rolinha-roxa</v>
      </c>
    </row>
    <row r="14721">
      <c r="A14721" s="3">
        <v>45926.0</v>
      </c>
      <c r="B14721" s="4">
        <v>0.3451388888888889</v>
      </c>
      <c r="C14721" s="5" t="s">
        <v>76</v>
      </c>
      <c r="D14721" s="5" t="s">
        <v>1836</v>
      </c>
      <c r="E14721" s="65" t="s">
        <v>504</v>
      </c>
      <c r="F14721" s="5" t="s">
        <v>534</v>
      </c>
      <c r="G14721" s="6" t="str">
        <f>VLOOKUP(E14721,dicionario!$A$1:$C15121,2,0)</f>
        <v>Cleome aculeata</v>
      </c>
      <c r="H14721" s="6" t="str">
        <f>VLOOKUP(E14721,dicionario!$A$1:$C15121,3,0)</f>
        <v>cleome</v>
      </c>
    </row>
    <row r="14722">
      <c r="A14722" s="3">
        <v>45926.0</v>
      </c>
      <c r="B14722" s="4">
        <v>0.3458333333333333</v>
      </c>
      <c r="C14722" s="5" t="s">
        <v>76</v>
      </c>
      <c r="D14722" s="5" t="s">
        <v>1836</v>
      </c>
      <c r="E14722" s="8" t="s">
        <v>171</v>
      </c>
      <c r="F14722" s="5" t="s">
        <v>172</v>
      </c>
      <c r="G14722" s="6" t="str">
        <f>VLOOKUP(E14722,dicionario!$A$1:$C15122,2,0)</f>
        <v>Oxalis corniculata</v>
      </c>
      <c r="H14722" s="6" t="str">
        <f>VLOOKUP(E14722,dicionario!$A$1:$C15122,3,0)</f>
        <v>trevo-azedinho</v>
      </c>
    </row>
    <row r="14723">
      <c r="A14723" s="3">
        <v>45926.0</v>
      </c>
      <c r="B14723" s="4">
        <v>0.3458333333333333</v>
      </c>
      <c r="C14723" s="5" t="s">
        <v>76</v>
      </c>
      <c r="D14723" s="5" t="s">
        <v>1836</v>
      </c>
      <c r="E14723" s="65" t="s">
        <v>88</v>
      </c>
      <c r="F14723" s="5" t="s">
        <v>89</v>
      </c>
      <c r="G14723" s="6" t="str">
        <f>VLOOKUP(E14723,dicionario!$A$1:$C15123,2,0)</f>
        <v>Tyrannus melancolichus</v>
      </c>
      <c r="H14723" s="6" t="str">
        <f>VLOOKUP(E14723,dicionario!$A$1:$C15123,3,0)</f>
        <v>suiriri</v>
      </c>
    </row>
    <row r="14724">
      <c r="A14724" s="3">
        <v>45926.0</v>
      </c>
      <c r="B14724" s="4">
        <v>0.3458333333333333</v>
      </c>
      <c r="C14724" s="5" t="s">
        <v>76</v>
      </c>
      <c r="D14724" s="5" t="s">
        <v>1836</v>
      </c>
      <c r="E14724" s="6" t="s">
        <v>65</v>
      </c>
      <c r="F14724" s="5" t="s">
        <v>66</v>
      </c>
      <c r="G14724" s="6" t="str">
        <f>VLOOKUP(E14724,dicionario!$A$1:$C15124,2,0)</f>
        <v>Pitangus sulphutarus</v>
      </c>
      <c r="H14724" s="6" t="str">
        <f>VLOOKUP(E14724,dicionario!$A$1:$C15124,3,0)</f>
        <v>bem-te-vi</v>
      </c>
    </row>
    <row r="14725">
      <c r="A14725" s="3">
        <v>45926.0</v>
      </c>
      <c r="B14725" s="4">
        <v>0.3458333333333333</v>
      </c>
      <c r="C14725" s="5" t="s">
        <v>76</v>
      </c>
      <c r="D14725" s="5" t="s">
        <v>1836</v>
      </c>
      <c r="E14725" s="6" t="s">
        <v>225</v>
      </c>
      <c r="F14725" s="5" t="s">
        <v>226</v>
      </c>
      <c r="G14725" s="6" t="str">
        <f>VLOOKUP(E14725,dicionario!$A$1:$C15125,2,0)</f>
        <v>Passer domesticus</v>
      </c>
      <c r="H14725" s="6" t="str">
        <f>VLOOKUP(E14725,dicionario!$A$1:$C15125,3,0)</f>
        <v>pardal</v>
      </c>
    </row>
    <row r="14726">
      <c r="A14726" s="3">
        <v>45926.0</v>
      </c>
      <c r="B14726" s="4">
        <v>0.3458333333333333</v>
      </c>
      <c r="C14726" s="5" t="s">
        <v>76</v>
      </c>
      <c r="D14726" s="5" t="s">
        <v>1836</v>
      </c>
      <c r="E14726" s="8" t="s">
        <v>20</v>
      </c>
      <c r="F14726" s="5" t="s">
        <v>21</v>
      </c>
      <c r="G14726" s="6" t="str">
        <f>VLOOKUP(E14726,dicionario!$A$1:$C15126,2,0)</f>
        <v>Sicalis flaveola</v>
      </c>
      <c r="H14726" s="6" t="str">
        <f>VLOOKUP(E14726,dicionario!$A$1:$C15126,3,0)</f>
        <v>canário-da-terra</v>
      </c>
    </row>
    <row r="14727">
      <c r="A14727" s="3">
        <v>45926.0</v>
      </c>
      <c r="B14727" s="4">
        <v>0.34652777777777777</v>
      </c>
      <c r="C14727" s="5" t="s">
        <v>76</v>
      </c>
      <c r="D14727" s="5" t="s">
        <v>1836</v>
      </c>
      <c r="E14727" s="6" t="s">
        <v>48</v>
      </c>
      <c r="F14727" s="5" t="s">
        <v>49</v>
      </c>
      <c r="G14727" s="6" t="str">
        <f>VLOOKUP(E14727,dicionario!$A$1:$C15128,2,0)</f>
        <v>Commelina erecta</v>
      </c>
      <c r="H14727" s="6" t="str">
        <f>VLOOKUP(E14727,dicionario!$A$1:$C15128,3,0)</f>
        <v>trapoeraba</v>
      </c>
    </row>
    <row r="14728">
      <c r="A14728" s="3">
        <v>45926.0</v>
      </c>
      <c r="B14728" s="4">
        <v>0.34652777777777777</v>
      </c>
      <c r="C14728" s="5" t="s">
        <v>76</v>
      </c>
      <c r="D14728" s="5" t="s">
        <v>1836</v>
      </c>
      <c r="E14728" s="8" t="s">
        <v>262</v>
      </c>
      <c r="F14728" s="5" t="s">
        <v>263</v>
      </c>
      <c r="G14728" s="6" t="str">
        <f>VLOOKUP(E14728,dicionario!$A$1:$C15129,2,0)</f>
        <v>Portulaca oleracea</v>
      </c>
      <c r="H14728" s="6" t="str">
        <f>VLOOKUP(E14728,dicionario!$A$1:$C15129,3,0)</f>
        <v>beldroega</v>
      </c>
    </row>
    <row r="14729">
      <c r="A14729" s="3">
        <v>45926.0</v>
      </c>
      <c r="B14729" s="4">
        <v>0.3472222222222222</v>
      </c>
      <c r="C14729" s="5" t="s">
        <v>76</v>
      </c>
      <c r="D14729" s="5" t="s">
        <v>1836</v>
      </c>
      <c r="E14729" s="8" t="s">
        <v>69</v>
      </c>
      <c r="F14729" s="5" t="s">
        <v>71</v>
      </c>
      <c r="G14729" s="6" t="str">
        <f>VLOOKUP(E14729,dicionario!$A$1:$C15130,2,0)</f>
        <v>Talinum fruticosum</v>
      </c>
      <c r="H14729" s="6" t="str">
        <f>VLOOKUP(E14729,dicionario!$A$1:$C15130,3,0)</f>
        <v>beldroega-grande</v>
      </c>
    </row>
    <row r="14730">
      <c r="A14730" s="3">
        <v>45926.0</v>
      </c>
      <c r="B14730" s="4">
        <v>0.3472222222222222</v>
      </c>
      <c r="C14730" s="5" t="s">
        <v>76</v>
      </c>
      <c r="D14730" s="5" t="s">
        <v>1836</v>
      </c>
      <c r="E14730" s="8" t="s">
        <v>1694</v>
      </c>
      <c r="F14730" s="5" t="s">
        <v>1695</v>
      </c>
      <c r="G14730" s="6" t="str">
        <f>VLOOKUP(E14730,dicionario!$A$1:$C15131,2,0)</f>
        <v>Conyza bonariensis</v>
      </c>
      <c r="H14730" s="6" t="str">
        <f>VLOOKUP(E14730,dicionario!$A$1:$C15131,3,0)</f>
        <v>buva</v>
      </c>
    </row>
    <row r="14731">
      <c r="A14731" s="3">
        <v>45926.0</v>
      </c>
      <c r="B14731" s="4">
        <v>0.3472222222222222</v>
      </c>
      <c r="C14731" s="5" t="s">
        <v>76</v>
      </c>
      <c r="D14731" s="5" t="s">
        <v>1836</v>
      </c>
      <c r="E14731" s="6" t="s">
        <v>251</v>
      </c>
      <c r="F14731" s="5" t="s">
        <v>252</v>
      </c>
      <c r="G14731" s="6" t="str">
        <f>VLOOKUP(E14731,dicionario!$A$1:$C15132,2,0)</f>
        <v>Struthanthus flexicaulis</v>
      </c>
      <c r="H14731" s="6" t="str">
        <f>VLOOKUP(E14731,dicionario!$A$1:$C15132,3,0)</f>
        <v>erva-de-passarinho</v>
      </c>
    </row>
    <row r="14732">
      <c r="A14732" s="3">
        <v>45926.0</v>
      </c>
      <c r="B14732" s="4">
        <v>0.34791666666666665</v>
      </c>
      <c r="C14732" s="5" t="s">
        <v>76</v>
      </c>
      <c r="D14732" s="5" t="s">
        <v>1836</v>
      </c>
      <c r="E14732" s="8" t="s">
        <v>38</v>
      </c>
      <c r="F14732" s="5" t="s">
        <v>1672</v>
      </c>
      <c r="G14732" s="6" t="str">
        <f>VLOOKUP(E14732,dicionario!$A$1:$C15133,2,0)</f>
        <v>Troglodytes musculus</v>
      </c>
      <c r="H14732" s="6" t="str">
        <f>VLOOKUP(E14732,dicionario!$A$1:$C15133,3,0)</f>
        <v>curruíra</v>
      </c>
    </row>
    <row r="14733">
      <c r="A14733" s="3">
        <v>45926.0</v>
      </c>
      <c r="B14733" s="4">
        <v>0.34930555555555554</v>
      </c>
      <c r="C14733" s="5" t="s">
        <v>76</v>
      </c>
      <c r="D14733" s="5" t="s">
        <v>1836</v>
      </c>
      <c r="E14733" s="6" t="s">
        <v>631</v>
      </c>
      <c r="F14733" s="5" t="s">
        <v>632</v>
      </c>
      <c r="G14733" s="6" t="str">
        <f>VLOOKUP(E14733,dicionario!$A$1:$C15134,2,0)</f>
        <v>Chamaecrista nictitans</v>
      </c>
      <c r="H14733" s="6" t="str">
        <f>VLOOKUP(E14733,dicionario!$A$1:$C15134,3,0)</f>
        <v>falsa-dormideira</v>
      </c>
    </row>
    <row r="14734">
      <c r="A14734" s="3">
        <v>45926.0</v>
      </c>
      <c r="B14734" s="4">
        <v>0.34930555555555554</v>
      </c>
      <c r="C14734" s="5" t="s">
        <v>76</v>
      </c>
      <c r="D14734" s="5" t="s">
        <v>1836</v>
      </c>
      <c r="E14734" s="6" t="s">
        <v>383</v>
      </c>
      <c r="F14734" s="5" t="s">
        <v>384</v>
      </c>
      <c r="G14734" s="6" t="str">
        <f>VLOOKUP(E14734,dicionario!$A$1:$C15135,2,0)</f>
        <v>Setophaga pitiayumi</v>
      </c>
      <c r="H14734" s="6" t="str">
        <f>VLOOKUP(E14734,dicionario!$A$1:$C15135,3,0)</f>
        <v>mariquita</v>
      </c>
    </row>
    <row r="14735">
      <c r="A14735" s="3">
        <v>45926.0</v>
      </c>
      <c r="B14735" s="4">
        <v>0.34930555555555554</v>
      </c>
      <c r="C14735" s="5" t="s">
        <v>76</v>
      </c>
      <c r="D14735" s="5" t="s">
        <v>1836</v>
      </c>
      <c r="E14735" s="65" t="s">
        <v>1394</v>
      </c>
      <c r="F14735" s="5" t="s">
        <v>1395</v>
      </c>
      <c r="G14735" s="6" t="str">
        <f>VLOOKUP(E14735,dicionario!$A$1:$C15136,2,0)</f>
        <v>Cecropia glaziovii</v>
      </c>
      <c r="H14735" s="6" t="str">
        <f>VLOOKUP(E14735,dicionario!$A$1:$C15136,3,0)</f>
        <v>embaúba-vermelha-do-sul</v>
      </c>
    </row>
    <row r="14736">
      <c r="A14736" s="3">
        <v>45926.0</v>
      </c>
      <c r="B14736" s="4">
        <v>0.3506944444444444</v>
      </c>
      <c r="C14736" s="5" t="s">
        <v>76</v>
      </c>
      <c r="D14736" s="5" t="s">
        <v>1836</v>
      </c>
      <c r="E14736" s="6" t="s">
        <v>116</v>
      </c>
      <c r="F14736" s="5" t="s">
        <v>117</v>
      </c>
      <c r="G14736" s="6" t="str">
        <f>VLOOKUP(E14736,dicionario!$A$1:$C15137,2,0)</f>
        <v>Argiope argentata</v>
      </c>
      <c r="H14736" s="6" t="str">
        <f>VLOOKUP(E14736,dicionario!$A$1:$C15137,3,0)</f>
        <v>aranha-de-prata</v>
      </c>
    </row>
    <row r="14737">
      <c r="A14737" s="3">
        <v>45926.0</v>
      </c>
      <c r="B14737" s="4">
        <v>0.3506944444444444</v>
      </c>
      <c r="C14737" s="5" t="s">
        <v>76</v>
      </c>
      <c r="D14737" s="5" t="s">
        <v>1836</v>
      </c>
      <c r="E14737" s="65" t="s">
        <v>375</v>
      </c>
      <c r="F14737" s="5"/>
      <c r="G14737" s="6" t="str">
        <f>VLOOKUP(E14737,dicionario!$A$1:$C15138,2,0)</f>
        <v>Neoponera foetida</v>
      </c>
      <c r="H14737" s="6" t="str">
        <f>VLOOKUP(E14737,dicionario!$A$1:$C15138,3,0)</f>
        <v/>
      </c>
    </row>
    <row r="14738">
      <c r="A14738" s="3">
        <v>45926.0</v>
      </c>
      <c r="B14738" s="4">
        <v>0.3541666666666667</v>
      </c>
      <c r="C14738" s="5" t="s">
        <v>1034</v>
      </c>
      <c r="D14738" s="5" t="s">
        <v>1836</v>
      </c>
      <c r="E14738" s="8" t="s">
        <v>109</v>
      </c>
      <c r="F14738" s="5" t="s">
        <v>110</v>
      </c>
      <c r="G14738" s="6" t="str">
        <f>VLOOKUP(E14738,dicionario!$A$1:$C15139,2,0)</f>
        <v>Tillandsia stricta</v>
      </c>
      <c r="H14738" s="6" t="str">
        <f>VLOOKUP(E14738,dicionario!$A$1:$C15139,3,0)</f>
        <v>cravo-do-mato</v>
      </c>
    </row>
    <row r="14739">
      <c r="A14739" s="3">
        <v>45926.0</v>
      </c>
      <c r="B14739" s="4">
        <v>0.3541666666666667</v>
      </c>
      <c r="C14739" s="5" t="s">
        <v>1034</v>
      </c>
      <c r="D14739" s="5" t="s">
        <v>1836</v>
      </c>
      <c r="E14739" s="6" t="s">
        <v>48</v>
      </c>
      <c r="F14739" s="5" t="s">
        <v>49</v>
      </c>
      <c r="G14739" s="6" t="str">
        <f>VLOOKUP(E14739,dicionario!$A$1:$C15140,2,0)</f>
        <v>Commelina erecta</v>
      </c>
      <c r="H14739" s="6" t="str">
        <f>VLOOKUP(E14739,dicionario!$A$1:$C15140,3,0)</f>
        <v>trapoeraba</v>
      </c>
    </row>
    <row r="14740">
      <c r="A14740" s="3">
        <v>45926.0</v>
      </c>
      <c r="B14740" s="4">
        <v>0.3541666666666667</v>
      </c>
      <c r="C14740" s="5" t="s">
        <v>1034</v>
      </c>
      <c r="D14740" s="5" t="s">
        <v>1836</v>
      </c>
      <c r="E14740" s="8" t="s">
        <v>271</v>
      </c>
      <c r="F14740" s="5" t="s">
        <v>1169</v>
      </c>
      <c r="G14740" s="6" t="str">
        <f>VLOOKUP(E14740,dicionario!$A$1:$C15141,2,0)</f>
        <v>Cyanthillium cinereum</v>
      </c>
      <c r="H14740" s="6" t="str">
        <f>VLOOKUP(E14740,dicionario!$A$1:$C15141,3,0)</f>
        <v>emília</v>
      </c>
    </row>
    <row r="14741">
      <c r="A14741" s="3">
        <v>45926.0</v>
      </c>
      <c r="B14741" s="4">
        <v>0.3541666666666667</v>
      </c>
      <c r="C14741" s="5" t="s">
        <v>1034</v>
      </c>
      <c r="D14741" s="5" t="s">
        <v>1836</v>
      </c>
      <c r="E14741" s="6" t="s">
        <v>213</v>
      </c>
      <c r="F14741" s="5" t="s">
        <v>214</v>
      </c>
      <c r="G14741" s="6" t="str">
        <f>VLOOKUP(E14741,dicionario!$A$1:$C15142,2,0)</f>
        <v>Myiozetetes similis</v>
      </c>
      <c r="H14741" s="6" t="str">
        <f>VLOOKUP(E14741,dicionario!$A$1:$C15142,3,0)</f>
        <v>bentevizinho-de-penacho-vermelho</v>
      </c>
    </row>
    <row r="14742">
      <c r="A14742" s="3">
        <v>45926.0</v>
      </c>
      <c r="B14742" s="4">
        <v>0.3541666666666667</v>
      </c>
      <c r="C14742" s="5" t="s">
        <v>1034</v>
      </c>
      <c r="D14742" s="5" t="s">
        <v>1836</v>
      </c>
      <c r="E14742" s="6" t="s">
        <v>175</v>
      </c>
      <c r="F14742" s="5" t="s">
        <v>176</v>
      </c>
      <c r="G14742" s="6" t="str">
        <f>VLOOKUP(E14742,dicionario!$A$1:$C15143,2,0)</f>
        <v>Turdus leucomelas</v>
      </c>
      <c r="H14742" s="6" t="str">
        <f>VLOOKUP(E14742,dicionario!$A$1:$C15143,3,0)</f>
        <v>sabiá-barranco</v>
      </c>
    </row>
    <row r="14743">
      <c r="A14743" s="3">
        <v>45926.0</v>
      </c>
      <c r="B14743" s="4">
        <v>0.3541666666666667</v>
      </c>
      <c r="C14743" s="5" t="s">
        <v>1034</v>
      </c>
      <c r="D14743" s="5" t="s">
        <v>1836</v>
      </c>
      <c r="E14743" s="6" t="s">
        <v>122</v>
      </c>
      <c r="F14743" s="5" t="s">
        <v>123</v>
      </c>
      <c r="G14743" s="6" t="str">
        <f>VLOOKUP(E14743,dicionario!$A$1:$C15144,2,0)</f>
        <v>Todirostrum cinereum</v>
      </c>
      <c r="H14743" s="6" t="str">
        <f>VLOOKUP(E14743,dicionario!$A$1:$C15144,3,0)</f>
        <v>ferreirinho-relógio</v>
      </c>
    </row>
    <row r="14744">
      <c r="A14744" s="3">
        <v>45926.0</v>
      </c>
      <c r="B14744" s="4">
        <v>0.3541666666666667</v>
      </c>
      <c r="C14744" s="5" t="s">
        <v>1034</v>
      </c>
      <c r="D14744" s="5" t="s">
        <v>1836</v>
      </c>
      <c r="E14744" s="8" t="s">
        <v>10</v>
      </c>
      <c r="F14744" s="5" t="s">
        <v>1545</v>
      </c>
      <c r="G14744" s="6" t="str">
        <f>VLOOKUP(E14744,dicionario!$A$1:$C15145,2,0)</f>
        <v>Guira guira</v>
      </c>
      <c r="H14744" s="6" t="str">
        <f>VLOOKUP(E14744,dicionario!$A$1:$C15145,3,0)</f>
        <v>anu-branco</v>
      </c>
    </row>
    <row r="14745">
      <c r="A14745" s="3">
        <v>45926.0</v>
      </c>
      <c r="B14745" s="4">
        <v>0.35555555555555557</v>
      </c>
      <c r="C14745" s="5" t="s">
        <v>1034</v>
      </c>
      <c r="D14745" s="5" t="s">
        <v>1836</v>
      </c>
      <c r="E14745" s="6" t="s">
        <v>383</v>
      </c>
      <c r="F14745" s="5" t="s">
        <v>384</v>
      </c>
      <c r="G14745" s="6" t="str">
        <f>VLOOKUP(E14745,dicionario!$A$1:$C15146,2,0)</f>
        <v>Setophaga pitiayumi</v>
      </c>
      <c r="H14745" s="6" t="str">
        <f>VLOOKUP(E14745,dicionario!$A$1:$C15146,3,0)</f>
        <v>mariquita</v>
      </c>
    </row>
    <row r="14746">
      <c r="A14746" s="3">
        <v>45926.0</v>
      </c>
      <c r="B14746" s="4">
        <v>0.35555555555555557</v>
      </c>
      <c r="C14746" s="5" t="s">
        <v>1034</v>
      </c>
      <c r="D14746" s="5" t="s">
        <v>1836</v>
      </c>
      <c r="E14746" s="6" t="s">
        <v>83</v>
      </c>
      <c r="F14746" s="5" t="s">
        <v>84</v>
      </c>
      <c r="G14746" s="6" t="str">
        <f>VLOOKUP(E14746,dicionario!$A$1:$C15147,2,0)</f>
        <v>Anartia jatrophae</v>
      </c>
      <c r="H14746" s="6" t="str">
        <f>VLOOKUP(E14746,dicionario!$A$1:$C15147,3,0)</f>
        <v>borboleta-pavão-branco</v>
      </c>
    </row>
    <row r="14747">
      <c r="A14747" s="3">
        <v>45926.0</v>
      </c>
      <c r="B14747" s="4">
        <v>0.35555555555555557</v>
      </c>
      <c r="C14747" s="5" t="s">
        <v>1034</v>
      </c>
      <c r="D14747" s="5" t="s">
        <v>1836</v>
      </c>
      <c r="E14747" s="6" t="s">
        <v>448</v>
      </c>
      <c r="F14747" s="5" t="s">
        <v>462</v>
      </c>
      <c r="G14747" s="6" t="str">
        <f>VLOOKUP(E14747,dicionario!$A$1:$C15148,2,0)</f>
        <v>Mechanitis polymnia</v>
      </c>
      <c r="H14747" s="6" t="str">
        <f>VLOOKUP(E14747,dicionario!$A$1:$C15148,3,0)</f>
        <v>maria-boba</v>
      </c>
    </row>
    <row r="14748">
      <c r="A14748" s="3">
        <v>45926.0</v>
      </c>
      <c r="B14748" s="4">
        <v>0.35555555555555557</v>
      </c>
      <c r="C14748" s="5" t="s">
        <v>1034</v>
      </c>
      <c r="D14748" s="5" t="s">
        <v>1836</v>
      </c>
      <c r="E14748" s="8" t="s">
        <v>162</v>
      </c>
      <c r="F14748" s="5" t="s">
        <v>42</v>
      </c>
      <c r="G14748" s="6" t="str">
        <f>VLOOKUP(E14748,dicionario!$A$1:$C15149,2,0)</f>
        <v>Fluvicola nengeta</v>
      </c>
      <c r="H14748" s="6" t="str">
        <f>VLOOKUP(E14748,dicionario!$A$1:$C15149,3,0)</f>
        <v>lavadeira-mascarada</v>
      </c>
    </row>
    <row r="14749">
      <c r="A14749" s="3">
        <v>45926.0</v>
      </c>
      <c r="B14749" s="4">
        <v>0.35555555555555557</v>
      </c>
      <c r="C14749" s="5" t="s">
        <v>1034</v>
      </c>
      <c r="D14749" s="5" t="s">
        <v>1836</v>
      </c>
      <c r="E14749" s="8" t="s">
        <v>38</v>
      </c>
      <c r="F14749" s="5" t="s">
        <v>1672</v>
      </c>
      <c r="G14749" s="6" t="str">
        <f>VLOOKUP(E14749,dicionario!$A$1:$C15150,2,0)</f>
        <v>Troglodytes musculus</v>
      </c>
      <c r="H14749" s="6" t="str">
        <f>VLOOKUP(E14749,dicionario!$A$1:$C15150,3,0)</f>
        <v>curruíra</v>
      </c>
    </row>
    <row r="14750">
      <c r="A14750" s="3">
        <v>45926.0</v>
      </c>
      <c r="B14750" s="4">
        <v>0.35694444444444445</v>
      </c>
      <c r="C14750" s="5" t="s">
        <v>1034</v>
      </c>
      <c r="D14750" s="5" t="s">
        <v>1836</v>
      </c>
      <c r="E14750" s="6" t="s">
        <v>399</v>
      </c>
      <c r="F14750" s="5" t="s">
        <v>400</v>
      </c>
      <c r="G14750" s="6" t="str">
        <f>VLOOKUP(E14750,dicionario!$A$1:$C15151,2,0)</f>
        <v>Varronia curassavica</v>
      </c>
      <c r="H14750" s="6" t="str">
        <f>VLOOKUP(E14750,dicionario!$A$1:$C15151,3,0)</f>
        <v>erva-baleeira</v>
      </c>
    </row>
    <row r="14751">
      <c r="A14751" s="3">
        <v>45926.0</v>
      </c>
      <c r="B14751" s="4">
        <v>0.35694444444444445</v>
      </c>
      <c r="C14751" s="5" t="s">
        <v>1034</v>
      </c>
      <c r="D14751" s="5" t="s">
        <v>1836</v>
      </c>
      <c r="E14751" s="6" t="s">
        <v>53</v>
      </c>
      <c r="F14751" s="5" t="s">
        <v>54</v>
      </c>
      <c r="G14751" s="6" t="str">
        <f>VLOOKUP(E14751,dicionario!$A$1:$C15152,2,0)</f>
        <v>Turnera subulata</v>
      </c>
      <c r="H14751" s="6" t="str">
        <f>VLOOKUP(E14751,dicionario!$A$1:$C15152,3,0)</f>
        <v>xanana</v>
      </c>
    </row>
    <row r="14752">
      <c r="A14752" s="3">
        <v>45926.0</v>
      </c>
      <c r="B14752" s="4">
        <v>0.35694444444444445</v>
      </c>
      <c r="C14752" s="5" t="s">
        <v>1034</v>
      </c>
      <c r="D14752" s="5" t="s">
        <v>1836</v>
      </c>
      <c r="E14752" s="8" t="s">
        <v>298</v>
      </c>
      <c r="F14752" s="5"/>
      <c r="G14752" s="6" t="str">
        <f>VLOOKUP(E14752,dicionario!$A$1:$C15153,2,0)</f>
        <v>Alysicarpus vaginalis</v>
      </c>
      <c r="H14752" s="6" t="str">
        <f>VLOOKUP(E14752,dicionario!$A$1:$C15153,3,0)</f>
        <v/>
      </c>
    </row>
    <row r="14753">
      <c r="A14753" s="3">
        <v>45926.0</v>
      </c>
      <c r="B14753" s="4">
        <v>0.35694444444444445</v>
      </c>
      <c r="C14753" s="5" t="s">
        <v>1034</v>
      </c>
      <c r="D14753" s="5" t="s">
        <v>1836</v>
      </c>
      <c r="E14753" s="8" t="s">
        <v>41</v>
      </c>
      <c r="F14753" s="5" t="s">
        <v>45</v>
      </c>
      <c r="G14753" s="6" t="str">
        <f>VLOOKUP(E14753,dicionario!$A$1:$C15154,2,0)</f>
        <v>Mimosa pudica</v>
      </c>
      <c r="H14753" s="6" t="str">
        <f>VLOOKUP(E14753,dicionario!$A$1:$C15154,3,0)</f>
        <v>dormideira</v>
      </c>
    </row>
    <row r="14754">
      <c r="A14754" s="3">
        <v>45926.0</v>
      </c>
      <c r="B14754" s="4">
        <v>0.3576388888888889</v>
      </c>
      <c r="C14754" s="5" t="s">
        <v>1034</v>
      </c>
      <c r="D14754" s="5" t="s">
        <v>1836</v>
      </c>
      <c r="E14754" s="83" t="s">
        <v>517</v>
      </c>
      <c r="F14754" s="5" t="s">
        <v>1457</v>
      </c>
      <c r="G14754" s="6" t="str">
        <f>VLOOKUP(E14754,dicionario!$A$1:$C15156,2,0)</f>
        <v>Evolvulus nummularius</v>
      </c>
      <c r="H14754" s="6" t="str">
        <f>VLOOKUP(E14754,dicionario!$A$1:$C15156,3,0)</f>
        <v/>
      </c>
    </row>
    <row r="14755">
      <c r="A14755" s="3">
        <v>45926.0</v>
      </c>
      <c r="B14755" s="4">
        <v>0.3576388888888889</v>
      </c>
      <c r="C14755" s="5" t="s">
        <v>1034</v>
      </c>
      <c r="D14755" s="5" t="s">
        <v>1836</v>
      </c>
      <c r="E14755" s="6" t="s">
        <v>353</v>
      </c>
      <c r="F14755" s="5" t="s">
        <v>354</v>
      </c>
      <c r="G14755" s="6" t="str">
        <f>VLOOKUP(E14755,dicionario!$A$1:$C15157,2,0)</f>
        <v>Desmodium incanum</v>
      </c>
      <c r="H14755" s="6" t="str">
        <f>VLOOKUP(E14755,dicionario!$A$1:$C15157,3,0)</f>
        <v>pega-pega</v>
      </c>
    </row>
    <row r="14756">
      <c r="A14756" s="3">
        <v>45926.0</v>
      </c>
      <c r="B14756" s="4">
        <v>0.36041666666666666</v>
      </c>
      <c r="C14756" s="5" t="s">
        <v>1034</v>
      </c>
      <c r="D14756" s="5" t="s">
        <v>1836</v>
      </c>
      <c r="E14756" s="8" t="s">
        <v>262</v>
      </c>
      <c r="F14756" s="5" t="s">
        <v>263</v>
      </c>
      <c r="G14756" s="6" t="str">
        <f>VLOOKUP(E14756,dicionario!$A$1:$C15158,2,0)</f>
        <v>Portulaca oleracea</v>
      </c>
      <c r="H14756" s="6" t="str">
        <f>VLOOKUP(E14756,dicionario!$A$1:$C15158,3,0)</f>
        <v>beldroega</v>
      </c>
    </row>
    <row r="14757">
      <c r="A14757" s="3">
        <v>45926.0</v>
      </c>
      <c r="B14757" s="4">
        <v>0.36041666666666666</v>
      </c>
      <c r="C14757" s="5" t="s">
        <v>1034</v>
      </c>
      <c r="D14757" s="5" t="s">
        <v>1836</v>
      </c>
      <c r="E14757" s="6" t="s">
        <v>401</v>
      </c>
      <c r="F14757" s="5" t="s">
        <v>464</v>
      </c>
      <c r="G14757" s="6" t="str">
        <f>VLOOKUP(E14757,dicionario!$A$1:$C15159,2,0)</f>
        <v>Cissus verticillata</v>
      </c>
      <c r="H14757" s="6" t="str">
        <f>VLOOKUP(E14757,dicionario!$A$1:$C15159,3,0)</f>
        <v>uva-do-mato</v>
      </c>
    </row>
    <row r="14758">
      <c r="A14758" s="3">
        <v>45926.0</v>
      </c>
      <c r="B14758" s="4">
        <v>0.36180555555555555</v>
      </c>
      <c r="C14758" s="5" t="s">
        <v>90</v>
      </c>
      <c r="D14758" s="5" t="s">
        <v>1836</v>
      </c>
      <c r="E14758" s="65" t="s">
        <v>1849</v>
      </c>
      <c r="F14758" s="5" t="s">
        <v>1504</v>
      </c>
      <c r="G14758" s="6" t="str">
        <f>VLOOKUP(E14758,dicionario!$A$1:$C15160,2,0)</f>
        <v>Nicotiana plumbaginifolia</v>
      </c>
      <c r="H14758" s="6" t="str">
        <f>VLOOKUP(E14758,dicionario!$A$1:$C15160,3,0)</f>
        <v>tabaco</v>
      </c>
    </row>
    <row r="14759">
      <c r="A14759" s="3">
        <v>45926.0</v>
      </c>
      <c r="B14759" s="4">
        <v>0.36180555555555555</v>
      </c>
      <c r="C14759" s="5" t="s">
        <v>90</v>
      </c>
      <c r="D14759" s="5" t="s">
        <v>1836</v>
      </c>
      <c r="E14759" s="8" t="s">
        <v>109</v>
      </c>
      <c r="F14759" s="5" t="s">
        <v>110</v>
      </c>
      <c r="G14759" s="6" t="str">
        <f>VLOOKUP(E14759,dicionario!$A$1:$C15161,2,0)</f>
        <v>Tillandsia stricta</v>
      </c>
      <c r="H14759" s="6" t="str">
        <f>VLOOKUP(E14759,dicionario!$A$1:$C15161,3,0)</f>
        <v>cravo-do-mato</v>
      </c>
    </row>
    <row r="14760">
      <c r="A14760" s="3">
        <v>45926.0</v>
      </c>
      <c r="B14760" s="4">
        <v>0.36180555555555555</v>
      </c>
      <c r="C14760" s="5" t="s">
        <v>90</v>
      </c>
      <c r="D14760" s="5" t="s">
        <v>1836</v>
      </c>
      <c r="E14760" s="8" t="s">
        <v>719</v>
      </c>
      <c r="F14760" s="5" t="s">
        <v>911</v>
      </c>
      <c r="G14760" s="6" t="str">
        <f>VLOOKUP(E14760,dicionario!$A$1:$C15162,2,0)</f>
        <v>Dirinaria</v>
      </c>
      <c r="H14760" s="6" t="str">
        <f>VLOOKUP(E14760,dicionario!$A$1:$C15162,3,0)</f>
        <v>líquen-crostoso</v>
      </c>
    </row>
    <row r="14761">
      <c r="A14761" s="3">
        <v>45926.0</v>
      </c>
      <c r="B14761" s="4">
        <v>0.36180555555555555</v>
      </c>
      <c r="C14761" s="5" t="s">
        <v>90</v>
      </c>
      <c r="D14761" s="5" t="s">
        <v>1836</v>
      </c>
      <c r="E14761" s="8" t="s">
        <v>712</v>
      </c>
      <c r="F14761" s="5" t="s">
        <v>912</v>
      </c>
      <c r="G14761" s="6" t="str">
        <f>VLOOKUP(E14761,dicionario!$A$1:$C15163,2,0)</f>
        <v>Flavopunctelia soredica</v>
      </c>
      <c r="H14761" s="6" t="str">
        <f>VLOOKUP(E14761,dicionario!$A$1:$C15163,3,0)</f>
        <v>líquen-folioso</v>
      </c>
    </row>
    <row r="14762">
      <c r="A14762" s="3">
        <v>45926.0</v>
      </c>
      <c r="B14762" s="4">
        <v>0.36180555555555555</v>
      </c>
      <c r="C14762" s="5" t="s">
        <v>90</v>
      </c>
      <c r="D14762" s="5" t="s">
        <v>1836</v>
      </c>
      <c r="E14762" s="8" t="s">
        <v>107</v>
      </c>
      <c r="F14762" s="5" t="s">
        <v>108</v>
      </c>
      <c r="G14762" s="6" t="str">
        <f>VLOOKUP(E14762,dicionario!$A$1:$C15164,2,0)</f>
        <v>Ramalina complanata</v>
      </c>
      <c r="H14762" s="6" t="str">
        <f>VLOOKUP(E14762,dicionario!$A$1:$C15164,3,0)</f>
        <v>ramalina</v>
      </c>
    </row>
    <row r="14763">
      <c r="A14763" s="3">
        <v>45926.0</v>
      </c>
      <c r="B14763" s="4">
        <v>0.36180555555555555</v>
      </c>
      <c r="C14763" s="5" t="s">
        <v>90</v>
      </c>
      <c r="D14763" s="5" t="s">
        <v>1836</v>
      </c>
      <c r="E14763" s="65" t="s">
        <v>1024</v>
      </c>
      <c r="F14763" s="5" t="s">
        <v>969</v>
      </c>
      <c r="G14763" s="6" t="str">
        <f>VLOOKUP(E14763,dicionario!$A$1:$C15165,2,0)</f>
        <v>Usnea barbata</v>
      </c>
      <c r="H14763" s="6" t="str">
        <f>VLOOKUP(E14763,dicionario!$A$1:$C15165,3,0)</f>
        <v>barba-de-velho</v>
      </c>
    </row>
    <row r="14764">
      <c r="A14764" s="3">
        <v>45926.0</v>
      </c>
      <c r="B14764" s="4">
        <v>0.36180555555555555</v>
      </c>
      <c r="C14764" s="5" t="s">
        <v>90</v>
      </c>
      <c r="D14764" s="5" t="s">
        <v>1836</v>
      </c>
      <c r="E14764" s="65" t="s">
        <v>298</v>
      </c>
      <c r="F14764" s="5"/>
      <c r="G14764" s="6" t="str">
        <f>VLOOKUP(E14764,dicionario!$A$1:$C15166,2,0)</f>
        <v>Alysicarpus vaginalis</v>
      </c>
      <c r="H14764" s="6" t="str">
        <f>VLOOKUP(E14764,dicionario!$A$1:$C15166,3,0)</f>
        <v/>
      </c>
    </row>
    <row r="14765">
      <c r="A14765" s="3">
        <v>45926.0</v>
      </c>
      <c r="B14765" s="4">
        <v>0.36180555555555555</v>
      </c>
      <c r="C14765" s="5" t="s">
        <v>90</v>
      </c>
      <c r="D14765" s="5" t="s">
        <v>1836</v>
      </c>
      <c r="E14765" s="8" t="s">
        <v>135</v>
      </c>
      <c r="F14765" s="5" t="s">
        <v>136</v>
      </c>
      <c r="G14765" s="6" t="str">
        <f>VLOOKUP(E14765,dicionario!$A$1:$C15167,2,0)</f>
        <v>Tridax procumbens</v>
      </c>
      <c r="H14765" s="6" t="str">
        <f>VLOOKUP(E14765,dicionario!$A$1:$C15167,3,0)</f>
        <v>erva-de-touro</v>
      </c>
    </row>
    <row r="14766">
      <c r="A14766" s="3">
        <v>45926.0</v>
      </c>
      <c r="B14766" s="4">
        <v>0.36319444444444443</v>
      </c>
      <c r="C14766" s="5" t="s">
        <v>90</v>
      </c>
      <c r="D14766" s="5" t="s">
        <v>1836</v>
      </c>
      <c r="E14766" s="8" t="s">
        <v>14</v>
      </c>
      <c r="F14766" s="5" t="s">
        <v>15</v>
      </c>
      <c r="G14766" s="6" t="str">
        <f>VLOOKUP(E14766,dicionario!$A$1:$C15168,2,0)</f>
        <v>Spermacoce verticillata</v>
      </c>
      <c r="H14766" s="6" t="str">
        <f>VLOOKUP(E14766,dicionario!$A$1:$C15168,3,0)</f>
        <v>vassourinha-de-botão</v>
      </c>
    </row>
    <row r="14767">
      <c r="A14767" s="3">
        <v>45926.0</v>
      </c>
      <c r="B14767" s="4">
        <v>0.36319444444444443</v>
      </c>
      <c r="C14767" s="5" t="s">
        <v>90</v>
      </c>
      <c r="D14767" s="5" t="s">
        <v>1836</v>
      </c>
      <c r="E14767" s="6" t="s">
        <v>247</v>
      </c>
      <c r="F14767" s="5" t="s">
        <v>387</v>
      </c>
      <c r="G14767" s="6" t="str">
        <f>VLOOKUP(E14767,dicionario!$A$1:$C15169,2,0)</f>
        <v>Emilia sonchifolia</v>
      </c>
      <c r="H14767" s="6" t="str">
        <f>VLOOKUP(E14767,dicionario!$A$1:$C15169,3,0)</f>
        <v>serralinha</v>
      </c>
    </row>
    <row r="14768">
      <c r="A14768" s="3">
        <v>45926.0</v>
      </c>
      <c r="B14768" s="4">
        <v>0.36319444444444443</v>
      </c>
      <c r="C14768" s="5" t="s">
        <v>90</v>
      </c>
      <c r="D14768" s="5" t="s">
        <v>1836</v>
      </c>
      <c r="E14768" s="6" t="s">
        <v>253</v>
      </c>
      <c r="F14768" s="5" t="s">
        <v>254</v>
      </c>
      <c r="G14768" s="6" t="str">
        <f>VLOOKUP(E14768,dicionario!$A$1:$C15170,2,0)</f>
        <v>Panicum maximum</v>
      </c>
      <c r="H14768" s="6" t="str">
        <f>VLOOKUP(E14768,dicionario!$A$1:$C15170,3,0)</f>
        <v>capim-colonião</v>
      </c>
    </row>
    <row r="14769">
      <c r="A14769" s="3">
        <v>45926.0</v>
      </c>
      <c r="B14769" s="4">
        <v>0.3645833333333333</v>
      </c>
      <c r="C14769" s="5" t="s">
        <v>90</v>
      </c>
      <c r="D14769" s="5" t="s">
        <v>1836</v>
      </c>
      <c r="E14769" s="65" t="s">
        <v>46</v>
      </c>
      <c r="F14769" s="5" t="s">
        <v>47</v>
      </c>
      <c r="G14769" s="6" t="str">
        <f>VLOOKUP(E14769,dicionario!$A$1:$C15171,2,0)</f>
        <v>Chionomesa fimbriata</v>
      </c>
      <c r="H14769" s="6" t="str">
        <f>VLOOKUP(E14769,dicionario!$A$1:$C15171,3,0)</f>
        <v>beija-flor-de-garganta-verde</v>
      </c>
    </row>
    <row r="14770">
      <c r="A14770" s="3">
        <v>45926.0</v>
      </c>
      <c r="B14770" s="4">
        <v>0.3645833333333333</v>
      </c>
      <c r="C14770" s="5" t="s">
        <v>90</v>
      </c>
      <c r="D14770" s="5" t="s">
        <v>1836</v>
      </c>
      <c r="E14770" s="8" t="s">
        <v>360</v>
      </c>
      <c r="F14770" s="5" t="s">
        <v>361</v>
      </c>
      <c r="G14770" s="6" t="str">
        <f>VLOOKUP(E14770,dicionario!$A$1:$C15172,2,0)</f>
        <v>Chamaecrista rotundifolia</v>
      </c>
      <c r="H14770" s="6" t="str">
        <f>VLOOKUP(E14770,dicionario!$A$1:$C15172,3,0)</f>
        <v>alfafa-nativa</v>
      </c>
    </row>
    <row r="14771">
      <c r="A14771" s="3">
        <v>45926.0</v>
      </c>
      <c r="B14771" s="4">
        <v>0.3645833333333333</v>
      </c>
      <c r="C14771" s="5" t="s">
        <v>90</v>
      </c>
      <c r="D14771" s="5" t="s">
        <v>1836</v>
      </c>
      <c r="E14771" s="8" t="s">
        <v>43</v>
      </c>
      <c r="F14771" s="5" t="s">
        <v>1040</v>
      </c>
      <c r="G14771" s="6" t="str">
        <f>VLOOKUP(E14771,dicionario!$A$1:$C15173,2,0)</f>
        <v>Columba livia</v>
      </c>
      <c r="H14771" s="6" t="str">
        <f>VLOOKUP(E14771,dicionario!$A$1:$C15173,3,0)</f>
        <v>pombo-doméstico</v>
      </c>
    </row>
    <row r="14772">
      <c r="A14772" s="3">
        <v>45926.0</v>
      </c>
      <c r="B14772" s="4">
        <v>0.3645833333333333</v>
      </c>
      <c r="C14772" s="5" t="s">
        <v>90</v>
      </c>
      <c r="D14772" s="5" t="s">
        <v>1836</v>
      </c>
      <c r="E14772" s="8" t="s">
        <v>187</v>
      </c>
      <c r="F14772" s="5" t="s">
        <v>70</v>
      </c>
      <c r="G14772" s="6" t="str">
        <f>VLOOKUP(E14772,dicionario!$A$1:$C15174,2,0)</f>
        <v>Tangara cayana</v>
      </c>
      <c r="H14772" s="6" t="str">
        <f>VLOOKUP(E14772,dicionario!$A$1:$C15174,3,0)</f>
        <v>saíra-amarela</v>
      </c>
    </row>
    <row r="14773">
      <c r="A14773" s="3">
        <v>45926.0</v>
      </c>
      <c r="B14773" s="4">
        <v>0.3645833333333333</v>
      </c>
      <c r="C14773" s="5" t="s">
        <v>90</v>
      </c>
      <c r="D14773" s="5" t="s">
        <v>1836</v>
      </c>
      <c r="E14773" s="8" t="s">
        <v>10</v>
      </c>
      <c r="F14773" s="5" t="s">
        <v>1545</v>
      </c>
      <c r="G14773" s="6" t="str">
        <f>VLOOKUP(E14773,dicionario!$A$1:$C15175,2,0)</f>
        <v>Guira guira</v>
      </c>
      <c r="H14773" s="6" t="str">
        <f>VLOOKUP(E14773,dicionario!$A$1:$C15175,3,0)</f>
        <v>anu-branco</v>
      </c>
      <c r="I14773" s="6"/>
    </row>
    <row r="14774">
      <c r="A14774" s="3">
        <v>45926.0</v>
      </c>
      <c r="B14774" s="4">
        <v>0.36666666666666664</v>
      </c>
      <c r="C14774" s="5" t="s">
        <v>90</v>
      </c>
      <c r="D14774" s="5" t="s">
        <v>1836</v>
      </c>
      <c r="E14774" s="6" t="s">
        <v>113</v>
      </c>
      <c r="F14774" s="5" t="s">
        <v>114</v>
      </c>
      <c r="G14774" s="6" t="str">
        <f>VLOOKUP(E14774,dicionario!$A$1:$C15176,2,0)</f>
        <v>Columbina talpacoti</v>
      </c>
      <c r="H14774" s="6" t="str">
        <f>VLOOKUP(E14774,dicionario!$A$1:$C15176,3,0)</f>
        <v>rolinha-roxa</v>
      </c>
    </row>
    <row r="14775">
      <c r="A14775" s="3">
        <v>45926.0</v>
      </c>
      <c r="B14775" s="4">
        <v>0.36666666666666664</v>
      </c>
      <c r="C14775" s="5" t="s">
        <v>90</v>
      </c>
      <c r="D14775" s="5" t="s">
        <v>1836</v>
      </c>
      <c r="E14775" s="8" t="s">
        <v>143</v>
      </c>
      <c r="F14775" s="5" t="s">
        <v>205</v>
      </c>
      <c r="G14775" s="6" t="str">
        <f>VLOOKUP(E14775,dicionario!$A$1:$C15177,2,0)</f>
        <v>Polybia</v>
      </c>
      <c r="H14775" s="6" t="str">
        <f>VLOOKUP(E14775,dicionario!$A$1:$C15177,3,0)</f>
        <v>vespa</v>
      </c>
    </row>
    <row r="14776">
      <c r="A14776" s="3">
        <v>45926.0</v>
      </c>
      <c r="B14776" s="4">
        <v>0.36666666666666664</v>
      </c>
      <c r="C14776" s="5" t="s">
        <v>90</v>
      </c>
      <c r="D14776" s="5" t="s">
        <v>1836</v>
      </c>
      <c r="E14776" s="65" t="s">
        <v>88</v>
      </c>
      <c r="F14776" s="5" t="s">
        <v>89</v>
      </c>
      <c r="G14776" s="6" t="str">
        <f>VLOOKUP(E14776,dicionario!$A$1:$C15178,2,0)</f>
        <v>Tyrannus melancolichus</v>
      </c>
      <c r="H14776" s="6" t="str">
        <f>VLOOKUP(E14776,dicionario!$A$1:$C15178,3,0)</f>
        <v>suiriri</v>
      </c>
    </row>
    <row r="14777">
      <c r="A14777" s="3">
        <v>45926.0</v>
      </c>
      <c r="B14777" s="4">
        <v>0.36666666666666664</v>
      </c>
      <c r="C14777" s="5" t="s">
        <v>90</v>
      </c>
      <c r="D14777" s="5" t="s">
        <v>1836</v>
      </c>
      <c r="E14777" s="6" t="s">
        <v>175</v>
      </c>
      <c r="F14777" s="5" t="s">
        <v>176</v>
      </c>
      <c r="G14777" s="6" t="str">
        <f>VLOOKUP(E14777,dicionario!$A$1:$C15179,2,0)</f>
        <v>Turdus leucomelas</v>
      </c>
      <c r="H14777" s="6" t="str">
        <f>VLOOKUP(E14777,dicionario!$A$1:$C15179,3,0)</f>
        <v>sabiá-barranco</v>
      </c>
    </row>
    <row r="14778">
      <c r="A14778" s="3">
        <v>45926.0</v>
      </c>
      <c r="B14778" s="4">
        <v>0.36666666666666664</v>
      </c>
      <c r="C14778" s="5" t="s">
        <v>90</v>
      </c>
      <c r="D14778" s="5" t="s">
        <v>1836</v>
      </c>
      <c r="E14778" s="8" t="s">
        <v>20</v>
      </c>
      <c r="F14778" s="5" t="s">
        <v>21</v>
      </c>
      <c r="G14778" s="6" t="str">
        <f>VLOOKUP(E14778,dicionario!$A$1:$C15180,2,0)</f>
        <v>Sicalis flaveola</v>
      </c>
      <c r="H14778" s="6" t="str">
        <f>VLOOKUP(E14778,dicionario!$A$1:$C15180,3,0)</f>
        <v>canário-da-terra</v>
      </c>
    </row>
    <row r="14779">
      <c r="A14779" s="3">
        <v>45926.0</v>
      </c>
      <c r="B14779" s="4">
        <v>0.3680555555555556</v>
      </c>
      <c r="C14779" s="5" t="s">
        <v>90</v>
      </c>
      <c r="D14779" s="5" t="s">
        <v>1836</v>
      </c>
      <c r="E14779" s="6" t="s">
        <v>215</v>
      </c>
      <c r="F14779" s="5" t="s">
        <v>216</v>
      </c>
      <c r="G14779" s="6" t="str">
        <f>VLOOKUP(E14779,dicionario!$A$1:$C15181,2,0)</f>
        <v>Pygochelidon cyanoleuca</v>
      </c>
      <c r="H14779" s="6" t="str">
        <f>VLOOKUP(E14779,dicionario!$A$1:$C15181,3,0)</f>
        <v>andorinha-pequena-de-casa</v>
      </c>
    </row>
    <row r="14780">
      <c r="A14780" s="3">
        <v>45926.0</v>
      </c>
      <c r="B14780" s="4">
        <v>0.3680555555555556</v>
      </c>
      <c r="C14780" s="5" t="s">
        <v>90</v>
      </c>
      <c r="D14780" s="5" t="s">
        <v>1836</v>
      </c>
      <c r="E14780" s="76" t="s">
        <v>514</v>
      </c>
      <c r="F14780" s="5" t="s">
        <v>515</v>
      </c>
      <c r="G14780" s="6" t="str">
        <f>VLOOKUP(E14780,dicionario!$A$1:$C15182,2,0)</f>
        <v>Aedes aegypti</v>
      </c>
      <c r="H14780" s="6" t="str">
        <f>VLOOKUP(E14780,dicionario!$A$1:$C15182,3,0)</f>
        <v>mosquito-da-dengue</v>
      </c>
    </row>
    <row r="14781">
      <c r="A14781" s="84">
        <v>45932.0</v>
      </c>
      <c r="B14781" s="4">
        <v>0.26319444444444445</v>
      </c>
      <c r="C14781" s="5" t="s">
        <v>90</v>
      </c>
      <c r="D14781" s="5" t="s">
        <v>1850</v>
      </c>
      <c r="E14781" s="6" t="s">
        <v>43</v>
      </c>
      <c r="F14781" s="82" t="s">
        <v>44</v>
      </c>
      <c r="G14781" s="6" t="str">
        <f>VLOOKUP(E14781,dicionario!$A$1:$C15184,2,0)</f>
        <v>Columba livia</v>
      </c>
      <c r="H14781" s="6" t="str">
        <f>VLOOKUP(E14781,dicionario!$A$1:$C15184,3,0)</f>
        <v>pombo-doméstico</v>
      </c>
    </row>
    <row r="14782">
      <c r="A14782" s="84">
        <v>45932.0</v>
      </c>
      <c r="B14782" s="4">
        <v>0.26319444444444445</v>
      </c>
      <c r="C14782" s="5" t="s">
        <v>90</v>
      </c>
      <c r="D14782" s="5" t="s">
        <v>1850</v>
      </c>
      <c r="E14782" s="65"/>
      <c r="F14782" s="5" t="s">
        <v>860</v>
      </c>
      <c r="G14782" s="6"/>
      <c r="H14782" s="6"/>
    </row>
    <row r="14783">
      <c r="A14783" s="84">
        <v>45932.0</v>
      </c>
      <c r="B14783" s="4">
        <v>0.26319444444444445</v>
      </c>
      <c r="C14783" s="5" t="s">
        <v>90</v>
      </c>
      <c r="D14783" s="5" t="s">
        <v>1850</v>
      </c>
      <c r="E14783" s="65"/>
      <c r="F14783" s="5" t="s">
        <v>1672</v>
      </c>
      <c r="G14783" s="6"/>
      <c r="H14783" s="6"/>
    </row>
    <row r="14784">
      <c r="A14784" s="84">
        <v>45932.0</v>
      </c>
      <c r="B14784" s="4">
        <v>0.2638888888888889</v>
      </c>
      <c r="C14784" s="5" t="s">
        <v>90</v>
      </c>
      <c r="D14784" s="5" t="s">
        <v>1850</v>
      </c>
      <c r="E14784" s="65"/>
      <c r="F14784" s="5" t="s">
        <v>89</v>
      </c>
      <c r="G14784" s="6"/>
      <c r="H14784" s="6"/>
    </row>
    <row r="14785">
      <c r="A14785" s="84">
        <v>45932.0</v>
      </c>
      <c r="B14785" s="4">
        <v>0.2638888888888889</v>
      </c>
      <c r="C14785" s="5" t="s">
        <v>90</v>
      </c>
      <c r="D14785" s="5" t="s">
        <v>1850</v>
      </c>
      <c r="E14785" s="65"/>
      <c r="F14785" s="5" t="s">
        <v>114</v>
      </c>
      <c r="G14785" s="6"/>
      <c r="H14785" s="6"/>
    </row>
    <row r="14786">
      <c r="A14786" s="84">
        <v>45932.0</v>
      </c>
      <c r="B14786" s="4">
        <v>0.26458333333333334</v>
      </c>
      <c r="C14786" s="5" t="s">
        <v>90</v>
      </c>
      <c r="D14786" s="5" t="s">
        <v>1850</v>
      </c>
      <c r="E14786" s="65"/>
      <c r="F14786" s="5" t="s">
        <v>164</v>
      </c>
      <c r="G14786" s="6"/>
      <c r="H14786" s="6"/>
    </row>
    <row r="14787">
      <c r="A14787" s="84">
        <v>45932.0</v>
      </c>
      <c r="B14787" s="4">
        <v>0.26458333333333334</v>
      </c>
      <c r="C14787" s="5" t="s">
        <v>90</v>
      </c>
      <c r="D14787" s="5" t="s">
        <v>1850</v>
      </c>
      <c r="E14787" s="65"/>
      <c r="F14787" s="5" t="s">
        <v>502</v>
      </c>
      <c r="G14787" s="6"/>
      <c r="H14787" s="6"/>
    </row>
    <row r="14788">
      <c r="A14788" s="84">
        <v>45932.0</v>
      </c>
      <c r="B14788" s="4">
        <v>0.26458333333333334</v>
      </c>
      <c r="C14788" s="5" t="s">
        <v>90</v>
      </c>
      <c r="D14788" s="5" t="s">
        <v>1850</v>
      </c>
      <c r="E14788" s="65"/>
      <c r="F14788" s="5" t="s">
        <v>912</v>
      </c>
      <c r="G14788" s="6"/>
      <c r="H14788" s="6"/>
    </row>
    <row r="14789">
      <c r="A14789" s="84">
        <v>45932.0</v>
      </c>
      <c r="B14789" s="4">
        <v>0.2652777777777778</v>
      </c>
      <c r="C14789" s="5" t="s">
        <v>90</v>
      </c>
      <c r="D14789" s="5" t="s">
        <v>1850</v>
      </c>
      <c r="E14789" s="65"/>
      <c r="F14789" s="5" t="s">
        <v>911</v>
      </c>
      <c r="G14789" s="6"/>
      <c r="H14789" s="6"/>
    </row>
    <row r="14790">
      <c r="A14790" s="84">
        <v>45932.0</v>
      </c>
      <c r="B14790" s="4">
        <v>0.2652777777777778</v>
      </c>
      <c r="C14790" s="5" t="s">
        <v>90</v>
      </c>
      <c r="D14790" s="5" t="s">
        <v>1850</v>
      </c>
      <c r="E14790" s="65"/>
      <c r="F14790" s="5" t="s">
        <v>108</v>
      </c>
      <c r="G14790" s="6"/>
      <c r="H14790" s="6"/>
    </row>
    <row r="14791">
      <c r="A14791" s="84">
        <v>45932.0</v>
      </c>
      <c r="B14791" s="4">
        <v>0.2652777777777778</v>
      </c>
      <c r="C14791" s="5" t="s">
        <v>90</v>
      </c>
      <c r="D14791" s="5" t="s">
        <v>1850</v>
      </c>
      <c r="E14791" s="65"/>
      <c r="F14791" s="5" t="s">
        <v>969</v>
      </c>
      <c r="G14791" s="6"/>
      <c r="H14791" s="6"/>
    </row>
    <row r="14792">
      <c r="A14792" s="84">
        <v>45932.0</v>
      </c>
      <c r="B14792" s="4">
        <v>0.2652777777777778</v>
      </c>
      <c r="C14792" s="5" t="s">
        <v>90</v>
      </c>
      <c r="D14792" s="5" t="s">
        <v>1850</v>
      </c>
      <c r="E14792" s="65"/>
      <c r="F14792" s="5" t="s">
        <v>112</v>
      </c>
      <c r="G14792" s="6"/>
      <c r="H14792" s="6"/>
    </row>
    <row r="14793">
      <c r="A14793" s="84">
        <v>45932.0</v>
      </c>
      <c r="B14793" s="4">
        <v>0.2652777777777778</v>
      </c>
      <c r="C14793" s="5" t="s">
        <v>90</v>
      </c>
      <c r="D14793" s="5" t="s">
        <v>1850</v>
      </c>
      <c r="E14793" s="65"/>
      <c r="F14793" s="5" t="s">
        <v>133</v>
      </c>
      <c r="G14793" s="6"/>
      <c r="H14793" s="6"/>
    </row>
    <row r="14794">
      <c r="A14794" s="84">
        <v>45932.0</v>
      </c>
      <c r="B14794" s="4">
        <v>0.2652777777777778</v>
      </c>
      <c r="C14794" s="5" t="s">
        <v>90</v>
      </c>
      <c r="D14794" s="5" t="s">
        <v>1850</v>
      </c>
      <c r="E14794" s="65"/>
      <c r="F14794" s="5" t="s">
        <v>21</v>
      </c>
      <c r="G14794" s="6"/>
      <c r="H14794" s="6"/>
    </row>
    <row r="14795">
      <c r="A14795" s="84">
        <v>45932.0</v>
      </c>
      <c r="B14795" s="4">
        <v>0.2652777777777778</v>
      </c>
      <c r="C14795" s="5" t="s">
        <v>90</v>
      </c>
      <c r="D14795" s="5" t="s">
        <v>1850</v>
      </c>
      <c r="E14795" s="65"/>
      <c r="F14795" s="5" t="s">
        <v>15</v>
      </c>
      <c r="G14795" s="6"/>
      <c r="H14795" s="6"/>
    </row>
    <row r="14796">
      <c r="A14796" s="84">
        <v>45932.0</v>
      </c>
      <c r="B14796" s="4">
        <v>0.2652777777777778</v>
      </c>
      <c r="C14796" s="5" t="s">
        <v>90</v>
      </c>
      <c r="D14796" s="5" t="s">
        <v>1850</v>
      </c>
      <c r="E14796" s="65"/>
      <c r="F14796" s="5" t="s">
        <v>254</v>
      </c>
      <c r="G14796" s="6"/>
      <c r="H14796" s="6"/>
    </row>
    <row r="14797">
      <c r="A14797" s="84">
        <v>45932.0</v>
      </c>
      <c r="B14797" s="4">
        <v>0.26666666666666666</v>
      </c>
      <c r="C14797" s="5" t="s">
        <v>90</v>
      </c>
      <c r="D14797" s="5" t="s">
        <v>1850</v>
      </c>
      <c r="E14797" s="65"/>
      <c r="F14797" s="5" t="s">
        <v>499</v>
      </c>
      <c r="G14797" s="6"/>
      <c r="H14797" s="6"/>
    </row>
    <row r="14798">
      <c r="A14798" s="84">
        <v>45932.0</v>
      </c>
      <c r="B14798" s="4">
        <v>0.26666666666666666</v>
      </c>
      <c r="C14798" s="5" t="s">
        <v>90</v>
      </c>
      <c r="D14798" s="5" t="s">
        <v>1850</v>
      </c>
      <c r="E14798" s="85" t="s">
        <v>298</v>
      </c>
      <c r="F14798" s="5"/>
      <c r="G14798" s="6"/>
      <c r="H14798" s="6"/>
    </row>
    <row r="14799">
      <c r="A14799" s="84">
        <v>45932.0</v>
      </c>
      <c r="B14799" s="4">
        <v>0.26666666666666666</v>
      </c>
      <c r="C14799" s="5" t="s">
        <v>90</v>
      </c>
      <c r="D14799" s="5" t="s">
        <v>1850</v>
      </c>
      <c r="E14799" s="65"/>
      <c r="F14799" s="5" t="s">
        <v>1504</v>
      </c>
      <c r="G14799" s="6"/>
      <c r="H14799" s="6"/>
    </row>
    <row r="14800">
      <c r="A14800" s="84">
        <v>45932.0</v>
      </c>
      <c r="B14800" s="4">
        <v>0.26666666666666666</v>
      </c>
      <c r="C14800" s="5" t="s">
        <v>90</v>
      </c>
      <c r="D14800" s="5" t="s">
        <v>1850</v>
      </c>
      <c r="E14800" s="65"/>
      <c r="F14800" s="5" t="s">
        <v>354</v>
      </c>
      <c r="G14800" s="6"/>
      <c r="H14800" s="6"/>
    </row>
    <row r="14801">
      <c r="A14801" s="84">
        <v>45932.0</v>
      </c>
      <c r="B14801" s="4">
        <v>0.26666666666666666</v>
      </c>
      <c r="C14801" s="5" t="s">
        <v>90</v>
      </c>
      <c r="D14801" s="5" t="s">
        <v>1850</v>
      </c>
      <c r="E14801" s="65"/>
      <c r="F14801" s="5" t="s">
        <v>136</v>
      </c>
      <c r="G14801" s="6"/>
      <c r="H14801" s="6"/>
    </row>
    <row r="14802">
      <c r="A14802" s="84">
        <v>45932.0</v>
      </c>
      <c r="B14802" s="4">
        <v>0.26666666666666666</v>
      </c>
      <c r="C14802" s="5" t="s">
        <v>90</v>
      </c>
      <c r="D14802" s="5" t="s">
        <v>1850</v>
      </c>
      <c r="E14802" s="65"/>
      <c r="F14802" s="5" t="s">
        <v>54</v>
      </c>
      <c r="G14802" s="6"/>
      <c r="H14802" s="6"/>
    </row>
    <row r="14803">
      <c r="A14803" s="84">
        <v>45932.0</v>
      </c>
      <c r="B14803" s="4">
        <v>0.26666666666666666</v>
      </c>
      <c r="C14803" s="5" t="s">
        <v>90</v>
      </c>
      <c r="D14803" s="5" t="s">
        <v>1850</v>
      </c>
      <c r="E14803" s="65"/>
      <c r="F14803" s="5" t="s">
        <v>1169</v>
      </c>
      <c r="G14803" s="6"/>
      <c r="H14803" s="6"/>
    </row>
    <row r="14804">
      <c r="A14804" s="84">
        <v>45932.0</v>
      </c>
      <c r="B14804" s="4">
        <v>0.26805555555555555</v>
      </c>
      <c r="C14804" s="5" t="s">
        <v>90</v>
      </c>
      <c r="D14804" s="5" t="s">
        <v>1850</v>
      </c>
      <c r="E14804" s="65"/>
      <c r="F14804" s="5" t="s">
        <v>825</v>
      </c>
      <c r="G14804" s="6"/>
      <c r="H14804" s="6"/>
    </row>
    <row r="14805">
      <c r="A14805" s="84">
        <v>45932.0</v>
      </c>
      <c r="B14805" s="4">
        <v>0.26805555555555555</v>
      </c>
      <c r="C14805" s="5" t="s">
        <v>90</v>
      </c>
      <c r="D14805" s="5" t="s">
        <v>1850</v>
      </c>
      <c r="E14805" s="65"/>
      <c r="F14805" s="5" t="s">
        <v>240</v>
      </c>
      <c r="G14805" s="6"/>
      <c r="H14805" s="6"/>
    </row>
    <row r="14806">
      <c r="A14806" s="84">
        <v>45932.0</v>
      </c>
      <c r="B14806" s="4">
        <v>0.26805555555555555</v>
      </c>
      <c r="C14806" s="5" t="s">
        <v>90</v>
      </c>
      <c r="D14806" s="5" t="s">
        <v>1850</v>
      </c>
      <c r="E14806" s="65"/>
      <c r="F14806" s="5" t="s">
        <v>145</v>
      </c>
      <c r="G14806" s="6"/>
      <c r="H14806" s="6"/>
    </row>
    <row r="14807">
      <c r="A14807" s="84">
        <v>45932.0</v>
      </c>
      <c r="B14807" s="4">
        <v>0.26875</v>
      </c>
      <c r="C14807" s="5" t="s">
        <v>90</v>
      </c>
      <c r="D14807" s="5" t="s">
        <v>1850</v>
      </c>
      <c r="E14807" s="65"/>
      <c r="F14807" s="5" t="s">
        <v>110</v>
      </c>
      <c r="G14807" s="6"/>
      <c r="H14807" s="6"/>
    </row>
    <row r="14808">
      <c r="A14808" s="84">
        <v>45932.0</v>
      </c>
      <c r="B14808" s="4">
        <v>0.26944444444444443</v>
      </c>
      <c r="C14808" s="5" t="s">
        <v>90</v>
      </c>
      <c r="D14808" s="5" t="s">
        <v>1850</v>
      </c>
      <c r="E14808" s="65"/>
      <c r="F14808" s="5" t="s">
        <v>216</v>
      </c>
      <c r="G14808" s="6"/>
      <c r="H14808" s="6"/>
    </row>
    <row r="14809">
      <c r="A14809" s="84">
        <v>45932.0</v>
      </c>
      <c r="B14809" s="4">
        <v>0.2708333333333333</v>
      </c>
      <c r="C14809" s="5" t="s">
        <v>90</v>
      </c>
      <c r="D14809" s="5" t="s">
        <v>1850</v>
      </c>
      <c r="E14809" s="65"/>
      <c r="F14809" s="5" t="s">
        <v>472</v>
      </c>
      <c r="G14809" s="6"/>
      <c r="H14809" s="6"/>
    </row>
    <row r="14810">
      <c r="A14810" s="84">
        <v>45932.0</v>
      </c>
      <c r="B14810" s="4">
        <v>0.2708333333333333</v>
      </c>
      <c r="C14810" s="5" t="s">
        <v>90</v>
      </c>
      <c r="D14810" s="5" t="s">
        <v>1850</v>
      </c>
      <c r="E14810" s="65"/>
      <c r="F14810" s="5" t="s">
        <v>632</v>
      </c>
      <c r="G14810" s="6"/>
      <c r="H14810" s="6"/>
    </row>
    <row r="14811">
      <c r="A14811" s="84">
        <v>45932.0</v>
      </c>
      <c r="B14811" s="4">
        <v>0.2708333333333333</v>
      </c>
      <c r="C14811" s="5" t="s">
        <v>90</v>
      </c>
      <c r="D14811" s="5" t="s">
        <v>1850</v>
      </c>
      <c r="E14811" s="65"/>
      <c r="F14811" s="5" t="s">
        <v>1105</v>
      </c>
      <c r="G14811" s="6"/>
      <c r="H14811" s="6"/>
    </row>
    <row r="14812">
      <c r="A14812" s="84">
        <v>45932.0</v>
      </c>
      <c r="B14812" s="4">
        <v>0.2708333333333333</v>
      </c>
      <c r="C14812" s="5" t="s">
        <v>90</v>
      </c>
      <c r="D14812" s="5" t="s">
        <v>1850</v>
      </c>
      <c r="E14812" s="65"/>
      <c r="F14812" s="5" t="s">
        <v>176</v>
      </c>
      <c r="G14812" s="6"/>
      <c r="H14812" s="6"/>
    </row>
    <row r="14813">
      <c r="A14813" s="84">
        <v>45932.0</v>
      </c>
      <c r="B14813" s="4">
        <v>0.27152777777777776</v>
      </c>
      <c r="C14813" s="5" t="s">
        <v>90</v>
      </c>
      <c r="D14813" s="5" t="s">
        <v>1850</v>
      </c>
      <c r="E14813" s="65"/>
      <c r="F14813" s="5" t="s">
        <v>1838</v>
      </c>
      <c r="G14813" s="6"/>
      <c r="H14813" s="6"/>
    </row>
    <row r="14814">
      <c r="A14814" s="84">
        <v>45932.0</v>
      </c>
      <c r="B14814" s="4">
        <v>0.27152777777777776</v>
      </c>
      <c r="C14814" s="5" t="s">
        <v>90</v>
      </c>
      <c r="D14814" s="5" t="s">
        <v>1850</v>
      </c>
      <c r="E14814" s="65"/>
      <c r="F14814" s="5" t="s">
        <v>677</v>
      </c>
      <c r="G14814" s="6"/>
      <c r="H14814" s="6"/>
    </row>
    <row r="14815">
      <c r="A14815" s="84">
        <v>45932.0</v>
      </c>
      <c r="B14815" s="4">
        <v>0.27152777777777776</v>
      </c>
      <c r="C14815" s="5" t="s">
        <v>90</v>
      </c>
      <c r="D14815" s="5" t="s">
        <v>1850</v>
      </c>
      <c r="E14815" s="85" t="s">
        <v>1851</v>
      </c>
      <c r="F14815" s="5"/>
      <c r="G14815" s="6"/>
      <c r="H14815" s="6"/>
    </row>
    <row r="14816">
      <c r="A14816" s="84">
        <v>45932.0</v>
      </c>
      <c r="B14816" s="4">
        <v>0.27152777777777776</v>
      </c>
      <c r="C14816" s="5" t="s">
        <v>90</v>
      </c>
      <c r="D14816" s="5" t="s">
        <v>1850</v>
      </c>
      <c r="E14816" s="65"/>
      <c r="F14816" s="5" t="s">
        <v>66</v>
      </c>
      <c r="G14816" s="6"/>
      <c r="H14816" s="6"/>
    </row>
    <row r="14817">
      <c r="A14817" s="84">
        <v>45932.0</v>
      </c>
      <c r="B14817" s="4">
        <v>0.27152777777777776</v>
      </c>
      <c r="C14817" s="5" t="s">
        <v>90</v>
      </c>
      <c r="D14817" s="5" t="s">
        <v>1850</v>
      </c>
      <c r="E14817" s="65"/>
      <c r="F14817" s="5" t="s">
        <v>192</v>
      </c>
      <c r="G14817" s="6"/>
      <c r="H14817" s="6"/>
    </row>
    <row r="14818">
      <c r="A14818" s="84">
        <v>45932.0</v>
      </c>
      <c r="B14818" s="4">
        <v>0.275</v>
      </c>
      <c r="C14818" s="5" t="s">
        <v>85</v>
      </c>
      <c r="D14818" s="5" t="s">
        <v>1850</v>
      </c>
      <c r="E14818" s="65"/>
      <c r="F14818" s="5" t="s">
        <v>106</v>
      </c>
      <c r="G14818" s="6"/>
      <c r="H14818" s="6"/>
    </row>
    <row r="14819">
      <c r="A14819" s="84">
        <v>45932.0</v>
      </c>
      <c r="B14819" s="4">
        <v>0.275</v>
      </c>
      <c r="C14819" s="5" t="s">
        <v>85</v>
      </c>
      <c r="D14819" s="5" t="s">
        <v>1850</v>
      </c>
      <c r="E14819" s="65"/>
      <c r="F14819" s="5" t="s">
        <v>66</v>
      </c>
      <c r="G14819" s="6"/>
      <c r="H14819" s="6"/>
    </row>
    <row r="14820">
      <c r="A14820" s="84">
        <v>45932.0</v>
      </c>
      <c r="B14820" s="4">
        <v>0.275</v>
      </c>
      <c r="C14820" s="5" t="s">
        <v>85</v>
      </c>
      <c r="D14820" s="5" t="s">
        <v>1850</v>
      </c>
      <c r="E14820" s="65"/>
      <c r="F14820" s="5" t="s">
        <v>192</v>
      </c>
      <c r="G14820" s="6"/>
      <c r="H14820" s="6"/>
    </row>
    <row r="14821">
      <c r="A14821" s="84">
        <v>45932.0</v>
      </c>
      <c r="B14821" s="4">
        <v>0.275</v>
      </c>
      <c r="C14821" s="5" t="s">
        <v>85</v>
      </c>
      <c r="D14821" s="5" t="s">
        <v>1850</v>
      </c>
      <c r="E14821" s="65"/>
      <c r="F14821" s="5" t="s">
        <v>1672</v>
      </c>
      <c r="G14821" s="6"/>
      <c r="H14821" s="6"/>
    </row>
    <row r="14822">
      <c r="A14822" s="84">
        <v>45932.0</v>
      </c>
      <c r="B14822" s="4">
        <v>0.275</v>
      </c>
      <c r="C14822" s="5" t="s">
        <v>85</v>
      </c>
      <c r="D14822" s="5" t="s">
        <v>1850</v>
      </c>
      <c r="E14822" s="65"/>
      <c r="F14822" s="5" t="s">
        <v>15</v>
      </c>
      <c r="G14822" s="6"/>
      <c r="H14822" s="6"/>
    </row>
    <row r="14823">
      <c r="A14823" s="84">
        <v>45932.0</v>
      </c>
      <c r="B14823" s="4">
        <v>0.275</v>
      </c>
      <c r="C14823" s="5" t="s">
        <v>85</v>
      </c>
      <c r="D14823" s="5" t="s">
        <v>1850</v>
      </c>
      <c r="E14823" s="65"/>
      <c r="F14823" s="5" t="s">
        <v>54</v>
      </c>
      <c r="G14823" s="6"/>
      <c r="H14823" s="6"/>
    </row>
    <row r="14824">
      <c r="A14824" s="84">
        <v>45932.0</v>
      </c>
      <c r="B14824" s="4">
        <v>0.275</v>
      </c>
      <c r="C14824" s="5" t="s">
        <v>85</v>
      </c>
      <c r="D14824" s="5" t="s">
        <v>1850</v>
      </c>
      <c r="E14824" s="65"/>
      <c r="F14824" s="5" t="s">
        <v>607</v>
      </c>
      <c r="G14824" s="6"/>
      <c r="H14824" s="6"/>
    </row>
    <row r="14825">
      <c r="A14825" s="84">
        <v>45932.0</v>
      </c>
      <c r="B14825" s="4">
        <v>0.275</v>
      </c>
      <c r="C14825" s="5" t="s">
        <v>85</v>
      </c>
      <c r="D14825" s="5" t="s">
        <v>1850</v>
      </c>
      <c r="E14825" s="65"/>
      <c r="F14825" s="5" t="s">
        <v>912</v>
      </c>
      <c r="G14825" s="6"/>
      <c r="H14825" s="6"/>
    </row>
    <row r="14826">
      <c r="A14826" s="84">
        <v>45932.0</v>
      </c>
      <c r="B14826" s="4">
        <v>0.275</v>
      </c>
      <c r="C14826" s="5" t="s">
        <v>85</v>
      </c>
      <c r="D14826" s="5" t="s">
        <v>1850</v>
      </c>
      <c r="E14826" s="65"/>
      <c r="F14826" s="5" t="s">
        <v>911</v>
      </c>
      <c r="G14826" s="6"/>
      <c r="H14826" s="6"/>
    </row>
    <row r="14827">
      <c r="A14827" s="84">
        <v>45932.0</v>
      </c>
      <c r="B14827" s="4">
        <v>0.2763888888888889</v>
      </c>
      <c r="C14827" s="5" t="s">
        <v>85</v>
      </c>
      <c r="D14827" s="5" t="s">
        <v>1850</v>
      </c>
      <c r="E14827" s="65"/>
      <c r="F14827" s="5" t="s">
        <v>110</v>
      </c>
      <c r="G14827" s="6"/>
      <c r="H14827" s="6"/>
    </row>
    <row r="14828">
      <c r="A14828" s="84">
        <v>45932.0</v>
      </c>
      <c r="B14828" s="4">
        <v>0.2763888888888889</v>
      </c>
      <c r="C14828" s="5" t="s">
        <v>85</v>
      </c>
      <c r="D14828" s="5" t="s">
        <v>1850</v>
      </c>
      <c r="E14828" s="85" t="s">
        <v>846</v>
      </c>
      <c r="F14828" s="5"/>
      <c r="G14828" s="6"/>
      <c r="H14828" s="6"/>
    </row>
    <row r="14829">
      <c r="A14829" s="84">
        <v>45932.0</v>
      </c>
      <c r="B14829" s="4">
        <v>0.2763888888888889</v>
      </c>
      <c r="C14829" s="5" t="s">
        <v>85</v>
      </c>
      <c r="D14829" s="5" t="s">
        <v>1850</v>
      </c>
      <c r="E14829" s="65"/>
      <c r="F14829" s="5" t="s">
        <v>1457</v>
      </c>
      <c r="G14829" s="6"/>
      <c r="H14829" s="6"/>
    </row>
    <row r="14830">
      <c r="A14830" s="84">
        <v>45932.0</v>
      </c>
      <c r="B14830" s="4">
        <v>0.2763888888888889</v>
      </c>
      <c r="C14830" s="5" t="s">
        <v>85</v>
      </c>
      <c r="D14830" s="5" t="s">
        <v>1850</v>
      </c>
      <c r="E14830" s="65"/>
      <c r="F14830" s="5" t="s">
        <v>136</v>
      </c>
      <c r="G14830" s="6"/>
      <c r="H14830" s="6"/>
    </row>
    <row r="14831">
      <c r="A14831" s="84">
        <v>45932.0</v>
      </c>
      <c r="B14831" s="4">
        <v>0.2763888888888889</v>
      </c>
      <c r="C14831" s="5" t="s">
        <v>85</v>
      </c>
      <c r="D14831" s="5" t="s">
        <v>1850</v>
      </c>
      <c r="E14831" s="65"/>
      <c r="F14831" s="5" t="s">
        <v>1575</v>
      </c>
      <c r="G14831" s="6"/>
      <c r="H14831" s="6"/>
    </row>
    <row r="14832">
      <c r="A14832" s="84">
        <v>45932.0</v>
      </c>
      <c r="B14832" s="4">
        <v>0.2763888888888889</v>
      </c>
      <c r="C14832" s="5" t="s">
        <v>85</v>
      </c>
      <c r="D14832" s="5" t="s">
        <v>1850</v>
      </c>
      <c r="E14832" s="85" t="s">
        <v>51</v>
      </c>
      <c r="F14832" s="5"/>
      <c r="G14832" s="6"/>
      <c r="H14832" s="6"/>
    </row>
    <row r="14833">
      <c r="A14833" s="84">
        <v>45932.0</v>
      </c>
      <c r="B14833" s="4">
        <v>0.27708333333333335</v>
      </c>
      <c r="C14833" s="5" t="s">
        <v>85</v>
      </c>
      <c r="D14833" s="5" t="s">
        <v>1850</v>
      </c>
      <c r="E14833" s="65"/>
      <c r="F14833" s="5" t="s">
        <v>384</v>
      </c>
      <c r="G14833" s="6"/>
      <c r="H14833" s="6"/>
    </row>
    <row r="14834">
      <c r="A14834" s="84">
        <v>45932.0</v>
      </c>
      <c r="B14834" s="4">
        <v>0.27708333333333335</v>
      </c>
      <c r="C14834" s="5" t="s">
        <v>85</v>
      </c>
      <c r="D14834" s="5" t="s">
        <v>1850</v>
      </c>
      <c r="E14834" s="65"/>
      <c r="F14834" s="5" t="s">
        <v>244</v>
      </c>
      <c r="G14834" s="6"/>
      <c r="H14834" s="6"/>
    </row>
    <row r="14835">
      <c r="A14835" s="84">
        <v>45932.0</v>
      </c>
      <c r="B14835" s="4">
        <v>0.27708333333333335</v>
      </c>
      <c r="C14835" s="5" t="s">
        <v>85</v>
      </c>
      <c r="D14835" s="5" t="s">
        <v>1850</v>
      </c>
      <c r="E14835" s="85" t="s">
        <v>358</v>
      </c>
      <c r="F14835" s="5"/>
      <c r="G14835" s="6"/>
      <c r="H14835" s="6"/>
    </row>
    <row r="14836">
      <c r="A14836" s="84">
        <v>45932.0</v>
      </c>
      <c r="B14836" s="4">
        <v>0.27708333333333335</v>
      </c>
      <c r="C14836" s="5" t="s">
        <v>85</v>
      </c>
      <c r="D14836" s="5" t="s">
        <v>1850</v>
      </c>
      <c r="E14836" s="65"/>
      <c r="F14836" s="5" t="s">
        <v>54</v>
      </c>
      <c r="G14836" s="6"/>
      <c r="H14836" s="6"/>
    </row>
    <row r="14837">
      <c r="A14837" s="84">
        <v>45932.0</v>
      </c>
      <c r="B14837" s="4">
        <v>0.27708333333333335</v>
      </c>
      <c r="C14837" s="5" t="s">
        <v>85</v>
      </c>
      <c r="D14837" s="5" t="s">
        <v>1850</v>
      </c>
      <c r="E14837" s="65"/>
      <c r="F14837" s="5" t="s">
        <v>400</v>
      </c>
      <c r="G14837" s="6"/>
      <c r="H14837" s="6"/>
    </row>
    <row r="14838">
      <c r="A14838" s="84">
        <v>45932.0</v>
      </c>
      <c r="B14838" s="4">
        <v>0.2777777777777778</v>
      </c>
      <c r="C14838" s="5" t="s">
        <v>85</v>
      </c>
      <c r="D14838" s="5" t="s">
        <v>1850</v>
      </c>
      <c r="E14838" s="65"/>
      <c r="F14838" s="5" t="s">
        <v>259</v>
      </c>
      <c r="G14838" s="6"/>
      <c r="H14838" s="6"/>
    </row>
    <row r="14839">
      <c r="A14839" s="84">
        <v>45932.0</v>
      </c>
      <c r="B14839" s="4">
        <v>0.2777777777777778</v>
      </c>
      <c r="C14839" s="5" t="s">
        <v>85</v>
      </c>
      <c r="D14839" s="5" t="s">
        <v>1850</v>
      </c>
      <c r="E14839" s="65"/>
      <c r="F14839" s="5" t="s">
        <v>418</v>
      </c>
      <c r="G14839" s="6"/>
      <c r="H14839" s="6"/>
    </row>
    <row r="14840">
      <c r="A14840" s="84">
        <v>45932.0</v>
      </c>
      <c r="B14840" s="4">
        <v>0.2777777777777778</v>
      </c>
      <c r="C14840" s="5" t="s">
        <v>85</v>
      </c>
      <c r="D14840" s="5" t="s">
        <v>1850</v>
      </c>
      <c r="E14840" s="65"/>
      <c r="F14840" s="5" t="s">
        <v>73</v>
      </c>
      <c r="G14840" s="6"/>
      <c r="H14840" s="6"/>
    </row>
    <row r="14841">
      <c r="A14841" s="84">
        <v>45932.0</v>
      </c>
      <c r="B14841" s="4">
        <v>0.2777777777777778</v>
      </c>
      <c r="C14841" s="5" t="s">
        <v>85</v>
      </c>
      <c r="D14841" s="5" t="s">
        <v>1850</v>
      </c>
      <c r="E14841" s="65"/>
      <c r="F14841" s="5" t="s">
        <v>133</v>
      </c>
      <c r="G14841" s="6"/>
      <c r="H14841" s="6"/>
    </row>
    <row r="14842">
      <c r="A14842" s="84">
        <v>45932.0</v>
      </c>
      <c r="B14842" s="4">
        <v>0.2777777777777778</v>
      </c>
      <c r="C14842" s="5" t="s">
        <v>85</v>
      </c>
      <c r="D14842" s="5" t="s">
        <v>1850</v>
      </c>
      <c r="E14842" s="65"/>
      <c r="F14842" s="5" t="s">
        <v>462</v>
      </c>
      <c r="G14842" s="6"/>
      <c r="H14842" s="6"/>
    </row>
    <row r="14843">
      <c r="A14843" s="84">
        <v>45932.0</v>
      </c>
      <c r="B14843" s="4">
        <v>0.2798611111111111</v>
      </c>
      <c r="C14843" s="5" t="s">
        <v>85</v>
      </c>
      <c r="D14843" s="5" t="s">
        <v>1850</v>
      </c>
      <c r="E14843" s="65"/>
      <c r="F14843" s="5" t="s">
        <v>1695</v>
      </c>
      <c r="G14843" s="6"/>
      <c r="H14843" s="6"/>
    </row>
    <row r="14844">
      <c r="A14844" s="84">
        <v>45932.0</v>
      </c>
      <c r="B14844" s="4">
        <v>0.28055555555555556</v>
      </c>
      <c r="C14844" s="5" t="s">
        <v>85</v>
      </c>
      <c r="D14844" s="5" t="s">
        <v>1850</v>
      </c>
      <c r="E14844" s="65"/>
      <c r="F14844" s="5" t="s">
        <v>136</v>
      </c>
      <c r="G14844" s="6"/>
      <c r="H14844" s="6"/>
    </row>
    <row r="14845">
      <c r="A14845" s="84">
        <v>45932.0</v>
      </c>
      <c r="B14845" s="4">
        <v>0.28055555555555556</v>
      </c>
      <c r="C14845" s="5" t="s">
        <v>85</v>
      </c>
      <c r="D14845" s="5" t="s">
        <v>1850</v>
      </c>
      <c r="E14845" s="65"/>
      <c r="F14845" s="5" t="s">
        <v>1838</v>
      </c>
      <c r="G14845" s="6"/>
      <c r="H14845" s="6"/>
    </row>
    <row r="14846">
      <c r="A14846" s="84">
        <v>45932.0</v>
      </c>
      <c r="B14846" s="4">
        <v>0.28055555555555556</v>
      </c>
      <c r="C14846" s="5" t="s">
        <v>85</v>
      </c>
      <c r="D14846" s="5" t="s">
        <v>1850</v>
      </c>
      <c r="E14846" s="65"/>
      <c r="F14846" s="5" t="s">
        <v>21</v>
      </c>
      <c r="G14846" s="6"/>
      <c r="H14846" s="6"/>
    </row>
    <row r="14847">
      <c r="A14847" s="84">
        <v>45932.0</v>
      </c>
      <c r="B14847" s="4">
        <v>0.28055555555555556</v>
      </c>
      <c r="C14847" s="5" t="s">
        <v>85</v>
      </c>
      <c r="D14847" s="5" t="s">
        <v>1850</v>
      </c>
      <c r="E14847" s="65"/>
      <c r="F14847" s="5" t="s">
        <v>42</v>
      </c>
      <c r="G14847" s="6"/>
      <c r="H14847" s="6"/>
    </row>
    <row r="14848">
      <c r="A14848" s="84">
        <v>45932.0</v>
      </c>
      <c r="B14848" s="4">
        <v>0.2847222222222222</v>
      </c>
      <c r="C14848" s="5" t="s">
        <v>76</v>
      </c>
      <c r="D14848" s="5" t="s">
        <v>1850</v>
      </c>
      <c r="E14848" s="65"/>
      <c r="F14848" s="5" t="s">
        <v>149</v>
      </c>
      <c r="G14848" s="6"/>
      <c r="H14848" s="6"/>
    </row>
    <row r="14849">
      <c r="A14849" s="84">
        <v>45932.0</v>
      </c>
      <c r="B14849" s="4">
        <v>0.2847222222222222</v>
      </c>
      <c r="C14849" s="5" t="s">
        <v>76</v>
      </c>
      <c r="D14849" s="5" t="s">
        <v>1850</v>
      </c>
      <c r="E14849" s="65"/>
      <c r="F14849" s="5" t="s">
        <v>142</v>
      </c>
      <c r="G14849" s="6"/>
      <c r="H14849" s="6"/>
    </row>
    <row r="14850">
      <c r="A14850" s="84">
        <v>45932.0</v>
      </c>
      <c r="B14850" s="4">
        <v>0.2847222222222222</v>
      </c>
      <c r="C14850" s="5" t="s">
        <v>76</v>
      </c>
      <c r="D14850" s="5" t="s">
        <v>1850</v>
      </c>
      <c r="E14850" s="65"/>
      <c r="F14850" s="5" t="s">
        <v>1852</v>
      </c>
      <c r="G14850" s="6"/>
      <c r="H14850" s="6"/>
    </row>
    <row r="14851">
      <c r="A14851" s="84">
        <v>45932.0</v>
      </c>
      <c r="B14851" s="4">
        <v>0.2847222222222222</v>
      </c>
      <c r="C14851" s="5" t="s">
        <v>76</v>
      </c>
      <c r="D14851" s="5" t="s">
        <v>1850</v>
      </c>
      <c r="E14851" s="65"/>
      <c r="F14851" s="5" t="s">
        <v>354</v>
      </c>
      <c r="G14851" s="6"/>
      <c r="H14851" s="6"/>
    </row>
    <row r="14852">
      <c r="A14852" s="84">
        <v>45932.0</v>
      </c>
      <c r="B14852" s="4">
        <v>0.28541666666666665</v>
      </c>
      <c r="C14852" s="5" t="s">
        <v>76</v>
      </c>
      <c r="D14852" s="5" t="s">
        <v>1850</v>
      </c>
      <c r="E14852" s="65"/>
      <c r="F14852" s="5" t="s">
        <v>136</v>
      </c>
      <c r="G14852" s="6"/>
      <c r="H14852" s="6"/>
    </row>
    <row r="14853">
      <c r="A14853" s="84">
        <v>45932.0</v>
      </c>
      <c r="B14853" s="4">
        <v>0.28541666666666665</v>
      </c>
      <c r="C14853" s="5" t="s">
        <v>76</v>
      </c>
      <c r="D14853" s="5" t="s">
        <v>1850</v>
      </c>
      <c r="E14853" s="65"/>
      <c r="F14853" s="5" t="s">
        <v>825</v>
      </c>
      <c r="G14853" s="6"/>
      <c r="H14853" s="6"/>
    </row>
    <row r="14854">
      <c r="A14854" s="84">
        <v>45932.0</v>
      </c>
      <c r="B14854" s="4">
        <v>0.28541666666666665</v>
      </c>
      <c r="C14854" s="5" t="s">
        <v>76</v>
      </c>
      <c r="D14854" s="5" t="s">
        <v>1850</v>
      </c>
      <c r="E14854" s="65"/>
      <c r="F14854" s="5" t="s">
        <v>1695</v>
      </c>
      <c r="G14854" s="6"/>
      <c r="H14854" s="6"/>
    </row>
    <row r="14855">
      <c r="A14855" s="84">
        <v>45932.0</v>
      </c>
      <c r="B14855" s="4">
        <v>0.28541666666666665</v>
      </c>
      <c r="C14855" s="5" t="s">
        <v>76</v>
      </c>
      <c r="D14855" s="5" t="s">
        <v>1850</v>
      </c>
      <c r="E14855" s="65"/>
      <c r="F14855" s="5" t="s">
        <v>787</v>
      </c>
      <c r="G14855" s="6"/>
      <c r="H14855" s="6"/>
    </row>
    <row r="14856">
      <c r="A14856" s="84">
        <v>45932.0</v>
      </c>
      <c r="B14856" s="4">
        <v>0.28541666666666665</v>
      </c>
      <c r="C14856" s="5" t="s">
        <v>76</v>
      </c>
      <c r="D14856" s="5" t="s">
        <v>1850</v>
      </c>
      <c r="E14856" s="65"/>
      <c r="F14856" s="5" t="s">
        <v>1722</v>
      </c>
      <c r="G14856" s="6"/>
      <c r="H14856" s="6"/>
    </row>
    <row r="14857">
      <c r="A14857" s="84">
        <v>45932.0</v>
      </c>
      <c r="B14857" s="4">
        <v>0.2861111111111111</v>
      </c>
      <c r="C14857" s="5" t="s">
        <v>76</v>
      </c>
      <c r="D14857" s="5" t="s">
        <v>1850</v>
      </c>
      <c r="E14857" s="65"/>
      <c r="F14857" s="5" t="s">
        <v>289</v>
      </c>
      <c r="G14857" s="6"/>
      <c r="H14857" s="6"/>
    </row>
    <row r="14858">
      <c r="A14858" s="84">
        <v>45932.0</v>
      </c>
      <c r="B14858" s="4">
        <v>0.2861111111111111</v>
      </c>
      <c r="C14858" s="5" t="s">
        <v>76</v>
      </c>
      <c r="D14858" s="5" t="s">
        <v>1850</v>
      </c>
      <c r="E14858" s="65"/>
      <c r="F14858" s="5" t="s">
        <v>1365</v>
      </c>
      <c r="G14858" s="6"/>
      <c r="H14858" s="6"/>
    </row>
    <row r="14859">
      <c r="A14859" s="84">
        <v>45932.0</v>
      </c>
      <c r="B14859" s="4">
        <v>0.2861111111111111</v>
      </c>
      <c r="C14859" s="5" t="s">
        <v>76</v>
      </c>
      <c r="D14859" s="5" t="s">
        <v>1850</v>
      </c>
      <c r="E14859" s="65"/>
      <c r="F14859" s="5" t="s">
        <v>953</v>
      </c>
      <c r="G14859" s="6"/>
      <c r="H14859" s="6"/>
    </row>
    <row r="14860">
      <c r="A14860" s="84">
        <v>45932.0</v>
      </c>
      <c r="B14860" s="4">
        <v>0.28680555555555554</v>
      </c>
      <c r="C14860" s="5" t="s">
        <v>76</v>
      </c>
      <c r="D14860" s="5" t="s">
        <v>1850</v>
      </c>
      <c r="E14860" s="65"/>
      <c r="F14860" s="5" t="s">
        <v>521</v>
      </c>
      <c r="G14860" s="6"/>
      <c r="H14860" s="6"/>
    </row>
    <row r="14861">
      <c r="A14861" s="84">
        <v>45932.0</v>
      </c>
      <c r="B14861" s="4">
        <v>0.28680555555555554</v>
      </c>
      <c r="C14861" s="5" t="s">
        <v>76</v>
      </c>
      <c r="D14861" s="5" t="s">
        <v>1850</v>
      </c>
      <c r="E14861" s="65"/>
      <c r="F14861" s="5" t="s">
        <v>254</v>
      </c>
      <c r="G14861" s="6"/>
      <c r="H14861" s="6"/>
    </row>
    <row r="14862">
      <c r="A14862" s="84">
        <v>45932.0</v>
      </c>
      <c r="B14862" s="4">
        <v>0.28680555555555554</v>
      </c>
      <c r="C14862" s="5" t="s">
        <v>76</v>
      </c>
      <c r="D14862" s="5" t="s">
        <v>1850</v>
      </c>
      <c r="E14862" s="85" t="s">
        <v>1352</v>
      </c>
      <c r="F14862" s="5"/>
      <c r="G14862" s="6"/>
      <c r="H14862" s="6"/>
    </row>
    <row r="14863">
      <c r="A14863" s="84">
        <v>45932.0</v>
      </c>
      <c r="B14863" s="4">
        <v>0.28680555555555554</v>
      </c>
      <c r="C14863" s="5" t="s">
        <v>76</v>
      </c>
      <c r="D14863" s="5" t="s">
        <v>1850</v>
      </c>
      <c r="E14863" s="65"/>
      <c r="F14863" s="5" t="s">
        <v>291</v>
      </c>
      <c r="G14863" s="6"/>
      <c r="H14863" s="6"/>
    </row>
    <row r="14864">
      <c r="A14864" s="84">
        <v>45932.0</v>
      </c>
      <c r="B14864" s="4">
        <v>0.28680555555555554</v>
      </c>
      <c r="C14864" s="5" t="s">
        <v>76</v>
      </c>
      <c r="D14864" s="5" t="s">
        <v>1850</v>
      </c>
      <c r="E14864" s="65"/>
      <c r="F14864" s="5" t="s">
        <v>147</v>
      </c>
      <c r="G14864" s="6"/>
      <c r="H14864" s="6"/>
    </row>
    <row r="14865">
      <c r="A14865" s="84">
        <v>45932.0</v>
      </c>
      <c r="B14865" s="4">
        <v>0.2875</v>
      </c>
      <c r="C14865" s="5" t="s">
        <v>76</v>
      </c>
      <c r="D14865" s="5" t="s">
        <v>1850</v>
      </c>
      <c r="E14865" s="65"/>
      <c r="F14865" s="5" t="s">
        <v>164</v>
      </c>
      <c r="G14865" s="6"/>
      <c r="H14865" s="6"/>
    </row>
    <row r="14866">
      <c r="A14866" s="84">
        <v>45932.0</v>
      </c>
      <c r="B14866" s="4">
        <v>0.2875</v>
      </c>
      <c r="C14866" s="5" t="s">
        <v>76</v>
      </c>
      <c r="D14866" s="5" t="s">
        <v>1850</v>
      </c>
      <c r="E14866" s="65"/>
      <c r="F14866" s="5" t="s">
        <v>553</v>
      </c>
      <c r="G14866" s="6"/>
      <c r="H14866" s="6"/>
    </row>
    <row r="14867">
      <c r="A14867" s="84">
        <v>45932.0</v>
      </c>
      <c r="B14867" s="4">
        <v>0.2875</v>
      </c>
      <c r="C14867" s="5" t="s">
        <v>76</v>
      </c>
      <c r="D14867" s="5" t="s">
        <v>1850</v>
      </c>
      <c r="E14867" s="65"/>
      <c r="F14867" s="5" t="s">
        <v>287</v>
      </c>
      <c r="G14867" s="6"/>
      <c r="H14867" s="6"/>
    </row>
    <row r="14868">
      <c r="A14868" s="84">
        <v>45932.0</v>
      </c>
      <c r="B14868" s="4">
        <v>0.28888888888888886</v>
      </c>
      <c r="C14868" s="5" t="s">
        <v>76</v>
      </c>
      <c r="D14868" s="5" t="s">
        <v>1850</v>
      </c>
      <c r="E14868" s="65"/>
      <c r="F14868" s="5" t="s">
        <v>297</v>
      </c>
      <c r="G14868" s="6"/>
      <c r="H14868" s="6"/>
    </row>
    <row r="14869">
      <c r="A14869" s="84">
        <v>45932.0</v>
      </c>
      <c r="B14869" s="4">
        <v>0.28888888888888886</v>
      </c>
      <c r="C14869" s="5" t="s">
        <v>76</v>
      </c>
      <c r="D14869" s="5" t="s">
        <v>1850</v>
      </c>
      <c r="E14869" s="65"/>
      <c r="F14869" s="5" t="s">
        <v>320</v>
      </c>
      <c r="G14869" s="6"/>
      <c r="H14869" s="6"/>
    </row>
    <row r="14870">
      <c r="A14870" s="84">
        <v>45932.0</v>
      </c>
      <c r="B14870" s="4">
        <v>0.28888888888888886</v>
      </c>
      <c r="C14870" s="5" t="s">
        <v>76</v>
      </c>
      <c r="D14870" s="5" t="s">
        <v>1850</v>
      </c>
      <c r="E14870" s="65"/>
      <c r="F14870" s="5" t="s">
        <v>472</v>
      </c>
      <c r="G14870" s="6"/>
      <c r="H14870" s="6"/>
    </row>
    <row r="14871">
      <c r="A14871" s="84">
        <v>45932.0</v>
      </c>
      <c r="B14871" s="4">
        <v>0.28888888888888886</v>
      </c>
      <c r="C14871" s="5" t="s">
        <v>76</v>
      </c>
      <c r="D14871" s="5" t="s">
        <v>1850</v>
      </c>
      <c r="E14871" s="65"/>
      <c r="F14871" s="5" t="s">
        <v>356</v>
      </c>
      <c r="G14871" s="6"/>
      <c r="H14871" s="6"/>
    </row>
    <row r="14872">
      <c r="A14872" s="84">
        <v>45932.0</v>
      </c>
      <c r="B14872" s="4">
        <v>0.28888888888888886</v>
      </c>
      <c r="C14872" s="5" t="s">
        <v>76</v>
      </c>
      <c r="D14872" s="5" t="s">
        <v>1850</v>
      </c>
      <c r="E14872" s="65"/>
      <c r="F14872" s="5" t="s">
        <v>49</v>
      </c>
      <c r="G14872" s="6"/>
      <c r="H14872" s="6"/>
    </row>
    <row r="14873">
      <c r="A14873" s="84">
        <v>45932.0</v>
      </c>
      <c r="B14873" s="4">
        <v>0.28958333333333336</v>
      </c>
      <c r="C14873" s="5" t="s">
        <v>76</v>
      </c>
      <c r="D14873" s="5" t="s">
        <v>1850</v>
      </c>
      <c r="E14873" s="65"/>
      <c r="F14873" s="5" t="s">
        <v>266</v>
      </c>
      <c r="G14873" s="6"/>
      <c r="H14873" s="6"/>
    </row>
    <row r="14874">
      <c r="A14874" s="84">
        <v>45932.0</v>
      </c>
      <c r="B14874" s="4">
        <v>0.28958333333333336</v>
      </c>
      <c r="C14874" s="5" t="s">
        <v>76</v>
      </c>
      <c r="D14874" s="5" t="s">
        <v>1850</v>
      </c>
      <c r="E14874" s="65"/>
      <c r="F14874" s="5" t="s">
        <v>112</v>
      </c>
      <c r="G14874" s="6"/>
      <c r="H14874" s="6"/>
    </row>
    <row r="14875">
      <c r="A14875" s="84">
        <v>45932.0</v>
      </c>
      <c r="B14875" s="4">
        <v>0.28958333333333336</v>
      </c>
      <c r="C14875" s="5" t="s">
        <v>76</v>
      </c>
      <c r="D14875" s="5" t="s">
        <v>1850</v>
      </c>
      <c r="E14875" s="85" t="s">
        <v>1123</v>
      </c>
      <c r="F14875" s="5"/>
      <c r="G14875" s="6"/>
      <c r="H14875" s="6"/>
    </row>
    <row r="14876">
      <c r="A14876" s="84">
        <v>45932.0</v>
      </c>
      <c r="B14876" s="4">
        <v>0.28958333333333336</v>
      </c>
      <c r="C14876" s="5" t="s">
        <v>76</v>
      </c>
      <c r="D14876" s="5" t="s">
        <v>1850</v>
      </c>
      <c r="E14876" s="65"/>
      <c r="F14876" s="5" t="s">
        <v>182</v>
      </c>
      <c r="G14876" s="6"/>
      <c r="H14876" s="6"/>
    </row>
    <row r="14877">
      <c r="A14877" s="84">
        <v>45932.0</v>
      </c>
      <c r="B14877" s="4">
        <v>0.2902777777777778</v>
      </c>
      <c r="C14877" s="5" t="s">
        <v>76</v>
      </c>
      <c r="D14877" s="5" t="s">
        <v>1850</v>
      </c>
      <c r="E14877" s="65"/>
      <c r="F14877" s="5" t="s">
        <v>1796</v>
      </c>
      <c r="G14877" s="6"/>
      <c r="H14877" s="6"/>
    </row>
    <row r="14878">
      <c r="A14878" s="84">
        <v>45932.0</v>
      </c>
      <c r="B14878" s="4">
        <v>0.2902777777777778</v>
      </c>
      <c r="C14878" s="5" t="s">
        <v>76</v>
      </c>
      <c r="D14878" s="5" t="s">
        <v>1850</v>
      </c>
      <c r="E14878" s="65"/>
      <c r="F14878" s="5" t="s">
        <v>1853</v>
      </c>
      <c r="G14878" s="6"/>
      <c r="H14878" s="6"/>
    </row>
    <row r="14879">
      <c r="A14879" s="84">
        <v>45932.0</v>
      </c>
      <c r="B14879" s="4">
        <v>0.2902777777777778</v>
      </c>
      <c r="C14879" s="5" t="s">
        <v>76</v>
      </c>
      <c r="D14879" s="5" t="s">
        <v>1850</v>
      </c>
      <c r="E14879" s="65"/>
      <c r="F14879" s="5" t="s">
        <v>252</v>
      </c>
      <c r="G14879" s="6"/>
      <c r="H14879" s="6"/>
    </row>
    <row r="14880">
      <c r="A14880" s="84">
        <v>45932.0</v>
      </c>
      <c r="B14880" s="4">
        <v>0.29097222222222224</v>
      </c>
      <c r="C14880" s="5" t="s">
        <v>76</v>
      </c>
      <c r="D14880" s="5" t="s">
        <v>1850</v>
      </c>
      <c r="E14880" s="65"/>
      <c r="F14880" s="5" t="s">
        <v>281</v>
      </c>
      <c r="G14880" s="6"/>
      <c r="H14880" s="6"/>
    </row>
    <row r="14881">
      <c r="A14881" s="84">
        <v>45932.0</v>
      </c>
      <c r="B14881" s="4">
        <v>0.29097222222222224</v>
      </c>
      <c r="C14881" s="5" t="s">
        <v>76</v>
      </c>
      <c r="D14881" s="5" t="s">
        <v>1850</v>
      </c>
      <c r="E14881" s="65"/>
      <c r="F14881" s="5" t="s">
        <v>497</v>
      </c>
      <c r="G14881" s="6"/>
      <c r="H14881" s="6"/>
    </row>
    <row r="14882">
      <c r="A14882" s="84">
        <v>45932.0</v>
      </c>
      <c r="B14882" s="4">
        <v>0.2916666666666667</v>
      </c>
      <c r="C14882" s="5" t="s">
        <v>76</v>
      </c>
      <c r="D14882" s="5" t="s">
        <v>1850</v>
      </c>
      <c r="E14882" s="65"/>
      <c r="F14882" s="5" t="s">
        <v>151</v>
      </c>
      <c r="G14882" s="6"/>
      <c r="H14882" s="6"/>
    </row>
    <row r="14883">
      <c r="A14883" s="84">
        <v>45932.0</v>
      </c>
      <c r="B14883" s="4">
        <v>0.2916666666666667</v>
      </c>
      <c r="C14883" s="5" t="s">
        <v>76</v>
      </c>
      <c r="D14883" s="5" t="s">
        <v>1850</v>
      </c>
      <c r="E14883" s="65"/>
      <c r="F14883" s="5" t="s">
        <v>614</v>
      </c>
      <c r="G14883" s="6"/>
      <c r="H14883" s="6"/>
    </row>
    <row r="14884">
      <c r="A14884" s="84">
        <v>45932.0</v>
      </c>
      <c r="B14884" s="4">
        <v>0.2923611111111111</v>
      </c>
      <c r="C14884" s="5" t="s">
        <v>76</v>
      </c>
      <c r="D14884" s="5" t="s">
        <v>1850</v>
      </c>
      <c r="E14884" s="65"/>
      <c r="F14884" s="5" t="s">
        <v>226</v>
      </c>
      <c r="G14884" s="6"/>
      <c r="H14884" s="6"/>
    </row>
    <row r="14885">
      <c r="A14885" s="84">
        <v>45932.0</v>
      </c>
      <c r="B14885" s="4">
        <v>0.2923611111111111</v>
      </c>
      <c r="C14885" s="5" t="s">
        <v>76</v>
      </c>
      <c r="D14885" s="5" t="s">
        <v>1850</v>
      </c>
      <c r="E14885" s="65"/>
      <c r="F14885" s="5" t="s">
        <v>1504</v>
      </c>
      <c r="G14885" s="6"/>
      <c r="H14885" s="6"/>
    </row>
    <row r="14886">
      <c r="A14886" s="84">
        <v>45932.0</v>
      </c>
      <c r="B14886" s="4">
        <v>0.2923611111111111</v>
      </c>
      <c r="C14886" s="5" t="s">
        <v>76</v>
      </c>
      <c r="D14886" s="5" t="s">
        <v>1850</v>
      </c>
      <c r="E14886" s="65"/>
      <c r="F14886" s="5" t="s">
        <v>172</v>
      </c>
      <c r="G14886" s="6"/>
      <c r="H14886" s="6"/>
    </row>
    <row r="14887">
      <c r="A14887" s="84">
        <v>45932.0</v>
      </c>
      <c r="B14887" s="4">
        <v>0.2923611111111111</v>
      </c>
      <c r="C14887" s="5" t="s">
        <v>76</v>
      </c>
      <c r="D14887" s="5" t="s">
        <v>1850</v>
      </c>
      <c r="E14887" s="65"/>
      <c r="F14887" s="5" t="s">
        <v>263</v>
      </c>
      <c r="G14887" s="6"/>
      <c r="H14887" s="6"/>
    </row>
    <row r="14888">
      <c r="A14888" s="84">
        <v>45932.0</v>
      </c>
      <c r="B14888" s="4">
        <v>0.2923611111111111</v>
      </c>
      <c r="C14888" s="5" t="s">
        <v>76</v>
      </c>
      <c r="D14888" s="5" t="s">
        <v>1850</v>
      </c>
      <c r="E14888" s="65"/>
      <c r="F14888" s="5" t="s">
        <v>47</v>
      </c>
      <c r="G14888" s="6"/>
      <c r="H14888" s="6"/>
    </row>
    <row r="14889">
      <c r="A14889" s="84">
        <v>45932.0</v>
      </c>
      <c r="B14889" s="4">
        <v>0.2923611111111111</v>
      </c>
      <c r="C14889" s="5" t="s">
        <v>76</v>
      </c>
      <c r="D14889" s="5" t="s">
        <v>1850</v>
      </c>
      <c r="E14889" s="65"/>
      <c r="F14889" s="5" t="s">
        <v>155</v>
      </c>
      <c r="G14889" s="6"/>
      <c r="H14889" s="6"/>
    </row>
    <row r="14890">
      <c r="A14890" s="84">
        <v>45932.0</v>
      </c>
      <c r="B14890" s="4">
        <v>0.2923611111111111</v>
      </c>
      <c r="C14890" s="5" t="s">
        <v>76</v>
      </c>
      <c r="D14890" s="5" t="s">
        <v>1850</v>
      </c>
      <c r="E14890" s="65"/>
      <c r="F14890" s="5" t="s">
        <v>1169</v>
      </c>
      <c r="G14890" s="6"/>
      <c r="H14890" s="6"/>
    </row>
    <row r="14891">
      <c r="A14891" s="84">
        <v>45932.0</v>
      </c>
      <c r="B14891" s="4">
        <v>0.2923611111111111</v>
      </c>
      <c r="C14891" s="5" t="s">
        <v>76</v>
      </c>
      <c r="D14891" s="5" t="s">
        <v>1850</v>
      </c>
      <c r="E14891" s="85" t="s">
        <v>1854</v>
      </c>
      <c r="F14891" s="5"/>
      <c r="G14891" s="6"/>
      <c r="H14891" s="6"/>
    </row>
    <row r="14892">
      <c r="A14892" s="84">
        <v>45932.0</v>
      </c>
      <c r="B14892" s="4">
        <v>0.29305555555555557</v>
      </c>
      <c r="C14892" s="5" t="s">
        <v>76</v>
      </c>
      <c r="D14892" s="5" t="s">
        <v>1850</v>
      </c>
      <c r="E14892" s="65"/>
      <c r="F14892" s="5" t="s">
        <v>612</v>
      </c>
      <c r="G14892" s="6"/>
      <c r="H14892" s="6"/>
    </row>
    <row r="14893">
      <c r="A14893" s="84">
        <v>45932.0</v>
      </c>
      <c r="B14893" s="4">
        <v>0.29375</v>
      </c>
      <c r="C14893" s="5" t="s">
        <v>76</v>
      </c>
      <c r="D14893" s="5" t="s">
        <v>1850</v>
      </c>
      <c r="E14893" s="65"/>
      <c r="F14893" s="5" t="s">
        <v>228</v>
      </c>
      <c r="G14893" s="6"/>
      <c r="H14893" s="6"/>
    </row>
    <row r="14894">
      <c r="A14894" s="84">
        <v>45932.0</v>
      </c>
      <c r="B14894" s="4">
        <v>0.29375</v>
      </c>
      <c r="C14894" s="5" t="s">
        <v>76</v>
      </c>
      <c r="D14894" s="5" t="s">
        <v>1850</v>
      </c>
      <c r="E14894" s="65"/>
      <c r="F14894" s="5" t="s">
        <v>295</v>
      </c>
      <c r="G14894" s="6"/>
      <c r="H14894" s="6"/>
    </row>
    <row r="14895">
      <c r="A14895" s="84">
        <v>45932.0</v>
      </c>
      <c r="B14895" s="4">
        <v>0.29375</v>
      </c>
      <c r="C14895" s="5" t="s">
        <v>76</v>
      </c>
      <c r="D14895" s="5" t="s">
        <v>1850</v>
      </c>
      <c r="E14895" s="65"/>
      <c r="F14895" s="5" t="s">
        <v>21</v>
      </c>
      <c r="G14895" s="6"/>
      <c r="H14895" s="6"/>
    </row>
    <row r="14896">
      <c r="A14896" s="84">
        <v>45932.0</v>
      </c>
      <c r="B14896" s="4">
        <v>0.29375</v>
      </c>
      <c r="C14896" s="5" t="s">
        <v>76</v>
      </c>
      <c r="D14896" s="5" t="s">
        <v>1850</v>
      </c>
      <c r="E14896" s="65"/>
      <c r="F14896" s="5" t="s">
        <v>1855</v>
      </c>
      <c r="G14896" s="6"/>
      <c r="H14896" s="6"/>
    </row>
    <row r="14897">
      <c r="A14897" s="84">
        <v>45932.0</v>
      </c>
      <c r="B14897" s="4">
        <v>0.29444444444444445</v>
      </c>
      <c r="C14897" s="5" t="s">
        <v>76</v>
      </c>
      <c r="D14897" s="5" t="s">
        <v>1850</v>
      </c>
      <c r="E14897" s="65"/>
      <c r="F14897" s="5" t="s">
        <v>121</v>
      </c>
      <c r="G14897" s="6"/>
      <c r="H14897" s="6"/>
    </row>
    <row r="14898">
      <c r="A14898" s="84">
        <v>45932.0</v>
      </c>
      <c r="B14898" s="4">
        <v>0.29444444444444445</v>
      </c>
      <c r="C14898" s="5" t="s">
        <v>76</v>
      </c>
      <c r="D14898" s="5" t="s">
        <v>1850</v>
      </c>
      <c r="E14898" s="65"/>
      <c r="F14898" s="5" t="s">
        <v>1856</v>
      </c>
      <c r="G14898" s="6"/>
      <c r="H14898" s="6"/>
    </row>
    <row r="14899">
      <c r="A14899" s="84">
        <v>45932.0</v>
      </c>
      <c r="B14899" s="4">
        <v>0.29444444444444445</v>
      </c>
      <c r="C14899" s="5" t="s">
        <v>76</v>
      </c>
      <c r="D14899" s="5" t="s">
        <v>1850</v>
      </c>
      <c r="E14899" s="65"/>
      <c r="F14899" s="5" t="s">
        <v>505</v>
      </c>
      <c r="G14899" s="6"/>
      <c r="H14899" s="6"/>
    </row>
    <row r="14900">
      <c r="A14900" s="84">
        <v>45932.0</v>
      </c>
      <c r="B14900" s="4">
        <v>0.29444444444444445</v>
      </c>
      <c r="C14900" s="5" t="s">
        <v>76</v>
      </c>
      <c r="D14900" s="5" t="s">
        <v>1850</v>
      </c>
      <c r="E14900" s="65"/>
      <c r="F14900" s="5" t="s">
        <v>1525</v>
      </c>
      <c r="G14900" s="6"/>
      <c r="H14900" s="6"/>
    </row>
    <row r="14901">
      <c r="A14901" s="84">
        <v>45932.0</v>
      </c>
      <c r="B14901" s="4">
        <v>0.2951388888888889</v>
      </c>
      <c r="C14901" s="5" t="s">
        <v>76</v>
      </c>
      <c r="D14901" s="5" t="s">
        <v>1850</v>
      </c>
      <c r="E14901" s="65"/>
      <c r="F14901" s="5" t="s">
        <v>277</v>
      </c>
      <c r="G14901" s="6"/>
      <c r="H14901" s="6"/>
    </row>
    <row r="14902">
      <c r="A14902" s="84">
        <v>45932.0</v>
      </c>
      <c r="B14902" s="4">
        <v>0.2951388888888889</v>
      </c>
      <c r="C14902" s="5" t="s">
        <v>76</v>
      </c>
      <c r="D14902" s="5" t="s">
        <v>1850</v>
      </c>
      <c r="E14902" s="65"/>
      <c r="F14902" s="5" t="s">
        <v>49</v>
      </c>
      <c r="G14902" s="6"/>
      <c r="H14902" s="6"/>
    </row>
    <row r="14903">
      <c r="A14903" s="84">
        <v>45932.0</v>
      </c>
      <c r="B14903" s="4">
        <v>0.2965277777777778</v>
      </c>
      <c r="C14903" s="5" t="s">
        <v>76</v>
      </c>
      <c r="D14903" s="5" t="s">
        <v>1850</v>
      </c>
      <c r="E14903" s="65"/>
      <c r="F14903" s="5" t="s">
        <v>464</v>
      </c>
      <c r="G14903" s="6"/>
      <c r="H14903" s="6"/>
    </row>
    <row r="14904">
      <c r="A14904" s="84">
        <v>45932.0</v>
      </c>
      <c r="B14904" s="4">
        <v>0.2965277777777778</v>
      </c>
      <c r="C14904" s="5" t="s">
        <v>76</v>
      </c>
      <c r="D14904" s="5" t="s">
        <v>1850</v>
      </c>
      <c r="E14904" s="65"/>
      <c r="F14904" s="5" t="s">
        <v>123</v>
      </c>
      <c r="G14904" s="6"/>
      <c r="H14904" s="6"/>
    </row>
    <row r="14905">
      <c r="A14905" s="84">
        <v>45932.0</v>
      </c>
      <c r="B14905" s="4">
        <v>0.30972222222222223</v>
      </c>
      <c r="C14905" s="5" t="s">
        <v>64</v>
      </c>
      <c r="D14905" s="5" t="s">
        <v>1850</v>
      </c>
      <c r="E14905" s="65"/>
      <c r="F14905" s="5" t="s">
        <v>110</v>
      </c>
      <c r="G14905" s="6"/>
      <c r="H14905" s="6"/>
    </row>
    <row r="14906">
      <c r="A14906" s="84">
        <v>45932.0</v>
      </c>
      <c r="B14906" s="4">
        <v>0.30972222222222223</v>
      </c>
      <c r="C14906" s="5" t="s">
        <v>64</v>
      </c>
      <c r="D14906" s="5" t="s">
        <v>1850</v>
      </c>
      <c r="E14906" s="65"/>
      <c r="F14906" s="5" t="s">
        <v>149</v>
      </c>
      <c r="G14906" s="6"/>
      <c r="H14906" s="6"/>
    </row>
    <row r="14907">
      <c r="A14907" s="84">
        <v>45932.0</v>
      </c>
      <c r="B14907" s="4">
        <v>0.3104166666666667</v>
      </c>
      <c r="C14907" s="5" t="s">
        <v>64</v>
      </c>
      <c r="D14907" s="5" t="s">
        <v>1850</v>
      </c>
      <c r="E14907" s="65"/>
      <c r="F14907" s="5" t="s">
        <v>252</v>
      </c>
      <c r="G14907" s="6"/>
      <c r="H14907" s="6"/>
    </row>
    <row r="14908">
      <c r="A14908" s="84">
        <v>45932.0</v>
      </c>
      <c r="B14908" s="4">
        <v>0.3104166666666667</v>
      </c>
      <c r="C14908" s="5" t="s">
        <v>64</v>
      </c>
      <c r="D14908" s="5" t="s">
        <v>1850</v>
      </c>
      <c r="E14908" s="65"/>
      <c r="F14908" s="5" t="s">
        <v>291</v>
      </c>
      <c r="G14908" s="6"/>
      <c r="H14908" s="6"/>
    </row>
    <row r="14909">
      <c r="A14909" s="84">
        <v>45932.0</v>
      </c>
      <c r="B14909" s="4">
        <v>0.3104166666666667</v>
      </c>
      <c r="C14909" s="5" t="s">
        <v>64</v>
      </c>
      <c r="D14909" s="5" t="s">
        <v>1850</v>
      </c>
      <c r="E14909" s="65"/>
      <c r="F14909" s="5" t="s">
        <v>1695</v>
      </c>
      <c r="G14909" s="6"/>
      <c r="H14909" s="6"/>
    </row>
    <row r="14910">
      <c r="A14910" s="84">
        <v>45932.0</v>
      </c>
      <c r="B14910" s="4">
        <v>0.3104166666666667</v>
      </c>
      <c r="C14910" s="5" t="s">
        <v>64</v>
      </c>
      <c r="D14910" s="5" t="s">
        <v>1850</v>
      </c>
      <c r="E14910" s="65"/>
      <c r="F14910" s="5" t="s">
        <v>741</v>
      </c>
      <c r="G14910" s="6"/>
      <c r="H14910" s="6"/>
    </row>
    <row r="14911">
      <c r="A14911" s="84">
        <v>45932.0</v>
      </c>
      <c r="B14911" s="4">
        <v>0.3104166666666667</v>
      </c>
      <c r="C14911" s="5" t="s">
        <v>64</v>
      </c>
      <c r="D14911" s="5" t="s">
        <v>1850</v>
      </c>
      <c r="E14911" s="65"/>
      <c r="F14911" s="5" t="s">
        <v>912</v>
      </c>
      <c r="G14911" s="6"/>
      <c r="H14911" s="6"/>
    </row>
    <row r="14912">
      <c r="A14912" s="84">
        <v>45932.0</v>
      </c>
      <c r="B14912" s="4">
        <v>0.3104166666666667</v>
      </c>
      <c r="C14912" s="5" t="s">
        <v>64</v>
      </c>
      <c r="D14912" s="5" t="s">
        <v>1850</v>
      </c>
      <c r="E14912" s="65"/>
      <c r="F14912" s="5" t="s">
        <v>911</v>
      </c>
      <c r="G14912" s="6"/>
      <c r="H14912" s="6"/>
    </row>
    <row r="14913">
      <c r="A14913" s="84">
        <v>45932.0</v>
      </c>
      <c r="B14913" s="4">
        <v>0.3104166666666667</v>
      </c>
      <c r="C14913" s="5" t="s">
        <v>64</v>
      </c>
      <c r="D14913" s="5" t="s">
        <v>1850</v>
      </c>
      <c r="E14913" s="65"/>
      <c r="F14913" s="5" t="s">
        <v>320</v>
      </c>
      <c r="G14913" s="6"/>
      <c r="H14913" s="6"/>
    </row>
    <row r="14914">
      <c r="A14914" s="84">
        <v>45932.0</v>
      </c>
      <c r="B14914" s="4">
        <v>0.3111111111111111</v>
      </c>
      <c r="C14914" s="5" t="s">
        <v>64</v>
      </c>
      <c r="D14914" s="5" t="s">
        <v>1850</v>
      </c>
      <c r="E14914" s="65"/>
      <c r="F14914" s="5" t="s">
        <v>49</v>
      </c>
      <c r="G14914" s="6"/>
      <c r="H14914" s="6"/>
    </row>
    <row r="14915">
      <c r="A14915" s="84">
        <v>45932.0</v>
      </c>
      <c r="B14915" s="4">
        <v>0.3111111111111111</v>
      </c>
      <c r="C14915" s="5" t="s">
        <v>64</v>
      </c>
      <c r="D14915" s="5" t="s">
        <v>1850</v>
      </c>
      <c r="E14915" s="65"/>
      <c r="F14915" s="5" t="s">
        <v>1672</v>
      </c>
      <c r="G14915" s="6"/>
      <c r="H14915" s="6"/>
    </row>
    <row r="14916">
      <c r="A14916" s="84">
        <v>45932.0</v>
      </c>
      <c r="B14916" s="4">
        <v>0.3111111111111111</v>
      </c>
      <c r="C14916" s="5" t="s">
        <v>64</v>
      </c>
      <c r="D14916" s="5" t="s">
        <v>1850</v>
      </c>
      <c r="E14916" s="65"/>
      <c r="F14916" s="5" t="s">
        <v>142</v>
      </c>
      <c r="G14916" s="6"/>
      <c r="H14916" s="6"/>
    </row>
    <row r="14917">
      <c r="A14917" s="84">
        <v>45932.0</v>
      </c>
      <c r="B14917" s="4">
        <v>0.3111111111111111</v>
      </c>
      <c r="C14917" s="5" t="s">
        <v>64</v>
      </c>
      <c r="D14917" s="5" t="s">
        <v>1850</v>
      </c>
      <c r="E14917" s="65"/>
      <c r="F14917" s="5" t="s">
        <v>464</v>
      </c>
      <c r="G14917" s="6"/>
      <c r="H14917" s="6"/>
    </row>
    <row r="14918">
      <c r="A14918" s="84">
        <v>45932.0</v>
      </c>
      <c r="B14918" s="4">
        <v>0.3111111111111111</v>
      </c>
      <c r="C14918" s="5" t="s">
        <v>64</v>
      </c>
      <c r="D14918" s="5" t="s">
        <v>1850</v>
      </c>
      <c r="E14918" s="65"/>
      <c r="F14918" s="5" t="s">
        <v>44</v>
      </c>
      <c r="G14918" s="6"/>
      <c r="H14918" s="6"/>
    </row>
    <row r="14919">
      <c r="A14919" s="84">
        <v>45932.0</v>
      </c>
      <c r="B14919" s="4">
        <v>0.31180555555555556</v>
      </c>
      <c r="C14919" s="5" t="s">
        <v>64</v>
      </c>
      <c r="D14919" s="5" t="s">
        <v>1850</v>
      </c>
      <c r="E14919" s="85" t="s">
        <v>1087</v>
      </c>
      <c r="F14919" s="5"/>
      <c r="G14919" s="6"/>
      <c r="H14919" s="6"/>
    </row>
    <row r="14920">
      <c r="A14920" s="84">
        <v>45932.0</v>
      </c>
      <c r="B14920" s="4">
        <v>0.31180555555555556</v>
      </c>
      <c r="C14920" s="5" t="s">
        <v>64</v>
      </c>
      <c r="D14920" s="5" t="s">
        <v>1850</v>
      </c>
      <c r="E14920" s="85" t="s">
        <v>298</v>
      </c>
      <c r="F14920" s="5"/>
      <c r="G14920" s="6"/>
      <c r="H14920" s="6"/>
    </row>
    <row r="14921">
      <c r="A14921" s="84">
        <v>45932.0</v>
      </c>
      <c r="B14921" s="4">
        <v>0.31180555555555556</v>
      </c>
      <c r="C14921" s="5" t="s">
        <v>64</v>
      </c>
      <c r="D14921" s="5" t="s">
        <v>1850</v>
      </c>
      <c r="E14921" s="85" t="s">
        <v>51</v>
      </c>
      <c r="F14921" s="5"/>
      <c r="G14921" s="6"/>
      <c r="H14921" s="6"/>
    </row>
    <row r="14922">
      <c r="A14922" s="84">
        <v>45932.0</v>
      </c>
      <c r="B14922" s="4">
        <v>0.31180555555555556</v>
      </c>
      <c r="C14922" s="5" t="s">
        <v>64</v>
      </c>
      <c r="D14922" s="5" t="s">
        <v>1850</v>
      </c>
      <c r="E14922" s="65"/>
      <c r="F14922" s="5" t="s">
        <v>876</v>
      </c>
      <c r="G14922" s="6"/>
      <c r="H14922" s="6"/>
    </row>
    <row r="14923">
      <c r="A14923" s="84">
        <v>45932.0</v>
      </c>
      <c r="B14923" s="4">
        <v>0.3125</v>
      </c>
      <c r="C14923" s="5" t="s">
        <v>64</v>
      </c>
      <c r="D14923" s="5" t="s">
        <v>1850</v>
      </c>
      <c r="E14923" s="65"/>
      <c r="F14923" s="5" t="s">
        <v>825</v>
      </c>
      <c r="G14923" s="6"/>
      <c r="H14923" s="6"/>
    </row>
    <row r="14924">
      <c r="A14924" s="84">
        <v>45932.0</v>
      </c>
      <c r="B14924" s="4">
        <v>0.3125</v>
      </c>
      <c r="C14924" s="5" t="s">
        <v>64</v>
      </c>
      <c r="D14924" s="5" t="s">
        <v>1850</v>
      </c>
      <c r="E14924" s="65"/>
      <c r="F14924" s="5" t="s">
        <v>1169</v>
      </c>
      <c r="G14924" s="6"/>
      <c r="H14924" s="6"/>
    </row>
    <row r="14925">
      <c r="A14925" s="84">
        <v>45932.0</v>
      </c>
      <c r="B14925" s="4">
        <v>0.3125</v>
      </c>
      <c r="C14925" s="5" t="s">
        <v>64</v>
      </c>
      <c r="D14925" s="5" t="s">
        <v>1850</v>
      </c>
      <c r="E14925" s="65"/>
      <c r="F14925" s="5" t="s">
        <v>254</v>
      </c>
      <c r="G14925" s="6"/>
      <c r="H14925" s="6"/>
    </row>
    <row r="14926">
      <c r="A14926" s="84">
        <v>45932.0</v>
      </c>
      <c r="B14926" s="4">
        <v>0.3125</v>
      </c>
      <c r="C14926" s="5" t="s">
        <v>64</v>
      </c>
      <c r="D14926" s="5" t="s">
        <v>1850</v>
      </c>
      <c r="E14926" s="65"/>
      <c r="F14926" s="5" t="s">
        <v>151</v>
      </c>
      <c r="G14926" s="6"/>
      <c r="H14926" s="6"/>
    </row>
    <row r="14927">
      <c r="A14927" s="84">
        <v>45932.0</v>
      </c>
      <c r="B14927" s="4">
        <v>0.31319444444444444</v>
      </c>
      <c r="C14927" s="5" t="s">
        <v>64</v>
      </c>
      <c r="D14927" s="5" t="s">
        <v>1850</v>
      </c>
      <c r="E14927" s="65"/>
      <c r="F14927" s="5" t="s">
        <v>71</v>
      </c>
      <c r="G14927" s="6"/>
      <c r="H14927" s="6"/>
    </row>
    <row r="14928">
      <c r="A14928" s="84">
        <v>45932.0</v>
      </c>
      <c r="B14928" s="4">
        <v>0.31319444444444444</v>
      </c>
      <c r="C14928" s="5" t="s">
        <v>64</v>
      </c>
      <c r="D14928" s="5" t="s">
        <v>1850</v>
      </c>
      <c r="E14928" s="65"/>
      <c r="F14928" s="5" t="s">
        <v>172</v>
      </c>
      <c r="G14928" s="6"/>
      <c r="H14928" s="6"/>
    </row>
    <row r="14929">
      <c r="A14929" s="84">
        <v>45932.0</v>
      </c>
      <c r="B14929" s="4">
        <v>0.31319444444444444</v>
      </c>
      <c r="C14929" s="5" t="s">
        <v>64</v>
      </c>
      <c r="D14929" s="5" t="s">
        <v>1850</v>
      </c>
      <c r="E14929" s="65"/>
      <c r="F14929" s="5" t="s">
        <v>502</v>
      </c>
      <c r="G14929" s="6"/>
      <c r="H14929" s="6"/>
    </row>
    <row r="14930">
      <c r="A14930" s="84">
        <v>45932.0</v>
      </c>
      <c r="B14930" s="4">
        <v>0.31319444444444444</v>
      </c>
      <c r="C14930" s="5" t="s">
        <v>64</v>
      </c>
      <c r="D14930" s="5" t="s">
        <v>1850</v>
      </c>
      <c r="E14930" s="65"/>
      <c r="F14930" s="5" t="s">
        <v>47</v>
      </c>
      <c r="G14930" s="6"/>
      <c r="H14930" s="6"/>
    </row>
    <row r="14931">
      <c r="A14931" s="84">
        <v>45932.0</v>
      </c>
      <c r="B14931" s="4">
        <v>0.31319444444444444</v>
      </c>
      <c r="C14931" s="5" t="s">
        <v>64</v>
      </c>
      <c r="D14931" s="5" t="s">
        <v>1850</v>
      </c>
      <c r="E14931" s="65"/>
      <c r="F14931" s="5" t="s">
        <v>155</v>
      </c>
      <c r="G14931" s="6"/>
      <c r="H14931" s="6"/>
    </row>
    <row r="14932">
      <c r="A14932" s="84">
        <v>45932.0</v>
      </c>
      <c r="B14932" s="4">
        <v>0.3138888888888889</v>
      </c>
      <c r="C14932" s="5" t="s">
        <v>64</v>
      </c>
      <c r="D14932" s="5" t="s">
        <v>1850</v>
      </c>
      <c r="E14932" s="65"/>
      <c r="F14932" s="5" t="s">
        <v>114</v>
      </c>
      <c r="G14932" s="6"/>
      <c r="H14932" s="6"/>
    </row>
    <row r="14933">
      <c r="A14933" s="84">
        <v>45932.0</v>
      </c>
      <c r="B14933" s="4">
        <v>0.3138888888888889</v>
      </c>
      <c r="C14933" s="5" t="s">
        <v>64</v>
      </c>
      <c r="D14933" s="5" t="s">
        <v>1850</v>
      </c>
      <c r="E14933" s="65"/>
      <c r="F14933" s="5" t="s">
        <v>259</v>
      </c>
      <c r="G14933" s="6"/>
      <c r="H14933" s="6"/>
    </row>
    <row r="14934">
      <c r="A14934" s="84">
        <v>45932.0</v>
      </c>
      <c r="B14934" s="4">
        <v>0.3138888888888889</v>
      </c>
      <c r="C14934" s="5" t="s">
        <v>64</v>
      </c>
      <c r="D14934" s="5" t="s">
        <v>1850</v>
      </c>
      <c r="E14934" s="65"/>
      <c r="F14934" s="5" t="s">
        <v>182</v>
      </c>
      <c r="G14934" s="6"/>
      <c r="H14934" s="6"/>
    </row>
    <row r="14935">
      <c r="A14935" s="84">
        <v>45932.0</v>
      </c>
      <c r="B14935" s="4">
        <v>0.3138888888888889</v>
      </c>
      <c r="C14935" s="5" t="s">
        <v>64</v>
      </c>
      <c r="D14935" s="5" t="s">
        <v>1850</v>
      </c>
      <c r="E14935" s="65"/>
      <c r="F14935" s="5" t="s">
        <v>1449</v>
      </c>
      <c r="G14935" s="6"/>
      <c r="H14935" s="6"/>
    </row>
    <row r="14936">
      <c r="A14936" s="84">
        <v>45932.0</v>
      </c>
      <c r="B14936" s="4">
        <v>0.3138888888888889</v>
      </c>
      <c r="C14936" s="5" t="s">
        <v>64</v>
      </c>
      <c r="D14936" s="5" t="s">
        <v>1850</v>
      </c>
      <c r="E14936" s="65"/>
      <c r="F14936" s="5" t="s">
        <v>289</v>
      </c>
      <c r="G14936" s="6"/>
      <c r="H14936" s="6"/>
    </row>
    <row r="14937">
      <c r="A14937" s="84">
        <v>45932.0</v>
      </c>
      <c r="B14937" s="4">
        <v>0.3138888888888889</v>
      </c>
      <c r="C14937" s="5" t="s">
        <v>64</v>
      </c>
      <c r="D14937" s="5" t="s">
        <v>1850</v>
      </c>
      <c r="E14937" s="65"/>
      <c r="F14937" s="5" t="s">
        <v>607</v>
      </c>
      <c r="G14937" s="6"/>
      <c r="H14937" s="6"/>
    </row>
    <row r="14938">
      <c r="A14938" s="84">
        <v>45932.0</v>
      </c>
      <c r="B14938" s="4">
        <v>0.3138888888888889</v>
      </c>
      <c r="C14938" s="5" t="s">
        <v>64</v>
      </c>
      <c r="D14938" s="5" t="s">
        <v>1850</v>
      </c>
      <c r="E14938" s="65"/>
      <c r="F14938" s="5" t="s">
        <v>1857</v>
      </c>
      <c r="G14938" s="6"/>
      <c r="H14938" s="6"/>
    </row>
    <row r="14939">
      <c r="A14939" s="84">
        <v>45932.0</v>
      </c>
      <c r="B14939" s="4">
        <v>0.3138888888888889</v>
      </c>
      <c r="C14939" s="5" t="s">
        <v>64</v>
      </c>
      <c r="D14939" s="5" t="s">
        <v>1850</v>
      </c>
      <c r="E14939" s="65"/>
      <c r="F14939" s="5" t="s">
        <v>66</v>
      </c>
      <c r="G14939" s="6"/>
      <c r="H14939" s="6"/>
    </row>
    <row r="14940">
      <c r="A14940" s="84">
        <v>45932.0</v>
      </c>
      <c r="B14940" s="4">
        <v>0.3145833333333333</v>
      </c>
      <c r="C14940" s="5" t="s">
        <v>64</v>
      </c>
      <c r="D14940" s="5" t="s">
        <v>1850</v>
      </c>
      <c r="E14940" s="65"/>
      <c r="F14940" s="5" t="s">
        <v>110</v>
      </c>
      <c r="G14940" s="6"/>
      <c r="H14940" s="6"/>
    </row>
    <row r="14941">
      <c r="A14941" s="84">
        <v>45932.0</v>
      </c>
      <c r="B14941" s="4">
        <v>0.3145833333333333</v>
      </c>
      <c r="C14941" s="5" t="s">
        <v>64</v>
      </c>
      <c r="D14941" s="5" t="s">
        <v>1850</v>
      </c>
      <c r="E14941" s="65"/>
      <c r="F14941" s="5" t="s">
        <v>462</v>
      </c>
      <c r="G14941" s="6"/>
      <c r="H14941" s="6"/>
    </row>
    <row r="14942">
      <c r="A14942" s="84">
        <v>45932.0</v>
      </c>
      <c r="B14942" s="4">
        <v>0.3145833333333333</v>
      </c>
      <c r="C14942" s="5" t="s">
        <v>64</v>
      </c>
      <c r="D14942" s="5" t="s">
        <v>1850</v>
      </c>
      <c r="E14942" s="65"/>
      <c r="F14942" s="5" t="s">
        <v>553</v>
      </c>
      <c r="G14942" s="6"/>
      <c r="H14942" s="6"/>
    </row>
    <row r="14943">
      <c r="A14943" s="84">
        <v>45932.0</v>
      </c>
      <c r="B14943" s="4">
        <v>0.3145833333333333</v>
      </c>
      <c r="C14943" s="5" t="s">
        <v>64</v>
      </c>
      <c r="D14943" s="5" t="s">
        <v>1850</v>
      </c>
      <c r="E14943" s="65"/>
      <c r="F14943" s="5" t="s">
        <v>97</v>
      </c>
      <c r="G14943" s="6"/>
      <c r="H14943" s="6"/>
    </row>
    <row r="14944">
      <c r="A14944" s="84">
        <v>45932.0</v>
      </c>
      <c r="B14944" s="4">
        <v>0.3145833333333333</v>
      </c>
      <c r="C14944" s="5" t="s">
        <v>64</v>
      </c>
      <c r="D14944" s="5" t="s">
        <v>1850</v>
      </c>
      <c r="E14944" s="65"/>
      <c r="F14944" s="5" t="s">
        <v>70</v>
      </c>
      <c r="G14944" s="6"/>
      <c r="H14944" s="6"/>
    </row>
    <row r="14945">
      <c r="A14945" s="84">
        <v>45932.0</v>
      </c>
      <c r="B14945" s="4">
        <v>0.3145833333333333</v>
      </c>
      <c r="C14945" s="5" t="s">
        <v>64</v>
      </c>
      <c r="D14945" s="5" t="s">
        <v>1850</v>
      </c>
      <c r="E14945" s="65"/>
      <c r="F14945" s="5" t="s">
        <v>1365</v>
      </c>
      <c r="G14945" s="6"/>
      <c r="H14945" s="6"/>
    </row>
    <row r="14946">
      <c r="A14946" s="84">
        <v>45932.0</v>
      </c>
      <c r="B14946" s="4">
        <v>0.31666666666666665</v>
      </c>
      <c r="C14946" s="5" t="s">
        <v>937</v>
      </c>
      <c r="D14946" s="5" t="s">
        <v>1850</v>
      </c>
      <c r="E14946" s="65"/>
      <c r="F14946" s="5" t="s">
        <v>164</v>
      </c>
      <c r="G14946" s="6"/>
      <c r="H14946" s="6"/>
    </row>
    <row r="14947">
      <c r="A14947" s="84">
        <v>45932.0</v>
      </c>
      <c r="B14947" s="4">
        <v>0.31805555555555554</v>
      </c>
      <c r="C14947" s="5" t="s">
        <v>937</v>
      </c>
      <c r="D14947" s="5" t="s">
        <v>1850</v>
      </c>
      <c r="E14947" s="65"/>
      <c r="F14947" s="5" t="s">
        <v>110</v>
      </c>
      <c r="G14947" s="6"/>
      <c r="H14947" s="6"/>
    </row>
    <row r="14948">
      <c r="A14948" s="84">
        <v>45932.0</v>
      </c>
      <c r="B14948" s="4">
        <v>0.31805555555555554</v>
      </c>
      <c r="C14948" s="5" t="s">
        <v>937</v>
      </c>
      <c r="D14948" s="5" t="s">
        <v>1850</v>
      </c>
      <c r="E14948" s="65"/>
      <c r="F14948" s="5" t="s">
        <v>1168</v>
      </c>
      <c r="G14948" s="6"/>
      <c r="H14948" s="6"/>
    </row>
    <row r="14949">
      <c r="A14949" s="84">
        <v>45932.0</v>
      </c>
      <c r="B14949" s="4">
        <v>0.31805555555555554</v>
      </c>
      <c r="C14949" s="5" t="s">
        <v>937</v>
      </c>
      <c r="D14949" s="5" t="s">
        <v>1850</v>
      </c>
      <c r="E14949" s="65"/>
      <c r="F14949" s="5" t="s">
        <v>1633</v>
      </c>
      <c r="G14949" s="6"/>
      <c r="H14949" s="6"/>
    </row>
    <row r="14950">
      <c r="A14950" s="84">
        <v>45932.0</v>
      </c>
      <c r="B14950" s="4">
        <v>0.31805555555555554</v>
      </c>
      <c r="C14950" s="5" t="s">
        <v>937</v>
      </c>
      <c r="D14950" s="5" t="s">
        <v>1850</v>
      </c>
      <c r="E14950" s="65"/>
      <c r="F14950" s="5" t="s">
        <v>1692</v>
      </c>
      <c r="G14950" s="6"/>
      <c r="H14950" s="6"/>
    </row>
    <row r="14951">
      <c r="A14951" s="84">
        <v>45932.0</v>
      </c>
      <c r="B14951" s="4">
        <v>0.31805555555555554</v>
      </c>
      <c r="C14951" s="5" t="s">
        <v>937</v>
      </c>
      <c r="D14951" s="5" t="s">
        <v>1850</v>
      </c>
      <c r="E14951" s="65"/>
      <c r="F14951" s="5" t="s">
        <v>1838</v>
      </c>
      <c r="G14951" s="6"/>
      <c r="H14951" s="6"/>
    </row>
    <row r="14952">
      <c r="A14952" s="84">
        <v>45932.0</v>
      </c>
      <c r="B14952" s="4">
        <v>0.31805555555555554</v>
      </c>
      <c r="C14952" s="5" t="s">
        <v>937</v>
      </c>
      <c r="D14952" s="5" t="s">
        <v>1850</v>
      </c>
      <c r="E14952" s="65"/>
      <c r="F14952" s="5" t="s">
        <v>254</v>
      </c>
      <c r="G14952" s="6"/>
      <c r="H14952" s="6"/>
    </row>
    <row r="14953">
      <c r="A14953" s="84">
        <v>45932.0</v>
      </c>
      <c r="B14953" s="4">
        <v>0.31875</v>
      </c>
      <c r="C14953" s="5" t="s">
        <v>937</v>
      </c>
      <c r="D14953" s="5" t="s">
        <v>1850</v>
      </c>
      <c r="E14953" s="65"/>
      <c r="F14953" s="5" t="s">
        <v>259</v>
      </c>
      <c r="G14953" s="6"/>
      <c r="H14953" s="6"/>
    </row>
    <row r="14954">
      <c r="A14954" s="84">
        <v>45932.0</v>
      </c>
      <c r="B14954" s="4">
        <v>0.31875</v>
      </c>
      <c r="C14954" s="5" t="s">
        <v>937</v>
      </c>
      <c r="D14954" s="5" t="s">
        <v>1850</v>
      </c>
      <c r="E14954" s="65"/>
      <c r="F14954" s="5" t="s">
        <v>151</v>
      </c>
      <c r="G14954" s="6"/>
      <c r="H14954" s="6"/>
    </row>
    <row r="14955">
      <c r="A14955" s="84">
        <v>45932.0</v>
      </c>
      <c r="B14955" s="4">
        <v>0.31875</v>
      </c>
      <c r="C14955" s="5" t="s">
        <v>937</v>
      </c>
      <c r="D14955" s="5" t="s">
        <v>1850</v>
      </c>
      <c r="E14955" s="65"/>
      <c r="F14955" s="5" t="s">
        <v>54</v>
      </c>
      <c r="G14955" s="6"/>
      <c r="H14955" s="6"/>
    </row>
    <row r="14956">
      <c r="A14956" s="84">
        <v>45932.0</v>
      </c>
      <c r="B14956" s="4">
        <v>0.31875</v>
      </c>
      <c r="C14956" s="5" t="s">
        <v>937</v>
      </c>
      <c r="D14956" s="5" t="s">
        <v>1850</v>
      </c>
      <c r="E14956" s="65"/>
      <c r="F14956" s="5" t="s">
        <v>1820</v>
      </c>
      <c r="G14956" s="6"/>
      <c r="H14956" s="6"/>
    </row>
    <row r="14957">
      <c r="A14957" s="84">
        <v>45932.0</v>
      </c>
      <c r="B14957" s="4">
        <v>0.3194444444444444</v>
      </c>
      <c r="C14957" s="5" t="s">
        <v>937</v>
      </c>
      <c r="D14957" s="5" t="s">
        <v>1850</v>
      </c>
      <c r="E14957" s="65"/>
      <c r="F14957" s="5" t="s">
        <v>136</v>
      </c>
      <c r="G14957" s="6"/>
      <c r="H14957" s="6"/>
    </row>
    <row r="14958">
      <c r="A14958" s="84">
        <v>45932.0</v>
      </c>
      <c r="B14958" s="4">
        <v>0.3194444444444444</v>
      </c>
      <c r="C14958" s="5" t="s">
        <v>937</v>
      </c>
      <c r="D14958" s="5" t="s">
        <v>1850</v>
      </c>
      <c r="E14958" s="65"/>
      <c r="F14958" s="5" t="s">
        <v>499</v>
      </c>
      <c r="G14958" s="6"/>
      <c r="H14958" s="6"/>
    </row>
    <row r="14959">
      <c r="A14959" s="84">
        <v>45932.0</v>
      </c>
      <c r="B14959" s="4">
        <v>0.32013888888888886</v>
      </c>
      <c r="C14959" s="5" t="s">
        <v>937</v>
      </c>
      <c r="D14959" s="5" t="s">
        <v>1850</v>
      </c>
      <c r="E14959" s="65"/>
      <c r="F14959" s="5" t="s">
        <v>15</v>
      </c>
      <c r="G14959" s="6"/>
      <c r="H14959" s="6"/>
    </row>
    <row r="14960">
      <c r="A14960" s="84">
        <v>45932.0</v>
      </c>
      <c r="B14960" s="4">
        <v>0.32013888888888886</v>
      </c>
      <c r="C14960" s="5" t="s">
        <v>937</v>
      </c>
      <c r="D14960" s="5" t="s">
        <v>1850</v>
      </c>
      <c r="E14960" s="65"/>
      <c r="F14960" s="5" t="s">
        <v>1286</v>
      </c>
      <c r="G14960" s="6"/>
      <c r="H14960" s="6"/>
    </row>
    <row r="14961">
      <c r="A14961" s="84">
        <v>45932.0</v>
      </c>
      <c r="B14961" s="4">
        <v>0.32013888888888886</v>
      </c>
      <c r="C14961" s="5" t="s">
        <v>937</v>
      </c>
      <c r="D14961" s="5" t="s">
        <v>1850</v>
      </c>
      <c r="E14961" s="65"/>
      <c r="F14961" s="5" t="s">
        <v>147</v>
      </c>
      <c r="G14961" s="6"/>
      <c r="H14961" s="6"/>
    </row>
    <row r="14962">
      <c r="A14962" s="84">
        <v>45932.0</v>
      </c>
      <c r="B14962" s="4">
        <v>0.32013888888888886</v>
      </c>
      <c r="C14962" s="5" t="s">
        <v>937</v>
      </c>
      <c r="D14962" s="5" t="s">
        <v>1850</v>
      </c>
      <c r="E14962" s="65"/>
      <c r="F14962" s="5" t="s">
        <v>97</v>
      </c>
      <c r="G14962" s="6"/>
      <c r="H14962" s="6"/>
    </row>
    <row r="14963">
      <c r="A14963" s="84">
        <v>45932.0</v>
      </c>
      <c r="B14963" s="4">
        <v>0.32013888888888886</v>
      </c>
      <c r="C14963" s="5" t="s">
        <v>937</v>
      </c>
      <c r="D14963" s="5" t="s">
        <v>1850</v>
      </c>
      <c r="E14963" s="65"/>
      <c r="F14963" s="5" t="s">
        <v>1430</v>
      </c>
      <c r="G14963" s="6"/>
      <c r="H14963" s="6"/>
    </row>
    <row r="14964">
      <c r="A14964" s="84">
        <v>45932.0</v>
      </c>
      <c r="B14964" s="4">
        <v>0.32013888888888886</v>
      </c>
      <c r="C14964" s="5" t="s">
        <v>937</v>
      </c>
      <c r="D14964" s="5" t="s">
        <v>1850</v>
      </c>
      <c r="E14964" s="65"/>
      <c r="F14964" s="5" t="s">
        <v>1858</v>
      </c>
      <c r="G14964" s="6"/>
      <c r="H14964" s="6"/>
    </row>
    <row r="14965">
      <c r="A14965" s="84">
        <v>45932.0</v>
      </c>
      <c r="B14965" s="4">
        <v>0.32013888888888886</v>
      </c>
      <c r="C14965" s="5" t="s">
        <v>937</v>
      </c>
      <c r="D14965" s="5" t="s">
        <v>1850</v>
      </c>
      <c r="E14965" s="65"/>
      <c r="F14965" s="5" t="s">
        <v>472</v>
      </c>
      <c r="G14965" s="6"/>
      <c r="H14965" s="6"/>
    </row>
    <row r="14966">
      <c r="A14966" s="84">
        <v>45932.0</v>
      </c>
      <c r="B14966" s="4">
        <v>0.32083333333333336</v>
      </c>
      <c r="C14966" s="5" t="s">
        <v>937</v>
      </c>
      <c r="D14966" s="5" t="s">
        <v>1850</v>
      </c>
      <c r="E14966" s="65"/>
      <c r="F14966" s="5" t="s">
        <v>859</v>
      </c>
      <c r="G14966" s="6"/>
      <c r="H14966" s="6"/>
    </row>
    <row r="14967">
      <c r="A14967" s="84">
        <v>45932.0</v>
      </c>
      <c r="B14967" s="4">
        <v>0.32083333333333336</v>
      </c>
      <c r="C14967" s="5" t="s">
        <v>937</v>
      </c>
      <c r="D14967" s="5" t="s">
        <v>1850</v>
      </c>
      <c r="E14967" s="65"/>
      <c r="F14967" s="5" t="s">
        <v>426</v>
      </c>
      <c r="G14967" s="6"/>
      <c r="H14967" s="6"/>
    </row>
    <row r="14968">
      <c r="A14968" s="84">
        <v>45932.0</v>
      </c>
      <c r="B14968" s="4">
        <v>0.3215277777777778</v>
      </c>
      <c r="C14968" s="5" t="s">
        <v>937</v>
      </c>
      <c r="D14968" s="5" t="s">
        <v>1850</v>
      </c>
      <c r="E14968" s="65"/>
      <c r="F14968" s="5" t="s">
        <v>192</v>
      </c>
      <c r="G14968" s="6"/>
      <c r="H14968" s="6"/>
    </row>
    <row r="14969">
      <c r="A14969" s="84">
        <v>45932.0</v>
      </c>
      <c r="B14969" s="4">
        <v>0.3215277777777778</v>
      </c>
      <c r="C14969" s="5" t="s">
        <v>937</v>
      </c>
      <c r="D14969" s="5" t="s">
        <v>1850</v>
      </c>
      <c r="E14969" s="65"/>
      <c r="F14969" s="5" t="s">
        <v>287</v>
      </c>
      <c r="G14969" s="6"/>
      <c r="H14969" s="6"/>
    </row>
    <row r="14970">
      <c r="A14970" s="84">
        <v>45932.0</v>
      </c>
      <c r="B14970" s="4">
        <v>0.3215277777777778</v>
      </c>
      <c r="C14970" s="5" t="s">
        <v>937</v>
      </c>
      <c r="D14970" s="5" t="s">
        <v>1850</v>
      </c>
      <c r="E14970" s="65"/>
      <c r="F14970" s="5" t="s">
        <v>297</v>
      </c>
      <c r="G14970" s="6"/>
      <c r="H14970" s="6"/>
    </row>
    <row r="14971">
      <c r="A14971" s="84">
        <v>45932.0</v>
      </c>
      <c r="B14971" s="4">
        <v>0.32222222222222224</v>
      </c>
      <c r="C14971" s="5" t="s">
        <v>937</v>
      </c>
      <c r="D14971" s="5" t="s">
        <v>1850</v>
      </c>
      <c r="E14971" s="85" t="s">
        <v>732</v>
      </c>
      <c r="F14971" s="5"/>
      <c r="G14971" s="6"/>
      <c r="H14971" s="6"/>
    </row>
    <row r="14972">
      <c r="A14972" s="84">
        <v>45932.0</v>
      </c>
      <c r="B14972" s="4">
        <v>0.32222222222222224</v>
      </c>
      <c r="C14972" s="5" t="s">
        <v>937</v>
      </c>
      <c r="D14972" s="5" t="s">
        <v>1850</v>
      </c>
      <c r="E14972" s="65"/>
      <c r="F14972" s="5" t="s">
        <v>153</v>
      </c>
      <c r="G14972" s="6"/>
      <c r="H14972" s="6"/>
    </row>
    <row r="14973">
      <c r="A14973" s="84">
        <v>45932.0</v>
      </c>
      <c r="B14973" s="4">
        <v>0.32222222222222224</v>
      </c>
      <c r="C14973" s="5" t="s">
        <v>937</v>
      </c>
      <c r="D14973" s="5" t="s">
        <v>1850</v>
      </c>
      <c r="E14973" s="65"/>
      <c r="F14973" s="5" t="s">
        <v>203</v>
      </c>
      <c r="G14973" s="6"/>
      <c r="H14973" s="6"/>
    </row>
    <row r="14974">
      <c r="A14974" s="84">
        <v>45932.0</v>
      </c>
      <c r="B14974" s="4">
        <v>0.3229166666666667</v>
      </c>
      <c r="C14974" s="5" t="s">
        <v>937</v>
      </c>
      <c r="D14974" s="5" t="s">
        <v>1850</v>
      </c>
      <c r="E14974" s="65"/>
      <c r="F14974" s="5" t="s">
        <v>54</v>
      </c>
      <c r="G14974" s="6"/>
      <c r="H14974" s="6"/>
    </row>
    <row r="14975">
      <c r="A14975" s="84">
        <v>45932.0</v>
      </c>
      <c r="B14975" s="4">
        <v>0.3229166666666667</v>
      </c>
      <c r="C14975" s="5" t="s">
        <v>937</v>
      </c>
      <c r="D14975" s="5" t="s">
        <v>1850</v>
      </c>
      <c r="E14975" s="65"/>
      <c r="F14975" s="5" t="s">
        <v>1859</v>
      </c>
      <c r="G14975" s="6"/>
      <c r="H14975" s="6"/>
    </row>
    <row r="14976">
      <c r="A14976" s="84">
        <v>45932.0</v>
      </c>
      <c r="B14976" s="4">
        <v>0.3229166666666667</v>
      </c>
      <c r="C14976" s="5" t="s">
        <v>937</v>
      </c>
      <c r="D14976" s="5" t="s">
        <v>1850</v>
      </c>
      <c r="E14976" s="65"/>
      <c r="F14976" s="5" t="s">
        <v>47</v>
      </c>
      <c r="G14976" s="6"/>
      <c r="H14976" s="6"/>
    </row>
    <row r="14977">
      <c r="A14977" s="84">
        <v>45932.0</v>
      </c>
      <c r="B14977" s="4">
        <v>0.3229166666666667</v>
      </c>
      <c r="C14977" s="5" t="s">
        <v>937</v>
      </c>
      <c r="D14977" s="5" t="s">
        <v>1850</v>
      </c>
      <c r="E14977" s="65"/>
      <c r="F14977" s="5" t="s">
        <v>216</v>
      </c>
      <c r="G14977" s="6"/>
      <c r="H14977" s="6"/>
    </row>
    <row r="14978">
      <c r="A14978" s="84">
        <v>45932.0</v>
      </c>
      <c r="B14978" s="4">
        <v>0.3229166666666667</v>
      </c>
      <c r="C14978" s="5" t="s">
        <v>937</v>
      </c>
      <c r="D14978" s="5" t="s">
        <v>1850</v>
      </c>
      <c r="E14978" s="65"/>
      <c r="F14978" s="5" t="s">
        <v>936</v>
      </c>
      <c r="G14978" s="6"/>
      <c r="H14978" s="6"/>
    </row>
    <row r="14979">
      <c r="A14979" s="84">
        <v>45932.0</v>
      </c>
      <c r="B14979" s="4">
        <v>0.3229166666666667</v>
      </c>
      <c r="C14979" s="5" t="s">
        <v>937</v>
      </c>
      <c r="D14979" s="5" t="s">
        <v>1850</v>
      </c>
      <c r="E14979" s="65"/>
      <c r="F14979" s="5" t="s">
        <v>318</v>
      </c>
      <c r="G14979" s="6"/>
      <c r="H14979" s="6"/>
    </row>
    <row r="14980">
      <c r="A14980" s="84">
        <v>45932.0</v>
      </c>
      <c r="B14980" s="4">
        <v>0.3229166666666667</v>
      </c>
      <c r="C14980" s="5" t="s">
        <v>937</v>
      </c>
      <c r="D14980" s="5" t="s">
        <v>1850</v>
      </c>
      <c r="E14980" s="65"/>
      <c r="F14980" s="5" t="s">
        <v>1771</v>
      </c>
      <c r="G14980" s="6"/>
      <c r="H14980" s="6"/>
    </row>
    <row r="14981">
      <c r="A14981" s="84">
        <v>45932.0</v>
      </c>
      <c r="B14981" s="4">
        <v>0.3229166666666667</v>
      </c>
      <c r="C14981" s="5" t="s">
        <v>937</v>
      </c>
      <c r="D14981" s="5" t="s">
        <v>1850</v>
      </c>
      <c r="E14981" s="65"/>
      <c r="F14981" s="5" t="s">
        <v>145</v>
      </c>
      <c r="G14981" s="6"/>
      <c r="H14981" s="6"/>
    </row>
    <row r="14982">
      <c r="A14982" s="84">
        <v>45932.0</v>
      </c>
      <c r="B14982" s="4">
        <v>0.3236111111111111</v>
      </c>
      <c r="C14982" s="5" t="s">
        <v>937</v>
      </c>
      <c r="D14982" s="5" t="s">
        <v>1850</v>
      </c>
      <c r="E14982" s="65"/>
      <c r="F14982" s="5" t="s">
        <v>210</v>
      </c>
      <c r="G14982" s="6"/>
      <c r="H14982" s="6"/>
    </row>
    <row r="14983">
      <c r="A14983" s="84">
        <v>45932.0</v>
      </c>
      <c r="B14983" s="4">
        <v>0.3236111111111111</v>
      </c>
      <c r="C14983" s="5" t="s">
        <v>937</v>
      </c>
      <c r="D14983" s="5" t="s">
        <v>1850</v>
      </c>
      <c r="E14983" s="65"/>
      <c r="F14983" s="5" t="s">
        <v>66</v>
      </c>
      <c r="G14983" s="6"/>
      <c r="H14983" s="6"/>
    </row>
    <row r="14984">
      <c r="A14984" s="84">
        <v>45932.0</v>
      </c>
      <c r="B14984" s="4">
        <v>0.3236111111111111</v>
      </c>
      <c r="C14984" s="5" t="s">
        <v>937</v>
      </c>
      <c r="D14984" s="5" t="s">
        <v>1850</v>
      </c>
      <c r="E14984" s="65"/>
      <c r="F14984" s="5" t="s">
        <v>228</v>
      </c>
      <c r="G14984" s="6"/>
      <c r="H14984" s="6"/>
    </row>
    <row r="14985">
      <c r="A14985" s="84">
        <v>45932.0</v>
      </c>
      <c r="B14985" s="4">
        <v>0.3236111111111111</v>
      </c>
      <c r="C14985" s="5" t="s">
        <v>1821</v>
      </c>
      <c r="D14985" s="5" t="s">
        <v>1850</v>
      </c>
      <c r="E14985" s="65"/>
      <c r="F14985" s="5" t="s">
        <v>21</v>
      </c>
      <c r="G14985" s="6"/>
      <c r="H14985" s="6"/>
    </row>
    <row r="14986">
      <c r="A14986" s="84">
        <v>45932.0</v>
      </c>
      <c r="B14986" s="4">
        <v>0.32430555555555557</v>
      </c>
      <c r="C14986" s="5" t="s">
        <v>1821</v>
      </c>
      <c r="D14986" s="5" t="s">
        <v>1850</v>
      </c>
      <c r="E14986" s="65"/>
      <c r="F14986" s="5" t="s">
        <v>110</v>
      </c>
      <c r="G14986" s="6"/>
      <c r="H14986" s="6"/>
    </row>
    <row r="14987">
      <c r="A14987" s="84">
        <v>45932.0</v>
      </c>
      <c r="B14987" s="4">
        <v>0.32430555555555557</v>
      </c>
      <c r="C14987" s="5" t="s">
        <v>1821</v>
      </c>
      <c r="D14987" s="5" t="s">
        <v>1850</v>
      </c>
      <c r="E14987" s="65"/>
      <c r="F14987" s="5" t="s">
        <v>912</v>
      </c>
      <c r="G14987" s="6"/>
      <c r="H14987" s="6"/>
    </row>
    <row r="14988">
      <c r="A14988" s="84">
        <v>45932.0</v>
      </c>
      <c r="B14988" s="4">
        <v>0.32430555555555557</v>
      </c>
      <c r="C14988" s="5" t="s">
        <v>1821</v>
      </c>
      <c r="D14988" s="5" t="s">
        <v>1850</v>
      </c>
      <c r="E14988" s="65"/>
      <c r="F14988" s="5" t="s">
        <v>911</v>
      </c>
      <c r="G14988" s="6"/>
      <c r="H14988" s="6"/>
    </row>
    <row r="14989">
      <c r="A14989" s="84">
        <v>45932.0</v>
      </c>
      <c r="B14989" s="4">
        <v>0.32430555555555557</v>
      </c>
      <c r="C14989" s="5" t="s">
        <v>1821</v>
      </c>
      <c r="D14989" s="5" t="s">
        <v>1850</v>
      </c>
      <c r="E14989" s="65"/>
      <c r="F14989" s="5" t="s">
        <v>1771</v>
      </c>
      <c r="G14989" s="6"/>
      <c r="H14989" s="6"/>
    </row>
    <row r="14990">
      <c r="A14990" s="84">
        <v>45932.0</v>
      </c>
      <c r="B14990" s="4">
        <v>0.325</v>
      </c>
      <c r="C14990" s="5" t="s">
        <v>1821</v>
      </c>
      <c r="D14990" s="5" t="s">
        <v>1850</v>
      </c>
      <c r="E14990" s="85" t="s">
        <v>338</v>
      </c>
      <c r="F14990" s="5"/>
      <c r="G14990" s="6"/>
      <c r="H14990" s="6"/>
    </row>
    <row r="14991">
      <c r="A14991" s="84">
        <v>45932.0</v>
      </c>
      <c r="B14991" s="4">
        <v>0.325</v>
      </c>
      <c r="C14991" s="5" t="s">
        <v>1821</v>
      </c>
      <c r="D14991" s="5" t="s">
        <v>1850</v>
      </c>
      <c r="E14991" s="65"/>
      <c r="F14991" s="5" t="s">
        <v>155</v>
      </c>
      <c r="G14991" s="6"/>
      <c r="H14991" s="6"/>
    </row>
    <row r="14992">
      <c r="A14992" s="84">
        <v>45932.0</v>
      </c>
      <c r="B14992" s="4">
        <v>0.325</v>
      </c>
      <c r="C14992" s="5" t="s">
        <v>1821</v>
      </c>
      <c r="D14992" s="5" t="s">
        <v>1850</v>
      </c>
      <c r="E14992" s="65"/>
      <c r="F14992" s="5" t="s">
        <v>97</v>
      </c>
      <c r="G14992" s="6"/>
      <c r="H14992" s="6"/>
    </row>
    <row r="14993">
      <c r="A14993" s="84">
        <v>45932.0</v>
      </c>
      <c r="B14993" s="4">
        <v>0.32569444444444445</v>
      </c>
      <c r="C14993" s="5" t="s">
        <v>1821</v>
      </c>
      <c r="D14993" s="5" t="s">
        <v>1850</v>
      </c>
      <c r="E14993" s="65"/>
      <c r="F14993" s="5" t="s">
        <v>164</v>
      </c>
      <c r="G14993" s="6"/>
      <c r="H14993" s="6"/>
    </row>
    <row r="14994">
      <c r="A14994" s="84">
        <v>45932.0</v>
      </c>
      <c r="B14994" s="4">
        <v>0.32569444444444445</v>
      </c>
      <c r="C14994" s="5" t="s">
        <v>1821</v>
      </c>
      <c r="D14994" s="5" t="s">
        <v>1850</v>
      </c>
      <c r="E14994" s="65"/>
      <c r="F14994" s="5" t="s">
        <v>73</v>
      </c>
      <c r="G14994" s="6"/>
      <c r="H14994" s="6"/>
    </row>
    <row r="14995">
      <c r="A14995" s="84">
        <v>45932.0</v>
      </c>
      <c r="B14995" s="4">
        <v>0.32569444444444445</v>
      </c>
      <c r="C14995" s="5" t="s">
        <v>1821</v>
      </c>
      <c r="D14995" s="5" t="s">
        <v>1850</v>
      </c>
      <c r="E14995" s="65"/>
      <c r="F14995" s="5" t="s">
        <v>114</v>
      </c>
      <c r="G14995" s="6"/>
      <c r="H14995" s="6"/>
    </row>
    <row r="14996">
      <c r="A14996" s="84">
        <v>45932.0</v>
      </c>
      <c r="B14996" s="4">
        <v>0.32569444444444445</v>
      </c>
      <c r="C14996" s="5" t="s">
        <v>1821</v>
      </c>
      <c r="D14996" s="5" t="s">
        <v>1850</v>
      </c>
      <c r="E14996" s="65"/>
      <c r="F14996" s="5" t="s">
        <v>54</v>
      </c>
      <c r="G14996" s="6"/>
      <c r="H14996" s="6"/>
    </row>
    <row r="14997">
      <c r="A14997" s="84">
        <v>45932.0</v>
      </c>
      <c r="B14997" s="4">
        <v>0.32569444444444445</v>
      </c>
      <c r="C14997" s="5" t="s">
        <v>1821</v>
      </c>
      <c r="D14997" s="5" t="s">
        <v>1850</v>
      </c>
      <c r="E14997" s="65"/>
      <c r="F14997" s="5" t="s">
        <v>155</v>
      </c>
      <c r="G14997" s="6"/>
      <c r="H14997" s="6"/>
    </row>
    <row r="14998">
      <c r="A14998" s="84">
        <v>45932.0</v>
      </c>
      <c r="B14998" s="4">
        <v>0.32569444444444445</v>
      </c>
      <c r="C14998" s="5" t="s">
        <v>1821</v>
      </c>
      <c r="D14998" s="5" t="s">
        <v>1850</v>
      </c>
      <c r="E14998" s="65"/>
      <c r="F14998" s="5" t="s">
        <v>182</v>
      </c>
      <c r="G14998" s="6"/>
      <c r="H14998" s="6"/>
    </row>
    <row r="14999">
      <c r="A14999" s="84">
        <v>45932.0</v>
      </c>
      <c r="B14999" s="4">
        <v>0.3263888888888889</v>
      </c>
      <c r="C14999" s="5" t="s">
        <v>1821</v>
      </c>
      <c r="D14999" s="5" t="s">
        <v>1850</v>
      </c>
      <c r="E14999" s="65"/>
      <c r="F14999" s="5" t="s">
        <v>1672</v>
      </c>
      <c r="G14999" s="6"/>
      <c r="H14999" s="6"/>
    </row>
    <row r="15000">
      <c r="A15000" s="84">
        <v>45932.0</v>
      </c>
      <c r="B15000" s="4">
        <v>0.3263888888888889</v>
      </c>
      <c r="C15000" s="5" t="s">
        <v>1821</v>
      </c>
      <c r="D15000" s="5" t="s">
        <v>1850</v>
      </c>
      <c r="E15000" s="65"/>
      <c r="F15000" s="5" t="s">
        <v>66</v>
      </c>
      <c r="G15000" s="6"/>
      <c r="H15000" s="6"/>
    </row>
    <row r="15001">
      <c r="A15001" s="84">
        <v>45932.0</v>
      </c>
      <c r="B15001" s="4">
        <v>0.3263888888888889</v>
      </c>
      <c r="C15001" s="5" t="s">
        <v>1821</v>
      </c>
      <c r="D15001" s="5" t="s">
        <v>1850</v>
      </c>
      <c r="E15001" s="85" t="s">
        <v>298</v>
      </c>
      <c r="F15001" s="5"/>
      <c r="G15001" s="6"/>
      <c r="H15001" s="6"/>
    </row>
    <row r="15002">
      <c r="A15002" s="84">
        <v>45932.0</v>
      </c>
      <c r="B15002" s="4">
        <v>0.32708333333333334</v>
      </c>
      <c r="C15002" s="5" t="s">
        <v>1821</v>
      </c>
      <c r="D15002" s="5" t="s">
        <v>1850</v>
      </c>
      <c r="E15002" s="65"/>
      <c r="F15002" s="5" t="s">
        <v>553</v>
      </c>
      <c r="G15002" s="6"/>
      <c r="H15002" s="6"/>
    </row>
    <row r="15003">
      <c r="A15003" s="84">
        <v>45932.0</v>
      </c>
      <c r="B15003" s="4">
        <v>0.32708333333333334</v>
      </c>
      <c r="C15003" s="5" t="s">
        <v>1821</v>
      </c>
      <c r="D15003" s="5" t="s">
        <v>1850</v>
      </c>
      <c r="E15003" s="65"/>
      <c r="F15003" s="5" t="s">
        <v>89</v>
      </c>
      <c r="G15003" s="6"/>
      <c r="H15003" s="6"/>
    </row>
    <row r="15004">
      <c r="A15004" s="84">
        <v>45932.0</v>
      </c>
      <c r="B15004" s="4">
        <v>0.32708333333333334</v>
      </c>
      <c r="C15004" s="5" t="s">
        <v>1821</v>
      </c>
      <c r="D15004" s="5" t="s">
        <v>1850</v>
      </c>
      <c r="E15004" s="65"/>
      <c r="F15004" s="5" t="s">
        <v>462</v>
      </c>
      <c r="G15004" s="6"/>
      <c r="H15004" s="6"/>
    </row>
    <row r="15005">
      <c r="A15005" s="84">
        <v>45932.0</v>
      </c>
      <c r="B15005" s="4">
        <v>0.3277777777777778</v>
      </c>
      <c r="C15005" s="5" t="s">
        <v>1821</v>
      </c>
      <c r="D15005" s="5" t="s">
        <v>1850</v>
      </c>
      <c r="E15005" s="65"/>
      <c r="F15005" s="5" t="s">
        <v>559</v>
      </c>
      <c r="G15005" s="6"/>
      <c r="H15005" s="6"/>
    </row>
    <row r="15006">
      <c r="A15006" s="84">
        <v>45932.0</v>
      </c>
      <c r="B15006" s="4">
        <v>0.3277777777777778</v>
      </c>
      <c r="C15006" s="5" t="s">
        <v>1821</v>
      </c>
      <c r="D15006" s="5" t="s">
        <v>1850</v>
      </c>
      <c r="E15006" s="65"/>
      <c r="F15006" s="5" t="s">
        <v>201</v>
      </c>
      <c r="G15006" s="6"/>
      <c r="H15006" s="6"/>
    </row>
    <row r="15007">
      <c r="A15007" s="84">
        <v>45932.0</v>
      </c>
      <c r="B15007" s="4">
        <v>0.3277777777777778</v>
      </c>
      <c r="C15007" s="5" t="s">
        <v>1821</v>
      </c>
      <c r="D15007" s="5" t="s">
        <v>1850</v>
      </c>
      <c r="E15007" s="65"/>
      <c r="F15007" s="5" t="s">
        <v>1425</v>
      </c>
      <c r="G15007" s="6"/>
      <c r="H15007" s="6"/>
    </row>
    <row r="15008">
      <c r="A15008" s="84">
        <v>45932.0</v>
      </c>
      <c r="B15008" s="4">
        <v>0.3277777777777778</v>
      </c>
      <c r="C15008" s="5" t="s">
        <v>1821</v>
      </c>
      <c r="D15008" s="5" t="s">
        <v>1850</v>
      </c>
      <c r="E15008" s="65"/>
      <c r="F15008" s="5" t="s">
        <v>621</v>
      </c>
      <c r="G15008" s="6"/>
      <c r="H15008" s="6"/>
    </row>
    <row r="15009">
      <c r="A15009" s="84">
        <v>45932.0</v>
      </c>
      <c r="B15009" s="4">
        <v>0.3277777777777778</v>
      </c>
      <c r="C15009" s="5" t="s">
        <v>1821</v>
      </c>
      <c r="D15009" s="5" t="s">
        <v>1850</v>
      </c>
      <c r="E15009" s="65"/>
      <c r="F15009" s="5" t="s">
        <v>479</v>
      </c>
      <c r="G15009" s="6"/>
      <c r="H15009" s="6"/>
    </row>
    <row r="15010">
      <c r="A15010" s="84">
        <v>45932.0</v>
      </c>
      <c r="B15010" s="4">
        <v>0.32916666666666666</v>
      </c>
      <c r="C15010" s="5" t="s">
        <v>1821</v>
      </c>
      <c r="D15010" s="5" t="s">
        <v>1850</v>
      </c>
      <c r="E15010" s="65"/>
      <c r="F15010" s="5" t="s">
        <v>228</v>
      </c>
      <c r="G15010" s="6"/>
      <c r="H15010" s="6"/>
    </row>
    <row r="15011">
      <c r="A15011" s="84">
        <v>45932.0</v>
      </c>
      <c r="B15011" s="4">
        <v>0.32916666666666666</v>
      </c>
      <c r="C15011" s="5" t="s">
        <v>1821</v>
      </c>
      <c r="D15011" s="5" t="s">
        <v>1850</v>
      </c>
      <c r="E15011" s="65"/>
      <c r="F15011" s="5" t="s">
        <v>149</v>
      </c>
      <c r="G15011" s="6"/>
      <c r="H15011" s="6"/>
    </row>
    <row r="15012">
      <c r="A15012" s="84">
        <v>45932.0</v>
      </c>
      <c r="B15012" s="4">
        <v>0.32916666666666666</v>
      </c>
      <c r="C15012" s="5" t="s">
        <v>1821</v>
      </c>
      <c r="D15012" s="5" t="s">
        <v>1850</v>
      </c>
      <c r="E15012" s="65"/>
      <c r="F15012" s="5" t="s">
        <v>254</v>
      </c>
      <c r="G15012" s="6"/>
      <c r="H15012" s="6"/>
    </row>
    <row r="15013">
      <c r="A15013" s="84">
        <v>45932.0</v>
      </c>
      <c r="B15013" s="4">
        <v>0.3368055555555556</v>
      </c>
      <c r="C15013" s="5" t="s">
        <v>926</v>
      </c>
      <c r="D15013" s="5" t="s">
        <v>1850</v>
      </c>
      <c r="E15013" s="65"/>
      <c r="F15013" s="5" t="s">
        <v>110</v>
      </c>
      <c r="G15013" s="6"/>
      <c r="H15013" s="6"/>
    </row>
    <row r="15014">
      <c r="A15014" s="84">
        <v>45932.0</v>
      </c>
      <c r="B15014" s="4">
        <v>0.3368055555555556</v>
      </c>
      <c r="C15014" s="5" t="s">
        <v>926</v>
      </c>
      <c r="D15014" s="5" t="s">
        <v>1850</v>
      </c>
      <c r="E15014" s="65"/>
      <c r="F15014" s="5" t="s">
        <v>21</v>
      </c>
      <c r="G15014" s="6"/>
      <c r="H15014" s="6"/>
    </row>
    <row r="15015">
      <c r="A15015" s="84">
        <v>45932.0</v>
      </c>
      <c r="B15015" s="4">
        <v>0.3368055555555556</v>
      </c>
      <c r="C15015" s="5" t="s">
        <v>926</v>
      </c>
      <c r="D15015" s="5" t="s">
        <v>1850</v>
      </c>
      <c r="E15015" s="65"/>
      <c r="F15015" s="5" t="s">
        <v>89</v>
      </c>
      <c r="G15015" s="6"/>
      <c r="H15015" s="6"/>
    </row>
    <row r="15016">
      <c r="A15016" s="84">
        <v>45932.0</v>
      </c>
      <c r="B15016" s="4">
        <v>0.3368055555555556</v>
      </c>
      <c r="C15016" s="5" t="s">
        <v>926</v>
      </c>
      <c r="D15016" s="5" t="s">
        <v>1850</v>
      </c>
      <c r="E15016" s="65"/>
      <c r="F15016" s="5" t="s">
        <v>1457</v>
      </c>
      <c r="G15016" s="6"/>
      <c r="H15016" s="6"/>
    </row>
    <row r="15017">
      <c r="A15017" s="84">
        <v>45932.0</v>
      </c>
      <c r="B15017" s="4">
        <v>0.3375</v>
      </c>
      <c r="C15017" s="5" t="s">
        <v>926</v>
      </c>
      <c r="D15017" s="5" t="s">
        <v>1850</v>
      </c>
      <c r="E15017" s="65"/>
      <c r="F15017" s="5" t="s">
        <v>66</v>
      </c>
      <c r="G15017" s="6"/>
      <c r="H15017" s="6"/>
    </row>
    <row r="15018">
      <c r="A15018" s="84">
        <v>45932.0</v>
      </c>
      <c r="B15018" s="4">
        <v>0.3375</v>
      </c>
      <c r="C15018" s="5" t="s">
        <v>926</v>
      </c>
      <c r="D15018" s="5" t="s">
        <v>1850</v>
      </c>
      <c r="E15018" s="65"/>
      <c r="F15018" s="5" t="s">
        <v>151</v>
      </c>
      <c r="G15018" s="6"/>
      <c r="H15018" s="6"/>
    </row>
    <row r="15019">
      <c r="A15019" s="84">
        <v>45932.0</v>
      </c>
      <c r="B15019" s="4">
        <v>0.3375</v>
      </c>
      <c r="C15019" s="5" t="s">
        <v>926</v>
      </c>
      <c r="D15019" s="5" t="s">
        <v>1850</v>
      </c>
      <c r="E15019" s="65"/>
      <c r="F15019" s="5" t="s">
        <v>155</v>
      </c>
      <c r="G15019" s="6"/>
      <c r="H15019" s="6"/>
    </row>
    <row r="15020">
      <c r="A15020" s="84">
        <v>45932.0</v>
      </c>
      <c r="B15020" s="4">
        <v>0.3375</v>
      </c>
      <c r="C15020" s="5" t="s">
        <v>926</v>
      </c>
      <c r="D15020" s="5" t="s">
        <v>1850</v>
      </c>
      <c r="E15020" s="65"/>
      <c r="F15020" s="5" t="s">
        <v>142</v>
      </c>
      <c r="G15020" s="6"/>
      <c r="H15020" s="6"/>
    </row>
    <row r="15021">
      <c r="A15021" s="84">
        <v>45932.0</v>
      </c>
      <c r="B15021" s="4">
        <v>0.33819444444444446</v>
      </c>
      <c r="C15021" s="5" t="s">
        <v>926</v>
      </c>
      <c r="D15021" s="5" t="s">
        <v>1850</v>
      </c>
      <c r="E15021" s="65"/>
      <c r="F15021" s="5" t="s">
        <v>133</v>
      </c>
      <c r="G15021" s="6"/>
      <c r="H15021" s="6"/>
    </row>
    <row r="15022">
      <c r="A15022" s="84">
        <v>45932.0</v>
      </c>
      <c r="B15022" s="4">
        <v>0.33819444444444446</v>
      </c>
      <c r="C15022" s="5" t="s">
        <v>926</v>
      </c>
      <c r="D15022" s="5" t="s">
        <v>1850</v>
      </c>
      <c r="E15022" s="65"/>
      <c r="F15022" s="5" t="s">
        <v>149</v>
      </c>
      <c r="G15022" s="6"/>
      <c r="H15022" s="6"/>
    </row>
    <row r="15023">
      <c r="A15023" s="84">
        <v>45932.0</v>
      </c>
      <c r="B15023" s="4">
        <v>0.33819444444444446</v>
      </c>
      <c r="C15023" s="5" t="s">
        <v>926</v>
      </c>
      <c r="D15023" s="5" t="s">
        <v>1850</v>
      </c>
      <c r="E15023" s="65"/>
      <c r="F15023" s="5" t="s">
        <v>54</v>
      </c>
      <c r="G15023" s="6"/>
      <c r="H15023" s="6"/>
    </row>
    <row r="15024">
      <c r="A15024" s="84">
        <v>45932.0</v>
      </c>
      <c r="B15024" s="4">
        <v>0.3388888888888889</v>
      </c>
      <c r="C15024" s="5" t="s">
        <v>926</v>
      </c>
      <c r="D15024" s="5" t="s">
        <v>1850</v>
      </c>
      <c r="E15024" s="85" t="s">
        <v>1352</v>
      </c>
      <c r="F15024" s="5"/>
      <c r="G15024" s="6"/>
      <c r="H15024" s="6"/>
    </row>
    <row r="15025">
      <c r="A15025" s="84">
        <v>45932.0</v>
      </c>
      <c r="B15025" s="4">
        <v>0.3388888888888889</v>
      </c>
      <c r="C15025" s="5" t="s">
        <v>926</v>
      </c>
      <c r="D15025" s="5" t="s">
        <v>1850</v>
      </c>
      <c r="E15025" s="65"/>
      <c r="F15025" s="5" t="s">
        <v>214</v>
      </c>
      <c r="G15025" s="6"/>
      <c r="H15025" s="6"/>
    </row>
    <row r="15026">
      <c r="A15026" s="84">
        <v>45932.0</v>
      </c>
      <c r="B15026" s="4">
        <v>0.3388888888888889</v>
      </c>
      <c r="C15026" s="5" t="s">
        <v>926</v>
      </c>
      <c r="D15026" s="5" t="s">
        <v>1850</v>
      </c>
      <c r="E15026" s="65"/>
      <c r="F15026" s="5" t="s">
        <v>228</v>
      </c>
      <c r="G15026" s="6"/>
      <c r="H15026" s="6"/>
    </row>
    <row r="15027">
      <c r="A15027" s="84">
        <v>45932.0</v>
      </c>
      <c r="B15027" s="4">
        <v>0.3388888888888889</v>
      </c>
      <c r="C15027" s="5" t="s">
        <v>926</v>
      </c>
      <c r="D15027" s="5" t="s">
        <v>1850</v>
      </c>
      <c r="E15027" s="65"/>
      <c r="F15027" s="5" t="s">
        <v>145</v>
      </c>
      <c r="G15027" s="6"/>
      <c r="H15027" s="6"/>
    </row>
    <row r="15028">
      <c r="A15028" s="84">
        <v>45932.0</v>
      </c>
      <c r="B15028" s="4">
        <v>0.3388888888888889</v>
      </c>
      <c r="C15028" s="5" t="s">
        <v>926</v>
      </c>
      <c r="D15028" s="5" t="s">
        <v>1850</v>
      </c>
      <c r="E15028" s="65"/>
      <c r="F15028" s="5" t="s">
        <v>240</v>
      </c>
      <c r="G15028" s="6"/>
      <c r="H15028" s="6"/>
    </row>
    <row r="15029">
      <c r="A15029" s="84">
        <v>45932.0</v>
      </c>
      <c r="B15029" s="4">
        <v>0.3388888888888889</v>
      </c>
      <c r="C15029" s="5" t="s">
        <v>926</v>
      </c>
      <c r="D15029" s="5" t="s">
        <v>1850</v>
      </c>
      <c r="E15029" s="65"/>
      <c r="F15029" s="5" t="s">
        <v>1169</v>
      </c>
      <c r="G15029" s="6"/>
      <c r="H15029" s="6"/>
    </row>
    <row r="15030">
      <c r="A15030" s="84">
        <v>45932.0</v>
      </c>
      <c r="B15030" s="4">
        <v>0.33958333333333335</v>
      </c>
      <c r="C15030" s="5" t="s">
        <v>926</v>
      </c>
      <c r="D15030" s="5" t="s">
        <v>1850</v>
      </c>
      <c r="E15030" s="65"/>
      <c r="F15030" s="5" t="s">
        <v>252</v>
      </c>
      <c r="G15030" s="6"/>
      <c r="H15030" s="6"/>
    </row>
    <row r="15031">
      <c r="A15031" s="84">
        <v>45932.0</v>
      </c>
      <c r="B15031" s="4">
        <v>0.33958333333333335</v>
      </c>
      <c r="C15031" s="5" t="s">
        <v>926</v>
      </c>
      <c r="D15031" s="5" t="s">
        <v>1850</v>
      </c>
      <c r="E15031" s="85" t="s">
        <v>1860</v>
      </c>
      <c r="F15031" s="5"/>
      <c r="G15031" s="6"/>
      <c r="H15031" s="6"/>
    </row>
    <row r="15032">
      <c r="A15032" s="84">
        <v>45932.0</v>
      </c>
      <c r="B15032" s="4">
        <v>0.33958333333333335</v>
      </c>
      <c r="C15032" s="5" t="s">
        <v>926</v>
      </c>
      <c r="D15032" s="5" t="s">
        <v>1850</v>
      </c>
      <c r="E15032" s="65"/>
      <c r="F15032" s="5" t="s">
        <v>327</v>
      </c>
      <c r="G15032" s="6"/>
      <c r="H15032" s="6"/>
    </row>
    <row r="15033">
      <c r="A15033" s="84">
        <v>45932.0</v>
      </c>
      <c r="B15033" s="4">
        <v>0.33958333333333335</v>
      </c>
      <c r="C15033" s="5" t="s">
        <v>926</v>
      </c>
      <c r="D15033" s="5" t="s">
        <v>1850</v>
      </c>
      <c r="E15033" s="85" t="s">
        <v>1123</v>
      </c>
      <c r="F15033" s="5"/>
      <c r="G15033" s="6"/>
      <c r="H15033" s="6"/>
    </row>
    <row r="15034">
      <c r="A15034" s="84">
        <v>45932.0</v>
      </c>
      <c r="B15034" s="4">
        <v>0.3402777777777778</v>
      </c>
      <c r="C15034" s="5" t="s">
        <v>926</v>
      </c>
      <c r="D15034" s="5" t="s">
        <v>1850</v>
      </c>
      <c r="E15034" s="65"/>
      <c r="F15034" s="5" t="s">
        <v>287</v>
      </c>
      <c r="G15034" s="6"/>
      <c r="H15034" s="6"/>
    </row>
    <row r="15035">
      <c r="A15035" s="84">
        <v>45932.0</v>
      </c>
      <c r="B15035" s="4">
        <v>0.3402777777777778</v>
      </c>
      <c r="C15035" s="5" t="s">
        <v>926</v>
      </c>
      <c r="D15035" s="5" t="s">
        <v>1850</v>
      </c>
      <c r="E15035" s="65"/>
      <c r="F15035" s="5" t="s">
        <v>356</v>
      </c>
      <c r="G15035" s="6"/>
      <c r="H15035" s="6"/>
    </row>
    <row r="15036">
      <c r="A15036" s="84">
        <v>45932.0</v>
      </c>
      <c r="B15036" s="4">
        <v>0.3416666666666667</v>
      </c>
      <c r="C15036" s="5" t="s">
        <v>926</v>
      </c>
      <c r="D15036" s="5" t="s">
        <v>1850</v>
      </c>
      <c r="E15036" s="65"/>
      <c r="F15036" s="5" t="s">
        <v>266</v>
      </c>
      <c r="G15036" s="6"/>
      <c r="H15036" s="6"/>
    </row>
    <row r="15037">
      <c r="A15037" s="84">
        <v>45932.0</v>
      </c>
      <c r="B15037" s="4">
        <v>0.3416666666666667</v>
      </c>
      <c r="C15037" s="5" t="s">
        <v>926</v>
      </c>
      <c r="D15037" s="5" t="s">
        <v>1850</v>
      </c>
      <c r="E15037" s="65"/>
      <c r="F15037" s="5" t="s">
        <v>112</v>
      </c>
      <c r="G15037" s="6"/>
      <c r="H15037" s="6"/>
    </row>
    <row r="15038">
      <c r="A15038" s="84">
        <v>45932.0</v>
      </c>
      <c r="B15038" s="4">
        <v>0.3423611111111111</v>
      </c>
      <c r="C15038" s="5" t="s">
        <v>904</v>
      </c>
      <c r="D15038" s="5" t="s">
        <v>1850</v>
      </c>
      <c r="E15038" s="65"/>
      <c r="F15038" s="5" t="s">
        <v>21</v>
      </c>
      <c r="G15038" s="6"/>
      <c r="H15038" s="6"/>
    </row>
    <row r="15039">
      <c r="A15039" s="84">
        <v>45932.0</v>
      </c>
      <c r="B15039" s="4">
        <v>0.3423611111111111</v>
      </c>
      <c r="C15039" s="5" t="s">
        <v>904</v>
      </c>
      <c r="D15039" s="5" t="s">
        <v>1850</v>
      </c>
      <c r="E15039" s="65"/>
      <c r="F15039" s="5" t="s">
        <v>66</v>
      </c>
      <c r="G15039" s="6"/>
      <c r="H15039" s="6"/>
    </row>
    <row r="15040">
      <c r="A15040" s="84">
        <v>45932.0</v>
      </c>
      <c r="B15040" s="4">
        <v>0.3423611111111111</v>
      </c>
      <c r="C15040" s="5" t="s">
        <v>904</v>
      </c>
      <c r="D15040" s="5" t="s">
        <v>1850</v>
      </c>
      <c r="E15040" s="65"/>
      <c r="F15040" s="5" t="s">
        <v>1169</v>
      </c>
      <c r="G15040" s="6"/>
      <c r="H15040" s="6"/>
    </row>
    <row r="15041">
      <c r="A15041" s="84">
        <v>45932.0</v>
      </c>
      <c r="B15041" s="4">
        <v>0.3423611111111111</v>
      </c>
      <c r="C15041" s="5" t="s">
        <v>904</v>
      </c>
      <c r="D15041" s="5" t="s">
        <v>1850</v>
      </c>
      <c r="E15041" s="65"/>
      <c r="F15041" s="5" t="s">
        <v>54</v>
      </c>
      <c r="G15041" s="6"/>
      <c r="H15041" s="6"/>
    </row>
    <row r="15042">
      <c r="A15042" s="84">
        <v>45932.0</v>
      </c>
      <c r="B15042" s="4">
        <v>0.3423611111111111</v>
      </c>
      <c r="C15042" s="5" t="s">
        <v>904</v>
      </c>
      <c r="D15042" s="5" t="s">
        <v>1850</v>
      </c>
      <c r="E15042" s="65"/>
      <c r="F15042" s="5" t="s">
        <v>254</v>
      </c>
      <c r="G15042" s="6"/>
      <c r="H15042" s="6"/>
    </row>
    <row r="15043">
      <c r="A15043" s="84">
        <v>45932.0</v>
      </c>
      <c r="B15043" s="4">
        <v>0.3423611111111111</v>
      </c>
      <c r="C15043" s="5" t="s">
        <v>904</v>
      </c>
      <c r="D15043" s="5" t="s">
        <v>1850</v>
      </c>
      <c r="E15043" s="65"/>
      <c r="F15043" s="5" t="s">
        <v>259</v>
      </c>
      <c r="G15043" s="6"/>
      <c r="H15043" s="6"/>
    </row>
    <row r="15044">
      <c r="A15044" s="84">
        <v>45932.0</v>
      </c>
      <c r="B15044" s="4">
        <v>0.34305555555555556</v>
      </c>
      <c r="C15044" s="5" t="s">
        <v>904</v>
      </c>
      <c r="D15044" s="5" t="s">
        <v>1850</v>
      </c>
      <c r="E15044" s="65"/>
      <c r="F15044" s="5" t="s">
        <v>289</v>
      </c>
      <c r="G15044" s="6"/>
      <c r="H15044" s="6"/>
    </row>
    <row r="15045">
      <c r="A15045" s="84">
        <v>45932.0</v>
      </c>
      <c r="B15045" s="4">
        <v>0.34305555555555556</v>
      </c>
      <c r="C15045" s="5" t="s">
        <v>904</v>
      </c>
      <c r="D15045" s="5" t="s">
        <v>1850</v>
      </c>
      <c r="E15045" s="65"/>
      <c r="F15045" s="5" t="s">
        <v>252</v>
      </c>
      <c r="G15045" s="6"/>
      <c r="H15045" s="6"/>
    </row>
    <row r="15046">
      <c r="A15046" s="84">
        <v>45932.0</v>
      </c>
      <c r="B15046" s="4">
        <v>0.34305555555555556</v>
      </c>
      <c r="C15046" s="5" t="s">
        <v>904</v>
      </c>
      <c r="D15046" s="5" t="s">
        <v>1850</v>
      </c>
      <c r="E15046" s="65"/>
      <c r="F15046" s="5" t="s">
        <v>110</v>
      </c>
      <c r="G15046" s="6"/>
      <c r="H15046" s="6"/>
    </row>
    <row r="15047">
      <c r="A15047" s="84">
        <v>45932.0</v>
      </c>
      <c r="B15047" s="4">
        <v>0.34375</v>
      </c>
      <c r="C15047" s="5" t="s">
        <v>904</v>
      </c>
      <c r="D15047" s="5" t="s">
        <v>1850</v>
      </c>
      <c r="E15047" s="65"/>
      <c r="F15047" s="5" t="s">
        <v>123</v>
      </c>
      <c r="G15047" s="6"/>
      <c r="H15047" s="6"/>
    </row>
    <row r="15048">
      <c r="A15048" s="84">
        <v>45932.0</v>
      </c>
      <c r="B15048" s="4">
        <v>0.34375</v>
      </c>
      <c r="C15048" s="5" t="s">
        <v>904</v>
      </c>
      <c r="D15048" s="5" t="s">
        <v>1850</v>
      </c>
      <c r="E15048" s="65"/>
      <c r="F15048" s="5" t="s">
        <v>73</v>
      </c>
      <c r="G15048" s="6"/>
      <c r="H15048" s="6"/>
    </row>
    <row r="15049">
      <c r="A15049" s="84">
        <v>45932.0</v>
      </c>
      <c r="B15049" s="4">
        <v>0.34375</v>
      </c>
      <c r="C15049" s="5" t="s">
        <v>904</v>
      </c>
      <c r="D15049" s="5" t="s">
        <v>1850</v>
      </c>
      <c r="E15049" s="65"/>
      <c r="F15049" s="5" t="s">
        <v>462</v>
      </c>
      <c r="G15049" s="6"/>
      <c r="H15049" s="6"/>
    </row>
    <row r="15050">
      <c r="A15050" s="84">
        <v>45932.0</v>
      </c>
      <c r="B15050" s="4">
        <v>0.34375</v>
      </c>
      <c r="C15050" s="5" t="s">
        <v>904</v>
      </c>
      <c r="D15050" s="5" t="s">
        <v>1850</v>
      </c>
      <c r="E15050" s="65"/>
      <c r="F15050" s="5" t="s">
        <v>178</v>
      </c>
      <c r="G15050" s="6"/>
      <c r="H15050" s="6"/>
    </row>
    <row r="15051">
      <c r="A15051" s="84">
        <v>45932.0</v>
      </c>
      <c r="B15051" s="4">
        <v>0.34444444444444444</v>
      </c>
      <c r="C15051" s="5" t="s">
        <v>904</v>
      </c>
      <c r="D15051" s="5" t="s">
        <v>1850</v>
      </c>
      <c r="E15051" s="65"/>
      <c r="F15051" s="5" t="s">
        <v>1672</v>
      </c>
      <c r="G15051" s="6"/>
      <c r="H15051" s="6"/>
    </row>
    <row r="15052">
      <c r="A15052" s="84">
        <v>45932.0</v>
      </c>
      <c r="B15052" s="4">
        <v>0.34444444444444444</v>
      </c>
      <c r="C15052" s="5" t="s">
        <v>904</v>
      </c>
      <c r="D15052" s="5" t="s">
        <v>1850</v>
      </c>
      <c r="E15052" s="65"/>
      <c r="F15052" s="5" t="s">
        <v>226</v>
      </c>
      <c r="G15052" s="6"/>
      <c r="H15052" s="6"/>
    </row>
    <row r="15053">
      <c r="A15053" s="84">
        <v>45932.0</v>
      </c>
      <c r="B15053" s="4">
        <v>0.34444444444444444</v>
      </c>
      <c r="C15053" s="5" t="s">
        <v>904</v>
      </c>
      <c r="D15053" s="5" t="s">
        <v>1850</v>
      </c>
      <c r="E15053" s="65"/>
      <c r="F15053" s="5" t="s">
        <v>123</v>
      </c>
      <c r="G15053" s="6"/>
      <c r="H15053" s="6"/>
    </row>
    <row r="15054">
      <c r="A15054" s="84">
        <v>45932.0</v>
      </c>
      <c r="B15054" s="4">
        <v>0.34444444444444444</v>
      </c>
      <c r="C15054" s="5" t="s">
        <v>904</v>
      </c>
      <c r="D15054" s="5" t="s">
        <v>1850</v>
      </c>
      <c r="E15054" s="65"/>
      <c r="F15054" s="5" t="s">
        <v>106</v>
      </c>
      <c r="G15054" s="6"/>
      <c r="H15054" s="6"/>
    </row>
    <row r="15055">
      <c r="A15055" s="84">
        <v>45932.0</v>
      </c>
      <c r="B15055" s="4">
        <v>0.34521990740740743</v>
      </c>
      <c r="C15055" s="5" t="s">
        <v>904</v>
      </c>
      <c r="D15055" s="5" t="s">
        <v>1850</v>
      </c>
      <c r="E15055" s="65"/>
      <c r="F15055" s="5" t="s">
        <v>603</v>
      </c>
      <c r="G15055" s="6"/>
      <c r="H15055" s="6"/>
    </row>
    <row r="15056">
      <c r="A15056" s="84">
        <v>45932.0</v>
      </c>
      <c r="B15056" s="4">
        <v>0.34521990740740743</v>
      </c>
      <c r="C15056" s="5" t="s">
        <v>904</v>
      </c>
      <c r="D15056" s="5" t="s">
        <v>1850</v>
      </c>
      <c r="E15056" s="65"/>
      <c r="F15056" s="5" t="s">
        <v>912</v>
      </c>
      <c r="G15056" s="6"/>
      <c r="H15056" s="6"/>
    </row>
    <row r="15057">
      <c r="A15057" s="84">
        <v>45932.0</v>
      </c>
      <c r="B15057" s="4">
        <v>0.34521990740740743</v>
      </c>
      <c r="C15057" s="5" t="s">
        <v>904</v>
      </c>
      <c r="D15057" s="5" t="s">
        <v>1850</v>
      </c>
      <c r="E15057" s="65"/>
      <c r="F15057" s="5" t="s">
        <v>911</v>
      </c>
      <c r="G15057" s="6"/>
      <c r="H15057" s="6"/>
    </row>
    <row r="15058">
      <c r="A15058" s="84">
        <v>45932.0</v>
      </c>
      <c r="B15058" s="4">
        <v>0.3459143518518519</v>
      </c>
      <c r="C15058" s="5" t="s">
        <v>905</v>
      </c>
      <c r="D15058" s="5" t="s">
        <v>1850</v>
      </c>
      <c r="E15058" s="65"/>
      <c r="F15058" s="5" t="s">
        <v>21</v>
      </c>
      <c r="G15058" s="6"/>
      <c r="H15058" s="6"/>
    </row>
    <row r="15059">
      <c r="A15059" s="84">
        <v>45932.0</v>
      </c>
      <c r="B15059" s="4">
        <v>0.3459143518518519</v>
      </c>
      <c r="C15059" s="5" t="s">
        <v>905</v>
      </c>
      <c r="D15059" s="5" t="s">
        <v>1850</v>
      </c>
      <c r="E15059" s="65"/>
      <c r="F15059" s="5" t="s">
        <v>218</v>
      </c>
      <c r="G15059" s="6"/>
      <c r="H15059" s="6"/>
    </row>
    <row r="15060">
      <c r="A15060" s="84">
        <v>45932.0</v>
      </c>
      <c r="B15060" s="4">
        <v>0.3459143518518519</v>
      </c>
      <c r="C15060" s="5" t="s">
        <v>905</v>
      </c>
      <c r="D15060" s="5" t="s">
        <v>1850</v>
      </c>
      <c r="E15060" s="65"/>
      <c r="F15060" s="5" t="s">
        <v>106</v>
      </c>
      <c r="G15060" s="6"/>
      <c r="H15060" s="6"/>
    </row>
    <row r="15061">
      <c r="A15061" s="84">
        <v>45932.0</v>
      </c>
      <c r="B15061" s="4">
        <v>0.3459143518518519</v>
      </c>
      <c r="C15061" s="5" t="s">
        <v>905</v>
      </c>
      <c r="D15061" s="5" t="s">
        <v>1850</v>
      </c>
      <c r="E15061" s="65"/>
      <c r="F15061" s="5" t="s">
        <v>361</v>
      </c>
      <c r="G15061" s="6"/>
      <c r="H15061" s="6"/>
    </row>
    <row r="15062">
      <c r="A15062" s="84">
        <v>45932.0</v>
      </c>
      <c r="B15062" s="4">
        <v>0.3459143518518519</v>
      </c>
      <c r="C15062" s="5" t="s">
        <v>905</v>
      </c>
      <c r="D15062" s="5" t="s">
        <v>1850</v>
      </c>
      <c r="E15062" s="65"/>
      <c r="F15062" s="5" t="s">
        <v>155</v>
      </c>
      <c r="G15062" s="6"/>
      <c r="H15062" s="6"/>
    </row>
    <row r="15063">
      <c r="A15063" s="84">
        <v>45932.0</v>
      </c>
      <c r="B15063" s="4">
        <v>0.3459143518518519</v>
      </c>
      <c r="C15063" s="5" t="s">
        <v>905</v>
      </c>
      <c r="D15063" s="5" t="s">
        <v>1850</v>
      </c>
      <c r="E15063" s="65"/>
      <c r="F15063" s="5" t="s">
        <v>110</v>
      </c>
      <c r="G15063" s="6"/>
      <c r="H15063" s="6"/>
    </row>
    <row r="15064">
      <c r="A15064" s="84">
        <v>45932.0</v>
      </c>
      <c r="B15064" s="4">
        <v>0.3466087962962963</v>
      </c>
      <c r="C15064" s="5" t="s">
        <v>905</v>
      </c>
      <c r="D15064" s="5" t="s">
        <v>1850</v>
      </c>
      <c r="E15064" s="65"/>
      <c r="F15064" s="5" t="s">
        <v>499</v>
      </c>
      <c r="G15064" s="6"/>
      <c r="H15064" s="6"/>
    </row>
    <row r="15065">
      <c r="A15065" s="84">
        <v>45932.0</v>
      </c>
      <c r="B15065" s="4">
        <v>0.3466087962962963</v>
      </c>
      <c r="C15065" s="5" t="s">
        <v>905</v>
      </c>
      <c r="D15065" s="5" t="s">
        <v>1850</v>
      </c>
      <c r="E15065" s="65"/>
      <c r="F15065" s="5" t="s">
        <v>911</v>
      </c>
      <c r="G15065" s="6"/>
      <c r="H15065" s="6"/>
    </row>
    <row r="15066">
      <c r="A15066" s="84">
        <v>45932.0</v>
      </c>
      <c r="B15066" s="4">
        <v>0.3466087962962963</v>
      </c>
      <c r="C15066" s="5" t="s">
        <v>905</v>
      </c>
      <c r="D15066" s="5" t="s">
        <v>1850</v>
      </c>
      <c r="E15066" s="65"/>
      <c r="F15066" s="5" t="s">
        <v>912</v>
      </c>
      <c r="G15066" s="6"/>
      <c r="H15066" s="6"/>
    </row>
    <row r="15067">
      <c r="A15067" s="84">
        <v>45932.0</v>
      </c>
      <c r="B15067" s="4">
        <v>0.3466087962962963</v>
      </c>
      <c r="C15067" s="5" t="s">
        <v>905</v>
      </c>
      <c r="D15067" s="5" t="s">
        <v>1850</v>
      </c>
      <c r="E15067" s="65"/>
      <c r="F15067" s="5" t="s">
        <v>252</v>
      </c>
      <c r="G15067" s="6"/>
      <c r="H15067" s="6"/>
    </row>
    <row r="15068">
      <c r="A15068" s="84">
        <v>45932.0</v>
      </c>
      <c r="B15068" s="4">
        <v>0.3466087962962963</v>
      </c>
      <c r="C15068" s="5" t="s">
        <v>905</v>
      </c>
      <c r="D15068" s="5" t="s">
        <v>1850</v>
      </c>
      <c r="E15068" s="85" t="s">
        <v>51</v>
      </c>
      <c r="F15068" s="5"/>
      <c r="G15068" s="6"/>
      <c r="H15068" s="6"/>
    </row>
    <row r="15069">
      <c r="A15069" s="84">
        <v>45932.0</v>
      </c>
      <c r="B15069" s="4">
        <v>0.34730324074074076</v>
      </c>
      <c r="C15069" s="5" t="s">
        <v>905</v>
      </c>
      <c r="D15069" s="5" t="s">
        <v>1850</v>
      </c>
      <c r="E15069" s="65"/>
      <c r="F15069" s="5" t="s">
        <v>244</v>
      </c>
      <c r="G15069" s="6"/>
      <c r="H15069" s="6"/>
    </row>
    <row r="15070">
      <c r="A15070" s="84">
        <v>45932.0</v>
      </c>
      <c r="B15070" s="4">
        <v>0.34730324074074076</v>
      </c>
      <c r="C15070" s="5" t="s">
        <v>905</v>
      </c>
      <c r="D15070" s="5" t="s">
        <v>1850</v>
      </c>
      <c r="E15070" s="65"/>
      <c r="F15070" s="5" t="s">
        <v>45</v>
      </c>
      <c r="G15070" s="6"/>
      <c r="H15070" s="6"/>
    </row>
    <row r="15071">
      <c r="A15071" s="84">
        <v>45932.0</v>
      </c>
      <c r="B15071" s="4">
        <v>0.34869212962962964</v>
      </c>
      <c r="C15071" s="5" t="s">
        <v>905</v>
      </c>
      <c r="D15071" s="5" t="s">
        <v>1850</v>
      </c>
      <c r="E15071" s="65"/>
      <c r="F15071" s="5" t="s">
        <v>155</v>
      </c>
      <c r="G15071" s="6"/>
      <c r="H15071" s="6"/>
    </row>
    <row r="15072">
      <c r="A15072" s="84">
        <v>45932.0</v>
      </c>
      <c r="B15072" s="4">
        <v>0.34869212962962964</v>
      </c>
      <c r="C15072" s="5" t="s">
        <v>905</v>
      </c>
      <c r="D15072" s="5" t="s">
        <v>1850</v>
      </c>
      <c r="E15072" s="65"/>
      <c r="F15072" s="5" t="s">
        <v>114</v>
      </c>
      <c r="G15072" s="6"/>
      <c r="H15072" s="6"/>
    </row>
    <row r="15073">
      <c r="A15073" s="84">
        <v>45932.0</v>
      </c>
      <c r="B15073" s="4">
        <v>0.34869212962962964</v>
      </c>
      <c r="C15073" s="5" t="s">
        <v>905</v>
      </c>
      <c r="D15073" s="5" t="s">
        <v>1850</v>
      </c>
      <c r="E15073" s="65"/>
      <c r="F15073" s="5" t="s">
        <v>677</v>
      </c>
      <c r="G15073" s="6"/>
      <c r="H15073" s="6"/>
    </row>
    <row r="15074">
      <c r="A15074" s="84">
        <v>45932.0</v>
      </c>
      <c r="B15074" s="4">
        <v>0.34869212962962964</v>
      </c>
      <c r="C15074" s="5" t="s">
        <v>905</v>
      </c>
      <c r="D15074" s="5" t="s">
        <v>1850</v>
      </c>
      <c r="E15074" s="65"/>
      <c r="F15074" s="5" t="s">
        <v>1275</v>
      </c>
      <c r="G15074" s="6"/>
      <c r="H15074" s="6"/>
    </row>
    <row r="15075">
      <c r="A15075" s="84">
        <v>45932.0</v>
      </c>
      <c r="B15075" s="4">
        <v>0.3493865740740741</v>
      </c>
      <c r="C15075" s="5" t="s">
        <v>906</v>
      </c>
      <c r="D15075" s="5" t="s">
        <v>1850</v>
      </c>
      <c r="E15075" s="65"/>
      <c r="F15075" s="5" t="s">
        <v>911</v>
      </c>
      <c r="G15075" s="6"/>
      <c r="H15075" s="6"/>
    </row>
    <row r="15076">
      <c r="A15076" s="84">
        <v>45932.0</v>
      </c>
      <c r="B15076" s="4">
        <v>0.3493865740740741</v>
      </c>
      <c r="C15076" s="5" t="s">
        <v>906</v>
      </c>
      <c r="D15076" s="5" t="s">
        <v>1850</v>
      </c>
      <c r="E15076" s="65"/>
      <c r="F15076" s="5" t="s">
        <v>912</v>
      </c>
      <c r="G15076" s="6"/>
      <c r="H15076" s="6"/>
    </row>
    <row r="15077">
      <c r="A15077" s="84">
        <v>45932.0</v>
      </c>
      <c r="B15077" s="4">
        <v>0.3493865740740741</v>
      </c>
      <c r="C15077" s="5" t="s">
        <v>906</v>
      </c>
      <c r="D15077" s="5" t="s">
        <v>1850</v>
      </c>
      <c r="E15077" s="65"/>
      <c r="F15077" s="5" t="s">
        <v>969</v>
      </c>
      <c r="G15077" s="6"/>
      <c r="H15077" s="6"/>
    </row>
    <row r="15078">
      <c r="A15078" s="84">
        <v>45932.0</v>
      </c>
      <c r="B15078" s="4">
        <v>0.3493865740740741</v>
      </c>
      <c r="C15078" s="5" t="s">
        <v>906</v>
      </c>
      <c r="D15078" s="5" t="s">
        <v>1850</v>
      </c>
      <c r="E15078" s="65"/>
      <c r="F15078" s="5" t="s">
        <v>834</v>
      </c>
      <c r="G15078" s="6"/>
      <c r="H15078" s="6"/>
    </row>
    <row r="15079">
      <c r="A15079" s="84">
        <v>45932.0</v>
      </c>
      <c r="B15079" s="4">
        <v>0.3493865740740741</v>
      </c>
      <c r="C15079" s="5" t="s">
        <v>906</v>
      </c>
      <c r="D15079" s="5" t="s">
        <v>1850</v>
      </c>
      <c r="E15079" s="65"/>
      <c r="F15079" s="5" t="s">
        <v>110</v>
      </c>
      <c r="G15079" s="6"/>
      <c r="H15079" s="6"/>
    </row>
    <row r="15080">
      <c r="A15080" s="84">
        <v>45932.0</v>
      </c>
      <c r="B15080" s="4">
        <v>0.3500810185185185</v>
      </c>
      <c r="C15080" s="5" t="s">
        <v>906</v>
      </c>
      <c r="D15080" s="5" t="s">
        <v>1850</v>
      </c>
      <c r="E15080" s="65"/>
      <c r="F15080" s="5" t="s">
        <v>21</v>
      </c>
      <c r="G15080" s="6"/>
      <c r="H15080" s="6"/>
    </row>
    <row r="15081">
      <c r="A15081" s="84">
        <v>45932.0</v>
      </c>
      <c r="B15081" s="4">
        <v>0.3500810185185185</v>
      </c>
      <c r="C15081" s="5" t="s">
        <v>906</v>
      </c>
      <c r="D15081" s="5" t="s">
        <v>1850</v>
      </c>
      <c r="E15081" s="85" t="s">
        <v>298</v>
      </c>
      <c r="F15081" s="5"/>
      <c r="G15081" s="6"/>
      <c r="H15081" s="6"/>
    </row>
    <row r="15082">
      <c r="A15082" s="84">
        <v>45932.0</v>
      </c>
      <c r="B15082" s="4">
        <v>0.35077546296296297</v>
      </c>
      <c r="C15082" s="5" t="s">
        <v>906</v>
      </c>
      <c r="D15082" s="5" t="s">
        <v>1850</v>
      </c>
      <c r="E15082" s="65"/>
      <c r="F15082" s="5" t="s">
        <v>136</v>
      </c>
      <c r="G15082" s="6"/>
      <c r="H15082" s="6"/>
    </row>
    <row r="15083">
      <c r="A15083" s="84">
        <v>45932.0</v>
      </c>
      <c r="B15083" s="4">
        <v>0.35077546296296297</v>
      </c>
      <c r="C15083" s="5" t="s">
        <v>906</v>
      </c>
      <c r="D15083" s="5" t="s">
        <v>1850</v>
      </c>
      <c r="E15083" s="65"/>
      <c r="F15083" s="5" t="s">
        <v>15</v>
      </c>
      <c r="G15083" s="6"/>
      <c r="H15083" s="6"/>
    </row>
    <row r="15084">
      <c r="A15084" s="84">
        <v>45932.0</v>
      </c>
      <c r="B15084" s="4">
        <v>0.35077546296296297</v>
      </c>
      <c r="C15084" s="5" t="s">
        <v>906</v>
      </c>
      <c r="D15084" s="5" t="s">
        <v>1850</v>
      </c>
      <c r="E15084" s="65"/>
      <c r="F15084" s="5" t="s">
        <v>1013</v>
      </c>
      <c r="G15084" s="6"/>
      <c r="H15084" s="6"/>
    </row>
    <row r="15085">
      <c r="A15085" s="84">
        <v>45932.0</v>
      </c>
      <c r="B15085" s="4">
        <v>0.35077546296296297</v>
      </c>
      <c r="C15085" s="5" t="s">
        <v>906</v>
      </c>
      <c r="D15085" s="5" t="s">
        <v>1850</v>
      </c>
      <c r="E15085" s="65"/>
      <c r="F15085" s="5" t="s">
        <v>45</v>
      </c>
      <c r="G15085" s="6"/>
      <c r="H15085" s="6"/>
    </row>
    <row r="15086">
      <c r="A15086" s="84">
        <v>45932.0</v>
      </c>
      <c r="B15086" s="4">
        <v>0.3514699074074074</v>
      </c>
      <c r="C15086" s="5" t="s">
        <v>906</v>
      </c>
      <c r="D15086" s="5" t="s">
        <v>1850</v>
      </c>
      <c r="E15086" s="65"/>
      <c r="F15086" s="5" t="s">
        <v>155</v>
      </c>
      <c r="G15086" s="6"/>
      <c r="H15086" s="6"/>
    </row>
    <row r="15087">
      <c r="A15087" s="84">
        <v>45932.0</v>
      </c>
      <c r="B15087" s="4">
        <v>0.3514699074074074</v>
      </c>
      <c r="C15087" s="5" t="s">
        <v>906</v>
      </c>
      <c r="D15087" s="5" t="s">
        <v>1850</v>
      </c>
      <c r="E15087" s="65"/>
      <c r="F15087" s="5" t="s">
        <v>354</v>
      </c>
      <c r="G15087" s="6"/>
      <c r="H15087" s="6"/>
    </row>
    <row r="15088">
      <c r="A15088" s="84">
        <v>45932.0</v>
      </c>
      <c r="B15088" s="4">
        <v>0.3514699074074074</v>
      </c>
      <c r="C15088" s="5" t="s">
        <v>906</v>
      </c>
      <c r="D15088" s="5" t="s">
        <v>1850</v>
      </c>
      <c r="E15088" s="65"/>
      <c r="F15088" s="5" t="s">
        <v>468</v>
      </c>
      <c r="G15088" s="6"/>
      <c r="H15088" s="6"/>
    </row>
    <row r="15089">
      <c r="A15089" s="84">
        <v>45932.0</v>
      </c>
      <c r="B15089" s="4">
        <v>0.3514699074074074</v>
      </c>
      <c r="C15089" s="5" t="s">
        <v>906</v>
      </c>
      <c r="D15089" s="5" t="s">
        <v>1850</v>
      </c>
      <c r="E15089" s="65"/>
      <c r="F15089" s="5" t="s">
        <v>259</v>
      </c>
      <c r="G15089" s="6"/>
      <c r="H15089" s="6"/>
    </row>
    <row r="15090">
      <c r="A15090" s="84">
        <v>45932.0</v>
      </c>
      <c r="B15090" s="4">
        <v>0.35216435185185185</v>
      </c>
      <c r="C15090" s="5" t="s">
        <v>906</v>
      </c>
      <c r="D15090" s="5" t="s">
        <v>1850</v>
      </c>
      <c r="E15090" s="65"/>
      <c r="F15090" s="5" t="s">
        <v>216</v>
      </c>
      <c r="G15090" s="6"/>
      <c r="H15090" s="6"/>
    </row>
    <row r="15091">
      <c r="A15091" s="84">
        <v>45932.0</v>
      </c>
      <c r="B15091" s="4">
        <v>0.35216435185185185</v>
      </c>
      <c r="C15091" s="5" t="s">
        <v>906</v>
      </c>
      <c r="D15091" s="5" t="s">
        <v>1850</v>
      </c>
      <c r="E15091" s="65"/>
      <c r="F15091" s="5" t="s">
        <v>66</v>
      </c>
      <c r="G15091" s="6"/>
      <c r="H15091" s="6"/>
    </row>
    <row r="15092">
      <c r="A15092" s="84">
        <v>45932.0</v>
      </c>
      <c r="B15092" s="4">
        <v>0.35216435185185185</v>
      </c>
      <c r="C15092" s="5" t="s">
        <v>906</v>
      </c>
      <c r="D15092" s="5" t="s">
        <v>1850</v>
      </c>
      <c r="E15092" s="65"/>
      <c r="F15092" s="5" t="s">
        <v>361</v>
      </c>
      <c r="G15092" s="6"/>
      <c r="H15092" s="6"/>
    </row>
    <row r="15093">
      <c r="A15093" s="84">
        <v>45932.0</v>
      </c>
      <c r="B15093" s="4">
        <v>0.3528587962962963</v>
      </c>
      <c r="C15093" s="5" t="s">
        <v>906</v>
      </c>
      <c r="D15093" s="5" t="s">
        <v>1850</v>
      </c>
      <c r="E15093" s="65"/>
      <c r="F15093" s="5" t="s">
        <v>192</v>
      </c>
      <c r="G15093" s="6"/>
      <c r="H15093" s="6"/>
    </row>
    <row r="15094">
      <c r="A15094" s="84">
        <v>45932.0</v>
      </c>
      <c r="B15094" s="4">
        <v>0.35216435185185185</v>
      </c>
      <c r="C15094" s="5" t="s">
        <v>906</v>
      </c>
      <c r="D15094" s="5" t="s">
        <v>1850</v>
      </c>
      <c r="E15094" s="65"/>
      <c r="F15094" s="5" t="s">
        <v>1636</v>
      </c>
      <c r="G15094" s="6"/>
      <c r="H15094" s="6"/>
    </row>
    <row r="15095">
      <c r="A15095" s="84">
        <v>45932.0</v>
      </c>
      <c r="B15095" s="4">
        <v>0.35216435185185185</v>
      </c>
      <c r="C15095" s="5" t="s">
        <v>906</v>
      </c>
      <c r="D15095" s="5" t="s">
        <v>1850</v>
      </c>
      <c r="E15095" s="65"/>
      <c r="F15095" s="5" t="s">
        <v>371</v>
      </c>
      <c r="G15095" s="6"/>
      <c r="H15095" s="6"/>
    </row>
    <row r="15096">
      <c r="A15096" s="3"/>
      <c r="B15096" s="4"/>
      <c r="C15096" s="5"/>
      <c r="D15096" s="5"/>
      <c r="E15096" s="65"/>
      <c r="F15096" s="5"/>
      <c r="G15096" s="6"/>
      <c r="H15096" s="6"/>
    </row>
    <row r="15097">
      <c r="A15097" s="3"/>
      <c r="B15097" s="4"/>
      <c r="C15097" s="5"/>
      <c r="D15097" s="5"/>
      <c r="E15097" s="65"/>
      <c r="F15097" s="5"/>
      <c r="G15097" s="6"/>
      <c r="H15097" s="6"/>
    </row>
    <row r="15098">
      <c r="A15098" s="3"/>
      <c r="B15098" s="4"/>
      <c r="C15098" s="5"/>
      <c r="D15098" s="5"/>
      <c r="E15098" s="65"/>
      <c r="F15098" s="5"/>
      <c r="G15098" s="6"/>
      <c r="H15098" s="6"/>
    </row>
    <row r="15099">
      <c r="A15099" s="3"/>
      <c r="B15099" s="4"/>
      <c r="C15099" s="5"/>
      <c r="D15099" s="5"/>
      <c r="E15099" s="65"/>
      <c r="F15099" s="5"/>
      <c r="G15099" s="6"/>
      <c r="H15099" s="6"/>
    </row>
    <row r="15100">
      <c r="A15100" s="3"/>
      <c r="B15100" s="4"/>
      <c r="C15100" s="5"/>
      <c r="D15100" s="5"/>
      <c r="E15100" s="65"/>
      <c r="F15100" s="5"/>
      <c r="G15100" s="6"/>
      <c r="H15100" s="6"/>
    </row>
    <row r="15101">
      <c r="A15101" s="3"/>
      <c r="B15101" s="4"/>
      <c r="C15101" s="5"/>
      <c r="D15101" s="5"/>
      <c r="E15101" s="65"/>
      <c r="F15101" s="5"/>
      <c r="G15101" s="6"/>
      <c r="H15101" s="6"/>
    </row>
    <row r="15102">
      <c r="A15102" s="3"/>
      <c r="B15102" s="4"/>
      <c r="C15102" s="5"/>
      <c r="D15102" s="5"/>
      <c r="E15102" s="65"/>
      <c r="F15102" s="5"/>
      <c r="G15102" s="6"/>
      <c r="H15102" s="6"/>
    </row>
    <row r="15103">
      <c r="A15103" s="3"/>
      <c r="B15103" s="4"/>
      <c r="C15103" s="5"/>
      <c r="D15103" s="5"/>
      <c r="E15103" s="65"/>
      <c r="F15103" s="5"/>
      <c r="G15103" s="6"/>
      <c r="H15103" s="6"/>
    </row>
    <row r="15104">
      <c r="A15104" s="3"/>
      <c r="B15104" s="4"/>
      <c r="C15104" s="5"/>
      <c r="D15104" s="5"/>
      <c r="E15104" s="65"/>
      <c r="F15104" s="5"/>
      <c r="G15104" s="6"/>
      <c r="H15104" s="6"/>
    </row>
    <row r="15105">
      <c r="A15105" s="3"/>
      <c r="B15105" s="4"/>
      <c r="C15105" s="5"/>
      <c r="D15105" s="5"/>
      <c r="E15105" s="65"/>
      <c r="F15105" s="5"/>
      <c r="G15105" s="6"/>
      <c r="H15105" s="6"/>
    </row>
    <row r="15106">
      <c r="A15106" s="3"/>
      <c r="B15106" s="4"/>
      <c r="C15106" s="5"/>
      <c r="D15106" s="5"/>
      <c r="E15106" s="65"/>
      <c r="F15106" s="5"/>
      <c r="G15106" s="6"/>
      <c r="H15106" s="6"/>
    </row>
    <row r="15107">
      <c r="A15107" s="3"/>
      <c r="B15107" s="4"/>
      <c r="C15107" s="5"/>
      <c r="D15107" s="5"/>
      <c r="E15107" s="65"/>
      <c r="F15107" s="5"/>
      <c r="G15107" s="6"/>
      <c r="H15107" s="6"/>
    </row>
    <row r="15108">
      <c r="A15108" s="3"/>
      <c r="B15108" s="4"/>
      <c r="C15108" s="5"/>
      <c r="D15108" s="5"/>
      <c r="E15108" s="65"/>
      <c r="F15108" s="5"/>
      <c r="G15108" s="6"/>
      <c r="H15108" s="6"/>
    </row>
    <row r="15109">
      <c r="A15109" s="3"/>
      <c r="B15109" s="4"/>
      <c r="C15109" s="5"/>
      <c r="D15109" s="5"/>
      <c r="E15109" s="65"/>
      <c r="F15109" s="5"/>
      <c r="G15109" s="6"/>
      <c r="H15109" s="6"/>
    </row>
    <row r="15110">
      <c r="A15110" s="3"/>
      <c r="B15110" s="4"/>
      <c r="C15110" s="5"/>
      <c r="D15110" s="5"/>
      <c r="E15110" s="65"/>
      <c r="F15110" s="5"/>
      <c r="G15110" s="6"/>
      <c r="H15110" s="6"/>
    </row>
    <row r="15111">
      <c r="A15111" s="3"/>
      <c r="B15111" s="4"/>
      <c r="C15111" s="5"/>
      <c r="D15111" s="5"/>
      <c r="E15111" s="65"/>
      <c r="F15111" s="5"/>
      <c r="G15111" s="6"/>
      <c r="H15111" s="6"/>
    </row>
    <row r="15112">
      <c r="A15112" s="3"/>
      <c r="B15112" s="4"/>
      <c r="C15112" s="5"/>
      <c r="D15112" s="5"/>
      <c r="E15112" s="65"/>
      <c r="F15112" s="5"/>
      <c r="G15112" s="6"/>
      <c r="H15112" s="6"/>
    </row>
    <row r="15113">
      <c r="A15113" s="3"/>
      <c r="B15113" s="4"/>
      <c r="C15113" s="5"/>
      <c r="D15113" s="5"/>
      <c r="E15113" s="65"/>
      <c r="F15113" s="5"/>
      <c r="G15113" s="6"/>
      <c r="H15113" s="6"/>
    </row>
    <row r="15114">
      <c r="A15114" s="3"/>
      <c r="B15114" s="4"/>
      <c r="C15114" s="5"/>
      <c r="D15114" s="5"/>
      <c r="E15114" s="65"/>
      <c r="F15114" s="5"/>
      <c r="G15114" s="6"/>
      <c r="H15114" s="6"/>
    </row>
    <row r="15115">
      <c r="A15115" s="3"/>
      <c r="B15115" s="4"/>
      <c r="C15115" s="5"/>
      <c r="D15115" s="5"/>
      <c r="E15115" s="65"/>
      <c r="F15115" s="5"/>
      <c r="G15115" s="6"/>
      <c r="H15115" s="6"/>
    </row>
    <row r="15116">
      <c r="A15116" s="3"/>
      <c r="B15116" s="4"/>
      <c r="C15116" s="5"/>
      <c r="D15116" s="5"/>
      <c r="E15116" s="65"/>
      <c r="F15116" s="5"/>
      <c r="G15116" s="6"/>
      <c r="H15116" s="6"/>
    </row>
    <row r="15117">
      <c r="A15117" s="3"/>
      <c r="B15117" s="4"/>
      <c r="C15117" s="5"/>
      <c r="D15117" s="5"/>
      <c r="E15117" s="65"/>
      <c r="F15117" s="5"/>
      <c r="G15117" s="6"/>
      <c r="H15117" s="6"/>
    </row>
    <row r="15118">
      <c r="A15118" s="3"/>
      <c r="B15118" s="4"/>
      <c r="C15118" s="5"/>
      <c r="D15118" s="5"/>
      <c r="E15118" s="65"/>
      <c r="F15118" s="5"/>
      <c r="G15118" s="6"/>
      <c r="H15118" s="6"/>
    </row>
    <row r="15119">
      <c r="A15119" s="3"/>
      <c r="B15119" s="4"/>
      <c r="C15119" s="5"/>
      <c r="D15119" s="5"/>
      <c r="E15119" s="65"/>
      <c r="F15119" s="5"/>
      <c r="G15119" s="6"/>
      <c r="H15119" s="6"/>
    </row>
    <row r="15120">
      <c r="A15120" s="3"/>
      <c r="B15120" s="4"/>
      <c r="C15120" s="5"/>
      <c r="D15120" s="5"/>
      <c r="E15120" s="65"/>
      <c r="F15120" s="5"/>
      <c r="G15120" s="6"/>
      <c r="H15120" s="6"/>
    </row>
    <row r="15121">
      <c r="A15121" s="3"/>
      <c r="B15121" s="4"/>
      <c r="C15121" s="5"/>
      <c r="D15121" s="5"/>
      <c r="E15121" s="65"/>
      <c r="F15121" s="5"/>
      <c r="G15121" s="6"/>
      <c r="H15121" s="6"/>
    </row>
    <row r="15122">
      <c r="A15122" s="3"/>
      <c r="B15122" s="4"/>
      <c r="C15122" s="5"/>
      <c r="D15122" s="5"/>
      <c r="E15122" s="65"/>
      <c r="F15122" s="5"/>
      <c r="G15122" s="6"/>
      <c r="H15122" s="6"/>
    </row>
    <row r="15123">
      <c r="A15123" s="3"/>
      <c r="B15123" s="4"/>
      <c r="C15123" s="5"/>
      <c r="D15123" s="5"/>
      <c r="E15123" s="65"/>
      <c r="F15123" s="5"/>
      <c r="G15123" s="6"/>
      <c r="H15123" s="6"/>
    </row>
    <row r="15124">
      <c r="A15124" s="3"/>
      <c r="B15124" s="4"/>
      <c r="C15124" s="5"/>
      <c r="D15124" s="5"/>
      <c r="E15124" s="65"/>
      <c r="F15124" s="5"/>
      <c r="G15124" s="6"/>
      <c r="H15124" s="6"/>
    </row>
    <row r="15125">
      <c r="A15125" s="3"/>
      <c r="B15125" s="4"/>
      <c r="C15125" s="5"/>
      <c r="D15125" s="5"/>
      <c r="E15125" s="65"/>
      <c r="F15125" s="5"/>
      <c r="G15125" s="6"/>
      <c r="H15125" s="6"/>
    </row>
    <row r="15126">
      <c r="A15126" s="3"/>
      <c r="B15126" s="4"/>
      <c r="C15126" s="5"/>
      <c r="D15126" s="5"/>
      <c r="E15126" s="65"/>
      <c r="F15126" s="5"/>
      <c r="G15126" s="6"/>
      <c r="H15126" s="6"/>
    </row>
    <row r="15127">
      <c r="A15127" s="3"/>
      <c r="B15127" s="4"/>
      <c r="C15127" s="5"/>
      <c r="D15127" s="5"/>
      <c r="E15127" s="65"/>
      <c r="F15127" s="5"/>
      <c r="G15127" s="6"/>
      <c r="H15127" s="6"/>
    </row>
    <row r="15128">
      <c r="A15128" s="3"/>
      <c r="B15128" s="4"/>
      <c r="C15128" s="5"/>
      <c r="D15128" s="5"/>
      <c r="E15128" s="65"/>
      <c r="F15128" s="5"/>
      <c r="G15128" s="6"/>
      <c r="H15128" s="6"/>
    </row>
    <row r="15129">
      <c r="A15129" s="3"/>
      <c r="B15129" s="4"/>
      <c r="C15129" s="5"/>
      <c r="D15129" s="5"/>
      <c r="E15129" s="65"/>
      <c r="F15129" s="5"/>
      <c r="G15129" s="6"/>
      <c r="H15129" s="6"/>
    </row>
    <row r="15130">
      <c r="A15130" s="3">
        <v>45952.0</v>
      </c>
      <c r="B15130" s="4">
        <v>0.25416666666666665</v>
      </c>
      <c r="C15130" s="5" t="s">
        <v>8</v>
      </c>
      <c r="D15130" s="5" t="s">
        <v>1861</v>
      </c>
      <c r="E15130" s="8" t="s">
        <v>191</v>
      </c>
      <c r="F15130" s="5" t="s">
        <v>192</v>
      </c>
      <c r="G15130" s="6" t="str">
        <f>VLOOKUP(E15130,dicionario!$A$1:$C15186,2,0)</f>
        <v>Patagioenas picazuro</v>
      </c>
      <c r="H15130" s="6" t="str">
        <f>VLOOKUP(E15130,dicionario!$A$1:$C15186,3,0)</f>
        <v>asa-branca; pomba-asa-branca; pocaçu</v>
      </c>
    </row>
    <row r="15131">
      <c r="A15131" s="3">
        <v>45952.0</v>
      </c>
      <c r="B15131" s="4">
        <v>0.25416666666666665</v>
      </c>
      <c r="C15131" s="5" t="s">
        <v>8</v>
      </c>
      <c r="D15131" s="5" t="s">
        <v>1861</v>
      </c>
      <c r="E15131" s="65" t="s">
        <v>132</v>
      </c>
      <c r="F15131" s="5" t="s">
        <v>133</v>
      </c>
      <c r="G15131" s="6" t="str">
        <f>VLOOKUP(E15131,dicionario!$A$1:$C15187,2,0)</f>
        <v>Euphonia chlorotica</v>
      </c>
      <c r="H15131" s="6" t="str">
        <f>VLOOKUP(E15131,dicionario!$A$1:$C15187,3,0)</f>
        <v>fim-fim</v>
      </c>
    </row>
    <row r="15132">
      <c r="A15132" s="3">
        <v>45952.0</v>
      </c>
      <c r="B15132" s="4">
        <v>0.25416666666666665</v>
      </c>
      <c r="C15132" s="5" t="s">
        <v>8</v>
      </c>
      <c r="D15132" s="5" t="s">
        <v>1861</v>
      </c>
      <c r="E15132" s="65" t="s">
        <v>302</v>
      </c>
      <c r="F15132" s="5" t="s">
        <v>303</v>
      </c>
      <c r="G15132" s="6" t="str">
        <f>VLOOKUP(E15132,dicionario!$A$1:$C15188,2,0)</f>
        <v>Machetornis rixosa</v>
      </c>
      <c r="H15132" s="6" t="str">
        <f>VLOOKUP(E15132,dicionario!$A$1:$C15188,3,0)</f>
        <v>suiriri-cavaleiro</v>
      </c>
    </row>
    <row r="15133">
      <c r="A15133" s="3">
        <v>45952.0</v>
      </c>
      <c r="B15133" s="4">
        <v>0.25416666666666665</v>
      </c>
      <c r="C15133" s="5" t="s">
        <v>8</v>
      </c>
      <c r="D15133" s="5" t="s">
        <v>1861</v>
      </c>
      <c r="E15133" s="65" t="s">
        <v>177</v>
      </c>
      <c r="F15133" s="5" t="s">
        <v>178</v>
      </c>
      <c r="G15133" s="6" t="str">
        <f>VLOOKUP(E15133,dicionario!$A$1:$C15189,2,0)</f>
        <v>Elaenia flavogaster</v>
      </c>
      <c r="H15133" s="6" t="str">
        <f>VLOOKUP(E15133,dicionario!$A$1:$C15189,3,0)</f>
        <v>guaracava-de-barriga-amarela</v>
      </c>
    </row>
    <row r="15134">
      <c r="A15134" s="3">
        <v>45952.0</v>
      </c>
      <c r="B15134" s="4">
        <v>0.2548611111111111</v>
      </c>
      <c r="C15134" s="5" t="s">
        <v>8</v>
      </c>
      <c r="D15134" s="5" t="s">
        <v>1861</v>
      </c>
      <c r="E15134" s="8" t="s">
        <v>20</v>
      </c>
      <c r="F15134" s="5" t="s">
        <v>21</v>
      </c>
      <c r="G15134" s="6" t="str">
        <f>VLOOKUP(E15134,dicionario!$A$1:$C15190,2,0)</f>
        <v>Sicalis flaveola</v>
      </c>
      <c r="H15134" s="6" t="str">
        <f>VLOOKUP(E15134,dicionario!$A$1:$C15190,3,0)</f>
        <v>canário-da-terra</v>
      </c>
    </row>
    <row r="15135">
      <c r="A15135" s="3">
        <v>45952.0</v>
      </c>
      <c r="B15135" s="4">
        <v>0.2548611111111111</v>
      </c>
      <c r="C15135" s="5" t="s">
        <v>8</v>
      </c>
      <c r="D15135" s="5" t="s">
        <v>1861</v>
      </c>
      <c r="E15135" s="8" t="s">
        <v>65</v>
      </c>
      <c r="F15135" s="5" t="s">
        <v>66</v>
      </c>
      <c r="G15135" s="6" t="str">
        <f>VLOOKUP(E15135,dicionario!$A$1:$C15191,2,0)</f>
        <v>Pitangus sulphutarus</v>
      </c>
      <c r="H15135" s="6" t="str">
        <f>VLOOKUP(E15135,dicionario!$A$1:$C15191,3,0)</f>
        <v>bem-te-vi</v>
      </c>
    </row>
    <row r="15136">
      <c r="A15136" s="3">
        <v>45952.0</v>
      </c>
      <c r="B15136" s="4">
        <v>0.2548611111111111</v>
      </c>
      <c r="C15136" s="5" t="s">
        <v>8</v>
      </c>
      <c r="D15136" s="5" t="s">
        <v>1861</v>
      </c>
      <c r="E15136" s="65" t="s">
        <v>215</v>
      </c>
      <c r="F15136" s="5" t="s">
        <v>216</v>
      </c>
      <c r="G15136" s="6" t="str">
        <f>VLOOKUP(E15136,dicionario!$A$1:$C15192,2,0)</f>
        <v>Pygochelidon cyanoleuca</v>
      </c>
      <c r="H15136" s="6" t="str">
        <f>VLOOKUP(E15136,dicionario!$A$1:$C15192,3,0)</f>
        <v>andorinha-pequena-de-casa</v>
      </c>
    </row>
    <row r="15137">
      <c r="A15137" s="3">
        <v>45952.0</v>
      </c>
      <c r="B15137" s="4">
        <v>0.2548611111111111</v>
      </c>
      <c r="C15137" s="5" t="s">
        <v>8</v>
      </c>
      <c r="D15137" s="5" t="s">
        <v>1861</v>
      </c>
      <c r="E15137" s="8" t="s">
        <v>107</v>
      </c>
      <c r="F15137" s="5" t="s">
        <v>834</v>
      </c>
      <c r="G15137" s="6" t="str">
        <f>VLOOKUP(E15137,dicionario!$A$1:$C15193,2,0)</f>
        <v>Ramalina complanata</v>
      </c>
      <c r="H15137" s="6" t="str">
        <f>VLOOKUP(E15137,dicionario!$A$1:$C15193,3,0)</f>
        <v>ramalina</v>
      </c>
    </row>
    <row r="15138">
      <c r="A15138" s="3">
        <v>45952.0</v>
      </c>
      <c r="B15138" s="4">
        <v>0.2548611111111111</v>
      </c>
      <c r="C15138" s="5" t="s">
        <v>8</v>
      </c>
      <c r="D15138" s="5" t="s">
        <v>1861</v>
      </c>
      <c r="E15138" s="8" t="s">
        <v>719</v>
      </c>
      <c r="F15138" s="5" t="s">
        <v>911</v>
      </c>
      <c r="G15138" s="6" t="str">
        <f>VLOOKUP(E15138,dicionario!$A$1:$C15194,2,0)</f>
        <v>Dirinaria</v>
      </c>
      <c r="H15138" s="6" t="str">
        <f>VLOOKUP(E15138,dicionario!$A$1:$C15194,3,0)</f>
        <v>líquen-crostoso</v>
      </c>
    </row>
    <row r="15139">
      <c r="A15139" s="3">
        <v>45952.0</v>
      </c>
      <c r="B15139" s="4">
        <v>0.2548611111111111</v>
      </c>
      <c r="C15139" s="5" t="s">
        <v>8</v>
      </c>
      <c r="D15139" s="5" t="s">
        <v>1861</v>
      </c>
      <c r="E15139" s="65" t="s">
        <v>712</v>
      </c>
      <c r="F15139" s="5" t="s">
        <v>912</v>
      </c>
      <c r="G15139" s="6" t="str">
        <f>VLOOKUP(E15139,dicionario!$A$1:$C15195,2,0)</f>
        <v>Flavopunctelia soredica</v>
      </c>
      <c r="H15139" s="6" t="str">
        <f>VLOOKUP(E15139,dicionario!$A$1:$C15195,3,0)</f>
        <v>líquen-folioso</v>
      </c>
    </row>
    <row r="15140">
      <c r="A15140" s="3">
        <v>45952.0</v>
      </c>
      <c r="B15140" s="4">
        <v>0.25625</v>
      </c>
      <c r="C15140" s="5" t="s">
        <v>8</v>
      </c>
      <c r="D15140" s="5" t="s">
        <v>1861</v>
      </c>
      <c r="E15140" s="8" t="s">
        <v>938</v>
      </c>
      <c r="F15140" s="5"/>
      <c r="G15140" s="6" t="str">
        <f>VLOOKUP(E15140,dicionario!$A$1:$C15196,2,0)</f>
        <v>Chloris barbata</v>
      </c>
      <c r="H15140" s="6" t="str">
        <f>VLOOKUP(E15140,dicionario!$A$1:$C15196,3,0)</f>
        <v/>
      </c>
    </row>
    <row r="15141">
      <c r="A15141" s="3">
        <v>45952.0</v>
      </c>
      <c r="B15141" s="4">
        <v>0.25625</v>
      </c>
      <c r="C15141" s="5" t="s">
        <v>8</v>
      </c>
      <c r="D15141" s="5" t="s">
        <v>1861</v>
      </c>
      <c r="E15141" s="8" t="s">
        <v>162</v>
      </c>
      <c r="F15141" s="5" t="s">
        <v>42</v>
      </c>
      <c r="G15141" s="6" t="str">
        <f>VLOOKUP(E15141,dicionario!$A$1:$C15197,2,0)</f>
        <v>Fluvicola nengeta</v>
      </c>
      <c r="H15141" s="6" t="str">
        <f>VLOOKUP(E15141,dicionario!$A$1:$C15197,3,0)</f>
        <v>lavadeira-mascarada</v>
      </c>
    </row>
    <row r="15142">
      <c r="A15142" s="3">
        <v>45952.0</v>
      </c>
      <c r="B15142" s="4">
        <v>0.25625</v>
      </c>
      <c r="C15142" s="5" t="s">
        <v>8</v>
      </c>
      <c r="D15142" s="5" t="s">
        <v>1861</v>
      </c>
      <c r="E15142" s="8" t="s">
        <v>109</v>
      </c>
      <c r="F15142" s="5" t="s">
        <v>110</v>
      </c>
      <c r="G15142" s="6" t="str">
        <f>VLOOKUP(E15142,dicionario!$A$1:$C15198,2,0)</f>
        <v>Tillandsia stricta</v>
      </c>
      <c r="H15142" s="6" t="str">
        <f>VLOOKUP(E15142,dicionario!$A$1:$C15198,3,0)</f>
        <v>cravo-do-mato</v>
      </c>
    </row>
    <row r="15143">
      <c r="A15143" s="3">
        <v>45952.0</v>
      </c>
      <c r="B15143" s="4">
        <v>0.25625</v>
      </c>
      <c r="C15143" s="5" t="s">
        <v>8</v>
      </c>
      <c r="D15143" s="5" t="s">
        <v>1861</v>
      </c>
      <c r="E15143" s="65" t="s">
        <v>213</v>
      </c>
      <c r="F15143" s="5" t="s">
        <v>214</v>
      </c>
      <c r="G15143" s="6" t="str">
        <f>VLOOKUP(E15143,dicionario!$A$1:$C15199,2,0)</f>
        <v>Myiozetetes similis</v>
      </c>
      <c r="H15143" s="6" t="str">
        <f>VLOOKUP(E15143,dicionario!$A$1:$C15199,3,0)</f>
        <v>bentevizinho-de-penacho-vermelho</v>
      </c>
    </row>
    <row r="15144">
      <c r="A15144" s="3">
        <v>45952.0</v>
      </c>
      <c r="B15144" s="4">
        <v>0.2569444444444444</v>
      </c>
      <c r="C15144" s="5" t="s">
        <v>8</v>
      </c>
      <c r="D15144" s="5" t="s">
        <v>1861</v>
      </c>
      <c r="E15144" s="8" t="s">
        <v>88</v>
      </c>
      <c r="F15144" s="5" t="s">
        <v>89</v>
      </c>
      <c r="G15144" s="6" t="str">
        <f>VLOOKUP(E15144,dicionario!$A$1:$C15200,2,0)</f>
        <v>Tyrannus melancolichus</v>
      </c>
      <c r="H15144" s="6" t="str">
        <f>VLOOKUP(E15144,dicionario!$A$1:$C15200,3,0)</f>
        <v>suiriri</v>
      </c>
    </row>
    <row r="15145">
      <c r="A15145" s="3">
        <v>45952.0</v>
      </c>
      <c r="B15145" s="4">
        <v>0.2569444444444444</v>
      </c>
      <c r="C15145" s="5" t="s">
        <v>8</v>
      </c>
      <c r="D15145" s="5" t="s">
        <v>1861</v>
      </c>
      <c r="E15145" s="65" t="s">
        <v>38</v>
      </c>
      <c r="F15145" s="5" t="s">
        <v>39</v>
      </c>
      <c r="G15145" s="6" t="str">
        <f>VLOOKUP(E15145,dicionario!$A$1:$C15201,2,0)</f>
        <v>Troglodytes musculus</v>
      </c>
      <c r="H15145" s="6" t="str">
        <f>VLOOKUP(E15145,dicionario!$A$1:$C15201,3,0)</f>
        <v>curruíra</v>
      </c>
    </row>
    <row r="15146">
      <c r="A15146" s="3">
        <v>45952.0</v>
      </c>
      <c r="B15146" s="4">
        <v>0.2569444444444444</v>
      </c>
      <c r="C15146" s="5" t="s">
        <v>8</v>
      </c>
      <c r="D15146" s="5" t="s">
        <v>1861</v>
      </c>
      <c r="E15146" s="8" t="s">
        <v>353</v>
      </c>
      <c r="F15146" s="5" t="s">
        <v>354</v>
      </c>
      <c r="G15146" s="6" t="str">
        <f>VLOOKUP(E15146,dicionario!$A$1:$C15202,2,0)</f>
        <v>Desmodium incanum</v>
      </c>
      <c r="H15146" s="6" t="str">
        <f>VLOOKUP(E15146,dicionario!$A$1:$C15202,3,0)</f>
        <v>pega-pega</v>
      </c>
    </row>
    <row r="15147">
      <c r="A15147" s="3">
        <v>45952.0</v>
      </c>
      <c r="B15147" s="4">
        <v>0.25763888888888886</v>
      </c>
      <c r="C15147" s="5" t="s">
        <v>8</v>
      </c>
      <c r="D15147" s="5" t="s">
        <v>1861</v>
      </c>
      <c r="E15147" s="8" t="s">
        <v>298</v>
      </c>
      <c r="F15147" s="5"/>
      <c r="G15147" s="6" t="str">
        <f>VLOOKUP(E15147,dicionario!$A$1:$C15203,2,0)</f>
        <v>Alysicarpus vaginalis</v>
      </c>
      <c r="H15147" s="6" t="str">
        <f>VLOOKUP(E15147,dicionario!$A$1:$C15203,3,0)</f>
        <v/>
      </c>
    </row>
    <row r="15148">
      <c r="A15148" s="3">
        <v>45952.0</v>
      </c>
      <c r="B15148" s="4">
        <v>0.25763888888888886</v>
      </c>
      <c r="C15148" s="5" t="s">
        <v>8</v>
      </c>
      <c r="D15148" s="5" t="s">
        <v>1861</v>
      </c>
      <c r="E15148" s="8" t="s">
        <v>227</v>
      </c>
      <c r="F15148" s="5" t="s">
        <v>228</v>
      </c>
      <c r="G15148" s="6" t="str">
        <f>VLOOKUP(E15148,dicionario!$A$1:$C15204,2,0)</f>
        <v>Indigofera hirsuta</v>
      </c>
      <c r="H15148" s="6" t="str">
        <f>VLOOKUP(E15148,dicionario!$A$1:$C15204,3,0)</f>
        <v>anileira</v>
      </c>
    </row>
    <row r="15149">
      <c r="A15149" s="3">
        <v>45952.0</v>
      </c>
      <c r="B15149" s="4">
        <v>0.25833333333333336</v>
      </c>
      <c r="C15149" s="5" t="s">
        <v>8</v>
      </c>
      <c r="D15149" s="5" t="s">
        <v>1861</v>
      </c>
      <c r="E15149" s="8" t="s">
        <v>225</v>
      </c>
      <c r="F15149" s="5" t="s">
        <v>226</v>
      </c>
      <c r="G15149" s="6" t="str">
        <f>VLOOKUP(E15149,dicionario!$A$1:$C15205,2,0)</f>
        <v>Passer domesticus</v>
      </c>
      <c r="H15149" s="6" t="str">
        <f>VLOOKUP(E15149,dicionario!$A$1:$C15205,3,0)</f>
        <v>pardal</v>
      </c>
    </row>
    <row r="15150">
      <c r="A15150" s="3">
        <v>45952.0</v>
      </c>
      <c r="B15150" s="4">
        <v>0.25833333333333336</v>
      </c>
      <c r="C15150" s="5" t="s">
        <v>8</v>
      </c>
      <c r="D15150" s="5" t="s">
        <v>1861</v>
      </c>
      <c r="E15150" s="8" t="s">
        <v>200</v>
      </c>
      <c r="F15150" s="5" t="s">
        <v>201</v>
      </c>
      <c r="G15150" s="6" t="str">
        <f>VLOOKUP(E15150,dicionario!$A$1:$C15206,2,0)</f>
        <v>Columbina picui </v>
      </c>
      <c r="H15150" s="6" t="str">
        <f>VLOOKUP(E15150,dicionario!$A$1:$C15206,3,0)</f>
        <v>rolinha-picuí</v>
      </c>
    </row>
    <row r="15151">
      <c r="A15151" s="3">
        <v>45952.0</v>
      </c>
      <c r="B15151" s="4">
        <v>0.25833333333333336</v>
      </c>
      <c r="C15151" s="5" t="s">
        <v>8</v>
      </c>
      <c r="D15151" s="5" t="s">
        <v>1861</v>
      </c>
      <c r="E15151" s="8" t="s">
        <v>105</v>
      </c>
      <c r="F15151" s="5" t="s">
        <v>106</v>
      </c>
      <c r="G15151" s="6" t="str">
        <f>VLOOKUP(E15151,dicionario!$A$1:$C15207,2,0)</f>
        <v>Progne tapera</v>
      </c>
      <c r="H15151" s="6" t="str">
        <f>VLOOKUP(E15151,dicionario!$A$1:$C15207,3,0)</f>
        <v>andorinha-do-campo</v>
      </c>
    </row>
    <row r="15152">
      <c r="A15152" s="3">
        <v>45952.0</v>
      </c>
      <c r="B15152" s="4">
        <v>0.25972222222222224</v>
      </c>
      <c r="C15152" s="5" t="s">
        <v>8</v>
      </c>
      <c r="D15152" s="5" t="s">
        <v>1861</v>
      </c>
      <c r="E15152" s="65" t="s">
        <v>86</v>
      </c>
      <c r="F15152" s="5" t="s">
        <v>502</v>
      </c>
      <c r="G15152" s="6" t="str">
        <f>VLOOKUP(E15152,dicionario!$A$1:$C15208,2,0)</f>
        <v>Coereba flaveola</v>
      </c>
      <c r="H15152" s="6" t="str">
        <f>VLOOKUP(E15152,dicionario!$A$1:$C15208,3,0)</f>
        <v>cambacica</v>
      </c>
    </row>
    <row r="15153">
      <c r="A15153" s="3">
        <v>45952.0</v>
      </c>
      <c r="B15153" s="4">
        <v>0.25972222222222224</v>
      </c>
      <c r="C15153" s="5" t="s">
        <v>8</v>
      </c>
      <c r="D15153" s="5" t="s">
        <v>1861</v>
      </c>
      <c r="E15153" s="83" t="s">
        <v>223</v>
      </c>
      <c r="F15153" s="5" t="s">
        <v>224</v>
      </c>
      <c r="G15153" s="6" t="str">
        <f>VLOOKUP(E15153,dicionario!$A$1:$C15209,2,0)</f>
        <v>Rhipsalis lindbergiana</v>
      </c>
      <c r="H15153" s="6" t="str">
        <f>VLOOKUP(E15153,dicionario!$A$1:$C15209,3,0)</f>
        <v>cacto-macarrão</v>
      </c>
    </row>
    <row r="15154">
      <c r="A15154" s="3">
        <v>45952.0</v>
      </c>
      <c r="B15154" s="4">
        <v>0.2604166666666667</v>
      </c>
      <c r="C15154" s="5" t="s">
        <v>8</v>
      </c>
      <c r="D15154" s="5" t="s">
        <v>1861</v>
      </c>
      <c r="E15154" s="8" t="s">
        <v>113</v>
      </c>
      <c r="F15154" s="5" t="s">
        <v>114</v>
      </c>
      <c r="G15154" s="6" t="str">
        <f>VLOOKUP(E15154,dicionario!$A$1:$C15210,2,0)</f>
        <v>Columbina talpacoti</v>
      </c>
      <c r="H15154" s="6" t="str">
        <f>VLOOKUP(E15154,dicionario!$A$1:$C15210,3,0)</f>
        <v>rolinha-roxa</v>
      </c>
    </row>
    <row r="15155">
      <c r="A15155" s="3">
        <v>45952.0</v>
      </c>
      <c r="B15155" s="4">
        <v>0.2604166666666667</v>
      </c>
      <c r="C15155" s="5" t="s">
        <v>8</v>
      </c>
      <c r="D15155" s="5" t="s">
        <v>1861</v>
      </c>
      <c r="E15155" s="8" t="s">
        <v>46</v>
      </c>
      <c r="F15155" s="5" t="s">
        <v>47</v>
      </c>
      <c r="G15155" s="6" t="str">
        <f>VLOOKUP(E15155,dicionario!$A$1:$C15211,2,0)</f>
        <v>Chionomesa fimbriata</v>
      </c>
      <c r="H15155" s="6" t="str">
        <f>VLOOKUP(E15155,dicionario!$A$1:$C15211,3,0)</f>
        <v>beija-flor-de-garganta-verde</v>
      </c>
    </row>
    <row r="15156">
      <c r="A15156" s="3">
        <v>45952.0</v>
      </c>
      <c r="B15156" s="4">
        <v>0.2604166666666667</v>
      </c>
      <c r="C15156" s="5" t="s">
        <v>8</v>
      </c>
      <c r="D15156" s="5" t="s">
        <v>1861</v>
      </c>
      <c r="E15156" s="65" t="s">
        <v>1008</v>
      </c>
      <c r="F15156" s="5" t="s">
        <v>1013</v>
      </c>
      <c r="G15156" s="6" t="str">
        <f>VLOOKUP(E15156,dicionario!$A$1:$C15212,2,0)</f>
        <v>Syntermes molestus</v>
      </c>
      <c r="H15156" s="6" t="str">
        <f>VLOOKUP(E15156,dicionario!$A$1:$C15212,3,0)</f>
        <v>cupim-bate-cabeça</v>
      </c>
    </row>
    <row r="15157">
      <c r="A15157" s="3">
        <v>45952.0</v>
      </c>
      <c r="B15157" s="4">
        <v>0.26180555555555557</v>
      </c>
      <c r="C15157" s="5" t="s">
        <v>8</v>
      </c>
      <c r="D15157" s="5" t="s">
        <v>1861</v>
      </c>
      <c r="E15157" s="65" t="s">
        <v>1632</v>
      </c>
      <c r="F15157" s="5" t="s">
        <v>1862</v>
      </c>
      <c r="G15157" s="6" t="str">
        <f>VLOOKUP(E15157,dicionario!$A$1:$C15213,2,0)</f>
        <v>Tillandsia loliacea</v>
      </c>
      <c r="H15157" s="6" t="str">
        <f>VLOOKUP(E15157,dicionario!$A$1:$C15213,3,0)</f>
        <v>cravo-do-mato sp4</v>
      </c>
    </row>
    <row r="15158">
      <c r="A15158" s="3">
        <v>45952.0</v>
      </c>
      <c r="B15158" s="4">
        <v>0.26180555555555557</v>
      </c>
      <c r="C15158" s="5" t="s">
        <v>8</v>
      </c>
      <c r="D15158" s="5" t="s">
        <v>1861</v>
      </c>
      <c r="E15158" s="65" t="s">
        <v>606</v>
      </c>
      <c r="F15158" s="5" t="s">
        <v>607</v>
      </c>
      <c r="G15158" s="6" t="str">
        <f>VLOOKUP(E15158,dicionario!$A$1:$C15214,2,0)</f>
        <v>Elaenia spectabilis</v>
      </c>
      <c r="H15158" s="6" t="str">
        <f>VLOOKUP(E15158,dicionario!$A$1:$C15214,3,0)</f>
        <v>guaracava-grande</v>
      </c>
    </row>
    <row r="15159">
      <c r="A15159" s="3">
        <v>45952.0</v>
      </c>
      <c r="B15159" s="4">
        <v>0.2652777777777778</v>
      </c>
      <c r="C15159" s="5" t="s">
        <v>26</v>
      </c>
      <c r="D15159" s="5" t="s">
        <v>1861</v>
      </c>
      <c r="E15159" s="65" t="s">
        <v>1806</v>
      </c>
      <c r="F15159" s="5" t="s">
        <v>1807</v>
      </c>
      <c r="G15159" s="6" t="str">
        <f>VLOOKUP(E15159,dicionario!$A$1:$C15215,2,0)</f>
        <v>Streptoprocne zonaris</v>
      </c>
      <c r="H15159" s="6" t="str">
        <f>VLOOKUP(E15159,dicionario!$A$1:$C15215,3,0)</f>
        <v>taperuçu-de-coleira-branca</v>
      </c>
    </row>
    <row r="15160">
      <c r="A15160" s="3">
        <v>45952.0</v>
      </c>
      <c r="B15160" s="4">
        <v>0.2652777777777778</v>
      </c>
      <c r="C15160" s="5" t="s">
        <v>26</v>
      </c>
      <c r="D15160" s="5" t="s">
        <v>1861</v>
      </c>
      <c r="E15160" s="65" t="s">
        <v>360</v>
      </c>
      <c r="F15160" s="5" t="s">
        <v>361</v>
      </c>
      <c r="G15160" s="6" t="str">
        <f>VLOOKUP(E15160,dicionario!$A$1:$C15216,2,0)</f>
        <v>Chamaecrista rotundifolia</v>
      </c>
      <c r="H15160" s="6" t="str">
        <f>VLOOKUP(E15160,dicionario!$A$1:$C15216,3,0)</f>
        <v>alfafa-nativa</v>
      </c>
    </row>
    <row r="15161">
      <c r="A15161" s="3">
        <v>45952.0</v>
      </c>
      <c r="B15161" s="4">
        <v>0.2652777777777778</v>
      </c>
      <c r="C15161" s="5" t="s">
        <v>26</v>
      </c>
      <c r="D15161" s="5" t="s">
        <v>1861</v>
      </c>
      <c r="E15161" s="65" t="s">
        <v>370</v>
      </c>
      <c r="F15161" s="5" t="s">
        <v>371</v>
      </c>
      <c r="G15161" s="6" t="str">
        <f>VLOOKUP(E15161,dicionario!$A$1:$C15217,2,0)</f>
        <v>Mimus saturninus</v>
      </c>
      <c r="H15161" s="6" t="str">
        <f>VLOOKUP(E15161,dicionario!$A$1:$C15217,3,0)</f>
        <v>sabiá-do-campo</v>
      </c>
    </row>
    <row r="15162">
      <c r="A15162" s="3">
        <v>45952.0</v>
      </c>
      <c r="B15162" s="4">
        <v>0.2652777777777778</v>
      </c>
      <c r="C15162" s="5" t="s">
        <v>26</v>
      </c>
      <c r="D15162" s="5" t="s">
        <v>1861</v>
      </c>
      <c r="E15162" s="8" t="s">
        <v>88</v>
      </c>
      <c r="F15162" s="5" t="s">
        <v>89</v>
      </c>
      <c r="G15162" s="6" t="str">
        <f>VLOOKUP(E15162,dicionario!$A$1:$C15218,2,0)</f>
        <v>Tyrannus melancolichus</v>
      </c>
      <c r="H15162" s="6" t="str">
        <f>VLOOKUP(E15162,dicionario!$A$1:$C15218,3,0)</f>
        <v>suiriri</v>
      </c>
    </row>
    <row r="15163">
      <c r="A15163" s="3">
        <v>45952.0</v>
      </c>
      <c r="B15163" s="4">
        <v>0.26666666666666666</v>
      </c>
      <c r="C15163" s="5" t="s">
        <v>26</v>
      </c>
      <c r="D15163" s="5" t="s">
        <v>1861</v>
      </c>
      <c r="E15163" s="8" t="s">
        <v>217</v>
      </c>
      <c r="F15163" s="5" t="s">
        <v>218</v>
      </c>
      <c r="G15163" s="6" t="str">
        <f>VLOOKUP(E15163,dicionario!$A$1:$C15219,2,0)</f>
        <v>Athene cunicularia</v>
      </c>
      <c r="H15163" s="6" t="str">
        <f>VLOOKUP(E15163,dicionario!$A$1:$C15219,3,0)</f>
        <v>coruja-buraqueira</v>
      </c>
    </row>
    <row r="15164">
      <c r="A15164" s="3">
        <v>45952.0</v>
      </c>
      <c r="B15164" s="4">
        <v>0.26666666666666666</v>
      </c>
      <c r="C15164" s="5" t="s">
        <v>26</v>
      </c>
      <c r="D15164" s="5" t="s">
        <v>1861</v>
      </c>
      <c r="E15164" s="65" t="s">
        <v>135</v>
      </c>
      <c r="F15164" s="5" t="s">
        <v>136</v>
      </c>
      <c r="G15164" s="6" t="str">
        <f>VLOOKUP(E15164,dicionario!$A$1:$C15220,2,0)</f>
        <v>Tridax procumbens</v>
      </c>
      <c r="H15164" s="6" t="str">
        <f>VLOOKUP(E15164,dicionario!$A$1:$C15220,3,0)</f>
        <v>erva-de-touro</v>
      </c>
    </row>
    <row r="15165">
      <c r="A15165" s="3">
        <v>45952.0</v>
      </c>
      <c r="B15165" s="4">
        <v>0.26666666666666666</v>
      </c>
      <c r="C15165" s="5" t="s">
        <v>26</v>
      </c>
      <c r="D15165" s="5" t="s">
        <v>1861</v>
      </c>
      <c r="E15165" s="65" t="s">
        <v>1127</v>
      </c>
      <c r="F15165" s="5" t="s">
        <v>1128</v>
      </c>
      <c r="G15165" s="6" t="str">
        <f>VLOOKUP(E15165,dicionario!$A$1:$C15221,2,0)</f>
        <v>Albizia lebbeck</v>
      </c>
      <c r="H15165" s="6" t="str">
        <f>VLOOKUP(E15165,dicionario!$A$1:$C15221,3,0)</f>
        <v>albízia</v>
      </c>
    </row>
    <row r="15166">
      <c r="A15166" s="3">
        <v>45952.0</v>
      </c>
      <c r="B15166" s="4">
        <v>0.26666666666666666</v>
      </c>
      <c r="C15166" s="5" t="s">
        <v>26</v>
      </c>
      <c r="D15166" s="5" t="s">
        <v>1861</v>
      </c>
      <c r="E15166" s="65" t="s">
        <v>14</v>
      </c>
      <c r="F15166" s="5" t="s">
        <v>15</v>
      </c>
      <c r="G15166" s="6" t="str">
        <f>VLOOKUP(E15166,dicionario!$A$1:$C15222,2,0)</f>
        <v>Spermacoce verticillata</v>
      </c>
      <c r="H15166" s="6" t="str">
        <f>VLOOKUP(E15166,dicionario!$A$1:$C15222,3,0)</f>
        <v>vassourinha-de-botão</v>
      </c>
    </row>
    <row r="15167">
      <c r="A15167" s="3">
        <v>45952.0</v>
      </c>
      <c r="B15167" s="4">
        <v>0.2673611111111111</v>
      </c>
      <c r="C15167" s="5" t="s">
        <v>26</v>
      </c>
      <c r="D15167" s="5" t="s">
        <v>1861</v>
      </c>
      <c r="E15167" s="65" t="s">
        <v>302</v>
      </c>
      <c r="F15167" s="5" t="s">
        <v>303</v>
      </c>
      <c r="G15167" s="6" t="str">
        <f>VLOOKUP(E15167,dicionario!$A$1:$C15223,2,0)</f>
        <v>Machetornis rixosa</v>
      </c>
      <c r="H15167" s="6" t="str">
        <f>VLOOKUP(E15167,dicionario!$A$1:$C15223,3,0)</f>
        <v>suiriri-cavaleiro</v>
      </c>
    </row>
    <row r="15168">
      <c r="A15168" s="3">
        <v>45952.0</v>
      </c>
      <c r="B15168" s="4">
        <v>0.2673611111111111</v>
      </c>
      <c r="C15168" s="5" t="s">
        <v>26</v>
      </c>
      <c r="D15168" s="5" t="s">
        <v>1861</v>
      </c>
      <c r="E15168" s="8" t="s">
        <v>41</v>
      </c>
      <c r="F15168" s="5" t="s">
        <v>45</v>
      </c>
      <c r="G15168" s="6" t="str">
        <f>VLOOKUP(E15168,dicionario!$A$1:$C15224,2,0)</f>
        <v>Mimosa pudica</v>
      </c>
      <c r="H15168" s="6" t="str">
        <f>VLOOKUP(E15168,dicionario!$A$1:$C15224,3,0)</f>
        <v>dormideira</v>
      </c>
    </row>
    <row r="15169">
      <c r="A15169" s="3">
        <v>45952.0</v>
      </c>
      <c r="B15169" s="4">
        <v>0.2673611111111111</v>
      </c>
      <c r="C15169" s="5" t="s">
        <v>26</v>
      </c>
      <c r="D15169" s="5" t="s">
        <v>1861</v>
      </c>
      <c r="E15169" s="65" t="s">
        <v>498</v>
      </c>
      <c r="F15169" s="5" t="s">
        <v>499</v>
      </c>
      <c r="G15169" s="6" t="str">
        <f>VLOOKUP(E15169,dicionario!$A$1:$C15225,2,0)</f>
        <v>Brachiaria decumbens</v>
      </c>
      <c r="H15169" s="6" t="str">
        <f>VLOOKUP(E15169,dicionario!$A$1:$C15225,3,0)</f>
        <v>capim-braquiária</v>
      </c>
    </row>
    <row r="15170">
      <c r="A15170" s="3">
        <v>45952.0</v>
      </c>
      <c r="B15170" s="4">
        <v>0.26944444444444443</v>
      </c>
      <c r="C15170" s="5" t="s">
        <v>26</v>
      </c>
      <c r="D15170" s="5" t="s">
        <v>1861</v>
      </c>
      <c r="E15170" s="8" t="s">
        <v>65</v>
      </c>
      <c r="F15170" s="5" t="s">
        <v>66</v>
      </c>
      <c r="G15170" s="6" t="str">
        <f>VLOOKUP(E15170,dicionario!$A$1:$C15226,2,0)</f>
        <v>Pitangus sulphutarus</v>
      </c>
      <c r="H15170" s="6" t="str">
        <f>VLOOKUP(E15170,dicionario!$A$1:$C15226,3,0)</f>
        <v>bem-te-vi</v>
      </c>
    </row>
    <row r="15171">
      <c r="A15171" s="3">
        <v>45952.0</v>
      </c>
      <c r="B15171" s="4">
        <v>0.26944444444444443</v>
      </c>
      <c r="C15171" s="5" t="s">
        <v>26</v>
      </c>
      <c r="D15171" s="5" t="s">
        <v>1861</v>
      </c>
      <c r="E15171" s="65" t="s">
        <v>105</v>
      </c>
      <c r="F15171" s="5" t="s">
        <v>106</v>
      </c>
      <c r="G15171" s="6" t="str">
        <f>VLOOKUP(E15171,dicionario!$A$1:$C15227,2,0)</f>
        <v>Progne tapera</v>
      </c>
      <c r="H15171" s="6" t="str">
        <f>VLOOKUP(E15171,dicionario!$A$1:$C15227,3,0)</f>
        <v>andorinha-do-campo</v>
      </c>
    </row>
    <row r="15172">
      <c r="A15172" s="3">
        <v>45952.0</v>
      </c>
      <c r="B15172" s="4">
        <v>0.26944444444444443</v>
      </c>
      <c r="C15172" s="5" t="s">
        <v>26</v>
      </c>
      <c r="D15172" s="5" t="s">
        <v>1861</v>
      </c>
      <c r="E15172" s="8" t="s">
        <v>353</v>
      </c>
      <c r="F15172" s="5" t="s">
        <v>354</v>
      </c>
      <c r="G15172" s="6" t="str">
        <f>VLOOKUP(E15172,dicionario!$A$1:$C15228,2,0)</f>
        <v>Desmodium incanum</v>
      </c>
      <c r="H15172" s="6" t="str">
        <f>VLOOKUP(E15172,dicionario!$A$1:$C15228,3,0)</f>
        <v>pega-pega</v>
      </c>
    </row>
    <row r="15173">
      <c r="A15173" s="3">
        <v>45952.0</v>
      </c>
      <c r="B15173" s="4">
        <v>0.2708333333333333</v>
      </c>
      <c r="C15173" s="5" t="s">
        <v>26</v>
      </c>
      <c r="D15173" s="5" t="s">
        <v>1861</v>
      </c>
      <c r="E15173" s="8" t="s">
        <v>298</v>
      </c>
      <c r="F15173" s="5"/>
      <c r="G15173" s="6" t="str">
        <f>VLOOKUP(E15173,dicionario!$A$1:$C15229,2,0)</f>
        <v>Alysicarpus vaginalis</v>
      </c>
      <c r="H15173" s="6" t="str">
        <f>VLOOKUP(E15173,dicionario!$A$1:$C15229,3,0)</f>
        <v/>
      </c>
    </row>
    <row r="15174">
      <c r="A15174" s="3">
        <v>45952.0</v>
      </c>
      <c r="B15174" s="4">
        <v>0.2708333333333333</v>
      </c>
      <c r="C15174" s="5" t="s">
        <v>26</v>
      </c>
      <c r="D15174" s="5" t="s">
        <v>1861</v>
      </c>
      <c r="E15174" s="65" t="s">
        <v>676</v>
      </c>
      <c r="F15174" s="5" t="s">
        <v>677</v>
      </c>
      <c r="G15174" s="6" t="str">
        <f>VLOOKUP(E15174,dicionario!$A$1:$C15230,2,0)</f>
        <v>Zornia latifolia</v>
      </c>
      <c r="H15174" s="6" t="str">
        <f>VLOOKUP(E15174,dicionario!$A$1:$C15230,3,0)</f>
        <v>arrozinho-do-campo</v>
      </c>
    </row>
    <row r="15175">
      <c r="A15175" s="3">
        <v>45952.0</v>
      </c>
      <c r="B15175" s="4">
        <v>0.2708333333333333</v>
      </c>
      <c r="C15175" s="5" t="s">
        <v>26</v>
      </c>
      <c r="D15175" s="5" t="s">
        <v>1861</v>
      </c>
      <c r="E15175" s="8" t="s">
        <v>113</v>
      </c>
      <c r="F15175" s="5" t="s">
        <v>114</v>
      </c>
      <c r="G15175" s="6" t="str">
        <f>VLOOKUP(E15175,dicionario!$A$1:$C15231,2,0)</f>
        <v>Columbina talpacoti</v>
      </c>
      <c r="H15175" s="6" t="str">
        <f>VLOOKUP(E15175,dicionario!$A$1:$C15231,3,0)</f>
        <v>rolinha-roxa</v>
      </c>
    </row>
    <row r="15176">
      <c r="A15176" s="3">
        <v>45952.0</v>
      </c>
      <c r="B15176" s="4">
        <v>0.27152777777777776</v>
      </c>
      <c r="C15176" s="5" t="s">
        <v>26</v>
      </c>
      <c r="D15176" s="5" t="s">
        <v>1861</v>
      </c>
      <c r="E15176" s="65" t="s">
        <v>1808</v>
      </c>
      <c r="F15176" s="5" t="s">
        <v>1838</v>
      </c>
      <c r="G15176" s="6" t="str">
        <f>VLOOKUP(E15176,dicionario!$A$1:$C15232,2,0)</f>
        <v>Andropogon virginicus</v>
      </c>
      <c r="H15176" s="6" t="str">
        <f>VLOOKUP(E15176,dicionario!$A$1:$C15232,3,0)</f>
        <v>barba-de-bode; capim-barba-de-bode</v>
      </c>
    </row>
    <row r="15177">
      <c r="A15177" s="3">
        <v>45952.0</v>
      </c>
      <c r="B15177" s="4">
        <v>0.27291666666666664</v>
      </c>
      <c r="C15177" s="5" t="s">
        <v>26</v>
      </c>
      <c r="D15177" s="5" t="s">
        <v>1861</v>
      </c>
      <c r="E15177" s="65" t="s">
        <v>915</v>
      </c>
      <c r="F15177" s="5" t="s">
        <v>1275</v>
      </c>
      <c r="G15177" s="6" t="str">
        <f>VLOOKUP(E15177,dicionario!$A$1:$C15233,2,0)</f>
        <v>Tachycineta albiventer</v>
      </c>
      <c r="H15177" s="6" t="str">
        <f>VLOOKUP(E15177,dicionario!$A$1:$C15233,3,0)</f>
        <v>andorinha-de-rio</v>
      </c>
    </row>
    <row r="15178">
      <c r="A15178" s="3">
        <v>45952.0</v>
      </c>
      <c r="B15178" s="4">
        <v>0.27291666666666664</v>
      </c>
      <c r="C15178" s="5" t="s">
        <v>26</v>
      </c>
      <c r="D15178" s="5" t="s">
        <v>1861</v>
      </c>
      <c r="E15178" s="65" t="s">
        <v>334</v>
      </c>
      <c r="F15178" s="5" t="s">
        <v>335</v>
      </c>
      <c r="G15178" s="6" t="str">
        <f>VLOOKUP(E15178,dicionario!$A$1:$C15234,2,0)</f>
        <v>Eupsittula aurea</v>
      </c>
      <c r="H15178" s="6" t="str">
        <f>VLOOKUP(E15178,dicionario!$A$1:$C15234,3,0)</f>
        <v>periquito-rei</v>
      </c>
    </row>
    <row r="15179">
      <c r="A15179" s="3">
        <v>45952.0</v>
      </c>
      <c r="B15179" s="4">
        <v>0.27291666666666664</v>
      </c>
      <c r="C15179" s="5" t="s">
        <v>26</v>
      </c>
      <c r="D15179" s="5" t="s">
        <v>1861</v>
      </c>
      <c r="E15179" s="8" t="s">
        <v>109</v>
      </c>
      <c r="F15179" s="5" t="s">
        <v>110</v>
      </c>
      <c r="G15179" s="6" t="str">
        <f>VLOOKUP(E15179,dicionario!$A$1:$C15235,2,0)</f>
        <v>Tillandsia stricta</v>
      </c>
      <c r="H15179" s="6" t="str">
        <f>VLOOKUP(E15179,dicionario!$A$1:$C15235,3,0)</f>
        <v>cravo-do-mato</v>
      </c>
    </row>
    <row r="15180">
      <c r="A15180" s="3">
        <v>45952.0</v>
      </c>
      <c r="B15180" s="4">
        <v>0.27291666666666664</v>
      </c>
      <c r="C15180" s="5" t="s">
        <v>26</v>
      </c>
      <c r="D15180" s="5" t="s">
        <v>1861</v>
      </c>
      <c r="E15180" s="8" t="s">
        <v>22</v>
      </c>
      <c r="F15180" s="5" t="s">
        <v>97</v>
      </c>
      <c r="G15180" s="6" t="str">
        <f>VLOOKUP(E15180,dicionario!$A$1:$C15236,2,0)</f>
        <v>Zenaida auriculata</v>
      </c>
      <c r="H15180" s="6" t="str">
        <f>VLOOKUP(E15180,dicionario!$A$1:$C15236,3,0)</f>
        <v>pomba-de-bando; avoante</v>
      </c>
    </row>
    <row r="15181">
      <c r="A15181" s="3">
        <v>45952.0</v>
      </c>
      <c r="B15181" s="4">
        <v>0.27361111111111114</v>
      </c>
      <c r="C15181" s="5" t="s">
        <v>904</v>
      </c>
      <c r="D15181" s="5" t="s">
        <v>1861</v>
      </c>
      <c r="E15181" s="65" t="s">
        <v>122</v>
      </c>
      <c r="F15181" s="5" t="s">
        <v>123</v>
      </c>
      <c r="G15181" s="6" t="str">
        <f>VLOOKUP(E15181,dicionario!$A$1:$C15237,2,0)</f>
        <v>Todirostrum cinereum</v>
      </c>
      <c r="H15181" s="6" t="str">
        <f>VLOOKUP(E15181,dicionario!$A$1:$C15237,3,0)</f>
        <v>ferreirinho-relógio</v>
      </c>
    </row>
    <row r="15182">
      <c r="A15182" s="3">
        <v>45952.0</v>
      </c>
      <c r="B15182" s="4">
        <v>0.27361111111111114</v>
      </c>
      <c r="C15182" s="5" t="s">
        <v>904</v>
      </c>
      <c r="D15182" s="5" t="s">
        <v>1861</v>
      </c>
      <c r="E15182" s="8" t="s">
        <v>113</v>
      </c>
      <c r="F15182" s="5" t="s">
        <v>114</v>
      </c>
      <c r="G15182" s="6" t="str">
        <f>VLOOKUP(E15182,dicionario!$A$1:$C15238,2,0)</f>
        <v>Columbina talpacoti</v>
      </c>
      <c r="H15182" s="6" t="str">
        <f>VLOOKUP(E15182,dicionario!$A$1:$C15238,3,0)</f>
        <v>rolinha-roxa</v>
      </c>
    </row>
    <row r="15183">
      <c r="A15183" s="3">
        <v>45952.0</v>
      </c>
      <c r="B15183" s="4">
        <v>0.27361111111111114</v>
      </c>
      <c r="C15183" s="5" t="s">
        <v>904</v>
      </c>
      <c r="D15183" s="5" t="s">
        <v>1861</v>
      </c>
      <c r="E15183" s="8" t="s">
        <v>22</v>
      </c>
      <c r="F15183" s="5" t="s">
        <v>97</v>
      </c>
      <c r="G15183" s="6" t="str">
        <f>VLOOKUP(E15183,dicionario!$A$1:$C15239,2,0)</f>
        <v>Zenaida auriculata</v>
      </c>
      <c r="H15183" s="6" t="str">
        <f>VLOOKUP(E15183,dicionario!$A$1:$C15239,3,0)</f>
        <v>pomba-de-bando; avoante</v>
      </c>
    </row>
    <row r="15184">
      <c r="A15184" s="3">
        <v>45952.0</v>
      </c>
      <c r="B15184" s="4">
        <v>0.27361111111111114</v>
      </c>
      <c r="C15184" s="5" t="s">
        <v>904</v>
      </c>
      <c r="D15184" s="5" t="s">
        <v>1861</v>
      </c>
      <c r="E15184" s="8" t="s">
        <v>20</v>
      </c>
      <c r="F15184" s="5" t="s">
        <v>21</v>
      </c>
      <c r="G15184" s="6" t="str">
        <f>VLOOKUP(E15184,dicionario!$A$1:$C15240,2,0)</f>
        <v>Sicalis flaveola</v>
      </c>
      <c r="H15184" s="6" t="str">
        <f>VLOOKUP(E15184,dicionario!$A$1:$C15240,3,0)</f>
        <v>canário-da-terra</v>
      </c>
    </row>
    <row r="15185">
      <c r="A15185" s="3">
        <v>45952.0</v>
      </c>
      <c r="B15185" s="4">
        <v>0.27361111111111114</v>
      </c>
      <c r="C15185" s="5" t="s">
        <v>904</v>
      </c>
      <c r="D15185" s="5" t="s">
        <v>1861</v>
      </c>
      <c r="E15185" s="65" t="s">
        <v>1112</v>
      </c>
      <c r="F15185" s="5" t="s">
        <v>1113</v>
      </c>
      <c r="G15185" s="6" t="str">
        <f>VLOOKUP(E15185,dicionario!$A$1:$C15241,2,0)</f>
        <v>Hylophilus thoracicus</v>
      </c>
      <c r="H15185" s="6" t="str">
        <f>VLOOKUP(E15185,dicionario!$A$1:$C15241,3,0)</f>
        <v>vite-vite</v>
      </c>
    </row>
    <row r="15186">
      <c r="A15186" s="3">
        <v>45952.0</v>
      </c>
      <c r="B15186" s="4">
        <v>0.27361111111111114</v>
      </c>
      <c r="C15186" s="5" t="s">
        <v>904</v>
      </c>
      <c r="D15186" s="5" t="s">
        <v>1861</v>
      </c>
      <c r="E15186" s="8" t="s">
        <v>191</v>
      </c>
      <c r="F15186" s="5" t="s">
        <v>1863</v>
      </c>
      <c r="G15186" s="6" t="str">
        <f>VLOOKUP(E15186,dicionario!$A$1:$C15242,2,0)</f>
        <v>Patagioenas picazuro</v>
      </c>
      <c r="H15186" s="6" t="str">
        <f>VLOOKUP(E15186,dicionario!$A$1:$C15242,3,0)</f>
        <v>asa-branca; pomba-asa-branca; pocaçu</v>
      </c>
    </row>
    <row r="15187">
      <c r="A15187" s="3">
        <v>45952.0</v>
      </c>
      <c r="B15187" s="4">
        <v>0.2743055555555556</v>
      </c>
      <c r="C15187" s="5" t="s">
        <v>904</v>
      </c>
      <c r="D15187" s="5" t="s">
        <v>1861</v>
      </c>
      <c r="E15187" s="8" t="s">
        <v>88</v>
      </c>
      <c r="F15187" s="5" t="s">
        <v>89</v>
      </c>
      <c r="G15187" s="6" t="str">
        <f>VLOOKUP(E15187,dicionario!$A$1:$C15243,2,0)</f>
        <v>Tyrannus melancolichus</v>
      </c>
      <c r="H15187" s="6" t="str">
        <f>VLOOKUP(E15187,dicionario!$A$1:$C15243,3,0)</f>
        <v>suiriri</v>
      </c>
    </row>
    <row r="15188">
      <c r="A15188" s="3">
        <v>45952.0</v>
      </c>
      <c r="B15188" s="4">
        <v>0.2743055555555556</v>
      </c>
      <c r="C15188" s="5" t="s">
        <v>904</v>
      </c>
      <c r="D15188" s="5" t="s">
        <v>1861</v>
      </c>
      <c r="E15188" s="8" t="s">
        <v>109</v>
      </c>
      <c r="F15188" s="5" t="s">
        <v>110</v>
      </c>
      <c r="G15188" s="6" t="str">
        <f>VLOOKUP(E15188,dicionario!$A$1:$C15244,2,0)</f>
        <v>Tillandsia stricta</v>
      </c>
      <c r="H15188" s="6" t="str">
        <f>VLOOKUP(E15188,dicionario!$A$1:$C15244,3,0)</f>
        <v>cravo-do-mato</v>
      </c>
    </row>
    <row r="15189">
      <c r="A15189" s="3">
        <v>45952.0</v>
      </c>
      <c r="B15189" s="4">
        <v>0.2743055555555556</v>
      </c>
      <c r="C15189" s="5" t="s">
        <v>904</v>
      </c>
      <c r="D15189" s="5" t="s">
        <v>1861</v>
      </c>
      <c r="E15189" s="8" t="s">
        <v>38</v>
      </c>
      <c r="F15189" s="5" t="s">
        <v>39</v>
      </c>
      <c r="G15189" s="6" t="str">
        <f>VLOOKUP(E15189,dicionario!$A$1:$C15245,2,0)</f>
        <v>Troglodytes musculus</v>
      </c>
      <c r="H15189" s="6" t="str">
        <f>VLOOKUP(E15189,dicionario!$A$1:$C15245,3,0)</f>
        <v>curruíra</v>
      </c>
    </row>
    <row r="15190">
      <c r="A15190" s="3">
        <v>45952.0</v>
      </c>
      <c r="B15190" s="4">
        <v>0.2763888888888889</v>
      </c>
      <c r="C15190" s="5" t="s">
        <v>904</v>
      </c>
      <c r="D15190" s="5" t="s">
        <v>1861</v>
      </c>
      <c r="E15190" s="65" t="s">
        <v>271</v>
      </c>
      <c r="F15190" s="5" t="s">
        <v>272</v>
      </c>
      <c r="G15190" s="6" t="str">
        <f>VLOOKUP(E15190,dicionario!$A$1:$C15246,2,0)</f>
        <v>Cyanthillium cinereum</v>
      </c>
      <c r="H15190" s="6" t="str">
        <f>VLOOKUP(E15190,dicionario!$A$1:$C15246,3,0)</f>
        <v>emília</v>
      </c>
    </row>
    <row r="15191">
      <c r="A15191" s="3">
        <v>45952.0</v>
      </c>
      <c r="B15191" s="4">
        <v>0.2763888888888889</v>
      </c>
      <c r="C15191" s="5" t="s">
        <v>904</v>
      </c>
      <c r="D15191" s="5" t="s">
        <v>1861</v>
      </c>
      <c r="E15191" s="8" t="s">
        <v>298</v>
      </c>
      <c r="F15191" s="5"/>
      <c r="G15191" s="6" t="str">
        <f>VLOOKUP(E15191,dicionario!$A$1:$C15247,2,0)</f>
        <v>Alysicarpus vaginalis</v>
      </c>
      <c r="H15191" s="6" t="str">
        <f>VLOOKUP(E15191,dicionario!$A$1:$C15247,3,0)</f>
        <v/>
      </c>
    </row>
    <row r="15192">
      <c r="A15192" s="3">
        <v>45952.0</v>
      </c>
      <c r="B15192" s="4">
        <v>0.2763888888888889</v>
      </c>
      <c r="C15192" s="5" t="s">
        <v>904</v>
      </c>
      <c r="D15192" s="5" t="s">
        <v>1861</v>
      </c>
      <c r="E15192" s="8" t="s">
        <v>105</v>
      </c>
      <c r="F15192" s="5" t="s">
        <v>106</v>
      </c>
      <c r="G15192" s="6" t="str">
        <f>VLOOKUP(E15192,dicionario!$A$1:$C15248,2,0)</f>
        <v>Progne tapera</v>
      </c>
      <c r="H15192" s="6" t="str">
        <f>VLOOKUP(E15192,dicionario!$A$1:$C15248,3,0)</f>
        <v>andorinha-do-campo</v>
      </c>
    </row>
    <row r="15193">
      <c r="A15193" s="3">
        <v>45952.0</v>
      </c>
      <c r="B15193" s="4">
        <v>0.2763888888888889</v>
      </c>
      <c r="C15193" s="5" t="s">
        <v>904</v>
      </c>
      <c r="D15193" s="5" t="s">
        <v>1861</v>
      </c>
      <c r="E15193" s="65" t="s">
        <v>1087</v>
      </c>
      <c r="F15193" s="5"/>
      <c r="G15193" s="6" t="str">
        <f>VLOOKUP(E15193,dicionario!$A$1:$C15249,2,0)</f>
        <v>Desmodium triflorum</v>
      </c>
      <c r="H15193" s="6" t="str">
        <f>VLOOKUP(E15193,dicionario!$A$1:$C15249,3,0)</f>
        <v/>
      </c>
    </row>
    <row r="15194">
      <c r="A15194" s="3">
        <v>45952.0</v>
      </c>
      <c r="B15194" s="4">
        <v>0.27708333333333335</v>
      </c>
      <c r="C15194" s="5" t="s">
        <v>904</v>
      </c>
      <c r="D15194" s="5" t="s">
        <v>1861</v>
      </c>
      <c r="E15194" s="65" t="s">
        <v>288</v>
      </c>
      <c r="F15194" s="5" t="s">
        <v>289</v>
      </c>
      <c r="G15194" s="6" t="str">
        <f>VLOOKUP(E15194,dicionario!$A$1:$C15250,2,0)</f>
        <v>Phyllanthus tenellus</v>
      </c>
      <c r="H15194" s="6" t="str">
        <f>VLOOKUP(E15194,dicionario!$A$1:$C15250,3,0)</f>
        <v>quebra-pedra</v>
      </c>
    </row>
    <row r="15195">
      <c r="A15195" s="3">
        <v>45952.0</v>
      </c>
      <c r="B15195" s="4">
        <v>0.27708333333333335</v>
      </c>
      <c r="C15195" s="5" t="s">
        <v>904</v>
      </c>
      <c r="D15195" s="5" t="s">
        <v>1861</v>
      </c>
      <c r="E15195" s="65" t="s">
        <v>471</v>
      </c>
      <c r="F15195" s="5" t="s">
        <v>472</v>
      </c>
      <c r="G15195" s="6" t="str">
        <f>VLOOKUP(E15195,dicionario!$A$1:$C15251,2,0)</f>
        <v>Sida acuta</v>
      </c>
      <c r="H15195" s="6" t="str">
        <f>VLOOKUP(E15195,dicionario!$A$1:$C15251,3,0)</f>
        <v>reloginho</v>
      </c>
    </row>
    <row r="15196">
      <c r="A15196" s="3">
        <v>45952.0</v>
      </c>
      <c r="B15196" s="4">
        <v>0.27708333333333335</v>
      </c>
      <c r="C15196" s="5" t="s">
        <v>904</v>
      </c>
      <c r="D15196" s="5" t="s">
        <v>1861</v>
      </c>
      <c r="E15196" s="8" t="s">
        <v>53</v>
      </c>
      <c r="F15196" s="5" t="s">
        <v>54</v>
      </c>
      <c r="G15196" s="6" t="str">
        <f>VLOOKUP(E15196,dicionario!$A$1:$C15252,2,0)</f>
        <v>Turnera subulata</v>
      </c>
      <c r="H15196" s="6" t="str">
        <f>VLOOKUP(E15196,dicionario!$A$1:$C15252,3,0)</f>
        <v>xanana</v>
      </c>
    </row>
    <row r="15197">
      <c r="A15197" s="3">
        <v>45952.0</v>
      </c>
      <c r="B15197" s="4">
        <v>0.27708333333333335</v>
      </c>
      <c r="C15197" s="5" t="s">
        <v>904</v>
      </c>
      <c r="D15197" s="5" t="s">
        <v>1861</v>
      </c>
      <c r="E15197" s="83" t="s">
        <v>517</v>
      </c>
      <c r="F15197" s="5"/>
      <c r="G15197" s="6" t="str">
        <f>VLOOKUP(E15197,dicionario!$A$1:$C15253,2,0)</f>
        <v>Evolvulus nummularius</v>
      </c>
      <c r="H15197" s="6" t="str">
        <f>VLOOKUP(E15197,dicionario!$A$1:$C15253,3,0)</f>
        <v/>
      </c>
    </row>
    <row r="15198">
      <c r="A15198" s="3">
        <v>45952.0</v>
      </c>
      <c r="B15198" s="4">
        <v>0.27708333333333335</v>
      </c>
      <c r="C15198" s="5" t="s">
        <v>904</v>
      </c>
      <c r="D15198" s="5" t="s">
        <v>1861</v>
      </c>
      <c r="E15198" s="8" t="s">
        <v>375</v>
      </c>
      <c r="F15198" s="5"/>
      <c r="G15198" s="6" t="str">
        <f>VLOOKUP(E15198,dicionario!$A$1:$C15254,2,0)</f>
        <v>Neoponera foetida</v>
      </c>
      <c r="H15198" s="6" t="str">
        <f>VLOOKUP(E15198,dicionario!$A$1:$C15254,3,0)</f>
        <v/>
      </c>
    </row>
    <row r="15199">
      <c r="A15199" s="3">
        <v>45952.0</v>
      </c>
      <c r="B15199" s="4">
        <v>0.27708333333333335</v>
      </c>
      <c r="C15199" s="5" t="s">
        <v>904</v>
      </c>
      <c r="D15199" s="5" t="s">
        <v>1861</v>
      </c>
      <c r="E15199" s="65" t="s">
        <v>86</v>
      </c>
      <c r="F15199" s="5" t="s">
        <v>502</v>
      </c>
      <c r="G15199" s="6" t="str">
        <f>VLOOKUP(E15199,dicionario!$A$1:$C15255,2,0)</f>
        <v>Coereba flaveola</v>
      </c>
      <c r="H15199" s="6" t="str">
        <f>VLOOKUP(E15199,dicionario!$A$1:$C15255,3,0)</f>
        <v>cambacica</v>
      </c>
    </row>
    <row r="15200">
      <c r="A15200" s="3">
        <v>45952.0</v>
      </c>
      <c r="B15200" s="4">
        <v>0.2777777777777778</v>
      </c>
      <c r="C15200" s="5" t="s">
        <v>904</v>
      </c>
      <c r="D15200" s="5" t="s">
        <v>1861</v>
      </c>
      <c r="E15200" s="65" t="s">
        <v>467</v>
      </c>
      <c r="F15200" s="5" t="s">
        <v>468</v>
      </c>
      <c r="G15200" s="6" t="str">
        <f>VLOOKUP(E15200,dicionario!$A$1:$C15256,2,0)</f>
        <v>Eleusine indica</v>
      </c>
      <c r="H15200" s="6" t="str">
        <f>VLOOKUP(E15200,dicionario!$A$1:$C15256,3,0)</f>
        <v>capim-pé-de-galinha</v>
      </c>
    </row>
    <row r="15201">
      <c r="A15201" s="3">
        <v>45952.0</v>
      </c>
      <c r="B15201" s="4">
        <v>0.2777777777777778</v>
      </c>
      <c r="C15201" s="5" t="s">
        <v>904</v>
      </c>
      <c r="D15201" s="5" t="s">
        <v>1861</v>
      </c>
      <c r="E15201" s="65" t="s">
        <v>1806</v>
      </c>
      <c r="F15201" s="5" t="s">
        <v>1807</v>
      </c>
      <c r="G15201" s="6" t="str">
        <f>VLOOKUP(E15201,dicionario!$A$1:$C15257,2,0)</f>
        <v>Streptoprocne zonaris</v>
      </c>
      <c r="H15201" s="6" t="str">
        <f>VLOOKUP(E15201,dicionario!$A$1:$C15257,3,0)</f>
        <v>taperuçu-de-coleira-branca</v>
      </c>
    </row>
    <row r="15202">
      <c r="A15202" s="3">
        <v>45952.0</v>
      </c>
      <c r="B15202" s="4">
        <v>0.2791666666666667</v>
      </c>
      <c r="C15202" s="5" t="s">
        <v>904</v>
      </c>
      <c r="D15202" s="5" t="s">
        <v>1861</v>
      </c>
      <c r="E15202" s="8" t="s">
        <v>223</v>
      </c>
      <c r="F15202" s="5" t="s">
        <v>224</v>
      </c>
      <c r="G15202" s="6" t="str">
        <f>VLOOKUP(E15202,dicionario!$A$1:$C15258,2,0)</f>
        <v>Rhipsalis lindbergiana</v>
      </c>
      <c r="H15202" s="6" t="str">
        <f>VLOOKUP(E15202,dicionario!$A$1:$C15258,3,0)</f>
        <v>cacto-macarrão</v>
      </c>
    </row>
    <row r="15203">
      <c r="A15203" s="3">
        <v>45952.0</v>
      </c>
      <c r="B15203" s="4">
        <v>0.28125</v>
      </c>
      <c r="C15203" s="5" t="s">
        <v>904</v>
      </c>
      <c r="D15203" s="5" t="s">
        <v>1861</v>
      </c>
      <c r="E15203" s="65" t="s">
        <v>14</v>
      </c>
      <c r="F15203" s="5" t="s">
        <v>15</v>
      </c>
      <c r="G15203" s="6" t="str">
        <f>VLOOKUP(E15203,dicionario!$A$1:$C15259,2,0)</f>
        <v>Spermacoce verticillata</v>
      </c>
      <c r="H15203" s="6" t="str">
        <f>VLOOKUP(E15203,dicionario!$A$1:$C15259,3,0)</f>
        <v>vassourinha-de-botão</v>
      </c>
    </row>
    <row r="15204">
      <c r="A15204" s="3">
        <v>45952.0</v>
      </c>
      <c r="B15204" s="4">
        <v>0.28125</v>
      </c>
      <c r="C15204" s="5" t="s">
        <v>904</v>
      </c>
      <c r="D15204" s="5" t="s">
        <v>1861</v>
      </c>
      <c r="E15204" s="8" t="s">
        <v>135</v>
      </c>
      <c r="F15204" s="5" t="s">
        <v>136</v>
      </c>
      <c r="G15204" s="6" t="str">
        <f>VLOOKUP(E15204,dicionario!$A$1:$C15260,2,0)</f>
        <v>Tridax procumbens</v>
      </c>
      <c r="H15204" s="6" t="str">
        <f>VLOOKUP(E15204,dicionario!$A$1:$C15260,3,0)</f>
        <v>erva-de-touro</v>
      </c>
    </row>
    <row r="15205">
      <c r="A15205" s="3">
        <v>45952.0</v>
      </c>
      <c r="B15205" s="4">
        <v>0.28194444444444444</v>
      </c>
      <c r="C15205" s="5" t="s">
        <v>904</v>
      </c>
      <c r="D15205" s="5" t="s">
        <v>1861</v>
      </c>
      <c r="E15205" s="8" t="s">
        <v>227</v>
      </c>
      <c r="F15205" s="5" t="s">
        <v>228</v>
      </c>
      <c r="G15205" s="6" t="str">
        <f>VLOOKUP(E15205,dicionario!$A$1:$C15261,2,0)</f>
        <v>Indigofera hirsuta</v>
      </c>
      <c r="H15205" s="6" t="str">
        <f>VLOOKUP(E15205,dicionario!$A$1:$C15261,3,0)</f>
        <v>anileira</v>
      </c>
    </row>
    <row r="15206">
      <c r="A15206" s="3">
        <v>45952.0</v>
      </c>
      <c r="B15206" s="4">
        <v>0.28194444444444444</v>
      </c>
      <c r="C15206" s="5" t="s">
        <v>904</v>
      </c>
      <c r="D15206" s="5" t="s">
        <v>1861</v>
      </c>
      <c r="E15206" s="65" t="s">
        <v>239</v>
      </c>
      <c r="F15206" s="5" t="s">
        <v>240</v>
      </c>
      <c r="G15206" s="6" t="str">
        <f>VLOOKUP(E15206,dicionario!$A$1:$C15262,2,0)</f>
        <v>Gomphrena celosioides</v>
      </c>
      <c r="H15206" s="6" t="str">
        <f>VLOOKUP(E15206,dicionario!$A$1:$C15262,3,0)</f>
        <v>perpétua-branca</v>
      </c>
    </row>
    <row r="15207">
      <c r="A15207" s="3">
        <v>45952.0</v>
      </c>
      <c r="B15207" s="4">
        <v>0.28194444444444444</v>
      </c>
      <c r="C15207" s="5" t="s">
        <v>904</v>
      </c>
      <c r="D15207" s="5" t="s">
        <v>1861</v>
      </c>
      <c r="E15207" s="65" t="s">
        <v>251</v>
      </c>
      <c r="F15207" s="5" t="s">
        <v>252</v>
      </c>
      <c r="G15207" s="6" t="str">
        <f>VLOOKUP(E15207,dicionario!$A$1:$C15263,2,0)</f>
        <v>Struthanthus flexicaulis</v>
      </c>
      <c r="H15207" s="6" t="str">
        <f>VLOOKUP(E15207,dicionario!$A$1:$C15263,3,0)</f>
        <v>erva-de-passarinho</v>
      </c>
    </row>
    <row r="15208">
      <c r="A15208" s="3">
        <v>45952.0</v>
      </c>
      <c r="B15208" s="4">
        <v>0.2826388888888889</v>
      </c>
      <c r="C15208" s="5" t="s">
        <v>926</v>
      </c>
      <c r="D15208" s="5" t="s">
        <v>1861</v>
      </c>
      <c r="E15208" s="6"/>
      <c r="F15208" s="5"/>
      <c r="G15208" s="6" t="str">
        <f>VLOOKUP(E15208,dicionario!$A$1:$C15264,2,0)</f>
        <v>#N/A</v>
      </c>
      <c r="H15208" s="6" t="str">
        <f>VLOOKUP(E15208,dicionario!$A$1:$C15264,3,0)</f>
        <v>#N/A</v>
      </c>
    </row>
    <row r="15209">
      <c r="A15209" s="3">
        <v>45952.0</v>
      </c>
      <c r="B15209" s="4"/>
      <c r="C15209" s="5"/>
      <c r="D15209" s="5" t="s">
        <v>1861</v>
      </c>
      <c r="E15209" s="6"/>
      <c r="F15209" s="5"/>
      <c r="G15209" s="6" t="str">
        <f>VLOOKUP(E15209,dicionario!$A$1:$C15265,2,0)</f>
        <v>#N/A</v>
      </c>
      <c r="H15209" s="6" t="str">
        <f>VLOOKUP(E15209,dicionario!$A$1:$C15265,3,0)</f>
        <v>#N/A</v>
      </c>
    </row>
    <row r="15210">
      <c r="A15210" s="3">
        <v>45952.0</v>
      </c>
      <c r="B15210" s="4"/>
      <c r="C15210" s="5"/>
      <c r="D15210" s="5" t="s">
        <v>1861</v>
      </c>
      <c r="E15210" s="6"/>
      <c r="F15210" s="5"/>
      <c r="G15210" s="6" t="str">
        <f>VLOOKUP(E15210,dicionario!$A$1:$C15266,2,0)</f>
        <v>#N/A</v>
      </c>
      <c r="H15210" s="6" t="str">
        <f>VLOOKUP(E15210,dicionario!$A$1:$C15266,3,0)</f>
        <v>#N/A</v>
      </c>
    </row>
    <row r="15211">
      <c r="A15211" s="3">
        <v>45952.0</v>
      </c>
      <c r="B15211" s="4"/>
      <c r="C15211" s="5"/>
      <c r="D15211" s="5" t="s">
        <v>1861</v>
      </c>
      <c r="E15211" s="6"/>
      <c r="F15211" s="5"/>
      <c r="G15211" s="6" t="str">
        <f>VLOOKUP(E15211,dicionario!$A$1:$C15267,2,0)</f>
        <v>#N/A</v>
      </c>
      <c r="H15211" s="6" t="str">
        <f>VLOOKUP(E15211,dicionario!$A$1:$C15267,3,0)</f>
        <v>#N/A</v>
      </c>
    </row>
    <row r="15212">
      <c r="A15212" s="3">
        <v>45952.0</v>
      </c>
      <c r="B15212" s="4"/>
      <c r="C15212" s="5"/>
      <c r="D15212" s="5" t="s">
        <v>1861</v>
      </c>
      <c r="E15212" s="6"/>
      <c r="F15212" s="5"/>
      <c r="G15212" s="6" t="str">
        <f>VLOOKUP(E15212,dicionario!$A$1:$C15268,2,0)</f>
        <v>#N/A</v>
      </c>
      <c r="H15212" s="6" t="str">
        <f>VLOOKUP(E15212,dicionario!$A$1:$C15268,3,0)</f>
        <v>#N/A</v>
      </c>
    </row>
    <row r="15213">
      <c r="A15213" s="3">
        <v>45952.0</v>
      </c>
      <c r="B15213" s="4"/>
      <c r="C15213" s="5"/>
      <c r="D15213" s="5" t="s">
        <v>1861</v>
      </c>
      <c r="E15213" s="6"/>
      <c r="F15213" s="5"/>
      <c r="G15213" s="6" t="str">
        <f>VLOOKUP(E15213,dicionario!$A$1:$C15269,2,0)</f>
        <v>#N/A</v>
      </c>
      <c r="H15213" s="6" t="str">
        <f>VLOOKUP(E15213,dicionario!$A$1:$C15269,3,0)</f>
        <v>#N/A</v>
      </c>
    </row>
    <row r="15214">
      <c r="A15214" s="3">
        <v>45952.0</v>
      </c>
      <c r="B15214" s="4"/>
      <c r="C15214" s="5"/>
      <c r="D15214" s="5" t="s">
        <v>1861</v>
      </c>
      <c r="E15214" s="6"/>
      <c r="F15214" s="5"/>
      <c r="G15214" s="6" t="str">
        <f>VLOOKUP(E15214,dicionario!$A$1:$C15270,2,0)</f>
        <v>#N/A</v>
      </c>
      <c r="H15214" s="6" t="str">
        <f>VLOOKUP(E15214,dicionario!$A$1:$C15270,3,0)</f>
        <v>#N/A</v>
      </c>
    </row>
    <row r="15215">
      <c r="A15215" s="3">
        <v>45952.0</v>
      </c>
      <c r="B15215" s="4"/>
      <c r="C15215" s="5"/>
      <c r="D15215" s="5" t="s">
        <v>1861</v>
      </c>
      <c r="E15215" s="6"/>
      <c r="F15215" s="5"/>
      <c r="G15215" s="6" t="str">
        <f>VLOOKUP(E15215,dicionario!$A$1:$C15271,2,0)</f>
        <v>#N/A</v>
      </c>
      <c r="H15215" s="6" t="str">
        <f>VLOOKUP(E15215,dicionario!$A$1:$C15271,3,0)</f>
        <v>#N/A</v>
      </c>
    </row>
    <row r="15216">
      <c r="A15216" s="3">
        <v>45952.0</v>
      </c>
      <c r="B15216" s="4"/>
      <c r="C15216" s="5"/>
      <c r="D15216" s="5" t="s">
        <v>1861</v>
      </c>
      <c r="E15216" s="6"/>
      <c r="F15216" s="5"/>
      <c r="G15216" s="6" t="str">
        <f>VLOOKUP(E15216,dicionario!$A$1:$C15272,2,0)</f>
        <v>#N/A</v>
      </c>
      <c r="H15216" s="6" t="str">
        <f>VLOOKUP(E15216,dicionario!$A$1:$C15272,3,0)</f>
        <v>#N/A</v>
      </c>
    </row>
    <row r="15217">
      <c r="A15217" s="3"/>
      <c r="B15217" s="4"/>
      <c r="C15217" s="5"/>
      <c r="D15217" s="5"/>
      <c r="E15217" s="6"/>
      <c r="F15217" s="5"/>
      <c r="G15217" s="6" t="str">
        <f>VLOOKUP(E15217,dicionario!$A$1:$C15273,2,0)</f>
        <v>#N/A</v>
      </c>
      <c r="H15217" s="6" t="str">
        <f>VLOOKUP(E15217,dicionario!$A$1:$C15273,3,0)</f>
        <v>#N/A</v>
      </c>
    </row>
    <row r="15218">
      <c r="A15218" s="3"/>
      <c r="B15218" s="4"/>
      <c r="C15218" s="5"/>
      <c r="D15218" s="5"/>
      <c r="E15218" s="6"/>
      <c r="F15218" s="5"/>
      <c r="G15218" s="6" t="str">
        <f>VLOOKUP(E15218,dicionario!$A$1:$C15274,2,0)</f>
        <v>#N/A</v>
      </c>
      <c r="H15218" s="6" t="str">
        <f>VLOOKUP(E15218,dicionario!$A$1:$C15274,3,0)</f>
        <v>#N/A</v>
      </c>
    </row>
    <row r="15219">
      <c r="A15219" s="3"/>
      <c r="B15219" s="4"/>
      <c r="C15219" s="5"/>
      <c r="D15219" s="5"/>
      <c r="E15219" s="6"/>
      <c r="F15219" s="5"/>
      <c r="G15219" s="6" t="str">
        <f>VLOOKUP(E15219,dicionario!$A$1:$C15275,2,0)</f>
        <v>#N/A</v>
      </c>
      <c r="H15219" s="6" t="str">
        <f>VLOOKUP(E15219,dicionario!$A$1:$C15275,3,0)</f>
        <v>#N/A</v>
      </c>
    </row>
    <row r="15220">
      <c r="A15220" s="3"/>
      <c r="B15220" s="4"/>
      <c r="C15220" s="5"/>
      <c r="D15220" s="5"/>
      <c r="E15220" s="6"/>
      <c r="F15220" s="5"/>
      <c r="G15220" s="6" t="str">
        <f>VLOOKUP(E15220,dicionario!$A$1:$C15276,2,0)</f>
        <v>#N/A</v>
      </c>
      <c r="H15220" s="6" t="str">
        <f>VLOOKUP(E15220,dicionario!$A$1:$C15276,3,0)</f>
        <v>#N/A</v>
      </c>
    </row>
    <row r="15221">
      <c r="A15221" s="3"/>
      <c r="B15221" s="4"/>
      <c r="C15221" s="5"/>
      <c r="D15221" s="5"/>
      <c r="E15221" s="6"/>
      <c r="F15221" s="5"/>
      <c r="G15221" s="6" t="str">
        <f>VLOOKUP(E15221,dicionario!$A$1:$C15277,2,0)</f>
        <v>#N/A</v>
      </c>
      <c r="H15221" s="6" t="str">
        <f>VLOOKUP(E15221,dicionario!$A$1:$C15277,3,0)</f>
        <v>#N/A</v>
      </c>
    </row>
    <row r="15222">
      <c r="A15222" s="3"/>
      <c r="B15222" s="4"/>
      <c r="C15222" s="5"/>
      <c r="D15222" s="5"/>
      <c r="E15222" s="6"/>
      <c r="F15222" s="5"/>
      <c r="G15222" s="6" t="str">
        <f>VLOOKUP(E15222,dicionario!$A$1:$C15278,2,0)</f>
        <v>#N/A</v>
      </c>
      <c r="H15222" s="6" t="str">
        <f>VLOOKUP(E15222,dicionario!$A$1:$C15278,3,0)</f>
        <v>#N/A</v>
      </c>
    </row>
    <row r="15223">
      <c r="A15223" s="3"/>
      <c r="B15223" s="4"/>
      <c r="C15223" s="5"/>
      <c r="D15223" s="5"/>
      <c r="E15223" s="6"/>
      <c r="F15223" s="5"/>
      <c r="G15223" s="6" t="str">
        <f>VLOOKUP(E15223,dicionario!$A$1:$C15279,2,0)</f>
        <v>#N/A</v>
      </c>
      <c r="H15223" s="6" t="str">
        <f>VLOOKUP(E15223,dicionario!$A$1:$C15279,3,0)</f>
        <v>#N/A</v>
      </c>
    </row>
    <row r="15224">
      <c r="A15224" s="3"/>
      <c r="B15224" s="4"/>
      <c r="C15224" s="5"/>
      <c r="D15224" s="5"/>
      <c r="E15224" s="6"/>
      <c r="F15224" s="5"/>
      <c r="G15224" s="6" t="str">
        <f>VLOOKUP(E15224,dicionario!$A$1:$C15280,2,0)</f>
        <v>#N/A</v>
      </c>
      <c r="H15224" s="6" t="str">
        <f>VLOOKUP(E15224,dicionario!$A$1:$C15280,3,0)</f>
        <v>#N/A</v>
      </c>
    </row>
    <row r="15225">
      <c r="A15225" s="3"/>
      <c r="B15225" s="4"/>
      <c r="C15225" s="5"/>
      <c r="D15225" s="5"/>
      <c r="E15225" s="6"/>
      <c r="F15225" s="5"/>
      <c r="G15225" s="6" t="str">
        <f>VLOOKUP(E15225,dicionario!$A$1:$C15281,2,0)</f>
        <v>#N/A</v>
      </c>
      <c r="H15225" s="6" t="str">
        <f>VLOOKUP(E15225,dicionario!$A$1:$C15281,3,0)</f>
        <v>#N/A</v>
      </c>
    </row>
    <row r="15226">
      <c r="A15226" s="3"/>
      <c r="B15226" s="4"/>
      <c r="C15226" s="5"/>
      <c r="D15226" s="5"/>
      <c r="E15226" s="6"/>
      <c r="F15226" s="5"/>
      <c r="G15226" s="6" t="str">
        <f>VLOOKUP(E15226,dicionario!$A$1:$C15282,2,0)</f>
        <v>#N/A</v>
      </c>
      <c r="H15226" s="6" t="str">
        <f>VLOOKUP(E15226,dicionario!$A$1:$C15282,3,0)</f>
        <v>#N/A</v>
      </c>
    </row>
    <row r="15227">
      <c r="A15227" s="3"/>
      <c r="B15227" s="4"/>
      <c r="C15227" s="5"/>
      <c r="D15227" s="5"/>
      <c r="E15227" s="6"/>
      <c r="F15227" s="5"/>
      <c r="G15227" s="6" t="str">
        <f>VLOOKUP(E15227,dicionario!$A$1:$C15283,2,0)</f>
        <v>#N/A</v>
      </c>
      <c r="H15227" s="6" t="str">
        <f>VLOOKUP(E15227,dicionario!$A$1:$C15283,3,0)</f>
        <v>#N/A</v>
      </c>
    </row>
    <row r="15228">
      <c r="A15228" s="3"/>
      <c r="B15228" s="4"/>
      <c r="C15228" s="5"/>
      <c r="D15228" s="5"/>
      <c r="E15228" s="6"/>
      <c r="F15228" s="5"/>
      <c r="G15228" s="6" t="str">
        <f>VLOOKUP(E15228,dicionario!$A$1:$C15284,2,0)</f>
        <v>#N/A</v>
      </c>
      <c r="H15228" s="6" t="str">
        <f>VLOOKUP(E15228,dicionario!$A$1:$C15284,3,0)</f>
        <v>#N/A</v>
      </c>
    </row>
    <row r="15229">
      <c r="A15229" s="3"/>
      <c r="B15229" s="4"/>
      <c r="C15229" s="5"/>
      <c r="D15229" s="5"/>
      <c r="E15229" s="6"/>
      <c r="F15229" s="5"/>
      <c r="G15229" s="6" t="str">
        <f>VLOOKUP(E15229,dicionario!$A$1:$C15285,2,0)</f>
        <v>#N/A</v>
      </c>
      <c r="H15229" s="6" t="str">
        <f>VLOOKUP(E15229,dicionario!$A$1:$C15285,3,0)</f>
        <v>#N/A</v>
      </c>
    </row>
    <row r="15230">
      <c r="A15230" s="3"/>
      <c r="B15230" s="4"/>
      <c r="C15230" s="5"/>
      <c r="D15230" s="5"/>
      <c r="E15230" s="6"/>
      <c r="F15230" s="5"/>
      <c r="G15230" s="6" t="str">
        <f>VLOOKUP(E15230,dicionario!$A$1:$C15286,2,0)</f>
        <v>#N/A</v>
      </c>
      <c r="H15230" s="6" t="str">
        <f>VLOOKUP(E15230,dicionario!$A$1:$C15286,3,0)</f>
        <v>#N/A</v>
      </c>
    </row>
    <row r="15231">
      <c r="A15231" s="3"/>
      <c r="B15231" s="4"/>
      <c r="C15231" s="5"/>
      <c r="D15231" s="5"/>
      <c r="E15231" s="6"/>
      <c r="F15231" s="5"/>
      <c r="G15231" s="6" t="str">
        <f>VLOOKUP(E15231,dicionario!$A$1:$C15287,2,0)</f>
        <v>#N/A</v>
      </c>
      <c r="H15231" s="6" t="str">
        <f>VLOOKUP(E15231,dicionario!$A$1:$C15287,3,0)</f>
        <v>#N/A</v>
      </c>
    </row>
    <row r="15232">
      <c r="A15232" s="3"/>
      <c r="B15232" s="4"/>
      <c r="C15232" s="5"/>
      <c r="D15232" s="5"/>
      <c r="E15232" s="6"/>
      <c r="F15232" s="5"/>
      <c r="G15232" s="6" t="str">
        <f>VLOOKUP(E15232,dicionario!$A$1:$C15288,2,0)</f>
        <v>#N/A</v>
      </c>
      <c r="H15232" s="6" t="str">
        <f>VLOOKUP(E15232,dicionario!$A$1:$C15288,3,0)</f>
        <v>#N/A</v>
      </c>
    </row>
    <row r="15233">
      <c r="A15233" s="3"/>
      <c r="B15233" s="4"/>
      <c r="C15233" s="5"/>
      <c r="D15233" s="5"/>
      <c r="E15233" s="6"/>
      <c r="F15233" s="5"/>
      <c r="G15233" s="6" t="str">
        <f>VLOOKUP(E15233,dicionario!$A$1:$C15289,2,0)</f>
        <v>#N/A</v>
      </c>
      <c r="H15233" s="6" t="str">
        <f>VLOOKUP(E15233,dicionario!$A$1:$C15289,3,0)</f>
        <v>#N/A</v>
      </c>
    </row>
    <row r="15234">
      <c r="A15234" s="3"/>
      <c r="B15234" s="4"/>
      <c r="C15234" s="5"/>
      <c r="D15234" s="5"/>
      <c r="E15234" s="6"/>
      <c r="F15234" s="5"/>
      <c r="G15234" s="6" t="str">
        <f>VLOOKUP(E15234,dicionario!$A$1:$C15290,2,0)</f>
        <v>#N/A</v>
      </c>
      <c r="H15234" s="6" t="str">
        <f>VLOOKUP(E15234,dicionario!$A$1:$C15290,3,0)</f>
        <v>#N/A</v>
      </c>
    </row>
    <row r="15235">
      <c r="A15235" s="3"/>
      <c r="B15235" s="4"/>
      <c r="C15235" s="5"/>
      <c r="D15235" s="5"/>
      <c r="E15235" s="6"/>
      <c r="F15235" s="5"/>
      <c r="G15235" s="6" t="str">
        <f>VLOOKUP(E15235,dicionario!$A$1:$C15291,2,0)</f>
        <v>#N/A</v>
      </c>
      <c r="H15235" s="6" t="str">
        <f>VLOOKUP(E15235,dicionario!$A$1:$C15291,3,0)</f>
        <v>#N/A</v>
      </c>
    </row>
    <row r="15236">
      <c r="A15236" s="3"/>
      <c r="B15236" s="4"/>
      <c r="C15236" s="5"/>
      <c r="D15236" s="5"/>
      <c r="E15236" s="6"/>
      <c r="F15236" s="5"/>
      <c r="G15236" s="6" t="str">
        <f>VLOOKUP(E15236,dicionario!$A$1:$C15292,2,0)</f>
        <v>#N/A</v>
      </c>
      <c r="H15236" s="6" t="str">
        <f>VLOOKUP(E15236,dicionario!$A$1:$C15292,3,0)</f>
        <v>#N/A</v>
      </c>
    </row>
    <row r="15237">
      <c r="A15237" s="3"/>
      <c r="B15237" s="4"/>
      <c r="C15237" s="5"/>
      <c r="D15237" s="5"/>
      <c r="E15237" s="6"/>
      <c r="F15237" s="5"/>
      <c r="G15237" s="6" t="str">
        <f>VLOOKUP(E15237,dicionario!$A$1:$C15293,2,0)</f>
        <v>#N/A</v>
      </c>
      <c r="H15237" s="6" t="str">
        <f>VLOOKUP(E15237,dicionario!$A$1:$C15293,3,0)</f>
        <v>#N/A</v>
      </c>
    </row>
    <row r="15238">
      <c r="A15238" s="3"/>
      <c r="B15238" s="4"/>
      <c r="C15238" s="5"/>
      <c r="D15238" s="5"/>
      <c r="E15238" s="6"/>
      <c r="F15238" s="5"/>
      <c r="G15238" s="6" t="str">
        <f>VLOOKUP(E15238,dicionario!$A$1:$C15294,2,0)</f>
        <v>#N/A</v>
      </c>
      <c r="H15238" s="6" t="str">
        <f>VLOOKUP(E15238,dicionario!$A$1:$C15294,3,0)</f>
        <v>#N/A</v>
      </c>
    </row>
    <row r="15239">
      <c r="A15239" s="3"/>
      <c r="B15239" s="4"/>
      <c r="C15239" s="5"/>
      <c r="D15239" s="5"/>
      <c r="E15239" s="6"/>
      <c r="F15239" s="5"/>
    </row>
    <row r="15240">
      <c r="A15240" s="3"/>
      <c r="B15240" s="4"/>
      <c r="C15240" s="5"/>
      <c r="D15240" s="5"/>
      <c r="E15240" s="6"/>
      <c r="F15240" s="5"/>
    </row>
    <row r="15241">
      <c r="A15241" s="3"/>
      <c r="B15241" s="4"/>
      <c r="C15241" s="5"/>
      <c r="D15241" s="5"/>
      <c r="E15241" s="6"/>
      <c r="F15241" s="5"/>
    </row>
    <row r="15242">
      <c r="A15242" s="3"/>
      <c r="B15242" s="4"/>
      <c r="C15242" s="5"/>
      <c r="D15242" s="5"/>
      <c r="E15242" s="6"/>
      <c r="F15242" s="5"/>
    </row>
    <row r="15243">
      <c r="A15243" s="3"/>
      <c r="B15243" s="4"/>
      <c r="C15243" s="5"/>
      <c r="D15243" s="5"/>
      <c r="E15243" s="6"/>
      <c r="F15243" s="5"/>
    </row>
    <row r="15244">
      <c r="A15244" s="3"/>
      <c r="B15244" s="4"/>
      <c r="C15244" s="5"/>
      <c r="D15244" s="5"/>
      <c r="E15244" s="6"/>
      <c r="F15244" s="5"/>
    </row>
    <row r="15245">
      <c r="A15245" s="3"/>
      <c r="B15245" s="4"/>
      <c r="C15245" s="5"/>
      <c r="D15245" s="5"/>
      <c r="E15245" s="6"/>
      <c r="F15245" s="5"/>
    </row>
    <row r="15246">
      <c r="A15246" s="3"/>
      <c r="B15246" s="4"/>
      <c r="C15246" s="5"/>
      <c r="D15246" s="5"/>
      <c r="E15246" s="6"/>
      <c r="F15246" s="5"/>
    </row>
    <row r="15247">
      <c r="A15247" s="3"/>
      <c r="B15247" s="4"/>
      <c r="C15247" s="5"/>
      <c r="D15247" s="5"/>
      <c r="E15247" s="6"/>
      <c r="F15247" s="5"/>
    </row>
  </sheetData>
  <autoFilter ref="$A$1:$H$14780"/>
  <conditionalFormatting sqref="A2956">
    <cfRule type="notContainsBlanks" dxfId="0" priority="1">
      <formula>LEN(TRIM(A2956))&gt;0</formula>
    </cfRule>
  </conditionalFormatting>
  <conditionalFormatting sqref="E1:E8718 E8720:E9552 E9554:E10719 E10721:E11479 F10820 F10919 E11481:E11644 E11646:E11992 E11994:E12078 E12080:E12284 E12287:E12391 E12393:E12550 E12552:E12925 E12927:E13338 F13039 E13341:E13493 F13368 E13495:E13661 E13663:E13993 F13756 E13996:E14120 E14122:E14153 E14155:E14189 E14191:E14262 E14264:E14302 E14305:E14364 E14366:E14561 E14563:E14601 E14604:E14617 E14619:E14621 E14624:E14633 E14635:E14643 E14645:E14649 E14651:E14652 E14654:E14656 E14660:E14663 E14665 E14667:E14668 E14670:E14676 E14678:E14689 E14691:E14698 E14700 E14702:E14717 E14719:E14720 E14722 E14724:E14734 E14736 E14738:E14753 E14755:E14757 E14759:E14762 E14765:E14768 E14770:E14775 E14777:E14781 E15130 E15134:E15135 E15137:E15138 E15140:E15142 E15144 E15146:E15151 E15154:E15155 E15162:E15163 E15168 E15170 E15172:E15173 E15175 E15179:E15180 E15182:E15184 E15186:E15189 E15191:E15192 E15196 E15198 E15202 E15204:E15205 E15208:E15247">
    <cfRule type="containsBlanks" dxfId="0" priority="2">
      <formula>LEN(TRIM(E1))=0</formula>
    </cfRule>
  </conditionalFormatting>
  <conditionalFormatting sqref="F1:F14714 H1:I1 E2484 E8741 E9553 E10919 E10954 E11050 E11095 E11239 E11256 E11366 E11487 E11640 E11925 E11939 E12119 E12332 E12462 E12480 E12535 E12580 E12624 E12631 E12781 E13203 E13358 E13396 E13863 E14167 E14278 E14317 F14716:F14780 F14782:F15247">
    <cfRule type="containsBlanks" dxfId="0" priority="3">
      <formula>LEN(TRIM(F1))=0</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38"/>
    <col customWidth="1" min="2" max="2" width="11.13"/>
    <col customWidth="1" min="3" max="3" width="12.5"/>
    <col customWidth="1" min="4" max="4" width="57.25"/>
    <col customWidth="1" min="5" max="5" width="10.38"/>
    <col customWidth="1" min="6" max="24" width="8.13"/>
  </cols>
  <sheetData>
    <row r="1">
      <c r="A1" s="86" t="s">
        <v>0</v>
      </c>
      <c r="B1" s="86" t="s">
        <v>1</v>
      </c>
      <c r="C1" s="86" t="s">
        <v>2</v>
      </c>
      <c r="D1" s="86" t="s">
        <v>1864</v>
      </c>
    </row>
    <row r="2">
      <c r="A2" s="87"/>
      <c r="B2" s="88"/>
      <c r="C2" s="89"/>
      <c r="D2" s="89"/>
    </row>
    <row r="3">
      <c r="A3" s="87"/>
      <c r="B3" s="88"/>
      <c r="C3" s="89"/>
      <c r="D3" s="89"/>
    </row>
    <row r="4">
      <c r="A4" s="87"/>
      <c r="B4" s="88"/>
      <c r="C4" s="89"/>
      <c r="D4" s="89"/>
    </row>
    <row r="5">
      <c r="A5" s="87"/>
      <c r="B5" s="88"/>
      <c r="C5" s="89"/>
      <c r="D5" s="89"/>
    </row>
    <row r="6">
      <c r="A6" s="89"/>
      <c r="B6" s="89"/>
      <c r="C6" s="89"/>
      <c r="D6" s="89"/>
    </row>
    <row r="7">
      <c r="A7" s="89"/>
      <c r="B7" s="89"/>
      <c r="C7" s="89"/>
      <c r="D7" s="89"/>
    </row>
    <row r="8">
      <c r="A8" s="89"/>
      <c r="B8" s="89"/>
      <c r="C8" s="89"/>
      <c r="D8" s="89"/>
    </row>
    <row r="9">
      <c r="A9" s="89"/>
      <c r="B9" s="89"/>
      <c r="C9" s="89"/>
      <c r="D9" s="89"/>
    </row>
    <row r="10">
      <c r="A10" s="89"/>
      <c r="B10" s="89"/>
      <c r="C10" s="89"/>
      <c r="D10" s="89"/>
    </row>
    <row r="11">
      <c r="A11" s="89"/>
      <c r="B11" s="89"/>
      <c r="C11" s="89"/>
      <c r="D11" s="89"/>
    </row>
    <row r="12">
      <c r="A12" s="89"/>
      <c r="B12" s="89"/>
      <c r="C12" s="89"/>
      <c r="D12" s="89"/>
    </row>
    <row r="13">
      <c r="A13" s="89"/>
      <c r="B13" s="89"/>
      <c r="C13" s="89"/>
      <c r="D13" s="89"/>
    </row>
    <row r="14">
      <c r="A14" s="89"/>
      <c r="B14" s="89"/>
      <c r="C14" s="89"/>
      <c r="D14" s="89"/>
    </row>
    <row r="15">
      <c r="A15" s="89"/>
      <c r="B15" s="89"/>
      <c r="C15" s="89"/>
      <c r="D15" s="89"/>
    </row>
    <row r="16">
      <c r="A16" s="89"/>
      <c r="B16" s="89"/>
      <c r="C16" s="89"/>
      <c r="D16" s="89"/>
    </row>
    <row r="17">
      <c r="A17" s="89"/>
      <c r="B17" s="89"/>
      <c r="C17" s="89"/>
      <c r="D17" s="89"/>
    </row>
    <row r="18">
      <c r="A18" s="89"/>
      <c r="B18" s="89"/>
      <c r="C18" s="89"/>
      <c r="D18" s="89"/>
    </row>
    <row r="19">
      <c r="A19" s="89"/>
      <c r="B19" s="89"/>
      <c r="C19" s="89"/>
      <c r="D19" s="89"/>
    </row>
    <row r="20">
      <c r="A20" s="89"/>
      <c r="B20" s="89"/>
      <c r="C20" s="89"/>
      <c r="D20" s="89"/>
    </row>
    <row r="21">
      <c r="A21" s="89"/>
      <c r="B21" s="89"/>
      <c r="C21" s="89"/>
      <c r="D21" s="89"/>
    </row>
    <row r="22">
      <c r="A22" s="89"/>
      <c r="B22" s="89"/>
      <c r="C22" s="89"/>
      <c r="D22" s="89"/>
    </row>
    <row r="23">
      <c r="A23" s="89"/>
      <c r="B23" s="89"/>
      <c r="C23" s="89"/>
      <c r="D23" s="89"/>
    </row>
    <row r="24">
      <c r="A24" s="89"/>
      <c r="B24" s="89"/>
      <c r="C24" s="89"/>
      <c r="D24" s="89"/>
    </row>
    <row r="25">
      <c r="A25" s="89"/>
      <c r="B25" s="89"/>
      <c r="C25" s="89"/>
      <c r="D25" s="89"/>
    </row>
    <row r="26">
      <c r="A26" s="89"/>
      <c r="B26" s="89"/>
      <c r="C26" s="89"/>
      <c r="D26" s="89"/>
    </row>
    <row r="27">
      <c r="A27" s="89"/>
      <c r="B27" s="89"/>
      <c r="C27" s="89"/>
      <c r="D27" s="89"/>
    </row>
    <row r="28">
      <c r="A28" s="89"/>
      <c r="B28" s="89"/>
      <c r="C28" s="89"/>
      <c r="D28" s="89"/>
    </row>
    <row r="29">
      <c r="A29" s="89"/>
      <c r="B29" s="89"/>
      <c r="C29" s="89"/>
      <c r="D29" s="89"/>
    </row>
    <row r="30">
      <c r="A30" s="89"/>
      <c r="B30" s="89"/>
      <c r="C30" s="89"/>
      <c r="D30" s="89"/>
    </row>
    <row r="31">
      <c r="A31" s="89"/>
      <c r="B31" s="89"/>
      <c r="C31" s="89"/>
      <c r="D31" s="89"/>
    </row>
    <row r="32">
      <c r="A32" s="89"/>
      <c r="B32" s="89"/>
      <c r="C32" s="89"/>
      <c r="D32" s="89"/>
    </row>
    <row r="33">
      <c r="A33" s="89"/>
      <c r="B33" s="89"/>
      <c r="C33" s="89"/>
      <c r="D33" s="89"/>
    </row>
    <row r="34">
      <c r="A34" s="89"/>
      <c r="B34" s="89"/>
      <c r="C34" s="89"/>
      <c r="D34" s="89"/>
    </row>
    <row r="35">
      <c r="A35" s="89"/>
      <c r="B35" s="89"/>
      <c r="C35" s="89"/>
      <c r="D35" s="89"/>
    </row>
    <row r="36">
      <c r="A36" s="89"/>
      <c r="B36" s="89"/>
      <c r="C36" s="89"/>
      <c r="D36" s="89"/>
    </row>
    <row r="37">
      <c r="A37" s="89"/>
      <c r="B37" s="89"/>
      <c r="C37" s="89"/>
      <c r="D37" s="89"/>
    </row>
    <row r="38">
      <c r="A38" s="89"/>
      <c r="B38" s="89"/>
      <c r="C38" s="89"/>
      <c r="D38" s="89"/>
    </row>
    <row r="39">
      <c r="A39" s="89"/>
      <c r="B39" s="89"/>
      <c r="C39" s="89"/>
      <c r="D39" s="89"/>
    </row>
    <row r="40">
      <c r="A40" s="89"/>
      <c r="B40" s="89"/>
      <c r="C40" s="89"/>
      <c r="D40" s="89"/>
    </row>
    <row r="41">
      <c r="A41" s="89"/>
      <c r="B41" s="89"/>
      <c r="C41" s="89"/>
      <c r="D41" s="89"/>
    </row>
    <row r="42">
      <c r="A42" s="89"/>
      <c r="B42" s="89"/>
      <c r="C42" s="89"/>
      <c r="D42" s="89"/>
    </row>
    <row r="43">
      <c r="A43" s="89"/>
      <c r="B43" s="89"/>
      <c r="C43" s="89"/>
      <c r="D43" s="89"/>
    </row>
    <row r="44">
      <c r="A44" s="89"/>
      <c r="B44" s="89"/>
      <c r="C44" s="89"/>
      <c r="D44" s="89"/>
    </row>
    <row r="45">
      <c r="A45" s="89"/>
      <c r="B45" s="89"/>
      <c r="C45" s="89"/>
      <c r="D45" s="89"/>
    </row>
    <row r="46">
      <c r="A46" s="89"/>
      <c r="B46" s="89"/>
      <c r="C46" s="89"/>
      <c r="D46" s="89"/>
    </row>
    <row r="47">
      <c r="A47" s="89"/>
      <c r="B47" s="89"/>
      <c r="C47" s="89"/>
      <c r="D47" s="89"/>
    </row>
    <row r="48">
      <c r="A48" s="89"/>
      <c r="B48" s="89"/>
      <c r="C48" s="89"/>
      <c r="D48" s="89"/>
    </row>
    <row r="49">
      <c r="A49" s="89"/>
      <c r="B49" s="89"/>
      <c r="C49" s="89"/>
      <c r="D49" s="89"/>
    </row>
    <row r="50">
      <c r="A50" s="89"/>
      <c r="B50" s="89"/>
      <c r="C50" s="89"/>
      <c r="D50" s="89"/>
    </row>
    <row r="51">
      <c r="A51" s="89"/>
      <c r="B51" s="89"/>
      <c r="C51" s="89"/>
      <c r="D51" s="89"/>
    </row>
    <row r="52">
      <c r="A52" s="89"/>
      <c r="B52" s="89"/>
      <c r="C52" s="89"/>
      <c r="D52" s="89"/>
    </row>
    <row r="53">
      <c r="A53" s="89"/>
      <c r="B53" s="89"/>
      <c r="C53" s="89"/>
      <c r="D53" s="89"/>
    </row>
    <row r="54">
      <c r="A54" s="89"/>
      <c r="B54" s="89"/>
      <c r="C54" s="89"/>
      <c r="D54" s="89"/>
    </row>
    <row r="55">
      <c r="A55" s="89"/>
      <c r="B55" s="89"/>
      <c r="C55" s="89"/>
      <c r="D55" s="89"/>
    </row>
    <row r="56">
      <c r="A56" s="89"/>
      <c r="B56" s="89"/>
      <c r="C56" s="89"/>
      <c r="D56" s="89"/>
    </row>
    <row r="57">
      <c r="A57" s="89"/>
      <c r="B57" s="89"/>
      <c r="C57" s="89"/>
      <c r="D57" s="89"/>
    </row>
    <row r="58">
      <c r="A58" s="89"/>
      <c r="B58" s="89"/>
      <c r="C58" s="89"/>
      <c r="D58" s="89"/>
    </row>
    <row r="59">
      <c r="A59" s="89"/>
      <c r="B59" s="89"/>
      <c r="C59" s="89"/>
      <c r="D59" s="89"/>
    </row>
    <row r="60">
      <c r="A60" s="89"/>
      <c r="B60" s="89"/>
      <c r="C60" s="89"/>
      <c r="D60" s="89"/>
    </row>
    <row r="61">
      <c r="A61" s="89"/>
      <c r="B61" s="89"/>
      <c r="C61" s="89"/>
      <c r="D61" s="89"/>
    </row>
    <row r="62">
      <c r="A62" s="89"/>
      <c r="B62" s="89"/>
      <c r="C62" s="89"/>
      <c r="D62" s="89"/>
    </row>
    <row r="63">
      <c r="A63" s="89"/>
      <c r="B63" s="89"/>
      <c r="C63" s="89"/>
      <c r="D63" s="89"/>
    </row>
    <row r="64">
      <c r="A64" s="89"/>
      <c r="B64" s="89"/>
      <c r="C64" s="89"/>
      <c r="D64" s="89"/>
    </row>
    <row r="65">
      <c r="A65" s="89"/>
      <c r="B65" s="89"/>
      <c r="C65" s="89"/>
      <c r="D65" s="89"/>
    </row>
    <row r="66">
      <c r="A66" s="89"/>
      <c r="B66" s="89"/>
      <c r="C66" s="89"/>
      <c r="D66" s="89"/>
    </row>
    <row r="67">
      <c r="A67" s="89"/>
      <c r="B67" s="89"/>
      <c r="C67" s="89"/>
      <c r="D67" s="89"/>
    </row>
    <row r="68">
      <c r="A68" s="89"/>
      <c r="B68" s="89"/>
      <c r="C68" s="89"/>
      <c r="D68" s="89"/>
    </row>
    <row r="69">
      <c r="A69" s="89"/>
      <c r="B69" s="89"/>
      <c r="C69" s="89"/>
      <c r="D69" s="89"/>
    </row>
    <row r="70">
      <c r="A70" s="89"/>
      <c r="B70" s="89"/>
      <c r="C70" s="89"/>
      <c r="D70" s="89"/>
    </row>
    <row r="71">
      <c r="A71" s="89"/>
      <c r="B71" s="89"/>
      <c r="C71" s="89"/>
      <c r="D71" s="89"/>
    </row>
    <row r="72">
      <c r="A72" s="89"/>
      <c r="B72" s="89"/>
      <c r="C72" s="89"/>
      <c r="D72" s="89"/>
    </row>
    <row r="73">
      <c r="A73" s="89"/>
      <c r="B73" s="89"/>
      <c r="C73" s="89"/>
      <c r="D73" s="89"/>
    </row>
    <row r="74">
      <c r="A74" s="89"/>
      <c r="B74" s="89"/>
      <c r="C74" s="89"/>
      <c r="D74" s="89"/>
    </row>
    <row r="75">
      <c r="A75" s="89"/>
      <c r="B75" s="89"/>
      <c r="C75" s="89"/>
      <c r="D75" s="89"/>
    </row>
    <row r="76">
      <c r="A76" s="89"/>
      <c r="B76" s="89"/>
      <c r="C76" s="89"/>
      <c r="D76" s="89"/>
    </row>
    <row r="77">
      <c r="A77" s="89"/>
      <c r="B77" s="89"/>
      <c r="C77" s="89"/>
      <c r="D77" s="89"/>
    </row>
    <row r="78">
      <c r="A78" s="89"/>
      <c r="B78" s="89"/>
      <c r="C78" s="89"/>
      <c r="D78" s="89"/>
    </row>
    <row r="79">
      <c r="A79" s="89"/>
      <c r="B79" s="89"/>
      <c r="C79" s="89"/>
      <c r="D79" s="89"/>
    </row>
    <row r="80">
      <c r="A80" s="89"/>
      <c r="B80" s="89"/>
      <c r="C80" s="89"/>
      <c r="D80" s="89"/>
    </row>
    <row r="81">
      <c r="A81" s="89"/>
      <c r="B81" s="89"/>
      <c r="C81" s="89"/>
      <c r="D81" s="89"/>
    </row>
    <row r="82">
      <c r="A82" s="89"/>
      <c r="B82" s="89"/>
      <c r="C82" s="89"/>
      <c r="D82" s="89"/>
    </row>
    <row r="83">
      <c r="A83" s="89"/>
      <c r="B83" s="89"/>
      <c r="C83" s="89"/>
      <c r="D83" s="89"/>
    </row>
    <row r="84">
      <c r="A84" s="89"/>
      <c r="B84" s="89"/>
      <c r="C84" s="89"/>
      <c r="D84" s="89"/>
    </row>
    <row r="85">
      <c r="A85" s="89"/>
      <c r="B85" s="89"/>
      <c r="C85" s="89"/>
      <c r="D85" s="89"/>
    </row>
    <row r="86">
      <c r="A86" s="89"/>
      <c r="B86" s="89"/>
      <c r="C86" s="89"/>
      <c r="D86" s="89"/>
    </row>
    <row r="87">
      <c r="A87" s="89"/>
      <c r="B87" s="89"/>
      <c r="C87" s="89"/>
      <c r="D87" s="89"/>
    </row>
    <row r="88">
      <c r="A88" s="89"/>
      <c r="B88" s="89"/>
      <c r="C88" s="89"/>
      <c r="D88" s="89"/>
    </row>
    <row r="89">
      <c r="A89" s="89"/>
      <c r="B89" s="89"/>
      <c r="C89" s="89"/>
      <c r="D89" s="89"/>
    </row>
    <row r="90">
      <c r="A90" s="89"/>
      <c r="B90" s="89"/>
      <c r="C90" s="89"/>
      <c r="D90" s="89"/>
    </row>
    <row r="91">
      <c r="A91" s="89"/>
      <c r="B91" s="89"/>
      <c r="C91" s="89"/>
      <c r="D91" s="89"/>
    </row>
  </sheetData>
  <printOptions gridLines="1" horizontalCentered="1"/>
  <pageMargins bottom="0.75" footer="0.0" header="0.0" left="0.7" right="0.7" top="0.75"/>
  <pageSetup fitToHeight="0" paperSize="9" cellComments="atEnd" orientation="portrait"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38"/>
    <col customWidth="1" min="2" max="2" width="14.13"/>
    <col customWidth="1" min="3" max="3" width="12.25"/>
    <col customWidth="1" min="4" max="4" width="36.88"/>
    <col customWidth="1" min="5" max="5" width="33.63"/>
    <col customWidth="1" min="6" max="6" width="23.88"/>
    <col customWidth="1" min="7" max="7" width="19.38"/>
  </cols>
  <sheetData>
    <row r="1">
      <c r="A1" s="90" t="s">
        <v>1865</v>
      </c>
      <c r="B1" s="1" t="s">
        <v>1</v>
      </c>
      <c r="C1" s="1" t="s">
        <v>2</v>
      </c>
      <c r="D1" s="91" t="s">
        <v>3</v>
      </c>
      <c r="E1" s="91" t="s">
        <v>4</v>
      </c>
      <c r="F1" s="91" t="s">
        <v>5</v>
      </c>
      <c r="G1" s="1" t="s">
        <v>1866</v>
      </c>
    </row>
    <row r="2">
      <c r="A2" s="92">
        <v>45687.0</v>
      </c>
      <c r="B2" s="93">
        <v>0.37569444444444444</v>
      </c>
      <c r="C2" s="31" t="s">
        <v>1867</v>
      </c>
      <c r="D2" s="55" t="s">
        <v>1868</v>
      </c>
      <c r="E2" s="94" t="s">
        <v>1869</v>
      </c>
      <c r="F2" s="55" t="s">
        <v>1870</v>
      </c>
      <c r="G2" s="5" t="s">
        <v>1871</v>
      </c>
    </row>
    <row r="3">
      <c r="A3" s="95">
        <v>45687.0</v>
      </c>
      <c r="B3" s="93">
        <v>0.9416666666666667</v>
      </c>
      <c r="C3" s="31" t="s">
        <v>1867</v>
      </c>
      <c r="D3" s="55" t="s">
        <v>1868</v>
      </c>
      <c r="E3" s="96" t="s">
        <v>1872</v>
      </c>
      <c r="F3" s="55" t="s">
        <v>1873</v>
      </c>
      <c r="G3" s="5" t="s">
        <v>1874</v>
      </c>
    </row>
    <row r="4">
      <c r="A4" s="95">
        <v>45688.0</v>
      </c>
      <c r="B4" s="93">
        <v>0.8673611111111111</v>
      </c>
      <c r="C4" s="31" t="s">
        <v>1867</v>
      </c>
      <c r="D4" s="55" t="s">
        <v>1868</v>
      </c>
      <c r="E4" s="71" t="s">
        <v>1875</v>
      </c>
      <c r="F4" s="97" t="s">
        <v>1876</v>
      </c>
      <c r="G4" s="5" t="s">
        <v>1877</v>
      </c>
    </row>
    <row r="5">
      <c r="A5" s="95">
        <v>45689.0</v>
      </c>
      <c r="B5" s="93">
        <v>0.5652777777777778</v>
      </c>
      <c r="C5" s="31" t="s">
        <v>1867</v>
      </c>
      <c r="D5" s="55" t="s">
        <v>1868</v>
      </c>
      <c r="E5" s="71" t="s">
        <v>802</v>
      </c>
      <c r="F5" s="97" t="s">
        <v>1878</v>
      </c>
      <c r="G5" s="5" t="s">
        <v>1879</v>
      </c>
    </row>
    <row r="6">
      <c r="A6" s="95">
        <v>45689.0</v>
      </c>
      <c r="B6" s="93">
        <v>0.9645833333333333</v>
      </c>
      <c r="C6" s="31" t="s">
        <v>1867</v>
      </c>
      <c r="D6" s="55" t="s">
        <v>1868</v>
      </c>
      <c r="E6" s="96" t="s">
        <v>1872</v>
      </c>
      <c r="F6" s="55" t="s">
        <v>1873</v>
      </c>
      <c r="G6" s="5" t="s">
        <v>1880</v>
      </c>
    </row>
    <row r="7">
      <c r="A7" s="95">
        <v>45690.0</v>
      </c>
      <c r="B7" s="93">
        <v>0.46458333333333335</v>
      </c>
      <c r="C7" s="31" t="s">
        <v>1867</v>
      </c>
      <c r="D7" s="55" t="s">
        <v>1881</v>
      </c>
      <c r="E7" s="71" t="s">
        <v>802</v>
      </c>
      <c r="F7" s="97" t="s">
        <v>1878</v>
      </c>
    </row>
    <row r="8">
      <c r="A8" s="95">
        <v>45711.0</v>
      </c>
      <c r="B8" s="93">
        <v>0.6444444444444445</v>
      </c>
      <c r="C8" s="31" t="s">
        <v>1882</v>
      </c>
      <c r="D8" s="55" t="s">
        <v>1883</v>
      </c>
      <c r="E8" s="71" t="s">
        <v>802</v>
      </c>
      <c r="F8" s="97" t="s">
        <v>1878</v>
      </c>
    </row>
    <row r="9">
      <c r="A9" s="95">
        <v>45712.0</v>
      </c>
      <c r="B9" s="93">
        <v>0.6680555555555555</v>
      </c>
      <c r="C9" s="31" t="s">
        <v>1882</v>
      </c>
      <c r="D9" s="55" t="s">
        <v>1883</v>
      </c>
      <c r="E9" s="71" t="s">
        <v>802</v>
      </c>
      <c r="F9" s="97" t="s">
        <v>1878</v>
      </c>
    </row>
    <row r="10">
      <c r="A10" s="95"/>
      <c r="B10" s="31"/>
      <c r="C10" s="31"/>
      <c r="D10" s="55"/>
      <c r="E10" s="55"/>
      <c r="F10" s="55"/>
    </row>
    <row r="11">
      <c r="A11" s="95"/>
      <c r="B11" s="31"/>
      <c r="C11" s="31"/>
      <c r="D11" s="55"/>
      <c r="E11" s="55"/>
      <c r="F11" s="55"/>
    </row>
    <row r="12">
      <c r="A12" s="95"/>
      <c r="B12" s="31"/>
      <c r="C12" s="31"/>
      <c r="D12" s="55"/>
      <c r="E12" s="55"/>
      <c r="F12" s="55"/>
    </row>
    <row r="13">
      <c r="A13" s="95"/>
      <c r="B13" s="31"/>
      <c r="C13" s="31"/>
      <c r="D13" s="55"/>
      <c r="E13" s="55"/>
      <c r="F13" s="55"/>
    </row>
    <row r="14">
      <c r="A14" s="95"/>
      <c r="B14" s="31"/>
      <c r="C14" s="31"/>
      <c r="D14" s="55"/>
      <c r="E14" s="55"/>
      <c r="F14" s="55"/>
    </row>
    <row r="15">
      <c r="A15" s="95"/>
      <c r="B15" s="31"/>
      <c r="C15" s="31"/>
      <c r="D15" s="55"/>
      <c r="E15" s="55"/>
      <c r="F15" s="55"/>
    </row>
    <row r="16">
      <c r="A16" s="95"/>
      <c r="B16" s="31"/>
      <c r="C16" s="31"/>
      <c r="D16" s="55"/>
      <c r="E16" s="55"/>
      <c r="F16" s="55"/>
    </row>
    <row r="17">
      <c r="A17" s="95"/>
      <c r="B17" s="31"/>
      <c r="C17" s="31"/>
      <c r="D17" s="55"/>
      <c r="E17" s="55"/>
      <c r="F17" s="55"/>
    </row>
    <row r="18">
      <c r="A18" s="95"/>
      <c r="B18" s="31"/>
      <c r="C18" s="31"/>
      <c r="D18" s="55"/>
      <c r="E18" s="55"/>
      <c r="F18" s="55"/>
    </row>
    <row r="19">
      <c r="A19" s="95"/>
      <c r="B19" s="31"/>
      <c r="C19" s="31"/>
      <c r="D19" s="55"/>
      <c r="E19" s="55"/>
      <c r="F19" s="55"/>
    </row>
    <row r="20">
      <c r="A20" s="95"/>
      <c r="B20" s="31"/>
      <c r="C20" s="31"/>
      <c r="D20" s="55"/>
      <c r="E20" s="55"/>
      <c r="F20" s="55"/>
    </row>
    <row r="21">
      <c r="A21" s="95"/>
      <c r="B21" s="31"/>
      <c r="C21" s="31"/>
      <c r="D21" s="55"/>
      <c r="E21" s="55"/>
      <c r="F21" s="55"/>
    </row>
    <row r="22">
      <c r="A22" s="95"/>
      <c r="B22" s="31"/>
      <c r="C22" s="31"/>
      <c r="D22" s="55"/>
      <c r="E22" s="55"/>
      <c r="F22" s="55"/>
    </row>
    <row r="23">
      <c r="A23" s="95"/>
      <c r="B23" s="31"/>
      <c r="C23" s="31"/>
      <c r="D23" s="55"/>
      <c r="E23" s="55"/>
      <c r="F23" s="55"/>
    </row>
    <row r="24">
      <c r="A24" s="95"/>
      <c r="B24" s="31"/>
      <c r="C24" s="31"/>
      <c r="D24" s="55"/>
      <c r="E24" s="55"/>
      <c r="F24" s="55"/>
    </row>
    <row r="25">
      <c r="A25" s="95"/>
      <c r="B25" s="31"/>
      <c r="C25" s="31"/>
      <c r="D25" s="55"/>
      <c r="E25" s="55"/>
      <c r="F25" s="55"/>
    </row>
    <row r="26">
      <c r="A26" s="95"/>
      <c r="B26" s="31"/>
      <c r="C26" s="31"/>
      <c r="D26" s="55"/>
      <c r="E26" s="55"/>
      <c r="F26" s="55"/>
    </row>
    <row r="27">
      <c r="A27" s="95"/>
      <c r="B27" s="31"/>
      <c r="C27" s="31"/>
      <c r="D27" s="55"/>
      <c r="E27" s="55"/>
      <c r="F27" s="55"/>
    </row>
    <row r="28">
      <c r="A28" s="95"/>
      <c r="B28" s="31"/>
      <c r="C28" s="31"/>
      <c r="D28" s="55"/>
      <c r="E28" s="55"/>
      <c r="F28" s="55"/>
    </row>
    <row r="29">
      <c r="A29" s="95"/>
      <c r="B29" s="31"/>
      <c r="C29" s="31"/>
      <c r="D29" s="55"/>
      <c r="E29" s="55"/>
      <c r="F29" s="55"/>
    </row>
    <row r="30">
      <c r="A30" s="95"/>
      <c r="B30" s="31"/>
      <c r="C30" s="31"/>
      <c r="D30" s="55"/>
      <c r="E30" s="55"/>
      <c r="F30" s="55"/>
    </row>
    <row r="31">
      <c r="A31" s="95"/>
      <c r="B31" s="31"/>
      <c r="C31" s="31"/>
      <c r="D31" s="55"/>
      <c r="E31" s="55"/>
      <c r="F31" s="55"/>
    </row>
    <row r="32">
      <c r="A32" s="95"/>
      <c r="B32" s="31"/>
      <c r="C32" s="31"/>
      <c r="D32" s="55"/>
      <c r="E32" s="55"/>
      <c r="F32" s="55"/>
    </row>
    <row r="33">
      <c r="A33" s="95"/>
      <c r="B33" s="31"/>
      <c r="C33" s="31"/>
      <c r="D33" s="55"/>
      <c r="E33" s="55"/>
      <c r="F33" s="55"/>
    </row>
    <row r="34">
      <c r="A34" s="95"/>
      <c r="B34" s="31"/>
      <c r="C34" s="31"/>
      <c r="D34" s="55"/>
      <c r="E34" s="55"/>
      <c r="F34" s="55"/>
    </row>
    <row r="35">
      <c r="A35" s="95"/>
      <c r="B35" s="31"/>
      <c r="C35" s="31"/>
      <c r="D35" s="55"/>
      <c r="E35" s="55"/>
      <c r="F35" s="55"/>
    </row>
    <row r="36">
      <c r="A36" s="95"/>
      <c r="B36" s="31"/>
      <c r="C36" s="31"/>
      <c r="D36" s="55"/>
      <c r="E36" s="55"/>
      <c r="F36" s="55"/>
    </row>
    <row r="37">
      <c r="A37" s="95"/>
      <c r="B37" s="31"/>
      <c r="C37" s="31"/>
      <c r="D37" s="55"/>
      <c r="E37" s="55"/>
      <c r="F37" s="55"/>
    </row>
    <row r="38">
      <c r="A38" s="95"/>
      <c r="B38" s="31"/>
      <c r="C38" s="31"/>
      <c r="D38" s="55"/>
      <c r="E38" s="55"/>
      <c r="F38" s="55"/>
    </row>
    <row r="39">
      <c r="A39" s="95"/>
      <c r="B39" s="31"/>
      <c r="C39" s="31"/>
      <c r="D39" s="55"/>
      <c r="E39" s="55"/>
      <c r="F39" s="55"/>
    </row>
    <row r="40">
      <c r="A40" s="95"/>
      <c r="B40" s="31"/>
      <c r="C40" s="31"/>
      <c r="D40" s="55"/>
      <c r="E40" s="55"/>
      <c r="F40" s="55"/>
    </row>
    <row r="41">
      <c r="A41" s="95"/>
      <c r="B41" s="31"/>
      <c r="C41" s="31"/>
      <c r="D41" s="55"/>
      <c r="E41" s="55"/>
      <c r="F41" s="55"/>
    </row>
    <row r="42">
      <c r="A42" s="95"/>
      <c r="B42" s="31"/>
      <c r="C42" s="31"/>
      <c r="D42" s="55"/>
      <c r="E42" s="55"/>
      <c r="F42" s="55"/>
    </row>
    <row r="43">
      <c r="A43" s="95"/>
      <c r="B43" s="31"/>
      <c r="C43" s="31"/>
      <c r="D43" s="55"/>
      <c r="E43" s="55"/>
      <c r="F43" s="55"/>
    </row>
    <row r="44">
      <c r="A44" s="95"/>
      <c r="B44" s="31"/>
      <c r="C44" s="31"/>
      <c r="D44" s="55"/>
      <c r="E44" s="55"/>
      <c r="F44" s="55"/>
    </row>
    <row r="45">
      <c r="A45" s="95"/>
      <c r="B45" s="31"/>
      <c r="C45" s="31"/>
      <c r="D45" s="55"/>
      <c r="E45" s="55"/>
      <c r="F45" s="55"/>
    </row>
    <row r="46">
      <c r="A46" s="95"/>
      <c r="B46" s="31"/>
      <c r="C46" s="31"/>
      <c r="D46" s="55"/>
      <c r="E46" s="55"/>
      <c r="F46" s="55"/>
    </row>
    <row r="47">
      <c r="A47" s="95"/>
      <c r="B47" s="31"/>
      <c r="C47" s="31"/>
      <c r="D47" s="55"/>
      <c r="E47" s="55"/>
      <c r="F47" s="55"/>
    </row>
    <row r="48">
      <c r="A48" s="95"/>
      <c r="B48" s="31"/>
      <c r="C48" s="31"/>
      <c r="D48" s="55"/>
      <c r="E48" s="55"/>
      <c r="F48" s="55"/>
    </row>
    <row r="49">
      <c r="A49" s="95"/>
      <c r="B49" s="31"/>
      <c r="C49" s="31"/>
      <c r="D49" s="55"/>
      <c r="E49" s="55"/>
      <c r="F49" s="55"/>
    </row>
    <row r="50">
      <c r="A50" s="95"/>
      <c r="B50" s="31"/>
      <c r="C50" s="31"/>
      <c r="D50" s="55"/>
      <c r="E50" s="55"/>
      <c r="F50" s="55"/>
    </row>
    <row r="51">
      <c r="A51" s="95"/>
      <c r="B51" s="31"/>
      <c r="C51" s="31"/>
      <c r="D51" s="55"/>
      <c r="E51" s="55"/>
      <c r="F51" s="55"/>
    </row>
    <row r="52">
      <c r="A52" s="95"/>
      <c r="B52" s="31"/>
      <c r="C52" s="31"/>
      <c r="D52" s="55"/>
      <c r="E52" s="55"/>
      <c r="F52" s="55"/>
    </row>
    <row r="53">
      <c r="A53" s="95"/>
      <c r="B53" s="31"/>
      <c r="C53" s="31"/>
      <c r="D53" s="55"/>
      <c r="E53" s="55"/>
      <c r="F53" s="55"/>
    </row>
    <row r="54">
      <c r="A54" s="95"/>
      <c r="B54" s="31"/>
      <c r="C54" s="31"/>
      <c r="D54" s="55"/>
      <c r="E54" s="55"/>
      <c r="F54" s="55"/>
    </row>
    <row r="55">
      <c r="A55" s="95"/>
      <c r="B55" s="31"/>
      <c r="C55" s="31"/>
      <c r="D55" s="55"/>
      <c r="E55" s="55"/>
      <c r="F55" s="55"/>
    </row>
    <row r="56">
      <c r="A56" s="95"/>
      <c r="B56" s="31"/>
      <c r="C56" s="31"/>
      <c r="D56" s="55"/>
      <c r="E56" s="55"/>
      <c r="F56" s="55"/>
    </row>
    <row r="57">
      <c r="A57" s="95"/>
      <c r="B57" s="31"/>
      <c r="C57" s="31"/>
      <c r="D57" s="55"/>
      <c r="E57" s="55"/>
      <c r="F57" s="55"/>
    </row>
    <row r="58">
      <c r="A58" s="95"/>
      <c r="B58" s="31"/>
      <c r="C58" s="31"/>
      <c r="D58" s="55"/>
      <c r="E58" s="55"/>
      <c r="F58" s="55"/>
    </row>
    <row r="59">
      <c r="A59" s="95"/>
      <c r="B59" s="31"/>
      <c r="C59" s="31"/>
      <c r="D59" s="55"/>
      <c r="E59" s="55"/>
      <c r="F59" s="55"/>
    </row>
    <row r="60">
      <c r="A60" s="95"/>
      <c r="B60" s="31"/>
      <c r="C60" s="31"/>
      <c r="D60" s="55"/>
      <c r="E60" s="55"/>
      <c r="F60" s="55"/>
    </row>
    <row r="61">
      <c r="A61" s="95"/>
      <c r="B61" s="31"/>
      <c r="C61" s="31"/>
      <c r="D61" s="55"/>
      <c r="E61" s="55"/>
      <c r="F61" s="55"/>
    </row>
    <row r="62">
      <c r="A62" s="95"/>
      <c r="B62" s="31"/>
      <c r="C62" s="31"/>
      <c r="D62" s="55"/>
      <c r="E62" s="55"/>
      <c r="F62" s="55"/>
    </row>
    <row r="63">
      <c r="A63" s="95"/>
      <c r="B63" s="31"/>
      <c r="C63" s="31"/>
      <c r="D63" s="55"/>
      <c r="E63" s="55"/>
      <c r="F63" s="55"/>
    </row>
    <row r="64">
      <c r="A64" s="95"/>
      <c r="B64" s="31"/>
      <c r="C64" s="31"/>
      <c r="D64" s="55"/>
      <c r="E64" s="55"/>
      <c r="F64" s="55"/>
    </row>
    <row r="65">
      <c r="A65" s="95"/>
      <c r="B65" s="31"/>
      <c r="C65" s="31"/>
      <c r="D65" s="55"/>
      <c r="E65" s="55"/>
      <c r="F65" s="55"/>
    </row>
    <row r="66">
      <c r="A66" s="95"/>
      <c r="B66" s="31"/>
      <c r="C66" s="31"/>
      <c r="D66" s="55"/>
      <c r="E66" s="55"/>
      <c r="F66" s="55"/>
    </row>
    <row r="67">
      <c r="A67" s="95"/>
      <c r="B67" s="31"/>
      <c r="C67" s="31"/>
      <c r="D67" s="55"/>
      <c r="E67" s="55"/>
      <c r="F67" s="55"/>
    </row>
    <row r="68">
      <c r="A68" s="95"/>
      <c r="B68" s="31"/>
      <c r="C68" s="31"/>
      <c r="D68" s="55"/>
      <c r="E68" s="55"/>
      <c r="F68" s="55"/>
    </row>
    <row r="69">
      <c r="A69" s="95"/>
      <c r="B69" s="31"/>
      <c r="C69" s="31"/>
      <c r="D69" s="55"/>
      <c r="E69" s="55"/>
      <c r="F69" s="55"/>
    </row>
    <row r="70">
      <c r="A70" s="95"/>
      <c r="B70" s="31"/>
      <c r="C70" s="31"/>
      <c r="D70" s="55"/>
      <c r="E70" s="55"/>
      <c r="F70" s="55"/>
    </row>
    <row r="71">
      <c r="A71" s="95"/>
      <c r="B71" s="31"/>
      <c r="C71" s="31"/>
      <c r="D71" s="55"/>
      <c r="E71" s="55"/>
      <c r="F71" s="55"/>
    </row>
    <row r="72">
      <c r="A72" s="95"/>
      <c r="B72" s="31"/>
      <c r="C72" s="31"/>
      <c r="D72" s="55"/>
      <c r="E72" s="55"/>
      <c r="F72" s="55"/>
    </row>
    <row r="73">
      <c r="A73" s="95"/>
      <c r="B73" s="31"/>
      <c r="C73" s="31"/>
      <c r="D73" s="55"/>
      <c r="E73" s="55"/>
      <c r="F73" s="55"/>
    </row>
    <row r="74">
      <c r="A74" s="95"/>
      <c r="B74" s="31"/>
      <c r="C74" s="31"/>
      <c r="D74" s="55"/>
      <c r="E74" s="55"/>
      <c r="F74" s="55"/>
    </row>
    <row r="75">
      <c r="A75" s="95"/>
      <c r="B75" s="31"/>
      <c r="C75" s="31"/>
      <c r="D75" s="55"/>
      <c r="E75" s="55"/>
      <c r="F75" s="55"/>
    </row>
    <row r="76">
      <c r="A76" s="95"/>
      <c r="B76" s="31"/>
      <c r="C76" s="31"/>
      <c r="D76" s="55"/>
      <c r="E76" s="55"/>
      <c r="F76" s="55"/>
    </row>
    <row r="77">
      <c r="A77" s="95"/>
      <c r="B77" s="31"/>
      <c r="C77" s="31"/>
      <c r="D77" s="55"/>
      <c r="E77" s="55"/>
      <c r="F77" s="55"/>
    </row>
    <row r="78">
      <c r="A78" s="95"/>
      <c r="B78" s="31"/>
      <c r="C78" s="31"/>
      <c r="D78" s="55"/>
      <c r="E78" s="55"/>
      <c r="F78" s="55"/>
    </row>
    <row r="79">
      <c r="A79" s="95"/>
      <c r="B79" s="31"/>
      <c r="C79" s="31"/>
      <c r="D79" s="55"/>
      <c r="E79" s="55"/>
      <c r="F79" s="55"/>
    </row>
    <row r="80">
      <c r="A80" s="95"/>
      <c r="B80" s="31"/>
      <c r="C80" s="31"/>
      <c r="D80" s="55"/>
      <c r="E80" s="55"/>
      <c r="F80" s="55"/>
    </row>
    <row r="81">
      <c r="A81" s="95"/>
      <c r="B81" s="31"/>
      <c r="C81" s="31"/>
      <c r="D81" s="55"/>
      <c r="E81" s="55"/>
      <c r="F81" s="55"/>
    </row>
    <row r="82">
      <c r="A82" s="95"/>
      <c r="B82" s="31"/>
      <c r="C82" s="31"/>
      <c r="D82" s="55"/>
      <c r="E82" s="55"/>
      <c r="F82" s="55"/>
    </row>
    <row r="83">
      <c r="A83" s="95"/>
      <c r="B83" s="31"/>
      <c r="C83" s="31"/>
      <c r="D83" s="55"/>
      <c r="E83" s="55"/>
      <c r="F83" s="55"/>
    </row>
    <row r="84">
      <c r="A84" s="95"/>
      <c r="B84" s="31"/>
      <c r="C84" s="31"/>
      <c r="D84" s="55"/>
      <c r="E84" s="55"/>
      <c r="F84" s="55"/>
    </row>
    <row r="85">
      <c r="A85" s="95"/>
      <c r="B85" s="31"/>
      <c r="C85" s="31"/>
      <c r="D85" s="55"/>
      <c r="E85" s="55"/>
      <c r="F85" s="55"/>
    </row>
    <row r="86">
      <c r="A86" s="95"/>
      <c r="B86" s="31"/>
      <c r="C86" s="31"/>
      <c r="D86" s="55"/>
      <c r="E86" s="55"/>
      <c r="F86" s="55"/>
    </row>
    <row r="87">
      <c r="A87" s="95"/>
      <c r="B87" s="31"/>
      <c r="C87" s="31"/>
      <c r="D87" s="55"/>
      <c r="E87" s="55"/>
      <c r="F87" s="55"/>
    </row>
    <row r="88">
      <c r="A88" s="95"/>
      <c r="B88" s="31"/>
      <c r="C88" s="31"/>
      <c r="D88" s="55"/>
      <c r="E88" s="55"/>
      <c r="F88" s="55"/>
    </row>
    <row r="89">
      <c r="A89" s="95"/>
      <c r="B89" s="31"/>
      <c r="C89" s="31"/>
      <c r="D89" s="55"/>
      <c r="E89" s="55"/>
      <c r="F89" s="55"/>
    </row>
    <row r="90">
      <c r="A90" s="95"/>
      <c r="B90" s="31"/>
      <c r="C90" s="31"/>
      <c r="D90" s="55"/>
      <c r="E90" s="55"/>
      <c r="F90" s="55"/>
    </row>
    <row r="91">
      <c r="A91" s="95"/>
      <c r="B91" s="31"/>
      <c r="C91" s="31"/>
      <c r="D91" s="55"/>
      <c r="E91" s="55"/>
      <c r="F91" s="55"/>
    </row>
    <row r="92">
      <c r="A92" s="95"/>
      <c r="B92" s="31"/>
      <c r="C92" s="31"/>
      <c r="D92" s="55"/>
      <c r="E92" s="55"/>
      <c r="F92" s="55"/>
    </row>
    <row r="93">
      <c r="A93" s="95"/>
      <c r="B93" s="31"/>
      <c r="C93" s="31"/>
      <c r="D93" s="55"/>
      <c r="E93" s="55"/>
      <c r="F93" s="55"/>
    </row>
    <row r="94">
      <c r="A94" s="95"/>
      <c r="B94" s="31"/>
      <c r="C94" s="31"/>
      <c r="D94" s="55"/>
      <c r="E94" s="55"/>
      <c r="F94" s="55"/>
    </row>
    <row r="95">
      <c r="A95" s="95"/>
      <c r="B95" s="31"/>
      <c r="C95" s="31"/>
      <c r="D95" s="55"/>
      <c r="E95" s="55"/>
      <c r="F95" s="55"/>
    </row>
    <row r="96">
      <c r="A96" s="95"/>
      <c r="B96" s="31"/>
      <c r="C96" s="31"/>
      <c r="D96" s="55"/>
      <c r="E96" s="55"/>
      <c r="F96" s="55"/>
    </row>
    <row r="97">
      <c r="A97" s="95"/>
      <c r="B97" s="31"/>
      <c r="C97" s="31"/>
      <c r="D97" s="55"/>
      <c r="E97" s="55"/>
      <c r="F97" s="55"/>
    </row>
    <row r="98">
      <c r="A98" s="95"/>
      <c r="B98" s="31"/>
      <c r="C98" s="31"/>
      <c r="D98" s="55"/>
      <c r="E98" s="55"/>
      <c r="F98" s="55"/>
    </row>
    <row r="99">
      <c r="A99" s="90"/>
      <c r="B99" s="1"/>
      <c r="C99" s="1"/>
      <c r="D99" s="91"/>
      <c r="E99" s="91"/>
      <c r="F99" s="91"/>
    </row>
    <row r="100">
      <c r="A100" s="90"/>
      <c r="B100" s="1"/>
      <c r="C100" s="1"/>
      <c r="D100" s="91"/>
      <c r="E100" s="91"/>
      <c r="F100" s="91"/>
    </row>
    <row r="101">
      <c r="A101" s="90"/>
      <c r="B101" s="1"/>
      <c r="C101" s="1"/>
      <c r="D101" s="91"/>
      <c r="E101" s="91"/>
      <c r="F101" s="91"/>
    </row>
    <row r="102">
      <c r="A102" s="90"/>
      <c r="B102" s="1"/>
      <c r="C102" s="1"/>
      <c r="D102" s="91"/>
      <c r="E102" s="91"/>
      <c r="F102" s="91"/>
    </row>
    <row r="103">
      <c r="A103" s="90"/>
      <c r="B103" s="1"/>
      <c r="C103" s="1"/>
      <c r="D103" s="91"/>
      <c r="E103" s="91"/>
      <c r="F103" s="91"/>
    </row>
    <row r="104">
      <c r="A104" s="90"/>
      <c r="B104" s="1"/>
      <c r="C104" s="1"/>
      <c r="D104" s="91"/>
      <c r="E104" s="91"/>
      <c r="F104" s="91"/>
    </row>
    <row r="105">
      <c r="A105" s="90"/>
      <c r="B105" s="1"/>
      <c r="C105" s="1"/>
      <c r="D105" s="91"/>
      <c r="E105" s="91"/>
      <c r="F105" s="91"/>
    </row>
    <row r="106">
      <c r="A106" s="90"/>
      <c r="B106" s="1"/>
      <c r="C106" s="1"/>
      <c r="D106" s="91"/>
      <c r="E106" s="91"/>
      <c r="F106" s="91"/>
    </row>
    <row r="107">
      <c r="A107" s="90"/>
      <c r="B107" s="1"/>
      <c r="C107" s="1"/>
      <c r="D107" s="91"/>
      <c r="E107" s="91"/>
      <c r="F107" s="91"/>
    </row>
    <row r="108">
      <c r="A108" s="90"/>
      <c r="B108" s="1"/>
      <c r="C108" s="1"/>
      <c r="D108" s="91"/>
      <c r="E108" s="91"/>
      <c r="F108" s="91"/>
    </row>
    <row r="109">
      <c r="A109" s="90"/>
      <c r="B109" s="1"/>
      <c r="C109" s="1"/>
      <c r="D109" s="91"/>
      <c r="E109" s="91"/>
      <c r="F109" s="91"/>
    </row>
    <row r="110">
      <c r="A110" s="90"/>
      <c r="B110" s="1"/>
      <c r="C110" s="1"/>
      <c r="D110" s="91"/>
      <c r="E110" s="91"/>
      <c r="F110" s="91"/>
    </row>
    <row r="111">
      <c r="A111" s="90"/>
      <c r="B111" s="1"/>
      <c r="C111" s="1"/>
      <c r="D111" s="91"/>
      <c r="E111" s="91"/>
      <c r="F111" s="91"/>
    </row>
    <row r="112">
      <c r="A112" s="90"/>
      <c r="B112" s="1"/>
      <c r="C112" s="1"/>
      <c r="D112" s="91"/>
      <c r="E112" s="91"/>
      <c r="F112" s="91"/>
    </row>
    <row r="113">
      <c r="A113" s="90"/>
      <c r="B113" s="1"/>
      <c r="C113" s="1"/>
      <c r="D113" s="91"/>
      <c r="E113" s="91"/>
      <c r="F113" s="91"/>
    </row>
    <row r="114">
      <c r="A114" s="90"/>
      <c r="B114" s="1"/>
      <c r="C114" s="1"/>
      <c r="D114" s="91"/>
      <c r="E114" s="91"/>
      <c r="F114" s="91"/>
    </row>
    <row r="115">
      <c r="A115" s="90"/>
      <c r="B115" s="1"/>
      <c r="C115" s="1"/>
      <c r="D115" s="91"/>
      <c r="E115" s="91"/>
      <c r="F115" s="91"/>
    </row>
    <row r="116">
      <c r="A116" s="90"/>
      <c r="B116" s="1"/>
      <c r="C116" s="1"/>
      <c r="D116" s="91"/>
      <c r="E116" s="91"/>
      <c r="F116" s="91"/>
    </row>
    <row r="117">
      <c r="A117" s="90"/>
      <c r="B117" s="1"/>
      <c r="C117" s="1"/>
      <c r="D117" s="91"/>
      <c r="E117" s="91"/>
      <c r="F117" s="91"/>
    </row>
    <row r="118">
      <c r="A118" s="90"/>
      <c r="B118" s="1"/>
      <c r="C118" s="1"/>
      <c r="D118" s="91"/>
      <c r="E118" s="91"/>
      <c r="F118" s="91"/>
    </row>
    <row r="119">
      <c r="A119" s="90"/>
      <c r="B119" s="1"/>
      <c r="C119" s="1"/>
      <c r="D119" s="91"/>
      <c r="E119" s="91"/>
      <c r="F119" s="91"/>
    </row>
    <row r="120">
      <c r="A120" s="90"/>
      <c r="B120" s="1"/>
      <c r="C120" s="1"/>
      <c r="D120" s="91"/>
      <c r="E120" s="91"/>
      <c r="F120" s="91"/>
    </row>
    <row r="121">
      <c r="A121" s="90"/>
      <c r="B121" s="1"/>
      <c r="C121" s="1"/>
      <c r="D121" s="91"/>
      <c r="E121" s="91"/>
      <c r="F121" s="91"/>
    </row>
    <row r="122">
      <c r="A122" s="90"/>
      <c r="B122" s="1"/>
      <c r="C122" s="1"/>
      <c r="D122" s="91"/>
      <c r="E122" s="91"/>
      <c r="F122" s="91"/>
    </row>
    <row r="123">
      <c r="A123" s="90"/>
      <c r="B123" s="1"/>
      <c r="C123" s="1"/>
      <c r="D123" s="91"/>
      <c r="E123" s="91"/>
      <c r="F123" s="91"/>
    </row>
    <row r="124">
      <c r="A124" s="90"/>
      <c r="B124" s="1"/>
      <c r="C124" s="1"/>
      <c r="D124" s="91"/>
      <c r="E124" s="91"/>
      <c r="F124" s="91"/>
    </row>
    <row r="125">
      <c r="A125" s="90"/>
      <c r="B125" s="1"/>
      <c r="C125" s="1"/>
      <c r="D125" s="91"/>
      <c r="E125" s="91"/>
      <c r="F125" s="91"/>
    </row>
    <row r="126">
      <c r="A126" s="90"/>
      <c r="B126" s="1"/>
      <c r="C126" s="1"/>
      <c r="D126" s="91"/>
      <c r="E126" s="91"/>
      <c r="F126" s="91"/>
    </row>
    <row r="127">
      <c r="A127" s="90"/>
      <c r="B127" s="1"/>
      <c r="C127" s="1"/>
      <c r="D127" s="91"/>
      <c r="E127" s="91"/>
      <c r="F127" s="91"/>
    </row>
    <row r="128">
      <c r="A128" s="90"/>
      <c r="B128" s="1"/>
      <c r="C128" s="1"/>
      <c r="D128" s="91"/>
      <c r="E128" s="91"/>
      <c r="F128" s="91"/>
    </row>
    <row r="129">
      <c r="A129" s="90"/>
      <c r="B129" s="1"/>
      <c r="C129" s="1"/>
      <c r="D129" s="91"/>
      <c r="E129" s="91"/>
      <c r="F129" s="91"/>
    </row>
    <row r="130">
      <c r="A130" s="90"/>
      <c r="B130" s="1"/>
      <c r="C130" s="1"/>
      <c r="D130" s="91"/>
      <c r="E130" s="91"/>
      <c r="F130" s="91"/>
    </row>
    <row r="131">
      <c r="A131" s="90"/>
      <c r="B131" s="1"/>
      <c r="C131" s="1"/>
      <c r="D131" s="91"/>
      <c r="E131" s="91"/>
      <c r="F131" s="91"/>
    </row>
    <row r="132">
      <c r="A132" s="90"/>
      <c r="B132" s="1"/>
      <c r="C132" s="1"/>
      <c r="D132" s="91"/>
      <c r="E132" s="91"/>
      <c r="F132" s="91"/>
    </row>
    <row r="133">
      <c r="A133" s="90"/>
      <c r="B133" s="1"/>
      <c r="C133" s="1"/>
      <c r="D133" s="91"/>
      <c r="E133" s="91"/>
      <c r="F133" s="91"/>
    </row>
    <row r="134">
      <c r="A134" s="90"/>
      <c r="B134" s="1"/>
      <c r="C134" s="1"/>
      <c r="D134" s="91"/>
      <c r="E134" s="91"/>
      <c r="F134" s="91"/>
    </row>
    <row r="135">
      <c r="A135" s="90"/>
      <c r="B135" s="1"/>
      <c r="C135" s="1"/>
      <c r="D135" s="91"/>
      <c r="E135" s="91"/>
      <c r="F135" s="91"/>
    </row>
    <row r="136">
      <c r="A136" s="90"/>
      <c r="B136" s="1"/>
      <c r="C136" s="1"/>
      <c r="D136" s="91"/>
      <c r="E136" s="91"/>
      <c r="F136" s="91"/>
    </row>
    <row r="137">
      <c r="A137" s="90"/>
      <c r="B137" s="1"/>
      <c r="C137" s="1"/>
      <c r="D137" s="91"/>
      <c r="E137" s="91"/>
      <c r="F137" s="91"/>
    </row>
    <row r="138">
      <c r="A138" s="90"/>
      <c r="B138" s="1"/>
      <c r="C138" s="1"/>
      <c r="D138" s="91"/>
      <c r="E138" s="91"/>
      <c r="F138" s="91"/>
    </row>
    <row r="139">
      <c r="A139" s="90"/>
      <c r="B139" s="1"/>
      <c r="C139" s="1"/>
      <c r="D139" s="91"/>
      <c r="E139" s="91"/>
      <c r="F139" s="91"/>
    </row>
    <row r="140">
      <c r="A140" s="90"/>
      <c r="B140" s="1"/>
      <c r="C140" s="1"/>
      <c r="D140" s="91"/>
      <c r="E140" s="91"/>
      <c r="F140" s="91"/>
    </row>
    <row r="141">
      <c r="A141" s="90"/>
      <c r="B141" s="1"/>
      <c r="C141" s="1"/>
      <c r="D141" s="91"/>
      <c r="E141" s="91"/>
      <c r="F141" s="91"/>
    </row>
    <row r="142">
      <c r="A142" s="90"/>
      <c r="B142" s="1"/>
      <c r="C142" s="1"/>
      <c r="D142" s="91"/>
      <c r="E142" s="91"/>
      <c r="F142" s="91"/>
    </row>
    <row r="143">
      <c r="A143" s="90"/>
      <c r="B143" s="1"/>
      <c r="C143" s="1"/>
      <c r="D143" s="91"/>
      <c r="E143" s="91"/>
      <c r="F143" s="91"/>
    </row>
    <row r="144">
      <c r="A144" s="90"/>
      <c r="B144" s="1"/>
      <c r="C144" s="1"/>
      <c r="D144" s="91"/>
      <c r="E144" s="91"/>
      <c r="F144" s="91"/>
    </row>
    <row r="145">
      <c r="A145" s="90"/>
      <c r="B145" s="1"/>
      <c r="C145" s="1"/>
      <c r="D145" s="91"/>
      <c r="E145" s="91"/>
      <c r="F145" s="91"/>
    </row>
    <row r="146">
      <c r="A146" s="90"/>
      <c r="B146" s="1"/>
      <c r="C146" s="1"/>
      <c r="D146" s="91"/>
      <c r="E146" s="91"/>
      <c r="F146" s="91"/>
    </row>
    <row r="147">
      <c r="A147" s="90"/>
      <c r="B147" s="1"/>
      <c r="C147" s="1"/>
      <c r="D147" s="91"/>
      <c r="E147" s="91"/>
      <c r="F147" s="91"/>
    </row>
    <row r="148">
      <c r="A148" s="90"/>
      <c r="B148" s="1"/>
      <c r="C148" s="1"/>
      <c r="D148" s="91"/>
      <c r="E148" s="91"/>
      <c r="F148" s="91"/>
    </row>
    <row r="149">
      <c r="A149" s="90"/>
      <c r="B149" s="1"/>
      <c r="C149" s="1"/>
      <c r="D149" s="91"/>
      <c r="E149" s="91"/>
      <c r="F149" s="91"/>
    </row>
    <row r="150">
      <c r="A150" s="90"/>
      <c r="B150" s="1"/>
      <c r="C150" s="1"/>
      <c r="D150" s="91"/>
      <c r="E150" s="91"/>
      <c r="F150" s="91"/>
    </row>
    <row r="151">
      <c r="A151" s="90"/>
      <c r="B151" s="1"/>
      <c r="C151" s="1"/>
      <c r="D151" s="91"/>
      <c r="E151" s="91"/>
      <c r="F151" s="91"/>
    </row>
    <row r="152">
      <c r="A152" s="90"/>
      <c r="B152" s="1"/>
      <c r="C152" s="1"/>
      <c r="D152" s="91"/>
      <c r="E152" s="91"/>
      <c r="F152" s="91"/>
    </row>
    <row r="153">
      <c r="A153" s="90"/>
      <c r="B153" s="1"/>
      <c r="C153" s="1"/>
      <c r="D153" s="91"/>
      <c r="E153" s="91"/>
      <c r="F153" s="91"/>
    </row>
    <row r="154">
      <c r="A154" s="90"/>
      <c r="B154" s="1"/>
      <c r="C154" s="1"/>
      <c r="D154" s="91"/>
      <c r="E154" s="91"/>
      <c r="F154" s="91"/>
    </row>
    <row r="155">
      <c r="A155" s="90"/>
      <c r="B155" s="1"/>
      <c r="C155" s="1"/>
      <c r="D155" s="91"/>
      <c r="E155" s="91"/>
      <c r="F155" s="91"/>
    </row>
    <row r="156">
      <c r="A156" s="90"/>
      <c r="B156" s="1"/>
      <c r="C156" s="1"/>
      <c r="D156" s="91"/>
      <c r="E156" s="91"/>
      <c r="F156" s="91"/>
    </row>
    <row r="157">
      <c r="A157" s="90"/>
      <c r="B157" s="1"/>
      <c r="C157" s="1"/>
      <c r="D157" s="91"/>
      <c r="E157" s="91"/>
      <c r="F157" s="91"/>
    </row>
    <row r="158">
      <c r="A158" s="90"/>
      <c r="B158" s="1"/>
      <c r="C158" s="1"/>
      <c r="D158" s="91"/>
      <c r="E158" s="91"/>
      <c r="F158" s="91"/>
    </row>
    <row r="159">
      <c r="A159" s="90"/>
      <c r="B159" s="1"/>
      <c r="C159" s="1"/>
      <c r="D159" s="91"/>
      <c r="E159" s="91"/>
      <c r="F159" s="91"/>
    </row>
    <row r="160">
      <c r="A160" s="90"/>
      <c r="B160" s="1"/>
      <c r="C160" s="1"/>
      <c r="D160" s="91"/>
      <c r="E160" s="91"/>
      <c r="F160" s="91"/>
    </row>
    <row r="161">
      <c r="A161" s="90"/>
      <c r="B161" s="1"/>
      <c r="C161" s="1"/>
      <c r="D161" s="91"/>
      <c r="E161" s="91"/>
      <c r="F161" s="91"/>
    </row>
    <row r="162">
      <c r="A162" s="90"/>
      <c r="B162" s="1"/>
      <c r="C162" s="1"/>
      <c r="D162" s="91"/>
      <c r="E162" s="91"/>
      <c r="F162" s="91"/>
    </row>
    <row r="163">
      <c r="A163" s="90"/>
      <c r="B163" s="1"/>
      <c r="C163" s="1"/>
      <c r="D163" s="91"/>
      <c r="E163" s="91"/>
      <c r="F163" s="91"/>
    </row>
    <row r="164">
      <c r="A164" s="90"/>
      <c r="B164" s="1"/>
      <c r="C164" s="1"/>
      <c r="D164" s="91"/>
      <c r="E164" s="91"/>
      <c r="F164" s="91"/>
    </row>
    <row r="165">
      <c r="A165" s="90"/>
      <c r="B165" s="1"/>
      <c r="C165" s="1"/>
      <c r="D165" s="91"/>
      <c r="E165" s="91"/>
      <c r="F165" s="91"/>
    </row>
    <row r="166">
      <c r="A166" s="90"/>
      <c r="B166" s="1"/>
      <c r="C166" s="1"/>
      <c r="D166" s="91"/>
      <c r="E166" s="91"/>
      <c r="F166" s="91"/>
    </row>
    <row r="167">
      <c r="A167" s="90"/>
      <c r="B167" s="1"/>
      <c r="C167" s="1"/>
      <c r="D167" s="91"/>
      <c r="E167" s="91"/>
      <c r="F167" s="91"/>
    </row>
    <row r="168">
      <c r="A168" s="90"/>
      <c r="B168" s="1"/>
      <c r="C168" s="1"/>
      <c r="D168" s="91"/>
      <c r="E168" s="91"/>
      <c r="F168" s="91"/>
    </row>
    <row r="169">
      <c r="A169" s="90"/>
      <c r="B169" s="1"/>
      <c r="C169" s="1"/>
      <c r="D169" s="91"/>
      <c r="E169" s="91"/>
      <c r="F169" s="91"/>
    </row>
    <row r="170">
      <c r="A170" s="90"/>
      <c r="B170" s="1"/>
      <c r="C170" s="1"/>
      <c r="D170" s="91"/>
      <c r="E170" s="91"/>
      <c r="F170" s="91"/>
    </row>
    <row r="171">
      <c r="A171" s="90"/>
      <c r="B171" s="1"/>
      <c r="C171" s="1"/>
      <c r="D171" s="91"/>
      <c r="E171" s="91"/>
      <c r="F171" s="91"/>
    </row>
    <row r="172">
      <c r="A172" s="90"/>
      <c r="B172" s="1"/>
      <c r="C172" s="1"/>
      <c r="D172" s="91"/>
      <c r="E172" s="91"/>
      <c r="F172" s="91"/>
    </row>
    <row r="173">
      <c r="A173" s="90"/>
      <c r="B173" s="1"/>
      <c r="C173" s="1"/>
      <c r="D173" s="91"/>
      <c r="E173" s="91"/>
      <c r="F173" s="91"/>
    </row>
    <row r="174">
      <c r="A174" s="90"/>
      <c r="B174" s="1"/>
      <c r="C174" s="1"/>
      <c r="D174" s="91"/>
      <c r="E174" s="91"/>
      <c r="F174" s="91"/>
    </row>
    <row r="175">
      <c r="A175" s="90"/>
      <c r="B175" s="1"/>
      <c r="C175" s="1"/>
      <c r="D175" s="91"/>
      <c r="E175" s="91"/>
      <c r="F175" s="91"/>
    </row>
    <row r="176">
      <c r="A176" s="90"/>
      <c r="B176" s="1"/>
      <c r="C176" s="1"/>
      <c r="D176" s="91"/>
      <c r="E176" s="91"/>
      <c r="F176" s="91"/>
    </row>
    <row r="177">
      <c r="A177" s="90"/>
      <c r="B177" s="1"/>
      <c r="C177" s="1"/>
      <c r="D177" s="91"/>
      <c r="E177" s="91"/>
      <c r="F177" s="91"/>
    </row>
    <row r="178">
      <c r="A178" s="90"/>
      <c r="B178" s="1"/>
      <c r="C178" s="1"/>
      <c r="D178" s="91"/>
      <c r="E178" s="91"/>
      <c r="F178" s="91"/>
    </row>
    <row r="179">
      <c r="A179" s="90"/>
      <c r="B179" s="1"/>
      <c r="C179" s="1"/>
      <c r="D179" s="91"/>
      <c r="E179" s="91"/>
      <c r="F179" s="91"/>
    </row>
    <row r="180">
      <c r="A180" s="90"/>
      <c r="B180" s="1"/>
      <c r="C180" s="1"/>
      <c r="D180" s="91"/>
      <c r="E180" s="91"/>
      <c r="F180" s="91"/>
    </row>
    <row r="181">
      <c r="A181" s="90"/>
      <c r="B181" s="1"/>
      <c r="C181" s="1"/>
      <c r="D181" s="91"/>
      <c r="E181" s="91"/>
      <c r="F181" s="91"/>
    </row>
    <row r="182">
      <c r="A182" s="90"/>
      <c r="B182" s="1"/>
      <c r="C182" s="1"/>
      <c r="D182" s="91"/>
      <c r="E182" s="91"/>
      <c r="F182" s="91"/>
    </row>
    <row r="183">
      <c r="A183" s="90"/>
      <c r="B183" s="1"/>
      <c r="C183" s="1"/>
      <c r="D183" s="91"/>
      <c r="E183" s="91"/>
      <c r="F183" s="91"/>
    </row>
    <row r="184">
      <c r="A184" s="90"/>
      <c r="B184" s="1"/>
      <c r="C184" s="1"/>
      <c r="D184" s="91"/>
      <c r="E184" s="91"/>
      <c r="F184" s="91"/>
    </row>
    <row r="185">
      <c r="A185" s="90"/>
      <c r="B185" s="1"/>
      <c r="C185" s="1"/>
      <c r="D185" s="91"/>
      <c r="E185" s="91"/>
      <c r="F185" s="91"/>
    </row>
    <row r="186">
      <c r="A186" s="90"/>
      <c r="B186" s="1"/>
      <c r="C186" s="1"/>
      <c r="D186" s="91"/>
      <c r="E186" s="91"/>
      <c r="F186" s="91"/>
    </row>
    <row r="187">
      <c r="A187" s="90"/>
      <c r="B187" s="1"/>
      <c r="C187" s="1"/>
      <c r="D187" s="91"/>
      <c r="E187" s="91"/>
      <c r="F187" s="91"/>
    </row>
    <row r="188">
      <c r="A188" s="90"/>
      <c r="B188" s="1"/>
      <c r="C188" s="1"/>
      <c r="D188" s="91"/>
      <c r="E188" s="91"/>
      <c r="F188" s="91"/>
    </row>
    <row r="189">
      <c r="A189" s="90"/>
      <c r="B189" s="1"/>
      <c r="C189" s="1"/>
      <c r="D189" s="91"/>
      <c r="E189" s="91"/>
      <c r="F189" s="91"/>
    </row>
    <row r="190">
      <c r="A190" s="90"/>
      <c r="B190" s="1"/>
      <c r="C190" s="1"/>
      <c r="D190" s="91"/>
      <c r="E190" s="91"/>
      <c r="F190" s="91"/>
    </row>
    <row r="191">
      <c r="A191" s="90"/>
      <c r="B191" s="1"/>
      <c r="C191" s="1"/>
      <c r="D191" s="91"/>
      <c r="E191" s="91"/>
      <c r="F191" s="91"/>
    </row>
    <row r="192">
      <c r="A192" s="90"/>
      <c r="B192" s="1"/>
      <c r="C192" s="1"/>
      <c r="D192" s="91"/>
      <c r="E192" s="91"/>
      <c r="F192" s="91"/>
    </row>
    <row r="193">
      <c r="A193" s="90"/>
      <c r="B193" s="1"/>
      <c r="C193" s="1"/>
      <c r="D193" s="91"/>
      <c r="E193" s="91"/>
      <c r="F193" s="91"/>
    </row>
    <row r="194">
      <c r="A194" s="90"/>
      <c r="B194" s="1"/>
      <c r="C194" s="1"/>
      <c r="D194" s="91"/>
      <c r="E194" s="91"/>
      <c r="F194" s="91"/>
    </row>
    <row r="195">
      <c r="A195" s="90"/>
      <c r="B195" s="1"/>
      <c r="C195" s="1"/>
      <c r="D195" s="91"/>
      <c r="E195" s="91"/>
      <c r="F195" s="91"/>
    </row>
    <row r="196">
      <c r="A196" s="90"/>
      <c r="B196" s="1"/>
      <c r="C196" s="1"/>
      <c r="D196" s="91"/>
      <c r="E196" s="91"/>
      <c r="F196" s="91"/>
    </row>
    <row r="197">
      <c r="A197" s="90"/>
      <c r="B197" s="1"/>
      <c r="C197" s="1"/>
      <c r="D197" s="91"/>
      <c r="E197" s="91"/>
      <c r="F197" s="91"/>
    </row>
    <row r="198">
      <c r="A198" s="90"/>
      <c r="B198" s="1"/>
      <c r="C198" s="1"/>
      <c r="D198" s="91"/>
      <c r="E198" s="91"/>
      <c r="F198" s="91"/>
    </row>
    <row r="199">
      <c r="A199" s="90"/>
      <c r="B199" s="1"/>
      <c r="C199" s="1"/>
      <c r="D199" s="91"/>
      <c r="E199" s="91"/>
      <c r="F199" s="91"/>
    </row>
    <row r="200">
      <c r="A200" s="90"/>
      <c r="B200" s="1"/>
      <c r="C200" s="1"/>
      <c r="D200" s="91"/>
      <c r="E200" s="91"/>
      <c r="F200" s="91"/>
    </row>
    <row r="201">
      <c r="A201" s="90"/>
      <c r="B201" s="1"/>
      <c r="C201" s="1"/>
      <c r="D201" s="91"/>
      <c r="E201" s="91"/>
      <c r="F201" s="91"/>
    </row>
    <row r="202">
      <c r="A202" s="90"/>
      <c r="B202" s="1"/>
      <c r="C202" s="1"/>
      <c r="D202" s="91"/>
      <c r="E202" s="91"/>
      <c r="F202" s="91"/>
    </row>
    <row r="203">
      <c r="A203" s="90"/>
      <c r="B203" s="1"/>
      <c r="C203" s="1"/>
      <c r="D203" s="91"/>
      <c r="E203" s="91"/>
      <c r="F203" s="91"/>
    </row>
    <row r="204">
      <c r="A204" s="90"/>
      <c r="B204" s="1"/>
      <c r="C204" s="1"/>
      <c r="D204" s="91"/>
      <c r="E204" s="91"/>
      <c r="F204" s="91"/>
    </row>
    <row r="205">
      <c r="A205" s="90"/>
      <c r="B205" s="1"/>
      <c r="C205" s="1"/>
      <c r="D205" s="91"/>
      <c r="E205" s="91"/>
      <c r="F205" s="91"/>
    </row>
    <row r="206">
      <c r="A206" s="90"/>
      <c r="B206" s="1"/>
      <c r="C206" s="1"/>
      <c r="D206" s="91"/>
      <c r="E206" s="91"/>
      <c r="F206" s="91"/>
    </row>
    <row r="207">
      <c r="A207" s="90"/>
      <c r="B207" s="1"/>
      <c r="C207" s="1"/>
      <c r="D207" s="91"/>
      <c r="E207" s="91"/>
      <c r="F207" s="91"/>
    </row>
    <row r="208">
      <c r="A208" s="90"/>
      <c r="B208" s="1"/>
      <c r="C208" s="1"/>
      <c r="D208" s="91"/>
      <c r="E208" s="91"/>
      <c r="F208" s="91"/>
    </row>
    <row r="209">
      <c r="A209" s="90"/>
      <c r="B209" s="1"/>
      <c r="C209" s="1"/>
      <c r="D209" s="91"/>
      <c r="E209" s="91"/>
      <c r="F209" s="91"/>
    </row>
    <row r="210">
      <c r="A210" s="90"/>
      <c r="B210" s="1"/>
      <c r="C210" s="1"/>
      <c r="D210" s="91"/>
      <c r="E210" s="91"/>
      <c r="F210" s="91"/>
    </row>
    <row r="211">
      <c r="A211" s="90"/>
      <c r="B211" s="1"/>
      <c r="C211" s="1"/>
      <c r="D211" s="91"/>
      <c r="E211" s="91"/>
      <c r="F211" s="91"/>
    </row>
    <row r="212">
      <c r="A212" s="90"/>
      <c r="B212" s="1"/>
      <c r="C212" s="1"/>
      <c r="D212" s="91"/>
      <c r="E212" s="91"/>
      <c r="F212" s="91"/>
    </row>
    <row r="213">
      <c r="A213" s="90"/>
      <c r="B213" s="1"/>
      <c r="C213" s="1"/>
      <c r="D213" s="91"/>
      <c r="E213" s="91"/>
      <c r="F213" s="91"/>
    </row>
    <row r="214">
      <c r="A214" s="90"/>
      <c r="B214" s="1"/>
      <c r="C214" s="1"/>
      <c r="D214" s="91"/>
      <c r="E214" s="91"/>
      <c r="F214" s="91"/>
    </row>
    <row r="215">
      <c r="A215" s="90"/>
      <c r="B215" s="1"/>
      <c r="C215" s="1"/>
      <c r="D215" s="91"/>
      <c r="E215" s="91"/>
      <c r="F215" s="91"/>
    </row>
    <row r="216">
      <c r="A216" s="90"/>
      <c r="B216" s="1"/>
      <c r="C216" s="1"/>
      <c r="D216" s="91"/>
      <c r="E216" s="91"/>
      <c r="F216" s="91"/>
    </row>
    <row r="217">
      <c r="A217" s="90"/>
      <c r="B217" s="1"/>
      <c r="C217" s="1"/>
      <c r="D217" s="91"/>
      <c r="E217" s="91"/>
      <c r="F217" s="91"/>
    </row>
    <row r="218">
      <c r="A218" s="90"/>
      <c r="B218" s="1"/>
      <c r="C218" s="1"/>
      <c r="D218" s="91"/>
      <c r="E218" s="91"/>
      <c r="F218" s="91"/>
    </row>
    <row r="219">
      <c r="A219" s="90"/>
      <c r="B219" s="1"/>
      <c r="C219" s="1"/>
      <c r="D219" s="91"/>
      <c r="E219" s="91"/>
      <c r="F219" s="91"/>
    </row>
    <row r="220">
      <c r="A220" s="90"/>
      <c r="B220" s="1"/>
      <c r="C220" s="1"/>
      <c r="D220" s="91"/>
      <c r="E220" s="91"/>
      <c r="F220" s="91"/>
    </row>
    <row r="221">
      <c r="A221" s="90"/>
      <c r="B221" s="1"/>
      <c r="C221" s="1"/>
      <c r="D221" s="91"/>
      <c r="E221" s="91"/>
      <c r="F221" s="91"/>
    </row>
    <row r="222">
      <c r="A222" s="90"/>
      <c r="B222" s="1"/>
      <c r="C222" s="1"/>
      <c r="D222" s="91"/>
      <c r="E222" s="91"/>
      <c r="F222" s="91"/>
    </row>
    <row r="223">
      <c r="A223" s="90"/>
      <c r="B223" s="1"/>
      <c r="C223" s="1"/>
      <c r="D223" s="91"/>
      <c r="E223" s="91"/>
      <c r="F223" s="91"/>
    </row>
    <row r="224">
      <c r="A224" s="90"/>
      <c r="B224" s="1"/>
      <c r="C224" s="1"/>
      <c r="D224" s="91"/>
      <c r="E224" s="91"/>
      <c r="F224" s="91"/>
    </row>
    <row r="225">
      <c r="A225" s="90"/>
      <c r="B225" s="1"/>
      <c r="C225" s="1"/>
      <c r="D225" s="91"/>
      <c r="E225" s="91"/>
      <c r="F225" s="91"/>
    </row>
    <row r="226">
      <c r="A226" s="90"/>
      <c r="B226" s="1"/>
      <c r="C226" s="1"/>
      <c r="D226" s="91"/>
      <c r="E226" s="91"/>
      <c r="F226" s="91"/>
    </row>
    <row r="227">
      <c r="A227" s="90"/>
      <c r="B227" s="1"/>
      <c r="C227" s="1"/>
      <c r="D227" s="91"/>
      <c r="E227" s="91"/>
      <c r="F227" s="91"/>
    </row>
    <row r="228">
      <c r="A228" s="90"/>
      <c r="B228" s="1"/>
      <c r="C228" s="1"/>
      <c r="D228" s="91"/>
      <c r="E228" s="91"/>
      <c r="F228" s="91"/>
    </row>
    <row r="229">
      <c r="A229" s="90"/>
      <c r="B229" s="1"/>
      <c r="C229" s="1"/>
      <c r="D229" s="91"/>
      <c r="E229" s="91"/>
      <c r="F229" s="91"/>
    </row>
    <row r="230">
      <c r="A230" s="90"/>
      <c r="B230" s="1"/>
      <c r="C230" s="1"/>
      <c r="D230" s="91"/>
      <c r="E230" s="91"/>
      <c r="F230" s="91"/>
    </row>
    <row r="231">
      <c r="A231" s="90"/>
      <c r="B231" s="1"/>
      <c r="C231" s="1"/>
      <c r="D231" s="91"/>
      <c r="E231" s="91"/>
      <c r="F231" s="91"/>
    </row>
    <row r="232">
      <c r="A232" s="90"/>
      <c r="B232" s="1"/>
      <c r="C232" s="1"/>
      <c r="D232" s="91"/>
      <c r="E232" s="91"/>
      <c r="F232" s="91"/>
    </row>
    <row r="233">
      <c r="A233" s="90"/>
      <c r="B233" s="1"/>
      <c r="C233" s="1"/>
      <c r="D233" s="91"/>
      <c r="E233" s="91"/>
      <c r="F233" s="91"/>
    </row>
    <row r="234">
      <c r="A234" s="90"/>
      <c r="B234" s="1"/>
      <c r="C234" s="1"/>
      <c r="D234" s="91"/>
      <c r="E234" s="91"/>
      <c r="F234" s="91"/>
    </row>
    <row r="235">
      <c r="A235" s="90"/>
      <c r="B235" s="1"/>
      <c r="C235" s="1"/>
      <c r="D235" s="91"/>
      <c r="E235" s="91"/>
      <c r="F235" s="91"/>
    </row>
    <row r="236">
      <c r="A236" s="90"/>
      <c r="B236" s="1"/>
      <c r="C236" s="1"/>
      <c r="D236" s="91"/>
      <c r="E236" s="91"/>
      <c r="F236" s="91"/>
    </row>
    <row r="237">
      <c r="A237" s="90"/>
      <c r="B237" s="1"/>
      <c r="C237" s="1"/>
      <c r="D237" s="91"/>
      <c r="E237" s="91"/>
      <c r="F237" s="91"/>
    </row>
    <row r="238">
      <c r="A238" s="90"/>
      <c r="B238" s="1"/>
      <c r="C238" s="1"/>
      <c r="D238" s="91"/>
      <c r="E238" s="91"/>
      <c r="F238" s="91"/>
    </row>
    <row r="239">
      <c r="A239" s="90"/>
      <c r="B239" s="1"/>
      <c r="C239" s="1"/>
      <c r="D239" s="91"/>
      <c r="E239" s="91"/>
      <c r="F239" s="91"/>
    </row>
    <row r="240">
      <c r="A240" s="90"/>
      <c r="B240" s="1"/>
      <c r="C240" s="1"/>
      <c r="D240" s="91"/>
      <c r="E240" s="91"/>
      <c r="F240" s="91"/>
    </row>
    <row r="241">
      <c r="A241" s="90"/>
      <c r="B241" s="1"/>
      <c r="C241" s="1"/>
      <c r="D241" s="91"/>
      <c r="E241" s="91"/>
      <c r="F241" s="91"/>
    </row>
    <row r="242">
      <c r="A242" s="90"/>
      <c r="B242" s="1"/>
      <c r="C242" s="1"/>
      <c r="D242" s="91"/>
      <c r="E242" s="91"/>
      <c r="F242" s="91"/>
    </row>
    <row r="243">
      <c r="A243" s="90"/>
      <c r="B243" s="1"/>
      <c r="C243" s="1"/>
      <c r="D243" s="91"/>
      <c r="E243" s="91"/>
      <c r="F243" s="91"/>
    </row>
    <row r="244">
      <c r="A244" s="90"/>
      <c r="B244" s="1"/>
      <c r="C244" s="1"/>
      <c r="D244" s="91"/>
      <c r="E244" s="91"/>
      <c r="F244" s="91"/>
    </row>
    <row r="245">
      <c r="A245" s="90"/>
      <c r="B245" s="1"/>
      <c r="C245" s="1"/>
      <c r="D245" s="91"/>
      <c r="E245" s="91"/>
      <c r="F245" s="91"/>
    </row>
    <row r="246">
      <c r="A246" s="90"/>
      <c r="B246" s="1"/>
      <c r="C246" s="1"/>
      <c r="D246" s="91"/>
      <c r="E246" s="91"/>
      <c r="F246" s="91"/>
    </row>
    <row r="247">
      <c r="A247" s="90"/>
      <c r="B247" s="1"/>
      <c r="C247" s="1"/>
      <c r="D247" s="91"/>
      <c r="E247" s="91"/>
      <c r="F247" s="91"/>
    </row>
    <row r="248">
      <c r="A248" s="90"/>
      <c r="B248" s="1"/>
      <c r="C248" s="1"/>
      <c r="D248" s="91"/>
      <c r="E248" s="91"/>
      <c r="F248" s="91"/>
    </row>
    <row r="249">
      <c r="A249" s="90"/>
      <c r="B249" s="1"/>
      <c r="C249" s="1"/>
      <c r="D249" s="91"/>
      <c r="E249" s="91"/>
      <c r="F249" s="91"/>
    </row>
    <row r="250">
      <c r="A250" s="90"/>
      <c r="B250" s="1"/>
      <c r="C250" s="1"/>
      <c r="D250" s="91"/>
      <c r="E250" s="91"/>
      <c r="F250" s="91"/>
    </row>
    <row r="251">
      <c r="A251" s="90"/>
      <c r="B251" s="1"/>
      <c r="C251" s="1"/>
      <c r="D251" s="91"/>
      <c r="E251" s="91"/>
      <c r="F251" s="91"/>
    </row>
    <row r="252">
      <c r="A252" s="90"/>
      <c r="B252" s="1"/>
      <c r="C252" s="1"/>
      <c r="D252" s="91"/>
      <c r="E252" s="91"/>
      <c r="F252" s="91"/>
    </row>
    <row r="253">
      <c r="A253" s="90"/>
      <c r="B253" s="1"/>
      <c r="C253" s="1"/>
      <c r="D253" s="91"/>
      <c r="E253" s="91"/>
      <c r="F253" s="91"/>
    </row>
    <row r="254">
      <c r="A254" s="90"/>
      <c r="B254" s="1"/>
      <c r="C254" s="1"/>
      <c r="D254" s="91"/>
      <c r="E254" s="91"/>
      <c r="F254" s="91"/>
    </row>
    <row r="255">
      <c r="A255" s="90"/>
      <c r="B255" s="1"/>
      <c r="C255" s="1"/>
      <c r="D255" s="91"/>
      <c r="E255" s="91"/>
      <c r="F255" s="91"/>
    </row>
    <row r="256">
      <c r="A256" s="90"/>
      <c r="B256" s="1"/>
      <c r="C256" s="1"/>
      <c r="D256" s="91"/>
      <c r="E256" s="91"/>
      <c r="F256" s="91"/>
    </row>
    <row r="257">
      <c r="A257" s="90"/>
      <c r="B257" s="1"/>
      <c r="C257" s="1"/>
      <c r="D257" s="91"/>
      <c r="E257" s="91"/>
      <c r="F257" s="91"/>
    </row>
    <row r="258">
      <c r="A258" s="90"/>
      <c r="B258" s="1"/>
      <c r="C258" s="1"/>
      <c r="D258" s="91"/>
      <c r="E258" s="91"/>
      <c r="F258" s="91"/>
    </row>
    <row r="259">
      <c r="A259" s="90"/>
      <c r="B259" s="1"/>
      <c r="C259" s="1"/>
      <c r="D259" s="91"/>
      <c r="E259" s="91"/>
      <c r="F259" s="91"/>
    </row>
    <row r="260">
      <c r="A260" s="90"/>
      <c r="B260" s="1"/>
      <c r="C260" s="1"/>
      <c r="D260" s="91"/>
      <c r="E260" s="91"/>
      <c r="F260" s="91"/>
    </row>
    <row r="261">
      <c r="A261" s="90"/>
      <c r="B261" s="1"/>
      <c r="C261" s="1"/>
      <c r="D261" s="91"/>
      <c r="E261" s="91"/>
      <c r="F261" s="91"/>
    </row>
    <row r="262">
      <c r="A262" s="90"/>
      <c r="B262" s="1"/>
      <c r="C262" s="1"/>
      <c r="D262" s="91"/>
      <c r="E262" s="91"/>
      <c r="F262" s="91"/>
    </row>
    <row r="263">
      <c r="A263" s="90"/>
      <c r="B263" s="1"/>
      <c r="C263" s="1"/>
      <c r="D263" s="91"/>
      <c r="E263" s="91"/>
      <c r="F263" s="91"/>
    </row>
    <row r="264">
      <c r="A264" s="90"/>
      <c r="B264" s="1"/>
      <c r="C264" s="1"/>
      <c r="D264" s="91"/>
      <c r="E264" s="91"/>
      <c r="F264" s="91"/>
    </row>
    <row r="265">
      <c r="A265" s="90"/>
      <c r="B265" s="1"/>
      <c r="C265" s="1"/>
      <c r="D265" s="91"/>
      <c r="E265" s="91"/>
      <c r="F265" s="91"/>
    </row>
    <row r="266">
      <c r="A266" s="90"/>
      <c r="B266" s="1"/>
      <c r="C266" s="1"/>
      <c r="D266" s="91"/>
      <c r="E266" s="91"/>
      <c r="F266" s="91"/>
    </row>
    <row r="267">
      <c r="A267" s="90"/>
      <c r="B267" s="1"/>
      <c r="C267" s="1"/>
      <c r="D267" s="91"/>
      <c r="E267" s="91"/>
      <c r="F267" s="91"/>
    </row>
    <row r="268">
      <c r="A268" s="90"/>
      <c r="B268" s="1"/>
      <c r="C268" s="1"/>
      <c r="D268" s="91"/>
      <c r="E268" s="91"/>
      <c r="F268" s="91"/>
    </row>
    <row r="269">
      <c r="A269" s="90"/>
      <c r="B269" s="1"/>
      <c r="C269" s="1"/>
      <c r="D269" s="91"/>
      <c r="E269" s="91"/>
      <c r="F269" s="91"/>
    </row>
    <row r="270">
      <c r="A270" s="90"/>
      <c r="B270" s="1"/>
      <c r="C270" s="1"/>
      <c r="D270" s="91"/>
      <c r="E270" s="91"/>
      <c r="F270" s="91"/>
    </row>
    <row r="271">
      <c r="A271" s="90"/>
      <c r="B271" s="1"/>
      <c r="C271" s="1"/>
      <c r="D271" s="91"/>
      <c r="E271" s="91"/>
      <c r="F271" s="91"/>
    </row>
    <row r="272">
      <c r="A272" s="90"/>
      <c r="B272" s="1"/>
      <c r="C272" s="1"/>
      <c r="D272" s="91"/>
      <c r="E272" s="91"/>
      <c r="F272" s="91"/>
    </row>
    <row r="273">
      <c r="A273" s="90"/>
      <c r="B273" s="1"/>
      <c r="C273" s="1"/>
      <c r="D273" s="91"/>
      <c r="E273" s="91"/>
      <c r="F273" s="91"/>
    </row>
    <row r="274">
      <c r="A274" s="90"/>
      <c r="B274" s="1"/>
      <c r="C274" s="1"/>
      <c r="D274" s="91"/>
      <c r="E274" s="91"/>
      <c r="F274" s="91"/>
    </row>
    <row r="275">
      <c r="A275" s="90"/>
      <c r="B275" s="1"/>
      <c r="C275" s="1"/>
      <c r="D275" s="91"/>
      <c r="E275" s="91"/>
      <c r="F275" s="91"/>
    </row>
    <row r="276">
      <c r="A276" s="90"/>
      <c r="B276" s="1"/>
      <c r="C276" s="1"/>
      <c r="D276" s="91"/>
      <c r="E276" s="91"/>
      <c r="F276" s="91"/>
    </row>
    <row r="277">
      <c r="A277" s="90"/>
      <c r="B277" s="1"/>
      <c r="C277" s="1"/>
      <c r="D277" s="91"/>
      <c r="E277" s="91"/>
      <c r="F277" s="91"/>
    </row>
    <row r="278">
      <c r="A278" s="90"/>
      <c r="B278" s="1"/>
      <c r="C278" s="1"/>
      <c r="D278" s="91"/>
      <c r="E278" s="91"/>
      <c r="F278" s="91"/>
    </row>
    <row r="279">
      <c r="A279" s="90"/>
      <c r="B279" s="1"/>
      <c r="C279" s="1"/>
      <c r="D279" s="91"/>
      <c r="E279" s="91"/>
      <c r="F279" s="91"/>
    </row>
    <row r="280">
      <c r="A280" s="90"/>
      <c r="B280" s="1"/>
      <c r="C280" s="1"/>
      <c r="D280" s="91"/>
      <c r="E280" s="91"/>
      <c r="F280" s="91"/>
    </row>
    <row r="281">
      <c r="A281" s="90"/>
      <c r="B281" s="1"/>
      <c r="C281" s="1"/>
      <c r="D281" s="91"/>
      <c r="E281" s="91"/>
      <c r="F281" s="91"/>
    </row>
    <row r="282">
      <c r="A282" s="90"/>
      <c r="B282" s="1"/>
      <c r="C282" s="1"/>
      <c r="D282" s="91"/>
      <c r="E282" s="91"/>
      <c r="F282" s="91"/>
    </row>
    <row r="283">
      <c r="A283" s="90"/>
      <c r="B283" s="1"/>
      <c r="C283" s="1"/>
      <c r="D283" s="91"/>
      <c r="E283" s="91"/>
      <c r="F283" s="91"/>
    </row>
    <row r="284">
      <c r="A284" s="90"/>
      <c r="B284" s="1"/>
      <c r="C284" s="1"/>
      <c r="D284" s="91"/>
      <c r="E284" s="91"/>
      <c r="F284" s="91"/>
    </row>
    <row r="285">
      <c r="A285" s="90"/>
      <c r="B285" s="1"/>
      <c r="C285" s="1"/>
      <c r="D285" s="91"/>
      <c r="E285" s="91"/>
      <c r="F285" s="91"/>
    </row>
    <row r="286">
      <c r="A286" s="90"/>
      <c r="B286" s="1"/>
      <c r="C286" s="1"/>
      <c r="D286" s="91"/>
      <c r="E286" s="91"/>
      <c r="F286" s="91"/>
    </row>
    <row r="287">
      <c r="A287" s="90"/>
      <c r="B287" s="1"/>
      <c r="C287" s="1"/>
      <c r="D287" s="91"/>
      <c r="E287" s="91"/>
      <c r="F287" s="91"/>
    </row>
    <row r="288">
      <c r="A288" s="90"/>
      <c r="B288" s="1"/>
      <c r="C288" s="1"/>
      <c r="D288" s="91"/>
      <c r="E288" s="91"/>
      <c r="F288" s="91"/>
    </row>
    <row r="289">
      <c r="A289" s="90"/>
      <c r="B289" s="1"/>
      <c r="C289" s="1"/>
      <c r="D289" s="91"/>
      <c r="E289" s="91"/>
      <c r="F289" s="91"/>
    </row>
    <row r="290">
      <c r="A290" s="90"/>
      <c r="B290" s="1"/>
      <c r="C290" s="1"/>
      <c r="D290" s="91"/>
      <c r="E290" s="91"/>
      <c r="F290" s="91"/>
    </row>
    <row r="291">
      <c r="A291" s="90"/>
      <c r="B291" s="1"/>
      <c r="C291" s="1"/>
      <c r="D291" s="91"/>
      <c r="E291" s="91"/>
      <c r="F291" s="91"/>
    </row>
    <row r="292">
      <c r="A292" s="90"/>
      <c r="B292" s="1"/>
      <c r="C292" s="1"/>
      <c r="D292" s="91"/>
      <c r="E292" s="91"/>
      <c r="F292" s="91"/>
    </row>
    <row r="293">
      <c r="A293" s="90"/>
      <c r="B293" s="1"/>
      <c r="C293" s="1"/>
      <c r="D293" s="91"/>
      <c r="E293" s="91"/>
      <c r="F293" s="91"/>
    </row>
    <row r="294">
      <c r="A294" s="90"/>
      <c r="B294" s="1"/>
      <c r="C294" s="1"/>
      <c r="D294" s="91"/>
      <c r="E294" s="91"/>
      <c r="F294" s="91"/>
    </row>
    <row r="295">
      <c r="A295" s="90"/>
      <c r="B295" s="1"/>
      <c r="C295" s="1"/>
      <c r="D295" s="91"/>
      <c r="E295" s="91"/>
      <c r="F295" s="91"/>
    </row>
    <row r="296">
      <c r="A296" s="90"/>
      <c r="B296" s="1"/>
      <c r="C296" s="1"/>
      <c r="D296" s="91"/>
      <c r="E296" s="91"/>
      <c r="F296" s="91"/>
    </row>
    <row r="297">
      <c r="A297" s="90"/>
      <c r="B297" s="1"/>
      <c r="C297" s="1"/>
      <c r="D297" s="91"/>
      <c r="E297" s="91"/>
      <c r="F297" s="91"/>
    </row>
    <row r="298">
      <c r="A298" s="90"/>
      <c r="B298" s="1"/>
      <c r="C298" s="1"/>
      <c r="D298" s="91"/>
      <c r="E298" s="91"/>
      <c r="F298" s="91"/>
    </row>
    <row r="299">
      <c r="A299" s="90"/>
      <c r="B299" s="1"/>
      <c r="C299" s="1"/>
      <c r="D299" s="91"/>
      <c r="E299" s="91"/>
      <c r="F299" s="91"/>
    </row>
    <row r="300">
      <c r="A300" s="90"/>
      <c r="B300" s="1"/>
      <c r="C300" s="1"/>
      <c r="D300" s="91"/>
      <c r="E300" s="91"/>
      <c r="F300" s="91"/>
    </row>
    <row r="301">
      <c r="A301" s="90"/>
      <c r="B301" s="1"/>
      <c r="C301" s="1"/>
      <c r="D301" s="91"/>
      <c r="E301" s="91"/>
      <c r="F301" s="91"/>
    </row>
    <row r="302">
      <c r="A302" s="90"/>
      <c r="B302" s="1"/>
      <c r="C302" s="1"/>
      <c r="D302" s="91"/>
      <c r="E302" s="91"/>
      <c r="F302" s="91"/>
    </row>
    <row r="303">
      <c r="A303" s="90"/>
      <c r="B303" s="1"/>
      <c r="C303" s="1"/>
      <c r="D303" s="91"/>
      <c r="E303" s="91"/>
      <c r="F303" s="91"/>
    </row>
    <row r="304">
      <c r="A304" s="90"/>
      <c r="B304" s="1"/>
      <c r="C304" s="1"/>
      <c r="D304" s="91"/>
      <c r="E304" s="91"/>
      <c r="F304" s="91"/>
    </row>
    <row r="305">
      <c r="A305" s="90"/>
      <c r="B305" s="1"/>
      <c r="C305" s="1"/>
      <c r="D305" s="91"/>
      <c r="E305" s="91"/>
      <c r="F305" s="91"/>
    </row>
    <row r="306">
      <c r="A306" s="90"/>
      <c r="B306" s="1"/>
      <c r="C306" s="1"/>
      <c r="D306" s="91"/>
      <c r="E306" s="91"/>
      <c r="F306" s="91"/>
    </row>
    <row r="307">
      <c r="A307" s="90"/>
      <c r="B307" s="1"/>
      <c r="C307" s="1"/>
      <c r="D307" s="91"/>
      <c r="E307" s="91"/>
      <c r="F307" s="91"/>
    </row>
    <row r="308">
      <c r="A308" s="90"/>
      <c r="B308" s="1"/>
      <c r="C308" s="1"/>
      <c r="D308" s="91"/>
      <c r="E308" s="91"/>
      <c r="F308" s="91"/>
    </row>
    <row r="309">
      <c r="A309" s="90"/>
      <c r="B309" s="1"/>
      <c r="C309" s="1"/>
      <c r="D309" s="91"/>
      <c r="E309" s="91"/>
      <c r="F309" s="91"/>
    </row>
    <row r="310">
      <c r="A310" s="90"/>
      <c r="B310" s="1"/>
      <c r="C310" s="1"/>
      <c r="D310" s="91"/>
      <c r="E310" s="91"/>
      <c r="F310" s="91"/>
    </row>
    <row r="311">
      <c r="A311" s="90"/>
      <c r="B311" s="1"/>
      <c r="C311" s="1"/>
      <c r="D311" s="91"/>
      <c r="E311" s="91"/>
      <c r="F311" s="91"/>
    </row>
    <row r="312">
      <c r="A312" s="90"/>
      <c r="B312" s="1"/>
      <c r="C312" s="1"/>
      <c r="D312" s="91"/>
      <c r="E312" s="91"/>
      <c r="F312" s="91"/>
    </row>
    <row r="313">
      <c r="A313" s="90"/>
      <c r="B313" s="1"/>
      <c r="C313" s="1"/>
      <c r="D313" s="91"/>
      <c r="E313" s="91"/>
      <c r="F313" s="91"/>
    </row>
    <row r="314">
      <c r="A314" s="90"/>
      <c r="B314" s="1"/>
      <c r="C314" s="1"/>
      <c r="D314" s="91"/>
      <c r="E314" s="91"/>
      <c r="F314" s="91"/>
    </row>
    <row r="315">
      <c r="A315" s="90"/>
      <c r="B315" s="1"/>
      <c r="C315" s="1"/>
      <c r="D315" s="91"/>
      <c r="E315" s="91"/>
      <c r="F315" s="91"/>
    </row>
    <row r="316">
      <c r="A316" s="90"/>
      <c r="B316" s="1"/>
      <c r="C316" s="1"/>
      <c r="D316" s="91"/>
      <c r="E316" s="91"/>
      <c r="F316" s="91"/>
    </row>
    <row r="317">
      <c r="A317" s="90"/>
      <c r="B317" s="1"/>
      <c r="C317" s="1"/>
      <c r="D317" s="91"/>
      <c r="E317" s="91"/>
      <c r="F317" s="91"/>
    </row>
    <row r="318">
      <c r="A318" s="90"/>
      <c r="B318" s="1"/>
      <c r="C318" s="1"/>
      <c r="D318" s="91"/>
      <c r="E318" s="91"/>
      <c r="F318" s="91"/>
    </row>
    <row r="319">
      <c r="A319" s="90"/>
      <c r="B319" s="1"/>
      <c r="C319" s="1"/>
      <c r="D319" s="91"/>
      <c r="E319" s="91"/>
      <c r="F319" s="91"/>
    </row>
    <row r="320">
      <c r="A320" s="90"/>
      <c r="B320" s="1"/>
      <c r="C320" s="1"/>
      <c r="D320" s="91"/>
      <c r="E320" s="91"/>
      <c r="F320" s="91"/>
    </row>
    <row r="321">
      <c r="A321" s="90"/>
      <c r="B321" s="1"/>
      <c r="C321" s="1"/>
      <c r="D321" s="91"/>
      <c r="E321" s="91"/>
      <c r="F321" s="91"/>
    </row>
    <row r="322">
      <c r="A322" s="90"/>
      <c r="B322" s="1"/>
      <c r="C322" s="1"/>
      <c r="D322" s="91"/>
      <c r="E322" s="91"/>
      <c r="F322" s="91"/>
    </row>
    <row r="323">
      <c r="A323" s="90"/>
      <c r="B323" s="1"/>
      <c r="C323" s="1"/>
      <c r="D323" s="91"/>
      <c r="E323" s="91"/>
      <c r="F323" s="91"/>
    </row>
    <row r="324">
      <c r="A324" s="90"/>
      <c r="B324" s="1"/>
      <c r="C324" s="1"/>
      <c r="D324" s="91"/>
      <c r="E324" s="91"/>
      <c r="F324" s="91"/>
    </row>
    <row r="325">
      <c r="A325" s="90"/>
      <c r="B325" s="1"/>
      <c r="C325" s="1"/>
      <c r="D325" s="91"/>
      <c r="E325" s="91"/>
      <c r="F325" s="91"/>
    </row>
    <row r="326">
      <c r="A326" s="90"/>
      <c r="B326" s="1"/>
      <c r="C326" s="1"/>
      <c r="D326" s="91"/>
      <c r="E326" s="91"/>
      <c r="F326" s="91"/>
    </row>
    <row r="327">
      <c r="A327" s="90"/>
      <c r="B327" s="1"/>
      <c r="C327" s="1"/>
      <c r="D327" s="91"/>
      <c r="E327" s="91"/>
      <c r="F327" s="91"/>
    </row>
    <row r="328">
      <c r="A328" s="90"/>
      <c r="B328" s="1"/>
      <c r="C328" s="1"/>
      <c r="D328" s="91"/>
      <c r="E328" s="91"/>
      <c r="F328" s="91"/>
    </row>
    <row r="329">
      <c r="A329" s="90"/>
      <c r="B329" s="1"/>
      <c r="C329" s="1"/>
      <c r="D329" s="91"/>
      <c r="E329" s="91"/>
      <c r="F329" s="91"/>
    </row>
    <row r="330">
      <c r="A330" s="90"/>
      <c r="B330" s="1"/>
      <c r="C330" s="1"/>
      <c r="D330" s="91"/>
      <c r="E330" s="91"/>
      <c r="F330" s="91"/>
    </row>
    <row r="331">
      <c r="A331" s="90"/>
      <c r="B331" s="1"/>
      <c r="C331" s="1"/>
      <c r="D331" s="91"/>
      <c r="E331" s="91"/>
      <c r="F331" s="91"/>
    </row>
    <row r="332">
      <c r="A332" s="90"/>
      <c r="B332" s="1"/>
      <c r="C332" s="1"/>
      <c r="D332" s="91"/>
      <c r="E332" s="91"/>
      <c r="F332" s="91"/>
    </row>
    <row r="333">
      <c r="A333" s="90"/>
      <c r="B333" s="1"/>
      <c r="C333" s="1"/>
      <c r="D333" s="91"/>
      <c r="E333" s="91"/>
      <c r="F333" s="91"/>
    </row>
    <row r="334">
      <c r="A334" s="90"/>
      <c r="B334" s="1"/>
      <c r="C334" s="1"/>
      <c r="D334" s="91"/>
      <c r="E334" s="91"/>
      <c r="F334" s="91"/>
    </row>
    <row r="335">
      <c r="A335" s="90"/>
      <c r="B335" s="1"/>
      <c r="C335" s="1"/>
      <c r="D335" s="91"/>
      <c r="E335" s="91"/>
      <c r="F335" s="91"/>
    </row>
    <row r="336">
      <c r="A336" s="90"/>
      <c r="B336" s="1"/>
      <c r="C336" s="1"/>
      <c r="D336" s="91"/>
      <c r="E336" s="91"/>
      <c r="F336" s="91"/>
    </row>
    <row r="337">
      <c r="A337" s="90"/>
      <c r="B337" s="1"/>
      <c r="C337" s="1"/>
      <c r="D337" s="91"/>
      <c r="E337" s="91"/>
      <c r="F337" s="91"/>
    </row>
    <row r="338">
      <c r="A338" s="90"/>
      <c r="B338" s="1"/>
      <c r="C338" s="1"/>
      <c r="D338" s="91"/>
      <c r="E338" s="91"/>
      <c r="F338" s="91"/>
    </row>
    <row r="339">
      <c r="A339" s="90"/>
      <c r="B339" s="1"/>
      <c r="C339" s="1"/>
      <c r="D339" s="91"/>
      <c r="E339" s="91"/>
      <c r="F339" s="91"/>
    </row>
    <row r="340">
      <c r="A340" s="90"/>
      <c r="B340" s="1"/>
      <c r="C340" s="1"/>
      <c r="D340" s="91"/>
      <c r="E340" s="91"/>
      <c r="F340" s="91"/>
    </row>
    <row r="341">
      <c r="A341" s="90"/>
      <c r="B341" s="1"/>
      <c r="C341" s="1"/>
      <c r="D341" s="91"/>
      <c r="E341" s="91"/>
      <c r="F341" s="91"/>
    </row>
    <row r="342">
      <c r="A342" s="90"/>
      <c r="B342" s="1"/>
      <c r="C342" s="1"/>
      <c r="D342" s="91"/>
      <c r="E342" s="91"/>
      <c r="F342" s="91"/>
    </row>
    <row r="343">
      <c r="A343" s="90"/>
      <c r="B343" s="1"/>
      <c r="C343" s="1"/>
      <c r="D343" s="91"/>
      <c r="E343" s="91"/>
      <c r="F343" s="91"/>
    </row>
    <row r="344">
      <c r="A344" s="90"/>
      <c r="B344" s="1"/>
      <c r="C344" s="1"/>
      <c r="D344" s="91"/>
      <c r="E344" s="91"/>
      <c r="F344" s="91"/>
    </row>
    <row r="345">
      <c r="A345" s="90"/>
      <c r="B345" s="1"/>
      <c r="C345" s="1"/>
      <c r="D345" s="91"/>
      <c r="E345" s="91"/>
      <c r="F345" s="91"/>
    </row>
    <row r="346">
      <c r="A346" s="90"/>
      <c r="B346" s="1"/>
      <c r="C346" s="1"/>
      <c r="D346" s="91"/>
      <c r="E346" s="91"/>
      <c r="F346" s="91"/>
    </row>
    <row r="347">
      <c r="A347" s="90"/>
      <c r="B347" s="1"/>
      <c r="C347" s="1"/>
      <c r="D347" s="91"/>
      <c r="E347" s="91"/>
      <c r="F347" s="91"/>
    </row>
    <row r="348">
      <c r="A348" s="90"/>
      <c r="B348" s="1"/>
      <c r="C348" s="1"/>
      <c r="D348" s="91"/>
      <c r="E348" s="91"/>
      <c r="F348" s="91"/>
    </row>
    <row r="349">
      <c r="A349" s="90"/>
      <c r="B349" s="1"/>
      <c r="C349" s="1"/>
      <c r="D349" s="91"/>
      <c r="E349" s="91"/>
      <c r="F349" s="91"/>
    </row>
    <row r="350">
      <c r="A350" s="90"/>
      <c r="B350" s="1"/>
      <c r="C350" s="1"/>
      <c r="D350" s="91"/>
      <c r="E350" s="91"/>
      <c r="F350" s="91"/>
    </row>
    <row r="351">
      <c r="A351" s="90"/>
      <c r="B351" s="1"/>
      <c r="C351" s="1"/>
      <c r="D351" s="91"/>
      <c r="E351" s="91"/>
      <c r="F351" s="91"/>
    </row>
    <row r="352">
      <c r="A352" s="90"/>
      <c r="B352" s="1"/>
      <c r="C352" s="1"/>
      <c r="D352" s="91"/>
      <c r="E352" s="91"/>
      <c r="F352" s="91"/>
    </row>
    <row r="353">
      <c r="A353" s="90"/>
      <c r="B353" s="1"/>
      <c r="C353" s="1"/>
      <c r="D353" s="91"/>
      <c r="E353" s="91"/>
      <c r="F353" s="91"/>
    </row>
    <row r="354">
      <c r="A354" s="90"/>
      <c r="B354" s="1"/>
      <c r="C354" s="1"/>
      <c r="D354" s="91"/>
      <c r="E354" s="91"/>
      <c r="F354" s="91"/>
    </row>
    <row r="355">
      <c r="A355" s="90"/>
      <c r="B355" s="1"/>
      <c r="C355" s="1"/>
      <c r="D355" s="91"/>
      <c r="E355" s="91"/>
      <c r="F355" s="91"/>
    </row>
    <row r="356">
      <c r="A356" s="90"/>
      <c r="B356" s="1"/>
      <c r="C356" s="1"/>
      <c r="D356" s="91"/>
      <c r="E356" s="91"/>
      <c r="F356" s="91"/>
    </row>
    <row r="357">
      <c r="A357" s="90"/>
      <c r="B357" s="1"/>
      <c r="C357" s="1"/>
      <c r="D357" s="91"/>
      <c r="E357" s="91"/>
      <c r="F357" s="91"/>
    </row>
    <row r="358">
      <c r="A358" s="90"/>
      <c r="B358" s="1"/>
      <c r="C358" s="1"/>
      <c r="D358" s="91"/>
      <c r="E358" s="91"/>
      <c r="F358" s="91"/>
    </row>
    <row r="359">
      <c r="A359" s="90"/>
      <c r="B359" s="1"/>
      <c r="C359" s="1"/>
      <c r="D359" s="91"/>
      <c r="E359" s="91"/>
      <c r="F359" s="91"/>
    </row>
    <row r="360">
      <c r="A360" s="90"/>
      <c r="B360" s="1"/>
      <c r="C360" s="1"/>
      <c r="D360" s="91"/>
      <c r="E360" s="91"/>
      <c r="F360" s="91"/>
    </row>
    <row r="361">
      <c r="A361" s="90"/>
      <c r="B361" s="1"/>
      <c r="C361" s="1"/>
      <c r="D361" s="91"/>
      <c r="E361" s="91"/>
      <c r="F361" s="91"/>
    </row>
    <row r="362">
      <c r="A362" s="90"/>
      <c r="B362" s="1"/>
      <c r="C362" s="1"/>
      <c r="D362" s="91"/>
      <c r="E362" s="91"/>
      <c r="F362" s="91"/>
    </row>
    <row r="363">
      <c r="A363" s="90"/>
      <c r="B363" s="1"/>
      <c r="C363" s="1"/>
      <c r="D363" s="91"/>
      <c r="E363" s="91"/>
      <c r="F363" s="91"/>
    </row>
    <row r="364">
      <c r="A364" s="90"/>
      <c r="B364" s="1"/>
      <c r="C364" s="1"/>
      <c r="D364" s="91"/>
      <c r="E364" s="91"/>
      <c r="F364" s="91"/>
    </row>
    <row r="365">
      <c r="A365" s="90"/>
      <c r="B365" s="1"/>
      <c r="C365" s="1"/>
      <c r="D365" s="91"/>
      <c r="E365" s="91"/>
      <c r="F365" s="91"/>
    </row>
    <row r="366">
      <c r="A366" s="90"/>
      <c r="B366" s="1"/>
      <c r="C366" s="1"/>
      <c r="D366" s="91"/>
      <c r="E366" s="91"/>
      <c r="F366" s="91"/>
    </row>
    <row r="367">
      <c r="A367" s="90"/>
      <c r="B367" s="1"/>
      <c r="C367" s="1"/>
      <c r="D367" s="91"/>
      <c r="E367" s="91"/>
      <c r="F367" s="91"/>
    </row>
    <row r="368">
      <c r="A368" s="90"/>
      <c r="B368" s="1"/>
      <c r="C368" s="1"/>
      <c r="D368" s="91"/>
      <c r="E368" s="91"/>
      <c r="F368" s="91"/>
    </row>
    <row r="369">
      <c r="A369" s="90"/>
      <c r="B369" s="1"/>
      <c r="C369" s="1"/>
      <c r="D369" s="91"/>
      <c r="E369" s="91"/>
      <c r="F369" s="91"/>
    </row>
    <row r="370">
      <c r="A370" s="90"/>
      <c r="B370" s="1"/>
      <c r="C370" s="1"/>
      <c r="D370" s="91"/>
      <c r="E370" s="91"/>
      <c r="F370" s="91"/>
    </row>
    <row r="371">
      <c r="A371" s="90"/>
      <c r="B371" s="1"/>
      <c r="C371" s="1"/>
      <c r="D371" s="91"/>
      <c r="E371" s="91"/>
      <c r="F371" s="91"/>
    </row>
    <row r="372">
      <c r="A372" s="90"/>
      <c r="B372" s="1"/>
      <c r="C372" s="1"/>
      <c r="D372" s="91"/>
      <c r="E372" s="91"/>
      <c r="F372" s="91"/>
    </row>
    <row r="373">
      <c r="A373" s="90"/>
      <c r="B373" s="1"/>
      <c r="C373" s="1"/>
      <c r="D373" s="91"/>
      <c r="E373" s="91"/>
      <c r="F373" s="91"/>
    </row>
    <row r="374">
      <c r="A374" s="90"/>
      <c r="B374" s="1"/>
      <c r="C374" s="1"/>
      <c r="D374" s="91"/>
      <c r="E374" s="91"/>
      <c r="F374" s="91"/>
    </row>
    <row r="375">
      <c r="A375" s="90"/>
      <c r="B375" s="1"/>
      <c r="C375" s="1"/>
      <c r="D375" s="91"/>
      <c r="E375" s="91"/>
      <c r="F375" s="91"/>
    </row>
    <row r="376">
      <c r="A376" s="90"/>
      <c r="B376" s="1"/>
      <c r="C376" s="1"/>
      <c r="D376" s="91"/>
      <c r="E376" s="91"/>
      <c r="F376" s="91"/>
    </row>
    <row r="377">
      <c r="A377" s="90"/>
      <c r="B377" s="1"/>
      <c r="C377" s="1"/>
      <c r="D377" s="91"/>
      <c r="E377" s="91"/>
      <c r="F377" s="91"/>
    </row>
    <row r="378">
      <c r="A378" s="90"/>
      <c r="B378" s="1"/>
      <c r="C378" s="1"/>
      <c r="D378" s="91"/>
      <c r="E378" s="91"/>
      <c r="F378" s="91"/>
    </row>
    <row r="379">
      <c r="A379" s="90"/>
      <c r="B379" s="1"/>
      <c r="C379" s="1"/>
      <c r="D379" s="91"/>
      <c r="E379" s="91"/>
      <c r="F379" s="91"/>
    </row>
    <row r="380">
      <c r="A380" s="90"/>
      <c r="B380" s="1"/>
      <c r="C380" s="1"/>
      <c r="D380" s="91"/>
      <c r="E380" s="91"/>
      <c r="F380" s="91"/>
    </row>
    <row r="381">
      <c r="A381" s="90"/>
      <c r="B381" s="1"/>
      <c r="C381" s="1"/>
      <c r="D381" s="91"/>
      <c r="E381" s="91"/>
      <c r="F381" s="91"/>
    </row>
    <row r="382">
      <c r="A382" s="90"/>
      <c r="B382" s="1"/>
      <c r="C382" s="1"/>
      <c r="D382" s="91"/>
      <c r="E382" s="91"/>
      <c r="F382" s="91"/>
    </row>
    <row r="383">
      <c r="A383" s="90"/>
      <c r="B383" s="1"/>
      <c r="C383" s="1"/>
      <c r="D383" s="91"/>
      <c r="E383" s="91"/>
      <c r="F383" s="91"/>
    </row>
    <row r="384">
      <c r="A384" s="90"/>
      <c r="B384" s="1"/>
      <c r="C384" s="1"/>
      <c r="D384" s="91"/>
      <c r="E384" s="91"/>
      <c r="F384" s="91"/>
    </row>
    <row r="385">
      <c r="A385" s="90"/>
      <c r="B385" s="1"/>
      <c r="C385" s="1"/>
      <c r="D385" s="91"/>
      <c r="E385" s="91"/>
      <c r="F385" s="91"/>
    </row>
    <row r="386">
      <c r="A386" s="90"/>
      <c r="B386" s="1"/>
      <c r="C386" s="1"/>
      <c r="D386" s="91"/>
      <c r="E386" s="91"/>
      <c r="F386" s="91"/>
    </row>
    <row r="387">
      <c r="A387" s="90"/>
      <c r="B387" s="1"/>
      <c r="C387" s="1"/>
      <c r="D387" s="91"/>
      <c r="E387" s="91"/>
      <c r="F387" s="91"/>
    </row>
    <row r="388">
      <c r="A388" s="90"/>
      <c r="B388" s="1"/>
      <c r="C388" s="1"/>
      <c r="D388" s="91"/>
      <c r="E388" s="91"/>
      <c r="F388" s="91"/>
    </row>
    <row r="389">
      <c r="A389" s="90"/>
      <c r="B389" s="1"/>
      <c r="C389" s="1"/>
      <c r="D389" s="91"/>
      <c r="E389" s="91"/>
      <c r="F389" s="91"/>
    </row>
    <row r="390">
      <c r="A390" s="90"/>
      <c r="B390" s="1"/>
      <c r="C390" s="1"/>
      <c r="D390" s="91"/>
      <c r="E390" s="91"/>
      <c r="F390" s="91"/>
    </row>
    <row r="391">
      <c r="A391" s="90"/>
      <c r="B391" s="1"/>
      <c r="C391" s="1"/>
      <c r="D391" s="91"/>
      <c r="E391" s="91"/>
      <c r="F391" s="91"/>
    </row>
    <row r="392">
      <c r="A392" s="90"/>
      <c r="B392" s="1"/>
      <c r="C392" s="1"/>
      <c r="D392" s="91"/>
      <c r="E392" s="91"/>
      <c r="F392" s="91"/>
    </row>
    <row r="393">
      <c r="A393" s="90"/>
      <c r="B393" s="1"/>
      <c r="C393" s="1"/>
      <c r="D393" s="91"/>
      <c r="E393" s="91"/>
      <c r="F393" s="91"/>
    </row>
    <row r="394">
      <c r="A394" s="90"/>
      <c r="B394" s="1"/>
      <c r="C394" s="1"/>
      <c r="D394" s="91"/>
      <c r="E394" s="91"/>
      <c r="F394" s="91"/>
    </row>
    <row r="395">
      <c r="A395" s="90"/>
      <c r="B395" s="1"/>
      <c r="C395" s="1"/>
      <c r="D395" s="91"/>
      <c r="E395" s="91"/>
      <c r="F395" s="91"/>
    </row>
    <row r="396">
      <c r="A396" s="90"/>
      <c r="B396" s="1"/>
      <c r="C396" s="1"/>
      <c r="D396" s="91"/>
      <c r="E396" s="91"/>
      <c r="F396" s="91"/>
    </row>
    <row r="397">
      <c r="A397" s="90"/>
      <c r="B397" s="1"/>
      <c r="C397" s="1"/>
      <c r="D397" s="91"/>
      <c r="E397" s="91"/>
      <c r="F397" s="91"/>
    </row>
    <row r="398">
      <c r="A398" s="90"/>
      <c r="B398" s="1"/>
      <c r="C398" s="1"/>
      <c r="D398" s="91"/>
      <c r="E398" s="91"/>
      <c r="F398" s="91"/>
    </row>
    <row r="399">
      <c r="A399" s="90"/>
      <c r="B399" s="1"/>
      <c r="C399" s="1"/>
      <c r="D399" s="91"/>
      <c r="E399" s="91"/>
      <c r="F399" s="91"/>
    </row>
    <row r="400">
      <c r="A400" s="90"/>
      <c r="B400" s="1"/>
      <c r="C400" s="1"/>
      <c r="D400" s="91"/>
      <c r="E400" s="91"/>
      <c r="F400" s="91"/>
    </row>
    <row r="401">
      <c r="A401" s="90"/>
      <c r="B401" s="1"/>
      <c r="C401" s="1"/>
      <c r="D401" s="91"/>
      <c r="E401" s="91"/>
      <c r="F401" s="91"/>
    </row>
    <row r="402">
      <c r="A402" s="90"/>
      <c r="B402" s="1"/>
      <c r="C402" s="1"/>
      <c r="D402" s="91"/>
      <c r="E402" s="91"/>
      <c r="F402" s="91"/>
    </row>
    <row r="403">
      <c r="A403" s="90"/>
      <c r="B403" s="1"/>
      <c r="C403" s="1"/>
      <c r="D403" s="91"/>
      <c r="E403" s="91"/>
      <c r="F403" s="91"/>
    </row>
    <row r="404">
      <c r="A404" s="90"/>
      <c r="B404" s="1"/>
      <c r="C404" s="1"/>
      <c r="D404" s="91"/>
      <c r="E404" s="91"/>
      <c r="F404" s="91"/>
    </row>
    <row r="405">
      <c r="A405" s="90"/>
      <c r="B405" s="1"/>
      <c r="C405" s="1"/>
      <c r="D405" s="91"/>
      <c r="E405" s="91"/>
      <c r="F405" s="91"/>
    </row>
    <row r="406">
      <c r="A406" s="90"/>
      <c r="B406" s="1"/>
      <c r="C406" s="1"/>
      <c r="D406" s="91"/>
      <c r="E406" s="91"/>
      <c r="F406" s="91"/>
    </row>
    <row r="407">
      <c r="A407" s="90"/>
      <c r="B407" s="1"/>
      <c r="C407" s="1"/>
      <c r="D407" s="91"/>
      <c r="E407" s="91"/>
      <c r="F407" s="91"/>
    </row>
    <row r="408">
      <c r="A408" s="90"/>
      <c r="B408" s="1"/>
      <c r="C408" s="1"/>
      <c r="D408" s="91"/>
      <c r="E408" s="91"/>
      <c r="F408" s="91"/>
    </row>
    <row r="409">
      <c r="A409" s="90"/>
      <c r="B409" s="1"/>
      <c r="C409" s="1"/>
      <c r="D409" s="91"/>
      <c r="E409" s="91"/>
      <c r="F409" s="91"/>
    </row>
    <row r="410">
      <c r="A410" s="90"/>
      <c r="B410" s="1"/>
      <c r="C410" s="1"/>
      <c r="D410" s="91"/>
      <c r="E410" s="91"/>
      <c r="F410" s="91"/>
    </row>
    <row r="411">
      <c r="A411" s="90"/>
      <c r="B411" s="1"/>
      <c r="C411" s="1"/>
      <c r="D411" s="91"/>
      <c r="E411" s="91"/>
      <c r="F411" s="91"/>
    </row>
    <row r="412">
      <c r="A412" s="90"/>
      <c r="B412" s="1"/>
      <c r="C412" s="1"/>
      <c r="D412" s="91"/>
      <c r="E412" s="91"/>
      <c r="F412" s="91"/>
    </row>
    <row r="413">
      <c r="A413" s="90"/>
      <c r="B413" s="1"/>
      <c r="C413" s="1"/>
      <c r="D413" s="91"/>
      <c r="E413" s="91"/>
      <c r="F413" s="91"/>
    </row>
    <row r="414">
      <c r="A414" s="90"/>
      <c r="B414" s="1"/>
      <c r="C414" s="1"/>
      <c r="D414" s="91"/>
      <c r="E414" s="91"/>
      <c r="F414" s="91"/>
    </row>
    <row r="415">
      <c r="A415" s="90"/>
      <c r="B415" s="1"/>
      <c r="C415" s="1"/>
      <c r="D415" s="91"/>
      <c r="E415" s="91"/>
      <c r="F415" s="91"/>
    </row>
    <row r="416">
      <c r="A416" s="90"/>
      <c r="B416" s="1"/>
      <c r="C416" s="1"/>
      <c r="D416" s="91"/>
      <c r="E416" s="91"/>
      <c r="F416" s="91"/>
    </row>
    <row r="417">
      <c r="A417" s="90"/>
      <c r="B417" s="1"/>
      <c r="C417" s="1"/>
      <c r="D417" s="91"/>
      <c r="E417" s="91"/>
      <c r="F417" s="91"/>
    </row>
    <row r="418">
      <c r="A418" s="90"/>
      <c r="B418" s="1"/>
      <c r="C418" s="1"/>
      <c r="D418" s="91"/>
      <c r="E418" s="91"/>
      <c r="F418" s="91"/>
    </row>
    <row r="419">
      <c r="A419" s="90"/>
      <c r="B419" s="1"/>
      <c r="C419" s="1"/>
      <c r="D419" s="91"/>
      <c r="E419" s="91"/>
      <c r="F419" s="91"/>
    </row>
    <row r="420">
      <c r="A420" s="90"/>
      <c r="B420" s="1"/>
      <c r="C420" s="1"/>
      <c r="D420" s="91"/>
      <c r="E420" s="91"/>
      <c r="F420" s="91"/>
    </row>
    <row r="421">
      <c r="A421" s="90"/>
      <c r="B421" s="1"/>
      <c r="C421" s="1"/>
      <c r="D421" s="91"/>
      <c r="E421" s="91"/>
      <c r="F421" s="91"/>
    </row>
    <row r="422">
      <c r="A422" s="90"/>
      <c r="B422" s="1"/>
      <c r="C422" s="1"/>
      <c r="D422" s="91"/>
      <c r="E422" s="91"/>
      <c r="F422" s="91"/>
    </row>
    <row r="423">
      <c r="A423" s="90"/>
      <c r="B423" s="1"/>
      <c r="C423" s="1"/>
      <c r="D423" s="91"/>
      <c r="E423" s="91"/>
      <c r="F423" s="91"/>
    </row>
    <row r="424">
      <c r="A424" s="90"/>
      <c r="B424" s="1"/>
      <c r="C424" s="1"/>
      <c r="D424" s="91"/>
      <c r="E424" s="91"/>
      <c r="F424" s="91"/>
    </row>
    <row r="425">
      <c r="A425" s="90"/>
      <c r="B425" s="1"/>
      <c r="C425" s="1"/>
      <c r="D425" s="91"/>
      <c r="E425" s="91"/>
      <c r="F425" s="91"/>
    </row>
    <row r="426">
      <c r="A426" s="90"/>
      <c r="B426" s="1"/>
      <c r="C426" s="1"/>
      <c r="D426" s="91"/>
      <c r="E426" s="91"/>
      <c r="F426" s="91"/>
    </row>
    <row r="427">
      <c r="A427" s="90"/>
      <c r="B427" s="1"/>
      <c r="C427" s="1"/>
      <c r="D427" s="91"/>
      <c r="E427" s="91"/>
      <c r="F427" s="91"/>
    </row>
    <row r="428">
      <c r="A428" s="90"/>
      <c r="B428" s="1"/>
      <c r="C428" s="1"/>
      <c r="D428" s="91"/>
      <c r="E428" s="91"/>
      <c r="F428" s="91"/>
    </row>
    <row r="429">
      <c r="A429" s="90"/>
      <c r="B429" s="1"/>
      <c r="C429" s="1"/>
      <c r="D429" s="91"/>
      <c r="E429" s="91"/>
      <c r="F429" s="91"/>
    </row>
    <row r="430">
      <c r="A430" s="90"/>
      <c r="B430" s="1"/>
      <c r="C430" s="1"/>
      <c r="D430" s="91"/>
      <c r="E430" s="91"/>
      <c r="F430" s="91"/>
    </row>
    <row r="431">
      <c r="A431" s="90"/>
      <c r="B431" s="1"/>
      <c r="C431" s="1"/>
      <c r="D431" s="91"/>
      <c r="E431" s="91"/>
      <c r="F431" s="91"/>
    </row>
    <row r="432">
      <c r="A432" s="90"/>
      <c r="B432" s="1"/>
      <c r="C432" s="1"/>
      <c r="D432" s="91"/>
      <c r="E432" s="91"/>
      <c r="F432" s="91"/>
    </row>
    <row r="433">
      <c r="A433" s="90"/>
      <c r="B433" s="1"/>
      <c r="C433" s="1"/>
      <c r="D433" s="91"/>
      <c r="E433" s="91"/>
      <c r="F433" s="91"/>
    </row>
    <row r="434">
      <c r="A434" s="90"/>
      <c r="B434" s="1"/>
      <c r="C434" s="1"/>
      <c r="D434" s="91"/>
      <c r="E434" s="91"/>
      <c r="F434" s="91"/>
    </row>
    <row r="435">
      <c r="A435" s="90"/>
      <c r="B435" s="1"/>
      <c r="C435" s="1"/>
      <c r="D435" s="91"/>
      <c r="E435" s="91"/>
      <c r="F435" s="91"/>
    </row>
    <row r="436">
      <c r="A436" s="90"/>
      <c r="B436" s="1"/>
      <c r="C436" s="1"/>
      <c r="D436" s="91"/>
      <c r="E436" s="91"/>
      <c r="F436" s="91"/>
    </row>
    <row r="437">
      <c r="A437" s="90"/>
      <c r="B437" s="1"/>
      <c r="C437" s="1"/>
      <c r="D437" s="91"/>
      <c r="E437" s="91"/>
      <c r="F437" s="91"/>
    </row>
    <row r="438">
      <c r="A438" s="90"/>
      <c r="B438" s="1"/>
      <c r="C438" s="1"/>
      <c r="D438" s="91"/>
      <c r="E438" s="91"/>
      <c r="F438" s="91"/>
    </row>
    <row r="439">
      <c r="A439" s="90"/>
      <c r="B439" s="1"/>
      <c r="C439" s="1"/>
      <c r="D439" s="91"/>
      <c r="E439" s="91"/>
      <c r="F439" s="91"/>
    </row>
    <row r="440">
      <c r="A440" s="90"/>
      <c r="B440" s="1"/>
      <c r="C440" s="1"/>
      <c r="D440" s="91"/>
      <c r="E440" s="91"/>
      <c r="F440" s="91"/>
    </row>
    <row r="441">
      <c r="A441" s="90"/>
      <c r="B441" s="1"/>
      <c r="C441" s="1"/>
      <c r="D441" s="91"/>
      <c r="E441" s="91"/>
      <c r="F441" s="91"/>
    </row>
    <row r="442">
      <c r="A442" s="90"/>
      <c r="B442" s="1"/>
      <c r="C442" s="1"/>
      <c r="D442" s="91"/>
      <c r="E442" s="91"/>
      <c r="F442" s="91"/>
    </row>
    <row r="443">
      <c r="A443" s="90"/>
      <c r="B443" s="1"/>
      <c r="C443" s="1"/>
      <c r="D443" s="91"/>
      <c r="E443" s="91"/>
      <c r="F443" s="91"/>
    </row>
    <row r="444">
      <c r="A444" s="90"/>
      <c r="B444" s="1"/>
      <c r="C444" s="1"/>
      <c r="D444" s="91"/>
      <c r="E444" s="91"/>
      <c r="F444" s="91"/>
    </row>
    <row r="445">
      <c r="A445" s="90"/>
      <c r="B445" s="1"/>
      <c r="C445" s="1"/>
      <c r="D445" s="91"/>
      <c r="E445" s="91"/>
      <c r="F445" s="91"/>
    </row>
    <row r="446">
      <c r="A446" s="90"/>
      <c r="B446" s="1"/>
      <c r="C446" s="1"/>
      <c r="D446" s="91"/>
      <c r="E446" s="91"/>
      <c r="F446" s="91"/>
    </row>
    <row r="447">
      <c r="A447" s="90"/>
      <c r="B447" s="1"/>
      <c r="C447" s="1"/>
      <c r="D447" s="91"/>
      <c r="E447" s="91"/>
      <c r="F447" s="91"/>
    </row>
    <row r="448">
      <c r="A448" s="90"/>
      <c r="B448" s="1"/>
      <c r="C448" s="1"/>
      <c r="D448" s="91"/>
      <c r="E448" s="91"/>
      <c r="F448" s="91"/>
    </row>
    <row r="449">
      <c r="A449" s="90"/>
      <c r="B449" s="1"/>
      <c r="C449" s="1"/>
      <c r="D449" s="91"/>
      <c r="E449" s="91"/>
      <c r="F449" s="91"/>
    </row>
    <row r="450">
      <c r="A450" s="90"/>
      <c r="B450" s="1"/>
      <c r="C450" s="1"/>
      <c r="D450" s="91"/>
      <c r="E450" s="91"/>
      <c r="F450" s="91"/>
    </row>
    <row r="451">
      <c r="A451" s="90"/>
      <c r="B451" s="1"/>
      <c r="C451" s="1"/>
      <c r="D451" s="91"/>
      <c r="E451" s="91"/>
      <c r="F451" s="91"/>
    </row>
    <row r="452">
      <c r="A452" s="90"/>
      <c r="B452" s="1"/>
      <c r="C452" s="1"/>
      <c r="D452" s="91"/>
      <c r="E452" s="91"/>
      <c r="F452" s="91"/>
    </row>
    <row r="453">
      <c r="A453" s="90"/>
      <c r="B453" s="1"/>
      <c r="C453" s="1"/>
      <c r="D453" s="91"/>
      <c r="E453" s="91"/>
      <c r="F453" s="91"/>
    </row>
    <row r="454">
      <c r="A454" s="90"/>
      <c r="B454" s="1"/>
      <c r="C454" s="1"/>
      <c r="D454" s="91"/>
      <c r="E454" s="91"/>
      <c r="F454" s="91"/>
    </row>
    <row r="455">
      <c r="A455" s="90"/>
      <c r="B455" s="1"/>
      <c r="C455" s="1"/>
      <c r="D455" s="91"/>
      <c r="E455" s="91"/>
      <c r="F455" s="91"/>
    </row>
    <row r="456">
      <c r="A456" s="90"/>
      <c r="B456" s="1"/>
      <c r="C456" s="1"/>
      <c r="D456" s="91"/>
      <c r="E456" s="91"/>
      <c r="F456" s="91"/>
    </row>
    <row r="457">
      <c r="A457" s="90"/>
      <c r="B457" s="1"/>
      <c r="C457" s="1"/>
      <c r="D457" s="91"/>
      <c r="E457" s="91"/>
      <c r="F457" s="91"/>
    </row>
    <row r="458">
      <c r="A458" s="90"/>
      <c r="B458" s="1"/>
      <c r="C458" s="1"/>
      <c r="D458" s="91"/>
      <c r="E458" s="91"/>
      <c r="F458" s="91"/>
    </row>
    <row r="459">
      <c r="A459" s="90"/>
      <c r="B459" s="1"/>
      <c r="C459" s="1"/>
      <c r="D459" s="91"/>
      <c r="E459" s="91"/>
      <c r="F459" s="91"/>
    </row>
    <row r="460">
      <c r="A460" s="90"/>
      <c r="B460" s="1"/>
      <c r="C460" s="1"/>
      <c r="D460" s="91"/>
      <c r="E460" s="91"/>
      <c r="F460" s="91"/>
    </row>
    <row r="461">
      <c r="A461" s="90"/>
      <c r="B461" s="1"/>
      <c r="C461" s="1"/>
      <c r="D461" s="91"/>
      <c r="E461" s="91"/>
      <c r="F461" s="91"/>
    </row>
    <row r="462">
      <c r="A462" s="90"/>
      <c r="B462" s="1"/>
      <c r="C462" s="1"/>
      <c r="D462" s="91"/>
      <c r="E462" s="91"/>
      <c r="F462" s="91"/>
    </row>
    <row r="463">
      <c r="A463" s="90"/>
      <c r="B463" s="1"/>
      <c r="C463" s="1"/>
      <c r="D463" s="91"/>
      <c r="E463" s="91"/>
      <c r="F463" s="91"/>
    </row>
    <row r="464">
      <c r="A464" s="90"/>
      <c r="B464" s="1"/>
      <c r="C464" s="1"/>
      <c r="D464" s="91"/>
      <c r="E464" s="91"/>
      <c r="F464" s="91"/>
    </row>
    <row r="465">
      <c r="A465" s="90"/>
      <c r="B465" s="1"/>
      <c r="C465" s="1"/>
      <c r="D465" s="91"/>
      <c r="E465" s="91"/>
      <c r="F465" s="91"/>
    </row>
    <row r="466">
      <c r="A466" s="90"/>
      <c r="B466" s="1"/>
      <c r="C466" s="1"/>
      <c r="D466" s="91"/>
      <c r="E466" s="91"/>
      <c r="F466" s="91"/>
    </row>
    <row r="467">
      <c r="A467" s="90"/>
      <c r="B467" s="1"/>
      <c r="C467" s="1"/>
      <c r="D467" s="91"/>
      <c r="E467" s="91"/>
      <c r="F467" s="91"/>
    </row>
    <row r="468">
      <c r="A468" s="90"/>
      <c r="B468" s="1"/>
      <c r="C468" s="1"/>
      <c r="D468" s="91"/>
      <c r="E468" s="91"/>
      <c r="F468" s="91"/>
    </row>
    <row r="469">
      <c r="A469" s="90"/>
      <c r="B469" s="1"/>
      <c r="C469" s="1"/>
      <c r="D469" s="91"/>
      <c r="E469" s="91"/>
      <c r="F469" s="91"/>
    </row>
    <row r="470">
      <c r="A470" s="90"/>
      <c r="B470" s="1"/>
      <c r="C470" s="1"/>
      <c r="D470" s="91"/>
      <c r="E470" s="91"/>
      <c r="F470" s="91"/>
    </row>
    <row r="471">
      <c r="A471" s="90"/>
      <c r="B471" s="1"/>
      <c r="C471" s="1"/>
      <c r="D471" s="91"/>
      <c r="E471" s="91"/>
      <c r="F471" s="91"/>
    </row>
    <row r="472">
      <c r="A472" s="90"/>
      <c r="B472" s="1"/>
      <c r="C472" s="1"/>
      <c r="D472" s="91"/>
      <c r="E472" s="91"/>
      <c r="F472" s="91"/>
    </row>
    <row r="473">
      <c r="A473" s="90"/>
      <c r="B473" s="1"/>
      <c r="C473" s="1"/>
      <c r="D473" s="91"/>
      <c r="E473" s="91"/>
      <c r="F473" s="91"/>
    </row>
    <row r="474">
      <c r="A474" s="90"/>
      <c r="B474" s="1"/>
      <c r="C474" s="1"/>
      <c r="D474" s="91"/>
      <c r="E474" s="91"/>
      <c r="F474" s="91"/>
    </row>
    <row r="475">
      <c r="A475" s="90"/>
      <c r="B475" s="1"/>
      <c r="C475" s="1"/>
      <c r="D475" s="91"/>
      <c r="E475" s="91"/>
      <c r="F475" s="91"/>
    </row>
    <row r="476">
      <c r="A476" s="90"/>
      <c r="B476" s="1"/>
      <c r="C476" s="1"/>
      <c r="D476" s="91"/>
      <c r="E476" s="91"/>
      <c r="F476" s="91"/>
    </row>
    <row r="477">
      <c r="A477" s="90"/>
      <c r="B477" s="1"/>
      <c r="C477" s="1"/>
      <c r="D477" s="91"/>
      <c r="E477" s="91"/>
      <c r="F477" s="91"/>
    </row>
    <row r="478">
      <c r="A478" s="90"/>
      <c r="B478" s="1"/>
      <c r="C478" s="1"/>
      <c r="D478" s="91"/>
      <c r="E478" s="91"/>
      <c r="F478" s="91"/>
    </row>
    <row r="479">
      <c r="A479" s="90"/>
      <c r="B479" s="1"/>
      <c r="C479" s="1"/>
      <c r="D479" s="91"/>
      <c r="E479" s="91"/>
      <c r="F479" s="91"/>
    </row>
    <row r="480">
      <c r="A480" s="90"/>
      <c r="B480" s="1"/>
      <c r="C480" s="1"/>
      <c r="D480" s="91"/>
      <c r="E480" s="91"/>
      <c r="F480" s="91"/>
    </row>
    <row r="481">
      <c r="A481" s="90"/>
      <c r="B481" s="1"/>
      <c r="C481" s="1"/>
      <c r="D481" s="91"/>
      <c r="E481" s="91"/>
      <c r="F481" s="91"/>
    </row>
    <row r="482">
      <c r="A482" s="90"/>
      <c r="B482" s="1"/>
      <c r="C482" s="1"/>
      <c r="D482" s="91"/>
      <c r="E482" s="91"/>
      <c r="F482" s="91"/>
    </row>
    <row r="483">
      <c r="A483" s="90"/>
      <c r="B483" s="1"/>
      <c r="C483" s="1"/>
      <c r="D483" s="91"/>
      <c r="E483" s="91"/>
      <c r="F483" s="91"/>
    </row>
    <row r="484">
      <c r="A484" s="90"/>
      <c r="B484" s="1"/>
      <c r="C484" s="1"/>
      <c r="D484" s="91"/>
      <c r="E484" s="91"/>
      <c r="F484" s="91"/>
    </row>
    <row r="485">
      <c r="A485" s="90"/>
      <c r="B485" s="1"/>
      <c r="C485" s="1"/>
      <c r="D485" s="91"/>
      <c r="E485" s="91"/>
      <c r="F485" s="91"/>
    </row>
    <row r="486">
      <c r="A486" s="90"/>
      <c r="B486" s="1"/>
      <c r="C486" s="1"/>
      <c r="D486" s="91"/>
      <c r="E486" s="91"/>
      <c r="F486" s="91"/>
    </row>
    <row r="487">
      <c r="A487" s="90"/>
      <c r="B487" s="1"/>
      <c r="C487" s="1"/>
      <c r="D487" s="91"/>
      <c r="E487" s="91"/>
      <c r="F487" s="91"/>
    </row>
    <row r="488">
      <c r="A488" s="90"/>
      <c r="B488" s="1"/>
      <c r="C488" s="1"/>
      <c r="D488" s="91"/>
      <c r="E488" s="91"/>
      <c r="F488" s="91"/>
    </row>
    <row r="489">
      <c r="A489" s="90"/>
      <c r="B489" s="1"/>
      <c r="C489" s="1"/>
      <c r="D489" s="91"/>
      <c r="E489" s="91"/>
      <c r="F489" s="91"/>
    </row>
    <row r="490">
      <c r="A490" s="90"/>
      <c r="B490" s="1"/>
      <c r="C490" s="1"/>
      <c r="D490" s="91"/>
      <c r="E490" s="91"/>
      <c r="F490" s="91"/>
    </row>
    <row r="491">
      <c r="A491" s="90"/>
      <c r="B491" s="1"/>
      <c r="C491" s="1"/>
      <c r="D491" s="91"/>
      <c r="E491" s="91"/>
      <c r="F491" s="91"/>
    </row>
    <row r="492">
      <c r="A492" s="90"/>
      <c r="B492" s="1"/>
      <c r="C492" s="1"/>
      <c r="D492" s="91"/>
      <c r="E492" s="91"/>
      <c r="F492" s="91"/>
    </row>
    <row r="493">
      <c r="A493" s="90"/>
      <c r="B493" s="1"/>
      <c r="C493" s="1"/>
      <c r="D493" s="91"/>
      <c r="E493" s="91"/>
      <c r="F493" s="91"/>
    </row>
    <row r="494">
      <c r="A494" s="90"/>
      <c r="B494" s="1"/>
      <c r="C494" s="1"/>
      <c r="D494" s="91"/>
      <c r="E494" s="91"/>
      <c r="F494" s="91"/>
    </row>
    <row r="495">
      <c r="A495" s="90"/>
      <c r="B495" s="1"/>
      <c r="C495" s="1"/>
      <c r="D495" s="91"/>
      <c r="E495" s="91"/>
      <c r="F495" s="91"/>
    </row>
    <row r="496">
      <c r="A496" s="90"/>
      <c r="B496" s="1"/>
      <c r="C496" s="1"/>
      <c r="D496" s="91"/>
      <c r="E496" s="91"/>
      <c r="F496" s="91"/>
    </row>
    <row r="497">
      <c r="A497" s="90"/>
      <c r="B497" s="1"/>
      <c r="C497" s="1"/>
      <c r="D497" s="91"/>
      <c r="E497" s="91"/>
      <c r="F497" s="91"/>
    </row>
    <row r="498">
      <c r="A498" s="90"/>
      <c r="B498" s="1"/>
      <c r="C498" s="1"/>
      <c r="D498" s="91"/>
      <c r="E498" s="91"/>
      <c r="F498" s="91"/>
    </row>
    <row r="499">
      <c r="A499" s="90"/>
      <c r="B499" s="1"/>
      <c r="C499" s="1"/>
      <c r="D499" s="91"/>
      <c r="E499" s="91"/>
      <c r="F499" s="91"/>
    </row>
    <row r="500">
      <c r="A500" s="90"/>
      <c r="B500" s="1"/>
      <c r="C500" s="1"/>
      <c r="D500" s="91"/>
      <c r="E500" s="91"/>
      <c r="F500" s="91"/>
    </row>
    <row r="501">
      <c r="A501" s="90"/>
      <c r="B501" s="1"/>
      <c r="C501" s="1"/>
      <c r="D501" s="91"/>
      <c r="E501" s="91"/>
      <c r="F501" s="91"/>
    </row>
    <row r="502">
      <c r="A502" s="90"/>
      <c r="B502" s="1"/>
      <c r="C502" s="1"/>
      <c r="D502" s="91"/>
      <c r="E502" s="91"/>
      <c r="F502" s="91"/>
    </row>
    <row r="503">
      <c r="A503" s="90"/>
      <c r="B503" s="1"/>
      <c r="C503" s="1"/>
      <c r="D503" s="91"/>
      <c r="E503" s="91"/>
      <c r="F503" s="91"/>
    </row>
    <row r="504">
      <c r="A504" s="90"/>
      <c r="B504" s="1"/>
      <c r="C504" s="1"/>
      <c r="D504" s="91"/>
      <c r="E504" s="91"/>
      <c r="F504" s="91"/>
    </row>
    <row r="505">
      <c r="A505" s="90"/>
      <c r="B505" s="1"/>
      <c r="C505" s="1"/>
      <c r="D505" s="91"/>
      <c r="E505" s="91"/>
      <c r="F505" s="91"/>
    </row>
    <row r="506">
      <c r="A506" s="90"/>
      <c r="B506" s="1"/>
      <c r="C506" s="1"/>
      <c r="D506" s="91"/>
      <c r="E506" s="91"/>
      <c r="F506" s="91"/>
    </row>
    <row r="507">
      <c r="A507" s="90"/>
      <c r="B507" s="1"/>
      <c r="C507" s="1"/>
      <c r="D507" s="91"/>
      <c r="E507" s="91"/>
      <c r="F507" s="91"/>
    </row>
    <row r="508">
      <c r="A508" s="90"/>
      <c r="B508" s="1"/>
      <c r="C508" s="1"/>
      <c r="D508" s="91"/>
      <c r="E508" s="91"/>
      <c r="F508" s="91"/>
    </row>
    <row r="509">
      <c r="A509" s="90"/>
      <c r="B509" s="1"/>
      <c r="C509" s="1"/>
      <c r="D509" s="91"/>
      <c r="E509" s="91"/>
      <c r="F509" s="91"/>
    </row>
    <row r="510">
      <c r="A510" s="90"/>
      <c r="B510" s="1"/>
      <c r="C510" s="1"/>
      <c r="D510" s="91"/>
      <c r="E510" s="91"/>
      <c r="F510" s="91"/>
    </row>
    <row r="511">
      <c r="A511" s="90"/>
      <c r="B511" s="1"/>
      <c r="C511" s="1"/>
      <c r="D511" s="91"/>
      <c r="E511" s="91"/>
      <c r="F511" s="91"/>
    </row>
    <row r="512">
      <c r="A512" s="90"/>
      <c r="B512" s="1"/>
      <c r="C512" s="1"/>
      <c r="D512" s="91"/>
      <c r="E512" s="91"/>
      <c r="F512" s="91"/>
    </row>
    <row r="513">
      <c r="A513" s="90"/>
      <c r="B513" s="1"/>
      <c r="C513" s="1"/>
      <c r="D513" s="91"/>
      <c r="E513" s="91"/>
      <c r="F513" s="91"/>
    </row>
    <row r="514">
      <c r="A514" s="90"/>
      <c r="B514" s="1"/>
      <c r="C514" s="1"/>
      <c r="D514" s="91"/>
      <c r="E514" s="91"/>
      <c r="F514" s="91"/>
    </row>
    <row r="515">
      <c r="A515" s="90"/>
      <c r="B515" s="1"/>
      <c r="C515" s="1"/>
      <c r="D515" s="91"/>
      <c r="E515" s="91"/>
      <c r="F515" s="91"/>
    </row>
    <row r="516">
      <c r="A516" s="90"/>
      <c r="B516" s="1"/>
      <c r="C516" s="1"/>
      <c r="D516" s="91"/>
      <c r="E516" s="91"/>
      <c r="F516" s="91"/>
    </row>
    <row r="517">
      <c r="A517" s="90"/>
      <c r="B517" s="1"/>
      <c r="C517" s="1"/>
      <c r="D517" s="91"/>
      <c r="E517" s="91"/>
      <c r="F517" s="91"/>
    </row>
    <row r="518">
      <c r="A518" s="90"/>
      <c r="B518" s="1"/>
      <c r="C518" s="1"/>
      <c r="D518" s="91"/>
      <c r="E518" s="91"/>
      <c r="F518" s="91"/>
    </row>
    <row r="519">
      <c r="A519" s="90"/>
      <c r="B519" s="1"/>
      <c r="C519" s="1"/>
      <c r="D519" s="91"/>
      <c r="E519" s="91"/>
      <c r="F519" s="91"/>
    </row>
    <row r="520">
      <c r="A520" s="90"/>
      <c r="B520" s="1"/>
      <c r="C520" s="1"/>
      <c r="D520" s="91"/>
      <c r="E520" s="91"/>
      <c r="F520" s="91"/>
    </row>
    <row r="521">
      <c r="A521" s="90"/>
      <c r="B521" s="1"/>
      <c r="C521" s="1"/>
      <c r="D521" s="91"/>
      <c r="E521" s="91"/>
      <c r="F521" s="91"/>
    </row>
    <row r="522">
      <c r="A522" s="90"/>
      <c r="B522" s="1"/>
      <c r="C522" s="1"/>
      <c r="D522" s="91"/>
      <c r="E522" s="91"/>
      <c r="F522" s="91"/>
    </row>
    <row r="523">
      <c r="A523" s="90"/>
      <c r="B523" s="1"/>
      <c r="C523" s="1"/>
      <c r="D523" s="91"/>
      <c r="E523" s="91"/>
      <c r="F523" s="91"/>
    </row>
    <row r="524">
      <c r="A524" s="90"/>
      <c r="B524" s="1"/>
      <c r="C524" s="1"/>
      <c r="D524" s="91"/>
      <c r="E524" s="91"/>
      <c r="F524" s="91"/>
    </row>
    <row r="525">
      <c r="A525" s="90"/>
      <c r="B525" s="1"/>
      <c r="C525" s="1"/>
      <c r="D525" s="91"/>
      <c r="E525" s="91"/>
      <c r="F525" s="91"/>
    </row>
    <row r="526">
      <c r="A526" s="90"/>
      <c r="B526" s="1"/>
      <c r="C526" s="1"/>
      <c r="D526" s="91"/>
      <c r="E526" s="91"/>
      <c r="F526" s="91"/>
    </row>
    <row r="527">
      <c r="A527" s="90"/>
      <c r="B527" s="1"/>
      <c r="C527" s="1"/>
      <c r="D527" s="91"/>
      <c r="E527" s="91"/>
      <c r="F527" s="91"/>
    </row>
    <row r="528">
      <c r="A528" s="90"/>
      <c r="B528" s="1"/>
      <c r="C528" s="1"/>
      <c r="D528" s="91"/>
      <c r="E528" s="91"/>
      <c r="F528" s="91"/>
    </row>
    <row r="529">
      <c r="A529" s="90"/>
      <c r="B529" s="1"/>
      <c r="C529" s="1"/>
      <c r="D529" s="91"/>
      <c r="E529" s="91"/>
      <c r="F529" s="91"/>
    </row>
    <row r="530">
      <c r="A530" s="90"/>
      <c r="B530" s="1"/>
      <c r="C530" s="1"/>
      <c r="D530" s="91"/>
      <c r="E530" s="91"/>
      <c r="F530" s="91"/>
    </row>
    <row r="531">
      <c r="A531" s="90"/>
      <c r="B531" s="1"/>
      <c r="C531" s="1"/>
      <c r="D531" s="91"/>
      <c r="E531" s="91"/>
      <c r="F531" s="91"/>
    </row>
    <row r="532">
      <c r="A532" s="90"/>
      <c r="B532" s="1"/>
      <c r="C532" s="1"/>
      <c r="D532" s="91"/>
      <c r="E532" s="91"/>
      <c r="F532" s="91"/>
    </row>
    <row r="533">
      <c r="A533" s="90"/>
      <c r="B533" s="1"/>
      <c r="C533" s="1"/>
      <c r="D533" s="91"/>
      <c r="E533" s="91"/>
      <c r="F533" s="91"/>
    </row>
    <row r="534">
      <c r="A534" s="90"/>
      <c r="B534" s="1"/>
      <c r="C534" s="1"/>
      <c r="D534" s="91"/>
      <c r="E534" s="91"/>
      <c r="F534" s="91"/>
    </row>
    <row r="535">
      <c r="A535" s="90"/>
      <c r="B535" s="1"/>
      <c r="C535" s="1"/>
      <c r="D535" s="91"/>
      <c r="E535" s="91"/>
      <c r="F535" s="91"/>
    </row>
    <row r="536">
      <c r="A536" s="90"/>
      <c r="B536" s="1"/>
      <c r="C536" s="1"/>
      <c r="D536" s="91"/>
      <c r="E536" s="91"/>
      <c r="F536" s="91"/>
    </row>
    <row r="537">
      <c r="A537" s="90"/>
      <c r="B537" s="1"/>
      <c r="C537" s="1"/>
      <c r="D537" s="91"/>
      <c r="E537" s="91"/>
      <c r="F537" s="91"/>
    </row>
    <row r="538">
      <c r="A538" s="90"/>
      <c r="B538" s="1"/>
      <c r="C538" s="1"/>
      <c r="D538" s="91"/>
      <c r="E538" s="91"/>
      <c r="F538" s="91"/>
    </row>
    <row r="539">
      <c r="A539" s="90"/>
      <c r="B539" s="1"/>
      <c r="C539" s="1"/>
      <c r="D539" s="91"/>
      <c r="E539" s="91"/>
      <c r="F539" s="91"/>
    </row>
    <row r="540">
      <c r="A540" s="90"/>
      <c r="B540" s="1"/>
      <c r="C540" s="1"/>
      <c r="D540" s="91"/>
      <c r="E540" s="91"/>
      <c r="F540" s="91"/>
    </row>
    <row r="541">
      <c r="A541" s="90"/>
      <c r="B541" s="1"/>
      <c r="C541" s="1"/>
      <c r="D541" s="91"/>
      <c r="E541" s="91"/>
      <c r="F541" s="91"/>
    </row>
    <row r="542">
      <c r="A542" s="90"/>
      <c r="B542" s="1"/>
      <c r="C542" s="1"/>
      <c r="D542" s="91"/>
      <c r="E542" s="91"/>
      <c r="F542" s="91"/>
    </row>
    <row r="543">
      <c r="A543" s="90"/>
      <c r="B543" s="1"/>
      <c r="C543" s="1"/>
      <c r="D543" s="91"/>
      <c r="E543" s="91"/>
      <c r="F543" s="91"/>
    </row>
    <row r="544">
      <c r="A544" s="90"/>
      <c r="B544" s="1"/>
      <c r="C544" s="1"/>
      <c r="D544" s="91"/>
      <c r="E544" s="91"/>
      <c r="F544" s="91"/>
    </row>
    <row r="545">
      <c r="A545" s="90"/>
      <c r="B545" s="1"/>
      <c r="C545" s="1"/>
      <c r="D545" s="91"/>
      <c r="E545" s="91"/>
      <c r="F545" s="91"/>
    </row>
    <row r="546">
      <c r="A546" s="90"/>
      <c r="B546" s="1"/>
      <c r="C546" s="1"/>
      <c r="D546" s="91"/>
      <c r="E546" s="91"/>
      <c r="F546" s="91"/>
    </row>
    <row r="547">
      <c r="A547" s="90"/>
      <c r="B547" s="1"/>
      <c r="C547" s="1"/>
      <c r="D547" s="91"/>
      <c r="E547" s="91"/>
      <c r="F547" s="91"/>
    </row>
    <row r="548">
      <c r="A548" s="90"/>
      <c r="B548" s="1"/>
      <c r="C548" s="1"/>
      <c r="D548" s="91"/>
      <c r="E548" s="91"/>
      <c r="F548" s="91"/>
    </row>
    <row r="549">
      <c r="A549" s="90"/>
      <c r="B549" s="1"/>
      <c r="C549" s="1"/>
      <c r="D549" s="91"/>
      <c r="E549" s="91"/>
      <c r="F549" s="91"/>
    </row>
    <row r="550">
      <c r="A550" s="90"/>
      <c r="B550" s="1"/>
      <c r="C550" s="1"/>
      <c r="D550" s="91"/>
      <c r="E550" s="91"/>
      <c r="F550" s="91"/>
    </row>
    <row r="551">
      <c r="A551" s="90"/>
      <c r="B551" s="1"/>
      <c r="C551" s="1"/>
      <c r="D551" s="91"/>
      <c r="E551" s="91"/>
      <c r="F551" s="91"/>
    </row>
    <row r="552">
      <c r="A552" s="90"/>
      <c r="B552" s="1"/>
      <c r="C552" s="1"/>
      <c r="D552" s="91"/>
      <c r="E552" s="91"/>
      <c r="F552" s="91"/>
    </row>
    <row r="553">
      <c r="A553" s="90"/>
      <c r="B553" s="1"/>
      <c r="C553" s="1"/>
      <c r="D553" s="91"/>
      <c r="E553" s="91"/>
      <c r="F553" s="91"/>
    </row>
    <row r="554">
      <c r="A554" s="90"/>
      <c r="B554" s="1"/>
      <c r="C554" s="1"/>
      <c r="D554" s="91"/>
      <c r="E554" s="91"/>
      <c r="F554" s="91"/>
    </row>
    <row r="555">
      <c r="A555" s="90"/>
      <c r="B555" s="1"/>
      <c r="C555" s="1"/>
      <c r="D555" s="91"/>
      <c r="E555" s="91"/>
      <c r="F555" s="91"/>
    </row>
    <row r="556">
      <c r="A556" s="90"/>
      <c r="B556" s="1"/>
      <c r="C556" s="1"/>
      <c r="D556" s="91"/>
      <c r="E556" s="91"/>
      <c r="F556" s="91"/>
    </row>
    <row r="557">
      <c r="A557" s="90"/>
      <c r="B557" s="1"/>
      <c r="C557" s="1"/>
      <c r="D557" s="91"/>
      <c r="E557" s="91"/>
      <c r="F557" s="91"/>
    </row>
    <row r="558">
      <c r="A558" s="90"/>
      <c r="B558" s="1"/>
      <c r="C558" s="1"/>
      <c r="D558" s="91"/>
      <c r="E558" s="91"/>
      <c r="F558" s="91"/>
    </row>
    <row r="559">
      <c r="A559" s="90"/>
      <c r="B559" s="1"/>
      <c r="C559" s="1"/>
      <c r="D559" s="91"/>
      <c r="E559" s="91"/>
      <c r="F559" s="91"/>
    </row>
    <row r="560">
      <c r="A560" s="90"/>
      <c r="B560" s="1"/>
      <c r="C560" s="1"/>
      <c r="D560" s="91"/>
      <c r="E560" s="91"/>
      <c r="F560" s="91"/>
    </row>
    <row r="561">
      <c r="A561" s="90"/>
      <c r="B561" s="1"/>
      <c r="C561" s="1"/>
      <c r="D561" s="91"/>
      <c r="E561" s="91"/>
      <c r="F561" s="91"/>
    </row>
    <row r="562">
      <c r="A562" s="90"/>
      <c r="B562" s="1"/>
      <c r="C562" s="1"/>
      <c r="D562" s="91"/>
      <c r="E562" s="91"/>
      <c r="F562" s="91"/>
    </row>
    <row r="563">
      <c r="A563" s="90"/>
      <c r="B563" s="1"/>
      <c r="C563" s="1"/>
      <c r="D563" s="91"/>
      <c r="E563" s="91"/>
      <c r="F563" s="91"/>
    </row>
    <row r="564">
      <c r="A564" s="90"/>
      <c r="B564" s="1"/>
      <c r="C564" s="1"/>
      <c r="D564" s="91"/>
      <c r="E564" s="91"/>
      <c r="F564" s="91"/>
    </row>
    <row r="565">
      <c r="A565" s="90"/>
      <c r="B565" s="1"/>
      <c r="C565" s="1"/>
      <c r="D565" s="91"/>
      <c r="E565" s="91"/>
      <c r="F565" s="91"/>
    </row>
    <row r="566">
      <c r="A566" s="90"/>
      <c r="B566" s="1"/>
      <c r="C566" s="1"/>
      <c r="D566" s="91"/>
      <c r="E566" s="91"/>
      <c r="F566" s="91"/>
    </row>
    <row r="567">
      <c r="A567" s="90"/>
      <c r="B567" s="1"/>
      <c r="C567" s="1"/>
      <c r="D567" s="91"/>
      <c r="E567" s="91"/>
      <c r="F567" s="91"/>
    </row>
    <row r="568">
      <c r="A568" s="90"/>
      <c r="B568" s="1"/>
      <c r="C568" s="1"/>
      <c r="D568" s="91"/>
      <c r="E568" s="91"/>
      <c r="F568" s="91"/>
    </row>
    <row r="569">
      <c r="A569" s="90"/>
      <c r="B569" s="1"/>
      <c r="C569" s="1"/>
      <c r="D569" s="91"/>
      <c r="E569" s="91"/>
      <c r="F569" s="91"/>
    </row>
    <row r="570">
      <c r="A570" s="90"/>
      <c r="B570" s="1"/>
      <c r="C570" s="1"/>
      <c r="D570" s="91"/>
      <c r="E570" s="91"/>
      <c r="F570" s="91"/>
    </row>
    <row r="571">
      <c r="A571" s="90"/>
      <c r="B571" s="1"/>
      <c r="C571" s="1"/>
      <c r="D571" s="91"/>
      <c r="E571" s="91"/>
      <c r="F571" s="91"/>
    </row>
    <row r="572">
      <c r="A572" s="90"/>
      <c r="B572" s="1"/>
      <c r="C572" s="1"/>
      <c r="D572" s="91"/>
      <c r="E572" s="91"/>
      <c r="F572" s="91"/>
    </row>
    <row r="573">
      <c r="A573" s="90"/>
      <c r="B573" s="1"/>
      <c r="C573" s="1"/>
      <c r="D573" s="91"/>
      <c r="E573" s="91"/>
      <c r="F573" s="91"/>
    </row>
    <row r="574">
      <c r="A574" s="90"/>
      <c r="B574" s="1"/>
      <c r="C574" s="1"/>
      <c r="D574" s="91"/>
      <c r="E574" s="91"/>
      <c r="F574" s="91"/>
    </row>
    <row r="575">
      <c r="A575" s="90"/>
      <c r="B575" s="1"/>
      <c r="C575" s="1"/>
      <c r="D575" s="91"/>
      <c r="E575" s="91"/>
      <c r="F575" s="91"/>
    </row>
    <row r="576">
      <c r="A576" s="90"/>
      <c r="B576" s="1"/>
      <c r="C576" s="1"/>
      <c r="D576" s="91"/>
      <c r="E576" s="91"/>
      <c r="F576" s="91"/>
    </row>
    <row r="577">
      <c r="A577" s="90"/>
      <c r="B577" s="1"/>
      <c r="C577" s="1"/>
      <c r="D577" s="91"/>
      <c r="E577" s="91"/>
      <c r="F577" s="91"/>
    </row>
    <row r="578">
      <c r="A578" s="90"/>
      <c r="B578" s="1"/>
      <c r="C578" s="1"/>
      <c r="D578" s="91"/>
      <c r="E578" s="91"/>
      <c r="F578" s="91"/>
    </row>
    <row r="579">
      <c r="A579" s="90"/>
      <c r="B579" s="1"/>
      <c r="C579" s="1"/>
      <c r="D579" s="91"/>
      <c r="E579" s="91"/>
      <c r="F579" s="91"/>
    </row>
    <row r="580">
      <c r="A580" s="90"/>
      <c r="B580" s="1"/>
      <c r="C580" s="1"/>
      <c r="D580" s="91"/>
      <c r="E580" s="91"/>
      <c r="F580" s="91"/>
    </row>
    <row r="581">
      <c r="A581" s="90"/>
      <c r="B581" s="1"/>
      <c r="C581" s="1"/>
      <c r="D581" s="91"/>
      <c r="E581" s="91"/>
      <c r="F581" s="91"/>
    </row>
    <row r="582">
      <c r="A582" s="90"/>
      <c r="B582" s="1"/>
      <c r="C582" s="1"/>
      <c r="D582" s="91"/>
      <c r="E582" s="91"/>
      <c r="F582" s="91"/>
    </row>
    <row r="583">
      <c r="A583" s="90"/>
      <c r="B583" s="1"/>
      <c r="C583" s="1"/>
      <c r="D583" s="91"/>
      <c r="E583" s="91"/>
      <c r="F583" s="91"/>
    </row>
    <row r="584">
      <c r="A584" s="90"/>
      <c r="B584" s="1"/>
      <c r="C584" s="1"/>
      <c r="D584" s="91"/>
      <c r="E584" s="91"/>
      <c r="F584" s="91"/>
    </row>
    <row r="585">
      <c r="A585" s="90"/>
      <c r="B585" s="1"/>
      <c r="C585" s="1"/>
      <c r="D585" s="91"/>
      <c r="E585" s="91"/>
      <c r="F585" s="91"/>
    </row>
    <row r="586">
      <c r="A586" s="90"/>
      <c r="B586" s="1"/>
      <c r="C586" s="1"/>
      <c r="D586" s="91"/>
      <c r="E586" s="91"/>
      <c r="F586" s="91"/>
    </row>
    <row r="587">
      <c r="A587" s="90"/>
      <c r="B587" s="1"/>
      <c r="C587" s="1"/>
      <c r="D587" s="91"/>
      <c r="E587" s="91"/>
      <c r="F587" s="91"/>
    </row>
    <row r="588">
      <c r="A588" s="90"/>
      <c r="B588" s="1"/>
      <c r="C588" s="1"/>
      <c r="D588" s="91"/>
      <c r="E588" s="91"/>
      <c r="F588" s="91"/>
    </row>
    <row r="589">
      <c r="A589" s="90"/>
      <c r="B589" s="1"/>
      <c r="C589" s="1"/>
      <c r="D589" s="91"/>
      <c r="E589" s="91"/>
      <c r="F589" s="91"/>
    </row>
    <row r="590">
      <c r="A590" s="90"/>
      <c r="B590" s="1"/>
      <c r="C590" s="1"/>
      <c r="D590" s="91"/>
      <c r="E590" s="91"/>
      <c r="F590" s="91"/>
    </row>
    <row r="591">
      <c r="A591" s="90"/>
      <c r="B591" s="1"/>
      <c r="C591" s="1"/>
      <c r="D591" s="91"/>
      <c r="E591" s="91"/>
      <c r="F591" s="91"/>
    </row>
    <row r="592">
      <c r="A592" s="90"/>
      <c r="B592" s="1"/>
      <c r="C592" s="1"/>
      <c r="D592" s="91"/>
      <c r="E592" s="91"/>
      <c r="F592" s="91"/>
    </row>
    <row r="593">
      <c r="A593" s="90"/>
      <c r="B593" s="1"/>
      <c r="C593" s="1"/>
      <c r="D593" s="91"/>
      <c r="E593" s="91"/>
      <c r="F593" s="91"/>
    </row>
    <row r="594">
      <c r="A594" s="90"/>
      <c r="B594" s="1"/>
      <c r="C594" s="1"/>
      <c r="D594" s="91"/>
      <c r="E594" s="91"/>
      <c r="F594" s="91"/>
    </row>
    <row r="595">
      <c r="A595" s="90"/>
      <c r="B595" s="1"/>
      <c r="C595" s="1"/>
      <c r="D595" s="91"/>
      <c r="E595" s="91"/>
      <c r="F595" s="91"/>
    </row>
    <row r="596">
      <c r="A596" s="90"/>
      <c r="B596" s="1"/>
      <c r="C596" s="1"/>
      <c r="D596" s="91"/>
      <c r="E596" s="91"/>
      <c r="F596" s="91"/>
    </row>
    <row r="597">
      <c r="A597" s="90"/>
      <c r="B597" s="1"/>
      <c r="C597" s="1"/>
      <c r="D597" s="91"/>
      <c r="E597" s="91"/>
      <c r="F597" s="91"/>
    </row>
    <row r="598">
      <c r="A598" s="90"/>
      <c r="B598" s="1"/>
      <c r="C598" s="1"/>
      <c r="D598" s="91"/>
      <c r="E598" s="91"/>
      <c r="F598" s="91"/>
    </row>
    <row r="599">
      <c r="A599" s="90"/>
      <c r="B599" s="1"/>
      <c r="C599" s="1"/>
      <c r="D599" s="91"/>
      <c r="E599" s="91"/>
      <c r="F599" s="91"/>
    </row>
    <row r="600">
      <c r="A600" s="90"/>
      <c r="B600" s="1"/>
      <c r="C600" s="1"/>
      <c r="D600" s="91"/>
      <c r="E600" s="91"/>
      <c r="F600" s="91"/>
    </row>
    <row r="601">
      <c r="A601" s="90"/>
      <c r="B601" s="1"/>
      <c r="C601" s="1"/>
      <c r="D601" s="91"/>
      <c r="E601" s="91"/>
      <c r="F601" s="91"/>
    </row>
    <row r="602">
      <c r="A602" s="90"/>
      <c r="B602" s="1"/>
      <c r="C602" s="1"/>
      <c r="D602" s="91"/>
      <c r="E602" s="91"/>
      <c r="F602" s="91"/>
    </row>
    <row r="603">
      <c r="A603" s="90"/>
      <c r="B603" s="1"/>
      <c r="C603" s="1"/>
      <c r="D603" s="91"/>
      <c r="E603" s="91"/>
      <c r="F603" s="91"/>
    </row>
    <row r="604">
      <c r="A604" s="90"/>
      <c r="B604" s="1"/>
      <c r="C604" s="1"/>
      <c r="D604" s="91"/>
      <c r="E604" s="91"/>
      <c r="F604" s="91"/>
    </row>
    <row r="605">
      <c r="A605" s="90"/>
      <c r="B605" s="1"/>
      <c r="C605" s="1"/>
      <c r="D605" s="91"/>
      <c r="E605" s="91"/>
      <c r="F605" s="91"/>
    </row>
    <row r="606">
      <c r="A606" s="90"/>
      <c r="B606" s="1"/>
      <c r="C606" s="1"/>
      <c r="D606" s="91"/>
      <c r="E606" s="91"/>
      <c r="F606" s="91"/>
    </row>
    <row r="607">
      <c r="A607" s="90"/>
      <c r="B607" s="1"/>
      <c r="C607" s="1"/>
      <c r="D607" s="91"/>
      <c r="E607" s="91"/>
      <c r="F607" s="91"/>
    </row>
    <row r="608">
      <c r="A608" s="90"/>
      <c r="B608" s="1"/>
      <c r="C608" s="1"/>
      <c r="D608" s="91"/>
      <c r="E608" s="91"/>
      <c r="F608" s="91"/>
    </row>
    <row r="609">
      <c r="A609" s="90"/>
      <c r="B609" s="1"/>
      <c r="C609" s="1"/>
      <c r="D609" s="91"/>
      <c r="E609" s="91"/>
      <c r="F609" s="91"/>
    </row>
    <row r="610">
      <c r="A610" s="90"/>
      <c r="B610" s="1"/>
      <c r="C610" s="1"/>
      <c r="D610" s="91"/>
      <c r="E610" s="91"/>
      <c r="F610" s="91"/>
    </row>
    <row r="611">
      <c r="A611" s="90"/>
      <c r="B611" s="1"/>
      <c r="C611" s="1"/>
      <c r="D611" s="91"/>
      <c r="E611" s="91"/>
      <c r="F611" s="91"/>
    </row>
    <row r="612">
      <c r="A612" s="90"/>
      <c r="B612" s="1"/>
      <c r="C612" s="1"/>
      <c r="D612" s="91"/>
      <c r="E612" s="91"/>
      <c r="F612" s="91"/>
    </row>
    <row r="613">
      <c r="A613" s="90"/>
      <c r="B613" s="1"/>
      <c r="C613" s="1"/>
      <c r="D613" s="91"/>
      <c r="E613" s="91"/>
      <c r="F613" s="91"/>
    </row>
    <row r="614">
      <c r="A614" s="90"/>
      <c r="B614" s="1"/>
      <c r="C614" s="1"/>
      <c r="D614" s="91"/>
      <c r="E614" s="91"/>
      <c r="F614" s="91"/>
    </row>
    <row r="615">
      <c r="A615" s="90"/>
      <c r="B615" s="1"/>
      <c r="C615" s="1"/>
      <c r="D615" s="91"/>
      <c r="E615" s="91"/>
      <c r="F615" s="91"/>
    </row>
    <row r="616">
      <c r="A616" s="90"/>
      <c r="B616" s="1"/>
      <c r="C616" s="1"/>
      <c r="D616" s="91"/>
      <c r="E616" s="91"/>
      <c r="F616" s="91"/>
    </row>
    <row r="617">
      <c r="A617" s="90"/>
      <c r="B617" s="1"/>
      <c r="C617" s="1"/>
      <c r="D617" s="91"/>
      <c r="E617" s="91"/>
      <c r="F617" s="91"/>
    </row>
    <row r="618">
      <c r="A618" s="90"/>
      <c r="B618" s="1"/>
      <c r="C618" s="1"/>
      <c r="D618" s="91"/>
      <c r="E618" s="91"/>
      <c r="F618" s="91"/>
    </row>
    <row r="619">
      <c r="A619" s="90"/>
      <c r="B619" s="1"/>
      <c r="C619" s="1"/>
      <c r="D619" s="91"/>
      <c r="E619" s="91"/>
      <c r="F619" s="91"/>
    </row>
    <row r="620">
      <c r="A620" s="90"/>
      <c r="B620" s="1"/>
      <c r="C620" s="1"/>
      <c r="D620" s="91"/>
      <c r="E620" s="91"/>
      <c r="F620" s="91"/>
    </row>
    <row r="621">
      <c r="A621" s="90"/>
      <c r="B621" s="1"/>
      <c r="C621" s="1"/>
      <c r="D621" s="91"/>
      <c r="E621" s="91"/>
      <c r="F621" s="91"/>
    </row>
    <row r="622">
      <c r="A622" s="90"/>
      <c r="B622" s="1"/>
      <c r="C622" s="1"/>
      <c r="D622" s="91"/>
      <c r="E622" s="91"/>
      <c r="F622" s="91"/>
    </row>
    <row r="623">
      <c r="A623" s="90"/>
      <c r="B623" s="1"/>
      <c r="C623" s="1"/>
      <c r="D623" s="91"/>
      <c r="E623" s="91"/>
      <c r="F623" s="91"/>
    </row>
    <row r="624">
      <c r="A624" s="90"/>
      <c r="B624" s="1"/>
      <c r="C624" s="1"/>
      <c r="D624" s="91"/>
      <c r="E624" s="91"/>
      <c r="F624" s="91"/>
    </row>
    <row r="625">
      <c r="A625" s="90"/>
      <c r="B625" s="1"/>
      <c r="C625" s="1"/>
      <c r="D625" s="91"/>
      <c r="E625" s="91"/>
      <c r="F625" s="91"/>
    </row>
    <row r="626">
      <c r="A626" s="90"/>
      <c r="B626" s="1"/>
      <c r="C626" s="1"/>
      <c r="D626" s="91"/>
      <c r="E626" s="91"/>
      <c r="F626" s="91"/>
    </row>
    <row r="627">
      <c r="A627" s="90"/>
      <c r="B627" s="1"/>
      <c r="C627" s="1"/>
      <c r="D627" s="91"/>
      <c r="E627" s="91"/>
      <c r="F627" s="91"/>
    </row>
    <row r="628">
      <c r="A628" s="90"/>
      <c r="B628" s="1"/>
      <c r="C628" s="1"/>
      <c r="D628" s="91"/>
      <c r="E628" s="91"/>
      <c r="F628" s="91"/>
    </row>
    <row r="629">
      <c r="A629" s="90"/>
      <c r="B629" s="1"/>
      <c r="C629" s="1"/>
      <c r="D629" s="91"/>
      <c r="E629" s="91"/>
      <c r="F629" s="91"/>
    </row>
    <row r="630">
      <c r="A630" s="90"/>
      <c r="B630" s="1"/>
      <c r="C630" s="1"/>
      <c r="D630" s="91"/>
      <c r="E630" s="91"/>
      <c r="F630" s="91"/>
    </row>
    <row r="631">
      <c r="A631" s="90"/>
      <c r="B631" s="1"/>
      <c r="C631" s="1"/>
      <c r="D631" s="91"/>
      <c r="E631" s="91"/>
      <c r="F631" s="91"/>
    </row>
    <row r="632">
      <c r="A632" s="90"/>
      <c r="B632" s="1"/>
      <c r="C632" s="1"/>
      <c r="D632" s="91"/>
      <c r="E632" s="91"/>
      <c r="F632" s="91"/>
    </row>
    <row r="633">
      <c r="A633" s="90"/>
      <c r="B633" s="1"/>
      <c r="C633" s="1"/>
      <c r="D633" s="91"/>
      <c r="E633" s="91"/>
      <c r="F633" s="91"/>
    </row>
    <row r="634">
      <c r="A634" s="90"/>
      <c r="B634" s="1"/>
      <c r="C634" s="1"/>
      <c r="D634" s="91"/>
      <c r="E634" s="91"/>
      <c r="F634" s="91"/>
    </row>
    <row r="635">
      <c r="A635" s="90"/>
      <c r="B635" s="1"/>
      <c r="C635" s="1"/>
      <c r="D635" s="91"/>
      <c r="E635" s="91"/>
      <c r="F635" s="91"/>
    </row>
    <row r="636">
      <c r="A636" s="90"/>
      <c r="B636" s="1"/>
      <c r="C636" s="1"/>
      <c r="D636" s="91"/>
      <c r="E636" s="91"/>
      <c r="F636" s="91"/>
    </row>
    <row r="637">
      <c r="A637" s="90"/>
      <c r="B637" s="1"/>
      <c r="C637" s="1"/>
      <c r="D637" s="91"/>
      <c r="E637" s="91"/>
      <c r="F637" s="91"/>
    </row>
    <row r="638">
      <c r="A638" s="90"/>
      <c r="B638" s="1"/>
      <c r="C638" s="1"/>
      <c r="D638" s="91"/>
      <c r="E638" s="91"/>
      <c r="F638" s="91"/>
    </row>
    <row r="639">
      <c r="A639" s="90"/>
      <c r="B639" s="1"/>
      <c r="C639" s="1"/>
      <c r="D639" s="91"/>
      <c r="E639" s="91"/>
      <c r="F639" s="91"/>
    </row>
    <row r="640">
      <c r="A640" s="90"/>
      <c r="B640" s="1"/>
      <c r="C640" s="1"/>
      <c r="D640" s="91"/>
      <c r="E640" s="91"/>
      <c r="F640" s="91"/>
    </row>
    <row r="641">
      <c r="A641" s="90"/>
      <c r="B641" s="1"/>
      <c r="C641" s="1"/>
      <c r="D641" s="91"/>
      <c r="E641" s="91"/>
      <c r="F641" s="91"/>
    </row>
    <row r="642">
      <c r="A642" s="90"/>
      <c r="B642" s="1"/>
      <c r="C642" s="1"/>
      <c r="D642" s="91"/>
      <c r="E642" s="91"/>
      <c r="F642" s="91"/>
    </row>
    <row r="643">
      <c r="A643" s="90"/>
      <c r="B643" s="1"/>
      <c r="C643" s="1"/>
      <c r="D643" s="91"/>
      <c r="E643" s="91"/>
      <c r="F643" s="91"/>
    </row>
    <row r="644">
      <c r="A644" s="90"/>
      <c r="B644" s="1"/>
      <c r="C644" s="1"/>
      <c r="D644" s="91"/>
      <c r="E644" s="91"/>
      <c r="F644" s="91"/>
    </row>
    <row r="645">
      <c r="A645" s="90"/>
      <c r="B645" s="1"/>
      <c r="C645" s="1"/>
      <c r="D645" s="91"/>
      <c r="E645" s="91"/>
      <c r="F645" s="91"/>
    </row>
    <row r="646">
      <c r="A646" s="90"/>
      <c r="B646" s="1"/>
      <c r="C646" s="1"/>
      <c r="D646" s="91"/>
      <c r="E646" s="91"/>
      <c r="F646" s="91"/>
    </row>
    <row r="647">
      <c r="A647" s="90"/>
      <c r="B647" s="1"/>
      <c r="C647" s="1"/>
      <c r="D647" s="91"/>
      <c r="E647" s="91"/>
      <c r="F647" s="91"/>
    </row>
    <row r="648">
      <c r="A648" s="90"/>
      <c r="B648" s="1"/>
      <c r="C648" s="1"/>
      <c r="D648" s="91"/>
      <c r="E648" s="91"/>
      <c r="F648" s="91"/>
    </row>
    <row r="649">
      <c r="A649" s="90"/>
      <c r="B649" s="1"/>
      <c r="C649" s="1"/>
      <c r="D649" s="91"/>
      <c r="E649" s="91"/>
      <c r="F649" s="91"/>
    </row>
    <row r="650">
      <c r="A650" s="90"/>
      <c r="B650" s="1"/>
      <c r="C650" s="1"/>
      <c r="D650" s="91"/>
      <c r="E650" s="91"/>
      <c r="F650" s="91"/>
    </row>
    <row r="651">
      <c r="A651" s="90"/>
      <c r="B651" s="1"/>
      <c r="C651" s="1"/>
      <c r="D651" s="91"/>
      <c r="E651" s="91"/>
      <c r="F651" s="91"/>
    </row>
    <row r="652">
      <c r="A652" s="90"/>
      <c r="B652" s="1"/>
      <c r="C652" s="1"/>
      <c r="D652" s="91"/>
      <c r="E652" s="91"/>
      <c r="F652" s="91"/>
    </row>
    <row r="653">
      <c r="A653" s="90"/>
      <c r="B653" s="1"/>
      <c r="C653" s="1"/>
      <c r="D653" s="91"/>
      <c r="E653" s="91"/>
      <c r="F653" s="91"/>
    </row>
    <row r="654">
      <c r="A654" s="90"/>
      <c r="B654" s="1"/>
      <c r="C654" s="1"/>
      <c r="D654" s="91"/>
      <c r="E654" s="91"/>
      <c r="F654" s="91"/>
    </row>
    <row r="655">
      <c r="A655" s="90"/>
      <c r="B655" s="1"/>
      <c r="C655" s="1"/>
      <c r="D655" s="91"/>
      <c r="E655" s="91"/>
      <c r="F655" s="91"/>
    </row>
    <row r="656">
      <c r="A656" s="90"/>
      <c r="B656" s="1"/>
      <c r="C656" s="1"/>
      <c r="D656" s="91"/>
      <c r="E656" s="91"/>
      <c r="F656" s="91"/>
    </row>
    <row r="657">
      <c r="A657" s="90"/>
      <c r="B657" s="1"/>
      <c r="C657" s="1"/>
      <c r="D657" s="91"/>
      <c r="E657" s="91"/>
      <c r="F657" s="91"/>
    </row>
    <row r="658">
      <c r="A658" s="90"/>
      <c r="B658" s="1"/>
      <c r="C658" s="1"/>
      <c r="D658" s="91"/>
      <c r="E658" s="91"/>
      <c r="F658" s="91"/>
    </row>
    <row r="659">
      <c r="A659" s="90"/>
      <c r="B659" s="1"/>
      <c r="C659" s="1"/>
      <c r="D659" s="91"/>
      <c r="E659" s="91"/>
      <c r="F659" s="91"/>
    </row>
    <row r="660">
      <c r="A660" s="90"/>
      <c r="B660" s="1"/>
      <c r="C660" s="1"/>
      <c r="D660" s="91"/>
      <c r="E660" s="91"/>
      <c r="F660" s="91"/>
    </row>
    <row r="661">
      <c r="A661" s="90"/>
      <c r="B661" s="1"/>
      <c r="C661" s="1"/>
      <c r="D661" s="91"/>
      <c r="E661" s="91"/>
      <c r="F661" s="91"/>
    </row>
    <row r="662">
      <c r="A662" s="90"/>
      <c r="B662" s="1"/>
      <c r="C662" s="1"/>
      <c r="D662" s="91"/>
      <c r="E662" s="91"/>
      <c r="F662" s="91"/>
    </row>
    <row r="663">
      <c r="A663" s="90"/>
      <c r="B663" s="1"/>
      <c r="C663" s="1"/>
      <c r="D663" s="91"/>
      <c r="E663" s="91"/>
      <c r="F663" s="91"/>
    </row>
    <row r="664">
      <c r="A664" s="90"/>
      <c r="B664" s="1"/>
      <c r="C664" s="1"/>
      <c r="D664" s="91"/>
      <c r="E664" s="91"/>
      <c r="F664" s="91"/>
    </row>
    <row r="665">
      <c r="A665" s="90"/>
      <c r="B665" s="1"/>
      <c r="C665" s="1"/>
      <c r="D665" s="91"/>
      <c r="E665" s="91"/>
      <c r="F665" s="91"/>
    </row>
    <row r="666">
      <c r="A666" s="90"/>
      <c r="B666" s="1"/>
      <c r="C666" s="1"/>
      <c r="D666" s="91"/>
      <c r="E666" s="91"/>
      <c r="F666" s="91"/>
    </row>
    <row r="667">
      <c r="A667" s="90"/>
      <c r="B667" s="1"/>
      <c r="C667" s="1"/>
      <c r="D667" s="91"/>
      <c r="E667" s="91"/>
      <c r="F667" s="91"/>
    </row>
    <row r="668">
      <c r="A668" s="90"/>
      <c r="B668" s="1"/>
      <c r="C668" s="1"/>
      <c r="D668" s="91"/>
      <c r="E668" s="91"/>
      <c r="F668" s="91"/>
    </row>
    <row r="669">
      <c r="A669" s="90"/>
      <c r="B669" s="1"/>
      <c r="C669" s="1"/>
      <c r="D669" s="91"/>
      <c r="E669" s="91"/>
      <c r="F669" s="91"/>
    </row>
    <row r="670">
      <c r="A670" s="90"/>
      <c r="B670" s="1"/>
      <c r="C670" s="1"/>
      <c r="D670" s="91"/>
      <c r="E670" s="91"/>
      <c r="F670" s="91"/>
    </row>
    <row r="671">
      <c r="A671" s="90"/>
      <c r="B671" s="1"/>
      <c r="C671" s="1"/>
      <c r="D671" s="91"/>
      <c r="E671" s="91"/>
      <c r="F671" s="91"/>
    </row>
    <row r="672">
      <c r="A672" s="90"/>
      <c r="B672" s="1"/>
      <c r="C672" s="1"/>
      <c r="D672" s="91"/>
      <c r="E672" s="91"/>
      <c r="F672" s="91"/>
    </row>
    <row r="673">
      <c r="A673" s="90"/>
      <c r="B673" s="1"/>
      <c r="C673" s="1"/>
      <c r="D673" s="91"/>
      <c r="E673" s="91"/>
      <c r="F673" s="91"/>
    </row>
    <row r="674">
      <c r="A674" s="90"/>
      <c r="B674" s="1"/>
      <c r="C674" s="1"/>
      <c r="D674" s="91"/>
      <c r="E674" s="91"/>
      <c r="F674" s="91"/>
    </row>
    <row r="675">
      <c r="A675" s="90"/>
      <c r="B675" s="1"/>
      <c r="C675" s="1"/>
      <c r="D675" s="91"/>
      <c r="E675" s="91"/>
      <c r="F675" s="91"/>
    </row>
    <row r="676">
      <c r="A676" s="90"/>
      <c r="B676" s="1"/>
      <c r="C676" s="1"/>
      <c r="D676" s="91"/>
      <c r="E676" s="91"/>
      <c r="F676" s="91"/>
    </row>
    <row r="677">
      <c r="A677" s="90"/>
      <c r="B677" s="1"/>
      <c r="C677" s="1"/>
      <c r="D677" s="91"/>
      <c r="E677" s="91"/>
      <c r="F677" s="91"/>
    </row>
    <row r="678">
      <c r="A678" s="90"/>
      <c r="B678" s="1"/>
      <c r="C678" s="1"/>
      <c r="D678" s="91"/>
      <c r="E678" s="91"/>
      <c r="F678" s="91"/>
    </row>
    <row r="679">
      <c r="A679" s="90"/>
      <c r="B679" s="1"/>
      <c r="C679" s="1"/>
      <c r="D679" s="91"/>
      <c r="E679" s="91"/>
      <c r="F679" s="91"/>
    </row>
    <row r="680">
      <c r="A680" s="90"/>
      <c r="B680" s="1"/>
      <c r="C680" s="1"/>
      <c r="D680" s="91"/>
      <c r="E680" s="91"/>
      <c r="F680" s="91"/>
    </row>
    <row r="681">
      <c r="A681" s="90"/>
      <c r="B681" s="1"/>
      <c r="C681" s="1"/>
      <c r="D681" s="91"/>
      <c r="E681" s="91"/>
      <c r="F681" s="91"/>
    </row>
    <row r="682">
      <c r="A682" s="90"/>
      <c r="B682" s="1"/>
      <c r="C682" s="1"/>
      <c r="D682" s="91"/>
      <c r="E682" s="91"/>
      <c r="F682" s="91"/>
    </row>
    <row r="683">
      <c r="A683" s="90"/>
      <c r="B683" s="1"/>
      <c r="C683" s="1"/>
      <c r="D683" s="91"/>
      <c r="E683" s="91"/>
      <c r="F683" s="91"/>
    </row>
    <row r="684">
      <c r="A684" s="90"/>
      <c r="B684" s="1"/>
      <c r="C684" s="1"/>
      <c r="D684" s="91"/>
      <c r="E684" s="91"/>
      <c r="F684" s="91"/>
    </row>
    <row r="685">
      <c r="A685" s="90"/>
      <c r="B685" s="1"/>
      <c r="C685" s="1"/>
      <c r="D685" s="91"/>
      <c r="E685" s="91"/>
      <c r="F685" s="91"/>
    </row>
    <row r="686">
      <c r="A686" s="90"/>
      <c r="B686" s="1"/>
      <c r="C686" s="1"/>
      <c r="D686" s="91"/>
      <c r="E686" s="91"/>
      <c r="F686" s="91"/>
    </row>
    <row r="687">
      <c r="A687" s="90"/>
      <c r="B687" s="1"/>
      <c r="C687" s="1"/>
      <c r="D687" s="91"/>
      <c r="E687" s="91"/>
      <c r="F687" s="91"/>
    </row>
    <row r="688">
      <c r="A688" s="90"/>
      <c r="B688" s="1"/>
      <c r="C688" s="1"/>
      <c r="D688" s="91"/>
      <c r="E688" s="91"/>
      <c r="F688" s="91"/>
    </row>
    <row r="689">
      <c r="A689" s="90"/>
      <c r="B689" s="1"/>
      <c r="C689" s="1"/>
      <c r="D689" s="91"/>
      <c r="E689" s="91"/>
      <c r="F689" s="91"/>
    </row>
    <row r="690">
      <c r="A690" s="90"/>
      <c r="B690" s="1"/>
      <c r="C690" s="1"/>
      <c r="D690" s="91"/>
      <c r="E690" s="91"/>
      <c r="F690" s="91"/>
    </row>
    <row r="691">
      <c r="A691" s="90"/>
      <c r="B691" s="1"/>
      <c r="C691" s="1"/>
      <c r="D691" s="91"/>
      <c r="E691" s="91"/>
      <c r="F691" s="91"/>
    </row>
    <row r="692">
      <c r="A692" s="90"/>
      <c r="B692" s="1"/>
      <c r="C692" s="1"/>
      <c r="D692" s="91"/>
      <c r="E692" s="91"/>
      <c r="F692" s="91"/>
    </row>
    <row r="693">
      <c r="A693" s="90"/>
      <c r="B693" s="1"/>
      <c r="C693" s="1"/>
      <c r="D693" s="91"/>
      <c r="E693" s="91"/>
      <c r="F693" s="91"/>
    </row>
    <row r="694">
      <c r="A694" s="90"/>
      <c r="B694" s="1"/>
      <c r="C694" s="1"/>
      <c r="D694" s="91"/>
      <c r="E694" s="91"/>
      <c r="F694" s="91"/>
    </row>
    <row r="695">
      <c r="A695" s="90"/>
      <c r="B695" s="1"/>
      <c r="C695" s="1"/>
      <c r="D695" s="91"/>
      <c r="E695" s="91"/>
      <c r="F695" s="91"/>
    </row>
    <row r="696">
      <c r="A696" s="90"/>
      <c r="B696" s="1"/>
      <c r="C696" s="1"/>
      <c r="D696" s="91"/>
      <c r="E696" s="91"/>
      <c r="F696" s="91"/>
    </row>
    <row r="697">
      <c r="A697" s="90"/>
      <c r="B697" s="1"/>
      <c r="C697" s="1"/>
      <c r="D697" s="91"/>
      <c r="E697" s="91"/>
      <c r="F697" s="91"/>
    </row>
    <row r="698">
      <c r="A698" s="90"/>
      <c r="B698" s="1"/>
      <c r="C698" s="1"/>
      <c r="D698" s="91"/>
      <c r="E698" s="91"/>
      <c r="F698" s="91"/>
    </row>
    <row r="699">
      <c r="A699" s="90"/>
      <c r="B699" s="1"/>
      <c r="C699" s="1"/>
      <c r="D699" s="91"/>
      <c r="E699" s="91"/>
      <c r="F699" s="91"/>
    </row>
    <row r="700">
      <c r="A700" s="90"/>
      <c r="B700" s="1"/>
      <c r="C700" s="1"/>
      <c r="D700" s="91"/>
      <c r="E700" s="91"/>
      <c r="F700" s="91"/>
    </row>
    <row r="701">
      <c r="A701" s="90"/>
      <c r="B701" s="1"/>
      <c r="C701" s="1"/>
      <c r="D701" s="91"/>
      <c r="E701" s="91"/>
      <c r="F701" s="91"/>
    </row>
    <row r="702">
      <c r="A702" s="90"/>
      <c r="B702" s="1"/>
      <c r="C702" s="1"/>
      <c r="D702" s="91"/>
      <c r="E702" s="91"/>
      <c r="F702" s="91"/>
    </row>
    <row r="703">
      <c r="A703" s="90"/>
      <c r="B703" s="1"/>
      <c r="C703" s="1"/>
      <c r="D703" s="91"/>
      <c r="E703" s="91"/>
      <c r="F703" s="91"/>
    </row>
    <row r="704">
      <c r="A704" s="90"/>
      <c r="B704" s="1"/>
      <c r="C704" s="1"/>
      <c r="D704" s="91"/>
      <c r="E704" s="91"/>
      <c r="F704" s="91"/>
    </row>
    <row r="705">
      <c r="A705" s="90"/>
      <c r="B705" s="1"/>
      <c r="C705" s="1"/>
      <c r="D705" s="91"/>
      <c r="E705" s="91"/>
      <c r="F705" s="91"/>
    </row>
    <row r="706">
      <c r="A706" s="90"/>
      <c r="B706" s="1"/>
      <c r="C706" s="1"/>
      <c r="D706" s="91"/>
      <c r="E706" s="91"/>
      <c r="F706" s="91"/>
    </row>
    <row r="707">
      <c r="A707" s="90"/>
      <c r="B707" s="1"/>
      <c r="C707" s="1"/>
      <c r="D707" s="91"/>
      <c r="E707" s="91"/>
      <c r="F707" s="91"/>
    </row>
    <row r="708">
      <c r="A708" s="90"/>
      <c r="B708" s="1"/>
      <c r="C708" s="1"/>
      <c r="D708" s="91"/>
      <c r="E708" s="91"/>
      <c r="F708" s="91"/>
    </row>
    <row r="709">
      <c r="A709" s="90"/>
      <c r="B709" s="1"/>
      <c r="C709" s="1"/>
      <c r="D709" s="91"/>
      <c r="E709" s="91"/>
      <c r="F709" s="91"/>
    </row>
    <row r="710">
      <c r="A710" s="90"/>
      <c r="B710" s="1"/>
      <c r="C710" s="1"/>
      <c r="D710" s="91"/>
      <c r="E710" s="91"/>
      <c r="F710" s="91"/>
    </row>
    <row r="711">
      <c r="A711" s="90"/>
      <c r="B711" s="1"/>
      <c r="C711" s="1"/>
      <c r="D711" s="91"/>
      <c r="E711" s="91"/>
      <c r="F711" s="91"/>
    </row>
    <row r="712">
      <c r="A712" s="90"/>
      <c r="B712" s="1"/>
      <c r="C712" s="1"/>
      <c r="D712" s="91"/>
      <c r="E712" s="91"/>
      <c r="F712" s="91"/>
    </row>
    <row r="713">
      <c r="A713" s="90"/>
      <c r="B713" s="1"/>
      <c r="C713" s="1"/>
      <c r="D713" s="91"/>
      <c r="E713" s="91"/>
      <c r="F713" s="91"/>
    </row>
    <row r="714">
      <c r="A714" s="90"/>
      <c r="B714" s="1"/>
      <c r="C714" s="1"/>
      <c r="D714" s="91"/>
      <c r="E714" s="91"/>
      <c r="F714" s="91"/>
    </row>
    <row r="715">
      <c r="A715" s="90"/>
      <c r="B715" s="1"/>
      <c r="C715" s="1"/>
      <c r="D715" s="91"/>
      <c r="E715" s="91"/>
      <c r="F715" s="91"/>
    </row>
    <row r="716">
      <c r="A716" s="90"/>
      <c r="B716" s="1"/>
      <c r="C716" s="1"/>
      <c r="D716" s="91"/>
      <c r="E716" s="91"/>
      <c r="F716" s="91"/>
    </row>
    <row r="717">
      <c r="A717" s="90"/>
      <c r="B717" s="1"/>
      <c r="C717" s="1"/>
      <c r="D717" s="91"/>
      <c r="E717" s="91"/>
      <c r="F717" s="91"/>
    </row>
    <row r="718">
      <c r="A718" s="90"/>
      <c r="B718" s="1"/>
      <c r="C718" s="1"/>
      <c r="D718" s="91"/>
      <c r="E718" s="91"/>
      <c r="F718" s="91"/>
    </row>
    <row r="719">
      <c r="A719" s="90"/>
      <c r="B719" s="1"/>
      <c r="C719" s="1"/>
      <c r="D719" s="91"/>
      <c r="E719" s="91"/>
      <c r="F719" s="91"/>
    </row>
    <row r="720">
      <c r="A720" s="90"/>
      <c r="B720" s="1"/>
      <c r="C720" s="1"/>
      <c r="D720" s="91"/>
      <c r="E720" s="91"/>
      <c r="F720" s="91"/>
    </row>
    <row r="721">
      <c r="A721" s="90"/>
      <c r="B721" s="1"/>
      <c r="C721" s="1"/>
      <c r="D721" s="91"/>
      <c r="E721" s="91"/>
      <c r="F721" s="91"/>
    </row>
    <row r="722">
      <c r="A722" s="90"/>
      <c r="B722" s="1"/>
      <c r="C722" s="1"/>
      <c r="D722" s="91"/>
      <c r="E722" s="91"/>
      <c r="F722" s="91"/>
    </row>
    <row r="723">
      <c r="A723" s="90"/>
      <c r="B723" s="1"/>
      <c r="C723" s="1"/>
      <c r="D723" s="91"/>
      <c r="E723" s="91"/>
      <c r="F723" s="91"/>
    </row>
    <row r="724">
      <c r="A724" s="90"/>
      <c r="B724" s="1"/>
      <c r="C724" s="1"/>
      <c r="D724" s="91"/>
      <c r="E724" s="91"/>
      <c r="F724" s="91"/>
    </row>
    <row r="725">
      <c r="A725" s="90"/>
      <c r="B725" s="1"/>
      <c r="C725" s="1"/>
      <c r="D725" s="91"/>
      <c r="E725" s="91"/>
      <c r="F725" s="91"/>
    </row>
    <row r="726">
      <c r="A726" s="90"/>
      <c r="B726" s="1"/>
      <c r="C726" s="1"/>
      <c r="D726" s="91"/>
      <c r="E726" s="91"/>
      <c r="F726" s="91"/>
    </row>
    <row r="727">
      <c r="A727" s="90"/>
      <c r="B727" s="1"/>
      <c r="C727" s="1"/>
      <c r="D727" s="91"/>
      <c r="E727" s="91"/>
      <c r="F727" s="91"/>
    </row>
    <row r="728">
      <c r="A728" s="90"/>
      <c r="B728" s="1"/>
      <c r="C728" s="1"/>
      <c r="D728" s="91"/>
      <c r="E728" s="91"/>
      <c r="F728" s="91"/>
    </row>
    <row r="729">
      <c r="A729" s="90"/>
      <c r="B729" s="1"/>
      <c r="C729" s="1"/>
      <c r="D729" s="91"/>
      <c r="E729" s="91"/>
      <c r="F729" s="91"/>
    </row>
    <row r="730">
      <c r="A730" s="90"/>
      <c r="B730" s="1"/>
      <c r="C730" s="1"/>
      <c r="D730" s="91"/>
      <c r="E730" s="91"/>
      <c r="F730" s="91"/>
    </row>
    <row r="731">
      <c r="A731" s="90"/>
      <c r="B731" s="1"/>
      <c r="C731" s="1"/>
      <c r="D731" s="91"/>
      <c r="E731" s="91"/>
      <c r="F731" s="91"/>
    </row>
    <row r="732">
      <c r="A732" s="90"/>
      <c r="B732" s="1"/>
      <c r="C732" s="1"/>
      <c r="D732" s="91"/>
      <c r="E732" s="91"/>
      <c r="F732" s="91"/>
    </row>
    <row r="733">
      <c r="A733" s="90"/>
      <c r="B733" s="1"/>
      <c r="C733" s="1"/>
      <c r="D733" s="91"/>
      <c r="E733" s="91"/>
      <c r="F733" s="91"/>
    </row>
    <row r="734">
      <c r="A734" s="90"/>
      <c r="B734" s="1"/>
      <c r="C734" s="1"/>
      <c r="D734" s="91"/>
      <c r="E734" s="91"/>
      <c r="F734" s="91"/>
    </row>
    <row r="735">
      <c r="A735" s="90"/>
      <c r="B735" s="1"/>
      <c r="C735" s="1"/>
      <c r="D735" s="91"/>
      <c r="E735" s="91"/>
      <c r="F735" s="91"/>
    </row>
    <row r="736">
      <c r="A736" s="90"/>
      <c r="B736" s="1"/>
      <c r="C736" s="1"/>
      <c r="D736" s="91"/>
      <c r="E736" s="91"/>
      <c r="F736" s="91"/>
    </row>
    <row r="737">
      <c r="A737" s="90"/>
      <c r="B737" s="1"/>
      <c r="C737" s="1"/>
      <c r="D737" s="91"/>
      <c r="E737" s="91"/>
      <c r="F737" s="91"/>
    </row>
    <row r="738">
      <c r="A738" s="90"/>
      <c r="B738" s="1"/>
      <c r="C738" s="1"/>
      <c r="D738" s="91"/>
      <c r="E738" s="91"/>
      <c r="F738" s="91"/>
    </row>
    <row r="739">
      <c r="A739" s="90"/>
      <c r="B739" s="1"/>
      <c r="C739" s="1"/>
      <c r="D739" s="91"/>
      <c r="E739" s="91"/>
      <c r="F739" s="91"/>
    </row>
    <row r="740">
      <c r="A740" s="90"/>
      <c r="B740" s="1"/>
      <c r="C740" s="1"/>
      <c r="D740" s="91"/>
      <c r="E740" s="91"/>
      <c r="F740" s="91"/>
    </row>
    <row r="741">
      <c r="A741" s="90"/>
      <c r="B741" s="1"/>
      <c r="C741" s="1"/>
      <c r="D741" s="91"/>
      <c r="E741" s="91"/>
      <c r="F741" s="91"/>
    </row>
    <row r="742">
      <c r="A742" s="90"/>
      <c r="B742" s="1"/>
      <c r="C742" s="1"/>
      <c r="D742" s="91"/>
      <c r="E742" s="91"/>
      <c r="F742" s="91"/>
    </row>
    <row r="743">
      <c r="A743" s="90"/>
      <c r="B743" s="1"/>
      <c r="C743" s="1"/>
      <c r="D743" s="91"/>
      <c r="E743" s="91"/>
      <c r="F743" s="91"/>
    </row>
    <row r="744">
      <c r="A744" s="90"/>
      <c r="B744" s="1"/>
      <c r="C744" s="1"/>
      <c r="D744" s="91"/>
      <c r="E744" s="91"/>
      <c r="F744" s="91"/>
    </row>
    <row r="745">
      <c r="A745" s="90"/>
      <c r="B745" s="1"/>
      <c r="C745" s="1"/>
      <c r="D745" s="91"/>
      <c r="E745" s="91"/>
      <c r="F745" s="91"/>
    </row>
    <row r="746">
      <c r="A746" s="90"/>
      <c r="B746" s="1"/>
      <c r="C746" s="1"/>
      <c r="D746" s="91"/>
      <c r="E746" s="91"/>
      <c r="F746" s="91"/>
    </row>
    <row r="747">
      <c r="A747" s="90"/>
      <c r="B747" s="1"/>
      <c r="C747" s="1"/>
      <c r="D747" s="91"/>
      <c r="E747" s="91"/>
      <c r="F747" s="91"/>
    </row>
    <row r="748">
      <c r="A748" s="90"/>
      <c r="B748" s="1"/>
      <c r="C748" s="1"/>
      <c r="D748" s="91"/>
      <c r="E748" s="91"/>
      <c r="F748" s="91"/>
    </row>
    <row r="749">
      <c r="A749" s="90"/>
      <c r="B749" s="1"/>
      <c r="C749" s="1"/>
      <c r="D749" s="91"/>
      <c r="E749" s="91"/>
      <c r="F749" s="91"/>
    </row>
    <row r="750">
      <c r="A750" s="90"/>
      <c r="B750" s="1"/>
      <c r="C750" s="1"/>
      <c r="D750" s="91"/>
      <c r="E750" s="91"/>
      <c r="F750" s="91"/>
    </row>
    <row r="751">
      <c r="A751" s="90"/>
      <c r="B751" s="1"/>
      <c r="C751" s="1"/>
      <c r="D751" s="91"/>
      <c r="E751" s="91"/>
      <c r="F751" s="91"/>
    </row>
    <row r="752">
      <c r="A752" s="90"/>
      <c r="B752" s="1"/>
      <c r="C752" s="1"/>
      <c r="D752" s="91"/>
      <c r="E752" s="91"/>
      <c r="F752" s="91"/>
    </row>
    <row r="753">
      <c r="A753" s="90"/>
      <c r="B753" s="1"/>
      <c r="C753" s="1"/>
      <c r="D753" s="91"/>
      <c r="E753" s="91"/>
      <c r="F753" s="91"/>
    </row>
    <row r="754">
      <c r="A754" s="90"/>
      <c r="B754" s="1"/>
      <c r="C754" s="1"/>
      <c r="D754" s="91"/>
      <c r="E754" s="91"/>
      <c r="F754" s="91"/>
    </row>
    <row r="755">
      <c r="A755" s="90"/>
      <c r="B755" s="1"/>
      <c r="C755" s="1"/>
      <c r="D755" s="91"/>
      <c r="E755" s="91"/>
      <c r="F755" s="91"/>
    </row>
    <row r="756">
      <c r="A756" s="90"/>
      <c r="B756" s="1"/>
      <c r="C756" s="1"/>
      <c r="D756" s="91"/>
      <c r="E756" s="91"/>
      <c r="F756" s="91"/>
    </row>
    <row r="757">
      <c r="A757" s="90"/>
      <c r="B757" s="1"/>
      <c r="C757" s="1"/>
      <c r="D757" s="91"/>
      <c r="E757" s="91"/>
      <c r="F757" s="91"/>
    </row>
    <row r="758">
      <c r="A758" s="90"/>
      <c r="B758" s="1"/>
      <c r="C758" s="1"/>
      <c r="D758" s="91"/>
      <c r="E758" s="91"/>
      <c r="F758" s="91"/>
    </row>
    <row r="759">
      <c r="A759" s="90"/>
      <c r="B759" s="1"/>
      <c r="C759" s="1"/>
      <c r="D759" s="91"/>
      <c r="E759" s="91"/>
      <c r="F759" s="91"/>
    </row>
    <row r="760">
      <c r="A760" s="90"/>
      <c r="B760" s="1"/>
      <c r="C760" s="1"/>
      <c r="D760" s="91"/>
      <c r="E760" s="91"/>
      <c r="F760" s="91"/>
    </row>
    <row r="761">
      <c r="A761" s="90"/>
      <c r="B761" s="1"/>
      <c r="C761" s="1"/>
      <c r="D761" s="91"/>
      <c r="E761" s="91"/>
      <c r="F761" s="91"/>
    </row>
    <row r="762">
      <c r="A762" s="90"/>
      <c r="B762" s="1"/>
      <c r="C762" s="1"/>
      <c r="D762" s="91"/>
      <c r="E762" s="91"/>
      <c r="F762" s="91"/>
    </row>
    <row r="763">
      <c r="A763" s="90"/>
      <c r="B763" s="1"/>
      <c r="C763" s="1"/>
      <c r="D763" s="91"/>
      <c r="E763" s="91"/>
      <c r="F763" s="91"/>
    </row>
    <row r="764">
      <c r="A764" s="90"/>
      <c r="B764" s="1"/>
      <c r="C764" s="1"/>
      <c r="D764" s="91"/>
      <c r="E764" s="91"/>
      <c r="F764" s="91"/>
    </row>
    <row r="765">
      <c r="A765" s="90"/>
      <c r="B765" s="1"/>
      <c r="C765" s="1"/>
      <c r="D765" s="91"/>
      <c r="E765" s="91"/>
      <c r="F765" s="91"/>
    </row>
    <row r="766">
      <c r="A766" s="90"/>
      <c r="B766" s="1"/>
      <c r="C766" s="1"/>
      <c r="D766" s="91"/>
      <c r="E766" s="91"/>
      <c r="F766" s="91"/>
    </row>
    <row r="767">
      <c r="A767" s="90"/>
      <c r="B767" s="1"/>
      <c r="C767" s="1"/>
      <c r="D767" s="91"/>
      <c r="E767" s="91"/>
      <c r="F767" s="91"/>
    </row>
    <row r="768">
      <c r="A768" s="90"/>
      <c r="B768" s="1"/>
      <c r="C768" s="1"/>
      <c r="D768" s="91"/>
      <c r="E768" s="91"/>
      <c r="F768" s="91"/>
    </row>
    <row r="769">
      <c r="A769" s="90"/>
      <c r="B769" s="1"/>
      <c r="C769" s="1"/>
      <c r="D769" s="91"/>
      <c r="E769" s="91"/>
      <c r="F769" s="91"/>
    </row>
    <row r="770">
      <c r="A770" s="90"/>
      <c r="B770" s="1"/>
      <c r="C770" s="1"/>
      <c r="D770" s="91"/>
      <c r="E770" s="91"/>
      <c r="F770" s="91"/>
    </row>
    <row r="771">
      <c r="A771" s="90"/>
      <c r="B771" s="1"/>
      <c r="C771" s="1"/>
      <c r="D771" s="91"/>
      <c r="E771" s="91"/>
      <c r="F771" s="91"/>
    </row>
    <row r="772">
      <c r="A772" s="90"/>
      <c r="B772" s="1"/>
      <c r="C772" s="1"/>
      <c r="D772" s="91"/>
      <c r="E772" s="91"/>
      <c r="F772" s="91"/>
    </row>
    <row r="773">
      <c r="A773" s="90"/>
      <c r="B773" s="1"/>
      <c r="C773" s="1"/>
      <c r="D773" s="91"/>
      <c r="E773" s="91"/>
      <c r="F773" s="91"/>
    </row>
    <row r="774">
      <c r="A774" s="90"/>
      <c r="B774" s="1"/>
      <c r="C774" s="1"/>
      <c r="D774" s="91"/>
      <c r="E774" s="91"/>
      <c r="F774" s="91"/>
    </row>
    <row r="775">
      <c r="A775" s="90"/>
      <c r="B775" s="1"/>
      <c r="C775" s="1"/>
      <c r="D775" s="91"/>
      <c r="E775" s="91"/>
      <c r="F775" s="91"/>
    </row>
    <row r="776">
      <c r="A776" s="90"/>
      <c r="B776" s="1"/>
      <c r="C776" s="1"/>
      <c r="D776" s="91"/>
      <c r="E776" s="91"/>
      <c r="F776" s="91"/>
    </row>
    <row r="777">
      <c r="A777" s="90"/>
      <c r="B777" s="1"/>
      <c r="C777" s="1"/>
      <c r="D777" s="91"/>
      <c r="E777" s="91"/>
      <c r="F777" s="91"/>
    </row>
    <row r="778">
      <c r="A778" s="90"/>
      <c r="B778" s="1"/>
      <c r="C778" s="1"/>
      <c r="D778" s="91"/>
      <c r="E778" s="91"/>
      <c r="F778" s="91"/>
    </row>
    <row r="779">
      <c r="A779" s="90"/>
      <c r="B779" s="1"/>
      <c r="C779" s="1"/>
      <c r="D779" s="91"/>
      <c r="E779" s="91"/>
      <c r="F779" s="91"/>
    </row>
    <row r="780">
      <c r="A780" s="90"/>
      <c r="B780" s="1"/>
      <c r="C780" s="1"/>
      <c r="D780" s="91"/>
      <c r="E780" s="91"/>
      <c r="F780" s="91"/>
    </row>
    <row r="781">
      <c r="A781" s="90"/>
      <c r="B781" s="1"/>
      <c r="C781" s="1"/>
      <c r="D781" s="91"/>
      <c r="E781" s="91"/>
      <c r="F781" s="91"/>
    </row>
    <row r="782">
      <c r="A782" s="90"/>
      <c r="B782" s="1"/>
      <c r="C782" s="1"/>
      <c r="D782" s="91"/>
      <c r="E782" s="91"/>
      <c r="F782" s="91"/>
    </row>
    <row r="783">
      <c r="A783" s="90"/>
      <c r="B783" s="1"/>
      <c r="C783" s="1"/>
      <c r="D783" s="91"/>
      <c r="E783" s="91"/>
      <c r="F783" s="91"/>
    </row>
    <row r="784">
      <c r="A784" s="90"/>
      <c r="B784" s="1"/>
      <c r="C784" s="1"/>
      <c r="D784" s="91"/>
      <c r="E784" s="91"/>
      <c r="F784" s="91"/>
    </row>
    <row r="785">
      <c r="A785" s="90"/>
      <c r="B785" s="1"/>
      <c r="C785" s="1"/>
      <c r="D785" s="91"/>
      <c r="E785" s="91"/>
      <c r="F785" s="91"/>
    </row>
    <row r="786">
      <c r="A786" s="90"/>
      <c r="B786" s="1"/>
      <c r="C786" s="1"/>
      <c r="D786" s="91"/>
      <c r="E786" s="91"/>
      <c r="F786" s="91"/>
    </row>
    <row r="787">
      <c r="A787" s="90"/>
      <c r="B787" s="1"/>
      <c r="C787" s="1"/>
      <c r="D787" s="91"/>
      <c r="E787" s="91"/>
      <c r="F787" s="91"/>
    </row>
    <row r="788">
      <c r="A788" s="90"/>
      <c r="B788" s="1"/>
      <c r="C788" s="1"/>
      <c r="D788" s="91"/>
      <c r="E788" s="91"/>
      <c r="F788" s="91"/>
    </row>
    <row r="789">
      <c r="A789" s="90"/>
      <c r="B789" s="1"/>
      <c r="C789" s="1"/>
      <c r="D789" s="91"/>
      <c r="E789" s="91"/>
      <c r="F789" s="91"/>
    </row>
    <row r="790">
      <c r="A790" s="90"/>
      <c r="B790" s="1"/>
      <c r="C790" s="1"/>
      <c r="D790" s="91"/>
      <c r="E790" s="91"/>
      <c r="F790" s="91"/>
    </row>
    <row r="791">
      <c r="A791" s="90"/>
      <c r="B791" s="1"/>
      <c r="C791" s="1"/>
      <c r="D791" s="91"/>
      <c r="E791" s="91"/>
      <c r="F791" s="91"/>
    </row>
    <row r="792">
      <c r="A792" s="90"/>
      <c r="B792" s="1"/>
      <c r="C792" s="1"/>
      <c r="D792" s="91"/>
      <c r="E792" s="91"/>
      <c r="F792" s="91"/>
    </row>
    <row r="793">
      <c r="A793" s="90"/>
      <c r="B793" s="1"/>
      <c r="C793" s="1"/>
      <c r="D793" s="91"/>
      <c r="E793" s="91"/>
      <c r="F793" s="91"/>
    </row>
    <row r="794">
      <c r="A794" s="90"/>
      <c r="B794" s="1"/>
      <c r="C794" s="1"/>
      <c r="D794" s="91"/>
      <c r="E794" s="91"/>
      <c r="F794" s="91"/>
    </row>
    <row r="795">
      <c r="A795" s="90"/>
      <c r="B795" s="1"/>
      <c r="C795" s="1"/>
      <c r="D795" s="91"/>
      <c r="E795" s="91"/>
      <c r="F795" s="91"/>
    </row>
    <row r="796">
      <c r="A796" s="90"/>
      <c r="B796" s="1"/>
      <c r="C796" s="1"/>
      <c r="D796" s="91"/>
      <c r="E796" s="91"/>
      <c r="F796" s="91"/>
    </row>
    <row r="797">
      <c r="A797" s="90"/>
      <c r="B797" s="1"/>
      <c r="C797" s="1"/>
      <c r="D797" s="91"/>
      <c r="E797" s="91"/>
      <c r="F797" s="91"/>
    </row>
    <row r="798">
      <c r="A798" s="90"/>
      <c r="B798" s="1"/>
      <c r="C798" s="1"/>
      <c r="D798" s="91"/>
      <c r="E798" s="91"/>
      <c r="F798" s="91"/>
    </row>
    <row r="799">
      <c r="A799" s="90"/>
      <c r="B799" s="1"/>
      <c r="C799" s="1"/>
      <c r="D799" s="91"/>
      <c r="E799" s="91"/>
      <c r="F799" s="91"/>
    </row>
    <row r="800">
      <c r="A800" s="90"/>
      <c r="B800" s="1"/>
      <c r="C800" s="1"/>
      <c r="D800" s="91"/>
      <c r="E800" s="91"/>
      <c r="F800" s="91"/>
    </row>
    <row r="801">
      <c r="A801" s="90"/>
      <c r="B801" s="1"/>
      <c r="C801" s="1"/>
      <c r="D801" s="91"/>
      <c r="E801" s="91"/>
      <c r="F801" s="91"/>
    </row>
    <row r="802">
      <c r="A802" s="90"/>
      <c r="B802" s="1"/>
      <c r="C802" s="1"/>
      <c r="D802" s="91"/>
      <c r="E802" s="91"/>
      <c r="F802" s="91"/>
    </row>
    <row r="803">
      <c r="A803" s="90"/>
      <c r="B803" s="1"/>
      <c r="C803" s="1"/>
      <c r="D803" s="91"/>
      <c r="E803" s="91"/>
      <c r="F803" s="91"/>
    </row>
    <row r="804">
      <c r="A804" s="90"/>
      <c r="B804" s="1"/>
      <c r="C804" s="1"/>
      <c r="D804" s="91"/>
      <c r="E804" s="91"/>
      <c r="F804" s="91"/>
    </row>
    <row r="805">
      <c r="A805" s="90"/>
      <c r="B805" s="1"/>
      <c r="C805" s="1"/>
      <c r="D805" s="91"/>
      <c r="E805" s="91"/>
      <c r="F805" s="91"/>
    </row>
    <row r="806">
      <c r="A806" s="90"/>
      <c r="B806" s="1"/>
      <c r="C806" s="1"/>
      <c r="D806" s="91"/>
      <c r="E806" s="91"/>
      <c r="F806" s="91"/>
    </row>
    <row r="807">
      <c r="A807" s="90"/>
      <c r="B807" s="1"/>
      <c r="C807" s="1"/>
      <c r="D807" s="91"/>
      <c r="E807" s="91"/>
      <c r="F807" s="91"/>
    </row>
    <row r="808">
      <c r="A808" s="90"/>
      <c r="B808" s="1"/>
      <c r="C808" s="1"/>
      <c r="D808" s="91"/>
      <c r="E808" s="91"/>
      <c r="F808" s="91"/>
    </row>
    <row r="809">
      <c r="A809" s="90"/>
      <c r="B809" s="1"/>
      <c r="C809" s="1"/>
      <c r="D809" s="91"/>
      <c r="E809" s="91"/>
      <c r="F809" s="91"/>
    </row>
    <row r="810">
      <c r="A810" s="90"/>
      <c r="B810" s="1"/>
      <c r="C810" s="1"/>
      <c r="D810" s="91"/>
      <c r="E810" s="91"/>
      <c r="F810" s="91"/>
    </row>
    <row r="811">
      <c r="A811" s="90"/>
      <c r="B811" s="1"/>
      <c r="C811" s="1"/>
      <c r="D811" s="91"/>
      <c r="E811" s="91"/>
      <c r="F811" s="91"/>
    </row>
    <row r="812">
      <c r="A812" s="90"/>
      <c r="B812" s="1"/>
      <c r="C812" s="1"/>
      <c r="D812" s="91"/>
      <c r="E812" s="91"/>
      <c r="F812" s="91"/>
    </row>
    <row r="813">
      <c r="A813" s="90"/>
      <c r="B813" s="1"/>
      <c r="C813" s="1"/>
      <c r="D813" s="91"/>
      <c r="E813" s="91"/>
      <c r="F813" s="91"/>
    </row>
    <row r="814">
      <c r="A814" s="90"/>
      <c r="B814" s="1"/>
      <c r="C814" s="1"/>
      <c r="D814" s="91"/>
      <c r="E814" s="91"/>
      <c r="F814" s="91"/>
    </row>
    <row r="815">
      <c r="A815" s="90"/>
      <c r="B815" s="1"/>
      <c r="C815" s="1"/>
      <c r="D815" s="91"/>
      <c r="E815" s="91"/>
      <c r="F815" s="91"/>
    </row>
    <row r="816">
      <c r="A816" s="90"/>
      <c r="B816" s="1"/>
      <c r="C816" s="1"/>
      <c r="D816" s="91"/>
      <c r="E816" s="91"/>
      <c r="F816" s="91"/>
    </row>
    <row r="817">
      <c r="A817" s="90"/>
      <c r="B817" s="1"/>
      <c r="C817" s="1"/>
      <c r="D817" s="91"/>
      <c r="E817" s="91"/>
      <c r="F817" s="91"/>
    </row>
    <row r="818">
      <c r="A818" s="90"/>
      <c r="B818" s="1"/>
      <c r="C818" s="1"/>
      <c r="D818" s="91"/>
      <c r="E818" s="91"/>
      <c r="F818" s="91"/>
    </row>
    <row r="819">
      <c r="A819" s="90"/>
      <c r="B819" s="1"/>
      <c r="C819" s="1"/>
      <c r="D819" s="91"/>
      <c r="E819" s="91"/>
      <c r="F819" s="91"/>
    </row>
    <row r="820">
      <c r="A820" s="90"/>
      <c r="B820" s="1"/>
      <c r="C820" s="1"/>
      <c r="D820" s="91"/>
      <c r="E820" s="91"/>
      <c r="F820" s="91"/>
    </row>
    <row r="821">
      <c r="A821" s="90"/>
      <c r="B821" s="1"/>
      <c r="C821" s="1"/>
      <c r="D821" s="91"/>
      <c r="E821" s="91"/>
      <c r="F821" s="91"/>
    </row>
    <row r="822">
      <c r="A822" s="90"/>
      <c r="B822" s="1"/>
      <c r="C822" s="1"/>
      <c r="D822" s="91"/>
      <c r="E822" s="91"/>
      <c r="F822" s="91"/>
    </row>
    <row r="823">
      <c r="A823" s="90"/>
      <c r="B823" s="1"/>
      <c r="C823" s="1"/>
      <c r="D823" s="91"/>
      <c r="E823" s="91"/>
      <c r="F823" s="91"/>
    </row>
    <row r="824">
      <c r="A824" s="90"/>
      <c r="B824" s="1"/>
      <c r="C824" s="1"/>
      <c r="D824" s="91"/>
      <c r="E824" s="91"/>
      <c r="F824" s="91"/>
    </row>
    <row r="825">
      <c r="A825" s="90"/>
      <c r="B825" s="1"/>
      <c r="C825" s="1"/>
      <c r="D825" s="91"/>
      <c r="E825" s="91"/>
      <c r="F825" s="91"/>
    </row>
    <row r="826">
      <c r="A826" s="90"/>
      <c r="B826" s="1"/>
      <c r="C826" s="1"/>
      <c r="D826" s="91"/>
      <c r="E826" s="91"/>
      <c r="F826" s="91"/>
    </row>
    <row r="827">
      <c r="A827" s="90"/>
      <c r="B827" s="1"/>
      <c r="C827" s="1"/>
      <c r="D827" s="91"/>
      <c r="E827" s="91"/>
      <c r="F827" s="91"/>
    </row>
    <row r="828">
      <c r="A828" s="90"/>
      <c r="B828" s="1"/>
      <c r="C828" s="1"/>
      <c r="D828" s="91"/>
      <c r="E828" s="91"/>
      <c r="F828" s="91"/>
    </row>
    <row r="829">
      <c r="A829" s="90"/>
      <c r="B829" s="1"/>
      <c r="C829" s="1"/>
      <c r="D829" s="91"/>
      <c r="E829" s="91"/>
      <c r="F829" s="91"/>
    </row>
    <row r="830">
      <c r="A830" s="90"/>
      <c r="B830" s="1"/>
      <c r="C830" s="1"/>
      <c r="D830" s="91"/>
      <c r="E830" s="91"/>
      <c r="F830" s="91"/>
    </row>
    <row r="831">
      <c r="A831" s="90"/>
      <c r="B831" s="1"/>
      <c r="C831" s="1"/>
      <c r="D831" s="91"/>
      <c r="E831" s="91"/>
      <c r="F831" s="91"/>
    </row>
    <row r="832">
      <c r="A832" s="90"/>
      <c r="B832" s="1"/>
      <c r="C832" s="1"/>
      <c r="D832" s="91"/>
      <c r="E832" s="91"/>
      <c r="F832" s="91"/>
    </row>
    <row r="833">
      <c r="A833" s="90"/>
      <c r="B833" s="1"/>
      <c r="C833" s="1"/>
      <c r="D833" s="91"/>
      <c r="E833" s="91"/>
      <c r="F833" s="91"/>
    </row>
    <row r="834">
      <c r="A834" s="90"/>
      <c r="B834" s="1"/>
      <c r="C834" s="1"/>
      <c r="D834" s="91"/>
      <c r="E834" s="91"/>
      <c r="F834" s="91"/>
    </row>
    <row r="835">
      <c r="A835" s="90"/>
      <c r="B835" s="1"/>
      <c r="C835" s="1"/>
      <c r="D835" s="91"/>
      <c r="E835" s="91"/>
      <c r="F835" s="91"/>
    </row>
    <row r="836">
      <c r="A836" s="90"/>
      <c r="B836" s="1"/>
      <c r="C836" s="1"/>
      <c r="D836" s="91"/>
      <c r="E836" s="91"/>
      <c r="F836" s="91"/>
    </row>
    <row r="837">
      <c r="A837" s="90"/>
      <c r="B837" s="1"/>
      <c r="C837" s="1"/>
      <c r="D837" s="91"/>
      <c r="E837" s="91"/>
      <c r="F837" s="91"/>
    </row>
    <row r="838">
      <c r="A838" s="90"/>
      <c r="B838" s="1"/>
      <c r="C838" s="1"/>
      <c r="D838" s="91"/>
      <c r="E838" s="91"/>
      <c r="F838" s="91"/>
    </row>
    <row r="839">
      <c r="A839" s="90"/>
      <c r="B839" s="1"/>
      <c r="C839" s="1"/>
      <c r="D839" s="91"/>
      <c r="E839" s="91"/>
      <c r="F839" s="91"/>
    </row>
    <row r="840">
      <c r="A840" s="90"/>
      <c r="B840" s="1"/>
      <c r="C840" s="1"/>
      <c r="D840" s="91"/>
      <c r="E840" s="91"/>
      <c r="F840" s="91"/>
    </row>
    <row r="841">
      <c r="A841" s="90"/>
      <c r="B841" s="1"/>
      <c r="C841" s="1"/>
      <c r="D841" s="91"/>
      <c r="E841" s="91"/>
      <c r="F841" s="91"/>
    </row>
    <row r="842">
      <c r="A842" s="90"/>
      <c r="B842" s="1"/>
      <c r="C842" s="1"/>
      <c r="D842" s="91"/>
      <c r="E842" s="91"/>
      <c r="F842" s="91"/>
    </row>
    <row r="843">
      <c r="A843" s="90"/>
      <c r="B843" s="1"/>
      <c r="C843" s="1"/>
      <c r="D843" s="91"/>
      <c r="E843" s="91"/>
      <c r="F843" s="91"/>
    </row>
    <row r="844">
      <c r="A844" s="90"/>
      <c r="B844" s="1"/>
      <c r="C844" s="1"/>
      <c r="D844" s="91"/>
      <c r="E844" s="91"/>
      <c r="F844" s="91"/>
    </row>
    <row r="845">
      <c r="A845" s="90"/>
      <c r="B845" s="1"/>
      <c r="C845" s="1"/>
      <c r="D845" s="91"/>
      <c r="E845" s="91"/>
      <c r="F845" s="91"/>
    </row>
    <row r="846">
      <c r="A846" s="90"/>
      <c r="B846" s="1"/>
      <c r="C846" s="1"/>
      <c r="D846" s="91"/>
      <c r="E846" s="91"/>
      <c r="F846" s="91"/>
    </row>
    <row r="847">
      <c r="A847" s="90"/>
      <c r="B847" s="1"/>
      <c r="C847" s="1"/>
      <c r="D847" s="91"/>
      <c r="E847" s="91"/>
      <c r="F847" s="91"/>
    </row>
    <row r="848">
      <c r="A848" s="90"/>
      <c r="B848" s="1"/>
      <c r="C848" s="1"/>
      <c r="D848" s="91"/>
      <c r="E848" s="91"/>
      <c r="F848" s="91"/>
    </row>
    <row r="849">
      <c r="A849" s="90"/>
      <c r="B849" s="1"/>
      <c r="C849" s="1"/>
      <c r="D849" s="91"/>
      <c r="E849" s="91"/>
      <c r="F849" s="91"/>
    </row>
    <row r="850">
      <c r="A850" s="90"/>
      <c r="B850" s="1"/>
      <c r="C850" s="1"/>
      <c r="D850" s="91"/>
      <c r="E850" s="91"/>
      <c r="F850" s="91"/>
    </row>
    <row r="851">
      <c r="A851" s="90"/>
      <c r="B851" s="1"/>
      <c r="C851" s="1"/>
      <c r="D851" s="91"/>
      <c r="E851" s="91"/>
      <c r="F851" s="91"/>
    </row>
    <row r="852">
      <c r="A852" s="90"/>
      <c r="B852" s="1"/>
      <c r="C852" s="1"/>
      <c r="D852" s="91"/>
      <c r="E852" s="91"/>
      <c r="F852" s="91"/>
    </row>
    <row r="853">
      <c r="A853" s="90"/>
      <c r="B853" s="1"/>
      <c r="C853" s="1"/>
      <c r="D853" s="91"/>
      <c r="E853" s="91"/>
      <c r="F853" s="91"/>
    </row>
    <row r="854">
      <c r="A854" s="90"/>
      <c r="B854" s="1"/>
      <c r="C854" s="1"/>
      <c r="D854" s="91"/>
      <c r="E854" s="91"/>
      <c r="F854" s="91"/>
    </row>
    <row r="855">
      <c r="A855" s="90"/>
      <c r="B855" s="1"/>
      <c r="C855" s="1"/>
      <c r="D855" s="91"/>
      <c r="E855" s="91"/>
      <c r="F855" s="91"/>
    </row>
    <row r="856">
      <c r="A856" s="90"/>
      <c r="B856" s="1"/>
      <c r="C856" s="1"/>
      <c r="D856" s="91"/>
      <c r="E856" s="91"/>
      <c r="F856" s="91"/>
    </row>
    <row r="857">
      <c r="A857" s="90"/>
      <c r="B857" s="1"/>
      <c r="C857" s="1"/>
      <c r="D857" s="91"/>
      <c r="E857" s="91"/>
      <c r="F857" s="91"/>
    </row>
    <row r="858">
      <c r="A858" s="90"/>
      <c r="B858" s="1"/>
      <c r="C858" s="1"/>
      <c r="D858" s="91"/>
      <c r="E858" s="91"/>
      <c r="F858" s="91"/>
    </row>
    <row r="859">
      <c r="A859" s="90"/>
      <c r="B859" s="1"/>
      <c r="C859" s="1"/>
      <c r="D859" s="91"/>
      <c r="E859" s="91"/>
      <c r="F859" s="91"/>
    </row>
    <row r="860">
      <c r="A860" s="90"/>
      <c r="B860" s="1"/>
      <c r="C860" s="1"/>
      <c r="D860" s="91"/>
      <c r="E860" s="91"/>
      <c r="F860" s="91"/>
    </row>
    <row r="861">
      <c r="A861" s="90"/>
      <c r="B861" s="1"/>
      <c r="C861" s="1"/>
      <c r="D861" s="91"/>
      <c r="E861" s="91"/>
      <c r="F861" s="91"/>
    </row>
    <row r="862">
      <c r="A862" s="90"/>
      <c r="B862" s="1"/>
      <c r="C862" s="1"/>
      <c r="D862" s="91"/>
      <c r="E862" s="91"/>
      <c r="F862" s="91"/>
    </row>
    <row r="863">
      <c r="A863" s="90"/>
      <c r="B863" s="1"/>
      <c r="C863" s="1"/>
      <c r="D863" s="91"/>
      <c r="E863" s="91"/>
      <c r="F863" s="91"/>
    </row>
    <row r="864">
      <c r="A864" s="90"/>
      <c r="B864" s="1"/>
      <c r="C864" s="1"/>
      <c r="D864" s="91"/>
      <c r="E864" s="91"/>
      <c r="F864" s="91"/>
    </row>
    <row r="865">
      <c r="A865" s="90"/>
      <c r="B865" s="1"/>
      <c r="C865" s="1"/>
      <c r="D865" s="91"/>
      <c r="E865" s="91"/>
      <c r="F865" s="91"/>
    </row>
    <row r="866">
      <c r="A866" s="90"/>
      <c r="B866" s="1"/>
      <c r="C866" s="1"/>
      <c r="D866" s="91"/>
      <c r="E866" s="91"/>
      <c r="F866" s="91"/>
    </row>
    <row r="867">
      <c r="A867" s="90"/>
      <c r="B867" s="1"/>
      <c r="C867" s="1"/>
      <c r="D867" s="91"/>
      <c r="E867" s="91"/>
      <c r="F867" s="91"/>
    </row>
    <row r="868">
      <c r="A868" s="90"/>
      <c r="B868" s="1"/>
      <c r="C868" s="1"/>
      <c r="D868" s="91"/>
      <c r="E868" s="91"/>
      <c r="F868" s="91"/>
    </row>
    <row r="869">
      <c r="A869" s="90"/>
      <c r="B869" s="1"/>
      <c r="C869" s="1"/>
      <c r="D869" s="91"/>
      <c r="E869" s="91"/>
      <c r="F869" s="91"/>
    </row>
    <row r="870">
      <c r="A870" s="90"/>
      <c r="B870" s="1"/>
      <c r="C870" s="1"/>
      <c r="D870" s="91"/>
      <c r="E870" s="91"/>
      <c r="F870" s="91"/>
    </row>
    <row r="871">
      <c r="A871" s="90"/>
      <c r="B871" s="1"/>
      <c r="C871" s="1"/>
      <c r="D871" s="91"/>
      <c r="E871" s="91"/>
      <c r="F871" s="91"/>
    </row>
    <row r="872">
      <c r="A872" s="90"/>
      <c r="B872" s="1"/>
      <c r="C872" s="1"/>
      <c r="D872" s="91"/>
      <c r="E872" s="91"/>
      <c r="F872" s="91"/>
    </row>
    <row r="873">
      <c r="A873" s="90"/>
      <c r="B873" s="1"/>
      <c r="C873" s="1"/>
      <c r="D873" s="91"/>
      <c r="E873" s="91"/>
      <c r="F873" s="91"/>
    </row>
    <row r="874">
      <c r="A874" s="90"/>
      <c r="B874" s="1"/>
      <c r="C874" s="1"/>
      <c r="D874" s="91"/>
      <c r="E874" s="91"/>
      <c r="F874" s="91"/>
    </row>
    <row r="875">
      <c r="A875" s="90"/>
      <c r="B875" s="1"/>
      <c r="C875" s="1"/>
      <c r="D875" s="91"/>
      <c r="E875" s="91"/>
      <c r="F875" s="91"/>
    </row>
    <row r="876">
      <c r="A876" s="90"/>
      <c r="B876" s="1"/>
      <c r="C876" s="1"/>
      <c r="D876" s="91"/>
      <c r="E876" s="91"/>
      <c r="F876" s="91"/>
    </row>
    <row r="877">
      <c r="A877" s="90"/>
      <c r="B877" s="1"/>
      <c r="C877" s="1"/>
      <c r="D877" s="91"/>
      <c r="E877" s="91"/>
      <c r="F877" s="91"/>
    </row>
    <row r="878">
      <c r="A878" s="90"/>
      <c r="B878" s="1"/>
      <c r="C878" s="1"/>
      <c r="D878" s="91"/>
      <c r="E878" s="91"/>
      <c r="F878" s="91"/>
    </row>
    <row r="879">
      <c r="A879" s="90"/>
      <c r="B879" s="1"/>
      <c r="C879" s="1"/>
      <c r="D879" s="91"/>
      <c r="E879" s="91"/>
      <c r="F879" s="91"/>
    </row>
    <row r="880">
      <c r="A880" s="90"/>
      <c r="B880" s="1"/>
      <c r="C880" s="1"/>
      <c r="D880" s="91"/>
      <c r="E880" s="91"/>
      <c r="F880" s="91"/>
    </row>
    <row r="881">
      <c r="A881" s="90"/>
      <c r="B881" s="1"/>
      <c r="C881" s="1"/>
      <c r="D881" s="91"/>
      <c r="E881" s="91"/>
      <c r="F881" s="91"/>
    </row>
    <row r="882">
      <c r="A882" s="90"/>
      <c r="B882" s="1"/>
      <c r="C882" s="1"/>
      <c r="D882" s="91"/>
      <c r="E882" s="91"/>
      <c r="F882" s="91"/>
    </row>
    <row r="883">
      <c r="A883" s="90"/>
      <c r="B883" s="1"/>
      <c r="C883" s="1"/>
      <c r="D883" s="91"/>
      <c r="E883" s="91"/>
      <c r="F883" s="91"/>
    </row>
    <row r="884">
      <c r="A884" s="90"/>
      <c r="B884" s="1"/>
      <c r="C884" s="1"/>
      <c r="D884" s="91"/>
      <c r="E884" s="91"/>
      <c r="F884" s="91"/>
    </row>
    <row r="885">
      <c r="A885" s="90"/>
      <c r="B885" s="1"/>
      <c r="C885" s="1"/>
      <c r="D885" s="91"/>
      <c r="E885" s="91"/>
      <c r="F885" s="91"/>
    </row>
    <row r="886">
      <c r="A886" s="90"/>
      <c r="B886" s="1"/>
      <c r="C886" s="1"/>
      <c r="D886" s="91"/>
      <c r="E886" s="91"/>
      <c r="F886" s="91"/>
    </row>
    <row r="887">
      <c r="A887" s="90"/>
      <c r="B887" s="1"/>
      <c r="C887" s="1"/>
      <c r="D887" s="91"/>
      <c r="E887" s="91"/>
      <c r="F887" s="91"/>
    </row>
    <row r="888">
      <c r="A888" s="90"/>
      <c r="B888" s="1"/>
      <c r="C888" s="1"/>
      <c r="D888" s="91"/>
      <c r="E888" s="91"/>
      <c r="F888" s="91"/>
    </row>
    <row r="889">
      <c r="A889" s="90"/>
      <c r="B889" s="1"/>
      <c r="C889" s="1"/>
      <c r="D889" s="91"/>
      <c r="E889" s="91"/>
      <c r="F889" s="91"/>
    </row>
    <row r="890">
      <c r="A890" s="90"/>
      <c r="B890" s="1"/>
      <c r="C890" s="1"/>
      <c r="D890" s="91"/>
      <c r="E890" s="91"/>
      <c r="F890" s="91"/>
    </row>
    <row r="891">
      <c r="A891" s="90"/>
      <c r="B891" s="1"/>
      <c r="C891" s="1"/>
      <c r="D891" s="91"/>
      <c r="E891" s="91"/>
      <c r="F891" s="91"/>
    </row>
    <row r="892">
      <c r="A892" s="90"/>
      <c r="B892" s="1"/>
      <c r="C892" s="1"/>
      <c r="D892" s="91"/>
      <c r="E892" s="91"/>
      <c r="F892" s="91"/>
    </row>
    <row r="893">
      <c r="A893" s="90"/>
      <c r="B893" s="1"/>
      <c r="C893" s="1"/>
      <c r="D893" s="91"/>
      <c r="E893" s="91"/>
      <c r="F893" s="91"/>
    </row>
    <row r="894">
      <c r="A894" s="90"/>
      <c r="B894" s="1"/>
      <c r="C894" s="1"/>
      <c r="D894" s="91"/>
      <c r="E894" s="91"/>
      <c r="F894" s="91"/>
    </row>
    <row r="895">
      <c r="A895" s="90"/>
      <c r="B895" s="1"/>
      <c r="C895" s="1"/>
      <c r="D895" s="91"/>
      <c r="E895" s="91"/>
      <c r="F895" s="91"/>
    </row>
    <row r="896">
      <c r="A896" s="90"/>
      <c r="B896" s="1"/>
      <c r="C896" s="1"/>
      <c r="D896" s="91"/>
      <c r="E896" s="91"/>
      <c r="F896" s="91"/>
    </row>
    <row r="897">
      <c r="A897" s="90"/>
      <c r="B897" s="1"/>
      <c r="C897" s="1"/>
      <c r="D897" s="91"/>
      <c r="E897" s="91"/>
      <c r="F897" s="91"/>
    </row>
    <row r="898">
      <c r="A898" s="90"/>
      <c r="B898" s="1"/>
      <c r="C898" s="1"/>
      <c r="D898" s="91"/>
      <c r="E898" s="91"/>
      <c r="F898" s="91"/>
    </row>
    <row r="899">
      <c r="A899" s="90"/>
      <c r="B899" s="1"/>
      <c r="C899" s="1"/>
      <c r="D899" s="91"/>
      <c r="E899" s="91"/>
      <c r="F899" s="91"/>
    </row>
    <row r="900">
      <c r="A900" s="90"/>
      <c r="B900" s="1"/>
      <c r="C900" s="1"/>
      <c r="D900" s="91"/>
      <c r="E900" s="91"/>
      <c r="F900" s="91"/>
    </row>
    <row r="901">
      <c r="A901" s="90"/>
      <c r="B901" s="1"/>
      <c r="C901" s="1"/>
      <c r="D901" s="91"/>
      <c r="E901" s="91"/>
      <c r="F901" s="91"/>
    </row>
    <row r="902">
      <c r="A902" s="90"/>
      <c r="B902" s="1"/>
      <c r="C902" s="1"/>
      <c r="D902" s="91"/>
      <c r="E902" s="91"/>
      <c r="F902" s="91"/>
    </row>
    <row r="903">
      <c r="A903" s="90"/>
      <c r="B903" s="1"/>
      <c r="C903" s="1"/>
      <c r="D903" s="91"/>
      <c r="E903" s="91"/>
      <c r="F903" s="91"/>
    </row>
    <row r="904">
      <c r="A904" s="90"/>
      <c r="B904" s="1"/>
      <c r="C904" s="1"/>
      <c r="D904" s="91"/>
      <c r="E904" s="91"/>
      <c r="F904" s="91"/>
    </row>
    <row r="905">
      <c r="A905" s="90"/>
      <c r="B905" s="1"/>
      <c r="C905" s="1"/>
      <c r="D905" s="91"/>
      <c r="E905" s="91"/>
      <c r="F905" s="91"/>
    </row>
    <row r="906">
      <c r="A906" s="90"/>
      <c r="B906" s="1"/>
      <c r="C906" s="1"/>
      <c r="D906" s="91"/>
      <c r="E906" s="91"/>
      <c r="F906" s="91"/>
    </row>
    <row r="907">
      <c r="A907" s="90"/>
      <c r="B907" s="1"/>
      <c r="C907" s="1"/>
      <c r="D907" s="91"/>
      <c r="E907" s="91"/>
      <c r="F907" s="91"/>
    </row>
    <row r="908">
      <c r="A908" s="90"/>
      <c r="B908" s="1"/>
      <c r="C908" s="1"/>
      <c r="D908" s="91"/>
      <c r="E908" s="91"/>
      <c r="F908" s="91"/>
    </row>
    <row r="909">
      <c r="A909" s="90"/>
      <c r="B909" s="1"/>
      <c r="C909" s="1"/>
      <c r="D909" s="91"/>
      <c r="E909" s="91"/>
      <c r="F909" s="91"/>
    </row>
    <row r="910">
      <c r="A910" s="90"/>
      <c r="B910" s="1"/>
      <c r="C910" s="1"/>
      <c r="D910" s="91"/>
      <c r="E910" s="91"/>
      <c r="F910" s="91"/>
    </row>
    <row r="911">
      <c r="A911" s="90"/>
      <c r="B911" s="1"/>
      <c r="C911" s="1"/>
      <c r="D911" s="91"/>
      <c r="E911" s="91"/>
      <c r="F911" s="91"/>
    </row>
    <row r="912">
      <c r="A912" s="90"/>
      <c r="B912" s="1"/>
      <c r="C912" s="1"/>
      <c r="D912" s="91"/>
      <c r="E912" s="91"/>
      <c r="F912" s="91"/>
    </row>
    <row r="913">
      <c r="A913" s="90"/>
      <c r="B913" s="1"/>
      <c r="C913" s="1"/>
      <c r="D913" s="91"/>
      <c r="E913" s="91"/>
      <c r="F913" s="91"/>
    </row>
    <row r="914">
      <c r="A914" s="90"/>
      <c r="B914" s="1"/>
      <c r="C914" s="1"/>
      <c r="D914" s="91"/>
      <c r="E914" s="91"/>
      <c r="F914" s="91"/>
    </row>
    <row r="915">
      <c r="A915" s="90"/>
      <c r="B915" s="1"/>
      <c r="C915" s="1"/>
      <c r="D915" s="91"/>
      <c r="E915" s="91"/>
      <c r="F915" s="91"/>
    </row>
    <row r="916">
      <c r="A916" s="90"/>
      <c r="B916" s="1"/>
      <c r="C916" s="1"/>
      <c r="D916" s="91"/>
      <c r="E916" s="91"/>
      <c r="F916" s="91"/>
    </row>
    <row r="917">
      <c r="A917" s="90"/>
      <c r="B917" s="1"/>
      <c r="C917" s="1"/>
      <c r="D917" s="91"/>
      <c r="E917" s="91"/>
      <c r="F917" s="91"/>
    </row>
    <row r="918">
      <c r="A918" s="90"/>
      <c r="B918" s="1"/>
      <c r="C918" s="1"/>
      <c r="D918" s="91"/>
      <c r="E918" s="91"/>
      <c r="F918" s="91"/>
    </row>
    <row r="919">
      <c r="A919" s="90"/>
      <c r="B919" s="1"/>
      <c r="C919" s="1"/>
      <c r="D919" s="91"/>
      <c r="E919" s="91"/>
      <c r="F919" s="91"/>
    </row>
    <row r="920">
      <c r="A920" s="90"/>
      <c r="B920" s="1"/>
      <c r="C920" s="1"/>
      <c r="D920" s="91"/>
      <c r="E920" s="91"/>
      <c r="F920" s="91"/>
    </row>
    <row r="921">
      <c r="A921" s="90"/>
      <c r="B921" s="1"/>
      <c r="C921" s="1"/>
      <c r="D921" s="91"/>
      <c r="E921" s="91"/>
      <c r="F921" s="91"/>
    </row>
    <row r="922">
      <c r="A922" s="90"/>
      <c r="B922" s="1"/>
      <c r="C922" s="1"/>
      <c r="D922" s="91"/>
      <c r="E922" s="91"/>
      <c r="F922" s="91"/>
    </row>
    <row r="923">
      <c r="A923" s="90"/>
      <c r="B923" s="1"/>
      <c r="C923" s="1"/>
      <c r="D923" s="91"/>
      <c r="E923" s="91"/>
      <c r="F923" s="91"/>
    </row>
    <row r="924">
      <c r="A924" s="90"/>
      <c r="B924" s="1"/>
      <c r="C924" s="1"/>
      <c r="D924" s="91"/>
      <c r="E924" s="91"/>
      <c r="F924" s="91"/>
    </row>
    <row r="925">
      <c r="A925" s="90"/>
      <c r="B925" s="1"/>
      <c r="C925" s="1"/>
      <c r="D925" s="91"/>
      <c r="E925" s="91"/>
      <c r="F925" s="91"/>
    </row>
    <row r="926">
      <c r="A926" s="90"/>
      <c r="B926" s="1"/>
      <c r="C926" s="1"/>
      <c r="D926" s="91"/>
      <c r="E926" s="91"/>
      <c r="F926" s="91"/>
    </row>
    <row r="927">
      <c r="A927" s="90"/>
      <c r="B927" s="1"/>
      <c r="C927" s="1"/>
      <c r="D927" s="91"/>
      <c r="E927" s="91"/>
      <c r="F927" s="91"/>
    </row>
    <row r="928">
      <c r="A928" s="90"/>
      <c r="B928" s="1"/>
      <c r="C928" s="1"/>
      <c r="D928" s="91"/>
      <c r="E928" s="91"/>
      <c r="F928" s="91"/>
    </row>
    <row r="929">
      <c r="A929" s="90"/>
      <c r="B929" s="1"/>
      <c r="C929" s="1"/>
      <c r="D929" s="91"/>
      <c r="E929" s="91"/>
      <c r="F929" s="91"/>
    </row>
    <row r="930">
      <c r="A930" s="90"/>
      <c r="B930" s="1"/>
      <c r="C930" s="1"/>
      <c r="D930" s="91"/>
      <c r="E930" s="91"/>
      <c r="F930" s="91"/>
    </row>
    <row r="931">
      <c r="A931" s="90"/>
      <c r="B931" s="1"/>
      <c r="C931" s="1"/>
      <c r="D931" s="91"/>
      <c r="E931" s="91"/>
      <c r="F931" s="91"/>
    </row>
    <row r="932">
      <c r="A932" s="90"/>
      <c r="B932" s="1"/>
      <c r="C932" s="1"/>
      <c r="D932" s="91"/>
      <c r="E932" s="91"/>
      <c r="F932" s="91"/>
    </row>
    <row r="933">
      <c r="A933" s="90"/>
      <c r="B933" s="1"/>
      <c r="C933" s="1"/>
      <c r="D933" s="91"/>
      <c r="E933" s="91"/>
      <c r="F933" s="91"/>
    </row>
    <row r="934">
      <c r="A934" s="90"/>
      <c r="B934" s="1"/>
      <c r="C934" s="1"/>
      <c r="D934" s="91"/>
      <c r="E934" s="91"/>
      <c r="F934" s="91"/>
    </row>
    <row r="935">
      <c r="A935" s="90"/>
      <c r="B935" s="1"/>
      <c r="C935" s="1"/>
      <c r="D935" s="91"/>
      <c r="E935" s="91"/>
      <c r="F935" s="91"/>
    </row>
    <row r="936">
      <c r="A936" s="90"/>
      <c r="B936" s="1"/>
      <c r="C936" s="1"/>
      <c r="D936" s="91"/>
      <c r="E936" s="91"/>
      <c r="F936" s="91"/>
    </row>
    <row r="937">
      <c r="A937" s="90"/>
      <c r="B937" s="1"/>
      <c r="C937" s="1"/>
      <c r="D937" s="91"/>
      <c r="E937" s="91"/>
      <c r="F937" s="91"/>
    </row>
    <row r="938">
      <c r="A938" s="90"/>
      <c r="B938" s="1"/>
      <c r="C938" s="1"/>
      <c r="D938" s="91"/>
      <c r="E938" s="91"/>
      <c r="F938" s="91"/>
    </row>
    <row r="939">
      <c r="A939" s="90"/>
      <c r="B939" s="1"/>
      <c r="C939" s="1"/>
      <c r="D939" s="91"/>
      <c r="E939" s="91"/>
      <c r="F939" s="91"/>
    </row>
    <row r="940">
      <c r="A940" s="90"/>
      <c r="B940" s="1"/>
      <c r="C940" s="1"/>
      <c r="D940" s="91"/>
      <c r="E940" s="91"/>
      <c r="F940" s="91"/>
    </row>
    <row r="941">
      <c r="A941" s="90"/>
      <c r="B941" s="1"/>
      <c r="C941" s="1"/>
      <c r="D941" s="91"/>
      <c r="E941" s="91"/>
      <c r="F941" s="91"/>
    </row>
    <row r="942">
      <c r="A942" s="90"/>
      <c r="B942" s="1"/>
      <c r="C942" s="1"/>
      <c r="D942" s="91"/>
      <c r="E942" s="91"/>
      <c r="F942" s="91"/>
    </row>
    <row r="943">
      <c r="A943" s="90"/>
      <c r="B943" s="1"/>
      <c r="C943" s="1"/>
      <c r="D943" s="91"/>
      <c r="E943" s="91"/>
      <c r="F943" s="91"/>
    </row>
    <row r="944">
      <c r="A944" s="90"/>
      <c r="B944" s="1"/>
      <c r="C944" s="1"/>
      <c r="D944" s="91"/>
      <c r="E944" s="91"/>
      <c r="F944" s="91"/>
    </row>
    <row r="945">
      <c r="A945" s="90"/>
      <c r="B945" s="1"/>
      <c r="C945" s="1"/>
      <c r="D945" s="91"/>
      <c r="E945" s="91"/>
      <c r="F945" s="91"/>
    </row>
    <row r="946">
      <c r="A946" s="90"/>
      <c r="B946" s="1"/>
      <c r="C946" s="1"/>
      <c r="D946" s="91"/>
      <c r="E946" s="91"/>
      <c r="F946" s="91"/>
    </row>
    <row r="947">
      <c r="A947" s="90"/>
      <c r="B947" s="1"/>
      <c r="C947" s="1"/>
      <c r="D947" s="91"/>
      <c r="E947" s="91"/>
      <c r="F947" s="91"/>
    </row>
    <row r="948">
      <c r="A948" s="90"/>
      <c r="B948" s="1"/>
      <c r="C948" s="1"/>
      <c r="D948" s="91"/>
      <c r="E948" s="91"/>
      <c r="F948" s="91"/>
    </row>
    <row r="949">
      <c r="A949" s="90"/>
      <c r="B949" s="1"/>
      <c r="C949" s="1"/>
      <c r="D949" s="91"/>
      <c r="E949" s="91"/>
      <c r="F949" s="91"/>
    </row>
    <row r="950">
      <c r="A950" s="90"/>
      <c r="B950" s="1"/>
      <c r="C950" s="1"/>
      <c r="D950" s="91"/>
      <c r="E950" s="91"/>
      <c r="F950" s="91"/>
    </row>
    <row r="951">
      <c r="A951" s="90"/>
      <c r="B951" s="1"/>
      <c r="C951" s="1"/>
      <c r="D951" s="91"/>
      <c r="E951" s="91"/>
      <c r="F951" s="91"/>
    </row>
    <row r="952">
      <c r="A952" s="90"/>
      <c r="B952" s="1"/>
      <c r="C952" s="1"/>
      <c r="D952" s="91"/>
      <c r="E952" s="91"/>
      <c r="F952" s="91"/>
    </row>
    <row r="953">
      <c r="A953" s="90"/>
      <c r="B953" s="1"/>
      <c r="C953" s="1"/>
      <c r="D953" s="91"/>
      <c r="E953" s="91"/>
      <c r="F953" s="91"/>
    </row>
    <row r="954">
      <c r="A954" s="90"/>
      <c r="B954" s="1"/>
      <c r="C954" s="1"/>
      <c r="D954" s="91"/>
      <c r="E954" s="91"/>
      <c r="F954" s="91"/>
    </row>
    <row r="955">
      <c r="A955" s="90"/>
      <c r="B955" s="1"/>
      <c r="C955" s="1"/>
      <c r="D955" s="91"/>
      <c r="E955" s="91"/>
      <c r="F955" s="91"/>
    </row>
    <row r="956">
      <c r="A956" s="90"/>
      <c r="B956" s="1"/>
      <c r="C956" s="1"/>
      <c r="D956" s="91"/>
      <c r="E956" s="91"/>
      <c r="F956" s="91"/>
    </row>
    <row r="957">
      <c r="A957" s="90"/>
      <c r="B957" s="1"/>
      <c r="C957" s="1"/>
      <c r="D957" s="91"/>
      <c r="E957" s="91"/>
      <c r="F957" s="91"/>
    </row>
    <row r="958">
      <c r="A958" s="90"/>
      <c r="B958" s="1"/>
      <c r="C958" s="1"/>
      <c r="D958" s="91"/>
      <c r="E958" s="91"/>
      <c r="F958" s="91"/>
    </row>
    <row r="959">
      <c r="A959" s="90"/>
      <c r="B959" s="1"/>
      <c r="C959" s="1"/>
      <c r="D959" s="91"/>
      <c r="E959" s="91"/>
      <c r="F959" s="91"/>
    </row>
    <row r="960">
      <c r="A960" s="90"/>
      <c r="B960" s="1"/>
      <c r="C960" s="1"/>
      <c r="D960" s="91"/>
      <c r="E960" s="91"/>
      <c r="F960" s="91"/>
    </row>
    <row r="961">
      <c r="A961" s="90"/>
      <c r="B961" s="1"/>
      <c r="C961" s="1"/>
      <c r="D961" s="91"/>
      <c r="E961" s="91"/>
      <c r="F961" s="91"/>
    </row>
    <row r="962">
      <c r="A962" s="90"/>
      <c r="B962" s="1"/>
      <c r="C962" s="1"/>
      <c r="D962" s="91"/>
      <c r="E962" s="91"/>
      <c r="F962" s="91"/>
    </row>
    <row r="963">
      <c r="A963" s="90"/>
      <c r="B963" s="1"/>
      <c r="C963" s="1"/>
      <c r="D963" s="91"/>
      <c r="E963" s="91"/>
      <c r="F963" s="91"/>
    </row>
    <row r="964">
      <c r="A964" s="90"/>
      <c r="B964" s="1"/>
      <c r="C964" s="1"/>
      <c r="D964" s="91"/>
      <c r="E964" s="91"/>
      <c r="F964" s="91"/>
    </row>
    <row r="965">
      <c r="A965" s="90"/>
      <c r="B965" s="1"/>
      <c r="C965" s="1"/>
      <c r="D965" s="91"/>
      <c r="E965" s="91"/>
      <c r="F965" s="91"/>
    </row>
    <row r="966">
      <c r="A966" s="90"/>
      <c r="B966" s="1"/>
      <c r="C966" s="1"/>
      <c r="D966" s="91"/>
      <c r="E966" s="91"/>
      <c r="F966" s="91"/>
    </row>
    <row r="967">
      <c r="A967" s="90"/>
      <c r="B967" s="1"/>
      <c r="C967" s="1"/>
      <c r="D967" s="91"/>
      <c r="E967" s="91"/>
      <c r="F967" s="91"/>
    </row>
    <row r="968">
      <c r="A968" s="90"/>
      <c r="B968" s="1"/>
      <c r="C968" s="1"/>
      <c r="D968" s="91"/>
      <c r="E968" s="91"/>
      <c r="F968" s="91"/>
    </row>
    <row r="969">
      <c r="A969" s="90"/>
      <c r="B969" s="1"/>
      <c r="C969" s="1"/>
      <c r="D969" s="91"/>
      <c r="E969" s="91"/>
      <c r="F969" s="91"/>
    </row>
    <row r="970">
      <c r="A970" s="90"/>
      <c r="B970" s="1"/>
      <c r="C970" s="1"/>
      <c r="D970" s="91"/>
      <c r="E970" s="91"/>
      <c r="F970" s="91"/>
    </row>
    <row r="971">
      <c r="A971" s="90"/>
      <c r="B971" s="1"/>
      <c r="C971" s="1"/>
      <c r="D971" s="91"/>
      <c r="E971" s="91"/>
      <c r="F971" s="91"/>
    </row>
    <row r="972">
      <c r="A972" s="90"/>
      <c r="B972" s="1"/>
      <c r="C972" s="1"/>
      <c r="D972" s="91"/>
      <c r="E972" s="91"/>
      <c r="F972" s="91"/>
    </row>
    <row r="973">
      <c r="A973" s="90"/>
      <c r="B973" s="1"/>
      <c r="C973" s="1"/>
      <c r="D973" s="91"/>
      <c r="E973" s="91"/>
      <c r="F973" s="91"/>
    </row>
    <row r="974">
      <c r="A974" s="90"/>
      <c r="B974" s="1"/>
      <c r="C974" s="1"/>
      <c r="D974" s="91"/>
      <c r="E974" s="91"/>
      <c r="F974" s="91"/>
    </row>
    <row r="975">
      <c r="A975" s="90"/>
      <c r="B975" s="1"/>
      <c r="C975" s="1"/>
      <c r="D975" s="91"/>
      <c r="E975" s="91"/>
      <c r="F975" s="91"/>
    </row>
    <row r="976">
      <c r="A976" s="90"/>
      <c r="B976" s="1"/>
      <c r="C976" s="1"/>
      <c r="D976" s="91"/>
      <c r="E976" s="91"/>
      <c r="F976" s="91"/>
    </row>
    <row r="977">
      <c r="A977" s="90"/>
      <c r="B977" s="1"/>
      <c r="C977" s="1"/>
      <c r="D977" s="91"/>
      <c r="E977" s="91"/>
      <c r="F977" s="91"/>
    </row>
    <row r="978">
      <c r="A978" s="90"/>
      <c r="B978" s="1"/>
      <c r="C978" s="1"/>
      <c r="D978" s="91"/>
      <c r="E978" s="91"/>
      <c r="F978" s="91"/>
    </row>
    <row r="979">
      <c r="A979" s="90"/>
      <c r="B979" s="1"/>
      <c r="C979" s="1"/>
      <c r="D979" s="91"/>
      <c r="E979" s="91"/>
      <c r="F979" s="91"/>
    </row>
    <row r="980">
      <c r="A980" s="90"/>
      <c r="B980" s="1"/>
      <c r="C980" s="1"/>
      <c r="D980" s="91"/>
      <c r="E980" s="91"/>
      <c r="F980" s="91"/>
    </row>
    <row r="981">
      <c r="A981" s="90"/>
      <c r="B981" s="1"/>
      <c r="C981" s="1"/>
      <c r="D981" s="91"/>
      <c r="E981" s="91"/>
      <c r="F981" s="91"/>
    </row>
    <row r="982">
      <c r="A982" s="90"/>
      <c r="B982" s="1"/>
      <c r="C982" s="1"/>
      <c r="D982" s="91"/>
      <c r="E982" s="91"/>
      <c r="F982" s="91"/>
    </row>
    <row r="983">
      <c r="A983" s="90"/>
      <c r="B983" s="1"/>
      <c r="C983" s="1"/>
      <c r="D983" s="91"/>
      <c r="E983" s="91"/>
      <c r="F983" s="91"/>
    </row>
    <row r="984">
      <c r="A984" s="90"/>
      <c r="B984" s="1"/>
      <c r="C984" s="1"/>
      <c r="D984" s="91"/>
      <c r="E984" s="91"/>
      <c r="F984" s="91"/>
    </row>
    <row r="985">
      <c r="A985" s="90"/>
      <c r="B985" s="1"/>
      <c r="C985" s="1"/>
      <c r="D985" s="91"/>
      <c r="E985" s="91"/>
      <c r="F985" s="91"/>
    </row>
    <row r="986">
      <c r="A986" s="90"/>
      <c r="B986" s="1"/>
      <c r="C986" s="1"/>
      <c r="D986" s="91"/>
      <c r="E986" s="91"/>
      <c r="F986" s="91"/>
    </row>
    <row r="987">
      <c r="A987" s="90"/>
      <c r="B987" s="1"/>
      <c r="C987" s="1"/>
      <c r="D987" s="91"/>
      <c r="E987" s="91"/>
      <c r="F987" s="91"/>
    </row>
    <row r="988">
      <c r="A988" s="90"/>
      <c r="B988" s="1"/>
      <c r="C988" s="1"/>
      <c r="D988" s="91"/>
      <c r="E988" s="91"/>
      <c r="F988" s="91"/>
    </row>
    <row r="989">
      <c r="A989" s="90"/>
      <c r="B989" s="1"/>
      <c r="C989" s="1"/>
      <c r="D989" s="91"/>
      <c r="E989" s="91"/>
      <c r="F989" s="91"/>
    </row>
    <row r="990">
      <c r="A990" s="90"/>
      <c r="B990" s="1"/>
      <c r="C990" s="1"/>
      <c r="D990" s="91"/>
      <c r="E990" s="91"/>
      <c r="F990" s="91"/>
    </row>
    <row r="991">
      <c r="A991" s="90"/>
      <c r="B991" s="1"/>
      <c r="C991" s="1"/>
      <c r="D991" s="91"/>
      <c r="E991" s="91"/>
      <c r="F991" s="91"/>
    </row>
    <row r="992">
      <c r="A992" s="90"/>
      <c r="B992" s="1"/>
      <c r="C992" s="1"/>
      <c r="D992" s="91"/>
      <c r="E992" s="91"/>
      <c r="F992" s="91"/>
    </row>
    <row r="993">
      <c r="A993" s="90"/>
      <c r="B993" s="1"/>
      <c r="C993" s="1"/>
      <c r="D993" s="91"/>
      <c r="E993" s="91"/>
      <c r="F993" s="91"/>
    </row>
    <row r="994">
      <c r="A994" s="90"/>
      <c r="B994" s="1"/>
      <c r="C994" s="1"/>
      <c r="D994" s="91"/>
      <c r="E994" s="91"/>
      <c r="F994" s="91"/>
    </row>
    <row r="995">
      <c r="A995" s="90"/>
      <c r="B995" s="1"/>
      <c r="C995" s="1"/>
      <c r="D995" s="91"/>
      <c r="E995" s="91"/>
      <c r="F995" s="91"/>
    </row>
    <row r="996">
      <c r="A996" s="90"/>
      <c r="B996" s="1"/>
      <c r="C996" s="1"/>
      <c r="D996" s="91"/>
      <c r="E996" s="91"/>
      <c r="F996" s="91"/>
    </row>
    <row r="997">
      <c r="A997" s="90"/>
      <c r="B997" s="1"/>
      <c r="C997" s="1"/>
      <c r="D997" s="91"/>
      <c r="E997" s="91"/>
      <c r="F997" s="91"/>
    </row>
    <row r="998">
      <c r="A998" s="90"/>
      <c r="B998" s="1"/>
      <c r="C998" s="1"/>
      <c r="D998" s="91"/>
      <c r="E998" s="91"/>
      <c r="F998" s="91"/>
    </row>
    <row r="999">
      <c r="A999" s="90"/>
      <c r="B999" s="1"/>
      <c r="C999" s="1"/>
      <c r="D999" s="91"/>
      <c r="E999" s="91"/>
      <c r="F999" s="91"/>
    </row>
    <row r="1000">
      <c r="A1000" s="90"/>
      <c r="B1000" s="1"/>
      <c r="C1000" s="1"/>
      <c r="D1000" s="91"/>
      <c r="E1000" s="91"/>
      <c r="F1000" s="9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63"/>
    <col customWidth="1" min="2" max="2" width="14.13"/>
  </cols>
  <sheetData>
    <row r="1">
      <c r="A1" s="78" t="s">
        <v>1884</v>
      </c>
      <c r="B1" s="78" t="s">
        <v>2</v>
      </c>
      <c r="C1" s="78" t="s">
        <v>1885</v>
      </c>
      <c r="D1" s="78" t="s">
        <v>1886</v>
      </c>
      <c r="H1" s="8"/>
      <c r="I1" s="8"/>
      <c r="J1" s="8"/>
    </row>
    <row r="2">
      <c r="A2" s="5" t="s">
        <v>8</v>
      </c>
      <c r="B2" s="5" t="s">
        <v>1887</v>
      </c>
      <c r="C2" s="5">
        <v>-21.762104</v>
      </c>
      <c r="D2" s="5">
        <v>-41.292753</v>
      </c>
      <c r="H2" s="8"/>
      <c r="I2" s="8"/>
      <c r="J2" s="8"/>
    </row>
    <row r="3">
      <c r="A3" s="5" t="s">
        <v>26</v>
      </c>
      <c r="B3" s="5" t="s">
        <v>1888</v>
      </c>
      <c r="C3" s="5">
        <v>-21.762848</v>
      </c>
      <c r="D3" s="5">
        <v>-41.293018</v>
      </c>
      <c r="H3" s="8"/>
      <c r="I3" s="8"/>
      <c r="J3" s="8"/>
    </row>
    <row r="4">
      <c r="A4" s="5" t="s">
        <v>33</v>
      </c>
      <c r="B4" s="5" t="s">
        <v>1889</v>
      </c>
      <c r="C4" s="5">
        <v>-21.762705</v>
      </c>
      <c r="D4" s="5">
        <v>-41.293772</v>
      </c>
      <c r="H4" s="8"/>
      <c r="I4" s="8"/>
      <c r="J4" s="8"/>
    </row>
    <row r="5">
      <c r="A5" s="5" t="s">
        <v>40</v>
      </c>
      <c r="B5" s="5" t="s">
        <v>1890</v>
      </c>
      <c r="C5" s="5">
        <v>-21.761393</v>
      </c>
      <c r="D5" s="5">
        <v>-41.294223</v>
      </c>
      <c r="H5" s="8"/>
      <c r="I5" s="8"/>
      <c r="J5" s="8"/>
    </row>
    <row r="6">
      <c r="A6" s="5" t="s">
        <v>50</v>
      </c>
      <c r="B6" s="5" t="s">
        <v>1891</v>
      </c>
      <c r="C6" s="5">
        <v>-21.760864</v>
      </c>
      <c r="D6" s="5">
        <v>-41.29156</v>
      </c>
      <c r="H6" s="8"/>
      <c r="I6" s="8"/>
      <c r="J6" s="8"/>
    </row>
    <row r="7">
      <c r="A7" s="5" t="s">
        <v>59</v>
      </c>
      <c r="B7" s="5" t="s">
        <v>1892</v>
      </c>
      <c r="C7" s="5">
        <v>-21.761394</v>
      </c>
      <c r="D7" s="5">
        <v>-41.290927</v>
      </c>
      <c r="H7" s="8"/>
      <c r="I7" s="8"/>
      <c r="J7" s="8"/>
    </row>
    <row r="8">
      <c r="A8" s="5" t="s">
        <v>64</v>
      </c>
      <c r="B8" s="5" t="s">
        <v>1893</v>
      </c>
      <c r="C8" s="5">
        <v>-21.762003</v>
      </c>
      <c r="D8" s="5">
        <v>-41.290167</v>
      </c>
      <c r="H8" s="8"/>
      <c r="I8" s="8"/>
      <c r="J8" s="8"/>
    </row>
    <row r="9">
      <c r="A9" s="5" t="s">
        <v>76</v>
      </c>
      <c r="B9" s="5" t="s">
        <v>1894</v>
      </c>
      <c r="C9" s="5">
        <v>-21.761397</v>
      </c>
      <c r="D9" s="5">
        <v>-41.288916</v>
      </c>
      <c r="H9" s="8"/>
      <c r="I9" s="8"/>
      <c r="J9" s="8"/>
    </row>
    <row r="10">
      <c r="A10" s="5" t="s">
        <v>85</v>
      </c>
      <c r="B10" s="5" t="s">
        <v>1895</v>
      </c>
      <c r="C10" s="98">
        <v>-21.763662</v>
      </c>
      <c r="D10" s="5">
        <v>-41.288414</v>
      </c>
      <c r="H10" s="8"/>
      <c r="I10" s="8"/>
      <c r="J10" s="8"/>
    </row>
    <row r="11">
      <c r="A11" s="5" t="s">
        <v>90</v>
      </c>
      <c r="B11" s="5" t="s">
        <v>1896</v>
      </c>
      <c r="C11" s="5">
        <v>-21.762483</v>
      </c>
      <c r="D11" s="5">
        <v>-41.289498</v>
      </c>
      <c r="H11" s="8"/>
      <c r="I11" s="8"/>
      <c r="J11" s="8"/>
    </row>
    <row r="12">
      <c r="H12" s="8"/>
      <c r="I12" s="8"/>
      <c r="J12" s="8"/>
    </row>
    <row r="13">
      <c r="H13" s="8"/>
      <c r="I13" s="8"/>
      <c r="J13" s="8"/>
    </row>
    <row r="14">
      <c r="A14" s="99" t="s">
        <v>1897</v>
      </c>
      <c r="H14" s="8"/>
      <c r="I14" s="8"/>
      <c r="J14" s="8"/>
    </row>
    <row r="15">
      <c r="H15" s="8"/>
      <c r="I15" s="8"/>
      <c r="J15" s="8"/>
    </row>
    <row r="16">
      <c r="H16" s="11"/>
      <c r="I16" s="8"/>
      <c r="J16" s="11"/>
    </row>
    <row r="17">
      <c r="H17" s="55"/>
      <c r="I17" s="8"/>
      <c r="J17" s="55"/>
    </row>
    <row r="18">
      <c r="H18" s="8"/>
      <c r="I18" s="8"/>
      <c r="J18" s="8"/>
    </row>
    <row r="19">
      <c r="H19" s="8"/>
      <c r="I19" s="8"/>
      <c r="J19" s="8"/>
    </row>
    <row r="20">
      <c r="H20" s="8"/>
      <c r="I20" s="8"/>
      <c r="J20" s="8"/>
    </row>
    <row r="21">
      <c r="H21" s="8"/>
      <c r="I21" s="8"/>
      <c r="J21" s="8"/>
    </row>
    <row r="22">
      <c r="H22" s="8"/>
      <c r="I22" s="8"/>
      <c r="J22" s="8"/>
    </row>
    <row r="23">
      <c r="H23" s="8"/>
      <c r="I23" s="8"/>
      <c r="J23" s="8"/>
    </row>
    <row r="24">
      <c r="H24" s="8"/>
      <c r="I24" s="8"/>
      <c r="J24" s="8"/>
    </row>
    <row r="25">
      <c r="H25" s="8"/>
      <c r="I25" s="8"/>
      <c r="J25" s="8"/>
    </row>
    <row r="26">
      <c r="H26" s="8"/>
      <c r="I26" s="8"/>
      <c r="J26" s="8"/>
    </row>
    <row r="27">
      <c r="H27" s="8"/>
      <c r="I27" s="8"/>
      <c r="J27" s="8"/>
    </row>
    <row r="28">
      <c r="H28" s="8"/>
      <c r="I28" s="11"/>
      <c r="J28" s="8"/>
    </row>
    <row r="29">
      <c r="H29" s="8"/>
      <c r="I29" s="8"/>
      <c r="J29" s="8"/>
    </row>
    <row r="30">
      <c r="H30" s="55"/>
      <c r="I30" s="55"/>
      <c r="J30" s="55"/>
    </row>
    <row r="31">
      <c r="H31" s="8"/>
      <c r="I31" s="8"/>
      <c r="J31" s="8"/>
    </row>
    <row r="32">
      <c r="H32" s="8"/>
      <c r="I32" s="8"/>
      <c r="J32" s="8"/>
    </row>
    <row r="33">
      <c r="H33" s="8"/>
      <c r="I33" s="8"/>
      <c r="J33" s="8"/>
    </row>
    <row r="34">
      <c r="H34" s="8"/>
      <c r="I34" s="8"/>
      <c r="J34" s="8"/>
    </row>
    <row r="35">
      <c r="H35" s="8"/>
      <c r="I35" s="8"/>
      <c r="J35" s="8"/>
    </row>
    <row r="36">
      <c r="H36" s="8"/>
      <c r="I36" s="8"/>
      <c r="J36" s="8"/>
    </row>
    <row r="37">
      <c r="H37" s="8"/>
      <c r="I37" s="8"/>
      <c r="J37" s="8"/>
    </row>
    <row r="38">
      <c r="H38" s="8"/>
      <c r="I38" s="8"/>
      <c r="J38" s="8"/>
    </row>
    <row r="39">
      <c r="H39" s="8"/>
      <c r="I39" s="8"/>
      <c r="J39" s="8"/>
    </row>
    <row r="40">
      <c r="H40" s="8"/>
      <c r="I40" s="8"/>
      <c r="J40" s="8"/>
    </row>
    <row r="41">
      <c r="H41" s="8"/>
      <c r="I41" s="8"/>
      <c r="J41" s="8"/>
    </row>
    <row r="42">
      <c r="H42" s="8"/>
      <c r="I42" s="8"/>
      <c r="J42" s="8"/>
    </row>
    <row r="43">
      <c r="H43" s="8"/>
      <c r="I43" s="8"/>
      <c r="J43" s="8"/>
    </row>
    <row r="44">
      <c r="H44" s="8"/>
      <c r="I44" s="8"/>
      <c r="J44" s="8"/>
    </row>
    <row r="45">
      <c r="H45" s="8"/>
      <c r="I45" s="55"/>
      <c r="J45" s="8"/>
    </row>
    <row r="46">
      <c r="H46" s="8"/>
      <c r="I46" s="8"/>
      <c r="J46" s="8"/>
    </row>
    <row r="47">
      <c r="H47" s="8"/>
      <c r="I47" s="8"/>
      <c r="J47" s="8"/>
    </row>
    <row r="48">
      <c r="H48" s="8"/>
      <c r="I48" s="8"/>
      <c r="J48" s="8"/>
    </row>
    <row r="49">
      <c r="I49" s="8"/>
    </row>
    <row r="50">
      <c r="H50" s="8"/>
      <c r="I50" s="8"/>
      <c r="J50" s="8"/>
    </row>
    <row r="51">
      <c r="H51" s="8"/>
      <c r="I51" s="8"/>
      <c r="J51" s="8"/>
    </row>
    <row r="52">
      <c r="H52" s="8"/>
      <c r="I52" s="8"/>
      <c r="J52" s="8"/>
    </row>
    <row r="53">
      <c r="H53" s="8"/>
      <c r="I53" s="8"/>
      <c r="J53" s="8"/>
    </row>
    <row r="54">
      <c r="H54" s="8"/>
      <c r="I54" s="8"/>
      <c r="J54" s="8"/>
    </row>
    <row r="55">
      <c r="H55" s="8"/>
      <c r="I55" s="8"/>
      <c r="J55" s="8"/>
    </row>
    <row r="56">
      <c r="H56" s="8"/>
      <c r="I56" s="8"/>
      <c r="J56" s="8"/>
    </row>
    <row r="57">
      <c r="H57" s="8"/>
      <c r="I57" s="8"/>
      <c r="J57" s="8"/>
    </row>
    <row r="58">
      <c r="H58" s="8"/>
      <c r="I58" s="8"/>
      <c r="J58" s="8"/>
    </row>
    <row r="59">
      <c r="H59" s="8"/>
      <c r="I59" s="8"/>
      <c r="J59" s="8"/>
    </row>
    <row r="60">
      <c r="H60" s="8"/>
      <c r="I60" s="8"/>
      <c r="J60" s="8"/>
    </row>
    <row r="61">
      <c r="H61" s="8"/>
      <c r="I61" s="8"/>
      <c r="J61" s="8"/>
    </row>
    <row r="62">
      <c r="H62" s="8"/>
      <c r="I62" s="8"/>
      <c r="J62" s="8"/>
    </row>
    <row r="63">
      <c r="H63" s="8"/>
      <c r="I63" s="8"/>
      <c r="J63" s="8"/>
    </row>
    <row r="64">
      <c r="H64" s="8"/>
      <c r="I64" s="8"/>
      <c r="J64" s="8"/>
    </row>
    <row r="65">
      <c r="H65" s="8"/>
      <c r="I65" s="8"/>
      <c r="J65" s="8"/>
    </row>
    <row r="66">
      <c r="H66" s="8"/>
      <c r="I66" s="8"/>
      <c r="J66" s="8"/>
    </row>
    <row r="67">
      <c r="H67" s="8"/>
      <c r="I67" s="8"/>
      <c r="J67" s="8"/>
    </row>
    <row r="68">
      <c r="H68" s="8"/>
      <c r="I68" s="8"/>
      <c r="J68" s="8"/>
    </row>
    <row r="69">
      <c r="H69" s="100"/>
      <c r="I69" s="8"/>
      <c r="J69" s="100"/>
    </row>
    <row r="70">
      <c r="H70" s="8"/>
      <c r="I70" s="8"/>
      <c r="J70" s="8"/>
    </row>
    <row r="71">
      <c r="H71" s="8"/>
      <c r="I71" s="8"/>
      <c r="J71" s="8"/>
    </row>
    <row r="72">
      <c r="H72" s="8"/>
      <c r="I72" s="8"/>
      <c r="J72" s="8"/>
    </row>
    <row r="73">
      <c r="H73" s="8"/>
      <c r="I73" s="8"/>
      <c r="J73" s="8"/>
    </row>
    <row r="74">
      <c r="H74" s="8"/>
      <c r="J74" s="8"/>
    </row>
    <row r="75">
      <c r="H75" s="8"/>
      <c r="I75" s="8"/>
      <c r="J75" s="8"/>
    </row>
    <row r="76">
      <c r="H76" s="8"/>
      <c r="I76" s="8"/>
      <c r="J76" s="8"/>
    </row>
    <row r="77">
      <c r="H77" s="8"/>
      <c r="I77" s="8"/>
      <c r="J77" s="8"/>
    </row>
    <row r="78">
      <c r="H78" s="8"/>
      <c r="I78" s="8"/>
      <c r="J78" s="8"/>
    </row>
    <row r="79">
      <c r="H79" s="8"/>
      <c r="I79" s="8"/>
      <c r="J79" s="8"/>
    </row>
    <row r="80">
      <c r="H80" s="11"/>
      <c r="I80" s="8"/>
      <c r="J80" s="11"/>
    </row>
    <row r="81">
      <c r="H81" s="8"/>
      <c r="I81" s="8"/>
      <c r="J81" s="8"/>
    </row>
    <row r="82">
      <c r="H82" s="8"/>
      <c r="I82" s="8"/>
      <c r="J82" s="8"/>
    </row>
    <row r="83">
      <c r="H83" s="11"/>
      <c r="I83" s="8"/>
      <c r="J83" s="11"/>
    </row>
    <row r="84">
      <c r="H84" s="8"/>
      <c r="I84" s="8"/>
      <c r="J84" s="8"/>
    </row>
    <row r="85">
      <c r="H85" s="8"/>
      <c r="I85" s="8"/>
      <c r="J85" s="8"/>
    </row>
    <row r="86">
      <c r="H86" s="8"/>
      <c r="I86" s="8"/>
      <c r="J86" s="8"/>
    </row>
    <row r="87">
      <c r="H87" s="8"/>
      <c r="I87" s="8"/>
      <c r="J87" s="8"/>
    </row>
    <row r="88">
      <c r="H88" s="8"/>
      <c r="I88" s="8"/>
      <c r="J88" s="8"/>
    </row>
    <row r="89">
      <c r="H89" s="8"/>
      <c r="I89" s="8"/>
      <c r="J89" s="8"/>
    </row>
    <row r="90">
      <c r="H90" s="8"/>
      <c r="I90" s="8"/>
      <c r="J90" s="8"/>
    </row>
    <row r="91">
      <c r="H91" s="8"/>
      <c r="I91" s="8"/>
      <c r="J91" s="8"/>
    </row>
    <row r="92">
      <c r="H92" s="8"/>
      <c r="I92" s="8"/>
      <c r="J92" s="8"/>
    </row>
    <row r="93">
      <c r="H93" s="8"/>
      <c r="I93" s="8"/>
      <c r="J93" s="8"/>
    </row>
    <row r="94">
      <c r="H94" s="8"/>
      <c r="I94" s="8"/>
      <c r="J94" s="8"/>
    </row>
    <row r="95">
      <c r="H95" s="8"/>
      <c r="I95" s="8"/>
      <c r="J95" s="8"/>
    </row>
    <row r="96">
      <c r="H96" s="8"/>
      <c r="I96" s="8"/>
      <c r="J96" s="8"/>
    </row>
    <row r="97">
      <c r="H97" s="8"/>
      <c r="I97" s="8"/>
      <c r="J97" s="8"/>
    </row>
    <row r="98">
      <c r="H98" s="8"/>
      <c r="I98" s="8"/>
      <c r="J98" s="8"/>
    </row>
    <row r="99">
      <c r="H99" s="8"/>
      <c r="I99" s="8"/>
      <c r="J99" s="8"/>
    </row>
    <row r="100">
      <c r="H100" s="8"/>
      <c r="I100" s="8"/>
      <c r="J100" s="8"/>
    </row>
    <row r="101">
      <c r="H101" s="8"/>
      <c r="I101" s="8"/>
      <c r="J101" s="8"/>
    </row>
    <row r="102">
      <c r="H102" s="8"/>
      <c r="I102" s="8"/>
      <c r="J102" s="8"/>
    </row>
    <row r="103">
      <c r="H103" s="8"/>
      <c r="I103" s="8"/>
      <c r="J103" s="8"/>
    </row>
    <row r="104">
      <c r="H104" s="8"/>
      <c r="I104" s="8"/>
      <c r="J104" s="8"/>
    </row>
    <row r="105">
      <c r="H105" s="8"/>
      <c r="I105" s="8"/>
      <c r="J105" s="8"/>
    </row>
    <row r="106">
      <c r="H106" s="8"/>
      <c r="I106" s="8"/>
      <c r="J106" s="8"/>
    </row>
    <row r="107">
      <c r="H107" s="8"/>
      <c r="I107" s="100"/>
      <c r="J107" s="8"/>
    </row>
    <row r="108">
      <c r="H108" s="8"/>
      <c r="I108" s="8"/>
      <c r="J108" s="8"/>
    </row>
    <row r="109">
      <c r="H109" s="8"/>
      <c r="I109" s="8"/>
      <c r="J109" s="8"/>
    </row>
    <row r="110">
      <c r="H110" s="8"/>
      <c r="I110" s="8"/>
      <c r="J110" s="8"/>
    </row>
    <row r="111">
      <c r="H111" s="15"/>
      <c r="I111" s="8"/>
      <c r="J111" s="15"/>
    </row>
    <row r="112">
      <c r="H112" s="8"/>
      <c r="I112" s="8"/>
      <c r="J112" s="8"/>
    </row>
    <row r="113">
      <c r="H113" s="8"/>
      <c r="I113" s="8"/>
      <c r="J113" s="8"/>
    </row>
    <row r="114">
      <c r="I114" s="8"/>
    </row>
    <row r="115">
      <c r="I115" s="8"/>
    </row>
    <row r="116">
      <c r="I116" s="8"/>
    </row>
    <row r="117">
      <c r="I117" s="8"/>
    </row>
    <row r="118">
      <c r="I118" s="8"/>
    </row>
    <row r="119">
      <c r="I119" s="8"/>
    </row>
    <row r="120">
      <c r="I120" s="8"/>
    </row>
    <row r="121">
      <c r="I121" s="8"/>
    </row>
    <row r="122">
      <c r="I122" s="8"/>
    </row>
    <row r="123">
      <c r="I123" s="8"/>
    </row>
    <row r="124">
      <c r="I124" s="8"/>
    </row>
    <row r="125">
      <c r="I125" s="8"/>
    </row>
    <row r="126">
      <c r="I126" s="8"/>
    </row>
    <row r="127">
      <c r="I127" s="11"/>
    </row>
    <row r="128">
      <c r="I128" s="8"/>
    </row>
    <row r="129">
      <c r="I129" s="8"/>
    </row>
    <row r="130">
      <c r="I130" s="11"/>
    </row>
    <row r="131">
      <c r="I131" s="8"/>
    </row>
    <row r="132">
      <c r="I132" s="8"/>
    </row>
    <row r="133">
      <c r="I133" s="8"/>
    </row>
    <row r="134">
      <c r="I134" s="8"/>
    </row>
    <row r="135">
      <c r="I135" s="8"/>
    </row>
    <row r="136">
      <c r="I136" s="8"/>
    </row>
    <row r="137">
      <c r="I137" s="8"/>
    </row>
    <row r="138">
      <c r="I138" s="8"/>
    </row>
    <row r="139">
      <c r="I139" s="8"/>
    </row>
    <row r="140">
      <c r="I140" s="8"/>
    </row>
    <row r="141">
      <c r="I141" s="8"/>
    </row>
    <row r="142">
      <c r="I142" s="8"/>
    </row>
    <row r="143">
      <c r="I143" s="8"/>
    </row>
    <row r="144">
      <c r="I144" s="8"/>
    </row>
    <row r="145">
      <c r="I145" s="8"/>
    </row>
    <row r="146">
      <c r="I146" s="8"/>
    </row>
    <row r="147">
      <c r="I147" s="8"/>
    </row>
    <row r="148">
      <c r="I148" s="8"/>
    </row>
    <row r="149">
      <c r="I149" s="8"/>
    </row>
    <row r="150">
      <c r="I150" s="8"/>
    </row>
    <row r="151">
      <c r="I151" s="8"/>
    </row>
    <row r="152">
      <c r="I152" s="8"/>
    </row>
    <row r="153">
      <c r="I153" s="8"/>
    </row>
    <row r="154">
      <c r="I154" s="8"/>
    </row>
    <row r="155">
      <c r="I155" s="8"/>
    </row>
    <row r="156">
      <c r="I156" s="8"/>
    </row>
    <row r="157">
      <c r="I157" s="8"/>
    </row>
    <row r="158">
      <c r="I158" s="8"/>
    </row>
    <row r="159">
      <c r="I159" s="8"/>
    </row>
    <row r="160">
      <c r="I160" s="8"/>
    </row>
    <row r="161">
      <c r="I161" s="8"/>
    </row>
    <row r="162">
      <c r="I162" s="8"/>
    </row>
    <row r="163">
      <c r="I163" s="8"/>
    </row>
    <row r="164">
      <c r="I164" s="8"/>
    </row>
    <row r="165">
      <c r="I165" s="8"/>
    </row>
    <row r="166">
      <c r="I166" s="8"/>
    </row>
    <row r="167">
      <c r="I167" s="8"/>
    </row>
    <row r="168">
      <c r="I168" s="8"/>
    </row>
    <row r="169">
      <c r="I169" s="8"/>
    </row>
    <row r="170">
      <c r="I170" s="8"/>
    </row>
    <row r="171">
      <c r="I171" s="15"/>
    </row>
    <row r="172">
      <c r="I172" s="8"/>
    </row>
    <row r="173">
      <c r="I173" s="8"/>
    </row>
    <row r="174">
      <c r="I174" s="8"/>
    </row>
  </sheetData>
  <hyperlinks>
    <hyperlink r:id="rId1" ref="A14"/>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0"/>
    <col customWidth="1" min="2" max="2" width="45.13"/>
    <col customWidth="1" min="3" max="3" width="9.13"/>
    <col customWidth="1" min="4" max="4" width="11.88"/>
    <col customWidth="1" min="5" max="5" width="10.13"/>
    <col customWidth="1" min="6" max="6" width="9.88"/>
    <col customWidth="1" min="7" max="7" width="8.0"/>
    <col customWidth="1" min="8" max="8" width="8.25"/>
    <col customWidth="1" min="9" max="9" width="12.75"/>
    <col customWidth="1" min="10" max="10" width="15.13"/>
    <col customWidth="1" min="11" max="11" width="15.63"/>
    <col customWidth="1" min="12" max="12" width="17.0"/>
    <col customWidth="1" min="13" max="13" width="15.88"/>
    <col customWidth="1" min="14" max="15" width="27.0"/>
    <col customWidth="1" min="16" max="16" width="28.0"/>
    <col customWidth="1" min="17" max="17" width="9.13"/>
    <col customWidth="1" min="18" max="18" width="16.5"/>
  </cols>
  <sheetData>
    <row r="1">
      <c r="A1" s="101" t="s">
        <v>1898</v>
      </c>
      <c r="B1" s="101" t="s">
        <v>1899</v>
      </c>
      <c r="C1" s="101" t="s">
        <v>1900</v>
      </c>
      <c r="D1" s="101" t="s">
        <v>1901</v>
      </c>
      <c r="E1" s="101" t="s">
        <v>1902</v>
      </c>
      <c r="F1" s="101" t="s">
        <v>1903</v>
      </c>
      <c r="G1" s="101" t="s">
        <v>1904</v>
      </c>
      <c r="H1" s="101" t="s">
        <v>1905</v>
      </c>
      <c r="I1" s="101" t="s">
        <v>1906</v>
      </c>
      <c r="J1" s="101" t="s">
        <v>1907</v>
      </c>
      <c r="K1" s="101" t="s">
        <v>1908</v>
      </c>
      <c r="L1" s="101" t="s">
        <v>1909</v>
      </c>
      <c r="M1" s="101" t="s">
        <v>1910</v>
      </c>
      <c r="N1" s="101" t="s">
        <v>1911</v>
      </c>
      <c r="O1" s="101" t="s">
        <v>1912</v>
      </c>
      <c r="P1" s="101" t="s">
        <v>1913</v>
      </c>
      <c r="Q1" s="101" t="s">
        <v>1914</v>
      </c>
      <c r="R1" s="102"/>
      <c r="S1" s="103"/>
      <c r="T1" s="103"/>
      <c r="U1" s="103"/>
      <c r="V1" s="103"/>
      <c r="W1" s="103"/>
      <c r="X1" s="103"/>
      <c r="Y1" s="103"/>
    </row>
    <row r="2">
      <c r="A2" s="104" t="s">
        <v>1329</v>
      </c>
      <c r="B2" s="104" t="s">
        <v>1915</v>
      </c>
      <c r="C2" s="105">
        <v>2978223.0</v>
      </c>
      <c r="D2" s="104" t="s">
        <v>1916</v>
      </c>
      <c r="E2" s="105">
        <v>94.0</v>
      </c>
      <c r="F2" s="104" t="s">
        <v>1917</v>
      </c>
      <c r="G2" s="104" t="s">
        <v>1918</v>
      </c>
      <c r="H2" s="104" t="s">
        <v>1919</v>
      </c>
      <c r="I2" s="104" t="s">
        <v>1920</v>
      </c>
      <c r="J2" s="104" t="s">
        <v>1921</v>
      </c>
      <c r="K2" s="104" t="s">
        <v>1922</v>
      </c>
      <c r="L2" s="104" t="s">
        <v>665</v>
      </c>
      <c r="M2" s="104" t="s">
        <v>1329</v>
      </c>
      <c r="N2" s="106"/>
      <c r="O2" s="104" t="s">
        <v>1329</v>
      </c>
      <c r="P2" s="104" t="s">
        <v>1923</v>
      </c>
      <c r="Q2" s="105">
        <v>2978223.0</v>
      </c>
      <c r="R2" s="107"/>
    </row>
    <row r="3">
      <c r="A3" s="104" t="s">
        <v>702</v>
      </c>
      <c r="B3" s="104" t="s">
        <v>1924</v>
      </c>
      <c r="C3" s="105">
        <v>2979091.0</v>
      </c>
      <c r="D3" s="104" t="s">
        <v>1925</v>
      </c>
      <c r="E3" s="105">
        <v>99.0</v>
      </c>
      <c r="F3" s="104" t="s">
        <v>1917</v>
      </c>
      <c r="G3" s="104" t="s">
        <v>1926</v>
      </c>
      <c r="H3" s="104" t="s">
        <v>1919</v>
      </c>
      <c r="I3" s="104" t="s">
        <v>1920</v>
      </c>
      <c r="J3" s="104" t="s">
        <v>1921</v>
      </c>
      <c r="K3" s="104" t="s">
        <v>1922</v>
      </c>
      <c r="L3" s="104" t="s">
        <v>665</v>
      </c>
      <c r="M3" s="104" t="s">
        <v>1329</v>
      </c>
      <c r="N3" s="104" t="s">
        <v>702</v>
      </c>
      <c r="O3" s="104" t="s">
        <v>702</v>
      </c>
      <c r="P3" s="104" t="s">
        <v>1927</v>
      </c>
      <c r="Q3" s="105">
        <v>2979091.0</v>
      </c>
      <c r="R3" s="107"/>
    </row>
    <row r="4">
      <c r="A4" s="104" t="s">
        <v>237</v>
      </c>
      <c r="B4" s="104" t="s">
        <v>1928</v>
      </c>
      <c r="C4" s="105">
        <v>1320640.0</v>
      </c>
      <c r="D4" s="104" t="s">
        <v>1916</v>
      </c>
      <c r="E4" s="105">
        <v>92.0</v>
      </c>
      <c r="F4" s="104" t="s">
        <v>1917</v>
      </c>
      <c r="G4" s="104" t="s">
        <v>1918</v>
      </c>
      <c r="H4" s="104" t="s">
        <v>1929</v>
      </c>
      <c r="I4" s="104" t="s">
        <v>1930</v>
      </c>
      <c r="J4" s="104" t="s">
        <v>1931</v>
      </c>
      <c r="K4" s="104" t="s">
        <v>62</v>
      </c>
      <c r="L4" s="104" t="s">
        <v>34</v>
      </c>
      <c r="M4" s="104" t="s">
        <v>237</v>
      </c>
      <c r="O4" s="104" t="s">
        <v>237</v>
      </c>
      <c r="P4" s="104" t="s">
        <v>1932</v>
      </c>
      <c r="Q4" s="105">
        <v>1320640.0</v>
      </c>
      <c r="R4" s="107"/>
    </row>
    <row r="5">
      <c r="A5" s="104" t="s">
        <v>514</v>
      </c>
      <c r="B5" s="104" t="s">
        <v>1933</v>
      </c>
      <c r="C5" s="105">
        <v>1651891.0</v>
      </c>
      <c r="D5" s="104" t="s">
        <v>1925</v>
      </c>
      <c r="E5" s="105">
        <v>99.0</v>
      </c>
      <c r="F5" s="104" t="s">
        <v>1917</v>
      </c>
      <c r="G5" s="104" t="s">
        <v>1926</v>
      </c>
      <c r="H5" s="104" t="s">
        <v>1929</v>
      </c>
      <c r="I5" s="104" t="s">
        <v>1930</v>
      </c>
      <c r="J5" s="104" t="s">
        <v>1931</v>
      </c>
      <c r="K5" s="104" t="s">
        <v>525</v>
      </c>
      <c r="L5" s="104" t="s">
        <v>130</v>
      </c>
      <c r="M5" s="104" t="s">
        <v>1934</v>
      </c>
      <c r="N5" s="104" t="s">
        <v>514</v>
      </c>
      <c r="O5" s="104" t="s">
        <v>514</v>
      </c>
      <c r="P5" s="104" t="s">
        <v>1935</v>
      </c>
      <c r="Q5" s="105">
        <v>1651891.0</v>
      </c>
      <c r="R5" s="107"/>
    </row>
    <row r="6">
      <c r="A6" s="104" t="s">
        <v>118</v>
      </c>
      <c r="B6" s="104" t="s">
        <v>1936</v>
      </c>
      <c r="C6" s="105">
        <v>2518646.0</v>
      </c>
      <c r="D6" s="104" t="s">
        <v>1916</v>
      </c>
      <c r="E6" s="105">
        <v>92.0</v>
      </c>
      <c r="F6" s="104" t="s">
        <v>1917</v>
      </c>
      <c r="G6" s="104" t="s">
        <v>1918</v>
      </c>
      <c r="H6" s="104" t="s">
        <v>522</v>
      </c>
      <c r="I6" s="104" t="s">
        <v>1937</v>
      </c>
      <c r="J6" s="104" t="s">
        <v>1938</v>
      </c>
      <c r="K6" s="104" t="s">
        <v>1939</v>
      </c>
      <c r="L6" s="104" t="s">
        <v>1940</v>
      </c>
      <c r="M6" s="104" t="s">
        <v>118</v>
      </c>
      <c r="N6" s="106"/>
      <c r="O6" s="104" t="s">
        <v>118</v>
      </c>
      <c r="P6" s="104" t="s">
        <v>1941</v>
      </c>
      <c r="Q6" s="105">
        <v>2518646.0</v>
      </c>
      <c r="R6" s="107"/>
    </row>
    <row r="7">
      <c r="A7" s="104" t="s">
        <v>1285</v>
      </c>
      <c r="B7" s="104" t="s">
        <v>1942</v>
      </c>
      <c r="C7" s="105">
        <v>2972897.0</v>
      </c>
      <c r="D7" s="104" t="s">
        <v>1943</v>
      </c>
      <c r="E7" s="105">
        <v>92.0</v>
      </c>
      <c r="F7" s="104" t="s">
        <v>1917</v>
      </c>
      <c r="G7" s="104" t="s">
        <v>1918</v>
      </c>
      <c r="H7" s="104" t="s">
        <v>1919</v>
      </c>
      <c r="I7" s="104" t="s">
        <v>1920</v>
      </c>
      <c r="J7" s="104" t="s">
        <v>1921</v>
      </c>
      <c r="K7" s="104" t="s">
        <v>1922</v>
      </c>
      <c r="L7" s="104" t="s">
        <v>665</v>
      </c>
      <c r="M7" s="104" t="s">
        <v>1285</v>
      </c>
      <c r="N7" s="106"/>
      <c r="O7" s="104" t="s">
        <v>1285</v>
      </c>
      <c r="P7" s="106"/>
      <c r="Q7" s="105">
        <v>2972897.0</v>
      </c>
      <c r="R7" s="107"/>
    </row>
    <row r="8">
      <c r="A8" s="104" t="s">
        <v>1127</v>
      </c>
      <c r="B8" s="104" t="s">
        <v>1944</v>
      </c>
      <c r="C8" s="105">
        <v>2973215.0</v>
      </c>
      <c r="D8" s="104" t="s">
        <v>1925</v>
      </c>
      <c r="E8" s="105">
        <v>99.0</v>
      </c>
      <c r="F8" s="104" t="s">
        <v>1917</v>
      </c>
      <c r="G8" s="104" t="s">
        <v>1926</v>
      </c>
      <c r="H8" s="104" t="s">
        <v>1919</v>
      </c>
      <c r="I8" s="104" t="s">
        <v>1920</v>
      </c>
      <c r="J8" s="104" t="s">
        <v>1921</v>
      </c>
      <c r="K8" s="104" t="s">
        <v>1922</v>
      </c>
      <c r="L8" s="104" t="s">
        <v>665</v>
      </c>
      <c r="M8" s="104" t="s">
        <v>1285</v>
      </c>
      <c r="N8" s="104" t="s">
        <v>1127</v>
      </c>
      <c r="O8" s="104" t="s">
        <v>1127</v>
      </c>
      <c r="P8" s="104" t="s">
        <v>1945</v>
      </c>
      <c r="Q8" s="105">
        <v>2973215.0</v>
      </c>
      <c r="R8" s="107"/>
    </row>
    <row r="9">
      <c r="A9" s="104" t="s">
        <v>699</v>
      </c>
      <c r="B9" s="104" t="s">
        <v>1946</v>
      </c>
      <c r="C9" s="105">
        <v>3084921.0</v>
      </c>
      <c r="D9" s="104" t="s">
        <v>1916</v>
      </c>
      <c r="E9" s="105">
        <v>92.0</v>
      </c>
      <c r="F9" s="104" t="s">
        <v>1917</v>
      </c>
      <c r="G9" s="104" t="s">
        <v>1918</v>
      </c>
      <c r="H9" s="104" t="s">
        <v>1919</v>
      </c>
      <c r="I9" s="104" t="s">
        <v>1920</v>
      </c>
      <c r="J9" s="104" t="s">
        <v>1921</v>
      </c>
      <c r="K9" s="104" t="s">
        <v>1947</v>
      </c>
      <c r="L9" s="104" t="s">
        <v>1948</v>
      </c>
      <c r="M9" s="104" t="s">
        <v>699</v>
      </c>
      <c r="O9" s="104" t="s">
        <v>699</v>
      </c>
      <c r="P9" s="104" t="s">
        <v>1949</v>
      </c>
      <c r="Q9" s="105">
        <v>3084921.0</v>
      </c>
      <c r="R9" s="107"/>
    </row>
    <row r="10">
      <c r="A10" s="104" t="s">
        <v>366</v>
      </c>
      <c r="B10" s="104" t="s">
        <v>1950</v>
      </c>
      <c r="C10" s="105">
        <v>8160803.0</v>
      </c>
      <c r="D10" s="104" t="s">
        <v>1925</v>
      </c>
      <c r="E10" s="105">
        <v>97.0</v>
      </c>
      <c r="F10" s="104" t="s">
        <v>1917</v>
      </c>
      <c r="G10" s="104" t="s">
        <v>1926</v>
      </c>
      <c r="H10" s="104" t="s">
        <v>1919</v>
      </c>
      <c r="I10" s="104" t="s">
        <v>1920</v>
      </c>
      <c r="J10" s="104" t="s">
        <v>1921</v>
      </c>
      <c r="K10" s="104" t="s">
        <v>1947</v>
      </c>
      <c r="L10" s="104" t="s">
        <v>1948</v>
      </c>
      <c r="M10" s="104" t="s">
        <v>699</v>
      </c>
      <c r="N10" s="104" t="s">
        <v>366</v>
      </c>
      <c r="O10" s="104" t="s">
        <v>366</v>
      </c>
      <c r="P10" s="104" t="s">
        <v>1951</v>
      </c>
      <c r="Q10" s="105">
        <v>8160803.0</v>
      </c>
      <c r="R10" s="107"/>
    </row>
    <row r="11">
      <c r="A11" s="104" t="s">
        <v>457</v>
      </c>
      <c r="B11" s="104" t="s">
        <v>1952</v>
      </c>
      <c r="C11" s="105">
        <v>3084923.0</v>
      </c>
      <c r="D11" s="104" t="s">
        <v>1925</v>
      </c>
      <c r="E11" s="105">
        <v>99.0</v>
      </c>
      <c r="F11" s="104" t="s">
        <v>1917</v>
      </c>
      <c r="G11" s="104" t="s">
        <v>1926</v>
      </c>
      <c r="H11" s="104" t="s">
        <v>1919</v>
      </c>
      <c r="I11" s="104" t="s">
        <v>1920</v>
      </c>
      <c r="J11" s="104" t="s">
        <v>1921</v>
      </c>
      <c r="K11" s="104" t="s">
        <v>1947</v>
      </c>
      <c r="L11" s="104" t="s">
        <v>1948</v>
      </c>
      <c r="M11" s="104" t="s">
        <v>699</v>
      </c>
      <c r="N11" s="104" t="s">
        <v>457</v>
      </c>
      <c r="O11" s="104" t="s">
        <v>457</v>
      </c>
      <c r="P11" s="104" t="s">
        <v>1953</v>
      </c>
      <c r="Q11" s="105">
        <v>3084923.0</v>
      </c>
      <c r="R11" s="107"/>
    </row>
    <row r="12">
      <c r="A12" s="104" t="s">
        <v>732</v>
      </c>
      <c r="B12" s="104" t="s">
        <v>1954</v>
      </c>
      <c r="C12" s="105">
        <v>2948588.0</v>
      </c>
      <c r="D12" s="104" t="s">
        <v>1916</v>
      </c>
      <c r="E12" s="105">
        <v>94.0</v>
      </c>
      <c r="F12" s="104" t="s">
        <v>1917</v>
      </c>
      <c r="G12" s="104" t="s">
        <v>1918</v>
      </c>
      <c r="H12" s="104" t="s">
        <v>1919</v>
      </c>
      <c r="I12" s="104" t="s">
        <v>1920</v>
      </c>
      <c r="J12" s="104" t="s">
        <v>1921</v>
      </c>
      <c r="K12" s="104" t="s">
        <v>1922</v>
      </c>
      <c r="L12" s="104" t="s">
        <v>665</v>
      </c>
      <c r="M12" s="104" t="s">
        <v>732</v>
      </c>
      <c r="N12" s="106"/>
      <c r="O12" s="104" t="s">
        <v>732</v>
      </c>
      <c r="P12" s="104" t="s">
        <v>1955</v>
      </c>
      <c r="Q12" s="105">
        <v>2948588.0</v>
      </c>
      <c r="R12" s="107"/>
    </row>
    <row r="13">
      <c r="A13" s="104" t="s">
        <v>298</v>
      </c>
      <c r="B13" s="104" t="s">
        <v>1956</v>
      </c>
      <c r="C13" s="105">
        <v>2948605.0</v>
      </c>
      <c r="D13" s="104" t="s">
        <v>1925</v>
      </c>
      <c r="E13" s="105">
        <v>97.0</v>
      </c>
      <c r="F13" s="104" t="s">
        <v>1917</v>
      </c>
      <c r="G13" s="104" t="s">
        <v>1926</v>
      </c>
      <c r="H13" s="104" t="s">
        <v>1919</v>
      </c>
      <c r="I13" s="104" t="s">
        <v>1920</v>
      </c>
      <c r="J13" s="104" t="s">
        <v>1921</v>
      </c>
      <c r="K13" s="104" t="s">
        <v>1922</v>
      </c>
      <c r="L13" s="104" t="s">
        <v>665</v>
      </c>
      <c r="M13" s="104" t="s">
        <v>732</v>
      </c>
      <c r="N13" s="104" t="s">
        <v>298</v>
      </c>
      <c r="O13" s="104" t="s">
        <v>298</v>
      </c>
      <c r="P13" s="104" t="s">
        <v>1957</v>
      </c>
      <c r="Q13" s="105">
        <v>2948605.0</v>
      </c>
      <c r="R13" s="107"/>
    </row>
    <row r="14">
      <c r="A14" s="104" t="s">
        <v>326</v>
      </c>
      <c r="B14" s="104" t="s">
        <v>1958</v>
      </c>
      <c r="C14" s="105">
        <v>5384401.0</v>
      </c>
      <c r="D14" s="104" t="s">
        <v>1925</v>
      </c>
      <c r="E14" s="105">
        <v>99.0</v>
      </c>
      <c r="F14" s="104" t="s">
        <v>1917</v>
      </c>
      <c r="G14" s="104" t="s">
        <v>1926</v>
      </c>
      <c r="H14" s="104" t="s">
        <v>1919</v>
      </c>
      <c r="I14" s="104" t="s">
        <v>1920</v>
      </c>
      <c r="J14" s="104" t="s">
        <v>1921</v>
      </c>
      <c r="K14" s="104" t="s">
        <v>1947</v>
      </c>
      <c r="L14" s="104" t="s">
        <v>1948</v>
      </c>
      <c r="M14" s="104" t="s">
        <v>1959</v>
      </c>
      <c r="N14" s="104" t="s">
        <v>326</v>
      </c>
      <c r="O14" s="104" t="s">
        <v>326</v>
      </c>
      <c r="P14" s="104" t="s">
        <v>1960</v>
      </c>
      <c r="Q14" s="105">
        <v>5384401.0</v>
      </c>
      <c r="R14" s="107"/>
    </row>
    <row r="15">
      <c r="A15" s="104" t="s">
        <v>150</v>
      </c>
      <c r="B15" s="104" t="s">
        <v>1961</v>
      </c>
      <c r="C15" s="105">
        <v>5384334.0</v>
      </c>
      <c r="D15" s="104" t="s">
        <v>1925</v>
      </c>
      <c r="E15" s="105">
        <v>97.0</v>
      </c>
      <c r="F15" s="104" t="s">
        <v>1917</v>
      </c>
      <c r="G15" s="104" t="s">
        <v>1926</v>
      </c>
      <c r="H15" s="104" t="s">
        <v>1919</v>
      </c>
      <c r="I15" s="104" t="s">
        <v>1920</v>
      </c>
      <c r="J15" s="104" t="s">
        <v>1921</v>
      </c>
      <c r="K15" s="104" t="s">
        <v>1947</v>
      </c>
      <c r="L15" s="104" t="s">
        <v>1948</v>
      </c>
      <c r="M15" s="104" t="s">
        <v>1959</v>
      </c>
      <c r="N15" s="104" t="s">
        <v>150</v>
      </c>
      <c r="O15" s="104" t="s">
        <v>150</v>
      </c>
      <c r="P15" s="104" t="s">
        <v>1960</v>
      </c>
      <c r="Q15" s="105">
        <v>5384334.0</v>
      </c>
      <c r="R15" s="107"/>
    </row>
    <row r="16">
      <c r="A16" s="104" t="s">
        <v>1540</v>
      </c>
      <c r="B16" s="104" t="s">
        <v>1962</v>
      </c>
      <c r="C16" s="105">
        <v>4931838.0</v>
      </c>
      <c r="D16" s="104" t="s">
        <v>1925</v>
      </c>
      <c r="E16" s="105">
        <v>99.0</v>
      </c>
      <c r="F16" s="104" t="s">
        <v>1917</v>
      </c>
      <c r="G16" s="104" t="s">
        <v>1926</v>
      </c>
      <c r="H16" s="104" t="s">
        <v>1919</v>
      </c>
      <c r="I16" s="104" t="s">
        <v>1920</v>
      </c>
      <c r="J16" s="104" t="s">
        <v>1921</v>
      </c>
      <c r="K16" s="104" t="s">
        <v>1963</v>
      </c>
      <c r="L16" s="104" t="s">
        <v>1964</v>
      </c>
      <c r="M16" s="104" t="s">
        <v>1965</v>
      </c>
      <c r="N16" s="104" t="s">
        <v>1540</v>
      </c>
      <c r="O16" s="104" t="s">
        <v>1540</v>
      </c>
      <c r="P16" s="104" t="s">
        <v>1966</v>
      </c>
      <c r="Q16" s="105">
        <v>4931838.0</v>
      </c>
      <c r="R16" s="107"/>
    </row>
    <row r="17">
      <c r="A17" s="104" t="s">
        <v>83</v>
      </c>
      <c r="B17" s="104" t="s">
        <v>1967</v>
      </c>
      <c r="C17" s="105">
        <v>5128007.0</v>
      </c>
      <c r="D17" s="104" t="s">
        <v>1925</v>
      </c>
      <c r="E17" s="105">
        <v>99.0</v>
      </c>
      <c r="F17" s="104" t="s">
        <v>1917</v>
      </c>
      <c r="G17" s="104" t="s">
        <v>1926</v>
      </c>
      <c r="H17" s="104" t="s">
        <v>1929</v>
      </c>
      <c r="I17" s="104" t="s">
        <v>1930</v>
      </c>
      <c r="J17" s="104" t="s">
        <v>1931</v>
      </c>
      <c r="K17" s="104" t="s">
        <v>24</v>
      </c>
      <c r="L17" s="104" t="s">
        <v>1968</v>
      </c>
      <c r="M17" s="104" t="s">
        <v>1969</v>
      </c>
      <c r="N17" s="104" t="s">
        <v>83</v>
      </c>
      <c r="O17" s="104" t="s">
        <v>83</v>
      </c>
      <c r="P17" s="104" t="s">
        <v>1970</v>
      </c>
      <c r="Q17" s="105">
        <v>5128007.0</v>
      </c>
      <c r="R17" s="107"/>
    </row>
    <row r="18">
      <c r="A18" s="104" t="s">
        <v>1808</v>
      </c>
      <c r="B18" s="104" t="s">
        <v>1971</v>
      </c>
      <c r="C18" s="105">
        <v>2706080.0</v>
      </c>
      <c r="D18" s="104" t="s">
        <v>1925</v>
      </c>
      <c r="E18" s="105">
        <v>97.0</v>
      </c>
      <c r="F18" s="104" t="s">
        <v>1917</v>
      </c>
      <c r="G18" s="104" t="s">
        <v>1926</v>
      </c>
      <c r="H18" s="104" t="s">
        <v>1919</v>
      </c>
      <c r="I18" s="104" t="s">
        <v>1920</v>
      </c>
      <c r="J18" s="104" t="s">
        <v>1972</v>
      </c>
      <c r="K18" s="104" t="s">
        <v>1973</v>
      </c>
      <c r="L18" s="104" t="s">
        <v>1265</v>
      </c>
      <c r="M18" s="104" t="s">
        <v>1974</v>
      </c>
      <c r="N18" s="104" t="s">
        <v>1808</v>
      </c>
      <c r="O18" s="104" t="s">
        <v>1808</v>
      </c>
      <c r="P18" s="104" t="s">
        <v>1960</v>
      </c>
      <c r="Q18" s="105">
        <v>2706080.0</v>
      </c>
      <c r="R18" s="107"/>
    </row>
    <row r="19">
      <c r="A19" s="104" t="s">
        <v>231</v>
      </c>
      <c r="B19" s="104" t="s">
        <v>1975</v>
      </c>
      <c r="C19" s="105">
        <v>49.0</v>
      </c>
      <c r="D19" s="104" t="s">
        <v>1943</v>
      </c>
      <c r="E19" s="106"/>
      <c r="F19" s="104" t="s">
        <v>1976</v>
      </c>
      <c r="G19" s="104" t="s">
        <v>1977</v>
      </c>
      <c r="H19" s="104" t="s">
        <v>1919</v>
      </c>
      <c r="I19" s="104" t="s">
        <v>1920</v>
      </c>
      <c r="K19" s="106"/>
      <c r="L19" s="106"/>
      <c r="M19" s="106"/>
      <c r="N19" s="106"/>
      <c r="O19" s="104" t="s">
        <v>1975</v>
      </c>
      <c r="Q19" s="106"/>
      <c r="R19" s="107"/>
    </row>
    <row r="20">
      <c r="A20" s="104" t="s">
        <v>229</v>
      </c>
      <c r="B20" s="104" t="s">
        <v>1978</v>
      </c>
      <c r="C20" s="105">
        <v>1341976.0</v>
      </c>
      <c r="D20" s="104" t="s">
        <v>1925</v>
      </c>
      <c r="E20" s="105">
        <v>99.0</v>
      </c>
      <c r="F20" s="104" t="s">
        <v>1917</v>
      </c>
      <c r="G20" s="104" t="s">
        <v>1926</v>
      </c>
      <c r="H20" s="104" t="s">
        <v>1929</v>
      </c>
      <c r="I20" s="104" t="s">
        <v>1930</v>
      </c>
      <c r="J20" s="104" t="s">
        <v>1931</v>
      </c>
      <c r="K20" s="104" t="s">
        <v>62</v>
      </c>
      <c r="L20" s="104" t="s">
        <v>1979</v>
      </c>
      <c r="M20" s="104" t="s">
        <v>1980</v>
      </c>
      <c r="N20" s="104" t="s">
        <v>229</v>
      </c>
      <c r="O20" s="104" t="s">
        <v>229</v>
      </c>
      <c r="P20" s="104" t="s">
        <v>1981</v>
      </c>
      <c r="Q20" s="105">
        <v>1341976.0</v>
      </c>
      <c r="R20" s="107"/>
    </row>
    <row r="21">
      <c r="A21" s="104" t="s">
        <v>1195</v>
      </c>
      <c r="B21" s="104" t="s">
        <v>1195</v>
      </c>
      <c r="C21" s="105">
        <v>2993.0</v>
      </c>
      <c r="D21" s="104" t="s">
        <v>1916</v>
      </c>
      <c r="E21" s="105">
        <v>94.0</v>
      </c>
      <c r="F21" s="104" t="s">
        <v>1917</v>
      </c>
      <c r="G21" s="104" t="s">
        <v>1982</v>
      </c>
      <c r="H21" s="104" t="s">
        <v>1929</v>
      </c>
      <c r="I21" s="104" t="s">
        <v>1983</v>
      </c>
      <c r="J21" s="104" t="s">
        <v>1984</v>
      </c>
      <c r="K21" s="104" t="s">
        <v>1985</v>
      </c>
      <c r="L21" s="104" t="s">
        <v>1195</v>
      </c>
      <c r="M21" s="106"/>
      <c r="N21" s="106"/>
      <c r="O21" s="104" t="s">
        <v>1195</v>
      </c>
      <c r="P21" s="106"/>
      <c r="Q21" s="105">
        <v>2993.0</v>
      </c>
      <c r="R21" s="107"/>
    </row>
    <row r="22">
      <c r="A22" s="104" t="s">
        <v>179</v>
      </c>
      <c r="B22" s="104" t="s">
        <v>1986</v>
      </c>
      <c r="C22" s="105">
        <v>2474658.0</v>
      </c>
      <c r="D22" s="104" t="s">
        <v>1925</v>
      </c>
      <c r="E22" s="105">
        <v>99.0</v>
      </c>
      <c r="F22" s="104" t="s">
        <v>1917</v>
      </c>
      <c r="G22" s="104" t="s">
        <v>1926</v>
      </c>
      <c r="H22" s="104" t="s">
        <v>1929</v>
      </c>
      <c r="I22" s="104" t="s">
        <v>1983</v>
      </c>
      <c r="J22" s="104" t="s">
        <v>1984</v>
      </c>
      <c r="K22" s="104" t="s">
        <v>1987</v>
      </c>
      <c r="L22" s="104" t="s">
        <v>1988</v>
      </c>
      <c r="M22" s="104" t="s">
        <v>1989</v>
      </c>
      <c r="N22" s="104" t="s">
        <v>179</v>
      </c>
      <c r="O22" s="104" t="s">
        <v>179</v>
      </c>
      <c r="P22" s="104" t="s">
        <v>1990</v>
      </c>
      <c r="Q22" s="105">
        <v>2474658.0</v>
      </c>
      <c r="R22" s="107"/>
    </row>
    <row r="23">
      <c r="A23" s="104" t="s">
        <v>233</v>
      </c>
      <c r="B23" s="104" t="s">
        <v>233</v>
      </c>
      <c r="C23" s="105">
        <v>1496.0</v>
      </c>
      <c r="D23" s="104" t="s">
        <v>1916</v>
      </c>
      <c r="E23" s="105">
        <v>94.0</v>
      </c>
      <c r="F23" s="104" t="s">
        <v>1917</v>
      </c>
      <c r="G23" s="104" t="s">
        <v>1991</v>
      </c>
      <c r="H23" s="104" t="s">
        <v>1929</v>
      </c>
      <c r="I23" s="104" t="s">
        <v>1930</v>
      </c>
      <c r="J23" s="104" t="s">
        <v>1992</v>
      </c>
      <c r="K23" s="104" t="s">
        <v>233</v>
      </c>
      <c r="L23" s="106"/>
      <c r="M23" s="106"/>
      <c r="N23" s="106"/>
      <c r="O23" s="104" t="s">
        <v>233</v>
      </c>
      <c r="P23" s="106"/>
      <c r="Q23" s="105">
        <v>1496.0</v>
      </c>
      <c r="R23" s="107"/>
    </row>
    <row r="24">
      <c r="A24" s="104" t="s">
        <v>249</v>
      </c>
      <c r="B24" s="104" t="s">
        <v>249</v>
      </c>
      <c r="C24" s="105">
        <v>7359.0</v>
      </c>
      <c r="D24" s="104" t="s">
        <v>1916</v>
      </c>
      <c r="E24" s="105">
        <v>94.0</v>
      </c>
      <c r="F24" s="104" t="s">
        <v>1917</v>
      </c>
      <c r="G24" s="104" t="s">
        <v>1982</v>
      </c>
      <c r="H24" s="104" t="s">
        <v>1929</v>
      </c>
      <c r="I24" s="104" t="s">
        <v>1930</v>
      </c>
      <c r="J24" s="104" t="s">
        <v>1992</v>
      </c>
      <c r="K24" s="104" t="s">
        <v>233</v>
      </c>
      <c r="L24" s="104" t="s">
        <v>249</v>
      </c>
      <c r="M24" s="106"/>
      <c r="N24" s="106"/>
      <c r="O24" s="104" t="s">
        <v>249</v>
      </c>
      <c r="P24" s="106"/>
      <c r="Q24" s="105">
        <v>7359.0</v>
      </c>
      <c r="R24" s="107"/>
    </row>
    <row r="25">
      <c r="A25" s="104" t="s">
        <v>1373</v>
      </c>
      <c r="B25" s="104" t="s">
        <v>1993</v>
      </c>
      <c r="C25" s="105">
        <v>9752617.0</v>
      </c>
      <c r="D25" s="104" t="s">
        <v>1925</v>
      </c>
      <c r="E25" s="105">
        <v>97.0</v>
      </c>
      <c r="F25" s="104" t="s">
        <v>1917</v>
      </c>
      <c r="G25" s="104" t="s">
        <v>1926</v>
      </c>
      <c r="H25" s="104" t="s">
        <v>1929</v>
      </c>
      <c r="I25" s="104" t="s">
        <v>1983</v>
      </c>
      <c r="J25" s="104" t="s">
        <v>1984</v>
      </c>
      <c r="K25" s="104" t="s">
        <v>1994</v>
      </c>
      <c r="L25" s="104" t="s">
        <v>1995</v>
      </c>
      <c r="M25" s="104" t="s">
        <v>1996</v>
      </c>
      <c r="N25" s="104" t="s">
        <v>1373</v>
      </c>
      <c r="O25" s="104" t="s">
        <v>1373</v>
      </c>
      <c r="P25" s="104" t="s">
        <v>1981</v>
      </c>
      <c r="Q25" s="105">
        <v>9752617.0</v>
      </c>
      <c r="R25" s="107"/>
    </row>
    <row r="26">
      <c r="A26" s="104" t="s">
        <v>116</v>
      </c>
      <c r="B26" s="104" t="s">
        <v>1997</v>
      </c>
      <c r="C26" s="105">
        <v>5170999.0</v>
      </c>
      <c r="D26" s="104" t="s">
        <v>1925</v>
      </c>
      <c r="E26" s="105">
        <v>99.0</v>
      </c>
      <c r="F26" s="104" t="s">
        <v>1917</v>
      </c>
      <c r="G26" s="104" t="s">
        <v>1926</v>
      </c>
      <c r="H26" s="104" t="s">
        <v>1929</v>
      </c>
      <c r="I26" s="104" t="s">
        <v>1930</v>
      </c>
      <c r="J26" s="104" t="s">
        <v>1992</v>
      </c>
      <c r="K26" s="104" t="s">
        <v>233</v>
      </c>
      <c r="L26" s="104" t="s">
        <v>249</v>
      </c>
      <c r="M26" s="104" t="s">
        <v>1998</v>
      </c>
      <c r="N26" s="104" t="s">
        <v>116</v>
      </c>
      <c r="O26" s="104" t="s">
        <v>116</v>
      </c>
      <c r="P26" s="104" t="s">
        <v>1999</v>
      </c>
      <c r="Q26" s="105">
        <v>5170999.0</v>
      </c>
      <c r="R26" s="107"/>
    </row>
    <row r="27">
      <c r="A27" s="104" t="s">
        <v>723</v>
      </c>
      <c r="B27" s="104" t="s">
        <v>2000</v>
      </c>
      <c r="C27" s="105">
        <v>8077988.0</v>
      </c>
      <c r="D27" s="104" t="s">
        <v>1925</v>
      </c>
      <c r="E27" s="105">
        <v>99.0</v>
      </c>
      <c r="F27" s="104" t="s">
        <v>1917</v>
      </c>
      <c r="G27" s="104" t="s">
        <v>1926</v>
      </c>
      <c r="H27" s="104" t="s">
        <v>1919</v>
      </c>
      <c r="I27" s="104" t="s">
        <v>1920</v>
      </c>
      <c r="J27" s="104" t="s">
        <v>1921</v>
      </c>
      <c r="K27" s="104" t="s">
        <v>1922</v>
      </c>
      <c r="L27" s="104" t="s">
        <v>2001</v>
      </c>
      <c r="M27" s="104" t="s">
        <v>2002</v>
      </c>
      <c r="N27" s="104" t="s">
        <v>723</v>
      </c>
      <c r="O27" s="104" t="s">
        <v>723</v>
      </c>
      <c r="P27" s="104" t="s">
        <v>2003</v>
      </c>
      <c r="Q27" s="105">
        <v>8077988.0</v>
      </c>
      <c r="R27" s="107"/>
    </row>
    <row r="28">
      <c r="A28" s="104" t="s">
        <v>241</v>
      </c>
      <c r="B28" s="104" t="s">
        <v>2004</v>
      </c>
      <c r="C28" s="105">
        <v>7236134.0</v>
      </c>
      <c r="D28" s="104" t="s">
        <v>1943</v>
      </c>
      <c r="E28" s="105">
        <v>93.0</v>
      </c>
      <c r="F28" s="104" t="s">
        <v>1976</v>
      </c>
      <c r="G28" s="104" t="s">
        <v>1918</v>
      </c>
      <c r="H28" s="104" t="s">
        <v>1929</v>
      </c>
      <c r="I28" s="104" t="s">
        <v>1930</v>
      </c>
      <c r="J28" s="104" t="s">
        <v>1931</v>
      </c>
      <c r="K28" s="104" t="s">
        <v>877</v>
      </c>
      <c r="L28" s="104" t="s">
        <v>2005</v>
      </c>
      <c r="M28" s="104" t="s">
        <v>2006</v>
      </c>
      <c r="O28" s="104" t="s">
        <v>2007</v>
      </c>
      <c r="P28" s="104" t="s">
        <v>2008</v>
      </c>
      <c r="Q28" s="105">
        <v>7236134.0</v>
      </c>
      <c r="R28" s="107"/>
    </row>
    <row r="29">
      <c r="A29" s="104" t="s">
        <v>217</v>
      </c>
      <c r="B29" s="104" t="s">
        <v>2009</v>
      </c>
      <c r="C29" s="105">
        <v>2497240.0</v>
      </c>
      <c r="D29" s="104" t="s">
        <v>1925</v>
      </c>
      <c r="E29" s="105">
        <v>99.0</v>
      </c>
      <c r="F29" s="104" t="s">
        <v>1917</v>
      </c>
      <c r="G29" s="104" t="s">
        <v>1926</v>
      </c>
      <c r="H29" s="104" t="s">
        <v>1929</v>
      </c>
      <c r="I29" s="104" t="s">
        <v>1983</v>
      </c>
      <c r="J29" s="104" t="s">
        <v>1984</v>
      </c>
      <c r="K29" s="104" t="s">
        <v>2010</v>
      </c>
      <c r="L29" s="104" t="s">
        <v>2011</v>
      </c>
      <c r="M29" s="104" t="s">
        <v>2012</v>
      </c>
      <c r="N29" s="104" t="s">
        <v>217</v>
      </c>
      <c r="O29" s="104" t="s">
        <v>217</v>
      </c>
      <c r="P29" s="104" t="s">
        <v>2013</v>
      </c>
      <c r="Q29" s="105">
        <v>2497240.0</v>
      </c>
      <c r="R29" s="107"/>
    </row>
    <row r="30">
      <c r="A30" s="104" t="s">
        <v>338</v>
      </c>
      <c r="B30" s="104" t="s">
        <v>1930</v>
      </c>
      <c r="C30" s="105">
        <v>54.0</v>
      </c>
      <c r="D30" s="104" t="s">
        <v>1916</v>
      </c>
      <c r="E30" s="105">
        <v>92.0</v>
      </c>
      <c r="F30" s="104" t="s">
        <v>1917</v>
      </c>
      <c r="G30" s="104" t="s">
        <v>1977</v>
      </c>
      <c r="H30" s="104" t="s">
        <v>1929</v>
      </c>
      <c r="I30" s="104" t="s">
        <v>1930</v>
      </c>
      <c r="J30" s="106"/>
      <c r="K30" s="106"/>
      <c r="L30" s="106"/>
      <c r="M30" s="106"/>
      <c r="N30" s="106"/>
      <c r="O30" s="104" t="s">
        <v>1930</v>
      </c>
      <c r="P30" s="106"/>
      <c r="Q30" s="105">
        <v>54.0</v>
      </c>
      <c r="R30" s="107"/>
    </row>
    <row r="31">
      <c r="A31" s="104" t="s">
        <v>1845</v>
      </c>
      <c r="B31" s="104" t="s">
        <v>2014</v>
      </c>
      <c r="C31" s="105">
        <v>1865957.0</v>
      </c>
      <c r="D31" s="104" t="s">
        <v>1916</v>
      </c>
      <c r="E31" s="105">
        <v>94.0</v>
      </c>
      <c r="F31" s="104" t="s">
        <v>1917</v>
      </c>
      <c r="G31" s="104" t="s">
        <v>1918</v>
      </c>
      <c r="H31" s="104" t="s">
        <v>1929</v>
      </c>
      <c r="I31" s="104" t="s">
        <v>1930</v>
      </c>
      <c r="J31" s="104" t="s">
        <v>1931</v>
      </c>
      <c r="K31" s="104" t="s">
        <v>24</v>
      </c>
      <c r="L31" s="104" t="s">
        <v>2015</v>
      </c>
      <c r="M31" s="104" t="s">
        <v>1845</v>
      </c>
      <c r="N31" s="106"/>
      <c r="O31" s="104" t="s">
        <v>1845</v>
      </c>
      <c r="P31" s="104" t="s">
        <v>2016</v>
      </c>
      <c r="Q31" s="105">
        <v>1865957.0</v>
      </c>
      <c r="R31" s="107"/>
    </row>
    <row r="32">
      <c r="A32" s="104" t="s">
        <v>1517</v>
      </c>
      <c r="C32" s="106"/>
      <c r="D32" s="104" t="s">
        <v>2017</v>
      </c>
      <c r="E32" s="105">
        <v>100.0</v>
      </c>
      <c r="F32" s="106"/>
      <c r="G32" s="106"/>
      <c r="H32" s="106"/>
      <c r="I32" s="106"/>
      <c r="J32" s="106"/>
      <c r="K32" s="106"/>
      <c r="L32" s="106"/>
      <c r="M32" s="106"/>
      <c r="N32" s="106"/>
      <c r="O32" s="106"/>
      <c r="P32" s="106"/>
      <c r="Q32" s="106"/>
      <c r="R32" s="107"/>
    </row>
    <row r="33">
      <c r="A33" s="104" t="s">
        <v>566</v>
      </c>
      <c r="B33" s="104" t="s">
        <v>2018</v>
      </c>
      <c r="C33" s="105">
        <v>3129176.0</v>
      </c>
      <c r="D33" s="104" t="s">
        <v>1925</v>
      </c>
      <c r="E33" s="105">
        <v>99.0</v>
      </c>
      <c r="F33" s="104" t="s">
        <v>1917</v>
      </c>
      <c r="G33" s="104" t="s">
        <v>1926</v>
      </c>
      <c r="H33" s="104" t="s">
        <v>1919</v>
      </c>
      <c r="I33" s="104" t="s">
        <v>1920</v>
      </c>
      <c r="J33" s="104" t="s">
        <v>1921</v>
      </c>
      <c r="K33" s="104" t="s">
        <v>2019</v>
      </c>
      <c r="L33" s="104" t="s">
        <v>979</v>
      </c>
      <c r="M33" s="104" t="s">
        <v>2020</v>
      </c>
      <c r="N33" s="104" t="s">
        <v>566</v>
      </c>
      <c r="O33" s="104" t="s">
        <v>566</v>
      </c>
      <c r="P33" s="104" t="s">
        <v>2021</v>
      </c>
      <c r="Q33" s="105">
        <v>3129176.0</v>
      </c>
      <c r="R33" s="107"/>
    </row>
    <row r="34">
      <c r="A34" s="104" t="s">
        <v>1400</v>
      </c>
      <c r="B34" s="104" t="s">
        <v>2022</v>
      </c>
      <c r="C34" s="105">
        <v>2012126.0</v>
      </c>
      <c r="D34" s="104" t="s">
        <v>1925</v>
      </c>
      <c r="E34" s="105">
        <v>99.0</v>
      </c>
      <c r="F34" s="104" t="s">
        <v>1917</v>
      </c>
      <c r="G34" s="104" t="s">
        <v>1926</v>
      </c>
      <c r="H34" s="104" t="s">
        <v>1929</v>
      </c>
      <c r="I34" s="104" t="s">
        <v>1930</v>
      </c>
      <c r="J34" s="104" t="s">
        <v>1931</v>
      </c>
      <c r="K34" s="104" t="s">
        <v>1178</v>
      </c>
      <c r="L34" s="104" t="s">
        <v>2023</v>
      </c>
      <c r="M34" s="104" t="s">
        <v>2024</v>
      </c>
      <c r="N34" s="104" t="s">
        <v>1400</v>
      </c>
      <c r="O34" s="104" t="s">
        <v>1400</v>
      </c>
      <c r="P34" s="104" t="s">
        <v>2025</v>
      </c>
      <c r="Q34" s="105">
        <v>2012126.0</v>
      </c>
      <c r="R34" s="107"/>
    </row>
    <row r="35">
      <c r="A35" s="104" t="s">
        <v>275</v>
      </c>
      <c r="B35" s="104" t="s">
        <v>2026</v>
      </c>
      <c r="C35" s="105">
        <v>5391845.0</v>
      </c>
      <c r="D35" s="104" t="s">
        <v>1925</v>
      </c>
      <c r="E35" s="105">
        <v>99.0</v>
      </c>
      <c r="F35" s="104" t="s">
        <v>1917</v>
      </c>
      <c r="G35" s="104" t="s">
        <v>1926</v>
      </c>
      <c r="H35" s="104" t="s">
        <v>1919</v>
      </c>
      <c r="I35" s="104" t="s">
        <v>1920</v>
      </c>
      <c r="J35" s="104" t="s">
        <v>1921</v>
      </c>
      <c r="K35" s="104" t="s">
        <v>2019</v>
      </c>
      <c r="L35" s="104" t="s">
        <v>979</v>
      </c>
      <c r="M35" s="104" t="s">
        <v>2027</v>
      </c>
      <c r="N35" s="104" t="s">
        <v>275</v>
      </c>
      <c r="O35" s="104" t="s">
        <v>275</v>
      </c>
      <c r="P35" s="104" t="s">
        <v>1960</v>
      </c>
      <c r="Q35" s="105">
        <v>5391845.0</v>
      </c>
      <c r="R35" s="107"/>
    </row>
    <row r="36">
      <c r="A36" s="104" t="s">
        <v>128</v>
      </c>
      <c r="B36" s="104" t="s">
        <v>2028</v>
      </c>
      <c r="C36" s="105">
        <v>5521.0</v>
      </c>
      <c r="D36" s="104" t="s">
        <v>1943</v>
      </c>
      <c r="E36" s="105">
        <v>59.0</v>
      </c>
      <c r="F36" s="104" t="s">
        <v>1917</v>
      </c>
      <c r="G36" s="104" t="s">
        <v>1982</v>
      </c>
      <c r="H36" s="104" t="s">
        <v>1929</v>
      </c>
      <c r="I36" s="104" t="s">
        <v>1930</v>
      </c>
      <c r="J36" s="104" t="s">
        <v>1931</v>
      </c>
      <c r="K36" s="104" t="s">
        <v>1214</v>
      </c>
      <c r="L36" s="104" t="s">
        <v>2028</v>
      </c>
      <c r="M36" s="106"/>
      <c r="N36" s="106"/>
      <c r="O36" s="104" t="s">
        <v>2028</v>
      </c>
      <c r="P36" s="106"/>
      <c r="Q36" s="105">
        <v>5521.0</v>
      </c>
      <c r="R36" s="107"/>
    </row>
    <row r="37">
      <c r="A37" s="104" t="s">
        <v>611</v>
      </c>
      <c r="B37" s="104" t="s">
        <v>2029</v>
      </c>
      <c r="C37" s="105">
        <v>2984345.0</v>
      </c>
      <c r="D37" s="104" t="s">
        <v>1925</v>
      </c>
      <c r="E37" s="105">
        <v>97.0</v>
      </c>
      <c r="F37" s="104" t="s">
        <v>1917</v>
      </c>
      <c r="G37" s="104" t="s">
        <v>1926</v>
      </c>
      <c r="H37" s="104" t="s">
        <v>1919</v>
      </c>
      <c r="I37" s="104" t="s">
        <v>1920</v>
      </c>
      <c r="J37" s="104" t="s">
        <v>1921</v>
      </c>
      <c r="K37" s="104" t="s">
        <v>2030</v>
      </c>
      <c r="L37" s="104" t="s">
        <v>2031</v>
      </c>
      <c r="M37" s="104" t="s">
        <v>2032</v>
      </c>
      <c r="N37" s="104" t="s">
        <v>611</v>
      </c>
      <c r="O37" s="104" t="s">
        <v>611</v>
      </c>
      <c r="P37" s="104" t="s">
        <v>2033</v>
      </c>
      <c r="Q37" s="105">
        <v>2984345.0</v>
      </c>
      <c r="R37" s="108"/>
    </row>
    <row r="38">
      <c r="A38" s="104" t="s">
        <v>355</v>
      </c>
      <c r="B38" s="104" t="s">
        <v>2034</v>
      </c>
      <c r="C38" s="105">
        <v>3086282.0</v>
      </c>
      <c r="D38" s="104" t="s">
        <v>1925</v>
      </c>
      <c r="E38" s="105">
        <v>97.0</v>
      </c>
      <c r="F38" s="104" t="s">
        <v>1917</v>
      </c>
      <c r="G38" s="104" t="s">
        <v>1926</v>
      </c>
      <c r="H38" s="104" t="s">
        <v>1919</v>
      </c>
      <c r="I38" s="104" t="s">
        <v>1920</v>
      </c>
      <c r="J38" s="104" t="s">
        <v>1921</v>
      </c>
      <c r="K38" s="104" t="s">
        <v>1947</v>
      </c>
      <c r="L38" s="104" t="s">
        <v>2035</v>
      </c>
      <c r="M38" s="104" t="s">
        <v>2036</v>
      </c>
      <c r="N38" s="104" t="s">
        <v>355</v>
      </c>
      <c r="O38" s="104" t="s">
        <v>355</v>
      </c>
      <c r="P38" s="104" t="s">
        <v>1960</v>
      </c>
      <c r="Q38" s="105">
        <v>3086282.0</v>
      </c>
      <c r="R38" s="107"/>
    </row>
    <row r="39">
      <c r="A39" s="104" t="s">
        <v>611</v>
      </c>
      <c r="B39" s="104" t="s">
        <v>2029</v>
      </c>
      <c r="C39" s="105">
        <v>2984345.0</v>
      </c>
      <c r="D39" s="104" t="s">
        <v>1943</v>
      </c>
      <c r="E39" s="106"/>
      <c r="F39" s="104" t="s">
        <v>1917</v>
      </c>
      <c r="G39" s="104" t="s">
        <v>1926</v>
      </c>
      <c r="H39" s="104" t="s">
        <v>1919</v>
      </c>
      <c r="I39" s="104" t="s">
        <v>1920</v>
      </c>
      <c r="J39" s="104" t="s">
        <v>1921</v>
      </c>
      <c r="K39" s="104" t="s">
        <v>2030</v>
      </c>
      <c r="L39" s="104" t="s">
        <v>2031</v>
      </c>
      <c r="M39" s="104" t="s">
        <v>2032</v>
      </c>
      <c r="N39" s="104" t="s">
        <v>611</v>
      </c>
      <c r="O39" s="104" t="s">
        <v>611</v>
      </c>
      <c r="P39" s="104" t="s">
        <v>2033</v>
      </c>
      <c r="Q39" s="106"/>
      <c r="R39" s="107"/>
    </row>
    <row r="40">
      <c r="A40" s="104" t="s">
        <v>498</v>
      </c>
      <c r="B40" s="104" t="s">
        <v>2037</v>
      </c>
      <c r="C40" s="105">
        <v>2705864.0</v>
      </c>
      <c r="D40" s="104" t="s">
        <v>1925</v>
      </c>
      <c r="E40" s="105">
        <v>98.0</v>
      </c>
      <c r="F40" s="104" t="s">
        <v>1976</v>
      </c>
      <c r="G40" s="104" t="s">
        <v>1926</v>
      </c>
      <c r="H40" s="104" t="s">
        <v>1919</v>
      </c>
      <c r="I40" s="104" t="s">
        <v>1920</v>
      </c>
      <c r="J40" s="104" t="s">
        <v>1972</v>
      </c>
      <c r="K40" s="104" t="s">
        <v>1973</v>
      </c>
      <c r="L40" s="104" t="s">
        <v>1265</v>
      </c>
      <c r="M40" s="104" t="s">
        <v>725</v>
      </c>
      <c r="N40" s="104" t="s">
        <v>2038</v>
      </c>
      <c r="O40" s="104" t="s">
        <v>498</v>
      </c>
      <c r="P40" s="104" t="s">
        <v>2039</v>
      </c>
      <c r="Q40" s="105">
        <v>2705864.0</v>
      </c>
      <c r="R40" s="107"/>
    </row>
    <row r="41">
      <c r="A41" s="104" t="s">
        <v>704</v>
      </c>
      <c r="B41" s="104" t="s">
        <v>2040</v>
      </c>
      <c r="C41" s="105">
        <v>1310057.0</v>
      </c>
      <c r="D41" s="104" t="s">
        <v>1925</v>
      </c>
      <c r="E41" s="105">
        <v>99.0</v>
      </c>
      <c r="F41" s="104" t="s">
        <v>1917</v>
      </c>
      <c r="G41" s="104" t="s">
        <v>1926</v>
      </c>
      <c r="H41" s="104" t="s">
        <v>1929</v>
      </c>
      <c r="I41" s="104" t="s">
        <v>1930</v>
      </c>
      <c r="J41" s="104" t="s">
        <v>1931</v>
      </c>
      <c r="K41" s="104" t="s">
        <v>62</v>
      </c>
      <c r="L41" s="104" t="s">
        <v>204</v>
      </c>
      <c r="M41" s="104" t="s">
        <v>2041</v>
      </c>
      <c r="N41" s="104" t="s">
        <v>704</v>
      </c>
      <c r="O41" s="104" t="s">
        <v>704</v>
      </c>
      <c r="P41" s="104" t="s">
        <v>2042</v>
      </c>
      <c r="Q41" s="105">
        <v>1310057.0</v>
      </c>
      <c r="R41" s="107"/>
    </row>
    <row r="42">
      <c r="A42" s="104" t="s">
        <v>198</v>
      </c>
      <c r="B42" s="104" t="s">
        <v>2043</v>
      </c>
      <c r="C42" s="105">
        <v>2297154.0</v>
      </c>
      <c r="D42" s="104" t="s">
        <v>1925</v>
      </c>
      <c r="E42" s="105">
        <v>99.0</v>
      </c>
      <c r="F42" s="104" t="s">
        <v>1917</v>
      </c>
      <c r="G42" s="104" t="s">
        <v>1926</v>
      </c>
      <c r="H42" s="104" t="s">
        <v>1929</v>
      </c>
      <c r="I42" s="104" t="s">
        <v>2044</v>
      </c>
      <c r="J42" s="104" t="s">
        <v>2045</v>
      </c>
      <c r="K42" s="104" t="s">
        <v>2046</v>
      </c>
      <c r="L42" s="104" t="s">
        <v>2047</v>
      </c>
      <c r="M42" s="104" t="s">
        <v>2048</v>
      </c>
      <c r="N42" s="104" t="s">
        <v>198</v>
      </c>
      <c r="O42" s="104" t="s">
        <v>198</v>
      </c>
      <c r="P42" s="104" t="s">
        <v>2049</v>
      </c>
      <c r="Q42" s="105">
        <v>2297154.0</v>
      </c>
      <c r="R42" s="107"/>
    </row>
    <row r="43">
      <c r="A43" s="104" t="s">
        <v>126</v>
      </c>
      <c r="B43" s="104" t="s">
        <v>126</v>
      </c>
      <c r="C43" s="105">
        <v>35.0</v>
      </c>
      <c r="D43" s="104" t="s">
        <v>1925</v>
      </c>
      <c r="E43" s="105">
        <v>94.0</v>
      </c>
      <c r="F43" s="104" t="s">
        <v>1917</v>
      </c>
      <c r="G43" s="104" t="s">
        <v>1977</v>
      </c>
      <c r="H43" s="104" t="s">
        <v>1919</v>
      </c>
      <c r="I43" s="104" t="s">
        <v>126</v>
      </c>
      <c r="J43" s="106"/>
      <c r="K43" s="106"/>
      <c r="L43" s="106"/>
      <c r="M43" s="106"/>
      <c r="N43" s="106"/>
      <c r="O43" s="104" t="s">
        <v>126</v>
      </c>
      <c r="P43" s="106"/>
      <c r="Q43" s="105">
        <v>35.0</v>
      </c>
      <c r="R43" s="107"/>
    </row>
    <row r="44">
      <c r="A44" s="104" t="s">
        <v>1102</v>
      </c>
      <c r="B44" s="104" t="s">
        <v>2050</v>
      </c>
      <c r="C44" s="105">
        <v>2480830.0</v>
      </c>
      <c r="D44" s="104" t="s">
        <v>1925</v>
      </c>
      <c r="E44" s="105">
        <v>99.0</v>
      </c>
      <c r="F44" s="104" t="s">
        <v>1917</v>
      </c>
      <c r="G44" s="104" t="s">
        <v>1926</v>
      </c>
      <c r="H44" s="104" t="s">
        <v>1929</v>
      </c>
      <c r="I44" s="104" t="s">
        <v>1983</v>
      </c>
      <c r="J44" s="104" t="s">
        <v>1984</v>
      </c>
      <c r="K44" s="104" t="s">
        <v>1994</v>
      </c>
      <c r="L44" s="104" t="s">
        <v>1995</v>
      </c>
      <c r="M44" s="104" t="s">
        <v>2051</v>
      </c>
      <c r="N44" s="104" t="s">
        <v>1102</v>
      </c>
      <c r="O44" s="104" t="s">
        <v>1102</v>
      </c>
      <c r="P44" s="104" t="s">
        <v>2052</v>
      </c>
      <c r="Q44" s="105">
        <v>2480830.0</v>
      </c>
      <c r="R44" s="107"/>
    </row>
    <row r="45">
      <c r="A45" s="104" t="s">
        <v>442</v>
      </c>
      <c r="B45" s="104" t="s">
        <v>2053</v>
      </c>
      <c r="C45" s="105">
        <v>5429435.0</v>
      </c>
      <c r="D45" s="104" t="s">
        <v>1916</v>
      </c>
      <c r="E45" s="105">
        <v>94.0</v>
      </c>
      <c r="F45" s="104" t="s">
        <v>1917</v>
      </c>
      <c r="G45" s="104" t="s">
        <v>1918</v>
      </c>
      <c r="H45" s="104" t="s">
        <v>1929</v>
      </c>
      <c r="I45" s="104" t="s">
        <v>2044</v>
      </c>
      <c r="J45" s="104" t="s">
        <v>2045</v>
      </c>
      <c r="K45" s="104" t="s">
        <v>2046</v>
      </c>
      <c r="L45" s="104" t="s">
        <v>2054</v>
      </c>
      <c r="M45" s="104" t="s">
        <v>442</v>
      </c>
      <c r="N45" s="106"/>
      <c r="O45" s="104" t="s">
        <v>442</v>
      </c>
      <c r="P45" s="104" t="s">
        <v>2055</v>
      </c>
      <c r="Q45" s="105">
        <v>5429435.0</v>
      </c>
      <c r="R45" s="107"/>
    </row>
    <row r="46">
      <c r="A46" s="104" t="s">
        <v>388</v>
      </c>
      <c r="B46" s="104" t="s">
        <v>2056</v>
      </c>
      <c r="C46" s="105">
        <v>7737532.0</v>
      </c>
      <c r="D46" s="104" t="s">
        <v>1925</v>
      </c>
      <c r="E46" s="105">
        <v>98.0</v>
      </c>
      <c r="F46" s="104" t="s">
        <v>1917</v>
      </c>
      <c r="G46" s="104" t="s">
        <v>1926</v>
      </c>
      <c r="H46" s="104" t="s">
        <v>1929</v>
      </c>
      <c r="I46" s="104" t="s">
        <v>2044</v>
      </c>
      <c r="J46" s="104" t="s">
        <v>2045</v>
      </c>
      <c r="K46" s="104" t="s">
        <v>2046</v>
      </c>
      <c r="L46" s="104" t="s">
        <v>2054</v>
      </c>
      <c r="M46" s="104" t="s">
        <v>442</v>
      </c>
      <c r="N46" s="104" t="s">
        <v>388</v>
      </c>
      <c r="O46" s="104" t="s">
        <v>388</v>
      </c>
      <c r="P46" s="104" t="s">
        <v>2057</v>
      </c>
      <c r="Q46" s="105">
        <v>7737532.0</v>
      </c>
      <c r="R46" s="107"/>
    </row>
    <row r="47">
      <c r="A47" s="104" t="s">
        <v>648</v>
      </c>
      <c r="B47" s="104" t="s">
        <v>2058</v>
      </c>
      <c r="C47" s="105">
        <v>1.2012526E7</v>
      </c>
      <c r="D47" s="104" t="s">
        <v>1925</v>
      </c>
      <c r="E47" s="105">
        <v>98.0</v>
      </c>
      <c r="F47" s="104" t="s">
        <v>1976</v>
      </c>
      <c r="G47" s="104" t="s">
        <v>1926</v>
      </c>
      <c r="H47" s="104" t="s">
        <v>1929</v>
      </c>
      <c r="I47" s="104" t="s">
        <v>1930</v>
      </c>
      <c r="J47" s="104" t="s">
        <v>1931</v>
      </c>
      <c r="K47" s="104" t="s">
        <v>24</v>
      </c>
      <c r="L47" s="104" t="s">
        <v>2059</v>
      </c>
      <c r="M47" s="104" t="s">
        <v>2060</v>
      </c>
      <c r="N47" s="104" t="s">
        <v>2061</v>
      </c>
      <c r="O47" s="104" t="s">
        <v>648</v>
      </c>
      <c r="P47" s="104" t="s">
        <v>2062</v>
      </c>
      <c r="Q47" s="105">
        <v>1.2012526E7</v>
      </c>
      <c r="R47" s="107"/>
    </row>
    <row r="48">
      <c r="A48" s="104" t="s">
        <v>1067</v>
      </c>
      <c r="B48" s="104" t="s">
        <v>1067</v>
      </c>
      <c r="C48" s="105">
        <v>1.1729494E7</v>
      </c>
      <c r="D48" s="104" t="s">
        <v>1925</v>
      </c>
      <c r="E48" s="105">
        <v>99.0</v>
      </c>
      <c r="F48" s="104" t="s">
        <v>1917</v>
      </c>
      <c r="G48" s="104" t="s">
        <v>1926</v>
      </c>
      <c r="H48" s="104" t="s">
        <v>1929</v>
      </c>
      <c r="I48" s="104" t="s">
        <v>1930</v>
      </c>
      <c r="J48" s="104" t="s">
        <v>1931</v>
      </c>
      <c r="K48" s="104" t="s">
        <v>24</v>
      </c>
      <c r="L48" s="104" t="s">
        <v>2059</v>
      </c>
      <c r="M48" s="104" t="s">
        <v>2063</v>
      </c>
      <c r="N48" s="104" t="s">
        <v>1067</v>
      </c>
      <c r="O48" s="104" t="s">
        <v>1067</v>
      </c>
      <c r="Q48" s="105">
        <v>1.1729494E7</v>
      </c>
      <c r="R48" s="107"/>
    </row>
    <row r="49">
      <c r="A49" s="104" t="s">
        <v>1819</v>
      </c>
      <c r="B49" s="104" t="s">
        <v>2064</v>
      </c>
      <c r="C49" s="105">
        <v>3904015.0</v>
      </c>
      <c r="D49" s="104" t="s">
        <v>1925</v>
      </c>
      <c r="E49" s="105">
        <v>99.0</v>
      </c>
      <c r="F49" s="104" t="s">
        <v>1917</v>
      </c>
      <c r="G49" s="104" t="s">
        <v>1926</v>
      </c>
      <c r="H49" s="104" t="s">
        <v>1919</v>
      </c>
      <c r="I49" s="104" t="s">
        <v>1920</v>
      </c>
      <c r="J49" s="104" t="s">
        <v>1921</v>
      </c>
      <c r="K49" s="104" t="s">
        <v>1963</v>
      </c>
      <c r="L49" s="104" t="s">
        <v>2065</v>
      </c>
      <c r="M49" s="104" t="s">
        <v>2066</v>
      </c>
      <c r="N49" s="104" t="s">
        <v>1819</v>
      </c>
      <c r="O49" s="104" t="s">
        <v>1819</v>
      </c>
      <c r="P49" s="104" t="s">
        <v>2067</v>
      </c>
      <c r="Q49" s="105">
        <v>3904015.0</v>
      </c>
      <c r="R49" s="107"/>
    </row>
    <row r="50">
      <c r="A50" s="104" t="s">
        <v>928</v>
      </c>
      <c r="B50" s="104" t="s">
        <v>2068</v>
      </c>
      <c r="C50" s="105">
        <v>1312361.0</v>
      </c>
      <c r="D50" s="104" t="s">
        <v>1916</v>
      </c>
      <c r="E50" s="105">
        <v>92.0</v>
      </c>
      <c r="F50" s="104" t="s">
        <v>1917</v>
      </c>
      <c r="G50" s="104" t="s">
        <v>1918</v>
      </c>
      <c r="H50" s="104" t="s">
        <v>1929</v>
      </c>
      <c r="I50" s="104" t="s">
        <v>1930</v>
      </c>
      <c r="J50" s="104" t="s">
        <v>1931</v>
      </c>
      <c r="K50" s="104" t="s">
        <v>62</v>
      </c>
      <c r="L50" s="104" t="s">
        <v>34</v>
      </c>
      <c r="M50" s="104" t="s">
        <v>928</v>
      </c>
      <c r="O50" s="104" t="s">
        <v>928</v>
      </c>
      <c r="P50" s="104" t="s">
        <v>2069</v>
      </c>
      <c r="Q50" s="105">
        <v>1312361.0</v>
      </c>
      <c r="R50" s="108"/>
    </row>
    <row r="51">
      <c r="A51" s="104" t="s">
        <v>169</v>
      </c>
      <c r="B51" s="104" t="s">
        <v>2070</v>
      </c>
      <c r="C51" s="105">
        <v>1312486.0</v>
      </c>
      <c r="D51" s="104" t="s">
        <v>1925</v>
      </c>
      <c r="E51" s="105">
        <v>99.0</v>
      </c>
      <c r="F51" s="104" t="s">
        <v>1917</v>
      </c>
      <c r="G51" s="104" t="s">
        <v>1926</v>
      </c>
      <c r="H51" s="104" t="s">
        <v>1929</v>
      </c>
      <c r="I51" s="104" t="s">
        <v>1930</v>
      </c>
      <c r="J51" s="104" t="s">
        <v>1931</v>
      </c>
      <c r="K51" s="104" t="s">
        <v>62</v>
      </c>
      <c r="L51" s="104" t="s">
        <v>34</v>
      </c>
      <c r="M51" s="104" t="s">
        <v>928</v>
      </c>
      <c r="N51" s="104" t="s">
        <v>169</v>
      </c>
      <c r="O51" s="104" t="s">
        <v>169</v>
      </c>
      <c r="P51" s="104" t="s">
        <v>2071</v>
      </c>
      <c r="Q51" s="105">
        <v>1312486.0</v>
      </c>
      <c r="R51" s="108"/>
    </row>
    <row r="52">
      <c r="A52" s="104" t="s">
        <v>1745</v>
      </c>
      <c r="B52" s="104" t="s">
        <v>2072</v>
      </c>
      <c r="C52" s="105">
        <v>5034116.0</v>
      </c>
      <c r="D52" s="104" t="s">
        <v>1925</v>
      </c>
      <c r="E52" s="105">
        <v>99.0</v>
      </c>
      <c r="F52" s="104" t="s">
        <v>1917</v>
      </c>
      <c r="G52" s="104" t="s">
        <v>1926</v>
      </c>
      <c r="H52" s="104" t="s">
        <v>1929</v>
      </c>
      <c r="I52" s="104" t="s">
        <v>1930</v>
      </c>
      <c r="J52" s="104" t="s">
        <v>1931</v>
      </c>
      <c r="K52" s="104" t="s">
        <v>62</v>
      </c>
      <c r="L52" s="104" t="s">
        <v>34</v>
      </c>
      <c r="M52" s="104" t="s">
        <v>928</v>
      </c>
      <c r="N52" s="104" t="s">
        <v>1745</v>
      </c>
      <c r="O52" s="104" t="s">
        <v>1745</v>
      </c>
      <c r="P52" s="104" t="s">
        <v>2073</v>
      </c>
      <c r="Q52" s="105">
        <v>5034116.0</v>
      </c>
      <c r="R52" s="107"/>
    </row>
    <row r="53">
      <c r="A53" s="104" t="s">
        <v>481</v>
      </c>
      <c r="B53" s="104" t="s">
        <v>2074</v>
      </c>
      <c r="C53" s="105">
        <v>2483511.0</v>
      </c>
      <c r="D53" s="104" t="s">
        <v>1925</v>
      </c>
      <c r="E53" s="105">
        <v>99.0</v>
      </c>
      <c r="F53" s="104" t="s">
        <v>1917</v>
      </c>
      <c r="G53" s="104" t="s">
        <v>1926</v>
      </c>
      <c r="H53" s="104" t="s">
        <v>1929</v>
      </c>
      <c r="I53" s="104" t="s">
        <v>1983</v>
      </c>
      <c r="J53" s="104" t="s">
        <v>1984</v>
      </c>
      <c r="K53" s="104" t="s">
        <v>2075</v>
      </c>
      <c r="L53" s="104" t="s">
        <v>2076</v>
      </c>
      <c r="M53" s="104" t="s">
        <v>2077</v>
      </c>
      <c r="N53" s="104" t="s">
        <v>481</v>
      </c>
      <c r="O53" s="104" t="s">
        <v>481</v>
      </c>
      <c r="P53" s="104" t="s">
        <v>2078</v>
      </c>
      <c r="Q53" s="105">
        <v>2483511.0</v>
      </c>
      <c r="R53" s="107"/>
    </row>
    <row r="54">
      <c r="A54" s="104" t="s">
        <v>1795</v>
      </c>
      <c r="B54" s="104" t="s">
        <v>2079</v>
      </c>
      <c r="C54" s="105">
        <v>8034409.0</v>
      </c>
      <c r="D54" s="104" t="s">
        <v>1925</v>
      </c>
      <c r="E54" s="105">
        <v>98.0</v>
      </c>
      <c r="F54" s="104" t="s">
        <v>1917</v>
      </c>
      <c r="G54" s="104" t="s">
        <v>1926</v>
      </c>
      <c r="H54" s="104" t="s">
        <v>1919</v>
      </c>
      <c r="I54" s="104" t="s">
        <v>1920</v>
      </c>
      <c r="J54" s="104" t="s">
        <v>1972</v>
      </c>
      <c r="K54" s="104" t="s">
        <v>2080</v>
      </c>
      <c r="L54" s="104" t="s">
        <v>2081</v>
      </c>
      <c r="M54" s="104" t="s">
        <v>2082</v>
      </c>
      <c r="N54" s="104" t="s">
        <v>1795</v>
      </c>
      <c r="O54" s="104" t="s">
        <v>1795</v>
      </c>
      <c r="P54" s="104" t="s">
        <v>1960</v>
      </c>
      <c r="Q54" s="105">
        <v>8034409.0</v>
      </c>
      <c r="R54" s="107"/>
    </row>
    <row r="55">
      <c r="A55" s="104" t="s">
        <v>103</v>
      </c>
      <c r="B55" s="104" t="s">
        <v>2083</v>
      </c>
      <c r="C55" s="105">
        <v>2480989.0</v>
      </c>
      <c r="D55" s="104" t="s">
        <v>2084</v>
      </c>
      <c r="E55" s="105">
        <v>85.0</v>
      </c>
      <c r="F55" s="104" t="s">
        <v>1917</v>
      </c>
      <c r="G55" s="104" t="s">
        <v>1926</v>
      </c>
      <c r="H55" s="104" t="s">
        <v>1929</v>
      </c>
      <c r="I55" s="104" t="s">
        <v>1983</v>
      </c>
      <c r="J55" s="104" t="s">
        <v>1984</v>
      </c>
      <c r="K55" s="104" t="s">
        <v>2085</v>
      </c>
      <c r="L55" s="104" t="s">
        <v>2086</v>
      </c>
      <c r="M55" s="104" t="s">
        <v>2087</v>
      </c>
      <c r="N55" s="104" t="s">
        <v>103</v>
      </c>
      <c r="O55" s="104" t="s">
        <v>103</v>
      </c>
      <c r="P55" s="104" t="s">
        <v>2088</v>
      </c>
      <c r="Q55" s="105">
        <v>2480989.0</v>
      </c>
      <c r="R55" s="107"/>
    </row>
    <row r="56">
      <c r="A56" s="104" t="s">
        <v>478</v>
      </c>
      <c r="B56" s="104" t="s">
        <v>2089</v>
      </c>
      <c r="C56" s="105">
        <v>2481928.0</v>
      </c>
      <c r="D56" s="104" t="s">
        <v>1925</v>
      </c>
      <c r="E56" s="105">
        <v>99.0</v>
      </c>
      <c r="F56" s="104" t="s">
        <v>1917</v>
      </c>
      <c r="G56" s="104" t="s">
        <v>1926</v>
      </c>
      <c r="H56" s="104" t="s">
        <v>1929</v>
      </c>
      <c r="I56" s="104" t="s">
        <v>1983</v>
      </c>
      <c r="J56" s="104" t="s">
        <v>1984</v>
      </c>
      <c r="K56" s="104" t="s">
        <v>2090</v>
      </c>
      <c r="L56" s="104" t="s">
        <v>2091</v>
      </c>
      <c r="M56" s="104" t="s">
        <v>2092</v>
      </c>
      <c r="N56" s="104" t="s">
        <v>478</v>
      </c>
      <c r="O56" s="104" t="s">
        <v>478</v>
      </c>
      <c r="P56" s="104" t="s">
        <v>2093</v>
      </c>
      <c r="Q56" s="105">
        <v>2481928.0</v>
      </c>
      <c r="R56" s="107"/>
    </row>
    <row r="57">
      <c r="A57" s="104" t="s">
        <v>2094</v>
      </c>
      <c r="B57" s="104" t="s">
        <v>2095</v>
      </c>
      <c r="C57" s="105">
        <v>2984472.0</v>
      </c>
      <c r="D57" s="104" t="s">
        <v>1916</v>
      </c>
      <c r="E57" s="105">
        <v>94.0</v>
      </c>
      <c r="F57" s="104" t="s">
        <v>1917</v>
      </c>
      <c r="G57" s="104" t="s">
        <v>1918</v>
      </c>
      <c r="H57" s="104" t="s">
        <v>1919</v>
      </c>
      <c r="I57" s="104" t="s">
        <v>1920</v>
      </c>
      <c r="J57" s="104" t="s">
        <v>1921</v>
      </c>
      <c r="K57" s="104" t="s">
        <v>2030</v>
      </c>
      <c r="L57" s="104" t="s">
        <v>2031</v>
      </c>
      <c r="M57" s="104" t="s">
        <v>2094</v>
      </c>
      <c r="N57" s="106"/>
      <c r="O57" s="104" t="s">
        <v>2094</v>
      </c>
      <c r="P57" s="104" t="s">
        <v>2096</v>
      </c>
      <c r="Q57" s="105">
        <v>2984472.0</v>
      </c>
      <c r="R57" s="108"/>
    </row>
    <row r="58">
      <c r="A58" s="104" t="s">
        <v>2097</v>
      </c>
      <c r="B58" s="104" t="s">
        <v>2098</v>
      </c>
      <c r="C58" s="105">
        <v>4013377.0</v>
      </c>
      <c r="D58" s="104" t="s">
        <v>1925</v>
      </c>
      <c r="E58" s="105">
        <v>99.0</v>
      </c>
      <c r="F58" s="104" t="s">
        <v>1917</v>
      </c>
      <c r="G58" s="104" t="s">
        <v>1926</v>
      </c>
      <c r="H58" s="104" t="s">
        <v>1919</v>
      </c>
      <c r="I58" s="104" t="s">
        <v>1920</v>
      </c>
      <c r="J58" s="104" t="s">
        <v>1921</v>
      </c>
      <c r="K58" s="104" t="s">
        <v>2030</v>
      </c>
      <c r="L58" s="104" t="s">
        <v>2031</v>
      </c>
      <c r="M58" s="104" t="s">
        <v>2094</v>
      </c>
      <c r="N58" s="104" t="s">
        <v>2097</v>
      </c>
      <c r="O58" s="104" t="s">
        <v>2097</v>
      </c>
      <c r="P58" s="104" t="s">
        <v>2099</v>
      </c>
      <c r="Q58" s="105">
        <v>4013377.0</v>
      </c>
      <c r="R58" s="107"/>
    </row>
    <row r="59">
      <c r="A59" s="104" t="s">
        <v>1394</v>
      </c>
      <c r="B59" s="104" t="s">
        <v>2100</v>
      </c>
      <c r="C59" s="105">
        <v>4013385.0</v>
      </c>
      <c r="D59" s="104" t="s">
        <v>1925</v>
      </c>
      <c r="E59" s="105">
        <v>99.0</v>
      </c>
      <c r="F59" s="104" t="s">
        <v>1917</v>
      </c>
      <c r="G59" s="104" t="s">
        <v>1926</v>
      </c>
      <c r="H59" s="104" t="s">
        <v>1919</v>
      </c>
      <c r="I59" s="104" t="s">
        <v>1920</v>
      </c>
      <c r="J59" s="104" t="s">
        <v>1921</v>
      </c>
      <c r="K59" s="104" t="s">
        <v>2030</v>
      </c>
      <c r="L59" s="104" t="s">
        <v>2031</v>
      </c>
      <c r="M59" s="104" t="s">
        <v>2094</v>
      </c>
      <c r="N59" s="104" t="s">
        <v>1394</v>
      </c>
      <c r="O59" s="104" t="s">
        <v>1394</v>
      </c>
      <c r="P59" s="104" t="s">
        <v>2101</v>
      </c>
      <c r="Q59" s="105">
        <v>4013385.0</v>
      </c>
      <c r="R59" s="107"/>
    </row>
    <row r="60">
      <c r="A60" s="104" t="s">
        <v>489</v>
      </c>
      <c r="B60" s="104" t="s">
        <v>2102</v>
      </c>
      <c r="C60" s="105">
        <v>5289739.0</v>
      </c>
      <c r="D60" s="104" t="s">
        <v>1925</v>
      </c>
      <c r="E60" s="105">
        <v>97.0</v>
      </c>
      <c r="F60" s="104" t="s">
        <v>1917</v>
      </c>
      <c r="G60" s="104" t="s">
        <v>1926</v>
      </c>
      <c r="H60" s="104" t="s">
        <v>1919</v>
      </c>
      <c r="I60" s="104" t="s">
        <v>1920</v>
      </c>
      <c r="J60" s="104" t="s">
        <v>1972</v>
      </c>
      <c r="K60" s="104" t="s">
        <v>1973</v>
      </c>
      <c r="L60" s="104" t="s">
        <v>1265</v>
      </c>
      <c r="M60" s="104" t="s">
        <v>2103</v>
      </c>
      <c r="N60" s="104" t="s">
        <v>489</v>
      </c>
      <c r="O60" s="104" t="s">
        <v>489</v>
      </c>
      <c r="P60" s="104" t="s">
        <v>1960</v>
      </c>
      <c r="Q60" s="105">
        <v>5289739.0</v>
      </c>
      <c r="R60" s="107"/>
    </row>
    <row r="61">
      <c r="A61" s="104" t="s">
        <v>631</v>
      </c>
      <c r="B61" s="104" t="s">
        <v>2104</v>
      </c>
      <c r="C61" s="105">
        <v>2950302.0</v>
      </c>
      <c r="D61" s="104" t="s">
        <v>1925</v>
      </c>
      <c r="E61" s="105">
        <v>99.0</v>
      </c>
      <c r="F61" s="104" t="s">
        <v>1917</v>
      </c>
      <c r="G61" s="104" t="s">
        <v>1926</v>
      </c>
      <c r="H61" s="104" t="s">
        <v>1919</v>
      </c>
      <c r="I61" s="104" t="s">
        <v>1920</v>
      </c>
      <c r="J61" s="104" t="s">
        <v>1921</v>
      </c>
      <c r="K61" s="104" t="s">
        <v>1922</v>
      </c>
      <c r="L61" s="104" t="s">
        <v>665</v>
      </c>
      <c r="M61" s="104" t="s">
        <v>2105</v>
      </c>
      <c r="N61" s="104" t="s">
        <v>631</v>
      </c>
      <c r="O61" s="104" t="s">
        <v>631</v>
      </c>
      <c r="P61" s="104" t="s">
        <v>2106</v>
      </c>
      <c r="Q61" s="105">
        <v>2950302.0</v>
      </c>
      <c r="R61" s="107"/>
    </row>
    <row r="62">
      <c r="A62" s="104" t="s">
        <v>360</v>
      </c>
      <c r="B62" s="104" t="s">
        <v>2107</v>
      </c>
      <c r="C62" s="105">
        <v>2949803.0</v>
      </c>
      <c r="D62" s="104" t="s">
        <v>1925</v>
      </c>
      <c r="E62" s="105">
        <v>99.0</v>
      </c>
      <c r="F62" s="104" t="s">
        <v>1917</v>
      </c>
      <c r="G62" s="104" t="s">
        <v>1926</v>
      </c>
      <c r="H62" s="104" t="s">
        <v>1919</v>
      </c>
      <c r="I62" s="104" t="s">
        <v>1920</v>
      </c>
      <c r="J62" s="104" t="s">
        <v>1921</v>
      </c>
      <c r="K62" s="104" t="s">
        <v>1922</v>
      </c>
      <c r="L62" s="104" t="s">
        <v>665</v>
      </c>
      <c r="M62" s="104" t="s">
        <v>2105</v>
      </c>
      <c r="N62" s="104" t="s">
        <v>360</v>
      </c>
      <c r="O62" s="104" t="s">
        <v>360</v>
      </c>
      <c r="P62" s="104" t="s">
        <v>2108</v>
      </c>
      <c r="Q62" s="105">
        <v>2949803.0</v>
      </c>
      <c r="R62" s="107"/>
    </row>
    <row r="63">
      <c r="A63" s="104" t="s">
        <v>411</v>
      </c>
      <c r="B63" s="104" t="s">
        <v>411</v>
      </c>
      <c r="C63" s="105">
        <v>360.0</v>
      </c>
      <c r="D63" s="104" t="s">
        <v>1943</v>
      </c>
      <c r="E63" s="105">
        <v>94.0</v>
      </c>
      <c r="F63" s="104" t="s">
        <v>1917</v>
      </c>
      <c r="G63" s="104" t="s">
        <v>2109</v>
      </c>
      <c r="H63" s="104" t="s">
        <v>1929</v>
      </c>
      <c r="I63" s="104" t="s">
        <v>1930</v>
      </c>
      <c r="J63" s="104" t="s">
        <v>411</v>
      </c>
      <c r="K63" s="106"/>
      <c r="L63" s="106"/>
      <c r="M63" s="106"/>
      <c r="N63" s="106"/>
      <c r="O63" s="104" t="s">
        <v>411</v>
      </c>
      <c r="P63" s="106"/>
      <c r="Q63" s="105">
        <v>360.0</v>
      </c>
      <c r="R63" s="107"/>
    </row>
    <row r="64">
      <c r="A64" s="104" t="s">
        <v>46</v>
      </c>
      <c r="B64" s="104" t="s">
        <v>2110</v>
      </c>
      <c r="C64" s="105">
        <v>1.0941997E7</v>
      </c>
      <c r="D64" s="104" t="s">
        <v>1925</v>
      </c>
      <c r="E64" s="105">
        <v>99.0</v>
      </c>
      <c r="F64" s="104" t="s">
        <v>1917</v>
      </c>
      <c r="G64" s="104" t="s">
        <v>1926</v>
      </c>
      <c r="H64" s="104" t="s">
        <v>1929</v>
      </c>
      <c r="I64" s="104" t="s">
        <v>1983</v>
      </c>
      <c r="J64" s="104" t="s">
        <v>1984</v>
      </c>
      <c r="K64" s="104" t="s">
        <v>1985</v>
      </c>
      <c r="L64" s="104" t="s">
        <v>2111</v>
      </c>
      <c r="M64" s="104" t="s">
        <v>2112</v>
      </c>
      <c r="N64" s="104" t="s">
        <v>46</v>
      </c>
      <c r="O64" s="104" t="s">
        <v>46</v>
      </c>
      <c r="P64" s="104" t="s">
        <v>2113</v>
      </c>
      <c r="Q64" s="105">
        <v>1.0941997E7</v>
      </c>
      <c r="R64" s="107"/>
    </row>
    <row r="65">
      <c r="A65" s="104" t="s">
        <v>938</v>
      </c>
      <c r="B65" s="104" t="s">
        <v>2114</v>
      </c>
      <c r="C65" s="105">
        <v>5289612.0</v>
      </c>
      <c r="D65" s="104" t="s">
        <v>1925</v>
      </c>
      <c r="E65" s="105">
        <v>97.0</v>
      </c>
      <c r="F65" s="104" t="s">
        <v>1917</v>
      </c>
      <c r="G65" s="104" t="s">
        <v>1926</v>
      </c>
      <c r="H65" s="104" t="s">
        <v>1919</v>
      </c>
      <c r="I65" s="104" t="s">
        <v>1920</v>
      </c>
      <c r="J65" s="104" t="s">
        <v>1972</v>
      </c>
      <c r="K65" s="104" t="s">
        <v>1973</v>
      </c>
      <c r="L65" s="104" t="s">
        <v>1265</v>
      </c>
      <c r="M65" s="104" t="s">
        <v>1348</v>
      </c>
      <c r="N65" s="104" t="s">
        <v>938</v>
      </c>
      <c r="O65" s="104" t="s">
        <v>938</v>
      </c>
      <c r="P65" s="104" t="s">
        <v>2115</v>
      </c>
      <c r="Q65" s="105">
        <v>5289612.0</v>
      </c>
      <c r="R65" s="107"/>
    </row>
    <row r="66">
      <c r="A66" s="104" t="s">
        <v>736</v>
      </c>
      <c r="B66" s="104" t="s">
        <v>2116</v>
      </c>
      <c r="C66" s="105">
        <v>5289624.0</v>
      </c>
      <c r="D66" s="104" t="s">
        <v>1925</v>
      </c>
      <c r="E66" s="105">
        <v>97.0</v>
      </c>
      <c r="F66" s="104" t="s">
        <v>1917</v>
      </c>
      <c r="G66" s="104" t="s">
        <v>1926</v>
      </c>
      <c r="H66" s="104" t="s">
        <v>1919</v>
      </c>
      <c r="I66" s="104" t="s">
        <v>1920</v>
      </c>
      <c r="J66" s="104" t="s">
        <v>1972</v>
      </c>
      <c r="K66" s="104" t="s">
        <v>1973</v>
      </c>
      <c r="L66" s="104" t="s">
        <v>1265</v>
      </c>
      <c r="M66" s="104" t="s">
        <v>1348</v>
      </c>
      <c r="N66" s="104" t="s">
        <v>736</v>
      </c>
      <c r="O66" s="104" t="s">
        <v>736</v>
      </c>
      <c r="P66" s="104" t="s">
        <v>2115</v>
      </c>
      <c r="Q66" s="105">
        <v>5289624.0</v>
      </c>
      <c r="R66" s="107"/>
    </row>
    <row r="67">
      <c r="A67" s="104" t="s">
        <v>2117</v>
      </c>
      <c r="B67" s="104" t="s">
        <v>2118</v>
      </c>
      <c r="C67" s="105">
        <v>2774846.0</v>
      </c>
      <c r="D67" s="104" t="s">
        <v>1925</v>
      </c>
      <c r="E67" s="105">
        <v>98.0</v>
      </c>
      <c r="F67" s="104" t="s">
        <v>1917</v>
      </c>
      <c r="G67" s="104" t="s">
        <v>1926</v>
      </c>
      <c r="H67" s="104" t="s">
        <v>1919</v>
      </c>
      <c r="I67" s="104" t="s">
        <v>1920</v>
      </c>
      <c r="J67" s="104" t="s">
        <v>1972</v>
      </c>
      <c r="K67" s="104" t="s">
        <v>2119</v>
      </c>
      <c r="L67" s="104" t="s">
        <v>2120</v>
      </c>
      <c r="M67" s="104" t="s">
        <v>2121</v>
      </c>
      <c r="N67" s="104" t="s">
        <v>2117</v>
      </c>
      <c r="O67" s="104" t="s">
        <v>2117</v>
      </c>
      <c r="P67" s="104" t="s">
        <v>2122</v>
      </c>
      <c r="Q67" s="105">
        <v>2774846.0</v>
      </c>
      <c r="R67" s="107"/>
    </row>
    <row r="68">
      <c r="A68" s="104" t="s">
        <v>909</v>
      </c>
      <c r="B68" s="104" t="s">
        <v>2123</v>
      </c>
      <c r="C68" s="105">
        <v>2497052.0</v>
      </c>
      <c r="D68" s="104" t="s">
        <v>1925</v>
      </c>
      <c r="E68" s="105">
        <v>99.0</v>
      </c>
      <c r="F68" s="104" t="s">
        <v>1917</v>
      </c>
      <c r="G68" s="104" t="s">
        <v>1926</v>
      </c>
      <c r="H68" s="104" t="s">
        <v>1929</v>
      </c>
      <c r="I68" s="104" t="s">
        <v>1983</v>
      </c>
      <c r="J68" s="104" t="s">
        <v>1984</v>
      </c>
      <c r="K68" s="104" t="s">
        <v>2124</v>
      </c>
      <c r="L68" s="104" t="s">
        <v>2125</v>
      </c>
      <c r="M68" s="104" t="s">
        <v>2126</v>
      </c>
      <c r="N68" s="104" t="s">
        <v>909</v>
      </c>
      <c r="O68" s="104" t="s">
        <v>909</v>
      </c>
      <c r="P68" s="104" t="s">
        <v>2127</v>
      </c>
      <c r="Q68" s="105">
        <v>2497052.0</v>
      </c>
      <c r="R68" s="107"/>
    </row>
    <row r="69">
      <c r="A69" s="104" t="s">
        <v>952</v>
      </c>
      <c r="B69" s="104" t="s">
        <v>2128</v>
      </c>
      <c r="C69" s="105">
        <v>7160028.0</v>
      </c>
      <c r="D69" s="104" t="s">
        <v>1925</v>
      </c>
      <c r="E69" s="105">
        <v>97.0</v>
      </c>
      <c r="F69" s="104" t="s">
        <v>1917</v>
      </c>
      <c r="G69" s="104" t="s">
        <v>1926</v>
      </c>
      <c r="H69" s="104" t="s">
        <v>1919</v>
      </c>
      <c r="I69" s="104" t="s">
        <v>1920</v>
      </c>
      <c r="J69" s="104" t="s">
        <v>2129</v>
      </c>
      <c r="K69" s="104" t="s">
        <v>2130</v>
      </c>
      <c r="L69" s="104" t="s">
        <v>2131</v>
      </c>
      <c r="M69" s="104" t="s">
        <v>2132</v>
      </c>
      <c r="N69" s="104" t="s">
        <v>952</v>
      </c>
      <c r="O69" s="104" t="s">
        <v>952</v>
      </c>
      <c r="P69" s="104" t="s">
        <v>2133</v>
      </c>
      <c r="Q69" s="105">
        <v>7160028.0</v>
      </c>
      <c r="R69" s="107"/>
    </row>
    <row r="70">
      <c r="A70" s="104" t="s">
        <v>1422</v>
      </c>
      <c r="B70" s="104" t="s">
        <v>2134</v>
      </c>
      <c r="C70" s="105">
        <v>6065820.0</v>
      </c>
      <c r="D70" s="104" t="s">
        <v>1925</v>
      </c>
      <c r="E70" s="105">
        <v>99.0</v>
      </c>
      <c r="F70" s="104" t="s">
        <v>1917</v>
      </c>
      <c r="G70" s="104" t="s">
        <v>1926</v>
      </c>
      <c r="H70" s="104" t="s">
        <v>1929</v>
      </c>
      <c r="I70" s="104" t="s">
        <v>1983</v>
      </c>
      <c r="J70" s="104" t="s">
        <v>1984</v>
      </c>
      <c r="K70" s="104" t="s">
        <v>2135</v>
      </c>
      <c r="L70" s="104" t="s">
        <v>2136</v>
      </c>
      <c r="M70" s="104" t="s">
        <v>2137</v>
      </c>
      <c r="N70" s="104" t="s">
        <v>1422</v>
      </c>
      <c r="O70" s="104" t="s">
        <v>1422</v>
      </c>
      <c r="P70" s="104" t="s">
        <v>2138</v>
      </c>
      <c r="Q70" s="105">
        <v>6065820.0</v>
      </c>
      <c r="R70" s="107"/>
    </row>
    <row r="71">
      <c r="A71" s="104" t="s">
        <v>1096</v>
      </c>
      <c r="B71" s="104" t="s">
        <v>2139</v>
      </c>
      <c r="C71" s="105">
        <v>1.1338403E7</v>
      </c>
      <c r="D71" s="104" t="s">
        <v>1943</v>
      </c>
      <c r="E71" s="105">
        <v>53.0</v>
      </c>
      <c r="F71" s="104" t="s">
        <v>1976</v>
      </c>
      <c r="G71" s="104" t="s">
        <v>1918</v>
      </c>
      <c r="H71" s="104" t="s">
        <v>1929</v>
      </c>
      <c r="I71" s="104" t="s">
        <v>1930</v>
      </c>
      <c r="J71" s="104" t="s">
        <v>1931</v>
      </c>
      <c r="K71" s="104" t="s">
        <v>1178</v>
      </c>
      <c r="L71" s="104" t="s">
        <v>1096</v>
      </c>
      <c r="M71" s="104" t="s">
        <v>2140</v>
      </c>
      <c r="N71" s="106"/>
      <c r="O71" s="104" t="s">
        <v>2141</v>
      </c>
      <c r="P71" s="106"/>
      <c r="Q71" s="105">
        <v>1.1338403E7</v>
      </c>
      <c r="R71" s="107"/>
    </row>
    <row r="72">
      <c r="A72" s="104" t="s">
        <v>401</v>
      </c>
      <c r="B72" s="104" t="s">
        <v>2142</v>
      </c>
      <c r="C72" s="105">
        <v>3039173.0</v>
      </c>
      <c r="D72" s="104" t="s">
        <v>1925</v>
      </c>
      <c r="E72" s="105">
        <v>99.0</v>
      </c>
      <c r="F72" s="104" t="s">
        <v>1917</v>
      </c>
      <c r="G72" s="104" t="s">
        <v>1926</v>
      </c>
      <c r="H72" s="104" t="s">
        <v>1919</v>
      </c>
      <c r="I72" s="104" t="s">
        <v>1920</v>
      </c>
      <c r="J72" s="104" t="s">
        <v>1921</v>
      </c>
      <c r="K72" s="104" t="s">
        <v>2143</v>
      </c>
      <c r="L72" s="104" t="s">
        <v>2144</v>
      </c>
      <c r="M72" s="104" t="s">
        <v>2145</v>
      </c>
      <c r="N72" s="104" t="s">
        <v>401</v>
      </c>
      <c r="O72" s="104" t="s">
        <v>401</v>
      </c>
      <c r="P72" s="104" t="s">
        <v>2146</v>
      </c>
      <c r="Q72" s="105">
        <v>3039173.0</v>
      </c>
      <c r="R72" s="107"/>
    </row>
    <row r="73">
      <c r="A73" s="104" t="s">
        <v>1247</v>
      </c>
      <c r="B73" s="104" t="s">
        <v>2147</v>
      </c>
      <c r="C73" s="105">
        <v>3041500.0</v>
      </c>
      <c r="D73" s="104" t="s">
        <v>1916</v>
      </c>
      <c r="E73" s="105">
        <v>94.0</v>
      </c>
      <c r="F73" s="104" t="s">
        <v>1917</v>
      </c>
      <c r="G73" s="104" t="s">
        <v>1918</v>
      </c>
      <c r="H73" s="104" t="s">
        <v>1919</v>
      </c>
      <c r="I73" s="104" t="s">
        <v>1920</v>
      </c>
      <c r="J73" s="104" t="s">
        <v>1921</v>
      </c>
      <c r="K73" s="104" t="s">
        <v>2148</v>
      </c>
      <c r="L73" s="104" t="s">
        <v>2149</v>
      </c>
      <c r="M73" s="104" t="s">
        <v>1247</v>
      </c>
      <c r="N73" s="106"/>
      <c r="O73" s="104" t="s">
        <v>1247</v>
      </c>
      <c r="P73" s="104" t="s">
        <v>1960</v>
      </c>
      <c r="Q73" s="105">
        <v>3041500.0</v>
      </c>
      <c r="R73" s="107"/>
    </row>
    <row r="74">
      <c r="A74" s="104" t="s">
        <v>504</v>
      </c>
      <c r="B74" s="104" t="s">
        <v>2150</v>
      </c>
      <c r="C74" s="105">
        <v>3054221.0</v>
      </c>
      <c r="D74" s="104" t="s">
        <v>1925</v>
      </c>
      <c r="E74" s="105">
        <v>98.0</v>
      </c>
      <c r="F74" s="104" t="s">
        <v>1976</v>
      </c>
      <c r="G74" s="104" t="s">
        <v>1926</v>
      </c>
      <c r="H74" s="104" t="s">
        <v>1919</v>
      </c>
      <c r="I74" s="104" t="s">
        <v>1920</v>
      </c>
      <c r="J74" s="104" t="s">
        <v>1921</v>
      </c>
      <c r="K74" s="104" t="s">
        <v>2148</v>
      </c>
      <c r="L74" s="104" t="s">
        <v>2149</v>
      </c>
      <c r="M74" s="104" t="s">
        <v>2151</v>
      </c>
      <c r="N74" s="104" t="s">
        <v>2152</v>
      </c>
      <c r="O74" s="104" t="s">
        <v>504</v>
      </c>
      <c r="P74" s="104" t="s">
        <v>1960</v>
      </c>
      <c r="Q74" s="105">
        <v>3054221.0</v>
      </c>
      <c r="R74" s="107"/>
    </row>
    <row r="75">
      <c r="A75" s="104" t="s">
        <v>523</v>
      </c>
      <c r="B75" s="104" t="s">
        <v>523</v>
      </c>
      <c r="C75" s="105">
        <v>7782.0</v>
      </c>
      <c r="D75" s="104" t="s">
        <v>1916</v>
      </c>
      <c r="E75" s="105">
        <v>94.0</v>
      </c>
      <c r="F75" s="104" t="s">
        <v>1917</v>
      </c>
      <c r="G75" s="104" t="s">
        <v>1982</v>
      </c>
      <c r="H75" s="104" t="s">
        <v>1929</v>
      </c>
      <c r="I75" s="104" t="s">
        <v>1930</v>
      </c>
      <c r="J75" s="104" t="s">
        <v>1931</v>
      </c>
      <c r="K75" s="104" t="s">
        <v>877</v>
      </c>
      <c r="L75" s="104" t="s">
        <v>523</v>
      </c>
      <c r="N75" s="106"/>
      <c r="O75" s="104" t="s">
        <v>523</v>
      </c>
      <c r="Q75" s="105">
        <v>7782.0</v>
      </c>
      <c r="R75" s="107"/>
    </row>
    <row r="76">
      <c r="A76" s="104" t="s">
        <v>86</v>
      </c>
      <c r="B76" s="104" t="s">
        <v>2153</v>
      </c>
      <c r="C76" s="105">
        <v>2493744.0</v>
      </c>
      <c r="D76" s="104" t="s">
        <v>1925</v>
      </c>
      <c r="E76" s="105">
        <v>99.0</v>
      </c>
      <c r="F76" s="104" t="s">
        <v>1917</v>
      </c>
      <c r="G76" s="104" t="s">
        <v>1926</v>
      </c>
      <c r="H76" s="104" t="s">
        <v>1929</v>
      </c>
      <c r="I76" s="104" t="s">
        <v>1983</v>
      </c>
      <c r="J76" s="104" t="s">
        <v>1984</v>
      </c>
      <c r="K76" s="104" t="s">
        <v>2075</v>
      </c>
      <c r="L76" s="104" t="s">
        <v>2154</v>
      </c>
      <c r="M76" s="104" t="s">
        <v>2155</v>
      </c>
      <c r="N76" s="104" t="s">
        <v>86</v>
      </c>
      <c r="O76" s="104" t="s">
        <v>86</v>
      </c>
      <c r="P76" s="104" t="s">
        <v>2052</v>
      </c>
      <c r="Q76" s="105">
        <v>2493744.0</v>
      </c>
      <c r="R76" s="107"/>
    </row>
    <row r="77">
      <c r="A77" s="104" t="s">
        <v>972</v>
      </c>
      <c r="B77" s="104" t="s">
        <v>2156</v>
      </c>
      <c r="C77" s="105">
        <v>2478233.0</v>
      </c>
      <c r="D77" s="104" t="s">
        <v>1925</v>
      </c>
      <c r="E77" s="105">
        <v>99.0</v>
      </c>
      <c r="F77" s="104" t="s">
        <v>1917</v>
      </c>
      <c r="G77" s="104" t="s">
        <v>1926</v>
      </c>
      <c r="H77" s="104" t="s">
        <v>1929</v>
      </c>
      <c r="I77" s="104" t="s">
        <v>1983</v>
      </c>
      <c r="J77" s="104" t="s">
        <v>1984</v>
      </c>
      <c r="K77" s="104" t="s">
        <v>2157</v>
      </c>
      <c r="L77" s="104" t="s">
        <v>2158</v>
      </c>
      <c r="M77" s="104" t="s">
        <v>2159</v>
      </c>
      <c r="N77" s="104" t="s">
        <v>972</v>
      </c>
      <c r="O77" s="104" t="s">
        <v>972</v>
      </c>
      <c r="P77" s="104" t="s">
        <v>2138</v>
      </c>
      <c r="Q77" s="105">
        <v>2478233.0</v>
      </c>
      <c r="R77" s="107"/>
    </row>
    <row r="78">
      <c r="A78" s="104" t="s">
        <v>43</v>
      </c>
      <c r="B78" s="104" t="s">
        <v>2160</v>
      </c>
      <c r="C78" s="105">
        <v>2495414.0</v>
      </c>
      <c r="D78" s="104" t="s">
        <v>1925</v>
      </c>
      <c r="E78" s="105">
        <v>99.0</v>
      </c>
      <c r="F78" s="104" t="s">
        <v>1917</v>
      </c>
      <c r="G78" s="104" t="s">
        <v>1926</v>
      </c>
      <c r="H78" s="104" t="s">
        <v>1929</v>
      </c>
      <c r="I78" s="104" t="s">
        <v>1983</v>
      </c>
      <c r="J78" s="104" t="s">
        <v>1984</v>
      </c>
      <c r="K78" s="104" t="s">
        <v>2161</v>
      </c>
      <c r="L78" s="104" t="s">
        <v>2162</v>
      </c>
      <c r="M78" s="104" t="s">
        <v>2163</v>
      </c>
      <c r="N78" s="104" t="s">
        <v>43</v>
      </c>
      <c r="O78" s="104" t="s">
        <v>43</v>
      </c>
      <c r="P78" s="104" t="s">
        <v>2164</v>
      </c>
      <c r="Q78" s="105">
        <v>2495414.0</v>
      </c>
      <c r="R78" s="107"/>
    </row>
    <row r="79">
      <c r="A79" s="104" t="s">
        <v>200</v>
      </c>
      <c r="B79" s="104" t="s">
        <v>2165</v>
      </c>
      <c r="C79" s="105">
        <v>2495865.0</v>
      </c>
      <c r="D79" s="104" t="s">
        <v>1925</v>
      </c>
      <c r="E79" s="105">
        <v>99.0</v>
      </c>
      <c r="F79" s="104" t="s">
        <v>1917</v>
      </c>
      <c r="G79" s="104" t="s">
        <v>1926</v>
      </c>
      <c r="H79" s="104" t="s">
        <v>1929</v>
      </c>
      <c r="I79" s="104" t="s">
        <v>1983</v>
      </c>
      <c r="J79" s="104" t="s">
        <v>1984</v>
      </c>
      <c r="K79" s="104" t="s">
        <v>2161</v>
      </c>
      <c r="L79" s="104" t="s">
        <v>2162</v>
      </c>
      <c r="M79" s="104" t="s">
        <v>2166</v>
      </c>
      <c r="N79" s="104" t="s">
        <v>200</v>
      </c>
      <c r="O79" s="104" t="s">
        <v>200</v>
      </c>
      <c r="P79" s="104" t="s">
        <v>2167</v>
      </c>
      <c r="Q79" s="105">
        <v>2495865.0</v>
      </c>
      <c r="R79" s="107"/>
    </row>
    <row r="80">
      <c r="A80" s="104" t="s">
        <v>1404</v>
      </c>
      <c r="B80" s="104" t="s">
        <v>2168</v>
      </c>
      <c r="C80" s="105">
        <v>2495888.0</v>
      </c>
      <c r="D80" s="104" t="s">
        <v>2084</v>
      </c>
      <c r="E80" s="105">
        <v>96.0</v>
      </c>
      <c r="F80" s="104" t="s">
        <v>1917</v>
      </c>
      <c r="G80" s="104" t="s">
        <v>1926</v>
      </c>
      <c r="H80" s="104" t="s">
        <v>1929</v>
      </c>
      <c r="I80" s="104" t="s">
        <v>1983</v>
      </c>
      <c r="J80" s="104" t="s">
        <v>1984</v>
      </c>
      <c r="K80" s="104" t="s">
        <v>2161</v>
      </c>
      <c r="L80" s="104" t="s">
        <v>2162</v>
      </c>
      <c r="M80" s="104" t="s">
        <v>2166</v>
      </c>
      <c r="N80" s="104" t="s">
        <v>684</v>
      </c>
      <c r="O80" s="104" t="s">
        <v>684</v>
      </c>
      <c r="P80" s="104" t="s">
        <v>2169</v>
      </c>
      <c r="Q80" s="105">
        <v>2495888.0</v>
      </c>
      <c r="R80" s="108"/>
    </row>
    <row r="81">
      <c r="A81" s="104" t="s">
        <v>113</v>
      </c>
      <c r="B81" s="104" t="s">
        <v>2170</v>
      </c>
      <c r="C81" s="105">
        <v>2495858.0</v>
      </c>
      <c r="D81" s="104" t="s">
        <v>1925</v>
      </c>
      <c r="E81" s="105">
        <v>99.0</v>
      </c>
      <c r="F81" s="104" t="s">
        <v>1917</v>
      </c>
      <c r="G81" s="104" t="s">
        <v>1926</v>
      </c>
      <c r="H81" s="104" t="s">
        <v>1929</v>
      </c>
      <c r="I81" s="104" t="s">
        <v>1983</v>
      </c>
      <c r="J81" s="104" t="s">
        <v>1984</v>
      </c>
      <c r="K81" s="104" t="s">
        <v>2161</v>
      </c>
      <c r="L81" s="104" t="s">
        <v>2162</v>
      </c>
      <c r="M81" s="104" t="s">
        <v>2166</v>
      </c>
      <c r="N81" s="104" t="s">
        <v>113</v>
      </c>
      <c r="O81" s="104" t="s">
        <v>113</v>
      </c>
      <c r="P81" s="104" t="s">
        <v>2171</v>
      </c>
      <c r="Q81" s="105">
        <v>2495858.0</v>
      </c>
      <c r="R81" s="107"/>
    </row>
    <row r="82">
      <c r="A82" s="104" t="s">
        <v>48</v>
      </c>
      <c r="B82" s="104" t="s">
        <v>2172</v>
      </c>
      <c r="C82" s="105">
        <v>2764389.0</v>
      </c>
      <c r="D82" s="104" t="s">
        <v>1925</v>
      </c>
      <c r="E82" s="105">
        <v>98.0</v>
      </c>
      <c r="F82" s="104" t="s">
        <v>1917</v>
      </c>
      <c r="G82" s="104" t="s">
        <v>1926</v>
      </c>
      <c r="H82" s="104" t="s">
        <v>1919</v>
      </c>
      <c r="I82" s="104" t="s">
        <v>1920</v>
      </c>
      <c r="J82" s="104" t="s">
        <v>1972</v>
      </c>
      <c r="K82" s="104" t="s">
        <v>2173</v>
      </c>
      <c r="L82" s="104" t="s">
        <v>2174</v>
      </c>
      <c r="M82" s="104" t="s">
        <v>2175</v>
      </c>
      <c r="N82" s="104" t="s">
        <v>48</v>
      </c>
      <c r="O82" s="104" t="s">
        <v>48</v>
      </c>
      <c r="P82" s="104" t="s">
        <v>1960</v>
      </c>
      <c r="Q82" s="105">
        <v>2764389.0</v>
      </c>
      <c r="R82" s="107"/>
    </row>
    <row r="83">
      <c r="A83" s="104" t="s">
        <v>427</v>
      </c>
      <c r="B83" s="104" t="s">
        <v>2176</v>
      </c>
      <c r="C83" s="105">
        <v>9400286.0</v>
      </c>
      <c r="D83" s="104" t="s">
        <v>1925</v>
      </c>
      <c r="E83" s="105">
        <v>99.0</v>
      </c>
      <c r="F83" s="104" t="s">
        <v>1917</v>
      </c>
      <c r="G83" s="104" t="s">
        <v>1926</v>
      </c>
      <c r="H83" s="104" t="s">
        <v>1929</v>
      </c>
      <c r="I83" s="104" t="s">
        <v>1930</v>
      </c>
      <c r="J83" s="104" t="s">
        <v>1931</v>
      </c>
      <c r="K83" s="104" t="s">
        <v>525</v>
      </c>
      <c r="L83" s="104" t="s">
        <v>2177</v>
      </c>
      <c r="M83" s="104" t="s">
        <v>744</v>
      </c>
      <c r="N83" s="104" t="s">
        <v>427</v>
      </c>
      <c r="O83" s="104" t="s">
        <v>427</v>
      </c>
      <c r="P83" s="104" t="s">
        <v>1999</v>
      </c>
      <c r="Q83" s="105">
        <v>9400286.0</v>
      </c>
      <c r="R83" s="107"/>
    </row>
    <row r="84">
      <c r="A84" s="104" t="s">
        <v>193</v>
      </c>
      <c r="B84" s="104" t="s">
        <v>2178</v>
      </c>
      <c r="C84" s="105">
        <v>5230621.0</v>
      </c>
      <c r="D84" s="104" t="s">
        <v>1925</v>
      </c>
      <c r="E84" s="105">
        <v>99.0</v>
      </c>
      <c r="F84" s="104" t="s">
        <v>1917</v>
      </c>
      <c r="G84" s="104" t="s">
        <v>1926</v>
      </c>
      <c r="H84" s="104" t="s">
        <v>1929</v>
      </c>
      <c r="I84" s="104" t="s">
        <v>1983</v>
      </c>
      <c r="J84" s="104" t="s">
        <v>1984</v>
      </c>
      <c r="K84" s="104" t="s">
        <v>2075</v>
      </c>
      <c r="L84" s="104" t="s">
        <v>2154</v>
      </c>
      <c r="M84" s="104" t="s">
        <v>2179</v>
      </c>
      <c r="N84" s="104" t="s">
        <v>193</v>
      </c>
      <c r="O84" s="104" t="s">
        <v>193</v>
      </c>
      <c r="P84" s="104" t="s">
        <v>2078</v>
      </c>
      <c r="Q84" s="105">
        <v>5230621.0</v>
      </c>
      <c r="R84" s="107"/>
    </row>
    <row r="85">
      <c r="A85" s="104" t="s">
        <v>1694</v>
      </c>
      <c r="B85" s="104" t="s">
        <v>2180</v>
      </c>
      <c r="C85" s="105">
        <v>5404795.0</v>
      </c>
      <c r="D85" s="104" t="s">
        <v>1925</v>
      </c>
      <c r="E85" s="105">
        <v>97.0</v>
      </c>
      <c r="F85" s="104" t="s">
        <v>1976</v>
      </c>
      <c r="G85" s="104" t="s">
        <v>1926</v>
      </c>
      <c r="H85" s="104" t="s">
        <v>1919</v>
      </c>
      <c r="I85" s="104" t="s">
        <v>1920</v>
      </c>
      <c r="J85" s="104" t="s">
        <v>1921</v>
      </c>
      <c r="K85" s="104" t="s">
        <v>2019</v>
      </c>
      <c r="L85" s="104" t="s">
        <v>979</v>
      </c>
      <c r="M85" s="104" t="s">
        <v>2181</v>
      </c>
      <c r="N85" s="104" t="s">
        <v>2182</v>
      </c>
      <c r="O85" s="104" t="s">
        <v>1694</v>
      </c>
      <c r="P85" s="104" t="s">
        <v>2183</v>
      </c>
      <c r="Q85" s="105">
        <v>5404795.0</v>
      </c>
      <c r="R85" s="107"/>
    </row>
    <row r="86">
      <c r="A86" s="104" t="s">
        <v>2184</v>
      </c>
      <c r="B86" s="104" t="s">
        <v>2185</v>
      </c>
      <c r="C86" s="105">
        <v>2978171.0</v>
      </c>
      <c r="D86" s="104" t="s">
        <v>1925</v>
      </c>
      <c r="E86" s="105">
        <v>99.0</v>
      </c>
      <c r="F86" s="104" t="s">
        <v>1917</v>
      </c>
      <c r="G86" s="104" t="s">
        <v>1926</v>
      </c>
      <c r="H86" s="104" t="s">
        <v>1919</v>
      </c>
      <c r="I86" s="104" t="s">
        <v>1920</v>
      </c>
      <c r="J86" s="104" t="s">
        <v>1921</v>
      </c>
      <c r="K86" s="104" t="s">
        <v>1922</v>
      </c>
      <c r="L86" s="104" t="s">
        <v>665</v>
      </c>
      <c r="M86" s="104" t="s">
        <v>2186</v>
      </c>
      <c r="N86" s="104" t="s">
        <v>2184</v>
      </c>
      <c r="O86" s="104" t="s">
        <v>2184</v>
      </c>
      <c r="P86" s="104" t="s">
        <v>2187</v>
      </c>
      <c r="Q86" s="105">
        <v>2978171.0</v>
      </c>
      <c r="R86" s="107"/>
    </row>
    <row r="87">
      <c r="A87" s="104" t="s">
        <v>1481</v>
      </c>
      <c r="B87" s="104" t="s">
        <v>2188</v>
      </c>
      <c r="C87" s="105">
        <v>2534558.0</v>
      </c>
      <c r="D87" s="104" t="s">
        <v>1916</v>
      </c>
      <c r="E87" s="105">
        <v>94.0</v>
      </c>
      <c r="F87" s="104" t="s">
        <v>1917</v>
      </c>
      <c r="G87" s="104" t="s">
        <v>1918</v>
      </c>
      <c r="H87" s="104" t="s">
        <v>522</v>
      </c>
      <c r="I87" s="104" t="s">
        <v>1937</v>
      </c>
      <c r="J87" s="104" t="s">
        <v>1938</v>
      </c>
      <c r="K87" s="104" t="s">
        <v>1939</v>
      </c>
      <c r="L87" s="104" t="s">
        <v>527</v>
      </c>
      <c r="M87" s="104" t="s">
        <v>1481</v>
      </c>
      <c r="N87" s="106"/>
      <c r="O87" s="104" t="s">
        <v>1481</v>
      </c>
      <c r="P87" s="104" t="s">
        <v>2189</v>
      </c>
      <c r="Q87" s="105">
        <v>2534558.0</v>
      </c>
      <c r="R87" s="107"/>
    </row>
    <row r="88">
      <c r="A88" s="104" t="s">
        <v>163</v>
      </c>
      <c r="B88" s="104" t="s">
        <v>2190</v>
      </c>
      <c r="C88" s="105">
        <v>2481942.0</v>
      </c>
      <c r="D88" s="104" t="s">
        <v>1925</v>
      </c>
      <c r="E88" s="105">
        <v>99.0</v>
      </c>
      <c r="F88" s="104" t="s">
        <v>1917</v>
      </c>
      <c r="G88" s="104" t="s">
        <v>1926</v>
      </c>
      <c r="H88" s="104" t="s">
        <v>1929</v>
      </c>
      <c r="I88" s="104" t="s">
        <v>1983</v>
      </c>
      <c r="J88" s="104" t="s">
        <v>1984</v>
      </c>
      <c r="K88" s="104" t="s">
        <v>2090</v>
      </c>
      <c r="L88" s="104" t="s">
        <v>2091</v>
      </c>
      <c r="M88" s="104" t="s">
        <v>2191</v>
      </c>
      <c r="N88" s="104" t="s">
        <v>163</v>
      </c>
      <c r="O88" s="104" t="s">
        <v>163</v>
      </c>
      <c r="P88" s="104" t="s">
        <v>2192</v>
      </c>
      <c r="Q88" s="105">
        <v>2481942.0</v>
      </c>
      <c r="R88" s="107"/>
    </row>
    <row r="89">
      <c r="A89" s="104" t="s">
        <v>1414</v>
      </c>
      <c r="B89" s="104" t="s">
        <v>2193</v>
      </c>
      <c r="C89" s="105">
        <v>5858758.0</v>
      </c>
      <c r="D89" s="104" t="s">
        <v>1925</v>
      </c>
      <c r="E89" s="105">
        <v>99.0</v>
      </c>
      <c r="F89" s="104" t="s">
        <v>1917</v>
      </c>
      <c r="G89" s="104" t="s">
        <v>1926</v>
      </c>
      <c r="H89" s="104" t="s">
        <v>1929</v>
      </c>
      <c r="I89" s="104" t="s">
        <v>2044</v>
      </c>
      <c r="J89" s="104" t="s">
        <v>2045</v>
      </c>
      <c r="K89" s="104" t="s">
        <v>2046</v>
      </c>
      <c r="L89" s="104" t="s">
        <v>2194</v>
      </c>
      <c r="M89" s="104" t="s">
        <v>2195</v>
      </c>
      <c r="N89" s="104" t="s">
        <v>1414</v>
      </c>
      <c r="O89" s="104" t="s">
        <v>1414</v>
      </c>
      <c r="P89" s="104" t="s">
        <v>2196</v>
      </c>
      <c r="Q89" s="105">
        <v>5858758.0</v>
      </c>
      <c r="R89" s="107"/>
    </row>
    <row r="90">
      <c r="A90" s="104" t="s">
        <v>2197</v>
      </c>
      <c r="B90" s="104" t="s">
        <v>2198</v>
      </c>
      <c r="C90" s="105">
        <v>5377061.0</v>
      </c>
      <c r="D90" s="104" t="s">
        <v>1925</v>
      </c>
      <c r="E90" s="105">
        <v>98.0</v>
      </c>
      <c r="F90" s="104" t="s">
        <v>1976</v>
      </c>
      <c r="G90" s="104" t="s">
        <v>1926</v>
      </c>
      <c r="H90" s="104" t="s">
        <v>1919</v>
      </c>
      <c r="I90" s="104" t="s">
        <v>1920</v>
      </c>
      <c r="J90" s="104" t="s">
        <v>1921</v>
      </c>
      <c r="K90" s="104" t="s">
        <v>2148</v>
      </c>
      <c r="L90" s="104" t="s">
        <v>2199</v>
      </c>
      <c r="M90" s="104" t="s">
        <v>1854</v>
      </c>
      <c r="N90" s="104" t="s">
        <v>2197</v>
      </c>
      <c r="O90" s="104" t="s">
        <v>2197</v>
      </c>
      <c r="P90" s="104" t="s">
        <v>2200</v>
      </c>
      <c r="Q90" s="105">
        <v>5377061.0</v>
      </c>
      <c r="R90" s="107"/>
    </row>
    <row r="91">
      <c r="A91" s="104" t="s">
        <v>1761</v>
      </c>
      <c r="B91" s="104" t="s">
        <v>2201</v>
      </c>
      <c r="C91" s="105">
        <v>2485325.0</v>
      </c>
      <c r="D91" s="104" t="s">
        <v>1925</v>
      </c>
      <c r="E91" s="105">
        <v>99.0</v>
      </c>
      <c r="F91" s="104" t="s">
        <v>1917</v>
      </c>
      <c r="G91" s="104" t="s">
        <v>1926</v>
      </c>
      <c r="H91" s="104" t="s">
        <v>1929</v>
      </c>
      <c r="I91" s="104" t="s">
        <v>1983</v>
      </c>
      <c r="J91" s="104" t="s">
        <v>1984</v>
      </c>
      <c r="K91" s="104" t="s">
        <v>2075</v>
      </c>
      <c r="L91" s="104" t="s">
        <v>2202</v>
      </c>
      <c r="M91" s="104" t="s">
        <v>2203</v>
      </c>
      <c r="N91" s="104" t="s">
        <v>1761</v>
      </c>
      <c r="O91" s="104" t="s">
        <v>1761</v>
      </c>
      <c r="P91" s="104" t="s">
        <v>2204</v>
      </c>
      <c r="Q91" s="105">
        <v>2485325.0</v>
      </c>
      <c r="R91" s="107"/>
    </row>
    <row r="92">
      <c r="A92" s="104" t="s">
        <v>256</v>
      </c>
      <c r="B92" s="104" t="s">
        <v>2205</v>
      </c>
      <c r="C92" s="105">
        <v>5403304.0</v>
      </c>
      <c r="D92" s="104" t="s">
        <v>1925</v>
      </c>
      <c r="E92" s="105">
        <v>99.0</v>
      </c>
      <c r="F92" s="104" t="s">
        <v>1917</v>
      </c>
      <c r="G92" s="104" t="s">
        <v>1926</v>
      </c>
      <c r="H92" s="104" t="s">
        <v>1919</v>
      </c>
      <c r="I92" s="104" t="s">
        <v>1920</v>
      </c>
      <c r="J92" s="104" t="s">
        <v>1921</v>
      </c>
      <c r="K92" s="104" t="s">
        <v>2019</v>
      </c>
      <c r="L92" s="104" t="s">
        <v>979</v>
      </c>
      <c r="M92" s="104" t="s">
        <v>2206</v>
      </c>
      <c r="N92" s="104" t="s">
        <v>256</v>
      </c>
      <c r="O92" s="104" t="s">
        <v>256</v>
      </c>
      <c r="P92" s="104" t="s">
        <v>2207</v>
      </c>
      <c r="Q92" s="105">
        <v>5403304.0</v>
      </c>
      <c r="R92" s="107"/>
    </row>
    <row r="93">
      <c r="A93" s="104" t="s">
        <v>2208</v>
      </c>
      <c r="B93" s="104" t="s">
        <v>2209</v>
      </c>
      <c r="C93" s="105">
        <v>2435654.0</v>
      </c>
      <c r="D93" s="104" t="s">
        <v>1925</v>
      </c>
      <c r="E93" s="105">
        <v>99.0</v>
      </c>
      <c r="F93" s="104" t="s">
        <v>1917</v>
      </c>
      <c r="G93" s="104" t="s">
        <v>1926</v>
      </c>
      <c r="H93" s="104" t="s">
        <v>1929</v>
      </c>
      <c r="I93" s="104" t="s">
        <v>1983</v>
      </c>
      <c r="J93" s="104" t="s">
        <v>2210</v>
      </c>
      <c r="K93" s="104" t="s">
        <v>2211</v>
      </c>
      <c r="L93" s="104" t="s">
        <v>2212</v>
      </c>
      <c r="M93" s="104" t="s">
        <v>2213</v>
      </c>
      <c r="N93" s="104" t="s">
        <v>2208</v>
      </c>
      <c r="O93" s="104" t="s">
        <v>2208</v>
      </c>
      <c r="P93" s="104" t="s">
        <v>2214</v>
      </c>
      <c r="Q93" s="105">
        <v>2435654.0</v>
      </c>
      <c r="R93" s="107"/>
    </row>
    <row r="94">
      <c r="A94" s="104" t="s">
        <v>74</v>
      </c>
      <c r="B94" s="104" t="s">
        <v>2215</v>
      </c>
      <c r="C94" s="105">
        <v>2496209.0</v>
      </c>
      <c r="D94" s="104" t="s">
        <v>1925</v>
      </c>
      <c r="E94" s="105">
        <v>99.0</v>
      </c>
      <c r="F94" s="104" t="s">
        <v>1917</v>
      </c>
      <c r="G94" s="104" t="s">
        <v>1926</v>
      </c>
      <c r="H94" s="104" t="s">
        <v>1929</v>
      </c>
      <c r="I94" s="104" t="s">
        <v>1983</v>
      </c>
      <c r="J94" s="104" t="s">
        <v>1984</v>
      </c>
      <c r="K94" s="104" t="s">
        <v>2216</v>
      </c>
      <c r="L94" s="104" t="s">
        <v>2217</v>
      </c>
      <c r="M94" s="104" t="s">
        <v>2218</v>
      </c>
      <c r="N94" s="104" t="s">
        <v>74</v>
      </c>
      <c r="O94" s="104" t="s">
        <v>74</v>
      </c>
      <c r="P94" s="104" t="s">
        <v>1981</v>
      </c>
      <c r="Q94" s="105">
        <v>2496209.0</v>
      </c>
      <c r="R94" s="107"/>
    </row>
    <row r="95">
      <c r="A95" s="104" t="s">
        <v>55</v>
      </c>
      <c r="B95" s="104" t="s">
        <v>2219</v>
      </c>
      <c r="C95" s="105">
        <v>5175817.0</v>
      </c>
      <c r="D95" s="104" t="s">
        <v>1925</v>
      </c>
      <c r="E95" s="105">
        <v>99.0</v>
      </c>
      <c r="F95" s="104" t="s">
        <v>1917</v>
      </c>
      <c r="G95" s="104" t="s">
        <v>1926</v>
      </c>
      <c r="H95" s="104" t="s">
        <v>1929</v>
      </c>
      <c r="I95" s="104" t="s">
        <v>1930</v>
      </c>
      <c r="J95" s="104" t="s">
        <v>2220</v>
      </c>
      <c r="K95" s="104" t="s">
        <v>2221</v>
      </c>
      <c r="L95" s="104" t="s">
        <v>2222</v>
      </c>
      <c r="M95" s="104" t="s">
        <v>2223</v>
      </c>
      <c r="N95" s="104" t="s">
        <v>55</v>
      </c>
      <c r="O95" s="104" t="s">
        <v>55</v>
      </c>
      <c r="P95" s="104" t="s">
        <v>2224</v>
      </c>
      <c r="Q95" s="105">
        <v>5175817.0</v>
      </c>
      <c r="R95" s="107"/>
    </row>
    <row r="96">
      <c r="A96" s="104" t="s">
        <v>1291</v>
      </c>
      <c r="B96" s="104" t="s">
        <v>2225</v>
      </c>
      <c r="C96" s="105">
        <v>2874573.0</v>
      </c>
      <c r="D96" s="104" t="s">
        <v>1925</v>
      </c>
      <c r="E96" s="105">
        <v>97.0</v>
      </c>
      <c r="F96" s="104" t="s">
        <v>1917</v>
      </c>
      <c r="G96" s="104" t="s">
        <v>1926</v>
      </c>
      <c r="H96" s="104" t="s">
        <v>1919</v>
      </c>
      <c r="I96" s="104" t="s">
        <v>1920</v>
      </c>
      <c r="J96" s="104" t="s">
        <v>1921</v>
      </c>
      <c r="K96" s="104" t="s">
        <v>2226</v>
      </c>
      <c r="L96" s="104" t="s">
        <v>727</v>
      </c>
      <c r="M96" s="104" t="s">
        <v>2227</v>
      </c>
      <c r="N96" s="104" t="s">
        <v>1291</v>
      </c>
      <c r="O96" s="104" t="s">
        <v>1291</v>
      </c>
      <c r="P96" s="104" t="s">
        <v>1960</v>
      </c>
      <c r="Q96" s="105">
        <v>2874573.0</v>
      </c>
      <c r="R96" s="108"/>
    </row>
    <row r="97">
      <c r="A97" s="104" t="s">
        <v>130</v>
      </c>
      <c r="B97" s="104" t="s">
        <v>130</v>
      </c>
      <c r="C97" s="105">
        <v>3346.0</v>
      </c>
      <c r="D97" s="104" t="s">
        <v>1916</v>
      </c>
      <c r="E97" s="105">
        <v>94.0</v>
      </c>
      <c r="F97" s="104" t="s">
        <v>1917</v>
      </c>
      <c r="G97" s="104" t="s">
        <v>1982</v>
      </c>
      <c r="H97" s="104" t="s">
        <v>1929</v>
      </c>
      <c r="I97" s="104" t="s">
        <v>1930</v>
      </c>
      <c r="J97" s="104" t="s">
        <v>1931</v>
      </c>
      <c r="K97" s="104" t="s">
        <v>525</v>
      </c>
      <c r="L97" s="104" t="s">
        <v>130</v>
      </c>
      <c r="M97" s="106"/>
      <c r="N97" s="106"/>
      <c r="O97" s="104" t="s">
        <v>130</v>
      </c>
      <c r="P97" s="106"/>
      <c r="Q97" s="105">
        <v>3346.0</v>
      </c>
      <c r="R97" s="107"/>
    </row>
    <row r="98">
      <c r="A98" s="104" t="s">
        <v>446</v>
      </c>
      <c r="B98" s="104" t="s">
        <v>2228</v>
      </c>
      <c r="C98" s="105">
        <v>2488890.0</v>
      </c>
      <c r="D98" s="104" t="s">
        <v>1925</v>
      </c>
      <c r="E98" s="105">
        <v>99.0</v>
      </c>
      <c r="F98" s="104" t="s">
        <v>1917</v>
      </c>
      <c r="G98" s="104" t="s">
        <v>1926</v>
      </c>
      <c r="H98" s="104" t="s">
        <v>1929</v>
      </c>
      <c r="I98" s="104" t="s">
        <v>1983</v>
      </c>
      <c r="J98" s="104" t="s">
        <v>1984</v>
      </c>
      <c r="K98" s="104" t="s">
        <v>2075</v>
      </c>
      <c r="L98" s="104" t="s">
        <v>2154</v>
      </c>
      <c r="M98" s="104" t="s">
        <v>2229</v>
      </c>
      <c r="N98" s="104" t="s">
        <v>446</v>
      </c>
      <c r="O98" s="104" t="s">
        <v>446</v>
      </c>
      <c r="P98" s="104" t="s">
        <v>2230</v>
      </c>
      <c r="Q98" s="105">
        <v>2488890.0</v>
      </c>
      <c r="R98" s="107"/>
    </row>
    <row r="99">
      <c r="A99" s="104" t="s">
        <v>271</v>
      </c>
      <c r="B99" s="104" t="s">
        <v>2231</v>
      </c>
      <c r="C99" s="105">
        <v>6445734.0</v>
      </c>
      <c r="D99" s="104" t="s">
        <v>1925</v>
      </c>
      <c r="E99" s="105">
        <v>99.0</v>
      </c>
      <c r="F99" s="104" t="s">
        <v>1917</v>
      </c>
      <c r="G99" s="104" t="s">
        <v>1926</v>
      </c>
      <c r="H99" s="104" t="s">
        <v>1919</v>
      </c>
      <c r="I99" s="104" t="s">
        <v>1920</v>
      </c>
      <c r="J99" s="104" t="s">
        <v>1921</v>
      </c>
      <c r="K99" s="104" t="s">
        <v>2019</v>
      </c>
      <c r="L99" s="104" t="s">
        <v>979</v>
      </c>
      <c r="M99" s="104" t="s">
        <v>2232</v>
      </c>
      <c r="N99" s="104" t="s">
        <v>271</v>
      </c>
      <c r="O99" s="104" t="s">
        <v>271</v>
      </c>
      <c r="P99" s="104" t="s">
        <v>2233</v>
      </c>
      <c r="Q99" s="105">
        <v>6445734.0</v>
      </c>
      <c r="R99" s="107"/>
    </row>
    <row r="100">
      <c r="A100" s="104" t="s">
        <v>294</v>
      </c>
      <c r="B100" s="104" t="s">
        <v>2234</v>
      </c>
      <c r="C100" s="105">
        <v>1043105.0</v>
      </c>
      <c r="D100" s="104" t="s">
        <v>1925</v>
      </c>
      <c r="E100" s="105">
        <v>99.0</v>
      </c>
      <c r="F100" s="104" t="s">
        <v>1917</v>
      </c>
      <c r="G100" s="104" t="s">
        <v>1926</v>
      </c>
      <c r="H100" s="104" t="s">
        <v>1929</v>
      </c>
      <c r="I100" s="104" t="s">
        <v>1930</v>
      </c>
      <c r="J100" s="104" t="s">
        <v>1931</v>
      </c>
      <c r="K100" s="104" t="s">
        <v>877</v>
      </c>
      <c r="L100" s="104" t="s">
        <v>523</v>
      </c>
      <c r="M100" s="104" t="s">
        <v>2235</v>
      </c>
      <c r="N100" s="104" t="s">
        <v>294</v>
      </c>
      <c r="O100" s="104" t="s">
        <v>294</v>
      </c>
      <c r="P100" s="104" t="s">
        <v>1970</v>
      </c>
      <c r="Q100" s="105">
        <v>1043105.0</v>
      </c>
      <c r="R100" s="107"/>
    </row>
    <row r="101">
      <c r="A101" s="104" t="s">
        <v>891</v>
      </c>
      <c r="B101" s="104" t="s">
        <v>2236</v>
      </c>
      <c r="C101" s="105">
        <v>1947037.0</v>
      </c>
      <c r="D101" s="104" t="s">
        <v>1925</v>
      </c>
      <c r="E101" s="105">
        <v>99.0</v>
      </c>
      <c r="F101" s="104" t="s">
        <v>1917</v>
      </c>
      <c r="G101" s="104" t="s">
        <v>1926</v>
      </c>
      <c r="H101" s="104" t="s">
        <v>1929</v>
      </c>
      <c r="I101" s="104" t="s">
        <v>1930</v>
      </c>
      <c r="J101" s="104" t="s">
        <v>1931</v>
      </c>
      <c r="K101" s="104" t="s">
        <v>24</v>
      </c>
      <c r="L101" s="104" t="s">
        <v>2059</v>
      </c>
      <c r="M101" s="104" t="s">
        <v>2237</v>
      </c>
      <c r="N101" s="104" t="s">
        <v>891</v>
      </c>
      <c r="O101" s="104" t="s">
        <v>891</v>
      </c>
      <c r="P101" s="104" t="s">
        <v>2238</v>
      </c>
      <c r="Q101" s="105">
        <v>1947037.0</v>
      </c>
      <c r="R101" s="107"/>
    </row>
    <row r="102">
      <c r="A102" s="104" t="s">
        <v>152</v>
      </c>
      <c r="B102" s="104" t="s">
        <v>2239</v>
      </c>
      <c r="C102" s="105">
        <v>6109637.0</v>
      </c>
      <c r="D102" s="104" t="s">
        <v>1925</v>
      </c>
      <c r="E102" s="105">
        <v>99.0</v>
      </c>
      <c r="F102" s="104" t="s">
        <v>1917</v>
      </c>
      <c r="G102" s="104" t="s">
        <v>1926</v>
      </c>
      <c r="H102" s="104" t="s">
        <v>1919</v>
      </c>
      <c r="I102" s="104" t="s">
        <v>1920</v>
      </c>
      <c r="J102" s="104" t="s">
        <v>1972</v>
      </c>
      <c r="K102" s="104" t="s">
        <v>1973</v>
      </c>
      <c r="L102" s="104" t="s">
        <v>1265</v>
      </c>
      <c r="M102" s="104" t="s">
        <v>2240</v>
      </c>
      <c r="N102" s="104" t="s">
        <v>152</v>
      </c>
      <c r="O102" s="104" t="s">
        <v>152</v>
      </c>
      <c r="P102" s="104" t="s">
        <v>2241</v>
      </c>
      <c r="Q102" s="105">
        <v>6109637.0</v>
      </c>
      <c r="R102" s="107"/>
    </row>
    <row r="103">
      <c r="A103" s="104" t="s">
        <v>758</v>
      </c>
      <c r="B103" s="104" t="s">
        <v>2242</v>
      </c>
      <c r="C103" s="105">
        <v>2716226.0</v>
      </c>
      <c r="D103" s="104" t="s">
        <v>1925</v>
      </c>
      <c r="E103" s="105">
        <v>97.0</v>
      </c>
      <c r="F103" s="104" t="s">
        <v>1917</v>
      </c>
      <c r="G103" s="104" t="s">
        <v>1926</v>
      </c>
      <c r="H103" s="104" t="s">
        <v>1919</v>
      </c>
      <c r="I103" s="104" t="s">
        <v>1920</v>
      </c>
      <c r="J103" s="104" t="s">
        <v>1972</v>
      </c>
      <c r="K103" s="104" t="s">
        <v>1973</v>
      </c>
      <c r="L103" s="104" t="s">
        <v>2243</v>
      </c>
      <c r="M103" s="104" t="s">
        <v>2244</v>
      </c>
      <c r="N103" s="104" t="s">
        <v>758</v>
      </c>
      <c r="O103" s="104" t="s">
        <v>758</v>
      </c>
      <c r="P103" s="104" t="s">
        <v>1960</v>
      </c>
      <c r="Q103" s="105">
        <v>2716226.0</v>
      </c>
      <c r="R103" s="107"/>
    </row>
    <row r="104">
      <c r="A104" s="104" t="s">
        <v>154</v>
      </c>
      <c r="B104" s="104" t="s">
        <v>2245</v>
      </c>
      <c r="C104" s="105">
        <v>2714818.0</v>
      </c>
      <c r="D104" s="104" t="s">
        <v>1925</v>
      </c>
      <c r="E104" s="105">
        <v>98.0</v>
      </c>
      <c r="F104" s="104" t="s">
        <v>1917</v>
      </c>
      <c r="G104" s="104" t="s">
        <v>1926</v>
      </c>
      <c r="H104" s="104" t="s">
        <v>1919</v>
      </c>
      <c r="I104" s="104" t="s">
        <v>1920</v>
      </c>
      <c r="J104" s="104" t="s">
        <v>1972</v>
      </c>
      <c r="K104" s="104" t="s">
        <v>1973</v>
      </c>
      <c r="L104" s="104" t="s">
        <v>2243</v>
      </c>
      <c r="M104" s="104" t="s">
        <v>2244</v>
      </c>
      <c r="N104" s="104" t="s">
        <v>154</v>
      </c>
      <c r="O104" s="104" t="s">
        <v>154</v>
      </c>
      <c r="P104" s="104" t="s">
        <v>1960</v>
      </c>
      <c r="Q104" s="105">
        <v>2714818.0</v>
      </c>
      <c r="R104" s="107"/>
    </row>
    <row r="105">
      <c r="A105" s="104" t="s">
        <v>1487</v>
      </c>
      <c r="B105" s="104" t="s">
        <v>2246</v>
      </c>
      <c r="C105" s="105">
        <v>3124828.0</v>
      </c>
      <c r="D105" s="104" t="s">
        <v>1925</v>
      </c>
      <c r="E105" s="105">
        <v>99.0</v>
      </c>
      <c r="F105" s="104" t="s">
        <v>1917</v>
      </c>
      <c r="G105" s="104" t="s">
        <v>1926</v>
      </c>
      <c r="H105" s="104" t="s">
        <v>1919</v>
      </c>
      <c r="I105" s="104" t="s">
        <v>1920</v>
      </c>
      <c r="J105" s="104" t="s">
        <v>1921</v>
      </c>
      <c r="K105" s="104" t="s">
        <v>2019</v>
      </c>
      <c r="L105" s="104" t="s">
        <v>979</v>
      </c>
      <c r="M105" s="104" t="s">
        <v>2247</v>
      </c>
      <c r="N105" s="104" t="s">
        <v>1487</v>
      </c>
      <c r="O105" s="104" t="s">
        <v>1487</v>
      </c>
      <c r="P105" s="104" t="s">
        <v>2248</v>
      </c>
      <c r="Q105" s="105">
        <v>3124828.0</v>
      </c>
      <c r="R105" s="107"/>
    </row>
    <row r="106">
      <c r="A106" s="104" t="s">
        <v>1133</v>
      </c>
      <c r="B106" s="104" t="s">
        <v>2249</v>
      </c>
      <c r="C106" s="105">
        <v>2706188.0</v>
      </c>
      <c r="D106" s="104" t="s">
        <v>1925</v>
      </c>
      <c r="E106" s="105">
        <v>97.0</v>
      </c>
      <c r="F106" s="104" t="s">
        <v>1917</v>
      </c>
      <c r="G106" s="104" t="s">
        <v>1926</v>
      </c>
      <c r="H106" s="104" t="s">
        <v>1919</v>
      </c>
      <c r="I106" s="104" t="s">
        <v>1920</v>
      </c>
      <c r="J106" s="104" t="s">
        <v>1972</v>
      </c>
      <c r="K106" s="104" t="s">
        <v>1973</v>
      </c>
      <c r="L106" s="104" t="s">
        <v>1265</v>
      </c>
      <c r="M106" s="104" t="s">
        <v>2250</v>
      </c>
      <c r="N106" s="104" t="s">
        <v>1133</v>
      </c>
      <c r="O106" s="104" t="s">
        <v>1133</v>
      </c>
      <c r="P106" s="104" t="s">
        <v>2251</v>
      </c>
      <c r="Q106" s="105">
        <v>2706188.0</v>
      </c>
      <c r="R106" s="107"/>
    </row>
    <row r="107">
      <c r="A107" s="104" t="s">
        <v>1175</v>
      </c>
      <c r="B107" s="104" t="s">
        <v>2252</v>
      </c>
      <c r="C107" s="105">
        <v>5881400.0</v>
      </c>
      <c r="D107" s="104" t="s">
        <v>1925</v>
      </c>
      <c r="E107" s="105">
        <v>99.0</v>
      </c>
      <c r="F107" s="104" t="s">
        <v>1917</v>
      </c>
      <c r="G107" s="104" t="s">
        <v>1926</v>
      </c>
      <c r="H107" s="104" t="s">
        <v>1929</v>
      </c>
      <c r="I107" s="104" t="s">
        <v>1930</v>
      </c>
      <c r="J107" s="104" t="s">
        <v>1931</v>
      </c>
      <c r="K107" s="104" t="s">
        <v>24</v>
      </c>
      <c r="L107" s="104" t="s">
        <v>1968</v>
      </c>
      <c r="M107" s="104" t="s">
        <v>2253</v>
      </c>
      <c r="N107" s="104" t="s">
        <v>1175</v>
      </c>
      <c r="O107" s="104" t="s">
        <v>1175</v>
      </c>
      <c r="P107" s="104" t="s">
        <v>2254</v>
      </c>
      <c r="Q107" s="105">
        <v>5881400.0</v>
      </c>
      <c r="R107" s="107"/>
    </row>
    <row r="108">
      <c r="A108" s="104" t="s">
        <v>346</v>
      </c>
      <c r="B108" s="104" t="s">
        <v>2255</v>
      </c>
      <c r="C108" s="105">
        <v>5133088.0</v>
      </c>
      <c r="D108" s="104" t="s">
        <v>1925</v>
      </c>
      <c r="E108" s="105">
        <v>99.0</v>
      </c>
      <c r="F108" s="104" t="s">
        <v>1917</v>
      </c>
      <c r="G108" s="104" t="s">
        <v>1926</v>
      </c>
      <c r="H108" s="104" t="s">
        <v>1929</v>
      </c>
      <c r="I108" s="104" t="s">
        <v>1930</v>
      </c>
      <c r="J108" s="104" t="s">
        <v>1931</v>
      </c>
      <c r="K108" s="104" t="s">
        <v>24</v>
      </c>
      <c r="L108" s="104" t="s">
        <v>1968</v>
      </c>
      <c r="M108" s="104" t="s">
        <v>2253</v>
      </c>
      <c r="N108" s="104" t="s">
        <v>346</v>
      </c>
      <c r="O108" s="104" t="s">
        <v>346</v>
      </c>
      <c r="P108" s="104" t="s">
        <v>2052</v>
      </c>
      <c r="Q108" s="105">
        <v>5133088.0</v>
      </c>
      <c r="R108" s="107"/>
    </row>
    <row r="109">
      <c r="A109" s="104" t="s">
        <v>353</v>
      </c>
      <c r="B109" s="104" t="s">
        <v>2256</v>
      </c>
      <c r="C109" s="105">
        <v>2967060.0</v>
      </c>
      <c r="D109" s="104" t="s">
        <v>1925</v>
      </c>
      <c r="E109" s="105">
        <v>99.0</v>
      </c>
      <c r="F109" s="104" t="s">
        <v>1917</v>
      </c>
      <c r="G109" s="104" t="s">
        <v>1926</v>
      </c>
      <c r="H109" s="104" t="s">
        <v>1919</v>
      </c>
      <c r="I109" s="104" t="s">
        <v>1920</v>
      </c>
      <c r="J109" s="104" t="s">
        <v>1921</v>
      </c>
      <c r="K109" s="104" t="s">
        <v>1922</v>
      </c>
      <c r="L109" s="104" t="s">
        <v>665</v>
      </c>
      <c r="M109" s="104" t="s">
        <v>2257</v>
      </c>
      <c r="N109" s="104" t="s">
        <v>353</v>
      </c>
      <c r="O109" s="104" t="s">
        <v>353</v>
      </c>
      <c r="P109" s="104" t="s">
        <v>2258</v>
      </c>
      <c r="Q109" s="105">
        <v>2967060.0</v>
      </c>
      <c r="R109" s="107"/>
    </row>
    <row r="110">
      <c r="A110" s="104" t="s">
        <v>1087</v>
      </c>
      <c r="B110" s="104" t="s">
        <v>2259</v>
      </c>
      <c r="C110" s="105">
        <v>1.1381502E7</v>
      </c>
      <c r="D110" s="104" t="s">
        <v>1943</v>
      </c>
      <c r="E110" s="105">
        <v>97.0</v>
      </c>
      <c r="F110" s="104" t="s">
        <v>1976</v>
      </c>
      <c r="G110" s="104" t="s">
        <v>1926</v>
      </c>
      <c r="H110" s="104" t="s">
        <v>1919</v>
      </c>
      <c r="I110" s="104" t="s">
        <v>1920</v>
      </c>
      <c r="J110" s="104" t="s">
        <v>1921</v>
      </c>
      <c r="K110" s="104" t="s">
        <v>1922</v>
      </c>
      <c r="L110" s="104" t="s">
        <v>665</v>
      </c>
      <c r="M110" s="104" t="s">
        <v>2260</v>
      </c>
      <c r="N110" s="104" t="s">
        <v>2261</v>
      </c>
      <c r="O110" s="104" t="s">
        <v>1087</v>
      </c>
      <c r="Q110" s="105">
        <v>1.1381502E7</v>
      </c>
      <c r="R110" s="107"/>
    </row>
    <row r="111">
      <c r="A111" s="104" t="s">
        <v>2262</v>
      </c>
      <c r="B111" s="104" t="s">
        <v>2263</v>
      </c>
      <c r="C111" s="105">
        <v>2869330.0</v>
      </c>
      <c r="D111" s="104" t="s">
        <v>1916</v>
      </c>
      <c r="E111" s="105">
        <v>94.0</v>
      </c>
      <c r="F111" s="104" t="s">
        <v>1917</v>
      </c>
      <c r="G111" s="104" t="s">
        <v>1918</v>
      </c>
      <c r="H111" s="104" t="s">
        <v>1919</v>
      </c>
      <c r="I111" s="104" t="s">
        <v>1920</v>
      </c>
      <c r="J111" s="104" t="s">
        <v>1972</v>
      </c>
      <c r="K111" s="104" t="s">
        <v>2264</v>
      </c>
      <c r="L111" s="104" t="s">
        <v>2265</v>
      </c>
      <c r="M111" s="104" t="s">
        <v>2262</v>
      </c>
      <c r="O111" s="104" t="s">
        <v>2262</v>
      </c>
      <c r="P111" s="104" t="s">
        <v>2266</v>
      </c>
      <c r="Q111" s="105">
        <v>2869330.0</v>
      </c>
      <c r="R111" s="107"/>
    </row>
    <row r="112">
      <c r="A112" s="104" t="s">
        <v>425</v>
      </c>
      <c r="B112" s="104" t="s">
        <v>2267</v>
      </c>
      <c r="C112" s="105">
        <v>5289938.0</v>
      </c>
      <c r="D112" s="104" t="s">
        <v>1925</v>
      </c>
      <c r="E112" s="105">
        <v>97.0</v>
      </c>
      <c r="F112" s="104" t="s">
        <v>1917</v>
      </c>
      <c r="G112" s="104" t="s">
        <v>1926</v>
      </c>
      <c r="H112" s="104" t="s">
        <v>1919</v>
      </c>
      <c r="I112" s="104" t="s">
        <v>1920</v>
      </c>
      <c r="J112" s="104" t="s">
        <v>1972</v>
      </c>
      <c r="K112" s="104" t="s">
        <v>1973</v>
      </c>
      <c r="L112" s="104" t="s">
        <v>1265</v>
      </c>
      <c r="M112" s="104" t="s">
        <v>2268</v>
      </c>
      <c r="N112" s="104" t="s">
        <v>425</v>
      </c>
      <c r="O112" s="104" t="s">
        <v>425</v>
      </c>
      <c r="P112" s="104" t="s">
        <v>2269</v>
      </c>
      <c r="Q112" s="105">
        <v>5289938.0</v>
      </c>
      <c r="R112" s="108"/>
    </row>
    <row r="113">
      <c r="A113" s="104" t="s">
        <v>1225</v>
      </c>
      <c r="B113" s="104" t="s">
        <v>2270</v>
      </c>
      <c r="C113" s="105">
        <v>5925238.0</v>
      </c>
      <c r="D113" s="104" t="s">
        <v>1925</v>
      </c>
      <c r="E113" s="105">
        <v>99.0</v>
      </c>
      <c r="F113" s="104" t="s">
        <v>1917</v>
      </c>
      <c r="G113" s="104" t="s">
        <v>1926</v>
      </c>
      <c r="H113" s="104" t="s">
        <v>1929</v>
      </c>
      <c r="I113" s="104" t="s">
        <v>1930</v>
      </c>
      <c r="J113" s="104" t="s">
        <v>1931</v>
      </c>
      <c r="K113" s="104" t="s">
        <v>24</v>
      </c>
      <c r="L113" s="104" t="s">
        <v>1968</v>
      </c>
      <c r="M113" s="104" t="s">
        <v>2271</v>
      </c>
      <c r="N113" s="104" t="s">
        <v>1225</v>
      </c>
      <c r="O113" s="104" t="s">
        <v>1225</v>
      </c>
      <c r="P113" s="104" t="s">
        <v>2272</v>
      </c>
      <c r="Q113" s="105">
        <v>5925238.0</v>
      </c>
      <c r="R113" s="107"/>
    </row>
    <row r="114">
      <c r="A114" s="104" t="s">
        <v>1186</v>
      </c>
      <c r="B114" s="104" t="s">
        <v>2273</v>
      </c>
      <c r="C114" s="105">
        <v>1.1701883E7</v>
      </c>
      <c r="D114" s="104" t="s">
        <v>1925</v>
      </c>
      <c r="E114" s="105">
        <v>99.0</v>
      </c>
      <c r="F114" s="104" t="s">
        <v>1917</v>
      </c>
      <c r="G114" s="104" t="s">
        <v>1926</v>
      </c>
      <c r="H114" s="104" t="s">
        <v>1929</v>
      </c>
      <c r="I114" s="104" t="s">
        <v>1930</v>
      </c>
      <c r="J114" s="104" t="s">
        <v>1931</v>
      </c>
      <c r="K114" s="104" t="s">
        <v>24</v>
      </c>
      <c r="L114" s="104" t="s">
        <v>1968</v>
      </c>
      <c r="M114" s="104" t="s">
        <v>2271</v>
      </c>
      <c r="N114" s="104" t="s">
        <v>1186</v>
      </c>
      <c r="O114" s="104" t="s">
        <v>1186</v>
      </c>
      <c r="P114" s="104" t="s">
        <v>2052</v>
      </c>
      <c r="Q114" s="105">
        <v>1.1701883E7</v>
      </c>
      <c r="R114" s="108"/>
    </row>
    <row r="115">
      <c r="A115" s="104" t="s">
        <v>2274</v>
      </c>
      <c r="B115" s="104" t="s">
        <v>2274</v>
      </c>
      <c r="C115" s="105">
        <v>361.0</v>
      </c>
      <c r="D115" s="104" t="s">
        <v>1916</v>
      </c>
      <c r="E115" s="105">
        <v>94.0</v>
      </c>
      <c r="F115" s="104" t="s">
        <v>1917</v>
      </c>
      <c r="G115" s="104" t="s">
        <v>2109</v>
      </c>
      <c r="H115" s="104" t="s">
        <v>1929</v>
      </c>
      <c r="I115" s="104" t="s">
        <v>1930</v>
      </c>
      <c r="J115" s="104" t="s">
        <v>2274</v>
      </c>
      <c r="K115" s="106"/>
      <c r="L115" s="106"/>
      <c r="M115" s="106"/>
      <c r="N115" s="106"/>
      <c r="O115" s="104" t="s">
        <v>2274</v>
      </c>
      <c r="P115" s="106"/>
      <c r="Q115" s="105">
        <v>361.0</v>
      </c>
      <c r="R115" s="107"/>
    </row>
    <row r="116">
      <c r="A116" s="104" t="s">
        <v>719</v>
      </c>
      <c r="B116" s="104" t="s">
        <v>719</v>
      </c>
      <c r="C116" s="105">
        <v>2609202.0</v>
      </c>
      <c r="D116" s="104" t="s">
        <v>1916</v>
      </c>
      <c r="E116" s="105">
        <v>94.0</v>
      </c>
      <c r="F116" s="104" t="s">
        <v>1917</v>
      </c>
      <c r="G116" s="104" t="s">
        <v>1918</v>
      </c>
      <c r="H116" s="104" t="s">
        <v>522</v>
      </c>
      <c r="I116" s="104" t="s">
        <v>2275</v>
      </c>
      <c r="J116" s="104" t="s">
        <v>2276</v>
      </c>
      <c r="K116" s="104" t="s">
        <v>2277</v>
      </c>
      <c r="L116" s="104" t="s">
        <v>2278</v>
      </c>
      <c r="M116" s="104" t="s">
        <v>719</v>
      </c>
      <c r="N116" s="106"/>
      <c r="O116" s="104" t="s">
        <v>719</v>
      </c>
      <c r="P116" s="106"/>
      <c r="Q116" s="105">
        <v>2609202.0</v>
      </c>
      <c r="R116" s="107"/>
    </row>
    <row r="117">
      <c r="A117" s="104" t="s">
        <v>519</v>
      </c>
      <c r="B117" s="104" t="s">
        <v>2279</v>
      </c>
      <c r="C117" s="105">
        <v>5073713.0</v>
      </c>
      <c r="D117" s="104" t="s">
        <v>1925</v>
      </c>
      <c r="E117" s="105">
        <v>99.0</v>
      </c>
      <c r="F117" s="104" t="s">
        <v>1917</v>
      </c>
      <c r="G117" s="104" t="s">
        <v>1926</v>
      </c>
      <c r="H117" s="104" t="s">
        <v>1929</v>
      </c>
      <c r="I117" s="104" t="s">
        <v>1930</v>
      </c>
      <c r="J117" s="104" t="s">
        <v>1931</v>
      </c>
      <c r="K117" s="104" t="s">
        <v>525</v>
      </c>
      <c r="L117" s="104" t="s">
        <v>2280</v>
      </c>
      <c r="M117" s="104" t="s">
        <v>2281</v>
      </c>
      <c r="N117" s="104" t="s">
        <v>519</v>
      </c>
      <c r="O117" s="104" t="s">
        <v>519</v>
      </c>
      <c r="P117" s="104" t="s">
        <v>2282</v>
      </c>
      <c r="Q117" s="105">
        <v>5073713.0</v>
      </c>
      <c r="R117" s="107"/>
    </row>
    <row r="118">
      <c r="A118" s="104" t="s">
        <v>290</v>
      </c>
      <c r="B118" s="104" t="s">
        <v>2283</v>
      </c>
      <c r="C118" s="105">
        <v>5384509.0</v>
      </c>
      <c r="D118" s="104" t="s">
        <v>1925</v>
      </c>
      <c r="E118" s="105">
        <v>97.0</v>
      </c>
      <c r="F118" s="104" t="s">
        <v>1917</v>
      </c>
      <c r="G118" s="104" t="s">
        <v>1926</v>
      </c>
      <c r="H118" s="104" t="s">
        <v>1919</v>
      </c>
      <c r="I118" s="104" t="s">
        <v>1920</v>
      </c>
      <c r="J118" s="104" t="s">
        <v>1921</v>
      </c>
      <c r="K118" s="104" t="s">
        <v>1947</v>
      </c>
      <c r="L118" s="104" t="s">
        <v>2284</v>
      </c>
      <c r="M118" s="104" t="s">
        <v>2285</v>
      </c>
      <c r="N118" s="104" t="s">
        <v>290</v>
      </c>
      <c r="O118" s="104" t="s">
        <v>290</v>
      </c>
      <c r="P118" s="104" t="s">
        <v>2286</v>
      </c>
      <c r="Q118" s="105">
        <v>5384509.0</v>
      </c>
      <c r="R118" s="107"/>
    </row>
    <row r="119">
      <c r="A119" s="104" t="s">
        <v>202</v>
      </c>
      <c r="B119" s="104" t="s">
        <v>2287</v>
      </c>
      <c r="C119" s="105">
        <v>2012168.0</v>
      </c>
      <c r="D119" s="104" t="s">
        <v>1916</v>
      </c>
      <c r="E119" s="105">
        <v>94.0</v>
      </c>
      <c r="F119" s="104" t="s">
        <v>1917</v>
      </c>
      <c r="G119" s="104" t="s">
        <v>1918</v>
      </c>
      <c r="H119" s="104" t="s">
        <v>1929</v>
      </c>
      <c r="I119" s="104" t="s">
        <v>1930</v>
      </c>
      <c r="J119" s="104" t="s">
        <v>1931</v>
      </c>
      <c r="K119" s="104" t="s">
        <v>1178</v>
      </c>
      <c r="L119" s="104" t="s">
        <v>2288</v>
      </c>
      <c r="M119" s="104" t="s">
        <v>202</v>
      </c>
      <c r="N119" s="106"/>
      <c r="O119" s="104" t="s">
        <v>202</v>
      </c>
      <c r="P119" s="104" t="s">
        <v>2289</v>
      </c>
      <c r="Q119" s="105">
        <v>2012168.0</v>
      </c>
      <c r="R119" s="107"/>
    </row>
    <row r="120">
      <c r="A120" s="104" t="s">
        <v>2197</v>
      </c>
      <c r="B120" s="104" t="s">
        <v>2290</v>
      </c>
      <c r="C120" s="105">
        <v>5568446.0</v>
      </c>
      <c r="D120" s="104" t="s">
        <v>1925</v>
      </c>
      <c r="E120" s="105">
        <v>99.0</v>
      </c>
      <c r="F120" s="104" t="s">
        <v>1917</v>
      </c>
      <c r="G120" s="104" t="s">
        <v>1926</v>
      </c>
      <c r="H120" s="104" t="s">
        <v>1919</v>
      </c>
      <c r="I120" s="104" t="s">
        <v>1920</v>
      </c>
      <c r="J120" s="104" t="s">
        <v>1921</v>
      </c>
      <c r="K120" s="104" t="s">
        <v>1947</v>
      </c>
      <c r="L120" s="104" t="s">
        <v>1948</v>
      </c>
      <c r="M120" s="104" t="s">
        <v>2291</v>
      </c>
      <c r="N120" s="104" t="s">
        <v>2197</v>
      </c>
      <c r="O120" s="104" t="s">
        <v>2197</v>
      </c>
      <c r="P120" s="104" t="s">
        <v>2292</v>
      </c>
      <c r="Q120" s="105">
        <v>5568446.0</v>
      </c>
      <c r="R120" s="107"/>
    </row>
    <row r="121">
      <c r="A121" s="104" t="s">
        <v>740</v>
      </c>
      <c r="B121" s="104" t="s">
        <v>2293</v>
      </c>
      <c r="C121" s="105">
        <v>5331404.0</v>
      </c>
      <c r="D121" s="104" t="s">
        <v>1925</v>
      </c>
      <c r="E121" s="105">
        <v>99.0</v>
      </c>
      <c r="F121" s="104" t="s">
        <v>1917</v>
      </c>
      <c r="G121" s="104" t="s">
        <v>1926</v>
      </c>
      <c r="H121" s="104" t="s">
        <v>1919</v>
      </c>
      <c r="I121" s="104" t="s">
        <v>1920</v>
      </c>
      <c r="J121" s="104" t="s">
        <v>1921</v>
      </c>
      <c r="K121" s="104" t="s">
        <v>2226</v>
      </c>
      <c r="L121" s="104" t="s">
        <v>727</v>
      </c>
      <c r="M121" s="104" t="s">
        <v>2294</v>
      </c>
      <c r="N121" s="104" t="s">
        <v>740</v>
      </c>
      <c r="O121" s="104" t="s">
        <v>740</v>
      </c>
      <c r="P121" s="104" t="s">
        <v>2295</v>
      </c>
      <c r="Q121" s="105">
        <v>5331404.0</v>
      </c>
      <c r="R121" s="107"/>
    </row>
    <row r="122">
      <c r="A122" s="104" t="s">
        <v>496</v>
      </c>
      <c r="B122" s="104" t="s">
        <v>2296</v>
      </c>
      <c r="C122" s="105">
        <v>5384950.0</v>
      </c>
      <c r="D122" s="104" t="s">
        <v>1925</v>
      </c>
      <c r="E122" s="105">
        <v>97.0</v>
      </c>
      <c r="F122" s="104" t="s">
        <v>1917</v>
      </c>
      <c r="G122" s="104" t="s">
        <v>1926</v>
      </c>
      <c r="H122" s="104" t="s">
        <v>1919</v>
      </c>
      <c r="I122" s="104" t="s">
        <v>1920</v>
      </c>
      <c r="J122" s="104" t="s">
        <v>1921</v>
      </c>
      <c r="K122" s="104" t="s">
        <v>2019</v>
      </c>
      <c r="L122" s="104" t="s">
        <v>979</v>
      </c>
      <c r="M122" s="104" t="s">
        <v>2297</v>
      </c>
      <c r="N122" s="104" t="s">
        <v>496</v>
      </c>
      <c r="O122" s="104" t="s">
        <v>496</v>
      </c>
      <c r="P122" s="104" t="s">
        <v>2298</v>
      </c>
      <c r="Q122" s="105">
        <v>5384950.0</v>
      </c>
      <c r="R122" s="107"/>
    </row>
    <row r="123">
      <c r="A123" s="104" t="s">
        <v>405</v>
      </c>
      <c r="B123" s="104" t="s">
        <v>2299</v>
      </c>
      <c r="C123" s="105">
        <v>1314135.0</v>
      </c>
      <c r="D123" s="104" t="s">
        <v>1916</v>
      </c>
      <c r="E123" s="105">
        <v>94.0</v>
      </c>
      <c r="F123" s="104" t="s">
        <v>1917</v>
      </c>
      <c r="G123" s="104" t="s">
        <v>1918</v>
      </c>
      <c r="H123" s="104" t="s">
        <v>1929</v>
      </c>
      <c r="I123" s="104" t="s">
        <v>1930</v>
      </c>
      <c r="J123" s="104" t="s">
        <v>1931</v>
      </c>
      <c r="K123" s="104" t="s">
        <v>62</v>
      </c>
      <c r="L123" s="104" t="s">
        <v>34</v>
      </c>
      <c r="M123" s="104" t="s">
        <v>405</v>
      </c>
      <c r="N123" s="106"/>
      <c r="O123" s="104" t="s">
        <v>405</v>
      </c>
      <c r="P123" s="104" t="s">
        <v>2300</v>
      </c>
      <c r="Q123" s="105">
        <v>1314135.0</v>
      </c>
      <c r="R123" s="107"/>
    </row>
    <row r="124">
      <c r="A124" s="104" t="s">
        <v>639</v>
      </c>
      <c r="B124" s="104" t="s">
        <v>2301</v>
      </c>
      <c r="C124" s="105">
        <v>2480873.0</v>
      </c>
      <c r="D124" s="104" t="s">
        <v>1925</v>
      </c>
      <c r="E124" s="105">
        <v>99.0</v>
      </c>
      <c r="F124" s="104" t="s">
        <v>1917</v>
      </c>
      <c r="G124" s="104" t="s">
        <v>1926</v>
      </c>
      <c r="H124" s="104" t="s">
        <v>1929</v>
      </c>
      <c r="I124" s="104" t="s">
        <v>1983</v>
      </c>
      <c r="J124" s="104" t="s">
        <v>1984</v>
      </c>
      <c r="K124" s="104" t="s">
        <v>1994</v>
      </c>
      <c r="L124" s="104" t="s">
        <v>1995</v>
      </c>
      <c r="M124" s="104" t="s">
        <v>2302</v>
      </c>
      <c r="N124" s="104" t="s">
        <v>639</v>
      </c>
      <c r="O124" s="104" t="s">
        <v>639</v>
      </c>
      <c r="P124" s="104" t="s">
        <v>2013</v>
      </c>
      <c r="Q124" s="105">
        <v>2480873.0</v>
      </c>
      <c r="R124" s="107"/>
    </row>
    <row r="125">
      <c r="A125" s="104" t="s">
        <v>2303</v>
      </c>
      <c r="B125" s="104" t="s">
        <v>2304</v>
      </c>
      <c r="C125" s="105">
        <v>2483089.0</v>
      </c>
      <c r="D125" s="104" t="s">
        <v>1916</v>
      </c>
      <c r="E125" s="105">
        <v>94.0</v>
      </c>
      <c r="F125" s="104" t="s">
        <v>1917</v>
      </c>
      <c r="G125" s="104" t="s">
        <v>1918</v>
      </c>
      <c r="H125" s="104" t="s">
        <v>1929</v>
      </c>
      <c r="I125" s="104" t="s">
        <v>1983</v>
      </c>
      <c r="J125" s="104" t="s">
        <v>1984</v>
      </c>
      <c r="K125" s="104" t="s">
        <v>2075</v>
      </c>
      <c r="L125" s="104" t="s">
        <v>2076</v>
      </c>
      <c r="M125" s="104" t="s">
        <v>2303</v>
      </c>
      <c r="N125" s="106"/>
      <c r="O125" s="104" t="s">
        <v>2303</v>
      </c>
      <c r="P125" s="104" t="s">
        <v>2305</v>
      </c>
      <c r="Q125" s="105">
        <v>2483089.0</v>
      </c>
      <c r="R125" s="107"/>
    </row>
    <row r="126">
      <c r="A126" s="104" t="s">
        <v>177</v>
      </c>
      <c r="B126" s="104" t="s">
        <v>2306</v>
      </c>
      <c r="C126" s="105">
        <v>5229606.0</v>
      </c>
      <c r="D126" s="104" t="s">
        <v>1925</v>
      </c>
      <c r="E126" s="105">
        <v>99.0</v>
      </c>
      <c r="F126" s="104" t="s">
        <v>1917</v>
      </c>
      <c r="G126" s="104" t="s">
        <v>1926</v>
      </c>
      <c r="H126" s="104" t="s">
        <v>1929</v>
      </c>
      <c r="I126" s="104" t="s">
        <v>1983</v>
      </c>
      <c r="J126" s="104" t="s">
        <v>1984</v>
      </c>
      <c r="K126" s="104" t="s">
        <v>2075</v>
      </c>
      <c r="L126" s="104" t="s">
        <v>2076</v>
      </c>
      <c r="M126" s="104" t="s">
        <v>2303</v>
      </c>
      <c r="N126" s="104" t="s">
        <v>177</v>
      </c>
      <c r="O126" s="104" t="s">
        <v>177</v>
      </c>
      <c r="P126" s="104" t="s">
        <v>2307</v>
      </c>
      <c r="Q126" s="105">
        <v>5229606.0</v>
      </c>
      <c r="R126" s="107"/>
    </row>
    <row r="127">
      <c r="A127" s="104" t="s">
        <v>606</v>
      </c>
      <c r="B127" s="104" t="s">
        <v>2308</v>
      </c>
      <c r="C127" s="105">
        <v>5229614.0</v>
      </c>
      <c r="D127" s="104" t="s">
        <v>1925</v>
      </c>
      <c r="E127" s="105">
        <v>99.0</v>
      </c>
      <c r="F127" s="104" t="s">
        <v>1917</v>
      </c>
      <c r="G127" s="104" t="s">
        <v>1926</v>
      </c>
      <c r="H127" s="104" t="s">
        <v>1929</v>
      </c>
      <c r="I127" s="104" t="s">
        <v>1983</v>
      </c>
      <c r="J127" s="104" t="s">
        <v>1984</v>
      </c>
      <c r="K127" s="104" t="s">
        <v>2075</v>
      </c>
      <c r="L127" s="104" t="s">
        <v>2076</v>
      </c>
      <c r="M127" s="104" t="s">
        <v>2303</v>
      </c>
      <c r="N127" s="104" t="s">
        <v>606</v>
      </c>
      <c r="O127" s="104" t="s">
        <v>606</v>
      </c>
      <c r="P127" s="104" t="s">
        <v>2309</v>
      </c>
      <c r="Q127" s="105">
        <v>5229614.0</v>
      </c>
      <c r="R127" s="107"/>
    </row>
    <row r="128">
      <c r="A128" s="104" t="s">
        <v>467</v>
      </c>
      <c r="B128" s="104" t="s">
        <v>2310</v>
      </c>
      <c r="C128" s="105">
        <v>2705953.0</v>
      </c>
      <c r="D128" s="104" t="s">
        <v>1925</v>
      </c>
      <c r="E128" s="105">
        <v>98.0</v>
      </c>
      <c r="F128" s="104" t="s">
        <v>1917</v>
      </c>
      <c r="G128" s="104" t="s">
        <v>1926</v>
      </c>
      <c r="H128" s="104" t="s">
        <v>1919</v>
      </c>
      <c r="I128" s="104" t="s">
        <v>1920</v>
      </c>
      <c r="J128" s="104" t="s">
        <v>1972</v>
      </c>
      <c r="K128" s="104" t="s">
        <v>1973</v>
      </c>
      <c r="L128" s="104" t="s">
        <v>1265</v>
      </c>
      <c r="M128" s="104" t="s">
        <v>2311</v>
      </c>
      <c r="N128" s="104" t="s">
        <v>467</v>
      </c>
      <c r="O128" s="104" t="s">
        <v>467</v>
      </c>
      <c r="P128" s="104" t="s">
        <v>2312</v>
      </c>
      <c r="Q128" s="105">
        <v>2705953.0</v>
      </c>
      <c r="R128" s="107"/>
    </row>
    <row r="129">
      <c r="A129" s="104" t="s">
        <v>1026</v>
      </c>
      <c r="B129" s="104" t="s">
        <v>2313</v>
      </c>
      <c r="C129" s="105">
        <v>1900872.0</v>
      </c>
      <c r="D129" s="104" t="s">
        <v>1943</v>
      </c>
      <c r="E129" s="106"/>
      <c r="F129" s="104" t="s">
        <v>1917</v>
      </c>
      <c r="G129" s="104" t="s">
        <v>1926</v>
      </c>
      <c r="H129" s="104" t="s">
        <v>1929</v>
      </c>
      <c r="I129" s="104" t="s">
        <v>1930</v>
      </c>
      <c r="J129" s="104" t="s">
        <v>1931</v>
      </c>
      <c r="K129" s="104" t="s">
        <v>24</v>
      </c>
      <c r="L129" s="104" t="s">
        <v>1968</v>
      </c>
      <c r="M129" s="104" t="s">
        <v>2314</v>
      </c>
      <c r="N129" s="104" t="s">
        <v>1026</v>
      </c>
      <c r="O129" s="104" t="s">
        <v>1026</v>
      </c>
      <c r="P129" s="104" t="s">
        <v>2052</v>
      </c>
      <c r="R129" s="107"/>
    </row>
    <row r="130">
      <c r="A130" s="104" t="s">
        <v>599</v>
      </c>
      <c r="B130" s="104" t="s">
        <v>2315</v>
      </c>
      <c r="C130" s="105">
        <v>5401508.0</v>
      </c>
      <c r="D130" s="104" t="s">
        <v>1925</v>
      </c>
      <c r="E130" s="105">
        <v>99.0</v>
      </c>
      <c r="F130" s="104" t="s">
        <v>1917</v>
      </c>
      <c r="G130" s="104" t="s">
        <v>1926</v>
      </c>
      <c r="H130" s="104" t="s">
        <v>1919</v>
      </c>
      <c r="I130" s="104" t="s">
        <v>1920</v>
      </c>
      <c r="J130" s="104" t="s">
        <v>1921</v>
      </c>
      <c r="K130" s="104" t="s">
        <v>2019</v>
      </c>
      <c r="L130" s="104" t="s">
        <v>979</v>
      </c>
      <c r="M130" s="104" t="s">
        <v>2316</v>
      </c>
      <c r="N130" s="104" t="s">
        <v>599</v>
      </c>
      <c r="O130" s="104" t="s">
        <v>599</v>
      </c>
      <c r="P130" s="104" t="s">
        <v>2317</v>
      </c>
      <c r="Q130" s="105">
        <v>5401508.0</v>
      </c>
      <c r="R130" s="107"/>
    </row>
    <row r="131">
      <c r="A131" s="104" t="s">
        <v>247</v>
      </c>
      <c r="B131" s="104" t="s">
        <v>2318</v>
      </c>
      <c r="C131" s="105">
        <v>7376217.0</v>
      </c>
      <c r="D131" s="104" t="s">
        <v>1925</v>
      </c>
      <c r="E131" s="105">
        <v>97.0</v>
      </c>
      <c r="F131" s="104" t="s">
        <v>1917</v>
      </c>
      <c r="G131" s="104" t="s">
        <v>1926</v>
      </c>
      <c r="H131" s="104" t="s">
        <v>1919</v>
      </c>
      <c r="I131" s="104" t="s">
        <v>1920</v>
      </c>
      <c r="J131" s="104" t="s">
        <v>1921</v>
      </c>
      <c r="K131" s="104" t="s">
        <v>2019</v>
      </c>
      <c r="L131" s="104" t="s">
        <v>979</v>
      </c>
      <c r="M131" s="104" t="s">
        <v>2316</v>
      </c>
      <c r="N131" s="104" t="s">
        <v>247</v>
      </c>
      <c r="O131" s="104" t="s">
        <v>247</v>
      </c>
      <c r="P131" s="104" t="s">
        <v>2319</v>
      </c>
      <c r="Q131" s="105">
        <v>7376217.0</v>
      </c>
      <c r="R131" s="107"/>
    </row>
    <row r="132">
      <c r="A132" s="104" t="s">
        <v>357</v>
      </c>
      <c r="B132" s="104" t="s">
        <v>2315</v>
      </c>
      <c r="C132" s="105">
        <v>5401508.0</v>
      </c>
      <c r="D132" s="104" t="s">
        <v>2084</v>
      </c>
      <c r="E132" s="105">
        <v>85.0</v>
      </c>
      <c r="F132" s="104" t="s">
        <v>1917</v>
      </c>
      <c r="G132" s="104" t="s">
        <v>1926</v>
      </c>
      <c r="H132" s="104" t="s">
        <v>1919</v>
      </c>
      <c r="I132" s="104" t="s">
        <v>1920</v>
      </c>
      <c r="J132" s="104" t="s">
        <v>1921</v>
      </c>
      <c r="K132" s="104" t="s">
        <v>2019</v>
      </c>
      <c r="L132" s="104" t="s">
        <v>979</v>
      </c>
      <c r="M132" s="104" t="s">
        <v>2316</v>
      </c>
      <c r="N132" s="104" t="s">
        <v>599</v>
      </c>
      <c r="O132" s="104" t="s">
        <v>599</v>
      </c>
      <c r="P132" s="104" t="s">
        <v>2317</v>
      </c>
      <c r="Q132" s="105">
        <v>5401508.0</v>
      </c>
      <c r="R132" s="107"/>
    </row>
    <row r="133">
      <c r="A133" s="104" t="s">
        <v>1509</v>
      </c>
      <c r="B133" s="104" t="s">
        <v>2320</v>
      </c>
      <c r="C133" s="105">
        <v>5171066.0</v>
      </c>
      <c r="D133" s="104" t="s">
        <v>1925</v>
      </c>
      <c r="E133" s="105">
        <v>99.0</v>
      </c>
      <c r="F133" s="104" t="s">
        <v>1917</v>
      </c>
      <c r="G133" s="104" t="s">
        <v>1926</v>
      </c>
      <c r="H133" s="104" t="s">
        <v>1929</v>
      </c>
      <c r="I133" s="104" t="s">
        <v>1930</v>
      </c>
      <c r="J133" s="104" t="s">
        <v>1992</v>
      </c>
      <c r="K133" s="104" t="s">
        <v>233</v>
      </c>
      <c r="L133" s="104" t="s">
        <v>249</v>
      </c>
      <c r="M133" s="104" t="s">
        <v>2321</v>
      </c>
      <c r="N133" s="104" t="s">
        <v>1509</v>
      </c>
      <c r="O133" s="104" t="s">
        <v>1509</v>
      </c>
      <c r="P133" s="104" t="s">
        <v>2322</v>
      </c>
      <c r="Q133" s="105">
        <v>5171066.0</v>
      </c>
      <c r="R133" s="107"/>
    </row>
    <row r="134">
      <c r="A134" s="104" t="s">
        <v>2323</v>
      </c>
      <c r="B134" s="104" t="s">
        <v>2324</v>
      </c>
      <c r="C134" s="105">
        <v>7296176.0</v>
      </c>
      <c r="D134" s="104" t="s">
        <v>1925</v>
      </c>
      <c r="E134" s="105">
        <v>99.0</v>
      </c>
      <c r="F134" s="104" t="s">
        <v>1917</v>
      </c>
      <c r="G134" s="104" t="s">
        <v>1926</v>
      </c>
      <c r="H134" s="104" t="s">
        <v>1919</v>
      </c>
      <c r="I134" s="104" t="s">
        <v>1920</v>
      </c>
      <c r="J134" s="104" t="s">
        <v>1921</v>
      </c>
      <c r="K134" s="104" t="s">
        <v>2325</v>
      </c>
      <c r="L134" s="104" t="s">
        <v>476</v>
      </c>
      <c r="M134" s="104" t="s">
        <v>2326</v>
      </c>
      <c r="N134" s="104" t="s">
        <v>2323</v>
      </c>
      <c r="O134" s="104" t="s">
        <v>2323</v>
      </c>
      <c r="P134" s="104" t="s">
        <v>2327</v>
      </c>
      <c r="Q134" s="105">
        <v>7296176.0</v>
      </c>
      <c r="R134" s="107"/>
    </row>
    <row r="135">
      <c r="A135" s="104" t="s">
        <v>1797</v>
      </c>
      <c r="B135" s="104" t="s">
        <v>2328</v>
      </c>
      <c r="C135" s="105">
        <v>2493660.0</v>
      </c>
      <c r="D135" s="104" t="s">
        <v>2084</v>
      </c>
      <c r="E135" s="105">
        <v>95.0</v>
      </c>
      <c r="F135" s="104" t="s">
        <v>1917</v>
      </c>
      <c r="G135" s="104" t="s">
        <v>1926</v>
      </c>
      <c r="H135" s="104" t="s">
        <v>1929</v>
      </c>
      <c r="I135" s="104" t="s">
        <v>1983</v>
      </c>
      <c r="J135" s="104" t="s">
        <v>1984</v>
      </c>
      <c r="K135" s="104" t="s">
        <v>2075</v>
      </c>
      <c r="L135" s="104" t="s">
        <v>2329</v>
      </c>
      <c r="M135" s="104" t="s">
        <v>2330</v>
      </c>
      <c r="N135" s="104" t="s">
        <v>1797</v>
      </c>
      <c r="O135" s="104" t="s">
        <v>1797</v>
      </c>
      <c r="P135" s="104" t="s">
        <v>2052</v>
      </c>
      <c r="Q135" s="105">
        <v>2493660.0</v>
      </c>
      <c r="R135" s="107"/>
    </row>
    <row r="136">
      <c r="A136" s="104" t="s">
        <v>12</v>
      </c>
      <c r="B136" s="104" t="s">
        <v>2331</v>
      </c>
      <c r="C136" s="105">
        <v>1339345.0</v>
      </c>
      <c r="D136" s="104" t="s">
        <v>1925</v>
      </c>
      <c r="E136" s="105">
        <v>99.0</v>
      </c>
      <c r="F136" s="104" t="s">
        <v>1917</v>
      </c>
      <c r="G136" s="104" t="s">
        <v>1926</v>
      </c>
      <c r="H136" s="104" t="s">
        <v>1929</v>
      </c>
      <c r="I136" s="104" t="s">
        <v>1930</v>
      </c>
      <c r="J136" s="104" t="s">
        <v>1931</v>
      </c>
      <c r="K136" s="104" t="s">
        <v>62</v>
      </c>
      <c r="L136" s="104" t="s">
        <v>1979</v>
      </c>
      <c r="M136" s="104" t="s">
        <v>2332</v>
      </c>
      <c r="N136" s="104" t="s">
        <v>12</v>
      </c>
      <c r="O136" s="104" t="s">
        <v>12</v>
      </c>
      <c r="P136" s="104" t="s">
        <v>2333</v>
      </c>
      <c r="Q136" s="105">
        <v>1339345.0</v>
      </c>
      <c r="R136" s="107"/>
    </row>
    <row r="137">
      <c r="A137" s="104" t="s">
        <v>16</v>
      </c>
      <c r="B137" s="104" t="s">
        <v>2334</v>
      </c>
      <c r="C137" s="105">
        <v>2476667.0</v>
      </c>
      <c r="D137" s="104" t="s">
        <v>1925</v>
      </c>
      <c r="E137" s="105">
        <v>99.0</v>
      </c>
      <c r="F137" s="104" t="s">
        <v>1917</v>
      </c>
      <c r="G137" s="104" t="s">
        <v>1926</v>
      </c>
      <c r="H137" s="104" t="s">
        <v>1929</v>
      </c>
      <c r="I137" s="104" t="s">
        <v>1983</v>
      </c>
      <c r="J137" s="104" t="s">
        <v>1984</v>
      </c>
      <c r="K137" s="104" t="s">
        <v>1985</v>
      </c>
      <c r="L137" s="104" t="s">
        <v>2111</v>
      </c>
      <c r="M137" s="104" t="s">
        <v>2335</v>
      </c>
      <c r="N137" s="104" t="s">
        <v>16</v>
      </c>
      <c r="O137" s="104" t="s">
        <v>16</v>
      </c>
      <c r="P137" s="104" t="s">
        <v>2113</v>
      </c>
      <c r="Q137" s="105">
        <v>2476667.0</v>
      </c>
      <c r="R137" s="107"/>
    </row>
    <row r="138">
      <c r="A138" s="104" t="s">
        <v>132</v>
      </c>
      <c r="B138" s="104" t="s">
        <v>2336</v>
      </c>
      <c r="C138" s="105">
        <v>2487964.0</v>
      </c>
      <c r="D138" s="104" t="s">
        <v>1925</v>
      </c>
      <c r="E138" s="105">
        <v>99.0</v>
      </c>
      <c r="F138" s="104" t="s">
        <v>1917</v>
      </c>
      <c r="G138" s="104" t="s">
        <v>1926</v>
      </c>
      <c r="H138" s="104" t="s">
        <v>1929</v>
      </c>
      <c r="I138" s="104" t="s">
        <v>1983</v>
      </c>
      <c r="J138" s="104" t="s">
        <v>1984</v>
      </c>
      <c r="K138" s="104" t="s">
        <v>2075</v>
      </c>
      <c r="L138" s="104" t="s">
        <v>2337</v>
      </c>
      <c r="M138" s="104" t="s">
        <v>2338</v>
      </c>
      <c r="N138" s="104" t="s">
        <v>132</v>
      </c>
      <c r="O138" s="104" t="s">
        <v>132</v>
      </c>
      <c r="P138" s="104" t="s">
        <v>2230</v>
      </c>
      <c r="Q138" s="105">
        <v>2487964.0</v>
      </c>
      <c r="R138" s="107"/>
    </row>
    <row r="139">
      <c r="A139" s="104" t="s">
        <v>624</v>
      </c>
      <c r="B139" s="104" t="s">
        <v>2339</v>
      </c>
      <c r="C139" s="105">
        <v>2487970.0</v>
      </c>
      <c r="D139" s="104" t="s">
        <v>1925</v>
      </c>
      <c r="E139" s="105">
        <v>99.0</v>
      </c>
      <c r="F139" s="104" t="s">
        <v>1917</v>
      </c>
      <c r="G139" s="104" t="s">
        <v>1926</v>
      </c>
      <c r="H139" s="104" t="s">
        <v>1929</v>
      </c>
      <c r="I139" s="104" t="s">
        <v>1983</v>
      </c>
      <c r="J139" s="104" t="s">
        <v>1984</v>
      </c>
      <c r="K139" s="104" t="s">
        <v>2075</v>
      </c>
      <c r="L139" s="104" t="s">
        <v>2337</v>
      </c>
      <c r="M139" s="104" t="s">
        <v>2338</v>
      </c>
      <c r="N139" s="104" t="s">
        <v>624</v>
      </c>
      <c r="O139" s="104" t="s">
        <v>624</v>
      </c>
      <c r="P139" s="104" t="s">
        <v>2052</v>
      </c>
      <c r="Q139" s="105">
        <v>2487970.0</v>
      </c>
      <c r="R139" s="107"/>
    </row>
    <row r="140">
      <c r="A140" s="104" t="s">
        <v>954</v>
      </c>
      <c r="B140" s="104" t="s">
        <v>2340</v>
      </c>
      <c r="C140" s="105">
        <v>1.1397237E7</v>
      </c>
      <c r="D140" s="104" t="s">
        <v>1916</v>
      </c>
      <c r="E140" s="105">
        <v>92.0</v>
      </c>
      <c r="F140" s="104" t="s">
        <v>2341</v>
      </c>
      <c r="G140" s="104" t="s">
        <v>1918</v>
      </c>
      <c r="H140" s="104" t="s">
        <v>1919</v>
      </c>
      <c r="I140" s="104" t="s">
        <v>1920</v>
      </c>
      <c r="J140" s="104" t="s">
        <v>1921</v>
      </c>
      <c r="K140" s="104" t="s">
        <v>2342</v>
      </c>
      <c r="L140" s="104" t="s">
        <v>2343</v>
      </c>
      <c r="M140" s="104" t="s">
        <v>954</v>
      </c>
      <c r="N140" s="106"/>
      <c r="O140" s="104" t="s">
        <v>954</v>
      </c>
      <c r="P140" s="104" t="s">
        <v>1960</v>
      </c>
      <c r="Q140" s="105">
        <v>1.1397237E7</v>
      </c>
      <c r="R140" s="107"/>
    </row>
    <row r="141">
      <c r="A141" s="104" t="s">
        <v>1377</v>
      </c>
      <c r="B141" s="104" t="s">
        <v>2344</v>
      </c>
      <c r="C141" s="105">
        <v>3065799.0</v>
      </c>
      <c r="D141" s="104" t="s">
        <v>1925</v>
      </c>
      <c r="E141" s="105">
        <v>99.0</v>
      </c>
      <c r="F141" s="104" t="s">
        <v>1917</v>
      </c>
      <c r="G141" s="104" t="s">
        <v>1926</v>
      </c>
      <c r="H141" s="104" t="s">
        <v>1919</v>
      </c>
      <c r="I141" s="104" t="s">
        <v>1920</v>
      </c>
      <c r="J141" s="104" t="s">
        <v>1921</v>
      </c>
      <c r="K141" s="104" t="s">
        <v>2342</v>
      </c>
      <c r="L141" s="104" t="s">
        <v>2343</v>
      </c>
      <c r="M141" s="104" t="s">
        <v>954</v>
      </c>
      <c r="N141" s="104" t="s">
        <v>1377</v>
      </c>
      <c r="O141" s="104" t="s">
        <v>1377</v>
      </c>
      <c r="P141" s="104" t="s">
        <v>2345</v>
      </c>
      <c r="Q141" s="105">
        <v>3065799.0</v>
      </c>
      <c r="R141" s="107"/>
    </row>
    <row r="142">
      <c r="A142" s="104" t="s">
        <v>635</v>
      </c>
      <c r="B142" s="104" t="s">
        <v>2346</v>
      </c>
      <c r="C142" s="105">
        <v>3064170.0</v>
      </c>
      <c r="D142" s="104" t="s">
        <v>1925</v>
      </c>
      <c r="E142" s="105">
        <v>97.0</v>
      </c>
      <c r="F142" s="104" t="s">
        <v>1917</v>
      </c>
      <c r="G142" s="104" t="s">
        <v>1926</v>
      </c>
      <c r="H142" s="104" t="s">
        <v>1919</v>
      </c>
      <c r="I142" s="104" t="s">
        <v>1920</v>
      </c>
      <c r="J142" s="104" t="s">
        <v>1921</v>
      </c>
      <c r="K142" s="104" t="s">
        <v>2342</v>
      </c>
      <c r="L142" s="104" t="s">
        <v>2343</v>
      </c>
      <c r="M142" s="104" t="s">
        <v>954</v>
      </c>
      <c r="N142" s="104" t="s">
        <v>635</v>
      </c>
      <c r="O142" s="104" t="s">
        <v>635</v>
      </c>
      <c r="P142" s="104" t="s">
        <v>2347</v>
      </c>
      <c r="Q142" s="105">
        <v>3064170.0</v>
      </c>
      <c r="R142" s="107"/>
    </row>
    <row r="143">
      <c r="A143" s="104" t="s">
        <v>532</v>
      </c>
      <c r="B143" s="104" t="s">
        <v>2348</v>
      </c>
      <c r="C143" s="105">
        <v>3064495.0</v>
      </c>
      <c r="D143" s="104" t="s">
        <v>1925</v>
      </c>
      <c r="E143" s="105">
        <v>97.0</v>
      </c>
      <c r="F143" s="104" t="s">
        <v>1917</v>
      </c>
      <c r="G143" s="104" t="s">
        <v>1926</v>
      </c>
      <c r="H143" s="104" t="s">
        <v>1919</v>
      </c>
      <c r="I143" s="104" t="s">
        <v>1920</v>
      </c>
      <c r="J143" s="104" t="s">
        <v>1921</v>
      </c>
      <c r="K143" s="104" t="s">
        <v>2342</v>
      </c>
      <c r="L143" s="104" t="s">
        <v>2343</v>
      </c>
      <c r="M143" s="104" t="s">
        <v>954</v>
      </c>
      <c r="N143" s="104" t="s">
        <v>532</v>
      </c>
      <c r="O143" s="104" t="s">
        <v>532</v>
      </c>
      <c r="P143" s="104" t="s">
        <v>1960</v>
      </c>
      <c r="Q143" s="105">
        <v>3064495.0</v>
      </c>
      <c r="R143" s="107"/>
    </row>
    <row r="144">
      <c r="A144" s="104" t="s">
        <v>146</v>
      </c>
      <c r="B144" s="104" t="s">
        <v>2349</v>
      </c>
      <c r="C144" s="105">
        <v>3068937.0</v>
      </c>
      <c r="D144" s="104" t="s">
        <v>1925</v>
      </c>
      <c r="E144" s="105">
        <v>99.0</v>
      </c>
      <c r="F144" s="104" t="s">
        <v>1917</v>
      </c>
      <c r="G144" s="104" t="s">
        <v>1926</v>
      </c>
      <c r="H144" s="104" t="s">
        <v>1919</v>
      </c>
      <c r="I144" s="104" t="s">
        <v>1920</v>
      </c>
      <c r="J144" s="104" t="s">
        <v>1921</v>
      </c>
      <c r="K144" s="104" t="s">
        <v>2342</v>
      </c>
      <c r="L144" s="104" t="s">
        <v>2343</v>
      </c>
      <c r="M144" s="104" t="s">
        <v>954</v>
      </c>
      <c r="N144" s="104" t="s">
        <v>146</v>
      </c>
      <c r="O144" s="104" t="s">
        <v>146</v>
      </c>
      <c r="P144" s="104" t="s">
        <v>1960</v>
      </c>
      <c r="Q144" s="105">
        <v>3068937.0</v>
      </c>
      <c r="R144" s="107"/>
    </row>
    <row r="145">
      <c r="A145" s="104" t="s">
        <v>613</v>
      </c>
      <c r="B145" s="104" t="s">
        <v>2350</v>
      </c>
      <c r="C145" s="105">
        <v>3065912.0</v>
      </c>
      <c r="D145" s="104" t="s">
        <v>1925</v>
      </c>
      <c r="E145" s="105">
        <v>99.0</v>
      </c>
      <c r="F145" s="104" t="s">
        <v>1917</v>
      </c>
      <c r="G145" s="104" t="s">
        <v>1926</v>
      </c>
      <c r="H145" s="104" t="s">
        <v>1919</v>
      </c>
      <c r="I145" s="104" t="s">
        <v>1920</v>
      </c>
      <c r="J145" s="104" t="s">
        <v>1921</v>
      </c>
      <c r="K145" s="104" t="s">
        <v>2342</v>
      </c>
      <c r="L145" s="104" t="s">
        <v>2343</v>
      </c>
      <c r="M145" s="104" t="s">
        <v>954</v>
      </c>
      <c r="N145" s="104" t="s">
        <v>613</v>
      </c>
      <c r="O145" s="104" t="s">
        <v>613</v>
      </c>
      <c r="P145" s="104" t="s">
        <v>1960</v>
      </c>
      <c r="Q145" s="105">
        <v>3065912.0</v>
      </c>
      <c r="R145" s="107"/>
    </row>
    <row r="146">
      <c r="A146" s="104" t="s">
        <v>483</v>
      </c>
      <c r="B146" s="104" t="s">
        <v>2351</v>
      </c>
      <c r="C146" s="105">
        <v>3067891.0</v>
      </c>
      <c r="D146" s="104" t="s">
        <v>2084</v>
      </c>
      <c r="E146" s="105">
        <v>93.0</v>
      </c>
      <c r="F146" s="104" t="s">
        <v>1917</v>
      </c>
      <c r="G146" s="104" t="s">
        <v>1926</v>
      </c>
      <c r="H146" s="104" t="s">
        <v>1919</v>
      </c>
      <c r="I146" s="104" t="s">
        <v>1920</v>
      </c>
      <c r="J146" s="104" t="s">
        <v>1921</v>
      </c>
      <c r="K146" s="104" t="s">
        <v>2342</v>
      </c>
      <c r="L146" s="104" t="s">
        <v>2343</v>
      </c>
      <c r="M146" s="104" t="s">
        <v>954</v>
      </c>
      <c r="N146" s="104" t="s">
        <v>483</v>
      </c>
      <c r="O146" s="104" t="s">
        <v>483</v>
      </c>
      <c r="P146" s="104" t="s">
        <v>2352</v>
      </c>
      <c r="Q146" s="105">
        <v>3067891.0</v>
      </c>
      <c r="R146" s="107"/>
    </row>
    <row r="147">
      <c r="A147" s="104" t="s">
        <v>334</v>
      </c>
      <c r="B147" s="104" t="s">
        <v>2353</v>
      </c>
      <c r="C147" s="105">
        <v>8331425.0</v>
      </c>
      <c r="D147" s="104" t="s">
        <v>1925</v>
      </c>
      <c r="E147" s="105">
        <v>98.0</v>
      </c>
      <c r="F147" s="104" t="s">
        <v>1976</v>
      </c>
      <c r="G147" s="104" t="s">
        <v>1926</v>
      </c>
      <c r="H147" s="104" t="s">
        <v>1929</v>
      </c>
      <c r="I147" s="104" t="s">
        <v>1983</v>
      </c>
      <c r="J147" s="104" t="s">
        <v>1984</v>
      </c>
      <c r="K147" s="104" t="s">
        <v>2354</v>
      </c>
      <c r="L147" s="104" t="s">
        <v>2355</v>
      </c>
      <c r="M147" s="104" t="s">
        <v>2356</v>
      </c>
      <c r="N147" s="104" t="s">
        <v>593</v>
      </c>
      <c r="O147" s="104" t="s">
        <v>334</v>
      </c>
      <c r="P147" s="104" t="s">
        <v>2113</v>
      </c>
      <c r="Q147" s="105">
        <v>8331425.0</v>
      </c>
      <c r="R147" s="107"/>
    </row>
    <row r="148">
      <c r="A148" s="104" t="s">
        <v>2357</v>
      </c>
      <c r="B148" s="104" t="s">
        <v>2358</v>
      </c>
      <c r="C148" s="105">
        <v>5394961.0</v>
      </c>
      <c r="D148" s="104" t="s">
        <v>1925</v>
      </c>
      <c r="E148" s="105">
        <v>99.0</v>
      </c>
      <c r="F148" s="104" t="s">
        <v>1917</v>
      </c>
      <c r="G148" s="104" t="s">
        <v>1926</v>
      </c>
      <c r="H148" s="104" t="s">
        <v>1919</v>
      </c>
      <c r="I148" s="104" t="s">
        <v>1920</v>
      </c>
      <c r="J148" s="104" t="s">
        <v>1921</v>
      </c>
      <c r="K148" s="104" t="s">
        <v>2019</v>
      </c>
      <c r="L148" s="104" t="s">
        <v>979</v>
      </c>
      <c r="M148" s="104" t="s">
        <v>2359</v>
      </c>
      <c r="N148" s="104" t="s">
        <v>2357</v>
      </c>
      <c r="O148" s="104" t="s">
        <v>2357</v>
      </c>
      <c r="P148" s="104" t="s">
        <v>2360</v>
      </c>
      <c r="Q148" s="105">
        <v>5394961.0</v>
      </c>
      <c r="R148" s="107"/>
    </row>
    <row r="149">
      <c r="A149" s="104" t="s">
        <v>849</v>
      </c>
      <c r="B149" s="104" t="s">
        <v>2361</v>
      </c>
      <c r="C149" s="105">
        <v>2928670.0</v>
      </c>
      <c r="D149" s="104" t="s">
        <v>1916</v>
      </c>
      <c r="E149" s="105">
        <v>92.0</v>
      </c>
      <c r="F149" s="104" t="s">
        <v>1917</v>
      </c>
      <c r="G149" s="104" t="s">
        <v>1918</v>
      </c>
      <c r="H149" s="104" t="s">
        <v>1919</v>
      </c>
      <c r="I149" s="104" t="s">
        <v>1920</v>
      </c>
      <c r="J149" s="104" t="s">
        <v>1921</v>
      </c>
      <c r="K149" s="104" t="s">
        <v>2362</v>
      </c>
      <c r="L149" s="104" t="s">
        <v>2363</v>
      </c>
      <c r="M149" s="104" t="s">
        <v>849</v>
      </c>
      <c r="N149" s="106"/>
      <c r="O149" s="104" t="s">
        <v>849</v>
      </c>
      <c r="P149" s="104" t="s">
        <v>1960</v>
      </c>
      <c r="Q149" s="105">
        <v>2928670.0</v>
      </c>
      <c r="R149" s="107"/>
    </row>
    <row r="150">
      <c r="A150" s="104" t="s">
        <v>2364</v>
      </c>
      <c r="B150" s="104" t="s">
        <v>2365</v>
      </c>
      <c r="C150" s="105">
        <v>2928673.0</v>
      </c>
      <c r="D150" s="104" t="s">
        <v>1925</v>
      </c>
      <c r="E150" s="105">
        <v>97.0</v>
      </c>
      <c r="F150" s="104" t="s">
        <v>1917</v>
      </c>
      <c r="G150" s="104" t="s">
        <v>1926</v>
      </c>
      <c r="H150" s="104" t="s">
        <v>1919</v>
      </c>
      <c r="I150" s="104" t="s">
        <v>1920</v>
      </c>
      <c r="J150" s="104" t="s">
        <v>1921</v>
      </c>
      <c r="K150" s="104" t="s">
        <v>2362</v>
      </c>
      <c r="L150" s="104" t="s">
        <v>2363</v>
      </c>
      <c r="M150" s="104" t="s">
        <v>849</v>
      </c>
      <c r="N150" s="104" t="s">
        <v>2364</v>
      </c>
      <c r="O150" s="104" t="s">
        <v>2364</v>
      </c>
      <c r="P150" s="104" t="s">
        <v>2298</v>
      </c>
      <c r="Q150" s="105">
        <v>2928673.0</v>
      </c>
      <c r="R150" s="107"/>
    </row>
    <row r="151">
      <c r="A151" s="104" t="s">
        <v>517</v>
      </c>
      <c r="B151" s="104" t="s">
        <v>2361</v>
      </c>
      <c r="C151" s="105">
        <v>2928670.0</v>
      </c>
      <c r="D151" s="104" t="s">
        <v>1916</v>
      </c>
      <c r="E151" s="105">
        <v>92.0</v>
      </c>
      <c r="F151" s="104" t="s">
        <v>1917</v>
      </c>
      <c r="G151" s="104" t="s">
        <v>1918</v>
      </c>
      <c r="H151" s="104" t="s">
        <v>1919</v>
      </c>
      <c r="I151" s="104" t="s">
        <v>1920</v>
      </c>
      <c r="J151" s="104" t="s">
        <v>1921</v>
      </c>
      <c r="K151" s="104" t="s">
        <v>2362</v>
      </c>
      <c r="L151" s="104" t="s">
        <v>2363</v>
      </c>
      <c r="M151" s="104" t="s">
        <v>849</v>
      </c>
      <c r="N151" s="106"/>
      <c r="O151" s="104" t="s">
        <v>849</v>
      </c>
      <c r="P151" s="104" t="s">
        <v>1960</v>
      </c>
      <c r="Q151" s="105">
        <v>2928670.0</v>
      </c>
      <c r="R151" s="107"/>
    </row>
    <row r="152">
      <c r="A152" s="104" t="s">
        <v>517</v>
      </c>
      <c r="B152" s="104" t="s">
        <v>2366</v>
      </c>
      <c r="C152" s="105">
        <v>2928680.0</v>
      </c>
      <c r="D152" s="104" t="s">
        <v>1925</v>
      </c>
      <c r="E152" s="105">
        <v>99.0</v>
      </c>
      <c r="F152" s="104" t="s">
        <v>1917</v>
      </c>
      <c r="G152" s="104" t="s">
        <v>1926</v>
      </c>
      <c r="H152" s="104" t="s">
        <v>1919</v>
      </c>
      <c r="I152" s="104" t="s">
        <v>1920</v>
      </c>
      <c r="J152" s="104" t="s">
        <v>1921</v>
      </c>
      <c r="K152" s="104" t="s">
        <v>2362</v>
      </c>
      <c r="L152" s="104" t="s">
        <v>2363</v>
      </c>
      <c r="M152" s="104" t="s">
        <v>849</v>
      </c>
      <c r="N152" s="104" t="s">
        <v>517</v>
      </c>
      <c r="O152" s="104" t="s">
        <v>517</v>
      </c>
      <c r="P152" s="104" t="s">
        <v>2298</v>
      </c>
      <c r="Q152" s="105">
        <v>2928680.0</v>
      </c>
      <c r="R152" s="107"/>
    </row>
    <row r="153">
      <c r="A153" s="104" t="s">
        <v>1505</v>
      </c>
      <c r="B153" s="104" t="s">
        <v>2367</v>
      </c>
      <c r="C153" s="105">
        <v>2480996.0</v>
      </c>
      <c r="D153" s="104" t="s">
        <v>1916</v>
      </c>
      <c r="E153" s="105">
        <v>92.0</v>
      </c>
      <c r="F153" s="104" t="s">
        <v>1917</v>
      </c>
      <c r="G153" s="104" t="s">
        <v>1918</v>
      </c>
      <c r="H153" s="104" t="s">
        <v>1929</v>
      </c>
      <c r="I153" s="104" t="s">
        <v>1983</v>
      </c>
      <c r="J153" s="104" t="s">
        <v>1984</v>
      </c>
      <c r="K153" s="104" t="s">
        <v>2085</v>
      </c>
      <c r="L153" s="104" t="s">
        <v>2086</v>
      </c>
      <c r="M153" s="104" t="s">
        <v>1505</v>
      </c>
      <c r="N153" s="106"/>
      <c r="O153" s="104" t="s">
        <v>1505</v>
      </c>
      <c r="P153" s="104" t="s">
        <v>1981</v>
      </c>
      <c r="Q153" s="105">
        <v>2480996.0</v>
      </c>
      <c r="R153" s="107"/>
    </row>
    <row r="154">
      <c r="A154" s="104" t="s">
        <v>206</v>
      </c>
      <c r="B154" s="104" t="s">
        <v>2368</v>
      </c>
      <c r="C154" s="105">
        <v>9685907.0</v>
      </c>
      <c r="D154" s="104" t="s">
        <v>1925</v>
      </c>
      <c r="E154" s="105">
        <v>99.0</v>
      </c>
      <c r="F154" s="104" t="s">
        <v>1917</v>
      </c>
      <c r="G154" s="104" t="s">
        <v>1926</v>
      </c>
      <c r="H154" s="104" t="s">
        <v>1929</v>
      </c>
      <c r="I154" s="104" t="s">
        <v>1983</v>
      </c>
      <c r="J154" s="104" t="s">
        <v>1984</v>
      </c>
      <c r="K154" s="104" t="s">
        <v>2085</v>
      </c>
      <c r="L154" s="104" t="s">
        <v>2086</v>
      </c>
      <c r="M154" s="104" t="s">
        <v>1505</v>
      </c>
      <c r="N154" s="104" t="s">
        <v>206</v>
      </c>
      <c r="O154" s="104" t="s">
        <v>206</v>
      </c>
      <c r="P154" s="104" t="s">
        <v>1981</v>
      </c>
      <c r="Q154" s="105">
        <v>9685907.0</v>
      </c>
      <c r="R154" s="107"/>
    </row>
    <row r="155">
      <c r="A155" s="104" t="s">
        <v>120</v>
      </c>
      <c r="B155" s="104" t="s">
        <v>2369</v>
      </c>
      <c r="C155" s="105">
        <v>4778455.0</v>
      </c>
      <c r="D155" s="104" t="s">
        <v>1943</v>
      </c>
      <c r="E155" s="105">
        <v>79.0</v>
      </c>
      <c r="F155" s="104" t="s">
        <v>1917</v>
      </c>
      <c r="G155" s="104" t="s">
        <v>1918</v>
      </c>
      <c r="H155" s="104" t="s">
        <v>1929</v>
      </c>
      <c r="I155" s="104" t="s">
        <v>1930</v>
      </c>
      <c r="J155" s="104" t="s">
        <v>1931</v>
      </c>
      <c r="K155" s="104" t="s">
        <v>1178</v>
      </c>
      <c r="L155" s="104" t="s">
        <v>552</v>
      </c>
      <c r="M155" s="104" t="s">
        <v>688</v>
      </c>
      <c r="N155" s="106"/>
      <c r="O155" s="104" t="s">
        <v>688</v>
      </c>
      <c r="P155" s="106"/>
      <c r="Q155" s="105">
        <v>4778455.0</v>
      </c>
      <c r="R155" s="107"/>
    </row>
    <row r="156">
      <c r="A156" s="104" t="s">
        <v>1429</v>
      </c>
      <c r="B156" s="104" t="s">
        <v>2370</v>
      </c>
      <c r="C156" s="105">
        <v>5229568.0</v>
      </c>
      <c r="D156" s="104" t="s">
        <v>1943</v>
      </c>
      <c r="E156" s="106"/>
      <c r="F156" s="104" t="s">
        <v>1917</v>
      </c>
      <c r="G156" s="104" t="s">
        <v>1926</v>
      </c>
      <c r="H156" s="104" t="s">
        <v>1929</v>
      </c>
      <c r="I156" s="104" t="s">
        <v>1983</v>
      </c>
      <c r="J156" s="104" t="s">
        <v>1984</v>
      </c>
      <c r="K156" s="104" t="s">
        <v>2075</v>
      </c>
      <c r="L156" s="104" t="s">
        <v>2076</v>
      </c>
      <c r="M156" s="104" t="s">
        <v>2371</v>
      </c>
      <c r="N156" s="104" t="s">
        <v>162</v>
      </c>
      <c r="O156" s="104" t="s">
        <v>162</v>
      </c>
      <c r="P156" s="104" t="s">
        <v>2230</v>
      </c>
      <c r="R156" s="107"/>
    </row>
    <row r="157">
      <c r="A157" s="104" t="s">
        <v>712</v>
      </c>
      <c r="B157" s="104" t="s">
        <v>2372</v>
      </c>
      <c r="C157" s="105">
        <v>2605672.0</v>
      </c>
      <c r="D157" s="104" t="s">
        <v>1925</v>
      </c>
      <c r="E157" s="105">
        <v>99.0</v>
      </c>
      <c r="F157" s="104" t="s">
        <v>1917</v>
      </c>
      <c r="G157" s="104" t="s">
        <v>1926</v>
      </c>
      <c r="H157" s="104" t="s">
        <v>522</v>
      </c>
      <c r="I157" s="104" t="s">
        <v>2275</v>
      </c>
      <c r="J157" s="104" t="s">
        <v>2276</v>
      </c>
      <c r="K157" s="104" t="s">
        <v>2373</v>
      </c>
      <c r="L157" s="104" t="s">
        <v>2374</v>
      </c>
      <c r="M157" s="104" t="s">
        <v>2375</v>
      </c>
      <c r="N157" s="104" t="s">
        <v>712</v>
      </c>
      <c r="O157" s="104" t="s">
        <v>712</v>
      </c>
      <c r="P157" s="104" t="s">
        <v>2376</v>
      </c>
      <c r="Q157" s="105">
        <v>2605672.0</v>
      </c>
      <c r="R157" s="107"/>
    </row>
    <row r="158">
      <c r="A158" s="104" t="s">
        <v>162</v>
      </c>
      <c r="B158" s="104" t="s">
        <v>2370</v>
      </c>
      <c r="C158" s="105">
        <v>5229568.0</v>
      </c>
      <c r="D158" s="104" t="s">
        <v>1925</v>
      </c>
      <c r="E158" s="105">
        <v>99.0</v>
      </c>
      <c r="F158" s="104" t="s">
        <v>1917</v>
      </c>
      <c r="G158" s="104" t="s">
        <v>1926</v>
      </c>
      <c r="H158" s="104" t="s">
        <v>1929</v>
      </c>
      <c r="I158" s="104" t="s">
        <v>1983</v>
      </c>
      <c r="J158" s="104" t="s">
        <v>1984</v>
      </c>
      <c r="K158" s="104" t="s">
        <v>2075</v>
      </c>
      <c r="L158" s="104" t="s">
        <v>2076</v>
      </c>
      <c r="M158" s="104" t="s">
        <v>2371</v>
      </c>
      <c r="N158" s="104" t="s">
        <v>162</v>
      </c>
      <c r="O158" s="104" t="s">
        <v>162</v>
      </c>
      <c r="P158" s="104" t="s">
        <v>2230</v>
      </c>
      <c r="Q158" s="105">
        <v>5229568.0</v>
      </c>
      <c r="R158" s="108"/>
    </row>
    <row r="159">
      <c r="A159" s="104" t="s">
        <v>34</v>
      </c>
      <c r="B159" s="104" t="s">
        <v>34</v>
      </c>
      <c r="C159" s="105">
        <v>4342.0</v>
      </c>
      <c r="D159" s="104" t="s">
        <v>1916</v>
      </c>
      <c r="E159" s="105">
        <v>94.0</v>
      </c>
      <c r="F159" s="104" t="s">
        <v>1917</v>
      </c>
      <c r="G159" s="104" t="s">
        <v>1982</v>
      </c>
      <c r="H159" s="104" t="s">
        <v>1929</v>
      </c>
      <c r="I159" s="104" t="s">
        <v>1930</v>
      </c>
      <c r="J159" s="104" t="s">
        <v>1931</v>
      </c>
      <c r="K159" s="104" t="s">
        <v>62</v>
      </c>
      <c r="L159" s="104" t="s">
        <v>34</v>
      </c>
      <c r="M159" s="106"/>
      <c r="N159" s="106"/>
      <c r="O159" s="104" t="s">
        <v>34</v>
      </c>
      <c r="P159" s="106"/>
      <c r="Q159" s="105">
        <v>4342.0</v>
      </c>
      <c r="R159" s="107"/>
    </row>
    <row r="160">
      <c r="A160" s="104" t="s">
        <v>209</v>
      </c>
      <c r="B160" s="104" t="s">
        <v>2377</v>
      </c>
      <c r="C160" s="105">
        <v>2485827.0</v>
      </c>
      <c r="D160" s="104" t="s">
        <v>1925</v>
      </c>
      <c r="E160" s="105">
        <v>99.0</v>
      </c>
      <c r="F160" s="104" t="s">
        <v>1917</v>
      </c>
      <c r="G160" s="104" t="s">
        <v>1926</v>
      </c>
      <c r="H160" s="104" t="s">
        <v>1929</v>
      </c>
      <c r="I160" s="104" t="s">
        <v>1983</v>
      </c>
      <c r="J160" s="104" t="s">
        <v>1984</v>
      </c>
      <c r="K160" s="104" t="s">
        <v>2075</v>
      </c>
      <c r="L160" s="104" t="s">
        <v>2202</v>
      </c>
      <c r="M160" s="104" t="s">
        <v>2378</v>
      </c>
      <c r="N160" s="104" t="s">
        <v>209</v>
      </c>
      <c r="O160" s="104" t="s">
        <v>209</v>
      </c>
      <c r="P160" s="104" t="s">
        <v>2379</v>
      </c>
      <c r="Q160" s="105">
        <v>2485827.0</v>
      </c>
      <c r="R160" s="107"/>
    </row>
    <row r="161">
      <c r="A161" s="104" t="s">
        <v>31</v>
      </c>
      <c r="B161" s="104" t="s">
        <v>2380</v>
      </c>
      <c r="C161" s="105">
        <v>2485821.0</v>
      </c>
      <c r="D161" s="104" t="s">
        <v>1925</v>
      </c>
      <c r="E161" s="105">
        <v>99.0</v>
      </c>
      <c r="F161" s="104" t="s">
        <v>1917</v>
      </c>
      <c r="G161" s="104" t="s">
        <v>1926</v>
      </c>
      <c r="H161" s="104" t="s">
        <v>1929</v>
      </c>
      <c r="I161" s="104" t="s">
        <v>1983</v>
      </c>
      <c r="J161" s="104" t="s">
        <v>1984</v>
      </c>
      <c r="K161" s="104" t="s">
        <v>2075</v>
      </c>
      <c r="L161" s="104" t="s">
        <v>2202</v>
      </c>
      <c r="M161" s="104" t="s">
        <v>2378</v>
      </c>
      <c r="N161" s="104" t="s">
        <v>31</v>
      </c>
      <c r="O161" s="104" t="s">
        <v>31</v>
      </c>
      <c r="P161" s="104" t="s">
        <v>2381</v>
      </c>
      <c r="Q161" s="105">
        <v>2485821.0</v>
      </c>
      <c r="R161" s="107"/>
    </row>
    <row r="162">
      <c r="A162" s="104" t="s">
        <v>239</v>
      </c>
      <c r="B162" s="104" t="s">
        <v>2382</v>
      </c>
      <c r="C162" s="105">
        <v>3084911.0</v>
      </c>
      <c r="D162" s="104" t="s">
        <v>1925</v>
      </c>
      <c r="E162" s="105">
        <v>99.0</v>
      </c>
      <c r="F162" s="104" t="s">
        <v>1917</v>
      </c>
      <c r="G162" s="104" t="s">
        <v>1926</v>
      </c>
      <c r="H162" s="104" t="s">
        <v>1919</v>
      </c>
      <c r="I162" s="104" t="s">
        <v>1920</v>
      </c>
      <c r="J162" s="104" t="s">
        <v>1921</v>
      </c>
      <c r="K162" s="104" t="s">
        <v>1947</v>
      </c>
      <c r="L162" s="104" t="s">
        <v>1948</v>
      </c>
      <c r="M162" s="104" t="s">
        <v>2383</v>
      </c>
      <c r="N162" s="104" t="s">
        <v>239</v>
      </c>
      <c r="O162" s="104" t="s">
        <v>239</v>
      </c>
      <c r="P162" s="104" t="s">
        <v>2384</v>
      </c>
      <c r="Q162" s="105">
        <v>3084911.0</v>
      </c>
      <c r="R162" s="107"/>
    </row>
    <row r="163">
      <c r="A163" s="104" t="s">
        <v>144</v>
      </c>
      <c r="B163" s="104" t="s">
        <v>2385</v>
      </c>
      <c r="C163" s="105">
        <v>3084908.0</v>
      </c>
      <c r="D163" s="104" t="s">
        <v>1925</v>
      </c>
      <c r="E163" s="105">
        <v>99.0</v>
      </c>
      <c r="F163" s="104" t="s">
        <v>1917</v>
      </c>
      <c r="G163" s="104" t="s">
        <v>1926</v>
      </c>
      <c r="H163" s="104" t="s">
        <v>1919</v>
      </c>
      <c r="I163" s="104" t="s">
        <v>1920</v>
      </c>
      <c r="J163" s="104" t="s">
        <v>1921</v>
      </c>
      <c r="K163" s="104" t="s">
        <v>1947</v>
      </c>
      <c r="L163" s="104" t="s">
        <v>1948</v>
      </c>
      <c r="M163" s="104" t="s">
        <v>2383</v>
      </c>
      <c r="N163" s="104" t="s">
        <v>144</v>
      </c>
      <c r="O163" s="104" t="s">
        <v>144</v>
      </c>
      <c r="P163" s="104" t="s">
        <v>1960</v>
      </c>
      <c r="Q163" s="105">
        <v>3084908.0</v>
      </c>
      <c r="R163" s="107"/>
    </row>
    <row r="164">
      <c r="A164" s="104" t="s">
        <v>1519</v>
      </c>
      <c r="B164" s="104" t="s">
        <v>2386</v>
      </c>
      <c r="C164" s="105">
        <v>1895190.0</v>
      </c>
      <c r="D164" s="104" t="s">
        <v>1925</v>
      </c>
      <c r="E164" s="105">
        <v>99.0</v>
      </c>
      <c r="F164" s="104" t="s">
        <v>1917</v>
      </c>
      <c r="G164" s="104" t="s">
        <v>1926</v>
      </c>
      <c r="H164" s="104" t="s">
        <v>1929</v>
      </c>
      <c r="I164" s="104" t="s">
        <v>1930</v>
      </c>
      <c r="J164" s="104" t="s">
        <v>1931</v>
      </c>
      <c r="K164" s="104" t="s">
        <v>24</v>
      </c>
      <c r="L164" s="104" t="s">
        <v>1968</v>
      </c>
      <c r="M164" s="104" t="s">
        <v>2387</v>
      </c>
      <c r="N164" s="104" t="s">
        <v>1519</v>
      </c>
      <c r="O164" s="104" t="s">
        <v>1519</v>
      </c>
      <c r="P164" s="104" t="s">
        <v>2388</v>
      </c>
      <c r="Q164" s="105">
        <v>1895190.0</v>
      </c>
      <c r="R164" s="107"/>
    </row>
    <row r="165">
      <c r="A165" s="104" t="s">
        <v>160</v>
      </c>
      <c r="B165" s="104" t="s">
        <v>160</v>
      </c>
      <c r="C165" s="105">
        <v>5925.0</v>
      </c>
      <c r="D165" s="104" t="s">
        <v>1916</v>
      </c>
      <c r="E165" s="105">
        <v>94.0</v>
      </c>
      <c r="F165" s="104" t="s">
        <v>1917</v>
      </c>
      <c r="G165" s="104" t="s">
        <v>1982</v>
      </c>
      <c r="H165" s="104" t="s">
        <v>1929</v>
      </c>
      <c r="I165" s="104" t="s">
        <v>1930</v>
      </c>
      <c r="J165" s="104" t="s">
        <v>1931</v>
      </c>
      <c r="K165" s="104" t="s">
        <v>2389</v>
      </c>
      <c r="L165" s="104" t="s">
        <v>160</v>
      </c>
      <c r="M165" s="106"/>
      <c r="N165" s="106"/>
      <c r="O165" s="104" t="s">
        <v>160</v>
      </c>
      <c r="P165" s="106"/>
      <c r="Q165" s="105">
        <v>5925.0</v>
      </c>
      <c r="R165" s="107"/>
    </row>
    <row r="166">
      <c r="A166" s="104" t="s">
        <v>696</v>
      </c>
      <c r="B166" s="104" t="s">
        <v>2390</v>
      </c>
      <c r="C166" s="105">
        <v>4661504.0</v>
      </c>
      <c r="D166" s="104" t="s">
        <v>1916</v>
      </c>
      <c r="E166" s="105">
        <v>94.0</v>
      </c>
      <c r="F166" s="104" t="s">
        <v>1917</v>
      </c>
      <c r="G166" s="104" t="s">
        <v>1918</v>
      </c>
      <c r="H166" s="104" t="s">
        <v>1929</v>
      </c>
      <c r="I166" s="104" t="s">
        <v>1930</v>
      </c>
      <c r="J166" s="104" t="s">
        <v>1992</v>
      </c>
      <c r="K166" s="104" t="s">
        <v>2391</v>
      </c>
      <c r="L166" s="104" t="s">
        <v>2392</v>
      </c>
      <c r="M166" s="104" t="s">
        <v>696</v>
      </c>
      <c r="N166" s="106"/>
      <c r="O166" s="104" t="s">
        <v>696</v>
      </c>
      <c r="P166" s="104" t="s">
        <v>2393</v>
      </c>
      <c r="Q166" s="105">
        <v>4661504.0</v>
      </c>
      <c r="R166" s="107"/>
    </row>
    <row r="167">
      <c r="A167" s="104" t="s">
        <v>10</v>
      </c>
      <c r="B167" s="104" t="s">
        <v>2394</v>
      </c>
      <c r="C167" s="105">
        <v>2496462.0</v>
      </c>
      <c r="D167" s="104" t="s">
        <v>1925</v>
      </c>
      <c r="E167" s="105">
        <v>99.0</v>
      </c>
      <c r="F167" s="104" t="s">
        <v>1917</v>
      </c>
      <c r="G167" s="104" t="s">
        <v>1926</v>
      </c>
      <c r="H167" s="104" t="s">
        <v>1929</v>
      </c>
      <c r="I167" s="104" t="s">
        <v>1983</v>
      </c>
      <c r="J167" s="104" t="s">
        <v>1984</v>
      </c>
      <c r="K167" s="104" t="s">
        <v>2216</v>
      </c>
      <c r="L167" s="104" t="s">
        <v>2217</v>
      </c>
      <c r="M167" s="104" t="s">
        <v>2395</v>
      </c>
      <c r="N167" s="104" t="s">
        <v>10</v>
      </c>
      <c r="O167" s="104" t="s">
        <v>10</v>
      </c>
      <c r="P167" s="104" t="s">
        <v>2381</v>
      </c>
      <c r="Q167" s="105">
        <v>2496462.0</v>
      </c>
      <c r="R167" s="107"/>
    </row>
    <row r="168">
      <c r="A168" s="104" t="s">
        <v>78</v>
      </c>
      <c r="B168" s="104" t="s">
        <v>2396</v>
      </c>
      <c r="C168" s="105">
        <v>1898587.0</v>
      </c>
      <c r="D168" s="104" t="s">
        <v>1943</v>
      </c>
      <c r="E168" s="105">
        <v>99.0</v>
      </c>
      <c r="F168" s="104" t="s">
        <v>1917</v>
      </c>
      <c r="G168" s="104" t="s">
        <v>1918</v>
      </c>
      <c r="H168" s="104" t="s">
        <v>1929</v>
      </c>
      <c r="I168" s="104" t="s">
        <v>1930</v>
      </c>
      <c r="J168" s="104" t="s">
        <v>1931</v>
      </c>
      <c r="K168" s="104" t="s">
        <v>24</v>
      </c>
      <c r="L168" s="104" t="s">
        <v>1968</v>
      </c>
      <c r="M168" s="104" t="s">
        <v>78</v>
      </c>
      <c r="N168" s="106"/>
      <c r="O168" s="104" t="s">
        <v>78</v>
      </c>
      <c r="P168" s="106"/>
      <c r="Q168" s="105">
        <v>1898587.0</v>
      </c>
      <c r="R168" s="107"/>
    </row>
    <row r="169">
      <c r="A169" s="104" t="s">
        <v>330</v>
      </c>
      <c r="B169" s="104" t="s">
        <v>2397</v>
      </c>
      <c r="C169" s="105">
        <v>5129496.0</v>
      </c>
      <c r="D169" s="104" t="s">
        <v>1925</v>
      </c>
      <c r="E169" s="105">
        <v>99.0</v>
      </c>
      <c r="F169" s="104" t="s">
        <v>1917</v>
      </c>
      <c r="G169" s="104" t="s">
        <v>1926</v>
      </c>
      <c r="H169" s="104" t="s">
        <v>1929</v>
      </c>
      <c r="I169" s="104" t="s">
        <v>1930</v>
      </c>
      <c r="J169" s="104" t="s">
        <v>1931</v>
      </c>
      <c r="K169" s="104" t="s">
        <v>24</v>
      </c>
      <c r="L169" s="104" t="s">
        <v>1968</v>
      </c>
      <c r="M169" s="104" t="s">
        <v>78</v>
      </c>
      <c r="N169" s="104" t="s">
        <v>330</v>
      </c>
      <c r="O169" s="104" t="s">
        <v>330</v>
      </c>
      <c r="P169" s="104" t="s">
        <v>2052</v>
      </c>
      <c r="Q169" s="105">
        <v>5129496.0</v>
      </c>
      <c r="R169" s="107"/>
    </row>
    <row r="170">
      <c r="A170" s="104" t="s">
        <v>245</v>
      </c>
      <c r="B170" s="104" t="s">
        <v>2398</v>
      </c>
      <c r="C170" s="105">
        <v>1927996.0</v>
      </c>
      <c r="D170" s="104" t="s">
        <v>1925</v>
      </c>
      <c r="E170" s="105">
        <v>99.0</v>
      </c>
      <c r="F170" s="104" t="s">
        <v>1917</v>
      </c>
      <c r="G170" s="104" t="s">
        <v>1926</v>
      </c>
      <c r="H170" s="104" t="s">
        <v>1929</v>
      </c>
      <c r="I170" s="104" t="s">
        <v>1930</v>
      </c>
      <c r="J170" s="104" t="s">
        <v>1931</v>
      </c>
      <c r="K170" s="104" t="s">
        <v>24</v>
      </c>
      <c r="L170" s="104" t="s">
        <v>2399</v>
      </c>
      <c r="M170" s="104" t="s">
        <v>2400</v>
      </c>
      <c r="N170" s="104" t="s">
        <v>245</v>
      </c>
      <c r="O170" s="104" t="s">
        <v>245</v>
      </c>
      <c r="P170" s="104" t="s">
        <v>2401</v>
      </c>
      <c r="Q170" s="105">
        <v>1927996.0</v>
      </c>
      <c r="R170" s="107"/>
    </row>
    <row r="171">
      <c r="A171" s="104" t="s">
        <v>167</v>
      </c>
      <c r="B171" s="104" t="s">
        <v>2402</v>
      </c>
      <c r="C171" s="105">
        <v>5959942.0</v>
      </c>
      <c r="D171" s="104" t="s">
        <v>1925</v>
      </c>
      <c r="E171" s="105">
        <v>99.0</v>
      </c>
      <c r="F171" s="104" t="s">
        <v>1917</v>
      </c>
      <c r="G171" s="104" t="s">
        <v>1926</v>
      </c>
      <c r="H171" s="104" t="s">
        <v>1929</v>
      </c>
      <c r="I171" s="104" t="s">
        <v>1983</v>
      </c>
      <c r="J171" s="104" t="s">
        <v>2403</v>
      </c>
      <c r="K171" s="106"/>
      <c r="L171" s="104" t="s">
        <v>2404</v>
      </c>
      <c r="M171" s="104" t="s">
        <v>2405</v>
      </c>
      <c r="N171" s="104" t="s">
        <v>167</v>
      </c>
      <c r="O171" s="104" t="s">
        <v>167</v>
      </c>
      <c r="P171" s="104" t="s">
        <v>2406</v>
      </c>
      <c r="Q171" s="105">
        <v>5959942.0</v>
      </c>
      <c r="R171" s="108"/>
    </row>
    <row r="172">
      <c r="A172" s="104" t="s">
        <v>124</v>
      </c>
      <c r="B172" s="104" t="s">
        <v>2407</v>
      </c>
      <c r="C172" s="105">
        <v>3264953.0</v>
      </c>
      <c r="D172" s="104" t="s">
        <v>1916</v>
      </c>
      <c r="E172" s="105">
        <v>93.0</v>
      </c>
      <c r="F172" s="104" t="s">
        <v>1976</v>
      </c>
      <c r="G172" s="104" t="s">
        <v>1918</v>
      </c>
      <c r="H172" s="104" t="s">
        <v>1929</v>
      </c>
      <c r="I172" s="104" t="s">
        <v>1930</v>
      </c>
      <c r="J172" s="104" t="s">
        <v>1931</v>
      </c>
      <c r="K172" s="104" t="s">
        <v>525</v>
      </c>
      <c r="L172" s="104" t="s">
        <v>2408</v>
      </c>
      <c r="M172" s="104" t="s">
        <v>2409</v>
      </c>
      <c r="N172" s="106"/>
      <c r="O172" s="104" t="s">
        <v>124</v>
      </c>
      <c r="P172" s="104" t="s">
        <v>2410</v>
      </c>
      <c r="Q172" s="105">
        <v>3264953.0</v>
      </c>
      <c r="R172" s="108"/>
    </row>
    <row r="173">
      <c r="A173" s="104" t="s">
        <v>2411</v>
      </c>
      <c r="C173" s="106"/>
      <c r="D173" s="104" t="s">
        <v>1943</v>
      </c>
      <c r="E173" s="106"/>
      <c r="F173" s="106"/>
      <c r="G173" s="106"/>
      <c r="H173" s="106"/>
      <c r="I173" s="106"/>
      <c r="J173" s="106"/>
      <c r="K173" s="106"/>
      <c r="L173" s="106"/>
      <c r="M173" s="106"/>
      <c r="N173" s="106"/>
      <c r="O173" s="106"/>
      <c r="P173" s="106"/>
      <c r="Q173" s="106"/>
      <c r="R173" s="107"/>
    </row>
    <row r="174">
      <c r="A174" s="104" t="s">
        <v>1710</v>
      </c>
      <c r="B174" s="104" t="s">
        <v>1710</v>
      </c>
      <c r="C174" s="105">
        <v>5248.0</v>
      </c>
      <c r="D174" s="104" t="s">
        <v>1916</v>
      </c>
      <c r="E174" s="105">
        <v>94.0</v>
      </c>
      <c r="F174" s="104" t="s">
        <v>1917</v>
      </c>
      <c r="G174" s="104" t="s">
        <v>1982</v>
      </c>
      <c r="H174" s="104" t="s">
        <v>1929</v>
      </c>
      <c r="I174" s="104" t="s">
        <v>1983</v>
      </c>
      <c r="J174" s="104" t="s">
        <v>1984</v>
      </c>
      <c r="K174" s="104" t="s">
        <v>2075</v>
      </c>
      <c r="L174" s="104" t="s">
        <v>1710</v>
      </c>
      <c r="N174" s="106"/>
      <c r="O174" s="104" t="s">
        <v>1710</v>
      </c>
      <c r="Q174" s="105">
        <v>5248.0</v>
      </c>
      <c r="R174" s="107"/>
    </row>
    <row r="175">
      <c r="A175" s="104" t="s">
        <v>1379</v>
      </c>
      <c r="B175" s="104" t="s">
        <v>2412</v>
      </c>
      <c r="C175" s="105">
        <v>2523318.0</v>
      </c>
      <c r="D175" s="104" t="s">
        <v>1916</v>
      </c>
      <c r="E175" s="105">
        <v>94.0</v>
      </c>
      <c r="F175" s="104" t="s">
        <v>1917</v>
      </c>
      <c r="G175" s="104" t="s">
        <v>1918</v>
      </c>
      <c r="H175" s="104" t="s">
        <v>522</v>
      </c>
      <c r="I175" s="104" t="s">
        <v>1937</v>
      </c>
      <c r="J175" s="104" t="s">
        <v>1938</v>
      </c>
      <c r="K175" s="104" t="s">
        <v>1939</v>
      </c>
      <c r="L175" s="104" t="s">
        <v>2413</v>
      </c>
      <c r="M175" s="104" t="s">
        <v>1379</v>
      </c>
      <c r="N175" s="106"/>
      <c r="O175" s="104" t="s">
        <v>1379</v>
      </c>
      <c r="P175" s="104" t="s">
        <v>2414</v>
      </c>
      <c r="Q175" s="105">
        <v>2523318.0</v>
      </c>
      <c r="R175" s="107"/>
    </row>
    <row r="176">
      <c r="A176" s="104" t="s">
        <v>1112</v>
      </c>
      <c r="B176" s="104" t="s">
        <v>2415</v>
      </c>
      <c r="C176" s="105">
        <v>5230504.0</v>
      </c>
      <c r="D176" s="104" t="s">
        <v>1925</v>
      </c>
      <c r="E176" s="105">
        <v>99.0</v>
      </c>
      <c r="F176" s="104" t="s">
        <v>1917</v>
      </c>
      <c r="G176" s="104" t="s">
        <v>1926</v>
      </c>
      <c r="H176" s="104" t="s">
        <v>1929</v>
      </c>
      <c r="I176" s="104" t="s">
        <v>1983</v>
      </c>
      <c r="J176" s="104" t="s">
        <v>1984</v>
      </c>
      <c r="K176" s="104" t="s">
        <v>2075</v>
      </c>
      <c r="L176" s="104" t="s">
        <v>2416</v>
      </c>
      <c r="M176" s="104" t="s">
        <v>2417</v>
      </c>
      <c r="N176" s="104" t="s">
        <v>1112</v>
      </c>
      <c r="O176" s="104" t="s">
        <v>1112</v>
      </c>
      <c r="P176" s="104" t="s">
        <v>2418</v>
      </c>
      <c r="Q176" s="105">
        <v>5230504.0</v>
      </c>
      <c r="R176" s="107"/>
    </row>
    <row r="177">
      <c r="A177" s="104" t="s">
        <v>2419</v>
      </c>
      <c r="B177" s="104" t="s">
        <v>2420</v>
      </c>
      <c r="C177" s="105">
        <v>2950750.0</v>
      </c>
      <c r="D177" s="104" t="s">
        <v>1925</v>
      </c>
      <c r="E177" s="105">
        <v>99.0</v>
      </c>
      <c r="F177" s="104" t="s">
        <v>1917</v>
      </c>
      <c r="G177" s="104" t="s">
        <v>1926</v>
      </c>
      <c r="H177" s="104" t="s">
        <v>1919</v>
      </c>
      <c r="I177" s="104" t="s">
        <v>1920</v>
      </c>
      <c r="J177" s="104" t="s">
        <v>1921</v>
      </c>
      <c r="K177" s="104" t="s">
        <v>1922</v>
      </c>
      <c r="L177" s="104" t="s">
        <v>665</v>
      </c>
      <c r="M177" s="104" t="s">
        <v>2421</v>
      </c>
      <c r="N177" s="104" t="s">
        <v>2419</v>
      </c>
      <c r="O177" s="104" t="s">
        <v>2419</v>
      </c>
      <c r="P177" s="104" t="s">
        <v>1960</v>
      </c>
      <c r="Q177" s="105">
        <v>2950750.0</v>
      </c>
      <c r="R177" s="107"/>
    </row>
    <row r="178">
      <c r="A178" s="104" t="s">
        <v>62</v>
      </c>
      <c r="B178" s="104" t="s">
        <v>62</v>
      </c>
      <c r="C178" s="105">
        <v>1457.0</v>
      </c>
      <c r="D178" s="104" t="s">
        <v>1916</v>
      </c>
      <c r="E178" s="105">
        <v>94.0</v>
      </c>
      <c r="F178" s="104" t="s">
        <v>1917</v>
      </c>
      <c r="G178" s="104" t="s">
        <v>1991</v>
      </c>
      <c r="H178" s="104" t="s">
        <v>1929</v>
      </c>
      <c r="I178" s="104" t="s">
        <v>1930</v>
      </c>
      <c r="J178" s="104" t="s">
        <v>1931</v>
      </c>
      <c r="K178" s="104" t="s">
        <v>62</v>
      </c>
      <c r="M178" s="106"/>
      <c r="N178" s="106"/>
      <c r="O178" s="104" t="s">
        <v>62</v>
      </c>
      <c r="Q178" s="105">
        <v>1457.0</v>
      </c>
      <c r="R178" s="107"/>
    </row>
    <row r="179">
      <c r="A179" s="104" t="s">
        <v>227</v>
      </c>
      <c r="B179" s="104" t="s">
        <v>2422</v>
      </c>
      <c r="C179" s="105">
        <v>2972082.0</v>
      </c>
      <c r="D179" s="104" t="s">
        <v>1943</v>
      </c>
      <c r="E179" s="105">
        <v>78.0</v>
      </c>
      <c r="F179" s="104" t="s">
        <v>1917</v>
      </c>
      <c r="G179" s="104" t="s">
        <v>1926</v>
      </c>
      <c r="H179" s="104" t="s">
        <v>1919</v>
      </c>
      <c r="I179" s="104" t="s">
        <v>1920</v>
      </c>
      <c r="J179" s="104" t="s">
        <v>1921</v>
      </c>
      <c r="K179" s="104" t="s">
        <v>1922</v>
      </c>
      <c r="L179" s="104" t="s">
        <v>665</v>
      </c>
      <c r="M179" s="104" t="s">
        <v>437</v>
      </c>
      <c r="N179" s="104" t="s">
        <v>227</v>
      </c>
      <c r="O179" s="104" t="s">
        <v>227</v>
      </c>
      <c r="Q179" s="105">
        <v>2972082.0</v>
      </c>
      <c r="R179" s="107"/>
    </row>
    <row r="180">
      <c r="A180" s="104" t="s">
        <v>227</v>
      </c>
      <c r="B180" s="104" t="s">
        <v>2422</v>
      </c>
      <c r="C180" s="105">
        <v>2972082.0</v>
      </c>
      <c r="D180" s="104" t="s">
        <v>1925</v>
      </c>
      <c r="E180" s="105">
        <v>98.0</v>
      </c>
      <c r="F180" s="104" t="s">
        <v>1917</v>
      </c>
      <c r="G180" s="104" t="s">
        <v>1926</v>
      </c>
      <c r="H180" s="104" t="s">
        <v>1919</v>
      </c>
      <c r="I180" s="104" t="s">
        <v>1920</v>
      </c>
      <c r="J180" s="104" t="s">
        <v>1921</v>
      </c>
      <c r="K180" s="104" t="s">
        <v>1922</v>
      </c>
      <c r="L180" s="104" t="s">
        <v>665</v>
      </c>
      <c r="M180" s="104" t="s">
        <v>437</v>
      </c>
      <c r="N180" s="104" t="s">
        <v>227</v>
      </c>
      <c r="O180" s="104" t="s">
        <v>227</v>
      </c>
      <c r="P180" s="104" t="s">
        <v>1960</v>
      </c>
      <c r="Q180" s="105">
        <v>2972082.0</v>
      </c>
      <c r="R180" s="107"/>
    </row>
    <row r="181">
      <c r="A181" s="104" t="s">
        <v>185</v>
      </c>
      <c r="B181" s="104" t="s">
        <v>2423</v>
      </c>
      <c r="C181" s="105">
        <v>2928509.0</v>
      </c>
      <c r="D181" s="104" t="s">
        <v>1916</v>
      </c>
      <c r="E181" s="105">
        <v>92.0</v>
      </c>
      <c r="F181" s="104" t="s">
        <v>1917</v>
      </c>
      <c r="G181" s="104" t="s">
        <v>1918</v>
      </c>
      <c r="H181" s="104" t="s">
        <v>1919</v>
      </c>
      <c r="I181" s="104" t="s">
        <v>1920</v>
      </c>
      <c r="J181" s="104" t="s">
        <v>1921</v>
      </c>
      <c r="K181" s="104" t="s">
        <v>2362</v>
      </c>
      <c r="L181" s="104" t="s">
        <v>2363</v>
      </c>
      <c r="M181" s="104" t="s">
        <v>185</v>
      </c>
      <c r="N181" s="106"/>
      <c r="O181" s="104" t="s">
        <v>185</v>
      </c>
      <c r="P181" s="104" t="s">
        <v>1960</v>
      </c>
      <c r="Q181" s="105">
        <v>2928509.0</v>
      </c>
      <c r="R181" s="107"/>
    </row>
    <row r="182">
      <c r="A182" s="104" t="s">
        <v>57</v>
      </c>
      <c r="B182" s="104" t="s">
        <v>2424</v>
      </c>
      <c r="C182" s="105">
        <v>1019.0</v>
      </c>
      <c r="D182" s="104" t="s">
        <v>1943</v>
      </c>
      <c r="E182" s="106"/>
      <c r="F182" s="104" t="s">
        <v>1917</v>
      </c>
      <c r="G182" s="104" t="s">
        <v>1991</v>
      </c>
      <c r="H182" s="104" t="s">
        <v>1929</v>
      </c>
      <c r="I182" s="104" t="s">
        <v>1930</v>
      </c>
      <c r="J182" s="104" t="s">
        <v>2274</v>
      </c>
      <c r="K182" s="104" t="s">
        <v>2424</v>
      </c>
      <c r="L182" s="106"/>
      <c r="M182" s="106"/>
      <c r="N182" s="106"/>
      <c r="O182" s="104" t="s">
        <v>2424</v>
      </c>
      <c r="P182" s="106"/>
      <c r="Q182" s="106"/>
      <c r="R182" s="107"/>
    </row>
    <row r="183">
      <c r="A183" s="104" t="s">
        <v>173</v>
      </c>
      <c r="B183" s="104" t="s">
        <v>2425</v>
      </c>
      <c r="C183" s="105">
        <v>5130528.0</v>
      </c>
      <c r="D183" s="104" t="s">
        <v>1925</v>
      </c>
      <c r="E183" s="105">
        <v>99.0</v>
      </c>
      <c r="F183" s="104" t="s">
        <v>1917</v>
      </c>
      <c r="G183" s="104" t="s">
        <v>1926</v>
      </c>
      <c r="H183" s="104" t="s">
        <v>1929</v>
      </c>
      <c r="I183" s="104" t="s">
        <v>1930</v>
      </c>
      <c r="J183" s="104" t="s">
        <v>1931</v>
      </c>
      <c r="K183" s="104" t="s">
        <v>24</v>
      </c>
      <c r="L183" s="104" t="s">
        <v>1968</v>
      </c>
      <c r="M183" s="104" t="s">
        <v>2426</v>
      </c>
      <c r="N183" s="104" t="s">
        <v>173</v>
      </c>
      <c r="O183" s="104" t="s">
        <v>173</v>
      </c>
      <c r="P183" s="104" t="s">
        <v>2427</v>
      </c>
      <c r="Q183" s="105">
        <v>5130528.0</v>
      </c>
      <c r="R183" s="107"/>
    </row>
    <row r="184">
      <c r="A184" s="104" t="s">
        <v>682</v>
      </c>
      <c r="B184" s="104" t="s">
        <v>2428</v>
      </c>
      <c r="C184" s="105">
        <v>1.0136799E7</v>
      </c>
      <c r="D184" s="104" t="s">
        <v>1925</v>
      </c>
      <c r="E184" s="105">
        <v>99.0</v>
      </c>
      <c r="F184" s="104" t="s">
        <v>1917</v>
      </c>
      <c r="G184" s="104" t="s">
        <v>1926</v>
      </c>
      <c r="H184" s="104" t="s">
        <v>1929</v>
      </c>
      <c r="I184" s="104" t="s">
        <v>1930</v>
      </c>
      <c r="J184" s="104" t="s">
        <v>1931</v>
      </c>
      <c r="K184" s="104" t="s">
        <v>877</v>
      </c>
      <c r="L184" s="104" t="s">
        <v>2429</v>
      </c>
      <c r="M184" s="104" t="s">
        <v>2430</v>
      </c>
      <c r="N184" s="104" t="s">
        <v>682</v>
      </c>
      <c r="O184" s="104" t="s">
        <v>682</v>
      </c>
      <c r="P184" s="104" t="s">
        <v>2431</v>
      </c>
      <c r="Q184" s="105">
        <v>1.0136799E7</v>
      </c>
      <c r="R184" s="107"/>
    </row>
    <row r="185">
      <c r="A185" s="104" t="s">
        <v>258</v>
      </c>
      <c r="B185" s="104" t="s">
        <v>2432</v>
      </c>
      <c r="C185" s="105">
        <v>2925303.0</v>
      </c>
      <c r="D185" s="104" t="s">
        <v>1925</v>
      </c>
      <c r="E185" s="105">
        <v>99.0</v>
      </c>
      <c r="F185" s="104" t="s">
        <v>1917</v>
      </c>
      <c r="G185" s="104" t="s">
        <v>1926</v>
      </c>
      <c r="H185" s="104" t="s">
        <v>1919</v>
      </c>
      <c r="I185" s="104" t="s">
        <v>1920</v>
      </c>
      <c r="J185" s="104" t="s">
        <v>1921</v>
      </c>
      <c r="K185" s="104" t="s">
        <v>1963</v>
      </c>
      <c r="L185" s="104" t="s">
        <v>2433</v>
      </c>
      <c r="M185" s="104" t="s">
        <v>2434</v>
      </c>
      <c r="N185" s="104" t="s">
        <v>258</v>
      </c>
      <c r="O185" s="104" t="s">
        <v>258</v>
      </c>
      <c r="P185" s="104" t="s">
        <v>1960</v>
      </c>
      <c r="Q185" s="105">
        <v>2925303.0</v>
      </c>
      <c r="R185" s="107"/>
    </row>
    <row r="186">
      <c r="A186" s="104" t="s">
        <v>866</v>
      </c>
      <c r="B186" s="104" t="s">
        <v>2435</v>
      </c>
      <c r="C186" s="105">
        <v>2984466.0</v>
      </c>
      <c r="D186" s="104" t="s">
        <v>1925</v>
      </c>
      <c r="E186" s="105">
        <v>99.0</v>
      </c>
      <c r="F186" s="104" t="s">
        <v>1917</v>
      </c>
      <c r="G186" s="104" t="s">
        <v>1926</v>
      </c>
      <c r="H186" s="104" t="s">
        <v>1919</v>
      </c>
      <c r="I186" s="104" t="s">
        <v>1920</v>
      </c>
      <c r="J186" s="104" t="s">
        <v>1921</v>
      </c>
      <c r="K186" s="104" t="s">
        <v>2030</v>
      </c>
      <c r="L186" s="104" t="s">
        <v>2031</v>
      </c>
      <c r="M186" s="104" t="s">
        <v>2436</v>
      </c>
      <c r="N186" s="104" t="s">
        <v>866</v>
      </c>
      <c r="O186" s="104" t="s">
        <v>866</v>
      </c>
      <c r="P186" s="104" t="s">
        <v>2437</v>
      </c>
      <c r="Q186" s="105">
        <v>2984466.0</v>
      </c>
      <c r="R186" s="107"/>
    </row>
    <row r="187">
      <c r="A187" s="104" t="s">
        <v>2438</v>
      </c>
      <c r="B187" s="104" t="s">
        <v>2439</v>
      </c>
      <c r="C187" s="105">
        <v>2157920.0</v>
      </c>
      <c r="D187" s="104" t="s">
        <v>1916</v>
      </c>
      <c r="E187" s="105">
        <v>94.0</v>
      </c>
      <c r="F187" s="104" t="s">
        <v>1917</v>
      </c>
      <c r="G187" s="104" t="s">
        <v>1918</v>
      </c>
      <c r="H187" s="104" t="s">
        <v>1929</v>
      </c>
      <c r="I187" s="104" t="s">
        <v>1930</v>
      </c>
      <c r="J187" s="104" t="s">
        <v>1992</v>
      </c>
      <c r="K187" s="104" t="s">
        <v>233</v>
      </c>
      <c r="L187" s="104" t="s">
        <v>2440</v>
      </c>
      <c r="M187" s="104" t="s">
        <v>2438</v>
      </c>
      <c r="N187" s="106"/>
      <c r="O187" s="104" t="s">
        <v>2438</v>
      </c>
      <c r="P187" s="104" t="s">
        <v>2441</v>
      </c>
      <c r="Q187" s="105">
        <v>2157920.0</v>
      </c>
      <c r="R187" s="107"/>
    </row>
    <row r="188">
      <c r="A188" s="104" t="s">
        <v>429</v>
      </c>
      <c r="B188" s="104" t="s">
        <v>2442</v>
      </c>
      <c r="C188" s="105">
        <v>5341392.0</v>
      </c>
      <c r="D188" s="104" t="s">
        <v>1925</v>
      </c>
      <c r="E188" s="105">
        <v>97.0</v>
      </c>
      <c r="F188" s="104" t="s">
        <v>1917</v>
      </c>
      <c r="G188" s="104" t="s">
        <v>1926</v>
      </c>
      <c r="H188" s="104" t="s">
        <v>1919</v>
      </c>
      <c r="I188" s="104" t="s">
        <v>1920</v>
      </c>
      <c r="J188" s="104" t="s">
        <v>1921</v>
      </c>
      <c r="K188" s="104" t="s">
        <v>1963</v>
      </c>
      <c r="L188" s="104" t="s">
        <v>2065</v>
      </c>
      <c r="M188" s="104" t="s">
        <v>2443</v>
      </c>
      <c r="N188" s="104" t="s">
        <v>429</v>
      </c>
      <c r="O188" s="104" t="s">
        <v>429</v>
      </c>
      <c r="P188" s="104" t="s">
        <v>1960</v>
      </c>
      <c r="Q188" s="105">
        <v>5341392.0</v>
      </c>
      <c r="R188" s="107"/>
    </row>
    <row r="189">
      <c r="A189" s="104" t="s">
        <v>1854</v>
      </c>
      <c r="B189" s="104" t="s">
        <v>2444</v>
      </c>
      <c r="C189" s="105">
        <v>3051713.0</v>
      </c>
      <c r="D189" s="104" t="s">
        <v>1943</v>
      </c>
      <c r="E189" s="105">
        <v>99.0</v>
      </c>
      <c r="F189" s="104" t="s">
        <v>1917</v>
      </c>
      <c r="G189" s="104" t="s">
        <v>1918</v>
      </c>
      <c r="H189" s="104" t="s">
        <v>1919</v>
      </c>
      <c r="I189" s="104" t="s">
        <v>1920</v>
      </c>
      <c r="J189" s="104" t="s">
        <v>1921</v>
      </c>
      <c r="K189" s="104" t="s">
        <v>2148</v>
      </c>
      <c r="L189" s="104" t="s">
        <v>2199</v>
      </c>
      <c r="M189" s="104" t="s">
        <v>1854</v>
      </c>
      <c r="N189" s="106"/>
      <c r="O189" s="104" t="s">
        <v>1854</v>
      </c>
      <c r="P189" s="106"/>
      <c r="Q189" s="105">
        <v>3051713.0</v>
      </c>
      <c r="R189" s="107"/>
    </row>
    <row r="190">
      <c r="A190" s="104" t="s">
        <v>280</v>
      </c>
      <c r="B190" s="104" t="s">
        <v>2445</v>
      </c>
      <c r="C190" s="105">
        <v>5376648.0</v>
      </c>
      <c r="D190" s="104" t="s">
        <v>1925</v>
      </c>
      <c r="E190" s="105">
        <v>98.0</v>
      </c>
      <c r="F190" s="104" t="s">
        <v>1917</v>
      </c>
      <c r="G190" s="104" t="s">
        <v>1926</v>
      </c>
      <c r="H190" s="104" t="s">
        <v>1919</v>
      </c>
      <c r="I190" s="104" t="s">
        <v>1920</v>
      </c>
      <c r="J190" s="104" t="s">
        <v>1921</v>
      </c>
      <c r="K190" s="104" t="s">
        <v>2148</v>
      </c>
      <c r="L190" s="104" t="s">
        <v>2199</v>
      </c>
      <c r="M190" s="104" t="s">
        <v>1854</v>
      </c>
      <c r="N190" s="104" t="s">
        <v>280</v>
      </c>
      <c r="O190" s="104" t="s">
        <v>280</v>
      </c>
      <c r="P190" s="104" t="s">
        <v>1960</v>
      </c>
      <c r="Q190" s="105">
        <v>5376648.0</v>
      </c>
      <c r="R190" s="107"/>
    </row>
    <row r="191">
      <c r="A191" s="104" t="s">
        <v>24</v>
      </c>
      <c r="B191" s="104" t="s">
        <v>24</v>
      </c>
      <c r="C191" s="105">
        <v>797.0</v>
      </c>
      <c r="D191" s="104" t="s">
        <v>1916</v>
      </c>
      <c r="E191" s="105">
        <v>94.0</v>
      </c>
      <c r="F191" s="104" t="s">
        <v>1917</v>
      </c>
      <c r="G191" s="104" t="s">
        <v>1991</v>
      </c>
      <c r="H191" s="104" t="s">
        <v>1929</v>
      </c>
      <c r="I191" s="104" t="s">
        <v>1930</v>
      </c>
      <c r="J191" s="104" t="s">
        <v>1931</v>
      </c>
      <c r="K191" s="104" t="s">
        <v>24</v>
      </c>
      <c r="L191" s="106"/>
      <c r="M191" s="106"/>
      <c r="N191" s="106"/>
      <c r="O191" s="104" t="s">
        <v>24</v>
      </c>
      <c r="P191" s="106"/>
      <c r="Q191" s="105">
        <v>797.0</v>
      </c>
      <c r="R191" s="107"/>
    </row>
    <row r="192">
      <c r="A192" s="104" t="s">
        <v>1435</v>
      </c>
      <c r="B192" s="104" t="s">
        <v>2446</v>
      </c>
      <c r="C192" s="105">
        <v>8268125.0</v>
      </c>
      <c r="D192" s="104" t="s">
        <v>1925</v>
      </c>
      <c r="E192" s="105">
        <v>99.0</v>
      </c>
      <c r="F192" s="104" t="s">
        <v>1917</v>
      </c>
      <c r="G192" s="104" t="s">
        <v>1926</v>
      </c>
      <c r="H192" s="104" t="s">
        <v>1929</v>
      </c>
      <c r="I192" s="104" t="s">
        <v>1983</v>
      </c>
      <c r="J192" s="104" t="s">
        <v>2447</v>
      </c>
      <c r="K192" s="104" t="s">
        <v>2448</v>
      </c>
      <c r="L192" s="104" t="s">
        <v>2449</v>
      </c>
      <c r="M192" s="104" t="s">
        <v>2450</v>
      </c>
      <c r="N192" s="104" t="s">
        <v>1435</v>
      </c>
      <c r="O192" s="104" t="s">
        <v>1435</v>
      </c>
      <c r="P192" s="104" t="s">
        <v>2451</v>
      </c>
      <c r="Q192" s="105">
        <v>8268125.0</v>
      </c>
      <c r="R192" s="107"/>
    </row>
    <row r="193">
      <c r="A193" s="104" t="s">
        <v>235</v>
      </c>
      <c r="B193" s="104" t="s">
        <v>2452</v>
      </c>
      <c r="C193" s="105">
        <v>2970418.0</v>
      </c>
      <c r="D193" s="104" t="s">
        <v>1925</v>
      </c>
      <c r="E193" s="105">
        <v>97.0</v>
      </c>
      <c r="F193" s="104" t="s">
        <v>1917</v>
      </c>
      <c r="G193" s="104" t="s">
        <v>1926</v>
      </c>
      <c r="H193" s="104" t="s">
        <v>1919</v>
      </c>
      <c r="I193" s="104" t="s">
        <v>1920</v>
      </c>
      <c r="J193" s="104" t="s">
        <v>1921</v>
      </c>
      <c r="K193" s="104" t="s">
        <v>1922</v>
      </c>
      <c r="L193" s="104" t="s">
        <v>665</v>
      </c>
      <c r="M193" s="104" t="s">
        <v>964</v>
      </c>
      <c r="N193" s="104" t="s">
        <v>235</v>
      </c>
      <c r="O193" s="104" t="s">
        <v>235</v>
      </c>
      <c r="P193" s="104" t="s">
        <v>2453</v>
      </c>
      <c r="Q193" s="105">
        <v>2970418.0</v>
      </c>
      <c r="R193" s="108"/>
    </row>
    <row r="194">
      <c r="A194" s="104" t="s">
        <v>317</v>
      </c>
      <c r="B194" s="104" t="s">
        <v>2454</v>
      </c>
      <c r="C194" s="105">
        <v>2151507.0</v>
      </c>
      <c r="D194" s="104" t="s">
        <v>1925</v>
      </c>
      <c r="E194" s="105">
        <v>99.0</v>
      </c>
      <c r="F194" s="104" t="s">
        <v>1917</v>
      </c>
      <c r="G194" s="104" t="s">
        <v>1926</v>
      </c>
      <c r="H194" s="104" t="s">
        <v>1929</v>
      </c>
      <c r="I194" s="104" t="s">
        <v>1930</v>
      </c>
      <c r="J194" s="104" t="s">
        <v>1992</v>
      </c>
      <c r="K194" s="104" t="s">
        <v>233</v>
      </c>
      <c r="L194" s="104" t="s">
        <v>2455</v>
      </c>
      <c r="M194" s="104" t="s">
        <v>2456</v>
      </c>
      <c r="N194" s="104" t="s">
        <v>317</v>
      </c>
      <c r="O194" s="104" t="s">
        <v>317</v>
      </c>
      <c r="P194" s="104" t="s">
        <v>2457</v>
      </c>
      <c r="Q194" s="105">
        <v>2151507.0</v>
      </c>
      <c r="R194" s="107"/>
    </row>
    <row r="195">
      <c r="A195" s="104" t="s">
        <v>36</v>
      </c>
      <c r="B195" s="104" t="s">
        <v>2458</v>
      </c>
      <c r="C195" s="105">
        <v>5063973.0</v>
      </c>
      <c r="D195" s="104" t="s">
        <v>1925</v>
      </c>
      <c r="E195" s="105">
        <v>99.0</v>
      </c>
      <c r="F195" s="104" t="s">
        <v>1917</v>
      </c>
      <c r="G195" s="104" t="s">
        <v>1926</v>
      </c>
      <c r="H195" s="104" t="s">
        <v>1929</v>
      </c>
      <c r="I195" s="104" t="s">
        <v>1930</v>
      </c>
      <c r="J195" s="104" t="s">
        <v>1931</v>
      </c>
      <c r="K195" s="104" t="s">
        <v>525</v>
      </c>
      <c r="L195" s="104" t="s">
        <v>2459</v>
      </c>
      <c r="M195" s="104" t="s">
        <v>985</v>
      </c>
      <c r="N195" s="104" t="s">
        <v>36</v>
      </c>
      <c r="O195" s="104" t="s">
        <v>36</v>
      </c>
      <c r="P195" s="104" t="s">
        <v>2460</v>
      </c>
      <c r="Q195" s="105">
        <v>5063973.0</v>
      </c>
      <c r="R195" s="107"/>
    </row>
    <row r="196">
      <c r="A196" s="104" t="s">
        <v>786</v>
      </c>
      <c r="B196" s="104" t="s">
        <v>2461</v>
      </c>
      <c r="C196" s="105">
        <v>2928973.0</v>
      </c>
      <c r="D196" s="104" t="s">
        <v>1925</v>
      </c>
      <c r="E196" s="105">
        <v>98.0</v>
      </c>
      <c r="F196" s="104" t="s">
        <v>1976</v>
      </c>
      <c r="G196" s="104" t="s">
        <v>1926</v>
      </c>
      <c r="H196" s="104" t="s">
        <v>1919</v>
      </c>
      <c r="I196" s="104" t="s">
        <v>1920</v>
      </c>
      <c r="J196" s="104" t="s">
        <v>1921</v>
      </c>
      <c r="K196" s="104" t="s">
        <v>2362</v>
      </c>
      <c r="L196" s="104" t="s">
        <v>2462</v>
      </c>
      <c r="M196" s="104" t="s">
        <v>2463</v>
      </c>
      <c r="N196" s="104" t="s">
        <v>2464</v>
      </c>
      <c r="O196" s="104" t="s">
        <v>786</v>
      </c>
      <c r="P196" s="104" t="s">
        <v>2465</v>
      </c>
      <c r="Q196" s="105">
        <v>2928973.0</v>
      </c>
      <c r="R196" s="107"/>
    </row>
    <row r="197">
      <c r="A197" s="104" t="s">
        <v>165</v>
      </c>
      <c r="B197" s="104" t="s">
        <v>2466</v>
      </c>
      <c r="C197" s="105">
        <v>8102944.0</v>
      </c>
      <c r="D197" s="104" t="s">
        <v>1916</v>
      </c>
      <c r="E197" s="105">
        <v>92.0</v>
      </c>
      <c r="F197" s="104" t="s">
        <v>1917</v>
      </c>
      <c r="G197" s="104" t="s">
        <v>1918</v>
      </c>
      <c r="H197" s="104" t="s">
        <v>2467</v>
      </c>
      <c r="I197" s="104" t="s">
        <v>2468</v>
      </c>
      <c r="J197" s="104" t="s">
        <v>2469</v>
      </c>
      <c r="K197" s="104" t="s">
        <v>2470</v>
      </c>
      <c r="L197" s="104" t="s">
        <v>2471</v>
      </c>
      <c r="M197" s="104" t="s">
        <v>165</v>
      </c>
      <c r="N197" s="106"/>
      <c r="O197" s="104" t="s">
        <v>165</v>
      </c>
      <c r="P197" s="104" t="s">
        <v>2472</v>
      </c>
      <c r="Q197" s="105">
        <v>8102944.0</v>
      </c>
      <c r="R197" s="107"/>
    </row>
    <row r="198">
      <c r="A198" s="104" t="s">
        <v>1467</v>
      </c>
      <c r="B198" s="104" t="s">
        <v>2473</v>
      </c>
      <c r="C198" s="105">
        <v>9367003.0</v>
      </c>
      <c r="D198" s="104" t="s">
        <v>1916</v>
      </c>
      <c r="E198" s="105">
        <v>94.0</v>
      </c>
      <c r="F198" s="104" t="s">
        <v>1917</v>
      </c>
      <c r="G198" s="104" t="s">
        <v>1918</v>
      </c>
      <c r="H198" s="104" t="s">
        <v>522</v>
      </c>
      <c r="I198" s="104" t="s">
        <v>1937</v>
      </c>
      <c r="J198" s="104" t="s">
        <v>1938</v>
      </c>
      <c r="K198" s="104" t="s">
        <v>1939</v>
      </c>
      <c r="L198" s="104" t="s">
        <v>2474</v>
      </c>
      <c r="M198" s="104" t="s">
        <v>1467</v>
      </c>
      <c r="N198" s="106"/>
      <c r="O198" s="104" t="s">
        <v>1467</v>
      </c>
      <c r="P198" s="104" t="s">
        <v>2475</v>
      </c>
      <c r="Q198" s="105">
        <v>9367003.0</v>
      </c>
      <c r="R198" s="107"/>
    </row>
    <row r="199">
      <c r="A199" s="104" t="s">
        <v>1478</v>
      </c>
      <c r="B199" s="104" t="s">
        <v>2476</v>
      </c>
      <c r="C199" s="105">
        <v>9749285.0</v>
      </c>
      <c r="D199" s="104" t="s">
        <v>1943</v>
      </c>
      <c r="E199" s="105">
        <v>99.0</v>
      </c>
      <c r="F199" s="104" t="s">
        <v>1917</v>
      </c>
      <c r="G199" s="104" t="s">
        <v>1918</v>
      </c>
      <c r="H199" s="104" t="s">
        <v>1929</v>
      </c>
      <c r="I199" s="104" t="s">
        <v>1930</v>
      </c>
      <c r="J199" s="104" t="s">
        <v>1992</v>
      </c>
      <c r="K199" s="104" t="s">
        <v>233</v>
      </c>
      <c r="L199" s="104" t="s">
        <v>308</v>
      </c>
      <c r="M199" s="104" t="s">
        <v>1478</v>
      </c>
      <c r="N199" s="106"/>
      <c r="O199" s="104" t="s">
        <v>1478</v>
      </c>
      <c r="P199" s="106"/>
      <c r="Q199" s="105">
        <v>9749285.0</v>
      </c>
      <c r="R199" s="107"/>
    </row>
    <row r="200">
      <c r="A200" s="104" t="s">
        <v>302</v>
      </c>
      <c r="B200" s="104" t="s">
        <v>2477</v>
      </c>
      <c r="C200" s="105">
        <v>2482934.0</v>
      </c>
      <c r="D200" s="104" t="s">
        <v>1925</v>
      </c>
      <c r="E200" s="105">
        <v>99.0</v>
      </c>
      <c r="F200" s="104" t="s">
        <v>1917</v>
      </c>
      <c r="G200" s="104" t="s">
        <v>1926</v>
      </c>
      <c r="H200" s="104" t="s">
        <v>1929</v>
      </c>
      <c r="I200" s="104" t="s">
        <v>1983</v>
      </c>
      <c r="J200" s="104" t="s">
        <v>1984</v>
      </c>
      <c r="K200" s="104" t="s">
        <v>2075</v>
      </c>
      <c r="L200" s="104" t="s">
        <v>2076</v>
      </c>
      <c r="M200" s="104" t="s">
        <v>2478</v>
      </c>
      <c r="N200" s="104" t="s">
        <v>302</v>
      </c>
      <c r="O200" s="104" t="s">
        <v>302</v>
      </c>
      <c r="P200" s="104" t="s">
        <v>2479</v>
      </c>
      <c r="Q200" s="105">
        <v>2482934.0</v>
      </c>
      <c r="R200" s="107"/>
    </row>
    <row r="201">
      <c r="A201" s="104" t="s">
        <v>243</v>
      </c>
      <c r="B201" s="104" t="s">
        <v>2480</v>
      </c>
      <c r="C201" s="105">
        <v>2945047.0</v>
      </c>
      <c r="D201" s="104" t="s">
        <v>1925</v>
      </c>
      <c r="E201" s="105">
        <v>99.0</v>
      </c>
      <c r="F201" s="104" t="s">
        <v>1917</v>
      </c>
      <c r="G201" s="104" t="s">
        <v>1926</v>
      </c>
      <c r="H201" s="104" t="s">
        <v>1919</v>
      </c>
      <c r="I201" s="104" t="s">
        <v>1920</v>
      </c>
      <c r="J201" s="104" t="s">
        <v>1921</v>
      </c>
      <c r="K201" s="104" t="s">
        <v>1922</v>
      </c>
      <c r="L201" s="104" t="s">
        <v>665</v>
      </c>
      <c r="M201" s="104" t="s">
        <v>2481</v>
      </c>
      <c r="N201" s="104" t="s">
        <v>243</v>
      </c>
      <c r="O201" s="104" t="s">
        <v>243</v>
      </c>
      <c r="P201" s="104" t="s">
        <v>2482</v>
      </c>
      <c r="Q201" s="105">
        <v>2945047.0</v>
      </c>
      <c r="R201" s="107"/>
    </row>
    <row r="202">
      <c r="A202" s="104" t="s">
        <v>1746</v>
      </c>
      <c r="B202" s="104" t="s">
        <v>2483</v>
      </c>
      <c r="C202" s="105">
        <v>6258028.0</v>
      </c>
      <c r="D202" s="104" t="s">
        <v>1925</v>
      </c>
      <c r="E202" s="105">
        <v>99.0</v>
      </c>
      <c r="F202" s="104" t="s">
        <v>1917</v>
      </c>
      <c r="G202" s="104" t="s">
        <v>1926</v>
      </c>
      <c r="H202" s="104" t="s">
        <v>1929</v>
      </c>
      <c r="I202" s="104" t="s">
        <v>1930</v>
      </c>
      <c r="J202" s="104" t="s">
        <v>1931</v>
      </c>
      <c r="K202" s="104" t="s">
        <v>2484</v>
      </c>
      <c r="L202" s="104" t="s">
        <v>2485</v>
      </c>
      <c r="M202" s="104" t="s">
        <v>2486</v>
      </c>
      <c r="N202" s="104" t="s">
        <v>1746</v>
      </c>
      <c r="O202" s="104" t="s">
        <v>1746</v>
      </c>
      <c r="P202" s="104" t="s">
        <v>2487</v>
      </c>
      <c r="Q202" s="105">
        <v>6258028.0</v>
      </c>
      <c r="R202" s="107"/>
    </row>
    <row r="203">
      <c r="A203" s="104" t="s">
        <v>1283</v>
      </c>
      <c r="B203" s="104" t="s">
        <v>2488</v>
      </c>
      <c r="C203" s="105">
        <v>2526678.0</v>
      </c>
      <c r="D203" s="104" t="s">
        <v>1916</v>
      </c>
      <c r="E203" s="105">
        <v>94.0</v>
      </c>
      <c r="F203" s="104" t="s">
        <v>1917</v>
      </c>
      <c r="G203" s="104" t="s">
        <v>1918</v>
      </c>
      <c r="H203" s="104" t="s">
        <v>522</v>
      </c>
      <c r="I203" s="104" t="s">
        <v>1937</v>
      </c>
      <c r="J203" s="104" t="s">
        <v>1938</v>
      </c>
      <c r="K203" s="104" t="s">
        <v>1939</v>
      </c>
      <c r="L203" s="104" t="s">
        <v>2489</v>
      </c>
      <c r="M203" s="104" t="s">
        <v>1283</v>
      </c>
      <c r="N203" s="106"/>
      <c r="O203" s="104" t="s">
        <v>1283</v>
      </c>
      <c r="P203" s="104" t="s">
        <v>2490</v>
      </c>
      <c r="Q203" s="105">
        <v>2526678.0</v>
      </c>
      <c r="R203" s="107"/>
    </row>
    <row r="204">
      <c r="A204" s="104" t="s">
        <v>2491</v>
      </c>
      <c r="B204" s="104" t="s">
        <v>2492</v>
      </c>
      <c r="C204" s="105">
        <v>7309557.0</v>
      </c>
      <c r="D204" s="104" t="s">
        <v>1943</v>
      </c>
      <c r="E204" s="105">
        <v>-1.0</v>
      </c>
      <c r="F204" s="104" t="s">
        <v>1917</v>
      </c>
      <c r="G204" s="104" t="s">
        <v>2493</v>
      </c>
      <c r="H204" s="104" t="s">
        <v>1919</v>
      </c>
      <c r="I204" s="104" t="s">
        <v>1920</v>
      </c>
      <c r="J204" s="104" t="s">
        <v>1921</v>
      </c>
      <c r="K204" s="104" t="s">
        <v>1963</v>
      </c>
      <c r="L204" s="104" t="s">
        <v>2065</v>
      </c>
      <c r="M204" s="104" t="s">
        <v>2494</v>
      </c>
      <c r="N204" s="104" t="s">
        <v>2491</v>
      </c>
      <c r="O204" s="104" t="s">
        <v>2495</v>
      </c>
      <c r="Q204" s="105">
        <v>7309557.0</v>
      </c>
      <c r="R204" s="107"/>
    </row>
    <row r="205">
      <c r="A205" s="104" t="s">
        <v>448</v>
      </c>
      <c r="B205" s="104" t="s">
        <v>2496</v>
      </c>
      <c r="C205" s="105">
        <v>1902479.0</v>
      </c>
      <c r="D205" s="104" t="s">
        <v>1925</v>
      </c>
      <c r="E205" s="105">
        <v>99.0</v>
      </c>
      <c r="F205" s="104" t="s">
        <v>1917</v>
      </c>
      <c r="G205" s="104" t="s">
        <v>1926</v>
      </c>
      <c r="H205" s="104" t="s">
        <v>1929</v>
      </c>
      <c r="I205" s="104" t="s">
        <v>1930</v>
      </c>
      <c r="J205" s="104" t="s">
        <v>1931</v>
      </c>
      <c r="K205" s="104" t="s">
        <v>24</v>
      </c>
      <c r="L205" s="104" t="s">
        <v>1968</v>
      </c>
      <c r="M205" s="104" t="s">
        <v>2497</v>
      </c>
      <c r="N205" s="104" t="s">
        <v>448</v>
      </c>
      <c r="O205" s="104" t="s">
        <v>448</v>
      </c>
      <c r="P205" s="104" t="s">
        <v>2052</v>
      </c>
      <c r="Q205" s="105">
        <v>1902479.0</v>
      </c>
      <c r="R205" s="107"/>
    </row>
    <row r="206">
      <c r="A206" s="104" t="s">
        <v>560</v>
      </c>
      <c r="B206" s="104" t="s">
        <v>2498</v>
      </c>
      <c r="C206" s="105">
        <v>2483410.0</v>
      </c>
      <c r="D206" s="104" t="s">
        <v>1925</v>
      </c>
      <c r="E206" s="105">
        <v>99.0</v>
      </c>
      <c r="F206" s="104" t="s">
        <v>1917</v>
      </c>
      <c r="G206" s="104" t="s">
        <v>1926</v>
      </c>
      <c r="H206" s="104" t="s">
        <v>1929</v>
      </c>
      <c r="I206" s="104" t="s">
        <v>1983</v>
      </c>
      <c r="J206" s="104" t="s">
        <v>1984</v>
      </c>
      <c r="K206" s="104" t="s">
        <v>2075</v>
      </c>
      <c r="L206" s="104" t="s">
        <v>2076</v>
      </c>
      <c r="M206" s="104" t="s">
        <v>2499</v>
      </c>
      <c r="N206" s="104" t="s">
        <v>560</v>
      </c>
      <c r="O206" s="104" t="s">
        <v>560</v>
      </c>
      <c r="P206" s="104" t="s">
        <v>2230</v>
      </c>
      <c r="Q206" s="105">
        <v>2483410.0</v>
      </c>
      <c r="R206" s="107"/>
    </row>
    <row r="207">
      <c r="A207" s="104" t="s">
        <v>1830</v>
      </c>
      <c r="B207" s="104" t="s">
        <v>2500</v>
      </c>
      <c r="C207" s="105">
        <v>1340059.0</v>
      </c>
      <c r="D207" s="104" t="s">
        <v>1925</v>
      </c>
      <c r="E207" s="105">
        <v>99.0</v>
      </c>
      <c r="F207" s="104" t="s">
        <v>1917</v>
      </c>
      <c r="G207" s="104" t="s">
        <v>1926</v>
      </c>
      <c r="H207" s="104" t="s">
        <v>1929</v>
      </c>
      <c r="I207" s="104" t="s">
        <v>1930</v>
      </c>
      <c r="J207" s="104" t="s">
        <v>1931</v>
      </c>
      <c r="K207" s="104" t="s">
        <v>62</v>
      </c>
      <c r="L207" s="104" t="s">
        <v>1979</v>
      </c>
      <c r="M207" s="104" t="s">
        <v>2501</v>
      </c>
      <c r="N207" s="104" t="s">
        <v>1830</v>
      </c>
      <c r="O207" s="104" t="s">
        <v>1830</v>
      </c>
      <c r="P207" s="104" t="s">
        <v>2502</v>
      </c>
      <c r="Q207" s="105">
        <v>1340059.0</v>
      </c>
      <c r="R207" s="107"/>
    </row>
    <row r="208">
      <c r="A208" s="104" t="s">
        <v>2503</v>
      </c>
      <c r="B208" s="104" t="s">
        <v>2504</v>
      </c>
      <c r="C208" s="105">
        <v>1340076.0</v>
      </c>
      <c r="D208" s="104" t="s">
        <v>1925</v>
      </c>
      <c r="E208" s="105">
        <v>99.0</v>
      </c>
      <c r="F208" s="104" t="s">
        <v>1917</v>
      </c>
      <c r="G208" s="104" t="s">
        <v>1926</v>
      </c>
      <c r="H208" s="104" t="s">
        <v>1929</v>
      </c>
      <c r="I208" s="104" t="s">
        <v>1930</v>
      </c>
      <c r="J208" s="104" t="s">
        <v>1931</v>
      </c>
      <c r="K208" s="104" t="s">
        <v>62</v>
      </c>
      <c r="L208" s="104" t="s">
        <v>1979</v>
      </c>
      <c r="M208" s="104" t="s">
        <v>2501</v>
      </c>
      <c r="N208" s="104" t="s">
        <v>2503</v>
      </c>
      <c r="O208" s="104" t="s">
        <v>2503</v>
      </c>
      <c r="P208" s="104" t="s">
        <v>2505</v>
      </c>
      <c r="Q208" s="105">
        <v>1340076.0</v>
      </c>
      <c r="R208" s="107"/>
    </row>
    <row r="209">
      <c r="A209" s="104" t="s">
        <v>740</v>
      </c>
      <c r="B209" s="104" t="s">
        <v>2506</v>
      </c>
      <c r="C209" s="105">
        <v>7317831.0</v>
      </c>
      <c r="D209" s="104" t="s">
        <v>1925</v>
      </c>
      <c r="E209" s="105">
        <v>99.0</v>
      </c>
      <c r="F209" s="104" t="s">
        <v>1917</v>
      </c>
      <c r="G209" s="104" t="s">
        <v>1926</v>
      </c>
      <c r="H209" s="104" t="s">
        <v>1919</v>
      </c>
      <c r="I209" s="104" t="s">
        <v>1920</v>
      </c>
      <c r="J209" s="104" t="s">
        <v>1921</v>
      </c>
      <c r="K209" s="104" t="s">
        <v>2226</v>
      </c>
      <c r="L209" s="104" t="s">
        <v>727</v>
      </c>
      <c r="M209" s="104" t="s">
        <v>2507</v>
      </c>
      <c r="N209" s="104" t="s">
        <v>740</v>
      </c>
      <c r="O209" s="104" t="s">
        <v>740</v>
      </c>
      <c r="P209" s="104" t="s">
        <v>2508</v>
      </c>
      <c r="Q209" s="105">
        <v>7317831.0</v>
      </c>
      <c r="R209" s="107"/>
    </row>
    <row r="210">
      <c r="A210" s="104" t="s">
        <v>1717</v>
      </c>
      <c r="B210" s="104" t="s">
        <v>2509</v>
      </c>
      <c r="C210" s="105">
        <v>2021923.0</v>
      </c>
      <c r="D210" s="104" t="s">
        <v>1925</v>
      </c>
      <c r="E210" s="105">
        <v>99.0</v>
      </c>
      <c r="F210" s="104" t="s">
        <v>1917</v>
      </c>
      <c r="G210" s="104" t="s">
        <v>1926</v>
      </c>
      <c r="H210" s="104" t="s">
        <v>1929</v>
      </c>
      <c r="I210" s="104" t="s">
        <v>1930</v>
      </c>
      <c r="J210" s="104" t="s">
        <v>1931</v>
      </c>
      <c r="K210" s="104" t="s">
        <v>1178</v>
      </c>
      <c r="L210" s="104" t="s">
        <v>2510</v>
      </c>
      <c r="M210" s="104" t="s">
        <v>2511</v>
      </c>
      <c r="N210" s="104" t="s">
        <v>1717</v>
      </c>
      <c r="O210" s="104" t="s">
        <v>1717</v>
      </c>
      <c r="P210" s="104" t="s">
        <v>2512</v>
      </c>
      <c r="Q210" s="105">
        <v>2021923.0</v>
      </c>
      <c r="R210" s="107"/>
    </row>
    <row r="211">
      <c r="A211" s="104" t="s">
        <v>1193</v>
      </c>
      <c r="B211" s="104" t="s">
        <v>2513</v>
      </c>
      <c r="C211" s="105">
        <v>2481066.0</v>
      </c>
      <c r="D211" s="104" t="s">
        <v>1925</v>
      </c>
      <c r="E211" s="105">
        <v>99.0</v>
      </c>
      <c r="F211" s="104" t="s">
        <v>1917</v>
      </c>
      <c r="G211" s="104" t="s">
        <v>1926</v>
      </c>
      <c r="H211" s="104" t="s">
        <v>1929</v>
      </c>
      <c r="I211" s="104" t="s">
        <v>1983</v>
      </c>
      <c r="J211" s="104" t="s">
        <v>1984</v>
      </c>
      <c r="K211" s="104" t="s">
        <v>2085</v>
      </c>
      <c r="L211" s="104" t="s">
        <v>2086</v>
      </c>
      <c r="M211" s="104" t="s">
        <v>2514</v>
      </c>
      <c r="N211" s="104" t="s">
        <v>1193</v>
      </c>
      <c r="O211" s="104" t="s">
        <v>1193</v>
      </c>
      <c r="P211" s="104" t="s">
        <v>2515</v>
      </c>
      <c r="Q211" s="105">
        <v>2481066.0</v>
      </c>
      <c r="R211" s="107"/>
    </row>
    <row r="212">
      <c r="A212" s="104" t="s">
        <v>41</v>
      </c>
      <c r="B212" s="104" t="s">
        <v>2516</v>
      </c>
      <c r="C212" s="105">
        <v>2969284.0</v>
      </c>
      <c r="D212" s="104" t="s">
        <v>1925</v>
      </c>
      <c r="E212" s="105">
        <v>98.0</v>
      </c>
      <c r="F212" s="104" t="s">
        <v>1917</v>
      </c>
      <c r="G212" s="104" t="s">
        <v>1926</v>
      </c>
      <c r="H212" s="104" t="s">
        <v>1919</v>
      </c>
      <c r="I212" s="104" t="s">
        <v>1920</v>
      </c>
      <c r="J212" s="104" t="s">
        <v>1921</v>
      </c>
      <c r="K212" s="104" t="s">
        <v>1922</v>
      </c>
      <c r="L212" s="104" t="s">
        <v>665</v>
      </c>
      <c r="M212" s="104" t="s">
        <v>2517</v>
      </c>
      <c r="N212" s="104" t="s">
        <v>41</v>
      </c>
      <c r="O212" s="104" t="s">
        <v>41</v>
      </c>
      <c r="P212" s="104" t="s">
        <v>1960</v>
      </c>
      <c r="Q212" s="105">
        <v>2969284.0</v>
      </c>
      <c r="R212" s="107"/>
    </row>
    <row r="213">
      <c r="A213" s="104" t="s">
        <v>370</v>
      </c>
      <c r="B213" s="104" t="s">
        <v>2518</v>
      </c>
      <c r="C213" s="105">
        <v>5231675.0</v>
      </c>
      <c r="D213" s="104" t="s">
        <v>1925</v>
      </c>
      <c r="E213" s="105">
        <v>99.0</v>
      </c>
      <c r="F213" s="104" t="s">
        <v>1917</v>
      </c>
      <c r="G213" s="104" t="s">
        <v>1926</v>
      </c>
      <c r="H213" s="104" t="s">
        <v>1929</v>
      </c>
      <c r="I213" s="104" t="s">
        <v>1983</v>
      </c>
      <c r="J213" s="104" t="s">
        <v>1984</v>
      </c>
      <c r="K213" s="104" t="s">
        <v>2075</v>
      </c>
      <c r="L213" s="104" t="s">
        <v>2519</v>
      </c>
      <c r="M213" s="104" t="s">
        <v>2520</v>
      </c>
      <c r="N213" s="104" t="s">
        <v>370</v>
      </c>
      <c r="O213" s="104" t="s">
        <v>370</v>
      </c>
      <c r="P213" s="104" t="s">
        <v>2379</v>
      </c>
      <c r="Q213" s="105">
        <v>5231675.0</v>
      </c>
      <c r="R213" s="107"/>
    </row>
    <row r="214">
      <c r="A214" s="104" t="s">
        <v>95</v>
      </c>
      <c r="B214" s="104" t="s">
        <v>2521</v>
      </c>
      <c r="C214" s="105">
        <v>2166924.0</v>
      </c>
      <c r="D214" s="104" t="s">
        <v>1925</v>
      </c>
      <c r="E214" s="105">
        <v>99.0</v>
      </c>
      <c r="F214" s="104" t="s">
        <v>1917</v>
      </c>
      <c r="G214" s="104" t="s">
        <v>1926</v>
      </c>
      <c r="H214" s="104" t="s">
        <v>1929</v>
      </c>
      <c r="I214" s="104" t="s">
        <v>1930</v>
      </c>
      <c r="J214" s="104" t="s">
        <v>1992</v>
      </c>
      <c r="K214" s="104" t="s">
        <v>233</v>
      </c>
      <c r="L214" s="104" t="s">
        <v>2522</v>
      </c>
      <c r="M214" s="104" t="s">
        <v>2523</v>
      </c>
      <c r="N214" s="104" t="s">
        <v>95</v>
      </c>
      <c r="O214" s="104" t="s">
        <v>95</v>
      </c>
      <c r="P214" s="104" t="s">
        <v>2524</v>
      </c>
      <c r="Q214" s="105">
        <v>2166924.0</v>
      </c>
      <c r="R214" s="107"/>
    </row>
    <row r="215">
      <c r="A215" s="104" t="s">
        <v>211</v>
      </c>
      <c r="B215" s="104" t="s">
        <v>2525</v>
      </c>
      <c r="C215" s="105">
        <v>2484385.0</v>
      </c>
      <c r="D215" s="104" t="s">
        <v>1916</v>
      </c>
      <c r="E215" s="105">
        <v>94.0</v>
      </c>
      <c r="F215" s="104" t="s">
        <v>1917</v>
      </c>
      <c r="G215" s="104" t="s">
        <v>1918</v>
      </c>
      <c r="H215" s="104" t="s">
        <v>1929</v>
      </c>
      <c r="I215" s="104" t="s">
        <v>1983</v>
      </c>
      <c r="J215" s="104" t="s">
        <v>1984</v>
      </c>
      <c r="K215" s="104" t="s">
        <v>2075</v>
      </c>
      <c r="L215" s="104" t="s">
        <v>2526</v>
      </c>
      <c r="M215" s="104" t="s">
        <v>211</v>
      </c>
      <c r="N215" s="106"/>
      <c r="O215" s="104" t="s">
        <v>211</v>
      </c>
      <c r="P215" s="104" t="s">
        <v>2527</v>
      </c>
      <c r="Q215" s="105">
        <v>2484385.0</v>
      </c>
      <c r="R215" s="107"/>
    </row>
    <row r="216">
      <c r="A216" s="104" t="s">
        <v>99</v>
      </c>
      <c r="B216" s="104" t="s">
        <v>2528</v>
      </c>
      <c r="C216" s="105">
        <v>2484396.0</v>
      </c>
      <c r="D216" s="104" t="s">
        <v>1925</v>
      </c>
      <c r="E216" s="105">
        <v>99.0</v>
      </c>
      <c r="F216" s="104" t="s">
        <v>1917</v>
      </c>
      <c r="G216" s="104" t="s">
        <v>1926</v>
      </c>
      <c r="H216" s="104" t="s">
        <v>1929</v>
      </c>
      <c r="I216" s="104" t="s">
        <v>1983</v>
      </c>
      <c r="J216" s="104" t="s">
        <v>1984</v>
      </c>
      <c r="K216" s="104" t="s">
        <v>2075</v>
      </c>
      <c r="L216" s="104" t="s">
        <v>2526</v>
      </c>
      <c r="M216" s="104" t="s">
        <v>211</v>
      </c>
      <c r="N216" s="104" t="s">
        <v>99</v>
      </c>
      <c r="O216" s="104" t="s">
        <v>99</v>
      </c>
      <c r="P216" s="104" t="s">
        <v>2529</v>
      </c>
      <c r="Q216" s="105">
        <v>2484396.0</v>
      </c>
      <c r="R216" s="107"/>
    </row>
    <row r="217">
      <c r="A217" s="104" t="s">
        <v>1846</v>
      </c>
      <c r="B217" s="104" t="s">
        <v>2530</v>
      </c>
      <c r="C217" s="105">
        <v>2874581.0</v>
      </c>
      <c r="D217" s="104" t="s">
        <v>1925</v>
      </c>
      <c r="E217" s="105">
        <v>97.0</v>
      </c>
      <c r="F217" s="104" t="s">
        <v>1917</v>
      </c>
      <c r="G217" s="104" t="s">
        <v>1926</v>
      </c>
      <c r="H217" s="104" t="s">
        <v>1919</v>
      </c>
      <c r="I217" s="104" t="s">
        <v>1920</v>
      </c>
      <c r="J217" s="104" t="s">
        <v>1921</v>
      </c>
      <c r="K217" s="104" t="s">
        <v>2226</v>
      </c>
      <c r="L217" s="104" t="s">
        <v>727</v>
      </c>
      <c r="M217" s="104" t="s">
        <v>2531</v>
      </c>
      <c r="N217" s="104" t="s">
        <v>1846</v>
      </c>
      <c r="O217" s="104" t="s">
        <v>1846</v>
      </c>
      <c r="P217" s="104" t="s">
        <v>1960</v>
      </c>
      <c r="Q217" s="105">
        <v>2874581.0</v>
      </c>
      <c r="R217" s="107"/>
    </row>
    <row r="218">
      <c r="A218" s="104" t="s">
        <v>2532</v>
      </c>
      <c r="B218" s="104" t="s">
        <v>2533</v>
      </c>
      <c r="C218" s="105">
        <v>7429082.0</v>
      </c>
      <c r="D218" s="104" t="s">
        <v>1925</v>
      </c>
      <c r="E218" s="105">
        <v>99.0</v>
      </c>
      <c r="F218" s="104" t="s">
        <v>1917</v>
      </c>
      <c r="G218" s="104" t="s">
        <v>1926</v>
      </c>
      <c r="H218" s="104" t="s">
        <v>1929</v>
      </c>
      <c r="I218" s="104" t="s">
        <v>1983</v>
      </c>
      <c r="J218" s="104" t="s">
        <v>2210</v>
      </c>
      <c r="K218" s="104" t="s">
        <v>2534</v>
      </c>
      <c r="L218" s="104" t="s">
        <v>2535</v>
      </c>
      <c r="M218" s="104" t="s">
        <v>2536</v>
      </c>
      <c r="N218" s="104" t="s">
        <v>2532</v>
      </c>
      <c r="O218" s="104" t="s">
        <v>2532</v>
      </c>
      <c r="P218" s="104" t="s">
        <v>1981</v>
      </c>
      <c r="Q218" s="105">
        <v>7429082.0</v>
      </c>
      <c r="R218" s="107"/>
    </row>
    <row r="219">
      <c r="A219" s="104" t="s">
        <v>792</v>
      </c>
      <c r="B219" s="104" t="s">
        <v>2537</v>
      </c>
      <c r="C219" s="105">
        <v>1524843.0</v>
      </c>
      <c r="D219" s="104" t="s">
        <v>1925</v>
      </c>
      <c r="E219" s="105">
        <v>97.0</v>
      </c>
      <c r="F219" s="104" t="s">
        <v>1917</v>
      </c>
      <c r="G219" s="104" t="s">
        <v>1926</v>
      </c>
      <c r="H219" s="104" t="s">
        <v>1929</v>
      </c>
      <c r="I219" s="104" t="s">
        <v>1930</v>
      </c>
      <c r="J219" s="104" t="s">
        <v>1931</v>
      </c>
      <c r="K219" s="104" t="s">
        <v>525</v>
      </c>
      <c r="L219" s="104" t="s">
        <v>2538</v>
      </c>
      <c r="M219" s="104" t="s">
        <v>2539</v>
      </c>
      <c r="N219" s="104" t="s">
        <v>792</v>
      </c>
      <c r="O219" s="104" t="s">
        <v>792</v>
      </c>
      <c r="P219" s="104" t="s">
        <v>1981</v>
      </c>
      <c r="Q219" s="105">
        <v>1524843.0</v>
      </c>
      <c r="R219" s="107"/>
    </row>
    <row r="220">
      <c r="A220" s="104" t="s">
        <v>1492</v>
      </c>
      <c r="B220" s="104" t="s">
        <v>2540</v>
      </c>
      <c r="C220" s="105">
        <v>2483589.0</v>
      </c>
      <c r="D220" s="104" t="s">
        <v>1925</v>
      </c>
      <c r="E220" s="105">
        <v>99.0</v>
      </c>
      <c r="F220" s="104" t="s">
        <v>1917</v>
      </c>
      <c r="G220" s="104" t="s">
        <v>1926</v>
      </c>
      <c r="H220" s="104" t="s">
        <v>1929</v>
      </c>
      <c r="I220" s="104" t="s">
        <v>1983</v>
      </c>
      <c r="J220" s="104" t="s">
        <v>1984</v>
      </c>
      <c r="K220" s="104" t="s">
        <v>2075</v>
      </c>
      <c r="L220" s="104" t="s">
        <v>2076</v>
      </c>
      <c r="M220" s="104" t="s">
        <v>2541</v>
      </c>
      <c r="N220" s="104" t="s">
        <v>1492</v>
      </c>
      <c r="O220" s="104" t="s">
        <v>1492</v>
      </c>
      <c r="P220" s="104" t="s">
        <v>2542</v>
      </c>
      <c r="Q220" s="105">
        <v>2483589.0</v>
      </c>
      <c r="R220" s="107"/>
    </row>
    <row r="221">
      <c r="A221" s="104" t="s">
        <v>213</v>
      </c>
      <c r="B221" s="104" t="s">
        <v>2543</v>
      </c>
      <c r="C221" s="105">
        <v>2482913.0</v>
      </c>
      <c r="D221" s="104" t="s">
        <v>1925</v>
      </c>
      <c r="E221" s="105">
        <v>99.0</v>
      </c>
      <c r="F221" s="104" t="s">
        <v>1917</v>
      </c>
      <c r="G221" s="104" t="s">
        <v>1926</v>
      </c>
      <c r="H221" s="104" t="s">
        <v>1929</v>
      </c>
      <c r="I221" s="104" t="s">
        <v>1983</v>
      </c>
      <c r="J221" s="104" t="s">
        <v>1984</v>
      </c>
      <c r="K221" s="104" t="s">
        <v>2075</v>
      </c>
      <c r="L221" s="104" t="s">
        <v>2076</v>
      </c>
      <c r="M221" s="104" t="s">
        <v>2544</v>
      </c>
      <c r="N221" s="104" t="s">
        <v>213</v>
      </c>
      <c r="O221" s="104" t="s">
        <v>213</v>
      </c>
      <c r="P221" s="104" t="s">
        <v>1990</v>
      </c>
      <c r="Q221" s="105">
        <v>2482913.0</v>
      </c>
      <c r="R221" s="107"/>
    </row>
    <row r="222">
      <c r="A222" s="104" t="s">
        <v>2545</v>
      </c>
      <c r="B222" s="104" t="s">
        <v>2546</v>
      </c>
      <c r="C222" s="105">
        <v>3660652.0</v>
      </c>
      <c r="D222" s="104" t="s">
        <v>1925</v>
      </c>
      <c r="E222" s="105">
        <v>99.0</v>
      </c>
      <c r="F222" s="104" t="s">
        <v>1917</v>
      </c>
      <c r="G222" s="104" t="s">
        <v>1926</v>
      </c>
      <c r="H222" s="104" t="s">
        <v>1919</v>
      </c>
      <c r="I222" s="104" t="s">
        <v>1920</v>
      </c>
      <c r="J222" s="104" t="s">
        <v>1921</v>
      </c>
      <c r="K222" s="104" t="s">
        <v>2547</v>
      </c>
      <c r="L222" s="104" t="s">
        <v>2548</v>
      </c>
      <c r="M222" s="104" t="s">
        <v>2549</v>
      </c>
      <c r="N222" s="104" t="s">
        <v>2545</v>
      </c>
      <c r="O222" s="104" t="s">
        <v>2545</v>
      </c>
      <c r="P222" s="104" t="s">
        <v>2550</v>
      </c>
      <c r="Q222" s="105">
        <v>3660652.0</v>
      </c>
      <c r="R222" s="107"/>
    </row>
    <row r="223">
      <c r="A223" s="104" t="s">
        <v>101</v>
      </c>
      <c r="B223" s="104" t="s">
        <v>2551</v>
      </c>
      <c r="C223" s="105">
        <v>5230589.0</v>
      </c>
      <c r="D223" s="104" t="s">
        <v>1925</v>
      </c>
      <c r="E223" s="105">
        <v>99.0</v>
      </c>
      <c r="F223" s="104" t="s">
        <v>1917</v>
      </c>
      <c r="G223" s="104" t="s">
        <v>1926</v>
      </c>
      <c r="H223" s="104" t="s">
        <v>1929</v>
      </c>
      <c r="I223" s="104" t="s">
        <v>1983</v>
      </c>
      <c r="J223" s="104" t="s">
        <v>1984</v>
      </c>
      <c r="K223" s="104" t="s">
        <v>2075</v>
      </c>
      <c r="L223" s="104" t="s">
        <v>2154</v>
      </c>
      <c r="M223" s="104" t="s">
        <v>2552</v>
      </c>
      <c r="N223" s="104" t="s">
        <v>101</v>
      </c>
      <c r="O223" s="104" t="s">
        <v>101</v>
      </c>
      <c r="P223" s="104" t="s">
        <v>2553</v>
      </c>
      <c r="Q223" s="105">
        <v>5230589.0</v>
      </c>
      <c r="R223" s="107"/>
    </row>
    <row r="224">
      <c r="A224" s="104" t="s">
        <v>368</v>
      </c>
      <c r="B224" s="104" t="s">
        <v>2554</v>
      </c>
      <c r="C224" s="105">
        <v>4674010.0</v>
      </c>
      <c r="D224" s="104" t="s">
        <v>1916</v>
      </c>
      <c r="E224" s="105">
        <v>94.0</v>
      </c>
      <c r="F224" s="104" t="s">
        <v>1917</v>
      </c>
      <c r="G224" s="104" t="s">
        <v>1918</v>
      </c>
      <c r="H224" s="104" t="s">
        <v>1929</v>
      </c>
      <c r="I224" s="104" t="s">
        <v>1930</v>
      </c>
      <c r="J224" s="104" t="s">
        <v>1931</v>
      </c>
      <c r="K224" s="104" t="s">
        <v>62</v>
      </c>
      <c r="L224" s="104" t="s">
        <v>34</v>
      </c>
      <c r="M224" s="104" t="s">
        <v>368</v>
      </c>
      <c r="N224" s="106"/>
      <c r="O224" s="104" t="s">
        <v>368</v>
      </c>
      <c r="P224" s="104" t="s">
        <v>2555</v>
      </c>
      <c r="Q224" s="105">
        <v>4674010.0</v>
      </c>
      <c r="R224" s="107"/>
    </row>
    <row r="225">
      <c r="A225" s="104" t="s">
        <v>375</v>
      </c>
      <c r="B225" s="104" t="s">
        <v>2556</v>
      </c>
      <c r="C225" s="105">
        <v>9531202.0</v>
      </c>
      <c r="D225" s="104" t="s">
        <v>1925</v>
      </c>
      <c r="E225" s="105">
        <v>98.0</v>
      </c>
      <c r="F225" s="104" t="s">
        <v>1976</v>
      </c>
      <c r="G225" s="104" t="s">
        <v>1926</v>
      </c>
      <c r="H225" s="104" t="s">
        <v>1929</v>
      </c>
      <c r="I225" s="104" t="s">
        <v>1930</v>
      </c>
      <c r="J225" s="104" t="s">
        <v>1931</v>
      </c>
      <c r="K225" s="104" t="s">
        <v>62</v>
      </c>
      <c r="L225" s="104" t="s">
        <v>34</v>
      </c>
      <c r="M225" s="104" t="s">
        <v>2557</v>
      </c>
      <c r="N225" s="104" t="s">
        <v>2558</v>
      </c>
      <c r="O225" s="104" t="s">
        <v>375</v>
      </c>
      <c r="P225" s="104" t="s">
        <v>2052</v>
      </c>
      <c r="Q225" s="105">
        <v>9531202.0</v>
      </c>
      <c r="R225" s="107"/>
    </row>
    <row r="226">
      <c r="A226" s="104" t="s">
        <v>158</v>
      </c>
      <c r="B226" s="104" t="s">
        <v>2559</v>
      </c>
      <c r="C226" s="105">
        <v>8264893.0</v>
      </c>
      <c r="D226" s="104" t="s">
        <v>1925</v>
      </c>
      <c r="E226" s="105">
        <v>99.0</v>
      </c>
      <c r="F226" s="104" t="s">
        <v>1917</v>
      </c>
      <c r="G226" s="104" t="s">
        <v>1926</v>
      </c>
      <c r="H226" s="104" t="s">
        <v>1929</v>
      </c>
      <c r="I226" s="104" t="s">
        <v>1930</v>
      </c>
      <c r="J226" s="104" t="s">
        <v>1992</v>
      </c>
      <c r="K226" s="104" t="s">
        <v>233</v>
      </c>
      <c r="L226" s="104" t="s">
        <v>249</v>
      </c>
      <c r="M226" s="104" t="s">
        <v>2560</v>
      </c>
      <c r="N226" s="104" t="s">
        <v>158</v>
      </c>
      <c r="O226" s="104" t="s">
        <v>158</v>
      </c>
      <c r="P226" s="104" t="s">
        <v>1999</v>
      </c>
      <c r="Q226" s="105">
        <v>8264893.0</v>
      </c>
      <c r="R226" s="107"/>
    </row>
    <row r="227">
      <c r="A227" s="104" t="s">
        <v>1489</v>
      </c>
      <c r="B227" s="104" t="s">
        <v>2561</v>
      </c>
      <c r="C227" s="105">
        <v>2650927.0</v>
      </c>
      <c r="D227" s="104" t="s">
        <v>1925</v>
      </c>
      <c r="E227" s="105">
        <v>99.0</v>
      </c>
      <c r="F227" s="104" t="s">
        <v>1917</v>
      </c>
      <c r="G227" s="104" t="s">
        <v>1926</v>
      </c>
      <c r="H227" s="104" t="s">
        <v>1919</v>
      </c>
      <c r="I227" s="104" t="s">
        <v>1920</v>
      </c>
      <c r="J227" s="104" t="s">
        <v>2129</v>
      </c>
      <c r="K227" s="104" t="s">
        <v>2130</v>
      </c>
      <c r="L227" s="104" t="s">
        <v>2562</v>
      </c>
      <c r="M227" s="104" t="s">
        <v>2563</v>
      </c>
      <c r="N227" s="104" t="s">
        <v>1489</v>
      </c>
      <c r="O227" s="104" t="s">
        <v>1489</v>
      </c>
      <c r="P227" s="104" t="s">
        <v>2564</v>
      </c>
      <c r="Q227" s="105">
        <v>2650927.0</v>
      </c>
      <c r="R227" s="107"/>
    </row>
    <row r="228">
      <c r="A228" s="104" t="s">
        <v>1849</v>
      </c>
      <c r="B228" s="104" t="s">
        <v>2565</v>
      </c>
      <c r="C228" s="105">
        <v>2928774.0</v>
      </c>
      <c r="D228" s="104" t="s">
        <v>1925</v>
      </c>
      <c r="E228" s="105">
        <v>99.0</v>
      </c>
      <c r="F228" s="104" t="s">
        <v>1917</v>
      </c>
      <c r="G228" s="104" t="s">
        <v>1926</v>
      </c>
      <c r="H228" s="104" t="s">
        <v>1919</v>
      </c>
      <c r="I228" s="104" t="s">
        <v>1920</v>
      </c>
      <c r="J228" s="104" t="s">
        <v>1921</v>
      </c>
      <c r="K228" s="104" t="s">
        <v>2362</v>
      </c>
      <c r="L228" s="104" t="s">
        <v>2462</v>
      </c>
      <c r="M228" s="104" t="s">
        <v>2566</v>
      </c>
      <c r="N228" s="104" t="s">
        <v>1849</v>
      </c>
      <c r="O228" s="104" t="s">
        <v>1849</v>
      </c>
      <c r="P228" s="104" t="s">
        <v>1960</v>
      </c>
      <c r="Q228" s="105">
        <v>2928774.0</v>
      </c>
      <c r="R228" s="107"/>
    </row>
    <row r="229">
      <c r="A229" s="104" t="s">
        <v>453</v>
      </c>
      <c r="B229" s="104" t="s">
        <v>2567</v>
      </c>
      <c r="C229" s="105">
        <v>2489208.0</v>
      </c>
      <c r="D229" s="104" t="s">
        <v>1925</v>
      </c>
      <c r="E229" s="105">
        <v>99.0</v>
      </c>
      <c r="F229" s="104" t="s">
        <v>1917</v>
      </c>
      <c r="G229" s="104" t="s">
        <v>1926</v>
      </c>
      <c r="H229" s="104" t="s">
        <v>1929</v>
      </c>
      <c r="I229" s="104" t="s">
        <v>1983</v>
      </c>
      <c r="J229" s="104" t="s">
        <v>1984</v>
      </c>
      <c r="K229" s="104" t="s">
        <v>2075</v>
      </c>
      <c r="L229" s="104" t="s">
        <v>1710</v>
      </c>
      <c r="M229" s="104" t="s">
        <v>2568</v>
      </c>
      <c r="N229" s="104" t="s">
        <v>453</v>
      </c>
      <c r="O229" s="104" t="s">
        <v>453</v>
      </c>
      <c r="P229" s="104" t="s">
        <v>2569</v>
      </c>
      <c r="Q229" s="105">
        <v>2489208.0</v>
      </c>
      <c r="R229" s="107"/>
    </row>
    <row r="230">
      <c r="A230" s="104" t="s">
        <v>535</v>
      </c>
      <c r="B230" s="104" t="s">
        <v>535</v>
      </c>
      <c r="C230" s="105">
        <v>789.0</v>
      </c>
      <c r="D230" s="104" t="s">
        <v>1916</v>
      </c>
      <c r="E230" s="105">
        <v>94.0</v>
      </c>
      <c r="F230" s="104" t="s">
        <v>1917</v>
      </c>
      <c r="G230" s="104" t="s">
        <v>1991</v>
      </c>
      <c r="H230" s="104" t="s">
        <v>1929</v>
      </c>
      <c r="I230" s="104" t="s">
        <v>1930</v>
      </c>
      <c r="J230" s="104" t="s">
        <v>1931</v>
      </c>
      <c r="K230" s="104" t="s">
        <v>535</v>
      </c>
      <c r="L230" s="106"/>
      <c r="M230" s="106"/>
      <c r="N230" s="106"/>
      <c r="O230" s="104" t="s">
        <v>535</v>
      </c>
      <c r="P230" s="106"/>
      <c r="Q230" s="105">
        <v>789.0</v>
      </c>
      <c r="R230" s="107"/>
    </row>
    <row r="231">
      <c r="A231" s="104" t="s">
        <v>977</v>
      </c>
      <c r="B231" s="104" t="s">
        <v>2570</v>
      </c>
      <c r="C231" s="105">
        <v>1317162.0</v>
      </c>
      <c r="D231" s="104" t="s">
        <v>1916</v>
      </c>
      <c r="E231" s="105">
        <v>92.0</v>
      </c>
      <c r="F231" s="104" t="s">
        <v>1917</v>
      </c>
      <c r="G231" s="104" t="s">
        <v>1918</v>
      </c>
      <c r="H231" s="104" t="s">
        <v>1929</v>
      </c>
      <c r="I231" s="104" t="s">
        <v>1930</v>
      </c>
      <c r="J231" s="104" t="s">
        <v>1931</v>
      </c>
      <c r="K231" s="104" t="s">
        <v>62</v>
      </c>
      <c r="L231" s="104" t="s">
        <v>34</v>
      </c>
      <c r="M231" s="104" t="s">
        <v>977</v>
      </c>
      <c r="O231" s="104" t="s">
        <v>977</v>
      </c>
      <c r="P231" s="104" t="s">
        <v>2571</v>
      </c>
      <c r="Q231" s="105">
        <v>1317162.0</v>
      </c>
      <c r="R231" s="107"/>
    </row>
    <row r="232">
      <c r="A232" s="104" t="s">
        <v>1396</v>
      </c>
      <c r="B232" s="104" t="s">
        <v>2572</v>
      </c>
      <c r="C232" s="105">
        <v>1.2001926E7</v>
      </c>
      <c r="D232" s="104" t="s">
        <v>1943</v>
      </c>
      <c r="E232" s="105">
        <v>-2.0</v>
      </c>
      <c r="F232" s="104" t="s">
        <v>1976</v>
      </c>
      <c r="G232" s="104" t="s">
        <v>2493</v>
      </c>
      <c r="H232" s="104" t="s">
        <v>1919</v>
      </c>
      <c r="I232" s="104" t="s">
        <v>1920</v>
      </c>
      <c r="J232" s="104" t="s">
        <v>1972</v>
      </c>
      <c r="K232" s="104" t="s">
        <v>2119</v>
      </c>
      <c r="L232" s="104" t="s">
        <v>2573</v>
      </c>
      <c r="M232" s="104" t="s">
        <v>2574</v>
      </c>
      <c r="N232" s="104" t="s">
        <v>2575</v>
      </c>
      <c r="O232" s="104" t="s">
        <v>2576</v>
      </c>
      <c r="Q232" s="105">
        <v>1.2001926E7</v>
      </c>
      <c r="R232" s="107"/>
    </row>
    <row r="233">
      <c r="A233" s="104" t="s">
        <v>886</v>
      </c>
      <c r="B233" s="104" t="s">
        <v>2577</v>
      </c>
      <c r="C233" s="105">
        <v>2911970.0</v>
      </c>
      <c r="D233" s="104" t="s">
        <v>1925</v>
      </c>
      <c r="E233" s="105">
        <v>97.0</v>
      </c>
      <c r="F233" s="104" t="s">
        <v>1917</v>
      </c>
      <c r="G233" s="104" t="s">
        <v>1926</v>
      </c>
      <c r="H233" s="104" t="s">
        <v>1919</v>
      </c>
      <c r="I233" s="104" t="s">
        <v>1920</v>
      </c>
      <c r="J233" s="104" t="s">
        <v>1921</v>
      </c>
      <c r="K233" s="104" t="s">
        <v>2578</v>
      </c>
      <c r="L233" s="104" t="s">
        <v>2579</v>
      </c>
      <c r="M233" s="104" t="s">
        <v>2580</v>
      </c>
      <c r="N233" s="104" t="s">
        <v>886</v>
      </c>
      <c r="O233" s="104" t="s">
        <v>886</v>
      </c>
      <c r="P233" s="104" t="s">
        <v>1960</v>
      </c>
      <c r="Q233" s="105">
        <v>2911970.0</v>
      </c>
      <c r="R233" s="107"/>
    </row>
    <row r="234">
      <c r="A234" s="104" t="s">
        <v>1731</v>
      </c>
      <c r="B234" s="104" t="s">
        <v>2581</v>
      </c>
      <c r="C234" s="105">
        <v>6104825.0</v>
      </c>
      <c r="D234" s="104" t="s">
        <v>1916</v>
      </c>
      <c r="E234" s="105">
        <v>94.0</v>
      </c>
      <c r="F234" s="104" t="s">
        <v>1917</v>
      </c>
      <c r="G234" s="104" t="s">
        <v>1918</v>
      </c>
      <c r="H234" s="104" t="s">
        <v>1929</v>
      </c>
      <c r="I234" s="104" t="s">
        <v>2044</v>
      </c>
      <c r="J234" s="104" t="s">
        <v>2045</v>
      </c>
      <c r="K234" s="104" t="s">
        <v>2582</v>
      </c>
      <c r="L234" s="104" t="s">
        <v>2583</v>
      </c>
      <c r="M234" s="104" t="s">
        <v>1731</v>
      </c>
      <c r="N234" s="106"/>
      <c r="O234" s="104" t="s">
        <v>1731</v>
      </c>
      <c r="P234" s="104" t="s">
        <v>2584</v>
      </c>
      <c r="Q234" s="105">
        <v>6104825.0</v>
      </c>
      <c r="R234" s="107"/>
    </row>
    <row r="235">
      <c r="A235" s="104" t="s">
        <v>934</v>
      </c>
      <c r="B235" s="104" t="s">
        <v>2585</v>
      </c>
      <c r="C235" s="105">
        <v>1704671.0</v>
      </c>
      <c r="D235" s="104" t="s">
        <v>1916</v>
      </c>
      <c r="E235" s="105">
        <v>94.0</v>
      </c>
      <c r="F235" s="104" t="s">
        <v>1917</v>
      </c>
      <c r="G235" s="104" t="s">
        <v>1918</v>
      </c>
      <c r="H235" s="104" t="s">
        <v>1929</v>
      </c>
      <c r="I235" s="104" t="s">
        <v>1930</v>
      </c>
      <c r="J235" s="104" t="s">
        <v>1931</v>
      </c>
      <c r="K235" s="104" t="s">
        <v>2389</v>
      </c>
      <c r="L235" s="104" t="s">
        <v>2586</v>
      </c>
      <c r="M235" s="104" t="s">
        <v>934</v>
      </c>
      <c r="N235" s="106"/>
      <c r="O235" s="104" t="s">
        <v>934</v>
      </c>
      <c r="P235" s="104" t="s">
        <v>2587</v>
      </c>
      <c r="Q235" s="105">
        <v>1704671.0</v>
      </c>
      <c r="R235" s="107"/>
    </row>
    <row r="236">
      <c r="A236" s="104" t="s">
        <v>503</v>
      </c>
      <c r="B236" s="104" t="s">
        <v>2588</v>
      </c>
      <c r="C236" s="105">
        <v>1704724.0</v>
      </c>
      <c r="D236" s="104" t="s">
        <v>1925</v>
      </c>
      <c r="E236" s="105">
        <v>99.0</v>
      </c>
      <c r="F236" s="104" t="s">
        <v>1917</v>
      </c>
      <c r="G236" s="104" t="s">
        <v>1926</v>
      </c>
      <c r="H236" s="104" t="s">
        <v>1929</v>
      </c>
      <c r="I236" s="104" t="s">
        <v>1930</v>
      </c>
      <c r="J236" s="104" t="s">
        <v>1931</v>
      </c>
      <c r="K236" s="104" t="s">
        <v>2389</v>
      </c>
      <c r="L236" s="104" t="s">
        <v>2586</v>
      </c>
      <c r="M236" s="104" t="s">
        <v>934</v>
      </c>
      <c r="N236" s="104" t="s">
        <v>503</v>
      </c>
      <c r="O236" s="104" t="s">
        <v>503</v>
      </c>
      <c r="P236" s="104" t="s">
        <v>2073</v>
      </c>
      <c r="Q236" s="105">
        <v>1704724.0</v>
      </c>
      <c r="R236" s="107"/>
    </row>
    <row r="237">
      <c r="A237" s="104" t="s">
        <v>1406</v>
      </c>
      <c r="B237" s="104" t="s">
        <v>2589</v>
      </c>
      <c r="C237" s="105">
        <v>2891642.0</v>
      </c>
      <c r="D237" s="104" t="s">
        <v>1916</v>
      </c>
      <c r="E237" s="105">
        <v>94.0</v>
      </c>
      <c r="F237" s="104" t="s">
        <v>1917</v>
      </c>
      <c r="G237" s="104" t="s">
        <v>1918</v>
      </c>
      <c r="H237" s="104" t="s">
        <v>1919</v>
      </c>
      <c r="I237" s="104" t="s">
        <v>1920</v>
      </c>
      <c r="J237" s="104" t="s">
        <v>1921</v>
      </c>
      <c r="K237" s="104" t="s">
        <v>2590</v>
      </c>
      <c r="L237" s="104" t="s">
        <v>2591</v>
      </c>
      <c r="M237" s="104" t="s">
        <v>1406</v>
      </c>
      <c r="N237" s="106"/>
      <c r="O237" s="104" t="s">
        <v>1406</v>
      </c>
      <c r="P237" s="104" t="s">
        <v>1960</v>
      </c>
      <c r="Q237" s="105">
        <v>2891642.0</v>
      </c>
      <c r="R237" s="107"/>
    </row>
    <row r="238">
      <c r="A238" s="104" t="s">
        <v>390</v>
      </c>
      <c r="B238" s="104" t="s">
        <v>2592</v>
      </c>
      <c r="C238" s="105">
        <v>2891750.0</v>
      </c>
      <c r="D238" s="104" t="s">
        <v>1925</v>
      </c>
      <c r="E238" s="105">
        <v>97.0</v>
      </c>
      <c r="F238" s="104" t="s">
        <v>1917</v>
      </c>
      <c r="G238" s="104" t="s">
        <v>1926</v>
      </c>
      <c r="H238" s="104" t="s">
        <v>1919</v>
      </c>
      <c r="I238" s="104" t="s">
        <v>1920</v>
      </c>
      <c r="J238" s="104" t="s">
        <v>1921</v>
      </c>
      <c r="K238" s="104" t="s">
        <v>2590</v>
      </c>
      <c r="L238" s="104" t="s">
        <v>2591</v>
      </c>
      <c r="M238" s="104" t="s">
        <v>1406</v>
      </c>
      <c r="N238" s="104" t="s">
        <v>390</v>
      </c>
      <c r="O238" s="104" t="s">
        <v>390</v>
      </c>
      <c r="P238" s="104" t="s">
        <v>1960</v>
      </c>
      <c r="Q238" s="105">
        <v>2891750.0</v>
      </c>
      <c r="R238" s="107"/>
    </row>
    <row r="239">
      <c r="A239" s="104" t="s">
        <v>171</v>
      </c>
      <c r="B239" s="104" t="s">
        <v>2593</v>
      </c>
      <c r="C239" s="105">
        <v>8427624.0</v>
      </c>
      <c r="D239" s="104" t="s">
        <v>1925</v>
      </c>
      <c r="E239" s="105">
        <v>99.0</v>
      </c>
      <c r="F239" s="104" t="s">
        <v>1917</v>
      </c>
      <c r="G239" s="104" t="s">
        <v>1926</v>
      </c>
      <c r="H239" s="104" t="s">
        <v>1919</v>
      </c>
      <c r="I239" s="104" t="s">
        <v>1920</v>
      </c>
      <c r="J239" s="104" t="s">
        <v>1921</v>
      </c>
      <c r="K239" s="104" t="s">
        <v>2590</v>
      </c>
      <c r="L239" s="104" t="s">
        <v>2591</v>
      </c>
      <c r="M239" s="104" t="s">
        <v>1406</v>
      </c>
      <c r="N239" s="104" t="s">
        <v>171</v>
      </c>
      <c r="O239" s="104" t="s">
        <v>171</v>
      </c>
      <c r="P239" s="104" t="s">
        <v>1960</v>
      </c>
      <c r="Q239" s="105">
        <v>8427624.0</v>
      </c>
      <c r="R239" s="108"/>
    </row>
    <row r="240">
      <c r="A240" s="104" t="s">
        <v>652</v>
      </c>
      <c r="B240" s="104" t="s">
        <v>2594</v>
      </c>
      <c r="C240" s="105">
        <v>2891755.0</v>
      </c>
      <c r="D240" s="104" t="s">
        <v>1925</v>
      </c>
      <c r="E240" s="105">
        <v>97.0</v>
      </c>
      <c r="F240" s="104" t="s">
        <v>1917</v>
      </c>
      <c r="G240" s="104" t="s">
        <v>1926</v>
      </c>
      <c r="H240" s="104" t="s">
        <v>1919</v>
      </c>
      <c r="I240" s="104" t="s">
        <v>1920</v>
      </c>
      <c r="J240" s="104" t="s">
        <v>1921</v>
      </c>
      <c r="K240" s="104" t="s">
        <v>2590</v>
      </c>
      <c r="L240" s="104" t="s">
        <v>2591</v>
      </c>
      <c r="M240" s="104" t="s">
        <v>1406</v>
      </c>
      <c r="N240" s="104" t="s">
        <v>652</v>
      </c>
      <c r="O240" s="104" t="s">
        <v>652</v>
      </c>
      <c r="P240" s="104" t="s">
        <v>2595</v>
      </c>
      <c r="Q240" s="105">
        <v>2891755.0</v>
      </c>
      <c r="R240" s="107"/>
    </row>
    <row r="241">
      <c r="A241" s="104" t="s">
        <v>491</v>
      </c>
      <c r="B241" s="104" t="s">
        <v>2596</v>
      </c>
      <c r="C241" s="105">
        <v>1017419.0</v>
      </c>
      <c r="D241" s="104" t="s">
        <v>1925</v>
      </c>
      <c r="E241" s="105">
        <v>99.0</v>
      </c>
      <c r="F241" s="104" t="s">
        <v>1917</v>
      </c>
      <c r="G241" s="104" t="s">
        <v>1926</v>
      </c>
      <c r="H241" s="104" t="s">
        <v>1929</v>
      </c>
      <c r="I241" s="104" t="s">
        <v>1930</v>
      </c>
      <c r="J241" s="104" t="s">
        <v>2274</v>
      </c>
      <c r="K241" s="104" t="s">
        <v>2597</v>
      </c>
      <c r="L241" s="104" t="s">
        <v>2598</v>
      </c>
      <c r="M241" s="104" t="s">
        <v>2599</v>
      </c>
      <c r="N241" s="104" t="s">
        <v>491</v>
      </c>
      <c r="O241" s="104" t="s">
        <v>491</v>
      </c>
      <c r="P241" s="104" t="s">
        <v>2600</v>
      </c>
      <c r="Q241" s="105">
        <v>1017419.0</v>
      </c>
      <c r="R241" s="107"/>
    </row>
    <row r="242">
      <c r="A242" s="104" t="s">
        <v>646</v>
      </c>
      <c r="B242" s="104" t="s">
        <v>2601</v>
      </c>
      <c r="C242" s="105">
        <v>1533359.0</v>
      </c>
      <c r="D242" s="104" t="s">
        <v>1925</v>
      </c>
      <c r="E242" s="105">
        <v>99.0</v>
      </c>
      <c r="F242" s="104" t="s">
        <v>1917</v>
      </c>
      <c r="G242" s="104" t="s">
        <v>1926</v>
      </c>
      <c r="H242" s="104" t="s">
        <v>1929</v>
      </c>
      <c r="I242" s="104" t="s">
        <v>1930</v>
      </c>
      <c r="J242" s="104" t="s">
        <v>1931</v>
      </c>
      <c r="K242" s="104" t="s">
        <v>525</v>
      </c>
      <c r="L242" s="104" t="s">
        <v>2602</v>
      </c>
      <c r="M242" s="104" t="s">
        <v>269</v>
      </c>
      <c r="N242" s="104" t="s">
        <v>646</v>
      </c>
      <c r="O242" s="104" t="s">
        <v>646</v>
      </c>
      <c r="P242" s="104" t="s">
        <v>2603</v>
      </c>
      <c r="Q242" s="105">
        <v>1533359.0</v>
      </c>
      <c r="R242" s="107"/>
    </row>
    <row r="243">
      <c r="A243" s="104" t="s">
        <v>253</v>
      </c>
      <c r="B243" s="104" t="s">
        <v>2604</v>
      </c>
      <c r="C243" s="105">
        <v>7562245.0</v>
      </c>
      <c r="D243" s="104" t="s">
        <v>1925</v>
      </c>
      <c r="E243" s="105">
        <v>97.0</v>
      </c>
      <c r="F243" s="104" t="s">
        <v>1917</v>
      </c>
      <c r="G243" s="104" t="s">
        <v>1926</v>
      </c>
      <c r="H243" s="104" t="s">
        <v>1919</v>
      </c>
      <c r="I243" s="104" t="s">
        <v>1920</v>
      </c>
      <c r="J243" s="104" t="s">
        <v>1972</v>
      </c>
      <c r="K243" s="104" t="s">
        <v>1973</v>
      </c>
      <c r="L243" s="104" t="s">
        <v>1265</v>
      </c>
      <c r="M243" s="104" t="s">
        <v>2605</v>
      </c>
      <c r="N243" s="104" t="s">
        <v>253</v>
      </c>
      <c r="O243" s="104" t="s">
        <v>253</v>
      </c>
      <c r="P243" s="104" t="s">
        <v>2606</v>
      </c>
      <c r="Q243" s="105">
        <v>7562245.0</v>
      </c>
      <c r="R243" s="107"/>
    </row>
    <row r="244">
      <c r="A244" s="104" t="s">
        <v>1419</v>
      </c>
      <c r="B244" s="104" t="s">
        <v>2607</v>
      </c>
      <c r="C244" s="105">
        <v>2480410.0</v>
      </c>
      <c r="D244" s="104" t="s">
        <v>1925</v>
      </c>
      <c r="E244" s="105">
        <v>99.0</v>
      </c>
      <c r="F244" s="104" t="s">
        <v>1917</v>
      </c>
      <c r="G244" s="104" t="s">
        <v>1926</v>
      </c>
      <c r="H244" s="104" t="s">
        <v>1929</v>
      </c>
      <c r="I244" s="104" t="s">
        <v>1983</v>
      </c>
      <c r="J244" s="104" t="s">
        <v>1984</v>
      </c>
      <c r="K244" s="104" t="s">
        <v>2090</v>
      </c>
      <c r="L244" s="104" t="s">
        <v>2608</v>
      </c>
      <c r="M244" s="104" t="s">
        <v>2609</v>
      </c>
      <c r="N244" s="104" t="s">
        <v>1419</v>
      </c>
      <c r="O244" s="104" t="s">
        <v>1419</v>
      </c>
      <c r="P244" s="104" t="s">
        <v>2078</v>
      </c>
      <c r="Q244" s="105">
        <v>2480410.0</v>
      </c>
      <c r="R244" s="107"/>
    </row>
    <row r="245">
      <c r="A245" s="104" t="s">
        <v>148</v>
      </c>
      <c r="B245" s="104" t="s">
        <v>2610</v>
      </c>
      <c r="C245" s="105">
        <v>3086784.0</v>
      </c>
      <c r="D245" s="104" t="s">
        <v>1925</v>
      </c>
      <c r="E245" s="105">
        <v>98.0</v>
      </c>
      <c r="F245" s="104" t="s">
        <v>1917</v>
      </c>
      <c r="G245" s="104" t="s">
        <v>1926</v>
      </c>
      <c r="H245" s="104" t="s">
        <v>1919</v>
      </c>
      <c r="I245" s="104" t="s">
        <v>1920</v>
      </c>
      <c r="J245" s="104" t="s">
        <v>1921</v>
      </c>
      <c r="K245" s="104" t="s">
        <v>2019</v>
      </c>
      <c r="L245" s="104" t="s">
        <v>979</v>
      </c>
      <c r="M245" s="104" t="s">
        <v>2611</v>
      </c>
      <c r="N245" s="104" t="s">
        <v>148</v>
      </c>
      <c r="O245" s="104" t="s">
        <v>148</v>
      </c>
      <c r="P245" s="104" t="s">
        <v>1960</v>
      </c>
      <c r="Q245" s="105">
        <v>3086784.0</v>
      </c>
      <c r="R245" s="107"/>
    </row>
    <row r="246">
      <c r="A246" s="104" t="s">
        <v>1280</v>
      </c>
      <c r="B246" s="104" t="s">
        <v>2612</v>
      </c>
      <c r="C246" s="105">
        <v>2705621.0</v>
      </c>
      <c r="D246" s="104" t="s">
        <v>1925</v>
      </c>
      <c r="E246" s="105">
        <v>99.0</v>
      </c>
      <c r="F246" s="104" t="s">
        <v>1917</v>
      </c>
      <c r="G246" s="104" t="s">
        <v>1926</v>
      </c>
      <c r="H246" s="104" t="s">
        <v>1919</v>
      </c>
      <c r="I246" s="104" t="s">
        <v>1920</v>
      </c>
      <c r="J246" s="104" t="s">
        <v>1972</v>
      </c>
      <c r="K246" s="104" t="s">
        <v>1973</v>
      </c>
      <c r="L246" s="104" t="s">
        <v>1265</v>
      </c>
      <c r="M246" s="104" t="s">
        <v>2613</v>
      </c>
      <c r="N246" s="104" t="s">
        <v>1280</v>
      </c>
      <c r="O246" s="104" t="s">
        <v>1280</v>
      </c>
      <c r="P246" s="104" t="s">
        <v>2614</v>
      </c>
      <c r="Q246" s="105">
        <v>2705621.0</v>
      </c>
      <c r="R246" s="107"/>
    </row>
    <row r="247">
      <c r="A247" s="104" t="s">
        <v>225</v>
      </c>
      <c r="B247" s="104" t="s">
        <v>2615</v>
      </c>
      <c r="C247" s="105">
        <v>5231190.0</v>
      </c>
      <c r="D247" s="104" t="s">
        <v>1925</v>
      </c>
      <c r="E247" s="105">
        <v>99.0</v>
      </c>
      <c r="F247" s="104" t="s">
        <v>1917</v>
      </c>
      <c r="G247" s="104" t="s">
        <v>1926</v>
      </c>
      <c r="H247" s="104" t="s">
        <v>1929</v>
      </c>
      <c r="I247" s="104" t="s">
        <v>1983</v>
      </c>
      <c r="J247" s="104" t="s">
        <v>1984</v>
      </c>
      <c r="K247" s="104" t="s">
        <v>2075</v>
      </c>
      <c r="L247" s="104" t="s">
        <v>2616</v>
      </c>
      <c r="M247" s="104" t="s">
        <v>2617</v>
      </c>
      <c r="N247" s="104" t="s">
        <v>225</v>
      </c>
      <c r="O247" s="104" t="s">
        <v>225</v>
      </c>
      <c r="P247" s="104" t="s">
        <v>2052</v>
      </c>
      <c r="Q247" s="105">
        <v>5231190.0</v>
      </c>
      <c r="R247" s="107"/>
    </row>
    <row r="248">
      <c r="A248" s="104" t="s">
        <v>1217</v>
      </c>
      <c r="B248" s="104" t="s">
        <v>2618</v>
      </c>
      <c r="C248" s="105">
        <v>2874181.0</v>
      </c>
      <c r="D248" s="104" t="s">
        <v>1925</v>
      </c>
      <c r="E248" s="105">
        <v>97.0</v>
      </c>
      <c r="F248" s="104" t="s">
        <v>1917</v>
      </c>
      <c r="G248" s="104" t="s">
        <v>1926</v>
      </c>
      <c r="H248" s="104" t="s">
        <v>1919</v>
      </c>
      <c r="I248" s="104" t="s">
        <v>1920</v>
      </c>
      <c r="J248" s="104" t="s">
        <v>1921</v>
      </c>
      <c r="K248" s="104" t="s">
        <v>2342</v>
      </c>
      <c r="L248" s="104" t="s">
        <v>2619</v>
      </c>
      <c r="M248" s="104" t="s">
        <v>2620</v>
      </c>
      <c r="N248" s="104" t="s">
        <v>1217</v>
      </c>
      <c r="O248" s="104" t="s">
        <v>1217</v>
      </c>
      <c r="P248" s="104" t="s">
        <v>2621</v>
      </c>
      <c r="Q248" s="105">
        <v>2874181.0</v>
      </c>
      <c r="R248" s="107"/>
    </row>
    <row r="249">
      <c r="A249" s="104" t="s">
        <v>191</v>
      </c>
      <c r="B249" s="104" t="s">
        <v>2622</v>
      </c>
      <c r="C249" s="105">
        <v>2495287.0</v>
      </c>
      <c r="D249" s="104" t="s">
        <v>1925</v>
      </c>
      <c r="E249" s="105">
        <v>99.0</v>
      </c>
      <c r="F249" s="104" t="s">
        <v>1917</v>
      </c>
      <c r="G249" s="104" t="s">
        <v>1926</v>
      </c>
      <c r="H249" s="104" t="s">
        <v>1929</v>
      </c>
      <c r="I249" s="104" t="s">
        <v>1983</v>
      </c>
      <c r="J249" s="104" t="s">
        <v>1984</v>
      </c>
      <c r="K249" s="104" t="s">
        <v>2161</v>
      </c>
      <c r="L249" s="104" t="s">
        <v>2162</v>
      </c>
      <c r="M249" s="104" t="s">
        <v>2623</v>
      </c>
      <c r="N249" s="104" t="s">
        <v>191</v>
      </c>
      <c r="O249" s="104" t="s">
        <v>191</v>
      </c>
      <c r="P249" s="104" t="s">
        <v>2167</v>
      </c>
      <c r="Q249" s="105">
        <v>2495287.0</v>
      </c>
      <c r="R249" s="107"/>
    </row>
    <row r="250">
      <c r="A250" s="104" t="s">
        <v>80</v>
      </c>
      <c r="B250" s="104" t="s">
        <v>80</v>
      </c>
      <c r="C250" s="105">
        <v>9650.0</v>
      </c>
      <c r="D250" s="104" t="s">
        <v>1916</v>
      </c>
      <c r="E250" s="105">
        <v>94.0</v>
      </c>
      <c r="F250" s="104" t="s">
        <v>1917</v>
      </c>
      <c r="G250" s="104" t="s">
        <v>1982</v>
      </c>
      <c r="H250" s="104" t="s">
        <v>1929</v>
      </c>
      <c r="I250" s="104" t="s">
        <v>1930</v>
      </c>
      <c r="J250" s="104" t="s">
        <v>1931</v>
      </c>
      <c r="K250" s="104" t="s">
        <v>1178</v>
      </c>
      <c r="L250" s="104" t="s">
        <v>80</v>
      </c>
      <c r="N250" s="106"/>
      <c r="O250" s="104" t="s">
        <v>80</v>
      </c>
      <c r="Q250" s="105">
        <v>9650.0</v>
      </c>
      <c r="R250" s="107"/>
    </row>
    <row r="251">
      <c r="A251" s="104" t="s">
        <v>1204</v>
      </c>
      <c r="B251" s="104" t="s">
        <v>2624</v>
      </c>
      <c r="C251" s="105">
        <v>3086412.0</v>
      </c>
      <c r="D251" s="104" t="s">
        <v>1925</v>
      </c>
      <c r="E251" s="105">
        <v>99.0</v>
      </c>
      <c r="F251" s="104" t="s">
        <v>1917</v>
      </c>
      <c r="G251" s="104" t="s">
        <v>1926</v>
      </c>
      <c r="H251" s="104" t="s">
        <v>1919</v>
      </c>
      <c r="I251" s="104" t="s">
        <v>1920</v>
      </c>
      <c r="J251" s="104" t="s">
        <v>1921</v>
      </c>
      <c r="K251" s="104" t="s">
        <v>2625</v>
      </c>
      <c r="L251" s="104" t="s">
        <v>2626</v>
      </c>
      <c r="M251" s="104" t="s">
        <v>2627</v>
      </c>
      <c r="N251" s="104" t="s">
        <v>1204</v>
      </c>
      <c r="O251" s="104" t="s">
        <v>1204</v>
      </c>
      <c r="P251" s="104" t="s">
        <v>2628</v>
      </c>
      <c r="Q251" s="105">
        <v>3086412.0</v>
      </c>
      <c r="R251" s="107"/>
    </row>
    <row r="252">
      <c r="A252" s="104" t="s">
        <v>956</v>
      </c>
      <c r="B252" s="104" t="s">
        <v>2629</v>
      </c>
      <c r="C252" s="105">
        <v>7913.0</v>
      </c>
      <c r="D252" s="104" t="s">
        <v>1943</v>
      </c>
      <c r="E252" s="106"/>
      <c r="F252" s="104" t="s">
        <v>1917</v>
      </c>
      <c r="G252" s="104" t="s">
        <v>1982</v>
      </c>
      <c r="H252" s="104" t="s">
        <v>1929</v>
      </c>
      <c r="I252" s="104" t="s">
        <v>1930</v>
      </c>
      <c r="J252" s="104" t="s">
        <v>1931</v>
      </c>
      <c r="K252" s="104" t="s">
        <v>62</v>
      </c>
      <c r="L252" s="104" t="s">
        <v>2629</v>
      </c>
      <c r="M252" s="106"/>
      <c r="N252" s="106"/>
      <c r="O252" s="104" t="s">
        <v>2629</v>
      </c>
      <c r="P252" s="106"/>
      <c r="Q252" s="106"/>
      <c r="R252" s="107"/>
    </row>
    <row r="253">
      <c r="A253" s="104" t="s">
        <v>1408</v>
      </c>
      <c r="B253" s="104" t="s">
        <v>2630</v>
      </c>
      <c r="C253" s="105">
        <v>5289756.0</v>
      </c>
      <c r="D253" s="104" t="s">
        <v>1925</v>
      </c>
      <c r="E253" s="105">
        <v>98.0</v>
      </c>
      <c r="F253" s="104" t="s">
        <v>1917</v>
      </c>
      <c r="G253" s="104" t="s">
        <v>1926</v>
      </c>
      <c r="H253" s="104" t="s">
        <v>1919</v>
      </c>
      <c r="I253" s="104" t="s">
        <v>1920</v>
      </c>
      <c r="J253" s="104" t="s">
        <v>1972</v>
      </c>
      <c r="K253" s="104" t="s">
        <v>1973</v>
      </c>
      <c r="L253" s="104" t="s">
        <v>1265</v>
      </c>
      <c r="M253" s="104" t="s">
        <v>2631</v>
      </c>
      <c r="N253" s="104" t="s">
        <v>1408</v>
      </c>
      <c r="O253" s="104" t="s">
        <v>1408</v>
      </c>
      <c r="P253" s="104" t="s">
        <v>1960</v>
      </c>
      <c r="Q253" s="105">
        <v>5289756.0</v>
      </c>
      <c r="R253" s="107"/>
    </row>
    <row r="254">
      <c r="A254" s="104" t="s">
        <v>1402</v>
      </c>
      <c r="B254" s="104" t="s">
        <v>2632</v>
      </c>
      <c r="C254" s="105">
        <v>1752100.0</v>
      </c>
      <c r="D254" s="104" t="s">
        <v>1916</v>
      </c>
      <c r="E254" s="105">
        <v>94.0</v>
      </c>
      <c r="F254" s="104" t="s">
        <v>1917</v>
      </c>
      <c r="G254" s="104" t="s">
        <v>1918</v>
      </c>
      <c r="H254" s="104" t="s">
        <v>1929</v>
      </c>
      <c r="I254" s="104" t="s">
        <v>1930</v>
      </c>
      <c r="J254" s="104" t="s">
        <v>1931</v>
      </c>
      <c r="K254" s="104" t="s">
        <v>24</v>
      </c>
      <c r="L254" s="104" t="s">
        <v>2633</v>
      </c>
      <c r="M254" s="104" t="s">
        <v>1402</v>
      </c>
      <c r="N254" s="106"/>
      <c r="O254" s="104" t="s">
        <v>1402</v>
      </c>
      <c r="P254" s="104" t="s">
        <v>2634</v>
      </c>
      <c r="Q254" s="105">
        <v>1752100.0</v>
      </c>
      <c r="R254" s="107"/>
    </row>
    <row r="255">
      <c r="A255" s="104" t="s">
        <v>1036</v>
      </c>
      <c r="B255" s="104" t="s">
        <v>581</v>
      </c>
      <c r="C255" s="105">
        <v>7661785.0</v>
      </c>
      <c r="D255" s="104" t="s">
        <v>2084</v>
      </c>
      <c r="E255" s="105">
        <v>96.0</v>
      </c>
      <c r="F255" s="104" t="s">
        <v>1917</v>
      </c>
      <c r="G255" s="104" t="s">
        <v>1926</v>
      </c>
      <c r="H255" s="104" t="s">
        <v>1929</v>
      </c>
      <c r="I255" s="104" t="s">
        <v>1930</v>
      </c>
      <c r="J255" s="104" t="s">
        <v>1931</v>
      </c>
      <c r="K255" s="104" t="s">
        <v>24</v>
      </c>
      <c r="L255" s="104" t="s">
        <v>2635</v>
      </c>
      <c r="M255" s="104" t="s">
        <v>1066</v>
      </c>
      <c r="N255" s="104" t="s">
        <v>581</v>
      </c>
      <c r="O255" s="104" t="s">
        <v>581</v>
      </c>
      <c r="Q255" s="105">
        <v>7661785.0</v>
      </c>
      <c r="R255" s="107"/>
    </row>
    <row r="256">
      <c r="A256" s="104" t="s">
        <v>288</v>
      </c>
      <c r="B256" s="104" t="s">
        <v>2636</v>
      </c>
      <c r="C256" s="105">
        <v>5381097.0</v>
      </c>
      <c r="D256" s="104" t="s">
        <v>1925</v>
      </c>
      <c r="E256" s="105">
        <v>97.0</v>
      </c>
      <c r="F256" s="104" t="s">
        <v>1917</v>
      </c>
      <c r="G256" s="104" t="s">
        <v>1926</v>
      </c>
      <c r="H256" s="104" t="s">
        <v>1919</v>
      </c>
      <c r="I256" s="104" t="s">
        <v>1920</v>
      </c>
      <c r="J256" s="104" t="s">
        <v>1921</v>
      </c>
      <c r="K256" s="104" t="s">
        <v>2342</v>
      </c>
      <c r="L256" s="104" t="s">
        <v>2637</v>
      </c>
      <c r="M256" s="104" t="s">
        <v>2638</v>
      </c>
      <c r="N256" s="104" t="s">
        <v>288</v>
      </c>
      <c r="O256" s="104" t="s">
        <v>288</v>
      </c>
      <c r="P256" s="104" t="s">
        <v>2639</v>
      </c>
      <c r="Q256" s="105">
        <v>5381097.0</v>
      </c>
      <c r="R256" s="107"/>
    </row>
    <row r="257">
      <c r="A257" s="104" t="s">
        <v>2640</v>
      </c>
      <c r="B257" s="104" t="s">
        <v>2641</v>
      </c>
      <c r="C257" s="105">
        <v>2433279.0</v>
      </c>
      <c r="D257" s="104" t="s">
        <v>1925</v>
      </c>
      <c r="E257" s="105">
        <v>99.0</v>
      </c>
      <c r="F257" s="104" t="s">
        <v>1917</v>
      </c>
      <c r="G257" s="104" t="s">
        <v>1926</v>
      </c>
      <c r="H257" s="104" t="s">
        <v>1929</v>
      </c>
      <c r="I257" s="104" t="s">
        <v>1983</v>
      </c>
      <c r="J257" s="104" t="s">
        <v>2210</v>
      </c>
      <c r="K257" s="104" t="s">
        <v>2642</v>
      </c>
      <c r="L257" s="104" t="s">
        <v>2643</v>
      </c>
      <c r="M257" s="104" t="s">
        <v>2644</v>
      </c>
      <c r="N257" s="104" t="s">
        <v>2640</v>
      </c>
      <c r="O257" s="104" t="s">
        <v>2640</v>
      </c>
      <c r="P257" s="104" t="s">
        <v>2645</v>
      </c>
      <c r="Q257" s="105">
        <v>2433279.0</v>
      </c>
      <c r="R257" s="107"/>
    </row>
    <row r="258">
      <c r="A258" s="104" t="s">
        <v>1562</v>
      </c>
      <c r="B258" s="104" t="s">
        <v>2646</v>
      </c>
      <c r="C258" s="105">
        <v>2496432.0</v>
      </c>
      <c r="D258" s="104" t="s">
        <v>1925</v>
      </c>
      <c r="E258" s="105">
        <v>99.0</v>
      </c>
      <c r="F258" s="104" t="s">
        <v>1917</v>
      </c>
      <c r="G258" s="104" t="s">
        <v>1926</v>
      </c>
      <c r="H258" s="104" t="s">
        <v>1929</v>
      </c>
      <c r="I258" s="104" t="s">
        <v>1983</v>
      </c>
      <c r="J258" s="104" t="s">
        <v>1984</v>
      </c>
      <c r="K258" s="104" t="s">
        <v>2216</v>
      </c>
      <c r="L258" s="104" t="s">
        <v>2217</v>
      </c>
      <c r="M258" s="104" t="s">
        <v>2647</v>
      </c>
      <c r="N258" s="104" t="s">
        <v>1562</v>
      </c>
      <c r="O258" s="104" t="s">
        <v>1562</v>
      </c>
      <c r="P258" s="104" t="s">
        <v>2230</v>
      </c>
      <c r="Q258" s="105">
        <v>2496432.0</v>
      </c>
      <c r="R258" s="107"/>
    </row>
    <row r="259">
      <c r="A259" s="104" t="s">
        <v>91</v>
      </c>
      <c r="B259" s="104" t="s">
        <v>2648</v>
      </c>
      <c r="C259" s="105">
        <v>9587550.0</v>
      </c>
      <c r="D259" s="104" t="s">
        <v>1925</v>
      </c>
      <c r="E259" s="105">
        <v>99.0</v>
      </c>
      <c r="F259" s="104" t="s">
        <v>1917</v>
      </c>
      <c r="G259" s="104" t="s">
        <v>1926</v>
      </c>
      <c r="H259" s="104" t="s">
        <v>1929</v>
      </c>
      <c r="I259" s="104" t="s">
        <v>1983</v>
      </c>
      <c r="J259" s="104" t="s">
        <v>1984</v>
      </c>
      <c r="K259" s="104" t="s">
        <v>2157</v>
      </c>
      <c r="L259" s="104" t="s">
        <v>2158</v>
      </c>
      <c r="M259" s="104" t="s">
        <v>2649</v>
      </c>
      <c r="N259" s="104" t="s">
        <v>91</v>
      </c>
      <c r="O259" s="104" t="s">
        <v>91</v>
      </c>
      <c r="P259" s="104" t="s">
        <v>2650</v>
      </c>
      <c r="Q259" s="105">
        <v>9587550.0</v>
      </c>
      <c r="R259" s="107"/>
    </row>
    <row r="260">
      <c r="A260" s="104" t="s">
        <v>2651</v>
      </c>
      <c r="B260" s="104" t="s">
        <v>2652</v>
      </c>
      <c r="C260" s="105">
        <v>1920506.0</v>
      </c>
      <c r="D260" s="104" t="s">
        <v>1925</v>
      </c>
      <c r="E260" s="105">
        <v>99.0</v>
      </c>
      <c r="F260" s="104" t="s">
        <v>1917</v>
      </c>
      <c r="G260" s="104" t="s">
        <v>1926</v>
      </c>
      <c r="H260" s="104" t="s">
        <v>1929</v>
      </c>
      <c r="I260" s="104" t="s">
        <v>1930</v>
      </c>
      <c r="J260" s="104" t="s">
        <v>1931</v>
      </c>
      <c r="K260" s="104" t="s">
        <v>24</v>
      </c>
      <c r="L260" s="104" t="s">
        <v>2635</v>
      </c>
      <c r="M260" s="104" t="s">
        <v>2653</v>
      </c>
      <c r="N260" s="104" t="s">
        <v>2651</v>
      </c>
      <c r="O260" s="104" t="s">
        <v>2651</v>
      </c>
      <c r="P260" s="104" t="s">
        <v>2052</v>
      </c>
      <c r="Q260" s="105">
        <v>1920506.0</v>
      </c>
      <c r="R260" s="107"/>
    </row>
    <row r="261">
      <c r="A261" s="104" t="s">
        <v>579</v>
      </c>
      <c r="B261" s="104" t="s">
        <v>2654</v>
      </c>
      <c r="C261" s="105">
        <v>3086328.0</v>
      </c>
      <c r="D261" s="104" t="s">
        <v>1925</v>
      </c>
      <c r="E261" s="105">
        <v>99.0</v>
      </c>
      <c r="F261" s="104" t="s">
        <v>1917</v>
      </c>
      <c r="G261" s="104" t="s">
        <v>1926</v>
      </c>
      <c r="H261" s="104" t="s">
        <v>1919</v>
      </c>
      <c r="I261" s="104" t="s">
        <v>1920</v>
      </c>
      <c r="J261" s="104" t="s">
        <v>1921</v>
      </c>
      <c r="K261" s="104" t="s">
        <v>2625</v>
      </c>
      <c r="L261" s="104" t="s">
        <v>2626</v>
      </c>
      <c r="M261" s="104" t="s">
        <v>2655</v>
      </c>
      <c r="N261" s="104" t="s">
        <v>579</v>
      </c>
      <c r="O261" s="104" t="s">
        <v>579</v>
      </c>
      <c r="P261" s="104" t="s">
        <v>2347</v>
      </c>
      <c r="Q261" s="105">
        <v>3086328.0</v>
      </c>
      <c r="R261" s="107"/>
    </row>
    <row r="262">
      <c r="A262" s="104" t="s">
        <v>65</v>
      </c>
      <c r="B262" s="104" t="s">
        <v>2656</v>
      </c>
      <c r="C262" s="105">
        <v>2482755.0</v>
      </c>
      <c r="D262" s="104" t="s">
        <v>1925</v>
      </c>
      <c r="E262" s="105">
        <v>99.0</v>
      </c>
      <c r="F262" s="104" t="s">
        <v>1917</v>
      </c>
      <c r="G262" s="104" t="s">
        <v>1926</v>
      </c>
      <c r="H262" s="104" t="s">
        <v>1929</v>
      </c>
      <c r="I262" s="104" t="s">
        <v>1983</v>
      </c>
      <c r="J262" s="104" t="s">
        <v>1984</v>
      </c>
      <c r="K262" s="104" t="s">
        <v>2075</v>
      </c>
      <c r="L262" s="104" t="s">
        <v>2076</v>
      </c>
      <c r="M262" s="104" t="s">
        <v>2657</v>
      </c>
      <c r="N262" s="104" t="s">
        <v>65</v>
      </c>
      <c r="O262" s="104" t="s">
        <v>65</v>
      </c>
      <c r="P262" s="104" t="s">
        <v>2230</v>
      </c>
      <c r="Q262" s="105">
        <v>2482755.0</v>
      </c>
      <c r="R262" s="107"/>
    </row>
    <row r="263">
      <c r="A263" s="104" t="s">
        <v>838</v>
      </c>
      <c r="B263" s="104" t="s">
        <v>2658</v>
      </c>
      <c r="C263" s="105">
        <v>2171214.0</v>
      </c>
      <c r="D263" s="104" t="s">
        <v>1925</v>
      </c>
      <c r="E263" s="105">
        <v>99.0</v>
      </c>
      <c r="F263" s="104" t="s">
        <v>1917</v>
      </c>
      <c r="G263" s="104" t="s">
        <v>1926</v>
      </c>
      <c r="H263" s="104" t="s">
        <v>1929</v>
      </c>
      <c r="I263" s="104" t="s">
        <v>1930</v>
      </c>
      <c r="J263" s="104" t="s">
        <v>1992</v>
      </c>
      <c r="K263" s="104" t="s">
        <v>233</v>
      </c>
      <c r="L263" s="104" t="s">
        <v>310</v>
      </c>
      <c r="M263" s="104" t="s">
        <v>2659</v>
      </c>
      <c r="N263" s="104" t="s">
        <v>838</v>
      </c>
      <c r="O263" s="104" t="s">
        <v>838</v>
      </c>
      <c r="P263" s="104" t="s">
        <v>2660</v>
      </c>
      <c r="Q263" s="105">
        <v>2171214.0</v>
      </c>
      <c r="R263" s="107"/>
    </row>
    <row r="264">
      <c r="A264" s="104" t="s">
        <v>378</v>
      </c>
      <c r="B264" s="104" t="s">
        <v>2661</v>
      </c>
      <c r="C264" s="105">
        <v>1310500.0</v>
      </c>
      <c r="D264" s="104" t="s">
        <v>1943</v>
      </c>
      <c r="E264" s="105">
        <v>92.0</v>
      </c>
      <c r="F264" s="104" t="s">
        <v>1917</v>
      </c>
      <c r="G264" s="104" t="s">
        <v>1918</v>
      </c>
      <c r="H264" s="104" t="s">
        <v>1929</v>
      </c>
      <c r="I264" s="104" t="s">
        <v>1930</v>
      </c>
      <c r="J264" s="104" t="s">
        <v>1931</v>
      </c>
      <c r="K264" s="104" t="s">
        <v>62</v>
      </c>
      <c r="L264" s="104" t="s">
        <v>2662</v>
      </c>
      <c r="M264" s="104" t="s">
        <v>378</v>
      </c>
      <c r="N264" s="106"/>
      <c r="O264" s="104" t="s">
        <v>378</v>
      </c>
      <c r="P264" s="106"/>
      <c r="Q264" s="105">
        <v>1310500.0</v>
      </c>
      <c r="R264" s="107"/>
    </row>
    <row r="265">
      <c r="A265" s="104" t="s">
        <v>143</v>
      </c>
      <c r="B265" s="104" t="s">
        <v>2663</v>
      </c>
      <c r="C265" s="105">
        <v>7235975.0</v>
      </c>
      <c r="D265" s="104" t="s">
        <v>1916</v>
      </c>
      <c r="E265" s="105">
        <v>92.0</v>
      </c>
      <c r="F265" s="104" t="s">
        <v>1917</v>
      </c>
      <c r="G265" s="104" t="s">
        <v>1918</v>
      </c>
      <c r="H265" s="104" t="s">
        <v>1929</v>
      </c>
      <c r="I265" s="104" t="s">
        <v>1930</v>
      </c>
      <c r="J265" s="104" t="s">
        <v>1931</v>
      </c>
      <c r="K265" s="104" t="s">
        <v>62</v>
      </c>
      <c r="L265" s="104" t="s">
        <v>2662</v>
      </c>
      <c r="M265" s="104" t="s">
        <v>143</v>
      </c>
      <c r="N265" s="106"/>
      <c r="O265" s="104" t="s">
        <v>143</v>
      </c>
      <c r="P265" s="104" t="s">
        <v>2664</v>
      </c>
      <c r="Q265" s="105">
        <v>7235975.0</v>
      </c>
      <c r="R265" s="107"/>
    </row>
    <row r="266">
      <c r="A266" s="104" t="s">
        <v>738</v>
      </c>
      <c r="B266" s="104" t="s">
        <v>2665</v>
      </c>
      <c r="C266" s="105">
        <v>3084696.0</v>
      </c>
      <c r="D266" s="104" t="s">
        <v>1916</v>
      </c>
      <c r="E266" s="105">
        <v>94.0</v>
      </c>
      <c r="F266" s="104" t="s">
        <v>1917</v>
      </c>
      <c r="G266" s="104" t="s">
        <v>1918</v>
      </c>
      <c r="H266" s="104" t="s">
        <v>1919</v>
      </c>
      <c r="I266" s="104" t="s">
        <v>1920</v>
      </c>
      <c r="J266" s="104" t="s">
        <v>1921</v>
      </c>
      <c r="K266" s="104" t="s">
        <v>1947</v>
      </c>
      <c r="L266" s="104" t="s">
        <v>2666</v>
      </c>
      <c r="M266" s="104" t="s">
        <v>738</v>
      </c>
      <c r="N266" s="106"/>
      <c r="O266" s="104" t="s">
        <v>738</v>
      </c>
      <c r="P266" s="104" t="s">
        <v>1960</v>
      </c>
      <c r="Q266" s="105">
        <v>3084696.0</v>
      </c>
      <c r="R266" s="107"/>
    </row>
    <row r="267">
      <c r="A267" s="104" t="s">
        <v>966</v>
      </c>
      <c r="B267" s="104" t="s">
        <v>2667</v>
      </c>
      <c r="C267" s="105">
        <v>3084714.0</v>
      </c>
      <c r="D267" s="104" t="s">
        <v>1925</v>
      </c>
      <c r="E267" s="105">
        <v>99.0</v>
      </c>
      <c r="F267" s="104" t="s">
        <v>1917</v>
      </c>
      <c r="G267" s="104" t="s">
        <v>1926</v>
      </c>
      <c r="H267" s="104" t="s">
        <v>1919</v>
      </c>
      <c r="I267" s="104" t="s">
        <v>1920</v>
      </c>
      <c r="J267" s="104" t="s">
        <v>1921</v>
      </c>
      <c r="K267" s="104" t="s">
        <v>1947</v>
      </c>
      <c r="L267" s="104" t="s">
        <v>2666</v>
      </c>
      <c r="M267" s="104" t="s">
        <v>738</v>
      </c>
      <c r="N267" s="104" t="s">
        <v>966</v>
      </c>
      <c r="O267" s="104" t="s">
        <v>966</v>
      </c>
      <c r="P267" s="104" t="s">
        <v>1960</v>
      </c>
      <c r="Q267" s="105">
        <v>3084714.0</v>
      </c>
      <c r="R267" s="107"/>
    </row>
    <row r="268">
      <c r="A268" s="104" t="s">
        <v>262</v>
      </c>
      <c r="B268" s="104" t="s">
        <v>2668</v>
      </c>
      <c r="C268" s="105">
        <v>3084719.0</v>
      </c>
      <c r="D268" s="104" t="s">
        <v>1925</v>
      </c>
      <c r="E268" s="105">
        <v>99.0</v>
      </c>
      <c r="F268" s="104" t="s">
        <v>1917</v>
      </c>
      <c r="G268" s="104" t="s">
        <v>1926</v>
      </c>
      <c r="H268" s="104" t="s">
        <v>1919</v>
      </c>
      <c r="I268" s="104" t="s">
        <v>1920</v>
      </c>
      <c r="J268" s="104" t="s">
        <v>1921</v>
      </c>
      <c r="K268" s="104" t="s">
        <v>1947</v>
      </c>
      <c r="L268" s="104" t="s">
        <v>2666</v>
      </c>
      <c r="M268" s="104" t="s">
        <v>738</v>
      </c>
      <c r="N268" s="104" t="s">
        <v>262</v>
      </c>
      <c r="O268" s="104" t="s">
        <v>262</v>
      </c>
      <c r="P268" s="104" t="s">
        <v>1960</v>
      </c>
      <c r="Q268" s="105">
        <v>3084719.0</v>
      </c>
      <c r="R268" s="107"/>
    </row>
    <row r="269">
      <c r="A269" s="104" t="s">
        <v>1462</v>
      </c>
      <c r="B269" s="104" t="s">
        <v>2669</v>
      </c>
      <c r="C269" s="105">
        <v>2479270.0</v>
      </c>
      <c r="D269" s="104" t="s">
        <v>1925</v>
      </c>
      <c r="E269" s="105">
        <v>99.0</v>
      </c>
      <c r="F269" s="104" t="s">
        <v>1917</v>
      </c>
      <c r="G269" s="104" t="s">
        <v>1926</v>
      </c>
      <c r="H269" s="104" t="s">
        <v>1929</v>
      </c>
      <c r="I269" s="104" t="s">
        <v>1983</v>
      </c>
      <c r="J269" s="104" t="s">
        <v>1984</v>
      </c>
      <c r="K269" s="104" t="s">
        <v>2354</v>
      </c>
      <c r="L269" s="104" t="s">
        <v>2355</v>
      </c>
      <c r="M269" s="104" t="s">
        <v>2670</v>
      </c>
      <c r="N269" s="104" t="s">
        <v>1462</v>
      </c>
      <c r="O269" s="104" t="s">
        <v>1462</v>
      </c>
      <c r="P269" s="104" t="s">
        <v>2515</v>
      </c>
      <c r="Q269" s="105">
        <v>2479270.0</v>
      </c>
      <c r="R269" s="107"/>
    </row>
    <row r="270">
      <c r="A270" s="104" t="s">
        <v>195</v>
      </c>
      <c r="B270" s="104" t="s">
        <v>2671</v>
      </c>
      <c r="C270" s="105">
        <v>2925547.0</v>
      </c>
      <c r="D270" s="104" t="s">
        <v>1925</v>
      </c>
      <c r="E270" s="105">
        <v>99.0</v>
      </c>
      <c r="F270" s="104" t="s">
        <v>1917</v>
      </c>
      <c r="G270" s="104" t="s">
        <v>1926</v>
      </c>
      <c r="H270" s="104" t="s">
        <v>1919</v>
      </c>
      <c r="I270" s="104" t="s">
        <v>1920</v>
      </c>
      <c r="J270" s="104" t="s">
        <v>1921</v>
      </c>
      <c r="K270" s="104" t="s">
        <v>1963</v>
      </c>
      <c r="L270" s="104" t="s">
        <v>2433</v>
      </c>
      <c r="M270" s="104" t="s">
        <v>2672</v>
      </c>
      <c r="N270" s="104" t="s">
        <v>195</v>
      </c>
      <c r="O270" s="104" t="s">
        <v>195</v>
      </c>
      <c r="P270" s="104" t="s">
        <v>2241</v>
      </c>
      <c r="Q270" s="105">
        <v>2925547.0</v>
      </c>
      <c r="R270" s="107"/>
    </row>
    <row r="271">
      <c r="A271" s="104" t="s">
        <v>105</v>
      </c>
      <c r="B271" s="104" t="s">
        <v>2673</v>
      </c>
      <c r="C271" s="105">
        <v>2489136.0</v>
      </c>
      <c r="D271" s="104" t="s">
        <v>1925</v>
      </c>
      <c r="E271" s="105">
        <v>99.0</v>
      </c>
      <c r="F271" s="104" t="s">
        <v>1917</v>
      </c>
      <c r="G271" s="104" t="s">
        <v>1926</v>
      </c>
      <c r="H271" s="104" t="s">
        <v>1929</v>
      </c>
      <c r="I271" s="104" t="s">
        <v>1983</v>
      </c>
      <c r="J271" s="104" t="s">
        <v>1984</v>
      </c>
      <c r="K271" s="104" t="s">
        <v>2075</v>
      </c>
      <c r="L271" s="104" t="s">
        <v>1710</v>
      </c>
      <c r="M271" s="104" t="s">
        <v>2674</v>
      </c>
      <c r="N271" s="104" t="s">
        <v>105</v>
      </c>
      <c r="O271" s="104" t="s">
        <v>105</v>
      </c>
      <c r="P271" s="104" t="s">
        <v>2230</v>
      </c>
      <c r="Q271" s="105">
        <v>2489136.0</v>
      </c>
      <c r="R271" s="107"/>
    </row>
    <row r="272">
      <c r="A272" s="104" t="s">
        <v>381</v>
      </c>
      <c r="B272" s="104" t="s">
        <v>2675</v>
      </c>
      <c r="C272" s="105">
        <v>1327003.0</v>
      </c>
      <c r="D272" s="104" t="s">
        <v>1916</v>
      </c>
      <c r="E272" s="105">
        <v>92.0</v>
      </c>
      <c r="F272" s="104" t="s">
        <v>1917</v>
      </c>
      <c r="G272" s="104" t="s">
        <v>1918</v>
      </c>
      <c r="H272" s="104" t="s">
        <v>1929</v>
      </c>
      <c r="I272" s="104" t="s">
        <v>1930</v>
      </c>
      <c r="J272" s="104" t="s">
        <v>1931</v>
      </c>
      <c r="K272" s="104" t="s">
        <v>62</v>
      </c>
      <c r="L272" s="104" t="s">
        <v>34</v>
      </c>
      <c r="M272" s="104" t="s">
        <v>381</v>
      </c>
      <c r="O272" s="104" t="s">
        <v>381</v>
      </c>
      <c r="P272" s="104" t="s">
        <v>2676</v>
      </c>
      <c r="Q272" s="105">
        <v>1327003.0</v>
      </c>
      <c r="R272" s="107"/>
    </row>
    <row r="273">
      <c r="A273" s="104" t="s">
        <v>385</v>
      </c>
      <c r="B273" s="104" t="s">
        <v>2677</v>
      </c>
      <c r="C273" s="105">
        <v>5420380.0</v>
      </c>
      <c r="D273" s="104" t="s">
        <v>1925</v>
      </c>
      <c r="E273" s="105">
        <v>99.0</v>
      </c>
      <c r="F273" s="104" t="s">
        <v>1917</v>
      </c>
      <c r="G273" s="104" t="s">
        <v>1926</v>
      </c>
      <c r="H273" s="104" t="s">
        <v>1919</v>
      </c>
      <c r="I273" s="104" t="s">
        <v>1920</v>
      </c>
      <c r="J273" s="104" t="s">
        <v>1921</v>
      </c>
      <c r="K273" s="104" t="s">
        <v>2678</v>
      </c>
      <c r="L273" s="104" t="s">
        <v>2679</v>
      </c>
      <c r="M273" s="104" t="s">
        <v>2680</v>
      </c>
      <c r="N273" s="104" t="s">
        <v>385</v>
      </c>
      <c r="O273" s="104" t="s">
        <v>385</v>
      </c>
      <c r="P273" s="104" t="s">
        <v>1960</v>
      </c>
      <c r="Q273" s="105">
        <v>5420380.0</v>
      </c>
      <c r="R273" s="107"/>
    </row>
    <row r="274">
      <c r="A274" s="104" t="s">
        <v>1433</v>
      </c>
      <c r="B274" s="104" t="s">
        <v>2681</v>
      </c>
      <c r="C274" s="105">
        <v>2688173.0</v>
      </c>
      <c r="D274" s="104" t="s">
        <v>1943</v>
      </c>
      <c r="E274" s="105">
        <v>77.0</v>
      </c>
      <c r="F274" s="104" t="s">
        <v>1917</v>
      </c>
      <c r="G274" s="104" t="s">
        <v>1918</v>
      </c>
      <c r="H274" s="104" t="s">
        <v>1919</v>
      </c>
      <c r="I274" s="104" t="s">
        <v>1920</v>
      </c>
      <c r="J274" s="104" t="s">
        <v>2129</v>
      </c>
      <c r="K274" s="104" t="s">
        <v>2682</v>
      </c>
      <c r="L274" s="104" t="s">
        <v>2683</v>
      </c>
      <c r="M274" s="104" t="s">
        <v>2684</v>
      </c>
      <c r="N274" s="106"/>
      <c r="O274" s="104" t="s">
        <v>2684</v>
      </c>
      <c r="P274" s="106"/>
      <c r="Q274" s="105">
        <v>2688173.0</v>
      </c>
      <c r="R274" s="107"/>
    </row>
    <row r="275">
      <c r="A275" s="104" t="s">
        <v>2685</v>
      </c>
      <c r="B275" s="104" t="s">
        <v>2686</v>
      </c>
      <c r="C275" s="105">
        <v>5342610.0</v>
      </c>
      <c r="D275" s="104" t="s">
        <v>1925</v>
      </c>
      <c r="E275" s="105">
        <v>98.0</v>
      </c>
      <c r="F275" s="104" t="s">
        <v>1976</v>
      </c>
      <c r="G275" s="104" t="s">
        <v>1926</v>
      </c>
      <c r="H275" s="104" t="s">
        <v>1919</v>
      </c>
      <c r="I275" s="104" t="s">
        <v>1920</v>
      </c>
      <c r="J275" s="104" t="s">
        <v>1921</v>
      </c>
      <c r="K275" s="104" t="s">
        <v>1922</v>
      </c>
      <c r="L275" s="104" t="s">
        <v>665</v>
      </c>
      <c r="M275" s="104" t="s">
        <v>2687</v>
      </c>
      <c r="N275" s="104" t="s">
        <v>2688</v>
      </c>
      <c r="O275" s="104" t="s">
        <v>2685</v>
      </c>
      <c r="P275" s="104" t="s">
        <v>2689</v>
      </c>
      <c r="Q275" s="105">
        <v>5342610.0</v>
      </c>
      <c r="R275" s="107"/>
    </row>
    <row r="276">
      <c r="A276" s="104" t="s">
        <v>29</v>
      </c>
      <c r="B276" s="104" t="s">
        <v>2690</v>
      </c>
      <c r="C276" s="105">
        <v>1994767.0</v>
      </c>
      <c r="D276" s="104" t="s">
        <v>1925</v>
      </c>
      <c r="E276" s="105">
        <v>99.0</v>
      </c>
      <c r="F276" s="104" t="s">
        <v>1917</v>
      </c>
      <c r="G276" s="104" t="s">
        <v>1926</v>
      </c>
      <c r="H276" s="104" t="s">
        <v>1929</v>
      </c>
      <c r="I276" s="104" t="s">
        <v>1930</v>
      </c>
      <c r="J276" s="104" t="s">
        <v>1931</v>
      </c>
      <c r="K276" s="104" t="s">
        <v>1214</v>
      </c>
      <c r="L276" s="104" t="s">
        <v>2028</v>
      </c>
      <c r="M276" s="104" t="s">
        <v>2691</v>
      </c>
      <c r="N276" s="104" t="s">
        <v>29</v>
      </c>
      <c r="O276" s="104" t="s">
        <v>29</v>
      </c>
      <c r="P276" s="104" t="s">
        <v>2052</v>
      </c>
      <c r="Q276" s="105">
        <v>1994767.0</v>
      </c>
      <c r="R276" s="107"/>
    </row>
    <row r="277">
      <c r="A277" s="104" t="s">
        <v>215</v>
      </c>
      <c r="B277" s="104" t="s">
        <v>2692</v>
      </c>
      <c r="C277" s="105">
        <v>2489207.0</v>
      </c>
      <c r="D277" s="104" t="s">
        <v>1925</v>
      </c>
      <c r="E277" s="105">
        <v>98.0</v>
      </c>
      <c r="F277" s="104" t="s">
        <v>1976</v>
      </c>
      <c r="G277" s="104" t="s">
        <v>1926</v>
      </c>
      <c r="H277" s="104" t="s">
        <v>1929</v>
      </c>
      <c r="I277" s="104" t="s">
        <v>1983</v>
      </c>
      <c r="J277" s="104" t="s">
        <v>1984</v>
      </c>
      <c r="K277" s="104" t="s">
        <v>2075</v>
      </c>
      <c r="L277" s="104" t="s">
        <v>1710</v>
      </c>
      <c r="M277" s="104" t="s">
        <v>2568</v>
      </c>
      <c r="N277" s="104" t="s">
        <v>453</v>
      </c>
      <c r="O277" s="104" t="s">
        <v>215</v>
      </c>
      <c r="P277" s="104" t="s">
        <v>2569</v>
      </c>
      <c r="Q277" s="105">
        <v>2489207.0</v>
      </c>
      <c r="R277" s="107"/>
    </row>
    <row r="278">
      <c r="A278" s="104" t="s">
        <v>107</v>
      </c>
      <c r="B278" s="104" t="s">
        <v>2693</v>
      </c>
      <c r="C278" s="105">
        <v>2608089.0</v>
      </c>
      <c r="D278" s="104" t="s">
        <v>1925</v>
      </c>
      <c r="E278" s="105">
        <v>98.0</v>
      </c>
      <c r="F278" s="104" t="s">
        <v>1917</v>
      </c>
      <c r="G278" s="104" t="s">
        <v>1926</v>
      </c>
      <c r="H278" s="104" t="s">
        <v>522</v>
      </c>
      <c r="I278" s="104" t="s">
        <v>2275</v>
      </c>
      <c r="J278" s="104" t="s">
        <v>2276</v>
      </c>
      <c r="K278" s="104" t="s">
        <v>2373</v>
      </c>
      <c r="L278" s="104" t="s">
        <v>2694</v>
      </c>
      <c r="M278" s="104" t="s">
        <v>1240</v>
      </c>
      <c r="N278" s="104" t="s">
        <v>107</v>
      </c>
      <c r="O278" s="104" t="s">
        <v>107</v>
      </c>
      <c r="P278" s="104" t="s">
        <v>2695</v>
      </c>
      <c r="Q278" s="105">
        <v>2608089.0</v>
      </c>
      <c r="R278" s="107"/>
    </row>
    <row r="279">
      <c r="A279" s="104" t="s">
        <v>1084</v>
      </c>
      <c r="B279" s="104" t="s">
        <v>2696</v>
      </c>
      <c r="C279" s="105">
        <v>3084035.0</v>
      </c>
      <c r="D279" s="104" t="s">
        <v>1916</v>
      </c>
      <c r="E279" s="105">
        <v>94.0</v>
      </c>
      <c r="F279" s="104" t="s">
        <v>1917</v>
      </c>
      <c r="G279" s="104" t="s">
        <v>1918</v>
      </c>
      <c r="H279" s="104" t="s">
        <v>1919</v>
      </c>
      <c r="I279" s="104" t="s">
        <v>1920</v>
      </c>
      <c r="J279" s="104" t="s">
        <v>1921</v>
      </c>
      <c r="K279" s="104" t="s">
        <v>1947</v>
      </c>
      <c r="L279" s="104" t="s">
        <v>2697</v>
      </c>
      <c r="M279" s="104" t="s">
        <v>1084</v>
      </c>
      <c r="N279" s="106"/>
      <c r="O279" s="104" t="s">
        <v>1084</v>
      </c>
      <c r="P279" s="104" t="s">
        <v>2698</v>
      </c>
      <c r="Q279" s="105">
        <v>3084035.0</v>
      </c>
      <c r="R279" s="107"/>
    </row>
    <row r="280">
      <c r="A280" s="104" t="s">
        <v>1357</v>
      </c>
      <c r="B280" s="104" t="s">
        <v>2699</v>
      </c>
      <c r="C280" s="105">
        <v>3946327.0</v>
      </c>
      <c r="D280" s="104" t="s">
        <v>2084</v>
      </c>
      <c r="E280" s="105">
        <v>96.0</v>
      </c>
      <c r="F280" s="104" t="s">
        <v>1917</v>
      </c>
      <c r="G280" s="104" t="s">
        <v>1926</v>
      </c>
      <c r="H280" s="104" t="s">
        <v>1919</v>
      </c>
      <c r="I280" s="104" t="s">
        <v>1920</v>
      </c>
      <c r="J280" s="104" t="s">
        <v>1921</v>
      </c>
      <c r="K280" s="104" t="s">
        <v>1947</v>
      </c>
      <c r="L280" s="104" t="s">
        <v>2697</v>
      </c>
      <c r="M280" s="104" t="s">
        <v>1084</v>
      </c>
      <c r="N280" s="104" t="s">
        <v>223</v>
      </c>
      <c r="O280" s="104" t="s">
        <v>223</v>
      </c>
      <c r="P280" s="104" t="s">
        <v>2700</v>
      </c>
      <c r="Q280" s="105">
        <v>3946327.0</v>
      </c>
      <c r="R280" s="107"/>
    </row>
    <row r="281">
      <c r="A281" s="104" t="s">
        <v>223</v>
      </c>
      <c r="B281" s="104" t="s">
        <v>2699</v>
      </c>
      <c r="C281" s="105">
        <v>3946327.0</v>
      </c>
      <c r="D281" s="104" t="s">
        <v>1925</v>
      </c>
      <c r="E281" s="105">
        <v>99.0</v>
      </c>
      <c r="F281" s="104" t="s">
        <v>1917</v>
      </c>
      <c r="G281" s="104" t="s">
        <v>1926</v>
      </c>
      <c r="H281" s="104" t="s">
        <v>1919</v>
      </c>
      <c r="I281" s="104" t="s">
        <v>1920</v>
      </c>
      <c r="J281" s="104" t="s">
        <v>1921</v>
      </c>
      <c r="K281" s="104" t="s">
        <v>1947</v>
      </c>
      <c r="L281" s="104" t="s">
        <v>2697</v>
      </c>
      <c r="M281" s="104" t="s">
        <v>1084</v>
      </c>
      <c r="N281" s="104" t="s">
        <v>223</v>
      </c>
      <c r="O281" s="104" t="s">
        <v>223</v>
      </c>
      <c r="P281" s="104" t="s">
        <v>2700</v>
      </c>
      <c r="Q281" s="105">
        <v>3946327.0</v>
      </c>
      <c r="R281" s="107"/>
    </row>
    <row r="282">
      <c r="A282" s="104" t="s">
        <v>1104</v>
      </c>
      <c r="B282" s="104" t="s">
        <v>2701</v>
      </c>
      <c r="C282" s="105">
        <v>2721165.0</v>
      </c>
      <c r="D282" s="104" t="s">
        <v>1925</v>
      </c>
      <c r="E282" s="105">
        <v>97.0</v>
      </c>
      <c r="F282" s="104" t="s">
        <v>1917</v>
      </c>
      <c r="G282" s="104" t="s">
        <v>1926</v>
      </c>
      <c r="H282" s="104" t="s">
        <v>1919</v>
      </c>
      <c r="I282" s="104" t="s">
        <v>1920</v>
      </c>
      <c r="J282" s="104" t="s">
        <v>1972</v>
      </c>
      <c r="K282" s="104" t="s">
        <v>1973</v>
      </c>
      <c r="L282" s="104" t="s">
        <v>2243</v>
      </c>
      <c r="M282" s="104" t="s">
        <v>2702</v>
      </c>
      <c r="N282" s="104" t="s">
        <v>1104</v>
      </c>
      <c r="O282" s="104" t="s">
        <v>1104</v>
      </c>
      <c r="P282" s="104" t="s">
        <v>2703</v>
      </c>
      <c r="Q282" s="105">
        <v>2721165.0</v>
      </c>
      <c r="R282" s="107"/>
    </row>
    <row r="283">
      <c r="A283" s="104" t="s">
        <v>296</v>
      </c>
      <c r="B283" s="104" t="s">
        <v>2704</v>
      </c>
      <c r="C283" s="105">
        <v>5337499.0</v>
      </c>
      <c r="D283" s="104" t="s">
        <v>1925</v>
      </c>
      <c r="E283" s="105">
        <v>99.0</v>
      </c>
      <c r="F283" s="104" t="s">
        <v>1917</v>
      </c>
      <c r="G283" s="104" t="s">
        <v>1926</v>
      </c>
      <c r="H283" s="104" t="s">
        <v>1919</v>
      </c>
      <c r="I283" s="104" t="s">
        <v>1920</v>
      </c>
      <c r="J283" s="104" t="s">
        <v>1921</v>
      </c>
      <c r="K283" s="104" t="s">
        <v>2578</v>
      </c>
      <c r="L283" s="104" t="s">
        <v>2579</v>
      </c>
      <c r="M283" s="104" t="s">
        <v>2705</v>
      </c>
      <c r="N283" s="104" t="s">
        <v>296</v>
      </c>
      <c r="O283" s="104" t="s">
        <v>296</v>
      </c>
      <c r="P283" s="104" t="s">
        <v>2706</v>
      </c>
      <c r="Q283" s="105">
        <v>5337499.0</v>
      </c>
      <c r="R283" s="107"/>
    </row>
    <row r="284">
      <c r="A284" s="104" t="s">
        <v>548</v>
      </c>
      <c r="B284" s="104" t="s">
        <v>2707</v>
      </c>
      <c r="C284" s="105">
        <v>5380041.0</v>
      </c>
      <c r="D284" s="104" t="s">
        <v>1925</v>
      </c>
      <c r="E284" s="105">
        <v>99.0</v>
      </c>
      <c r="F284" s="104" t="s">
        <v>1917</v>
      </c>
      <c r="G284" s="104" t="s">
        <v>1926</v>
      </c>
      <c r="H284" s="104" t="s">
        <v>1919</v>
      </c>
      <c r="I284" s="104" t="s">
        <v>1920</v>
      </c>
      <c r="J284" s="104" t="s">
        <v>1921</v>
      </c>
      <c r="K284" s="104" t="s">
        <v>2342</v>
      </c>
      <c r="L284" s="104" t="s">
        <v>2343</v>
      </c>
      <c r="M284" s="104" t="s">
        <v>2708</v>
      </c>
      <c r="N284" s="104" t="s">
        <v>548</v>
      </c>
      <c r="O284" s="104" t="s">
        <v>548</v>
      </c>
      <c r="P284" s="104" t="s">
        <v>1960</v>
      </c>
      <c r="Q284" s="105">
        <v>5380041.0</v>
      </c>
      <c r="R284" s="107"/>
    </row>
    <row r="285">
      <c r="A285" s="104" t="s">
        <v>328</v>
      </c>
      <c r="B285" s="104" t="s">
        <v>2709</v>
      </c>
      <c r="C285" s="105">
        <v>3084027.0</v>
      </c>
      <c r="D285" s="104" t="s">
        <v>1925</v>
      </c>
      <c r="E285" s="105">
        <v>99.0</v>
      </c>
      <c r="F285" s="104" t="s">
        <v>1917</v>
      </c>
      <c r="G285" s="104" t="s">
        <v>1926</v>
      </c>
      <c r="H285" s="104" t="s">
        <v>1919</v>
      </c>
      <c r="I285" s="104" t="s">
        <v>1920</v>
      </c>
      <c r="J285" s="104" t="s">
        <v>1921</v>
      </c>
      <c r="K285" s="104" t="s">
        <v>1947</v>
      </c>
      <c r="L285" s="104" t="s">
        <v>2710</v>
      </c>
      <c r="M285" s="104" t="s">
        <v>2711</v>
      </c>
      <c r="N285" s="104" t="s">
        <v>328</v>
      </c>
      <c r="O285" s="104" t="s">
        <v>328</v>
      </c>
      <c r="P285" s="104" t="s">
        <v>1960</v>
      </c>
      <c r="Q285" s="105">
        <v>3084027.0</v>
      </c>
      <c r="R285" s="107"/>
    </row>
    <row r="286">
      <c r="A286" s="104" t="s">
        <v>485</v>
      </c>
      <c r="B286" s="104" t="s">
        <v>2712</v>
      </c>
      <c r="C286" s="105">
        <v>2480415.0</v>
      </c>
      <c r="D286" s="104" t="s">
        <v>1925</v>
      </c>
      <c r="E286" s="105">
        <v>99.0</v>
      </c>
      <c r="F286" s="104" t="s">
        <v>1917</v>
      </c>
      <c r="G286" s="104" t="s">
        <v>1926</v>
      </c>
      <c r="H286" s="104" t="s">
        <v>1929</v>
      </c>
      <c r="I286" s="104" t="s">
        <v>1983</v>
      </c>
      <c r="J286" s="104" t="s">
        <v>1984</v>
      </c>
      <c r="K286" s="104" t="s">
        <v>2090</v>
      </c>
      <c r="L286" s="104" t="s">
        <v>2608</v>
      </c>
      <c r="M286" s="104" t="s">
        <v>2713</v>
      </c>
      <c r="N286" s="104" t="s">
        <v>485</v>
      </c>
      <c r="O286" s="104" t="s">
        <v>485</v>
      </c>
      <c r="P286" s="104" t="s">
        <v>2569</v>
      </c>
      <c r="Q286" s="105">
        <v>2480415.0</v>
      </c>
      <c r="R286" s="107"/>
    </row>
    <row r="287">
      <c r="A287" s="104" t="s">
        <v>141</v>
      </c>
      <c r="B287" s="104" t="s">
        <v>2714</v>
      </c>
      <c r="C287" s="105">
        <v>5415469.0</v>
      </c>
      <c r="D287" s="104" t="s">
        <v>1925</v>
      </c>
      <c r="E287" s="105">
        <v>99.0</v>
      </c>
      <c r="F287" s="104" t="s">
        <v>1917</v>
      </c>
      <c r="G287" s="104" t="s">
        <v>1926</v>
      </c>
      <c r="H287" s="104" t="s">
        <v>1919</v>
      </c>
      <c r="I287" s="104" t="s">
        <v>1920</v>
      </c>
      <c r="J287" s="104" t="s">
        <v>1921</v>
      </c>
      <c r="K287" s="104" t="s">
        <v>1963</v>
      </c>
      <c r="L287" s="104" t="s">
        <v>2715</v>
      </c>
      <c r="M287" s="104" t="s">
        <v>477</v>
      </c>
      <c r="N287" s="104" t="s">
        <v>141</v>
      </c>
      <c r="O287" s="104" t="s">
        <v>141</v>
      </c>
      <c r="P287" s="104" t="s">
        <v>1960</v>
      </c>
      <c r="Q287" s="105">
        <v>5415469.0</v>
      </c>
      <c r="R287" s="107"/>
    </row>
    <row r="288">
      <c r="A288" s="104" t="s">
        <v>260</v>
      </c>
      <c r="B288" s="104" t="s">
        <v>2716</v>
      </c>
      <c r="C288" s="105">
        <v>5573547.0</v>
      </c>
      <c r="D288" s="104" t="s">
        <v>1925</v>
      </c>
      <c r="E288" s="105">
        <v>97.0</v>
      </c>
      <c r="F288" s="104" t="s">
        <v>1917</v>
      </c>
      <c r="G288" s="104" t="s">
        <v>1926</v>
      </c>
      <c r="H288" s="104" t="s">
        <v>1919</v>
      </c>
      <c r="I288" s="104" t="s">
        <v>1920</v>
      </c>
      <c r="J288" s="104" t="s">
        <v>1921</v>
      </c>
      <c r="K288" s="104" t="s">
        <v>1963</v>
      </c>
      <c r="L288" s="104" t="s">
        <v>2715</v>
      </c>
      <c r="M288" s="104" t="s">
        <v>477</v>
      </c>
      <c r="N288" s="104" t="s">
        <v>260</v>
      </c>
      <c r="O288" s="104" t="s">
        <v>260</v>
      </c>
      <c r="P288" s="104" t="s">
        <v>1960</v>
      </c>
      <c r="Q288" s="105">
        <v>5573547.0</v>
      </c>
      <c r="R288" s="107"/>
    </row>
    <row r="289">
      <c r="A289" s="104" t="s">
        <v>858</v>
      </c>
      <c r="B289" s="104" t="s">
        <v>2717</v>
      </c>
      <c r="C289" s="105">
        <v>2889011.0</v>
      </c>
      <c r="D289" s="104" t="s">
        <v>1925</v>
      </c>
      <c r="E289" s="105">
        <v>97.0</v>
      </c>
      <c r="F289" s="104" t="s">
        <v>1917</v>
      </c>
      <c r="G289" s="104" t="s">
        <v>1926</v>
      </c>
      <c r="H289" s="104" t="s">
        <v>1919</v>
      </c>
      <c r="I289" s="104" t="s">
        <v>1920</v>
      </c>
      <c r="J289" s="104" t="s">
        <v>1921</v>
      </c>
      <c r="K289" s="104" t="s">
        <v>1947</v>
      </c>
      <c r="L289" s="104" t="s">
        <v>2718</v>
      </c>
      <c r="M289" s="104" t="s">
        <v>2719</v>
      </c>
      <c r="N289" s="104" t="s">
        <v>858</v>
      </c>
      <c r="O289" s="104" t="s">
        <v>858</v>
      </c>
      <c r="P289" s="104" t="s">
        <v>1960</v>
      </c>
      <c r="Q289" s="105">
        <v>2889011.0</v>
      </c>
      <c r="R289" s="107"/>
    </row>
    <row r="290">
      <c r="A290" s="104" t="s">
        <v>372</v>
      </c>
      <c r="B290" s="104" t="s">
        <v>2720</v>
      </c>
      <c r="C290" s="105">
        <v>5844398.0</v>
      </c>
      <c r="D290" s="104" t="s">
        <v>1925</v>
      </c>
      <c r="E290" s="105">
        <v>99.0</v>
      </c>
      <c r="F290" s="104" t="s">
        <v>1917</v>
      </c>
      <c r="G290" s="104" t="s">
        <v>1926</v>
      </c>
      <c r="H290" s="104" t="s">
        <v>1929</v>
      </c>
      <c r="I290" s="104" t="s">
        <v>1983</v>
      </c>
      <c r="J290" s="104" t="s">
        <v>1984</v>
      </c>
      <c r="K290" s="104" t="s">
        <v>2090</v>
      </c>
      <c r="L290" s="104" t="s">
        <v>2608</v>
      </c>
      <c r="M290" s="104" t="s">
        <v>2721</v>
      </c>
      <c r="N290" s="104" t="s">
        <v>372</v>
      </c>
      <c r="O290" s="104" t="s">
        <v>372</v>
      </c>
      <c r="P290" s="104" t="s">
        <v>2381</v>
      </c>
      <c r="Q290" s="105">
        <v>5844398.0</v>
      </c>
      <c r="R290" s="108"/>
    </row>
    <row r="291">
      <c r="A291" s="104" t="s">
        <v>310</v>
      </c>
      <c r="B291" s="104" t="s">
        <v>310</v>
      </c>
      <c r="C291" s="105">
        <v>5644.0</v>
      </c>
      <c r="D291" s="104" t="s">
        <v>1916</v>
      </c>
      <c r="E291" s="105">
        <v>94.0</v>
      </c>
      <c r="F291" s="104" t="s">
        <v>1917</v>
      </c>
      <c r="G291" s="104" t="s">
        <v>1982</v>
      </c>
      <c r="H291" s="104" t="s">
        <v>1929</v>
      </c>
      <c r="I291" s="104" t="s">
        <v>1930</v>
      </c>
      <c r="J291" s="104" t="s">
        <v>1992</v>
      </c>
      <c r="K291" s="104" t="s">
        <v>233</v>
      </c>
      <c r="L291" s="104" t="s">
        <v>310</v>
      </c>
      <c r="M291" s="106"/>
      <c r="N291" s="106"/>
      <c r="O291" s="104" t="s">
        <v>310</v>
      </c>
      <c r="P291" s="106"/>
      <c r="Q291" s="105">
        <v>5644.0</v>
      </c>
      <c r="R291" s="107"/>
    </row>
    <row r="292">
      <c r="A292" s="104" t="s">
        <v>1772</v>
      </c>
      <c r="B292" s="104" t="s">
        <v>2722</v>
      </c>
      <c r="C292" s="105">
        <v>2927004.0</v>
      </c>
      <c r="D292" s="104" t="s">
        <v>1925</v>
      </c>
      <c r="E292" s="105">
        <v>98.0</v>
      </c>
      <c r="F292" s="104" t="s">
        <v>1917</v>
      </c>
      <c r="G292" s="104" t="s">
        <v>1926</v>
      </c>
      <c r="H292" s="104" t="s">
        <v>1919</v>
      </c>
      <c r="I292" s="104" t="s">
        <v>1920</v>
      </c>
      <c r="J292" s="104" t="s">
        <v>1921</v>
      </c>
      <c r="K292" s="104" t="s">
        <v>1963</v>
      </c>
      <c r="L292" s="104" t="s">
        <v>2065</v>
      </c>
      <c r="M292" s="104" t="s">
        <v>2723</v>
      </c>
      <c r="N292" s="104" t="s">
        <v>1772</v>
      </c>
      <c r="O292" s="104" t="s">
        <v>1772</v>
      </c>
      <c r="P292" s="104" t="s">
        <v>1960</v>
      </c>
      <c r="Q292" s="105">
        <v>2927004.0</v>
      </c>
      <c r="R292" s="107"/>
    </row>
    <row r="293">
      <c r="A293" s="104" t="s">
        <v>693</v>
      </c>
      <c r="B293" s="104" t="s">
        <v>2724</v>
      </c>
      <c r="C293" s="105">
        <v>2293772.0</v>
      </c>
      <c r="D293" s="104" t="s">
        <v>1925</v>
      </c>
      <c r="E293" s="105">
        <v>99.0</v>
      </c>
      <c r="F293" s="104" t="s">
        <v>1917</v>
      </c>
      <c r="G293" s="104" t="s">
        <v>1926</v>
      </c>
      <c r="H293" s="104" t="s">
        <v>1929</v>
      </c>
      <c r="I293" s="104" t="s">
        <v>2044</v>
      </c>
      <c r="J293" s="104" t="s">
        <v>2045</v>
      </c>
      <c r="K293" s="104" t="s">
        <v>2725</v>
      </c>
      <c r="L293" s="104" t="s">
        <v>2726</v>
      </c>
      <c r="M293" s="104" t="s">
        <v>2727</v>
      </c>
      <c r="N293" s="104" t="s">
        <v>693</v>
      </c>
      <c r="O293" s="104" t="s">
        <v>693</v>
      </c>
      <c r="P293" s="104" t="s">
        <v>2728</v>
      </c>
      <c r="Q293" s="105">
        <v>2293772.0</v>
      </c>
      <c r="R293" s="107"/>
    </row>
    <row r="294">
      <c r="A294" s="104" t="s">
        <v>304</v>
      </c>
      <c r="B294" s="104" t="s">
        <v>2729</v>
      </c>
      <c r="C294" s="105">
        <v>1463100.0</v>
      </c>
      <c r="D294" s="104" t="s">
        <v>1916</v>
      </c>
      <c r="E294" s="105">
        <v>92.0</v>
      </c>
      <c r="F294" s="104" t="s">
        <v>1917</v>
      </c>
      <c r="G294" s="104" t="s">
        <v>1918</v>
      </c>
      <c r="H294" s="104" t="s">
        <v>1929</v>
      </c>
      <c r="I294" s="104" t="s">
        <v>1930</v>
      </c>
      <c r="J294" s="104" t="s">
        <v>1931</v>
      </c>
      <c r="K294" s="104" t="s">
        <v>525</v>
      </c>
      <c r="L294" s="104" t="s">
        <v>1032</v>
      </c>
      <c r="M294" s="104" t="s">
        <v>304</v>
      </c>
      <c r="N294" s="106"/>
      <c r="O294" s="104" t="s">
        <v>304</v>
      </c>
      <c r="P294" s="104" t="s">
        <v>2730</v>
      </c>
      <c r="Q294" s="105">
        <v>1463100.0</v>
      </c>
      <c r="R294" s="107"/>
    </row>
    <row r="295">
      <c r="A295" s="104" t="s">
        <v>821</v>
      </c>
      <c r="B295" s="104" t="s">
        <v>2731</v>
      </c>
      <c r="C295" s="105">
        <v>3038546.0</v>
      </c>
      <c r="D295" s="104" t="s">
        <v>1925</v>
      </c>
      <c r="E295" s="105">
        <v>98.0</v>
      </c>
      <c r="F295" s="104" t="s">
        <v>1976</v>
      </c>
      <c r="G295" s="104" t="s">
        <v>1926</v>
      </c>
      <c r="H295" s="104" t="s">
        <v>1919</v>
      </c>
      <c r="I295" s="104" t="s">
        <v>1920</v>
      </c>
      <c r="J295" s="104" t="s">
        <v>1921</v>
      </c>
      <c r="K295" s="104" t="s">
        <v>2732</v>
      </c>
      <c r="L295" s="104" t="s">
        <v>2733</v>
      </c>
      <c r="M295" s="104" t="s">
        <v>2734</v>
      </c>
      <c r="N295" s="104" t="s">
        <v>2735</v>
      </c>
      <c r="O295" s="104" t="s">
        <v>821</v>
      </c>
      <c r="P295" s="104" t="s">
        <v>2736</v>
      </c>
      <c r="Q295" s="105">
        <v>3038546.0</v>
      </c>
      <c r="R295" s="107"/>
    </row>
    <row r="296">
      <c r="A296" s="104" t="s">
        <v>319</v>
      </c>
      <c r="B296" s="104" t="s">
        <v>2737</v>
      </c>
      <c r="C296" s="105">
        <v>3660419.0</v>
      </c>
      <c r="D296" s="104" t="s">
        <v>1925</v>
      </c>
      <c r="E296" s="105">
        <v>99.0</v>
      </c>
      <c r="F296" s="104" t="s">
        <v>1917</v>
      </c>
      <c r="G296" s="104" t="s">
        <v>1926</v>
      </c>
      <c r="H296" s="104" t="s">
        <v>1919</v>
      </c>
      <c r="I296" s="104" t="s">
        <v>1920</v>
      </c>
      <c r="J296" s="104" t="s">
        <v>1921</v>
      </c>
      <c r="K296" s="104" t="s">
        <v>2547</v>
      </c>
      <c r="L296" s="104" t="s">
        <v>2548</v>
      </c>
      <c r="M296" s="104" t="s">
        <v>2738</v>
      </c>
      <c r="N296" s="104" t="s">
        <v>319</v>
      </c>
      <c r="O296" s="104" t="s">
        <v>319</v>
      </c>
      <c r="P296" s="104" t="s">
        <v>2739</v>
      </c>
      <c r="Q296" s="105">
        <v>3660419.0</v>
      </c>
      <c r="R296" s="107"/>
    </row>
    <row r="297">
      <c r="A297" s="104" t="s">
        <v>1725</v>
      </c>
      <c r="B297" s="104" t="s">
        <v>1725</v>
      </c>
      <c r="C297" s="105">
        <v>4084.0</v>
      </c>
      <c r="D297" s="104" t="s">
        <v>1916</v>
      </c>
      <c r="E297" s="105">
        <v>94.0</v>
      </c>
      <c r="F297" s="104" t="s">
        <v>1917</v>
      </c>
      <c r="G297" s="104" t="s">
        <v>1982</v>
      </c>
      <c r="H297" s="104" t="s">
        <v>1929</v>
      </c>
      <c r="I297" s="104" t="s">
        <v>1930</v>
      </c>
      <c r="J297" s="104" t="s">
        <v>411</v>
      </c>
      <c r="K297" s="104" t="s">
        <v>2740</v>
      </c>
      <c r="L297" s="104" t="s">
        <v>1725</v>
      </c>
      <c r="N297" s="106"/>
      <c r="O297" s="104" t="s">
        <v>1725</v>
      </c>
      <c r="Q297" s="105">
        <v>4084.0</v>
      </c>
      <c r="R297" s="107"/>
    </row>
    <row r="298">
      <c r="A298" s="104" t="s">
        <v>1766</v>
      </c>
      <c r="B298" s="104" t="s">
        <v>2741</v>
      </c>
      <c r="C298" s="105">
        <v>2483966.0</v>
      </c>
      <c r="D298" s="104" t="s">
        <v>1925</v>
      </c>
      <c r="E298" s="105">
        <v>99.0</v>
      </c>
      <c r="F298" s="104" t="s">
        <v>1917</v>
      </c>
      <c r="G298" s="104" t="s">
        <v>1926</v>
      </c>
      <c r="H298" s="104" t="s">
        <v>1929</v>
      </c>
      <c r="I298" s="104" t="s">
        <v>1983</v>
      </c>
      <c r="J298" s="104" t="s">
        <v>1984</v>
      </c>
      <c r="K298" s="104" t="s">
        <v>2075</v>
      </c>
      <c r="L298" s="104" t="s">
        <v>2076</v>
      </c>
      <c r="M298" s="104" t="s">
        <v>2742</v>
      </c>
      <c r="N298" s="104" t="s">
        <v>1766</v>
      </c>
      <c r="O298" s="104" t="s">
        <v>1766</v>
      </c>
      <c r="P298" s="104" t="s">
        <v>2569</v>
      </c>
      <c r="Q298" s="105">
        <v>2483966.0</v>
      </c>
      <c r="R298" s="107"/>
    </row>
    <row r="299">
      <c r="A299" s="104" t="s">
        <v>286</v>
      </c>
      <c r="B299" s="104" t="s">
        <v>2743</v>
      </c>
      <c r="C299" s="105">
        <v>5289679.0</v>
      </c>
      <c r="D299" s="104" t="s">
        <v>1925</v>
      </c>
      <c r="E299" s="105">
        <v>99.0</v>
      </c>
      <c r="F299" s="104" t="s">
        <v>1917</v>
      </c>
      <c r="G299" s="104" t="s">
        <v>1926</v>
      </c>
      <c r="H299" s="104" t="s">
        <v>1919</v>
      </c>
      <c r="I299" s="104" t="s">
        <v>1920</v>
      </c>
      <c r="J299" s="104" t="s">
        <v>1972</v>
      </c>
      <c r="K299" s="104" t="s">
        <v>1973</v>
      </c>
      <c r="L299" s="104" t="s">
        <v>1265</v>
      </c>
      <c r="M299" s="104" t="s">
        <v>2744</v>
      </c>
      <c r="N299" s="104" t="s">
        <v>286</v>
      </c>
      <c r="O299" s="104" t="s">
        <v>286</v>
      </c>
      <c r="P299" s="104" t="s">
        <v>2745</v>
      </c>
      <c r="Q299" s="105">
        <v>5289679.0</v>
      </c>
      <c r="R299" s="107"/>
    </row>
    <row r="300">
      <c r="A300" s="104" t="s">
        <v>383</v>
      </c>
      <c r="B300" s="104" t="s">
        <v>2746</v>
      </c>
      <c r="C300" s="105">
        <v>7341895.0</v>
      </c>
      <c r="D300" s="104" t="s">
        <v>1925</v>
      </c>
      <c r="E300" s="105">
        <v>99.0</v>
      </c>
      <c r="F300" s="104" t="s">
        <v>1917</v>
      </c>
      <c r="G300" s="104" t="s">
        <v>1926</v>
      </c>
      <c r="H300" s="104" t="s">
        <v>1929</v>
      </c>
      <c r="I300" s="104" t="s">
        <v>1983</v>
      </c>
      <c r="J300" s="104" t="s">
        <v>1984</v>
      </c>
      <c r="K300" s="104" t="s">
        <v>2075</v>
      </c>
      <c r="L300" s="104" t="s">
        <v>2747</v>
      </c>
      <c r="M300" s="104" t="s">
        <v>2748</v>
      </c>
      <c r="N300" s="104" t="s">
        <v>383</v>
      </c>
      <c r="O300" s="104" t="s">
        <v>383</v>
      </c>
      <c r="P300" s="104" t="s">
        <v>2569</v>
      </c>
      <c r="Q300" s="105">
        <v>7341895.0</v>
      </c>
      <c r="R300" s="107"/>
    </row>
    <row r="301">
      <c r="A301" s="104" t="s">
        <v>20</v>
      </c>
      <c r="B301" s="104" t="s">
        <v>2749</v>
      </c>
      <c r="C301" s="105">
        <v>2491862.0</v>
      </c>
      <c r="D301" s="104" t="s">
        <v>1925</v>
      </c>
      <c r="E301" s="105">
        <v>99.0</v>
      </c>
      <c r="F301" s="104" t="s">
        <v>1917</v>
      </c>
      <c r="G301" s="104" t="s">
        <v>1926</v>
      </c>
      <c r="H301" s="104" t="s">
        <v>1929</v>
      </c>
      <c r="I301" s="104" t="s">
        <v>1983</v>
      </c>
      <c r="J301" s="104" t="s">
        <v>1984</v>
      </c>
      <c r="K301" s="104" t="s">
        <v>2075</v>
      </c>
      <c r="L301" s="104" t="s">
        <v>2154</v>
      </c>
      <c r="M301" s="104" t="s">
        <v>2750</v>
      </c>
      <c r="N301" s="104" t="s">
        <v>20</v>
      </c>
      <c r="O301" s="104" t="s">
        <v>20</v>
      </c>
      <c r="P301" s="104" t="s">
        <v>2230</v>
      </c>
      <c r="Q301" s="105">
        <v>2491862.0</v>
      </c>
      <c r="R301" s="107"/>
    </row>
    <row r="302">
      <c r="A302" s="104" t="s">
        <v>358</v>
      </c>
      <c r="B302" s="104" t="s">
        <v>2751</v>
      </c>
      <c r="C302" s="105">
        <v>3152100.0</v>
      </c>
      <c r="D302" s="104" t="s">
        <v>1943</v>
      </c>
      <c r="E302" s="105">
        <v>99.0</v>
      </c>
      <c r="F302" s="104" t="s">
        <v>1917</v>
      </c>
      <c r="G302" s="104" t="s">
        <v>1918</v>
      </c>
      <c r="H302" s="104" t="s">
        <v>1919</v>
      </c>
      <c r="I302" s="104" t="s">
        <v>1920</v>
      </c>
      <c r="J302" s="104" t="s">
        <v>1921</v>
      </c>
      <c r="K302" s="104" t="s">
        <v>2325</v>
      </c>
      <c r="L302" s="104" t="s">
        <v>476</v>
      </c>
      <c r="M302" s="104" t="s">
        <v>358</v>
      </c>
      <c r="N302" s="106"/>
      <c r="O302" s="104" t="s">
        <v>358</v>
      </c>
      <c r="P302" s="106"/>
      <c r="Q302" s="105">
        <v>3152100.0</v>
      </c>
      <c r="R302" s="107"/>
    </row>
    <row r="303">
      <c r="A303" s="104" t="s">
        <v>471</v>
      </c>
      <c r="B303" s="104" t="s">
        <v>2752</v>
      </c>
      <c r="C303" s="105">
        <v>3933670.0</v>
      </c>
      <c r="D303" s="104" t="s">
        <v>1925</v>
      </c>
      <c r="E303" s="105">
        <v>99.0</v>
      </c>
      <c r="F303" s="104" t="s">
        <v>1917</v>
      </c>
      <c r="G303" s="104" t="s">
        <v>1926</v>
      </c>
      <c r="H303" s="104" t="s">
        <v>1919</v>
      </c>
      <c r="I303" s="104" t="s">
        <v>1920</v>
      </c>
      <c r="J303" s="104" t="s">
        <v>1921</v>
      </c>
      <c r="K303" s="104" t="s">
        <v>2325</v>
      </c>
      <c r="L303" s="104" t="s">
        <v>476</v>
      </c>
      <c r="M303" s="104" t="s">
        <v>358</v>
      </c>
      <c r="N303" s="104" t="s">
        <v>471</v>
      </c>
      <c r="O303" s="104" t="s">
        <v>471</v>
      </c>
      <c r="P303" s="104" t="s">
        <v>2753</v>
      </c>
      <c r="Q303" s="105">
        <v>3933670.0</v>
      </c>
      <c r="R303" s="107"/>
    </row>
    <row r="304">
      <c r="A304" s="104" t="s">
        <v>67</v>
      </c>
      <c r="B304" s="104" t="s">
        <v>2754</v>
      </c>
      <c r="C304" s="105">
        <v>4299213.0</v>
      </c>
      <c r="D304" s="104" t="s">
        <v>1925</v>
      </c>
      <c r="E304" s="105">
        <v>99.0</v>
      </c>
      <c r="F304" s="104" t="s">
        <v>1917</v>
      </c>
      <c r="G304" s="104" t="s">
        <v>1926</v>
      </c>
      <c r="H304" s="104" t="s">
        <v>1929</v>
      </c>
      <c r="I304" s="104" t="s">
        <v>1930</v>
      </c>
      <c r="J304" s="104" t="s">
        <v>1931</v>
      </c>
      <c r="K304" s="104" t="s">
        <v>24</v>
      </c>
      <c r="L304" s="104" t="s">
        <v>1968</v>
      </c>
      <c r="M304" s="104" t="s">
        <v>2755</v>
      </c>
      <c r="N304" s="104" t="s">
        <v>67</v>
      </c>
      <c r="O304" s="104" t="s">
        <v>67</v>
      </c>
      <c r="P304" s="104" t="s">
        <v>1981</v>
      </c>
      <c r="Q304" s="105">
        <v>4299213.0</v>
      </c>
      <c r="R304" s="107"/>
    </row>
    <row r="305">
      <c r="A305" s="104" t="s">
        <v>584</v>
      </c>
      <c r="B305" s="104" t="s">
        <v>2756</v>
      </c>
      <c r="C305" s="105">
        <v>2928997.0</v>
      </c>
      <c r="D305" s="104" t="s">
        <v>1916</v>
      </c>
      <c r="E305" s="105">
        <v>92.0</v>
      </c>
      <c r="F305" s="104" t="s">
        <v>1917</v>
      </c>
      <c r="G305" s="104" t="s">
        <v>1918</v>
      </c>
      <c r="H305" s="104" t="s">
        <v>1919</v>
      </c>
      <c r="I305" s="104" t="s">
        <v>1920</v>
      </c>
      <c r="J305" s="104" t="s">
        <v>1921</v>
      </c>
      <c r="K305" s="104" t="s">
        <v>2362</v>
      </c>
      <c r="L305" s="104" t="s">
        <v>2462</v>
      </c>
      <c r="M305" s="104" t="s">
        <v>584</v>
      </c>
      <c r="N305" s="106"/>
      <c r="O305" s="104" t="s">
        <v>584</v>
      </c>
      <c r="P305" s="104" t="s">
        <v>1960</v>
      </c>
      <c r="Q305" s="105">
        <v>2928997.0</v>
      </c>
      <c r="R305" s="107"/>
    </row>
    <row r="306">
      <c r="A306" s="104" t="s">
        <v>267</v>
      </c>
      <c r="B306" s="104" t="s">
        <v>2757</v>
      </c>
      <c r="C306" s="105">
        <v>2930222.0</v>
      </c>
      <c r="D306" s="104" t="s">
        <v>1925</v>
      </c>
      <c r="E306" s="105">
        <v>99.0</v>
      </c>
      <c r="F306" s="104" t="s">
        <v>1917</v>
      </c>
      <c r="G306" s="104" t="s">
        <v>1926</v>
      </c>
      <c r="H306" s="104" t="s">
        <v>1919</v>
      </c>
      <c r="I306" s="104" t="s">
        <v>1920</v>
      </c>
      <c r="J306" s="104" t="s">
        <v>1921</v>
      </c>
      <c r="K306" s="104" t="s">
        <v>2362</v>
      </c>
      <c r="L306" s="104" t="s">
        <v>2462</v>
      </c>
      <c r="M306" s="104" t="s">
        <v>584</v>
      </c>
      <c r="N306" s="104" t="s">
        <v>267</v>
      </c>
      <c r="O306" s="104" t="s">
        <v>267</v>
      </c>
      <c r="P306" s="104" t="s">
        <v>1923</v>
      </c>
      <c r="Q306" s="105">
        <v>2930222.0</v>
      </c>
      <c r="R306" s="107"/>
    </row>
    <row r="307">
      <c r="A307" s="104" t="s">
        <v>465</v>
      </c>
      <c r="B307" s="104" t="s">
        <v>2758</v>
      </c>
      <c r="C307" s="105">
        <v>2931088.0</v>
      </c>
      <c r="D307" s="104" t="s">
        <v>1925</v>
      </c>
      <c r="E307" s="105">
        <v>97.0</v>
      </c>
      <c r="F307" s="104" t="s">
        <v>1917</v>
      </c>
      <c r="G307" s="104" t="s">
        <v>1926</v>
      </c>
      <c r="H307" s="104" t="s">
        <v>1919</v>
      </c>
      <c r="I307" s="104" t="s">
        <v>1920</v>
      </c>
      <c r="J307" s="104" t="s">
        <v>1921</v>
      </c>
      <c r="K307" s="104" t="s">
        <v>2362</v>
      </c>
      <c r="L307" s="104" t="s">
        <v>2462</v>
      </c>
      <c r="M307" s="104" t="s">
        <v>584</v>
      </c>
      <c r="N307" s="104" t="s">
        <v>465</v>
      </c>
      <c r="O307" s="104" t="s">
        <v>465</v>
      </c>
      <c r="P307" s="104" t="s">
        <v>1960</v>
      </c>
      <c r="Q307" s="105">
        <v>2931088.0</v>
      </c>
      <c r="R307" s="107"/>
    </row>
    <row r="308">
      <c r="A308" s="104" t="s">
        <v>189</v>
      </c>
      <c r="B308" s="104" t="s">
        <v>2759</v>
      </c>
      <c r="C308" s="105">
        <v>2932547.0</v>
      </c>
      <c r="D308" s="104" t="s">
        <v>1925</v>
      </c>
      <c r="E308" s="105">
        <v>99.0</v>
      </c>
      <c r="F308" s="104" t="s">
        <v>1917</v>
      </c>
      <c r="G308" s="104" t="s">
        <v>1926</v>
      </c>
      <c r="H308" s="104" t="s">
        <v>1919</v>
      </c>
      <c r="I308" s="104" t="s">
        <v>1920</v>
      </c>
      <c r="J308" s="104" t="s">
        <v>1921</v>
      </c>
      <c r="K308" s="104" t="s">
        <v>2362</v>
      </c>
      <c r="L308" s="104" t="s">
        <v>2462</v>
      </c>
      <c r="M308" s="104" t="s">
        <v>584</v>
      </c>
      <c r="N308" s="104" t="s">
        <v>189</v>
      </c>
      <c r="O308" s="104" t="s">
        <v>189</v>
      </c>
      <c r="P308" s="104" t="s">
        <v>1960</v>
      </c>
      <c r="Q308" s="105">
        <v>2932547.0</v>
      </c>
      <c r="R308" s="107"/>
    </row>
    <row r="309">
      <c r="A309" s="104" t="s">
        <v>1479</v>
      </c>
      <c r="B309" s="104" t="s">
        <v>2760</v>
      </c>
      <c r="C309" s="105">
        <v>2932184.0</v>
      </c>
      <c r="D309" s="104" t="s">
        <v>1925</v>
      </c>
      <c r="E309" s="105">
        <v>99.0</v>
      </c>
      <c r="F309" s="104" t="s">
        <v>1917</v>
      </c>
      <c r="G309" s="104" t="s">
        <v>1926</v>
      </c>
      <c r="H309" s="104" t="s">
        <v>1919</v>
      </c>
      <c r="I309" s="104" t="s">
        <v>1920</v>
      </c>
      <c r="J309" s="104" t="s">
        <v>1921</v>
      </c>
      <c r="K309" s="104" t="s">
        <v>2362</v>
      </c>
      <c r="L309" s="104" t="s">
        <v>2462</v>
      </c>
      <c r="M309" s="104" t="s">
        <v>584</v>
      </c>
      <c r="N309" s="104" t="s">
        <v>1479</v>
      </c>
      <c r="O309" s="104" t="s">
        <v>1479</v>
      </c>
      <c r="P309" s="104" t="s">
        <v>2761</v>
      </c>
      <c r="Q309" s="105">
        <v>2932184.0</v>
      </c>
      <c r="R309" s="107"/>
    </row>
    <row r="310">
      <c r="A310" s="104" t="s">
        <v>1523</v>
      </c>
      <c r="B310" s="104" t="s">
        <v>2762</v>
      </c>
      <c r="C310" s="105">
        <v>2932389.0</v>
      </c>
      <c r="D310" s="104" t="s">
        <v>1925</v>
      </c>
      <c r="E310" s="105">
        <v>97.0</v>
      </c>
      <c r="F310" s="104" t="s">
        <v>1917</v>
      </c>
      <c r="G310" s="104" t="s">
        <v>1926</v>
      </c>
      <c r="H310" s="104" t="s">
        <v>1919</v>
      </c>
      <c r="I310" s="104" t="s">
        <v>1920</v>
      </c>
      <c r="J310" s="104" t="s">
        <v>1921</v>
      </c>
      <c r="K310" s="104" t="s">
        <v>2362</v>
      </c>
      <c r="L310" s="104" t="s">
        <v>2462</v>
      </c>
      <c r="M310" s="104" t="s">
        <v>584</v>
      </c>
      <c r="N310" s="104" t="s">
        <v>1523</v>
      </c>
      <c r="O310" s="104" t="s">
        <v>1523</v>
      </c>
      <c r="P310" s="104" t="s">
        <v>2115</v>
      </c>
      <c r="Q310" s="105">
        <v>2932389.0</v>
      </c>
      <c r="R310" s="107"/>
    </row>
    <row r="311">
      <c r="A311" s="104" t="s">
        <v>51</v>
      </c>
      <c r="B311" s="104" t="s">
        <v>2763</v>
      </c>
      <c r="C311" s="105">
        <v>9973684.0</v>
      </c>
      <c r="D311" s="104" t="s">
        <v>1943</v>
      </c>
      <c r="E311" s="105">
        <v>99.0</v>
      </c>
      <c r="F311" s="104" t="s">
        <v>1917</v>
      </c>
      <c r="G311" s="104" t="s">
        <v>1926</v>
      </c>
      <c r="H311" s="104" t="s">
        <v>1929</v>
      </c>
      <c r="I311" s="104" t="s">
        <v>1930</v>
      </c>
      <c r="J311" s="104" t="s">
        <v>1931</v>
      </c>
      <c r="K311" s="104" t="s">
        <v>62</v>
      </c>
      <c r="L311" s="104" t="s">
        <v>34</v>
      </c>
      <c r="M311" s="104" t="s">
        <v>51</v>
      </c>
      <c r="N311" s="104" t="s">
        <v>51</v>
      </c>
      <c r="O311" s="104" t="s">
        <v>51</v>
      </c>
      <c r="P311" s="106"/>
      <c r="Q311" s="105">
        <v>9973684.0</v>
      </c>
      <c r="R311" s="108"/>
    </row>
    <row r="312">
      <c r="A312" s="104" t="s">
        <v>1077</v>
      </c>
      <c r="B312" s="104" t="s">
        <v>2764</v>
      </c>
      <c r="C312" s="105">
        <v>3105782.0</v>
      </c>
      <c r="D312" s="104" t="s">
        <v>1925</v>
      </c>
      <c r="E312" s="105">
        <v>97.0</v>
      </c>
      <c r="F312" s="104" t="s">
        <v>1917</v>
      </c>
      <c r="G312" s="104" t="s">
        <v>1926</v>
      </c>
      <c r="H312" s="104" t="s">
        <v>1919</v>
      </c>
      <c r="I312" s="104" t="s">
        <v>1920</v>
      </c>
      <c r="J312" s="104" t="s">
        <v>1921</v>
      </c>
      <c r="K312" s="104" t="s">
        <v>2019</v>
      </c>
      <c r="L312" s="104" t="s">
        <v>979</v>
      </c>
      <c r="M312" s="104" t="s">
        <v>2765</v>
      </c>
      <c r="N312" s="104" t="s">
        <v>1077</v>
      </c>
      <c r="O312" s="104" t="s">
        <v>1077</v>
      </c>
      <c r="P312" s="104" t="s">
        <v>2766</v>
      </c>
      <c r="Q312" s="105">
        <v>3105782.0</v>
      </c>
      <c r="R312" s="107"/>
    </row>
    <row r="313">
      <c r="A313" s="104" t="s">
        <v>265</v>
      </c>
      <c r="B313" s="104" t="s">
        <v>2767</v>
      </c>
      <c r="C313" s="105">
        <v>8228544.0</v>
      </c>
      <c r="D313" s="104" t="s">
        <v>1925</v>
      </c>
      <c r="E313" s="105">
        <v>97.0</v>
      </c>
      <c r="F313" s="104" t="s">
        <v>1917</v>
      </c>
      <c r="G313" s="104" t="s">
        <v>1926</v>
      </c>
      <c r="H313" s="104" t="s">
        <v>1919</v>
      </c>
      <c r="I313" s="104" t="s">
        <v>1920</v>
      </c>
      <c r="J313" s="104" t="s">
        <v>1921</v>
      </c>
      <c r="K313" s="104" t="s">
        <v>2019</v>
      </c>
      <c r="L313" s="104" t="s">
        <v>979</v>
      </c>
      <c r="M313" s="104" t="s">
        <v>2765</v>
      </c>
      <c r="N313" s="104" t="s">
        <v>265</v>
      </c>
      <c r="O313" s="104" t="s">
        <v>265</v>
      </c>
      <c r="P313" s="104" t="s">
        <v>1960</v>
      </c>
      <c r="Q313" s="105">
        <v>8228544.0</v>
      </c>
      <c r="R313" s="107"/>
    </row>
    <row r="314">
      <c r="A314" s="104" t="s">
        <v>14</v>
      </c>
      <c r="B314" s="104" t="s">
        <v>2768</v>
      </c>
      <c r="C314" s="105">
        <v>2918574.0</v>
      </c>
      <c r="D314" s="104" t="s">
        <v>1925</v>
      </c>
      <c r="E314" s="105">
        <v>98.0</v>
      </c>
      <c r="F314" s="104" t="s">
        <v>1917</v>
      </c>
      <c r="G314" s="104" t="s">
        <v>1926</v>
      </c>
      <c r="H314" s="104" t="s">
        <v>1919</v>
      </c>
      <c r="I314" s="104" t="s">
        <v>1920</v>
      </c>
      <c r="J314" s="104" t="s">
        <v>1921</v>
      </c>
      <c r="K314" s="104" t="s">
        <v>2578</v>
      </c>
      <c r="L314" s="104" t="s">
        <v>2579</v>
      </c>
      <c r="M314" s="104" t="s">
        <v>2769</v>
      </c>
      <c r="N314" s="104" t="s">
        <v>14</v>
      </c>
      <c r="O314" s="104" t="s">
        <v>14</v>
      </c>
      <c r="P314" s="104" t="s">
        <v>1960</v>
      </c>
      <c r="Q314" s="105">
        <v>2918574.0</v>
      </c>
      <c r="R314" s="107"/>
    </row>
    <row r="315">
      <c r="A315" s="104" t="s">
        <v>1552</v>
      </c>
      <c r="B315" s="104" t="s">
        <v>2770</v>
      </c>
      <c r="C315" s="105">
        <v>2702870.0</v>
      </c>
      <c r="D315" s="104" t="s">
        <v>1925</v>
      </c>
      <c r="E315" s="105">
        <v>99.0</v>
      </c>
      <c r="F315" s="104" t="s">
        <v>1917</v>
      </c>
      <c r="G315" s="104" t="s">
        <v>1926</v>
      </c>
      <c r="H315" s="104" t="s">
        <v>1919</v>
      </c>
      <c r="I315" s="104" t="s">
        <v>1920</v>
      </c>
      <c r="J315" s="104" t="s">
        <v>1972</v>
      </c>
      <c r="K315" s="104" t="s">
        <v>1973</v>
      </c>
      <c r="L315" s="104" t="s">
        <v>1265</v>
      </c>
      <c r="M315" s="104" t="s">
        <v>2771</v>
      </c>
      <c r="N315" s="104" t="s">
        <v>1552</v>
      </c>
      <c r="O315" s="104" t="s">
        <v>1552</v>
      </c>
      <c r="P315" s="104" t="s">
        <v>2772</v>
      </c>
      <c r="Q315" s="105">
        <v>2702870.0</v>
      </c>
      <c r="R315" s="107"/>
    </row>
    <row r="316">
      <c r="A316" s="104" t="s">
        <v>1806</v>
      </c>
      <c r="B316" s="104" t="s">
        <v>2773</v>
      </c>
      <c r="C316" s="105">
        <v>2477082.0</v>
      </c>
      <c r="D316" s="104" t="s">
        <v>1925</v>
      </c>
      <c r="E316" s="105">
        <v>99.0</v>
      </c>
      <c r="F316" s="104" t="s">
        <v>1917</v>
      </c>
      <c r="G316" s="104" t="s">
        <v>1926</v>
      </c>
      <c r="H316" s="104" t="s">
        <v>1929</v>
      </c>
      <c r="I316" s="104" t="s">
        <v>1983</v>
      </c>
      <c r="J316" s="104" t="s">
        <v>1984</v>
      </c>
      <c r="K316" s="104" t="s">
        <v>1985</v>
      </c>
      <c r="L316" s="104" t="s">
        <v>1195</v>
      </c>
      <c r="M316" s="104" t="s">
        <v>2774</v>
      </c>
      <c r="N316" s="104" t="s">
        <v>1806</v>
      </c>
      <c r="O316" s="104" t="s">
        <v>1806</v>
      </c>
      <c r="P316" s="104" t="s">
        <v>2775</v>
      </c>
      <c r="Q316" s="105">
        <v>2477082.0</v>
      </c>
      <c r="R316" s="107"/>
    </row>
    <row r="317">
      <c r="A317" s="104" t="s">
        <v>251</v>
      </c>
      <c r="B317" s="104" t="s">
        <v>2776</v>
      </c>
      <c r="C317" s="105">
        <v>4003325.0</v>
      </c>
      <c r="D317" s="104" t="s">
        <v>1925</v>
      </c>
      <c r="E317" s="105">
        <v>99.0</v>
      </c>
      <c r="F317" s="104" t="s">
        <v>1917</v>
      </c>
      <c r="G317" s="104" t="s">
        <v>1926</v>
      </c>
      <c r="H317" s="104" t="s">
        <v>1919</v>
      </c>
      <c r="I317" s="104" t="s">
        <v>1920</v>
      </c>
      <c r="J317" s="104" t="s">
        <v>1921</v>
      </c>
      <c r="K317" s="104" t="s">
        <v>2777</v>
      </c>
      <c r="L317" s="104" t="s">
        <v>2778</v>
      </c>
      <c r="M317" s="104" t="s">
        <v>2779</v>
      </c>
      <c r="N317" s="104" t="s">
        <v>251</v>
      </c>
      <c r="O317" s="104" t="s">
        <v>251</v>
      </c>
      <c r="P317" s="104" t="s">
        <v>2384</v>
      </c>
      <c r="Q317" s="105">
        <v>4003325.0</v>
      </c>
      <c r="R317" s="107"/>
    </row>
    <row r="318">
      <c r="A318" s="104" t="s">
        <v>564</v>
      </c>
      <c r="B318" s="104" t="s">
        <v>2780</v>
      </c>
      <c r="C318" s="105">
        <v>1925423.0</v>
      </c>
      <c r="D318" s="104" t="s">
        <v>1916</v>
      </c>
      <c r="E318" s="105">
        <v>92.0</v>
      </c>
      <c r="F318" s="104" t="s">
        <v>1917</v>
      </c>
      <c r="G318" s="104" t="s">
        <v>1918</v>
      </c>
      <c r="H318" s="104" t="s">
        <v>1929</v>
      </c>
      <c r="I318" s="104" t="s">
        <v>1930</v>
      </c>
      <c r="J318" s="104" t="s">
        <v>1931</v>
      </c>
      <c r="K318" s="104" t="s">
        <v>24</v>
      </c>
      <c r="L318" s="104" t="s">
        <v>2399</v>
      </c>
      <c r="M318" s="104" t="s">
        <v>564</v>
      </c>
      <c r="N318" s="106"/>
      <c r="O318" s="104" t="s">
        <v>564</v>
      </c>
      <c r="P318" s="104" t="s">
        <v>2781</v>
      </c>
      <c r="Q318" s="105">
        <v>1925423.0</v>
      </c>
      <c r="R318" s="107"/>
    </row>
    <row r="319">
      <c r="A319" s="104" t="s">
        <v>1515</v>
      </c>
      <c r="B319" s="104" t="s">
        <v>2780</v>
      </c>
      <c r="C319" s="105">
        <v>1925423.0</v>
      </c>
      <c r="D319" s="104" t="s">
        <v>1916</v>
      </c>
      <c r="E319" s="105">
        <v>92.0</v>
      </c>
      <c r="F319" s="104" t="s">
        <v>1917</v>
      </c>
      <c r="G319" s="104" t="s">
        <v>1918</v>
      </c>
      <c r="H319" s="104" t="s">
        <v>1929</v>
      </c>
      <c r="I319" s="104" t="s">
        <v>1930</v>
      </c>
      <c r="J319" s="104" t="s">
        <v>1931</v>
      </c>
      <c r="K319" s="104" t="s">
        <v>24</v>
      </c>
      <c r="L319" s="104" t="s">
        <v>2399</v>
      </c>
      <c r="M319" s="104" t="s">
        <v>564</v>
      </c>
      <c r="N319" s="106"/>
      <c r="O319" s="104" t="s">
        <v>564</v>
      </c>
      <c r="P319" s="104" t="s">
        <v>2781</v>
      </c>
      <c r="Q319" s="105">
        <v>1925423.0</v>
      </c>
      <c r="R319" s="107"/>
    </row>
    <row r="320">
      <c r="A320" s="104" t="s">
        <v>421</v>
      </c>
      <c r="B320" s="104" t="s">
        <v>2782</v>
      </c>
      <c r="C320" s="105">
        <v>5190486.0</v>
      </c>
      <c r="D320" s="104" t="s">
        <v>1925</v>
      </c>
      <c r="E320" s="105">
        <v>99.0</v>
      </c>
      <c r="F320" s="104" t="s">
        <v>1917</v>
      </c>
      <c r="G320" s="104" t="s">
        <v>1926</v>
      </c>
      <c r="H320" s="104" t="s">
        <v>1929</v>
      </c>
      <c r="I320" s="104" t="s">
        <v>2044</v>
      </c>
      <c r="J320" s="104" t="s">
        <v>2045</v>
      </c>
      <c r="K320" s="104" t="s">
        <v>2046</v>
      </c>
      <c r="L320" s="104" t="s">
        <v>2783</v>
      </c>
      <c r="M320" s="104" t="s">
        <v>2784</v>
      </c>
      <c r="N320" s="104" t="s">
        <v>421</v>
      </c>
      <c r="O320" s="104" t="s">
        <v>421</v>
      </c>
      <c r="P320" s="104" t="s">
        <v>2785</v>
      </c>
      <c r="Q320" s="105">
        <v>5190486.0</v>
      </c>
      <c r="R320" s="107"/>
    </row>
    <row r="321">
      <c r="A321" s="104" t="s">
        <v>1841</v>
      </c>
      <c r="B321" s="104" t="s">
        <v>2786</v>
      </c>
      <c r="C321" s="105">
        <v>5293897.0</v>
      </c>
      <c r="D321" s="104" t="s">
        <v>1925</v>
      </c>
      <c r="E321" s="105">
        <v>99.0</v>
      </c>
      <c r="F321" s="104" t="s">
        <v>1917</v>
      </c>
      <c r="G321" s="104" t="s">
        <v>1926</v>
      </c>
      <c r="H321" s="104" t="s">
        <v>1919</v>
      </c>
      <c r="I321" s="104" t="s">
        <v>1920</v>
      </c>
      <c r="J321" s="104" t="s">
        <v>1972</v>
      </c>
      <c r="K321" s="104" t="s">
        <v>2787</v>
      </c>
      <c r="L321" s="104" t="s">
        <v>2788</v>
      </c>
      <c r="M321" s="104" t="s">
        <v>2789</v>
      </c>
      <c r="N321" s="104" t="s">
        <v>1841</v>
      </c>
      <c r="O321" s="104" t="s">
        <v>1841</v>
      </c>
      <c r="P321" s="104" t="s">
        <v>2790</v>
      </c>
      <c r="Q321" s="105">
        <v>5293897.0</v>
      </c>
      <c r="R321" s="107"/>
    </row>
    <row r="322">
      <c r="A322" s="104" t="s">
        <v>1501</v>
      </c>
      <c r="B322" s="104" t="s">
        <v>2791</v>
      </c>
      <c r="C322" s="105">
        <v>2484977.0</v>
      </c>
      <c r="D322" s="104" t="s">
        <v>1925</v>
      </c>
      <c r="E322" s="105">
        <v>99.0</v>
      </c>
      <c r="F322" s="104" t="s">
        <v>1917</v>
      </c>
      <c r="G322" s="104" t="s">
        <v>1926</v>
      </c>
      <c r="H322" s="104" t="s">
        <v>1929</v>
      </c>
      <c r="I322" s="104" t="s">
        <v>1983</v>
      </c>
      <c r="J322" s="104" t="s">
        <v>1984</v>
      </c>
      <c r="K322" s="104" t="s">
        <v>2075</v>
      </c>
      <c r="L322" s="104" t="s">
        <v>2202</v>
      </c>
      <c r="M322" s="104" t="s">
        <v>2792</v>
      </c>
      <c r="N322" s="104" t="s">
        <v>1501</v>
      </c>
      <c r="O322" s="104" t="s">
        <v>1501</v>
      </c>
      <c r="P322" s="104" t="s">
        <v>2793</v>
      </c>
      <c r="Q322" s="105">
        <v>2484977.0</v>
      </c>
      <c r="R322" s="107"/>
    </row>
    <row r="323">
      <c r="A323" s="104" t="s">
        <v>1008</v>
      </c>
      <c r="B323" s="104" t="s">
        <v>2794</v>
      </c>
      <c r="C323" s="105">
        <v>9583145.0</v>
      </c>
      <c r="D323" s="104" t="s">
        <v>1925</v>
      </c>
      <c r="E323" s="105">
        <v>99.0</v>
      </c>
      <c r="F323" s="104" t="s">
        <v>1917</v>
      </c>
      <c r="G323" s="104" t="s">
        <v>1926</v>
      </c>
      <c r="H323" s="104" t="s">
        <v>1929</v>
      </c>
      <c r="I323" s="104" t="s">
        <v>1930</v>
      </c>
      <c r="J323" s="104" t="s">
        <v>1931</v>
      </c>
      <c r="K323" s="104" t="s">
        <v>1214</v>
      </c>
      <c r="L323" s="104" t="s">
        <v>2795</v>
      </c>
      <c r="M323" s="104" t="s">
        <v>2796</v>
      </c>
      <c r="N323" s="104" t="s">
        <v>1008</v>
      </c>
      <c r="O323" s="104" t="s">
        <v>1008</v>
      </c>
      <c r="P323" s="104" t="s">
        <v>2797</v>
      </c>
      <c r="Q323" s="105">
        <v>9583145.0</v>
      </c>
      <c r="R323" s="107"/>
    </row>
    <row r="324">
      <c r="A324" s="104" t="s">
        <v>562</v>
      </c>
      <c r="B324" s="104" t="s">
        <v>2798</v>
      </c>
      <c r="C324" s="105">
        <v>3183840.0</v>
      </c>
      <c r="D324" s="104" t="s">
        <v>1925</v>
      </c>
      <c r="E324" s="105">
        <v>99.0</v>
      </c>
      <c r="F324" s="104" t="s">
        <v>1917</v>
      </c>
      <c r="G324" s="104" t="s">
        <v>1926</v>
      </c>
      <c r="H324" s="104" t="s">
        <v>1919</v>
      </c>
      <c r="I324" s="104" t="s">
        <v>1920</v>
      </c>
      <c r="J324" s="104" t="s">
        <v>1921</v>
      </c>
      <c r="K324" s="104" t="s">
        <v>2678</v>
      </c>
      <c r="L324" s="104" t="s">
        <v>2679</v>
      </c>
      <c r="M324" s="104" t="s">
        <v>2799</v>
      </c>
      <c r="N324" s="104" t="s">
        <v>562</v>
      </c>
      <c r="O324" s="104" t="s">
        <v>562</v>
      </c>
      <c r="P324" s="104" t="s">
        <v>2800</v>
      </c>
      <c r="Q324" s="105">
        <v>3183840.0</v>
      </c>
      <c r="R324" s="107"/>
    </row>
    <row r="325">
      <c r="A325" s="104" t="s">
        <v>915</v>
      </c>
      <c r="B325" s="104" t="s">
        <v>2801</v>
      </c>
      <c r="C325" s="105">
        <v>5230759.0</v>
      </c>
      <c r="D325" s="104" t="s">
        <v>1925</v>
      </c>
      <c r="E325" s="105">
        <v>99.0</v>
      </c>
      <c r="F325" s="104" t="s">
        <v>1917</v>
      </c>
      <c r="G325" s="104" t="s">
        <v>1926</v>
      </c>
      <c r="H325" s="104" t="s">
        <v>1929</v>
      </c>
      <c r="I325" s="104" t="s">
        <v>1983</v>
      </c>
      <c r="J325" s="104" t="s">
        <v>1984</v>
      </c>
      <c r="K325" s="104" t="s">
        <v>2075</v>
      </c>
      <c r="L325" s="104" t="s">
        <v>1710</v>
      </c>
      <c r="M325" s="104" t="s">
        <v>2802</v>
      </c>
      <c r="N325" s="104" t="s">
        <v>915</v>
      </c>
      <c r="O325" s="104" t="s">
        <v>915</v>
      </c>
      <c r="P325" s="104" t="s">
        <v>2553</v>
      </c>
      <c r="Q325" s="105">
        <v>5230759.0</v>
      </c>
      <c r="R325" s="107"/>
    </row>
    <row r="326">
      <c r="A326" s="104" t="s">
        <v>69</v>
      </c>
      <c r="B326" s="104" t="s">
        <v>2803</v>
      </c>
      <c r="C326" s="105">
        <v>3084670.0</v>
      </c>
      <c r="D326" s="104" t="s">
        <v>1925</v>
      </c>
      <c r="E326" s="105">
        <v>97.0</v>
      </c>
      <c r="F326" s="104" t="s">
        <v>1917</v>
      </c>
      <c r="G326" s="104" t="s">
        <v>1926</v>
      </c>
      <c r="H326" s="104" t="s">
        <v>1919</v>
      </c>
      <c r="I326" s="104" t="s">
        <v>1920</v>
      </c>
      <c r="J326" s="104" t="s">
        <v>1921</v>
      </c>
      <c r="K326" s="104" t="s">
        <v>1947</v>
      </c>
      <c r="L326" s="104" t="s">
        <v>2804</v>
      </c>
      <c r="M326" s="104" t="s">
        <v>2805</v>
      </c>
      <c r="N326" s="104" t="s">
        <v>69</v>
      </c>
      <c r="O326" s="104" t="s">
        <v>69</v>
      </c>
      <c r="P326" s="104" t="s">
        <v>2806</v>
      </c>
      <c r="Q326" s="105">
        <v>3084670.0</v>
      </c>
      <c r="R326" s="107"/>
    </row>
    <row r="327">
      <c r="A327" s="104" t="s">
        <v>555</v>
      </c>
      <c r="B327" s="104" t="s">
        <v>2807</v>
      </c>
      <c r="C327" s="105">
        <v>3084672.0</v>
      </c>
      <c r="D327" s="104" t="s">
        <v>1925</v>
      </c>
      <c r="E327" s="105">
        <v>97.0</v>
      </c>
      <c r="F327" s="104" t="s">
        <v>1917</v>
      </c>
      <c r="G327" s="104" t="s">
        <v>1926</v>
      </c>
      <c r="H327" s="104" t="s">
        <v>1919</v>
      </c>
      <c r="I327" s="104" t="s">
        <v>1920</v>
      </c>
      <c r="J327" s="104" t="s">
        <v>1921</v>
      </c>
      <c r="K327" s="104" t="s">
        <v>1947</v>
      </c>
      <c r="L327" s="104" t="s">
        <v>2804</v>
      </c>
      <c r="M327" s="104" t="s">
        <v>2805</v>
      </c>
      <c r="N327" s="104" t="s">
        <v>555</v>
      </c>
      <c r="O327" s="104" t="s">
        <v>555</v>
      </c>
      <c r="P327" s="104" t="s">
        <v>2808</v>
      </c>
      <c r="Q327" s="105">
        <v>3084672.0</v>
      </c>
      <c r="R327" s="107"/>
    </row>
    <row r="328">
      <c r="A328" s="104" t="s">
        <v>187</v>
      </c>
      <c r="B328" s="104" t="s">
        <v>2809</v>
      </c>
      <c r="C328" s="105">
        <v>2488246.0</v>
      </c>
      <c r="D328" s="104" t="s">
        <v>1925</v>
      </c>
      <c r="E328" s="105">
        <v>98.0</v>
      </c>
      <c r="F328" s="104" t="s">
        <v>1976</v>
      </c>
      <c r="G328" s="104" t="s">
        <v>1926</v>
      </c>
      <c r="H328" s="104" t="s">
        <v>1929</v>
      </c>
      <c r="I328" s="104" t="s">
        <v>1983</v>
      </c>
      <c r="J328" s="104" t="s">
        <v>1984</v>
      </c>
      <c r="K328" s="104" t="s">
        <v>2075</v>
      </c>
      <c r="L328" s="104" t="s">
        <v>2154</v>
      </c>
      <c r="M328" s="104" t="s">
        <v>2810</v>
      </c>
      <c r="N328" s="104" t="s">
        <v>2811</v>
      </c>
      <c r="O328" s="104" t="s">
        <v>187</v>
      </c>
      <c r="P328" s="104" t="s">
        <v>2230</v>
      </c>
      <c r="Q328" s="105">
        <v>2488246.0</v>
      </c>
      <c r="R328" s="107"/>
    </row>
    <row r="329">
      <c r="A329" s="104" t="s">
        <v>137</v>
      </c>
      <c r="B329" s="104" t="s">
        <v>2812</v>
      </c>
      <c r="C329" s="105">
        <v>5231932.0</v>
      </c>
      <c r="D329" s="104" t="s">
        <v>1925</v>
      </c>
      <c r="E329" s="105">
        <v>99.0</v>
      </c>
      <c r="F329" s="104" t="s">
        <v>1917</v>
      </c>
      <c r="G329" s="104" t="s">
        <v>1926</v>
      </c>
      <c r="H329" s="104" t="s">
        <v>1929</v>
      </c>
      <c r="I329" s="104" t="s">
        <v>1983</v>
      </c>
      <c r="J329" s="104" t="s">
        <v>1984</v>
      </c>
      <c r="K329" s="104" t="s">
        <v>2216</v>
      </c>
      <c r="L329" s="104" t="s">
        <v>2217</v>
      </c>
      <c r="M329" s="104" t="s">
        <v>2813</v>
      </c>
      <c r="N329" s="104" t="s">
        <v>137</v>
      </c>
      <c r="O329" s="104" t="s">
        <v>137</v>
      </c>
      <c r="P329" s="104" t="s">
        <v>2230</v>
      </c>
      <c r="Q329" s="105">
        <v>5231932.0</v>
      </c>
      <c r="R329" s="107"/>
    </row>
    <row r="330">
      <c r="A330" s="104" t="s">
        <v>27</v>
      </c>
      <c r="B330" s="106"/>
      <c r="C330" s="106"/>
      <c r="D330" s="104" t="s">
        <v>2017</v>
      </c>
      <c r="E330" s="105">
        <v>100.0</v>
      </c>
      <c r="F330" s="106"/>
      <c r="G330" s="106"/>
      <c r="H330" s="106"/>
      <c r="I330" s="106"/>
      <c r="J330" s="106"/>
      <c r="K330" s="106"/>
      <c r="L330" s="106"/>
      <c r="M330" s="106"/>
      <c r="N330" s="106"/>
      <c r="O330" s="106"/>
      <c r="P330" s="106"/>
      <c r="Q330" s="106"/>
      <c r="R330" s="107"/>
    </row>
    <row r="331">
      <c r="A331" s="104" t="s">
        <v>1579</v>
      </c>
      <c r="B331" s="104" t="s">
        <v>2814</v>
      </c>
      <c r="C331" s="105">
        <v>2488545.0</v>
      </c>
      <c r="D331" s="104" t="s">
        <v>1925</v>
      </c>
      <c r="E331" s="105">
        <v>99.0</v>
      </c>
      <c r="F331" s="104" t="s">
        <v>1917</v>
      </c>
      <c r="G331" s="104" t="s">
        <v>1926</v>
      </c>
      <c r="H331" s="104" t="s">
        <v>1929</v>
      </c>
      <c r="I331" s="104" t="s">
        <v>1983</v>
      </c>
      <c r="J331" s="104" t="s">
        <v>1984</v>
      </c>
      <c r="K331" s="104" t="s">
        <v>2075</v>
      </c>
      <c r="L331" s="104" t="s">
        <v>2154</v>
      </c>
      <c r="M331" s="104" t="s">
        <v>2815</v>
      </c>
      <c r="N331" s="104" t="s">
        <v>1579</v>
      </c>
      <c r="O331" s="104" t="s">
        <v>1579</v>
      </c>
      <c r="P331" s="104" t="s">
        <v>2816</v>
      </c>
      <c r="Q331" s="105">
        <v>2488545.0</v>
      </c>
      <c r="R331" s="107"/>
    </row>
    <row r="332">
      <c r="A332" s="104" t="s">
        <v>2817</v>
      </c>
      <c r="B332" s="104" t="s">
        <v>2818</v>
      </c>
      <c r="C332" s="105">
        <v>2384460.0</v>
      </c>
      <c r="D332" s="104" t="s">
        <v>1925</v>
      </c>
      <c r="E332" s="105">
        <v>99.0</v>
      </c>
      <c r="F332" s="104" t="s">
        <v>1917</v>
      </c>
      <c r="G332" s="104" t="s">
        <v>1926</v>
      </c>
      <c r="H332" s="104" t="s">
        <v>1929</v>
      </c>
      <c r="I332" s="104" t="s">
        <v>1983</v>
      </c>
      <c r="J332" s="106"/>
      <c r="K332" s="104" t="s">
        <v>2819</v>
      </c>
      <c r="L332" s="104" t="s">
        <v>2820</v>
      </c>
      <c r="M332" s="104" t="s">
        <v>2821</v>
      </c>
      <c r="N332" s="104" t="s">
        <v>2817</v>
      </c>
      <c r="O332" s="104" t="s">
        <v>2817</v>
      </c>
      <c r="P332" s="104" t="s">
        <v>2822</v>
      </c>
      <c r="Q332" s="105">
        <v>2384460.0</v>
      </c>
      <c r="R332" s="107"/>
    </row>
    <row r="333">
      <c r="A333" s="104" t="s">
        <v>1566</v>
      </c>
      <c r="B333" s="104" t="s">
        <v>2823</v>
      </c>
      <c r="C333" s="105">
        <v>5959208.0</v>
      </c>
      <c r="D333" s="104" t="s">
        <v>1925</v>
      </c>
      <c r="E333" s="105">
        <v>99.0</v>
      </c>
      <c r="F333" s="104" t="s">
        <v>1917</v>
      </c>
      <c r="G333" s="104" t="s">
        <v>1926</v>
      </c>
      <c r="H333" s="104" t="s">
        <v>1929</v>
      </c>
      <c r="I333" s="104" t="s">
        <v>1983</v>
      </c>
      <c r="J333" s="104" t="s">
        <v>1984</v>
      </c>
      <c r="K333" s="104" t="s">
        <v>2075</v>
      </c>
      <c r="L333" s="104" t="s">
        <v>2824</v>
      </c>
      <c r="M333" s="104" t="s">
        <v>2825</v>
      </c>
      <c r="N333" s="104" t="s">
        <v>1566</v>
      </c>
      <c r="O333" s="104" t="s">
        <v>1566</v>
      </c>
      <c r="P333" s="104" t="s">
        <v>2826</v>
      </c>
      <c r="Q333" s="105">
        <v>5959208.0</v>
      </c>
      <c r="R333" s="107"/>
    </row>
    <row r="334">
      <c r="A334" s="104" t="s">
        <v>1412</v>
      </c>
      <c r="B334" s="104" t="s">
        <v>2827</v>
      </c>
      <c r="C334" s="105">
        <v>9436876.0</v>
      </c>
      <c r="D334" s="104" t="s">
        <v>1943</v>
      </c>
      <c r="E334" s="106"/>
      <c r="F334" s="104" t="s">
        <v>1917</v>
      </c>
      <c r="G334" s="104" t="s">
        <v>1926</v>
      </c>
      <c r="H334" s="104" t="s">
        <v>1929</v>
      </c>
      <c r="I334" s="104" t="s">
        <v>1983</v>
      </c>
      <c r="J334" s="104" t="s">
        <v>1984</v>
      </c>
      <c r="K334" s="104" t="s">
        <v>2075</v>
      </c>
      <c r="L334" s="104" t="s">
        <v>2154</v>
      </c>
      <c r="M334" s="104" t="s">
        <v>2828</v>
      </c>
      <c r="N334" s="104" t="s">
        <v>72</v>
      </c>
      <c r="O334" s="104" t="s">
        <v>72</v>
      </c>
      <c r="Q334" s="105">
        <v>9436876.0</v>
      </c>
      <c r="R334" s="107"/>
    </row>
    <row r="335">
      <c r="A335" s="104" t="s">
        <v>946</v>
      </c>
      <c r="B335" s="104" t="s">
        <v>2829</v>
      </c>
      <c r="C335" s="105">
        <v>1946490.0</v>
      </c>
      <c r="D335" s="104" t="s">
        <v>1943</v>
      </c>
      <c r="E335" s="105">
        <v>94.0</v>
      </c>
      <c r="F335" s="104" t="s">
        <v>1917</v>
      </c>
      <c r="G335" s="104" t="s">
        <v>1918</v>
      </c>
      <c r="H335" s="104" t="s">
        <v>1929</v>
      </c>
      <c r="I335" s="104" t="s">
        <v>1930</v>
      </c>
      <c r="J335" s="104" t="s">
        <v>1931</v>
      </c>
      <c r="K335" s="104" t="s">
        <v>24</v>
      </c>
      <c r="L335" s="104" t="s">
        <v>2059</v>
      </c>
      <c r="M335" s="104" t="s">
        <v>2830</v>
      </c>
      <c r="N335" s="106"/>
      <c r="O335" s="104" t="s">
        <v>2830</v>
      </c>
      <c r="P335" s="104" t="s">
        <v>2831</v>
      </c>
      <c r="Q335" s="105">
        <v>1946490.0</v>
      </c>
      <c r="R335" s="107"/>
    </row>
    <row r="336">
      <c r="A336" s="104" t="s">
        <v>72</v>
      </c>
      <c r="B336" s="104" t="s">
        <v>2827</v>
      </c>
      <c r="C336" s="105">
        <v>9436876.0</v>
      </c>
      <c r="D336" s="104" t="s">
        <v>1925</v>
      </c>
      <c r="E336" s="105">
        <v>99.0</v>
      </c>
      <c r="F336" s="104" t="s">
        <v>1917</v>
      </c>
      <c r="G336" s="104" t="s">
        <v>1926</v>
      </c>
      <c r="H336" s="104" t="s">
        <v>1929</v>
      </c>
      <c r="I336" s="104" t="s">
        <v>1983</v>
      </c>
      <c r="J336" s="104" t="s">
        <v>1984</v>
      </c>
      <c r="K336" s="104" t="s">
        <v>2075</v>
      </c>
      <c r="L336" s="104" t="s">
        <v>2154</v>
      </c>
      <c r="M336" s="104" t="s">
        <v>2828</v>
      </c>
      <c r="N336" s="104" t="s">
        <v>72</v>
      </c>
      <c r="O336" s="104" t="s">
        <v>72</v>
      </c>
      <c r="P336" s="104" t="s">
        <v>2832</v>
      </c>
      <c r="Q336" s="105">
        <v>9436876.0</v>
      </c>
      <c r="R336" s="107"/>
    </row>
    <row r="337">
      <c r="A337" s="104" t="s">
        <v>93</v>
      </c>
      <c r="B337" s="104" t="s">
        <v>2833</v>
      </c>
      <c r="C337" s="105">
        <v>2488622.0</v>
      </c>
      <c r="D337" s="104" t="s">
        <v>1925</v>
      </c>
      <c r="E337" s="105">
        <v>99.0</v>
      </c>
      <c r="F337" s="104" t="s">
        <v>1917</v>
      </c>
      <c r="G337" s="104" t="s">
        <v>1926</v>
      </c>
      <c r="H337" s="104" t="s">
        <v>1929</v>
      </c>
      <c r="I337" s="104" t="s">
        <v>1983</v>
      </c>
      <c r="J337" s="104" t="s">
        <v>1984</v>
      </c>
      <c r="K337" s="104" t="s">
        <v>2075</v>
      </c>
      <c r="L337" s="104" t="s">
        <v>2154</v>
      </c>
      <c r="M337" s="104" t="s">
        <v>2828</v>
      </c>
      <c r="N337" s="104" t="s">
        <v>93</v>
      </c>
      <c r="O337" s="104" t="s">
        <v>93</v>
      </c>
      <c r="P337" s="104" t="s">
        <v>2230</v>
      </c>
      <c r="Q337" s="105">
        <v>2488622.0</v>
      </c>
      <c r="R337" s="107"/>
    </row>
    <row r="338">
      <c r="A338" s="104" t="s">
        <v>183</v>
      </c>
      <c r="B338" s="104" t="s">
        <v>2834</v>
      </c>
      <c r="C338" s="105">
        <v>5415463.0</v>
      </c>
      <c r="D338" s="104" t="s">
        <v>1925</v>
      </c>
      <c r="E338" s="105">
        <v>97.0</v>
      </c>
      <c r="F338" s="104" t="s">
        <v>1917</v>
      </c>
      <c r="G338" s="104" t="s">
        <v>1926</v>
      </c>
      <c r="H338" s="104" t="s">
        <v>1919</v>
      </c>
      <c r="I338" s="104" t="s">
        <v>1920</v>
      </c>
      <c r="J338" s="104" t="s">
        <v>1921</v>
      </c>
      <c r="K338" s="104" t="s">
        <v>1963</v>
      </c>
      <c r="L338" s="104" t="s">
        <v>2715</v>
      </c>
      <c r="M338" s="104" t="s">
        <v>2835</v>
      </c>
      <c r="N338" s="104" t="s">
        <v>183</v>
      </c>
      <c r="O338" s="104" t="s">
        <v>183</v>
      </c>
      <c r="P338" s="104" t="s">
        <v>2836</v>
      </c>
      <c r="Q338" s="105">
        <v>5415463.0</v>
      </c>
      <c r="R338" s="107"/>
    </row>
    <row r="339">
      <c r="A339" s="104" t="s">
        <v>1347</v>
      </c>
      <c r="B339" s="104" t="s">
        <v>2837</v>
      </c>
      <c r="C339" s="105">
        <v>8279994.0</v>
      </c>
      <c r="D339" s="104" t="s">
        <v>1916</v>
      </c>
      <c r="E339" s="105">
        <v>94.0</v>
      </c>
      <c r="F339" s="104" t="s">
        <v>1917</v>
      </c>
      <c r="G339" s="104" t="s">
        <v>1918</v>
      </c>
      <c r="H339" s="104" t="s">
        <v>1919</v>
      </c>
      <c r="I339" s="104" t="s">
        <v>1920</v>
      </c>
      <c r="J339" s="104" t="s">
        <v>1972</v>
      </c>
      <c r="K339" s="104" t="s">
        <v>1973</v>
      </c>
      <c r="L339" s="104" t="s">
        <v>2838</v>
      </c>
      <c r="M339" s="104" t="s">
        <v>1347</v>
      </c>
      <c r="N339" s="106"/>
      <c r="O339" s="104" t="s">
        <v>1347</v>
      </c>
      <c r="P339" s="104" t="s">
        <v>1960</v>
      </c>
      <c r="Q339" s="105">
        <v>8279994.0</v>
      </c>
      <c r="R339" s="107"/>
    </row>
    <row r="340">
      <c r="A340" s="104" t="s">
        <v>1167</v>
      </c>
      <c r="B340" s="104" t="s">
        <v>2839</v>
      </c>
      <c r="C340" s="105">
        <v>2695588.0</v>
      </c>
      <c r="D340" s="104" t="s">
        <v>1925</v>
      </c>
      <c r="E340" s="105">
        <v>97.0</v>
      </c>
      <c r="F340" s="104" t="s">
        <v>1917</v>
      </c>
      <c r="G340" s="104" t="s">
        <v>1926</v>
      </c>
      <c r="H340" s="104" t="s">
        <v>1919</v>
      </c>
      <c r="I340" s="104" t="s">
        <v>1920</v>
      </c>
      <c r="J340" s="104" t="s">
        <v>1972</v>
      </c>
      <c r="K340" s="104" t="s">
        <v>1973</v>
      </c>
      <c r="L340" s="104" t="s">
        <v>2838</v>
      </c>
      <c r="M340" s="104" t="s">
        <v>1347</v>
      </c>
      <c r="N340" s="104" t="s">
        <v>1167</v>
      </c>
      <c r="O340" s="104" t="s">
        <v>1167</v>
      </c>
      <c r="P340" s="104" t="s">
        <v>2298</v>
      </c>
      <c r="Q340" s="105">
        <v>2695588.0</v>
      </c>
      <c r="R340" s="107"/>
    </row>
    <row r="341">
      <c r="A341" s="104" t="s">
        <v>109</v>
      </c>
      <c r="B341" s="104" t="s">
        <v>2840</v>
      </c>
      <c r="C341" s="105">
        <v>2695068.0</v>
      </c>
      <c r="D341" s="104" t="s">
        <v>1925</v>
      </c>
      <c r="E341" s="105">
        <v>98.0</v>
      </c>
      <c r="F341" s="104" t="s">
        <v>1917</v>
      </c>
      <c r="G341" s="104" t="s">
        <v>1926</v>
      </c>
      <c r="H341" s="104" t="s">
        <v>1919</v>
      </c>
      <c r="I341" s="104" t="s">
        <v>1920</v>
      </c>
      <c r="J341" s="104" t="s">
        <v>1972</v>
      </c>
      <c r="K341" s="104" t="s">
        <v>1973</v>
      </c>
      <c r="L341" s="104" t="s">
        <v>2838</v>
      </c>
      <c r="M341" s="104" t="s">
        <v>1347</v>
      </c>
      <c r="N341" s="104" t="s">
        <v>109</v>
      </c>
      <c r="O341" s="104" t="s">
        <v>109</v>
      </c>
      <c r="P341" s="104" t="s">
        <v>2841</v>
      </c>
      <c r="Q341" s="105">
        <v>2695068.0</v>
      </c>
      <c r="R341" s="108"/>
    </row>
    <row r="342">
      <c r="A342" s="104" t="s">
        <v>1568</v>
      </c>
      <c r="B342" s="104" t="s">
        <v>2842</v>
      </c>
      <c r="C342" s="105">
        <v>2695104.0</v>
      </c>
      <c r="D342" s="104" t="s">
        <v>2084</v>
      </c>
      <c r="E342" s="105">
        <v>94.0</v>
      </c>
      <c r="F342" s="104" t="s">
        <v>1917</v>
      </c>
      <c r="G342" s="104" t="s">
        <v>1926</v>
      </c>
      <c r="H342" s="104" t="s">
        <v>1919</v>
      </c>
      <c r="I342" s="104" t="s">
        <v>1920</v>
      </c>
      <c r="J342" s="104" t="s">
        <v>1972</v>
      </c>
      <c r="K342" s="104" t="s">
        <v>1973</v>
      </c>
      <c r="L342" s="104" t="s">
        <v>2838</v>
      </c>
      <c r="M342" s="104" t="s">
        <v>1347</v>
      </c>
      <c r="N342" s="104" t="s">
        <v>2843</v>
      </c>
      <c r="O342" s="104" t="s">
        <v>2843</v>
      </c>
      <c r="P342" s="104" t="s">
        <v>2844</v>
      </c>
      <c r="Q342" s="105">
        <v>2695104.0</v>
      </c>
      <c r="R342" s="107"/>
    </row>
    <row r="343">
      <c r="A343" s="104" t="s">
        <v>122</v>
      </c>
      <c r="B343" s="104" t="s">
        <v>2845</v>
      </c>
      <c r="C343" s="105">
        <v>2483274.0</v>
      </c>
      <c r="D343" s="104" t="s">
        <v>1925</v>
      </c>
      <c r="E343" s="105">
        <v>99.0</v>
      </c>
      <c r="F343" s="104" t="s">
        <v>1917</v>
      </c>
      <c r="G343" s="104" t="s">
        <v>1926</v>
      </c>
      <c r="H343" s="104" t="s">
        <v>1929</v>
      </c>
      <c r="I343" s="104" t="s">
        <v>1983</v>
      </c>
      <c r="J343" s="104" t="s">
        <v>1984</v>
      </c>
      <c r="K343" s="104" t="s">
        <v>2075</v>
      </c>
      <c r="L343" s="104" t="s">
        <v>2076</v>
      </c>
      <c r="M343" s="104" t="s">
        <v>2846</v>
      </c>
      <c r="N343" s="104" t="s">
        <v>122</v>
      </c>
      <c r="O343" s="104" t="s">
        <v>122</v>
      </c>
      <c r="P343" s="104" t="s">
        <v>2230</v>
      </c>
      <c r="Q343" s="105">
        <v>2483274.0</v>
      </c>
      <c r="R343" s="107"/>
    </row>
    <row r="344">
      <c r="A344" s="104" t="s">
        <v>1524</v>
      </c>
      <c r="B344" s="104" t="s">
        <v>2847</v>
      </c>
      <c r="C344" s="105">
        <v>2482874.0</v>
      </c>
      <c r="D344" s="104" t="s">
        <v>1925</v>
      </c>
      <c r="E344" s="105">
        <v>99.0</v>
      </c>
      <c r="F344" s="104" t="s">
        <v>1917</v>
      </c>
      <c r="G344" s="104" t="s">
        <v>1926</v>
      </c>
      <c r="H344" s="104" t="s">
        <v>1929</v>
      </c>
      <c r="I344" s="104" t="s">
        <v>1983</v>
      </c>
      <c r="J344" s="104" t="s">
        <v>1984</v>
      </c>
      <c r="K344" s="104" t="s">
        <v>2075</v>
      </c>
      <c r="L344" s="104" t="s">
        <v>2076</v>
      </c>
      <c r="M344" s="104" t="s">
        <v>2848</v>
      </c>
      <c r="N344" s="104" t="s">
        <v>1524</v>
      </c>
      <c r="O344" s="104" t="s">
        <v>1524</v>
      </c>
      <c r="P344" s="104" t="s">
        <v>2204</v>
      </c>
      <c r="Q344" s="105">
        <v>2482874.0</v>
      </c>
      <c r="R344" s="107"/>
    </row>
    <row r="345">
      <c r="A345" s="104" t="s">
        <v>1058</v>
      </c>
      <c r="B345" s="104" t="s">
        <v>2849</v>
      </c>
      <c r="C345" s="105">
        <v>2149194.0</v>
      </c>
      <c r="D345" s="104" t="s">
        <v>1916</v>
      </c>
      <c r="E345" s="105">
        <v>94.0</v>
      </c>
      <c r="F345" s="104" t="s">
        <v>1917</v>
      </c>
      <c r="G345" s="104" t="s">
        <v>1918</v>
      </c>
      <c r="H345" s="104" t="s">
        <v>1929</v>
      </c>
      <c r="I345" s="104" t="s">
        <v>1930</v>
      </c>
      <c r="J345" s="104" t="s">
        <v>1992</v>
      </c>
      <c r="K345" s="104" t="s">
        <v>233</v>
      </c>
      <c r="L345" s="104" t="s">
        <v>2850</v>
      </c>
      <c r="M345" s="104" t="s">
        <v>1058</v>
      </c>
      <c r="O345" s="104" t="s">
        <v>1058</v>
      </c>
      <c r="P345" s="104" t="s">
        <v>2851</v>
      </c>
      <c r="Q345" s="105">
        <v>2149194.0</v>
      </c>
      <c r="R345" s="107"/>
    </row>
    <row r="346">
      <c r="A346" s="104" t="s">
        <v>895</v>
      </c>
      <c r="B346" s="104" t="s">
        <v>2852</v>
      </c>
      <c r="C346" s="105">
        <v>2548276.0</v>
      </c>
      <c r="D346" s="104" t="s">
        <v>1925</v>
      </c>
      <c r="E346" s="105">
        <v>99.0</v>
      </c>
      <c r="F346" s="104" t="s">
        <v>1917</v>
      </c>
      <c r="G346" s="104" t="s">
        <v>1926</v>
      </c>
      <c r="H346" s="104" t="s">
        <v>522</v>
      </c>
      <c r="I346" s="104" t="s">
        <v>1937</v>
      </c>
      <c r="J346" s="104" t="s">
        <v>1938</v>
      </c>
      <c r="K346" s="104" t="s">
        <v>2853</v>
      </c>
      <c r="L346" s="104" t="s">
        <v>2854</v>
      </c>
      <c r="M346" s="104" t="s">
        <v>970</v>
      </c>
      <c r="N346" s="104" t="s">
        <v>895</v>
      </c>
      <c r="O346" s="104" t="s">
        <v>895</v>
      </c>
      <c r="P346" s="104" t="s">
        <v>2855</v>
      </c>
      <c r="Q346" s="105">
        <v>2548276.0</v>
      </c>
      <c r="R346" s="107"/>
    </row>
    <row r="347">
      <c r="A347" s="104" t="s">
        <v>602</v>
      </c>
      <c r="B347" s="104" t="s">
        <v>2856</v>
      </c>
      <c r="C347" s="105">
        <v>9693835.0</v>
      </c>
      <c r="D347" s="104" t="s">
        <v>1943</v>
      </c>
      <c r="E347" s="105">
        <v>97.0</v>
      </c>
      <c r="F347" s="104" t="s">
        <v>1976</v>
      </c>
      <c r="G347" s="104" t="s">
        <v>1926</v>
      </c>
      <c r="H347" s="104" t="s">
        <v>522</v>
      </c>
      <c r="I347" s="104" t="s">
        <v>1937</v>
      </c>
      <c r="J347" s="104" t="s">
        <v>1938</v>
      </c>
      <c r="K347" s="104" t="s">
        <v>2853</v>
      </c>
      <c r="L347" s="104" t="s">
        <v>2854</v>
      </c>
      <c r="M347" s="104" t="s">
        <v>2857</v>
      </c>
      <c r="N347" s="104" t="s">
        <v>2858</v>
      </c>
      <c r="O347" s="104" t="s">
        <v>602</v>
      </c>
      <c r="Q347" s="105">
        <v>9693835.0</v>
      </c>
      <c r="R347" s="107"/>
    </row>
    <row r="348">
      <c r="A348" s="104" t="s">
        <v>469</v>
      </c>
      <c r="B348" s="104" t="s">
        <v>2859</v>
      </c>
      <c r="C348" s="105">
        <v>2984501.0</v>
      </c>
      <c r="D348" s="104" t="s">
        <v>2084</v>
      </c>
      <c r="E348" s="105">
        <v>96.0</v>
      </c>
      <c r="F348" s="104" t="s">
        <v>1917</v>
      </c>
      <c r="G348" s="104" t="s">
        <v>1926</v>
      </c>
      <c r="H348" s="104" t="s">
        <v>1919</v>
      </c>
      <c r="I348" s="104" t="s">
        <v>1920</v>
      </c>
      <c r="J348" s="104" t="s">
        <v>1921</v>
      </c>
      <c r="K348" s="104" t="s">
        <v>2030</v>
      </c>
      <c r="L348" s="104" t="s">
        <v>2860</v>
      </c>
      <c r="M348" s="104" t="s">
        <v>2861</v>
      </c>
      <c r="N348" s="104" t="s">
        <v>2862</v>
      </c>
      <c r="O348" s="104" t="s">
        <v>2862</v>
      </c>
      <c r="P348" s="104" t="s">
        <v>2863</v>
      </c>
      <c r="Q348" s="105">
        <v>2984501.0</v>
      </c>
      <c r="R348" s="107"/>
    </row>
    <row r="349">
      <c r="A349" s="104" t="s">
        <v>403</v>
      </c>
      <c r="B349" s="104" t="s">
        <v>2864</v>
      </c>
      <c r="C349" s="105">
        <v>3084848.0</v>
      </c>
      <c r="D349" s="104" t="s">
        <v>1925</v>
      </c>
      <c r="E349" s="105">
        <v>99.0</v>
      </c>
      <c r="F349" s="104" t="s">
        <v>1917</v>
      </c>
      <c r="G349" s="104" t="s">
        <v>1926</v>
      </c>
      <c r="H349" s="104" t="s">
        <v>1919</v>
      </c>
      <c r="I349" s="104" t="s">
        <v>1920</v>
      </c>
      <c r="J349" s="104" t="s">
        <v>1921</v>
      </c>
      <c r="K349" s="104" t="s">
        <v>1947</v>
      </c>
      <c r="L349" s="104" t="s">
        <v>2865</v>
      </c>
      <c r="M349" s="104" t="s">
        <v>2866</v>
      </c>
      <c r="N349" s="104" t="s">
        <v>403</v>
      </c>
      <c r="O349" s="104" t="s">
        <v>403</v>
      </c>
      <c r="P349" s="104" t="s">
        <v>1960</v>
      </c>
      <c r="Q349" s="105">
        <v>3084848.0</v>
      </c>
      <c r="R349" s="107"/>
    </row>
    <row r="350">
      <c r="A350" s="104" t="s">
        <v>2867</v>
      </c>
      <c r="B350" s="104" t="s">
        <v>2868</v>
      </c>
      <c r="C350" s="105">
        <v>7271353.0</v>
      </c>
      <c r="D350" s="104" t="s">
        <v>1925</v>
      </c>
      <c r="E350" s="105">
        <v>99.0</v>
      </c>
      <c r="F350" s="104" t="s">
        <v>1917</v>
      </c>
      <c r="G350" s="104" t="s">
        <v>1926</v>
      </c>
      <c r="H350" s="104" t="s">
        <v>1919</v>
      </c>
      <c r="I350" s="104" t="s">
        <v>1920</v>
      </c>
      <c r="J350" s="104" t="s">
        <v>1921</v>
      </c>
      <c r="K350" s="104" t="s">
        <v>2547</v>
      </c>
      <c r="L350" s="104" t="s">
        <v>2869</v>
      </c>
      <c r="M350" s="104" t="s">
        <v>2870</v>
      </c>
      <c r="N350" s="104" t="s">
        <v>2867</v>
      </c>
      <c r="O350" s="104" t="s">
        <v>2867</v>
      </c>
      <c r="P350" s="104" t="s">
        <v>2871</v>
      </c>
      <c r="Q350" s="105">
        <v>7271353.0</v>
      </c>
      <c r="R350" s="107"/>
    </row>
    <row r="351">
      <c r="A351" s="104" t="s">
        <v>135</v>
      </c>
      <c r="B351" s="104" t="s">
        <v>2872</v>
      </c>
      <c r="C351" s="105">
        <v>3149462.0</v>
      </c>
      <c r="D351" s="104" t="s">
        <v>1925</v>
      </c>
      <c r="E351" s="105">
        <v>99.0</v>
      </c>
      <c r="F351" s="104" t="s">
        <v>1917</v>
      </c>
      <c r="G351" s="104" t="s">
        <v>1926</v>
      </c>
      <c r="H351" s="104" t="s">
        <v>1919</v>
      </c>
      <c r="I351" s="104" t="s">
        <v>1920</v>
      </c>
      <c r="J351" s="104" t="s">
        <v>1921</v>
      </c>
      <c r="K351" s="104" t="s">
        <v>2019</v>
      </c>
      <c r="L351" s="104" t="s">
        <v>979</v>
      </c>
      <c r="M351" s="104" t="s">
        <v>2873</v>
      </c>
      <c r="N351" s="104" t="s">
        <v>135</v>
      </c>
      <c r="O351" s="104" t="s">
        <v>135</v>
      </c>
      <c r="P351" s="104" t="s">
        <v>1960</v>
      </c>
      <c r="Q351" s="105">
        <v>3149462.0</v>
      </c>
      <c r="R351" s="107"/>
    </row>
    <row r="352">
      <c r="A352" s="104" t="s">
        <v>111</v>
      </c>
      <c r="B352" s="104" t="s">
        <v>2874</v>
      </c>
      <c r="C352" s="105">
        <v>5040803.0</v>
      </c>
      <c r="D352" s="104" t="s">
        <v>1925</v>
      </c>
      <c r="E352" s="105">
        <v>99.0</v>
      </c>
      <c r="F352" s="104" t="s">
        <v>1917</v>
      </c>
      <c r="G352" s="104" t="s">
        <v>1926</v>
      </c>
      <c r="H352" s="104" t="s">
        <v>1929</v>
      </c>
      <c r="I352" s="104" t="s">
        <v>1930</v>
      </c>
      <c r="J352" s="104" t="s">
        <v>1931</v>
      </c>
      <c r="K352" s="104" t="s">
        <v>62</v>
      </c>
      <c r="L352" s="104" t="s">
        <v>1979</v>
      </c>
      <c r="M352" s="104" t="s">
        <v>2875</v>
      </c>
      <c r="N352" s="104" t="s">
        <v>111</v>
      </c>
      <c r="O352" s="104" t="s">
        <v>111</v>
      </c>
      <c r="P352" s="104" t="s">
        <v>2876</v>
      </c>
      <c r="Q352" s="105">
        <v>5040803.0</v>
      </c>
      <c r="R352" s="107"/>
    </row>
    <row r="353">
      <c r="A353" s="104" t="s">
        <v>392</v>
      </c>
      <c r="B353" s="104" t="s">
        <v>2877</v>
      </c>
      <c r="C353" s="105">
        <v>4038608.0</v>
      </c>
      <c r="D353" s="104" t="s">
        <v>1943</v>
      </c>
      <c r="E353" s="105">
        <v>97.0</v>
      </c>
      <c r="F353" s="104" t="s">
        <v>1917</v>
      </c>
      <c r="G353" s="104" t="s">
        <v>1926</v>
      </c>
      <c r="H353" s="104" t="s">
        <v>1919</v>
      </c>
      <c r="I353" s="104" t="s">
        <v>1920</v>
      </c>
      <c r="J353" s="104" t="s">
        <v>1921</v>
      </c>
      <c r="K353" s="104" t="s">
        <v>1947</v>
      </c>
      <c r="L353" s="104" t="s">
        <v>2718</v>
      </c>
      <c r="M353" s="104" t="s">
        <v>2878</v>
      </c>
      <c r="N353" s="104" t="s">
        <v>392</v>
      </c>
      <c r="O353" s="104" t="s">
        <v>392</v>
      </c>
      <c r="Q353" s="105">
        <v>4038608.0</v>
      </c>
      <c r="R353" s="107"/>
    </row>
    <row r="354">
      <c r="A354" s="104" t="s">
        <v>38</v>
      </c>
      <c r="B354" s="104" t="s">
        <v>2879</v>
      </c>
      <c r="C354" s="105">
        <v>8346347.0</v>
      </c>
      <c r="D354" s="104" t="s">
        <v>1925</v>
      </c>
      <c r="E354" s="105">
        <v>99.0</v>
      </c>
      <c r="F354" s="104" t="s">
        <v>1917</v>
      </c>
      <c r="G354" s="104" t="s">
        <v>1926</v>
      </c>
      <c r="H354" s="104" t="s">
        <v>1929</v>
      </c>
      <c r="I354" s="104" t="s">
        <v>1983</v>
      </c>
      <c r="J354" s="104" t="s">
        <v>1984</v>
      </c>
      <c r="K354" s="104" t="s">
        <v>2075</v>
      </c>
      <c r="L354" s="104" t="s">
        <v>2880</v>
      </c>
      <c r="M354" s="104" t="s">
        <v>2881</v>
      </c>
      <c r="N354" s="104" t="s">
        <v>38</v>
      </c>
      <c r="O354" s="104" t="s">
        <v>38</v>
      </c>
      <c r="P354" s="104" t="s">
        <v>2882</v>
      </c>
      <c r="Q354" s="105">
        <v>8346347.0</v>
      </c>
      <c r="R354" s="107"/>
    </row>
    <row r="355">
      <c r="A355" s="104" t="s">
        <v>139</v>
      </c>
      <c r="B355" s="104" t="s">
        <v>2883</v>
      </c>
      <c r="C355" s="105">
        <v>5224858.0</v>
      </c>
      <c r="D355" s="104" t="s">
        <v>1925</v>
      </c>
      <c r="E355" s="105">
        <v>99.0</v>
      </c>
      <c r="F355" s="104" t="s">
        <v>1917</v>
      </c>
      <c r="G355" s="104" t="s">
        <v>1926</v>
      </c>
      <c r="H355" s="104" t="s">
        <v>1929</v>
      </c>
      <c r="I355" s="104" t="s">
        <v>1983</v>
      </c>
      <c r="J355" s="104" t="s">
        <v>2403</v>
      </c>
      <c r="K355" s="106"/>
      <c r="L355" s="104" t="s">
        <v>2884</v>
      </c>
      <c r="M355" s="104" t="s">
        <v>2885</v>
      </c>
      <c r="N355" s="104" t="s">
        <v>139</v>
      </c>
      <c r="O355" s="104" t="s">
        <v>139</v>
      </c>
      <c r="P355" s="104" t="s">
        <v>2886</v>
      </c>
      <c r="Q355" s="105">
        <v>5224858.0</v>
      </c>
      <c r="R355" s="107"/>
    </row>
    <row r="356">
      <c r="A356" s="104" t="s">
        <v>175</v>
      </c>
      <c r="B356" s="104" t="s">
        <v>2887</v>
      </c>
      <c r="C356" s="105">
        <v>2490726.0</v>
      </c>
      <c r="D356" s="104" t="s">
        <v>1925</v>
      </c>
      <c r="E356" s="105">
        <v>99.0</v>
      </c>
      <c r="F356" s="104" t="s">
        <v>1917</v>
      </c>
      <c r="G356" s="104" t="s">
        <v>1926</v>
      </c>
      <c r="H356" s="104" t="s">
        <v>1929</v>
      </c>
      <c r="I356" s="104" t="s">
        <v>1983</v>
      </c>
      <c r="J356" s="104" t="s">
        <v>1984</v>
      </c>
      <c r="K356" s="104" t="s">
        <v>2075</v>
      </c>
      <c r="L356" s="104" t="s">
        <v>2888</v>
      </c>
      <c r="M356" s="104" t="s">
        <v>2889</v>
      </c>
      <c r="N356" s="104" t="s">
        <v>175</v>
      </c>
      <c r="O356" s="104" t="s">
        <v>175</v>
      </c>
      <c r="P356" s="104" t="s">
        <v>2890</v>
      </c>
      <c r="Q356" s="105">
        <v>2490726.0</v>
      </c>
      <c r="R356" s="108"/>
    </row>
    <row r="357">
      <c r="A357" s="104" t="s">
        <v>473</v>
      </c>
      <c r="B357" s="104" t="s">
        <v>2891</v>
      </c>
      <c r="C357" s="105">
        <v>2490718.0</v>
      </c>
      <c r="D357" s="104" t="s">
        <v>1925</v>
      </c>
      <c r="E357" s="105">
        <v>99.0</v>
      </c>
      <c r="F357" s="104" t="s">
        <v>1917</v>
      </c>
      <c r="G357" s="104" t="s">
        <v>1926</v>
      </c>
      <c r="H357" s="104" t="s">
        <v>1929</v>
      </c>
      <c r="I357" s="104" t="s">
        <v>1983</v>
      </c>
      <c r="J357" s="104" t="s">
        <v>1984</v>
      </c>
      <c r="K357" s="104" t="s">
        <v>2075</v>
      </c>
      <c r="L357" s="104" t="s">
        <v>2888</v>
      </c>
      <c r="M357" s="104" t="s">
        <v>2889</v>
      </c>
      <c r="N357" s="104" t="s">
        <v>473</v>
      </c>
      <c r="O357" s="104" t="s">
        <v>473</v>
      </c>
      <c r="P357" s="104" t="s">
        <v>2890</v>
      </c>
      <c r="Q357" s="105">
        <v>2490718.0</v>
      </c>
      <c r="R357" s="107"/>
    </row>
    <row r="358">
      <c r="A358" s="104" t="s">
        <v>53</v>
      </c>
      <c r="B358" s="104" t="s">
        <v>2892</v>
      </c>
      <c r="C358" s="105">
        <v>4161154.0</v>
      </c>
      <c r="D358" s="104" t="s">
        <v>1925</v>
      </c>
      <c r="E358" s="105">
        <v>99.0</v>
      </c>
      <c r="F358" s="104" t="s">
        <v>1917</v>
      </c>
      <c r="G358" s="104" t="s">
        <v>1926</v>
      </c>
      <c r="H358" s="104" t="s">
        <v>1919</v>
      </c>
      <c r="I358" s="104" t="s">
        <v>1920</v>
      </c>
      <c r="J358" s="104" t="s">
        <v>1921</v>
      </c>
      <c r="K358" s="104" t="s">
        <v>2342</v>
      </c>
      <c r="L358" s="104" t="s">
        <v>2893</v>
      </c>
      <c r="M358" s="104" t="s">
        <v>2894</v>
      </c>
      <c r="N358" s="104" t="s">
        <v>53</v>
      </c>
      <c r="O358" s="104" t="s">
        <v>53</v>
      </c>
      <c r="P358" s="104" t="s">
        <v>2895</v>
      </c>
      <c r="Q358" s="105">
        <v>4161154.0</v>
      </c>
      <c r="R358" s="107"/>
    </row>
    <row r="359">
      <c r="A359" s="104" t="s">
        <v>88</v>
      </c>
      <c r="B359" s="104" t="s">
        <v>2896</v>
      </c>
      <c r="C359" s="105">
        <v>5229662.0</v>
      </c>
      <c r="D359" s="104" t="s">
        <v>1925</v>
      </c>
      <c r="E359" s="105">
        <v>99.0</v>
      </c>
      <c r="F359" s="104" t="s">
        <v>1917</v>
      </c>
      <c r="G359" s="104" t="s">
        <v>1926</v>
      </c>
      <c r="H359" s="104" t="s">
        <v>1929</v>
      </c>
      <c r="I359" s="104" t="s">
        <v>1983</v>
      </c>
      <c r="J359" s="104" t="s">
        <v>1984</v>
      </c>
      <c r="K359" s="104" t="s">
        <v>2075</v>
      </c>
      <c r="L359" s="104" t="s">
        <v>2076</v>
      </c>
      <c r="M359" s="104" t="s">
        <v>2897</v>
      </c>
      <c r="N359" s="104" t="s">
        <v>88</v>
      </c>
      <c r="O359" s="104" t="s">
        <v>88</v>
      </c>
      <c r="P359" s="104" t="s">
        <v>2898</v>
      </c>
      <c r="Q359" s="105">
        <v>5229662.0</v>
      </c>
      <c r="R359" s="107"/>
    </row>
    <row r="360">
      <c r="A360" s="104" t="s">
        <v>986</v>
      </c>
      <c r="B360" s="104" t="s">
        <v>2899</v>
      </c>
      <c r="C360" s="105">
        <v>2070443.0</v>
      </c>
      <c r="D360" s="104" t="s">
        <v>1916</v>
      </c>
      <c r="E360" s="105">
        <v>94.0</v>
      </c>
      <c r="F360" s="104" t="s">
        <v>1917</v>
      </c>
      <c r="G360" s="104" t="s">
        <v>1918</v>
      </c>
      <c r="H360" s="104" t="s">
        <v>1929</v>
      </c>
      <c r="I360" s="104" t="s">
        <v>1930</v>
      </c>
      <c r="J360" s="104" t="s">
        <v>1931</v>
      </c>
      <c r="K360" s="104" t="s">
        <v>1178</v>
      </c>
      <c r="L360" s="104" t="s">
        <v>2900</v>
      </c>
      <c r="M360" s="104" t="s">
        <v>986</v>
      </c>
      <c r="N360" s="106"/>
      <c r="O360" s="104" t="s">
        <v>986</v>
      </c>
      <c r="P360" s="104" t="s">
        <v>2901</v>
      </c>
      <c r="Q360" s="105">
        <v>2070443.0</v>
      </c>
      <c r="R360" s="107"/>
    </row>
    <row r="361">
      <c r="A361" s="104" t="s">
        <v>752</v>
      </c>
      <c r="B361" s="104" t="s">
        <v>2902</v>
      </c>
      <c r="C361" s="105">
        <v>2605982.0</v>
      </c>
      <c r="D361" s="104" t="s">
        <v>1916</v>
      </c>
      <c r="E361" s="105">
        <v>94.0</v>
      </c>
      <c r="F361" s="104" t="s">
        <v>1917</v>
      </c>
      <c r="G361" s="104" t="s">
        <v>1918</v>
      </c>
      <c r="H361" s="104" t="s">
        <v>522</v>
      </c>
      <c r="I361" s="104" t="s">
        <v>2275</v>
      </c>
      <c r="J361" s="104" t="s">
        <v>2276</v>
      </c>
      <c r="K361" s="104" t="s">
        <v>2373</v>
      </c>
      <c r="L361" s="104" t="s">
        <v>2374</v>
      </c>
      <c r="M361" s="104" t="s">
        <v>752</v>
      </c>
      <c r="N361" s="106"/>
      <c r="O361" s="104" t="s">
        <v>752</v>
      </c>
      <c r="P361" s="104" t="s">
        <v>2903</v>
      </c>
      <c r="Q361" s="105">
        <v>2605982.0</v>
      </c>
      <c r="R361" s="107"/>
    </row>
    <row r="362">
      <c r="A362" s="104" t="s">
        <v>1024</v>
      </c>
      <c r="B362" s="104" t="s">
        <v>2904</v>
      </c>
      <c r="C362" s="105">
        <v>7247607.0</v>
      </c>
      <c r="D362" s="104" t="s">
        <v>1925</v>
      </c>
      <c r="E362" s="105">
        <v>97.0</v>
      </c>
      <c r="F362" s="104" t="s">
        <v>1917</v>
      </c>
      <c r="G362" s="104" t="s">
        <v>1926</v>
      </c>
      <c r="H362" s="104" t="s">
        <v>522</v>
      </c>
      <c r="I362" s="104" t="s">
        <v>2275</v>
      </c>
      <c r="J362" s="104" t="s">
        <v>2276</v>
      </c>
      <c r="K362" s="104" t="s">
        <v>2373</v>
      </c>
      <c r="L362" s="104" t="s">
        <v>2374</v>
      </c>
      <c r="M362" s="104" t="s">
        <v>752</v>
      </c>
      <c r="N362" s="104" t="s">
        <v>1024</v>
      </c>
      <c r="O362" s="104" t="s">
        <v>1024</v>
      </c>
      <c r="P362" s="104" t="s">
        <v>2905</v>
      </c>
      <c r="Q362" s="105">
        <v>7247607.0</v>
      </c>
      <c r="R362" s="107"/>
    </row>
    <row r="363">
      <c r="A363" s="104" t="s">
        <v>60</v>
      </c>
      <c r="B363" s="104" t="s">
        <v>2906</v>
      </c>
      <c r="C363" s="105">
        <v>5229146.0</v>
      </c>
      <c r="D363" s="104" t="s">
        <v>1925</v>
      </c>
      <c r="E363" s="105">
        <v>99.0</v>
      </c>
      <c r="F363" s="104" t="s">
        <v>1917</v>
      </c>
      <c r="G363" s="104" t="s">
        <v>1926</v>
      </c>
      <c r="H363" s="104" t="s">
        <v>1929</v>
      </c>
      <c r="I363" s="104" t="s">
        <v>1983</v>
      </c>
      <c r="J363" s="104" t="s">
        <v>1984</v>
      </c>
      <c r="K363" s="104" t="s">
        <v>2135</v>
      </c>
      <c r="L363" s="104" t="s">
        <v>2907</v>
      </c>
      <c r="M363" s="109" t="s">
        <v>2908</v>
      </c>
      <c r="N363" s="109" t="s">
        <v>60</v>
      </c>
      <c r="O363" s="104" t="s">
        <v>60</v>
      </c>
      <c r="P363" s="109" t="s">
        <v>2013</v>
      </c>
      <c r="Q363" s="105">
        <v>5229146.0</v>
      </c>
      <c r="R363" s="110"/>
    </row>
    <row r="364">
      <c r="A364" s="104" t="s">
        <v>399</v>
      </c>
      <c r="B364" s="104" t="s">
        <v>2909</v>
      </c>
      <c r="C364" s="105">
        <v>4060951.0</v>
      </c>
      <c r="D364" s="104" t="s">
        <v>1925</v>
      </c>
      <c r="E364" s="105">
        <v>97.0</v>
      </c>
      <c r="F364" s="104" t="s">
        <v>1917</v>
      </c>
      <c r="G364" s="104" t="s">
        <v>1926</v>
      </c>
      <c r="H364" s="104" t="s">
        <v>1919</v>
      </c>
      <c r="I364" s="104" t="s">
        <v>1920</v>
      </c>
      <c r="J364" s="104" t="s">
        <v>1921</v>
      </c>
      <c r="K364" s="104" t="s">
        <v>2910</v>
      </c>
      <c r="L364" s="104" t="s">
        <v>2911</v>
      </c>
      <c r="M364" s="104" t="s">
        <v>2912</v>
      </c>
      <c r="N364" s="109" t="s">
        <v>399</v>
      </c>
      <c r="O364" s="104" t="s">
        <v>399</v>
      </c>
      <c r="P364" s="104" t="s">
        <v>2347</v>
      </c>
      <c r="Q364" s="105">
        <v>4060951.0</v>
      </c>
      <c r="R364" s="110"/>
    </row>
    <row r="365">
      <c r="A365" s="104" t="s">
        <v>2913</v>
      </c>
      <c r="B365" s="104" t="s">
        <v>2914</v>
      </c>
      <c r="C365" s="105">
        <v>3110435.0</v>
      </c>
      <c r="D365" s="104" t="s">
        <v>1916</v>
      </c>
      <c r="E365" s="105">
        <v>94.0</v>
      </c>
      <c r="F365" s="104" t="s">
        <v>1917</v>
      </c>
      <c r="G365" s="104" t="s">
        <v>1918</v>
      </c>
      <c r="H365" s="104" t="s">
        <v>1919</v>
      </c>
      <c r="I365" s="104" t="s">
        <v>1920</v>
      </c>
      <c r="J365" s="104" t="s">
        <v>1921</v>
      </c>
      <c r="K365" s="104" t="s">
        <v>2019</v>
      </c>
      <c r="L365" s="104" t="s">
        <v>979</v>
      </c>
      <c r="M365" s="104" t="s">
        <v>2913</v>
      </c>
      <c r="O365" s="104" t="s">
        <v>2913</v>
      </c>
      <c r="P365" s="104" t="s">
        <v>2915</v>
      </c>
      <c r="Q365" s="105">
        <v>3110435.0</v>
      </c>
      <c r="R365" s="110"/>
    </row>
    <row r="366">
      <c r="A366" s="104" t="s">
        <v>204</v>
      </c>
      <c r="B366" s="104" t="s">
        <v>204</v>
      </c>
      <c r="C366" s="105">
        <v>4490.0</v>
      </c>
      <c r="D366" s="104" t="s">
        <v>1916</v>
      </c>
      <c r="E366" s="105">
        <v>94.0</v>
      </c>
      <c r="F366" s="104" t="s">
        <v>1917</v>
      </c>
      <c r="G366" s="104" t="s">
        <v>1982</v>
      </c>
      <c r="H366" s="104" t="s">
        <v>1929</v>
      </c>
      <c r="I366" s="104" t="s">
        <v>1930</v>
      </c>
      <c r="J366" s="104" t="s">
        <v>1931</v>
      </c>
      <c r="K366" s="109" t="s">
        <v>62</v>
      </c>
      <c r="L366" s="104" t="s">
        <v>204</v>
      </c>
      <c r="M366" s="106"/>
      <c r="N366" s="106"/>
      <c r="O366" s="104" t="s">
        <v>204</v>
      </c>
      <c r="P366" s="106"/>
      <c r="Q366" s="105">
        <v>4490.0</v>
      </c>
      <c r="R366" s="110"/>
    </row>
    <row r="367">
      <c r="A367" s="104" t="s">
        <v>1424</v>
      </c>
      <c r="B367" s="104" t="s">
        <v>2916</v>
      </c>
      <c r="C367" s="105">
        <v>2491741.0</v>
      </c>
      <c r="D367" s="104" t="s">
        <v>2084</v>
      </c>
      <c r="E367" s="105">
        <v>85.0</v>
      </c>
      <c r="F367" s="104" t="s">
        <v>1917</v>
      </c>
      <c r="G367" s="104" t="s">
        <v>1926</v>
      </c>
      <c r="H367" s="104" t="s">
        <v>1929</v>
      </c>
      <c r="I367" s="104" t="s">
        <v>1983</v>
      </c>
      <c r="J367" s="104" t="s">
        <v>1984</v>
      </c>
      <c r="K367" s="109" t="s">
        <v>2075</v>
      </c>
      <c r="L367" s="104" t="s">
        <v>2154</v>
      </c>
      <c r="M367" s="104" t="s">
        <v>2917</v>
      </c>
      <c r="N367" s="104" t="s">
        <v>221</v>
      </c>
      <c r="O367" s="104" t="s">
        <v>221</v>
      </c>
      <c r="P367" s="104" t="s">
        <v>2230</v>
      </c>
      <c r="Q367" s="105">
        <v>2491741.0</v>
      </c>
      <c r="R367" s="110"/>
    </row>
    <row r="368">
      <c r="A368" s="104" t="s">
        <v>221</v>
      </c>
      <c r="B368" s="104" t="s">
        <v>2916</v>
      </c>
      <c r="C368" s="105">
        <v>2491741.0</v>
      </c>
      <c r="D368" s="104" t="s">
        <v>1925</v>
      </c>
      <c r="E368" s="105">
        <v>99.0</v>
      </c>
      <c r="F368" s="104" t="s">
        <v>1917</v>
      </c>
      <c r="G368" s="104" t="s">
        <v>1926</v>
      </c>
      <c r="H368" s="104" t="s">
        <v>1929</v>
      </c>
      <c r="I368" s="104" t="s">
        <v>1983</v>
      </c>
      <c r="J368" s="104" t="s">
        <v>1984</v>
      </c>
      <c r="K368" s="104" t="s">
        <v>2075</v>
      </c>
      <c r="L368" s="104" t="s">
        <v>2154</v>
      </c>
      <c r="M368" s="104" t="s">
        <v>2917</v>
      </c>
      <c r="N368" s="104" t="s">
        <v>221</v>
      </c>
      <c r="O368" s="104" t="s">
        <v>221</v>
      </c>
      <c r="P368" s="104" t="s">
        <v>2230</v>
      </c>
      <c r="Q368" s="105">
        <v>2491741.0</v>
      </c>
      <c r="R368" s="110"/>
    </row>
    <row r="369">
      <c r="A369" s="104" t="s">
        <v>1680</v>
      </c>
      <c r="B369" s="104" t="s">
        <v>2918</v>
      </c>
      <c r="C369" s="105">
        <v>8197849.0</v>
      </c>
      <c r="D369" s="104" t="s">
        <v>1925</v>
      </c>
      <c r="E369" s="105">
        <v>97.0</v>
      </c>
      <c r="F369" s="104" t="s">
        <v>1917</v>
      </c>
      <c r="G369" s="104" t="s">
        <v>1926</v>
      </c>
      <c r="H369" s="104" t="s">
        <v>522</v>
      </c>
      <c r="I369" s="104" t="s">
        <v>2275</v>
      </c>
      <c r="J369" s="104" t="s">
        <v>2276</v>
      </c>
      <c r="K369" s="104" t="s">
        <v>2919</v>
      </c>
      <c r="L369" s="104" t="s">
        <v>2920</v>
      </c>
      <c r="M369" s="104" t="s">
        <v>2921</v>
      </c>
      <c r="N369" s="104" t="s">
        <v>1680</v>
      </c>
      <c r="O369" s="104" t="s">
        <v>1680</v>
      </c>
      <c r="P369" s="104" t="s">
        <v>2922</v>
      </c>
      <c r="Q369" s="105">
        <v>8197849.0</v>
      </c>
      <c r="R369" s="110"/>
    </row>
    <row r="370">
      <c r="A370" s="104" t="s">
        <v>18</v>
      </c>
      <c r="B370" s="104" t="s">
        <v>2923</v>
      </c>
      <c r="C370" s="105">
        <v>1342518.0</v>
      </c>
      <c r="D370" s="104" t="s">
        <v>1925</v>
      </c>
      <c r="E370" s="105">
        <v>99.0</v>
      </c>
      <c r="F370" s="104" t="s">
        <v>1917</v>
      </c>
      <c r="G370" s="104" t="s">
        <v>1926</v>
      </c>
      <c r="H370" s="104" t="s">
        <v>1929</v>
      </c>
      <c r="I370" s="104" t="s">
        <v>1930</v>
      </c>
      <c r="J370" s="104" t="s">
        <v>1931</v>
      </c>
      <c r="K370" s="104" t="s">
        <v>62</v>
      </c>
      <c r="L370" s="104" t="s">
        <v>1979</v>
      </c>
      <c r="M370" s="104" t="s">
        <v>2924</v>
      </c>
      <c r="N370" s="104" t="s">
        <v>18</v>
      </c>
      <c r="O370" s="104" t="s">
        <v>18</v>
      </c>
      <c r="P370" s="104" t="s">
        <v>2925</v>
      </c>
      <c r="Q370" s="105">
        <v>1342518.0</v>
      </c>
      <c r="R370" s="110"/>
    </row>
    <row r="371">
      <c r="A371" s="104" t="s">
        <v>2926</v>
      </c>
      <c r="B371" s="104" t="s">
        <v>2927</v>
      </c>
      <c r="C371" s="105">
        <v>3157126.0</v>
      </c>
      <c r="D371" s="104" t="s">
        <v>1925</v>
      </c>
      <c r="E371" s="105">
        <v>97.0</v>
      </c>
      <c r="F371" s="104" t="s">
        <v>1917</v>
      </c>
      <c r="G371" s="104" t="s">
        <v>1926</v>
      </c>
      <c r="H371" s="104" t="s">
        <v>1919</v>
      </c>
      <c r="I371" s="104" t="s">
        <v>1920</v>
      </c>
      <c r="J371" s="104" t="s">
        <v>1921</v>
      </c>
      <c r="K371" s="104" t="s">
        <v>2928</v>
      </c>
      <c r="L371" s="104" t="s">
        <v>2929</v>
      </c>
      <c r="M371" s="104" t="s">
        <v>2930</v>
      </c>
      <c r="N371" s="104" t="s">
        <v>2926</v>
      </c>
      <c r="O371" s="104" t="s">
        <v>2926</v>
      </c>
      <c r="P371" s="104" t="s">
        <v>2931</v>
      </c>
      <c r="Q371" s="105">
        <v>3157126.0</v>
      </c>
      <c r="R371" s="110"/>
    </row>
    <row r="372">
      <c r="A372" s="104" t="s">
        <v>256</v>
      </c>
      <c r="B372" s="104" t="s">
        <v>2932</v>
      </c>
      <c r="C372" s="105">
        <v>5387974.0</v>
      </c>
      <c r="D372" s="104" t="s">
        <v>1925</v>
      </c>
      <c r="E372" s="105">
        <v>99.0</v>
      </c>
      <c r="F372" s="104" t="s">
        <v>1917</v>
      </c>
      <c r="G372" s="104" t="s">
        <v>1926</v>
      </c>
      <c r="H372" s="104" t="s">
        <v>1919</v>
      </c>
      <c r="I372" s="104" t="s">
        <v>1920</v>
      </c>
      <c r="J372" s="104" t="s">
        <v>1921</v>
      </c>
      <c r="K372" s="104" t="s">
        <v>2019</v>
      </c>
      <c r="L372" s="104" t="s">
        <v>979</v>
      </c>
      <c r="M372" s="104" t="s">
        <v>2933</v>
      </c>
      <c r="N372" s="104" t="s">
        <v>256</v>
      </c>
      <c r="O372" s="104" t="s">
        <v>256</v>
      </c>
      <c r="P372" s="104" t="s">
        <v>1957</v>
      </c>
      <c r="Q372" s="105">
        <v>5387974.0</v>
      </c>
      <c r="R372" s="110"/>
    </row>
    <row r="373">
      <c r="A373" s="104" t="s">
        <v>1426</v>
      </c>
      <c r="B373" s="104" t="s">
        <v>2934</v>
      </c>
      <c r="C373" s="105">
        <v>2495346.0</v>
      </c>
      <c r="D373" s="104" t="s">
        <v>1916</v>
      </c>
      <c r="E373" s="105">
        <v>94.0</v>
      </c>
      <c r="F373" s="104" t="s">
        <v>1917</v>
      </c>
      <c r="G373" s="104" t="s">
        <v>1918</v>
      </c>
      <c r="H373" s="104" t="s">
        <v>1929</v>
      </c>
      <c r="I373" s="104" t="s">
        <v>1983</v>
      </c>
      <c r="J373" s="104" t="s">
        <v>1984</v>
      </c>
      <c r="K373" s="104" t="s">
        <v>2161</v>
      </c>
      <c r="L373" s="104" t="s">
        <v>2162</v>
      </c>
      <c r="M373" s="104" t="s">
        <v>1426</v>
      </c>
      <c r="N373" s="17"/>
      <c r="O373" s="104" t="s">
        <v>1426</v>
      </c>
      <c r="P373" s="104" t="s">
        <v>2935</v>
      </c>
      <c r="Q373" s="105">
        <v>2495346.0</v>
      </c>
      <c r="R373" s="110"/>
    </row>
    <row r="374">
      <c r="A374" s="104" t="s">
        <v>22</v>
      </c>
      <c r="B374" s="104" t="s">
        <v>2936</v>
      </c>
      <c r="C374" s="105">
        <v>2495358.0</v>
      </c>
      <c r="D374" s="104" t="s">
        <v>1925</v>
      </c>
      <c r="E374" s="105">
        <v>99.0</v>
      </c>
      <c r="F374" s="104" t="s">
        <v>1917</v>
      </c>
      <c r="G374" s="104" t="s">
        <v>1926</v>
      </c>
      <c r="H374" s="104" t="s">
        <v>1929</v>
      </c>
      <c r="I374" s="104" t="s">
        <v>1983</v>
      </c>
      <c r="J374" s="104" t="s">
        <v>1984</v>
      </c>
      <c r="K374" s="104" t="s">
        <v>2161</v>
      </c>
      <c r="L374" s="104" t="s">
        <v>2162</v>
      </c>
      <c r="M374" s="104" t="s">
        <v>1426</v>
      </c>
      <c r="N374" s="104" t="s">
        <v>22</v>
      </c>
      <c r="O374" s="104" t="s">
        <v>22</v>
      </c>
      <c r="P374" s="104" t="s">
        <v>2937</v>
      </c>
      <c r="Q374" s="105">
        <v>2495358.0</v>
      </c>
      <c r="R374" s="110"/>
    </row>
    <row r="375">
      <c r="A375" s="104" t="s">
        <v>662</v>
      </c>
      <c r="B375" s="104" t="s">
        <v>2938</v>
      </c>
      <c r="C375" s="105">
        <v>5231103.0</v>
      </c>
      <c r="D375" s="104" t="s">
        <v>1925</v>
      </c>
      <c r="E375" s="105">
        <v>99.0</v>
      </c>
      <c r="F375" s="104" t="s">
        <v>1917</v>
      </c>
      <c r="G375" s="104" t="s">
        <v>1926</v>
      </c>
      <c r="H375" s="104" t="s">
        <v>1929</v>
      </c>
      <c r="I375" s="104" t="s">
        <v>1983</v>
      </c>
      <c r="J375" s="104" t="s">
        <v>1984</v>
      </c>
      <c r="K375" s="104" t="s">
        <v>2075</v>
      </c>
      <c r="L375" s="104" t="s">
        <v>2939</v>
      </c>
      <c r="M375" s="104" t="s">
        <v>2940</v>
      </c>
      <c r="N375" s="104" t="s">
        <v>662</v>
      </c>
      <c r="O375" s="104" t="s">
        <v>662</v>
      </c>
      <c r="P375" s="104" t="s">
        <v>2941</v>
      </c>
      <c r="Q375" s="105">
        <v>5231103.0</v>
      </c>
      <c r="R375" s="110"/>
    </row>
    <row r="376">
      <c r="A376" s="104" t="s">
        <v>676</v>
      </c>
      <c r="B376" s="104" t="s">
        <v>2942</v>
      </c>
      <c r="C376" s="105">
        <v>5355241.0</v>
      </c>
      <c r="D376" s="104" t="s">
        <v>1925</v>
      </c>
      <c r="E376" s="105">
        <v>97.0</v>
      </c>
      <c r="F376" s="104" t="s">
        <v>1917</v>
      </c>
      <c r="G376" s="104" t="s">
        <v>1926</v>
      </c>
      <c r="H376" s="104" t="s">
        <v>1919</v>
      </c>
      <c r="I376" s="104" t="s">
        <v>1920</v>
      </c>
      <c r="J376" s="104" t="s">
        <v>1921</v>
      </c>
      <c r="K376" s="104" t="s">
        <v>1922</v>
      </c>
      <c r="L376" s="104" t="s">
        <v>665</v>
      </c>
      <c r="M376" s="109" t="s">
        <v>2943</v>
      </c>
      <c r="N376" s="109" t="s">
        <v>676</v>
      </c>
      <c r="O376" s="104" t="s">
        <v>676</v>
      </c>
      <c r="P376" s="109" t="s">
        <v>2944</v>
      </c>
      <c r="Q376" s="105">
        <v>5355241.0</v>
      </c>
      <c r="R376" s="110"/>
    </row>
    <row r="377">
      <c r="A377" s="111"/>
      <c r="B377" s="111"/>
      <c r="C377" s="108"/>
      <c r="D377" s="111"/>
      <c r="E377" s="108"/>
      <c r="F377" s="111"/>
      <c r="G377" s="111"/>
      <c r="H377" s="111"/>
      <c r="I377" s="111"/>
      <c r="J377" s="111"/>
      <c r="K377" s="111"/>
      <c r="L377" s="111"/>
      <c r="M377" s="111"/>
      <c r="N377" s="111"/>
      <c r="O377" s="111"/>
      <c r="P377" s="111"/>
      <c r="Q377" s="108"/>
      <c r="R377" s="110"/>
    </row>
    <row r="378">
      <c r="A378" s="111"/>
      <c r="B378" s="111"/>
      <c r="C378" s="108"/>
      <c r="D378" s="111"/>
      <c r="E378" s="108"/>
      <c r="F378" s="111"/>
      <c r="G378" s="111"/>
      <c r="H378" s="111"/>
      <c r="I378" s="111"/>
      <c r="J378" s="111"/>
      <c r="K378" s="111"/>
      <c r="L378" s="111"/>
      <c r="M378" s="111"/>
      <c r="N378" s="110"/>
      <c r="O378" s="111"/>
      <c r="P378" s="111"/>
      <c r="Q378" s="108"/>
      <c r="R378" s="110"/>
    </row>
    <row r="379">
      <c r="A379" s="111"/>
      <c r="B379" s="111"/>
      <c r="C379" s="108"/>
      <c r="D379" s="111"/>
      <c r="E379" s="108"/>
      <c r="F379" s="111"/>
      <c r="G379" s="111"/>
      <c r="H379" s="111"/>
      <c r="I379" s="111"/>
      <c r="J379" s="111"/>
      <c r="K379" s="111"/>
      <c r="L379" s="111"/>
      <c r="M379" s="111"/>
      <c r="N379" s="111"/>
      <c r="O379" s="111"/>
      <c r="P379" s="111"/>
      <c r="Q379" s="108"/>
      <c r="R379" s="110"/>
    </row>
    <row r="380">
      <c r="A380" s="111"/>
      <c r="B380" s="111"/>
      <c r="C380" s="108"/>
      <c r="D380" s="111"/>
      <c r="E380" s="108"/>
      <c r="F380" s="111"/>
      <c r="G380" s="111"/>
      <c r="H380" s="111"/>
      <c r="I380" s="111"/>
      <c r="J380" s="111"/>
      <c r="K380" s="111"/>
      <c r="L380" s="111"/>
      <c r="M380" s="111"/>
      <c r="N380" s="111"/>
      <c r="O380" s="111"/>
      <c r="P380" s="111"/>
      <c r="Q380" s="108"/>
      <c r="R380" s="110"/>
    </row>
    <row r="381">
      <c r="A381" s="111"/>
      <c r="B381" s="111"/>
      <c r="C381" s="108"/>
      <c r="D381" s="111"/>
      <c r="E381" s="108"/>
      <c r="F381" s="111"/>
      <c r="G381" s="111"/>
      <c r="H381" s="111"/>
      <c r="I381" s="111"/>
      <c r="J381" s="111"/>
      <c r="K381" s="111"/>
      <c r="L381" s="111"/>
      <c r="M381" s="111"/>
      <c r="N381" s="111"/>
      <c r="O381" s="111"/>
      <c r="P381" s="111"/>
      <c r="Q381" s="108"/>
      <c r="R381" s="110"/>
    </row>
    <row r="382">
      <c r="A382" s="111"/>
      <c r="B382" s="111"/>
      <c r="C382" s="108"/>
      <c r="D382" s="111"/>
      <c r="E382" s="108"/>
      <c r="F382" s="111"/>
      <c r="G382" s="111"/>
      <c r="H382" s="111"/>
      <c r="I382" s="111"/>
      <c r="J382" s="111"/>
      <c r="K382" s="111"/>
      <c r="L382" s="111"/>
      <c r="M382" s="111"/>
      <c r="N382" s="111"/>
      <c r="O382" s="111"/>
      <c r="P382" s="111"/>
      <c r="Q382" s="108"/>
      <c r="R382" s="110"/>
    </row>
    <row r="383">
      <c r="A383" s="111"/>
      <c r="B383" s="111"/>
      <c r="C383" s="108"/>
      <c r="D383" s="111"/>
      <c r="E383" s="108"/>
      <c r="F383" s="111"/>
      <c r="G383" s="111"/>
      <c r="H383" s="111"/>
      <c r="I383" s="111"/>
      <c r="J383" s="111"/>
      <c r="K383" s="111"/>
      <c r="L383" s="111"/>
      <c r="M383" s="111"/>
      <c r="N383" s="111"/>
      <c r="O383" s="111"/>
      <c r="P383" s="111"/>
      <c r="Q383" s="108"/>
      <c r="R383" s="110"/>
    </row>
    <row r="384">
      <c r="A384" s="111"/>
      <c r="B384" s="111"/>
      <c r="C384" s="108"/>
      <c r="D384" s="111"/>
      <c r="E384" s="108"/>
      <c r="F384" s="111"/>
      <c r="G384" s="111"/>
      <c r="H384" s="111"/>
      <c r="I384" s="111"/>
      <c r="J384" s="111"/>
      <c r="K384" s="111"/>
      <c r="L384" s="111"/>
      <c r="M384" s="111"/>
      <c r="N384" s="110"/>
      <c r="O384" s="111"/>
      <c r="P384" s="110"/>
      <c r="Q384" s="108"/>
      <c r="R384" s="110"/>
    </row>
    <row r="385">
      <c r="A385" s="111"/>
      <c r="B385" s="111"/>
      <c r="C385" s="108"/>
      <c r="D385" s="111"/>
      <c r="E385" s="108"/>
      <c r="F385" s="111"/>
      <c r="G385" s="111"/>
      <c r="H385" s="111"/>
      <c r="I385" s="111"/>
      <c r="J385" s="111"/>
      <c r="K385" s="111"/>
      <c r="L385" s="111"/>
      <c r="M385" s="111"/>
      <c r="N385" s="111"/>
      <c r="O385" s="111"/>
      <c r="P385" s="111"/>
      <c r="Q385" s="108"/>
      <c r="R385" s="110"/>
    </row>
  </sheetData>
  <mergeCells count="34">
    <mergeCell ref="M4:N4"/>
    <mergeCell ref="M9:N9"/>
    <mergeCell ref="I19:J19"/>
    <mergeCell ref="O19:P19"/>
    <mergeCell ref="M28:N28"/>
    <mergeCell ref="A32:B32"/>
    <mergeCell ref="O48:P48"/>
    <mergeCell ref="A173:B173"/>
    <mergeCell ref="L174:M174"/>
    <mergeCell ref="O174:P174"/>
    <mergeCell ref="K178:L178"/>
    <mergeCell ref="O178:P178"/>
    <mergeCell ref="O179:P179"/>
    <mergeCell ref="M50:N50"/>
    <mergeCell ref="L75:M75"/>
    <mergeCell ref="O75:P75"/>
    <mergeCell ref="O110:P110"/>
    <mergeCell ref="M111:N111"/>
    <mergeCell ref="P129:Q129"/>
    <mergeCell ref="P156:Q156"/>
    <mergeCell ref="L297:M297"/>
    <mergeCell ref="O297:P297"/>
    <mergeCell ref="O334:P334"/>
    <mergeCell ref="M345:N345"/>
    <mergeCell ref="O347:P347"/>
    <mergeCell ref="O353:P353"/>
    <mergeCell ref="M365:N365"/>
    <mergeCell ref="O204:P204"/>
    <mergeCell ref="M231:N231"/>
    <mergeCell ref="O232:P232"/>
    <mergeCell ref="L250:M250"/>
    <mergeCell ref="O250:P250"/>
    <mergeCell ref="O255:P255"/>
    <mergeCell ref="M272:N27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23.88"/>
    <col customWidth="1" min="3" max="3" width="38.38"/>
  </cols>
  <sheetData>
    <row r="1">
      <c r="A1" s="112" t="s">
        <v>1899</v>
      </c>
      <c r="B1" s="112" t="s">
        <v>6</v>
      </c>
      <c r="C1" s="112" t="s">
        <v>2945</v>
      </c>
      <c r="D1" s="113"/>
      <c r="E1" s="113"/>
      <c r="F1" s="113"/>
      <c r="G1" s="113"/>
      <c r="H1" s="113"/>
      <c r="I1" s="113"/>
      <c r="J1" s="113"/>
      <c r="K1" s="113"/>
      <c r="L1" s="113"/>
      <c r="M1" s="113"/>
      <c r="N1" s="113"/>
      <c r="O1" s="113"/>
      <c r="P1" s="113"/>
      <c r="Q1" s="113"/>
    </row>
    <row r="2">
      <c r="A2" s="65" t="s">
        <v>702</v>
      </c>
      <c r="B2" s="65" t="s">
        <v>702</v>
      </c>
      <c r="C2" s="17" t="s">
        <v>703</v>
      </c>
      <c r="D2" s="109"/>
      <c r="E2" s="114"/>
      <c r="F2" s="109"/>
      <c r="G2" s="109"/>
      <c r="H2" s="109"/>
      <c r="I2" s="109"/>
      <c r="J2" s="109"/>
      <c r="K2" s="109"/>
      <c r="L2" s="109"/>
      <c r="M2" s="109"/>
      <c r="N2" s="17"/>
      <c r="O2" s="109"/>
      <c r="P2" s="109"/>
      <c r="Q2" s="114"/>
    </row>
    <row r="3">
      <c r="A3" s="65" t="s">
        <v>237</v>
      </c>
      <c r="B3" s="65" t="s">
        <v>237</v>
      </c>
      <c r="C3" s="17" t="s">
        <v>2946</v>
      </c>
      <c r="D3" s="109"/>
      <c r="E3" s="114"/>
      <c r="F3" s="109"/>
      <c r="G3" s="109"/>
      <c r="H3" s="109"/>
      <c r="I3" s="109"/>
      <c r="J3" s="109"/>
      <c r="K3" s="109"/>
      <c r="L3" s="109"/>
      <c r="M3" s="109"/>
      <c r="N3" s="109"/>
      <c r="O3" s="109"/>
      <c r="P3" s="109"/>
      <c r="Q3" s="114"/>
    </row>
    <row r="4">
      <c r="A4" s="65" t="s">
        <v>514</v>
      </c>
      <c r="B4" s="65" t="s">
        <v>514</v>
      </c>
      <c r="C4" s="17" t="s">
        <v>515</v>
      </c>
      <c r="D4" s="109"/>
      <c r="E4" s="114"/>
      <c r="F4" s="109"/>
      <c r="G4" s="109"/>
      <c r="H4" s="109"/>
      <c r="I4" s="109"/>
      <c r="J4" s="109"/>
      <c r="K4" s="109"/>
      <c r="L4" s="109"/>
      <c r="M4" s="109"/>
      <c r="O4" s="109"/>
      <c r="P4" s="109"/>
      <c r="Q4" s="114"/>
    </row>
    <row r="5">
      <c r="A5" s="65" t="s">
        <v>118</v>
      </c>
      <c r="B5" s="65" t="s">
        <v>118</v>
      </c>
      <c r="C5" s="17" t="s">
        <v>119</v>
      </c>
      <c r="D5" s="109"/>
      <c r="E5" s="114"/>
      <c r="F5" s="109"/>
      <c r="G5" s="109"/>
      <c r="H5" s="109"/>
      <c r="I5" s="109"/>
      <c r="J5" s="109"/>
      <c r="K5" s="109"/>
      <c r="L5" s="109"/>
      <c r="M5" s="109"/>
      <c r="N5" s="109"/>
      <c r="O5" s="109"/>
      <c r="P5" s="109"/>
      <c r="Q5" s="114"/>
    </row>
    <row r="6">
      <c r="A6" s="65" t="s">
        <v>1127</v>
      </c>
      <c r="B6" s="65" t="s">
        <v>1127</v>
      </c>
      <c r="C6" s="17" t="s">
        <v>1128</v>
      </c>
      <c r="D6" s="109"/>
      <c r="E6" s="114"/>
      <c r="F6" s="109"/>
      <c r="G6" s="109"/>
      <c r="H6" s="109"/>
      <c r="I6" s="109"/>
      <c r="J6" s="109"/>
      <c r="K6" s="109"/>
      <c r="L6" s="109"/>
      <c r="M6" s="109"/>
      <c r="N6" s="17"/>
      <c r="O6" s="109"/>
      <c r="P6" s="109"/>
      <c r="Q6" s="114"/>
    </row>
    <row r="7">
      <c r="A7" s="65" t="s">
        <v>366</v>
      </c>
      <c r="B7" s="65" t="s">
        <v>366</v>
      </c>
      <c r="C7" s="17" t="s">
        <v>367</v>
      </c>
      <c r="D7" s="109"/>
      <c r="E7" s="114"/>
      <c r="F7" s="109"/>
      <c r="G7" s="109"/>
      <c r="H7" s="109"/>
      <c r="I7" s="109"/>
      <c r="J7" s="109"/>
      <c r="K7" s="109"/>
      <c r="L7" s="109"/>
      <c r="M7" s="109"/>
      <c r="N7" s="17"/>
      <c r="O7" s="109"/>
      <c r="P7" s="17"/>
      <c r="Q7" s="114"/>
    </row>
    <row r="8">
      <c r="A8" s="65" t="s">
        <v>457</v>
      </c>
      <c r="B8" s="65" t="s">
        <v>457</v>
      </c>
      <c r="C8" s="17" t="s">
        <v>1464</v>
      </c>
      <c r="D8" s="109"/>
      <c r="E8" s="114"/>
      <c r="F8" s="109"/>
      <c r="G8" s="109"/>
      <c r="H8" s="109"/>
      <c r="I8" s="109"/>
      <c r="J8" s="109"/>
      <c r="K8" s="109"/>
      <c r="L8" s="109"/>
      <c r="M8" s="109"/>
      <c r="N8" s="109"/>
      <c r="O8" s="109"/>
      <c r="P8" s="109"/>
      <c r="Q8" s="114"/>
    </row>
    <row r="9">
      <c r="A9" s="65" t="s">
        <v>298</v>
      </c>
      <c r="B9" s="65" t="s">
        <v>298</v>
      </c>
      <c r="C9" s="17"/>
      <c r="D9" s="109"/>
      <c r="E9" s="114"/>
      <c r="F9" s="109"/>
      <c r="G9" s="109"/>
      <c r="H9" s="109"/>
      <c r="I9" s="109"/>
      <c r="J9" s="109"/>
      <c r="K9" s="109"/>
      <c r="L9" s="109"/>
      <c r="M9" s="109"/>
      <c r="O9" s="109"/>
      <c r="P9" s="109"/>
      <c r="Q9" s="114"/>
    </row>
    <row r="10">
      <c r="A10" s="65" t="s">
        <v>326</v>
      </c>
      <c r="B10" s="65" t="s">
        <v>326</v>
      </c>
      <c r="C10" s="17" t="s">
        <v>327</v>
      </c>
      <c r="D10" s="109"/>
      <c r="E10" s="114"/>
      <c r="F10" s="109"/>
      <c r="G10" s="109"/>
      <c r="H10" s="109"/>
      <c r="I10" s="109"/>
      <c r="J10" s="109"/>
      <c r="K10" s="109"/>
      <c r="L10" s="109"/>
      <c r="M10" s="109"/>
      <c r="N10" s="109"/>
      <c r="O10" s="109"/>
      <c r="P10" s="109"/>
      <c r="Q10" s="114"/>
    </row>
    <row r="11">
      <c r="A11" s="65" t="s">
        <v>150</v>
      </c>
      <c r="B11" s="65" t="s">
        <v>150</v>
      </c>
      <c r="C11" s="17" t="s">
        <v>151</v>
      </c>
      <c r="D11" s="109"/>
      <c r="E11" s="114"/>
      <c r="F11" s="109"/>
      <c r="G11" s="109"/>
      <c r="H11" s="109"/>
      <c r="I11" s="109"/>
      <c r="J11" s="109"/>
      <c r="K11" s="109"/>
      <c r="L11" s="109"/>
      <c r="M11" s="109"/>
      <c r="N11" s="109"/>
      <c r="O11" s="109"/>
      <c r="P11" s="109"/>
      <c r="Q11" s="114"/>
    </row>
    <row r="12">
      <c r="A12" s="65" t="s">
        <v>1540</v>
      </c>
      <c r="B12" s="65" t="s">
        <v>1540</v>
      </c>
      <c r="C12" s="17" t="s">
        <v>1541</v>
      </c>
      <c r="D12" s="109"/>
      <c r="E12" s="114"/>
      <c r="F12" s="109"/>
      <c r="G12" s="109"/>
      <c r="H12" s="109"/>
      <c r="I12" s="109"/>
      <c r="J12" s="109"/>
      <c r="K12" s="109"/>
      <c r="L12" s="109"/>
      <c r="M12" s="109"/>
      <c r="N12" s="17"/>
      <c r="O12" s="109"/>
      <c r="P12" s="109"/>
      <c r="Q12" s="114"/>
    </row>
    <row r="13">
      <c r="A13" s="65" t="s">
        <v>83</v>
      </c>
      <c r="B13" s="65" t="s">
        <v>83</v>
      </c>
      <c r="C13" s="17" t="s">
        <v>84</v>
      </c>
      <c r="D13" s="109"/>
      <c r="E13" s="114"/>
      <c r="F13" s="109"/>
      <c r="G13" s="109"/>
      <c r="H13" s="109"/>
      <c r="I13" s="109"/>
      <c r="J13" s="109"/>
      <c r="K13" s="109"/>
      <c r="L13" s="109"/>
      <c r="M13" s="109"/>
      <c r="N13" s="109"/>
      <c r="O13" s="109"/>
      <c r="P13" s="109"/>
      <c r="Q13" s="114"/>
    </row>
    <row r="14">
      <c r="A14" s="65" t="s">
        <v>1808</v>
      </c>
      <c r="B14" s="65" t="s">
        <v>1808</v>
      </c>
      <c r="C14" s="17" t="s">
        <v>2947</v>
      </c>
      <c r="D14" s="109"/>
      <c r="E14" s="114"/>
      <c r="F14" s="109"/>
      <c r="G14" s="109"/>
      <c r="H14" s="109"/>
      <c r="I14" s="109"/>
      <c r="J14" s="109"/>
      <c r="K14" s="109"/>
      <c r="L14" s="109"/>
      <c r="M14" s="109"/>
      <c r="N14" s="109"/>
      <c r="O14" s="109"/>
      <c r="P14" s="109"/>
      <c r="Q14" s="114"/>
    </row>
    <row r="15">
      <c r="A15" s="65" t="s">
        <v>231</v>
      </c>
      <c r="B15" s="65" t="s">
        <v>1975</v>
      </c>
      <c r="C15" s="17" t="s">
        <v>2948</v>
      </c>
      <c r="D15" s="109"/>
      <c r="E15" s="114"/>
      <c r="F15" s="109"/>
      <c r="G15" s="109"/>
      <c r="H15" s="109"/>
      <c r="I15" s="109"/>
      <c r="J15" s="109"/>
      <c r="K15" s="109"/>
      <c r="L15" s="109"/>
      <c r="M15" s="109"/>
      <c r="N15" s="109"/>
      <c r="O15" s="109"/>
      <c r="P15" s="109"/>
      <c r="Q15" s="114"/>
    </row>
    <row r="16">
      <c r="A16" s="65" t="s">
        <v>229</v>
      </c>
      <c r="B16" s="65" t="s">
        <v>229</v>
      </c>
      <c r="C16" s="17" t="s">
        <v>230</v>
      </c>
      <c r="D16" s="109"/>
      <c r="E16" s="114"/>
      <c r="F16" s="109"/>
      <c r="G16" s="109"/>
      <c r="H16" s="109"/>
      <c r="I16" s="109"/>
      <c r="J16" s="109"/>
      <c r="K16" s="109"/>
      <c r="L16" s="109"/>
      <c r="M16" s="109"/>
      <c r="N16" s="109"/>
      <c r="O16" s="109"/>
      <c r="P16" s="109"/>
      <c r="Q16" s="114"/>
    </row>
    <row r="17">
      <c r="A17" s="65" t="s">
        <v>179</v>
      </c>
      <c r="B17" s="65" t="s">
        <v>179</v>
      </c>
      <c r="C17" s="17" t="s">
        <v>180</v>
      </c>
      <c r="D17" s="109"/>
      <c r="E17" s="114"/>
      <c r="F17" s="109"/>
      <c r="G17" s="109"/>
      <c r="H17" s="109"/>
      <c r="I17" s="109"/>
      <c r="J17" s="109"/>
      <c r="K17" s="109"/>
      <c r="L17" s="109"/>
      <c r="M17" s="109"/>
      <c r="N17" s="109"/>
      <c r="O17" s="109"/>
      <c r="P17" s="109"/>
      <c r="Q17" s="114"/>
    </row>
    <row r="18">
      <c r="A18" s="65" t="s">
        <v>233</v>
      </c>
      <c r="B18" s="65" t="s">
        <v>233</v>
      </c>
      <c r="C18" s="17" t="s">
        <v>234</v>
      </c>
      <c r="D18" s="109"/>
      <c r="E18" s="114"/>
      <c r="F18" s="109"/>
      <c r="G18" s="109"/>
      <c r="H18" s="109"/>
      <c r="I18" s="109"/>
      <c r="J18" s="109"/>
      <c r="K18" s="109"/>
      <c r="L18" s="109"/>
      <c r="M18" s="109"/>
      <c r="N18" s="109"/>
      <c r="O18" s="109"/>
      <c r="P18" s="109"/>
      <c r="Q18" s="114"/>
    </row>
    <row r="19">
      <c r="A19" s="65" t="s">
        <v>249</v>
      </c>
      <c r="B19" s="65" t="s">
        <v>249</v>
      </c>
      <c r="C19" s="17" t="s">
        <v>250</v>
      </c>
      <c r="D19" s="109"/>
      <c r="E19" s="17"/>
      <c r="F19" s="109"/>
      <c r="G19" s="109"/>
      <c r="H19" s="109"/>
      <c r="I19" s="109"/>
      <c r="K19" s="17"/>
      <c r="L19" s="17"/>
      <c r="M19" s="17"/>
      <c r="N19" s="17"/>
      <c r="O19" s="109"/>
      <c r="Q19" s="17"/>
    </row>
    <row r="20">
      <c r="A20" s="65" t="s">
        <v>1373</v>
      </c>
      <c r="B20" s="65" t="s">
        <v>1373</v>
      </c>
      <c r="C20" s="17" t="s">
        <v>1374</v>
      </c>
      <c r="D20" s="109"/>
      <c r="E20" s="114"/>
      <c r="F20" s="109"/>
      <c r="G20" s="109"/>
      <c r="H20" s="109"/>
      <c r="I20" s="109"/>
      <c r="J20" s="109"/>
      <c r="K20" s="109"/>
      <c r="L20" s="109"/>
      <c r="M20" s="109"/>
      <c r="N20" s="109"/>
      <c r="O20" s="109"/>
      <c r="P20" s="109"/>
      <c r="Q20" s="114"/>
    </row>
    <row r="21">
      <c r="A21" s="65" t="s">
        <v>116</v>
      </c>
      <c r="B21" s="65" t="s">
        <v>116</v>
      </c>
      <c r="C21" s="17" t="s">
        <v>117</v>
      </c>
      <c r="D21" s="109"/>
      <c r="E21" s="114"/>
      <c r="F21" s="109"/>
      <c r="G21" s="109"/>
      <c r="H21" s="109"/>
      <c r="I21" s="109"/>
      <c r="J21" s="109"/>
      <c r="K21" s="109"/>
      <c r="L21" s="109"/>
      <c r="M21" s="17"/>
      <c r="N21" s="17"/>
      <c r="O21" s="109"/>
      <c r="P21" s="17"/>
      <c r="Q21" s="114"/>
    </row>
    <row r="22">
      <c r="A22" s="85" t="s">
        <v>292</v>
      </c>
      <c r="B22" s="85" t="s">
        <v>292</v>
      </c>
      <c r="C22" s="16" t="s">
        <v>293</v>
      </c>
      <c r="D22" s="109"/>
      <c r="E22" s="114"/>
      <c r="F22" s="109"/>
      <c r="G22" s="109"/>
      <c r="H22" s="109"/>
      <c r="I22" s="109"/>
      <c r="J22" s="109"/>
      <c r="K22" s="109"/>
      <c r="L22" s="17"/>
      <c r="M22" s="17"/>
      <c r="N22" s="17"/>
      <c r="O22" s="109"/>
      <c r="P22" s="17"/>
      <c r="Q22" s="114"/>
    </row>
    <row r="23">
      <c r="A23" s="65" t="s">
        <v>723</v>
      </c>
      <c r="B23" s="65" t="s">
        <v>723</v>
      </c>
      <c r="C23" s="17"/>
      <c r="D23" s="109"/>
      <c r="E23" s="114"/>
      <c r="F23" s="109"/>
      <c r="G23" s="109"/>
      <c r="H23" s="109"/>
      <c r="I23" s="109"/>
      <c r="J23" s="109"/>
      <c r="K23" s="109"/>
      <c r="L23" s="109"/>
      <c r="M23" s="109"/>
      <c r="N23" s="109"/>
      <c r="O23" s="109"/>
      <c r="P23" s="109"/>
      <c r="Q23" s="114"/>
    </row>
    <row r="24">
      <c r="A24" s="65" t="s">
        <v>241</v>
      </c>
      <c r="B24" s="65" t="s">
        <v>241</v>
      </c>
      <c r="C24" s="17" t="s">
        <v>242</v>
      </c>
      <c r="D24" s="109"/>
      <c r="E24" s="114"/>
      <c r="F24" s="109"/>
      <c r="G24" s="109"/>
      <c r="H24" s="109"/>
      <c r="I24" s="109"/>
      <c r="J24" s="109"/>
      <c r="K24" s="109"/>
      <c r="L24" s="17"/>
      <c r="M24" s="17"/>
      <c r="N24" s="17"/>
      <c r="O24" s="109"/>
      <c r="P24" s="17"/>
      <c r="Q24" s="114"/>
    </row>
    <row r="25">
      <c r="A25" s="65" t="s">
        <v>217</v>
      </c>
      <c r="B25" s="65" t="s">
        <v>217</v>
      </c>
      <c r="C25" s="17" t="s">
        <v>218</v>
      </c>
      <c r="D25" s="109"/>
      <c r="E25" s="114"/>
      <c r="F25" s="109"/>
      <c r="G25" s="109"/>
      <c r="H25" s="109"/>
      <c r="I25" s="109"/>
      <c r="J25" s="109"/>
      <c r="K25" s="109"/>
      <c r="L25" s="109"/>
      <c r="M25" s="17"/>
      <c r="N25" s="17"/>
      <c r="O25" s="109"/>
      <c r="P25" s="17"/>
      <c r="Q25" s="114"/>
    </row>
    <row r="26">
      <c r="A26" s="65" t="s">
        <v>338</v>
      </c>
      <c r="B26" s="65" t="s">
        <v>338</v>
      </c>
      <c r="C26" s="17" t="s">
        <v>238</v>
      </c>
      <c r="D26" s="109"/>
      <c r="E26" s="114"/>
      <c r="F26" s="109"/>
      <c r="G26" s="109"/>
      <c r="H26" s="109"/>
      <c r="I26" s="109"/>
      <c r="J26" s="109"/>
      <c r="K26" s="109"/>
      <c r="L26" s="109"/>
      <c r="M26" s="109"/>
      <c r="N26" s="109"/>
      <c r="O26" s="109"/>
      <c r="P26" s="109"/>
      <c r="Q26" s="114"/>
    </row>
    <row r="27">
      <c r="A27" s="65" t="s">
        <v>1845</v>
      </c>
      <c r="B27" s="65" t="s">
        <v>1845</v>
      </c>
      <c r="C27" s="17"/>
      <c r="D27" s="109"/>
      <c r="E27" s="114"/>
      <c r="F27" s="109"/>
      <c r="G27" s="109"/>
      <c r="H27" s="109"/>
      <c r="I27" s="109"/>
      <c r="J27" s="109"/>
      <c r="K27" s="109"/>
      <c r="L27" s="109"/>
      <c r="M27" s="109"/>
      <c r="N27" s="109"/>
      <c r="O27" s="109"/>
      <c r="P27" s="109"/>
      <c r="Q27" s="114"/>
    </row>
    <row r="28">
      <c r="A28" s="65" t="s">
        <v>566</v>
      </c>
      <c r="B28" s="65" t="s">
        <v>566</v>
      </c>
      <c r="C28" s="17" t="s">
        <v>567</v>
      </c>
      <c r="D28" s="109"/>
      <c r="E28" s="114"/>
      <c r="F28" s="109"/>
      <c r="G28" s="109"/>
      <c r="H28" s="109"/>
      <c r="I28" s="109"/>
      <c r="J28" s="109"/>
      <c r="K28" s="109"/>
      <c r="L28" s="109"/>
      <c r="M28" s="109"/>
      <c r="N28" s="109"/>
      <c r="O28" s="109"/>
      <c r="P28" s="109"/>
      <c r="Q28" s="114"/>
    </row>
    <row r="29">
      <c r="A29" s="65" t="s">
        <v>1400</v>
      </c>
      <c r="B29" s="65" t="s">
        <v>1400</v>
      </c>
      <c r="C29" s="17" t="s">
        <v>2949</v>
      </c>
      <c r="D29" s="109"/>
      <c r="E29" s="114"/>
      <c r="F29" s="109"/>
      <c r="G29" s="109"/>
      <c r="H29" s="109"/>
      <c r="I29" s="109"/>
      <c r="J29" s="109"/>
      <c r="K29" s="109"/>
      <c r="L29" s="109"/>
      <c r="M29" s="109"/>
      <c r="O29" s="109"/>
      <c r="P29" s="109"/>
      <c r="Q29" s="114"/>
    </row>
    <row r="30">
      <c r="A30" s="83" t="s">
        <v>275</v>
      </c>
      <c r="B30" s="65" t="s">
        <v>275</v>
      </c>
      <c r="C30" s="17" t="s">
        <v>276</v>
      </c>
      <c r="D30" s="109"/>
      <c r="E30" s="114"/>
      <c r="F30" s="109"/>
      <c r="G30" s="109"/>
      <c r="H30" s="109"/>
      <c r="I30" s="109"/>
      <c r="J30" s="109"/>
      <c r="K30" s="109"/>
      <c r="L30" s="109"/>
      <c r="M30" s="109"/>
      <c r="N30" s="109"/>
      <c r="O30" s="109"/>
      <c r="P30" s="109"/>
      <c r="Q30" s="114"/>
    </row>
    <row r="31">
      <c r="A31" s="65" t="s">
        <v>128</v>
      </c>
      <c r="B31" s="65" t="s">
        <v>128</v>
      </c>
      <c r="C31" s="17" t="s">
        <v>129</v>
      </c>
      <c r="D31" s="109"/>
      <c r="E31" s="114"/>
      <c r="F31" s="109"/>
      <c r="G31" s="109"/>
      <c r="H31" s="109"/>
      <c r="I31" s="109"/>
      <c r="J31" s="17"/>
      <c r="K31" s="17"/>
      <c r="L31" s="17"/>
      <c r="M31" s="17"/>
      <c r="N31" s="17"/>
      <c r="O31" s="109"/>
      <c r="P31" s="17"/>
      <c r="Q31" s="114"/>
    </row>
    <row r="32">
      <c r="A32" s="65" t="s">
        <v>355</v>
      </c>
      <c r="B32" s="65" t="s">
        <v>355</v>
      </c>
      <c r="C32" s="17" t="s">
        <v>356</v>
      </c>
      <c r="D32" s="109"/>
      <c r="E32" s="114"/>
      <c r="F32" s="109"/>
      <c r="G32" s="109"/>
      <c r="H32" s="109"/>
      <c r="I32" s="109"/>
      <c r="J32" s="109"/>
      <c r="K32" s="109"/>
      <c r="L32" s="109"/>
      <c r="M32" s="109"/>
      <c r="N32" s="17"/>
      <c r="O32" s="109"/>
      <c r="P32" s="109"/>
      <c r="Q32" s="114"/>
    </row>
    <row r="33">
      <c r="A33" s="65" t="s">
        <v>611</v>
      </c>
      <c r="B33" s="65" t="s">
        <v>611</v>
      </c>
      <c r="C33" s="17" t="s">
        <v>612</v>
      </c>
      <c r="D33" s="109"/>
      <c r="E33" s="114"/>
      <c r="F33" s="17"/>
      <c r="G33" s="17"/>
      <c r="H33" s="17"/>
      <c r="I33" s="17"/>
      <c r="J33" s="17"/>
      <c r="K33" s="17"/>
      <c r="L33" s="17"/>
      <c r="M33" s="17"/>
      <c r="N33" s="17"/>
      <c r="O33" s="17"/>
      <c r="P33" s="17"/>
      <c r="Q33" s="17"/>
    </row>
    <row r="34">
      <c r="A34" s="65" t="s">
        <v>498</v>
      </c>
      <c r="B34" s="65" t="s">
        <v>498</v>
      </c>
      <c r="C34" s="17" t="s">
        <v>499</v>
      </c>
      <c r="D34" s="109"/>
      <c r="E34" s="114"/>
      <c r="F34" s="109"/>
      <c r="G34" s="109"/>
      <c r="H34" s="109"/>
      <c r="I34" s="109"/>
      <c r="J34" s="109"/>
      <c r="K34" s="109"/>
      <c r="L34" s="109"/>
      <c r="M34" s="109"/>
      <c r="N34" s="109"/>
      <c r="O34" s="109"/>
      <c r="P34" s="109"/>
      <c r="Q34" s="114"/>
    </row>
    <row r="35">
      <c r="A35" s="65" t="s">
        <v>704</v>
      </c>
      <c r="B35" s="65" t="s">
        <v>704</v>
      </c>
      <c r="C35" s="17" t="s">
        <v>705</v>
      </c>
      <c r="D35" s="109"/>
      <c r="E35" s="114"/>
      <c r="F35" s="109"/>
      <c r="G35" s="109"/>
      <c r="H35" s="109"/>
      <c r="I35" s="109"/>
      <c r="J35" s="109"/>
      <c r="K35" s="109"/>
      <c r="L35" s="109"/>
      <c r="M35" s="109"/>
      <c r="N35" s="109"/>
      <c r="O35" s="109"/>
      <c r="P35" s="109"/>
      <c r="Q35" s="114"/>
    </row>
    <row r="36">
      <c r="A36" s="65" t="s">
        <v>198</v>
      </c>
      <c r="B36" s="65" t="s">
        <v>198</v>
      </c>
      <c r="C36" s="17" t="s">
        <v>199</v>
      </c>
      <c r="D36" s="109"/>
      <c r="E36" s="114"/>
      <c r="F36" s="109"/>
      <c r="G36" s="109"/>
      <c r="H36" s="109"/>
      <c r="I36" s="109"/>
      <c r="J36" s="109"/>
      <c r="K36" s="109"/>
      <c r="L36" s="109"/>
      <c r="M36" s="109"/>
      <c r="N36" s="109"/>
      <c r="O36" s="109"/>
      <c r="P36" s="109"/>
      <c r="Q36" s="114"/>
    </row>
    <row r="37">
      <c r="A37" s="65" t="s">
        <v>126</v>
      </c>
      <c r="B37" s="65" t="s">
        <v>126</v>
      </c>
      <c r="C37" s="17" t="s">
        <v>127</v>
      </c>
      <c r="D37" s="109"/>
      <c r="E37" s="114"/>
      <c r="F37" s="109"/>
      <c r="G37" s="109"/>
      <c r="H37" s="109"/>
      <c r="I37" s="109"/>
      <c r="J37" s="109"/>
      <c r="K37" s="109"/>
      <c r="L37" s="109"/>
      <c r="M37" s="17"/>
      <c r="N37" s="17"/>
      <c r="O37" s="109"/>
      <c r="P37" s="17"/>
      <c r="Q37" s="114"/>
    </row>
    <row r="38">
      <c r="A38" s="65" t="s">
        <v>1102</v>
      </c>
      <c r="B38" s="65" t="s">
        <v>1102</v>
      </c>
      <c r="C38" s="17" t="s">
        <v>1103</v>
      </c>
      <c r="D38" s="109"/>
      <c r="E38" s="114"/>
      <c r="F38" s="109"/>
      <c r="G38" s="109"/>
      <c r="H38" s="109"/>
      <c r="I38" s="109"/>
      <c r="J38" s="109"/>
      <c r="K38" s="109"/>
      <c r="L38" s="109"/>
      <c r="M38" s="109"/>
      <c r="N38" s="109"/>
      <c r="O38" s="109"/>
      <c r="P38" s="109"/>
      <c r="Q38" s="114"/>
    </row>
    <row r="39">
      <c r="A39" s="65" t="s">
        <v>388</v>
      </c>
      <c r="B39" s="65" t="s">
        <v>388</v>
      </c>
      <c r="C39" s="17" t="s">
        <v>389</v>
      </c>
      <c r="D39" s="109"/>
      <c r="E39" s="114"/>
      <c r="F39" s="109"/>
      <c r="G39" s="109"/>
      <c r="H39" s="109"/>
      <c r="I39" s="109"/>
      <c r="J39" s="109"/>
      <c r="K39" s="109"/>
      <c r="L39" s="109"/>
      <c r="M39" s="109"/>
      <c r="N39" s="109"/>
      <c r="O39" s="109"/>
      <c r="P39" s="109"/>
      <c r="Q39" s="114"/>
    </row>
    <row r="40">
      <c r="A40" s="65" t="s">
        <v>648</v>
      </c>
      <c r="B40" s="65" t="s">
        <v>648</v>
      </c>
      <c r="C40" s="17"/>
      <c r="D40" s="109"/>
      <c r="E40" s="17"/>
      <c r="F40" s="109"/>
      <c r="G40" s="109"/>
      <c r="H40" s="109"/>
      <c r="I40" s="109"/>
      <c r="J40" s="109"/>
      <c r="K40" s="109"/>
      <c r="L40" s="109"/>
      <c r="M40" s="109"/>
      <c r="N40" s="109"/>
      <c r="O40" s="109"/>
      <c r="P40" s="109"/>
      <c r="Q40" s="17"/>
    </row>
    <row r="41">
      <c r="A41" s="65" t="s">
        <v>1067</v>
      </c>
      <c r="B41" s="65" t="s">
        <v>1067</v>
      </c>
      <c r="C41" s="17"/>
      <c r="D41" s="109"/>
      <c r="E41" s="114"/>
      <c r="F41" s="109"/>
      <c r="G41" s="109"/>
      <c r="H41" s="109"/>
      <c r="I41" s="109"/>
      <c r="J41" s="109"/>
      <c r="K41" s="109"/>
      <c r="L41" s="109"/>
      <c r="M41" s="109"/>
      <c r="N41" s="109"/>
      <c r="O41" s="109"/>
      <c r="P41" s="109"/>
      <c r="Q41" s="114"/>
    </row>
    <row r="42">
      <c r="A42" s="65" t="s">
        <v>1819</v>
      </c>
      <c r="B42" s="65" t="s">
        <v>1819</v>
      </c>
      <c r="C42" s="17" t="s">
        <v>1820</v>
      </c>
      <c r="D42" s="109"/>
      <c r="E42" s="114"/>
      <c r="F42" s="109"/>
      <c r="G42" s="109"/>
      <c r="H42" s="109"/>
      <c r="I42" s="109"/>
      <c r="J42" s="109"/>
      <c r="K42" s="109"/>
      <c r="L42" s="109"/>
      <c r="M42" s="109"/>
      <c r="N42" s="109"/>
      <c r="O42" s="109"/>
      <c r="P42" s="109"/>
      <c r="Q42" s="114"/>
    </row>
    <row r="43">
      <c r="A43" s="65" t="s">
        <v>928</v>
      </c>
      <c r="B43" s="65" t="s">
        <v>928</v>
      </c>
      <c r="C43" s="17" t="s">
        <v>418</v>
      </c>
      <c r="D43" s="109"/>
      <c r="E43" s="114"/>
      <c r="F43" s="109"/>
      <c r="G43" s="109"/>
      <c r="H43" s="109"/>
      <c r="I43" s="109"/>
      <c r="J43" s="109"/>
      <c r="K43" s="109"/>
      <c r="L43" s="109"/>
      <c r="M43" s="109"/>
      <c r="N43" s="109"/>
      <c r="O43" s="109"/>
      <c r="P43" s="109"/>
      <c r="Q43" s="114"/>
    </row>
    <row r="44">
      <c r="A44" s="65" t="s">
        <v>169</v>
      </c>
      <c r="B44" s="65" t="s">
        <v>169</v>
      </c>
      <c r="C44" s="17" t="s">
        <v>170</v>
      </c>
      <c r="D44" s="109"/>
      <c r="E44" s="114"/>
      <c r="F44" s="109"/>
      <c r="G44" s="109"/>
      <c r="H44" s="109"/>
      <c r="I44" s="109"/>
      <c r="J44" s="17"/>
      <c r="K44" s="17"/>
      <c r="L44" s="17"/>
      <c r="M44" s="17"/>
      <c r="N44" s="17"/>
      <c r="O44" s="109"/>
      <c r="P44" s="17"/>
      <c r="Q44" s="114"/>
    </row>
    <row r="45">
      <c r="A45" s="65" t="s">
        <v>1745</v>
      </c>
      <c r="B45" s="65" t="s">
        <v>1745</v>
      </c>
      <c r="C45" s="17" t="s">
        <v>170</v>
      </c>
      <c r="D45" s="109"/>
      <c r="E45" s="114"/>
      <c r="F45" s="109"/>
      <c r="G45" s="109"/>
      <c r="H45" s="109"/>
      <c r="I45" s="109"/>
      <c r="J45" s="109"/>
      <c r="K45" s="109"/>
      <c r="L45" s="109"/>
      <c r="M45" s="109"/>
      <c r="N45" s="109"/>
      <c r="O45" s="109"/>
      <c r="P45" s="109"/>
      <c r="Q45" s="114"/>
    </row>
    <row r="46">
      <c r="A46" s="65" t="s">
        <v>481</v>
      </c>
      <c r="B46" s="65" t="s">
        <v>481</v>
      </c>
      <c r="C46" s="17" t="s">
        <v>482</v>
      </c>
      <c r="D46" s="109"/>
      <c r="E46" s="114"/>
      <c r="F46" s="109"/>
      <c r="G46" s="109"/>
      <c r="H46" s="109"/>
      <c r="I46" s="109"/>
      <c r="J46" s="109"/>
      <c r="K46" s="109"/>
      <c r="L46" s="109"/>
      <c r="M46" s="109"/>
      <c r="N46" s="17"/>
      <c r="O46" s="109"/>
      <c r="P46" s="109"/>
      <c r="Q46" s="114"/>
    </row>
    <row r="47">
      <c r="A47" s="65" t="s">
        <v>1795</v>
      </c>
      <c r="B47" s="65" t="s">
        <v>1795</v>
      </c>
      <c r="C47" s="17" t="s">
        <v>2950</v>
      </c>
      <c r="D47" s="109"/>
      <c r="E47" s="114"/>
      <c r="F47" s="109"/>
      <c r="G47" s="109"/>
      <c r="H47" s="109"/>
      <c r="I47" s="109"/>
      <c r="J47" s="109"/>
      <c r="K47" s="109"/>
      <c r="L47" s="109"/>
      <c r="M47" s="109"/>
      <c r="N47" s="109"/>
      <c r="O47" s="109"/>
      <c r="P47" s="109"/>
      <c r="Q47" s="114"/>
    </row>
    <row r="48">
      <c r="A48" s="65" t="s">
        <v>103</v>
      </c>
      <c r="B48" s="65" t="s">
        <v>103</v>
      </c>
      <c r="C48" s="17" t="s">
        <v>1597</v>
      </c>
      <c r="D48" s="109"/>
      <c r="E48" s="114"/>
      <c r="F48" s="109"/>
      <c r="G48" s="109"/>
      <c r="H48" s="109"/>
      <c r="I48" s="109"/>
      <c r="J48" s="109"/>
      <c r="K48" s="109"/>
      <c r="L48" s="109"/>
      <c r="M48" s="109"/>
      <c r="N48" s="109"/>
      <c r="O48" s="109"/>
      <c r="P48" s="109"/>
      <c r="Q48" s="114"/>
    </row>
    <row r="49">
      <c r="A49" s="65" t="s">
        <v>478</v>
      </c>
      <c r="B49" s="65" t="s">
        <v>478</v>
      </c>
      <c r="C49" s="17" t="s">
        <v>479</v>
      </c>
      <c r="D49" s="109"/>
      <c r="E49" s="114"/>
      <c r="F49" s="109"/>
      <c r="G49" s="109"/>
      <c r="H49" s="109"/>
      <c r="I49" s="109"/>
      <c r="J49" s="109"/>
      <c r="K49" s="109"/>
      <c r="L49" s="109"/>
      <c r="M49" s="109"/>
      <c r="N49" s="109"/>
      <c r="O49" s="109"/>
      <c r="Q49" s="114"/>
    </row>
    <row r="50">
      <c r="A50" s="65" t="s">
        <v>1394</v>
      </c>
      <c r="B50" s="65" t="s">
        <v>1394</v>
      </c>
      <c r="C50" s="17" t="s">
        <v>1395</v>
      </c>
      <c r="D50" s="109"/>
      <c r="E50" s="114"/>
      <c r="F50" s="109"/>
      <c r="G50" s="109"/>
      <c r="H50" s="109"/>
      <c r="I50" s="109"/>
      <c r="J50" s="109"/>
      <c r="K50" s="109"/>
      <c r="L50" s="109"/>
      <c r="M50" s="109"/>
      <c r="N50" s="109"/>
      <c r="O50" s="109"/>
      <c r="P50" s="109"/>
      <c r="Q50" s="114"/>
    </row>
    <row r="51">
      <c r="A51" s="65" t="s">
        <v>489</v>
      </c>
      <c r="B51" s="65" t="s">
        <v>489</v>
      </c>
      <c r="C51" s="17" t="s">
        <v>521</v>
      </c>
      <c r="D51" s="109"/>
      <c r="E51" s="114"/>
      <c r="F51" s="109"/>
      <c r="G51" s="109"/>
      <c r="H51" s="109"/>
      <c r="I51" s="109"/>
      <c r="J51" s="109"/>
      <c r="K51" s="109"/>
      <c r="L51" s="109"/>
      <c r="M51" s="109"/>
      <c r="O51" s="109"/>
      <c r="P51" s="109"/>
      <c r="Q51" s="114"/>
    </row>
    <row r="52">
      <c r="A52" s="65" t="s">
        <v>631</v>
      </c>
      <c r="B52" s="65" t="s">
        <v>631</v>
      </c>
      <c r="C52" s="17" t="s">
        <v>632</v>
      </c>
      <c r="D52" s="109"/>
      <c r="E52" s="114"/>
      <c r="F52" s="109"/>
      <c r="G52" s="109"/>
      <c r="H52" s="109"/>
      <c r="I52" s="109"/>
      <c r="J52" s="109"/>
      <c r="K52" s="109"/>
      <c r="L52" s="109"/>
      <c r="M52" s="109"/>
      <c r="N52" s="109"/>
      <c r="O52" s="109"/>
      <c r="P52" s="109"/>
      <c r="Q52" s="114"/>
    </row>
    <row r="53">
      <c r="A53" s="65" t="s">
        <v>360</v>
      </c>
      <c r="B53" s="65" t="s">
        <v>360</v>
      </c>
      <c r="C53" s="17" t="s">
        <v>361</v>
      </c>
      <c r="D53" s="109"/>
      <c r="E53" s="114"/>
      <c r="F53" s="109"/>
      <c r="G53" s="109"/>
      <c r="H53" s="109"/>
      <c r="I53" s="109"/>
      <c r="J53" s="109"/>
      <c r="K53" s="109"/>
      <c r="L53" s="109"/>
      <c r="M53" s="109"/>
      <c r="N53" s="109"/>
      <c r="O53" s="109"/>
      <c r="P53" s="109"/>
      <c r="Q53" s="114"/>
    </row>
    <row r="54">
      <c r="A54" s="65" t="s">
        <v>411</v>
      </c>
      <c r="B54" s="65" t="s">
        <v>411</v>
      </c>
      <c r="C54" s="17" t="s">
        <v>1120</v>
      </c>
      <c r="D54" s="109"/>
      <c r="E54" s="114"/>
      <c r="F54" s="109"/>
      <c r="G54" s="109"/>
      <c r="H54" s="109"/>
      <c r="I54" s="109"/>
      <c r="J54" s="109"/>
      <c r="K54" s="109"/>
      <c r="L54" s="109"/>
      <c r="M54" s="109"/>
      <c r="N54" s="109"/>
      <c r="O54" s="109"/>
      <c r="P54" s="109"/>
      <c r="Q54" s="114"/>
    </row>
    <row r="55">
      <c r="A55" s="65" t="s">
        <v>46</v>
      </c>
      <c r="B55" s="65" t="s">
        <v>46</v>
      </c>
      <c r="C55" s="17" t="s">
        <v>47</v>
      </c>
      <c r="D55" s="109"/>
      <c r="E55" s="114"/>
      <c r="F55" s="109"/>
      <c r="G55" s="109"/>
      <c r="H55" s="109"/>
      <c r="I55" s="109"/>
      <c r="J55" s="109"/>
      <c r="K55" s="109"/>
      <c r="L55" s="109"/>
      <c r="M55" s="109"/>
      <c r="N55" s="109"/>
      <c r="O55" s="109"/>
      <c r="P55" s="109"/>
      <c r="Q55" s="114"/>
    </row>
    <row r="56">
      <c r="A56" s="65" t="s">
        <v>938</v>
      </c>
      <c r="B56" s="65" t="s">
        <v>938</v>
      </c>
      <c r="C56" s="17"/>
      <c r="D56" s="109"/>
      <c r="E56" s="114"/>
      <c r="F56" s="109"/>
      <c r="G56" s="109"/>
      <c r="H56" s="109"/>
      <c r="I56" s="109"/>
      <c r="J56" s="109"/>
      <c r="K56" s="109"/>
      <c r="L56" s="109"/>
      <c r="M56" s="109"/>
      <c r="N56" s="109"/>
      <c r="O56" s="109"/>
      <c r="P56" s="109"/>
      <c r="Q56" s="114"/>
    </row>
    <row r="57">
      <c r="A57" s="65" t="s">
        <v>736</v>
      </c>
      <c r="B57" s="65" t="s">
        <v>736</v>
      </c>
      <c r="C57" s="17" t="s">
        <v>737</v>
      </c>
      <c r="D57" s="109"/>
      <c r="E57" s="114"/>
      <c r="F57" s="109"/>
      <c r="G57" s="109"/>
      <c r="H57" s="109"/>
      <c r="I57" s="109"/>
      <c r="J57" s="109"/>
      <c r="K57" s="109"/>
      <c r="L57" s="109"/>
      <c r="M57" s="109"/>
      <c r="N57" s="109"/>
      <c r="O57" s="109"/>
      <c r="P57" s="109"/>
      <c r="Q57" s="114"/>
    </row>
    <row r="58">
      <c r="A58" s="65" t="s">
        <v>909</v>
      </c>
      <c r="B58" s="65" t="s">
        <v>909</v>
      </c>
      <c r="C58" s="17" t="s">
        <v>910</v>
      </c>
      <c r="D58" s="109"/>
      <c r="E58" s="114"/>
      <c r="F58" s="109"/>
      <c r="G58" s="109"/>
      <c r="H58" s="109"/>
      <c r="I58" s="109"/>
      <c r="J58" s="109"/>
      <c r="K58" s="109"/>
      <c r="L58" s="109"/>
      <c r="M58" s="109"/>
      <c r="N58" s="17"/>
      <c r="O58" s="109"/>
      <c r="P58" s="109"/>
      <c r="Q58" s="114"/>
    </row>
    <row r="59">
      <c r="A59" s="65" t="s">
        <v>952</v>
      </c>
      <c r="B59" s="65" t="s">
        <v>952</v>
      </c>
      <c r="C59" s="17" t="s">
        <v>953</v>
      </c>
      <c r="D59" s="109"/>
      <c r="E59" s="114"/>
      <c r="F59" s="109"/>
      <c r="G59" s="109"/>
      <c r="H59" s="109"/>
      <c r="I59" s="109"/>
      <c r="J59" s="109"/>
      <c r="K59" s="109"/>
      <c r="L59" s="109"/>
      <c r="M59" s="109"/>
      <c r="N59" s="109"/>
      <c r="O59" s="109"/>
      <c r="P59" s="109"/>
      <c r="Q59" s="114"/>
    </row>
    <row r="60">
      <c r="A60" s="65" t="s">
        <v>1422</v>
      </c>
      <c r="B60" s="65" t="s">
        <v>1422</v>
      </c>
      <c r="C60" s="17" t="s">
        <v>1423</v>
      </c>
      <c r="D60" s="109"/>
      <c r="E60" s="114"/>
      <c r="F60" s="109"/>
      <c r="G60" s="109"/>
      <c r="H60" s="109"/>
      <c r="I60" s="109"/>
      <c r="J60" s="109"/>
      <c r="K60" s="109"/>
      <c r="L60" s="109"/>
      <c r="M60" s="109"/>
      <c r="N60" s="109"/>
      <c r="O60" s="109"/>
      <c r="P60" s="109"/>
      <c r="Q60" s="114"/>
    </row>
    <row r="61">
      <c r="A61" s="65" t="s">
        <v>1096</v>
      </c>
      <c r="B61" s="65" t="s">
        <v>1096</v>
      </c>
      <c r="C61" s="17" t="s">
        <v>1061</v>
      </c>
      <c r="D61" s="109"/>
      <c r="E61" s="114"/>
      <c r="F61" s="109"/>
      <c r="G61" s="109"/>
      <c r="H61" s="109"/>
      <c r="I61" s="109"/>
      <c r="J61" s="109"/>
      <c r="K61" s="109"/>
      <c r="L61" s="109"/>
      <c r="M61" s="109"/>
      <c r="N61" s="109"/>
      <c r="O61" s="109"/>
      <c r="P61" s="109"/>
      <c r="Q61" s="114"/>
    </row>
    <row r="62">
      <c r="A62" s="83" t="s">
        <v>401</v>
      </c>
      <c r="B62" s="65" t="s">
        <v>401</v>
      </c>
      <c r="C62" s="17" t="s">
        <v>464</v>
      </c>
      <c r="D62" s="109"/>
      <c r="E62" s="114"/>
      <c r="F62" s="109"/>
      <c r="G62" s="109"/>
      <c r="H62" s="109"/>
      <c r="I62" s="109"/>
      <c r="J62" s="109"/>
      <c r="K62" s="109"/>
      <c r="L62" s="109"/>
      <c r="M62" s="109"/>
      <c r="N62" s="109"/>
      <c r="O62" s="109"/>
      <c r="P62" s="109"/>
      <c r="Q62" s="114"/>
    </row>
    <row r="63">
      <c r="A63" s="65" t="s">
        <v>504</v>
      </c>
      <c r="B63" s="65" t="s">
        <v>504</v>
      </c>
      <c r="C63" s="17" t="s">
        <v>534</v>
      </c>
      <c r="D63" s="109"/>
      <c r="E63" s="114"/>
      <c r="F63" s="109"/>
      <c r="G63" s="109"/>
      <c r="H63" s="109"/>
      <c r="I63" s="109"/>
      <c r="J63" s="109"/>
      <c r="K63" s="109"/>
      <c r="L63" s="109"/>
      <c r="M63" s="109"/>
      <c r="N63" s="109"/>
      <c r="O63" s="109"/>
      <c r="P63" s="109"/>
      <c r="Q63" s="114"/>
    </row>
    <row r="64">
      <c r="A64" s="65" t="s">
        <v>523</v>
      </c>
      <c r="B64" s="65" t="s">
        <v>523</v>
      </c>
      <c r="C64" s="17" t="s">
        <v>1757</v>
      </c>
      <c r="D64" s="109"/>
      <c r="E64" s="114"/>
      <c r="F64" s="109"/>
      <c r="G64" s="109"/>
      <c r="H64" s="109"/>
      <c r="I64" s="109"/>
      <c r="J64" s="109"/>
      <c r="K64" s="17"/>
      <c r="L64" s="17"/>
      <c r="M64" s="17"/>
      <c r="N64" s="17"/>
      <c r="O64" s="109"/>
      <c r="P64" s="17"/>
      <c r="Q64" s="114"/>
    </row>
    <row r="65">
      <c r="A65" s="65" t="s">
        <v>86</v>
      </c>
      <c r="B65" s="65" t="s">
        <v>86</v>
      </c>
      <c r="C65" s="17" t="s">
        <v>502</v>
      </c>
      <c r="D65" s="109"/>
      <c r="E65" s="114"/>
      <c r="F65" s="109"/>
      <c r="G65" s="109"/>
      <c r="H65" s="109"/>
      <c r="I65" s="109"/>
      <c r="J65" s="109"/>
      <c r="K65" s="109"/>
      <c r="L65" s="109"/>
      <c r="M65" s="109"/>
      <c r="N65" s="109"/>
      <c r="O65" s="109"/>
      <c r="P65" s="109"/>
      <c r="Q65" s="114"/>
    </row>
    <row r="66">
      <c r="A66" s="65" t="s">
        <v>972</v>
      </c>
      <c r="B66" s="65" t="s">
        <v>972</v>
      </c>
      <c r="C66" s="17" t="s">
        <v>973</v>
      </c>
      <c r="D66" s="109"/>
      <c r="E66" s="114"/>
      <c r="F66" s="109"/>
      <c r="G66" s="109"/>
      <c r="H66" s="109"/>
      <c r="I66" s="109"/>
      <c r="J66" s="109"/>
      <c r="K66" s="109"/>
      <c r="L66" s="109"/>
      <c r="M66" s="109"/>
      <c r="N66" s="109"/>
      <c r="O66" s="109"/>
      <c r="P66" s="109"/>
      <c r="Q66" s="114"/>
    </row>
    <row r="67">
      <c r="A67" s="65" t="s">
        <v>43</v>
      </c>
      <c r="B67" s="65" t="s">
        <v>43</v>
      </c>
      <c r="C67" s="17" t="s">
        <v>44</v>
      </c>
      <c r="D67" s="109"/>
      <c r="E67" s="114"/>
      <c r="F67" s="109"/>
      <c r="G67" s="109"/>
      <c r="H67" s="109"/>
      <c r="I67" s="109"/>
      <c r="J67" s="109"/>
      <c r="K67" s="109"/>
      <c r="L67" s="109"/>
      <c r="M67" s="109"/>
      <c r="N67" s="109"/>
      <c r="O67" s="109"/>
      <c r="P67" s="109"/>
      <c r="Q67" s="114"/>
    </row>
    <row r="68">
      <c r="A68" s="65" t="s">
        <v>200</v>
      </c>
      <c r="B68" s="65" t="s">
        <v>1356</v>
      </c>
      <c r="C68" s="17" t="s">
        <v>201</v>
      </c>
      <c r="D68" s="109"/>
      <c r="E68" s="114"/>
      <c r="F68" s="109"/>
      <c r="G68" s="109"/>
      <c r="H68" s="109"/>
      <c r="I68" s="109"/>
      <c r="J68" s="109"/>
      <c r="K68" s="109"/>
      <c r="L68" s="109"/>
      <c r="M68" s="109"/>
      <c r="N68" s="109"/>
      <c r="O68" s="109"/>
      <c r="P68" s="109"/>
      <c r="Q68" s="114"/>
    </row>
    <row r="69">
      <c r="A69" s="65" t="s">
        <v>684</v>
      </c>
      <c r="B69" s="65" t="s">
        <v>684</v>
      </c>
      <c r="C69" s="17" t="s">
        <v>1191</v>
      </c>
      <c r="D69" s="109"/>
      <c r="E69" s="114"/>
      <c r="F69" s="109"/>
      <c r="G69" s="109"/>
      <c r="H69" s="109"/>
      <c r="I69" s="109"/>
      <c r="J69" s="109"/>
      <c r="K69" s="109"/>
      <c r="L69" s="109"/>
      <c r="M69" s="109"/>
      <c r="N69" s="109"/>
      <c r="O69" s="109"/>
      <c r="P69" s="109"/>
      <c r="Q69" s="114"/>
    </row>
    <row r="70">
      <c r="A70" s="65" t="s">
        <v>113</v>
      </c>
      <c r="B70" s="65" t="s">
        <v>113</v>
      </c>
      <c r="C70" s="17" t="s">
        <v>114</v>
      </c>
      <c r="D70" s="109"/>
      <c r="E70" s="114"/>
      <c r="F70" s="109"/>
      <c r="G70" s="109"/>
      <c r="H70" s="109"/>
      <c r="I70" s="109"/>
      <c r="J70" s="109"/>
      <c r="K70" s="109"/>
      <c r="L70" s="109"/>
      <c r="M70" s="109"/>
      <c r="N70" s="109"/>
      <c r="O70" s="109"/>
      <c r="P70" s="109"/>
      <c r="Q70" s="114"/>
    </row>
    <row r="71">
      <c r="A71" s="65" t="s">
        <v>48</v>
      </c>
      <c r="B71" s="65" t="s">
        <v>48</v>
      </c>
      <c r="C71" s="17" t="s">
        <v>49</v>
      </c>
      <c r="D71" s="109"/>
      <c r="E71" s="114"/>
      <c r="F71" s="109"/>
      <c r="G71" s="109"/>
      <c r="H71" s="109"/>
      <c r="I71" s="109"/>
      <c r="J71" s="109"/>
      <c r="K71" s="109"/>
      <c r="L71" s="109"/>
      <c r="M71" s="109"/>
      <c r="N71" s="109"/>
      <c r="O71" s="109"/>
      <c r="P71" s="109"/>
      <c r="Q71" s="114"/>
    </row>
    <row r="72">
      <c r="A72" s="65" t="s">
        <v>427</v>
      </c>
      <c r="B72" s="65" t="s">
        <v>427</v>
      </c>
      <c r="C72" s="17" t="s">
        <v>428</v>
      </c>
      <c r="D72" s="109"/>
      <c r="E72" s="114"/>
      <c r="F72" s="109"/>
      <c r="G72" s="109"/>
      <c r="H72" s="109"/>
      <c r="I72" s="109"/>
      <c r="J72" s="109"/>
      <c r="K72" s="109"/>
      <c r="L72" s="109"/>
      <c r="M72" s="109"/>
      <c r="N72" s="17"/>
      <c r="O72" s="109"/>
      <c r="P72" s="17"/>
      <c r="Q72" s="114"/>
    </row>
    <row r="73">
      <c r="A73" s="65" t="s">
        <v>193</v>
      </c>
      <c r="B73" s="65" t="s">
        <v>193</v>
      </c>
      <c r="C73" s="17" t="s">
        <v>194</v>
      </c>
      <c r="D73" s="109"/>
      <c r="E73" s="114"/>
      <c r="F73" s="109"/>
      <c r="G73" s="109"/>
      <c r="H73" s="109"/>
      <c r="I73" s="109"/>
      <c r="J73" s="109"/>
      <c r="K73" s="109"/>
      <c r="L73" s="109"/>
      <c r="M73" s="109"/>
      <c r="N73" s="109"/>
      <c r="O73" s="109"/>
      <c r="P73" s="109"/>
      <c r="Q73" s="114"/>
    </row>
    <row r="74">
      <c r="A74" s="65" t="s">
        <v>1694</v>
      </c>
      <c r="B74" s="65" t="s">
        <v>1694</v>
      </c>
      <c r="C74" s="17" t="s">
        <v>2951</v>
      </c>
      <c r="D74" s="109"/>
      <c r="E74" s="114"/>
      <c r="F74" s="109"/>
      <c r="G74" s="109"/>
      <c r="H74" s="109"/>
      <c r="I74" s="109"/>
      <c r="J74" s="109"/>
      <c r="K74" s="109"/>
      <c r="L74" s="109"/>
      <c r="M74" s="109"/>
      <c r="N74" s="17"/>
      <c r="O74" s="109"/>
      <c r="P74" s="109"/>
      <c r="Q74" s="114"/>
    </row>
    <row r="75">
      <c r="A75" s="65" t="s">
        <v>1481</v>
      </c>
      <c r="B75" s="65" t="s">
        <v>1481</v>
      </c>
      <c r="C75" s="17"/>
      <c r="D75" s="109"/>
      <c r="E75" s="114"/>
      <c r="F75" s="109"/>
      <c r="G75" s="109"/>
      <c r="H75" s="109"/>
      <c r="I75" s="109"/>
      <c r="J75" s="109"/>
      <c r="K75" s="109"/>
      <c r="L75" s="109"/>
      <c r="M75" s="109"/>
      <c r="N75" s="109"/>
      <c r="O75" s="109"/>
      <c r="P75" s="109"/>
      <c r="Q75" s="114"/>
    </row>
    <row r="76">
      <c r="A76" s="65" t="s">
        <v>163</v>
      </c>
      <c r="B76" s="65" t="s">
        <v>163</v>
      </c>
      <c r="C76" s="17" t="s">
        <v>164</v>
      </c>
      <c r="D76" s="109"/>
      <c r="E76" s="114"/>
      <c r="F76" s="109"/>
      <c r="G76" s="109"/>
      <c r="H76" s="109"/>
      <c r="I76" s="109"/>
      <c r="J76" s="109"/>
      <c r="K76" s="109"/>
      <c r="L76" s="109"/>
      <c r="N76" s="17"/>
      <c r="O76" s="109"/>
      <c r="Q76" s="114"/>
    </row>
    <row r="77">
      <c r="A77" s="65" t="s">
        <v>74</v>
      </c>
      <c r="B77" s="65" t="s">
        <v>74</v>
      </c>
      <c r="C77" s="17" t="s">
        <v>1472</v>
      </c>
      <c r="D77" s="109"/>
      <c r="E77" s="114"/>
      <c r="F77" s="109"/>
      <c r="G77" s="109"/>
      <c r="H77" s="109"/>
      <c r="I77" s="109"/>
      <c r="J77" s="109"/>
      <c r="K77" s="109"/>
      <c r="L77" s="109"/>
      <c r="M77" s="109"/>
      <c r="N77" s="109"/>
      <c r="O77" s="109"/>
      <c r="P77" s="109"/>
      <c r="Q77" s="114"/>
    </row>
    <row r="78">
      <c r="A78" s="65" t="s">
        <v>55</v>
      </c>
      <c r="B78" s="65" t="s">
        <v>55</v>
      </c>
      <c r="C78" s="17" t="s">
        <v>621</v>
      </c>
      <c r="D78" s="109"/>
      <c r="E78" s="114"/>
      <c r="F78" s="109"/>
      <c r="G78" s="109"/>
      <c r="H78" s="109"/>
      <c r="I78" s="109"/>
      <c r="J78" s="109"/>
      <c r="K78" s="109"/>
      <c r="L78" s="109"/>
      <c r="M78" s="109"/>
      <c r="N78" s="109"/>
      <c r="O78" s="109"/>
      <c r="P78" s="109"/>
      <c r="Q78" s="114"/>
    </row>
    <row r="79">
      <c r="A79" s="65" t="s">
        <v>1291</v>
      </c>
      <c r="B79" s="65" t="s">
        <v>1291</v>
      </c>
      <c r="C79" s="17" t="s">
        <v>1292</v>
      </c>
      <c r="D79" s="109"/>
      <c r="E79" s="114"/>
      <c r="F79" s="109"/>
      <c r="G79" s="109"/>
      <c r="H79" s="109"/>
      <c r="I79" s="109"/>
      <c r="J79" s="109"/>
      <c r="K79" s="109"/>
      <c r="L79" s="109"/>
      <c r="M79" s="109"/>
      <c r="N79" s="109"/>
      <c r="O79" s="109"/>
      <c r="P79" s="109"/>
      <c r="Q79" s="114"/>
    </row>
    <row r="80">
      <c r="A80" s="65" t="s">
        <v>130</v>
      </c>
      <c r="B80" s="65" t="s">
        <v>130</v>
      </c>
      <c r="C80" s="17"/>
      <c r="D80" s="109"/>
      <c r="E80" s="114"/>
      <c r="F80" s="109"/>
      <c r="G80" s="109"/>
      <c r="H80" s="109"/>
      <c r="I80" s="109"/>
      <c r="J80" s="109"/>
      <c r="K80" s="109"/>
      <c r="L80" s="109"/>
      <c r="M80" s="109"/>
      <c r="N80" s="109"/>
      <c r="O80" s="109"/>
      <c r="P80" s="109"/>
      <c r="Q80" s="114"/>
    </row>
    <row r="81">
      <c r="A81" s="65" t="s">
        <v>446</v>
      </c>
      <c r="B81" s="65" t="s">
        <v>446</v>
      </c>
      <c r="C81" s="17" t="s">
        <v>447</v>
      </c>
      <c r="D81" s="109"/>
      <c r="E81" s="114"/>
      <c r="F81" s="109"/>
      <c r="G81" s="109"/>
      <c r="H81" s="109"/>
      <c r="I81" s="109"/>
      <c r="J81" s="109"/>
      <c r="K81" s="109"/>
      <c r="L81" s="109"/>
      <c r="M81" s="109"/>
      <c r="N81" s="109"/>
      <c r="O81" s="109"/>
      <c r="P81" s="109"/>
      <c r="Q81" s="114"/>
    </row>
    <row r="82">
      <c r="A82" s="65" t="s">
        <v>271</v>
      </c>
      <c r="B82" s="65" t="s">
        <v>271</v>
      </c>
      <c r="C82" s="16" t="s">
        <v>272</v>
      </c>
      <c r="D82" s="109"/>
      <c r="E82" s="114"/>
      <c r="F82" s="109"/>
      <c r="G82" s="109"/>
      <c r="H82" s="109"/>
      <c r="I82" s="109"/>
      <c r="J82" s="109"/>
      <c r="K82" s="109"/>
      <c r="L82" s="109"/>
      <c r="M82" s="109"/>
      <c r="N82" s="109"/>
      <c r="O82" s="109"/>
      <c r="P82" s="109"/>
      <c r="Q82" s="114"/>
    </row>
    <row r="83">
      <c r="A83" s="65" t="s">
        <v>294</v>
      </c>
      <c r="B83" s="65" t="s">
        <v>294</v>
      </c>
      <c r="C83" s="17" t="s">
        <v>295</v>
      </c>
      <c r="D83" s="109"/>
      <c r="E83" s="114"/>
      <c r="F83" s="109"/>
      <c r="G83" s="109"/>
      <c r="H83" s="109"/>
      <c r="I83" s="109"/>
      <c r="J83" s="109"/>
      <c r="K83" s="109"/>
      <c r="L83" s="109"/>
      <c r="M83" s="109"/>
      <c r="N83" s="109"/>
      <c r="O83" s="109"/>
      <c r="P83" s="109"/>
      <c r="Q83" s="114"/>
    </row>
    <row r="84">
      <c r="A84" s="65" t="s">
        <v>891</v>
      </c>
      <c r="B84" s="65" t="s">
        <v>891</v>
      </c>
      <c r="C84" s="17" t="s">
        <v>1163</v>
      </c>
      <c r="D84" s="109"/>
      <c r="E84" s="114"/>
      <c r="F84" s="109"/>
      <c r="G84" s="109"/>
      <c r="H84" s="109"/>
      <c r="I84" s="109"/>
      <c r="J84" s="109"/>
      <c r="K84" s="109"/>
      <c r="L84" s="109"/>
      <c r="M84" s="109"/>
      <c r="N84" s="109"/>
      <c r="O84" s="109"/>
      <c r="P84" s="109"/>
      <c r="Q84" s="114"/>
    </row>
    <row r="85">
      <c r="A85" s="65" t="s">
        <v>152</v>
      </c>
      <c r="B85" s="65" t="s">
        <v>152</v>
      </c>
      <c r="C85" s="17" t="s">
        <v>153</v>
      </c>
      <c r="D85" s="109"/>
      <c r="E85" s="114"/>
      <c r="F85" s="109"/>
      <c r="G85" s="109"/>
      <c r="H85" s="109"/>
      <c r="I85" s="109"/>
      <c r="J85" s="109"/>
      <c r="K85" s="109"/>
      <c r="L85" s="109"/>
      <c r="M85" s="109"/>
      <c r="N85" s="109"/>
      <c r="O85" s="109"/>
      <c r="P85" s="109"/>
      <c r="Q85" s="114"/>
    </row>
    <row r="86">
      <c r="A86" s="65" t="s">
        <v>758</v>
      </c>
      <c r="B86" s="65" t="s">
        <v>758</v>
      </c>
      <c r="C86" s="17" t="s">
        <v>759</v>
      </c>
      <c r="D86" s="109"/>
      <c r="E86" s="114"/>
      <c r="F86" s="109"/>
      <c r="G86" s="109"/>
      <c r="H86" s="109"/>
      <c r="I86" s="109"/>
      <c r="J86" s="109"/>
      <c r="K86" s="109"/>
      <c r="L86" s="109"/>
      <c r="M86" s="109"/>
      <c r="N86" s="109"/>
      <c r="O86" s="109"/>
      <c r="P86" s="109"/>
      <c r="Q86" s="114"/>
    </row>
    <row r="87">
      <c r="A87" s="65" t="s">
        <v>154</v>
      </c>
      <c r="B87" s="65" t="s">
        <v>154</v>
      </c>
      <c r="C87" s="17" t="s">
        <v>155</v>
      </c>
      <c r="D87" s="109"/>
      <c r="E87" s="114"/>
      <c r="F87" s="109"/>
      <c r="G87" s="109"/>
      <c r="H87" s="109"/>
      <c r="I87" s="109"/>
      <c r="J87" s="109"/>
      <c r="K87" s="109"/>
      <c r="L87" s="109"/>
      <c r="M87" s="109"/>
      <c r="N87" s="109"/>
      <c r="O87" s="109"/>
      <c r="P87" s="109"/>
      <c r="Q87" s="114"/>
    </row>
    <row r="88">
      <c r="A88" s="65" t="s">
        <v>1487</v>
      </c>
      <c r="B88" s="65" t="s">
        <v>1487</v>
      </c>
      <c r="C88" s="17" t="s">
        <v>1488</v>
      </c>
      <c r="D88" s="109"/>
      <c r="E88" s="114"/>
      <c r="F88" s="109"/>
      <c r="G88" s="109"/>
      <c r="H88" s="109"/>
      <c r="I88" s="109"/>
      <c r="J88" s="109"/>
      <c r="K88" s="109"/>
      <c r="L88" s="109"/>
      <c r="M88" s="109"/>
      <c r="N88" s="17"/>
      <c r="O88" s="109"/>
      <c r="P88" s="109"/>
      <c r="Q88" s="114"/>
    </row>
    <row r="89">
      <c r="A89" s="65" t="s">
        <v>1133</v>
      </c>
      <c r="B89" s="65" t="s">
        <v>1133</v>
      </c>
      <c r="C89" s="17"/>
      <c r="D89" s="109"/>
      <c r="E89" s="114"/>
      <c r="F89" s="109"/>
      <c r="G89" s="109"/>
      <c r="H89" s="109"/>
      <c r="I89" s="109"/>
      <c r="J89" s="109"/>
      <c r="K89" s="109"/>
      <c r="L89" s="109"/>
      <c r="M89" s="109"/>
      <c r="N89" s="109"/>
      <c r="O89" s="109"/>
      <c r="P89" s="109"/>
      <c r="Q89" s="114"/>
    </row>
    <row r="90">
      <c r="A90" s="65" t="s">
        <v>1175</v>
      </c>
      <c r="B90" s="65" t="s">
        <v>1175</v>
      </c>
      <c r="C90" s="17" t="s">
        <v>1738</v>
      </c>
      <c r="D90" s="109"/>
      <c r="E90" s="114"/>
      <c r="F90" s="109"/>
      <c r="G90" s="109"/>
      <c r="H90" s="109"/>
      <c r="I90" s="109"/>
      <c r="J90" s="109"/>
      <c r="K90" s="109"/>
      <c r="L90" s="109"/>
      <c r="M90" s="109"/>
      <c r="N90" s="109"/>
      <c r="O90" s="109"/>
      <c r="P90" s="109"/>
      <c r="Q90" s="114"/>
    </row>
    <row r="91">
      <c r="A91" s="65" t="s">
        <v>353</v>
      </c>
      <c r="B91" s="65" t="s">
        <v>353</v>
      </c>
      <c r="C91" s="17" t="s">
        <v>354</v>
      </c>
      <c r="D91" s="109"/>
      <c r="E91" s="114"/>
      <c r="F91" s="109"/>
      <c r="G91" s="109"/>
      <c r="H91" s="109"/>
      <c r="I91" s="109"/>
      <c r="J91" s="109"/>
      <c r="K91" s="109"/>
      <c r="L91" s="109"/>
      <c r="M91" s="109"/>
      <c r="N91" s="109"/>
      <c r="O91" s="109"/>
      <c r="P91" s="109"/>
      <c r="Q91" s="114"/>
    </row>
    <row r="92">
      <c r="A92" s="65" t="s">
        <v>1087</v>
      </c>
      <c r="B92" s="65" t="s">
        <v>1087</v>
      </c>
      <c r="C92" s="17"/>
      <c r="D92" s="109"/>
      <c r="E92" s="114"/>
      <c r="F92" s="109"/>
      <c r="G92" s="109"/>
      <c r="H92" s="109"/>
      <c r="I92" s="109"/>
      <c r="J92" s="109"/>
      <c r="K92" s="109"/>
      <c r="L92" s="109"/>
      <c r="M92" s="109"/>
      <c r="N92" s="109"/>
      <c r="O92" s="109"/>
      <c r="P92" s="109"/>
      <c r="Q92" s="114"/>
    </row>
    <row r="93">
      <c r="A93" s="65" t="s">
        <v>425</v>
      </c>
      <c r="B93" s="65" t="s">
        <v>425</v>
      </c>
      <c r="C93" s="17" t="s">
        <v>426</v>
      </c>
      <c r="D93" s="109"/>
      <c r="E93" s="114"/>
      <c r="F93" s="109"/>
      <c r="G93" s="109"/>
      <c r="H93" s="109"/>
      <c r="I93" s="109"/>
      <c r="J93" s="109"/>
      <c r="K93" s="109"/>
      <c r="L93" s="109"/>
      <c r="M93" s="109"/>
      <c r="N93" s="109"/>
      <c r="O93" s="109"/>
      <c r="P93" s="109"/>
      <c r="Q93" s="114"/>
    </row>
    <row r="94">
      <c r="A94" s="65" t="s">
        <v>1225</v>
      </c>
      <c r="B94" s="65" t="s">
        <v>1225</v>
      </c>
      <c r="C94" s="17" t="s">
        <v>1226</v>
      </c>
      <c r="D94" s="109"/>
      <c r="E94" s="114"/>
      <c r="F94" s="109"/>
      <c r="G94" s="109"/>
      <c r="H94" s="109"/>
      <c r="I94" s="109"/>
      <c r="J94" s="109"/>
      <c r="K94" s="109"/>
      <c r="L94" s="109"/>
      <c r="M94" s="109"/>
      <c r="N94" s="109"/>
      <c r="O94" s="109"/>
      <c r="P94" s="109"/>
      <c r="Q94" s="114"/>
    </row>
    <row r="95">
      <c r="A95" s="65" t="s">
        <v>1186</v>
      </c>
      <c r="B95" s="65" t="s">
        <v>1186</v>
      </c>
      <c r="C95" s="17" t="s">
        <v>1187</v>
      </c>
      <c r="D95" s="109"/>
      <c r="E95" s="114"/>
      <c r="F95" s="109"/>
      <c r="G95" s="109"/>
      <c r="H95" s="109"/>
      <c r="I95" s="109"/>
      <c r="J95" s="109"/>
      <c r="K95" s="109"/>
      <c r="L95" s="109"/>
      <c r="M95" s="109"/>
      <c r="N95" s="109"/>
      <c r="O95" s="109"/>
      <c r="P95" s="109"/>
      <c r="Q95" s="114"/>
    </row>
    <row r="96">
      <c r="A96" s="65" t="s">
        <v>2274</v>
      </c>
      <c r="B96" s="65" t="s">
        <v>2274</v>
      </c>
      <c r="C96" s="17" t="s">
        <v>2952</v>
      </c>
      <c r="D96" s="109"/>
      <c r="E96" s="114"/>
      <c r="F96" s="109"/>
      <c r="G96" s="109"/>
      <c r="H96" s="109"/>
      <c r="I96" s="109"/>
      <c r="J96" s="109"/>
      <c r="K96" s="109"/>
      <c r="L96" s="109"/>
      <c r="M96" s="109"/>
      <c r="N96" s="109"/>
      <c r="O96" s="109"/>
      <c r="P96" s="109"/>
      <c r="Q96" s="114"/>
    </row>
    <row r="97">
      <c r="A97" s="65" t="s">
        <v>719</v>
      </c>
      <c r="B97" s="65" t="s">
        <v>719</v>
      </c>
      <c r="C97" s="17" t="s">
        <v>911</v>
      </c>
      <c r="D97" s="109"/>
      <c r="E97" s="114"/>
      <c r="F97" s="109"/>
      <c r="G97" s="109"/>
      <c r="H97" s="109"/>
      <c r="I97" s="109"/>
      <c r="J97" s="109"/>
      <c r="K97" s="109"/>
      <c r="L97" s="109"/>
      <c r="M97" s="109"/>
      <c r="N97" s="109"/>
      <c r="O97" s="109"/>
      <c r="P97" s="109"/>
      <c r="Q97" s="114"/>
    </row>
    <row r="98">
      <c r="A98" s="65" t="s">
        <v>519</v>
      </c>
      <c r="B98" s="65" t="s">
        <v>519</v>
      </c>
      <c r="C98" s="17" t="s">
        <v>1826</v>
      </c>
      <c r="D98" s="109"/>
      <c r="E98" s="114"/>
      <c r="F98" s="109"/>
      <c r="G98" s="109"/>
      <c r="H98" s="109"/>
      <c r="I98" s="109"/>
      <c r="J98" s="109"/>
      <c r="K98" s="109"/>
      <c r="L98" s="109"/>
      <c r="M98" s="17"/>
      <c r="N98" s="17"/>
      <c r="O98" s="109"/>
      <c r="P98" s="17"/>
      <c r="Q98" s="114"/>
    </row>
    <row r="99">
      <c r="A99" s="65" t="s">
        <v>290</v>
      </c>
      <c r="B99" s="65" t="s">
        <v>290</v>
      </c>
      <c r="C99" s="17" t="s">
        <v>291</v>
      </c>
      <c r="D99" s="109"/>
      <c r="E99" s="114"/>
      <c r="F99" s="109"/>
      <c r="G99" s="109"/>
      <c r="H99" s="109"/>
      <c r="I99" s="109"/>
      <c r="J99" s="109"/>
      <c r="K99" s="109"/>
      <c r="L99" s="109"/>
      <c r="M99" s="109"/>
      <c r="N99" s="109"/>
      <c r="O99" s="109"/>
      <c r="P99" s="109"/>
      <c r="Q99" s="114"/>
    </row>
    <row r="100">
      <c r="A100" s="65" t="s">
        <v>202</v>
      </c>
      <c r="B100" s="65" t="s">
        <v>202</v>
      </c>
      <c r="C100" s="17" t="s">
        <v>203</v>
      </c>
      <c r="D100" s="109"/>
      <c r="E100" s="114"/>
      <c r="F100" s="109"/>
      <c r="G100" s="109"/>
      <c r="H100" s="109"/>
      <c r="I100" s="109"/>
      <c r="J100" s="109"/>
      <c r="K100" s="109"/>
      <c r="L100" s="109"/>
      <c r="M100" s="109"/>
      <c r="N100" s="109"/>
      <c r="O100" s="109"/>
      <c r="P100" s="109"/>
      <c r="Q100" s="114"/>
    </row>
    <row r="101">
      <c r="A101" s="65" t="s">
        <v>496</v>
      </c>
      <c r="B101" s="65" t="s">
        <v>496</v>
      </c>
      <c r="C101" s="17" t="s">
        <v>497</v>
      </c>
      <c r="D101" s="109"/>
      <c r="E101" s="114"/>
      <c r="F101" s="109"/>
      <c r="G101" s="109"/>
      <c r="H101" s="109"/>
      <c r="I101" s="109"/>
      <c r="J101" s="109"/>
      <c r="K101" s="109"/>
      <c r="L101" s="109"/>
      <c r="M101" s="109"/>
      <c r="N101" s="109"/>
      <c r="O101" s="109"/>
      <c r="P101" s="109"/>
      <c r="Q101" s="114"/>
    </row>
    <row r="102">
      <c r="A102" s="65" t="s">
        <v>405</v>
      </c>
      <c r="B102" s="65" t="s">
        <v>405</v>
      </c>
      <c r="C102" s="17" t="s">
        <v>418</v>
      </c>
      <c r="D102" s="109"/>
      <c r="E102" s="114"/>
      <c r="F102" s="109"/>
      <c r="G102" s="109"/>
      <c r="H102" s="109"/>
      <c r="I102" s="109"/>
      <c r="J102" s="109"/>
      <c r="K102" s="109"/>
      <c r="L102" s="109"/>
      <c r="M102" s="109"/>
      <c r="N102" s="109"/>
      <c r="O102" s="109"/>
      <c r="P102" s="109"/>
      <c r="Q102" s="114"/>
    </row>
    <row r="103">
      <c r="A103" s="65" t="s">
        <v>639</v>
      </c>
      <c r="B103" s="65" t="s">
        <v>639</v>
      </c>
      <c r="C103" s="17" t="s">
        <v>640</v>
      </c>
      <c r="D103" s="109"/>
      <c r="E103" s="114"/>
      <c r="F103" s="109"/>
      <c r="G103" s="109"/>
      <c r="H103" s="109"/>
      <c r="I103" s="109"/>
      <c r="J103" s="109"/>
      <c r="K103" s="109"/>
      <c r="L103" s="109"/>
      <c r="M103" s="109"/>
      <c r="N103" s="109"/>
      <c r="O103" s="109"/>
      <c r="P103" s="109"/>
      <c r="Q103" s="114"/>
    </row>
    <row r="104">
      <c r="A104" s="65" t="s">
        <v>177</v>
      </c>
      <c r="B104" s="65" t="s">
        <v>177</v>
      </c>
      <c r="C104" s="17" t="s">
        <v>178</v>
      </c>
      <c r="D104" s="109"/>
      <c r="E104" s="114"/>
      <c r="F104" s="109"/>
      <c r="G104" s="109"/>
      <c r="H104" s="109"/>
      <c r="I104" s="109"/>
      <c r="J104" s="109"/>
      <c r="K104" s="109"/>
      <c r="L104" s="109"/>
      <c r="M104" s="109"/>
      <c r="N104" s="109"/>
      <c r="O104" s="109"/>
      <c r="P104" s="109"/>
      <c r="Q104" s="114"/>
    </row>
    <row r="105">
      <c r="A105" s="65" t="s">
        <v>606</v>
      </c>
      <c r="B105" s="65" t="s">
        <v>606</v>
      </c>
      <c r="C105" s="17" t="s">
        <v>607</v>
      </c>
      <c r="D105" s="109"/>
      <c r="E105" s="114"/>
      <c r="F105" s="109"/>
      <c r="G105" s="109"/>
      <c r="H105" s="109"/>
      <c r="I105" s="109"/>
      <c r="J105" s="109"/>
      <c r="K105" s="109"/>
      <c r="L105" s="109"/>
      <c r="M105" s="109"/>
      <c r="N105" s="109"/>
      <c r="O105" s="109"/>
      <c r="P105" s="109"/>
      <c r="Q105" s="114"/>
    </row>
    <row r="106">
      <c r="A106" s="65" t="s">
        <v>467</v>
      </c>
      <c r="B106" s="65" t="s">
        <v>467</v>
      </c>
      <c r="C106" s="17" t="s">
        <v>468</v>
      </c>
      <c r="D106" s="109"/>
      <c r="E106" s="114"/>
      <c r="F106" s="109"/>
      <c r="G106" s="109"/>
      <c r="H106" s="109"/>
      <c r="I106" s="109"/>
      <c r="J106" s="109"/>
      <c r="K106" s="109"/>
      <c r="L106" s="109"/>
      <c r="M106" s="109"/>
      <c r="N106" s="109"/>
      <c r="O106" s="109"/>
      <c r="P106" s="109"/>
      <c r="Q106" s="114"/>
    </row>
    <row r="107">
      <c r="A107" s="65" t="s">
        <v>1026</v>
      </c>
      <c r="B107" s="65" t="s">
        <v>1026</v>
      </c>
      <c r="C107" s="17" t="s">
        <v>2953</v>
      </c>
      <c r="D107" s="109"/>
      <c r="E107" s="114"/>
      <c r="F107" s="109"/>
      <c r="G107" s="109"/>
      <c r="H107" s="109"/>
      <c r="I107" s="109"/>
      <c r="J107" s="109"/>
      <c r="K107" s="109"/>
      <c r="L107" s="109"/>
      <c r="M107" s="109"/>
      <c r="N107" s="109"/>
      <c r="O107" s="109"/>
      <c r="P107" s="109"/>
      <c r="Q107" s="114"/>
    </row>
    <row r="108">
      <c r="A108" s="65" t="s">
        <v>599</v>
      </c>
      <c r="B108" s="65" t="s">
        <v>599</v>
      </c>
      <c r="C108" s="17" t="s">
        <v>2954</v>
      </c>
      <c r="D108" s="109"/>
      <c r="E108" s="114"/>
      <c r="F108" s="109"/>
      <c r="G108" s="109"/>
      <c r="H108" s="109"/>
      <c r="I108" s="109"/>
      <c r="J108" s="109"/>
      <c r="K108" s="109"/>
      <c r="L108" s="109"/>
      <c r="M108" s="109"/>
      <c r="N108" s="109"/>
      <c r="O108" s="109"/>
      <c r="P108" s="109"/>
      <c r="Q108" s="114"/>
    </row>
    <row r="109">
      <c r="A109" s="65" t="s">
        <v>247</v>
      </c>
      <c r="B109" s="65" t="s">
        <v>247</v>
      </c>
      <c r="C109" s="17" t="s">
        <v>387</v>
      </c>
      <c r="D109" s="109"/>
      <c r="E109" s="114"/>
      <c r="F109" s="109"/>
      <c r="G109" s="109"/>
      <c r="H109" s="109"/>
      <c r="I109" s="109"/>
      <c r="J109" s="109"/>
      <c r="K109" s="109"/>
      <c r="L109" s="109"/>
      <c r="M109" s="109"/>
      <c r="N109" s="109"/>
      <c r="O109" s="109"/>
      <c r="P109" s="109"/>
      <c r="Q109" s="114"/>
    </row>
    <row r="110">
      <c r="A110" s="65" t="s">
        <v>1509</v>
      </c>
      <c r="B110" s="65" t="s">
        <v>1509</v>
      </c>
      <c r="C110" s="17" t="s">
        <v>1510</v>
      </c>
      <c r="D110" s="109"/>
      <c r="E110" s="114"/>
      <c r="F110" s="109"/>
      <c r="G110" s="109"/>
      <c r="H110" s="109"/>
      <c r="I110" s="109"/>
      <c r="J110" s="109"/>
      <c r="K110" s="109"/>
      <c r="L110" s="109"/>
      <c r="M110" s="109"/>
      <c r="N110" s="109"/>
      <c r="O110" s="109"/>
      <c r="P110" s="109"/>
      <c r="Q110" s="114"/>
    </row>
    <row r="111">
      <c r="A111" s="65" t="s">
        <v>1797</v>
      </c>
      <c r="B111" s="65" t="s">
        <v>1797</v>
      </c>
      <c r="C111" s="17" t="s">
        <v>325</v>
      </c>
      <c r="D111" s="109"/>
      <c r="E111" s="114"/>
      <c r="F111" s="109"/>
      <c r="G111" s="109"/>
      <c r="H111" s="109"/>
      <c r="I111" s="109"/>
      <c r="J111" s="109"/>
      <c r="K111" s="109"/>
      <c r="L111" s="109"/>
      <c r="M111" s="109"/>
      <c r="N111" s="109"/>
      <c r="O111" s="109"/>
      <c r="Q111" s="114"/>
    </row>
    <row r="112">
      <c r="A112" s="65" t="s">
        <v>12</v>
      </c>
      <c r="B112" s="65" t="s">
        <v>12</v>
      </c>
      <c r="C112" s="17" t="s">
        <v>13</v>
      </c>
      <c r="D112" s="109"/>
      <c r="E112" s="114"/>
      <c r="F112" s="109"/>
      <c r="G112" s="109"/>
      <c r="H112" s="109"/>
      <c r="I112" s="109"/>
      <c r="J112" s="109"/>
      <c r="K112" s="109"/>
      <c r="L112" s="109"/>
      <c r="M112" s="109"/>
      <c r="O112" s="109"/>
      <c r="P112" s="109"/>
      <c r="Q112" s="114"/>
    </row>
    <row r="113">
      <c r="A113" s="65" t="s">
        <v>16</v>
      </c>
      <c r="B113" s="65" t="s">
        <v>16</v>
      </c>
      <c r="C113" s="17" t="s">
        <v>17</v>
      </c>
      <c r="D113" s="109"/>
      <c r="E113" s="114"/>
      <c r="F113" s="109"/>
      <c r="G113" s="109"/>
      <c r="H113" s="109"/>
      <c r="I113" s="109"/>
      <c r="J113" s="109"/>
      <c r="K113" s="109"/>
      <c r="L113" s="109"/>
      <c r="M113" s="109"/>
      <c r="N113" s="109"/>
      <c r="O113" s="109"/>
      <c r="P113" s="109"/>
      <c r="Q113" s="114"/>
    </row>
    <row r="114">
      <c r="A114" s="65" t="s">
        <v>132</v>
      </c>
      <c r="B114" s="65" t="s">
        <v>132</v>
      </c>
      <c r="C114" s="17" t="s">
        <v>133</v>
      </c>
      <c r="D114" s="109"/>
      <c r="E114" s="114"/>
      <c r="F114" s="109"/>
      <c r="G114" s="109"/>
      <c r="H114" s="109"/>
      <c r="I114" s="109"/>
      <c r="J114" s="109"/>
      <c r="K114" s="109"/>
      <c r="L114" s="109"/>
      <c r="M114" s="109"/>
      <c r="N114" s="109"/>
      <c r="O114" s="109"/>
      <c r="P114" s="109"/>
      <c r="Q114" s="114"/>
    </row>
    <row r="115">
      <c r="A115" s="65" t="s">
        <v>624</v>
      </c>
      <c r="B115" s="65" t="s">
        <v>624</v>
      </c>
      <c r="C115" s="17" t="s">
        <v>625</v>
      </c>
      <c r="D115" s="109"/>
      <c r="E115" s="114"/>
      <c r="F115" s="109"/>
      <c r="G115" s="109"/>
      <c r="H115" s="109"/>
      <c r="I115" s="109"/>
      <c r="J115" s="109"/>
      <c r="K115" s="109"/>
      <c r="L115" s="109"/>
      <c r="M115" s="109"/>
      <c r="N115" s="109"/>
      <c r="O115" s="109"/>
      <c r="P115" s="109"/>
      <c r="Q115" s="114"/>
    </row>
    <row r="116">
      <c r="A116" s="65" t="s">
        <v>954</v>
      </c>
      <c r="B116" s="65" t="s">
        <v>954</v>
      </c>
      <c r="C116" s="17"/>
      <c r="D116" s="109"/>
      <c r="E116" s="114"/>
      <c r="F116" s="109"/>
      <c r="G116" s="109"/>
      <c r="H116" s="109"/>
      <c r="I116" s="109"/>
      <c r="J116" s="109"/>
      <c r="K116" s="17"/>
      <c r="L116" s="17"/>
      <c r="M116" s="17"/>
      <c r="N116" s="17"/>
      <c r="O116" s="109"/>
      <c r="P116" s="17"/>
      <c r="Q116" s="114"/>
    </row>
    <row r="117">
      <c r="A117" s="65" t="s">
        <v>635</v>
      </c>
      <c r="B117" s="65" t="s">
        <v>635</v>
      </c>
      <c r="C117" s="17" t="s">
        <v>636</v>
      </c>
      <c r="D117" s="109"/>
      <c r="E117" s="114"/>
      <c r="F117" s="109"/>
      <c r="G117" s="109"/>
      <c r="H117" s="109"/>
      <c r="I117" s="109"/>
      <c r="J117" s="109"/>
      <c r="K117" s="109"/>
      <c r="L117" s="109"/>
      <c r="M117" s="109"/>
      <c r="N117" s="17"/>
      <c r="O117" s="109"/>
      <c r="P117" s="17"/>
      <c r="Q117" s="114"/>
    </row>
    <row r="118">
      <c r="A118" s="65" t="s">
        <v>532</v>
      </c>
      <c r="B118" s="65" t="s">
        <v>532</v>
      </c>
      <c r="C118" s="17" t="s">
        <v>533</v>
      </c>
      <c r="D118" s="109"/>
      <c r="E118" s="114"/>
      <c r="F118" s="109"/>
      <c r="G118" s="109"/>
      <c r="H118" s="109"/>
      <c r="I118" s="109"/>
      <c r="J118" s="109"/>
      <c r="K118" s="109"/>
      <c r="L118" s="109"/>
      <c r="M118" s="109"/>
      <c r="N118" s="109"/>
      <c r="O118" s="109"/>
      <c r="P118" s="109"/>
      <c r="Q118" s="114"/>
    </row>
    <row r="119">
      <c r="A119" s="65" t="s">
        <v>146</v>
      </c>
      <c r="B119" s="65" t="s">
        <v>146</v>
      </c>
      <c r="C119" s="17" t="s">
        <v>147</v>
      </c>
      <c r="D119" s="109"/>
      <c r="E119" s="114"/>
      <c r="F119" s="109"/>
      <c r="G119" s="109"/>
      <c r="H119" s="109"/>
      <c r="I119" s="109"/>
      <c r="J119" s="109"/>
      <c r="K119" s="109"/>
      <c r="L119" s="109"/>
      <c r="M119" s="109"/>
      <c r="N119" s="109"/>
      <c r="O119" s="109"/>
      <c r="P119" s="109"/>
      <c r="Q119" s="114"/>
    </row>
    <row r="120">
      <c r="A120" s="65" t="s">
        <v>613</v>
      </c>
      <c r="B120" s="65" t="s">
        <v>613</v>
      </c>
      <c r="C120" s="17" t="s">
        <v>614</v>
      </c>
      <c r="D120" s="109"/>
      <c r="E120" s="114"/>
      <c r="F120" s="109"/>
      <c r="G120" s="109"/>
      <c r="H120" s="109"/>
      <c r="I120" s="109"/>
      <c r="J120" s="109"/>
      <c r="K120" s="109"/>
      <c r="L120" s="109"/>
      <c r="M120" s="109"/>
      <c r="N120" s="17"/>
      <c r="O120" s="109"/>
      <c r="P120" s="109"/>
      <c r="Q120" s="114"/>
    </row>
    <row r="121">
      <c r="A121" s="65" t="s">
        <v>483</v>
      </c>
      <c r="B121" s="65" t="s">
        <v>483</v>
      </c>
      <c r="C121" s="17" t="s">
        <v>484</v>
      </c>
      <c r="D121" s="109"/>
      <c r="E121" s="114"/>
      <c r="F121" s="109"/>
      <c r="G121" s="109"/>
      <c r="H121" s="109"/>
      <c r="I121" s="109"/>
      <c r="J121" s="109"/>
      <c r="K121" s="109"/>
      <c r="L121" s="109"/>
      <c r="M121" s="109"/>
      <c r="N121" s="109"/>
      <c r="O121" s="109"/>
      <c r="P121" s="109"/>
      <c r="Q121" s="114"/>
    </row>
    <row r="122">
      <c r="A122" s="65" t="s">
        <v>334</v>
      </c>
      <c r="B122" s="65" t="s">
        <v>334</v>
      </c>
      <c r="C122" s="17" t="s">
        <v>335</v>
      </c>
      <c r="D122" s="109"/>
      <c r="E122" s="114"/>
      <c r="F122" s="109"/>
      <c r="G122" s="109"/>
      <c r="H122" s="109"/>
      <c r="I122" s="109"/>
      <c r="J122" s="109"/>
      <c r="K122" s="109"/>
      <c r="L122" s="109"/>
      <c r="M122" s="109"/>
      <c r="N122" s="109"/>
      <c r="O122" s="109"/>
      <c r="P122" s="109"/>
      <c r="Q122" s="114"/>
    </row>
    <row r="123">
      <c r="A123" s="83" t="s">
        <v>517</v>
      </c>
      <c r="B123" s="65" t="s">
        <v>517</v>
      </c>
      <c r="C123" s="17"/>
      <c r="D123" s="109"/>
      <c r="E123" s="114"/>
      <c r="F123" s="109"/>
      <c r="G123" s="109"/>
      <c r="H123" s="109"/>
      <c r="I123" s="109"/>
      <c r="J123" s="109"/>
      <c r="K123" s="109"/>
      <c r="L123" s="109"/>
      <c r="M123" s="109"/>
      <c r="N123" s="109"/>
      <c r="O123" s="109"/>
      <c r="P123" s="109"/>
      <c r="Q123" s="114"/>
    </row>
    <row r="124">
      <c r="A124" s="65" t="s">
        <v>1505</v>
      </c>
      <c r="B124" s="65" t="s">
        <v>1505</v>
      </c>
      <c r="C124" s="17" t="s">
        <v>1506</v>
      </c>
      <c r="D124" s="109"/>
      <c r="E124" s="114"/>
      <c r="F124" s="109"/>
      <c r="G124" s="109"/>
      <c r="H124" s="109"/>
      <c r="I124" s="109"/>
      <c r="J124" s="109"/>
      <c r="K124" s="109"/>
      <c r="L124" s="109"/>
      <c r="M124" s="109"/>
      <c r="N124" s="17"/>
      <c r="O124" s="109"/>
      <c r="P124" s="109"/>
      <c r="Q124" s="114"/>
    </row>
    <row r="125">
      <c r="A125" s="83" t="s">
        <v>206</v>
      </c>
      <c r="B125" s="65" t="s">
        <v>206</v>
      </c>
      <c r="C125" s="17" t="s">
        <v>207</v>
      </c>
      <c r="D125" s="109"/>
      <c r="E125" s="114"/>
      <c r="F125" s="109"/>
      <c r="G125" s="109"/>
      <c r="H125" s="109"/>
      <c r="I125" s="109"/>
      <c r="J125" s="109"/>
      <c r="K125" s="109"/>
      <c r="L125" s="109"/>
      <c r="M125" s="109"/>
      <c r="N125" s="109"/>
      <c r="O125" s="109"/>
      <c r="P125" s="109"/>
      <c r="Q125" s="114"/>
    </row>
    <row r="126">
      <c r="A126" s="65" t="s">
        <v>688</v>
      </c>
      <c r="B126" s="65" t="s">
        <v>688</v>
      </c>
      <c r="C126" s="17" t="s">
        <v>121</v>
      </c>
      <c r="D126" s="109"/>
      <c r="E126" s="114"/>
      <c r="F126" s="109"/>
      <c r="G126" s="109"/>
      <c r="H126" s="109"/>
      <c r="I126" s="109"/>
      <c r="J126" s="109"/>
      <c r="K126" s="109"/>
      <c r="L126" s="109"/>
      <c r="M126" s="109"/>
      <c r="N126" s="17"/>
      <c r="O126" s="109"/>
      <c r="P126" s="109"/>
      <c r="Q126" s="114"/>
    </row>
    <row r="127">
      <c r="A127" s="65" t="s">
        <v>712</v>
      </c>
      <c r="B127" s="65" t="s">
        <v>712</v>
      </c>
      <c r="C127" s="17" t="s">
        <v>912</v>
      </c>
      <c r="D127" s="109"/>
      <c r="E127" s="114"/>
      <c r="F127" s="109"/>
      <c r="G127" s="109"/>
      <c r="H127" s="109"/>
      <c r="I127" s="109"/>
      <c r="J127" s="109"/>
      <c r="K127" s="109"/>
      <c r="L127" s="109"/>
      <c r="M127" s="109"/>
      <c r="N127" s="109"/>
      <c r="O127" s="109"/>
      <c r="P127" s="109"/>
      <c r="Q127" s="114"/>
    </row>
    <row r="128">
      <c r="A128" s="65" t="s">
        <v>162</v>
      </c>
      <c r="B128" s="65" t="s">
        <v>162</v>
      </c>
      <c r="C128" s="17" t="s">
        <v>42</v>
      </c>
      <c r="D128" s="109"/>
      <c r="E128" s="114"/>
      <c r="F128" s="109"/>
      <c r="G128" s="109"/>
      <c r="H128" s="109"/>
      <c r="I128" s="109"/>
      <c r="J128" s="109"/>
      <c r="K128" s="109"/>
      <c r="L128" s="109"/>
      <c r="M128" s="109"/>
      <c r="N128" s="109"/>
      <c r="O128" s="109"/>
      <c r="P128" s="109"/>
      <c r="Q128" s="114"/>
    </row>
    <row r="129">
      <c r="A129" s="65" t="s">
        <v>34</v>
      </c>
      <c r="B129" s="65" t="s">
        <v>34</v>
      </c>
      <c r="C129" s="17" t="s">
        <v>35</v>
      </c>
      <c r="D129" s="109"/>
      <c r="E129" s="114"/>
      <c r="F129" s="109"/>
      <c r="G129" s="109"/>
      <c r="H129" s="109"/>
      <c r="I129" s="109"/>
      <c r="J129" s="109"/>
      <c r="K129" s="109"/>
      <c r="L129" s="109"/>
      <c r="M129" s="109"/>
      <c r="N129" s="109"/>
      <c r="O129" s="109"/>
      <c r="P129" s="109"/>
      <c r="Q129" s="114"/>
    </row>
    <row r="130">
      <c r="A130" s="65" t="s">
        <v>209</v>
      </c>
      <c r="B130" s="65" t="s">
        <v>209</v>
      </c>
      <c r="C130" s="17" t="s">
        <v>210</v>
      </c>
      <c r="D130" s="109"/>
      <c r="E130" s="17"/>
      <c r="F130" s="109"/>
      <c r="G130" s="109"/>
      <c r="H130" s="109"/>
      <c r="I130" s="109"/>
      <c r="J130" s="109"/>
      <c r="K130" s="109"/>
      <c r="L130" s="109"/>
      <c r="M130" s="109"/>
      <c r="N130" s="109"/>
      <c r="O130" s="109"/>
      <c r="P130" s="109"/>
    </row>
    <row r="131">
      <c r="A131" s="65" t="s">
        <v>31</v>
      </c>
      <c r="B131" s="65" t="s">
        <v>31</v>
      </c>
      <c r="C131" s="17" t="s">
        <v>32</v>
      </c>
      <c r="D131" s="109"/>
      <c r="E131" s="114"/>
      <c r="F131" s="109"/>
      <c r="G131" s="109"/>
      <c r="H131" s="109"/>
      <c r="I131" s="109"/>
      <c r="J131" s="109"/>
      <c r="K131" s="109"/>
      <c r="L131" s="109"/>
      <c r="M131" s="109"/>
      <c r="N131" s="109"/>
      <c r="O131" s="109"/>
      <c r="P131" s="109"/>
      <c r="Q131" s="114"/>
    </row>
    <row r="132">
      <c r="A132" s="65" t="s">
        <v>239</v>
      </c>
      <c r="B132" s="65" t="s">
        <v>239</v>
      </c>
      <c r="C132" s="17" t="s">
        <v>240</v>
      </c>
      <c r="D132" s="109"/>
      <c r="E132" s="114"/>
      <c r="F132" s="109"/>
      <c r="G132" s="109"/>
      <c r="H132" s="109"/>
      <c r="I132" s="109"/>
      <c r="J132" s="109"/>
      <c r="K132" s="109"/>
      <c r="L132" s="109"/>
      <c r="M132" s="109"/>
      <c r="N132" s="109"/>
      <c r="O132" s="109"/>
      <c r="P132" s="109"/>
      <c r="Q132" s="114"/>
    </row>
    <row r="133">
      <c r="A133" s="65" t="s">
        <v>144</v>
      </c>
      <c r="B133" s="65" t="s">
        <v>144</v>
      </c>
      <c r="C133" s="17" t="s">
        <v>145</v>
      </c>
      <c r="D133" s="109"/>
      <c r="E133" s="114"/>
      <c r="F133" s="109"/>
      <c r="G133" s="109"/>
      <c r="H133" s="109"/>
      <c r="I133" s="109"/>
      <c r="J133" s="109"/>
      <c r="K133" s="109"/>
      <c r="L133" s="109"/>
      <c r="M133" s="109"/>
      <c r="N133" s="109"/>
      <c r="O133" s="109"/>
      <c r="P133" s="109"/>
      <c r="Q133" s="114"/>
    </row>
    <row r="134">
      <c r="A134" s="65" t="s">
        <v>160</v>
      </c>
      <c r="B134" s="65" t="s">
        <v>160</v>
      </c>
      <c r="C134" s="17" t="s">
        <v>161</v>
      </c>
      <c r="D134" s="109"/>
      <c r="E134" s="114"/>
      <c r="F134" s="109"/>
      <c r="G134" s="109"/>
      <c r="H134" s="109"/>
      <c r="I134" s="109"/>
      <c r="J134" s="109"/>
      <c r="K134" s="109"/>
      <c r="L134" s="109"/>
      <c r="M134" s="109"/>
      <c r="N134" s="109"/>
      <c r="O134" s="109"/>
      <c r="P134" s="109"/>
      <c r="Q134" s="114"/>
    </row>
    <row r="135">
      <c r="A135" s="65" t="s">
        <v>696</v>
      </c>
      <c r="B135" s="65" t="s">
        <v>696</v>
      </c>
      <c r="C135" s="17" t="s">
        <v>619</v>
      </c>
      <c r="D135" s="109"/>
      <c r="E135" s="114"/>
      <c r="F135" s="109"/>
      <c r="G135" s="109"/>
      <c r="H135" s="109"/>
      <c r="I135" s="109"/>
      <c r="J135" s="109"/>
      <c r="K135" s="109"/>
      <c r="L135" s="109"/>
      <c r="M135" s="109"/>
      <c r="N135" s="109"/>
      <c r="O135" s="109"/>
      <c r="P135" s="109"/>
      <c r="Q135" s="114"/>
    </row>
    <row r="136">
      <c r="A136" s="65" t="s">
        <v>10</v>
      </c>
      <c r="B136" s="65" t="s">
        <v>10</v>
      </c>
      <c r="C136" s="17" t="s">
        <v>1545</v>
      </c>
      <c r="D136" s="109"/>
      <c r="E136" s="114"/>
      <c r="F136" s="109"/>
      <c r="G136" s="109"/>
      <c r="H136" s="109"/>
      <c r="I136" s="109"/>
      <c r="J136" s="109"/>
      <c r="K136" s="109"/>
      <c r="L136" s="109"/>
      <c r="M136" s="109"/>
      <c r="N136" s="109"/>
      <c r="O136" s="109"/>
      <c r="P136" s="109"/>
      <c r="Q136" s="114"/>
    </row>
    <row r="137">
      <c r="A137" s="65" t="s">
        <v>2955</v>
      </c>
      <c r="B137" s="65" t="s">
        <v>2955</v>
      </c>
      <c r="C137" s="17" t="s">
        <v>2956</v>
      </c>
      <c r="D137" s="109"/>
      <c r="E137" s="114"/>
      <c r="F137" s="109"/>
      <c r="G137" s="109"/>
      <c r="H137" s="109"/>
      <c r="I137" s="109"/>
      <c r="J137" s="109"/>
      <c r="K137" s="109"/>
      <c r="L137" s="109"/>
      <c r="M137" s="109"/>
      <c r="N137" s="109"/>
      <c r="O137" s="109"/>
      <c r="P137" s="109"/>
      <c r="Q137" s="114"/>
    </row>
    <row r="138">
      <c r="A138" s="65" t="s">
        <v>330</v>
      </c>
      <c r="B138" s="65" t="s">
        <v>330</v>
      </c>
      <c r="C138" s="17" t="s">
        <v>331</v>
      </c>
      <c r="D138" s="109"/>
      <c r="E138" s="114"/>
      <c r="F138" s="109"/>
      <c r="G138" s="109"/>
      <c r="H138" s="109"/>
      <c r="I138" s="109"/>
      <c r="J138" s="109"/>
      <c r="K138" s="109"/>
      <c r="L138" s="109"/>
      <c r="M138" s="109"/>
      <c r="N138" s="109"/>
      <c r="O138" s="109"/>
      <c r="P138" s="109"/>
      <c r="Q138" s="114"/>
    </row>
    <row r="139">
      <c r="A139" s="65" t="s">
        <v>245</v>
      </c>
      <c r="B139" s="65" t="s">
        <v>245</v>
      </c>
      <c r="C139" s="17" t="s">
        <v>246</v>
      </c>
      <c r="D139" s="109"/>
      <c r="E139" s="114"/>
      <c r="F139" s="109"/>
      <c r="G139" s="109"/>
      <c r="H139" s="109"/>
      <c r="I139" s="109"/>
      <c r="J139" s="109"/>
      <c r="K139" s="109"/>
      <c r="L139" s="109"/>
      <c r="M139" s="109"/>
      <c r="N139" s="109"/>
      <c r="O139" s="109"/>
      <c r="P139" s="109"/>
      <c r="Q139" s="114"/>
    </row>
    <row r="140">
      <c r="A140" s="65" t="s">
        <v>167</v>
      </c>
      <c r="B140" s="65" t="s">
        <v>167</v>
      </c>
      <c r="C140" s="17" t="s">
        <v>997</v>
      </c>
      <c r="D140" s="109"/>
      <c r="E140" s="114"/>
      <c r="F140" s="109"/>
      <c r="G140" s="109"/>
      <c r="H140" s="109"/>
      <c r="I140" s="109"/>
      <c r="J140" s="109"/>
      <c r="K140" s="109"/>
      <c r="L140" s="109"/>
      <c r="M140" s="109"/>
      <c r="N140" s="109"/>
      <c r="O140" s="109"/>
      <c r="P140" s="109"/>
      <c r="Q140" s="114"/>
    </row>
    <row r="141">
      <c r="A141" s="65" t="s">
        <v>124</v>
      </c>
      <c r="B141" s="65" t="s">
        <v>124</v>
      </c>
      <c r="C141" s="17" t="s">
        <v>125</v>
      </c>
      <c r="D141" s="109"/>
      <c r="E141" s="114"/>
      <c r="F141" s="109"/>
      <c r="G141" s="109"/>
      <c r="H141" s="109"/>
      <c r="I141" s="109"/>
      <c r="J141" s="109"/>
      <c r="K141" s="109"/>
      <c r="L141" s="109"/>
      <c r="M141" s="109"/>
      <c r="N141" s="17"/>
      <c r="O141" s="109"/>
      <c r="P141" s="109"/>
      <c r="Q141" s="114"/>
    </row>
    <row r="142">
      <c r="A142" s="65" t="s">
        <v>1710</v>
      </c>
      <c r="B142" s="65" t="s">
        <v>1710</v>
      </c>
      <c r="C142" s="17" t="s">
        <v>1711</v>
      </c>
      <c r="D142" s="109"/>
      <c r="E142" s="114"/>
      <c r="F142" s="109"/>
      <c r="G142" s="109"/>
      <c r="H142" s="109"/>
      <c r="I142" s="109"/>
      <c r="J142" s="109"/>
      <c r="K142" s="109"/>
      <c r="L142" s="109"/>
      <c r="M142" s="109"/>
      <c r="N142" s="109"/>
      <c r="O142" s="109"/>
      <c r="P142" s="109"/>
      <c r="Q142" s="114"/>
    </row>
    <row r="143">
      <c r="A143" s="65" t="s">
        <v>1379</v>
      </c>
      <c r="B143" s="65" t="s">
        <v>1379</v>
      </c>
      <c r="C143" s="17" t="s">
        <v>1380</v>
      </c>
      <c r="D143" s="109"/>
      <c r="E143" s="114"/>
      <c r="F143" s="109"/>
      <c r="G143" s="109"/>
      <c r="H143" s="109"/>
      <c r="I143" s="109"/>
      <c r="J143" s="109"/>
      <c r="K143" s="109"/>
      <c r="L143" s="109"/>
      <c r="M143" s="109"/>
      <c r="N143" s="109"/>
      <c r="O143" s="109"/>
      <c r="P143" s="109"/>
      <c r="Q143" s="114"/>
    </row>
    <row r="144">
      <c r="A144" s="65" t="s">
        <v>1112</v>
      </c>
      <c r="B144" s="65" t="s">
        <v>1112</v>
      </c>
      <c r="C144" s="17" t="s">
        <v>1113</v>
      </c>
      <c r="D144" s="109"/>
      <c r="E144" s="114"/>
      <c r="F144" s="109"/>
      <c r="G144" s="109"/>
      <c r="H144" s="109"/>
      <c r="I144" s="109"/>
      <c r="J144" s="109"/>
      <c r="K144" s="109"/>
      <c r="L144" s="109"/>
      <c r="M144" s="109"/>
      <c r="N144" s="109"/>
      <c r="O144" s="109"/>
      <c r="P144" s="109"/>
      <c r="Q144" s="114"/>
    </row>
    <row r="145">
      <c r="A145" s="65" t="s">
        <v>62</v>
      </c>
      <c r="B145" s="65" t="s">
        <v>62</v>
      </c>
      <c r="C145" s="17" t="s">
        <v>63</v>
      </c>
      <c r="D145" s="109"/>
      <c r="E145" s="114"/>
      <c r="F145" s="109"/>
      <c r="G145" s="109"/>
      <c r="H145" s="109"/>
      <c r="I145" s="109"/>
      <c r="J145" s="109"/>
      <c r="K145" s="109"/>
      <c r="L145" s="109"/>
      <c r="M145" s="109"/>
      <c r="N145" s="109"/>
      <c r="O145" s="109"/>
      <c r="P145" s="109"/>
      <c r="Q145" s="114"/>
    </row>
    <row r="146">
      <c r="A146" s="65" t="s">
        <v>227</v>
      </c>
      <c r="B146" s="65" t="s">
        <v>227</v>
      </c>
      <c r="C146" s="17" t="s">
        <v>228</v>
      </c>
      <c r="D146" s="109"/>
      <c r="E146" s="114"/>
      <c r="F146" s="109"/>
      <c r="G146" s="109"/>
      <c r="H146" s="109"/>
      <c r="I146" s="109"/>
      <c r="J146" s="109"/>
      <c r="K146" s="109"/>
      <c r="L146" s="109"/>
      <c r="M146" s="109"/>
      <c r="N146" s="109"/>
      <c r="O146" s="109"/>
      <c r="P146" s="109"/>
      <c r="Q146" s="114"/>
    </row>
    <row r="147">
      <c r="A147" s="65" t="s">
        <v>185</v>
      </c>
      <c r="B147" s="65" t="s">
        <v>185</v>
      </c>
      <c r="C147" s="17" t="s">
        <v>186</v>
      </c>
      <c r="D147" s="109"/>
      <c r="E147" s="114"/>
      <c r="F147" s="109"/>
      <c r="G147" s="109"/>
      <c r="H147" s="109"/>
      <c r="I147" s="109"/>
      <c r="J147" s="109"/>
      <c r="K147" s="109"/>
      <c r="L147" s="109"/>
      <c r="M147" s="109"/>
      <c r="N147" s="109"/>
      <c r="O147" s="109"/>
      <c r="P147" s="109"/>
      <c r="Q147" s="114"/>
    </row>
    <row r="148">
      <c r="A148" s="65" t="s">
        <v>2957</v>
      </c>
      <c r="B148" s="65" t="s">
        <v>2957</v>
      </c>
      <c r="C148" s="17" t="s">
        <v>2958</v>
      </c>
      <c r="D148" s="109"/>
      <c r="E148" s="114"/>
      <c r="F148" s="109"/>
      <c r="G148" s="109"/>
      <c r="H148" s="109"/>
      <c r="I148" s="109"/>
      <c r="J148" s="109"/>
      <c r="K148" s="109"/>
      <c r="L148" s="109"/>
      <c r="M148" s="109"/>
      <c r="N148" s="109"/>
      <c r="O148" s="109"/>
      <c r="P148" s="109"/>
      <c r="Q148" s="114"/>
    </row>
    <row r="149">
      <c r="A149" s="65" t="s">
        <v>57</v>
      </c>
      <c r="B149" s="65" t="s">
        <v>57</v>
      </c>
      <c r="C149" s="17" t="s">
        <v>2959</v>
      </c>
      <c r="D149" s="109"/>
      <c r="E149" s="114"/>
      <c r="F149" s="109"/>
      <c r="G149" s="109"/>
      <c r="H149" s="109"/>
      <c r="I149" s="109"/>
      <c r="J149" s="109"/>
      <c r="K149" s="109"/>
      <c r="L149" s="109"/>
      <c r="M149" s="109"/>
      <c r="N149" s="109"/>
      <c r="O149" s="109"/>
      <c r="P149" s="109"/>
      <c r="Q149" s="114"/>
    </row>
    <row r="150">
      <c r="A150" s="65" t="s">
        <v>173</v>
      </c>
      <c r="B150" s="65" t="s">
        <v>173</v>
      </c>
      <c r="C150" s="17" t="s">
        <v>174</v>
      </c>
      <c r="D150" s="109"/>
      <c r="E150" s="114"/>
      <c r="F150" s="109"/>
      <c r="G150" s="109"/>
      <c r="H150" s="109"/>
      <c r="I150" s="109"/>
      <c r="J150" s="109"/>
      <c r="K150" s="109"/>
      <c r="L150" s="109"/>
      <c r="M150" s="109"/>
      <c r="N150" s="17"/>
      <c r="O150" s="109"/>
      <c r="P150" s="109"/>
      <c r="Q150" s="114"/>
    </row>
    <row r="151">
      <c r="A151" s="65" t="s">
        <v>682</v>
      </c>
      <c r="B151" s="65" t="s">
        <v>682</v>
      </c>
      <c r="C151" s="17" t="s">
        <v>683</v>
      </c>
      <c r="D151" s="109"/>
      <c r="E151" s="114"/>
      <c r="F151" s="109"/>
      <c r="G151" s="109"/>
      <c r="H151" s="109"/>
      <c r="I151" s="109"/>
      <c r="J151" s="109"/>
      <c r="K151" s="109"/>
      <c r="L151" s="109"/>
      <c r="M151" s="109"/>
      <c r="N151" s="109"/>
      <c r="O151" s="109"/>
      <c r="P151" s="109"/>
      <c r="Q151" s="114"/>
    </row>
    <row r="152">
      <c r="A152" s="65" t="s">
        <v>258</v>
      </c>
      <c r="B152" s="65" t="s">
        <v>258</v>
      </c>
      <c r="C152" s="17" t="s">
        <v>259</v>
      </c>
      <c r="D152" s="109"/>
      <c r="E152" s="114"/>
      <c r="F152" s="109"/>
      <c r="G152" s="109"/>
      <c r="H152" s="109"/>
      <c r="I152" s="109"/>
      <c r="J152" s="109"/>
      <c r="K152" s="109"/>
      <c r="L152" s="109"/>
      <c r="M152" s="109"/>
      <c r="N152" s="17"/>
      <c r="O152" s="109"/>
      <c r="P152" s="109"/>
      <c r="Q152" s="114"/>
    </row>
    <row r="153">
      <c r="A153" s="65" t="s">
        <v>866</v>
      </c>
      <c r="B153" s="65" t="s">
        <v>866</v>
      </c>
      <c r="C153" s="17" t="s">
        <v>867</v>
      </c>
      <c r="D153" s="109"/>
      <c r="E153" s="114"/>
      <c r="F153" s="109"/>
      <c r="G153" s="109"/>
      <c r="H153" s="109"/>
      <c r="I153" s="109"/>
      <c r="J153" s="109"/>
      <c r="K153" s="109"/>
      <c r="L153" s="109"/>
      <c r="M153" s="109"/>
      <c r="N153" s="109"/>
      <c r="O153" s="109"/>
      <c r="P153" s="109"/>
      <c r="Q153" s="114"/>
    </row>
    <row r="154">
      <c r="A154" s="65" t="s">
        <v>2438</v>
      </c>
      <c r="B154" s="65" t="s">
        <v>2438</v>
      </c>
      <c r="C154" s="17" t="s">
        <v>1724</v>
      </c>
      <c r="D154" s="109"/>
      <c r="E154" s="114"/>
      <c r="F154" s="109"/>
      <c r="G154" s="109"/>
      <c r="H154" s="109"/>
      <c r="I154" s="109"/>
      <c r="J154" s="109"/>
      <c r="K154" s="109"/>
      <c r="L154" s="109"/>
      <c r="M154" s="109"/>
      <c r="N154" s="17"/>
      <c r="O154" s="109"/>
      <c r="P154" s="109"/>
      <c r="Q154" s="114"/>
    </row>
    <row r="155">
      <c r="A155" s="65" t="s">
        <v>429</v>
      </c>
      <c r="B155" s="65" t="s">
        <v>429</v>
      </c>
      <c r="C155" s="17" t="s">
        <v>660</v>
      </c>
      <c r="D155" s="109"/>
      <c r="E155" s="114"/>
      <c r="F155" s="109"/>
      <c r="G155" s="109"/>
      <c r="H155" s="109"/>
      <c r="I155" s="109"/>
      <c r="J155" s="109"/>
      <c r="K155" s="109"/>
      <c r="L155" s="109"/>
      <c r="M155" s="109"/>
      <c r="N155" s="109"/>
      <c r="O155" s="109"/>
      <c r="P155" s="109"/>
      <c r="Q155" s="114"/>
    </row>
    <row r="156">
      <c r="A156" s="65" t="s">
        <v>2197</v>
      </c>
      <c r="B156" s="65" t="s">
        <v>2197</v>
      </c>
      <c r="C156" s="17" t="s">
        <v>2960</v>
      </c>
      <c r="D156" s="109"/>
      <c r="E156" s="114"/>
      <c r="F156" s="109"/>
      <c r="G156" s="109"/>
      <c r="H156" s="109"/>
      <c r="I156" s="109"/>
      <c r="J156" s="109"/>
      <c r="K156" s="109"/>
      <c r="L156" s="109"/>
      <c r="M156" s="109"/>
      <c r="N156" s="17"/>
      <c r="O156" s="109"/>
      <c r="P156" s="17"/>
      <c r="Q156" s="114"/>
    </row>
    <row r="157">
      <c r="A157" s="65" t="s">
        <v>280</v>
      </c>
      <c r="B157" s="65" t="s">
        <v>280</v>
      </c>
      <c r="C157" s="17" t="s">
        <v>281</v>
      </c>
      <c r="D157" s="109"/>
      <c r="E157" s="17"/>
      <c r="F157" s="109"/>
      <c r="G157" s="109"/>
      <c r="H157" s="109"/>
      <c r="I157" s="109"/>
      <c r="J157" s="109"/>
      <c r="K157" s="109"/>
      <c r="L157" s="109"/>
      <c r="M157" s="109"/>
      <c r="N157" s="109"/>
      <c r="O157" s="109"/>
      <c r="P157" s="109"/>
    </row>
    <row r="158">
      <c r="A158" s="65" t="s">
        <v>24</v>
      </c>
      <c r="B158" s="65" t="s">
        <v>24</v>
      </c>
      <c r="C158" s="17" t="s">
        <v>2961</v>
      </c>
      <c r="D158" s="109"/>
      <c r="E158" s="114"/>
      <c r="F158" s="109"/>
      <c r="G158" s="109"/>
      <c r="H158" s="109"/>
      <c r="I158" s="109"/>
      <c r="J158" s="109"/>
      <c r="K158" s="109"/>
      <c r="L158" s="109"/>
      <c r="M158" s="109"/>
      <c r="N158" s="109"/>
      <c r="O158" s="109"/>
      <c r="P158" s="109"/>
      <c r="Q158" s="114"/>
    </row>
    <row r="159">
      <c r="A159" s="65" t="s">
        <v>811</v>
      </c>
      <c r="B159" s="65" t="s">
        <v>811</v>
      </c>
      <c r="C159" s="17" t="s">
        <v>1216</v>
      </c>
      <c r="D159" s="109"/>
      <c r="E159" s="114"/>
      <c r="F159" s="109"/>
      <c r="G159" s="109"/>
      <c r="H159" s="109"/>
      <c r="I159" s="109"/>
      <c r="J159" s="109"/>
      <c r="K159" s="109"/>
      <c r="L159" s="109"/>
      <c r="M159" s="109"/>
      <c r="N159" s="109"/>
      <c r="O159" s="109"/>
      <c r="P159" s="109"/>
      <c r="Q159" s="114"/>
    </row>
    <row r="160">
      <c r="A160" s="65" t="s">
        <v>1435</v>
      </c>
      <c r="B160" s="65" t="s">
        <v>1435</v>
      </c>
      <c r="C160" s="17" t="s">
        <v>1436</v>
      </c>
      <c r="D160" s="109"/>
      <c r="E160" s="114"/>
      <c r="F160" s="109"/>
      <c r="G160" s="109"/>
      <c r="H160" s="109"/>
      <c r="I160" s="109"/>
      <c r="J160" s="109"/>
      <c r="K160" s="109"/>
      <c r="L160" s="109"/>
      <c r="M160" s="17"/>
      <c r="N160" s="17"/>
      <c r="O160" s="109"/>
      <c r="P160" s="17"/>
      <c r="Q160" s="114"/>
    </row>
    <row r="161">
      <c r="A161" s="65" t="s">
        <v>235</v>
      </c>
      <c r="B161" s="65" t="s">
        <v>235</v>
      </c>
      <c r="C161" s="17" t="s">
        <v>236</v>
      </c>
      <c r="D161" s="109"/>
      <c r="E161" s="114"/>
      <c r="F161" s="109"/>
      <c r="G161" s="109"/>
      <c r="H161" s="109"/>
      <c r="I161" s="109"/>
      <c r="J161" s="109"/>
      <c r="K161" s="109"/>
      <c r="L161" s="109"/>
      <c r="M161" s="109"/>
      <c r="N161" s="109"/>
      <c r="O161" s="109"/>
      <c r="P161" s="109"/>
      <c r="Q161" s="114"/>
    </row>
    <row r="162">
      <c r="A162" s="65" t="s">
        <v>317</v>
      </c>
      <c r="B162" s="65" t="s">
        <v>317</v>
      </c>
      <c r="C162" s="17" t="s">
        <v>1432</v>
      </c>
      <c r="D162" s="109"/>
      <c r="E162" s="114"/>
      <c r="F162" s="109"/>
      <c r="G162" s="109"/>
      <c r="H162" s="109"/>
      <c r="I162" s="109"/>
      <c r="J162" s="109"/>
      <c r="K162" s="109"/>
      <c r="L162" s="109"/>
      <c r="M162" s="109"/>
      <c r="N162" s="109"/>
      <c r="O162" s="109"/>
      <c r="P162" s="109"/>
      <c r="Q162" s="114"/>
    </row>
    <row r="163">
      <c r="A163" s="83" t="s">
        <v>36</v>
      </c>
      <c r="B163" s="65" t="s">
        <v>36</v>
      </c>
      <c r="C163" s="17" t="s">
        <v>37</v>
      </c>
      <c r="D163" s="109"/>
      <c r="E163" s="114"/>
      <c r="F163" s="109"/>
      <c r="G163" s="109"/>
      <c r="H163" s="109"/>
      <c r="I163" s="109"/>
      <c r="J163" s="109"/>
      <c r="K163" s="109"/>
      <c r="L163" s="109"/>
      <c r="M163" s="109"/>
      <c r="N163" s="109"/>
      <c r="O163" s="109"/>
      <c r="P163" s="109"/>
      <c r="Q163" s="114"/>
    </row>
    <row r="164">
      <c r="A164" s="65" t="s">
        <v>786</v>
      </c>
      <c r="B164" s="65" t="s">
        <v>786</v>
      </c>
      <c r="C164" s="17" t="s">
        <v>787</v>
      </c>
      <c r="D164" s="109"/>
      <c r="E164" s="114"/>
      <c r="F164" s="109"/>
      <c r="G164" s="109"/>
      <c r="H164" s="109"/>
      <c r="I164" s="109"/>
      <c r="J164" s="109"/>
      <c r="K164" s="109"/>
      <c r="L164" s="109"/>
      <c r="M164" s="109"/>
      <c r="N164" s="109"/>
      <c r="O164" s="109"/>
      <c r="P164" s="109"/>
      <c r="Q164" s="114"/>
    </row>
    <row r="165">
      <c r="A165" s="65" t="s">
        <v>165</v>
      </c>
      <c r="B165" s="65" t="s">
        <v>165</v>
      </c>
      <c r="C165" s="115"/>
      <c r="D165" s="109"/>
      <c r="E165" s="114"/>
      <c r="F165" s="109"/>
      <c r="G165" s="109"/>
      <c r="H165" s="109"/>
      <c r="I165" s="109"/>
      <c r="J165" s="109"/>
      <c r="K165" s="109"/>
      <c r="L165" s="109"/>
      <c r="M165" s="109"/>
      <c r="N165" s="109"/>
      <c r="O165" s="109"/>
      <c r="P165" s="109"/>
      <c r="Q165" s="114"/>
    </row>
    <row r="166">
      <c r="A166" s="65" t="s">
        <v>1467</v>
      </c>
      <c r="B166" s="65" t="s">
        <v>1467</v>
      </c>
      <c r="C166" s="17" t="s">
        <v>1810</v>
      </c>
      <c r="D166" s="109"/>
      <c r="E166" s="114"/>
      <c r="F166" s="109"/>
      <c r="G166" s="109"/>
      <c r="H166" s="109"/>
      <c r="I166" s="109"/>
      <c r="J166" s="109"/>
      <c r="K166" s="109"/>
      <c r="L166" s="109"/>
      <c r="M166" s="17"/>
      <c r="N166" s="17"/>
      <c r="O166" s="109"/>
      <c r="P166" s="17"/>
      <c r="Q166" s="114"/>
    </row>
    <row r="167">
      <c r="A167" s="65" t="s">
        <v>1478</v>
      </c>
      <c r="B167" s="65" t="s">
        <v>1478</v>
      </c>
      <c r="C167" s="17" t="s">
        <v>309</v>
      </c>
      <c r="D167" s="109"/>
      <c r="E167" s="114"/>
      <c r="F167" s="109"/>
      <c r="G167" s="109"/>
      <c r="H167" s="109"/>
      <c r="I167" s="109"/>
      <c r="J167" s="109"/>
      <c r="K167" s="109"/>
      <c r="L167" s="109"/>
      <c r="M167" s="109"/>
      <c r="N167" s="17"/>
      <c r="O167" s="109"/>
      <c r="P167" s="109"/>
      <c r="Q167" s="114"/>
    </row>
    <row r="168">
      <c r="A168" s="65" t="s">
        <v>302</v>
      </c>
      <c r="B168" s="65" t="s">
        <v>302</v>
      </c>
      <c r="C168" s="17" t="s">
        <v>303</v>
      </c>
      <c r="D168" s="109"/>
      <c r="E168" s="114"/>
      <c r="F168" s="109"/>
      <c r="G168" s="109"/>
      <c r="H168" s="109"/>
      <c r="I168" s="109"/>
      <c r="J168" s="109"/>
      <c r="K168" s="109"/>
      <c r="L168" s="109"/>
      <c r="M168" s="109"/>
      <c r="N168" s="109"/>
      <c r="O168" s="109"/>
      <c r="P168" s="109"/>
      <c r="Q168" s="114"/>
    </row>
    <row r="169">
      <c r="A169" s="65" t="s">
        <v>243</v>
      </c>
      <c r="B169" s="65" t="s">
        <v>243</v>
      </c>
      <c r="C169" s="17" t="s">
        <v>244</v>
      </c>
      <c r="D169" s="109"/>
      <c r="E169" s="114"/>
      <c r="F169" s="109"/>
      <c r="G169" s="109"/>
      <c r="H169" s="109"/>
      <c r="I169" s="109"/>
      <c r="J169" s="109"/>
      <c r="K169" s="109"/>
      <c r="L169" s="109"/>
      <c r="M169" s="109"/>
      <c r="N169" s="17"/>
      <c r="O169" s="109"/>
      <c r="P169" s="17"/>
      <c r="Q169" s="114"/>
    </row>
    <row r="170">
      <c r="A170" s="65" t="s">
        <v>2484</v>
      </c>
      <c r="B170" s="65" t="s">
        <v>2484</v>
      </c>
      <c r="C170" s="17" t="s">
        <v>2962</v>
      </c>
      <c r="D170" s="109"/>
      <c r="E170" s="114"/>
      <c r="F170" s="109"/>
      <c r="G170" s="109"/>
      <c r="H170" s="109"/>
      <c r="I170" s="109"/>
      <c r="J170" s="109"/>
      <c r="K170" s="109"/>
      <c r="L170" s="109"/>
      <c r="M170" s="109"/>
      <c r="N170" s="109"/>
      <c r="O170" s="109"/>
      <c r="P170" s="109"/>
      <c r="Q170" s="114"/>
    </row>
    <row r="171">
      <c r="A171" s="65" t="s">
        <v>1283</v>
      </c>
      <c r="B171" s="65" t="s">
        <v>1283</v>
      </c>
      <c r="C171" s="115"/>
      <c r="D171" s="109"/>
      <c r="E171" s="114"/>
      <c r="F171" s="109"/>
      <c r="G171" s="109"/>
      <c r="H171" s="109"/>
      <c r="I171" s="109"/>
      <c r="J171" s="109"/>
      <c r="K171" s="109"/>
      <c r="L171" s="109"/>
      <c r="M171" s="109"/>
      <c r="N171" s="109"/>
      <c r="O171" s="109"/>
      <c r="P171" s="109"/>
      <c r="Q171" s="114"/>
    </row>
    <row r="172">
      <c r="A172" s="65" t="s">
        <v>2491</v>
      </c>
      <c r="B172" s="65" t="s">
        <v>2491</v>
      </c>
      <c r="C172" s="17" t="s">
        <v>2963</v>
      </c>
      <c r="D172" s="109"/>
      <c r="E172" s="114"/>
      <c r="F172" s="109"/>
      <c r="G172" s="109"/>
      <c r="H172" s="109"/>
      <c r="I172" s="109"/>
      <c r="J172" s="109"/>
      <c r="K172" s="17"/>
      <c r="L172" s="109"/>
      <c r="M172" s="109"/>
      <c r="N172" s="109"/>
      <c r="O172" s="109"/>
      <c r="P172" s="109"/>
      <c r="Q172" s="114"/>
    </row>
    <row r="173">
      <c r="A173" s="65" t="s">
        <v>448</v>
      </c>
      <c r="B173" s="65" t="s">
        <v>448</v>
      </c>
      <c r="C173" s="17" t="s">
        <v>462</v>
      </c>
      <c r="D173" s="109"/>
      <c r="E173" s="114"/>
      <c r="F173" s="109"/>
      <c r="G173" s="109"/>
      <c r="H173" s="109"/>
      <c r="I173" s="109"/>
      <c r="J173" s="109"/>
      <c r="K173" s="109"/>
      <c r="L173" s="109"/>
      <c r="M173" s="109"/>
      <c r="N173" s="17"/>
      <c r="O173" s="109"/>
      <c r="P173" s="109"/>
      <c r="Q173" s="114"/>
    </row>
    <row r="174">
      <c r="A174" s="65" t="s">
        <v>560</v>
      </c>
      <c r="B174" s="65" t="s">
        <v>560</v>
      </c>
      <c r="C174" s="17" t="s">
        <v>1430</v>
      </c>
      <c r="D174" s="109"/>
      <c r="E174" s="17"/>
      <c r="F174" s="17"/>
      <c r="G174" s="17"/>
      <c r="H174" s="17"/>
      <c r="I174" s="17"/>
      <c r="J174" s="17"/>
      <c r="K174" s="17"/>
      <c r="L174" s="17"/>
      <c r="M174" s="17"/>
      <c r="N174" s="17"/>
      <c r="O174" s="17"/>
      <c r="P174" s="17"/>
      <c r="Q174" s="17"/>
    </row>
    <row r="175">
      <c r="A175" s="65" t="s">
        <v>740</v>
      </c>
      <c r="B175" s="65" t="s">
        <v>740</v>
      </c>
      <c r="C175" s="17" t="s">
        <v>741</v>
      </c>
      <c r="D175" s="109"/>
      <c r="E175" s="114"/>
      <c r="F175" s="109"/>
      <c r="G175" s="109"/>
      <c r="H175" s="109"/>
      <c r="I175" s="109"/>
      <c r="J175" s="109"/>
      <c r="K175" s="109"/>
      <c r="L175" s="109"/>
      <c r="N175" s="17"/>
      <c r="O175" s="109"/>
      <c r="Q175" s="114"/>
    </row>
    <row r="176">
      <c r="A176" s="65" t="s">
        <v>1717</v>
      </c>
      <c r="B176" s="65" t="s">
        <v>1717</v>
      </c>
      <c r="C176" s="17" t="s">
        <v>1718</v>
      </c>
      <c r="D176" s="109"/>
      <c r="E176" s="114"/>
      <c r="F176" s="109"/>
      <c r="G176" s="109"/>
      <c r="H176" s="109"/>
      <c r="I176" s="109"/>
      <c r="J176" s="109"/>
      <c r="K176" s="109"/>
      <c r="L176" s="109"/>
      <c r="M176" s="109"/>
      <c r="N176" s="17"/>
      <c r="O176" s="109"/>
      <c r="P176" s="109"/>
      <c r="Q176" s="114"/>
    </row>
    <row r="177">
      <c r="A177" s="65" t="s">
        <v>1193</v>
      </c>
      <c r="B177" s="65" t="s">
        <v>1193</v>
      </c>
      <c r="C177" s="17" t="s">
        <v>1194</v>
      </c>
      <c r="D177" s="109"/>
      <c r="E177" s="114"/>
      <c r="F177" s="109"/>
      <c r="G177" s="109"/>
      <c r="H177" s="109"/>
      <c r="I177" s="109"/>
      <c r="J177" s="109"/>
      <c r="K177" s="109"/>
      <c r="L177" s="109"/>
      <c r="M177" s="109"/>
      <c r="N177" s="109"/>
      <c r="O177" s="109"/>
      <c r="P177" s="109"/>
      <c r="Q177" s="114"/>
    </row>
    <row r="178">
      <c r="A178" s="65" t="s">
        <v>41</v>
      </c>
      <c r="B178" s="65" t="s">
        <v>41</v>
      </c>
      <c r="C178" s="17" t="s">
        <v>45</v>
      </c>
      <c r="D178" s="109"/>
      <c r="E178" s="114"/>
      <c r="F178" s="109"/>
      <c r="G178" s="109"/>
      <c r="H178" s="109"/>
      <c r="I178" s="109"/>
      <c r="J178" s="109"/>
      <c r="K178" s="109"/>
      <c r="L178" s="109"/>
      <c r="M178" s="109"/>
      <c r="N178" s="109"/>
      <c r="O178" s="109"/>
      <c r="P178" s="109"/>
      <c r="Q178" s="114"/>
    </row>
    <row r="179">
      <c r="A179" s="65" t="s">
        <v>370</v>
      </c>
      <c r="B179" s="65" t="s">
        <v>370</v>
      </c>
      <c r="C179" s="17" t="s">
        <v>371</v>
      </c>
      <c r="D179" s="109"/>
      <c r="E179" s="114"/>
      <c r="F179" s="109"/>
      <c r="G179" s="109"/>
      <c r="H179" s="109"/>
      <c r="I179" s="109"/>
      <c r="J179" s="109"/>
      <c r="K179" s="109"/>
      <c r="M179" s="17"/>
      <c r="N179" s="17"/>
      <c r="O179" s="109"/>
      <c r="Q179" s="114"/>
    </row>
    <row r="180">
      <c r="A180" s="65" t="s">
        <v>95</v>
      </c>
      <c r="B180" s="65" t="s">
        <v>95</v>
      </c>
      <c r="C180" s="17" t="s">
        <v>96</v>
      </c>
      <c r="D180" s="109"/>
      <c r="E180" s="114"/>
      <c r="F180" s="109"/>
      <c r="G180" s="109"/>
      <c r="H180" s="109"/>
      <c r="I180" s="109"/>
      <c r="J180" s="109"/>
      <c r="K180" s="109"/>
      <c r="L180" s="109"/>
      <c r="M180" s="109"/>
      <c r="N180" s="109"/>
      <c r="O180" s="109"/>
      <c r="Q180" s="114"/>
    </row>
    <row r="181">
      <c r="A181" s="65" t="s">
        <v>99</v>
      </c>
      <c r="B181" s="65" t="s">
        <v>99</v>
      </c>
      <c r="C181" s="17" t="s">
        <v>508</v>
      </c>
      <c r="D181" s="109"/>
      <c r="E181" s="114"/>
      <c r="F181" s="109"/>
      <c r="G181" s="109"/>
      <c r="H181" s="109"/>
      <c r="I181" s="109"/>
      <c r="J181" s="109"/>
      <c r="K181" s="109"/>
      <c r="L181" s="109"/>
      <c r="M181" s="109"/>
      <c r="N181" s="109"/>
      <c r="O181" s="109"/>
      <c r="P181" s="109"/>
      <c r="Q181" s="114"/>
    </row>
    <row r="182">
      <c r="A182" s="65" t="s">
        <v>1846</v>
      </c>
      <c r="B182" s="65" t="s">
        <v>1846</v>
      </c>
      <c r="C182" s="17" t="s">
        <v>182</v>
      </c>
      <c r="D182" s="109"/>
      <c r="E182" s="114"/>
      <c r="F182" s="109"/>
      <c r="G182" s="109"/>
      <c r="H182" s="109"/>
      <c r="I182" s="109"/>
      <c r="J182" s="109"/>
      <c r="K182" s="109"/>
      <c r="L182" s="109"/>
      <c r="M182" s="109"/>
      <c r="N182" s="17"/>
      <c r="O182" s="109"/>
      <c r="P182" s="109"/>
      <c r="Q182" s="114"/>
    </row>
    <row r="183">
      <c r="A183" s="65" t="s">
        <v>792</v>
      </c>
      <c r="B183" s="65" t="s">
        <v>792</v>
      </c>
      <c r="C183" s="17" t="s">
        <v>1014</v>
      </c>
      <c r="D183" s="109"/>
      <c r="E183" s="17"/>
      <c r="F183" s="109"/>
      <c r="G183" s="109"/>
      <c r="H183" s="109"/>
      <c r="I183" s="109"/>
      <c r="J183" s="109"/>
      <c r="K183" s="109"/>
      <c r="L183" s="17"/>
      <c r="M183" s="17"/>
      <c r="N183" s="17"/>
      <c r="O183" s="109"/>
      <c r="P183" s="17"/>
      <c r="Q183" s="17"/>
    </row>
    <row r="184">
      <c r="A184" s="65" t="s">
        <v>1492</v>
      </c>
      <c r="B184" s="65" t="s">
        <v>1492</v>
      </c>
      <c r="C184" s="17" t="s">
        <v>1493</v>
      </c>
      <c r="D184" s="109"/>
      <c r="E184" s="114"/>
      <c r="F184" s="109"/>
      <c r="G184" s="109"/>
      <c r="H184" s="109"/>
      <c r="I184" s="109"/>
      <c r="J184" s="109"/>
      <c r="K184" s="109"/>
      <c r="L184" s="109"/>
      <c r="M184" s="109"/>
      <c r="N184" s="109"/>
      <c r="O184" s="109"/>
      <c r="P184" s="109"/>
      <c r="Q184" s="114"/>
    </row>
    <row r="185">
      <c r="A185" s="65" t="s">
        <v>213</v>
      </c>
      <c r="B185" s="65" t="s">
        <v>213</v>
      </c>
      <c r="C185" s="17" t="s">
        <v>214</v>
      </c>
      <c r="D185" s="109"/>
      <c r="E185" s="114"/>
      <c r="F185" s="109"/>
      <c r="G185" s="109"/>
      <c r="H185" s="109"/>
      <c r="I185" s="109"/>
      <c r="J185" s="109"/>
      <c r="K185" s="109"/>
      <c r="L185" s="109"/>
      <c r="M185" s="109"/>
      <c r="N185" s="109"/>
      <c r="O185" s="109"/>
      <c r="P185" s="109"/>
      <c r="Q185" s="114"/>
    </row>
    <row r="186">
      <c r="A186" s="65" t="s">
        <v>101</v>
      </c>
      <c r="B186" s="65" t="s">
        <v>101</v>
      </c>
      <c r="C186" s="17" t="s">
        <v>102</v>
      </c>
      <c r="D186" s="109"/>
      <c r="E186" s="114"/>
      <c r="F186" s="109"/>
      <c r="G186" s="109"/>
      <c r="H186" s="109"/>
      <c r="I186" s="109"/>
      <c r="J186" s="109"/>
      <c r="K186" s="109"/>
      <c r="L186" s="109"/>
      <c r="M186" s="109"/>
      <c r="N186" s="109"/>
      <c r="O186" s="109"/>
      <c r="P186" s="109"/>
      <c r="Q186" s="114"/>
    </row>
    <row r="187">
      <c r="A187" s="65" t="s">
        <v>375</v>
      </c>
      <c r="B187" s="65" t="s">
        <v>375</v>
      </c>
      <c r="C187" s="17"/>
      <c r="D187" s="109"/>
      <c r="E187" s="114"/>
      <c r="F187" s="109"/>
      <c r="G187" s="109"/>
      <c r="H187" s="109"/>
      <c r="I187" s="109"/>
      <c r="J187" s="109"/>
      <c r="K187" s="109"/>
      <c r="L187" s="109"/>
      <c r="M187" s="109"/>
      <c r="N187" s="109"/>
      <c r="O187" s="109"/>
      <c r="P187" s="109"/>
      <c r="Q187" s="114"/>
    </row>
    <row r="188">
      <c r="A188" s="65" t="s">
        <v>158</v>
      </c>
      <c r="B188" s="65" t="s">
        <v>158</v>
      </c>
      <c r="C188" s="17" t="s">
        <v>159</v>
      </c>
      <c r="D188" s="109"/>
      <c r="E188" s="114"/>
      <c r="F188" s="109"/>
      <c r="G188" s="109"/>
      <c r="H188" s="109"/>
      <c r="I188" s="109"/>
      <c r="J188" s="109"/>
      <c r="K188" s="109"/>
      <c r="L188" s="109"/>
      <c r="M188" s="109"/>
      <c r="N188" s="17"/>
      <c r="O188" s="109"/>
      <c r="P188" s="109"/>
      <c r="Q188" s="114"/>
    </row>
    <row r="189">
      <c r="A189" s="65" t="s">
        <v>1489</v>
      </c>
      <c r="B189" s="65" t="s">
        <v>1489</v>
      </c>
      <c r="C189" s="17" t="s">
        <v>1308</v>
      </c>
      <c r="D189" s="109"/>
      <c r="E189" s="114"/>
      <c r="F189" s="109"/>
      <c r="G189" s="109"/>
      <c r="H189" s="109"/>
      <c r="I189" s="109"/>
      <c r="J189" s="109"/>
      <c r="K189" s="109"/>
      <c r="L189" s="109"/>
      <c r="M189" s="109"/>
      <c r="N189" s="109"/>
      <c r="O189" s="109"/>
      <c r="P189" s="109"/>
      <c r="Q189" s="114"/>
    </row>
    <row r="190">
      <c r="A190" s="65" t="s">
        <v>1849</v>
      </c>
      <c r="B190" s="65" t="s">
        <v>1849</v>
      </c>
      <c r="C190" s="17" t="s">
        <v>1504</v>
      </c>
      <c r="D190" s="109"/>
      <c r="E190" s="114"/>
      <c r="F190" s="109"/>
      <c r="G190" s="109"/>
      <c r="H190" s="109"/>
      <c r="I190" s="109"/>
      <c r="J190" s="109"/>
      <c r="K190" s="109"/>
      <c r="L190" s="109"/>
      <c r="M190" s="109"/>
      <c r="N190" s="17"/>
      <c r="O190" s="109"/>
      <c r="P190" s="17"/>
      <c r="Q190" s="114"/>
    </row>
    <row r="191">
      <c r="A191" s="65" t="s">
        <v>453</v>
      </c>
      <c r="B191" s="65" t="s">
        <v>453</v>
      </c>
      <c r="C191" s="17" t="s">
        <v>216</v>
      </c>
      <c r="D191" s="109"/>
      <c r="E191" s="114"/>
      <c r="F191" s="109"/>
      <c r="G191" s="109"/>
      <c r="H191" s="109"/>
      <c r="I191" s="109"/>
      <c r="J191" s="109"/>
      <c r="K191" s="109"/>
      <c r="L191" s="109"/>
      <c r="M191" s="109"/>
      <c r="N191" s="109"/>
      <c r="O191" s="109"/>
      <c r="P191" s="109"/>
      <c r="Q191" s="114"/>
    </row>
    <row r="192">
      <c r="A192" s="65" t="s">
        <v>535</v>
      </c>
      <c r="B192" s="65" t="s">
        <v>535</v>
      </c>
      <c r="C192" s="17" t="s">
        <v>395</v>
      </c>
      <c r="D192" s="109"/>
      <c r="E192" s="114"/>
      <c r="F192" s="109"/>
      <c r="G192" s="109"/>
      <c r="H192" s="109"/>
      <c r="I192" s="109"/>
      <c r="J192" s="109"/>
      <c r="K192" s="109"/>
      <c r="L192" s="17"/>
      <c r="M192" s="17"/>
      <c r="N192" s="17"/>
      <c r="O192" s="109"/>
      <c r="P192" s="17"/>
      <c r="Q192" s="114"/>
    </row>
    <row r="193">
      <c r="A193" s="65" t="s">
        <v>977</v>
      </c>
      <c r="B193" s="65" t="s">
        <v>977</v>
      </c>
      <c r="C193" s="17" t="s">
        <v>978</v>
      </c>
      <c r="D193" s="109"/>
      <c r="E193" s="114"/>
      <c r="F193" s="109"/>
      <c r="G193" s="109"/>
      <c r="H193" s="109"/>
      <c r="I193" s="109"/>
      <c r="J193" s="109"/>
      <c r="K193" s="109"/>
      <c r="L193" s="109"/>
      <c r="M193" s="109"/>
      <c r="N193" s="109"/>
      <c r="O193" s="109"/>
      <c r="P193" s="109"/>
      <c r="Q193" s="114"/>
    </row>
    <row r="194">
      <c r="A194" s="65" t="s">
        <v>1396</v>
      </c>
      <c r="B194" s="65" t="s">
        <v>2964</v>
      </c>
      <c r="C194" s="17" t="s">
        <v>2965</v>
      </c>
      <c r="D194" s="109"/>
      <c r="E194" s="114"/>
      <c r="F194" s="109"/>
      <c r="G194" s="109"/>
      <c r="H194" s="109"/>
      <c r="I194" s="109"/>
      <c r="J194" s="109"/>
      <c r="K194" s="109"/>
      <c r="L194" s="109"/>
      <c r="M194" s="109"/>
      <c r="N194" s="109"/>
      <c r="O194" s="109"/>
      <c r="P194" s="109"/>
      <c r="Q194" s="114"/>
    </row>
    <row r="195">
      <c r="A195" s="65" t="s">
        <v>886</v>
      </c>
      <c r="B195" s="65" t="s">
        <v>886</v>
      </c>
      <c r="C195" s="17" t="s">
        <v>887</v>
      </c>
      <c r="D195" s="109"/>
      <c r="E195" s="114"/>
      <c r="F195" s="109"/>
      <c r="G195" s="109"/>
      <c r="H195" s="109"/>
      <c r="I195" s="109"/>
      <c r="J195" s="109"/>
      <c r="K195" s="109"/>
      <c r="L195" s="109"/>
      <c r="M195" s="109"/>
      <c r="N195" s="109"/>
      <c r="O195" s="109"/>
      <c r="P195" s="109"/>
      <c r="Q195" s="114"/>
    </row>
    <row r="196">
      <c r="A196" s="65" t="s">
        <v>1731</v>
      </c>
      <c r="B196" s="65" t="s">
        <v>1731</v>
      </c>
      <c r="C196" s="17" t="s">
        <v>621</v>
      </c>
      <c r="D196" s="109"/>
      <c r="E196" s="114"/>
      <c r="F196" s="109"/>
      <c r="G196" s="109"/>
      <c r="H196" s="109"/>
      <c r="I196" s="109"/>
      <c r="J196" s="109"/>
      <c r="K196" s="109"/>
      <c r="L196" s="109"/>
      <c r="M196" s="109"/>
      <c r="N196" s="109"/>
      <c r="O196" s="109"/>
      <c r="P196" s="109"/>
      <c r="Q196" s="114"/>
    </row>
    <row r="197">
      <c r="A197" s="65" t="s">
        <v>503</v>
      </c>
      <c r="B197" s="65" t="s">
        <v>503</v>
      </c>
      <c r="C197" s="17" t="s">
        <v>2966</v>
      </c>
      <c r="D197" s="109"/>
      <c r="E197" s="114"/>
      <c r="F197" s="109"/>
      <c r="G197" s="109"/>
      <c r="H197" s="109"/>
      <c r="I197" s="109"/>
      <c r="J197" s="109"/>
      <c r="K197" s="109"/>
      <c r="L197" s="109"/>
      <c r="M197" s="109"/>
      <c r="N197" s="109"/>
      <c r="O197" s="109"/>
      <c r="P197" s="109"/>
      <c r="Q197" s="114"/>
    </row>
    <row r="198">
      <c r="A198" s="65" t="s">
        <v>390</v>
      </c>
      <c r="B198" s="65" t="s">
        <v>390</v>
      </c>
      <c r="C198" s="17" t="s">
        <v>2967</v>
      </c>
      <c r="D198" s="109"/>
      <c r="E198" s="114"/>
      <c r="F198" s="109"/>
      <c r="G198" s="109"/>
      <c r="H198" s="109"/>
      <c r="I198" s="109"/>
      <c r="J198" s="109"/>
      <c r="K198" s="109"/>
      <c r="L198" s="109"/>
      <c r="M198" s="109"/>
      <c r="N198" s="17"/>
      <c r="O198" s="109"/>
      <c r="P198" s="109"/>
      <c r="Q198" s="114"/>
    </row>
    <row r="199">
      <c r="A199" s="65" t="s">
        <v>171</v>
      </c>
      <c r="B199" s="65" t="s">
        <v>171</v>
      </c>
      <c r="C199" s="17" t="s">
        <v>172</v>
      </c>
      <c r="D199" s="109"/>
      <c r="E199" s="114"/>
      <c r="F199" s="109"/>
      <c r="G199" s="109"/>
      <c r="H199" s="109"/>
      <c r="I199" s="109"/>
      <c r="J199" s="109"/>
      <c r="K199" s="109"/>
      <c r="L199" s="109"/>
      <c r="M199" s="109"/>
      <c r="N199" s="17"/>
      <c r="O199" s="109"/>
      <c r="P199" s="109"/>
      <c r="Q199" s="114"/>
    </row>
    <row r="200">
      <c r="A200" s="65" t="s">
        <v>652</v>
      </c>
      <c r="B200" s="65" t="s">
        <v>652</v>
      </c>
      <c r="C200" s="17" t="s">
        <v>2968</v>
      </c>
      <c r="D200" s="109"/>
      <c r="E200" s="114"/>
      <c r="F200" s="109"/>
      <c r="G200" s="109"/>
      <c r="H200" s="109"/>
      <c r="I200" s="109"/>
      <c r="J200" s="109"/>
      <c r="K200" s="109"/>
      <c r="L200" s="109"/>
      <c r="M200" s="109"/>
      <c r="N200" s="17"/>
      <c r="O200" s="109"/>
      <c r="P200" s="17"/>
      <c r="Q200" s="114"/>
    </row>
    <row r="201">
      <c r="A201" s="65" t="s">
        <v>491</v>
      </c>
      <c r="B201" s="65" t="s">
        <v>491</v>
      </c>
      <c r="C201" s="17" t="s">
        <v>1425</v>
      </c>
      <c r="D201" s="109"/>
      <c r="E201" s="114"/>
      <c r="F201" s="109"/>
      <c r="G201" s="109"/>
      <c r="H201" s="109"/>
      <c r="I201" s="109"/>
      <c r="J201" s="109"/>
      <c r="K201" s="109"/>
      <c r="L201" s="109"/>
      <c r="M201" s="109"/>
      <c r="N201" s="109"/>
      <c r="O201" s="109"/>
      <c r="P201" s="109"/>
      <c r="Q201" s="114"/>
    </row>
    <row r="202">
      <c r="A202" s="65" t="s">
        <v>646</v>
      </c>
      <c r="B202" s="65" t="s">
        <v>646</v>
      </c>
      <c r="C202" s="17" t="s">
        <v>647</v>
      </c>
      <c r="D202" s="109"/>
      <c r="E202" s="114"/>
      <c r="F202" s="109"/>
      <c r="G202" s="109"/>
      <c r="H202" s="109"/>
      <c r="I202" s="109"/>
      <c r="J202" s="109"/>
      <c r="K202" s="109"/>
      <c r="L202" s="109"/>
      <c r="M202" s="109"/>
      <c r="N202" s="109"/>
      <c r="O202" s="109"/>
      <c r="P202" s="109"/>
      <c r="Q202" s="114"/>
    </row>
    <row r="203">
      <c r="A203" s="65" t="s">
        <v>253</v>
      </c>
      <c r="B203" s="65" t="s">
        <v>253</v>
      </c>
      <c r="C203" s="17" t="s">
        <v>254</v>
      </c>
      <c r="D203" s="109"/>
      <c r="E203" s="114"/>
      <c r="F203" s="109"/>
      <c r="G203" s="109"/>
      <c r="H203" s="109"/>
      <c r="I203" s="109"/>
      <c r="J203" s="109"/>
      <c r="K203" s="109"/>
      <c r="L203" s="109"/>
      <c r="M203" s="109"/>
      <c r="N203" s="109"/>
      <c r="O203" s="109"/>
      <c r="P203" s="109"/>
      <c r="Q203" s="114"/>
    </row>
    <row r="204">
      <c r="A204" s="65" t="s">
        <v>1419</v>
      </c>
      <c r="B204" s="65" t="s">
        <v>1419</v>
      </c>
      <c r="C204" s="17" t="s">
        <v>1420</v>
      </c>
      <c r="D204" s="109"/>
      <c r="E204" s="114"/>
      <c r="F204" s="109"/>
      <c r="G204" s="109"/>
      <c r="H204" s="109"/>
      <c r="I204" s="109"/>
      <c r="J204" s="109"/>
      <c r="K204" s="109"/>
      <c r="L204" s="109"/>
      <c r="M204" s="109"/>
      <c r="N204" s="17"/>
      <c r="O204" s="109"/>
      <c r="P204" s="109"/>
      <c r="Q204" s="114"/>
    </row>
    <row r="205">
      <c r="A205" s="65" t="s">
        <v>148</v>
      </c>
      <c r="B205" s="65" t="s">
        <v>148</v>
      </c>
      <c r="C205" s="17" t="s">
        <v>149</v>
      </c>
      <c r="D205" s="109"/>
      <c r="E205" s="114"/>
      <c r="F205" s="109"/>
      <c r="G205" s="109"/>
      <c r="H205" s="109"/>
      <c r="I205" s="109"/>
      <c r="J205" s="109"/>
      <c r="K205" s="109"/>
      <c r="L205" s="109"/>
      <c r="M205" s="109"/>
      <c r="N205" s="109"/>
      <c r="O205" s="109"/>
      <c r="Q205" s="114"/>
    </row>
    <row r="206">
      <c r="A206" s="65" t="s">
        <v>1280</v>
      </c>
      <c r="B206" s="65" t="s">
        <v>1280</v>
      </c>
      <c r="C206" s="17" t="s">
        <v>1156</v>
      </c>
      <c r="D206" s="109"/>
      <c r="E206" s="114"/>
      <c r="F206" s="109"/>
      <c r="G206" s="109"/>
      <c r="H206" s="109"/>
      <c r="I206" s="109"/>
      <c r="J206" s="109"/>
      <c r="K206" s="109"/>
      <c r="L206" s="109"/>
      <c r="M206" s="109"/>
      <c r="N206" s="109"/>
      <c r="O206" s="109"/>
      <c r="P206" s="109"/>
      <c r="Q206" s="114"/>
    </row>
    <row r="207">
      <c r="A207" s="65" t="s">
        <v>225</v>
      </c>
      <c r="B207" s="65" t="s">
        <v>225</v>
      </c>
      <c r="C207" s="17" t="s">
        <v>226</v>
      </c>
      <c r="D207" s="109"/>
      <c r="E207" s="114"/>
      <c r="F207" s="109"/>
      <c r="G207" s="109"/>
      <c r="H207" s="109"/>
      <c r="I207" s="109"/>
      <c r="J207" s="109"/>
      <c r="K207" s="109"/>
      <c r="L207" s="109"/>
      <c r="M207" s="109"/>
      <c r="N207" s="109"/>
      <c r="O207" s="109"/>
      <c r="P207" s="109"/>
      <c r="Q207" s="114"/>
    </row>
    <row r="208">
      <c r="A208" s="65" t="s">
        <v>1217</v>
      </c>
      <c r="B208" s="65" t="s">
        <v>1217</v>
      </c>
      <c r="C208" s="17" t="s">
        <v>1701</v>
      </c>
      <c r="D208" s="109"/>
      <c r="E208" s="114"/>
      <c r="F208" s="109"/>
      <c r="G208" s="109"/>
      <c r="H208" s="109"/>
      <c r="I208" s="109"/>
      <c r="J208" s="109"/>
      <c r="K208" s="109"/>
      <c r="L208" s="109"/>
      <c r="M208" s="109"/>
      <c r="N208" s="109"/>
      <c r="O208" s="109"/>
      <c r="P208" s="109"/>
      <c r="Q208" s="114"/>
    </row>
    <row r="209">
      <c r="A209" s="65" t="s">
        <v>191</v>
      </c>
      <c r="B209" s="65" t="s">
        <v>191</v>
      </c>
      <c r="C209" s="17" t="s">
        <v>2969</v>
      </c>
      <c r="D209" s="109"/>
      <c r="E209" s="114"/>
      <c r="F209" s="109"/>
      <c r="G209" s="109"/>
      <c r="H209" s="109"/>
      <c r="I209" s="109"/>
      <c r="J209" s="109"/>
      <c r="K209" s="109"/>
      <c r="L209" s="109"/>
      <c r="M209" s="109"/>
      <c r="N209" s="109"/>
      <c r="O209" s="109"/>
      <c r="P209" s="109"/>
      <c r="Q209" s="114"/>
    </row>
    <row r="210">
      <c r="A210" s="65" t="s">
        <v>80</v>
      </c>
      <c r="B210" s="65" t="s">
        <v>80</v>
      </c>
      <c r="C210" s="17" t="s">
        <v>81</v>
      </c>
      <c r="D210" s="109"/>
      <c r="E210" s="114"/>
      <c r="F210" s="109"/>
      <c r="G210" s="109"/>
      <c r="H210" s="109"/>
      <c r="I210" s="109"/>
      <c r="J210" s="109"/>
      <c r="K210" s="109"/>
      <c r="L210" s="109"/>
      <c r="M210" s="109"/>
      <c r="N210" s="109"/>
      <c r="O210" s="109"/>
      <c r="P210" s="109"/>
      <c r="Q210" s="114"/>
    </row>
    <row r="211">
      <c r="A211" s="65" t="s">
        <v>1204</v>
      </c>
      <c r="B211" s="65" t="s">
        <v>1204</v>
      </c>
      <c r="C211" s="17" t="s">
        <v>1558</v>
      </c>
      <c r="D211" s="109"/>
      <c r="E211" s="114"/>
      <c r="F211" s="109"/>
      <c r="G211" s="109"/>
      <c r="H211" s="109"/>
      <c r="I211" s="109"/>
      <c r="J211" s="109"/>
      <c r="K211" s="109"/>
      <c r="L211" s="109"/>
      <c r="M211" s="109"/>
      <c r="N211" s="109"/>
      <c r="O211" s="109"/>
      <c r="P211" s="109"/>
      <c r="Q211" s="114"/>
    </row>
    <row r="212">
      <c r="A212" s="65" t="s">
        <v>956</v>
      </c>
      <c r="B212" s="65" t="s">
        <v>956</v>
      </c>
      <c r="C212" s="17" t="s">
        <v>957</v>
      </c>
      <c r="D212" s="109"/>
      <c r="E212" s="114"/>
      <c r="F212" s="109"/>
      <c r="G212" s="109"/>
      <c r="H212" s="109"/>
      <c r="I212" s="109"/>
      <c r="J212" s="109"/>
      <c r="K212" s="109"/>
      <c r="L212" s="109"/>
      <c r="M212" s="109"/>
      <c r="N212" s="109"/>
      <c r="O212" s="109"/>
      <c r="P212" s="109"/>
      <c r="Q212" s="114"/>
    </row>
    <row r="213">
      <c r="A213" s="65" t="s">
        <v>1402</v>
      </c>
      <c r="B213" s="65" t="s">
        <v>1402</v>
      </c>
      <c r="C213" s="17" t="s">
        <v>1403</v>
      </c>
      <c r="D213" s="109"/>
      <c r="E213" s="114"/>
      <c r="F213" s="109"/>
      <c r="G213" s="109"/>
      <c r="H213" s="109"/>
      <c r="I213" s="109"/>
      <c r="J213" s="109"/>
      <c r="K213" s="109"/>
      <c r="L213" s="109"/>
      <c r="M213" s="109"/>
      <c r="N213" s="109"/>
      <c r="O213" s="109"/>
      <c r="P213" s="109"/>
      <c r="Q213" s="114"/>
    </row>
    <row r="214">
      <c r="A214" s="65" t="s">
        <v>581</v>
      </c>
      <c r="B214" s="65" t="s">
        <v>581</v>
      </c>
      <c r="C214" s="17" t="s">
        <v>1037</v>
      </c>
      <c r="D214" s="109"/>
      <c r="E214" s="114"/>
      <c r="F214" s="109"/>
      <c r="G214" s="109"/>
      <c r="H214" s="109"/>
      <c r="I214" s="109"/>
      <c r="J214" s="109"/>
      <c r="K214" s="109"/>
      <c r="L214" s="109"/>
      <c r="M214" s="109"/>
      <c r="N214" s="109"/>
      <c r="O214" s="109"/>
      <c r="P214" s="109"/>
      <c r="Q214" s="114"/>
    </row>
    <row r="215">
      <c r="A215" s="65" t="s">
        <v>288</v>
      </c>
      <c r="B215" s="65" t="s">
        <v>288</v>
      </c>
      <c r="C215" s="17" t="s">
        <v>289</v>
      </c>
      <c r="D215" s="109"/>
      <c r="E215" s="114"/>
      <c r="F215" s="109"/>
      <c r="G215" s="109"/>
      <c r="H215" s="109"/>
      <c r="I215" s="109"/>
      <c r="J215" s="109"/>
      <c r="K215" s="109"/>
      <c r="L215" s="109"/>
      <c r="M215" s="109"/>
      <c r="N215" s="109"/>
      <c r="O215" s="109"/>
      <c r="P215" s="109"/>
      <c r="Q215" s="114"/>
    </row>
    <row r="216">
      <c r="A216" s="65" t="s">
        <v>1562</v>
      </c>
      <c r="B216" s="65" t="s">
        <v>1562</v>
      </c>
      <c r="C216" s="17" t="s">
        <v>1563</v>
      </c>
      <c r="D216" s="109"/>
      <c r="E216" s="114"/>
      <c r="F216" s="109"/>
      <c r="G216" s="109"/>
      <c r="H216" s="109"/>
      <c r="I216" s="109"/>
      <c r="J216" s="109"/>
      <c r="K216" s="109"/>
      <c r="L216" s="109"/>
      <c r="M216" s="109"/>
      <c r="N216" s="17"/>
      <c r="O216" s="109"/>
      <c r="P216" s="109"/>
      <c r="Q216" s="114"/>
    </row>
    <row r="217">
      <c r="A217" s="65" t="s">
        <v>91</v>
      </c>
      <c r="B217" s="65" t="s">
        <v>91</v>
      </c>
      <c r="C217" s="17" t="s">
        <v>92</v>
      </c>
      <c r="D217" s="109"/>
      <c r="E217" s="114"/>
      <c r="F217" s="109"/>
      <c r="G217" s="109"/>
      <c r="H217" s="109"/>
      <c r="I217" s="109"/>
      <c r="J217" s="109"/>
      <c r="K217" s="109"/>
      <c r="L217" s="109"/>
      <c r="M217" s="109"/>
      <c r="N217" s="109"/>
      <c r="O217" s="109"/>
      <c r="P217" s="109"/>
      <c r="Q217" s="114"/>
    </row>
    <row r="218">
      <c r="A218" s="65" t="s">
        <v>579</v>
      </c>
      <c r="B218" s="65" t="s">
        <v>579</v>
      </c>
      <c r="C218" s="17"/>
      <c r="D218" s="109"/>
      <c r="E218" s="114"/>
      <c r="F218" s="109"/>
      <c r="G218" s="109"/>
      <c r="H218" s="109"/>
      <c r="I218" s="109"/>
      <c r="J218" s="109"/>
      <c r="K218" s="109"/>
      <c r="L218" s="109"/>
      <c r="M218" s="109"/>
      <c r="N218" s="109"/>
      <c r="O218" s="109"/>
      <c r="P218" s="109"/>
      <c r="Q218" s="114"/>
    </row>
    <row r="219">
      <c r="A219" s="65" t="s">
        <v>65</v>
      </c>
      <c r="B219" s="65" t="s">
        <v>2970</v>
      </c>
      <c r="C219" s="17" t="s">
        <v>66</v>
      </c>
      <c r="D219" s="109"/>
      <c r="E219" s="114"/>
      <c r="F219" s="109"/>
      <c r="G219" s="109"/>
      <c r="H219" s="109"/>
      <c r="I219" s="109"/>
      <c r="J219" s="109"/>
      <c r="K219" s="109"/>
      <c r="L219" s="109"/>
      <c r="M219" s="109"/>
      <c r="N219" s="109"/>
      <c r="O219" s="109"/>
      <c r="P219" s="109"/>
      <c r="Q219" s="114"/>
    </row>
    <row r="220">
      <c r="A220" s="65" t="s">
        <v>838</v>
      </c>
      <c r="B220" s="65" t="s">
        <v>838</v>
      </c>
      <c r="C220" s="17" t="s">
        <v>839</v>
      </c>
      <c r="D220" s="109"/>
      <c r="E220" s="114"/>
      <c r="F220" s="109"/>
      <c r="G220" s="109"/>
      <c r="H220" s="109"/>
      <c r="I220" s="109"/>
      <c r="J220" s="109"/>
      <c r="K220" s="109"/>
      <c r="L220" s="109"/>
      <c r="M220" s="109"/>
      <c r="N220" s="109"/>
      <c r="O220" s="109"/>
      <c r="P220" s="109"/>
      <c r="Q220" s="114"/>
    </row>
    <row r="221">
      <c r="A221" s="65" t="s">
        <v>378</v>
      </c>
      <c r="B221" s="65" t="s">
        <v>378</v>
      </c>
      <c r="C221" s="17" t="s">
        <v>205</v>
      </c>
      <c r="D221" s="109"/>
      <c r="E221" s="114"/>
      <c r="F221" s="109"/>
      <c r="G221" s="109"/>
      <c r="H221" s="109"/>
      <c r="I221" s="109"/>
      <c r="J221" s="109"/>
      <c r="K221" s="109"/>
      <c r="L221" s="109"/>
      <c r="M221" s="109"/>
      <c r="N221" s="109"/>
      <c r="O221" s="109"/>
      <c r="P221" s="109"/>
      <c r="Q221" s="114"/>
    </row>
    <row r="222">
      <c r="A222" s="65" t="s">
        <v>143</v>
      </c>
      <c r="B222" s="65" t="s">
        <v>143</v>
      </c>
      <c r="C222" s="17" t="s">
        <v>63</v>
      </c>
      <c r="D222" s="109"/>
      <c r="E222" s="114"/>
      <c r="F222" s="109"/>
      <c r="G222" s="109"/>
      <c r="H222" s="109"/>
      <c r="I222" s="109"/>
      <c r="J222" s="109"/>
      <c r="K222" s="109"/>
      <c r="L222" s="109"/>
      <c r="M222" s="109"/>
      <c r="N222" s="109"/>
      <c r="O222" s="109"/>
      <c r="P222" s="109"/>
      <c r="Q222" s="114"/>
    </row>
    <row r="223">
      <c r="A223" s="65" t="s">
        <v>738</v>
      </c>
      <c r="B223" s="65" t="s">
        <v>738</v>
      </c>
      <c r="C223" s="17"/>
      <c r="D223" s="109"/>
      <c r="E223" s="114"/>
      <c r="F223" s="109"/>
      <c r="G223" s="109"/>
      <c r="H223" s="109"/>
      <c r="I223" s="109"/>
      <c r="J223" s="109"/>
      <c r="K223" s="109"/>
      <c r="L223" s="109"/>
      <c r="M223" s="109"/>
      <c r="N223" s="109"/>
      <c r="O223" s="109"/>
      <c r="P223" s="109"/>
      <c r="Q223" s="114"/>
    </row>
    <row r="224">
      <c r="A224" s="65" t="s">
        <v>2971</v>
      </c>
      <c r="B224" s="65" t="s">
        <v>2971</v>
      </c>
      <c r="C224" s="17" t="s">
        <v>2972</v>
      </c>
      <c r="D224" s="109"/>
      <c r="E224" s="114"/>
      <c r="F224" s="109"/>
      <c r="G224" s="109"/>
      <c r="H224" s="109"/>
      <c r="I224" s="109"/>
      <c r="J224" s="109"/>
      <c r="K224" s="109"/>
      <c r="L224" s="109"/>
      <c r="M224" s="109"/>
      <c r="N224" s="109"/>
      <c r="O224" s="109"/>
      <c r="P224" s="109"/>
      <c r="Q224" s="114"/>
    </row>
    <row r="225">
      <c r="A225" s="65" t="s">
        <v>966</v>
      </c>
      <c r="B225" s="65" t="s">
        <v>966</v>
      </c>
      <c r="C225" s="17" t="s">
        <v>967</v>
      </c>
      <c r="D225" s="109"/>
      <c r="E225" s="114"/>
      <c r="F225" s="109"/>
      <c r="G225" s="109"/>
      <c r="H225" s="109"/>
      <c r="I225" s="109"/>
      <c r="J225" s="109"/>
      <c r="K225" s="109"/>
      <c r="L225" s="109"/>
      <c r="M225" s="109"/>
      <c r="N225" s="17"/>
      <c r="O225" s="109"/>
      <c r="P225" s="109"/>
      <c r="Q225" s="114"/>
    </row>
    <row r="226">
      <c r="A226" s="65" t="s">
        <v>262</v>
      </c>
      <c r="B226" s="65" t="s">
        <v>262</v>
      </c>
      <c r="C226" s="17" t="s">
        <v>263</v>
      </c>
      <c r="D226" s="109"/>
      <c r="E226" s="114"/>
      <c r="F226" s="109"/>
      <c r="G226" s="109"/>
      <c r="H226" s="109"/>
      <c r="I226" s="109"/>
      <c r="J226" s="109"/>
      <c r="K226" s="109"/>
      <c r="L226" s="109"/>
      <c r="M226" s="109"/>
      <c r="N226" s="109"/>
      <c r="O226" s="109"/>
      <c r="P226" s="109"/>
      <c r="Q226" s="114"/>
    </row>
    <row r="227">
      <c r="A227" s="65" t="s">
        <v>1462</v>
      </c>
      <c r="B227" s="65" t="s">
        <v>1462</v>
      </c>
      <c r="C227" s="17" t="s">
        <v>1463</v>
      </c>
      <c r="D227" s="109"/>
      <c r="E227" s="114"/>
      <c r="F227" s="109"/>
      <c r="G227" s="109"/>
      <c r="H227" s="109"/>
      <c r="I227" s="109"/>
      <c r="J227" s="109"/>
      <c r="K227" s="109"/>
      <c r="L227" s="109"/>
      <c r="M227" s="109"/>
      <c r="N227" s="109"/>
      <c r="O227" s="109"/>
      <c r="P227" s="109"/>
      <c r="Q227" s="114"/>
    </row>
    <row r="228">
      <c r="A228" s="65" t="s">
        <v>195</v>
      </c>
      <c r="B228" s="65" t="s">
        <v>195</v>
      </c>
      <c r="C228" s="17" t="s">
        <v>196</v>
      </c>
      <c r="D228" s="109"/>
      <c r="E228" s="114"/>
      <c r="F228" s="109"/>
      <c r="G228" s="109"/>
      <c r="H228" s="109"/>
      <c r="I228" s="109"/>
      <c r="J228" s="109"/>
      <c r="K228" s="109"/>
      <c r="L228" s="109"/>
      <c r="M228" s="109"/>
      <c r="N228" s="109"/>
      <c r="O228" s="109"/>
      <c r="P228" s="109"/>
      <c r="Q228" s="114"/>
    </row>
    <row r="229">
      <c r="A229" s="65" t="s">
        <v>105</v>
      </c>
      <c r="B229" s="65" t="s">
        <v>105</v>
      </c>
      <c r="C229" s="17" t="s">
        <v>106</v>
      </c>
      <c r="D229" s="109"/>
      <c r="E229" s="114"/>
      <c r="F229" s="109"/>
      <c r="G229" s="109"/>
      <c r="H229" s="109"/>
      <c r="I229" s="109"/>
      <c r="J229" s="109"/>
      <c r="K229" s="109"/>
      <c r="L229" s="109"/>
      <c r="M229" s="109"/>
      <c r="N229" s="109"/>
      <c r="O229" s="109"/>
      <c r="P229" s="109"/>
      <c r="Q229" s="114"/>
    </row>
    <row r="230">
      <c r="A230" s="65" t="s">
        <v>381</v>
      </c>
      <c r="B230" s="65" t="s">
        <v>381</v>
      </c>
      <c r="C230" s="17" t="s">
        <v>382</v>
      </c>
      <c r="D230" s="109"/>
      <c r="E230" s="114"/>
      <c r="F230" s="109"/>
      <c r="G230" s="109"/>
      <c r="H230" s="109"/>
      <c r="I230" s="109"/>
      <c r="J230" s="109"/>
      <c r="K230" s="109"/>
      <c r="L230" s="109"/>
      <c r="M230" s="109"/>
      <c r="N230" s="109"/>
      <c r="O230" s="109"/>
      <c r="P230" s="109"/>
      <c r="Q230" s="114"/>
    </row>
    <row r="231">
      <c r="A231" s="65" t="s">
        <v>385</v>
      </c>
      <c r="B231" s="65" t="s">
        <v>385</v>
      </c>
      <c r="C231" s="17" t="s">
        <v>386</v>
      </c>
      <c r="D231" s="109"/>
      <c r="E231" s="114"/>
      <c r="F231" s="109"/>
      <c r="G231" s="109"/>
      <c r="H231" s="109"/>
      <c r="I231" s="109"/>
      <c r="J231" s="109"/>
      <c r="K231" s="109"/>
      <c r="L231" s="17"/>
      <c r="M231" s="17"/>
      <c r="N231" s="17"/>
      <c r="O231" s="109"/>
      <c r="P231" s="17"/>
      <c r="Q231" s="114"/>
    </row>
    <row r="232">
      <c r="A232" s="65" t="s">
        <v>1433</v>
      </c>
      <c r="B232" s="65" t="s">
        <v>1433</v>
      </c>
      <c r="C232" s="17" t="s">
        <v>1434</v>
      </c>
      <c r="D232" s="109"/>
      <c r="E232" s="114"/>
      <c r="F232" s="109"/>
      <c r="G232" s="109"/>
      <c r="H232" s="109"/>
      <c r="I232" s="109"/>
      <c r="J232" s="109"/>
      <c r="K232" s="109"/>
      <c r="L232" s="109"/>
      <c r="M232" s="109"/>
      <c r="O232" s="109"/>
      <c r="P232" s="109"/>
      <c r="Q232" s="114"/>
    </row>
    <row r="233">
      <c r="A233" s="65" t="s">
        <v>29</v>
      </c>
      <c r="B233" s="65" t="s">
        <v>29</v>
      </c>
      <c r="C233" s="17" t="s">
        <v>2973</v>
      </c>
      <c r="D233" s="109"/>
      <c r="E233" s="114"/>
      <c r="F233" s="109"/>
      <c r="G233" s="109"/>
      <c r="H233" s="109"/>
      <c r="I233" s="109"/>
      <c r="J233" s="109"/>
      <c r="K233" s="109"/>
      <c r="L233" s="109"/>
      <c r="M233" s="109"/>
      <c r="N233" s="109"/>
      <c r="O233" s="109"/>
      <c r="Q233" s="114"/>
    </row>
    <row r="234">
      <c r="A234" s="65" t="s">
        <v>215</v>
      </c>
      <c r="B234" s="65" t="s">
        <v>215</v>
      </c>
      <c r="C234" s="17" t="s">
        <v>216</v>
      </c>
      <c r="D234" s="109"/>
      <c r="E234" s="114"/>
      <c r="F234" s="109"/>
      <c r="G234" s="109"/>
      <c r="H234" s="109"/>
      <c r="I234" s="109"/>
      <c r="J234" s="109"/>
      <c r="K234" s="109"/>
      <c r="L234" s="109"/>
      <c r="M234" s="109"/>
      <c r="N234" s="109"/>
      <c r="O234" s="109"/>
      <c r="P234" s="109"/>
      <c r="Q234" s="114"/>
    </row>
    <row r="235">
      <c r="A235" s="65" t="s">
        <v>107</v>
      </c>
      <c r="B235" s="65" t="s">
        <v>107</v>
      </c>
      <c r="C235" s="17" t="s">
        <v>108</v>
      </c>
      <c r="D235" s="109"/>
      <c r="E235" s="114"/>
      <c r="F235" s="109"/>
      <c r="G235" s="109"/>
      <c r="H235" s="109"/>
      <c r="I235" s="109"/>
      <c r="J235" s="109"/>
      <c r="K235" s="109"/>
      <c r="L235" s="109"/>
      <c r="M235" s="109"/>
      <c r="N235" s="17"/>
      <c r="O235" s="109"/>
      <c r="P235" s="109"/>
      <c r="Q235" s="114"/>
    </row>
    <row r="236">
      <c r="A236" s="83" t="s">
        <v>223</v>
      </c>
      <c r="B236" s="65" t="s">
        <v>223</v>
      </c>
      <c r="C236" s="17" t="s">
        <v>224</v>
      </c>
      <c r="D236" s="109"/>
      <c r="E236" s="114"/>
      <c r="F236" s="109"/>
      <c r="G236" s="109"/>
      <c r="H236" s="109"/>
      <c r="I236" s="109"/>
      <c r="J236" s="109"/>
      <c r="K236" s="109"/>
      <c r="L236" s="109"/>
      <c r="M236" s="109"/>
      <c r="N236" s="17"/>
      <c r="O236" s="109"/>
      <c r="P236" s="109"/>
      <c r="Q236" s="114"/>
    </row>
    <row r="237">
      <c r="A237" s="65" t="s">
        <v>1104</v>
      </c>
      <c r="B237" s="65" t="s">
        <v>1104</v>
      </c>
      <c r="C237" s="17" t="s">
        <v>1105</v>
      </c>
      <c r="D237" s="109"/>
      <c r="E237" s="114"/>
      <c r="F237" s="109"/>
      <c r="G237" s="109"/>
      <c r="H237" s="109"/>
      <c r="I237" s="109"/>
      <c r="J237" s="109"/>
      <c r="K237" s="109"/>
      <c r="L237" s="109"/>
      <c r="M237" s="109"/>
      <c r="N237" s="109"/>
      <c r="O237" s="109"/>
      <c r="P237" s="109"/>
      <c r="Q237" s="114"/>
    </row>
    <row r="238">
      <c r="A238" s="65" t="s">
        <v>296</v>
      </c>
      <c r="B238" s="65" t="s">
        <v>296</v>
      </c>
      <c r="C238" s="17" t="s">
        <v>297</v>
      </c>
      <c r="D238" s="109"/>
      <c r="E238" s="114"/>
      <c r="F238" s="109"/>
      <c r="G238" s="109"/>
      <c r="H238" s="109"/>
      <c r="I238" s="109"/>
      <c r="J238" s="109"/>
      <c r="K238" s="109"/>
      <c r="L238" s="109"/>
      <c r="M238" s="109"/>
      <c r="N238" s="17"/>
      <c r="O238" s="109"/>
      <c r="P238" s="109"/>
      <c r="Q238" s="114"/>
    </row>
    <row r="239">
      <c r="A239" s="65" t="s">
        <v>548</v>
      </c>
      <c r="B239" s="65" t="s">
        <v>548</v>
      </c>
      <c r="C239" s="17" t="s">
        <v>549</v>
      </c>
      <c r="D239" s="109"/>
      <c r="E239" s="114"/>
      <c r="F239" s="109"/>
      <c r="G239" s="109"/>
      <c r="H239" s="109"/>
      <c r="I239" s="109"/>
      <c r="J239" s="109"/>
      <c r="K239" s="109"/>
      <c r="L239" s="109"/>
      <c r="M239" s="109"/>
      <c r="N239" s="109"/>
      <c r="O239" s="109"/>
      <c r="P239" s="109"/>
      <c r="Q239" s="114"/>
    </row>
    <row r="240">
      <c r="A240" s="65" t="s">
        <v>328</v>
      </c>
      <c r="B240" s="65" t="s">
        <v>328</v>
      </c>
      <c r="C240" s="17" t="s">
        <v>329</v>
      </c>
      <c r="D240" s="109"/>
      <c r="E240" s="114"/>
      <c r="F240" s="109"/>
      <c r="G240" s="109"/>
      <c r="H240" s="109"/>
      <c r="I240" s="109"/>
      <c r="J240" s="109"/>
      <c r="K240" s="109"/>
      <c r="L240" s="109"/>
      <c r="M240" s="109"/>
      <c r="N240" s="109"/>
      <c r="O240" s="109"/>
      <c r="P240" s="109"/>
      <c r="Q240" s="114"/>
    </row>
    <row r="241">
      <c r="A241" s="65" t="s">
        <v>485</v>
      </c>
      <c r="B241" s="65" t="s">
        <v>485</v>
      </c>
      <c r="C241" s="17" t="s">
        <v>486</v>
      </c>
      <c r="D241" s="109"/>
      <c r="E241" s="114"/>
      <c r="F241" s="109"/>
      <c r="G241" s="109"/>
      <c r="H241" s="109"/>
      <c r="I241" s="109"/>
      <c r="J241" s="109"/>
      <c r="K241" s="109"/>
      <c r="L241" s="109"/>
      <c r="M241" s="109"/>
      <c r="N241" s="109"/>
      <c r="O241" s="109"/>
      <c r="P241" s="109"/>
      <c r="Q241" s="114"/>
    </row>
    <row r="242">
      <c r="A242" s="65" t="s">
        <v>141</v>
      </c>
      <c r="B242" s="65" t="s">
        <v>141</v>
      </c>
      <c r="C242" s="17" t="s">
        <v>142</v>
      </c>
      <c r="D242" s="109"/>
      <c r="E242" s="114"/>
      <c r="F242" s="109"/>
      <c r="G242" s="109"/>
      <c r="H242" s="109"/>
      <c r="I242" s="109"/>
      <c r="J242" s="109"/>
      <c r="K242" s="109"/>
      <c r="L242" s="109"/>
      <c r="M242" s="109"/>
      <c r="N242" s="109"/>
      <c r="O242" s="109"/>
      <c r="P242" s="109"/>
      <c r="Q242" s="114"/>
    </row>
    <row r="243">
      <c r="A243" s="65" t="s">
        <v>260</v>
      </c>
      <c r="B243" s="65" t="s">
        <v>260</v>
      </c>
      <c r="C243" s="17" t="s">
        <v>261</v>
      </c>
      <c r="D243" s="109"/>
      <c r="E243" s="114"/>
      <c r="F243" s="109"/>
      <c r="G243" s="109"/>
      <c r="H243" s="109"/>
      <c r="I243" s="109"/>
      <c r="J243" s="109"/>
      <c r="K243" s="109"/>
      <c r="L243" s="109"/>
      <c r="M243" s="109"/>
      <c r="N243" s="109"/>
      <c r="O243" s="109"/>
      <c r="P243" s="109"/>
      <c r="Q243" s="114"/>
    </row>
    <row r="244">
      <c r="A244" s="65" t="s">
        <v>858</v>
      </c>
      <c r="B244" s="65" t="s">
        <v>858</v>
      </c>
      <c r="C244" s="17" t="s">
        <v>1051</v>
      </c>
      <c r="D244" s="109"/>
      <c r="E244" s="114"/>
      <c r="F244" s="109"/>
      <c r="G244" s="109"/>
      <c r="H244" s="109"/>
      <c r="I244" s="109"/>
      <c r="J244" s="109"/>
      <c r="K244" s="109"/>
      <c r="L244" s="109"/>
      <c r="M244" s="109"/>
      <c r="N244" s="109"/>
      <c r="O244" s="109"/>
      <c r="P244" s="109"/>
      <c r="Q244" s="114"/>
    </row>
    <row r="245">
      <c r="A245" s="65" t="s">
        <v>372</v>
      </c>
      <c r="B245" s="65" t="s">
        <v>372</v>
      </c>
      <c r="C245" s="17" t="s">
        <v>373</v>
      </c>
      <c r="D245" s="109"/>
      <c r="E245" s="114"/>
      <c r="F245" s="109"/>
      <c r="G245" s="109"/>
      <c r="H245" s="109"/>
      <c r="I245" s="109"/>
      <c r="J245" s="109"/>
      <c r="K245" s="109"/>
      <c r="L245" s="109"/>
      <c r="M245" s="109"/>
      <c r="N245" s="109"/>
      <c r="O245" s="109"/>
      <c r="P245" s="109"/>
      <c r="Q245" s="114"/>
    </row>
    <row r="246">
      <c r="A246" s="65" t="s">
        <v>310</v>
      </c>
      <c r="B246" s="65" t="s">
        <v>310</v>
      </c>
      <c r="C246" s="17" t="s">
        <v>311</v>
      </c>
      <c r="D246" s="109"/>
      <c r="E246" s="114"/>
      <c r="F246" s="109"/>
      <c r="G246" s="109"/>
      <c r="H246" s="109"/>
      <c r="I246" s="109"/>
      <c r="J246" s="109"/>
      <c r="K246" s="109"/>
      <c r="L246" s="109"/>
      <c r="M246" s="109"/>
      <c r="N246" s="109"/>
      <c r="O246" s="109"/>
      <c r="P246" s="109"/>
      <c r="Q246" s="114"/>
    </row>
    <row r="247">
      <c r="A247" s="65" t="s">
        <v>693</v>
      </c>
      <c r="B247" s="65" t="s">
        <v>693</v>
      </c>
      <c r="C247" s="17" t="s">
        <v>1162</v>
      </c>
      <c r="D247" s="109"/>
      <c r="E247" s="114"/>
      <c r="F247" s="109"/>
      <c r="G247" s="109"/>
      <c r="H247" s="109"/>
      <c r="I247" s="109"/>
      <c r="J247" s="109"/>
      <c r="K247" s="109"/>
      <c r="L247" s="109"/>
      <c r="M247" s="109"/>
      <c r="N247" s="109"/>
      <c r="O247" s="109"/>
      <c r="P247" s="109"/>
      <c r="Q247" s="114"/>
    </row>
    <row r="248">
      <c r="A248" s="65" t="s">
        <v>304</v>
      </c>
      <c r="B248" s="65" t="s">
        <v>304</v>
      </c>
      <c r="C248" s="17" t="s">
        <v>305</v>
      </c>
      <c r="D248" s="109"/>
      <c r="E248" s="114"/>
      <c r="F248" s="109"/>
      <c r="G248" s="109"/>
      <c r="H248" s="109"/>
      <c r="I248" s="109"/>
      <c r="J248" s="109"/>
      <c r="K248" s="109"/>
      <c r="L248" s="109"/>
      <c r="M248" s="109"/>
      <c r="N248" s="109"/>
      <c r="O248" s="109"/>
      <c r="P248" s="109"/>
      <c r="Q248" s="114"/>
    </row>
    <row r="249">
      <c r="A249" s="65" t="s">
        <v>821</v>
      </c>
      <c r="B249" s="65" t="s">
        <v>821</v>
      </c>
      <c r="C249" s="17" t="s">
        <v>876</v>
      </c>
      <c r="D249" s="109"/>
      <c r="E249" s="114"/>
      <c r="F249" s="109"/>
      <c r="G249" s="109"/>
      <c r="H249" s="109"/>
      <c r="I249" s="109"/>
      <c r="J249" s="109"/>
      <c r="K249" s="109"/>
      <c r="L249" s="109"/>
      <c r="M249" s="109"/>
      <c r="N249" s="109"/>
      <c r="O249" s="109"/>
      <c r="P249" s="109"/>
      <c r="Q249" s="114"/>
    </row>
    <row r="250">
      <c r="A250" s="65" t="s">
        <v>319</v>
      </c>
      <c r="B250" s="65" t="s">
        <v>319</v>
      </c>
      <c r="C250" s="17" t="s">
        <v>320</v>
      </c>
      <c r="D250" s="109"/>
      <c r="E250" s="114"/>
      <c r="F250" s="109"/>
      <c r="G250" s="109"/>
      <c r="H250" s="109"/>
      <c r="I250" s="109"/>
      <c r="J250" s="109"/>
      <c r="K250" s="109"/>
      <c r="L250" s="109"/>
      <c r="M250" s="109"/>
      <c r="N250" s="109"/>
      <c r="O250" s="109"/>
      <c r="P250" s="109"/>
      <c r="Q250" s="114"/>
    </row>
    <row r="251">
      <c r="A251" s="65" t="s">
        <v>1725</v>
      </c>
      <c r="B251" s="65" t="s">
        <v>1725</v>
      </c>
      <c r="C251" s="17" t="s">
        <v>1120</v>
      </c>
      <c r="D251" s="109"/>
      <c r="E251" s="114"/>
      <c r="F251" s="109"/>
      <c r="G251" s="109"/>
      <c r="H251" s="109"/>
      <c r="I251" s="109"/>
      <c r="J251" s="109"/>
      <c r="K251" s="109"/>
      <c r="L251" s="109"/>
      <c r="N251" s="17"/>
      <c r="O251" s="109"/>
      <c r="Q251" s="114"/>
    </row>
    <row r="252">
      <c r="A252" s="65" t="s">
        <v>1766</v>
      </c>
      <c r="B252" s="65" t="s">
        <v>1766</v>
      </c>
      <c r="C252" s="17" t="s">
        <v>2974</v>
      </c>
      <c r="D252" s="109"/>
      <c r="E252" s="114"/>
      <c r="F252" s="109"/>
      <c r="G252" s="109"/>
      <c r="H252" s="109"/>
      <c r="I252" s="109"/>
      <c r="J252" s="109"/>
      <c r="K252" s="109"/>
      <c r="L252" s="109"/>
      <c r="M252" s="109"/>
      <c r="N252" s="109"/>
      <c r="O252" s="109"/>
      <c r="P252" s="109"/>
      <c r="Q252" s="114"/>
    </row>
    <row r="253">
      <c r="A253" s="65" t="s">
        <v>286</v>
      </c>
      <c r="B253" s="65" t="s">
        <v>286</v>
      </c>
      <c r="C253" s="17" t="s">
        <v>287</v>
      </c>
      <c r="D253" s="109"/>
      <c r="E253" s="17"/>
      <c r="F253" s="109"/>
      <c r="G253" s="109"/>
      <c r="H253" s="109"/>
      <c r="I253" s="109"/>
      <c r="J253" s="109"/>
      <c r="K253" s="109"/>
      <c r="L253" s="109"/>
      <c r="M253" s="17"/>
      <c r="N253" s="17"/>
      <c r="O253" s="109"/>
      <c r="P253" s="17"/>
      <c r="Q253" s="17"/>
    </row>
    <row r="254">
      <c r="A254" s="65" t="s">
        <v>383</v>
      </c>
      <c r="B254" s="65" t="s">
        <v>383</v>
      </c>
      <c r="C254" s="17" t="s">
        <v>384</v>
      </c>
      <c r="D254" s="109"/>
      <c r="E254" s="114"/>
      <c r="F254" s="109"/>
      <c r="G254" s="109"/>
      <c r="H254" s="109"/>
      <c r="I254" s="109"/>
      <c r="J254" s="109"/>
      <c r="K254" s="109"/>
      <c r="L254" s="109"/>
      <c r="M254" s="109"/>
      <c r="N254" s="109"/>
      <c r="O254" s="109"/>
      <c r="P254" s="109"/>
      <c r="Q254" s="114"/>
    </row>
    <row r="255">
      <c r="A255" s="65" t="s">
        <v>20</v>
      </c>
      <c r="B255" s="65" t="s">
        <v>20</v>
      </c>
      <c r="C255" s="17" t="s">
        <v>21</v>
      </c>
      <c r="D255" s="109"/>
      <c r="E255" s="114"/>
      <c r="F255" s="109"/>
      <c r="G255" s="109"/>
      <c r="H255" s="109"/>
      <c r="I255" s="109"/>
      <c r="J255" s="109"/>
      <c r="K255" s="109"/>
      <c r="L255" s="109"/>
      <c r="M255" s="109"/>
      <c r="N255" s="17"/>
      <c r="O255" s="109"/>
      <c r="P255" s="109"/>
      <c r="Q255" s="114"/>
    </row>
    <row r="256">
      <c r="A256" s="65" t="s">
        <v>358</v>
      </c>
      <c r="B256" s="65" t="s">
        <v>358</v>
      </c>
      <c r="C256" s="17"/>
      <c r="D256" s="109"/>
      <c r="E256" s="114"/>
      <c r="F256" s="109"/>
      <c r="G256" s="109"/>
      <c r="H256" s="109"/>
      <c r="I256" s="109"/>
      <c r="J256" s="109"/>
      <c r="K256" s="109"/>
      <c r="L256" s="109"/>
      <c r="M256" s="109"/>
      <c r="N256" s="109"/>
      <c r="O256" s="109"/>
      <c r="Q256" s="114"/>
    </row>
    <row r="257">
      <c r="A257" s="65" t="s">
        <v>471</v>
      </c>
      <c r="B257" s="65" t="s">
        <v>471</v>
      </c>
      <c r="C257" s="17" t="s">
        <v>472</v>
      </c>
      <c r="D257" s="109"/>
      <c r="E257" s="114"/>
      <c r="F257" s="109"/>
      <c r="G257" s="109"/>
      <c r="H257" s="109"/>
      <c r="I257" s="109"/>
      <c r="J257" s="109"/>
      <c r="K257" s="109"/>
      <c r="L257" s="109"/>
      <c r="M257" s="109"/>
      <c r="N257" s="109"/>
      <c r="O257" s="109"/>
      <c r="P257" s="109"/>
      <c r="Q257" s="114"/>
    </row>
    <row r="258">
      <c r="A258" s="65" t="s">
        <v>67</v>
      </c>
      <c r="B258" s="65" t="s">
        <v>67</v>
      </c>
      <c r="C258" s="17" t="s">
        <v>68</v>
      </c>
      <c r="D258" s="109"/>
      <c r="E258" s="114"/>
      <c r="F258" s="109"/>
      <c r="G258" s="109"/>
      <c r="H258" s="109"/>
      <c r="I258" s="109"/>
      <c r="J258" s="109"/>
      <c r="K258" s="109"/>
      <c r="L258" s="109"/>
      <c r="M258" s="109"/>
      <c r="N258" s="109"/>
      <c r="O258" s="109"/>
      <c r="P258" s="109"/>
      <c r="Q258" s="114"/>
    </row>
    <row r="259">
      <c r="A259" s="65" t="s">
        <v>584</v>
      </c>
      <c r="B259" s="65" t="s">
        <v>584</v>
      </c>
      <c r="C259" s="17"/>
      <c r="D259" s="109"/>
      <c r="E259" s="114"/>
      <c r="F259" s="109"/>
      <c r="G259" s="109"/>
      <c r="H259" s="109"/>
      <c r="I259" s="109"/>
      <c r="J259" s="109"/>
      <c r="K259" s="109"/>
      <c r="L259" s="109"/>
      <c r="M259" s="109"/>
      <c r="N259" s="109"/>
      <c r="O259" s="109"/>
      <c r="P259" s="109"/>
      <c r="Q259" s="114"/>
    </row>
    <row r="260">
      <c r="A260" s="65" t="s">
        <v>267</v>
      </c>
      <c r="B260" s="65" t="s">
        <v>267</v>
      </c>
      <c r="C260" s="17" t="s">
        <v>553</v>
      </c>
      <c r="D260" s="109"/>
      <c r="E260" s="114"/>
      <c r="F260" s="109"/>
      <c r="G260" s="109"/>
      <c r="H260" s="109"/>
      <c r="I260" s="109"/>
      <c r="J260" s="109"/>
      <c r="K260" s="109"/>
      <c r="L260" s="109"/>
      <c r="M260" s="109"/>
      <c r="N260" s="109"/>
      <c r="O260" s="109"/>
      <c r="P260" s="109"/>
      <c r="Q260" s="114"/>
    </row>
    <row r="261">
      <c r="A261" s="65" t="s">
        <v>465</v>
      </c>
      <c r="B261" s="65" t="s">
        <v>465</v>
      </c>
      <c r="C261" s="17" t="s">
        <v>994</v>
      </c>
      <c r="D261" s="109"/>
      <c r="E261" s="114"/>
      <c r="F261" s="109"/>
      <c r="G261" s="109"/>
      <c r="H261" s="109"/>
      <c r="I261" s="109"/>
      <c r="J261" s="109"/>
      <c r="K261" s="109"/>
      <c r="L261" s="109"/>
      <c r="M261" s="109"/>
      <c r="N261" s="109"/>
      <c r="O261" s="109"/>
      <c r="P261" s="109"/>
      <c r="Q261" s="114"/>
    </row>
    <row r="262">
      <c r="A262" s="65" t="s">
        <v>189</v>
      </c>
      <c r="B262" s="65" t="s">
        <v>189</v>
      </c>
      <c r="C262" s="17" t="s">
        <v>190</v>
      </c>
      <c r="D262" s="109"/>
      <c r="E262" s="114"/>
      <c r="F262" s="109"/>
      <c r="G262" s="109"/>
      <c r="H262" s="109"/>
      <c r="I262" s="109"/>
      <c r="J262" s="109"/>
      <c r="K262" s="109"/>
      <c r="L262" s="109"/>
      <c r="M262" s="109"/>
      <c r="N262" s="109"/>
      <c r="O262" s="109"/>
      <c r="P262" s="109"/>
      <c r="Q262" s="114"/>
    </row>
    <row r="263">
      <c r="A263" s="65" t="s">
        <v>1479</v>
      </c>
      <c r="B263" s="65" t="s">
        <v>1479</v>
      </c>
      <c r="C263" s="17" t="s">
        <v>1480</v>
      </c>
      <c r="D263" s="109"/>
      <c r="E263" s="114"/>
      <c r="F263" s="109"/>
      <c r="G263" s="109"/>
      <c r="H263" s="109"/>
      <c r="I263" s="109"/>
      <c r="J263" s="109"/>
      <c r="K263" s="109"/>
      <c r="L263" s="109"/>
      <c r="M263" s="109"/>
      <c r="N263" s="109"/>
      <c r="O263" s="109"/>
      <c r="P263" s="109"/>
      <c r="Q263" s="114"/>
    </row>
    <row r="264">
      <c r="A264" s="65" t="s">
        <v>1523</v>
      </c>
      <c r="B264" s="65" t="s">
        <v>1523</v>
      </c>
      <c r="C264" s="17" t="s">
        <v>190</v>
      </c>
      <c r="D264" s="109"/>
      <c r="E264" s="114"/>
      <c r="F264" s="109"/>
      <c r="G264" s="109"/>
      <c r="H264" s="109"/>
      <c r="I264" s="109"/>
      <c r="J264" s="109"/>
      <c r="K264" s="109"/>
      <c r="L264" s="109"/>
      <c r="M264" s="109"/>
      <c r="N264" s="109"/>
      <c r="O264" s="109"/>
      <c r="P264" s="109"/>
      <c r="Q264" s="114"/>
    </row>
    <row r="265">
      <c r="A265" s="65" t="s">
        <v>51</v>
      </c>
      <c r="B265" s="65" t="s">
        <v>51</v>
      </c>
      <c r="C265" s="17" t="s">
        <v>2975</v>
      </c>
      <c r="D265" s="109"/>
      <c r="E265" s="114"/>
      <c r="F265" s="109"/>
      <c r="G265" s="109"/>
      <c r="H265" s="109"/>
      <c r="I265" s="109"/>
      <c r="J265" s="109"/>
      <c r="K265" s="109"/>
      <c r="L265" s="109"/>
      <c r="M265" s="109"/>
      <c r="N265" s="17"/>
      <c r="O265" s="109"/>
      <c r="P265" s="17"/>
      <c r="Q265" s="114"/>
    </row>
    <row r="266">
      <c r="A266" s="65" t="s">
        <v>1077</v>
      </c>
      <c r="B266" s="65" t="s">
        <v>1077</v>
      </c>
      <c r="C266" s="17" t="s">
        <v>1078</v>
      </c>
      <c r="D266" s="109"/>
      <c r="E266" s="114"/>
      <c r="F266" s="109"/>
      <c r="G266" s="109"/>
      <c r="H266" s="109"/>
      <c r="I266" s="109"/>
      <c r="J266" s="109"/>
      <c r="K266" s="109"/>
      <c r="L266" s="109"/>
      <c r="M266" s="109"/>
      <c r="N266" s="17"/>
      <c r="O266" s="109"/>
      <c r="P266" s="109"/>
      <c r="Q266" s="114"/>
    </row>
    <row r="267">
      <c r="A267" s="65" t="s">
        <v>265</v>
      </c>
      <c r="B267" s="65" t="s">
        <v>265</v>
      </c>
      <c r="C267" s="17" t="s">
        <v>1628</v>
      </c>
      <c r="D267" s="109"/>
      <c r="E267" s="114"/>
      <c r="F267" s="109"/>
      <c r="G267" s="109"/>
      <c r="H267" s="109"/>
      <c r="I267" s="109"/>
      <c r="J267" s="109"/>
      <c r="K267" s="109"/>
      <c r="L267" s="109"/>
      <c r="M267" s="109"/>
      <c r="N267" s="17"/>
      <c r="O267" s="109"/>
      <c r="P267" s="109"/>
      <c r="Q267" s="114"/>
    </row>
    <row r="268">
      <c r="A268" s="65" t="s">
        <v>14</v>
      </c>
      <c r="B268" s="65" t="s">
        <v>14</v>
      </c>
      <c r="C268" s="17" t="s">
        <v>15</v>
      </c>
      <c r="D268" s="109"/>
      <c r="E268" s="114"/>
      <c r="F268" s="109"/>
      <c r="G268" s="109"/>
      <c r="H268" s="109"/>
      <c r="I268" s="109"/>
      <c r="J268" s="109"/>
      <c r="K268" s="109"/>
      <c r="L268" s="109"/>
      <c r="M268" s="109"/>
      <c r="N268" s="109"/>
      <c r="O268" s="109"/>
      <c r="P268" s="109"/>
      <c r="Q268" s="114"/>
    </row>
    <row r="269">
      <c r="A269" s="65" t="s">
        <v>1806</v>
      </c>
      <c r="B269" s="65" t="s">
        <v>1806</v>
      </c>
      <c r="C269" s="17" t="s">
        <v>1807</v>
      </c>
      <c r="D269" s="109"/>
      <c r="E269" s="114"/>
      <c r="F269" s="109"/>
      <c r="G269" s="109"/>
      <c r="H269" s="109"/>
      <c r="I269" s="109"/>
      <c r="J269" s="109"/>
      <c r="K269" s="109"/>
      <c r="L269" s="109"/>
      <c r="M269" s="109"/>
      <c r="N269" s="109"/>
      <c r="O269" s="109"/>
      <c r="P269" s="109"/>
      <c r="Q269" s="114"/>
    </row>
    <row r="270">
      <c r="A270" s="65" t="s">
        <v>251</v>
      </c>
      <c r="B270" s="65" t="s">
        <v>251</v>
      </c>
      <c r="C270" s="17" t="s">
        <v>252</v>
      </c>
      <c r="D270" s="109"/>
      <c r="E270" s="114"/>
      <c r="F270" s="109"/>
      <c r="G270" s="109"/>
      <c r="H270" s="109"/>
      <c r="I270" s="109"/>
      <c r="J270" s="109"/>
      <c r="K270" s="109"/>
      <c r="L270" s="109"/>
      <c r="M270" s="109"/>
      <c r="N270" s="109"/>
      <c r="O270" s="109"/>
      <c r="P270" s="109"/>
      <c r="Q270" s="114"/>
    </row>
    <row r="271">
      <c r="A271" s="65" t="s">
        <v>564</v>
      </c>
      <c r="B271" s="65" t="s">
        <v>564</v>
      </c>
      <c r="C271" s="17" t="s">
        <v>565</v>
      </c>
      <c r="D271" s="109"/>
      <c r="E271" s="114"/>
      <c r="F271" s="109"/>
      <c r="G271" s="109"/>
      <c r="H271" s="109"/>
      <c r="I271" s="109"/>
      <c r="J271" s="109"/>
      <c r="K271" s="109"/>
      <c r="L271" s="109"/>
      <c r="M271" s="109"/>
      <c r="N271" s="109"/>
      <c r="O271" s="109"/>
      <c r="P271" s="109"/>
      <c r="Q271" s="114"/>
    </row>
    <row r="272">
      <c r="A272" s="65" t="s">
        <v>1515</v>
      </c>
      <c r="B272" s="65" t="s">
        <v>1515</v>
      </c>
      <c r="C272" s="17" t="s">
        <v>565</v>
      </c>
      <c r="D272" s="109"/>
      <c r="E272" s="114"/>
      <c r="F272" s="109"/>
      <c r="G272" s="109"/>
      <c r="H272" s="109"/>
      <c r="I272" s="109"/>
      <c r="J272" s="109"/>
      <c r="K272" s="109"/>
      <c r="L272" s="109"/>
      <c r="M272" s="109"/>
      <c r="N272" s="109"/>
      <c r="O272" s="109"/>
      <c r="P272" s="109"/>
      <c r="Q272" s="114"/>
    </row>
    <row r="273">
      <c r="A273" s="65" t="s">
        <v>421</v>
      </c>
      <c r="B273" s="65" t="s">
        <v>421</v>
      </c>
      <c r="C273" s="17" t="s">
        <v>422</v>
      </c>
      <c r="D273" s="109"/>
      <c r="E273" s="114"/>
      <c r="F273" s="109"/>
      <c r="G273" s="109"/>
      <c r="H273" s="109"/>
      <c r="I273" s="109"/>
      <c r="J273" s="109"/>
      <c r="K273" s="109"/>
      <c r="L273" s="109"/>
      <c r="M273" s="109"/>
      <c r="O273" s="109"/>
      <c r="P273" s="109"/>
      <c r="Q273" s="114"/>
    </row>
    <row r="274">
      <c r="A274" s="65" t="s">
        <v>1841</v>
      </c>
      <c r="B274" s="65" t="s">
        <v>1841</v>
      </c>
      <c r="C274" s="17" t="s">
        <v>1842</v>
      </c>
      <c r="D274" s="109"/>
      <c r="E274" s="114"/>
      <c r="F274" s="109"/>
      <c r="G274" s="109"/>
      <c r="H274" s="109"/>
      <c r="I274" s="109"/>
      <c r="J274" s="109"/>
      <c r="K274" s="109"/>
      <c r="L274" s="109"/>
      <c r="M274" s="109"/>
      <c r="N274" s="109"/>
      <c r="O274" s="109"/>
      <c r="P274" s="109"/>
      <c r="Q274" s="114"/>
    </row>
    <row r="275">
      <c r="A275" s="65" t="s">
        <v>1501</v>
      </c>
      <c r="B275" s="65" t="s">
        <v>1501</v>
      </c>
      <c r="C275" s="17" t="s">
        <v>1502</v>
      </c>
      <c r="D275" s="109"/>
      <c r="E275" s="114"/>
      <c r="F275" s="109"/>
      <c r="G275" s="109"/>
      <c r="H275" s="109"/>
      <c r="I275" s="109"/>
      <c r="J275" s="109"/>
      <c r="K275" s="109"/>
      <c r="L275" s="109"/>
      <c r="M275" s="109"/>
      <c r="N275" s="17"/>
      <c r="O275" s="109"/>
      <c r="P275" s="17"/>
      <c r="Q275" s="114"/>
    </row>
    <row r="276">
      <c r="A276" s="65" t="s">
        <v>1008</v>
      </c>
      <c r="B276" s="65" t="s">
        <v>1008</v>
      </c>
      <c r="C276" s="17" t="s">
        <v>1013</v>
      </c>
      <c r="D276" s="109"/>
      <c r="E276" s="114"/>
      <c r="F276" s="109"/>
      <c r="G276" s="109"/>
      <c r="H276" s="109"/>
      <c r="I276" s="109"/>
      <c r="J276" s="109"/>
      <c r="K276" s="109"/>
      <c r="L276" s="109"/>
      <c r="M276" s="109"/>
      <c r="N276" s="109"/>
      <c r="O276" s="109"/>
      <c r="P276" s="109"/>
      <c r="Q276" s="114"/>
    </row>
    <row r="277">
      <c r="A277" s="65" t="s">
        <v>562</v>
      </c>
      <c r="B277" s="65" t="s">
        <v>562</v>
      </c>
      <c r="C277" s="17" t="s">
        <v>563</v>
      </c>
      <c r="D277" s="109"/>
      <c r="E277" s="114"/>
      <c r="F277" s="109"/>
      <c r="G277" s="109"/>
      <c r="H277" s="109"/>
      <c r="I277" s="109"/>
      <c r="J277" s="109"/>
      <c r="K277" s="109"/>
      <c r="L277" s="109"/>
      <c r="M277" s="109"/>
      <c r="N277" s="109"/>
      <c r="O277" s="109"/>
      <c r="P277" s="109"/>
      <c r="Q277" s="114"/>
    </row>
    <row r="278">
      <c r="A278" s="65" t="s">
        <v>915</v>
      </c>
      <c r="B278" s="65" t="s">
        <v>915</v>
      </c>
      <c r="C278" s="17" t="s">
        <v>916</v>
      </c>
      <c r="D278" s="109"/>
      <c r="E278" s="114"/>
      <c r="F278" s="109"/>
      <c r="G278" s="109"/>
      <c r="H278" s="109"/>
      <c r="I278" s="109"/>
      <c r="J278" s="109"/>
      <c r="K278" s="109"/>
      <c r="L278" s="109"/>
      <c r="M278" s="109"/>
      <c r="N278" s="109"/>
      <c r="O278" s="109"/>
      <c r="P278" s="109"/>
      <c r="Q278" s="114"/>
    </row>
    <row r="279">
      <c r="A279" s="65" t="s">
        <v>69</v>
      </c>
      <c r="B279" s="65" t="s">
        <v>69</v>
      </c>
      <c r="C279" s="17" t="s">
        <v>71</v>
      </c>
      <c r="D279" s="109"/>
      <c r="E279" s="114"/>
      <c r="F279" s="109"/>
      <c r="G279" s="109"/>
      <c r="H279" s="109"/>
      <c r="I279" s="109"/>
      <c r="J279" s="109"/>
      <c r="K279" s="109"/>
      <c r="L279" s="109"/>
      <c r="M279" s="109"/>
      <c r="N279" s="109"/>
      <c r="O279" s="109"/>
      <c r="P279" s="109"/>
      <c r="Q279" s="114"/>
    </row>
    <row r="280">
      <c r="A280" s="65" t="s">
        <v>555</v>
      </c>
      <c r="B280" s="65" t="s">
        <v>555</v>
      </c>
      <c r="C280" s="17" t="s">
        <v>556</v>
      </c>
      <c r="D280" s="109"/>
      <c r="E280" s="114"/>
      <c r="F280" s="109"/>
      <c r="G280" s="109"/>
      <c r="H280" s="109"/>
      <c r="I280" s="109"/>
      <c r="J280" s="109"/>
      <c r="K280" s="109"/>
      <c r="L280" s="109"/>
      <c r="M280" s="109"/>
      <c r="N280" s="17"/>
      <c r="O280" s="109"/>
      <c r="P280" s="109"/>
      <c r="Q280" s="114"/>
    </row>
    <row r="281">
      <c r="A281" s="65" t="s">
        <v>187</v>
      </c>
      <c r="B281" s="65" t="s">
        <v>187</v>
      </c>
      <c r="C281" s="17" t="s">
        <v>70</v>
      </c>
      <c r="D281" s="109"/>
      <c r="E281" s="114"/>
      <c r="F281" s="109"/>
      <c r="G281" s="109"/>
      <c r="H281" s="109"/>
      <c r="I281" s="109"/>
      <c r="J281" s="109"/>
      <c r="K281" s="109"/>
      <c r="L281" s="109"/>
      <c r="M281" s="109"/>
      <c r="N281" s="109"/>
      <c r="O281" s="109"/>
      <c r="P281" s="109"/>
      <c r="Q281" s="114"/>
    </row>
    <row r="282">
      <c r="A282" s="65" t="s">
        <v>137</v>
      </c>
      <c r="B282" s="65" t="s">
        <v>137</v>
      </c>
      <c r="C282" s="17" t="s">
        <v>138</v>
      </c>
      <c r="D282" s="109"/>
      <c r="E282" s="114"/>
      <c r="F282" s="109"/>
      <c r="G282" s="109"/>
      <c r="H282" s="109"/>
      <c r="I282" s="109"/>
      <c r="J282" s="109"/>
      <c r="K282" s="109"/>
      <c r="L282" s="109"/>
      <c r="M282" s="109"/>
      <c r="N282" s="109"/>
      <c r="O282" s="109"/>
      <c r="P282" s="109"/>
      <c r="Q282" s="114"/>
    </row>
    <row r="283">
      <c r="A283" s="65" t="s">
        <v>27</v>
      </c>
      <c r="B283" s="65" t="s">
        <v>27</v>
      </c>
      <c r="C283" s="17" t="s">
        <v>28</v>
      </c>
      <c r="D283" s="109"/>
      <c r="E283" s="114"/>
      <c r="F283" s="109"/>
      <c r="G283" s="109"/>
      <c r="H283" s="109"/>
      <c r="I283" s="109"/>
      <c r="J283" s="109"/>
      <c r="K283" s="109"/>
      <c r="L283" s="109"/>
      <c r="M283" s="109"/>
      <c r="N283" s="109"/>
      <c r="O283" s="109"/>
      <c r="P283" s="109"/>
      <c r="Q283" s="114"/>
    </row>
    <row r="284">
      <c r="A284" s="83" t="s">
        <v>1579</v>
      </c>
      <c r="B284" s="65" t="s">
        <v>1579</v>
      </c>
      <c r="C284" s="17" t="s">
        <v>1580</v>
      </c>
      <c r="D284" s="109"/>
      <c r="E284" s="114"/>
      <c r="F284" s="109"/>
      <c r="G284" s="109"/>
      <c r="H284" s="109"/>
      <c r="I284" s="109"/>
      <c r="J284" s="109"/>
      <c r="K284" s="109"/>
      <c r="L284" s="109"/>
      <c r="M284" s="109"/>
      <c r="N284" s="109"/>
      <c r="O284" s="109"/>
      <c r="P284" s="109"/>
      <c r="Q284" s="114"/>
    </row>
    <row r="285">
      <c r="A285" s="65" t="s">
        <v>1566</v>
      </c>
      <c r="B285" s="65" t="s">
        <v>1566</v>
      </c>
      <c r="C285" s="17" t="s">
        <v>1567</v>
      </c>
      <c r="D285" s="109"/>
      <c r="E285" s="114"/>
      <c r="F285" s="109"/>
      <c r="G285" s="109"/>
      <c r="H285" s="109"/>
      <c r="I285" s="109"/>
      <c r="J285" s="109"/>
      <c r="K285" s="109"/>
      <c r="L285" s="109"/>
      <c r="M285" s="109"/>
      <c r="N285" s="109"/>
      <c r="O285" s="109"/>
      <c r="P285" s="109"/>
      <c r="Q285" s="114"/>
    </row>
    <row r="286">
      <c r="A286" s="65" t="s">
        <v>946</v>
      </c>
      <c r="B286" s="65" t="s">
        <v>946</v>
      </c>
      <c r="C286" s="17" t="s">
        <v>947</v>
      </c>
      <c r="D286" s="109"/>
      <c r="E286" s="114"/>
      <c r="F286" s="109"/>
      <c r="G286" s="109"/>
      <c r="H286" s="109"/>
      <c r="I286" s="109"/>
      <c r="J286" s="109"/>
      <c r="K286" s="109"/>
      <c r="L286" s="109"/>
      <c r="M286" s="109"/>
      <c r="N286" s="109"/>
      <c r="O286" s="109"/>
      <c r="P286" s="109"/>
      <c r="Q286" s="114"/>
    </row>
    <row r="287">
      <c r="A287" s="65" t="s">
        <v>72</v>
      </c>
      <c r="B287" s="65" t="s">
        <v>72</v>
      </c>
      <c r="C287" s="17" t="s">
        <v>73</v>
      </c>
      <c r="D287" s="109"/>
      <c r="E287" s="114"/>
      <c r="F287" s="109"/>
      <c r="G287" s="109"/>
      <c r="H287" s="109"/>
      <c r="I287" s="109"/>
      <c r="J287" s="109"/>
      <c r="K287" s="109"/>
      <c r="L287" s="109"/>
      <c r="M287" s="109"/>
      <c r="N287" s="109"/>
      <c r="O287" s="109"/>
      <c r="P287" s="109"/>
      <c r="Q287" s="114"/>
    </row>
    <row r="288">
      <c r="A288" s="65" t="s">
        <v>93</v>
      </c>
      <c r="B288" s="65" t="s">
        <v>93</v>
      </c>
      <c r="C288" s="17" t="s">
        <v>94</v>
      </c>
      <c r="D288" s="109"/>
      <c r="E288" s="114"/>
      <c r="F288" s="109"/>
      <c r="G288" s="109"/>
      <c r="H288" s="109"/>
      <c r="I288" s="109"/>
      <c r="J288" s="109"/>
      <c r="K288" s="109"/>
      <c r="L288" s="109"/>
      <c r="M288" s="109"/>
      <c r="N288" s="109"/>
      <c r="O288" s="109"/>
      <c r="P288" s="109"/>
      <c r="Q288" s="114"/>
    </row>
    <row r="289">
      <c r="A289" s="65" t="s">
        <v>183</v>
      </c>
      <c r="B289" s="65" t="s">
        <v>183</v>
      </c>
      <c r="C289" s="17" t="s">
        <v>184</v>
      </c>
      <c r="D289" s="109"/>
      <c r="E289" s="114"/>
      <c r="F289" s="109"/>
      <c r="G289" s="109"/>
      <c r="H289" s="109"/>
      <c r="I289" s="109"/>
      <c r="J289" s="109"/>
      <c r="K289" s="109"/>
      <c r="L289" s="109"/>
      <c r="M289" s="109"/>
      <c r="N289" s="109"/>
      <c r="O289" s="109"/>
      <c r="P289" s="109"/>
      <c r="Q289" s="114"/>
    </row>
    <row r="290">
      <c r="A290" s="65" t="s">
        <v>1691</v>
      </c>
      <c r="B290" s="65" t="s">
        <v>1691</v>
      </c>
      <c r="C290" s="17" t="s">
        <v>1692</v>
      </c>
      <c r="D290" s="109"/>
      <c r="E290" s="114"/>
      <c r="F290" s="109"/>
      <c r="G290" s="109"/>
      <c r="H290" s="109"/>
      <c r="I290" s="109"/>
      <c r="J290" s="109"/>
      <c r="K290" s="109"/>
      <c r="L290" s="109"/>
      <c r="M290" s="109"/>
      <c r="N290" s="109"/>
      <c r="O290" s="109"/>
      <c r="P290" s="109"/>
      <c r="Q290" s="114"/>
    </row>
    <row r="291">
      <c r="A291" s="65" t="s">
        <v>1632</v>
      </c>
      <c r="B291" s="65" t="s">
        <v>1632</v>
      </c>
      <c r="C291" s="17" t="s">
        <v>1633</v>
      </c>
      <c r="D291" s="109"/>
      <c r="E291" s="114"/>
      <c r="F291" s="109"/>
      <c r="G291" s="109"/>
      <c r="H291" s="109"/>
      <c r="I291" s="109"/>
      <c r="J291" s="109"/>
      <c r="K291" s="109"/>
      <c r="L291" s="109"/>
      <c r="M291" s="109"/>
      <c r="N291" s="109"/>
      <c r="O291" s="109"/>
      <c r="P291" s="109"/>
      <c r="Q291" s="114"/>
    </row>
    <row r="292">
      <c r="A292" s="65" t="s">
        <v>1167</v>
      </c>
      <c r="B292" s="65" t="s">
        <v>1167</v>
      </c>
      <c r="C292" s="17" t="s">
        <v>1168</v>
      </c>
      <c r="D292" s="109"/>
      <c r="E292" s="114"/>
      <c r="F292" s="109"/>
      <c r="G292" s="109"/>
      <c r="H292" s="109"/>
      <c r="I292" s="109"/>
      <c r="J292" s="109"/>
      <c r="K292" s="109"/>
      <c r="L292" s="109"/>
      <c r="M292" s="17"/>
      <c r="N292" s="17"/>
      <c r="O292" s="109"/>
      <c r="P292" s="17"/>
      <c r="Q292" s="114"/>
    </row>
    <row r="293">
      <c r="A293" s="65" t="s">
        <v>109</v>
      </c>
      <c r="B293" s="65" t="s">
        <v>109</v>
      </c>
      <c r="C293" s="17" t="s">
        <v>110</v>
      </c>
      <c r="D293" s="109"/>
      <c r="E293" s="114"/>
      <c r="F293" s="109"/>
      <c r="G293" s="109"/>
      <c r="H293" s="109"/>
      <c r="I293" s="109"/>
      <c r="J293" s="109"/>
      <c r="K293" s="109"/>
      <c r="L293" s="109"/>
      <c r="M293" s="109"/>
      <c r="N293" s="109"/>
      <c r="O293" s="109"/>
      <c r="P293" s="109"/>
      <c r="Q293" s="114"/>
    </row>
    <row r="294">
      <c r="A294" s="65" t="s">
        <v>2843</v>
      </c>
      <c r="B294" s="65" t="s">
        <v>2843</v>
      </c>
      <c r="C294" s="17" t="s">
        <v>1620</v>
      </c>
      <c r="D294" s="109"/>
      <c r="E294" s="114"/>
      <c r="F294" s="109"/>
      <c r="G294" s="109"/>
      <c r="H294" s="109"/>
      <c r="I294" s="109"/>
      <c r="J294" s="109"/>
      <c r="K294" s="109"/>
      <c r="L294" s="109"/>
      <c r="M294" s="109"/>
      <c r="N294" s="109"/>
      <c r="O294" s="109"/>
      <c r="P294" s="109"/>
      <c r="Q294" s="114"/>
    </row>
    <row r="295">
      <c r="A295" s="65" t="s">
        <v>122</v>
      </c>
      <c r="B295" s="65" t="s">
        <v>122</v>
      </c>
      <c r="C295" s="17" t="s">
        <v>123</v>
      </c>
      <c r="D295" s="109"/>
      <c r="E295" s="114"/>
      <c r="F295" s="109"/>
      <c r="G295" s="109"/>
      <c r="H295" s="109"/>
      <c r="I295" s="109"/>
      <c r="J295" s="109"/>
      <c r="K295" s="109"/>
      <c r="L295" s="109"/>
      <c r="M295" s="109"/>
      <c r="N295" s="17"/>
      <c r="O295" s="109"/>
      <c r="P295" s="109"/>
      <c r="Q295" s="114"/>
    </row>
    <row r="296">
      <c r="A296" s="65" t="s">
        <v>1524</v>
      </c>
      <c r="B296" s="65" t="s">
        <v>1524</v>
      </c>
      <c r="C296" s="17" t="s">
        <v>1525</v>
      </c>
      <c r="D296" s="109"/>
      <c r="E296" s="114"/>
      <c r="F296" s="109"/>
      <c r="G296" s="109"/>
      <c r="H296" s="109"/>
      <c r="I296" s="109"/>
      <c r="J296" s="109"/>
      <c r="K296" s="109"/>
      <c r="L296" s="109"/>
      <c r="M296" s="109"/>
      <c r="N296" s="109"/>
      <c r="O296" s="109"/>
      <c r="P296" s="109"/>
      <c r="Q296" s="114"/>
    </row>
    <row r="297">
      <c r="A297" s="65" t="s">
        <v>1058</v>
      </c>
      <c r="B297" s="65" t="s">
        <v>1058</v>
      </c>
      <c r="C297" s="17" t="s">
        <v>1685</v>
      </c>
      <c r="D297" s="109"/>
      <c r="E297" s="114"/>
      <c r="F297" s="109"/>
      <c r="G297" s="109"/>
      <c r="H297" s="109"/>
      <c r="I297" s="109"/>
      <c r="J297" s="109"/>
      <c r="K297" s="109"/>
      <c r="L297" s="109"/>
      <c r="M297" s="109"/>
      <c r="N297" s="109"/>
      <c r="O297" s="109"/>
      <c r="P297" s="109"/>
      <c r="Q297" s="114"/>
    </row>
    <row r="298">
      <c r="A298" s="65" t="s">
        <v>895</v>
      </c>
      <c r="B298" s="65" t="s">
        <v>895</v>
      </c>
      <c r="C298" s="17"/>
      <c r="D298" s="109"/>
      <c r="E298" s="114"/>
      <c r="F298" s="109"/>
      <c r="G298" s="109"/>
      <c r="H298" s="109"/>
      <c r="I298" s="109"/>
      <c r="J298" s="109"/>
      <c r="K298" s="109"/>
      <c r="L298" s="109"/>
      <c r="N298" s="17"/>
      <c r="O298" s="109"/>
      <c r="Q298" s="114"/>
    </row>
    <row r="299">
      <c r="A299" s="65" t="s">
        <v>602</v>
      </c>
      <c r="B299" s="65" t="s">
        <v>602</v>
      </c>
      <c r="C299" s="17" t="s">
        <v>603</v>
      </c>
      <c r="D299" s="109"/>
      <c r="E299" s="114"/>
      <c r="F299" s="109"/>
      <c r="G299" s="109"/>
      <c r="H299" s="109"/>
      <c r="I299" s="109"/>
      <c r="J299" s="109"/>
      <c r="K299" s="109"/>
      <c r="L299" s="109"/>
      <c r="M299" s="109"/>
      <c r="N299" s="109"/>
      <c r="O299" s="109"/>
      <c r="P299" s="109"/>
      <c r="Q299" s="114"/>
    </row>
    <row r="300">
      <c r="A300" s="65" t="s">
        <v>2862</v>
      </c>
      <c r="B300" s="65" t="s">
        <v>2862</v>
      </c>
      <c r="C300" s="17" t="s">
        <v>470</v>
      </c>
      <c r="D300" s="109"/>
      <c r="E300" s="114"/>
      <c r="F300" s="109"/>
      <c r="G300" s="109"/>
      <c r="H300" s="109"/>
      <c r="I300" s="109"/>
      <c r="J300" s="109"/>
      <c r="K300" s="109"/>
      <c r="L300" s="109"/>
      <c r="M300" s="109"/>
      <c r="N300" s="109"/>
      <c r="O300" s="109"/>
      <c r="P300" s="109"/>
      <c r="Q300" s="114"/>
    </row>
    <row r="301">
      <c r="A301" s="65" t="s">
        <v>403</v>
      </c>
      <c r="B301" s="65" t="s">
        <v>403</v>
      </c>
      <c r="C301" s="17"/>
      <c r="D301" s="109"/>
      <c r="E301" s="114"/>
      <c r="F301" s="109"/>
      <c r="G301" s="109"/>
      <c r="H301" s="109"/>
      <c r="I301" s="109"/>
      <c r="J301" s="109"/>
      <c r="K301" s="109"/>
      <c r="L301" s="109"/>
      <c r="M301" s="109"/>
      <c r="N301" s="109"/>
      <c r="O301" s="109"/>
      <c r="P301" s="109"/>
      <c r="Q301" s="114"/>
    </row>
    <row r="302">
      <c r="A302" s="65" t="s">
        <v>135</v>
      </c>
      <c r="B302" s="65" t="s">
        <v>135</v>
      </c>
      <c r="C302" s="17" t="s">
        <v>136</v>
      </c>
      <c r="D302" s="109"/>
      <c r="E302" s="114"/>
      <c r="F302" s="109"/>
      <c r="G302" s="109"/>
      <c r="H302" s="109"/>
      <c r="I302" s="109"/>
      <c r="J302" s="109"/>
      <c r="K302" s="109"/>
      <c r="L302" s="109"/>
      <c r="M302" s="109"/>
      <c r="N302" s="109"/>
      <c r="O302" s="109"/>
      <c r="P302" s="109"/>
      <c r="Q302" s="114"/>
    </row>
    <row r="303">
      <c r="A303" s="65" t="s">
        <v>111</v>
      </c>
      <c r="B303" s="65" t="s">
        <v>111</v>
      </c>
      <c r="C303" s="17" t="s">
        <v>112</v>
      </c>
      <c r="D303" s="109"/>
      <c r="E303" s="114"/>
      <c r="F303" s="109"/>
      <c r="G303" s="109"/>
      <c r="H303" s="109"/>
      <c r="I303" s="109"/>
      <c r="J303" s="109"/>
      <c r="K303" s="109"/>
      <c r="L303" s="109"/>
      <c r="M303" s="109"/>
      <c r="N303" s="17"/>
      <c r="O303" s="109"/>
      <c r="P303" s="17"/>
      <c r="Q303" s="114"/>
    </row>
    <row r="304">
      <c r="A304" s="65" t="s">
        <v>392</v>
      </c>
      <c r="B304" s="65" t="s">
        <v>392</v>
      </c>
      <c r="C304" s="17" t="s">
        <v>1461</v>
      </c>
      <c r="D304" s="109"/>
      <c r="E304" s="114"/>
      <c r="F304" s="109"/>
      <c r="G304" s="109"/>
      <c r="H304" s="109"/>
      <c r="I304" s="109"/>
      <c r="J304" s="109"/>
      <c r="K304" s="109"/>
      <c r="L304" s="109"/>
      <c r="M304" s="109"/>
      <c r="N304" s="109"/>
      <c r="O304" s="109"/>
      <c r="P304" s="109"/>
      <c r="Q304" s="114"/>
    </row>
    <row r="305">
      <c r="A305" s="65" t="s">
        <v>38</v>
      </c>
      <c r="B305" s="65" t="s">
        <v>38</v>
      </c>
      <c r="C305" s="17" t="s">
        <v>39</v>
      </c>
      <c r="D305" s="109"/>
      <c r="E305" s="114"/>
      <c r="F305" s="109"/>
      <c r="G305" s="109"/>
      <c r="H305" s="109"/>
      <c r="I305" s="109"/>
      <c r="J305" s="109"/>
      <c r="K305" s="109"/>
      <c r="L305" s="109"/>
      <c r="M305" s="109"/>
      <c r="N305" s="109"/>
      <c r="O305" s="109"/>
      <c r="P305" s="109"/>
      <c r="Q305" s="114"/>
    </row>
    <row r="306">
      <c r="A306" s="65" t="s">
        <v>139</v>
      </c>
      <c r="B306" s="65" t="s">
        <v>139</v>
      </c>
      <c r="C306" s="17" t="s">
        <v>2976</v>
      </c>
      <c r="D306" s="109"/>
      <c r="E306" s="114"/>
      <c r="F306" s="109"/>
      <c r="G306" s="109"/>
      <c r="H306" s="109"/>
      <c r="I306" s="109"/>
      <c r="J306" s="109"/>
      <c r="K306" s="109"/>
      <c r="L306" s="109"/>
      <c r="M306" s="109"/>
      <c r="N306" s="17"/>
      <c r="O306" s="109"/>
      <c r="P306" s="109"/>
      <c r="Q306" s="114"/>
    </row>
    <row r="307">
      <c r="A307" s="65" t="s">
        <v>175</v>
      </c>
      <c r="B307" s="65" t="s">
        <v>175</v>
      </c>
      <c r="C307" s="17" t="s">
        <v>176</v>
      </c>
      <c r="D307" s="109"/>
      <c r="E307" s="114"/>
      <c r="F307" s="109"/>
      <c r="G307" s="109"/>
      <c r="H307" s="109"/>
      <c r="I307" s="109"/>
      <c r="J307" s="109"/>
      <c r="K307" s="109"/>
      <c r="L307" s="109"/>
      <c r="M307" s="109"/>
      <c r="N307" s="109"/>
      <c r="O307" s="109"/>
      <c r="P307" s="109"/>
      <c r="Q307" s="114"/>
    </row>
    <row r="308">
      <c r="A308" s="65" t="s">
        <v>473</v>
      </c>
      <c r="B308" s="65" t="s">
        <v>473</v>
      </c>
      <c r="C308" s="17" t="s">
        <v>474</v>
      </c>
      <c r="D308" s="109"/>
      <c r="E308" s="114"/>
      <c r="F308" s="109"/>
      <c r="G308" s="109"/>
      <c r="H308" s="109"/>
      <c r="I308" s="109"/>
      <c r="J308" s="109"/>
      <c r="K308" s="109"/>
      <c r="L308" s="109"/>
      <c r="M308" s="109"/>
      <c r="N308" s="109"/>
      <c r="O308" s="109"/>
      <c r="P308" s="109"/>
      <c r="Q308" s="114"/>
    </row>
    <row r="309">
      <c r="A309" s="65" t="s">
        <v>53</v>
      </c>
      <c r="B309" s="65" t="s">
        <v>53</v>
      </c>
      <c r="C309" s="17" t="s">
        <v>54</v>
      </c>
      <c r="D309" s="109"/>
      <c r="E309" s="114"/>
      <c r="F309" s="109"/>
      <c r="G309" s="109"/>
      <c r="H309" s="109"/>
      <c r="I309" s="109"/>
      <c r="J309" s="109"/>
      <c r="K309" s="109"/>
      <c r="L309" s="109"/>
      <c r="M309" s="109"/>
      <c r="N309" s="109"/>
      <c r="O309" s="109"/>
      <c r="P309" s="109"/>
      <c r="Q309" s="114"/>
    </row>
    <row r="310">
      <c r="A310" s="65" t="s">
        <v>88</v>
      </c>
      <c r="B310" s="65" t="s">
        <v>1442</v>
      </c>
      <c r="C310" s="17" t="s">
        <v>89</v>
      </c>
      <c r="D310" s="109"/>
      <c r="E310" s="114"/>
      <c r="F310" s="109"/>
      <c r="G310" s="109"/>
      <c r="H310" s="109"/>
      <c r="I310" s="109"/>
      <c r="J310" s="109"/>
      <c r="K310" s="109"/>
      <c r="L310" s="109"/>
      <c r="M310" s="109"/>
      <c r="N310" s="109"/>
      <c r="O310" s="109"/>
      <c r="P310" s="109"/>
      <c r="Q310" s="114"/>
    </row>
    <row r="311">
      <c r="A311" s="65" t="s">
        <v>986</v>
      </c>
      <c r="B311" s="65" t="s">
        <v>986</v>
      </c>
      <c r="C311" s="17" t="s">
        <v>987</v>
      </c>
      <c r="D311" s="109"/>
      <c r="E311" s="114"/>
      <c r="F311" s="109"/>
      <c r="G311" s="109"/>
      <c r="H311" s="109"/>
      <c r="I311" s="109"/>
      <c r="J311" s="109"/>
      <c r="K311" s="109"/>
      <c r="L311" s="109"/>
      <c r="M311" s="109"/>
      <c r="N311" s="109"/>
      <c r="O311" s="109"/>
      <c r="P311" s="109"/>
      <c r="Q311" s="114"/>
    </row>
    <row r="312">
      <c r="A312" s="65" t="s">
        <v>1024</v>
      </c>
      <c r="B312" s="65" t="s">
        <v>1024</v>
      </c>
      <c r="C312" s="17" t="s">
        <v>969</v>
      </c>
      <c r="D312" s="109"/>
      <c r="E312" s="114"/>
      <c r="F312" s="109"/>
      <c r="G312" s="109"/>
      <c r="H312" s="109"/>
      <c r="I312" s="109"/>
      <c r="J312" s="109"/>
      <c r="K312" s="109"/>
      <c r="L312" s="109"/>
      <c r="M312" s="109"/>
      <c r="N312" s="109"/>
      <c r="O312" s="109"/>
      <c r="P312" s="17"/>
      <c r="Q312" s="114"/>
    </row>
    <row r="313">
      <c r="A313" s="65" t="s">
        <v>60</v>
      </c>
      <c r="B313" s="65" t="s">
        <v>60</v>
      </c>
      <c r="C313" s="17" t="s">
        <v>61</v>
      </c>
      <c r="D313" s="109"/>
      <c r="E313" s="114"/>
      <c r="F313" s="109"/>
      <c r="G313" s="109"/>
      <c r="H313" s="109"/>
      <c r="I313" s="109"/>
      <c r="J313" s="109"/>
      <c r="K313" s="109"/>
      <c r="L313" s="109"/>
      <c r="M313" s="109"/>
      <c r="N313" s="109"/>
      <c r="O313" s="109"/>
      <c r="P313" s="109"/>
      <c r="Q313" s="114"/>
    </row>
    <row r="314">
      <c r="A314" s="65" t="s">
        <v>399</v>
      </c>
      <c r="B314" s="65" t="s">
        <v>399</v>
      </c>
      <c r="C314" s="17" t="s">
        <v>400</v>
      </c>
      <c r="D314" s="109"/>
      <c r="E314" s="114"/>
      <c r="F314" s="109"/>
      <c r="G314" s="109"/>
      <c r="H314" s="109"/>
      <c r="I314" s="109"/>
      <c r="J314" s="109"/>
      <c r="K314" s="109"/>
      <c r="L314" s="109"/>
      <c r="M314" s="109"/>
      <c r="N314" s="109"/>
      <c r="O314" s="109"/>
      <c r="P314" s="109"/>
      <c r="Q314" s="114"/>
    </row>
    <row r="315">
      <c r="A315" s="65" t="s">
        <v>2913</v>
      </c>
      <c r="B315" s="65" t="s">
        <v>2913</v>
      </c>
      <c r="C315" s="17" t="s">
        <v>1786</v>
      </c>
      <c r="D315" s="109"/>
      <c r="E315" s="114"/>
      <c r="F315" s="109"/>
      <c r="G315" s="109"/>
      <c r="H315" s="109"/>
      <c r="I315" s="109"/>
      <c r="J315" s="109"/>
      <c r="K315" s="109"/>
      <c r="L315" s="109"/>
      <c r="M315" s="109"/>
      <c r="N315" s="109"/>
      <c r="O315" s="109"/>
      <c r="P315" s="109"/>
      <c r="Q315" s="114"/>
    </row>
    <row r="316">
      <c r="A316" s="65" t="s">
        <v>204</v>
      </c>
      <c r="B316" s="65" t="s">
        <v>204</v>
      </c>
      <c r="C316" s="17" t="s">
        <v>63</v>
      </c>
      <c r="D316" s="109"/>
      <c r="E316" s="114"/>
      <c r="F316" s="109"/>
      <c r="G316" s="109"/>
      <c r="H316" s="109"/>
      <c r="I316" s="109"/>
      <c r="J316" s="109"/>
      <c r="K316" s="109"/>
      <c r="L316" s="109"/>
      <c r="M316" s="109"/>
      <c r="N316" s="109"/>
      <c r="O316" s="109"/>
      <c r="P316" s="109"/>
      <c r="Q316" s="114"/>
    </row>
    <row r="317">
      <c r="A317" s="65" t="s">
        <v>221</v>
      </c>
      <c r="B317" s="65" t="s">
        <v>221</v>
      </c>
      <c r="C317" s="17" t="s">
        <v>222</v>
      </c>
      <c r="D317" s="109"/>
      <c r="E317" s="114"/>
      <c r="F317" s="109"/>
      <c r="G317" s="109"/>
      <c r="H317" s="109"/>
      <c r="I317" s="109"/>
      <c r="J317" s="109"/>
      <c r="K317" s="109"/>
      <c r="L317" s="109"/>
      <c r="M317" s="109"/>
      <c r="N317" s="109"/>
      <c r="O317" s="109"/>
      <c r="P317" s="109"/>
      <c r="Q317" s="114"/>
    </row>
    <row r="318">
      <c r="A318" s="65" t="s">
        <v>1680</v>
      </c>
      <c r="B318" s="65" t="s">
        <v>1680</v>
      </c>
      <c r="C318" s="16" t="s">
        <v>1771</v>
      </c>
      <c r="D318" s="109"/>
      <c r="E318" s="114"/>
      <c r="F318" s="109"/>
      <c r="G318" s="109"/>
      <c r="H318" s="109"/>
      <c r="I318" s="109"/>
      <c r="J318" s="109"/>
      <c r="K318" s="109"/>
      <c r="L318" s="109"/>
      <c r="M318" s="109"/>
      <c r="N318" s="109"/>
      <c r="O318" s="109"/>
      <c r="P318" s="109"/>
      <c r="Q318" s="114"/>
    </row>
    <row r="319">
      <c r="A319" s="65" t="s">
        <v>18</v>
      </c>
      <c r="B319" s="65" t="s">
        <v>18</v>
      </c>
      <c r="C319" s="17" t="s">
        <v>2977</v>
      </c>
      <c r="D319" s="109"/>
      <c r="E319" s="114"/>
      <c r="F319" s="109"/>
      <c r="G319" s="109"/>
      <c r="H319" s="109"/>
      <c r="I319" s="109"/>
      <c r="J319" s="109"/>
      <c r="K319" s="109"/>
      <c r="L319" s="109"/>
      <c r="M319" s="109"/>
      <c r="N319" s="17"/>
      <c r="O319" s="109"/>
      <c r="P319" s="109"/>
      <c r="Q319" s="114"/>
    </row>
    <row r="320">
      <c r="A320" s="65" t="s">
        <v>256</v>
      </c>
      <c r="B320" s="65" t="s">
        <v>256</v>
      </c>
      <c r="C320" s="17" t="s">
        <v>257</v>
      </c>
      <c r="D320" s="109"/>
      <c r="E320" s="114"/>
      <c r="F320" s="109"/>
      <c r="G320" s="109"/>
      <c r="H320" s="109"/>
      <c r="I320" s="109"/>
      <c r="J320" s="109"/>
      <c r="K320" s="109"/>
      <c r="L320" s="109"/>
      <c r="M320" s="109"/>
      <c r="N320" s="17"/>
      <c r="O320" s="109"/>
      <c r="P320" s="109"/>
      <c r="Q320" s="114"/>
    </row>
    <row r="321">
      <c r="A321" s="65" t="s">
        <v>22</v>
      </c>
      <c r="B321" s="65" t="s">
        <v>22</v>
      </c>
      <c r="C321" s="17" t="s">
        <v>2978</v>
      </c>
      <c r="D321" s="109"/>
      <c r="E321" s="114"/>
      <c r="F321" s="109"/>
      <c r="G321" s="109"/>
      <c r="H321" s="109"/>
      <c r="I321" s="109"/>
      <c r="J321" s="109"/>
      <c r="K321" s="109"/>
      <c r="L321" s="109"/>
      <c r="M321" s="109"/>
      <c r="N321" s="109"/>
      <c r="O321" s="109"/>
      <c r="P321" s="109"/>
      <c r="Q321" s="114"/>
    </row>
    <row r="322">
      <c r="A322" s="65" t="s">
        <v>662</v>
      </c>
      <c r="B322" s="65" t="s">
        <v>662</v>
      </c>
      <c r="C322" s="17" t="s">
        <v>663</v>
      </c>
      <c r="D322" s="109"/>
      <c r="E322" s="114"/>
      <c r="F322" s="109"/>
      <c r="G322" s="109"/>
      <c r="H322" s="109"/>
      <c r="I322" s="109"/>
      <c r="J322" s="109"/>
      <c r="K322" s="109"/>
      <c r="L322" s="109"/>
      <c r="M322" s="109"/>
      <c r="N322" s="109"/>
      <c r="O322" s="109"/>
      <c r="P322" s="109"/>
      <c r="Q322" s="114"/>
    </row>
    <row r="323">
      <c r="A323" s="65" t="s">
        <v>676</v>
      </c>
      <c r="B323" s="65" t="s">
        <v>676</v>
      </c>
      <c r="C323" s="17" t="s">
        <v>677</v>
      </c>
      <c r="D323" s="109"/>
      <c r="E323" s="114"/>
      <c r="F323" s="109"/>
      <c r="G323" s="109"/>
      <c r="H323" s="109"/>
      <c r="I323" s="109"/>
      <c r="J323" s="109"/>
      <c r="K323" s="109"/>
      <c r="L323" s="109"/>
      <c r="M323" s="109"/>
      <c r="N323" s="109"/>
      <c r="O323" s="109"/>
      <c r="P323" s="109"/>
      <c r="Q323" s="114"/>
    </row>
    <row r="324">
      <c r="A324" s="6"/>
      <c r="B324" s="109"/>
      <c r="C324" s="114"/>
      <c r="D324" s="109"/>
      <c r="E324" s="114"/>
      <c r="F324" s="109"/>
      <c r="G324" s="109"/>
      <c r="H324" s="109"/>
      <c r="I324" s="109"/>
      <c r="J324" s="109"/>
      <c r="K324" s="109"/>
      <c r="L324" s="109"/>
      <c r="M324" s="109"/>
      <c r="N324" s="109"/>
      <c r="O324" s="109"/>
      <c r="P324" s="109"/>
      <c r="Q324" s="114"/>
    </row>
    <row r="325">
      <c r="A325" s="109"/>
      <c r="B325" s="109"/>
      <c r="C325" s="114"/>
      <c r="D325" s="109"/>
      <c r="E325" s="114"/>
      <c r="F325" s="109"/>
      <c r="G325" s="109"/>
      <c r="H325" s="109"/>
      <c r="I325" s="109"/>
      <c r="J325" s="109"/>
      <c r="K325" s="109"/>
      <c r="L325" s="109"/>
      <c r="M325" s="109"/>
      <c r="N325" s="109"/>
      <c r="O325" s="109"/>
      <c r="P325" s="109"/>
      <c r="Q325" s="114"/>
    </row>
    <row r="326">
      <c r="A326" s="109"/>
      <c r="B326" s="109"/>
      <c r="C326" s="114"/>
      <c r="D326" s="109"/>
      <c r="E326" s="114"/>
      <c r="F326" s="109"/>
      <c r="G326" s="109"/>
      <c r="H326" s="109"/>
      <c r="I326" s="109"/>
      <c r="J326" s="109"/>
      <c r="K326" s="109"/>
      <c r="L326" s="109"/>
      <c r="M326" s="109"/>
      <c r="N326" s="109"/>
      <c r="O326" s="109"/>
      <c r="P326" s="109"/>
      <c r="Q326" s="114"/>
    </row>
    <row r="327">
      <c r="A327" s="109"/>
      <c r="B327" s="109"/>
      <c r="C327" s="114"/>
      <c r="D327" s="109"/>
      <c r="E327" s="114"/>
      <c r="F327" s="109"/>
      <c r="G327" s="109"/>
      <c r="H327" s="109"/>
      <c r="I327" s="109"/>
      <c r="J327" s="109"/>
      <c r="K327" s="109"/>
      <c r="L327" s="109"/>
      <c r="M327" s="109"/>
      <c r="N327" s="109"/>
      <c r="O327" s="109"/>
      <c r="P327" s="109"/>
      <c r="Q327" s="114"/>
    </row>
    <row r="328">
      <c r="A328" s="109"/>
      <c r="B328" s="109"/>
      <c r="C328" s="114"/>
      <c r="D328" s="109"/>
      <c r="E328" s="114"/>
      <c r="F328" s="109"/>
      <c r="G328" s="109"/>
      <c r="H328" s="109"/>
      <c r="I328" s="109"/>
      <c r="J328" s="109"/>
      <c r="K328" s="109"/>
      <c r="L328" s="109"/>
      <c r="M328" s="109"/>
      <c r="N328" s="109"/>
      <c r="O328" s="109"/>
      <c r="P328" s="109"/>
      <c r="Q328" s="114"/>
    </row>
    <row r="329">
      <c r="A329" s="109"/>
      <c r="B329" s="109"/>
      <c r="C329" s="114"/>
      <c r="D329" s="109"/>
      <c r="E329" s="114"/>
      <c r="F329" s="109"/>
      <c r="G329" s="109"/>
      <c r="H329" s="109"/>
      <c r="I329" s="109"/>
      <c r="J329" s="109"/>
      <c r="K329" s="109"/>
      <c r="L329" s="109"/>
      <c r="M329" s="109"/>
      <c r="N329" s="109"/>
      <c r="O329" s="109"/>
      <c r="P329" s="109"/>
      <c r="Q329" s="114"/>
    </row>
    <row r="330">
      <c r="A330" s="109"/>
      <c r="B330" s="109"/>
      <c r="C330" s="114"/>
      <c r="D330" s="109"/>
      <c r="E330" s="114"/>
      <c r="F330" s="109"/>
      <c r="G330" s="109"/>
      <c r="H330" s="109"/>
      <c r="I330" s="109"/>
      <c r="J330" s="109"/>
      <c r="K330" s="109"/>
      <c r="L330" s="109"/>
      <c r="M330" s="109"/>
      <c r="N330" s="109"/>
      <c r="O330" s="109"/>
      <c r="P330" s="109"/>
      <c r="Q330" s="114"/>
    </row>
    <row r="331">
      <c r="A331" s="109"/>
      <c r="B331" s="17"/>
      <c r="C331" s="17"/>
      <c r="D331" s="109"/>
      <c r="E331" s="114"/>
      <c r="F331" s="17"/>
      <c r="G331" s="17"/>
      <c r="H331" s="17"/>
      <c r="I331" s="17"/>
      <c r="J331" s="17"/>
      <c r="K331" s="17"/>
      <c r="L331" s="17"/>
      <c r="M331" s="17"/>
      <c r="N331" s="17"/>
      <c r="O331" s="17"/>
      <c r="P331" s="17"/>
      <c r="Q331" s="17"/>
    </row>
    <row r="332">
      <c r="A332" s="109"/>
      <c r="B332" s="109"/>
      <c r="C332" s="114"/>
      <c r="D332" s="109"/>
      <c r="E332" s="114"/>
      <c r="F332" s="109"/>
      <c r="G332" s="109"/>
      <c r="H332" s="109"/>
      <c r="I332" s="109"/>
      <c r="J332" s="109"/>
      <c r="K332" s="109"/>
      <c r="L332" s="109"/>
      <c r="M332" s="109"/>
      <c r="N332" s="109"/>
      <c r="O332" s="109"/>
      <c r="P332" s="109"/>
      <c r="Q332" s="114"/>
    </row>
    <row r="333">
      <c r="A333" s="109"/>
      <c r="B333" s="109"/>
      <c r="C333" s="114"/>
      <c r="D333" s="109"/>
      <c r="E333" s="114"/>
      <c r="F333" s="109"/>
      <c r="G333" s="109"/>
      <c r="H333" s="109"/>
      <c r="I333" s="109"/>
      <c r="J333" s="17"/>
      <c r="K333" s="109"/>
      <c r="L333" s="109"/>
      <c r="M333" s="109"/>
      <c r="N333" s="109"/>
      <c r="O333" s="109"/>
      <c r="P333" s="109"/>
      <c r="Q333" s="114"/>
    </row>
    <row r="334">
      <c r="A334" s="109"/>
      <c r="B334" s="109"/>
      <c r="C334" s="114"/>
      <c r="D334" s="109"/>
      <c r="E334" s="114"/>
      <c r="F334" s="109"/>
      <c r="G334" s="109"/>
      <c r="H334" s="109"/>
      <c r="I334" s="109"/>
      <c r="J334" s="109"/>
      <c r="K334" s="109"/>
      <c r="L334" s="109"/>
      <c r="M334" s="109"/>
      <c r="N334" s="109"/>
      <c r="O334" s="109"/>
      <c r="P334" s="109"/>
      <c r="Q334" s="114"/>
    </row>
    <row r="335">
      <c r="A335" s="109"/>
      <c r="B335" s="109"/>
      <c r="C335" s="114"/>
      <c r="D335" s="109"/>
      <c r="E335" s="17"/>
      <c r="F335" s="109"/>
      <c r="G335" s="109"/>
      <c r="H335" s="109"/>
      <c r="I335" s="109"/>
      <c r="J335" s="109"/>
      <c r="K335" s="109"/>
      <c r="L335" s="109"/>
      <c r="M335" s="109"/>
      <c r="N335" s="109"/>
      <c r="O335" s="109"/>
      <c r="Q335" s="114"/>
    </row>
    <row r="336">
      <c r="A336" s="109"/>
      <c r="B336" s="109"/>
      <c r="C336" s="114"/>
      <c r="D336" s="109"/>
      <c r="E336" s="114"/>
      <c r="F336" s="109"/>
      <c r="G336" s="109"/>
      <c r="H336" s="109"/>
      <c r="I336" s="109"/>
      <c r="J336" s="109"/>
      <c r="K336" s="109"/>
      <c r="L336" s="109"/>
      <c r="M336" s="109"/>
      <c r="N336" s="17"/>
      <c r="O336" s="109"/>
      <c r="P336" s="109"/>
      <c r="Q336" s="114"/>
    </row>
    <row r="337">
      <c r="A337" s="109"/>
      <c r="B337" s="109"/>
      <c r="C337" s="114"/>
      <c r="D337" s="109"/>
      <c r="E337" s="114"/>
      <c r="F337" s="109"/>
      <c r="G337" s="109"/>
      <c r="H337" s="109"/>
      <c r="I337" s="109"/>
      <c r="J337" s="109"/>
      <c r="K337" s="109"/>
      <c r="L337" s="109"/>
      <c r="M337" s="109"/>
      <c r="N337" s="109"/>
      <c r="O337" s="109"/>
      <c r="P337" s="109"/>
      <c r="Q337" s="114"/>
    </row>
    <row r="338">
      <c r="A338" s="109"/>
      <c r="B338" s="109"/>
      <c r="C338" s="114"/>
      <c r="D338" s="109"/>
      <c r="E338" s="114"/>
      <c r="F338" s="109"/>
      <c r="G338" s="109"/>
      <c r="H338" s="109"/>
      <c r="I338" s="109"/>
      <c r="J338" s="109"/>
      <c r="K338" s="109"/>
      <c r="L338" s="109"/>
      <c r="M338" s="109"/>
      <c r="N338" s="109"/>
      <c r="O338" s="109"/>
      <c r="P338" s="109"/>
      <c r="Q338" s="114"/>
    </row>
    <row r="339">
      <c r="A339" s="109"/>
      <c r="B339" s="109"/>
      <c r="C339" s="114"/>
      <c r="D339" s="109"/>
      <c r="E339" s="114"/>
      <c r="F339" s="109"/>
      <c r="G339" s="109"/>
      <c r="H339" s="109"/>
      <c r="I339" s="109"/>
      <c r="J339" s="109"/>
      <c r="K339" s="109"/>
      <c r="L339" s="109"/>
      <c r="M339" s="109"/>
      <c r="N339" s="109"/>
      <c r="O339" s="109"/>
      <c r="P339" s="109"/>
      <c r="Q339" s="114"/>
    </row>
    <row r="340">
      <c r="A340" s="109"/>
      <c r="B340" s="109"/>
      <c r="C340" s="114"/>
      <c r="D340" s="109"/>
      <c r="E340" s="114"/>
      <c r="F340" s="109"/>
      <c r="G340" s="109"/>
      <c r="H340" s="109"/>
      <c r="I340" s="109"/>
      <c r="J340" s="109"/>
      <c r="K340" s="109"/>
      <c r="L340" s="109"/>
      <c r="M340" s="109"/>
      <c r="N340" s="17"/>
      <c r="O340" s="109"/>
      <c r="P340" s="109"/>
      <c r="Q340" s="114"/>
    </row>
    <row r="341">
      <c r="A341" s="109"/>
      <c r="B341" s="109"/>
      <c r="C341" s="114"/>
      <c r="D341" s="109"/>
      <c r="E341" s="114"/>
      <c r="F341" s="109"/>
      <c r="G341" s="109"/>
      <c r="H341" s="109"/>
      <c r="I341" s="109"/>
      <c r="J341" s="109"/>
      <c r="K341" s="109"/>
      <c r="L341" s="109"/>
      <c r="M341" s="109"/>
      <c r="N341" s="109"/>
      <c r="O341" s="109"/>
      <c r="P341" s="109"/>
      <c r="Q341" s="114"/>
    </row>
    <row r="342">
      <c r="A342" s="109"/>
      <c r="B342" s="109"/>
      <c r="C342" s="114"/>
      <c r="D342" s="109"/>
      <c r="E342" s="114"/>
      <c r="F342" s="109"/>
      <c r="G342" s="109"/>
      <c r="H342" s="109"/>
      <c r="I342" s="109"/>
      <c r="J342" s="109"/>
      <c r="K342" s="109"/>
      <c r="L342" s="109"/>
      <c r="M342" s="109"/>
      <c r="N342" s="109"/>
      <c r="O342" s="109"/>
      <c r="P342" s="109"/>
      <c r="Q342" s="114"/>
    </row>
    <row r="343">
      <c r="A343" s="109"/>
      <c r="B343" s="109"/>
      <c r="C343" s="114"/>
      <c r="D343" s="109"/>
      <c r="E343" s="114"/>
      <c r="F343" s="109"/>
      <c r="G343" s="109"/>
      <c r="H343" s="109"/>
      <c r="I343" s="109"/>
      <c r="J343" s="109"/>
      <c r="K343" s="109"/>
      <c r="L343" s="109"/>
      <c r="M343" s="109"/>
      <c r="N343" s="109"/>
      <c r="O343" s="109"/>
      <c r="P343" s="109"/>
      <c r="Q343" s="114"/>
    </row>
    <row r="344">
      <c r="A344" s="109"/>
      <c r="B344" s="109"/>
      <c r="C344" s="114"/>
      <c r="D344" s="109"/>
      <c r="E344" s="114"/>
      <c r="F344" s="109"/>
      <c r="G344" s="109"/>
      <c r="H344" s="109"/>
      <c r="I344" s="109"/>
      <c r="J344" s="109"/>
      <c r="K344" s="109"/>
      <c r="L344" s="109"/>
      <c r="M344" s="109"/>
      <c r="N344" s="109"/>
      <c r="O344" s="109"/>
      <c r="P344" s="109"/>
      <c r="Q344" s="114"/>
    </row>
    <row r="345">
      <c r="A345" s="109"/>
      <c r="B345" s="109"/>
      <c r="C345" s="114"/>
      <c r="D345" s="109"/>
      <c r="E345" s="114"/>
      <c r="F345" s="109"/>
      <c r="G345" s="109"/>
      <c r="H345" s="109"/>
      <c r="I345" s="109"/>
      <c r="J345" s="109"/>
      <c r="K345" s="109"/>
      <c r="L345" s="109"/>
      <c r="M345" s="109"/>
      <c r="N345" s="109"/>
      <c r="O345" s="109"/>
      <c r="P345" s="109"/>
      <c r="Q345" s="114"/>
    </row>
    <row r="346">
      <c r="A346" s="109"/>
      <c r="B346" s="109"/>
      <c r="C346" s="114"/>
      <c r="D346" s="109"/>
      <c r="E346" s="114"/>
      <c r="F346" s="109"/>
      <c r="G346" s="109"/>
      <c r="H346" s="109"/>
      <c r="I346" s="109"/>
      <c r="J346" s="109"/>
      <c r="K346" s="109"/>
      <c r="L346" s="109"/>
      <c r="M346" s="109"/>
      <c r="O346" s="109"/>
      <c r="P346" s="109"/>
      <c r="Q346" s="114"/>
    </row>
    <row r="347">
      <c r="A347" s="109"/>
      <c r="B347" s="109"/>
      <c r="C347" s="114"/>
      <c r="D347" s="109"/>
      <c r="E347" s="114"/>
      <c r="F347" s="109"/>
      <c r="G347" s="109"/>
      <c r="H347" s="109"/>
      <c r="I347" s="109"/>
      <c r="J347" s="109"/>
      <c r="K347" s="109"/>
      <c r="L347" s="109"/>
      <c r="M347" s="109"/>
      <c r="N347" s="109"/>
      <c r="O347" s="109"/>
      <c r="P347" s="109"/>
      <c r="Q347" s="114"/>
    </row>
    <row r="348">
      <c r="A348" s="109"/>
      <c r="B348" s="109"/>
      <c r="C348" s="114"/>
      <c r="D348" s="109"/>
      <c r="E348" s="114"/>
      <c r="F348" s="109"/>
      <c r="G348" s="109"/>
      <c r="H348" s="109"/>
      <c r="I348" s="109"/>
      <c r="J348" s="109"/>
      <c r="K348" s="109"/>
      <c r="L348" s="109"/>
      <c r="M348" s="109"/>
      <c r="N348" s="109"/>
      <c r="O348" s="109"/>
      <c r="Q348" s="114"/>
    </row>
    <row r="349">
      <c r="A349" s="109"/>
      <c r="B349" s="109"/>
      <c r="C349" s="114"/>
      <c r="D349" s="109"/>
      <c r="E349" s="114"/>
      <c r="F349" s="109"/>
      <c r="G349" s="109"/>
      <c r="H349" s="109"/>
      <c r="I349" s="109"/>
      <c r="J349" s="109"/>
      <c r="K349" s="109"/>
      <c r="L349" s="109"/>
      <c r="M349" s="109"/>
      <c r="N349" s="109"/>
      <c r="O349" s="109"/>
      <c r="P349" s="109"/>
      <c r="Q349" s="114"/>
    </row>
    <row r="350">
      <c r="A350" s="109"/>
      <c r="B350" s="109"/>
      <c r="C350" s="114"/>
      <c r="D350" s="109"/>
      <c r="E350" s="114"/>
      <c r="F350" s="109"/>
      <c r="G350" s="109"/>
      <c r="H350" s="109"/>
      <c r="I350" s="109"/>
      <c r="J350" s="109"/>
      <c r="K350" s="109"/>
      <c r="L350" s="109"/>
      <c r="M350" s="109"/>
      <c r="N350" s="109"/>
      <c r="O350" s="109"/>
      <c r="P350" s="109"/>
      <c r="Q350" s="114"/>
    </row>
    <row r="351">
      <c r="A351" s="109"/>
      <c r="B351" s="109"/>
      <c r="C351" s="114"/>
      <c r="D351" s="109"/>
      <c r="E351" s="114"/>
      <c r="F351" s="109"/>
      <c r="G351" s="109"/>
      <c r="H351" s="109"/>
      <c r="I351" s="109"/>
      <c r="J351" s="109"/>
      <c r="K351" s="109"/>
      <c r="L351" s="109"/>
      <c r="M351" s="109"/>
      <c r="N351" s="109"/>
      <c r="O351" s="109"/>
      <c r="P351" s="109"/>
      <c r="Q351" s="114"/>
    </row>
    <row r="352">
      <c r="A352" s="109"/>
      <c r="B352" s="109"/>
      <c r="C352" s="114"/>
      <c r="D352" s="109"/>
      <c r="E352" s="114"/>
      <c r="F352" s="109"/>
      <c r="G352" s="109"/>
      <c r="H352" s="109"/>
      <c r="I352" s="109"/>
      <c r="J352" s="109"/>
      <c r="K352" s="109"/>
      <c r="L352" s="109"/>
      <c r="M352" s="109"/>
      <c r="N352" s="109"/>
      <c r="O352" s="109"/>
      <c r="P352" s="109"/>
      <c r="Q352" s="114"/>
    </row>
    <row r="353">
      <c r="A353" s="109"/>
      <c r="B353" s="109"/>
      <c r="C353" s="114"/>
      <c r="D353" s="109"/>
      <c r="E353" s="114"/>
      <c r="F353" s="109"/>
      <c r="G353" s="109"/>
      <c r="H353" s="109"/>
      <c r="I353" s="109"/>
      <c r="J353" s="109"/>
      <c r="K353" s="109"/>
      <c r="L353" s="109"/>
      <c r="M353" s="109"/>
      <c r="N353" s="109"/>
      <c r="O353" s="109"/>
      <c r="P353" s="109"/>
      <c r="Q353" s="114"/>
    </row>
    <row r="354">
      <c r="A354" s="109"/>
      <c r="B354" s="109"/>
      <c r="C354" s="114"/>
      <c r="D354" s="109"/>
      <c r="E354" s="114"/>
      <c r="F354" s="109"/>
      <c r="G354" s="109"/>
      <c r="H354" s="109"/>
      <c r="I354" s="109"/>
      <c r="J354" s="109"/>
      <c r="K354" s="109"/>
      <c r="L354" s="109"/>
      <c r="M354" s="109"/>
      <c r="N354" s="109"/>
      <c r="O354" s="109"/>
      <c r="Q354" s="114"/>
    </row>
    <row r="355">
      <c r="A355" s="109"/>
      <c r="B355" s="109"/>
      <c r="C355" s="114"/>
      <c r="D355" s="109"/>
      <c r="E355" s="114"/>
      <c r="F355" s="109"/>
      <c r="G355" s="109"/>
      <c r="H355" s="109"/>
      <c r="I355" s="109"/>
      <c r="J355" s="109"/>
      <c r="K355" s="109"/>
      <c r="L355" s="109"/>
      <c r="M355" s="109"/>
      <c r="N355" s="109"/>
      <c r="O355" s="109"/>
      <c r="P355" s="109"/>
      <c r="Q355" s="114"/>
    </row>
    <row r="356">
      <c r="A356" s="109"/>
      <c r="B356" s="109"/>
      <c r="C356" s="114"/>
      <c r="D356" s="109"/>
      <c r="E356" s="114"/>
      <c r="F356" s="109"/>
      <c r="G356" s="109"/>
      <c r="H356" s="109"/>
      <c r="I356" s="109"/>
      <c r="J356" s="109"/>
      <c r="K356" s="17"/>
      <c r="L356" s="109"/>
      <c r="M356" s="109"/>
      <c r="N356" s="109"/>
      <c r="O356" s="109"/>
      <c r="P356" s="109"/>
      <c r="Q356" s="114"/>
    </row>
    <row r="357">
      <c r="A357" s="109"/>
      <c r="B357" s="109"/>
      <c r="C357" s="114"/>
      <c r="D357" s="109"/>
      <c r="E357" s="114"/>
      <c r="F357" s="109"/>
      <c r="G357" s="109"/>
      <c r="H357" s="109"/>
      <c r="I357" s="109"/>
      <c r="J357" s="109"/>
      <c r="K357" s="109"/>
      <c r="L357" s="109"/>
      <c r="M357" s="109"/>
      <c r="N357" s="109"/>
      <c r="O357" s="109"/>
      <c r="P357" s="109"/>
      <c r="Q357" s="114"/>
    </row>
    <row r="358">
      <c r="A358" s="109"/>
      <c r="B358" s="109"/>
      <c r="C358" s="114"/>
      <c r="D358" s="109"/>
      <c r="E358" s="114"/>
      <c r="F358" s="109"/>
      <c r="G358" s="109"/>
      <c r="H358" s="109"/>
      <c r="I358" s="109"/>
      <c r="J358" s="109"/>
      <c r="K358" s="109"/>
      <c r="L358" s="109"/>
      <c r="M358" s="109"/>
      <c r="N358" s="109"/>
      <c r="O358" s="109"/>
      <c r="P358" s="109"/>
      <c r="Q358" s="114"/>
    </row>
    <row r="359">
      <c r="A359" s="109"/>
      <c r="B359" s="109"/>
      <c r="C359" s="114"/>
      <c r="D359" s="109"/>
      <c r="E359" s="114"/>
      <c r="F359" s="109"/>
      <c r="G359" s="109"/>
      <c r="H359" s="109"/>
      <c r="I359" s="109"/>
      <c r="J359" s="109"/>
      <c r="K359" s="109"/>
      <c r="L359" s="109"/>
      <c r="M359" s="109"/>
      <c r="N359" s="109"/>
      <c r="O359" s="109"/>
      <c r="P359" s="109"/>
      <c r="Q359" s="114"/>
    </row>
    <row r="360">
      <c r="A360" s="109"/>
      <c r="B360" s="109"/>
      <c r="C360" s="114"/>
      <c r="D360" s="109"/>
      <c r="E360" s="114"/>
      <c r="F360" s="109"/>
      <c r="G360" s="109"/>
      <c r="H360" s="109"/>
      <c r="I360" s="109"/>
      <c r="J360" s="109"/>
      <c r="K360" s="109"/>
      <c r="L360" s="109"/>
      <c r="M360" s="109"/>
      <c r="N360" s="109"/>
      <c r="O360" s="109"/>
      <c r="P360" s="109"/>
      <c r="Q360" s="114"/>
    </row>
    <row r="361">
      <c r="A361" s="109"/>
      <c r="B361" s="109"/>
      <c r="C361" s="114"/>
      <c r="D361" s="109"/>
      <c r="E361" s="114"/>
      <c r="F361" s="109"/>
      <c r="G361" s="109"/>
      <c r="H361" s="109"/>
      <c r="I361" s="109"/>
      <c r="J361" s="109"/>
      <c r="K361" s="109"/>
      <c r="L361" s="109"/>
      <c r="M361" s="109"/>
      <c r="N361" s="17"/>
      <c r="O361" s="109"/>
      <c r="P361" s="109"/>
      <c r="Q361" s="114"/>
    </row>
    <row r="362">
      <c r="A362" s="109"/>
      <c r="B362" s="109"/>
      <c r="C362" s="114"/>
      <c r="D362" s="109"/>
      <c r="E362" s="114"/>
      <c r="F362" s="109"/>
      <c r="G362" s="109"/>
      <c r="H362" s="109"/>
      <c r="I362" s="109"/>
      <c r="J362" s="109"/>
      <c r="K362" s="109"/>
      <c r="L362" s="109"/>
      <c r="M362" s="109"/>
      <c r="N362" s="17"/>
      <c r="O362" s="109"/>
      <c r="P362" s="109"/>
      <c r="Q362" s="114"/>
    </row>
    <row r="363">
      <c r="A363" s="109"/>
      <c r="B363" s="109"/>
      <c r="C363" s="114"/>
      <c r="D363" s="109"/>
      <c r="E363" s="114"/>
      <c r="F363" s="109"/>
      <c r="G363" s="109"/>
      <c r="H363" s="109"/>
      <c r="I363" s="109"/>
      <c r="J363" s="109"/>
      <c r="K363" s="109"/>
      <c r="L363" s="109"/>
      <c r="M363" s="109"/>
      <c r="N363" s="109"/>
      <c r="O363" s="109"/>
      <c r="P363" s="109"/>
      <c r="Q363" s="114"/>
    </row>
    <row r="364">
      <c r="A364" s="109"/>
      <c r="B364" s="109"/>
      <c r="C364" s="114"/>
      <c r="D364" s="109"/>
      <c r="E364" s="114"/>
      <c r="F364" s="109"/>
      <c r="G364" s="109"/>
      <c r="H364" s="109"/>
      <c r="I364" s="109"/>
      <c r="J364" s="109"/>
      <c r="K364" s="109"/>
      <c r="L364" s="109"/>
      <c r="M364" s="109"/>
      <c r="N364" s="109"/>
      <c r="O364" s="109"/>
      <c r="P364" s="109"/>
      <c r="Q364" s="114"/>
    </row>
    <row r="365">
      <c r="A365" s="109"/>
      <c r="B365" s="109"/>
      <c r="C365" s="114"/>
      <c r="D365" s="109"/>
      <c r="E365" s="114"/>
      <c r="F365" s="109"/>
      <c r="G365" s="109"/>
      <c r="H365" s="109"/>
      <c r="I365" s="109"/>
      <c r="J365" s="109"/>
      <c r="K365" s="109"/>
      <c r="L365" s="109"/>
      <c r="M365" s="109"/>
      <c r="N365" s="109"/>
      <c r="O365" s="109"/>
      <c r="P365" s="109"/>
      <c r="Q365" s="114"/>
    </row>
    <row r="366">
      <c r="A366" s="109"/>
      <c r="B366" s="109"/>
      <c r="C366" s="114"/>
      <c r="D366" s="109"/>
      <c r="E366" s="114"/>
      <c r="F366" s="109"/>
      <c r="G366" s="109"/>
      <c r="H366" s="109"/>
      <c r="I366" s="109"/>
      <c r="J366" s="109"/>
      <c r="K366" s="109"/>
      <c r="L366" s="109"/>
      <c r="M366" s="109"/>
      <c r="O366" s="109"/>
      <c r="P366" s="109"/>
      <c r="Q366" s="114"/>
    </row>
    <row r="367">
      <c r="A367" s="109"/>
      <c r="B367" s="109"/>
      <c r="C367" s="114"/>
      <c r="D367" s="109"/>
      <c r="E367" s="114"/>
      <c r="F367" s="109"/>
      <c r="G367" s="109"/>
      <c r="H367" s="109"/>
      <c r="I367" s="109"/>
      <c r="J367" s="109"/>
      <c r="K367" s="109"/>
      <c r="L367" s="109"/>
      <c r="M367" s="17"/>
      <c r="N367" s="17"/>
      <c r="O367" s="109"/>
      <c r="P367" s="17"/>
      <c r="Q367" s="114"/>
    </row>
    <row r="368">
      <c r="A368" s="109"/>
      <c r="B368" s="109"/>
      <c r="C368" s="114"/>
      <c r="D368" s="109"/>
      <c r="E368" s="114"/>
      <c r="F368" s="109"/>
      <c r="G368" s="109"/>
      <c r="H368" s="109"/>
      <c r="I368" s="109"/>
      <c r="J368" s="109"/>
      <c r="K368" s="109"/>
      <c r="L368" s="109"/>
      <c r="M368" s="109"/>
      <c r="N368" s="109"/>
      <c r="O368" s="109"/>
      <c r="P368" s="109"/>
      <c r="Q368" s="114"/>
    </row>
    <row r="369">
      <c r="A369" s="109"/>
      <c r="B369" s="109"/>
      <c r="C369" s="114"/>
      <c r="D369" s="109"/>
      <c r="E369" s="114"/>
      <c r="F369" s="109"/>
      <c r="G369" s="109"/>
      <c r="H369" s="109"/>
      <c r="I369" s="109"/>
      <c r="J369" s="109"/>
      <c r="K369" s="109"/>
      <c r="L369" s="109"/>
      <c r="M369" s="109"/>
      <c r="N369" s="109"/>
      <c r="O369" s="109"/>
      <c r="P369" s="109"/>
      <c r="Q369" s="114"/>
    </row>
    <row r="370">
      <c r="A370" s="109"/>
      <c r="B370" s="109"/>
      <c r="C370" s="114"/>
      <c r="D370" s="109"/>
      <c r="E370" s="114"/>
      <c r="F370" s="109"/>
      <c r="G370" s="109"/>
      <c r="H370" s="109"/>
      <c r="I370" s="109"/>
      <c r="J370" s="109"/>
      <c r="K370" s="109"/>
      <c r="L370" s="109"/>
      <c r="M370" s="109"/>
      <c r="N370" s="109"/>
      <c r="O370" s="109"/>
      <c r="P370" s="109"/>
      <c r="Q370" s="114"/>
    </row>
    <row r="371">
      <c r="A371" s="109"/>
      <c r="B371" s="109"/>
      <c r="C371" s="114"/>
      <c r="D371" s="109"/>
      <c r="E371" s="114"/>
      <c r="F371" s="109"/>
      <c r="G371" s="109"/>
      <c r="H371" s="109"/>
      <c r="I371" s="109"/>
      <c r="J371" s="109"/>
      <c r="K371" s="109"/>
      <c r="L371" s="109"/>
      <c r="M371" s="109"/>
      <c r="N371" s="109"/>
      <c r="O371" s="109"/>
      <c r="P371" s="109"/>
      <c r="Q371" s="114"/>
    </row>
    <row r="372">
      <c r="A372" s="109"/>
      <c r="B372" s="109"/>
      <c r="C372" s="114"/>
      <c r="D372" s="109"/>
      <c r="E372" s="114"/>
      <c r="F372" s="109"/>
      <c r="G372" s="109"/>
      <c r="H372" s="109"/>
      <c r="I372" s="109"/>
      <c r="J372" s="109"/>
      <c r="K372" s="109"/>
      <c r="L372" s="109"/>
      <c r="M372" s="109"/>
      <c r="N372" s="109"/>
      <c r="O372" s="109"/>
      <c r="P372" s="109"/>
      <c r="Q372" s="114"/>
    </row>
    <row r="373">
      <c r="A373" s="109"/>
      <c r="B373" s="109"/>
      <c r="C373" s="114"/>
      <c r="D373" s="109"/>
      <c r="E373" s="114"/>
      <c r="F373" s="109"/>
      <c r="G373" s="109"/>
      <c r="H373" s="109"/>
      <c r="I373" s="109"/>
      <c r="J373" s="109"/>
      <c r="K373" s="109"/>
      <c r="L373" s="109"/>
      <c r="M373" s="109"/>
      <c r="N373" s="109"/>
      <c r="O373" s="109"/>
      <c r="P373" s="109"/>
      <c r="Q373" s="114"/>
    </row>
    <row r="374">
      <c r="A374" s="109"/>
      <c r="B374" s="109"/>
      <c r="C374" s="114"/>
      <c r="D374" s="109"/>
      <c r="E374" s="114"/>
      <c r="F374" s="109"/>
      <c r="G374" s="109"/>
      <c r="H374" s="109"/>
      <c r="I374" s="109"/>
      <c r="J374" s="109"/>
      <c r="K374" s="109"/>
      <c r="L374" s="109"/>
      <c r="M374" s="109"/>
      <c r="N374" s="17"/>
      <c r="O374" s="109"/>
      <c r="P374" s="109"/>
      <c r="Q374" s="114"/>
    </row>
    <row r="375">
      <c r="A375" s="109"/>
      <c r="B375" s="109"/>
      <c r="C375" s="114"/>
      <c r="D375" s="109"/>
      <c r="E375" s="114"/>
      <c r="F375" s="109"/>
      <c r="G375" s="109"/>
      <c r="H375" s="109"/>
      <c r="I375" s="109"/>
      <c r="J375" s="109"/>
      <c r="K375" s="109"/>
      <c r="L375" s="109"/>
      <c r="M375" s="109"/>
      <c r="N375" s="109"/>
      <c r="O375" s="109"/>
      <c r="P375" s="109"/>
      <c r="Q375" s="114"/>
    </row>
    <row r="376">
      <c r="A376" s="109"/>
      <c r="B376" s="109"/>
      <c r="C376" s="114"/>
      <c r="D376" s="109"/>
      <c r="E376" s="114"/>
      <c r="F376" s="109"/>
      <c r="G376" s="109"/>
      <c r="H376" s="109"/>
      <c r="I376" s="109"/>
      <c r="J376" s="109"/>
      <c r="K376" s="109"/>
      <c r="L376" s="109"/>
      <c r="M376" s="109"/>
      <c r="N376" s="109"/>
      <c r="O376" s="109"/>
      <c r="P376" s="109"/>
      <c r="Q376" s="114"/>
    </row>
    <row r="377">
      <c r="A377" s="109"/>
      <c r="B377" s="109"/>
      <c r="C377" s="114"/>
      <c r="D377" s="109"/>
      <c r="E377" s="114"/>
      <c r="F377" s="109"/>
      <c r="G377" s="109"/>
      <c r="H377" s="109"/>
      <c r="I377" s="109"/>
      <c r="J377" s="109"/>
      <c r="K377" s="109"/>
      <c r="L377" s="109"/>
      <c r="M377" s="109"/>
      <c r="N377" s="109"/>
      <c r="O377" s="109"/>
      <c r="P377" s="109"/>
      <c r="Q377" s="114"/>
    </row>
    <row r="378">
      <c r="A378" s="6"/>
    </row>
    <row r="379">
      <c r="A379" s="6"/>
    </row>
    <row r="380">
      <c r="A380" s="6"/>
    </row>
    <row r="381">
      <c r="A381" s="6"/>
    </row>
    <row r="382">
      <c r="A382" s="116"/>
    </row>
    <row r="383">
      <c r="A383" s="6"/>
    </row>
    <row r="384">
      <c r="A384" s="6"/>
    </row>
    <row r="385">
      <c r="A385" s="6"/>
    </row>
    <row r="386">
      <c r="A386" s="6"/>
    </row>
    <row r="387">
      <c r="A387" s="6"/>
    </row>
    <row r="388">
      <c r="A388" s="6"/>
    </row>
    <row r="389">
      <c r="A389" s="6"/>
    </row>
    <row r="390">
      <c r="A390" s="6"/>
    </row>
    <row r="391">
      <c r="A391" s="23"/>
    </row>
    <row r="392">
      <c r="A392" s="6"/>
    </row>
    <row r="393">
      <c r="A393" s="6"/>
    </row>
    <row r="394">
      <c r="A394" s="6"/>
    </row>
    <row r="395">
      <c r="A395" s="6"/>
    </row>
    <row r="396">
      <c r="A396" s="6"/>
    </row>
    <row r="397">
      <c r="A397" s="6"/>
    </row>
    <row r="398">
      <c r="A398" s="6"/>
    </row>
    <row r="399">
      <c r="A399" s="6"/>
    </row>
    <row r="400">
      <c r="A400" s="6"/>
    </row>
    <row r="401">
      <c r="A401" s="6"/>
    </row>
    <row r="402">
      <c r="A402" s="6"/>
    </row>
    <row r="403">
      <c r="A403" s="6"/>
    </row>
    <row r="404">
      <c r="A404" s="6"/>
    </row>
    <row r="405">
      <c r="A405" s="23"/>
    </row>
    <row r="406">
      <c r="A406" s="6"/>
    </row>
    <row r="407">
      <c r="A407" s="6"/>
    </row>
    <row r="408">
      <c r="A408" s="6"/>
    </row>
    <row r="409">
      <c r="A409" s="6"/>
    </row>
    <row r="410">
      <c r="A410" s="9"/>
    </row>
    <row r="411">
      <c r="A411" s="6"/>
    </row>
    <row r="412">
      <c r="A412" s="6"/>
    </row>
    <row r="413">
      <c r="A413" s="6"/>
    </row>
    <row r="414">
      <c r="A414" s="6"/>
    </row>
    <row r="415">
      <c r="A415" s="6"/>
    </row>
    <row r="416">
      <c r="A416" s="6"/>
    </row>
    <row r="417">
      <c r="A417" s="6"/>
    </row>
    <row r="418">
      <c r="A418" s="6"/>
    </row>
    <row r="419">
      <c r="A419" s="6"/>
    </row>
    <row r="420">
      <c r="A420" s="6"/>
    </row>
    <row r="421">
      <c r="A421" s="6"/>
    </row>
    <row r="422">
      <c r="A422" s="6"/>
    </row>
    <row r="423">
      <c r="A423" s="9"/>
    </row>
    <row r="424">
      <c r="A424" s="6"/>
    </row>
    <row r="425">
      <c r="A425" s="6"/>
    </row>
    <row r="426">
      <c r="A426" s="117"/>
    </row>
    <row r="427">
      <c r="A427" s="6"/>
    </row>
    <row r="428">
      <c r="A428" s="8"/>
    </row>
    <row r="429">
      <c r="A429" s="6"/>
    </row>
    <row r="430">
      <c r="A430" s="6"/>
    </row>
    <row r="431">
      <c r="A431" s="6"/>
    </row>
    <row r="432">
      <c r="A432" s="6"/>
    </row>
    <row r="433">
      <c r="A433" s="6"/>
    </row>
    <row r="434">
      <c r="A434" s="6"/>
    </row>
    <row r="435">
      <c r="A435" s="6"/>
    </row>
    <row r="436">
      <c r="A436" s="6"/>
    </row>
    <row r="437">
      <c r="A437" s="6"/>
    </row>
    <row r="438">
      <c r="A438" s="6"/>
    </row>
    <row r="439">
      <c r="A439" s="6"/>
    </row>
    <row r="440">
      <c r="A440" s="6"/>
    </row>
    <row r="441">
      <c r="A441" s="6"/>
    </row>
    <row r="442">
      <c r="A442" s="6"/>
    </row>
    <row r="443">
      <c r="A443" s="116"/>
    </row>
    <row r="444">
      <c r="A444" s="6"/>
    </row>
    <row r="445">
      <c r="A445" s="6"/>
    </row>
    <row r="446">
      <c r="A446" s="6"/>
    </row>
    <row r="447">
      <c r="A447" s="6"/>
    </row>
    <row r="448">
      <c r="A448" s="6"/>
    </row>
    <row r="449">
      <c r="A449" s="6"/>
    </row>
    <row r="450">
      <c r="A450" s="6"/>
    </row>
    <row r="451">
      <c r="A451" s="116"/>
    </row>
    <row r="452">
      <c r="A452" s="6"/>
    </row>
    <row r="453">
      <c r="A453" s="6"/>
    </row>
    <row r="454">
      <c r="A454" s="6"/>
    </row>
    <row r="455">
      <c r="A455" s="6"/>
    </row>
    <row r="456">
      <c r="A456" s="6"/>
    </row>
    <row r="457">
      <c r="A457" s="6"/>
    </row>
    <row r="458">
      <c r="A458" s="6"/>
    </row>
    <row r="459">
      <c r="A459" s="6"/>
    </row>
    <row r="460">
      <c r="A460" s="6"/>
    </row>
    <row r="461">
      <c r="A461" s="6"/>
    </row>
    <row r="462">
      <c r="A462" s="6"/>
    </row>
    <row r="463">
      <c r="A463" s="6"/>
    </row>
    <row r="464">
      <c r="A464" s="6"/>
    </row>
    <row r="465">
      <c r="A465" s="116"/>
    </row>
    <row r="466">
      <c r="A466" s="118"/>
    </row>
    <row r="467">
      <c r="A467" s="6"/>
    </row>
    <row r="468">
      <c r="A468" s="6"/>
    </row>
    <row r="469">
      <c r="A469" s="6"/>
    </row>
    <row r="470">
      <c r="A470" s="6"/>
    </row>
    <row r="471">
      <c r="A471" s="6"/>
    </row>
    <row r="472">
      <c r="A472" s="6"/>
    </row>
    <row r="473">
      <c r="A473" s="119"/>
    </row>
    <row r="474">
      <c r="A474" s="6"/>
    </row>
    <row r="475">
      <c r="A475" s="6"/>
    </row>
    <row r="476">
      <c r="A476" s="6"/>
    </row>
    <row r="477">
      <c r="A477" s="6"/>
    </row>
    <row r="478">
      <c r="A478" s="6"/>
    </row>
    <row r="479">
      <c r="A479" s="6"/>
    </row>
    <row r="480">
      <c r="A480" s="6"/>
    </row>
    <row r="481">
      <c r="A481" s="6"/>
    </row>
    <row r="482">
      <c r="A482" s="6"/>
    </row>
    <row r="483">
      <c r="A483" s="6"/>
    </row>
    <row r="484">
      <c r="A484" s="6"/>
    </row>
    <row r="485">
      <c r="A485" s="6"/>
    </row>
    <row r="486">
      <c r="A486" s="6"/>
    </row>
    <row r="487">
      <c r="A487" s="6"/>
    </row>
    <row r="488">
      <c r="A488" s="6"/>
    </row>
    <row r="489">
      <c r="A489" s="6"/>
    </row>
    <row r="490">
      <c r="A490" s="6"/>
    </row>
    <row r="491">
      <c r="A491" s="6"/>
    </row>
    <row r="492">
      <c r="A492" s="6"/>
    </row>
    <row r="493">
      <c r="A493" s="6"/>
    </row>
    <row r="494">
      <c r="A494" s="120"/>
    </row>
    <row r="495">
      <c r="A495" s="6"/>
    </row>
    <row r="496">
      <c r="A496" s="6"/>
    </row>
    <row r="497">
      <c r="A497" s="6"/>
    </row>
    <row r="498">
      <c r="A498" s="6"/>
    </row>
    <row r="499">
      <c r="A499" s="6"/>
    </row>
    <row r="500">
      <c r="A500" s="6"/>
    </row>
    <row r="501">
      <c r="A501" s="6"/>
    </row>
    <row r="502">
      <c r="A502" s="6"/>
    </row>
    <row r="503">
      <c r="A503" s="6"/>
    </row>
    <row r="504">
      <c r="A504" s="6"/>
    </row>
    <row r="505">
      <c r="A505" s="6"/>
    </row>
    <row r="506">
      <c r="A506" s="6"/>
    </row>
    <row r="507">
      <c r="A507" s="9"/>
    </row>
    <row r="508">
      <c r="A508" s="6"/>
    </row>
    <row r="509">
      <c r="A509" s="6"/>
    </row>
    <row r="510">
      <c r="A510" s="6"/>
    </row>
    <row r="511">
      <c r="A511" s="6"/>
    </row>
    <row r="512">
      <c r="A512" s="6"/>
    </row>
    <row r="513">
      <c r="A513" s="6"/>
    </row>
    <row r="514">
      <c r="A514" s="6"/>
    </row>
    <row r="515">
      <c r="A515" s="6"/>
    </row>
    <row r="516">
      <c r="A516" s="6"/>
    </row>
    <row r="517">
      <c r="A517" s="6"/>
    </row>
    <row r="518">
      <c r="A518" s="6"/>
    </row>
    <row r="519">
      <c r="A519" s="6"/>
    </row>
    <row r="520">
      <c r="A520" s="6"/>
    </row>
    <row r="521">
      <c r="A521" s="6"/>
    </row>
    <row r="522">
      <c r="A522" s="6"/>
    </row>
    <row r="523">
      <c r="A523" s="6"/>
    </row>
    <row r="524">
      <c r="A524" s="6"/>
    </row>
    <row r="525">
      <c r="A525" s="6"/>
    </row>
    <row r="526">
      <c r="A526" s="6"/>
    </row>
    <row r="527">
      <c r="A527" s="6"/>
    </row>
    <row r="528">
      <c r="A528" s="6"/>
    </row>
    <row r="529">
      <c r="A529" s="6"/>
    </row>
    <row r="530">
      <c r="A530" s="6"/>
    </row>
    <row r="531">
      <c r="A531" s="6"/>
    </row>
    <row r="532">
      <c r="A532" s="6"/>
    </row>
    <row r="533">
      <c r="A533" s="6"/>
    </row>
    <row r="534">
      <c r="A534" s="6"/>
    </row>
    <row r="535">
      <c r="A535" s="6"/>
    </row>
    <row r="536">
      <c r="A536" s="6"/>
    </row>
    <row r="537">
      <c r="A537" s="6"/>
    </row>
    <row r="538">
      <c r="A538" s="6"/>
    </row>
    <row r="539">
      <c r="A539" s="12"/>
    </row>
    <row r="540">
      <c r="A540" s="121"/>
    </row>
    <row r="541">
      <c r="A541" s="6"/>
    </row>
    <row r="542">
      <c r="A542" s="6"/>
    </row>
    <row r="543">
      <c r="A543" s="6"/>
    </row>
    <row r="544">
      <c r="A544" s="6"/>
    </row>
    <row r="545">
      <c r="A545" s="6"/>
    </row>
    <row r="546">
      <c r="A546" s="6"/>
    </row>
    <row r="547">
      <c r="A547" s="6"/>
    </row>
    <row r="548">
      <c r="A548" s="6"/>
    </row>
    <row r="549">
      <c r="A549" s="6"/>
    </row>
    <row r="550">
      <c r="A550" s="18"/>
    </row>
    <row r="551">
      <c r="A551" s="18"/>
    </row>
    <row r="2482">
      <c r="A2482" s="7"/>
    </row>
    <row r="8739">
      <c r="A8739" s="7"/>
    </row>
    <row r="9551">
      <c r="A9551" s="7"/>
    </row>
    <row r="10917">
      <c r="A10917" s="7"/>
    </row>
    <row r="10952">
      <c r="A10952" s="7"/>
    </row>
    <row r="11048">
      <c r="A11048" s="7"/>
    </row>
    <row r="11093">
      <c r="A11093" s="7"/>
    </row>
    <row r="11237">
      <c r="A11237" s="7"/>
    </row>
    <row r="11254">
      <c r="A11254" s="7"/>
    </row>
    <row r="11364">
      <c r="A11364" s="7"/>
    </row>
    <row r="11485">
      <c r="A11485" s="7"/>
    </row>
    <row r="11638">
      <c r="A11638" s="7"/>
    </row>
    <row r="11923">
      <c r="A11923" s="7"/>
    </row>
    <row r="11937">
      <c r="A11937" s="7"/>
    </row>
    <row r="12117">
      <c r="A12117" s="7"/>
    </row>
    <row r="12330">
      <c r="A12330" s="7"/>
    </row>
    <row r="12460">
      <c r="A12460" s="7"/>
    </row>
    <row r="12478">
      <c r="A12478" s="7"/>
    </row>
    <row r="12533">
      <c r="A12533" s="7"/>
    </row>
    <row r="12578">
      <c r="A12578" s="7"/>
    </row>
    <row r="12622">
      <c r="A12622" s="7"/>
    </row>
    <row r="12629">
      <c r="A12629" s="7"/>
    </row>
    <row r="12779">
      <c r="A12779" s="7"/>
    </row>
    <row r="13201">
      <c r="A13201" s="7"/>
    </row>
    <row r="13357">
      <c r="A13357" s="7"/>
    </row>
    <row r="13395">
      <c r="A13395" s="7"/>
    </row>
  </sheetData>
  <mergeCells count="32">
    <mergeCell ref="M4:N4"/>
    <mergeCell ref="M9:N9"/>
    <mergeCell ref="I19:J19"/>
    <mergeCell ref="O19:P19"/>
    <mergeCell ref="M29:N29"/>
    <mergeCell ref="O49:P49"/>
    <mergeCell ref="M51:N51"/>
    <mergeCell ref="L76:M76"/>
    <mergeCell ref="O76:P76"/>
    <mergeCell ref="O111:P111"/>
    <mergeCell ref="M112:N112"/>
    <mergeCell ref="P130:Q130"/>
    <mergeCell ref="P157:Q157"/>
    <mergeCell ref="O175:P175"/>
    <mergeCell ref="L175:M175"/>
    <mergeCell ref="K179:L179"/>
    <mergeCell ref="O179:P179"/>
    <mergeCell ref="O180:P180"/>
    <mergeCell ref="O205:P205"/>
    <mergeCell ref="M232:N232"/>
    <mergeCell ref="O233:P233"/>
    <mergeCell ref="M346:N346"/>
    <mergeCell ref="O348:P348"/>
    <mergeCell ref="O354:P354"/>
    <mergeCell ref="M366:N366"/>
    <mergeCell ref="L251:M251"/>
    <mergeCell ref="O251:P251"/>
    <mergeCell ref="O256:P256"/>
    <mergeCell ref="M273:N273"/>
    <mergeCell ref="L298:M298"/>
    <mergeCell ref="O298:P298"/>
    <mergeCell ref="O335:P335"/>
  </mergeCells>
  <conditionalFormatting sqref="A324 A2482 A8739 A9551 A10917 A10952 A11048 A11093 A11237 A11254 A11364 A11485 A11638 A11923 A11937 A12117 A12330 A12460 A12478 A12533 A12578 A12622 A12629 A12779 A13201 A13357 A13395">
    <cfRule type="containsBlanks" dxfId="0" priority="1">
      <formula>LEN(TRIM(A324))=0</formula>
    </cfRule>
  </conditionalFormatting>
  <drawing r:id="rId1"/>
</worksheet>
</file>